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5"/>
  </bookViews>
  <sheets>
    <sheet name="_キー一覧" sheetId="1" state="hidden" r:id="rId3"/>
    <sheet name="単打" sheetId="2" state="visible" r:id="rId4"/>
    <sheet name="2キー同時" sheetId="3" state="visible" r:id="rId5"/>
    <sheet name="3キー同時" sheetId="4" state="visible" r:id="rId6"/>
    <sheet name="4キー同時" sheetId="5" state="visible" r:id="rId7"/>
    <sheet name="個別指定" sheetId="6" state="visible" r:id="rId8"/>
    <sheet name="_対応表" sheetId="7" state="hidden" r:id="rId9"/>
    <sheet name="記入方法" sheetId="8" state="visible" r:id="rId10"/>
    <sheet name="キーID一覧" sheetId="9" state="visible" r:id="rId11"/>
    <sheet name="_meta" sheetId="10" state="hidden"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<sst xmlns="http://schemas.openxmlformats.org/spreadsheetml/2006/main" count="37091" uniqueCount="615">
  <si>
    <t xml:space="preserve">1</t>
  </si>
  <si>
    <t xml:space="preserve">2</t>
  </si>
  <si>
    <t xml:space="preserve">3</t>
  </si>
  <si>
    <t xml:space="preserve">4</t>
  </si>
  <si>
    <t xml:space="preserve">5</t>
  </si>
  <si>
    <t xml:space="preserve">6</t>
  </si>
  <si>
    <t xml:space="preserve">7</t>
  </si>
  <si>
    <t xml:space="preserve">8</t>
  </si>
  <si>
    <t xml:space="preserve">9</t>
  </si>
  <si>
    <t xml:space="preserve">0</t>
  </si>
  <si>
    <t xml:space="preserve">-</t>
  </si>
  <si>
    <t xml:space="preserve">=</t>
  </si>
  <si>
    <t xml:space="preserve">q</t>
  </si>
  <si>
    <t xml:space="preserve">w</t>
  </si>
  <si>
    <t xml:space="preserve">e</t>
  </si>
  <si>
    <t xml:space="preserve">r</t>
  </si>
  <si>
    <t xml:space="preserve">t</t>
  </si>
  <si>
    <t xml:space="preserve">y</t>
  </si>
  <si>
    <t xml:space="preserve">u</t>
  </si>
  <si>
    <t xml:space="preserve">i</t>
  </si>
  <si>
    <t xml:space="preserve">o</t>
  </si>
  <si>
    <t xml:space="preserve">p</t>
  </si>
  <si>
    <t xml:space="preserve">[</t>
  </si>
  <si>
    <t xml:space="preserve">]</t>
  </si>
  <si>
    <t xml:space="preserve">a</t>
  </si>
  <si>
    <t xml:space="preserve">s</t>
  </si>
  <si>
    <t xml:space="preserve">d</t>
  </si>
  <si>
    <t xml:space="preserve">f</t>
  </si>
  <si>
    <t xml:space="preserve">g</t>
  </si>
  <si>
    <t xml:space="preserve">h</t>
  </si>
  <si>
    <t xml:space="preserve">j</t>
  </si>
  <si>
    <t xml:space="preserve">k</t>
  </si>
  <si>
    <t xml:space="preserve">l</t>
  </si>
  <si>
    <t xml:space="preserve">;</t>
  </si>
  <si>
    <t xml:space="preserve">'</t>
  </si>
  <si>
    <t xml:space="preserve">z</t>
  </si>
  <si>
    <t xml:space="preserve">x</t>
  </si>
  <si>
    <t xml:space="preserve">c</t>
  </si>
  <si>
    <t xml:space="preserve">v</t>
  </si>
  <si>
    <t xml:space="preserve">b</t>
  </si>
  <si>
    <t xml:space="preserve">n</t>
  </si>
  <si>
    <t xml:space="preserve">m</t>
  </si>
  <si>
    <t xml:space="preserve">,</t>
  </si>
  <si>
    <t xml:space="preserve">.</t>
  </si>
  <si>
    <t xml:space="preserve">/</t>
  </si>
  <si>
    <t xml:space="preserve">henkan</t>
  </si>
  <si>
    <t xml:space="preserve">kana</t>
  </si>
  <si>
    <t xml:space="preserve">lthumb</t>
  </si>
  <si>
    <t xml:space="preserve">muhenkan</t>
  </si>
  <si>
    <t xml:space="preserve">rthumb</t>
  </si>
  <si>
    <t xml:space="preserve">space</t>
  </si>
  <si>
    <t xml:space="preserve">lshift</t>
  </si>
  <si>
    <t xml:space="preserve">rshift</t>
  </si>
  <si>
    <t xml:space="preserve">単打レイヤー</t>
  </si>
  <si>
    <t xml:space="preserve">シフトを押さずに、そのキーだけを打ったときのかな</t>
  </si>
  <si>
    <t xml:space="preserve">使わないレイヤーは、シフトキー欄を空欄のままにしてください。そのレイヤーは無視されます。</t>
  </si>
  <si>
    <t xml:space="preserve">配列名</t>
  </si>
  <si>
    <t xml:space="preserve">薙刀式</t>
  </si>
  <si>
    <t xml:space="preserve">反映済みのかな数</t>
  </si>
  <si>
    <t xml:space="preserve">作者</t>
  </si>
  <si>
    <t xml:space="preserve">重複しているかな</t>
  </si>
  <si>
    <t xml:space="preserve">個別指定に行がないかな</t>
  </si>
  <si>
    <t xml:space="preserve">使用中のレイヤー数</t>
  </si>
  <si>
    <t xml:space="preserve">■ 単打レイヤー</t>
  </si>
  <si>
    <t xml:space="preserve">数字段</t>
  </si>
  <si>
    <t xml:space="preserve">上段</t>
  </si>
  <si>
    <t xml:space="preserve">Q</t>
  </si>
  <si>
    <t xml:space="preserve">W</t>
  </si>
  <si>
    <t xml:space="preserve">E</t>
  </si>
  <si>
    <t xml:space="preserve">R</t>
  </si>
  <si>
    <t xml:space="preserve">T</t>
  </si>
  <si>
    <t xml:space="preserve">Y</t>
  </si>
  <si>
    <t xml:space="preserve">U</t>
  </si>
  <si>
    <t xml:space="preserve">I</t>
  </si>
  <si>
    <t xml:space="preserve">O</t>
  </si>
  <si>
    <t xml:space="preserve">P</t>
  </si>
  <si>
    <t xml:space="preserve">き</t>
  </si>
  <si>
    <t xml:space="preserve">て</t>
  </si>
  <si>
    <t xml:space="preserve">し</t>
  </si>
  <si>
    <t xml:space="preserve">る</t>
  </si>
  <si>
    <t xml:space="preserve">す</t>
  </si>
  <si>
    <t xml:space="preserve">へ</t>
  </si>
  <si>
    <t xml:space="preserve">中段</t>
  </si>
  <si>
    <t xml:space="preserve">A</t>
  </si>
  <si>
    <t xml:space="preserve">S</t>
  </si>
  <si>
    <t xml:space="preserve">D</t>
  </si>
  <si>
    <t xml:space="preserve">F</t>
  </si>
  <si>
    <t xml:space="preserve">G</t>
  </si>
  <si>
    <t xml:space="preserve">H</t>
  </si>
  <si>
    <t xml:space="preserve">J</t>
  </si>
  <si>
    <t xml:space="preserve">K</t>
  </si>
  <si>
    <t xml:space="preserve">L</t>
  </si>
  <si>
    <t xml:space="preserve">ろ</t>
  </si>
  <si>
    <t xml:space="preserve">け</t>
  </si>
  <si>
    <t xml:space="preserve">と</t>
  </si>
  <si>
    <t xml:space="preserve">か</t>
  </si>
  <si>
    <t xml:space="preserve">っ</t>
  </si>
  <si>
    <t xml:space="preserve">く</t>
  </si>
  <si>
    <t xml:space="preserve">あ</t>
  </si>
  <si>
    <t xml:space="preserve">い</t>
  </si>
  <si>
    <t xml:space="preserve">う</t>
  </si>
  <si>
    <t xml:space="preserve">ー</t>
  </si>
  <si>
    <t xml:space="preserve">下段</t>
  </si>
  <si>
    <t xml:space="preserve">Z</t>
  </si>
  <si>
    <t xml:space="preserve">X</t>
  </si>
  <si>
    <t xml:space="preserve">C</t>
  </si>
  <si>
    <t xml:space="preserve">V</t>
  </si>
  <si>
    <t xml:space="preserve">B</t>
  </si>
  <si>
    <t xml:space="preserve">N</t>
  </si>
  <si>
    <t xml:space="preserve">M</t>
  </si>
  <si>
    <t xml:space="preserve">ほ</t>
  </si>
  <si>
    <t xml:space="preserve">ひ</t>
  </si>
  <si>
    <t xml:space="preserve">は</t>
  </si>
  <si>
    <t xml:space="preserve">こ</t>
  </si>
  <si>
    <t xml:space="preserve">そ</t>
  </si>
  <si>
    <t xml:space="preserve">た</t>
  </si>
  <si>
    <t xml:space="preserve">な</t>
  </si>
  <si>
    <t xml:space="preserve">ん</t>
  </si>
  <si>
    <t xml:space="preserve">ら</t>
  </si>
  <si>
    <t xml:space="preserve">れ</t>
  </si>
  <si>
    <t xml:space="preserve">親指段</t>
  </si>
  <si>
    <r>
      <rPr>
        <b val="true"/>
        <sz val="16"/>
        <rFont val="Arial"/>
        <family val="2"/>
        <charset val="1"/>
      </rPr>
      <t xml:space="preserve">2</t>
    </r>
    <r>
      <rPr>
        <b val="true"/>
        <sz val="16"/>
        <rFont val="Noto Sans CJK SC"/>
        <family val="2"/>
        <charset val="1"/>
      </rPr>
      <t xml:space="preserve">キー同時レイヤー</t>
    </r>
  </si>
  <si>
    <t xml:space="preserve">シフトキー1つと文字キーの同時打鍵</t>
  </si>
  <si>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01</t>
    </r>
  </si>
  <si>
    <t xml:space="preserve">シフトキー</t>
  </si>
  <si>
    <t xml:space="preserve">← このキーと同時に押したときの、かなを下に記入します</t>
  </si>
  <si>
    <t xml:space="preserve">め</t>
  </si>
  <si>
    <t xml:space="preserve">り</t>
  </si>
  <si>
    <t xml:space="preserve">ね</t>
  </si>
  <si>
    <t xml:space="preserve">さ</t>
  </si>
  <si>
    <t xml:space="preserve">よ</t>
  </si>
  <si>
    <t xml:space="preserve">え</t>
  </si>
  <si>
    <t xml:space="preserve">ゆ</t>
  </si>
  <si>
    <t xml:space="preserve">せ</t>
  </si>
  <si>
    <t xml:space="preserve">み</t>
  </si>
  <si>
    <t xml:space="preserve">に</t>
  </si>
  <si>
    <t xml:space="preserve">ま</t>
  </si>
  <si>
    <t xml:space="preserve">ち</t>
  </si>
  <si>
    <t xml:space="preserve">や</t>
  </si>
  <si>
    <t xml:space="preserve">の</t>
  </si>
  <si>
    <t xml:space="preserve">も</t>
  </si>
  <si>
    <t xml:space="preserve">つ</t>
  </si>
  <si>
    <t xml:space="preserve">ふ</t>
  </si>
  <si>
    <t xml:space="preserve">を</t>
  </si>
  <si>
    <t xml:space="preserve">、</t>
  </si>
  <si>
    <t xml:space="preserve">ぬ</t>
  </si>
  <si>
    <t xml:space="preserve">お</t>
  </si>
  <si>
    <t xml:space="preserve">。</t>
  </si>
  <si>
    <t xml:space="preserve">む</t>
  </si>
  <si>
    <t xml:space="preserve">わ</t>
  </si>
  <si>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02</t>
    </r>
  </si>
  <si>
    <t xml:space="preserve">ざ</t>
  </si>
  <si>
    <t xml:space="preserve">ず</t>
  </si>
  <si>
    <t xml:space="preserve">べ</t>
  </si>
  <si>
    <t xml:space="preserve">ぐ</t>
  </si>
  <si>
    <t xml:space="preserve">づ</t>
  </si>
  <si>
    <t xml:space="preserve">ぶ</t>
  </si>
  <si>
    <t xml:space="preserve">だ</t>
  </si>
  <si>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03</t>
    </r>
  </si>
  <si>
    <t xml:space="preserve">ぎ</t>
  </si>
  <si>
    <t xml:space="preserve">で</t>
  </si>
  <si>
    <t xml:space="preserve">じ</t>
  </si>
  <si>
    <t xml:space="preserve">ぜ</t>
  </si>
  <si>
    <t xml:space="preserve">げ</t>
  </si>
  <si>
    <t xml:space="preserve">ど</t>
  </si>
  <si>
    <t xml:space="preserve">が</t>
  </si>
  <si>
    <t xml:space="preserve">ぢ</t>
  </si>
  <si>
    <t xml:space="preserve">ぼ</t>
  </si>
  <si>
    <t xml:space="preserve">び</t>
  </si>
  <si>
    <t xml:space="preserve">ば</t>
  </si>
  <si>
    <t xml:space="preserve">ご</t>
  </si>
  <si>
    <t xml:space="preserve">ぞ</t>
  </si>
  <si>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04</t>
    </r>
  </si>
  <si>
    <t xml:space="preserve">ぺ</t>
  </si>
  <si>
    <t xml:space="preserve">ぷ</t>
  </si>
  <si>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05</t>
    </r>
  </si>
  <si>
    <t xml:space="preserve">ぽ</t>
  </si>
  <si>
    <t xml:space="preserve">ぴ</t>
  </si>
  <si>
    <t xml:space="preserve">ぱ</t>
  </si>
  <si>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06</t>
    </r>
  </si>
  <si>
    <t xml:space="preserve">きゃ</t>
  </si>
  <si>
    <t xml:space="preserve">りゃ</t>
  </si>
  <si>
    <t xml:space="preserve">しゃ</t>
  </si>
  <si>
    <t xml:space="preserve">みゃ</t>
  </si>
  <si>
    <t xml:space="preserve">にゃ</t>
  </si>
  <si>
    <t xml:space="preserve">ちゃ</t>
  </si>
  <si>
    <t xml:space="preserve">ひゃ</t>
  </si>
  <si>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07</t>
    </r>
  </si>
  <si>
    <t xml:space="preserve">きゅ</t>
  </si>
  <si>
    <t xml:space="preserve">りゅ</t>
  </si>
  <si>
    <t xml:space="preserve">しゅ</t>
  </si>
  <si>
    <t xml:space="preserve">みゅ</t>
  </si>
  <si>
    <t xml:space="preserve">にゅ</t>
  </si>
  <si>
    <t xml:space="preserve">ちゅ</t>
  </si>
  <si>
    <t xml:space="preserve">ひゅ</t>
  </si>
  <si>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08</t>
    </r>
  </si>
  <si>
    <t xml:space="preserve">きょ</t>
  </si>
  <si>
    <t xml:space="preserve">りょ</t>
  </si>
  <si>
    <t xml:space="preserve">しょ</t>
  </si>
  <si>
    <t xml:space="preserve">みょ</t>
  </si>
  <si>
    <t xml:space="preserve">にょ</t>
  </si>
  <si>
    <t xml:space="preserve">ちょ</t>
  </si>
  <si>
    <t xml:space="preserve">ひょ</t>
  </si>
  <si>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09</t>
    </r>
  </si>
  <si>
    <t xml:space="preserve">ょ</t>
  </si>
  <si>
    <t xml:space="preserve">ぇ</t>
  </si>
  <si>
    <t xml:space="preserve">ゅ</t>
  </si>
  <si>
    <t xml:space="preserve">ゃ</t>
  </si>
  <si>
    <t xml:space="preserve">ぁ</t>
  </si>
  <si>
    <t xml:space="preserve">ぃ</t>
  </si>
  <si>
    <t xml:space="preserve">ぅ</t>
  </si>
  <si>
    <t xml:space="preserve">ぉ</t>
  </si>
  <si>
    <t xml:space="preserve">ゎ</t>
  </si>
  <si>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10</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</si>
  <si>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11</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</si>
  <si>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12</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</si>
  <si>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13</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</si>
  <si>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14</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</si>
  <si>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15</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</si>
  <si>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16</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</si>
  <si>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17</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</si>
  <si>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18</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</si>
  <si>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19</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</si>
  <si>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20</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</si>
  <si>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21</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</si>
  <si>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22</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</si>
  <si>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23</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</si>
  <si>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24</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</si>
  <si>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25</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</si>
  <si>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26</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</si>
  <si>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27</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</si>
  <si>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28</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</si>
  <si>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29</t>
    </r>
  </si>
  <si>
    <r>
      <rPr>
        <b val="true"/>
        <sz val="12"/>
        <color rgb="FF1F3864"/>
        <rFont val="Arial"/>
        <family val="2"/>
        <charset val="1"/>
      </rPr>
      <t xml:space="preserve">■ 2</t>
    </r>
    <r>
      <rPr>
        <b val="true"/>
        <sz val="12"/>
        <color rgb="FF1F3864"/>
        <rFont val="Noto Sans CJK SC"/>
        <family val="2"/>
        <charset val="1"/>
      </rPr>
      <t xml:space="preserve">キー同時レイヤー </t>
    </r>
    <r>
      <rPr>
        <b val="true"/>
        <sz val="12"/>
        <color rgb="FF1F3864"/>
        <rFont val="Arial"/>
        <family val="2"/>
        <charset val="1"/>
      </rPr>
      <t xml:space="preserve">30</t>
    </r>
  </si>
  <si>
    <r>
      <rPr>
        <b val="true"/>
        <sz val="16"/>
        <rFont val="Arial"/>
        <family val="2"/>
        <charset val="1"/>
      </rPr>
      <t xml:space="preserve">3</t>
    </r>
    <r>
      <rPr>
        <b val="true"/>
        <sz val="16"/>
        <rFont val="Noto Sans CJK SC"/>
        <family val="2"/>
        <charset val="1"/>
      </rPr>
      <t xml:space="preserve">キー同時レイヤー</t>
    </r>
  </si>
  <si>
    <t xml:space="preserve">シフトキー2つと文字キーの同時打鍵</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</si>
  <si>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01</t>
    </r>
  </si>
  <si>
    <t xml:space="preserve">← これらのキーすべてと同時に押したときの、かなを下に記入します</t>
  </si>
  <si>
    <t xml:space="preserve">ぴゃ</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</si>
  <si>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02</t>
    </r>
  </si>
  <si>
    <t xml:space="preserve">てゅ</t>
  </si>
  <si>
    <t xml:space="preserve">ぴゅ</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</si>
  <si>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03</t>
    </r>
  </si>
  <si>
    <t xml:space="preserve">ぎゃ</t>
  </si>
  <si>
    <t xml:space="preserve">じゃ</t>
  </si>
  <si>
    <t xml:space="preserve">ぢゃ</t>
  </si>
  <si>
    <t xml:space="preserve">びゃ</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</si>
  <si>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04</t>
    </r>
  </si>
  <si>
    <t xml:space="preserve">ぎょ</t>
  </si>
  <si>
    <t xml:space="preserve">じょ</t>
  </si>
  <si>
    <t xml:space="preserve">ぢょ</t>
  </si>
  <si>
    <t xml:space="preserve">びょ</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</si>
  <si>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05</t>
    </r>
  </si>
  <si>
    <t xml:space="preserve">ぎゅ</t>
  </si>
  <si>
    <t xml:space="preserve">じゅ</t>
  </si>
  <si>
    <t xml:space="preserve">ぢゅ</t>
  </si>
  <si>
    <t xml:space="preserve">びゅ</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</si>
  <si>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06</t>
    </r>
  </si>
  <si>
    <t xml:space="preserve">ぴょ</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</si>
  <si>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07</t>
    </r>
  </si>
  <si>
    <t xml:space="preserve">うぇ</t>
  </si>
  <si>
    <t xml:space="preserve">つぁ</t>
  </si>
  <si>
    <t xml:space="preserve">うぃ</t>
  </si>
  <si>
    <t xml:space="preserve">うぉ</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</si>
  <si>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08</t>
    </r>
  </si>
  <si>
    <t xml:space="preserve">ゔぇ</t>
  </si>
  <si>
    <t xml:space="preserve">ゔゅ</t>
  </si>
  <si>
    <t xml:space="preserve">ゔぁ</t>
  </si>
  <si>
    <t xml:space="preserve">ゔぃ</t>
  </si>
  <si>
    <t xml:space="preserve">ゔぉ</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</si>
  <si>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09</t>
    </r>
  </si>
  <si>
    <t xml:space="preserve">ゔ</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</si>
  <si>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10</t>
    </r>
  </si>
  <si>
    <t xml:space="preserve">しぇ</t>
  </si>
  <si>
    <t xml:space="preserve">ちぇ</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</si>
  <si>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11</t>
    </r>
  </si>
  <si>
    <t xml:space="preserve">くぇ</t>
  </si>
  <si>
    <t xml:space="preserve">いぇ</t>
  </si>
  <si>
    <t xml:space="preserve">ふぇ</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</si>
  <si>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12</t>
    </r>
  </si>
  <si>
    <t xml:space="preserve">くぃ</t>
  </si>
  <si>
    <t xml:space="preserve">ふぃ</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</si>
  <si>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13</t>
    </r>
  </si>
  <si>
    <t xml:space="preserve">てぃ</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</si>
  <si>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14</t>
    </r>
  </si>
  <si>
    <t xml:space="preserve">くぁ</t>
  </si>
  <si>
    <t xml:space="preserve">ふぁ</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</si>
  <si>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15</t>
    </r>
  </si>
  <si>
    <t xml:space="preserve">とぅ</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</si>
  <si>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16</t>
    </r>
  </si>
  <si>
    <t xml:space="preserve">くぉ</t>
  </si>
  <si>
    <t xml:space="preserve">ふぉ</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</si>
  <si>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17</t>
    </r>
  </si>
  <si>
    <t xml:space="preserve">ふゅ</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</si>
  <si>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18</t>
    </r>
  </si>
  <si>
    <t xml:space="preserve">じぇ</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</si>
  <si>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19</t>
    </r>
  </si>
  <si>
    <t xml:space="preserve">でぃ</t>
  </si>
  <si>
    <t xml:space="preserve">・</t>
  </si>
  <si>
    <t xml:space="preserve"> ？</t>
  </si>
  <si>
    <t xml:space="preserve">「</t>
  </si>
  <si>
    <t xml:space="preserve">！</t>
  </si>
  <si>
    <t xml:space="preserve">」</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</si>
  <si>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20</t>
    </r>
  </si>
  <si>
    <t xml:space="preserve">でゅ</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</si>
  <si>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21</t>
    </r>
  </si>
  <si>
    <t xml:space="preserve">どぅ</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</si>
  <si>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22</t>
    </r>
  </si>
  <si>
    <t xml:space="preserve">ぐぁ</t>
  </si>
  <si>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23</t>
    </r>
  </si>
  <si>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24</t>
    </r>
  </si>
  <si>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25</t>
    </r>
  </si>
  <si>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26</t>
    </r>
  </si>
  <si>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27</t>
    </r>
  </si>
  <si>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28</t>
    </r>
  </si>
  <si>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29</t>
    </r>
  </si>
  <si>
    <r>
      <rPr>
        <b val="true"/>
        <sz val="12"/>
        <color rgb="FF1F3864"/>
        <rFont val="Arial"/>
        <family val="2"/>
        <charset val="1"/>
      </rPr>
      <t xml:space="preserve">■ 3</t>
    </r>
    <r>
      <rPr>
        <b val="true"/>
        <sz val="12"/>
        <color rgb="FF1F3864"/>
        <rFont val="Noto Sans CJK SC"/>
        <family val="2"/>
        <charset val="1"/>
      </rPr>
      <t xml:space="preserve">キー同時レイヤー </t>
    </r>
    <r>
      <rPr>
        <b val="true"/>
        <sz val="12"/>
        <color rgb="FF1F3864"/>
        <rFont val="Arial"/>
        <family val="2"/>
        <charset val="1"/>
      </rPr>
      <t xml:space="preserve">30</t>
    </r>
  </si>
  <si>
    <r>
      <rPr>
        <b val="true"/>
        <sz val="16"/>
        <rFont val="Arial"/>
        <family val="2"/>
        <charset val="1"/>
      </rPr>
      <t xml:space="preserve">4</t>
    </r>
    <r>
      <rPr>
        <b val="true"/>
        <sz val="16"/>
        <rFont val="Noto Sans CJK SC"/>
        <family val="2"/>
        <charset val="1"/>
      </rPr>
      <t xml:space="preserve">キー同時レイヤー</t>
    </r>
  </si>
  <si>
    <t xml:space="preserve">シフトキー3つと文字キーの同時打鍵</t>
  </si>
  <si>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01</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</si>
  <si>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02</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</si>
  <si>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03</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</si>
  <si>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04</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</si>
  <si>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05</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</si>
  <si>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06</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</si>
  <si>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07</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</si>
  <si>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08</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</si>
  <si>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09</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</si>
  <si>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10</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</si>
  <si>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11</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</si>
  <si>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12</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</si>
  <si>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13</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</si>
  <si>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14</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</si>
  <si>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15</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</si>
  <si>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16</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</si>
  <si>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17</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</si>
  <si>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18</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</si>
  <si>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19</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</si>
  <si>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20</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</si>
  <si>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21</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</si>
  <si>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22</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</si>
  <si>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23</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</si>
  <si>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24</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</si>
  <si>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25</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</si>
  <si>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26</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</si>
  <si>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27</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</si>
  <si>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28</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</si>
  <si>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29</t>
    </r>
  </si>
  <si>
    <r>
      <rPr>
        <b val="true"/>
        <sz val="12"/>
        <color rgb="FF1F3864"/>
        <rFont val="Arial"/>
        <family val="2"/>
        <charset val="1"/>
      </rPr>
      <t xml:space="preserve">■ 4</t>
    </r>
    <r>
      <rPr>
        <b val="true"/>
        <sz val="12"/>
        <color rgb="FF1F3864"/>
        <rFont val="Noto Sans CJK SC"/>
        <family val="2"/>
        <charset val="1"/>
      </rPr>
      <t xml:space="preserve">キー同時レイヤー </t>
    </r>
    <r>
      <rPr>
        <b val="true"/>
        <sz val="12"/>
        <color rgb="FF1F3864"/>
        <rFont val="Arial"/>
        <family val="2"/>
        <charset val="1"/>
      </rPr>
      <t xml:space="preserve">30</t>
    </r>
  </si>
  <si>
    <t xml:space="preserve">個別指定（正データ）</t>
  </si>
  <si>
    <t xml:space="preserve">キー1〜4・打鍵タイプは、各レイヤーシートから自動で反映されます（青字）。手で直接入力すると、その行は手入力が優先されます。</t>
  </si>
  <si>
    <t xml:space="preserve">文字キー同士の同時打鍵（でぃ = t + l など）や連続打鍵は、ここに直接記入してください。</t>
  </si>
  <si>
    <t xml:space="preserve">かな</t>
  </si>
  <si>
    <t xml:space="preserve">グループ</t>
  </si>
  <si>
    <t xml:space="preserve">キー1</t>
  </si>
  <si>
    <t xml:space="preserve">キー2</t>
  </si>
  <si>
    <t xml:space="preserve">キー3</t>
  </si>
  <si>
    <t xml:space="preserve">キー4</t>
  </si>
  <si>
    <t xml:space="preserve">打鍵タイプ</t>
  </si>
  <si>
    <t xml:space="preserve">備考</t>
  </si>
  <si>
    <t xml:space="preserve">【例】でぃ</t>
  </si>
  <si>
    <t xml:space="preserve">外来音</t>
  </si>
  <si>
    <t xml:space="preserve">同時</t>
  </si>
  <si>
    <t xml:space="preserve">文字キー同士の同時打鍵（手入力）</t>
  </si>
  <si>
    <t xml:space="preserve">清音</t>
  </si>
  <si>
    <t xml:space="preserve">ゐ</t>
  </si>
  <si>
    <t xml:space="preserve">ゑ</t>
  </si>
  <si>
    <t xml:space="preserve">濁音・半濁音</t>
  </si>
  <si>
    <t xml:space="preserve">小書き</t>
  </si>
  <si>
    <t xml:space="preserve">拗音</t>
  </si>
  <si>
    <t xml:space="preserve">うぁ</t>
  </si>
  <si>
    <t xml:space="preserve">つぃ</t>
  </si>
  <si>
    <t xml:space="preserve">つぇ</t>
  </si>
  <si>
    <t xml:space="preserve">つぉ</t>
  </si>
  <si>
    <t xml:space="preserve">記号</t>
  </si>
  <si>
    <t xml:space="preserve">？</t>
  </si>
  <si>
    <t xml:space="preserve">シート</t>
  </si>
  <si>
    <t xml:space="preserve">レイヤー</t>
  </si>
  <si>
    <t xml:space="preserve">キーID</t>
  </si>
  <si>
    <t xml:space="preserve">シフト1</t>
  </si>
  <si>
    <t xml:space="preserve">シフト2</t>
  </si>
  <si>
    <t xml:space="preserve">シフト3</t>
  </si>
  <si>
    <t xml:space="preserve">個別指定に行があるか</t>
  </si>
  <si>
    <t xml:space="preserve">重複</t>
  </si>
  <si>
    <t xml:space="preserve">単打</t>
  </si>
  <si>
    <r>
      <rPr>
        <sz val="11"/>
        <color theme="1"/>
        <rFont val="Calibri"/>
        <family val="2"/>
        <charset val="1"/>
      </rPr>
      <t xml:space="preserve">2</t>
    </r>
    <r>
      <rPr>
        <sz val="11"/>
        <color theme="1"/>
        <rFont val="Noto Sans CJK SC"/>
        <family val="2"/>
        <charset val="1"/>
      </rPr>
      <t xml:space="preserve">キー同時</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</si>
  <si>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-01</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</si>
  <si>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-02</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</si>
  <si>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-03</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</si>
  <si>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-04</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</si>
  <si>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-05</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</si>
  <si>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-06</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</si>
  <si>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-07</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</si>
  <si>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-08</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</si>
  <si>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-09</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</si>
  <si>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-10</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</si>
  <si>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-11</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</si>
  <si>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-12</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</si>
  <si>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-13</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</si>
  <si>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-14</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</si>
  <si>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-15</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</si>
  <si>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-16</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</si>
  <si>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-17</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</si>
  <si>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-18</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</si>
  <si>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-19</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</si>
  <si>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-20</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</si>
  <si>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-21</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</si>
  <si>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-22</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</si>
  <si>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-23</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</si>
  <si>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-24</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</si>
  <si>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-25</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</si>
  <si>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-26</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</si>
  <si>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-27</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</si>
  <si>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-28</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</si>
  <si>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-29</t>
    </r>
  </si>
  <si>
    <r>
      <rPr>
        <sz val="11"/>
        <color theme="1"/>
        <rFont val="Calibri"/>
        <family val="2"/>
        <charset val="1"/>
      </rPr>
      <t xml:space="preserve">2</t>
    </r>
    <r>
      <rPr>
        <sz val="11"/>
        <color theme="1"/>
        <rFont val="Noto Sans CJK SC"/>
        <family val="2"/>
        <charset val="1"/>
      </rPr>
      <t xml:space="preserve">キー同時</t>
    </r>
    <r>
      <rPr>
        <sz val="11"/>
        <color theme="1"/>
        <rFont val="Calibri"/>
        <family val="2"/>
        <charset val="1"/>
      </rPr>
      <t xml:space="preserve">-30</t>
    </r>
  </si>
  <si>
    <r>
      <rPr>
        <sz val="11"/>
        <color theme="1"/>
        <rFont val="Calibri"/>
        <family val="2"/>
        <charset val="1"/>
      </rPr>
      <t xml:space="preserve">3</t>
    </r>
    <r>
      <rPr>
        <sz val="11"/>
        <color theme="1"/>
        <rFont val="Noto Sans CJK SC"/>
        <family val="2"/>
        <charset val="1"/>
      </rPr>
      <t xml:space="preserve">キー同時</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</si>
  <si>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-01</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</si>
  <si>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-02</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</si>
  <si>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-03</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</si>
  <si>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-04</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</si>
  <si>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-05</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</si>
  <si>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-06</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</si>
  <si>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-07</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</si>
  <si>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-08</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</si>
  <si>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-09</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</si>
  <si>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-10</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</si>
  <si>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-11</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</si>
  <si>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-12</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</si>
  <si>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-13</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</si>
  <si>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-14</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</si>
  <si>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-15</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</si>
  <si>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-16</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</si>
  <si>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-17</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</si>
  <si>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-18</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</si>
  <si>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-19</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</si>
  <si>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-20</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</si>
  <si>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-21</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</si>
  <si>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-22</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</si>
  <si>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-23</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</si>
  <si>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-24</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</si>
  <si>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-25</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</si>
  <si>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-26</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</si>
  <si>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-27</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</si>
  <si>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-28</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</si>
  <si>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-29</t>
    </r>
  </si>
  <si>
    <r>
      <rPr>
        <sz val="11"/>
        <color theme="1"/>
        <rFont val="Calibri"/>
        <family val="2"/>
        <charset val="1"/>
      </rPr>
      <t xml:space="preserve">3</t>
    </r>
    <r>
      <rPr>
        <sz val="11"/>
        <color theme="1"/>
        <rFont val="Noto Sans CJK SC"/>
        <family val="2"/>
        <charset val="1"/>
      </rPr>
      <t xml:space="preserve">キー同時</t>
    </r>
    <r>
      <rPr>
        <sz val="11"/>
        <color theme="1"/>
        <rFont val="Calibri"/>
        <family val="2"/>
        <charset val="1"/>
      </rPr>
      <t xml:space="preserve">-30</t>
    </r>
  </si>
  <si>
    <r>
      <rPr>
        <sz val="11"/>
        <color theme="1"/>
        <rFont val="Calibri"/>
        <family val="2"/>
        <charset val="1"/>
      </rPr>
      <t xml:space="preserve">4</t>
    </r>
    <r>
      <rPr>
        <sz val="11"/>
        <color theme="1"/>
        <rFont val="Noto Sans CJK SC"/>
        <family val="2"/>
        <charset val="1"/>
      </rPr>
      <t xml:space="preserve">キー同時</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</si>
  <si>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-01</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</si>
  <si>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-02</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</si>
  <si>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-03</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</si>
  <si>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-04</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</si>
  <si>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-05</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</si>
  <si>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-06</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</si>
  <si>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-07</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</si>
  <si>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-08</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</si>
  <si>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-09</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</si>
  <si>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-10</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</si>
  <si>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-11</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</si>
  <si>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-12</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</si>
  <si>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-13</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</si>
  <si>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-14</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</si>
  <si>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-15</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</si>
  <si>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-16</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</si>
  <si>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-17</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</si>
  <si>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-18</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</si>
  <si>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-19</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</si>
  <si>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-20</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</si>
  <si>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-21</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</si>
  <si>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-22</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</si>
  <si>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-23</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</si>
  <si>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-24</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</si>
  <si>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-25</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</si>
  <si>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-26</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</si>
  <si>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-27</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</si>
  <si>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-28</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</si>
  <si>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-29</t>
    </r>
  </si>
  <si>
    <r>
      <rPr>
        <sz val="11"/>
        <color theme="1"/>
        <rFont val="Calibri"/>
        <family val="2"/>
        <charset val="1"/>
      </rPr>
      <t xml:space="preserve">4</t>
    </r>
    <r>
      <rPr>
        <sz val="11"/>
        <color theme="1"/>
        <rFont val="Noto Sans CJK SC"/>
        <family val="2"/>
        <charset val="1"/>
      </rPr>
      <t xml:space="preserve">キー同時</t>
    </r>
    <r>
      <rPr>
        <sz val="11"/>
        <color theme="1"/>
        <rFont val="Calibri"/>
        <family val="2"/>
        <charset val="1"/>
      </rPr>
      <t xml:space="preserve">-30</t>
    </r>
  </si>
  <si>
    <t xml:space="preserve">記入方法</t>
  </si>
  <si>
    <r>
      <rPr>
        <b val="true"/>
        <sz val="11"/>
        <rFont val="Arial"/>
        <family val="2"/>
        <charset val="1"/>
      </rPr>
      <t xml:space="preserve">1. </t>
    </r>
    <r>
      <rPr>
        <b val="true"/>
        <sz val="11"/>
        <rFont val="Noto Sans CJK SC"/>
        <family val="2"/>
        <charset val="1"/>
      </rPr>
      <t xml:space="preserve">レイヤーシート</t>
    </r>
  </si>
  <si>
    <t xml:space="preserve">シフトなしで打ったときのかなを、キーの位置に記入します。</t>
  </si>
  <si>
    <r>
      <rPr>
        <sz val="11"/>
        <rFont val="Arial"/>
        <family val="2"/>
        <charset val="1"/>
      </rPr>
      <t xml:space="preserve">2</t>
    </r>
    <r>
      <rPr>
        <sz val="11"/>
        <rFont val="Noto Sans CJK SC"/>
        <family val="2"/>
        <charset val="1"/>
      </rPr>
      <t xml:space="preserve">キー同時</t>
    </r>
  </si>
  <si>
    <t xml:space="preserve">シフトキーを1つ指定し、それと同時に押したときのかなを記入。20面あります。</t>
  </si>
  <si>
    <r>
      <rPr>
        <sz val="11"/>
        <rFont val="Arial"/>
        <family val="2"/>
        <charset val="1"/>
      </rPr>
      <t xml:space="preserve">3</t>
    </r>
    <r>
      <rPr>
        <sz val="11"/>
        <rFont val="Noto Sans CJK SC"/>
        <family val="2"/>
        <charset val="1"/>
      </rPr>
      <t xml:space="preserve">キー同時</t>
    </r>
  </si>
  <si>
    <t xml:space="preserve">シフトキーを2つ指定。その2つ + 文字キーの3キー同時打鍵。20面。</t>
  </si>
  <si>
    <r>
      <rPr>
        <sz val="11"/>
        <rFont val="Arial"/>
        <family val="2"/>
        <charset val="1"/>
      </rPr>
      <t xml:space="preserve">4</t>
    </r>
    <r>
      <rPr>
        <sz val="11"/>
        <rFont val="Noto Sans CJK SC"/>
        <family val="2"/>
        <charset val="1"/>
      </rPr>
      <t xml:space="preserve">キー同時</t>
    </r>
  </si>
  <si>
    <t xml:space="preserve">シフトキーを3つ指定。その3つ + 文字キーの4キー同時打鍵。20面。</t>
  </si>
  <si>
    <t xml:space="preserve">使わないレイヤー</t>
  </si>
  <si>
    <t xml:space="preserve">シフトキー欄を空欄のままにしてください。無視されます。</t>
  </si>
  <si>
    <r>
      <rPr>
        <b val="true"/>
        <sz val="11"/>
        <rFont val="Arial"/>
        <family val="2"/>
        <charset val="1"/>
      </rPr>
      <t xml:space="preserve">2. </t>
    </r>
    <r>
      <rPr>
        <b val="true"/>
        <sz val="11"/>
        <rFont val="Noto Sans CJK SC"/>
        <family val="2"/>
        <charset val="1"/>
      </rPr>
      <t xml:space="preserve">個別指定シート（正データ）</t>
    </r>
  </si>
  <si>
    <t xml:space="preserve">自動反映</t>
  </si>
  <si>
    <t xml:space="preserve">レイヤーシートの内容が青字で自動的に入ります。数式です。</t>
  </si>
  <si>
    <t xml:space="preserve">手入力の優先</t>
  </si>
  <si>
    <t xml:space="preserve">青字のセルに直接入力すると、その行は手入力が優先されます。</t>
  </si>
  <si>
    <t xml:space="preserve">ここにしか書けないもの</t>
  </si>
  <si>
    <t xml:space="preserve">文字キー同士の同時打鍵（でぃ = t + l）と、連続打鍵（が = か → 濁点キー）。</t>
  </si>
  <si>
    <t xml:space="preserve">連続打鍵の書き方</t>
  </si>
  <si>
    <t xml:space="preserve">キー1・キー2… に順に打つキーを入れ、打鍵タイプを「連続」にします。</t>
  </si>
  <si>
    <r>
      <rPr>
        <b val="true"/>
        <sz val="11"/>
        <rFont val="Arial"/>
        <family val="2"/>
        <charset val="1"/>
      </rPr>
      <t xml:space="preserve">3. </t>
    </r>
    <r>
      <rPr>
        <b val="true"/>
        <sz val="11"/>
        <rFont val="Noto Sans CJK SC"/>
        <family val="2"/>
        <charset val="1"/>
      </rPr>
      <t xml:space="preserve">拗音・外来音について</t>
    </r>
  </si>
  <si>
    <t xml:space="preserve">分解して打つ配列</t>
  </si>
  <si>
    <t xml:space="preserve">「ゃ」にキーを割り当てれば「しゃ」は自動で2打鍵になります。記入不要です。</t>
  </si>
  <si>
    <r>
      <rPr>
        <sz val="11"/>
        <rFont val="Arial"/>
        <family val="2"/>
        <charset val="1"/>
      </rPr>
      <t xml:space="preserve">1</t>
    </r>
    <r>
      <rPr>
        <sz val="11"/>
        <rFont val="Noto Sans CJK SC"/>
        <family val="2"/>
        <charset val="1"/>
      </rPr>
      <t xml:space="preserve">打で打つ配列</t>
    </r>
  </si>
  <si>
    <t xml:space="preserve">該当レイヤーの位置か、個別指定シートに記入してください。</t>
  </si>
  <si>
    <r>
      <rPr>
        <b val="true"/>
        <sz val="11"/>
        <rFont val="Arial"/>
        <family val="2"/>
        <charset val="1"/>
      </rPr>
      <t xml:space="preserve">4. </t>
    </r>
    <r>
      <rPr>
        <b val="true"/>
        <sz val="11"/>
        <rFont val="Noto Sans CJK SC"/>
        <family val="2"/>
        <charset val="1"/>
      </rPr>
      <t xml:space="preserve">確認用の集計（単打シート右上）</t>
    </r>
  </si>
  <si>
    <t xml:space="preserve">レイヤーに記入され、個別指定へ反映された数。</t>
  </si>
  <si>
    <t xml:space="preserve">同じかなが複数のキーに割り当てられている数。0 が理想です。</t>
  </si>
  <si>
    <t xml:space="preserve">一覧にないかなを記入した場合。個別指定シートに行を追加してください。</t>
  </si>
  <si>
    <r>
      <rPr>
        <b val="true"/>
        <sz val="11"/>
        <rFont val="Arial"/>
        <family val="2"/>
        <charset val="1"/>
      </rPr>
      <t xml:space="preserve">5. </t>
    </r>
    <r>
      <rPr>
        <b val="true"/>
        <sz val="11"/>
        <rFont val="Noto Sans CJK SC"/>
        <family val="2"/>
        <charset val="1"/>
      </rPr>
      <t xml:space="preserve">親指キー</t>
    </r>
  </si>
  <si>
    <t xml:space="preserve">space / muhenkan / henkan / kana</t>
  </si>
  <si>
    <t xml:space="preserve">スペース / 無変換 / 変換 / かな</t>
  </si>
  <si>
    <t xml:space="preserve">lshift / rshift</t>
  </si>
  <si>
    <t xml:space="preserve">左右のシフトキー。記号入力などで使う場合に指定します。</t>
  </si>
  <si>
    <t xml:space="preserve">lthumb / rthumb</t>
  </si>
  <si>
    <t xml:space="preserve">自作キーボードの左右親指キー</t>
  </si>
  <si>
    <r>
      <rPr>
        <sz val="11"/>
        <rFont val="Arial"/>
        <family val="2"/>
        <charset val="1"/>
      </rPr>
      <t xml:space="preserve">space </t>
    </r>
    <r>
      <rPr>
        <sz val="11"/>
        <rFont val="Noto Sans CJK SC"/>
        <family val="2"/>
        <charset val="1"/>
      </rPr>
      <t xml:space="preserve">を押す親指</t>
    </r>
  </si>
  <si>
    <t xml:space="preserve">既定は「打鍵する手と逆の親指」。親指の移動距離は指と別に集計します。</t>
  </si>
  <si>
    <t xml:space="preserve">使用できるキーID（QWERTY 刻印での位置）</t>
  </si>
  <si>
    <t xml:space="preserve">親指キー</t>
  </si>
  <si>
    <t xml:space="preserve">sheet</t>
  </si>
  <si>
    <t xml:space="preserve">layer</t>
  </si>
  <si>
    <t xml:space="preserve">n_shift</t>
  </si>
  <si>
    <t xml:space="preserve">shift_cells</t>
  </si>
  <si>
    <t xml:space="preserve">key</t>
  </si>
  <si>
    <t xml:space="preserve">input_row</t>
  </si>
  <si>
    <t xml:space="preserve">col</t>
  </si>
  <si>
    <t xml:space="preserve">6:2</t>
  </si>
  <si>
    <t xml:space="preserve">19:2</t>
  </si>
  <si>
    <t xml:space="preserve">32:2</t>
  </si>
  <si>
    <t xml:space="preserve">45:2</t>
  </si>
  <si>
    <t xml:space="preserve">58:2</t>
  </si>
  <si>
    <t xml:space="preserve">71:2</t>
  </si>
  <si>
    <t xml:space="preserve">84:2</t>
  </si>
  <si>
    <t xml:space="preserve">97:2</t>
  </si>
  <si>
    <t xml:space="preserve">110:2</t>
  </si>
  <si>
    <t xml:space="preserve">123:2</t>
  </si>
  <si>
    <t xml:space="preserve">136:2</t>
  </si>
  <si>
    <t xml:space="preserve">149:2</t>
  </si>
  <si>
    <t xml:space="preserve">162:2</t>
  </si>
  <si>
    <t xml:space="preserve">175:2</t>
  </si>
  <si>
    <t xml:space="preserve">188:2</t>
  </si>
  <si>
    <t xml:space="preserve">201:2</t>
  </si>
  <si>
    <t xml:space="preserve">214:2</t>
  </si>
  <si>
    <t xml:space="preserve">227:2</t>
  </si>
  <si>
    <t xml:space="preserve">240:2</t>
  </si>
  <si>
    <t xml:space="preserve">253:2</t>
  </si>
  <si>
    <t xml:space="preserve">266:2</t>
  </si>
  <si>
    <t xml:space="preserve">279:2</t>
  </si>
  <si>
    <t xml:space="preserve">292:2</t>
  </si>
  <si>
    <t xml:space="preserve">305:2</t>
  </si>
  <si>
    <t xml:space="preserve">318:2</t>
  </si>
  <si>
    <t xml:space="preserve">331:2</t>
  </si>
  <si>
    <t xml:space="preserve">344:2</t>
  </si>
  <si>
    <t xml:space="preserve">357:2</t>
  </si>
  <si>
    <t xml:space="preserve">370:2</t>
  </si>
  <si>
    <t xml:space="preserve">383:2</t>
  </si>
  <si>
    <t xml:space="preserve">6:2;6:7</t>
  </si>
  <si>
    <t xml:space="preserve">19:2;19:7</t>
  </si>
  <si>
    <t xml:space="preserve">32:2;32:7</t>
  </si>
  <si>
    <t xml:space="preserve">45:2;45:7</t>
  </si>
  <si>
    <t xml:space="preserve">58:2;58:7</t>
  </si>
  <si>
    <t xml:space="preserve">71:2;71:7</t>
  </si>
  <si>
    <t xml:space="preserve">84:2;84:7</t>
  </si>
  <si>
    <t xml:space="preserve">97:2;97:7</t>
  </si>
  <si>
    <t xml:space="preserve">110:2;110:7</t>
  </si>
  <si>
    <t xml:space="preserve">123:2;123:7</t>
  </si>
  <si>
    <t xml:space="preserve">136:2;136:7</t>
  </si>
  <si>
    <t xml:space="preserve">149:2;149:7</t>
  </si>
  <si>
    <t xml:space="preserve">162:2;162:7</t>
  </si>
  <si>
    <t xml:space="preserve">175:2;175:7</t>
  </si>
  <si>
    <t xml:space="preserve">188:2;188:7</t>
  </si>
  <si>
    <t xml:space="preserve">201:2;201:7</t>
  </si>
  <si>
    <t xml:space="preserve">214:2;214:7</t>
  </si>
  <si>
    <t xml:space="preserve">227:2;227:7</t>
  </si>
  <si>
    <t xml:space="preserve">240:2;240:7</t>
  </si>
  <si>
    <t xml:space="preserve">253:2;253:7</t>
  </si>
  <si>
    <t xml:space="preserve">266:2;266:7</t>
  </si>
  <si>
    <t xml:space="preserve">279:2;279:7</t>
  </si>
  <si>
    <t xml:space="preserve">292:2;292:7</t>
  </si>
  <si>
    <t xml:space="preserve">305:2;305:7</t>
  </si>
  <si>
    <t xml:space="preserve">318:2;318:7</t>
  </si>
  <si>
    <t xml:space="preserve">331:2;331:7</t>
  </si>
  <si>
    <t xml:space="preserve">344:2;344:7</t>
  </si>
  <si>
    <t xml:space="preserve">357:2;357:7</t>
  </si>
  <si>
    <t xml:space="preserve">370:2;370:7</t>
  </si>
  <si>
    <t xml:space="preserve">383:2;383:7</t>
  </si>
  <si>
    <t xml:space="preserve">6:2;6:7;6:12</t>
  </si>
  <si>
    <t xml:space="preserve">19:2;19:7;19:12</t>
  </si>
  <si>
    <t xml:space="preserve">32:2;32:7;32:12</t>
  </si>
  <si>
    <t xml:space="preserve">45:2;45:7;45:12</t>
  </si>
  <si>
    <t xml:space="preserve">58:2;58:7;58:12</t>
  </si>
  <si>
    <t xml:space="preserve">71:2;71:7;71:12</t>
  </si>
  <si>
    <t xml:space="preserve">84:2;84:7;84:12</t>
  </si>
  <si>
    <t xml:space="preserve">97:2;97:7;97:12</t>
  </si>
  <si>
    <t xml:space="preserve">110:2;110:7;110:12</t>
  </si>
  <si>
    <t xml:space="preserve">123:2;123:7;123:12</t>
  </si>
  <si>
    <t xml:space="preserve">136:2;136:7;136:12</t>
  </si>
  <si>
    <t xml:space="preserve">149:2;149:7;149:12</t>
  </si>
  <si>
    <t xml:space="preserve">162:2;162:7;162:12</t>
  </si>
  <si>
    <t xml:space="preserve">175:2;175:7;175:12</t>
  </si>
  <si>
    <t xml:space="preserve">188:2;188:7;188:12</t>
  </si>
  <si>
    <t xml:space="preserve">201:2;201:7;201:12</t>
  </si>
  <si>
    <t xml:space="preserve">214:2;214:7;214:12</t>
  </si>
  <si>
    <t xml:space="preserve">227:2;227:7;227:12</t>
  </si>
  <si>
    <t xml:space="preserve">240:2;240:7;240:12</t>
  </si>
  <si>
    <t xml:space="preserve">253:2;253:7;253:12</t>
  </si>
  <si>
    <t xml:space="preserve">266:2;266:7;266:12</t>
  </si>
  <si>
    <t xml:space="preserve">279:2;279:7;279:12</t>
  </si>
  <si>
    <t xml:space="preserve">292:2;292:7;292:12</t>
  </si>
  <si>
    <t xml:space="preserve">305:2;305:7;305:12</t>
  </si>
  <si>
    <t xml:space="preserve">318:2;318:7;318:12</t>
  </si>
  <si>
    <t xml:space="preserve">331:2;331:7;331:12</t>
  </si>
  <si>
    <t xml:space="preserve">344:2;344:7;344:12</t>
  </si>
  <si>
    <t xml:space="preserve">357:2;357:7;357:12</t>
  </si>
  <si>
    <t xml:space="preserve">370:2;370:7;370:12</t>
  </si>
  <si>
    <t xml:space="preserve">383:2;383:7;383:12</t>
  </si>
</sst>
</file>

<file path=xl/styles.xml><?xml version="1.0" encoding="utf-8"?>
<styleSheet xmlns="http://schemas.openxmlformats.org/spreadsheetml/2006/main">
  <numFmts count="1">
    <numFmt numFmtId="164" formatCode="General"/>
  </numFmts>
  <fonts count="28">
    <font>
      <sz val="11"/>
      <color theme="1"/>
      <name val="Calibri"/>
      <family val="2"/>
      <charset val="1"/>
    </font>
    <font>
      <sz val="10"/>
      <name val="Arial"/>
      <family val="0"/>
    </font>
    <font>
      <sz val="10"/>
      <name val="Arial"/>
      <family val="0"/>
    </font>
    <font>
      <sz val="10"/>
      <name val="Arial"/>
      <family val="0"/>
    </font>
    <font>
      <sz val="11"/>
      <name val="Arial"/>
      <family val="0"/>
      <charset val="1"/>
    </font>
    <font>
      <b val="true"/>
      <sz val="16"/>
      <name val="Noto Sans CJK SC"/>
      <family val="2"/>
      <charset val="1"/>
    </font>
    <font>
      <sz val="10"/>
      <color rgb="FF666666"/>
      <name val="Noto Sans CJK SC"/>
      <family val="2"/>
      <charset val="1"/>
    </font>
    <font>
      <sz val="9"/>
      <color rgb="FF666666"/>
      <name val="Noto Sans CJK SC"/>
      <family val="2"/>
      <charset val="1"/>
    </font>
    <font>
      <b val="true"/>
      <sz val="11"/>
      <name val="Noto Sans CJK SC"/>
      <family val="2"/>
      <charset val="1"/>
    </font>
    <font>
      <sz val="11"/>
      <name val="Noto Sans CJK SC"/>
      <family val="2"/>
      <charset val="1"/>
    </font>
    <font>
      <b val="true"/>
      <sz val="10"/>
      <name val="Noto Sans CJK SC"/>
      <family val="2"/>
      <charset val="1"/>
    </font>
    <font>
      <b val="true"/>
      <sz val="12"/>
      <color rgb="FF1F3864"/>
      <name val="Noto Sans CJK SC"/>
      <family val="2"/>
      <charset val="1"/>
    </font>
    <font>
      <sz val="8"/>
      <color rgb="FF808080"/>
      <name val="Arial"/>
      <family val="2"/>
      <charset val="1"/>
    </font>
    <font>
      <sz val="12"/>
      <name val="Arial"/>
      <family val="2"/>
      <charset val="1"/>
    </font>
    <font>
      <sz val="12"/>
      <name val="Noto Sans CJK SC"/>
      <family val="2"/>
      <charset val="1"/>
    </font>
    <font>
      <b val="true"/>
      <sz val="16"/>
      <name val="Arial"/>
      <family val="2"/>
      <charset val="1"/>
    </font>
    <font>
      <b val="true"/>
      <sz val="12"/>
      <color rgb="FF1F3864"/>
      <name val="Arial"/>
      <family val="2"/>
      <charset val="1"/>
    </font>
    <font>
      <b val="true"/>
      <sz val="11"/>
      <name val="Arial"/>
      <family val="2"/>
      <charset val="1"/>
    </font>
    <font>
      <sz val="12"/>
      <name val="Noto Sans CJK SC"/>
      <family val="2"/>
    </font>
    <font>
      <b val="true"/>
      <sz val="14"/>
      <name val="Noto Sans CJK SC"/>
      <family val="2"/>
      <charset val="1"/>
    </font>
    <font>
      <b val="true"/>
      <sz val="11"/>
      <color rgb="FFFFFFFF"/>
      <name val="Noto Sans CJK SC"/>
      <family val="2"/>
      <charset val="1"/>
    </font>
    <font>
      <i val="true"/>
      <sz val="11"/>
      <color rgb="FF808080"/>
      <name val="Noto Sans CJK SC"/>
      <family val="2"/>
      <charset val="1"/>
    </font>
    <font>
      <i val="true"/>
      <sz val="11"/>
      <color rgb="FF808080"/>
      <name val="Arial"/>
      <family val="2"/>
      <charset val="1"/>
    </font>
    <font>
      <sz val="11"/>
      <color rgb="FF0070C0"/>
      <name val="Arial"/>
      <family val="2"/>
      <charset val="1"/>
    </font>
    <font>
      <sz val="11"/>
      <color theme="1"/>
      <name val="Noto Sans CJK SC"/>
      <family val="2"/>
      <charset val="1"/>
    </font>
    <font>
      <b val="true"/>
      <sz val="12"/>
      <name val="Noto Sans CJK SC"/>
      <family val="2"/>
      <charset val="1"/>
    </font>
    <font>
      <sz val="11"/>
      <name val="Arial"/>
      <family val="2"/>
      <charset val="1"/>
    </font>
    <font>
      <b val="true"/>
      <sz val="13"/>
      <name val="Noto Sans CJK SC"/>
      <family val="2"/>
      <charset val="1"/>
    </font>
  </fonts>
  <fills count="9">
    <fill>
      <patternFill patternType="none"/>
    </fill>
    <fill>
      <patternFill patternType="gray125"/>
    </fill>
    <fill>
      <patternFill patternType="solid">
        <fgColor rgb="FFFFFFCC"/>
        <bgColor rgb="FFFFFFFF"/>
      </patternFill>
    </fill>
    <fill>
      <patternFill patternType="solid">
        <fgColor rgb="FFDDEBF7"/>
        <bgColor rgb="FFD9E2F3"/>
      </patternFill>
    </fill>
    <fill>
      <patternFill patternType="solid">
        <fgColor rgb="FFE7E6E6"/>
        <bgColor rgb="FFDDEBF7"/>
      </patternFill>
    </fill>
    <fill>
      <patternFill patternType="solid">
        <fgColor rgb="FFFCE4D6"/>
        <bgColor rgb="FFE7E6E6"/>
      </patternFill>
    </fill>
    <fill>
      <patternFill patternType="solid">
        <fgColor rgb="FF1F3864"/>
        <bgColor rgb="FF333333"/>
      </patternFill>
    </fill>
    <fill>
      <patternFill patternType="solid">
        <fgColor rgb="FFF2F2F2"/>
        <bgColor rgb="FFE7E6E6"/>
      </patternFill>
    </fill>
    <fill>
      <patternFill patternType="solid">
        <fgColor rgb="FFD9E2F3"/>
        <bgColor rgb="FFDDEBF7"/>
      </patternFill>
    </fill>
  </fills>
  <borders count="4">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medium">
        <color rgb="FF808080"/>
      </left>
      <right/>
      <top style="medium">
        <color rgb="FF808080"/>
      </top>
      <bottom style="medium">
        <color rgb="FF808080"/>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center" vertical="bottom" textRotation="0" wrapText="false" indent="0" shrinkToFit="false"/>
      <protection locked="true" hidden="false"/>
    </xf>
    <xf numFmtId="164" fontId="13" fillId="2" borderId="2" xfId="0" applyFont="true" applyBorder="true" applyAlignment="true" applyProtection="false">
      <alignment horizontal="center" vertical="center" textRotation="0" wrapText="false" indent="0" shrinkToFit="false"/>
      <protection locked="true" hidden="false"/>
    </xf>
    <xf numFmtId="164" fontId="14" fillId="2" borderId="2"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3" borderId="0" xfId="0" applyFont="true" applyBorder="true" applyAlignment="true" applyProtection="false">
      <alignment horizontal="general" vertical="bottom" textRotation="0" wrapText="false" indent="0" shrinkToFit="false"/>
      <protection locked="true" hidden="false"/>
    </xf>
    <xf numFmtId="164" fontId="17" fillId="5" borderId="2" xfId="0" applyFont="true" applyBorder="true" applyAlignment="true" applyProtection="false">
      <alignment horizontal="center" vertical="bottom" textRotation="0" wrapText="false" indent="0" shrinkToFit="false"/>
      <protection locked="true" hidden="false"/>
    </xf>
    <xf numFmtId="164" fontId="18" fillId="2" borderId="2"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6" borderId="3" xfId="0" applyFont="true" applyBorder="true" applyAlignment="true" applyProtection="false">
      <alignment horizontal="center" vertical="center" textRotation="0" wrapText="false" indent="0" shrinkToFit="false"/>
      <protection locked="true" hidden="false"/>
    </xf>
    <xf numFmtId="164" fontId="21" fillId="0" borderId="3" xfId="0" applyFont="true" applyBorder="true" applyAlignment="true" applyProtection="false">
      <alignment horizontal="general" vertical="bottom" textRotation="0" wrapText="false" indent="0" shrinkToFit="false"/>
      <protection locked="true" hidden="false"/>
    </xf>
    <xf numFmtId="164" fontId="22" fillId="0" borderId="3" xfId="0" applyFont="true" applyBorder="true" applyAlignment="true" applyProtection="false">
      <alignment horizontal="general" vertical="bottom" textRotation="0" wrapText="false" indent="0" shrinkToFit="false"/>
      <protection locked="true" hidden="false"/>
    </xf>
    <xf numFmtId="164" fontId="9" fillId="7" borderId="3" xfId="0" applyFont="true" applyBorder="true" applyAlignment="true" applyProtection="false">
      <alignment horizontal="center" vertical="bottom" textRotation="0" wrapText="false" indent="0" shrinkToFit="false"/>
      <protection locked="true" hidden="false"/>
    </xf>
    <xf numFmtId="164" fontId="7" fillId="8" borderId="3" xfId="0" applyFont="true" applyBorder="true" applyAlignment="true" applyProtection="false">
      <alignment horizontal="general" vertical="bottom" textRotation="0" wrapText="false" indent="0" shrinkToFit="false"/>
      <protection locked="true" hidden="false"/>
    </xf>
    <xf numFmtId="164" fontId="23" fillId="2" borderId="3" xfId="0" applyFont="true" applyBorder="true" applyAlignment="true" applyProtection="false">
      <alignment horizontal="center" vertical="bottom" textRotation="0" wrapText="false" indent="0" shrinkToFit="false"/>
      <protection locked="true" hidden="false"/>
    </xf>
    <xf numFmtId="164" fontId="4" fillId="2" borderId="3"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center"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70C0"/>
      <rgbColor rgb="FFD9E2F3"/>
      <rgbColor rgb="FF000080"/>
      <rgbColor rgb="FFFF00FF"/>
      <rgbColor rgb="FFFFFF00"/>
      <rgbColor rgb="FF00FFFF"/>
      <rgbColor rgb="FF800080"/>
      <rgbColor rgb="FF800000"/>
      <rgbColor rgb="FF008080"/>
      <rgbColor rgb="FF0000FF"/>
      <rgbColor rgb="FF00CCFF"/>
      <rgbColor rgb="FFF2F2F2"/>
      <rgbColor rgb="FFE7E6E6"/>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sheetData>
    <row r="1" customFormat="false" ht="15" hidden="false" customHeight="true" outlineLevel="0" collapsed="false">
      <c r="A1" s="1" t="s">
        <v>0</v>
      </c>
    </row>
    <row r="2" customFormat="false" ht="15" hidden="false" customHeight="true" outlineLevel="0" collapsed="false">
      <c r="A2" s="1" t="s">
        <v>1</v>
      </c>
    </row>
    <row r="3" customFormat="false" ht="15" hidden="false" customHeight="true" outlineLevel="0" collapsed="false">
      <c r="A3" s="1" t="s">
        <v>2</v>
      </c>
    </row>
    <row r="4" customFormat="false" ht="15" hidden="false" customHeight="true" outlineLevel="0" collapsed="false">
      <c r="A4" s="1" t="s">
        <v>3</v>
      </c>
    </row>
    <row r="5" customFormat="false" ht="15" hidden="false" customHeight="true" outlineLevel="0" collapsed="false">
      <c r="A5" s="1" t="s">
        <v>4</v>
      </c>
    </row>
    <row r="6" customFormat="false" ht="15" hidden="false" customHeight="true" outlineLevel="0" collapsed="false">
      <c r="A6" s="1" t="s">
        <v>5</v>
      </c>
    </row>
    <row r="7" customFormat="false" ht="15" hidden="false" customHeight="true" outlineLevel="0" collapsed="false">
      <c r="A7" s="1" t="s">
        <v>6</v>
      </c>
    </row>
    <row r="8" customFormat="false" ht="15" hidden="false" customHeight="true" outlineLevel="0" collapsed="false">
      <c r="A8" s="1" t="s">
        <v>7</v>
      </c>
    </row>
    <row r="9" customFormat="false" ht="15" hidden="false" customHeight="true" outlineLevel="0" collapsed="false">
      <c r="A9" s="1" t="s">
        <v>8</v>
      </c>
    </row>
    <row r="10" customFormat="false" ht="15" hidden="false" customHeight="true" outlineLevel="0" collapsed="false">
      <c r="A10" s="1" t="s">
        <v>9</v>
      </c>
    </row>
    <row r="11" customFormat="false" ht="15" hidden="false" customHeight="true" outlineLevel="0" collapsed="false">
      <c r="A11" s="1" t="s">
        <v>10</v>
      </c>
    </row>
    <row r="12" customFormat="false" ht="15" hidden="false" customHeight="true" outlineLevel="0" collapsed="false">
      <c r="A12" s="1" t="s">
        <v>11</v>
      </c>
    </row>
    <row r="13" customFormat="false" ht="15" hidden="false" customHeight="true" outlineLevel="0" collapsed="false">
      <c r="A13" s="1" t="s">
        <v>12</v>
      </c>
    </row>
    <row r="14" customFormat="false" ht="15" hidden="false" customHeight="true" outlineLevel="0" collapsed="false">
      <c r="A14" s="1" t="s">
        <v>13</v>
      </c>
    </row>
    <row r="15" customFormat="false" ht="15" hidden="false" customHeight="true" outlineLevel="0" collapsed="false">
      <c r="A15" s="1" t="s">
        <v>14</v>
      </c>
    </row>
    <row r="16" customFormat="false" ht="15" hidden="false" customHeight="true" outlineLevel="0" collapsed="false">
      <c r="A16" s="1" t="s">
        <v>15</v>
      </c>
    </row>
    <row r="17" customFormat="false" ht="15" hidden="false" customHeight="true" outlineLevel="0" collapsed="false">
      <c r="A17" s="1" t="s">
        <v>16</v>
      </c>
    </row>
    <row r="18" customFormat="false" ht="15" hidden="false" customHeight="true" outlineLevel="0" collapsed="false">
      <c r="A18" s="1" t="s">
        <v>17</v>
      </c>
    </row>
    <row r="19" customFormat="false" ht="15" hidden="false" customHeight="true" outlineLevel="0" collapsed="false">
      <c r="A19" s="1" t="s">
        <v>18</v>
      </c>
    </row>
    <row r="20" customFormat="false" ht="15" hidden="false" customHeight="true" outlineLevel="0" collapsed="false">
      <c r="A20" s="1" t="s">
        <v>19</v>
      </c>
    </row>
    <row r="21" customFormat="false" ht="15" hidden="false" customHeight="true" outlineLevel="0" collapsed="false">
      <c r="A21" s="1" t="s">
        <v>20</v>
      </c>
    </row>
    <row r="22" customFormat="false" ht="15" hidden="false" customHeight="true" outlineLevel="0" collapsed="false">
      <c r="A22" s="1" t="s">
        <v>21</v>
      </c>
    </row>
    <row r="23" customFormat="false" ht="15" hidden="false" customHeight="true" outlineLevel="0" collapsed="false">
      <c r="A23" s="1" t="s">
        <v>22</v>
      </c>
    </row>
    <row r="24" customFormat="false" ht="15" hidden="false" customHeight="true" outlineLevel="0" collapsed="false">
      <c r="A24" s="1" t="s">
        <v>23</v>
      </c>
    </row>
    <row r="25" customFormat="false" ht="15" hidden="false" customHeight="true" outlineLevel="0" collapsed="false">
      <c r="A25" s="1" t="s">
        <v>24</v>
      </c>
    </row>
    <row r="26" customFormat="false" ht="15" hidden="false" customHeight="true" outlineLevel="0" collapsed="false">
      <c r="A26" s="1" t="s">
        <v>25</v>
      </c>
    </row>
    <row r="27" customFormat="false" ht="15" hidden="false" customHeight="true" outlineLevel="0" collapsed="false">
      <c r="A27" s="1" t="s">
        <v>26</v>
      </c>
    </row>
    <row r="28" customFormat="false" ht="15" hidden="false" customHeight="true" outlineLevel="0" collapsed="false">
      <c r="A28" s="1" t="s">
        <v>27</v>
      </c>
    </row>
    <row r="29" customFormat="false" ht="15" hidden="false" customHeight="true" outlineLevel="0" collapsed="false">
      <c r="A29" s="1" t="s">
        <v>28</v>
      </c>
    </row>
    <row r="30" customFormat="false" ht="15" hidden="false" customHeight="true" outlineLevel="0" collapsed="false">
      <c r="A30" s="1" t="s">
        <v>29</v>
      </c>
    </row>
    <row r="31" customFormat="false" ht="15" hidden="false" customHeight="true" outlineLevel="0" collapsed="false">
      <c r="A31" s="1" t="s">
        <v>30</v>
      </c>
    </row>
    <row r="32" customFormat="false" ht="15" hidden="false" customHeight="true" outlineLevel="0" collapsed="false">
      <c r="A32" s="1" t="s">
        <v>31</v>
      </c>
    </row>
    <row r="33" customFormat="false" ht="15" hidden="false" customHeight="true" outlineLevel="0" collapsed="false">
      <c r="A33" s="1" t="s">
        <v>32</v>
      </c>
    </row>
    <row r="34" customFormat="false" ht="15" hidden="false" customHeight="true" outlineLevel="0" collapsed="false">
      <c r="A34" s="1" t="s">
        <v>33</v>
      </c>
    </row>
    <row r="35" customFormat="false" ht="15" hidden="false" customHeight="true" outlineLevel="0" collapsed="false">
      <c r="A35" s="1" t="s">
        <v>34</v>
      </c>
    </row>
    <row r="36" customFormat="false" ht="15" hidden="false" customHeight="true" outlineLevel="0" collapsed="false">
      <c r="A36" s="1" t="s">
        <v>35</v>
      </c>
    </row>
    <row r="37" customFormat="false" ht="15" hidden="false" customHeight="true" outlineLevel="0" collapsed="false">
      <c r="A37" s="1" t="s">
        <v>36</v>
      </c>
    </row>
    <row r="38" customFormat="false" ht="15" hidden="false" customHeight="true" outlineLevel="0" collapsed="false">
      <c r="A38" s="1" t="s">
        <v>37</v>
      </c>
    </row>
    <row r="39" customFormat="false" ht="15" hidden="false" customHeight="true" outlineLevel="0" collapsed="false">
      <c r="A39" s="1" t="s">
        <v>38</v>
      </c>
    </row>
    <row r="40" customFormat="false" ht="15" hidden="false" customHeight="true" outlineLevel="0" collapsed="false">
      <c r="A40" s="1" t="s">
        <v>39</v>
      </c>
    </row>
    <row r="41" customFormat="false" ht="15" hidden="false" customHeight="true" outlineLevel="0" collapsed="false">
      <c r="A41" s="1" t="s">
        <v>40</v>
      </c>
    </row>
    <row r="42" customFormat="false" ht="15" hidden="false" customHeight="true" outlineLevel="0" collapsed="false">
      <c r="A42" s="1" t="s">
        <v>41</v>
      </c>
    </row>
    <row r="43" customFormat="false" ht="15" hidden="false" customHeight="true" outlineLevel="0" collapsed="false">
      <c r="A43" s="1" t="s">
        <v>42</v>
      </c>
    </row>
    <row r="44" customFormat="false" ht="15" hidden="false" customHeight="true" outlineLevel="0" collapsed="false">
      <c r="A44" s="1" t="s">
        <v>43</v>
      </c>
    </row>
    <row r="45" customFormat="false" ht="15" hidden="false" customHeight="true" outlineLevel="0" collapsed="false">
      <c r="A45" s="1" t="s">
        <v>44</v>
      </c>
    </row>
    <row r="46" customFormat="false" ht="15" hidden="false" customHeight="true" outlineLevel="0" collapsed="false">
      <c r="A46" s="1" t="s">
        <v>45</v>
      </c>
    </row>
    <row r="47" customFormat="false" ht="15" hidden="false" customHeight="true" outlineLevel="0" collapsed="false">
      <c r="A47" s="1" t="s">
        <v>46</v>
      </c>
    </row>
    <row r="48" customFormat="false" ht="15" hidden="false" customHeight="true" outlineLevel="0" collapsed="false">
      <c r="A48" s="1" t="s">
        <v>47</v>
      </c>
    </row>
    <row r="49" customFormat="false" ht="15" hidden="false" customHeight="true" outlineLevel="0" collapsed="false">
      <c r="A49" s="1" t="s">
        <v>48</v>
      </c>
    </row>
    <row r="50" customFormat="false" ht="15" hidden="false" customHeight="true" outlineLevel="0" collapsed="false">
      <c r="A50" s="1" t="s">
        <v>49</v>
      </c>
    </row>
    <row r="51" customFormat="false" ht="15" hidden="false" customHeight="true" outlineLevel="0" collapsed="false">
      <c r="A51" s="1" t="s">
        <v>50</v>
      </c>
    </row>
    <row r="52" customFormat="false" ht="15" hidden="false" customHeight="true" outlineLevel="0" collapsed="false">
      <c r="A52" s="1" t="s">
        <v>51</v>
      </c>
    </row>
    <row r="53" customFormat="false" ht="15" hidden="false" customHeight="true" outlineLevel="0" collapsed="false">
      <c r="A53" s="1"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2" width="11"/>
    <col collapsed="false" customWidth="true" hidden="false" outlineLevel="0" max="55" min="2" style="2" width="3"/>
  </cols>
  <sheetData>
    <row r="1" customFormat="false" ht="19.5" hidden="false" customHeight="true" outlineLevel="0" collapsed="false">
      <c r="A1" s="3" t="s">
        <v>53</v>
      </c>
    </row>
    <row r="2" customFormat="false" ht="15" hidden="false" customHeight="true" outlineLevel="0" collapsed="false">
      <c r="A2" s="4" t="s">
        <v>54</v>
      </c>
    </row>
    <row r="3" customFormat="false" ht="15" hidden="false" customHeight="true" outlineLevel="0" collapsed="false">
      <c r="A3" s="5" t="s">
        <v>55</v>
      </c>
    </row>
    <row r="5" customFormat="false" ht="15" hidden="false" customHeight="true" outlineLevel="0" collapsed="false">
      <c r="A5" s="6" t="s">
        <v>56</v>
      </c>
      <c r="B5" s="7" t="s">
        <v>57</v>
      </c>
      <c r="C5" s="7"/>
      <c r="D5" s="7"/>
      <c r="E5" s="7"/>
      <c r="F5" s="7"/>
      <c r="G5" s="7"/>
      <c r="H5" s="7"/>
      <c r="I5" s="7"/>
      <c r="J5" s="7"/>
      <c r="K5" s="7"/>
      <c r="L5" s="7"/>
      <c r="M5" s="7"/>
      <c r="R5" s="8" t="s">
        <v>58</v>
      </c>
      <c r="Z5" s="6" t="n">
        <f aca="false">SUMPRODUCT((_対応表!$G$2:$G$4460&lt;&gt;"")*1)</f>
        <v>155</v>
      </c>
    </row>
    <row r="6" customFormat="false" ht="15" hidden="false" customHeight="true" outlineLevel="0" collapsed="false">
      <c r="A6" s="6" t="s">
        <v>59</v>
      </c>
      <c r="B6" s="7"/>
      <c r="C6" s="7"/>
      <c r="D6" s="7"/>
      <c r="E6" s="7"/>
      <c r="F6" s="7"/>
      <c r="G6" s="7"/>
      <c r="H6" s="7"/>
      <c r="I6" s="7"/>
      <c r="J6" s="7"/>
      <c r="K6" s="7"/>
      <c r="L6" s="7"/>
      <c r="M6" s="7"/>
      <c r="R6" s="8" t="s">
        <v>60</v>
      </c>
      <c r="Z6" s="6" t="n">
        <f aca="false">COUNTIF(_対応表!$N$2:$N$4460,"重複")</f>
        <v>0</v>
      </c>
    </row>
    <row r="7" customFormat="false" ht="15" hidden="false" customHeight="true" outlineLevel="0" collapsed="false">
      <c r="R7" s="8" t="s">
        <v>61</v>
      </c>
      <c r="Z7" s="6" t="n">
        <f aca="false">COUNTIF(_対応表!$M$2:$M$4460,"行なし")</f>
        <v>0</v>
      </c>
    </row>
    <row r="8" customFormat="false" ht="15" hidden="false" customHeight="true" outlineLevel="0" collapsed="false">
      <c r="R8" s="8" t="s">
        <v>62</v>
      </c>
      <c r="Z8" s="6" t="n">
        <f aca="false">SUMPRODUCT((_対応表!$B$2:$B$4460&lt;&gt;"")*(_対応表!$G$2:$G$4460&lt;&gt;""))</f>
        <v>155</v>
      </c>
    </row>
    <row r="9" customFormat="false" ht="15" hidden="false" customHeight="true" outlineLevel="0" collapsed="false">
      <c r="A9" s="9" t="s">
        <v>63</v>
      </c>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row>
    <row r="10" customFormat="false" ht="12" hidden="false" customHeight="true" outlineLevel="0" collapsed="false">
      <c r="A10" s="5" t="s">
        <v>64</v>
      </c>
      <c r="F10" s="10" t="s">
        <v>0</v>
      </c>
      <c r="G10" s="10"/>
      <c r="H10" s="10"/>
      <c r="I10" s="10"/>
      <c r="J10" s="10" t="s">
        <v>1</v>
      </c>
      <c r="K10" s="10"/>
      <c r="L10" s="10"/>
      <c r="M10" s="10"/>
      <c r="N10" s="10" t="s">
        <v>2</v>
      </c>
      <c r="O10" s="10"/>
      <c r="P10" s="10"/>
      <c r="Q10" s="10"/>
      <c r="R10" s="10" t="s">
        <v>3</v>
      </c>
      <c r="S10" s="10"/>
      <c r="T10" s="10"/>
      <c r="U10" s="10"/>
      <c r="V10" s="10" t="s">
        <v>4</v>
      </c>
      <c r="W10" s="10"/>
      <c r="X10" s="10"/>
      <c r="Y10" s="10"/>
      <c r="Z10" s="10" t="s">
        <v>5</v>
      </c>
      <c r="AA10" s="10"/>
      <c r="AB10" s="10"/>
      <c r="AC10" s="10"/>
      <c r="AD10" s="10" t="s">
        <v>6</v>
      </c>
      <c r="AE10" s="10"/>
      <c r="AF10" s="10"/>
      <c r="AG10" s="10"/>
      <c r="AH10" s="10" t="s">
        <v>7</v>
      </c>
      <c r="AI10" s="10"/>
      <c r="AJ10" s="10"/>
      <c r="AK10" s="10"/>
      <c r="AL10" s="10" t="s">
        <v>8</v>
      </c>
      <c r="AM10" s="10"/>
      <c r="AN10" s="10"/>
      <c r="AO10" s="10"/>
      <c r="AP10" s="10" t="s">
        <v>9</v>
      </c>
      <c r="AQ10" s="10"/>
      <c r="AR10" s="10"/>
      <c r="AS10" s="10"/>
      <c r="AT10" s="10" t="s">
        <v>10</v>
      </c>
      <c r="AU10" s="10"/>
      <c r="AV10" s="10"/>
      <c r="AW10" s="10"/>
      <c r="AX10" s="10" t="s">
        <v>11</v>
      </c>
      <c r="AY10" s="10"/>
      <c r="AZ10" s="10"/>
      <c r="BA10" s="10"/>
    </row>
    <row r="11" customFormat="false" ht="21.75" hidden="false" customHeight="true" outlineLevel="0" collapsed="false">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customFormat="false" ht="12" hidden="false" customHeight="true" outlineLevel="0" collapsed="false">
      <c r="A12" s="5" t="s">
        <v>65</v>
      </c>
      <c r="H12" s="10" t="s">
        <v>66</v>
      </c>
      <c r="I12" s="10"/>
      <c r="J12" s="10"/>
      <c r="K12" s="10"/>
      <c r="L12" s="10" t="s">
        <v>67</v>
      </c>
      <c r="M12" s="10"/>
      <c r="N12" s="10"/>
      <c r="O12" s="10"/>
      <c r="P12" s="10" t="s">
        <v>68</v>
      </c>
      <c r="Q12" s="10"/>
      <c r="R12" s="10"/>
      <c r="S12" s="10"/>
      <c r="T12" s="10" t="s">
        <v>69</v>
      </c>
      <c r="U12" s="10"/>
      <c r="V12" s="10"/>
      <c r="W12" s="10"/>
      <c r="X12" s="10" t="s">
        <v>70</v>
      </c>
      <c r="Y12" s="10"/>
      <c r="Z12" s="10"/>
      <c r="AA12" s="10"/>
      <c r="AB12" s="10" t="s">
        <v>71</v>
      </c>
      <c r="AC12" s="10"/>
      <c r="AD12" s="10"/>
      <c r="AE12" s="10"/>
      <c r="AF12" s="10" t="s">
        <v>72</v>
      </c>
      <c r="AG12" s="10"/>
      <c r="AH12" s="10"/>
      <c r="AI12" s="10"/>
      <c r="AJ12" s="10" t="s">
        <v>73</v>
      </c>
      <c r="AK12" s="10"/>
      <c r="AL12" s="10"/>
      <c r="AM12" s="10"/>
      <c r="AN12" s="10" t="s">
        <v>74</v>
      </c>
      <c r="AO12" s="10"/>
      <c r="AP12" s="10"/>
      <c r="AQ12" s="10"/>
      <c r="AR12" s="10" t="s">
        <v>75</v>
      </c>
      <c r="AS12" s="10"/>
      <c r="AT12" s="10"/>
      <c r="AU12" s="10"/>
      <c r="AV12" s="10" t="s">
        <v>22</v>
      </c>
      <c r="AW12" s="10"/>
      <c r="AX12" s="10"/>
      <c r="AY12" s="10"/>
      <c r="AZ12" s="10" t="s">
        <v>23</v>
      </c>
      <c r="BA12" s="10"/>
      <c r="BB12" s="10"/>
      <c r="BC12" s="10"/>
    </row>
    <row r="13" customFormat="false" ht="21.75" hidden="false" customHeight="true" outlineLevel="0" collapsed="false">
      <c r="H13" s="11"/>
      <c r="I13" s="11"/>
      <c r="J13" s="11"/>
      <c r="K13" s="11"/>
      <c r="L13" s="12" t="s">
        <v>76</v>
      </c>
      <c r="M13" s="12"/>
      <c r="N13" s="12"/>
      <c r="O13" s="12"/>
      <c r="P13" s="12" t="s">
        <v>77</v>
      </c>
      <c r="Q13" s="12"/>
      <c r="R13" s="12"/>
      <c r="S13" s="12"/>
      <c r="T13" s="12" t="s">
        <v>78</v>
      </c>
      <c r="U13" s="12"/>
      <c r="V13" s="12"/>
      <c r="W13" s="12"/>
      <c r="X13" s="11"/>
      <c r="Y13" s="11"/>
      <c r="Z13" s="11"/>
      <c r="AA13" s="11"/>
      <c r="AB13" s="11"/>
      <c r="AC13" s="11"/>
      <c r="AD13" s="11"/>
      <c r="AE13" s="11"/>
      <c r="AF13" s="11"/>
      <c r="AG13" s="11"/>
      <c r="AH13" s="11"/>
      <c r="AI13" s="11"/>
      <c r="AJ13" s="12" t="s">
        <v>79</v>
      </c>
      <c r="AK13" s="12"/>
      <c r="AL13" s="12"/>
      <c r="AM13" s="12"/>
      <c r="AN13" s="12" t="s">
        <v>80</v>
      </c>
      <c r="AO13" s="12"/>
      <c r="AP13" s="12"/>
      <c r="AQ13" s="12"/>
      <c r="AR13" s="12" t="s">
        <v>81</v>
      </c>
      <c r="AS13" s="12"/>
      <c r="AT13" s="12"/>
      <c r="AU13" s="12"/>
      <c r="AV13" s="11"/>
      <c r="AW13" s="11"/>
      <c r="AX13" s="11"/>
      <c r="AY13" s="11"/>
      <c r="AZ13" s="11"/>
      <c r="BA13" s="11"/>
      <c r="BB13" s="11"/>
      <c r="BC13" s="11"/>
    </row>
    <row r="14" customFormat="false" ht="12" hidden="false" customHeight="true" outlineLevel="0" collapsed="false">
      <c r="A14" s="5" t="s">
        <v>82</v>
      </c>
      <c r="I14" s="10" t="s">
        <v>83</v>
      </c>
      <c r="J14" s="10"/>
      <c r="K14" s="10"/>
      <c r="L14" s="10"/>
      <c r="M14" s="10" t="s">
        <v>84</v>
      </c>
      <c r="N14" s="10"/>
      <c r="O14" s="10"/>
      <c r="P14" s="10"/>
      <c r="Q14" s="10" t="s">
        <v>85</v>
      </c>
      <c r="R14" s="10"/>
      <c r="S14" s="10"/>
      <c r="T14" s="10"/>
      <c r="U14" s="10" t="s">
        <v>86</v>
      </c>
      <c r="V14" s="10"/>
      <c r="W14" s="10"/>
      <c r="X14" s="10"/>
      <c r="Y14" s="10" t="s">
        <v>87</v>
      </c>
      <c r="Z14" s="10"/>
      <c r="AA14" s="10"/>
      <c r="AB14" s="10"/>
      <c r="AC14" s="10" t="s">
        <v>88</v>
      </c>
      <c r="AD14" s="10"/>
      <c r="AE14" s="10"/>
      <c r="AF14" s="10"/>
      <c r="AG14" s="10" t="s">
        <v>89</v>
      </c>
      <c r="AH14" s="10"/>
      <c r="AI14" s="10"/>
      <c r="AJ14" s="10"/>
      <c r="AK14" s="10" t="s">
        <v>90</v>
      </c>
      <c r="AL14" s="10"/>
      <c r="AM14" s="10"/>
      <c r="AN14" s="10"/>
      <c r="AO14" s="10" t="s">
        <v>91</v>
      </c>
      <c r="AP14" s="10"/>
      <c r="AQ14" s="10"/>
      <c r="AR14" s="10"/>
      <c r="AS14" s="10" t="s">
        <v>33</v>
      </c>
      <c r="AT14" s="10"/>
      <c r="AU14" s="10"/>
      <c r="AV14" s="10"/>
      <c r="AW14" s="10" t="s">
        <v>34</v>
      </c>
      <c r="AX14" s="10"/>
      <c r="AY14" s="10"/>
      <c r="AZ14" s="10"/>
    </row>
    <row r="15" customFormat="false" ht="21.75" hidden="false" customHeight="true" outlineLevel="0" collapsed="false">
      <c r="I15" s="12" t="s">
        <v>92</v>
      </c>
      <c r="J15" s="12"/>
      <c r="K15" s="12"/>
      <c r="L15" s="12"/>
      <c r="M15" s="12" t="s">
        <v>93</v>
      </c>
      <c r="N15" s="12"/>
      <c r="O15" s="12"/>
      <c r="P15" s="12"/>
      <c r="Q15" s="12" t="s">
        <v>94</v>
      </c>
      <c r="R15" s="12"/>
      <c r="S15" s="12"/>
      <c r="T15" s="12"/>
      <c r="U15" s="12" t="s">
        <v>95</v>
      </c>
      <c r="V15" s="12"/>
      <c r="W15" s="12"/>
      <c r="X15" s="12"/>
      <c r="Y15" s="12" t="s">
        <v>96</v>
      </c>
      <c r="Z15" s="12"/>
      <c r="AA15" s="12"/>
      <c r="AB15" s="12"/>
      <c r="AC15" s="12" t="s">
        <v>97</v>
      </c>
      <c r="AD15" s="12"/>
      <c r="AE15" s="12"/>
      <c r="AF15" s="12"/>
      <c r="AG15" s="12" t="s">
        <v>98</v>
      </c>
      <c r="AH15" s="12"/>
      <c r="AI15" s="12"/>
      <c r="AJ15" s="12"/>
      <c r="AK15" s="12" t="s">
        <v>99</v>
      </c>
      <c r="AL15" s="12"/>
      <c r="AM15" s="12"/>
      <c r="AN15" s="12"/>
      <c r="AO15" s="12" t="s">
        <v>100</v>
      </c>
      <c r="AP15" s="12"/>
      <c r="AQ15" s="12"/>
      <c r="AR15" s="12"/>
      <c r="AS15" s="12" t="s">
        <v>101</v>
      </c>
      <c r="AT15" s="12"/>
      <c r="AU15" s="12"/>
      <c r="AV15" s="12"/>
      <c r="AW15" s="11"/>
      <c r="AX15" s="11"/>
      <c r="AY15" s="11"/>
      <c r="AZ15" s="11"/>
    </row>
    <row r="16" customFormat="false" ht="12" hidden="false" customHeight="true" outlineLevel="0" collapsed="false">
      <c r="A16" s="5" t="s">
        <v>102</v>
      </c>
      <c r="K16" s="10" t="s">
        <v>103</v>
      </c>
      <c r="L16" s="10"/>
      <c r="M16" s="10"/>
      <c r="N16" s="10"/>
      <c r="O16" s="10" t="s">
        <v>104</v>
      </c>
      <c r="P16" s="10"/>
      <c r="Q16" s="10"/>
      <c r="R16" s="10"/>
      <c r="S16" s="10" t="s">
        <v>105</v>
      </c>
      <c r="T16" s="10"/>
      <c r="U16" s="10"/>
      <c r="V16" s="10"/>
      <c r="W16" s="10" t="s">
        <v>106</v>
      </c>
      <c r="X16" s="10"/>
      <c r="Y16" s="10"/>
      <c r="Z16" s="10"/>
      <c r="AA16" s="10" t="s">
        <v>107</v>
      </c>
      <c r="AB16" s="10"/>
      <c r="AC16" s="10"/>
      <c r="AD16" s="10"/>
      <c r="AE16" s="10" t="s">
        <v>108</v>
      </c>
      <c r="AF16" s="10"/>
      <c r="AG16" s="10"/>
      <c r="AH16" s="10"/>
      <c r="AI16" s="10" t="s">
        <v>109</v>
      </c>
      <c r="AJ16" s="10"/>
      <c r="AK16" s="10"/>
      <c r="AL16" s="10"/>
      <c r="AM16" s="10" t="s">
        <v>42</v>
      </c>
      <c r="AN16" s="10"/>
      <c r="AO16" s="10"/>
      <c r="AP16" s="10"/>
      <c r="AQ16" s="10" t="s">
        <v>43</v>
      </c>
      <c r="AR16" s="10"/>
      <c r="AS16" s="10"/>
      <c r="AT16" s="10"/>
      <c r="AU16" s="10" t="s">
        <v>44</v>
      </c>
      <c r="AV16" s="10"/>
      <c r="AW16" s="10"/>
      <c r="AX16" s="10"/>
    </row>
    <row r="17" customFormat="false" ht="21.75" hidden="false" customHeight="true" outlineLevel="0" collapsed="false">
      <c r="K17" s="12" t="s">
        <v>110</v>
      </c>
      <c r="L17" s="12"/>
      <c r="M17" s="12"/>
      <c r="N17" s="12"/>
      <c r="O17" s="12" t="s">
        <v>111</v>
      </c>
      <c r="P17" s="12"/>
      <c r="Q17" s="12"/>
      <c r="R17" s="12"/>
      <c r="S17" s="12" t="s">
        <v>112</v>
      </c>
      <c r="T17" s="12"/>
      <c r="U17" s="12"/>
      <c r="V17" s="12"/>
      <c r="W17" s="12" t="s">
        <v>113</v>
      </c>
      <c r="X17" s="12"/>
      <c r="Y17" s="12"/>
      <c r="Z17" s="12"/>
      <c r="AA17" s="12" t="s">
        <v>114</v>
      </c>
      <c r="AB17" s="12"/>
      <c r="AC17" s="12"/>
      <c r="AD17" s="12"/>
      <c r="AE17" s="12" t="s">
        <v>115</v>
      </c>
      <c r="AF17" s="12"/>
      <c r="AG17" s="12"/>
      <c r="AH17" s="12"/>
      <c r="AI17" s="12" t="s">
        <v>116</v>
      </c>
      <c r="AJ17" s="12"/>
      <c r="AK17" s="12"/>
      <c r="AL17" s="12"/>
      <c r="AM17" s="12" t="s">
        <v>117</v>
      </c>
      <c r="AN17" s="12"/>
      <c r="AO17" s="12"/>
      <c r="AP17" s="12"/>
      <c r="AQ17" s="12" t="s">
        <v>118</v>
      </c>
      <c r="AR17" s="12"/>
      <c r="AS17" s="12"/>
      <c r="AT17" s="12"/>
      <c r="AU17" s="12" t="s">
        <v>119</v>
      </c>
      <c r="AV17" s="12"/>
      <c r="AW17" s="12"/>
      <c r="AX17" s="12"/>
    </row>
    <row r="18" customFormat="false" ht="12" hidden="false" customHeight="true" outlineLevel="0" collapsed="false">
      <c r="A18" s="5" t="s">
        <v>120</v>
      </c>
      <c r="P18" s="10" t="s">
        <v>48</v>
      </c>
      <c r="Q18" s="10"/>
      <c r="R18" s="10"/>
      <c r="S18" s="10"/>
      <c r="T18" s="10" t="s">
        <v>50</v>
      </c>
      <c r="U18" s="10"/>
      <c r="V18" s="10"/>
      <c r="W18" s="10"/>
      <c r="X18" s="10"/>
      <c r="Y18" s="10"/>
      <c r="Z18" s="10"/>
      <c r="AA18" s="10"/>
      <c r="AB18" s="10"/>
      <c r="AC18" s="10"/>
      <c r="AD18" s="10"/>
      <c r="AE18" s="10"/>
      <c r="AF18" s="10"/>
      <c r="AG18" s="10"/>
      <c r="AH18" s="10"/>
      <c r="AI18" s="10"/>
      <c r="AJ18" s="10"/>
      <c r="AK18" s="10"/>
      <c r="AL18" s="10" t="s">
        <v>45</v>
      </c>
      <c r="AM18" s="10"/>
      <c r="AN18" s="10"/>
      <c r="AO18" s="10"/>
      <c r="AP18" s="10" t="s">
        <v>46</v>
      </c>
      <c r="AQ18" s="10"/>
      <c r="AR18" s="10"/>
      <c r="AS18" s="10"/>
    </row>
    <row r="19" customFormat="false" ht="21.75" hidden="false" customHeight="true" outlineLevel="0" collapsed="false">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row>
  </sheetData>
  <mergeCells count="101">
    <mergeCell ref="B5:M5"/>
    <mergeCell ref="B6:M6"/>
    <mergeCell ref="A9:AX9"/>
    <mergeCell ref="F10:I10"/>
    <mergeCell ref="J10:M10"/>
    <mergeCell ref="N10:Q10"/>
    <mergeCell ref="R10:U10"/>
    <mergeCell ref="V10:Y10"/>
    <mergeCell ref="Z10:AC10"/>
    <mergeCell ref="AD10:AG10"/>
    <mergeCell ref="AH10:AK10"/>
    <mergeCell ref="AL10:AO10"/>
    <mergeCell ref="AP10:AS10"/>
    <mergeCell ref="AT10:AW10"/>
    <mergeCell ref="AX10:BA10"/>
    <mergeCell ref="F11:I11"/>
    <mergeCell ref="J11:M11"/>
    <mergeCell ref="N11:Q11"/>
    <mergeCell ref="R11:U11"/>
    <mergeCell ref="V11:Y11"/>
    <mergeCell ref="Z11:AC11"/>
    <mergeCell ref="AD11:AG11"/>
    <mergeCell ref="AH11:AK11"/>
    <mergeCell ref="AL11:AO11"/>
    <mergeCell ref="AP11:AS11"/>
    <mergeCell ref="AT11:AW11"/>
    <mergeCell ref="AX11:BA11"/>
    <mergeCell ref="H12:K12"/>
    <mergeCell ref="L12:O12"/>
    <mergeCell ref="P12:S12"/>
    <mergeCell ref="T12:W12"/>
    <mergeCell ref="X12:AA12"/>
    <mergeCell ref="AB12:AE12"/>
    <mergeCell ref="AF12:AI12"/>
    <mergeCell ref="AJ12:AM12"/>
    <mergeCell ref="AN12:AQ12"/>
    <mergeCell ref="AR12:AU12"/>
    <mergeCell ref="AV12:AY12"/>
    <mergeCell ref="AZ12:BC12"/>
    <mergeCell ref="H13:K13"/>
    <mergeCell ref="L13:O13"/>
    <mergeCell ref="P13:S13"/>
    <mergeCell ref="T13:W13"/>
    <mergeCell ref="X13:AA13"/>
    <mergeCell ref="AB13:AE13"/>
    <mergeCell ref="AF13:AI13"/>
    <mergeCell ref="AJ13:AM13"/>
    <mergeCell ref="AN13:AQ13"/>
    <mergeCell ref="AR13:AU13"/>
    <mergeCell ref="AV13:AY13"/>
    <mergeCell ref="AZ13:BC13"/>
    <mergeCell ref="I14:L14"/>
    <mergeCell ref="M14:P14"/>
    <mergeCell ref="Q14:T14"/>
    <mergeCell ref="U14:X14"/>
    <mergeCell ref="Y14:AB14"/>
    <mergeCell ref="AC14:AF14"/>
    <mergeCell ref="AG14:AJ14"/>
    <mergeCell ref="AK14:AN14"/>
    <mergeCell ref="AO14:AR14"/>
    <mergeCell ref="AS14:AV14"/>
    <mergeCell ref="AW14:AZ14"/>
    <mergeCell ref="I15:L15"/>
    <mergeCell ref="M15:P15"/>
    <mergeCell ref="Q15:T15"/>
    <mergeCell ref="U15:X15"/>
    <mergeCell ref="Y15:AB15"/>
    <mergeCell ref="AC15:AF15"/>
    <mergeCell ref="AG15:AJ15"/>
    <mergeCell ref="AK15:AN15"/>
    <mergeCell ref="AO15:AR15"/>
    <mergeCell ref="AS15:AV15"/>
    <mergeCell ref="AW15:AZ15"/>
    <mergeCell ref="K16:N16"/>
    <mergeCell ref="O16:R16"/>
    <mergeCell ref="S16:V16"/>
    <mergeCell ref="W16:Z16"/>
    <mergeCell ref="AA16:AD16"/>
    <mergeCell ref="AE16:AH16"/>
    <mergeCell ref="AI16:AL16"/>
    <mergeCell ref="AM16:AP16"/>
    <mergeCell ref="AQ16:AT16"/>
    <mergeCell ref="AU16:AX16"/>
    <mergeCell ref="K17:N17"/>
    <mergeCell ref="O17:R17"/>
    <mergeCell ref="S17:V17"/>
    <mergeCell ref="W17:Z17"/>
    <mergeCell ref="AA17:AD17"/>
    <mergeCell ref="AE17:AH17"/>
    <mergeCell ref="AI17:AL17"/>
    <mergeCell ref="AM17:AP17"/>
    <mergeCell ref="AQ17:AT17"/>
    <mergeCell ref="AU17:AX17"/>
    <mergeCell ref="P18:S18"/>
    <mergeCell ref="T18:AK18"/>
    <mergeCell ref="AL18:AO18"/>
    <mergeCell ref="AP18:AS18"/>
    <mergeCell ref="P19:S19"/>
    <mergeCell ref="T19:AK19"/>
    <mergeCell ref="AL19:AO19"/>
    <mergeCell ref="AP19:AS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2" width="11"/>
    <col collapsed="false" customWidth="true" hidden="false" outlineLevel="0" max="55" min="2" style="2" width="3"/>
  </cols>
  <sheetData>
    <row r="1" customFormat="false" ht="23.25" hidden="false" customHeight="true" outlineLevel="0" collapsed="false">
      <c r="A1" s="13" t="s">
        <v>121</v>
      </c>
    </row>
    <row r="2" customFormat="false" ht="15" hidden="false" customHeight="true" outlineLevel="0" collapsed="false">
      <c r="A2" s="4" t="s">
        <v>122</v>
      </c>
    </row>
    <row r="3" customFormat="false" ht="15" hidden="false" customHeight="true" outlineLevel="0" collapsed="false">
      <c r="A3" s="5" t="s">
        <v>55</v>
      </c>
    </row>
    <row r="5" customFormat="false" ht="18.75" hidden="false" customHeight="true" outlineLevel="0" collapsed="false">
      <c r="A5" s="14" t="s">
        <v>123</v>
      </c>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row>
    <row r="6" customFormat="false" ht="15" hidden="false" customHeight="true" outlineLevel="0" collapsed="false">
      <c r="A6" s="8" t="s">
        <v>124</v>
      </c>
      <c r="B6" s="15" t="s">
        <v>50</v>
      </c>
      <c r="C6" s="15"/>
      <c r="D6" s="15"/>
      <c r="E6" s="15"/>
      <c r="G6" s="5" t="s">
        <v>125</v>
      </c>
    </row>
    <row r="7" customFormat="false" ht="12" hidden="false" customHeight="true" outlineLevel="0" collapsed="false">
      <c r="A7" s="5" t="s">
        <v>64</v>
      </c>
      <c r="F7" s="10" t="s">
        <v>0</v>
      </c>
      <c r="G7" s="10"/>
      <c r="H7" s="10"/>
      <c r="I7" s="10"/>
      <c r="J7" s="10" t="s">
        <v>1</v>
      </c>
      <c r="K7" s="10"/>
      <c r="L7" s="10"/>
      <c r="M7" s="10"/>
      <c r="N7" s="10" t="s">
        <v>2</v>
      </c>
      <c r="O7" s="10"/>
      <c r="P7" s="10"/>
      <c r="Q7" s="10"/>
      <c r="R7" s="10" t="s">
        <v>3</v>
      </c>
      <c r="S7" s="10"/>
      <c r="T7" s="10"/>
      <c r="U7" s="10"/>
      <c r="V7" s="10" t="s">
        <v>4</v>
      </c>
      <c r="W7" s="10"/>
      <c r="X7" s="10"/>
      <c r="Y7" s="10"/>
      <c r="Z7" s="10" t="s">
        <v>5</v>
      </c>
      <c r="AA7" s="10"/>
      <c r="AB7" s="10"/>
      <c r="AC7" s="10"/>
      <c r="AD7" s="10" t="s">
        <v>6</v>
      </c>
      <c r="AE7" s="10"/>
      <c r="AF7" s="10"/>
      <c r="AG7" s="10"/>
      <c r="AH7" s="10" t="s">
        <v>7</v>
      </c>
      <c r="AI7" s="10"/>
      <c r="AJ7" s="10"/>
      <c r="AK7" s="10"/>
      <c r="AL7" s="10" t="s">
        <v>8</v>
      </c>
      <c r="AM7" s="10"/>
      <c r="AN7" s="10"/>
      <c r="AO7" s="10"/>
      <c r="AP7" s="10" t="s">
        <v>9</v>
      </c>
      <c r="AQ7" s="10"/>
      <c r="AR7" s="10"/>
      <c r="AS7" s="10"/>
      <c r="AT7" s="10" t="s">
        <v>10</v>
      </c>
      <c r="AU7" s="10"/>
      <c r="AV7" s="10"/>
      <c r="AW7" s="10"/>
      <c r="AX7" s="10" t="s">
        <v>11</v>
      </c>
      <c r="AY7" s="10"/>
      <c r="AZ7" s="10"/>
      <c r="BA7" s="10"/>
    </row>
    <row r="8" customFormat="false" ht="21.75" hidden="false" customHeight="true" outlineLevel="0" collapsed="false">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customFormat="false" ht="12" hidden="false" customHeight="true" outlineLevel="0" collapsed="false">
      <c r="A9" s="5" t="s">
        <v>65</v>
      </c>
      <c r="H9" s="10" t="s">
        <v>66</v>
      </c>
      <c r="I9" s="10"/>
      <c r="J9" s="10"/>
      <c r="K9" s="10"/>
      <c r="L9" s="10" t="s">
        <v>67</v>
      </c>
      <c r="M9" s="10"/>
      <c r="N9" s="10"/>
      <c r="O9" s="10"/>
      <c r="P9" s="10" t="s">
        <v>68</v>
      </c>
      <c r="Q9" s="10"/>
      <c r="R9" s="10"/>
      <c r="S9" s="10"/>
      <c r="T9" s="10" t="s">
        <v>69</v>
      </c>
      <c r="U9" s="10"/>
      <c r="V9" s="10"/>
      <c r="W9" s="10"/>
      <c r="X9" s="10" t="s">
        <v>70</v>
      </c>
      <c r="Y9" s="10"/>
      <c r="Z9" s="10"/>
      <c r="AA9" s="10"/>
      <c r="AB9" s="10" t="s">
        <v>71</v>
      </c>
      <c r="AC9" s="10"/>
      <c r="AD9" s="10"/>
      <c r="AE9" s="10"/>
      <c r="AF9" s="10" t="s">
        <v>72</v>
      </c>
      <c r="AG9" s="10"/>
      <c r="AH9" s="10"/>
      <c r="AI9" s="10"/>
      <c r="AJ9" s="10" t="s">
        <v>73</v>
      </c>
      <c r="AK9" s="10"/>
      <c r="AL9" s="10"/>
      <c r="AM9" s="10"/>
      <c r="AN9" s="10" t="s">
        <v>74</v>
      </c>
      <c r="AO9" s="10"/>
      <c r="AP9" s="10"/>
      <c r="AQ9" s="10"/>
      <c r="AR9" s="10" t="s">
        <v>75</v>
      </c>
      <c r="AS9" s="10"/>
      <c r="AT9" s="10"/>
      <c r="AU9" s="10"/>
      <c r="AV9" s="10" t="s">
        <v>22</v>
      </c>
      <c r="AW9" s="10"/>
      <c r="AX9" s="10"/>
      <c r="AY9" s="10"/>
      <c r="AZ9" s="10" t="s">
        <v>23</v>
      </c>
      <c r="BA9" s="10"/>
      <c r="BB9" s="10"/>
      <c r="BC9" s="10"/>
    </row>
    <row r="10" customFormat="false" ht="21.75" hidden="false" customHeight="true" outlineLevel="0" collapsed="false">
      <c r="H10" s="11"/>
      <c r="I10" s="11"/>
      <c r="J10" s="11"/>
      <c r="K10" s="11"/>
      <c r="L10" s="12" t="s">
        <v>126</v>
      </c>
      <c r="M10" s="12"/>
      <c r="N10" s="12"/>
      <c r="O10" s="12"/>
      <c r="P10" s="12" t="s">
        <v>127</v>
      </c>
      <c r="Q10" s="12"/>
      <c r="R10" s="12"/>
      <c r="S10" s="12"/>
      <c r="T10" s="12" t="s">
        <v>128</v>
      </c>
      <c r="U10" s="12"/>
      <c r="V10" s="12"/>
      <c r="W10" s="12"/>
      <c r="X10" s="11"/>
      <c r="Y10" s="11"/>
      <c r="Z10" s="11"/>
      <c r="AA10" s="11"/>
      <c r="AB10" s="11"/>
      <c r="AC10" s="11"/>
      <c r="AD10" s="11"/>
      <c r="AE10" s="11"/>
      <c r="AF10" s="12" t="s">
        <v>129</v>
      </c>
      <c r="AG10" s="12"/>
      <c r="AH10" s="12"/>
      <c r="AI10" s="12"/>
      <c r="AJ10" s="12" t="s">
        <v>130</v>
      </c>
      <c r="AK10" s="12"/>
      <c r="AL10" s="12"/>
      <c r="AM10" s="12"/>
      <c r="AN10" s="12" t="s">
        <v>131</v>
      </c>
      <c r="AO10" s="12"/>
      <c r="AP10" s="12"/>
      <c r="AQ10" s="12"/>
      <c r="AR10" s="12" t="s">
        <v>132</v>
      </c>
      <c r="AS10" s="12"/>
      <c r="AT10" s="12"/>
      <c r="AU10" s="12"/>
      <c r="AV10" s="11"/>
      <c r="AW10" s="11"/>
      <c r="AX10" s="11"/>
      <c r="AY10" s="11"/>
      <c r="AZ10" s="11"/>
      <c r="BA10" s="11"/>
      <c r="BB10" s="11"/>
      <c r="BC10" s="11"/>
    </row>
    <row r="11" customFormat="false" ht="12" hidden="false" customHeight="true" outlineLevel="0" collapsed="false">
      <c r="A11" s="5" t="s">
        <v>82</v>
      </c>
      <c r="I11" s="10" t="s">
        <v>83</v>
      </c>
      <c r="J11" s="10"/>
      <c r="K11" s="10"/>
      <c r="L11" s="10"/>
      <c r="M11" s="10" t="s">
        <v>84</v>
      </c>
      <c r="N11" s="10"/>
      <c r="O11" s="10"/>
      <c r="P11" s="10"/>
      <c r="Q11" s="10" t="s">
        <v>85</v>
      </c>
      <c r="R11" s="10"/>
      <c r="S11" s="10"/>
      <c r="T11" s="10"/>
      <c r="U11" s="10" t="s">
        <v>86</v>
      </c>
      <c r="V11" s="10"/>
      <c r="W11" s="10"/>
      <c r="X11" s="10"/>
      <c r="Y11" s="10" t="s">
        <v>87</v>
      </c>
      <c r="Z11" s="10"/>
      <c r="AA11" s="10"/>
      <c r="AB11" s="10"/>
      <c r="AC11" s="10" t="s">
        <v>88</v>
      </c>
      <c r="AD11" s="10"/>
      <c r="AE11" s="10"/>
      <c r="AF11" s="10"/>
      <c r="AG11" s="10" t="s">
        <v>89</v>
      </c>
      <c r="AH11" s="10"/>
      <c r="AI11" s="10"/>
      <c r="AJ11" s="10"/>
      <c r="AK11" s="10" t="s">
        <v>90</v>
      </c>
      <c r="AL11" s="10"/>
      <c r="AM11" s="10"/>
      <c r="AN11" s="10"/>
      <c r="AO11" s="10" t="s">
        <v>91</v>
      </c>
      <c r="AP11" s="10"/>
      <c r="AQ11" s="10"/>
      <c r="AR11" s="10"/>
      <c r="AS11" s="10" t="s">
        <v>33</v>
      </c>
      <c r="AT11" s="10"/>
      <c r="AU11" s="10"/>
      <c r="AV11" s="10"/>
      <c r="AW11" s="10" t="s">
        <v>34</v>
      </c>
      <c r="AX11" s="10"/>
      <c r="AY11" s="10"/>
      <c r="AZ11" s="10"/>
    </row>
    <row r="12" customFormat="false" ht="21.75" hidden="false" customHeight="true" outlineLevel="0" collapsed="false">
      <c r="I12" s="12" t="s">
        <v>133</v>
      </c>
      <c r="J12" s="12"/>
      <c r="K12" s="12"/>
      <c r="L12" s="12"/>
      <c r="M12" s="12" t="s">
        <v>134</v>
      </c>
      <c r="N12" s="12"/>
      <c r="O12" s="12"/>
      <c r="P12" s="12"/>
      <c r="Q12" s="12" t="s">
        <v>135</v>
      </c>
      <c r="R12" s="12"/>
      <c r="S12" s="12"/>
      <c r="T12" s="12"/>
      <c r="U12" s="12" t="s">
        <v>136</v>
      </c>
      <c r="V12" s="12"/>
      <c r="W12" s="12"/>
      <c r="X12" s="12"/>
      <c r="Y12" s="12" t="s">
        <v>137</v>
      </c>
      <c r="Z12" s="12"/>
      <c r="AA12" s="12"/>
      <c r="AB12" s="12"/>
      <c r="AC12" s="12" t="s">
        <v>138</v>
      </c>
      <c r="AD12" s="12"/>
      <c r="AE12" s="12"/>
      <c r="AF12" s="12"/>
      <c r="AG12" s="12" t="s">
        <v>139</v>
      </c>
      <c r="AH12" s="12"/>
      <c r="AI12" s="12"/>
      <c r="AJ12" s="12"/>
      <c r="AK12" s="12" t="s">
        <v>140</v>
      </c>
      <c r="AL12" s="12"/>
      <c r="AM12" s="12"/>
      <c r="AN12" s="12"/>
      <c r="AO12" s="12" t="s">
        <v>141</v>
      </c>
      <c r="AP12" s="12"/>
      <c r="AQ12" s="12"/>
      <c r="AR12" s="12"/>
      <c r="AS12" s="12" t="s">
        <v>142</v>
      </c>
      <c r="AT12" s="12"/>
      <c r="AU12" s="12"/>
      <c r="AV12" s="12"/>
      <c r="AW12" s="11"/>
      <c r="AX12" s="11"/>
      <c r="AY12" s="11"/>
      <c r="AZ12" s="11"/>
    </row>
    <row r="13" customFormat="false" ht="12" hidden="false" customHeight="true" outlineLevel="0" collapsed="false">
      <c r="A13" s="5" t="s">
        <v>102</v>
      </c>
      <c r="K13" s="10" t="s">
        <v>103</v>
      </c>
      <c r="L13" s="10"/>
      <c r="M13" s="10"/>
      <c r="N13" s="10"/>
      <c r="O13" s="10" t="s">
        <v>104</v>
      </c>
      <c r="P13" s="10"/>
      <c r="Q13" s="10"/>
      <c r="R13" s="10"/>
      <c r="S13" s="10" t="s">
        <v>105</v>
      </c>
      <c r="T13" s="10"/>
      <c r="U13" s="10"/>
      <c r="V13" s="10"/>
      <c r="W13" s="10" t="s">
        <v>106</v>
      </c>
      <c r="X13" s="10"/>
      <c r="Y13" s="10"/>
      <c r="Z13" s="10"/>
      <c r="AA13" s="10" t="s">
        <v>107</v>
      </c>
      <c r="AB13" s="10"/>
      <c r="AC13" s="10"/>
      <c r="AD13" s="10"/>
      <c r="AE13" s="10" t="s">
        <v>108</v>
      </c>
      <c r="AF13" s="10"/>
      <c r="AG13" s="10"/>
      <c r="AH13" s="10"/>
      <c r="AI13" s="10" t="s">
        <v>109</v>
      </c>
      <c r="AJ13" s="10"/>
      <c r="AK13" s="10"/>
      <c r="AL13" s="10"/>
      <c r="AM13" s="10" t="s">
        <v>42</v>
      </c>
      <c r="AN13" s="10"/>
      <c r="AO13" s="10"/>
      <c r="AP13" s="10"/>
      <c r="AQ13" s="10" t="s">
        <v>43</v>
      </c>
      <c r="AR13" s="10"/>
      <c r="AS13" s="10"/>
      <c r="AT13" s="10"/>
      <c r="AU13" s="10" t="s">
        <v>44</v>
      </c>
      <c r="AV13" s="10"/>
      <c r="AW13" s="10"/>
      <c r="AX13" s="10"/>
    </row>
    <row r="14" customFormat="false" ht="21.75" hidden="false" customHeight="true" outlineLevel="0" collapsed="false">
      <c r="K14" s="11"/>
      <c r="L14" s="11"/>
      <c r="M14" s="11"/>
      <c r="N14" s="11"/>
      <c r="O14" s="11"/>
      <c r="P14" s="11"/>
      <c r="Q14" s="11"/>
      <c r="R14" s="11"/>
      <c r="S14" s="12" t="s">
        <v>143</v>
      </c>
      <c r="T14" s="12"/>
      <c r="U14" s="12"/>
      <c r="V14" s="12"/>
      <c r="W14" s="12" t="s">
        <v>144</v>
      </c>
      <c r="X14" s="12"/>
      <c r="Y14" s="12"/>
      <c r="Z14" s="12"/>
      <c r="AA14" s="12" t="s">
        <v>145</v>
      </c>
      <c r="AB14" s="12"/>
      <c r="AC14" s="12"/>
      <c r="AD14" s="12"/>
      <c r="AE14" s="12" t="s">
        <v>146</v>
      </c>
      <c r="AF14" s="12"/>
      <c r="AG14" s="12"/>
      <c r="AH14" s="12"/>
      <c r="AI14" s="12" t="s">
        <v>147</v>
      </c>
      <c r="AJ14" s="12"/>
      <c r="AK14" s="12"/>
      <c r="AL14" s="12"/>
      <c r="AM14" s="12" t="s">
        <v>148</v>
      </c>
      <c r="AN14" s="12"/>
      <c r="AO14" s="12"/>
      <c r="AP14" s="12"/>
      <c r="AQ14" s="12" t="s">
        <v>149</v>
      </c>
      <c r="AR14" s="12"/>
      <c r="AS14" s="12"/>
      <c r="AT14" s="12"/>
      <c r="AU14" s="11"/>
      <c r="AV14" s="11"/>
      <c r="AW14" s="11"/>
      <c r="AX14" s="11"/>
    </row>
    <row r="15" customFormat="false" ht="12" hidden="false" customHeight="true" outlineLevel="0" collapsed="false">
      <c r="A15" s="5" t="s">
        <v>120</v>
      </c>
      <c r="P15" s="10" t="s">
        <v>48</v>
      </c>
      <c r="Q15" s="10"/>
      <c r="R15" s="10"/>
      <c r="S15" s="10"/>
      <c r="T15" s="10" t="s">
        <v>50</v>
      </c>
      <c r="U15" s="10"/>
      <c r="V15" s="10"/>
      <c r="W15" s="10"/>
      <c r="X15" s="10"/>
      <c r="Y15" s="10"/>
      <c r="Z15" s="10"/>
      <c r="AA15" s="10"/>
      <c r="AB15" s="10"/>
      <c r="AC15" s="10"/>
      <c r="AD15" s="10"/>
      <c r="AE15" s="10"/>
      <c r="AF15" s="10"/>
      <c r="AG15" s="10"/>
      <c r="AH15" s="10"/>
      <c r="AI15" s="10"/>
      <c r="AJ15" s="10"/>
      <c r="AK15" s="10"/>
      <c r="AL15" s="10" t="s">
        <v>45</v>
      </c>
      <c r="AM15" s="10"/>
      <c r="AN15" s="10"/>
      <c r="AO15" s="10"/>
      <c r="AP15" s="10" t="s">
        <v>46</v>
      </c>
      <c r="AQ15" s="10"/>
      <c r="AR15" s="10"/>
      <c r="AS15" s="10"/>
    </row>
    <row r="16" customFormat="false" ht="21.75" hidden="false" customHeight="true" outlineLevel="0" collapsed="false">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row>
    <row r="18" customFormat="false" ht="18.75" hidden="false" customHeight="true" outlineLevel="0" collapsed="false">
      <c r="A18" s="14" t="s">
        <v>150</v>
      </c>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row>
    <row r="19" customFormat="false" ht="15" hidden="false" customHeight="true" outlineLevel="0" collapsed="false">
      <c r="A19" s="8" t="s">
        <v>124</v>
      </c>
      <c r="B19" s="15" t="s">
        <v>27</v>
      </c>
      <c r="C19" s="15"/>
      <c r="D19" s="15"/>
      <c r="E19" s="15"/>
      <c r="G19" s="5" t="s">
        <v>125</v>
      </c>
    </row>
    <row r="20" customFormat="false" ht="12" hidden="false" customHeight="true" outlineLevel="0" collapsed="false">
      <c r="A20" s="5" t="s">
        <v>64</v>
      </c>
      <c r="F20" s="10" t="s">
        <v>0</v>
      </c>
      <c r="G20" s="10"/>
      <c r="H20" s="10"/>
      <c r="I20" s="10"/>
      <c r="J20" s="10" t="s">
        <v>1</v>
      </c>
      <c r="K20" s="10"/>
      <c r="L20" s="10"/>
      <c r="M20" s="10"/>
      <c r="N20" s="10" t="s">
        <v>2</v>
      </c>
      <c r="O20" s="10"/>
      <c r="P20" s="10"/>
      <c r="Q20" s="10"/>
      <c r="R20" s="10" t="s">
        <v>3</v>
      </c>
      <c r="S20" s="10"/>
      <c r="T20" s="10"/>
      <c r="U20" s="10"/>
      <c r="V20" s="10" t="s">
        <v>4</v>
      </c>
      <c r="W20" s="10"/>
      <c r="X20" s="10"/>
      <c r="Y20" s="10"/>
      <c r="Z20" s="10" t="s">
        <v>5</v>
      </c>
      <c r="AA20" s="10"/>
      <c r="AB20" s="10"/>
      <c r="AC20" s="10"/>
      <c r="AD20" s="10" t="s">
        <v>6</v>
      </c>
      <c r="AE20" s="10"/>
      <c r="AF20" s="10"/>
      <c r="AG20" s="10"/>
      <c r="AH20" s="10" t="s">
        <v>7</v>
      </c>
      <c r="AI20" s="10"/>
      <c r="AJ20" s="10"/>
      <c r="AK20" s="10"/>
      <c r="AL20" s="10" t="s">
        <v>8</v>
      </c>
      <c r="AM20" s="10"/>
      <c r="AN20" s="10"/>
      <c r="AO20" s="10"/>
      <c r="AP20" s="10" t="s">
        <v>9</v>
      </c>
      <c r="AQ20" s="10"/>
      <c r="AR20" s="10"/>
      <c r="AS20" s="10"/>
      <c r="AT20" s="10" t="s">
        <v>10</v>
      </c>
      <c r="AU20" s="10"/>
      <c r="AV20" s="10"/>
      <c r="AW20" s="10"/>
      <c r="AX20" s="10" t="s">
        <v>11</v>
      </c>
      <c r="AY20" s="10"/>
      <c r="AZ20" s="10"/>
      <c r="BA20" s="10"/>
    </row>
    <row r="21" customFormat="false" ht="21.75" hidden="false" customHeight="true" outlineLevel="0" collapsed="false">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customFormat="false" ht="12" hidden="false" customHeight="true" outlineLevel="0" collapsed="false">
      <c r="A22" s="5" t="s">
        <v>65</v>
      </c>
      <c r="H22" s="10" t="s">
        <v>66</v>
      </c>
      <c r="I22" s="10"/>
      <c r="J22" s="10"/>
      <c r="K22" s="10"/>
      <c r="L22" s="10" t="s">
        <v>67</v>
      </c>
      <c r="M22" s="10"/>
      <c r="N22" s="10"/>
      <c r="O22" s="10"/>
      <c r="P22" s="10" t="s">
        <v>68</v>
      </c>
      <c r="Q22" s="10"/>
      <c r="R22" s="10"/>
      <c r="S22" s="10"/>
      <c r="T22" s="10" t="s">
        <v>69</v>
      </c>
      <c r="U22" s="10"/>
      <c r="V22" s="10"/>
      <c r="W22" s="10"/>
      <c r="X22" s="10" t="s">
        <v>70</v>
      </c>
      <c r="Y22" s="10"/>
      <c r="Z22" s="10"/>
      <c r="AA22" s="10"/>
      <c r="AB22" s="10" t="s">
        <v>71</v>
      </c>
      <c r="AC22" s="10"/>
      <c r="AD22" s="10"/>
      <c r="AE22" s="10"/>
      <c r="AF22" s="10" t="s">
        <v>72</v>
      </c>
      <c r="AG22" s="10"/>
      <c r="AH22" s="10"/>
      <c r="AI22" s="10"/>
      <c r="AJ22" s="10" t="s">
        <v>73</v>
      </c>
      <c r="AK22" s="10"/>
      <c r="AL22" s="10"/>
      <c r="AM22" s="10"/>
      <c r="AN22" s="10" t="s">
        <v>74</v>
      </c>
      <c r="AO22" s="10"/>
      <c r="AP22" s="10"/>
      <c r="AQ22" s="10"/>
      <c r="AR22" s="10" t="s">
        <v>75</v>
      </c>
      <c r="AS22" s="10"/>
      <c r="AT22" s="10"/>
      <c r="AU22" s="10"/>
      <c r="AV22" s="10" t="s">
        <v>22</v>
      </c>
      <c r="AW22" s="10"/>
      <c r="AX22" s="10"/>
      <c r="AY22" s="10"/>
      <c r="AZ22" s="10" t="s">
        <v>23</v>
      </c>
      <c r="BA22" s="10"/>
      <c r="BB22" s="10"/>
      <c r="BC22" s="10"/>
    </row>
    <row r="23" customFormat="false" ht="21.75" hidden="false" customHeight="true" outlineLevel="0" collapsed="false">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2" t="s">
        <v>151</v>
      </c>
      <c r="AG23" s="12"/>
      <c r="AH23" s="12"/>
      <c r="AI23" s="12"/>
      <c r="AJ23" s="11"/>
      <c r="AK23" s="11"/>
      <c r="AL23" s="11"/>
      <c r="AM23" s="11"/>
      <c r="AN23" s="12" t="s">
        <v>152</v>
      </c>
      <c r="AO23" s="12"/>
      <c r="AP23" s="12"/>
      <c r="AQ23" s="12"/>
      <c r="AR23" s="12" t="s">
        <v>153</v>
      </c>
      <c r="AS23" s="12"/>
      <c r="AT23" s="12"/>
      <c r="AU23" s="12"/>
      <c r="AV23" s="11"/>
      <c r="AW23" s="11"/>
      <c r="AX23" s="11"/>
      <c r="AY23" s="11"/>
      <c r="AZ23" s="11"/>
      <c r="BA23" s="11"/>
      <c r="BB23" s="11"/>
      <c r="BC23" s="11"/>
    </row>
    <row r="24" customFormat="false" ht="12" hidden="false" customHeight="true" outlineLevel="0" collapsed="false">
      <c r="A24" s="5" t="s">
        <v>82</v>
      </c>
      <c r="I24" s="10" t="s">
        <v>83</v>
      </c>
      <c r="J24" s="10"/>
      <c r="K24" s="10"/>
      <c r="L24" s="10"/>
      <c r="M24" s="10" t="s">
        <v>84</v>
      </c>
      <c r="N24" s="10"/>
      <c r="O24" s="10"/>
      <c r="P24" s="10"/>
      <c r="Q24" s="10" t="s">
        <v>85</v>
      </c>
      <c r="R24" s="10"/>
      <c r="S24" s="10"/>
      <c r="T24" s="10"/>
      <c r="U24" s="10" t="s">
        <v>86</v>
      </c>
      <c r="V24" s="10"/>
      <c r="W24" s="10"/>
      <c r="X24" s="10"/>
      <c r="Y24" s="10" t="s">
        <v>87</v>
      </c>
      <c r="Z24" s="10"/>
      <c r="AA24" s="10"/>
      <c r="AB24" s="10"/>
      <c r="AC24" s="10" t="s">
        <v>88</v>
      </c>
      <c r="AD24" s="10"/>
      <c r="AE24" s="10"/>
      <c r="AF24" s="10"/>
      <c r="AG24" s="10" t="s">
        <v>89</v>
      </c>
      <c r="AH24" s="10"/>
      <c r="AI24" s="10"/>
      <c r="AJ24" s="10"/>
      <c r="AK24" s="10" t="s">
        <v>90</v>
      </c>
      <c r="AL24" s="10"/>
      <c r="AM24" s="10"/>
      <c r="AN24" s="10"/>
      <c r="AO24" s="10" t="s">
        <v>91</v>
      </c>
      <c r="AP24" s="10"/>
      <c r="AQ24" s="10"/>
      <c r="AR24" s="10"/>
      <c r="AS24" s="10" t="s">
        <v>33</v>
      </c>
      <c r="AT24" s="10"/>
      <c r="AU24" s="10"/>
      <c r="AV24" s="10"/>
      <c r="AW24" s="10" t="s">
        <v>34</v>
      </c>
      <c r="AX24" s="10"/>
      <c r="AY24" s="10"/>
      <c r="AZ24" s="10"/>
    </row>
    <row r="25" customFormat="false" ht="21.75" hidden="false" customHeight="true" outlineLevel="0" collapsed="false">
      <c r="I25" s="11"/>
      <c r="J25" s="11"/>
      <c r="K25" s="11"/>
      <c r="L25" s="11"/>
      <c r="M25" s="11"/>
      <c r="N25" s="11"/>
      <c r="O25" s="11"/>
      <c r="P25" s="11"/>
      <c r="Q25" s="11"/>
      <c r="R25" s="11"/>
      <c r="S25" s="11"/>
      <c r="T25" s="11"/>
      <c r="U25" s="11"/>
      <c r="V25" s="11"/>
      <c r="W25" s="11"/>
      <c r="X25" s="11"/>
      <c r="Y25" s="11"/>
      <c r="Z25" s="11"/>
      <c r="AA25" s="11"/>
      <c r="AB25" s="11"/>
      <c r="AC25" s="12" t="s">
        <v>154</v>
      </c>
      <c r="AD25" s="12"/>
      <c r="AE25" s="12"/>
      <c r="AF25" s="12"/>
      <c r="AG25" s="11"/>
      <c r="AH25" s="11"/>
      <c r="AI25" s="11"/>
      <c r="AJ25" s="11"/>
      <c r="AK25" s="11"/>
      <c r="AL25" s="11"/>
      <c r="AM25" s="11"/>
      <c r="AN25" s="11"/>
      <c r="AO25" s="12" t="s">
        <v>155</v>
      </c>
      <c r="AP25" s="12"/>
      <c r="AQ25" s="12"/>
      <c r="AR25" s="12"/>
      <c r="AS25" s="12" t="s">
        <v>156</v>
      </c>
      <c r="AT25" s="12"/>
      <c r="AU25" s="12"/>
      <c r="AV25" s="12"/>
      <c r="AW25" s="11"/>
      <c r="AX25" s="11"/>
      <c r="AY25" s="11"/>
      <c r="AZ25" s="11"/>
    </row>
    <row r="26" customFormat="false" ht="12" hidden="false" customHeight="true" outlineLevel="0" collapsed="false">
      <c r="A26" s="5" t="s">
        <v>102</v>
      </c>
      <c r="K26" s="10" t="s">
        <v>103</v>
      </c>
      <c r="L26" s="10"/>
      <c r="M26" s="10"/>
      <c r="N26" s="10"/>
      <c r="O26" s="10" t="s">
        <v>104</v>
      </c>
      <c r="P26" s="10"/>
      <c r="Q26" s="10"/>
      <c r="R26" s="10"/>
      <c r="S26" s="10" t="s">
        <v>105</v>
      </c>
      <c r="T26" s="10"/>
      <c r="U26" s="10"/>
      <c r="V26" s="10"/>
      <c r="W26" s="10" t="s">
        <v>106</v>
      </c>
      <c r="X26" s="10"/>
      <c r="Y26" s="10"/>
      <c r="Z26" s="10"/>
      <c r="AA26" s="10" t="s">
        <v>107</v>
      </c>
      <c r="AB26" s="10"/>
      <c r="AC26" s="10"/>
      <c r="AD26" s="10"/>
      <c r="AE26" s="10" t="s">
        <v>108</v>
      </c>
      <c r="AF26" s="10"/>
      <c r="AG26" s="10"/>
      <c r="AH26" s="10"/>
      <c r="AI26" s="10" t="s">
        <v>109</v>
      </c>
      <c r="AJ26" s="10"/>
      <c r="AK26" s="10"/>
      <c r="AL26" s="10"/>
      <c r="AM26" s="10" t="s">
        <v>42</v>
      </c>
      <c r="AN26" s="10"/>
      <c r="AO26" s="10"/>
      <c r="AP26" s="10"/>
      <c r="AQ26" s="10" t="s">
        <v>43</v>
      </c>
      <c r="AR26" s="10"/>
      <c r="AS26" s="10"/>
      <c r="AT26" s="10"/>
      <c r="AU26" s="10" t="s">
        <v>44</v>
      </c>
      <c r="AV26" s="10"/>
      <c r="AW26" s="10"/>
      <c r="AX26" s="10"/>
    </row>
    <row r="27" customFormat="false" ht="21.75" hidden="false" customHeight="true" outlineLevel="0" collapsed="false">
      <c r="K27" s="11"/>
      <c r="L27" s="11"/>
      <c r="M27" s="11"/>
      <c r="N27" s="11"/>
      <c r="O27" s="11"/>
      <c r="P27" s="11"/>
      <c r="Q27" s="11"/>
      <c r="R27" s="11"/>
      <c r="S27" s="11"/>
      <c r="T27" s="11"/>
      <c r="U27" s="11"/>
      <c r="V27" s="11"/>
      <c r="W27" s="11"/>
      <c r="X27" s="11"/>
      <c r="Y27" s="11"/>
      <c r="Z27" s="11"/>
      <c r="AA27" s="11"/>
      <c r="AB27" s="11"/>
      <c r="AC27" s="11"/>
      <c r="AD27" s="11"/>
      <c r="AE27" s="12" t="s">
        <v>157</v>
      </c>
      <c r="AF27" s="12"/>
      <c r="AG27" s="12"/>
      <c r="AH27" s="12"/>
      <c r="AI27" s="11"/>
      <c r="AJ27" s="11"/>
      <c r="AK27" s="11"/>
      <c r="AL27" s="11"/>
      <c r="AM27" s="11"/>
      <c r="AN27" s="11"/>
      <c r="AO27" s="11"/>
      <c r="AP27" s="11"/>
      <c r="AQ27" s="11"/>
      <c r="AR27" s="11"/>
      <c r="AS27" s="11"/>
      <c r="AT27" s="11"/>
      <c r="AU27" s="11"/>
      <c r="AV27" s="11"/>
      <c r="AW27" s="11"/>
      <c r="AX27" s="11"/>
    </row>
    <row r="28" customFormat="false" ht="12" hidden="false" customHeight="true" outlineLevel="0" collapsed="false">
      <c r="A28" s="5" t="s">
        <v>120</v>
      </c>
      <c r="P28" s="10" t="s">
        <v>48</v>
      </c>
      <c r="Q28" s="10"/>
      <c r="R28" s="10"/>
      <c r="S28" s="10"/>
      <c r="T28" s="10" t="s">
        <v>50</v>
      </c>
      <c r="U28" s="10"/>
      <c r="V28" s="10"/>
      <c r="W28" s="10"/>
      <c r="X28" s="10"/>
      <c r="Y28" s="10"/>
      <c r="Z28" s="10"/>
      <c r="AA28" s="10"/>
      <c r="AB28" s="10"/>
      <c r="AC28" s="10"/>
      <c r="AD28" s="10"/>
      <c r="AE28" s="10"/>
      <c r="AF28" s="10"/>
      <c r="AG28" s="10"/>
      <c r="AH28" s="10"/>
      <c r="AI28" s="10"/>
      <c r="AJ28" s="10"/>
      <c r="AK28" s="10"/>
      <c r="AL28" s="10" t="s">
        <v>45</v>
      </c>
      <c r="AM28" s="10"/>
      <c r="AN28" s="10"/>
      <c r="AO28" s="10"/>
      <c r="AP28" s="10" t="s">
        <v>46</v>
      </c>
      <c r="AQ28" s="10"/>
      <c r="AR28" s="10"/>
      <c r="AS28" s="10"/>
    </row>
    <row r="29" customFormat="false" ht="21.75" hidden="false" customHeight="true" outlineLevel="0" collapsed="false">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row>
    <row r="31" customFormat="false" ht="18.75" hidden="false" customHeight="true" outlineLevel="0" collapsed="false">
      <c r="A31" s="14" t="s">
        <v>158</v>
      </c>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row>
    <row r="32" customFormat="false" ht="15" hidden="false" customHeight="true" outlineLevel="0" collapsed="false">
      <c r="A32" s="8" t="s">
        <v>124</v>
      </c>
      <c r="B32" s="15" t="s">
        <v>30</v>
      </c>
      <c r="C32" s="15"/>
      <c r="D32" s="15"/>
      <c r="E32" s="15"/>
      <c r="G32" s="5" t="s">
        <v>125</v>
      </c>
    </row>
    <row r="33" customFormat="false" ht="12" hidden="false" customHeight="true" outlineLevel="0" collapsed="false">
      <c r="A33" s="5" t="s">
        <v>64</v>
      </c>
      <c r="F33" s="10" t="s">
        <v>0</v>
      </c>
      <c r="G33" s="10"/>
      <c r="H33" s="10"/>
      <c r="I33" s="10"/>
      <c r="J33" s="10" t="s">
        <v>1</v>
      </c>
      <c r="K33" s="10"/>
      <c r="L33" s="10"/>
      <c r="M33" s="10"/>
      <c r="N33" s="10" t="s">
        <v>2</v>
      </c>
      <c r="O33" s="10"/>
      <c r="P33" s="10"/>
      <c r="Q33" s="10"/>
      <c r="R33" s="10" t="s">
        <v>3</v>
      </c>
      <c r="S33" s="10"/>
      <c r="T33" s="10"/>
      <c r="U33" s="10"/>
      <c r="V33" s="10" t="s">
        <v>4</v>
      </c>
      <c r="W33" s="10"/>
      <c r="X33" s="10"/>
      <c r="Y33" s="10"/>
      <c r="Z33" s="10" t="s">
        <v>5</v>
      </c>
      <c r="AA33" s="10"/>
      <c r="AB33" s="10"/>
      <c r="AC33" s="10"/>
      <c r="AD33" s="10" t="s">
        <v>6</v>
      </c>
      <c r="AE33" s="10"/>
      <c r="AF33" s="10"/>
      <c r="AG33" s="10"/>
      <c r="AH33" s="10" t="s">
        <v>7</v>
      </c>
      <c r="AI33" s="10"/>
      <c r="AJ33" s="10"/>
      <c r="AK33" s="10"/>
      <c r="AL33" s="10" t="s">
        <v>8</v>
      </c>
      <c r="AM33" s="10"/>
      <c r="AN33" s="10"/>
      <c r="AO33" s="10"/>
      <c r="AP33" s="10" t="s">
        <v>9</v>
      </c>
      <c r="AQ33" s="10"/>
      <c r="AR33" s="10"/>
      <c r="AS33" s="10"/>
      <c r="AT33" s="10" t="s">
        <v>10</v>
      </c>
      <c r="AU33" s="10"/>
      <c r="AV33" s="10"/>
      <c r="AW33" s="10"/>
      <c r="AX33" s="10" t="s">
        <v>11</v>
      </c>
      <c r="AY33" s="10"/>
      <c r="AZ33" s="10"/>
      <c r="BA33" s="10"/>
    </row>
    <row r="34" customFormat="false" ht="21.75" hidden="false" customHeight="true" outlineLevel="0" collapsed="false">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row>
    <row r="35" customFormat="false" ht="12" hidden="false" customHeight="true" outlineLevel="0" collapsed="false">
      <c r="A35" s="5" t="s">
        <v>65</v>
      </c>
      <c r="H35" s="10" t="s">
        <v>66</v>
      </c>
      <c r="I35" s="10"/>
      <c r="J35" s="10"/>
      <c r="K35" s="10"/>
      <c r="L35" s="10" t="s">
        <v>67</v>
      </c>
      <c r="M35" s="10"/>
      <c r="N35" s="10"/>
      <c r="O35" s="10"/>
      <c r="P35" s="10" t="s">
        <v>68</v>
      </c>
      <c r="Q35" s="10"/>
      <c r="R35" s="10"/>
      <c r="S35" s="10"/>
      <c r="T35" s="10" t="s">
        <v>69</v>
      </c>
      <c r="U35" s="10"/>
      <c r="V35" s="10"/>
      <c r="W35" s="10"/>
      <c r="X35" s="10" t="s">
        <v>70</v>
      </c>
      <c r="Y35" s="10"/>
      <c r="Z35" s="10"/>
      <c r="AA35" s="10"/>
      <c r="AB35" s="10" t="s">
        <v>71</v>
      </c>
      <c r="AC35" s="10"/>
      <c r="AD35" s="10"/>
      <c r="AE35" s="10"/>
      <c r="AF35" s="10" t="s">
        <v>72</v>
      </c>
      <c r="AG35" s="10"/>
      <c r="AH35" s="10"/>
      <c r="AI35" s="10"/>
      <c r="AJ35" s="10" t="s">
        <v>73</v>
      </c>
      <c r="AK35" s="10"/>
      <c r="AL35" s="10"/>
      <c r="AM35" s="10"/>
      <c r="AN35" s="10" t="s">
        <v>74</v>
      </c>
      <c r="AO35" s="10"/>
      <c r="AP35" s="10"/>
      <c r="AQ35" s="10"/>
      <c r="AR35" s="10" t="s">
        <v>75</v>
      </c>
      <c r="AS35" s="10"/>
      <c r="AT35" s="10"/>
      <c r="AU35" s="10"/>
      <c r="AV35" s="10" t="s">
        <v>22</v>
      </c>
      <c r="AW35" s="10"/>
      <c r="AX35" s="10"/>
      <c r="AY35" s="10"/>
      <c r="AZ35" s="10" t="s">
        <v>23</v>
      </c>
      <c r="BA35" s="10"/>
      <c r="BB35" s="10"/>
      <c r="BC35" s="10"/>
    </row>
    <row r="36" customFormat="false" ht="21.75" hidden="false" customHeight="true" outlineLevel="0" collapsed="false">
      <c r="H36" s="11"/>
      <c r="I36" s="11"/>
      <c r="J36" s="11"/>
      <c r="K36" s="11"/>
      <c r="L36" s="12" t="s">
        <v>159</v>
      </c>
      <c r="M36" s="12"/>
      <c r="N36" s="12"/>
      <c r="O36" s="12"/>
      <c r="P36" s="12" t="s">
        <v>160</v>
      </c>
      <c r="Q36" s="12"/>
      <c r="R36" s="12"/>
      <c r="S36" s="12"/>
      <c r="T36" s="12" t="s">
        <v>161</v>
      </c>
      <c r="U36" s="12"/>
      <c r="V36" s="12"/>
      <c r="W36" s="12"/>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row>
    <row r="37" customFormat="false" ht="12" hidden="false" customHeight="true" outlineLevel="0" collapsed="false">
      <c r="A37" s="5" t="s">
        <v>82</v>
      </c>
      <c r="I37" s="10" t="s">
        <v>83</v>
      </c>
      <c r="J37" s="10"/>
      <c r="K37" s="10"/>
      <c r="L37" s="10"/>
      <c r="M37" s="10" t="s">
        <v>84</v>
      </c>
      <c r="N37" s="10"/>
      <c r="O37" s="10"/>
      <c r="P37" s="10"/>
      <c r="Q37" s="10" t="s">
        <v>85</v>
      </c>
      <c r="R37" s="10"/>
      <c r="S37" s="10"/>
      <c r="T37" s="10"/>
      <c r="U37" s="10" t="s">
        <v>86</v>
      </c>
      <c r="V37" s="10"/>
      <c r="W37" s="10"/>
      <c r="X37" s="10"/>
      <c r="Y37" s="10" t="s">
        <v>87</v>
      </c>
      <c r="Z37" s="10"/>
      <c r="AA37" s="10"/>
      <c r="AB37" s="10"/>
      <c r="AC37" s="10" t="s">
        <v>88</v>
      </c>
      <c r="AD37" s="10"/>
      <c r="AE37" s="10"/>
      <c r="AF37" s="10"/>
      <c r="AG37" s="10" t="s">
        <v>89</v>
      </c>
      <c r="AH37" s="10"/>
      <c r="AI37" s="10"/>
      <c r="AJ37" s="10"/>
      <c r="AK37" s="10" t="s">
        <v>90</v>
      </c>
      <c r="AL37" s="10"/>
      <c r="AM37" s="10"/>
      <c r="AN37" s="10"/>
      <c r="AO37" s="10" t="s">
        <v>91</v>
      </c>
      <c r="AP37" s="10"/>
      <c r="AQ37" s="10"/>
      <c r="AR37" s="10"/>
      <c r="AS37" s="10" t="s">
        <v>33</v>
      </c>
      <c r="AT37" s="10"/>
      <c r="AU37" s="10"/>
      <c r="AV37" s="10"/>
      <c r="AW37" s="10" t="s">
        <v>34</v>
      </c>
      <c r="AX37" s="10"/>
      <c r="AY37" s="10"/>
      <c r="AZ37" s="10"/>
    </row>
    <row r="38" customFormat="false" ht="21.75" hidden="false" customHeight="true" outlineLevel="0" collapsed="false">
      <c r="I38" s="12" t="s">
        <v>162</v>
      </c>
      <c r="J38" s="12"/>
      <c r="K38" s="12"/>
      <c r="L38" s="12"/>
      <c r="M38" s="12" t="s">
        <v>163</v>
      </c>
      <c r="N38" s="12"/>
      <c r="O38" s="12"/>
      <c r="P38" s="12"/>
      <c r="Q38" s="12" t="s">
        <v>164</v>
      </c>
      <c r="R38" s="12"/>
      <c r="S38" s="12"/>
      <c r="T38" s="12"/>
      <c r="U38" s="12" t="s">
        <v>165</v>
      </c>
      <c r="V38" s="12"/>
      <c r="W38" s="12"/>
      <c r="X38" s="12"/>
      <c r="Y38" s="12" t="s">
        <v>166</v>
      </c>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row>
    <row r="39" customFormat="false" ht="12" hidden="false" customHeight="true" outlineLevel="0" collapsed="false">
      <c r="A39" s="5" t="s">
        <v>102</v>
      </c>
      <c r="K39" s="10" t="s">
        <v>103</v>
      </c>
      <c r="L39" s="10"/>
      <c r="M39" s="10"/>
      <c r="N39" s="10"/>
      <c r="O39" s="10" t="s">
        <v>104</v>
      </c>
      <c r="P39" s="10"/>
      <c r="Q39" s="10"/>
      <c r="R39" s="10"/>
      <c r="S39" s="10" t="s">
        <v>105</v>
      </c>
      <c r="T39" s="10"/>
      <c r="U39" s="10"/>
      <c r="V39" s="10"/>
      <c r="W39" s="10" t="s">
        <v>106</v>
      </c>
      <c r="X39" s="10"/>
      <c r="Y39" s="10"/>
      <c r="Z39" s="10"/>
      <c r="AA39" s="10" t="s">
        <v>107</v>
      </c>
      <c r="AB39" s="10"/>
      <c r="AC39" s="10"/>
      <c r="AD39" s="10"/>
      <c r="AE39" s="10" t="s">
        <v>108</v>
      </c>
      <c r="AF39" s="10"/>
      <c r="AG39" s="10"/>
      <c r="AH39" s="10"/>
      <c r="AI39" s="10" t="s">
        <v>109</v>
      </c>
      <c r="AJ39" s="10"/>
      <c r="AK39" s="10"/>
      <c r="AL39" s="10"/>
      <c r="AM39" s="10" t="s">
        <v>42</v>
      </c>
      <c r="AN39" s="10"/>
      <c r="AO39" s="10"/>
      <c r="AP39" s="10"/>
      <c r="AQ39" s="10" t="s">
        <v>43</v>
      </c>
      <c r="AR39" s="10"/>
      <c r="AS39" s="10"/>
      <c r="AT39" s="10"/>
      <c r="AU39" s="10" t="s">
        <v>44</v>
      </c>
      <c r="AV39" s="10"/>
      <c r="AW39" s="10"/>
      <c r="AX39" s="10"/>
    </row>
    <row r="40" customFormat="false" ht="21.75" hidden="false" customHeight="true" outlineLevel="0" collapsed="false">
      <c r="K40" s="12" t="s">
        <v>167</v>
      </c>
      <c r="L40" s="12"/>
      <c r="M40" s="12"/>
      <c r="N40" s="12"/>
      <c r="O40" s="12" t="s">
        <v>168</v>
      </c>
      <c r="P40" s="12"/>
      <c r="Q40" s="12"/>
      <c r="R40" s="12"/>
      <c r="S40" s="12" t="s">
        <v>169</v>
      </c>
      <c r="T40" s="12"/>
      <c r="U40" s="12"/>
      <c r="V40" s="12"/>
      <c r="W40" s="12" t="s">
        <v>170</v>
      </c>
      <c r="X40" s="12"/>
      <c r="Y40" s="12"/>
      <c r="Z40" s="12"/>
      <c r="AA40" s="12" t="s">
        <v>171</v>
      </c>
      <c r="AB40" s="12"/>
      <c r="AC40" s="12"/>
      <c r="AD40" s="12"/>
      <c r="AE40" s="11"/>
      <c r="AF40" s="11"/>
      <c r="AG40" s="11"/>
      <c r="AH40" s="11"/>
      <c r="AI40" s="11"/>
      <c r="AJ40" s="11"/>
      <c r="AK40" s="11"/>
      <c r="AL40" s="11"/>
      <c r="AM40" s="11"/>
      <c r="AN40" s="11"/>
      <c r="AO40" s="11"/>
      <c r="AP40" s="11"/>
      <c r="AQ40" s="11"/>
      <c r="AR40" s="11"/>
      <c r="AS40" s="11"/>
      <c r="AT40" s="11"/>
      <c r="AU40" s="11"/>
      <c r="AV40" s="11"/>
      <c r="AW40" s="11"/>
      <c r="AX40" s="11"/>
    </row>
    <row r="41" customFormat="false" ht="12" hidden="false" customHeight="true" outlineLevel="0" collapsed="false">
      <c r="A41" s="5" t="s">
        <v>120</v>
      </c>
      <c r="P41" s="10" t="s">
        <v>48</v>
      </c>
      <c r="Q41" s="10"/>
      <c r="R41" s="10"/>
      <c r="S41" s="10"/>
      <c r="T41" s="10" t="s">
        <v>50</v>
      </c>
      <c r="U41" s="10"/>
      <c r="V41" s="10"/>
      <c r="W41" s="10"/>
      <c r="X41" s="10"/>
      <c r="Y41" s="10"/>
      <c r="Z41" s="10"/>
      <c r="AA41" s="10"/>
      <c r="AB41" s="10"/>
      <c r="AC41" s="10"/>
      <c r="AD41" s="10"/>
      <c r="AE41" s="10"/>
      <c r="AF41" s="10"/>
      <c r="AG41" s="10"/>
      <c r="AH41" s="10"/>
      <c r="AI41" s="10"/>
      <c r="AJ41" s="10"/>
      <c r="AK41" s="10"/>
      <c r="AL41" s="10" t="s">
        <v>45</v>
      </c>
      <c r="AM41" s="10"/>
      <c r="AN41" s="10"/>
      <c r="AO41" s="10"/>
      <c r="AP41" s="10" t="s">
        <v>46</v>
      </c>
      <c r="AQ41" s="10"/>
      <c r="AR41" s="10"/>
      <c r="AS41" s="10"/>
    </row>
    <row r="42" customFormat="false" ht="21.75" hidden="false" customHeight="true" outlineLevel="0" collapsed="false">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row>
    <row r="44" customFormat="false" ht="18.75" hidden="false" customHeight="true" outlineLevel="0" collapsed="false">
      <c r="A44" s="14" t="s">
        <v>172</v>
      </c>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row>
    <row r="45" customFormat="false" ht="15" hidden="false" customHeight="true" outlineLevel="0" collapsed="false">
      <c r="A45" s="8" t="s">
        <v>124</v>
      </c>
      <c r="B45" s="15" t="s">
        <v>38</v>
      </c>
      <c r="C45" s="15"/>
      <c r="D45" s="15"/>
      <c r="E45" s="15"/>
      <c r="G45" s="5" t="s">
        <v>125</v>
      </c>
    </row>
    <row r="46" customFormat="false" ht="12" hidden="false" customHeight="true" outlineLevel="0" collapsed="false">
      <c r="A46" s="5" t="s">
        <v>64</v>
      </c>
      <c r="F46" s="10" t="s">
        <v>0</v>
      </c>
      <c r="G46" s="10"/>
      <c r="H46" s="10"/>
      <c r="I46" s="10"/>
      <c r="J46" s="10" t="s">
        <v>1</v>
      </c>
      <c r="K46" s="10"/>
      <c r="L46" s="10"/>
      <c r="M46" s="10"/>
      <c r="N46" s="10" t="s">
        <v>2</v>
      </c>
      <c r="O46" s="10"/>
      <c r="P46" s="10"/>
      <c r="Q46" s="10"/>
      <c r="R46" s="10" t="s">
        <v>3</v>
      </c>
      <c r="S46" s="10"/>
      <c r="T46" s="10"/>
      <c r="U46" s="10"/>
      <c r="V46" s="10" t="s">
        <v>4</v>
      </c>
      <c r="W46" s="10"/>
      <c r="X46" s="10"/>
      <c r="Y46" s="10"/>
      <c r="Z46" s="10" t="s">
        <v>5</v>
      </c>
      <c r="AA46" s="10"/>
      <c r="AB46" s="10"/>
      <c r="AC46" s="10"/>
      <c r="AD46" s="10" t="s">
        <v>6</v>
      </c>
      <c r="AE46" s="10"/>
      <c r="AF46" s="10"/>
      <c r="AG46" s="10"/>
      <c r="AH46" s="10" t="s">
        <v>7</v>
      </c>
      <c r="AI46" s="10"/>
      <c r="AJ46" s="10"/>
      <c r="AK46" s="10"/>
      <c r="AL46" s="10" t="s">
        <v>8</v>
      </c>
      <c r="AM46" s="10"/>
      <c r="AN46" s="10"/>
      <c r="AO46" s="10"/>
      <c r="AP46" s="10" t="s">
        <v>9</v>
      </c>
      <c r="AQ46" s="10"/>
      <c r="AR46" s="10"/>
      <c r="AS46" s="10"/>
      <c r="AT46" s="10" t="s">
        <v>10</v>
      </c>
      <c r="AU46" s="10"/>
      <c r="AV46" s="10"/>
      <c r="AW46" s="10"/>
      <c r="AX46" s="10" t="s">
        <v>11</v>
      </c>
      <c r="AY46" s="10"/>
      <c r="AZ46" s="10"/>
      <c r="BA46" s="10"/>
    </row>
    <row r="47" customFormat="false" ht="21.75" hidden="false" customHeight="true" outlineLevel="0" collapsed="false">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row>
    <row r="48" customFormat="false" ht="12" hidden="false" customHeight="true" outlineLevel="0" collapsed="false">
      <c r="A48" s="5" t="s">
        <v>65</v>
      </c>
      <c r="H48" s="10" t="s">
        <v>66</v>
      </c>
      <c r="I48" s="10"/>
      <c r="J48" s="10"/>
      <c r="K48" s="10"/>
      <c r="L48" s="10" t="s">
        <v>67</v>
      </c>
      <c r="M48" s="10"/>
      <c r="N48" s="10"/>
      <c r="O48" s="10"/>
      <c r="P48" s="10" t="s">
        <v>68</v>
      </c>
      <c r="Q48" s="10"/>
      <c r="R48" s="10"/>
      <c r="S48" s="10"/>
      <c r="T48" s="10" t="s">
        <v>69</v>
      </c>
      <c r="U48" s="10"/>
      <c r="V48" s="10"/>
      <c r="W48" s="10"/>
      <c r="X48" s="10" t="s">
        <v>70</v>
      </c>
      <c r="Y48" s="10"/>
      <c r="Z48" s="10"/>
      <c r="AA48" s="10"/>
      <c r="AB48" s="10" t="s">
        <v>71</v>
      </c>
      <c r="AC48" s="10"/>
      <c r="AD48" s="10"/>
      <c r="AE48" s="10"/>
      <c r="AF48" s="10" t="s">
        <v>72</v>
      </c>
      <c r="AG48" s="10"/>
      <c r="AH48" s="10"/>
      <c r="AI48" s="10"/>
      <c r="AJ48" s="10" t="s">
        <v>73</v>
      </c>
      <c r="AK48" s="10"/>
      <c r="AL48" s="10"/>
      <c r="AM48" s="10"/>
      <c r="AN48" s="10" t="s">
        <v>74</v>
      </c>
      <c r="AO48" s="10"/>
      <c r="AP48" s="10"/>
      <c r="AQ48" s="10"/>
      <c r="AR48" s="10" t="s">
        <v>75</v>
      </c>
      <c r="AS48" s="10"/>
      <c r="AT48" s="10"/>
      <c r="AU48" s="10"/>
      <c r="AV48" s="10" t="s">
        <v>22</v>
      </c>
      <c r="AW48" s="10"/>
      <c r="AX48" s="10"/>
      <c r="AY48" s="10"/>
      <c r="AZ48" s="10" t="s">
        <v>23</v>
      </c>
      <c r="BA48" s="10"/>
      <c r="BB48" s="10"/>
      <c r="BC48" s="10"/>
    </row>
    <row r="49" customFormat="false" ht="21.75" hidden="false" customHeight="true" outlineLevel="0" collapsed="false">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2" t="s">
        <v>173</v>
      </c>
      <c r="AS49" s="12"/>
      <c r="AT49" s="12"/>
      <c r="AU49" s="12"/>
      <c r="AV49" s="11"/>
      <c r="AW49" s="11"/>
      <c r="AX49" s="11"/>
      <c r="AY49" s="11"/>
      <c r="AZ49" s="11"/>
      <c r="BA49" s="11"/>
      <c r="BB49" s="11"/>
      <c r="BC49" s="11"/>
    </row>
    <row r="50" customFormat="false" ht="12" hidden="false" customHeight="true" outlineLevel="0" collapsed="false">
      <c r="A50" s="5" t="s">
        <v>82</v>
      </c>
      <c r="I50" s="10" t="s">
        <v>83</v>
      </c>
      <c r="J50" s="10"/>
      <c r="K50" s="10"/>
      <c r="L50" s="10"/>
      <c r="M50" s="10" t="s">
        <v>84</v>
      </c>
      <c r="N50" s="10"/>
      <c r="O50" s="10"/>
      <c r="P50" s="10"/>
      <c r="Q50" s="10" t="s">
        <v>85</v>
      </c>
      <c r="R50" s="10"/>
      <c r="S50" s="10"/>
      <c r="T50" s="10"/>
      <c r="U50" s="10" t="s">
        <v>86</v>
      </c>
      <c r="V50" s="10"/>
      <c r="W50" s="10"/>
      <c r="X50" s="10"/>
      <c r="Y50" s="10" t="s">
        <v>87</v>
      </c>
      <c r="Z50" s="10"/>
      <c r="AA50" s="10"/>
      <c r="AB50" s="10"/>
      <c r="AC50" s="10" t="s">
        <v>88</v>
      </c>
      <c r="AD50" s="10"/>
      <c r="AE50" s="10"/>
      <c r="AF50" s="10"/>
      <c r="AG50" s="10" t="s">
        <v>89</v>
      </c>
      <c r="AH50" s="10"/>
      <c r="AI50" s="10"/>
      <c r="AJ50" s="10"/>
      <c r="AK50" s="10" t="s">
        <v>90</v>
      </c>
      <c r="AL50" s="10"/>
      <c r="AM50" s="10"/>
      <c r="AN50" s="10"/>
      <c r="AO50" s="10" t="s">
        <v>91</v>
      </c>
      <c r="AP50" s="10"/>
      <c r="AQ50" s="10"/>
      <c r="AR50" s="10"/>
      <c r="AS50" s="10" t="s">
        <v>33</v>
      </c>
      <c r="AT50" s="10"/>
      <c r="AU50" s="10"/>
      <c r="AV50" s="10"/>
      <c r="AW50" s="10" t="s">
        <v>34</v>
      </c>
      <c r="AX50" s="10"/>
      <c r="AY50" s="10"/>
      <c r="AZ50" s="10"/>
    </row>
    <row r="51" customFormat="false" ht="21.75" hidden="false" customHeight="true" outlineLevel="0" collapsed="false">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2" t="s">
        <v>174</v>
      </c>
      <c r="AT51" s="12"/>
      <c r="AU51" s="12"/>
      <c r="AV51" s="12"/>
      <c r="AW51" s="11"/>
      <c r="AX51" s="11"/>
      <c r="AY51" s="11"/>
      <c r="AZ51" s="11"/>
    </row>
    <row r="52" customFormat="false" ht="12" hidden="false" customHeight="true" outlineLevel="0" collapsed="false">
      <c r="A52" s="5" t="s">
        <v>102</v>
      </c>
      <c r="K52" s="10" t="s">
        <v>103</v>
      </c>
      <c r="L52" s="10"/>
      <c r="M52" s="10"/>
      <c r="N52" s="10"/>
      <c r="O52" s="10" t="s">
        <v>104</v>
      </c>
      <c r="P52" s="10"/>
      <c r="Q52" s="10"/>
      <c r="R52" s="10"/>
      <c r="S52" s="10" t="s">
        <v>105</v>
      </c>
      <c r="T52" s="10"/>
      <c r="U52" s="10"/>
      <c r="V52" s="10"/>
      <c r="W52" s="10" t="s">
        <v>106</v>
      </c>
      <c r="X52" s="10"/>
      <c r="Y52" s="10"/>
      <c r="Z52" s="10"/>
      <c r="AA52" s="10" t="s">
        <v>107</v>
      </c>
      <c r="AB52" s="10"/>
      <c r="AC52" s="10"/>
      <c r="AD52" s="10"/>
      <c r="AE52" s="10" t="s">
        <v>108</v>
      </c>
      <c r="AF52" s="10"/>
      <c r="AG52" s="10"/>
      <c r="AH52" s="10"/>
      <c r="AI52" s="10" t="s">
        <v>109</v>
      </c>
      <c r="AJ52" s="10"/>
      <c r="AK52" s="10"/>
      <c r="AL52" s="10"/>
      <c r="AM52" s="10" t="s">
        <v>42</v>
      </c>
      <c r="AN52" s="10"/>
      <c r="AO52" s="10"/>
      <c r="AP52" s="10"/>
      <c r="AQ52" s="10" t="s">
        <v>43</v>
      </c>
      <c r="AR52" s="10"/>
      <c r="AS52" s="10"/>
      <c r="AT52" s="10"/>
      <c r="AU52" s="10" t="s">
        <v>44</v>
      </c>
      <c r="AV52" s="10"/>
      <c r="AW52" s="10"/>
      <c r="AX52" s="10"/>
    </row>
    <row r="53" customFormat="false" ht="21.75" hidden="false" customHeight="true" outlineLevel="0" collapsed="false">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customFormat="false" ht="12" hidden="false" customHeight="true" outlineLevel="0" collapsed="false">
      <c r="A54" s="5" t="s">
        <v>120</v>
      </c>
      <c r="P54" s="10" t="s">
        <v>48</v>
      </c>
      <c r="Q54" s="10"/>
      <c r="R54" s="10"/>
      <c r="S54" s="10"/>
      <c r="T54" s="10" t="s">
        <v>50</v>
      </c>
      <c r="U54" s="10"/>
      <c r="V54" s="10"/>
      <c r="W54" s="10"/>
      <c r="X54" s="10"/>
      <c r="Y54" s="10"/>
      <c r="Z54" s="10"/>
      <c r="AA54" s="10"/>
      <c r="AB54" s="10"/>
      <c r="AC54" s="10"/>
      <c r="AD54" s="10"/>
      <c r="AE54" s="10"/>
      <c r="AF54" s="10"/>
      <c r="AG54" s="10"/>
      <c r="AH54" s="10"/>
      <c r="AI54" s="10"/>
      <c r="AJ54" s="10"/>
      <c r="AK54" s="10"/>
      <c r="AL54" s="10" t="s">
        <v>45</v>
      </c>
      <c r="AM54" s="10"/>
      <c r="AN54" s="10"/>
      <c r="AO54" s="10"/>
      <c r="AP54" s="10" t="s">
        <v>46</v>
      </c>
      <c r="AQ54" s="10"/>
      <c r="AR54" s="10"/>
      <c r="AS54" s="10"/>
    </row>
    <row r="55" customFormat="false" ht="21.75" hidden="false" customHeight="true" outlineLevel="0" collapsed="false">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row>
    <row r="57" customFormat="false" ht="18.75" hidden="false" customHeight="true" outlineLevel="0" collapsed="false">
      <c r="A57" s="14" t="s">
        <v>175</v>
      </c>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row>
    <row r="58" customFormat="false" ht="15" hidden="false" customHeight="true" outlineLevel="0" collapsed="false">
      <c r="A58" s="8" t="s">
        <v>124</v>
      </c>
      <c r="B58" s="15" t="s">
        <v>41</v>
      </c>
      <c r="C58" s="15"/>
      <c r="D58" s="15"/>
      <c r="E58" s="15"/>
      <c r="G58" s="5" t="s">
        <v>125</v>
      </c>
    </row>
    <row r="59" customFormat="false" ht="12" hidden="false" customHeight="true" outlineLevel="0" collapsed="false">
      <c r="A59" s="5" t="s">
        <v>64</v>
      </c>
      <c r="F59" s="10" t="s">
        <v>0</v>
      </c>
      <c r="G59" s="10"/>
      <c r="H59" s="10"/>
      <c r="I59" s="10"/>
      <c r="J59" s="10" t="s">
        <v>1</v>
      </c>
      <c r="K59" s="10"/>
      <c r="L59" s="10"/>
      <c r="M59" s="10"/>
      <c r="N59" s="10" t="s">
        <v>2</v>
      </c>
      <c r="O59" s="10"/>
      <c r="P59" s="10"/>
      <c r="Q59" s="10"/>
      <c r="R59" s="10" t="s">
        <v>3</v>
      </c>
      <c r="S59" s="10"/>
      <c r="T59" s="10"/>
      <c r="U59" s="10"/>
      <c r="V59" s="10" t="s">
        <v>4</v>
      </c>
      <c r="W59" s="10"/>
      <c r="X59" s="10"/>
      <c r="Y59" s="10"/>
      <c r="Z59" s="10" t="s">
        <v>5</v>
      </c>
      <c r="AA59" s="10"/>
      <c r="AB59" s="10"/>
      <c r="AC59" s="10"/>
      <c r="AD59" s="10" t="s">
        <v>6</v>
      </c>
      <c r="AE59" s="10"/>
      <c r="AF59" s="10"/>
      <c r="AG59" s="10"/>
      <c r="AH59" s="10" t="s">
        <v>7</v>
      </c>
      <c r="AI59" s="10"/>
      <c r="AJ59" s="10"/>
      <c r="AK59" s="10"/>
      <c r="AL59" s="10" t="s">
        <v>8</v>
      </c>
      <c r="AM59" s="10"/>
      <c r="AN59" s="10"/>
      <c r="AO59" s="10"/>
      <c r="AP59" s="10" t="s">
        <v>9</v>
      </c>
      <c r="AQ59" s="10"/>
      <c r="AR59" s="10"/>
      <c r="AS59" s="10"/>
      <c r="AT59" s="10" t="s">
        <v>10</v>
      </c>
      <c r="AU59" s="10"/>
      <c r="AV59" s="10"/>
      <c r="AW59" s="10"/>
      <c r="AX59" s="10" t="s">
        <v>11</v>
      </c>
      <c r="AY59" s="10"/>
      <c r="AZ59" s="10"/>
      <c r="BA59" s="10"/>
    </row>
    <row r="60" customFormat="false" ht="21.75" hidden="false" customHeight="true" outlineLevel="0" collapsed="false">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row>
    <row r="61" customFormat="false" ht="12" hidden="false" customHeight="true" outlineLevel="0" collapsed="false">
      <c r="A61" s="5" t="s">
        <v>65</v>
      </c>
      <c r="H61" s="10" t="s">
        <v>66</v>
      </c>
      <c r="I61" s="10"/>
      <c r="J61" s="10"/>
      <c r="K61" s="10"/>
      <c r="L61" s="10" t="s">
        <v>67</v>
      </c>
      <c r="M61" s="10"/>
      <c r="N61" s="10"/>
      <c r="O61" s="10"/>
      <c r="P61" s="10" t="s">
        <v>68</v>
      </c>
      <c r="Q61" s="10"/>
      <c r="R61" s="10"/>
      <c r="S61" s="10"/>
      <c r="T61" s="10" t="s">
        <v>69</v>
      </c>
      <c r="U61" s="10"/>
      <c r="V61" s="10"/>
      <c r="W61" s="10"/>
      <c r="X61" s="10" t="s">
        <v>70</v>
      </c>
      <c r="Y61" s="10"/>
      <c r="Z61" s="10"/>
      <c r="AA61" s="10"/>
      <c r="AB61" s="10" t="s">
        <v>71</v>
      </c>
      <c r="AC61" s="10"/>
      <c r="AD61" s="10"/>
      <c r="AE61" s="10"/>
      <c r="AF61" s="10" t="s">
        <v>72</v>
      </c>
      <c r="AG61" s="10"/>
      <c r="AH61" s="10"/>
      <c r="AI61" s="10"/>
      <c r="AJ61" s="10" t="s">
        <v>73</v>
      </c>
      <c r="AK61" s="10"/>
      <c r="AL61" s="10"/>
      <c r="AM61" s="10"/>
      <c r="AN61" s="10" t="s">
        <v>74</v>
      </c>
      <c r="AO61" s="10"/>
      <c r="AP61" s="10"/>
      <c r="AQ61" s="10"/>
      <c r="AR61" s="10" t="s">
        <v>75</v>
      </c>
      <c r="AS61" s="10"/>
      <c r="AT61" s="10"/>
      <c r="AU61" s="10"/>
      <c r="AV61" s="10" t="s">
        <v>22</v>
      </c>
      <c r="AW61" s="10"/>
      <c r="AX61" s="10"/>
      <c r="AY61" s="10"/>
      <c r="AZ61" s="10" t="s">
        <v>23</v>
      </c>
      <c r="BA61" s="10"/>
      <c r="BB61" s="10"/>
      <c r="BC61" s="10"/>
    </row>
    <row r="62" customFormat="false" ht="21.75" hidden="false" customHeight="true" outlineLevel="0" collapsed="false">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row>
    <row r="63" customFormat="false" ht="12" hidden="false" customHeight="true" outlineLevel="0" collapsed="false">
      <c r="A63" s="5" t="s">
        <v>82</v>
      </c>
      <c r="I63" s="10" t="s">
        <v>83</v>
      </c>
      <c r="J63" s="10"/>
      <c r="K63" s="10"/>
      <c r="L63" s="10"/>
      <c r="M63" s="10" t="s">
        <v>84</v>
      </c>
      <c r="N63" s="10"/>
      <c r="O63" s="10"/>
      <c r="P63" s="10"/>
      <c r="Q63" s="10" t="s">
        <v>85</v>
      </c>
      <c r="R63" s="10"/>
      <c r="S63" s="10"/>
      <c r="T63" s="10"/>
      <c r="U63" s="10" t="s">
        <v>86</v>
      </c>
      <c r="V63" s="10"/>
      <c r="W63" s="10"/>
      <c r="X63" s="10"/>
      <c r="Y63" s="10" t="s">
        <v>87</v>
      </c>
      <c r="Z63" s="10"/>
      <c r="AA63" s="10"/>
      <c r="AB63" s="10"/>
      <c r="AC63" s="10" t="s">
        <v>88</v>
      </c>
      <c r="AD63" s="10"/>
      <c r="AE63" s="10"/>
      <c r="AF63" s="10"/>
      <c r="AG63" s="10" t="s">
        <v>89</v>
      </c>
      <c r="AH63" s="10"/>
      <c r="AI63" s="10"/>
      <c r="AJ63" s="10"/>
      <c r="AK63" s="10" t="s">
        <v>90</v>
      </c>
      <c r="AL63" s="10"/>
      <c r="AM63" s="10"/>
      <c r="AN63" s="10"/>
      <c r="AO63" s="10" t="s">
        <v>91</v>
      </c>
      <c r="AP63" s="10"/>
      <c r="AQ63" s="10"/>
      <c r="AR63" s="10"/>
      <c r="AS63" s="10" t="s">
        <v>33</v>
      </c>
      <c r="AT63" s="10"/>
      <c r="AU63" s="10"/>
      <c r="AV63" s="10"/>
      <c r="AW63" s="10" t="s">
        <v>34</v>
      </c>
      <c r="AX63" s="10"/>
      <c r="AY63" s="10"/>
      <c r="AZ63" s="10"/>
    </row>
    <row r="64" customFormat="false" ht="21.75" hidden="false" customHeight="true" outlineLevel="0" collapsed="false">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row>
    <row r="65" customFormat="false" ht="12" hidden="false" customHeight="true" outlineLevel="0" collapsed="false">
      <c r="A65" s="5" t="s">
        <v>102</v>
      </c>
      <c r="K65" s="10" t="s">
        <v>103</v>
      </c>
      <c r="L65" s="10"/>
      <c r="M65" s="10"/>
      <c r="N65" s="10"/>
      <c r="O65" s="10" t="s">
        <v>104</v>
      </c>
      <c r="P65" s="10"/>
      <c r="Q65" s="10"/>
      <c r="R65" s="10"/>
      <c r="S65" s="10" t="s">
        <v>105</v>
      </c>
      <c r="T65" s="10"/>
      <c r="U65" s="10"/>
      <c r="V65" s="10"/>
      <c r="W65" s="10" t="s">
        <v>106</v>
      </c>
      <c r="X65" s="10"/>
      <c r="Y65" s="10"/>
      <c r="Z65" s="10"/>
      <c r="AA65" s="10" t="s">
        <v>107</v>
      </c>
      <c r="AB65" s="10"/>
      <c r="AC65" s="10"/>
      <c r="AD65" s="10"/>
      <c r="AE65" s="10" t="s">
        <v>108</v>
      </c>
      <c r="AF65" s="10"/>
      <c r="AG65" s="10"/>
      <c r="AH65" s="10"/>
      <c r="AI65" s="10" t="s">
        <v>109</v>
      </c>
      <c r="AJ65" s="10"/>
      <c r="AK65" s="10"/>
      <c r="AL65" s="10"/>
      <c r="AM65" s="10" t="s">
        <v>42</v>
      </c>
      <c r="AN65" s="10"/>
      <c r="AO65" s="10"/>
      <c r="AP65" s="10"/>
      <c r="AQ65" s="10" t="s">
        <v>43</v>
      </c>
      <c r="AR65" s="10"/>
      <c r="AS65" s="10"/>
      <c r="AT65" s="10"/>
      <c r="AU65" s="10" t="s">
        <v>44</v>
      </c>
      <c r="AV65" s="10"/>
      <c r="AW65" s="10"/>
      <c r="AX65" s="10"/>
    </row>
    <row r="66" customFormat="false" ht="21.75" hidden="false" customHeight="true" outlineLevel="0" collapsed="false">
      <c r="K66" s="12" t="s">
        <v>176</v>
      </c>
      <c r="L66" s="12"/>
      <c r="M66" s="12"/>
      <c r="N66" s="12"/>
      <c r="O66" s="12" t="s">
        <v>177</v>
      </c>
      <c r="P66" s="12"/>
      <c r="Q66" s="12"/>
      <c r="R66" s="12"/>
      <c r="S66" s="12" t="s">
        <v>178</v>
      </c>
      <c r="T66" s="12"/>
      <c r="U66" s="12"/>
      <c r="V66" s="12"/>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customFormat="false" ht="12" hidden="false" customHeight="true" outlineLevel="0" collapsed="false">
      <c r="A67" s="5" t="s">
        <v>120</v>
      </c>
      <c r="P67" s="10" t="s">
        <v>48</v>
      </c>
      <c r="Q67" s="10"/>
      <c r="R67" s="10"/>
      <c r="S67" s="10"/>
      <c r="T67" s="10" t="s">
        <v>50</v>
      </c>
      <c r="U67" s="10"/>
      <c r="V67" s="10"/>
      <c r="W67" s="10"/>
      <c r="X67" s="10"/>
      <c r="Y67" s="10"/>
      <c r="Z67" s="10"/>
      <c r="AA67" s="10"/>
      <c r="AB67" s="10"/>
      <c r="AC67" s="10"/>
      <c r="AD67" s="10"/>
      <c r="AE67" s="10"/>
      <c r="AF67" s="10"/>
      <c r="AG67" s="10"/>
      <c r="AH67" s="10"/>
      <c r="AI67" s="10"/>
      <c r="AJ67" s="10"/>
      <c r="AK67" s="10"/>
      <c r="AL67" s="10" t="s">
        <v>45</v>
      </c>
      <c r="AM67" s="10"/>
      <c r="AN67" s="10"/>
      <c r="AO67" s="10"/>
      <c r="AP67" s="10" t="s">
        <v>46</v>
      </c>
      <c r="AQ67" s="10"/>
      <c r="AR67" s="10"/>
      <c r="AS67" s="10"/>
    </row>
    <row r="68" customFormat="false" ht="21.75" hidden="false" customHeight="true" outlineLevel="0" collapsed="false">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row>
    <row r="70" customFormat="false" ht="18.75" hidden="false" customHeight="true" outlineLevel="0" collapsed="false">
      <c r="A70" s="14" t="s">
        <v>179</v>
      </c>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row>
    <row r="71" customFormat="false" ht="15" hidden="false" customHeight="true" outlineLevel="0" collapsed="false">
      <c r="A71" s="8" t="s">
        <v>124</v>
      </c>
      <c r="B71" s="15" t="s">
        <v>29</v>
      </c>
      <c r="C71" s="15"/>
      <c r="D71" s="15"/>
      <c r="E71" s="15"/>
      <c r="G71" s="5" t="s">
        <v>125</v>
      </c>
    </row>
    <row r="72" customFormat="false" ht="12" hidden="false" customHeight="true" outlineLevel="0" collapsed="false">
      <c r="A72" s="5" t="s">
        <v>64</v>
      </c>
      <c r="F72" s="10" t="s">
        <v>0</v>
      </c>
      <c r="G72" s="10"/>
      <c r="H72" s="10"/>
      <c r="I72" s="10"/>
      <c r="J72" s="10" t="s">
        <v>1</v>
      </c>
      <c r="K72" s="10"/>
      <c r="L72" s="10"/>
      <c r="M72" s="10"/>
      <c r="N72" s="10" t="s">
        <v>2</v>
      </c>
      <c r="O72" s="10"/>
      <c r="P72" s="10"/>
      <c r="Q72" s="10"/>
      <c r="R72" s="10" t="s">
        <v>3</v>
      </c>
      <c r="S72" s="10"/>
      <c r="T72" s="10"/>
      <c r="U72" s="10"/>
      <c r="V72" s="10" t="s">
        <v>4</v>
      </c>
      <c r="W72" s="10"/>
      <c r="X72" s="10"/>
      <c r="Y72" s="10"/>
      <c r="Z72" s="10" t="s">
        <v>5</v>
      </c>
      <c r="AA72" s="10"/>
      <c r="AB72" s="10"/>
      <c r="AC72" s="10"/>
      <c r="AD72" s="10" t="s">
        <v>6</v>
      </c>
      <c r="AE72" s="10"/>
      <c r="AF72" s="10"/>
      <c r="AG72" s="10"/>
      <c r="AH72" s="10" t="s">
        <v>7</v>
      </c>
      <c r="AI72" s="10"/>
      <c r="AJ72" s="10"/>
      <c r="AK72" s="10"/>
      <c r="AL72" s="10" t="s">
        <v>8</v>
      </c>
      <c r="AM72" s="10"/>
      <c r="AN72" s="10"/>
      <c r="AO72" s="10"/>
      <c r="AP72" s="10" t="s">
        <v>9</v>
      </c>
      <c r="AQ72" s="10"/>
      <c r="AR72" s="10"/>
      <c r="AS72" s="10"/>
      <c r="AT72" s="10" t="s">
        <v>10</v>
      </c>
      <c r="AU72" s="10"/>
      <c r="AV72" s="10"/>
      <c r="AW72" s="10"/>
      <c r="AX72" s="10" t="s">
        <v>11</v>
      </c>
      <c r="AY72" s="10"/>
      <c r="AZ72" s="10"/>
      <c r="BA72" s="10"/>
    </row>
    <row r="73" customFormat="false" ht="21.75" hidden="false" customHeight="true" outlineLevel="0" collapsed="false">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row>
    <row r="74" customFormat="false" ht="12" hidden="false" customHeight="true" outlineLevel="0" collapsed="false">
      <c r="A74" s="5" t="s">
        <v>65</v>
      </c>
      <c r="H74" s="10" t="s">
        <v>66</v>
      </c>
      <c r="I74" s="10"/>
      <c r="J74" s="10"/>
      <c r="K74" s="10"/>
      <c r="L74" s="10" t="s">
        <v>67</v>
      </c>
      <c r="M74" s="10"/>
      <c r="N74" s="10"/>
      <c r="O74" s="10"/>
      <c r="P74" s="10" t="s">
        <v>68</v>
      </c>
      <c r="Q74" s="10"/>
      <c r="R74" s="10"/>
      <c r="S74" s="10"/>
      <c r="T74" s="10" t="s">
        <v>69</v>
      </c>
      <c r="U74" s="10"/>
      <c r="V74" s="10"/>
      <c r="W74" s="10"/>
      <c r="X74" s="10" t="s">
        <v>70</v>
      </c>
      <c r="Y74" s="10"/>
      <c r="Z74" s="10"/>
      <c r="AA74" s="10"/>
      <c r="AB74" s="10" t="s">
        <v>71</v>
      </c>
      <c r="AC74" s="10"/>
      <c r="AD74" s="10"/>
      <c r="AE74" s="10"/>
      <c r="AF74" s="10" t="s">
        <v>72</v>
      </c>
      <c r="AG74" s="10"/>
      <c r="AH74" s="10"/>
      <c r="AI74" s="10"/>
      <c r="AJ74" s="10" t="s">
        <v>73</v>
      </c>
      <c r="AK74" s="10"/>
      <c r="AL74" s="10"/>
      <c r="AM74" s="10"/>
      <c r="AN74" s="10" t="s">
        <v>74</v>
      </c>
      <c r="AO74" s="10"/>
      <c r="AP74" s="10"/>
      <c r="AQ74" s="10"/>
      <c r="AR74" s="10" t="s">
        <v>75</v>
      </c>
      <c r="AS74" s="10"/>
      <c r="AT74" s="10"/>
      <c r="AU74" s="10"/>
      <c r="AV74" s="10" t="s">
        <v>22</v>
      </c>
      <c r="AW74" s="10"/>
      <c r="AX74" s="10"/>
      <c r="AY74" s="10"/>
      <c r="AZ74" s="10" t="s">
        <v>23</v>
      </c>
      <c r="BA74" s="10"/>
      <c r="BB74" s="10"/>
      <c r="BC74" s="10"/>
    </row>
    <row r="75" customFormat="false" ht="21.75" hidden="false" customHeight="true" outlineLevel="0" collapsed="false">
      <c r="H75" s="11"/>
      <c r="I75" s="11"/>
      <c r="J75" s="11"/>
      <c r="K75" s="11"/>
      <c r="L75" s="12" t="s">
        <v>180</v>
      </c>
      <c r="M75" s="12"/>
      <c r="N75" s="12"/>
      <c r="O75" s="12"/>
      <c r="P75" s="12" t="s">
        <v>181</v>
      </c>
      <c r="Q75" s="12"/>
      <c r="R75" s="12"/>
      <c r="S75" s="12"/>
      <c r="T75" s="12" t="s">
        <v>182</v>
      </c>
      <c r="U75" s="12"/>
      <c r="V75" s="12"/>
      <c r="W75" s="12"/>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row>
    <row r="76" customFormat="false" ht="12" hidden="false" customHeight="true" outlineLevel="0" collapsed="false">
      <c r="A76" s="5" t="s">
        <v>82</v>
      </c>
      <c r="I76" s="10" t="s">
        <v>83</v>
      </c>
      <c r="J76" s="10"/>
      <c r="K76" s="10"/>
      <c r="L76" s="10"/>
      <c r="M76" s="10" t="s">
        <v>84</v>
      </c>
      <c r="N76" s="10"/>
      <c r="O76" s="10"/>
      <c r="P76" s="10"/>
      <c r="Q76" s="10" t="s">
        <v>85</v>
      </c>
      <c r="R76" s="10"/>
      <c r="S76" s="10"/>
      <c r="T76" s="10"/>
      <c r="U76" s="10" t="s">
        <v>86</v>
      </c>
      <c r="V76" s="10"/>
      <c r="W76" s="10"/>
      <c r="X76" s="10"/>
      <c r="Y76" s="10" t="s">
        <v>87</v>
      </c>
      <c r="Z76" s="10"/>
      <c r="AA76" s="10"/>
      <c r="AB76" s="10"/>
      <c r="AC76" s="10" t="s">
        <v>88</v>
      </c>
      <c r="AD76" s="10"/>
      <c r="AE76" s="10"/>
      <c r="AF76" s="10"/>
      <c r="AG76" s="10" t="s">
        <v>89</v>
      </c>
      <c r="AH76" s="10"/>
      <c r="AI76" s="10"/>
      <c r="AJ76" s="10"/>
      <c r="AK76" s="10" t="s">
        <v>90</v>
      </c>
      <c r="AL76" s="10"/>
      <c r="AM76" s="10"/>
      <c r="AN76" s="10"/>
      <c r="AO76" s="10" t="s">
        <v>91</v>
      </c>
      <c r="AP76" s="10"/>
      <c r="AQ76" s="10"/>
      <c r="AR76" s="10"/>
      <c r="AS76" s="10" t="s">
        <v>33</v>
      </c>
      <c r="AT76" s="10"/>
      <c r="AU76" s="10"/>
      <c r="AV76" s="10"/>
      <c r="AW76" s="10" t="s">
        <v>34</v>
      </c>
      <c r="AX76" s="10"/>
      <c r="AY76" s="10"/>
      <c r="AZ76" s="10"/>
    </row>
    <row r="77" customFormat="false" ht="21.75" hidden="false" customHeight="true" outlineLevel="0" collapsed="false">
      <c r="I77" s="11"/>
      <c r="J77" s="11"/>
      <c r="K77" s="11"/>
      <c r="L77" s="11"/>
      <c r="M77" s="12" t="s">
        <v>183</v>
      </c>
      <c r="N77" s="12"/>
      <c r="O77" s="12"/>
      <c r="P77" s="12"/>
      <c r="Q77" s="12" t="s">
        <v>184</v>
      </c>
      <c r="R77" s="12"/>
      <c r="S77" s="12"/>
      <c r="T77" s="12"/>
      <c r="U77" s="11"/>
      <c r="V77" s="11"/>
      <c r="W77" s="11"/>
      <c r="X77" s="11"/>
      <c r="Y77" s="12" t="s">
        <v>185</v>
      </c>
      <c r="Z77" s="12"/>
      <c r="AA77" s="12"/>
      <c r="AB77" s="12"/>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row>
    <row r="78" customFormat="false" ht="12" hidden="false" customHeight="true" outlineLevel="0" collapsed="false">
      <c r="A78" s="5" t="s">
        <v>102</v>
      </c>
      <c r="K78" s="10" t="s">
        <v>103</v>
      </c>
      <c r="L78" s="10"/>
      <c r="M78" s="10"/>
      <c r="N78" s="10"/>
      <c r="O78" s="10" t="s">
        <v>104</v>
      </c>
      <c r="P78" s="10"/>
      <c r="Q78" s="10"/>
      <c r="R78" s="10"/>
      <c r="S78" s="10" t="s">
        <v>105</v>
      </c>
      <c r="T78" s="10"/>
      <c r="U78" s="10"/>
      <c r="V78" s="10"/>
      <c r="W78" s="10" t="s">
        <v>106</v>
      </c>
      <c r="X78" s="10"/>
      <c r="Y78" s="10"/>
      <c r="Z78" s="10"/>
      <c r="AA78" s="10" t="s">
        <v>107</v>
      </c>
      <c r="AB78" s="10"/>
      <c r="AC78" s="10"/>
      <c r="AD78" s="10"/>
      <c r="AE78" s="10" t="s">
        <v>108</v>
      </c>
      <c r="AF78" s="10"/>
      <c r="AG78" s="10"/>
      <c r="AH78" s="10"/>
      <c r="AI78" s="10" t="s">
        <v>109</v>
      </c>
      <c r="AJ78" s="10"/>
      <c r="AK78" s="10"/>
      <c r="AL78" s="10"/>
      <c r="AM78" s="10" t="s">
        <v>42</v>
      </c>
      <c r="AN78" s="10"/>
      <c r="AO78" s="10"/>
      <c r="AP78" s="10"/>
      <c r="AQ78" s="10" t="s">
        <v>43</v>
      </c>
      <c r="AR78" s="10"/>
      <c r="AS78" s="10"/>
      <c r="AT78" s="10"/>
      <c r="AU78" s="10" t="s">
        <v>44</v>
      </c>
      <c r="AV78" s="10"/>
      <c r="AW78" s="10"/>
      <c r="AX78" s="10"/>
    </row>
    <row r="79" customFormat="false" ht="21.75" hidden="false" customHeight="true" outlineLevel="0" collapsed="false">
      <c r="K79" s="11"/>
      <c r="L79" s="11"/>
      <c r="M79" s="11"/>
      <c r="N79" s="11"/>
      <c r="O79" s="12" t="s">
        <v>186</v>
      </c>
      <c r="P79" s="12"/>
      <c r="Q79" s="12"/>
      <c r="R79" s="12"/>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customFormat="false" ht="12" hidden="false" customHeight="true" outlineLevel="0" collapsed="false">
      <c r="A80" s="5" t="s">
        <v>120</v>
      </c>
      <c r="P80" s="10" t="s">
        <v>48</v>
      </c>
      <c r="Q80" s="10"/>
      <c r="R80" s="10"/>
      <c r="S80" s="10"/>
      <c r="T80" s="10" t="s">
        <v>50</v>
      </c>
      <c r="U80" s="10"/>
      <c r="V80" s="10"/>
      <c r="W80" s="10"/>
      <c r="X80" s="10"/>
      <c r="Y80" s="10"/>
      <c r="Z80" s="10"/>
      <c r="AA80" s="10"/>
      <c r="AB80" s="10"/>
      <c r="AC80" s="10"/>
      <c r="AD80" s="10"/>
      <c r="AE80" s="10"/>
      <c r="AF80" s="10"/>
      <c r="AG80" s="10"/>
      <c r="AH80" s="10"/>
      <c r="AI80" s="10"/>
      <c r="AJ80" s="10"/>
      <c r="AK80" s="10"/>
      <c r="AL80" s="10" t="s">
        <v>45</v>
      </c>
      <c r="AM80" s="10"/>
      <c r="AN80" s="10"/>
      <c r="AO80" s="10"/>
      <c r="AP80" s="10" t="s">
        <v>46</v>
      </c>
      <c r="AQ80" s="10"/>
      <c r="AR80" s="10"/>
      <c r="AS80" s="10"/>
    </row>
    <row r="81" customFormat="false" ht="21.75" hidden="false" customHeight="true" outlineLevel="0" collapsed="false">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row>
    <row r="83" customFormat="false" ht="18.75" hidden="false" customHeight="true" outlineLevel="0" collapsed="false">
      <c r="A83" s="14" t="s">
        <v>187</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row>
    <row r="84" customFormat="false" ht="15" hidden="false" customHeight="true" outlineLevel="0" collapsed="false">
      <c r="A84" s="8" t="s">
        <v>124</v>
      </c>
      <c r="B84" s="15" t="s">
        <v>21</v>
      </c>
      <c r="C84" s="15"/>
      <c r="D84" s="15"/>
      <c r="E84" s="15"/>
      <c r="G84" s="5" t="s">
        <v>125</v>
      </c>
    </row>
    <row r="85" customFormat="false" ht="12" hidden="false" customHeight="true" outlineLevel="0" collapsed="false">
      <c r="A85" s="5" t="s">
        <v>64</v>
      </c>
      <c r="F85" s="10" t="s">
        <v>0</v>
      </c>
      <c r="G85" s="10"/>
      <c r="H85" s="10"/>
      <c r="I85" s="10"/>
      <c r="J85" s="10" t="s">
        <v>1</v>
      </c>
      <c r="K85" s="10"/>
      <c r="L85" s="10"/>
      <c r="M85" s="10"/>
      <c r="N85" s="10" t="s">
        <v>2</v>
      </c>
      <c r="O85" s="10"/>
      <c r="P85" s="10"/>
      <c r="Q85" s="10"/>
      <c r="R85" s="10" t="s">
        <v>3</v>
      </c>
      <c r="S85" s="10"/>
      <c r="T85" s="10"/>
      <c r="U85" s="10"/>
      <c r="V85" s="10" t="s">
        <v>4</v>
      </c>
      <c r="W85" s="10"/>
      <c r="X85" s="10"/>
      <c r="Y85" s="10"/>
      <c r="Z85" s="10" t="s">
        <v>5</v>
      </c>
      <c r="AA85" s="10"/>
      <c r="AB85" s="10"/>
      <c r="AC85" s="10"/>
      <c r="AD85" s="10" t="s">
        <v>6</v>
      </c>
      <c r="AE85" s="10"/>
      <c r="AF85" s="10"/>
      <c r="AG85" s="10"/>
      <c r="AH85" s="10" t="s">
        <v>7</v>
      </c>
      <c r="AI85" s="10"/>
      <c r="AJ85" s="10"/>
      <c r="AK85" s="10"/>
      <c r="AL85" s="10" t="s">
        <v>8</v>
      </c>
      <c r="AM85" s="10"/>
      <c r="AN85" s="10"/>
      <c r="AO85" s="10"/>
      <c r="AP85" s="10" t="s">
        <v>9</v>
      </c>
      <c r="AQ85" s="10"/>
      <c r="AR85" s="10"/>
      <c r="AS85" s="10"/>
      <c r="AT85" s="10" t="s">
        <v>10</v>
      </c>
      <c r="AU85" s="10"/>
      <c r="AV85" s="10"/>
      <c r="AW85" s="10"/>
      <c r="AX85" s="10" t="s">
        <v>11</v>
      </c>
      <c r="AY85" s="10"/>
      <c r="AZ85" s="10"/>
      <c r="BA85" s="10"/>
    </row>
    <row r="86" customFormat="false" ht="21.75" hidden="false" customHeight="true" outlineLevel="0" collapsed="false">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row>
    <row r="87" customFormat="false" ht="12" hidden="false" customHeight="true" outlineLevel="0" collapsed="false">
      <c r="A87" s="5" t="s">
        <v>65</v>
      </c>
      <c r="H87" s="10" t="s">
        <v>66</v>
      </c>
      <c r="I87" s="10"/>
      <c r="J87" s="10"/>
      <c r="K87" s="10"/>
      <c r="L87" s="10" t="s">
        <v>67</v>
      </c>
      <c r="M87" s="10"/>
      <c r="N87" s="10"/>
      <c r="O87" s="10"/>
      <c r="P87" s="10" t="s">
        <v>68</v>
      </c>
      <c r="Q87" s="10"/>
      <c r="R87" s="10"/>
      <c r="S87" s="10"/>
      <c r="T87" s="10" t="s">
        <v>69</v>
      </c>
      <c r="U87" s="10"/>
      <c r="V87" s="10"/>
      <c r="W87" s="10"/>
      <c r="X87" s="10" t="s">
        <v>70</v>
      </c>
      <c r="Y87" s="10"/>
      <c r="Z87" s="10"/>
      <c r="AA87" s="10"/>
      <c r="AB87" s="10" t="s">
        <v>71</v>
      </c>
      <c r="AC87" s="10"/>
      <c r="AD87" s="10"/>
      <c r="AE87" s="10"/>
      <c r="AF87" s="10" t="s">
        <v>72</v>
      </c>
      <c r="AG87" s="10"/>
      <c r="AH87" s="10"/>
      <c r="AI87" s="10"/>
      <c r="AJ87" s="10" t="s">
        <v>73</v>
      </c>
      <c r="AK87" s="10"/>
      <c r="AL87" s="10"/>
      <c r="AM87" s="10"/>
      <c r="AN87" s="10" t="s">
        <v>74</v>
      </c>
      <c r="AO87" s="10"/>
      <c r="AP87" s="10"/>
      <c r="AQ87" s="10"/>
      <c r="AR87" s="10" t="s">
        <v>75</v>
      </c>
      <c r="AS87" s="10"/>
      <c r="AT87" s="10"/>
      <c r="AU87" s="10"/>
      <c r="AV87" s="10" t="s">
        <v>22</v>
      </c>
      <c r="AW87" s="10"/>
      <c r="AX87" s="10"/>
      <c r="AY87" s="10"/>
      <c r="AZ87" s="10" t="s">
        <v>23</v>
      </c>
      <c r="BA87" s="10"/>
      <c r="BB87" s="10"/>
      <c r="BC87" s="10"/>
    </row>
    <row r="88" customFormat="false" ht="21.75" hidden="false" customHeight="true" outlineLevel="0" collapsed="false">
      <c r="H88" s="11"/>
      <c r="I88" s="11"/>
      <c r="J88" s="11"/>
      <c r="K88" s="11"/>
      <c r="L88" s="12" t="s">
        <v>188</v>
      </c>
      <c r="M88" s="12"/>
      <c r="N88" s="12"/>
      <c r="O88" s="12"/>
      <c r="P88" s="12" t="s">
        <v>189</v>
      </c>
      <c r="Q88" s="12"/>
      <c r="R88" s="12"/>
      <c r="S88" s="12"/>
      <c r="T88" s="12" t="s">
        <v>190</v>
      </c>
      <c r="U88" s="12"/>
      <c r="V88" s="12"/>
      <c r="W88" s="12"/>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row>
    <row r="89" customFormat="false" ht="12" hidden="false" customHeight="true" outlineLevel="0" collapsed="false">
      <c r="A89" s="5" t="s">
        <v>82</v>
      </c>
      <c r="I89" s="10" t="s">
        <v>83</v>
      </c>
      <c r="J89" s="10"/>
      <c r="K89" s="10"/>
      <c r="L89" s="10"/>
      <c r="M89" s="10" t="s">
        <v>84</v>
      </c>
      <c r="N89" s="10"/>
      <c r="O89" s="10"/>
      <c r="P89" s="10"/>
      <c r="Q89" s="10" t="s">
        <v>85</v>
      </c>
      <c r="R89" s="10"/>
      <c r="S89" s="10"/>
      <c r="T89" s="10"/>
      <c r="U89" s="10" t="s">
        <v>86</v>
      </c>
      <c r="V89" s="10"/>
      <c r="W89" s="10"/>
      <c r="X89" s="10"/>
      <c r="Y89" s="10" t="s">
        <v>87</v>
      </c>
      <c r="Z89" s="10"/>
      <c r="AA89" s="10"/>
      <c r="AB89" s="10"/>
      <c r="AC89" s="10" t="s">
        <v>88</v>
      </c>
      <c r="AD89" s="10"/>
      <c r="AE89" s="10"/>
      <c r="AF89" s="10"/>
      <c r="AG89" s="10" t="s">
        <v>89</v>
      </c>
      <c r="AH89" s="10"/>
      <c r="AI89" s="10"/>
      <c r="AJ89" s="10"/>
      <c r="AK89" s="10" t="s">
        <v>90</v>
      </c>
      <c r="AL89" s="10"/>
      <c r="AM89" s="10"/>
      <c r="AN89" s="10"/>
      <c r="AO89" s="10" t="s">
        <v>91</v>
      </c>
      <c r="AP89" s="10"/>
      <c r="AQ89" s="10"/>
      <c r="AR89" s="10"/>
      <c r="AS89" s="10" t="s">
        <v>33</v>
      </c>
      <c r="AT89" s="10"/>
      <c r="AU89" s="10"/>
      <c r="AV89" s="10"/>
      <c r="AW89" s="10" t="s">
        <v>34</v>
      </c>
      <c r="AX89" s="10"/>
      <c r="AY89" s="10"/>
      <c r="AZ89" s="10"/>
    </row>
    <row r="90" customFormat="false" ht="21.75" hidden="false" customHeight="true" outlineLevel="0" collapsed="false">
      <c r="I90" s="11"/>
      <c r="J90" s="11"/>
      <c r="K90" s="11"/>
      <c r="L90" s="11"/>
      <c r="M90" s="12" t="s">
        <v>191</v>
      </c>
      <c r="N90" s="12"/>
      <c r="O90" s="12"/>
      <c r="P90" s="12"/>
      <c r="Q90" s="12" t="s">
        <v>192</v>
      </c>
      <c r="R90" s="12"/>
      <c r="S90" s="12"/>
      <c r="T90" s="12"/>
      <c r="U90" s="11"/>
      <c r="V90" s="11"/>
      <c r="W90" s="11"/>
      <c r="X90" s="11"/>
      <c r="Y90" s="12" t="s">
        <v>193</v>
      </c>
      <c r="Z90" s="12"/>
      <c r="AA90" s="12"/>
      <c r="AB90" s="12"/>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row>
    <row r="91" customFormat="false" ht="12" hidden="false" customHeight="true" outlineLevel="0" collapsed="false">
      <c r="A91" s="5" t="s">
        <v>102</v>
      </c>
      <c r="K91" s="10" t="s">
        <v>103</v>
      </c>
      <c r="L91" s="10"/>
      <c r="M91" s="10"/>
      <c r="N91" s="10"/>
      <c r="O91" s="10" t="s">
        <v>104</v>
      </c>
      <c r="P91" s="10"/>
      <c r="Q91" s="10"/>
      <c r="R91" s="10"/>
      <c r="S91" s="10" t="s">
        <v>105</v>
      </c>
      <c r="T91" s="10"/>
      <c r="U91" s="10"/>
      <c r="V91" s="10"/>
      <c r="W91" s="10" t="s">
        <v>106</v>
      </c>
      <c r="X91" s="10"/>
      <c r="Y91" s="10"/>
      <c r="Z91" s="10"/>
      <c r="AA91" s="10" t="s">
        <v>107</v>
      </c>
      <c r="AB91" s="10"/>
      <c r="AC91" s="10"/>
      <c r="AD91" s="10"/>
      <c r="AE91" s="10" t="s">
        <v>108</v>
      </c>
      <c r="AF91" s="10"/>
      <c r="AG91" s="10"/>
      <c r="AH91" s="10"/>
      <c r="AI91" s="10" t="s">
        <v>109</v>
      </c>
      <c r="AJ91" s="10"/>
      <c r="AK91" s="10"/>
      <c r="AL91" s="10"/>
      <c r="AM91" s="10" t="s">
        <v>42</v>
      </c>
      <c r="AN91" s="10"/>
      <c r="AO91" s="10"/>
      <c r="AP91" s="10"/>
      <c r="AQ91" s="10" t="s">
        <v>43</v>
      </c>
      <c r="AR91" s="10"/>
      <c r="AS91" s="10"/>
      <c r="AT91" s="10"/>
      <c r="AU91" s="10" t="s">
        <v>44</v>
      </c>
      <c r="AV91" s="10"/>
      <c r="AW91" s="10"/>
      <c r="AX91" s="10"/>
    </row>
    <row r="92" customFormat="false" ht="21.75" hidden="false" customHeight="true" outlineLevel="0" collapsed="false">
      <c r="K92" s="11"/>
      <c r="L92" s="11"/>
      <c r="M92" s="11"/>
      <c r="N92" s="11"/>
      <c r="O92" s="12" t="s">
        <v>194</v>
      </c>
      <c r="P92" s="12"/>
      <c r="Q92" s="12"/>
      <c r="R92" s="12"/>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customFormat="false" ht="12" hidden="false" customHeight="true" outlineLevel="0" collapsed="false">
      <c r="A93" s="5" t="s">
        <v>120</v>
      </c>
      <c r="P93" s="10" t="s">
        <v>48</v>
      </c>
      <c r="Q93" s="10"/>
      <c r="R93" s="10"/>
      <c r="S93" s="10"/>
      <c r="T93" s="10" t="s">
        <v>50</v>
      </c>
      <c r="U93" s="10"/>
      <c r="V93" s="10"/>
      <c r="W93" s="10"/>
      <c r="X93" s="10"/>
      <c r="Y93" s="10"/>
      <c r="Z93" s="10"/>
      <c r="AA93" s="10"/>
      <c r="AB93" s="10"/>
      <c r="AC93" s="10"/>
      <c r="AD93" s="10"/>
      <c r="AE93" s="10"/>
      <c r="AF93" s="10"/>
      <c r="AG93" s="10"/>
      <c r="AH93" s="10"/>
      <c r="AI93" s="10"/>
      <c r="AJ93" s="10"/>
      <c r="AK93" s="10"/>
      <c r="AL93" s="10" t="s">
        <v>45</v>
      </c>
      <c r="AM93" s="10"/>
      <c r="AN93" s="10"/>
      <c r="AO93" s="10"/>
      <c r="AP93" s="10" t="s">
        <v>46</v>
      </c>
      <c r="AQ93" s="10"/>
      <c r="AR93" s="10"/>
      <c r="AS93" s="10"/>
    </row>
    <row r="94" customFormat="false" ht="21.75" hidden="false" customHeight="true" outlineLevel="0" collapsed="false">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row>
    <row r="96" customFormat="false" ht="18.75" hidden="false" customHeight="true" outlineLevel="0" collapsed="false">
      <c r="A96" s="14" t="s">
        <v>195</v>
      </c>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row>
    <row r="97" customFormat="false" ht="15" hidden="false" customHeight="true" outlineLevel="0" collapsed="false">
      <c r="A97" s="8" t="s">
        <v>124</v>
      </c>
      <c r="B97" s="15" t="s">
        <v>19</v>
      </c>
      <c r="C97" s="15"/>
      <c r="D97" s="15"/>
      <c r="E97" s="15"/>
      <c r="G97" s="5" t="s">
        <v>125</v>
      </c>
    </row>
    <row r="98" customFormat="false" ht="12" hidden="false" customHeight="true" outlineLevel="0" collapsed="false">
      <c r="A98" s="5" t="s">
        <v>64</v>
      </c>
      <c r="F98" s="10" t="s">
        <v>0</v>
      </c>
      <c r="G98" s="10"/>
      <c r="H98" s="10"/>
      <c r="I98" s="10"/>
      <c r="J98" s="10" t="s">
        <v>1</v>
      </c>
      <c r="K98" s="10"/>
      <c r="L98" s="10"/>
      <c r="M98" s="10"/>
      <c r="N98" s="10" t="s">
        <v>2</v>
      </c>
      <c r="O98" s="10"/>
      <c r="P98" s="10"/>
      <c r="Q98" s="10"/>
      <c r="R98" s="10" t="s">
        <v>3</v>
      </c>
      <c r="S98" s="10"/>
      <c r="T98" s="10"/>
      <c r="U98" s="10"/>
      <c r="V98" s="10" t="s">
        <v>4</v>
      </c>
      <c r="W98" s="10"/>
      <c r="X98" s="10"/>
      <c r="Y98" s="10"/>
      <c r="Z98" s="10" t="s">
        <v>5</v>
      </c>
      <c r="AA98" s="10"/>
      <c r="AB98" s="10"/>
      <c r="AC98" s="10"/>
      <c r="AD98" s="10" t="s">
        <v>6</v>
      </c>
      <c r="AE98" s="10"/>
      <c r="AF98" s="10"/>
      <c r="AG98" s="10"/>
      <c r="AH98" s="10" t="s">
        <v>7</v>
      </c>
      <c r="AI98" s="10"/>
      <c r="AJ98" s="10"/>
      <c r="AK98" s="10"/>
      <c r="AL98" s="10" t="s">
        <v>8</v>
      </c>
      <c r="AM98" s="10"/>
      <c r="AN98" s="10"/>
      <c r="AO98" s="10"/>
      <c r="AP98" s="10" t="s">
        <v>9</v>
      </c>
      <c r="AQ98" s="10"/>
      <c r="AR98" s="10"/>
      <c r="AS98" s="10"/>
      <c r="AT98" s="10" t="s">
        <v>10</v>
      </c>
      <c r="AU98" s="10"/>
      <c r="AV98" s="10"/>
      <c r="AW98" s="10"/>
      <c r="AX98" s="10" t="s">
        <v>11</v>
      </c>
      <c r="AY98" s="10"/>
      <c r="AZ98" s="10"/>
      <c r="BA98" s="10"/>
    </row>
    <row r="99" customFormat="false" ht="21.75" hidden="false" customHeight="true" outlineLevel="0" collapsed="false">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row>
    <row r="100" customFormat="false" ht="12" hidden="false" customHeight="true" outlineLevel="0" collapsed="false">
      <c r="A100" s="5" t="s">
        <v>65</v>
      </c>
      <c r="H100" s="10" t="s">
        <v>66</v>
      </c>
      <c r="I100" s="10"/>
      <c r="J100" s="10"/>
      <c r="K100" s="10"/>
      <c r="L100" s="10" t="s">
        <v>67</v>
      </c>
      <c r="M100" s="10"/>
      <c r="N100" s="10"/>
      <c r="O100" s="10"/>
      <c r="P100" s="10" t="s">
        <v>68</v>
      </c>
      <c r="Q100" s="10"/>
      <c r="R100" s="10"/>
      <c r="S100" s="10"/>
      <c r="T100" s="10" t="s">
        <v>69</v>
      </c>
      <c r="U100" s="10"/>
      <c r="V100" s="10"/>
      <c r="W100" s="10"/>
      <c r="X100" s="10" t="s">
        <v>70</v>
      </c>
      <c r="Y100" s="10"/>
      <c r="Z100" s="10"/>
      <c r="AA100" s="10"/>
      <c r="AB100" s="10" t="s">
        <v>71</v>
      </c>
      <c r="AC100" s="10"/>
      <c r="AD100" s="10"/>
      <c r="AE100" s="10"/>
      <c r="AF100" s="10" t="s">
        <v>72</v>
      </c>
      <c r="AG100" s="10"/>
      <c r="AH100" s="10"/>
      <c r="AI100" s="10"/>
      <c r="AJ100" s="10" t="s">
        <v>73</v>
      </c>
      <c r="AK100" s="10"/>
      <c r="AL100" s="10"/>
      <c r="AM100" s="10"/>
      <c r="AN100" s="10" t="s">
        <v>74</v>
      </c>
      <c r="AO100" s="10"/>
      <c r="AP100" s="10"/>
      <c r="AQ100" s="10"/>
      <c r="AR100" s="10" t="s">
        <v>75</v>
      </c>
      <c r="AS100" s="10"/>
      <c r="AT100" s="10"/>
      <c r="AU100" s="10"/>
      <c r="AV100" s="10" t="s">
        <v>22</v>
      </c>
      <c r="AW100" s="10"/>
      <c r="AX100" s="10"/>
      <c r="AY100" s="10"/>
      <c r="AZ100" s="10" t="s">
        <v>23</v>
      </c>
      <c r="BA100" s="10"/>
      <c r="BB100" s="10"/>
      <c r="BC100" s="10"/>
    </row>
    <row r="101" customFormat="false" ht="21.75" hidden="false" customHeight="true" outlineLevel="0" collapsed="false">
      <c r="H101" s="11"/>
      <c r="I101" s="11"/>
      <c r="J101" s="11"/>
      <c r="K101" s="11"/>
      <c r="L101" s="12" t="s">
        <v>196</v>
      </c>
      <c r="M101" s="12"/>
      <c r="N101" s="12"/>
      <c r="O101" s="12"/>
      <c r="P101" s="12" t="s">
        <v>197</v>
      </c>
      <c r="Q101" s="12"/>
      <c r="R101" s="12"/>
      <c r="S101" s="12"/>
      <c r="T101" s="12" t="s">
        <v>198</v>
      </c>
      <c r="U101" s="12"/>
      <c r="V101" s="12"/>
      <c r="W101" s="12"/>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row>
    <row r="102" customFormat="false" ht="12" hidden="false" customHeight="true" outlineLevel="0" collapsed="false">
      <c r="A102" s="5" t="s">
        <v>82</v>
      </c>
      <c r="I102" s="10" t="s">
        <v>83</v>
      </c>
      <c r="J102" s="10"/>
      <c r="K102" s="10"/>
      <c r="L102" s="10"/>
      <c r="M102" s="10" t="s">
        <v>84</v>
      </c>
      <c r="N102" s="10"/>
      <c r="O102" s="10"/>
      <c r="P102" s="10"/>
      <c r="Q102" s="10" t="s">
        <v>85</v>
      </c>
      <c r="R102" s="10"/>
      <c r="S102" s="10"/>
      <c r="T102" s="10"/>
      <c r="U102" s="10" t="s">
        <v>86</v>
      </c>
      <c r="V102" s="10"/>
      <c r="W102" s="10"/>
      <c r="X102" s="10"/>
      <c r="Y102" s="10" t="s">
        <v>87</v>
      </c>
      <c r="Z102" s="10"/>
      <c r="AA102" s="10"/>
      <c r="AB102" s="10"/>
      <c r="AC102" s="10" t="s">
        <v>88</v>
      </c>
      <c r="AD102" s="10"/>
      <c r="AE102" s="10"/>
      <c r="AF102" s="10"/>
      <c r="AG102" s="10" t="s">
        <v>89</v>
      </c>
      <c r="AH102" s="10"/>
      <c r="AI102" s="10"/>
      <c r="AJ102" s="10"/>
      <c r="AK102" s="10" t="s">
        <v>90</v>
      </c>
      <c r="AL102" s="10"/>
      <c r="AM102" s="10"/>
      <c r="AN102" s="10"/>
      <c r="AO102" s="10" t="s">
        <v>91</v>
      </c>
      <c r="AP102" s="10"/>
      <c r="AQ102" s="10"/>
      <c r="AR102" s="10"/>
      <c r="AS102" s="10" t="s">
        <v>33</v>
      </c>
      <c r="AT102" s="10"/>
      <c r="AU102" s="10"/>
      <c r="AV102" s="10"/>
      <c r="AW102" s="10" t="s">
        <v>34</v>
      </c>
      <c r="AX102" s="10"/>
      <c r="AY102" s="10"/>
      <c r="AZ102" s="10"/>
    </row>
    <row r="103" customFormat="false" ht="21.75" hidden="false" customHeight="true" outlineLevel="0" collapsed="false">
      <c r="I103" s="11"/>
      <c r="J103" s="11"/>
      <c r="K103" s="11"/>
      <c r="L103" s="11"/>
      <c r="M103" s="12" t="s">
        <v>199</v>
      </c>
      <c r="N103" s="12"/>
      <c r="O103" s="12"/>
      <c r="P103" s="12"/>
      <c r="Q103" s="12" t="s">
        <v>200</v>
      </c>
      <c r="R103" s="12"/>
      <c r="S103" s="12"/>
      <c r="T103" s="12"/>
      <c r="U103" s="11"/>
      <c r="V103" s="11"/>
      <c r="W103" s="11"/>
      <c r="X103" s="11"/>
      <c r="Y103" s="12" t="s">
        <v>201</v>
      </c>
      <c r="Z103" s="12"/>
      <c r="AA103" s="12"/>
      <c r="AB103" s="12"/>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row>
    <row r="104" customFormat="false" ht="12" hidden="false" customHeight="true" outlineLevel="0" collapsed="false">
      <c r="A104" s="5" t="s">
        <v>102</v>
      </c>
      <c r="K104" s="10" t="s">
        <v>103</v>
      </c>
      <c r="L104" s="10"/>
      <c r="M104" s="10"/>
      <c r="N104" s="10"/>
      <c r="O104" s="10" t="s">
        <v>104</v>
      </c>
      <c r="P104" s="10"/>
      <c r="Q104" s="10"/>
      <c r="R104" s="10"/>
      <c r="S104" s="10" t="s">
        <v>105</v>
      </c>
      <c r="T104" s="10"/>
      <c r="U104" s="10"/>
      <c r="V104" s="10"/>
      <c r="W104" s="10" t="s">
        <v>106</v>
      </c>
      <c r="X104" s="10"/>
      <c r="Y104" s="10"/>
      <c r="Z104" s="10"/>
      <c r="AA104" s="10" t="s">
        <v>107</v>
      </c>
      <c r="AB104" s="10"/>
      <c r="AC104" s="10"/>
      <c r="AD104" s="10"/>
      <c r="AE104" s="10" t="s">
        <v>108</v>
      </c>
      <c r="AF104" s="10"/>
      <c r="AG104" s="10"/>
      <c r="AH104" s="10"/>
      <c r="AI104" s="10" t="s">
        <v>109</v>
      </c>
      <c r="AJ104" s="10"/>
      <c r="AK104" s="10"/>
      <c r="AL104" s="10"/>
      <c r="AM104" s="10" t="s">
        <v>42</v>
      </c>
      <c r="AN104" s="10"/>
      <c r="AO104" s="10"/>
      <c r="AP104" s="10"/>
      <c r="AQ104" s="10" t="s">
        <v>43</v>
      </c>
      <c r="AR104" s="10"/>
      <c r="AS104" s="10"/>
      <c r="AT104" s="10"/>
      <c r="AU104" s="10" t="s">
        <v>44</v>
      </c>
      <c r="AV104" s="10"/>
      <c r="AW104" s="10"/>
      <c r="AX104" s="10"/>
    </row>
    <row r="105" customFormat="false" ht="21.75" hidden="false" customHeight="true" outlineLevel="0" collapsed="false">
      <c r="K105" s="11"/>
      <c r="L105" s="11"/>
      <c r="M105" s="11"/>
      <c r="N105" s="11"/>
      <c r="O105" s="12" t="s">
        <v>202</v>
      </c>
      <c r="P105" s="12"/>
      <c r="Q105" s="12"/>
      <c r="R105" s="12"/>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customFormat="false" ht="12" hidden="false" customHeight="true" outlineLevel="0" collapsed="false">
      <c r="A106" s="5" t="s">
        <v>120</v>
      </c>
      <c r="P106" s="10" t="s">
        <v>48</v>
      </c>
      <c r="Q106" s="10"/>
      <c r="R106" s="10"/>
      <c r="S106" s="10"/>
      <c r="T106" s="10" t="s">
        <v>50</v>
      </c>
      <c r="U106" s="10"/>
      <c r="V106" s="10"/>
      <c r="W106" s="10"/>
      <c r="X106" s="10"/>
      <c r="Y106" s="10"/>
      <c r="Z106" s="10"/>
      <c r="AA106" s="10"/>
      <c r="AB106" s="10"/>
      <c r="AC106" s="10"/>
      <c r="AD106" s="10"/>
      <c r="AE106" s="10"/>
      <c r="AF106" s="10"/>
      <c r="AG106" s="10"/>
      <c r="AH106" s="10"/>
      <c r="AI106" s="10"/>
      <c r="AJ106" s="10"/>
      <c r="AK106" s="10"/>
      <c r="AL106" s="10" t="s">
        <v>45</v>
      </c>
      <c r="AM106" s="10"/>
      <c r="AN106" s="10"/>
      <c r="AO106" s="10"/>
      <c r="AP106" s="10" t="s">
        <v>46</v>
      </c>
      <c r="AQ106" s="10"/>
      <c r="AR106" s="10"/>
      <c r="AS106" s="10"/>
    </row>
    <row r="107" customFormat="false" ht="21.75" hidden="false" customHeight="true" outlineLevel="0" collapsed="false">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row>
    <row r="109" customFormat="false" ht="18.75" hidden="false" customHeight="true" outlineLevel="0" collapsed="false">
      <c r="A109" s="14" t="s">
        <v>203</v>
      </c>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row>
    <row r="110" customFormat="false" ht="15" hidden="false" customHeight="true" outlineLevel="0" collapsed="false">
      <c r="A110" s="8" t="s">
        <v>124</v>
      </c>
      <c r="B110" s="15" t="s">
        <v>12</v>
      </c>
      <c r="C110" s="15"/>
      <c r="D110" s="15"/>
      <c r="E110" s="15"/>
      <c r="G110" s="5" t="s">
        <v>125</v>
      </c>
    </row>
    <row r="111" customFormat="false" ht="12" hidden="false" customHeight="true" outlineLevel="0" collapsed="false">
      <c r="A111" s="5" t="s">
        <v>64</v>
      </c>
      <c r="F111" s="10" t="s">
        <v>0</v>
      </c>
      <c r="G111" s="10"/>
      <c r="H111" s="10"/>
      <c r="I111" s="10"/>
      <c r="J111" s="10" t="s">
        <v>1</v>
      </c>
      <c r="K111" s="10"/>
      <c r="L111" s="10"/>
      <c r="M111" s="10"/>
      <c r="N111" s="10" t="s">
        <v>2</v>
      </c>
      <c r="O111" s="10"/>
      <c r="P111" s="10"/>
      <c r="Q111" s="10"/>
      <c r="R111" s="10" t="s">
        <v>3</v>
      </c>
      <c r="S111" s="10"/>
      <c r="T111" s="10"/>
      <c r="U111" s="10"/>
      <c r="V111" s="10" t="s">
        <v>4</v>
      </c>
      <c r="W111" s="10"/>
      <c r="X111" s="10"/>
      <c r="Y111" s="10"/>
      <c r="Z111" s="10" t="s">
        <v>5</v>
      </c>
      <c r="AA111" s="10"/>
      <c r="AB111" s="10"/>
      <c r="AC111" s="10"/>
      <c r="AD111" s="10" t="s">
        <v>6</v>
      </c>
      <c r="AE111" s="10"/>
      <c r="AF111" s="10"/>
      <c r="AG111" s="10"/>
      <c r="AH111" s="10" t="s">
        <v>7</v>
      </c>
      <c r="AI111" s="10"/>
      <c r="AJ111" s="10"/>
      <c r="AK111" s="10"/>
      <c r="AL111" s="10" t="s">
        <v>8</v>
      </c>
      <c r="AM111" s="10"/>
      <c r="AN111" s="10"/>
      <c r="AO111" s="10"/>
      <c r="AP111" s="10" t="s">
        <v>9</v>
      </c>
      <c r="AQ111" s="10"/>
      <c r="AR111" s="10"/>
      <c r="AS111" s="10"/>
      <c r="AT111" s="10" t="s">
        <v>10</v>
      </c>
      <c r="AU111" s="10"/>
      <c r="AV111" s="10"/>
      <c r="AW111" s="10"/>
      <c r="AX111" s="10" t="s">
        <v>11</v>
      </c>
      <c r="AY111" s="10"/>
      <c r="AZ111" s="10"/>
      <c r="BA111" s="10"/>
    </row>
    <row r="112" customFormat="false" ht="21.75" hidden="false" customHeight="true" outlineLevel="0" collapsed="false">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row>
    <row r="113" customFormat="false" ht="12" hidden="false" customHeight="true" outlineLevel="0" collapsed="false">
      <c r="A113" s="5" t="s">
        <v>65</v>
      </c>
      <c r="H113" s="10" t="s">
        <v>66</v>
      </c>
      <c r="I113" s="10"/>
      <c r="J113" s="10"/>
      <c r="K113" s="10"/>
      <c r="L113" s="10" t="s">
        <v>67</v>
      </c>
      <c r="M113" s="10"/>
      <c r="N113" s="10"/>
      <c r="O113" s="10"/>
      <c r="P113" s="10" t="s">
        <v>68</v>
      </c>
      <c r="Q113" s="10"/>
      <c r="R113" s="10"/>
      <c r="S113" s="10"/>
      <c r="T113" s="10" t="s">
        <v>69</v>
      </c>
      <c r="U113" s="10"/>
      <c r="V113" s="10"/>
      <c r="W113" s="10"/>
      <c r="X113" s="10" t="s">
        <v>70</v>
      </c>
      <c r="Y113" s="10"/>
      <c r="Z113" s="10"/>
      <c r="AA113" s="10"/>
      <c r="AB113" s="10" t="s">
        <v>71</v>
      </c>
      <c r="AC113" s="10"/>
      <c r="AD113" s="10"/>
      <c r="AE113" s="10"/>
      <c r="AF113" s="10" t="s">
        <v>72</v>
      </c>
      <c r="AG113" s="10"/>
      <c r="AH113" s="10"/>
      <c r="AI113" s="10"/>
      <c r="AJ113" s="10" t="s">
        <v>73</v>
      </c>
      <c r="AK113" s="10"/>
      <c r="AL113" s="10"/>
      <c r="AM113" s="10"/>
      <c r="AN113" s="10" t="s">
        <v>74</v>
      </c>
      <c r="AO113" s="10"/>
      <c r="AP113" s="10"/>
      <c r="AQ113" s="10"/>
      <c r="AR113" s="10" t="s">
        <v>75</v>
      </c>
      <c r="AS113" s="10"/>
      <c r="AT113" s="10"/>
      <c r="AU113" s="10"/>
      <c r="AV113" s="10" t="s">
        <v>22</v>
      </c>
      <c r="AW113" s="10"/>
      <c r="AX113" s="10"/>
      <c r="AY113" s="10"/>
      <c r="AZ113" s="10" t="s">
        <v>23</v>
      </c>
      <c r="BA113" s="10"/>
      <c r="BB113" s="10"/>
      <c r="BC113" s="10"/>
    </row>
    <row r="114" customFormat="false" ht="21.75" hidden="false" customHeight="true" outlineLevel="0" collapsed="false">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2" t="s">
        <v>204</v>
      </c>
      <c r="AK114" s="12"/>
      <c r="AL114" s="12"/>
      <c r="AM114" s="12"/>
      <c r="AN114" s="12" t="s">
        <v>205</v>
      </c>
      <c r="AO114" s="12"/>
      <c r="AP114" s="12"/>
      <c r="AQ114" s="12"/>
      <c r="AR114" s="12" t="s">
        <v>206</v>
      </c>
      <c r="AS114" s="12"/>
      <c r="AT114" s="12"/>
      <c r="AU114" s="12"/>
      <c r="AV114" s="11"/>
      <c r="AW114" s="11"/>
      <c r="AX114" s="11"/>
      <c r="AY114" s="11"/>
      <c r="AZ114" s="11"/>
      <c r="BA114" s="11"/>
      <c r="BB114" s="11"/>
      <c r="BC114" s="11"/>
    </row>
    <row r="115" customFormat="false" ht="12" hidden="false" customHeight="true" outlineLevel="0" collapsed="false">
      <c r="A115" s="5" t="s">
        <v>82</v>
      </c>
      <c r="I115" s="10" t="s">
        <v>83</v>
      </c>
      <c r="J115" s="10"/>
      <c r="K115" s="10"/>
      <c r="L115" s="10"/>
      <c r="M115" s="10" t="s">
        <v>84</v>
      </c>
      <c r="N115" s="10"/>
      <c r="O115" s="10"/>
      <c r="P115" s="10"/>
      <c r="Q115" s="10" t="s">
        <v>85</v>
      </c>
      <c r="R115" s="10"/>
      <c r="S115" s="10"/>
      <c r="T115" s="10"/>
      <c r="U115" s="10" t="s">
        <v>86</v>
      </c>
      <c r="V115" s="10"/>
      <c r="W115" s="10"/>
      <c r="X115" s="10"/>
      <c r="Y115" s="10" t="s">
        <v>87</v>
      </c>
      <c r="Z115" s="10"/>
      <c r="AA115" s="10"/>
      <c r="AB115" s="10"/>
      <c r="AC115" s="10" t="s">
        <v>88</v>
      </c>
      <c r="AD115" s="10"/>
      <c r="AE115" s="10"/>
      <c r="AF115" s="10"/>
      <c r="AG115" s="10" t="s">
        <v>89</v>
      </c>
      <c r="AH115" s="10"/>
      <c r="AI115" s="10"/>
      <c r="AJ115" s="10"/>
      <c r="AK115" s="10" t="s">
        <v>90</v>
      </c>
      <c r="AL115" s="10"/>
      <c r="AM115" s="10"/>
      <c r="AN115" s="10"/>
      <c r="AO115" s="10" t="s">
        <v>91</v>
      </c>
      <c r="AP115" s="10"/>
      <c r="AQ115" s="10"/>
      <c r="AR115" s="10"/>
      <c r="AS115" s="10" t="s">
        <v>33</v>
      </c>
      <c r="AT115" s="10"/>
      <c r="AU115" s="10"/>
      <c r="AV115" s="10"/>
      <c r="AW115" s="10" t="s">
        <v>34</v>
      </c>
      <c r="AX115" s="10"/>
      <c r="AY115" s="10"/>
      <c r="AZ115" s="10"/>
    </row>
    <row r="116" customFormat="false" ht="21.75" hidden="false" customHeight="true" outlineLevel="0" collapsed="false">
      <c r="I116" s="11"/>
      <c r="J116" s="11"/>
      <c r="K116" s="11"/>
      <c r="L116" s="11"/>
      <c r="M116" s="11"/>
      <c r="N116" s="11"/>
      <c r="O116" s="11"/>
      <c r="P116" s="11"/>
      <c r="Q116" s="11"/>
      <c r="R116" s="11"/>
      <c r="S116" s="11"/>
      <c r="T116" s="11"/>
      <c r="U116" s="11"/>
      <c r="V116" s="11"/>
      <c r="W116" s="11"/>
      <c r="X116" s="11"/>
      <c r="Y116" s="11"/>
      <c r="Z116" s="11"/>
      <c r="AA116" s="11"/>
      <c r="AB116" s="11"/>
      <c r="AC116" s="12" t="s">
        <v>207</v>
      </c>
      <c r="AD116" s="12"/>
      <c r="AE116" s="12"/>
      <c r="AF116" s="12"/>
      <c r="AG116" s="12" t="s">
        <v>208</v>
      </c>
      <c r="AH116" s="12"/>
      <c r="AI116" s="12"/>
      <c r="AJ116" s="12"/>
      <c r="AK116" s="12" t="s">
        <v>209</v>
      </c>
      <c r="AL116" s="12"/>
      <c r="AM116" s="12"/>
      <c r="AN116" s="12"/>
      <c r="AO116" s="12" t="s">
        <v>210</v>
      </c>
      <c r="AP116" s="12"/>
      <c r="AQ116" s="12"/>
      <c r="AR116" s="12"/>
      <c r="AS116" s="11"/>
      <c r="AT116" s="11"/>
      <c r="AU116" s="11"/>
      <c r="AV116" s="11"/>
      <c r="AW116" s="11"/>
      <c r="AX116" s="11"/>
      <c r="AY116" s="11"/>
      <c r="AZ116" s="11"/>
    </row>
    <row r="117" customFormat="false" ht="12" hidden="false" customHeight="true" outlineLevel="0" collapsed="false">
      <c r="A117" s="5" t="s">
        <v>102</v>
      </c>
      <c r="K117" s="10" t="s">
        <v>103</v>
      </c>
      <c r="L117" s="10"/>
      <c r="M117" s="10"/>
      <c r="N117" s="10"/>
      <c r="O117" s="10" t="s">
        <v>104</v>
      </c>
      <c r="P117" s="10"/>
      <c r="Q117" s="10"/>
      <c r="R117" s="10"/>
      <c r="S117" s="10" t="s">
        <v>105</v>
      </c>
      <c r="T117" s="10"/>
      <c r="U117" s="10"/>
      <c r="V117" s="10"/>
      <c r="W117" s="10" t="s">
        <v>106</v>
      </c>
      <c r="X117" s="10"/>
      <c r="Y117" s="10"/>
      <c r="Z117" s="10"/>
      <c r="AA117" s="10" t="s">
        <v>107</v>
      </c>
      <c r="AB117" s="10"/>
      <c r="AC117" s="10"/>
      <c r="AD117" s="10"/>
      <c r="AE117" s="10" t="s">
        <v>108</v>
      </c>
      <c r="AF117" s="10"/>
      <c r="AG117" s="10"/>
      <c r="AH117" s="10"/>
      <c r="AI117" s="10" t="s">
        <v>109</v>
      </c>
      <c r="AJ117" s="10"/>
      <c r="AK117" s="10"/>
      <c r="AL117" s="10"/>
      <c r="AM117" s="10" t="s">
        <v>42</v>
      </c>
      <c r="AN117" s="10"/>
      <c r="AO117" s="10"/>
      <c r="AP117" s="10"/>
      <c r="AQ117" s="10" t="s">
        <v>43</v>
      </c>
      <c r="AR117" s="10"/>
      <c r="AS117" s="10"/>
      <c r="AT117" s="10"/>
      <c r="AU117" s="10" t="s">
        <v>44</v>
      </c>
      <c r="AV117" s="10"/>
      <c r="AW117" s="10"/>
      <c r="AX117" s="10"/>
    </row>
    <row r="118" customFormat="false" ht="21.75" hidden="false" customHeight="true" outlineLevel="0" collapsed="false">
      <c r="K118" s="11"/>
      <c r="L118" s="11"/>
      <c r="M118" s="11"/>
      <c r="N118" s="11"/>
      <c r="O118" s="11"/>
      <c r="P118" s="11"/>
      <c r="Q118" s="11"/>
      <c r="R118" s="11"/>
      <c r="S118" s="11"/>
      <c r="T118" s="11"/>
      <c r="U118" s="11"/>
      <c r="V118" s="11"/>
      <c r="W118" s="11"/>
      <c r="X118" s="11"/>
      <c r="Y118" s="11"/>
      <c r="Z118" s="11"/>
      <c r="AA118" s="11"/>
      <c r="AB118" s="11"/>
      <c r="AC118" s="11"/>
      <c r="AD118" s="11"/>
      <c r="AE118" s="12" t="s">
        <v>211</v>
      </c>
      <c r="AF118" s="12"/>
      <c r="AG118" s="12"/>
      <c r="AH118" s="12"/>
      <c r="AI118" s="11"/>
      <c r="AJ118" s="11"/>
      <c r="AK118" s="11"/>
      <c r="AL118" s="11"/>
      <c r="AM118" s="11"/>
      <c r="AN118" s="11"/>
      <c r="AO118" s="11"/>
      <c r="AP118" s="11"/>
      <c r="AQ118" s="12" t="s">
        <v>212</v>
      </c>
      <c r="AR118" s="12"/>
      <c r="AS118" s="12"/>
      <c r="AT118" s="12"/>
      <c r="AU118" s="11"/>
      <c r="AV118" s="11"/>
      <c r="AW118" s="11"/>
      <c r="AX118" s="11"/>
    </row>
    <row r="119" customFormat="false" ht="12" hidden="false" customHeight="true" outlineLevel="0" collapsed="false">
      <c r="A119" s="5" t="s">
        <v>120</v>
      </c>
      <c r="P119" s="10" t="s">
        <v>48</v>
      </c>
      <c r="Q119" s="10"/>
      <c r="R119" s="10"/>
      <c r="S119" s="10"/>
      <c r="T119" s="10" t="s">
        <v>50</v>
      </c>
      <c r="U119" s="10"/>
      <c r="V119" s="10"/>
      <c r="W119" s="10"/>
      <c r="X119" s="10"/>
      <c r="Y119" s="10"/>
      <c r="Z119" s="10"/>
      <c r="AA119" s="10"/>
      <c r="AB119" s="10"/>
      <c r="AC119" s="10"/>
      <c r="AD119" s="10"/>
      <c r="AE119" s="10"/>
      <c r="AF119" s="10"/>
      <c r="AG119" s="10"/>
      <c r="AH119" s="10"/>
      <c r="AI119" s="10"/>
      <c r="AJ119" s="10"/>
      <c r="AK119" s="10"/>
      <c r="AL119" s="10" t="s">
        <v>45</v>
      </c>
      <c r="AM119" s="10"/>
      <c r="AN119" s="10"/>
      <c r="AO119" s="10"/>
      <c r="AP119" s="10" t="s">
        <v>46</v>
      </c>
      <c r="AQ119" s="10"/>
      <c r="AR119" s="10"/>
      <c r="AS119" s="10"/>
    </row>
    <row r="120" customFormat="false" ht="21.75" hidden="false" customHeight="true" outlineLevel="0" collapsed="false">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row>
    <row r="122" customFormat="false" ht="18.75" hidden="false" customHeight="true" outlineLevel="0" collapsed="false">
      <c r="A122" s="14" t="s">
        <v>213</v>
      </c>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row>
    <row r="123" customFormat="false" ht="15" hidden="false" customHeight="true" outlineLevel="0" collapsed="false">
      <c r="A123" s="8" t="s">
        <v>124</v>
      </c>
      <c r="B123" s="15"/>
      <c r="C123" s="15"/>
      <c r="D123" s="15"/>
      <c r="E123" s="15"/>
      <c r="G123" s="5" t="s">
        <v>125</v>
      </c>
    </row>
    <row r="124" customFormat="false" ht="12" hidden="false" customHeight="true" outlineLevel="0" collapsed="false">
      <c r="A124" s="5" t="s">
        <v>64</v>
      </c>
      <c r="F124" s="10" t="s">
        <v>0</v>
      </c>
      <c r="G124" s="10"/>
      <c r="H124" s="10"/>
      <c r="I124" s="10"/>
      <c r="J124" s="10" t="s">
        <v>1</v>
      </c>
      <c r="K124" s="10"/>
      <c r="L124" s="10"/>
      <c r="M124" s="10"/>
      <c r="N124" s="10" t="s">
        <v>2</v>
      </c>
      <c r="O124" s="10"/>
      <c r="P124" s="10"/>
      <c r="Q124" s="10"/>
      <c r="R124" s="10" t="s">
        <v>3</v>
      </c>
      <c r="S124" s="10"/>
      <c r="T124" s="10"/>
      <c r="U124" s="10"/>
      <c r="V124" s="10" t="s">
        <v>4</v>
      </c>
      <c r="W124" s="10"/>
      <c r="X124" s="10"/>
      <c r="Y124" s="10"/>
      <c r="Z124" s="10" t="s">
        <v>5</v>
      </c>
      <c r="AA124" s="10"/>
      <c r="AB124" s="10"/>
      <c r="AC124" s="10"/>
      <c r="AD124" s="10" t="s">
        <v>6</v>
      </c>
      <c r="AE124" s="10"/>
      <c r="AF124" s="10"/>
      <c r="AG124" s="10"/>
      <c r="AH124" s="10" t="s">
        <v>7</v>
      </c>
      <c r="AI124" s="10"/>
      <c r="AJ124" s="10"/>
      <c r="AK124" s="10"/>
      <c r="AL124" s="10" t="s">
        <v>8</v>
      </c>
      <c r="AM124" s="10"/>
      <c r="AN124" s="10"/>
      <c r="AO124" s="10"/>
      <c r="AP124" s="10" t="s">
        <v>9</v>
      </c>
      <c r="AQ124" s="10"/>
      <c r="AR124" s="10"/>
      <c r="AS124" s="10"/>
      <c r="AT124" s="10" t="s">
        <v>10</v>
      </c>
      <c r="AU124" s="10"/>
      <c r="AV124" s="10"/>
      <c r="AW124" s="10"/>
      <c r="AX124" s="10" t="s">
        <v>11</v>
      </c>
      <c r="AY124" s="10"/>
      <c r="AZ124" s="10"/>
      <c r="BA124" s="10"/>
    </row>
    <row r="125" customFormat="false" ht="21.75" hidden="false" customHeight="true" outlineLevel="0" collapsed="false">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row>
    <row r="126" customFormat="false" ht="12" hidden="false" customHeight="true" outlineLevel="0" collapsed="false">
      <c r="A126" s="5" t="s">
        <v>65</v>
      </c>
      <c r="H126" s="10" t="s">
        <v>66</v>
      </c>
      <c r="I126" s="10"/>
      <c r="J126" s="10"/>
      <c r="K126" s="10"/>
      <c r="L126" s="10" t="s">
        <v>67</v>
      </c>
      <c r="M126" s="10"/>
      <c r="N126" s="10"/>
      <c r="O126" s="10"/>
      <c r="P126" s="10" t="s">
        <v>68</v>
      </c>
      <c r="Q126" s="10"/>
      <c r="R126" s="10"/>
      <c r="S126" s="10"/>
      <c r="T126" s="10" t="s">
        <v>69</v>
      </c>
      <c r="U126" s="10"/>
      <c r="V126" s="10"/>
      <c r="W126" s="10"/>
      <c r="X126" s="10" t="s">
        <v>70</v>
      </c>
      <c r="Y126" s="10"/>
      <c r="Z126" s="10"/>
      <c r="AA126" s="10"/>
      <c r="AB126" s="10" t="s">
        <v>71</v>
      </c>
      <c r="AC126" s="10"/>
      <c r="AD126" s="10"/>
      <c r="AE126" s="10"/>
      <c r="AF126" s="10" t="s">
        <v>72</v>
      </c>
      <c r="AG126" s="10"/>
      <c r="AH126" s="10"/>
      <c r="AI126" s="10"/>
      <c r="AJ126" s="10" t="s">
        <v>73</v>
      </c>
      <c r="AK126" s="10"/>
      <c r="AL126" s="10"/>
      <c r="AM126" s="10"/>
      <c r="AN126" s="10" t="s">
        <v>74</v>
      </c>
      <c r="AO126" s="10"/>
      <c r="AP126" s="10"/>
      <c r="AQ126" s="10"/>
      <c r="AR126" s="10" t="s">
        <v>75</v>
      </c>
      <c r="AS126" s="10"/>
      <c r="AT126" s="10"/>
      <c r="AU126" s="10"/>
      <c r="AV126" s="10" t="s">
        <v>22</v>
      </c>
      <c r="AW126" s="10"/>
      <c r="AX126" s="10"/>
      <c r="AY126" s="10"/>
      <c r="AZ126" s="10" t="s">
        <v>23</v>
      </c>
      <c r="BA126" s="10"/>
      <c r="BB126" s="10"/>
      <c r="BC126" s="10"/>
    </row>
    <row r="127" customFormat="false" ht="21.75" hidden="false" customHeight="true" outlineLevel="0" collapsed="false">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row>
    <row r="128" customFormat="false" ht="12" hidden="false" customHeight="true" outlineLevel="0" collapsed="false">
      <c r="A128" s="5" t="s">
        <v>82</v>
      </c>
      <c r="I128" s="10" t="s">
        <v>83</v>
      </c>
      <c r="J128" s="10"/>
      <c r="K128" s="10"/>
      <c r="L128" s="10"/>
      <c r="M128" s="10" t="s">
        <v>84</v>
      </c>
      <c r="N128" s="10"/>
      <c r="O128" s="10"/>
      <c r="P128" s="10"/>
      <c r="Q128" s="10" t="s">
        <v>85</v>
      </c>
      <c r="R128" s="10"/>
      <c r="S128" s="10"/>
      <c r="T128" s="10"/>
      <c r="U128" s="10" t="s">
        <v>86</v>
      </c>
      <c r="V128" s="10"/>
      <c r="W128" s="10"/>
      <c r="X128" s="10"/>
      <c r="Y128" s="10" t="s">
        <v>87</v>
      </c>
      <c r="Z128" s="10"/>
      <c r="AA128" s="10"/>
      <c r="AB128" s="10"/>
      <c r="AC128" s="10" t="s">
        <v>88</v>
      </c>
      <c r="AD128" s="10"/>
      <c r="AE128" s="10"/>
      <c r="AF128" s="10"/>
      <c r="AG128" s="10" t="s">
        <v>89</v>
      </c>
      <c r="AH128" s="10"/>
      <c r="AI128" s="10"/>
      <c r="AJ128" s="10"/>
      <c r="AK128" s="10" t="s">
        <v>90</v>
      </c>
      <c r="AL128" s="10"/>
      <c r="AM128" s="10"/>
      <c r="AN128" s="10"/>
      <c r="AO128" s="10" t="s">
        <v>91</v>
      </c>
      <c r="AP128" s="10"/>
      <c r="AQ128" s="10"/>
      <c r="AR128" s="10"/>
      <c r="AS128" s="10" t="s">
        <v>33</v>
      </c>
      <c r="AT128" s="10"/>
      <c r="AU128" s="10"/>
      <c r="AV128" s="10"/>
      <c r="AW128" s="10" t="s">
        <v>34</v>
      </c>
      <c r="AX128" s="10"/>
      <c r="AY128" s="10"/>
      <c r="AZ128" s="10"/>
    </row>
    <row r="129" customFormat="false" ht="21.75" hidden="false" customHeight="true" outlineLevel="0" collapsed="false">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row>
    <row r="130" customFormat="false" ht="12" hidden="false" customHeight="true" outlineLevel="0" collapsed="false">
      <c r="A130" s="5" t="s">
        <v>102</v>
      </c>
      <c r="K130" s="10" t="s">
        <v>103</v>
      </c>
      <c r="L130" s="10"/>
      <c r="M130" s="10"/>
      <c r="N130" s="10"/>
      <c r="O130" s="10" t="s">
        <v>104</v>
      </c>
      <c r="P130" s="10"/>
      <c r="Q130" s="10"/>
      <c r="R130" s="10"/>
      <c r="S130" s="10" t="s">
        <v>105</v>
      </c>
      <c r="T130" s="10"/>
      <c r="U130" s="10"/>
      <c r="V130" s="10"/>
      <c r="W130" s="10" t="s">
        <v>106</v>
      </c>
      <c r="X130" s="10"/>
      <c r="Y130" s="10"/>
      <c r="Z130" s="10"/>
      <c r="AA130" s="10" t="s">
        <v>107</v>
      </c>
      <c r="AB130" s="10"/>
      <c r="AC130" s="10"/>
      <c r="AD130" s="10"/>
      <c r="AE130" s="10" t="s">
        <v>108</v>
      </c>
      <c r="AF130" s="10"/>
      <c r="AG130" s="10"/>
      <c r="AH130" s="10"/>
      <c r="AI130" s="10" t="s">
        <v>109</v>
      </c>
      <c r="AJ130" s="10"/>
      <c r="AK130" s="10"/>
      <c r="AL130" s="10"/>
      <c r="AM130" s="10" t="s">
        <v>42</v>
      </c>
      <c r="AN130" s="10"/>
      <c r="AO130" s="10"/>
      <c r="AP130" s="10"/>
      <c r="AQ130" s="10" t="s">
        <v>43</v>
      </c>
      <c r="AR130" s="10"/>
      <c r="AS130" s="10"/>
      <c r="AT130" s="10"/>
      <c r="AU130" s="10" t="s">
        <v>44</v>
      </c>
      <c r="AV130" s="10"/>
      <c r="AW130" s="10"/>
      <c r="AX130" s="10"/>
    </row>
    <row r="131" customFormat="false" ht="21.75" hidden="false" customHeight="true" outlineLevel="0" collapsed="false">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customFormat="false" ht="12" hidden="false" customHeight="true" outlineLevel="0" collapsed="false">
      <c r="A132" s="5" t="s">
        <v>120</v>
      </c>
      <c r="P132" s="10" t="s">
        <v>48</v>
      </c>
      <c r="Q132" s="10"/>
      <c r="R132" s="10"/>
      <c r="S132" s="10"/>
      <c r="T132" s="10" t="s">
        <v>50</v>
      </c>
      <c r="U132" s="10"/>
      <c r="V132" s="10"/>
      <c r="W132" s="10"/>
      <c r="X132" s="10"/>
      <c r="Y132" s="10"/>
      <c r="Z132" s="10"/>
      <c r="AA132" s="10"/>
      <c r="AB132" s="10"/>
      <c r="AC132" s="10"/>
      <c r="AD132" s="10"/>
      <c r="AE132" s="10"/>
      <c r="AF132" s="10"/>
      <c r="AG132" s="10"/>
      <c r="AH132" s="10"/>
      <c r="AI132" s="10"/>
      <c r="AJ132" s="10"/>
      <c r="AK132" s="10"/>
      <c r="AL132" s="10" t="s">
        <v>45</v>
      </c>
      <c r="AM132" s="10"/>
      <c r="AN132" s="10"/>
      <c r="AO132" s="10"/>
      <c r="AP132" s="10" t="s">
        <v>46</v>
      </c>
      <c r="AQ132" s="10"/>
      <c r="AR132" s="10"/>
      <c r="AS132" s="10"/>
    </row>
    <row r="133" customFormat="false" ht="21.75" hidden="false" customHeight="true" outlineLevel="0" collapsed="false">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row>
    <row r="135" customFormat="false" ht="18.75" hidden="false" customHeight="true" outlineLevel="0" collapsed="false">
      <c r="A135" s="14" t="s">
        <v>214</v>
      </c>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row>
    <row r="136" customFormat="false" ht="15" hidden="false" customHeight="true" outlineLevel="0" collapsed="false">
      <c r="A136" s="8" t="s">
        <v>124</v>
      </c>
      <c r="B136" s="15"/>
      <c r="C136" s="15"/>
      <c r="D136" s="15"/>
      <c r="E136" s="15"/>
      <c r="G136" s="5" t="s">
        <v>125</v>
      </c>
    </row>
    <row r="137" customFormat="false" ht="12" hidden="false" customHeight="true" outlineLevel="0" collapsed="false">
      <c r="A137" s="5" t="s">
        <v>64</v>
      </c>
      <c r="F137" s="10" t="s">
        <v>0</v>
      </c>
      <c r="G137" s="10"/>
      <c r="H137" s="10"/>
      <c r="I137" s="10"/>
      <c r="J137" s="10" t="s">
        <v>1</v>
      </c>
      <c r="K137" s="10"/>
      <c r="L137" s="10"/>
      <c r="M137" s="10"/>
      <c r="N137" s="10" t="s">
        <v>2</v>
      </c>
      <c r="O137" s="10"/>
      <c r="P137" s="10"/>
      <c r="Q137" s="10"/>
      <c r="R137" s="10" t="s">
        <v>3</v>
      </c>
      <c r="S137" s="10"/>
      <c r="T137" s="10"/>
      <c r="U137" s="10"/>
      <c r="V137" s="10" t="s">
        <v>4</v>
      </c>
      <c r="W137" s="10"/>
      <c r="X137" s="10"/>
      <c r="Y137" s="10"/>
      <c r="Z137" s="10" t="s">
        <v>5</v>
      </c>
      <c r="AA137" s="10"/>
      <c r="AB137" s="10"/>
      <c r="AC137" s="10"/>
      <c r="AD137" s="10" t="s">
        <v>6</v>
      </c>
      <c r="AE137" s="10"/>
      <c r="AF137" s="10"/>
      <c r="AG137" s="10"/>
      <c r="AH137" s="10" t="s">
        <v>7</v>
      </c>
      <c r="AI137" s="10"/>
      <c r="AJ137" s="10"/>
      <c r="AK137" s="10"/>
      <c r="AL137" s="10" t="s">
        <v>8</v>
      </c>
      <c r="AM137" s="10"/>
      <c r="AN137" s="10"/>
      <c r="AO137" s="10"/>
      <c r="AP137" s="10" t="s">
        <v>9</v>
      </c>
      <c r="AQ137" s="10"/>
      <c r="AR137" s="10"/>
      <c r="AS137" s="10"/>
      <c r="AT137" s="10" t="s">
        <v>10</v>
      </c>
      <c r="AU137" s="10"/>
      <c r="AV137" s="10"/>
      <c r="AW137" s="10"/>
      <c r="AX137" s="10" t="s">
        <v>11</v>
      </c>
      <c r="AY137" s="10"/>
      <c r="AZ137" s="10"/>
      <c r="BA137" s="10"/>
    </row>
    <row r="138" customFormat="false" ht="21.75" hidden="false" customHeight="true" outlineLevel="0" collapsed="false">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row>
    <row r="139" customFormat="false" ht="12" hidden="false" customHeight="true" outlineLevel="0" collapsed="false">
      <c r="A139" s="5" t="s">
        <v>65</v>
      </c>
      <c r="H139" s="10" t="s">
        <v>66</v>
      </c>
      <c r="I139" s="10"/>
      <c r="J139" s="10"/>
      <c r="K139" s="10"/>
      <c r="L139" s="10" t="s">
        <v>67</v>
      </c>
      <c r="M139" s="10"/>
      <c r="N139" s="10"/>
      <c r="O139" s="10"/>
      <c r="P139" s="10" t="s">
        <v>68</v>
      </c>
      <c r="Q139" s="10"/>
      <c r="R139" s="10"/>
      <c r="S139" s="10"/>
      <c r="T139" s="10" t="s">
        <v>69</v>
      </c>
      <c r="U139" s="10"/>
      <c r="V139" s="10"/>
      <c r="W139" s="10"/>
      <c r="X139" s="10" t="s">
        <v>70</v>
      </c>
      <c r="Y139" s="10"/>
      <c r="Z139" s="10"/>
      <c r="AA139" s="10"/>
      <c r="AB139" s="10" t="s">
        <v>71</v>
      </c>
      <c r="AC139" s="10"/>
      <c r="AD139" s="10"/>
      <c r="AE139" s="10"/>
      <c r="AF139" s="10" t="s">
        <v>72</v>
      </c>
      <c r="AG139" s="10"/>
      <c r="AH139" s="10"/>
      <c r="AI139" s="10"/>
      <c r="AJ139" s="10" t="s">
        <v>73</v>
      </c>
      <c r="AK139" s="10"/>
      <c r="AL139" s="10"/>
      <c r="AM139" s="10"/>
      <c r="AN139" s="10" t="s">
        <v>74</v>
      </c>
      <c r="AO139" s="10"/>
      <c r="AP139" s="10"/>
      <c r="AQ139" s="10"/>
      <c r="AR139" s="10" t="s">
        <v>75</v>
      </c>
      <c r="AS139" s="10"/>
      <c r="AT139" s="10"/>
      <c r="AU139" s="10"/>
      <c r="AV139" s="10" t="s">
        <v>22</v>
      </c>
      <c r="AW139" s="10"/>
      <c r="AX139" s="10"/>
      <c r="AY139" s="10"/>
      <c r="AZ139" s="10" t="s">
        <v>23</v>
      </c>
      <c r="BA139" s="10"/>
      <c r="BB139" s="10"/>
      <c r="BC139" s="10"/>
    </row>
    <row r="140" customFormat="false" ht="21.75" hidden="false" customHeight="true" outlineLevel="0" collapsed="false">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row>
    <row r="141" customFormat="false" ht="12" hidden="false" customHeight="true" outlineLevel="0" collapsed="false">
      <c r="A141" s="5" t="s">
        <v>82</v>
      </c>
      <c r="I141" s="10" t="s">
        <v>83</v>
      </c>
      <c r="J141" s="10"/>
      <c r="K141" s="10"/>
      <c r="L141" s="10"/>
      <c r="M141" s="10" t="s">
        <v>84</v>
      </c>
      <c r="N141" s="10"/>
      <c r="O141" s="10"/>
      <c r="P141" s="10"/>
      <c r="Q141" s="10" t="s">
        <v>85</v>
      </c>
      <c r="R141" s="10"/>
      <c r="S141" s="10"/>
      <c r="T141" s="10"/>
      <c r="U141" s="10" t="s">
        <v>86</v>
      </c>
      <c r="V141" s="10"/>
      <c r="W141" s="10"/>
      <c r="X141" s="10"/>
      <c r="Y141" s="10" t="s">
        <v>87</v>
      </c>
      <c r="Z141" s="10"/>
      <c r="AA141" s="10"/>
      <c r="AB141" s="10"/>
      <c r="AC141" s="10" t="s">
        <v>88</v>
      </c>
      <c r="AD141" s="10"/>
      <c r="AE141" s="10"/>
      <c r="AF141" s="10"/>
      <c r="AG141" s="10" t="s">
        <v>89</v>
      </c>
      <c r="AH141" s="10"/>
      <c r="AI141" s="10"/>
      <c r="AJ141" s="10"/>
      <c r="AK141" s="10" t="s">
        <v>90</v>
      </c>
      <c r="AL141" s="10"/>
      <c r="AM141" s="10"/>
      <c r="AN141" s="10"/>
      <c r="AO141" s="10" t="s">
        <v>91</v>
      </c>
      <c r="AP141" s="10"/>
      <c r="AQ141" s="10"/>
      <c r="AR141" s="10"/>
      <c r="AS141" s="10" t="s">
        <v>33</v>
      </c>
      <c r="AT141" s="10"/>
      <c r="AU141" s="10"/>
      <c r="AV141" s="10"/>
      <c r="AW141" s="10" t="s">
        <v>34</v>
      </c>
      <c r="AX141" s="10"/>
      <c r="AY141" s="10"/>
      <c r="AZ141" s="10"/>
    </row>
    <row r="142" customFormat="false" ht="21.75" hidden="false" customHeight="true" outlineLevel="0" collapsed="false">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row>
    <row r="143" customFormat="false" ht="12" hidden="false" customHeight="true" outlineLevel="0" collapsed="false">
      <c r="A143" s="5" t="s">
        <v>102</v>
      </c>
      <c r="K143" s="10" t="s">
        <v>103</v>
      </c>
      <c r="L143" s="10"/>
      <c r="M143" s="10"/>
      <c r="N143" s="10"/>
      <c r="O143" s="10" t="s">
        <v>104</v>
      </c>
      <c r="P143" s="10"/>
      <c r="Q143" s="10"/>
      <c r="R143" s="10"/>
      <c r="S143" s="10" t="s">
        <v>105</v>
      </c>
      <c r="T143" s="10"/>
      <c r="U143" s="10"/>
      <c r="V143" s="10"/>
      <c r="W143" s="10" t="s">
        <v>106</v>
      </c>
      <c r="X143" s="10"/>
      <c r="Y143" s="10"/>
      <c r="Z143" s="10"/>
      <c r="AA143" s="10" t="s">
        <v>107</v>
      </c>
      <c r="AB143" s="10"/>
      <c r="AC143" s="10"/>
      <c r="AD143" s="10"/>
      <c r="AE143" s="10" t="s">
        <v>108</v>
      </c>
      <c r="AF143" s="10"/>
      <c r="AG143" s="10"/>
      <c r="AH143" s="10"/>
      <c r="AI143" s="10" t="s">
        <v>109</v>
      </c>
      <c r="AJ143" s="10"/>
      <c r="AK143" s="10"/>
      <c r="AL143" s="10"/>
      <c r="AM143" s="10" t="s">
        <v>42</v>
      </c>
      <c r="AN143" s="10"/>
      <c r="AO143" s="10"/>
      <c r="AP143" s="10"/>
      <c r="AQ143" s="10" t="s">
        <v>43</v>
      </c>
      <c r="AR143" s="10"/>
      <c r="AS143" s="10"/>
      <c r="AT143" s="10"/>
      <c r="AU143" s="10" t="s">
        <v>44</v>
      </c>
      <c r="AV143" s="10"/>
      <c r="AW143" s="10"/>
      <c r="AX143" s="10"/>
    </row>
    <row r="144" customFormat="false" ht="21.75" hidden="false" customHeight="true" outlineLevel="0" collapsed="false">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customFormat="false" ht="12" hidden="false" customHeight="true" outlineLevel="0" collapsed="false">
      <c r="A145" s="5" t="s">
        <v>120</v>
      </c>
      <c r="P145" s="10" t="s">
        <v>48</v>
      </c>
      <c r="Q145" s="10"/>
      <c r="R145" s="10"/>
      <c r="S145" s="10"/>
      <c r="T145" s="10" t="s">
        <v>50</v>
      </c>
      <c r="U145" s="10"/>
      <c r="V145" s="10"/>
      <c r="W145" s="10"/>
      <c r="X145" s="10"/>
      <c r="Y145" s="10"/>
      <c r="Z145" s="10"/>
      <c r="AA145" s="10"/>
      <c r="AB145" s="10"/>
      <c r="AC145" s="10"/>
      <c r="AD145" s="10"/>
      <c r="AE145" s="10"/>
      <c r="AF145" s="10"/>
      <c r="AG145" s="10"/>
      <c r="AH145" s="10"/>
      <c r="AI145" s="10"/>
      <c r="AJ145" s="10"/>
      <c r="AK145" s="10"/>
      <c r="AL145" s="10" t="s">
        <v>45</v>
      </c>
      <c r="AM145" s="10"/>
      <c r="AN145" s="10"/>
      <c r="AO145" s="10"/>
      <c r="AP145" s="10" t="s">
        <v>46</v>
      </c>
      <c r="AQ145" s="10"/>
      <c r="AR145" s="10"/>
      <c r="AS145" s="10"/>
    </row>
    <row r="146" customFormat="false" ht="21.75" hidden="false" customHeight="true" outlineLevel="0" collapsed="false">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row>
    <row r="148" customFormat="false" ht="18.75" hidden="false" customHeight="true" outlineLevel="0" collapsed="false">
      <c r="A148" s="14" t="s">
        <v>215</v>
      </c>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row>
    <row r="149" customFormat="false" ht="15" hidden="false" customHeight="true" outlineLevel="0" collapsed="false">
      <c r="A149" s="8" t="s">
        <v>124</v>
      </c>
      <c r="B149" s="15"/>
      <c r="C149" s="15"/>
      <c r="D149" s="15"/>
      <c r="E149" s="15"/>
      <c r="G149" s="5" t="s">
        <v>125</v>
      </c>
    </row>
    <row r="150" customFormat="false" ht="12" hidden="false" customHeight="true" outlineLevel="0" collapsed="false">
      <c r="A150" s="5" t="s">
        <v>64</v>
      </c>
      <c r="F150" s="10" t="s">
        <v>0</v>
      </c>
      <c r="G150" s="10"/>
      <c r="H150" s="10"/>
      <c r="I150" s="10"/>
      <c r="J150" s="10" t="s">
        <v>1</v>
      </c>
      <c r="K150" s="10"/>
      <c r="L150" s="10"/>
      <c r="M150" s="10"/>
      <c r="N150" s="10" t="s">
        <v>2</v>
      </c>
      <c r="O150" s="10"/>
      <c r="P150" s="10"/>
      <c r="Q150" s="10"/>
      <c r="R150" s="10" t="s">
        <v>3</v>
      </c>
      <c r="S150" s="10"/>
      <c r="T150" s="10"/>
      <c r="U150" s="10"/>
      <c r="V150" s="10" t="s">
        <v>4</v>
      </c>
      <c r="W150" s="10"/>
      <c r="X150" s="10"/>
      <c r="Y150" s="10"/>
      <c r="Z150" s="10" t="s">
        <v>5</v>
      </c>
      <c r="AA150" s="10"/>
      <c r="AB150" s="10"/>
      <c r="AC150" s="10"/>
      <c r="AD150" s="10" t="s">
        <v>6</v>
      </c>
      <c r="AE150" s="10"/>
      <c r="AF150" s="10"/>
      <c r="AG150" s="10"/>
      <c r="AH150" s="10" t="s">
        <v>7</v>
      </c>
      <c r="AI150" s="10"/>
      <c r="AJ150" s="10"/>
      <c r="AK150" s="10"/>
      <c r="AL150" s="10" t="s">
        <v>8</v>
      </c>
      <c r="AM150" s="10"/>
      <c r="AN150" s="10"/>
      <c r="AO150" s="10"/>
      <c r="AP150" s="10" t="s">
        <v>9</v>
      </c>
      <c r="AQ150" s="10"/>
      <c r="AR150" s="10"/>
      <c r="AS150" s="10"/>
      <c r="AT150" s="10" t="s">
        <v>10</v>
      </c>
      <c r="AU150" s="10"/>
      <c r="AV150" s="10"/>
      <c r="AW150" s="10"/>
      <c r="AX150" s="10" t="s">
        <v>11</v>
      </c>
      <c r="AY150" s="10"/>
      <c r="AZ150" s="10"/>
      <c r="BA150" s="10"/>
    </row>
    <row r="151" customFormat="false" ht="21.75" hidden="false" customHeight="true" outlineLevel="0" collapsed="false">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row>
    <row r="152" customFormat="false" ht="12" hidden="false" customHeight="true" outlineLevel="0" collapsed="false">
      <c r="A152" s="5" t="s">
        <v>65</v>
      </c>
      <c r="H152" s="10" t="s">
        <v>66</v>
      </c>
      <c r="I152" s="10"/>
      <c r="J152" s="10"/>
      <c r="K152" s="10"/>
      <c r="L152" s="10" t="s">
        <v>67</v>
      </c>
      <c r="M152" s="10"/>
      <c r="N152" s="10"/>
      <c r="O152" s="10"/>
      <c r="P152" s="10" t="s">
        <v>68</v>
      </c>
      <c r="Q152" s="10"/>
      <c r="R152" s="10"/>
      <c r="S152" s="10"/>
      <c r="T152" s="10" t="s">
        <v>69</v>
      </c>
      <c r="U152" s="10"/>
      <c r="V152" s="10"/>
      <c r="W152" s="10"/>
      <c r="X152" s="10" t="s">
        <v>70</v>
      </c>
      <c r="Y152" s="10"/>
      <c r="Z152" s="10"/>
      <c r="AA152" s="10"/>
      <c r="AB152" s="10" t="s">
        <v>71</v>
      </c>
      <c r="AC152" s="10"/>
      <c r="AD152" s="10"/>
      <c r="AE152" s="10"/>
      <c r="AF152" s="10" t="s">
        <v>72</v>
      </c>
      <c r="AG152" s="10"/>
      <c r="AH152" s="10"/>
      <c r="AI152" s="10"/>
      <c r="AJ152" s="10" t="s">
        <v>73</v>
      </c>
      <c r="AK152" s="10"/>
      <c r="AL152" s="10"/>
      <c r="AM152" s="10"/>
      <c r="AN152" s="10" t="s">
        <v>74</v>
      </c>
      <c r="AO152" s="10"/>
      <c r="AP152" s="10"/>
      <c r="AQ152" s="10"/>
      <c r="AR152" s="10" t="s">
        <v>75</v>
      </c>
      <c r="AS152" s="10"/>
      <c r="AT152" s="10"/>
      <c r="AU152" s="10"/>
      <c r="AV152" s="10" t="s">
        <v>22</v>
      </c>
      <c r="AW152" s="10"/>
      <c r="AX152" s="10"/>
      <c r="AY152" s="10"/>
      <c r="AZ152" s="10" t="s">
        <v>23</v>
      </c>
      <c r="BA152" s="10"/>
      <c r="BB152" s="10"/>
      <c r="BC152" s="10"/>
    </row>
    <row r="153" customFormat="false" ht="21.75" hidden="false" customHeight="true" outlineLevel="0" collapsed="false">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row>
    <row r="154" customFormat="false" ht="12" hidden="false" customHeight="true" outlineLevel="0" collapsed="false">
      <c r="A154" s="5" t="s">
        <v>82</v>
      </c>
      <c r="I154" s="10" t="s">
        <v>83</v>
      </c>
      <c r="J154" s="10"/>
      <c r="K154" s="10"/>
      <c r="L154" s="10"/>
      <c r="M154" s="10" t="s">
        <v>84</v>
      </c>
      <c r="N154" s="10"/>
      <c r="O154" s="10"/>
      <c r="P154" s="10"/>
      <c r="Q154" s="10" t="s">
        <v>85</v>
      </c>
      <c r="R154" s="10"/>
      <c r="S154" s="10"/>
      <c r="T154" s="10"/>
      <c r="U154" s="10" t="s">
        <v>86</v>
      </c>
      <c r="V154" s="10"/>
      <c r="W154" s="10"/>
      <c r="X154" s="10"/>
      <c r="Y154" s="10" t="s">
        <v>87</v>
      </c>
      <c r="Z154" s="10"/>
      <c r="AA154" s="10"/>
      <c r="AB154" s="10"/>
      <c r="AC154" s="10" t="s">
        <v>88</v>
      </c>
      <c r="AD154" s="10"/>
      <c r="AE154" s="10"/>
      <c r="AF154" s="10"/>
      <c r="AG154" s="10" t="s">
        <v>89</v>
      </c>
      <c r="AH154" s="10"/>
      <c r="AI154" s="10"/>
      <c r="AJ154" s="10"/>
      <c r="AK154" s="10" t="s">
        <v>90</v>
      </c>
      <c r="AL154" s="10"/>
      <c r="AM154" s="10"/>
      <c r="AN154" s="10"/>
      <c r="AO154" s="10" t="s">
        <v>91</v>
      </c>
      <c r="AP154" s="10"/>
      <c r="AQ154" s="10"/>
      <c r="AR154" s="10"/>
      <c r="AS154" s="10" t="s">
        <v>33</v>
      </c>
      <c r="AT154" s="10"/>
      <c r="AU154" s="10"/>
      <c r="AV154" s="10"/>
      <c r="AW154" s="10" t="s">
        <v>34</v>
      </c>
      <c r="AX154" s="10"/>
      <c r="AY154" s="10"/>
      <c r="AZ154" s="10"/>
    </row>
    <row r="155" customFormat="false" ht="21.75" hidden="false" customHeight="true" outlineLevel="0" collapsed="false">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row>
    <row r="156" customFormat="false" ht="12" hidden="false" customHeight="true" outlineLevel="0" collapsed="false">
      <c r="A156" s="5" t="s">
        <v>102</v>
      </c>
      <c r="K156" s="10" t="s">
        <v>103</v>
      </c>
      <c r="L156" s="10"/>
      <c r="M156" s="10"/>
      <c r="N156" s="10"/>
      <c r="O156" s="10" t="s">
        <v>104</v>
      </c>
      <c r="P156" s="10"/>
      <c r="Q156" s="10"/>
      <c r="R156" s="10"/>
      <c r="S156" s="10" t="s">
        <v>105</v>
      </c>
      <c r="T156" s="10"/>
      <c r="U156" s="10"/>
      <c r="V156" s="10"/>
      <c r="W156" s="10" t="s">
        <v>106</v>
      </c>
      <c r="X156" s="10"/>
      <c r="Y156" s="10"/>
      <c r="Z156" s="10"/>
      <c r="AA156" s="10" t="s">
        <v>107</v>
      </c>
      <c r="AB156" s="10"/>
      <c r="AC156" s="10"/>
      <c r="AD156" s="10"/>
      <c r="AE156" s="10" t="s">
        <v>108</v>
      </c>
      <c r="AF156" s="10"/>
      <c r="AG156" s="10"/>
      <c r="AH156" s="10"/>
      <c r="AI156" s="10" t="s">
        <v>109</v>
      </c>
      <c r="AJ156" s="10"/>
      <c r="AK156" s="10"/>
      <c r="AL156" s="10"/>
      <c r="AM156" s="10" t="s">
        <v>42</v>
      </c>
      <c r="AN156" s="10"/>
      <c r="AO156" s="10"/>
      <c r="AP156" s="10"/>
      <c r="AQ156" s="10" t="s">
        <v>43</v>
      </c>
      <c r="AR156" s="10"/>
      <c r="AS156" s="10"/>
      <c r="AT156" s="10"/>
      <c r="AU156" s="10" t="s">
        <v>44</v>
      </c>
      <c r="AV156" s="10"/>
      <c r="AW156" s="10"/>
      <c r="AX156" s="10"/>
    </row>
    <row r="157" customFormat="false" ht="21.75" hidden="false" customHeight="true" outlineLevel="0" collapsed="false">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customFormat="false" ht="12" hidden="false" customHeight="true" outlineLevel="0" collapsed="false">
      <c r="A158" s="5" t="s">
        <v>120</v>
      </c>
      <c r="P158" s="10" t="s">
        <v>48</v>
      </c>
      <c r="Q158" s="10"/>
      <c r="R158" s="10"/>
      <c r="S158" s="10"/>
      <c r="T158" s="10" t="s">
        <v>50</v>
      </c>
      <c r="U158" s="10"/>
      <c r="V158" s="10"/>
      <c r="W158" s="10"/>
      <c r="X158" s="10"/>
      <c r="Y158" s="10"/>
      <c r="Z158" s="10"/>
      <c r="AA158" s="10"/>
      <c r="AB158" s="10"/>
      <c r="AC158" s="10"/>
      <c r="AD158" s="10"/>
      <c r="AE158" s="10"/>
      <c r="AF158" s="10"/>
      <c r="AG158" s="10"/>
      <c r="AH158" s="10"/>
      <c r="AI158" s="10"/>
      <c r="AJ158" s="10"/>
      <c r="AK158" s="10"/>
      <c r="AL158" s="10" t="s">
        <v>45</v>
      </c>
      <c r="AM158" s="10"/>
      <c r="AN158" s="10"/>
      <c r="AO158" s="10"/>
      <c r="AP158" s="10" t="s">
        <v>46</v>
      </c>
      <c r="AQ158" s="10"/>
      <c r="AR158" s="10"/>
      <c r="AS158" s="10"/>
    </row>
    <row r="159" customFormat="false" ht="21.75" hidden="false" customHeight="true" outlineLevel="0" collapsed="false">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row>
    <row r="161" customFormat="false" ht="18.75" hidden="false" customHeight="true" outlineLevel="0" collapsed="false">
      <c r="A161" s="14" t="s">
        <v>216</v>
      </c>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row>
    <row r="162" customFormat="false" ht="15" hidden="false" customHeight="true" outlineLevel="0" collapsed="false">
      <c r="A162" s="8" t="s">
        <v>124</v>
      </c>
      <c r="B162" s="15"/>
      <c r="C162" s="15"/>
      <c r="D162" s="15"/>
      <c r="E162" s="15"/>
      <c r="G162" s="5" t="s">
        <v>125</v>
      </c>
    </row>
    <row r="163" customFormat="false" ht="12" hidden="false" customHeight="true" outlineLevel="0" collapsed="false">
      <c r="A163" s="5" t="s">
        <v>64</v>
      </c>
      <c r="F163" s="10" t="s">
        <v>0</v>
      </c>
      <c r="G163" s="10"/>
      <c r="H163" s="10"/>
      <c r="I163" s="10"/>
      <c r="J163" s="10" t="s">
        <v>1</v>
      </c>
      <c r="K163" s="10"/>
      <c r="L163" s="10"/>
      <c r="M163" s="10"/>
      <c r="N163" s="10" t="s">
        <v>2</v>
      </c>
      <c r="O163" s="10"/>
      <c r="P163" s="10"/>
      <c r="Q163" s="10"/>
      <c r="R163" s="10" t="s">
        <v>3</v>
      </c>
      <c r="S163" s="10"/>
      <c r="T163" s="10"/>
      <c r="U163" s="10"/>
      <c r="V163" s="10" t="s">
        <v>4</v>
      </c>
      <c r="W163" s="10"/>
      <c r="X163" s="10"/>
      <c r="Y163" s="10"/>
      <c r="Z163" s="10" t="s">
        <v>5</v>
      </c>
      <c r="AA163" s="10"/>
      <c r="AB163" s="10"/>
      <c r="AC163" s="10"/>
      <c r="AD163" s="10" t="s">
        <v>6</v>
      </c>
      <c r="AE163" s="10"/>
      <c r="AF163" s="10"/>
      <c r="AG163" s="10"/>
      <c r="AH163" s="10" t="s">
        <v>7</v>
      </c>
      <c r="AI163" s="10"/>
      <c r="AJ163" s="10"/>
      <c r="AK163" s="10"/>
      <c r="AL163" s="10" t="s">
        <v>8</v>
      </c>
      <c r="AM163" s="10"/>
      <c r="AN163" s="10"/>
      <c r="AO163" s="10"/>
      <c r="AP163" s="10" t="s">
        <v>9</v>
      </c>
      <c r="AQ163" s="10"/>
      <c r="AR163" s="10"/>
      <c r="AS163" s="10"/>
      <c r="AT163" s="10" t="s">
        <v>10</v>
      </c>
      <c r="AU163" s="10"/>
      <c r="AV163" s="10"/>
      <c r="AW163" s="10"/>
      <c r="AX163" s="10" t="s">
        <v>11</v>
      </c>
      <c r="AY163" s="10"/>
      <c r="AZ163" s="10"/>
      <c r="BA163" s="10"/>
    </row>
    <row r="164" customFormat="false" ht="21.75" hidden="false" customHeight="true" outlineLevel="0" collapsed="false">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row>
    <row r="165" customFormat="false" ht="12" hidden="false" customHeight="true" outlineLevel="0" collapsed="false">
      <c r="A165" s="5" t="s">
        <v>65</v>
      </c>
      <c r="H165" s="10" t="s">
        <v>66</v>
      </c>
      <c r="I165" s="10"/>
      <c r="J165" s="10"/>
      <c r="K165" s="10"/>
      <c r="L165" s="10" t="s">
        <v>67</v>
      </c>
      <c r="M165" s="10"/>
      <c r="N165" s="10"/>
      <c r="O165" s="10"/>
      <c r="P165" s="10" t="s">
        <v>68</v>
      </c>
      <c r="Q165" s="10"/>
      <c r="R165" s="10"/>
      <c r="S165" s="10"/>
      <c r="T165" s="10" t="s">
        <v>69</v>
      </c>
      <c r="U165" s="10"/>
      <c r="V165" s="10"/>
      <c r="W165" s="10"/>
      <c r="X165" s="10" t="s">
        <v>70</v>
      </c>
      <c r="Y165" s="10"/>
      <c r="Z165" s="10"/>
      <c r="AA165" s="10"/>
      <c r="AB165" s="10" t="s">
        <v>71</v>
      </c>
      <c r="AC165" s="10"/>
      <c r="AD165" s="10"/>
      <c r="AE165" s="10"/>
      <c r="AF165" s="10" t="s">
        <v>72</v>
      </c>
      <c r="AG165" s="10"/>
      <c r="AH165" s="10"/>
      <c r="AI165" s="10"/>
      <c r="AJ165" s="10" t="s">
        <v>73</v>
      </c>
      <c r="AK165" s="10"/>
      <c r="AL165" s="10"/>
      <c r="AM165" s="10"/>
      <c r="AN165" s="10" t="s">
        <v>74</v>
      </c>
      <c r="AO165" s="10"/>
      <c r="AP165" s="10"/>
      <c r="AQ165" s="10"/>
      <c r="AR165" s="10" t="s">
        <v>75</v>
      </c>
      <c r="AS165" s="10"/>
      <c r="AT165" s="10"/>
      <c r="AU165" s="10"/>
      <c r="AV165" s="10" t="s">
        <v>22</v>
      </c>
      <c r="AW165" s="10"/>
      <c r="AX165" s="10"/>
      <c r="AY165" s="10"/>
      <c r="AZ165" s="10" t="s">
        <v>23</v>
      </c>
      <c r="BA165" s="10"/>
      <c r="BB165" s="10"/>
      <c r="BC165" s="10"/>
    </row>
    <row r="166" customFormat="false" ht="21.75" hidden="false" customHeight="true" outlineLevel="0" collapsed="false">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row>
    <row r="167" customFormat="false" ht="12" hidden="false" customHeight="true" outlineLevel="0" collapsed="false">
      <c r="A167" s="5" t="s">
        <v>82</v>
      </c>
      <c r="I167" s="10" t="s">
        <v>83</v>
      </c>
      <c r="J167" s="10"/>
      <c r="K167" s="10"/>
      <c r="L167" s="10"/>
      <c r="M167" s="10" t="s">
        <v>84</v>
      </c>
      <c r="N167" s="10"/>
      <c r="O167" s="10"/>
      <c r="P167" s="10"/>
      <c r="Q167" s="10" t="s">
        <v>85</v>
      </c>
      <c r="R167" s="10"/>
      <c r="S167" s="10"/>
      <c r="T167" s="10"/>
      <c r="U167" s="10" t="s">
        <v>86</v>
      </c>
      <c r="V167" s="10"/>
      <c r="W167" s="10"/>
      <c r="X167" s="10"/>
      <c r="Y167" s="10" t="s">
        <v>87</v>
      </c>
      <c r="Z167" s="10"/>
      <c r="AA167" s="10"/>
      <c r="AB167" s="10"/>
      <c r="AC167" s="10" t="s">
        <v>88</v>
      </c>
      <c r="AD167" s="10"/>
      <c r="AE167" s="10"/>
      <c r="AF167" s="10"/>
      <c r="AG167" s="10" t="s">
        <v>89</v>
      </c>
      <c r="AH167" s="10"/>
      <c r="AI167" s="10"/>
      <c r="AJ167" s="10"/>
      <c r="AK167" s="10" t="s">
        <v>90</v>
      </c>
      <c r="AL167" s="10"/>
      <c r="AM167" s="10"/>
      <c r="AN167" s="10"/>
      <c r="AO167" s="10" t="s">
        <v>91</v>
      </c>
      <c r="AP167" s="10"/>
      <c r="AQ167" s="10"/>
      <c r="AR167" s="10"/>
      <c r="AS167" s="10" t="s">
        <v>33</v>
      </c>
      <c r="AT167" s="10"/>
      <c r="AU167" s="10"/>
      <c r="AV167" s="10"/>
      <c r="AW167" s="10" t="s">
        <v>34</v>
      </c>
      <c r="AX167" s="10"/>
      <c r="AY167" s="10"/>
      <c r="AZ167" s="10"/>
    </row>
    <row r="168" customFormat="false" ht="21.75" hidden="false" customHeight="true" outlineLevel="0" collapsed="false">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row>
    <row r="169" customFormat="false" ht="12" hidden="false" customHeight="true" outlineLevel="0" collapsed="false">
      <c r="A169" s="5" t="s">
        <v>102</v>
      </c>
      <c r="K169" s="10" t="s">
        <v>103</v>
      </c>
      <c r="L169" s="10"/>
      <c r="M169" s="10"/>
      <c r="N169" s="10"/>
      <c r="O169" s="10" t="s">
        <v>104</v>
      </c>
      <c r="P169" s="10"/>
      <c r="Q169" s="10"/>
      <c r="R169" s="10"/>
      <c r="S169" s="10" t="s">
        <v>105</v>
      </c>
      <c r="T169" s="10"/>
      <c r="U169" s="10"/>
      <c r="V169" s="10"/>
      <c r="W169" s="10" t="s">
        <v>106</v>
      </c>
      <c r="X169" s="10"/>
      <c r="Y169" s="10"/>
      <c r="Z169" s="10"/>
      <c r="AA169" s="10" t="s">
        <v>107</v>
      </c>
      <c r="AB169" s="10"/>
      <c r="AC169" s="10"/>
      <c r="AD169" s="10"/>
      <c r="AE169" s="10" t="s">
        <v>108</v>
      </c>
      <c r="AF169" s="10"/>
      <c r="AG169" s="10"/>
      <c r="AH169" s="10"/>
      <c r="AI169" s="10" t="s">
        <v>109</v>
      </c>
      <c r="AJ169" s="10"/>
      <c r="AK169" s="10"/>
      <c r="AL169" s="10"/>
      <c r="AM169" s="10" t="s">
        <v>42</v>
      </c>
      <c r="AN169" s="10"/>
      <c r="AO169" s="10"/>
      <c r="AP169" s="10"/>
      <c r="AQ169" s="10" t="s">
        <v>43</v>
      </c>
      <c r="AR169" s="10"/>
      <c r="AS169" s="10"/>
      <c r="AT169" s="10"/>
      <c r="AU169" s="10" t="s">
        <v>44</v>
      </c>
      <c r="AV169" s="10"/>
      <c r="AW169" s="10"/>
      <c r="AX169" s="10"/>
    </row>
    <row r="170" customFormat="false" ht="21.75" hidden="false" customHeight="true" outlineLevel="0" collapsed="false">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customFormat="false" ht="12" hidden="false" customHeight="true" outlineLevel="0" collapsed="false">
      <c r="A171" s="5" t="s">
        <v>120</v>
      </c>
      <c r="P171" s="10" t="s">
        <v>48</v>
      </c>
      <c r="Q171" s="10"/>
      <c r="R171" s="10"/>
      <c r="S171" s="10"/>
      <c r="T171" s="10" t="s">
        <v>50</v>
      </c>
      <c r="U171" s="10"/>
      <c r="V171" s="10"/>
      <c r="W171" s="10"/>
      <c r="X171" s="10"/>
      <c r="Y171" s="10"/>
      <c r="Z171" s="10"/>
      <c r="AA171" s="10"/>
      <c r="AB171" s="10"/>
      <c r="AC171" s="10"/>
      <c r="AD171" s="10"/>
      <c r="AE171" s="10"/>
      <c r="AF171" s="10"/>
      <c r="AG171" s="10"/>
      <c r="AH171" s="10"/>
      <c r="AI171" s="10"/>
      <c r="AJ171" s="10"/>
      <c r="AK171" s="10"/>
      <c r="AL171" s="10" t="s">
        <v>45</v>
      </c>
      <c r="AM171" s="10"/>
      <c r="AN171" s="10"/>
      <c r="AO171" s="10"/>
      <c r="AP171" s="10" t="s">
        <v>46</v>
      </c>
      <c r="AQ171" s="10"/>
      <c r="AR171" s="10"/>
      <c r="AS171" s="10"/>
    </row>
    <row r="172" customFormat="false" ht="21.75" hidden="false" customHeight="true" outlineLevel="0" collapsed="false">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row>
    <row r="174" customFormat="false" ht="18.75" hidden="false" customHeight="true" outlineLevel="0" collapsed="false">
      <c r="A174" s="14" t="s">
        <v>217</v>
      </c>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row>
    <row r="175" customFormat="false" ht="15" hidden="false" customHeight="true" outlineLevel="0" collapsed="false">
      <c r="A175" s="8" t="s">
        <v>124</v>
      </c>
      <c r="B175" s="15"/>
      <c r="C175" s="15"/>
      <c r="D175" s="15"/>
      <c r="E175" s="15"/>
      <c r="G175" s="5" t="s">
        <v>125</v>
      </c>
    </row>
    <row r="176" customFormat="false" ht="12" hidden="false" customHeight="true" outlineLevel="0" collapsed="false">
      <c r="A176" s="5" t="s">
        <v>64</v>
      </c>
      <c r="F176" s="10" t="s">
        <v>0</v>
      </c>
      <c r="G176" s="10"/>
      <c r="H176" s="10"/>
      <c r="I176" s="10"/>
      <c r="J176" s="10" t="s">
        <v>1</v>
      </c>
      <c r="K176" s="10"/>
      <c r="L176" s="10"/>
      <c r="M176" s="10"/>
      <c r="N176" s="10" t="s">
        <v>2</v>
      </c>
      <c r="O176" s="10"/>
      <c r="P176" s="10"/>
      <c r="Q176" s="10"/>
      <c r="R176" s="10" t="s">
        <v>3</v>
      </c>
      <c r="S176" s="10"/>
      <c r="T176" s="10"/>
      <c r="U176" s="10"/>
      <c r="V176" s="10" t="s">
        <v>4</v>
      </c>
      <c r="W176" s="10"/>
      <c r="X176" s="10"/>
      <c r="Y176" s="10"/>
      <c r="Z176" s="10" t="s">
        <v>5</v>
      </c>
      <c r="AA176" s="10"/>
      <c r="AB176" s="10"/>
      <c r="AC176" s="10"/>
      <c r="AD176" s="10" t="s">
        <v>6</v>
      </c>
      <c r="AE176" s="10"/>
      <c r="AF176" s="10"/>
      <c r="AG176" s="10"/>
      <c r="AH176" s="10" t="s">
        <v>7</v>
      </c>
      <c r="AI176" s="10"/>
      <c r="AJ176" s="10"/>
      <c r="AK176" s="10"/>
      <c r="AL176" s="10" t="s">
        <v>8</v>
      </c>
      <c r="AM176" s="10"/>
      <c r="AN176" s="10"/>
      <c r="AO176" s="10"/>
      <c r="AP176" s="10" t="s">
        <v>9</v>
      </c>
      <c r="AQ176" s="10"/>
      <c r="AR176" s="10"/>
      <c r="AS176" s="10"/>
      <c r="AT176" s="10" t="s">
        <v>10</v>
      </c>
      <c r="AU176" s="10"/>
      <c r="AV176" s="10"/>
      <c r="AW176" s="10"/>
      <c r="AX176" s="10" t="s">
        <v>11</v>
      </c>
      <c r="AY176" s="10"/>
      <c r="AZ176" s="10"/>
      <c r="BA176" s="10"/>
    </row>
    <row r="177" customFormat="false" ht="21.75" hidden="false" customHeight="true" outlineLevel="0" collapsed="false">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row>
    <row r="178" customFormat="false" ht="12" hidden="false" customHeight="true" outlineLevel="0" collapsed="false">
      <c r="A178" s="5" t="s">
        <v>65</v>
      </c>
      <c r="H178" s="10" t="s">
        <v>66</v>
      </c>
      <c r="I178" s="10"/>
      <c r="J178" s="10"/>
      <c r="K178" s="10"/>
      <c r="L178" s="10" t="s">
        <v>67</v>
      </c>
      <c r="M178" s="10"/>
      <c r="N178" s="10"/>
      <c r="O178" s="10"/>
      <c r="P178" s="10" t="s">
        <v>68</v>
      </c>
      <c r="Q178" s="10"/>
      <c r="R178" s="10"/>
      <c r="S178" s="10"/>
      <c r="T178" s="10" t="s">
        <v>69</v>
      </c>
      <c r="U178" s="10"/>
      <c r="V178" s="10"/>
      <c r="W178" s="10"/>
      <c r="X178" s="10" t="s">
        <v>70</v>
      </c>
      <c r="Y178" s="10"/>
      <c r="Z178" s="10"/>
      <c r="AA178" s="10"/>
      <c r="AB178" s="10" t="s">
        <v>71</v>
      </c>
      <c r="AC178" s="10"/>
      <c r="AD178" s="10"/>
      <c r="AE178" s="10"/>
      <c r="AF178" s="10" t="s">
        <v>72</v>
      </c>
      <c r="AG178" s="10"/>
      <c r="AH178" s="10"/>
      <c r="AI178" s="10"/>
      <c r="AJ178" s="10" t="s">
        <v>73</v>
      </c>
      <c r="AK178" s="10"/>
      <c r="AL178" s="10"/>
      <c r="AM178" s="10"/>
      <c r="AN178" s="10" t="s">
        <v>74</v>
      </c>
      <c r="AO178" s="10"/>
      <c r="AP178" s="10"/>
      <c r="AQ178" s="10"/>
      <c r="AR178" s="10" t="s">
        <v>75</v>
      </c>
      <c r="AS178" s="10"/>
      <c r="AT178" s="10"/>
      <c r="AU178" s="10"/>
      <c r="AV178" s="10" t="s">
        <v>22</v>
      </c>
      <c r="AW178" s="10"/>
      <c r="AX178" s="10"/>
      <c r="AY178" s="10"/>
      <c r="AZ178" s="10" t="s">
        <v>23</v>
      </c>
      <c r="BA178" s="10"/>
      <c r="BB178" s="10"/>
      <c r="BC178" s="10"/>
    </row>
    <row r="179" customFormat="false" ht="21.75" hidden="false" customHeight="true" outlineLevel="0" collapsed="false">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row>
    <row r="180" customFormat="false" ht="12" hidden="false" customHeight="true" outlineLevel="0" collapsed="false">
      <c r="A180" s="5" t="s">
        <v>82</v>
      </c>
      <c r="I180" s="10" t="s">
        <v>83</v>
      </c>
      <c r="J180" s="10"/>
      <c r="K180" s="10"/>
      <c r="L180" s="10"/>
      <c r="M180" s="10" t="s">
        <v>84</v>
      </c>
      <c r="N180" s="10"/>
      <c r="O180" s="10"/>
      <c r="P180" s="10"/>
      <c r="Q180" s="10" t="s">
        <v>85</v>
      </c>
      <c r="R180" s="10"/>
      <c r="S180" s="10"/>
      <c r="T180" s="10"/>
      <c r="U180" s="10" t="s">
        <v>86</v>
      </c>
      <c r="V180" s="10"/>
      <c r="W180" s="10"/>
      <c r="X180" s="10"/>
      <c r="Y180" s="10" t="s">
        <v>87</v>
      </c>
      <c r="Z180" s="10"/>
      <c r="AA180" s="10"/>
      <c r="AB180" s="10"/>
      <c r="AC180" s="10" t="s">
        <v>88</v>
      </c>
      <c r="AD180" s="10"/>
      <c r="AE180" s="10"/>
      <c r="AF180" s="10"/>
      <c r="AG180" s="10" t="s">
        <v>89</v>
      </c>
      <c r="AH180" s="10"/>
      <c r="AI180" s="10"/>
      <c r="AJ180" s="10"/>
      <c r="AK180" s="10" t="s">
        <v>90</v>
      </c>
      <c r="AL180" s="10"/>
      <c r="AM180" s="10"/>
      <c r="AN180" s="10"/>
      <c r="AO180" s="10" t="s">
        <v>91</v>
      </c>
      <c r="AP180" s="10"/>
      <c r="AQ180" s="10"/>
      <c r="AR180" s="10"/>
      <c r="AS180" s="10" t="s">
        <v>33</v>
      </c>
      <c r="AT180" s="10"/>
      <c r="AU180" s="10"/>
      <c r="AV180" s="10"/>
      <c r="AW180" s="10" t="s">
        <v>34</v>
      </c>
      <c r="AX180" s="10"/>
      <c r="AY180" s="10"/>
      <c r="AZ180" s="10"/>
    </row>
    <row r="181" customFormat="false" ht="21.75" hidden="false" customHeight="true" outlineLevel="0" collapsed="false">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row>
    <row r="182" customFormat="false" ht="12" hidden="false" customHeight="true" outlineLevel="0" collapsed="false">
      <c r="A182" s="5" t="s">
        <v>102</v>
      </c>
      <c r="K182" s="10" t="s">
        <v>103</v>
      </c>
      <c r="L182" s="10"/>
      <c r="M182" s="10"/>
      <c r="N182" s="10"/>
      <c r="O182" s="10" t="s">
        <v>104</v>
      </c>
      <c r="P182" s="10"/>
      <c r="Q182" s="10"/>
      <c r="R182" s="10"/>
      <c r="S182" s="10" t="s">
        <v>105</v>
      </c>
      <c r="T182" s="10"/>
      <c r="U182" s="10"/>
      <c r="V182" s="10"/>
      <c r="W182" s="10" t="s">
        <v>106</v>
      </c>
      <c r="X182" s="10"/>
      <c r="Y182" s="10"/>
      <c r="Z182" s="10"/>
      <c r="AA182" s="10" t="s">
        <v>107</v>
      </c>
      <c r="AB182" s="10"/>
      <c r="AC182" s="10"/>
      <c r="AD182" s="10"/>
      <c r="AE182" s="10" t="s">
        <v>108</v>
      </c>
      <c r="AF182" s="10"/>
      <c r="AG182" s="10"/>
      <c r="AH182" s="10"/>
      <c r="AI182" s="10" t="s">
        <v>109</v>
      </c>
      <c r="AJ182" s="10"/>
      <c r="AK182" s="10"/>
      <c r="AL182" s="10"/>
      <c r="AM182" s="10" t="s">
        <v>42</v>
      </c>
      <c r="AN182" s="10"/>
      <c r="AO182" s="10"/>
      <c r="AP182" s="10"/>
      <c r="AQ182" s="10" t="s">
        <v>43</v>
      </c>
      <c r="AR182" s="10"/>
      <c r="AS182" s="10"/>
      <c r="AT182" s="10"/>
      <c r="AU182" s="10" t="s">
        <v>44</v>
      </c>
      <c r="AV182" s="10"/>
      <c r="AW182" s="10"/>
      <c r="AX182" s="10"/>
    </row>
    <row r="183" customFormat="false" ht="21.75" hidden="false" customHeight="true" outlineLevel="0" collapsed="false">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customFormat="false" ht="12" hidden="false" customHeight="true" outlineLevel="0" collapsed="false">
      <c r="A184" s="5" t="s">
        <v>120</v>
      </c>
      <c r="P184" s="10" t="s">
        <v>48</v>
      </c>
      <c r="Q184" s="10"/>
      <c r="R184" s="10"/>
      <c r="S184" s="10"/>
      <c r="T184" s="10" t="s">
        <v>50</v>
      </c>
      <c r="U184" s="10"/>
      <c r="V184" s="10"/>
      <c r="W184" s="10"/>
      <c r="X184" s="10"/>
      <c r="Y184" s="10"/>
      <c r="Z184" s="10"/>
      <c r="AA184" s="10"/>
      <c r="AB184" s="10"/>
      <c r="AC184" s="10"/>
      <c r="AD184" s="10"/>
      <c r="AE184" s="10"/>
      <c r="AF184" s="10"/>
      <c r="AG184" s="10"/>
      <c r="AH184" s="10"/>
      <c r="AI184" s="10"/>
      <c r="AJ184" s="10"/>
      <c r="AK184" s="10"/>
      <c r="AL184" s="10" t="s">
        <v>45</v>
      </c>
      <c r="AM184" s="10"/>
      <c r="AN184" s="10"/>
      <c r="AO184" s="10"/>
      <c r="AP184" s="10" t="s">
        <v>46</v>
      </c>
      <c r="AQ184" s="10"/>
      <c r="AR184" s="10"/>
      <c r="AS184" s="10"/>
    </row>
    <row r="185" customFormat="false" ht="21.75" hidden="false" customHeight="true" outlineLevel="0" collapsed="false">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row>
    <row r="187" customFormat="false" ht="18.75" hidden="false" customHeight="true" outlineLevel="0" collapsed="false">
      <c r="A187" s="14" t="s">
        <v>218</v>
      </c>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row>
    <row r="188" customFormat="false" ht="15" hidden="false" customHeight="true" outlineLevel="0" collapsed="false">
      <c r="A188" s="8" t="s">
        <v>124</v>
      </c>
      <c r="B188" s="15"/>
      <c r="C188" s="15"/>
      <c r="D188" s="15"/>
      <c r="E188" s="15"/>
      <c r="G188" s="5" t="s">
        <v>125</v>
      </c>
    </row>
    <row r="189" customFormat="false" ht="12" hidden="false" customHeight="true" outlineLevel="0" collapsed="false">
      <c r="A189" s="5" t="s">
        <v>64</v>
      </c>
      <c r="F189" s="10" t="s">
        <v>0</v>
      </c>
      <c r="G189" s="10"/>
      <c r="H189" s="10"/>
      <c r="I189" s="10"/>
      <c r="J189" s="10" t="s">
        <v>1</v>
      </c>
      <c r="K189" s="10"/>
      <c r="L189" s="10"/>
      <c r="M189" s="10"/>
      <c r="N189" s="10" t="s">
        <v>2</v>
      </c>
      <c r="O189" s="10"/>
      <c r="P189" s="10"/>
      <c r="Q189" s="10"/>
      <c r="R189" s="10" t="s">
        <v>3</v>
      </c>
      <c r="S189" s="10"/>
      <c r="T189" s="10"/>
      <c r="U189" s="10"/>
      <c r="V189" s="10" t="s">
        <v>4</v>
      </c>
      <c r="W189" s="10"/>
      <c r="X189" s="10"/>
      <c r="Y189" s="10"/>
      <c r="Z189" s="10" t="s">
        <v>5</v>
      </c>
      <c r="AA189" s="10"/>
      <c r="AB189" s="10"/>
      <c r="AC189" s="10"/>
      <c r="AD189" s="10" t="s">
        <v>6</v>
      </c>
      <c r="AE189" s="10"/>
      <c r="AF189" s="10"/>
      <c r="AG189" s="10"/>
      <c r="AH189" s="10" t="s">
        <v>7</v>
      </c>
      <c r="AI189" s="10"/>
      <c r="AJ189" s="10"/>
      <c r="AK189" s="10"/>
      <c r="AL189" s="10" t="s">
        <v>8</v>
      </c>
      <c r="AM189" s="10"/>
      <c r="AN189" s="10"/>
      <c r="AO189" s="10"/>
      <c r="AP189" s="10" t="s">
        <v>9</v>
      </c>
      <c r="AQ189" s="10"/>
      <c r="AR189" s="10"/>
      <c r="AS189" s="10"/>
      <c r="AT189" s="10" t="s">
        <v>10</v>
      </c>
      <c r="AU189" s="10"/>
      <c r="AV189" s="10"/>
      <c r="AW189" s="10"/>
      <c r="AX189" s="10" t="s">
        <v>11</v>
      </c>
      <c r="AY189" s="10"/>
      <c r="AZ189" s="10"/>
      <c r="BA189" s="10"/>
    </row>
    <row r="190" customFormat="false" ht="21.75" hidden="false" customHeight="true" outlineLevel="0" collapsed="false">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row>
    <row r="191" customFormat="false" ht="12" hidden="false" customHeight="true" outlineLevel="0" collapsed="false">
      <c r="A191" s="5" t="s">
        <v>65</v>
      </c>
      <c r="H191" s="10" t="s">
        <v>66</v>
      </c>
      <c r="I191" s="10"/>
      <c r="J191" s="10"/>
      <c r="K191" s="10"/>
      <c r="L191" s="10" t="s">
        <v>67</v>
      </c>
      <c r="M191" s="10"/>
      <c r="N191" s="10"/>
      <c r="O191" s="10"/>
      <c r="P191" s="10" t="s">
        <v>68</v>
      </c>
      <c r="Q191" s="10"/>
      <c r="R191" s="10"/>
      <c r="S191" s="10"/>
      <c r="T191" s="10" t="s">
        <v>69</v>
      </c>
      <c r="U191" s="10"/>
      <c r="V191" s="10"/>
      <c r="W191" s="10"/>
      <c r="X191" s="10" t="s">
        <v>70</v>
      </c>
      <c r="Y191" s="10"/>
      <c r="Z191" s="10"/>
      <c r="AA191" s="10"/>
      <c r="AB191" s="10" t="s">
        <v>71</v>
      </c>
      <c r="AC191" s="10"/>
      <c r="AD191" s="10"/>
      <c r="AE191" s="10"/>
      <c r="AF191" s="10" t="s">
        <v>72</v>
      </c>
      <c r="AG191" s="10"/>
      <c r="AH191" s="10"/>
      <c r="AI191" s="10"/>
      <c r="AJ191" s="10" t="s">
        <v>73</v>
      </c>
      <c r="AK191" s="10"/>
      <c r="AL191" s="10"/>
      <c r="AM191" s="10"/>
      <c r="AN191" s="10" t="s">
        <v>74</v>
      </c>
      <c r="AO191" s="10"/>
      <c r="AP191" s="10"/>
      <c r="AQ191" s="10"/>
      <c r="AR191" s="10" t="s">
        <v>75</v>
      </c>
      <c r="AS191" s="10"/>
      <c r="AT191" s="10"/>
      <c r="AU191" s="10"/>
      <c r="AV191" s="10" t="s">
        <v>22</v>
      </c>
      <c r="AW191" s="10"/>
      <c r="AX191" s="10"/>
      <c r="AY191" s="10"/>
      <c r="AZ191" s="10" t="s">
        <v>23</v>
      </c>
      <c r="BA191" s="10"/>
      <c r="BB191" s="10"/>
      <c r="BC191" s="10"/>
    </row>
    <row r="192" customFormat="false" ht="21.75" hidden="false" customHeight="true" outlineLevel="0" collapsed="false">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row>
    <row r="193" customFormat="false" ht="12" hidden="false" customHeight="true" outlineLevel="0" collapsed="false">
      <c r="A193" s="5" t="s">
        <v>82</v>
      </c>
      <c r="I193" s="10" t="s">
        <v>83</v>
      </c>
      <c r="J193" s="10"/>
      <c r="K193" s="10"/>
      <c r="L193" s="10"/>
      <c r="M193" s="10" t="s">
        <v>84</v>
      </c>
      <c r="N193" s="10"/>
      <c r="O193" s="10"/>
      <c r="P193" s="10"/>
      <c r="Q193" s="10" t="s">
        <v>85</v>
      </c>
      <c r="R193" s="10"/>
      <c r="S193" s="10"/>
      <c r="T193" s="10"/>
      <c r="U193" s="10" t="s">
        <v>86</v>
      </c>
      <c r="V193" s="10"/>
      <c r="W193" s="10"/>
      <c r="X193" s="10"/>
      <c r="Y193" s="10" t="s">
        <v>87</v>
      </c>
      <c r="Z193" s="10"/>
      <c r="AA193" s="10"/>
      <c r="AB193" s="10"/>
      <c r="AC193" s="10" t="s">
        <v>88</v>
      </c>
      <c r="AD193" s="10"/>
      <c r="AE193" s="10"/>
      <c r="AF193" s="10"/>
      <c r="AG193" s="10" t="s">
        <v>89</v>
      </c>
      <c r="AH193" s="10"/>
      <c r="AI193" s="10"/>
      <c r="AJ193" s="10"/>
      <c r="AK193" s="10" t="s">
        <v>90</v>
      </c>
      <c r="AL193" s="10"/>
      <c r="AM193" s="10"/>
      <c r="AN193" s="10"/>
      <c r="AO193" s="10" t="s">
        <v>91</v>
      </c>
      <c r="AP193" s="10"/>
      <c r="AQ193" s="10"/>
      <c r="AR193" s="10"/>
      <c r="AS193" s="10" t="s">
        <v>33</v>
      </c>
      <c r="AT193" s="10"/>
      <c r="AU193" s="10"/>
      <c r="AV193" s="10"/>
      <c r="AW193" s="10" t="s">
        <v>34</v>
      </c>
      <c r="AX193" s="10"/>
      <c r="AY193" s="10"/>
      <c r="AZ193" s="10"/>
    </row>
    <row r="194" customFormat="false" ht="21.75" hidden="false" customHeight="true" outlineLevel="0" collapsed="false">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row>
    <row r="195" customFormat="false" ht="12" hidden="false" customHeight="true" outlineLevel="0" collapsed="false">
      <c r="A195" s="5" t="s">
        <v>102</v>
      </c>
      <c r="K195" s="10" t="s">
        <v>103</v>
      </c>
      <c r="L195" s="10"/>
      <c r="M195" s="10"/>
      <c r="N195" s="10"/>
      <c r="O195" s="10" t="s">
        <v>104</v>
      </c>
      <c r="P195" s="10"/>
      <c r="Q195" s="10"/>
      <c r="R195" s="10"/>
      <c r="S195" s="10" t="s">
        <v>105</v>
      </c>
      <c r="T195" s="10"/>
      <c r="U195" s="10"/>
      <c r="V195" s="10"/>
      <c r="W195" s="10" t="s">
        <v>106</v>
      </c>
      <c r="X195" s="10"/>
      <c r="Y195" s="10"/>
      <c r="Z195" s="10"/>
      <c r="AA195" s="10" t="s">
        <v>107</v>
      </c>
      <c r="AB195" s="10"/>
      <c r="AC195" s="10"/>
      <c r="AD195" s="10"/>
      <c r="AE195" s="10" t="s">
        <v>108</v>
      </c>
      <c r="AF195" s="10"/>
      <c r="AG195" s="10"/>
      <c r="AH195" s="10"/>
      <c r="AI195" s="10" t="s">
        <v>109</v>
      </c>
      <c r="AJ195" s="10"/>
      <c r="AK195" s="10"/>
      <c r="AL195" s="10"/>
      <c r="AM195" s="10" t="s">
        <v>42</v>
      </c>
      <c r="AN195" s="10"/>
      <c r="AO195" s="10"/>
      <c r="AP195" s="10"/>
      <c r="AQ195" s="10" t="s">
        <v>43</v>
      </c>
      <c r="AR195" s="10"/>
      <c r="AS195" s="10"/>
      <c r="AT195" s="10"/>
      <c r="AU195" s="10" t="s">
        <v>44</v>
      </c>
      <c r="AV195" s="10"/>
      <c r="AW195" s="10"/>
      <c r="AX195" s="10"/>
    </row>
    <row r="196" customFormat="false" ht="21.75" hidden="false" customHeight="true" outlineLevel="0" collapsed="false">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customFormat="false" ht="12" hidden="false" customHeight="true" outlineLevel="0" collapsed="false">
      <c r="A197" s="5" t="s">
        <v>120</v>
      </c>
      <c r="P197" s="10" t="s">
        <v>48</v>
      </c>
      <c r="Q197" s="10"/>
      <c r="R197" s="10"/>
      <c r="S197" s="10"/>
      <c r="T197" s="10" t="s">
        <v>50</v>
      </c>
      <c r="U197" s="10"/>
      <c r="V197" s="10"/>
      <c r="W197" s="10"/>
      <c r="X197" s="10"/>
      <c r="Y197" s="10"/>
      <c r="Z197" s="10"/>
      <c r="AA197" s="10"/>
      <c r="AB197" s="10"/>
      <c r="AC197" s="10"/>
      <c r="AD197" s="10"/>
      <c r="AE197" s="10"/>
      <c r="AF197" s="10"/>
      <c r="AG197" s="10"/>
      <c r="AH197" s="10"/>
      <c r="AI197" s="10"/>
      <c r="AJ197" s="10"/>
      <c r="AK197" s="10"/>
      <c r="AL197" s="10" t="s">
        <v>45</v>
      </c>
      <c r="AM197" s="10"/>
      <c r="AN197" s="10"/>
      <c r="AO197" s="10"/>
      <c r="AP197" s="10" t="s">
        <v>46</v>
      </c>
      <c r="AQ197" s="10"/>
      <c r="AR197" s="10"/>
      <c r="AS197" s="10"/>
    </row>
    <row r="198" customFormat="false" ht="21.75" hidden="false" customHeight="true" outlineLevel="0" collapsed="false">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row>
    <row r="200" customFormat="false" ht="18.75" hidden="false" customHeight="true" outlineLevel="0" collapsed="false">
      <c r="A200" s="14" t="s">
        <v>219</v>
      </c>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row>
    <row r="201" customFormat="false" ht="15" hidden="false" customHeight="true" outlineLevel="0" collapsed="false">
      <c r="A201" s="8" t="s">
        <v>124</v>
      </c>
      <c r="B201" s="15"/>
      <c r="C201" s="15"/>
      <c r="D201" s="15"/>
      <c r="E201" s="15"/>
      <c r="G201" s="5" t="s">
        <v>125</v>
      </c>
    </row>
    <row r="202" customFormat="false" ht="12" hidden="false" customHeight="true" outlineLevel="0" collapsed="false">
      <c r="A202" s="5" t="s">
        <v>64</v>
      </c>
      <c r="F202" s="10" t="s">
        <v>0</v>
      </c>
      <c r="G202" s="10"/>
      <c r="H202" s="10"/>
      <c r="I202" s="10"/>
      <c r="J202" s="10" t="s">
        <v>1</v>
      </c>
      <c r="K202" s="10"/>
      <c r="L202" s="10"/>
      <c r="M202" s="10"/>
      <c r="N202" s="10" t="s">
        <v>2</v>
      </c>
      <c r="O202" s="10"/>
      <c r="P202" s="10"/>
      <c r="Q202" s="10"/>
      <c r="R202" s="10" t="s">
        <v>3</v>
      </c>
      <c r="S202" s="10"/>
      <c r="T202" s="10"/>
      <c r="U202" s="10"/>
      <c r="V202" s="10" t="s">
        <v>4</v>
      </c>
      <c r="W202" s="10"/>
      <c r="X202" s="10"/>
      <c r="Y202" s="10"/>
      <c r="Z202" s="10" t="s">
        <v>5</v>
      </c>
      <c r="AA202" s="10"/>
      <c r="AB202" s="10"/>
      <c r="AC202" s="10"/>
      <c r="AD202" s="10" t="s">
        <v>6</v>
      </c>
      <c r="AE202" s="10"/>
      <c r="AF202" s="10"/>
      <c r="AG202" s="10"/>
      <c r="AH202" s="10" t="s">
        <v>7</v>
      </c>
      <c r="AI202" s="10"/>
      <c r="AJ202" s="10"/>
      <c r="AK202" s="10"/>
      <c r="AL202" s="10" t="s">
        <v>8</v>
      </c>
      <c r="AM202" s="10"/>
      <c r="AN202" s="10"/>
      <c r="AO202" s="10"/>
      <c r="AP202" s="10" t="s">
        <v>9</v>
      </c>
      <c r="AQ202" s="10"/>
      <c r="AR202" s="10"/>
      <c r="AS202" s="10"/>
      <c r="AT202" s="10" t="s">
        <v>10</v>
      </c>
      <c r="AU202" s="10"/>
      <c r="AV202" s="10"/>
      <c r="AW202" s="10"/>
      <c r="AX202" s="10" t="s">
        <v>11</v>
      </c>
      <c r="AY202" s="10"/>
      <c r="AZ202" s="10"/>
      <c r="BA202" s="10"/>
    </row>
    <row r="203" customFormat="false" ht="21.75" hidden="false" customHeight="true" outlineLevel="0" collapsed="false">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row>
    <row r="204" customFormat="false" ht="12" hidden="false" customHeight="true" outlineLevel="0" collapsed="false">
      <c r="A204" s="5" t="s">
        <v>65</v>
      </c>
      <c r="H204" s="10" t="s">
        <v>66</v>
      </c>
      <c r="I204" s="10"/>
      <c r="J204" s="10"/>
      <c r="K204" s="10"/>
      <c r="L204" s="10" t="s">
        <v>67</v>
      </c>
      <c r="M204" s="10"/>
      <c r="N204" s="10"/>
      <c r="O204" s="10"/>
      <c r="P204" s="10" t="s">
        <v>68</v>
      </c>
      <c r="Q204" s="10"/>
      <c r="R204" s="10"/>
      <c r="S204" s="10"/>
      <c r="T204" s="10" t="s">
        <v>69</v>
      </c>
      <c r="U204" s="10"/>
      <c r="V204" s="10"/>
      <c r="W204" s="10"/>
      <c r="X204" s="10" t="s">
        <v>70</v>
      </c>
      <c r="Y204" s="10"/>
      <c r="Z204" s="10"/>
      <c r="AA204" s="10"/>
      <c r="AB204" s="10" t="s">
        <v>71</v>
      </c>
      <c r="AC204" s="10"/>
      <c r="AD204" s="10"/>
      <c r="AE204" s="10"/>
      <c r="AF204" s="10" t="s">
        <v>72</v>
      </c>
      <c r="AG204" s="10"/>
      <c r="AH204" s="10"/>
      <c r="AI204" s="10"/>
      <c r="AJ204" s="10" t="s">
        <v>73</v>
      </c>
      <c r="AK204" s="10"/>
      <c r="AL204" s="10"/>
      <c r="AM204" s="10"/>
      <c r="AN204" s="10" t="s">
        <v>74</v>
      </c>
      <c r="AO204" s="10"/>
      <c r="AP204" s="10"/>
      <c r="AQ204" s="10"/>
      <c r="AR204" s="10" t="s">
        <v>75</v>
      </c>
      <c r="AS204" s="10"/>
      <c r="AT204" s="10"/>
      <c r="AU204" s="10"/>
      <c r="AV204" s="10" t="s">
        <v>22</v>
      </c>
      <c r="AW204" s="10"/>
      <c r="AX204" s="10"/>
      <c r="AY204" s="10"/>
      <c r="AZ204" s="10" t="s">
        <v>23</v>
      </c>
      <c r="BA204" s="10"/>
      <c r="BB204" s="10"/>
      <c r="BC204" s="10"/>
    </row>
    <row r="205" customFormat="false" ht="21.75" hidden="false" customHeight="true" outlineLevel="0" collapsed="false">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row>
    <row r="206" customFormat="false" ht="12" hidden="false" customHeight="true" outlineLevel="0" collapsed="false">
      <c r="A206" s="5" t="s">
        <v>82</v>
      </c>
      <c r="I206" s="10" t="s">
        <v>83</v>
      </c>
      <c r="J206" s="10"/>
      <c r="K206" s="10"/>
      <c r="L206" s="10"/>
      <c r="M206" s="10" t="s">
        <v>84</v>
      </c>
      <c r="N206" s="10"/>
      <c r="O206" s="10"/>
      <c r="P206" s="10"/>
      <c r="Q206" s="10" t="s">
        <v>85</v>
      </c>
      <c r="R206" s="10"/>
      <c r="S206" s="10"/>
      <c r="T206" s="10"/>
      <c r="U206" s="10" t="s">
        <v>86</v>
      </c>
      <c r="V206" s="10"/>
      <c r="W206" s="10"/>
      <c r="X206" s="10"/>
      <c r="Y206" s="10" t="s">
        <v>87</v>
      </c>
      <c r="Z206" s="10"/>
      <c r="AA206" s="10"/>
      <c r="AB206" s="10"/>
      <c r="AC206" s="10" t="s">
        <v>88</v>
      </c>
      <c r="AD206" s="10"/>
      <c r="AE206" s="10"/>
      <c r="AF206" s="10"/>
      <c r="AG206" s="10" t="s">
        <v>89</v>
      </c>
      <c r="AH206" s="10"/>
      <c r="AI206" s="10"/>
      <c r="AJ206" s="10"/>
      <c r="AK206" s="10" t="s">
        <v>90</v>
      </c>
      <c r="AL206" s="10"/>
      <c r="AM206" s="10"/>
      <c r="AN206" s="10"/>
      <c r="AO206" s="10" t="s">
        <v>91</v>
      </c>
      <c r="AP206" s="10"/>
      <c r="AQ206" s="10"/>
      <c r="AR206" s="10"/>
      <c r="AS206" s="10" t="s">
        <v>33</v>
      </c>
      <c r="AT206" s="10"/>
      <c r="AU206" s="10"/>
      <c r="AV206" s="10"/>
      <c r="AW206" s="10" t="s">
        <v>34</v>
      </c>
      <c r="AX206" s="10"/>
      <c r="AY206" s="10"/>
      <c r="AZ206" s="10"/>
    </row>
    <row r="207" customFormat="false" ht="21.75" hidden="false" customHeight="true" outlineLevel="0" collapsed="false">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row>
    <row r="208" customFormat="false" ht="12" hidden="false" customHeight="true" outlineLevel="0" collapsed="false">
      <c r="A208" s="5" t="s">
        <v>102</v>
      </c>
      <c r="K208" s="10" t="s">
        <v>103</v>
      </c>
      <c r="L208" s="10"/>
      <c r="M208" s="10"/>
      <c r="N208" s="10"/>
      <c r="O208" s="10" t="s">
        <v>104</v>
      </c>
      <c r="P208" s="10"/>
      <c r="Q208" s="10"/>
      <c r="R208" s="10"/>
      <c r="S208" s="10" t="s">
        <v>105</v>
      </c>
      <c r="T208" s="10"/>
      <c r="U208" s="10"/>
      <c r="V208" s="10"/>
      <c r="W208" s="10" t="s">
        <v>106</v>
      </c>
      <c r="X208" s="10"/>
      <c r="Y208" s="10"/>
      <c r="Z208" s="10"/>
      <c r="AA208" s="10" t="s">
        <v>107</v>
      </c>
      <c r="AB208" s="10"/>
      <c r="AC208" s="10"/>
      <c r="AD208" s="10"/>
      <c r="AE208" s="10" t="s">
        <v>108</v>
      </c>
      <c r="AF208" s="10"/>
      <c r="AG208" s="10"/>
      <c r="AH208" s="10"/>
      <c r="AI208" s="10" t="s">
        <v>109</v>
      </c>
      <c r="AJ208" s="10"/>
      <c r="AK208" s="10"/>
      <c r="AL208" s="10"/>
      <c r="AM208" s="10" t="s">
        <v>42</v>
      </c>
      <c r="AN208" s="10"/>
      <c r="AO208" s="10"/>
      <c r="AP208" s="10"/>
      <c r="AQ208" s="10" t="s">
        <v>43</v>
      </c>
      <c r="AR208" s="10"/>
      <c r="AS208" s="10"/>
      <c r="AT208" s="10"/>
      <c r="AU208" s="10" t="s">
        <v>44</v>
      </c>
      <c r="AV208" s="10"/>
      <c r="AW208" s="10"/>
      <c r="AX208" s="10"/>
    </row>
    <row r="209" customFormat="false" ht="21.75" hidden="false" customHeight="true" outlineLevel="0" collapsed="false">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customFormat="false" ht="12" hidden="false" customHeight="true" outlineLevel="0" collapsed="false">
      <c r="A210" s="5" t="s">
        <v>120</v>
      </c>
      <c r="P210" s="10" t="s">
        <v>48</v>
      </c>
      <c r="Q210" s="10"/>
      <c r="R210" s="10"/>
      <c r="S210" s="10"/>
      <c r="T210" s="10" t="s">
        <v>50</v>
      </c>
      <c r="U210" s="10"/>
      <c r="V210" s="10"/>
      <c r="W210" s="10"/>
      <c r="X210" s="10"/>
      <c r="Y210" s="10"/>
      <c r="Z210" s="10"/>
      <c r="AA210" s="10"/>
      <c r="AB210" s="10"/>
      <c r="AC210" s="10"/>
      <c r="AD210" s="10"/>
      <c r="AE210" s="10"/>
      <c r="AF210" s="10"/>
      <c r="AG210" s="10"/>
      <c r="AH210" s="10"/>
      <c r="AI210" s="10"/>
      <c r="AJ210" s="10"/>
      <c r="AK210" s="10"/>
      <c r="AL210" s="10" t="s">
        <v>45</v>
      </c>
      <c r="AM210" s="10"/>
      <c r="AN210" s="10"/>
      <c r="AO210" s="10"/>
      <c r="AP210" s="10" t="s">
        <v>46</v>
      </c>
      <c r="AQ210" s="10"/>
      <c r="AR210" s="10"/>
      <c r="AS210" s="10"/>
    </row>
    <row r="211" customFormat="false" ht="21.75" hidden="false" customHeight="true" outlineLevel="0" collapsed="false">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row>
    <row r="213" customFormat="false" ht="18.75" hidden="false" customHeight="true" outlineLevel="0" collapsed="false">
      <c r="A213" s="14" t="s">
        <v>220</v>
      </c>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row>
    <row r="214" customFormat="false" ht="15" hidden="false" customHeight="true" outlineLevel="0" collapsed="false">
      <c r="A214" s="8" t="s">
        <v>124</v>
      </c>
      <c r="B214" s="15"/>
      <c r="C214" s="15"/>
      <c r="D214" s="15"/>
      <c r="E214" s="15"/>
      <c r="G214" s="5" t="s">
        <v>125</v>
      </c>
    </row>
    <row r="215" customFormat="false" ht="12" hidden="false" customHeight="true" outlineLevel="0" collapsed="false">
      <c r="A215" s="5" t="s">
        <v>64</v>
      </c>
      <c r="F215" s="10" t="s">
        <v>0</v>
      </c>
      <c r="G215" s="10"/>
      <c r="H215" s="10"/>
      <c r="I215" s="10"/>
      <c r="J215" s="10" t="s">
        <v>1</v>
      </c>
      <c r="K215" s="10"/>
      <c r="L215" s="10"/>
      <c r="M215" s="10"/>
      <c r="N215" s="10" t="s">
        <v>2</v>
      </c>
      <c r="O215" s="10"/>
      <c r="P215" s="10"/>
      <c r="Q215" s="10"/>
      <c r="R215" s="10" t="s">
        <v>3</v>
      </c>
      <c r="S215" s="10"/>
      <c r="T215" s="10"/>
      <c r="U215" s="10"/>
      <c r="V215" s="10" t="s">
        <v>4</v>
      </c>
      <c r="W215" s="10"/>
      <c r="X215" s="10"/>
      <c r="Y215" s="10"/>
      <c r="Z215" s="10" t="s">
        <v>5</v>
      </c>
      <c r="AA215" s="10"/>
      <c r="AB215" s="10"/>
      <c r="AC215" s="10"/>
      <c r="AD215" s="10" t="s">
        <v>6</v>
      </c>
      <c r="AE215" s="10"/>
      <c r="AF215" s="10"/>
      <c r="AG215" s="10"/>
      <c r="AH215" s="10" t="s">
        <v>7</v>
      </c>
      <c r="AI215" s="10"/>
      <c r="AJ215" s="10"/>
      <c r="AK215" s="10"/>
      <c r="AL215" s="10" t="s">
        <v>8</v>
      </c>
      <c r="AM215" s="10"/>
      <c r="AN215" s="10"/>
      <c r="AO215" s="10"/>
      <c r="AP215" s="10" t="s">
        <v>9</v>
      </c>
      <c r="AQ215" s="10"/>
      <c r="AR215" s="10"/>
      <c r="AS215" s="10"/>
      <c r="AT215" s="10" t="s">
        <v>10</v>
      </c>
      <c r="AU215" s="10"/>
      <c r="AV215" s="10"/>
      <c r="AW215" s="10"/>
      <c r="AX215" s="10" t="s">
        <v>11</v>
      </c>
      <c r="AY215" s="10"/>
      <c r="AZ215" s="10"/>
      <c r="BA215" s="10"/>
    </row>
    <row r="216" customFormat="false" ht="21.75" hidden="false" customHeight="true" outlineLevel="0" collapsed="false">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row>
    <row r="217" customFormat="false" ht="12" hidden="false" customHeight="true" outlineLevel="0" collapsed="false">
      <c r="A217" s="5" t="s">
        <v>65</v>
      </c>
      <c r="H217" s="10" t="s">
        <v>66</v>
      </c>
      <c r="I217" s="10"/>
      <c r="J217" s="10"/>
      <c r="K217" s="10"/>
      <c r="L217" s="10" t="s">
        <v>67</v>
      </c>
      <c r="M217" s="10"/>
      <c r="N217" s="10"/>
      <c r="O217" s="10"/>
      <c r="P217" s="10" t="s">
        <v>68</v>
      </c>
      <c r="Q217" s="10"/>
      <c r="R217" s="10"/>
      <c r="S217" s="10"/>
      <c r="T217" s="10" t="s">
        <v>69</v>
      </c>
      <c r="U217" s="10"/>
      <c r="V217" s="10"/>
      <c r="W217" s="10"/>
      <c r="X217" s="10" t="s">
        <v>70</v>
      </c>
      <c r="Y217" s="10"/>
      <c r="Z217" s="10"/>
      <c r="AA217" s="10"/>
      <c r="AB217" s="10" t="s">
        <v>71</v>
      </c>
      <c r="AC217" s="10"/>
      <c r="AD217" s="10"/>
      <c r="AE217" s="10"/>
      <c r="AF217" s="10" t="s">
        <v>72</v>
      </c>
      <c r="AG217" s="10"/>
      <c r="AH217" s="10"/>
      <c r="AI217" s="10"/>
      <c r="AJ217" s="10" t="s">
        <v>73</v>
      </c>
      <c r="AK217" s="10"/>
      <c r="AL217" s="10"/>
      <c r="AM217" s="10"/>
      <c r="AN217" s="10" t="s">
        <v>74</v>
      </c>
      <c r="AO217" s="10"/>
      <c r="AP217" s="10"/>
      <c r="AQ217" s="10"/>
      <c r="AR217" s="10" t="s">
        <v>75</v>
      </c>
      <c r="AS217" s="10"/>
      <c r="AT217" s="10"/>
      <c r="AU217" s="10"/>
      <c r="AV217" s="10" t="s">
        <v>22</v>
      </c>
      <c r="AW217" s="10"/>
      <c r="AX217" s="10"/>
      <c r="AY217" s="10"/>
      <c r="AZ217" s="10" t="s">
        <v>23</v>
      </c>
      <c r="BA217" s="10"/>
      <c r="BB217" s="10"/>
      <c r="BC217" s="10"/>
    </row>
    <row r="218" customFormat="false" ht="21.75" hidden="false" customHeight="true" outlineLevel="0" collapsed="false">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row>
    <row r="219" customFormat="false" ht="12" hidden="false" customHeight="true" outlineLevel="0" collapsed="false">
      <c r="A219" s="5" t="s">
        <v>82</v>
      </c>
      <c r="I219" s="10" t="s">
        <v>83</v>
      </c>
      <c r="J219" s="10"/>
      <c r="K219" s="10"/>
      <c r="L219" s="10"/>
      <c r="M219" s="10" t="s">
        <v>84</v>
      </c>
      <c r="N219" s="10"/>
      <c r="O219" s="10"/>
      <c r="P219" s="10"/>
      <c r="Q219" s="10" t="s">
        <v>85</v>
      </c>
      <c r="R219" s="10"/>
      <c r="S219" s="10"/>
      <c r="T219" s="10"/>
      <c r="U219" s="10" t="s">
        <v>86</v>
      </c>
      <c r="V219" s="10"/>
      <c r="W219" s="10"/>
      <c r="X219" s="10"/>
      <c r="Y219" s="10" t="s">
        <v>87</v>
      </c>
      <c r="Z219" s="10"/>
      <c r="AA219" s="10"/>
      <c r="AB219" s="10"/>
      <c r="AC219" s="10" t="s">
        <v>88</v>
      </c>
      <c r="AD219" s="10"/>
      <c r="AE219" s="10"/>
      <c r="AF219" s="10"/>
      <c r="AG219" s="10" t="s">
        <v>89</v>
      </c>
      <c r="AH219" s="10"/>
      <c r="AI219" s="10"/>
      <c r="AJ219" s="10"/>
      <c r="AK219" s="10" t="s">
        <v>90</v>
      </c>
      <c r="AL219" s="10"/>
      <c r="AM219" s="10"/>
      <c r="AN219" s="10"/>
      <c r="AO219" s="10" t="s">
        <v>91</v>
      </c>
      <c r="AP219" s="10"/>
      <c r="AQ219" s="10"/>
      <c r="AR219" s="10"/>
      <c r="AS219" s="10" t="s">
        <v>33</v>
      </c>
      <c r="AT219" s="10"/>
      <c r="AU219" s="10"/>
      <c r="AV219" s="10"/>
      <c r="AW219" s="10" t="s">
        <v>34</v>
      </c>
      <c r="AX219" s="10"/>
      <c r="AY219" s="10"/>
      <c r="AZ219" s="10"/>
    </row>
    <row r="220" customFormat="false" ht="21.75" hidden="false" customHeight="true" outlineLevel="0" collapsed="false">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row>
    <row r="221" customFormat="false" ht="12" hidden="false" customHeight="true" outlineLevel="0" collapsed="false">
      <c r="A221" s="5" t="s">
        <v>102</v>
      </c>
      <c r="K221" s="10" t="s">
        <v>103</v>
      </c>
      <c r="L221" s="10"/>
      <c r="M221" s="10"/>
      <c r="N221" s="10"/>
      <c r="O221" s="10" t="s">
        <v>104</v>
      </c>
      <c r="P221" s="10"/>
      <c r="Q221" s="10"/>
      <c r="R221" s="10"/>
      <c r="S221" s="10" t="s">
        <v>105</v>
      </c>
      <c r="T221" s="10"/>
      <c r="U221" s="10"/>
      <c r="V221" s="10"/>
      <c r="W221" s="10" t="s">
        <v>106</v>
      </c>
      <c r="X221" s="10"/>
      <c r="Y221" s="10"/>
      <c r="Z221" s="10"/>
      <c r="AA221" s="10" t="s">
        <v>107</v>
      </c>
      <c r="AB221" s="10"/>
      <c r="AC221" s="10"/>
      <c r="AD221" s="10"/>
      <c r="AE221" s="10" t="s">
        <v>108</v>
      </c>
      <c r="AF221" s="10"/>
      <c r="AG221" s="10"/>
      <c r="AH221" s="10"/>
      <c r="AI221" s="10" t="s">
        <v>109</v>
      </c>
      <c r="AJ221" s="10"/>
      <c r="AK221" s="10"/>
      <c r="AL221" s="10"/>
      <c r="AM221" s="10" t="s">
        <v>42</v>
      </c>
      <c r="AN221" s="10"/>
      <c r="AO221" s="10"/>
      <c r="AP221" s="10"/>
      <c r="AQ221" s="10" t="s">
        <v>43</v>
      </c>
      <c r="AR221" s="10"/>
      <c r="AS221" s="10"/>
      <c r="AT221" s="10"/>
      <c r="AU221" s="10" t="s">
        <v>44</v>
      </c>
      <c r="AV221" s="10"/>
      <c r="AW221" s="10"/>
      <c r="AX221" s="10"/>
    </row>
    <row r="222" customFormat="false" ht="21.75" hidden="false" customHeight="true" outlineLevel="0" collapsed="false">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customFormat="false" ht="12" hidden="false" customHeight="true" outlineLevel="0" collapsed="false">
      <c r="A223" s="5" t="s">
        <v>120</v>
      </c>
      <c r="P223" s="10" t="s">
        <v>48</v>
      </c>
      <c r="Q223" s="10"/>
      <c r="R223" s="10"/>
      <c r="S223" s="10"/>
      <c r="T223" s="10" t="s">
        <v>50</v>
      </c>
      <c r="U223" s="10"/>
      <c r="V223" s="10"/>
      <c r="W223" s="10"/>
      <c r="X223" s="10"/>
      <c r="Y223" s="10"/>
      <c r="Z223" s="10"/>
      <c r="AA223" s="10"/>
      <c r="AB223" s="10"/>
      <c r="AC223" s="10"/>
      <c r="AD223" s="10"/>
      <c r="AE223" s="10"/>
      <c r="AF223" s="10"/>
      <c r="AG223" s="10"/>
      <c r="AH223" s="10"/>
      <c r="AI223" s="10"/>
      <c r="AJ223" s="10"/>
      <c r="AK223" s="10"/>
      <c r="AL223" s="10" t="s">
        <v>45</v>
      </c>
      <c r="AM223" s="10"/>
      <c r="AN223" s="10"/>
      <c r="AO223" s="10"/>
      <c r="AP223" s="10" t="s">
        <v>46</v>
      </c>
      <c r="AQ223" s="10"/>
      <c r="AR223" s="10"/>
      <c r="AS223" s="10"/>
    </row>
    <row r="224" customFormat="false" ht="21.75" hidden="false" customHeight="true" outlineLevel="0" collapsed="false">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row>
    <row r="226" customFormat="false" ht="18.75" hidden="false" customHeight="true" outlineLevel="0" collapsed="false">
      <c r="A226" s="14" t="s">
        <v>221</v>
      </c>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row>
    <row r="227" customFormat="false" ht="15" hidden="false" customHeight="true" outlineLevel="0" collapsed="false">
      <c r="A227" s="8" t="s">
        <v>124</v>
      </c>
      <c r="B227" s="15"/>
      <c r="C227" s="15"/>
      <c r="D227" s="15"/>
      <c r="E227" s="15"/>
      <c r="G227" s="5" t="s">
        <v>125</v>
      </c>
    </row>
    <row r="228" customFormat="false" ht="12" hidden="false" customHeight="true" outlineLevel="0" collapsed="false">
      <c r="A228" s="5" t="s">
        <v>64</v>
      </c>
      <c r="F228" s="10" t="s">
        <v>0</v>
      </c>
      <c r="G228" s="10"/>
      <c r="H228" s="10"/>
      <c r="I228" s="10"/>
      <c r="J228" s="10" t="s">
        <v>1</v>
      </c>
      <c r="K228" s="10"/>
      <c r="L228" s="10"/>
      <c r="M228" s="10"/>
      <c r="N228" s="10" t="s">
        <v>2</v>
      </c>
      <c r="O228" s="10"/>
      <c r="P228" s="10"/>
      <c r="Q228" s="10"/>
      <c r="R228" s="10" t="s">
        <v>3</v>
      </c>
      <c r="S228" s="10"/>
      <c r="T228" s="10"/>
      <c r="U228" s="10"/>
      <c r="V228" s="10" t="s">
        <v>4</v>
      </c>
      <c r="W228" s="10"/>
      <c r="X228" s="10"/>
      <c r="Y228" s="10"/>
      <c r="Z228" s="10" t="s">
        <v>5</v>
      </c>
      <c r="AA228" s="10"/>
      <c r="AB228" s="10"/>
      <c r="AC228" s="10"/>
      <c r="AD228" s="10" t="s">
        <v>6</v>
      </c>
      <c r="AE228" s="10"/>
      <c r="AF228" s="10"/>
      <c r="AG228" s="10"/>
      <c r="AH228" s="10" t="s">
        <v>7</v>
      </c>
      <c r="AI228" s="10"/>
      <c r="AJ228" s="10"/>
      <c r="AK228" s="10"/>
      <c r="AL228" s="10" t="s">
        <v>8</v>
      </c>
      <c r="AM228" s="10"/>
      <c r="AN228" s="10"/>
      <c r="AO228" s="10"/>
      <c r="AP228" s="10" t="s">
        <v>9</v>
      </c>
      <c r="AQ228" s="10"/>
      <c r="AR228" s="10"/>
      <c r="AS228" s="10"/>
      <c r="AT228" s="10" t="s">
        <v>10</v>
      </c>
      <c r="AU228" s="10"/>
      <c r="AV228" s="10"/>
      <c r="AW228" s="10"/>
      <c r="AX228" s="10" t="s">
        <v>11</v>
      </c>
      <c r="AY228" s="10"/>
      <c r="AZ228" s="10"/>
      <c r="BA228" s="10"/>
    </row>
    <row r="229" customFormat="false" ht="21.75" hidden="false" customHeight="true" outlineLevel="0" collapsed="false">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row>
    <row r="230" customFormat="false" ht="12" hidden="false" customHeight="true" outlineLevel="0" collapsed="false">
      <c r="A230" s="5" t="s">
        <v>65</v>
      </c>
      <c r="H230" s="10" t="s">
        <v>66</v>
      </c>
      <c r="I230" s="10"/>
      <c r="J230" s="10"/>
      <c r="K230" s="10"/>
      <c r="L230" s="10" t="s">
        <v>67</v>
      </c>
      <c r="M230" s="10"/>
      <c r="N230" s="10"/>
      <c r="O230" s="10"/>
      <c r="P230" s="10" t="s">
        <v>68</v>
      </c>
      <c r="Q230" s="10"/>
      <c r="R230" s="10"/>
      <c r="S230" s="10"/>
      <c r="T230" s="10" t="s">
        <v>69</v>
      </c>
      <c r="U230" s="10"/>
      <c r="V230" s="10"/>
      <c r="W230" s="10"/>
      <c r="X230" s="10" t="s">
        <v>70</v>
      </c>
      <c r="Y230" s="10"/>
      <c r="Z230" s="10"/>
      <c r="AA230" s="10"/>
      <c r="AB230" s="10" t="s">
        <v>71</v>
      </c>
      <c r="AC230" s="10"/>
      <c r="AD230" s="10"/>
      <c r="AE230" s="10"/>
      <c r="AF230" s="10" t="s">
        <v>72</v>
      </c>
      <c r="AG230" s="10"/>
      <c r="AH230" s="10"/>
      <c r="AI230" s="10"/>
      <c r="AJ230" s="10" t="s">
        <v>73</v>
      </c>
      <c r="AK230" s="10"/>
      <c r="AL230" s="10"/>
      <c r="AM230" s="10"/>
      <c r="AN230" s="10" t="s">
        <v>74</v>
      </c>
      <c r="AO230" s="10"/>
      <c r="AP230" s="10"/>
      <c r="AQ230" s="10"/>
      <c r="AR230" s="10" t="s">
        <v>75</v>
      </c>
      <c r="AS230" s="10"/>
      <c r="AT230" s="10"/>
      <c r="AU230" s="10"/>
      <c r="AV230" s="10" t="s">
        <v>22</v>
      </c>
      <c r="AW230" s="10"/>
      <c r="AX230" s="10"/>
      <c r="AY230" s="10"/>
      <c r="AZ230" s="10" t="s">
        <v>23</v>
      </c>
      <c r="BA230" s="10"/>
      <c r="BB230" s="10"/>
      <c r="BC230" s="10"/>
    </row>
    <row r="231" customFormat="false" ht="21.75" hidden="false" customHeight="true" outlineLevel="0" collapsed="false">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row>
    <row r="232" customFormat="false" ht="12" hidden="false" customHeight="true" outlineLevel="0" collapsed="false">
      <c r="A232" s="5" t="s">
        <v>82</v>
      </c>
      <c r="I232" s="10" t="s">
        <v>83</v>
      </c>
      <c r="J232" s="10"/>
      <c r="K232" s="10"/>
      <c r="L232" s="10"/>
      <c r="M232" s="10" t="s">
        <v>84</v>
      </c>
      <c r="N232" s="10"/>
      <c r="O232" s="10"/>
      <c r="P232" s="10"/>
      <c r="Q232" s="10" t="s">
        <v>85</v>
      </c>
      <c r="R232" s="10"/>
      <c r="S232" s="10"/>
      <c r="T232" s="10"/>
      <c r="U232" s="10" t="s">
        <v>86</v>
      </c>
      <c r="V232" s="10"/>
      <c r="W232" s="10"/>
      <c r="X232" s="10"/>
      <c r="Y232" s="10" t="s">
        <v>87</v>
      </c>
      <c r="Z232" s="10"/>
      <c r="AA232" s="10"/>
      <c r="AB232" s="10"/>
      <c r="AC232" s="10" t="s">
        <v>88</v>
      </c>
      <c r="AD232" s="10"/>
      <c r="AE232" s="10"/>
      <c r="AF232" s="10"/>
      <c r="AG232" s="10" t="s">
        <v>89</v>
      </c>
      <c r="AH232" s="10"/>
      <c r="AI232" s="10"/>
      <c r="AJ232" s="10"/>
      <c r="AK232" s="10" t="s">
        <v>90</v>
      </c>
      <c r="AL232" s="10"/>
      <c r="AM232" s="10"/>
      <c r="AN232" s="10"/>
      <c r="AO232" s="10" t="s">
        <v>91</v>
      </c>
      <c r="AP232" s="10"/>
      <c r="AQ232" s="10"/>
      <c r="AR232" s="10"/>
      <c r="AS232" s="10" t="s">
        <v>33</v>
      </c>
      <c r="AT232" s="10"/>
      <c r="AU232" s="10"/>
      <c r="AV232" s="10"/>
      <c r="AW232" s="10" t="s">
        <v>34</v>
      </c>
      <c r="AX232" s="10"/>
      <c r="AY232" s="10"/>
      <c r="AZ232" s="10"/>
    </row>
    <row r="233" customFormat="false" ht="21.75" hidden="false" customHeight="true" outlineLevel="0" collapsed="false">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row>
    <row r="234" customFormat="false" ht="12" hidden="false" customHeight="true" outlineLevel="0" collapsed="false">
      <c r="A234" s="5" t="s">
        <v>102</v>
      </c>
      <c r="K234" s="10" t="s">
        <v>103</v>
      </c>
      <c r="L234" s="10"/>
      <c r="M234" s="10"/>
      <c r="N234" s="10"/>
      <c r="O234" s="10" t="s">
        <v>104</v>
      </c>
      <c r="P234" s="10"/>
      <c r="Q234" s="10"/>
      <c r="R234" s="10"/>
      <c r="S234" s="10" t="s">
        <v>105</v>
      </c>
      <c r="T234" s="10"/>
      <c r="U234" s="10"/>
      <c r="V234" s="10"/>
      <c r="W234" s="10" t="s">
        <v>106</v>
      </c>
      <c r="X234" s="10"/>
      <c r="Y234" s="10"/>
      <c r="Z234" s="10"/>
      <c r="AA234" s="10" t="s">
        <v>107</v>
      </c>
      <c r="AB234" s="10"/>
      <c r="AC234" s="10"/>
      <c r="AD234" s="10"/>
      <c r="AE234" s="10" t="s">
        <v>108</v>
      </c>
      <c r="AF234" s="10"/>
      <c r="AG234" s="10"/>
      <c r="AH234" s="10"/>
      <c r="AI234" s="10" t="s">
        <v>109</v>
      </c>
      <c r="AJ234" s="10"/>
      <c r="AK234" s="10"/>
      <c r="AL234" s="10"/>
      <c r="AM234" s="10" t="s">
        <v>42</v>
      </c>
      <c r="AN234" s="10"/>
      <c r="AO234" s="10"/>
      <c r="AP234" s="10"/>
      <c r="AQ234" s="10" t="s">
        <v>43</v>
      </c>
      <c r="AR234" s="10"/>
      <c r="AS234" s="10"/>
      <c r="AT234" s="10"/>
      <c r="AU234" s="10" t="s">
        <v>44</v>
      </c>
      <c r="AV234" s="10"/>
      <c r="AW234" s="10"/>
      <c r="AX234" s="10"/>
    </row>
    <row r="235" customFormat="false" ht="21.75" hidden="false" customHeight="true" outlineLevel="0" collapsed="false">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customFormat="false" ht="12" hidden="false" customHeight="true" outlineLevel="0" collapsed="false">
      <c r="A236" s="5" t="s">
        <v>120</v>
      </c>
      <c r="P236" s="10" t="s">
        <v>48</v>
      </c>
      <c r="Q236" s="10"/>
      <c r="R236" s="10"/>
      <c r="S236" s="10"/>
      <c r="T236" s="10" t="s">
        <v>50</v>
      </c>
      <c r="U236" s="10"/>
      <c r="V236" s="10"/>
      <c r="W236" s="10"/>
      <c r="X236" s="10"/>
      <c r="Y236" s="10"/>
      <c r="Z236" s="10"/>
      <c r="AA236" s="10"/>
      <c r="AB236" s="10"/>
      <c r="AC236" s="10"/>
      <c r="AD236" s="10"/>
      <c r="AE236" s="10"/>
      <c r="AF236" s="10"/>
      <c r="AG236" s="10"/>
      <c r="AH236" s="10"/>
      <c r="AI236" s="10"/>
      <c r="AJ236" s="10"/>
      <c r="AK236" s="10"/>
      <c r="AL236" s="10" t="s">
        <v>45</v>
      </c>
      <c r="AM236" s="10"/>
      <c r="AN236" s="10"/>
      <c r="AO236" s="10"/>
      <c r="AP236" s="10" t="s">
        <v>46</v>
      </c>
      <c r="AQ236" s="10"/>
      <c r="AR236" s="10"/>
      <c r="AS236" s="10"/>
    </row>
    <row r="237" customFormat="false" ht="21.75" hidden="false" customHeight="true" outlineLevel="0" collapsed="false">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row>
    <row r="239" customFormat="false" ht="18.75" hidden="false" customHeight="true" outlineLevel="0" collapsed="false">
      <c r="A239" s="14" t="s">
        <v>222</v>
      </c>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row>
    <row r="240" customFormat="false" ht="15" hidden="false" customHeight="true" outlineLevel="0" collapsed="false">
      <c r="A240" s="8" t="s">
        <v>124</v>
      </c>
      <c r="B240" s="15"/>
      <c r="C240" s="15"/>
      <c r="D240" s="15"/>
      <c r="E240" s="15"/>
      <c r="G240" s="5" t="s">
        <v>125</v>
      </c>
    </row>
    <row r="241" customFormat="false" ht="12" hidden="false" customHeight="true" outlineLevel="0" collapsed="false">
      <c r="A241" s="5" t="s">
        <v>64</v>
      </c>
      <c r="F241" s="10" t="s">
        <v>0</v>
      </c>
      <c r="G241" s="10"/>
      <c r="H241" s="10"/>
      <c r="I241" s="10"/>
      <c r="J241" s="10" t="s">
        <v>1</v>
      </c>
      <c r="K241" s="10"/>
      <c r="L241" s="10"/>
      <c r="M241" s="10"/>
      <c r="N241" s="10" t="s">
        <v>2</v>
      </c>
      <c r="O241" s="10"/>
      <c r="P241" s="10"/>
      <c r="Q241" s="10"/>
      <c r="R241" s="10" t="s">
        <v>3</v>
      </c>
      <c r="S241" s="10"/>
      <c r="T241" s="10"/>
      <c r="U241" s="10"/>
      <c r="V241" s="10" t="s">
        <v>4</v>
      </c>
      <c r="W241" s="10"/>
      <c r="X241" s="10"/>
      <c r="Y241" s="10"/>
      <c r="Z241" s="10" t="s">
        <v>5</v>
      </c>
      <c r="AA241" s="10"/>
      <c r="AB241" s="10"/>
      <c r="AC241" s="10"/>
      <c r="AD241" s="10" t="s">
        <v>6</v>
      </c>
      <c r="AE241" s="10"/>
      <c r="AF241" s="10"/>
      <c r="AG241" s="10"/>
      <c r="AH241" s="10" t="s">
        <v>7</v>
      </c>
      <c r="AI241" s="10"/>
      <c r="AJ241" s="10"/>
      <c r="AK241" s="10"/>
      <c r="AL241" s="10" t="s">
        <v>8</v>
      </c>
      <c r="AM241" s="10"/>
      <c r="AN241" s="10"/>
      <c r="AO241" s="10"/>
      <c r="AP241" s="10" t="s">
        <v>9</v>
      </c>
      <c r="AQ241" s="10"/>
      <c r="AR241" s="10"/>
      <c r="AS241" s="10"/>
      <c r="AT241" s="10" t="s">
        <v>10</v>
      </c>
      <c r="AU241" s="10"/>
      <c r="AV241" s="10"/>
      <c r="AW241" s="10"/>
      <c r="AX241" s="10" t="s">
        <v>11</v>
      </c>
      <c r="AY241" s="10"/>
      <c r="AZ241" s="10"/>
      <c r="BA241" s="10"/>
    </row>
    <row r="242" customFormat="false" ht="21.75" hidden="false" customHeight="true" outlineLevel="0" collapsed="false">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row>
    <row r="243" customFormat="false" ht="12" hidden="false" customHeight="true" outlineLevel="0" collapsed="false">
      <c r="A243" s="5" t="s">
        <v>65</v>
      </c>
      <c r="H243" s="10" t="s">
        <v>66</v>
      </c>
      <c r="I243" s="10"/>
      <c r="J243" s="10"/>
      <c r="K243" s="10"/>
      <c r="L243" s="10" t="s">
        <v>67</v>
      </c>
      <c r="M243" s="10"/>
      <c r="N243" s="10"/>
      <c r="O243" s="10"/>
      <c r="P243" s="10" t="s">
        <v>68</v>
      </c>
      <c r="Q243" s="10"/>
      <c r="R243" s="10"/>
      <c r="S243" s="10"/>
      <c r="T243" s="10" t="s">
        <v>69</v>
      </c>
      <c r="U243" s="10"/>
      <c r="V243" s="10"/>
      <c r="W243" s="10"/>
      <c r="X243" s="10" t="s">
        <v>70</v>
      </c>
      <c r="Y243" s="10"/>
      <c r="Z243" s="10"/>
      <c r="AA243" s="10"/>
      <c r="AB243" s="10" t="s">
        <v>71</v>
      </c>
      <c r="AC243" s="10"/>
      <c r="AD243" s="10"/>
      <c r="AE243" s="10"/>
      <c r="AF243" s="10" t="s">
        <v>72</v>
      </c>
      <c r="AG243" s="10"/>
      <c r="AH243" s="10"/>
      <c r="AI243" s="10"/>
      <c r="AJ243" s="10" t="s">
        <v>73</v>
      </c>
      <c r="AK243" s="10"/>
      <c r="AL243" s="10"/>
      <c r="AM243" s="10"/>
      <c r="AN243" s="10" t="s">
        <v>74</v>
      </c>
      <c r="AO243" s="10"/>
      <c r="AP243" s="10"/>
      <c r="AQ243" s="10"/>
      <c r="AR243" s="10" t="s">
        <v>75</v>
      </c>
      <c r="AS243" s="10"/>
      <c r="AT243" s="10"/>
      <c r="AU243" s="10"/>
      <c r="AV243" s="10" t="s">
        <v>22</v>
      </c>
      <c r="AW243" s="10"/>
      <c r="AX243" s="10"/>
      <c r="AY243" s="10"/>
      <c r="AZ243" s="10" t="s">
        <v>23</v>
      </c>
      <c r="BA243" s="10"/>
      <c r="BB243" s="10"/>
      <c r="BC243" s="10"/>
    </row>
    <row r="244" customFormat="false" ht="21.75" hidden="false" customHeight="true" outlineLevel="0" collapsed="false">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row>
    <row r="245" customFormat="false" ht="12" hidden="false" customHeight="true" outlineLevel="0" collapsed="false">
      <c r="A245" s="5" t="s">
        <v>82</v>
      </c>
      <c r="I245" s="10" t="s">
        <v>83</v>
      </c>
      <c r="J245" s="10"/>
      <c r="K245" s="10"/>
      <c r="L245" s="10"/>
      <c r="M245" s="10" t="s">
        <v>84</v>
      </c>
      <c r="N245" s="10"/>
      <c r="O245" s="10"/>
      <c r="P245" s="10"/>
      <c r="Q245" s="10" t="s">
        <v>85</v>
      </c>
      <c r="R245" s="10"/>
      <c r="S245" s="10"/>
      <c r="T245" s="10"/>
      <c r="U245" s="10" t="s">
        <v>86</v>
      </c>
      <c r="V245" s="10"/>
      <c r="W245" s="10"/>
      <c r="X245" s="10"/>
      <c r="Y245" s="10" t="s">
        <v>87</v>
      </c>
      <c r="Z245" s="10"/>
      <c r="AA245" s="10"/>
      <c r="AB245" s="10"/>
      <c r="AC245" s="10" t="s">
        <v>88</v>
      </c>
      <c r="AD245" s="10"/>
      <c r="AE245" s="10"/>
      <c r="AF245" s="10"/>
      <c r="AG245" s="10" t="s">
        <v>89</v>
      </c>
      <c r="AH245" s="10"/>
      <c r="AI245" s="10"/>
      <c r="AJ245" s="10"/>
      <c r="AK245" s="10" t="s">
        <v>90</v>
      </c>
      <c r="AL245" s="10"/>
      <c r="AM245" s="10"/>
      <c r="AN245" s="10"/>
      <c r="AO245" s="10" t="s">
        <v>91</v>
      </c>
      <c r="AP245" s="10"/>
      <c r="AQ245" s="10"/>
      <c r="AR245" s="10"/>
      <c r="AS245" s="10" t="s">
        <v>33</v>
      </c>
      <c r="AT245" s="10"/>
      <c r="AU245" s="10"/>
      <c r="AV245" s="10"/>
      <c r="AW245" s="10" t="s">
        <v>34</v>
      </c>
      <c r="AX245" s="10"/>
      <c r="AY245" s="10"/>
      <c r="AZ245" s="10"/>
    </row>
    <row r="246" customFormat="false" ht="21.75" hidden="false" customHeight="true" outlineLevel="0" collapsed="false">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row>
    <row r="247" customFormat="false" ht="12" hidden="false" customHeight="true" outlineLevel="0" collapsed="false">
      <c r="A247" s="5" t="s">
        <v>102</v>
      </c>
      <c r="K247" s="10" t="s">
        <v>103</v>
      </c>
      <c r="L247" s="10"/>
      <c r="M247" s="10"/>
      <c r="N247" s="10"/>
      <c r="O247" s="10" t="s">
        <v>104</v>
      </c>
      <c r="P247" s="10"/>
      <c r="Q247" s="10"/>
      <c r="R247" s="10"/>
      <c r="S247" s="10" t="s">
        <v>105</v>
      </c>
      <c r="T247" s="10"/>
      <c r="U247" s="10"/>
      <c r="V247" s="10"/>
      <c r="W247" s="10" t="s">
        <v>106</v>
      </c>
      <c r="X247" s="10"/>
      <c r="Y247" s="10"/>
      <c r="Z247" s="10"/>
      <c r="AA247" s="10" t="s">
        <v>107</v>
      </c>
      <c r="AB247" s="10"/>
      <c r="AC247" s="10"/>
      <c r="AD247" s="10"/>
      <c r="AE247" s="10" t="s">
        <v>108</v>
      </c>
      <c r="AF247" s="10"/>
      <c r="AG247" s="10"/>
      <c r="AH247" s="10"/>
      <c r="AI247" s="10" t="s">
        <v>109</v>
      </c>
      <c r="AJ247" s="10"/>
      <c r="AK247" s="10"/>
      <c r="AL247" s="10"/>
      <c r="AM247" s="10" t="s">
        <v>42</v>
      </c>
      <c r="AN247" s="10"/>
      <c r="AO247" s="10"/>
      <c r="AP247" s="10"/>
      <c r="AQ247" s="10" t="s">
        <v>43</v>
      </c>
      <c r="AR247" s="10"/>
      <c r="AS247" s="10"/>
      <c r="AT247" s="10"/>
      <c r="AU247" s="10" t="s">
        <v>44</v>
      </c>
      <c r="AV247" s="10"/>
      <c r="AW247" s="10"/>
      <c r="AX247" s="10"/>
    </row>
    <row r="248" customFormat="false" ht="21.75" hidden="false" customHeight="true" outlineLevel="0" collapsed="false">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customFormat="false" ht="12" hidden="false" customHeight="true" outlineLevel="0" collapsed="false">
      <c r="A249" s="5" t="s">
        <v>120</v>
      </c>
      <c r="P249" s="10" t="s">
        <v>48</v>
      </c>
      <c r="Q249" s="10"/>
      <c r="R249" s="10"/>
      <c r="S249" s="10"/>
      <c r="T249" s="10" t="s">
        <v>50</v>
      </c>
      <c r="U249" s="10"/>
      <c r="V249" s="10"/>
      <c r="W249" s="10"/>
      <c r="X249" s="10"/>
      <c r="Y249" s="10"/>
      <c r="Z249" s="10"/>
      <c r="AA249" s="10"/>
      <c r="AB249" s="10"/>
      <c r="AC249" s="10"/>
      <c r="AD249" s="10"/>
      <c r="AE249" s="10"/>
      <c r="AF249" s="10"/>
      <c r="AG249" s="10"/>
      <c r="AH249" s="10"/>
      <c r="AI249" s="10"/>
      <c r="AJ249" s="10"/>
      <c r="AK249" s="10"/>
      <c r="AL249" s="10" t="s">
        <v>45</v>
      </c>
      <c r="AM249" s="10"/>
      <c r="AN249" s="10"/>
      <c r="AO249" s="10"/>
      <c r="AP249" s="10" t="s">
        <v>46</v>
      </c>
      <c r="AQ249" s="10"/>
      <c r="AR249" s="10"/>
      <c r="AS249" s="10"/>
    </row>
    <row r="250" customFormat="false" ht="21.75" hidden="false" customHeight="true" outlineLevel="0" collapsed="false">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row>
    <row r="252" customFormat="false" ht="18.75" hidden="false" customHeight="true" outlineLevel="0" collapsed="false">
      <c r="A252" s="14" t="s">
        <v>223</v>
      </c>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row>
    <row r="253" customFormat="false" ht="15" hidden="false" customHeight="true" outlineLevel="0" collapsed="false">
      <c r="A253" s="8" t="s">
        <v>124</v>
      </c>
      <c r="B253" s="15"/>
      <c r="C253" s="15"/>
      <c r="D253" s="15"/>
      <c r="E253" s="15"/>
      <c r="G253" s="5" t="s">
        <v>125</v>
      </c>
    </row>
    <row r="254" customFormat="false" ht="12" hidden="false" customHeight="true" outlineLevel="0" collapsed="false">
      <c r="A254" s="5" t="s">
        <v>64</v>
      </c>
      <c r="F254" s="10" t="s">
        <v>0</v>
      </c>
      <c r="G254" s="10"/>
      <c r="H254" s="10"/>
      <c r="I254" s="10"/>
      <c r="J254" s="10" t="s">
        <v>1</v>
      </c>
      <c r="K254" s="10"/>
      <c r="L254" s="10"/>
      <c r="M254" s="10"/>
      <c r="N254" s="10" t="s">
        <v>2</v>
      </c>
      <c r="O254" s="10"/>
      <c r="P254" s="10"/>
      <c r="Q254" s="10"/>
      <c r="R254" s="10" t="s">
        <v>3</v>
      </c>
      <c r="S254" s="10"/>
      <c r="T254" s="10"/>
      <c r="U254" s="10"/>
      <c r="V254" s="10" t="s">
        <v>4</v>
      </c>
      <c r="W254" s="10"/>
      <c r="X254" s="10"/>
      <c r="Y254" s="10"/>
      <c r="Z254" s="10" t="s">
        <v>5</v>
      </c>
      <c r="AA254" s="10"/>
      <c r="AB254" s="10"/>
      <c r="AC254" s="10"/>
      <c r="AD254" s="10" t="s">
        <v>6</v>
      </c>
      <c r="AE254" s="10"/>
      <c r="AF254" s="10"/>
      <c r="AG254" s="10"/>
      <c r="AH254" s="10" t="s">
        <v>7</v>
      </c>
      <c r="AI254" s="10"/>
      <c r="AJ254" s="10"/>
      <c r="AK254" s="10"/>
      <c r="AL254" s="10" t="s">
        <v>8</v>
      </c>
      <c r="AM254" s="10"/>
      <c r="AN254" s="10"/>
      <c r="AO254" s="10"/>
      <c r="AP254" s="10" t="s">
        <v>9</v>
      </c>
      <c r="AQ254" s="10"/>
      <c r="AR254" s="10"/>
      <c r="AS254" s="10"/>
      <c r="AT254" s="10" t="s">
        <v>10</v>
      </c>
      <c r="AU254" s="10"/>
      <c r="AV254" s="10"/>
      <c r="AW254" s="10"/>
      <c r="AX254" s="10" t="s">
        <v>11</v>
      </c>
      <c r="AY254" s="10"/>
      <c r="AZ254" s="10"/>
      <c r="BA254" s="10"/>
    </row>
    <row r="255" customFormat="false" ht="21.75" hidden="false" customHeight="true" outlineLevel="0" collapsed="false">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row>
    <row r="256" customFormat="false" ht="12" hidden="false" customHeight="true" outlineLevel="0" collapsed="false">
      <c r="A256" s="5" t="s">
        <v>65</v>
      </c>
      <c r="H256" s="10" t="s">
        <v>66</v>
      </c>
      <c r="I256" s="10"/>
      <c r="J256" s="10"/>
      <c r="K256" s="10"/>
      <c r="L256" s="10" t="s">
        <v>67</v>
      </c>
      <c r="M256" s="10"/>
      <c r="N256" s="10"/>
      <c r="O256" s="10"/>
      <c r="P256" s="10" t="s">
        <v>68</v>
      </c>
      <c r="Q256" s="10"/>
      <c r="R256" s="10"/>
      <c r="S256" s="10"/>
      <c r="T256" s="10" t="s">
        <v>69</v>
      </c>
      <c r="U256" s="10"/>
      <c r="V256" s="10"/>
      <c r="W256" s="10"/>
      <c r="X256" s="10" t="s">
        <v>70</v>
      </c>
      <c r="Y256" s="10"/>
      <c r="Z256" s="10"/>
      <c r="AA256" s="10"/>
      <c r="AB256" s="10" t="s">
        <v>71</v>
      </c>
      <c r="AC256" s="10"/>
      <c r="AD256" s="10"/>
      <c r="AE256" s="10"/>
      <c r="AF256" s="10" t="s">
        <v>72</v>
      </c>
      <c r="AG256" s="10"/>
      <c r="AH256" s="10"/>
      <c r="AI256" s="10"/>
      <c r="AJ256" s="10" t="s">
        <v>73</v>
      </c>
      <c r="AK256" s="10"/>
      <c r="AL256" s="10"/>
      <c r="AM256" s="10"/>
      <c r="AN256" s="10" t="s">
        <v>74</v>
      </c>
      <c r="AO256" s="10"/>
      <c r="AP256" s="10"/>
      <c r="AQ256" s="10"/>
      <c r="AR256" s="10" t="s">
        <v>75</v>
      </c>
      <c r="AS256" s="10"/>
      <c r="AT256" s="10"/>
      <c r="AU256" s="10"/>
      <c r="AV256" s="10" t="s">
        <v>22</v>
      </c>
      <c r="AW256" s="10"/>
      <c r="AX256" s="10"/>
      <c r="AY256" s="10"/>
      <c r="AZ256" s="10" t="s">
        <v>23</v>
      </c>
      <c r="BA256" s="10"/>
      <c r="BB256" s="10"/>
      <c r="BC256" s="10"/>
    </row>
    <row r="257" customFormat="false" ht="21.75" hidden="false" customHeight="true" outlineLevel="0" collapsed="false">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row>
    <row r="258" customFormat="false" ht="12" hidden="false" customHeight="true" outlineLevel="0" collapsed="false">
      <c r="A258" s="5" t="s">
        <v>82</v>
      </c>
      <c r="I258" s="10" t="s">
        <v>83</v>
      </c>
      <c r="J258" s="10"/>
      <c r="K258" s="10"/>
      <c r="L258" s="10"/>
      <c r="M258" s="10" t="s">
        <v>84</v>
      </c>
      <c r="N258" s="10"/>
      <c r="O258" s="10"/>
      <c r="P258" s="10"/>
      <c r="Q258" s="10" t="s">
        <v>85</v>
      </c>
      <c r="R258" s="10"/>
      <c r="S258" s="10"/>
      <c r="T258" s="10"/>
      <c r="U258" s="10" t="s">
        <v>86</v>
      </c>
      <c r="V258" s="10"/>
      <c r="W258" s="10"/>
      <c r="X258" s="10"/>
      <c r="Y258" s="10" t="s">
        <v>87</v>
      </c>
      <c r="Z258" s="10"/>
      <c r="AA258" s="10"/>
      <c r="AB258" s="10"/>
      <c r="AC258" s="10" t="s">
        <v>88</v>
      </c>
      <c r="AD258" s="10"/>
      <c r="AE258" s="10"/>
      <c r="AF258" s="10"/>
      <c r="AG258" s="10" t="s">
        <v>89</v>
      </c>
      <c r="AH258" s="10"/>
      <c r="AI258" s="10"/>
      <c r="AJ258" s="10"/>
      <c r="AK258" s="10" t="s">
        <v>90</v>
      </c>
      <c r="AL258" s="10"/>
      <c r="AM258" s="10"/>
      <c r="AN258" s="10"/>
      <c r="AO258" s="10" t="s">
        <v>91</v>
      </c>
      <c r="AP258" s="10"/>
      <c r="AQ258" s="10"/>
      <c r="AR258" s="10"/>
      <c r="AS258" s="10" t="s">
        <v>33</v>
      </c>
      <c r="AT258" s="10"/>
      <c r="AU258" s="10"/>
      <c r="AV258" s="10"/>
      <c r="AW258" s="10" t="s">
        <v>34</v>
      </c>
      <c r="AX258" s="10"/>
      <c r="AY258" s="10"/>
      <c r="AZ258" s="10"/>
    </row>
    <row r="259" customFormat="false" ht="21.75" hidden="false" customHeight="true" outlineLevel="0" collapsed="false">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row>
    <row r="260" customFormat="false" ht="12" hidden="false" customHeight="true" outlineLevel="0" collapsed="false">
      <c r="A260" s="5" t="s">
        <v>102</v>
      </c>
      <c r="K260" s="10" t="s">
        <v>103</v>
      </c>
      <c r="L260" s="10"/>
      <c r="M260" s="10"/>
      <c r="N260" s="10"/>
      <c r="O260" s="10" t="s">
        <v>104</v>
      </c>
      <c r="P260" s="10"/>
      <c r="Q260" s="10"/>
      <c r="R260" s="10"/>
      <c r="S260" s="10" t="s">
        <v>105</v>
      </c>
      <c r="T260" s="10"/>
      <c r="U260" s="10"/>
      <c r="V260" s="10"/>
      <c r="W260" s="10" t="s">
        <v>106</v>
      </c>
      <c r="X260" s="10"/>
      <c r="Y260" s="10"/>
      <c r="Z260" s="10"/>
      <c r="AA260" s="10" t="s">
        <v>107</v>
      </c>
      <c r="AB260" s="10"/>
      <c r="AC260" s="10"/>
      <c r="AD260" s="10"/>
      <c r="AE260" s="10" t="s">
        <v>108</v>
      </c>
      <c r="AF260" s="10"/>
      <c r="AG260" s="10"/>
      <c r="AH260" s="10"/>
      <c r="AI260" s="10" t="s">
        <v>109</v>
      </c>
      <c r="AJ260" s="10"/>
      <c r="AK260" s="10"/>
      <c r="AL260" s="10"/>
      <c r="AM260" s="10" t="s">
        <v>42</v>
      </c>
      <c r="AN260" s="10"/>
      <c r="AO260" s="10"/>
      <c r="AP260" s="10"/>
      <c r="AQ260" s="10" t="s">
        <v>43</v>
      </c>
      <c r="AR260" s="10"/>
      <c r="AS260" s="10"/>
      <c r="AT260" s="10"/>
      <c r="AU260" s="10" t="s">
        <v>44</v>
      </c>
      <c r="AV260" s="10"/>
      <c r="AW260" s="10"/>
      <c r="AX260" s="10"/>
    </row>
    <row r="261" customFormat="false" ht="21.75" hidden="false" customHeight="true" outlineLevel="0" collapsed="false">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customFormat="false" ht="12" hidden="false" customHeight="true" outlineLevel="0" collapsed="false">
      <c r="A262" s="5" t="s">
        <v>120</v>
      </c>
      <c r="P262" s="10" t="s">
        <v>48</v>
      </c>
      <c r="Q262" s="10"/>
      <c r="R262" s="10"/>
      <c r="S262" s="10"/>
      <c r="T262" s="10" t="s">
        <v>50</v>
      </c>
      <c r="U262" s="10"/>
      <c r="V262" s="10"/>
      <c r="W262" s="10"/>
      <c r="X262" s="10"/>
      <c r="Y262" s="10"/>
      <c r="Z262" s="10"/>
      <c r="AA262" s="10"/>
      <c r="AB262" s="10"/>
      <c r="AC262" s="10"/>
      <c r="AD262" s="10"/>
      <c r="AE262" s="10"/>
      <c r="AF262" s="10"/>
      <c r="AG262" s="10"/>
      <c r="AH262" s="10"/>
      <c r="AI262" s="10"/>
      <c r="AJ262" s="10"/>
      <c r="AK262" s="10"/>
      <c r="AL262" s="10" t="s">
        <v>45</v>
      </c>
      <c r="AM262" s="10"/>
      <c r="AN262" s="10"/>
      <c r="AO262" s="10"/>
      <c r="AP262" s="10" t="s">
        <v>46</v>
      </c>
      <c r="AQ262" s="10"/>
      <c r="AR262" s="10"/>
      <c r="AS262" s="10"/>
    </row>
    <row r="263" customFormat="false" ht="21.75" hidden="false" customHeight="true" outlineLevel="0" collapsed="false">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row>
    <row r="265" customFormat="false" ht="18.75" hidden="false" customHeight="true" outlineLevel="0" collapsed="false">
      <c r="A265" s="14" t="s">
        <v>224</v>
      </c>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row>
    <row r="266" customFormat="false" ht="15" hidden="false" customHeight="true" outlineLevel="0" collapsed="false">
      <c r="A266" s="8" t="s">
        <v>124</v>
      </c>
      <c r="B266" s="15"/>
      <c r="C266" s="15"/>
      <c r="D266" s="15"/>
      <c r="E266" s="15"/>
      <c r="G266" s="5" t="s">
        <v>125</v>
      </c>
    </row>
    <row r="267" customFormat="false" ht="12" hidden="false" customHeight="true" outlineLevel="0" collapsed="false">
      <c r="A267" s="5" t="s">
        <v>64</v>
      </c>
      <c r="F267" s="10" t="s">
        <v>0</v>
      </c>
      <c r="G267" s="10"/>
      <c r="H267" s="10"/>
      <c r="I267" s="10"/>
      <c r="J267" s="10" t="s">
        <v>1</v>
      </c>
      <c r="K267" s="10"/>
      <c r="L267" s="10"/>
      <c r="M267" s="10"/>
      <c r="N267" s="10" t="s">
        <v>2</v>
      </c>
      <c r="O267" s="10"/>
      <c r="P267" s="10"/>
      <c r="Q267" s="10"/>
      <c r="R267" s="10" t="s">
        <v>3</v>
      </c>
      <c r="S267" s="10"/>
      <c r="T267" s="10"/>
      <c r="U267" s="10"/>
      <c r="V267" s="10" t="s">
        <v>4</v>
      </c>
      <c r="W267" s="10"/>
      <c r="X267" s="10"/>
      <c r="Y267" s="10"/>
      <c r="Z267" s="10" t="s">
        <v>5</v>
      </c>
      <c r="AA267" s="10"/>
      <c r="AB267" s="10"/>
      <c r="AC267" s="10"/>
      <c r="AD267" s="10" t="s">
        <v>6</v>
      </c>
      <c r="AE267" s="10"/>
      <c r="AF267" s="10"/>
      <c r="AG267" s="10"/>
      <c r="AH267" s="10" t="s">
        <v>7</v>
      </c>
      <c r="AI267" s="10"/>
      <c r="AJ267" s="10"/>
      <c r="AK267" s="10"/>
      <c r="AL267" s="10" t="s">
        <v>8</v>
      </c>
      <c r="AM267" s="10"/>
      <c r="AN267" s="10"/>
      <c r="AO267" s="10"/>
      <c r="AP267" s="10" t="s">
        <v>9</v>
      </c>
      <c r="AQ267" s="10"/>
      <c r="AR267" s="10"/>
      <c r="AS267" s="10"/>
      <c r="AT267" s="10" t="s">
        <v>10</v>
      </c>
      <c r="AU267" s="10"/>
      <c r="AV267" s="10"/>
      <c r="AW267" s="10"/>
      <c r="AX267" s="10" t="s">
        <v>11</v>
      </c>
      <c r="AY267" s="10"/>
      <c r="AZ267" s="10"/>
      <c r="BA267" s="10"/>
    </row>
    <row r="268" customFormat="false" ht="21.75" hidden="false" customHeight="true" outlineLevel="0" collapsed="false">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row>
    <row r="269" customFormat="false" ht="12" hidden="false" customHeight="true" outlineLevel="0" collapsed="false">
      <c r="A269" s="5" t="s">
        <v>65</v>
      </c>
      <c r="H269" s="10" t="s">
        <v>66</v>
      </c>
      <c r="I269" s="10"/>
      <c r="J269" s="10"/>
      <c r="K269" s="10"/>
      <c r="L269" s="10" t="s">
        <v>67</v>
      </c>
      <c r="M269" s="10"/>
      <c r="N269" s="10"/>
      <c r="O269" s="10"/>
      <c r="P269" s="10" t="s">
        <v>68</v>
      </c>
      <c r="Q269" s="10"/>
      <c r="R269" s="10"/>
      <c r="S269" s="10"/>
      <c r="T269" s="10" t="s">
        <v>69</v>
      </c>
      <c r="U269" s="10"/>
      <c r="V269" s="10"/>
      <c r="W269" s="10"/>
      <c r="X269" s="10" t="s">
        <v>70</v>
      </c>
      <c r="Y269" s="10"/>
      <c r="Z269" s="10"/>
      <c r="AA269" s="10"/>
      <c r="AB269" s="10" t="s">
        <v>71</v>
      </c>
      <c r="AC269" s="10"/>
      <c r="AD269" s="10"/>
      <c r="AE269" s="10"/>
      <c r="AF269" s="10" t="s">
        <v>72</v>
      </c>
      <c r="AG269" s="10"/>
      <c r="AH269" s="10"/>
      <c r="AI269" s="10"/>
      <c r="AJ269" s="10" t="s">
        <v>73</v>
      </c>
      <c r="AK269" s="10"/>
      <c r="AL269" s="10"/>
      <c r="AM269" s="10"/>
      <c r="AN269" s="10" t="s">
        <v>74</v>
      </c>
      <c r="AO269" s="10"/>
      <c r="AP269" s="10"/>
      <c r="AQ269" s="10"/>
      <c r="AR269" s="10" t="s">
        <v>75</v>
      </c>
      <c r="AS269" s="10"/>
      <c r="AT269" s="10"/>
      <c r="AU269" s="10"/>
      <c r="AV269" s="10" t="s">
        <v>22</v>
      </c>
      <c r="AW269" s="10"/>
      <c r="AX269" s="10"/>
      <c r="AY269" s="10"/>
      <c r="AZ269" s="10" t="s">
        <v>23</v>
      </c>
      <c r="BA269" s="10"/>
      <c r="BB269" s="10"/>
      <c r="BC269" s="10"/>
    </row>
    <row r="270" customFormat="false" ht="21.75" hidden="false" customHeight="true" outlineLevel="0" collapsed="false">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row>
    <row r="271" customFormat="false" ht="12" hidden="false" customHeight="true" outlineLevel="0" collapsed="false">
      <c r="A271" s="5" t="s">
        <v>82</v>
      </c>
      <c r="I271" s="10" t="s">
        <v>83</v>
      </c>
      <c r="J271" s="10"/>
      <c r="K271" s="10"/>
      <c r="L271" s="10"/>
      <c r="M271" s="10" t="s">
        <v>84</v>
      </c>
      <c r="N271" s="10"/>
      <c r="O271" s="10"/>
      <c r="P271" s="10"/>
      <c r="Q271" s="10" t="s">
        <v>85</v>
      </c>
      <c r="R271" s="10"/>
      <c r="S271" s="10"/>
      <c r="T271" s="10"/>
      <c r="U271" s="10" t="s">
        <v>86</v>
      </c>
      <c r="V271" s="10"/>
      <c r="W271" s="10"/>
      <c r="X271" s="10"/>
      <c r="Y271" s="10" t="s">
        <v>87</v>
      </c>
      <c r="Z271" s="10"/>
      <c r="AA271" s="10"/>
      <c r="AB271" s="10"/>
      <c r="AC271" s="10" t="s">
        <v>88</v>
      </c>
      <c r="AD271" s="10"/>
      <c r="AE271" s="10"/>
      <c r="AF271" s="10"/>
      <c r="AG271" s="10" t="s">
        <v>89</v>
      </c>
      <c r="AH271" s="10"/>
      <c r="AI271" s="10"/>
      <c r="AJ271" s="10"/>
      <c r="AK271" s="10" t="s">
        <v>90</v>
      </c>
      <c r="AL271" s="10"/>
      <c r="AM271" s="10"/>
      <c r="AN271" s="10"/>
      <c r="AO271" s="10" t="s">
        <v>91</v>
      </c>
      <c r="AP271" s="10"/>
      <c r="AQ271" s="10"/>
      <c r="AR271" s="10"/>
      <c r="AS271" s="10" t="s">
        <v>33</v>
      </c>
      <c r="AT271" s="10"/>
      <c r="AU271" s="10"/>
      <c r="AV271" s="10"/>
      <c r="AW271" s="10" t="s">
        <v>34</v>
      </c>
      <c r="AX271" s="10"/>
      <c r="AY271" s="10"/>
      <c r="AZ271" s="10"/>
    </row>
    <row r="272" customFormat="false" ht="21.75" hidden="false" customHeight="true" outlineLevel="0" collapsed="false">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row>
    <row r="273" customFormat="false" ht="12" hidden="false" customHeight="true" outlineLevel="0" collapsed="false">
      <c r="A273" s="5" t="s">
        <v>102</v>
      </c>
      <c r="K273" s="10" t="s">
        <v>103</v>
      </c>
      <c r="L273" s="10"/>
      <c r="M273" s="10"/>
      <c r="N273" s="10"/>
      <c r="O273" s="10" t="s">
        <v>104</v>
      </c>
      <c r="P273" s="10"/>
      <c r="Q273" s="10"/>
      <c r="R273" s="10"/>
      <c r="S273" s="10" t="s">
        <v>105</v>
      </c>
      <c r="T273" s="10"/>
      <c r="U273" s="10"/>
      <c r="V273" s="10"/>
      <c r="W273" s="10" t="s">
        <v>106</v>
      </c>
      <c r="X273" s="10"/>
      <c r="Y273" s="10"/>
      <c r="Z273" s="10"/>
      <c r="AA273" s="10" t="s">
        <v>107</v>
      </c>
      <c r="AB273" s="10"/>
      <c r="AC273" s="10"/>
      <c r="AD273" s="10"/>
      <c r="AE273" s="10" t="s">
        <v>108</v>
      </c>
      <c r="AF273" s="10"/>
      <c r="AG273" s="10"/>
      <c r="AH273" s="10"/>
      <c r="AI273" s="10" t="s">
        <v>109</v>
      </c>
      <c r="AJ273" s="10"/>
      <c r="AK273" s="10"/>
      <c r="AL273" s="10"/>
      <c r="AM273" s="10" t="s">
        <v>42</v>
      </c>
      <c r="AN273" s="10"/>
      <c r="AO273" s="10"/>
      <c r="AP273" s="10"/>
      <c r="AQ273" s="10" t="s">
        <v>43</v>
      </c>
      <c r="AR273" s="10"/>
      <c r="AS273" s="10"/>
      <c r="AT273" s="10"/>
      <c r="AU273" s="10" t="s">
        <v>44</v>
      </c>
      <c r="AV273" s="10"/>
      <c r="AW273" s="10"/>
      <c r="AX273" s="10"/>
    </row>
    <row r="274" customFormat="false" ht="21.75" hidden="false" customHeight="true" outlineLevel="0" collapsed="false">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customFormat="false" ht="12" hidden="false" customHeight="true" outlineLevel="0" collapsed="false">
      <c r="A275" s="5" t="s">
        <v>120</v>
      </c>
      <c r="P275" s="10" t="s">
        <v>48</v>
      </c>
      <c r="Q275" s="10"/>
      <c r="R275" s="10"/>
      <c r="S275" s="10"/>
      <c r="T275" s="10" t="s">
        <v>50</v>
      </c>
      <c r="U275" s="10"/>
      <c r="V275" s="10"/>
      <c r="W275" s="10"/>
      <c r="X275" s="10"/>
      <c r="Y275" s="10"/>
      <c r="Z275" s="10"/>
      <c r="AA275" s="10"/>
      <c r="AB275" s="10"/>
      <c r="AC275" s="10"/>
      <c r="AD275" s="10"/>
      <c r="AE275" s="10"/>
      <c r="AF275" s="10"/>
      <c r="AG275" s="10"/>
      <c r="AH275" s="10"/>
      <c r="AI275" s="10"/>
      <c r="AJ275" s="10"/>
      <c r="AK275" s="10"/>
      <c r="AL275" s="10" t="s">
        <v>45</v>
      </c>
      <c r="AM275" s="10"/>
      <c r="AN275" s="10"/>
      <c r="AO275" s="10"/>
      <c r="AP275" s="10" t="s">
        <v>46</v>
      </c>
      <c r="AQ275" s="10"/>
      <c r="AR275" s="10"/>
      <c r="AS275" s="10"/>
    </row>
    <row r="276" customFormat="false" ht="21.75" hidden="false" customHeight="true" outlineLevel="0" collapsed="false">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row>
    <row r="278" customFormat="false" ht="18.75" hidden="false" customHeight="true" outlineLevel="0" collapsed="false">
      <c r="A278" s="14" t="s">
        <v>225</v>
      </c>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row>
    <row r="279" customFormat="false" ht="15" hidden="false" customHeight="true" outlineLevel="0" collapsed="false">
      <c r="A279" s="8" t="s">
        <v>124</v>
      </c>
      <c r="B279" s="15"/>
      <c r="C279" s="15"/>
      <c r="D279" s="15"/>
      <c r="E279" s="15"/>
      <c r="G279" s="5" t="s">
        <v>125</v>
      </c>
    </row>
    <row r="280" customFormat="false" ht="12" hidden="false" customHeight="true" outlineLevel="0" collapsed="false">
      <c r="A280" s="5" t="s">
        <v>64</v>
      </c>
      <c r="F280" s="10" t="s">
        <v>0</v>
      </c>
      <c r="G280" s="10"/>
      <c r="H280" s="10"/>
      <c r="I280" s="10"/>
      <c r="J280" s="10" t="s">
        <v>1</v>
      </c>
      <c r="K280" s="10"/>
      <c r="L280" s="10"/>
      <c r="M280" s="10"/>
      <c r="N280" s="10" t="s">
        <v>2</v>
      </c>
      <c r="O280" s="10"/>
      <c r="P280" s="10"/>
      <c r="Q280" s="10"/>
      <c r="R280" s="10" t="s">
        <v>3</v>
      </c>
      <c r="S280" s="10"/>
      <c r="T280" s="10"/>
      <c r="U280" s="10"/>
      <c r="V280" s="10" t="s">
        <v>4</v>
      </c>
      <c r="W280" s="10"/>
      <c r="X280" s="10"/>
      <c r="Y280" s="10"/>
      <c r="Z280" s="10" t="s">
        <v>5</v>
      </c>
      <c r="AA280" s="10"/>
      <c r="AB280" s="10"/>
      <c r="AC280" s="10"/>
      <c r="AD280" s="10" t="s">
        <v>6</v>
      </c>
      <c r="AE280" s="10"/>
      <c r="AF280" s="10"/>
      <c r="AG280" s="10"/>
      <c r="AH280" s="10" t="s">
        <v>7</v>
      </c>
      <c r="AI280" s="10"/>
      <c r="AJ280" s="10"/>
      <c r="AK280" s="10"/>
      <c r="AL280" s="10" t="s">
        <v>8</v>
      </c>
      <c r="AM280" s="10"/>
      <c r="AN280" s="10"/>
      <c r="AO280" s="10"/>
      <c r="AP280" s="10" t="s">
        <v>9</v>
      </c>
      <c r="AQ280" s="10"/>
      <c r="AR280" s="10"/>
      <c r="AS280" s="10"/>
      <c r="AT280" s="10" t="s">
        <v>10</v>
      </c>
      <c r="AU280" s="10"/>
      <c r="AV280" s="10"/>
      <c r="AW280" s="10"/>
      <c r="AX280" s="10" t="s">
        <v>11</v>
      </c>
      <c r="AY280" s="10"/>
      <c r="AZ280" s="10"/>
      <c r="BA280" s="10"/>
    </row>
    <row r="281" customFormat="false" ht="21.75" hidden="false" customHeight="true" outlineLevel="0" collapsed="false">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row>
    <row r="282" customFormat="false" ht="12" hidden="false" customHeight="true" outlineLevel="0" collapsed="false">
      <c r="A282" s="5" t="s">
        <v>65</v>
      </c>
      <c r="H282" s="10" t="s">
        <v>66</v>
      </c>
      <c r="I282" s="10"/>
      <c r="J282" s="10"/>
      <c r="K282" s="10"/>
      <c r="L282" s="10" t="s">
        <v>67</v>
      </c>
      <c r="M282" s="10"/>
      <c r="N282" s="10"/>
      <c r="O282" s="10"/>
      <c r="P282" s="10" t="s">
        <v>68</v>
      </c>
      <c r="Q282" s="10"/>
      <c r="R282" s="10"/>
      <c r="S282" s="10"/>
      <c r="T282" s="10" t="s">
        <v>69</v>
      </c>
      <c r="U282" s="10"/>
      <c r="V282" s="10"/>
      <c r="W282" s="10"/>
      <c r="X282" s="10" t="s">
        <v>70</v>
      </c>
      <c r="Y282" s="10"/>
      <c r="Z282" s="10"/>
      <c r="AA282" s="10"/>
      <c r="AB282" s="10" t="s">
        <v>71</v>
      </c>
      <c r="AC282" s="10"/>
      <c r="AD282" s="10"/>
      <c r="AE282" s="10"/>
      <c r="AF282" s="10" t="s">
        <v>72</v>
      </c>
      <c r="AG282" s="10"/>
      <c r="AH282" s="10"/>
      <c r="AI282" s="10"/>
      <c r="AJ282" s="10" t="s">
        <v>73</v>
      </c>
      <c r="AK282" s="10"/>
      <c r="AL282" s="10"/>
      <c r="AM282" s="10"/>
      <c r="AN282" s="10" t="s">
        <v>74</v>
      </c>
      <c r="AO282" s="10"/>
      <c r="AP282" s="10"/>
      <c r="AQ282" s="10"/>
      <c r="AR282" s="10" t="s">
        <v>75</v>
      </c>
      <c r="AS282" s="10"/>
      <c r="AT282" s="10"/>
      <c r="AU282" s="10"/>
      <c r="AV282" s="10" t="s">
        <v>22</v>
      </c>
      <c r="AW282" s="10"/>
      <c r="AX282" s="10"/>
      <c r="AY282" s="10"/>
      <c r="AZ282" s="10" t="s">
        <v>23</v>
      </c>
      <c r="BA282" s="10"/>
      <c r="BB282" s="10"/>
      <c r="BC282" s="10"/>
    </row>
    <row r="283" customFormat="false" ht="21.75" hidden="false" customHeight="true" outlineLevel="0" collapsed="false">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row>
    <row r="284" customFormat="false" ht="12" hidden="false" customHeight="true" outlineLevel="0" collapsed="false">
      <c r="A284" s="5" t="s">
        <v>82</v>
      </c>
      <c r="I284" s="10" t="s">
        <v>83</v>
      </c>
      <c r="J284" s="10"/>
      <c r="K284" s="10"/>
      <c r="L284" s="10"/>
      <c r="M284" s="10" t="s">
        <v>84</v>
      </c>
      <c r="N284" s="10"/>
      <c r="O284" s="10"/>
      <c r="P284" s="10"/>
      <c r="Q284" s="10" t="s">
        <v>85</v>
      </c>
      <c r="R284" s="10"/>
      <c r="S284" s="10"/>
      <c r="T284" s="10"/>
      <c r="U284" s="10" t="s">
        <v>86</v>
      </c>
      <c r="V284" s="10"/>
      <c r="W284" s="10"/>
      <c r="X284" s="10"/>
      <c r="Y284" s="10" t="s">
        <v>87</v>
      </c>
      <c r="Z284" s="10"/>
      <c r="AA284" s="10"/>
      <c r="AB284" s="10"/>
      <c r="AC284" s="10" t="s">
        <v>88</v>
      </c>
      <c r="AD284" s="10"/>
      <c r="AE284" s="10"/>
      <c r="AF284" s="10"/>
      <c r="AG284" s="10" t="s">
        <v>89</v>
      </c>
      <c r="AH284" s="10"/>
      <c r="AI284" s="10"/>
      <c r="AJ284" s="10"/>
      <c r="AK284" s="10" t="s">
        <v>90</v>
      </c>
      <c r="AL284" s="10"/>
      <c r="AM284" s="10"/>
      <c r="AN284" s="10"/>
      <c r="AO284" s="10" t="s">
        <v>91</v>
      </c>
      <c r="AP284" s="10"/>
      <c r="AQ284" s="10"/>
      <c r="AR284" s="10"/>
      <c r="AS284" s="10" t="s">
        <v>33</v>
      </c>
      <c r="AT284" s="10"/>
      <c r="AU284" s="10"/>
      <c r="AV284" s="10"/>
      <c r="AW284" s="10" t="s">
        <v>34</v>
      </c>
      <c r="AX284" s="10"/>
      <c r="AY284" s="10"/>
      <c r="AZ284" s="10"/>
    </row>
    <row r="285" customFormat="false" ht="21.75" hidden="false" customHeight="true" outlineLevel="0" collapsed="false">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row>
    <row r="286" customFormat="false" ht="12" hidden="false" customHeight="true" outlineLevel="0" collapsed="false">
      <c r="A286" s="5" t="s">
        <v>102</v>
      </c>
      <c r="K286" s="10" t="s">
        <v>103</v>
      </c>
      <c r="L286" s="10"/>
      <c r="M286" s="10"/>
      <c r="N286" s="10"/>
      <c r="O286" s="10" t="s">
        <v>104</v>
      </c>
      <c r="P286" s="10"/>
      <c r="Q286" s="10"/>
      <c r="R286" s="10"/>
      <c r="S286" s="10" t="s">
        <v>105</v>
      </c>
      <c r="T286" s="10"/>
      <c r="U286" s="10"/>
      <c r="V286" s="10"/>
      <c r="W286" s="10" t="s">
        <v>106</v>
      </c>
      <c r="X286" s="10"/>
      <c r="Y286" s="10"/>
      <c r="Z286" s="10"/>
      <c r="AA286" s="10" t="s">
        <v>107</v>
      </c>
      <c r="AB286" s="10"/>
      <c r="AC286" s="10"/>
      <c r="AD286" s="10"/>
      <c r="AE286" s="10" t="s">
        <v>108</v>
      </c>
      <c r="AF286" s="10"/>
      <c r="AG286" s="10"/>
      <c r="AH286" s="10"/>
      <c r="AI286" s="10" t="s">
        <v>109</v>
      </c>
      <c r="AJ286" s="10"/>
      <c r="AK286" s="10"/>
      <c r="AL286" s="10"/>
      <c r="AM286" s="10" t="s">
        <v>42</v>
      </c>
      <c r="AN286" s="10"/>
      <c r="AO286" s="10"/>
      <c r="AP286" s="10"/>
      <c r="AQ286" s="10" t="s">
        <v>43</v>
      </c>
      <c r="AR286" s="10"/>
      <c r="AS286" s="10"/>
      <c r="AT286" s="10"/>
      <c r="AU286" s="10" t="s">
        <v>44</v>
      </c>
      <c r="AV286" s="10"/>
      <c r="AW286" s="10"/>
      <c r="AX286" s="10"/>
    </row>
    <row r="287" customFormat="false" ht="21.75" hidden="false" customHeight="true" outlineLevel="0" collapsed="false">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customFormat="false" ht="12" hidden="false" customHeight="true" outlineLevel="0" collapsed="false">
      <c r="A288" s="5" t="s">
        <v>120</v>
      </c>
      <c r="P288" s="10" t="s">
        <v>48</v>
      </c>
      <c r="Q288" s="10"/>
      <c r="R288" s="10"/>
      <c r="S288" s="10"/>
      <c r="T288" s="10" t="s">
        <v>50</v>
      </c>
      <c r="U288" s="10"/>
      <c r="V288" s="10"/>
      <c r="W288" s="10"/>
      <c r="X288" s="10"/>
      <c r="Y288" s="10"/>
      <c r="Z288" s="10"/>
      <c r="AA288" s="10"/>
      <c r="AB288" s="10"/>
      <c r="AC288" s="10"/>
      <c r="AD288" s="10"/>
      <c r="AE288" s="10"/>
      <c r="AF288" s="10"/>
      <c r="AG288" s="10"/>
      <c r="AH288" s="10"/>
      <c r="AI288" s="10"/>
      <c r="AJ288" s="10"/>
      <c r="AK288" s="10"/>
      <c r="AL288" s="10" t="s">
        <v>45</v>
      </c>
      <c r="AM288" s="10"/>
      <c r="AN288" s="10"/>
      <c r="AO288" s="10"/>
      <c r="AP288" s="10" t="s">
        <v>46</v>
      </c>
      <c r="AQ288" s="10"/>
      <c r="AR288" s="10"/>
      <c r="AS288" s="10"/>
    </row>
    <row r="289" customFormat="false" ht="21.75" hidden="false" customHeight="true" outlineLevel="0" collapsed="false">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row>
    <row r="291" customFormat="false" ht="18.75" hidden="false" customHeight="true" outlineLevel="0" collapsed="false">
      <c r="A291" s="14" t="s">
        <v>226</v>
      </c>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row>
    <row r="292" customFormat="false" ht="15" hidden="false" customHeight="true" outlineLevel="0" collapsed="false">
      <c r="A292" s="8" t="s">
        <v>124</v>
      </c>
      <c r="B292" s="15"/>
      <c r="C292" s="15"/>
      <c r="D292" s="15"/>
      <c r="E292" s="15"/>
      <c r="G292" s="5" t="s">
        <v>125</v>
      </c>
    </row>
    <row r="293" customFormat="false" ht="12" hidden="false" customHeight="true" outlineLevel="0" collapsed="false">
      <c r="A293" s="5" t="s">
        <v>64</v>
      </c>
      <c r="F293" s="10" t="s">
        <v>0</v>
      </c>
      <c r="G293" s="10"/>
      <c r="H293" s="10"/>
      <c r="I293" s="10"/>
      <c r="J293" s="10" t="s">
        <v>1</v>
      </c>
      <c r="K293" s="10"/>
      <c r="L293" s="10"/>
      <c r="M293" s="10"/>
      <c r="N293" s="10" t="s">
        <v>2</v>
      </c>
      <c r="O293" s="10"/>
      <c r="P293" s="10"/>
      <c r="Q293" s="10"/>
      <c r="R293" s="10" t="s">
        <v>3</v>
      </c>
      <c r="S293" s="10"/>
      <c r="T293" s="10"/>
      <c r="U293" s="10"/>
      <c r="V293" s="10" t="s">
        <v>4</v>
      </c>
      <c r="W293" s="10"/>
      <c r="X293" s="10"/>
      <c r="Y293" s="10"/>
      <c r="Z293" s="10" t="s">
        <v>5</v>
      </c>
      <c r="AA293" s="10"/>
      <c r="AB293" s="10"/>
      <c r="AC293" s="10"/>
      <c r="AD293" s="10" t="s">
        <v>6</v>
      </c>
      <c r="AE293" s="10"/>
      <c r="AF293" s="10"/>
      <c r="AG293" s="10"/>
      <c r="AH293" s="10" t="s">
        <v>7</v>
      </c>
      <c r="AI293" s="10"/>
      <c r="AJ293" s="10"/>
      <c r="AK293" s="10"/>
      <c r="AL293" s="10" t="s">
        <v>8</v>
      </c>
      <c r="AM293" s="10"/>
      <c r="AN293" s="10"/>
      <c r="AO293" s="10"/>
      <c r="AP293" s="10" t="s">
        <v>9</v>
      </c>
      <c r="AQ293" s="10"/>
      <c r="AR293" s="10"/>
      <c r="AS293" s="10"/>
      <c r="AT293" s="10" t="s">
        <v>10</v>
      </c>
      <c r="AU293" s="10"/>
      <c r="AV293" s="10"/>
      <c r="AW293" s="10"/>
      <c r="AX293" s="10" t="s">
        <v>11</v>
      </c>
      <c r="AY293" s="10"/>
      <c r="AZ293" s="10"/>
      <c r="BA293" s="10"/>
    </row>
    <row r="294" customFormat="false" ht="21.75" hidden="false" customHeight="true" outlineLevel="0" collapsed="false">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row>
    <row r="295" customFormat="false" ht="12" hidden="false" customHeight="true" outlineLevel="0" collapsed="false">
      <c r="A295" s="5" t="s">
        <v>65</v>
      </c>
      <c r="H295" s="10" t="s">
        <v>66</v>
      </c>
      <c r="I295" s="10"/>
      <c r="J295" s="10"/>
      <c r="K295" s="10"/>
      <c r="L295" s="10" t="s">
        <v>67</v>
      </c>
      <c r="M295" s="10"/>
      <c r="N295" s="10"/>
      <c r="O295" s="10"/>
      <c r="P295" s="10" t="s">
        <v>68</v>
      </c>
      <c r="Q295" s="10"/>
      <c r="R295" s="10"/>
      <c r="S295" s="10"/>
      <c r="T295" s="10" t="s">
        <v>69</v>
      </c>
      <c r="U295" s="10"/>
      <c r="V295" s="10"/>
      <c r="W295" s="10"/>
      <c r="X295" s="10" t="s">
        <v>70</v>
      </c>
      <c r="Y295" s="10"/>
      <c r="Z295" s="10"/>
      <c r="AA295" s="10"/>
      <c r="AB295" s="10" t="s">
        <v>71</v>
      </c>
      <c r="AC295" s="10"/>
      <c r="AD295" s="10"/>
      <c r="AE295" s="10"/>
      <c r="AF295" s="10" t="s">
        <v>72</v>
      </c>
      <c r="AG295" s="10"/>
      <c r="AH295" s="10"/>
      <c r="AI295" s="10"/>
      <c r="AJ295" s="10" t="s">
        <v>73</v>
      </c>
      <c r="AK295" s="10"/>
      <c r="AL295" s="10"/>
      <c r="AM295" s="10"/>
      <c r="AN295" s="10" t="s">
        <v>74</v>
      </c>
      <c r="AO295" s="10"/>
      <c r="AP295" s="10"/>
      <c r="AQ295" s="10"/>
      <c r="AR295" s="10" t="s">
        <v>75</v>
      </c>
      <c r="AS295" s="10"/>
      <c r="AT295" s="10"/>
      <c r="AU295" s="10"/>
      <c r="AV295" s="10" t="s">
        <v>22</v>
      </c>
      <c r="AW295" s="10"/>
      <c r="AX295" s="10"/>
      <c r="AY295" s="10"/>
      <c r="AZ295" s="10" t="s">
        <v>23</v>
      </c>
      <c r="BA295" s="10"/>
      <c r="BB295" s="10"/>
      <c r="BC295" s="10"/>
    </row>
    <row r="296" customFormat="false" ht="21.75" hidden="false" customHeight="true" outlineLevel="0" collapsed="false">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row>
    <row r="297" customFormat="false" ht="12" hidden="false" customHeight="true" outlineLevel="0" collapsed="false">
      <c r="A297" s="5" t="s">
        <v>82</v>
      </c>
      <c r="I297" s="10" t="s">
        <v>83</v>
      </c>
      <c r="J297" s="10"/>
      <c r="K297" s="10"/>
      <c r="L297" s="10"/>
      <c r="M297" s="10" t="s">
        <v>84</v>
      </c>
      <c r="N297" s="10"/>
      <c r="O297" s="10"/>
      <c r="P297" s="10"/>
      <c r="Q297" s="10" t="s">
        <v>85</v>
      </c>
      <c r="R297" s="10"/>
      <c r="S297" s="10"/>
      <c r="T297" s="10"/>
      <c r="U297" s="10" t="s">
        <v>86</v>
      </c>
      <c r="V297" s="10"/>
      <c r="W297" s="10"/>
      <c r="X297" s="10"/>
      <c r="Y297" s="10" t="s">
        <v>87</v>
      </c>
      <c r="Z297" s="10"/>
      <c r="AA297" s="10"/>
      <c r="AB297" s="10"/>
      <c r="AC297" s="10" t="s">
        <v>88</v>
      </c>
      <c r="AD297" s="10"/>
      <c r="AE297" s="10"/>
      <c r="AF297" s="10"/>
      <c r="AG297" s="10" t="s">
        <v>89</v>
      </c>
      <c r="AH297" s="10"/>
      <c r="AI297" s="10"/>
      <c r="AJ297" s="10"/>
      <c r="AK297" s="10" t="s">
        <v>90</v>
      </c>
      <c r="AL297" s="10"/>
      <c r="AM297" s="10"/>
      <c r="AN297" s="10"/>
      <c r="AO297" s="10" t="s">
        <v>91</v>
      </c>
      <c r="AP297" s="10"/>
      <c r="AQ297" s="10"/>
      <c r="AR297" s="10"/>
      <c r="AS297" s="10" t="s">
        <v>33</v>
      </c>
      <c r="AT297" s="10"/>
      <c r="AU297" s="10"/>
      <c r="AV297" s="10"/>
      <c r="AW297" s="10" t="s">
        <v>34</v>
      </c>
      <c r="AX297" s="10"/>
      <c r="AY297" s="10"/>
      <c r="AZ297" s="10"/>
    </row>
    <row r="298" customFormat="false" ht="21.75" hidden="false" customHeight="true" outlineLevel="0" collapsed="false">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row>
    <row r="299" customFormat="false" ht="12" hidden="false" customHeight="true" outlineLevel="0" collapsed="false">
      <c r="A299" s="5" t="s">
        <v>102</v>
      </c>
      <c r="K299" s="10" t="s">
        <v>103</v>
      </c>
      <c r="L299" s="10"/>
      <c r="M299" s="10"/>
      <c r="N299" s="10"/>
      <c r="O299" s="10" t="s">
        <v>104</v>
      </c>
      <c r="P299" s="10"/>
      <c r="Q299" s="10"/>
      <c r="R299" s="10"/>
      <c r="S299" s="10" t="s">
        <v>105</v>
      </c>
      <c r="T299" s="10"/>
      <c r="U299" s="10"/>
      <c r="V299" s="10"/>
      <c r="W299" s="10" t="s">
        <v>106</v>
      </c>
      <c r="X299" s="10"/>
      <c r="Y299" s="10"/>
      <c r="Z299" s="10"/>
      <c r="AA299" s="10" t="s">
        <v>107</v>
      </c>
      <c r="AB299" s="10"/>
      <c r="AC299" s="10"/>
      <c r="AD299" s="10"/>
      <c r="AE299" s="10" t="s">
        <v>108</v>
      </c>
      <c r="AF299" s="10"/>
      <c r="AG299" s="10"/>
      <c r="AH299" s="10"/>
      <c r="AI299" s="10" t="s">
        <v>109</v>
      </c>
      <c r="AJ299" s="10"/>
      <c r="AK299" s="10"/>
      <c r="AL299" s="10"/>
      <c r="AM299" s="10" t="s">
        <v>42</v>
      </c>
      <c r="AN299" s="10"/>
      <c r="AO299" s="10"/>
      <c r="AP299" s="10"/>
      <c r="AQ299" s="10" t="s">
        <v>43</v>
      </c>
      <c r="AR299" s="10"/>
      <c r="AS299" s="10"/>
      <c r="AT299" s="10"/>
      <c r="AU299" s="10" t="s">
        <v>44</v>
      </c>
      <c r="AV299" s="10"/>
      <c r="AW299" s="10"/>
      <c r="AX299" s="10"/>
    </row>
    <row r="300" customFormat="false" ht="21.75" hidden="false" customHeight="true" outlineLevel="0" collapsed="false">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customFormat="false" ht="12" hidden="false" customHeight="true" outlineLevel="0" collapsed="false">
      <c r="A301" s="5" t="s">
        <v>120</v>
      </c>
      <c r="P301" s="10" t="s">
        <v>48</v>
      </c>
      <c r="Q301" s="10"/>
      <c r="R301" s="10"/>
      <c r="S301" s="10"/>
      <c r="T301" s="10" t="s">
        <v>50</v>
      </c>
      <c r="U301" s="10"/>
      <c r="V301" s="10"/>
      <c r="W301" s="10"/>
      <c r="X301" s="10"/>
      <c r="Y301" s="10"/>
      <c r="Z301" s="10"/>
      <c r="AA301" s="10"/>
      <c r="AB301" s="10"/>
      <c r="AC301" s="10"/>
      <c r="AD301" s="10"/>
      <c r="AE301" s="10"/>
      <c r="AF301" s="10"/>
      <c r="AG301" s="10"/>
      <c r="AH301" s="10"/>
      <c r="AI301" s="10"/>
      <c r="AJ301" s="10"/>
      <c r="AK301" s="10"/>
      <c r="AL301" s="10" t="s">
        <v>45</v>
      </c>
      <c r="AM301" s="10"/>
      <c r="AN301" s="10"/>
      <c r="AO301" s="10"/>
      <c r="AP301" s="10" t="s">
        <v>46</v>
      </c>
      <c r="AQ301" s="10"/>
      <c r="AR301" s="10"/>
      <c r="AS301" s="10"/>
    </row>
    <row r="302" customFormat="false" ht="21.75" hidden="false" customHeight="true" outlineLevel="0" collapsed="false">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row>
    <row r="304" customFormat="false" ht="18.75" hidden="false" customHeight="true" outlineLevel="0" collapsed="false">
      <c r="A304" s="14" t="s">
        <v>227</v>
      </c>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row>
    <row r="305" customFormat="false" ht="15" hidden="false" customHeight="true" outlineLevel="0" collapsed="false">
      <c r="A305" s="8" t="s">
        <v>124</v>
      </c>
      <c r="B305" s="15"/>
      <c r="C305" s="15"/>
      <c r="D305" s="15"/>
      <c r="E305" s="15"/>
      <c r="G305" s="5" t="s">
        <v>125</v>
      </c>
    </row>
    <row r="306" customFormat="false" ht="12" hidden="false" customHeight="true" outlineLevel="0" collapsed="false">
      <c r="A306" s="5" t="s">
        <v>64</v>
      </c>
      <c r="F306" s="10" t="s">
        <v>0</v>
      </c>
      <c r="G306" s="10"/>
      <c r="H306" s="10"/>
      <c r="I306" s="10"/>
      <c r="J306" s="10" t="s">
        <v>1</v>
      </c>
      <c r="K306" s="10"/>
      <c r="L306" s="10"/>
      <c r="M306" s="10"/>
      <c r="N306" s="10" t="s">
        <v>2</v>
      </c>
      <c r="O306" s="10"/>
      <c r="P306" s="10"/>
      <c r="Q306" s="10"/>
      <c r="R306" s="10" t="s">
        <v>3</v>
      </c>
      <c r="S306" s="10"/>
      <c r="T306" s="10"/>
      <c r="U306" s="10"/>
      <c r="V306" s="10" t="s">
        <v>4</v>
      </c>
      <c r="W306" s="10"/>
      <c r="X306" s="10"/>
      <c r="Y306" s="10"/>
      <c r="Z306" s="10" t="s">
        <v>5</v>
      </c>
      <c r="AA306" s="10"/>
      <c r="AB306" s="10"/>
      <c r="AC306" s="10"/>
      <c r="AD306" s="10" t="s">
        <v>6</v>
      </c>
      <c r="AE306" s="10"/>
      <c r="AF306" s="10"/>
      <c r="AG306" s="10"/>
      <c r="AH306" s="10" t="s">
        <v>7</v>
      </c>
      <c r="AI306" s="10"/>
      <c r="AJ306" s="10"/>
      <c r="AK306" s="10"/>
      <c r="AL306" s="10" t="s">
        <v>8</v>
      </c>
      <c r="AM306" s="10"/>
      <c r="AN306" s="10"/>
      <c r="AO306" s="10"/>
      <c r="AP306" s="10" t="s">
        <v>9</v>
      </c>
      <c r="AQ306" s="10"/>
      <c r="AR306" s="10"/>
      <c r="AS306" s="10"/>
      <c r="AT306" s="10" t="s">
        <v>10</v>
      </c>
      <c r="AU306" s="10"/>
      <c r="AV306" s="10"/>
      <c r="AW306" s="10"/>
      <c r="AX306" s="10" t="s">
        <v>11</v>
      </c>
      <c r="AY306" s="10"/>
      <c r="AZ306" s="10"/>
      <c r="BA306" s="10"/>
    </row>
    <row r="307" customFormat="false" ht="21.75" hidden="false" customHeight="true" outlineLevel="0" collapsed="false">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row>
    <row r="308" customFormat="false" ht="12" hidden="false" customHeight="true" outlineLevel="0" collapsed="false">
      <c r="A308" s="5" t="s">
        <v>65</v>
      </c>
      <c r="H308" s="10" t="s">
        <v>66</v>
      </c>
      <c r="I308" s="10"/>
      <c r="J308" s="10"/>
      <c r="K308" s="10"/>
      <c r="L308" s="10" t="s">
        <v>67</v>
      </c>
      <c r="M308" s="10"/>
      <c r="N308" s="10"/>
      <c r="O308" s="10"/>
      <c r="P308" s="10" t="s">
        <v>68</v>
      </c>
      <c r="Q308" s="10"/>
      <c r="R308" s="10"/>
      <c r="S308" s="10"/>
      <c r="T308" s="10" t="s">
        <v>69</v>
      </c>
      <c r="U308" s="10"/>
      <c r="V308" s="10"/>
      <c r="W308" s="10"/>
      <c r="X308" s="10" t="s">
        <v>70</v>
      </c>
      <c r="Y308" s="10"/>
      <c r="Z308" s="10"/>
      <c r="AA308" s="10"/>
      <c r="AB308" s="10" t="s">
        <v>71</v>
      </c>
      <c r="AC308" s="10"/>
      <c r="AD308" s="10"/>
      <c r="AE308" s="10"/>
      <c r="AF308" s="10" t="s">
        <v>72</v>
      </c>
      <c r="AG308" s="10"/>
      <c r="AH308" s="10"/>
      <c r="AI308" s="10"/>
      <c r="AJ308" s="10" t="s">
        <v>73</v>
      </c>
      <c r="AK308" s="10"/>
      <c r="AL308" s="10"/>
      <c r="AM308" s="10"/>
      <c r="AN308" s="10" t="s">
        <v>74</v>
      </c>
      <c r="AO308" s="10"/>
      <c r="AP308" s="10"/>
      <c r="AQ308" s="10"/>
      <c r="AR308" s="10" t="s">
        <v>75</v>
      </c>
      <c r="AS308" s="10"/>
      <c r="AT308" s="10"/>
      <c r="AU308" s="10"/>
      <c r="AV308" s="10" t="s">
        <v>22</v>
      </c>
      <c r="AW308" s="10"/>
      <c r="AX308" s="10"/>
      <c r="AY308" s="10"/>
      <c r="AZ308" s="10" t="s">
        <v>23</v>
      </c>
      <c r="BA308" s="10"/>
      <c r="BB308" s="10"/>
      <c r="BC308" s="10"/>
    </row>
    <row r="309" customFormat="false" ht="21.75" hidden="false" customHeight="true" outlineLevel="0" collapsed="false">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row>
    <row r="310" customFormat="false" ht="12" hidden="false" customHeight="true" outlineLevel="0" collapsed="false">
      <c r="A310" s="5" t="s">
        <v>82</v>
      </c>
      <c r="I310" s="10" t="s">
        <v>83</v>
      </c>
      <c r="J310" s="10"/>
      <c r="K310" s="10"/>
      <c r="L310" s="10"/>
      <c r="M310" s="10" t="s">
        <v>84</v>
      </c>
      <c r="N310" s="10"/>
      <c r="O310" s="10"/>
      <c r="P310" s="10"/>
      <c r="Q310" s="10" t="s">
        <v>85</v>
      </c>
      <c r="R310" s="10"/>
      <c r="S310" s="10"/>
      <c r="T310" s="10"/>
      <c r="U310" s="10" t="s">
        <v>86</v>
      </c>
      <c r="V310" s="10"/>
      <c r="W310" s="10"/>
      <c r="X310" s="10"/>
      <c r="Y310" s="10" t="s">
        <v>87</v>
      </c>
      <c r="Z310" s="10"/>
      <c r="AA310" s="10"/>
      <c r="AB310" s="10"/>
      <c r="AC310" s="10" t="s">
        <v>88</v>
      </c>
      <c r="AD310" s="10"/>
      <c r="AE310" s="10"/>
      <c r="AF310" s="10"/>
      <c r="AG310" s="10" t="s">
        <v>89</v>
      </c>
      <c r="AH310" s="10"/>
      <c r="AI310" s="10"/>
      <c r="AJ310" s="10"/>
      <c r="AK310" s="10" t="s">
        <v>90</v>
      </c>
      <c r="AL310" s="10"/>
      <c r="AM310" s="10"/>
      <c r="AN310" s="10"/>
      <c r="AO310" s="10" t="s">
        <v>91</v>
      </c>
      <c r="AP310" s="10"/>
      <c r="AQ310" s="10"/>
      <c r="AR310" s="10"/>
      <c r="AS310" s="10" t="s">
        <v>33</v>
      </c>
      <c r="AT310" s="10"/>
      <c r="AU310" s="10"/>
      <c r="AV310" s="10"/>
      <c r="AW310" s="10" t="s">
        <v>34</v>
      </c>
      <c r="AX310" s="10"/>
      <c r="AY310" s="10"/>
      <c r="AZ310" s="10"/>
    </row>
    <row r="311" customFormat="false" ht="21.75" hidden="false" customHeight="true" outlineLevel="0" collapsed="false">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row>
    <row r="312" customFormat="false" ht="12" hidden="false" customHeight="true" outlineLevel="0" collapsed="false">
      <c r="A312" s="5" t="s">
        <v>102</v>
      </c>
      <c r="K312" s="10" t="s">
        <v>103</v>
      </c>
      <c r="L312" s="10"/>
      <c r="M312" s="10"/>
      <c r="N312" s="10"/>
      <c r="O312" s="10" t="s">
        <v>104</v>
      </c>
      <c r="P312" s="10"/>
      <c r="Q312" s="10"/>
      <c r="R312" s="10"/>
      <c r="S312" s="10" t="s">
        <v>105</v>
      </c>
      <c r="T312" s="10"/>
      <c r="U312" s="10"/>
      <c r="V312" s="10"/>
      <c r="W312" s="10" t="s">
        <v>106</v>
      </c>
      <c r="X312" s="10"/>
      <c r="Y312" s="10"/>
      <c r="Z312" s="10"/>
      <c r="AA312" s="10" t="s">
        <v>107</v>
      </c>
      <c r="AB312" s="10"/>
      <c r="AC312" s="10"/>
      <c r="AD312" s="10"/>
      <c r="AE312" s="10" t="s">
        <v>108</v>
      </c>
      <c r="AF312" s="10"/>
      <c r="AG312" s="10"/>
      <c r="AH312" s="10"/>
      <c r="AI312" s="10" t="s">
        <v>109</v>
      </c>
      <c r="AJ312" s="10"/>
      <c r="AK312" s="10"/>
      <c r="AL312" s="10"/>
      <c r="AM312" s="10" t="s">
        <v>42</v>
      </c>
      <c r="AN312" s="10"/>
      <c r="AO312" s="10"/>
      <c r="AP312" s="10"/>
      <c r="AQ312" s="10" t="s">
        <v>43</v>
      </c>
      <c r="AR312" s="10"/>
      <c r="AS312" s="10"/>
      <c r="AT312" s="10"/>
      <c r="AU312" s="10" t="s">
        <v>44</v>
      </c>
      <c r="AV312" s="10"/>
      <c r="AW312" s="10"/>
      <c r="AX312" s="10"/>
    </row>
    <row r="313" customFormat="false" ht="21.75" hidden="false" customHeight="true" outlineLevel="0" collapsed="false">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customFormat="false" ht="12" hidden="false" customHeight="true" outlineLevel="0" collapsed="false">
      <c r="A314" s="5" t="s">
        <v>120</v>
      </c>
      <c r="P314" s="10" t="s">
        <v>48</v>
      </c>
      <c r="Q314" s="10"/>
      <c r="R314" s="10"/>
      <c r="S314" s="10"/>
      <c r="T314" s="10" t="s">
        <v>50</v>
      </c>
      <c r="U314" s="10"/>
      <c r="V314" s="10"/>
      <c r="W314" s="10"/>
      <c r="X314" s="10"/>
      <c r="Y314" s="10"/>
      <c r="Z314" s="10"/>
      <c r="AA314" s="10"/>
      <c r="AB314" s="10"/>
      <c r="AC314" s="10"/>
      <c r="AD314" s="10"/>
      <c r="AE314" s="10"/>
      <c r="AF314" s="10"/>
      <c r="AG314" s="10"/>
      <c r="AH314" s="10"/>
      <c r="AI314" s="10"/>
      <c r="AJ314" s="10"/>
      <c r="AK314" s="10"/>
      <c r="AL314" s="10" t="s">
        <v>45</v>
      </c>
      <c r="AM314" s="10"/>
      <c r="AN314" s="10"/>
      <c r="AO314" s="10"/>
      <c r="AP314" s="10" t="s">
        <v>46</v>
      </c>
      <c r="AQ314" s="10"/>
      <c r="AR314" s="10"/>
      <c r="AS314" s="10"/>
    </row>
    <row r="315" customFormat="false" ht="21.75" hidden="false" customHeight="true" outlineLevel="0" collapsed="false">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row>
    <row r="317" customFormat="false" ht="18.75" hidden="false" customHeight="true" outlineLevel="0" collapsed="false">
      <c r="A317" s="14" t="s">
        <v>228</v>
      </c>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row>
    <row r="318" customFormat="false" ht="15" hidden="false" customHeight="true" outlineLevel="0" collapsed="false">
      <c r="A318" s="8" t="s">
        <v>124</v>
      </c>
      <c r="B318" s="15"/>
      <c r="C318" s="15"/>
      <c r="D318" s="15"/>
      <c r="E318" s="15"/>
      <c r="G318" s="5" t="s">
        <v>125</v>
      </c>
    </row>
    <row r="319" customFormat="false" ht="12" hidden="false" customHeight="true" outlineLevel="0" collapsed="false">
      <c r="A319" s="5" t="s">
        <v>64</v>
      </c>
      <c r="F319" s="10" t="s">
        <v>0</v>
      </c>
      <c r="G319" s="10"/>
      <c r="H319" s="10"/>
      <c r="I319" s="10"/>
      <c r="J319" s="10" t="s">
        <v>1</v>
      </c>
      <c r="K319" s="10"/>
      <c r="L319" s="10"/>
      <c r="M319" s="10"/>
      <c r="N319" s="10" t="s">
        <v>2</v>
      </c>
      <c r="O319" s="10"/>
      <c r="P319" s="10"/>
      <c r="Q319" s="10"/>
      <c r="R319" s="10" t="s">
        <v>3</v>
      </c>
      <c r="S319" s="10"/>
      <c r="T319" s="10"/>
      <c r="U319" s="10"/>
      <c r="V319" s="10" t="s">
        <v>4</v>
      </c>
      <c r="W319" s="10"/>
      <c r="X319" s="10"/>
      <c r="Y319" s="10"/>
      <c r="Z319" s="10" t="s">
        <v>5</v>
      </c>
      <c r="AA319" s="10"/>
      <c r="AB319" s="10"/>
      <c r="AC319" s="10"/>
      <c r="AD319" s="10" t="s">
        <v>6</v>
      </c>
      <c r="AE319" s="10"/>
      <c r="AF319" s="10"/>
      <c r="AG319" s="10"/>
      <c r="AH319" s="10" t="s">
        <v>7</v>
      </c>
      <c r="AI319" s="10"/>
      <c r="AJ319" s="10"/>
      <c r="AK319" s="10"/>
      <c r="AL319" s="10" t="s">
        <v>8</v>
      </c>
      <c r="AM319" s="10"/>
      <c r="AN319" s="10"/>
      <c r="AO319" s="10"/>
      <c r="AP319" s="10" t="s">
        <v>9</v>
      </c>
      <c r="AQ319" s="10"/>
      <c r="AR319" s="10"/>
      <c r="AS319" s="10"/>
      <c r="AT319" s="10" t="s">
        <v>10</v>
      </c>
      <c r="AU319" s="10"/>
      <c r="AV319" s="10"/>
      <c r="AW319" s="10"/>
      <c r="AX319" s="10" t="s">
        <v>11</v>
      </c>
      <c r="AY319" s="10"/>
      <c r="AZ319" s="10"/>
      <c r="BA319" s="10"/>
    </row>
    <row r="320" customFormat="false" ht="21.75" hidden="false" customHeight="true" outlineLevel="0" collapsed="false">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row>
    <row r="321" customFormat="false" ht="12" hidden="false" customHeight="true" outlineLevel="0" collapsed="false">
      <c r="A321" s="5" t="s">
        <v>65</v>
      </c>
      <c r="H321" s="10" t="s">
        <v>66</v>
      </c>
      <c r="I321" s="10"/>
      <c r="J321" s="10"/>
      <c r="K321" s="10"/>
      <c r="L321" s="10" t="s">
        <v>67</v>
      </c>
      <c r="M321" s="10"/>
      <c r="N321" s="10"/>
      <c r="O321" s="10"/>
      <c r="P321" s="10" t="s">
        <v>68</v>
      </c>
      <c r="Q321" s="10"/>
      <c r="R321" s="10"/>
      <c r="S321" s="10"/>
      <c r="T321" s="10" t="s">
        <v>69</v>
      </c>
      <c r="U321" s="10"/>
      <c r="V321" s="10"/>
      <c r="W321" s="10"/>
      <c r="X321" s="10" t="s">
        <v>70</v>
      </c>
      <c r="Y321" s="10"/>
      <c r="Z321" s="10"/>
      <c r="AA321" s="10"/>
      <c r="AB321" s="10" t="s">
        <v>71</v>
      </c>
      <c r="AC321" s="10"/>
      <c r="AD321" s="10"/>
      <c r="AE321" s="10"/>
      <c r="AF321" s="10" t="s">
        <v>72</v>
      </c>
      <c r="AG321" s="10"/>
      <c r="AH321" s="10"/>
      <c r="AI321" s="10"/>
      <c r="AJ321" s="10" t="s">
        <v>73</v>
      </c>
      <c r="AK321" s="10"/>
      <c r="AL321" s="10"/>
      <c r="AM321" s="10"/>
      <c r="AN321" s="10" t="s">
        <v>74</v>
      </c>
      <c r="AO321" s="10"/>
      <c r="AP321" s="10"/>
      <c r="AQ321" s="10"/>
      <c r="AR321" s="10" t="s">
        <v>75</v>
      </c>
      <c r="AS321" s="10"/>
      <c r="AT321" s="10"/>
      <c r="AU321" s="10"/>
      <c r="AV321" s="10" t="s">
        <v>22</v>
      </c>
      <c r="AW321" s="10"/>
      <c r="AX321" s="10"/>
      <c r="AY321" s="10"/>
      <c r="AZ321" s="10" t="s">
        <v>23</v>
      </c>
      <c r="BA321" s="10"/>
      <c r="BB321" s="10"/>
      <c r="BC321" s="10"/>
    </row>
    <row r="322" customFormat="false" ht="21.75" hidden="false" customHeight="true" outlineLevel="0" collapsed="false">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row>
    <row r="323" customFormat="false" ht="12" hidden="false" customHeight="true" outlineLevel="0" collapsed="false">
      <c r="A323" s="5" t="s">
        <v>82</v>
      </c>
      <c r="I323" s="10" t="s">
        <v>83</v>
      </c>
      <c r="J323" s="10"/>
      <c r="K323" s="10"/>
      <c r="L323" s="10"/>
      <c r="M323" s="10" t="s">
        <v>84</v>
      </c>
      <c r="N323" s="10"/>
      <c r="O323" s="10"/>
      <c r="P323" s="10"/>
      <c r="Q323" s="10" t="s">
        <v>85</v>
      </c>
      <c r="R323" s="10"/>
      <c r="S323" s="10"/>
      <c r="T323" s="10"/>
      <c r="U323" s="10" t="s">
        <v>86</v>
      </c>
      <c r="V323" s="10"/>
      <c r="W323" s="10"/>
      <c r="X323" s="10"/>
      <c r="Y323" s="10" t="s">
        <v>87</v>
      </c>
      <c r="Z323" s="10"/>
      <c r="AA323" s="10"/>
      <c r="AB323" s="10"/>
      <c r="AC323" s="10" t="s">
        <v>88</v>
      </c>
      <c r="AD323" s="10"/>
      <c r="AE323" s="10"/>
      <c r="AF323" s="10"/>
      <c r="AG323" s="10" t="s">
        <v>89</v>
      </c>
      <c r="AH323" s="10"/>
      <c r="AI323" s="10"/>
      <c r="AJ323" s="10"/>
      <c r="AK323" s="10" t="s">
        <v>90</v>
      </c>
      <c r="AL323" s="10"/>
      <c r="AM323" s="10"/>
      <c r="AN323" s="10"/>
      <c r="AO323" s="10" t="s">
        <v>91</v>
      </c>
      <c r="AP323" s="10"/>
      <c r="AQ323" s="10"/>
      <c r="AR323" s="10"/>
      <c r="AS323" s="10" t="s">
        <v>33</v>
      </c>
      <c r="AT323" s="10"/>
      <c r="AU323" s="10"/>
      <c r="AV323" s="10"/>
      <c r="AW323" s="10" t="s">
        <v>34</v>
      </c>
      <c r="AX323" s="10"/>
      <c r="AY323" s="10"/>
      <c r="AZ323" s="10"/>
    </row>
    <row r="324" customFormat="false" ht="21.75" hidden="false" customHeight="true" outlineLevel="0" collapsed="false">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row>
    <row r="325" customFormat="false" ht="12" hidden="false" customHeight="true" outlineLevel="0" collapsed="false">
      <c r="A325" s="5" t="s">
        <v>102</v>
      </c>
      <c r="K325" s="10" t="s">
        <v>103</v>
      </c>
      <c r="L325" s="10"/>
      <c r="M325" s="10"/>
      <c r="N325" s="10"/>
      <c r="O325" s="10" t="s">
        <v>104</v>
      </c>
      <c r="P325" s="10"/>
      <c r="Q325" s="10"/>
      <c r="R325" s="10"/>
      <c r="S325" s="10" t="s">
        <v>105</v>
      </c>
      <c r="T325" s="10"/>
      <c r="U325" s="10"/>
      <c r="V325" s="10"/>
      <c r="W325" s="10" t="s">
        <v>106</v>
      </c>
      <c r="X325" s="10"/>
      <c r="Y325" s="10"/>
      <c r="Z325" s="10"/>
      <c r="AA325" s="10" t="s">
        <v>107</v>
      </c>
      <c r="AB325" s="10"/>
      <c r="AC325" s="10"/>
      <c r="AD325" s="10"/>
      <c r="AE325" s="10" t="s">
        <v>108</v>
      </c>
      <c r="AF325" s="10"/>
      <c r="AG325" s="10"/>
      <c r="AH325" s="10"/>
      <c r="AI325" s="10" t="s">
        <v>109</v>
      </c>
      <c r="AJ325" s="10"/>
      <c r="AK325" s="10"/>
      <c r="AL325" s="10"/>
      <c r="AM325" s="10" t="s">
        <v>42</v>
      </c>
      <c r="AN325" s="10"/>
      <c r="AO325" s="10"/>
      <c r="AP325" s="10"/>
      <c r="AQ325" s="10" t="s">
        <v>43</v>
      </c>
      <c r="AR325" s="10"/>
      <c r="AS325" s="10"/>
      <c r="AT325" s="10"/>
      <c r="AU325" s="10" t="s">
        <v>44</v>
      </c>
      <c r="AV325" s="10"/>
      <c r="AW325" s="10"/>
      <c r="AX325" s="10"/>
    </row>
    <row r="326" customFormat="false" ht="21.75" hidden="false" customHeight="true" outlineLevel="0" collapsed="false">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customFormat="false" ht="12" hidden="false" customHeight="true" outlineLevel="0" collapsed="false">
      <c r="A327" s="5" t="s">
        <v>120</v>
      </c>
      <c r="P327" s="10" t="s">
        <v>48</v>
      </c>
      <c r="Q327" s="10"/>
      <c r="R327" s="10"/>
      <c r="S327" s="10"/>
      <c r="T327" s="10" t="s">
        <v>50</v>
      </c>
      <c r="U327" s="10"/>
      <c r="V327" s="10"/>
      <c r="W327" s="10"/>
      <c r="X327" s="10"/>
      <c r="Y327" s="10"/>
      <c r="Z327" s="10"/>
      <c r="AA327" s="10"/>
      <c r="AB327" s="10"/>
      <c r="AC327" s="10"/>
      <c r="AD327" s="10"/>
      <c r="AE327" s="10"/>
      <c r="AF327" s="10"/>
      <c r="AG327" s="10"/>
      <c r="AH327" s="10"/>
      <c r="AI327" s="10"/>
      <c r="AJ327" s="10"/>
      <c r="AK327" s="10"/>
      <c r="AL327" s="10" t="s">
        <v>45</v>
      </c>
      <c r="AM327" s="10"/>
      <c r="AN327" s="10"/>
      <c r="AO327" s="10"/>
      <c r="AP327" s="10" t="s">
        <v>46</v>
      </c>
      <c r="AQ327" s="10"/>
      <c r="AR327" s="10"/>
      <c r="AS327" s="10"/>
    </row>
    <row r="328" customFormat="false" ht="21.75" hidden="false" customHeight="true" outlineLevel="0" collapsed="false">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row>
    <row r="330" customFormat="false" ht="18.75" hidden="false" customHeight="true" outlineLevel="0" collapsed="false">
      <c r="A330" s="14" t="s">
        <v>229</v>
      </c>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row>
    <row r="331" customFormat="false" ht="15" hidden="false" customHeight="true" outlineLevel="0" collapsed="false">
      <c r="A331" s="8" t="s">
        <v>124</v>
      </c>
      <c r="B331" s="15"/>
      <c r="C331" s="15"/>
      <c r="D331" s="15"/>
      <c r="E331" s="15"/>
      <c r="G331" s="5" t="s">
        <v>125</v>
      </c>
    </row>
    <row r="332" customFormat="false" ht="12" hidden="false" customHeight="true" outlineLevel="0" collapsed="false">
      <c r="A332" s="5" t="s">
        <v>64</v>
      </c>
      <c r="F332" s="10" t="s">
        <v>0</v>
      </c>
      <c r="G332" s="10"/>
      <c r="H332" s="10"/>
      <c r="I332" s="10"/>
      <c r="J332" s="10" t="s">
        <v>1</v>
      </c>
      <c r="K332" s="10"/>
      <c r="L332" s="10"/>
      <c r="M332" s="10"/>
      <c r="N332" s="10" t="s">
        <v>2</v>
      </c>
      <c r="O332" s="10"/>
      <c r="P332" s="10"/>
      <c r="Q332" s="10"/>
      <c r="R332" s="10" t="s">
        <v>3</v>
      </c>
      <c r="S332" s="10"/>
      <c r="T332" s="10"/>
      <c r="U332" s="10"/>
      <c r="V332" s="10" t="s">
        <v>4</v>
      </c>
      <c r="W332" s="10"/>
      <c r="X332" s="10"/>
      <c r="Y332" s="10"/>
      <c r="Z332" s="10" t="s">
        <v>5</v>
      </c>
      <c r="AA332" s="10"/>
      <c r="AB332" s="10"/>
      <c r="AC332" s="10"/>
      <c r="AD332" s="10" t="s">
        <v>6</v>
      </c>
      <c r="AE332" s="10"/>
      <c r="AF332" s="10"/>
      <c r="AG332" s="10"/>
      <c r="AH332" s="10" t="s">
        <v>7</v>
      </c>
      <c r="AI332" s="10"/>
      <c r="AJ332" s="10"/>
      <c r="AK332" s="10"/>
      <c r="AL332" s="10" t="s">
        <v>8</v>
      </c>
      <c r="AM332" s="10"/>
      <c r="AN332" s="10"/>
      <c r="AO332" s="10"/>
      <c r="AP332" s="10" t="s">
        <v>9</v>
      </c>
      <c r="AQ332" s="10"/>
      <c r="AR332" s="10"/>
      <c r="AS332" s="10"/>
      <c r="AT332" s="10" t="s">
        <v>10</v>
      </c>
      <c r="AU332" s="10"/>
      <c r="AV332" s="10"/>
      <c r="AW332" s="10"/>
      <c r="AX332" s="10" t="s">
        <v>11</v>
      </c>
      <c r="AY332" s="10"/>
      <c r="AZ332" s="10"/>
      <c r="BA332" s="10"/>
    </row>
    <row r="333" customFormat="false" ht="21.75" hidden="false" customHeight="true" outlineLevel="0" collapsed="false">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row>
    <row r="334" customFormat="false" ht="12" hidden="false" customHeight="true" outlineLevel="0" collapsed="false">
      <c r="A334" s="5" t="s">
        <v>65</v>
      </c>
      <c r="H334" s="10" t="s">
        <v>66</v>
      </c>
      <c r="I334" s="10"/>
      <c r="J334" s="10"/>
      <c r="K334" s="10"/>
      <c r="L334" s="10" t="s">
        <v>67</v>
      </c>
      <c r="M334" s="10"/>
      <c r="N334" s="10"/>
      <c r="O334" s="10"/>
      <c r="P334" s="10" t="s">
        <v>68</v>
      </c>
      <c r="Q334" s="10"/>
      <c r="R334" s="10"/>
      <c r="S334" s="10"/>
      <c r="T334" s="10" t="s">
        <v>69</v>
      </c>
      <c r="U334" s="10"/>
      <c r="V334" s="10"/>
      <c r="W334" s="10"/>
      <c r="X334" s="10" t="s">
        <v>70</v>
      </c>
      <c r="Y334" s="10"/>
      <c r="Z334" s="10"/>
      <c r="AA334" s="10"/>
      <c r="AB334" s="10" t="s">
        <v>71</v>
      </c>
      <c r="AC334" s="10"/>
      <c r="AD334" s="10"/>
      <c r="AE334" s="10"/>
      <c r="AF334" s="10" t="s">
        <v>72</v>
      </c>
      <c r="AG334" s="10"/>
      <c r="AH334" s="10"/>
      <c r="AI334" s="10"/>
      <c r="AJ334" s="10" t="s">
        <v>73</v>
      </c>
      <c r="AK334" s="10"/>
      <c r="AL334" s="10"/>
      <c r="AM334" s="10"/>
      <c r="AN334" s="10" t="s">
        <v>74</v>
      </c>
      <c r="AO334" s="10"/>
      <c r="AP334" s="10"/>
      <c r="AQ334" s="10"/>
      <c r="AR334" s="10" t="s">
        <v>75</v>
      </c>
      <c r="AS334" s="10"/>
      <c r="AT334" s="10"/>
      <c r="AU334" s="10"/>
      <c r="AV334" s="10" t="s">
        <v>22</v>
      </c>
      <c r="AW334" s="10"/>
      <c r="AX334" s="10"/>
      <c r="AY334" s="10"/>
      <c r="AZ334" s="10" t="s">
        <v>23</v>
      </c>
      <c r="BA334" s="10"/>
      <c r="BB334" s="10"/>
      <c r="BC334" s="10"/>
    </row>
    <row r="335" customFormat="false" ht="21.75" hidden="false" customHeight="true" outlineLevel="0" collapsed="false">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row>
    <row r="336" customFormat="false" ht="12" hidden="false" customHeight="true" outlineLevel="0" collapsed="false">
      <c r="A336" s="5" t="s">
        <v>82</v>
      </c>
      <c r="I336" s="10" t="s">
        <v>83</v>
      </c>
      <c r="J336" s="10"/>
      <c r="K336" s="10"/>
      <c r="L336" s="10"/>
      <c r="M336" s="10" t="s">
        <v>84</v>
      </c>
      <c r="N336" s="10"/>
      <c r="O336" s="10"/>
      <c r="P336" s="10"/>
      <c r="Q336" s="10" t="s">
        <v>85</v>
      </c>
      <c r="R336" s="10"/>
      <c r="S336" s="10"/>
      <c r="T336" s="10"/>
      <c r="U336" s="10" t="s">
        <v>86</v>
      </c>
      <c r="V336" s="10"/>
      <c r="W336" s="10"/>
      <c r="X336" s="10"/>
      <c r="Y336" s="10" t="s">
        <v>87</v>
      </c>
      <c r="Z336" s="10"/>
      <c r="AA336" s="10"/>
      <c r="AB336" s="10"/>
      <c r="AC336" s="10" t="s">
        <v>88</v>
      </c>
      <c r="AD336" s="10"/>
      <c r="AE336" s="10"/>
      <c r="AF336" s="10"/>
      <c r="AG336" s="10" t="s">
        <v>89</v>
      </c>
      <c r="AH336" s="10"/>
      <c r="AI336" s="10"/>
      <c r="AJ336" s="10"/>
      <c r="AK336" s="10" t="s">
        <v>90</v>
      </c>
      <c r="AL336" s="10"/>
      <c r="AM336" s="10"/>
      <c r="AN336" s="10"/>
      <c r="AO336" s="10" t="s">
        <v>91</v>
      </c>
      <c r="AP336" s="10"/>
      <c r="AQ336" s="10"/>
      <c r="AR336" s="10"/>
      <c r="AS336" s="10" t="s">
        <v>33</v>
      </c>
      <c r="AT336" s="10"/>
      <c r="AU336" s="10"/>
      <c r="AV336" s="10"/>
      <c r="AW336" s="10" t="s">
        <v>34</v>
      </c>
      <c r="AX336" s="10"/>
      <c r="AY336" s="10"/>
      <c r="AZ336" s="10"/>
    </row>
    <row r="337" customFormat="false" ht="21.75" hidden="false" customHeight="true" outlineLevel="0" collapsed="false">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row>
    <row r="338" customFormat="false" ht="12" hidden="false" customHeight="true" outlineLevel="0" collapsed="false">
      <c r="A338" s="5" t="s">
        <v>102</v>
      </c>
      <c r="K338" s="10" t="s">
        <v>103</v>
      </c>
      <c r="L338" s="10"/>
      <c r="M338" s="10"/>
      <c r="N338" s="10"/>
      <c r="O338" s="10" t="s">
        <v>104</v>
      </c>
      <c r="P338" s="10"/>
      <c r="Q338" s="10"/>
      <c r="R338" s="10"/>
      <c r="S338" s="10" t="s">
        <v>105</v>
      </c>
      <c r="T338" s="10"/>
      <c r="U338" s="10"/>
      <c r="V338" s="10"/>
      <c r="W338" s="10" t="s">
        <v>106</v>
      </c>
      <c r="X338" s="10"/>
      <c r="Y338" s="10"/>
      <c r="Z338" s="10"/>
      <c r="AA338" s="10" t="s">
        <v>107</v>
      </c>
      <c r="AB338" s="10"/>
      <c r="AC338" s="10"/>
      <c r="AD338" s="10"/>
      <c r="AE338" s="10" t="s">
        <v>108</v>
      </c>
      <c r="AF338" s="10"/>
      <c r="AG338" s="10"/>
      <c r="AH338" s="10"/>
      <c r="AI338" s="10" t="s">
        <v>109</v>
      </c>
      <c r="AJ338" s="10"/>
      <c r="AK338" s="10"/>
      <c r="AL338" s="10"/>
      <c r="AM338" s="10" t="s">
        <v>42</v>
      </c>
      <c r="AN338" s="10"/>
      <c r="AO338" s="10"/>
      <c r="AP338" s="10"/>
      <c r="AQ338" s="10" t="s">
        <v>43</v>
      </c>
      <c r="AR338" s="10"/>
      <c r="AS338" s="10"/>
      <c r="AT338" s="10"/>
      <c r="AU338" s="10" t="s">
        <v>44</v>
      </c>
      <c r="AV338" s="10"/>
      <c r="AW338" s="10"/>
      <c r="AX338" s="10"/>
    </row>
    <row r="339" customFormat="false" ht="21.75" hidden="false" customHeight="true" outlineLevel="0" collapsed="false">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customFormat="false" ht="12" hidden="false" customHeight="true" outlineLevel="0" collapsed="false">
      <c r="A340" s="5" t="s">
        <v>120</v>
      </c>
      <c r="P340" s="10" t="s">
        <v>48</v>
      </c>
      <c r="Q340" s="10"/>
      <c r="R340" s="10"/>
      <c r="S340" s="10"/>
      <c r="T340" s="10" t="s">
        <v>50</v>
      </c>
      <c r="U340" s="10"/>
      <c r="V340" s="10"/>
      <c r="W340" s="10"/>
      <c r="X340" s="10"/>
      <c r="Y340" s="10"/>
      <c r="Z340" s="10"/>
      <c r="AA340" s="10"/>
      <c r="AB340" s="10"/>
      <c r="AC340" s="10"/>
      <c r="AD340" s="10"/>
      <c r="AE340" s="10"/>
      <c r="AF340" s="10"/>
      <c r="AG340" s="10"/>
      <c r="AH340" s="10"/>
      <c r="AI340" s="10"/>
      <c r="AJ340" s="10"/>
      <c r="AK340" s="10"/>
      <c r="AL340" s="10" t="s">
        <v>45</v>
      </c>
      <c r="AM340" s="10"/>
      <c r="AN340" s="10"/>
      <c r="AO340" s="10"/>
      <c r="AP340" s="10" t="s">
        <v>46</v>
      </c>
      <c r="AQ340" s="10"/>
      <c r="AR340" s="10"/>
      <c r="AS340" s="10"/>
    </row>
    <row r="341" customFormat="false" ht="21.75" hidden="false" customHeight="true" outlineLevel="0" collapsed="false">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row>
    <row r="343" customFormat="false" ht="18.75" hidden="false" customHeight="true" outlineLevel="0" collapsed="false">
      <c r="A343" s="14" t="s">
        <v>230</v>
      </c>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row>
    <row r="344" customFormat="false" ht="15" hidden="false" customHeight="true" outlineLevel="0" collapsed="false">
      <c r="A344" s="8" t="s">
        <v>124</v>
      </c>
      <c r="B344" s="15"/>
      <c r="C344" s="15"/>
      <c r="D344" s="15"/>
      <c r="E344" s="15"/>
      <c r="G344" s="5" t="s">
        <v>125</v>
      </c>
    </row>
    <row r="345" customFormat="false" ht="12" hidden="false" customHeight="true" outlineLevel="0" collapsed="false">
      <c r="A345" s="5" t="s">
        <v>64</v>
      </c>
      <c r="F345" s="10" t="s">
        <v>0</v>
      </c>
      <c r="G345" s="10"/>
      <c r="H345" s="10"/>
      <c r="I345" s="10"/>
      <c r="J345" s="10" t="s">
        <v>1</v>
      </c>
      <c r="K345" s="10"/>
      <c r="L345" s="10"/>
      <c r="M345" s="10"/>
      <c r="N345" s="10" t="s">
        <v>2</v>
      </c>
      <c r="O345" s="10"/>
      <c r="P345" s="10"/>
      <c r="Q345" s="10"/>
      <c r="R345" s="10" t="s">
        <v>3</v>
      </c>
      <c r="S345" s="10"/>
      <c r="T345" s="10"/>
      <c r="U345" s="10"/>
      <c r="V345" s="10" t="s">
        <v>4</v>
      </c>
      <c r="W345" s="10"/>
      <c r="X345" s="10"/>
      <c r="Y345" s="10"/>
      <c r="Z345" s="10" t="s">
        <v>5</v>
      </c>
      <c r="AA345" s="10"/>
      <c r="AB345" s="10"/>
      <c r="AC345" s="10"/>
      <c r="AD345" s="10" t="s">
        <v>6</v>
      </c>
      <c r="AE345" s="10"/>
      <c r="AF345" s="10"/>
      <c r="AG345" s="10"/>
      <c r="AH345" s="10" t="s">
        <v>7</v>
      </c>
      <c r="AI345" s="10"/>
      <c r="AJ345" s="10"/>
      <c r="AK345" s="10"/>
      <c r="AL345" s="10" t="s">
        <v>8</v>
      </c>
      <c r="AM345" s="10"/>
      <c r="AN345" s="10"/>
      <c r="AO345" s="10"/>
      <c r="AP345" s="10" t="s">
        <v>9</v>
      </c>
      <c r="AQ345" s="10"/>
      <c r="AR345" s="10"/>
      <c r="AS345" s="10"/>
      <c r="AT345" s="10" t="s">
        <v>10</v>
      </c>
      <c r="AU345" s="10"/>
      <c r="AV345" s="10"/>
      <c r="AW345" s="10"/>
      <c r="AX345" s="10" t="s">
        <v>11</v>
      </c>
      <c r="AY345" s="10"/>
      <c r="AZ345" s="10"/>
      <c r="BA345" s="10"/>
    </row>
    <row r="346" customFormat="false" ht="21.75" hidden="false" customHeight="true" outlineLevel="0" collapsed="false">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row>
    <row r="347" customFormat="false" ht="12" hidden="false" customHeight="true" outlineLevel="0" collapsed="false">
      <c r="A347" s="5" t="s">
        <v>65</v>
      </c>
      <c r="H347" s="10" t="s">
        <v>66</v>
      </c>
      <c r="I347" s="10"/>
      <c r="J347" s="10"/>
      <c r="K347" s="10"/>
      <c r="L347" s="10" t="s">
        <v>67</v>
      </c>
      <c r="M347" s="10"/>
      <c r="N347" s="10"/>
      <c r="O347" s="10"/>
      <c r="P347" s="10" t="s">
        <v>68</v>
      </c>
      <c r="Q347" s="10"/>
      <c r="R347" s="10"/>
      <c r="S347" s="10"/>
      <c r="T347" s="10" t="s">
        <v>69</v>
      </c>
      <c r="U347" s="10"/>
      <c r="V347" s="10"/>
      <c r="W347" s="10"/>
      <c r="X347" s="10" t="s">
        <v>70</v>
      </c>
      <c r="Y347" s="10"/>
      <c r="Z347" s="10"/>
      <c r="AA347" s="10"/>
      <c r="AB347" s="10" t="s">
        <v>71</v>
      </c>
      <c r="AC347" s="10"/>
      <c r="AD347" s="10"/>
      <c r="AE347" s="10"/>
      <c r="AF347" s="10" t="s">
        <v>72</v>
      </c>
      <c r="AG347" s="10"/>
      <c r="AH347" s="10"/>
      <c r="AI347" s="10"/>
      <c r="AJ347" s="10" t="s">
        <v>73</v>
      </c>
      <c r="AK347" s="10"/>
      <c r="AL347" s="10"/>
      <c r="AM347" s="10"/>
      <c r="AN347" s="10" t="s">
        <v>74</v>
      </c>
      <c r="AO347" s="10"/>
      <c r="AP347" s="10"/>
      <c r="AQ347" s="10"/>
      <c r="AR347" s="10" t="s">
        <v>75</v>
      </c>
      <c r="AS347" s="10"/>
      <c r="AT347" s="10"/>
      <c r="AU347" s="10"/>
      <c r="AV347" s="10" t="s">
        <v>22</v>
      </c>
      <c r="AW347" s="10"/>
      <c r="AX347" s="10"/>
      <c r="AY347" s="10"/>
      <c r="AZ347" s="10" t="s">
        <v>23</v>
      </c>
      <c r="BA347" s="10"/>
      <c r="BB347" s="10"/>
      <c r="BC347" s="10"/>
    </row>
    <row r="348" customFormat="false" ht="21.75" hidden="false" customHeight="true" outlineLevel="0" collapsed="false">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row>
    <row r="349" customFormat="false" ht="12" hidden="false" customHeight="true" outlineLevel="0" collapsed="false">
      <c r="A349" s="5" t="s">
        <v>82</v>
      </c>
      <c r="I349" s="10" t="s">
        <v>83</v>
      </c>
      <c r="J349" s="10"/>
      <c r="K349" s="10"/>
      <c r="L349" s="10"/>
      <c r="M349" s="10" t="s">
        <v>84</v>
      </c>
      <c r="N349" s="10"/>
      <c r="O349" s="10"/>
      <c r="P349" s="10"/>
      <c r="Q349" s="10" t="s">
        <v>85</v>
      </c>
      <c r="R349" s="10"/>
      <c r="S349" s="10"/>
      <c r="T349" s="10"/>
      <c r="U349" s="10" t="s">
        <v>86</v>
      </c>
      <c r="V349" s="10"/>
      <c r="W349" s="10"/>
      <c r="X349" s="10"/>
      <c r="Y349" s="10" t="s">
        <v>87</v>
      </c>
      <c r="Z349" s="10"/>
      <c r="AA349" s="10"/>
      <c r="AB349" s="10"/>
      <c r="AC349" s="10" t="s">
        <v>88</v>
      </c>
      <c r="AD349" s="10"/>
      <c r="AE349" s="10"/>
      <c r="AF349" s="10"/>
      <c r="AG349" s="10" t="s">
        <v>89</v>
      </c>
      <c r="AH349" s="10"/>
      <c r="AI349" s="10"/>
      <c r="AJ349" s="10"/>
      <c r="AK349" s="10" t="s">
        <v>90</v>
      </c>
      <c r="AL349" s="10"/>
      <c r="AM349" s="10"/>
      <c r="AN349" s="10"/>
      <c r="AO349" s="10" t="s">
        <v>91</v>
      </c>
      <c r="AP349" s="10"/>
      <c r="AQ349" s="10"/>
      <c r="AR349" s="10"/>
      <c r="AS349" s="10" t="s">
        <v>33</v>
      </c>
      <c r="AT349" s="10"/>
      <c r="AU349" s="10"/>
      <c r="AV349" s="10"/>
      <c r="AW349" s="10" t="s">
        <v>34</v>
      </c>
      <c r="AX349" s="10"/>
      <c r="AY349" s="10"/>
      <c r="AZ349" s="10"/>
    </row>
    <row r="350" customFormat="false" ht="21.75" hidden="false" customHeight="true" outlineLevel="0" collapsed="false">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row>
    <row r="351" customFormat="false" ht="12" hidden="false" customHeight="true" outlineLevel="0" collapsed="false">
      <c r="A351" s="5" t="s">
        <v>102</v>
      </c>
      <c r="K351" s="10" t="s">
        <v>103</v>
      </c>
      <c r="L351" s="10"/>
      <c r="M351" s="10"/>
      <c r="N351" s="10"/>
      <c r="O351" s="10" t="s">
        <v>104</v>
      </c>
      <c r="P351" s="10"/>
      <c r="Q351" s="10"/>
      <c r="R351" s="10"/>
      <c r="S351" s="10" t="s">
        <v>105</v>
      </c>
      <c r="T351" s="10"/>
      <c r="U351" s="10"/>
      <c r="V351" s="10"/>
      <c r="W351" s="10" t="s">
        <v>106</v>
      </c>
      <c r="X351" s="10"/>
      <c r="Y351" s="10"/>
      <c r="Z351" s="10"/>
      <c r="AA351" s="10" t="s">
        <v>107</v>
      </c>
      <c r="AB351" s="10"/>
      <c r="AC351" s="10"/>
      <c r="AD351" s="10"/>
      <c r="AE351" s="10" t="s">
        <v>108</v>
      </c>
      <c r="AF351" s="10"/>
      <c r="AG351" s="10"/>
      <c r="AH351" s="10"/>
      <c r="AI351" s="10" t="s">
        <v>109</v>
      </c>
      <c r="AJ351" s="10"/>
      <c r="AK351" s="10"/>
      <c r="AL351" s="10"/>
      <c r="AM351" s="10" t="s">
        <v>42</v>
      </c>
      <c r="AN351" s="10"/>
      <c r="AO351" s="10"/>
      <c r="AP351" s="10"/>
      <c r="AQ351" s="10" t="s">
        <v>43</v>
      </c>
      <c r="AR351" s="10"/>
      <c r="AS351" s="10"/>
      <c r="AT351" s="10"/>
      <c r="AU351" s="10" t="s">
        <v>44</v>
      </c>
      <c r="AV351" s="10"/>
      <c r="AW351" s="10"/>
      <c r="AX351" s="10"/>
    </row>
    <row r="352" customFormat="false" ht="21.75" hidden="false" customHeight="true" outlineLevel="0" collapsed="false">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customFormat="false" ht="12" hidden="false" customHeight="true" outlineLevel="0" collapsed="false">
      <c r="A353" s="5" t="s">
        <v>120</v>
      </c>
      <c r="P353" s="10" t="s">
        <v>48</v>
      </c>
      <c r="Q353" s="10"/>
      <c r="R353" s="10"/>
      <c r="S353" s="10"/>
      <c r="T353" s="10" t="s">
        <v>50</v>
      </c>
      <c r="U353" s="10"/>
      <c r="V353" s="10"/>
      <c r="W353" s="10"/>
      <c r="X353" s="10"/>
      <c r="Y353" s="10"/>
      <c r="Z353" s="10"/>
      <c r="AA353" s="10"/>
      <c r="AB353" s="10"/>
      <c r="AC353" s="10"/>
      <c r="AD353" s="10"/>
      <c r="AE353" s="10"/>
      <c r="AF353" s="10"/>
      <c r="AG353" s="10"/>
      <c r="AH353" s="10"/>
      <c r="AI353" s="10"/>
      <c r="AJ353" s="10"/>
      <c r="AK353" s="10"/>
      <c r="AL353" s="10" t="s">
        <v>45</v>
      </c>
      <c r="AM353" s="10"/>
      <c r="AN353" s="10"/>
      <c r="AO353" s="10"/>
      <c r="AP353" s="10" t="s">
        <v>46</v>
      </c>
      <c r="AQ353" s="10"/>
      <c r="AR353" s="10"/>
      <c r="AS353" s="10"/>
    </row>
    <row r="354" customFormat="false" ht="21.75" hidden="false" customHeight="true" outlineLevel="0" collapsed="false">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row>
    <row r="356" customFormat="false" ht="18.75" hidden="false" customHeight="true" outlineLevel="0" collapsed="false">
      <c r="A356" s="14" t="s">
        <v>231</v>
      </c>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row>
    <row r="357" customFormat="false" ht="15" hidden="false" customHeight="true" outlineLevel="0" collapsed="false">
      <c r="A357" s="8" t="s">
        <v>124</v>
      </c>
      <c r="B357" s="15"/>
      <c r="C357" s="15"/>
      <c r="D357" s="15"/>
      <c r="E357" s="15"/>
      <c r="G357" s="5" t="s">
        <v>125</v>
      </c>
    </row>
    <row r="358" customFormat="false" ht="12" hidden="false" customHeight="true" outlineLevel="0" collapsed="false">
      <c r="A358" s="5" t="s">
        <v>64</v>
      </c>
      <c r="F358" s="10" t="s">
        <v>0</v>
      </c>
      <c r="G358" s="10"/>
      <c r="H358" s="10"/>
      <c r="I358" s="10"/>
      <c r="J358" s="10" t="s">
        <v>1</v>
      </c>
      <c r="K358" s="10"/>
      <c r="L358" s="10"/>
      <c r="M358" s="10"/>
      <c r="N358" s="10" t="s">
        <v>2</v>
      </c>
      <c r="O358" s="10"/>
      <c r="P358" s="10"/>
      <c r="Q358" s="10"/>
      <c r="R358" s="10" t="s">
        <v>3</v>
      </c>
      <c r="S358" s="10"/>
      <c r="T358" s="10"/>
      <c r="U358" s="10"/>
      <c r="V358" s="10" t="s">
        <v>4</v>
      </c>
      <c r="W358" s="10"/>
      <c r="X358" s="10"/>
      <c r="Y358" s="10"/>
      <c r="Z358" s="10" t="s">
        <v>5</v>
      </c>
      <c r="AA358" s="10"/>
      <c r="AB358" s="10"/>
      <c r="AC358" s="10"/>
      <c r="AD358" s="10" t="s">
        <v>6</v>
      </c>
      <c r="AE358" s="10"/>
      <c r="AF358" s="10"/>
      <c r="AG358" s="10"/>
      <c r="AH358" s="10" t="s">
        <v>7</v>
      </c>
      <c r="AI358" s="10"/>
      <c r="AJ358" s="10"/>
      <c r="AK358" s="10"/>
      <c r="AL358" s="10" t="s">
        <v>8</v>
      </c>
      <c r="AM358" s="10"/>
      <c r="AN358" s="10"/>
      <c r="AO358" s="10"/>
      <c r="AP358" s="10" t="s">
        <v>9</v>
      </c>
      <c r="AQ358" s="10"/>
      <c r="AR358" s="10"/>
      <c r="AS358" s="10"/>
      <c r="AT358" s="10" t="s">
        <v>10</v>
      </c>
      <c r="AU358" s="10"/>
      <c r="AV358" s="10"/>
      <c r="AW358" s="10"/>
      <c r="AX358" s="10" t="s">
        <v>11</v>
      </c>
      <c r="AY358" s="10"/>
      <c r="AZ358" s="10"/>
      <c r="BA358" s="10"/>
    </row>
    <row r="359" customFormat="false" ht="21.75" hidden="false" customHeight="true" outlineLevel="0" collapsed="false">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row>
    <row r="360" customFormat="false" ht="12" hidden="false" customHeight="true" outlineLevel="0" collapsed="false">
      <c r="A360" s="5" t="s">
        <v>65</v>
      </c>
      <c r="H360" s="10" t="s">
        <v>66</v>
      </c>
      <c r="I360" s="10"/>
      <c r="J360" s="10"/>
      <c r="K360" s="10"/>
      <c r="L360" s="10" t="s">
        <v>67</v>
      </c>
      <c r="M360" s="10"/>
      <c r="N360" s="10"/>
      <c r="O360" s="10"/>
      <c r="P360" s="10" t="s">
        <v>68</v>
      </c>
      <c r="Q360" s="10"/>
      <c r="R360" s="10"/>
      <c r="S360" s="10"/>
      <c r="T360" s="10" t="s">
        <v>69</v>
      </c>
      <c r="U360" s="10"/>
      <c r="V360" s="10"/>
      <c r="W360" s="10"/>
      <c r="X360" s="10" t="s">
        <v>70</v>
      </c>
      <c r="Y360" s="10"/>
      <c r="Z360" s="10"/>
      <c r="AA360" s="10"/>
      <c r="AB360" s="10" t="s">
        <v>71</v>
      </c>
      <c r="AC360" s="10"/>
      <c r="AD360" s="10"/>
      <c r="AE360" s="10"/>
      <c r="AF360" s="10" t="s">
        <v>72</v>
      </c>
      <c r="AG360" s="10"/>
      <c r="AH360" s="10"/>
      <c r="AI360" s="10"/>
      <c r="AJ360" s="10" t="s">
        <v>73</v>
      </c>
      <c r="AK360" s="10"/>
      <c r="AL360" s="10"/>
      <c r="AM360" s="10"/>
      <c r="AN360" s="10" t="s">
        <v>74</v>
      </c>
      <c r="AO360" s="10"/>
      <c r="AP360" s="10"/>
      <c r="AQ360" s="10"/>
      <c r="AR360" s="10" t="s">
        <v>75</v>
      </c>
      <c r="AS360" s="10"/>
      <c r="AT360" s="10"/>
      <c r="AU360" s="10"/>
      <c r="AV360" s="10" t="s">
        <v>22</v>
      </c>
      <c r="AW360" s="10"/>
      <c r="AX360" s="10"/>
      <c r="AY360" s="10"/>
      <c r="AZ360" s="10" t="s">
        <v>23</v>
      </c>
      <c r="BA360" s="10"/>
      <c r="BB360" s="10"/>
      <c r="BC360" s="10"/>
    </row>
    <row r="361" customFormat="false" ht="21.75" hidden="false" customHeight="true" outlineLevel="0" collapsed="false">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row>
    <row r="362" customFormat="false" ht="12" hidden="false" customHeight="true" outlineLevel="0" collapsed="false">
      <c r="A362" s="5" t="s">
        <v>82</v>
      </c>
      <c r="I362" s="10" t="s">
        <v>83</v>
      </c>
      <c r="J362" s="10"/>
      <c r="K362" s="10"/>
      <c r="L362" s="10"/>
      <c r="M362" s="10" t="s">
        <v>84</v>
      </c>
      <c r="N362" s="10"/>
      <c r="O362" s="10"/>
      <c r="P362" s="10"/>
      <c r="Q362" s="10" t="s">
        <v>85</v>
      </c>
      <c r="R362" s="10"/>
      <c r="S362" s="10"/>
      <c r="T362" s="10"/>
      <c r="U362" s="10" t="s">
        <v>86</v>
      </c>
      <c r="V362" s="10"/>
      <c r="W362" s="10"/>
      <c r="X362" s="10"/>
      <c r="Y362" s="10" t="s">
        <v>87</v>
      </c>
      <c r="Z362" s="10"/>
      <c r="AA362" s="10"/>
      <c r="AB362" s="10"/>
      <c r="AC362" s="10" t="s">
        <v>88</v>
      </c>
      <c r="AD362" s="10"/>
      <c r="AE362" s="10"/>
      <c r="AF362" s="10"/>
      <c r="AG362" s="10" t="s">
        <v>89</v>
      </c>
      <c r="AH362" s="10"/>
      <c r="AI362" s="10"/>
      <c r="AJ362" s="10"/>
      <c r="AK362" s="10" t="s">
        <v>90</v>
      </c>
      <c r="AL362" s="10"/>
      <c r="AM362" s="10"/>
      <c r="AN362" s="10"/>
      <c r="AO362" s="10" t="s">
        <v>91</v>
      </c>
      <c r="AP362" s="10"/>
      <c r="AQ362" s="10"/>
      <c r="AR362" s="10"/>
      <c r="AS362" s="10" t="s">
        <v>33</v>
      </c>
      <c r="AT362" s="10"/>
      <c r="AU362" s="10"/>
      <c r="AV362" s="10"/>
      <c r="AW362" s="10" t="s">
        <v>34</v>
      </c>
      <c r="AX362" s="10"/>
      <c r="AY362" s="10"/>
      <c r="AZ362" s="10"/>
    </row>
    <row r="363" customFormat="false" ht="21.75" hidden="false" customHeight="true" outlineLevel="0" collapsed="false">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row>
    <row r="364" customFormat="false" ht="12" hidden="false" customHeight="true" outlineLevel="0" collapsed="false">
      <c r="A364" s="5" t="s">
        <v>102</v>
      </c>
      <c r="K364" s="10" t="s">
        <v>103</v>
      </c>
      <c r="L364" s="10"/>
      <c r="M364" s="10"/>
      <c r="N364" s="10"/>
      <c r="O364" s="10" t="s">
        <v>104</v>
      </c>
      <c r="P364" s="10"/>
      <c r="Q364" s="10"/>
      <c r="R364" s="10"/>
      <c r="S364" s="10" t="s">
        <v>105</v>
      </c>
      <c r="T364" s="10"/>
      <c r="U364" s="10"/>
      <c r="V364" s="10"/>
      <c r="W364" s="10" t="s">
        <v>106</v>
      </c>
      <c r="X364" s="10"/>
      <c r="Y364" s="10"/>
      <c r="Z364" s="10"/>
      <c r="AA364" s="10" t="s">
        <v>107</v>
      </c>
      <c r="AB364" s="10"/>
      <c r="AC364" s="10"/>
      <c r="AD364" s="10"/>
      <c r="AE364" s="10" t="s">
        <v>108</v>
      </c>
      <c r="AF364" s="10"/>
      <c r="AG364" s="10"/>
      <c r="AH364" s="10"/>
      <c r="AI364" s="10" t="s">
        <v>109</v>
      </c>
      <c r="AJ364" s="10"/>
      <c r="AK364" s="10"/>
      <c r="AL364" s="10"/>
      <c r="AM364" s="10" t="s">
        <v>42</v>
      </c>
      <c r="AN364" s="10"/>
      <c r="AO364" s="10"/>
      <c r="AP364" s="10"/>
      <c r="AQ364" s="10" t="s">
        <v>43</v>
      </c>
      <c r="AR364" s="10"/>
      <c r="AS364" s="10"/>
      <c r="AT364" s="10"/>
      <c r="AU364" s="10" t="s">
        <v>44</v>
      </c>
      <c r="AV364" s="10"/>
      <c r="AW364" s="10"/>
      <c r="AX364" s="10"/>
    </row>
    <row r="365" customFormat="false" ht="21.75" hidden="false" customHeight="true" outlineLevel="0" collapsed="false">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customFormat="false" ht="12" hidden="false" customHeight="true" outlineLevel="0" collapsed="false">
      <c r="A366" s="5" t="s">
        <v>120</v>
      </c>
      <c r="P366" s="10" t="s">
        <v>48</v>
      </c>
      <c r="Q366" s="10"/>
      <c r="R366" s="10"/>
      <c r="S366" s="10"/>
      <c r="T366" s="10" t="s">
        <v>50</v>
      </c>
      <c r="U366" s="10"/>
      <c r="V366" s="10"/>
      <c r="W366" s="10"/>
      <c r="X366" s="10"/>
      <c r="Y366" s="10"/>
      <c r="Z366" s="10"/>
      <c r="AA366" s="10"/>
      <c r="AB366" s="10"/>
      <c r="AC366" s="10"/>
      <c r="AD366" s="10"/>
      <c r="AE366" s="10"/>
      <c r="AF366" s="10"/>
      <c r="AG366" s="10"/>
      <c r="AH366" s="10"/>
      <c r="AI366" s="10"/>
      <c r="AJ366" s="10"/>
      <c r="AK366" s="10"/>
      <c r="AL366" s="10" t="s">
        <v>45</v>
      </c>
      <c r="AM366" s="10"/>
      <c r="AN366" s="10"/>
      <c r="AO366" s="10"/>
      <c r="AP366" s="10" t="s">
        <v>46</v>
      </c>
      <c r="AQ366" s="10"/>
      <c r="AR366" s="10"/>
      <c r="AS366" s="10"/>
    </row>
    <row r="367" customFormat="false" ht="21.75" hidden="false" customHeight="true" outlineLevel="0" collapsed="false">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row>
    <row r="369" customFormat="false" ht="18.75" hidden="false" customHeight="true" outlineLevel="0" collapsed="false">
      <c r="A369" s="14" t="s">
        <v>232</v>
      </c>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row>
    <row r="370" customFormat="false" ht="15" hidden="false" customHeight="true" outlineLevel="0" collapsed="false">
      <c r="A370" s="8" t="s">
        <v>124</v>
      </c>
      <c r="B370" s="15"/>
      <c r="C370" s="15"/>
      <c r="D370" s="15"/>
      <c r="E370" s="15"/>
      <c r="G370" s="5" t="s">
        <v>125</v>
      </c>
    </row>
    <row r="371" customFormat="false" ht="12" hidden="false" customHeight="true" outlineLevel="0" collapsed="false">
      <c r="A371" s="5" t="s">
        <v>64</v>
      </c>
      <c r="F371" s="10" t="s">
        <v>0</v>
      </c>
      <c r="G371" s="10"/>
      <c r="H371" s="10"/>
      <c r="I371" s="10"/>
      <c r="J371" s="10" t="s">
        <v>1</v>
      </c>
      <c r="K371" s="10"/>
      <c r="L371" s="10"/>
      <c r="M371" s="10"/>
      <c r="N371" s="10" t="s">
        <v>2</v>
      </c>
      <c r="O371" s="10"/>
      <c r="P371" s="10"/>
      <c r="Q371" s="10"/>
      <c r="R371" s="10" t="s">
        <v>3</v>
      </c>
      <c r="S371" s="10"/>
      <c r="T371" s="10"/>
      <c r="U371" s="10"/>
      <c r="V371" s="10" t="s">
        <v>4</v>
      </c>
      <c r="W371" s="10"/>
      <c r="X371" s="10"/>
      <c r="Y371" s="10"/>
      <c r="Z371" s="10" t="s">
        <v>5</v>
      </c>
      <c r="AA371" s="10"/>
      <c r="AB371" s="10"/>
      <c r="AC371" s="10"/>
      <c r="AD371" s="10" t="s">
        <v>6</v>
      </c>
      <c r="AE371" s="10"/>
      <c r="AF371" s="10"/>
      <c r="AG371" s="10"/>
      <c r="AH371" s="10" t="s">
        <v>7</v>
      </c>
      <c r="AI371" s="10"/>
      <c r="AJ371" s="10"/>
      <c r="AK371" s="10"/>
      <c r="AL371" s="10" t="s">
        <v>8</v>
      </c>
      <c r="AM371" s="10"/>
      <c r="AN371" s="10"/>
      <c r="AO371" s="10"/>
      <c r="AP371" s="10" t="s">
        <v>9</v>
      </c>
      <c r="AQ371" s="10"/>
      <c r="AR371" s="10"/>
      <c r="AS371" s="10"/>
      <c r="AT371" s="10" t="s">
        <v>10</v>
      </c>
      <c r="AU371" s="10"/>
      <c r="AV371" s="10"/>
      <c r="AW371" s="10"/>
      <c r="AX371" s="10" t="s">
        <v>11</v>
      </c>
      <c r="AY371" s="10"/>
      <c r="AZ371" s="10"/>
      <c r="BA371" s="10"/>
    </row>
    <row r="372" customFormat="false" ht="21.75" hidden="false" customHeight="true" outlineLevel="0" collapsed="false">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row>
    <row r="373" customFormat="false" ht="12" hidden="false" customHeight="true" outlineLevel="0" collapsed="false">
      <c r="A373" s="5" t="s">
        <v>65</v>
      </c>
      <c r="H373" s="10" t="s">
        <v>66</v>
      </c>
      <c r="I373" s="10"/>
      <c r="J373" s="10"/>
      <c r="K373" s="10"/>
      <c r="L373" s="10" t="s">
        <v>67</v>
      </c>
      <c r="M373" s="10"/>
      <c r="N373" s="10"/>
      <c r="O373" s="10"/>
      <c r="P373" s="10" t="s">
        <v>68</v>
      </c>
      <c r="Q373" s="10"/>
      <c r="R373" s="10"/>
      <c r="S373" s="10"/>
      <c r="T373" s="10" t="s">
        <v>69</v>
      </c>
      <c r="U373" s="10"/>
      <c r="V373" s="10"/>
      <c r="W373" s="10"/>
      <c r="X373" s="10" t="s">
        <v>70</v>
      </c>
      <c r="Y373" s="10"/>
      <c r="Z373" s="10"/>
      <c r="AA373" s="10"/>
      <c r="AB373" s="10" t="s">
        <v>71</v>
      </c>
      <c r="AC373" s="10"/>
      <c r="AD373" s="10"/>
      <c r="AE373" s="10"/>
      <c r="AF373" s="10" t="s">
        <v>72</v>
      </c>
      <c r="AG373" s="10"/>
      <c r="AH373" s="10"/>
      <c r="AI373" s="10"/>
      <c r="AJ373" s="10" t="s">
        <v>73</v>
      </c>
      <c r="AK373" s="10"/>
      <c r="AL373" s="10"/>
      <c r="AM373" s="10"/>
      <c r="AN373" s="10" t="s">
        <v>74</v>
      </c>
      <c r="AO373" s="10"/>
      <c r="AP373" s="10"/>
      <c r="AQ373" s="10"/>
      <c r="AR373" s="10" t="s">
        <v>75</v>
      </c>
      <c r="AS373" s="10"/>
      <c r="AT373" s="10"/>
      <c r="AU373" s="10"/>
      <c r="AV373" s="10" t="s">
        <v>22</v>
      </c>
      <c r="AW373" s="10"/>
      <c r="AX373" s="10"/>
      <c r="AY373" s="10"/>
      <c r="AZ373" s="10" t="s">
        <v>23</v>
      </c>
      <c r="BA373" s="10"/>
      <c r="BB373" s="10"/>
      <c r="BC373" s="10"/>
    </row>
    <row r="374" customFormat="false" ht="21.75" hidden="false" customHeight="true" outlineLevel="0" collapsed="false">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row>
    <row r="375" customFormat="false" ht="12" hidden="false" customHeight="true" outlineLevel="0" collapsed="false">
      <c r="A375" s="5" t="s">
        <v>82</v>
      </c>
      <c r="I375" s="10" t="s">
        <v>83</v>
      </c>
      <c r="J375" s="10"/>
      <c r="K375" s="10"/>
      <c r="L375" s="10"/>
      <c r="M375" s="10" t="s">
        <v>84</v>
      </c>
      <c r="N375" s="10"/>
      <c r="O375" s="10"/>
      <c r="P375" s="10"/>
      <c r="Q375" s="10" t="s">
        <v>85</v>
      </c>
      <c r="R375" s="10"/>
      <c r="S375" s="10"/>
      <c r="T375" s="10"/>
      <c r="U375" s="10" t="s">
        <v>86</v>
      </c>
      <c r="V375" s="10"/>
      <c r="W375" s="10"/>
      <c r="X375" s="10"/>
      <c r="Y375" s="10" t="s">
        <v>87</v>
      </c>
      <c r="Z375" s="10"/>
      <c r="AA375" s="10"/>
      <c r="AB375" s="10"/>
      <c r="AC375" s="10" t="s">
        <v>88</v>
      </c>
      <c r="AD375" s="10"/>
      <c r="AE375" s="10"/>
      <c r="AF375" s="10"/>
      <c r="AG375" s="10" t="s">
        <v>89</v>
      </c>
      <c r="AH375" s="10"/>
      <c r="AI375" s="10"/>
      <c r="AJ375" s="10"/>
      <c r="AK375" s="10" t="s">
        <v>90</v>
      </c>
      <c r="AL375" s="10"/>
      <c r="AM375" s="10"/>
      <c r="AN375" s="10"/>
      <c r="AO375" s="10" t="s">
        <v>91</v>
      </c>
      <c r="AP375" s="10"/>
      <c r="AQ375" s="10"/>
      <c r="AR375" s="10"/>
      <c r="AS375" s="10" t="s">
        <v>33</v>
      </c>
      <c r="AT375" s="10"/>
      <c r="AU375" s="10"/>
      <c r="AV375" s="10"/>
      <c r="AW375" s="10" t="s">
        <v>34</v>
      </c>
      <c r="AX375" s="10"/>
      <c r="AY375" s="10"/>
      <c r="AZ375" s="10"/>
    </row>
    <row r="376" customFormat="false" ht="21.75" hidden="false" customHeight="true" outlineLevel="0" collapsed="false">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row>
    <row r="377" customFormat="false" ht="12" hidden="false" customHeight="true" outlineLevel="0" collapsed="false">
      <c r="A377" s="5" t="s">
        <v>102</v>
      </c>
      <c r="K377" s="10" t="s">
        <v>103</v>
      </c>
      <c r="L377" s="10"/>
      <c r="M377" s="10"/>
      <c r="N377" s="10"/>
      <c r="O377" s="10" t="s">
        <v>104</v>
      </c>
      <c r="P377" s="10"/>
      <c r="Q377" s="10"/>
      <c r="R377" s="10"/>
      <c r="S377" s="10" t="s">
        <v>105</v>
      </c>
      <c r="T377" s="10"/>
      <c r="U377" s="10"/>
      <c r="V377" s="10"/>
      <c r="W377" s="10" t="s">
        <v>106</v>
      </c>
      <c r="X377" s="10"/>
      <c r="Y377" s="10"/>
      <c r="Z377" s="10"/>
      <c r="AA377" s="10" t="s">
        <v>107</v>
      </c>
      <c r="AB377" s="10"/>
      <c r="AC377" s="10"/>
      <c r="AD377" s="10"/>
      <c r="AE377" s="10" t="s">
        <v>108</v>
      </c>
      <c r="AF377" s="10"/>
      <c r="AG377" s="10"/>
      <c r="AH377" s="10"/>
      <c r="AI377" s="10" t="s">
        <v>109</v>
      </c>
      <c r="AJ377" s="10"/>
      <c r="AK377" s="10"/>
      <c r="AL377" s="10"/>
      <c r="AM377" s="10" t="s">
        <v>42</v>
      </c>
      <c r="AN377" s="10"/>
      <c r="AO377" s="10"/>
      <c r="AP377" s="10"/>
      <c r="AQ377" s="10" t="s">
        <v>43</v>
      </c>
      <c r="AR377" s="10"/>
      <c r="AS377" s="10"/>
      <c r="AT377" s="10"/>
      <c r="AU377" s="10" t="s">
        <v>44</v>
      </c>
      <c r="AV377" s="10"/>
      <c r="AW377" s="10"/>
      <c r="AX377" s="10"/>
    </row>
    <row r="378" customFormat="false" ht="21.75" hidden="false" customHeight="true" outlineLevel="0" collapsed="false">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customFormat="false" ht="12" hidden="false" customHeight="true" outlineLevel="0" collapsed="false">
      <c r="A379" s="5" t="s">
        <v>120</v>
      </c>
      <c r="P379" s="10" t="s">
        <v>48</v>
      </c>
      <c r="Q379" s="10"/>
      <c r="R379" s="10"/>
      <c r="S379" s="10"/>
      <c r="T379" s="10" t="s">
        <v>50</v>
      </c>
      <c r="U379" s="10"/>
      <c r="V379" s="10"/>
      <c r="W379" s="10"/>
      <c r="X379" s="10"/>
      <c r="Y379" s="10"/>
      <c r="Z379" s="10"/>
      <c r="AA379" s="10"/>
      <c r="AB379" s="10"/>
      <c r="AC379" s="10"/>
      <c r="AD379" s="10"/>
      <c r="AE379" s="10"/>
      <c r="AF379" s="10"/>
      <c r="AG379" s="10"/>
      <c r="AH379" s="10"/>
      <c r="AI379" s="10"/>
      <c r="AJ379" s="10"/>
      <c r="AK379" s="10"/>
      <c r="AL379" s="10" t="s">
        <v>45</v>
      </c>
      <c r="AM379" s="10"/>
      <c r="AN379" s="10"/>
      <c r="AO379" s="10"/>
      <c r="AP379" s="10" t="s">
        <v>46</v>
      </c>
      <c r="AQ379" s="10"/>
      <c r="AR379" s="10"/>
      <c r="AS379" s="10"/>
    </row>
    <row r="380" customFormat="false" ht="21.75" hidden="false" customHeight="true" outlineLevel="0" collapsed="false">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row>
    <row r="382" customFormat="false" ht="18.75" hidden="false" customHeight="true" outlineLevel="0" collapsed="false">
      <c r="A382" s="14" t="s">
        <v>233</v>
      </c>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row>
    <row r="383" customFormat="false" ht="15" hidden="false" customHeight="true" outlineLevel="0" collapsed="false">
      <c r="A383" s="8" t="s">
        <v>124</v>
      </c>
      <c r="B383" s="15"/>
      <c r="C383" s="15"/>
      <c r="D383" s="15"/>
      <c r="E383" s="15"/>
      <c r="G383" s="5" t="s">
        <v>125</v>
      </c>
    </row>
    <row r="384" customFormat="false" ht="12" hidden="false" customHeight="true" outlineLevel="0" collapsed="false">
      <c r="A384" s="5" t="s">
        <v>64</v>
      </c>
      <c r="F384" s="10" t="s">
        <v>0</v>
      </c>
      <c r="G384" s="10"/>
      <c r="H384" s="10"/>
      <c r="I384" s="10"/>
      <c r="J384" s="10" t="s">
        <v>1</v>
      </c>
      <c r="K384" s="10"/>
      <c r="L384" s="10"/>
      <c r="M384" s="10"/>
      <c r="N384" s="10" t="s">
        <v>2</v>
      </c>
      <c r="O384" s="10"/>
      <c r="P384" s="10"/>
      <c r="Q384" s="10"/>
      <c r="R384" s="10" t="s">
        <v>3</v>
      </c>
      <c r="S384" s="10"/>
      <c r="T384" s="10"/>
      <c r="U384" s="10"/>
      <c r="V384" s="10" t="s">
        <v>4</v>
      </c>
      <c r="W384" s="10"/>
      <c r="X384" s="10"/>
      <c r="Y384" s="10"/>
      <c r="Z384" s="10" t="s">
        <v>5</v>
      </c>
      <c r="AA384" s="10"/>
      <c r="AB384" s="10"/>
      <c r="AC384" s="10"/>
      <c r="AD384" s="10" t="s">
        <v>6</v>
      </c>
      <c r="AE384" s="10"/>
      <c r="AF384" s="10"/>
      <c r="AG384" s="10"/>
      <c r="AH384" s="10" t="s">
        <v>7</v>
      </c>
      <c r="AI384" s="10"/>
      <c r="AJ384" s="10"/>
      <c r="AK384" s="10"/>
      <c r="AL384" s="10" t="s">
        <v>8</v>
      </c>
      <c r="AM384" s="10"/>
      <c r="AN384" s="10"/>
      <c r="AO384" s="10"/>
      <c r="AP384" s="10" t="s">
        <v>9</v>
      </c>
      <c r="AQ384" s="10"/>
      <c r="AR384" s="10"/>
      <c r="AS384" s="10"/>
      <c r="AT384" s="10" t="s">
        <v>10</v>
      </c>
      <c r="AU384" s="10"/>
      <c r="AV384" s="10"/>
      <c r="AW384" s="10"/>
      <c r="AX384" s="10" t="s">
        <v>11</v>
      </c>
      <c r="AY384" s="10"/>
      <c r="AZ384" s="10"/>
      <c r="BA384" s="10"/>
    </row>
    <row r="385" customFormat="false" ht="21.75" hidden="false" customHeight="true" outlineLevel="0" collapsed="false">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row>
    <row r="386" customFormat="false" ht="12" hidden="false" customHeight="true" outlineLevel="0" collapsed="false">
      <c r="A386" s="5" t="s">
        <v>65</v>
      </c>
      <c r="H386" s="10" t="s">
        <v>66</v>
      </c>
      <c r="I386" s="10"/>
      <c r="J386" s="10"/>
      <c r="K386" s="10"/>
      <c r="L386" s="10" t="s">
        <v>67</v>
      </c>
      <c r="M386" s="10"/>
      <c r="N386" s="10"/>
      <c r="O386" s="10"/>
      <c r="P386" s="10" t="s">
        <v>68</v>
      </c>
      <c r="Q386" s="10"/>
      <c r="R386" s="10"/>
      <c r="S386" s="10"/>
      <c r="T386" s="10" t="s">
        <v>69</v>
      </c>
      <c r="U386" s="10"/>
      <c r="V386" s="10"/>
      <c r="W386" s="10"/>
      <c r="X386" s="10" t="s">
        <v>70</v>
      </c>
      <c r="Y386" s="10"/>
      <c r="Z386" s="10"/>
      <c r="AA386" s="10"/>
      <c r="AB386" s="10" t="s">
        <v>71</v>
      </c>
      <c r="AC386" s="10"/>
      <c r="AD386" s="10"/>
      <c r="AE386" s="10"/>
      <c r="AF386" s="10" t="s">
        <v>72</v>
      </c>
      <c r="AG386" s="10"/>
      <c r="AH386" s="10"/>
      <c r="AI386" s="10"/>
      <c r="AJ386" s="10" t="s">
        <v>73</v>
      </c>
      <c r="AK386" s="10"/>
      <c r="AL386" s="10"/>
      <c r="AM386" s="10"/>
      <c r="AN386" s="10" t="s">
        <v>74</v>
      </c>
      <c r="AO386" s="10"/>
      <c r="AP386" s="10"/>
      <c r="AQ386" s="10"/>
      <c r="AR386" s="10" t="s">
        <v>75</v>
      </c>
      <c r="AS386" s="10"/>
      <c r="AT386" s="10"/>
      <c r="AU386" s="10"/>
      <c r="AV386" s="10" t="s">
        <v>22</v>
      </c>
      <c r="AW386" s="10"/>
      <c r="AX386" s="10"/>
      <c r="AY386" s="10"/>
      <c r="AZ386" s="10" t="s">
        <v>23</v>
      </c>
      <c r="BA386" s="10"/>
      <c r="BB386" s="10"/>
      <c r="BC386" s="10"/>
    </row>
    <row r="387" customFormat="false" ht="21.75" hidden="false" customHeight="true" outlineLevel="0" collapsed="false">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row>
    <row r="388" customFormat="false" ht="12" hidden="false" customHeight="true" outlineLevel="0" collapsed="false">
      <c r="A388" s="5" t="s">
        <v>82</v>
      </c>
      <c r="I388" s="10" t="s">
        <v>83</v>
      </c>
      <c r="J388" s="10"/>
      <c r="K388" s="10"/>
      <c r="L388" s="10"/>
      <c r="M388" s="10" t="s">
        <v>84</v>
      </c>
      <c r="N388" s="10"/>
      <c r="O388" s="10"/>
      <c r="P388" s="10"/>
      <c r="Q388" s="10" t="s">
        <v>85</v>
      </c>
      <c r="R388" s="10"/>
      <c r="S388" s="10"/>
      <c r="T388" s="10"/>
      <c r="U388" s="10" t="s">
        <v>86</v>
      </c>
      <c r="V388" s="10"/>
      <c r="W388" s="10"/>
      <c r="X388" s="10"/>
      <c r="Y388" s="10" t="s">
        <v>87</v>
      </c>
      <c r="Z388" s="10"/>
      <c r="AA388" s="10"/>
      <c r="AB388" s="10"/>
      <c r="AC388" s="10" t="s">
        <v>88</v>
      </c>
      <c r="AD388" s="10"/>
      <c r="AE388" s="10"/>
      <c r="AF388" s="10"/>
      <c r="AG388" s="10" t="s">
        <v>89</v>
      </c>
      <c r="AH388" s="10"/>
      <c r="AI388" s="10"/>
      <c r="AJ388" s="10"/>
      <c r="AK388" s="10" t="s">
        <v>90</v>
      </c>
      <c r="AL388" s="10"/>
      <c r="AM388" s="10"/>
      <c r="AN388" s="10"/>
      <c r="AO388" s="10" t="s">
        <v>91</v>
      </c>
      <c r="AP388" s="10"/>
      <c r="AQ388" s="10"/>
      <c r="AR388" s="10"/>
      <c r="AS388" s="10" t="s">
        <v>33</v>
      </c>
      <c r="AT388" s="10"/>
      <c r="AU388" s="10"/>
      <c r="AV388" s="10"/>
      <c r="AW388" s="10" t="s">
        <v>34</v>
      </c>
      <c r="AX388" s="10"/>
      <c r="AY388" s="10"/>
      <c r="AZ388" s="10"/>
    </row>
    <row r="389" customFormat="false" ht="21.75" hidden="false" customHeight="true" outlineLevel="0" collapsed="false">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row>
    <row r="390" customFormat="false" ht="12" hidden="false" customHeight="true" outlineLevel="0" collapsed="false">
      <c r="A390" s="5" t="s">
        <v>102</v>
      </c>
      <c r="K390" s="10" t="s">
        <v>103</v>
      </c>
      <c r="L390" s="10"/>
      <c r="M390" s="10"/>
      <c r="N390" s="10"/>
      <c r="O390" s="10" t="s">
        <v>104</v>
      </c>
      <c r="P390" s="10"/>
      <c r="Q390" s="10"/>
      <c r="R390" s="10"/>
      <c r="S390" s="10" t="s">
        <v>105</v>
      </c>
      <c r="T390" s="10"/>
      <c r="U390" s="10"/>
      <c r="V390" s="10"/>
      <c r="W390" s="10" t="s">
        <v>106</v>
      </c>
      <c r="X390" s="10"/>
      <c r="Y390" s="10"/>
      <c r="Z390" s="10"/>
      <c r="AA390" s="10" t="s">
        <v>107</v>
      </c>
      <c r="AB390" s="10"/>
      <c r="AC390" s="10"/>
      <c r="AD390" s="10"/>
      <c r="AE390" s="10" t="s">
        <v>108</v>
      </c>
      <c r="AF390" s="10"/>
      <c r="AG390" s="10"/>
      <c r="AH390" s="10"/>
      <c r="AI390" s="10" t="s">
        <v>109</v>
      </c>
      <c r="AJ390" s="10"/>
      <c r="AK390" s="10"/>
      <c r="AL390" s="10"/>
      <c r="AM390" s="10" t="s">
        <v>42</v>
      </c>
      <c r="AN390" s="10"/>
      <c r="AO390" s="10"/>
      <c r="AP390" s="10"/>
      <c r="AQ390" s="10" t="s">
        <v>43</v>
      </c>
      <c r="AR390" s="10"/>
      <c r="AS390" s="10"/>
      <c r="AT390" s="10"/>
      <c r="AU390" s="10" t="s">
        <v>44</v>
      </c>
      <c r="AV390" s="10"/>
      <c r="AW390" s="10"/>
      <c r="AX390" s="10"/>
    </row>
    <row r="391" customFormat="false" ht="21.75" hidden="false" customHeight="true" outlineLevel="0" collapsed="false">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customFormat="false" ht="12" hidden="false" customHeight="true" outlineLevel="0" collapsed="false">
      <c r="A392" s="5" t="s">
        <v>120</v>
      </c>
      <c r="P392" s="10" t="s">
        <v>48</v>
      </c>
      <c r="Q392" s="10"/>
      <c r="R392" s="10"/>
      <c r="S392" s="10"/>
      <c r="T392" s="10" t="s">
        <v>50</v>
      </c>
      <c r="U392" s="10"/>
      <c r="V392" s="10"/>
      <c r="W392" s="10"/>
      <c r="X392" s="10"/>
      <c r="Y392" s="10"/>
      <c r="Z392" s="10"/>
      <c r="AA392" s="10"/>
      <c r="AB392" s="10"/>
      <c r="AC392" s="10"/>
      <c r="AD392" s="10"/>
      <c r="AE392" s="10"/>
      <c r="AF392" s="10"/>
      <c r="AG392" s="10"/>
      <c r="AH392" s="10"/>
      <c r="AI392" s="10"/>
      <c r="AJ392" s="10"/>
      <c r="AK392" s="10"/>
      <c r="AL392" s="10" t="s">
        <v>45</v>
      </c>
      <c r="AM392" s="10"/>
      <c r="AN392" s="10"/>
      <c r="AO392" s="10"/>
      <c r="AP392" s="10" t="s">
        <v>46</v>
      </c>
      <c r="AQ392" s="10"/>
      <c r="AR392" s="10"/>
      <c r="AS392" s="10"/>
    </row>
    <row r="393" customFormat="false" ht="21.75" hidden="false" customHeight="true" outlineLevel="0" collapsed="false">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row>
  </sheetData>
  <mergeCells count="3000">
    <mergeCell ref="A5:AX5"/>
    <mergeCell ref="B6:E6"/>
    <mergeCell ref="F7:I7"/>
    <mergeCell ref="J7:M7"/>
    <mergeCell ref="N7:Q7"/>
    <mergeCell ref="R7:U7"/>
    <mergeCell ref="V7:Y7"/>
    <mergeCell ref="Z7:AC7"/>
    <mergeCell ref="AD7:AG7"/>
    <mergeCell ref="AH7:AK7"/>
    <mergeCell ref="AL7:AO7"/>
    <mergeCell ref="AP7:AS7"/>
    <mergeCell ref="AT7:AW7"/>
    <mergeCell ref="AX7:BA7"/>
    <mergeCell ref="F8:I8"/>
    <mergeCell ref="J8:M8"/>
    <mergeCell ref="N8:Q8"/>
    <mergeCell ref="R8:U8"/>
    <mergeCell ref="V8:Y8"/>
    <mergeCell ref="Z8:AC8"/>
    <mergeCell ref="AD8:AG8"/>
    <mergeCell ref="AH8:AK8"/>
    <mergeCell ref="AL8:AO8"/>
    <mergeCell ref="AP8:AS8"/>
    <mergeCell ref="AT8:AW8"/>
    <mergeCell ref="AX8:BA8"/>
    <mergeCell ref="H9:K9"/>
    <mergeCell ref="L9:O9"/>
    <mergeCell ref="P9:S9"/>
    <mergeCell ref="T9:W9"/>
    <mergeCell ref="X9:AA9"/>
    <mergeCell ref="AB9:AE9"/>
    <mergeCell ref="AF9:AI9"/>
    <mergeCell ref="AJ9:AM9"/>
    <mergeCell ref="AN9:AQ9"/>
    <mergeCell ref="AR9:AU9"/>
    <mergeCell ref="AV9:AY9"/>
    <mergeCell ref="AZ9:BC9"/>
    <mergeCell ref="H10:K10"/>
    <mergeCell ref="L10:O10"/>
    <mergeCell ref="P10:S10"/>
    <mergeCell ref="T10:W10"/>
    <mergeCell ref="X10:AA10"/>
    <mergeCell ref="AB10:AE10"/>
    <mergeCell ref="AF10:AI10"/>
    <mergeCell ref="AJ10:AM10"/>
    <mergeCell ref="AN10:AQ10"/>
    <mergeCell ref="AR10:AU10"/>
    <mergeCell ref="AV10:AY10"/>
    <mergeCell ref="AZ10:BC10"/>
    <mergeCell ref="I11:L11"/>
    <mergeCell ref="M11:P11"/>
    <mergeCell ref="Q11:T11"/>
    <mergeCell ref="U11:X11"/>
    <mergeCell ref="Y11:AB11"/>
    <mergeCell ref="AC11:AF11"/>
    <mergeCell ref="AG11:AJ11"/>
    <mergeCell ref="AK11:AN11"/>
    <mergeCell ref="AO11:AR11"/>
    <mergeCell ref="AS11:AV11"/>
    <mergeCell ref="AW11:AZ11"/>
    <mergeCell ref="I12:L12"/>
    <mergeCell ref="M12:P12"/>
    <mergeCell ref="Q12:T12"/>
    <mergeCell ref="U12:X12"/>
    <mergeCell ref="Y12:AB12"/>
    <mergeCell ref="AC12:AF12"/>
    <mergeCell ref="AG12:AJ12"/>
    <mergeCell ref="AK12:AN12"/>
    <mergeCell ref="AO12:AR12"/>
    <mergeCell ref="AS12:AV12"/>
    <mergeCell ref="AW12:AZ12"/>
    <mergeCell ref="K13:N13"/>
    <mergeCell ref="O13:R13"/>
    <mergeCell ref="S13:V13"/>
    <mergeCell ref="W13:Z13"/>
    <mergeCell ref="AA13:AD13"/>
    <mergeCell ref="AE13:AH13"/>
    <mergeCell ref="AI13:AL13"/>
    <mergeCell ref="AM13:AP13"/>
    <mergeCell ref="AQ13:AT13"/>
    <mergeCell ref="AU13:AX13"/>
    <mergeCell ref="K14:N14"/>
    <mergeCell ref="O14:R14"/>
    <mergeCell ref="S14:V14"/>
    <mergeCell ref="W14:Z14"/>
    <mergeCell ref="AA14:AD14"/>
    <mergeCell ref="AE14:AH14"/>
    <mergeCell ref="AI14:AL14"/>
    <mergeCell ref="AM14:AP14"/>
    <mergeCell ref="AQ14:AT14"/>
    <mergeCell ref="AU14:AX14"/>
    <mergeCell ref="P15:S15"/>
    <mergeCell ref="T15:AK15"/>
    <mergeCell ref="AL15:AO15"/>
    <mergeCell ref="AP15:AS15"/>
    <mergeCell ref="P16:S16"/>
    <mergeCell ref="T16:AK16"/>
    <mergeCell ref="AL16:AO16"/>
    <mergeCell ref="AP16:AS16"/>
    <mergeCell ref="A18:AX18"/>
    <mergeCell ref="B19:E19"/>
    <mergeCell ref="F20:I20"/>
    <mergeCell ref="J20:M20"/>
    <mergeCell ref="N20:Q20"/>
    <mergeCell ref="R20:U20"/>
    <mergeCell ref="V20:Y20"/>
    <mergeCell ref="Z20:AC20"/>
    <mergeCell ref="AD20:AG20"/>
    <mergeCell ref="AH20:AK20"/>
    <mergeCell ref="AL20:AO20"/>
    <mergeCell ref="AP20:AS20"/>
    <mergeCell ref="AT20:AW20"/>
    <mergeCell ref="AX20:BA20"/>
    <mergeCell ref="F21:I21"/>
    <mergeCell ref="J21:M21"/>
    <mergeCell ref="N21:Q21"/>
    <mergeCell ref="R21:U21"/>
    <mergeCell ref="V21:Y21"/>
    <mergeCell ref="Z21:AC21"/>
    <mergeCell ref="AD21:AG21"/>
    <mergeCell ref="AH21:AK21"/>
    <mergeCell ref="AL21:AO21"/>
    <mergeCell ref="AP21:AS21"/>
    <mergeCell ref="AT21:AW21"/>
    <mergeCell ref="AX21:BA21"/>
    <mergeCell ref="H22:K22"/>
    <mergeCell ref="L22:O22"/>
    <mergeCell ref="P22:S22"/>
    <mergeCell ref="T22:W22"/>
    <mergeCell ref="X22:AA22"/>
    <mergeCell ref="AB22:AE22"/>
    <mergeCell ref="AF22:AI22"/>
    <mergeCell ref="AJ22:AM22"/>
    <mergeCell ref="AN22:AQ22"/>
    <mergeCell ref="AR22:AU22"/>
    <mergeCell ref="AV22:AY22"/>
    <mergeCell ref="AZ22:BC22"/>
    <mergeCell ref="H23:K23"/>
    <mergeCell ref="L23:O23"/>
    <mergeCell ref="P23:S23"/>
    <mergeCell ref="T23:W23"/>
    <mergeCell ref="X23:AA23"/>
    <mergeCell ref="AB23:AE23"/>
    <mergeCell ref="AF23:AI23"/>
    <mergeCell ref="AJ23:AM23"/>
    <mergeCell ref="AN23:AQ23"/>
    <mergeCell ref="AR23:AU23"/>
    <mergeCell ref="AV23:AY23"/>
    <mergeCell ref="AZ23:BC23"/>
    <mergeCell ref="I24:L24"/>
    <mergeCell ref="M24:P24"/>
    <mergeCell ref="Q24:T24"/>
    <mergeCell ref="U24:X24"/>
    <mergeCell ref="Y24:AB24"/>
    <mergeCell ref="AC24:AF24"/>
    <mergeCell ref="AG24:AJ24"/>
    <mergeCell ref="AK24:AN24"/>
    <mergeCell ref="AO24:AR24"/>
    <mergeCell ref="AS24:AV24"/>
    <mergeCell ref="AW24:AZ24"/>
    <mergeCell ref="I25:L25"/>
    <mergeCell ref="M25:P25"/>
    <mergeCell ref="Q25:T25"/>
    <mergeCell ref="U25:X25"/>
    <mergeCell ref="Y25:AB25"/>
    <mergeCell ref="AC25:AF25"/>
    <mergeCell ref="AG25:AJ25"/>
    <mergeCell ref="AK25:AN25"/>
    <mergeCell ref="AO25:AR25"/>
    <mergeCell ref="AS25:AV25"/>
    <mergeCell ref="AW25:AZ25"/>
    <mergeCell ref="K26:N26"/>
    <mergeCell ref="O26:R26"/>
    <mergeCell ref="S26:V26"/>
    <mergeCell ref="W26:Z26"/>
    <mergeCell ref="AA26:AD26"/>
    <mergeCell ref="AE26:AH26"/>
    <mergeCell ref="AI26:AL26"/>
    <mergeCell ref="AM26:AP26"/>
    <mergeCell ref="AQ26:AT26"/>
    <mergeCell ref="AU26:AX26"/>
    <mergeCell ref="K27:N27"/>
    <mergeCell ref="O27:R27"/>
    <mergeCell ref="S27:V27"/>
    <mergeCell ref="W27:Z27"/>
    <mergeCell ref="AA27:AD27"/>
    <mergeCell ref="AE27:AH27"/>
    <mergeCell ref="AI27:AL27"/>
    <mergeCell ref="AM27:AP27"/>
    <mergeCell ref="AQ27:AT27"/>
    <mergeCell ref="AU27:AX27"/>
    <mergeCell ref="P28:S28"/>
    <mergeCell ref="T28:AK28"/>
    <mergeCell ref="AL28:AO28"/>
    <mergeCell ref="AP28:AS28"/>
    <mergeCell ref="P29:S29"/>
    <mergeCell ref="T29:AK29"/>
    <mergeCell ref="AL29:AO29"/>
    <mergeCell ref="AP29:AS29"/>
    <mergeCell ref="A31:AX31"/>
    <mergeCell ref="B32:E32"/>
    <mergeCell ref="F33:I33"/>
    <mergeCell ref="J33:M33"/>
    <mergeCell ref="N33:Q33"/>
    <mergeCell ref="R33:U33"/>
    <mergeCell ref="V33:Y33"/>
    <mergeCell ref="Z33:AC33"/>
    <mergeCell ref="AD33:AG33"/>
    <mergeCell ref="AH33:AK33"/>
    <mergeCell ref="AL33:AO33"/>
    <mergeCell ref="AP33:AS33"/>
    <mergeCell ref="AT33:AW33"/>
    <mergeCell ref="AX33:BA33"/>
    <mergeCell ref="F34:I34"/>
    <mergeCell ref="J34:M34"/>
    <mergeCell ref="N34:Q34"/>
    <mergeCell ref="R34:U34"/>
    <mergeCell ref="V34:Y34"/>
    <mergeCell ref="Z34:AC34"/>
    <mergeCell ref="AD34:AG34"/>
    <mergeCell ref="AH34:AK34"/>
    <mergeCell ref="AL34:AO34"/>
    <mergeCell ref="AP34:AS34"/>
    <mergeCell ref="AT34:AW34"/>
    <mergeCell ref="AX34:BA34"/>
    <mergeCell ref="H35:K35"/>
    <mergeCell ref="L35:O35"/>
    <mergeCell ref="P35:S35"/>
    <mergeCell ref="T35:W35"/>
    <mergeCell ref="X35:AA35"/>
    <mergeCell ref="AB35:AE35"/>
    <mergeCell ref="AF35:AI35"/>
    <mergeCell ref="AJ35:AM35"/>
    <mergeCell ref="AN35:AQ35"/>
    <mergeCell ref="AR35:AU35"/>
    <mergeCell ref="AV35:AY35"/>
    <mergeCell ref="AZ35:BC35"/>
    <mergeCell ref="H36:K36"/>
    <mergeCell ref="L36:O36"/>
    <mergeCell ref="P36:S36"/>
    <mergeCell ref="T36:W36"/>
    <mergeCell ref="X36:AA36"/>
    <mergeCell ref="AB36:AE36"/>
    <mergeCell ref="AF36:AI36"/>
    <mergeCell ref="AJ36:AM36"/>
    <mergeCell ref="AN36:AQ36"/>
    <mergeCell ref="AR36:AU36"/>
    <mergeCell ref="AV36:AY36"/>
    <mergeCell ref="AZ36:BC36"/>
    <mergeCell ref="I37:L37"/>
    <mergeCell ref="M37:P37"/>
    <mergeCell ref="Q37:T37"/>
    <mergeCell ref="U37:X37"/>
    <mergeCell ref="Y37:AB37"/>
    <mergeCell ref="AC37:AF37"/>
    <mergeCell ref="AG37:AJ37"/>
    <mergeCell ref="AK37:AN37"/>
    <mergeCell ref="AO37:AR37"/>
    <mergeCell ref="AS37:AV37"/>
    <mergeCell ref="AW37:AZ37"/>
    <mergeCell ref="I38:L38"/>
    <mergeCell ref="M38:P38"/>
    <mergeCell ref="Q38:T38"/>
    <mergeCell ref="U38:X38"/>
    <mergeCell ref="Y38:AB38"/>
    <mergeCell ref="AC38:AF38"/>
    <mergeCell ref="AG38:AJ38"/>
    <mergeCell ref="AK38:AN38"/>
    <mergeCell ref="AO38:AR38"/>
    <mergeCell ref="AS38:AV38"/>
    <mergeCell ref="AW38:AZ38"/>
    <mergeCell ref="K39:N39"/>
    <mergeCell ref="O39:R39"/>
    <mergeCell ref="S39:V39"/>
    <mergeCell ref="W39:Z39"/>
    <mergeCell ref="AA39:AD39"/>
    <mergeCell ref="AE39:AH39"/>
    <mergeCell ref="AI39:AL39"/>
    <mergeCell ref="AM39:AP39"/>
    <mergeCell ref="AQ39:AT39"/>
    <mergeCell ref="AU39:AX39"/>
    <mergeCell ref="K40:N40"/>
    <mergeCell ref="O40:R40"/>
    <mergeCell ref="S40:V40"/>
    <mergeCell ref="W40:Z40"/>
    <mergeCell ref="AA40:AD40"/>
    <mergeCell ref="AE40:AH40"/>
    <mergeCell ref="AI40:AL40"/>
    <mergeCell ref="AM40:AP40"/>
    <mergeCell ref="AQ40:AT40"/>
    <mergeCell ref="AU40:AX40"/>
    <mergeCell ref="P41:S41"/>
    <mergeCell ref="T41:AK41"/>
    <mergeCell ref="AL41:AO41"/>
    <mergeCell ref="AP41:AS41"/>
    <mergeCell ref="P42:S42"/>
    <mergeCell ref="T42:AK42"/>
    <mergeCell ref="AL42:AO42"/>
    <mergeCell ref="AP42:AS42"/>
    <mergeCell ref="A44:AX44"/>
    <mergeCell ref="B45:E45"/>
    <mergeCell ref="F46:I46"/>
    <mergeCell ref="J46:M46"/>
    <mergeCell ref="N46:Q46"/>
    <mergeCell ref="R46:U46"/>
    <mergeCell ref="V46:Y46"/>
    <mergeCell ref="Z46:AC46"/>
    <mergeCell ref="AD46:AG46"/>
    <mergeCell ref="AH46:AK46"/>
    <mergeCell ref="AL46:AO46"/>
    <mergeCell ref="AP46:AS46"/>
    <mergeCell ref="AT46:AW46"/>
    <mergeCell ref="AX46:BA46"/>
    <mergeCell ref="F47:I47"/>
    <mergeCell ref="J47:M47"/>
    <mergeCell ref="N47:Q47"/>
    <mergeCell ref="R47:U47"/>
    <mergeCell ref="V47:Y47"/>
    <mergeCell ref="Z47:AC47"/>
    <mergeCell ref="AD47:AG47"/>
    <mergeCell ref="AH47:AK47"/>
    <mergeCell ref="AL47:AO47"/>
    <mergeCell ref="AP47:AS47"/>
    <mergeCell ref="AT47:AW47"/>
    <mergeCell ref="AX47:BA47"/>
    <mergeCell ref="H48:K48"/>
    <mergeCell ref="L48:O48"/>
    <mergeCell ref="P48:S48"/>
    <mergeCell ref="T48:W48"/>
    <mergeCell ref="X48:AA48"/>
    <mergeCell ref="AB48:AE48"/>
    <mergeCell ref="AF48:AI48"/>
    <mergeCell ref="AJ48:AM48"/>
    <mergeCell ref="AN48:AQ48"/>
    <mergeCell ref="AR48:AU48"/>
    <mergeCell ref="AV48:AY48"/>
    <mergeCell ref="AZ48:BC48"/>
    <mergeCell ref="H49:K49"/>
    <mergeCell ref="L49:O49"/>
    <mergeCell ref="P49:S49"/>
    <mergeCell ref="T49:W49"/>
    <mergeCell ref="X49:AA49"/>
    <mergeCell ref="AB49:AE49"/>
    <mergeCell ref="AF49:AI49"/>
    <mergeCell ref="AJ49:AM49"/>
    <mergeCell ref="AN49:AQ49"/>
    <mergeCell ref="AR49:AU49"/>
    <mergeCell ref="AV49:AY49"/>
    <mergeCell ref="AZ49:BC49"/>
    <mergeCell ref="I50:L50"/>
    <mergeCell ref="M50:P50"/>
    <mergeCell ref="Q50:T50"/>
    <mergeCell ref="U50:X50"/>
    <mergeCell ref="Y50:AB50"/>
    <mergeCell ref="AC50:AF50"/>
    <mergeCell ref="AG50:AJ50"/>
    <mergeCell ref="AK50:AN50"/>
    <mergeCell ref="AO50:AR50"/>
    <mergeCell ref="AS50:AV50"/>
    <mergeCell ref="AW50:AZ50"/>
    <mergeCell ref="I51:L51"/>
    <mergeCell ref="M51:P51"/>
    <mergeCell ref="Q51:T51"/>
    <mergeCell ref="U51:X51"/>
    <mergeCell ref="Y51:AB51"/>
    <mergeCell ref="AC51:AF51"/>
    <mergeCell ref="AG51:AJ51"/>
    <mergeCell ref="AK51:AN51"/>
    <mergeCell ref="AO51:AR51"/>
    <mergeCell ref="AS51:AV51"/>
    <mergeCell ref="AW51:AZ51"/>
    <mergeCell ref="K52:N52"/>
    <mergeCell ref="O52:R52"/>
    <mergeCell ref="S52:V52"/>
    <mergeCell ref="W52:Z52"/>
    <mergeCell ref="AA52:AD52"/>
    <mergeCell ref="AE52:AH52"/>
    <mergeCell ref="AI52:AL52"/>
    <mergeCell ref="AM52:AP52"/>
    <mergeCell ref="AQ52:AT52"/>
    <mergeCell ref="AU52:AX52"/>
    <mergeCell ref="K53:N53"/>
    <mergeCell ref="O53:R53"/>
    <mergeCell ref="S53:V53"/>
    <mergeCell ref="W53:Z53"/>
    <mergeCell ref="AA53:AD53"/>
    <mergeCell ref="AE53:AH53"/>
    <mergeCell ref="AI53:AL53"/>
    <mergeCell ref="AM53:AP53"/>
    <mergeCell ref="AQ53:AT53"/>
    <mergeCell ref="AU53:AX53"/>
    <mergeCell ref="P54:S54"/>
    <mergeCell ref="T54:AK54"/>
    <mergeCell ref="AL54:AO54"/>
    <mergeCell ref="AP54:AS54"/>
    <mergeCell ref="P55:S55"/>
    <mergeCell ref="T55:AK55"/>
    <mergeCell ref="AL55:AO55"/>
    <mergeCell ref="AP55:AS55"/>
    <mergeCell ref="A57:AX57"/>
    <mergeCell ref="B58:E58"/>
    <mergeCell ref="F59:I59"/>
    <mergeCell ref="J59:M59"/>
    <mergeCell ref="N59:Q59"/>
    <mergeCell ref="R59:U59"/>
    <mergeCell ref="V59:Y59"/>
    <mergeCell ref="Z59:AC59"/>
    <mergeCell ref="AD59:AG59"/>
    <mergeCell ref="AH59:AK59"/>
    <mergeCell ref="AL59:AO59"/>
    <mergeCell ref="AP59:AS59"/>
    <mergeCell ref="AT59:AW59"/>
    <mergeCell ref="AX59:BA59"/>
    <mergeCell ref="F60:I60"/>
    <mergeCell ref="J60:M60"/>
    <mergeCell ref="N60:Q60"/>
    <mergeCell ref="R60:U60"/>
    <mergeCell ref="V60:Y60"/>
    <mergeCell ref="Z60:AC60"/>
    <mergeCell ref="AD60:AG60"/>
    <mergeCell ref="AH60:AK60"/>
    <mergeCell ref="AL60:AO60"/>
    <mergeCell ref="AP60:AS60"/>
    <mergeCell ref="AT60:AW60"/>
    <mergeCell ref="AX60:BA60"/>
    <mergeCell ref="H61:K61"/>
    <mergeCell ref="L61:O61"/>
    <mergeCell ref="P61:S61"/>
    <mergeCell ref="T61:W61"/>
    <mergeCell ref="X61:AA61"/>
    <mergeCell ref="AB61:AE61"/>
    <mergeCell ref="AF61:AI61"/>
    <mergeCell ref="AJ61:AM61"/>
    <mergeCell ref="AN61:AQ61"/>
    <mergeCell ref="AR61:AU61"/>
    <mergeCell ref="AV61:AY61"/>
    <mergeCell ref="AZ61:BC61"/>
    <mergeCell ref="H62:K62"/>
    <mergeCell ref="L62:O62"/>
    <mergeCell ref="P62:S62"/>
    <mergeCell ref="T62:W62"/>
    <mergeCell ref="X62:AA62"/>
    <mergeCell ref="AB62:AE62"/>
    <mergeCell ref="AF62:AI62"/>
    <mergeCell ref="AJ62:AM62"/>
    <mergeCell ref="AN62:AQ62"/>
    <mergeCell ref="AR62:AU62"/>
    <mergeCell ref="AV62:AY62"/>
    <mergeCell ref="AZ62:BC62"/>
    <mergeCell ref="I63:L63"/>
    <mergeCell ref="M63:P63"/>
    <mergeCell ref="Q63:T63"/>
    <mergeCell ref="U63:X63"/>
    <mergeCell ref="Y63:AB63"/>
    <mergeCell ref="AC63:AF63"/>
    <mergeCell ref="AG63:AJ63"/>
    <mergeCell ref="AK63:AN63"/>
    <mergeCell ref="AO63:AR63"/>
    <mergeCell ref="AS63:AV63"/>
    <mergeCell ref="AW63:AZ63"/>
    <mergeCell ref="I64:L64"/>
    <mergeCell ref="M64:P64"/>
    <mergeCell ref="Q64:T64"/>
    <mergeCell ref="U64:X64"/>
    <mergeCell ref="Y64:AB64"/>
    <mergeCell ref="AC64:AF64"/>
    <mergeCell ref="AG64:AJ64"/>
    <mergeCell ref="AK64:AN64"/>
    <mergeCell ref="AO64:AR64"/>
    <mergeCell ref="AS64:AV64"/>
    <mergeCell ref="AW64:AZ64"/>
    <mergeCell ref="K65:N65"/>
    <mergeCell ref="O65:R65"/>
    <mergeCell ref="S65:V65"/>
    <mergeCell ref="W65:Z65"/>
    <mergeCell ref="AA65:AD65"/>
    <mergeCell ref="AE65:AH65"/>
    <mergeCell ref="AI65:AL65"/>
    <mergeCell ref="AM65:AP65"/>
    <mergeCell ref="AQ65:AT65"/>
    <mergeCell ref="AU65:AX65"/>
    <mergeCell ref="K66:N66"/>
    <mergeCell ref="O66:R66"/>
    <mergeCell ref="S66:V66"/>
    <mergeCell ref="W66:Z66"/>
    <mergeCell ref="AA66:AD66"/>
    <mergeCell ref="AE66:AH66"/>
    <mergeCell ref="AI66:AL66"/>
    <mergeCell ref="AM66:AP66"/>
    <mergeCell ref="AQ66:AT66"/>
    <mergeCell ref="AU66:AX66"/>
    <mergeCell ref="P67:S67"/>
    <mergeCell ref="T67:AK67"/>
    <mergeCell ref="AL67:AO67"/>
    <mergeCell ref="AP67:AS67"/>
    <mergeCell ref="P68:S68"/>
    <mergeCell ref="T68:AK68"/>
    <mergeCell ref="AL68:AO68"/>
    <mergeCell ref="AP68:AS68"/>
    <mergeCell ref="A70:AX70"/>
    <mergeCell ref="B71:E71"/>
    <mergeCell ref="F72:I72"/>
    <mergeCell ref="J72:M72"/>
    <mergeCell ref="N72:Q72"/>
    <mergeCell ref="R72:U72"/>
    <mergeCell ref="V72:Y72"/>
    <mergeCell ref="Z72:AC72"/>
    <mergeCell ref="AD72:AG72"/>
    <mergeCell ref="AH72:AK72"/>
    <mergeCell ref="AL72:AO72"/>
    <mergeCell ref="AP72:AS72"/>
    <mergeCell ref="AT72:AW72"/>
    <mergeCell ref="AX72:BA72"/>
    <mergeCell ref="F73:I73"/>
    <mergeCell ref="J73:M73"/>
    <mergeCell ref="N73:Q73"/>
    <mergeCell ref="R73:U73"/>
    <mergeCell ref="V73:Y73"/>
    <mergeCell ref="Z73:AC73"/>
    <mergeCell ref="AD73:AG73"/>
    <mergeCell ref="AH73:AK73"/>
    <mergeCell ref="AL73:AO73"/>
    <mergeCell ref="AP73:AS73"/>
    <mergeCell ref="AT73:AW73"/>
    <mergeCell ref="AX73:BA73"/>
    <mergeCell ref="H74:K74"/>
    <mergeCell ref="L74:O74"/>
    <mergeCell ref="P74:S74"/>
    <mergeCell ref="T74:W74"/>
    <mergeCell ref="X74:AA74"/>
    <mergeCell ref="AB74:AE74"/>
    <mergeCell ref="AF74:AI74"/>
    <mergeCell ref="AJ74:AM74"/>
    <mergeCell ref="AN74:AQ74"/>
    <mergeCell ref="AR74:AU74"/>
    <mergeCell ref="AV74:AY74"/>
    <mergeCell ref="AZ74:BC74"/>
    <mergeCell ref="H75:K75"/>
    <mergeCell ref="L75:O75"/>
    <mergeCell ref="P75:S75"/>
    <mergeCell ref="T75:W75"/>
    <mergeCell ref="X75:AA75"/>
    <mergeCell ref="AB75:AE75"/>
    <mergeCell ref="AF75:AI75"/>
    <mergeCell ref="AJ75:AM75"/>
    <mergeCell ref="AN75:AQ75"/>
    <mergeCell ref="AR75:AU75"/>
    <mergeCell ref="AV75:AY75"/>
    <mergeCell ref="AZ75:BC75"/>
    <mergeCell ref="I76:L76"/>
    <mergeCell ref="M76:P76"/>
    <mergeCell ref="Q76:T76"/>
    <mergeCell ref="U76:X76"/>
    <mergeCell ref="Y76:AB76"/>
    <mergeCell ref="AC76:AF76"/>
    <mergeCell ref="AG76:AJ76"/>
    <mergeCell ref="AK76:AN76"/>
    <mergeCell ref="AO76:AR76"/>
    <mergeCell ref="AS76:AV76"/>
    <mergeCell ref="AW76:AZ76"/>
    <mergeCell ref="I77:L77"/>
    <mergeCell ref="M77:P77"/>
    <mergeCell ref="Q77:T77"/>
    <mergeCell ref="U77:X77"/>
    <mergeCell ref="Y77:AB77"/>
    <mergeCell ref="AC77:AF77"/>
    <mergeCell ref="AG77:AJ77"/>
    <mergeCell ref="AK77:AN77"/>
    <mergeCell ref="AO77:AR77"/>
    <mergeCell ref="AS77:AV77"/>
    <mergeCell ref="AW77:AZ77"/>
    <mergeCell ref="K78:N78"/>
    <mergeCell ref="O78:R78"/>
    <mergeCell ref="S78:V78"/>
    <mergeCell ref="W78:Z78"/>
    <mergeCell ref="AA78:AD78"/>
    <mergeCell ref="AE78:AH78"/>
    <mergeCell ref="AI78:AL78"/>
    <mergeCell ref="AM78:AP78"/>
    <mergeCell ref="AQ78:AT78"/>
    <mergeCell ref="AU78:AX78"/>
    <mergeCell ref="K79:N79"/>
    <mergeCell ref="O79:R79"/>
    <mergeCell ref="S79:V79"/>
    <mergeCell ref="W79:Z79"/>
    <mergeCell ref="AA79:AD79"/>
    <mergeCell ref="AE79:AH79"/>
    <mergeCell ref="AI79:AL79"/>
    <mergeCell ref="AM79:AP79"/>
    <mergeCell ref="AQ79:AT79"/>
    <mergeCell ref="AU79:AX79"/>
    <mergeCell ref="P80:S80"/>
    <mergeCell ref="T80:AK80"/>
    <mergeCell ref="AL80:AO80"/>
    <mergeCell ref="AP80:AS80"/>
    <mergeCell ref="P81:S81"/>
    <mergeCell ref="T81:AK81"/>
    <mergeCell ref="AL81:AO81"/>
    <mergeCell ref="AP81:AS81"/>
    <mergeCell ref="A83:AX83"/>
    <mergeCell ref="B84:E84"/>
    <mergeCell ref="F85:I85"/>
    <mergeCell ref="J85:M85"/>
    <mergeCell ref="N85:Q85"/>
    <mergeCell ref="R85:U85"/>
    <mergeCell ref="V85:Y85"/>
    <mergeCell ref="Z85:AC85"/>
    <mergeCell ref="AD85:AG85"/>
    <mergeCell ref="AH85:AK85"/>
    <mergeCell ref="AL85:AO85"/>
    <mergeCell ref="AP85:AS85"/>
    <mergeCell ref="AT85:AW85"/>
    <mergeCell ref="AX85:BA85"/>
    <mergeCell ref="F86:I86"/>
    <mergeCell ref="J86:M86"/>
    <mergeCell ref="N86:Q86"/>
    <mergeCell ref="R86:U86"/>
    <mergeCell ref="V86:Y86"/>
    <mergeCell ref="Z86:AC86"/>
    <mergeCell ref="AD86:AG86"/>
    <mergeCell ref="AH86:AK86"/>
    <mergeCell ref="AL86:AO86"/>
    <mergeCell ref="AP86:AS86"/>
    <mergeCell ref="AT86:AW86"/>
    <mergeCell ref="AX86:BA86"/>
    <mergeCell ref="H87:K87"/>
    <mergeCell ref="L87:O87"/>
    <mergeCell ref="P87:S87"/>
    <mergeCell ref="T87:W87"/>
    <mergeCell ref="X87:AA87"/>
    <mergeCell ref="AB87:AE87"/>
    <mergeCell ref="AF87:AI87"/>
    <mergeCell ref="AJ87:AM87"/>
    <mergeCell ref="AN87:AQ87"/>
    <mergeCell ref="AR87:AU87"/>
    <mergeCell ref="AV87:AY87"/>
    <mergeCell ref="AZ87:BC87"/>
    <mergeCell ref="H88:K88"/>
    <mergeCell ref="L88:O88"/>
    <mergeCell ref="P88:S88"/>
    <mergeCell ref="T88:W88"/>
    <mergeCell ref="X88:AA88"/>
    <mergeCell ref="AB88:AE88"/>
    <mergeCell ref="AF88:AI88"/>
    <mergeCell ref="AJ88:AM88"/>
    <mergeCell ref="AN88:AQ88"/>
    <mergeCell ref="AR88:AU88"/>
    <mergeCell ref="AV88:AY88"/>
    <mergeCell ref="AZ88:BC88"/>
    <mergeCell ref="I89:L89"/>
    <mergeCell ref="M89:P89"/>
    <mergeCell ref="Q89:T89"/>
    <mergeCell ref="U89:X89"/>
    <mergeCell ref="Y89:AB89"/>
    <mergeCell ref="AC89:AF89"/>
    <mergeCell ref="AG89:AJ89"/>
    <mergeCell ref="AK89:AN89"/>
    <mergeCell ref="AO89:AR89"/>
    <mergeCell ref="AS89:AV89"/>
    <mergeCell ref="AW89:AZ89"/>
    <mergeCell ref="I90:L90"/>
    <mergeCell ref="M90:P90"/>
    <mergeCell ref="Q90:T90"/>
    <mergeCell ref="U90:X90"/>
    <mergeCell ref="Y90:AB90"/>
    <mergeCell ref="AC90:AF90"/>
    <mergeCell ref="AG90:AJ90"/>
    <mergeCell ref="AK90:AN90"/>
    <mergeCell ref="AO90:AR90"/>
    <mergeCell ref="AS90:AV90"/>
    <mergeCell ref="AW90:AZ90"/>
    <mergeCell ref="K91:N91"/>
    <mergeCell ref="O91:R91"/>
    <mergeCell ref="S91:V91"/>
    <mergeCell ref="W91:Z91"/>
    <mergeCell ref="AA91:AD91"/>
    <mergeCell ref="AE91:AH91"/>
    <mergeCell ref="AI91:AL91"/>
    <mergeCell ref="AM91:AP91"/>
    <mergeCell ref="AQ91:AT91"/>
    <mergeCell ref="AU91:AX91"/>
    <mergeCell ref="K92:N92"/>
    <mergeCell ref="O92:R92"/>
    <mergeCell ref="S92:V92"/>
    <mergeCell ref="W92:Z92"/>
    <mergeCell ref="AA92:AD92"/>
    <mergeCell ref="AE92:AH92"/>
    <mergeCell ref="AI92:AL92"/>
    <mergeCell ref="AM92:AP92"/>
    <mergeCell ref="AQ92:AT92"/>
    <mergeCell ref="AU92:AX92"/>
    <mergeCell ref="P93:S93"/>
    <mergeCell ref="T93:AK93"/>
    <mergeCell ref="AL93:AO93"/>
    <mergeCell ref="AP93:AS93"/>
    <mergeCell ref="P94:S94"/>
    <mergeCell ref="T94:AK94"/>
    <mergeCell ref="AL94:AO94"/>
    <mergeCell ref="AP94:AS94"/>
    <mergeCell ref="A96:AX96"/>
    <mergeCell ref="B97:E97"/>
    <mergeCell ref="F98:I98"/>
    <mergeCell ref="J98:M98"/>
    <mergeCell ref="N98:Q98"/>
    <mergeCell ref="R98:U98"/>
    <mergeCell ref="V98:Y98"/>
    <mergeCell ref="Z98:AC98"/>
    <mergeCell ref="AD98:AG98"/>
    <mergeCell ref="AH98:AK98"/>
    <mergeCell ref="AL98:AO98"/>
    <mergeCell ref="AP98:AS98"/>
    <mergeCell ref="AT98:AW98"/>
    <mergeCell ref="AX98:BA98"/>
    <mergeCell ref="F99:I99"/>
    <mergeCell ref="J99:M99"/>
    <mergeCell ref="N99:Q99"/>
    <mergeCell ref="R99:U99"/>
    <mergeCell ref="V99:Y99"/>
    <mergeCell ref="Z99:AC99"/>
    <mergeCell ref="AD99:AG99"/>
    <mergeCell ref="AH99:AK99"/>
    <mergeCell ref="AL99:AO99"/>
    <mergeCell ref="AP99:AS99"/>
    <mergeCell ref="AT99:AW99"/>
    <mergeCell ref="AX99:BA99"/>
    <mergeCell ref="H100:K100"/>
    <mergeCell ref="L100:O100"/>
    <mergeCell ref="P100:S100"/>
    <mergeCell ref="T100:W100"/>
    <mergeCell ref="X100:AA100"/>
    <mergeCell ref="AB100:AE100"/>
    <mergeCell ref="AF100:AI100"/>
    <mergeCell ref="AJ100:AM100"/>
    <mergeCell ref="AN100:AQ100"/>
    <mergeCell ref="AR100:AU100"/>
    <mergeCell ref="AV100:AY100"/>
    <mergeCell ref="AZ100:BC100"/>
    <mergeCell ref="H101:K101"/>
    <mergeCell ref="L101:O101"/>
    <mergeCell ref="P101:S101"/>
    <mergeCell ref="T101:W101"/>
    <mergeCell ref="X101:AA101"/>
    <mergeCell ref="AB101:AE101"/>
    <mergeCell ref="AF101:AI101"/>
    <mergeCell ref="AJ101:AM101"/>
    <mergeCell ref="AN101:AQ101"/>
    <mergeCell ref="AR101:AU101"/>
    <mergeCell ref="AV101:AY101"/>
    <mergeCell ref="AZ101:BC101"/>
    <mergeCell ref="I102:L102"/>
    <mergeCell ref="M102:P102"/>
    <mergeCell ref="Q102:T102"/>
    <mergeCell ref="U102:X102"/>
    <mergeCell ref="Y102:AB102"/>
    <mergeCell ref="AC102:AF102"/>
    <mergeCell ref="AG102:AJ102"/>
    <mergeCell ref="AK102:AN102"/>
    <mergeCell ref="AO102:AR102"/>
    <mergeCell ref="AS102:AV102"/>
    <mergeCell ref="AW102:AZ102"/>
    <mergeCell ref="I103:L103"/>
    <mergeCell ref="M103:P103"/>
    <mergeCell ref="Q103:T103"/>
    <mergeCell ref="U103:X103"/>
    <mergeCell ref="Y103:AB103"/>
    <mergeCell ref="AC103:AF103"/>
    <mergeCell ref="AG103:AJ103"/>
    <mergeCell ref="AK103:AN103"/>
    <mergeCell ref="AO103:AR103"/>
    <mergeCell ref="AS103:AV103"/>
    <mergeCell ref="AW103:AZ103"/>
    <mergeCell ref="K104:N104"/>
    <mergeCell ref="O104:R104"/>
    <mergeCell ref="S104:V104"/>
    <mergeCell ref="W104:Z104"/>
    <mergeCell ref="AA104:AD104"/>
    <mergeCell ref="AE104:AH104"/>
    <mergeCell ref="AI104:AL104"/>
    <mergeCell ref="AM104:AP104"/>
    <mergeCell ref="AQ104:AT104"/>
    <mergeCell ref="AU104:AX104"/>
    <mergeCell ref="K105:N105"/>
    <mergeCell ref="O105:R105"/>
    <mergeCell ref="S105:V105"/>
    <mergeCell ref="W105:Z105"/>
    <mergeCell ref="AA105:AD105"/>
    <mergeCell ref="AE105:AH105"/>
    <mergeCell ref="AI105:AL105"/>
    <mergeCell ref="AM105:AP105"/>
    <mergeCell ref="AQ105:AT105"/>
    <mergeCell ref="AU105:AX105"/>
    <mergeCell ref="P106:S106"/>
    <mergeCell ref="T106:AK106"/>
    <mergeCell ref="AL106:AO106"/>
    <mergeCell ref="AP106:AS106"/>
    <mergeCell ref="P107:S107"/>
    <mergeCell ref="T107:AK107"/>
    <mergeCell ref="AL107:AO107"/>
    <mergeCell ref="AP107:AS107"/>
    <mergeCell ref="A109:AX109"/>
    <mergeCell ref="B110:E110"/>
    <mergeCell ref="F111:I111"/>
    <mergeCell ref="J111:M111"/>
    <mergeCell ref="N111:Q111"/>
    <mergeCell ref="R111:U111"/>
    <mergeCell ref="V111:Y111"/>
    <mergeCell ref="Z111:AC111"/>
    <mergeCell ref="AD111:AG111"/>
    <mergeCell ref="AH111:AK111"/>
    <mergeCell ref="AL111:AO111"/>
    <mergeCell ref="AP111:AS111"/>
    <mergeCell ref="AT111:AW111"/>
    <mergeCell ref="AX111:BA111"/>
    <mergeCell ref="F112:I112"/>
    <mergeCell ref="J112:M112"/>
    <mergeCell ref="N112:Q112"/>
    <mergeCell ref="R112:U112"/>
    <mergeCell ref="V112:Y112"/>
    <mergeCell ref="Z112:AC112"/>
    <mergeCell ref="AD112:AG112"/>
    <mergeCell ref="AH112:AK112"/>
    <mergeCell ref="AL112:AO112"/>
    <mergeCell ref="AP112:AS112"/>
    <mergeCell ref="AT112:AW112"/>
    <mergeCell ref="AX112:BA112"/>
    <mergeCell ref="H113:K113"/>
    <mergeCell ref="L113:O113"/>
    <mergeCell ref="P113:S113"/>
    <mergeCell ref="T113:W113"/>
    <mergeCell ref="X113:AA113"/>
    <mergeCell ref="AB113:AE113"/>
    <mergeCell ref="AF113:AI113"/>
    <mergeCell ref="AJ113:AM113"/>
    <mergeCell ref="AN113:AQ113"/>
    <mergeCell ref="AR113:AU113"/>
    <mergeCell ref="AV113:AY113"/>
    <mergeCell ref="AZ113:BC113"/>
    <mergeCell ref="H114:K114"/>
    <mergeCell ref="L114:O114"/>
    <mergeCell ref="P114:S114"/>
    <mergeCell ref="T114:W114"/>
    <mergeCell ref="X114:AA114"/>
    <mergeCell ref="AB114:AE114"/>
    <mergeCell ref="AF114:AI114"/>
    <mergeCell ref="AJ114:AM114"/>
    <mergeCell ref="AN114:AQ114"/>
    <mergeCell ref="AR114:AU114"/>
    <mergeCell ref="AV114:AY114"/>
    <mergeCell ref="AZ114:BC114"/>
    <mergeCell ref="I115:L115"/>
    <mergeCell ref="M115:P115"/>
    <mergeCell ref="Q115:T115"/>
    <mergeCell ref="U115:X115"/>
    <mergeCell ref="Y115:AB115"/>
    <mergeCell ref="AC115:AF115"/>
    <mergeCell ref="AG115:AJ115"/>
    <mergeCell ref="AK115:AN115"/>
    <mergeCell ref="AO115:AR115"/>
    <mergeCell ref="AS115:AV115"/>
    <mergeCell ref="AW115:AZ115"/>
    <mergeCell ref="I116:L116"/>
    <mergeCell ref="M116:P116"/>
    <mergeCell ref="Q116:T116"/>
    <mergeCell ref="U116:X116"/>
    <mergeCell ref="Y116:AB116"/>
    <mergeCell ref="AC116:AF116"/>
    <mergeCell ref="AG116:AJ116"/>
    <mergeCell ref="AK116:AN116"/>
    <mergeCell ref="AO116:AR116"/>
    <mergeCell ref="AS116:AV116"/>
    <mergeCell ref="AW116:AZ116"/>
    <mergeCell ref="K117:N117"/>
    <mergeCell ref="O117:R117"/>
    <mergeCell ref="S117:V117"/>
    <mergeCell ref="W117:Z117"/>
    <mergeCell ref="AA117:AD117"/>
    <mergeCell ref="AE117:AH117"/>
    <mergeCell ref="AI117:AL117"/>
    <mergeCell ref="AM117:AP117"/>
    <mergeCell ref="AQ117:AT117"/>
    <mergeCell ref="AU117:AX117"/>
    <mergeCell ref="K118:N118"/>
    <mergeCell ref="O118:R118"/>
    <mergeCell ref="S118:V118"/>
    <mergeCell ref="W118:Z118"/>
    <mergeCell ref="AA118:AD118"/>
    <mergeCell ref="AE118:AH118"/>
    <mergeCell ref="AI118:AL118"/>
    <mergeCell ref="AM118:AP118"/>
    <mergeCell ref="AQ118:AT118"/>
    <mergeCell ref="AU118:AX118"/>
    <mergeCell ref="P119:S119"/>
    <mergeCell ref="T119:AK119"/>
    <mergeCell ref="AL119:AO119"/>
    <mergeCell ref="AP119:AS119"/>
    <mergeCell ref="P120:S120"/>
    <mergeCell ref="T120:AK120"/>
    <mergeCell ref="AL120:AO120"/>
    <mergeCell ref="AP120:AS120"/>
    <mergeCell ref="A122:AX122"/>
    <mergeCell ref="B123:E123"/>
    <mergeCell ref="F124:I124"/>
    <mergeCell ref="J124:M124"/>
    <mergeCell ref="N124:Q124"/>
    <mergeCell ref="R124:U124"/>
    <mergeCell ref="V124:Y124"/>
    <mergeCell ref="Z124:AC124"/>
    <mergeCell ref="AD124:AG124"/>
    <mergeCell ref="AH124:AK124"/>
    <mergeCell ref="AL124:AO124"/>
    <mergeCell ref="AP124:AS124"/>
    <mergeCell ref="AT124:AW124"/>
    <mergeCell ref="AX124:BA124"/>
    <mergeCell ref="F125:I125"/>
    <mergeCell ref="J125:M125"/>
    <mergeCell ref="N125:Q125"/>
    <mergeCell ref="R125:U125"/>
    <mergeCell ref="V125:Y125"/>
    <mergeCell ref="Z125:AC125"/>
    <mergeCell ref="AD125:AG125"/>
    <mergeCell ref="AH125:AK125"/>
    <mergeCell ref="AL125:AO125"/>
    <mergeCell ref="AP125:AS125"/>
    <mergeCell ref="AT125:AW125"/>
    <mergeCell ref="AX125:BA125"/>
    <mergeCell ref="H126:K126"/>
    <mergeCell ref="L126:O126"/>
    <mergeCell ref="P126:S126"/>
    <mergeCell ref="T126:W126"/>
    <mergeCell ref="X126:AA126"/>
    <mergeCell ref="AB126:AE126"/>
    <mergeCell ref="AF126:AI126"/>
    <mergeCell ref="AJ126:AM126"/>
    <mergeCell ref="AN126:AQ126"/>
    <mergeCell ref="AR126:AU126"/>
    <mergeCell ref="AV126:AY126"/>
    <mergeCell ref="AZ126:BC126"/>
    <mergeCell ref="H127:K127"/>
    <mergeCell ref="L127:O127"/>
    <mergeCell ref="P127:S127"/>
    <mergeCell ref="T127:W127"/>
    <mergeCell ref="X127:AA127"/>
    <mergeCell ref="AB127:AE127"/>
    <mergeCell ref="AF127:AI127"/>
    <mergeCell ref="AJ127:AM127"/>
    <mergeCell ref="AN127:AQ127"/>
    <mergeCell ref="AR127:AU127"/>
    <mergeCell ref="AV127:AY127"/>
    <mergeCell ref="AZ127:BC127"/>
    <mergeCell ref="I128:L128"/>
    <mergeCell ref="M128:P128"/>
    <mergeCell ref="Q128:T128"/>
    <mergeCell ref="U128:X128"/>
    <mergeCell ref="Y128:AB128"/>
    <mergeCell ref="AC128:AF128"/>
    <mergeCell ref="AG128:AJ128"/>
    <mergeCell ref="AK128:AN128"/>
    <mergeCell ref="AO128:AR128"/>
    <mergeCell ref="AS128:AV128"/>
    <mergeCell ref="AW128:AZ128"/>
    <mergeCell ref="I129:L129"/>
    <mergeCell ref="M129:P129"/>
    <mergeCell ref="Q129:T129"/>
    <mergeCell ref="U129:X129"/>
    <mergeCell ref="Y129:AB129"/>
    <mergeCell ref="AC129:AF129"/>
    <mergeCell ref="AG129:AJ129"/>
    <mergeCell ref="AK129:AN129"/>
    <mergeCell ref="AO129:AR129"/>
    <mergeCell ref="AS129:AV129"/>
    <mergeCell ref="AW129:AZ129"/>
    <mergeCell ref="K130:N130"/>
    <mergeCell ref="O130:R130"/>
    <mergeCell ref="S130:V130"/>
    <mergeCell ref="W130:Z130"/>
    <mergeCell ref="AA130:AD130"/>
    <mergeCell ref="AE130:AH130"/>
    <mergeCell ref="AI130:AL130"/>
    <mergeCell ref="AM130:AP130"/>
    <mergeCell ref="AQ130:AT130"/>
    <mergeCell ref="AU130:AX130"/>
    <mergeCell ref="K131:N131"/>
    <mergeCell ref="O131:R131"/>
    <mergeCell ref="S131:V131"/>
    <mergeCell ref="W131:Z131"/>
    <mergeCell ref="AA131:AD131"/>
    <mergeCell ref="AE131:AH131"/>
    <mergeCell ref="AI131:AL131"/>
    <mergeCell ref="AM131:AP131"/>
    <mergeCell ref="AQ131:AT131"/>
    <mergeCell ref="AU131:AX131"/>
    <mergeCell ref="P132:S132"/>
    <mergeCell ref="T132:AK132"/>
    <mergeCell ref="AL132:AO132"/>
    <mergeCell ref="AP132:AS132"/>
    <mergeCell ref="P133:S133"/>
    <mergeCell ref="T133:AK133"/>
    <mergeCell ref="AL133:AO133"/>
    <mergeCell ref="AP133:AS133"/>
    <mergeCell ref="A135:AX135"/>
    <mergeCell ref="B136:E136"/>
    <mergeCell ref="F137:I137"/>
    <mergeCell ref="J137:M137"/>
    <mergeCell ref="N137:Q137"/>
    <mergeCell ref="R137:U137"/>
    <mergeCell ref="V137:Y137"/>
    <mergeCell ref="Z137:AC137"/>
    <mergeCell ref="AD137:AG137"/>
    <mergeCell ref="AH137:AK137"/>
    <mergeCell ref="AL137:AO137"/>
    <mergeCell ref="AP137:AS137"/>
    <mergeCell ref="AT137:AW137"/>
    <mergeCell ref="AX137:BA137"/>
    <mergeCell ref="F138:I138"/>
    <mergeCell ref="J138:M138"/>
    <mergeCell ref="N138:Q138"/>
    <mergeCell ref="R138:U138"/>
    <mergeCell ref="V138:Y138"/>
    <mergeCell ref="Z138:AC138"/>
    <mergeCell ref="AD138:AG138"/>
    <mergeCell ref="AH138:AK138"/>
    <mergeCell ref="AL138:AO138"/>
    <mergeCell ref="AP138:AS138"/>
    <mergeCell ref="AT138:AW138"/>
    <mergeCell ref="AX138:BA138"/>
    <mergeCell ref="H139:K139"/>
    <mergeCell ref="L139:O139"/>
    <mergeCell ref="P139:S139"/>
    <mergeCell ref="T139:W139"/>
    <mergeCell ref="X139:AA139"/>
    <mergeCell ref="AB139:AE139"/>
    <mergeCell ref="AF139:AI139"/>
    <mergeCell ref="AJ139:AM139"/>
    <mergeCell ref="AN139:AQ139"/>
    <mergeCell ref="AR139:AU139"/>
    <mergeCell ref="AV139:AY139"/>
    <mergeCell ref="AZ139:BC139"/>
    <mergeCell ref="H140:K140"/>
    <mergeCell ref="L140:O140"/>
    <mergeCell ref="P140:S140"/>
    <mergeCell ref="T140:W140"/>
    <mergeCell ref="X140:AA140"/>
    <mergeCell ref="AB140:AE140"/>
    <mergeCell ref="AF140:AI140"/>
    <mergeCell ref="AJ140:AM140"/>
    <mergeCell ref="AN140:AQ140"/>
    <mergeCell ref="AR140:AU140"/>
    <mergeCell ref="AV140:AY140"/>
    <mergeCell ref="AZ140:BC140"/>
    <mergeCell ref="I141:L141"/>
    <mergeCell ref="M141:P141"/>
    <mergeCell ref="Q141:T141"/>
    <mergeCell ref="U141:X141"/>
    <mergeCell ref="Y141:AB141"/>
    <mergeCell ref="AC141:AF141"/>
    <mergeCell ref="AG141:AJ141"/>
    <mergeCell ref="AK141:AN141"/>
    <mergeCell ref="AO141:AR141"/>
    <mergeCell ref="AS141:AV141"/>
    <mergeCell ref="AW141:AZ141"/>
    <mergeCell ref="I142:L142"/>
    <mergeCell ref="M142:P142"/>
    <mergeCell ref="Q142:T142"/>
    <mergeCell ref="U142:X142"/>
    <mergeCell ref="Y142:AB142"/>
    <mergeCell ref="AC142:AF142"/>
    <mergeCell ref="AG142:AJ142"/>
    <mergeCell ref="AK142:AN142"/>
    <mergeCell ref="AO142:AR142"/>
    <mergeCell ref="AS142:AV142"/>
    <mergeCell ref="AW142:AZ142"/>
    <mergeCell ref="K143:N143"/>
    <mergeCell ref="O143:R143"/>
    <mergeCell ref="S143:V143"/>
    <mergeCell ref="W143:Z143"/>
    <mergeCell ref="AA143:AD143"/>
    <mergeCell ref="AE143:AH143"/>
    <mergeCell ref="AI143:AL143"/>
    <mergeCell ref="AM143:AP143"/>
    <mergeCell ref="AQ143:AT143"/>
    <mergeCell ref="AU143:AX143"/>
    <mergeCell ref="K144:N144"/>
    <mergeCell ref="O144:R144"/>
    <mergeCell ref="S144:V144"/>
    <mergeCell ref="W144:Z144"/>
    <mergeCell ref="AA144:AD144"/>
    <mergeCell ref="AE144:AH144"/>
    <mergeCell ref="AI144:AL144"/>
    <mergeCell ref="AM144:AP144"/>
    <mergeCell ref="AQ144:AT144"/>
    <mergeCell ref="AU144:AX144"/>
    <mergeCell ref="P145:S145"/>
    <mergeCell ref="T145:AK145"/>
    <mergeCell ref="AL145:AO145"/>
    <mergeCell ref="AP145:AS145"/>
    <mergeCell ref="P146:S146"/>
    <mergeCell ref="T146:AK146"/>
    <mergeCell ref="AL146:AO146"/>
    <mergeCell ref="AP146:AS146"/>
    <mergeCell ref="A148:AX148"/>
    <mergeCell ref="B149:E149"/>
    <mergeCell ref="F150:I150"/>
    <mergeCell ref="J150:M150"/>
    <mergeCell ref="N150:Q150"/>
    <mergeCell ref="R150:U150"/>
    <mergeCell ref="V150:Y150"/>
    <mergeCell ref="Z150:AC150"/>
    <mergeCell ref="AD150:AG150"/>
    <mergeCell ref="AH150:AK150"/>
    <mergeCell ref="AL150:AO150"/>
    <mergeCell ref="AP150:AS150"/>
    <mergeCell ref="AT150:AW150"/>
    <mergeCell ref="AX150:BA150"/>
    <mergeCell ref="F151:I151"/>
    <mergeCell ref="J151:M151"/>
    <mergeCell ref="N151:Q151"/>
    <mergeCell ref="R151:U151"/>
    <mergeCell ref="V151:Y151"/>
    <mergeCell ref="Z151:AC151"/>
    <mergeCell ref="AD151:AG151"/>
    <mergeCell ref="AH151:AK151"/>
    <mergeCell ref="AL151:AO151"/>
    <mergeCell ref="AP151:AS151"/>
    <mergeCell ref="AT151:AW151"/>
    <mergeCell ref="AX151:BA151"/>
    <mergeCell ref="H152:K152"/>
    <mergeCell ref="L152:O152"/>
    <mergeCell ref="P152:S152"/>
    <mergeCell ref="T152:W152"/>
    <mergeCell ref="X152:AA152"/>
    <mergeCell ref="AB152:AE152"/>
    <mergeCell ref="AF152:AI152"/>
    <mergeCell ref="AJ152:AM152"/>
    <mergeCell ref="AN152:AQ152"/>
    <mergeCell ref="AR152:AU152"/>
    <mergeCell ref="AV152:AY152"/>
    <mergeCell ref="AZ152:BC152"/>
    <mergeCell ref="H153:K153"/>
    <mergeCell ref="L153:O153"/>
    <mergeCell ref="P153:S153"/>
    <mergeCell ref="T153:W153"/>
    <mergeCell ref="X153:AA153"/>
    <mergeCell ref="AB153:AE153"/>
    <mergeCell ref="AF153:AI153"/>
    <mergeCell ref="AJ153:AM153"/>
    <mergeCell ref="AN153:AQ153"/>
    <mergeCell ref="AR153:AU153"/>
    <mergeCell ref="AV153:AY153"/>
    <mergeCell ref="AZ153:BC153"/>
    <mergeCell ref="I154:L154"/>
    <mergeCell ref="M154:P154"/>
    <mergeCell ref="Q154:T154"/>
    <mergeCell ref="U154:X154"/>
    <mergeCell ref="Y154:AB154"/>
    <mergeCell ref="AC154:AF154"/>
    <mergeCell ref="AG154:AJ154"/>
    <mergeCell ref="AK154:AN154"/>
    <mergeCell ref="AO154:AR154"/>
    <mergeCell ref="AS154:AV154"/>
    <mergeCell ref="AW154:AZ154"/>
    <mergeCell ref="I155:L155"/>
    <mergeCell ref="M155:P155"/>
    <mergeCell ref="Q155:T155"/>
    <mergeCell ref="U155:X155"/>
    <mergeCell ref="Y155:AB155"/>
    <mergeCell ref="AC155:AF155"/>
    <mergeCell ref="AG155:AJ155"/>
    <mergeCell ref="AK155:AN155"/>
    <mergeCell ref="AO155:AR155"/>
    <mergeCell ref="AS155:AV155"/>
    <mergeCell ref="AW155:AZ155"/>
    <mergeCell ref="K156:N156"/>
    <mergeCell ref="O156:R156"/>
    <mergeCell ref="S156:V156"/>
    <mergeCell ref="W156:Z156"/>
    <mergeCell ref="AA156:AD156"/>
    <mergeCell ref="AE156:AH156"/>
    <mergeCell ref="AI156:AL156"/>
    <mergeCell ref="AM156:AP156"/>
    <mergeCell ref="AQ156:AT156"/>
    <mergeCell ref="AU156:AX156"/>
    <mergeCell ref="K157:N157"/>
    <mergeCell ref="O157:R157"/>
    <mergeCell ref="S157:V157"/>
    <mergeCell ref="W157:Z157"/>
    <mergeCell ref="AA157:AD157"/>
    <mergeCell ref="AE157:AH157"/>
    <mergeCell ref="AI157:AL157"/>
    <mergeCell ref="AM157:AP157"/>
    <mergeCell ref="AQ157:AT157"/>
    <mergeCell ref="AU157:AX157"/>
    <mergeCell ref="P158:S158"/>
    <mergeCell ref="T158:AK158"/>
    <mergeCell ref="AL158:AO158"/>
    <mergeCell ref="AP158:AS158"/>
    <mergeCell ref="P159:S159"/>
    <mergeCell ref="T159:AK159"/>
    <mergeCell ref="AL159:AO159"/>
    <mergeCell ref="AP159:AS159"/>
    <mergeCell ref="A161:AX161"/>
    <mergeCell ref="B162:E162"/>
    <mergeCell ref="F163:I163"/>
    <mergeCell ref="J163:M163"/>
    <mergeCell ref="N163:Q163"/>
    <mergeCell ref="R163:U163"/>
    <mergeCell ref="V163:Y163"/>
    <mergeCell ref="Z163:AC163"/>
    <mergeCell ref="AD163:AG163"/>
    <mergeCell ref="AH163:AK163"/>
    <mergeCell ref="AL163:AO163"/>
    <mergeCell ref="AP163:AS163"/>
    <mergeCell ref="AT163:AW163"/>
    <mergeCell ref="AX163:BA163"/>
    <mergeCell ref="F164:I164"/>
    <mergeCell ref="J164:M164"/>
    <mergeCell ref="N164:Q164"/>
    <mergeCell ref="R164:U164"/>
    <mergeCell ref="V164:Y164"/>
    <mergeCell ref="Z164:AC164"/>
    <mergeCell ref="AD164:AG164"/>
    <mergeCell ref="AH164:AK164"/>
    <mergeCell ref="AL164:AO164"/>
    <mergeCell ref="AP164:AS164"/>
    <mergeCell ref="AT164:AW164"/>
    <mergeCell ref="AX164:BA164"/>
    <mergeCell ref="H165:K165"/>
    <mergeCell ref="L165:O165"/>
    <mergeCell ref="P165:S165"/>
    <mergeCell ref="T165:W165"/>
    <mergeCell ref="X165:AA165"/>
    <mergeCell ref="AB165:AE165"/>
    <mergeCell ref="AF165:AI165"/>
    <mergeCell ref="AJ165:AM165"/>
    <mergeCell ref="AN165:AQ165"/>
    <mergeCell ref="AR165:AU165"/>
    <mergeCell ref="AV165:AY165"/>
    <mergeCell ref="AZ165:BC165"/>
    <mergeCell ref="H166:K166"/>
    <mergeCell ref="L166:O166"/>
    <mergeCell ref="P166:S166"/>
    <mergeCell ref="T166:W166"/>
    <mergeCell ref="X166:AA166"/>
    <mergeCell ref="AB166:AE166"/>
    <mergeCell ref="AF166:AI166"/>
    <mergeCell ref="AJ166:AM166"/>
    <mergeCell ref="AN166:AQ166"/>
    <mergeCell ref="AR166:AU166"/>
    <mergeCell ref="AV166:AY166"/>
    <mergeCell ref="AZ166:BC166"/>
    <mergeCell ref="I167:L167"/>
    <mergeCell ref="M167:P167"/>
    <mergeCell ref="Q167:T167"/>
    <mergeCell ref="U167:X167"/>
    <mergeCell ref="Y167:AB167"/>
    <mergeCell ref="AC167:AF167"/>
    <mergeCell ref="AG167:AJ167"/>
    <mergeCell ref="AK167:AN167"/>
    <mergeCell ref="AO167:AR167"/>
    <mergeCell ref="AS167:AV167"/>
    <mergeCell ref="AW167:AZ167"/>
    <mergeCell ref="I168:L168"/>
    <mergeCell ref="M168:P168"/>
    <mergeCell ref="Q168:T168"/>
    <mergeCell ref="U168:X168"/>
    <mergeCell ref="Y168:AB168"/>
    <mergeCell ref="AC168:AF168"/>
    <mergeCell ref="AG168:AJ168"/>
    <mergeCell ref="AK168:AN168"/>
    <mergeCell ref="AO168:AR168"/>
    <mergeCell ref="AS168:AV168"/>
    <mergeCell ref="AW168:AZ168"/>
    <mergeCell ref="K169:N169"/>
    <mergeCell ref="O169:R169"/>
    <mergeCell ref="S169:V169"/>
    <mergeCell ref="W169:Z169"/>
    <mergeCell ref="AA169:AD169"/>
    <mergeCell ref="AE169:AH169"/>
    <mergeCell ref="AI169:AL169"/>
    <mergeCell ref="AM169:AP169"/>
    <mergeCell ref="AQ169:AT169"/>
    <mergeCell ref="AU169:AX169"/>
    <mergeCell ref="K170:N170"/>
    <mergeCell ref="O170:R170"/>
    <mergeCell ref="S170:V170"/>
    <mergeCell ref="W170:Z170"/>
    <mergeCell ref="AA170:AD170"/>
    <mergeCell ref="AE170:AH170"/>
    <mergeCell ref="AI170:AL170"/>
    <mergeCell ref="AM170:AP170"/>
    <mergeCell ref="AQ170:AT170"/>
    <mergeCell ref="AU170:AX170"/>
    <mergeCell ref="P171:S171"/>
    <mergeCell ref="T171:AK171"/>
    <mergeCell ref="AL171:AO171"/>
    <mergeCell ref="AP171:AS171"/>
    <mergeCell ref="P172:S172"/>
    <mergeCell ref="T172:AK172"/>
    <mergeCell ref="AL172:AO172"/>
    <mergeCell ref="AP172:AS172"/>
    <mergeCell ref="A174:AX174"/>
    <mergeCell ref="B175:E175"/>
    <mergeCell ref="F176:I176"/>
    <mergeCell ref="J176:M176"/>
    <mergeCell ref="N176:Q176"/>
    <mergeCell ref="R176:U176"/>
    <mergeCell ref="V176:Y176"/>
    <mergeCell ref="Z176:AC176"/>
    <mergeCell ref="AD176:AG176"/>
    <mergeCell ref="AH176:AK176"/>
    <mergeCell ref="AL176:AO176"/>
    <mergeCell ref="AP176:AS176"/>
    <mergeCell ref="AT176:AW176"/>
    <mergeCell ref="AX176:BA176"/>
    <mergeCell ref="F177:I177"/>
    <mergeCell ref="J177:M177"/>
    <mergeCell ref="N177:Q177"/>
    <mergeCell ref="R177:U177"/>
    <mergeCell ref="V177:Y177"/>
    <mergeCell ref="Z177:AC177"/>
    <mergeCell ref="AD177:AG177"/>
    <mergeCell ref="AH177:AK177"/>
    <mergeCell ref="AL177:AO177"/>
    <mergeCell ref="AP177:AS177"/>
    <mergeCell ref="AT177:AW177"/>
    <mergeCell ref="AX177:BA177"/>
    <mergeCell ref="H178:K178"/>
    <mergeCell ref="L178:O178"/>
    <mergeCell ref="P178:S178"/>
    <mergeCell ref="T178:W178"/>
    <mergeCell ref="X178:AA178"/>
    <mergeCell ref="AB178:AE178"/>
    <mergeCell ref="AF178:AI178"/>
    <mergeCell ref="AJ178:AM178"/>
    <mergeCell ref="AN178:AQ178"/>
    <mergeCell ref="AR178:AU178"/>
    <mergeCell ref="AV178:AY178"/>
    <mergeCell ref="AZ178:BC178"/>
    <mergeCell ref="H179:K179"/>
    <mergeCell ref="L179:O179"/>
    <mergeCell ref="P179:S179"/>
    <mergeCell ref="T179:W179"/>
    <mergeCell ref="X179:AA179"/>
    <mergeCell ref="AB179:AE179"/>
    <mergeCell ref="AF179:AI179"/>
    <mergeCell ref="AJ179:AM179"/>
    <mergeCell ref="AN179:AQ179"/>
    <mergeCell ref="AR179:AU179"/>
    <mergeCell ref="AV179:AY179"/>
    <mergeCell ref="AZ179:BC179"/>
    <mergeCell ref="I180:L180"/>
    <mergeCell ref="M180:P180"/>
    <mergeCell ref="Q180:T180"/>
    <mergeCell ref="U180:X180"/>
    <mergeCell ref="Y180:AB180"/>
    <mergeCell ref="AC180:AF180"/>
    <mergeCell ref="AG180:AJ180"/>
    <mergeCell ref="AK180:AN180"/>
    <mergeCell ref="AO180:AR180"/>
    <mergeCell ref="AS180:AV180"/>
    <mergeCell ref="AW180:AZ180"/>
    <mergeCell ref="I181:L181"/>
    <mergeCell ref="M181:P181"/>
    <mergeCell ref="Q181:T181"/>
    <mergeCell ref="U181:X181"/>
    <mergeCell ref="Y181:AB181"/>
    <mergeCell ref="AC181:AF181"/>
    <mergeCell ref="AG181:AJ181"/>
    <mergeCell ref="AK181:AN181"/>
    <mergeCell ref="AO181:AR181"/>
    <mergeCell ref="AS181:AV181"/>
    <mergeCell ref="AW181:AZ181"/>
    <mergeCell ref="K182:N182"/>
    <mergeCell ref="O182:R182"/>
    <mergeCell ref="S182:V182"/>
    <mergeCell ref="W182:Z182"/>
    <mergeCell ref="AA182:AD182"/>
    <mergeCell ref="AE182:AH182"/>
    <mergeCell ref="AI182:AL182"/>
    <mergeCell ref="AM182:AP182"/>
    <mergeCell ref="AQ182:AT182"/>
    <mergeCell ref="AU182:AX182"/>
    <mergeCell ref="K183:N183"/>
    <mergeCell ref="O183:R183"/>
    <mergeCell ref="S183:V183"/>
    <mergeCell ref="W183:Z183"/>
    <mergeCell ref="AA183:AD183"/>
    <mergeCell ref="AE183:AH183"/>
    <mergeCell ref="AI183:AL183"/>
    <mergeCell ref="AM183:AP183"/>
    <mergeCell ref="AQ183:AT183"/>
    <mergeCell ref="AU183:AX183"/>
    <mergeCell ref="P184:S184"/>
    <mergeCell ref="T184:AK184"/>
    <mergeCell ref="AL184:AO184"/>
    <mergeCell ref="AP184:AS184"/>
    <mergeCell ref="P185:S185"/>
    <mergeCell ref="T185:AK185"/>
    <mergeCell ref="AL185:AO185"/>
    <mergeCell ref="AP185:AS185"/>
    <mergeCell ref="A187:AX187"/>
    <mergeCell ref="B188:E188"/>
    <mergeCell ref="F189:I189"/>
    <mergeCell ref="J189:M189"/>
    <mergeCell ref="N189:Q189"/>
    <mergeCell ref="R189:U189"/>
    <mergeCell ref="V189:Y189"/>
    <mergeCell ref="Z189:AC189"/>
    <mergeCell ref="AD189:AG189"/>
    <mergeCell ref="AH189:AK189"/>
    <mergeCell ref="AL189:AO189"/>
    <mergeCell ref="AP189:AS189"/>
    <mergeCell ref="AT189:AW189"/>
    <mergeCell ref="AX189:BA189"/>
    <mergeCell ref="F190:I190"/>
    <mergeCell ref="J190:M190"/>
    <mergeCell ref="N190:Q190"/>
    <mergeCell ref="R190:U190"/>
    <mergeCell ref="V190:Y190"/>
    <mergeCell ref="Z190:AC190"/>
    <mergeCell ref="AD190:AG190"/>
    <mergeCell ref="AH190:AK190"/>
    <mergeCell ref="AL190:AO190"/>
    <mergeCell ref="AP190:AS190"/>
    <mergeCell ref="AT190:AW190"/>
    <mergeCell ref="AX190:BA190"/>
    <mergeCell ref="H191:K191"/>
    <mergeCell ref="L191:O191"/>
    <mergeCell ref="P191:S191"/>
    <mergeCell ref="T191:W191"/>
    <mergeCell ref="X191:AA191"/>
    <mergeCell ref="AB191:AE191"/>
    <mergeCell ref="AF191:AI191"/>
    <mergeCell ref="AJ191:AM191"/>
    <mergeCell ref="AN191:AQ191"/>
    <mergeCell ref="AR191:AU191"/>
    <mergeCell ref="AV191:AY191"/>
    <mergeCell ref="AZ191:BC191"/>
    <mergeCell ref="H192:K192"/>
    <mergeCell ref="L192:O192"/>
    <mergeCell ref="P192:S192"/>
    <mergeCell ref="T192:W192"/>
    <mergeCell ref="X192:AA192"/>
    <mergeCell ref="AB192:AE192"/>
    <mergeCell ref="AF192:AI192"/>
    <mergeCell ref="AJ192:AM192"/>
    <mergeCell ref="AN192:AQ192"/>
    <mergeCell ref="AR192:AU192"/>
    <mergeCell ref="AV192:AY192"/>
    <mergeCell ref="AZ192:BC192"/>
    <mergeCell ref="I193:L193"/>
    <mergeCell ref="M193:P193"/>
    <mergeCell ref="Q193:T193"/>
    <mergeCell ref="U193:X193"/>
    <mergeCell ref="Y193:AB193"/>
    <mergeCell ref="AC193:AF193"/>
    <mergeCell ref="AG193:AJ193"/>
    <mergeCell ref="AK193:AN193"/>
    <mergeCell ref="AO193:AR193"/>
    <mergeCell ref="AS193:AV193"/>
    <mergeCell ref="AW193:AZ193"/>
    <mergeCell ref="I194:L194"/>
    <mergeCell ref="M194:P194"/>
    <mergeCell ref="Q194:T194"/>
    <mergeCell ref="U194:X194"/>
    <mergeCell ref="Y194:AB194"/>
    <mergeCell ref="AC194:AF194"/>
    <mergeCell ref="AG194:AJ194"/>
    <mergeCell ref="AK194:AN194"/>
    <mergeCell ref="AO194:AR194"/>
    <mergeCell ref="AS194:AV194"/>
    <mergeCell ref="AW194:AZ194"/>
    <mergeCell ref="K195:N195"/>
    <mergeCell ref="O195:R195"/>
    <mergeCell ref="S195:V195"/>
    <mergeCell ref="W195:Z195"/>
    <mergeCell ref="AA195:AD195"/>
    <mergeCell ref="AE195:AH195"/>
    <mergeCell ref="AI195:AL195"/>
    <mergeCell ref="AM195:AP195"/>
    <mergeCell ref="AQ195:AT195"/>
    <mergeCell ref="AU195:AX195"/>
    <mergeCell ref="K196:N196"/>
    <mergeCell ref="O196:R196"/>
    <mergeCell ref="S196:V196"/>
    <mergeCell ref="W196:Z196"/>
    <mergeCell ref="AA196:AD196"/>
    <mergeCell ref="AE196:AH196"/>
    <mergeCell ref="AI196:AL196"/>
    <mergeCell ref="AM196:AP196"/>
    <mergeCell ref="AQ196:AT196"/>
    <mergeCell ref="AU196:AX196"/>
    <mergeCell ref="P197:S197"/>
    <mergeCell ref="T197:AK197"/>
    <mergeCell ref="AL197:AO197"/>
    <mergeCell ref="AP197:AS197"/>
    <mergeCell ref="P198:S198"/>
    <mergeCell ref="T198:AK198"/>
    <mergeCell ref="AL198:AO198"/>
    <mergeCell ref="AP198:AS198"/>
    <mergeCell ref="A200:AX200"/>
    <mergeCell ref="B201:E201"/>
    <mergeCell ref="F202:I202"/>
    <mergeCell ref="J202:M202"/>
    <mergeCell ref="N202:Q202"/>
    <mergeCell ref="R202:U202"/>
    <mergeCell ref="V202:Y202"/>
    <mergeCell ref="Z202:AC202"/>
    <mergeCell ref="AD202:AG202"/>
    <mergeCell ref="AH202:AK202"/>
    <mergeCell ref="AL202:AO202"/>
    <mergeCell ref="AP202:AS202"/>
    <mergeCell ref="AT202:AW202"/>
    <mergeCell ref="AX202:BA202"/>
    <mergeCell ref="F203:I203"/>
    <mergeCell ref="J203:M203"/>
    <mergeCell ref="N203:Q203"/>
    <mergeCell ref="R203:U203"/>
    <mergeCell ref="V203:Y203"/>
    <mergeCell ref="Z203:AC203"/>
    <mergeCell ref="AD203:AG203"/>
    <mergeCell ref="AH203:AK203"/>
    <mergeCell ref="AL203:AO203"/>
    <mergeCell ref="AP203:AS203"/>
    <mergeCell ref="AT203:AW203"/>
    <mergeCell ref="AX203:BA203"/>
    <mergeCell ref="H204:K204"/>
    <mergeCell ref="L204:O204"/>
    <mergeCell ref="P204:S204"/>
    <mergeCell ref="T204:W204"/>
    <mergeCell ref="X204:AA204"/>
    <mergeCell ref="AB204:AE204"/>
    <mergeCell ref="AF204:AI204"/>
    <mergeCell ref="AJ204:AM204"/>
    <mergeCell ref="AN204:AQ204"/>
    <mergeCell ref="AR204:AU204"/>
    <mergeCell ref="AV204:AY204"/>
    <mergeCell ref="AZ204:BC204"/>
    <mergeCell ref="H205:K205"/>
    <mergeCell ref="L205:O205"/>
    <mergeCell ref="P205:S205"/>
    <mergeCell ref="T205:W205"/>
    <mergeCell ref="X205:AA205"/>
    <mergeCell ref="AB205:AE205"/>
    <mergeCell ref="AF205:AI205"/>
    <mergeCell ref="AJ205:AM205"/>
    <mergeCell ref="AN205:AQ205"/>
    <mergeCell ref="AR205:AU205"/>
    <mergeCell ref="AV205:AY205"/>
    <mergeCell ref="AZ205:BC205"/>
    <mergeCell ref="I206:L206"/>
    <mergeCell ref="M206:P206"/>
    <mergeCell ref="Q206:T206"/>
    <mergeCell ref="U206:X206"/>
    <mergeCell ref="Y206:AB206"/>
    <mergeCell ref="AC206:AF206"/>
    <mergeCell ref="AG206:AJ206"/>
    <mergeCell ref="AK206:AN206"/>
    <mergeCell ref="AO206:AR206"/>
    <mergeCell ref="AS206:AV206"/>
    <mergeCell ref="AW206:AZ206"/>
    <mergeCell ref="I207:L207"/>
    <mergeCell ref="M207:P207"/>
    <mergeCell ref="Q207:T207"/>
    <mergeCell ref="U207:X207"/>
    <mergeCell ref="Y207:AB207"/>
    <mergeCell ref="AC207:AF207"/>
    <mergeCell ref="AG207:AJ207"/>
    <mergeCell ref="AK207:AN207"/>
    <mergeCell ref="AO207:AR207"/>
    <mergeCell ref="AS207:AV207"/>
    <mergeCell ref="AW207:AZ207"/>
    <mergeCell ref="K208:N208"/>
    <mergeCell ref="O208:R208"/>
    <mergeCell ref="S208:V208"/>
    <mergeCell ref="W208:Z208"/>
    <mergeCell ref="AA208:AD208"/>
    <mergeCell ref="AE208:AH208"/>
    <mergeCell ref="AI208:AL208"/>
    <mergeCell ref="AM208:AP208"/>
    <mergeCell ref="AQ208:AT208"/>
    <mergeCell ref="AU208:AX208"/>
    <mergeCell ref="K209:N209"/>
    <mergeCell ref="O209:R209"/>
    <mergeCell ref="S209:V209"/>
    <mergeCell ref="W209:Z209"/>
    <mergeCell ref="AA209:AD209"/>
    <mergeCell ref="AE209:AH209"/>
    <mergeCell ref="AI209:AL209"/>
    <mergeCell ref="AM209:AP209"/>
    <mergeCell ref="AQ209:AT209"/>
    <mergeCell ref="AU209:AX209"/>
    <mergeCell ref="P210:S210"/>
    <mergeCell ref="T210:AK210"/>
    <mergeCell ref="AL210:AO210"/>
    <mergeCell ref="AP210:AS210"/>
    <mergeCell ref="P211:S211"/>
    <mergeCell ref="T211:AK211"/>
    <mergeCell ref="AL211:AO211"/>
    <mergeCell ref="AP211:AS211"/>
    <mergeCell ref="A213:AX213"/>
    <mergeCell ref="B214:E214"/>
    <mergeCell ref="F215:I215"/>
    <mergeCell ref="J215:M215"/>
    <mergeCell ref="N215:Q215"/>
    <mergeCell ref="R215:U215"/>
    <mergeCell ref="V215:Y215"/>
    <mergeCell ref="Z215:AC215"/>
    <mergeCell ref="AD215:AG215"/>
    <mergeCell ref="AH215:AK215"/>
    <mergeCell ref="AL215:AO215"/>
    <mergeCell ref="AP215:AS215"/>
    <mergeCell ref="AT215:AW215"/>
    <mergeCell ref="AX215:BA215"/>
    <mergeCell ref="F216:I216"/>
    <mergeCell ref="J216:M216"/>
    <mergeCell ref="N216:Q216"/>
    <mergeCell ref="R216:U216"/>
    <mergeCell ref="V216:Y216"/>
    <mergeCell ref="Z216:AC216"/>
    <mergeCell ref="AD216:AG216"/>
    <mergeCell ref="AH216:AK216"/>
    <mergeCell ref="AL216:AO216"/>
    <mergeCell ref="AP216:AS216"/>
    <mergeCell ref="AT216:AW216"/>
    <mergeCell ref="AX216:BA216"/>
    <mergeCell ref="H217:K217"/>
    <mergeCell ref="L217:O217"/>
    <mergeCell ref="P217:S217"/>
    <mergeCell ref="T217:W217"/>
    <mergeCell ref="X217:AA217"/>
    <mergeCell ref="AB217:AE217"/>
    <mergeCell ref="AF217:AI217"/>
    <mergeCell ref="AJ217:AM217"/>
    <mergeCell ref="AN217:AQ217"/>
    <mergeCell ref="AR217:AU217"/>
    <mergeCell ref="AV217:AY217"/>
    <mergeCell ref="AZ217:BC217"/>
    <mergeCell ref="H218:K218"/>
    <mergeCell ref="L218:O218"/>
    <mergeCell ref="P218:S218"/>
    <mergeCell ref="T218:W218"/>
    <mergeCell ref="X218:AA218"/>
    <mergeCell ref="AB218:AE218"/>
    <mergeCell ref="AF218:AI218"/>
    <mergeCell ref="AJ218:AM218"/>
    <mergeCell ref="AN218:AQ218"/>
    <mergeCell ref="AR218:AU218"/>
    <mergeCell ref="AV218:AY218"/>
    <mergeCell ref="AZ218:BC218"/>
    <mergeCell ref="I219:L219"/>
    <mergeCell ref="M219:P219"/>
    <mergeCell ref="Q219:T219"/>
    <mergeCell ref="U219:X219"/>
    <mergeCell ref="Y219:AB219"/>
    <mergeCell ref="AC219:AF219"/>
    <mergeCell ref="AG219:AJ219"/>
    <mergeCell ref="AK219:AN219"/>
    <mergeCell ref="AO219:AR219"/>
    <mergeCell ref="AS219:AV219"/>
    <mergeCell ref="AW219:AZ219"/>
    <mergeCell ref="I220:L220"/>
    <mergeCell ref="M220:P220"/>
    <mergeCell ref="Q220:T220"/>
    <mergeCell ref="U220:X220"/>
    <mergeCell ref="Y220:AB220"/>
    <mergeCell ref="AC220:AF220"/>
    <mergeCell ref="AG220:AJ220"/>
    <mergeCell ref="AK220:AN220"/>
    <mergeCell ref="AO220:AR220"/>
    <mergeCell ref="AS220:AV220"/>
    <mergeCell ref="AW220:AZ220"/>
    <mergeCell ref="K221:N221"/>
    <mergeCell ref="O221:R221"/>
    <mergeCell ref="S221:V221"/>
    <mergeCell ref="W221:Z221"/>
    <mergeCell ref="AA221:AD221"/>
    <mergeCell ref="AE221:AH221"/>
    <mergeCell ref="AI221:AL221"/>
    <mergeCell ref="AM221:AP221"/>
    <mergeCell ref="AQ221:AT221"/>
    <mergeCell ref="AU221:AX221"/>
    <mergeCell ref="K222:N222"/>
    <mergeCell ref="O222:R222"/>
    <mergeCell ref="S222:V222"/>
    <mergeCell ref="W222:Z222"/>
    <mergeCell ref="AA222:AD222"/>
    <mergeCell ref="AE222:AH222"/>
    <mergeCell ref="AI222:AL222"/>
    <mergeCell ref="AM222:AP222"/>
    <mergeCell ref="AQ222:AT222"/>
    <mergeCell ref="AU222:AX222"/>
    <mergeCell ref="P223:S223"/>
    <mergeCell ref="T223:AK223"/>
    <mergeCell ref="AL223:AO223"/>
    <mergeCell ref="AP223:AS223"/>
    <mergeCell ref="P224:S224"/>
    <mergeCell ref="T224:AK224"/>
    <mergeCell ref="AL224:AO224"/>
    <mergeCell ref="AP224:AS224"/>
    <mergeCell ref="A226:AX226"/>
    <mergeCell ref="B227:E227"/>
    <mergeCell ref="F228:I228"/>
    <mergeCell ref="J228:M228"/>
    <mergeCell ref="N228:Q228"/>
    <mergeCell ref="R228:U228"/>
    <mergeCell ref="V228:Y228"/>
    <mergeCell ref="Z228:AC228"/>
    <mergeCell ref="AD228:AG228"/>
    <mergeCell ref="AH228:AK228"/>
    <mergeCell ref="AL228:AO228"/>
    <mergeCell ref="AP228:AS228"/>
    <mergeCell ref="AT228:AW228"/>
    <mergeCell ref="AX228:BA228"/>
    <mergeCell ref="F229:I229"/>
    <mergeCell ref="J229:M229"/>
    <mergeCell ref="N229:Q229"/>
    <mergeCell ref="R229:U229"/>
    <mergeCell ref="V229:Y229"/>
    <mergeCell ref="Z229:AC229"/>
    <mergeCell ref="AD229:AG229"/>
    <mergeCell ref="AH229:AK229"/>
    <mergeCell ref="AL229:AO229"/>
    <mergeCell ref="AP229:AS229"/>
    <mergeCell ref="AT229:AW229"/>
    <mergeCell ref="AX229:BA229"/>
    <mergeCell ref="H230:K230"/>
    <mergeCell ref="L230:O230"/>
    <mergeCell ref="P230:S230"/>
    <mergeCell ref="T230:W230"/>
    <mergeCell ref="X230:AA230"/>
    <mergeCell ref="AB230:AE230"/>
    <mergeCell ref="AF230:AI230"/>
    <mergeCell ref="AJ230:AM230"/>
    <mergeCell ref="AN230:AQ230"/>
    <mergeCell ref="AR230:AU230"/>
    <mergeCell ref="AV230:AY230"/>
    <mergeCell ref="AZ230:BC230"/>
    <mergeCell ref="H231:K231"/>
    <mergeCell ref="L231:O231"/>
    <mergeCell ref="P231:S231"/>
    <mergeCell ref="T231:W231"/>
    <mergeCell ref="X231:AA231"/>
    <mergeCell ref="AB231:AE231"/>
    <mergeCell ref="AF231:AI231"/>
    <mergeCell ref="AJ231:AM231"/>
    <mergeCell ref="AN231:AQ231"/>
    <mergeCell ref="AR231:AU231"/>
    <mergeCell ref="AV231:AY231"/>
    <mergeCell ref="AZ231:BC231"/>
    <mergeCell ref="I232:L232"/>
    <mergeCell ref="M232:P232"/>
    <mergeCell ref="Q232:T232"/>
    <mergeCell ref="U232:X232"/>
    <mergeCell ref="Y232:AB232"/>
    <mergeCell ref="AC232:AF232"/>
    <mergeCell ref="AG232:AJ232"/>
    <mergeCell ref="AK232:AN232"/>
    <mergeCell ref="AO232:AR232"/>
    <mergeCell ref="AS232:AV232"/>
    <mergeCell ref="AW232:AZ232"/>
    <mergeCell ref="I233:L233"/>
    <mergeCell ref="M233:P233"/>
    <mergeCell ref="Q233:T233"/>
    <mergeCell ref="U233:X233"/>
    <mergeCell ref="Y233:AB233"/>
    <mergeCell ref="AC233:AF233"/>
    <mergeCell ref="AG233:AJ233"/>
    <mergeCell ref="AK233:AN233"/>
    <mergeCell ref="AO233:AR233"/>
    <mergeCell ref="AS233:AV233"/>
    <mergeCell ref="AW233:AZ233"/>
    <mergeCell ref="K234:N234"/>
    <mergeCell ref="O234:R234"/>
    <mergeCell ref="S234:V234"/>
    <mergeCell ref="W234:Z234"/>
    <mergeCell ref="AA234:AD234"/>
    <mergeCell ref="AE234:AH234"/>
    <mergeCell ref="AI234:AL234"/>
    <mergeCell ref="AM234:AP234"/>
    <mergeCell ref="AQ234:AT234"/>
    <mergeCell ref="AU234:AX234"/>
    <mergeCell ref="K235:N235"/>
    <mergeCell ref="O235:R235"/>
    <mergeCell ref="S235:V235"/>
    <mergeCell ref="W235:Z235"/>
    <mergeCell ref="AA235:AD235"/>
    <mergeCell ref="AE235:AH235"/>
    <mergeCell ref="AI235:AL235"/>
    <mergeCell ref="AM235:AP235"/>
    <mergeCell ref="AQ235:AT235"/>
    <mergeCell ref="AU235:AX235"/>
    <mergeCell ref="P236:S236"/>
    <mergeCell ref="T236:AK236"/>
    <mergeCell ref="AL236:AO236"/>
    <mergeCell ref="AP236:AS236"/>
    <mergeCell ref="P237:S237"/>
    <mergeCell ref="T237:AK237"/>
    <mergeCell ref="AL237:AO237"/>
    <mergeCell ref="AP237:AS237"/>
    <mergeCell ref="A239:AX239"/>
    <mergeCell ref="B240:E240"/>
    <mergeCell ref="F241:I241"/>
    <mergeCell ref="J241:M241"/>
    <mergeCell ref="N241:Q241"/>
    <mergeCell ref="R241:U241"/>
    <mergeCell ref="V241:Y241"/>
    <mergeCell ref="Z241:AC241"/>
    <mergeCell ref="AD241:AG241"/>
    <mergeCell ref="AH241:AK241"/>
    <mergeCell ref="AL241:AO241"/>
    <mergeCell ref="AP241:AS241"/>
    <mergeCell ref="AT241:AW241"/>
    <mergeCell ref="AX241:BA241"/>
    <mergeCell ref="F242:I242"/>
    <mergeCell ref="J242:M242"/>
    <mergeCell ref="N242:Q242"/>
    <mergeCell ref="R242:U242"/>
    <mergeCell ref="V242:Y242"/>
    <mergeCell ref="Z242:AC242"/>
    <mergeCell ref="AD242:AG242"/>
    <mergeCell ref="AH242:AK242"/>
    <mergeCell ref="AL242:AO242"/>
    <mergeCell ref="AP242:AS242"/>
    <mergeCell ref="AT242:AW242"/>
    <mergeCell ref="AX242:BA242"/>
    <mergeCell ref="H243:K243"/>
    <mergeCell ref="L243:O243"/>
    <mergeCell ref="P243:S243"/>
    <mergeCell ref="T243:W243"/>
    <mergeCell ref="X243:AA243"/>
    <mergeCell ref="AB243:AE243"/>
    <mergeCell ref="AF243:AI243"/>
    <mergeCell ref="AJ243:AM243"/>
    <mergeCell ref="AN243:AQ243"/>
    <mergeCell ref="AR243:AU243"/>
    <mergeCell ref="AV243:AY243"/>
    <mergeCell ref="AZ243:BC243"/>
    <mergeCell ref="H244:K244"/>
    <mergeCell ref="L244:O244"/>
    <mergeCell ref="P244:S244"/>
    <mergeCell ref="T244:W244"/>
    <mergeCell ref="X244:AA244"/>
    <mergeCell ref="AB244:AE244"/>
    <mergeCell ref="AF244:AI244"/>
    <mergeCell ref="AJ244:AM244"/>
    <mergeCell ref="AN244:AQ244"/>
    <mergeCell ref="AR244:AU244"/>
    <mergeCell ref="AV244:AY244"/>
    <mergeCell ref="AZ244:BC244"/>
    <mergeCell ref="I245:L245"/>
    <mergeCell ref="M245:P245"/>
    <mergeCell ref="Q245:T245"/>
    <mergeCell ref="U245:X245"/>
    <mergeCell ref="Y245:AB245"/>
    <mergeCell ref="AC245:AF245"/>
    <mergeCell ref="AG245:AJ245"/>
    <mergeCell ref="AK245:AN245"/>
    <mergeCell ref="AO245:AR245"/>
    <mergeCell ref="AS245:AV245"/>
    <mergeCell ref="AW245:AZ245"/>
    <mergeCell ref="I246:L246"/>
    <mergeCell ref="M246:P246"/>
    <mergeCell ref="Q246:T246"/>
    <mergeCell ref="U246:X246"/>
    <mergeCell ref="Y246:AB246"/>
    <mergeCell ref="AC246:AF246"/>
    <mergeCell ref="AG246:AJ246"/>
    <mergeCell ref="AK246:AN246"/>
    <mergeCell ref="AO246:AR246"/>
    <mergeCell ref="AS246:AV246"/>
    <mergeCell ref="AW246:AZ246"/>
    <mergeCell ref="K247:N247"/>
    <mergeCell ref="O247:R247"/>
    <mergeCell ref="S247:V247"/>
    <mergeCell ref="W247:Z247"/>
    <mergeCell ref="AA247:AD247"/>
    <mergeCell ref="AE247:AH247"/>
    <mergeCell ref="AI247:AL247"/>
    <mergeCell ref="AM247:AP247"/>
    <mergeCell ref="AQ247:AT247"/>
    <mergeCell ref="AU247:AX247"/>
    <mergeCell ref="K248:N248"/>
    <mergeCell ref="O248:R248"/>
    <mergeCell ref="S248:V248"/>
    <mergeCell ref="W248:Z248"/>
    <mergeCell ref="AA248:AD248"/>
    <mergeCell ref="AE248:AH248"/>
    <mergeCell ref="AI248:AL248"/>
    <mergeCell ref="AM248:AP248"/>
    <mergeCell ref="AQ248:AT248"/>
    <mergeCell ref="AU248:AX248"/>
    <mergeCell ref="P249:S249"/>
    <mergeCell ref="T249:AK249"/>
    <mergeCell ref="AL249:AO249"/>
    <mergeCell ref="AP249:AS249"/>
    <mergeCell ref="P250:S250"/>
    <mergeCell ref="T250:AK250"/>
    <mergeCell ref="AL250:AO250"/>
    <mergeCell ref="AP250:AS250"/>
    <mergeCell ref="A252:AX252"/>
    <mergeCell ref="B253:E253"/>
    <mergeCell ref="F254:I254"/>
    <mergeCell ref="J254:M254"/>
    <mergeCell ref="N254:Q254"/>
    <mergeCell ref="R254:U254"/>
    <mergeCell ref="V254:Y254"/>
    <mergeCell ref="Z254:AC254"/>
    <mergeCell ref="AD254:AG254"/>
    <mergeCell ref="AH254:AK254"/>
    <mergeCell ref="AL254:AO254"/>
    <mergeCell ref="AP254:AS254"/>
    <mergeCell ref="AT254:AW254"/>
    <mergeCell ref="AX254:BA254"/>
    <mergeCell ref="F255:I255"/>
    <mergeCell ref="J255:M255"/>
    <mergeCell ref="N255:Q255"/>
    <mergeCell ref="R255:U255"/>
    <mergeCell ref="V255:Y255"/>
    <mergeCell ref="Z255:AC255"/>
    <mergeCell ref="AD255:AG255"/>
    <mergeCell ref="AH255:AK255"/>
    <mergeCell ref="AL255:AO255"/>
    <mergeCell ref="AP255:AS255"/>
    <mergeCell ref="AT255:AW255"/>
    <mergeCell ref="AX255:BA255"/>
    <mergeCell ref="H256:K256"/>
    <mergeCell ref="L256:O256"/>
    <mergeCell ref="P256:S256"/>
    <mergeCell ref="T256:W256"/>
    <mergeCell ref="X256:AA256"/>
    <mergeCell ref="AB256:AE256"/>
    <mergeCell ref="AF256:AI256"/>
    <mergeCell ref="AJ256:AM256"/>
    <mergeCell ref="AN256:AQ256"/>
    <mergeCell ref="AR256:AU256"/>
    <mergeCell ref="AV256:AY256"/>
    <mergeCell ref="AZ256:BC256"/>
    <mergeCell ref="H257:K257"/>
    <mergeCell ref="L257:O257"/>
    <mergeCell ref="P257:S257"/>
    <mergeCell ref="T257:W257"/>
    <mergeCell ref="X257:AA257"/>
    <mergeCell ref="AB257:AE257"/>
    <mergeCell ref="AF257:AI257"/>
    <mergeCell ref="AJ257:AM257"/>
    <mergeCell ref="AN257:AQ257"/>
    <mergeCell ref="AR257:AU257"/>
    <mergeCell ref="AV257:AY257"/>
    <mergeCell ref="AZ257:BC257"/>
    <mergeCell ref="I258:L258"/>
    <mergeCell ref="M258:P258"/>
    <mergeCell ref="Q258:T258"/>
    <mergeCell ref="U258:X258"/>
    <mergeCell ref="Y258:AB258"/>
    <mergeCell ref="AC258:AF258"/>
    <mergeCell ref="AG258:AJ258"/>
    <mergeCell ref="AK258:AN258"/>
    <mergeCell ref="AO258:AR258"/>
    <mergeCell ref="AS258:AV258"/>
    <mergeCell ref="AW258:AZ258"/>
    <mergeCell ref="I259:L259"/>
    <mergeCell ref="M259:P259"/>
    <mergeCell ref="Q259:T259"/>
    <mergeCell ref="U259:X259"/>
    <mergeCell ref="Y259:AB259"/>
    <mergeCell ref="AC259:AF259"/>
    <mergeCell ref="AG259:AJ259"/>
    <mergeCell ref="AK259:AN259"/>
    <mergeCell ref="AO259:AR259"/>
    <mergeCell ref="AS259:AV259"/>
    <mergeCell ref="AW259:AZ259"/>
    <mergeCell ref="K260:N260"/>
    <mergeCell ref="O260:R260"/>
    <mergeCell ref="S260:V260"/>
    <mergeCell ref="W260:Z260"/>
    <mergeCell ref="AA260:AD260"/>
    <mergeCell ref="AE260:AH260"/>
    <mergeCell ref="AI260:AL260"/>
    <mergeCell ref="AM260:AP260"/>
    <mergeCell ref="AQ260:AT260"/>
    <mergeCell ref="AU260:AX260"/>
    <mergeCell ref="K261:N261"/>
    <mergeCell ref="O261:R261"/>
    <mergeCell ref="S261:V261"/>
    <mergeCell ref="W261:Z261"/>
    <mergeCell ref="AA261:AD261"/>
    <mergeCell ref="AE261:AH261"/>
    <mergeCell ref="AI261:AL261"/>
    <mergeCell ref="AM261:AP261"/>
    <mergeCell ref="AQ261:AT261"/>
    <mergeCell ref="AU261:AX261"/>
    <mergeCell ref="P262:S262"/>
    <mergeCell ref="T262:AK262"/>
    <mergeCell ref="AL262:AO262"/>
    <mergeCell ref="AP262:AS262"/>
    <mergeCell ref="P263:S263"/>
    <mergeCell ref="T263:AK263"/>
    <mergeCell ref="AL263:AO263"/>
    <mergeCell ref="AP263:AS263"/>
    <mergeCell ref="A265:AX265"/>
    <mergeCell ref="B266:E266"/>
    <mergeCell ref="F267:I267"/>
    <mergeCell ref="J267:M267"/>
    <mergeCell ref="N267:Q267"/>
    <mergeCell ref="R267:U267"/>
    <mergeCell ref="V267:Y267"/>
    <mergeCell ref="Z267:AC267"/>
    <mergeCell ref="AD267:AG267"/>
    <mergeCell ref="AH267:AK267"/>
    <mergeCell ref="AL267:AO267"/>
    <mergeCell ref="AP267:AS267"/>
    <mergeCell ref="AT267:AW267"/>
    <mergeCell ref="AX267:BA267"/>
    <mergeCell ref="F268:I268"/>
    <mergeCell ref="J268:M268"/>
    <mergeCell ref="N268:Q268"/>
    <mergeCell ref="R268:U268"/>
    <mergeCell ref="V268:Y268"/>
    <mergeCell ref="Z268:AC268"/>
    <mergeCell ref="AD268:AG268"/>
    <mergeCell ref="AH268:AK268"/>
    <mergeCell ref="AL268:AO268"/>
    <mergeCell ref="AP268:AS268"/>
    <mergeCell ref="AT268:AW268"/>
    <mergeCell ref="AX268:BA268"/>
    <mergeCell ref="H269:K269"/>
    <mergeCell ref="L269:O269"/>
    <mergeCell ref="P269:S269"/>
    <mergeCell ref="T269:W269"/>
    <mergeCell ref="X269:AA269"/>
    <mergeCell ref="AB269:AE269"/>
    <mergeCell ref="AF269:AI269"/>
    <mergeCell ref="AJ269:AM269"/>
    <mergeCell ref="AN269:AQ269"/>
    <mergeCell ref="AR269:AU269"/>
    <mergeCell ref="AV269:AY269"/>
    <mergeCell ref="AZ269:BC269"/>
    <mergeCell ref="H270:K270"/>
    <mergeCell ref="L270:O270"/>
    <mergeCell ref="P270:S270"/>
    <mergeCell ref="T270:W270"/>
    <mergeCell ref="X270:AA270"/>
    <mergeCell ref="AB270:AE270"/>
    <mergeCell ref="AF270:AI270"/>
    <mergeCell ref="AJ270:AM270"/>
    <mergeCell ref="AN270:AQ270"/>
    <mergeCell ref="AR270:AU270"/>
    <mergeCell ref="AV270:AY270"/>
    <mergeCell ref="AZ270:BC270"/>
    <mergeCell ref="I271:L271"/>
    <mergeCell ref="M271:P271"/>
    <mergeCell ref="Q271:T271"/>
    <mergeCell ref="U271:X271"/>
    <mergeCell ref="Y271:AB271"/>
    <mergeCell ref="AC271:AF271"/>
    <mergeCell ref="AG271:AJ271"/>
    <mergeCell ref="AK271:AN271"/>
    <mergeCell ref="AO271:AR271"/>
    <mergeCell ref="AS271:AV271"/>
    <mergeCell ref="AW271:AZ271"/>
    <mergeCell ref="I272:L272"/>
    <mergeCell ref="M272:P272"/>
    <mergeCell ref="Q272:T272"/>
    <mergeCell ref="U272:X272"/>
    <mergeCell ref="Y272:AB272"/>
    <mergeCell ref="AC272:AF272"/>
    <mergeCell ref="AG272:AJ272"/>
    <mergeCell ref="AK272:AN272"/>
    <mergeCell ref="AO272:AR272"/>
    <mergeCell ref="AS272:AV272"/>
    <mergeCell ref="AW272:AZ272"/>
    <mergeCell ref="K273:N273"/>
    <mergeCell ref="O273:R273"/>
    <mergeCell ref="S273:V273"/>
    <mergeCell ref="W273:Z273"/>
    <mergeCell ref="AA273:AD273"/>
    <mergeCell ref="AE273:AH273"/>
    <mergeCell ref="AI273:AL273"/>
    <mergeCell ref="AM273:AP273"/>
    <mergeCell ref="AQ273:AT273"/>
    <mergeCell ref="AU273:AX273"/>
    <mergeCell ref="K274:N274"/>
    <mergeCell ref="O274:R274"/>
    <mergeCell ref="S274:V274"/>
    <mergeCell ref="W274:Z274"/>
    <mergeCell ref="AA274:AD274"/>
    <mergeCell ref="AE274:AH274"/>
    <mergeCell ref="AI274:AL274"/>
    <mergeCell ref="AM274:AP274"/>
    <mergeCell ref="AQ274:AT274"/>
    <mergeCell ref="AU274:AX274"/>
    <mergeCell ref="P275:S275"/>
    <mergeCell ref="T275:AK275"/>
    <mergeCell ref="AL275:AO275"/>
    <mergeCell ref="AP275:AS275"/>
    <mergeCell ref="P276:S276"/>
    <mergeCell ref="T276:AK276"/>
    <mergeCell ref="AL276:AO276"/>
    <mergeCell ref="AP276:AS276"/>
    <mergeCell ref="A278:AX278"/>
    <mergeCell ref="B279:E279"/>
    <mergeCell ref="F280:I280"/>
    <mergeCell ref="J280:M280"/>
    <mergeCell ref="N280:Q280"/>
    <mergeCell ref="R280:U280"/>
    <mergeCell ref="V280:Y280"/>
    <mergeCell ref="Z280:AC280"/>
    <mergeCell ref="AD280:AG280"/>
    <mergeCell ref="AH280:AK280"/>
    <mergeCell ref="AL280:AO280"/>
    <mergeCell ref="AP280:AS280"/>
    <mergeCell ref="AT280:AW280"/>
    <mergeCell ref="AX280:BA280"/>
    <mergeCell ref="F281:I281"/>
    <mergeCell ref="J281:M281"/>
    <mergeCell ref="N281:Q281"/>
    <mergeCell ref="R281:U281"/>
    <mergeCell ref="V281:Y281"/>
    <mergeCell ref="Z281:AC281"/>
    <mergeCell ref="AD281:AG281"/>
    <mergeCell ref="AH281:AK281"/>
    <mergeCell ref="AL281:AO281"/>
    <mergeCell ref="AP281:AS281"/>
    <mergeCell ref="AT281:AW281"/>
    <mergeCell ref="AX281:BA281"/>
    <mergeCell ref="H282:K282"/>
    <mergeCell ref="L282:O282"/>
    <mergeCell ref="P282:S282"/>
    <mergeCell ref="T282:W282"/>
    <mergeCell ref="X282:AA282"/>
    <mergeCell ref="AB282:AE282"/>
    <mergeCell ref="AF282:AI282"/>
    <mergeCell ref="AJ282:AM282"/>
    <mergeCell ref="AN282:AQ282"/>
    <mergeCell ref="AR282:AU282"/>
    <mergeCell ref="AV282:AY282"/>
    <mergeCell ref="AZ282:BC282"/>
    <mergeCell ref="H283:K283"/>
    <mergeCell ref="L283:O283"/>
    <mergeCell ref="P283:S283"/>
    <mergeCell ref="T283:W283"/>
    <mergeCell ref="X283:AA283"/>
    <mergeCell ref="AB283:AE283"/>
    <mergeCell ref="AF283:AI283"/>
    <mergeCell ref="AJ283:AM283"/>
    <mergeCell ref="AN283:AQ283"/>
    <mergeCell ref="AR283:AU283"/>
    <mergeCell ref="AV283:AY283"/>
    <mergeCell ref="AZ283:BC283"/>
    <mergeCell ref="I284:L284"/>
    <mergeCell ref="M284:P284"/>
    <mergeCell ref="Q284:T284"/>
    <mergeCell ref="U284:X284"/>
    <mergeCell ref="Y284:AB284"/>
    <mergeCell ref="AC284:AF284"/>
    <mergeCell ref="AG284:AJ284"/>
    <mergeCell ref="AK284:AN284"/>
    <mergeCell ref="AO284:AR284"/>
    <mergeCell ref="AS284:AV284"/>
    <mergeCell ref="AW284:AZ284"/>
    <mergeCell ref="I285:L285"/>
    <mergeCell ref="M285:P285"/>
    <mergeCell ref="Q285:T285"/>
    <mergeCell ref="U285:X285"/>
    <mergeCell ref="Y285:AB285"/>
    <mergeCell ref="AC285:AF285"/>
    <mergeCell ref="AG285:AJ285"/>
    <mergeCell ref="AK285:AN285"/>
    <mergeCell ref="AO285:AR285"/>
    <mergeCell ref="AS285:AV285"/>
    <mergeCell ref="AW285:AZ285"/>
    <mergeCell ref="K286:N286"/>
    <mergeCell ref="O286:R286"/>
    <mergeCell ref="S286:V286"/>
    <mergeCell ref="W286:Z286"/>
    <mergeCell ref="AA286:AD286"/>
    <mergeCell ref="AE286:AH286"/>
    <mergeCell ref="AI286:AL286"/>
    <mergeCell ref="AM286:AP286"/>
    <mergeCell ref="AQ286:AT286"/>
    <mergeCell ref="AU286:AX286"/>
    <mergeCell ref="K287:N287"/>
    <mergeCell ref="O287:R287"/>
    <mergeCell ref="S287:V287"/>
    <mergeCell ref="W287:Z287"/>
    <mergeCell ref="AA287:AD287"/>
    <mergeCell ref="AE287:AH287"/>
    <mergeCell ref="AI287:AL287"/>
    <mergeCell ref="AM287:AP287"/>
    <mergeCell ref="AQ287:AT287"/>
    <mergeCell ref="AU287:AX287"/>
    <mergeCell ref="P288:S288"/>
    <mergeCell ref="T288:AK288"/>
    <mergeCell ref="AL288:AO288"/>
    <mergeCell ref="AP288:AS288"/>
    <mergeCell ref="P289:S289"/>
    <mergeCell ref="T289:AK289"/>
    <mergeCell ref="AL289:AO289"/>
    <mergeCell ref="AP289:AS289"/>
    <mergeCell ref="A291:AX291"/>
    <mergeCell ref="B292:E292"/>
    <mergeCell ref="F293:I293"/>
    <mergeCell ref="J293:M293"/>
    <mergeCell ref="N293:Q293"/>
    <mergeCell ref="R293:U293"/>
    <mergeCell ref="V293:Y293"/>
    <mergeCell ref="Z293:AC293"/>
    <mergeCell ref="AD293:AG293"/>
    <mergeCell ref="AH293:AK293"/>
    <mergeCell ref="AL293:AO293"/>
    <mergeCell ref="AP293:AS293"/>
    <mergeCell ref="AT293:AW293"/>
    <mergeCell ref="AX293:BA293"/>
    <mergeCell ref="F294:I294"/>
    <mergeCell ref="J294:M294"/>
    <mergeCell ref="N294:Q294"/>
    <mergeCell ref="R294:U294"/>
    <mergeCell ref="V294:Y294"/>
    <mergeCell ref="Z294:AC294"/>
    <mergeCell ref="AD294:AG294"/>
    <mergeCell ref="AH294:AK294"/>
    <mergeCell ref="AL294:AO294"/>
    <mergeCell ref="AP294:AS294"/>
    <mergeCell ref="AT294:AW294"/>
    <mergeCell ref="AX294:BA294"/>
    <mergeCell ref="H295:K295"/>
    <mergeCell ref="L295:O295"/>
    <mergeCell ref="P295:S295"/>
    <mergeCell ref="T295:W295"/>
    <mergeCell ref="X295:AA295"/>
    <mergeCell ref="AB295:AE295"/>
    <mergeCell ref="AF295:AI295"/>
    <mergeCell ref="AJ295:AM295"/>
    <mergeCell ref="AN295:AQ295"/>
    <mergeCell ref="AR295:AU295"/>
    <mergeCell ref="AV295:AY295"/>
    <mergeCell ref="AZ295:BC295"/>
    <mergeCell ref="H296:K296"/>
    <mergeCell ref="L296:O296"/>
    <mergeCell ref="P296:S296"/>
    <mergeCell ref="T296:W296"/>
    <mergeCell ref="X296:AA296"/>
    <mergeCell ref="AB296:AE296"/>
    <mergeCell ref="AF296:AI296"/>
    <mergeCell ref="AJ296:AM296"/>
    <mergeCell ref="AN296:AQ296"/>
    <mergeCell ref="AR296:AU296"/>
    <mergeCell ref="AV296:AY296"/>
    <mergeCell ref="AZ296:BC296"/>
    <mergeCell ref="I297:L297"/>
    <mergeCell ref="M297:P297"/>
    <mergeCell ref="Q297:T297"/>
    <mergeCell ref="U297:X297"/>
    <mergeCell ref="Y297:AB297"/>
    <mergeCell ref="AC297:AF297"/>
    <mergeCell ref="AG297:AJ297"/>
    <mergeCell ref="AK297:AN297"/>
    <mergeCell ref="AO297:AR297"/>
    <mergeCell ref="AS297:AV297"/>
    <mergeCell ref="AW297:AZ297"/>
    <mergeCell ref="I298:L298"/>
    <mergeCell ref="M298:P298"/>
    <mergeCell ref="Q298:T298"/>
    <mergeCell ref="U298:X298"/>
    <mergeCell ref="Y298:AB298"/>
    <mergeCell ref="AC298:AF298"/>
    <mergeCell ref="AG298:AJ298"/>
    <mergeCell ref="AK298:AN298"/>
    <mergeCell ref="AO298:AR298"/>
    <mergeCell ref="AS298:AV298"/>
    <mergeCell ref="AW298:AZ298"/>
    <mergeCell ref="K299:N299"/>
    <mergeCell ref="O299:R299"/>
    <mergeCell ref="S299:V299"/>
    <mergeCell ref="W299:Z299"/>
    <mergeCell ref="AA299:AD299"/>
    <mergeCell ref="AE299:AH299"/>
    <mergeCell ref="AI299:AL299"/>
    <mergeCell ref="AM299:AP299"/>
    <mergeCell ref="AQ299:AT299"/>
    <mergeCell ref="AU299:AX299"/>
    <mergeCell ref="K300:N300"/>
    <mergeCell ref="O300:R300"/>
    <mergeCell ref="S300:V300"/>
    <mergeCell ref="W300:Z300"/>
    <mergeCell ref="AA300:AD300"/>
    <mergeCell ref="AE300:AH300"/>
    <mergeCell ref="AI300:AL300"/>
    <mergeCell ref="AM300:AP300"/>
    <mergeCell ref="AQ300:AT300"/>
    <mergeCell ref="AU300:AX300"/>
    <mergeCell ref="P301:S301"/>
    <mergeCell ref="T301:AK301"/>
    <mergeCell ref="AL301:AO301"/>
    <mergeCell ref="AP301:AS301"/>
    <mergeCell ref="P302:S302"/>
    <mergeCell ref="T302:AK302"/>
    <mergeCell ref="AL302:AO302"/>
    <mergeCell ref="AP302:AS302"/>
    <mergeCell ref="A304:AX304"/>
    <mergeCell ref="B305:E305"/>
    <mergeCell ref="F306:I306"/>
    <mergeCell ref="J306:M306"/>
    <mergeCell ref="N306:Q306"/>
    <mergeCell ref="R306:U306"/>
    <mergeCell ref="V306:Y306"/>
    <mergeCell ref="Z306:AC306"/>
    <mergeCell ref="AD306:AG306"/>
    <mergeCell ref="AH306:AK306"/>
    <mergeCell ref="AL306:AO306"/>
    <mergeCell ref="AP306:AS306"/>
    <mergeCell ref="AT306:AW306"/>
    <mergeCell ref="AX306:BA306"/>
    <mergeCell ref="F307:I307"/>
    <mergeCell ref="J307:M307"/>
    <mergeCell ref="N307:Q307"/>
    <mergeCell ref="R307:U307"/>
    <mergeCell ref="V307:Y307"/>
    <mergeCell ref="Z307:AC307"/>
    <mergeCell ref="AD307:AG307"/>
    <mergeCell ref="AH307:AK307"/>
    <mergeCell ref="AL307:AO307"/>
    <mergeCell ref="AP307:AS307"/>
    <mergeCell ref="AT307:AW307"/>
    <mergeCell ref="AX307:BA307"/>
    <mergeCell ref="H308:K308"/>
    <mergeCell ref="L308:O308"/>
    <mergeCell ref="P308:S308"/>
    <mergeCell ref="T308:W308"/>
    <mergeCell ref="X308:AA308"/>
    <mergeCell ref="AB308:AE308"/>
    <mergeCell ref="AF308:AI308"/>
    <mergeCell ref="AJ308:AM308"/>
    <mergeCell ref="AN308:AQ308"/>
    <mergeCell ref="AR308:AU308"/>
    <mergeCell ref="AV308:AY308"/>
    <mergeCell ref="AZ308:BC308"/>
    <mergeCell ref="H309:K309"/>
    <mergeCell ref="L309:O309"/>
    <mergeCell ref="P309:S309"/>
    <mergeCell ref="T309:W309"/>
    <mergeCell ref="X309:AA309"/>
    <mergeCell ref="AB309:AE309"/>
    <mergeCell ref="AF309:AI309"/>
    <mergeCell ref="AJ309:AM309"/>
    <mergeCell ref="AN309:AQ309"/>
    <mergeCell ref="AR309:AU309"/>
    <mergeCell ref="AV309:AY309"/>
    <mergeCell ref="AZ309:BC309"/>
    <mergeCell ref="I310:L310"/>
    <mergeCell ref="M310:P310"/>
    <mergeCell ref="Q310:T310"/>
    <mergeCell ref="U310:X310"/>
    <mergeCell ref="Y310:AB310"/>
    <mergeCell ref="AC310:AF310"/>
    <mergeCell ref="AG310:AJ310"/>
    <mergeCell ref="AK310:AN310"/>
    <mergeCell ref="AO310:AR310"/>
    <mergeCell ref="AS310:AV310"/>
    <mergeCell ref="AW310:AZ310"/>
    <mergeCell ref="I311:L311"/>
    <mergeCell ref="M311:P311"/>
    <mergeCell ref="Q311:T311"/>
    <mergeCell ref="U311:X311"/>
    <mergeCell ref="Y311:AB311"/>
    <mergeCell ref="AC311:AF311"/>
    <mergeCell ref="AG311:AJ311"/>
    <mergeCell ref="AK311:AN311"/>
    <mergeCell ref="AO311:AR311"/>
    <mergeCell ref="AS311:AV311"/>
    <mergeCell ref="AW311:AZ311"/>
    <mergeCell ref="K312:N312"/>
    <mergeCell ref="O312:R312"/>
    <mergeCell ref="S312:V312"/>
    <mergeCell ref="W312:Z312"/>
    <mergeCell ref="AA312:AD312"/>
    <mergeCell ref="AE312:AH312"/>
    <mergeCell ref="AI312:AL312"/>
    <mergeCell ref="AM312:AP312"/>
    <mergeCell ref="AQ312:AT312"/>
    <mergeCell ref="AU312:AX312"/>
    <mergeCell ref="K313:N313"/>
    <mergeCell ref="O313:R313"/>
    <mergeCell ref="S313:V313"/>
    <mergeCell ref="W313:Z313"/>
    <mergeCell ref="AA313:AD313"/>
    <mergeCell ref="AE313:AH313"/>
    <mergeCell ref="AI313:AL313"/>
    <mergeCell ref="AM313:AP313"/>
    <mergeCell ref="AQ313:AT313"/>
    <mergeCell ref="AU313:AX313"/>
    <mergeCell ref="P314:S314"/>
    <mergeCell ref="T314:AK314"/>
    <mergeCell ref="AL314:AO314"/>
    <mergeCell ref="AP314:AS314"/>
    <mergeCell ref="P315:S315"/>
    <mergeCell ref="T315:AK315"/>
    <mergeCell ref="AL315:AO315"/>
    <mergeCell ref="AP315:AS315"/>
    <mergeCell ref="A317:AX317"/>
    <mergeCell ref="B318:E318"/>
    <mergeCell ref="F319:I319"/>
    <mergeCell ref="J319:M319"/>
    <mergeCell ref="N319:Q319"/>
    <mergeCell ref="R319:U319"/>
    <mergeCell ref="V319:Y319"/>
    <mergeCell ref="Z319:AC319"/>
    <mergeCell ref="AD319:AG319"/>
    <mergeCell ref="AH319:AK319"/>
    <mergeCell ref="AL319:AO319"/>
    <mergeCell ref="AP319:AS319"/>
    <mergeCell ref="AT319:AW319"/>
    <mergeCell ref="AX319:BA319"/>
    <mergeCell ref="F320:I320"/>
    <mergeCell ref="J320:M320"/>
    <mergeCell ref="N320:Q320"/>
    <mergeCell ref="R320:U320"/>
    <mergeCell ref="V320:Y320"/>
    <mergeCell ref="Z320:AC320"/>
    <mergeCell ref="AD320:AG320"/>
    <mergeCell ref="AH320:AK320"/>
    <mergeCell ref="AL320:AO320"/>
    <mergeCell ref="AP320:AS320"/>
    <mergeCell ref="AT320:AW320"/>
    <mergeCell ref="AX320:BA320"/>
    <mergeCell ref="H321:K321"/>
    <mergeCell ref="L321:O321"/>
    <mergeCell ref="P321:S321"/>
    <mergeCell ref="T321:W321"/>
    <mergeCell ref="X321:AA321"/>
    <mergeCell ref="AB321:AE321"/>
    <mergeCell ref="AF321:AI321"/>
    <mergeCell ref="AJ321:AM321"/>
    <mergeCell ref="AN321:AQ321"/>
    <mergeCell ref="AR321:AU321"/>
    <mergeCell ref="AV321:AY321"/>
    <mergeCell ref="AZ321:BC321"/>
    <mergeCell ref="H322:K322"/>
    <mergeCell ref="L322:O322"/>
    <mergeCell ref="P322:S322"/>
    <mergeCell ref="T322:W322"/>
    <mergeCell ref="X322:AA322"/>
    <mergeCell ref="AB322:AE322"/>
    <mergeCell ref="AF322:AI322"/>
    <mergeCell ref="AJ322:AM322"/>
    <mergeCell ref="AN322:AQ322"/>
    <mergeCell ref="AR322:AU322"/>
    <mergeCell ref="AV322:AY322"/>
    <mergeCell ref="AZ322:BC322"/>
    <mergeCell ref="I323:L323"/>
    <mergeCell ref="M323:P323"/>
    <mergeCell ref="Q323:T323"/>
    <mergeCell ref="U323:X323"/>
    <mergeCell ref="Y323:AB323"/>
    <mergeCell ref="AC323:AF323"/>
    <mergeCell ref="AG323:AJ323"/>
    <mergeCell ref="AK323:AN323"/>
    <mergeCell ref="AO323:AR323"/>
    <mergeCell ref="AS323:AV323"/>
    <mergeCell ref="AW323:AZ323"/>
    <mergeCell ref="I324:L324"/>
    <mergeCell ref="M324:P324"/>
    <mergeCell ref="Q324:T324"/>
    <mergeCell ref="U324:X324"/>
    <mergeCell ref="Y324:AB324"/>
    <mergeCell ref="AC324:AF324"/>
    <mergeCell ref="AG324:AJ324"/>
    <mergeCell ref="AK324:AN324"/>
    <mergeCell ref="AO324:AR324"/>
    <mergeCell ref="AS324:AV324"/>
    <mergeCell ref="AW324:AZ324"/>
    <mergeCell ref="K325:N325"/>
    <mergeCell ref="O325:R325"/>
    <mergeCell ref="S325:V325"/>
    <mergeCell ref="W325:Z325"/>
    <mergeCell ref="AA325:AD325"/>
    <mergeCell ref="AE325:AH325"/>
    <mergeCell ref="AI325:AL325"/>
    <mergeCell ref="AM325:AP325"/>
    <mergeCell ref="AQ325:AT325"/>
    <mergeCell ref="AU325:AX325"/>
    <mergeCell ref="K326:N326"/>
    <mergeCell ref="O326:R326"/>
    <mergeCell ref="S326:V326"/>
    <mergeCell ref="W326:Z326"/>
    <mergeCell ref="AA326:AD326"/>
    <mergeCell ref="AE326:AH326"/>
    <mergeCell ref="AI326:AL326"/>
    <mergeCell ref="AM326:AP326"/>
    <mergeCell ref="AQ326:AT326"/>
    <mergeCell ref="AU326:AX326"/>
    <mergeCell ref="P327:S327"/>
    <mergeCell ref="T327:AK327"/>
    <mergeCell ref="AL327:AO327"/>
    <mergeCell ref="AP327:AS327"/>
    <mergeCell ref="P328:S328"/>
    <mergeCell ref="T328:AK328"/>
    <mergeCell ref="AL328:AO328"/>
    <mergeCell ref="AP328:AS328"/>
    <mergeCell ref="A330:AX330"/>
    <mergeCell ref="B331:E331"/>
    <mergeCell ref="F332:I332"/>
    <mergeCell ref="J332:M332"/>
    <mergeCell ref="N332:Q332"/>
    <mergeCell ref="R332:U332"/>
    <mergeCell ref="V332:Y332"/>
    <mergeCell ref="Z332:AC332"/>
    <mergeCell ref="AD332:AG332"/>
    <mergeCell ref="AH332:AK332"/>
    <mergeCell ref="AL332:AO332"/>
    <mergeCell ref="AP332:AS332"/>
    <mergeCell ref="AT332:AW332"/>
    <mergeCell ref="AX332:BA332"/>
    <mergeCell ref="F333:I333"/>
    <mergeCell ref="J333:M333"/>
    <mergeCell ref="N333:Q333"/>
    <mergeCell ref="R333:U333"/>
    <mergeCell ref="V333:Y333"/>
    <mergeCell ref="Z333:AC333"/>
    <mergeCell ref="AD333:AG333"/>
    <mergeCell ref="AH333:AK333"/>
    <mergeCell ref="AL333:AO333"/>
    <mergeCell ref="AP333:AS333"/>
    <mergeCell ref="AT333:AW333"/>
    <mergeCell ref="AX333:BA333"/>
    <mergeCell ref="H334:K334"/>
    <mergeCell ref="L334:O334"/>
    <mergeCell ref="P334:S334"/>
    <mergeCell ref="T334:W334"/>
    <mergeCell ref="X334:AA334"/>
    <mergeCell ref="AB334:AE334"/>
    <mergeCell ref="AF334:AI334"/>
    <mergeCell ref="AJ334:AM334"/>
    <mergeCell ref="AN334:AQ334"/>
    <mergeCell ref="AR334:AU334"/>
    <mergeCell ref="AV334:AY334"/>
    <mergeCell ref="AZ334:BC334"/>
    <mergeCell ref="H335:K335"/>
    <mergeCell ref="L335:O335"/>
    <mergeCell ref="P335:S335"/>
    <mergeCell ref="T335:W335"/>
    <mergeCell ref="X335:AA335"/>
    <mergeCell ref="AB335:AE335"/>
    <mergeCell ref="AF335:AI335"/>
    <mergeCell ref="AJ335:AM335"/>
    <mergeCell ref="AN335:AQ335"/>
    <mergeCell ref="AR335:AU335"/>
    <mergeCell ref="AV335:AY335"/>
    <mergeCell ref="AZ335:BC335"/>
    <mergeCell ref="I336:L336"/>
    <mergeCell ref="M336:P336"/>
    <mergeCell ref="Q336:T336"/>
    <mergeCell ref="U336:X336"/>
    <mergeCell ref="Y336:AB336"/>
    <mergeCell ref="AC336:AF336"/>
    <mergeCell ref="AG336:AJ336"/>
    <mergeCell ref="AK336:AN336"/>
    <mergeCell ref="AO336:AR336"/>
    <mergeCell ref="AS336:AV336"/>
    <mergeCell ref="AW336:AZ336"/>
    <mergeCell ref="I337:L337"/>
    <mergeCell ref="M337:P337"/>
    <mergeCell ref="Q337:T337"/>
    <mergeCell ref="U337:X337"/>
    <mergeCell ref="Y337:AB337"/>
    <mergeCell ref="AC337:AF337"/>
    <mergeCell ref="AG337:AJ337"/>
    <mergeCell ref="AK337:AN337"/>
    <mergeCell ref="AO337:AR337"/>
    <mergeCell ref="AS337:AV337"/>
    <mergeCell ref="AW337:AZ337"/>
    <mergeCell ref="K338:N338"/>
    <mergeCell ref="O338:R338"/>
    <mergeCell ref="S338:V338"/>
    <mergeCell ref="W338:Z338"/>
    <mergeCell ref="AA338:AD338"/>
    <mergeCell ref="AE338:AH338"/>
    <mergeCell ref="AI338:AL338"/>
    <mergeCell ref="AM338:AP338"/>
    <mergeCell ref="AQ338:AT338"/>
    <mergeCell ref="AU338:AX338"/>
    <mergeCell ref="K339:N339"/>
    <mergeCell ref="O339:R339"/>
    <mergeCell ref="S339:V339"/>
    <mergeCell ref="W339:Z339"/>
    <mergeCell ref="AA339:AD339"/>
    <mergeCell ref="AE339:AH339"/>
    <mergeCell ref="AI339:AL339"/>
    <mergeCell ref="AM339:AP339"/>
    <mergeCell ref="AQ339:AT339"/>
    <mergeCell ref="AU339:AX339"/>
    <mergeCell ref="P340:S340"/>
    <mergeCell ref="T340:AK340"/>
    <mergeCell ref="AL340:AO340"/>
    <mergeCell ref="AP340:AS340"/>
    <mergeCell ref="P341:S341"/>
    <mergeCell ref="T341:AK341"/>
    <mergeCell ref="AL341:AO341"/>
    <mergeCell ref="AP341:AS341"/>
    <mergeCell ref="A343:AX343"/>
    <mergeCell ref="B344:E344"/>
    <mergeCell ref="F345:I345"/>
    <mergeCell ref="J345:M345"/>
    <mergeCell ref="N345:Q345"/>
    <mergeCell ref="R345:U345"/>
    <mergeCell ref="V345:Y345"/>
    <mergeCell ref="Z345:AC345"/>
    <mergeCell ref="AD345:AG345"/>
    <mergeCell ref="AH345:AK345"/>
    <mergeCell ref="AL345:AO345"/>
    <mergeCell ref="AP345:AS345"/>
    <mergeCell ref="AT345:AW345"/>
    <mergeCell ref="AX345:BA345"/>
    <mergeCell ref="F346:I346"/>
    <mergeCell ref="J346:M346"/>
    <mergeCell ref="N346:Q346"/>
    <mergeCell ref="R346:U346"/>
    <mergeCell ref="V346:Y346"/>
    <mergeCell ref="Z346:AC346"/>
    <mergeCell ref="AD346:AG346"/>
    <mergeCell ref="AH346:AK346"/>
    <mergeCell ref="AL346:AO346"/>
    <mergeCell ref="AP346:AS346"/>
    <mergeCell ref="AT346:AW346"/>
    <mergeCell ref="AX346:BA346"/>
    <mergeCell ref="H347:K347"/>
    <mergeCell ref="L347:O347"/>
    <mergeCell ref="P347:S347"/>
    <mergeCell ref="T347:W347"/>
    <mergeCell ref="X347:AA347"/>
    <mergeCell ref="AB347:AE347"/>
    <mergeCell ref="AF347:AI347"/>
    <mergeCell ref="AJ347:AM347"/>
    <mergeCell ref="AN347:AQ347"/>
    <mergeCell ref="AR347:AU347"/>
    <mergeCell ref="AV347:AY347"/>
    <mergeCell ref="AZ347:BC347"/>
    <mergeCell ref="H348:K348"/>
    <mergeCell ref="L348:O348"/>
    <mergeCell ref="P348:S348"/>
    <mergeCell ref="T348:W348"/>
    <mergeCell ref="X348:AA348"/>
    <mergeCell ref="AB348:AE348"/>
    <mergeCell ref="AF348:AI348"/>
    <mergeCell ref="AJ348:AM348"/>
    <mergeCell ref="AN348:AQ348"/>
    <mergeCell ref="AR348:AU348"/>
    <mergeCell ref="AV348:AY348"/>
    <mergeCell ref="AZ348:BC348"/>
    <mergeCell ref="I349:L349"/>
    <mergeCell ref="M349:P349"/>
    <mergeCell ref="Q349:T349"/>
    <mergeCell ref="U349:X349"/>
    <mergeCell ref="Y349:AB349"/>
    <mergeCell ref="AC349:AF349"/>
    <mergeCell ref="AG349:AJ349"/>
    <mergeCell ref="AK349:AN349"/>
    <mergeCell ref="AO349:AR349"/>
    <mergeCell ref="AS349:AV349"/>
    <mergeCell ref="AW349:AZ349"/>
    <mergeCell ref="I350:L350"/>
    <mergeCell ref="M350:P350"/>
    <mergeCell ref="Q350:T350"/>
    <mergeCell ref="U350:X350"/>
    <mergeCell ref="Y350:AB350"/>
    <mergeCell ref="AC350:AF350"/>
    <mergeCell ref="AG350:AJ350"/>
    <mergeCell ref="AK350:AN350"/>
    <mergeCell ref="AO350:AR350"/>
    <mergeCell ref="AS350:AV350"/>
    <mergeCell ref="AW350:AZ350"/>
    <mergeCell ref="K351:N351"/>
    <mergeCell ref="O351:R351"/>
    <mergeCell ref="S351:V351"/>
    <mergeCell ref="W351:Z351"/>
    <mergeCell ref="AA351:AD351"/>
    <mergeCell ref="AE351:AH351"/>
    <mergeCell ref="AI351:AL351"/>
    <mergeCell ref="AM351:AP351"/>
    <mergeCell ref="AQ351:AT351"/>
    <mergeCell ref="AU351:AX351"/>
    <mergeCell ref="K352:N352"/>
    <mergeCell ref="O352:R352"/>
    <mergeCell ref="S352:V352"/>
    <mergeCell ref="W352:Z352"/>
    <mergeCell ref="AA352:AD352"/>
    <mergeCell ref="AE352:AH352"/>
    <mergeCell ref="AI352:AL352"/>
    <mergeCell ref="AM352:AP352"/>
    <mergeCell ref="AQ352:AT352"/>
    <mergeCell ref="AU352:AX352"/>
    <mergeCell ref="P353:S353"/>
    <mergeCell ref="T353:AK353"/>
    <mergeCell ref="AL353:AO353"/>
    <mergeCell ref="AP353:AS353"/>
    <mergeCell ref="P354:S354"/>
    <mergeCell ref="T354:AK354"/>
    <mergeCell ref="AL354:AO354"/>
    <mergeCell ref="AP354:AS354"/>
    <mergeCell ref="A356:AX356"/>
    <mergeCell ref="B357:E357"/>
    <mergeCell ref="F358:I358"/>
    <mergeCell ref="J358:M358"/>
    <mergeCell ref="N358:Q358"/>
    <mergeCell ref="R358:U358"/>
    <mergeCell ref="V358:Y358"/>
    <mergeCell ref="Z358:AC358"/>
    <mergeCell ref="AD358:AG358"/>
    <mergeCell ref="AH358:AK358"/>
    <mergeCell ref="AL358:AO358"/>
    <mergeCell ref="AP358:AS358"/>
    <mergeCell ref="AT358:AW358"/>
    <mergeCell ref="AX358:BA358"/>
    <mergeCell ref="F359:I359"/>
    <mergeCell ref="J359:M359"/>
    <mergeCell ref="N359:Q359"/>
    <mergeCell ref="R359:U359"/>
    <mergeCell ref="V359:Y359"/>
    <mergeCell ref="Z359:AC359"/>
    <mergeCell ref="AD359:AG359"/>
    <mergeCell ref="AH359:AK359"/>
    <mergeCell ref="AL359:AO359"/>
    <mergeCell ref="AP359:AS359"/>
    <mergeCell ref="AT359:AW359"/>
    <mergeCell ref="AX359:BA359"/>
    <mergeCell ref="H360:K360"/>
    <mergeCell ref="L360:O360"/>
    <mergeCell ref="P360:S360"/>
    <mergeCell ref="T360:W360"/>
    <mergeCell ref="X360:AA360"/>
    <mergeCell ref="AB360:AE360"/>
    <mergeCell ref="AF360:AI360"/>
    <mergeCell ref="AJ360:AM360"/>
    <mergeCell ref="AN360:AQ360"/>
    <mergeCell ref="AR360:AU360"/>
    <mergeCell ref="AV360:AY360"/>
    <mergeCell ref="AZ360:BC360"/>
    <mergeCell ref="H361:K361"/>
    <mergeCell ref="L361:O361"/>
    <mergeCell ref="P361:S361"/>
    <mergeCell ref="T361:W361"/>
    <mergeCell ref="X361:AA361"/>
    <mergeCell ref="AB361:AE361"/>
    <mergeCell ref="AF361:AI361"/>
    <mergeCell ref="AJ361:AM361"/>
    <mergeCell ref="AN361:AQ361"/>
    <mergeCell ref="AR361:AU361"/>
    <mergeCell ref="AV361:AY361"/>
    <mergeCell ref="AZ361:BC361"/>
    <mergeCell ref="I362:L362"/>
    <mergeCell ref="M362:P362"/>
    <mergeCell ref="Q362:T362"/>
    <mergeCell ref="U362:X362"/>
    <mergeCell ref="Y362:AB362"/>
    <mergeCell ref="AC362:AF362"/>
    <mergeCell ref="AG362:AJ362"/>
    <mergeCell ref="AK362:AN362"/>
    <mergeCell ref="AO362:AR362"/>
    <mergeCell ref="AS362:AV362"/>
    <mergeCell ref="AW362:AZ362"/>
    <mergeCell ref="I363:L363"/>
    <mergeCell ref="M363:P363"/>
    <mergeCell ref="Q363:T363"/>
    <mergeCell ref="U363:X363"/>
    <mergeCell ref="Y363:AB363"/>
    <mergeCell ref="AC363:AF363"/>
    <mergeCell ref="AG363:AJ363"/>
    <mergeCell ref="AK363:AN363"/>
    <mergeCell ref="AO363:AR363"/>
    <mergeCell ref="AS363:AV363"/>
    <mergeCell ref="AW363:AZ363"/>
    <mergeCell ref="K364:N364"/>
    <mergeCell ref="O364:R364"/>
    <mergeCell ref="S364:V364"/>
    <mergeCell ref="W364:Z364"/>
    <mergeCell ref="AA364:AD364"/>
    <mergeCell ref="AE364:AH364"/>
    <mergeCell ref="AI364:AL364"/>
    <mergeCell ref="AM364:AP364"/>
    <mergeCell ref="AQ364:AT364"/>
    <mergeCell ref="AU364:AX364"/>
    <mergeCell ref="K365:N365"/>
    <mergeCell ref="O365:R365"/>
    <mergeCell ref="S365:V365"/>
    <mergeCell ref="W365:Z365"/>
    <mergeCell ref="AA365:AD365"/>
    <mergeCell ref="AE365:AH365"/>
    <mergeCell ref="AI365:AL365"/>
    <mergeCell ref="AM365:AP365"/>
    <mergeCell ref="AQ365:AT365"/>
    <mergeCell ref="AU365:AX365"/>
    <mergeCell ref="P366:S366"/>
    <mergeCell ref="T366:AK366"/>
    <mergeCell ref="AL366:AO366"/>
    <mergeCell ref="AP366:AS366"/>
    <mergeCell ref="P367:S367"/>
    <mergeCell ref="T367:AK367"/>
    <mergeCell ref="AL367:AO367"/>
    <mergeCell ref="AP367:AS367"/>
    <mergeCell ref="A369:AX369"/>
    <mergeCell ref="B370:E370"/>
    <mergeCell ref="F371:I371"/>
    <mergeCell ref="J371:M371"/>
    <mergeCell ref="N371:Q371"/>
    <mergeCell ref="R371:U371"/>
    <mergeCell ref="V371:Y371"/>
    <mergeCell ref="Z371:AC371"/>
    <mergeCell ref="AD371:AG371"/>
    <mergeCell ref="AH371:AK371"/>
    <mergeCell ref="AL371:AO371"/>
    <mergeCell ref="AP371:AS371"/>
    <mergeCell ref="AT371:AW371"/>
    <mergeCell ref="AX371:BA371"/>
    <mergeCell ref="F372:I372"/>
    <mergeCell ref="J372:M372"/>
    <mergeCell ref="N372:Q372"/>
    <mergeCell ref="R372:U372"/>
    <mergeCell ref="V372:Y372"/>
    <mergeCell ref="Z372:AC372"/>
    <mergeCell ref="AD372:AG372"/>
    <mergeCell ref="AH372:AK372"/>
    <mergeCell ref="AL372:AO372"/>
    <mergeCell ref="AP372:AS372"/>
    <mergeCell ref="AT372:AW372"/>
    <mergeCell ref="AX372:BA372"/>
    <mergeCell ref="H373:K373"/>
    <mergeCell ref="L373:O373"/>
    <mergeCell ref="P373:S373"/>
    <mergeCell ref="T373:W373"/>
    <mergeCell ref="X373:AA373"/>
    <mergeCell ref="AB373:AE373"/>
    <mergeCell ref="AF373:AI373"/>
    <mergeCell ref="AJ373:AM373"/>
    <mergeCell ref="AN373:AQ373"/>
    <mergeCell ref="AR373:AU373"/>
    <mergeCell ref="AV373:AY373"/>
    <mergeCell ref="AZ373:BC373"/>
    <mergeCell ref="H374:K374"/>
    <mergeCell ref="L374:O374"/>
    <mergeCell ref="P374:S374"/>
    <mergeCell ref="T374:W374"/>
    <mergeCell ref="X374:AA374"/>
    <mergeCell ref="AB374:AE374"/>
    <mergeCell ref="AF374:AI374"/>
    <mergeCell ref="AJ374:AM374"/>
    <mergeCell ref="AN374:AQ374"/>
    <mergeCell ref="AR374:AU374"/>
    <mergeCell ref="AV374:AY374"/>
    <mergeCell ref="AZ374:BC374"/>
    <mergeCell ref="I375:L375"/>
    <mergeCell ref="M375:P375"/>
    <mergeCell ref="Q375:T375"/>
    <mergeCell ref="U375:X375"/>
    <mergeCell ref="Y375:AB375"/>
    <mergeCell ref="AC375:AF375"/>
    <mergeCell ref="AG375:AJ375"/>
    <mergeCell ref="AK375:AN375"/>
    <mergeCell ref="AO375:AR375"/>
    <mergeCell ref="AS375:AV375"/>
    <mergeCell ref="AW375:AZ375"/>
    <mergeCell ref="I376:L376"/>
    <mergeCell ref="M376:P376"/>
    <mergeCell ref="Q376:T376"/>
    <mergeCell ref="U376:X376"/>
    <mergeCell ref="Y376:AB376"/>
    <mergeCell ref="AC376:AF376"/>
    <mergeCell ref="AG376:AJ376"/>
    <mergeCell ref="AK376:AN376"/>
    <mergeCell ref="AO376:AR376"/>
    <mergeCell ref="AS376:AV376"/>
    <mergeCell ref="AW376:AZ376"/>
    <mergeCell ref="K377:N377"/>
    <mergeCell ref="O377:R377"/>
    <mergeCell ref="S377:V377"/>
    <mergeCell ref="W377:Z377"/>
    <mergeCell ref="AA377:AD377"/>
    <mergeCell ref="AE377:AH377"/>
    <mergeCell ref="AI377:AL377"/>
    <mergeCell ref="AM377:AP377"/>
    <mergeCell ref="AQ377:AT377"/>
    <mergeCell ref="AU377:AX377"/>
    <mergeCell ref="K378:N378"/>
    <mergeCell ref="O378:R378"/>
    <mergeCell ref="S378:V378"/>
    <mergeCell ref="W378:Z378"/>
    <mergeCell ref="AA378:AD378"/>
    <mergeCell ref="AE378:AH378"/>
    <mergeCell ref="AI378:AL378"/>
    <mergeCell ref="AM378:AP378"/>
    <mergeCell ref="AQ378:AT378"/>
    <mergeCell ref="AU378:AX378"/>
    <mergeCell ref="P379:S379"/>
    <mergeCell ref="T379:AK379"/>
    <mergeCell ref="AL379:AO379"/>
    <mergeCell ref="AP379:AS379"/>
    <mergeCell ref="P380:S380"/>
    <mergeCell ref="T380:AK380"/>
    <mergeCell ref="AL380:AO380"/>
    <mergeCell ref="AP380:AS380"/>
    <mergeCell ref="A382:AX382"/>
    <mergeCell ref="B383:E383"/>
    <mergeCell ref="F384:I384"/>
    <mergeCell ref="J384:M384"/>
    <mergeCell ref="N384:Q384"/>
    <mergeCell ref="R384:U384"/>
    <mergeCell ref="V384:Y384"/>
    <mergeCell ref="Z384:AC384"/>
    <mergeCell ref="AD384:AG384"/>
    <mergeCell ref="AH384:AK384"/>
    <mergeCell ref="AL384:AO384"/>
    <mergeCell ref="AP384:AS384"/>
    <mergeCell ref="AT384:AW384"/>
    <mergeCell ref="AX384:BA384"/>
    <mergeCell ref="F385:I385"/>
    <mergeCell ref="J385:M385"/>
    <mergeCell ref="N385:Q385"/>
    <mergeCell ref="R385:U385"/>
    <mergeCell ref="V385:Y385"/>
    <mergeCell ref="Z385:AC385"/>
    <mergeCell ref="AD385:AG385"/>
    <mergeCell ref="AH385:AK385"/>
    <mergeCell ref="AL385:AO385"/>
    <mergeCell ref="AP385:AS385"/>
    <mergeCell ref="AT385:AW385"/>
    <mergeCell ref="AX385:BA385"/>
    <mergeCell ref="H386:K386"/>
    <mergeCell ref="L386:O386"/>
    <mergeCell ref="P386:S386"/>
    <mergeCell ref="T386:W386"/>
    <mergeCell ref="X386:AA386"/>
    <mergeCell ref="AB386:AE386"/>
    <mergeCell ref="AF386:AI386"/>
    <mergeCell ref="AJ386:AM386"/>
    <mergeCell ref="AN386:AQ386"/>
    <mergeCell ref="AR386:AU386"/>
    <mergeCell ref="AV386:AY386"/>
    <mergeCell ref="AZ386:BC386"/>
    <mergeCell ref="H387:K387"/>
    <mergeCell ref="L387:O387"/>
    <mergeCell ref="P387:S387"/>
    <mergeCell ref="T387:W387"/>
    <mergeCell ref="X387:AA387"/>
    <mergeCell ref="AB387:AE387"/>
    <mergeCell ref="AF387:AI387"/>
    <mergeCell ref="AJ387:AM387"/>
    <mergeCell ref="AN387:AQ387"/>
    <mergeCell ref="AR387:AU387"/>
    <mergeCell ref="AV387:AY387"/>
    <mergeCell ref="AZ387:BC387"/>
    <mergeCell ref="I388:L388"/>
    <mergeCell ref="M388:P388"/>
    <mergeCell ref="Q388:T388"/>
    <mergeCell ref="U388:X388"/>
    <mergeCell ref="Y388:AB388"/>
    <mergeCell ref="AC388:AF388"/>
    <mergeCell ref="AG388:AJ388"/>
    <mergeCell ref="AK388:AN388"/>
    <mergeCell ref="AO388:AR388"/>
    <mergeCell ref="AS388:AV388"/>
    <mergeCell ref="AW388:AZ388"/>
    <mergeCell ref="I389:L389"/>
    <mergeCell ref="M389:P389"/>
    <mergeCell ref="Q389:T389"/>
    <mergeCell ref="U389:X389"/>
    <mergeCell ref="Y389:AB389"/>
    <mergeCell ref="AC389:AF389"/>
    <mergeCell ref="AG389:AJ389"/>
    <mergeCell ref="AK389:AN389"/>
    <mergeCell ref="AO389:AR389"/>
    <mergeCell ref="AS389:AV389"/>
    <mergeCell ref="AW389:AZ389"/>
    <mergeCell ref="K390:N390"/>
    <mergeCell ref="O390:R390"/>
    <mergeCell ref="S390:V390"/>
    <mergeCell ref="W390:Z390"/>
    <mergeCell ref="AA390:AD390"/>
    <mergeCell ref="AE390:AH390"/>
    <mergeCell ref="AI390:AL390"/>
    <mergeCell ref="AM390:AP390"/>
    <mergeCell ref="AQ390:AT390"/>
    <mergeCell ref="AU390:AX390"/>
    <mergeCell ref="K391:N391"/>
    <mergeCell ref="O391:R391"/>
    <mergeCell ref="S391:V391"/>
    <mergeCell ref="W391:Z391"/>
    <mergeCell ref="AA391:AD391"/>
    <mergeCell ref="AE391:AH391"/>
    <mergeCell ref="AI391:AL391"/>
    <mergeCell ref="AM391:AP391"/>
    <mergeCell ref="AQ391:AT391"/>
    <mergeCell ref="AU391:AX391"/>
    <mergeCell ref="P392:S392"/>
    <mergeCell ref="T392:AK392"/>
    <mergeCell ref="AL392:AO392"/>
    <mergeCell ref="AP392:AS392"/>
    <mergeCell ref="P393:S393"/>
    <mergeCell ref="T393:AK393"/>
    <mergeCell ref="AL393:AO393"/>
    <mergeCell ref="AP393:AS393"/>
  </mergeCells>
  <dataValidations count="1">
    <dataValidation allowBlank="true" error="一覧にないキーIDです。" errorStyle="stop" errorTitle="キーIDが不正です" operator="between" showDropDown="false" showErrorMessage="false" showInputMessage="false" sqref="B6 B19 B32 B45 B58 B71 B84 B97 B110 B123 B136 B149 B162 B175 B188 B201 B214 B227 B240 B253 B266 B279 B292 B305 B318 B331 B344 B357 B370 B383" type="list">
      <formula1>_キー一覧!$A$1:$A$53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222" activePane="bottomRight" state="frozen"/>
      <selection pane="topLeft" activeCell="A1" activeCellId="0" sqref="A1"/>
      <selection pane="topRight" activeCell="B1" activeCellId="0" sqref="B1"/>
      <selection pane="bottomLeft" activeCell="A222" activeCellId="0" sqref="A222"/>
      <selection pane="bottomRight" activeCell="AA248" activeCellId="0" sqref="AA248"/>
    </sheetView>
  </sheetViews>
  <sheetFormatPr defaultColWidth="8.71484375" defaultRowHeight="15" zeroHeight="false" outlineLevelRow="0" outlineLevelCol="0"/>
  <cols>
    <col collapsed="false" customWidth="true" hidden="false" outlineLevel="0" max="1" min="1" style="2" width="11"/>
    <col collapsed="false" customWidth="true" hidden="false" outlineLevel="0" max="55" min="2" style="2" width="3"/>
  </cols>
  <sheetData>
    <row r="1" customFormat="false" ht="23.25" hidden="false" customHeight="true" outlineLevel="0" collapsed="false">
      <c r="A1" s="13" t="s">
        <v>234</v>
      </c>
    </row>
    <row r="2" customFormat="false" ht="15" hidden="false" customHeight="true" outlineLevel="0" collapsed="false">
      <c r="A2" s="4" t="s">
        <v>235</v>
      </c>
    </row>
    <row r="3" customFormat="false" ht="15" hidden="false" customHeight="true" outlineLevel="0" collapsed="false">
      <c r="A3" s="5" t="s">
        <v>55</v>
      </c>
    </row>
    <row r="5" customFormat="false" ht="18.75" hidden="false" customHeight="true" outlineLevel="0" collapsed="false">
      <c r="A5" s="14" t="s">
        <v>236</v>
      </c>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row>
    <row r="6" customFormat="false" ht="15" hidden="false" customHeight="true" outlineLevel="0" collapsed="false">
      <c r="A6" s="8" t="s">
        <v>124</v>
      </c>
      <c r="B6" s="15" t="s">
        <v>29</v>
      </c>
      <c r="C6" s="15"/>
      <c r="D6" s="15"/>
      <c r="E6" s="15"/>
      <c r="G6" s="15" t="s">
        <v>41</v>
      </c>
      <c r="H6" s="15"/>
      <c r="I6" s="15"/>
      <c r="J6" s="15"/>
      <c r="L6" s="5" t="s">
        <v>237</v>
      </c>
    </row>
    <row r="7" customFormat="false" ht="12" hidden="false" customHeight="true" outlineLevel="0" collapsed="false">
      <c r="A7" s="5" t="s">
        <v>64</v>
      </c>
      <c r="F7" s="10" t="s">
        <v>0</v>
      </c>
      <c r="G7" s="10"/>
      <c r="H7" s="10"/>
      <c r="I7" s="10"/>
      <c r="J7" s="10" t="s">
        <v>1</v>
      </c>
      <c r="K7" s="10"/>
      <c r="L7" s="10"/>
      <c r="M7" s="10"/>
      <c r="N7" s="10" t="s">
        <v>2</v>
      </c>
      <c r="O7" s="10"/>
      <c r="P7" s="10"/>
      <c r="Q7" s="10"/>
      <c r="R7" s="10" t="s">
        <v>3</v>
      </c>
      <c r="S7" s="10"/>
      <c r="T7" s="10"/>
      <c r="U7" s="10"/>
      <c r="V7" s="10" t="s">
        <v>4</v>
      </c>
      <c r="W7" s="10"/>
      <c r="X7" s="10"/>
      <c r="Y7" s="10"/>
      <c r="Z7" s="10" t="s">
        <v>5</v>
      </c>
      <c r="AA7" s="10"/>
      <c r="AB7" s="10"/>
      <c r="AC7" s="10"/>
      <c r="AD7" s="10" t="s">
        <v>6</v>
      </c>
      <c r="AE7" s="10"/>
      <c r="AF7" s="10"/>
      <c r="AG7" s="10"/>
      <c r="AH7" s="10" t="s">
        <v>7</v>
      </c>
      <c r="AI7" s="10"/>
      <c r="AJ7" s="10"/>
      <c r="AK7" s="10"/>
      <c r="AL7" s="10" t="s">
        <v>8</v>
      </c>
      <c r="AM7" s="10"/>
      <c r="AN7" s="10"/>
      <c r="AO7" s="10"/>
      <c r="AP7" s="10" t="s">
        <v>9</v>
      </c>
      <c r="AQ7" s="10"/>
      <c r="AR7" s="10"/>
      <c r="AS7" s="10"/>
      <c r="AT7" s="10" t="s">
        <v>10</v>
      </c>
      <c r="AU7" s="10"/>
      <c r="AV7" s="10"/>
      <c r="AW7" s="10"/>
      <c r="AX7" s="10" t="s">
        <v>11</v>
      </c>
      <c r="AY7" s="10"/>
      <c r="AZ7" s="10"/>
      <c r="BA7" s="10"/>
    </row>
    <row r="8" customFormat="false" ht="21.75" hidden="false" customHeight="true" outlineLevel="0" collapsed="false">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customFormat="false" ht="12" hidden="false" customHeight="true" outlineLevel="0" collapsed="false">
      <c r="A9" s="5" t="s">
        <v>65</v>
      </c>
      <c r="H9" s="10" t="s">
        <v>66</v>
      </c>
      <c r="I9" s="10"/>
      <c r="J9" s="10"/>
      <c r="K9" s="10"/>
      <c r="L9" s="10" t="s">
        <v>67</v>
      </c>
      <c r="M9" s="10"/>
      <c r="N9" s="10"/>
      <c r="O9" s="10"/>
      <c r="P9" s="10" t="s">
        <v>68</v>
      </c>
      <c r="Q9" s="10"/>
      <c r="R9" s="10"/>
      <c r="S9" s="10"/>
      <c r="T9" s="10" t="s">
        <v>69</v>
      </c>
      <c r="U9" s="10"/>
      <c r="V9" s="10"/>
      <c r="W9" s="10"/>
      <c r="X9" s="10" t="s">
        <v>70</v>
      </c>
      <c r="Y9" s="10"/>
      <c r="Z9" s="10"/>
      <c r="AA9" s="10"/>
      <c r="AB9" s="10" t="s">
        <v>71</v>
      </c>
      <c r="AC9" s="10"/>
      <c r="AD9" s="10"/>
      <c r="AE9" s="10"/>
      <c r="AF9" s="10" t="s">
        <v>72</v>
      </c>
      <c r="AG9" s="10"/>
      <c r="AH9" s="10"/>
      <c r="AI9" s="10"/>
      <c r="AJ9" s="10" t="s">
        <v>73</v>
      </c>
      <c r="AK9" s="10"/>
      <c r="AL9" s="10"/>
      <c r="AM9" s="10"/>
      <c r="AN9" s="10" t="s">
        <v>74</v>
      </c>
      <c r="AO9" s="10"/>
      <c r="AP9" s="10"/>
      <c r="AQ9" s="10"/>
      <c r="AR9" s="10" t="s">
        <v>75</v>
      </c>
      <c r="AS9" s="10"/>
      <c r="AT9" s="10"/>
      <c r="AU9" s="10"/>
      <c r="AV9" s="10" t="s">
        <v>22</v>
      </c>
      <c r="AW9" s="10"/>
      <c r="AX9" s="10"/>
      <c r="AY9" s="10"/>
      <c r="AZ9" s="10" t="s">
        <v>23</v>
      </c>
      <c r="BA9" s="10"/>
      <c r="BB9" s="10"/>
      <c r="BC9" s="10"/>
    </row>
    <row r="10" customFormat="false" ht="21.75" hidden="false" customHeight="true" outlineLevel="0" collapsed="false">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row>
    <row r="11" customFormat="false" ht="12" hidden="false" customHeight="true" outlineLevel="0" collapsed="false">
      <c r="A11" s="5" t="s">
        <v>82</v>
      </c>
      <c r="I11" s="10" t="s">
        <v>83</v>
      </c>
      <c r="J11" s="10"/>
      <c r="K11" s="10"/>
      <c r="L11" s="10"/>
      <c r="M11" s="10" t="s">
        <v>84</v>
      </c>
      <c r="N11" s="10"/>
      <c r="O11" s="10"/>
      <c r="P11" s="10"/>
      <c r="Q11" s="10" t="s">
        <v>85</v>
      </c>
      <c r="R11" s="10"/>
      <c r="S11" s="10"/>
      <c r="T11" s="10"/>
      <c r="U11" s="10" t="s">
        <v>86</v>
      </c>
      <c r="V11" s="10"/>
      <c r="W11" s="10"/>
      <c r="X11" s="10"/>
      <c r="Y11" s="10" t="s">
        <v>87</v>
      </c>
      <c r="Z11" s="10"/>
      <c r="AA11" s="10"/>
      <c r="AB11" s="10"/>
      <c r="AC11" s="10" t="s">
        <v>88</v>
      </c>
      <c r="AD11" s="10"/>
      <c r="AE11" s="10"/>
      <c r="AF11" s="10"/>
      <c r="AG11" s="10" t="s">
        <v>89</v>
      </c>
      <c r="AH11" s="10"/>
      <c r="AI11" s="10"/>
      <c r="AJ11" s="10"/>
      <c r="AK11" s="10" t="s">
        <v>90</v>
      </c>
      <c r="AL11" s="10"/>
      <c r="AM11" s="10"/>
      <c r="AN11" s="10"/>
      <c r="AO11" s="10" t="s">
        <v>91</v>
      </c>
      <c r="AP11" s="10"/>
      <c r="AQ11" s="10"/>
      <c r="AR11" s="10"/>
      <c r="AS11" s="10" t="s">
        <v>33</v>
      </c>
      <c r="AT11" s="10"/>
      <c r="AU11" s="10"/>
      <c r="AV11" s="10"/>
      <c r="AW11" s="10" t="s">
        <v>34</v>
      </c>
      <c r="AX11" s="10"/>
      <c r="AY11" s="10"/>
      <c r="AZ11" s="10"/>
    </row>
    <row r="12" customFormat="false" ht="21.75" hidden="false" customHeight="true" outlineLevel="0" collapsed="false">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row>
    <row r="13" customFormat="false" ht="12" hidden="false" customHeight="true" outlineLevel="0" collapsed="false">
      <c r="A13" s="5" t="s">
        <v>102</v>
      </c>
      <c r="K13" s="10" t="s">
        <v>103</v>
      </c>
      <c r="L13" s="10"/>
      <c r="M13" s="10"/>
      <c r="N13" s="10"/>
      <c r="O13" s="10" t="s">
        <v>104</v>
      </c>
      <c r="P13" s="10"/>
      <c r="Q13" s="10"/>
      <c r="R13" s="10"/>
      <c r="S13" s="10" t="s">
        <v>105</v>
      </c>
      <c r="T13" s="10"/>
      <c r="U13" s="10"/>
      <c r="V13" s="10"/>
      <c r="W13" s="10" t="s">
        <v>106</v>
      </c>
      <c r="X13" s="10"/>
      <c r="Y13" s="10"/>
      <c r="Z13" s="10"/>
      <c r="AA13" s="10" t="s">
        <v>107</v>
      </c>
      <c r="AB13" s="10"/>
      <c r="AC13" s="10"/>
      <c r="AD13" s="10"/>
      <c r="AE13" s="10" t="s">
        <v>108</v>
      </c>
      <c r="AF13" s="10"/>
      <c r="AG13" s="10"/>
      <c r="AH13" s="10"/>
      <c r="AI13" s="10" t="s">
        <v>109</v>
      </c>
      <c r="AJ13" s="10"/>
      <c r="AK13" s="10"/>
      <c r="AL13" s="10"/>
      <c r="AM13" s="10" t="s">
        <v>42</v>
      </c>
      <c r="AN13" s="10"/>
      <c r="AO13" s="10"/>
      <c r="AP13" s="10"/>
      <c r="AQ13" s="10" t="s">
        <v>43</v>
      </c>
      <c r="AR13" s="10"/>
      <c r="AS13" s="10"/>
      <c r="AT13" s="10"/>
      <c r="AU13" s="10" t="s">
        <v>44</v>
      </c>
      <c r="AV13" s="10"/>
      <c r="AW13" s="10"/>
      <c r="AX13" s="10"/>
    </row>
    <row r="14" customFormat="false" ht="21.75" hidden="false" customHeight="true" outlineLevel="0" collapsed="false">
      <c r="K14" s="11"/>
      <c r="L14" s="11"/>
      <c r="M14" s="11"/>
      <c r="N14" s="11"/>
      <c r="O14" s="12" t="s">
        <v>238</v>
      </c>
      <c r="P14" s="12"/>
      <c r="Q14" s="12"/>
      <c r="R14" s="12"/>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customFormat="false" ht="12" hidden="false" customHeight="true" outlineLevel="0" collapsed="false">
      <c r="A15" s="5" t="s">
        <v>120</v>
      </c>
      <c r="P15" s="10" t="s">
        <v>48</v>
      </c>
      <c r="Q15" s="10"/>
      <c r="R15" s="10"/>
      <c r="S15" s="10"/>
      <c r="T15" s="10" t="s">
        <v>50</v>
      </c>
      <c r="U15" s="10"/>
      <c r="V15" s="10"/>
      <c r="W15" s="10"/>
      <c r="X15" s="10"/>
      <c r="Y15" s="10"/>
      <c r="Z15" s="10"/>
      <c r="AA15" s="10"/>
      <c r="AB15" s="10"/>
      <c r="AC15" s="10"/>
      <c r="AD15" s="10"/>
      <c r="AE15" s="10"/>
      <c r="AF15" s="10"/>
      <c r="AG15" s="10"/>
      <c r="AH15" s="10"/>
      <c r="AI15" s="10"/>
      <c r="AJ15" s="10"/>
      <c r="AK15" s="10"/>
      <c r="AL15" s="10" t="s">
        <v>45</v>
      </c>
      <c r="AM15" s="10"/>
      <c r="AN15" s="10"/>
      <c r="AO15" s="10"/>
      <c r="AP15" s="10" t="s">
        <v>46</v>
      </c>
      <c r="AQ15" s="10"/>
      <c r="AR15" s="10"/>
      <c r="AS15" s="10"/>
    </row>
    <row r="16" customFormat="false" ht="21.75" hidden="false" customHeight="true" outlineLevel="0" collapsed="false">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row>
    <row r="18" customFormat="false" ht="18.75" hidden="false" customHeight="true" outlineLevel="0" collapsed="false">
      <c r="A18" s="14" t="s">
        <v>239</v>
      </c>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row>
    <row r="19" customFormat="false" ht="15" hidden="false" customHeight="true" outlineLevel="0" collapsed="false">
      <c r="A19" s="8" t="s">
        <v>124</v>
      </c>
      <c r="B19" s="15" t="s">
        <v>41</v>
      </c>
      <c r="C19" s="15"/>
      <c r="D19" s="15"/>
      <c r="E19" s="15"/>
      <c r="G19" s="15" t="s">
        <v>21</v>
      </c>
      <c r="H19" s="15"/>
      <c r="I19" s="15"/>
      <c r="J19" s="15"/>
      <c r="L19" s="5" t="s">
        <v>237</v>
      </c>
    </row>
    <row r="20" customFormat="false" ht="12" hidden="false" customHeight="true" outlineLevel="0" collapsed="false">
      <c r="A20" s="5" t="s">
        <v>64</v>
      </c>
      <c r="F20" s="10" t="s">
        <v>0</v>
      </c>
      <c r="G20" s="10"/>
      <c r="H20" s="10"/>
      <c r="I20" s="10"/>
      <c r="J20" s="10" t="s">
        <v>1</v>
      </c>
      <c r="K20" s="10"/>
      <c r="L20" s="10"/>
      <c r="M20" s="10"/>
      <c r="N20" s="10" t="s">
        <v>2</v>
      </c>
      <c r="O20" s="10"/>
      <c r="P20" s="10"/>
      <c r="Q20" s="10"/>
      <c r="R20" s="10" t="s">
        <v>3</v>
      </c>
      <c r="S20" s="10"/>
      <c r="T20" s="10"/>
      <c r="U20" s="10"/>
      <c r="V20" s="10" t="s">
        <v>4</v>
      </c>
      <c r="W20" s="10"/>
      <c r="X20" s="10"/>
      <c r="Y20" s="10"/>
      <c r="Z20" s="10" t="s">
        <v>5</v>
      </c>
      <c r="AA20" s="10"/>
      <c r="AB20" s="10"/>
      <c r="AC20" s="10"/>
      <c r="AD20" s="10" t="s">
        <v>6</v>
      </c>
      <c r="AE20" s="10"/>
      <c r="AF20" s="10"/>
      <c r="AG20" s="10"/>
      <c r="AH20" s="10" t="s">
        <v>7</v>
      </c>
      <c r="AI20" s="10"/>
      <c r="AJ20" s="10"/>
      <c r="AK20" s="10"/>
      <c r="AL20" s="10" t="s">
        <v>8</v>
      </c>
      <c r="AM20" s="10"/>
      <c r="AN20" s="10"/>
      <c r="AO20" s="10"/>
      <c r="AP20" s="10" t="s">
        <v>9</v>
      </c>
      <c r="AQ20" s="10"/>
      <c r="AR20" s="10"/>
      <c r="AS20" s="10"/>
      <c r="AT20" s="10" t="s">
        <v>10</v>
      </c>
      <c r="AU20" s="10"/>
      <c r="AV20" s="10"/>
      <c r="AW20" s="10"/>
      <c r="AX20" s="10" t="s">
        <v>11</v>
      </c>
      <c r="AY20" s="10"/>
      <c r="AZ20" s="10"/>
      <c r="BA20" s="10"/>
    </row>
    <row r="21" customFormat="false" ht="21.75" hidden="false" customHeight="true" outlineLevel="0" collapsed="false">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customFormat="false" ht="12" hidden="false" customHeight="true" outlineLevel="0" collapsed="false">
      <c r="A22" s="5" t="s">
        <v>65</v>
      </c>
      <c r="H22" s="10" t="s">
        <v>66</v>
      </c>
      <c r="I22" s="10"/>
      <c r="J22" s="10"/>
      <c r="K22" s="10"/>
      <c r="L22" s="10" t="s">
        <v>67</v>
      </c>
      <c r="M22" s="10"/>
      <c r="N22" s="10"/>
      <c r="O22" s="10"/>
      <c r="P22" s="10" t="s">
        <v>68</v>
      </c>
      <c r="Q22" s="10"/>
      <c r="R22" s="10"/>
      <c r="S22" s="10"/>
      <c r="T22" s="10" t="s">
        <v>69</v>
      </c>
      <c r="U22" s="10"/>
      <c r="V22" s="10"/>
      <c r="W22" s="10"/>
      <c r="X22" s="10" t="s">
        <v>70</v>
      </c>
      <c r="Y22" s="10"/>
      <c r="Z22" s="10"/>
      <c r="AA22" s="10"/>
      <c r="AB22" s="10" t="s">
        <v>71</v>
      </c>
      <c r="AC22" s="10"/>
      <c r="AD22" s="10"/>
      <c r="AE22" s="10"/>
      <c r="AF22" s="10" t="s">
        <v>72</v>
      </c>
      <c r="AG22" s="10"/>
      <c r="AH22" s="10"/>
      <c r="AI22" s="10"/>
      <c r="AJ22" s="10" t="s">
        <v>73</v>
      </c>
      <c r="AK22" s="10"/>
      <c r="AL22" s="10"/>
      <c r="AM22" s="10"/>
      <c r="AN22" s="10" t="s">
        <v>74</v>
      </c>
      <c r="AO22" s="10"/>
      <c r="AP22" s="10"/>
      <c r="AQ22" s="10"/>
      <c r="AR22" s="10" t="s">
        <v>75</v>
      </c>
      <c r="AS22" s="10"/>
      <c r="AT22" s="10"/>
      <c r="AU22" s="10"/>
      <c r="AV22" s="10" t="s">
        <v>22</v>
      </c>
      <c r="AW22" s="10"/>
      <c r="AX22" s="10"/>
      <c r="AY22" s="10"/>
      <c r="AZ22" s="10" t="s">
        <v>23</v>
      </c>
      <c r="BA22" s="10"/>
      <c r="BB22" s="10"/>
      <c r="BC22" s="10"/>
    </row>
    <row r="23" customFormat="false" ht="21.75" hidden="false" customHeight="true" outlineLevel="0" collapsed="false">
      <c r="H23" s="11"/>
      <c r="I23" s="11"/>
      <c r="J23" s="11"/>
      <c r="K23" s="11"/>
      <c r="L23" s="11"/>
      <c r="M23" s="11"/>
      <c r="N23" s="11"/>
      <c r="O23" s="11"/>
      <c r="P23" s="12" t="s">
        <v>240</v>
      </c>
      <c r="Q23" s="12"/>
      <c r="R23" s="12"/>
      <c r="S23" s="12"/>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row>
    <row r="24" customFormat="false" ht="12" hidden="false" customHeight="true" outlineLevel="0" collapsed="false">
      <c r="A24" s="5" t="s">
        <v>82</v>
      </c>
      <c r="I24" s="10" t="s">
        <v>83</v>
      </c>
      <c r="J24" s="10"/>
      <c r="K24" s="10"/>
      <c r="L24" s="10"/>
      <c r="M24" s="10" t="s">
        <v>84</v>
      </c>
      <c r="N24" s="10"/>
      <c r="O24" s="10"/>
      <c r="P24" s="10"/>
      <c r="Q24" s="10" t="s">
        <v>85</v>
      </c>
      <c r="R24" s="10"/>
      <c r="S24" s="10"/>
      <c r="T24" s="10"/>
      <c r="U24" s="10" t="s">
        <v>86</v>
      </c>
      <c r="V24" s="10"/>
      <c r="W24" s="10"/>
      <c r="X24" s="10"/>
      <c r="Y24" s="10" t="s">
        <v>87</v>
      </c>
      <c r="Z24" s="10"/>
      <c r="AA24" s="10"/>
      <c r="AB24" s="10"/>
      <c r="AC24" s="10" t="s">
        <v>88</v>
      </c>
      <c r="AD24" s="10"/>
      <c r="AE24" s="10"/>
      <c r="AF24" s="10"/>
      <c r="AG24" s="10" t="s">
        <v>89</v>
      </c>
      <c r="AH24" s="10"/>
      <c r="AI24" s="10"/>
      <c r="AJ24" s="10"/>
      <c r="AK24" s="10" t="s">
        <v>90</v>
      </c>
      <c r="AL24" s="10"/>
      <c r="AM24" s="10"/>
      <c r="AN24" s="10"/>
      <c r="AO24" s="10" t="s">
        <v>91</v>
      </c>
      <c r="AP24" s="10"/>
      <c r="AQ24" s="10"/>
      <c r="AR24" s="10"/>
      <c r="AS24" s="10" t="s">
        <v>33</v>
      </c>
      <c r="AT24" s="10"/>
      <c r="AU24" s="10"/>
      <c r="AV24" s="10"/>
      <c r="AW24" s="10" t="s">
        <v>34</v>
      </c>
      <c r="AX24" s="10"/>
      <c r="AY24" s="10"/>
      <c r="AZ24" s="10"/>
    </row>
    <row r="25" customFormat="false" ht="21.75" hidden="false" customHeight="true" outlineLevel="0" collapsed="false">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row>
    <row r="26" customFormat="false" ht="12" hidden="false" customHeight="true" outlineLevel="0" collapsed="false">
      <c r="A26" s="5" t="s">
        <v>102</v>
      </c>
      <c r="K26" s="10" t="s">
        <v>103</v>
      </c>
      <c r="L26" s="10"/>
      <c r="M26" s="10"/>
      <c r="N26" s="10"/>
      <c r="O26" s="10" t="s">
        <v>104</v>
      </c>
      <c r="P26" s="10"/>
      <c r="Q26" s="10"/>
      <c r="R26" s="10"/>
      <c r="S26" s="10" t="s">
        <v>105</v>
      </c>
      <c r="T26" s="10"/>
      <c r="U26" s="10"/>
      <c r="V26" s="10"/>
      <c r="W26" s="10" t="s">
        <v>106</v>
      </c>
      <c r="X26" s="10"/>
      <c r="Y26" s="10"/>
      <c r="Z26" s="10"/>
      <c r="AA26" s="10" t="s">
        <v>107</v>
      </c>
      <c r="AB26" s="10"/>
      <c r="AC26" s="10"/>
      <c r="AD26" s="10"/>
      <c r="AE26" s="10" t="s">
        <v>108</v>
      </c>
      <c r="AF26" s="10"/>
      <c r="AG26" s="10"/>
      <c r="AH26" s="10"/>
      <c r="AI26" s="10" t="s">
        <v>109</v>
      </c>
      <c r="AJ26" s="10"/>
      <c r="AK26" s="10"/>
      <c r="AL26" s="10"/>
      <c r="AM26" s="10" t="s">
        <v>42</v>
      </c>
      <c r="AN26" s="10"/>
      <c r="AO26" s="10"/>
      <c r="AP26" s="10"/>
      <c r="AQ26" s="10" t="s">
        <v>43</v>
      </c>
      <c r="AR26" s="10"/>
      <c r="AS26" s="10"/>
      <c r="AT26" s="10"/>
      <c r="AU26" s="10" t="s">
        <v>44</v>
      </c>
      <c r="AV26" s="10"/>
      <c r="AW26" s="10"/>
      <c r="AX26" s="10"/>
    </row>
    <row r="27" customFormat="false" ht="21.75" hidden="false" customHeight="true" outlineLevel="0" collapsed="false">
      <c r="K27" s="11"/>
      <c r="L27" s="11"/>
      <c r="M27" s="11"/>
      <c r="N27" s="11"/>
      <c r="O27" s="12" t="s">
        <v>241</v>
      </c>
      <c r="P27" s="12"/>
      <c r="Q27" s="12"/>
      <c r="R27" s="12"/>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row r="28" customFormat="false" ht="12" hidden="false" customHeight="true" outlineLevel="0" collapsed="false">
      <c r="A28" s="5" t="s">
        <v>120</v>
      </c>
      <c r="P28" s="10" t="s">
        <v>48</v>
      </c>
      <c r="Q28" s="10"/>
      <c r="R28" s="10"/>
      <c r="S28" s="10"/>
      <c r="T28" s="10" t="s">
        <v>50</v>
      </c>
      <c r="U28" s="10"/>
      <c r="V28" s="10"/>
      <c r="W28" s="10"/>
      <c r="X28" s="10"/>
      <c r="Y28" s="10"/>
      <c r="Z28" s="10"/>
      <c r="AA28" s="10"/>
      <c r="AB28" s="10"/>
      <c r="AC28" s="10"/>
      <c r="AD28" s="10"/>
      <c r="AE28" s="10"/>
      <c r="AF28" s="10"/>
      <c r="AG28" s="10"/>
      <c r="AH28" s="10"/>
      <c r="AI28" s="10"/>
      <c r="AJ28" s="10"/>
      <c r="AK28" s="10"/>
      <c r="AL28" s="10" t="s">
        <v>45</v>
      </c>
      <c r="AM28" s="10"/>
      <c r="AN28" s="10"/>
      <c r="AO28" s="10"/>
      <c r="AP28" s="10" t="s">
        <v>46</v>
      </c>
      <c r="AQ28" s="10"/>
      <c r="AR28" s="10"/>
      <c r="AS28" s="10"/>
    </row>
    <row r="29" customFormat="false" ht="21.75" hidden="false" customHeight="true" outlineLevel="0" collapsed="false">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row>
    <row r="31" customFormat="false" ht="18.75" hidden="false" customHeight="true" outlineLevel="0" collapsed="false">
      <c r="A31" s="14" t="s">
        <v>242</v>
      </c>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row>
    <row r="32" customFormat="false" ht="15" hidden="false" customHeight="true" outlineLevel="0" collapsed="false">
      <c r="A32" s="8" t="s">
        <v>124</v>
      </c>
      <c r="B32" s="15" t="s">
        <v>30</v>
      </c>
      <c r="C32" s="15"/>
      <c r="D32" s="15"/>
      <c r="E32" s="15"/>
      <c r="G32" s="15" t="s">
        <v>29</v>
      </c>
      <c r="H32" s="15"/>
      <c r="I32" s="15"/>
      <c r="J32" s="15"/>
      <c r="L32" s="5" t="s">
        <v>237</v>
      </c>
    </row>
    <row r="33" customFormat="false" ht="12" hidden="false" customHeight="true" outlineLevel="0" collapsed="false">
      <c r="A33" s="5" t="s">
        <v>64</v>
      </c>
      <c r="F33" s="10" t="s">
        <v>0</v>
      </c>
      <c r="G33" s="10"/>
      <c r="H33" s="10"/>
      <c r="I33" s="10"/>
      <c r="J33" s="10" t="s">
        <v>1</v>
      </c>
      <c r="K33" s="10"/>
      <c r="L33" s="10"/>
      <c r="M33" s="10"/>
      <c r="N33" s="10" t="s">
        <v>2</v>
      </c>
      <c r="O33" s="10"/>
      <c r="P33" s="10"/>
      <c r="Q33" s="10"/>
      <c r="R33" s="10" t="s">
        <v>3</v>
      </c>
      <c r="S33" s="10"/>
      <c r="T33" s="10"/>
      <c r="U33" s="10"/>
      <c r="V33" s="10" t="s">
        <v>4</v>
      </c>
      <c r="W33" s="10"/>
      <c r="X33" s="10"/>
      <c r="Y33" s="10"/>
      <c r="Z33" s="10" t="s">
        <v>5</v>
      </c>
      <c r="AA33" s="10"/>
      <c r="AB33" s="10"/>
      <c r="AC33" s="10"/>
      <c r="AD33" s="10" t="s">
        <v>6</v>
      </c>
      <c r="AE33" s="10"/>
      <c r="AF33" s="10"/>
      <c r="AG33" s="10"/>
      <c r="AH33" s="10" t="s">
        <v>7</v>
      </c>
      <c r="AI33" s="10"/>
      <c r="AJ33" s="10"/>
      <c r="AK33" s="10"/>
      <c r="AL33" s="10" t="s">
        <v>8</v>
      </c>
      <c r="AM33" s="10"/>
      <c r="AN33" s="10"/>
      <c r="AO33" s="10"/>
      <c r="AP33" s="10" t="s">
        <v>9</v>
      </c>
      <c r="AQ33" s="10"/>
      <c r="AR33" s="10"/>
      <c r="AS33" s="10"/>
      <c r="AT33" s="10" t="s">
        <v>10</v>
      </c>
      <c r="AU33" s="10"/>
      <c r="AV33" s="10"/>
      <c r="AW33" s="10"/>
      <c r="AX33" s="10" t="s">
        <v>11</v>
      </c>
      <c r="AY33" s="10"/>
      <c r="AZ33" s="10"/>
      <c r="BA33" s="10"/>
    </row>
    <row r="34" customFormat="false" ht="21.75" hidden="false" customHeight="true" outlineLevel="0" collapsed="false">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row>
    <row r="35" customFormat="false" ht="12" hidden="false" customHeight="true" outlineLevel="0" collapsed="false">
      <c r="A35" s="5" t="s">
        <v>65</v>
      </c>
      <c r="H35" s="10" t="s">
        <v>66</v>
      </c>
      <c r="I35" s="10"/>
      <c r="J35" s="10"/>
      <c r="K35" s="10"/>
      <c r="L35" s="10" t="s">
        <v>67</v>
      </c>
      <c r="M35" s="10"/>
      <c r="N35" s="10"/>
      <c r="O35" s="10"/>
      <c r="P35" s="10" t="s">
        <v>68</v>
      </c>
      <c r="Q35" s="10"/>
      <c r="R35" s="10"/>
      <c r="S35" s="10"/>
      <c r="T35" s="10" t="s">
        <v>69</v>
      </c>
      <c r="U35" s="10"/>
      <c r="V35" s="10"/>
      <c r="W35" s="10"/>
      <c r="X35" s="10" t="s">
        <v>70</v>
      </c>
      <c r="Y35" s="10"/>
      <c r="Z35" s="10"/>
      <c r="AA35" s="10"/>
      <c r="AB35" s="10" t="s">
        <v>71</v>
      </c>
      <c r="AC35" s="10"/>
      <c r="AD35" s="10"/>
      <c r="AE35" s="10"/>
      <c r="AF35" s="10" t="s">
        <v>72</v>
      </c>
      <c r="AG35" s="10"/>
      <c r="AH35" s="10"/>
      <c r="AI35" s="10"/>
      <c r="AJ35" s="10" t="s">
        <v>73</v>
      </c>
      <c r="AK35" s="10"/>
      <c r="AL35" s="10"/>
      <c r="AM35" s="10"/>
      <c r="AN35" s="10" t="s">
        <v>74</v>
      </c>
      <c r="AO35" s="10"/>
      <c r="AP35" s="10"/>
      <c r="AQ35" s="10"/>
      <c r="AR35" s="10" t="s">
        <v>75</v>
      </c>
      <c r="AS35" s="10"/>
      <c r="AT35" s="10"/>
      <c r="AU35" s="10"/>
      <c r="AV35" s="10" t="s">
        <v>22</v>
      </c>
      <c r="AW35" s="10"/>
      <c r="AX35" s="10"/>
      <c r="AY35" s="10"/>
      <c r="AZ35" s="10" t="s">
        <v>23</v>
      </c>
      <c r="BA35" s="10"/>
      <c r="BB35" s="10"/>
      <c r="BC35" s="10"/>
    </row>
    <row r="36" customFormat="false" ht="21.75" hidden="false" customHeight="true" outlineLevel="0" collapsed="false">
      <c r="H36" s="11"/>
      <c r="I36" s="11"/>
      <c r="J36" s="11"/>
      <c r="K36" s="11"/>
      <c r="L36" s="12" t="s">
        <v>243</v>
      </c>
      <c r="M36" s="12"/>
      <c r="N36" s="12"/>
      <c r="O36" s="12"/>
      <c r="P36" s="11"/>
      <c r="Q36" s="11"/>
      <c r="R36" s="11"/>
      <c r="S36" s="11"/>
      <c r="T36" s="12" t="s">
        <v>244</v>
      </c>
      <c r="U36" s="12"/>
      <c r="V36" s="12"/>
      <c r="W36" s="12"/>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row>
    <row r="37" customFormat="false" ht="12" hidden="false" customHeight="true" outlineLevel="0" collapsed="false">
      <c r="A37" s="5" t="s">
        <v>82</v>
      </c>
      <c r="I37" s="10" t="s">
        <v>83</v>
      </c>
      <c r="J37" s="10"/>
      <c r="K37" s="10"/>
      <c r="L37" s="10"/>
      <c r="M37" s="10" t="s">
        <v>84</v>
      </c>
      <c r="N37" s="10"/>
      <c r="O37" s="10"/>
      <c r="P37" s="10"/>
      <c r="Q37" s="10" t="s">
        <v>85</v>
      </c>
      <c r="R37" s="10"/>
      <c r="S37" s="10"/>
      <c r="T37" s="10"/>
      <c r="U37" s="10" t="s">
        <v>86</v>
      </c>
      <c r="V37" s="10"/>
      <c r="W37" s="10"/>
      <c r="X37" s="10"/>
      <c r="Y37" s="10" t="s">
        <v>87</v>
      </c>
      <c r="Z37" s="10"/>
      <c r="AA37" s="10"/>
      <c r="AB37" s="10"/>
      <c r="AC37" s="10" t="s">
        <v>88</v>
      </c>
      <c r="AD37" s="10"/>
      <c r="AE37" s="10"/>
      <c r="AF37" s="10"/>
      <c r="AG37" s="10" t="s">
        <v>89</v>
      </c>
      <c r="AH37" s="10"/>
      <c r="AI37" s="10"/>
      <c r="AJ37" s="10"/>
      <c r="AK37" s="10" t="s">
        <v>90</v>
      </c>
      <c r="AL37" s="10"/>
      <c r="AM37" s="10"/>
      <c r="AN37" s="10"/>
      <c r="AO37" s="10" t="s">
        <v>91</v>
      </c>
      <c r="AP37" s="10"/>
      <c r="AQ37" s="10"/>
      <c r="AR37" s="10"/>
      <c r="AS37" s="10" t="s">
        <v>33</v>
      </c>
      <c r="AT37" s="10"/>
      <c r="AU37" s="10"/>
      <c r="AV37" s="10"/>
      <c r="AW37" s="10" t="s">
        <v>34</v>
      </c>
      <c r="AX37" s="10"/>
      <c r="AY37" s="10"/>
      <c r="AZ37" s="10"/>
    </row>
    <row r="38" customFormat="false" ht="21.75" hidden="false" customHeight="true" outlineLevel="0" collapsed="false">
      <c r="I38" s="11"/>
      <c r="J38" s="11"/>
      <c r="K38" s="11"/>
      <c r="L38" s="11"/>
      <c r="M38" s="11"/>
      <c r="N38" s="11"/>
      <c r="O38" s="11"/>
      <c r="P38" s="11"/>
      <c r="Q38" s="11"/>
      <c r="R38" s="11"/>
      <c r="S38" s="11"/>
      <c r="T38" s="11"/>
      <c r="U38" s="11"/>
      <c r="V38" s="11"/>
      <c r="W38" s="11"/>
      <c r="X38" s="11"/>
      <c r="Y38" s="12" t="s">
        <v>245</v>
      </c>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row>
    <row r="39" customFormat="false" ht="12" hidden="false" customHeight="true" outlineLevel="0" collapsed="false">
      <c r="A39" s="5" t="s">
        <v>102</v>
      </c>
      <c r="K39" s="10" t="s">
        <v>103</v>
      </c>
      <c r="L39" s="10"/>
      <c r="M39" s="10"/>
      <c r="N39" s="10"/>
      <c r="O39" s="10" t="s">
        <v>104</v>
      </c>
      <c r="P39" s="10"/>
      <c r="Q39" s="10"/>
      <c r="R39" s="10"/>
      <c r="S39" s="10" t="s">
        <v>105</v>
      </c>
      <c r="T39" s="10"/>
      <c r="U39" s="10"/>
      <c r="V39" s="10"/>
      <c r="W39" s="10" t="s">
        <v>106</v>
      </c>
      <c r="X39" s="10"/>
      <c r="Y39" s="10"/>
      <c r="Z39" s="10"/>
      <c r="AA39" s="10" t="s">
        <v>107</v>
      </c>
      <c r="AB39" s="10"/>
      <c r="AC39" s="10"/>
      <c r="AD39" s="10"/>
      <c r="AE39" s="10" t="s">
        <v>108</v>
      </c>
      <c r="AF39" s="10"/>
      <c r="AG39" s="10"/>
      <c r="AH39" s="10"/>
      <c r="AI39" s="10" t="s">
        <v>109</v>
      </c>
      <c r="AJ39" s="10"/>
      <c r="AK39" s="10"/>
      <c r="AL39" s="10"/>
      <c r="AM39" s="10" t="s">
        <v>42</v>
      </c>
      <c r="AN39" s="10"/>
      <c r="AO39" s="10"/>
      <c r="AP39" s="10"/>
      <c r="AQ39" s="10" t="s">
        <v>43</v>
      </c>
      <c r="AR39" s="10"/>
      <c r="AS39" s="10"/>
      <c r="AT39" s="10"/>
      <c r="AU39" s="10" t="s">
        <v>44</v>
      </c>
      <c r="AV39" s="10"/>
      <c r="AW39" s="10"/>
      <c r="AX39" s="10"/>
    </row>
    <row r="40" customFormat="false" ht="21.75" hidden="false" customHeight="true" outlineLevel="0" collapsed="false">
      <c r="K40" s="11"/>
      <c r="L40" s="11"/>
      <c r="M40" s="11"/>
      <c r="N40" s="11"/>
      <c r="O40" s="12" t="s">
        <v>246</v>
      </c>
      <c r="P40" s="12"/>
      <c r="Q40" s="12"/>
      <c r="R40" s="12"/>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customFormat="false" ht="12" hidden="false" customHeight="true" outlineLevel="0" collapsed="false">
      <c r="A41" s="5" t="s">
        <v>120</v>
      </c>
      <c r="P41" s="10" t="s">
        <v>48</v>
      </c>
      <c r="Q41" s="10"/>
      <c r="R41" s="10"/>
      <c r="S41" s="10"/>
      <c r="T41" s="10" t="s">
        <v>50</v>
      </c>
      <c r="U41" s="10"/>
      <c r="V41" s="10"/>
      <c r="W41" s="10"/>
      <c r="X41" s="10"/>
      <c r="Y41" s="10"/>
      <c r="Z41" s="10"/>
      <c r="AA41" s="10"/>
      <c r="AB41" s="10"/>
      <c r="AC41" s="10"/>
      <c r="AD41" s="10"/>
      <c r="AE41" s="10"/>
      <c r="AF41" s="10"/>
      <c r="AG41" s="10"/>
      <c r="AH41" s="10"/>
      <c r="AI41" s="10"/>
      <c r="AJ41" s="10"/>
      <c r="AK41" s="10"/>
      <c r="AL41" s="10" t="s">
        <v>45</v>
      </c>
      <c r="AM41" s="10"/>
      <c r="AN41" s="10"/>
      <c r="AO41" s="10"/>
      <c r="AP41" s="10" t="s">
        <v>46</v>
      </c>
      <c r="AQ41" s="10"/>
      <c r="AR41" s="10"/>
      <c r="AS41" s="10"/>
    </row>
    <row r="42" customFormat="false" ht="21.75" hidden="false" customHeight="true" outlineLevel="0" collapsed="false">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row>
    <row r="44" customFormat="false" ht="18.75" hidden="false" customHeight="true" outlineLevel="0" collapsed="false">
      <c r="A44" s="14" t="s">
        <v>247</v>
      </c>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row>
    <row r="45" customFormat="false" ht="15" hidden="false" customHeight="true" outlineLevel="0" collapsed="false">
      <c r="A45" s="8" t="s">
        <v>124</v>
      </c>
      <c r="B45" s="15" t="s">
        <v>30</v>
      </c>
      <c r="C45" s="15"/>
      <c r="D45" s="15"/>
      <c r="E45" s="15"/>
      <c r="G45" s="15" t="s">
        <v>19</v>
      </c>
      <c r="H45" s="15"/>
      <c r="I45" s="15"/>
      <c r="J45" s="15"/>
      <c r="L45" s="5" t="s">
        <v>237</v>
      </c>
    </row>
    <row r="46" customFormat="false" ht="12" hidden="false" customHeight="true" outlineLevel="0" collapsed="false">
      <c r="A46" s="5" t="s">
        <v>64</v>
      </c>
      <c r="F46" s="10" t="s">
        <v>0</v>
      </c>
      <c r="G46" s="10"/>
      <c r="H46" s="10"/>
      <c r="I46" s="10"/>
      <c r="J46" s="10" t="s">
        <v>1</v>
      </c>
      <c r="K46" s="10"/>
      <c r="L46" s="10"/>
      <c r="M46" s="10"/>
      <c r="N46" s="10" t="s">
        <v>2</v>
      </c>
      <c r="O46" s="10"/>
      <c r="P46" s="10"/>
      <c r="Q46" s="10"/>
      <c r="R46" s="10" t="s">
        <v>3</v>
      </c>
      <c r="S46" s="10"/>
      <c r="T46" s="10"/>
      <c r="U46" s="10"/>
      <c r="V46" s="10" t="s">
        <v>4</v>
      </c>
      <c r="W46" s="10"/>
      <c r="X46" s="10"/>
      <c r="Y46" s="10"/>
      <c r="Z46" s="10" t="s">
        <v>5</v>
      </c>
      <c r="AA46" s="10"/>
      <c r="AB46" s="10"/>
      <c r="AC46" s="10"/>
      <c r="AD46" s="10" t="s">
        <v>6</v>
      </c>
      <c r="AE46" s="10"/>
      <c r="AF46" s="10"/>
      <c r="AG46" s="10"/>
      <c r="AH46" s="10" t="s">
        <v>7</v>
      </c>
      <c r="AI46" s="10"/>
      <c r="AJ46" s="10"/>
      <c r="AK46" s="10"/>
      <c r="AL46" s="10" t="s">
        <v>8</v>
      </c>
      <c r="AM46" s="10"/>
      <c r="AN46" s="10"/>
      <c r="AO46" s="10"/>
      <c r="AP46" s="10" t="s">
        <v>9</v>
      </c>
      <c r="AQ46" s="10"/>
      <c r="AR46" s="10"/>
      <c r="AS46" s="10"/>
      <c r="AT46" s="10" t="s">
        <v>10</v>
      </c>
      <c r="AU46" s="10"/>
      <c r="AV46" s="10"/>
      <c r="AW46" s="10"/>
      <c r="AX46" s="10" t="s">
        <v>11</v>
      </c>
      <c r="AY46" s="10"/>
      <c r="AZ46" s="10"/>
      <c r="BA46" s="10"/>
    </row>
    <row r="47" customFormat="false" ht="21.75" hidden="false" customHeight="true" outlineLevel="0" collapsed="false">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row>
    <row r="48" customFormat="false" ht="12" hidden="false" customHeight="true" outlineLevel="0" collapsed="false">
      <c r="A48" s="5" t="s">
        <v>65</v>
      </c>
      <c r="H48" s="10" t="s">
        <v>66</v>
      </c>
      <c r="I48" s="10"/>
      <c r="J48" s="10"/>
      <c r="K48" s="10"/>
      <c r="L48" s="10" t="s">
        <v>67</v>
      </c>
      <c r="M48" s="10"/>
      <c r="N48" s="10"/>
      <c r="O48" s="10"/>
      <c r="P48" s="10" t="s">
        <v>68</v>
      </c>
      <c r="Q48" s="10"/>
      <c r="R48" s="10"/>
      <c r="S48" s="10"/>
      <c r="T48" s="10" t="s">
        <v>69</v>
      </c>
      <c r="U48" s="10"/>
      <c r="V48" s="10"/>
      <c r="W48" s="10"/>
      <c r="X48" s="10" t="s">
        <v>70</v>
      </c>
      <c r="Y48" s="10"/>
      <c r="Z48" s="10"/>
      <c r="AA48" s="10"/>
      <c r="AB48" s="10" t="s">
        <v>71</v>
      </c>
      <c r="AC48" s="10"/>
      <c r="AD48" s="10"/>
      <c r="AE48" s="10"/>
      <c r="AF48" s="10" t="s">
        <v>72</v>
      </c>
      <c r="AG48" s="10"/>
      <c r="AH48" s="10"/>
      <c r="AI48" s="10"/>
      <c r="AJ48" s="10" t="s">
        <v>73</v>
      </c>
      <c r="AK48" s="10"/>
      <c r="AL48" s="10"/>
      <c r="AM48" s="10"/>
      <c r="AN48" s="10" t="s">
        <v>74</v>
      </c>
      <c r="AO48" s="10"/>
      <c r="AP48" s="10"/>
      <c r="AQ48" s="10"/>
      <c r="AR48" s="10" t="s">
        <v>75</v>
      </c>
      <c r="AS48" s="10"/>
      <c r="AT48" s="10"/>
      <c r="AU48" s="10"/>
      <c r="AV48" s="10" t="s">
        <v>22</v>
      </c>
      <c r="AW48" s="10"/>
      <c r="AX48" s="10"/>
      <c r="AY48" s="10"/>
      <c r="AZ48" s="10" t="s">
        <v>23</v>
      </c>
      <c r="BA48" s="10"/>
      <c r="BB48" s="10"/>
      <c r="BC48" s="10"/>
    </row>
    <row r="49" customFormat="false" ht="21.75" hidden="false" customHeight="true" outlineLevel="0" collapsed="false">
      <c r="H49" s="11"/>
      <c r="I49" s="11"/>
      <c r="J49" s="11"/>
      <c r="K49" s="11"/>
      <c r="L49" s="12" t="s">
        <v>248</v>
      </c>
      <c r="M49" s="12"/>
      <c r="N49" s="12"/>
      <c r="O49" s="12"/>
      <c r="P49" s="11"/>
      <c r="Q49" s="11"/>
      <c r="R49" s="11"/>
      <c r="S49" s="11"/>
      <c r="T49" s="12" t="s">
        <v>249</v>
      </c>
      <c r="U49" s="12"/>
      <c r="V49" s="12"/>
      <c r="W49" s="12"/>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row>
    <row r="50" customFormat="false" ht="12" hidden="false" customHeight="true" outlineLevel="0" collapsed="false">
      <c r="A50" s="5" t="s">
        <v>82</v>
      </c>
      <c r="I50" s="10" t="s">
        <v>83</v>
      </c>
      <c r="J50" s="10"/>
      <c r="K50" s="10"/>
      <c r="L50" s="10"/>
      <c r="M50" s="10" t="s">
        <v>84</v>
      </c>
      <c r="N50" s="10"/>
      <c r="O50" s="10"/>
      <c r="P50" s="10"/>
      <c r="Q50" s="10" t="s">
        <v>85</v>
      </c>
      <c r="R50" s="10"/>
      <c r="S50" s="10"/>
      <c r="T50" s="10"/>
      <c r="U50" s="10" t="s">
        <v>86</v>
      </c>
      <c r="V50" s="10"/>
      <c r="W50" s="10"/>
      <c r="X50" s="10"/>
      <c r="Y50" s="10" t="s">
        <v>87</v>
      </c>
      <c r="Z50" s="10"/>
      <c r="AA50" s="10"/>
      <c r="AB50" s="10"/>
      <c r="AC50" s="10" t="s">
        <v>88</v>
      </c>
      <c r="AD50" s="10"/>
      <c r="AE50" s="10"/>
      <c r="AF50" s="10"/>
      <c r="AG50" s="10" t="s">
        <v>89</v>
      </c>
      <c r="AH50" s="10"/>
      <c r="AI50" s="10"/>
      <c r="AJ50" s="10"/>
      <c r="AK50" s="10" t="s">
        <v>90</v>
      </c>
      <c r="AL50" s="10"/>
      <c r="AM50" s="10"/>
      <c r="AN50" s="10"/>
      <c r="AO50" s="10" t="s">
        <v>91</v>
      </c>
      <c r="AP50" s="10"/>
      <c r="AQ50" s="10"/>
      <c r="AR50" s="10"/>
      <c r="AS50" s="10" t="s">
        <v>33</v>
      </c>
      <c r="AT50" s="10"/>
      <c r="AU50" s="10"/>
      <c r="AV50" s="10"/>
      <c r="AW50" s="10" t="s">
        <v>34</v>
      </c>
      <c r="AX50" s="10"/>
      <c r="AY50" s="10"/>
      <c r="AZ50" s="10"/>
    </row>
    <row r="51" customFormat="false" ht="21.75" hidden="false" customHeight="true" outlineLevel="0" collapsed="false">
      <c r="I51" s="11"/>
      <c r="J51" s="11"/>
      <c r="K51" s="11"/>
      <c r="L51" s="11"/>
      <c r="M51" s="11"/>
      <c r="N51" s="11"/>
      <c r="O51" s="11"/>
      <c r="P51" s="11"/>
      <c r="Q51" s="11"/>
      <c r="R51" s="11"/>
      <c r="S51" s="11"/>
      <c r="T51" s="11"/>
      <c r="U51" s="11"/>
      <c r="V51" s="11"/>
      <c r="W51" s="11"/>
      <c r="X51" s="11"/>
      <c r="Y51" s="12" t="s">
        <v>250</v>
      </c>
      <c r="Z51" s="12"/>
      <c r="AA51" s="12"/>
      <c r="AB51" s="12"/>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row>
    <row r="52" customFormat="false" ht="12" hidden="false" customHeight="true" outlineLevel="0" collapsed="false">
      <c r="A52" s="5" t="s">
        <v>102</v>
      </c>
      <c r="K52" s="10" t="s">
        <v>103</v>
      </c>
      <c r="L52" s="10"/>
      <c r="M52" s="10"/>
      <c r="N52" s="10"/>
      <c r="O52" s="10" t="s">
        <v>104</v>
      </c>
      <c r="P52" s="10"/>
      <c r="Q52" s="10"/>
      <c r="R52" s="10"/>
      <c r="S52" s="10" t="s">
        <v>105</v>
      </c>
      <c r="T52" s="10"/>
      <c r="U52" s="10"/>
      <c r="V52" s="10"/>
      <c r="W52" s="10" t="s">
        <v>106</v>
      </c>
      <c r="X52" s="10"/>
      <c r="Y52" s="10"/>
      <c r="Z52" s="10"/>
      <c r="AA52" s="10" t="s">
        <v>107</v>
      </c>
      <c r="AB52" s="10"/>
      <c r="AC52" s="10"/>
      <c r="AD52" s="10"/>
      <c r="AE52" s="10" t="s">
        <v>108</v>
      </c>
      <c r="AF52" s="10"/>
      <c r="AG52" s="10"/>
      <c r="AH52" s="10"/>
      <c r="AI52" s="10" t="s">
        <v>109</v>
      </c>
      <c r="AJ52" s="10"/>
      <c r="AK52" s="10"/>
      <c r="AL52" s="10"/>
      <c r="AM52" s="10" t="s">
        <v>42</v>
      </c>
      <c r="AN52" s="10"/>
      <c r="AO52" s="10"/>
      <c r="AP52" s="10"/>
      <c r="AQ52" s="10" t="s">
        <v>43</v>
      </c>
      <c r="AR52" s="10"/>
      <c r="AS52" s="10"/>
      <c r="AT52" s="10"/>
      <c r="AU52" s="10" t="s">
        <v>44</v>
      </c>
      <c r="AV52" s="10"/>
      <c r="AW52" s="10"/>
      <c r="AX52" s="10"/>
    </row>
    <row r="53" customFormat="false" ht="21.75" hidden="false" customHeight="true" outlineLevel="0" collapsed="false">
      <c r="K53" s="11"/>
      <c r="L53" s="11"/>
      <c r="M53" s="11"/>
      <c r="N53" s="11"/>
      <c r="O53" s="12" t="s">
        <v>251</v>
      </c>
      <c r="P53" s="12"/>
      <c r="Q53" s="12"/>
      <c r="R53" s="12"/>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customFormat="false" ht="12" hidden="false" customHeight="true" outlineLevel="0" collapsed="false">
      <c r="A54" s="5" t="s">
        <v>120</v>
      </c>
      <c r="P54" s="10" t="s">
        <v>48</v>
      </c>
      <c r="Q54" s="10"/>
      <c r="R54" s="10"/>
      <c r="S54" s="10"/>
      <c r="T54" s="10" t="s">
        <v>50</v>
      </c>
      <c r="U54" s="10"/>
      <c r="V54" s="10"/>
      <c r="W54" s="10"/>
      <c r="X54" s="10"/>
      <c r="Y54" s="10"/>
      <c r="Z54" s="10"/>
      <c r="AA54" s="10"/>
      <c r="AB54" s="10"/>
      <c r="AC54" s="10"/>
      <c r="AD54" s="10"/>
      <c r="AE54" s="10"/>
      <c r="AF54" s="10"/>
      <c r="AG54" s="10"/>
      <c r="AH54" s="10"/>
      <c r="AI54" s="10"/>
      <c r="AJ54" s="10"/>
      <c r="AK54" s="10"/>
      <c r="AL54" s="10" t="s">
        <v>45</v>
      </c>
      <c r="AM54" s="10"/>
      <c r="AN54" s="10"/>
      <c r="AO54" s="10"/>
      <c r="AP54" s="10" t="s">
        <v>46</v>
      </c>
      <c r="AQ54" s="10"/>
      <c r="AR54" s="10"/>
      <c r="AS54" s="10"/>
    </row>
    <row r="55" customFormat="false" ht="21.75" hidden="false" customHeight="true" outlineLevel="0" collapsed="false">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row>
    <row r="57" customFormat="false" ht="18.75" hidden="false" customHeight="true" outlineLevel="0" collapsed="false">
      <c r="A57" s="14" t="s">
        <v>252</v>
      </c>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row>
    <row r="58" customFormat="false" ht="15" hidden="false" customHeight="true" outlineLevel="0" collapsed="false">
      <c r="A58" s="8" t="s">
        <v>124</v>
      </c>
      <c r="B58" s="15" t="s">
        <v>30</v>
      </c>
      <c r="C58" s="15"/>
      <c r="D58" s="15"/>
      <c r="E58" s="15"/>
      <c r="G58" s="15" t="s">
        <v>21</v>
      </c>
      <c r="H58" s="15"/>
      <c r="I58" s="15"/>
      <c r="J58" s="15"/>
      <c r="L58" s="5" t="s">
        <v>237</v>
      </c>
    </row>
    <row r="59" customFormat="false" ht="12" hidden="false" customHeight="true" outlineLevel="0" collapsed="false">
      <c r="A59" s="5" t="s">
        <v>64</v>
      </c>
      <c r="F59" s="10" t="s">
        <v>0</v>
      </c>
      <c r="G59" s="10"/>
      <c r="H59" s="10"/>
      <c r="I59" s="10"/>
      <c r="J59" s="10" t="s">
        <v>1</v>
      </c>
      <c r="K59" s="10"/>
      <c r="L59" s="10"/>
      <c r="M59" s="10"/>
      <c r="N59" s="10" t="s">
        <v>2</v>
      </c>
      <c r="O59" s="10"/>
      <c r="P59" s="10"/>
      <c r="Q59" s="10"/>
      <c r="R59" s="10" t="s">
        <v>3</v>
      </c>
      <c r="S59" s="10"/>
      <c r="T59" s="10"/>
      <c r="U59" s="10"/>
      <c r="V59" s="10" t="s">
        <v>4</v>
      </c>
      <c r="W59" s="10"/>
      <c r="X59" s="10"/>
      <c r="Y59" s="10"/>
      <c r="Z59" s="10" t="s">
        <v>5</v>
      </c>
      <c r="AA59" s="10"/>
      <c r="AB59" s="10"/>
      <c r="AC59" s="10"/>
      <c r="AD59" s="10" t="s">
        <v>6</v>
      </c>
      <c r="AE59" s="10"/>
      <c r="AF59" s="10"/>
      <c r="AG59" s="10"/>
      <c r="AH59" s="10" t="s">
        <v>7</v>
      </c>
      <c r="AI59" s="10"/>
      <c r="AJ59" s="10"/>
      <c r="AK59" s="10"/>
      <c r="AL59" s="10" t="s">
        <v>8</v>
      </c>
      <c r="AM59" s="10"/>
      <c r="AN59" s="10"/>
      <c r="AO59" s="10"/>
      <c r="AP59" s="10" t="s">
        <v>9</v>
      </c>
      <c r="AQ59" s="10"/>
      <c r="AR59" s="10"/>
      <c r="AS59" s="10"/>
      <c r="AT59" s="10" t="s">
        <v>10</v>
      </c>
      <c r="AU59" s="10"/>
      <c r="AV59" s="10"/>
      <c r="AW59" s="10"/>
      <c r="AX59" s="10" t="s">
        <v>11</v>
      </c>
      <c r="AY59" s="10"/>
      <c r="AZ59" s="10"/>
      <c r="BA59" s="10"/>
    </row>
    <row r="60" customFormat="false" ht="21.75" hidden="false" customHeight="true" outlineLevel="0" collapsed="false">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row>
    <row r="61" customFormat="false" ht="12" hidden="false" customHeight="true" outlineLevel="0" collapsed="false">
      <c r="A61" s="5" t="s">
        <v>65</v>
      </c>
      <c r="H61" s="10" t="s">
        <v>66</v>
      </c>
      <c r="I61" s="10"/>
      <c r="J61" s="10"/>
      <c r="K61" s="10"/>
      <c r="L61" s="10" t="s">
        <v>67</v>
      </c>
      <c r="M61" s="10"/>
      <c r="N61" s="10"/>
      <c r="O61" s="10"/>
      <c r="P61" s="10" t="s">
        <v>68</v>
      </c>
      <c r="Q61" s="10"/>
      <c r="R61" s="10"/>
      <c r="S61" s="10"/>
      <c r="T61" s="10" t="s">
        <v>69</v>
      </c>
      <c r="U61" s="10"/>
      <c r="V61" s="10"/>
      <c r="W61" s="10"/>
      <c r="X61" s="10" t="s">
        <v>70</v>
      </c>
      <c r="Y61" s="10"/>
      <c r="Z61" s="10"/>
      <c r="AA61" s="10"/>
      <c r="AB61" s="10" t="s">
        <v>71</v>
      </c>
      <c r="AC61" s="10"/>
      <c r="AD61" s="10"/>
      <c r="AE61" s="10"/>
      <c r="AF61" s="10" t="s">
        <v>72</v>
      </c>
      <c r="AG61" s="10"/>
      <c r="AH61" s="10"/>
      <c r="AI61" s="10"/>
      <c r="AJ61" s="10" t="s">
        <v>73</v>
      </c>
      <c r="AK61" s="10"/>
      <c r="AL61" s="10"/>
      <c r="AM61" s="10"/>
      <c r="AN61" s="10" t="s">
        <v>74</v>
      </c>
      <c r="AO61" s="10"/>
      <c r="AP61" s="10"/>
      <c r="AQ61" s="10"/>
      <c r="AR61" s="10" t="s">
        <v>75</v>
      </c>
      <c r="AS61" s="10"/>
      <c r="AT61" s="10"/>
      <c r="AU61" s="10"/>
      <c r="AV61" s="10" t="s">
        <v>22</v>
      </c>
      <c r="AW61" s="10"/>
      <c r="AX61" s="10"/>
      <c r="AY61" s="10"/>
      <c r="AZ61" s="10" t="s">
        <v>23</v>
      </c>
      <c r="BA61" s="10"/>
      <c r="BB61" s="10"/>
      <c r="BC61" s="10"/>
    </row>
    <row r="62" customFormat="false" ht="21.75" hidden="false" customHeight="true" outlineLevel="0" collapsed="false">
      <c r="H62" s="11"/>
      <c r="I62" s="11"/>
      <c r="J62" s="11"/>
      <c r="K62" s="11"/>
      <c r="L62" s="12" t="s">
        <v>253</v>
      </c>
      <c r="M62" s="12"/>
      <c r="N62" s="12"/>
      <c r="O62" s="12"/>
      <c r="P62" s="11"/>
      <c r="Q62" s="11"/>
      <c r="R62" s="11"/>
      <c r="S62" s="11"/>
      <c r="T62" s="12" t="s">
        <v>254</v>
      </c>
      <c r="U62" s="12"/>
      <c r="V62" s="12"/>
      <c r="W62" s="12"/>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row>
    <row r="63" customFormat="false" ht="12" hidden="false" customHeight="true" outlineLevel="0" collapsed="false">
      <c r="A63" s="5" t="s">
        <v>82</v>
      </c>
      <c r="I63" s="10" t="s">
        <v>83</v>
      </c>
      <c r="J63" s="10"/>
      <c r="K63" s="10"/>
      <c r="L63" s="10"/>
      <c r="M63" s="10" t="s">
        <v>84</v>
      </c>
      <c r="N63" s="10"/>
      <c r="O63" s="10"/>
      <c r="P63" s="10"/>
      <c r="Q63" s="10" t="s">
        <v>85</v>
      </c>
      <c r="R63" s="10"/>
      <c r="S63" s="10"/>
      <c r="T63" s="10"/>
      <c r="U63" s="10" t="s">
        <v>86</v>
      </c>
      <c r="V63" s="10"/>
      <c r="W63" s="10"/>
      <c r="X63" s="10"/>
      <c r="Y63" s="10" t="s">
        <v>87</v>
      </c>
      <c r="Z63" s="10"/>
      <c r="AA63" s="10"/>
      <c r="AB63" s="10"/>
      <c r="AC63" s="10" t="s">
        <v>88</v>
      </c>
      <c r="AD63" s="10"/>
      <c r="AE63" s="10"/>
      <c r="AF63" s="10"/>
      <c r="AG63" s="10" t="s">
        <v>89</v>
      </c>
      <c r="AH63" s="10"/>
      <c r="AI63" s="10"/>
      <c r="AJ63" s="10"/>
      <c r="AK63" s="10" t="s">
        <v>90</v>
      </c>
      <c r="AL63" s="10"/>
      <c r="AM63" s="10"/>
      <c r="AN63" s="10"/>
      <c r="AO63" s="10" t="s">
        <v>91</v>
      </c>
      <c r="AP63" s="10"/>
      <c r="AQ63" s="10"/>
      <c r="AR63" s="10"/>
      <c r="AS63" s="10" t="s">
        <v>33</v>
      </c>
      <c r="AT63" s="10"/>
      <c r="AU63" s="10"/>
      <c r="AV63" s="10"/>
      <c r="AW63" s="10" t="s">
        <v>34</v>
      </c>
      <c r="AX63" s="10"/>
      <c r="AY63" s="10"/>
      <c r="AZ63" s="10"/>
    </row>
    <row r="64" customFormat="false" ht="21.75" hidden="false" customHeight="true" outlineLevel="0" collapsed="false">
      <c r="I64" s="11"/>
      <c r="J64" s="11"/>
      <c r="K64" s="11"/>
      <c r="L64" s="11"/>
      <c r="M64" s="11"/>
      <c r="N64" s="11"/>
      <c r="O64" s="11"/>
      <c r="P64" s="11"/>
      <c r="Q64" s="11"/>
      <c r="R64" s="11"/>
      <c r="S64" s="11"/>
      <c r="T64" s="11"/>
      <c r="U64" s="11"/>
      <c r="V64" s="11"/>
      <c r="W64" s="11"/>
      <c r="X64" s="11"/>
      <c r="Y64" s="12" t="s">
        <v>255</v>
      </c>
      <c r="Z64" s="12"/>
      <c r="AA64" s="12"/>
      <c r="AB64" s="12"/>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row>
    <row r="65" customFormat="false" ht="12" hidden="false" customHeight="true" outlineLevel="0" collapsed="false">
      <c r="A65" s="5" t="s">
        <v>102</v>
      </c>
      <c r="K65" s="10" t="s">
        <v>103</v>
      </c>
      <c r="L65" s="10"/>
      <c r="M65" s="10"/>
      <c r="N65" s="10"/>
      <c r="O65" s="10" t="s">
        <v>104</v>
      </c>
      <c r="P65" s="10"/>
      <c r="Q65" s="10"/>
      <c r="R65" s="10"/>
      <c r="S65" s="10" t="s">
        <v>105</v>
      </c>
      <c r="T65" s="10"/>
      <c r="U65" s="10"/>
      <c r="V65" s="10"/>
      <c r="W65" s="10" t="s">
        <v>106</v>
      </c>
      <c r="X65" s="10"/>
      <c r="Y65" s="10"/>
      <c r="Z65" s="10"/>
      <c r="AA65" s="10" t="s">
        <v>107</v>
      </c>
      <c r="AB65" s="10"/>
      <c r="AC65" s="10"/>
      <c r="AD65" s="10"/>
      <c r="AE65" s="10" t="s">
        <v>108</v>
      </c>
      <c r="AF65" s="10"/>
      <c r="AG65" s="10"/>
      <c r="AH65" s="10"/>
      <c r="AI65" s="10" t="s">
        <v>109</v>
      </c>
      <c r="AJ65" s="10"/>
      <c r="AK65" s="10"/>
      <c r="AL65" s="10"/>
      <c r="AM65" s="10" t="s">
        <v>42</v>
      </c>
      <c r="AN65" s="10"/>
      <c r="AO65" s="10"/>
      <c r="AP65" s="10"/>
      <c r="AQ65" s="10" t="s">
        <v>43</v>
      </c>
      <c r="AR65" s="10"/>
      <c r="AS65" s="10"/>
      <c r="AT65" s="10"/>
      <c r="AU65" s="10" t="s">
        <v>44</v>
      </c>
      <c r="AV65" s="10"/>
      <c r="AW65" s="10"/>
      <c r="AX65" s="10"/>
    </row>
    <row r="66" customFormat="false" ht="21.75" hidden="false" customHeight="true" outlineLevel="0" collapsed="false">
      <c r="K66" s="11"/>
      <c r="L66" s="11"/>
      <c r="M66" s="11"/>
      <c r="N66" s="11"/>
      <c r="O66" s="12" t="s">
        <v>256</v>
      </c>
      <c r="P66" s="12"/>
      <c r="Q66" s="12"/>
      <c r="R66" s="12"/>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customFormat="false" ht="12" hidden="false" customHeight="true" outlineLevel="0" collapsed="false">
      <c r="A67" s="5" t="s">
        <v>120</v>
      </c>
      <c r="P67" s="10" t="s">
        <v>48</v>
      </c>
      <c r="Q67" s="10"/>
      <c r="R67" s="10"/>
      <c r="S67" s="10"/>
      <c r="T67" s="10" t="s">
        <v>50</v>
      </c>
      <c r="U67" s="10"/>
      <c r="V67" s="10"/>
      <c r="W67" s="10"/>
      <c r="X67" s="10"/>
      <c r="Y67" s="10"/>
      <c r="Z67" s="10"/>
      <c r="AA67" s="10"/>
      <c r="AB67" s="10"/>
      <c r="AC67" s="10"/>
      <c r="AD67" s="10"/>
      <c r="AE67" s="10"/>
      <c r="AF67" s="10"/>
      <c r="AG67" s="10"/>
      <c r="AH67" s="10"/>
      <c r="AI67" s="10"/>
      <c r="AJ67" s="10"/>
      <c r="AK67" s="10"/>
      <c r="AL67" s="10" t="s">
        <v>45</v>
      </c>
      <c r="AM67" s="10"/>
      <c r="AN67" s="10"/>
      <c r="AO67" s="10"/>
      <c r="AP67" s="10" t="s">
        <v>46</v>
      </c>
      <c r="AQ67" s="10"/>
      <c r="AR67" s="10"/>
      <c r="AS67" s="10"/>
    </row>
    <row r="68" customFormat="false" ht="21.75" hidden="false" customHeight="true" outlineLevel="0" collapsed="false">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row>
    <row r="70" customFormat="false" ht="18.75" hidden="false" customHeight="true" outlineLevel="0" collapsed="false">
      <c r="A70" s="14" t="s">
        <v>257</v>
      </c>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row>
    <row r="71" customFormat="false" ht="15" hidden="false" customHeight="true" outlineLevel="0" collapsed="false">
      <c r="A71" s="8" t="s">
        <v>124</v>
      </c>
      <c r="B71" s="15" t="s">
        <v>41</v>
      </c>
      <c r="C71" s="15"/>
      <c r="D71" s="15"/>
      <c r="E71" s="15"/>
      <c r="G71" s="15" t="s">
        <v>19</v>
      </c>
      <c r="H71" s="15"/>
      <c r="I71" s="15"/>
      <c r="J71" s="15"/>
      <c r="L71" s="5" t="s">
        <v>237</v>
      </c>
    </row>
    <row r="72" customFormat="false" ht="12" hidden="false" customHeight="true" outlineLevel="0" collapsed="false">
      <c r="A72" s="5" t="s">
        <v>64</v>
      </c>
      <c r="F72" s="10" t="s">
        <v>0</v>
      </c>
      <c r="G72" s="10"/>
      <c r="H72" s="10"/>
      <c r="I72" s="10"/>
      <c r="J72" s="10" t="s">
        <v>1</v>
      </c>
      <c r="K72" s="10"/>
      <c r="L72" s="10"/>
      <c r="M72" s="10"/>
      <c r="N72" s="10" t="s">
        <v>2</v>
      </c>
      <c r="O72" s="10"/>
      <c r="P72" s="10"/>
      <c r="Q72" s="10"/>
      <c r="R72" s="10" t="s">
        <v>3</v>
      </c>
      <c r="S72" s="10"/>
      <c r="T72" s="10"/>
      <c r="U72" s="10"/>
      <c r="V72" s="10" t="s">
        <v>4</v>
      </c>
      <c r="W72" s="10"/>
      <c r="X72" s="10"/>
      <c r="Y72" s="10"/>
      <c r="Z72" s="10" t="s">
        <v>5</v>
      </c>
      <c r="AA72" s="10"/>
      <c r="AB72" s="10"/>
      <c r="AC72" s="10"/>
      <c r="AD72" s="10" t="s">
        <v>6</v>
      </c>
      <c r="AE72" s="10"/>
      <c r="AF72" s="10"/>
      <c r="AG72" s="10"/>
      <c r="AH72" s="10" t="s">
        <v>7</v>
      </c>
      <c r="AI72" s="10"/>
      <c r="AJ72" s="10"/>
      <c r="AK72" s="10"/>
      <c r="AL72" s="10" t="s">
        <v>8</v>
      </c>
      <c r="AM72" s="10"/>
      <c r="AN72" s="10"/>
      <c r="AO72" s="10"/>
      <c r="AP72" s="10" t="s">
        <v>9</v>
      </c>
      <c r="AQ72" s="10"/>
      <c r="AR72" s="10"/>
      <c r="AS72" s="10"/>
      <c r="AT72" s="10" t="s">
        <v>10</v>
      </c>
      <c r="AU72" s="10"/>
      <c r="AV72" s="10"/>
      <c r="AW72" s="10"/>
      <c r="AX72" s="10" t="s">
        <v>11</v>
      </c>
      <c r="AY72" s="10"/>
      <c r="AZ72" s="10"/>
      <c r="BA72" s="10"/>
    </row>
    <row r="73" customFormat="false" ht="21.75" hidden="false" customHeight="true" outlineLevel="0" collapsed="false">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row>
    <row r="74" customFormat="false" ht="12" hidden="false" customHeight="true" outlineLevel="0" collapsed="false">
      <c r="A74" s="5" t="s">
        <v>65</v>
      </c>
      <c r="H74" s="10" t="s">
        <v>66</v>
      </c>
      <c r="I74" s="10"/>
      <c r="J74" s="10"/>
      <c r="K74" s="10"/>
      <c r="L74" s="10" t="s">
        <v>67</v>
      </c>
      <c r="M74" s="10"/>
      <c r="N74" s="10"/>
      <c r="O74" s="10"/>
      <c r="P74" s="10" t="s">
        <v>68</v>
      </c>
      <c r="Q74" s="10"/>
      <c r="R74" s="10"/>
      <c r="S74" s="10"/>
      <c r="T74" s="10" t="s">
        <v>69</v>
      </c>
      <c r="U74" s="10"/>
      <c r="V74" s="10"/>
      <c r="W74" s="10"/>
      <c r="X74" s="10" t="s">
        <v>70</v>
      </c>
      <c r="Y74" s="10"/>
      <c r="Z74" s="10"/>
      <c r="AA74" s="10"/>
      <c r="AB74" s="10" t="s">
        <v>71</v>
      </c>
      <c r="AC74" s="10"/>
      <c r="AD74" s="10"/>
      <c r="AE74" s="10"/>
      <c r="AF74" s="10" t="s">
        <v>72</v>
      </c>
      <c r="AG74" s="10"/>
      <c r="AH74" s="10"/>
      <c r="AI74" s="10"/>
      <c r="AJ74" s="10" t="s">
        <v>73</v>
      </c>
      <c r="AK74" s="10"/>
      <c r="AL74" s="10"/>
      <c r="AM74" s="10"/>
      <c r="AN74" s="10" t="s">
        <v>74</v>
      </c>
      <c r="AO74" s="10"/>
      <c r="AP74" s="10"/>
      <c r="AQ74" s="10"/>
      <c r="AR74" s="10" t="s">
        <v>75</v>
      </c>
      <c r="AS74" s="10"/>
      <c r="AT74" s="10"/>
      <c r="AU74" s="10"/>
      <c r="AV74" s="10" t="s">
        <v>22</v>
      </c>
      <c r="AW74" s="10"/>
      <c r="AX74" s="10"/>
      <c r="AY74" s="10"/>
      <c r="AZ74" s="10" t="s">
        <v>23</v>
      </c>
      <c r="BA74" s="10"/>
      <c r="BB74" s="10"/>
      <c r="BC74" s="10"/>
    </row>
    <row r="75" customFormat="false" ht="21.75" hidden="false" customHeight="true" outlineLevel="0" collapsed="false">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row>
    <row r="76" customFormat="false" ht="12" hidden="false" customHeight="true" outlineLevel="0" collapsed="false">
      <c r="A76" s="5" t="s">
        <v>82</v>
      </c>
      <c r="I76" s="10" t="s">
        <v>83</v>
      </c>
      <c r="J76" s="10"/>
      <c r="K76" s="10"/>
      <c r="L76" s="10"/>
      <c r="M76" s="10" t="s">
        <v>84</v>
      </c>
      <c r="N76" s="10"/>
      <c r="O76" s="10"/>
      <c r="P76" s="10"/>
      <c r="Q76" s="10" t="s">
        <v>85</v>
      </c>
      <c r="R76" s="10"/>
      <c r="S76" s="10"/>
      <c r="T76" s="10"/>
      <c r="U76" s="10" t="s">
        <v>86</v>
      </c>
      <c r="V76" s="10"/>
      <c r="W76" s="10"/>
      <c r="X76" s="10"/>
      <c r="Y76" s="10" t="s">
        <v>87</v>
      </c>
      <c r="Z76" s="10"/>
      <c r="AA76" s="10"/>
      <c r="AB76" s="10"/>
      <c r="AC76" s="10" t="s">
        <v>88</v>
      </c>
      <c r="AD76" s="10"/>
      <c r="AE76" s="10"/>
      <c r="AF76" s="10"/>
      <c r="AG76" s="10" t="s">
        <v>89</v>
      </c>
      <c r="AH76" s="10"/>
      <c r="AI76" s="10"/>
      <c r="AJ76" s="10"/>
      <c r="AK76" s="10" t="s">
        <v>90</v>
      </c>
      <c r="AL76" s="10"/>
      <c r="AM76" s="10"/>
      <c r="AN76" s="10"/>
      <c r="AO76" s="10" t="s">
        <v>91</v>
      </c>
      <c r="AP76" s="10"/>
      <c r="AQ76" s="10"/>
      <c r="AR76" s="10"/>
      <c r="AS76" s="10" t="s">
        <v>33</v>
      </c>
      <c r="AT76" s="10"/>
      <c r="AU76" s="10"/>
      <c r="AV76" s="10"/>
      <c r="AW76" s="10" t="s">
        <v>34</v>
      </c>
      <c r="AX76" s="10"/>
      <c r="AY76" s="10"/>
      <c r="AZ76" s="10"/>
    </row>
    <row r="77" customFormat="false" ht="21.75" hidden="false" customHeight="true" outlineLevel="0" collapsed="false">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row>
    <row r="78" customFormat="false" ht="12" hidden="false" customHeight="true" outlineLevel="0" collapsed="false">
      <c r="A78" s="5" t="s">
        <v>102</v>
      </c>
      <c r="K78" s="10" t="s">
        <v>103</v>
      </c>
      <c r="L78" s="10"/>
      <c r="M78" s="10"/>
      <c r="N78" s="10"/>
      <c r="O78" s="10" t="s">
        <v>104</v>
      </c>
      <c r="P78" s="10"/>
      <c r="Q78" s="10"/>
      <c r="R78" s="10"/>
      <c r="S78" s="10" t="s">
        <v>105</v>
      </c>
      <c r="T78" s="10"/>
      <c r="U78" s="10"/>
      <c r="V78" s="10"/>
      <c r="W78" s="10" t="s">
        <v>106</v>
      </c>
      <c r="X78" s="10"/>
      <c r="Y78" s="10"/>
      <c r="Z78" s="10"/>
      <c r="AA78" s="10" t="s">
        <v>107</v>
      </c>
      <c r="AB78" s="10"/>
      <c r="AC78" s="10"/>
      <c r="AD78" s="10"/>
      <c r="AE78" s="10" t="s">
        <v>108</v>
      </c>
      <c r="AF78" s="10"/>
      <c r="AG78" s="10"/>
      <c r="AH78" s="10"/>
      <c r="AI78" s="10" t="s">
        <v>109</v>
      </c>
      <c r="AJ78" s="10"/>
      <c r="AK78" s="10"/>
      <c r="AL78" s="10"/>
      <c r="AM78" s="10" t="s">
        <v>42</v>
      </c>
      <c r="AN78" s="10"/>
      <c r="AO78" s="10"/>
      <c r="AP78" s="10"/>
      <c r="AQ78" s="10" t="s">
        <v>43</v>
      </c>
      <c r="AR78" s="10"/>
      <c r="AS78" s="10"/>
      <c r="AT78" s="10"/>
      <c r="AU78" s="10" t="s">
        <v>44</v>
      </c>
      <c r="AV78" s="10"/>
      <c r="AW78" s="10"/>
      <c r="AX78" s="10"/>
    </row>
    <row r="79" customFormat="false" ht="21.75" hidden="false" customHeight="true" outlineLevel="0" collapsed="false">
      <c r="K79" s="11"/>
      <c r="L79" s="11"/>
      <c r="M79" s="11"/>
      <c r="N79" s="11"/>
      <c r="O79" s="12" t="s">
        <v>258</v>
      </c>
      <c r="P79" s="12"/>
      <c r="Q79" s="12"/>
      <c r="R79" s="12"/>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customFormat="false" ht="12" hidden="false" customHeight="true" outlineLevel="0" collapsed="false">
      <c r="A80" s="5" t="s">
        <v>120</v>
      </c>
      <c r="P80" s="10" t="s">
        <v>48</v>
      </c>
      <c r="Q80" s="10"/>
      <c r="R80" s="10"/>
      <c r="S80" s="10"/>
      <c r="T80" s="10" t="s">
        <v>50</v>
      </c>
      <c r="U80" s="10"/>
      <c r="V80" s="10"/>
      <c r="W80" s="10"/>
      <c r="X80" s="10"/>
      <c r="Y80" s="10"/>
      <c r="Z80" s="10"/>
      <c r="AA80" s="10"/>
      <c r="AB80" s="10"/>
      <c r="AC80" s="10"/>
      <c r="AD80" s="10"/>
      <c r="AE80" s="10"/>
      <c r="AF80" s="10"/>
      <c r="AG80" s="10"/>
      <c r="AH80" s="10"/>
      <c r="AI80" s="10"/>
      <c r="AJ80" s="10"/>
      <c r="AK80" s="10"/>
      <c r="AL80" s="10" t="s">
        <v>45</v>
      </c>
      <c r="AM80" s="10"/>
      <c r="AN80" s="10"/>
      <c r="AO80" s="10"/>
      <c r="AP80" s="10" t="s">
        <v>46</v>
      </c>
      <c r="AQ80" s="10"/>
      <c r="AR80" s="10"/>
      <c r="AS80" s="10"/>
    </row>
    <row r="81" customFormat="false" ht="21.75" hidden="false" customHeight="true" outlineLevel="0" collapsed="false">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row>
    <row r="83" customFormat="false" ht="18.75" hidden="false" customHeight="true" outlineLevel="0" collapsed="false">
      <c r="A83" s="14" t="s">
        <v>259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row>
    <row r="84" customFormat="false" ht="15" hidden="false" customHeight="true" outlineLevel="0" collapsed="false">
      <c r="A84" s="8" t="s">
        <v>124</v>
      </c>
      <c r="B84" s="15" t="s">
        <v>38</v>
      </c>
      <c r="C84" s="15"/>
      <c r="D84" s="15"/>
      <c r="E84" s="15"/>
      <c r="G84" s="15" t="s">
        <v>32</v>
      </c>
      <c r="H84" s="15"/>
      <c r="I84" s="15"/>
      <c r="J84" s="15"/>
      <c r="L84" s="5" t="s">
        <v>237</v>
      </c>
    </row>
    <row r="85" customFormat="false" ht="12" hidden="false" customHeight="true" outlineLevel="0" collapsed="false">
      <c r="A85" s="5" t="s">
        <v>64</v>
      </c>
      <c r="F85" s="10" t="s">
        <v>0</v>
      </c>
      <c r="G85" s="10"/>
      <c r="H85" s="10"/>
      <c r="I85" s="10"/>
      <c r="J85" s="10" t="s">
        <v>1</v>
      </c>
      <c r="K85" s="10"/>
      <c r="L85" s="10"/>
      <c r="M85" s="10"/>
      <c r="N85" s="10" t="s">
        <v>2</v>
      </c>
      <c r="O85" s="10"/>
      <c r="P85" s="10"/>
      <c r="Q85" s="10"/>
      <c r="R85" s="10" t="s">
        <v>3</v>
      </c>
      <c r="S85" s="10"/>
      <c r="T85" s="10"/>
      <c r="U85" s="10"/>
      <c r="V85" s="10" t="s">
        <v>4</v>
      </c>
      <c r="W85" s="10"/>
      <c r="X85" s="10"/>
      <c r="Y85" s="10"/>
      <c r="Z85" s="10" t="s">
        <v>5</v>
      </c>
      <c r="AA85" s="10"/>
      <c r="AB85" s="10"/>
      <c r="AC85" s="10"/>
      <c r="AD85" s="10" t="s">
        <v>6</v>
      </c>
      <c r="AE85" s="10"/>
      <c r="AF85" s="10"/>
      <c r="AG85" s="10"/>
      <c r="AH85" s="10" t="s">
        <v>7</v>
      </c>
      <c r="AI85" s="10"/>
      <c r="AJ85" s="10"/>
      <c r="AK85" s="10"/>
      <c r="AL85" s="10" t="s">
        <v>8</v>
      </c>
      <c r="AM85" s="10"/>
      <c r="AN85" s="10"/>
      <c r="AO85" s="10"/>
      <c r="AP85" s="10" t="s">
        <v>9</v>
      </c>
      <c r="AQ85" s="10"/>
      <c r="AR85" s="10"/>
      <c r="AS85" s="10"/>
      <c r="AT85" s="10" t="s">
        <v>10</v>
      </c>
      <c r="AU85" s="10"/>
      <c r="AV85" s="10"/>
      <c r="AW85" s="10"/>
      <c r="AX85" s="10" t="s">
        <v>11</v>
      </c>
      <c r="AY85" s="10"/>
      <c r="AZ85" s="10"/>
      <c r="BA85" s="10"/>
    </row>
    <row r="86" customFormat="false" ht="21.75" hidden="false" customHeight="true" outlineLevel="0" collapsed="false">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row>
    <row r="87" customFormat="false" ht="12" hidden="false" customHeight="true" outlineLevel="0" collapsed="false">
      <c r="A87" s="5" t="s">
        <v>65</v>
      </c>
      <c r="H87" s="10" t="s">
        <v>66</v>
      </c>
      <c r="I87" s="10"/>
      <c r="J87" s="10"/>
      <c r="K87" s="10"/>
      <c r="L87" s="10" t="s">
        <v>67</v>
      </c>
      <c r="M87" s="10"/>
      <c r="N87" s="10"/>
      <c r="O87" s="10"/>
      <c r="P87" s="10" t="s">
        <v>68</v>
      </c>
      <c r="Q87" s="10"/>
      <c r="R87" s="10"/>
      <c r="S87" s="10"/>
      <c r="T87" s="10" t="s">
        <v>69</v>
      </c>
      <c r="U87" s="10"/>
      <c r="V87" s="10"/>
      <c r="W87" s="10"/>
      <c r="X87" s="10" t="s">
        <v>70</v>
      </c>
      <c r="Y87" s="10"/>
      <c r="Z87" s="10"/>
      <c r="AA87" s="10"/>
      <c r="AB87" s="10" t="s">
        <v>71</v>
      </c>
      <c r="AC87" s="10"/>
      <c r="AD87" s="10"/>
      <c r="AE87" s="10"/>
      <c r="AF87" s="10" t="s">
        <v>72</v>
      </c>
      <c r="AG87" s="10"/>
      <c r="AH87" s="10"/>
      <c r="AI87" s="10"/>
      <c r="AJ87" s="10" t="s">
        <v>73</v>
      </c>
      <c r="AK87" s="10"/>
      <c r="AL87" s="10"/>
      <c r="AM87" s="10"/>
      <c r="AN87" s="10" t="s">
        <v>74</v>
      </c>
      <c r="AO87" s="10"/>
      <c r="AP87" s="10"/>
      <c r="AQ87" s="10"/>
      <c r="AR87" s="10" t="s">
        <v>75</v>
      </c>
      <c r="AS87" s="10"/>
      <c r="AT87" s="10"/>
      <c r="AU87" s="10"/>
      <c r="AV87" s="10" t="s">
        <v>22</v>
      </c>
      <c r="AW87" s="10"/>
      <c r="AX87" s="10"/>
      <c r="AY87" s="10"/>
      <c r="AZ87" s="10" t="s">
        <v>23</v>
      </c>
      <c r="BA87" s="10"/>
      <c r="BB87" s="10"/>
      <c r="BC87" s="10"/>
    </row>
    <row r="88" customFormat="false" ht="21.75" hidden="false" customHeight="true" outlineLevel="0" collapsed="false">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2" t="s">
        <v>260</v>
      </c>
      <c r="AO88" s="12"/>
      <c r="AP88" s="12"/>
      <c r="AQ88" s="12"/>
      <c r="AR88" s="11"/>
      <c r="AS88" s="11"/>
      <c r="AT88" s="11"/>
      <c r="AU88" s="11"/>
      <c r="AV88" s="11"/>
      <c r="AW88" s="11"/>
      <c r="AX88" s="11"/>
      <c r="AY88" s="11"/>
      <c r="AZ88" s="11"/>
      <c r="BA88" s="11"/>
      <c r="BB88" s="11"/>
      <c r="BC88" s="11"/>
    </row>
    <row r="89" customFormat="false" ht="12" hidden="false" customHeight="true" outlineLevel="0" collapsed="false">
      <c r="A89" s="5" t="s">
        <v>82</v>
      </c>
      <c r="I89" s="10" t="s">
        <v>83</v>
      </c>
      <c r="J89" s="10"/>
      <c r="K89" s="10"/>
      <c r="L89" s="10"/>
      <c r="M89" s="10" t="s">
        <v>84</v>
      </c>
      <c r="N89" s="10"/>
      <c r="O89" s="10"/>
      <c r="P89" s="10"/>
      <c r="Q89" s="10" t="s">
        <v>85</v>
      </c>
      <c r="R89" s="10"/>
      <c r="S89" s="10"/>
      <c r="T89" s="10"/>
      <c r="U89" s="10" t="s">
        <v>86</v>
      </c>
      <c r="V89" s="10"/>
      <c r="W89" s="10"/>
      <c r="X89" s="10"/>
      <c r="Y89" s="10" t="s">
        <v>87</v>
      </c>
      <c r="Z89" s="10"/>
      <c r="AA89" s="10"/>
      <c r="AB89" s="10"/>
      <c r="AC89" s="10" t="s">
        <v>88</v>
      </c>
      <c r="AD89" s="10"/>
      <c r="AE89" s="10"/>
      <c r="AF89" s="10"/>
      <c r="AG89" s="10" t="s">
        <v>89</v>
      </c>
      <c r="AH89" s="10"/>
      <c r="AI89" s="10"/>
      <c r="AJ89" s="10"/>
      <c r="AK89" s="10" t="s">
        <v>90</v>
      </c>
      <c r="AL89" s="10"/>
      <c r="AM89" s="10"/>
      <c r="AN89" s="10"/>
      <c r="AO89" s="10" t="s">
        <v>91</v>
      </c>
      <c r="AP89" s="10"/>
      <c r="AQ89" s="10"/>
      <c r="AR89" s="10"/>
      <c r="AS89" s="10" t="s">
        <v>33</v>
      </c>
      <c r="AT89" s="10"/>
      <c r="AU89" s="10"/>
      <c r="AV89" s="10"/>
      <c r="AW89" s="10" t="s">
        <v>34</v>
      </c>
      <c r="AX89" s="10"/>
      <c r="AY89" s="10"/>
      <c r="AZ89" s="10"/>
    </row>
    <row r="90" customFormat="false" ht="21.75" hidden="false" customHeight="true" outlineLevel="0" collapsed="false">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2" t="s">
        <v>261</v>
      </c>
      <c r="AH90" s="12"/>
      <c r="AI90" s="12"/>
      <c r="AJ90" s="12"/>
      <c r="AK90" s="12" t="s">
        <v>262</v>
      </c>
      <c r="AL90" s="12"/>
      <c r="AM90" s="12"/>
      <c r="AN90" s="12"/>
      <c r="AO90" s="11"/>
      <c r="AP90" s="11"/>
      <c r="AQ90" s="11"/>
      <c r="AR90" s="11"/>
      <c r="AS90" s="11"/>
      <c r="AT90" s="11"/>
      <c r="AU90" s="11"/>
      <c r="AV90" s="11"/>
      <c r="AW90" s="11"/>
      <c r="AX90" s="11"/>
      <c r="AY90" s="11"/>
      <c r="AZ90" s="11"/>
    </row>
    <row r="91" customFormat="false" ht="12" hidden="false" customHeight="true" outlineLevel="0" collapsed="false">
      <c r="A91" s="5" t="s">
        <v>102</v>
      </c>
      <c r="K91" s="10" t="s">
        <v>103</v>
      </c>
      <c r="L91" s="10"/>
      <c r="M91" s="10"/>
      <c r="N91" s="10"/>
      <c r="O91" s="10" t="s">
        <v>104</v>
      </c>
      <c r="P91" s="10"/>
      <c r="Q91" s="10"/>
      <c r="R91" s="10"/>
      <c r="S91" s="10" t="s">
        <v>105</v>
      </c>
      <c r="T91" s="10"/>
      <c r="U91" s="10"/>
      <c r="V91" s="10"/>
      <c r="W91" s="10" t="s">
        <v>106</v>
      </c>
      <c r="X91" s="10"/>
      <c r="Y91" s="10"/>
      <c r="Z91" s="10"/>
      <c r="AA91" s="10" t="s">
        <v>107</v>
      </c>
      <c r="AB91" s="10"/>
      <c r="AC91" s="10"/>
      <c r="AD91" s="10"/>
      <c r="AE91" s="10" t="s">
        <v>108</v>
      </c>
      <c r="AF91" s="10"/>
      <c r="AG91" s="10"/>
      <c r="AH91" s="10"/>
      <c r="AI91" s="10" t="s">
        <v>109</v>
      </c>
      <c r="AJ91" s="10"/>
      <c r="AK91" s="10"/>
      <c r="AL91" s="10"/>
      <c r="AM91" s="10" t="s">
        <v>42</v>
      </c>
      <c r="AN91" s="10"/>
      <c r="AO91" s="10"/>
      <c r="AP91" s="10"/>
      <c r="AQ91" s="10" t="s">
        <v>43</v>
      </c>
      <c r="AR91" s="10"/>
      <c r="AS91" s="10"/>
      <c r="AT91" s="10"/>
      <c r="AU91" s="10" t="s">
        <v>44</v>
      </c>
      <c r="AV91" s="10"/>
      <c r="AW91" s="10"/>
      <c r="AX91" s="10"/>
    </row>
    <row r="92" customFormat="false" ht="21.75" hidden="false" customHeight="true" outlineLevel="0" collapsed="false">
      <c r="K92" s="11"/>
      <c r="L92" s="11"/>
      <c r="M92" s="11"/>
      <c r="N92" s="11"/>
      <c r="O92" s="11"/>
      <c r="P92" s="11"/>
      <c r="Q92" s="11"/>
      <c r="R92" s="11"/>
      <c r="S92" s="11"/>
      <c r="T92" s="11"/>
      <c r="U92" s="11"/>
      <c r="V92" s="11"/>
      <c r="W92" s="11"/>
      <c r="X92" s="11"/>
      <c r="Y92" s="11"/>
      <c r="Z92" s="11"/>
      <c r="AA92" s="11"/>
      <c r="AB92" s="11"/>
      <c r="AC92" s="11"/>
      <c r="AD92" s="11"/>
      <c r="AE92" s="12" t="s">
        <v>263</v>
      </c>
      <c r="AF92" s="12"/>
      <c r="AG92" s="12"/>
      <c r="AH92" s="12"/>
      <c r="AI92" s="11"/>
      <c r="AJ92" s="11"/>
      <c r="AK92" s="11"/>
      <c r="AL92" s="11"/>
      <c r="AM92" s="11"/>
      <c r="AN92" s="11"/>
      <c r="AO92" s="11"/>
      <c r="AP92" s="11"/>
      <c r="AQ92" s="11"/>
      <c r="AR92" s="11"/>
      <c r="AS92" s="11"/>
      <c r="AT92" s="11"/>
      <c r="AU92" s="11"/>
      <c r="AV92" s="11"/>
      <c r="AW92" s="11"/>
      <c r="AX92" s="11"/>
    </row>
    <row r="93" customFormat="false" ht="12" hidden="false" customHeight="true" outlineLevel="0" collapsed="false">
      <c r="A93" s="5" t="s">
        <v>120</v>
      </c>
      <c r="P93" s="10" t="s">
        <v>48</v>
      </c>
      <c r="Q93" s="10"/>
      <c r="R93" s="10"/>
      <c r="S93" s="10"/>
      <c r="T93" s="10" t="s">
        <v>50</v>
      </c>
      <c r="U93" s="10"/>
      <c r="V93" s="10"/>
      <c r="W93" s="10"/>
      <c r="X93" s="10"/>
      <c r="Y93" s="10"/>
      <c r="Z93" s="10"/>
      <c r="AA93" s="10"/>
      <c r="AB93" s="10"/>
      <c r="AC93" s="10"/>
      <c r="AD93" s="10"/>
      <c r="AE93" s="10"/>
      <c r="AF93" s="10"/>
      <c r="AG93" s="10"/>
      <c r="AH93" s="10"/>
      <c r="AI93" s="10"/>
      <c r="AJ93" s="10"/>
      <c r="AK93" s="10"/>
      <c r="AL93" s="10" t="s">
        <v>45</v>
      </c>
      <c r="AM93" s="10"/>
      <c r="AN93" s="10"/>
      <c r="AO93" s="10"/>
      <c r="AP93" s="10" t="s">
        <v>46</v>
      </c>
      <c r="AQ93" s="10"/>
      <c r="AR93" s="10"/>
      <c r="AS93" s="10"/>
    </row>
    <row r="94" customFormat="false" ht="21.75" hidden="false" customHeight="true" outlineLevel="0" collapsed="false">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row>
    <row r="96" customFormat="false" ht="18.75" hidden="false" customHeight="true" outlineLevel="0" collapsed="false">
      <c r="A96" s="14" t="s">
        <v>264</v>
      </c>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row>
    <row r="97" customFormat="false" ht="15" hidden="false" customHeight="true" outlineLevel="0" collapsed="false">
      <c r="A97" s="8" t="s">
        <v>124</v>
      </c>
      <c r="B97" s="15" t="s">
        <v>27</v>
      </c>
      <c r="C97" s="15"/>
      <c r="D97" s="15"/>
      <c r="E97" s="15"/>
      <c r="G97" s="15" t="s">
        <v>32</v>
      </c>
      <c r="H97" s="15"/>
      <c r="I97" s="15"/>
      <c r="J97" s="15"/>
      <c r="L97" s="5" t="s">
        <v>237</v>
      </c>
    </row>
    <row r="98" customFormat="false" ht="12" hidden="false" customHeight="true" outlineLevel="0" collapsed="false">
      <c r="A98" s="5" t="s">
        <v>64</v>
      </c>
      <c r="F98" s="10" t="s">
        <v>0</v>
      </c>
      <c r="G98" s="10"/>
      <c r="H98" s="10"/>
      <c r="I98" s="10"/>
      <c r="J98" s="10" t="s">
        <v>1</v>
      </c>
      <c r="K98" s="10"/>
      <c r="L98" s="10"/>
      <c r="M98" s="10"/>
      <c r="N98" s="10" t="s">
        <v>2</v>
      </c>
      <c r="O98" s="10"/>
      <c r="P98" s="10"/>
      <c r="Q98" s="10"/>
      <c r="R98" s="10" t="s">
        <v>3</v>
      </c>
      <c r="S98" s="10"/>
      <c r="T98" s="10"/>
      <c r="U98" s="10"/>
      <c r="V98" s="10" t="s">
        <v>4</v>
      </c>
      <c r="W98" s="10"/>
      <c r="X98" s="10"/>
      <c r="Y98" s="10"/>
      <c r="Z98" s="10" t="s">
        <v>5</v>
      </c>
      <c r="AA98" s="10"/>
      <c r="AB98" s="10"/>
      <c r="AC98" s="10"/>
      <c r="AD98" s="10" t="s">
        <v>6</v>
      </c>
      <c r="AE98" s="10"/>
      <c r="AF98" s="10"/>
      <c r="AG98" s="10"/>
      <c r="AH98" s="10" t="s">
        <v>7</v>
      </c>
      <c r="AI98" s="10"/>
      <c r="AJ98" s="10"/>
      <c r="AK98" s="10"/>
      <c r="AL98" s="10" t="s">
        <v>8</v>
      </c>
      <c r="AM98" s="10"/>
      <c r="AN98" s="10"/>
      <c r="AO98" s="10"/>
      <c r="AP98" s="10" t="s">
        <v>9</v>
      </c>
      <c r="AQ98" s="10"/>
      <c r="AR98" s="10"/>
      <c r="AS98" s="10"/>
      <c r="AT98" s="10" t="s">
        <v>10</v>
      </c>
      <c r="AU98" s="10"/>
      <c r="AV98" s="10"/>
      <c r="AW98" s="10"/>
      <c r="AX98" s="10" t="s">
        <v>11</v>
      </c>
      <c r="AY98" s="10"/>
      <c r="AZ98" s="10"/>
      <c r="BA98" s="10"/>
    </row>
    <row r="99" customFormat="false" ht="21.75" hidden="false" customHeight="true" outlineLevel="0" collapsed="false">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row>
    <row r="100" customFormat="false" ht="12" hidden="false" customHeight="true" outlineLevel="0" collapsed="false">
      <c r="A100" s="5" t="s">
        <v>65</v>
      </c>
      <c r="H100" s="10" t="s">
        <v>66</v>
      </c>
      <c r="I100" s="10"/>
      <c r="J100" s="10"/>
      <c r="K100" s="10"/>
      <c r="L100" s="10" t="s">
        <v>67</v>
      </c>
      <c r="M100" s="10"/>
      <c r="N100" s="10"/>
      <c r="O100" s="10"/>
      <c r="P100" s="10" t="s">
        <v>68</v>
      </c>
      <c r="Q100" s="10"/>
      <c r="R100" s="10"/>
      <c r="S100" s="10"/>
      <c r="T100" s="10" t="s">
        <v>69</v>
      </c>
      <c r="U100" s="10"/>
      <c r="V100" s="10"/>
      <c r="W100" s="10"/>
      <c r="X100" s="10" t="s">
        <v>70</v>
      </c>
      <c r="Y100" s="10"/>
      <c r="Z100" s="10"/>
      <c r="AA100" s="10"/>
      <c r="AB100" s="10" t="s">
        <v>71</v>
      </c>
      <c r="AC100" s="10"/>
      <c r="AD100" s="10"/>
      <c r="AE100" s="10"/>
      <c r="AF100" s="10" t="s">
        <v>72</v>
      </c>
      <c r="AG100" s="10"/>
      <c r="AH100" s="10"/>
      <c r="AI100" s="10"/>
      <c r="AJ100" s="10" t="s">
        <v>73</v>
      </c>
      <c r="AK100" s="10"/>
      <c r="AL100" s="10"/>
      <c r="AM100" s="10"/>
      <c r="AN100" s="10" t="s">
        <v>74</v>
      </c>
      <c r="AO100" s="10"/>
      <c r="AP100" s="10"/>
      <c r="AQ100" s="10"/>
      <c r="AR100" s="10" t="s">
        <v>75</v>
      </c>
      <c r="AS100" s="10"/>
      <c r="AT100" s="10"/>
      <c r="AU100" s="10"/>
      <c r="AV100" s="10" t="s">
        <v>22</v>
      </c>
      <c r="AW100" s="10"/>
      <c r="AX100" s="10"/>
      <c r="AY100" s="10"/>
      <c r="AZ100" s="10" t="s">
        <v>23</v>
      </c>
      <c r="BA100" s="10"/>
      <c r="BB100" s="10"/>
      <c r="BC100" s="10"/>
    </row>
    <row r="101" customFormat="false" ht="21.75" hidden="false" customHeight="true" outlineLevel="0" collapsed="false">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2" t="s">
        <v>265</v>
      </c>
      <c r="AO101" s="12"/>
      <c r="AP101" s="12"/>
      <c r="AQ101" s="12"/>
      <c r="AR101" s="12" t="s">
        <v>266</v>
      </c>
      <c r="AS101" s="12"/>
      <c r="AT101" s="12"/>
      <c r="AU101" s="12"/>
      <c r="AV101" s="11"/>
      <c r="AW101" s="11"/>
      <c r="AX101" s="11"/>
      <c r="AY101" s="11"/>
      <c r="AZ101" s="11"/>
      <c r="BA101" s="11"/>
      <c r="BB101" s="11"/>
      <c r="BC101" s="11"/>
    </row>
    <row r="102" customFormat="false" ht="12" hidden="false" customHeight="true" outlineLevel="0" collapsed="false">
      <c r="A102" s="5" t="s">
        <v>82</v>
      </c>
      <c r="I102" s="10" t="s">
        <v>83</v>
      </c>
      <c r="J102" s="10"/>
      <c r="K102" s="10"/>
      <c r="L102" s="10"/>
      <c r="M102" s="10" t="s">
        <v>84</v>
      </c>
      <c r="N102" s="10"/>
      <c r="O102" s="10"/>
      <c r="P102" s="10"/>
      <c r="Q102" s="10" t="s">
        <v>85</v>
      </c>
      <c r="R102" s="10"/>
      <c r="S102" s="10"/>
      <c r="T102" s="10"/>
      <c r="U102" s="10" t="s">
        <v>86</v>
      </c>
      <c r="V102" s="10"/>
      <c r="W102" s="10"/>
      <c r="X102" s="10"/>
      <c r="Y102" s="10" t="s">
        <v>87</v>
      </c>
      <c r="Z102" s="10"/>
      <c r="AA102" s="10"/>
      <c r="AB102" s="10"/>
      <c r="AC102" s="10" t="s">
        <v>88</v>
      </c>
      <c r="AD102" s="10"/>
      <c r="AE102" s="10"/>
      <c r="AF102" s="10"/>
      <c r="AG102" s="10" t="s">
        <v>89</v>
      </c>
      <c r="AH102" s="10"/>
      <c r="AI102" s="10"/>
      <c r="AJ102" s="10"/>
      <c r="AK102" s="10" t="s">
        <v>90</v>
      </c>
      <c r="AL102" s="10"/>
      <c r="AM102" s="10"/>
      <c r="AN102" s="10"/>
      <c r="AO102" s="10" t="s">
        <v>91</v>
      </c>
      <c r="AP102" s="10"/>
      <c r="AQ102" s="10"/>
      <c r="AR102" s="10"/>
      <c r="AS102" s="10" t="s">
        <v>33</v>
      </c>
      <c r="AT102" s="10"/>
      <c r="AU102" s="10"/>
      <c r="AV102" s="10"/>
      <c r="AW102" s="10" t="s">
        <v>34</v>
      </c>
      <c r="AX102" s="10"/>
      <c r="AY102" s="10"/>
      <c r="AZ102" s="10"/>
    </row>
    <row r="103" customFormat="false" ht="21.75" hidden="false" customHeight="true" outlineLevel="0" collapsed="false">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2" t="s">
        <v>267</v>
      </c>
      <c r="AH103" s="12"/>
      <c r="AI103" s="12"/>
      <c r="AJ103" s="12"/>
      <c r="AK103" s="12" t="s">
        <v>268</v>
      </c>
      <c r="AL103" s="12"/>
      <c r="AM103" s="12"/>
      <c r="AN103" s="12"/>
      <c r="AO103" s="11"/>
      <c r="AP103" s="11"/>
      <c r="AQ103" s="11"/>
      <c r="AR103" s="11"/>
      <c r="AS103" s="11"/>
      <c r="AT103" s="11"/>
      <c r="AU103" s="11"/>
      <c r="AV103" s="11"/>
      <c r="AW103" s="11"/>
      <c r="AX103" s="11"/>
      <c r="AY103" s="11"/>
      <c r="AZ103" s="11"/>
    </row>
    <row r="104" customFormat="false" ht="12" hidden="false" customHeight="true" outlineLevel="0" collapsed="false">
      <c r="A104" s="5" t="s">
        <v>102</v>
      </c>
      <c r="K104" s="10" t="s">
        <v>103</v>
      </c>
      <c r="L104" s="10"/>
      <c r="M104" s="10"/>
      <c r="N104" s="10"/>
      <c r="O104" s="10" t="s">
        <v>104</v>
      </c>
      <c r="P104" s="10"/>
      <c r="Q104" s="10"/>
      <c r="R104" s="10"/>
      <c r="S104" s="10" t="s">
        <v>105</v>
      </c>
      <c r="T104" s="10"/>
      <c r="U104" s="10"/>
      <c r="V104" s="10"/>
      <c r="W104" s="10" t="s">
        <v>106</v>
      </c>
      <c r="X104" s="10"/>
      <c r="Y104" s="10"/>
      <c r="Z104" s="10"/>
      <c r="AA104" s="10" t="s">
        <v>107</v>
      </c>
      <c r="AB104" s="10"/>
      <c r="AC104" s="10"/>
      <c r="AD104" s="10"/>
      <c r="AE104" s="10" t="s">
        <v>108</v>
      </c>
      <c r="AF104" s="10"/>
      <c r="AG104" s="10"/>
      <c r="AH104" s="10"/>
      <c r="AI104" s="10" t="s">
        <v>109</v>
      </c>
      <c r="AJ104" s="10"/>
      <c r="AK104" s="10"/>
      <c r="AL104" s="10"/>
      <c r="AM104" s="10" t="s">
        <v>42</v>
      </c>
      <c r="AN104" s="10"/>
      <c r="AO104" s="10"/>
      <c r="AP104" s="10"/>
      <c r="AQ104" s="10" t="s">
        <v>43</v>
      </c>
      <c r="AR104" s="10"/>
      <c r="AS104" s="10"/>
      <c r="AT104" s="10"/>
      <c r="AU104" s="10" t="s">
        <v>44</v>
      </c>
      <c r="AV104" s="10"/>
      <c r="AW104" s="10"/>
      <c r="AX104" s="10"/>
    </row>
    <row r="105" customFormat="false" ht="21.75" hidden="false" customHeight="true" outlineLevel="0" collapsed="false">
      <c r="K105" s="11"/>
      <c r="L105" s="11"/>
      <c r="M105" s="11"/>
      <c r="N105" s="11"/>
      <c r="O105" s="11"/>
      <c r="P105" s="11"/>
      <c r="Q105" s="11"/>
      <c r="R105" s="11"/>
      <c r="S105" s="11"/>
      <c r="T105" s="11"/>
      <c r="U105" s="11"/>
      <c r="V105" s="11"/>
      <c r="W105" s="11"/>
      <c r="X105" s="11"/>
      <c r="Y105" s="11"/>
      <c r="Z105" s="11"/>
      <c r="AA105" s="11"/>
      <c r="AB105" s="11"/>
      <c r="AC105" s="11"/>
      <c r="AD105" s="11"/>
      <c r="AE105" s="12" t="s">
        <v>269</v>
      </c>
      <c r="AF105" s="12"/>
      <c r="AG105" s="12"/>
      <c r="AH105" s="12"/>
      <c r="AI105" s="11"/>
      <c r="AJ105" s="11"/>
      <c r="AK105" s="11"/>
      <c r="AL105" s="11"/>
      <c r="AM105" s="11"/>
      <c r="AN105" s="11"/>
      <c r="AO105" s="11"/>
      <c r="AP105" s="11"/>
      <c r="AQ105" s="11"/>
      <c r="AR105" s="11"/>
      <c r="AS105" s="11"/>
      <c r="AT105" s="11"/>
      <c r="AU105" s="11"/>
      <c r="AV105" s="11"/>
      <c r="AW105" s="11"/>
      <c r="AX105" s="11"/>
    </row>
    <row r="106" customFormat="false" ht="12" hidden="false" customHeight="true" outlineLevel="0" collapsed="false">
      <c r="A106" s="5" t="s">
        <v>120</v>
      </c>
      <c r="P106" s="10" t="s">
        <v>48</v>
      </c>
      <c r="Q106" s="10"/>
      <c r="R106" s="10"/>
      <c r="S106" s="10"/>
      <c r="T106" s="10" t="s">
        <v>50</v>
      </c>
      <c r="U106" s="10"/>
      <c r="V106" s="10"/>
      <c r="W106" s="10"/>
      <c r="X106" s="10"/>
      <c r="Y106" s="10"/>
      <c r="Z106" s="10"/>
      <c r="AA106" s="10"/>
      <c r="AB106" s="10"/>
      <c r="AC106" s="10"/>
      <c r="AD106" s="10"/>
      <c r="AE106" s="10"/>
      <c r="AF106" s="10"/>
      <c r="AG106" s="10"/>
      <c r="AH106" s="10"/>
      <c r="AI106" s="10"/>
      <c r="AJ106" s="10"/>
      <c r="AK106" s="10"/>
      <c r="AL106" s="10" t="s">
        <v>45</v>
      </c>
      <c r="AM106" s="10"/>
      <c r="AN106" s="10"/>
      <c r="AO106" s="10"/>
      <c r="AP106" s="10" t="s">
        <v>46</v>
      </c>
      <c r="AQ106" s="10"/>
      <c r="AR106" s="10"/>
      <c r="AS106" s="10"/>
    </row>
    <row r="107" customFormat="false" ht="21.75" hidden="false" customHeight="true" outlineLevel="0" collapsed="false">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row>
    <row r="109" customFormat="false" ht="18.75" hidden="false" customHeight="true" outlineLevel="0" collapsed="false">
      <c r="A109" s="14" t="s">
        <v>270</v>
      </c>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row>
    <row r="110" customFormat="false" ht="15" hidden="false" customHeight="true" outlineLevel="0" collapsed="false">
      <c r="A110" s="8" t="s">
        <v>124</v>
      </c>
      <c r="B110" s="15" t="s">
        <v>27</v>
      </c>
      <c r="C110" s="15"/>
      <c r="D110" s="15"/>
      <c r="E110" s="15"/>
      <c r="G110" s="15" t="s">
        <v>33</v>
      </c>
      <c r="H110" s="15"/>
      <c r="I110" s="15"/>
      <c r="J110" s="15"/>
      <c r="L110" s="5" t="s">
        <v>237</v>
      </c>
    </row>
    <row r="111" customFormat="false" ht="12" hidden="false" customHeight="true" outlineLevel="0" collapsed="false">
      <c r="A111" s="5" t="s">
        <v>64</v>
      </c>
      <c r="F111" s="10" t="s">
        <v>0</v>
      </c>
      <c r="G111" s="10"/>
      <c r="H111" s="10"/>
      <c r="I111" s="10"/>
      <c r="J111" s="10" t="s">
        <v>1</v>
      </c>
      <c r="K111" s="10"/>
      <c r="L111" s="10"/>
      <c r="M111" s="10"/>
      <c r="N111" s="10" t="s">
        <v>2</v>
      </c>
      <c r="O111" s="10"/>
      <c r="P111" s="10"/>
      <c r="Q111" s="10"/>
      <c r="R111" s="10" t="s">
        <v>3</v>
      </c>
      <c r="S111" s="10"/>
      <c r="T111" s="10"/>
      <c r="U111" s="10"/>
      <c r="V111" s="10" t="s">
        <v>4</v>
      </c>
      <c r="W111" s="10"/>
      <c r="X111" s="10"/>
      <c r="Y111" s="10"/>
      <c r="Z111" s="10" t="s">
        <v>5</v>
      </c>
      <c r="AA111" s="10"/>
      <c r="AB111" s="10"/>
      <c r="AC111" s="10"/>
      <c r="AD111" s="10" t="s">
        <v>6</v>
      </c>
      <c r="AE111" s="10"/>
      <c r="AF111" s="10"/>
      <c r="AG111" s="10"/>
      <c r="AH111" s="10" t="s">
        <v>7</v>
      </c>
      <c r="AI111" s="10"/>
      <c r="AJ111" s="10"/>
      <c r="AK111" s="10"/>
      <c r="AL111" s="10" t="s">
        <v>8</v>
      </c>
      <c r="AM111" s="10"/>
      <c r="AN111" s="10"/>
      <c r="AO111" s="10"/>
      <c r="AP111" s="10" t="s">
        <v>9</v>
      </c>
      <c r="AQ111" s="10"/>
      <c r="AR111" s="10"/>
      <c r="AS111" s="10"/>
      <c r="AT111" s="10" t="s">
        <v>10</v>
      </c>
      <c r="AU111" s="10"/>
      <c r="AV111" s="10"/>
      <c r="AW111" s="10"/>
      <c r="AX111" s="10" t="s">
        <v>11</v>
      </c>
      <c r="AY111" s="10"/>
      <c r="AZ111" s="10"/>
      <c r="BA111" s="10"/>
    </row>
    <row r="112" customFormat="false" ht="21.75" hidden="false" customHeight="true" outlineLevel="0" collapsed="false">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row>
    <row r="113" customFormat="false" ht="12" hidden="false" customHeight="true" outlineLevel="0" collapsed="false">
      <c r="A113" s="5" t="s">
        <v>65</v>
      </c>
      <c r="H113" s="10" t="s">
        <v>66</v>
      </c>
      <c r="I113" s="10"/>
      <c r="J113" s="10"/>
      <c r="K113" s="10"/>
      <c r="L113" s="10" t="s">
        <v>67</v>
      </c>
      <c r="M113" s="10"/>
      <c r="N113" s="10"/>
      <c r="O113" s="10"/>
      <c r="P113" s="10" t="s">
        <v>68</v>
      </c>
      <c r="Q113" s="10"/>
      <c r="R113" s="10"/>
      <c r="S113" s="10"/>
      <c r="T113" s="10" t="s">
        <v>69</v>
      </c>
      <c r="U113" s="10"/>
      <c r="V113" s="10"/>
      <c r="W113" s="10"/>
      <c r="X113" s="10" t="s">
        <v>70</v>
      </c>
      <c r="Y113" s="10"/>
      <c r="Z113" s="10"/>
      <c r="AA113" s="10"/>
      <c r="AB113" s="10" t="s">
        <v>71</v>
      </c>
      <c r="AC113" s="10"/>
      <c r="AD113" s="10"/>
      <c r="AE113" s="10"/>
      <c r="AF113" s="10" t="s">
        <v>72</v>
      </c>
      <c r="AG113" s="10"/>
      <c r="AH113" s="10"/>
      <c r="AI113" s="10"/>
      <c r="AJ113" s="10" t="s">
        <v>73</v>
      </c>
      <c r="AK113" s="10"/>
      <c r="AL113" s="10"/>
      <c r="AM113" s="10"/>
      <c r="AN113" s="10" t="s">
        <v>74</v>
      </c>
      <c r="AO113" s="10"/>
      <c r="AP113" s="10"/>
      <c r="AQ113" s="10"/>
      <c r="AR113" s="10" t="s">
        <v>75</v>
      </c>
      <c r="AS113" s="10"/>
      <c r="AT113" s="10"/>
      <c r="AU113" s="10"/>
      <c r="AV113" s="10" t="s">
        <v>22</v>
      </c>
      <c r="AW113" s="10"/>
      <c r="AX113" s="10"/>
      <c r="AY113" s="10"/>
      <c r="AZ113" s="10" t="s">
        <v>23</v>
      </c>
      <c r="BA113" s="10"/>
      <c r="BB113" s="10"/>
      <c r="BC113" s="10"/>
    </row>
    <row r="114" customFormat="false" ht="21.75" hidden="false" customHeight="true" outlineLevel="0" collapsed="false">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row>
    <row r="115" customFormat="false" ht="12" hidden="false" customHeight="true" outlineLevel="0" collapsed="false">
      <c r="A115" s="5" t="s">
        <v>82</v>
      </c>
      <c r="I115" s="10" t="s">
        <v>83</v>
      </c>
      <c r="J115" s="10"/>
      <c r="K115" s="10"/>
      <c r="L115" s="10"/>
      <c r="M115" s="10" t="s">
        <v>84</v>
      </c>
      <c r="N115" s="10"/>
      <c r="O115" s="10"/>
      <c r="P115" s="10"/>
      <c r="Q115" s="10" t="s">
        <v>85</v>
      </c>
      <c r="R115" s="10"/>
      <c r="S115" s="10"/>
      <c r="T115" s="10"/>
      <c r="U115" s="10" t="s">
        <v>86</v>
      </c>
      <c r="V115" s="10"/>
      <c r="W115" s="10"/>
      <c r="X115" s="10"/>
      <c r="Y115" s="10" t="s">
        <v>87</v>
      </c>
      <c r="Z115" s="10"/>
      <c r="AA115" s="10"/>
      <c r="AB115" s="10"/>
      <c r="AC115" s="10" t="s">
        <v>88</v>
      </c>
      <c r="AD115" s="10"/>
      <c r="AE115" s="10"/>
      <c r="AF115" s="10"/>
      <c r="AG115" s="10" t="s">
        <v>89</v>
      </c>
      <c r="AH115" s="10"/>
      <c r="AI115" s="10"/>
      <c r="AJ115" s="10"/>
      <c r="AK115" s="10" t="s">
        <v>90</v>
      </c>
      <c r="AL115" s="10"/>
      <c r="AM115" s="10"/>
      <c r="AN115" s="10"/>
      <c r="AO115" s="10" t="s">
        <v>91</v>
      </c>
      <c r="AP115" s="10"/>
      <c r="AQ115" s="10"/>
      <c r="AR115" s="10"/>
      <c r="AS115" s="10" t="s">
        <v>33</v>
      </c>
      <c r="AT115" s="10"/>
      <c r="AU115" s="10"/>
      <c r="AV115" s="10"/>
      <c r="AW115" s="10" t="s">
        <v>34</v>
      </c>
      <c r="AX115" s="10"/>
      <c r="AY115" s="10"/>
      <c r="AZ115" s="10"/>
    </row>
    <row r="116" customFormat="false" ht="21.75" hidden="false" customHeight="true" outlineLevel="0" collapsed="false">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2" t="s">
        <v>271</v>
      </c>
      <c r="AP116" s="12"/>
      <c r="AQ116" s="12"/>
      <c r="AR116" s="12"/>
      <c r="AS116" s="11"/>
      <c r="AT116" s="11"/>
      <c r="AU116" s="11"/>
      <c r="AV116" s="11"/>
      <c r="AW116" s="11"/>
      <c r="AX116" s="11"/>
      <c r="AY116" s="11"/>
      <c r="AZ116" s="11"/>
    </row>
    <row r="117" customFormat="false" ht="12" hidden="false" customHeight="true" outlineLevel="0" collapsed="false">
      <c r="A117" s="5" t="s">
        <v>102</v>
      </c>
      <c r="K117" s="10" t="s">
        <v>103</v>
      </c>
      <c r="L117" s="10"/>
      <c r="M117" s="10"/>
      <c r="N117" s="10"/>
      <c r="O117" s="10" t="s">
        <v>104</v>
      </c>
      <c r="P117" s="10"/>
      <c r="Q117" s="10"/>
      <c r="R117" s="10"/>
      <c r="S117" s="10" t="s">
        <v>105</v>
      </c>
      <c r="T117" s="10"/>
      <c r="U117" s="10"/>
      <c r="V117" s="10"/>
      <c r="W117" s="10" t="s">
        <v>106</v>
      </c>
      <c r="X117" s="10"/>
      <c r="Y117" s="10"/>
      <c r="Z117" s="10"/>
      <c r="AA117" s="10" t="s">
        <v>107</v>
      </c>
      <c r="AB117" s="10"/>
      <c r="AC117" s="10"/>
      <c r="AD117" s="10"/>
      <c r="AE117" s="10" t="s">
        <v>108</v>
      </c>
      <c r="AF117" s="10"/>
      <c r="AG117" s="10"/>
      <c r="AH117" s="10"/>
      <c r="AI117" s="10" t="s">
        <v>109</v>
      </c>
      <c r="AJ117" s="10"/>
      <c r="AK117" s="10"/>
      <c r="AL117" s="10"/>
      <c r="AM117" s="10" t="s">
        <v>42</v>
      </c>
      <c r="AN117" s="10"/>
      <c r="AO117" s="10"/>
      <c r="AP117" s="10"/>
      <c r="AQ117" s="10" t="s">
        <v>43</v>
      </c>
      <c r="AR117" s="10"/>
      <c r="AS117" s="10"/>
      <c r="AT117" s="10"/>
      <c r="AU117" s="10" t="s">
        <v>44</v>
      </c>
      <c r="AV117" s="10"/>
      <c r="AW117" s="10"/>
      <c r="AX117" s="10"/>
    </row>
    <row r="118" customFormat="false" ht="21.75" hidden="false" customHeight="true" outlineLevel="0" collapsed="false">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customFormat="false" ht="12" hidden="false" customHeight="true" outlineLevel="0" collapsed="false">
      <c r="A119" s="5" t="s">
        <v>120</v>
      </c>
      <c r="P119" s="10" t="s">
        <v>48</v>
      </c>
      <c r="Q119" s="10"/>
      <c r="R119" s="10"/>
      <c r="S119" s="10"/>
      <c r="T119" s="10" t="s">
        <v>50</v>
      </c>
      <c r="U119" s="10"/>
      <c r="V119" s="10"/>
      <c r="W119" s="10"/>
      <c r="X119" s="10"/>
      <c r="Y119" s="10"/>
      <c r="Z119" s="10"/>
      <c r="AA119" s="10"/>
      <c r="AB119" s="10"/>
      <c r="AC119" s="10"/>
      <c r="AD119" s="10"/>
      <c r="AE119" s="10"/>
      <c r="AF119" s="10"/>
      <c r="AG119" s="10"/>
      <c r="AH119" s="10"/>
      <c r="AI119" s="10"/>
      <c r="AJ119" s="10"/>
      <c r="AK119" s="10"/>
      <c r="AL119" s="10" t="s">
        <v>45</v>
      </c>
      <c r="AM119" s="10"/>
      <c r="AN119" s="10"/>
      <c r="AO119" s="10"/>
      <c r="AP119" s="10" t="s">
        <v>46</v>
      </c>
      <c r="AQ119" s="10"/>
      <c r="AR119" s="10"/>
      <c r="AS119" s="10"/>
    </row>
    <row r="120" customFormat="false" ht="21.75" hidden="false" customHeight="true" outlineLevel="0" collapsed="false">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row>
    <row r="122" customFormat="false" ht="18.75" hidden="false" customHeight="true" outlineLevel="0" collapsed="false">
      <c r="A122" s="14" t="s">
        <v>272</v>
      </c>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row>
    <row r="123" customFormat="false" ht="15" hidden="false" customHeight="true" outlineLevel="0" collapsed="false">
      <c r="A123" s="8" t="s">
        <v>124</v>
      </c>
      <c r="B123" s="15" t="s">
        <v>41</v>
      </c>
      <c r="C123" s="15"/>
      <c r="D123" s="15"/>
      <c r="E123" s="15"/>
      <c r="G123" s="15" t="s">
        <v>20</v>
      </c>
      <c r="H123" s="15"/>
      <c r="I123" s="15"/>
      <c r="J123" s="15"/>
      <c r="L123" s="5" t="s">
        <v>237</v>
      </c>
    </row>
    <row r="124" customFormat="false" ht="12" hidden="false" customHeight="true" outlineLevel="0" collapsed="false">
      <c r="A124" s="5" t="s">
        <v>64</v>
      </c>
      <c r="F124" s="10" t="s">
        <v>0</v>
      </c>
      <c r="G124" s="10"/>
      <c r="H124" s="10"/>
      <c r="I124" s="10"/>
      <c r="J124" s="10" t="s">
        <v>1</v>
      </c>
      <c r="K124" s="10"/>
      <c r="L124" s="10"/>
      <c r="M124" s="10"/>
      <c r="N124" s="10" t="s">
        <v>2</v>
      </c>
      <c r="O124" s="10"/>
      <c r="P124" s="10"/>
      <c r="Q124" s="10"/>
      <c r="R124" s="10" t="s">
        <v>3</v>
      </c>
      <c r="S124" s="10"/>
      <c r="T124" s="10"/>
      <c r="U124" s="10"/>
      <c r="V124" s="10" t="s">
        <v>4</v>
      </c>
      <c r="W124" s="10"/>
      <c r="X124" s="10"/>
      <c r="Y124" s="10"/>
      <c r="Z124" s="10" t="s">
        <v>5</v>
      </c>
      <c r="AA124" s="10"/>
      <c r="AB124" s="10"/>
      <c r="AC124" s="10"/>
      <c r="AD124" s="10" t="s">
        <v>6</v>
      </c>
      <c r="AE124" s="10"/>
      <c r="AF124" s="10"/>
      <c r="AG124" s="10"/>
      <c r="AH124" s="10" t="s">
        <v>7</v>
      </c>
      <c r="AI124" s="10"/>
      <c r="AJ124" s="10"/>
      <c r="AK124" s="10"/>
      <c r="AL124" s="10" t="s">
        <v>8</v>
      </c>
      <c r="AM124" s="10"/>
      <c r="AN124" s="10"/>
      <c r="AO124" s="10"/>
      <c r="AP124" s="10" t="s">
        <v>9</v>
      </c>
      <c r="AQ124" s="10"/>
      <c r="AR124" s="10"/>
      <c r="AS124" s="10"/>
      <c r="AT124" s="10" t="s">
        <v>10</v>
      </c>
      <c r="AU124" s="10"/>
      <c r="AV124" s="10"/>
      <c r="AW124" s="10"/>
      <c r="AX124" s="10" t="s">
        <v>11</v>
      </c>
      <c r="AY124" s="10"/>
      <c r="AZ124" s="10"/>
      <c r="BA124" s="10"/>
    </row>
    <row r="125" customFormat="false" ht="21.75" hidden="false" customHeight="true" outlineLevel="0" collapsed="false">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row>
    <row r="126" customFormat="false" ht="12" hidden="false" customHeight="true" outlineLevel="0" collapsed="false">
      <c r="A126" s="5" t="s">
        <v>65</v>
      </c>
      <c r="H126" s="10" t="s">
        <v>66</v>
      </c>
      <c r="I126" s="10"/>
      <c r="J126" s="10"/>
      <c r="K126" s="10"/>
      <c r="L126" s="10" t="s">
        <v>67</v>
      </c>
      <c r="M126" s="10"/>
      <c r="N126" s="10"/>
      <c r="O126" s="10"/>
      <c r="P126" s="10" t="s">
        <v>68</v>
      </c>
      <c r="Q126" s="10"/>
      <c r="R126" s="10"/>
      <c r="S126" s="10"/>
      <c r="T126" s="10" t="s">
        <v>69</v>
      </c>
      <c r="U126" s="10"/>
      <c r="V126" s="10"/>
      <c r="W126" s="10"/>
      <c r="X126" s="10" t="s">
        <v>70</v>
      </c>
      <c r="Y126" s="10"/>
      <c r="Z126" s="10"/>
      <c r="AA126" s="10"/>
      <c r="AB126" s="10" t="s">
        <v>71</v>
      </c>
      <c r="AC126" s="10"/>
      <c r="AD126" s="10"/>
      <c r="AE126" s="10"/>
      <c r="AF126" s="10" t="s">
        <v>72</v>
      </c>
      <c r="AG126" s="10"/>
      <c r="AH126" s="10"/>
      <c r="AI126" s="10"/>
      <c r="AJ126" s="10" t="s">
        <v>73</v>
      </c>
      <c r="AK126" s="10"/>
      <c r="AL126" s="10"/>
      <c r="AM126" s="10"/>
      <c r="AN126" s="10" t="s">
        <v>74</v>
      </c>
      <c r="AO126" s="10"/>
      <c r="AP126" s="10"/>
      <c r="AQ126" s="10"/>
      <c r="AR126" s="10" t="s">
        <v>75</v>
      </c>
      <c r="AS126" s="10"/>
      <c r="AT126" s="10"/>
      <c r="AU126" s="10"/>
      <c r="AV126" s="10" t="s">
        <v>22</v>
      </c>
      <c r="AW126" s="10"/>
      <c r="AX126" s="10"/>
      <c r="AY126" s="10"/>
      <c r="AZ126" s="10" t="s">
        <v>23</v>
      </c>
      <c r="BA126" s="10"/>
      <c r="BB126" s="10"/>
      <c r="BC126" s="10"/>
    </row>
    <row r="127" customFormat="false" ht="21.75" hidden="false" customHeight="true" outlineLevel="0" collapsed="false">
      <c r="H127" s="11"/>
      <c r="I127" s="11"/>
      <c r="J127" s="11"/>
      <c r="K127" s="11"/>
      <c r="L127" s="11"/>
      <c r="M127" s="11"/>
      <c r="N127" s="11"/>
      <c r="O127" s="11"/>
      <c r="P127" s="11"/>
      <c r="Q127" s="11"/>
      <c r="R127" s="11"/>
      <c r="S127" s="11"/>
      <c r="T127" s="12" t="s">
        <v>273</v>
      </c>
      <c r="U127" s="12"/>
      <c r="V127" s="12"/>
      <c r="W127" s="12"/>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row>
    <row r="128" customFormat="false" ht="12" hidden="false" customHeight="true" outlineLevel="0" collapsed="false">
      <c r="A128" s="5" t="s">
        <v>82</v>
      </c>
      <c r="I128" s="10" t="s">
        <v>83</v>
      </c>
      <c r="J128" s="10"/>
      <c r="K128" s="10"/>
      <c r="L128" s="10"/>
      <c r="M128" s="10" t="s">
        <v>84</v>
      </c>
      <c r="N128" s="10"/>
      <c r="O128" s="10"/>
      <c r="P128" s="10"/>
      <c r="Q128" s="10" t="s">
        <v>85</v>
      </c>
      <c r="R128" s="10"/>
      <c r="S128" s="10"/>
      <c r="T128" s="10"/>
      <c r="U128" s="10" t="s">
        <v>86</v>
      </c>
      <c r="V128" s="10"/>
      <c r="W128" s="10"/>
      <c r="X128" s="10"/>
      <c r="Y128" s="10" t="s">
        <v>87</v>
      </c>
      <c r="Z128" s="10"/>
      <c r="AA128" s="10"/>
      <c r="AB128" s="10"/>
      <c r="AC128" s="10" t="s">
        <v>88</v>
      </c>
      <c r="AD128" s="10"/>
      <c r="AE128" s="10"/>
      <c r="AF128" s="10"/>
      <c r="AG128" s="10" t="s">
        <v>89</v>
      </c>
      <c r="AH128" s="10"/>
      <c r="AI128" s="10"/>
      <c r="AJ128" s="10"/>
      <c r="AK128" s="10" t="s">
        <v>90</v>
      </c>
      <c r="AL128" s="10"/>
      <c r="AM128" s="10"/>
      <c r="AN128" s="10"/>
      <c r="AO128" s="10" t="s">
        <v>91</v>
      </c>
      <c r="AP128" s="10"/>
      <c r="AQ128" s="10"/>
      <c r="AR128" s="10"/>
      <c r="AS128" s="10" t="s">
        <v>33</v>
      </c>
      <c r="AT128" s="10"/>
      <c r="AU128" s="10"/>
      <c r="AV128" s="10"/>
      <c r="AW128" s="10" t="s">
        <v>34</v>
      </c>
      <c r="AX128" s="10"/>
      <c r="AY128" s="10"/>
      <c r="AZ128" s="10"/>
    </row>
    <row r="129" customFormat="false" ht="21.75" hidden="false" customHeight="true" outlineLevel="0" collapsed="false">
      <c r="I129" s="11"/>
      <c r="J129" s="11"/>
      <c r="K129" s="11"/>
      <c r="L129" s="11"/>
      <c r="M129" s="11"/>
      <c r="N129" s="11"/>
      <c r="O129" s="11"/>
      <c r="P129" s="11"/>
      <c r="Q129" s="11"/>
      <c r="R129" s="11"/>
      <c r="S129" s="11"/>
      <c r="T129" s="11"/>
      <c r="U129" s="11"/>
      <c r="V129" s="11"/>
      <c r="W129" s="11"/>
      <c r="X129" s="11"/>
      <c r="Y129" s="12" t="s">
        <v>274</v>
      </c>
      <c r="Z129" s="12"/>
      <c r="AA129" s="12"/>
      <c r="AB129" s="12"/>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row>
    <row r="130" customFormat="false" ht="12" hidden="false" customHeight="true" outlineLevel="0" collapsed="false">
      <c r="A130" s="5" t="s">
        <v>102</v>
      </c>
      <c r="K130" s="10" t="s">
        <v>103</v>
      </c>
      <c r="L130" s="10"/>
      <c r="M130" s="10"/>
      <c r="N130" s="10"/>
      <c r="O130" s="10" t="s">
        <v>104</v>
      </c>
      <c r="P130" s="10"/>
      <c r="Q130" s="10"/>
      <c r="R130" s="10"/>
      <c r="S130" s="10" t="s">
        <v>105</v>
      </c>
      <c r="T130" s="10"/>
      <c r="U130" s="10"/>
      <c r="V130" s="10"/>
      <c r="W130" s="10" t="s">
        <v>106</v>
      </c>
      <c r="X130" s="10"/>
      <c r="Y130" s="10"/>
      <c r="Z130" s="10"/>
      <c r="AA130" s="10" t="s">
        <v>107</v>
      </c>
      <c r="AB130" s="10"/>
      <c r="AC130" s="10"/>
      <c r="AD130" s="10"/>
      <c r="AE130" s="10" t="s">
        <v>108</v>
      </c>
      <c r="AF130" s="10"/>
      <c r="AG130" s="10"/>
      <c r="AH130" s="10"/>
      <c r="AI130" s="10" t="s">
        <v>109</v>
      </c>
      <c r="AJ130" s="10"/>
      <c r="AK130" s="10"/>
      <c r="AL130" s="10"/>
      <c r="AM130" s="10" t="s">
        <v>42</v>
      </c>
      <c r="AN130" s="10"/>
      <c r="AO130" s="10"/>
      <c r="AP130" s="10"/>
      <c r="AQ130" s="10" t="s">
        <v>43</v>
      </c>
      <c r="AR130" s="10"/>
      <c r="AS130" s="10"/>
      <c r="AT130" s="10"/>
      <c r="AU130" s="10" t="s">
        <v>44</v>
      </c>
      <c r="AV130" s="10"/>
      <c r="AW130" s="10"/>
      <c r="AX130" s="10"/>
    </row>
    <row r="131" customFormat="false" ht="21.75" hidden="false" customHeight="true" outlineLevel="0" collapsed="false">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customFormat="false" ht="12" hidden="false" customHeight="true" outlineLevel="0" collapsed="false">
      <c r="A132" s="5" t="s">
        <v>120</v>
      </c>
      <c r="P132" s="10" t="s">
        <v>48</v>
      </c>
      <c r="Q132" s="10"/>
      <c r="R132" s="10"/>
      <c r="S132" s="10"/>
      <c r="T132" s="10" t="s">
        <v>50</v>
      </c>
      <c r="U132" s="10"/>
      <c r="V132" s="10"/>
      <c r="W132" s="10"/>
      <c r="X132" s="10"/>
      <c r="Y132" s="10"/>
      <c r="Z132" s="10"/>
      <c r="AA132" s="10"/>
      <c r="AB132" s="10"/>
      <c r="AC132" s="10"/>
      <c r="AD132" s="10"/>
      <c r="AE132" s="10"/>
      <c r="AF132" s="10"/>
      <c r="AG132" s="10"/>
      <c r="AH132" s="10"/>
      <c r="AI132" s="10"/>
      <c r="AJ132" s="10"/>
      <c r="AK132" s="10"/>
      <c r="AL132" s="10" t="s">
        <v>45</v>
      </c>
      <c r="AM132" s="10"/>
      <c r="AN132" s="10"/>
      <c r="AO132" s="10"/>
      <c r="AP132" s="10" t="s">
        <v>46</v>
      </c>
      <c r="AQ132" s="10"/>
      <c r="AR132" s="10"/>
      <c r="AS132" s="10"/>
    </row>
    <row r="133" customFormat="false" ht="21.75" hidden="false" customHeight="true" outlineLevel="0" collapsed="false">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row>
    <row r="135" customFormat="false" ht="18.75" hidden="false" customHeight="true" outlineLevel="0" collapsed="false">
      <c r="A135" s="14" t="s">
        <v>275</v>
      </c>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row>
    <row r="136" customFormat="false" ht="15" hidden="false" customHeight="true" outlineLevel="0" collapsed="false">
      <c r="A136" s="8" t="s">
        <v>124</v>
      </c>
      <c r="B136" s="15" t="s">
        <v>38</v>
      </c>
      <c r="C136" s="15"/>
      <c r="D136" s="15"/>
      <c r="E136" s="15"/>
      <c r="G136" s="15" t="s">
        <v>20</v>
      </c>
      <c r="H136" s="15"/>
      <c r="I136" s="15"/>
      <c r="J136" s="15"/>
      <c r="L136" s="5" t="s">
        <v>237</v>
      </c>
    </row>
    <row r="137" customFormat="false" ht="12" hidden="false" customHeight="true" outlineLevel="0" collapsed="false">
      <c r="A137" s="5" t="s">
        <v>64</v>
      </c>
      <c r="F137" s="10" t="s">
        <v>0</v>
      </c>
      <c r="G137" s="10"/>
      <c r="H137" s="10"/>
      <c r="I137" s="10"/>
      <c r="J137" s="10" t="s">
        <v>1</v>
      </c>
      <c r="K137" s="10"/>
      <c r="L137" s="10"/>
      <c r="M137" s="10"/>
      <c r="N137" s="10" t="s">
        <v>2</v>
      </c>
      <c r="O137" s="10"/>
      <c r="P137" s="10"/>
      <c r="Q137" s="10"/>
      <c r="R137" s="10" t="s">
        <v>3</v>
      </c>
      <c r="S137" s="10"/>
      <c r="T137" s="10"/>
      <c r="U137" s="10"/>
      <c r="V137" s="10" t="s">
        <v>4</v>
      </c>
      <c r="W137" s="10"/>
      <c r="X137" s="10"/>
      <c r="Y137" s="10"/>
      <c r="Z137" s="10" t="s">
        <v>5</v>
      </c>
      <c r="AA137" s="10"/>
      <c r="AB137" s="10"/>
      <c r="AC137" s="10"/>
      <c r="AD137" s="10" t="s">
        <v>6</v>
      </c>
      <c r="AE137" s="10"/>
      <c r="AF137" s="10"/>
      <c r="AG137" s="10"/>
      <c r="AH137" s="10" t="s">
        <v>7</v>
      </c>
      <c r="AI137" s="10"/>
      <c r="AJ137" s="10"/>
      <c r="AK137" s="10"/>
      <c r="AL137" s="10" t="s">
        <v>8</v>
      </c>
      <c r="AM137" s="10"/>
      <c r="AN137" s="10"/>
      <c r="AO137" s="10"/>
      <c r="AP137" s="10" t="s">
        <v>9</v>
      </c>
      <c r="AQ137" s="10"/>
      <c r="AR137" s="10"/>
      <c r="AS137" s="10"/>
      <c r="AT137" s="10" t="s">
        <v>10</v>
      </c>
      <c r="AU137" s="10"/>
      <c r="AV137" s="10"/>
      <c r="AW137" s="10"/>
      <c r="AX137" s="10" t="s">
        <v>11</v>
      </c>
      <c r="AY137" s="10"/>
      <c r="AZ137" s="10"/>
      <c r="BA137" s="10"/>
    </row>
    <row r="138" customFormat="false" ht="21.75" hidden="false" customHeight="true" outlineLevel="0" collapsed="false">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row>
    <row r="139" customFormat="false" ht="12" hidden="false" customHeight="true" outlineLevel="0" collapsed="false">
      <c r="A139" s="5" t="s">
        <v>65</v>
      </c>
      <c r="H139" s="10" t="s">
        <v>66</v>
      </c>
      <c r="I139" s="10"/>
      <c r="J139" s="10"/>
      <c r="K139" s="10"/>
      <c r="L139" s="10" t="s">
        <v>67</v>
      </c>
      <c r="M139" s="10"/>
      <c r="N139" s="10"/>
      <c r="O139" s="10"/>
      <c r="P139" s="10" t="s">
        <v>68</v>
      </c>
      <c r="Q139" s="10"/>
      <c r="R139" s="10"/>
      <c r="S139" s="10"/>
      <c r="T139" s="10" t="s">
        <v>69</v>
      </c>
      <c r="U139" s="10"/>
      <c r="V139" s="10"/>
      <c r="W139" s="10"/>
      <c r="X139" s="10" t="s">
        <v>70</v>
      </c>
      <c r="Y139" s="10"/>
      <c r="Z139" s="10"/>
      <c r="AA139" s="10"/>
      <c r="AB139" s="10" t="s">
        <v>71</v>
      </c>
      <c r="AC139" s="10"/>
      <c r="AD139" s="10"/>
      <c r="AE139" s="10"/>
      <c r="AF139" s="10" t="s">
        <v>72</v>
      </c>
      <c r="AG139" s="10"/>
      <c r="AH139" s="10"/>
      <c r="AI139" s="10"/>
      <c r="AJ139" s="10" t="s">
        <v>73</v>
      </c>
      <c r="AK139" s="10"/>
      <c r="AL139" s="10"/>
      <c r="AM139" s="10"/>
      <c r="AN139" s="10" t="s">
        <v>74</v>
      </c>
      <c r="AO139" s="10"/>
      <c r="AP139" s="10"/>
      <c r="AQ139" s="10"/>
      <c r="AR139" s="10" t="s">
        <v>75</v>
      </c>
      <c r="AS139" s="10"/>
      <c r="AT139" s="10"/>
      <c r="AU139" s="10"/>
      <c r="AV139" s="10" t="s">
        <v>22</v>
      </c>
      <c r="AW139" s="10"/>
      <c r="AX139" s="10"/>
      <c r="AY139" s="10"/>
      <c r="AZ139" s="10" t="s">
        <v>23</v>
      </c>
      <c r="BA139" s="10"/>
      <c r="BB139" s="10"/>
      <c r="BC139" s="10"/>
    </row>
    <row r="140" customFormat="false" ht="21.75" hidden="false" customHeight="true" outlineLevel="0" collapsed="false">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row>
    <row r="141" customFormat="false" ht="12" hidden="false" customHeight="true" outlineLevel="0" collapsed="false">
      <c r="A141" s="5" t="s">
        <v>82</v>
      </c>
      <c r="I141" s="10" t="s">
        <v>83</v>
      </c>
      <c r="J141" s="10"/>
      <c r="K141" s="10"/>
      <c r="L141" s="10"/>
      <c r="M141" s="10" t="s">
        <v>84</v>
      </c>
      <c r="N141" s="10"/>
      <c r="O141" s="10"/>
      <c r="P141" s="10"/>
      <c r="Q141" s="10" t="s">
        <v>85</v>
      </c>
      <c r="R141" s="10"/>
      <c r="S141" s="10"/>
      <c r="T141" s="10"/>
      <c r="U141" s="10" t="s">
        <v>86</v>
      </c>
      <c r="V141" s="10"/>
      <c r="W141" s="10"/>
      <c r="X141" s="10"/>
      <c r="Y141" s="10" t="s">
        <v>87</v>
      </c>
      <c r="Z141" s="10"/>
      <c r="AA141" s="10"/>
      <c r="AB141" s="10"/>
      <c r="AC141" s="10" t="s">
        <v>88</v>
      </c>
      <c r="AD141" s="10"/>
      <c r="AE141" s="10"/>
      <c r="AF141" s="10"/>
      <c r="AG141" s="10" t="s">
        <v>89</v>
      </c>
      <c r="AH141" s="10"/>
      <c r="AI141" s="10"/>
      <c r="AJ141" s="10"/>
      <c r="AK141" s="10" t="s">
        <v>90</v>
      </c>
      <c r="AL141" s="10"/>
      <c r="AM141" s="10"/>
      <c r="AN141" s="10"/>
      <c r="AO141" s="10" t="s">
        <v>91</v>
      </c>
      <c r="AP141" s="10"/>
      <c r="AQ141" s="10"/>
      <c r="AR141" s="10"/>
      <c r="AS141" s="10" t="s">
        <v>33</v>
      </c>
      <c r="AT141" s="10"/>
      <c r="AU141" s="10"/>
      <c r="AV141" s="10"/>
      <c r="AW141" s="10" t="s">
        <v>34</v>
      </c>
      <c r="AX141" s="10"/>
      <c r="AY141" s="10"/>
      <c r="AZ141" s="10"/>
    </row>
    <row r="142" customFormat="false" ht="21.75" hidden="false" customHeight="true" outlineLevel="0" collapsed="false">
      <c r="I142" s="11"/>
      <c r="J142" s="11"/>
      <c r="K142" s="11"/>
      <c r="L142" s="11"/>
      <c r="M142" s="11"/>
      <c r="N142" s="11"/>
      <c r="O142" s="11"/>
      <c r="P142" s="11"/>
      <c r="Q142" s="11"/>
      <c r="R142" s="11"/>
      <c r="S142" s="11"/>
      <c r="T142" s="11"/>
      <c r="U142" s="11"/>
      <c r="V142" s="11"/>
      <c r="W142" s="11"/>
      <c r="X142" s="11"/>
      <c r="Y142" s="11"/>
      <c r="Z142" s="11"/>
      <c r="AA142" s="11"/>
      <c r="AB142" s="11"/>
      <c r="AC142" s="12" t="s">
        <v>276</v>
      </c>
      <c r="AD142" s="12"/>
      <c r="AE142" s="12"/>
      <c r="AF142" s="12"/>
      <c r="AG142" s="11"/>
      <c r="AH142" s="11"/>
      <c r="AI142" s="11"/>
      <c r="AJ142" s="11"/>
      <c r="AK142" s="12" t="s">
        <v>277</v>
      </c>
      <c r="AL142" s="12"/>
      <c r="AM142" s="12"/>
      <c r="AN142" s="12"/>
      <c r="AO142" s="11"/>
      <c r="AP142" s="11"/>
      <c r="AQ142" s="11"/>
      <c r="AR142" s="11"/>
      <c r="AS142" s="12" t="s">
        <v>278</v>
      </c>
      <c r="AT142" s="12"/>
      <c r="AU142" s="12"/>
      <c r="AV142" s="12"/>
      <c r="AW142" s="11"/>
      <c r="AX142" s="11"/>
      <c r="AY142" s="11"/>
      <c r="AZ142" s="11"/>
    </row>
    <row r="143" customFormat="false" ht="12" hidden="false" customHeight="true" outlineLevel="0" collapsed="false">
      <c r="A143" s="5" t="s">
        <v>102</v>
      </c>
      <c r="K143" s="10" t="s">
        <v>103</v>
      </c>
      <c r="L143" s="10"/>
      <c r="M143" s="10"/>
      <c r="N143" s="10"/>
      <c r="O143" s="10" t="s">
        <v>104</v>
      </c>
      <c r="P143" s="10"/>
      <c r="Q143" s="10"/>
      <c r="R143" s="10"/>
      <c r="S143" s="10" t="s">
        <v>105</v>
      </c>
      <c r="T143" s="10"/>
      <c r="U143" s="10"/>
      <c r="V143" s="10"/>
      <c r="W143" s="10" t="s">
        <v>106</v>
      </c>
      <c r="X143" s="10"/>
      <c r="Y143" s="10"/>
      <c r="Z143" s="10"/>
      <c r="AA143" s="10" t="s">
        <v>107</v>
      </c>
      <c r="AB143" s="10"/>
      <c r="AC143" s="10"/>
      <c r="AD143" s="10"/>
      <c r="AE143" s="10" t="s">
        <v>108</v>
      </c>
      <c r="AF143" s="10"/>
      <c r="AG143" s="10"/>
      <c r="AH143" s="10"/>
      <c r="AI143" s="10" t="s">
        <v>109</v>
      </c>
      <c r="AJ143" s="10"/>
      <c r="AK143" s="10"/>
      <c r="AL143" s="10"/>
      <c r="AM143" s="10" t="s">
        <v>42</v>
      </c>
      <c r="AN143" s="10"/>
      <c r="AO143" s="10"/>
      <c r="AP143" s="10"/>
      <c r="AQ143" s="10" t="s">
        <v>43</v>
      </c>
      <c r="AR143" s="10"/>
      <c r="AS143" s="10"/>
      <c r="AT143" s="10"/>
      <c r="AU143" s="10" t="s">
        <v>44</v>
      </c>
      <c r="AV143" s="10"/>
      <c r="AW143" s="10"/>
      <c r="AX143" s="10"/>
    </row>
    <row r="144" customFormat="false" ht="21.75" hidden="false" customHeight="true" outlineLevel="0" collapsed="false">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customFormat="false" ht="12" hidden="false" customHeight="true" outlineLevel="0" collapsed="false">
      <c r="A145" s="5" t="s">
        <v>120</v>
      </c>
      <c r="P145" s="10" t="s">
        <v>48</v>
      </c>
      <c r="Q145" s="10"/>
      <c r="R145" s="10"/>
      <c r="S145" s="10"/>
      <c r="T145" s="10" t="s">
        <v>50</v>
      </c>
      <c r="U145" s="10"/>
      <c r="V145" s="10"/>
      <c r="W145" s="10"/>
      <c r="X145" s="10"/>
      <c r="Y145" s="10"/>
      <c r="Z145" s="10"/>
      <c r="AA145" s="10"/>
      <c r="AB145" s="10"/>
      <c r="AC145" s="10"/>
      <c r="AD145" s="10"/>
      <c r="AE145" s="10"/>
      <c r="AF145" s="10"/>
      <c r="AG145" s="10"/>
      <c r="AH145" s="10"/>
      <c r="AI145" s="10"/>
      <c r="AJ145" s="10"/>
      <c r="AK145" s="10"/>
      <c r="AL145" s="10" t="s">
        <v>45</v>
      </c>
      <c r="AM145" s="10"/>
      <c r="AN145" s="10"/>
      <c r="AO145" s="10"/>
      <c r="AP145" s="10" t="s">
        <v>46</v>
      </c>
      <c r="AQ145" s="10"/>
      <c r="AR145" s="10"/>
      <c r="AS145" s="10"/>
    </row>
    <row r="146" customFormat="false" ht="21.75" hidden="false" customHeight="true" outlineLevel="0" collapsed="false">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row>
    <row r="148" customFormat="false" ht="18.75" hidden="false" customHeight="true" outlineLevel="0" collapsed="false">
      <c r="A148" s="14" t="s">
        <v>279</v>
      </c>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row>
    <row r="149" customFormat="false" ht="15" hidden="false" customHeight="true" outlineLevel="0" collapsed="false">
      <c r="A149" s="8" t="s">
        <v>124</v>
      </c>
      <c r="B149" s="15" t="s">
        <v>38</v>
      </c>
      <c r="C149" s="15"/>
      <c r="D149" s="15"/>
      <c r="E149" s="15"/>
      <c r="G149" s="15" t="s">
        <v>31</v>
      </c>
      <c r="H149" s="15"/>
      <c r="I149" s="15"/>
      <c r="J149" s="15"/>
      <c r="L149" s="5" t="s">
        <v>237</v>
      </c>
    </row>
    <row r="150" customFormat="false" ht="12" hidden="false" customHeight="true" outlineLevel="0" collapsed="false">
      <c r="A150" s="5" t="s">
        <v>64</v>
      </c>
      <c r="F150" s="10" t="s">
        <v>0</v>
      </c>
      <c r="G150" s="10"/>
      <c r="H150" s="10"/>
      <c r="I150" s="10"/>
      <c r="J150" s="10" t="s">
        <v>1</v>
      </c>
      <c r="K150" s="10"/>
      <c r="L150" s="10"/>
      <c r="M150" s="10"/>
      <c r="N150" s="10" t="s">
        <v>2</v>
      </c>
      <c r="O150" s="10"/>
      <c r="P150" s="10"/>
      <c r="Q150" s="10"/>
      <c r="R150" s="10" t="s">
        <v>3</v>
      </c>
      <c r="S150" s="10"/>
      <c r="T150" s="10"/>
      <c r="U150" s="10"/>
      <c r="V150" s="10" t="s">
        <v>4</v>
      </c>
      <c r="W150" s="10"/>
      <c r="X150" s="10"/>
      <c r="Y150" s="10"/>
      <c r="Z150" s="10" t="s">
        <v>5</v>
      </c>
      <c r="AA150" s="10"/>
      <c r="AB150" s="10"/>
      <c r="AC150" s="10"/>
      <c r="AD150" s="10" t="s">
        <v>6</v>
      </c>
      <c r="AE150" s="10"/>
      <c r="AF150" s="10"/>
      <c r="AG150" s="10"/>
      <c r="AH150" s="10" t="s">
        <v>7</v>
      </c>
      <c r="AI150" s="10"/>
      <c r="AJ150" s="10"/>
      <c r="AK150" s="10"/>
      <c r="AL150" s="10" t="s">
        <v>8</v>
      </c>
      <c r="AM150" s="10"/>
      <c r="AN150" s="10"/>
      <c r="AO150" s="10"/>
      <c r="AP150" s="10" t="s">
        <v>9</v>
      </c>
      <c r="AQ150" s="10"/>
      <c r="AR150" s="10"/>
      <c r="AS150" s="10"/>
      <c r="AT150" s="10" t="s">
        <v>10</v>
      </c>
      <c r="AU150" s="10"/>
      <c r="AV150" s="10"/>
      <c r="AW150" s="10"/>
      <c r="AX150" s="10" t="s">
        <v>11</v>
      </c>
      <c r="AY150" s="10"/>
      <c r="AZ150" s="10"/>
      <c r="BA150" s="10"/>
    </row>
    <row r="151" customFormat="false" ht="21.75" hidden="false" customHeight="true" outlineLevel="0" collapsed="false">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row>
    <row r="152" customFormat="false" ht="12" hidden="false" customHeight="true" outlineLevel="0" collapsed="false">
      <c r="A152" s="5" t="s">
        <v>65</v>
      </c>
      <c r="H152" s="10" t="s">
        <v>66</v>
      </c>
      <c r="I152" s="10"/>
      <c r="J152" s="10"/>
      <c r="K152" s="10"/>
      <c r="L152" s="10" t="s">
        <v>67</v>
      </c>
      <c r="M152" s="10"/>
      <c r="N152" s="10"/>
      <c r="O152" s="10"/>
      <c r="P152" s="10" t="s">
        <v>68</v>
      </c>
      <c r="Q152" s="10"/>
      <c r="R152" s="10"/>
      <c r="S152" s="10"/>
      <c r="T152" s="10" t="s">
        <v>69</v>
      </c>
      <c r="U152" s="10"/>
      <c r="V152" s="10"/>
      <c r="W152" s="10"/>
      <c r="X152" s="10" t="s">
        <v>70</v>
      </c>
      <c r="Y152" s="10"/>
      <c r="Z152" s="10"/>
      <c r="AA152" s="10"/>
      <c r="AB152" s="10" t="s">
        <v>71</v>
      </c>
      <c r="AC152" s="10"/>
      <c r="AD152" s="10"/>
      <c r="AE152" s="10"/>
      <c r="AF152" s="10" t="s">
        <v>72</v>
      </c>
      <c r="AG152" s="10"/>
      <c r="AH152" s="10"/>
      <c r="AI152" s="10"/>
      <c r="AJ152" s="10" t="s">
        <v>73</v>
      </c>
      <c r="AK152" s="10"/>
      <c r="AL152" s="10"/>
      <c r="AM152" s="10"/>
      <c r="AN152" s="10" t="s">
        <v>74</v>
      </c>
      <c r="AO152" s="10"/>
      <c r="AP152" s="10"/>
      <c r="AQ152" s="10"/>
      <c r="AR152" s="10" t="s">
        <v>75</v>
      </c>
      <c r="AS152" s="10"/>
      <c r="AT152" s="10"/>
      <c r="AU152" s="10"/>
      <c r="AV152" s="10" t="s">
        <v>22</v>
      </c>
      <c r="AW152" s="10"/>
      <c r="AX152" s="10"/>
      <c r="AY152" s="10"/>
      <c r="AZ152" s="10" t="s">
        <v>23</v>
      </c>
      <c r="BA152" s="10"/>
      <c r="BB152" s="10"/>
      <c r="BC152" s="10"/>
    </row>
    <row r="153" customFormat="false" ht="21.75" hidden="false" customHeight="true" outlineLevel="0" collapsed="false">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row>
    <row r="154" customFormat="false" ht="12" hidden="false" customHeight="true" outlineLevel="0" collapsed="false">
      <c r="A154" s="5" t="s">
        <v>82</v>
      </c>
      <c r="I154" s="10" t="s">
        <v>83</v>
      </c>
      <c r="J154" s="10"/>
      <c r="K154" s="10"/>
      <c r="L154" s="10"/>
      <c r="M154" s="10" t="s">
        <v>84</v>
      </c>
      <c r="N154" s="10"/>
      <c r="O154" s="10"/>
      <c r="P154" s="10"/>
      <c r="Q154" s="10" t="s">
        <v>85</v>
      </c>
      <c r="R154" s="10"/>
      <c r="S154" s="10"/>
      <c r="T154" s="10"/>
      <c r="U154" s="10" t="s">
        <v>86</v>
      </c>
      <c r="V154" s="10"/>
      <c r="W154" s="10"/>
      <c r="X154" s="10"/>
      <c r="Y154" s="10" t="s">
        <v>87</v>
      </c>
      <c r="Z154" s="10"/>
      <c r="AA154" s="10"/>
      <c r="AB154" s="10"/>
      <c r="AC154" s="10" t="s">
        <v>88</v>
      </c>
      <c r="AD154" s="10"/>
      <c r="AE154" s="10"/>
      <c r="AF154" s="10"/>
      <c r="AG154" s="10" t="s">
        <v>89</v>
      </c>
      <c r="AH154" s="10"/>
      <c r="AI154" s="10"/>
      <c r="AJ154" s="10"/>
      <c r="AK154" s="10" t="s">
        <v>90</v>
      </c>
      <c r="AL154" s="10"/>
      <c r="AM154" s="10"/>
      <c r="AN154" s="10"/>
      <c r="AO154" s="10" t="s">
        <v>91</v>
      </c>
      <c r="AP154" s="10"/>
      <c r="AQ154" s="10"/>
      <c r="AR154" s="10"/>
      <c r="AS154" s="10" t="s">
        <v>33</v>
      </c>
      <c r="AT154" s="10"/>
      <c r="AU154" s="10"/>
      <c r="AV154" s="10"/>
      <c r="AW154" s="10" t="s">
        <v>34</v>
      </c>
      <c r="AX154" s="10"/>
      <c r="AY154" s="10"/>
      <c r="AZ154" s="10"/>
    </row>
    <row r="155" customFormat="false" ht="21.75" hidden="false" customHeight="true" outlineLevel="0" collapsed="false">
      <c r="I155" s="11"/>
      <c r="J155" s="11"/>
      <c r="K155" s="11"/>
      <c r="L155" s="11"/>
      <c r="M155" s="11"/>
      <c r="N155" s="11"/>
      <c r="O155" s="11"/>
      <c r="P155" s="11"/>
      <c r="Q155" s="11"/>
      <c r="R155" s="11"/>
      <c r="S155" s="11"/>
      <c r="T155" s="11"/>
      <c r="U155" s="11"/>
      <c r="V155" s="11"/>
      <c r="W155" s="11"/>
      <c r="X155" s="11"/>
      <c r="Y155" s="11"/>
      <c r="Z155" s="11"/>
      <c r="AA155" s="11"/>
      <c r="AB155" s="11"/>
      <c r="AC155" s="12" t="s">
        <v>280</v>
      </c>
      <c r="AD155" s="12"/>
      <c r="AE155" s="12"/>
      <c r="AF155" s="12"/>
      <c r="AG155" s="11"/>
      <c r="AH155" s="11"/>
      <c r="AI155" s="11"/>
      <c r="AJ155" s="11"/>
      <c r="AK155" s="11"/>
      <c r="AL155" s="11"/>
      <c r="AM155" s="11"/>
      <c r="AN155" s="11"/>
      <c r="AO155" s="11"/>
      <c r="AP155" s="11"/>
      <c r="AQ155" s="11"/>
      <c r="AR155" s="11"/>
      <c r="AS155" s="12" t="s">
        <v>281</v>
      </c>
      <c r="AT155" s="12"/>
      <c r="AU155" s="12"/>
      <c r="AV155" s="12"/>
      <c r="AW155" s="11"/>
      <c r="AX155" s="11"/>
      <c r="AY155" s="11"/>
      <c r="AZ155" s="11"/>
    </row>
    <row r="156" customFormat="false" ht="12" hidden="false" customHeight="true" outlineLevel="0" collapsed="false">
      <c r="A156" s="5" t="s">
        <v>102</v>
      </c>
      <c r="K156" s="10" t="s">
        <v>103</v>
      </c>
      <c r="L156" s="10"/>
      <c r="M156" s="10"/>
      <c r="N156" s="10"/>
      <c r="O156" s="10" t="s">
        <v>104</v>
      </c>
      <c r="P156" s="10"/>
      <c r="Q156" s="10"/>
      <c r="R156" s="10"/>
      <c r="S156" s="10" t="s">
        <v>105</v>
      </c>
      <c r="T156" s="10"/>
      <c r="U156" s="10"/>
      <c r="V156" s="10"/>
      <c r="W156" s="10" t="s">
        <v>106</v>
      </c>
      <c r="X156" s="10"/>
      <c r="Y156" s="10"/>
      <c r="Z156" s="10"/>
      <c r="AA156" s="10" t="s">
        <v>107</v>
      </c>
      <c r="AB156" s="10"/>
      <c r="AC156" s="10"/>
      <c r="AD156" s="10"/>
      <c r="AE156" s="10" t="s">
        <v>108</v>
      </c>
      <c r="AF156" s="10"/>
      <c r="AG156" s="10"/>
      <c r="AH156" s="10"/>
      <c r="AI156" s="10" t="s">
        <v>109</v>
      </c>
      <c r="AJ156" s="10"/>
      <c r="AK156" s="10"/>
      <c r="AL156" s="10"/>
      <c r="AM156" s="10" t="s">
        <v>42</v>
      </c>
      <c r="AN156" s="10"/>
      <c r="AO156" s="10"/>
      <c r="AP156" s="10"/>
      <c r="AQ156" s="10" t="s">
        <v>43</v>
      </c>
      <c r="AR156" s="10"/>
      <c r="AS156" s="10"/>
      <c r="AT156" s="10"/>
      <c r="AU156" s="10" t="s">
        <v>44</v>
      </c>
      <c r="AV156" s="10"/>
      <c r="AW156" s="10"/>
      <c r="AX156" s="10"/>
    </row>
    <row r="157" customFormat="false" ht="21.75" hidden="false" customHeight="true" outlineLevel="0" collapsed="false">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customFormat="false" ht="12" hidden="false" customHeight="true" outlineLevel="0" collapsed="false">
      <c r="A158" s="5" t="s">
        <v>120</v>
      </c>
      <c r="P158" s="10" t="s">
        <v>48</v>
      </c>
      <c r="Q158" s="10"/>
      <c r="R158" s="10"/>
      <c r="S158" s="10"/>
      <c r="T158" s="10" t="s">
        <v>50</v>
      </c>
      <c r="U158" s="10"/>
      <c r="V158" s="10"/>
      <c r="W158" s="10"/>
      <c r="X158" s="10"/>
      <c r="Y158" s="10"/>
      <c r="Z158" s="10"/>
      <c r="AA158" s="10"/>
      <c r="AB158" s="10"/>
      <c r="AC158" s="10"/>
      <c r="AD158" s="10"/>
      <c r="AE158" s="10"/>
      <c r="AF158" s="10"/>
      <c r="AG158" s="10"/>
      <c r="AH158" s="10"/>
      <c r="AI158" s="10"/>
      <c r="AJ158" s="10"/>
      <c r="AK158" s="10"/>
      <c r="AL158" s="10" t="s">
        <v>45</v>
      </c>
      <c r="AM158" s="10"/>
      <c r="AN158" s="10"/>
      <c r="AO158" s="10"/>
      <c r="AP158" s="10" t="s">
        <v>46</v>
      </c>
      <c r="AQ158" s="10"/>
      <c r="AR158" s="10"/>
      <c r="AS158" s="10"/>
    </row>
    <row r="159" customFormat="false" ht="21.75" hidden="false" customHeight="true" outlineLevel="0" collapsed="false">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row>
    <row r="161" customFormat="false" ht="18.75" hidden="false" customHeight="true" outlineLevel="0" collapsed="false">
      <c r="A161" s="14" t="s">
        <v>282</v>
      </c>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row>
    <row r="162" customFormat="false" ht="15" hidden="false" customHeight="true" outlineLevel="0" collapsed="false">
      <c r="A162" s="8" t="s">
        <v>124</v>
      </c>
      <c r="B162" s="15" t="s">
        <v>41</v>
      </c>
      <c r="C162" s="15"/>
      <c r="D162" s="15"/>
      <c r="E162" s="15"/>
      <c r="G162" s="15" t="s">
        <v>31</v>
      </c>
      <c r="H162" s="15"/>
      <c r="I162" s="15"/>
      <c r="J162" s="15"/>
      <c r="L162" s="5" t="s">
        <v>237</v>
      </c>
    </row>
    <row r="163" customFormat="false" ht="12" hidden="false" customHeight="true" outlineLevel="0" collapsed="false">
      <c r="A163" s="5" t="s">
        <v>64</v>
      </c>
      <c r="F163" s="10" t="s">
        <v>0</v>
      </c>
      <c r="G163" s="10"/>
      <c r="H163" s="10"/>
      <c r="I163" s="10"/>
      <c r="J163" s="10" t="s">
        <v>1</v>
      </c>
      <c r="K163" s="10"/>
      <c r="L163" s="10"/>
      <c r="M163" s="10"/>
      <c r="N163" s="10" t="s">
        <v>2</v>
      </c>
      <c r="O163" s="10"/>
      <c r="P163" s="10"/>
      <c r="Q163" s="10"/>
      <c r="R163" s="10" t="s">
        <v>3</v>
      </c>
      <c r="S163" s="10"/>
      <c r="T163" s="10"/>
      <c r="U163" s="10"/>
      <c r="V163" s="10" t="s">
        <v>4</v>
      </c>
      <c r="W163" s="10"/>
      <c r="X163" s="10"/>
      <c r="Y163" s="10"/>
      <c r="Z163" s="10" t="s">
        <v>5</v>
      </c>
      <c r="AA163" s="10"/>
      <c r="AB163" s="10"/>
      <c r="AC163" s="10"/>
      <c r="AD163" s="10" t="s">
        <v>6</v>
      </c>
      <c r="AE163" s="10"/>
      <c r="AF163" s="10"/>
      <c r="AG163" s="10"/>
      <c r="AH163" s="10" t="s">
        <v>7</v>
      </c>
      <c r="AI163" s="10"/>
      <c r="AJ163" s="10"/>
      <c r="AK163" s="10"/>
      <c r="AL163" s="10" t="s">
        <v>8</v>
      </c>
      <c r="AM163" s="10"/>
      <c r="AN163" s="10"/>
      <c r="AO163" s="10"/>
      <c r="AP163" s="10" t="s">
        <v>9</v>
      </c>
      <c r="AQ163" s="10"/>
      <c r="AR163" s="10"/>
      <c r="AS163" s="10"/>
      <c r="AT163" s="10" t="s">
        <v>10</v>
      </c>
      <c r="AU163" s="10"/>
      <c r="AV163" s="10"/>
      <c r="AW163" s="10"/>
      <c r="AX163" s="10" t="s">
        <v>11</v>
      </c>
      <c r="AY163" s="10"/>
      <c r="AZ163" s="10"/>
      <c r="BA163" s="10"/>
    </row>
    <row r="164" customFormat="false" ht="21.75" hidden="false" customHeight="true" outlineLevel="0" collapsed="false">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row>
    <row r="165" customFormat="false" ht="12" hidden="false" customHeight="true" outlineLevel="0" collapsed="false">
      <c r="A165" s="5" t="s">
        <v>65</v>
      </c>
      <c r="H165" s="10" t="s">
        <v>66</v>
      </c>
      <c r="I165" s="10"/>
      <c r="J165" s="10"/>
      <c r="K165" s="10"/>
      <c r="L165" s="10" t="s">
        <v>67</v>
      </c>
      <c r="M165" s="10"/>
      <c r="N165" s="10"/>
      <c r="O165" s="10"/>
      <c r="P165" s="10" t="s">
        <v>68</v>
      </c>
      <c r="Q165" s="10"/>
      <c r="R165" s="10"/>
      <c r="S165" s="10"/>
      <c r="T165" s="10" t="s">
        <v>69</v>
      </c>
      <c r="U165" s="10"/>
      <c r="V165" s="10"/>
      <c r="W165" s="10"/>
      <c r="X165" s="10" t="s">
        <v>70</v>
      </c>
      <c r="Y165" s="10"/>
      <c r="Z165" s="10"/>
      <c r="AA165" s="10"/>
      <c r="AB165" s="10" t="s">
        <v>71</v>
      </c>
      <c r="AC165" s="10"/>
      <c r="AD165" s="10"/>
      <c r="AE165" s="10"/>
      <c r="AF165" s="10" t="s">
        <v>72</v>
      </c>
      <c r="AG165" s="10"/>
      <c r="AH165" s="10"/>
      <c r="AI165" s="10"/>
      <c r="AJ165" s="10" t="s">
        <v>73</v>
      </c>
      <c r="AK165" s="10"/>
      <c r="AL165" s="10"/>
      <c r="AM165" s="10"/>
      <c r="AN165" s="10" t="s">
        <v>74</v>
      </c>
      <c r="AO165" s="10"/>
      <c r="AP165" s="10"/>
      <c r="AQ165" s="10"/>
      <c r="AR165" s="10" t="s">
        <v>75</v>
      </c>
      <c r="AS165" s="10"/>
      <c r="AT165" s="10"/>
      <c r="AU165" s="10"/>
      <c r="AV165" s="10" t="s">
        <v>22</v>
      </c>
      <c r="AW165" s="10"/>
      <c r="AX165" s="10"/>
      <c r="AY165" s="10"/>
      <c r="AZ165" s="10" t="s">
        <v>23</v>
      </c>
      <c r="BA165" s="10"/>
      <c r="BB165" s="10"/>
      <c r="BC165" s="10"/>
    </row>
    <row r="166" customFormat="false" ht="21.75" hidden="false" customHeight="true" outlineLevel="0" collapsed="false">
      <c r="H166" s="11"/>
      <c r="I166" s="11"/>
      <c r="J166" s="11"/>
      <c r="K166" s="11"/>
      <c r="L166" s="11"/>
      <c r="M166" s="11"/>
      <c r="N166" s="11"/>
      <c r="O166" s="11"/>
      <c r="P166" s="12" t="s">
        <v>283</v>
      </c>
      <c r="Q166" s="12"/>
      <c r="R166" s="12"/>
      <c r="S166" s="12"/>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row>
    <row r="167" customFormat="false" ht="12" hidden="false" customHeight="true" outlineLevel="0" collapsed="false">
      <c r="A167" s="5" t="s">
        <v>82</v>
      </c>
      <c r="I167" s="10" t="s">
        <v>83</v>
      </c>
      <c r="J167" s="10"/>
      <c r="K167" s="10"/>
      <c r="L167" s="10"/>
      <c r="M167" s="10" t="s">
        <v>84</v>
      </c>
      <c r="N167" s="10"/>
      <c r="O167" s="10"/>
      <c r="P167" s="10"/>
      <c r="Q167" s="10" t="s">
        <v>85</v>
      </c>
      <c r="R167" s="10"/>
      <c r="S167" s="10"/>
      <c r="T167" s="10"/>
      <c r="U167" s="10" t="s">
        <v>86</v>
      </c>
      <c r="V167" s="10"/>
      <c r="W167" s="10"/>
      <c r="X167" s="10"/>
      <c r="Y167" s="10" t="s">
        <v>87</v>
      </c>
      <c r="Z167" s="10"/>
      <c r="AA167" s="10"/>
      <c r="AB167" s="10"/>
      <c r="AC167" s="10" t="s">
        <v>88</v>
      </c>
      <c r="AD167" s="10"/>
      <c r="AE167" s="10"/>
      <c r="AF167" s="10"/>
      <c r="AG167" s="10" t="s">
        <v>89</v>
      </c>
      <c r="AH167" s="10"/>
      <c r="AI167" s="10"/>
      <c r="AJ167" s="10"/>
      <c r="AK167" s="10" t="s">
        <v>90</v>
      </c>
      <c r="AL167" s="10"/>
      <c r="AM167" s="10"/>
      <c r="AN167" s="10"/>
      <c r="AO167" s="10" t="s">
        <v>91</v>
      </c>
      <c r="AP167" s="10"/>
      <c r="AQ167" s="10"/>
      <c r="AR167" s="10"/>
      <c r="AS167" s="10" t="s">
        <v>33</v>
      </c>
      <c r="AT167" s="10"/>
      <c r="AU167" s="10"/>
      <c r="AV167" s="10"/>
      <c r="AW167" s="10" t="s">
        <v>34</v>
      </c>
      <c r="AX167" s="10"/>
      <c r="AY167" s="10"/>
      <c r="AZ167" s="10"/>
    </row>
    <row r="168" customFormat="false" ht="21.75" hidden="false" customHeight="true" outlineLevel="0" collapsed="false">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row>
    <row r="169" customFormat="false" ht="12" hidden="false" customHeight="true" outlineLevel="0" collapsed="false">
      <c r="A169" s="5" t="s">
        <v>102</v>
      </c>
      <c r="K169" s="10" t="s">
        <v>103</v>
      </c>
      <c r="L169" s="10"/>
      <c r="M169" s="10"/>
      <c r="N169" s="10"/>
      <c r="O169" s="10" t="s">
        <v>104</v>
      </c>
      <c r="P169" s="10"/>
      <c r="Q169" s="10"/>
      <c r="R169" s="10"/>
      <c r="S169" s="10" t="s">
        <v>105</v>
      </c>
      <c r="T169" s="10"/>
      <c r="U169" s="10"/>
      <c r="V169" s="10"/>
      <c r="W169" s="10" t="s">
        <v>106</v>
      </c>
      <c r="X169" s="10"/>
      <c r="Y169" s="10"/>
      <c r="Z169" s="10"/>
      <c r="AA169" s="10" t="s">
        <v>107</v>
      </c>
      <c r="AB169" s="10"/>
      <c r="AC169" s="10"/>
      <c r="AD169" s="10"/>
      <c r="AE169" s="10" t="s">
        <v>108</v>
      </c>
      <c r="AF169" s="10"/>
      <c r="AG169" s="10"/>
      <c r="AH169" s="10"/>
      <c r="AI169" s="10" t="s">
        <v>109</v>
      </c>
      <c r="AJ169" s="10"/>
      <c r="AK169" s="10"/>
      <c r="AL169" s="10"/>
      <c r="AM169" s="10" t="s">
        <v>42</v>
      </c>
      <c r="AN169" s="10"/>
      <c r="AO169" s="10"/>
      <c r="AP169" s="10"/>
      <c r="AQ169" s="10" t="s">
        <v>43</v>
      </c>
      <c r="AR169" s="10"/>
      <c r="AS169" s="10"/>
      <c r="AT169" s="10"/>
      <c r="AU169" s="10" t="s">
        <v>44</v>
      </c>
      <c r="AV169" s="10"/>
      <c r="AW169" s="10"/>
      <c r="AX169" s="10"/>
    </row>
    <row r="170" customFormat="false" ht="21.75" hidden="false" customHeight="true" outlineLevel="0" collapsed="false">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customFormat="false" ht="12" hidden="false" customHeight="true" outlineLevel="0" collapsed="false">
      <c r="A171" s="5" t="s">
        <v>120</v>
      </c>
      <c r="P171" s="10" t="s">
        <v>48</v>
      </c>
      <c r="Q171" s="10"/>
      <c r="R171" s="10"/>
      <c r="S171" s="10"/>
      <c r="T171" s="10" t="s">
        <v>50</v>
      </c>
      <c r="U171" s="10"/>
      <c r="V171" s="10"/>
      <c r="W171" s="10"/>
      <c r="X171" s="10"/>
      <c r="Y171" s="10"/>
      <c r="Z171" s="10"/>
      <c r="AA171" s="10"/>
      <c r="AB171" s="10"/>
      <c r="AC171" s="10"/>
      <c r="AD171" s="10"/>
      <c r="AE171" s="10"/>
      <c r="AF171" s="10"/>
      <c r="AG171" s="10"/>
      <c r="AH171" s="10"/>
      <c r="AI171" s="10"/>
      <c r="AJ171" s="10"/>
      <c r="AK171" s="10"/>
      <c r="AL171" s="10" t="s">
        <v>45</v>
      </c>
      <c r="AM171" s="10"/>
      <c r="AN171" s="10"/>
      <c r="AO171" s="10"/>
      <c r="AP171" s="10" t="s">
        <v>46</v>
      </c>
      <c r="AQ171" s="10"/>
      <c r="AR171" s="10"/>
      <c r="AS171" s="10"/>
    </row>
    <row r="172" customFormat="false" ht="21.75" hidden="false" customHeight="true" outlineLevel="0" collapsed="false">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row>
    <row r="174" customFormat="false" ht="18.75" hidden="false" customHeight="true" outlineLevel="0" collapsed="false">
      <c r="A174" s="14" t="s">
        <v>284</v>
      </c>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row>
    <row r="175" customFormat="false" ht="15" hidden="false" customHeight="true" outlineLevel="0" collapsed="false">
      <c r="A175" s="8" t="s">
        <v>124</v>
      </c>
      <c r="B175" s="15" t="s">
        <v>38</v>
      </c>
      <c r="C175" s="15"/>
      <c r="D175" s="15"/>
      <c r="E175" s="15"/>
      <c r="G175" s="15" t="s">
        <v>30</v>
      </c>
      <c r="H175" s="15"/>
      <c r="I175" s="15"/>
      <c r="J175" s="15"/>
      <c r="L175" s="5" t="s">
        <v>237</v>
      </c>
    </row>
    <row r="176" customFormat="false" ht="12" hidden="false" customHeight="true" outlineLevel="0" collapsed="false">
      <c r="A176" s="5" t="s">
        <v>64</v>
      </c>
      <c r="F176" s="10" t="s">
        <v>0</v>
      </c>
      <c r="G176" s="10"/>
      <c r="H176" s="10"/>
      <c r="I176" s="10"/>
      <c r="J176" s="10" t="s">
        <v>1</v>
      </c>
      <c r="K176" s="10"/>
      <c r="L176" s="10"/>
      <c r="M176" s="10"/>
      <c r="N176" s="10" t="s">
        <v>2</v>
      </c>
      <c r="O176" s="10"/>
      <c r="P176" s="10"/>
      <c r="Q176" s="10"/>
      <c r="R176" s="10" t="s">
        <v>3</v>
      </c>
      <c r="S176" s="10"/>
      <c r="T176" s="10"/>
      <c r="U176" s="10"/>
      <c r="V176" s="10" t="s">
        <v>4</v>
      </c>
      <c r="W176" s="10"/>
      <c r="X176" s="10"/>
      <c r="Y176" s="10"/>
      <c r="Z176" s="10" t="s">
        <v>5</v>
      </c>
      <c r="AA176" s="10"/>
      <c r="AB176" s="10"/>
      <c r="AC176" s="10"/>
      <c r="AD176" s="10" t="s">
        <v>6</v>
      </c>
      <c r="AE176" s="10"/>
      <c r="AF176" s="10"/>
      <c r="AG176" s="10"/>
      <c r="AH176" s="10" t="s">
        <v>7</v>
      </c>
      <c r="AI176" s="10"/>
      <c r="AJ176" s="10"/>
      <c r="AK176" s="10"/>
      <c r="AL176" s="10" t="s">
        <v>8</v>
      </c>
      <c r="AM176" s="10"/>
      <c r="AN176" s="10"/>
      <c r="AO176" s="10"/>
      <c r="AP176" s="10" t="s">
        <v>9</v>
      </c>
      <c r="AQ176" s="10"/>
      <c r="AR176" s="10"/>
      <c r="AS176" s="10"/>
      <c r="AT176" s="10" t="s">
        <v>10</v>
      </c>
      <c r="AU176" s="10"/>
      <c r="AV176" s="10"/>
      <c r="AW176" s="10"/>
      <c r="AX176" s="10" t="s">
        <v>11</v>
      </c>
      <c r="AY176" s="10"/>
      <c r="AZ176" s="10"/>
      <c r="BA176" s="10"/>
    </row>
    <row r="177" customFormat="false" ht="21.75" hidden="false" customHeight="true" outlineLevel="0" collapsed="false">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row>
    <row r="178" customFormat="false" ht="12" hidden="false" customHeight="true" outlineLevel="0" collapsed="false">
      <c r="A178" s="5" t="s">
        <v>65</v>
      </c>
      <c r="H178" s="10" t="s">
        <v>66</v>
      </c>
      <c r="I178" s="10"/>
      <c r="J178" s="10"/>
      <c r="K178" s="10"/>
      <c r="L178" s="10" t="s">
        <v>67</v>
      </c>
      <c r="M178" s="10"/>
      <c r="N178" s="10"/>
      <c r="O178" s="10"/>
      <c r="P178" s="10" t="s">
        <v>68</v>
      </c>
      <c r="Q178" s="10"/>
      <c r="R178" s="10"/>
      <c r="S178" s="10"/>
      <c r="T178" s="10" t="s">
        <v>69</v>
      </c>
      <c r="U178" s="10"/>
      <c r="V178" s="10"/>
      <c r="W178" s="10"/>
      <c r="X178" s="10" t="s">
        <v>70</v>
      </c>
      <c r="Y178" s="10"/>
      <c r="Z178" s="10"/>
      <c r="AA178" s="10"/>
      <c r="AB178" s="10" t="s">
        <v>71</v>
      </c>
      <c r="AC178" s="10"/>
      <c r="AD178" s="10"/>
      <c r="AE178" s="10"/>
      <c r="AF178" s="10" t="s">
        <v>72</v>
      </c>
      <c r="AG178" s="10"/>
      <c r="AH178" s="10"/>
      <c r="AI178" s="10"/>
      <c r="AJ178" s="10" t="s">
        <v>73</v>
      </c>
      <c r="AK178" s="10"/>
      <c r="AL178" s="10"/>
      <c r="AM178" s="10"/>
      <c r="AN178" s="10" t="s">
        <v>74</v>
      </c>
      <c r="AO178" s="10"/>
      <c r="AP178" s="10"/>
      <c r="AQ178" s="10"/>
      <c r="AR178" s="10" t="s">
        <v>75</v>
      </c>
      <c r="AS178" s="10"/>
      <c r="AT178" s="10"/>
      <c r="AU178" s="10"/>
      <c r="AV178" s="10" t="s">
        <v>22</v>
      </c>
      <c r="AW178" s="10"/>
      <c r="AX178" s="10"/>
      <c r="AY178" s="10"/>
      <c r="AZ178" s="10" t="s">
        <v>23</v>
      </c>
      <c r="BA178" s="10"/>
      <c r="BB178" s="10"/>
      <c r="BC178" s="10"/>
    </row>
    <row r="179" customFormat="false" ht="21.75" hidden="false" customHeight="true" outlineLevel="0" collapsed="false">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row>
    <row r="180" customFormat="false" ht="12" hidden="false" customHeight="true" outlineLevel="0" collapsed="false">
      <c r="A180" s="5" t="s">
        <v>82</v>
      </c>
      <c r="I180" s="10" t="s">
        <v>83</v>
      </c>
      <c r="J180" s="10"/>
      <c r="K180" s="10"/>
      <c r="L180" s="10"/>
      <c r="M180" s="10" t="s">
        <v>84</v>
      </c>
      <c r="N180" s="10"/>
      <c r="O180" s="10"/>
      <c r="P180" s="10"/>
      <c r="Q180" s="10" t="s">
        <v>85</v>
      </c>
      <c r="R180" s="10"/>
      <c r="S180" s="10"/>
      <c r="T180" s="10"/>
      <c r="U180" s="10" t="s">
        <v>86</v>
      </c>
      <c r="V180" s="10"/>
      <c r="W180" s="10"/>
      <c r="X180" s="10"/>
      <c r="Y180" s="10" t="s">
        <v>87</v>
      </c>
      <c r="Z180" s="10"/>
      <c r="AA180" s="10"/>
      <c r="AB180" s="10"/>
      <c r="AC180" s="10" t="s">
        <v>88</v>
      </c>
      <c r="AD180" s="10"/>
      <c r="AE180" s="10"/>
      <c r="AF180" s="10"/>
      <c r="AG180" s="10" t="s">
        <v>89</v>
      </c>
      <c r="AH180" s="10"/>
      <c r="AI180" s="10"/>
      <c r="AJ180" s="10"/>
      <c r="AK180" s="10" t="s">
        <v>90</v>
      </c>
      <c r="AL180" s="10"/>
      <c r="AM180" s="10"/>
      <c r="AN180" s="10"/>
      <c r="AO180" s="10" t="s">
        <v>91</v>
      </c>
      <c r="AP180" s="10"/>
      <c r="AQ180" s="10"/>
      <c r="AR180" s="10"/>
      <c r="AS180" s="10" t="s">
        <v>33</v>
      </c>
      <c r="AT180" s="10"/>
      <c r="AU180" s="10"/>
      <c r="AV180" s="10"/>
      <c r="AW180" s="10" t="s">
        <v>34</v>
      </c>
      <c r="AX180" s="10"/>
      <c r="AY180" s="10"/>
      <c r="AZ180" s="10"/>
    </row>
    <row r="181" customFormat="false" ht="21.75" hidden="false" customHeight="true" outlineLevel="0" collapsed="false">
      <c r="I181" s="11"/>
      <c r="J181" s="11"/>
      <c r="K181" s="11"/>
      <c r="L181" s="11"/>
      <c r="M181" s="11"/>
      <c r="N181" s="11"/>
      <c r="O181" s="11"/>
      <c r="P181" s="11"/>
      <c r="Q181" s="11"/>
      <c r="R181" s="11"/>
      <c r="S181" s="11"/>
      <c r="T181" s="11"/>
      <c r="U181" s="11"/>
      <c r="V181" s="11"/>
      <c r="W181" s="11"/>
      <c r="X181" s="11"/>
      <c r="Y181" s="11"/>
      <c r="Z181" s="11"/>
      <c r="AA181" s="11"/>
      <c r="AB181" s="11"/>
      <c r="AC181" s="12" t="s">
        <v>285</v>
      </c>
      <c r="AD181" s="12"/>
      <c r="AE181" s="12"/>
      <c r="AF181" s="12"/>
      <c r="AG181" s="11"/>
      <c r="AH181" s="11"/>
      <c r="AI181" s="11"/>
      <c r="AJ181" s="11"/>
      <c r="AK181" s="11"/>
      <c r="AL181" s="11"/>
      <c r="AM181" s="11"/>
      <c r="AN181" s="11"/>
      <c r="AO181" s="11"/>
      <c r="AP181" s="11"/>
      <c r="AQ181" s="11"/>
      <c r="AR181" s="11"/>
      <c r="AS181" s="12" t="s">
        <v>286</v>
      </c>
      <c r="AT181" s="12"/>
      <c r="AU181" s="12"/>
      <c r="AV181" s="12"/>
      <c r="AW181" s="11"/>
      <c r="AX181" s="11"/>
      <c r="AY181" s="11"/>
      <c r="AZ181" s="11"/>
    </row>
    <row r="182" customFormat="false" ht="12" hidden="false" customHeight="true" outlineLevel="0" collapsed="false">
      <c r="A182" s="5" t="s">
        <v>102</v>
      </c>
      <c r="K182" s="10" t="s">
        <v>103</v>
      </c>
      <c r="L182" s="10"/>
      <c r="M182" s="10"/>
      <c r="N182" s="10"/>
      <c r="O182" s="10" t="s">
        <v>104</v>
      </c>
      <c r="P182" s="10"/>
      <c r="Q182" s="10"/>
      <c r="R182" s="10"/>
      <c r="S182" s="10" t="s">
        <v>105</v>
      </c>
      <c r="T182" s="10"/>
      <c r="U182" s="10"/>
      <c r="V182" s="10"/>
      <c r="W182" s="10" t="s">
        <v>106</v>
      </c>
      <c r="X182" s="10"/>
      <c r="Y182" s="10"/>
      <c r="Z182" s="10"/>
      <c r="AA182" s="10" t="s">
        <v>107</v>
      </c>
      <c r="AB182" s="10"/>
      <c r="AC182" s="10"/>
      <c r="AD182" s="10"/>
      <c r="AE182" s="10" t="s">
        <v>108</v>
      </c>
      <c r="AF182" s="10"/>
      <c r="AG182" s="10"/>
      <c r="AH182" s="10"/>
      <c r="AI182" s="10" t="s">
        <v>109</v>
      </c>
      <c r="AJ182" s="10"/>
      <c r="AK182" s="10"/>
      <c r="AL182" s="10"/>
      <c r="AM182" s="10" t="s">
        <v>42</v>
      </c>
      <c r="AN182" s="10"/>
      <c r="AO182" s="10"/>
      <c r="AP182" s="10"/>
      <c r="AQ182" s="10" t="s">
        <v>43</v>
      </c>
      <c r="AR182" s="10"/>
      <c r="AS182" s="10"/>
      <c r="AT182" s="10"/>
      <c r="AU182" s="10" t="s">
        <v>44</v>
      </c>
      <c r="AV182" s="10"/>
      <c r="AW182" s="10"/>
      <c r="AX182" s="10"/>
    </row>
    <row r="183" customFormat="false" ht="21.75" hidden="false" customHeight="true" outlineLevel="0" collapsed="false">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customFormat="false" ht="12" hidden="false" customHeight="true" outlineLevel="0" collapsed="false">
      <c r="A184" s="5" t="s">
        <v>120</v>
      </c>
      <c r="P184" s="10" t="s">
        <v>48</v>
      </c>
      <c r="Q184" s="10"/>
      <c r="R184" s="10"/>
      <c r="S184" s="10"/>
      <c r="T184" s="10" t="s">
        <v>50</v>
      </c>
      <c r="U184" s="10"/>
      <c r="V184" s="10"/>
      <c r="W184" s="10"/>
      <c r="X184" s="10"/>
      <c r="Y184" s="10"/>
      <c r="Z184" s="10"/>
      <c r="AA184" s="10"/>
      <c r="AB184" s="10"/>
      <c r="AC184" s="10"/>
      <c r="AD184" s="10"/>
      <c r="AE184" s="10"/>
      <c r="AF184" s="10"/>
      <c r="AG184" s="10"/>
      <c r="AH184" s="10"/>
      <c r="AI184" s="10"/>
      <c r="AJ184" s="10"/>
      <c r="AK184" s="10"/>
      <c r="AL184" s="10" t="s">
        <v>45</v>
      </c>
      <c r="AM184" s="10"/>
      <c r="AN184" s="10"/>
      <c r="AO184" s="10"/>
      <c r="AP184" s="10" t="s">
        <v>46</v>
      </c>
      <c r="AQ184" s="10"/>
      <c r="AR184" s="10"/>
      <c r="AS184" s="10"/>
    </row>
    <row r="185" customFormat="false" ht="21.75" hidden="false" customHeight="true" outlineLevel="0" collapsed="false">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row>
    <row r="187" customFormat="false" ht="18.75" hidden="false" customHeight="true" outlineLevel="0" collapsed="false">
      <c r="A187" s="14" t="s">
        <v>287</v>
      </c>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row>
    <row r="188" customFormat="false" ht="15" hidden="false" customHeight="true" outlineLevel="0" collapsed="false">
      <c r="A188" s="8" t="s">
        <v>124</v>
      </c>
      <c r="B188" s="15" t="s">
        <v>41</v>
      </c>
      <c r="C188" s="15"/>
      <c r="D188" s="15"/>
      <c r="E188" s="15"/>
      <c r="G188" s="15" t="s">
        <v>32</v>
      </c>
      <c r="H188" s="15"/>
      <c r="I188" s="15"/>
      <c r="J188" s="15"/>
      <c r="L188" s="5" t="s">
        <v>237</v>
      </c>
    </row>
    <row r="189" customFormat="false" ht="12" hidden="false" customHeight="true" outlineLevel="0" collapsed="false">
      <c r="A189" s="5" t="s">
        <v>64</v>
      </c>
      <c r="F189" s="10" t="s">
        <v>0</v>
      </c>
      <c r="G189" s="10"/>
      <c r="H189" s="10"/>
      <c r="I189" s="10"/>
      <c r="J189" s="10" t="s">
        <v>1</v>
      </c>
      <c r="K189" s="10"/>
      <c r="L189" s="10"/>
      <c r="M189" s="10"/>
      <c r="N189" s="10" t="s">
        <v>2</v>
      </c>
      <c r="O189" s="10"/>
      <c r="P189" s="10"/>
      <c r="Q189" s="10"/>
      <c r="R189" s="10" t="s">
        <v>3</v>
      </c>
      <c r="S189" s="10"/>
      <c r="T189" s="10"/>
      <c r="U189" s="10"/>
      <c r="V189" s="10" t="s">
        <v>4</v>
      </c>
      <c r="W189" s="10"/>
      <c r="X189" s="10"/>
      <c r="Y189" s="10"/>
      <c r="Z189" s="10" t="s">
        <v>5</v>
      </c>
      <c r="AA189" s="10"/>
      <c r="AB189" s="10"/>
      <c r="AC189" s="10"/>
      <c r="AD189" s="10" t="s">
        <v>6</v>
      </c>
      <c r="AE189" s="10"/>
      <c r="AF189" s="10"/>
      <c r="AG189" s="10"/>
      <c r="AH189" s="10" t="s">
        <v>7</v>
      </c>
      <c r="AI189" s="10"/>
      <c r="AJ189" s="10"/>
      <c r="AK189" s="10"/>
      <c r="AL189" s="10" t="s">
        <v>8</v>
      </c>
      <c r="AM189" s="10"/>
      <c r="AN189" s="10"/>
      <c r="AO189" s="10"/>
      <c r="AP189" s="10" t="s">
        <v>9</v>
      </c>
      <c r="AQ189" s="10"/>
      <c r="AR189" s="10"/>
      <c r="AS189" s="10"/>
      <c r="AT189" s="10" t="s">
        <v>10</v>
      </c>
      <c r="AU189" s="10"/>
      <c r="AV189" s="10"/>
      <c r="AW189" s="10"/>
      <c r="AX189" s="10" t="s">
        <v>11</v>
      </c>
      <c r="AY189" s="10"/>
      <c r="AZ189" s="10"/>
      <c r="BA189" s="10"/>
    </row>
    <row r="190" customFormat="false" ht="21.75" hidden="false" customHeight="true" outlineLevel="0" collapsed="false">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row>
    <row r="191" customFormat="false" ht="12" hidden="false" customHeight="true" outlineLevel="0" collapsed="false">
      <c r="A191" s="5" t="s">
        <v>65</v>
      </c>
      <c r="H191" s="10" t="s">
        <v>66</v>
      </c>
      <c r="I191" s="10"/>
      <c r="J191" s="10"/>
      <c r="K191" s="10"/>
      <c r="L191" s="10" t="s">
        <v>67</v>
      </c>
      <c r="M191" s="10"/>
      <c r="N191" s="10"/>
      <c r="O191" s="10"/>
      <c r="P191" s="10" t="s">
        <v>68</v>
      </c>
      <c r="Q191" s="10"/>
      <c r="R191" s="10"/>
      <c r="S191" s="10"/>
      <c r="T191" s="10" t="s">
        <v>69</v>
      </c>
      <c r="U191" s="10"/>
      <c r="V191" s="10"/>
      <c r="W191" s="10"/>
      <c r="X191" s="10" t="s">
        <v>70</v>
      </c>
      <c r="Y191" s="10"/>
      <c r="Z191" s="10"/>
      <c r="AA191" s="10"/>
      <c r="AB191" s="10" t="s">
        <v>71</v>
      </c>
      <c r="AC191" s="10"/>
      <c r="AD191" s="10"/>
      <c r="AE191" s="10"/>
      <c r="AF191" s="10" t="s">
        <v>72</v>
      </c>
      <c r="AG191" s="10"/>
      <c r="AH191" s="10"/>
      <c r="AI191" s="10"/>
      <c r="AJ191" s="10" t="s">
        <v>73</v>
      </c>
      <c r="AK191" s="10"/>
      <c r="AL191" s="10"/>
      <c r="AM191" s="10"/>
      <c r="AN191" s="10" t="s">
        <v>74</v>
      </c>
      <c r="AO191" s="10"/>
      <c r="AP191" s="10"/>
      <c r="AQ191" s="10"/>
      <c r="AR191" s="10" t="s">
        <v>75</v>
      </c>
      <c r="AS191" s="10"/>
      <c r="AT191" s="10"/>
      <c r="AU191" s="10"/>
      <c r="AV191" s="10" t="s">
        <v>22</v>
      </c>
      <c r="AW191" s="10"/>
      <c r="AX191" s="10"/>
      <c r="AY191" s="10"/>
      <c r="AZ191" s="10" t="s">
        <v>23</v>
      </c>
      <c r="BA191" s="10"/>
      <c r="BB191" s="10"/>
      <c r="BC191" s="10"/>
    </row>
    <row r="192" customFormat="false" ht="21.75" hidden="false" customHeight="true" outlineLevel="0" collapsed="false">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row>
    <row r="193" customFormat="false" ht="12" hidden="false" customHeight="true" outlineLevel="0" collapsed="false">
      <c r="A193" s="5" t="s">
        <v>82</v>
      </c>
      <c r="I193" s="10" t="s">
        <v>83</v>
      </c>
      <c r="J193" s="10"/>
      <c r="K193" s="10"/>
      <c r="L193" s="10"/>
      <c r="M193" s="10" t="s">
        <v>84</v>
      </c>
      <c r="N193" s="10"/>
      <c r="O193" s="10"/>
      <c r="P193" s="10"/>
      <c r="Q193" s="10" t="s">
        <v>85</v>
      </c>
      <c r="R193" s="10"/>
      <c r="S193" s="10"/>
      <c r="T193" s="10"/>
      <c r="U193" s="10" t="s">
        <v>86</v>
      </c>
      <c r="V193" s="10"/>
      <c r="W193" s="10"/>
      <c r="X193" s="10"/>
      <c r="Y193" s="10" t="s">
        <v>87</v>
      </c>
      <c r="Z193" s="10"/>
      <c r="AA193" s="10"/>
      <c r="AB193" s="10"/>
      <c r="AC193" s="10" t="s">
        <v>88</v>
      </c>
      <c r="AD193" s="10"/>
      <c r="AE193" s="10"/>
      <c r="AF193" s="10"/>
      <c r="AG193" s="10" t="s">
        <v>89</v>
      </c>
      <c r="AH193" s="10"/>
      <c r="AI193" s="10"/>
      <c r="AJ193" s="10"/>
      <c r="AK193" s="10" t="s">
        <v>90</v>
      </c>
      <c r="AL193" s="10"/>
      <c r="AM193" s="10"/>
      <c r="AN193" s="10"/>
      <c r="AO193" s="10" t="s">
        <v>91</v>
      </c>
      <c r="AP193" s="10"/>
      <c r="AQ193" s="10"/>
      <c r="AR193" s="10"/>
      <c r="AS193" s="10" t="s">
        <v>33</v>
      </c>
      <c r="AT193" s="10"/>
      <c r="AU193" s="10"/>
      <c r="AV193" s="10"/>
      <c r="AW193" s="10" t="s">
        <v>34</v>
      </c>
      <c r="AX193" s="10"/>
      <c r="AY193" s="10"/>
      <c r="AZ193" s="10"/>
    </row>
    <row r="194" customFormat="false" ht="21.75" hidden="false" customHeight="true" outlineLevel="0" collapsed="false">
      <c r="I194" s="11"/>
      <c r="J194" s="11"/>
      <c r="K194" s="11"/>
      <c r="L194" s="11"/>
      <c r="M194" s="11"/>
      <c r="N194" s="11"/>
      <c r="O194" s="11"/>
      <c r="P194" s="11"/>
      <c r="Q194" s="12" t="s">
        <v>288</v>
      </c>
      <c r="R194" s="12"/>
      <c r="S194" s="12"/>
      <c r="T194" s="12"/>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row>
    <row r="195" customFormat="false" ht="12" hidden="false" customHeight="true" outlineLevel="0" collapsed="false">
      <c r="A195" s="5" t="s">
        <v>102</v>
      </c>
      <c r="K195" s="10" t="s">
        <v>103</v>
      </c>
      <c r="L195" s="10"/>
      <c r="M195" s="10"/>
      <c r="N195" s="10"/>
      <c r="O195" s="10" t="s">
        <v>104</v>
      </c>
      <c r="P195" s="10"/>
      <c r="Q195" s="10"/>
      <c r="R195" s="10"/>
      <c r="S195" s="10" t="s">
        <v>105</v>
      </c>
      <c r="T195" s="10"/>
      <c r="U195" s="10"/>
      <c r="V195" s="10"/>
      <c r="W195" s="10" t="s">
        <v>106</v>
      </c>
      <c r="X195" s="10"/>
      <c r="Y195" s="10"/>
      <c r="Z195" s="10"/>
      <c r="AA195" s="10" t="s">
        <v>107</v>
      </c>
      <c r="AB195" s="10"/>
      <c r="AC195" s="10"/>
      <c r="AD195" s="10"/>
      <c r="AE195" s="10" t="s">
        <v>108</v>
      </c>
      <c r="AF195" s="10"/>
      <c r="AG195" s="10"/>
      <c r="AH195" s="10"/>
      <c r="AI195" s="10" t="s">
        <v>109</v>
      </c>
      <c r="AJ195" s="10"/>
      <c r="AK195" s="10"/>
      <c r="AL195" s="10"/>
      <c r="AM195" s="10" t="s">
        <v>42</v>
      </c>
      <c r="AN195" s="10"/>
      <c r="AO195" s="10"/>
      <c r="AP195" s="10"/>
      <c r="AQ195" s="10" t="s">
        <v>43</v>
      </c>
      <c r="AR195" s="10"/>
      <c r="AS195" s="10"/>
      <c r="AT195" s="10"/>
      <c r="AU195" s="10" t="s">
        <v>44</v>
      </c>
      <c r="AV195" s="10"/>
      <c r="AW195" s="10"/>
      <c r="AX195" s="10"/>
    </row>
    <row r="196" customFormat="false" ht="21.75" hidden="false" customHeight="true" outlineLevel="0" collapsed="false">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customFormat="false" ht="12" hidden="false" customHeight="true" outlineLevel="0" collapsed="false">
      <c r="A197" s="5" t="s">
        <v>120</v>
      </c>
      <c r="P197" s="10" t="s">
        <v>48</v>
      </c>
      <c r="Q197" s="10"/>
      <c r="R197" s="10"/>
      <c r="S197" s="10"/>
      <c r="T197" s="10" t="s">
        <v>50</v>
      </c>
      <c r="U197" s="10"/>
      <c r="V197" s="10"/>
      <c r="W197" s="10"/>
      <c r="X197" s="10"/>
      <c r="Y197" s="10"/>
      <c r="Z197" s="10"/>
      <c r="AA197" s="10"/>
      <c r="AB197" s="10"/>
      <c r="AC197" s="10"/>
      <c r="AD197" s="10"/>
      <c r="AE197" s="10"/>
      <c r="AF197" s="10"/>
      <c r="AG197" s="10"/>
      <c r="AH197" s="10"/>
      <c r="AI197" s="10"/>
      <c r="AJ197" s="10"/>
      <c r="AK197" s="10"/>
      <c r="AL197" s="10" t="s">
        <v>45</v>
      </c>
      <c r="AM197" s="10"/>
      <c r="AN197" s="10"/>
      <c r="AO197" s="10"/>
      <c r="AP197" s="10" t="s">
        <v>46</v>
      </c>
      <c r="AQ197" s="10"/>
      <c r="AR197" s="10"/>
      <c r="AS197" s="10"/>
    </row>
    <row r="198" customFormat="false" ht="21.75" hidden="false" customHeight="true" outlineLevel="0" collapsed="false">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row>
    <row r="200" customFormat="false" ht="18.75" hidden="false" customHeight="true" outlineLevel="0" collapsed="false">
      <c r="A200" s="14" t="s">
        <v>289</v>
      </c>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row>
    <row r="201" customFormat="false" ht="15" hidden="false" customHeight="true" outlineLevel="0" collapsed="false">
      <c r="A201" s="8" t="s">
        <v>124</v>
      </c>
      <c r="B201" s="15" t="s">
        <v>38</v>
      </c>
      <c r="C201" s="15"/>
      <c r="D201" s="15"/>
      <c r="E201" s="15"/>
      <c r="G201" s="15" t="s">
        <v>40</v>
      </c>
      <c r="H201" s="15"/>
      <c r="I201" s="15"/>
      <c r="J201" s="15"/>
      <c r="L201" s="5" t="s">
        <v>237</v>
      </c>
    </row>
    <row r="202" customFormat="false" ht="12" hidden="false" customHeight="true" outlineLevel="0" collapsed="false">
      <c r="A202" s="5" t="s">
        <v>64</v>
      </c>
      <c r="F202" s="10" t="s">
        <v>0</v>
      </c>
      <c r="G202" s="10"/>
      <c r="H202" s="10"/>
      <c r="I202" s="10"/>
      <c r="J202" s="10" t="s">
        <v>1</v>
      </c>
      <c r="K202" s="10"/>
      <c r="L202" s="10"/>
      <c r="M202" s="10"/>
      <c r="N202" s="10" t="s">
        <v>2</v>
      </c>
      <c r="O202" s="10"/>
      <c r="P202" s="10"/>
      <c r="Q202" s="10"/>
      <c r="R202" s="10" t="s">
        <v>3</v>
      </c>
      <c r="S202" s="10"/>
      <c r="T202" s="10"/>
      <c r="U202" s="10"/>
      <c r="V202" s="10" t="s">
        <v>4</v>
      </c>
      <c r="W202" s="10"/>
      <c r="X202" s="10"/>
      <c r="Y202" s="10"/>
      <c r="Z202" s="10" t="s">
        <v>5</v>
      </c>
      <c r="AA202" s="10"/>
      <c r="AB202" s="10"/>
      <c r="AC202" s="10"/>
      <c r="AD202" s="10" t="s">
        <v>6</v>
      </c>
      <c r="AE202" s="10"/>
      <c r="AF202" s="10"/>
      <c r="AG202" s="10"/>
      <c r="AH202" s="10" t="s">
        <v>7</v>
      </c>
      <c r="AI202" s="10"/>
      <c r="AJ202" s="10"/>
      <c r="AK202" s="10"/>
      <c r="AL202" s="10" t="s">
        <v>8</v>
      </c>
      <c r="AM202" s="10"/>
      <c r="AN202" s="10"/>
      <c r="AO202" s="10"/>
      <c r="AP202" s="10" t="s">
        <v>9</v>
      </c>
      <c r="AQ202" s="10"/>
      <c r="AR202" s="10"/>
      <c r="AS202" s="10"/>
      <c r="AT202" s="10" t="s">
        <v>10</v>
      </c>
      <c r="AU202" s="10"/>
      <c r="AV202" s="10"/>
      <c r="AW202" s="10"/>
      <c r="AX202" s="10" t="s">
        <v>11</v>
      </c>
      <c r="AY202" s="10"/>
      <c r="AZ202" s="10"/>
      <c r="BA202" s="10"/>
    </row>
    <row r="203" customFormat="false" ht="21.75" hidden="false" customHeight="true" outlineLevel="0" collapsed="false">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row>
    <row r="204" customFormat="false" ht="12" hidden="false" customHeight="true" outlineLevel="0" collapsed="false">
      <c r="A204" s="5" t="s">
        <v>65</v>
      </c>
      <c r="H204" s="10" t="s">
        <v>66</v>
      </c>
      <c r="I204" s="10"/>
      <c r="J204" s="10"/>
      <c r="K204" s="10"/>
      <c r="L204" s="10" t="s">
        <v>67</v>
      </c>
      <c r="M204" s="10"/>
      <c r="N204" s="10"/>
      <c r="O204" s="10"/>
      <c r="P204" s="10" t="s">
        <v>68</v>
      </c>
      <c r="Q204" s="10"/>
      <c r="R204" s="10"/>
      <c r="S204" s="10"/>
      <c r="T204" s="10" t="s">
        <v>69</v>
      </c>
      <c r="U204" s="10"/>
      <c r="V204" s="10"/>
      <c r="W204" s="10"/>
      <c r="X204" s="10" t="s">
        <v>70</v>
      </c>
      <c r="Y204" s="10"/>
      <c r="Z204" s="10"/>
      <c r="AA204" s="10"/>
      <c r="AB204" s="10" t="s">
        <v>71</v>
      </c>
      <c r="AC204" s="10"/>
      <c r="AD204" s="10"/>
      <c r="AE204" s="10"/>
      <c r="AF204" s="10" t="s">
        <v>72</v>
      </c>
      <c r="AG204" s="10"/>
      <c r="AH204" s="10"/>
      <c r="AI204" s="10"/>
      <c r="AJ204" s="10" t="s">
        <v>73</v>
      </c>
      <c r="AK204" s="10"/>
      <c r="AL204" s="10"/>
      <c r="AM204" s="10"/>
      <c r="AN204" s="10" t="s">
        <v>74</v>
      </c>
      <c r="AO204" s="10"/>
      <c r="AP204" s="10"/>
      <c r="AQ204" s="10"/>
      <c r="AR204" s="10" t="s">
        <v>75</v>
      </c>
      <c r="AS204" s="10"/>
      <c r="AT204" s="10"/>
      <c r="AU204" s="10"/>
      <c r="AV204" s="10" t="s">
        <v>22</v>
      </c>
      <c r="AW204" s="10"/>
      <c r="AX204" s="10"/>
      <c r="AY204" s="10"/>
      <c r="AZ204" s="10" t="s">
        <v>23</v>
      </c>
      <c r="BA204" s="10"/>
      <c r="BB204" s="10"/>
      <c r="BC204" s="10"/>
    </row>
    <row r="205" customFormat="false" ht="21.75" hidden="false" customHeight="true" outlineLevel="0" collapsed="false">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row>
    <row r="206" customFormat="false" ht="12" hidden="false" customHeight="true" outlineLevel="0" collapsed="false">
      <c r="A206" s="5" t="s">
        <v>82</v>
      </c>
      <c r="I206" s="10" t="s">
        <v>83</v>
      </c>
      <c r="J206" s="10"/>
      <c r="K206" s="10"/>
      <c r="L206" s="10"/>
      <c r="M206" s="10" t="s">
        <v>84</v>
      </c>
      <c r="N206" s="10"/>
      <c r="O206" s="10"/>
      <c r="P206" s="10"/>
      <c r="Q206" s="10" t="s">
        <v>85</v>
      </c>
      <c r="R206" s="10"/>
      <c r="S206" s="10"/>
      <c r="T206" s="10"/>
      <c r="U206" s="10" t="s">
        <v>86</v>
      </c>
      <c r="V206" s="10"/>
      <c r="W206" s="10"/>
      <c r="X206" s="10"/>
      <c r="Y206" s="10" t="s">
        <v>87</v>
      </c>
      <c r="Z206" s="10"/>
      <c r="AA206" s="10"/>
      <c r="AB206" s="10"/>
      <c r="AC206" s="10" t="s">
        <v>88</v>
      </c>
      <c r="AD206" s="10"/>
      <c r="AE206" s="10"/>
      <c r="AF206" s="10"/>
      <c r="AG206" s="10" t="s">
        <v>89</v>
      </c>
      <c r="AH206" s="10"/>
      <c r="AI206" s="10"/>
      <c r="AJ206" s="10"/>
      <c r="AK206" s="10" t="s">
        <v>90</v>
      </c>
      <c r="AL206" s="10"/>
      <c r="AM206" s="10"/>
      <c r="AN206" s="10"/>
      <c r="AO206" s="10" t="s">
        <v>91</v>
      </c>
      <c r="AP206" s="10"/>
      <c r="AQ206" s="10"/>
      <c r="AR206" s="10"/>
      <c r="AS206" s="10" t="s">
        <v>33</v>
      </c>
      <c r="AT206" s="10"/>
      <c r="AU206" s="10"/>
      <c r="AV206" s="10"/>
      <c r="AW206" s="10" t="s">
        <v>34</v>
      </c>
      <c r="AX206" s="10"/>
      <c r="AY206" s="10"/>
      <c r="AZ206" s="10"/>
    </row>
    <row r="207" customFormat="false" ht="21.75" hidden="false" customHeight="true" outlineLevel="0" collapsed="false">
      <c r="I207" s="11"/>
      <c r="J207" s="11"/>
      <c r="K207" s="11"/>
      <c r="L207" s="11"/>
      <c r="M207" s="11"/>
      <c r="N207" s="11"/>
      <c r="O207" s="11"/>
      <c r="P207" s="11"/>
      <c r="Q207" s="11"/>
      <c r="R207" s="11"/>
      <c r="S207" s="11"/>
      <c r="T207" s="11"/>
      <c r="U207" s="11"/>
      <c r="V207" s="11"/>
      <c r="W207" s="11"/>
      <c r="X207" s="11"/>
      <c r="Y207" s="11"/>
      <c r="Z207" s="11"/>
      <c r="AA207" s="11"/>
      <c r="AB207" s="11"/>
      <c r="AC207" s="12" t="s">
        <v>290</v>
      </c>
      <c r="AD207" s="12"/>
      <c r="AE207" s="12"/>
      <c r="AF207" s="12"/>
      <c r="AG207" s="11"/>
      <c r="AH207" s="11"/>
      <c r="AI207" s="11"/>
      <c r="AJ207" s="11"/>
      <c r="AK207" s="11"/>
      <c r="AL207" s="11"/>
      <c r="AM207" s="11"/>
      <c r="AN207" s="11"/>
      <c r="AO207" s="11"/>
      <c r="AP207" s="11"/>
      <c r="AQ207" s="11"/>
      <c r="AR207" s="11"/>
      <c r="AS207" s="12" t="s">
        <v>291</v>
      </c>
      <c r="AT207" s="12"/>
      <c r="AU207" s="12"/>
      <c r="AV207" s="12"/>
      <c r="AW207" s="11"/>
      <c r="AX207" s="11"/>
      <c r="AY207" s="11"/>
      <c r="AZ207" s="11"/>
    </row>
    <row r="208" customFormat="false" ht="12" hidden="false" customHeight="true" outlineLevel="0" collapsed="false">
      <c r="A208" s="5" t="s">
        <v>102</v>
      </c>
      <c r="K208" s="10" t="s">
        <v>103</v>
      </c>
      <c r="L208" s="10"/>
      <c r="M208" s="10"/>
      <c r="N208" s="10"/>
      <c r="O208" s="10" t="s">
        <v>104</v>
      </c>
      <c r="P208" s="10"/>
      <c r="Q208" s="10"/>
      <c r="R208" s="10"/>
      <c r="S208" s="10" t="s">
        <v>105</v>
      </c>
      <c r="T208" s="10"/>
      <c r="U208" s="10"/>
      <c r="V208" s="10"/>
      <c r="W208" s="10" t="s">
        <v>106</v>
      </c>
      <c r="X208" s="10"/>
      <c r="Y208" s="10"/>
      <c r="Z208" s="10"/>
      <c r="AA208" s="10" t="s">
        <v>107</v>
      </c>
      <c r="AB208" s="10"/>
      <c r="AC208" s="10"/>
      <c r="AD208" s="10"/>
      <c r="AE208" s="10" t="s">
        <v>108</v>
      </c>
      <c r="AF208" s="10"/>
      <c r="AG208" s="10"/>
      <c r="AH208" s="10"/>
      <c r="AI208" s="10" t="s">
        <v>109</v>
      </c>
      <c r="AJ208" s="10"/>
      <c r="AK208" s="10"/>
      <c r="AL208" s="10"/>
      <c r="AM208" s="10" t="s">
        <v>42</v>
      </c>
      <c r="AN208" s="10"/>
      <c r="AO208" s="10"/>
      <c r="AP208" s="10"/>
      <c r="AQ208" s="10" t="s">
        <v>43</v>
      </c>
      <c r="AR208" s="10"/>
      <c r="AS208" s="10"/>
      <c r="AT208" s="10"/>
      <c r="AU208" s="10" t="s">
        <v>44</v>
      </c>
      <c r="AV208" s="10"/>
      <c r="AW208" s="10"/>
      <c r="AX208" s="10"/>
    </row>
    <row r="209" customFormat="false" ht="21.75" hidden="false" customHeight="true" outlineLevel="0" collapsed="false">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customFormat="false" ht="12" hidden="false" customHeight="true" outlineLevel="0" collapsed="false">
      <c r="A210" s="5" t="s">
        <v>120</v>
      </c>
      <c r="P210" s="10" t="s">
        <v>48</v>
      </c>
      <c r="Q210" s="10"/>
      <c r="R210" s="10"/>
      <c r="S210" s="10"/>
      <c r="T210" s="10" t="s">
        <v>50</v>
      </c>
      <c r="U210" s="10"/>
      <c r="V210" s="10"/>
      <c r="W210" s="10"/>
      <c r="X210" s="10"/>
      <c r="Y210" s="10"/>
      <c r="Z210" s="10"/>
      <c r="AA210" s="10"/>
      <c r="AB210" s="10"/>
      <c r="AC210" s="10"/>
      <c r="AD210" s="10"/>
      <c r="AE210" s="10"/>
      <c r="AF210" s="10"/>
      <c r="AG210" s="10"/>
      <c r="AH210" s="10"/>
      <c r="AI210" s="10"/>
      <c r="AJ210" s="10"/>
      <c r="AK210" s="10"/>
      <c r="AL210" s="10" t="s">
        <v>45</v>
      </c>
      <c r="AM210" s="10"/>
      <c r="AN210" s="10"/>
      <c r="AO210" s="10"/>
      <c r="AP210" s="10" t="s">
        <v>46</v>
      </c>
      <c r="AQ210" s="10"/>
      <c r="AR210" s="10"/>
      <c r="AS210" s="10"/>
    </row>
    <row r="211" customFormat="false" ht="21.75" hidden="false" customHeight="true" outlineLevel="0" collapsed="false">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row>
    <row r="213" customFormat="false" ht="18.75" hidden="false" customHeight="true" outlineLevel="0" collapsed="false">
      <c r="A213" s="14" t="s">
        <v>292</v>
      </c>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row>
    <row r="214" customFormat="false" ht="15" hidden="false" customHeight="true" outlineLevel="0" collapsed="false">
      <c r="A214" s="8" t="s">
        <v>124</v>
      </c>
      <c r="B214" s="15" t="s">
        <v>38</v>
      </c>
      <c r="C214" s="15"/>
      <c r="D214" s="15"/>
      <c r="E214" s="15"/>
      <c r="G214" s="15" t="s">
        <v>21</v>
      </c>
      <c r="H214" s="15"/>
      <c r="I214" s="15"/>
      <c r="J214" s="15"/>
      <c r="L214" s="5" t="s">
        <v>237</v>
      </c>
    </row>
    <row r="215" customFormat="false" ht="12" hidden="false" customHeight="true" outlineLevel="0" collapsed="false">
      <c r="A215" s="5" t="s">
        <v>64</v>
      </c>
      <c r="F215" s="10" t="s">
        <v>0</v>
      </c>
      <c r="G215" s="10"/>
      <c r="H215" s="10"/>
      <c r="I215" s="10"/>
      <c r="J215" s="10" t="s">
        <v>1</v>
      </c>
      <c r="K215" s="10"/>
      <c r="L215" s="10"/>
      <c r="M215" s="10"/>
      <c r="N215" s="10" t="s">
        <v>2</v>
      </c>
      <c r="O215" s="10"/>
      <c r="P215" s="10"/>
      <c r="Q215" s="10"/>
      <c r="R215" s="10" t="s">
        <v>3</v>
      </c>
      <c r="S215" s="10"/>
      <c r="T215" s="10"/>
      <c r="U215" s="10"/>
      <c r="V215" s="10" t="s">
        <v>4</v>
      </c>
      <c r="W215" s="10"/>
      <c r="X215" s="10"/>
      <c r="Y215" s="10"/>
      <c r="Z215" s="10" t="s">
        <v>5</v>
      </c>
      <c r="AA215" s="10"/>
      <c r="AB215" s="10"/>
      <c r="AC215" s="10"/>
      <c r="AD215" s="10" t="s">
        <v>6</v>
      </c>
      <c r="AE215" s="10"/>
      <c r="AF215" s="10"/>
      <c r="AG215" s="10"/>
      <c r="AH215" s="10" t="s">
        <v>7</v>
      </c>
      <c r="AI215" s="10"/>
      <c r="AJ215" s="10"/>
      <c r="AK215" s="10"/>
      <c r="AL215" s="10" t="s">
        <v>8</v>
      </c>
      <c r="AM215" s="10"/>
      <c r="AN215" s="10"/>
      <c r="AO215" s="10"/>
      <c r="AP215" s="10" t="s">
        <v>9</v>
      </c>
      <c r="AQ215" s="10"/>
      <c r="AR215" s="10"/>
      <c r="AS215" s="10"/>
      <c r="AT215" s="10" t="s">
        <v>10</v>
      </c>
      <c r="AU215" s="10"/>
      <c r="AV215" s="10"/>
      <c r="AW215" s="10"/>
      <c r="AX215" s="10" t="s">
        <v>11</v>
      </c>
      <c r="AY215" s="10"/>
      <c r="AZ215" s="10"/>
      <c r="BA215" s="10"/>
    </row>
    <row r="216" customFormat="false" ht="21.75" hidden="false" customHeight="true" outlineLevel="0" collapsed="false">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row>
    <row r="217" customFormat="false" ht="12" hidden="false" customHeight="true" outlineLevel="0" collapsed="false">
      <c r="A217" s="5" t="s">
        <v>65</v>
      </c>
      <c r="H217" s="10" t="s">
        <v>66</v>
      </c>
      <c r="I217" s="10"/>
      <c r="J217" s="10"/>
      <c r="K217" s="10"/>
      <c r="L217" s="10" t="s">
        <v>67</v>
      </c>
      <c r="M217" s="10"/>
      <c r="N217" s="10"/>
      <c r="O217" s="10"/>
      <c r="P217" s="10" t="s">
        <v>68</v>
      </c>
      <c r="Q217" s="10"/>
      <c r="R217" s="10"/>
      <c r="S217" s="10"/>
      <c r="T217" s="10" t="s">
        <v>69</v>
      </c>
      <c r="U217" s="10"/>
      <c r="V217" s="10"/>
      <c r="W217" s="10"/>
      <c r="X217" s="10" t="s">
        <v>70</v>
      </c>
      <c r="Y217" s="10"/>
      <c r="Z217" s="10"/>
      <c r="AA217" s="10"/>
      <c r="AB217" s="10" t="s">
        <v>71</v>
      </c>
      <c r="AC217" s="10"/>
      <c r="AD217" s="10"/>
      <c r="AE217" s="10"/>
      <c r="AF217" s="10" t="s">
        <v>72</v>
      </c>
      <c r="AG217" s="10"/>
      <c r="AH217" s="10"/>
      <c r="AI217" s="10"/>
      <c r="AJ217" s="10" t="s">
        <v>73</v>
      </c>
      <c r="AK217" s="10"/>
      <c r="AL217" s="10"/>
      <c r="AM217" s="10"/>
      <c r="AN217" s="10" t="s">
        <v>74</v>
      </c>
      <c r="AO217" s="10"/>
      <c r="AP217" s="10"/>
      <c r="AQ217" s="10"/>
      <c r="AR217" s="10" t="s">
        <v>75</v>
      </c>
      <c r="AS217" s="10"/>
      <c r="AT217" s="10"/>
      <c r="AU217" s="10"/>
      <c r="AV217" s="10" t="s">
        <v>22</v>
      </c>
      <c r="AW217" s="10"/>
      <c r="AX217" s="10"/>
      <c r="AY217" s="10"/>
      <c r="AZ217" s="10" t="s">
        <v>23</v>
      </c>
      <c r="BA217" s="10"/>
      <c r="BB217" s="10"/>
      <c r="BC217" s="10"/>
    </row>
    <row r="218" customFormat="false" ht="21.75" hidden="false" customHeight="true" outlineLevel="0" collapsed="false">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row>
    <row r="219" customFormat="false" ht="12" hidden="false" customHeight="true" outlineLevel="0" collapsed="false">
      <c r="A219" s="5" t="s">
        <v>82</v>
      </c>
      <c r="I219" s="10" t="s">
        <v>83</v>
      </c>
      <c r="J219" s="10"/>
      <c r="K219" s="10"/>
      <c r="L219" s="10"/>
      <c r="M219" s="10" t="s">
        <v>84</v>
      </c>
      <c r="N219" s="10"/>
      <c r="O219" s="10"/>
      <c r="P219" s="10"/>
      <c r="Q219" s="10" t="s">
        <v>85</v>
      </c>
      <c r="R219" s="10"/>
      <c r="S219" s="10"/>
      <c r="T219" s="10"/>
      <c r="U219" s="10" t="s">
        <v>86</v>
      </c>
      <c r="V219" s="10"/>
      <c r="W219" s="10"/>
      <c r="X219" s="10"/>
      <c r="Y219" s="10" t="s">
        <v>87</v>
      </c>
      <c r="Z219" s="10"/>
      <c r="AA219" s="10"/>
      <c r="AB219" s="10"/>
      <c r="AC219" s="10" t="s">
        <v>88</v>
      </c>
      <c r="AD219" s="10"/>
      <c r="AE219" s="10"/>
      <c r="AF219" s="10"/>
      <c r="AG219" s="10" t="s">
        <v>89</v>
      </c>
      <c r="AH219" s="10"/>
      <c r="AI219" s="10"/>
      <c r="AJ219" s="10"/>
      <c r="AK219" s="10" t="s">
        <v>90</v>
      </c>
      <c r="AL219" s="10"/>
      <c r="AM219" s="10"/>
      <c r="AN219" s="10"/>
      <c r="AO219" s="10" t="s">
        <v>91</v>
      </c>
      <c r="AP219" s="10"/>
      <c r="AQ219" s="10"/>
      <c r="AR219" s="10"/>
      <c r="AS219" s="10" t="s">
        <v>33</v>
      </c>
      <c r="AT219" s="10"/>
      <c r="AU219" s="10"/>
      <c r="AV219" s="10"/>
      <c r="AW219" s="10" t="s">
        <v>34</v>
      </c>
      <c r="AX219" s="10"/>
      <c r="AY219" s="10"/>
      <c r="AZ219" s="10"/>
    </row>
    <row r="220" customFormat="false" ht="21.75" hidden="false" customHeight="true" outlineLevel="0" collapsed="false">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2" t="s">
        <v>293</v>
      </c>
      <c r="AT220" s="12"/>
      <c r="AU220" s="12"/>
      <c r="AV220" s="12"/>
      <c r="AW220" s="11"/>
      <c r="AX220" s="11"/>
      <c r="AY220" s="11"/>
      <c r="AZ220" s="11"/>
    </row>
    <row r="221" customFormat="false" ht="12" hidden="false" customHeight="true" outlineLevel="0" collapsed="false">
      <c r="A221" s="5" t="s">
        <v>102</v>
      </c>
      <c r="K221" s="10" t="s">
        <v>103</v>
      </c>
      <c r="L221" s="10"/>
      <c r="M221" s="10"/>
      <c r="N221" s="10"/>
      <c r="O221" s="10" t="s">
        <v>104</v>
      </c>
      <c r="P221" s="10"/>
      <c r="Q221" s="10"/>
      <c r="R221" s="10"/>
      <c r="S221" s="10" t="s">
        <v>105</v>
      </c>
      <c r="T221" s="10"/>
      <c r="U221" s="10"/>
      <c r="V221" s="10"/>
      <c r="W221" s="10" t="s">
        <v>106</v>
      </c>
      <c r="X221" s="10"/>
      <c r="Y221" s="10"/>
      <c r="Z221" s="10"/>
      <c r="AA221" s="10" t="s">
        <v>107</v>
      </c>
      <c r="AB221" s="10"/>
      <c r="AC221" s="10"/>
      <c r="AD221" s="10"/>
      <c r="AE221" s="10" t="s">
        <v>108</v>
      </c>
      <c r="AF221" s="10"/>
      <c r="AG221" s="10"/>
      <c r="AH221" s="10"/>
      <c r="AI221" s="10" t="s">
        <v>109</v>
      </c>
      <c r="AJ221" s="10"/>
      <c r="AK221" s="10"/>
      <c r="AL221" s="10"/>
      <c r="AM221" s="10" t="s">
        <v>42</v>
      </c>
      <c r="AN221" s="10"/>
      <c r="AO221" s="10"/>
      <c r="AP221" s="10"/>
      <c r="AQ221" s="10" t="s">
        <v>43</v>
      </c>
      <c r="AR221" s="10"/>
      <c r="AS221" s="10"/>
      <c r="AT221" s="10"/>
      <c r="AU221" s="10" t="s">
        <v>44</v>
      </c>
      <c r="AV221" s="10"/>
      <c r="AW221" s="10"/>
      <c r="AX221" s="10"/>
    </row>
    <row r="222" customFormat="false" ht="21.75" hidden="false" customHeight="true" outlineLevel="0" collapsed="false">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customFormat="false" ht="12" hidden="false" customHeight="true" outlineLevel="0" collapsed="false">
      <c r="A223" s="5" t="s">
        <v>120</v>
      </c>
      <c r="P223" s="10" t="s">
        <v>48</v>
      </c>
      <c r="Q223" s="10"/>
      <c r="R223" s="10"/>
      <c r="S223" s="10"/>
      <c r="T223" s="10" t="s">
        <v>50</v>
      </c>
      <c r="U223" s="10"/>
      <c r="V223" s="10"/>
      <c r="W223" s="10"/>
      <c r="X223" s="10"/>
      <c r="Y223" s="10"/>
      <c r="Z223" s="10"/>
      <c r="AA223" s="10"/>
      <c r="AB223" s="10"/>
      <c r="AC223" s="10"/>
      <c r="AD223" s="10"/>
      <c r="AE223" s="10"/>
      <c r="AF223" s="10"/>
      <c r="AG223" s="10"/>
      <c r="AH223" s="10"/>
      <c r="AI223" s="10"/>
      <c r="AJ223" s="10"/>
      <c r="AK223" s="10"/>
      <c r="AL223" s="10" t="s">
        <v>45</v>
      </c>
      <c r="AM223" s="10"/>
      <c r="AN223" s="10"/>
      <c r="AO223" s="10"/>
      <c r="AP223" s="10" t="s">
        <v>46</v>
      </c>
      <c r="AQ223" s="10"/>
      <c r="AR223" s="10"/>
      <c r="AS223" s="10"/>
    </row>
    <row r="224" customFormat="false" ht="21.75" hidden="false" customHeight="true" outlineLevel="0" collapsed="false">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row>
    <row r="226" customFormat="false" ht="18.75" hidden="false" customHeight="true" outlineLevel="0" collapsed="false">
      <c r="A226" s="14" t="s">
        <v>294</v>
      </c>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row>
    <row r="227" customFormat="false" ht="15" hidden="false" customHeight="true" outlineLevel="0" collapsed="false">
      <c r="A227" s="8" t="s">
        <v>124</v>
      </c>
      <c r="B227" s="15" t="s">
        <v>30</v>
      </c>
      <c r="C227" s="15"/>
      <c r="D227" s="15"/>
      <c r="E227" s="15"/>
      <c r="G227" s="15" t="s">
        <v>20</v>
      </c>
      <c r="H227" s="15"/>
      <c r="I227" s="15"/>
      <c r="J227" s="15"/>
      <c r="L227" s="5" t="s">
        <v>237</v>
      </c>
    </row>
    <row r="228" customFormat="false" ht="12" hidden="false" customHeight="true" outlineLevel="0" collapsed="false">
      <c r="A228" s="5" t="s">
        <v>64</v>
      </c>
      <c r="F228" s="10" t="s">
        <v>0</v>
      </c>
      <c r="G228" s="10"/>
      <c r="H228" s="10"/>
      <c r="I228" s="10"/>
      <c r="J228" s="10" t="s">
        <v>1</v>
      </c>
      <c r="K228" s="10"/>
      <c r="L228" s="10"/>
      <c r="M228" s="10"/>
      <c r="N228" s="10" t="s">
        <v>2</v>
      </c>
      <c r="O228" s="10"/>
      <c r="P228" s="10"/>
      <c r="Q228" s="10"/>
      <c r="R228" s="10" t="s">
        <v>3</v>
      </c>
      <c r="S228" s="10"/>
      <c r="T228" s="10"/>
      <c r="U228" s="10"/>
      <c r="V228" s="10" t="s">
        <v>4</v>
      </c>
      <c r="W228" s="10"/>
      <c r="X228" s="10"/>
      <c r="Y228" s="10"/>
      <c r="Z228" s="10" t="s">
        <v>5</v>
      </c>
      <c r="AA228" s="10"/>
      <c r="AB228" s="10"/>
      <c r="AC228" s="10"/>
      <c r="AD228" s="10" t="s">
        <v>6</v>
      </c>
      <c r="AE228" s="10"/>
      <c r="AF228" s="10"/>
      <c r="AG228" s="10"/>
      <c r="AH228" s="10" t="s">
        <v>7</v>
      </c>
      <c r="AI228" s="10"/>
      <c r="AJ228" s="10"/>
      <c r="AK228" s="10"/>
      <c r="AL228" s="10" t="s">
        <v>8</v>
      </c>
      <c r="AM228" s="10"/>
      <c r="AN228" s="10"/>
      <c r="AO228" s="10"/>
      <c r="AP228" s="10" t="s">
        <v>9</v>
      </c>
      <c r="AQ228" s="10"/>
      <c r="AR228" s="10"/>
      <c r="AS228" s="10"/>
      <c r="AT228" s="10" t="s">
        <v>10</v>
      </c>
      <c r="AU228" s="10"/>
      <c r="AV228" s="10"/>
      <c r="AW228" s="10"/>
      <c r="AX228" s="10" t="s">
        <v>11</v>
      </c>
      <c r="AY228" s="10"/>
      <c r="AZ228" s="10"/>
      <c r="BA228" s="10"/>
    </row>
    <row r="229" customFormat="false" ht="21.75" hidden="false" customHeight="true" outlineLevel="0" collapsed="false">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row>
    <row r="230" customFormat="false" ht="12" hidden="false" customHeight="true" outlineLevel="0" collapsed="false">
      <c r="A230" s="5" t="s">
        <v>65</v>
      </c>
      <c r="H230" s="10" t="s">
        <v>66</v>
      </c>
      <c r="I230" s="10"/>
      <c r="J230" s="10"/>
      <c r="K230" s="10"/>
      <c r="L230" s="10" t="s">
        <v>67</v>
      </c>
      <c r="M230" s="10"/>
      <c r="N230" s="10"/>
      <c r="O230" s="10"/>
      <c r="P230" s="10" t="s">
        <v>68</v>
      </c>
      <c r="Q230" s="10"/>
      <c r="R230" s="10"/>
      <c r="S230" s="10"/>
      <c r="T230" s="10" t="s">
        <v>69</v>
      </c>
      <c r="U230" s="10"/>
      <c r="V230" s="10"/>
      <c r="W230" s="10"/>
      <c r="X230" s="10" t="s">
        <v>70</v>
      </c>
      <c r="Y230" s="10"/>
      <c r="Z230" s="10"/>
      <c r="AA230" s="10"/>
      <c r="AB230" s="10" t="s">
        <v>71</v>
      </c>
      <c r="AC230" s="10"/>
      <c r="AD230" s="10"/>
      <c r="AE230" s="10"/>
      <c r="AF230" s="10" t="s">
        <v>72</v>
      </c>
      <c r="AG230" s="10"/>
      <c r="AH230" s="10"/>
      <c r="AI230" s="10"/>
      <c r="AJ230" s="10" t="s">
        <v>73</v>
      </c>
      <c r="AK230" s="10"/>
      <c r="AL230" s="10"/>
      <c r="AM230" s="10"/>
      <c r="AN230" s="10" t="s">
        <v>74</v>
      </c>
      <c r="AO230" s="10"/>
      <c r="AP230" s="10"/>
      <c r="AQ230" s="10"/>
      <c r="AR230" s="10" t="s">
        <v>75</v>
      </c>
      <c r="AS230" s="10"/>
      <c r="AT230" s="10"/>
      <c r="AU230" s="10"/>
      <c r="AV230" s="10" t="s">
        <v>22</v>
      </c>
      <c r="AW230" s="10"/>
      <c r="AX230" s="10"/>
      <c r="AY230" s="10"/>
      <c r="AZ230" s="10" t="s">
        <v>23</v>
      </c>
      <c r="BA230" s="10"/>
      <c r="BB230" s="10"/>
      <c r="BC230" s="10"/>
    </row>
    <row r="231" customFormat="false" ht="21.75" hidden="false" customHeight="true" outlineLevel="0" collapsed="false">
      <c r="H231" s="11"/>
      <c r="I231" s="11"/>
      <c r="J231" s="11"/>
      <c r="K231" s="11"/>
      <c r="L231" s="11"/>
      <c r="M231" s="11"/>
      <c r="N231" s="11"/>
      <c r="O231" s="11"/>
      <c r="P231" s="11"/>
      <c r="Q231" s="11"/>
      <c r="R231" s="11"/>
      <c r="S231" s="11"/>
      <c r="T231" s="12" t="s">
        <v>295</v>
      </c>
      <c r="U231" s="12"/>
      <c r="V231" s="12"/>
      <c r="W231" s="12"/>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row>
    <row r="232" customFormat="false" ht="12" hidden="false" customHeight="true" outlineLevel="0" collapsed="false">
      <c r="A232" s="5" t="s">
        <v>82</v>
      </c>
      <c r="I232" s="10" t="s">
        <v>83</v>
      </c>
      <c r="J232" s="10"/>
      <c r="K232" s="10"/>
      <c r="L232" s="10"/>
      <c r="M232" s="10" t="s">
        <v>84</v>
      </c>
      <c r="N232" s="10"/>
      <c r="O232" s="10"/>
      <c r="P232" s="10"/>
      <c r="Q232" s="10" t="s">
        <v>85</v>
      </c>
      <c r="R232" s="10"/>
      <c r="S232" s="10"/>
      <c r="T232" s="10"/>
      <c r="U232" s="10" t="s">
        <v>86</v>
      </c>
      <c r="V232" s="10"/>
      <c r="W232" s="10"/>
      <c r="X232" s="10"/>
      <c r="Y232" s="10" t="s">
        <v>87</v>
      </c>
      <c r="Z232" s="10"/>
      <c r="AA232" s="10"/>
      <c r="AB232" s="10"/>
      <c r="AC232" s="10" t="s">
        <v>88</v>
      </c>
      <c r="AD232" s="10"/>
      <c r="AE232" s="10"/>
      <c r="AF232" s="10"/>
      <c r="AG232" s="10" t="s">
        <v>89</v>
      </c>
      <c r="AH232" s="10"/>
      <c r="AI232" s="10"/>
      <c r="AJ232" s="10"/>
      <c r="AK232" s="10" t="s">
        <v>90</v>
      </c>
      <c r="AL232" s="10"/>
      <c r="AM232" s="10"/>
      <c r="AN232" s="10"/>
      <c r="AO232" s="10" t="s">
        <v>91</v>
      </c>
      <c r="AP232" s="10"/>
      <c r="AQ232" s="10"/>
      <c r="AR232" s="10"/>
      <c r="AS232" s="10" t="s">
        <v>33</v>
      </c>
      <c r="AT232" s="10"/>
      <c r="AU232" s="10"/>
      <c r="AV232" s="10"/>
      <c r="AW232" s="10" t="s">
        <v>34</v>
      </c>
      <c r="AX232" s="10"/>
      <c r="AY232" s="10"/>
      <c r="AZ232" s="10"/>
    </row>
    <row r="233" customFormat="false" ht="21.75" hidden="false" customHeight="true" outlineLevel="0" collapsed="false">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row>
    <row r="234" customFormat="false" ht="12" hidden="false" customHeight="true" outlineLevel="0" collapsed="false">
      <c r="A234" s="5" t="s">
        <v>102</v>
      </c>
      <c r="K234" s="10" t="s">
        <v>103</v>
      </c>
      <c r="L234" s="10"/>
      <c r="M234" s="10"/>
      <c r="N234" s="10"/>
      <c r="O234" s="10" t="s">
        <v>104</v>
      </c>
      <c r="P234" s="10"/>
      <c r="Q234" s="10"/>
      <c r="R234" s="10"/>
      <c r="S234" s="10" t="s">
        <v>105</v>
      </c>
      <c r="T234" s="10"/>
      <c r="U234" s="10"/>
      <c r="V234" s="10"/>
      <c r="W234" s="10" t="s">
        <v>106</v>
      </c>
      <c r="X234" s="10"/>
      <c r="Y234" s="10"/>
      <c r="Z234" s="10"/>
      <c r="AA234" s="10" t="s">
        <v>107</v>
      </c>
      <c r="AB234" s="10"/>
      <c r="AC234" s="10"/>
      <c r="AD234" s="10"/>
      <c r="AE234" s="10" t="s">
        <v>108</v>
      </c>
      <c r="AF234" s="10"/>
      <c r="AG234" s="10"/>
      <c r="AH234" s="10"/>
      <c r="AI234" s="10" t="s">
        <v>109</v>
      </c>
      <c r="AJ234" s="10"/>
      <c r="AK234" s="10"/>
      <c r="AL234" s="10"/>
      <c r="AM234" s="10" t="s">
        <v>42</v>
      </c>
      <c r="AN234" s="10"/>
      <c r="AO234" s="10"/>
      <c r="AP234" s="10"/>
      <c r="AQ234" s="10" t="s">
        <v>43</v>
      </c>
      <c r="AR234" s="10"/>
      <c r="AS234" s="10"/>
      <c r="AT234" s="10"/>
      <c r="AU234" s="10" t="s">
        <v>44</v>
      </c>
      <c r="AV234" s="10"/>
      <c r="AW234" s="10"/>
      <c r="AX234" s="10"/>
    </row>
    <row r="235" customFormat="false" ht="21.75" hidden="false" customHeight="true" outlineLevel="0" collapsed="false">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customFormat="false" ht="12" hidden="false" customHeight="true" outlineLevel="0" collapsed="false">
      <c r="A236" s="5" t="s">
        <v>120</v>
      </c>
      <c r="P236" s="10" t="s">
        <v>48</v>
      </c>
      <c r="Q236" s="10"/>
      <c r="R236" s="10"/>
      <c r="S236" s="10"/>
      <c r="T236" s="10" t="s">
        <v>50</v>
      </c>
      <c r="U236" s="10"/>
      <c r="V236" s="10"/>
      <c r="W236" s="10"/>
      <c r="X236" s="10"/>
      <c r="Y236" s="10"/>
      <c r="Z236" s="10"/>
      <c r="AA236" s="10"/>
      <c r="AB236" s="10"/>
      <c r="AC236" s="10"/>
      <c r="AD236" s="10"/>
      <c r="AE236" s="10"/>
      <c r="AF236" s="10"/>
      <c r="AG236" s="10"/>
      <c r="AH236" s="10"/>
      <c r="AI236" s="10"/>
      <c r="AJ236" s="10"/>
      <c r="AK236" s="10"/>
      <c r="AL236" s="10" t="s">
        <v>45</v>
      </c>
      <c r="AM236" s="10"/>
      <c r="AN236" s="10"/>
      <c r="AO236" s="10"/>
      <c r="AP236" s="10" t="s">
        <v>46</v>
      </c>
      <c r="AQ236" s="10"/>
      <c r="AR236" s="10"/>
      <c r="AS236" s="10"/>
    </row>
    <row r="237" customFormat="false" ht="21.75" hidden="false" customHeight="true" outlineLevel="0" collapsed="false">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row>
    <row r="239" customFormat="false" ht="18.75" hidden="false" customHeight="true" outlineLevel="0" collapsed="false">
      <c r="A239" s="14" t="s">
        <v>296</v>
      </c>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row>
    <row r="240" customFormat="false" ht="15" hidden="false" customHeight="true" outlineLevel="0" collapsed="false">
      <c r="A240" s="8" t="s">
        <v>124</v>
      </c>
      <c r="B240" s="15" t="s">
        <v>30</v>
      </c>
      <c r="C240" s="15"/>
      <c r="D240" s="15"/>
      <c r="E240" s="15"/>
      <c r="G240" s="15" t="s">
        <v>31</v>
      </c>
      <c r="H240" s="15"/>
      <c r="I240" s="15"/>
      <c r="J240" s="15"/>
      <c r="L240" s="5" t="s">
        <v>237</v>
      </c>
    </row>
    <row r="241" customFormat="false" ht="12" hidden="false" customHeight="true" outlineLevel="0" collapsed="false">
      <c r="A241" s="5" t="s">
        <v>64</v>
      </c>
      <c r="F241" s="10" t="s">
        <v>0</v>
      </c>
      <c r="G241" s="10"/>
      <c r="H241" s="10"/>
      <c r="I241" s="10"/>
      <c r="J241" s="10" t="s">
        <v>1</v>
      </c>
      <c r="K241" s="10"/>
      <c r="L241" s="10"/>
      <c r="M241" s="10"/>
      <c r="N241" s="10" t="s">
        <v>2</v>
      </c>
      <c r="O241" s="10"/>
      <c r="P241" s="10"/>
      <c r="Q241" s="10"/>
      <c r="R241" s="10" t="s">
        <v>3</v>
      </c>
      <c r="S241" s="10"/>
      <c r="T241" s="10"/>
      <c r="U241" s="10"/>
      <c r="V241" s="10" t="s">
        <v>4</v>
      </c>
      <c r="W241" s="10"/>
      <c r="X241" s="10"/>
      <c r="Y241" s="10"/>
      <c r="Z241" s="10" t="s">
        <v>5</v>
      </c>
      <c r="AA241" s="10"/>
      <c r="AB241" s="10"/>
      <c r="AC241" s="10"/>
      <c r="AD241" s="10" t="s">
        <v>6</v>
      </c>
      <c r="AE241" s="10"/>
      <c r="AF241" s="10"/>
      <c r="AG241" s="10"/>
      <c r="AH241" s="10" t="s">
        <v>7</v>
      </c>
      <c r="AI241" s="10"/>
      <c r="AJ241" s="10"/>
      <c r="AK241" s="10"/>
      <c r="AL241" s="10" t="s">
        <v>8</v>
      </c>
      <c r="AM241" s="10"/>
      <c r="AN241" s="10"/>
      <c r="AO241" s="10"/>
      <c r="AP241" s="10" t="s">
        <v>9</v>
      </c>
      <c r="AQ241" s="10"/>
      <c r="AR241" s="10"/>
      <c r="AS241" s="10"/>
      <c r="AT241" s="10" t="s">
        <v>10</v>
      </c>
      <c r="AU241" s="10"/>
      <c r="AV241" s="10"/>
      <c r="AW241" s="10"/>
      <c r="AX241" s="10" t="s">
        <v>11</v>
      </c>
      <c r="AY241" s="10"/>
      <c r="AZ241" s="10"/>
      <c r="BA241" s="10"/>
    </row>
    <row r="242" customFormat="false" ht="21.75" hidden="false" customHeight="true" outlineLevel="0" collapsed="false">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row>
    <row r="243" customFormat="false" ht="12" hidden="false" customHeight="true" outlineLevel="0" collapsed="false">
      <c r="A243" s="5" t="s">
        <v>65</v>
      </c>
      <c r="H243" s="10" t="s">
        <v>66</v>
      </c>
      <c r="I243" s="10"/>
      <c r="J243" s="10"/>
      <c r="K243" s="10"/>
      <c r="L243" s="10" t="s">
        <v>67</v>
      </c>
      <c r="M243" s="10"/>
      <c r="N243" s="10"/>
      <c r="O243" s="10"/>
      <c r="P243" s="10" t="s">
        <v>68</v>
      </c>
      <c r="Q243" s="10"/>
      <c r="R243" s="10"/>
      <c r="S243" s="10"/>
      <c r="T243" s="10" t="s">
        <v>69</v>
      </c>
      <c r="U243" s="10"/>
      <c r="V243" s="10"/>
      <c r="W243" s="10"/>
      <c r="X243" s="10" t="s">
        <v>70</v>
      </c>
      <c r="Y243" s="10"/>
      <c r="Z243" s="10"/>
      <c r="AA243" s="10"/>
      <c r="AB243" s="10" t="s">
        <v>71</v>
      </c>
      <c r="AC243" s="10"/>
      <c r="AD243" s="10"/>
      <c r="AE243" s="10"/>
      <c r="AF243" s="10" t="s">
        <v>72</v>
      </c>
      <c r="AG243" s="10"/>
      <c r="AH243" s="10"/>
      <c r="AI243" s="10"/>
      <c r="AJ243" s="10" t="s">
        <v>73</v>
      </c>
      <c r="AK243" s="10"/>
      <c r="AL243" s="10"/>
      <c r="AM243" s="10"/>
      <c r="AN243" s="10" t="s">
        <v>74</v>
      </c>
      <c r="AO243" s="10"/>
      <c r="AP243" s="10"/>
      <c r="AQ243" s="10"/>
      <c r="AR243" s="10" t="s">
        <v>75</v>
      </c>
      <c r="AS243" s="10"/>
      <c r="AT243" s="10"/>
      <c r="AU243" s="10"/>
      <c r="AV243" s="10" t="s">
        <v>22</v>
      </c>
      <c r="AW243" s="10"/>
      <c r="AX243" s="10"/>
      <c r="AY243" s="10"/>
      <c r="AZ243" s="10" t="s">
        <v>23</v>
      </c>
      <c r="BA243" s="10"/>
      <c r="BB243" s="10"/>
      <c r="BC243" s="10"/>
    </row>
    <row r="244" customFormat="false" ht="21.75" hidden="false" customHeight="true" outlineLevel="0" collapsed="false">
      <c r="H244" s="11"/>
      <c r="I244" s="11"/>
      <c r="J244" s="11"/>
      <c r="K244" s="11"/>
      <c r="L244" s="11"/>
      <c r="M244" s="11"/>
      <c r="N244" s="11"/>
      <c r="O244" s="11"/>
      <c r="P244" s="12" t="s">
        <v>297</v>
      </c>
      <c r="Q244" s="12"/>
      <c r="R244" s="12"/>
      <c r="S244" s="12"/>
      <c r="T244" s="11"/>
      <c r="U244" s="11"/>
      <c r="V244" s="11"/>
      <c r="W244" s="11"/>
      <c r="X244" s="16" t="s">
        <v>298</v>
      </c>
      <c r="Y244" s="16"/>
      <c r="Z244" s="16"/>
      <c r="AA244" s="16"/>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row>
    <row r="245" customFormat="false" ht="12" hidden="false" customHeight="true" outlineLevel="0" collapsed="false">
      <c r="A245" s="5" t="s">
        <v>82</v>
      </c>
      <c r="I245" s="10" t="s">
        <v>83</v>
      </c>
      <c r="J245" s="10"/>
      <c r="K245" s="10"/>
      <c r="L245" s="10"/>
      <c r="M245" s="10" t="s">
        <v>84</v>
      </c>
      <c r="N245" s="10"/>
      <c r="O245" s="10"/>
      <c r="P245" s="10"/>
      <c r="Q245" s="10" t="s">
        <v>85</v>
      </c>
      <c r="R245" s="10"/>
      <c r="S245" s="10"/>
      <c r="T245" s="10"/>
      <c r="U245" s="10" t="s">
        <v>86</v>
      </c>
      <c r="V245" s="10"/>
      <c r="W245" s="10"/>
      <c r="X245" s="10"/>
      <c r="Y245" s="10" t="s">
        <v>87</v>
      </c>
      <c r="Z245" s="10"/>
      <c r="AA245" s="10"/>
      <c r="AB245" s="10"/>
      <c r="AC245" s="10" t="s">
        <v>88</v>
      </c>
      <c r="AD245" s="10"/>
      <c r="AE245" s="10"/>
      <c r="AF245" s="10"/>
      <c r="AG245" s="10" t="s">
        <v>89</v>
      </c>
      <c r="AH245" s="10"/>
      <c r="AI245" s="10"/>
      <c r="AJ245" s="10"/>
      <c r="AK245" s="10" t="s">
        <v>90</v>
      </c>
      <c r="AL245" s="10"/>
      <c r="AM245" s="10"/>
      <c r="AN245" s="10"/>
      <c r="AO245" s="10" t="s">
        <v>91</v>
      </c>
      <c r="AP245" s="10"/>
      <c r="AQ245" s="10"/>
      <c r="AR245" s="10"/>
      <c r="AS245" s="10" t="s">
        <v>33</v>
      </c>
      <c r="AT245" s="10"/>
      <c r="AU245" s="10"/>
      <c r="AV245" s="10"/>
      <c r="AW245" s="10" t="s">
        <v>34</v>
      </c>
      <c r="AX245" s="10"/>
      <c r="AY245" s="10"/>
      <c r="AZ245" s="10"/>
    </row>
    <row r="246" customFormat="false" ht="21.75" hidden="false" customHeight="true" outlineLevel="0" collapsed="false">
      <c r="I246" s="11"/>
      <c r="J246" s="11"/>
      <c r="K246" s="11"/>
      <c r="L246" s="11"/>
      <c r="M246" s="11"/>
      <c r="N246" s="11"/>
      <c r="O246" s="11"/>
      <c r="P246" s="11"/>
      <c r="Q246" s="16" t="s">
        <v>299</v>
      </c>
      <c r="R246" s="16"/>
      <c r="S246" s="16"/>
      <c r="T246" s="16"/>
      <c r="U246" s="16" t="s">
        <v>300</v>
      </c>
      <c r="V246" s="16"/>
      <c r="W246" s="16"/>
      <c r="X246" s="16"/>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row>
    <row r="247" customFormat="false" ht="12" hidden="false" customHeight="true" outlineLevel="0" collapsed="false">
      <c r="A247" s="5" t="s">
        <v>102</v>
      </c>
      <c r="K247" s="10" t="s">
        <v>103</v>
      </c>
      <c r="L247" s="10"/>
      <c r="M247" s="10"/>
      <c r="N247" s="10"/>
      <c r="O247" s="10" t="s">
        <v>104</v>
      </c>
      <c r="P247" s="10"/>
      <c r="Q247" s="10"/>
      <c r="R247" s="10"/>
      <c r="S247" s="10" t="s">
        <v>105</v>
      </c>
      <c r="T247" s="10"/>
      <c r="U247" s="10"/>
      <c r="V247" s="10"/>
      <c r="W247" s="10" t="s">
        <v>106</v>
      </c>
      <c r="X247" s="10"/>
      <c r="Y247" s="10"/>
      <c r="Z247" s="10"/>
      <c r="AA247" s="10" t="s">
        <v>107</v>
      </c>
      <c r="AB247" s="10"/>
      <c r="AC247" s="10"/>
      <c r="AD247" s="10"/>
      <c r="AE247" s="10" t="s">
        <v>108</v>
      </c>
      <c r="AF247" s="10"/>
      <c r="AG247" s="10"/>
      <c r="AH247" s="10"/>
      <c r="AI247" s="10" t="s">
        <v>109</v>
      </c>
      <c r="AJ247" s="10"/>
      <c r="AK247" s="10"/>
      <c r="AL247" s="10"/>
      <c r="AM247" s="10" t="s">
        <v>42</v>
      </c>
      <c r="AN247" s="10"/>
      <c r="AO247" s="10"/>
      <c r="AP247" s="10"/>
      <c r="AQ247" s="10" t="s">
        <v>43</v>
      </c>
      <c r="AR247" s="10"/>
      <c r="AS247" s="10"/>
      <c r="AT247" s="10"/>
      <c r="AU247" s="10" t="s">
        <v>44</v>
      </c>
      <c r="AV247" s="10"/>
      <c r="AW247" s="10"/>
      <c r="AX247" s="10"/>
    </row>
    <row r="248" customFormat="false" ht="21.75" hidden="false" customHeight="true" outlineLevel="0" collapsed="false">
      <c r="K248" s="11"/>
      <c r="L248" s="11"/>
      <c r="M248" s="11"/>
      <c r="N248" s="11"/>
      <c r="O248" s="11"/>
      <c r="P248" s="11"/>
      <c r="Q248" s="11"/>
      <c r="R248" s="11"/>
      <c r="S248" s="16" t="s">
        <v>301</v>
      </c>
      <c r="T248" s="16"/>
      <c r="U248" s="16"/>
      <c r="V248" s="16"/>
      <c r="W248" s="16" t="s">
        <v>302</v>
      </c>
      <c r="X248" s="16"/>
      <c r="Y248" s="16"/>
      <c r="Z248" s="16"/>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customFormat="false" ht="12" hidden="false" customHeight="true" outlineLevel="0" collapsed="false">
      <c r="A249" s="5" t="s">
        <v>120</v>
      </c>
      <c r="P249" s="10" t="s">
        <v>48</v>
      </c>
      <c r="Q249" s="10"/>
      <c r="R249" s="10"/>
      <c r="S249" s="10"/>
      <c r="T249" s="10" t="s">
        <v>50</v>
      </c>
      <c r="U249" s="10"/>
      <c r="V249" s="10"/>
      <c r="W249" s="10"/>
      <c r="X249" s="10"/>
      <c r="Y249" s="10"/>
      <c r="Z249" s="10"/>
      <c r="AA249" s="10"/>
      <c r="AB249" s="10"/>
      <c r="AC249" s="10"/>
      <c r="AD249" s="10"/>
      <c r="AE249" s="10"/>
      <c r="AF249" s="10"/>
      <c r="AG249" s="10"/>
      <c r="AH249" s="10"/>
      <c r="AI249" s="10"/>
      <c r="AJ249" s="10"/>
      <c r="AK249" s="10"/>
      <c r="AL249" s="10" t="s">
        <v>45</v>
      </c>
      <c r="AM249" s="10"/>
      <c r="AN249" s="10"/>
      <c r="AO249" s="10"/>
      <c r="AP249" s="10" t="s">
        <v>46</v>
      </c>
      <c r="AQ249" s="10"/>
      <c r="AR249" s="10"/>
      <c r="AS249" s="10"/>
    </row>
    <row r="250" customFormat="false" ht="21.75" hidden="false" customHeight="true" outlineLevel="0" collapsed="false">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row>
    <row r="252" customFormat="false" ht="18.75" hidden="false" customHeight="true" outlineLevel="0" collapsed="false">
      <c r="A252" s="14" t="s">
        <v>303</v>
      </c>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row>
    <row r="253" customFormat="false" ht="15" hidden="false" customHeight="true" outlineLevel="0" collapsed="false">
      <c r="A253" s="8" t="s">
        <v>124</v>
      </c>
      <c r="B253" s="15" t="s">
        <v>30</v>
      </c>
      <c r="C253" s="15"/>
      <c r="D253" s="15"/>
      <c r="E253" s="15"/>
      <c r="G253" s="15" t="s">
        <v>21</v>
      </c>
      <c r="H253" s="15"/>
      <c r="I253" s="15"/>
      <c r="J253" s="15"/>
      <c r="L253" s="5" t="s">
        <v>237</v>
      </c>
    </row>
    <row r="254" customFormat="false" ht="12" hidden="false" customHeight="true" outlineLevel="0" collapsed="false">
      <c r="A254" s="5" t="s">
        <v>64</v>
      </c>
      <c r="F254" s="10" t="s">
        <v>0</v>
      </c>
      <c r="G254" s="10"/>
      <c r="H254" s="10"/>
      <c r="I254" s="10"/>
      <c r="J254" s="10" t="s">
        <v>1</v>
      </c>
      <c r="K254" s="10"/>
      <c r="L254" s="10"/>
      <c r="M254" s="10"/>
      <c r="N254" s="10" t="s">
        <v>2</v>
      </c>
      <c r="O254" s="10"/>
      <c r="P254" s="10"/>
      <c r="Q254" s="10"/>
      <c r="R254" s="10" t="s">
        <v>3</v>
      </c>
      <c r="S254" s="10"/>
      <c r="T254" s="10"/>
      <c r="U254" s="10"/>
      <c r="V254" s="10" t="s">
        <v>4</v>
      </c>
      <c r="W254" s="10"/>
      <c r="X254" s="10"/>
      <c r="Y254" s="10"/>
      <c r="Z254" s="10" t="s">
        <v>5</v>
      </c>
      <c r="AA254" s="10"/>
      <c r="AB254" s="10"/>
      <c r="AC254" s="10"/>
      <c r="AD254" s="10" t="s">
        <v>6</v>
      </c>
      <c r="AE254" s="10"/>
      <c r="AF254" s="10"/>
      <c r="AG254" s="10"/>
      <c r="AH254" s="10" t="s">
        <v>7</v>
      </c>
      <c r="AI254" s="10"/>
      <c r="AJ254" s="10"/>
      <c r="AK254" s="10"/>
      <c r="AL254" s="10" t="s">
        <v>8</v>
      </c>
      <c r="AM254" s="10"/>
      <c r="AN254" s="10"/>
      <c r="AO254" s="10"/>
      <c r="AP254" s="10" t="s">
        <v>9</v>
      </c>
      <c r="AQ254" s="10"/>
      <c r="AR254" s="10"/>
      <c r="AS254" s="10"/>
      <c r="AT254" s="10" t="s">
        <v>10</v>
      </c>
      <c r="AU254" s="10"/>
      <c r="AV254" s="10"/>
      <c r="AW254" s="10"/>
      <c r="AX254" s="10" t="s">
        <v>11</v>
      </c>
      <c r="AY254" s="10"/>
      <c r="AZ254" s="10"/>
      <c r="BA254" s="10"/>
    </row>
    <row r="255" customFormat="false" ht="21.75" hidden="false" customHeight="true" outlineLevel="0" collapsed="false">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row>
    <row r="256" customFormat="false" ht="12" hidden="false" customHeight="true" outlineLevel="0" collapsed="false">
      <c r="A256" s="5" t="s">
        <v>65</v>
      </c>
      <c r="H256" s="10" t="s">
        <v>66</v>
      </c>
      <c r="I256" s="10"/>
      <c r="J256" s="10"/>
      <c r="K256" s="10"/>
      <c r="L256" s="10" t="s">
        <v>67</v>
      </c>
      <c r="M256" s="10"/>
      <c r="N256" s="10"/>
      <c r="O256" s="10"/>
      <c r="P256" s="10" t="s">
        <v>68</v>
      </c>
      <c r="Q256" s="10"/>
      <c r="R256" s="10"/>
      <c r="S256" s="10"/>
      <c r="T256" s="10" t="s">
        <v>69</v>
      </c>
      <c r="U256" s="10"/>
      <c r="V256" s="10"/>
      <c r="W256" s="10"/>
      <c r="X256" s="10" t="s">
        <v>70</v>
      </c>
      <c r="Y256" s="10"/>
      <c r="Z256" s="10"/>
      <c r="AA256" s="10"/>
      <c r="AB256" s="10" t="s">
        <v>71</v>
      </c>
      <c r="AC256" s="10"/>
      <c r="AD256" s="10"/>
      <c r="AE256" s="10"/>
      <c r="AF256" s="10" t="s">
        <v>72</v>
      </c>
      <c r="AG256" s="10"/>
      <c r="AH256" s="10"/>
      <c r="AI256" s="10"/>
      <c r="AJ256" s="10" t="s">
        <v>73</v>
      </c>
      <c r="AK256" s="10"/>
      <c r="AL256" s="10"/>
      <c r="AM256" s="10"/>
      <c r="AN256" s="10" t="s">
        <v>74</v>
      </c>
      <c r="AO256" s="10"/>
      <c r="AP256" s="10"/>
      <c r="AQ256" s="10"/>
      <c r="AR256" s="10" t="s">
        <v>75</v>
      </c>
      <c r="AS256" s="10"/>
      <c r="AT256" s="10"/>
      <c r="AU256" s="10"/>
      <c r="AV256" s="10" t="s">
        <v>22</v>
      </c>
      <c r="AW256" s="10"/>
      <c r="AX256" s="10"/>
      <c r="AY256" s="10"/>
      <c r="AZ256" s="10" t="s">
        <v>23</v>
      </c>
      <c r="BA256" s="10"/>
      <c r="BB256" s="10"/>
      <c r="BC256" s="10"/>
    </row>
    <row r="257" customFormat="false" ht="21.75" hidden="false" customHeight="true" outlineLevel="0" collapsed="false">
      <c r="H257" s="11"/>
      <c r="I257" s="11"/>
      <c r="J257" s="11"/>
      <c r="K257" s="11"/>
      <c r="L257" s="11"/>
      <c r="M257" s="11"/>
      <c r="N257" s="11"/>
      <c r="O257" s="11"/>
      <c r="P257" s="12" t="s">
        <v>304</v>
      </c>
      <c r="Q257" s="12"/>
      <c r="R257" s="12"/>
      <c r="S257" s="12"/>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row>
    <row r="258" customFormat="false" ht="12" hidden="false" customHeight="true" outlineLevel="0" collapsed="false">
      <c r="A258" s="5" t="s">
        <v>82</v>
      </c>
      <c r="I258" s="10" t="s">
        <v>83</v>
      </c>
      <c r="J258" s="10"/>
      <c r="K258" s="10"/>
      <c r="L258" s="10"/>
      <c r="M258" s="10" t="s">
        <v>84</v>
      </c>
      <c r="N258" s="10"/>
      <c r="O258" s="10"/>
      <c r="P258" s="10"/>
      <c r="Q258" s="10" t="s">
        <v>85</v>
      </c>
      <c r="R258" s="10"/>
      <c r="S258" s="10"/>
      <c r="T258" s="10"/>
      <c r="U258" s="10" t="s">
        <v>86</v>
      </c>
      <c r="V258" s="10"/>
      <c r="W258" s="10"/>
      <c r="X258" s="10"/>
      <c r="Y258" s="10" t="s">
        <v>87</v>
      </c>
      <c r="Z258" s="10"/>
      <c r="AA258" s="10"/>
      <c r="AB258" s="10"/>
      <c r="AC258" s="10" t="s">
        <v>88</v>
      </c>
      <c r="AD258" s="10"/>
      <c r="AE258" s="10"/>
      <c r="AF258" s="10"/>
      <c r="AG258" s="10" t="s">
        <v>89</v>
      </c>
      <c r="AH258" s="10"/>
      <c r="AI258" s="10"/>
      <c r="AJ258" s="10"/>
      <c r="AK258" s="10" t="s">
        <v>90</v>
      </c>
      <c r="AL258" s="10"/>
      <c r="AM258" s="10"/>
      <c r="AN258" s="10"/>
      <c r="AO258" s="10" t="s">
        <v>91</v>
      </c>
      <c r="AP258" s="10"/>
      <c r="AQ258" s="10"/>
      <c r="AR258" s="10"/>
      <c r="AS258" s="10" t="s">
        <v>33</v>
      </c>
      <c r="AT258" s="10"/>
      <c r="AU258" s="10"/>
      <c r="AV258" s="10"/>
      <c r="AW258" s="10" t="s">
        <v>34</v>
      </c>
      <c r="AX258" s="10"/>
      <c r="AY258" s="10"/>
      <c r="AZ258" s="10"/>
    </row>
    <row r="259" customFormat="false" ht="21.75" hidden="false" customHeight="true" outlineLevel="0" collapsed="false">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row>
    <row r="260" customFormat="false" ht="12" hidden="false" customHeight="true" outlineLevel="0" collapsed="false">
      <c r="A260" s="5" t="s">
        <v>102</v>
      </c>
      <c r="K260" s="10" t="s">
        <v>103</v>
      </c>
      <c r="L260" s="10"/>
      <c r="M260" s="10"/>
      <c r="N260" s="10"/>
      <c r="O260" s="10" t="s">
        <v>104</v>
      </c>
      <c r="P260" s="10"/>
      <c r="Q260" s="10"/>
      <c r="R260" s="10"/>
      <c r="S260" s="10" t="s">
        <v>105</v>
      </c>
      <c r="T260" s="10"/>
      <c r="U260" s="10"/>
      <c r="V260" s="10"/>
      <c r="W260" s="10" t="s">
        <v>106</v>
      </c>
      <c r="X260" s="10"/>
      <c r="Y260" s="10"/>
      <c r="Z260" s="10"/>
      <c r="AA260" s="10" t="s">
        <v>107</v>
      </c>
      <c r="AB260" s="10"/>
      <c r="AC260" s="10"/>
      <c r="AD260" s="10"/>
      <c r="AE260" s="10" t="s">
        <v>108</v>
      </c>
      <c r="AF260" s="10"/>
      <c r="AG260" s="10"/>
      <c r="AH260" s="10"/>
      <c r="AI260" s="10" t="s">
        <v>109</v>
      </c>
      <c r="AJ260" s="10"/>
      <c r="AK260" s="10"/>
      <c r="AL260" s="10"/>
      <c r="AM260" s="10" t="s">
        <v>42</v>
      </c>
      <c r="AN260" s="10"/>
      <c r="AO260" s="10"/>
      <c r="AP260" s="10"/>
      <c r="AQ260" s="10" t="s">
        <v>43</v>
      </c>
      <c r="AR260" s="10"/>
      <c r="AS260" s="10"/>
      <c r="AT260" s="10"/>
      <c r="AU260" s="10" t="s">
        <v>44</v>
      </c>
      <c r="AV260" s="10"/>
      <c r="AW260" s="10"/>
      <c r="AX260" s="10"/>
    </row>
    <row r="261" customFormat="false" ht="21.75" hidden="false" customHeight="true" outlineLevel="0" collapsed="false">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customFormat="false" ht="12" hidden="false" customHeight="true" outlineLevel="0" collapsed="false">
      <c r="A262" s="5" t="s">
        <v>120</v>
      </c>
      <c r="P262" s="10" t="s">
        <v>48</v>
      </c>
      <c r="Q262" s="10"/>
      <c r="R262" s="10"/>
      <c r="S262" s="10"/>
      <c r="T262" s="10" t="s">
        <v>50</v>
      </c>
      <c r="U262" s="10"/>
      <c r="V262" s="10"/>
      <c r="W262" s="10"/>
      <c r="X262" s="10"/>
      <c r="Y262" s="10"/>
      <c r="Z262" s="10"/>
      <c r="AA262" s="10"/>
      <c r="AB262" s="10"/>
      <c r="AC262" s="10"/>
      <c r="AD262" s="10"/>
      <c r="AE262" s="10"/>
      <c r="AF262" s="10"/>
      <c r="AG262" s="10"/>
      <c r="AH262" s="10"/>
      <c r="AI262" s="10"/>
      <c r="AJ262" s="10"/>
      <c r="AK262" s="10"/>
      <c r="AL262" s="10" t="s">
        <v>45</v>
      </c>
      <c r="AM262" s="10"/>
      <c r="AN262" s="10"/>
      <c r="AO262" s="10"/>
      <c r="AP262" s="10" t="s">
        <v>46</v>
      </c>
      <c r="AQ262" s="10"/>
      <c r="AR262" s="10"/>
      <c r="AS262" s="10"/>
    </row>
    <row r="263" customFormat="false" ht="21.75" hidden="false" customHeight="true" outlineLevel="0" collapsed="false">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row>
    <row r="265" customFormat="false" ht="18.75" hidden="false" customHeight="true" outlineLevel="0" collapsed="false">
      <c r="A265" s="14" t="s">
        <v>305</v>
      </c>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row>
    <row r="266" customFormat="false" ht="15" hidden="false" customHeight="true" outlineLevel="0" collapsed="false">
      <c r="A266" s="8" t="s">
        <v>124</v>
      </c>
      <c r="B266" s="15" t="s">
        <v>30</v>
      </c>
      <c r="C266" s="15"/>
      <c r="D266" s="15"/>
      <c r="E266" s="15"/>
      <c r="G266" s="15" t="s">
        <v>32</v>
      </c>
      <c r="H266" s="15"/>
      <c r="I266" s="15"/>
      <c r="J266" s="15"/>
      <c r="L266" s="5" t="s">
        <v>237</v>
      </c>
    </row>
    <row r="267" customFormat="false" ht="12" hidden="false" customHeight="true" outlineLevel="0" collapsed="false">
      <c r="A267" s="5" t="s">
        <v>64</v>
      </c>
      <c r="F267" s="10" t="s">
        <v>0</v>
      </c>
      <c r="G267" s="10"/>
      <c r="H267" s="10"/>
      <c r="I267" s="10"/>
      <c r="J267" s="10" t="s">
        <v>1</v>
      </c>
      <c r="K267" s="10"/>
      <c r="L267" s="10"/>
      <c r="M267" s="10"/>
      <c r="N267" s="10" t="s">
        <v>2</v>
      </c>
      <c r="O267" s="10"/>
      <c r="P267" s="10"/>
      <c r="Q267" s="10"/>
      <c r="R267" s="10" t="s">
        <v>3</v>
      </c>
      <c r="S267" s="10"/>
      <c r="T267" s="10"/>
      <c r="U267" s="10"/>
      <c r="V267" s="10" t="s">
        <v>4</v>
      </c>
      <c r="W267" s="10"/>
      <c r="X267" s="10"/>
      <c r="Y267" s="10"/>
      <c r="Z267" s="10" t="s">
        <v>5</v>
      </c>
      <c r="AA267" s="10"/>
      <c r="AB267" s="10"/>
      <c r="AC267" s="10"/>
      <c r="AD267" s="10" t="s">
        <v>6</v>
      </c>
      <c r="AE267" s="10"/>
      <c r="AF267" s="10"/>
      <c r="AG267" s="10"/>
      <c r="AH267" s="10" t="s">
        <v>7</v>
      </c>
      <c r="AI267" s="10"/>
      <c r="AJ267" s="10"/>
      <c r="AK267" s="10"/>
      <c r="AL267" s="10" t="s">
        <v>8</v>
      </c>
      <c r="AM267" s="10"/>
      <c r="AN267" s="10"/>
      <c r="AO267" s="10"/>
      <c r="AP267" s="10" t="s">
        <v>9</v>
      </c>
      <c r="AQ267" s="10"/>
      <c r="AR267" s="10"/>
      <c r="AS267" s="10"/>
      <c r="AT267" s="10" t="s">
        <v>10</v>
      </c>
      <c r="AU267" s="10"/>
      <c r="AV267" s="10"/>
      <c r="AW267" s="10"/>
      <c r="AX267" s="10" t="s">
        <v>11</v>
      </c>
      <c r="AY267" s="10"/>
      <c r="AZ267" s="10"/>
      <c r="BA267" s="10"/>
    </row>
    <row r="268" customFormat="false" ht="21.75" hidden="false" customHeight="true" outlineLevel="0" collapsed="false">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row>
    <row r="269" customFormat="false" ht="12" hidden="false" customHeight="true" outlineLevel="0" collapsed="false">
      <c r="A269" s="5" t="s">
        <v>65</v>
      </c>
      <c r="H269" s="10" t="s">
        <v>66</v>
      </c>
      <c r="I269" s="10"/>
      <c r="J269" s="10"/>
      <c r="K269" s="10"/>
      <c r="L269" s="10" t="s">
        <v>67</v>
      </c>
      <c r="M269" s="10"/>
      <c r="N269" s="10"/>
      <c r="O269" s="10"/>
      <c r="P269" s="10" t="s">
        <v>68</v>
      </c>
      <c r="Q269" s="10"/>
      <c r="R269" s="10"/>
      <c r="S269" s="10"/>
      <c r="T269" s="10" t="s">
        <v>69</v>
      </c>
      <c r="U269" s="10"/>
      <c r="V269" s="10"/>
      <c r="W269" s="10"/>
      <c r="X269" s="10" t="s">
        <v>70</v>
      </c>
      <c r="Y269" s="10"/>
      <c r="Z269" s="10"/>
      <c r="AA269" s="10"/>
      <c r="AB269" s="10" t="s">
        <v>71</v>
      </c>
      <c r="AC269" s="10"/>
      <c r="AD269" s="10"/>
      <c r="AE269" s="10"/>
      <c r="AF269" s="10" t="s">
        <v>72</v>
      </c>
      <c r="AG269" s="10"/>
      <c r="AH269" s="10"/>
      <c r="AI269" s="10"/>
      <c r="AJ269" s="10" t="s">
        <v>73</v>
      </c>
      <c r="AK269" s="10"/>
      <c r="AL269" s="10"/>
      <c r="AM269" s="10"/>
      <c r="AN269" s="10" t="s">
        <v>74</v>
      </c>
      <c r="AO269" s="10"/>
      <c r="AP269" s="10"/>
      <c r="AQ269" s="10"/>
      <c r="AR269" s="10" t="s">
        <v>75</v>
      </c>
      <c r="AS269" s="10"/>
      <c r="AT269" s="10"/>
      <c r="AU269" s="10"/>
      <c r="AV269" s="10" t="s">
        <v>22</v>
      </c>
      <c r="AW269" s="10"/>
      <c r="AX269" s="10"/>
      <c r="AY269" s="10"/>
      <c r="AZ269" s="10" t="s">
        <v>23</v>
      </c>
      <c r="BA269" s="10"/>
      <c r="BB269" s="10"/>
      <c r="BC269" s="10"/>
    </row>
    <row r="270" customFormat="false" ht="21.75" hidden="false" customHeight="true" outlineLevel="0" collapsed="false">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row>
    <row r="271" customFormat="false" ht="12" hidden="false" customHeight="true" outlineLevel="0" collapsed="false">
      <c r="A271" s="5" t="s">
        <v>82</v>
      </c>
      <c r="I271" s="10" t="s">
        <v>83</v>
      </c>
      <c r="J271" s="10"/>
      <c r="K271" s="10"/>
      <c r="L271" s="10"/>
      <c r="M271" s="10" t="s">
        <v>84</v>
      </c>
      <c r="N271" s="10"/>
      <c r="O271" s="10"/>
      <c r="P271" s="10"/>
      <c r="Q271" s="10" t="s">
        <v>85</v>
      </c>
      <c r="R271" s="10"/>
      <c r="S271" s="10"/>
      <c r="T271" s="10"/>
      <c r="U271" s="10" t="s">
        <v>86</v>
      </c>
      <c r="V271" s="10"/>
      <c r="W271" s="10"/>
      <c r="X271" s="10"/>
      <c r="Y271" s="10" t="s">
        <v>87</v>
      </c>
      <c r="Z271" s="10"/>
      <c r="AA271" s="10"/>
      <c r="AB271" s="10"/>
      <c r="AC271" s="10" t="s">
        <v>88</v>
      </c>
      <c r="AD271" s="10"/>
      <c r="AE271" s="10"/>
      <c r="AF271" s="10"/>
      <c r="AG271" s="10" t="s">
        <v>89</v>
      </c>
      <c r="AH271" s="10"/>
      <c r="AI271" s="10"/>
      <c r="AJ271" s="10"/>
      <c r="AK271" s="10" t="s">
        <v>90</v>
      </c>
      <c r="AL271" s="10"/>
      <c r="AM271" s="10"/>
      <c r="AN271" s="10"/>
      <c r="AO271" s="10" t="s">
        <v>91</v>
      </c>
      <c r="AP271" s="10"/>
      <c r="AQ271" s="10"/>
      <c r="AR271" s="10"/>
      <c r="AS271" s="10" t="s">
        <v>33</v>
      </c>
      <c r="AT271" s="10"/>
      <c r="AU271" s="10"/>
      <c r="AV271" s="10"/>
      <c r="AW271" s="10" t="s">
        <v>34</v>
      </c>
      <c r="AX271" s="10"/>
      <c r="AY271" s="10"/>
      <c r="AZ271" s="10"/>
    </row>
    <row r="272" customFormat="false" ht="21.75" hidden="false" customHeight="true" outlineLevel="0" collapsed="false">
      <c r="I272" s="11"/>
      <c r="J272" s="11"/>
      <c r="K272" s="11"/>
      <c r="L272" s="11"/>
      <c r="M272" s="11"/>
      <c r="N272" s="11"/>
      <c r="O272" s="11"/>
      <c r="P272" s="11"/>
      <c r="Q272" s="12" t="s">
        <v>306</v>
      </c>
      <c r="R272" s="12"/>
      <c r="S272" s="12"/>
      <c r="T272" s="12"/>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row>
    <row r="273" customFormat="false" ht="12" hidden="false" customHeight="true" outlineLevel="0" collapsed="false">
      <c r="A273" s="5" t="s">
        <v>102</v>
      </c>
      <c r="K273" s="10" t="s">
        <v>103</v>
      </c>
      <c r="L273" s="10"/>
      <c r="M273" s="10"/>
      <c r="N273" s="10"/>
      <c r="O273" s="10" t="s">
        <v>104</v>
      </c>
      <c r="P273" s="10"/>
      <c r="Q273" s="10"/>
      <c r="R273" s="10"/>
      <c r="S273" s="10" t="s">
        <v>105</v>
      </c>
      <c r="T273" s="10"/>
      <c r="U273" s="10"/>
      <c r="V273" s="10"/>
      <c r="W273" s="10" t="s">
        <v>106</v>
      </c>
      <c r="X273" s="10"/>
      <c r="Y273" s="10"/>
      <c r="Z273" s="10"/>
      <c r="AA273" s="10" t="s">
        <v>107</v>
      </c>
      <c r="AB273" s="10"/>
      <c r="AC273" s="10"/>
      <c r="AD273" s="10"/>
      <c r="AE273" s="10" t="s">
        <v>108</v>
      </c>
      <c r="AF273" s="10"/>
      <c r="AG273" s="10"/>
      <c r="AH273" s="10"/>
      <c r="AI273" s="10" t="s">
        <v>109</v>
      </c>
      <c r="AJ273" s="10"/>
      <c r="AK273" s="10"/>
      <c r="AL273" s="10"/>
      <c r="AM273" s="10" t="s">
        <v>42</v>
      </c>
      <c r="AN273" s="10"/>
      <c r="AO273" s="10"/>
      <c r="AP273" s="10"/>
      <c r="AQ273" s="10" t="s">
        <v>43</v>
      </c>
      <c r="AR273" s="10"/>
      <c r="AS273" s="10"/>
      <c r="AT273" s="10"/>
      <c r="AU273" s="10" t="s">
        <v>44</v>
      </c>
      <c r="AV273" s="10"/>
      <c r="AW273" s="10"/>
      <c r="AX273" s="10"/>
    </row>
    <row r="274" customFormat="false" ht="21.75" hidden="false" customHeight="true" outlineLevel="0" collapsed="false">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customFormat="false" ht="12" hidden="false" customHeight="true" outlineLevel="0" collapsed="false">
      <c r="A275" s="5" t="s">
        <v>120</v>
      </c>
      <c r="P275" s="10" t="s">
        <v>48</v>
      </c>
      <c r="Q275" s="10"/>
      <c r="R275" s="10"/>
      <c r="S275" s="10"/>
      <c r="T275" s="10" t="s">
        <v>50</v>
      </c>
      <c r="U275" s="10"/>
      <c r="V275" s="10"/>
      <c r="W275" s="10"/>
      <c r="X275" s="10"/>
      <c r="Y275" s="10"/>
      <c r="Z275" s="10"/>
      <c r="AA275" s="10"/>
      <c r="AB275" s="10"/>
      <c r="AC275" s="10"/>
      <c r="AD275" s="10"/>
      <c r="AE275" s="10"/>
      <c r="AF275" s="10"/>
      <c r="AG275" s="10"/>
      <c r="AH275" s="10"/>
      <c r="AI275" s="10"/>
      <c r="AJ275" s="10"/>
      <c r="AK275" s="10"/>
      <c r="AL275" s="10" t="s">
        <v>45</v>
      </c>
      <c r="AM275" s="10"/>
      <c r="AN275" s="10"/>
      <c r="AO275" s="10"/>
      <c r="AP275" s="10" t="s">
        <v>46</v>
      </c>
      <c r="AQ275" s="10"/>
      <c r="AR275" s="10"/>
      <c r="AS275" s="10"/>
    </row>
    <row r="276" customFormat="false" ht="21.75" hidden="false" customHeight="true" outlineLevel="0" collapsed="false">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row>
    <row r="278" customFormat="false" ht="18.75" hidden="false" customHeight="true" outlineLevel="0" collapsed="false">
      <c r="A278" s="14" t="s">
        <v>307</v>
      </c>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row>
    <row r="279" customFormat="false" ht="15" hidden="false" customHeight="true" outlineLevel="0" collapsed="false">
      <c r="A279" s="8" t="s">
        <v>124</v>
      </c>
      <c r="B279" s="15" t="s">
        <v>27</v>
      </c>
      <c r="C279" s="15"/>
      <c r="D279" s="15"/>
      <c r="E279" s="15"/>
      <c r="G279" s="15" t="s">
        <v>30</v>
      </c>
      <c r="H279" s="15"/>
      <c r="I279" s="15"/>
      <c r="J279" s="15"/>
      <c r="L279" s="5" t="s">
        <v>237</v>
      </c>
    </row>
    <row r="280" customFormat="false" ht="12" hidden="false" customHeight="true" outlineLevel="0" collapsed="false">
      <c r="A280" s="5" t="s">
        <v>64</v>
      </c>
      <c r="F280" s="10" t="s">
        <v>0</v>
      </c>
      <c r="G280" s="10"/>
      <c r="H280" s="10"/>
      <c r="I280" s="10"/>
      <c r="J280" s="10" t="s">
        <v>1</v>
      </c>
      <c r="K280" s="10"/>
      <c r="L280" s="10"/>
      <c r="M280" s="10"/>
      <c r="N280" s="10" t="s">
        <v>2</v>
      </c>
      <c r="O280" s="10"/>
      <c r="P280" s="10"/>
      <c r="Q280" s="10"/>
      <c r="R280" s="10" t="s">
        <v>3</v>
      </c>
      <c r="S280" s="10"/>
      <c r="T280" s="10"/>
      <c r="U280" s="10"/>
      <c r="V280" s="10" t="s">
        <v>4</v>
      </c>
      <c r="W280" s="10"/>
      <c r="X280" s="10"/>
      <c r="Y280" s="10"/>
      <c r="Z280" s="10" t="s">
        <v>5</v>
      </c>
      <c r="AA280" s="10"/>
      <c r="AB280" s="10"/>
      <c r="AC280" s="10"/>
      <c r="AD280" s="10" t="s">
        <v>6</v>
      </c>
      <c r="AE280" s="10"/>
      <c r="AF280" s="10"/>
      <c r="AG280" s="10"/>
      <c r="AH280" s="10" t="s">
        <v>7</v>
      </c>
      <c r="AI280" s="10"/>
      <c r="AJ280" s="10"/>
      <c r="AK280" s="10"/>
      <c r="AL280" s="10" t="s">
        <v>8</v>
      </c>
      <c r="AM280" s="10"/>
      <c r="AN280" s="10"/>
      <c r="AO280" s="10"/>
      <c r="AP280" s="10" t="s">
        <v>9</v>
      </c>
      <c r="AQ280" s="10"/>
      <c r="AR280" s="10"/>
      <c r="AS280" s="10"/>
      <c r="AT280" s="10" t="s">
        <v>10</v>
      </c>
      <c r="AU280" s="10"/>
      <c r="AV280" s="10"/>
      <c r="AW280" s="10"/>
      <c r="AX280" s="10" t="s">
        <v>11</v>
      </c>
      <c r="AY280" s="10"/>
      <c r="AZ280" s="10"/>
      <c r="BA280" s="10"/>
    </row>
    <row r="281" customFormat="false" ht="21.75" hidden="false" customHeight="true" outlineLevel="0" collapsed="false">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row>
    <row r="282" customFormat="false" ht="12" hidden="false" customHeight="true" outlineLevel="0" collapsed="false">
      <c r="A282" s="5" t="s">
        <v>65</v>
      </c>
      <c r="H282" s="10" t="s">
        <v>66</v>
      </c>
      <c r="I282" s="10"/>
      <c r="J282" s="10"/>
      <c r="K282" s="10"/>
      <c r="L282" s="10" t="s">
        <v>67</v>
      </c>
      <c r="M282" s="10"/>
      <c r="N282" s="10"/>
      <c r="O282" s="10"/>
      <c r="P282" s="10" t="s">
        <v>68</v>
      </c>
      <c r="Q282" s="10"/>
      <c r="R282" s="10"/>
      <c r="S282" s="10"/>
      <c r="T282" s="10" t="s">
        <v>69</v>
      </c>
      <c r="U282" s="10"/>
      <c r="V282" s="10"/>
      <c r="W282" s="10"/>
      <c r="X282" s="10" t="s">
        <v>70</v>
      </c>
      <c r="Y282" s="10"/>
      <c r="Z282" s="10"/>
      <c r="AA282" s="10"/>
      <c r="AB282" s="10" t="s">
        <v>71</v>
      </c>
      <c r="AC282" s="10"/>
      <c r="AD282" s="10"/>
      <c r="AE282" s="10"/>
      <c r="AF282" s="10" t="s">
        <v>72</v>
      </c>
      <c r="AG282" s="10"/>
      <c r="AH282" s="10"/>
      <c r="AI282" s="10"/>
      <c r="AJ282" s="10" t="s">
        <v>73</v>
      </c>
      <c r="AK282" s="10"/>
      <c r="AL282" s="10"/>
      <c r="AM282" s="10"/>
      <c r="AN282" s="10" t="s">
        <v>74</v>
      </c>
      <c r="AO282" s="10"/>
      <c r="AP282" s="10"/>
      <c r="AQ282" s="10"/>
      <c r="AR282" s="10" t="s">
        <v>75</v>
      </c>
      <c r="AS282" s="10"/>
      <c r="AT282" s="10"/>
      <c r="AU282" s="10"/>
      <c r="AV282" s="10" t="s">
        <v>22</v>
      </c>
      <c r="AW282" s="10"/>
      <c r="AX282" s="10"/>
      <c r="AY282" s="10"/>
      <c r="AZ282" s="10" t="s">
        <v>23</v>
      </c>
      <c r="BA282" s="10"/>
      <c r="BB282" s="10"/>
      <c r="BC282" s="10"/>
    </row>
    <row r="283" customFormat="false" ht="21.75" hidden="false" customHeight="true" outlineLevel="0" collapsed="false">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row>
    <row r="284" customFormat="false" ht="12" hidden="false" customHeight="true" outlineLevel="0" collapsed="false">
      <c r="A284" s="5" t="s">
        <v>82</v>
      </c>
      <c r="I284" s="10" t="s">
        <v>83</v>
      </c>
      <c r="J284" s="10"/>
      <c r="K284" s="10"/>
      <c r="L284" s="10"/>
      <c r="M284" s="10" t="s">
        <v>84</v>
      </c>
      <c r="N284" s="10"/>
      <c r="O284" s="10"/>
      <c r="P284" s="10"/>
      <c r="Q284" s="10" t="s">
        <v>85</v>
      </c>
      <c r="R284" s="10"/>
      <c r="S284" s="10"/>
      <c r="T284" s="10"/>
      <c r="U284" s="10" t="s">
        <v>86</v>
      </c>
      <c r="V284" s="10"/>
      <c r="W284" s="10"/>
      <c r="X284" s="10"/>
      <c r="Y284" s="10" t="s">
        <v>87</v>
      </c>
      <c r="Z284" s="10"/>
      <c r="AA284" s="10"/>
      <c r="AB284" s="10"/>
      <c r="AC284" s="10" t="s">
        <v>88</v>
      </c>
      <c r="AD284" s="10"/>
      <c r="AE284" s="10"/>
      <c r="AF284" s="10"/>
      <c r="AG284" s="10" t="s">
        <v>89</v>
      </c>
      <c r="AH284" s="10"/>
      <c r="AI284" s="10"/>
      <c r="AJ284" s="10"/>
      <c r="AK284" s="10" t="s">
        <v>90</v>
      </c>
      <c r="AL284" s="10"/>
      <c r="AM284" s="10"/>
      <c r="AN284" s="10"/>
      <c r="AO284" s="10" t="s">
        <v>91</v>
      </c>
      <c r="AP284" s="10"/>
      <c r="AQ284" s="10"/>
      <c r="AR284" s="10"/>
      <c r="AS284" s="10" t="s">
        <v>33</v>
      </c>
      <c r="AT284" s="10"/>
      <c r="AU284" s="10"/>
      <c r="AV284" s="10"/>
      <c r="AW284" s="10" t="s">
        <v>34</v>
      </c>
      <c r="AX284" s="10"/>
      <c r="AY284" s="10"/>
      <c r="AZ284" s="10"/>
    </row>
    <row r="285" customFormat="false" ht="21.75" hidden="false" customHeight="true" outlineLevel="0" collapsed="false">
      <c r="I285" s="11"/>
      <c r="J285" s="11"/>
      <c r="K285" s="11"/>
      <c r="L285" s="11"/>
      <c r="M285" s="11"/>
      <c r="N285" s="11"/>
      <c r="O285" s="11"/>
      <c r="P285" s="11"/>
      <c r="Q285" s="11"/>
      <c r="R285" s="11"/>
      <c r="S285" s="11"/>
      <c r="T285" s="11"/>
      <c r="U285" s="11"/>
      <c r="V285" s="11"/>
      <c r="W285" s="11"/>
      <c r="X285" s="11"/>
      <c r="Y285" s="11"/>
      <c r="Z285" s="11"/>
      <c r="AA285" s="11"/>
      <c r="AB285" s="11"/>
      <c r="AC285" s="12" t="s">
        <v>308</v>
      </c>
      <c r="AD285" s="12"/>
      <c r="AE285" s="12"/>
      <c r="AF285" s="12"/>
      <c r="AG285" s="11"/>
      <c r="AH285" s="11"/>
      <c r="AI285" s="11"/>
      <c r="AJ285" s="11"/>
      <c r="AK285" s="11"/>
      <c r="AL285" s="11"/>
      <c r="AM285" s="11"/>
      <c r="AN285" s="11"/>
      <c r="AO285" s="11"/>
      <c r="AP285" s="11"/>
      <c r="AQ285" s="11"/>
      <c r="AR285" s="11"/>
      <c r="AS285" s="11"/>
      <c r="AT285" s="11"/>
      <c r="AU285" s="11"/>
      <c r="AV285" s="11"/>
      <c r="AW285" s="11"/>
      <c r="AX285" s="11"/>
      <c r="AY285" s="11"/>
      <c r="AZ285" s="11"/>
    </row>
    <row r="286" customFormat="false" ht="12" hidden="false" customHeight="true" outlineLevel="0" collapsed="false">
      <c r="A286" s="5" t="s">
        <v>102</v>
      </c>
      <c r="K286" s="10" t="s">
        <v>103</v>
      </c>
      <c r="L286" s="10"/>
      <c r="M286" s="10"/>
      <c r="N286" s="10"/>
      <c r="O286" s="10" t="s">
        <v>104</v>
      </c>
      <c r="P286" s="10"/>
      <c r="Q286" s="10"/>
      <c r="R286" s="10"/>
      <c r="S286" s="10" t="s">
        <v>105</v>
      </c>
      <c r="T286" s="10"/>
      <c r="U286" s="10"/>
      <c r="V286" s="10"/>
      <c r="W286" s="10" t="s">
        <v>106</v>
      </c>
      <c r="X286" s="10"/>
      <c r="Y286" s="10"/>
      <c r="Z286" s="10"/>
      <c r="AA286" s="10" t="s">
        <v>107</v>
      </c>
      <c r="AB286" s="10"/>
      <c r="AC286" s="10"/>
      <c r="AD286" s="10"/>
      <c r="AE286" s="10" t="s">
        <v>108</v>
      </c>
      <c r="AF286" s="10"/>
      <c r="AG286" s="10"/>
      <c r="AH286" s="10"/>
      <c r="AI286" s="10" t="s">
        <v>109</v>
      </c>
      <c r="AJ286" s="10"/>
      <c r="AK286" s="10"/>
      <c r="AL286" s="10"/>
      <c r="AM286" s="10" t="s">
        <v>42</v>
      </c>
      <c r="AN286" s="10"/>
      <c r="AO286" s="10"/>
      <c r="AP286" s="10"/>
      <c r="AQ286" s="10" t="s">
        <v>43</v>
      </c>
      <c r="AR286" s="10"/>
      <c r="AS286" s="10"/>
      <c r="AT286" s="10"/>
      <c r="AU286" s="10" t="s">
        <v>44</v>
      </c>
      <c r="AV286" s="10"/>
      <c r="AW286" s="10"/>
      <c r="AX286" s="10"/>
    </row>
    <row r="287" customFormat="false" ht="21.75" hidden="false" customHeight="true" outlineLevel="0" collapsed="false">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customFormat="false" ht="12" hidden="false" customHeight="true" outlineLevel="0" collapsed="false">
      <c r="A288" s="5" t="s">
        <v>120</v>
      </c>
      <c r="P288" s="10" t="s">
        <v>48</v>
      </c>
      <c r="Q288" s="10"/>
      <c r="R288" s="10"/>
      <c r="S288" s="10"/>
      <c r="T288" s="10" t="s">
        <v>50</v>
      </c>
      <c r="U288" s="10"/>
      <c r="V288" s="10"/>
      <c r="W288" s="10"/>
      <c r="X288" s="10"/>
      <c r="Y288" s="10"/>
      <c r="Z288" s="10"/>
      <c r="AA288" s="10"/>
      <c r="AB288" s="10"/>
      <c r="AC288" s="10"/>
      <c r="AD288" s="10"/>
      <c r="AE288" s="10"/>
      <c r="AF288" s="10"/>
      <c r="AG288" s="10"/>
      <c r="AH288" s="10"/>
      <c r="AI288" s="10"/>
      <c r="AJ288" s="10"/>
      <c r="AK288" s="10"/>
      <c r="AL288" s="10" t="s">
        <v>45</v>
      </c>
      <c r="AM288" s="10"/>
      <c r="AN288" s="10"/>
      <c r="AO288" s="10"/>
      <c r="AP288" s="10" t="s">
        <v>46</v>
      </c>
      <c r="AQ288" s="10"/>
      <c r="AR288" s="10"/>
      <c r="AS288" s="10"/>
    </row>
    <row r="289" customFormat="false" ht="21.75" hidden="false" customHeight="true" outlineLevel="0" collapsed="false">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row>
    <row r="291" customFormat="false" ht="18.75" hidden="false" customHeight="true" outlineLevel="0" collapsed="false">
      <c r="A291" s="14" t="s">
        <v>309</v>
      </c>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row>
    <row r="292" customFormat="false" ht="15" hidden="false" customHeight="true" outlineLevel="0" collapsed="false">
      <c r="A292" s="8" t="s">
        <v>124</v>
      </c>
      <c r="B292" s="15"/>
      <c r="C292" s="15"/>
      <c r="D292" s="15"/>
      <c r="E292" s="15"/>
      <c r="G292" s="15"/>
      <c r="H292" s="15"/>
      <c r="I292" s="15"/>
      <c r="J292" s="15"/>
      <c r="L292" s="5" t="s">
        <v>237</v>
      </c>
    </row>
    <row r="293" customFormat="false" ht="12" hidden="false" customHeight="true" outlineLevel="0" collapsed="false">
      <c r="A293" s="5" t="s">
        <v>64</v>
      </c>
      <c r="F293" s="10" t="s">
        <v>0</v>
      </c>
      <c r="G293" s="10"/>
      <c r="H293" s="10"/>
      <c r="I293" s="10"/>
      <c r="J293" s="10" t="s">
        <v>1</v>
      </c>
      <c r="K293" s="10"/>
      <c r="L293" s="10"/>
      <c r="M293" s="10"/>
      <c r="N293" s="10" t="s">
        <v>2</v>
      </c>
      <c r="O293" s="10"/>
      <c r="P293" s="10"/>
      <c r="Q293" s="10"/>
      <c r="R293" s="10" t="s">
        <v>3</v>
      </c>
      <c r="S293" s="10"/>
      <c r="T293" s="10"/>
      <c r="U293" s="10"/>
      <c r="V293" s="10" t="s">
        <v>4</v>
      </c>
      <c r="W293" s="10"/>
      <c r="X293" s="10"/>
      <c r="Y293" s="10"/>
      <c r="Z293" s="10" t="s">
        <v>5</v>
      </c>
      <c r="AA293" s="10"/>
      <c r="AB293" s="10"/>
      <c r="AC293" s="10"/>
      <c r="AD293" s="10" t="s">
        <v>6</v>
      </c>
      <c r="AE293" s="10"/>
      <c r="AF293" s="10"/>
      <c r="AG293" s="10"/>
      <c r="AH293" s="10" t="s">
        <v>7</v>
      </c>
      <c r="AI293" s="10"/>
      <c r="AJ293" s="10"/>
      <c r="AK293" s="10"/>
      <c r="AL293" s="10" t="s">
        <v>8</v>
      </c>
      <c r="AM293" s="10"/>
      <c r="AN293" s="10"/>
      <c r="AO293" s="10"/>
      <c r="AP293" s="10" t="s">
        <v>9</v>
      </c>
      <c r="AQ293" s="10"/>
      <c r="AR293" s="10"/>
      <c r="AS293" s="10"/>
      <c r="AT293" s="10" t="s">
        <v>10</v>
      </c>
      <c r="AU293" s="10"/>
      <c r="AV293" s="10"/>
      <c r="AW293" s="10"/>
      <c r="AX293" s="10" t="s">
        <v>11</v>
      </c>
      <c r="AY293" s="10"/>
      <c r="AZ293" s="10"/>
      <c r="BA293" s="10"/>
    </row>
    <row r="294" customFormat="false" ht="21.75" hidden="false" customHeight="true" outlineLevel="0" collapsed="false">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row>
    <row r="295" customFormat="false" ht="12" hidden="false" customHeight="true" outlineLevel="0" collapsed="false">
      <c r="A295" s="5" t="s">
        <v>65</v>
      </c>
      <c r="H295" s="10" t="s">
        <v>66</v>
      </c>
      <c r="I295" s="10"/>
      <c r="J295" s="10"/>
      <c r="K295" s="10"/>
      <c r="L295" s="10" t="s">
        <v>67</v>
      </c>
      <c r="M295" s="10"/>
      <c r="N295" s="10"/>
      <c r="O295" s="10"/>
      <c r="P295" s="10" t="s">
        <v>68</v>
      </c>
      <c r="Q295" s="10"/>
      <c r="R295" s="10"/>
      <c r="S295" s="10"/>
      <c r="T295" s="10" t="s">
        <v>69</v>
      </c>
      <c r="U295" s="10"/>
      <c r="V295" s="10"/>
      <c r="W295" s="10"/>
      <c r="X295" s="10" t="s">
        <v>70</v>
      </c>
      <c r="Y295" s="10"/>
      <c r="Z295" s="10"/>
      <c r="AA295" s="10"/>
      <c r="AB295" s="10" t="s">
        <v>71</v>
      </c>
      <c r="AC295" s="10"/>
      <c r="AD295" s="10"/>
      <c r="AE295" s="10"/>
      <c r="AF295" s="10" t="s">
        <v>72</v>
      </c>
      <c r="AG295" s="10"/>
      <c r="AH295" s="10"/>
      <c r="AI295" s="10"/>
      <c r="AJ295" s="10" t="s">
        <v>73</v>
      </c>
      <c r="AK295" s="10"/>
      <c r="AL295" s="10"/>
      <c r="AM295" s="10"/>
      <c r="AN295" s="10" t="s">
        <v>74</v>
      </c>
      <c r="AO295" s="10"/>
      <c r="AP295" s="10"/>
      <c r="AQ295" s="10"/>
      <c r="AR295" s="10" t="s">
        <v>75</v>
      </c>
      <c r="AS295" s="10"/>
      <c r="AT295" s="10"/>
      <c r="AU295" s="10"/>
      <c r="AV295" s="10" t="s">
        <v>22</v>
      </c>
      <c r="AW295" s="10"/>
      <c r="AX295" s="10"/>
      <c r="AY295" s="10"/>
      <c r="AZ295" s="10" t="s">
        <v>23</v>
      </c>
      <c r="BA295" s="10"/>
      <c r="BB295" s="10"/>
      <c r="BC295" s="10"/>
    </row>
    <row r="296" customFormat="false" ht="21.75" hidden="false" customHeight="true" outlineLevel="0" collapsed="false">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row>
    <row r="297" customFormat="false" ht="12" hidden="false" customHeight="true" outlineLevel="0" collapsed="false">
      <c r="A297" s="5" t="s">
        <v>82</v>
      </c>
      <c r="I297" s="10" t="s">
        <v>83</v>
      </c>
      <c r="J297" s="10"/>
      <c r="K297" s="10"/>
      <c r="L297" s="10"/>
      <c r="M297" s="10" t="s">
        <v>84</v>
      </c>
      <c r="N297" s="10"/>
      <c r="O297" s="10"/>
      <c r="P297" s="10"/>
      <c r="Q297" s="10" t="s">
        <v>85</v>
      </c>
      <c r="R297" s="10"/>
      <c r="S297" s="10"/>
      <c r="T297" s="10"/>
      <c r="U297" s="10" t="s">
        <v>86</v>
      </c>
      <c r="V297" s="10"/>
      <c r="W297" s="10"/>
      <c r="X297" s="10"/>
      <c r="Y297" s="10" t="s">
        <v>87</v>
      </c>
      <c r="Z297" s="10"/>
      <c r="AA297" s="10"/>
      <c r="AB297" s="10"/>
      <c r="AC297" s="10" t="s">
        <v>88</v>
      </c>
      <c r="AD297" s="10"/>
      <c r="AE297" s="10"/>
      <c r="AF297" s="10"/>
      <c r="AG297" s="10" t="s">
        <v>89</v>
      </c>
      <c r="AH297" s="10"/>
      <c r="AI297" s="10"/>
      <c r="AJ297" s="10"/>
      <c r="AK297" s="10" t="s">
        <v>90</v>
      </c>
      <c r="AL297" s="10"/>
      <c r="AM297" s="10"/>
      <c r="AN297" s="10"/>
      <c r="AO297" s="10" t="s">
        <v>91</v>
      </c>
      <c r="AP297" s="10"/>
      <c r="AQ297" s="10"/>
      <c r="AR297" s="10"/>
      <c r="AS297" s="10" t="s">
        <v>33</v>
      </c>
      <c r="AT297" s="10"/>
      <c r="AU297" s="10"/>
      <c r="AV297" s="10"/>
      <c r="AW297" s="10" t="s">
        <v>34</v>
      </c>
      <c r="AX297" s="10"/>
      <c r="AY297" s="10"/>
      <c r="AZ297" s="10"/>
    </row>
    <row r="298" customFormat="false" ht="21.75" hidden="false" customHeight="true" outlineLevel="0" collapsed="false">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row>
    <row r="299" customFormat="false" ht="12" hidden="false" customHeight="true" outlineLevel="0" collapsed="false">
      <c r="A299" s="5" t="s">
        <v>102</v>
      </c>
      <c r="K299" s="10" t="s">
        <v>103</v>
      </c>
      <c r="L299" s="10"/>
      <c r="M299" s="10"/>
      <c r="N299" s="10"/>
      <c r="O299" s="10" t="s">
        <v>104</v>
      </c>
      <c r="P299" s="10"/>
      <c r="Q299" s="10"/>
      <c r="R299" s="10"/>
      <c r="S299" s="10" t="s">
        <v>105</v>
      </c>
      <c r="T299" s="10"/>
      <c r="U299" s="10"/>
      <c r="V299" s="10"/>
      <c r="W299" s="10" t="s">
        <v>106</v>
      </c>
      <c r="X299" s="10"/>
      <c r="Y299" s="10"/>
      <c r="Z299" s="10"/>
      <c r="AA299" s="10" t="s">
        <v>107</v>
      </c>
      <c r="AB299" s="10"/>
      <c r="AC299" s="10"/>
      <c r="AD299" s="10"/>
      <c r="AE299" s="10" t="s">
        <v>108</v>
      </c>
      <c r="AF299" s="10"/>
      <c r="AG299" s="10"/>
      <c r="AH299" s="10"/>
      <c r="AI299" s="10" t="s">
        <v>109</v>
      </c>
      <c r="AJ299" s="10"/>
      <c r="AK299" s="10"/>
      <c r="AL299" s="10"/>
      <c r="AM299" s="10" t="s">
        <v>42</v>
      </c>
      <c r="AN299" s="10"/>
      <c r="AO299" s="10"/>
      <c r="AP299" s="10"/>
      <c r="AQ299" s="10" t="s">
        <v>43</v>
      </c>
      <c r="AR299" s="10"/>
      <c r="AS299" s="10"/>
      <c r="AT299" s="10"/>
      <c r="AU299" s="10" t="s">
        <v>44</v>
      </c>
      <c r="AV299" s="10"/>
      <c r="AW299" s="10"/>
      <c r="AX299" s="10"/>
    </row>
    <row r="300" customFormat="false" ht="21.75" hidden="false" customHeight="true" outlineLevel="0" collapsed="false">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customFormat="false" ht="12" hidden="false" customHeight="true" outlineLevel="0" collapsed="false">
      <c r="A301" s="5" t="s">
        <v>120</v>
      </c>
      <c r="P301" s="10" t="s">
        <v>48</v>
      </c>
      <c r="Q301" s="10"/>
      <c r="R301" s="10"/>
      <c r="S301" s="10"/>
      <c r="T301" s="10" t="s">
        <v>50</v>
      </c>
      <c r="U301" s="10"/>
      <c r="V301" s="10"/>
      <c r="W301" s="10"/>
      <c r="X301" s="10"/>
      <c r="Y301" s="10"/>
      <c r="Z301" s="10"/>
      <c r="AA301" s="10"/>
      <c r="AB301" s="10"/>
      <c r="AC301" s="10"/>
      <c r="AD301" s="10"/>
      <c r="AE301" s="10"/>
      <c r="AF301" s="10"/>
      <c r="AG301" s="10"/>
      <c r="AH301" s="10"/>
      <c r="AI301" s="10"/>
      <c r="AJ301" s="10"/>
      <c r="AK301" s="10"/>
      <c r="AL301" s="10" t="s">
        <v>45</v>
      </c>
      <c r="AM301" s="10"/>
      <c r="AN301" s="10"/>
      <c r="AO301" s="10"/>
      <c r="AP301" s="10" t="s">
        <v>46</v>
      </c>
      <c r="AQ301" s="10"/>
      <c r="AR301" s="10"/>
      <c r="AS301" s="10"/>
    </row>
    <row r="302" customFormat="false" ht="21.75" hidden="false" customHeight="true" outlineLevel="0" collapsed="false">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row>
    <row r="304" customFormat="false" ht="18.75" hidden="false" customHeight="true" outlineLevel="0" collapsed="false">
      <c r="A304" s="14" t="s">
        <v>310</v>
      </c>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row>
    <row r="305" customFormat="false" ht="15" hidden="false" customHeight="true" outlineLevel="0" collapsed="false">
      <c r="A305" s="8" t="s">
        <v>124</v>
      </c>
      <c r="B305" s="15"/>
      <c r="C305" s="15"/>
      <c r="D305" s="15"/>
      <c r="E305" s="15"/>
      <c r="G305" s="15"/>
      <c r="H305" s="15"/>
      <c r="I305" s="15"/>
      <c r="J305" s="15"/>
      <c r="L305" s="5" t="s">
        <v>237</v>
      </c>
    </row>
    <row r="306" customFormat="false" ht="12" hidden="false" customHeight="true" outlineLevel="0" collapsed="false">
      <c r="A306" s="5" t="s">
        <v>64</v>
      </c>
      <c r="F306" s="10" t="s">
        <v>0</v>
      </c>
      <c r="G306" s="10"/>
      <c r="H306" s="10"/>
      <c r="I306" s="10"/>
      <c r="J306" s="10" t="s">
        <v>1</v>
      </c>
      <c r="K306" s="10"/>
      <c r="L306" s="10"/>
      <c r="M306" s="10"/>
      <c r="N306" s="10" t="s">
        <v>2</v>
      </c>
      <c r="O306" s="10"/>
      <c r="P306" s="10"/>
      <c r="Q306" s="10"/>
      <c r="R306" s="10" t="s">
        <v>3</v>
      </c>
      <c r="S306" s="10"/>
      <c r="T306" s="10"/>
      <c r="U306" s="10"/>
      <c r="V306" s="10" t="s">
        <v>4</v>
      </c>
      <c r="W306" s="10"/>
      <c r="X306" s="10"/>
      <c r="Y306" s="10"/>
      <c r="Z306" s="10" t="s">
        <v>5</v>
      </c>
      <c r="AA306" s="10"/>
      <c r="AB306" s="10"/>
      <c r="AC306" s="10"/>
      <c r="AD306" s="10" t="s">
        <v>6</v>
      </c>
      <c r="AE306" s="10"/>
      <c r="AF306" s="10"/>
      <c r="AG306" s="10"/>
      <c r="AH306" s="10" t="s">
        <v>7</v>
      </c>
      <c r="AI306" s="10"/>
      <c r="AJ306" s="10"/>
      <c r="AK306" s="10"/>
      <c r="AL306" s="10" t="s">
        <v>8</v>
      </c>
      <c r="AM306" s="10"/>
      <c r="AN306" s="10"/>
      <c r="AO306" s="10"/>
      <c r="AP306" s="10" t="s">
        <v>9</v>
      </c>
      <c r="AQ306" s="10"/>
      <c r="AR306" s="10"/>
      <c r="AS306" s="10"/>
      <c r="AT306" s="10" t="s">
        <v>10</v>
      </c>
      <c r="AU306" s="10"/>
      <c r="AV306" s="10"/>
      <c r="AW306" s="10"/>
      <c r="AX306" s="10" t="s">
        <v>11</v>
      </c>
      <c r="AY306" s="10"/>
      <c r="AZ306" s="10"/>
      <c r="BA306" s="10"/>
    </row>
    <row r="307" customFormat="false" ht="21.75" hidden="false" customHeight="true" outlineLevel="0" collapsed="false">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row>
    <row r="308" customFormat="false" ht="12" hidden="false" customHeight="true" outlineLevel="0" collapsed="false">
      <c r="A308" s="5" t="s">
        <v>65</v>
      </c>
      <c r="H308" s="10" t="s">
        <v>66</v>
      </c>
      <c r="I308" s="10"/>
      <c r="J308" s="10"/>
      <c r="K308" s="10"/>
      <c r="L308" s="10" t="s">
        <v>67</v>
      </c>
      <c r="M308" s="10"/>
      <c r="N308" s="10"/>
      <c r="O308" s="10"/>
      <c r="P308" s="10" t="s">
        <v>68</v>
      </c>
      <c r="Q308" s="10"/>
      <c r="R308" s="10"/>
      <c r="S308" s="10"/>
      <c r="T308" s="10" t="s">
        <v>69</v>
      </c>
      <c r="U308" s="10"/>
      <c r="V308" s="10"/>
      <c r="W308" s="10"/>
      <c r="X308" s="10" t="s">
        <v>70</v>
      </c>
      <c r="Y308" s="10"/>
      <c r="Z308" s="10"/>
      <c r="AA308" s="10"/>
      <c r="AB308" s="10" t="s">
        <v>71</v>
      </c>
      <c r="AC308" s="10"/>
      <c r="AD308" s="10"/>
      <c r="AE308" s="10"/>
      <c r="AF308" s="10" t="s">
        <v>72</v>
      </c>
      <c r="AG308" s="10"/>
      <c r="AH308" s="10"/>
      <c r="AI308" s="10"/>
      <c r="AJ308" s="10" t="s">
        <v>73</v>
      </c>
      <c r="AK308" s="10"/>
      <c r="AL308" s="10"/>
      <c r="AM308" s="10"/>
      <c r="AN308" s="10" t="s">
        <v>74</v>
      </c>
      <c r="AO308" s="10"/>
      <c r="AP308" s="10"/>
      <c r="AQ308" s="10"/>
      <c r="AR308" s="10" t="s">
        <v>75</v>
      </c>
      <c r="AS308" s="10"/>
      <c r="AT308" s="10"/>
      <c r="AU308" s="10"/>
      <c r="AV308" s="10" t="s">
        <v>22</v>
      </c>
      <c r="AW308" s="10"/>
      <c r="AX308" s="10"/>
      <c r="AY308" s="10"/>
      <c r="AZ308" s="10" t="s">
        <v>23</v>
      </c>
      <c r="BA308" s="10"/>
      <c r="BB308" s="10"/>
      <c r="BC308" s="10"/>
    </row>
    <row r="309" customFormat="false" ht="21.75" hidden="false" customHeight="true" outlineLevel="0" collapsed="false">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row>
    <row r="310" customFormat="false" ht="12" hidden="false" customHeight="true" outlineLevel="0" collapsed="false">
      <c r="A310" s="5" t="s">
        <v>82</v>
      </c>
      <c r="I310" s="10" t="s">
        <v>83</v>
      </c>
      <c r="J310" s="10"/>
      <c r="K310" s="10"/>
      <c r="L310" s="10"/>
      <c r="M310" s="10" t="s">
        <v>84</v>
      </c>
      <c r="N310" s="10"/>
      <c r="O310" s="10"/>
      <c r="P310" s="10"/>
      <c r="Q310" s="10" t="s">
        <v>85</v>
      </c>
      <c r="R310" s="10"/>
      <c r="S310" s="10"/>
      <c r="T310" s="10"/>
      <c r="U310" s="10" t="s">
        <v>86</v>
      </c>
      <c r="V310" s="10"/>
      <c r="W310" s="10"/>
      <c r="X310" s="10"/>
      <c r="Y310" s="10" t="s">
        <v>87</v>
      </c>
      <c r="Z310" s="10"/>
      <c r="AA310" s="10"/>
      <c r="AB310" s="10"/>
      <c r="AC310" s="10" t="s">
        <v>88</v>
      </c>
      <c r="AD310" s="10"/>
      <c r="AE310" s="10"/>
      <c r="AF310" s="10"/>
      <c r="AG310" s="10" t="s">
        <v>89</v>
      </c>
      <c r="AH310" s="10"/>
      <c r="AI310" s="10"/>
      <c r="AJ310" s="10"/>
      <c r="AK310" s="10" t="s">
        <v>90</v>
      </c>
      <c r="AL310" s="10"/>
      <c r="AM310" s="10"/>
      <c r="AN310" s="10"/>
      <c r="AO310" s="10" t="s">
        <v>91</v>
      </c>
      <c r="AP310" s="10"/>
      <c r="AQ310" s="10"/>
      <c r="AR310" s="10"/>
      <c r="AS310" s="10" t="s">
        <v>33</v>
      </c>
      <c r="AT310" s="10"/>
      <c r="AU310" s="10"/>
      <c r="AV310" s="10"/>
      <c r="AW310" s="10" t="s">
        <v>34</v>
      </c>
      <c r="AX310" s="10"/>
      <c r="AY310" s="10"/>
      <c r="AZ310" s="10"/>
    </row>
    <row r="311" customFormat="false" ht="21.75" hidden="false" customHeight="true" outlineLevel="0" collapsed="false">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row>
    <row r="312" customFormat="false" ht="12" hidden="false" customHeight="true" outlineLevel="0" collapsed="false">
      <c r="A312" s="5" t="s">
        <v>102</v>
      </c>
      <c r="K312" s="10" t="s">
        <v>103</v>
      </c>
      <c r="L312" s="10"/>
      <c r="M312" s="10"/>
      <c r="N312" s="10"/>
      <c r="O312" s="10" t="s">
        <v>104</v>
      </c>
      <c r="P312" s="10"/>
      <c r="Q312" s="10"/>
      <c r="R312" s="10"/>
      <c r="S312" s="10" t="s">
        <v>105</v>
      </c>
      <c r="T312" s="10"/>
      <c r="U312" s="10"/>
      <c r="V312" s="10"/>
      <c r="W312" s="10" t="s">
        <v>106</v>
      </c>
      <c r="X312" s="10"/>
      <c r="Y312" s="10"/>
      <c r="Z312" s="10"/>
      <c r="AA312" s="10" t="s">
        <v>107</v>
      </c>
      <c r="AB312" s="10"/>
      <c r="AC312" s="10"/>
      <c r="AD312" s="10"/>
      <c r="AE312" s="10" t="s">
        <v>108</v>
      </c>
      <c r="AF312" s="10"/>
      <c r="AG312" s="10"/>
      <c r="AH312" s="10"/>
      <c r="AI312" s="10" t="s">
        <v>109</v>
      </c>
      <c r="AJ312" s="10"/>
      <c r="AK312" s="10"/>
      <c r="AL312" s="10"/>
      <c r="AM312" s="10" t="s">
        <v>42</v>
      </c>
      <c r="AN312" s="10"/>
      <c r="AO312" s="10"/>
      <c r="AP312" s="10"/>
      <c r="AQ312" s="10" t="s">
        <v>43</v>
      </c>
      <c r="AR312" s="10"/>
      <c r="AS312" s="10"/>
      <c r="AT312" s="10"/>
      <c r="AU312" s="10" t="s">
        <v>44</v>
      </c>
      <c r="AV312" s="10"/>
      <c r="AW312" s="10"/>
      <c r="AX312" s="10"/>
    </row>
    <row r="313" customFormat="false" ht="21.75" hidden="false" customHeight="true" outlineLevel="0" collapsed="false">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customFormat="false" ht="12" hidden="false" customHeight="true" outlineLevel="0" collapsed="false">
      <c r="A314" s="5" t="s">
        <v>120</v>
      </c>
      <c r="P314" s="10" t="s">
        <v>48</v>
      </c>
      <c r="Q314" s="10"/>
      <c r="R314" s="10"/>
      <c r="S314" s="10"/>
      <c r="T314" s="10" t="s">
        <v>50</v>
      </c>
      <c r="U314" s="10"/>
      <c r="V314" s="10"/>
      <c r="W314" s="10"/>
      <c r="X314" s="10"/>
      <c r="Y314" s="10"/>
      <c r="Z314" s="10"/>
      <c r="AA314" s="10"/>
      <c r="AB314" s="10"/>
      <c r="AC314" s="10"/>
      <c r="AD314" s="10"/>
      <c r="AE314" s="10"/>
      <c r="AF314" s="10"/>
      <c r="AG314" s="10"/>
      <c r="AH314" s="10"/>
      <c r="AI314" s="10"/>
      <c r="AJ314" s="10"/>
      <c r="AK314" s="10"/>
      <c r="AL314" s="10" t="s">
        <v>45</v>
      </c>
      <c r="AM314" s="10"/>
      <c r="AN314" s="10"/>
      <c r="AO314" s="10"/>
      <c r="AP314" s="10" t="s">
        <v>46</v>
      </c>
      <c r="AQ314" s="10"/>
      <c r="AR314" s="10"/>
      <c r="AS314" s="10"/>
    </row>
    <row r="315" customFormat="false" ht="21.75" hidden="false" customHeight="true" outlineLevel="0" collapsed="false">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row>
    <row r="317" customFormat="false" ht="18.75" hidden="false" customHeight="true" outlineLevel="0" collapsed="false">
      <c r="A317" s="14" t="s">
        <v>311</v>
      </c>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row>
    <row r="318" customFormat="false" ht="15" hidden="false" customHeight="true" outlineLevel="0" collapsed="false">
      <c r="A318" s="8" t="s">
        <v>124</v>
      </c>
      <c r="B318" s="15"/>
      <c r="C318" s="15"/>
      <c r="D318" s="15"/>
      <c r="E318" s="15"/>
      <c r="G318" s="15"/>
      <c r="H318" s="15"/>
      <c r="I318" s="15"/>
      <c r="J318" s="15"/>
      <c r="L318" s="5" t="s">
        <v>237</v>
      </c>
    </row>
    <row r="319" customFormat="false" ht="12" hidden="false" customHeight="true" outlineLevel="0" collapsed="false">
      <c r="A319" s="5" t="s">
        <v>64</v>
      </c>
      <c r="F319" s="10" t="s">
        <v>0</v>
      </c>
      <c r="G319" s="10"/>
      <c r="H319" s="10"/>
      <c r="I319" s="10"/>
      <c r="J319" s="10" t="s">
        <v>1</v>
      </c>
      <c r="K319" s="10"/>
      <c r="L319" s="10"/>
      <c r="M319" s="10"/>
      <c r="N319" s="10" t="s">
        <v>2</v>
      </c>
      <c r="O319" s="10"/>
      <c r="P319" s="10"/>
      <c r="Q319" s="10"/>
      <c r="R319" s="10" t="s">
        <v>3</v>
      </c>
      <c r="S319" s="10"/>
      <c r="T319" s="10"/>
      <c r="U319" s="10"/>
      <c r="V319" s="10" t="s">
        <v>4</v>
      </c>
      <c r="W319" s="10"/>
      <c r="X319" s="10"/>
      <c r="Y319" s="10"/>
      <c r="Z319" s="10" t="s">
        <v>5</v>
      </c>
      <c r="AA319" s="10"/>
      <c r="AB319" s="10"/>
      <c r="AC319" s="10"/>
      <c r="AD319" s="10" t="s">
        <v>6</v>
      </c>
      <c r="AE319" s="10"/>
      <c r="AF319" s="10"/>
      <c r="AG319" s="10"/>
      <c r="AH319" s="10" t="s">
        <v>7</v>
      </c>
      <c r="AI319" s="10"/>
      <c r="AJ319" s="10"/>
      <c r="AK319" s="10"/>
      <c r="AL319" s="10" t="s">
        <v>8</v>
      </c>
      <c r="AM319" s="10"/>
      <c r="AN319" s="10"/>
      <c r="AO319" s="10"/>
      <c r="AP319" s="10" t="s">
        <v>9</v>
      </c>
      <c r="AQ319" s="10"/>
      <c r="AR319" s="10"/>
      <c r="AS319" s="10"/>
      <c r="AT319" s="10" t="s">
        <v>10</v>
      </c>
      <c r="AU319" s="10"/>
      <c r="AV319" s="10"/>
      <c r="AW319" s="10"/>
      <c r="AX319" s="10" t="s">
        <v>11</v>
      </c>
      <c r="AY319" s="10"/>
      <c r="AZ319" s="10"/>
      <c r="BA319" s="10"/>
    </row>
    <row r="320" customFormat="false" ht="21.75" hidden="false" customHeight="true" outlineLevel="0" collapsed="false">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row>
    <row r="321" customFormat="false" ht="12" hidden="false" customHeight="true" outlineLevel="0" collapsed="false">
      <c r="A321" s="5" t="s">
        <v>65</v>
      </c>
      <c r="H321" s="10" t="s">
        <v>66</v>
      </c>
      <c r="I321" s="10"/>
      <c r="J321" s="10"/>
      <c r="K321" s="10"/>
      <c r="L321" s="10" t="s">
        <v>67</v>
      </c>
      <c r="M321" s="10"/>
      <c r="N321" s="10"/>
      <c r="O321" s="10"/>
      <c r="P321" s="10" t="s">
        <v>68</v>
      </c>
      <c r="Q321" s="10"/>
      <c r="R321" s="10"/>
      <c r="S321" s="10"/>
      <c r="T321" s="10" t="s">
        <v>69</v>
      </c>
      <c r="U321" s="10"/>
      <c r="V321" s="10"/>
      <c r="W321" s="10"/>
      <c r="X321" s="10" t="s">
        <v>70</v>
      </c>
      <c r="Y321" s="10"/>
      <c r="Z321" s="10"/>
      <c r="AA321" s="10"/>
      <c r="AB321" s="10" t="s">
        <v>71</v>
      </c>
      <c r="AC321" s="10"/>
      <c r="AD321" s="10"/>
      <c r="AE321" s="10"/>
      <c r="AF321" s="10" t="s">
        <v>72</v>
      </c>
      <c r="AG321" s="10"/>
      <c r="AH321" s="10"/>
      <c r="AI321" s="10"/>
      <c r="AJ321" s="10" t="s">
        <v>73</v>
      </c>
      <c r="AK321" s="10"/>
      <c r="AL321" s="10"/>
      <c r="AM321" s="10"/>
      <c r="AN321" s="10" t="s">
        <v>74</v>
      </c>
      <c r="AO321" s="10"/>
      <c r="AP321" s="10"/>
      <c r="AQ321" s="10"/>
      <c r="AR321" s="10" t="s">
        <v>75</v>
      </c>
      <c r="AS321" s="10"/>
      <c r="AT321" s="10"/>
      <c r="AU321" s="10"/>
      <c r="AV321" s="10" t="s">
        <v>22</v>
      </c>
      <c r="AW321" s="10"/>
      <c r="AX321" s="10"/>
      <c r="AY321" s="10"/>
      <c r="AZ321" s="10" t="s">
        <v>23</v>
      </c>
      <c r="BA321" s="10"/>
      <c r="BB321" s="10"/>
      <c r="BC321" s="10"/>
    </row>
    <row r="322" customFormat="false" ht="21.75" hidden="false" customHeight="true" outlineLevel="0" collapsed="false">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row>
    <row r="323" customFormat="false" ht="12" hidden="false" customHeight="true" outlineLevel="0" collapsed="false">
      <c r="A323" s="5" t="s">
        <v>82</v>
      </c>
      <c r="I323" s="10" t="s">
        <v>83</v>
      </c>
      <c r="J323" s="10"/>
      <c r="K323" s="10"/>
      <c r="L323" s="10"/>
      <c r="M323" s="10" t="s">
        <v>84</v>
      </c>
      <c r="N323" s="10"/>
      <c r="O323" s="10"/>
      <c r="P323" s="10"/>
      <c r="Q323" s="10" t="s">
        <v>85</v>
      </c>
      <c r="R323" s="10"/>
      <c r="S323" s="10"/>
      <c r="T323" s="10"/>
      <c r="U323" s="10" t="s">
        <v>86</v>
      </c>
      <c r="V323" s="10"/>
      <c r="W323" s="10"/>
      <c r="X323" s="10"/>
      <c r="Y323" s="10" t="s">
        <v>87</v>
      </c>
      <c r="Z323" s="10"/>
      <c r="AA323" s="10"/>
      <c r="AB323" s="10"/>
      <c r="AC323" s="10" t="s">
        <v>88</v>
      </c>
      <c r="AD323" s="10"/>
      <c r="AE323" s="10"/>
      <c r="AF323" s="10"/>
      <c r="AG323" s="10" t="s">
        <v>89</v>
      </c>
      <c r="AH323" s="10"/>
      <c r="AI323" s="10"/>
      <c r="AJ323" s="10"/>
      <c r="AK323" s="10" t="s">
        <v>90</v>
      </c>
      <c r="AL323" s="10"/>
      <c r="AM323" s="10"/>
      <c r="AN323" s="10"/>
      <c r="AO323" s="10" t="s">
        <v>91</v>
      </c>
      <c r="AP323" s="10"/>
      <c r="AQ323" s="10"/>
      <c r="AR323" s="10"/>
      <c r="AS323" s="10" t="s">
        <v>33</v>
      </c>
      <c r="AT323" s="10"/>
      <c r="AU323" s="10"/>
      <c r="AV323" s="10"/>
      <c r="AW323" s="10" t="s">
        <v>34</v>
      </c>
      <c r="AX323" s="10"/>
      <c r="AY323" s="10"/>
      <c r="AZ323" s="10"/>
    </row>
    <row r="324" customFormat="false" ht="21.75" hidden="false" customHeight="true" outlineLevel="0" collapsed="false">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row>
    <row r="325" customFormat="false" ht="12" hidden="false" customHeight="true" outlineLevel="0" collapsed="false">
      <c r="A325" s="5" t="s">
        <v>102</v>
      </c>
      <c r="K325" s="10" t="s">
        <v>103</v>
      </c>
      <c r="L325" s="10"/>
      <c r="M325" s="10"/>
      <c r="N325" s="10"/>
      <c r="O325" s="10" t="s">
        <v>104</v>
      </c>
      <c r="P325" s="10"/>
      <c r="Q325" s="10"/>
      <c r="R325" s="10"/>
      <c r="S325" s="10" t="s">
        <v>105</v>
      </c>
      <c r="T325" s="10"/>
      <c r="U325" s="10"/>
      <c r="V325" s="10"/>
      <c r="W325" s="10" t="s">
        <v>106</v>
      </c>
      <c r="X325" s="10"/>
      <c r="Y325" s="10"/>
      <c r="Z325" s="10"/>
      <c r="AA325" s="10" t="s">
        <v>107</v>
      </c>
      <c r="AB325" s="10"/>
      <c r="AC325" s="10"/>
      <c r="AD325" s="10"/>
      <c r="AE325" s="10" t="s">
        <v>108</v>
      </c>
      <c r="AF325" s="10"/>
      <c r="AG325" s="10"/>
      <c r="AH325" s="10"/>
      <c r="AI325" s="10" t="s">
        <v>109</v>
      </c>
      <c r="AJ325" s="10"/>
      <c r="AK325" s="10"/>
      <c r="AL325" s="10"/>
      <c r="AM325" s="10" t="s">
        <v>42</v>
      </c>
      <c r="AN325" s="10"/>
      <c r="AO325" s="10"/>
      <c r="AP325" s="10"/>
      <c r="AQ325" s="10" t="s">
        <v>43</v>
      </c>
      <c r="AR325" s="10"/>
      <c r="AS325" s="10"/>
      <c r="AT325" s="10"/>
      <c r="AU325" s="10" t="s">
        <v>44</v>
      </c>
      <c r="AV325" s="10"/>
      <c r="AW325" s="10"/>
      <c r="AX325" s="10"/>
    </row>
    <row r="326" customFormat="false" ht="21.75" hidden="false" customHeight="true" outlineLevel="0" collapsed="false">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customFormat="false" ht="12" hidden="false" customHeight="true" outlineLevel="0" collapsed="false">
      <c r="A327" s="5" t="s">
        <v>120</v>
      </c>
      <c r="P327" s="10" t="s">
        <v>48</v>
      </c>
      <c r="Q327" s="10"/>
      <c r="R327" s="10"/>
      <c r="S327" s="10"/>
      <c r="T327" s="10" t="s">
        <v>50</v>
      </c>
      <c r="U327" s="10"/>
      <c r="V327" s="10"/>
      <c r="W327" s="10"/>
      <c r="X327" s="10"/>
      <c r="Y327" s="10"/>
      <c r="Z327" s="10"/>
      <c r="AA327" s="10"/>
      <c r="AB327" s="10"/>
      <c r="AC327" s="10"/>
      <c r="AD327" s="10"/>
      <c r="AE327" s="10"/>
      <c r="AF327" s="10"/>
      <c r="AG327" s="10"/>
      <c r="AH327" s="10"/>
      <c r="AI327" s="10"/>
      <c r="AJ327" s="10"/>
      <c r="AK327" s="10"/>
      <c r="AL327" s="10" t="s">
        <v>45</v>
      </c>
      <c r="AM327" s="10"/>
      <c r="AN327" s="10"/>
      <c r="AO327" s="10"/>
      <c r="AP327" s="10" t="s">
        <v>46</v>
      </c>
      <c r="AQ327" s="10"/>
      <c r="AR327" s="10"/>
      <c r="AS327" s="10"/>
    </row>
    <row r="328" customFormat="false" ht="21.75" hidden="false" customHeight="true" outlineLevel="0" collapsed="false">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row>
    <row r="330" customFormat="false" ht="18.75" hidden="false" customHeight="true" outlineLevel="0" collapsed="false">
      <c r="A330" s="14" t="s">
        <v>312</v>
      </c>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row>
    <row r="331" customFormat="false" ht="15" hidden="false" customHeight="true" outlineLevel="0" collapsed="false">
      <c r="A331" s="8" t="s">
        <v>124</v>
      </c>
      <c r="B331" s="15"/>
      <c r="C331" s="15"/>
      <c r="D331" s="15"/>
      <c r="E331" s="15"/>
      <c r="G331" s="15"/>
      <c r="H331" s="15"/>
      <c r="I331" s="15"/>
      <c r="J331" s="15"/>
      <c r="L331" s="5" t="s">
        <v>237</v>
      </c>
    </row>
    <row r="332" customFormat="false" ht="12" hidden="false" customHeight="true" outlineLevel="0" collapsed="false">
      <c r="A332" s="5" t="s">
        <v>64</v>
      </c>
      <c r="F332" s="10" t="s">
        <v>0</v>
      </c>
      <c r="G332" s="10"/>
      <c r="H332" s="10"/>
      <c r="I332" s="10"/>
      <c r="J332" s="10" t="s">
        <v>1</v>
      </c>
      <c r="K332" s="10"/>
      <c r="L332" s="10"/>
      <c r="M332" s="10"/>
      <c r="N332" s="10" t="s">
        <v>2</v>
      </c>
      <c r="O332" s="10"/>
      <c r="P332" s="10"/>
      <c r="Q332" s="10"/>
      <c r="R332" s="10" t="s">
        <v>3</v>
      </c>
      <c r="S332" s="10"/>
      <c r="T332" s="10"/>
      <c r="U332" s="10"/>
      <c r="V332" s="10" t="s">
        <v>4</v>
      </c>
      <c r="W332" s="10"/>
      <c r="X332" s="10"/>
      <c r="Y332" s="10"/>
      <c r="Z332" s="10" t="s">
        <v>5</v>
      </c>
      <c r="AA332" s="10"/>
      <c r="AB332" s="10"/>
      <c r="AC332" s="10"/>
      <c r="AD332" s="10" t="s">
        <v>6</v>
      </c>
      <c r="AE332" s="10"/>
      <c r="AF332" s="10"/>
      <c r="AG332" s="10"/>
      <c r="AH332" s="10" t="s">
        <v>7</v>
      </c>
      <c r="AI332" s="10"/>
      <c r="AJ332" s="10"/>
      <c r="AK332" s="10"/>
      <c r="AL332" s="10" t="s">
        <v>8</v>
      </c>
      <c r="AM332" s="10"/>
      <c r="AN332" s="10"/>
      <c r="AO332" s="10"/>
      <c r="AP332" s="10" t="s">
        <v>9</v>
      </c>
      <c r="AQ332" s="10"/>
      <c r="AR332" s="10"/>
      <c r="AS332" s="10"/>
      <c r="AT332" s="10" t="s">
        <v>10</v>
      </c>
      <c r="AU332" s="10"/>
      <c r="AV332" s="10"/>
      <c r="AW332" s="10"/>
      <c r="AX332" s="10" t="s">
        <v>11</v>
      </c>
      <c r="AY332" s="10"/>
      <c r="AZ332" s="10"/>
      <c r="BA332" s="10"/>
    </row>
    <row r="333" customFormat="false" ht="21.75" hidden="false" customHeight="true" outlineLevel="0" collapsed="false">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row>
    <row r="334" customFormat="false" ht="12" hidden="false" customHeight="true" outlineLevel="0" collapsed="false">
      <c r="A334" s="5" t="s">
        <v>65</v>
      </c>
      <c r="H334" s="10" t="s">
        <v>66</v>
      </c>
      <c r="I334" s="10"/>
      <c r="J334" s="10"/>
      <c r="K334" s="10"/>
      <c r="L334" s="10" t="s">
        <v>67</v>
      </c>
      <c r="M334" s="10"/>
      <c r="N334" s="10"/>
      <c r="O334" s="10"/>
      <c r="P334" s="10" t="s">
        <v>68</v>
      </c>
      <c r="Q334" s="10"/>
      <c r="R334" s="10"/>
      <c r="S334" s="10"/>
      <c r="T334" s="10" t="s">
        <v>69</v>
      </c>
      <c r="U334" s="10"/>
      <c r="V334" s="10"/>
      <c r="W334" s="10"/>
      <c r="X334" s="10" t="s">
        <v>70</v>
      </c>
      <c r="Y334" s="10"/>
      <c r="Z334" s="10"/>
      <c r="AA334" s="10"/>
      <c r="AB334" s="10" t="s">
        <v>71</v>
      </c>
      <c r="AC334" s="10"/>
      <c r="AD334" s="10"/>
      <c r="AE334" s="10"/>
      <c r="AF334" s="10" t="s">
        <v>72</v>
      </c>
      <c r="AG334" s="10"/>
      <c r="AH334" s="10"/>
      <c r="AI334" s="10"/>
      <c r="AJ334" s="10" t="s">
        <v>73</v>
      </c>
      <c r="AK334" s="10"/>
      <c r="AL334" s="10"/>
      <c r="AM334" s="10"/>
      <c r="AN334" s="10" t="s">
        <v>74</v>
      </c>
      <c r="AO334" s="10"/>
      <c r="AP334" s="10"/>
      <c r="AQ334" s="10"/>
      <c r="AR334" s="10" t="s">
        <v>75</v>
      </c>
      <c r="AS334" s="10"/>
      <c r="AT334" s="10"/>
      <c r="AU334" s="10"/>
      <c r="AV334" s="10" t="s">
        <v>22</v>
      </c>
      <c r="AW334" s="10"/>
      <c r="AX334" s="10"/>
      <c r="AY334" s="10"/>
      <c r="AZ334" s="10" t="s">
        <v>23</v>
      </c>
      <c r="BA334" s="10"/>
      <c r="BB334" s="10"/>
      <c r="BC334" s="10"/>
    </row>
    <row r="335" customFormat="false" ht="21.75" hidden="false" customHeight="true" outlineLevel="0" collapsed="false">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row>
    <row r="336" customFormat="false" ht="12" hidden="false" customHeight="true" outlineLevel="0" collapsed="false">
      <c r="A336" s="5" t="s">
        <v>82</v>
      </c>
      <c r="I336" s="10" t="s">
        <v>83</v>
      </c>
      <c r="J336" s="10"/>
      <c r="K336" s="10"/>
      <c r="L336" s="10"/>
      <c r="M336" s="10" t="s">
        <v>84</v>
      </c>
      <c r="N336" s="10"/>
      <c r="O336" s="10"/>
      <c r="P336" s="10"/>
      <c r="Q336" s="10" t="s">
        <v>85</v>
      </c>
      <c r="R336" s="10"/>
      <c r="S336" s="10"/>
      <c r="T336" s="10"/>
      <c r="U336" s="10" t="s">
        <v>86</v>
      </c>
      <c r="V336" s="10"/>
      <c r="W336" s="10"/>
      <c r="X336" s="10"/>
      <c r="Y336" s="10" t="s">
        <v>87</v>
      </c>
      <c r="Z336" s="10"/>
      <c r="AA336" s="10"/>
      <c r="AB336" s="10"/>
      <c r="AC336" s="10" t="s">
        <v>88</v>
      </c>
      <c r="AD336" s="10"/>
      <c r="AE336" s="10"/>
      <c r="AF336" s="10"/>
      <c r="AG336" s="10" t="s">
        <v>89</v>
      </c>
      <c r="AH336" s="10"/>
      <c r="AI336" s="10"/>
      <c r="AJ336" s="10"/>
      <c r="AK336" s="10" t="s">
        <v>90</v>
      </c>
      <c r="AL336" s="10"/>
      <c r="AM336" s="10"/>
      <c r="AN336" s="10"/>
      <c r="AO336" s="10" t="s">
        <v>91</v>
      </c>
      <c r="AP336" s="10"/>
      <c r="AQ336" s="10"/>
      <c r="AR336" s="10"/>
      <c r="AS336" s="10" t="s">
        <v>33</v>
      </c>
      <c r="AT336" s="10"/>
      <c r="AU336" s="10"/>
      <c r="AV336" s="10"/>
      <c r="AW336" s="10" t="s">
        <v>34</v>
      </c>
      <c r="AX336" s="10"/>
      <c r="AY336" s="10"/>
      <c r="AZ336" s="10"/>
    </row>
    <row r="337" customFormat="false" ht="21.75" hidden="false" customHeight="true" outlineLevel="0" collapsed="false">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row>
    <row r="338" customFormat="false" ht="12" hidden="false" customHeight="true" outlineLevel="0" collapsed="false">
      <c r="A338" s="5" t="s">
        <v>102</v>
      </c>
      <c r="K338" s="10" t="s">
        <v>103</v>
      </c>
      <c r="L338" s="10"/>
      <c r="M338" s="10"/>
      <c r="N338" s="10"/>
      <c r="O338" s="10" t="s">
        <v>104</v>
      </c>
      <c r="P338" s="10"/>
      <c r="Q338" s="10"/>
      <c r="R338" s="10"/>
      <c r="S338" s="10" t="s">
        <v>105</v>
      </c>
      <c r="T338" s="10"/>
      <c r="U338" s="10"/>
      <c r="V338" s="10"/>
      <c r="W338" s="10" t="s">
        <v>106</v>
      </c>
      <c r="X338" s="10"/>
      <c r="Y338" s="10"/>
      <c r="Z338" s="10"/>
      <c r="AA338" s="10" t="s">
        <v>107</v>
      </c>
      <c r="AB338" s="10"/>
      <c r="AC338" s="10"/>
      <c r="AD338" s="10"/>
      <c r="AE338" s="10" t="s">
        <v>108</v>
      </c>
      <c r="AF338" s="10"/>
      <c r="AG338" s="10"/>
      <c r="AH338" s="10"/>
      <c r="AI338" s="10" t="s">
        <v>109</v>
      </c>
      <c r="AJ338" s="10"/>
      <c r="AK338" s="10"/>
      <c r="AL338" s="10"/>
      <c r="AM338" s="10" t="s">
        <v>42</v>
      </c>
      <c r="AN338" s="10"/>
      <c r="AO338" s="10"/>
      <c r="AP338" s="10"/>
      <c r="AQ338" s="10" t="s">
        <v>43</v>
      </c>
      <c r="AR338" s="10"/>
      <c r="AS338" s="10"/>
      <c r="AT338" s="10"/>
      <c r="AU338" s="10" t="s">
        <v>44</v>
      </c>
      <c r="AV338" s="10"/>
      <c r="AW338" s="10"/>
      <c r="AX338" s="10"/>
    </row>
    <row r="339" customFormat="false" ht="21.75" hidden="false" customHeight="true" outlineLevel="0" collapsed="false">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customFormat="false" ht="12" hidden="false" customHeight="true" outlineLevel="0" collapsed="false">
      <c r="A340" s="5" t="s">
        <v>120</v>
      </c>
      <c r="P340" s="10" t="s">
        <v>48</v>
      </c>
      <c r="Q340" s="10"/>
      <c r="R340" s="10"/>
      <c r="S340" s="10"/>
      <c r="T340" s="10" t="s">
        <v>50</v>
      </c>
      <c r="U340" s="10"/>
      <c r="V340" s="10"/>
      <c r="W340" s="10"/>
      <c r="X340" s="10"/>
      <c r="Y340" s="10"/>
      <c r="Z340" s="10"/>
      <c r="AA340" s="10"/>
      <c r="AB340" s="10"/>
      <c r="AC340" s="10"/>
      <c r="AD340" s="10"/>
      <c r="AE340" s="10"/>
      <c r="AF340" s="10"/>
      <c r="AG340" s="10"/>
      <c r="AH340" s="10"/>
      <c r="AI340" s="10"/>
      <c r="AJ340" s="10"/>
      <c r="AK340" s="10"/>
      <c r="AL340" s="10" t="s">
        <v>45</v>
      </c>
      <c r="AM340" s="10"/>
      <c r="AN340" s="10"/>
      <c r="AO340" s="10"/>
      <c r="AP340" s="10" t="s">
        <v>46</v>
      </c>
      <c r="AQ340" s="10"/>
      <c r="AR340" s="10"/>
      <c r="AS340" s="10"/>
    </row>
    <row r="341" customFormat="false" ht="21.75" hidden="false" customHeight="true" outlineLevel="0" collapsed="false">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row>
    <row r="343" customFormat="false" ht="18.75" hidden="false" customHeight="true" outlineLevel="0" collapsed="false">
      <c r="A343" s="14" t="s">
        <v>313</v>
      </c>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row>
    <row r="344" customFormat="false" ht="15" hidden="false" customHeight="true" outlineLevel="0" collapsed="false">
      <c r="A344" s="8" t="s">
        <v>124</v>
      </c>
      <c r="B344" s="15"/>
      <c r="C344" s="15"/>
      <c r="D344" s="15"/>
      <c r="E344" s="15"/>
      <c r="G344" s="15"/>
      <c r="H344" s="15"/>
      <c r="I344" s="15"/>
      <c r="J344" s="15"/>
      <c r="L344" s="5" t="s">
        <v>237</v>
      </c>
    </row>
    <row r="345" customFormat="false" ht="12" hidden="false" customHeight="true" outlineLevel="0" collapsed="false">
      <c r="A345" s="5" t="s">
        <v>64</v>
      </c>
      <c r="F345" s="10" t="s">
        <v>0</v>
      </c>
      <c r="G345" s="10"/>
      <c r="H345" s="10"/>
      <c r="I345" s="10"/>
      <c r="J345" s="10" t="s">
        <v>1</v>
      </c>
      <c r="K345" s="10"/>
      <c r="L345" s="10"/>
      <c r="M345" s="10"/>
      <c r="N345" s="10" t="s">
        <v>2</v>
      </c>
      <c r="O345" s="10"/>
      <c r="P345" s="10"/>
      <c r="Q345" s="10"/>
      <c r="R345" s="10" t="s">
        <v>3</v>
      </c>
      <c r="S345" s="10"/>
      <c r="T345" s="10"/>
      <c r="U345" s="10"/>
      <c r="V345" s="10" t="s">
        <v>4</v>
      </c>
      <c r="W345" s="10"/>
      <c r="X345" s="10"/>
      <c r="Y345" s="10"/>
      <c r="Z345" s="10" t="s">
        <v>5</v>
      </c>
      <c r="AA345" s="10"/>
      <c r="AB345" s="10"/>
      <c r="AC345" s="10"/>
      <c r="AD345" s="10" t="s">
        <v>6</v>
      </c>
      <c r="AE345" s="10"/>
      <c r="AF345" s="10"/>
      <c r="AG345" s="10"/>
      <c r="AH345" s="10" t="s">
        <v>7</v>
      </c>
      <c r="AI345" s="10"/>
      <c r="AJ345" s="10"/>
      <c r="AK345" s="10"/>
      <c r="AL345" s="10" t="s">
        <v>8</v>
      </c>
      <c r="AM345" s="10"/>
      <c r="AN345" s="10"/>
      <c r="AO345" s="10"/>
      <c r="AP345" s="10" t="s">
        <v>9</v>
      </c>
      <c r="AQ345" s="10"/>
      <c r="AR345" s="10"/>
      <c r="AS345" s="10"/>
      <c r="AT345" s="10" t="s">
        <v>10</v>
      </c>
      <c r="AU345" s="10"/>
      <c r="AV345" s="10"/>
      <c r="AW345" s="10"/>
      <c r="AX345" s="10" t="s">
        <v>11</v>
      </c>
      <c r="AY345" s="10"/>
      <c r="AZ345" s="10"/>
      <c r="BA345" s="10"/>
    </row>
    <row r="346" customFormat="false" ht="21.75" hidden="false" customHeight="true" outlineLevel="0" collapsed="false">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row>
    <row r="347" customFormat="false" ht="12" hidden="false" customHeight="true" outlineLevel="0" collapsed="false">
      <c r="A347" s="5" t="s">
        <v>65</v>
      </c>
      <c r="H347" s="10" t="s">
        <v>66</v>
      </c>
      <c r="I347" s="10"/>
      <c r="J347" s="10"/>
      <c r="K347" s="10"/>
      <c r="L347" s="10" t="s">
        <v>67</v>
      </c>
      <c r="M347" s="10"/>
      <c r="N347" s="10"/>
      <c r="O347" s="10"/>
      <c r="P347" s="10" t="s">
        <v>68</v>
      </c>
      <c r="Q347" s="10"/>
      <c r="R347" s="10"/>
      <c r="S347" s="10"/>
      <c r="T347" s="10" t="s">
        <v>69</v>
      </c>
      <c r="U347" s="10"/>
      <c r="V347" s="10"/>
      <c r="W347" s="10"/>
      <c r="X347" s="10" t="s">
        <v>70</v>
      </c>
      <c r="Y347" s="10"/>
      <c r="Z347" s="10"/>
      <c r="AA347" s="10"/>
      <c r="AB347" s="10" t="s">
        <v>71</v>
      </c>
      <c r="AC347" s="10"/>
      <c r="AD347" s="10"/>
      <c r="AE347" s="10"/>
      <c r="AF347" s="10" t="s">
        <v>72</v>
      </c>
      <c r="AG347" s="10"/>
      <c r="AH347" s="10"/>
      <c r="AI347" s="10"/>
      <c r="AJ347" s="10" t="s">
        <v>73</v>
      </c>
      <c r="AK347" s="10"/>
      <c r="AL347" s="10"/>
      <c r="AM347" s="10"/>
      <c r="AN347" s="10" t="s">
        <v>74</v>
      </c>
      <c r="AO347" s="10"/>
      <c r="AP347" s="10"/>
      <c r="AQ347" s="10"/>
      <c r="AR347" s="10" t="s">
        <v>75</v>
      </c>
      <c r="AS347" s="10"/>
      <c r="AT347" s="10"/>
      <c r="AU347" s="10"/>
      <c r="AV347" s="10" t="s">
        <v>22</v>
      </c>
      <c r="AW347" s="10"/>
      <c r="AX347" s="10"/>
      <c r="AY347" s="10"/>
      <c r="AZ347" s="10" t="s">
        <v>23</v>
      </c>
      <c r="BA347" s="10"/>
      <c r="BB347" s="10"/>
      <c r="BC347" s="10"/>
    </row>
    <row r="348" customFormat="false" ht="21.75" hidden="false" customHeight="true" outlineLevel="0" collapsed="false">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row>
    <row r="349" customFormat="false" ht="12" hidden="false" customHeight="true" outlineLevel="0" collapsed="false">
      <c r="A349" s="5" t="s">
        <v>82</v>
      </c>
      <c r="I349" s="10" t="s">
        <v>83</v>
      </c>
      <c r="J349" s="10"/>
      <c r="K349" s="10"/>
      <c r="L349" s="10"/>
      <c r="M349" s="10" t="s">
        <v>84</v>
      </c>
      <c r="N349" s="10"/>
      <c r="O349" s="10"/>
      <c r="P349" s="10"/>
      <c r="Q349" s="10" t="s">
        <v>85</v>
      </c>
      <c r="R349" s="10"/>
      <c r="S349" s="10"/>
      <c r="T349" s="10"/>
      <c r="U349" s="10" t="s">
        <v>86</v>
      </c>
      <c r="V349" s="10"/>
      <c r="W349" s="10"/>
      <c r="X349" s="10"/>
      <c r="Y349" s="10" t="s">
        <v>87</v>
      </c>
      <c r="Z349" s="10"/>
      <c r="AA349" s="10"/>
      <c r="AB349" s="10"/>
      <c r="AC349" s="10" t="s">
        <v>88</v>
      </c>
      <c r="AD349" s="10"/>
      <c r="AE349" s="10"/>
      <c r="AF349" s="10"/>
      <c r="AG349" s="10" t="s">
        <v>89</v>
      </c>
      <c r="AH349" s="10"/>
      <c r="AI349" s="10"/>
      <c r="AJ349" s="10"/>
      <c r="AK349" s="10" t="s">
        <v>90</v>
      </c>
      <c r="AL349" s="10"/>
      <c r="AM349" s="10"/>
      <c r="AN349" s="10"/>
      <c r="AO349" s="10" t="s">
        <v>91</v>
      </c>
      <c r="AP349" s="10"/>
      <c r="AQ349" s="10"/>
      <c r="AR349" s="10"/>
      <c r="AS349" s="10" t="s">
        <v>33</v>
      </c>
      <c r="AT349" s="10"/>
      <c r="AU349" s="10"/>
      <c r="AV349" s="10"/>
      <c r="AW349" s="10" t="s">
        <v>34</v>
      </c>
      <c r="AX349" s="10"/>
      <c r="AY349" s="10"/>
      <c r="AZ349" s="10"/>
    </row>
    <row r="350" customFormat="false" ht="21.75" hidden="false" customHeight="true" outlineLevel="0" collapsed="false">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row>
    <row r="351" customFormat="false" ht="12" hidden="false" customHeight="true" outlineLevel="0" collapsed="false">
      <c r="A351" s="5" t="s">
        <v>102</v>
      </c>
      <c r="K351" s="10" t="s">
        <v>103</v>
      </c>
      <c r="L351" s="10"/>
      <c r="M351" s="10"/>
      <c r="N351" s="10"/>
      <c r="O351" s="10" t="s">
        <v>104</v>
      </c>
      <c r="P351" s="10"/>
      <c r="Q351" s="10"/>
      <c r="R351" s="10"/>
      <c r="S351" s="10" t="s">
        <v>105</v>
      </c>
      <c r="T351" s="10"/>
      <c r="U351" s="10"/>
      <c r="V351" s="10"/>
      <c r="W351" s="10" t="s">
        <v>106</v>
      </c>
      <c r="X351" s="10"/>
      <c r="Y351" s="10"/>
      <c r="Z351" s="10"/>
      <c r="AA351" s="10" t="s">
        <v>107</v>
      </c>
      <c r="AB351" s="10"/>
      <c r="AC351" s="10"/>
      <c r="AD351" s="10"/>
      <c r="AE351" s="10" t="s">
        <v>108</v>
      </c>
      <c r="AF351" s="10"/>
      <c r="AG351" s="10"/>
      <c r="AH351" s="10"/>
      <c r="AI351" s="10" t="s">
        <v>109</v>
      </c>
      <c r="AJ351" s="10"/>
      <c r="AK351" s="10"/>
      <c r="AL351" s="10"/>
      <c r="AM351" s="10" t="s">
        <v>42</v>
      </c>
      <c r="AN351" s="10"/>
      <c r="AO351" s="10"/>
      <c r="AP351" s="10"/>
      <c r="AQ351" s="10" t="s">
        <v>43</v>
      </c>
      <c r="AR351" s="10"/>
      <c r="AS351" s="10"/>
      <c r="AT351" s="10"/>
      <c r="AU351" s="10" t="s">
        <v>44</v>
      </c>
      <c r="AV351" s="10"/>
      <c r="AW351" s="10"/>
      <c r="AX351" s="10"/>
    </row>
    <row r="352" customFormat="false" ht="21.75" hidden="false" customHeight="true" outlineLevel="0" collapsed="false">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customFormat="false" ht="12" hidden="false" customHeight="true" outlineLevel="0" collapsed="false">
      <c r="A353" s="5" t="s">
        <v>120</v>
      </c>
      <c r="P353" s="10" t="s">
        <v>48</v>
      </c>
      <c r="Q353" s="10"/>
      <c r="R353" s="10"/>
      <c r="S353" s="10"/>
      <c r="T353" s="10" t="s">
        <v>50</v>
      </c>
      <c r="U353" s="10"/>
      <c r="V353" s="10"/>
      <c r="W353" s="10"/>
      <c r="X353" s="10"/>
      <c r="Y353" s="10"/>
      <c r="Z353" s="10"/>
      <c r="AA353" s="10"/>
      <c r="AB353" s="10"/>
      <c r="AC353" s="10"/>
      <c r="AD353" s="10"/>
      <c r="AE353" s="10"/>
      <c r="AF353" s="10"/>
      <c r="AG353" s="10"/>
      <c r="AH353" s="10"/>
      <c r="AI353" s="10"/>
      <c r="AJ353" s="10"/>
      <c r="AK353" s="10"/>
      <c r="AL353" s="10" t="s">
        <v>45</v>
      </c>
      <c r="AM353" s="10"/>
      <c r="AN353" s="10"/>
      <c r="AO353" s="10"/>
      <c r="AP353" s="10" t="s">
        <v>46</v>
      </c>
      <c r="AQ353" s="10"/>
      <c r="AR353" s="10"/>
      <c r="AS353" s="10"/>
    </row>
    <row r="354" customFormat="false" ht="21.75" hidden="false" customHeight="true" outlineLevel="0" collapsed="false">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row>
    <row r="356" customFormat="false" ht="18.75" hidden="false" customHeight="true" outlineLevel="0" collapsed="false">
      <c r="A356" s="14" t="s">
        <v>314</v>
      </c>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row>
    <row r="357" customFormat="false" ht="15" hidden="false" customHeight="true" outlineLevel="0" collapsed="false">
      <c r="A357" s="8" t="s">
        <v>124</v>
      </c>
      <c r="B357" s="15"/>
      <c r="C357" s="15"/>
      <c r="D357" s="15"/>
      <c r="E357" s="15"/>
      <c r="G357" s="15"/>
      <c r="H357" s="15"/>
      <c r="I357" s="15"/>
      <c r="J357" s="15"/>
      <c r="L357" s="5" t="s">
        <v>237</v>
      </c>
    </row>
    <row r="358" customFormat="false" ht="12" hidden="false" customHeight="true" outlineLevel="0" collapsed="false">
      <c r="A358" s="5" t="s">
        <v>64</v>
      </c>
      <c r="F358" s="10" t="s">
        <v>0</v>
      </c>
      <c r="G358" s="10"/>
      <c r="H358" s="10"/>
      <c r="I358" s="10"/>
      <c r="J358" s="10" t="s">
        <v>1</v>
      </c>
      <c r="K358" s="10"/>
      <c r="L358" s="10"/>
      <c r="M358" s="10"/>
      <c r="N358" s="10" t="s">
        <v>2</v>
      </c>
      <c r="O358" s="10"/>
      <c r="P358" s="10"/>
      <c r="Q358" s="10"/>
      <c r="R358" s="10" t="s">
        <v>3</v>
      </c>
      <c r="S358" s="10"/>
      <c r="T358" s="10"/>
      <c r="U358" s="10"/>
      <c r="V358" s="10" t="s">
        <v>4</v>
      </c>
      <c r="W358" s="10"/>
      <c r="X358" s="10"/>
      <c r="Y358" s="10"/>
      <c r="Z358" s="10" t="s">
        <v>5</v>
      </c>
      <c r="AA358" s="10"/>
      <c r="AB358" s="10"/>
      <c r="AC358" s="10"/>
      <c r="AD358" s="10" t="s">
        <v>6</v>
      </c>
      <c r="AE358" s="10"/>
      <c r="AF358" s="10"/>
      <c r="AG358" s="10"/>
      <c r="AH358" s="10" t="s">
        <v>7</v>
      </c>
      <c r="AI358" s="10"/>
      <c r="AJ358" s="10"/>
      <c r="AK358" s="10"/>
      <c r="AL358" s="10" t="s">
        <v>8</v>
      </c>
      <c r="AM358" s="10"/>
      <c r="AN358" s="10"/>
      <c r="AO358" s="10"/>
      <c r="AP358" s="10" t="s">
        <v>9</v>
      </c>
      <c r="AQ358" s="10"/>
      <c r="AR358" s="10"/>
      <c r="AS358" s="10"/>
      <c r="AT358" s="10" t="s">
        <v>10</v>
      </c>
      <c r="AU358" s="10"/>
      <c r="AV358" s="10"/>
      <c r="AW358" s="10"/>
      <c r="AX358" s="10" t="s">
        <v>11</v>
      </c>
      <c r="AY358" s="10"/>
      <c r="AZ358" s="10"/>
      <c r="BA358" s="10"/>
    </row>
    <row r="359" customFormat="false" ht="21.75" hidden="false" customHeight="true" outlineLevel="0" collapsed="false">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row>
    <row r="360" customFormat="false" ht="12" hidden="false" customHeight="true" outlineLevel="0" collapsed="false">
      <c r="A360" s="5" t="s">
        <v>65</v>
      </c>
      <c r="H360" s="10" t="s">
        <v>66</v>
      </c>
      <c r="I360" s="10"/>
      <c r="J360" s="10"/>
      <c r="K360" s="10"/>
      <c r="L360" s="10" t="s">
        <v>67</v>
      </c>
      <c r="M360" s="10"/>
      <c r="N360" s="10"/>
      <c r="O360" s="10"/>
      <c r="P360" s="10" t="s">
        <v>68</v>
      </c>
      <c r="Q360" s="10"/>
      <c r="R360" s="10"/>
      <c r="S360" s="10"/>
      <c r="T360" s="10" t="s">
        <v>69</v>
      </c>
      <c r="U360" s="10"/>
      <c r="V360" s="10"/>
      <c r="W360" s="10"/>
      <c r="X360" s="10" t="s">
        <v>70</v>
      </c>
      <c r="Y360" s="10"/>
      <c r="Z360" s="10"/>
      <c r="AA360" s="10"/>
      <c r="AB360" s="10" t="s">
        <v>71</v>
      </c>
      <c r="AC360" s="10"/>
      <c r="AD360" s="10"/>
      <c r="AE360" s="10"/>
      <c r="AF360" s="10" t="s">
        <v>72</v>
      </c>
      <c r="AG360" s="10"/>
      <c r="AH360" s="10"/>
      <c r="AI360" s="10"/>
      <c r="AJ360" s="10" t="s">
        <v>73</v>
      </c>
      <c r="AK360" s="10"/>
      <c r="AL360" s="10"/>
      <c r="AM360" s="10"/>
      <c r="AN360" s="10" t="s">
        <v>74</v>
      </c>
      <c r="AO360" s="10"/>
      <c r="AP360" s="10"/>
      <c r="AQ360" s="10"/>
      <c r="AR360" s="10" t="s">
        <v>75</v>
      </c>
      <c r="AS360" s="10"/>
      <c r="AT360" s="10"/>
      <c r="AU360" s="10"/>
      <c r="AV360" s="10" t="s">
        <v>22</v>
      </c>
      <c r="AW360" s="10"/>
      <c r="AX360" s="10"/>
      <c r="AY360" s="10"/>
      <c r="AZ360" s="10" t="s">
        <v>23</v>
      </c>
      <c r="BA360" s="10"/>
      <c r="BB360" s="10"/>
      <c r="BC360" s="10"/>
    </row>
    <row r="361" customFormat="false" ht="21.75" hidden="false" customHeight="true" outlineLevel="0" collapsed="false">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row>
    <row r="362" customFormat="false" ht="12" hidden="false" customHeight="true" outlineLevel="0" collapsed="false">
      <c r="A362" s="5" t="s">
        <v>82</v>
      </c>
      <c r="I362" s="10" t="s">
        <v>83</v>
      </c>
      <c r="J362" s="10"/>
      <c r="K362" s="10"/>
      <c r="L362" s="10"/>
      <c r="M362" s="10" t="s">
        <v>84</v>
      </c>
      <c r="N362" s="10"/>
      <c r="O362" s="10"/>
      <c r="P362" s="10"/>
      <c r="Q362" s="10" t="s">
        <v>85</v>
      </c>
      <c r="R362" s="10"/>
      <c r="S362" s="10"/>
      <c r="T362" s="10"/>
      <c r="U362" s="10" t="s">
        <v>86</v>
      </c>
      <c r="V362" s="10"/>
      <c r="W362" s="10"/>
      <c r="X362" s="10"/>
      <c r="Y362" s="10" t="s">
        <v>87</v>
      </c>
      <c r="Z362" s="10"/>
      <c r="AA362" s="10"/>
      <c r="AB362" s="10"/>
      <c r="AC362" s="10" t="s">
        <v>88</v>
      </c>
      <c r="AD362" s="10"/>
      <c r="AE362" s="10"/>
      <c r="AF362" s="10"/>
      <c r="AG362" s="10" t="s">
        <v>89</v>
      </c>
      <c r="AH362" s="10"/>
      <c r="AI362" s="10"/>
      <c r="AJ362" s="10"/>
      <c r="AK362" s="10" t="s">
        <v>90</v>
      </c>
      <c r="AL362" s="10"/>
      <c r="AM362" s="10"/>
      <c r="AN362" s="10"/>
      <c r="AO362" s="10" t="s">
        <v>91</v>
      </c>
      <c r="AP362" s="10"/>
      <c r="AQ362" s="10"/>
      <c r="AR362" s="10"/>
      <c r="AS362" s="10" t="s">
        <v>33</v>
      </c>
      <c r="AT362" s="10"/>
      <c r="AU362" s="10"/>
      <c r="AV362" s="10"/>
      <c r="AW362" s="10" t="s">
        <v>34</v>
      </c>
      <c r="AX362" s="10"/>
      <c r="AY362" s="10"/>
      <c r="AZ362" s="10"/>
    </row>
    <row r="363" customFormat="false" ht="21.75" hidden="false" customHeight="true" outlineLevel="0" collapsed="false">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row>
    <row r="364" customFormat="false" ht="12" hidden="false" customHeight="true" outlineLevel="0" collapsed="false">
      <c r="A364" s="5" t="s">
        <v>102</v>
      </c>
      <c r="K364" s="10" t="s">
        <v>103</v>
      </c>
      <c r="L364" s="10"/>
      <c r="M364" s="10"/>
      <c r="N364" s="10"/>
      <c r="O364" s="10" t="s">
        <v>104</v>
      </c>
      <c r="P364" s="10"/>
      <c r="Q364" s="10"/>
      <c r="R364" s="10"/>
      <c r="S364" s="10" t="s">
        <v>105</v>
      </c>
      <c r="T364" s="10"/>
      <c r="U364" s="10"/>
      <c r="V364" s="10"/>
      <c r="W364" s="10" t="s">
        <v>106</v>
      </c>
      <c r="X364" s="10"/>
      <c r="Y364" s="10"/>
      <c r="Z364" s="10"/>
      <c r="AA364" s="10" t="s">
        <v>107</v>
      </c>
      <c r="AB364" s="10"/>
      <c r="AC364" s="10"/>
      <c r="AD364" s="10"/>
      <c r="AE364" s="10" t="s">
        <v>108</v>
      </c>
      <c r="AF364" s="10"/>
      <c r="AG364" s="10"/>
      <c r="AH364" s="10"/>
      <c r="AI364" s="10" t="s">
        <v>109</v>
      </c>
      <c r="AJ364" s="10"/>
      <c r="AK364" s="10"/>
      <c r="AL364" s="10"/>
      <c r="AM364" s="10" t="s">
        <v>42</v>
      </c>
      <c r="AN364" s="10"/>
      <c r="AO364" s="10"/>
      <c r="AP364" s="10"/>
      <c r="AQ364" s="10" t="s">
        <v>43</v>
      </c>
      <c r="AR364" s="10"/>
      <c r="AS364" s="10"/>
      <c r="AT364" s="10"/>
      <c r="AU364" s="10" t="s">
        <v>44</v>
      </c>
      <c r="AV364" s="10"/>
      <c r="AW364" s="10"/>
      <c r="AX364" s="10"/>
    </row>
    <row r="365" customFormat="false" ht="21.75" hidden="false" customHeight="true" outlineLevel="0" collapsed="false">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customFormat="false" ht="12" hidden="false" customHeight="true" outlineLevel="0" collapsed="false">
      <c r="A366" s="5" t="s">
        <v>120</v>
      </c>
      <c r="P366" s="10" t="s">
        <v>48</v>
      </c>
      <c r="Q366" s="10"/>
      <c r="R366" s="10"/>
      <c r="S366" s="10"/>
      <c r="T366" s="10" t="s">
        <v>50</v>
      </c>
      <c r="U366" s="10"/>
      <c r="V366" s="10"/>
      <c r="W366" s="10"/>
      <c r="X366" s="10"/>
      <c r="Y366" s="10"/>
      <c r="Z366" s="10"/>
      <c r="AA366" s="10"/>
      <c r="AB366" s="10"/>
      <c r="AC366" s="10"/>
      <c r="AD366" s="10"/>
      <c r="AE366" s="10"/>
      <c r="AF366" s="10"/>
      <c r="AG366" s="10"/>
      <c r="AH366" s="10"/>
      <c r="AI366" s="10"/>
      <c r="AJ366" s="10"/>
      <c r="AK366" s="10"/>
      <c r="AL366" s="10" t="s">
        <v>45</v>
      </c>
      <c r="AM366" s="10"/>
      <c r="AN366" s="10"/>
      <c r="AO366" s="10"/>
      <c r="AP366" s="10" t="s">
        <v>46</v>
      </c>
      <c r="AQ366" s="10"/>
      <c r="AR366" s="10"/>
      <c r="AS366" s="10"/>
    </row>
    <row r="367" customFormat="false" ht="21.75" hidden="false" customHeight="true" outlineLevel="0" collapsed="false">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row>
    <row r="369" customFormat="false" ht="18.75" hidden="false" customHeight="true" outlineLevel="0" collapsed="false">
      <c r="A369" s="14" t="s">
        <v>315</v>
      </c>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row>
    <row r="370" customFormat="false" ht="15" hidden="false" customHeight="true" outlineLevel="0" collapsed="false">
      <c r="A370" s="8" t="s">
        <v>124</v>
      </c>
      <c r="B370" s="15"/>
      <c r="C370" s="15"/>
      <c r="D370" s="15"/>
      <c r="E370" s="15"/>
      <c r="G370" s="15"/>
      <c r="H370" s="15"/>
      <c r="I370" s="15"/>
      <c r="J370" s="15"/>
      <c r="L370" s="5" t="s">
        <v>237</v>
      </c>
    </row>
    <row r="371" customFormat="false" ht="12" hidden="false" customHeight="true" outlineLevel="0" collapsed="false">
      <c r="A371" s="5" t="s">
        <v>64</v>
      </c>
      <c r="F371" s="10" t="s">
        <v>0</v>
      </c>
      <c r="G371" s="10"/>
      <c r="H371" s="10"/>
      <c r="I371" s="10"/>
      <c r="J371" s="10" t="s">
        <v>1</v>
      </c>
      <c r="K371" s="10"/>
      <c r="L371" s="10"/>
      <c r="M371" s="10"/>
      <c r="N371" s="10" t="s">
        <v>2</v>
      </c>
      <c r="O371" s="10"/>
      <c r="P371" s="10"/>
      <c r="Q371" s="10"/>
      <c r="R371" s="10" t="s">
        <v>3</v>
      </c>
      <c r="S371" s="10"/>
      <c r="T371" s="10"/>
      <c r="U371" s="10"/>
      <c r="V371" s="10" t="s">
        <v>4</v>
      </c>
      <c r="W371" s="10"/>
      <c r="X371" s="10"/>
      <c r="Y371" s="10"/>
      <c r="Z371" s="10" t="s">
        <v>5</v>
      </c>
      <c r="AA371" s="10"/>
      <c r="AB371" s="10"/>
      <c r="AC371" s="10"/>
      <c r="AD371" s="10" t="s">
        <v>6</v>
      </c>
      <c r="AE371" s="10"/>
      <c r="AF371" s="10"/>
      <c r="AG371" s="10"/>
      <c r="AH371" s="10" t="s">
        <v>7</v>
      </c>
      <c r="AI371" s="10"/>
      <c r="AJ371" s="10"/>
      <c r="AK371" s="10"/>
      <c r="AL371" s="10" t="s">
        <v>8</v>
      </c>
      <c r="AM371" s="10"/>
      <c r="AN371" s="10"/>
      <c r="AO371" s="10"/>
      <c r="AP371" s="10" t="s">
        <v>9</v>
      </c>
      <c r="AQ371" s="10"/>
      <c r="AR371" s="10"/>
      <c r="AS371" s="10"/>
      <c r="AT371" s="10" t="s">
        <v>10</v>
      </c>
      <c r="AU371" s="10"/>
      <c r="AV371" s="10"/>
      <c r="AW371" s="10"/>
      <c r="AX371" s="10" t="s">
        <v>11</v>
      </c>
      <c r="AY371" s="10"/>
      <c r="AZ371" s="10"/>
      <c r="BA371" s="10"/>
    </row>
    <row r="372" customFormat="false" ht="21.75" hidden="false" customHeight="true" outlineLevel="0" collapsed="false">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row>
    <row r="373" customFormat="false" ht="12" hidden="false" customHeight="true" outlineLevel="0" collapsed="false">
      <c r="A373" s="5" t="s">
        <v>65</v>
      </c>
      <c r="H373" s="10" t="s">
        <v>66</v>
      </c>
      <c r="I373" s="10"/>
      <c r="J373" s="10"/>
      <c r="K373" s="10"/>
      <c r="L373" s="10" t="s">
        <v>67</v>
      </c>
      <c r="M373" s="10"/>
      <c r="N373" s="10"/>
      <c r="O373" s="10"/>
      <c r="P373" s="10" t="s">
        <v>68</v>
      </c>
      <c r="Q373" s="10"/>
      <c r="R373" s="10"/>
      <c r="S373" s="10"/>
      <c r="T373" s="10" t="s">
        <v>69</v>
      </c>
      <c r="U373" s="10"/>
      <c r="V373" s="10"/>
      <c r="W373" s="10"/>
      <c r="X373" s="10" t="s">
        <v>70</v>
      </c>
      <c r="Y373" s="10"/>
      <c r="Z373" s="10"/>
      <c r="AA373" s="10"/>
      <c r="AB373" s="10" t="s">
        <v>71</v>
      </c>
      <c r="AC373" s="10"/>
      <c r="AD373" s="10"/>
      <c r="AE373" s="10"/>
      <c r="AF373" s="10" t="s">
        <v>72</v>
      </c>
      <c r="AG373" s="10"/>
      <c r="AH373" s="10"/>
      <c r="AI373" s="10"/>
      <c r="AJ373" s="10" t="s">
        <v>73</v>
      </c>
      <c r="AK373" s="10"/>
      <c r="AL373" s="10"/>
      <c r="AM373" s="10"/>
      <c r="AN373" s="10" t="s">
        <v>74</v>
      </c>
      <c r="AO373" s="10"/>
      <c r="AP373" s="10"/>
      <c r="AQ373" s="10"/>
      <c r="AR373" s="10" t="s">
        <v>75</v>
      </c>
      <c r="AS373" s="10"/>
      <c r="AT373" s="10"/>
      <c r="AU373" s="10"/>
      <c r="AV373" s="10" t="s">
        <v>22</v>
      </c>
      <c r="AW373" s="10"/>
      <c r="AX373" s="10"/>
      <c r="AY373" s="10"/>
      <c r="AZ373" s="10" t="s">
        <v>23</v>
      </c>
      <c r="BA373" s="10"/>
      <c r="BB373" s="10"/>
      <c r="BC373" s="10"/>
    </row>
    <row r="374" customFormat="false" ht="21.75" hidden="false" customHeight="true" outlineLevel="0" collapsed="false">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row>
    <row r="375" customFormat="false" ht="12" hidden="false" customHeight="true" outlineLevel="0" collapsed="false">
      <c r="A375" s="5" t="s">
        <v>82</v>
      </c>
      <c r="I375" s="10" t="s">
        <v>83</v>
      </c>
      <c r="J375" s="10"/>
      <c r="K375" s="10"/>
      <c r="L375" s="10"/>
      <c r="M375" s="10" t="s">
        <v>84</v>
      </c>
      <c r="N375" s="10"/>
      <c r="O375" s="10"/>
      <c r="P375" s="10"/>
      <c r="Q375" s="10" t="s">
        <v>85</v>
      </c>
      <c r="R375" s="10"/>
      <c r="S375" s="10"/>
      <c r="T375" s="10"/>
      <c r="U375" s="10" t="s">
        <v>86</v>
      </c>
      <c r="V375" s="10"/>
      <c r="W375" s="10"/>
      <c r="X375" s="10"/>
      <c r="Y375" s="10" t="s">
        <v>87</v>
      </c>
      <c r="Z375" s="10"/>
      <c r="AA375" s="10"/>
      <c r="AB375" s="10"/>
      <c r="AC375" s="10" t="s">
        <v>88</v>
      </c>
      <c r="AD375" s="10"/>
      <c r="AE375" s="10"/>
      <c r="AF375" s="10"/>
      <c r="AG375" s="10" t="s">
        <v>89</v>
      </c>
      <c r="AH375" s="10"/>
      <c r="AI375" s="10"/>
      <c r="AJ375" s="10"/>
      <c r="AK375" s="10" t="s">
        <v>90</v>
      </c>
      <c r="AL375" s="10"/>
      <c r="AM375" s="10"/>
      <c r="AN375" s="10"/>
      <c r="AO375" s="10" t="s">
        <v>91</v>
      </c>
      <c r="AP375" s="10"/>
      <c r="AQ375" s="10"/>
      <c r="AR375" s="10"/>
      <c r="AS375" s="10" t="s">
        <v>33</v>
      </c>
      <c r="AT375" s="10"/>
      <c r="AU375" s="10"/>
      <c r="AV375" s="10"/>
      <c r="AW375" s="10" t="s">
        <v>34</v>
      </c>
      <c r="AX375" s="10"/>
      <c r="AY375" s="10"/>
      <c r="AZ375" s="10"/>
    </row>
    <row r="376" customFormat="false" ht="21.75" hidden="false" customHeight="true" outlineLevel="0" collapsed="false">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row>
    <row r="377" customFormat="false" ht="12" hidden="false" customHeight="true" outlineLevel="0" collapsed="false">
      <c r="A377" s="5" t="s">
        <v>102</v>
      </c>
      <c r="K377" s="10" t="s">
        <v>103</v>
      </c>
      <c r="L377" s="10"/>
      <c r="M377" s="10"/>
      <c r="N377" s="10"/>
      <c r="O377" s="10" t="s">
        <v>104</v>
      </c>
      <c r="P377" s="10"/>
      <c r="Q377" s="10"/>
      <c r="R377" s="10"/>
      <c r="S377" s="10" t="s">
        <v>105</v>
      </c>
      <c r="T377" s="10"/>
      <c r="U377" s="10"/>
      <c r="V377" s="10"/>
      <c r="W377" s="10" t="s">
        <v>106</v>
      </c>
      <c r="X377" s="10"/>
      <c r="Y377" s="10"/>
      <c r="Z377" s="10"/>
      <c r="AA377" s="10" t="s">
        <v>107</v>
      </c>
      <c r="AB377" s="10"/>
      <c r="AC377" s="10"/>
      <c r="AD377" s="10"/>
      <c r="AE377" s="10" t="s">
        <v>108</v>
      </c>
      <c r="AF377" s="10"/>
      <c r="AG377" s="10"/>
      <c r="AH377" s="10"/>
      <c r="AI377" s="10" t="s">
        <v>109</v>
      </c>
      <c r="AJ377" s="10"/>
      <c r="AK377" s="10"/>
      <c r="AL377" s="10"/>
      <c r="AM377" s="10" t="s">
        <v>42</v>
      </c>
      <c r="AN377" s="10"/>
      <c r="AO377" s="10"/>
      <c r="AP377" s="10"/>
      <c r="AQ377" s="10" t="s">
        <v>43</v>
      </c>
      <c r="AR377" s="10"/>
      <c r="AS377" s="10"/>
      <c r="AT377" s="10"/>
      <c r="AU377" s="10" t="s">
        <v>44</v>
      </c>
      <c r="AV377" s="10"/>
      <c r="AW377" s="10"/>
      <c r="AX377" s="10"/>
    </row>
    <row r="378" customFormat="false" ht="21.75" hidden="false" customHeight="true" outlineLevel="0" collapsed="false">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customFormat="false" ht="12" hidden="false" customHeight="true" outlineLevel="0" collapsed="false">
      <c r="A379" s="5" t="s">
        <v>120</v>
      </c>
      <c r="P379" s="10" t="s">
        <v>48</v>
      </c>
      <c r="Q379" s="10"/>
      <c r="R379" s="10"/>
      <c r="S379" s="10"/>
      <c r="T379" s="10" t="s">
        <v>50</v>
      </c>
      <c r="U379" s="10"/>
      <c r="V379" s="10"/>
      <c r="W379" s="10"/>
      <c r="X379" s="10"/>
      <c r="Y379" s="10"/>
      <c r="Z379" s="10"/>
      <c r="AA379" s="10"/>
      <c r="AB379" s="10"/>
      <c r="AC379" s="10"/>
      <c r="AD379" s="10"/>
      <c r="AE379" s="10"/>
      <c r="AF379" s="10"/>
      <c r="AG379" s="10"/>
      <c r="AH379" s="10"/>
      <c r="AI379" s="10"/>
      <c r="AJ379" s="10"/>
      <c r="AK379" s="10"/>
      <c r="AL379" s="10" t="s">
        <v>45</v>
      </c>
      <c r="AM379" s="10"/>
      <c r="AN379" s="10"/>
      <c r="AO379" s="10"/>
      <c r="AP379" s="10" t="s">
        <v>46</v>
      </c>
      <c r="AQ379" s="10"/>
      <c r="AR379" s="10"/>
      <c r="AS379" s="10"/>
    </row>
    <row r="380" customFormat="false" ht="21.75" hidden="false" customHeight="true" outlineLevel="0" collapsed="false">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row>
    <row r="382" customFormat="false" ht="18.75" hidden="false" customHeight="true" outlineLevel="0" collapsed="false">
      <c r="A382" s="14" t="s">
        <v>316</v>
      </c>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row>
    <row r="383" customFormat="false" ht="15" hidden="false" customHeight="true" outlineLevel="0" collapsed="false">
      <c r="A383" s="8" t="s">
        <v>124</v>
      </c>
      <c r="B383" s="15"/>
      <c r="C383" s="15"/>
      <c r="D383" s="15"/>
      <c r="E383" s="15"/>
      <c r="G383" s="15"/>
      <c r="H383" s="15"/>
      <c r="I383" s="15"/>
      <c r="J383" s="15"/>
      <c r="L383" s="5" t="s">
        <v>237</v>
      </c>
    </row>
    <row r="384" customFormat="false" ht="12" hidden="false" customHeight="true" outlineLevel="0" collapsed="false">
      <c r="A384" s="5" t="s">
        <v>64</v>
      </c>
      <c r="F384" s="10" t="s">
        <v>0</v>
      </c>
      <c r="G384" s="10"/>
      <c r="H384" s="10"/>
      <c r="I384" s="10"/>
      <c r="J384" s="10" t="s">
        <v>1</v>
      </c>
      <c r="K384" s="10"/>
      <c r="L384" s="10"/>
      <c r="M384" s="10"/>
      <c r="N384" s="10" t="s">
        <v>2</v>
      </c>
      <c r="O384" s="10"/>
      <c r="P384" s="10"/>
      <c r="Q384" s="10"/>
      <c r="R384" s="10" t="s">
        <v>3</v>
      </c>
      <c r="S384" s="10"/>
      <c r="T384" s="10"/>
      <c r="U384" s="10"/>
      <c r="V384" s="10" t="s">
        <v>4</v>
      </c>
      <c r="W384" s="10"/>
      <c r="X384" s="10"/>
      <c r="Y384" s="10"/>
      <c r="Z384" s="10" t="s">
        <v>5</v>
      </c>
      <c r="AA384" s="10"/>
      <c r="AB384" s="10"/>
      <c r="AC384" s="10"/>
      <c r="AD384" s="10" t="s">
        <v>6</v>
      </c>
      <c r="AE384" s="10"/>
      <c r="AF384" s="10"/>
      <c r="AG384" s="10"/>
      <c r="AH384" s="10" t="s">
        <v>7</v>
      </c>
      <c r="AI384" s="10"/>
      <c r="AJ384" s="10"/>
      <c r="AK384" s="10"/>
      <c r="AL384" s="10" t="s">
        <v>8</v>
      </c>
      <c r="AM384" s="10"/>
      <c r="AN384" s="10"/>
      <c r="AO384" s="10"/>
      <c r="AP384" s="10" t="s">
        <v>9</v>
      </c>
      <c r="AQ384" s="10"/>
      <c r="AR384" s="10"/>
      <c r="AS384" s="10"/>
      <c r="AT384" s="10" t="s">
        <v>10</v>
      </c>
      <c r="AU384" s="10"/>
      <c r="AV384" s="10"/>
      <c r="AW384" s="10"/>
      <c r="AX384" s="10" t="s">
        <v>11</v>
      </c>
      <c r="AY384" s="10"/>
      <c r="AZ384" s="10"/>
      <c r="BA384" s="10"/>
    </row>
    <row r="385" customFormat="false" ht="21.75" hidden="false" customHeight="true" outlineLevel="0" collapsed="false">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row>
    <row r="386" customFormat="false" ht="12" hidden="false" customHeight="true" outlineLevel="0" collapsed="false">
      <c r="A386" s="5" t="s">
        <v>65</v>
      </c>
      <c r="H386" s="10" t="s">
        <v>66</v>
      </c>
      <c r="I386" s="10"/>
      <c r="J386" s="10"/>
      <c r="K386" s="10"/>
      <c r="L386" s="10" t="s">
        <v>67</v>
      </c>
      <c r="M386" s="10"/>
      <c r="N386" s="10"/>
      <c r="O386" s="10"/>
      <c r="P386" s="10" t="s">
        <v>68</v>
      </c>
      <c r="Q386" s="10"/>
      <c r="R386" s="10"/>
      <c r="S386" s="10"/>
      <c r="T386" s="10" t="s">
        <v>69</v>
      </c>
      <c r="U386" s="10"/>
      <c r="V386" s="10"/>
      <c r="W386" s="10"/>
      <c r="X386" s="10" t="s">
        <v>70</v>
      </c>
      <c r="Y386" s="10"/>
      <c r="Z386" s="10"/>
      <c r="AA386" s="10"/>
      <c r="AB386" s="10" t="s">
        <v>71</v>
      </c>
      <c r="AC386" s="10"/>
      <c r="AD386" s="10"/>
      <c r="AE386" s="10"/>
      <c r="AF386" s="10" t="s">
        <v>72</v>
      </c>
      <c r="AG386" s="10"/>
      <c r="AH386" s="10"/>
      <c r="AI386" s="10"/>
      <c r="AJ386" s="10" t="s">
        <v>73</v>
      </c>
      <c r="AK386" s="10"/>
      <c r="AL386" s="10"/>
      <c r="AM386" s="10"/>
      <c r="AN386" s="10" t="s">
        <v>74</v>
      </c>
      <c r="AO386" s="10"/>
      <c r="AP386" s="10"/>
      <c r="AQ386" s="10"/>
      <c r="AR386" s="10" t="s">
        <v>75</v>
      </c>
      <c r="AS386" s="10"/>
      <c r="AT386" s="10"/>
      <c r="AU386" s="10"/>
      <c r="AV386" s="10" t="s">
        <v>22</v>
      </c>
      <c r="AW386" s="10"/>
      <c r="AX386" s="10"/>
      <c r="AY386" s="10"/>
      <c r="AZ386" s="10" t="s">
        <v>23</v>
      </c>
      <c r="BA386" s="10"/>
      <c r="BB386" s="10"/>
      <c r="BC386" s="10"/>
    </row>
    <row r="387" customFormat="false" ht="21.75" hidden="false" customHeight="true" outlineLevel="0" collapsed="false">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row>
    <row r="388" customFormat="false" ht="12" hidden="false" customHeight="true" outlineLevel="0" collapsed="false">
      <c r="A388" s="5" t="s">
        <v>82</v>
      </c>
      <c r="I388" s="10" t="s">
        <v>83</v>
      </c>
      <c r="J388" s="10"/>
      <c r="K388" s="10"/>
      <c r="L388" s="10"/>
      <c r="M388" s="10" t="s">
        <v>84</v>
      </c>
      <c r="N388" s="10"/>
      <c r="O388" s="10"/>
      <c r="P388" s="10"/>
      <c r="Q388" s="10" t="s">
        <v>85</v>
      </c>
      <c r="R388" s="10"/>
      <c r="S388" s="10"/>
      <c r="T388" s="10"/>
      <c r="U388" s="10" t="s">
        <v>86</v>
      </c>
      <c r="V388" s="10"/>
      <c r="W388" s="10"/>
      <c r="X388" s="10"/>
      <c r="Y388" s="10" t="s">
        <v>87</v>
      </c>
      <c r="Z388" s="10"/>
      <c r="AA388" s="10"/>
      <c r="AB388" s="10"/>
      <c r="AC388" s="10" t="s">
        <v>88</v>
      </c>
      <c r="AD388" s="10"/>
      <c r="AE388" s="10"/>
      <c r="AF388" s="10"/>
      <c r="AG388" s="10" t="s">
        <v>89</v>
      </c>
      <c r="AH388" s="10"/>
      <c r="AI388" s="10"/>
      <c r="AJ388" s="10"/>
      <c r="AK388" s="10" t="s">
        <v>90</v>
      </c>
      <c r="AL388" s="10"/>
      <c r="AM388" s="10"/>
      <c r="AN388" s="10"/>
      <c r="AO388" s="10" t="s">
        <v>91</v>
      </c>
      <c r="AP388" s="10"/>
      <c r="AQ388" s="10"/>
      <c r="AR388" s="10"/>
      <c r="AS388" s="10" t="s">
        <v>33</v>
      </c>
      <c r="AT388" s="10"/>
      <c r="AU388" s="10"/>
      <c r="AV388" s="10"/>
      <c r="AW388" s="10" t="s">
        <v>34</v>
      </c>
      <c r="AX388" s="10"/>
      <c r="AY388" s="10"/>
      <c r="AZ388" s="10"/>
    </row>
    <row r="389" customFormat="false" ht="21.75" hidden="false" customHeight="true" outlineLevel="0" collapsed="false">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row>
    <row r="390" customFormat="false" ht="12" hidden="false" customHeight="true" outlineLevel="0" collapsed="false">
      <c r="A390" s="5" t="s">
        <v>102</v>
      </c>
      <c r="K390" s="10" t="s">
        <v>103</v>
      </c>
      <c r="L390" s="10"/>
      <c r="M390" s="10"/>
      <c r="N390" s="10"/>
      <c r="O390" s="10" t="s">
        <v>104</v>
      </c>
      <c r="P390" s="10"/>
      <c r="Q390" s="10"/>
      <c r="R390" s="10"/>
      <c r="S390" s="10" t="s">
        <v>105</v>
      </c>
      <c r="T390" s="10"/>
      <c r="U390" s="10"/>
      <c r="V390" s="10"/>
      <c r="W390" s="10" t="s">
        <v>106</v>
      </c>
      <c r="X390" s="10"/>
      <c r="Y390" s="10"/>
      <c r="Z390" s="10"/>
      <c r="AA390" s="10" t="s">
        <v>107</v>
      </c>
      <c r="AB390" s="10"/>
      <c r="AC390" s="10"/>
      <c r="AD390" s="10"/>
      <c r="AE390" s="10" t="s">
        <v>108</v>
      </c>
      <c r="AF390" s="10"/>
      <c r="AG390" s="10"/>
      <c r="AH390" s="10"/>
      <c r="AI390" s="10" t="s">
        <v>109</v>
      </c>
      <c r="AJ390" s="10"/>
      <c r="AK390" s="10"/>
      <c r="AL390" s="10"/>
      <c r="AM390" s="10" t="s">
        <v>42</v>
      </c>
      <c r="AN390" s="10"/>
      <c r="AO390" s="10"/>
      <c r="AP390" s="10"/>
      <c r="AQ390" s="10" t="s">
        <v>43</v>
      </c>
      <c r="AR390" s="10"/>
      <c r="AS390" s="10"/>
      <c r="AT390" s="10"/>
      <c r="AU390" s="10" t="s">
        <v>44</v>
      </c>
      <c r="AV390" s="10"/>
      <c r="AW390" s="10"/>
      <c r="AX390" s="10"/>
    </row>
    <row r="391" customFormat="false" ht="21.75" hidden="false" customHeight="true" outlineLevel="0" collapsed="false">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customFormat="false" ht="12" hidden="false" customHeight="true" outlineLevel="0" collapsed="false">
      <c r="A392" s="5" t="s">
        <v>120</v>
      </c>
      <c r="P392" s="10" t="s">
        <v>48</v>
      </c>
      <c r="Q392" s="10"/>
      <c r="R392" s="10"/>
      <c r="S392" s="10"/>
      <c r="T392" s="10" t="s">
        <v>50</v>
      </c>
      <c r="U392" s="10"/>
      <c r="V392" s="10"/>
      <c r="W392" s="10"/>
      <c r="X392" s="10"/>
      <c r="Y392" s="10"/>
      <c r="Z392" s="10"/>
      <c r="AA392" s="10"/>
      <c r="AB392" s="10"/>
      <c r="AC392" s="10"/>
      <c r="AD392" s="10"/>
      <c r="AE392" s="10"/>
      <c r="AF392" s="10"/>
      <c r="AG392" s="10"/>
      <c r="AH392" s="10"/>
      <c r="AI392" s="10"/>
      <c r="AJ392" s="10"/>
      <c r="AK392" s="10"/>
      <c r="AL392" s="10" t="s">
        <v>45</v>
      </c>
      <c r="AM392" s="10"/>
      <c r="AN392" s="10"/>
      <c r="AO392" s="10"/>
      <c r="AP392" s="10" t="s">
        <v>46</v>
      </c>
      <c r="AQ392" s="10"/>
      <c r="AR392" s="10"/>
      <c r="AS392" s="10"/>
    </row>
    <row r="393" customFormat="false" ht="21.75" hidden="false" customHeight="true" outlineLevel="0" collapsed="false">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row>
  </sheetData>
  <mergeCells count="3030">
    <mergeCell ref="A5:AX5"/>
    <mergeCell ref="B6:E6"/>
    <mergeCell ref="G6:J6"/>
    <mergeCell ref="F7:I7"/>
    <mergeCell ref="J7:M7"/>
    <mergeCell ref="N7:Q7"/>
    <mergeCell ref="R7:U7"/>
    <mergeCell ref="V7:Y7"/>
    <mergeCell ref="Z7:AC7"/>
    <mergeCell ref="AD7:AG7"/>
    <mergeCell ref="AH7:AK7"/>
    <mergeCell ref="AL7:AO7"/>
    <mergeCell ref="AP7:AS7"/>
    <mergeCell ref="AT7:AW7"/>
    <mergeCell ref="AX7:BA7"/>
    <mergeCell ref="F8:I8"/>
    <mergeCell ref="J8:M8"/>
    <mergeCell ref="N8:Q8"/>
    <mergeCell ref="R8:U8"/>
    <mergeCell ref="V8:Y8"/>
    <mergeCell ref="Z8:AC8"/>
    <mergeCell ref="AD8:AG8"/>
    <mergeCell ref="AH8:AK8"/>
    <mergeCell ref="AL8:AO8"/>
    <mergeCell ref="AP8:AS8"/>
    <mergeCell ref="AT8:AW8"/>
    <mergeCell ref="AX8:BA8"/>
    <mergeCell ref="H9:K9"/>
    <mergeCell ref="L9:O9"/>
    <mergeCell ref="P9:S9"/>
    <mergeCell ref="T9:W9"/>
    <mergeCell ref="X9:AA9"/>
    <mergeCell ref="AB9:AE9"/>
    <mergeCell ref="AF9:AI9"/>
    <mergeCell ref="AJ9:AM9"/>
    <mergeCell ref="AN9:AQ9"/>
    <mergeCell ref="AR9:AU9"/>
    <mergeCell ref="AV9:AY9"/>
    <mergeCell ref="AZ9:BC9"/>
    <mergeCell ref="H10:K10"/>
    <mergeCell ref="L10:O10"/>
    <mergeCell ref="P10:S10"/>
    <mergeCell ref="T10:W10"/>
    <mergeCell ref="X10:AA10"/>
    <mergeCell ref="AB10:AE10"/>
    <mergeCell ref="AF10:AI10"/>
    <mergeCell ref="AJ10:AM10"/>
    <mergeCell ref="AN10:AQ10"/>
    <mergeCell ref="AR10:AU10"/>
    <mergeCell ref="AV10:AY10"/>
    <mergeCell ref="AZ10:BC10"/>
    <mergeCell ref="I11:L11"/>
    <mergeCell ref="M11:P11"/>
    <mergeCell ref="Q11:T11"/>
    <mergeCell ref="U11:X11"/>
    <mergeCell ref="Y11:AB11"/>
    <mergeCell ref="AC11:AF11"/>
    <mergeCell ref="AG11:AJ11"/>
    <mergeCell ref="AK11:AN11"/>
    <mergeCell ref="AO11:AR11"/>
    <mergeCell ref="AS11:AV11"/>
    <mergeCell ref="AW11:AZ11"/>
    <mergeCell ref="I12:L12"/>
    <mergeCell ref="M12:P12"/>
    <mergeCell ref="Q12:T12"/>
    <mergeCell ref="U12:X12"/>
    <mergeCell ref="Y12:AB12"/>
    <mergeCell ref="AC12:AF12"/>
    <mergeCell ref="AG12:AJ12"/>
    <mergeCell ref="AK12:AN12"/>
    <mergeCell ref="AO12:AR12"/>
    <mergeCell ref="AS12:AV12"/>
    <mergeCell ref="AW12:AZ12"/>
    <mergeCell ref="K13:N13"/>
    <mergeCell ref="O13:R13"/>
    <mergeCell ref="S13:V13"/>
    <mergeCell ref="W13:Z13"/>
    <mergeCell ref="AA13:AD13"/>
    <mergeCell ref="AE13:AH13"/>
    <mergeCell ref="AI13:AL13"/>
    <mergeCell ref="AM13:AP13"/>
    <mergeCell ref="AQ13:AT13"/>
    <mergeCell ref="AU13:AX13"/>
    <mergeCell ref="K14:N14"/>
    <mergeCell ref="O14:R14"/>
    <mergeCell ref="S14:V14"/>
    <mergeCell ref="W14:Z14"/>
    <mergeCell ref="AA14:AD14"/>
    <mergeCell ref="AE14:AH14"/>
    <mergeCell ref="AI14:AL14"/>
    <mergeCell ref="AM14:AP14"/>
    <mergeCell ref="AQ14:AT14"/>
    <mergeCell ref="AU14:AX14"/>
    <mergeCell ref="P15:S15"/>
    <mergeCell ref="T15:AK15"/>
    <mergeCell ref="AL15:AO15"/>
    <mergeCell ref="AP15:AS15"/>
    <mergeCell ref="P16:S16"/>
    <mergeCell ref="T16:AK16"/>
    <mergeCell ref="AL16:AO16"/>
    <mergeCell ref="AP16:AS16"/>
    <mergeCell ref="A18:AX18"/>
    <mergeCell ref="B19:E19"/>
    <mergeCell ref="G19:J19"/>
    <mergeCell ref="F20:I20"/>
    <mergeCell ref="J20:M20"/>
    <mergeCell ref="N20:Q20"/>
    <mergeCell ref="R20:U20"/>
    <mergeCell ref="V20:Y20"/>
    <mergeCell ref="Z20:AC20"/>
    <mergeCell ref="AD20:AG20"/>
    <mergeCell ref="AH20:AK20"/>
    <mergeCell ref="AL20:AO20"/>
    <mergeCell ref="AP20:AS20"/>
    <mergeCell ref="AT20:AW20"/>
    <mergeCell ref="AX20:BA20"/>
    <mergeCell ref="F21:I21"/>
    <mergeCell ref="J21:M21"/>
    <mergeCell ref="N21:Q21"/>
    <mergeCell ref="R21:U21"/>
    <mergeCell ref="V21:Y21"/>
    <mergeCell ref="Z21:AC21"/>
    <mergeCell ref="AD21:AG21"/>
    <mergeCell ref="AH21:AK21"/>
    <mergeCell ref="AL21:AO21"/>
    <mergeCell ref="AP21:AS21"/>
    <mergeCell ref="AT21:AW21"/>
    <mergeCell ref="AX21:BA21"/>
    <mergeCell ref="H22:K22"/>
    <mergeCell ref="L22:O22"/>
    <mergeCell ref="P22:S22"/>
    <mergeCell ref="T22:W22"/>
    <mergeCell ref="X22:AA22"/>
    <mergeCell ref="AB22:AE22"/>
    <mergeCell ref="AF22:AI22"/>
    <mergeCell ref="AJ22:AM22"/>
    <mergeCell ref="AN22:AQ22"/>
    <mergeCell ref="AR22:AU22"/>
    <mergeCell ref="AV22:AY22"/>
    <mergeCell ref="AZ22:BC22"/>
    <mergeCell ref="H23:K23"/>
    <mergeCell ref="L23:O23"/>
    <mergeCell ref="P23:S23"/>
    <mergeCell ref="T23:W23"/>
    <mergeCell ref="X23:AA23"/>
    <mergeCell ref="AB23:AE23"/>
    <mergeCell ref="AF23:AI23"/>
    <mergeCell ref="AJ23:AM23"/>
    <mergeCell ref="AN23:AQ23"/>
    <mergeCell ref="AR23:AU23"/>
    <mergeCell ref="AV23:AY23"/>
    <mergeCell ref="AZ23:BC23"/>
    <mergeCell ref="I24:L24"/>
    <mergeCell ref="M24:P24"/>
    <mergeCell ref="Q24:T24"/>
    <mergeCell ref="U24:X24"/>
    <mergeCell ref="Y24:AB24"/>
    <mergeCell ref="AC24:AF24"/>
    <mergeCell ref="AG24:AJ24"/>
    <mergeCell ref="AK24:AN24"/>
    <mergeCell ref="AO24:AR24"/>
    <mergeCell ref="AS24:AV24"/>
    <mergeCell ref="AW24:AZ24"/>
    <mergeCell ref="I25:L25"/>
    <mergeCell ref="M25:P25"/>
    <mergeCell ref="Q25:T25"/>
    <mergeCell ref="U25:X25"/>
    <mergeCell ref="Y25:AB25"/>
    <mergeCell ref="AC25:AF25"/>
    <mergeCell ref="AG25:AJ25"/>
    <mergeCell ref="AK25:AN25"/>
    <mergeCell ref="AO25:AR25"/>
    <mergeCell ref="AS25:AV25"/>
    <mergeCell ref="AW25:AZ25"/>
    <mergeCell ref="K26:N26"/>
    <mergeCell ref="O26:R26"/>
    <mergeCell ref="S26:V26"/>
    <mergeCell ref="W26:Z26"/>
    <mergeCell ref="AA26:AD26"/>
    <mergeCell ref="AE26:AH26"/>
    <mergeCell ref="AI26:AL26"/>
    <mergeCell ref="AM26:AP26"/>
    <mergeCell ref="AQ26:AT26"/>
    <mergeCell ref="AU26:AX26"/>
    <mergeCell ref="K27:N27"/>
    <mergeCell ref="O27:R27"/>
    <mergeCell ref="S27:V27"/>
    <mergeCell ref="W27:Z27"/>
    <mergeCell ref="AA27:AD27"/>
    <mergeCell ref="AE27:AH27"/>
    <mergeCell ref="AI27:AL27"/>
    <mergeCell ref="AM27:AP27"/>
    <mergeCell ref="AQ27:AT27"/>
    <mergeCell ref="AU27:AX27"/>
    <mergeCell ref="P28:S28"/>
    <mergeCell ref="T28:AK28"/>
    <mergeCell ref="AL28:AO28"/>
    <mergeCell ref="AP28:AS28"/>
    <mergeCell ref="P29:S29"/>
    <mergeCell ref="T29:AK29"/>
    <mergeCell ref="AL29:AO29"/>
    <mergeCell ref="AP29:AS29"/>
    <mergeCell ref="A31:AX31"/>
    <mergeCell ref="B32:E32"/>
    <mergeCell ref="G32:J32"/>
    <mergeCell ref="F33:I33"/>
    <mergeCell ref="J33:M33"/>
    <mergeCell ref="N33:Q33"/>
    <mergeCell ref="R33:U33"/>
    <mergeCell ref="V33:Y33"/>
    <mergeCell ref="Z33:AC33"/>
    <mergeCell ref="AD33:AG33"/>
    <mergeCell ref="AH33:AK33"/>
    <mergeCell ref="AL33:AO33"/>
    <mergeCell ref="AP33:AS33"/>
    <mergeCell ref="AT33:AW33"/>
    <mergeCell ref="AX33:BA33"/>
    <mergeCell ref="F34:I34"/>
    <mergeCell ref="J34:M34"/>
    <mergeCell ref="N34:Q34"/>
    <mergeCell ref="R34:U34"/>
    <mergeCell ref="V34:Y34"/>
    <mergeCell ref="Z34:AC34"/>
    <mergeCell ref="AD34:AG34"/>
    <mergeCell ref="AH34:AK34"/>
    <mergeCell ref="AL34:AO34"/>
    <mergeCell ref="AP34:AS34"/>
    <mergeCell ref="AT34:AW34"/>
    <mergeCell ref="AX34:BA34"/>
    <mergeCell ref="H35:K35"/>
    <mergeCell ref="L35:O35"/>
    <mergeCell ref="P35:S35"/>
    <mergeCell ref="T35:W35"/>
    <mergeCell ref="X35:AA35"/>
    <mergeCell ref="AB35:AE35"/>
    <mergeCell ref="AF35:AI35"/>
    <mergeCell ref="AJ35:AM35"/>
    <mergeCell ref="AN35:AQ35"/>
    <mergeCell ref="AR35:AU35"/>
    <mergeCell ref="AV35:AY35"/>
    <mergeCell ref="AZ35:BC35"/>
    <mergeCell ref="H36:K36"/>
    <mergeCell ref="L36:O36"/>
    <mergeCell ref="P36:S36"/>
    <mergeCell ref="T36:W36"/>
    <mergeCell ref="X36:AA36"/>
    <mergeCell ref="AB36:AE36"/>
    <mergeCell ref="AF36:AI36"/>
    <mergeCell ref="AJ36:AM36"/>
    <mergeCell ref="AN36:AQ36"/>
    <mergeCell ref="AR36:AU36"/>
    <mergeCell ref="AV36:AY36"/>
    <mergeCell ref="AZ36:BC36"/>
    <mergeCell ref="I37:L37"/>
    <mergeCell ref="M37:P37"/>
    <mergeCell ref="Q37:T37"/>
    <mergeCell ref="U37:X37"/>
    <mergeCell ref="Y37:AB37"/>
    <mergeCell ref="AC37:AF37"/>
    <mergeCell ref="AG37:AJ37"/>
    <mergeCell ref="AK37:AN37"/>
    <mergeCell ref="AO37:AR37"/>
    <mergeCell ref="AS37:AV37"/>
    <mergeCell ref="AW37:AZ37"/>
    <mergeCell ref="I38:L38"/>
    <mergeCell ref="M38:P38"/>
    <mergeCell ref="Q38:T38"/>
    <mergeCell ref="U38:X38"/>
    <mergeCell ref="Y38:AB38"/>
    <mergeCell ref="AC38:AF38"/>
    <mergeCell ref="AG38:AJ38"/>
    <mergeCell ref="AK38:AN38"/>
    <mergeCell ref="AO38:AR38"/>
    <mergeCell ref="AS38:AV38"/>
    <mergeCell ref="AW38:AZ38"/>
    <mergeCell ref="K39:N39"/>
    <mergeCell ref="O39:R39"/>
    <mergeCell ref="S39:V39"/>
    <mergeCell ref="W39:Z39"/>
    <mergeCell ref="AA39:AD39"/>
    <mergeCell ref="AE39:AH39"/>
    <mergeCell ref="AI39:AL39"/>
    <mergeCell ref="AM39:AP39"/>
    <mergeCell ref="AQ39:AT39"/>
    <mergeCell ref="AU39:AX39"/>
    <mergeCell ref="K40:N40"/>
    <mergeCell ref="O40:R40"/>
    <mergeCell ref="S40:V40"/>
    <mergeCell ref="W40:Z40"/>
    <mergeCell ref="AA40:AD40"/>
    <mergeCell ref="AE40:AH40"/>
    <mergeCell ref="AI40:AL40"/>
    <mergeCell ref="AM40:AP40"/>
    <mergeCell ref="AQ40:AT40"/>
    <mergeCell ref="AU40:AX40"/>
    <mergeCell ref="P41:S41"/>
    <mergeCell ref="T41:AK41"/>
    <mergeCell ref="AL41:AO41"/>
    <mergeCell ref="AP41:AS41"/>
    <mergeCell ref="P42:S42"/>
    <mergeCell ref="T42:AK42"/>
    <mergeCell ref="AL42:AO42"/>
    <mergeCell ref="AP42:AS42"/>
    <mergeCell ref="A44:AX44"/>
    <mergeCell ref="B45:E45"/>
    <mergeCell ref="G45:J45"/>
    <mergeCell ref="F46:I46"/>
    <mergeCell ref="J46:M46"/>
    <mergeCell ref="N46:Q46"/>
    <mergeCell ref="R46:U46"/>
    <mergeCell ref="V46:Y46"/>
    <mergeCell ref="Z46:AC46"/>
    <mergeCell ref="AD46:AG46"/>
    <mergeCell ref="AH46:AK46"/>
    <mergeCell ref="AL46:AO46"/>
    <mergeCell ref="AP46:AS46"/>
    <mergeCell ref="AT46:AW46"/>
    <mergeCell ref="AX46:BA46"/>
    <mergeCell ref="F47:I47"/>
    <mergeCell ref="J47:M47"/>
    <mergeCell ref="N47:Q47"/>
    <mergeCell ref="R47:U47"/>
    <mergeCell ref="V47:Y47"/>
    <mergeCell ref="Z47:AC47"/>
    <mergeCell ref="AD47:AG47"/>
    <mergeCell ref="AH47:AK47"/>
    <mergeCell ref="AL47:AO47"/>
    <mergeCell ref="AP47:AS47"/>
    <mergeCell ref="AT47:AW47"/>
    <mergeCell ref="AX47:BA47"/>
    <mergeCell ref="H48:K48"/>
    <mergeCell ref="L48:O48"/>
    <mergeCell ref="P48:S48"/>
    <mergeCell ref="T48:W48"/>
    <mergeCell ref="X48:AA48"/>
    <mergeCell ref="AB48:AE48"/>
    <mergeCell ref="AF48:AI48"/>
    <mergeCell ref="AJ48:AM48"/>
    <mergeCell ref="AN48:AQ48"/>
    <mergeCell ref="AR48:AU48"/>
    <mergeCell ref="AV48:AY48"/>
    <mergeCell ref="AZ48:BC48"/>
    <mergeCell ref="H49:K49"/>
    <mergeCell ref="L49:O49"/>
    <mergeCell ref="P49:S49"/>
    <mergeCell ref="T49:W49"/>
    <mergeCell ref="X49:AA49"/>
    <mergeCell ref="AB49:AE49"/>
    <mergeCell ref="AF49:AI49"/>
    <mergeCell ref="AJ49:AM49"/>
    <mergeCell ref="AN49:AQ49"/>
    <mergeCell ref="AR49:AU49"/>
    <mergeCell ref="AV49:AY49"/>
    <mergeCell ref="AZ49:BC49"/>
    <mergeCell ref="I50:L50"/>
    <mergeCell ref="M50:P50"/>
    <mergeCell ref="Q50:T50"/>
    <mergeCell ref="U50:X50"/>
    <mergeCell ref="Y50:AB50"/>
    <mergeCell ref="AC50:AF50"/>
    <mergeCell ref="AG50:AJ50"/>
    <mergeCell ref="AK50:AN50"/>
    <mergeCell ref="AO50:AR50"/>
    <mergeCell ref="AS50:AV50"/>
    <mergeCell ref="AW50:AZ50"/>
    <mergeCell ref="I51:L51"/>
    <mergeCell ref="M51:P51"/>
    <mergeCell ref="Q51:T51"/>
    <mergeCell ref="U51:X51"/>
    <mergeCell ref="Y51:AB51"/>
    <mergeCell ref="AC51:AF51"/>
    <mergeCell ref="AG51:AJ51"/>
    <mergeCell ref="AK51:AN51"/>
    <mergeCell ref="AO51:AR51"/>
    <mergeCell ref="AS51:AV51"/>
    <mergeCell ref="AW51:AZ51"/>
    <mergeCell ref="K52:N52"/>
    <mergeCell ref="O52:R52"/>
    <mergeCell ref="S52:V52"/>
    <mergeCell ref="W52:Z52"/>
    <mergeCell ref="AA52:AD52"/>
    <mergeCell ref="AE52:AH52"/>
    <mergeCell ref="AI52:AL52"/>
    <mergeCell ref="AM52:AP52"/>
    <mergeCell ref="AQ52:AT52"/>
    <mergeCell ref="AU52:AX52"/>
    <mergeCell ref="K53:N53"/>
    <mergeCell ref="O53:R53"/>
    <mergeCell ref="S53:V53"/>
    <mergeCell ref="W53:Z53"/>
    <mergeCell ref="AA53:AD53"/>
    <mergeCell ref="AE53:AH53"/>
    <mergeCell ref="AI53:AL53"/>
    <mergeCell ref="AM53:AP53"/>
    <mergeCell ref="AQ53:AT53"/>
    <mergeCell ref="AU53:AX53"/>
    <mergeCell ref="P54:S54"/>
    <mergeCell ref="T54:AK54"/>
    <mergeCell ref="AL54:AO54"/>
    <mergeCell ref="AP54:AS54"/>
    <mergeCell ref="P55:S55"/>
    <mergeCell ref="T55:AK55"/>
    <mergeCell ref="AL55:AO55"/>
    <mergeCell ref="AP55:AS55"/>
    <mergeCell ref="A57:AX57"/>
    <mergeCell ref="B58:E58"/>
    <mergeCell ref="G58:J58"/>
    <mergeCell ref="F59:I59"/>
    <mergeCell ref="J59:M59"/>
    <mergeCell ref="N59:Q59"/>
    <mergeCell ref="R59:U59"/>
    <mergeCell ref="V59:Y59"/>
    <mergeCell ref="Z59:AC59"/>
    <mergeCell ref="AD59:AG59"/>
    <mergeCell ref="AH59:AK59"/>
    <mergeCell ref="AL59:AO59"/>
    <mergeCell ref="AP59:AS59"/>
    <mergeCell ref="AT59:AW59"/>
    <mergeCell ref="AX59:BA59"/>
    <mergeCell ref="F60:I60"/>
    <mergeCell ref="J60:M60"/>
    <mergeCell ref="N60:Q60"/>
    <mergeCell ref="R60:U60"/>
    <mergeCell ref="V60:Y60"/>
    <mergeCell ref="Z60:AC60"/>
    <mergeCell ref="AD60:AG60"/>
    <mergeCell ref="AH60:AK60"/>
    <mergeCell ref="AL60:AO60"/>
    <mergeCell ref="AP60:AS60"/>
    <mergeCell ref="AT60:AW60"/>
    <mergeCell ref="AX60:BA60"/>
    <mergeCell ref="H61:K61"/>
    <mergeCell ref="L61:O61"/>
    <mergeCell ref="P61:S61"/>
    <mergeCell ref="T61:W61"/>
    <mergeCell ref="X61:AA61"/>
    <mergeCell ref="AB61:AE61"/>
    <mergeCell ref="AF61:AI61"/>
    <mergeCell ref="AJ61:AM61"/>
    <mergeCell ref="AN61:AQ61"/>
    <mergeCell ref="AR61:AU61"/>
    <mergeCell ref="AV61:AY61"/>
    <mergeCell ref="AZ61:BC61"/>
    <mergeCell ref="H62:K62"/>
    <mergeCell ref="L62:O62"/>
    <mergeCell ref="P62:S62"/>
    <mergeCell ref="T62:W62"/>
    <mergeCell ref="X62:AA62"/>
    <mergeCell ref="AB62:AE62"/>
    <mergeCell ref="AF62:AI62"/>
    <mergeCell ref="AJ62:AM62"/>
    <mergeCell ref="AN62:AQ62"/>
    <mergeCell ref="AR62:AU62"/>
    <mergeCell ref="AV62:AY62"/>
    <mergeCell ref="AZ62:BC62"/>
    <mergeCell ref="I63:L63"/>
    <mergeCell ref="M63:P63"/>
    <mergeCell ref="Q63:T63"/>
    <mergeCell ref="U63:X63"/>
    <mergeCell ref="Y63:AB63"/>
    <mergeCell ref="AC63:AF63"/>
    <mergeCell ref="AG63:AJ63"/>
    <mergeCell ref="AK63:AN63"/>
    <mergeCell ref="AO63:AR63"/>
    <mergeCell ref="AS63:AV63"/>
    <mergeCell ref="AW63:AZ63"/>
    <mergeCell ref="I64:L64"/>
    <mergeCell ref="M64:P64"/>
    <mergeCell ref="Q64:T64"/>
    <mergeCell ref="U64:X64"/>
    <mergeCell ref="Y64:AB64"/>
    <mergeCell ref="AC64:AF64"/>
    <mergeCell ref="AG64:AJ64"/>
    <mergeCell ref="AK64:AN64"/>
    <mergeCell ref="AO64:AR64"/>
    <mergeCell ref="AS64:AV64"/>
    <mergeCell ref="AW64:AZ64"/>
    <mergeCell ref="K65:N65"/>
    <mergeCell ref="O65:R65"/>
    <mergeCell ref="S65:V65"/>
    <mergeCell ref="W65:Z65"/>
    <mergeCell ref="AA65:AD65"/>
    <mergeCell ref="AE65:AH65"/>
    <mergeCell ref="AI65:AL65"/>
    <mergeCell ref="AM65:AP65"/>
    <mergeCell ref="AQ65:AT65"/>
    <mergeCell ref="AU65:AX65"/>
    <mergeCell ref="K66:N66"/>
    <mergeCell ref="O66:R66"/>
    <mergeCell ref="S66:V66"/>
    <mergeCell ref="W66:Z66"/>
    <mergeCell ref="AA66:AD66"/>
    <mergeCell ref="AE66:AH66"/>
    <mergeCell ref="AI66:AL66"/>
    <mergeCell ref="AM66:AP66"/>
    <mergeCell ref="AQ66:AT66"/>
    <mergeCell ref="AU66:AX66"/>
    <mergeCell ref="P67:S67"/>
    <mergeCell ref="T67:AK67"/>
    <mergeCell ref="AL67:AO67"/>
    <mergeCell ref="AP67:AS67"/>
    <mergeCell ref="P68:S68"/>
    <mergeCell ref="T68:AK68"/>
    <mergeCell ref="AL68:AO68"/>
    <mergeCell ref="AP68:AS68"/>
    <mergeCell ref="A70:AX70"/>
    <mergeCell ref="B71:E71"/>
    <mergeCell ref="G71:J71"/>
    <mergeCell ref="F72:I72"/>
    <mergeCell ref="J72:M72"/>
    <mergeCell ref="N72:Q72"/>
    <mergeCell ref="R72:U72"/>
    <mergeCell ref="V72:Y72"/>
    <mergeCell ref="Z72:AC72"/>
    <mergeCell ref="AD72:AG72"/>
    <mergeCell ref="AH72:AK72"/>
    <mergeCell ref="AL72:AO72"/>
    <mergeCell ref="AP72:AS72"/>
    <mergeCell ref="AT72:AW72"/>
    <mergeCell ref="AX72:BA72"/>
    <mergeCell ref="F73:I73"/>
    <mergeCell ref="J73:M73"/>
    <mergeCell ref="N73:Q73"/>
    <mergeCell ref="R73:U73"/>
    <mergeCell ref="V73:Y73"/>
    <mergeCell ref="Z73:AC73"/>
    <mergeCell ref="AD73:AG73"/>
    <mergeCell ref="AH73:AK73"/>
    <mergeCell ref="AL73:AO73"/>
    <mergeCell ref="AP73:AS73"/>
    <mergeCell ref="AT73:AW73"/>
    <mergeCell ref="AX73:BA73"/>
    <mergeCell ref="H74:K74"/>
    <mergeCell ref="L74:O74"/>
    <mergeCell ref="P74:S74"/>
    <mergeCell ref="T74:W74"/>
    <mergeCell ref="X74:AA74"/>
    <mergeCell ref="AB74:AE74"/>
    <mergeCell ref="AF74:AI74"/>
    <mergeCell ref="AJ74:AM74"/>
    <mergeCell ref="AN74:AQ74"/>
    <mergeCell ref="AR74:AU74"/>
    <mergeCell ref="AV74:AY74"/>
    <mergeCell ref="AZ74:BC74"/>
    <mergeCell ref="H75:K75"/>
    <mergeCell ref="L75:O75"/>
    <mergeCell ref="P75:S75"/>
    <mergeCell ref="T75:W75"/>
    <mergeCell ref="X75:AA75"/>
    <mergeCell ref="AB75:AE75"/>
    <mergeCell ref="AF75:AI75"/>
    <mergeCell ref="AJ75:AM75"/>
    <mergeCell ref="AN75:AQ75"/>
    <mergeCell ref="AR75:AU75"/>
    <mergeCell ref="AV75:AY75"/>
    <mergeCell ref="AZ75:BC75"/>
    <mergeCell ref="I76:L76"/>
    <mergeCell ref="M76:P76"/>
    <mergeCell ref="Q76:T76"/>
    <mergeCell ref="U76:X76"/>
    <mergeCell ref="Y76:AB76"/>
    <mergeCell ref="AC76:AF76"/>
    <mergeCell ref="AG76:AJ76"/>
    <mergeCell ref="AK76:AN76"/>
    <mergeCell ref="AO76:AR76"/>
    <mergeCell ref="AS76:AV76"/>
    <mergeCell ref="AW76:AZ76"/>
    <mergeCell ref="I77:L77"/>
    <mergeCell ref="M77:P77"/>
    <mergeCell ref="Q77:T77"/>
    <mergeCell ref="U77:X77"/>
    <mergeCell ref="Y77:AB77"/>
    <mergeCell ref="AC77:AF77"/>
    <mergeCell ref="AG77:AJ77"/>
    <mergeCell ref="AK77:AN77"/>
    <mergeCell ref="AO77:AR77"/>
    <mergeCell ref="AS77:AV77"/>
    <mergeCell ref="AW77:AZ77"/>
    <mergeCell ref="K78:N78"/>
    <mergeCell ref="O78:R78"/>
    <mergeCell ref="S78:V78"/>
    <mergeCell ref="W78:Z78"/>
    <mergeCell ref="AA78:AD78"/>
    <mergeCell ref="AE78:AH78"/>
    <mergeCell ref="AI78:AL78"/>
    <mergeCell ref="AM78:AP78"/>
    <mergeCell ref="AQ78:AT78"/>
    <mergeCell ref="AU78:AX78"/>
    <mergeCell ref="K79:N79"/>
    <mergeCell ref="O79:R79"/>
    <mergeCell ref="S79:V79"/>
    <mergeCell ref="W79:Z79"/>
    <mergeCell ref="AA79:AD79"/>
    <mergeCell ref="AE79:AH79"/>
    <mergeCell ref="AI79:AL79"/>
    <mergeCell ref="AM79:AP79"/>
    <mergeCell ref="AQ79:AT79"/>
    <mergeCell ref="AU79:AX79"/>
    <mergeCell ref="P80:S80"/>
    <mergeCell ref="T80:AK80"/>
    <mergeCell ref="AL80:AO80"/>
    <mergeCell ref="AP80:AS80"/>
    <mergeCell ref="P81:S81"/>
    <mergeCell ref="T81:AK81"/>
    <mergeCell ref="AL81:AO81"/>
    <mergeCell ref="AP81:AS81"/>
    <mergeCell ref="A83:AX83"/>
    <mergeCell ref="B84:E84"/>
    <mergeCell ref="G84:J84"/>
    <mergeCell ref="F85:I85"/>
    <mergeCell ref="J85:M85"/>
    <mergeCell ref="N85:Q85"/>
    <mergeCell ref="R85:U85"/>
    <mergeCell ref="V85:Y85"/>
    <mergeCell ref="Z85:AC85"/>
    <mergeCell ref="AD85:AG85"/>
    <mergeCell ref="AH85:AK85"/>
    <mergeCell ref="AL85:AO85"/>
    <mergeCell ref="AP85:AS85"/>
    <mergeCell ref="AT85:AW85"/>
    <mergeCell ref="AX85:BA85"/>
    <mergeCell ref="F86:I86"/>
    <mergeCell ref="J86:M86"/>
    <mergeCell ref="N86:Q86"/>
    <mergeCell ref="R86:U86"/>
    <mergeCell ref="V86:Y86"/>
    <mergeCell ref="Z86:AC86"/>
    <mergeCell ref="AD86:AG86"/>
    <mergeCell ref="AH86:AK86"/>
    <mergeCell ref="AL86:AO86"/>
    <mergeCell ref="AP86:AS86"/>
    <mergeCell ref="AT86:AW86"/>
    <mergeCell ref="AX86:BA86"/>
    <mergeCell ref="H87:K87"/>
    <mergeCell ref="L87:O87"/>
    <mergeCell ref="P87:S87"/>
    <mergeCell ref="T87:W87"/>
    <mergeCell ref="X87:AA87"/>
    <mergeCell ref="AB87:AE87"/>
    <mergeCell ref="AF87:AI87"/>
    <mergeCell ref="AJ87:AM87"/>
    <mergeCell ref="AN87:AQ87"/>
    <mergeCell ref="AR87:AU87"/>
    <mergeCell ref="AV87:AY87"/>
    <mergeCell ref="AZ87:BC87"/>
    <mergeCell ref="H88:K88"/>
    <mergeCell ref="L88:O88"/>
    <mergeCell ref="P88:S88"/>
    <mergeCell ref="T88:W88"/>
    <mergeCell ref="X88:AA88"/>
    <mergeCell ref="AB88:AE88"/>
    <mergeCell ref="AF88:AI88"/>
    <mergeCell ref="AJ88:AM88"/>
    <mergeCell ref="AN88:AQ88"/>
    <mergeCell ref="AR88:AU88"/>
    <mergeCell ref="AV88:AY88"/>
    <mergeCell ref="AZ88:BC88"/>
    <mergeCell ref="I89:L89"/>
    <mergeCell ref="M89:P89"/>
    <mergeCell ref="Q89:T89"/>
    <mergeCell ref="U89:X89"/>
    <mergeCell ref="Y89:AB89"/>
    <mergeCell ref="AC89:AF89"/>
    <mergeCell ref="AG89:AJ89"/>
    <mergeCell ref="AK89:AN89"/>
    <mergeCell ref="AO89:AR89"/>
    <mergeCell ref="AS89:AV89"/>
    <mergeCell ref="AW89:AZ89"/>
    <mergeCell ref="I90:L90"/>
    <mergeCell ref="M90:P90"/>
    <mergeCell ref="Q90:T90"/>
    <mergeCell ref="U90:X90"/>
    <mergeCell ref="Y90:AB90"/>
    <mergeCell ref="AC90:AF90"/>
    <mergeCell ref="AG90:AJ90"/>
    <mergeCell ref="AK90:AN90"/>
    <mergeCell ref="AO90:AR90"/>
    <mergeCell ref="AS90:AV90"/>
    <mergeCell ref="AW90:AZ90"/>
    <mergeCell ref="K91:N91"/>
    <mergeCell ref="O91:R91"/>
    <mergeCell ref="S91:V91"/>
    <mergeCell ref="W91:Z91"/>
    <mergeCell ref="AA91:AD91"/>
    <mergeCell ref="AE91:AH91"/>
    <mergeCell ref="AI91:AL91"/>
    <mergeCell ref="AM91:AP91"/>
    <mergeCell ref="AQ91:AT91"/>
    <mergeCell ref="AU91:AX91"/>
    <mergeCell ref="K92:N92"/>
    <mergeCell ref="O92:R92"/>
    <mergeCell ref="S92:V92"/>
    <mergeCell ref="W92:Z92"/>
    <mergeCell ref="AA92:AD92"/>
    <mergeCell ref="AE92:AH92"/>
    <mergeCell ref="AI92:AL92"/>
    <mergeCell ref="AM92:AP92"/>
    <mergeCell ref="AQ92:AT92"/>
    <mergeCell ref="AU92:AX92"/>
    <mergeCell ref="P93:S93"/>
    <mergeCell ref="T93:AK93"/>
    <mergeCell ref="AL93:AO93"/>
    <mergeCell ref="AP93:AS93"/>
    <mergeCell ref="P94:S94"/>
    <mergeCell ref="T94:AK94"/>
    <mergeCell ref="AL94:AO94"/>
    <mergeCell ref="AP94:AS94"/>
    <mergeCell ref="A96:AX96"/>
    <mergeCell ref="B97:E97"/>
    <mergeCell ref="G97:J97"/>
    <mergeCell ref="F98:I98"/>
    <mergeCell ref="J98:M98"/>
    <mergeCell ref="N98:Q98"/>
    <mergeCell ref="R98:U98"/>
    <mergeCell ref="V98:Y98"/>
    <mergeCell ref="Z98:AC98"/>
    <mergeCell ref="AD98:AG98"/>
    <mergeCell ref="AH98:AK98"/>
    <mergeCell ref="AL98:AO98"/>
    <mergeCell ref="AP98:AS98"/>
    <mergeCell ref="AT98:AW98"/>
    <mergeCell ref="AX98:BA98"/>
    <mergeCell ref="F99:I99"/>
    <mergeCell ref="J99:M99"/>
    <mergeCell ref="N99:Q99"/>
    <mergeCell ref="R99:U99"/>
    <mergeCell ref="V99:Y99"/>
    <mergeCell ref="Z99:AC99"/>
    <mergeCell ref="AD99:AG99"/>
    <mergeCell ref="AH99:AK99"/>
    <mergeCell ref="AL99:AO99"/>
    <mergeCell ref="AP99:AS99"/>
    <mergeCell ref="AT99:AW99"/>
    <mergeCell ref="AX99:BA99"/>
    <mergeCell ref="H100:K100"/>
    <mergeCell ref="L100:O100"/>
    <mergeCell ref="P100:S100"/>
    <mergeCell ref="T100:W100"/>
    <mergeCell ref="X100:AA100"/>
    <mergeCell ref="AB100:AE100"/>
    <mergeCell ref="AF100:AI100"/>
    <mergeCell ref="AJ100:AM100"/>
    <mergeCell ref="AN100:AQ100"/>
    <mergeCell ref="AR100:AU100"/>
    <mergeCell ref="AV100:AY100"/>
    <mergeCell ref="AZ100:BC100"/>
    <mergeCell ref="H101:K101"/>
    <mergeCell ref="L101:O101"/>
    <mergeCell ref="P101:S101"/>
    <mergeCell ref="T101:W101"/>
    <mergeCell ref="X101:AA101"/>
    <mergeCell ref="AB101:AE101"/>
    <mergeCell ref="AF101:AI101"/>
    <mergeCell ref="AJ101:AM101"/>
    <mergeCell ref="AN101:AQ101"/>
    <mergeCell ref="AR101:AU101"/>
    <mergeCell ref="AV101:AY101"/>
    <mergeCell ref="AZ101:BC101"/>
    <mergeCell ref="I102:L102"/>
    <mergeCell ref="M102:P102"/>
    <mergeCell ref="Q102:T102"/>
    <mergeCell ref="U102:X102"/>
    <mergeCell ref="Y102:AB102"/>
    <mergeCell ref="AC102:AF102"/>
    <mergeCell ref="AG102:AJ102"/>
    <mergeCell ref="AK102:AN102"/>
    <mergeCell ref="AO102:AR102"/>
    <mergeCell ref="AS102:AV102"/>
    <mergeCell ref="AW102:AZ102"/>
    <mergeCell ref="I103:L103"/>
    <mergeCell ref="M103:P103"/>
    <mergeCell ref="Q103:T103"/>
    <mergeCell ref="U103:X103"/>
    <mergeCell ref="Y103:AB103"/>
    <mergeCell ref="AC103:AF103"/>
    <mergeCell ref="AG103:AJ103"/>
    <mergeCell ref="AK103:AN103"/>
    <mergeCell ref="AO103:AR103"/>
    <mergeCell ref="AS103:AV103"/>
    <mergeCell ref="AW103:AZ103"/>
    <mergeCell ref="K104:N104"/>
    <mergeCell ref="O104:R104"/>
    <mergeCell ref="S104:V104"/>
    <mergeCell ref="W104:Z104"/>
    <mergeCell ref="AA104:AD104"/>
    <mergeCell ref="AE104:AH104"/>
    <mergeCell ref="AI104:AL104"/>
    <mergeCell ref="AM104:AP104"/>
    <mergeCell ref="AQ104:AT104"/>
    <mergeCell ref="AU104:AX104"/>
    <mergeCell ref="K105:N105"/>
    <mergeCell ref="O105:R105"/>
    <mergeCell ref="S105:V105"/>
    <mergeCell ref="W105:Z105"/>
    <mergeCell ref="AA105:AD105"/>
    <mergeCell ref="AE105:AH105"/>
    <mergeCell ref="AI105:AL105"/>
    <mergeCell ref="AM105:AP105"/>
    <mergeCell ref="AQ105:AT105"/>
    <mergeCell ref="AU105:AX105"/>
    <mergeCell ref="P106:S106"/>
    <mergeCell ref="T106:AK106"/>
    <mergeCell ref="AL106:AO106"/>
    <mergeCell ref="AP106:AS106"/>
    <mergeCell ref="P107:S107"/>
    <mergeCell ref="T107:AK107"/>
    <mergeCell ref="AL107:AO107"/>
    <mergeCell ref="AP107:AS107"/>
    <mergeCell ref="A109:AX109"/>
    <mergeCell ref="B110:E110"/>
    <mergeCell ref="G110:J110"/>
    <mergeCell ref="F111:I111"/>
    <mergeCell ref="J111:M111"/>
    <mergeCell ref="N111:Q111"/>
    <mergeCell ref="R111:U111"/>
    <mergeCell ref="V111:Y111"/>
    <mergeCell ref="Z111:AC111"/>
    <mergeCell ref="AD111:AG111"/>
    <mergeCell ref="AH111:AK111"/>
    <mergeCell ref="AL111:AO111"/>
    <mergeCell ref="AP111:AS111"/>
    <mergeCell ref="AT111:AW111"/>
    <mergeCell ref="AX111:BA111"/>
    <mergeCell ref="F112:I112"/>
    <mergeCell ref="J112:M112"/>
    <mergeCell ref="N112:Q112"/>
    <mergeCell ref="R112:U112"/>
    <mergeCell ref="V112:Y112"/>
    <mergeCell ref="Z112:AC112"/>
    <mergeCell ref="AD112:AG112"/>
    <mergeCell ref="AH112:AK112"/>
    <mergeCell ref="AL112:AO112"/>
    <mergeCell ref="AP112:AS112"/>
    <mergeCell ref="AT112:AW112"/>
    <mergeCell ref="AX112:BA112"/>
    <mergeCell ref="H113:K113"/>
    <mergeCell ref="L113:O113"/>
    <mergeCell ref="P113:S113"/>
    <mergeCell ref="T113:W113"/>
    <mergeCell ref="X113:AA113"/>
    <mergeCell ref="AB113:AE113"/>
    <mergeCell ref="AF113:AI113"/>
    <mergeCell ref="AJ113:AM113"/>
    <mergeCell ref="AN113:AQ113"/>
    <mergeCell ref="AR113:AU113"/>
    <mergeCell ref="AV113:AY113"/>
    <mergeCell ref="AZ113:BC113"/>
    <mergeCell ref="H114:K114"/>
    <mergeCell ref="L114:O114"/>
    <mergeCell ref="P114:S114"/>
    <mergeCell ref="T114:W114"/>
    <mergeCell ref="X114:AA114"/>
    <mergeCell ref="AB114:AE114"/>
    <mergeCell ref="AF114:AI114"/>
    <mergeCell ref="AJ114:AM114"/>
    <mergeCell ref="AN114:AQ114"/>
    <mergeCell ref="AR114:AU114"/>
    <mergeCell ref="AV114:AY114"/>
    <mergeCell ref="AZ114:BC114"/>
    <mergeCell ref="I115:L115"/>
    <mergeCell ref="M115:P115"/>
    <mergeCell ref="Q115:T115"/>
    <mergeCell ref="U115:X115"/>
    <mergeCell ref="Y115:AB115"/>
    <mergeCell ref="AC115:AF115"/>
    <mergeCell ref="AG115:AJ115"/>
    <mergeCell ref="AK115:AN115"/>
    <mergeCell ref="AO115:AR115"/>
    <mergeCell ref="AS115:AV115"/>
    <mergeCell ref="AW115:AZ115"/>
    <mergeCell ref="I116:L116"/>
    <mergeCell ref="M116:P116"/>
    <mergeCell ref="Q116:T116"/>
    <mergeCell ref="U116:X116"/>
    <mergeCell ref="Y116:AB116"/>
    <mergeCell ref="AC116:AF116"/>
    <mergeCell ref="AG116:AJ116"/>
    <mergeCell ref="AK116:AN116"/>
    <mergeCell ref="AO116:AR116"/>
    <mergeCell ref="AS116:AV116"/>
    <mergeCell ref="AW116:AZ116"/>
    <mergeCell ref="K117:N117"/>
    <mergeCell ref="O117:R117"/>
    <mergeCell ref="S117:V117"/>
    <mergeCell ref="W117:Z117"/>
    <mergeCell ref="AA117:AD117"/>
    <mergeCell ref="AE117:AH117"/>
    <mergeCell ref="AI117:AL117"/>
    <mergeCell ref="AM117:AP117"/>
    <mergeCell ref="AQ117:AT117"/>
    <mergeCell ref="AU117:AX117"/>
    <mergeCell ref="K118:N118"/>
    <mergeCell ref="O118:R118"/>
    <mergeCell ref="S118:V118"/>
    <mergeCell ref="W118:Z118"/>
    <mergeCell ref="AA118:AD118"/>
    <mergeCell ref="AE118:AH118"/>
    <mergeCell ref="AI118:AL118"/>
    <mergeCell ref="AM118:AP118"/>
    <mergeCell ref="AQ118:AT118"/>
    <mergeCell ref="AU118:AX118"/>
    <mergeCell ref="P119:S119"/>
    <mergeCell ref="T119:AK119"/>
    <mergeCell ref="AL119:AO119"/>
    <mergeCell ref="AP119:AS119"/>
    <mergeCell ref="P120:S120"/>
    <mergeCell ref="T120:AK120"/>
    <mergeCell ref="AL120:AO120"/>
    <mergeCell ref="AP120:AS120"/>
    <mergeCell ref="A122:AX122"/>
    <mergeCell ref="B123:E123"/>
    <mergeCell ref="G123:J123"/>
    <mergeCell ref="F124:I124"/>
    <mergeCell ref="J124:M124"/>
    <mergeCell ref="N124:Q124"/>
    <mergeCell ref="R124:U124"/>
    <mergeCell ref="V124:Y124"/>
    <mergeCell ref="Z124:AC124"/>
    <mergeCell ref="AD124:AG124"/>
    <mergeCell ref="AH124:AK124"/>
    <mergeCell ref="AL124:AO124"/>
    <mergeCell ref="AP124:AS124"/>
    <mergeCell ref="AT124:AW124"/>
    <mergeCell ref="AX124:BA124"/>
    <mergeCell ref="F125:I125"/>
    <mergeCell ref="J125:M125"/>
    <mergeCell ref="N125:Q125"/>
    <mergeCell ref="R125:U125"/>
    <mergeCell ref="V125:Y125"/>
    <mergeCell ref="Z125:AC125"/>
    <mergeCell ref="AD125:AG125"/>
    <mergeCell ref="AH125:AK125"/>
    <mergeCell ref="AL125:AO125"/>
    <mergeCell ref="AP125:AS125"/>
    <mergeCell ref="AT125:AW125"/>
    <mergeCell ref="AX125:BA125"/>
    <mergeCell ref="H126:K126"/>
    <mergeCell ref="L126:O126"/>
    <mergeCell ref="P126:S126"/>
    <mergeCell ref="T126:W126"/>
    <mergeCell ref="X126:AA126"/>
    <mergeCell ref="AB126:AE126"/>
    <mergeCell ref="AF126:AI126"/>
    <mergeCell ref="AJ126:AM126"/>
    <mergeCell ref="AN126:AQ126"/>
    <mergeCell ref="AR126:AU126"/>
    <mergeCell ref="AV126:AY126"/>
    <mergeCell ref="AZ126:BC126"/>
    <mergeCell ref="H127:K127"/>
    <mergeCell ref="L127:O127"/>
    <mergeCell ref="P127:S127"/>
    <mergeCell ref="T127:W127"/>
    <mergeCell ref="X127:AA127"/>
    <mergeCell ref="AB127:AE127"/>
    <mergeCell ref="AF127:AI127"/>
    <mergeCell ref="AJ127:AM127"/>
    <mergeCell ref="AN127:AQ127"/>
    <mergeCell ref="AR127:AU127"/>
    <mergeCell ref="AV127:AY127"/>
    <mergeCell ref="AZ127:BC127"/>
    <mergeCell ref="I128:L128"/>
    <mergeCell ref="M128:P128"/>
    <mergeCell ref="Q128:T128"/>
    <mergeCell ref="U128:X128"/>
    <mergeCell ref="Y128:AB128"/>
    <mergeCell ref="AC128:AF128"/>
    <mergeCell ref="AG128:AJ128"/>
    <mergeCell ref="AK128:AN128"/>
    <mergeCell ref="AO128:AR128"/>
    <mergeCell ref="AS128:AV128"/>
    <mergeCell ref="AW128:AZ128"/>
    <mergeCell ref="I129:L129"/>
    <mergeCell ref="M129:P129"/>
    <mergeCell ref="Q129:T129"/>
    <mergeCell ref="U129:X129"/>
    <mergeCell ref="Y129:AB129"/>
    <mergeCell ref="AC129:AF129"/>
    <mergeCell ref="AG129:AJ129"/>
    <mergeCell ref="AK129:AN129"/>
    <mergeCell ref="AO129:AR129"/>
    <mergeCell ref="AS129:AV129"/>
    <mergeCell ref="AW129:AZ129"/>
    <mergeCell ref="K130:N130"/>
    <mergeCell ref="O130:R130"/>
    <mergeCell ref="S130:V130"/>
    <mergeCell ref="W130:Z130"/>
    <mergeCell ref="AA130:AD130"/>
    <mergeCell ref="AE130:AH130"/>
    <mergeCell ref="AI130:AL130"/>
    <mergeCell ref="AM130:AP130"/>
    <mergeCell ref="AQ130:AT130"/>
    <mergeCell ref="AU130:AX130"/>
    <mergeCell ref="K131:N131"/>
    <mergeCell ref="O131:R131"/>
    <mergeCell ref="S131:V131"/>
    <mergeCell ref="W131:Z131"/>
    <mergeCell ref="AA131:AD131"/>
    <mergeCell ref="AE131:AH131"/>
    <mergeCell ref="AI131:AL131"/>
    <mergeCell ref="AM131:AP131"/>
    <mergeCell ref="AQ131:AT131"/>
    <mergeCell ref="AU131:AX131"/>
    <mergeCell ref="P132:S132"/>
    <mergeCell ref="T132:AK132"/>
    <mergeCell ref="AL132:AO132"/>
    <mergeCell ref="AP132:AS132"/>
    <mergeCell ref="P133:S133"/>
    <mergeCell ref="T133:AK133"/>
    <mergeCell ref="AL133:AO133"/>
    <mergeCell ref="AP133:AS133"/>
    <mergeCell ref="A135:AX135"/>
    <mergeCell ref="B136:E136"/>
    <mergeCell ref="G136:J136"/>
    <mergeCell ref="F137:I137"/>
    <mergeCell ref="J137:M137"/>
    <mergeCell ref="N137:Q137"/>
    <mergeCell ref="R137:U137"/>
    <mergeCell ref="V137:Y137"/>
    <mergeCell ref="Z137:AC137"/>
    <mergeCell ref="AD137:AG137"/>
    <mergeCell ref="AH137:AK137"/>
    <mergeCell ref="AL137:AO137"/>
    <mergeCell ref="AP137:AS137"/>
    <mergeCell ref="AT137:AW137"/>
    <mergeCell ref="AX137:BA137"/>
    <mergeCell ref="F138:I138"/>
    <mergeCell ref="J138:M138"/>
    <mergeCell ref="N138:Q138"/>
    <mergeCell ref="R138:U138"/>
    <mergeCell ref="V138:Y138"/>
    <mergeCell ref="Z138:AC138"/>
    <mergeCell ref="AD138:AG138"/>
    <mergeCell ref="AH138:AK138"/>
    <mergeCell ref="AL138:AO138"/>
    <mergeCell ref="AP138:AS138"/>
    <mergeCell ref="AT138:AW138"/>
    <mergeCell ref="AX138:BA138"/>
    <mergeCell ref="H139:K139"/>
    <mergeCell ref="L139:O139"/>
    <mergeCell ref="P139:S139"/>
    <mergeCell ref="T139:W139"/>
    <mergeCell ref="X139:AA139"/>
    <mergeCell ref="AB139:AE139"/>
    <mergeCell ref="AF139:AI139"/>
    <mergeCell ref="AJ139:AM139"/>
    <mergeCell ref="AN139:AQ139"/>
    <mergeCell ref="AR139:AU139"/>
    <mergeCell ref="AV139:AY139"/>
    <mergeCell ref="AZ139:BC139"/>
    <mergeCell ref="H140:K140"/>
    <mergeCell ref="L140:O140"/>
    <mergeCell ref="P140:S140"/>
    <mergeCell ref="T140:W140"/>
    <mergeCell ref="X140:AA140"/>
    <mergeCell ref="AB140:AE140"/>
    <mergeCell ref="AF140:AI140"/>
    <mergeCell ref="AJ140:AM140"/>
    <mergeCell ref="AN140:AQ140"/>
    <mergeCell ref="AR140:AU140"/>
    <mergeCell ref="AV140:AY140"/>
    <mergeCell ref="AZ140:BC140"/>
    <mergeCell ref="I141:L141"/>
    <mergeCell ref="M141:P141"/>
    <mergeCell ref="Q141:T141"/>
    <mergeCell ref="U141:X141"/>
    <mergeCell ref="Y141:AB141"/>
    <mergeCell ref="AC141:AF141"/>
    <mergeCell ref="AG141:AJ141"/>
    <mergeCell ref="AK141:AN141"/>
    <mergeCell ref="AO141:AR141"/>
    <mergeCell ref="AS141:AV141"/>
    <mergeCell ref="AW141:AZ141"/>
    <mergeCell ref="I142:L142"/>
    <mergeCell ref="M142:P142"/>
    <mergeCell ref="Q142:T142"/>
    <mergeCell ref="U142:X142"/>
    <mergeCell ref="Y142:AB142"/>
    <mergeCell ref="AC142:AF142"/>
    <mergeCell ref="AG142:AJ142"/>
    <mergeCell ref="AK142:AN142"/>
    <mergeCell ref="AO142:AR142"/>
    <mergeCell ref="AS142:AV142"/>
    <mergeCell ref="AW142:AZ142"/>
    <mergeCell ref="K143:N143"/>
    <mergeCell ref="O143:R143"/>
    <mergeCell ref="S143:V143"/>
    <mergeCell ref="W143:Z143"/>
    <mergeCell ref="AA143:AD143"/>
    <mergeCell ref="AE143:AH143"/>
    <mergeCell ref="AI143:AL143"/>
    <mergeCell ref="AM143:AP143"/>
    <mergeCell ref="AQ143:AT143"/>
    <mergeCell ref="AU143:AX143"/>
    <mergeCell ref="K144:N144"/>
    <mergeCell ref="O144:R144"/>
    <mergeCell ref="S144:V144"/>
    <mergeCell ref="W144:Z144"/>
    <mergeCell ref="AA144:AD144"/>
    <mergeCell ref="AE144:AH144"/>
    <mergeCell ref="AI144:AL144"/>
    <mergeCell ref="AM144:AP144"/>
    <mergeCell ref="AQ144:AT144"/>
    <mergeCell ref="AU144:AX144"/>
    <mergeCell ref="P145:S145"/>
    <mergeCell ref="T145:AK145"/>
    <mergeCell ref="AL145:AO145"/>
    <mergeCell ref="AP145:AS145"/>
    <mergeCell ref="P146:S146"/>
    <mergeCell ref="T146:AK146"/>
    <mergeCell ref="AL146:AO146"/>
    <mergeCell ref="AP146:AS146"/>
    <mergeCell ref="A148:AX148"/>
    <mergeCell ref="B149:E149"/>
    <mergeCell ref="G149:J149"/>
    <mergeCell ref="F150:I150"/>
    <mergeCell ref="J150:M150"/>
    <mergeCell ref="N150:Q150"/>
    <mergeCell ref="R150:U150"/>
    <mergeCell ref="V150:Y150"/>
    <mergeCell ref="Z150:AC150"/>
    <mergeCell ref="AD150:AG150"/>
    <mergeCell ref="AH150:AK150"/>
    <mergeCell ref="AL150:AO150"/>
    <mergeCell ref="AP150:AS150"/>
    <mergeCell ref="AT150:AW150"/>
    <mergeCell ref="AX150:BA150"/>
    <mergeCell ref="F151:I151"/>
    <mergeCell ref="J151:M151"/>
    <mergeCell ref="N151:Q151"/>
    <mergeCell ref="R151:U151"/>
    <mergeCell ref="V151:Y151"/>
    <mergeCell ref="Z151:AC151"/>
    <mergeCell ref="AD151:AG151"/>
    <mergeCell ref="AH151:AK151"/>
    <mergeCell ref="AL151:AO151"/>
    <mergeCell ref="AP151:AS151"/>
    <mergeCell ref="AT151:AW151"/>
    <mergeCell ref="AX151:BA151"/>
    <mergeCell ref="H152:K152"/>
    <mergeCell ref="L152:O152"/>
    <mergeCell ref="P152:S152"/>
    <mergeCell ref="T152:W152"/>
    <mergeCell ref="X152:AA152"/>
    <mergeCell ref="AB152:AE152"/>
    <mergeCell ref="AF152:AI152"/>
    <mergeCell ref="AJ152:AM152"/>
    <mergeCell ref="AN152:AQ152"/>
    <mergeCell ref="AR152:AU152"/>
    <mergeCell ref="AV152:AY152"/>
    <mergeCell ref="AZ152:BC152"/>
    <mergeCell ref="H153:K153"/>
    <mergeCell ref="L153:O153"/>
    <mergeCell ref="P153:S153"/>
    <mergeCell ref="T153:W153"/>
    <mergeCell ref="X153:AA153"/>
    <mergeCell ref="AB153:AE153"/>
    <mergeCell ref="AF153:AI153"/>
    <mergeCell ref="AJ153:AM153"/>
    <mergeCell ref="AN153:AQ153"/>
    <mergeCell ref="AR153:AU153"/>
    <mergeCell ref="AV153:AY153"/>
    <mergeCell ref="AZ153:BC153"/>
    <mergeCell ref="I154:L154"/>
    <mergeCell ref="M154:P154"/>
    <mergeCell ref="Q154:T154"/>
    <mergeCell ref="U154:X154"/>
    <mergeCell ref="Y154:AB154"/>
    <mergeCell ref="AC154:AF154"/>
    <mergeCell ref="AG154:AJ154"/>
    <mergeCell ref="AK154:AN154"/>
    <mergeCell ref="AO154:AR154"/>
    <mergeCell ref="AS154:AV154"/>
    <mergeCell ref="AW154:AZ154"/>
    <mergeCell ref="I155:L155"/>
    <mergeCell ref="M155:P155"/>
    <mergeCell ref="Q155:T155"/>
    <mergeCell ref="U155:X155"/>
    <mergeCell ref="Y155:AB155"/>
    <mergeCell ref="AC155:AF155"/>
    <mergeCell ref="AG155:AJ155"/>
    <mergeCell ref="AK155:AN155"/>
    <mergeCell ref="AO155:AR155"/>
    <mergeCell ref="AS155:AV155"/>
    <mergeCell ref="AW155:AZ155"/>
    <mergeCell ref="K156:N156"/>
    <mergeCell ref="O156:R156"/>
    <mergeCell ref="S156:V156"/>
    <mergeCell ref="W156:Z156"/>
    <mergeCell ref="AA156:AD156"/>
    <mergeCell ref="AE156:AH156"/>
    <mergeCell ref="AI156:AL156"/>
    <mergeCell ref="AM156:AP156"/>
    <mergeCell ref="AQ156:AT156"/>
    <mergeCell ref="AU156:AX156"/>
    <mergeCell ref="K157:N157"/>
    <mergeCell ref="O157:R157"/>
    <mergeCell ref="S157:V157"/>
    <mergeCell ref="W157:Z157"/>
    <mergeCell ref="AA157:AD157"/>
    <mergeCell ref="AE157:AH157"/>
    <mergeCell ref="AI157:AL157"/>
    <mergeCell ref="AM157:AP157"/>
    <mergeCell ref="AQ157:AT157"/>
    <mergeCell ref="AU157:AX157"/>
    <mergeCell ref="P158:S158"/>
    <mergeCell ref="T158:AK158"/>
    <mergeCell ref="AL158:AO158"/>
    <mergeCell ref="AP158:AS158"/>
    <mergeCell ref="P159:S159"/>
    <mergeCell ref="T159:AK159"/>
    <mergeCell ref="AL159:AO159"/>
    <mergeCell ref="AP159:AS159"/>
    <mergeCell ref="A161:AX161"/>
    <mergeCell ref="B162:E162"/>
    <mergeCell ref="G162:J162"/>
    <mergeCell ref="F163:I163"/>
    <mergeCell ref="J163:M163"/>
    <mergeCell ref="N163:Q163"/>
    <mergeCell ref="R163:U163"/>
    <mergeCell ref="V163:Y163"/>
    <mergeCell ref="Z163:AC163"/>
    <mergeCell ref="AD163:AG163"/>
    <mergeCell ref="AH163:AK163"/>
    <mergeCell ref="AL163:AO163"/>
    <mergeCell ref="AP163:AS163"/>
    <mergeCell ref="AT163:AW163"/>
    <mergeCell ref="AX163:BA163"/>
    <mergeCell ref="F164:I164"/>
    <mergeCell ref="J164:M164"/>
    <mergeCell ref="N164:Q164"/>
    <mergeCell ref="R164:U164"/>
    <mergeCell ref="V164:Y164"/>
    <mergeCell ref="Z164:AC164"/>
    <mergeCell ref="AD164:AG164"/>
    <mergeCell ref="AH164:AK164"/>
    <mergeCell ref="AL164:AO164"/>
    <mergeCell ref="AP164:AS164"/>
    <mergeCell ref="AT164:AW164"/>
    <mergeCell ref="AX164:BA164"/>
    <mergeCell ref="H165:K165"/>
    <mergeCell ref="L165:O165"/>
    <mergeCell ref="P165:S165"/>
    <mergeCell ref="T165:W165"/>
    <mergeCell ref="X165:AA165"/>
    <mergeCell ref="AB165:AE165"/>
    <mergeCell ref="AF165:AI165"/>
    <mergeCell ref="AJ165:AM165"/>
    <mergeCell ref="AN165:AQ165"/>
    <mergeCell ref="AR165:AU165"/>
    <mergeCell ref="AV165:AY165"/>
    <mergeCell ref="AZ165:BC165"/>
    <mergeCell ref="H166:K166"/>
    <mergeCell ref="L166:O166"/>
    <mergeCell ref="P166:S166"/>
    <mergeCell ref="T166:W166"/>
    <mergeCell ref="X166:AA166"/>
    <mergeCell ref="AB166:AE166"/>
    <mergeCell ref="AF166:AI166"/>
    <mergeCell ref="AJ166:AM166"/>
    <mergeCell ref="AN166:AQ166"/>
    <mergeCell ref="AR166:AU166"/>
    <mergeCell ref="AV166:AY166"/>
    <mergeCell ref="AZ166:BC166"/>
    <mergeCell ref="I167:L167"/>
    <mergeCell ref="M167:P167"/>
    <mergeCell ref="Q167:T167"/>
    <mergeCell ref="U167:X167"/>
    <mergeCell ref="Y167:AB167"/>
    <mergeCell ref="AC167:AF167"/>
    <mergeCell ref="AG167:AJ167"/>
    <mergeCell ref="AK167:AN167"/>
    <mergeCell ref="AO167:AR167"/>
    <mergeCell ref="AS167:AV167"/>
    <mergeCell ref="AW167:AZ167"/>
    <mergeCell ref="I168:L168"/>
    <mergeCell ref="M168:P168"/>
    <mergeCell ref="Q168:T168"/>
    <mergeCell ref="U168:X168"/>
    <mergeCell ref="Y168:AB168"/>
    <mergeCell ref="AC168:AF168"/>
    <mergeCell ref="AG168:AJ168"/>
    <mergeCell ref="AK168:AN168"/>
    <mergeCell ref="AO168:AR168"/>
    <mergeCell ref="AS168:AV168"/>
    <mergeCell ref="AW168:AZ168"/>
    <mergeCell ref="K169:N169"/>
    <mergeCell ref="O169:R169"/>
    <mergeCell ref="S169:V169"/>
    <mergeCell ref="W169:Z169"/>
    <mergeCell ref="AA169:AD169"/>
    <mergeCell ref="AE169:AH169"/>
    <mergeCell ref="AI169:AL169"/>
    <mergeCell ref="AM169:AP169"/>
    <mergeCell ref="AQ169:AT169"/>
    <mergeCell ref="AU169:AX169"/>
    <mergeCell ref="K170:N170"/>
    <mergeCell ref="O170:R170"/>
    <mergeCell ref="S170:V170"/>
    <mergeCell ref="W170:Z170"/>
    <mergeCell ref="AA170:AD170"/>
    <mergeCell ref="AE170:AH170"/>
    <mergeCell ref="AI170:AL170"/>
    <mergeCell ref="AM170:AP170"/>
    <mergeCell ref="AQ170:AT170"/>
    <mergeCell ref="AU170:AX170"/>
    <mergeCell ref="P171:S171"/>
    <mergeCell ref="T171:AK171"/>
    <mergeCell ref="AL171:AO171"/>
    <mergeCell ref="AP171:AS171"/>
    <mergeCell ref="P172:S172"/>
    <mergeCell ref="T172:AK172"/>
    <mergeCell ref="AL172:AO172"/>
    <mergeCell ref="AP172:AS172"/>
    <mergeCell ref="A174:AX174"/>
    <mergeCell ref="B175:E175"/>
    <mergeCell ref="G175:J175"/>
    <mergeCell ref="F176:I176"/>
    <mergeCell ref="J176:M176"/>
    <mergeCell ref="N176:Q176"/>
    <mergeCell ref="R176:U176"/>
    <mergeCell ref="V176:Y176"/>
    <mergeCell ref="Z176:AC176"/>
    <mergeCell ref="AD176:AG176"/>
    <mergeCell ref="AH176:AK176"/>
    <mergeCell ref="AL176:AO176"/>
    <mergeCell ref="AP176:AS176"/>
    <mergeCell ref="AT176:AW176"/>
    <mergeCell ref="AX176:BA176"/>
    <mergeCell ref="F177:I177"/>
    <mergeCell ref="J177:M177"/>
    <mergeCell ref="N177:Q177"/>
    <mergeCell ref="R177:U177"/>
    <mergeCell ref="V177:Y177"/>
    <mergeCell ref="Z177:AC177"/>
    <mergeCell ref="AD177:AG177"/>
    <mergeCell ref="AH177:AK177"/>
    <mergeCell ref="AL177:AO177"/>
    <mergeCell ref="AP177:AS177"/>
    <mergeCell ref="AT177:AW177"/>
    <mergeCell ref="AX177:BA177"/>
    <mergeCell ref="H178:K178"/>
    <mergeCell ref="L178:O178"/>
    <mergeCell ref="P178:S178"/>
    <mergeCell ref="T178:W178"/>
    <mergeCell ref="X178:AA178"/>
    <mergeCell ref="AB178:AE178"/>
    <mergeCell ref="AF178:AI178"/>
    <mergeCell ref="AJ178:AM178"/>
    <mergeCell ref="AN178:AQ178"/>
    <mergeCell ref="AR178:AU178"/>
    <mergeCell ref="AV178:AY178"/>
    <mergeCell ref="AZ178:BC178"/>
    <mergeCell ref="H179:K179"/>
    <mergeCell ref="L179:O179"/>
    <mergeCell ref="P179:S179"/>
    <mergeCell ref="T179:W179"/>
    <mergeCell ref="X179:AA179"/>
    <mergeCell ref="AB179:AE179"/>
    <mergeCell ref="AF179:AI179"/>
    <mergeCell ref="AJ179:AM179"/>
    <mergeCell ref="AN179:AQ179"/>
    <mergeCell ref="AR179:AU179"/>
    <mergeCell ref="AV179:AY179"/>
    <mergeCell ref="AZ179:BC179"/>
    <mergeCell ref="I180:L180"/>
    <mergeCell ref="M180:P180"/>
    <mergeCell ref="Q180:T180"/>
    <mergeCell ref="U180:X180"/>
    <mergeCell ref="Y180:AB180"/>
    <mergeCell ref="AC180:AF180"/>
    <mergeCell ref="AG180:AJ180"/>
    <mergeCell ref="AK180:AN180"/>
    <mergeCell ref="AO180:AR180"/>
    <mergeCell ref="AS180:AV180"/>
    <mergeCell ref="AW180:AZ180"/>
    <mergeCell ref="I181:L181"/>
    <mergeCell ref="M181:P181"/>
    <mergeCell ref="Q181:T181"/>
    <mergeCell ref="U181:X181"/>
    <mergeCell ref="Y181:AB181"/>
    <mergeCell ref="AC181:AF181"/>
    <mergeCell ref="AG181:AJ181"/>
    <mergeCell ref="AK181:AN181"/>
    <mergeCell ref="AO181:AR181"/>
    <mergeCell ref="AS181:AV181"/>
    <mergeCell ref="AW181:AZ181"/>
    <mergeCell ref="K182:N182"/>
    <mergeCell ref="O182:R182"/>
    <mergeCell ref="S182:V182"/>
    <mergeCell ref="W182:Z182"/>
    <mergeCell ref="AA182:AD182"/>
    <mergeCell ref="AE182:AH182"/>
    <mergeCell ref="AI182:AL182"/>
    <mergeCell ref="AM182:AP182"/>
    <mergeCell ref="AQ182:AT182"/>
    <mergeCell ref="AU182:AX182"/>
    <mergeCell ref="K183:N183"/>
    <mergeCell ref="O183:R183"/>
    <mergeCell ref="S183:V183"/>
    <mergeCell ref="W183:Z183"/>
    <mergeCell ref="AA183:AD183"/>
    <mergeCell ref="AE183:AH183"/>
    <mergeCell ref="AI183:AL183"/>
    <mergeCell ref="AM183:AP183"/>
    <mergeCell ref="AQ183:AT183"/>
    <mergeCell ref="AU183:AX183"/>
    <mergeCell ref="P184:S184"/>
    <mergeCell ref="T184:AK184"/>
    <mergeCell ref="AL184:AO184"/>
    <mergeCell ref="AP184:AS184"/>
    <mergeCell ref="P185:S185"/>
    <mergeCell ref="T185:AK185"/>
    <mergeCell ref="AL185:AO185"/>
    <mergeCell ref="AP185:AS185"/>
    <mergeCell ref="A187:AX187"/>
    <mergeCell ref="B188:E188"/>
    <mergeCell ref="G188:J188"/>
    <mergeCell ref="F189:I189"/>
    <mergeCell ref="J189:M189"/>
    <mergeCell ref="N189:Q189"/>
    <mergeCell ref="R189:U189"/>
    <mergeCell ref="V189:Y189"/>
    <mergeCell ref="Z189:AC189"/>
    <mergeCell ref="AD189:AG189"/>
    <mergeCell ref="AH189:AK189"/>
    <mergeCell ref="AL189:AO189"/>
    <mergeCell ref="AP189:AS189"/>
    <mergeCell ref="AT189:AW189"/>
    <mergeCell ref="AX189:BA189"/>
    <mergeCell ref="F190:I190"/>
    <mergeCell ref="J190:M190"/>
    <mergeCell ref="N190:Q190"/>
    <mergeCell ref="R190:U190"/>
    <mergeCell ref="V190:Y190"/>
    <mergeCell ref="Z190:AC190"/>
    <mergeCell ref="AD190:AG190"/>
    <mergeCell ref="AH190:AK190"/>
    <mergeCell ref="AL190:AO190"/>
    <mergeCell ref="AP190:AS190"/>
    <mergeCell ref="AT190:AW190"/>
    <mergeCell ref="AX190:BA190"/>
    <mergeCell ref="H191:K191"/>
    <mergeCell ref="L191:O191"/>
    <mergeCell ref="P191:S191"/>
    <mergeCell ref="T191:W191"/>
    <mergeCell ref="X191:AA191"/>
    <mergeCell ref="AB191:AE191"/>
    <mergeCell ref="AF191:AI191"/>
    <mergeCell ref="AJ191:AM191"/>
    <mergeCell ref="AN191:AQ191"/>
    <mergeCell ref="AR191:AU191"/>
    <mergeCell ref="AV191:AY191"/>
    <mergeCell ref="AZ191:BC191"/>
    <mergeCell ref="H192:K192"/>
    <mergeCell ref="L192:O192"/>
    <mergeCell ref="P192:S192"/>
    <mergeCell ref="T192:W192"/>
    <mergeCell ref="X192:AA192"/>
    <mergeCell ref="AB192:AE192"/>
    <mergeCell ref="AF192:AI192"/>
    <mergeCell ref="AJ192:AM192"/>
    <mergeCell ref="AN192:AQ192"/>
    <mergeCell ref="AR192:AU192"/>
    <mergeCell ref="AV192:AY192"/>
    <mergeCell ref="AZ192:BC192"/>
    <mergeCell ref="I193:L193"/>
    <mergeCell ref="M193:P193"/>
    <mergeCell ref="Q193:T193"/>
    <mergeCell ref="U193:X193"/>
    <mergeCell ref="Y193:AB193"/>
    <mergeCell ref="AC193:AF193"/>
    <mergeCell ref="AG193:AJ193"/>
    <mergeCell ref="AK193:AN193"/>
    <mergeCell ref="AO193:AR193"/>
    <mergeCell ref="AS193:AV193"/>
    <mergeCell ref="AW193:AZ193"/>
    <mergeCell ref="I194:L194"/>
    <mergeCell ref="M194:P194"/>
    <mergeCell ref="Q194:T194"/>
    <mergeCell ref="U194:X194"/>
    <mergeCell ref="Y194:AB194"/>
    <mergeCell ref="AC194:AF194"/>
    <mergeCell ref="AG194:AJ194"/>
    <mergeCell ref="AK194:AN194"/>
    <mergeCell ref="AO194:AR194"/>
    <mergeCell ref="AS194:AV194"/>
    <mergeCell ref="AW194:AZ194"/>
    <mergeCell ref="K195:N195"/>
    <mergeCell ref="O195:R195"/>
    <mergeCell ref="S195:V195"/>
    <mergeCell ref="W195:Z195"/>
    <mergeCell ref="AA195:AD195"/>
    <mergeCell ref="AE195:AH195"/>
    <mergeCell ref="AI195:AL195"/>
    <mergeCell ref="AM195:AP195"/>
    <mergeCell ref="AQ195:AT195"/>
    <mergeCell ref="AU195:AX195"/>
    <mergeCell ref="K196:N196"/>
    <mergeCell ref="O196:R196"/>
    <mergeCell ref="S196:V196"/>
    <mergeCell ref="W196:Z196"/>
    <mergeCell ref="AA196:AD196"/>
    <mergeCell ref="AE196:AH196"/>
    <mergeCell ref="AI196:AL196"/>
    <mergeCell ref="AM196:AP196"/>
    <mergeCell ref="AQ196:AT196"/>
    <mergeCell ref="AU196:AX196"/>
    <mergeCell ref="P197:S197"/>
    <mergeCell ref="T197:AK197"/>
    <mergeCell ref="AL197:AO197"/>
    <mergeCell ref="AP197:AS197"/>
    <mergeCell ref="P198:S198"/>
    <mergeCell ref="T198:AK198"/>
    <mergeCell ref="AL198:AO198"/>
    <mergeCell ref="AP198:AS198"/>
    <mergeCell ref="A200:AX200"/>
    <mergeCell ref="B201:E201"/>
    <mergeCell ref="G201:J201"/>
    <mergeCell ref="F202:I202"/>
    <mergeCell ref="J202:M202"/>
    <mergeCell ref="N202:Q202"/>
    <mergeCell ref="R202:U202"/>
    <mergeCell ref="V202:Y202"/>
    <mergeCell ref="Z202:AC202"/>
    <mergeCell ref="AD202:AG202"/>
    <mergeCell ref="AH202:AK202"/>
    <mergeCell ref="AL202:AO202"/>
    <mergeCell ref="AP202:AS202"/>
    <mergeCell ref="AT202:AW202"/>
    <mergeCell ref="AX202:BA202"/>
    <mergeCell ref="F203:I203"/>
    <mergeCell ref="J203:M203"/>
    <mergeCell ref="N203:Q203"/>
    <mergeCell ref="R203:U203"/>
    <mergeCell ref="V203:Y203"/>
    <mergeCell ref="Z203:AC203"/>
    <mergeCell ref="AD203:AG203"/>
    <mergeCell ref="AH203:AK203"/>
    <mergeCell ref="AL203:AO203"/>
    <mergeCell ref="AP203:AS203"/>
    <mergeCell ref="AT203:AW203"/>
    <mergeCell ref="AX203:BA203"/>
    <mergeCell ref="H204:K204"/>
    <mergeCell ref="L204:O204"/>
    <mergeCell ref="P204:S204"/>
    <mergeCell ref="T204:W204"/>
    <mergeCell ref="X204:AA204"/>
    <mergeCell ref="AB204:AE204"/>
    <mergeCell ref="AF204:AI204"/>
    <mergeCell ref="AJ204:AM204"/>
    <mergeCell ref="AN204:AQ204"/>
    <mergeCell ref="AR204:AU204"/>
    <mergeCell ref="AV204:AY204"/>
    <mergeCell ref="AZ204:BC204"/>
    <mergeCell ref="H205:K205"/>
    <mergeCell ref="L205:O205"/>
    <mergeCell ref="P205:S205"/>
    <mergeCell ref="T205:W205"/>
    <mergeCell ref="X205:AA205"/>
    <mergeCell ref="AB205:AE205"/>
    <mergeCell ref="AF205:AI205"/>
    <mergeCell ref="AJ205:AM205"/>
    <mergeCell ref="AN205:AQ205"/>
    <mergeCell ref="AR205:AU205"/>
    <mergeCell ref="AV205:AY205"/>
    <mergeCell ref="AZ205:BC205"/>
    <mergeCell ref="I206:L206"/>
    <mergeCell ref="M206:P206"/>
    <mergeCell ref="Q206:T206"/>
    <mergeCell ref="U206:X206"/>
    <mergeCell ref="Y206:AB206"/>
    <mergeCell ref="AC206:AF206"/>
    <mergeCell ref="AG206:AJ206"/>
    <mergeCell ref="AK206:AN206"/>
    <mergeCell ref="AO206:AR206"/>
    <mergeCell ref="AS206:AV206"/>
    <mergeCell ref="AW206:AZ206"/>
    <mergeCell ref="I207:L207"/>
    <mergeCell ref="M207:P207"/>
    <mergeCell ref="Q207:T207"/>
    <mergeCell ref="U207:X207"/>
    <mergeCell ref="Y207:AB207"/>
    <mergeCell ref="AC207:AF207"/>
    <mergeCell ref="AG207:AJ207"/>
    <mergeCell ref="AK207:AN207"/>
    <mergeCell ref="AO207:AR207"/>
    <mergeCell ref="AS207:AV207"/>
    <mergeCell ref="AW207:AZ207"/>
    <mergeCell ref="K208:N208"/>
    <mergeCell ref="O208:R208"/>
    <mergeCell ref="S208:V208"/>
    <mergeCell ref="W208:Z208"/>
    <mergeCell ref="AA208:AD208"/>
    <mergeCell ref="AE208:AH208"/>
    <mergeCell ref="AI208:AL208"/>
    <mergeCell ref="AM208:AP208"/>
    <mergeCell ref="AQ208:AT208"/>
    <mergeCell ref="AU208:AX208"/>
    <mergeCell ref="K209:N209"/>
    <mergeCell ref="O209:R209"/>
    <mergeCell ref="S209:V209"/>
    <mergeCell ref="W209:Z209"/>
    <mergeCell ref="AA209:AD209"/>
    <mergeCell ref="AE209:AH209"/>
    <mergeCell ref="AI209:AL209"/>
    <mergeCell ref="AM209:AP209"/>
    <mergeCell ref="AQ209:AT209"/>
    <mergeCell ref="AU209:AX209"/>
    <mergeCell ref="P210:S210"/>
    <mergeCell ref="T210:AK210"/>
    <mergeCell ref="AL210:AO210"/>
    <mergeCell ref="AP210:AS210"/>
    <mergeCell ref="P211:S211"/>
    <mergeCell ref="T211:AK211"/>
    <mergeCell ref="AL211:AO211"/>
    <mergeCell ref="AP211:AS211"/>
    <mergeCell ref="A213:AX213"/>
    <mergeCell ref="B214:E214"/>
    <mergeCell ref="G214:J214"/>
    <mergeCell ref="F215:I215"/>
    <mergeCell ref="J215:M215"/>
    <mergeCell ref="N215:Q215"/>
    <mergeCell ref="R215:U215"/>
    <mergeCell ref="V215:Y215"/>
    <mergeCell ref="Z215:AC215"/>
    <mergeCell ref="AD215:AG215"/>
    <mergeCell ref="AH215:AK215"/>
    <mergeCell ref="AL215:AO215"/>
    <mergeCell ref="AP215:AS215"/>
    <mergeCell ref="AT215:AW215"/>
    <mergeCell ref="AX215:BA215"/>
    <mergeCell ref="F216:I216"/>
    <mergeCell ref="J216:M216"/>
    <mergeCell ref="N216:Q216"/>
    <mergeCell ref="R216:U216"/>
    <mergeCell ref="V216:Y216"/>
    <mergeCell ref="Z216:AC216"/>
    <mergeCell ref="AD216:AG216"/>
    <mergeCell ref="AH216:AK216"/>
    <mergeCell ref="AL216:AO216"/>
    <mergeCell ref="AP216:AS216"/>
    <mergeCell ref="AT216:AW216"/>
    <mergeCell ref="AX216:BA216"/>
    <mergeCell ref="H217:K217"/>
    <mergeCell ref="L217:O217"/>
    <mergeCell ref="P217:S217"/>
    <mergeCell ref="T217:W217"/>
    <mergeCell ref="X217:AA217"/>
    <mergeCell ref="AB217:AE217"/>
    <mergeCell ref="AF217:AI217"/>
    <mergeCell ref="AJ217:AM217"/>
    <mergeCell ref="AN217:AQ217"/>
    <mergeCell ref="AR217:AU217"/>
    <mergeCell ref="AV217:AY217"/>
    <mergeCell ref="AZ217:BC217"/>
    <mergeCell ref="H218:K218"/>
    <mergeCell ref="L218:O218"/>
    <mergeCell ref="P218:S218"/>
    <mergeCell ref="T218:W218"/>
    <mergeCell ref="X218:AA218"/>
    <mergeCell ref="AB218:AE218"/>
    <mergeCell ref="AF218:AI218"/>
    <mergeCell ref="AJ218:AM218"/>
    <mergeCell ref="AN218:AQ218"/>
    <mergeCell ref="AR218:AU218"/>
    <mergeCell ref="AV218:AY218"/>
    <mergeCell ref="AZ218:BC218"/>
    <mergeCell ref="I219:L219"/>
    <mergeCell ref="M219:P219"/>
    <mergeCell ref="Q219:T219"/>
    <mergeCell ref="U219:X219"/>
    <mergeCell ref="Y219:AB219"/>
    <mergeCell ref="AC219:AF219"/>
    <mergeCell ref="AG219:AJ219"/>
    <mergeCell ref="AK219:AN219"/>
    <mergeCell ref="AO219:AR219"/>
    <mergeCell ref="AS219:AV219"/>
    <mergeCell ref="AW219:AZ219"/>
    <mergeCell ref="I220:L220"/>
    <mergeCell ref="M220:P220"/>
    <mergeCell ref="Q220:T220"/>
    <mergeCell ref="U220:X220"/>
    <mergeCell ref="Y220:AB220"/>
    <mergeCell ref="AC220:AF220"/>
    <mergeCell ref="AG220:AJ220"/>
    <mergeCell ref="AK220:AN220"/>
    <mergeCell ref="AO220:AR220"/>
    <mergeCell ref="AS220:AV220"/>
    <mergeCell ref="AW220:AZ220"/>
    <mergeCell ref="K221:N221"/>
    <mergeCell ref="O221:R221"/>
    <mergeCell ref="S221:V221"/>
    <mergeCell ref="W221:Z221"/>
    <mergeCell ref="AA221:AD221"/>
    <mergeCell ref="AE221:AH221"/>
    <mergeCell ref="AI221:AL221"/>
    <mergeCell ref="AM221:AP221"/>
    <mergeCell ref="AQ221:AT221"/>
    <mergeCell ref="AU221:AX221"/>
    <mergeCell ref="K222:N222"/>
    <mergeCell ref="O222:R222"/>
    <mergeCell ref="S222:V222"/>
    <mergeCell ref="W222:Z222"/>
    <mergeCell ref="AA222:AD222"/>
    <mergeCell ref="AE222:AH222"/>
    <mergeCell ref="AI222:AL222"/>
    <mergeCell ref="AM222:AP222"/>
    <mergeCell ref="AQ222:AT222"/>
    <mergeCell ref="AU222:AX222"/>
    <mergeCell ref="P223:S223"/>
    <mergeCell ref="T223:AK223"/>
    <mergeCell ref="AL223:AO223"/>
    <mergeCell ref="AP223:AS223"/>
    <mergeCell ref="P224:S224"/>
    <mergeCell ref="T224:AK224"/>
    <mergeCell ref="AL224:AO224"/>
    <mergeCell ref="AP224:AS224"/>
    <mergeCell ref="A226:AX226"/>
    <mergeCell ref="B227:E227"/>
    <mergeCell ref="G227:J227"/>
    <mergeCell ref="F228:I228"/>
    <mergeCell ref="J228:M228"/>
    <mergeCell ref="N228:Q228"/>
    <mergeCell ref="R228:U228"/>
    <mergeCell ref="V228:Y228"/>
    <mergeCell ref="Z228:AC228"/>
    <mergeCell ref="AD228:AG228"/>
    <mergeCell ref="AH228:AK228"/>
    <mergeCell ref="AL228:AO228"/>
    <mergeCell ref="AP228:AS228"/>
    <mergeCell ref="AT228:AW228"/>
    <mergeCell ref="AX228:BA228"/>
    <mergeCell ref="F229:I229"/>
    <mergeCell ref="J229:M229"/>
    <mergeCell ref="N229:Q229"/>
    <mergeCell ref="R229:U229"/>
    <mergeCell ref="V229:Y229"/>
    <mergeCell ref="Z229:AC229"/>
    <mergeCell ref="AD229:AG229"/>
    <mergeCell ref="AH229:AK229"/>
    <mergeCell ref="AL229:AO229"/>
    <mergeCell ref="AP229:AS229"/>
    <mergeCell ref="AT229:AW229"/>
    <mergeCell ref="AX229:BA229"/>
    <mergeCell ref="H230:K230"/>
    <mergeCell ref="L230:O230"/>
    <mergeCell ref="P230:S230"/>
    <mergeCell ref="T230:W230"/>
    <mergeCell ref="X230:AA230"/>
    <mergeCell ref="AB230:AE230"/>
    <mergeCell ref="AF230:AI230"/>
    <mergeCell ref="AJ230:AM230"/>
    <mergeCell ref="AN230:AQ230"/>
    <mergeCell ref="AR230:AU230"/>
    <mergeCell ref="AV230:AY230"/>
    <mergeCell ref="AZ230:BC230"/>
    <mergeCell ref="H231:K231"/>
    <mergeCell ref="L231:O231"/>
    <mergeCell ref="P231:S231"/>
    <mergeCell ref="T231:W231"/>
    <mergeCell ref="X231:AA231"/>
    <mergeCell ref="AB231:AE231"/>
    <mergeCell ref="AF231:AI231"/>
    <mergeCell ref="AJ231:AM231"/>
    <mergeCell ref="AN231:AQ231"/>
    <mergeCell ref="AR231:AU231"/>
    <mergeCell ref="AV231:AY231"/>
    <mergeCell ref="AZ231:BC231"/>
    <mergeCell ref="I232:L232"/>
    <mergeCell ref="M232:P232"/>
    <mergeCell ref="Q232:T232"/>
    <mergeCell ref="U232:X232"/>
    <mergeCell ref="Y232:AB232"/>
    <mergeCell ref="AC232:AF232"/>
    <mergeCell ref="AG232:AJ232"/>
    <mergeCell ref="AK232:AN232"/>
    <mergeCell ref="AO232:AR232"/>
    <mergeCell ref="AS232:AV232"/>
    <mergeCell ref="AW232:AZ232"/>
    <mergeCell ref="I233:L233"/>
    <mergeCell ref="M233:P233"/>
    <mergeCell ref="Q233:T233"/>
    <mergeCell ref="U233:X233"/>
    <mergeCell ref="Y233:AB233"/>
    <mergeCell ref="AC233:AF233"/>
    <mergeCell ref="AG233:AJ233"/>
    <mergeCell ref="AK233:AN233"/>
    <mergeCell ref="AO233:AR233"/>
    <mergeCell ref="AS233:AV233"/>
    <mergeCell ref="AW233:AZ233"/>
    <mergeCell ref="K234:N234"/>
    <mergeCell ref="O234:R234"/>
    <mergeCell ref="S234:V234"/>
    <mergeCell ref="W234:Z234"/>
    <mergeCell ref="AA234:AD234"/>
    <mergeCell ref="AE234:AH234"/>
    <mergeCell ref="AI234:AL234"/>
    <mergeCell ref="AM234:AP234"/>
    <mergeCell ref="AQ234:AT234"/>
    <mergeCell ref="AU234:AX234"/>
    <mergeCell ref="K235:N235"/>
    <mergeCell ref="O235:R235"/>
    <mergeCell ref="S235:V235"/>
    <mergeCell ref="W235:Z235"/>
    <mergeCell ref="AA235:AD235"/>
    <mergeCell ref="AE235:AH235"/>
    <mergeCell ref="AI235:AL235"/>
    <mergeCell ref="AM235:AP235"/>
    <mergeCell ref="AQ235:AT235"/>
    <mergeCell ref="AU235:AX235"/>
    <mergeCell ref="P236:S236"/>
    <mergeCell ref="T236:AK236"/>
    <mergeCell ref="AL236:AO236"/>
    <mergeCell ref="AP236:AS236"/>
    <mergeCell ref="P237:S237"/>
    <mergeCell ref="T237:AK237"/>
    <mergeCell ref="AL237:AO237"/>
    <mergeCell ref="AP237:AS237"/>
    <mergeCell ref="A239:AX239"/>
    <mergeCell ref="B240:E240"/>
    <mergeCell ref="G240:J240"/>
    <mergeCell ref="F241:I241"/>
    <mergeCell ref="J241:M241"/>
    <mergeCell ref="N241:Q241"/>
    <mergeCell ref="R241:U241"/>
    <mergeCell ref="V241:Y241"/>
    <mergeCell ref="Z241:AC241"/>
    <mergeCell ref="AD241:AG241"/>
    <mergeCell ref="AH241:AK241"/>
    <mergeCell ref="AL241:AO241"/>
    <mergeCell ref="AP241:AS241"/>
    <mergeCell ref="AT241:AW241"/>
    <mergeCell ref="AX241:BA241"/>
    <mergeCell ref="F242:I242"/>
    <mergeCell ref="J242:M242"/>
    <mergeCell ref="N242:Q242"/>
    <mergeCell ref="R242:U242"/>
    <mergeCell ref="V242:Y242"/>
    <mergeCell ref="Z242:AC242"/>
    <mergeCell ref="AD242:AG242"/>
    <mergeCell ref="AH242:AK242"/>
    <mergeCell ref="AL242:AO242"/>
    <mergeCell ref="AP242:AS242"/>
    <mergeCell ref="AT242:AW242"/>
    <mergeCell ref="AX242:BA242"/>
    <mergeCell ref="H243:K243"/>
    <mergeCell ref="L243:O243"/>
    <mergeCell ref="P243:S243"/>
    <mergeCell ref="T243:W243"/>
    <mergeCell ref="X243:AA243"/>
    <mergeCell ref="AB243:AE243"/>
    <mergeCell ref="AF243:AI243"/>
    <mergeCell ref="AJ243:AM243"/>
    <mergeCell ref="AN243:AQ243"/>
    <mergeCell ref="AR243:AU243"/>
    <mergeCell ref="AV243:AY243"/>
    <mergeCell ref="AZ243:BC243"/>
    <mergeCell ref="H244:K244"/>
    <mergeCell ref="L244:O244"/>
    <mergeCell ref="P244:S244"/>
    <mergeCell ref="T244:W244"/>
    <mergeCell ref="X244:AA244"/>
    <mergeCell ref="AB244:AE244"/>
    <mergeCell ref="AF244:AI244"/>
    <mergeCell ref="AJ244:AM244"/>
    <mergeCell ref="AN244:AQ244"/>
    <mergeCell ref="AR244:AU244"/>
    <mergeCell ref="AV244:AY244"/>
    <mergeCell ref="AZ244:BC244"/>
    <mergeCell ref="I245:L245"/>
    <mergeCell ref="M245:P245"/>
    <mergeCell ref="Q245:T245"/>
    <mergeCell ref="U245:X245"/>
    <mergeCell ref="Y245:AB245"/>
    <mergeCell ref="AC245:AF245"/>
    <mergeCell ref="AG245:AJ245"/>
    <mergeCell ref="AK245:AN245"/>
    <mergeCell ref="AO245:AR245"/>
    <mergeCell ref="AS245:AV245"/>
    <mergeCell ref="AW245:AZ245"/>
    <mergeCell ref="I246:L246"/>
    <mergeCell ref="M246:P246"/>
    <mergeCell ref="Q246:T246"/>
    <mergeCell ref="U246:X246"/>
    <mergeCell ref="Y246:AB246"/>
    <mergeCell ref="AC246:AF246"/>
    <mergeCell ref="AG246:AJ246"/>
    <mergeCell ref="AK246:AN246"/>
    <mergeCell ref="AO246:AR246"/>
    <mergeCell ref="AS246:AV246"/>
    <mergeCell ref="AW246:AZ246"/>
    <mergeCell ref="K247:N247"/>
    <mergeCell ref="O247:R247"/>
    <mergeCell ref="S247:V247"/>
    <mergeCell ref="W247:Z247"/>
    <mergeCell ref="AA247:AD247"/>
    <mergeCell ref="AE247:AH247"/>
    <mergeCell ref="AI247:AL247"/>
    <mergeCell ref="AM247:AP247"/>
    <mergeCell ref="AQ247:AT247"/>
    <mergeCell ref="AU247:AX247"/>
    <mergeCell ref="K248:N248"/>
    <mergeCell ref="O248:R248"/>
    <mergeCell ref="S248:V248"/>
    <mergeCell ref="W248:Z248"/>
    <mergeCell ref="AA248:AD248"/>
    <mergeCell ref="AE248:AH248"/>
    <mergeCell ref="AI248:AL248"/>
    <mergeCell ref="AM248:AP248"/>
    <mergeCell ref="AQ248:AT248"/>
    <mergeCell ref="AU248:AX248"/>
    <mergeCell ref="P249:S249"/>
    <mergeCell ref="T249:AK249"/>
    <mergeCell ref="AL249:AO249"/>
    <mergeCell ref="AP249:AS249"/>
    <mergeCell ref="P250:S250"/>
    <mergeCell ref="T250:AK250"/>
    <mergeCell ref="AL250:AO250"/>
    <mergeCell ref="AP250:AS250"/>
    <mergeCell ref="A252:AX252"/>
    <mergeCell ref="B253:E253"/>
    <mergeCell ref="G253:J253"/>
    <mergeCell ref="F254:I254"/>
    <mergeCell ref="J254:M254"/>
    <mergeCell ref="N254:Q254"/>
    <mergeCell ref="R254:U254"/>
    <mergeCell ref="V254:Y254"/>
    <mergeCell ref="Z254:AC254"/>
    <mergeCell ref="AD254:AG254"/>
    <mergeCell ref="AH254:AK254"/>
    <mergeCell ref="AL254:AO254"/>
    <mergeCell ref="AP254:AS254"/>
    <mergeCell ref="AT254:AW254"/>
    <mergeCell ref="AX254:BA254"/>
    <mergeCell ref="F255:I255"/>
    <mergeCell ref="J255:M255"/>
    <mergeCell ref="N255:Q255"/>
    <mergeCell ref="R255:U255"/>
    <mergeCell ref="V255:Y255"/>
    <mergeCell ref="Z255:AC255"/>
    <mergeCell ref="AD255:AG255"/>
    <mergeCell ref="AH255:AK255"/>
    <mergeCell ref="AL255:AO255"/>
    <mergeCell ref="AP255:AS255"/>
    <mergeCell ref="AT255:AW255"/>
    <mergeCell ref="AX255:BA255"/>
    <mergeCell ref="H256:K256"/>
    <mergeCell ref="L256:O256"/>
    <mergeCell ref="P256:S256"/>
    <mergeCell ref="T256:W256"/>
    <mergeCell ref="X256:AA256"/>
    <mergeCell ref="AB256:AE256"/>
    <mergeCell ref="AF256:AI256"/>
    <mergeCell ref="AJ256:AM256"/>
    <mergeCell ref="AN256:AQ256"/>
    <mergeCell ref="AR256:AU256"/>
    <mergeCell ref="AV256:AY256"/>
    <mergeCell ref="AZ256:BC256"/>
    <mergeCell ref="H257:K257"/>
    <mergeCell ref="L257:O257"/>
    <mergeCell ref="P257:S257"/>
    <mergeCell ref="T257:W257"/>
    <mergeCell ref="X257:AA257"/>
    <mergeCell ref="AB257:AE257"/>
    <mergeCell ref="AF257:AI257"/>
    <mergeCell ref="AJ257:AM257"/>
    <mergeCell ref="AN257:AQ257"/>
    <mergeCell ref="AR257:AU257"/>
    <mergeCell ref="AV257:AY257"/>
    <mergeCell ref="AZ257:BC257"/>
    <mergeCell ref="I258:L258"/>
    <mergeCell ref="M258:P258"/>
    <mergeCell ref="Q258:T258"/>
    <mergeCell ref="U258:X258"/>
    <mergeCell ref="Y258:AB258"/>
    <mergeCell ref="AC258:AF258"/>
    <mergeCell ref="AG258:AJ258"/>
    <mergeCell ref="AK258:AN258"/>
    <mergeCell ref="AO258:AR258"/>
    <mergeCell ref="AS258:AV258"/>
    <mergeCell ref="AW258:AZ258"/>
    <mergeCell ref="I259:L259"/>
    <mergeCell ref="M259:P259"/>
    <mergeCell ref="Q259:T259"/>
    <mergeCell ref="U259:X259"/>
    <mergeCell ref="Y259:AB259"/>
    <mergeCell ref="AC259:AF259"/>
    <mergeCell ref="AG259:AJ259"/>
    <mergeCell ref="AK259:AN259"/>
    <mergeCell ref="AO259:AR259"/>
    <mergeCell ref="AS259:AV259"/>
    <mergeCell ref="AW259:AZ259"/>
    <mergeCell ref="K260:N260"/>
    <mergeCell ref="O260:R260"/>
    <mergeCell ref="S260:V260"/>
    <mergeCell ref="W260:Z260"/>
    <mergeCell ref="AA260:AD260"/>
    <mergeCell ref="AE260:AH260"/>
    <mergeCell ref="AI260:AL260"/>
    <mergeCell ref="AM260:AP260"/>
    <mergeCell ref="AQ260:AT260"/>
    <mergeCell ref="AU260:AX260"/>
    <mergeCell ref="K261:N261"/>
    <mergeCell ref="O261:R261"/>
    <mergeCell ref="S261:V261"/>
    <mergeCell ref="W261:Z261"/>
    <mergeCell ref="AA261:AD261"/>
    <mergeCell ref="AE261:AH261"/>
    <mergeCell ref="AI261:AL261"/>
    <mergeCell ref="AM261:AP261"/>
    <mergeCell ref="AQ261:AT261"/>
    <mergeCell ref="AU261:AX261"/>
    <mergeCell ref="P262:S262"/>
    <mergeCell ref="T262:AK262"/>
    <mergeCell ref="AL262:AO262"/>
    <mergeCell ref="AP262:AS262"/>
    <mergeCell ref="P263:S263"/>
    <mergeCell ref="T263:AK263"/>
    <mergeCell ref="AL263:AO263"/>
    <mergeCell ref="AP263:AS263"/>
    <mergeCell ref="A265:AX265"/>
    <mergeCell ref="B266:E266"/>
    <mergeCell ref="G266:J266"/>
    <mergeCell ref="F267:I267"/>
    <mergeCell ref="J267:M267"/>
    <mergeCell ref="N267:Q267"/>
    <mergeCell ref="R267:U267"/>
    <mergeCell ref="V267:Y267"/>
    <mergeCell ref="Z267:AC267"/>
    <mergeCell ref="AD267:AG267"/>
    <mergeCell ref="AH267:AK267"/>
    <mergeCell ref="AL267:AO267"/>
    <mergeCell ref="AP267:AS267"/>
    <mergeCell ref="AT267:AW267"/>
    <mergeCell ref="AX267:BA267"/>
    <mergeCell ref="F268:I268"/>
    <mergeCell ref="J268:M268"/>
    <mergeCell ref="N268:Q268"/>
    <mergeCell ref="R268:U268"/>
    <mergeCell ref="V268:Y268"/>
    <mergeCell ref="Z268:AC268"/>
    <mergeCell ref="AD268:AG268"/>
    <mergeCell ref="AH268:AK268"/>
    <mergeCell ref="AL268:AO268"/>
    <mergeCell ref="AP268:AS268"/>
    <mergeCell ref="AT268:AW268"/>
    <mergeCell ref="AX268:BA268"/>
    <mergeCell ref="H269:K269"/>
    <mergeCell ref="L269:O269"/>
    <mergeCell ref="P269:S269"/>
    <mergeCell ref="T269:W269"/>
    <mergeCell ref="X269:AA269"/>
    <mergeCell ref="AB269:AE269"/>
    <mergeCell ref="AF269:AI269"/>
    <mergeCell ref="AJ269:AM269"/>
    <mergeCell ref="AN269:AQ269"/>
    <mergeCell ref="AR269:AU269"/>
    <mergeCell ref="AV269:AY269"/>
    <mergeCell ref="AZ269:BC269"/>
    <mergeCell ref="H270:K270"/>
    <mergeCell ref="L270:O270"/>
    <mergeCell ref="P270:S270"/>
    <mergeCell ref="T270:W270"/>
    <mergeCell ref="X270:AA270"/>
    <mergeCell ref="AB270:AE270"/>
    <mergeCell ref="AF270:AI270"/>
    <mergeCell ref="AJ270:AM270"/>
    <mergeCell ref="AN270:AQ270"/>
    <mergeCell ref="AR270:AU270"/>
    <mergeCell ref="AV270:AY270"/>
    <mergeCell ref="AZ270:BC270"/>
    <mergeCell ref="I271:L271"/>
    <mergeCell ref="M271:P271"/>
    <mergeCell ref="Q271:T271"/>
    <mergeCell ref="U271:X271"/>
    <mergeCell ref="Y271:AB271"/>
    <mergeCell ref="AC271:AF271"/>
    <mergeCell ref="AG271:AJ271"/>
    <mergeCell ref="AK271:AN271"/>
    <mergeCell ref="AO271:AR271"/>
    <mergeCell ref="AS271:AV271"/>
    <mergeCell ref="AW271:AZ271"/>
    <mergeCell ref="I272:L272"/>
    <mergeCell ref="M272:P272"/>
    <mergeCell ref="Q272:T272"/>
    <mergeCell ref="U272:X272"/>
    <mergeCell ref="Y272:AB272"/>
    <mergeCell ref="AC272:AF272"/>
    <mergeCell ref="AG272:AJ272"/>
    <mergeCell ref="AK272:AN272"/>
    <mergeCell ref="AO272:AR272"/>
    <mergeCell ref="AS272:AV272"/>
    <mergeCell ref="AW272:AZ272"/>
    <mergeCell ref="K273:N273"/>
    <mergeCell ref="O273:R273"/>
    <mergeCell ref="S273:V273"/>
    <mergeCell ref="W273:Z273"/>
    <mergeCell ref="AA273:AD273"/>
    <mergeCell ref="AE273:AH273"/>
    <mergeCell ref="AI273:AL273"/>
    <mergeCell ref="AM273:AP273"/>
    <mergeCell ref="AQ273:AT273"/>
    <mergeCell ref="AU273:AX273"/>
    <mergeCell ref="K274:N274"/>
    <mergeCell ref="O274:R274"/>
    <mergeCell ref="S274:V274"/>
    <mergeCell ref="W274:Z274"/>
    <mergeCell ref="AA274:AD274"/>
    <mergeCell ref="AE274:AH274"/>
    <mergeCell ref="AI274:AL274"/>
    <mergeCell ref="AM274:AP274"/>
    <mergeCell ref="AQ274:AT274"/>
    <mergeCell ref="AU274:AX274"/>
    <mergeCell ref="P275:S275"/>
    <mergeCell ref="T275:AK275"/>
    <mergeCell ref="AL275:AO275"/>
    <mergeCell ref="AP275:AS275"/>
    <mergeCell ref="P276:S276"/>
    <mergeCell ref="T276:AK276"/>
    <mergeCell ref="AL276:AO276"/>
    <mergeCell ref="AP276:AS276"/>
    <mergeCell ref="A278:AX278"/>
    <mergeCell ref="B279:E279"/>
    <mergeCell ref="G279:J279"/>
    <mergeCell ref="F280:I280"/>
    <mergeCell ref="J280:M280"/>
    <mergeCell ref="N280:Q280"/>
    <mergeCell ref="R280:U280"/>
    <mergeCell ref="V280:Y280"/>
    <mergeCell ref="Z280:AC280"/>
    <mergeCell ref="AD280:AG280"/>
    <mergeCell ref="AH280:AK280"/>
    <mergeCell ref="AL280:AO280"/>
    <mergeCell ref="AP280:AS280"/>
    <mergeCell ref="AT280:AW280"/>
    <mergeCell ref="AX280:BA280"/>
    <mergeCell ref="F281:I281"/>
    <mergeCell ref="J281:M281"/>
    <mergeCell ref="N281:Q281"/>
    <mergeCell ref="R281:U281"/>
    <mergeCell ref="V281:Y281"/>
    <mergeCell ref="Z281:AC281"/>
    <mergeCell ref="AD281:AG281"/>
    <mergeCell ref="AH281:AK281"/>
    <mergeCell ref="AL281:AO281"/>
    <mergeCell ref="AP281:AS281"/>
    <mergeCell ref="AT281:AW281"/>
    <mergeCell ref="AX281:BA281"/>
    <mergeCell ref="H282:K282"/>
    <mergeCell ref="L282:O282"/>
    <mergeCell ref="P282:S282"/>
    <mergeCell ref="T282:W282"/>
    <mergeCell ref="X282:AA282"/>
    <mergeCell ref="AB282:AE282"/>
    <mergeCell ref="AF282:AI282"/>
    <mergeCell ref="AJ282:AM282"/>
    <mergeCell ref="AN282:AQ282"/>
    <mergeCell ref="AR282:AU282"/>
    <mergeCell ref="AV282:AY282"/>
    <mergeCell ref="AZ282:BC282"/>
    <mergeCell ref="H283:K283"/>
    <mergeCell ref="L283:O283"/>
    <mergeCell ref="P283:S283"/>
    <mergeCell ref="T283:W283"/>
    <mergeCell ref="X283:AA283"/>
    <mergeCell ref="AB283:AE283"/>
    <mergeCell ref="AF283:AI283"/>
    <mergeCell ref="AJ283:AM283"/>
    <mergeCell ref="AN283:AQ283"/>
    <mergeCell ref="AR283:AU283"/>
    <mergeCell ref="AV283:AY283"/>
    <mergeCell ref="AZ283:BC283"/>
    <mergeCell ref="I284:L284"/>
    <mergeCell ref="M284:P284"/>
    <mergeCell ref="Q284:T284"/>
    <mergeCell ref="U284:X284"/>
    <mergeCell ref="Y284:AB284"/>
    <mergeCell ref="AC284:AF284"/>
    <mergeCell ref="AG284:AJ284"/>
    <mergeCell ref="AK284:AN284"/>
    <mergeCell ref="AO284:AR284"/>
    <mergeCell ref="AS284:AV284"/>
    <mergeCell ref="AW284:AZ284"/>
    <mergeCell ref="I285:L285"/>
    <mergeCell ref="M285:P285"/>
    <mergeCell ref="Q285:T285"/>
    <mergeCell ref="U285:X285"/>
    <mergeCell ref="Y285:AB285"/>
    <mergeCell ref="AC285:AF285"/>
    <mergeCell ref="AG285:AJ285"/>
    <mergeCell ref="AK285:AN285"/>
    <mergeCell ref="AO285:AR285"/>
    <mergeCell ref="AS285:AV285"/>
    <mergeCell ref="AW285:AZ285"/>
    <mergeCell ref="K286:N286"/>
    <mergeCell ref="O286:R286"/>
    <mergeCell ref="S286:V286"/>
    <mergeCell ref="W286:Z286"/>
    <mergeCell ref="AA286:AD286"/>
    <mergeCell ref="AE286:AH286"/>
    <mergeCell ref="AI286:AL286"/>
    <mergeCell ref="AM286:AP286"/>
    <mergeCell ref="AQ286:AT286"/>
    <mergeCell ref="AU286:AX286"/>
    <mergeCell ref="K287:N287"/>
    <mergeCell ref="O287:R287"/>
    <mergeCell ref="S287:V287"/>
    <mergeCell ref="W287:Z287"/>
    <mergeCell ref="AA287:AD287"/>
    <mergeCell ref="AE287:AH287"/>
    <mergeCell ref="AI287:AL287"/>
    <mergeCell ref="AM287:AP287"/>
    <mergeCell ref="AQ287:AT287"/>
    <mergeCell ref="AU287:AX287"/>
    <mergeCell ref="P288:S288"/>
    <mergeCell ref="T288:AK288"/>
    <mergeCell ref="AL288:AO288"/>
    <mergeCell ref="AP288:AS288"/>
    <mergeCell ref="P289:S289"/>
    <mergeCell ref="T289:AK289"/>
    <mergeCell ref="AL289:AO289"/>
    <mergeCell ref="AP289:AS289"/>
    <mergeCell ref="A291:AX291"/>
    <mergeCell ref="B292:E292"/>
    <mergeCell ref="G292:J292"/>
    <mergeCell ref="F293:I293"/>
    <mergeCell ref="J293:M293"/>
    <mergeCell ref="N293:Q293"/>
    <mergeCell ref="R293:U293"/>
    <mergeCell ref="V293:Y293"/>
    <mergeCell ref="Z293:AC293"/>
    <mergeCell ref="AD293:AG293"/>
    <mergeCell ref="AH293:AK293"/>
    <mergeCell ref="AL293:AO293"/>
    <mergeCell ref="AP293:AS293"/>
    <mergeCell ref="AT293:AW293"/>
    <mergeCell ref="AX293:BA293"/>
    <mergeCell ref="F294:I294"/>
    <mergeCell ref="J294:M294"/>
    <mergeCell ref="N294:Q294"/>
    <mergeCell ref="R294:U294"/>
    <mergeCell ref="V294:Y294"/>
    <mergeCell ref="Z294:AC294"/>
    <mergeCell ref="AD294:AG294"/>
    <mergeCell ref="AH294:AK294"/>
    <mergeCell ref="AL294:AO294"/>
    <mergeCell ref="AP294:AS294"/>
    <mergeCell ref="AT294:AW294"/>
    <mergeCell ref="AX294:BA294"/>
    <mergeCell ref="H295:K295"/>
    <mergeCell ref="L295:O295"/>
    <mergeCell ref="P295:S295"/>
    <mergeCell ref="T295:W295"/>
    <mergeCell ref="X295:AA295"/>
    <mergeCell ref="AB295:AE295"/>
    <mergeCell ref="AF295:AI295"/>
    <mergeCell ref="AJ295:AM295"/>
    <mergeCell ref="AN295:AQ295"/>
    <mergeCell ref="AR295:AU295"/>
    <mergeCell ref="AV295:AY295"/>
    <mergeCell ref="AZ295:BC295"/>
    <mergeCell ref="H296:K296"/>
    <mergeCell ref="L296:O296"/>
    <mergeCell ref="P296:S296"/>
    <mergeCell ref="T296:W296"/>
    <mergeCell ref="X296:AA296"/>
    <mergeCell ref="AB296:AE296"/>
    <mergeCell ref="AF296:AI296"/>
    <mergeCell ref="AJ296:AM296"/>
    <mergeCell ref="AN296:AQ296"/>
    <mergeCell ref="AR296:AU296"/>
    <mergeCell ref="AV296:AY296"/>
    <mergeCell ref="AZ296:BC296"/>
    <mergeCell ref="I297:L297"/>
    <mergeCell ref="M297:P297"/>
    <mergeCell ref="Q297:T297"/>
    <mergeCell ref="U297:X297"/>
    <mergeCell ref="Y297:AB297"/>
    <mergeCell ref="AC297:AF297"/>
    <mergeCell ref="AG297:AJ297"/>
    <mergeCell ref="AK297:AN297"/>
    <mergeCell ref="AO297:AR297"/>
    <mergeCell ref="AS297:AV297"/>
    <mergeCell ref="AW297:AZ297"/>
    <mergeCell ref="I298:L298"/>
    <mergeCell ref="M298:P298"/>
    <mergeCell ref="Q298:T298"/>
    <mergeCell ref="U298:X298"/>
    <mergeCell ref="Y298:AB298"/>
    <mergeCell ref="AC298:AF298"/>
    <mergeCell ref="AG298:AJ298"/>
    <mergeCell ref="AK298:AN298"/>
    <mergeCell ref="AO298:AR298"/>
    <mergeCell ref="AS298:AV298"/>
    <mergeCell ref="AW298:AZ298"/>
    <mergeCell ref="K299:N299"/>
    <mergeCell ref="O299:R299"/>
    <mergeCell ref="S299:V299"/>
    <mergeCell ref="W299:Z299"/>
    <mergeCell ref="AA299:AD299"/>
    <mergeCell ref="AE299:AH299"/>
    <mergeCell ref="AI299:AL299"/>
    <mergeCell ref="AM299:AP299"/>
    <mergeCell ref="AQ299:AT299"/>
    <mergeCell ref="AU299:AX299"/>
    <mergeCell ref="K300:N300"/>
    <mergeCell ref="O300:R300"/>
    <mergeCell ref="S300:V300"/>
    <mergeCell ref="W300:Z300"/>
    <mergeCell ref="AA300:AD300"/>
    <mergeCell ref="AE300:AH300"/>
    <mergeCell ref="AI300:AL300"/>
    <mergeCell ref="AM300:AP300"/>
    <mergeCell ref="AQ300:AT300"/>
    <mergeCell ref="AU300:AX300"/>
    <mergeCell ref="P301:S301"/>
    <mergeCell ref="T301:AK301"/>
    <mergeCell ref="AL301:AO301"/>
    <mergeCell ref="AP301:AS301"/>
    <mergeCell ref="P302:S302"/>
    <mergeCell ref="T302:AK302"/>
    <mergeCell ref="AL302:AO302"/>
    <mergeCell ref="AP302:AS302"/>
    <mergeCell ref="A304:AX304"/>
    <mergeCell ref="B305:E305"/>
    <mergeCell ref="G305:J305"/>
    <mergeCell ref="F306:I306"/>
    <mergeCell ref="J306:M306"/>
    <mergeCell ref="N306:Q306"/>
    <mergeCell ref="R306:U306"/>
    <mergeCell ref="V306:Y306"/>
    <mergeCell ref="Z306:AC306"/>
    <mergeCell ref="AD306:AG306"/>
    <mergeCell ref="AH306:AK306"/>
    <mergeCell ref="AL306:AO306"/>
    <mergeCell ref="AP306:AS306"/>
    <mergeCell ref="AT306:AW306"/>
    <mergeCell ref="AX306:BA306"/>
    <mergeCell ref="F307:I307"/>
    <mergeCell ref="J307:M307"/>
    <mergeCell ref="N307:Q307"/>
    <mergeCell ref="R307:U307"/>
    <mergeCell ref="V307:Y307"/>
    <mergeCell ref="Z307:AC307"/>
    <mergeCell ref="AD307:AG307"/>
    <mergeCell ref="AH307:AK307"/>
    <mergeCell ref="AL307:AO307"/>
    <mergeCell ref="AP307:AS307"/>
    <mergeCell ref="AT307:AW307"/>
    <mergeCell ref="AX307:BA307"/>
    <mergeCell ref="H308:K308"/>
    <mergeCell ref="L308:O308"/>
    <mergeCell ref="P308:S308"/>
    <mergeCell ref="T308:W308"/>
    <mergeCell ref="X308:AA308"/>
    <mergeCell ref="AB308:AE308"/>
    <mergeCell ref="AF308:AI308"/>
    <mergeCell ref="AJ308:AM308"/>
    <mergeCell ref="AN308:AQ308"/>
    <mergeCell ref="AR308:AU308"/>
    <mergeCell ref="AV308:AY308"/>
    <mergeCell ref="AZ308:BC308"/>
    <mergeCell ref="H309:K309"/>
    <mergeCell ref="L309:O309"/>
    <mergeCell ref="P309:S309"/>
    <mergeCell ref="T309:W309"/>
    <mergeCell ref="X309:AA309"/>
    <mergeCell ref="AB309:AE309"/>
    <mergeCell ref="AF309:AI309"/>
    <mergeCell ref="AJ309:AM309"/>
    <mergeCell ref="AN309:AQ309"/>
    <mergeCell ref="AR309:AU309"/>
    <mergeCell ref="AV309:AY309"/>
    <mergeCell ref="AZ309:BC309"/>
    <mergeCell ref="I310:L310"/>
    <mergeCell ref="M310:P310"/>
    <mergeCell ref="Q310:T310"/>
    <mergeCell ref="U310:X310"/>
    <mergeCell ref="Y310:AB310"/>
    <mergeCell ref="AC310:AF310"/>
    <mergeCell ref="AG310:AJ310"/>
    <mergeCell ref="AK310:AN310"/>
    <mergeCell ref="AO310:AR310"/>
    <mergeCell ref="AS310:AV310"/>
    <mergeCell ref="AW310:AZ310"/>
    <mergeCell ref="I311:L311"/>
    <mergeCell ref="M311:P311"/>
    <mergeCell ref="Q311:T311"/>
    <mergeCell ref="U311:X311"/>
    <mergeCell ref="Y311:AB311"/>
    <mergeCell ref="AC311:AF311"/>
    <mergeCell ref="AG311:AJ311"/>
    <mergeCell ref="AK311:AN311"/>
    <mergeCell ref="AO311:AR311"/>
    <mergeCell ref="AS311:AV311"/>
    <mergeCell ref="AW311:AZ311"/>
    <mergeCell ref="K312:N312"/>
    <mergeCell ref="O312:R312"/>
    <mergeCell ref="S312:V312"/>
    <mergeCell ref="W312:Z312"/>
    <mergeCell ref="AA312:AD312"/>
    <mergeCell ref="AE312:AH312"/>
    <mergeCell ref="AI312:AL312"/>
    <mergeCell ref="AM312:AP312"/>
    <mergeCell ref="AQ312:AT312"/>
    <mergeCell ref="AU312:AX312"/>
    <mergeCell ref="K313:N313"/>
    <mergeCell ref="O313:R313"/>
    <mergeCell ref="S313:V313"/>
    <mergeCell ref="W313:Z313"/>
    <mergeCell ref="AA313:AD313"/>
    <mergeCell ref="AE313:AH313"/>
    <mergeCell ref="AI313:AL313"/>
    <mergeCell ref="AM313:AP313"/>
    <mergeCell ref="AQ313:AT313"/>
    <mergeCell ref="AU313:AX313"/>
    <mergeCell ref="P314:S314"/>
    <mergeCell ref="T314:AK314"/>
    <mergeCell ref="AL314:AO314"/>
    <mergeCell ref="AP314:AS314"/>
    <mergeCell ref="P315:S315"/>
    <mergeCell ref="T315:AK315"/>
    <mergeCell ref="AL315:AO315"/>
    <mergeCell ref="AP315:AS315"/>
    <mergeCell ref="A317:AX317"/>
    <mergeCell ref="B318:E318"/>
    <mergeCell ref="G318:J318"/>
    <mergeCell ref="F319:I319"/>
    <mergeCell ref="J319:M319"/>
    <mergeCell ref="N319:Q319"/>
    <mergeCell ref="R319:U319"/>
    <mergeCell ref="V319:Y319"/>
    <mergeCell ref="Z319:AC319"/>
    <mergeCell ref="AD319:AG319"/>
    <mergeCell ref="AH319:AK319"/>
    <mergeCell ref="AL319:AO319"/>
    <mergeCell ref="AP319:AS319"/>
    <mergeCell ref="AT319:AW319"/>
    <mergeCell ref="AX319:BA319"/>
    <mergeCell ref="F320:I320"/>
    <mergeCell ref="J320:M320"/>
    <mergeCell ref="N320:Q320"/>
    <mergeCell ref="R320:U320"/>
    <mergeCell ref="V320:Y320"/>
    <mergeCell ref="Z320:AC320"/>
    <mergeCell ref="AD320:AG320"/>
    <mergeCell ref="AH320:AK320"/>
    <mergeCell ref="AL320:AO320"/>
    <mergeCell ref="AP320:AS320"/>
    <mergeCell ref="AT320:AW320"/>
    <mergeCell ref="AX320:BA320"/>
    <mergeCell ref="H321:K321"/>
    <mergeCell ref="L321:O321"/>
    <mergeCell ref="P321:S321"/>
    <mergeCell ref="T321:W321"/>
    <mergeCell ref="X321:AA321"/>
    <mergeCell ref="AB321:AE321"/>
    <mergeCell ref="AF321:AI321"/>
    <mergeCell ref="AJ321:AM321"/>
    <mergeCell ref="AN321:AQ321"/>
    <mergeCell ref="AR321:AU321"/>
    <mergeCell ref="AV321:AY321"/>
    <mergeCell ref="AZ321:BC321"/>
    <mergeCell ref="H322:K322"/>
    <mergeCell ref="L322:O322"/>
    <mergeCell ref="P322:S322"/>
    <mergeCell ref="T322:W322"/>
    <mergeCell ref="X322:AA322"/>
    <mergeCell ref="AB322:AE322"/>
    <mergeCell ref="AF322:AI322"/>
    <mergeCell ref="AJ322:AM322"/>
    <mergeCell ref="AN322:AQ322"/>
    <mergeCell ref="AR322:AU322"/>
    <mergeCell ref="AV322:AY322"/>
    <mergeCell ref="AZ322:BC322"/>
    <mergeCell ref="I323:L323"/>
    <mergeCell ref="M323:P323"/>
    <mergeCell ref="Q323:T323"/>
    <mergeCell ref="U323:X323"/>
    <mergeCell ref="Y323:AB323"/>
    <mergeCell ref="AC323:AF323"/>
    <mergeCell ref="AG323:AJ323"/>
    <mergeCell ref="AK323:AN323"/>
    <mergeCell ref="AO323:AR323"/>
    <mergeCell ref="AS323:AV323"/>
    <mergeCell ref="AW323:AZ323"/>
    <mergeCell ref="I324:L324"/>
    <mergeCell ref="M324:P324"/>
    <mergeCell ref="Q324:T324"/>
    <mergeCell ref="U324:X324"/>
    <mergeCell ref="Y324:AB324"/>
    <mergeCell ref="AC324:AF324"/>
    <mergeCell ref="AG324:AJ324"/>
    <mergeCell ref="AK324:AN324"/>
    <mergeCell ref="AO324:AR324"/>
    <mergeCell ref="AS324:AV324"/>
    <mergeCell ref="AW324:AZ324"/>
    <mergeCell ref="K325:N325"/>
    <mergeCell ref="O325:R325"/>
    <mergeCell ref="S325:V325"/>
    <mergeCell ref="W325:Z325"/>
    <mergeCell ref="AA325:AD325"/>
    <mergeCell ref="AE325:AH325"/>
    <mergeCell ref="AI325:AL325"/>
    <mergeCell ref="AM325:AP325"/>
    <mergeCell ref="AQ325:AT325"/>
    <mergeCell ref="AU325:AX325"/>
    <mergeCell ref="K326:N326"/>
    <mergeCell ref="O326:R326"/>
    <mergeCell ref="S326:V326"/>
    <mergeCell ref="W326:Z326"/>
    <mergeCell ref="AA326:AD326"/>
    <mergeCell ref="AE326:AH326"/>
    <mergeCell ref="AI326:AL326"/>
    <mergeCell ref="AM326:AP326"/>
    <mergeCell ref="AQ326:AT326"/>
    <mergeCell ref="AU326:AX326"/>
    <mergeCell ref="P327:S327"/>
    <mergeCell ref="T327:AK327"/>
    <mergeCell ref="AL327:AO327"/>
    <mergeCell ref="AP327:AS327"/>
    <mergeCell ref="P328:S328"/>
    <mergeCell ref="T328:AK328"/>
    <mergeCell ref="AL328:AO328"/>
    <mergeCell ref="AP328:AS328"/>
    <mergeCell ref="A330:AX330"/>
    <mergeCell ref="B331:E331"/>
    <mergeCell ref="G331:J331"/>
    <mergeCell ref="F332:I332"/>
    <mergeCell ref="J332:M332"/>
    <mergeCell ref="N332:Q332"/>
    <mergeCell ref="R332:U332"/>
    <mergeCell ref="V332:Y332"/>
    <mergeCell ref="Z332:AC332"/>
    <mergeCell ref="AD332:AG332"/>
    <mergeCell ref="AH332:AK332"/>
    <mergeCell ref="AL332:AO332"/>
    <mergeCell ref="AP332:AS332"/>
    <mergeCell ref="AT332:AW332"/>
    <mergeCell ref="AX332:BA332"/>
    <mergeCell ref="F333:I333"/>
    <mergeCell ref="J333:M333"/>
    <mergeCell ref="N333:Q333"/>
    <mergeCell ref="R333:U333"/>
    <mergeCell ref="V333:Y333"/>
    <mergeCell ref="Z333:AC333"/>
    <mergeCell ref="AD333:AG333"/>
    <mergeCell ref="AH333:AK333"/>
    <mergeCell ref="AL333:AO333"/>
    <mergeCell ref="AP333:AS333"/>
    <mergeCell ref="AT333:AW333"/>
    <mergeCell ref="AX333:BA333"/>
    <mergeCell ref="H334:K334"/>
    <mergeCell ref="L334:O334"/>
    <mergeCell ref="P334:S334"/>
    <mergeCell ref="T334:W334"/>
    <mergeCell ref="X334:AA334"/>
    <mergeCell ref="AB334:AE334"/>
    <mergeCell ref="AF334:AI334"/>
    <mergeCell ref="AJ334:AM334"/>
    <mergeCell ref="AN334:AQ334"/>
    <mergeCell ref="AR334:AU334"/>
    <mergeCell ref="AV334:AY334"/>
    <mergeCell ref="AZ334:BC334"/>
    <mergeCell ref="H335:K335"/>
    <mergeCell ref="L335:O335"/>
    <mergeCell ref="P335:S335"/>
    <mergeCell ref="T335:W335"/>
    <mergeCell ref="X335:AA335"/>
    <mergeCell ref="AB335:AE335"/>
    <mergeCell ref="AF335:AI335"/>
    <mergeCell ref="AJ335:AM335"/>
    <mergeCell ref="AN335:AQ335"/>
    <mergeCell ref="AR335:AU335"/>
    <mergeCell ref="AV335:AY335"/>
    <mergeCell ref="AZ335:BC335"/>
    <mergeCell ref="I336:L336"/>
    <mergeCell ref="M336:P336"/>
    <mergeCell ref="Q336:T336"/>
    <mergeCell ref="U336:X336"/>
    <mergeCell ref="Y336:AB336"/>
    <mergeCell ref="AC336:AF336"/>
    <mergeCell ref="AG336:AJ336"/>
    <mergeCell ref="AK336:AN336"/>
    <mergeCell ref="AO336:AR336"/>
    <mergeCell ref="AS336:AV336"/>
    <mergeCell ref="AW336:AZ336"/>
    <mergeCell ref="I337:L337"/>
    <mergeCell ref="M337:P337"/>
    <mergeCell ref="Q337:T337"/>
    <mergeCell ref="U337:X337"/>
    <mergeCell ref="Y337:AB337"/>
    <mergeCell ref="AC337:AF337"/>
    <mergeCell ref="AG337:AJ337"/>
    <mergeCell ref="AK337:AN337"/>
    <mergeCell ref="AO337:AR337"/>
    <mergeCell ref="AS337:AV337"/>
    <mergeCell ref="AW337:AZ337"/>
    <mergeCell ref="K338:N338"/>
    <mergeCell ref="O338:R338"/>
    <mergeCell ref="S338:V338"/>
    <mergeCell ref="W338:Z338"/>
    <mergeCell ref="AA338:AD338"/>
    <mergeCell ref="AE338:AH338"/>
    <mergeCell ref="AI338:AL338"/>
    <mergeCell ref="AM338:AP338"/>
    <mergeCell ref="AQ338:AT338"/>
    <mergeCell ref="AU338:AX338"/>
    <mergeCell ref="K339:N339"/>
    <mergeCell ref="O339:R339"/>
    <mergeCell ref="S339:V339"/>
    <mergeCell ref="W339:Z339"/>
    <mergeCell ref="AA339:AD339"/>
    <mergeCell ref="AE339:AH339"/>
    <mergeCell ref="AI339:AL339"/>
    <mergeCell ref="AM339:AP339"/>
    <mergeCell ref="AQ339:AT339"/>
    <mergeCell ref="AU339:AX339"/>
    <mergeCell ref="P340:S340"/>
    <mergeCell ref="T340:AK340"/>
    <mergeCell ref="AL340:AO340"/>
    <mergeCell ref="AP340:AS340"/>
    <mergeCell ref="P341:S341"/>
    <mergeCell ref="T341:AK341"/>
    <mergeCell ref="AL341:AO341"/>
    <mergeCell ref="AP341:AS341"/>
    <mergeCell ref="A343:AX343"/>
    <mergeCell ref="B344:E344"/>
    <mergeCell ref="G344:J344"/>
    <mergeCell ref="F345:I345"/>
    <mergeCell ref="J345:M345"/>
    <mergeCell ref="N345:Q345"/>
    <mergeCell ref="R345:U345"/>
    <mergeCell ref="V345:Y345"/>
    <mergeCell ref="Z345:AC345"/>
    <mergeCell ref="AD345:AG345"/>
    <mergeCell ref="AH345:AK345"/>
    <mergeCell ref="AL345:AO345"/>
    <mergeCell ref="AP345:AS345"/>
    <mergeCell ref="AT345:AW345"/>
    <mergeCell ref="AX345:BA345"/>
    <mergeCell ref="F346:I346"/>
    <mergeCell ref="J346:M346"/>
    <mergeCell ref="N346:Q346"/>
    <mergeCell ref="R346:U346"/>
    <mergeCell ref="V346:Y346"/>
    <mergeCell ref="Z346:AC346"/>
    <mergeCell ref="AD346:AG346"/>
    <mergeCell ref="AH346:AK346"/>
    <mergeCell ref="AL346:AO346"/>
    <mergeCell ref="AP346:AS346"/>
    <mergeCell ref="AT346:AW346"/>
    <mergeCell ref="AX346:BA346"/>
    <mergeCell ref="H347:K347"/>
    <mergeCell ref="L347:O347"/>
    <mergeCell ref="P347:S347"/>
    <mergeCell ref="T347:W347"/>
    <mergeCell ref="X347:AA347"/>
    <mergeCell ref="AB347:AE347"/>
    <mergeCell ref="AF347:AI347"/>
    <mergeCell ref="AJ347:AM347"/>
    <mergeCell ref="AN347:AQ347"/>
    <mergeCell ref="AR347:AU347"/>
    <mergeCell ref="AV347:AY347"/>
    <mergeCell ref="AZ347:BC347"/>
    <mergeCell ref="H348:K348"/>
    <mergeCell ref="L348:O348"/>
    <mergeCell ref="P348:S348"/>
    <mergeCell ref="T348:W348"/>
    <mergeCell ref="X348:AA348"/>
    <mergeCell ref="AB348:AE348"/>
    <mergeCell ref="AF348:AI348"/>
    <mergeCell ref="AJ348:AM348"/>
    <mergeCell ref="AN348:AQ348"/>
    <mergeCell ref="AR348:AU348"/>
    <mergeCell ref="AV348:AY348"/>
    <mergeCell ref="AZ348:BC348"/>
    <mergeCell ref="I349:L349"/>
    <mergeCell ref="M349:P349"/>
    <mergeCell ref="Q349:T349"/>
    <mergeCell ref="U349:X349"/>
    <mergeCell ref="Y349:AB349"/>
    <mergeCell ref="AC349:AF349"/>
    <mergeCell ref="AG349:AJ349"/>
    <mergeCell ref="AK349:AN349"/>
    <mergeCell ref="AO349:AR349"/>
    <mergeCell ref="AS349:AV349"/>
    <mergeCell ref="AW349:AZ349"/>
    <mergeCell ref="I350:L350"/>
    <mergeCell ref="M350:P350"/>
    <mergeCell ref="Q350:T350"/>
    <mergeCell ref="U350:X350"/>
    <mergeCell ref="Y350:AB350"/>
    <mergeCell ref="AC350:AF350"/>
    <mergeCell ref="AG350:AJ350"/>
    <mergeCell ref="AK350:AN350"/>
    <mergeCell ref="AO350:AR350"/>
    <mergeCell ref="AS350:AV350"/>
    <mergeCell ref="AW350:AZ350"/>
    <mergeCell ref="K351:N351"/>
    <mergeCell ref="O351:R351"/>
    <mergeCell ref="S351:V351"/>
    <mergeCell ref="W351:Z351"/>
    <mergeCell ref="AA351:AD351"/>
    <mergeCell ref="AE351:AH351"/>
    <mergeCell ref="AI351:AL351"/>
    <mergeCell ref="AM351:AP351"/>
    <mergeCell ref="AQ351:AT351"/>
    <mergeCell ref="AU351:AX351"/>
    <mergeCell ref="K352:N352"/>
    <mergeCell ref="O352:R352"/>
    <mergeCell ref="S352:V352"/>
    <mergeCell ref="W352:Z352"/>
    <mergeCell ref="AA352:AD352"/>
    <mergeCell ref="AE352:AH352"/>
    <mergeCell ref="AI352:AL352"/>
    <mergeCell ref="AM352:AP352"/>
    <mergeCell ref="AQ352:AT352"/>
    <mergeCell ref="AU352:AX352"/>
    <mergeCell ref="P353:S353"/>
    <mergeCell ref="T353:AK353"/>
    <mergeCell ref="AL353:AO353"/>
    <mergeCell ref="AP353:AS353"/>
    <mergeCell ref="P354:S354"/>
    <mergeCell ref="T354:AK354"/>
    <mergeCell ref="AL354:AO354"/>
    <mergeCell ref="AP354:AS354"/>
    <mergeCell ref="A356:AX356"/>
    <mergeCell ref="B357:E357"/>
    <mergeCell ref="G357:J357"/>
    <mergeCell ref="F358:I358"/>
    <mergeCell ref="J358:M358"/>
    <mergeCell ref="N358:Q358"/>
    <mergeCell ref="R358:U358"/>
    <mergeCell ref="V358:Y358"/>
    <mergeCell ref="Z358:AC358"/>
    <mergeCell ref="AD358:AG358"/>
    <mergeCell ref="AH358:AK358"/>
    <mergeCell ref="AL358:AO358"/>
    <mergeCell ref="AP358:AS358"/>
    <mergeCell ref="AT358:AW358"/>
    <mergeCell ref="AX358:BA358"/>
    <mergeCell ref="F359:I359"/>
    <mergeCell ref="J359:M359"/>
    <mergeCell ref="N359:Q359"/>
    <mergeCell ref="R359:U359"/>
    <mergeCell ref="V359:Y359"/>
    <mergeCell ref="Z359:AC359"/>
    <mergeCell ref="AD359:AG359"/>
    <mergeCell ref="AH359:AK359"/>
    <mergeCell ref="AL359:AO359"/>
    <mergeCell ref="AP359:AS359"/>
    <mergeCell ref="AT359:AW359"/>
    <mergeCell ref="AX359:BA359"/>
    <mergeCell ref="H360:K360"/>
    <mergeCell ref="L360:O360"/>
    <mergeCell ref="P360:S360"/>
    <mergeCell ref="T360:W360"/>
    <mergeCell ref="X360:AA360"/>
    <mergeCell ref="AB360:AE360"/>
    <mergeCell ref="AF360:AI360"/>
    <mergeCell ref="AJ360:AM360"/>
    <mergeCell ref="AN360:AQ360"/>
    <mergeCell ref="AR360:AU360"/>
    <mergeCell ref="AV360:AY360"/>
    <mergeCell ref="AZ360:BC360"/>
    <mergeCell ref="H361:K361"/>
    <mergeCell ref="L361:O361"/>
    <mergeCell ref="P361:S361"/>
    <mergeCell ref="T361:W361"/>
    <mergeCell ref="X361:AA361"/>
    <mergeCell ref="AB361:AE361"/>
    <mergeCell ref="AF361:AI361"/>
    <mergeCell ref="AJ361:AM361"/>
    <mergeCell ref="AN361:AQ361"/>
    <mergeCell ref="AR361:AU361"/>
    <mergeCell ref="AV361:AY361"/>
    <mergeCell ref="AZ361:BC361"/>
    <mergeCell ref="I362:L362"/>
    <mergeCell ref="M362:P362"/>
    <mergeCell ref="Q362:T362"/>
    <mergeCell ref="U362:X362"/>
    <mergeCell ref="Y362:AB362"/>
    <mergeCell ref="AC362:AF362"/>
    <mergeCell ref="AG362:AJ362"/>
    <mergeCell ref="AK362:AN362"/>
    <mergeCell ref="AO362:AR362"/>
    <mergeCell ref="AS362:AV362"/>
    <mergeCell ref="AW362:AZ362"/>
    <mergeCell ref="I363:L363"/>
    <mergeCell ref="M363:P363"/>
    <mergeCell ref="Q363:T363"/>
    <mergeCell ref="U363:X363"/>
    <mergeCell ref="Y363:AB363"/>
    <mergeCell ref="AC363:AF363"/>
    <mergeCell ref="AG363:AJ363"/>
    <mergeCell ref="AK363:AN363"/>
    <mergeCell ref="AO363:AR363"/>
    <mergeCell ref="AS363:AV363"/>
    <mergeCell ref="AW363:AZ363"/>
    <mergeCell ref="K364:N364"/>
    <mergeCell ref="O364:R364"/>
    <mergeCell ref="S364:V364"/>
    <mergeCell ref="W364:Z364"/>
    <mergeCell ref="AA364:AD364"/>
    <mergeCell ref="AE364:AH364"/>
    <mergeCell ref="AI364:AL364"/>
    <mergeCell ref="AM364:AP364"/>
    <mergeCell ref="AQ364:AT364"/>
    <mergeCell ref="AU364:AX364"/>
    <mergeCell ref="K365:N365"/>
    <mergeCell ref="O365:R365"/>
    <mergeCell ref="S365:V365"/>
    <mergeCell ref="W365:Z365"/>
    <mergeCell ref="AA365:AD365"/>
    <mergeCell ref="AE365:AH365"/>
    <mergeCell ref="AI365:AL365"/>
    <mergeCell ref="AM365:AP365"/>
    <mergeCell ref="AQ365:AT365"/>
    <mergeCell ref="AU365:AX365"/>
    <mergeCell ref="P366:S366"/>
    <mergeCell ref="T366:AK366"/>
    <mergeCell ref="AL366:AO366"/>
    <mergeCell ref="AP366:AS366"/>
    <mergeCell ref="P367:S367"/>
    <mergeCell ref="T367:AK367"/>
    <mergeCell ref="AL367:AO367"/>
    <mergeCell ref="AP367:AS367"/>
    <mergeCell ref="A369:AX369"/>
    <mergeCell ref="B370:E370"/>
    <mergeCell ref="G370:J370"/>
    <mergeCell ref="F371:I371"/>
    <mergeCell ref="J371:M371"/>
    <mergeCell ref="N371:Q371"/>
    <mergeCell ref="R371:U371"/>
    <mergeCell ref="V371:Y371"/>
    <mergeCell ref="Z371:AC371"/>
    <mergeCell ref="AD371:AG371"/>
    <mergeCell ref="AH371:AK371"/>
    <mergeCell ref="AL371:AO371"/>
    <mergeCell ref="AP371:AS371"/>
    <mergeCell ref="AT371:AW371"/>
    <mergeCell ref="AX371:BA371"/>
    <mergeCell ref="F372:I372"/>
    <mergeCell ref="J372:M372"/>
    <mergeCell ref="N372:Q372"/>
    <mergeCell ref="R372:U372"/>
    <mergeCell ref="V372:Y372"/>
    <mergeCell ref="Z372:AC372"/>
    <mergeCell ref="AD372:AG372"/>
    <mergeCell ref="AH372:AK372"/>
    <mergeCell ref="AL372:AO372"/>
    <mergeCell ref="AP372:AS372"/>
    <mergeCell ref="AT372:AW372"/>
    <mergeCell ref="AX372:BA372"/>
    <mergeCell ref="H373:K373"/>
    <mergeCell ref="L373:O373"/>
    <mergeCell ref="P373:S373"/>
    <mergeCell ref="T373:W373"/>
    <mergeCell ref="X373:AA373"/>
    <mergeCell ref="AB373:AE373"/>
    <mergeCell ref="AF373:AI373"/>
    <mergeCell ref="AJ373:AM373"/>
    <mergeCell ref="AN373:AQ373"/>
    <mergeCell ref="AR373:AU373"/>
    <mergeCell ref="AV373:AY373"/>
    <mergeCell ref="AZ373:BC373"/>
    <mergeCell ref="H374:K374"/>
    <mergeCell ref="L374:O374"/>
    <mergeCell ref="P374:S374"/>
    <mergeCell ref="T374:W374"/>
    <mergeCell ref="X374:AA374"/>
    <mergeCell ref="AB374:AE374"/>
    <mergeCell ref="AF374:AI374"/>
    <mergeCell ref="AJ374:AM374"/>
    <mergeCell ref="AN374:AQ374"/>
    <mergeCell ref="AR374:AU374"/>
    <mergeCell ref="AV374:AY374"/>
    <mergeCell ref="AZ374:BC374"/>
    <mergeCell ref="I375:L375"/>
    <mergeCell ref="M375:P375"/>
    <mergeCell ref="Q375:T375"/>
    <mergeCell ref="U375:X375"/>
    <mergeCell ref="Y375:AB375"/>
    <mergeCell ref="AC375:AF375"/>
    <mergeCell ref="AG375:AJ375"/>
    <mergeCell ref="AK375:AN375"/>
    <mergeCell ref="AO375:AR375"/>
    <mergeCell ref="AS375:AV375"/>
    <mergeCell ref="AW375:AZ375"/>
    <mergeCell ref="I376:L376"/>
    <mergeCell ref="M376:P376"/>
    <mergeCell ref="Q376:T376"/>
    <mergeCell ref="U376:X376"/>
    <mergeCell ref="Y376:AB376"/>
    <mergeCell ref="AC376:AF376"/>
    <mergeCell ref="AG376:AJ376"/>
    <mergeCell ref="AK376:AN376"/>
    <mergeCell ref="AO376:AR376"/>
    <mergeCell ref="AS376:AV376"/>
    <mergeCell ref="AW376:AZ376"/>
    <mergeCell ref="K377:N377"/>
    <mergeCell ref="O377:R377"/>
    <mergeCell ref="S377:V377"/>
    <mergeCell ref="W377:Z377"/>
    <mergeCell ref="AA377:AD377"/>
    <mergeCell ref="AE377:AH377"/>
    <mergeCell ref="AI377:AL377"/>
    <mergeCell ref="AM377:AP377"/>
    <mergeCell ref="AQ377:AT377"/>
    <mergeCell ref="AU377:AX377"/>
    <mergeCell ref="K378:N378"/>
    <mergeCell ref="O378:R378"/>
    <mergeCell ref="S378:V378"/>
    <mergeCell ref="W378:Z378"/>
    <mergeCell ref="AA378:AD378"/>
    <mergeCell ref="AE378:AH378"/>
    <mergeCell ref="AI378:AL378"/>
    <mergeCell ref="AM378:AP378"/>
    <mergeCell ref="AQ378:AT378"/>
    <mergeCell ref="AU378:AX378"/>
    <mergeCell ref="P379:S379"/>
    <mergeCell ref="T379:AK379"/>
    <mergeCell ref="AL379:AO379"/>
    <mergeCell ref="AP379:AS379"/>
    <mergeCell ref="P380:S380"/>
    <mergeCell ref="T380:AK380"/>
    <mergeCell ref="AL380:AO380"/>
    <mergeCell ref="AP380:AS380"/>
    <mergeCell ref="A382:AX382"/>
    <mergeCell ref="B383:E383"/>
    <mergeCell ref="G383:J383"/>
    <mergeCell ref="F384:I384"/>
    <mergeCell ref="J384:M384"/>
    <mergeCell ref="N384:Q384"/>
    <mergeCell ref="R384:U384"/>
    <mergeCell ref="V384:Y384"/>
    <mergeCell ref="Z384:AC384"/>
    <mergeCell ref="AD384:AG384"/>
    <mergeCell ref="AH384:AK384"/>
    <mergeCell ref="AL384:AO384"/>
    <mergeCell ref="AP384:AS384"/>
    <mergeCell ref="AT384:AW384"/>
    <mergeCell ref="AX384:BA384"/>
    <mergeCell ref="F385:I385"/>
    <mergeCell ref="J385:M385"/>
    <mergeCell ref="N385:Q385"/>
    <mergeCell ref="R385:U385"/>
    <mergeCell ref="V385:Y385"/>
    <mergeCell ref="Z385:AC385"/>
    <mergeCell ref="AD385:AG385"/>
    <mergeCell ref="AH385:AK385"/>
    <mergeCell ref="AL385:AO385"/>
    <mergeCell ref="AP385:AS385"/>
    <mergeCell ref="AT385:AW385"/>
    <mergeCell ref="AX385:BA385"/>
    <mergeCell ref="H386:K386"/>
    <mergeCell ref="L386:O386"/>
    <mergeCell ref="P386:S386"/>
    <mergeCell ref="T386:W386"/>
    <mergeCell ref="X386:AA386"/>
    <mergeCell ref="AB386:AE386"/>
    <mergeCell ref="AF386:AI386"/>
    <mergeCell ref="AJ386:AM386"/>
    <mergeCell ref="AN386:AQ386"/>
    <mergeCell ref="AR386:AU386"/>
    <mergeCell ref="AV386:AY386"/>
    <mergeCell ref="AZ386:BC386"/>
    <mergeCell ref="H387:K387"/>
    <mergeCell ref="L387:O387"/>
    <mergeCell ref="P387:S387"/>
    <mergeCell ref="T387:W387"/>
    <mergeCell ref="X387:AA387"/>
    <mergeCell ref="AB387:AE387"/>
    <mergeCell ref="AF387:AI387"/>
    <mergeCell ref="AJ387:AM387"/>
    <mergeCell ref="AN387:AQ387"/>
    <mergeCell ref="AR387:AU387"/>
    <mergeCell ref="AV387:AY387"/>
    <mergeCell ref="AZ387:BC387"/>
    <mergeCell ref="I388:L388"/>
    <mergeCell ref="M388:P388"/>
    <mergeCell ref="Q388:T388"/>
    <mergeCell ref="U388:X388"/>
    <mergeCell ref="Y388:AB388"/>
    <mergeCell ref="AC388:AF388"/>
    <mergeCell ref="AG388:AJ388"/>
    <mergeCell ref="AK388:AN388"/>
    <mergeCell ref="AO388:AR388"/>
    <mergeCell ref="AS388:AV388"/>
    <mergeCell ref="AW388:AZ388"/>
    <mergeCell ref="I389:L389"/>
    <mergeCell ref="M389:P389"/>
    <mergeCell ref="Q389:T389"/>
    <mergeCell ref="U389:X389"/>
    <mergeCell ref="Y389:AB389"/>
    <mergeCell ref="AC389:AF389"/>
    <mergeCell ref="AG389:AJ389"/>
    <mergeCell ref="AK389:AN389"/>
    <mergeCell ref="AO389:AR389"/>
    <mergeCell ref="AS389:AV389"/>
    <mergeCell ref="AW389:AZ389"/>
    <mergeCell ref="K390:N390"/>
    <mergeCell ref="O390:R390"/>
    <mergeCell ref="S390:V390"/>
    <mergeCell ref="W390:Z390"/>
    <mergeCell ref="AA390:AD390"/>
    <mergeCell ref="AE390:AH390"/>
    <mergeCell ref="AI390:AL390"/>
    <mergeCell ref="AM390:AP390"/>
    <mergeCell ref="AQ390:AT390"/>
    <mergeCell ref="AU390:AX390"/>
    <mergeCell ref="K391:N391"/>
    <mergeCell ref="O391:R391"/>
    <mergeCell ref="S391:V391"/>
    <mergeCell ref="W391:Z391"/>
    <mergeCell ref="AA391:AD391"/>
    <mergeCell ref="AE391:AH391"/>
    <mergeCell ref="AI391:AL391"/>
    <mergeCell ref="AM391:AP391"/>
    <mergeCell ref="AQ391:AT391"/>
    <mergeCell ref="AU391:AX391"/>
    <mergeCell ref="P392:S392"/>
    <mergeCell ref="T392:AK392"/>
    <mergeCell ref="AL392:AO392"/>
    <mergeCell ref="AP392:AS392"/>
    <mergeCell ref="P393:S393"/>
    <mergeCell ref="T393:AK393"/>
    <mergeCell ref="AL393:AO393"/>
    <mergeCell ref="AP393:AS393"/>
  </mergeCells>
  <dataValidations count="1">
    <dataValidation allowBlank="true" error="一覧にないキーIDです。" errorStyle="stop" errorTitle="キーIDが不正です" operator="between" showDropDown="false" showErrorMessage="false" showInputMessage="false" sqref="B6 G6 B19 G19 B32 G32 B45 G45 B58 G58 B71 G71 B84 G84 B97 G97 B110 G110 B123 G123 B136 G136 B149 G149 B162 G162 B175 G175 B188 G188 B201 G201 B214 G214 B227 G227 B240 G240 B253 G253 B266 G266 B279 G279 B292 G292 B305 G305 B318 G318 B331 G331 B344 G344 B357 G357 B370 G370 B383 G383" type="list">
      <formula1>_キー一覧!$A$1:$A$53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2" width="11"/>
    <col collapsed="false" customWidth="true" hidden="false" outlineLevel="0" max="55" min="2" style="2" width="3"/>
  </cols>
  <sheetData>
    <row r="1" customFormat="false" ht="23.25" hidden="false" customHeight="true" outlineLevel="0" collapsed="false">
      <c r="A1" s="13" t="s">
        <v>317</v>
      </c>
    </row>
    <row r="2" customFormat="false" ht="15" hidden="false" customHeight="true" outlineLevel="0" collapsed="false">
      <c r="A2" s="4" t="s">
        <v>318</v>
      </c>
    </row>
    <row r="3" customFormat="false" ht="15" hidden="false" customHeight="true" outlineLevel="0" collapsed="false">
      <c r="A3" s="5" t="s">
        <v>55</v>
      </c>
    </row>
    <row r="5" customFormat="false" ht="18.75" hidden="false" customHeight="true" outlineLevel="0" collapsed="false">
      <c r="A5" s="14" t="s">
        <v>319</v>
      </c>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row>
    <row r="6" customFormat="false" ht="15" hidden="false" customHeight="true" outlineLevel="0" collapsed="false">
      <c r="A6" s="8" t="s">
        <v>124</v>
      </c>
      <c r="B6" s="15"/>
      <c r="C6" s="15"/>
      <c r="D6" s="15"/>
      <c r="E6" s="15"/>
      <c r="G6" s="15"/>
      <c r="H6" s="15"/>
      <c r="I6" s="15"/>
      <c r="J6" s="15"/>
      <c r="L6" s="15"/>
      <c r="M6" s="15"/>
      <c r="N6" s="15"/>
      <c r="O6" s="15"/>
      <c r="Q6" s="5" t="s">
        <v>237</v>
      </c>
    </row>
    <row r="7" customFormat="false" ht="12" hidden="false" customHeight="true" outlineLevel="0" collapsed="false">
      <c r="A7" s="5" t="s">
        <v>64</v>
      </c>
      <c r="F7" s="10" t="s">
        <v>0</v>
      </c>
      <c r="G7" s="10"/>
      <c r="H7" s="10"/>
      <c r="I7" s="10"/>
      <c r="J7" s="10" t="s">
        <v>1</v>
      </c>
      <c r="K7" s="10"/>
      <c r="L7" s="10"/>
      <c r="M7" s="10"/>
      <c r="N7" s="10" t="s">
        <v>2</v>
      </c>
      <c r="O7" s="10"/>
      <c r="P7" s="10"/>
      <c r="Q7" s="10"/>
      <c r="R7" s="10" t="s">
        <v>3</v>
      </c>
      <c r="S7" s="10"/>
      <c r="T7" s="10"/>
      <c r="U7" s="10"/>
      <c r="V7" s="10" t="s">
        <v>4</v>
      </c>
      <c r="W7" s="10"/>
      <c r="X7" s="10"/>
      <c r="Y7" s="10"/>
      <c r="Z7" s="10" t="s">
        <v>5</v>
      </c>
      <c r="AA7" s="10"/>
      <c r="AB7" s="10"/>
      <c r="AC7" s="10"/>
      <c r="AD7" s="10" t="s">
        <v>6</v>
      </c>
      <c r="AE7" s="10"/>
      <c r="AF7" s="10"/>
      <c r="AG7" s="10"/>
      <c r="AH7" s="10" t="s">
        <v>7</v>
      </c>
      <c r="AI7" s="10"/>
      <c r="AJ7" s="10"/>
      <c r="AK7" s="10"/>
      <c r="AL7" s="10" t="s">
        <v>8</v>
      </c>
      <c r="AM7" s="10"/>
      <c r="AN7" s="10"/>
      <c r="AO7" s="10"/>
      <c r="AP7" s="10" t="s">
        <v>9</v>
      </c>
      <c r="AQ7" s="10"/>
      <c r="AR7" s="10"/>
      <c r="AS7" s="10"/>
      <c r="AT7" s="10" t="s">
        <v>10</v>
      </c>
      <c r="AU7" s="10"/>
      <c r="AV7" s="10"/>
      <c r="AW7" s="10"/>
      <c r="AX7" s="10" t="s">
        <v>11</v>
      </c>
      <c r="AY7" s="10"/>
      <c r="AZ7" s="10"/>
      <c r="BA7" s="10"/>
    </row>
    <row r="8" customFormat="false" ht="21.75" hidden="false" customHeight="true" outlineLevel="0" collapsed="false">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customFormat="false" ht="12" hidden="false" customHeight="true" outlineLevel="0" collapsed="false">
      <c r="A9" s="5" t="s">
        <v>65</v>
      </c>
      <c r="H9" s="10" t="s">
        <v>66</v>
      </c>
      <c r="I9" s="10"/>
      <c r="J9" s="10"/>
      <c r="K9" s="10"/>
      <c r="L9" s="10" t="s">
        <v>67</v>
      </c>
      <c r="M9" s="10"/>
      <c r="N9" s="10"/>
      <c r="O9" s="10"/>
      <c r="P9" s="10" t="s">
        <v>68</v>
      </c>
      <c r="Q9" s="10"/>
      <c r="R9" s="10"/>
      <c r="S9" s="10"/>
      <c r="T9" s="10" t="s">
        <v>69</v>
      </c>
      <c r="U9" s="10"/>
      <c r="V9" s="10"/>
      <c r="W9" s="10"/>
      <c r="X9" s="10" t="s">
        <v>70</v>
      </c>
      <c r="Y9" s="10"/>
      <c r="Z9" s="10"/>
      <c r="AA9" s="10"/>
      <c r="AB9" s="10" t="s">
        <v>71</v>
      </c>
      <c r="AC9" s="10"/>
      <c r="AD9" s="10"/>
      <c r="AE9" s="10"/>
      <c r="AF9" s="10" t="s">
        <v>72</v>
      </c>
      <c r="AG9" s="10"/>
      <c r="AH9" s="10"/>
      <c r="AI9" s="10"/>
      <c r="AJ9" s="10" t="s">
        <v>73</v>
      </c>
      <c r="AK9" s="10"/>
      <c r="AL9" s="10"/>
      <c r="AM9" s="10"/>
      <c r="AN9" s="10" t="s">
        <v>74</v>
      </c>
      <c r="AO9" s="10"/>
      <c r="AP9" s="10"/>
      <c r="AQ9" s="10"/>
      <c r="AR9" s="10" t="s">
        <v>75</v>
      </c>
      <c r="AS9" s="10"/>
      <c r="AT9" s="10"/>
      <c r="AU9" s="10"/>
      <c r="AV9" s="10" t="s">
        <v>22</v>
      </c>
      <c r="AW9" s="10"/>
      <c r="AX9" s="10"/>
      <c r="AY9" s="10"/>
      <c r="AZ9" s="10" t="s">
        <v>23</v>
      </c>
      <c r="BA9" s="10"/>
      <c r="BB9" s="10"/>
      <c r="BC9" s="10"/>
    </row>
    <row r="10" customFormat="false" ht="21.75" hidden="false" customHeight="true" outlineLevel="0" collapsed="false">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row>
    <row r="11" customFormat="false" ht="12" hidden="false" customHeight="true" outlineLevel="0" collapsed="false">
      <c r="A11" s="5" t="s">
        <v>82</v>
      </c>
      <c r="I11" s="10" t="s">
        <v>83</v>
      </c>
      <c r="J11" s="10"/>
      <c r="K11" s="10"/>
      <c r="L11" s="10"/>
      <c r="M11" s="10" t="s">
        <v>84</v>
      </c>
      <c r="N11" s="10"/>
      <c r="O11" s="10"/>
      <c r="P11" s="10"/>
      <c r="Q11" s="10" t="s">
        <v>85</v>
      </c>
      <c r="R11" s="10"/>
      <c r="S11" s="10"/>
      <c r="T11" s="10"/>
      <c r="U11" s="10" t="s">
        <v>86</v>
      </c>
      <c r="V11" s="10"/>
      <c r="W11" s="10"/>
      <c r="X11" s="10"/>
      <c r="Y11" s="10" t="s">
        <v>87</v>
      </c>
      <c r="Z11" s="10"/>
      <c r="AA11" s="10"/>
      <c r="AB11" s="10"/>
      <c r="AC11" s="10" t="s">
        <v>88</v>
      </c>
      <c r="AD11" s="10"/>
      <c r="AE11" s="10"/>
      <c r="AF11" s="10"/>
      <c r="AG11" s="10" t="s">
        <v>89</v>
      </c>
      <c r="AH11" s="10"/>
      <c r="AI11" s="10"/>
      <c r="AJ11" s="10"/>
      <c r="AK11" s="10" t="s">
        <v>90</v>
      </c>
      <c r="AL11" s="10"/>
      <c r="AM11" s="10"/>
      <c r="AN11" s="10"/>
      <c r="AO11" s="10" t="s">
        <v>91</v>
      </c>
      <c r="AP11" s="10"/>
      <c r="AQ11" s="10"/>
      <c r="AR11" s="10"/>
      <c r="AS11" s="10" t="s">
        <v>33</v>
      </c>
      <c r="AT11" s="10"/>
      <c r="AU11" s="10"/>
      <c r="AV11" s="10"/>
      <c r="AW11" s="10" t="s">
        <v>34</v>
      </c>
      <c r="AX11" s="10"/>
      <c r="AY11" s="10"/>
      <c r="AZ11" s="10"/>
    </row>
    <row r="12" customFormat="false" ht="21.75" hidden="false" customHeight="true" outlineLevel="0" collapsed="false">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row>
    <row r="13" customFormat="false" ht="12" hidden="false" customHeight="true" outlineLevel="0" collapsed="false">
      <c r="A13" s="5" t="s">
        <v>102</v>
      </c>
      <c r="K13" s="10" t="s">
        <v>103</v>
      </c>
      <c r="L13" s="10"/>
      <c r="M13" s="10"/>
      <c r="N13" s="10"/>
      <c r="O13" s="10" t="s">
        <v>104</v>
      </c>
      <c r="P13" s="10"/>
      <c r="Q13" s="10"/>
      <c r="R13" s="10"/>
      <c r="S13" s="10" t="s">
        <v>105</v>
      </c>
      <c r="T13" s="10"/>
      <c r="U13" s="10"/>
      <c r="V13" s="10"/>
      <c r="W13" s="10" t="s">
        <v>106</v>
      </c>
      <c r="X13" s="10"/>
      <c r="Y13" s="10"/>
      <c r="Z13" s="10"/>
      <c r="AA13" s="10" t="s">
        <v>107</v>
      </c>
      <c r="AB13" s="10"/>
      <c r="AC13" s="10"/>
      <c r="AD13" s="10"/>
      <c r="AE13" s="10" t="s">
        <v>108</v>
      </c>
      <c r="AF13" s="10"/>
      <c r="AG13" s="10"/>
      <c r="AH13" s="10"/>
      <c r="AI13" s="10" t="s">
        <v>109</v>
      </c>
      <c r="AJ13" s="10"/>
      <c r="AK13" s="10"/>
      <c r="AL13" s="10"/>
      <c r="AM13" s="10" t="s">
        <v>42</v>
      </c>
      <c r="AN13" s="10"/>
      <c r="AO13" s="10"/>
      <c r="AP13" s="10"/>
      <c r="AQ13" s="10" t="s">
        <v>43</v>
      </c>
      <c r="AR13" s="10"/>
      <c r="AS13" s="10"/>
      <c r="AT13" s="10"/>
      <c r="AU13" s="10" t="s">
        <v>44</v>
      </c>
      <c r="AV13" s="10"/>
      <c r="AW13" s="10"/>
      <c r="AX13" s="10"/>
    </row>
    <row r="14" customFormat="false" ht="21.75" hidden="false" customHeight="true" outlineLevel="0" collapsed="false">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customFormat="false" ht="12" hidden="false" customHeight="true" outlineLevel="0" collapsed="false">
      <c r="A15" s="5" t="s">
        <v>120</v>
      </c>
      <c r="P15" s="10" t="s">
        <v>48</v>
      </c>
      <c r="Q15" s="10"/>
      <c r="R15" s="10"/>
      <c r="S15" s="10"/>
      <c r="T15" s="10" t="s">
        <v>50</v>
      </c>
      <c r="U15" s="10"/>
      <c r="V15" s="10"/>
      <c r="W15" s="10"/>
      <c r="X15" s="10"/>
      <c r="Y15" s="10"/>
      <c r="Z15" s="10"/>
      <c r="AA15" s="10"/>
      <c r="AB15" s="10"/>
      <c r="AC15" s="10"/>
      <c r="AD15" s="10"/>
      <c r="AE15" s="10"/>
      <c r="AF15" s="10"/>
      <c r="AG15" s="10"/>
      <c r="AH15" s="10"/>
      <c r="AI15" s="10"/>
      <c r="AJ15" s="10"/>
      <c r="AK15" s="10"/>
      <c r="AL15" s="10" t="s">
        <v>45</v>
      </c>
      <c r="AM15" s="10"/>
      <c r="AN15" s="10"/>
      <c r="AO15" s="10"/>
      <c r="AP15" s="10" t="s">
        <v>46</v>
      </c>
      <c r="AQ15" s="10"/>
      <c r="AR15" s="10"/>
      <c r="AS15" s="10"/>
    </row>
    <row r="16" customFormat="false" ht="21.75" hidden="false" customHeight="true" outlineLevel="0" collapsed="false">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row>
    <row r="18" customFormat="false" ht="18.75" hidden="false" customHeight="true" outlineLevel="0" collapsed="false">
      <c r="A18" s="14" t="s">
        <v>320</v>
      </c>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row>
    <row r="19" customFormat="false" ht="15" hidden="false" customHeight="true" outlineLevel="0" collapsed="false">
      <c r="A19" s="8" t="s">
        <v>124</v>
      </c>
      <c r="B19" s="15"/>
      <c r="C19" s="15"/>
      <c r="D19" s="15"/>
      <c r="E19" s="15"/>
      <c r="G19" s="15"/>
      <c r="H19" s="15"/>
      <c r="I19" s="15"/>
      <c r="J19" s="15"/>
      <c r="L19" s="15"/>
      <c r="M19" s="15"/>
      <c r="N19" s="15"/>
      <c r="O19" s="15"/>
      <c r="Q19" s="5" t="s">
        <v>237</v>
      </c>
    </row>
    <row r="20" customFormat="false" ht="12" hidden="false" customHeight="true" outlineLevel="0" collapsed="false">
      <c r="A20" s="5" t="s">
        <v>64</v>
      </c>
      <c r="F20" s="10" t="s">
        <v>0</v>
      </c>
      <c r="G20" s="10"/>
      <c r="H20" s="10"/>
      <c r="I20" s="10"/>
      <c r="J20" s="10" t="s">
        <v>1</v>
      </c>
      <c r="K20" s="10"/>
      <c r="L20" s="10"/>
      <c r="M20" s="10"/>
      <c r="N20" s="10" t="s">
        <v>2</v>
      </c>
      <c r="O20" s="10"/>
      <c r="P20" s="10"/>
      <c r="Q20" s="10"/>
      <c r="R20" s="10" t="s">
        <v>3</v>
      </c>
      <c r="S20" s="10"/>
      <c r="T20" s="10"/>
      <c r="U20" s="10"/>
      <c r="V20" s="10" t="s">
        <v>4</v>
      </c>
      <c r="W20" s="10"/>
      <c r="X20" s="10"/>
      <c r="Y20" s="10"/>
      <c r="Z20" s="10" t="s">
        <v>5</v>
      </c>
      <c r="AA20" s="10"/>
      <c r="AB20" s="10"/>
      <c r="AC20" s="10"/>
      <c r="AD20" s="10" t="s">
        <v>6</v>
      </c>
      <c r="AE20" s="10"/>
      <c r="AF20" s="10"/>
      <c r="AG20" s="10"/>
      <c r="AH20" s="10" t="s">
        <v>7</v>
      </c>
      <c r="AI20" s="10"/>
      <c r="AJ20" s="10"/>
      <c r="AK20" s="10"/>
      <c r="AL20" s="10" t="s">
        <v>8</v>
      </c>
      <c r="AM20" s="10"/>
      <c r="AN20" s="10"/>
      <c r="AO20" s="10"/>
      <c r="AP20" s="10" t="s">
        <v>9</v>
      </c>
      <c r="AQ20" s="10"/>
      <c r="AR20" s="10"/>
      <c r="AS20" s="10"/>
      <c r="AT20" s="10" t="s">
        <v>10</v>
      </c>
      <c r="AU20" s="10"/>
      <c r="AV20" s="10"/>
      <c r="AW20" s="10"/>
      <c r="AX20" s="10" t="s">
        <v>11</v>
      </c>
      <c r="AY20" s="10"/>
      <c r="AZ20" s="10"/>
      <c r="BA20" s="10"/>
    </row>
    <row r="21" customFormat="false" ht="21.75" hidden="false" customHeight="true" outlineLevel="0" collapsed="false">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customFormat="false" ht="12" hidden="false" customHeight="true" outlineLevel="0" collapsed="false">
      <c r="A22" s="5" t="s">
        <v>65</v>
      </c>
      <c r="H22" s="10" t="s">
        <v>66</v>
      </c>
      <c r="I22" s="10"/>
      <c r="J22" s="10"/>
      <c r="K22" s="10"/>
      <c r="L22" s="10" t="s">
        <v>67</v>
      </c>
      <c r="M22" s="10"/>
      <c r="N22" s="10"/>
      <c r="O22" s="10"/>
      <c r="P22" s="10" t="s">
        <v>68</v>
      </c>
      <c r="Q22" s="10"/>
      <c r="R22" s="10"/>
      <c r="S22" s="10"/>
      <c r="T22" s="10" t="s">
        <v>69</v>
      </c>
      <c r="U22" s="10"/>
      <c r="V22" s="10"/>
      <c r="W22" s="10"/>
      <c r="X22" s="10" t="s">
        <v>70</v>
      </c>
      <c r="Y22" s="10"/>
      <c r="Z22" s="10"/>
      <c r="AA22" s="10"/>
      <c r="AB22" s="10" t="s">
        <v>71</v>
      </c>
      <c r="AC22" s="10"/>
      <c r="AD22" s="10"/>
      <c r="AE22" s="10"/>
      <c r="AF22" s="10" t="s">
        <v>72</v>
      </c>
      <c r="AG22" s="10"/>
      <c r="AH22" s="10"/>
      <c r="AI22" s="10"/>
      <c r="AJ22" s="10" t="s">
        <v>73</v>
      </c>
      <c r="AK22" s="10"/>
      <c r="AL22" s="10"/>
      <c r="AM22" s="10"/>
      <c r="AN22" s="10" t="s">
        <v>74</v>
      </c>
      <c r="AO22" s="10"/>
      <c r="AP22" s="10"/>
      <c r="AQ22" s="10"/>
      <c r="AR22" s="10" t="s">
        <v>75</v>
      </c>
      <c r="AS22" s="10"/>
      <c r="AT22" s="10"/>
      <c r="AU22" s="10"/>
      <c r="AV22" s="10" t="s">
        <v>22</v>
      </c>
      <c r="AW22" s="10"/>
      <c r="AX22" s="10"/>
      <c r="AY22" s="10"/>
      <c r="AZ22" s="10" t="s">
        <v>23</v>
      </c>
      <c r="BA22" s="10"/>
      <c r="BB22" s="10"/>
      <c r="BC22" s="10"/>
    </row>
    <row r="23" customFormat="false" ht="21.75" hidden="false" customHeight="true" outlineLevel="0" collapsed="false">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row>
    <row r="24" customFormat="false" ht="12" hidden="false" customHeight="true" outlineLevel="0" collapsed="false">
      <c r="A24" s="5" t="s">
        <v>82</v>
      </c>
      <c r="I24" s="10" t="s">
        <v>83</v>
      </c>
      <c r="J24" s="10"/>
      <c r="K24" s="10"/>
      <c r="L24" s="10"/>
      <c r="M24" s="10" t="s">
        <v>84</v>
      </c>
      <c r="N24" s="10"/>
      <c r="O24" s="10"/>
      <c r="P24" s="10"/>
      <c r="Q24" s="10" t="s">
        <v>85</v>
      </c>
      <c r="R24" s="10"/>
      <c r="S24" s="10"/>
      <c r="T24" s="10"/>
      <c r="U24" s="10" t="s">
        <v>86</v>
      </c>
      <c r="V24" s="10"/>
      <c r="W24" s="10"/>
      <c r="X24" s="10"/>
      <c r="Y24" s="10" t="s">
        <v>87</v>
      </c>
      <c r="Z24" s="10"/>
      <c r="AA24" s="10"/>
      <c r="AB24" s="10"/>
      <c r="AC24" s="10" t="s">
        <v>88</v>
      </c>
      <c r="AD24" s="10"/>
      <c r="AE24" s="10"/>
      <c r="AF24" s="10"/>
      <c r="AG24" s="10" t="s">
        <v>89</v>
      </c>
      <c r="AH24" s="10"/>
      <c r="AI24" s="10"/>
      <c r="AJ24" s="10"/>
      <c r="AK24" s="10" t="s">
        <v>90</v>
      </c>
      <c r="AL24" s="10"/>
      <c r="AM24" s="10"/>
      <c r="AN24" s="10"/>
      <c r="AO24" s="10" t="s">
        <v>91</v>
      </c>
      <c r="AP24" s="10"/>
      <c r="AQ24" s="10"/>
      <c r="AR24" s="10"/>
      <c r="AS24" s="10" t="s">
        <v>33</v>
      </c>
      <c r="AT24" s="10"/>
      <c r="AU24" s="10"/>
      <c r="AV24" s="10"/>
      <c r="AW24" s="10" t="s">
        <v>34</v>
      </c>
      <c r="AX24" s="10"/>
      <c r="AY24" s="10"/>
      <c r="AZ24" s="10"/>
    </row>
    <row r="25" customFormat="false" ht="21.75" hidden="false" customHeight="true" outlineLevel="0" collapsed="false">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row>
    <row r="26" customFormat="false" ht="12" hidden="false" customHeight="true" outlineLevel="0" collapsed="false">
      <c r="A26" s="5" t="s">
        <v>102</v>
      </c>
      <c r="K26" s="10" t="s">
        <v>103</v>
      </c>
      <c r="L26" s="10"/>
      <c r="M26" s="10"/>
      <c r="N26" s="10"/>
      <c r="O26" s="10" t="s">
        <v>104</v>
      </c>
      <c r="P26" s="10"/>
      <c r="Q26" s="10"/>
      <c r="R26" s="10"/>
      <c r="S26" s="10" t="s">
        <v>105</v>
      </c>
      <c r="T26" s="10"/>
      <c r="U26" s="10"/>
      <c r="V26" s="10"/>
      <c r="W26" s="10" t="s">
        <v>106</v>
      </c>
      <c r="X26" s="10"/>
      <c r="Y26" s="10"/>
      <c r="Z26" s="10"/>
      <c r="AA26" s="10" t="s">
        <v>107</v>
      </c>
      <c r="AB26" s="10"/>
      <c r="AC26" s="10"/>
      <c r="AD26" s="10"/>
      <c r="AE26" s="10" t="s">
        <v>108</v>
      </c>
      <c r="AF26" s="10"/>
      <c r="AG26" s="10"/>
      <c r="AH26" s="10"/>
      <c r="AI26" s="10" t="s">
        <v>109</v>
      </c>
      <c r="AJ26" s="10"/>
      <c r="AK26" s="10"/>
      <c r="AL26" s="10"/>
      <c r="AM26" s="10" t="s">
        <v>42</v>
      </c>
      <c r="AN26" s="10"/>
      <c r="AO26" s="10"/>
      <c r="AP26" s="10"/>
      <c r="AQ26" s="10" t="s">
        <v>43</v>
      </c>
      <c r="AR26" s="10"/>
      <c r="AS26" s="10"/>
      <c r="AT26" s="10"/>
      <c r="AU26" s="10" t="s">
        <v>44</v>
      </c>
      <c r="AV26" s="10"/>
      <c r="AW26" s="10"/>
      <c r="AX26" s="10"/>
    </row>
    <row r="27" customFormat="false" ht="21.75" hidden="false" customHeight="true" outlineLevel="0" collapsed="false">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row r="28" customFormat="false" ht="12" hidden="false" customHeight="true" outlineLevel="0" collapsed="false">
      <c r="A28" s="5" t="s">
        <v>120</v>
      </c>
      <c r="P28" s="10" t="s">
        <v>48</v>
      </c>
      <c r="Q28" s="10"/>
      <c r="R28" s="10"/>
      <c r="S28" s="10"/>
      <c r="T28" s="10" t="s">
        <v>50</v>
      </c>
      <c r="U28" s="10"/>
      <c r="V28" s="10"/>
      <c r="W28" s="10"/>
      <c r="X28" s="10"/>
      <c r="Y28" s="10"/>
      <c r="Z28" s="10"/>
      <c r="AA28" s="10"/>
      <c r="AB28" s="10"/>
      <c r="AC28" s="10"/>
      <c r="AD28" s="10"/>
      <c r="AE28" s="10"/>
      <c r="AF28" s="10"/>
      <c r="AG28" s="10"/>
      <c r="AH28" s="10"/>
      <c r="AI28" s="10"/>
      <c r="AJ28" s="10"/>
      <c r="AK28" s="10"/>
      <c r="AL28" s="10" t="s">
        <v>45</v>
      </c>
      <c r="AM28" s="10"/>
      <c r="AN28" s="10"/>
      <c r="AO28" s="10"/>
      <c r="AP28" s="10" t="s">
        <v>46</v>
      </c>
      <c r="AQ28" s="10"/>
      <c r="AR28" s="10"/>
      <c r="AS28" s="10"/>
    </row>
    <row r="29" customFormat="false" ht="21.75" hidden="false" customHeight="true" outlineLevel="0" collapsed="false">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row>
    <row r="31" customFormat="false" ht="18.75" hidden="false" customHeight="true" outlineLevel="0" collapsed="false">
      <c r="A31" s="14" t="s">
        <v>321</v>
      </c>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row>
    <row r="32" customFormat="false" ht="15" hidden="false" customHeight="true" outlineLevel="0" collapsed="false">
      <c r="A32" s="8" t="s">
        <v>124</v>
      </c>
      <c r="B32" s="15"/>
      <c r="C32" s="15"/>
      <c r="D32" s="15"/>
      <c r="E32" s="15"/>
      <c r="G32" s="15"/>
      <c r="H32" s="15"/>
      <c r="I32" s="15"/>
      <c r="J32" s="15"/>
      <c r="L32" s="15"/>
      <c r="M32" s="15"/>
      <c r="N32" s="15"/>
      <c r="O32" s="15"/>
      <c r="Q32" s="5" t="s">
        <v>237</v>
      </c>
    </row>
    <row r="33" customFormat="false" ht="12" hidden="false" customHeight="true" outlineLevel="0" collapsed="false">
      <c r="A33" s="5" t="s">
        <v>64</v>
      </c>
      <c r="F33" s="10" t="s">
        <v>0</v>
      </c>
      <c r="G33" s="10"/>
      <c r="H33" s="10"/>
      <c r="I33" s="10"/>
      <c r="J33" s="10" t="s">
        <v>1</v>
      </c>
      <c r="K33" s="10"/>
      <c r="L33" s="10"/>
      <c r="M33" s="10"/>
      <c r="N33" s="10" t="s">
        <v>2</v>
      </c>
      <c r="O33" s="10"/>
      <c r="P33" s="10"/>
      <c r="Q33" s="10"/>
      <c r="R33" s="10" t="s">
        <v>3</v>
      </c>
      <c r="S33" s="10"/>
      <c r="T33" s="10"/>
      <c r="U33" s="10"/>
      <c r="V33" s="10" t="s">
        <v>4</v>
      </c>
      <c r="W33" s="10"/>
      <c r="X33" s="10"/>
      <c r="Y33" s="10"/>
      <c r="Z33" s="10" t="s">
        <v>5</v>
      </c>
      <c r="AA33" s="10"/>
      <c r="AB33" s="10"/>
      <c r="AC33" s="10"/>
      <c r="AD33" s="10" t="s">
        <v>6</v>
      </c>
      <c r="AE33" s="10"/>
      <c r="AF33" s="10"/>
      <c r="AG33" s="10"/>
      <c r="AH33" s="10" t="s">
        <v>7</v>
      </c>
      <c r="AI33" s="10"/>
      <c r="AJ33" s="10"/>
      <c r="AK33" s="10"/>
      <c r="AL33" s="10" t="s">
        <v>8</v>
      </c>
      <c r="AM33" s="10"/>
      <c r="AN33" s="10"/>
      <c r="AO33" s="10"/>
      <c r="AP33" s="10" t="s">
        <v>9</v>
      </c>
      <c r="AQ33" s="10"/>
      <c r="AR33" s="10"/>
      <c r="AS33" s="10"/>
      <c r="AT33" s="10" t="s">
        <v>10</v>
      </c>
      <c r="AU33" s="10"/>
      <c r="AV33" s="10"/>
      <c r="AW33" s="10"/>
      <c r="AX33" s="10" t="s">
        <v>11</v>
      </c>
      <c r="AY33" s="10"/>
      <c r="AZ33" s="10"/>
      <c r="BA33" s="10"/>
    </row>
    <row r="34" customFormat="false" ht="21.75" hidden="false" customHeight="true" outlineLevel="0" collapsed="false">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row>
    <row r="35" customFormat="false" ht="12" hidden="false" customHeight="true" outlineLevel="0" collapsed="false">
      <c r="A35" s="5" t="s">
        <v>65</v>
      </c>
      <c r="H35" s="10" t="s">
        <v>66</v>
      </c>
      <c r="I35" s="10"/>
      <c r="J35" s="10"/>
      <c r="K35" s="10"/>
      <c r="L35" s="10" t="s">
        <v>67</v>
      </c>
      <c r="M35" s="10"/>
      <c r="N35" s="10"/>
      <c r="O35" s="10"/>
      <c r="P35" s="10" t="s">
        <v>68</v>
      </c>
      <c r="Q35" s="10"/>
      <c r="R35" s="10"/>
      <c r="S35" s="10"/>
      <c r="T35" s="10" t="s">
        <v>69</v>
      </c>
      <c r="U35" s="10"/>
      <c r="V35" s="10"/>
      <c r="W35" s="10"/>
      <c r="X35" s="10" t="s">
        <v>70</v>
      </c>
      <c r="Y35" s="10"/>
      <c r="Z35" s="10"/>
      <c r="AA35" s="10"/>
      <c r="AB35" s="10" t="s">
        <v>71</v>
      </c>
      <c r="AC35" s="10"/>
      <c r="AD35" s="10"/>
      <c r="AE35" s="10"/>
      <c r="AF35" s="10" t="s">
        <v>72</v>
      </c>
      <c r="AG35" s="10"/>
      <c r="AH35" s="10"/>
      <c r="AI35" s="10"/>
      <c r="AJ35" s="10" t="s">
        <v>73</v>
      </c>
      <c r="AK35" s="10"/>
      <c r="AL35" s="10"/>
      <c r="AM35" s="10"/>
      <c r="AN35" s="10" t="s">
        <v>74</v>
      </c>
      <c r="AO35" s="10"/>
      <c r="AP35" s="10"/>
      <c r="AQ35" s="10"/>
      <c r="AR35" s="10" t="s">
        <v>75</v>
      </c>
      <c r="AS35" s="10"/>
      <c r="AT35" s="10"/>
      <c r="AU35" s="10"/>
      <c r="AV35" s="10" t="s">
        <v>22</v>
      </c>
      <c r="AW35" s="10"/>
      <c r="AX35" s="10"/>
      <c r="AY35" s="10"/>
      <c r="AZ35" s="10" t="s">
        <v>23</v>
      </c>
      <c r="BA35" s="10"/>
      <c r="BB35" s="10"/>
      <c r="BC35" s="10"/>
    </row>
    <row r="36" customFormat="false" ht="21.75" hidden="false" customHeight="true" outlineLevel="0" collapsed="false">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row>
    <row r="37" customFormat="false" ht="12" hidden="false" customHeight="true" outlineLevel="0" collapsed="false">
      <c r="A37" s="5" t="s">
        <v>82</v>
      </c>
      <c r="I37" s="10" t="s">
        <v>83</v>
      </c>
      <c r="J37" s="10"/>
      <c r="K37" s="10"/>
      <c r="L37" s="10"/>
      <c r="M37" s="10" t="s">
        <v>84</v>
      </c>
      <c r="N37" s="10"/>
      <c r="O37" s="10"/>
      <c r="P37" s="10"/>
      <c r="Q37" s="10" t="s">
        <v>85</v>
      </c>
      <c r="R37" s="10"/>
      <c r="S37" s="10"/>
      <c r="T37" s="10"/>
      <c r="U37" s="10" t="s">
        <v>86</v>
      </c>
      <c r="V37" s="10"/>
      <c r="W37" s="10"/>
      <c r="X37" s="10"/>
      <c r="Y37" s="10" t="s">
        <v>87</v>
      </c>
      <c r="Z37" s="10"/>
      <c r="AA37" s="10"/>
      <c r="AB37" s="10"/>
      <c r="AC37" s="10" t="s">
        <v>88</v>
      </c>
      <c r="AD37" s="10"/>
      <c r="AE37" s="10"/>
      <c r="AF37" s="10"/>
      <c r="AG37" s="10" t="s">
        <v>89</v>
      </c>
      <c r="AH37" s="10"/>
      <c r="AI37" s="10"/>
      <c r="AJ37" s="10"/>
      <c r="AK37" s="10" t="s">
        <v>90</v>
      </c>
      <c r="AL37" s="10"/>
      <c r="AM37" s="10"/>
      <c r="AN37" s="10"/>
      <c r="AO37" s="10" t="s">
        <v>91</v>
      </c>
      <c r="AP37" s="10"/>
      <c r="AQ37" s="10"/>
      <c r="AR37" s="10"/>
      <c r="AS37" s="10" t="s">
        <v>33</v>
      </c>
      <c r="AT37" s="10"/>
      <c r="AU37" s="10"/>
      <c r="AV37" s="10"/>
      <c r="AW37" s="10" t="s">
        <v>34</v>
      </c>
      <c r="AX37" s="10"/>
      <c r="AY37" s="10"/>
      <c r="AZ37" s="10"/>
    </row>
    <row r="38" customFormat="false" ht="21.75" hidden="false" customHeight="true" outlineLevel="0" collapsed="false">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row>
    <row r="39" customFormat="false" ht="12" hidden="false" customHeight="true" outlineLevel="0" collapsed="false">
      <c r="A39" s="5" t="s">
        <v>102</v>
      </c>
      <c r="K39" s="10" t="s">
        <v>103</v>
      </c>
      <c r="L39" s="10"/>
      <c r="M39" s="10"/>
      <c r="N39" s="10"/>
      <c r="O39" s="10" t="s">
        <v>104</v>
      </c>
      <c r="P39" s="10"/>
      <c r="Q39" s="10"/>
      <c r="R39" s="10"/>
      <c r="S39" s="10" t="s">
        <v>105</v>
      </c>
      <c r="T39" s="10"/>
      <c r="U39" s="10"/>
      <c r="V39" s="10"/>
      <c r="W39" s="10" t="s">
        <v>106</v>
      </c>
      <c r="X39" s="10"/>
      <c r="Y39" s="10"/>
      <c r="Z39" s="10"/>
      <c r="AA39" s="10" t="s">
        <v>107</v>
      </c>
      <c r="AB39" s="10"/>
      <c r="AC39" s="10"/>
      <c r="AD39" s="10"/>
      <c r="AE39" s="10" t="s">
        <v>108</v>
      </c>
      <c r="AF39" s="10"/>
      <c r="AG39" s="10"/>
      <c r="AH39" s="10"/>
      <c r="AI39" s="10" t="s">
        <v>109</v>
      </c>
      <c r="AJ39" s="10"/>
      <c r="AK39" s="10"/>
      <c r="AL39" s="10"/>
      <c r="AM39" s="10" t="s">
        <v>42</v>
      </c>
      <c r="AN39" s="10"/>
      <c r="AO39" s="10"/>
      <c r="AP39" s="10"/>
      <c r="AQ39" s="10" t="s">
        <v>43</v>
      </c>
      <c r="AR39" s="10"/>
      <c r="AS39" s="10"/>
      <c r="AT39" s="10"/>
      <c r="AU39" s="10" t="s">
        <v>44</v>
      </c>
      <c r="AV39" s="10"/>
      <c r="AW39" s="10"/>
      <c r="AX39" s="10"/>
    </row>
    <row r="40" customFormat="false" ht="21.75" hidden="false" customHeight="true" outlineLevel="0" collapsed="false">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customFormat="false" ht="12" hidden="false" customHeight="true" outlineLevel="0" collapsed="false">
      <c r="A41" s="5" t="s">
        <v>120</v>
      </c>
      <c r="P41" s="10" t="s">
        <v>48</v>
      </c>
      <c r="Q41" s="10"/>
      <c r="R41" s="10"/>
      <c r="S41" s="10"/>
      <c r="T41" s="10" t="s">
        <v>50</v>
      </c>
      <c r="U41" s="10"/>
      <c r="V41" s="10"/>
      <c r="W41" s="10"/>
      <c r="X41" s="10"/>
      <c r="Y41" s="10"/>
      <c r="Z41" s="10"/>
      <c r="AA41" s="10"/>
      <c r="AB41" s="10"/>
      <c r="AC41" s="10"/>
      <c r="AD41" s="10"/>
      <c r="AE41" s="10"/>
      <c r="AF41" s="10"/>
      <c r="AG41" s="10"/>
      <c r="AH41" s="10"/>
      <c r="AI41" s="10"/>
      <c r="AJ41" s="10"/>
      <c r="AK41" s="10"/>
      <c r="AL41" s="10" t="s">
        <v>45</v>
      </c>
      <c r="AM41" s="10"/>
      <c r="AN41" s="10"/>
      <c r="AO41" s="10"/>
      <c r="AP41" s="10" t="s">
        <v>46</v>
      </c>
      <c r="AQ41" s="10"/>
      <c r="AR41" s="10"/>
      <c r="AS41" s="10"/>
    </row>
    <row r="42" customFormat="false" ht="21.75" hidden="false" customHeight="true" outlineLevel="0" collapsed="false">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row>
    <row r="44" customFormat="false" ht="18.75" hidden="false" customHeight="true" outlineLevel="0" collapsed="false">
      <c r="A44" s="14" t="s">
        <v>322</v>
      </c>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row>
    <row r="45" customFormat="false" ht="15" hidden="false" customHeight="true" outlineLevel="0" collapsed="false">
      <c r="A45" s="8" t="s">
        <v>124</v>
      </c>
      <c r="B45" s="15"/>
      <c r="C45" s="15"/>
      <c r="D45" s="15"/>
      <c r="E45" s="15"/>
      <c r="G45" s="15"/>
      <c r="H45" s="15"/>
      <c r="I45" s="15"/>
      <c r="J45" s="15"/>
      <c r="L45" s="15"/>
      <c r="M45" s="15"/>
      <c r="N45" s="15"/>
      <c r="O45" s="15"/>
      <c r="Q45" s="5" t="s">
        <v>237</v>
      </c>
    </row>
    <row r="46" customFormat="false" ht="12" hidden="false" customHeight="true" outlineLevel="0" collapsed="false">
      <c r="A46" s="5" t="s">
        <v>64</v>
      </c>
      <c r="F46" s="10" t="s">
        <v>0</v>
      </c>
      <c r="G46" s="10"/>
      <c r="H46" s="10"/>
      <c r="I46" s="10"/>
      <c r="J46" s="10" t="s">
        <v>1</v>
      </c>
      <c r="K46" s="10"/>
      <c r="L46" s="10"/>
      <c r="M46" s="10"/>
      <c r="N46" s="10" t="s">
        <v>2</v>
      </c>
      <c r="O46" s="10"/>
      <c r="P46" s="10"/>
      <c r="Q46" s="10"/>
      <c r="R46" s="10" t="s">
        <v>3</v>
      </c>
      <c r="S46" s="10"/>
      <c r="T46" s="10"/>
      <c r="U46" s="10"/>
      <c r="V46" s="10" t="s">
        <v>4</v>
      </c>
      <c r="W46" s="10"/>
      <c r="X46" s="10"/>
      <c r="Y46" s="10"/>
      <c r="Z46" s="10" t="s">
        <v>5</v>
      </c>
      <c r="AA46" s="10"/>
      <c r="AB46" s="10"/>
      <c r="AC46" s="10"/>
      <c r="AD46" s="10" t="s">
        <v>6</v>
      </c>
      <c r="AE46" s="10"/>
      <c r="AF46" s="10"/>
      <c r="AG46" s="10"/>
      <c r="AH46" s="10" t="s">
        <v>7</v>
      </c>
      <c r="AI46" s="10"/>
      <c r="AJ46" s="10"/>
      <c r="AK46" s="10"/>
      <c r="AL46" s="10" t="s">
        <v>8</v>
      </c>
      <c r="AM46" s="10"/>
      <c r="AN46" s="10"/>
      <c r="AO46" s="10"/>
      <c r="AP46" s="10" t="s">
        <v>9</v>
      </c>
      <c r="AQ46" s="10"/>
      <c r="AR46" s="10"/>
      <c r="AS46" s="10"/>
      <c r="AT46" s="10" t="s">
        <v>10</v>
      </c>
      <c r="AU46" s="10"/>
      <c r="AV46" s="10"/>
      <c r="AW46" s="10"/>
      <c r="AX46" s="10" t="s">
        <v>11</v>
      </c>
      <c r="AY46" s="10"/>
      <c r="AZ46" s="10"/>
      <c r="BA46" s="10"/>
    </row>
    <row r="47" customFormat="false" ht="21.75" hidden="false" customHeight="true" outlineLevel="0" collapsed="false">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row>
    <row r="48" customFormat="false" ht="12" hidden="false" customHeight="true" outlineLevel="0" collapsed="false">
      <c r="A48" s="5" t="s">
        <v>65</v>
      </c>
      <c r="H48" s="10" t="s">
        <v>66</v>
      </c>
      <c r="I48" s="10"/>
      <c r="J48" s="10"/>
      <c r="K48" s="10"/>
      <c r="L48" s="10" t="s">
        <v>67</v>
      </c>
      <c r="M48" s="10"/>
      <c r="N48" s="10"/>
      <c r="O48" s="10"/>
      <c r="P48" s="10" t="s">
        <v>68</v>
      </c>
      <c r="Q48" s="10"/>
      <c r="R48" s="10"/>
      <c r="S48" s="10"/>
      <c r="T48" s="10" t="s">
        <v>69</v>
      </c>
      <c r="U48" s="10"/>
      <c r="V48" s="10"/>
      <c r="W48" s="10"/>
      <c r="X48" s="10" t="s">
        <v>70</v>
      </c>
      <c r="Y48" s="10"/>
      <c r="Z48" s="10"/>
      <c r="AA48" s="10"/>
      <c r="AB48" s="10" t="s">
        <v>71</v>
      </c>
      <c r="AC48" s="10"/>
      <c r="AD48" s="10"/>
      <c r="AE48" s="10"/>
      <c r="AF48" s="10" t="s">
        <v>72</v>
      </c>
      <c r="AG48" s="10"/>
      <c r="AH48" s="10"/>
      <c r="AI48" s="10"/>
      <c r="AJ48" s="10" t="s">
        <v>73</v>
      </c>
      <c r="AK48" s="10"/>
      <c r="AL48" s="10"/>
      <c r="AM48" s="10"/>
      <c r="AN48" s="10" t="s">
        <v>74</v>
      </c>
      <c r="AO48" s="10"/>
      <c r="AP48" s="10"/>
      <c r="AQ48" s="10"/>
      <c r="AR48" s="10" t="s">
        <v>75</v>
      </c>
      <c r="AS48" s="10"/>
      <c r="AT48" s="10"/>
      <c r="AU48" s="10"/>
      <c r="AV48" s="10" t="s">
        <v>22</v>
      </c>
      <c r="AW48" s="10"/>
      <c r="AX48" s="10"/>
      <c r="AY48" s="10"/>
      <c r="AZ48" s="10" t="s">
        <v>23</v>
      </c>
      <c r="BA48" s="10"/>
      <c r="BB48" s="10"/>
      <c r="BC48" s="10"/>
    </row>
    <row r="49" customFormat="false" ht="21.75" hidden="false" customHeight="true" outlineLevel="0" collapsed="false">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row>
    <row r="50" customFormat="false" ht="12" hidden="false" customHeight="true" outlineLevel="0" collapsed="false">
      <c r="A50" s="5" t="s">
        <v>82</v>
      </c>
      <c r="I50" s="10" t="s">
        <v>83</v>
      </c>
      <c r="J50" s="10"/>
      <c r="K50" s="10"/>
      <c r="L50" s="10"/>
      <c r="M50" s="10" t="s">
        <v>84</v>
      </c>
      <c r="N50" s="10"/>
      <c r="O50" s="10"/>
      <c r="P50" s="10"/>
      <c r="Q50" s="10" t="s">
        <v>85</v>
      </c>
      <c r="R50" s="10"/>
      <c r="S50" s="10"/>
      <c r="T50" s="10"/>
      <c r="U50" s="10" t="s">
        <v>86</v>
      </c>
      <c r="V50" s="10"/>
      <c r="W50" s="10"/>
      <c r="X50" s="10"/>
      <c r="Y50" s="10" t="s">
        <v>87</v>
      </c>
      <c r="Z50" s="10"/>
      <c r="AA50" s="10"/>
      <c r="AB50" s="10"/>
      <c r="AC50" s="10" t="s">
        <v>88</v>
      </c>
      <c r="AD50" s="10"/>
      <c r="AE50" s="10"/>
      <c r="AF50" s="10"/>
      <c r="AG50" s="10" t="s">
        <v>89</v>
      </c>
      <c r="AH50" s="10"/>
      <c r="AI50" s="10"/>
      <c r="AJ50" s="10"/>
      <c r="AK50" s="10" t="s">
        <v>90</v>
      </c>
      <c r="AL50" s="10"/>
      <c r="AM50" s="10"/>
      <c r="AN50" s="10"/>
      <c r="AO50" s="10" t="s">
        <v>91</v>
      </c>
      <c r="AP50" s="10"/>
      <c r="AQ50" s="10"/>
      <c r="AR50" s="10"/>
      <c r="AS50" s="10" t="s">
        <v>33</v>
      </c>
      <c r="AT50" s="10"/>
      <c r="AU50" s="10"/>
      <c r="AV50" s="10"/>
      <c r="AW50" s="10" t="s">
        <v>34</v>
      </c>
      <c r="AX50" s="10"/>
      <c r="AY50" s="10"/>
      <c r="AZ50" s="10"/>
    </row>
    <row r="51" customFormat="false" ht="21.75" hidden="false" customHeight="true" outlineLevel="0" collapsed="false">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row>
    <row r="52" customFormat="false" ht="12" hidden="false" customHeight="true" outlineLevel="0" collapsed="false">
      <c r="A52" s="5" t="s">
        <v>102</v>
      </c>
      <c r="K52" s="10" t="s">
        <v>103</v>
      </c>
      <c r="L52" s="10"/>
      <c r="M52" s="10"/>
      <c r="N52" s="10"/>
      <c r="O52" s="10" t="s">
        <v>104</v>
      </c>
      <c r="P52" s="10"/>
      <c r="Q52" s="10"/>
      <c r="R52" s="10"/>
      <c r="S52" s="10" t="s">
        <v>105</v>
      </c>
      <c r="T52" s="10"/>
      <c r="U52" s="10"/>
      <c r="V52" s="10"/>
      <c r="W52" s="10" t="s">
        <v>106</v>
      </c>
      <c r="X52" s="10"/>
      <c r="Y52" s="10"/>
      <c r="Z52" s="10"/>
      <c r="AA52" s="10" t="s">
        <v>107</v>
      </c>
      <c r="AB52" s="10"/>
      <c r="AC52" s="10"/>
      <c r="AD52" s="10"/>
      <c r="AE52" s="10" t="s">
        <v>108</v>
      </c>
      <c r="AF52" s="10"/>
      <c r="AG52" s="10"/>
      <c r="AH52" s="10"/>
      <c r="AI52" s="10" t="s">
        <v>109</v>
      </c>
      <c r="AJ52" s="10"/>
      <c r="AK52" s="10"/>
      <c r="AL52" s="10"/>
      <c r="AM52" s="10" t="s">
        <v>42</v>
      </c>
      <c r="AN52" s="10"/>
      <c r="AO52" s="10"/>
      <c r="AP52" s="10"/>
      <c r="AQ52" s="10" t="s">
        <v>43</v>
      </c>
      <c r="AR52" s="10"/>
      <c r="AS52" s="10"/>
      <c r="AT52" s="10"/>
      <c r="AU52" s="10" t="s">
        <v>44</v>
      </c>
      <c r="AV52" s="10"/>
      <c r="AW52" s="10"/>
      <c r="AX52" s="10"/>
    </row>
    <row r="53" customFormat="false" ht="21.75" hidden="false" customHeight="true" outlineLevel="0" collapsed="false">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customFormat="false" ht="12" hidden="false" customHeight="true" outlineLevel="0" collapsed="false">
      <c r="A54" s="5" t="s">
        <v>120</v>
      </c>
      <c r="P54" s="10" t="s">
        <v>48</v>
      </c>
      <c r="Q54" s="10"/>
      <c r="R54" s="10"/>
      <c r="S54" s="10"/>
      <c r="T54" s="10" t="s">
        <v>50</v>
      </c>
      <c r="U54" s="10"/>
      <c r="V54" s="10"/>
      <c r="W54" s="10"/>
      <c r="X54" s="10"/>
      <c r="Y54" s="10"/>
      <c r="Z54" s="10"/>
      <c r="AA54" s="10"/>
      <c r="AB54" s="10"/>
      <c r="AC54" s="10"/>
      <c r="AD54" s="10"/>
      <c r="AE54" s="10"/>
      <c r="AF54" s="10"/>
      <c r="AG54" s="10"/>
      <c r="AH54" s="10"/>
      <c r="AI54" s="10"/>
      <c r="AJ54" s="10"/>
      <c r="AK54" s="10"/>
      <c r="AL54" s="10" t="s">
        <v>45</v>
      </c>
      <c r="AM54" s="10"/>
      <c r="AN54" s="10"/>
      <c r="AO54" s="10"/>
      <c r="AP54" s="10" t="s">
        <v>46</v>
      </c>
      <c r="AQ54" s="10"/>
      <c r="AR54" s="10"/>
      <c r="AS54" s="10"/>
    </row>
    <row r="55" customFormat="false" ht="21.75" hidden="false" customHeight="true" outlineLevel="0" collapsed="false">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row>
    <row r="57" customFormat="false" ht="18.75" hidden="false" customHeight="true" outlineLevel="0" collapsed="false">
      <c r="A57" s="14" t="s">
        <v>323</v>
      </c>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row>
    <row r="58" customFormat="false" ht="15" hidden="false" customHeight="true" outlineLevel="0" collapsed="false">
      <c r="A58" s="8" t="s">
        <v>124</v>
      </c>
      <c r="B58" s="15"/>
      <c r="C58" s="15"/>
      <c r="D58" s="15"/>
      <c r="E58" s="15"/>
      <c r="G58" s="15"/>
      <c r="H58" s="15"/>
      <c r="I58" s="15"/>
      <c r="J58" s="15"/>
      <c r="L58" s="15"/>
      <c r="M58" s="15"/>
      <c r="N58" s="15"/>
      <c r="O58" s="15"/>
      <c r="Q58" s="5" t="s">
        <v>237</v>
      </c>
    </row>
    <row r="59" customFormat="false" ht="12" hidden="false" customHeight="true" outlineLevel="0" collapsed="false">
      <c r="A59" s="5" t="s">
        <v>64</v>
      </c>
      <c r="F59" s="10" t="s">
        <v>0</v>
      </c>
      <c r="G59" s="10"/>
      <c r="H59" s="10"/>
      <c r="I59" s="10"/>
      <c r="J59" s="10" t="s">
        <v>1</v>
      </c>
      <c r="K59" s="10"/>
      <c r="L59" s="10"/>
      <c r="M59" s="10"/>
      <c r="N59" s="10" t="s">
        <v>2</v>
      </c>
      <c r="O59" s="10"/>
      <c r="P59" s="10"/>
      <c r="Q59" s="10"/>
      <c r="R59" s="10" t="s">
        <v>3</v>
      </c>
      <c r="S59" s="10"/>
      <c r="T59" s="10"/>
      <c r="U59" s="10"/>
      <c r="V59" s="10" t="s">
        <v>4</v>
      </c>
      <c r="W59" s="10"/>
      <c r="X59" s="10"/>
      <c r="Y59" s="10"/>
      <c r="Z59" s="10" t="s">
        <v>5</v>
      </c>
      <c r="AA59" s="10"/>
      <c r="AB59" s="10"/>
      <c r="AC59" s="10"/>
      <c r="AD59" s="10" t="s">
        <v>6</v>
      </c>
      <c r="AE59" s="10"/>
      <c r="AF59" s="10"/>
      <c r="AG59" s="10"/>
      <c r="AH59" s="10" t="s">
        <v>7</v>
      </c>
      <c r="AI59" s="10"/>
      <c r="AJ59" s="10"/>
      <c r="AK59" s="10"/>
      <c r="AL59" s="10" t="s">
        <v>8</v>
      </c>
      <c r="AM59" s="10"/>
      <c r="AN59" s="10"/>
      <c r="AO59" s="10"/>
      <c r="AP59" s="10" t="s">
        <v>9</v>
      </c>
      <c r="AQ59" s="10"/>
      <c r="AR59" s="10"/>
      <c r="AS59" s="10"/>
      <c r="AT59" s="10" t="s">
        <v>10</v>
      </c>
      <c r="AU59" s="10"/>
      <c r="AV59" s="10"/>
      <c r="AW59" s="10"/>
      <c r="AX59" s="10" t="s">
        <v>11</v>
      </c>
      <c r="AY59" s="10"/>
      <c r="AZ59" s="10"/>
      <c r="BA59" s="10"/>
    </row>
    <row r="60" customFormat="false" ht="21.75" hidden="false" customHeight="true" outlineLevel="0" collapsed="false">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row>
    <row r="61" customFormat="false" ht="12" hidden="false" customHeight="true" outlineLevel="0" collapsed="false">
      <c r="A61" s="5" t="s">
        <v>65</v>
      </c>
      <c r="H61" s="10" t="s">
        <v>66</v>
      </c>
      <c r="I61" s="10"/>
      <c r="J61" s="10"/>
      <c r="K61" s="10"/>
      <c r="L61" s="10" t="s">
        <v>67</v>
      </c>
      <c r="M61" s="10"/>
      <c r="N61" s="10"/>
      <c r="O61" s="10"/>
      <c r="P61" s="10" t="s">
        <v>68</v>
      </c>
      <c r="Q61" s="10"/>
      <c r="R61" s="10"/>
      <c r="S61" s="10"/>
      <c r="T61" s="10" t="s">
        <v>69</v>
      </c>
      <c r="U61" s="10"/>
      <c r="V61" s="10"/>
      <c r="W61" s="10"/>
      <c r="X61" s="10" t="s">
        <v>70</v>
      </c>
      <c r="Y61" s="10"/>
      <c r="Z61" s="10"/>
      <c r="AA61" s="10"/>
      <c r="AB61" s="10" t="s">
        <v>71</v>
      </c>
      <c r="AC61" s="10"/>
      <c r="AD61" s="10"/>
      <c r="AE61" s="10"/>
      <c r="AF61" s="10" t="s">
        <v>72</v>
      </c>
      <c r="AG61" s="10"/>
      <c r="AH61" s="10"/>
      <c r="AI61" s="10"/>
      <c r="AJ61" s="10" t="s">
        <v>73</v>
      </c>
      <c r="AK61" s="10"/>
      <c r="AL61" s="10"/>
      <c r="AM61" s="10"/>
      <c r="AN61" s="10" t="s">
        <v>74</v>
      </c>
      <c r="AO61" s="10"/>
      <c r="AP61" s="10"/>
      <c r="AQ61" s="10"/>
      <c r="AR61" s="10" t="s">
        <v>75</v>
      </c>
      <c r="AS61" s="10"/>
      <c r="AT61" s="10"/>
      <c r="AU61" s="10"/>
      <c r="AV61" s="10" t="s">
        <v>22</v>
      </c>
      <c r="AW61" s="10"/>
      <c r="AX61" s="10"/>
      <c r="AY61" s="10"/>
      <c r="AZ61" s="10" t="s">
        <v>23</v>
      </c>
      <c r="BA61" s="10"/>
      <c r="BB61" s="10"/>
      <c r="BC61" s="10"/>
    </row>
    <row r="62" customFormat="false" ht="21.75" hidden="false" customHeight="true" outlineLevel="0" collapsed="false">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row>
    <row r="63" customFormat="false" ht="12" hidden="false" customHeight="true" outlineLevel="0" collapsed="false">
      <c r="A63" s="5" t="s">
        <v>82</v>
      </c>
      <c r="I63" s="10" t="s">
        <v>83</v>
      </c>
      <c r="J63" s="10"/>
      <c r="K63" s="10"/>
      <c r="L63" s="10"/>
      <c r="M63" s="10" t="s">
        <v>84</v>
      </c>
      <c r="N63" s="10"/>
      <c r="O63" s="10"/>
      <c r="P63" s="10"/>
      <c r="Q63" s="10" t="s">
        <v>85</v>
      </c>
      <c r="R63" s="10"/>
      <c r="S63" s="10"/>
      <c r="T63" s="10"/>
      <c r="U63" s="10" t="s">
        <v>86</v>
      </c>
      <c r="V63" s="10"/>
      <c r="W63" s="10"/>
      <c r="X63" s="10"/>
      <c r="Y63" s="10" t="s">
        <v>87</v>
      </c>
      <c r="Z63" s="10"/>
      <c r="AA63" s="10"/>
      <c r="AB63" s="10"/>
      <c r="AC63" s="10" t="s">
        <v>88</v>
      </c>
      <c r="AD63" s="10"/>
      <c r="AE63" s="10"/>
      <c r="AF63" s="10"/>
      <c r="AG63" s="10" t="s">
        <v>89</v>
      </c>
      <c r="AH63" s="10"/>
      <c r="AI63" s="10"/>
      <c r="AJ63" s="10"/>
      <c r="AK63" s="10" t="s">
        <v>90</v>
      </c>
      <c r="AL63" s="10"/>
      <c r="AM63" s="10"/>
      <c r="AN63" s="10"/>
      <c r="AO63" s="10" t="s">
        <v>91</v>
      </c>
      <c r="AP63" s="10"/>
      <c r="AQ63" s="10"/>
      <c r="AR63" s="10"/>
      <c r="AS63" s="10" t="s">
        <v>33</v>
      </c>
      <c r="AT63" s="10"/>
      <c r="AU63" s="10"/>
      <c r="AV63" s="10"/>
      <c r="AW63" s="10" t="s">
        <v>34</v>
      </c>
      <c r="AX63" s="10"/>
      <c r="AY63" s="10"/>
      <c r="AZ63" s="10"/>
    </row>
    <row r="64" customFormat="false" ht="21.75" hidden="false" customHeight="true" outlineLevel="0" collapsed="false">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row>
    <row r="65" customFormat="false" ht="12" hidden="false" customHeight="true" outlineLevel="0" collapsed="false">
      <c r="A65" s="5" t="s">
        <v>102</v>
      </c>
      <c r="K65" s="10" t="s">
        <v>103</v>
      </c>
      <c r="L65" s="10"/>
      <c r="M65" s="10"/>
      <c r="N65" s="10"/>
      <c r="O65" s="10" t="s">
        <v>104</v>
      </c>
      <c r="P65" s="10"/>
      <c r="Q65" s="10"/>
      <c r="R65" s="10"/>
      <c r="S65" s="10" t="s">
        <v>105</v>
      </c>
      <c r="T65" s="10"/>
      <c r="U65" s="10"/>
      <c r="V65" s="10"/>
      <c r="W65" s="10" t="s">
        <v>106</v>
      </c>
      <c r="X65" s="10"/>
      <c r="Y65" s="10"/>
      <c r="Z65" s="10"/>
      <c r="AA65" s="10" t="s">
        <v>107</v>
      </c>
      <c r="AB65" s="10"/>
      <c r="AC65" s="10"/>
      <c r="AD65" s="10"/>
      <c r="AE65" s="10" t="s">
        <v>108</v>
      </c>
      <c r="AF65" s="10"/>
      <c r="AG65" s="10"/>
      <c r="AH65" s="10"/>
      <c r="AI65" s="10" t="s">
        <v>109</v>
      </c>
      <c r="AJ65" s="10"/>
      <c r="AK65" s="10"/>
      <c r="AL65" s="10"/>
      <c r="AM65" s="10" t="s">
        <v>42</v>
      </c>
      <c r="AN65" s="10"/>
      <c r="AO65" s="10"/>
      <c r="AP65" s="10"/>
      <c r="AQ65" s="10" t="s">
        <v>43</v>
      </c>
      <c r="AR65" s="10"/>
      <c r="AS65" s="10"/>
      <c r="AT65" s="10"/>
      <c r="AU65" s="10" t="s">
        <v>44</v>
      </c>
      <c r="AV65" s="10"/>
      <c r="AW65" s="10"/>
      <c r="AX65" s="10"/>
    </row>
    <row r="66" customFormat="false" ht="21.75" hidden="false" customHeight="true" outlineLevel="0" collapsed="false">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customFormat="false" ht="12" hidden="false" customHeight="true" outlineLevel="0" collapsed="false">
      <c r="A67" s="5" t="s">
        <v>120</v>
      </c>
      <c r="P67" s="10" t="s">
        <v>48</v>
      </c>
      <c r="Q67" s="10"/>
      <c r="R67" s="10"/>
      <c r="S67" s="10"/>
      <c r="T67" s="10" t="s">
        <v>50</v>
      </c>
      <c r="U67" s="10"/>
      <c r="V67" s="10"/>
      <c r="W67" s="10"/>
      <c r="X67" s="10"/>
      <c r="Y67" s="10"/>
      <c r="Z67" s="10"/>
      <c r="AA67" s="10"/>
      <c r="AB67" s="10"/>
      <c r="AC67" s="10"/>
      <c r="AD67" s="10"/>
      <c r="AE67" s="10"/>
      <c r="AF67" s="10"/>
      <c r="AG67" s="10"/>
      <c r="AH67" s="10"/>
      <c r="AI67" s="10"/>
      <c r="AJ67" s="10"/>
      <c r="AK67" s="10"/>
      <c r="AL67" s="10" t="s">
        <v>45</v>
      </c>
      <c r="AM67" s="10"/>
      <c r="AN67" s="10"/>
      <c r="AO67" s="10"/>
      <c r="AP67" s="10" t="s">
        <v>46</v>
      </c>
      <c r="AQ67" s="10"/>
      <c r="AR67" s="10"/>
      <c r="AS67" s="10"/>
    </row>
    <row r="68" customFormat="false" ht="21.75" hidden="false" customHeight="true" outlineLevel="0" collapsed="false">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row>
    <row r="70" customFormat="false" ht="18.75" hidden="false" customHeight="true" outlineLevel="0" collapsed="false">
      <c r="A70" s="14" t="s">
        <v>324</v>
      </c>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row>
    <row r="71" customFormat="false" ht="15" hidden="false" customHeight="true" outlineLevel="0" collapsed="false">
      <c r="A71" s="8" t="s">
        <v>124</v>
      </c>
      <c r="B71" s="15"/>
      <c r="C71" s="15"/>
      <c r="D71" s="15"/>
      <c r="E71" s="15"/>
      <c r="G71" s="15"/>
      <c r="H71" s="15"/>
      <c r="I71" s="15"/>
      <c r="J71" s="15"/>
      <c r="L71" s="15"/>
      <c r="M71" s="15"/>
      <c r="N71" s="15"/>
      <c r="O71" s="15"/>
      <c r="Q71" s="5" t="s">
        <v>237</v>
      </c>
    </row>
    <row r="72" customFormat="false" ht="12" hidden="false" customHeight="true" outlineLevel="0" collapsed="false">
      <c r="A72" s="5" t="s">
        <v>64</v>
      </c>
      <c r="F72" s="10" t="s">
        <v>0</v>
      </c>
      <c r="G72" s="10"/>
      <c r="H72" s="10"/>
      <c r="I72" s="10"/>
      <c r="J72" s="10" t="s">
        <v>1</v>
      </c>
      <c r="K72" s="10"/>
      <c r="L72" s="10"/>
      <c r="M72" s="10"/>
      <c r="N72" s="10" t="s">
        <v>2</v>
      </c>
      <c r="O72" s="10"/>
      <c r="P72" s="10"/>
      <c r="Q72" s="10"/>
      <c r="R72" s="10" t="s">
        <v>3</v>
      </c>
      <c r="S72" s="10"/>
      <c r="T72" s="10"/>
      <c r="U72" s="10"/>
      <c r="V72" s="10" t="s">
        <v>4</v>
      </c>
      <c r="W72" s="10"/>
      <c r="X72" s="10"/>
      <c r="Y72" s="10"/>
      <c r="Z72" s="10" t="s">
        <v>5</v>
      </c>
      <c r="AA72" s="10"/>
      <c r="AB72" s="10"/>
      <c r="AC72" s="10"/>
      <c r="AD72" s="10" t="s">
        <v>6</v>
      </c>
      <c r="AE72" s="10"/>
      <c r="AF72" s="10"/>
      <c r="AG72" s="10"/>
      <c r="AH72" s="10" t="s">
        <v>7</v>
      </c>
      <c r="AI72" s="10"/>
      <c r="AJ72" s="10"/>
      <c r="AK72" s="10"/>
      <c r="AL72" s="10" t="s">
        <v>8</v>
      </c>
      <c r="AM72" s="10"/>
      <c r="AN72" s="10"/>
      <c r="AO72" s="10"/>
      <c r="AP72" s="10" t="s">
        <v>9</v>
      </c>
      <c r="AQ72" s="10"/>
      <c r="AR72" s="10"/>
      <c r="AS72" s="10"/>
      <c r="AT72" s="10" t="s">
        <v>10</v>
      </c>
      <c r="AU72" s="10"/>
      <c r="AV72" s="10"/>
      <c r="AW72" s="10"/>
      <c r="AX72" s="10" t="s">
        <v>11</v>
      </c>
      <c r="AY72" s="10"/>
      <c r="AZ72" s="10"/>
      <c r="BA72" s="10"/>
    </row>
    <row r="73" customFormat="false" ht="21.75" hidden="false" customHeight="true" outlineLevel="0" collapsed="false">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row>
    <row r="74" customFormat="false" ht="12" hidden="false" customHeight="true" outlineLevel="0" collapsed="false">
      <c r="A74" s="5" t="s">
        <v>65</v>
      </c>
      <c r="H74" s="10" t="s">
        <v>66</v>
      </c>
      <c r="I74" s="10"/>
      <c r="J74" s="10"/>
      <c r="K74" s="10"/>
      <c r="L74" s="10" t="s">
        <v>67</v>
      </c>
      <c r="M74" s="10"/>
      <c r="N74" s="10"/>
      <c r="O74" s="10"/>
      <c r="P74" s="10" t="s">
        <v>68</v>
      </c>
      <c r="Q74" s="10"/>
      <c r="R74" s="10"/>
      <c r="S74" s="10"/>
      <c r="T74" s="10" t="s">
        <v>69</v>
      </c>
      <c r="U74" s="10"/>
      <c r="V74" s="10"/>
      <c r="W74" s="10"/>
      <c r="X74" s="10" t="s">
        <v>70</v>
      </c>
      <c r="Y74" s="10"/>
      <c r="Z74" s="10"/>
      <c r="AA74" s="10"/>
      <c r="AB74" s="10" t="s">
        <v>71</v>
      </c>
      <c r="AC74" s="10"/>
      <c r="AD74" s="10"/>
      <c r="AE74" s="10"/>
      <c r="AF74" s="10" t="s">
        <v>72</v>
      </c>
      <c r="AG74" s="10"/>
      <c r="AH74" s="10"/>
      <c r="AI74" s="10"/>
      <c r="AJ74" s="10" t="s">
        <v>73</v>
      </c>
      <c r="AK74" s="10"/>
      <c r="AL74" s="10"/>
      <c r="AM74" s="10"/>
      <c r="AN74" s="10" t="s">
        <v>74</v>
      </c>
      <c r="AO74" s="10"/>
      <c r="AP74" s="10"/>
      <c r="AQ74" s="10"/>
      <c r="AR74" s="10" t="s">
        <v>75</v>
      </c>
      <c r="AS74" s="10"/>
      <c r="AT74" s="10"/>
      <c r="AU74" s="10"/>
      <c r="AV74" s="10" t="s">
        <v>22</v>
      </c>
      <c r="AW74" s="10"/>
      <c r="AX74" s="10"/>
      <c r="AY74" s="10"/>
      <c r="AZ74" s="10" t="s">
        <v>23</v>
      </c>
      <c r="BA74" s="10"/>
      <c r="BB74" s="10"/>
      <c r="BC74" s="10"/>
    </row>
    <row r="75" customFormat="false" ht="21.75" hidden="false" customHeight="true" outlineLevel="0" collapsed="false">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row>
    <row r="76" customFormat="false" ht="12" hidden="false" customHeight="true" outlineLevel="0" collapsed="false">
      <c r="A76" s="5" t="s">
        <v>82</v>
      </c>
      <c r="I76" s="10" t="s">
        <v>83</v>
      </c>
      <c r="J76" s="10"/>
      <c r="K76" s="10"/>
      <c r="L76" s="10"/>
      <c r="M76" s="10" t="s">
        <v>84</v>
      </c>
      <c r="N76" s="10"/>
      <c r="O76" s="10"/>
      <c r="P76" s="10"/>
      <c r="Q76" s="10" t="s">
        <v>85</v>
      </c>
      <c r="R76" s="10"/>
      <c r="S76" s="10"/>
      <c r="T76" s="10"/>
      <c r="U76" s="10" t="s">
        <v>86</v>
      </c>
      <c r="V76" s="10"/>
      <c r="W76" s="10"/>
      <c r="X76" s="10"/>
      <c r="Y76" s="10" t="s">
        <v>87</v>
      </c>
      <c r="Z76" s="10"/>
      <c r="AA76" s="10"/>
      <c r="AB76" s="10"/>
      <c r="AC76" s="10" t="s">
        <v>88</v>
      </c>
      <c r="AD76" s="10"/>
      <c r="AE76" s="10"/>
      <c r="AF76" s="10"/>
      <c r="AG76" s="10" t="s">
        <v>89</v>
      </c>
      <c r="AH76" s="10"/>
      <c r="AI76" s="10"/>
      <c r="AJ76" s="10"/>
      <c r="AK76" s="10" t="s">
        <v>90</v>
      </c>
      <c r="AL76" s="10"/>
      <c r="AM76" s="10"/>
      <c r="AN76" s="10"/>
      <c r="AO76" s="10" t="s">
        <v>91</v>
      </c>
      <c r="AP76" s="10"/>
      <c r="AQ76" s="10"/>
      <c r="AR76" s="10"/>
      <c r="AS76" s="10" t="s">
        <v>33</v>
      </c>
      <c r="AT76" s="10"/>
      <c r="AU76" s="10"/>
      <c r="AV76" s="10"/>
      <c r="AW76" s="10" t="s">
        <v>34</v>
      </c>
      <c r="AX76" s="10"/>
      <c r="AY76" s="10"/>
      <c r="AZ76" s="10"/>
    </row>
    <row r="77" customFormat="false" ht="21.75" hidden="false" customHeight="true" outlineLevel="0" collapsed="false">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row>
    <row r="78" customFormat="false" ht="12" hidden="false" customHeight="true" outlineLevel="0" collapsed="false">
      <c r="A78" s="5" t="s">
        <v>102</v>
      </c>
      <c r="K78" s="10" t="s">
        <v>103</v>
      </c>
      <c r="L78" s="10"/>
      <c r="M78" s="10"/>
      <c r="N78" s="10"/>
      <c r="O78" s="10" t="s">
        <v>104</v>
      </c>
      <c r="P78" s="10"/>
      <c r="Q78" s="10"/>
      <c r="R78" s="10"/>
      <c r="S78" s="10" t="s">
        <v>105</v>
      </c>
      <c r="T78" s="10"/>
      <c r="U78" s="10"/>
      <c r="V78" s="10"/>
      <c r="W78" s="10" t="s">
        <v>106</v>
      </c>
      <c r="X78" s="10"/>
      <c r="Y78" s="10"/>
      <c r="Z78" s="10"/>
      <c r="AA78" s="10" t="s">
        <v>107</v>
      </c>
      <c r="AB78" s="10"/>
      <c r="AC78" s="10"/>
      <c r="AD78" s="10"/>
      <c r="AE78" s="10" t="s">
        <v>108</v>
      </c>
      <c r="AF78" s="10"/>
      <c r="AG78" s="10"/>
      <c r="AH78" s="10"/>
      <c r="AI78" s="10" t="s">
        <v>109</v>
      </c>
      <c r="AJ78" s="10"/>
      <c r="AK78" s="10"/>
      <c r="AL78" s="10"/>
      <c r="AM78" s="10" t="s">
        <v>42</v>
      </c>
      <c r="AN78" s="10"/>
      <c r="AO78" s="10"/>
      <c r="AP78" s="10"/>
      <c r="AQ78" s="10" t="s">
        <v>43</v>
      </c>
      <c r="AR78" s="10"/>
      <c r="AS78" s="10"/>
      <c r="AT78" s="10"/>
      <c r="AU78" s="10" t="s">
        <v>44</v>
      </c>
      <c r="AV78" s="10"/>
      <c r="AW78" s="10"/>
      <c r="AX78" s="10"/>
    </row>
    <row r="79" customFormat="false" ht="21.75" hidden="false" customHeight="true" outlineLevel="0" collapsed="false">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customFormat="false" ht="12" hidden="false" customHeight="true" outlineLevel="0" collapsed="false">
      <c r="A80" s="5" t="s">
        <v>120</v>
      </c>
      <c r="P80" s="10" t="s">
        <v>48</v>
      </c>
      <c r="Q80" s="10"/>
      <c r="R80" s="10"/>
      <c r="S80" s="10"/>
      <c r="T80" s="10" t="s">
        <v>50</v>
      </c>
      <c r="U80" s="10"/>
      <c r="V80" s="10"/>
      <c r="W80" s="10"/>
      <c r="X80" s="10"/>
      <c r="Y80" s="10"/>
      <c r="Z80" s="10"/>
      <c r="AA80" s="10"/>
      <c r="AB80" s="10"/>
      <c r="AC80" s="10"/>
      <c r="AD80" s="10"/>
      <c r="AE80" s="10"/>
      <c r="AF80" s="10"/>
      <c r="AG80" s="10"/>
      <c r="AH80" s="10"/>
      <c r="AI80" s="10"/>
      <c r="AJ80" s="10"/>
      <c r="AK80" s="10"/>
      <c r="AL80" s="10" t="s">
        <v>45</v>
      </c>
      <c r="AM80" s="10"/>
      <c r="AN80" s="10"/>
      <c r="AO80" s="10"/>
      <c r="AP80" s="10" t="s">
        <v>46</v>
      </c>
      <c r="AQ80" s="10"/>
      <c r="AR80" s="10"/>
      <c r="AS80" s="10"/>
    </row>
    <row r="81" customFormat="false" ht="21.75" hidden="false" customHeight="true" outlineLevel="0" collapsed="false">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row>
    <row r="83" customFormat="false" ht="18.75" hidden="false" customHeight="true" outlineLevel="0" collapsed="false">
      <c r="A83" s="14" t="s">
        <v>325</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row>
    <row r="84" customFormat="false" ht="15" hidden="false" customHeight="true" outlineLevel="0" collapsed="false">
      <c r="A84" s="8" t="s">
        <v>124</v>
      </c>
      <c r="B84" s="15"/>
      <c r="C84" s="15"/>
      <c r="D84" s="15"/>
      <c r="E84" s="15"/>
      <c r="G84" s="15"/>
      <c r="H84" s="15"/>
      <c r="I84" s="15"/>
      <c r="J84" s="15"/>
      <c r="L84" s="15"/>
      <c r="M84" s="15"/>
      <c r="N84" s="15"/>
      <c r="O84" s="15"/>
      <c r="Q84" s="5" t="s">
        <v>237</v>
      </c>
    </row>
    <row r="85" customFormat="false" ht="12" hidden="false" customHeight="true" outlineLevel="0" collapsed="false">
      <c r="A85" s="5" t="s">
        <v>64</v>
      </c>
      <c r="F85" s="10" t="s">
        <v>0</v>
      </c>
      <c r="G85" s="10"/>
      <c r="H85" s="10"/>
      <c r="I85" s="10"/>
      <c r="J85" s="10" t="s">
        <v>1</v>
      </c>
      <c r="K85" s="10"/>
      <c r="L85" s="10"/>
      <c r="M85" s="10"/>
      <c r="N85" s="10" t="s">
        <v>2</v>
      </c>
      <c r="O85" s="10"/>
      <c r="P85" s="10"/>
      <c r="Q85" s="10"/>
      <c r="R85" s="10" t="s">
        <v>3</v>
      </c>
      <c r="S85" s="10"/>
      <c r="T85" s="10"/>
      <c r="U85" s="10"/>
      <c r="V85" s="10" t="s">
        <v>4</v>
      </c>
      <c r="W85" s="10"/>
      <c r="X85" s="10"/>
      <c r="Y85" s="10"/>
      <c r="Z85" s="10" t="s">
        <v>5</v>
      </c>
      <c r="AA85" s="10"/>
      <c r="AB85" s="10"/>
      <c r="AC85" s="10"/>
      <c r="AD85" s="10" t="s">
        <v>6</v>
      </c>
      <c r="AE85" s="10"/>
      <c r="AF85" s="10"/>
      <c r="AG85" s="10"/>
      <c r="AH85" s="10" t="s">
        <v>7</v>
      </c>
      <c r="AI85" s="10"/>
      <c r="AJ85" s="10"/>
      <c r="AK85" s="10"/>
      <c r="AL85" s="10" t="s">
        <v>8</v>
      </c>
      <c r="AM85" s="10"/>
      <c r="AN85" s="10"/>
      <c r="AO85" s="10"/>
      <c r="AP85" s="10" t="s">
        <v>9</v>
      </c>
      <c r="AQ85" s="10"/>
      <c r="AR85" s="10"/>
      <c r="AS85" s="10"/>
      <c r="AT85" s="10" t="s">
        <v>10</v>
      </c>
      <c r="AU85" s="10"/>
      <c r="AV85" s="10"/>
      <c r="AW85" s="10"/>
      <c r="AX85" s="10" t="s">
        <v>11</v>
      </c>
      <c r="AY85" s="10"/>
      <c r="AZ85" s="10"/>
      <c r="BA85" s="10"/>
    </row>
    <row r="86" customFormat="false" ht="21.75" hidden="false" customHeight="true" outlineLevel="0" collapsed="false">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row>
    <row r="87" customFormat="false" ht="12" hidden="false" customHeight="true" outlineLevel="0" collapsed="false">
      <c r="A87" s="5" t="s">
        <v>65</v>
      </c>
      <c r="H87" s="10" t="s">
        <v>66</v>
      </c>
      <c r="I87" s="10"/>
      <c r="J87" s="10"/>
      <c r="K87" s="10"/>
      <c r="L87" s="10" t="s">
        <v>67</v>
      </c>
      <c r="M87" s="10"/>
      <c r="N87" s="10"/>
      <c r="O87" s="10"/>
      <c r="P87" s="10" t="s">
        <v>68</v>
      </c>
      <c r="Q87" s="10"/>
      <c r="R87" s="10"/>
      <c r="S87" s="10"/>
      <c r="T87" s="10" t="s">
        <v>69</v>
      </c>
      <c r="U87" s="10"/>
      <c r="V87" s="10"/>
      <c r="W87" s="10"/>
      <c r="X87" s="10" t="s">
        <v>70</v>
      </c>
      <c r="Y87" s="10"/>
      <c r="Z87" s="10"/>
      <c r="AA87" s="10"/>
      <c r="AB87" s="10" t="s">
        <v>71</v>
      </c>
      <c r="AC87" s="10"/>
      <c r="AD87" s="10"/>
      <c r="AE87" s="10"/>
      <c r="AF87" s="10" t="s">
        <v>72</v>
      </c>
      <c r="AG87" s="10"/>
      <c r="AH87" s="10"/>
      <c r="AI87" s="10"/>
      <c r="AJ87" s="10" t="s">
        <v>73</v>
      </c>
      <c r="AK87" s="10"/>
      <c r="AL87" s="10"/>
      <c r="AM87" s="10"/>
      <c r="AN87" s="10" t="s">
        <v>74</v>
      </c>
      <c r="AO87" s="10"/>
      <c r="AP87" s="10"/>
      <c r="AQ87" s="10"/>
      <c r="AR87" s="10" t="s">
        <v>75</v>
      </c>
      <c r="AS87" s="10"/>
      <c r="AT87" s="10"/>
      <c r="AU87" s="10"/>
      <c r="AV87" s="10" t="s">
        <v>22</v>
      </c>
      <c r="AW87" s="10"/>
      <c r="AX87" s="10"/>
      <c r="AY87" s="10"/>
      <c r="AZ87" s="10" t="s">
        <v>23</v>
      </c>
      <c r="BA87" s="10"/>
      <c r="BB87" s="10"/>
      <c r="BC87" s="10"/>
    </row>
    <row r="88" customFormat="false" ht="21.75" hidden="false" customHeight="true" outlineLevel="0" collapsed="false">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row>
    <row r="89" customFormat="false" ht="12" hidden="false" customHeight="true" outlineLevel="0" collapsed="false">
      <c r="A89" s="5" t="s">
        <v>82</v>
      </c>
      <c r="I89" s="10" t="s">
        <v>83</v>
      </c>
      <c r="J89" s="10"/>
      <c r="K89" s="10"/>
      <c r="L89" s="10"/>
      <c r="M89" s="10" t="s">
        <v>84</v>
      </c>
      <c r="N89" s="10"/>
      <c r="O89" s="10"/>
      <c r="P89" s="10"/>
      <c r="Q89" s="10" t="s">
        <v>85</v>
      </c>
      <c r="R89" s="10"/>
      <c r="S89" s="10"/>
      <c r="T89" s="10"/>
      <c r="U89" s="10" t="s">
        <v>86</v>
      </c>
      <c r="V89" s="10"/>
      <c r="W89" s="10"/>
      <c r="X89" s="10"/>
      <c r="Y89" s="10" t="s">
        <v>87</v>
      </c>
      <c r="Z89" s="10"/>
      <c r="AA89" s="10"/>
      <c r="AB89" s="10"/>
      <c r="AC89" s="10" t="s">
        <v>88</v>
      </c>
      <c r="AD89" s="10"/>
      <c r="AE89" s="10"/>
      <c r="AF89" s="10"/>
      <c r="AG89" s="10" t="s">
        <v>89</v>
      </c>
      <c r="AH89" s="10"/>
      <c r="AI89" s="10"/>
      <c r="AJ89" s="10"/>
      <c r="AK89" s="10" t="s">
        <v>90</v>
      </c>
      <c r="AL89" s="10"/>
      <c r="AM89" s="10"/>
      <c r="AN89" s="10"/>
      <c r="AO89" s="10" t="s">
        <v>91</v>
      </c>
      <c r="AP89" s="10"/>
      <c r="AQ89" s="10"/>
      <c r="AR89" s="10"/>
      <c r="AS89" s="10" t="s">
        <v>33</v>
      </c>
      <c r="AT89" s="10"/>
      <c r="AU89" s="10"/>
      <c r="AV89" s="10"/>
      <c r="AW89" s="10" t="s">
        <v>34</v>
      </c>
      <c r="AX89" s="10"/>
      <c r="AY89" s="10"/>
      <c r="AZ89" s="10"/>
    </row>
    <row r="90" customFormat="false" ht="21.75" hidden="false" customHeight="true" outlineLevel="0" collapsed="false">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row>
    <row r="91" customFormat="false" ht="12" hidden="false" customHeight="true" outlineLevel="0" collapsed="false">
      <c r="A91" s="5" t="s">
        <v>102</v>
      </c>
      <c r="K91" s="10" t="s">
        <v>103</v>
      </c>
      <c r="L91" s="10"/>
      <c r="M91" s="10"/>
      <c r="N91" s="10"/>
      <c r="O91" s="10" t="s">
        <v>104</v>
      </c>
      <c r="P91" s="10"/>
      <c r="Q91" s="10"/>
      <c r="R91" s="10"/>
      <c r="S91" s="10" t="s">
        <v>105</v>
      </c>
      <c r="T91" s="10"/>
      <c r="U91" s="10"/>
      <c r="V91" s="10"/>
      <c r="W91" s="10" t="s">
        <v>106</v>
      </c>
      <c r="X91" s="10"/>
      <c r="Y91" s="10"/>
      <c r="Z91" s="10"/>
      <c r="AA91" s="10" t="s">
        <v>107</v>
      </c>
      <c r="AB91" s="10"/>
      <c r="AC91" s="10"/>
      <c r="AD91" s="10"/>
      <c r="AE91" s="10" t="s">
        <v>108</v>
      </c>
      <c r="AF91" s="10"/>
      <c r="AG91" s="10"/>
      <c r="AH91" s="10"/>
      <c r="AI91" s="10" t="s">
        <v>109</v>
      </c>
      <c r="AJ91" s="10"/>
      <c r="AK91" s="10"/>
      <c r="AL91" s="10"/>
      <c r="AM91" s="10" t="s">
        <v>42</v>
      </c>
      <c r="AN91" s="10"/>
      <c r="AO91" s="10"/>
      <c r="AP91" s="10"/>
      <c r="AQ91" s="10" t="s">
        <v>43</v>
      </c>
      <c r="AR91" s="10"/>
      <c r="AS91" s="10"/>
      <c r="AT91" s="10"/>
      <c r="AU91" s="10" t="s">
        <v>44</v>
      </c>
      <c r="AV91" s="10"/>
      <c r="AW91" s="10"/>
      <c r="AX91" s="10"/>
    </row>
    <row r="92" customFormat="false" ht="21.75" hidden="false" customHeight="true" outlineLevel="0" collapsed="false">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customFormat="false" ht="12" hidden="false" customHeight="true" outlineLevel="0" collapsed="false">
      <c r="A93" s="5" t="s">
        <v>120</v>
      </c>
      <c r="P93" s="10" t="s">
        <v>48</v>
      </c>
      <c r="Q93" s="10"/>
      <c r="R93" s="10"/>
      <c r="S93" s="10"/>
      <c r="T93" s="10" t="s">
        <v>50</v>
      </c>
      <c r="U93" s="10"/>
      <c r="V93" s="10"/>
      <c r="W93" s="10"/>
      <c r="X93" s="10"/>
      <c r="Y93" s="10"/>
      <c r="Z93" s="10"/>
      <c r="AA93" s="10"/>
      <c r="AB93" s="10"/>
      <c r="AC93" s="10"/>
      <c r="AD93" s="10"/>
      <c r="AE93" s="10"/>
      <c r="AF93" s="10"/>
      <c r="AG93" s="10"/>
      <c r="AH93" s="10"/>
      <c r="AI93" s="10"/>
      <c r="AJ93" s="10"/>
      <c r="AK93" s="10"/>
      <c r="AL93" s="10" t="s">
        <v>45</v>
      </c>
      <c r="AM93" s="10"/>
      <c r="AN93" s="10"/>
      <c r="AO93" s="10"/>
      <c r="AP93" s="10" t="s">
        <v>46</v>
      </c>
      <c r="AQ93" s="10"/>
      <c r="AR93" s="10"/>
      <c r="AS93" s="10"/>
    </row>
    <row r="94" customFormat="false" ht="21.75" hidden="false" customHeight="true" outlineLevel="0" collapsed="false">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row>
    <row r="96" customFormat="false" ht="18.75" hidden="false" customHeight="true" outlineLevel="0" collapsed="false">
      <c r="A96" s="14" t="s">
        <v>326</v>
      </c>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row>
    <row r="97" customFormat="false" ht="15" hidden="false" customHeight="true" outlineLevel="0" collapsed="false">
      <c r="A97" s="8" t="s">
        <v>124</v>
      </c>
      <c r="B97" s="15"/>
      <c r="C97" s="15"/>
      <c r="D97" s="15"/>
      <c r="E97" s="15"/>
      <c r="G97" s="15"/>
      <c r="H97" s="15"/>
      <c r="I97" s="15"/>
      <c r="J97" s="15"/>
      <c r="L97" s="15"/>
      <c r="M97" s="15"/>
      <c r="N97" s="15"/>
      <c r="O97" s="15"/>
      <c r="Q97" s="5" t="s">
        <v>237</v>
      </c>
    </row>
    <row r="98" customFormat="false" ht="12" hidden="false" customHeight="true" outlineLevel="0" collapsed="false">
      <c r="A98" s="5" t="s">
        <v>64</v>
      </c>
      <c r="F98" s="10" t="s">
        <v>0</v>
      </c>
      <c r="G98" s="10"/>
      <c r="H98" s="10"/>
      <c r="I98" s="10"/>
      <c r="J98" s="10" t="s">
        <v>1</v>
      </c>
      <c r="K98" s="10"/>
      <c r="L98" s="10"/>
      <c r="M98" s="10"/>
      <c r="N98" s="10" t="s">
        <v>2</v>
      </c>
      <c r="O98" s="10"/>
      <c r="P98" s="10"/>
      <c r="Q98" s="10"/>
      <c r="R98" s="10" t="s">
        <v>3</v>
      </c>
      <c r="S98" s="10"/>
      <c r="T98" s="10"/>
      <c r="U98" s="10"/>
      <c r="V98" s="10" t="s">
        <v>4</v>
      </c>
      <c r="W98" s="10"/>
      <c r="X98" s="10"/>
      <c r="Y98" s="10"/>
      <c r="Z98" s="10" t="s">
        <v>5</v>
      </c>
      <c r="AA98" s="10"/>
      <c r="AB98" s="10"/>
      <c r="AC98" s="10"/>
      <c r="AD98" s="10" t="s">
        <v>6</v>
      </c>
      <c r="AE98" s="10"/>
      <c r="AF98" s="10"/>
      <c r="AG98" s="10"/>
      <c r="AH98" s="10" t="s">
        <v>7</v>
      </c>
      <c r="AI98" s="10"/>
      <c r="AJ98" s="10"/>
      <c r="AK98" s="10"/>
      <c r="AL98" s="10" t="s">
        <v>8</v>
      </c>
      <c r="AM98" s="10"/>
      <c r="AN98" s="10"/>
      <c r="AO98" s="10"/>
      <c r="AP98" s="10" t="s">
        <v>9</v>
      </c>
      <c r="AQ98" s="10"/>
      <c r="AR98" s="10"/>
      <c r="AS98" s="10"/>
      <c r="AT98" s="10" t="s">
        <v>10</v>
      </c>
      <c r="AU98" s="10"/>
      <c r="AV98" s="10"/>
      <c r="AW98" s="10"/>
      <c r="AX98" s="10" t="s">
        <v>11</v>
      </c>
      <c r="AY98" s="10"/>
      <c r="AZ98" s="10"/>
      <c r="BA98" s="10"/>
    </row>
    <row r="99" customFormat="false" ht="21.75" hidden="false" customHeight="true" outlineLevel="0" collapsed="false">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row>
    <row r="100" customFormat="false" ht="12" hidden="false" customHeight="true" outlineLevel="0" collapsed="false">
      <c r="A100" s="5" t="s">
        <v>65</v>
      </c>
      <c r="H100" s="10" t="s">
        <v>66</v>
      </c>
      <c r="I100" s="10"/>
      <c r="J100" s="10"/>
      <c r="K100" s="10"/>
      <c r="L100" s="10" t="s">
        <v>67</v>
      </c>
      <c r="M100" s="10"/>
      <c r="N100" s="10"/>
      <c r="O100" s="10"/>
      <c r="P100" s="10" t="s">
        <v>68</v>
      </c>
      <c r="Q100" s="10"/>
      <c r="R100" s="10"/>
      <c r="S100" s="10"/>
      <c r="T100" s="10" t="s">
        <v>69</v>
      </c>
      <c r="U100" s="10"/>
      <c r="V100" s="10"/>
      <c r="W100" s="10"/>
      <c r="X100" s="10" t="s">
        <v>70</v>
      </c>
      <c r="Y100" s="10"/>
      <c r="Z100" s="10"/>
      <c r="AA100" s="10"/>
      <c r="AB100" s="10" t="s">
        <v>71</v>
      </c>
      <c r="AC100" s="10"/>
      <c r="AD100" s="10"/>
      <c r="AE100" s="10"/>
      <c r="AF100" s="10" t="s">
        <v>72</v>
      </c>
      <c r="AG100" s="10"/>
      <c r="AH100" s="10"/>
      <c r="AI100" s="10"/>
      <c r="AJ100" s="10" t="s">
        <v>73</v>
      </c>
      <c r="AK100" s="10"/>
      <c r="AL100" s="10"/>
      <c r="AM100" s="10"/>
      <c r="AN100" s="10" t="s">
        <v>74</v>
      </c>
      <c r="AO100" s="10"/>
      <c r="AP100" s="10"/>
      <c r="AQ100" s="10"/>
      <c r="AR100" s="10" t="s">
        <v>75</v>
      </c>
      <c r="AS100" s="10"/>
      <c r="AT100" s="10"/>
      <c r="AU100" s="10"/>
      <c r="AV100" s="10" t="s">
        <v>22</v>
      </c>
      <c r="AW100" s="10"/>
      <c r="AX100" s="10"/>
      <c r="AY100" s="10"/>
      <c r="AZ100" s="10" t="s">
        <v>23</v>
      </c>
      <c r="BA100" s="10"/>
      <c r="BB100" s="10"/>
      <c r="BC100" s="10"/>
    </row>
    <row r="101" customFormat="false" ht="21.75" hidden="false" customHeight="true" outlineLevel="0" collapsed="false">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row>
    <row r="102" customFormat="false" ht="12" hidden="false" customHeight="true" outlineLevel="0" collapsed="false">
      <c r="A102" s="5" t="s">
        <v>82</v>
      </c>
      <c r="I102" s="10" t="s">
        <v>83</v>
      </c>
      <c r="J102" s="10"/>
      <c r="K102" s="10"/>
      <c r="L102" s="10"/>
      <c r="M102" s="10" t="s">
        <v>84</v>
      </c>
      <c r="N102" s="10"/>
      <c r="O102" s="10"/>
      <c r="P102" s="10"/>
      <c r="Q102" s="10" t="s">
        <v>85</v>
      </c>
      <c r="R102" s="10"/>
      <c r="S102" s="10"/>
      <c r="T102" s="10"/>
      <c r="U102" s="10" t="s">
        <v>86</v>
      </c>
      <c r="V102" s="10"/>
      <c r="W102" s="10"/>
      <c r="X102" s="10"/>
      <c r="Y102" s="10" t="s">
        <v>87</v>
      </c>
      <c r="Z102" s="10"/>
      <c r="AA102" s="10"/>
      <c r="AB102" s="10"/>
      <c r="AC102" s="10" t="s">
        <v>88</v>
      </c>
      <c r="AD102" s="10"/>
      <c r="AE102" s="10"/>
      <c r="AF102" s="10"/>
      <c r="AG102" s="10" t="s">
        <v>89</v>
      </c>
      <c r="AH102" s="10"/>
      <c r="AI102" s="10"/>
      <c r="AJ102" s="10"/>
      <c r="AK102" s="10" t="s">
        <v>90</v>
      </c>
      <c r="AL102" s="10"/>
      <c r="AM102" s="10"/>
      <c r="AN102" s="10"/>
      <c r="AO102" s="10" t="s">
        <v>91</v>
      </c>
      <c r="AP102" s="10"/>
      <c r="AQ102" s="10"/>
      <c r="AR102" s="10"/>
      <c r="AS102" s="10" t="s">
        <v>33</v>
      </c>
      <c r="AT102" s="10"/>
      <c r="AU102" s="10"/>
      <c r="AV102" s="10"/>
      <c r="AW102" s="10" t="s">
        <v>34</v>
      </c>
      <c r="AX102" s="10"/>
      <c r="AY102" s="10"/>
      <c r="AZ102" s="10"/>
    </row>
    <row r="103" customFormat="false" ht="21.75" hidden="false" customHeight="true" outlineLevel="0" collapsed="false">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row>
    <row r="104" customFormat="false" ht="12" hidden="false" customHeight="true" outlineLevel="0" collapsed="false">
      <c r="A104" s="5" t="s">
        <v>102</v>
      </c>
      <c r="K104" s="10" t="s">
        <v>103</v>
      </c>
      <c r="L104" s="10"/>
      <c r="M104" s="10"/>
      <c r="N104" s="10"/>
      <c r="O104" s="10" t="s">
        <v>104</v>
      </c>
      <c r="P104" s="10"/>
      <c r="Q104" s="10"/>
      <c r="R104" s="10"/>
      <c r="S104" s="10" t="s">
        <v>105</v>
      </c>
      <c r="T104" s="10"/>
      <c r="U104" s="10"/>
      <c r="V104" s="10"/>
      <c r="W104" s="10" t="s">
        <v>106</v>
      </c>
      <c r="X104" s="10"/>
      <c r="Y104" s="10"/>
      <c r="Z104" s="10"/>
      <c r="AA104" s="10" t="s">
        <v>107</v>
      </c>
      <c r="AB104" s="10"/>
      <c r="AC104" s="10"/>
      <c r="AD104" s="10"/>
      <c r="AE104" s="10" t="s">
        <v>108</v>
      </c>
      <c r="AF104" s="10"/>
      <c r="AG104" s="10"/>
      <c r="AH104" s="10"/>
      <c r="AI104" s="10" t="s">
        <v>109</v>
      </c>
      <c r="AJ104" s="10"/>
      <c r="AK104" s="10"/>
      <c r="AL104" s="10"/>
      <c r="AM104" s="10" t="s">
        <v>42</v>
      </c>
      <c r="AN104" s="10"/>
      <c r="AO104" s="10"/>
      <c r="AP104" s="10"/>
      <c r="AQ104" s="10" t="s">
        <v>43</v>
      </c>
      <c r="AR104" s="10"/>
      <c r="AS104" s="10"/>
      <c r="AT104" s="10"/>
      <c r="AU104" s="10" t="s">
        <v>44</v>
      </c>
      <c r="AV104" s="10"/>
      <c r="AW104" s="10"/>
      <c r="AX104" s="10"/>
    </row>
    <row r="105" customFormat="false" ht="21.75" hidden="false" customHeight="true" outlineLevel="0" collapsed="false">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customFormat="false" ht="12" hidden="false" customHeight="true" outlineLevel="0" collapsed="false">
      <c r="A106" s="5" t="s">
        <v>120</v>
      </c>
      <c r="P106" s="10" t="s">
        <v>48</v>
      </c>
      <c r="Q106" s="10"/>
      <c r="R106" s="10"/>
      <c r="S106" s="10"/>
      <c r="T106" s="10" t="s">
        <v>50</v>
      </c>
      <c r="U106" s="10"/>
      <c r="V106" s="10"/>
      <c r="W106" s="10"/>
      <c r="X106" s="10"/>
      <c r="Y106" s="10"/>
      <c r="Z106" s="10"/>
      <c r="AA106" s="10"/>
      <c r="AB106" s="10"/>
      <c r="AC106" s="10"/>
      <c r="AD106" s="10"/>
      <c r="AE106" s="10"/>
      <c r="AF106" s="10"/>
      <c r="AG106" s="10"/>
      <c r="AH106" s="10"/>
      <c r="AI106" s="10"/>
      <c r="AJ106" s="10"/>
      <c r="AK106" s="10"/>
      <c r="AL106" s="10" t="s">
        <v>45</v>
      </c>
      <c r="AM106" s="10"/>
      <c r="AN106" s="10"/>
      <c r="AO106" s="10"/>
      <c r="AP106" s="10" t="s">
        <v>46</v>
      </c>
      <c r="AQ106" s="10"/>
      <c r="AR106" s="10"/>
      <c r="AS106" s="10"/>
    </row>
    <row r="107" customFormat="false" ht="21.75" hidden="false" customHeight="true" outlineLevel="0" collapsed="false">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row>
    <row r="109" customFormat="false" ht="18.75" hidden="false" customHeight="true" outlineLevel="0" collapsed="false">
      <c r="A109" s="14" t="s">
        <v>327</v>
      </c>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row>
    <row r="110" customFormat="false" ht="15" hidden="false" customHeight="true" outlineLevel="0" collapsed="false">
      <c r="A110" s="8" t="s">
        <v>124</v>
      </c>
      <c r="B110" s="15"/>
      <c r="C110" s="15"/>
      <c r="D110" s="15"/>
      <c r="E110" s="15"/>
      <c r="G110" s="15"/>
      <c r="H110" s="15"/>
      <c r="I110" s="15"/>
      <c r="J110" s="15"/>
      <c r="L110" s="15"/>
      <c r="M110" s="15"/>
      <c r="N110" s="15"/>
      <c r="O110" s="15"/>
      <c r="Q110" s="5" t="s">
        <v>237</v>
      </c>
    </row>
    <row r="111" customFormat="false" ht="12" hidden="false" customHeight="true" outlineLevel="0" collapsed="false">
      <c r="A111" s="5" t="s">
        <v>64</v>
      </c>
      <c r="F111" s="10" t="s">
        <v>0</v>
      </c>
      <c r="G111" s="10"/>
      <c r="H111" s="10"/>
      <c r="I111" s="10"/>
      <c r="J111" s="10" t="s">
        <v>1</v>
      </c>
      <c r="K111" s="10"/>
      <c r="L111" s="10"/>
      <c r="M111" s="10"/>
      <c r="N111" s="10" t="s">
        <v>2</v>
      </c>
      <c r="O111" s="10"/>
      <c r="P111" s="10"/>
      <c r="Q111" s="10"/>
      <c r="R111" s="10" t="s">
        <v>3</v>
      </c>
      <c r="S111" s="10"/>
      <c r="T111" s="10"/>
      <c r="U111" s="10"/>
      <c r="V111" s="10" t="s">
        <v>4</v>
      </c>
      <c r="W111" s="10"/>
      <c r="X111" s="10"/>
      <c r="Y111" s="10"/>
      <c r="Z111" s="10" t="s">
        <v>5</v>
      </c>
      <c r="AA111" s="10"/>
      <c r="AB111" s="10"/>
      <c r="AC111" s="10"/>
      <c r="AD111" s="10" t="s">
        <v>6</v>
      </c>
      <c r="AE111" s="10"/>
      <c r="AF111" s="10"/>
      <c r="AG111" s="10"/>
      <c r="AH111" s="10" t="s">
        <v>7</v>
      </c>
      <c r="AI111" s="10"/>
      <c r="AJ111" s="10"/>
      <c r="AK111" s="10"/>
      <c r="AL111" s="10" t="s">
        <v>8</v>
      </c>
      <c r="AM111" s="10"/>
      <c r="AN111" s="10"/>
      <c r="AO111" s="10"/>
      <c r="AP111" s="10" t="s">
        <v>9</v>
      </c>
      <c r="AQ111" s="10"/>
      <c r="AR111" s="10"/>
      <c r="AS111" s="10"/>
      <c r="AT111" s="10" t="s">
        <v>10</v>
      </c>
      <c r="AU111" s="10"/>
      <c r="AV111" s="10"/>
      <c r="AW111" s="10"/>
      <c r="AX111" s="10" t="s">
        <v>11</v>
      </c>
      <c r="AY111" s="10"/>
      <c r="AZ111" s="10"/>
      <c r="BA111" s="10"/>
    </row>
    <row r="112" customFormat="false" ht="21.75" hidden="false" customHeight="true" outlineLevel="0" collapsed="false">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row>
    <row r="113" customFormat="false" ht="12" hidden="false" customHeight="true" outlineLevel="0" collapsed="false">
      <c r="A113" s="5" t="s">
        <v>65</v>
      </c>
      <c r="H113" s="10" t="s">
        <v>66</v>
      </c>
      <c r="I113" s="10"/>
      <c r="J113" s="10"/>
      <c r="K113" s="10"/>
      <c r="L113" s="10" t="s">
        <v>67</v>
      </c>
      <c r="M113" s="10"/>
      <c r="N113" s="10"/>
      <c r="O113" s="10"/>
      <c r="P113" s="10" t="s">
        <v>68</v>
      </c>
      <c r="Q113" s="10"/>
      <c r="R113" s="10"/>
      <c r="S113" s="10"/>
      <c r="T113" s="10" t="s">
        <v>69</v>
      </c>
      <c r="U113" s="10"/>
      <c r="V113" s="10"/>
      <c r="W113" s="10"/>
      <c r="X113" s="10" t="s">
        <v>70</v>
      </c>
      <c r="Y113" s="10"/>
      <c r="Z113" s="10"/>
      <c r="AA113" s="10"/>
      <c r="AB113" s="10" t="s">
        <v>71</v>
      </c>
      <c r="AC113" s="10"/>
      <c r="AD113" s="10"/>
      <c r="AE113" s="10"/>
      <c r="AF113" s="10" t="s">
        <v>72</v>
      </c>
      <c r="AG113" s="10"/>
      <c r="AH113" s="10"/>
      <c r="AI113" s="10"/>
      <c r="AJ113" s="10" t="s">
        <v>73</v>
      </c>
      <c r="AK113" s="10"/>
      <c r="AL113" s="10"/>
      <c r="AM113" s="10"/>
      <c r="AN113" s="10" t="s">
        <v>74</v>
      </c>
      <c r="AO113" s="10"/>
      <c r="AP113" s="10"/>
      <c r="AQ113" s="10"/>
      <c r="AR113" s="10" t="s">
        <v>75</v>
      </c>
      <c r="AS113" s="10"/>
      <c r="AT113" s="10"/>
      <c r="AU113" s="10"/>
      <c r="AV113" s="10" t="s">
        <v>22</v>
      </c>
      <c r="AW113" s="10"/>
      <c r="AX113" s="10"/>
      <c r="AY113" s="10"/>
      <c r="AZ113" s="10" t="s">
        <v>23</v>
      </c>
      <c r="BA113" s="10"/>
      <c r="BB113" s="10"/>
      <c r="BC113" s="10"/>
    </row>
    <row r="114" customFormat="false" ht="21.75" hidden="false" customHeight="true" outlineLevel="0" collapsed="false">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row>
    <row r="115" customFormat="false" ht="12" hidden="false" customHeight="true" outlineLevel="0" collapsed="false">
      <c r="A115" s="5" t="s">
        <v>82</v>
      </c>
      <c r="I115" s="10" t="s">
        <v>83</v>
      </c>
      <c r="J115" s="10"/>
      <c r="K115" s="10"/>
      <c r="L115" s="10"/>
      <c r="M115" s="10" t="s">
        <v>84</v>
      </c>
      <c r="N115" s="10"/>
      <c r="O115" s="10"/>
      <c r="P115" s="10"/>
      <c r="Q115" s="10" t="s">
        <v>85</v>
      </c>
      <c r="R115" s="10"/>
      <c r="S115" s="10"/>
      <c r="T115" s="10"/>
      <c r="U115" s="10" t="s">
        <v>86</v>
      </c>
      <c r="V115" s="10"/>
      <c r="W115" s="10"/>
      <c r="X115" s="10"/>
      <c r="Y115" s="10" t="s">
        <v>87</v>
      </c>
      <c r="Z115" s="10"/>
      <c r="AA115" s="10"/>
      <c r="AB115" s="10"/>
      <c r="AC115" s="10" t="s">
        <v>88</v>
      </c>
      <c r="AD115" s="10"/>
      <c r="AE115" s="10"/>
      <c r="AF115" s="10"/>
      <c r="AG115" s="10" t="s">
        <v>89</v>
      </c>
      <c r="AH115" s="10"/>
      <c r="AI115" s="10"/>
      <c r="AJ115" s="10"/>
      <c r="AK115" s="10" t="s">
        <v>90</v>
      </c>
      <c r="AL115" s="10"/>
      <c r="AM115" s="10"/>
      <c r="AN115" s="10"/>
      <c r="AO115" s="10" t="s">
        <v>91</v>
      </c>
      <c r="AP115" s="10"/>
      <c r="AQ115" s="10"/>
      <c r="AR115" s="10"/>
      <c r="AS115" s="10" t="s">
        <v>33</v>
      </c>
      <c r="AT115" s="10"/>
      <c r="AU115" s="10"/>
      <c r="AV115" s="10"/>
      <c r="AW115" s="10" t="s">
        <v>34</v>
      </c>
      <c r="AX115" s="10"/>
      <c r="AY115" s="10"/>
      <c r="AZ115" s="10"/>
    </row>
    <row r="116" customFormat="false" ht="21.75" hidden="false" customHeight="true" outlineLevel="0" collapsed="false">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row>
    <row r="117" customFormat="false" ht="12" hidden="false" customHeight="true" outlineLevel="0" collapsed="false">
      <c r="A117" s="5" t="s">
        <v>102</v>
      </c>
      <c r="K117" s="10" t="s">
        <v>103</v>
      </c>
      <c r="L117" s="10"/>
      <c r="M117" s="10"/>
      <c r="N117" s="10"/>
      <c r="O117" s="10" t="s">
        <v>104</v>
      </c>
      <c r="P117" s="10"/>
      <c r="Q117" s="10"/>
      <c r="R117" s="10"/>
      <c r="S117" s="10" t="s">
        <v>105</v>
      </c>
      <c r="T117" s="10"/>
      <c r="U117" s="10"/>
      <c r="V117" s="10"/>
      <c r="W117" s="10" t="s">
        <v>106</v>
      </c>
      <c r="X117" s="10"/>
      <c r="Y117" s="10"/>
      <c r="Z117" s="10"/>
      <c r="AA117" s="10" t="s">
        <v>107</v>
      </c>
      <c r="AB117" s="10"/>
      <c r="AC117" s="10"/>
      <c r="AD117" s="10"/>
      <c r="AE117" s="10" t="s">
        <v>108</v>
      </c>
      <c r="AF117" s="10"/>
      <c r="AG117" s="10"/>
      <c r="AH117" s="10"/>
      <c r="AI117" s="10" t="s">
        <v>109</v>
      </c>
      <c r="AJ117" s="10"/>
      <c r="AK117" s="10"/>
      <c r="AL117" s="10"/>
      <c r="AM117" s="10" t="s">
        <v>42</v>
      </c>
      <c r="AN117" s="10"/>
      <c r="AO117" s="10"/>
      <c r="AP117" s="10"/>
      <c r="AQ117" s="10" t="s">
        <v>43</v>
      </c>
      <c r="AR117" s="10"/>
      <c r="AS117" s="10"/>
      <c r="AT117" s="10"/>
      <c r="AU117" s="10" t="s">
        <v>44</v>
      </c>
      <c r="AV117" s="10"/>
      <c r="AW117" s="10"/>
      <c r="AX117" s="10"/>
    </row>
    <row r="118" customFormat="false" ht="21.75" hidden="false" customHeight="true" outlineLevel="0" collapsed="false">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customFormat="false" ht="12" hidden="false" customHeight="true" outlineLevel="0" collapsed="false">
      <c r="A119" s="5" t="s">
        <v>120</v>
      </c>
      <c r="P119" s="10" t="s">
        <v>48</v>
      </c>
      <c r="Q119" s="10"/>
      <c r="R119" s="10"/>
      <c r="S119" s="10"/>
      <c r="T119" s="10" t="s">
        <v>50</v>
      </c>
      <c r="U119" s="10"/>
      <c r="V119" s="10"/>
      <c r="W119" s="10"/>
      <c r="X119" s="10"/>
      <c r="Y119" s="10"/>
      <c r="Z119" s="10"/>
      <c r="AA119" s="10"/>
      <c r="AB119" s="10"/>
      <c r="AC119" s="10"/>
      <c r="AD119" s="10"/>
      <c r="AE119" s="10"/>
      <c r="AF119" s="10"/>
      <c r="AG119" s="10"/>
      <c r="AH119" s="10"/>
      <c r="AI119" s="10"/>
      <c r="AJ119" s="10"/>
      <c r="AK119" s="10"/>
      <c r="AL119" s="10" t="s">
        <v>45</v>
      </c>
      <c r="AM119" s="10"/>
      <c r="AN119" s="10"/>
      <c r="AO119" s="10"/>
      <c r="AP119" s="10" t="s">
        <v>46</v>
      </c>
      <c r="AQ119" s="10"/>
      <c r="AR119" s="10"/>
      <c r="AS119" s="10"/>
    </row>
    <row r="120" customFormat="false" ht="21.75" hidden="false" customHeight="true" outlineLevel="0" collapsed="false">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row>
    <row r="122" customFormat="false" ht="18.75" hidden="false" customHeight="true" outlineLevel="0" collapsed="false">
      <c r="A122" s="14" t="s">
        <v>328</v>
      </c>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row>
    <row r="123" customFormat="false" ht="15" hidden="false" customHeight="true" outlineLevel="0" collapsed="false">
      <c r="A123" s="8" t="s">
        <v>124</v>
      </c>
      <c r="B123" s="15"/>
      <c r="C123" s="15"/>
      <c r="D123" s="15"/>
      <c r="E123" s="15"/>
      <c r="G123" s="15"/>
      <c r="H123" s="15"/>
      <c r="I123" s="15"/>
      <c r="J123" s="15"/>
      <c r="L123" s="15"/>
      <c r="M123" s="15"/>
      <c r="N123" s="15"/>
      <c r="O123" s="15"/>
      <c r="Q123" s="5" t="s">
        <v>237</v>
      </c>
    </row>
    <row r="124" customFormat="false" ht="12" hidden="false" customHeight="true" outlineLevel="0" collapsed="false">
      <c r="A124" s="5" t="s">
        <v>64</v>
      </c>
      <c r="F124" s="10" t="s">
        <v>0</v>
      </c>
      <c r="G124" s="10"/>
      <c r="H124" s="10"/>
      <c r="I124" s="10"/>
      <c r="J124" s="10" t="s">
        <v>1</v>
      </c>
      <c r="K124" s="10"/>
      <c r="L124" s="10"/>
      <c r="M124" s="10"/>
      <c r="N124" s="10" t="s">
        <v>2</v>
      </c>
      <c r="O124" s="10"/>
      <c r="P124" s="10"/>
      <c r="Q124" s="10"/>
      <c r="R124" s="10" t="s">
        <v>3</v>
      </c>
      <c r="S124" s="10"/>
      <c r="T124" s="10"/>
      <c r="U124" s="10"/>
      <c r="V124" s="10" t="s">
        <v>4</v>
      </c>
      <c r="W124" s="10"/>
      <c r="X124" s="10"/>
      <c r="Y124" s="10"/>
      <c r="Z124" s="10" t="s">
        <v>5</v>
      </c>
      <c r="AA124" s="10"/>
      <c r="AB124" s="10"/>
      <c r="AC124" s="10"/>
      <c r="AD124" s="10" t="s">
        <v>6</v>
      </c>
      <c r="AE124" s="10"/>
      <c r="AF124" s="10"/>
      <c r="AG124" s="10"/>
      <c r="AH124" s="10" t="s">
        <v>7</v>
      </c>
      <c r="AI124" s="10"/>
      <c r="AJ124" s="10"/>
      <c r="AK124" s="10"/>
      <c r="AL124" s="10" t="s">
        <v>8</v>
      </c>
      <c r="AM124" s="10"/>
      <c r="AN124" s="10"/>
      <c r="AO124" s="10"/>
      <c r="AP124" s="10" t="s">
        <v>9</v>
      </c>
      <c r="AQ124" s="10"/>
      <c r="AR124" s="10"/>
      <c r="AS124" s="10"/>
      <c r="AT124" s="10" t="s">
        <v>10</v>
      </c>
      <c r="AU124" s="10"/>
      <c r="AV124" s="10"/>
      <c r="AW124" s="10"/>
      <c r="AX124" s="10" t="s">
        <v>11</v>
      </c>
      <c r="AY124" s="10"/>
      <c r="AZ124" s="10"/>
      <c r="BA124" s="10"/>
    </row>
    <row r="125" customFormat="false" ht="21.75" hidden="false" customHeight="true" outlineLevel="0" collapsed="false">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row>
    <row r="126" customFormat="false" ht="12" hidden="false" customHeight="true" outlineLevel="0" collapsed="false">
      <c r="A126" s="5" t="s">
        <v>65</v>
      </c>
      <c r="H126" s="10" t="s">
        <v>66</v>
      </c>
      <c r="I126" s="10"/>
      <c r="J126" s="10"/>
      <c r="K126" s="10"/>
      <c r="L126" s="10" t="s">
        <v>67</v>
      </c>
      <c r="M126" s="10"/>
      <c r="N126" s="10"/>
      <c r="O126" s="10"/>
      <c r="P126" s="10" t="s">
        <v>68</v>
      </c>
      <c r="Q126" s="10"/>
      <c r="R126" s="10"/>
      <c r="S126" s="10"/>
      <c r="T126" s="10" t="s">
        <v>69</v>
      </c>
      <c r="U126" s="10"/>
      <c r="V126" s="10"/>
      <c r="W126" s="10"/>
      <c r="X126" s="10" t="s">
        <v>70</v>
      </c>
      <c r="Y126" s="10"/>
      <c r="Z126" s="10"/>
      <c r="AA126" s="10"/>
      <c r="AB126" s="10" t="s">
        <v>71</v>
      </c>
      <c r="AC126" s="10"/>
      <c r="AD126" s="10"/>
      <c r="AE126" s="10"/>
      <c r="AF126" s="10" t="s">
        <v>72</v>
      </c>
      <c r="AG126" s="10"/>
      <c r="AH126" s="10"/>
      <c r="AI126" s="10"/>
      <c r="AJ126" s="10" t="s">
        <v>73</v>
      </c>
      <c r="AK126" s="10"/>
      <c r="AL126" s="10"/>
      <c r="AM126" s="10"/>
      <c r="AN126" s="10" t="s">
        <v>74</v>
      </c>
      <c r="AO126" s="10"/>
      <c r="AP126" s="10"/>
      <c r="AQ126" s="10"/>
      <c r="AR126" s="10" t="s">
        <v>75</v>
      </c>
      <c r="AS126" s="10"/>
      <c r="AT126" s="10"/>
      <c r="AU126" s="10"/>
      <c r="AV126" s="10" t="s">
        <v>22</v>
      </c>
      <c r="AW126" s="10"/>
      <c r="AX126" s="10"/>
      <c r="AY126" s="10"/>
      <c r="AZ126" s="10" t="s">
        <v>23</v>
      </c>
      <c r="BA126" s="10"/>
      <c r="BB126" s="10"/>
      <c r="BC126" s="10"/>
    </row>
    <row r="127" customFormat="false" ht="21.75" hidden="false" customHeight="true" outlineLevel="0" collapsed="false">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row>
    <row r="128" customFormat="false" ht="12" hidden="false" customHeight="true" outlineLevel="0" collapsed="false">
      <c r="A128" s="5" t="s">
        <v>82</v>
      </c>
      <c r="I128" s="10" t="s">
        <v>83</v>
      </c>
      <c r="J128" s="10"/>
      <c r="K128" s="10"/>
      <c r="L128" s="10"/>
      <c r="M128" s="10" t="s">
        <v>84</v>
      </c>
      <c r="N128" s="10"/>
      <c r="O128" s="10"/>
      <c r="P128" s="10"/>
      <c r="Q128" s="10" t="s">
        <v>85</v>
      </c>
      <c r="R128" s="10"/>
      <c r="S128" s="10"/>
      <c r="T128" s="10"/>
      <c r="U128" s="10" t="s">
        <v>86</v>
      </c>
      <c r="V128" s="10"/>
      <c r="W128" s="10"/>
      <c r="X128" s="10"/>
      <c r="Y128" s="10" t="s">
        <v>87</v>
      </c>
      <c r="Z128" s="10"/>
      <c r="AA128" s="10"/>
      <c r="AB128" s="10"/>
      <c r="AC128" s="10" t="s">
        <v>88</v>
      </c>
      <c r="AD128" s="10"/>
      <c r="AE128" s="10"/>
      <c r="AF128" s="10"/>
      <c r="AG128" s="10" t="s">
        <v>89</v>
      </c>
      <c r="AH128" s="10"/>
      <c r="AI128" s="10"/>
      <c r="AJ128" s="10"/>
      <c r="AK128" s="10" t="s">
        <v>90</v>
      </c>
      <c r="AL128" s="10"/>
      <c r="AM128" s="10"/>
      <c r="AN128" s="10"/>
      <c r="AO128" s="10" t="s">
        <v>91</v>
      </c>
      <c r="AP128" s="10"/>
      <c r="AQ128" s="10"/>
      <c r="AR128" s="10"/>
      <c r="AS128" s="10" t="s">
        <v>33</v>
      </c>
      <c r="AT128" s="10"/>
      <c r="AU128" s="10"/>
      <c r="AV128" s="10"/>
      <c r="AW128" s="10" t="s">
        <v>34</v>
      </c>
      <c r="AX128" s="10"/>
      <c r="AY128" s="10"/>
      <c r="AZ128" s="10"/>
    </row>
    <row r="129" customFormat="false" ht="21.75" hidden="false" customHeight="true" outlineLevel="0" collapsed="false">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row>
    <row r="130" customFormat="false" ht="12" hidden="false" customHeight="true" outlineLevel="0" collapsed="false">
      <c r="A130" s="5" t="s">
        <v>102</v>
      </c>
      <c r="K130" s="10" t="s">
        <v>103</v>
      </c>
      <c r="L130" s="10"/>
      <c r="M130" s="10"/>
      <c r="N130" s="10"/>
      <c r="O130" s="10" t="s">
        <v>104</v>
      </c>
      <c r="P130" s="10"/>
      <c r="Q130" s="10"/>
      <c r="R130" s="10"/>
      <c r="S130" s="10" t="s">
        <v>105</v>
      </c>
      <c r="T130" s="10"/>
      <c r="U130" s="10"/>
      <c r="V130" s="10"/>
      <c r="W130" s="10" t="s">
        <v>106</v>
      </c>
      <c r="X130" s="10"/>
      <c r="Y130" s="10"/>
      <c r="Z130" s="10"/>
      <c r="AA130" s="10" t="s">
        <v>107</v>
      </c>
      <c r="AB130" s="10"/>
      <c r="AC130" s="10"/>
      <c r="AD130" s="10"/>
      <c r="AE130" s="10" t="s">
        <v>108</v>
      </c>
      <c r="AF130" s="10"/>
      <c r="AG130" s="10"/>
      <c r="AH130" s="10"/>
      <c r="AI130" s="10" t="s">
        <v>109</v>
      </c>
      <c r="AJ130" s="10"/>
      <c r="AK130" s="10"/>
      <c r="AL130" s="10"/>
      <c r="AM130" s="10" t="s">
        <v>42</v>
      </c>
      <c r="AN130" s="10"/>
      <c r="AO130" s="10"/>
      <c r="AP130" s="10"/>
      <c r="AQ130" s="10" t="s">
        <v>43</v>
      </c>
      <c r="AR130" s="10"/>
      <c r="AS130" s="10"/>
      <c r="AT130" s="10"/>
      <c r="AU130" s="10" t="s">
        <v>44</v>
      </c>
      <c r="AV130" s="10"/>
      <c r="AW130" s="10"/>
      <c r="AX130" s="10"/>
    </row>
    <row r="131" customFormat="false" ht="21.75" hidden="false" customHeight="true" outlineLevel="0" collapsed="false">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customFormat="false" ht="12" hidden="false" customHeight="true" outlineLevel="0" collapsed="false">
      <c r="A132" s="5" t="s">
        <v>120</v>
      </c>
      <c r="P132" s="10" t="s">
        <v>48</v>
      </c>
      <c r="Q132" s="10"/>
      <c r="R132" s="10"/>
      <c r="S132" s="10"/>
      <c r="T132" s="10" t="s">
        <v>50</v>
      </c>
      <c r="U132" s="10"/>
      <c r="V132" s="10"/>
      <c r="W132" s="10"/>
      <c r="X132" s="10"/>
      <c r="Y132" s="10"/>
      <c r="Z132" s="10"/>
      <c r="AA132" s="10"/>
      <c r="AB132" s="10"/>
      <c r="AC132" s="10"/>
      <c r="AD132" s="10"/>
      <c r="AE132" s="10"/>
      <c r="AF132" s="10"/>
      <c r="AG132" s="10"/>
      <c r="AH132" s="10"/>
      <c r="AI132" s="10"/>
      <c r="AJ132" s="10"/>
      <c r="AK132" s="10"/>
      <c r="AL132" s="10" t="s">
        <v>45</v>
      </c>
      <c r="AM132" s="10"/>
      <c r="AN132" s="10"/>
      <c r="AO132" s="10"/>
      <c r="AP132" s="10" t="s">
        <v>46</v>
      </c>
      <c r="AQ132" s="10"/>
      <c r="AR132" s="10"/>
      <c r="AS132" s="10"/>
    </row>
    <row r="133" customFormat="false" ht="21.75" hidden="false" customHeight="true" outlineLevel="0" collapsed="false">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row>
    <row r="135" customFormat="false" ht="18.75" hidden="false" customHeight="true" outlineLevel="0" collapsed="false">
      <c r="A135" s="14" t="s">
        <v>329</v>
      </c>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row>
    <row r="136" customFormat="false" ht="15" hidden="false" customHeight="true" outlineLevel="0" collapsed="false">
      <c r="A136" s="8" t="s">
        <v>124</v>
      </c>
      <c r="B136" s="15"/>
      <c r="C136" s="15"/>
      <c r="D136" s="15"/>
      <c r="E136" s="15"/>
      <c r="G136" s="15"/>
      <c r="H136" s="15"/>
      <c r="I136" s="15"/>
      <c r="J136" s="15"/>
      <c r="L136" s="15"/>
      <c r="M136" s="15"/>
      <c r="N136" s="15"/>
      <c r="O136" s="15"/>
      <c r="Q136" s="5" t="s">
        <v>237</v>
      </c>
    </row>
    <row r="137" customFormat="false" ht="12" hidden="false" customHeight="true" outlineLevel="0" collapsed="false">
      <c r="A137" s="5" t="s">
        <v>64</v>
      </c>
      <c r="F137" s="10" t="s">
        <v>0</v>
      </c>
      <c r="G137" s="10"/>
      <c r="H137" s="10"/>
      <c r="I137" s="10"/>
      <c r="J137" s="10" t="s">
        <v>1</v>
      </c>
      <c r="K137" s="10"/>
      <c r="L137" s="10"/>
      <c r="M137" s="10"/>
      <c r="N137" s="10" t="s">
        <v>2</v>
      </c>
      <c r="O137" s="10"/>
      <c r="P137" s="10"/>
      <c r="Q137" s="10"/>
      <c r="R137" s="10" t="s">
        <v>3</v>
      </c>
      <c r="S137" s="10"/>
      <c r="T137" s="10"/>
      <c r="U137" s="10"/>
      <c r="V137" s="10" t="s">
        <v>4</v>
      </c>
      <c r="W137" s="10"/>
      <c r="X137" s="10"/>
      <c r="Y137" s="10"/>
      <c r="Z137" s="10" t="s">
        <v>5</v>
      </c>
      <c r="AA137" s="10"/>
      <c r="AB137" s="10"/>
      <c r="AC137" s="10"/>
      <c r="AD137" s="10" t="s">
        <v>6</v>
      </c>
      <c r="AE137" s="10"/>
      <c r="AF137" s="10"/>
      <c r="AG137" s="10"/>
      <c r="AH137" s="10" t="s">
        <v>7</v>
      </c>
      <c r="AI137" s="10"/>
      <c r="AJ137" s="10"/>
      <c r="AK137" s="10"/>
      <c r="AL137" s="10" t="s">
        <v>8</v>
      </c>
      <c r="AM137" s="10"/>
      <c r="AN137" s="10"/>
      <c r="AO137" s="10"/>
      <c r="AP137" s="10" t="s">
        <v>9</v>
      </c>
      <c r="AQ137" s="10"/>
      <c r="AR137" s="10"/>
      <c r="AS137" s="10"/>
      <c r="AT137" s="10" t="s">
        <v>10</v>
      </c>
      <c r="AU137" s="10"/>
      <c r="AV137" s="10"/>
      <c r="AW137" s="10"/>
      <c r="AX137" s="10" t="s">
        <v>11</v>
      </c>
      <c r="AY137" s="10"/>
      <c r="AZ137" s="10"/>
      <c r="BA137" s="10"/>
    </row>
    <row r="138" customFormat="false" ht="21.75" hidden="false" customHeight="true" outlineLevel="0" collapsed="false">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row>
    <row r="139" customFormat="false" ht="12" hidden="false" customHeight="true" outlineLevel="0" collapsed="false">
      <c r="A139" s="5" t="s">
        <v>65</v>
      </c>
      <c r="H139" s="10" t="s">
        <v>66</v>
      </c>
      <c r="I139" s="10"/>
      <c r="J139" s="10"/>
      <c r="K139" s="10"/>
      <c r="L139" s="10" t="s">
        <v>67</v>
      </c>
      <c r="M139" s="10"/>
      <c r="N139" s="10"/>
      <c r="O139" s="10"/>
      <c r="P139" s="10" t="s">
        <v>68</v>
      </c>
      <c r="Q139" s="10"/>
      <c r="R139" s="10"/>
      <c r="S139" s="10"/>
      <c r="T139" s="10" t="s">
        <v>69</v>
      </c>
      <c r="U139" s="10"/>
      <c r="V139" s="10"/>
      <c r="W139" s="10"/>
      <c r="X139" s="10" t="s">
        <v>70</v>
      </c>
      <c r="Y139" s="10"/>
      <c r="Z139" s="10"/>
      <c r="AA139" s="10"/>
      <c r="AB139" s="10" t="s">
        <v>71</v>
      </c>
      <c r="AC139" s="10"/>
      <c r="AD139" s="10"/>
      <c r="AE139" s="10"/>
      <c r="AF139" s="10" t="s">
        <v>72</v>
      </c>
      <c r="AG139" s="10"/>
      <c r="AH139" s="10"/>
      <c r="AI139" s="10"/>
      <c r="AJ139" s="10" t="s">
        <v>73</v>
      </c>
      <c r="AK139" s="10"/>
      <c r="AL139" s="10"/>
      <c r="AM139" s="10"/>
      <c r="AN139" s="10" t="s">
        <v>74</v>
      </c>
      <c r="AO139" s="10"/>
      <c r="AP139" s="10"/>
      <c r="AQ139" s="10"/>
      <c r="AR139" s="10" t="s">
        <v>75</v>
      </c>
      <c r="AS139" s="10"/>
      <c r="AT139" s="10"/>
      <c r="AU139" s="10"/>
      <c r="AV139" s="10" t="s">
        <v>22</v>
      </c>
      <c r="AW139" s="10"/>
      <c r="AX139" s="10"/>
      <c r="AY139" s="10"/>
      <c r="AZ139" s="10" t="s">
        <v>23</v>
      </c>
      <c r="BA139" s="10"/>
      <c r="BB139" s="10"/>
      <c r="BC139" s="10"/>
    </row>
    <row r="140" customFormat="false" ht="21.75" hidden="false" customHeight="true" outlineLevel="0" collapsed="false">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row>
    <row r="141" customFormat="false" ht="12" hidden="false" customHeight="true" outlineLevel="0" collapsed="false">
      <c r="A141" s="5" t="s">
        <v>82</v>
      </c>
      <c r="I141" s="10" t="s">
        <v>83</v>
      </c>
      <c r="J141" s="10"/>
      <c r="K141" s="10"/>
      <c r="L141" s="10"/>
      <c r="M141" s="10" t="s">
        <v>84</v>
      </c>
      <c r="N141" s="10"/>
      <c r="O141" s="10"/>
      <c r="P141" s="10"/>
      <c r="Q141" s="10" t="s">
        <v>85</v>
      </c>
      <c r="R141" s="10"/>
      <c r="S141" s="10"/>
      <c r="T141" s="10"/>
      <c r="U141" s="10" t="s">
        <v>86</v>
      </c>
      <c r="V141" s="10"/>
      <c r="W141" s="10"/>
      <c r="X141" s="10"/>
      <c r="Y141" s="10" t="s">
        <v>87</v>
      </c>
      <c r="Z141" s="10"/>
      <c r="AA141" s="10"/>
      <c r="AB141" s="10"/>
      <c r="AC141" s="10" t="s">
        <v>88</v>
      </c>
      <c r="AD141" s="10"/>
      <c r="AE141" s="10"/>
      <c r="AF141" s="10"/>
      <c r="AG141" s="10" t="s">
        <v>89</v>
      </c>
      <c r="AH141" s="10"/>
      <c r="AI141" s="10"/>
      <c r="AJ141" s="10"/>
      <c r="AK141" s="10" t="s">
        <v>90</v>
      </c>
      <c r="AL141" s="10"/>
      <c r="AM141" s="10"/>
      <c r="AN141" s="10"/>
      <c r="AO141" s="10" t="s">
        <v>91</v>
      </c>
      <c r="AP141" s="10"/>
      <c r="AQ141" s="10"/>
      <c r="AR141" s="10"/>
      <c r="AS141" s="10" t="s">
        <v>33</v>
      </c>
      <c r="AT141" s="10"/>
      <c r="AU141" s="10"/>
      <c r="AV141" s="10"/>
      <c r="AW141" s="10" t="s">
        <v>34</v>
      </c>
      <c r="AX141" s="10"/>
      <c r="AY141" s="10"/>
      <c r="AZ141" s="10"/>
    </row>
    <row r="142" customFormat="false" ht="21.75" hidden="false" customHeight="true" outlineLevel="0" collapsed="false">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row>
    <row r="143" customFormat="false" ht="12" hidden="false" customHeight="true" outlineLevel="0" collapsed="false">
      <c r="A143" s="5" t="s">
        <v>102</v>
      </c>
      <c r="K143" s="10" t="s">
        <v>103</v>
      </c>
      <c r="L143" s="10"/>
      <c r="M143" s="10"/>
      <c r="N143" s="10"/>
      <c r="O143" s="10" t="s">
        <v>104</v>
      </c>
      <c r="P143" s="10"/>
      <c r="Q143" s="10"/>
      <c r="R143" s="10"/>
      <c r="S143" s="10" t="s">
        <v>105</v>
      </c>
      <c r="T143" s="10"/>
      <c r="U143" s="10"/>
      <c r="V143" s="10"/>
      <c r="W143" s="10" t="s">
        <v>106</v>
      </c>
      <c r="X143" s="10"/>
      <c r="Y143" s="10"/>
      <c r="Z143" s="10"/>
      <c r="AA143" s="10" t="s">
        <v>107</v>
      </c>
      <c r="AB143" s="10"/>
      <c r="AC143" s="10"/>
      <c r="AD143" s="10"/>
      <c r="AE143" s="10" t="s">
        <v>108</v>
      </c>
      <c r="AF143" s="10"/>
      <c r="AG143" s="10"/>
      <c r="AH143" s="10"/>
      <c r="AI143" s="10" t="s">
        <v>109</v>
      </c>
      <c r="AJ143" s="10"/>
      <c r="AK143" s="10"/>
      <c r="AL143" s="10"/>
      <c r="AM143" s="10" t="s">
        <v>42</v>
      </c>
      <c r="AN143" s="10"/>
      <c r="AO143" s="10"/>
      <c r="AP143" s="10"/>
      <c r="AQ143" s="10" t="s">
        <v>43</v>
      </c>
      <c r="AR143" s="10"/>
      <c r="AS143" s="10"/>
      <c r="AT143" s="10"/>
      <c r="AU143" s="10" t="s">
        <v>44</v>
      </c>
      <c r="AV143" s="10"/>
      <c r="AW143" s="10"/>
      <c r="AX143" s="10"/>
    </row>
    <row r="144" customFormat="false" ht="21.75" hidden="false" customHeight="true" outlineLevel="0" collapsed="false">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customFormat="false" ht="12" hidden="false" customHeight="true" outlineLevel="0" collapsed="false">
      <c r="A145" s="5" t="s">
        <v>120</v>
      </c>
      <c r="P145" s="10" t="s">
        <v>48</v>
      </c>
      <c r="Q145" s="10"/>
      <c r="R145" s="10"/>
      <c r="S145" s="10"/>
      <c r="T145" s="10" t="s">
        <v>50</v>
      </c>
      <c r="U145" s="10"/>
      <c r="V145" s="10"/>
      <c r="W145" s="10"/>
      <c r="X145" s="10"/>
      <c r="Y145" s="10"/>
      <c r="Z145" s="10"/>
      <c r="AA145" s="10"/>
      <c r="AB145" s="10"/>
      <c r="AC145" s="10"/>
      <c r="AD145" s="10"/>
      <c r="AE145" s="10"/>
      <c r="AF145" s="10"/>
      <c r="AG145" s="10"/>
      <c r="AH145" s="10"/>
      <c r="AI145" s="10"/>
      <c r="AJ145" s="10"/>
      <c r="AK145" s="10"/>
      <c r="AL145" s="10" t="s">
        <v>45</v>
      </c>
      <c r="AM145" s="10"/>
      <c r="AN145" s="10"/>
      <c r="AO145" s="10"/>
      <c r="AP145" s="10" t="s">
        <v>46</v>
      </c>
      <c r="AQ145" s="10"/>
      <c r="AR145" s="10"/>
      <c r="AS145" s="10"/>
    </row>
    <row r="146" customFormat="false" ht="21.75" hidden="false" customHeight="true" outlineLevel="0" collapsed="false">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row>
    <row r="148" customFormat="false" ht="18.75" hidden="false" customHeight="true" outlineLevel="0" collapsed="false">
      <c r="A148" s="14" t="s">
        <v>330</v>
      </c>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row>
    <row r="149" customFormat="false" ht="15" hidden="false" customHeight="true" outlineLevel="0" collapsed="false">
      <c r="A149" s="8" t="s">
        <v>124</v>
      </c>
      <c r="B149" s="15"/>
      <c r="C149" s="15"/>
      <c r="D149" s="15"/>
      <c r="E149" s="15"/>
      <c r="G149" s="15"/>
      <c r="H149" s="15"/>
      <c r="I149" s="15"/>
      <c r="J149" s="15"/>
      <c r="L149" s="15"/>
      <c r="M149" s="15"/>
      <c r="N149" s="15"/>
      <c r="O149" s="15"/>
      <c r="Q149" s="5" t="s">
        <v>237</v>
      </c>
    </row>
    <row r="150" customFormat="false" ht="12" hidden="false" customHeight="true" outlineLevel="0" collapsed="false">
      <c r="A150" s="5" t="s">
        <v>64</v>
      </c>
      <c r="F150" s="10" t="s">
        <v>0</v>
      </c>
      <c r="G150" s="10"/>
      <c r="H150" s="10"/>
      <c r="I150" s="10"/>
      <c r="J150" s="10" t="s">
        <v>1</v>
      </c>
      <c r="K150" s="10"/>
      <c r="L150" s="10"/>
      <c r="M150" s="10"/>
      <c r="N150" s="10" t="s">
        <v>2</v>
      </c>
      <c r="O150" s="10"/>
      <c r="P150" s="10"/>
      <c r="Q150" s="10"/>
      <c r="R150" s="10" t="s">
        <v>3</v>
      </c>
      <c r="S150" s="10"/>
      <c r="T150" s="10"/>
      <c r="U150" s="10"/>
      <c r="V150" s="10" t="s">
        <v>4</v>
      </c>
      <c r="W150" s="10"/>
      <c r="X150" s="10"/>
      <c r="Y150" s="10"/>
      <c r="Z150" s="10" t="s">
        <v>5</v>
      </c>
      <c r="AA150" s="10"/>
      <c r="AB150" s="10"/>
      <c r="AC150" s="10"/>
      <c r="AD150" s="10" t="s">
        <v>6</v>
      </c>
      <c r="AE150" s="10"/>
      <c r="AF150" s="10"/>
      <c r="AG150" s="10"/>
      <c r="AH150" s="10" t="s">
        <v>7</v>
      </c>
      <c r="AI150" s="10"/>
      <c r="AJ150" s="10"/>
      <c r="AK150" s="10"/>
      <c r="AL150" s="10" t="s">
        <v>8</v>
      </c>
      <c r="AM150" s="10"/>
      <c r="AN150" s="10"/>
      <c r="AO150" s="10"/>
      <c r="AP150" s="10" t="s">
        <v>9</v>
      </c>
      <c r="AQ150" s="10"/>
      <c r="AR150" s="10"/>
      <c r="AS150" s="10"/>
      <c r="AT150" s="10" t="s">
        <v>10</v>
      </c>
      <c r="AU150" s="10"/>
      <c r="AV150" s="10"/>
      <c r="AW150" s="10"/>
      <c r="AX150" s="10" t="s">
        <v>11</v>
      </c>
      <c r="AY150" s="10"/>
      <c r="AZ150" s="10"/>
      <c r="BA150" s="10"/>
    </row>
    <row r="151" customFormat="false" ht="21.75" hidden="false" customHeight="true" outlineLevel="0" collapsed="false">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row>
    <row r="152" customFormat="false" ht="12" hidden="false" customHeight="true" outlineLevel="0" collapsed="false">
      <c r="A152" s="5" t="s">
        <v>65</v>
      </c>
      <c r="H152" s="10" t="s">
        <v>66</v>
      </c>
      <c r="I152" s="10"/>
      <c r="J152" s="10"/>
      <c r="K152" s="10"/>
      <c r="L152" s="10" t="s">
        <v>67</v>
      </c>
      <c r="M152" s="10"/>
      <c r="N152" s="10"/>
      <c r="O152" s="10"/>
      <c r="P152" s="10" t="s">
        <v>68</v>
      </c>
      <c r="Q152" s="10"/>
      <c r="R152" s="10"/>
      <c r="S152" s="10"/>
      <c r="T152" s="10" t="s">
        <v>69</v>
      </c>
      <c r="U152" s="10"/>
      <c r="V152" s="10"/>
      <c r="W152" s="10"/>
      <c r="X152" s="10" t="s">
        <v>70</v>
      </c>
      <c r="Y152" s="10"/>
      <c r="Z152" s="10"/>
      <c r="AA152" s="10"/>
      <c r="AB152" s="10" t="s">
        <v>71</v>
      </c>
      <c r="AC152" s="10"/>
      <c r="AD152" s="10"/>
      <c r="AE152" s="10"/>
      <c r="AF152" s="10" t="s">
        <v>72</v>
      </c>
      <c r="AG152" s="10"/>
      <c r="AH152" s="10"/>
      <c r="AI152" s="10"/>
      <c r="AJ152" s="10" t="s">
        <v>73</v>
      </c>
      <c r="AK152" s="10"/>
      <c r="AL152" s="10"/>
      <c r="AM152" s="10"/>
      <c r="AN152" s="10" t="s">
        <v>74</v>
      </c>
      <c r="AO152" s="10"/>
      <c r="AP152" s="10"/>
      <c r="AQ152" s="10"/>
      <c r="AR152" s="10" t="s">
        <v>75</v>
      </c>
      <c r="AS152" s="10"/>
      <c r="AT152" s="10"/>
      <c r="AU152" s="10"/>
      <c r="AV152" s="10" t="s">
        <v>22</v>
      </c>
      <c r="AW152" s="10"/>
      <c r="AX152" s="10"/>
      <c r="AY152" s="10"/>
      <c r="AZ152" s="10" t="s">
        <v>23</v>
      </c>
      <c r="BA152" s="10"/>
      <c r="BB152" s="10"/>
      <c r="BC152" s="10"/>
    </row>
    <row r="153" customFormat="false" ht="21.75" hidden="false" customHeight="true" outlineLevel="0" collapsed="false">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row>
    <row r="154" customFormat="false" ht="12" hidden="false" customHeight="true" outlineLevel="0" collapsed="false">
      <c r="A154" s="5" t="s">
        <v>82</v>
      </c>
      <c r="I154" s="10" t="s">
        <v>83</v>
      </c>
      <c r="J154" s="10"/>
      <c r="K154" s="10"/>
      <c r="L154" s="10"/>
      <c r="M154" s="10" t="s">
        <v>84</v>
      </c>
      <c r="N154" s="10"/>
      <c r="O154" s="10"/>
      <c r="P154" s="10"/>
      <c r="Q154" s="10" t="s">
        <v>85</v>
      </c>
      <c r="R154" s="10"/>
      <c r="S154" s="10"/>
      <c r="T154" s="10"/>
      <c r="U154" s="10" t="s">
        <v>86</v>
      </c>
      <c r="V154" s="10"/>
      <c r="W154" s="10"/>
      <c r="X154" s="10"/>
      <c r="Y154" s="10" t="s">
        <v>87</v>
      </c>
      <c r="Z154" s="10"/>
      <c r="AA154" s="10"/>
      <c r="AB154" s="10"/>
      <c r="AC154" s="10" t="s">
        <v>88</v>
      </c>
      <c r="AD154" s="10"/>
      <c r="AE154" s="10"/>
      <c r="AF154" s="10"/>
      <c r="AG154" s="10" t="s">
        <v>89</v>
      </c>
      <c r="AH154" s="10"/>
      <c r="AI154" s="10"/>
      <c r="AJ154" s="10"/>
      <c r="AK154" s="10" t="s">
        <v>90</v>
      </c>
      <c r="AL154" s="10"/>
      <c r="AM154" s="10"/>
      <c r="AN154" s="10"/>
      <c r="AO154" s="10" t="s">
        <v>91</v>
      </c>
      <c r="AP154" s="10"/>
      <c r="AQ154" s="10"/>
      <c r="AR154" s="10"/>
      <c r="AS154" s="10" t="s">
        <v>33</v>
      </c>
      <c r="AT154" s="10"/>
      <c r="AU154" s="10"/>
      <c r="AV154" s="10"/>
      <c r="AW154" s="10" t="s">
        <v>34</v>
      </c>
      <c r="AX154" s="10"/>
      <c r="AY154" s="10"/>
      <c r="AZ154" s="10"/>
    </row>
    <row r="155" customFormat="false" ht="21.75" hidden="false" customHeight="true" outlineLevel="0" collapsed="false">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row>
    <row r="156" customFormat="false" ht="12" hidden="false" customHeight="true" outlineLevel="0" collapsed="false">
      <c r="A156" s="5" t="s">
        <v>102</v>
      </c>
      <c r="K156" s="10" t="s">
        <v>103</v>
      </c>
      <c r="L156" s="10"/>
      <c r="M156" s="10"/>
      <c r="N156" s="10"/>
      <c r="O156" s="10" t="s">
        <v>104</v>
      </c>
      <c r="P156" s="10"/>
      <c r="Q156" s="10"/>
      <c r="R156" s="10"/>
      <c r="S156" s="10" t="s">
        <v>105</v>
      </c>
      <c r="T156" s="10"/>
      <c r="U156" s="10"/>
      <c r="V156" s="10"/>
      <c r="W156" s="10" t="s">
        <v>106</v>
      </c>
      <c r="X156" s="10"/>
      <c r="Y156" s="10"/>
      <c r="Z156" s="10"/>
      <c r="AA156" s="10" t="s">
        <v>107</v>
      </c>
      <c r="AB156" s="10"/>
      <c r="AC156" s="10"/>
      <c r="AD156" s="10"/>
      <c r="AE156" s="10" t="s">
        <v>108</v>
      </c>
      <c r="AF156" s="10"/>
      <c r="AG156" s="10"/>
      <c r="AH156" s="10"/>
      <c r="AI156" s="10" t="s">
        <v>109</v>
      </c>
      <c r="AJ156" s="10"/>
      <c r="AK156" s="10"/>
      <c r="AL156" s="10"/>
      <c r="AM156" s="10" t="s">
        <v>42</v>
      </c>
      <c r="AN156" s="10"/>
      <c r="AO156" s="10"/>
      <c r="AP156" s="10"/>
      <c r="AQ156" s="10" t="s">
        <v>43</v>
      </c>
      <c r="AR156" s="10"/>
      <c r="AS156" s="10"/>
      <c r="AT156" s="10"/>
      <c r="AU156" s="10" t="s">
        <v>44</v>
      </c>
      <c r="AV156" s="10"/>
      <c r="AW156" s="10"/>
      <c r="AX156" s="10"/>
    </row>
    <row r="157" customFormat="false" ht="21.75" hidden="false" customHeight="true" outlineLevel="0" collapsed="false">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customFormat="false" ht="12" hidden="false" customHeight="true" outlineLevel="0" collapsed="false">
      <c r="A158" s="5" t="s">
        <v>120</v>
      </c>
      <c r="P158" s="10" t="s">
        <v>48</v>
      </c>
      <c r="Q158" s="10"/>
      <c r="R158" s="10"/>
      <c r="S158" s="10"/>
      <c r="T158" s="10" t="s">
        <v>50</v>
      </c>
      <c r="U158" s="10"/>
      <c r="V158" s="10"/>
      <c r="W158" s="10"/>
      <c r="X158" s="10"/>
      <c r="Y158" s="10"/>
      <c r="Z158" s="10"/>
      <c r="AA158" s="10"/>
      <c r="AB158" s="10"/>
      <c r="AC158" s="10"/>
      <c r="AD158" s="10"/>
      <c r="AE158" s="10"/>
      <c r="AF158" s="10"/>
      <c r="AG158" s="10"/>
      <c r="AH158" s="10"/>
      <c r="AI158" s="10"/>
      <c r="AJ158" s="10"/>
      <c r="AK158" s="10"/>
      <c r="AL158" s="10" t="s">
        <v>45</v>
      </c>
      <c r="AM158" s="10"/>
      <c r="AN158" s="10"/>
      <c r="AO158" s="10"/>
      <c r="AP158" s="10" t="s">
        <v>46</v>
      </c>
      <c r="AQ158" s="10"/>
      <c r="AR158" s="10"/>
      <c r="AS158" s="10"/>
    </row>
    <row r="159" customFormat="false" ht="21.75" hidden="false" customHeight="true" outlineLevel="0" collapsed="false">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row>
    <row r="161" customFormat="false" ht="18.75" hidden="false" customHeight="true" outlineLevel="0" collapsed="false">
      <c r="A161" s="14" t="s">
        <v>331</v>
      </c>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row>
    <row r="162" customFormat="false" ht="15" hidden="false" customHeight="true" outlineLevel="0" collapsed="false">
      <c r="A162" s="8" t="s">
        <v>124</v>
      </c>
      <c r="B162" s="15"/>
      <c r="C162" s="15"/>
      <c r="D162" s="15"/>
      <c r="E162" s="15"/>
      <c r="G162" s="15"/>
      <c r="H162" s="15"/>
      <c r="I162" s="15"/>
      <c r="J162" s="15"/>
      <c r="L162" s="15"/>
      <c r="M162" s="15"/>
      <c r="N162" s="15"/>
      <c r="O162" s="15"/>
      <c r="Q162" s="5" t="s">
        <v>237</v>
      </c>
    </row>
    <row r="163" customFormat="false" ht="12" hidden="false" customHeight="true" outlineLevel="0" collapsed="false">
      <c r="A163" s="5" t="s">
        <v>64</v>
      </c>
      <c r="F163" s="10" t="s">
        <v>0</v>
      </c>
      <c r="G163" s="10"/>
      <c r="H163" s="10"/>
      <c r="I163" s="10"/>
      <c r="J163" s="10" t="s">
        <v>1</v>
      </c>
      <c r="K163" s="10"/>
      <c r="L163" s="10"/>
      <c r="M163" s="10"/>
      <c r="N163" s="10" t="s">
        <v>2</v>
      </c>
      <c r="O163" s="10"/>
      <c r="P163" s="10"/>
      <c r="Q163" s="10"/>
      <c r="R163" s="10" t="s">
        <v>3</v>
      </c>
      <c r="S163" s="10"/>
      <c r="T163" s="10"/>
      <c r="U163" s="10"/>
      <c r="V163" s="10" t="s">
        <v>4</v>
      </c>
      <c r="W163" s="10"/>
      <c r="X163" s="10"/>
      <c r="Y163" s="10"/>
      <c r="Z163" s="10" t="s">
        <v>5</v>
      </c>
      <c r="AA163" s="10"/>
      <c r="AB163" s="10"/>
      <c r="AC163" s="10"/>
      <c r="AD163" s="10" t="s">
        <v>6</v>
      </c>
      <c r="AE163" s="10"/>
      <c r="AF163" s="10"/>
      <c r="AG163" s="10"/>
      <c r="AH163" s="10" t="s">
        <v>7</v>
      </c>
      <c r="AI163" s="10"/>
      <c r="AJ163" s="10"/>
      <c r="AK163" s="10"/>
      <c r="AL163" s="10" t="s">
        <v>8</v>
      </c>
      <c r="AM163" s="10"/>
      <c r="AN163" s="10"/>
      <c r="AO163" s="10"/>
      <c r="AP163" s="10" t="s">
        <v>9</v>
      </c>
      <c r="AQ163" s="10"/>
      <c r="AR163" s="10"/>
      <c r="AS163" s="10"/>
      <c r="AT163" s="10" t="s">
        <v>10</v>
      </c>
      <c r="AU163" s="10"/>
      <c r="AV163" s="10"/>
      <c r="AW163" s="10"/>
      <c r="AX163" s="10" t="s">
        <v>11</v>
      </c>
      <c r="AY163" s="10"/>
      <c r="AZ163" s="10"/>
      <c r="BA163" s="10"/>
    </row>
    <row r="164" customFormat="false" ht="21.75" hidden="false" customHeight="true" outlineLevel="0" collapsed="false">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row>
    <row r="165" customFormat="false" ht="12" hidden="false" customHeight="true" outlineLevel="0" collapsed="false">
      <c r="A165" s="5" t="s">
        <v>65</v>
      </c>
      <c r="H165" s="10" t="s">
        <v>66</v>
      </c>
      <c r="I165" s="10"/>
      <c r="J165" s="10"/>
      <c r="K165" s="10"/>
      <c r="L165" s="10" t="s">
        <v>67</v>
      </c>
      <c r="M165" s="10"/>
      <c r="N165" s="10"/>
      <c r="O165" s="10"/>
      <c r="P165" s="10" t="s">
        <v>68</v>
      </c>
      <c r="Q165" s="10"/>
      <c r="R165" s="10"/>
      <c r="S165" s="10"/>
      <c r="T165" s="10" t="s">
        <v>69</v>
      </c>
      <c r="U165" s="10"/>
      <c r="V165" s="10"/>
      <c r="W165" s="10"/>
      <c r="X165" s="10" t="s">
        <v>70</v>
      </c>
      <c r="Y165" s="10"/>
      <c r="Z165" s="10"/>
      <c r="AA165" s="10"/>
      <c r="AB165" s="10" t="s">
        <v>71</v>
      </c>
      <c r="AC165" s="10"/>
      <c r="AD165" s="10"/>
      <c r="AE165" s="10"/>
      <c r="AF165" s="10" t="s">
        <v>72</v>
      </c>
      <c r="AG165" s="10"/>
      <c r="AH165" s="10"/>
      <c r="AI165" s="10"/>
      <c r="AJ165" s="10" t="s">
        <v>73</v>
      </c>
      <c r="AK165" s="10"/>
      <c r="AL165" s="10"/>
      <c r="AM165" s="10"/>
      <c r="AN165" s="10" t="s">
        <v>74</v>
      </c>
      <c r="AO165" s="10"/>
      <c r="AP165" s="10"/>
      <c r="AQ165" s="10"/>
      <c r="AR165" s="10" t="s">
        <v>75</v>
      </c>
      <c r="AS165" s="10"/>
      <c r="AT165" s="10"/>
      <c r="AU165" s="10"/>
      <c r="AV165" s="10" t="s">
        <v>22</v>
      </c>
      <c r="AW165" s="10"/>
      <c r="AX165" s="10"/>
      <c r="AY165" s="10"/>
      <c r="AZ165" s="10" t="s">
        <v>23</v>
      </c>
      <c r="BA165" s="10"/>
      <c r="BB165" s="10"/>
      <c r="BC165" s="10"/>
    </row>
    <row r="166" customFormat="false" ht="21.75" hidden="false" customHeight="true" outlineLevel="0" collapsed="false">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row>
    <row r="167" customFormat="false" ht="12" hidden="false" customHeight="true" outlineLevel="0" collapsed="false">
      <c r="A167" s="5" t="s">
        <v>82</v>
      </c>
      <c r="I167" s="10" t="s">
        <v>83</v>
      </c>
      <c r="J167" s="10"/>
      <c r="K167" s="10"/>
      <c r="L167" s="10"/>
      <c r="M167" s="10" t="s">
        <v>84</v>
      </c>
      <c r="N167" s="10"/>
      <c r="O167" s="10"/>
      <c r="P167" s="10"/>
      <c r="Q167" s="10" t="s">
        <v>85</v>
      </c>
      <c r="R167" s="10"/>
      <c r="S167" s="10"/>
      <c r="T167" s="10"/>
      <c r="U167" s="10" t="s">
        <v>86</v>
      </c>
      <c r="V167" s="10"/>
      <c r="W167" s="10"/>
      <c r="X167" s="10"/>
      <c r="Y167" s="10" t="s">
        <v>87</v>
      </c>
      <c r="Z167" s="10"/>
      <c r="AA167" s="10"/>
      <c r="AB167" s="10"/>
      <c r="AC167" s="10" t="s">
        <v>88</v>
      </c>
      <c r="AD167" s="10"/>
      <c r="AE167" s="10"/>
      <c r="AF167" s="10"/>
      <c r="AG167" s="10" t="s">
        <v>89</v>
      </c>
      <c r="AH167" s="10"/>
      <c r="AI167" s="10"/>
      <c r="AJ167" s="10"/>
      <c r="AK167" s="10" t="s">
        <v>90</v>
      </c>
      <c r="AL167" s="10"/>
      <c r="AM167" s="10"/>
      <c r="AN167" s="10"/>
      <c r="AO167" s="10" t="s">
        <v>91</v>
      </c>
      <c r="AP167" s="10"/>
      <c r="AQ167" s="10"/>
      <c r="AR167" s="10"/>
      <c r="AS167" s="10" t="s">
        <v>33</v>
      </c>
      <c r="AT167" s="10"/>
      <c r="AU167" s="10"/>
      <c r="AV167" s="10"/>
      <c r="AW167" s="10" t="s">
        <v>34</v>
      </c>
      <c r="AX167" s="10"/>
      <c r="AY167" s="10"/>
      <c r="AZ167" s="10"/>
    </row>
    <row r="168" customFormat="false" ht="21.75" hidden="false" customHeight="true" outlineLevel="0" collapsed="false">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row>
    <row r="169" customFormat="false" ht="12" hidden="false" customHeight="true" outlineLevel="0" collapsed="false">
      <c r="A169" s="5" t="s">
        <v>102</v>
      </c>
      <c r="K169" s="10" t="s">
        <v>103</v>
      </c>
      <c r="L169" s="10"/>
      <c r="M169" s="10"/>
      <c r="N169" s="10"/>
      <c r="O169" s="10" t="s">
        <v>104</v>
      </c>
      <c r="P169" s="10"/>
      <c r="Q169" s="10"/>
      <c r="R169" s="10"/>
      <c r="S169" s="10" t="s">
        <v>105</v>
      </c>
      <c r="T169" s="10"/>
      <c r="U169" s="10"/>
      <c r="V169" s="10"/>
      <c r="W169" s="10" t="s">
        <v>106</v>
      </c>
      <c r="X169" s="10"/>
      <c r="Y169" s="10"/>
      <c r="Z169" s="10"/>
      <c r="AA169" s="10" t="s">
        <v>107</v>
      </c>
      <c r="AB169" s="10"/>
      <c r="AC169" s="10"/>
      <c r="AD169" s="10"/>
      <c r="AE169" s="10" t="s">
        <v>108</v>
      </c>
      <c r="AF169" s="10"/>
      <c r="AG169" s="10"/>
      <c r="AH169" s="10"/>
      <c r="AI169" s="10" t="s">
        <v>109</v>
      </c>
      <c r="AJ169" s="10"/>
      <c r="AK169" s="10"/>
      <c r="AL169" s="10"/>
      <c r="AM169" s="10" t="s">
        <v>42</v>
      </c>
      <c r="AN169" s="10"/>
      <c r="AO169" s="10"/>
      <c r="AP169" s="10"/>
      <c r="AQ169" s="10" t="s">
        <v>43</v>
      </c>
      <c r="AR169" s="10"/>
      <c r="AS169" s="10"/>
      <c r="AT169" s="10"/>
      <c r="AU169" s="10" t="s">
        <v>44</v>
      </c>
      <c r="AV169" s="10"/>
      <c r="AW169" s="10"/>
      <c r="AX169" s="10"/>
    </row>
    <row r="170" customFormat="false" ht="21.75" hidden="false" customHeight="true" outlineLevel="0" collapsed="false">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customFormat="false" ht="12" hidden="false" customHeight="true" outlineLevel="0" collapsed="false">
      <c r="A171" s="5" t="s">
        <v>120</v>
      </c>
      <c r="P171" s="10" t="s">
        <v>48</v>
      </c>
      <c r="Q171" s="10"/>
      <c r="R171" s="10"/>
      <c r="S171" s="10"/>
      <c r="T171" s="10" t="s">
        <v>50</v>
      </c>
      <c r="U171" s="10"/>
      <c r="V171" s="10"/>
      <c r="W171" s="10"/>
      <c r="X171" s="10"/>
      <c r="Y171" s="10"/>
      <c r="Z171" s="10"/>
      <c r="AA171" s="10"/>
      <c r="AB171" s="10"/>
      <c r="AC171" s="10"/>
      <c r="AD171" s="10"/>
      <c r="AE171" s="10"/>
      <c r="AF171" s="10"/>
      <c r="AG171" s="10"/>
      <c r="AH171" s="10"/>
      <c r="AI171" s="10"/>
      <c r="AJ171" s="10"/>
      <c r="AK171" s="10"/>
      <c r="AL171" s="10" t="s">
        <v>45</v>
      </c>
      <c r="AM171" s="10"/>
      <c r="AN171" s="10"/>
      <c r="AO171" s="10"/>
      <c r="AP171" s="10" t="s">
        <v>46</v>
      </c>
      <c r="AQ171" s="10"/>
      <c r="AR171" s="10"/>
      <c r="AS171" s="10"/>
    </row>
    <row r="172" customFormat="false" ht="21.75" hidden="false" customHeight="true" outlineLevel="0" collapsed="false">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row>
    <row r="174" customFormat="false" ht="18.75" hidden="false" customHeight="true" outlineLevel="0" collapsed="false">
      <c r="A174" s="14" t="s">
        <v>332</v>
      </c>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row>
    <row r="175" customFormat="false" ht="15" hidden="false" customHeight="true" outlineLevel="0" collapsed="false">
      <c r="A175" s="8" t="s">
        <v>124</v>
      </c>
      <c r="B175" s="15"/>
      <c r="C175" s="15"/>
      <c r="D175" s="15"/>
      <c r="E175" s="15"/>
      <c r="G175" s="15"/>
      <c r="H175" s="15"/>
      <c r="I175" s="15"/>
      <c r="J175" s="15"/>
      <c r="L175" s="15"/>
      <c r="M175" s="15"/>
      <c r="N175" s="15"/>
      <c r="O175" s="15"/>
      <c r="Q175" s="5" t="s">
        <v>237</v>
      </c>
    </row>
    <row r="176" customFormat="false" ht="12" hidden="false" customHeight="true" outlineLevel="0" collapsed="false">
      <c r="A176" s="5" t="s">
        <v>64</v>
      </c>
      <c r="F176" s="10" t="s">
        <v>0</v>
      </c>
      <c r="G176" s="10"/>
      <c r="H176" s="10"/>
      <c r="I176" s="10"/>
      <c r="J176" s="10" t="s">
        <v>1</v>
      </c>
      <c r="K176" s="10"/>
      <c r="L176" s="10"/>
      <c r="M176" s="10"/>
      <c r="N176" s="10" t="s">
        <v>2</v>
      </c>
      <c r="O176" s="10"/>
      <c r="P176" s="10"/>
      <c r="Q176" s="10"/>
      <c r="R176" s="10" t="s">
        <v>3</v>
      </c>
      <c r="S176" s="10"/>
      <c r="T176" s="10"/>
      <c r="U176" s="10"/>
      <c r="V176" s="10" t="s">
        <v>4</v>
      </c>
      <c r="W176" s="10"/>
      <c r="X176" s="10"/>
      <c r="Y176" s="10"/>
      <c r="Z176" s="10" t="s">
        <v>5</v>
      </c>
      <c r="AA176" s="10"/>
      <c r="AB176" s="10"/>
      <c r="AC176" s="10"/>
      <c r="AD176" s="10" t="s">
        <v>6</v>
      </c>
      <c r="AE176" s="10"/>
      <c r="AF176" s="10"/>
      <c r="AG176" s="10"/>
      <c r="AH176" s="10" t="s">
        <v>7</v>
      </c>
      <c r="AI176" s="10"/>
      <c r="AJ176" s="10"/>
      <c r="AK176" s="10"/>
      <c r="AL176" s="10" t="s">
        <v>8</v>
      </c>
      <c r="AM176" s="10"/>
      <c r="AN176" s="10"/>
      <c r="AO176" s="10"/>
      <c r="AP176" s="10" t="s">
        <v>9</v>
      </c>
      <c r="AQ176" s="10"/>
      <c r="AR176" s="10"/>
      <c r="AS176" s="10"/>
      <c r="AT176" s="10" t="s">
        <v>10</v>
      </c>
      <c r="AU176" s="10"/>
      <c r="AV176" s="10"/>
      <c r="AW176" s="10"/>
      <c r="AX176" s="10" t="s">
        <v>11</v>
      </c>
      <c r="AY176" s="10"/>
      <c r="AZ176" s="10"/>
      <c r="BA176" s="10"/>
    </row>
    <row r="177" customFormat="false" ht="21.75" hidden="false" customHeight="true" outlineLevel="0" collapsed="false">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row>
    <row r="178" customFormat="false" ht="12" hidden="false" customHeight="true" outlineLevel="0" collapsed="false">
      <c r="A178" s="5" t="s">
        <v>65</v>
      </c>
      <c r="H178" s="10" t="s">
        <v>66</v>
      </c>
      <c r="I178" s="10"/>
      <c r="J178" s="10"/>
      <c r="K178" s="10"/>
      <c r="L178" s="10" t="s">
        <v>67</v>
      </c>
      <c r="M178" s="10"/>
      <c r="N178" s="10"/>
      <c r="O178" s="10"/>
      <c r="P178" s="10" t="s">
        <v>68</v>
      </c>
      <c r="Q178" s="10"/>
      <c r="R178" s="10"/>
      <c r="S178" s="10"/>
      <c r="T178" s="10" t="s">
        <v>69</v>
      </c>
      <c r="U178" s="10"/>
      <c r="V178" s="10"/>
      <c r="W178" s="10"/>
      <c r="X178" s="10" t="s">
        <v>70</v>
      </c>
      <c r="Y178" s="10"/>
      <c r="Z178" s="10"/>
      <c r="AA178" s="10"/>
      <c r="AB178" s="10" t="s">
        <v>71</v>
      </c>
      <c r="AC178" s="10"/>
      <c r="AD178" s="10"/>
      <c r="AE178" s="10"/>
      <c r="AF178" s="10" t="s">
        <v>72</v>
      </c>
      <c r="AG178" s="10"/>
      <c r="AH178" s="10"/>
      <c r="AI178" s="10"/>
      <c r="AJ178" s="10" t="s">
        <v>73</v>
      </c>
      <c r="AK178" s="10"/>
      <c r="AL178" s="10"/>
      <c r="AM178" s="10"/>
      <c r="AN178" s="10" t="s">
        <v>74</v>
      </c>
      <c r="AO178" s="10"/>
      <c r="AP178" s="10"/>
      <c r="AQ178" s="10"/>
      <c r="AR178" s="10" t="s">
        <v>75</v>
      </c>
      <c r="AS178" s="10"/>
      <c r="AT178" s="10"/>
      <c r="AU178" s="10"/>
      <c r="AV178" s="10" t="s">
        <v>22</v>
      </c>
      <c r="AW178" s="10"/>
      <c r="AX178" s="10"/>
      <c r="AY178" s="10"/>
      <c r="AZ178" s="10" t="s">
        <v>23</v>
      </c>
      <c r="BA178" s="10"/>
      <c r="BB178" s="10"/>
      <c r="BC178" s="10"/>
    </row>
    <row r="179" customFormat="false" ht="21.75" hidden="false" customHeight="true" outlineLevel="0" collapsed="false">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row>
    <row r="180" customFormat="false" ht="12" hidden="false" customHeight="true" outlineLevel="0" collapsed="false">
      <c r="A180" s="5" t="s">
        <v>82</v>
      </c>
      <c r="I180" s="10" t="s">
        <v>83</v>
      </c>
      <c r="J180" s="10"/>
      <c r="K180" s="10"/>
      <c r="L180" s="10"/>
      <c r="M180" s="10" t="s">
        <v>84</v>
      </c>
      <c r="N180" s="10"/>
      <c r="O180" s="10"/>
      <c r="P180" s="10"/>
      <c r="Q180" s="10" t="s">
        <v>85</v>
      </c>
      <c r="R180" s="10"/>
      <c r="S180" s="10"/>
      <c r="T180" s="10"/>
      <c r="U180" s="10" t="s">
        <v>86</v>
      </c>
      <c r="V180" s="10"/>
      <c r="W180" s="10"/>
      <c r="X180" s="10"/>
      <c r="Y180" s="10" t="s">
        <v>87</v>
      </c>
      <c r="Z180" s="10"/>
      <c r="AA180" s="10"/>
      <c r="AB180" s="10"/>
      <c r="AC180" s="10" t="s">
        <v>88</v>
      </c>
      <c r="AD180" s="10"/>
      <c r="AE180" s="10"/>
      <c r="AF180" s="10"/>
      <c r="AG180" s="10" t="s">
        <v>89</v>
      </c>
      <c r="AH180" s="10"/>
      <c r="AI180" s="10"/>
      <c r="AJ180" s="10"/>
      <c r="AK180" s="10" t="s">
        <v>90</v>
      </c>
      <c r="AL180" s="10"/>
      <c r="AM180" s="10"/>
      <c r="AN180" s="10"/>
      <c r="AO180" s="10" t="s">
        <v>91</v>
      </c>
      <c r="AP180" s="10"/>
      <c r="AQ180" s="10"/>
      <c r="AR180" s="10"/>
      <c r="AS180" s="10" t="s">
        <v>33</v>
      </c>
      <c r="AT180" s="10"/>
      <c r="AU180" s="10"/>
      <c r="AV180" s="10"/>
      <c r="AW180" s="10" t="s">
        <v>34</v>
      </c>
      <c r="AX180" s="10"/>
      <c r="AY180" s="10"/>
      <c r="AZ180" s="10"/>
    </row>
    <row r="181" customFormat="false" ht="21.75" hidden="false" customHeight="true" outlineLevel="0" collapsed="false">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row>
    <row r="182" customFormat="false" ht="12" hidden="false" customHeight="true" outlineLevel="0" collapsed="false">
      <c r="A182" s="5" t="s">
        <v>102</v>
      </c>
      <c r="K182" s="10" t="s">
        <v>103</v>
      </c>
      <c r="L182" s="10"/>
      <c r="M182" s="10"/>
      <c r="N182" s="10"/>
      <c r="O182" s="10" t="s">
        <v>104</v>
      </c>
      <c r="P182" s="10"/>
      <c r="Q182" s="10"/>
      <c r="R182" s="10"/>
      <c r="S182" s="10" t="s">
        <v>105</v>
      </c>
      <c r="T182" s="10"/>
      <c r="U182" s="10"/>
      <c r="V182" s="10"/>
      <c r="W182" s="10" t="s">
        <v>106</v>
      </c>
      <c r="X182" s="10"/>
      <c r="Y182" s="10"/>
      <c r="Z182" s="10"/>
      <c r="AA182" s="10" t="s">
        <v>107</v>
      </c>
      <c r="AB182" s="10"/>
      <c r="AC182" s="10"/>
      <c r="AD182" s="10"/>
      <c r="AE182" s="10" t="s">
        <v>108</v>
      </c>
      <c r="AF182" s="10"/>
      <c r="AG182" s="10"/>
      <c r="AH182" s="10"/>
      <c r="AI182" s="10" t="s">
        <v>109</v>
      </c>
      <c r="AJ182" s="10"/>
      <c r="AK182" s="10"/>
      <c r="AL182" s="10"/>
      <c r="AM182" s="10" t="s">
        <v>42</v>
      </c>
      <c r="AN182" s="10"/>
      <c r="AO182" s="10"/>
      <c r="AP182" s="10"/>
      <c r="AQ182" s="10" t="s">
        <v>43</v>
      </c>
      <c r="AR182" s="10"/>
      <c r="AS182" s="10"/>
      <c r="AT182" s="10"/>
      <c r="AU182" s="10" t="s">
        <v>44</v>
      </c>
      <c r="AV182" s="10"/>
      <c r="AW182" s="10"/>
      <c r="AX182" s="10"/>
    </row>
    <row r="183" customFormat="false" ht="21.75" hidden="false" customHeight="true" outlineLevel="0" collapsed="false">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customFormat="false" ht="12" hidden="false" customHeight="true" outlineLevel="0" collapsed="false">
      <c r="A184" s="5" t="s">
        <v>120</v>
      </c>
      <c r="P184" s="10" t="s">
        <v>48</v>
      </c>
      <c r="Q184" s="10"/>
      <c r="R184" s="10"/>
      <c r="S184" s="10"/>
      <c r="T184" s="10" t="s">
        <v>50</v>
      </c>
      <c r="U184" s="10"/>
      <c r="V184" s="10"/>
      <c r="W184" s="10"/>
      <c r="X184" s="10"/>
      <c r="Y184" s="10"/>
      <c r="Z184" s="10"/>
      <c r="AA184" s="10"/>
      <c r="AB184" s="10"/>
      <c r="AC184" s="10"/>
      <c r="AD184" s="10"/>
      <c r="AE184" s="10"/>
      <c r="AF184" s="10"/>
      <c r="AG184" s="10"/>
      <c r="AH184" s="10"/>
      <c r="AI184" s="10"/>
      <c r="AJ184" s="10"/>
      <c r="AK184" s="10"/>
      <c r="AL184" s="10" t="s">
        <v>45</v>
      </c>
      <c r="AM184" s="10"/>
      <c r="AN184" s="10"/>
      <c r="AO184" s="10"/>
      <c r="AP184" s="10" t="s">
        <v>46</v>
      </c>
      <c r="AQ184" s="10"/>
      <c r="AR184" s="10"/>
      <c r="AS184" s="10"/>
    </row>
    <row r="185" customFormat="false" ht="21.75" hidden="false" customHeight="true" outlineLevel="0" collapsed="false">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row>
    <row r="187" customFormat="false" ht="18.75" hidden="false" customHeight="true" outlineLevel="0" collapsed="false">
      <c r="A187" s="14" t="s">
        <v>333</v>
      </c>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row>
    <row r="188" customFormat="false" ht="15" hidden="false" customHeight="true" outlineLevel="0" collapsed="false">
      <c r="A188" s="8" t="s">
        <v>124</v>
      </c>
      <c r="B188" s="15"/>
      <c r="C188" s="15"/>
      <c r="D188" s="15"/>
      <c r="E188" s="15"/>
      <c r="G188" s="15"/>
      <c r="H188" s="15"/>
      <c r="I188" s="15"/>
      <c r="J188" s="15"/>
      <c r="L188" s="15"/>
      <c r="M188" s="15"/>
      <c r="N188" s="15"/>
      <c r="O188" s="15"/>
      <c r="Q188" s="5" t="s">
        <v>237</v>
      </c>
    </row>
    <row r="189" customFormat="false" ht="12" hidden="false" customHeight="true" outlineLevel="0" collapsed="false">
      <c r="A189" s="5" t="s">
        <v>64</v>
      </c>
      <c r="F189" s="10" t="s">
        <v>0</v>
      </c>
      <c r="G189" s="10"/>
      <c r="H189" s="10"/>
      <c r="I189" s="10"/>
      <c r="J189" s="10" t="s">
        <v>1</v>
      </c>
      <c r="K189" s="10"/>
      <c r="L189" s="10"/>
      <c r="M189" s="10"/>
      <c r="N189" s="10" t="s">
        <v>2</v>
      </c>
      <c r="O189" s="10"/>
      <c r="P189" s="10"/>
      <c r="Q189" s="10"/>
      <c r="R189" s="10" t="s">
        <v>3</v>
      </c>
      <c r="S189" s="10"/>
      <c r="T189" s="10"/>
      <c r="U189" s="10"/>
      <c r="V189" s="10" t="s">
        <v>4</v>
      </c>
      <c r="W189" s="10"/>
      <c r="X189" s="10"/>
      <c r="Y189" s="10"/>
      <c r="Z189" s="10" t="s">
        <v>5</v>
      </c>
      <c r="AA189" s="10"/>
      <c r="AB189" s="10"/>
      <c r="AC189" s="10"/>
      <c r="AD189" s="10" t="s">
        <v>6</v>
      </c>
      <c r="AE189" s="10"/>
      <c r="AF189" s="10"/>
      <c r="AG189" s="10"/>
      <c r="AH189" s="10" t="s">
        <v>7</v>
      </c>
      <c r="AI189" s="10"/>
      <c r="AJ189" s="10"/>
      <c r="AK189" s="10"/>
      <c r="AL189" s="10" t="s">
        <v>8</v>
      </c>
      <c r="AM189" s="10"/>
      <c r="AN189" s="10"/>
      <c r="AO189" s="10"/>
      <c r="AP189" s="10" t="s">
        <v>9</v>
      </c>
      <c r="AQ189" s="10"/>
      <c r="AR189" s="10"/>
      <c r="AS189" s="10"/>
      <c r="AT189" s="10" t="s">
        <v>10</v>
      </c>
      <c r="AU189" s="10"/>
      <c r="AV189" s="10"/>
      <c r="AW189" s="10"/>
      <c r="AX189" s="10" t="s">
        <v>11</v>
      </c>
      <c r="AY189" s="10"/>
      <c r="AZ189" s="10"/>
      <c r="BA189" s="10"/>
    </row>
    <row r="190" customFormat="false" ht="21.75" hidden="false" customHeight="true" outlineLevel="0" collapsed="false">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row>
    <row r="191" customFormat="false" ht="12" hidden="false" customHeight="true" outlineLevel="0" collapsed="false">
      <c r="A191" s="5" t="s">
        <v>65</v>
      </c>
      <c r="H191" s="10" t="s">
        <v>66</v>
      </c>
      <c r="I191" s="10"/>
      <c r="J191" s="10"/>
      <c r="K191" s="10"/>
      <c r="L191" s="10" t="s">
        <v>67</v>
      </c>
      <c r="M191" s="10"/>
      <c r="N191" s="10"/>
      <c r="O191" s="10"/>
      <c r="P191" s="10" t="s">
        <v>68</v>
      </c>
      <c r="Q191" s="10"/>
      <c r="R191" s="10"/>
      <c r="S191" s="10"/>
      <c r="T191" s="10" t="s">
        <v>69</v>
      </c>
      <c r="U191" s="10"/>
      <c r="V191" s="10"/>
      <c r="W191" s="10"/>
      <c r="X191" s="10" t="s">
        <v>70</v>
      </c>
      <c r="Y191" s="10"/>
      <c r="Z191" s="10"/>
      <c r="AA191" s="10"/>
      <c r="AB191" s="10" t="s">
        <v>71</v>
      </c>
      <c r="AC191" s="10"/>
      <c r="AD191" s="10"/>
      <c r="AE191" s="10"/>
      <c r="AF191" s="10" t="s">
        <v>72</v>
      </c>
      <c r="AG191" s="10"/>
      <c r="AH191" s="10"/>
      <c r="AI191" s="10"/>
      <c r="AJ191" s="10" t="s">
        <v>73</v>
      </c>
      <c r="AK191" s="10"/>
      <c r="AL191" s="10"/>
      <c r="AM191" s="10"/>
      <c r="AN191" s="10" t="s">
        <v>74</v>
      </c>
      <c r="AO191" s="10"/>
      <c r="AP191" s="10"/>
      <c r="AQ191" s="10"/>
      <c r="AR191" s="10" t="s">
        <v>75</v>
      </c>
      <c r="AS191" s="10"/>
      <c r="AT191" s="10"/>
      <c r="AU191" s="10"/>
      <c r="AV191" s="10" t="s">
        <v>22</v>
      </c>
      <c r="AW191" s="10"/>
      <c r="AX191" s="10"/>
      <c r="AY191" s="10"/>
      <c r="AZ191" s="10" t="s">
        <v>23</v>
      </c>
      <c r="BA191" s="10"/>
      <c r="BB191" s="10"/>
      <c r="BC191" s="10"/>
    </row>
    <row r="192" customFormat="false" ht="21.75" hidden="false" customHeight="true" outlineLevel="0" collapsed="false">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row>
    <row r="193" customFormat="false" ht="12" hidden="false" customHeight="true" outlineLevel="0" collapsed="false">
      <c r="A193" s="5" t="s">
        <v>82</v>
      </c>
      <c r="I193" s="10" t="s">
        <v>83</v>
      </c>
      <c r="J193" s="10"/>
      <c r="K193" s="10"/>
      <c r="L193" s="10"/>
      <c r="M193" s="10" t="s">
        <v>84</v>
      </c>
      <c r="N193" s="10"/>
      <c r="O193" s="10"/>
      <c r="P193" s="10"/>
      <c r="Q193" s="10" t="s">
        <v>85</v>
      </c>
      <c r="R193" s="10"/>
      <c r="S193" s="10"/>
      <c r="T193" s="10"/>
      <c r="U193" s="10" t="s">
        <v>86</v>
      </c>
      <c r="V193" s="10"/>
      <c r="W193" s="10"/>
      <c r="X193" s="10"/>
      <c r="Y193" s="10" t="s">
        <v>87</v>
      </c>
      <c r="Z193" s="10"/>
      <c r="AA193" s="10"/>
      <c r="AB193" s="10"/>
      <c r="AC193" s="10" t="s">
        <v>88</v>
      </c>
      <c r="AD193" s="10"/>
      <c r="AE193" s="10"/>
      <c r="AF193" s="10"/>
      <c r="AG193" s="10" t="s">
        <v>89</v>
      </c>
      <c r="AH193" s="10"/>
      <c r="AI193" s="10"/>
      <c r="AJ193" s="10"/>
      <c r="AK193" s="10" t="s">
        <v>90</v>
      </c>
      <c r="AL193" s="10"/>
      <c r="AM193" s="10"/>
      <c r="AN193" s="10"/>
      <c r="AO193" s="10" t="s">
        <v>91</v>
      </c>
      <c r="AP193" s="10"/>
      <c r="AQ193" s="10"/>
      <c r="AR193" s="10"/>
      <c r="AS193" s="10" t="s">
        <v>33</v>
      </c>
      <c r="AT193" s="10"/>
      <c r="AU193" s="10"/>
      <c r="AV193" s="10"/>
      <c r="AW193" s="10" t="s">
        <v>34</v>
      </c>
      <c r="AX193" s="10"/>
      <c r="AY193" s="10"/>
      <c r="AZ193" s="10"/>
    </row>
    <row r="194" customFormat="false" ht="21.75" hidden="false" customHeight="true" outlineLevel="0" collapsed="false">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row>
    <row r="195" customFormat="false" ht="12" hidden="false" customHeight="true" outlineLevel="0" collapsed="false">
      <c r="A195" s="5" t="s">
        <v>102</v>
      </c>
      <c r="K195" s="10" t="s">
        <v>103</v>
      </c>
      <c r="L195" s="10"/>
      <c r="M195" s="10"/>
      <c r="N195" s="10"/>
      <c r="O195" s="10" t="s">
        <v>104</v>
      </c>
      <c r="P195" s="10"/>
      <c r="Q195" s="10"/>
      <c r="R195" s="10"/>
      <c r="S195" s="10" t="s">
        <v>105</v>
      </c>
      <c r="T195" s="10"/>
      <c r="U195" s="10"/>
      <c r="V195" s="10"/>
      <c r="W195" s="10" t="s">
        <v>106</v>
      </c>
      <c r="X195" s="10"/>
      <c r="Y195" s="10"/>
      <c r="Z195" s="10"/>
      <c r="AA195" s="10" t="s">
        <v>107</v>
      </c>
      <c r="AB195" s="10"/>
      <c r="AC195" s="10"/>
      <c r="AD195" s="10"/>
      <c r="AE195" s="10" t="s">
        <v>108</v>
      </c>
      <c r="AF195" s="10"/>
      <c r="AG195" s="10"/>
      <c r="AH195" s="10"/>
      <c r="AI195" s="10" t="s">
        <v>109</v>
      </c>
      <c r="AJ195" s="10"/>
      <c r="AK195" s="10"/>
      <c r="AL195" s="10"/>
      <c r="AM195" s="10" t="s">
        <v>42</v>
      </c>
      <c r="AN195" s="10"/>
      <c r="AO195" s="10"/>
      <c r="AP195" s="10"/>
      <c r="AQ195" s="10" t="s">
        <v>43</v>
      </c>
      <c r="AR195" s="10"/>
      <c r="AS195" s="10"/>
      <c r="AT195" s="10"/>
      <c r="AU195" s="10" t="s">
        <v>44</v>
      </c>
      <c r="AV195" s="10"/>
      <c r="AW195" s="10"/>
      <c r="AX195" s="10"/>
    </row>
    <row r="196" customFormat="false" ht="21.75" hidden="false" customHeight="true" outlineLevel="0" collapsed="false">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customFormat="false" ht="12" hidden="false" customHeight="true" outlineLevel="0" collapsed="false">
      <c r="A197" s="5" t="s">
        <v>120</v>
      </c>
      <c r="P197" s="10" t="s">
        <v>48</v>
      </c>
      <c r="Q197" s="10"/>
      <c r="R197" s="10"/>
      <c r="S197" s="10"/>
      <c r="T197" s="10" t="s">
        <v>50</v>
      </c>
      <c r="U197" s="10"/>
      <c r="V197" s="10"/>
      <c r="W197" s="10"/>
      <c r="X197" s="10"/>
      <c r="Y197" s="10"/>
      <c r="Z197" s="10"/>
      <c r="AA197" s="10"/>
      <c r="AB197" s="10"/>
      <c r="AC197" s="10"/>
      <c r="AD197" s="10"/>
      <c r="AE197" s="10"/>
      <c r="AF197" s="10"/>
      <c r="AG197" s="10"/>
      <c r="AH197" s="10"/>
      <c r="AI197" s="10"/>
      <c r="AJ197" s="10"/>
      <c r="AK197" s="10"/>
      <c r="AL197" s="10" t="s">
        <v>45</v>
      </c>
      <c r="AM197" s="10"/>
      <c r="AN197" s="10"/>
      <c r="AO197" s="10"/>
      <c r="AP197" s="10" t="s">
        <v>46</v>
      </c>
      <c r="AQ197" s="10"/>
      <c r="AR197" s="10"/>
      <c r="AS197" s="10"/>
    </row>
    <row r="198" customFormat="false" ht="21.75" hidden="false" customHeight="true" outlineLevel="0" collapsed="false">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row>
    <row r="200" customFormat="false" ht="18.75" hidden="false" customHeight="true" outlineLevel="0" collapsed="false">
      <c r="A200" s="14" t="s">
        <v>334</v>
      </c>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row>
    <row r="201" customFormat="false" ht="15" hidden="false" customHeight="true" outlineLevel="0" collapsed="false">
      <c r="A201" s="8" t="s">
        <v>124</v>
      </c>
      <c r="B201" s="15"/>
      <c r="C201" s="15"/>
      <c r="D201" s="15"/>
      <c r="E201" s="15"/>
      <c r="G201" s="15"/>
      <c r="H201" s="15"/>
      <c r="I201" s="15"/>
      <c r="J201" s="15"/>
      <c r="L201" s="15"/>
      <c r="M201" s="15"/>
      <c r="N201" s="15"/>
      <c r="O201" s="15"/>
      <c r="Q201" s="5" t="s">
        <v>237</v>
      </c>
    </row>
    <row r="202" customFormat="false" ht="12" hidden="false" customHeight="true" outlineLevel="0" collapsed="false">
      <c r="A202" s="5" t="s">
        <v>64</v>
      </c>
      <c r="F202" s="10" t="s">
        <v>0</v>
      </c>
      <c r="G202" s="10"/>
      <c r="H202" s="10"/>
      <c r="I202" s="10"/>
      <c r="J202" s="10" t="s">
        <v>1</v>
      </c>
      <c r="K202" s="10"/>
      <c r="L202" s="10"/>
      <c r="M202" s="10"/>
      <c r="N202" s="10" t="s">
        <v>2</v>
      </c>
      <c r="O202" s="10"/>
      <c r="P202" s="10"/>
      <c r="Q202" s="10"/>
      <c r="R202" s="10" t="s">
        <v>3</v>
      </c>
      <c r="S202" s="10"/>
      <c r="T202" s="10"/>
      <c r="U202" s="10"/>
      <c r="V202" s="10" t="s">
        <v>4</v>
      </c>
      <c r="W202" s="10"/>
      <c r="X202" s="10"/>
      <c r="Y202" s="10"/>
      <c r="Z202" s="10" t="s">
        <v>5</v>
      </c>
      <c r="AA202" s="10"/>
      <c r="AB202" s="10"/>
      <c r="AC202" s="10"/>
      <c r="AD202" s="10" t="s">
        <v>6</v>
      </c>
      <c r="AE202" s="10"/>
      <c r="AF202" s="10"/>
      <c r="AG202" s="10"/>
      <c r="AH202" s="10" t="s">
        <v>7</v>
      </c>
      <c r="AI202" s="10"/>
      <c r="AJ202" s="10"/>
      <c r="AK202" s="10"/>
      <c r="AL202" s="10" t="s">
        <v>8</v>
      </c>
      <c r="AM202" s="10"/>
      <c r="AN202" s="10"/>
      <c r="AO202" s="10"/>
      <c r="AP202" s="10" t="s">
        <v>9</v>
      </c>
      <c r="AQ202" s="10"/>
      <c r="AR202" s="10"/>
      <c r="AS202" s="10"/>
      <c r="AT202" s="10" t="s">
        <v>10</v>
      </c>
      <c r="AU202" s="10"/>
      <c r="AV202" s="10"/>
      <c r="AW202" s="10"/>
      <c r="AX202" s="10" t="s">
        <v>11</v>
      </c>
      <c r="AY202" s="10"/>
      <c r="AZ202" s="10"/>
      <c r="BA202" s="10"/>
    </row>
    <row r="203" customFormat="false" ht="21.75" hidden="false" customHeight="true" outlineLevel="0" collapsed="false">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row>
    <row r="204" customFormat="false" ht="12" hidden="false" customHeight="true" outlineLevel="0" collapsed="false">
      <c r="A204" s="5" t="s">
        <v>65</v>
      </c>
      <c r="H204" s="10" t="s">
        <v>66</v>
      </c>
      <c r="I204" s="10"/>
      <c r="J204" s="10"/>
      <c r="K204" s="10"/>
      <c r="L204" s="10" t="s">
        <v>67</v>
      </c>
      <c r="M204" s="10"/>
      <c r="N204" s="10"/>
      <c r="O204" s="10"/>
      <c r="P204" s="10" t="s">
        <v>68</v>
      </c>
      <c r="Q204" s="10"/>
      <c r="R204" s="10"/>
      <c r="S204" s="10"/>
      <c r="T204" s="10" t="s">
        <v>69</v>
      </c>
      <c r="U204" s="10"/>
      <c r="V204" s="10"/>
      <c r="W204" s="10"/>
      <c r="X204" s="10" t="s">
        <v>70</v>
      </c>
      <c r="Y204" s="10"/>
      <c r="Z204" s="10"/>
      <c r="AA204" s="10"/>
      <c r="AB204" s="10" t="s">
        <v>71</v>
      </c>
      <c r="AC204" s="10"/>
      <c r="AD204" s="10"/>
      <c r="AE204" s="10"/>
      <c r="AF204" s="10" t="s">
        <v>72</v>
      </c>
      <c r="AG204" s="10"/>
      <c r="AH204" s="10"/>
      <c r="AI204" s="10"/>
      <c r="AJ204" s="10" t="s">
        <v>73</v>
      </c>
      <c r="AK204" s="10"/>
      <c r="AL204" s="10"/>
      <c r="AM204" s="10"/>
      <c r="AN204" s="10" t="s">
        <v>74</v>
      </c>
      <c r="AO204" s="10"/>
      <c r="AP204" s="10"/>
      <c r="AQ204" s="10"/>
      <c r="AR204" s="10" t="s">
        <v>75</v>
      </c>
      <c r="AS204" s="10"/>
      <c r="AT204" s="10"/>
      <c r="AU204" s="10"/>
      <c r="AV204" s="10" t="s">
        <v>22</v>
      </c>
      <c r="AW204" s="10"/>
      <c r="AX204" s="10"/>
      <c r="AY204" s="10"/>
      <c r="AZ204" s="10" t="s">
        <v>23</v>
      </c>
      <c r="BA204" s="10"/>
      <c r="BB204" s="10"/>
      <c r="BC204" s="10"/>
    </row>
    <row r="205" customFormat="false" ht="21.75" hidden="false" customHeight="true" outlineLevel="0" collapsed="false">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row>
    <row r="206" customFormat="false" ht="12" hidden="false" customHeight="true" outlineLevel="0" collapsed="false">
      <c r="A206" s="5" t="s">
        <v>82</v>
      </c>
      <c r="I206" s="10" t="s">
        <v>83</v>
      </c>
      <c r="J206" s="10"/>
      <c r="K206" s="10"/>
      <c r="L206" s="10"/>
      <c r="M206" s="10" t="s">
        <v>84</v>
      </c>
      <c r="N206" s="10"/>
      <c r="O206" s="10"/>
      <c r="P206" s="10"/>
      <c r="Q206" s="10" t="s">
        <v>85</v>
      </c>
      <c r="R206" s="10"/>
      <c r="S206" s="10"/>
      <c r="T206" s="10"/>
      <c r="U206" s="10" t="s">
        <v>86</v>
      </c>
      <c r="V206" s="10"/>
      <c r="W206" s="10"/>
      <c r="X206" s="10"/>
      <c r="Y206" s="10" t="s">
        <v>87</v>
      </c>
      <c r="Z206" s="10"/>
      <c r="AA206" s="10"/>
      <c r="AB206" s="10"/>
      <c r="AC206" s="10" t="s">
        <v>88</v>
      </c>
      <c r="AD206" s="10"/>
      <c r="AE206" s="10"/>
      <c r="AF206" s="10"/>
      <c r="AG206" s="10" t="s">
        <v>89</v>
      </c>
      <c r="AH206" s="10"/>
      <c r="AI206" s="10"/>
      <c r="AJ206" s="10"/>
      <c r="AK206" s="10" t="s">
        <v>90</v>
      </c>
      <c r="AL206" s="10"/>
      <c r="AM206" s="10"/>
      <c r="AN206" s="10"/>
      <c r="AO206" s="10" t="s">
        <v>91</v>
      </c>
      <c r="AP206" s="10"/>
      <c r="AQ206" s="10"/>
      <c r="AR206" s="10"/>
      <c r="AS206" s="10" t="s">
        <v>33</v>
      </c>
      <c r="AT206" s="10"/>
      <c r="AU206" s="10"/>
      <c r="AV206" s="10"/>
      <c r="AW206" s="10" t="s">
        <v>34</v>
      </c>
      <c r="AX206" s="10"/>
      <c r="AY206" s="10"/>
      <c r="AZ206" s="10"/>
    </row>
    <row r="207" customFormat="false" ht="21.75" hidden="false" customHeight="true" outlineLevel="0" collapsed="false">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row>
    <row r="208" customFormat="false" ht="12" hidden="false" customHeight="true" outlineLevel="0" collapsed="false">
      <c r="A208" s="5" t="s">
        <v>102</v>
      </c>
      <c r="K208" s="10" t="s">
        <v>103</v>
      </c>
      <c r="L208" s="10"/>
      <c r="M208" s="10"/>
      <c r="N208" s="10"/>
      <c r="O208" s="10" t="s">
        <v>104</v>
      </c>
      <c r="P208" s="10"/>
      <c r="Q208" s="10"/>
      <c r="R208" s="10"/>
      <c r="S208" s="10" t="s">
        <v>105</v>
      </c>
      <c r="T208" s="10"/>
      <c r="U208" s="10"/>
      <c r="V208" s="10"/>
      <c r="W208" s="10" t="s">
        <v>106</v>
      </c>
      <c r="X208" s="10"/>
      <c r="Y208" s="10"/>
      <c r="Z208" s="10"/>
      <c r="AA208" s="10" t="s">
        <v>107</v>
      </c>
      <c r="AB208" s="10"/>
      <c r="AC208" s="10"/>
      <c r="AD208" s="10"/>
      <c r="AE208" s="10" t="s">
        <v>108</v>
      </c>
      <c r="AF208" s="10"/>
      <c r="AG208" s="10"/>
      <c r="AH208" s="10"/>
      <c r="AI208" s="10" t="s">
        <v>109</v>
      </c>
      <c r="AJ208" s="10"/>
      <c r="AK208" s="10"/>
      <c r="AL208" s="10"/>
      <c r="AM208" s="10" t="s">
        <v>42</v>
      </c>
      <c r="AN208" s="10"/>
      <c r="AO208" s="10"/>
      <c r="AP208" s="10"/>
      <c r="AQ208" s="10" t="s">
        <v>43</v>
      </c>
      <c r="AR208" s="10"/>
      <c r="AS208" s="10"/>
      <c r="AT208" s="10"/>
      <c r="AU208" s="10" t="s">
        <v>44</v>
      </c>
      <c r="AV208" s="10"/>
      <c r="AW208" s="10"/>
      <c r="AX208" s="10"/>
    </row>
    <row r="209" customFormat="false" ht="21.75" hidden="false" customHeight="true" outlineLevel="0" collapsed="false">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customFormat="false" ht="12" hidden="false" customHeight="true" outlineLevel="0" collapsed="false">
      <c r="A210" s="5" t="s">
        <v>120</v>
      </c>
      <c r="P210" s="10" t="s">
        <v>48</v>
      </c>
      <c r="Q210" s="10"/>
      <c r="R210" s="10"/>
      <c r="S210" s="10"/>
      <c r="T210" s="10" t="s">
        <v>50</v>
      </c>
      <c r="U210" s="10"/>
      <c r="V210" s="10"/>
      <c r="W210" s="10"/>
      <c r="X210" s="10"/>
      <c r="Y210" s="10"/>
      <c r="Z210" s="10"/>
      <c r="AA210" s="10"/>
      <c r="AB210" s="10"/>
      <c r="AC210" s="10"/>
      <c r="AD210" s="10"/>
      <c r="AE210" s="10"/>
      <c r="AF210" s="10"/>
      <c r="AG210" s="10"/>
      <c r="AH210" s="10"/>
      <c r="AI210" s="10"/>
      <c r="AJ210" s="10"/>
      <c r="AK210" s="10"/>
      <c r="AL210" s="10" t="s">
        <v>45</v>
      </c>
      <c r="AM210" s="10"/>
      <c r="AN210" s="10"/>
      <c r="AO210" s="10"/>
      <c r="AP210" s="10" t="s">
        <v>46</v>
      </c>
      <c r="AQ210" s="10"/>
      <c r="AR210" s="10"/>
      <c r="AS210" s="10"/>
    </row>
    <row r="211" customFormat="false" ht="21.75" hidden="false" customHeight="true" outlineLevel="0" collapsed="false">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row>
    <row r="213" customFormat="false" ht="18.75" hidden="false" customHeight="true" outlineLevel="0" collapsed="false">
      <c r="A213" s="14" t="s">
        <v>335</v>
      </c>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row>
    <row r="214" customFormat="false" ht="15" hidden="false" customHeight="true" outlineLevel="0" collapsed="false">
      <c r="A214" s="8" t="s">
        <v>124</v>
      </c>
      <c r="B214" s="15"/>
      <c r="C214" s="15"/>
      <c r="D214" s="15"/>
      <c r="E214" s="15"/>
      <c r="G214" s="15"/>
      <c r="H214" s="15"/>
      <c r="I214" s="15"/>
      <c r="J214" s="15"/>
      <c r="L214" s="15"/>
      <c r="M214" s="15"/>
      <c r="N214" s="15"/>
      <c r="O214" s="15"/>
      <c r="Q214" s="5" t="s">
        <v>237</v>
      </c>
    </row>
    <row r="215" customFormat="false" ht="12" hidden="false" customHeight="true" outlineLevel="0" collapsed="false">
      <c r="A215" s="5" t="s">
        <v>64</v>
      </c>
      <c r="F215" s="10" t="s">
        <v>0</v>
      </c>
      <c r="G215" s="10"/>
      <c r="H215" s="10"/>
      <c r="I215" s="10"/>
      <c r="J215" s="10" t="s">
        <v>1</v>
      </c>
      <c r="K215" s="10"/>
      <c r="L215" s="10"/>
      <c r="M215" s="10"/>
      <c r="N215" s="10" t="s">
        <v>2</v>
      </c>
      <c r="O215" s="10"/>
      <c r="P215" s="10"/>
      <c r="Q215" s="10"/>
      <c r="R215" s="10" t="s">
        <v>3</v>
      </c>
      <c r="S215" s="10"/>
      <c r="T215" s="10"/>
      <c r="U215" s="10"/>
      <c r="V215" s="10" t="s">
        <v>4</v>
      </c>
      <c r="W215" s="10"/>
      <c r="X215" s="10"/>
      <c r="Y215" s="10"/>
      <c r="Z215" s="10" t="s">
        <v>5</v>
      </c>
      <c r="AA215" s="10"/>
      <c r="AB215" s="10"/>
      <c r="AC215" s="10"/>
      <c r="AD215" s="10" t="s">
        <v>6</v>
      </c>
      <c r="AE215" s="10"/>
      <c r="AF215" s="10"/>
      <c r="AG215" s="10"/>
      <c r="AH215" s="10" t="s">
        <v>7</v>
      </c>
      <c r="AI215" s="10"/>
      <c r="AJ215" s="10"/>
      <c r="AK215" s="10"/>
      <c r="AL215" s="10" t="s">
        <v>8</v>
      </c>
      <c r="AM215" s="10"/>
      <c r="AN215" s="10"/>
      <c r="AO215" s="10"/>
      <c r="AP215" s="10" t="s">
        <v>9</v>
      </c>
      <c r="AQ215" s="10"/>
      <c r="AR215" s="10"/>
      <c r="AS215" s="10"/>
      <c r="AT215" s="10" t="s">
        <v>10</v>
      </c>
      <c r="AU215" s="10"/>
      <c r="AV215" s="10"/>
      <c r="AW215" s="10"/>
      <c r="AX215" s="10" t="s">
        <v>11</v>
      </c>
      <c r="AY215" s="10"/>
      <c r="AZ215" s="10"/>
      <c r="BA215" s="10"/>
    </row>
    <row r="216" customFormat="false" ht="21.75" hidden="false" customHeight="true" outlineLevel="0" collapsed="false">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row>
    <row r="217" customFormat="false" ht="12" hidden="false" customHeight="true" outlineLevel="0" collapsed="false">
      <c r="A217" s="5" t="s">
        <v>65</v>
      </c>
      <c r="H217" s="10" t="s">
        <v>66</v>
      </c>
      <c r="I217" s="10"/>
      <c r="J217" s="10"/>
      <c r="K217" s="10"/>
      <c r="L217" s="10" t="s">
        <v>67</v>
      </c>
      <c r="M217" s="10"/>
      <c r="N217" s="10"/>
      <c r="O217" s="10"/>
      <c r="P217" s="10" t="s">
        <v>68</v>
      </c>
      <c r="Q217" s="10"/>
      <c r="R217" s="10"/>
      <c r="S217" s="10"/>
      <c r="T217" s="10" t="s">
        <v>69</v>
      </c>
      <c r="U217" s="10"/>
      <c r="V217" s="10"/>
      <c r="W217" s="10"/>
      <c r="X217" s="10" t="s">
        <v>70</v>
      </c>
      <c r="Y217" s="10"/>
      <c r="Z217" s="10"/>
      <c r="AA217" s="10"/>
      <c r="AB217" s="10" t="s">
        <v>71</v>
      </c>
      <c r="AC217" s="10"/>
      <c r="AD217" s="10"/>
      <c r="AE217" s="10"/>
      <c r="AF217" s="10" t="s">
        <v>72</v>
      </c>
      <c r="AG217" s="10"/>
      <c r="AH217" s="10"/>
      <c r="AI217" s="10"/>
      <c r="AJ217" s="10" t="s">
        <v>73</v>
      </c>
      <c r="AK217" s="10"/>
      <c r="AL217" s="10"/>
      <c r="AM217" s="10"/>
      <c r="AN217" s="10" t="s">
        <v>74</v>
      </c>
      <c r="AO217" s="10"/>
      <c r="AP217" s="10"/>
      <c r="AQ217" s="10"/>
      <c r="AR217" s="10" t="s">
        <v>75</v>
      </c>
      <c r="AS217" s="10"/>
      <c r="AT217" s="10"/>
      <c r="AU217" s="10"/>
      <c r="AV217" s="10" t="s">
        <v>22</v>
      </c>
      <c r="AW217" s="10"/>
      <c r="AX217" s="10"/>
      <c r="AY217" s="10"/>
      <c r="AZ217" s="10" t="s">
        <v>23</v>
      </c>
      <c r="BA217" s="10"/>
      <c r="BB217" s="10"/>
      <c r="BC217" s="10"/>
    </row>
    <row r="218" customFormat="false" ht="21.75" hidden="false" customHeight="true" outlineLevel="0" collapsed="false">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row>
    <row r="219" customFormat="false" ht="12" hidden="false" customHeight="true" outlineLevel="0" collapsed="false">
      <c r="A219" s="5" t="s">
        <v>82</v>
      </c>
      <c r="I219" s="10" t="s">
        <v>83</v>
      </c>
      <c r="J219" s="10"/>
      <c r="K219" s="10"/>
      <c r="L219" s="10"/>
      <c r="M219" s="10" t="s">
        <v>84</v>
      </c>
      <c r="N219" s="10"/>
      <c r="O219" s="10"/>
      <c r="P219" s="10"/>
      <c r="Q219" s="10" t="s">
        <v>85</v>
      </c>
      <c r="R219" s="10"/>
      <c r="S219" s="10"/>
      <c r="T219" s="10"/>
      <c r="U219" s="10" t="s">
        <v>86</v>
      </c>
      <c r="V219" s="10"/>
      <c r="W219" s="10"/>
      <c r="X219" s="10"/>
      <c r="Y219" s="10" t="s">
        <v>87</v>
      </c>
      <c r="Z219" s="10"/>
      <c r="AA219" s="10"/>
      <c r="AB219" s="10"/>
      <c r="AC219" s="10" t="s">
        <v>88</v>
      </c>
      <c r="AD219" s="10"/>
      <c r="AE219" s="10"/>
      <c r="AF219" s="10"/>
      <c r="AG219" s="10" t="s">
        <v>89</v>
      </c>
      <c r="AH219" s="10"/>
      <c r="AI219" s="10"/>
      <c r="AJ219" s="10"/>
      <c r="AK219" s="10" t="s">
        <v>90</v>
      </c>
      <c r="AL219" s="10"/>
      <c r="AM219" s="10"/>
      <c r="AN219" s="10"/>
      <c r="AO219" s="10" t="s">
        <v>91</v>
      </c>
      <c r="AP219" s="10"/>
      <c r="AQ219" s="10"/>
      <c r="AR219" s="10"/>
      <c r="AS219" s="10" t="s">
        <v>33</v>
      </c>
      <c r="AT219" s="10"/>
      <c r="AU219" s="10"/>
      <c r="AV219" s="10"/>
      <c r="AW219" s="10" t="s">
        <v>34</v>
      </c>
      <c r="AX219" s="10"/>
      <c r="AY219" s="10"/>
      <c r="AZ219" s="10"/>
    </row>
    <row r="220" customFormat="false" ht="21.75" hidden="false" customHeight="true" outlineLevel="0" collapsed="false">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row>
    <row r="221" customFormat="false" ht="12" hidden="false" customHeight="true" outlineLevel="0" collapsed="false">
      <c r="A221" s="5" t="s">
        <v>102</v>
      </c>
      <c r="K221" s="10" t="s">
        <v>103</v>
      </c>
      <c r="L221" s="10"/>
      <c r="M221" s="10"/>
      <c r="N221" s="10"/>
      <c r="O221" s="10" t="s">
        <v>104</v>
      </c>
      <c r="P221" s="10"/>
      <c r="Q221" s="10"/>
      <c r="R221" s="10"/>
      <c r="S221" s="10" t="s">
        <v>105</v>
      </c>
      <c r="T221" s="10"/>
      <c r="U221" s="10"/>
      <c r="V221" s="10"/>
      <c r="W221" s="10" t="s">
        <v>106</v>
      </c>
      <c r="X221" s="10"/>
      <c r="Y221" s="10"/>
      <c r="Z221" s="10"/>
      <c r="AA221" s="10" t="s">
        <v>107</v>
      </c>
      <c r="AB221" s="10"/>
      <c r="AC221" s="10"/>
      <c r="AD221" s="10"/>
      <c r="AE221" s="10" t="s">
        <v>108</v>
      </c>
      <c r="AF221" s="10"/>
      <c r="AG221" s="10"/>
      <c r="AH221" s="10"/>
      <c r="AI221" s="10" t="s">
        <v>109</v>
      </c>
      <c r="AJ221" s="10"/>
      <c r="AK221" s="10"/>
      <c r="AL221" s="10"/>
      <c r="AM221" s="10" t="s">
        <v>42</v>
      </c>
      <c r="AN221" s="10"/>
      <c r="AO221" s="10"/>
      <c r="AP221" s="10"/>
      <c r="AQ221" s="10" t="s">
        <v>43</v>
      </c>
      <c r="AR221" s="10"/>
      <c r="AS221" s="10"/>
      <c r="AT221" s="10"/>
      <c r="AU221" s="10" t="s">
        <v>44</v>
      </c>
      <c r="AV221" s="10"/>
      <c r="AW221" s="10"/>
      <c r="AX221" s="10"/>
    </row>
    <row r="222" customFormat="false" ht="21.75" hidden="false" customHeight="true" outlineLevel="0" collapsed="false">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customFormat="false" ht="12" hidden="false" customHeight="true" outlineLevel="0" collapsed="false">
      <c r="A223" s="5" t="s">
        <v>120</v>
      </c>
      <c r="P223" s="10" t="s">
        <v>48</v>
      </c>
      <c r="Q223" s="10"/>
      <c r="R223" s="10"/>
      <c r="S223" s="10"/>
      <c r="T223" s="10" t="s">
        <v>50</v>
      </c>
      <c r="U223" s="10"/>
      <c r="V223" s="10"/>
      <c r="W223" s="10"/>
      <c r="X223" s="10"/>
      <c r="Y223" s="10"/>
      <c r="Z223" s="10"/>
      <c r="AA223" s="10"/>
      <c r="AB223" s="10"/>
      <c r="AC223" s="10"/>
      <c r="AD223" s="10"/>
      <c r="AE223" s="10"/>
      <c r="AF223" s="10"/>
      <c r="AG223" s="10"/>
      <c r="AH223" s="10"/>
      <c r="AI223" s="10"/>
      <c r="AJ223" s="10"/>
      <c r="AK223" s="10"/>
      <c r="AL223" s="10" t="s">
        <v>45</v>
      </c>
      <c r="AM223" s="10"/>
      <c r="AN223" s="10"/>
      <c r="AO223" s="10"/>
      <c r="AP223" s="10" t="s">
        <v>46</v>
      </c>
      <c r="AQ223" s="10"/>
      <c r="AR223" s="10"/>
      <c r="AS223" s="10"/>
    </row>
    <row r="224" customFormat="false" ht="21.75" hidden="false" customHeight="true" outlineLevel="0" collapsed="false">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row>
    <row r="226" customFormat="false" ht="18.75" hidden="false" customHeight="true" outlineLevel="0" collapsed="false">
      <c r="A226" s="14" t="s">
        <v>336</v>
      </c>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row>
    <row r="227" customFormat="false" ht="15" hidden="false" customHeight="true" outlineLevel="0" collapsed="false">
      <c r="A227" s="8" t="s">
        <v>124</v>
      </c>
      <c r="B227" s="15"/>
      <c r="C227" s="15"/>
      <c r="D227" s="15"/>
      <c r="E227" s="15"/>
      <c r="G227" s="15"/>
      <c r="H227" s="15"/>
      <c r="I227" s="15"/>
      <c r="J227" s="15"/>
      <c r="L227" s="15"/>
      <c r="M227" s="15"/>
      <c r="N227" s="15"/>
      <c r="O227" s="15"/>
      <c r="Q227" s="5" t="s">
        <v>237</v>
      </c>
    </row>
    <row r="228" customFormat="false" ht="12" hidden="false" customHeight="true" outlineLevel="0" collapsed="false">
      <c r="A228" s="5" t="s">
        <v>64</v>
      </c>
      <c r="F228" s="10" t="s">
        <v>0</v>
      </c>
      <c r="G228" s="10"/>
      <c r="H228" s="10"/>
      <c r="I228" s="10"/>
      <c r="J228" s="10" t="s">
        <v>1</v>
      </c>
      <c r="K228" s="10"/>
      <c r="L228" s="10"/>
      <c r="M228" s="10"/>
      <c r="N228" s="10" t="s">
        <v>2</v>
      </c>
      <c r="O228" s="10"/>
      <c r="P228" s="10"/>
      <c r="Q228" s="10"/>
      <c r="R228" s="10" t="s">
        <v>3</v>
      </c>
      <c r="S228" s="10"/>
      <c r="T228" s="10"/>
      <c r="U228" s="10"/>
      <c r="V228" s="10" t="s">
        <v>4</v>
      </c>
      <c r="W228" s="10"/>
      <c r="X228" s="10"/>
      <c r="Y228" s="10"/>
      <c r="Z228" s="10" t="s">
        <v>5</v>
      </c>
      <c r="AA228" s="10"/>
      <c r="AB228" s="10"/>
      <c r="AC228" s="10"/>
      <c r="AD228" s="10" t="s">
        <v>6</v>
      </c>
      <c r="AE228" s="10"/>
      <c r="AF228" s="10"/>
      <c r="AG228" s="10"/>
      <c r="AH228" s="10" t="s">
        <v>7</v>
      </c>
      <c r="AI228" s="10"/>
      <c r="AJ228" s="10"/>
      <c r="AK228" s="10"/>
      <c r="AL228" s="10" t="s">
        <v>8</v>
      </c>
      <c r="AM228" s="10"/>
      <c r="AN228" s="10"/>
      <c r="AO228" s="10"/>
      <c r="AP228" s="10" t="s">
        <v>9</v>
      </c>
      <c r="AQ228" s="10"/>
      <c r="AR228" s="10"/>
      <c r="AS228" s="10"/>
      <c r="AT228" s="10" t="s">
        <v>10</v>
      </c>
      <c r="AU228" s="10"/>
      <c r="AV228" s="10"/>
      <c r="AW228" s="10"/>
      <c r="AX228" s="10" t="s">
        <v>11</v>
      </c>
      <c r="AY228" s="10"/>
      <c r="AZ228" s="10"/>
      <c r="BA228" s="10"/>
    </row>
    <row r="229" customFormat="false" ht="21.75" hidden="false" customHeight="true" outlineLevel="0" collapsed="false">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row>
    <row r="230" customFormat="false" ht="12" hidden="false" customHeight="true" outlineLevel="0" collapsed="false">
      <c r="A230" s="5" t="s">
        <v>65</v>
      </c>
      <c r="H230" s="10" t="s">
        <v>66</v>
      </c>
      <c r="I230" s="10"/>
      <c r="J230" s="10"/>
      <c r="K230" s="10"/>
      <c r="L230" s="10" t="s">
        <v>67</v>
      </c>
      <c r="M230" s="10"/>
      <c r="N230" s="10"/>
      <c r="O230" s="10"/>
      <c r="P230" s="10" t="s">
        <v>68</v>
      </c>
      <c r="Q230" s="10"/>
      <c r="R230" s="10"/>
      <c r="S230" s="10"/>
      <c r="T230" s="10" t="s">
        <v>69</v>
      </c>
      <c r="U230" s="10"/>
      <c r="V230" s="10"/>
      <c r="W230" s="10"/>
      <c r="X230" s="10" t="s">
        <v>70</v>
      </c>
      <c r="Y230" s="10"/>
      <c r="Z230" s="10"/>
      <c r="AA230" s="10"/>
      <c r="AB230" s="10" t="s">
        <v>71</v>
      </c>
      <c r="AC230" s="10"/>
      <c r="AD230" s="10"/>
      <c r="AE230" s="10"/>
      <c r="AF230" s="10" t="s">
        <v>72</v>
      </c>
      <c r="AG230" s="10"/>
      <c r="AH230" s="10"/>
      <c r="AI230" s="10"/>
      <c r="AJ230" s="10" t="s">
        <v>73</v>
      </c>
      <c r="AK230" s="10"/>
      <c r="AL230" s="10"/>
      <c r="AM230" s="10"/>
      <c r="AN230" s="10" t="s">
        <v>74</v>
      </c>
      <c r="AO230" s="10"/>
      <c r="AP230" s="10"/>
      <c r="AQ230" s="10"/>
      <c r="AR230" s="10" t="s">
        <v>75</v>
      </c>
      <c r="AS230" s="10"/>
      <c r="AT230" s="10"/>
      <c r="AU230" s="10"/>
      <c r="AV230" s="10" t="s">
        <v>22</v>
      </c>
      <c r="AW230" s="10"/>
      <c r="AX230" s="10"/>
      <c r="AY230" s="10"/>
      <c r="AZ230" s="10" t="s">
        <v>23</v>
      </c>
      <c r="BA230" s="10"/>
      <c r="BB230" s="10"/>
      <c r="BC230" s="10"/>
    </row>
    <row r="231" customFormat="false" ht="21.75" hidden="false" customHeight="true" outlineLevel="0" collapsed="false">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row>
    <row r="232" customFormat="false" ht="12" hidden="false" customHeight="true" outlineLevel="0" collapsed="false">
      <c r="A232" s="5" t="s">
        <v>82</v>
      </c>
      <c r="I232" s="10" t="s">
        <v>83</v>
      </c>
      <c r="J232" s="10"/>
      <c r="K232" s="10"/>
      <c r="L232" s="10"/>
      <c r="M232" s="10" t="s">
        <v>84</v>
      </c>
      <c r="N232" s="10"/>
      <c r="O232" s="10"/>
      <c r="P232" s="10"/>
      <c r="Q232" s="10" t="s">
        <v>85</v>
      </c>
      <c r="R232" s="10"/>
      <c r="S232" s="10"/>
      <c r="T232" s="10"/>
      <c r="U232" s="10" t="s">
        <v>86</v>
      </c>
      <c r="V232" s="10"/>
      <c r="W232" s="10"/>
      <c r="X232" s="10"/>
      <c r="Y232" s="10" t="s">
        <v>87</v>
      </c>
      <c r="Z232" s="10"/>
      <c r="AA232" s="10"/>
      <c r="AB232" s="10"/>
      <c r="AC232" s="10" t="s">
        <v>88</v>
      </c>
      <c r="AD232" s="10"/>
      <c r="AE232" s="10"/>
      <c r="AF232" s="10"/>
      <c r="AG232" s="10" t="s">
        <v>89</v>
      </c>
      <c r="AH232" s="10"/>
      <c r="AI232" s="10"/>
      <c r="AJ232" s="10"/>
      <c r="AK232" s="10" t="s">
        <v>90</v>
      </c>
      <c r="AL232" s="10"/>
      <c r="AM232" s="10"/>
      <c r="AN232" s="10"/>
      <c r="AO232" s="10" t="s">
        <v>91</v>
      </c>
      <c r="AP232" s="10"/>
      <c r="AQ232" s="10"/>
      <c r="AR232" s="10"/>
      <c r="AS232" s="10" t="s">
        <v>33</v>
      </c>
      <c r="AT232" s="10"/>
      <c r="AU232" s="10"/>
      <c r="AV232" s="10"/>
      <c r="AW232" s="10" t="s">
        <v>34</v>
      </c>
      <c r="AX232" s="10"/>
      <c r="AY232" s="10"/>
      <c r="AZ232" s="10"/>
    </row>
    <row r="233" customFormat="false" ht="21.75" hidden="false" customHeight="true" outlineLevel="0" collapsed="false">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row>
    <row r="234" customFormat="false" ht="12" hidden="false" customHeight="true" outlineLevel="0" collapsed="false">
      <c r="A234" s="5" t="s">
        <v>102</v>
      </c>
      <c r="K234" s="10" t="s">
        <v>103</v>
      </c>
      <c r="L234" s="10"/>
      <c r="M234" s="10"/>
      <c r="N234" s="10"/>
      <c r="O234" s="10" t="s">
        <v>104</v>
      </c>
      <c r="P234" s="10"/>
      <c r="Q234" s="10"/>
      <c r="R234" s="10"/>
      <c r="S234" s="10" t="s">
        <v>105</v>
      </c>
      <c r="T234" s="10"/>
      <c r="U234" s="10"/>
      <c r="V234" s="10"/>
      <c r="W234" s="10" t="s">
        <v>106</v>
      </c>
      <c r="X234" s="10"/>
      <c r="Y234" s="10"/>
      <c r="Z234" s="10"/>
      <c r="AA234" s="10" t="s">
        <v>107</v>
      </c>
      <c r="AB234" s="10"/>
      <c r="AC234" s="10"/>
      <c r="AD234" s="10"/>
      <c r="AE234" s="10" t="s">
        <v>108</v>
      </c>
      <c r="AF234" s="10"/>
      <c r="AG234" s="10"/>
      <c r="AH234" s="10"/>
      <c r="AI234" s="10" t="s">
        <v>109</v>
      </c>
      <c r="AJ234" s="10"/>
      <c r="AK234" s="10"/>
      <c r="AL234" s="10"/>
      <c r="AM234" s="10" t="s">
        <v>42</v>
      </c>
      <c r="AN234" s="10"/>
      <c r="AO234" s="10"/>
      <c r="AP234" s="10"/>
      <c r="AQ234" s="10" t="s">
        <v>43</v>
      </c>
      <c r="AR234" s="10"/>
      <c r="AS234" s="10"/>
      <c r="AT234" s="10"/>
      <c r="AU234" s="10" t="s">
        <v>44</v>
      </c>
      <c r="AV234" s="10"/>
      <c r="AW234" s="10"/>
      <c r="AX234" s="10"/>
    </row>
    <row r="235" customFormat="false" ht="21.75" hidden="false" customHeight="true" outlineLevel="0" collapsed="false">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customFormat="false" ht="12" hidden="false" customHeight="true" outlineLevel="0" collapsed="false">
      <c r="A236" s="5" t="s">
        <v>120</v>
      </c>
      <c r="P236" s="10" t="s">
        <v>48</v>
      </c>
      <c r="Q236" s="10"/>
      <c r="R236" s="10"/>
      <c r="S236" s="10"/>
      <c r="T236" s="10" t="s">
        <v>50</v>
      </c>
      <c r="U236" s="10"/>
      <c r="V236" s="10"/>
      <c r="W236" s="10"/>
      <c r="X236" s="10"/>
      <c r="Y236" s="10"/>
      <c r="Z236" s="10"/>
      <c r="AA236" s="10"/>
      <c r="AB236" s="10"/>
      <c r="AC236" s="10"/>
      <c r="AD236" s="10"/>
      <c r="AE236" s="10"/>
      <c r="AF236" s="10"/>
      <c r="AG236" s="10"/>
      <c r="AH236" s="10"/>
      <c r="AI236" s="10"/>
      <c r="AJ236" s="10"/>
      <c r="AK236" s="10"/>
      <c r="AL236" s="10" t="s">
        <v>45</v>
      </c>
      <c r="AM236" s="10"/>
      <c r="AN236" s="10"/>
      <c r="AO236" s="10"/>
      <c r="AP236" s="10" t="s">
        <v>46</v>
      </c>
      <c r="AQ236" s="10"/>
      <c r="AR236" s="10"/>
      <c r="AS236" s="10"/>
    </row>
    <row r="237" customFormat="false" ht="21.75" hidden="false" customHeight="true" outlineLevel="0" collapsed="false">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row>
    <row r="239" customFormat="false" ht="18.75" hidden="false" customHeight="true" outlineLevel="0" collapsed="false">
      <c r="A239" s="14" t="s">
        <v>337</v>
      </c>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row>
    <row r="240" customFormat="false" ht="15" hidden="false" customHeight="true" outlineLevel="0" collapsed="false">
      <c r="A240" s="8" t="s">
        <v>124</v>
      </c>
      <c r="B240" s="15"/>
      <c r="C240" s="15"/>
      <c r="D240" s="15"/>
      <c r="E240" s="15"/>
      <c r="G240" s="15"/>
      <c r="H240" s="15"/>
      <c r="I240" s="15"/>
      <c r="J240" s="15"/>
      <c r="L240" s="15"/>
      <c r="M240" s="15"/>
      <c r="N240" s="15"/>
      <c r="O240" s="15"/>
      <c r="Q240" s="5" t="s">
        <v>237</v>
      </c>
    </row>
    <row r="241" customFormat="false" ht="12" hidden="false" customHeight="true" outlineLevel="0" collapsed="false">
      <c r="A241" s="5" t="s">
        <v>64</v>
      </c>
      <c r="F241" s="10" t="s">
        <v>0</v>
      </c>
      <c r="G241" s="10"/>
      <c r="H241" s="10"/>
      <c r="I241" s="10"/>
      <c r="J241" s="10" t="s">
        <v>1</v>
      </c>
      <c r="K241" s="10"/>
      <c r="L241" s="10"/>
      <c r="M241" s="10"/>
      <c r="N241" s="10" t="s">
        <v>2</v>
      </c>
      <c r="O241" s="10"/>
      <c r="P241" s="10"/>
      <c r="Q241" s="10"/>
      <c r="R241" s="10" t="s">
        <v>3</v>
      </c>
      <c r="S241" s="10"/>
      <c r="T241" s="10"/>
      <c r="U241" s="10"/>
      <c r="V241" s="10" t="s">
        <v>4</v>
      </c>
      <c r="W241" s="10"/>
      <c r="X241" s="10"/>
      <c r="Y241" s="10"/>
      <c r="Z241" s="10" t="s">
        <v>5</v>
      </c>
      <c r="AA241" s="10"/>
      <c r="AB241" s="10"/>
      <c r="AC241" s="10"/>
      <c r="AD241" s="10" t="s">
        <v>6</v>
      </c>
      <c r="AE241" s="10"/>
      <c r="AF241" s="10"/>
      <c r="AG241" s="10"/>
      <c r="AH241" s="10" t="s">
        <v>7</v>
      </c>
      <c r="AI241" s="10"/>
      <c r="AJ241" s="10"/>
      <c r="AK241" s="10"/>
      <c r="AL241" s="10" t="s">
        <v>8</v>
      </c>
      <c r="AM241" s="10"/>
      <c r="AN241" s="10"/>
      <c r="AO241" s="10"/>
      <c r="AP241" s="10" t="s">
        <v>9</v>
      </c>
      <c r="AQ241" s="10"/>
      <c r="AR241" s="10"/>
      <c r="AS241" s="10"/>
      <c r="AT241" s="10" t="s">
        <v>10</v>
      </c>
      <c r="AU241" s="10"/>
      <c r="AV241" s="10"/>
      <c r="AW241" s="10"/>
      <c r="AX241" s="10" t="s">
        <v>11</v>
      </c>
      <c r="AY241" s="10"/>
      <c r="AZ241" s="10"/>
      <c r="BA241" s="10"/>
    </row>
    <row r="242" customFormat="false" ht="21.75" hidden="false" customHeight="true" outlineLevel="0" collapsed="false">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row>
    <row r="243" customFormat="false" ht="12" hidden="false" customHeight="true" outlineLevel="0" collapsed="false">
      <c r="A243" s="5" t="s">
        <v>65</v>
      </c>
      <c r="H243" s="10" t="s">
        <v>66</v>
      </c>
      <c r="I243" s="10"/>
      <c r="J243" s="10"/>
      <c r="K243" s="10"/>
      <c r="L243" s="10" t="s">
        <v>67</v>
      </c>
      <c r="M243" s="10"/>
      <c r="N243" s="10"/>
      <c r="O243" s="10"/>
      <c r="P243" s="10" t="s">
        <v>68</v>
      </c>
      <c r="Q243" s="10"/>
      <c r="R243" s="10"/>
      <c r="S243" s="10"/>
      <c r="T243" s="10" t="s">
        <v>69</v>
      </c>
      <c r="U243" s="10"/>
      <c r="V243" s="10"/>
      <c r="W243" s="10"/>
      <c r="X243" s="10" t="s">
        <v>70</v>
      </c>
      <c r="Y243" s="10"/>
      <c r="Z243" s="10"/>
      <c r="AA243" s="10"/>
      <c r="AB243" s="10" t="s">
        <v>71</v>
      </c>
      <c r="AC243" s="10"/>
      <c r="AD243" s="10"/>
      <c r="AE243" s="10"/>
      <c r="AF243" s="10" t="s">
        <v>72</v>
      </c>
      <c r="AG243" s="10"/>
      <c r="AH243" s="10"/>
      <c r="AI243" s="10"/>
      <c r="AJ243" s="10" t="s">
        <v>73</v>
      </c>
      <c r="AK243" s="10"/>
      <c r="AL243" s="10"/>
      <c r="AM243" s="10"/>
      <c r="AN243" s="10" t="s">
        <v>74</v>
      </c>
      <c r="AO243" s="10"/>
      <c r="AP243" s="10"/>
      <c r="AQ243" s="10"/>
      <c r="AR243" s="10" t="s">
        <v>75</v>
      </c>
      <c r="AS243" s="10"/>
      <c r="AT243" s="10"/>
      <c r="AU243" s="10"/>
      <c r="AV243" s="10" t="s">
        <v>22</v>
      </c>
      <c r="AW243" s="10"/>
      <c r="AX243" s="10"/>
      <c r="AY243" s="10"/>
      <c r="AZ243" s="10" t="s">
        <v>23</v>
      </c>
      <c r="BA243" s="10"/>
      <c r="BB243" s="10"/>
      <c r="BC243" s="10"/>
    </row>
    <row r="244" customFormat="false" ht="21.75" hidden="false" customHeight="true" outlineLevel="0" collapsed="false">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row>
    <row r="245" customFormat="false" ht="12" hidden="false" customHeight="true" outlineLevel="0" collapsed="false">
      <c r="A245" s="5" t="s">
        <v>82</v>
      </c>
      <c r="I245" s="10" t="s">
        <v>83</v>
      </c>
      <c r="J245" s="10"/>
      <c r="K245" s="10"/>
      <c r="L245" s="10"/>
      <c r="M245" s="10" t="s">
        <v>84</v>
      </c>
      <c r="N245" s="10"/>
      <c r="O245" s="10"/>
      <c r="P245" s="10"/>
      <c r="Q245" s="10" t="s">
        <v>85</v>
      </c>
      <c r="R245" s="10"/>
      <c r="S245" s="10"/>
      <c r="T245" s="10"/>
      <c r="U245" s="10" t="s">
        <v>86</v>
      </c>
      <c r="V245" s="10"/>
      <c r="W245" s="10"/>
      <c r="X245" s="10"/>
      <c r="Y245" s="10" t="s">
        <v>87</v>
      </c>
      <c r="Z245" s="10"/>
      <c r="AA245" s="10"/>
      <c r="AB245" s="10"/>
      <c r="AC245" s="10" t="s">
        <v>88</v>
      </c>
      <c r="AD245" s="10"/>
      <c r="AE245" s="10"/>
      <c r="AF245" s="10"/>
      <c r="AG245" s="10" t="s">
        <v>89</v>
      </c>
      <c r="AH245" s="10"/>
      <c r="AI245" s="10"/>
      <c r="AJ245" s="10"/>
      <c r="AK245" s="10" t="s">
        <v>90</v>
      </c>
      <c r="AL245" s="10"/>
      <c r="AM245" s="10"/>
      <c r="AN245" s="10"/>
      <c r="AO245" s="10" t="s">
        <v>91</v>
      </c>
      <c r="AP245" s="10"/>
      <c r="AQ245" s="10"/>
      <c r="AR245" s="10"/>
      <c r="AS245" s="10" t="s">
        <v>33</v>
      </c>
      <c r="AT245" s="10"/>
      <c r="AU245" s="10"/>
      <c r="AV245" s="10"/>
      <c r="AW245" s="10" t="s">
        <v>34</v>
      </c>
      <c r="AX245" s="10"/>
      <c r="AY245" s="10"/>
      <c r="AZ245" s="10"/>
    </row>
    <row r="246" customFormat="false" ht="21.75" hidden="false" customHeight="true" outlineLevel="0" collapsed="false">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row>
    <row r="247" customFormat="false" ht="12" hidden="false" customHeight="true" outlineLevel="0" collapsed="false">
      <c r="A247" s="5" t="s">
        <v>102</v>
      </c>
      <c r="K247" s="10" t="s">
        <v>103</v>
      </c>
      <c r="L247" s="10"/>
      <c r="M247" s="10"/>
      <c r="N247" s="10"/>
      <c r="O247" s="10" t="s">
        <v>104</v>
      </c>
      <c r="P247" s="10"/>
      <c r="Q247" s="10"/>
      <c r="R247" s="10"/>
      <c r="S247" s="10" t="s">
        <v>105</v>
      </c>
      <c r="T247" s="10"/>
      <c r="U247" s="10"/>
      <c r="V247" s="10"/>
      <c r="W247" s="10" t="s">
        <v>106</v>
      </c>
      <c r="X247" s="10"/>
      <c r="Y247" s="10"/>
      <c r="Z247" s="10"/>
      <c r="AA247" s="10" t="s">
        <v>107</v>
      </c>
      <c r="AB247" s="10"/>
      <c r="AC247" s="10"/>
      <c r="AD247" s="10"/>
      <c r="AE247" s="10" t="s">
        <v>108</v>
      </c>
      <c r="AF247" s="10"/>
      <c r="AG247" s="10"/>
      <c r="AH247" s="10"/>
      <c r="AI247" s="10" t="s">
        <v>109</v>
      </c>
      <c r="AJ247" s="10"/>
      <c r="AK247" s="10"/>
      <c r="AL247" s="10"/>
      <c r="AM247" s="10" t="s">
        <v>42</v>
      </c>
      <c r="AN247" s="10"/>
      <c r="AO247" s="10"/>
      <c r="AP247" s="10"/>
      <c r="AQ247" s="10" t="s">
        <v>43</v>
      </c>
      <c r="AR247" s="10"/>
      <c r="AS247" s="10"/>
      <c r="AT247" s="10"/>
      <c r="AU247" s="10" t="s">
        <v>44</v>
      </c>
      <c r="AV247" s="10"/>
      <c r="AW247" s="10"/>
      <c r="AX247" s="10"/>
    </row>
    <row r="248" customFormat="false" ht="21.75" hidden="false" customHeight="true" outlineLevel="0" collapsed="false">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customFormat="false" ht="12" hidden="false" customHeight="true" outlineLevel="0" collapsed="false">
      <c r="A249" s="5" t="s">
        <v>120</v>
      </c>
      <c r="P249" s="10" t="s">
        <v>48</v>
      </c>
      <c r="Q249" s="10"/>
      <c r="R249" s="10"/>
      <c r="S249" s="10"/>
      <c r="T249" s="10" t="s">
        <v>50</v>
      </c>
      <c r="U249" s="10"/>
      <c r="V249" s="10"/>
      <c r="W249" s="10"/>
      <c r="X249" s="10"/>
      <c r="Y249" s="10"/>
      <c r="Z249" s="10"/>
      <c r="AA249" s="10"/>
      <c r="AB249" s="10"/>
      <c r="AC249" s="10"/>
      <c r="AD249" s="10"/>
      <c r="AE249" s="10"/>
      <c r="AF249" s="10"/>
      <c r="AG249" s="10"/>
      <c r="AH249" s="10"/>
      <c r="AI249" s="10"/>
      <c r="AJ249" s="10"/>
      <c r="AK249" s="10"/>
      <c r="AL249" s="10" t="s">
        <v>45</v>
      </c>
      <c r="AM249" s="10"/>
      <c r="AN249" s="10"/>
      <c r="AO249" s="10"/>
      <c r="AP249" s="10" t="s">
        <v>46</v>
      </c>
      <c r="AQ249" s="10"/>
      <c r="AR249" s="10"/>
      <c r="AS249" s="10"/>
    </row>
    <row r="250" customFormat="false" ht="21.75" hidden="false" customHeight="true" outlineLevel="0" collapsed="false">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row>
    <row r="252" customFormat="false" ht="18.75" hidden="false" customHeight="true" outlineLevel="0" collapsed="false">
      <c r="A252" s="14" t="s">
        <v>338</v>
      </c>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row>
    <row r="253" customFormat="false" ht="15" hidden="false" customHeight="true" outlineLevel="0" collapsed="false">
      <c r="A253" s="8" t="s">
        <v>124</v>
      </c>
      <c r="B253" s="15"/>
      <c r="C253" s="15"/>
      <c r="D253" s="15"/>
      <c r="E253" s="15"/>
      <c r="G253" s="15"/>
      <c r="H253" s="15"/>
      <c r="I253" s="15"/>
      <c r="J253" s="15"/>
      <c r="L253" s="15"/>
      <c r="M253" s="15"/>
      <c r="N253" s="15"/>
      <c r="O253" s="15"/>
      <c r="Q253" s="5" t="s">
        <v>237</v>
      </c>
    </row>
    <row r="254" customFormat="false" ht="12" hidden="false" customHeight="true" outlineLevel="0" collapsed="false">
      <c r="A254" s="5" t="s">
        <v>64</v>
      </c>
      <c r="F254" s="10" t="s">
        <v>0</v>
      </c>
      <c r="G254" s="10"/>
      <c r="H254" s="10"/>
      <c r="I254" s="10"/>
      <c r="J254" s="10" t="s">
        <v>1</v>
      </c>
      <c r="K254" s="10"/>
      <c r="L254" s="10"/>
      <c r="M254" s="10"/>
      <c r="N254" s="10" t="s">
        <v>2</v>
      </c>
      <c r="O254" s="10"/>
      <c r="P254" s="10"/>
      <c r="Q254" s="10"/>
      <c r="R254" s="10" t="s">
        <v>3</v>
      </c>
      <c r="S254" s="10"/>
      <c r="T254" s="10"/>
      <c r="U254" s="10"/>
      <c r="V254" s="10" t="s">
        <v>4</v>
      </c>
      <c r="W254" s="10"/>
      <c r="X254" s="10"/>
      <c r="Y254" s="10"/>
      <c r="Z254" s="10" t="s">
        <v>5</v>
      </c>
      <c r="AA254" s="10"/>
      <c r="AB254" s="10"/>
      <c r="AC254" s="10"/>
      <c r="AD254" s="10" t="s">
        <v>6</v>
      </c>
      <c r="AE254" s="10"/>
      <c r="AF254" s="10"/>
      <c r="AG254" s="10"/>
      <c r="AH254" s="10" t="s">
        <v>7</v>
      </c>
      <c r="AI254" s="10"/>
      <c r="AJ254" s="10"/>
      <c r="AK254" s="10"/>
      <c r="AL254" s="10" t="s">
        <v>8</v>
      </c>
      <c r="AM254" s="10"/>
      <c r="AN254" s="10"/>
      <c r="AO254" s="10"/>
      <c r="AP254" s="10" t="s">
        <v>9</v>
      </c>
      <c r="AQ254" s="10"/>
      <c r="AR254" s="10"/>
      <c r="AS254" s="10"/>
      <c r="AT254" s="10" t="s">
        <v>10</v>
      </c>
      <c r="AU254" s="10"/>
      <c r="AV254" s="10"/>
      <c r="AW254" s="10"/>
      <c r="AX254" s="10" t="s">
        <v>11</v>
      </c>
      <c r="AY254" s="10"/>
      <c r="AZ254" s="10"/>
      <c r="BA254" s="10"/>
    </row>
    <row r="255" customFormat="false" ht="21.75" hidden="false" customHeight="true" outlineLevel="0" collapsed="false">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row>
    <row r="256" customFormat="false" ht="12" hidden="false" customHeight="true" outlineLevel="0" collapsed="false">
      <c r="A256" s="5" t="s">
        <v>65</v>
      </c>
      <c r="H256" s="10" t="s">
        <v>66</v>
      </c>
      <c r="I256" s="10"/>
      <c r="J256" s="10"/>
      <c r="K256" s="10"/>
      <c r="L256" s="10" t="s">
        <v>67</v>
      </c>
      <c r="M256" s="10"/>
      <c r="N256" s="10"/>
      <c r="O256" s="10"/>
      <c r="P256" s="10" t="s">
        <v>68</v>
      </c>
      <c r="Q256" s="10"/>
      <c r="R256" s="10"/>
      <c r="S256" s="10"/>
      <c r="T256" s="10" t="s">
        <v>69</v>
      </c>
      <c r="U256" s="10"/>
      <c r="V256" s="10"/>
      <c r="W256" s="10"/>
      <c r="X256" s="10" t="s">
        <v>70</v>
      </c>
      <c r="Y256" s="10"/>
      <c r="Z256" s="10"/>
      <c r="AA256" s="10"/>
      <c r="AB256" s="10" t="s">
        <v>71</v>
      </c>
      <c r="AC256" s="10"/>
      <c r="AD256" s="10"/>
      <c r="AE256" s="10"/>
      <c r="AF256" s="10" t="s">
        <v>72</v>
      </c>
      <c r="AG256" s="10"/>
      <c r="AH256" s="10"/>
      <c r="AI256" s="10"/>
      <c r="AJ256" s="10" t="s">
        <v>73</v>
      </c>
      <c r="AK256" s="10"/>
      <c r="AL256" s="10"/>
      <c r="AM256" s="10"/>
      <c r="AN256" s="10" t="s">
        <v>74</v>
      </c>
      <c r="AO256" s="10"/>
      <c r="AP256" s="10"/>
      <c r="AQ256" s="10"/>
      <c r="AR256" s="10" t="s">
        <v>75</v>
      </c>
      <c r="AS256" s="10"/>
      <c r="AT256" s="10"/>
      <c r="AU256" s="10"/>
      <c r="AV256" s="10" t="s">
        <v>22</v>
      </c>
      <c r="AW256" s="10"/>
      <c r="AX256" s="10"/>
      <c r="AY256" s="10"/>
      <c r="AZ256" s="10" t="s">
        <v>23</v>
      </c>
      <c r="BA256" s="10"/>
      <c r="BB256" s="10"/>
      <c r="BC256" s="10"/>
    </row>
    <row r="257" customFormat="false" ht="21.75" hidden="false" customHeight="true" outlineLevel="0" collapsed="false">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row>
    <row r="258" customFormat="false" ht="12" hidden="false" customHeight="true" outlineLevel="0" collapsed="false">
      <c r="A258" s="5" t="s">
        <v>82</v>
      </c>
      <c r="I258" s="10" t="s">
        <v>83</v>
      </c>
      <c r="J258" s="10"/>
      <c r="K258" s="10"/>
      <c r="L258" s="10"/>
      <c r="M258" s="10" t="s">
        <v>84</v>
      </c>
      <c r="N258" s="10"/>
      <c r="O258" s="10"/>
      <c r="P258" s="10"/>
      <c r="Q258" s="10" t="s">
        <v>85</v>
      </c>
      <c r="R258" s="10"/>
      <c r="S258" s="10"/>
      <c r="T258" s="10"/>
      <c r="U258" s="10" t="s">
        <v>86</v>
      </c>
      <c r="V258" s="10"/>
      <c r="W258" s="10"/>
      <c r="X258" s="10"/>
      <c r="Y258" s="10" t="s">
        <v>87</v>
      </c>
      <c r="Z258" s="10"/>
      <c r="AA258" s="10"/>
      <c r="AB258" s="10"/>
      <c r="AC258" s="10" t="s">
        <v>88</v>
      </c>
      <c r="AD258" s="10"/>
      <c r="AE258" s="10"/>
      <c r="AF258" s="10"/>
      <c r="AG258" s="10" t="s">
        <v>89</v>
      </c>
      <c r="AH258" s="10"/>
      <c r="AI258" s="10"/>
      <c r="AJ258" s="10"/>
      <c r="AK258" s="10" t="s">
        <v>90</v>
      </c>
      <c r="AL258" s="10"/>
      <c r="AM258" s="10"/>
      <c r="AN258" s="10"/>
      <c r="AO258" s="10" t="s">
        <v>91</v>
      </c>
      <c r="AP258" s="10"/>
      <c r="AQ258" s="10"/>
      <c r="AR258" s="10"/>
      <c r="AS258" s="10" t="s">
        <v>33</v>
      </c>
      <c r="AT258" s="10"/>
      <c r="AU258" s="10"/>
      <c r="AV258" s="10"/>
      <c r="AW258" s="10" t="s">
        <v>34</v>
      </c>
      <c r="AX258" s="10"/>
      <c r="AY258" s="10"/>
      <c r="AZ258" s="10"/>
    </row>
    <row r="259" customFormat="false" ht="21.75" hidden="false" customHeight="true" outlineLevel="0" collapsed="false">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row>
    <row r="260" customFormat="false" ht="12" hidden="false" customHeight="true" outlineLevel="0" collapsed="false">
      <c r="A260" s="5" t="s">
        <v>102</v>
      </c>
      <c r="K260" s="10" t="s">
        <v>103</v>
      </c>
      <c r="L260" s="10"/>
      <c r="M260" s="10"/>
      <c r="N260" s="10"/>
      <c r="O260" s="10" t="s">
        <v>104</v>
      </c>
      <c r="P260" s="10"/>
      <c r="Q260" s="10"/>
      <c r="R260" s="10"/>
      <c r="S260" s="10" t="s">
        <v>105</v>
      </c>
      <c r="T260" s="10"/>
      <c r="U260" s="10"/>
      <c r="V260" s="10"/>
      <c r="W260" s="10" t="s">
        <v>106</v>
      </c>
      <c r="X260" s="10"/>
      <c r="Y260" s="10"/>
      <c r="Z260" s="10"/>
      <c r="AA260" s="10" t="s">
        <v>107</v>
      </c>
      <c r="AB260" s="10"/>
      <c r="AC260" s="10"/>
      <c r="AD260" s="10"/>
      <c r="AE260" s="10" t="s">
        <v>108</v>
      </c>
      <c r="AF260" s="10"/>
      <c r="AG260" s="10"/>
      <c r="AH260" s="10"/>
      <c r="AI260" s="10" t="s">
        <v>109</v>
      </c>
      <c r="AJ260" s="10"/>
      <c r="AK260" s="10"/>
      <c r="AL260" s="10"/>
      <c r="AM260" s="10" t="s">
        <v>42</v>
      </c>
      <c r="AN260" s="10"/>
      <c r="AO260" s="10"/>
      <c r="AP260" s="10"/>
      <c r="AQ260" s="10" t="s">
        <v>43</v>
      </c>
      <c r="AR260" s="10"/>
      <c r="AS260" s="10"/>
      <c r="AT260" s="10"/>
      <c r="AU260" s="10" t="s">
        <v>44</v>
      </c>
      <c r="AV260" s="10"/>
      <c r="AW260" s="10"/>
      <c r="AX260" s="10"/>
    </row>
    <row r="261" customFormat="false" ht="21.75" hidden="false" customHeight="true" outlineLevel="0" collapsed="false">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customFormat="false" ht="12" hidden="false" customHeight="true" outlineLevel="0" collapsed="false">
      <c r="A262" s="5" t="s">
        <v>120</v>
      </c>
      <c r="P262" s="10" t="s">
        <v>48</v>
      </c>
      <c r="Q262" s="10"/>
      <c r="R262" s="10"/>
      <c r="S262" s="10"/>
      <c r="T262" s="10" t="s">
        <v>50</v>
      </c>
      <c r="U262" s="10"/>
      <c r="V262" s="10"/>
      <c r="W262" s="10"/>
      <c r="X262" s="10"/>
      <c r="Y262" s="10"/>
      <c r="Z262" s="10"/>
      <c r="AA262" s="10"/>
      <c r="AB262" s="10"/>
      <c r="AC262" s="10"/>
      <c r="AD262" s="10"/>
      <c r="AE262" s="10"/>
      <c r="AF262" s="10"/>
      <c r="AG262" s="10"/>
      <c r="AH262" s="10"/>
      <c r="AI262" s="10"/>
      <c r="AJ262" s="10"/>
      <c r="AK262" s="10"/>
      <c r="AL262" s="10" t="s">
        <v>45</v>
      </c>
      <c r="AM262" s="10"/>
      <c r="AN262" s="10"/>
      <c r="AO262" s="10"/>
      <c r="AP262" s="10" t="s">
        <v>46</v>
      </c>
      <c r="AQ262" s="10"/>
      <c r="AR262" s="10"/>
      <c r="AS262" s="10"/>
    </row>
    <row r="263" customFormat="false" ht="21.75" hidden="false" customHeight="true" outlineLevel="0" collapsed="false">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row>
    <row r="265" customFormat="false" ht="18.75" hidden="false" customHeight="true" outlineLevel="0" collapsed="false">
      <c r="A265" s="14" t="s">
        <v>339</v>
      </c>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row>
    <row r="266" customFormat="false" ht="15" hidden="false" customHeight="true" outlineLevel="0" collapsed="false">
      <c r="A266" s="8" t="s">
        <v>124</v>
      </c>
      <c r="B266" s="15"/>
      <c r="C266" s="15"/>
      <c r="D266" s="15"/>
      <c r="E266" s="15"/>
      <c r="G266" s="15"/>
      <c r="H266" s="15"/>
      <c r="I266" s="15"/>
      <c r="J266" s="15"/>
      <c r="L266" s="15"/>
      <c r="M266" s="15"/>
      <c r="N266" s="15"/>
      <c r="O266" s="15"/>
      <c r="Q266" s="5" t="s">
        <v>237</v>
      </c>
    </row>
    <row r="267" customFormat="false" ht="12" hidden="false" customHeight="true" outlineLevel="0" collapsed="false">
      <c r="A267" s="5" t="s">
        <v>64</v>
      </c>
      <c r="F267" s="10" t="s">
        <v>0</v>
      </c>
      <c r="G267" s="10"/>
      <c r="H267" s="10"/>
      <c r="I267" s="10"/>
      <c r="J267" s="10" t="s">
        <v>1</v>
      </c>
      <c r="K267" s="10"/>
      <c r="L267" s="10"/>
      <c r="M267" s="10"/>
      <c r="N267" s="10" t="s">
        <v>2</v>
      </c>
      <c r="O267" s="10"/>
      <c r="P267" s="10"/>
      <c r="Q267" s="10"/>
      <c r="R267" s="10" t="s">
        <v>3</v>
      </c>
      <c r="S267" s="10"/>
      <c r="T267" s="10"/>
      <c r="U267" s="10"/>
      <c r="V267" s="10" t="s">
        <v>4</v>
      </c>
      <c r="W267" s="10"/>
      <c r="X267" s="10"/>
      <c r="Y267" s="10"/>
      <c r="Z267" s="10" t="s">
        <v>5</v>
      </c>
      <c r="AA267" s="10"/>
      <c r="AB267" s="10"/>
      <c r="AC267" s="10"/>
      <c r="AD267" s="10" t="s">
        <v>6</v>
      </c>
      <c r="AE267" s="10"/>
      <c r="AF267" s="10"/>
      <c r="AG267" s="10"/>
      <c r="AH267" s="10" t="s">
        <v>7</v>
      </c>
      <c r="AI267" s="10"/>
      <c r="AJ267" s="10"/>
      <c r="AK267" s="10"/>
      <c r="AL267" s="10" t="s">
        <v>8</v>
      </c>
      <c r="AM267" s="10"/>
      <c r="AN267" s="10"/>
      <c r="AO267" s="10"/>
      <c r="AP267" s="10" t="s">
        <v>9</v>
      </c>
      <c r="AQ267" s="10"/>
      <c r="AR267" s="10"/>
      <c r="AS267" s="10"/>
      <c r="AT267" s="10" t="s">
        <v>10</v>
      </c>
      <c r="AU267" s="10"/>
      <c r="AV267" s="10"/>
      <c r="AW267" s="10"/>
      <c r="AX267" s="10" t="s">
        <v>11</v>
      </c>
      <c r="AY267" s="10"/>
      <c r="AZ267" s="10"/>
      <c r="BA267" s="10"/>
    </row>
    <row r="268" customFormat="false" ht="21.75" hidden="false" customHeight="true" outlineLevel="0" collapsed="false">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row>
    <row r="269" customFormat="false" ht="12" hidden="false" customHeight="true" outlineLevel="0" collapsed="false">
      <c r="A269" s="5" t="s">
        <v>65</v>
      </c>
      <c r="H269" s="10" t="s">
        <v>66</v>
      </c>
      <c r="I269" s="10"/>
      <c r="J269" s="10"/>
      <c r="K269" s="10"/>
      <c r="L269" s="10" t="s">
        <v>67</v>
      </c>
      <c r="M269" s="10"/>
      <c r="N269" s="10"/>
      <c r="O269" s="10"/>
      <c r="P269" s="10" t="s">
        <v>68</v>
      </c>
      <c r="Q269" s="10"/>
      <c r="R269" s="10"/>
      <c r="S269" s="10"/>
      <c r="T269" s="10" t="s">
        <v>69</v>
      </c>
      <c r="U269" s="10"/>
      <c r="V269" s="10"/>
      <c r="W269" s="10"/>
      <c r="X269" s="10" t="s">
        <v>70</v>
      </c>
      <c r="Y269" s="10"/>
      <c r="Z269" s="10"/>
      <c r="AA269" s="10"/>
      <c r="AB269" s="10" t="s">
        <v>71</v>
      </c>
      <c r="AC269" s="10"/>
      <c r="AD269" s="10"/>
      <c r="AE269" s="10"/>
      <c r="AF269" s="10" t="s">
        <v>72</v>
      </c>
      <c r="AG269" s="10"/>
      <c r="AH269" s="10"/>
      <c r="AI269" s="10"/>
      <c r="AJ269" s="10" t="s">
        <v>73</v>
      </c>
      <c r="AK269" s="10"/>
      <c r="AL269" s="10"/>
      <c r="AM269" s="10"/>
      <c r="AN269" s="10" t="s">
        <v>74</v>
      </c>
      <c r="AO269" s="10"/>
      <c r="AP269" s="10"/>
      <c r="AQ269" s="10"/>
      <c r="AR269" s="10" t="s">
        <v>75</v>
      </c>
      <c r="AS269" s="10"/>
      <c r="AT269" s="10"/>
      <c r="AU269" s="10"/>
      <c r="AV269" s="10" t="s">
        <v>22</v>
      </c>
      <c r="AW269" s="10"/>
      <c r="AX269" s="10"/>
      <c r="AY269" s="10"/>
      <c r="AZ269" s="10" t="s">
        <v>23</v>
      </c>
      <c r="BA269" s="10"/>
      <c r="BB269" s="10"/>
      <c r="BC269" s="10"/>
    </row>
    <row r="270" customFormat="false" ht="21.75" hidden="false" customHeight="true" outlineLevel="0" collapsed="false">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row>
    <row r="271" customFormat="false" ht="12" hidden="false" customHeight="true" outlineLevel="0" collapsed="false">
      <c r="A271" s="5" t="s">
        <v>82</v>
      </c>
      <c r="I271" s="10" t="s">
        <v>83</v>
      </c>
      <c r="J271" s="10"/>
      <c r="K271" s="10"/>
      <c r="L271" s="10"/>
      <c r="M271" s="10" t="s">
        <v>84</v>
      </c>
      <c r="N271" s="10"/>
      <c r="O271" s="10"/>
      <c r="P271" s="10"/>
      <c r="Q271" s="10" t="s">
        <v>85</v>
      </c>
      <c r="R271" s="10"/>
      <c r="S271" s="10"/>
      <c r="T271" s="10"/>
      <c r="U271" s="10" t="s">
        <v>86</v>
      </c>
      <c r="V271" s="10"/>
      <c r="W271" s="10"/>
      <c r="X271" s="10"/>
      <c r="Y271" s="10" t="s">
        <v>87</v>
      </c>
      <c r="Z271" s="10"/>
      <c r="AA271" s="10"/>
      <c r="AB271" s="10"/>
      <c r="AC271" s="10" t="s">
        <v>88</v>
      </c>
      <c r="AD271" s="10"/>
      <c r="AE271" s="10"/>
      <c r="AF271" s="10"/>
      <c r="AG271" s="10" t="s">
        <v>89</v>
      </c>
      <c r="AH271" s="10"/>
      <c r="AI271" s="10"/>
      <c r="AJ271" s="10"/>
      <c r="AK271" s="10" t="s">
        <v>90</v>
      </c>
      <c r="AL271" s="10"/>
      <c r="AM271" s="10"/>
      <c r="AN271" s="10"/>
      <c r="AO271" s="10" t="s">
        <v>91</v>
      </c>
      <c r="AP271" s="10"/>
      <c r="AQ271" s="10"/>
      <c r="AR271" s="10"/>
      <c r="AS271" s="10" t="s">
        <v>33</v>
      </c>
      <c r="AT271" s="10"/>
      <c r="AU271" s="10"/>
      <c r="AV271" s="10"/>
      <c r="AW271" s="10" t="s">
        <v>34</v>
      </c>
      <c r="AX271" s="10"/>
      <c r="AY271" s="10"/>
      <c r="AZ271" s="10"/>
    </row>
    <row r="272" customFormat="false" ht="21.75" hidden="false" customHeight="true" outlineLevel="0" collapsed="false">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row>
    <row r="273" customFormat="false" ht="12" hidden="false" customHeight="true" outlineLevel="0" collapsed="false">
      <c r="A273" s="5" t="s">
        <v>102</v>
      </c>
      <c r="K273" s="10" t="s">
        <v>103</v>
      </c>
      <c r="L273" s="10"/>
      <c r="M273" s="10"/>
      <c r="N273" s="10"/>
      <c r="O273" s="10" t="s">
        <v>104</v>
      </c>
      <c r="P273" s="10"/>
      <c r="Q273" s="10"/>
      <c r="R273" s="10"/>
      <c r="S273" s="10" t="s">
        <v>105</v>
      </c>
      <c r="T273" s="10"/>
      <c r="U273" s="10"/>
      <c r="V273" s="10"/>
      <c r="W273" s="10" t="s">
        <v>106</v>
      </c>
      <c r="X273" s="10"/>
      <c r="Y273" s="10"/>
      <c r="Z273" s="10"/>
      <c r="AA273" s="10" t="s">
        <v>107</v>
      </c>
      <c r="AB273" s="10"/>
      <c r="AC273" s="10"/>
      <c r="AD273" s="10"/>
      <c r="AE273" s="10" t="s">
        <v>108</v>
      </c>
      <c r="AF273" s="10"/>
      <c r="AG273" s="10"/>
      <c r="AH273" s="10"/>
      <c r="AI273" s="10" t="s">
        <v>109</v>
      </c>
      <c r="AJ273" s="10"/>
      <c r="AK273" s="10"/>
      <c r="AL273" s="10"/>
      <c r="AM273" s="10" t="s">
        <v>42</v>
      </c>
      <c r="AN273" s="10"/>
      <c r="AO273" s="10"/>
      <c r="AP273" s="10"/>
      <c r="AQ273" s="10" t="s">
        <v>43</v>
      </c>
      <c r="AR273" s="10"/>
      <c r="AS273" s="10"/>
      <c r="AT273" s="10"/>
      <c r="AU273" s="10" t="s">
        <v>44</v>
      </c>
      <c r="AV273" s="10"/>
      <c r="AW273" s="10"/>
      <c r="AX273" s="10"/>
    </row>
    <row r="274" customFormat="false" ht="21.75" hidden="false" customHeight="true" outlineLevel="0" collapsed="false">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customFormat="false" ht="12" hidden="false" customHeight="true" outlineLevel="0" collapsed="false">
      <c r="A275" s="5" t="s">
        <v>120</v>
      </c>
      <c r="P275" s="10" t="s">
        <v>48</v>
      </c>
      <c r="Q275" s="10"/>
      <c r="R275" s="10"/>
      <c r="S275" s="10"/>
      <c r="T275" s="10" t="s">
        <v>50</v>
      </c>
      <c r="U275" s="10"/>
      <c r="V275" s="10"/>
      <c r="W275" s="10"/>
      <c r="X275" s="10"/>
      <c r="Y275" s="10"/>
      <c r="Z275" s="10"/>
      <c r="AA275" s="10"/>
      <c r="AB275" s="10"/>
      <c r="AC275" s="10"/>
      <c r="AD275" s="10"/>
      <c r="AE275" s="10"/>
      <c r="AF275" s="10"/>
      <c r="AG275" s="10"/>
      <c r="AH275" s="10"/>
      <c r="AI275" s="10"/>
      <c r="AJ275" s="10"/>
      <c r="AK275" s="10"/>
      <c r="AL275" s="10" t="s">
        <v>45</v>
      </c>
      <c r="AM275" s="10"/>
      <c r="AN275" s="10"/>
      <c r="AO275" s="10"/>
      <c r="AP275" s="10" t="s">
        <v>46</v>
      </c>
      <c r="AQ275" s="10"/>
      <c r="AR275" s="10"/>
      <c r="AS275" s="10"/>
    </row>
    <row r="276" customFormat="false" ht="21.75" hidden="false" customHeight="true" outlineLevel="0" collapsed="false">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row>
    <row r="278" customFormat="false" ht="18.75" hidden="false" customHeight="true" outlineLevel="0" collapsed="false">
      <c r="A278" s="14" t="s">
        <v>340</v>
      </c>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row>
    <row r="279" customFormat="false" ht="15" hidden="false" customHeight="true" outlineLevel="0" collapsed="false">
      <c r="A279" s="8" t="s">
        <v>124</v>
      </c>
      <c r="B279" s="15"/>
      <c r="C279" s="15"/>
      <c r="D279" s="15"/>
      <c r="E279" s="15"/>
      <c r="G279" s="15"/>
      <c r="H279" s="15"/>
      <c r="I279" s="15"/>
      <c r="J279" s="15"/>
      <c r="L279" s="15"/>
      <c r="M279" s="15"/>
      <c r="N279" s="15"/>
      <c r="O279" s="15"/>
      <c r="Q279" s="5" t="s">
        <v>237</v>
      </c>
    </row>
    <row r="280" customFormat="false" ht="12" hidden="false" customHeight="true" outlineLevel="0" collapsed="false">
      <c r="A280" s="5" t="s">
        <v>64</v>
      </c>
      <c r="F280" s="10" t="s">
        <v>0</v>
      </c>
      <c r="G280" s="10"/>
      <c r="H280" s="10"/>
      <c r="I280" s="10"/>
      <c r="J280" s="10" t="s">
        <v>1</v>
      </c>
      <c r="K280" s="10"/>
      <c r="L280" s="10"/>
      <c r="M280" s="10"/>
      <c r="N280" s="10" t="s">
        <v>2</v>
      </c>
      <c r="O280" s="10"/>
      <c r="P280" s="10"/>
      <c r="Q280" s="10"/>
      <c r="R280" s="10" t="s">
        <v>3</v>
      </c>
      <c r="S280" s="10"/>
      <c r="T280" s="10"/>
      <c r="U280" s="10"/>
      <c r="V280" s="10" t="s">
        <v>4</v>
      </c>
      <c r="W280" s="10"/>
      <c r="X280" s="10"/>
      <c r="Y280" s="10"/>
      <c r="Z280" s="10" t="s">
        <v>5</v>
      </c>
      <c r="AA280" s="10"/>
      <c r="AB280" s="10"/>
      <c r="AC280" s="10"/>
      <c r="AD280" s="10" t="s">
        <v>6</v>
      </c>
      <c r="AE280" s="10"/>
      <c r="AF280" s="10"/>
      <c r="AG280" s="10"/>
      <c r="AH280" s="10" t="s">
        <v>7</v>
      </c>
      <c r="AI280" s="10"/>
      <c r="AJ280" s="10"/>
      <c r="AK280" s="10"/>
      <c r="AL280" s="10" t="s">
        <v>8</v>
      </c>
      <c r="AM280" s="10"/>
      <c r="AN280" s="10"/>
      <c r="AO280" s="10"/>
      <c r="AP280" s="10" t="s">
        <v>9</v>
      </c>
      <c r="AQ280" s="10"/>
      <c r="AR280" s="10"/>
      <c r="AS280" s="10"/>
      <c r="AT280" s="10" t="s">
        <v>10</v>
      </c>
      <c r="AU280" s="10"/>
      <c r="AV280" s="10"/>
      <c r="AW280" s="10"/>
      <c r="AX280" s="10" t="s">
        <v>11</v>
      </c>
      <c r="AY280" s="10"/>
      <c r="AZ280" s="10"/>
      <c r="BA280" s="10"/>
    </row>
    <row r="281" customFormat="false" ht="21.75" hidden="false" customHeight="true" outlineLevel="0" collapsed="false">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row>
    <row r="282" customFormat="false" ht="12" hidden="false" customHeight="true" outlineLevel="0" collapsed="false">
      <c r="A282" s="5" t="s">
        <v>65</v>
      </c>
      <c r="H282" s="10" t="s">
        <v>66</v>
      </c>
      <c r="I282" s="10"/>
      <c r="J282" s="10"/>
      <c r="K282" s="10"/>
      <c r="L282" s="10" t="s">
        <v>67</v>
      </c>
      <c r="M282" s="10"/>
      <c r="N282" s="10"/>
      <c r="O282" s="10"/>
      <c r="P282" s="10" t="s">
        <v>68</v>
      </c>
      <c r="Q282" s="10"/>
      <c r="R282" s="10"/>
      <c r="S282" s="10"/>
      <c r="T282" s="10" t="s">
        <v>69</v>
      </c>
      <c r="U282" s="10"/>
      <c r="V282" s="10"/>
      <c r="W282" s="10"/>
      <c r="X282" s="10" t="s">
        <v>70</v>
      </c>
      <c r="Y282" s="10"/>
      <c r="Z282" s="10"/>
      <c r="AA282" s="10"/>
      <c r="AB282" s="10" t="s">
        <v>71</v>
      </c>
      <c r="AC282" s="10"/>
      <c r="AD282" s="10"/>
      <c r="AE282" s="10"/>
      <c r="AF282" s="10" t="s">
        <v>72</v>
      </c>
      <c r="AG282" s="10"/>
      <c r="AH282" s="10"/>
      <c r="AI282" s="10"/>
      <c r="AJ282" s="10" t="s">
        <v>73</v>
      </c>
      <c r="AK282" s="10"/>
      <c r="AL282" s="10"/>
      <c r="AM282" s="10"/>
      <c r="AN282" s="10" t="s">
        <v>74</v>
      </c>
      <c r="AO282" s="10"/>
      <c r="AP282" s="10"/>
      <c r="AQ282" s="10"/>
      <c r="AR282" s="10" t="s">
        <v>75</v>
      </c>
      <c r="AS282" s="10"/>
      <c r="AT282" s="10"/>
      <c r="AU282" s="10"/>
      <c r="AV282" s="10" t="s">
        <v>22</v>
      </c>
      <c r="AW282" s="10"/>
      <c r="AX282" s="10"/>
      <c r="AY282" s="10"/>
      <c r="AZ282" s="10" t="s">
        <v>23</v>
      </c>
      <c r="BA282" s="10"/>
      <c r="BB282" s="10"/>
      <c r="BC282" s="10"/>
    </row>
    <row r="283" customFormat="false" ht="21.75" hidden="false" customHeight="true" outlineLevel="0" collapsed="false">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row>
    <row r="284" customFormat="false" ht="12" hidden="false" customHeight="true" outlineLevel="0" collapsed="false">
      <c r="A284" s="5" t="s">
        <v>82</v>
      </c>
      <c r="I284" s="10" t="s">
        <v>83</v>
      </c>
      <c r="J284" s="10"/>
      <c r="K284" s="10"/>
      <c r="L284" s="10"/>
      <c r="M284" s="10" t="s">
        <v>84</v>
      </c>
      <c r="N284" s="10"/>
      <c r="O284" s="10"/>
      <c r="P284" s="10"/>
      <c r="Q284" s="10" t="s">
        <v>85</v>
      </c>
      <c r="R284" s="10"/>
      <c r="S284" s="10"/>
      <c r="T284" s="10"/>
      <c r="U284" s="10" t="s">
        <v>86</v>
      </c>
      <c r="V284" s="10"/>
      <c r="W284" s="10"/>
      <c r="X284" s="10"/>
      <c r="Y284" s="10" t="s">
        <v>87</v>
      </c>
      <c r="Z284" s="10"/>
      <c r="AA284" s="10"/>
      <c r="AB284" s="10"/>
      <c r="AC284" s="10" t="s">
        <v>88</v>
      </c>
      <c r="AD284" s="10"/>
      <c r="AE284" s="10"/>
      <c r="AF284" s="10"/>
      <c r="AG284" s="10" t="s">
        <v>89</v>
      </c>
      <c r="AH284" s="10"/>
      <c r="AI284" s="10"/>
      <c r="AJ284" s="10"/>
      <c r="AK284" s="10" t="s">
        <v>90</v>
      </c>
      <c r="AL284" s="10"/>
      <c r="AM284" s="10"/>
      <c r="AN284" s="10"/>
      <c r="AO284" s="10" t="s">
        <v>91</v>
      </c>
      <c r="AP284" s="10"/>
      <c r="AQ284" s="10"/>
      <c r="AR284" s="10"/>
      <c r="AS284" s="10" t="s">
        <v>33</v>
      </c>
      <c r="AT284" s="10"/>
      <c r="AU284" s="10"/>
      <c r="AV284" s="10"/>
      <c r="AW284" s="10" t="s">
        <v>34</v>
      </c>
      <c r="AX284" s="10"/>
      <c r="AY284" s="10"/>
      <c r="AZ284" s="10"/>
    </row>
    <row r="285" customFormat="false" ht="21.75" hidden="false" customHeight="true" outlineLevel="0" collapsed="false">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row>
    <row r="286" customFormat="false" ht="12" hidden="false" customHeight="true" outlineLevel="0" collapsed="false">
      <c r="A286" s="5" t="s">
        <v>102</v>
      </c>
      <c r="K286" s="10" t="s">
        <v>103</v>
      </c>
      <c r="L286" s="10"/>
      <c r="M286" s="10"/>
      <c r="N286" s="10"/>
      <c r="O286" s="10" t="s">
        <v>104</v>
      </c>
      <c r="P286" s="10"/>
      <c r="Q286" s="10"/>
      <c r="R286" s="10"/>
      <c r="S286" s="10" t="s">
        <v>105</v>
      </c>
      <c r="T286" s="10"/>
      <c r="U286" s="10"/>
      <c r="V286" s="10"/>
      <c r="W286" s="10" t="s">
        <v>106</v>
      </c>
      <c r="X286" s="10"/>
      <c r="Y286" s="10"/>
      <c r="Z286" s="10"/>
      <c r="AA286" s="10" t="s">
        <v>107</v>
      </c>
      <c r="AB286" s="10"/>
      <c r="AC286" s="10"/>
      <c r="AD286" s="10"/>
      <c r="AE286" s="10" t="s">
        <v>108</v>
      </c>
      <c r="AF286" s="10"/>
      <c r="AG286" s="10"/>
      <c r="AH286" s="10"/>
      <c r="AI286" s="10" t="s">
        <v>109</v>
      </c>
      <c r="AJ286" s="10"/>
      <c r="AK286" s="10"/>
      <c r="AL286" s="10"/>
      <c r="AM286" s="10" t="s">
        <v>42</v>
      </c>
      <c r="AN286" s="10"/>
      <c r="AO286" s="10"/>
      <c r="AP286" s="10"/>
      <c r="AQ286" s="10" t="s">
        <v>43</v>
      </c>
      <c r="AR286" s="10"/>
      <c r="AS286" s="10"/>
      <c r="AT286" s="10"/>
      <c r="AU286" s="10" t="s">
        <v>44</v>
      </c>
      <c r="AV286" s="10"/>
      <c r="AW286" s="10"/>
      <c r="AX286" s="10"/>
    </row>
    <row r="287" customFormat="false" ht="21.75" hidden="false" customHeight="true" outlineLevel="0" collapsed="false">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customFormat="false" ht="12" hidden="false" customHeight="true" outlineLevel="0" collapsed="false">
      <c r="A288" s="5" t="s">
        <v>120</v>
      </c>
      <c r="P288" s="10" t="s">
        <v>48</v>
      </c>
      <c r="Q288" s="10"/>
      <c r="R288" s="10"/>
      <c r="S288" s="10"/>
      <c r="T288" s="10" t="s">
        <v>50</v>
      </c>
      <c r="U288" s="10"/>
      <c r="V288" s="10"/>
      <c r="W288" s="10"/>
      <c r="X288" s="10"/>
      <c r="Y288" s="10"/>
      <c r="Z288" s="10"/>
      <c r="AA288" s="10"/>
      <c r="AB288" s="10"/>
      <c r="AC288" s="10"/>
      <c r="AD288" s="10"/>
      <c r="AE288" s="10"/>
      <c r="AF288" s="10"/>
      <c r="AG288" s="10"/>
      <c r="AH288" s="10"/>
      <c r="AI288" s="10"/>
      <c r="AJ288" s="10"/>
      <c r="AK288" s="10"/>
      <c r="AL288" s="10" t="s">
        <v>45</v>
      </c>
      <c r="AM288" s="10"/>
      <c r="AN288" s="10"/>
      <c r="AO288" s="10"/>
      <c r="AP288" s="10" t="s">
        <v>46</v>
      </c>
      <c r="AQ288" s="10"/>
      <c r="AR288" s="10"/>
      <c r="AS288" s="10"/>
    </row>
    <row r="289" customFormat="false" ht="21.75" hidden="false" customHeight="true" outlineLevel="0" collapsed="false">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row>
    <row r="291" customFormat="false" ht="18.75" hidden="false" customHeight="true" outlineLevel="0" collapsed="false">
      <c r="A291" s="14" t="s">
        <v>341</v>
      </c>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row>
    <row r="292" customFormat="false" ht="15" hidden="false" customHeight="true" outlineLevel="0" collapsed="false">
      <c r="A292" s="8" t="s">
        <v>124</v>
      </c>
      <c r="B292" s="15"/>
      <c r="C292" s="15"/>
      <c r="D292" s="15"/>
      <c r="E292" s="15"/>
      <c r="G292" s="15"/>
      <c r="H292" s="15"/>
      <c r="I292" s="15"/>
      <c r="J292" s="15"/>
      <c r="L292" s="15"/>
      <c r="M292" s="15"/>
      <c r="N292" s="15"/>
      <c r="O292" s="15"/>
      <c r="Q292" s="5" t="s">
        <v>237</v>
      </c>
    </row>
    <row r="293" customFormat="false" ht="12" hidden="false" customHeight="true" outlineLevel="0" collapsed="false">
      <c r="A293" s="5" t="s">
        <v>64</v>
      </c>
      <c r="F293" s="10" t="s">
        <v>0</v>
      </c>
      <c r="G293" s="10"/>
      <c r="H293" s="10"/>
      <c r="I293" s="10"/>
      <c r="J293" s="10" t="s">
        <v>1</v>
      </c>
      <c r="K293" s="10"/>
      <c r="L293" s="10"/>
      <c r="M293" s="10"/>
      <c r="N293" s="10" t="s">
        <v>2</v>
      </c>
      <c r="O293" s="10"/>
      <c r="P293" s="10"/>
      <c r="Q293" s="10"/>
      <c r="R293" s="10" t="s">
        <v>3</v>
      </c>
      <c r="S293" s="10"/>
      <c r="T293" s="10"/>
      <c r="U293" s="10"/>
      <c r="V293" s="10" t="s">
        <v>4</v>
      </c>
      <c r="W293" s="10"/>
      <c r="X293" s="10"/>
      <c r="Y293" s="10"/>
      <c r="Z293" s="10" t="s">
        <v>5</v>
      </c>
      <c r="AA293" s="10"/>
      <c r="AB293" s="10"/>
      <c r="AC293" s="10"/>
      <c r="AD293" s="10" t="s">
        <v>6</v>
      </c>
      <c r="AE293" s="10"/>
      <c r="AF293" s="10"/>
      <c r="AG293" s="10"/>
      <c r="AH293" s="10" t="s">
        <v>7</v>
      </c>
      <c r="AI293" s="10"/>
      <c r="AJ293" s="10"/>
      <c r="AK293" s="10"/>
      <c r="AL293" s="10" t="s">
        <v>8</v>
      </c>
      <c r="AM293" s="10"/>
      <c r="AN293" s="10"/>
      <c r="AO293" s="10"/>
      <c r="AP293" s="10" t="s">
        <v>9</v>
      </c>
      <c r="AQ293" s="10"/>
      <c r="AR293" s="10"/>
      <c r="AS293" s="10"/>
      <c r="AT293" s="10" t="s">
        <v>10</v>
      </c>
      <c r="AU293" s="10"/>
      <c r="AV293" s="10"/>
      <c r="AW293" s="10"/>
      <c r="AX293" s="10" t="s">
        <v>11</v>
      </c>
      <c r="AY293" s="10"/>
      <c r="AZ293" s="10"/>
      <c r="BA293" s="10"/>
    </row>
    <row r="294" customFormat="false" ht="21.75" hidden="false" customHeight="true" outlineLevel="0" collapsed="false">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row>
    <row r="295" customFormat="false" ht="12" hidden="false" customHeight="true" outlineLevel="0" collapsed="false">
      <c r="A295" s="5" t="s">
        <v>65</v>
      </c>
      <c r="H295" s="10" t="s">
        <v>66</v>
      </c>
      <c r="I295" s="10"/>
      <c r="J295" s="10"/>
      <c r="K295" s="10"/>
      <c r="L295" s="10" t="s">
        <v>67</v>
      </c>
      <c r="M295" s="10"/>
      <c r="N295" s="10"/>
      <c r="O295" s="10"/>
      <c r="P295" s="10" t="s">
        <v>68</v>
      </c>
      <c r="Q295" s="10"/>
      <c r="R295" s="10"/>
      <c r="S295" s="10"/>
      <c r="T295" s="10" t="s">
        <v>69</v>
      </c>
      <c r="U295" s="10"/>
      <c r="V295" s="10"/>
      <c r="W295" s="10"/>
      <c r="X295" s="10" t="s">
        <v>70</v>
      </c>
      <c r="Y295" s="10"/>
      <c r="Z295" s="10"/>
      <c r="AA295" s="10"/>
      <c r="AB295" s="10" t="s">
        <v>71</v>
      </c>
      <c r="AC295" s="10"/>
      <c r="AD295" s="10"/>
      <c r="AE295" s="10"/>
      <c r="AF295" s="10" t="s">
        <v>72</v>
      </c>
      <c r="AG295" s="10"/>
      <c r="AH295" s="10"/>
      <c r="AI295" s="10"/>
      <c r="AJ295" s="10" t="s">
        <v>73</v>
      </c>
      <c r="AK295" s="10"/>
      <c r="AL295" s="10"/>
      <c r="AM295" s="10"/>
      <c r="AN295" s="10" t="s">
        <v>74</v>
      </c>
      <c r="AO295" s="10"/>
      <c r="AP295" s="10"/>
      <c r="AQ295" s="10"/>
      <c r="AR295" s="10" t="s">
        <v>75</v>
      </c>
      <c r="AS295" s="10"/>
      <c r="AT295" s="10"/>
      <c r="AU295" s="10"/>
      <c r="AV295" s="10" t="s">
        <v>22</v>
      </c>
      <c r="AW295" s="10"/>
      <c r="AX295" s="10"/>
      <c r="AY295" s="10"/>
      <c r="AZ295" s="10" t="s">
        <v>23</v>
      </c>
      <c r="BA295" s="10"/>
      <c r="BB295" s="10"/>
      <c r="BC295" s="10"/>
    </row>
    <row r="296" customFormat="false" ht="21.75" hidden="false" customHeight="true" outlineLevel="0" collapsed="false">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row>
    <row r="297" customFormat="false" ht="12" hidden="false" customHeight="true" outlineLevel="0" collapsed="false">
      <c r="A297" s="5" t="s">
        <v>82</v>
      </c>
      <c r="I297" s="10" t="s">
        <v>83</v>
      </c>
      <c r="J297" s="10"/>
      <c r="K297" s="10"/>
      <c r="L297" s="10"/>
      <c r="M297" s="10" t="s">
        <v>84</v>
      </c>
      <c r="N297" s="10"/>
      <c r="O297" s="10"/>
      <c r="P297" s="10"/>
      <c r="Q297" s="10" t="s">
        <v>85</v>
      </c>
      <c r="R297" s="10"/>
      <c r="S297" s="10"/>
      <c r="T297" s="10"/>
      <c r="U297" s="10" t="s">
        <v>86</v>
      </c>
      <c r="V297" s="10"/>
      <c r="W297" s="10"/>
      <c r="X297" s="10"/>
      <c r="Y297" s="10" t="s">
        <v>87</v>
      </c>
      <c r="Z297" s="10"/>
      <c r="AA297" s="10"/>
      <c r="AB297" s="10"/>
      <c r="AC297" s="10" t="s">
        <v>88</v>
      </c>
      <c r="AD297" s="10"/>
      <c r="AE297" s="10"/>
      <c r="AF297" s="10"/>
      <c r="AG297" s="10" t="s">
        <v>89</v>
      </c>
      <c r="AH297" s="10"/>
      <c r="AI297" s="10"/>
      <c r="AJ297" s="10"/>
      <c r="AK297" s="10" t="s">
        <v>90</v>
      </c>
      <c r="AL297" s="10"/>
      <c r="AM297" s="10"/>
      <c r="AN297" s="10"/>
      <c r="AO297" s="10" t="s">
        <v>91</v>
      </c>
      <c r="AP297" s="10"/>
      <c r="AQ297" s="10"/>
      <c r="AR297" s="10"/>
      <c r="AS297" s="10" t="s">
        <v>33</v>
      </c>
      <c r="AT297" s="10"/>
      <c r="AU297" s="10"/>
      <c r="AV297" s="10"/>
      <c r="AW297" s="10" t="s">
        <v>34</v>
      </c>
      <c r="AX297" s="10"/>
      <c r="AY297" s="10"/>
      <c r="AZ297" s="10"/>
    </row>
    <row r="298" customFormat="false" ht="21.75" hidden="false" customHeight="true" outlineLevel="0" collapsed="false">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row>
    <row r="299" customFormat="false" ht="12" hidden="false" customHeight="true" outlineLevel="0" collapsed="false">
      <c r="A299" s="5" t="s">
        <v>102</v>
      </c>
      <c r="K299" s="10" t="s">
        <v>103</v>
      </c>
      <c r="L299" s="10"/>
      <c r="M299" s="10"/>
      <c r="N299" s="10"/>
      <c r="O299" s="10" t="s">
        <v>104</v>
      </c>
      <c r="P299" s="10"/>
      <c r="Q299" s="10"/>
      <c r="R299" s="10"/>
      <c r="S299" s="10" t="s">
        <v>105</v>
      </c>
      <c r="T299" s="10"/>
      <c r="U299" s="10"/>
      <c r="V299" s="10"/>
      <c r="W299" s="10" t="s">
        <v>106</v>
      </c>
      <c r="X299" s="10"/>
      <c r="Y299" s="10"/>
      <c r="Z299" s="10"/>
      <c r="AA299" s="10" t="s">
        <v>107</v>
      </c>
      <c r="AB299" s="10"/>
      <c r="AC299" s="10"/>
      <c r="AD299" s="10"/>
      <c r="AE299" s="10" t="s">
        <v>108</v>
      </c>
      <c r="AF299" s="10"/>
      <c r="AG299" s="10"/>
      <c r="AH299" s="10"/>
      <c r="AI299" s="10" t="s">
        <v>109</v>
      </c>
      <c r="AJ299" s="10"/>
      <c r="AK299" s="10"/>
      <c r="AL299" s="10"/>
      <c r="AM299" s="10" t="s">
        <v>42</v>
      </c>
      <c r="AN299" s="10"/>
      <c r="AO299" s="10"/>
      <c r="AP299" s="10"/>
      <c r="AQ299" s="10" t="s">
        <v>43</v>
      </c>
      <c r="AR299" s="10"/>
      <c r="AS299" s="10"/>
      <c r="AT299" s="10"/>
      <c r="AU299" s="10" t="s">
        <v>44</v>
      </c>
      <c r="AV299" s="10"/>
      <c r="AW299" s="10"/>
      <c r="AX299" s="10"/>
    </row>
    <row r="300" customFormat="false" ht="21.75" hidden="false" customHeight="true" outlineLevel="0" collapsed="false">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customFormat="false" ht="12" hidden="false" customHeight="true" outlineLevel="0" collapsed="false">
      <c r="A301" s="5" t="s">
        <v>120</v>
      </c>
      <c r="P301" s="10" t="s">
        <v>48</v>
      </c>
      <c r="Q301" s="10"/>
      <c r="R301" s="10"/>
      <c r="S301" s="10"/>
      <c r="T301" s="10" t="s">
        <v>50</v>
      </c>
      <c r="U301" s="10"/>
      <c r="V301" s="10"/>
      <c r="W301" s="10"/>
      <c r="X301" s="10"/>
      <c r="Y301" s="10"/>
      <c r="Z301" s="10"/>
      <c r="AA301" s="10"/>
      <c r="AB301" s="10"/>
      <c r="AC301" s="10"/>
      <c r="AD301" s="10"/>
      <c r="AE301" s="10"/>
      <c r="AF301" s="10"/>
      <c r="AG301" s="10"/>
      <c r="AH301" s="10"/>
      <c r="AI301" s="10"/>
      <c r="AJ301" s="10"/>
      <c r="AK301" s="10"/>
      <c r="AL301" s="10" t="s">
        <v>45</v>
      </c>
      <c r="AM301" s="10"/>
      <c r="AN301" s="10"/>
      <c r="AO301" s="10"/>
      <c r="AP301" s="10" t="s">
        <v>46</v>
      </c>
      <c r="AQ301" s="10"/>
      <c r="AR301" s="10"/>
      <c r="AS301" s="10"/>
    </row>
    <row r="302" customFormat="false" ht="21.75" hidden="false" customHeight="true" outlineLevel="0" collapsed="false">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row>
    <row r="304" customFormat="false" ht="18.75" hidden="false" customHeight="true" outlineLevel="0" collapsed="false">
      <c r="A304" s="14" t="s">
        <v>342</v>
      </c>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row>
    <row r="305" customFormat="false" ht="15" hidden="false" customHeight="true" outlineLevel="0" collapsed="false">
      <c r="A305" s="8" t="s">
        <v>124</v>
      </c>
      <c r="B305" s="15"/>
      <c r="C305" s="15"/>
      <c r="D305" s="15"/>
      <c r="E305" s="15"/>
      <c r="G305" s="15"/>
      <c r="H305" s="15"/>
      <c r="I305" s="15"/>
      <c r="J305" s="15"/>
      <c r="L305" s="15"/>
      <c r="M305" s="15"/>
      <c r="N305" s="15"/>
      <c r="O305" s="15"/>
      <c r="Q305" s="5" t="s">
        <v>237</v>
      </c>
    </row>
    <row r="306" customFormat="false" ht="12" hidden="false" customHeight="true" outlineLevel="0" collapsed="false">
      <c r="A306" s="5" t="s">
        <v>64</v>
      </c>
      <c r="F306" s="10" t="s">
        <v>0</v>
      </c>
      <c r="G306" s="10"/>
      <c r="H306" s="10"/>
      <c r="I306" s="10"/>
      <c r="J306" s="10" t="s">
        <v>1</v>
      </c>
      <c r="K306" s="10"/>
      <c r="L306" s="10"/>
      <c r="M306" s="10"/>
      <c r="N306" s="10" t="s">
        <v>2</v>
      </c>
      <c r="O306" s="10"/>
      <c r="P306" s="10"/>
      <c r="Q306" s="10"/>
      <c r="R306" s="10" t="s">
        <v>3</v>
      </c>
      <c r="S306" s="10"/>
      <c r="T306" s="10"/>
      <c r="U306" s="10"/>
      <c r="V306" s="10" t="s">
        <v>4</v>
      </c>
      <c r="W306" s="10"/>
      <c r="X306" s="10"/>
      <c r="Y306" s="10"/>
      <c r="Z306" s="10" t="s">
        <v>5</v>
      </c>
      <c r="AA306" s="10"/>
      <c r="AB306" s="10"/>
      <c r="AC306" s="10"/>
      <c r="AD306" s="10" t="s">
        <v>6</v>
      </c>
      <c r="AE306" s="10"/>
      <c r="AF306" s="10"/>
      <c r="AG306" s="10"/>
      <c r="AH306" s="10" t="s">
        <v>7</v>
      </c>
      <c r="AI306" s="10"/>
      <c r="AJ306" s="10"/>
      <c r="AK306" s="10"/>
      <c r="AL306" s="10" t="s">
        <v>8</v>
      </c>
      <c r="AM306" s="10"/>
      <c r="AN306" s="10"/>
      <c r="AO306" s="10"/>
      <c r="AP306" s="10" t="s">
        <v>9</v>
      </c>
      <c r="AQ306" s="10"/>
      <c r="AR306" s="10"/>
      <c r="AS306" s="10"/>
      <c r="AT306" s="10" t="s">
        <v>10</v>
      </c>
      <c r="AU306" s="10"/>
      <c r="AV306" s="10"/>
      <c r="AW306" s="10"/>
      <c r="AX306" s="10" t="s">
        <v>11</v>
      </c>
      <c r="AY306" s="10"/>
      <c r="AZ306" s="10"/>
      <c r="BA306" s="10"/>
    </row>
    <row r="307" customFormat="false" ht="21.75" hidden="false" customHeight="true" outlineLevel="0" collapsed="false">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row>
    <row r="308" customFormat="false" ht="12" hidden="false" customHeight="true" outlineLevel="0" collapsed="false">
      <c r="A308" s="5" t="s">
        <v>65</v>
      </c>
      <c r="H308" s="10" t="s">
        <v>66</v>
      </c>
      <c r="I308" s="10"/>
      <c r="J308" s="10"/>
      <c r="K308" s="10"/>
      <c r="L308" s="10" t="s">
        <v>67</v>
      </c>
      <c r="M308" s="10"/>
      <c r="N308" s="10"/>
      <c r="O308" s="10"/>
      <c r="P308" s="10" t="s">
        <v>68</v>
      </c>
      <c r="Q308" s="10"/>
      <c r="R308" s="10"/>
      <c r="S308" s="10"/>
      <c r="T308" s="10" t="s">
        <v>69</v>
      </c>
      <c r="U308" s="10"/>
      <c r="V308" s="10"/>
      <c r="W308" s="10"/>
      <c r="X308" s="10" t="s">
        <v>70</v>
      </c>
      <c r="Y308" s="10"/>
      <c r="Z308" s="10"/>
      <c r="AA308" s="10"/>
      <c r="AB308" s="10" t="s">
        <v>71</v>
      </c>
      <c r="AC308" s="10"/>
      <c r="AD308" s="10"/>
      <c r="AE308" s="10"/>
      <c r="AF308" s="10" t="s">
        <v>72</v>
      </c>
      <c r="AG308" s="10"/>
      <c r="AH308" s="10"/>
      <c r="AI308" s="10"/>
      <c r="AJ308" s="10" t="s">
        <v>73</v>
      </c>
      <c r="AK308" s="10"/>
      <c r="AL308" s="10"/>
      <c r="AM308" s="10"/>
      <c r="AN308" s="10" t="s">
        <v>74</v>
      </c>
      <c r="AO308" s="10"/>
      <c r="AP308" s="10"/>
      <c r="AQ308" s="10"/>
      <c r="AR308" s="10" t="s">
        <v>75</v>
      </c>
      <c r="AS308" s="10"/>
      <c r="AT308" s="10"/>
      <c r="AU308" s="10"/>
      <c r="AV308" s="10" t="s">
        <v>22</v>
      </c>
      <c r="AW308" s="10"/>
      <c r="AX308" s="10"/>
      <c r="AY308" s="10"/>
      <c r="AZ308" s="10" t="s">
        <v>23</v>
      </c>
      <c r="BA308" s="10"/>
      <c r="BB308" s="10"/>
      <c r="BC308" s="10"/>
    </row>
    <row r="309" customFormat="false" ht="21.75" hidden="false" customHeight="true" outlineLevel="0" collapsed="false">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row>
    <row r="310" customFormat="false" ht="12" hidden="false" customHeight="true" outlineLevel="0" collapsed="false">
      <c r="A310" s="5" t="s">
        <v>82</v>
      </c>
      <c r="I310" s="10" t="s">
        <v>83</v>
      </c>
      <c r="J310" s="10"/>
      <c r="K310" s="10"/>
      <c r="L310" s="10"/>
      <c r="M310" s="10" t="s">
        <v>84</v>
      </c>
      <c r="N310" s="10"/>
      <c r="O310" s="10"/>
      <c r="P310" s="10"/>
      <c r="Q310" s="10" t="s">
        <v>85</v>
      </c>
      <c r="R310" s="10"/>
      <c r="S310" s="10"/>
      <c r="T310" s="10"/>
      <c r="U310" s="10" t="s">
        <v>86</v>
      </c>
      <c r="V310" s="10"/>
      <c r="W310" s="10"/>
      <c r="X310" s="10"/>
      <c r="Y310" s="10" t="s">
        <v>87</v>
      </c>
      <c r="Z310" s="10"/>
      <c r="AA310" s="10"/>
      <c r="AB310" s="10"/>
      <c r="AC310" s="10" t="s">
        <v>88</v>
      </c>
      <c r="AD310" s="10"/>
      <c r="AE310" s="10"/>
      <c r="AF310" s="10"/>
      <c r="AG310" s="10" t="s">
        <v>89</v>
      </c>
      <c r="AH310" s="10"/>
      <c r="AI310" s="10"/>
      <c r="AJ310" s="10"/>
      <c r="AK310" s="10" t="s">
        <v>90</v>
      </c>
      <c r="AL310" s="10"/>
      <c r="AM310" s="10"/>
      <c r="AN310" s="10"/>
      <c r="AO310" s="10" t="s">
        <v>91</v>
      </c>
      <c r="AP310" s="10"/>
      <c r="AQ310" s="10"/>
      <c r="AR310" s="10"/>
      <c r="AS310" s="10" t="s">
        <v>33</v>
      </c>
      <c r="AT310" s="10"/>
      <c r="AU310" s="10"/>
      <c r="AV310" s="10"/>
      <c r="AW310" s="10" t="s">
        <v>34</v>
      </c>
      <c r="AX310" s="10"/>
      <c r="AY310" s="10"/>
      <c r="AZ310" s="10"/>
    </row>
    <row r="311" customFormat="false" ht="21.75" hidden="false" customHeight="true" outlineLevel="0" collapsed="false">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row>
    <row r="312" customFormat="false" ht="12" hidden="false" customHeight="true" outlineLevel="0" collapsed="false">
      <c r="A312" s="5" t="s">
        <v>102</v>
      </c>
      <c r="K312" s="10" t="s">
        <v>103</v>
      </c>
      <c r="L312" s="10"/>
      <c r="M312" s="10"/>
      <c r="N312" s="10"/>
      <c r="O312" s="10" t="s">
        <v>104</v>
      </c>
      <c r="P312" s="10"/>
      <c r="Q312" s="10"/>
      <c r="R312" s="10"/>
      <c r="S312" s="10" t="s">
        <v>105</v>
      </c>
      <c r="T312" s="10"/>
      <c r="U312" s="10"/>
      <c r="V312" s="10"/>
      <c r="W312" s="10" t="s">
        <v>106</v>
      </c>
      <c r="X312" s="10"/>
      <c r="Y312" s="10"/>
      <c r="Z312" s="10"/>
      <c r="AA312" s="10" t="s">
        <v>107</v>
      </c>
      <c r="AB312" s="10"/>
      <c r="AC312" s="10"/>
      <c r="AD312" s="10"/>
      <c r="AE312" s="10" t="s">
        <v>108</v>
      </c>
      <c r="AF312" s="10"/>
      <c r="AG312" s="10"/>
      <c r="AH312" s="10"/>
      <c r="AI312" s="10" t="s">
        <v>109</v>
      </c>
      <c r="AJ312" s="10"/>
      <c r="AK312" s="10"/>
      <c r="AL312" s="10"/>
      <c r="AM312" s="10" t="s">
        <v>42</v>
      </c>
      <c r="AN312" s="10"/>
      <c r="AO312" s="10"/>
      <c r="AP312" s="10"/>
      <c r="AQ312" s="10" t="s">
        <v>43</v>
      </c>
      <c r="AR312" s="10"/>
      <c r="AS312" s="10"/>
      <c r="AT312" s="10"/>
      <c r="AU312" s="10" t="s">
        <v>44</v>
      </c>
      <c r="AV312" s="10"/>
      <c r="AW312" s="10"/>
      <c r="AX312" s="10"/>
    </row>
    <row r="313" customFormat="false" ht="21.75" hidden="false" customHeight="true" outlineLevel="0" collapsed="false">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customFormat="false" ht="12" hidden="false" customHeight="true" outlineLevel="0" collapsed="false">
      <c r="A314" s="5" t="s">
        <v>120</v>
      </c>
      <c r="P314" s="10" t="s">
        <v>48</v>
      </c>
      <c r="Q314" s="10"/>
      <c r="R314" s="10"/>
      <c r="S314" s="10"/>
      <c r="T314" s="10" t="s">
        <v>50</v>
      </c>
      <c r="U314" s="10"/>
      <c r="V314" s="10"/>
      <c r="W314" s="10"/>
      <c r="X314" s="10"/>
      <c r="Y314" s="10"/>
      <c r="Z314" s="10"/>
      <c r="AA314" s="10"/>
      <c r="AB314" s="10"/>
      <c r="AC314" s="10"/>
      <c r="AD314" s="10"/>
      <c r="AE314" s="10"/>
      <c r="AF314" s="10"/>
      <c r="AG314" s="10"/>
      <c r="AH314" s="10"/>
      <c r="AI314" s="10"/>
      <c r="AJ314" s="10"/>
      <c r="AK314" s="10"/>
      <c r="AL314" s="10" t="s">
        <v>45</v>
      </c>
      <c r="AM314" s="10"/>
      <c r="AN314" s="10"/>
      <c r="AO314" s="10"/>
      <c r="AP314" s="10" t="s">
        <v>46</v>
      </c>
      <c r="AQ314" s="10"/>
      <c r="AR314" s="10"/>
      <c r="AS314" s="10"/>
    </row>
    <row r="315" customFormat="false" ht="21.75" hidden="false" customHeight="true" outlineLevel="0" collapsed="false">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row>
    <row r="317" customFormat="false" ht="18.75" hidden="false" customHeight="true" outlineLevel="0" collapsed="false">
      <c r="A317" s="14" t="s">
        <v>343</v>
      </c>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row>
    <row r="318" customFormat="false" ht="15" hidden="false" customHeight="true" outlineLevel="0" collapsed="false">
      <c r="A318" s="8" t="s">
        <v>124</v>
      </c>
      <c r="B318" s="15"/>
      <c r="C318" s="15"/>
      <c r="D318" s="15"/>
      <c r="E318" s="15"/>
      <c r="G318" s="15"/>
      <c r="H318" s="15"/>
      <c r="I318" s="15"/>
      <c r="J318" s="15"/>
      <c r="L318" s="15"/>
      <c r="M318" s="15"/>
      <c r="N318" s="15"/>
      <c r="O318" s="15"/>
      <c r="Q318" s="5" t="s">
        <v>237</v>
      </c>
    </row>
    <row r="319" customFormat="false" ht="12" hidden="false" customHeight="true" outlineLevel="0" collapsed="false">
      <c r="A319" s="5" t="s">
        <v>64</v>
      </c>
      <c r="F319" s="10" t="s">
        <v>0</v>
      </c>
      <c r="G319" s="10"/>
      <c r="H319" s="10"/>
      <c r="I319" s="10"/>
      <c r="J319" s="10" t="s">
        <v>1</v>
      </c>
      <c r="K319" s="10"/>
      <c r="L319" s="10"/>
      <c r="M319" s="10"/>
      <c r="N319" s="10" t="s">
        <v>2</v>
      </c>
      <c r="O319" s="10"/>
      <c r="P319" s="10"/>
      <c r="Q319" s="10"/>
      <c r="R319" s="10" t="s">
        <v>3</v>
      </c>
      <c r="S319" s="10"/>
      <c r="T319" s="10"/>
      <c r="U319" s="10"/>
      <c r="V319" s="10" t="s">
        <v>4</v>
      </c>
      <c r="W319" s="10"/>
      <c r="X319" s="10"/>
      <c r="Y319" s="10"/>
      <c r="Z319" s="10" t="s">
        <v>5</v>
      </c>
      <c r="AA319" s="10"/>
      <c r="AB319" s="10"/>
      <c r="AC319" s="10"/>
      <c r="AD319" s="10" t="s">
        <v>6</v>
      </c>
      <c r="AE319" s="10"/>
      <c r="AF319" s="10"/>
      <c r="AG319" s="10"/>
      <c r="AH319" s="10" t="s">
        <v>7</v>
      </c>
      <c r="AI319" s="10"/>
      <c r="AJ319" s="10"/>
      <c r="AK319" s="10"/>
      <c r="AL319" s="10" t="s">
        <v>8</v>
      </c>
      <c r="AM319" s="10"/>
      <c r="AN319" s="10"/>
      <c r="AO319" s="10"/>
      <c r="AP319" s="10" t="s">
        <v>9</v>
      </c>
      <c r="AQ319" s="10"/>
      <c r="AR319" s="10"/>
      <c r="AS319" s="10"/>
      <c r="AT319" s="10" t="s">
        <v>10</v>
      </c>
      <c r="AU319" s="10"/>
      <c r="AV319" s="10"/>
      <c r="AW319" s="10"/>
      <c r="AX319" s="10" t="s">
        <v>11</v>
      </c>
      <c r="AY319" s="10"/>
      <c r="AZ319" s="10"/>
      <c r="BA319" s="10"/>
    </row>
    <row r="320" customFormat="false" ht="21.75" hidden="false" customHeight="true" outlineLevel="0" collapsed="false">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row>
    <row r="321" customFormat="false" ht="12" hidden="false" customHeight="true" outlineLevel="0" collapsed="false">
      <c r="A321" s="5" t="s">
        <v>65</v>
      </c>
      <c r="H321" s="10" t="s">
        <v>66</v>
      </c>
      <c r="I321" s="10"/>
      <c r="J321" s="10"/>
      <c r="K321" s="10"/>
      <c r="L321" s="10" t="s">
        <v>67</v>
      </c>
      <c r="M321" s="10"/>
      <c r="N321" s="10"/>
      <c r="O321" s="10"/>
      <c r="P321" s="10" t="s">
        <v>68</v>
      </c>
      <c r="Q321" s="10"/>
      <c r="R321" s="10"/>
      <c r="S321" s="10"/>
      <c r="T321" s="10" t="s">
        <v>69</v>
      </c>
      <c r="U321" s="10"/>
      <c r="V321" s="10"/>
      <c r="W321" s="10"/>
      <c r="X321" s="10" t="s">
        <v>70</v>
      </c>
      <c r="Y321" s="10"/>
      <c r="Z321" s="10"/>
      <c r="AA321" s="10"/>
      <c r="AB321" s="10" t="s">
        <v>71</v>
      </c>
      <c r="AC321" s="10"/>
      <c r="AD321" s="10"/>
      <c r="AE321" s="10"/>
      <c r="AF321" s="10" t="s">
        <v>72</v>
      </c>
      <c r="AG321" s="10"/>
      <c r="AH321" s="10"/>
      <c r="AI321" s="10"/>
      <c r="AJ321" s="10" t="s">
        <v>73</v>
      </c>
      <c r="AK321" s="10"/>
      <c r="AL321" s="10"/>
      <c r="AM321" s="10"/>
      <c r="AN321" s="10" t="s">
        <v>74</v>
      </c>
      <c r="AO321" s="10"/>
      <c r="AP321" s="10"/>
      <c r="AQ321" s="10"/>
      <c r="AR321" s="10" t="s">
        <v>75</v>
      </c>
      <c r="AS321" s="10"/>
      <c r="AT321" s="10"/>
      <c r="AU321" s="10"/>
      <c r="AV321" s="10" t="s">
        <v>22</v>
      </c>
      <c r="AW321" s="10"/>
      <c r="AX321" s="10"/>
      <c r="AY321" s="10"/>
      <c r="AZ321" s="10" t="s">
        <v>23</v>
      </c>
      <c r="BA321" s="10"/>
      <c r="BB321" s="10"/>
      <c r="BC321" s="10"/>
    </row>
    <row r="322" customFormat="false" ht="21.75" hidden="false" customHeight="true" outlineLevel="0" collapsed="false">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row>
    <row r="323" customFormat="false" ht="12" hidden="false" customHeight="true" outlineLevel="0" collapsed="false">
      <c r="A323" s="5" t="s">
        <v>82</v>
      </c>
      <c r="I323" s="10" t="s">
        <v>83</v>
      </c>
      <c r="J323" s="10"/>
      <c r="K323" s="10"/>
      <c r="L323" s="10"/>
      <c r="M323" s="10" t="s">
        <v>84</v>
      </c>
      <c r="N323" s="10"/>
      <c r="O323" s="10"/>
      <c r="P323" s="10"/>
      <c r="Q323" s="10" t="s">
        <v>85</v>
      </c>
      <c r="R323" s="10"/>
      <c r="S323" s="10"/>
      <c r="T323" s="10"/>
      <c r="U323" s="10" t="s">
        <v>86</v>
      </c>
      <c r="V323" s="10"/>
      <c r="W323" s="10"/>
      <c r="X323" s="10"/>
      <c r="Y323" s="10" t="s">
        <v>87</v>
      </c>
      <c r="Z323" s="10"/>
      <c r="AA323" s="10"/>
      <c r="AB323" s="10"/>
      <c r="AC323" s="10" t="s">
        <v>88</v>
      </c>
      <c r="AD323" s="10"/>
      <c r="AE323" s="10"/>
      <c r="AF323" s="10"/>
      <c r="AG323" s="10" t="s">
        <v>89</v>
      </c>
      <c r="AH323" s="10"/>
      <c r="AI323" s="10"/>
      <c r="AJ323" s="10"/>
      <c r="AK323" s="10" t="s">
        <v>90</v>
      </c>
      <c r="AL323" s="10"/>
      <c r="AM323" s="10"/>
      <c r="AN323" s="10"/>
      <c r="AO323" s="10" t="s">
        <v>91</v>
      </c>
      <c r="AP323" s="10"/>
      <c r="AQ323" s="10"/>
      <c r="AR323" s="10"/>
      <c r="AS323" s="10" t="s">
        <v>33</v>
      </c>
      <c r="AT323" s="10"/>
      <c r="AU323" s="10"/>
      <c r="AV323" s="10"/>
      <c r="AW323" s="10" t="s">
        <v>34</v>
      </c>
      <c r="AX323" s="10"/>
      <c r="AY323" s="10"/>
      <c r="AZ323" s="10"/>
    </row>
    <row r="324" customFormat="false" ht="21.75" hidden="false" customHeight="true" outlineLevel="0" collapsed="false">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row>
    <row r="325" customFormat="false" ht="12" hidden="false" customHeight="true" outlineLevel="0" collapsed="false">
      <c r="A325" s="5" t="s">
        <v>102</v>
      </c>
      <c r="K325" s="10" t="s">
        <v>103</v>
      </c>
      <c r="L325" s="10"/>
      <c r="M325" s="10"/>
      <c r="N325" s="10"/>
      <c r="O325" s="10" t="s">
        <v>104</v>
      </c>
      <c r="P325" s="10"/>
      <c r="Q325" s="10"/>
      <c r="R325" s="10"/>
      <c r="S325" s="10" t="s">
        <v>105</v>
      </c>
      <c r="T325" s="10"/>
      <c r="U325" s="10"/>
      <c r="V325" s="10"/>
      <c r="W325" s="10" t="s">
        <v>106</v>
      </c>
      <c r="X325" s="10"/>
      <c r="Y325" s="10"/>
      <c r="Z325" s="10"/>
      <c r="AA325" s="10" t="s">
        <v>107</v>
      </c>
      <c r="AB325" s="10"/>
      <c r="AC325" s="10"/>
      <c r="AD325" s="10"/>
      <c r="AE325" s="10" t="s">
        <v>108</v>
      </c>
      <c r="AF325" s="10"/>
      <c r="AG325" s="10"/>
      <c r="AH325" s="10"/>
      <c r="AI325" s="10" t="s">
        <v>109</v>
      </c>
      <c r="AJ325" s="10"/>
      <c r="AK325" s="10"/>
      <c r="AL325" s="10"/>
      <c r="AM325" s="10" t="s">
        <v>42</v>
      </c>
      <c r="AN325" s="10"/>
      <c r="AO325" s="10"/>
      <c r="AP325" s="10"/>
      <c r="AQ325" s="10" t="s">
        <v>43</v>
      </c>
      <c r="AR325" s="10"/>
      <c r="AS325" s="10"/>
      <c r="AT325" s="10"/>
      <c r="AU325" s="10" t="s">
        <v>44</v>
      </c>
      <c r="AV325" s="10"/>
      <c r="AW325" s="10"/>
      <c r="AX325" s="10"/>
    </row>
    <row r="326" customFormat="false" ht="21.75" hidden="false" customHeight="true" outlineLevel="0" collapsed="false">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customFormat="false" ht="12" hidden="false" customHeight="true" outlineLevel="0" collapsed="false">
      <c r="A327" s="5" t="s">
        <v>120</v>
      </c>
      <c r="P327" s="10" t="s">
        <v>48</v>
      </c>
      <c r="Q327" s="10"/>
      <c r="R327" s="10"/>
      <c r="S327" s="10"/>
      <c r="T327" s="10" t="s">
        <v>50</v>
      </c>
      <c r="U327" s="10"/>
      <c r="V327" s="10"/>
      <c r="W327" s="10"/>
      <c r="X327" s="10"/>
      <c r="Y327" s="10"/>
      <c r="Z327" s="10"/>
      <c r="AA327" s="10"/>
      <c r="AB327" s="10"/>
      <c r="AC327" s="10"/>
      <c r="AD327" s="10"/>
      <c r="AE327" s="10"/>
      <c r="AF327" s="10"/>
      <c r="AG327" s="10"/>
      <c r="AH327" s="10"/>
      <c r="AI327" s="10"/>
      <c r="AJ327" s="10"/>
      <c r="AK327" s="10"/>
      <c r="AL327" s="10" t="s">
        <v>45</v>
      </c>
      <c r="AM327" s="10"/>
      <c r="AN327" s="10"/>
      <c r="AO327" s="10"/>
      <c r="AP327" s="10" t="s">
        <v>46</v>
      </c>
      <c r="AQ327" s="10"/>
      <c r="AR327" s="10"/>
      <c r="AS327" s="10"/>
    </row>
    <row r="328" customFormat="false" ht="21.75" hidden="false" customHeight="true" outlineLevel="0" collapsed="false">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row>
    <row r="330" customFormat="false" ht="18.75" hidden="false" customHeight="true" outlineLevel="0" collapsed="false">
      <c r="A330" s="14" t="s">
        <v>344</v>
      </c>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row>
    <row r="331" customFormat="false" ht="15" hidden="false" customHeight="true" outlineLevel="0" collapsed="false">
      <c r="A331" s="8" t="s">
        <v>124</v>
      </c>
      <c r="B331" s="15"/>
      <c r="C331" s="15"/>
      <c r="D331" s="15"/>
      <c r="E331" s="15"/>
      <c r="G331" s="15"/>
      <c r="H331" s="15"/>
      <c r="I331" s="15"/>
      <c r="J331" s="15"/>
      <c r="L331" s="15"/>
      <c r="M331" s="15"/>
      <c r="N331" s="15"/>
      <c r="O331" s="15"/>
      <c r="Q331" s="5" t="s">
        <v>237</v>
      </c>
    </row>
    <row r="332" customFormat="false" ht="12" hidden="false" customHeight="true" outlineLevel="0" collapsed="false">
      <c r="A332" s="5" t="s">
        <v>64</v>
      </c>
      <c r="F332" s="10" t="s">
        <v>0</v>
      </c>
      <c r="G332" s="10"/>
      <c r="H332" s="10"/>
      <c r="I332" s="10"/>
      <c r="J332" s="10" t="s">
        <v>1</v>
      </c>
      <c r="K332" s="10"/>
      <c r="L332" s="10"/>
      <c r="M332" s="10"/>
      <c r="N332" s="10" t="s">
        <v>2</v>
      </c>
      <c r="O332" s="10"/>
      <c r="P332" s="10"/>
      <c r="Q332" s="10"/>
      <c r="R332" s="10" t="s">
        <v>3</v>
      </c>
      <c r="S332" s="10"/>
      <c r="T332" s="10"/>
      <c r="U332" s="10"/>
      <c r="V332" s="10" t="s">
        <v>4</v>
      </c>
      <c r="W332" s="10"/>
      <c r="X332" s="10"/>
      <c r="Y332" s="10"/>
      <c r="Z332" s="10" t="s">
        <v>5</v>
      </c>
      <c r="AA332" s="10"/>
      <c r="AB332" s="10"/>
      <c r="AC332" s="10"/>
      <c r="AD332" s="10" t="s">
        <v>6</v>
      </c>
      <c r="AE332" s="10"/>
      <c r="AF332" s="10"/>
      <c r="AG332" s="10"/>
      <c r="AH332" s="10" t="s">
        <v>7</v>
      </c>
      <c r="AI332" s="10"/>
      <c r="AJ332" s="10"/>
      <c r="AK332" s="10"/>
      <c r="AL332" s="10" t="s">
        <v>8</v>
      </c>
      <c r="AM332" s="10"/>
      <c r="AN332" s="10"/>
      <c r="AO332" s="10"/>
      <c r="AP332" s="10" t="s">
        <v>9</v>
      </c>
      <c r="AQ332" s="10"/>
      <c r="AR332" s="10"/>
      <c r="AS332" s="10"/>
      <c r="AT332" s="10" t="s">
        <v>10</v>
      </c>
      <c r="AU332" s="10"/>
      <c r="AV332" s="10"/>
      <c r="AW332" s="10"/>
      <c r="AX332" s="10" t="s">
        <v>11</v>
      </c>
      <c r="AY332" s="10"/>
      <c r="AZ332" s="10"/>
      <c r="BA332" s="10"/>
    </row>
    <row r="333" customFormat="false" ht="21.75" hidden="false" customHeight="true" outlineLevel="0" collapsed="false">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row>
    <row r="334" customFormat="false" ht="12" hidden="false" customHeight="true" outlineLevel="0" collapsed="false">
      <c r="A334" s="5" t="s">
        <v>65</v>
      </c>
      <c r="H334" s="10" t="s">
        <v>66</v>
      </c>
      <c r="I334" s="10"/>
      <c r="J334" s="10"/>
      <c r="K334" s="10"/>
      <c r="L334" s="10" t="s">
        <v>67</v>
      </c>
      <c r="M334" s="10"/>
      <c r="N334" s="10"/>
      <c r="O334" s="10"/>
      <c r="P334" s="10" t="s">
        <v>68</v>
      </c>
      <c r="Q334" s="10"/>
      <c r="R334" s="10"/>
      <c r="S334" s="10"/>
      <c r="T334" s="10" t="s">
        <v>69</v>
      </c>
      <c r="U334" s="10"/>
      <c r="V334" s="10"/>
      <c r="W334" s="10"/>
      <c r="X334" s="10" t="s">
        <v>70</v>
      </c>
      <c r="Y334" s="10"/>
      <c r="Z334" s="10"/>
      <c r="AA334" s="10"/>
      <c r="AB334" s="10" t="s">
        <v>71</v>
      </c>
      <c r="AC334" s="10"/>
      <c r="AD334" s="10"/>
      <c r="AE334" s="10"/>
      <c r="AF334" s="10" t="s">
        <v>72</v>
      </c>
      <c r="AG334" s="10"/>
      <c r="AH334" s="10"/>
      <c r="AI334" s="10"/>
      <c r="AJ334" s="10" t="s">
        <v>73</v>
      </c>
      <c r="AK334" s="10"/>
      <c r="AL334" s="10"/>
      <c r="AM334" s="10"/>
      <c r="AN334" s="10" t="s">
        <v>74</v>
      </c>
      <c r="AO334" s="10"/>
      <c r="AP334" s="10"/>
      <c r="AQ334" s="10"/>
      <c r="AR334" s="10" t="s">
        <v>75</v>
      </c>
      <c r="AS334" s="10"/>
      <c r="AT334" s="10"/>
      <c r="AU334" s="10"/>
      <c r="AV334" s="10" t="s">
        <v>22</v>
      </c>
      <c r="AW334" s="10"/>
      <c r="AX334" s="10"/>
      <c r="AY334" s="10"/>
      <c r="AZ334" s="10" t="s">
        <v>23</v>
      </c>
      <c r="BA334" s="10"/>
      <c r="BB334" s="10"/>
      <c r="BC334" s="10"/>
    </row>
    <row r="335" customFormat="false" ht="21.75" hidden="false" customHeight="true" outlineLevel="0" collapsed="false">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row>
    <row r="336" customFormat="false" ht="12" hidden="false" customHeight="true" outlineLevel="0" collapsed="false">
      <c r="A336" s="5" t="s">
        <v>82</v>
      </c>
      <c r="I336" s="10" t="s">
        <v>83</v>
      </c>
      <c r="J336" s="10"/>
      <c r="K336" s="10"/>
      <c r="L336" s="10"/>
      <c r="M336" s="10" t="s">
        <v>84</v>
      </c>
      <c r="N336" s="10"/>
      <c r="O336" s="10"/>
      <c r="P336" s="10"/>
      <c r="Q336" s="10" t="s">
        <v>85</v>
      </c>
      <c r="R336" s="10"/>
      <c r="S336" s="10"/>
      <c r="T336" s="10"/>
      <c r="U336" s="10" t="s">
        <v>86</v>
      </c>
      <c r="V336" s="10"/>
      <c r="W336" s="10"/>
      <c r="X336" s="10"/>
      <c r="Y336" s="10" t="s">
        <v>87</v>
      </c>
      <c r="Z336" s="10"/>
      <c r="AA336" s="10"/>
      <c r="AB336" s="10"/>
      <c r="AC336" s="10" t="s">
        <v>88</v>
      </c>
      <c r="AD336" s="10"/>
      <c r="AE336" s="10"/>
      <c r="AF336" s="10"/>
      <c r="AG336" s="10" t="s">
        <v>89</v>
      </c>
      <c r="AH336" s="10"/>
      <c r="AI336" s="10"/>
      <c r="AJ336" s="10"/>
      <c r="AK336" s="10" t="s">
        <v>90</v>
      </c>
      <c r="AL336" s="10"/>
      <c r="AM336" s="10"/>
      <c r="AN336" s="10"/>
      <c r="AO336" s="10" t="s">
        <v>91</v>
      </c>
      <c r="AP336" s="10"/>
      <c r="AQ336" s="10"/>
      <c r="AR336" s="10"/>
      <c r="AS336" s="10" t="s">
        <v>33</v>
      </c>
      <c r="AT336" s="10"/>
      <c r="AU336" s="10"/>
      <c r="AV336" s="10"/>
      <c r="AW336" s="10" t="s">
        <v>34</v>
      </c>
      <c r="AX336" s="10"/>
      <c r="AY336" s="10"/>
      <c r="AZ336" s="10"/>
    </row>
    <row r="337" customFormat="false" ht="21.75" hidden="false" customHeight="true" outlineLevel="0" collapsed="false">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row>
    <row r="338" customFormat="false" ht="12" hidden="false" customHeight="true" outlineLevel="0" collapsed="false">
      <c r="A338" s="5" t="s">
        <v>102</v>
      </c>
      <c r="K338" s="10" t="s">
        <v>103</v>
      </c>
      <c r="L338" s="10"/>
      <c r="M338" s="10"/>
      <c r="N338" s="10"/>
      <c r="O338" s="10" t="s">
        <v>104</v>
      </c>
      <c r="P338" s="10"/>
      <c r="Q338" s="10"/>
      <c r="R338" s="10"/>
      <c r="S338" s="10" t="s">
        <v>105</v>
      </c>
      <c r="T338" s="10"/>
      <c r="U338" s="10"/>
      <c r="V338" s="10"/>
      <c r="W338" s="10" t="s">
        <v>106</v>
      </c>
      <c r="X338" s="10"/>
      <c r="Y338" s="10"/>
      <c r="Z338" s="10"/>
      <c r="AA338" s="10" t="s">
        <v>107</v>
      </c>
      <c r="AB338" s="10"/>
      <c r="AC338" s="10"/>
      <c r="AD338" s="10"/>
      <c r="AE338" s="10" t="s">
        <v>108</v>
      </c>
      <c r="AF338" s="10"/>
      <c r="AG338" s="10"/>
      <c r="AH338" s="10"/>
      <c r="AI338" s="10" t="s">
        <v>109</v>
      </c>
      <c r="AJ338" s="10"/>
      <c r="AK338" s="10"/>
      <c r="AL338" s="10"/>
      <c r="AM338" s="10" t="s">
        <v>42</v>
      </c>
      <c r="AN338" s="10"/>
      <c r="AO338" s="10"/>
      <c r="AP338" s="10"/>
      <c r="AQ338" s="10" t="s">
        <v>43</v>
      </c>
      <c r="AR338" s="10"/>
      <c r="AS338" s="10"/>
      <c r="AT338" s="10"/>
      <c r="AU338" s="10" t="s">
        <v>44</v>
      </c>
      <c r="AV338" s="10"/>
      <c r="AW338" s="10"/>
      <c r="AX338" s="10"/>
    </row>
    <row r="339" customFormat="false" ht="21.75" hidden="false" customHeight="true" outlineLevel="0" collapsed="false">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customFormat="false" ht="12" hidden="false" customHeight="true" outlineLevel="0" collapsed="false">
      <c r="A340" s="5" t="s">
        <v>120</v>
      </c>
      <c r="P340" s="10" t="s">
        <v>48</v>
      </c>
      <c r="Q340" s="10"/>
      <c r="R340" s="10"/>
      <c r="S340" s="10"/>
      <c r="T340" s="10" t="s">
        <v>50</v>
      </c>
      <c r="U340" s="10"/>
      <c r="V340" s="10"/>
      <c r="W340" s="10"/>
      <c r="X340" s="10"/>
      <c r="Y340" s="10"/>
      <c r="Z340" s="10"/>
      <c r="AA340" s="10"/>
      <c r="AB340" s="10"/>
      <c r="AC340" s="10"/>
      <c r="AD340" s="10"/>
      <c r="AE340" s="10"/>
      <c r="AF340" s="10"/>
      <c r="AG340" s="10"/>
      <c r="AH340" s="10"/>
      <c r="AI340" s="10"/>
      <c r="AJ340" s="10"/>
      <c r="AK340" s="10"/>
      <c r="AL340" s="10" t="s">
        <v>45</v>
      </c>
      <c r="AM340" s="10"/>
      <c r="AN340" s="10"/>
      <c r="AO340" s="10"/>
      <c r="AP340" s="10" t="s">
        <v>46</v>
      </c>
      <c r="AQ340" s="10"/>
      <c r="AR340" s="10"/>
      <c r="AS340" s="10"/>
    </row>
    <row r="341" customFormat="false" ht="21.75" hidden="false" customHeight="true" outlineLevel="0" collapsed="false">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row>
    <row r="343" customFormat="false" ht="18.75" hidden="false" customHeight="true" outlineLevel="0" collapsed="false">
      <c r="A343" s="14" t="s">
        <v>345</v>
      </c>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row>
    <row r="344" customFormat="false" ht="15" hidden="false" customHeight="true" outlineLevel="0" collapsed="false">
      <c r="A344" s="8" t="s">
        <v>124</v>
      </c>
      <c r="B344" s="15"/>
      <c r="C344" s="15"/>
      <c r="D344" s="15"/>
      <c r="E344" s="15"/>
      <c r="G344" s="15"/>
      <c r="H344" s="15"/>
      <c r="I344" s="15"/>
      <c r="J344" s="15"/>
      <c r="L344" s="15"/>
      <c r="M344" s="15"/>
      <c r="N344" s="15"/>
      <c r="O344" s="15"/>
      <c r="Q344" s="5" t="s">
        <v>237</v>
      </c>
    </row>
    <row r="345" customFormat="false" ht="12" hidden="false" customHeight="true" outlineLevel="0" collapsed="false">
      <c r="A345" s="5" t="s">
        <v>64</v>
      </c>
      <c r="F345" s="10" t="s">
        <v>0</v>
      </c>
      <c r="G345" s="10"/>
      <c r="H345" s="10"/>
      <c r="I345" s="10"/>
      <c r="J345" s="10" t="s">
        <v>1</v>
      </c>
      <c r="K345" s="10"/>
      <c r="L345" s="10"/>
      <c r="M345" s="10"/>
      <c r="N345" s="10" t="s">
        <v>2</v>
      </c>
      <c r="O345" s="10"/>
      <c r="P345" s="10"/>
      <c r="Q345" s="10"/>
      <c r="R345" s="10" t="s">
        <v>3</v>
      </c>
      <c r="S345" s="10"/>
      <c r="T345" s="10"/>
      <c r="U345" s="10"/>
      <c r="V345" s="10" t="s">
        <v>4</v>
      </c>
      <c r="W345" s="10"/>
      <c r="X345" s="10"/>
      <c r="Y345" s="10"/>
      <c r="Z345" s="10" t="s">
        <v>5</v>
      </c>
      <c r="AA345" s="10"/>
      <c r="AB345" s="10"/>
      <c r="AC345" s="10"/>
      <c r="AD345" s="10" t="s">
        <v>6</v>
      </c>
      <c r="AE345" s="10"/>
      <c r="AF345" s="10"/>
      <c r="AG345" s="10"/>
      <c r="AH345" s="10" t="s">
        <v>7</v>
      </c>
      <c r="AI345" s="10"/>
      <c r="AJ345" s="10"/>
      <c r="AK345" s="10"/>
      <c r="AL345" s="10" t="s">
        <v>8</v>
      </c>
      <c r="AM345" s="10"/>
      <c r="AN345" s="10"/>
      <c r="AO345" s="10"/>
      <c r="AP345" s="10" t="s">
        <v>9</v>
      </c>
      <c r="AQ345" s="10"/>
      <c r="AR345" s="10"/>
      <c r="AS345" s="10"/>
      <c r="AT345" s="10" t="s">
        <v>10</v>
      </c>
      <c r="AU345" s="10"/>
      <c r="AV345" s="10"/>
      <c r="AW345" s="10"/>
      <c r="AX345" s="10" t="s">
        <v>11</v>
      </c>
      <c r="AY345" s="10"/>
      <c r="AZ345" s="10"/>
      <c r="BA345" s="10"/>
    </row>
    <row r="346" customFormat="false" ht="21.75" hidden="false" customHeight="true" outlineLevel="0" collapsed="false">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row>
    <row r="347" customFormat="false" ht="12" hidden="false" customHeight="true" outlineLevel="0" collapsed="false">
      <c r="A347" s="5" t="s">
        <v>65</v>
      </c>
      <c r="H347" s="10" t="s">
        <v>66</v>
      </c>
      <c r="I347" s="10"/>
      <c r="J347" s="10"/>
      <c r="K347" s="10"/>
      <c r="L347" s="10" t="s">
        <v>67</v>
      </c>
      <c r="M347" s="10"/>
      <c r="N347" s="10"/>
      <c r="O347" s="10"/>
      <c r="P347" s="10" t="s">
        <v>68</v>
      </c>
      <c r="Q347" s="10"/>
      <c r="R347" s="10"/>
      <c r="S347" s="10"/>
      <c r="T347" s="10" t="s">
        <v>69</v>
      </c>
      <c r="U347" s="10"/>
      <c r="V347" s="10"/>
      <c r="W347" s="10"/>
      <c r="X347" s="10" t="s">
        <v>70</v>
      </c>
      <c r="Y347" s="10"/>
      <c r="Z347" s="10"/>
      <c r="AA347" s="10"/>
      <c r="AB347" s="10" t="s">
        <v>71</v>
      </c>
      <c r="AC347" s="10"/>
      <c r="AD347" s="10"/>
      <c r="AE347" s="10"/>
      <c r="AF347" s="10" t="s">
        <v>72</v>
      </c>
      <c r="AG347" s="10"/>
      <c r="AH347" s="10"/>
      <c r="AI347" s="10"/>
      <c r="AJ347" s="10" t="s">
        <v>73</v>
      </c>
      <c r="AK347" s="10"/>
      <c r="AL347" s="10"/>
      <c r="AM347" s="10"/>
      <c r="AN347" s="10" t="s">
        <v>74</v>
      </c>
      <c r="AO347" s="10"/>
      <c r="AP347" s="10"/>
      <c r="AQ347" s="10"/>
      <c r="AR347" s="10" t="s">
        <v>75</v>
      </c>
      <c r="AS347" s="10"/>
      <c r="AT347" s="10"/>
      <c r="AU347" s="10"/>
      <c r="AV347" s="10" t="s">
        <v>22</v>
      </c>
      <c r="AW347" s="10"/>
      <c r="AX347" s="10"/>
      <c r="AY347" s="10"/>
      <c r="AZ347" s="10" t="s">
        <v>23</v>
      </c>
      <c r="BA347" s="10"/>
      <c r="BB347" s="10"/>
      <c r="BC347" s="10"/>
    </row>
    <row r="348" customFormat="false" ht="21.75" hidden="false" customHeight="true" outlineLevel="0" collapsed="false">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row>
    <row r="349" customFormat="false" ht="12" hidden="false" customHeight="true" outlineLevel="0" collapsed="false">
      <c r="A349" s="5" t="s">
        <v>82</v>
      </c>
      <c r="I349" s="10" t="s">
        <v>83</v>
      </c>
      <c r="J349" s="10"/>
      <c r="K349" s="10"/>
      <c r="L349" s="10"/>
      <c r="M349" s="10" t="s">
        <v>84</v>
      </c>
      <c r="N349" s="10"/>
      <c r="O349" s="10"/>
      <c r="P349" s="10"/>
      <c r="Q349" s="10" t="s">
        <v>85</v>
      </c>
      <c r="R349" s="10"/>
      <c r="S349" s="10"/>
      <c r="T349" s="10"/>
      <c r="U349" s="10" t="s">
        <v>86</v>
      </c>
      <c r="V349" s="10"/>
      <c r="W349" s="10"/>
      <c r="X349" s="10"/>
      <c r="Y349" s="10" t="s">
        <v>87</v>
      </c>
      <c r="Z349" s="10"/>
      <c r="AA349" s="10"/>
      <c r="AB349" s="10"/>
      <c r="AC349" s="10" t="s">
        <v>88</v>
      </c>
      <c r="AD349" s="10"/>
      <c r="AE349" s="10"/>
      <c r="AF349" s="10"/>
      <c r="AG349" s="10" t="s">
        <v>89</v>
      </c>
      <c r="AH349" s="10"/>
      <c r="AI349" s="10"/>
      <c r="AJ349" s="10"/>
      <c r="AK349" s="10" t="s">
        <v>90</v>
      </c>
      <c r="AL349" s="10"/>
      <c r="AM349" s="10"/>
      <c r="AN349" s="10"/>
      <c r="AO349" s="10" t="s">
        <v>91</v>
      </c>
      <c r="AP349" s="10"/>
      <c r="AQ349" s="10"/>
      <c r="AR349" s="10"/>
      <c r="AS349" s="10" t="s">
        <v>33</v>
      </c>
      <c r="AT349" s="10"/>
      <c r="AU349" s="10"/>
      <c r="AV349" s="10"/>
      <c r="AW349" s="10" t="s">
        <v>34</v>
      </c>
      <c r="AX349" s="10"/>
      <c r="AY349" s="10"/>
      <c r="AZ349" s="10"/>
    </row>
    <row r="350" customFormat="false" ht="21.75" hidden="false" customHeight="true" outlineLevel="0" collapsed="false">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row>
    <row r="351" customFormat="false" ht="12" hidden="false" customHeight="true" outlineLevel="0" collapsed="false">
      <c r="A351" s="5" t="s">
        <v>102</v>
      </c>
      <c r="K351" s="10" t="s">
        <v>103</v>
      </c>
      <c r="L351" s="10"/>
      <c r="M351" s="10"/>
      <c r="N351" s="10"/>
      <c r="O351" s="10" t="s">
        <v>104</v>
      </c>
      <c r="P351" s="10"/>
      <c r="Q351" s="10"/>
      <c r="R351" s="10"/>
      <c r="S351" s="10" t="s">
        <v>105</v>
      </c>
      <c r="T351" s="10"/>
      <c r="U351" s="10"/>
      <c r="V351" s="10"/>
      <c r="W351" s="10" t="s">
        <v>106</v>
      </c>
      <c r="X351" s="10"/>
      <c r="Y351" s="10"/>
      <c r="Z351" s="10"/>
      <c r="AA351" s="10" t="s">
        <v>107</v>
      </c>
      <c r="AB351" s="10"/>
      <c r="AC351" s="10"/>
      <c r="AD351" s="10"/>
      <c r="AE351" s="10" t="s">
        <v>108</v>
      </c>
      <c r="AF351" s="10"/>
      <c r="AG351" s="10"/>
      <c r="AH351" s="10"/>
      <c r="AI351" s="10" t="s">
        <v>109</v>
      </c>
      <c r="AJ351" s="10"/>
      <c r="AK351" s="10"/>
      <c r="AL351" s="10"/>
      <c r="AM351" s="10" t="s">
        <v>42</v>
      </c>
      <c r="AN351" s="10"/>
      <c r="AO351" s="10"/>
      <c r="AP351" s="10"/>
      <c r="AQ351" s="10" t="s">
        <v>43</v>
      </c>
      <c r="AR351" s="10"/>
      <c r="AS351" s="10"/>
      <c r="AT351" s="10"/>
      <c r="AU351" s="10" t="s">
        <v>44</v>
      </c>
      <c r="AV351" s="10"/>
      <c r="AW351" s="10"/>
      <c r="AX351" s="10"/>
    </row>
    <row r="352" customFormat="false" ht="21.75" hidden="false" customHeight="true" outlineLevel="0" collapsed="false">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customFormat="false" ht="12" hidden="false" customHeight="true" outlineLevel="0" collapsed="false">
      <c r="A353" s="5" t="s">
        <v>120</v>
      </c>
      <c r="P353" s="10" t="s">
        <v>48</v>
      </c>
      <c r="Q353" s="10"/>
      <c r="R353" s="10"/>
      <c r="S353" s="10"/>
      <c r="T353" s="10" t="s">
        <v>50</v>
      </c>
      <c r="U353" s="10"/>
      <c r="V353" s="10"/>
      <c r="W353" s="10"/>
      <c r="X353" s="10"/>
      <c r="Y353" s="10"/>
      <c r="Z353" s="10"/>
      <c r="AA353" s="10"/>
      <c r="AB353" s="10"/>
      <c r="AC353" s="10"/>
      <c r="AD353" s="10"/>
      <c r="AE353" s="10"/>
      <c r="AF353" s="10"/>
      <c r="AG353" s="10"/>
      <c r="AH353" s="10"/>
      <c r="AI353" s="10"/>
      <c r="AJ353" s="10"/>
      <c r="AK353" s="10"/>
      <c r="AL353" s="10" t="s">
        <v>45</v>
      </c>
      <c r="AM353" s="10"/>
      <c r="AN353" s="10"/>
      <c r="AO353" s="10"/>
      <c r="AP353" s="10" t="s">
        <v>46</v>
      </c>
      <c r="AQ353" s="10"/>
      <c r="AR353" s="10"/>
      <c r="AS353" s="10"/>
    </row>
    <row r="354" customFormat="false" ht="21.75" hidden="false" customHeight="true" outlineLevel="0" collapsed="false">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row>
    <row r="356" customFormat="false" ht="18.75" hidden="false" customHeight="true" outlineLevel="0" collapsed="false">
      <c r="A356" s="14" t="s">
        <v>346</v>
      </c>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row>
    <row r="357" customFormat="false" ht="15" hidden="false" customHeight="true" outlineLevel="0" collapsed="false">
      <c r="A357" s="8" t="s">
        <v>124</v>
      </c>
      <c r="B357" s="15"/>
      <c r="C357" s="15"/>
      <c r="D357" s="15"/>
      <c r="E357" s="15"/>
      <c r="G357" s="15"/>
      <c r="H357" s="15"/>
      <c r="I357" s="15"/>
      <c r="J357" s="15"/>
      <c r="L357" s="15"/>
      <c r="M357" s="15"/>
      <c r="N357" s="15"/>
      <c r="O357" s="15"/>
      <c r="Q357" s="5" t="s">
        <v>237</v>
      </c>
    </row>
    <row r="358" customFormat="false" ht="12" hidden="false" customHeight="true" outlineLevel="0" collapsed="false">
      <c r="A358" s="5" t="s">
        <v>64</v>
      </c>
      <c r="F358" s="10" t="s">
        <v>0</v>
      </c>
      <c r="G358" s="10"/>
      <c r="H358" s="10"/>
      <c r="I358" s="10"/>
      <c r="J358" s="10" t="s">
        <v>1</v>
      </c>
      <c r="K358" s="10"/>
      <c r="L358" s="10"/>
      <c r="M358" s="10"/>
      <c r="N358" s="10" t="s">
        <v>2</v>
      </c>
      <c r="O358" s="10"/>
      <c r="P358" s="10"/>
      <c r="Q358" s="10"/>
      <c r="R358" s="10" t="s">
        <v>3</v>
      </c>
      <c r="S358" s="10"/>
      <c r="T358" s="10"/>
      <c r="U358" s="10"/>
      <c r="V358" s="10" t="s">
        <v>4</v>
      </c>
      <c r="W358" s="10"/>
      <c r="X358" s="10"/>
      <c r="Y358" s="10"/>
      <c r="Z358" s="10" t="s">
        <v>5</v>
      </c>
      <c r="AA358" s="10"/>
      <c r="AB358" s="10"/>
      <c r="AC358" s="10"/>
      <c r="AD358" s="10" t="s">
        <v>6</v>
      </c>
      <c r="AE358" s="10"/>
      <c r="AF358" s="10"/>
      <c r="AG358" s="10"/>
      <c r="AH358" s="10" t="s">
        <v>7</v>
      </c>
      <c r="AI358" s="10"/>
      <c r="AJ358" s="10"/>
      <c r="AK358" s="10"/>
      <c r="AL358" s="10" t="s">
        <v>8</v>
      </c>
      <c r="AM358" s="10"/>
      <c r="AN358" s="10"/>
      <c r="AO358" s="10"/>
      <c r="AP358" s="10" t="s">
        <v>9</v>
      </c>
      <c r="AQ358" s="10"/>
      <c r="AR358" s="10"/>
      <c r="AS358" s="10"/>
      <c r="AT358" s="10" t="s">
        <v>10</v>
      </c>
      <c r="AU358" s="10"/>
      <c r="AV358" s="10"/>
      <c r="AW358" s="10"/>
      <c r="AX358" s="10" t="s">
        <v>11</v>
      </c>
      <c r="AY358" s="10"/>
      <c r="AZ358" s="10"/>
      <c r="BA358" s="10"/>
    </row>
    <row r="359" customFormat="false" ht="21.75" hidden="false" customHeight="true" outlineLevel="0" collapsed="false">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row>
    <row r="360" customFormat="false" ht="12" hidden="false" customHeight="true" outlineLevel="0" collapsed="false">
      <c r="A360" s="5" t="s">
        <v>65</v>
      </c>
      <c r="H360" s="10" t="s">
        <v>66</v>
      </c>
      <c r="I360" s="10"/>
      <c r="J360" s="10"/>
      <c r="K360" s="10"/>
      <c r="L360" s="10" t="s">
        <v>67</v>
      </c>
      <c r="M360" s="10"/>
      <c r="N360" s="10"/>
      <c r="O360" s="10"/>
      <c r="P360" s="10" t="s">
        <v>68</v>
      </c>
      <c r="Q360" s="10"/>
      <c r="R360" s="10"/>
      <c r="S360" s="10"/>
      <c r="T360" s="10" t="s">
        <v>69</v>
      </c>
      <c r="U360" s="10"/>
      <c r="V360" s="10"/>
      <c r="W360" s="10"/>
      <c r="X360" s="10" t="s">
        <v>70</v>
      </c>
      <c r="Y360" s="10"/>
      <c r="Z360" s="10"/>
      <c r="AA360" s="10"/>
      <c r="AB360" s="10" t="s">
        <v>71</v>
      </c>
      <c r="AC360" s="10"/>
      <c r="AD360" s="10"/>
      <c r="AE360" s="10"/>
      <c r="AF360" s="10" t="s">
        <v>72</v>
      </c>
      <c r="AG360" s="10"/>
      <c r="AH360" s="10"/>
      <c r="AI360" s="10"/>
      <c r="AJ360" s="10" t="s">
        <v>73</v>
      </c>
      <c r="AK360" s="10"/>
      <c r="AL360" s="10"/>
      <c r="AM360" s="10"/>
      <c r="AN360" s="10" t="s">
        <v>74</v>
      </c>
      <c r="AO360" s="10"/>
      <c r="AP360" s="10"/>
      <c r="AQ360" s="10"/>
      <c r="AR360" s="10" t="s">
        <v>75</v>
      </c>
      <c r="AS360" s="10"/>
      <c r="AT360" s="10"/>
      <c r="AU360" s="10"/>
      <c r="AV360" s="10" t="s">
        <v>22</v>
      </c>
      <c r="AW360" s="10"/>
      <c r="AX360" s="10"/>
      <c r="AY360" s="10"/>
      <c r="AZ360" s="10" t="s">
        <v>23</v>
      </c>
      <c r="BA360" s="10"/>
      <c r="BB360" s="10"/>
      <c r="BC360" s="10"/>
    </row>
    <row r="361" customFormat="false" ht="21.75" hidden="false" customHeight="true" outlineLevel="0" collapsed="false">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row>
    <row r="362" customFormat="false" ht="12" hidden="false" customHeight="true" outlineLevel="0" collapsed="false">
      <c r="A362" s="5" t="s">
        <v>82</v>
      </c>
      <c r="I362" s="10" t="s">
        <v>83</v>
      </c>
      <c r="J362" s="10"/>
      <c r="K362" s="10"/>
      <c r="L362" s="10"/>
      <c r="M362" s="10" t="s">
        <v>84</v>
      </c>
      <c r="N362" s="10"/>
      <c r="O362" s="10"/>
      <c r="P362" s="10"/>
      <c r="Q362" s="10" t="s">
        <v>85</v>
      </c>
      <c r="R362" s="10"/>
      <c r="S362" s="10"/>
      <c r="T362" s="10"/>
      <c r="U362" s="10" t="s">
        <v>86</v>
      </c>
      <c r="V362" s="10"/>
      <c r="W362" s="10"/>
      <c r="X362" s="10"/>
      <c r="Y362" s="10" t="s">
        <v>87</v>
      </c>
      <c r="Z362" s="10"/>
      <c r="AA362" s="10"/>
      <c r="AB362" s="10"/>
      <c r="AC362" s="10" t="s">
        <v>88</v>
      </c>
      <c r="AD362" s="10"/>
      <c r="AE362" s="10"/>
      <c r="AF362" s="10"/>
      <c r="AG362" s="10" t="s">
        <v>89</v>
      </c>
      <c r="AH362" s="10"/>
      <c r="AI362" s="10"/>
      <c r="AJ362" s="10"/>
      <c r="AK362" s="10" t="s">
        <v>90</v>
      </c>
      <c r="AL362" s="10"/>
      <c r="AM362" s="10"/>
      <c r="AN362" s="10"/>
      <c r="AO362" s="10" t="s">
        <v>91</v>
      </c>
      <c r="AP362" s="10"/>
      <c r="AQ362" s="10"/>
      <c r="AR362" s="10"/>
      <c r="AS362" s="10" t="s">
        <v>33</v>
      </c>
      <c r="AT362" s="10"/>
      <c r="AU362" s="10"/>
      <c r="AV362" s="10"/>
      <c r="AW362" s="10" t="s">
        <v>34</v>
      </c>
      <c r="AX362" s="10"/>
      <c r="AY362" s="10"/>
      <c r="AZ362" s="10"/>
    </row>
    <row r="363" customFormat="false" ht="21.75" hidden="false" customHeight="true" outlineLevel="0" collapsed="false">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row>
    <row r="364" customFormat="false" ht="12" hidden="false" customHeight="true" outlineLevel="0" collapsed="false">
      <c r="A364" s="5" t="s">
        <v>102</v>
      </c>
      <c r="K364" s="10" t="s">
        <v>103</v>
      </c>
      <c r="L364" s="10"/>
      <c r="M364" s="10"/>
      <c r="N364" s="10"/>
      <c r="O364" s="10" t="s">
        <v>104</v>
      </c>
      <c r="P364" s="10"/>
      <c r="Q364" s="10"/>
      <c r="R364" s="10"/>
      <c r="S364" s="10" t="s">
        <v>105</v>
      </c>
      <c r="T364" s="10"/>
      <c r="U364" s="10"/>
      <c r="V364" s="10"/>
      <c r="W364" s="10" t="s">
        <v>106</v>
      </c>
      <c r="X364" s="10"/>
      <c r="Y364" s="10"/>
      <c r="Z364" s="10"/>
      <c r="AA364" s="10" t="s">
        <v>107</v>
      </c>
      <c r="AB364" s="10"/>
      <c r="AC364" s="10"/>
      <c r="AD364" s="10"/>
      <c r="AE364" s="10" t="s">
        <v>108</v>
      </c>
      <c r="AF364" s="10"/>
      <c r="AG364" s="10"/>
      <c r="AH364" s="10"/>
      <c r="AI364" s="10" t="s">
        <v>109</v>
      </c>
      <c r="AJ364" s="10"/>
      <c r="AK364" s="10"/>
      <c r="AL364" s="10"/>
      <c r="AM364" s="10" t="s">
        <v>42</v>
      </c>
      <c r="AN364" s="10"/>
      <c r="AO364" s="10"/>
      <c r="AP364" s="10"/>
      <c r="AQ364" s="10" t="s">
        <v>43</v>
      </c>
      <c r="AR364" s="10"/>
      <c r="AS364" s="10"/>
      <c r="AT364" s="10"/>
      <c r="AU364" s="10" t="s">
        <v>44</v>
      </c>
      <c r="AV364" s="10"/>
      <c r="AW364" s="10"/>
      <c r="AX364" s="10"/>
    </row>
    <row r="365" customFormat="false" ht="21.75" hidden="false" customHeight="true" outlineLevel="0" collapsed="false">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customFormat="false" ht="12" hidden="false" customHeight="true" outlineLevel="0" collapsed="false">
      <c r="A366" s="5" t="s">
        <v>120</v>
      </c>
      <c r="P366" s="10" t="s">
        <v>48</v>
      </c>
      <c r="Q366" s="10"/>
      <c r="R366" s="10"/>
      <c r="S366" s="10"/>
      <c r="T366" s="10" t="s">
        <v>50</v>
      </c>
      <c r="U366" s="10"/>
      <c r="V366" s="10"/>
      <c r="W366" s="10"/>
      <c r="X366" s="10"/>
      <c r="Y366" s="10"/>
      <c r="Z366" s="10"/>
      <c r="AA366" s="10"/>
      <c r="AB366" s="10"/>
      <c r="AC366" s="10"/>
      <c r="AD366" s="10"/>
      <c r="AE366" s="10"/>
      <c r="AF366" s="10"/>
      <c r="AG366" s="10"/>
      <c r="AH366" s="10"/>
      <c r="AI366" s="10"/>
      <c r="AJ366" s="10"/>
      <c r="AK366" s="10"/>
      <c r="AL366" s="10" t="s">
        <v>45</v>
      </c>
      <c r="AM366" s="10"/>
      <c r="AN366" s="10"/>
      <c r="AO366" s="10"/>
      <c r="AP366" s="10" t="s">
        <v>46</v>
      </c>
      <c r="AQ366" s="10"/>
      <c r="AR366" s="10"/>
      <c r="AS366" s="10"/>
    </row>
    <row r="367" customFormat="false" ht="21.75" hidden="false" customHeight="true" outlineLevel="0" collapsed="false">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row>
    <row r="369" customFormat="false" ht="18.75" hidden="false" customHeight="true" outlineLevel="0" collapsed="false">
      <c r="A369" s="14" t="s">
        <v>347</v>
      </c>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row>
    <row r="370" customFormat="false" ht="15" hidden="false" customHeight="true" outlineLevel="0" collapsed="false">
      <c r="A370" s="8" t="s">
        <v>124</v>
      </c>
      <c r="B370" s="15"/>
      <c r="C370" s="15"/>
      <c r="D370" s="15"/>
      <c r="E370" s="15"/>
      <c r="G370" s="15"/>
      <c r="H370" s="15"/>
      <c r="I370" s="15"/>
      <c r="J370" s="15"/>
      <c r="L370" s="15"/>
      <c r="M370" s="15"/>
      <c r="N370" s="15"/>
      <c r="O370" s="15"/>
      <c r="Q370" s="5" t="s">
        <v>237</v>
      </c>
    </row>
    <row r="371" customFormat="false" ht="12" hidden="false" customHeight="true" outlineLevel="0" collapsed="false">
      <c r="A371" s="5" t="s">
        <v>64</v>
      </c>
      <c r="F371" s="10" t="s">
        <v>0</v>
      </c>
      <c r="G371" s="10"/>
      <c r="H371" s="10"/>
      <c r="I371" s="10"/>
      <c r="J371" s="10" t="s">
        <v>1</v>
      </c>
      <c r="K371" s="10"/>
      <c r="L371" s="10"/>
      <c r="M371" s="10"/>
      <c r="N371" s="10" t="s">
        <v>2</v>
      </c>
      <c r="O371" s="10"/>
      <c r="P371" s="10"/>
      <c r="Q371" s="10"/>
      <c r="R371" s="10" t="s">
        <v>3</v>
      </c>
      <c r="S371" s="10"/>
      <c r="T371" s="10"/>
      <c r="U371" s="10"/>
      <c r="V371" s="10" t="s">
        <v>4</v>
      </c>
      <c r="W371" s="10"/>
      <c r="X371" s="10"/>
      <c r="Y371" s="10"/>
      <c r="Z371" s="10" t="s">
        <v>5</v>
      </c>
      <c r="AA371" s="10"/>
      <c r="AB371" s="10"/>
      <c r="AC371" s="10"/>
      <c r="AD371" s="10" t="s">
        <v>6</v>
      </c>
      <c r="AE371" s="10"/>
      <c r="AF371" s="10"/>
      <c r="AG371" s="10"/>
      <c r="AH371" s="10" t="s">
        <v>7</v>
      </c>
      <c r="AI371" s="10"/>
      <c r="AJ371" s="10"/>
      <c r="AK371" s="10"/>
      <c r="AL371" s="10" t="s">
        <v>8</v>
      </c>
      <c r="AM371" s="10"/>
      <c r="AN371" s="10"/>
      <c r="AO371" s="10"/>
      <c r="AP371" s="10" t="s">
        <v>9</v>
      </c>
      <c r="AQ371" s="10"/>
      <c r="AR371" s="10"/>
      <c r="AS371" s="10"/>
      <c r="AT371" s="10" t="s">
        <v>10</v>
      </c>
      <c r="AU371" s="10"/>
      <c r="AV371" s="10"/>
      <c r="AW371" s="10"/>
      <c r="AX371" s="10" t="s">
        <v>11</v>
      </c>
      <c r="AY371" s="10"/>
      <c r="AZ371" s="10"/>
      <c r="BA371" s="10"/>
    </row>
    <row r="372" customFormat="false" ht="21.75" hidden="false" customHeight="true" outlineLevel="0" collapsed="false">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row>
    <row r="373" customFormat="false" ht="12" hidden="false" customHeight="true" outlineLevel="0" collapsed="false">
      <c r="A373" s="5" t="s">
        <v>65</v>
      </c>
      <c r="H373" s="10" t="s">
        <v>66</v>
      </c>
      <c r="I373" s="10"/>
      <c r="J373" s="10"/>
      <c r="K373" s="10"/>
      <c r="L373" s="10" t="s">
        <v>67</v>
      </c>
      <c r="M373" s="10"/>
      <c r="N373" s="10"/>
      <c r="O373" s="10"/>
      <c r="P373" s="10" t="s">
        <v>68</v>
      </c>
      <c r="Q373" s="10"/>
      <c r="R373" s="10"/>
      <c r="S373" s="10"/>
      <c r="T373" s="10" t="s">
        <v>69</v>
      </c>
      <c r="U373" s="10"/>
      <c r="V373" s="10"/>
      <c r="W373" s="10"/>
      <c r="X373" s="10" t="s">
        <v>70</v>
      </c>
      <c r="Y373" s="10"/>
      <c r="Z373" s="10"/>
      <c r="AA373" s="10"/>
      <c r="AB373" s="10" t="s">
        <v>71</v>
      </c>
      <c r="AC373" s="10"/>
      <c r="AD373" s="10"/>
      <c r="AE373" s="10"/>
      <c r="AF373" s="10" t="s">
        <v>72</v>
      </c>
      <c r="AG373" s="10"/>
      <c r="AH373" s="10"/>
      <c r="AI373" s="10"/>
      <c r="AJ373" s="10" t="s">
        <v>73</v>
      </c>
      <c r="AK373" s="10"/>
      <c r="AL373" s="10"/>
      <c r="AM373" s="10"/>
      <c r="AN373" s="10" t="s">
        <v>74</v>
      </c>
      <c r="AO373" s="10"/>
      <c r="AP373" s="10"/>
      <c r="AQ373" s="10"/>
      <c r="AR373" s="10" t="s">
        <v>75</v>
      </c>
      <c r="AS373" s="10"/>
      <c r="AT373" s="10"/>
      <c r="AU373" s="10"/>
      <c r="AV373" s="10" t="s">
        <v>22</v>
      </c>
      <c r="AW373" s="10"/>
      <c r="AX373" s="10"/>
      <c r="AY373" s="10"/>
      <c r="AZ373" s="10" t="s">
        <v>23</v>
      </c>
      <c r="BA373" s="10"/>
      <c r="BB373" s="10"/>
      <c r="BC373" s="10"/>
    </row>
    <row r="374" customFormat="false" ht="21.75" hidden="false" customHeight="true" outlineLevel="0" collapsed="false">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row>
    <row r="375" customFormat="false" ht="12" hidden="false" customHeight="true" outlineLevel="0" collapsed="false">
      <c r="A375" s="5" t="s">
        <v>82</v>
      </c>
      <c r="I375" s="10" t="s">
        <v>83</v>
      </c>
      <c r="J375" s="10"/>
      <c r="K375" s="10"/>
      <c r="L375" s="10"/>
      <c r="M375" s="10" t="s">
        <v>84</v>
      </c>
      <c r="N375" s="10"/>
      <c r="O375" s="10"/>
      <c r="P375" s="10"/>
      <c r="Q375" s="10" t="s">
        <v>85</v>
      </c>
      <c r="R375" s="10"/>
      <c r="S375" s="10"/>
      <c r="T375" s="10"/>
      <c r="U375" s="10" t="s">
        <v>86</v>
      </c>
      <c r="V375" s="10"/>
      <c r="W375" s="10"/>
      <c r="X375" s="10"/>
      <c r="Y375" s="10" t="s">
        <v>87</v>
      </c>
      <c r="Z375" s="10"/>
      <c r="AA375" s="10"/>
      <c r="AB375" s="10"/>
      <c r="AC375" s="10" t="s">
        <v>88</v>
      </c>
      <c r="AD375" s="10"/>
      <c r="AE375" s="10"/>
      <c r="AF375" s="10"/>
      <c r="AG375" s="10" t="s">
        <v>89</v>
      </c>
      <c r="AH375" s="10"/>
      <c r="AI375" s="10"/>
      <c r="AJ375" s="10"/>
      <c r="AK375" s="10" t="s">
        <v>90</v>
      </c>
      <c r="AL375" s="10"/>
      <c r="AM375" s="10"/>
      <c r="AN375" s="10"/>
      <c r="AO375" s="10" t="s">
        <v>91</v>
      </c>
      <c r="AP375" s="10"/>
      <c r="AQ375" s="10"/>
      <c r="AR375" s="10"/>
      <c r="AS375" s="10" t="s">
        <v>33</v>
      </c>
      <c r="AT375" s="10"/>
      <c r="AU375" s="10"/>
      <c r="AV375" s="10"/>
      <c r="AW375" s="10" t="s">
        <v>34</v>
      </c>
      <c r="AX375" s="10"/>
      <c r="AY375" s="10"/>
      <c r="AZ375" s="10"/>
    </row>
    <row r="376" customFormat="false" ht="21.75" hidden="false" customHeight="true" outlineLevel="0" collapsed="false">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row>
    <row r="377" customFormat="false" ht="12" hidden="false" customHeight="true" outlineLevel="0" collapsed="false">
      <c r="A377" s="5" t="s">
        <v>102</v>
      </c>
      <c r="K377" s="10" t="s">
        <v>103</v>
      </c>
      <c r="L377" s="10"/>
      <c r="M377" s="10"/>
      <c r="N377" s="10"/>
      <c r="O377" s="10" t="s">
        <v>104</v>
      </c>
      <c r="P377" s="10"/>
      <c r="Q377" s="10"/>
      <c r="R377" s="10"/>
      <c r="S377" s="10" t="s">
        <v>105</v>
      </c>
      <c r="T377" s="10"/>
      <c r="U377" s="10"/>
      <c r="V377" s="10"/>
      <c r="W377" s="10" t="s">
        <v>106</v>
      </c>
      <c r="X377" s="10"/>
      <c r="Y377" s="10"/>
      <c r="Z377" s="10"/>
      <c r="AA377" s="10" t="s">
        <v>107</v>
      </c>
      <c r="AB377" s="10"/>
      <c r="AC377" s="10"/>
      <c r="AD377" s="10"/>
      <c r="AE377" s="10" t="s">
        <v>108</v>
      </c>
      <c r="AF377" s="10"/>
      <c r="AG377" s="10"/>
      <c r="AH377" s="10"/>
      <c r="AI377" s="10" t="s">
        <v>109</v>
      </c>
      <c r="AJ377" s="10"/>
      <c r="AK377" s="10"/>
      <c r="AL377" s="10"/>
      <c r="AM377" s="10" t="s">
        <v>42</v>
      </c>
      <c r="AN377" s="10"/>
      <c r="AO377" s="10"/>
      <c r="AP377" s="10"/>
      <c r="AQ377" s="10" t="s">
        <v>43</v>
      </c>
      <c r="AR377" s="10"/>
      <c r="AS377" s="10"/>
      <c r="AT377" s="10"/>
      <c r="AU377" s="10" t="s">
        <v>44</v>
      </c>
      <c r="AV377" s="10"/>
      <c r="AW377" s="10"/>
      <c r="AX377" s="10"/>
    </row>
    <row r="378" customFormat="false" ht="21.75" hidden="false" customHeight="true" outlineLevel="0" collapsed="false">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customFormat="false" ht="12" hidden="false" customHeight="true" outlineLevel="0" collapsed="false">
      <c r="A379" s="5" t="s">
        <v>120</v>
      </c>
      <c r="P379" s="10" t="s">
        <v>48</v>
      </c>
      <c r="Q379" s="10"/>
      <c r="R379" s="10"/>
      <c r="S379" s="10"/>
      <c r="T379" s="10" t="s">
        <v>50</v>
      </c>
      <c r="U379" s="10"/>
      <c r="V379" s="10"/>
      <c r="W379" s="10"/>
      <c r="X379" s="10"/>
      <c r="Y379" s="10"/>
      <c r="Z379" s="10"/>
      <c r="AA379" s="10"/>
      <c r="AB379" s="10"/>
      <c r="AC379" s="10"/>
      <c r="AD379" s="10"/>
      <c r="AE379" s="10"/>
      <c r="AF379" s="10"/>
      <c r="AG379" s="10"/>
      <c r="AH379" s="10"/>
      <c r="AI379" s="10"/>
      <c r="AJ379" s="10"/>
      <c r="AK379" s="10"/>
      <c r="AL379" s="10" t="s">
        <v>45</v>
      </c>
      <c r="AM379" s="10"/>
      <c r="AN379" s="10"/>
      <c r="AO379" s="10"/>
      <c r="AP379" s="10" t="s">
        <v>46</v>
      </c>
      <c r="AQ379" s="10"/>
      <c r="AR379" s="10"/>
      <c r="AS379" s="10"/>
    </row>
    <row r="380" customFormat="false" ht="21.75" hidden="false" customHeight="true" outlineLevel="0" collapsed="false">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row>
    <row r="382" customFormat="false" ht="18.75" hidden="false" customHeight="true" outlineLevel="0" collapsed="false">
      <c r="A382" s="14" t="s">
        <v>348</v>
      </c>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row>
    <row r="383" customFormat="false" ht="15" hidden="false" customHeight="true" outlineLevel="0" collapsed="false">
      <c r="A383" s="8" t="s">
        <v>124</v>
      </c>
      <c r="B383" s="15"/>
      <c r="C383" s="15"/>
      <c r="D383" s="15"/>
      <c r="E383" s="15"/>
      <c r="G383" s="15"/>
      <c r="H383" s="15"/>
      <c r="I383" s="15"/>
      <c r="J383" s="15"/>
      <c r="L383" s="15"/>
      <c r="M383" s="15"/>
      <c r="N383" s="15"/>
      <c r="O383" s="15"/>
      <c r="Q383" s="5" t="s">
        <v>237</v>
      </c>
    </row>
    <row r="384" customFormat="false" ht="12" hidden="false" customHeight="true" outlineLevel="0" collapsed="false">
      <c r="A384" s="5" t="s">
        <v>64</v>
      </c>
      <c r="F384" s="10" t="s">
        <v>0</v>
      </c>
      <c r="G384" s="10"/>
      <c r="H384" s="10"/>
      <c r="I384" s="10"/>
      <c r="J384" s="10" t="s">
        <v>1</v>
      </c>
      <c r="K384" s="10"/>
      <c r="L384" s="10"/>
      <c r="M384" s="10"/>
      <c r="N384" s="10" t="s">
        <v>2</v>
      </c>
      <c r="O384" s="10"/>
      <c r="P384" s="10"/>
      <c r="Q384" s="10"/>
      <c r="R384" s="10" t="s">
        <v>3</v>
      </c>
      <c r="S384" s="10"/>
      <c r="T384" s="10"/>
      <c r="U384" s="10"/>
      <c r="V384" s="10" t="s">
        <v>4</v>
      </c>
      <c r="W384" s="10"/>
      <c r="X384" s="10"/>
      <c r="Y384" s="10"/>
      <c r="Z384" s="10" t="s">
        <v>5</v>
      </c>
      <c r="AA384" s="10"/>
      <c r="AB384" s="10"/>
      <c r="AC384" s="10"/>
      <c r="AD384" s="10" t="s">
        <v>6</v>
      </c>
      <c r="AE384" s="10"/>
      <c r="AF384" s="10"/>
      <c r="AG384" s="10"/>
      <c r="AH384" s="10" t="s">
        <v>7</v>
      </c>
      <c r="AI384" s="10"/>
      <c r="AJ384" s="10"/>
      <c r="AK384" s="10"/>
      <c r="AL384" s="10" t="s">
        <v>8</v>
      </c>
      <c r="AM384" s="10"/>
      <c r="AN384" s="10"/>
      <c r="AO384" s="10"/>
      <c r="AP384" s="10" t="s">
        <v>9</v>
      </c>
      <c r="AQ384" s="10"/>
      <c r="AR384" s="10"/>
      <c r="AS384" s="10"/>
      <c r="AT384" s="10" t="s">
        <v>10</v>
      </c>
      <c r="AU384" s="10"/>
      <c r="AV384" s="10"/>
      <c r="AW384" s="10"/>
      <c r="AX384" s="10" t="s">
        <v>11</v>
      </c>
      <c r="AY384" s="10"/>
      <c r="AZ384" s="10"/>
      <c r="BA384" s="10"/>
    </row>
    <row r="385" customFormat="false" ht="21.75" hidden="false" customHeight="true" outlineLevel="0" collapsed="false">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row>
    <row r="386" customFormat="false" ht="12" hidden="false" customHeight="true" outlineLevel="0" collapsed="false">
      <c r="A386" s="5" t="s">
        <v>65</v>
      </c>
      <c r="H386" s="10" t="s">
        <v>66</v>
      </c>
      <c r="I386" s="10"/>
      <c r="J386" s="10"/>
      <c r="K386" s="10"/>
      <c r="L386" s="10" t="s">
        <v>67</v>
      </c>
      <c r="M386" s="10"/>
      <c r="N386" s="10"/>
      <c r="O386" s="10"/>
      <c r="P386" s="10" t="s">
        <v>68</v>
      </c>
      <c r="Q386" s="10"/>
      <c r="R386" s="10"/>
      <c r="S386" s="10"/>
      <c r="T386" s="10" t="s">
        <v>69</v>
      </c>
      <c r="U386" s="10"/>
      <c r="V386" s="10"/>
      <c r="W386" s="10"/>
      <c r="X386" s="10" t="s">
        <v>70</v>
      </c>
      <c r="Y386" s="10"/>
      <c r="Z386" s="10"/>
      <c r="AA386" s="10"/>
      <c r="AB386" s="10" t="s">
        <v>71</v>
      </c>
      <c r="AC386" s="10"/>
      <c r="AD386" s="10"/>
      <c r="AE386" s="10"/>
      <c r="AF386" s="10" t="s">
        <v>72</v>
      </c>
      <c r="AG386" s="10"/>
      <c r="AH386" s="10"/>
      <c r="AI386" s="10"/>
      <c r="AJ386" s="10" t="s">
        <v>73</v>
      </c>
      <c r="AK386" s="10"/>
      <c r="AL386" s="10"/>
      <c r="AM386" s="10"/>
      <c r="AN386" s="10" t="s">
        <v>74</v>
      </c>
      <c r="AO386" s="10"/>
      <c r="AP386" s="10"/>
      <c r="AQ386" s="10"/>
      <c r="AR386" s="10" t="s">
        <v>75</v>
      </c>
      <c r="AS386" s="10"/>
      <c r="AT386" s="10"/>
      <c r="AU386" s="10"/>
      <c r="AV386" s="10" t="s">
        <v>22</v>
      </c>
      <c r="AW386" s="10"/>
      <c r="AX386" s="10"/>
      <c r="AY386" s="10"/>
      <c r="AZ386" s="10" t="s">
        <v>23</v>
      </c>
      <c r="BA386" s="10"/>
      <c r="BB386" s="10"/>
      <c r="BC386" s="10"/>
    </row>
    <row r="387" customFormat="false" ht="21.75" hidden="false" customHeight="true" outlineLevel="0" collapsed="false">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row>
    <row r="388" customFormat="false" ht="12" hidden="false" customHeight="true" outlineLevel="0" collapsed="false">
      <c r="A388" s="5" t="s">
        <v>82</v>
      </c>
      <c r="I388" s="10" t="s">
        <v>83</v>
      </c>
      <c r="J388" s="10"/>
      <c r="K388" s="10"/>
      <c r="L388" s="10"/>
      <c r="M388" s="10" t="s">
        <v>84</v>
      </c>
      <c r="N388" s="10"/>
      <c r="O388" s="10"/>
      <c r="P388" s="10"/>
      <c r="Q388" s="10" t="s">
        <v>85</v>
      </c>
      <c r="R388" s="10"/>
      <c r="S388" s="10"/>
      <c r="T388" s="10"/>
      <c r="U388" s="10" t="s">
        <v>86</v>
      </c>
      <c r="V388" s="10"/>
      <c r="W388" s="10"/>
      <c r="X388" s="10"/>
      <c r="Y388" s="10" t="s">
        <v>87</v>
      </c>
      <c r="Z388" s="10"/>
      <c r="AA388" s="10"/>
      <c r="AB388" s="10"/>
      <c r="AC388" s="10" t="s">
        <v>88</v>
      </c>
      <c r="AD388" s="10"/>
      <c r="AE388" s="10"/>
      <c r="AF388" s="10"/>
      <c r="AG388" s="10" t="s">
        <v>89</v>
      </c>
      <c r="AH388" s="10"/>
      <c r="AI388" s="10"/>
      <c r="AJ388" s="10"/>
      <c r="AK388" s="10" t="s">
        <v>90</v>
      </c>
      <c r="AL388" s="10"/>
      <c r="AM388" s="10"/>
      <c r="AN388" s="10"/>
      <c r="AO388" s="10" t="s">
        <v>91</v>
      </c>
      <c r="AP388" s="10"/>
      <c r="AQ388" s="10"/>
      <c r="AR388" s="10"/>
      <c r="AS388" s="10" t="s">
        <v>33</v>
      </c>
      <c r="AT388" s="10"/>
      <c r="AU388" s="10"/>
      <c r="AV388" s="10"/>
      <c r="AW388" s="10" t="s">
        <v>34</v>
      </c>
      <c r="AX388" s="10"/>
      <c r="AY388" s="10"/>
      <c r="AZ388" s="10"/>
    </row>
    <row r="389" customFormat="false" ht="21.75" hidden="false" customHeight="true" outlineLevel="0" collapsed="false">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row>
    <row r="390" customFormat="false" ht="12" hidden="false" customHeight="true" outlineLevel="0" collapsed="false">
      <c r="A390" s="5" t="s">
        <v>102</v>
      </c>
      <c r="K390" s="10" t="s">
        <v>103</v>
      </c>
      <c r="L390" s="10"/>
      <c r="M390" s="10"/>
      <c r="N390" s="10"/>
      <c r="O390" s="10" t="s">
        <v>104</v>
      </c>
      <c r="P390" s="10"/>
      <c r="Q390" s="10"/>
      <c r="R390" s="10"/>
      <c r="S390" s="10" t="s">
        <v>105</v>
      </c>
      <c r="T390" s="10"/>
      <c r="U390" s="10"/>
      <c r="V390" s="10"/>
      <c r="W390" s="10" t="s">
        <v>106</v>
      </c>
      <c r="X390" s="10"/>
      <c r="Y390" s="10"/>
      <c r="Z390" s="10"/>
      <c r="AA390" s="10" t="s">
        <v>107</v>
      </c>
      <c r="AB390" s="10"/>
      <c r="AC390" s="10"/>
      <c r="AD390" s="10"/>
      <c r="AE390" s="10" t="s">
        <v>108</v>
      </c>
      <c r="AF390" s="10"/>
      <c r="AG390" s="10"/>
      <c r="AH390" s="10"/>
      <c r="AI390" s="10" t="s">
        <v>109</v>
      </c>
      <c r="AJ390" s="10"/>
      <c r="AK390" s="10"/>
      <c r="AL390" s="10"/>
      <c r="AM390" s="10" t="s">
        <v>42</v>
      </c>
      <c r="AN390" s="10"/>
      <c r="AO390" s="10"/>
      <c r="AP390" s="10"/>
      <c r="AQ390" s="10" t="s">
        <v>43</v>
      </c>
      <c r="AR390" s="10"/>
      <c r="AS390" s="10"/>
      <c r="AT390" s="10"/>
      <c r="AU390" s="10" t="s">
        <v>44</v>
      </c>
      <c r="AV390" s="10"/>
      <c r="AW390" s="10"/>
      <c r="AX390" s="10"/>
    </row>
    <row r="391" customFormat="false" ht="21.75" hidden="false" customHeight="true" outlineLevel="0" collapsed="false">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customFormat="false" ht="12" hidden="false" customHeight="true" outlineLevel="0" collapsed="false">
      <c r="A392" s="5" t="s">
        <v>120</v>
      </c>
      <c r="P392" s="10" t="s">
        <v>48</v>
      </c>
      <c r="Q392" s="10"/>
      <c r="R392" s="10"/>
      <c r="S392" s="10"/>
      <c r="T392" s="10" t="s">
        <v>50</v>
      </c>
      <c r="U392" s="10"/>
      <c r="V392" s="10"/>
      <c r="W392" s="10"/>
      <c r="X392" s="10"/>
      <c r="Y392" s="10"/>
      <c r="Z392" s="10"/>
      <c r="AA392" s="10"/>
      <c r="AB392" s="10"/>
      <c r="AC392" s="10"/>
      <c r="AD392" s="10"/>
      <c r="AE392" s="10"/>
      <c r="AF392" s="10"/>
      <c r="AG392" s="10"/>
      <c r="AH392" s="10"/>
      <c r="AI392" s="10"/>
      <c r="AJ392" s="10"/>
      <c r="AK392" s="10"/>
      <c r="AL392" s="10" t="s">
        <v>45</v>
      </c>
      <c r="AM392" s="10"/>
      <c r="AN392" s="10"/>
      <c r="AO392" s="10"/>
      <c r="AP392" s="10" t="s">
        <v>46</v>
      </c>
      <c r="AQ392" s="10"/>
      <c r="AR392" s="10"/>
      <c r="AS392" s="10"/>
    </row>
    <row r="393" customFormat="false" ht="21.75" hidden="false" customHeight="true" outlineLevel="0" collapsed="false">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row>
  </sheetData>
  <mergeCells count="3060">
    <mergeCell ref="A5:AX5"/>
    <mergeCell ref="B6:E6"/>
    <mergeCell ref="G6:J6"/>
    <mergeCell ref="L6:O6"/>
    <mergeCell ref="F7:I7"/>
    <mergeCell ref="J7:M7"/>
    <mergeCell ref="N7:Q7"/>
    <mergeCell ref="R7:U7"/>
    <mergeCell ref="V7:Y7"/>
    <mergeCell ref="Z7:AC7"/>
    <mergeCell ref="AD7:AG7"/>
    <mergeCell ref="AH7:AK7"/>
    <mergeCell ref="AL7:AO7"/>
    <mergeCell ref="AP7:AS7"/>
    <mergeCell ref="AT7:AW7"/>
    <mergeCell ref="AX7:BA7"/>
    <mergeCell ref="F8:I8"/>
    <mergeCell ref="J8:M8"/>
    <mergeCell ref="N8:Q8"/>
    <mergeCell ref="R8:U8"/>
    <mergeCell ref="V8:Y8"/>
    <mergeCell ref="Z8:AC8"/>
    <mergeCell ref="AD8:AG8"/>
    <mergeCell ref="AH8:AK8"/>
    <mergeCell ref="AL8:AO8"/>
    <mergeCell ref="AP8:AS8"/>
    <mergeCell ref="AT8:AW8"/>
    <mergeCell ref="AX8:BA8"/>
    <mergeCell ref="H9:K9"/>
    <mergeCell ref="L9:O9"/>
    <mergeCell ref="P9:S9"/>
    <mergeCell ref="T9:W9"/>
    <mergeCell ref="X9:AA9"/>
    <mergeCell ref="AB9:AE9"/>
    <mergeCell ref="AF9:AI9"/>
    <mergeCell ref="AJ9:AM9"/>
    <mergeCell ref="AN9:AQ9"/>
    <mergeCell ref="AR9:AU9"/>
    <mergeCell ref="AV9:AY9"/>
    <mergeCell ref="AZ9:BC9"/>
    <mergeCell ref="H10:K10"/>
    <mergeCell ref="L10:O10"/>
    <mergeCell ref="P10:S10"/>
    <mergeCell ref="T10:W10"/>
    <mergeCell ref="X10:AA10"/>
    <mergeCell ref="AB10:AE10"/>
    <mergeCell ref="AF10:AI10"/>
    <mergeCell ref="AJ10:AM10"/>
    <mergeCell ref="AN10:AQ10"/>
    <mergeCell ref="AR10:AU10"/>
    <mergeCell ref="AV10:AY10"/>
    <mergeCell ref="AZ10:BC10"/>
    <mergeCell ref="I11:L11"/>
    <mergeCell ref="M11:P11"/>
    <mergeCell ref="Q11:T11"/>
    <mergeCell ref="U11:X11"/>
    <mergeCell ref="Y11:AB11"/>
    <mergeCell ref="AC11:AF11"/>
    <mergeCell ref="AG11:AJ11"/>
    <mergeCell ref="AK11:AN11"/>
    <mergeCell ref="AO11:AR11"/>
    <mergeCell ref="AS11:AV11"/>
    <mergeCell ref="AW11:AZ11"/>
    <mergeCell ref="I12:L12"/>
    <mergeCell ref="M12:P12"/>
    <mergeCell ref="Q12:T12"/>
    <mergeCell ref="U12:X12"/>
    <mergeCell ref="Y12:AB12"/>
    <mergeCell ref="AC12:AF12"/>
    <mergeCell ref="AG12:AJ12"/>
    <mergeCell ref="AK12:AN12"/>
    <mergeCell ref="AO12:AR12"/>
    <mergeCell ref="AS12:AV12"/>
    <mergeCell ref="AW12:AZ12"/>
    <mergeCell ref="K13:N13"/>
    <mergeCell ref="O13:R13"/>
    <mergeCell ref="S13:V13"/>
    <mergeCell ref="W13:Z13"/>
    <mergeCell ref="AA13:AD13"/>
    <mergeCell ref="AE13:AH13"/>
    <mergeCell ref="AI13:AL13"/>
    <mergeCell ref="AM13:AP13"/>
    <mergeCell ref="AQ13:AT13"/>
    <mergeCell ref="AU13:AX13"/>
    <mergeCell ref="K14:N14"/>
    <mergeCell ref="O14:R14"/>
    <mergeCell ref="S14:V14"/>
    <mergeCell ref="W14:Z14"/>
    <mergeCell ref="AA14:AD14"/>
    <mergeCell ref="AE14:AH14"/>
    <mergeCell ref="AI14:AL14"/>
    <mergeCell ref="AM14:AP14"/>
    <mergeCell ref="AQ14:AT14"/>
    <mergeCell ref="AU14:AX14"/>
    <mergeCell ref="P15:S15"/>
    <mergeCell ref="T15:AK15"/>
    <mergeCell ref="AL15:AO15"/>
    <mergeCell ref="AP15:AS15"/>
    <mergeCell ref="P16:S16"/>
    <mergeCell ref="T16:AK16"/>
    <mergeCell ref="AL16:AO16"/>
    <mergeCell ref="AP16:AS16"/>
    <mergeCell ref="A18:AX18"/>
    <mergeCell ref="B19:E19"/>
    <mergeCell ref="G19:J19"/>
    <mergeCell ref="L19:O19"/>
    <mergeCell ref="F20:I20"/>
    <mergeCell ref="J20:M20"/>
    <mergeCell ref="N20:Q20"/>
    <mergeCell ref="R20:U20"/>
    <mergeCell ref="V20:Y20"/>
    <mergeCell ref="Z20:AC20"/>
    <mergeCell ref="AD20:AG20"/>
    <mergeCell ref="AH20:AK20"/>
    <mergeCell ref="AL20:AO20"/>
    <mergeCell ref="AP20:AS20"/>
    <mergeCell ref="AT20:AW20"/>
    <mergeCell ref="AX20:BA20"/>
    <mergeCell ref="F21:I21"/>
    <mergeCell ref="J21:M21"/>
    <mergeCell ref="N21:Q21"/>
    <mergeCell ref="R21:U21"/>
    <mergeCell ref="V21:Y21"/>
    <mergeCell ref="Z21:AC21"/>
    <mergeCell ref="AD21:AG21"/>
    <mergeCell ref="AH21:AK21"/>
    <mergeCell ref="AL21:AO21"/>
    <mergeCell ref="AP21:AS21"/>
    <mergeCell ref="AT21:AW21"/>
    <mergeCell ref="AX21:BA21"/>
    <mergeCell ref="H22:K22"/>
    <mergeCell ref="L22:O22"/>
    <mergeCell ref="P22:S22"/>
    <mergeCell ref="T22:W22"/>
    <mergeCell ref="X22:AA22"/>
    <mergeCell ref="AB22:AE22"/>
    <mergeCell ref="AF22:AI22"/>
    <mergeCell ref="AJ22:AM22"/>
    <mergeCell ref="AN22:AQ22"/>
    <mergeCell ref="AR22:AU22"/>
    <mergeCell ref="AV22:AY22"/>
    <mergeCell ref="AZ22:BC22"/>
    <mergeCell ref="H23:K23"/>
    <mergeCell ref="L23:O23"/>
    <mergeCell ref="P23:S23"/>
    <mergeCell ref="T23:W23"/>
    <mergeCell ref="X23:AA23"/>
    <mergeCell ref="AB23:AE23"/>
    <mergeCell ref="AF23:AI23"/>
    <mergeCell ref="AJ23:AM23"/>
    <mergeCell ref="AN23:AQ23"/>
    <mergeCell ref="AR23:AU23"/>
    <mergeCell ref="AV23:AY23"/>
    <mergeCell ref="AZ23:BC23"/>
    <mergeCell ref="I24:L24"/>
    <mergeCell ref="M24:P24"/>
    <mergeCell ref="Q24:T24"/>
    <mergeCell ref="U24:X24"/>
    <mergeCell ref="Y24:AB24"/>
    <mergeCell ref="AC24:AF24"/>
    <mergeCell ref="AG24:AJ24"/>
    <mergeCell ref="AK24:AN24"/>
    <mergeCell ref="AO24:AR24"/>
    <mergeCell ref="AS24:AV24"/>
    <mergeCell ref="AW24:AZ24"/>
    <mergeCell ref="I25:L25"/>
    <mergeCell ref="M25:P25"/>
    <mergeCell ref="Q25:T25"/>
    <mergeCell ref="U25:X25"/>
    <mergeCell ref="Y25:AB25"/>
    <mergeCell ref="AC25:AF25"/>
    <mergeCell ref="AG25:AJ25"/>
    <mergeCell ref="AK25:AN25"/>
    <mergeCell ref="AO25:AR25"/>
    <mergeCell ref="AS25:AV25"/>
    <mergeCell ref="AW25:AZ25"/>
    <mergeCell ref="K26:N26"/>
    <mergeCell ref="O26:R26"/>
    <mergeCell ref="S26:V26"/>
    <mergeCell ref="W26:Z26"/>
    <mergeCell ref="AA26:AD26"/>
    <mergeCell ref="AE26:AH26"/>
    <mergeCell ref="AI26:AL26"/>
    <mergeCell ref="AM26:AP26"/>
    <mergeCell ref="AQ26:AT26"/>
    <mergeCell ref="AU26:AX26"/>
    <mergeCell ref="K27:N27"/>
    <mergeCell ref="O27:R27"/>
    <mergeCell ref="S27:V27"/>
    <mergeCell ref="W27:Z27"/>
    <mergeCell ref="AA27:AD27"/>
    <mergeCell ref="AE27:AH27"/>
    <mergeCell ref="AI27:AL27"/>
    <mergeCell ref="AM27:AP27"/>
    <mergeCell ref="AQ27:AT27"/>
    <mergeCell ref="AU27:AX27"/>
    <mergeCell ref="P28:S28"/>
    <mergeCell ref="T28:AK28"/>
    <mergeCell ref="AL28:AO28"/>
    <mergeCell ref="AP28:AS28"/>
    <mergeCell ref="P29:S29"/>
    <mergeCell ref="T29:AK29"/>
    <mergeCell ref="AL29:AO29"/>
    <mergeCell ref="AP29:AS29"/>
    <mergeCell ref="A31:AX31"/>
    <mergeCell ref="B32:E32"/>
    <mergeCell ref="G32:J32"/>
    <mergeCell ref="L32:O32"/>
    <mergeCell ref="F33:I33"/>
    <mergeCell ref="J33:M33"/>
    <mergeCell ref="N33:Q33"/>
    <mergeCell ref="R33:U33"/>
    <mergeCell ref="V33:Y33"/>
    <mergeCell ref="Z33:AC33"/>
    <mergeCell ref="AD33:AG33"/>
    <mergeCell ref="AH33:AK33"/>
    <mergeCell ref="AL33:AO33"/>
    <mergeCell ref="AP33:AS33"/>
    <mergeCell ref="AT33:AW33"/>
    <mergeCell ref="AX33:BA33"/>
    <mergeCell ref="F34:I34"/>
    <mergeCell ref="J34:M34"/>
    <mergeCell ref="N34:Q34"/>
    <mergeCell ref="R34:U34"/>
    <mergeCell ref="V34:Y34"/>
    <mergeCell ref="Z34:AC34"/>
    <mergeCell ref="AD34:AG34"/>
    <mergeCell ref="AH34:AK34"/>
    <mergeCell ref="AL34:AO34"/>
    <mergeCell ref="AP34:AS34"/>
    <mergeCell ref="AT34:AW34"/>
    <mergeCell ref="AX34:BA34"/>
    <mergeCell ref="H35:K35"/>
    <mergeCell ref="L35:O35"/>
    <mergeCell ref="P35:S35"/>
    <mergeCell ref="T35:W35"/>
    <mergeCell ref="X35:AA35"/>
    <mergeCell ref="AB35:AE35"/>
    <mergeCell ref="AF35:AI35"/>
    <mergeCell ref="AJ35:AM35"/>
    <mergeCell ref="AN35:AQ35"/>
    <mergeCell ref="AR35:AU35"/>
    <mergeCell ref="AV35:AY35"/>
    <mergeCell ref="AZ35:BC35"/>
    <mergeCell ref="H36:K36"/>
    <mergeCell ref="L36:O36"/>
    <mergeCell ref="P36:S36"/>
    <mergeCell ref="T36:W36"/>
    <mergeCell ref="X36:AA36"/>
    <mergeCell ref="AB36:AE36"/>
    <mergeCell ref="AF36:AI36"/>
    <mergeCell ref="AJ36:AM36"/>
    <mergeCell ref="AN36:AQ36"/>
    <mergeCell ref="AR36:AU36"/>
    <mergeCell ref="AV36:AY36"/>
    <mergeCell ref="AZ36:BC36"/>
    <mergeCell ref="I37:L37"/>
    <mergeCell ref="M37:P37"/>
    <mergeCell ref="Q37:T37"/>
    <mergeCell ref="U37:X37"/>
    <mergeCell ref="Y37:AB37"/>
    <mergeCell ref="AC37:AF37"/>
    <mergeCell ref="AG37:AJ37"/>
    <mergeCell ref="AK37:AN37"/>
    <mergeCell ref="AO37:AR37"/>
    <mergeCell ref="AS37:AV37"/>
    <mergeCell ref="AW37:AZ37"/>
    <mergeCell ref="I38:L38"/>
    <mergeCell ref="M38:P38"/>
    <mergeCell ref="Q38:T38"/>
    <mergeCell ref="U38:X38"/>
    <mergeCell ref="Y38:AB38"/>
    <mergeCell ref="AC38:AF38"/>
    <mergeCell ref="AG38:AJ38"/>
    <mergeCell ref="AK38:AN38"/>
    <mergeCell ref="AO38:AR38"/>
    <mergeCell ref="AS38:AV38"/>
    <mergeCell ref="AW38:AZ38"/>
    <mergeCell ref="K39:N39"/>
    <mergeCell ref="O39:R39"/>
    <mergeCell ref="S39:V39"/>
    <mergeCell ref="W39:Z39"/>
    <mergeCell ref="AA39:AD39"/>
    <mergeCell ref="AE39:AH39"/>
    <mergeCell ref="AI39:AL39"/>
    <mergeCell ref="AM39:AP39"/>
    <mergeCell ref="AQ39:AT39"/>
    <mergeCell ref="AU39:AX39"/>
    <mergeCell ref="K40:N40"/>
    <mergeCell ref="O40:R40"/>
    <mergeCell ref="S40:V40"/>
    <mergeCell ref="W40:Z40"/>
    <mergeCell ref="AA40:AD40"/>
    <mergeCell ref="AE40:AH40"/>
    <mergeCell ref="AI40:AL40"/>
    <mergeCell ref="AM40:AP40"/>
    <mergeCell ref="AQ40:AT40"/>
    <mergeCell ref="AU40:AX40"/>
    <mergeCell ref="P41:S41"/>
    <mergeCell ref="T41:AK41"/>
    <mergeCell ref="AL41:AO41"/>
    <mergeCell ref="AP41:AS41"/>
    <mergeCell ref="P42:S42"/>
    <mergeCell ref="T42:AK42"/>
    <mergeCell ref="AL42:AO42"/>
    <mergeCell ref="AP42:AS42"/>
    <mergeCell ref="A44:AX44"/>
    <mergeCell ref="B45:E45"/>
    <mergeCell ref="G45:J45"/>
    <mergeCell ref="L45:O45"/>
    <mergeCell ref="F46:I46"/>
    <mergeCell ref="J46:M46"/>
    <mergeCell ref="N46:Q46"/>
    <mergeCell ref="R46:U46"/>
    <mergeCell ref="V46:Y46"/>
    <mergeCell ref="Z46:AC46"/>
    <mergeCell ref="AD46:AG46"/>
    <mergeCell ref="AH46:AK46"/>
    <mergeCell ref="AL46:AO46"/>
    <mergeCell ref="AP46:AS46"/>
    <mergeCell ref="AT46:AW46"/>
    <mergeCell ref="AX46:BA46"/>
    <mergeCell ref="F47:I47"/>
    <mergeCell ref="J47:M47"/>
    <mergeCell ref="N47:Q47"/>
    <mergeCell ref="R47:U47"/>
    <mergeCell ref="V47:Y47"/>
    <mergeCell ref="Z47:AC47"/>
    <mergeCell ref="AD47:AG47"/>
    <mergeCell ref="AH47:AK47"/>
    <mergeCell ref="AL47:AO47"/>
    <mergeCell ref="AP47:AS47"/>
    <mergeCell ref="AT47:AW47"/>
    <mergeCell ref="AX47:BA47"/>
    <mergeCell ref="H48:K48"/>
    <mergeCell ref="L48:O48"/>
    <mergeCell ref="P48:S48"/>
    <mergeCell ref="T48:W48"/>
    <mergeCell ref="X48:AA48"/>
    <mergeCell ref="AB48:AE48"/>
    <mergeCell ref="AF48:AI48"/>
    <mergeCell ref="AJ48:AM48"/>
    <mergeCell ref="AN48:AQ48"/>
    <mergeCell ref="AR48:AU48"/>
    <mergeCell ref="AV48:AY48"/>
    <mergeCell ref="AZ48:BC48"/>
    <mergeCell ref="H49:K49"/>
    <mergeCell ref="L49:O49"/>
    <mergeCell ref="P49:S49"/>
    <mergeCell ref="T49:W49"/>
    <mergeCell ref="X49:AA49"/>
    <mergeCell ref="AB49:AE49"/>
    <mergeCell ref="AF49:AI49"/>
    <mergeCell ref="AJ49:AM49"/>
    <mergeCell ref="AN49:AQ49"/>
    <mergeCell ref="AR49:AU49"/>
    <mergeCell ref="AV49:AY49"/>
    <mergeCell ref="AZ49:BC49"/>
    <mergeCell ref="I50:L50"/>
    <mergeCell ref="M50:P50"/>
    <mergeCell ref="Q50:T50"/>
    <mergeCell ref="U50:X50"/>
    <mergeCell ref="Y50:AB50"/>
    <mergeCell ref="AC50:AF50"/>
    <mergeCell ref="AG50:AJ50"/>
    <mergeCell ref="AK50:AN50"/>
    <mergeCell ref="AO50:AR50"/>
    <mergeCell ref="AS50:AV50"/>
    <mergeCell ref="AW50:AZ50"/>
    <mergeCell ref="I51:L51"/>
    <mergeCell ref="M51:P51"/>
    <mergeCell ref="Q51:T51"/>
    <mergeCell ref="U51:X51"/>
    <mergeCell ref="Y51:AB51"/>
    <mergeCell ref="AC51:AF51"/>
    <mergeCell ref="AG51:AJ51"/>
    <mergeCell ref="AK51:AN51"/>
    <mergeCell ref="AO51:AR51"/>
    <mergeCell ref="AS51:AV51"/>
    <mergeCell ref="AW51:AZ51"/>
    <mergeCell ref="K52:N52"/>
    <mergeCell ref="O52:R52"/>
    <mergeCell ref="S52:V52"/>
    <mergeCell ref="W52:Z52"/>
    <mergeCell ref="AA52:AD52"/>
    <mergeCell ref="AE52:AH52"/>
    <mergeCell ref="AI52:AL52"/>
    <mergeCell ref="AM52:AP52"/>
    <mergeCell ref="AQ52:AT52"/>
    <mergeCell ref="AU52:AX52"/>
    <mergeCell ref="K53:N53"/>
    <mergeCell ref="O53:R53"/>
    <mergeCell ref="S53:V53"/>
    <mergeCell ref="W53:Z53"/>
    <mergeCell ref="AA53:AD53"/>
    <mergeCell ref="AE53:AH53"/>
    <mergeCell ref="AI53:AL53"/>
    <mergeCell ref="AM53:AP53"/>
    <mergeCell ref="AQ53:AT53"/>
    <mergeCell ref="AU53:AX53"/>
    <mergeCell ref="P54:S54"/>
    <mergeCell ref="T54:AK54"/>
    <mergeCell ref="AL54:AO54"/>
    <mergeCell ref="AP54:AS54"/>
    <mergeCell ref="P55:S55"/>
    <mergeCell ref="T55:AK55"/>
    <mergeCell ref="AL55:AO55"/>
    <mergeCell ref="AP55:AS55"/>
    <mergeCell ref="A57:AX57"/>
    <mergeCell ref="B58:E58"/>
    <mergeCell ref="G58:J58"/>
    <mergeCell ref="L58:O58"/>
    <mergeCell ref="F59:I59"/>
    <mergeCell ref="J59:M59"/>
    <mergeCell ref="N59:Q59"/>
    <mergeCell ref="R59:U59"/>
    <mergeCell ref="V59:Y59"/>
    <mergeCell ref="Z59:AC59"/>
    <mergeCell ref="AD59:AG59"/>
    <mergeCell ref="AH59:AK59"/>
    <mergeCell ref="AL59:AO59"/>
    <mergeCell ref="AP59:AS59"/>
    <mergeCell ref="AT59:AW59"/>
    <mergeCell ref="AX59:BA59"/>
    <mergeCell ref="F60:I60"/>
    <mergeCell ref="J60:M60"/>
    <mergeCell ref="N60:Q60"/>
    <mergeCell ref="R60:U60"/>
    <mergeCell ref="V60:Y60"/>
    <mergeCell ref="Z60:AC60"/>
    <mergeCell ref="AD60:AG60"/>
    <mergeCell ref="AH60:AK60"/>
    <mergeCell ref="AL60:AO60"/>
    <mergeCell ref="AP60:AS60"/>
    <mergeCell ref="AT60:AW60"/>
    <mergeCell ref="AX60:BA60"/>
    <mergeCell ref="H61:K61"/>
    <mergeCell ref="L61:O61"/>
    <mergeCell ref="P61:S61"/>
    <mergeCell ref="T61:W61"/>
    <mergeCell ref="X61:AA61"/>
    <mergeCell ref="AB61:AE61"/>
    <mergeCell ref="AF61:AI61"/>
    <mergeCell ref="AJ61:AM61"/>
    <mergeCell ref="AN61:AQ61"/>
    <mergeCell ref="AR61:AU61"/>
    <mergeCell ref="AV61:AY61"/>
    <mergeCell ref="AZ61:BC61"/>
    <mergeCell ref="H62:K62"/>
    <mergeCell ref="L62:O62"/>
    <mergeCell ref="P62:S62"/>
    <mergeCell ref="T62:W62"/>
    <mergeCell ref="X62:AA62"/>
    <mergeCell ref="AB62:AE62"/>
    <mergeCell ref="AF62:AI62"/>
    <mergeCell ref="AJ62:AM62"/>
    <mergeCell ref="AN62:AQ62"/>
    <mergeCell ref="AR62:AU62"/>
    <mergeCell ref="AV62:AY62"/>
    <mergeCell ref="AZ62:BC62"/>
    <mergeCell ref="I63:L63"/>
    <mergeCell ref="M63:P63"/>
    <mergeCell ref="Q63:T63"/>
    <mergeCell ref="U63:X63"/>
    <mergeCell ref="Y63:AB63"/>
    <mergeCell ref="AC63:AF63"/>
    <mergeCell ref="AG63:AJ63"/>
    <mergeCell ref="AK63:AN63"/>
    <mergeCell ref="AO63:AR63"/>
    <mergeCell ref="AS63:AV63"/>
    <mergeCell ref="AW63:AZ63"/>
    <mergeCell ref="I64:L64"/>
    <mergeCell ref="M64:P64"/>
    <mergeCell ref="Q64:T64"/>
    <mergeCell ref="U64:X64"/>
    <mergeCell ref="Y64:AB64"/>
    <mergeCell ref="AC64:AF64"/>
    <mergeCell ref="AG64:AJ64"/>
    <mergeCell ref="AK64:AN64"/>
    <mergeCell ref="AO64:AR64"/>
    <mergeCell ref="AS64:AV64"/>
    <mergeCell ref="AW64:AZ64"/>
    <mergeCell ref="K65:N65"/>
    <mergeCell ref="O65:R65"/>
    <mergeCell ref="S65:V65"/>
    <mergeCell ref="W65:Z65"/>
    <mergeCell ref="AA65:AD65"/>
    <mergeCell ref="AE65:AH65"/>
    <mergeCell ref="AI65:AL65"/>
    <mergeCell ref="AM65:AP65"/>
    <mergeCell ref="AQ65:AT65"/>
    <mergeCell ref="AU65:AX65"/>
    <mergeCell ref="K66:N66"/>
    <mergeCell ref="O66:R66"/>
    <mergeCell ref="S66:V66"/>
    <mergeCell ref="W66:Z66"/>
    <mergeCell ref="AA66:AD66"/>
    <mergeCell ref="AE66:AH66"/>
    <mergeCell ref="AI66:AL66"/>
    <mergeCell ref="AM66:AP66"/>
    <mergeCell ref="AQ66:AT66"/>
    <mergeCell ref="AU66:AX66"/>
    <mergeCell ref="P67:S67"/>
    <mergeCell ref="T67:AK67"/>
    <mergeCell ref="AL67:AO67"/>
    <mergeCell ref="AP67:AS67"/>
    <mergeCell ref="P68:S68"/>
    <mergeCell ref="T68:AK68"/>
    <mergeCell ref="AL68:AO68"/>
    <mergeCell ref="AP68:AS68"/>
    <mergeCell ref="A70:AX70"/>
    <mergeCell ref="B71:E71"/>
    <mergeCell ref="G71:J71"/>
    <mergeCell ref="L71:O71"/>
    <mergeCell ref="F72:I72"/>
    <mergeCell ref="J72:M72"/>
    <mergeCell ref="N72:Q72"/>
    <mergeCell ref="R72:U72"/>
    <mergeCell ref="V72:Y72"/>
    <mergeCell ref="Z72:AC72"/>
    <mergeCell ref="AD72:AG72"/>
    <mergeCell ref="AH72:AK72"/>
    <mergeCell ref="AL72:AO72"/>
    <mergeCell ref="AP72:AS72"/>
    <mergeCell ref="AT72:AW72"/>
    <mergeCell ref="AX72:BA72"/>
    <mergeCell ref="F73:I73"/>
    <mergeCell ref="J73:M73"/>
    <mergeCell ref="N73:Q73"/>
    <mergeCell ref="R73:U73"/>
    <mergeCell ref="V73:Y73"/>
    <mergeCell ref="Z73:AC73"/>
    <mergeCell ref="AD73:AG73"/>
    <mergeCell ref="AH73:AK73"/>
    <mergeCell ref="AL73:AO73"/>
    <mergeCell ref="AP73:AS73"/>
    <mergeCell ref="AT73:AW73"/>
    <mergeCell ref="AX73:BA73"/>
    <mergeCell ref="H74:K74"/>
    <mergeCell ref="L74:O74"/>
    <mergeCell ref="P74:S74"/>
    <mergeCell ref="T74:W74"/>
    <mergeCell ref="X74:AA74"/>
    <mergeCell ref="AB74:AE74"/>
    <mergeCell ref="AF74:AI74"/>
    <mergeCell ref="AJ74:AM74"/>
    <mergeCell ref="AN74:AQ74"/>
    <mergeCell ref="AR74:AU74"/>
    <mergeCell ref="AV74:AY74"/>
    <mergeCell ref="AZ74:BC74"/>
    <mergeCell ref="H75:K75"/>
    <mergeCell ref="L75:O75"/>
    <mergeCell ref="P75:S75"/>
    <mergeCell ref="T75:W75"/>
    <mergeCell ref="X75:AA75"/>
    <mergeCell ref="AB75:AE75"/>
    <mergeCell ref="AF75:AI75"/>
    <mergeCell ref="AJ75:AM75"/>
    <mergeCell ref="AN75:AQ75"/>
    <mergeCell ref="AR75:AU75"/>
    <mergeCell ref="AV75:AY75"/>
    <mergeCell ref="AZ75:BC75"/>
    <mergeCell ref="I76:L76"/>
    <mergeCell ref="M76:P76"/>
    <mergeCell ref="Q76:T76"/>
    <mergeCell ref="U76:X76"/>
    <mergeCell ref="Y76:AB76"/>
    <mergeCell ref="AC76:AF76"/>
    <mergeCell ref="AG76:AJ76"/>
    <mergeCell ref="AK76:AN76"/>
    <mergeCell ref="AO76:AR76"/>
    <mergeCell ref="AS76:AV76"/>
    <mergeCell ref="AW76:AZ76"/>
    <mergeCell ref="I77:L77"/>
    <mergeCell ref="M77:P77"/>
    <mergeCell ref="Q77:T77"/>
    <mergeCell ref="U77:X77"/>
    <mergeCell ref="Y77:AB77"/>
    <mergeCell ref="AC77:AF77"/>
    <mergeCell ref="AG77:AJ77"/>
    <mergeCell ref="AK77:AN77"/>
    <mergeCell ref="AO77:AR77"/>
    <mergeCell ref="AS77:AV77"/>
    <mergeCell ref="AW77:AZ77"/>
    <mergeCell ref="K78:N78"/>
    <mergeCell ref="O78:R78"/>
    <mergeCell ref="S78:V78"/>
    <mergeCell ref="W78:Z78"/>
    <mergeCell ref="AA78:AD78"/>
    <mergeCell ref="AE78:AH78"/>
    <mergeCell ref="AI78:AL78"/>
    <mergeCell ref="AM78:AP78"/>
    <mergeCell ref="AQ78:AT78"/>
    <mergeCell ref="AU78:AX78"/>
    <mergeCell ref="K79:N79"/>
    <mergeCell ref="O79:R79"/>
    <mergeCell ref="S79:V79"/>
    <mergeCell ref="W79:Z79"/>
    <mergeCell ref="AA79:AD79"/>
    <mergeCell ref="AE79:AH79"/>
    <mergeCell ref="AI79:AL79"/>
    <mergeCell ref="AM79:AP79"/>
    <mergeCell ref="AQ79:AT79"/>
    <mergeCell ref="AU79:AX79"/>
    <mergeCell ref="P80:S80"/>
    <mergeCell ref="T80:AK80"/>
    <mergeCell ref="AL80:AO80"/>
    <mergeCell ref="AP80:AS80"/>
    <mergeCell ref="P81:S81"/>
    <mergeCell ref="T81:AK81"/>
    <mergeCell ref="AL81:AO81"/>
    <mergeCell ref="AP81:AS81"/>
    <mergeCell ref="A83:AX83"/>
    <mergeCell ref="B84:E84"/>
    <mergeCell ref="G84:J84"/>
    <mergeCell ref="L84:O84"/>
    <mergeCell ref="F85:I85"/>
    <mergeCell ref="J85:M85"/>
    <mergeCell ref="N85:Q85"/>
    <mergeCell ref="R85:U85"/>
    <mergeCell ref="V85:Y85"/>
    <mergeCell ref="Z85:AC85"/>
    <mergeCell ref="AD85:AG85"/>
    <mergeCell ref="AH85:AK85"/>
    <mergeCell ref="AL85:AO85"/>
    <mergeCell ref="AP85:AS85"/>
    <mergeCell ref="AT85:AW85"/>
    <mergeCell ref="AX85:BA85"/>
    <mergeCell ref="F86:I86"/>
    <mergeCell ref="J86:M86"/>
    <mergeCell ref="N86:Q86"/>
    <mergeCell ref="R86:U86"/>
    <mergeCell ref="V86:Y86"/>
    <mergeCell ref="Z86:AC86"/>
    <mergeCell ref="AD86:AG86"/>
    <mergeCell ref="AH86:AK86"/>
    <mergeCell ref="AL86:AO86"/>
    <mergeCell ref="AP86:AS86"/>
    <mergeCell ref="AT86:AW86"/>
    <mergeCell ref="AX86:BA86"/>
    <mergeCell ref="H87:K87"/>
    <mergeCell ref="L87:O87"/>
    <mergeCell ref="P87:S87"/>
    <mergeCell ref="T87:W87"/>
    <mergeCell ref="X87:AA87"/>
    <mergeCell ref="AB87:AE87"/>
    <mergeCell ref="AF87:AI87"/>
    <mergeCell ref="AJ87:AM87"/>
    <mergeCell ref="AN87:AQ87"/>
    <mergeCell ref="AR87:AU87"/>
    <mergeCell ref="AV87:AY87"/>
    <mergeCell ref="AZ87:BC87"/>
    <mergeCell ref="H88:K88"/>
    <mergeCell ref="L88:O88"/>
    <mergeCell ref="P88:S88"/>
    <mergeCell ref="T88:W88"/>
    <mergeCell ref="X88:AA88"/>
    <mergeCell ref="AB88:AE88"/>
    <mergeCell ref="AF88:AI88"/>
    <mergeCell ref="AJ88:AM88"/>
    <mergeCell ref="AN88:AQ88"/>
    <mergeCell ref="AR88:AU88"/>
    <mergeCell ref="AV88:AY88"/>
    <mergeCell ref="AZ88:BC88"/>
    <mergeCell ref="I89:L89"/>
    <mergeCell ref="M89:P89"/>
    <mergeCell ref="Q89:T89"/>
    <mergeCell ref="U89:X89"/>
    <mergeCell ref="Y89:AB89"/>
    <mergeCell ref="AC89:AF89"/>
    <mergeCell ref="AG89:AJ89"/>
    <mergeCell ref="AK89:AN89"/>
    <mergeCell ref="AO89:AR89"/>
    <mergeCell ref="AS89:AV89"/>
    <mergeCell ref="AW89:AZ89"/>
    <mergeCell ref="I90:L90"/>
    <mergeCell ref="M90:P90"/>
    <mergeCell ref="Q90:T90"/>
    <mergeCell ref="U90:X90"/>
    <mergeCell ref="Y90:AB90"/>
    <mergeCell ref="AC90:AF90"/>
    <mergeCell ref="AG90:AJ90"/>
    <mergeCell ref="AK90:AN90"/>
    <mergeCell ref="AO90:AR90"/>
    <mergeCell ref="AS90:AV90"/>
    <mergeCell ref="AW90:AZ90"/>
    <mergeCell ref="K91:N91"/>
    <mergeCell ref="O91:R91"/>
    <mergeCell ref="S91:V91"/>
    <mergeCell ref="W91:Z91"/>
    <mergeCell ref="AA91:AD91"/>
    <mergeCell ref="AE91:AH91"/>
    <mergeCell ref="AI91:AL91"/>
    <mergeCell ref="AM91:AP91"/>
    <mergeCell ref="AQ91:AT91"/>
    <mergeCell ref="AU91:AX91"/>
    <mergeCell ref="K92:N92"/>
    <mergeCell ref="O92:R92"/>
    <mergeCell ref="S92:V92"/>
    <mergeCell ref="W92:Z92"/>
    <mergeCell ref="AA92:AD92"/>
    <mergeCell ref="AE92:AH92"/>
    <mergeCell ref="AI92:AL92"/>
    <mergeCell ref="AM92:AP92"/>
    <mergeCell ref="AQ92:AT92"/>
    <mergeCell ref="AU92:AX92"/>
    <mergeCell ref="P93:S93"/>
    <mergeCell ref="T93:AK93"/>
    <mergeCell ref="AL93:AO93"/>
    <mergeCell ref="AP93:AS93"/>
    <mergeCell ref="P94:S94"/>
    <mergeCell ref="T94:AK94"/>
    <mergeCell ref="AL94:AO94"/>
    <mergeCell ref="AP94:AS94"/>
    <mergeCell ref="A96:AX96"/>
    <mergeCell ref="B97:E97"/>
    <mergeCell ref="G97:J97"/>
    <mergeCell ref="L97:O97"/>
    <mergeCell ref="F98:I98"/>
    <mergeCell ref="J98:M98"/>
    <mergeCell ref="N98:Q98"/>
    <mergeCell ref="R98:U98"/>
    <mergeCell ref="V98:Y98"/>
    <mergeCell ref="Z98:AC98"/>
    <mergeCell ref="AD98:AG98"/>
    <mergeCell ref="AH98:AK98"/>
    <mergeCell ref="AL98:AO98"/>
    <mergeCell ref="AP98:AS98"/>
    <mergeCell ref="AT98:AW98"/>
    <mergeCell ref="AX98:BA98"/>
    <mergeCell ref="F99:I99"/>
    <mergeCell ref="J99:M99"/>
    <mergeCell ref="N99:Q99"/>
    <mergeCell ref="R99:U99"/>
    <mergeCell ref="V99:Y99"/>
    <mergeCell ref="Z99:AC99"/>
    <mergeCell ref="AD99:AG99"/>
    <mergeCell ref="AH99:AK99"/>
    <mergeCell ref="AL99:AO99"/>
    <mergeCell ref="AP99:AS99"/>
    <mergeCell ref="AT99:AW99"/>
    <mergeCell ref="AX99:BA99"/>
    <mergeCell ref="H100:K100"/>
    <mergeCell ref="L100:O100"/>
    <mergeCell ref="P100:S100"/>
    <mergeCell ref="T100:W100"/>
    <mergeCell ref="X100:AA100"/>
    <mergeCell ref="AB100:AE100"/>
    <mergeCell ref="AF100:AI100"/>
    <mergeCell ref="AJ100:AM100"/>
    <mergeCell ref="AN100:AQ100"/>
    <mergeCell ref="AR100:AU100"/>
    <mergeCell ref="AV100:AY100"/>
    <mergeCell ref="AZ100:BC100"/>
    <mergeCell ref="H101:K101"/>
    <mergeCell ref="L101:O101"/>
    <mergeCell ref="P101:S101"/>
    <mergeCell ref="T101:W101"/>
    <mergeCell ref="X101:AA101"/>
    <mergeCell ref="AB101:AE101"/>
    <mergeCell ref="AF101:AI101"/>
    <mergeCell ref="AJ101:AM101"/>
    <mergeCell ref="AN101:AQ101"/>
    <mergeCell ref="AR101:AU101"/>
    <mergeCell ref="AV101:AY101"/>
    <mergeCell ref="AZ101:BC101"/>
    <mergeCell ref="I102:L102"/>
    <mergeCell ref="M102:P102"/>
    <mergeCell ref="Q102:T102"/>
    <mergeCell ref="U102:X102"/>
    <mergeCell ref="Y102:AB102"/>
    <mergeCell ref="AC102:AF102"/>
    <mergeCell ref="AG102:AJ102"/>
    <mergeCell ref="AK102:AN102"/>
    <mergeCell ref="AO102:AR102"/>
    <mergeCell ref="AS102:AV102"/>
    <mergeCell ref="AW102:AZ102"/>
    <mergeCell ref="I103:L103"/>
    <mergeCell ref="M103:P103"/>
    <mergeCell ref="Q103:T103"/>
    <mergeCell ref="U103:X103"/>
    <mergeCell ref="Y103:AB103"/>
    <mergeCell ref="AC103:AF103"/>
    <mergeCell ref="AG103:AJ103"/>
    <mergeCell ref="AK103:AN103"/>
    <mergeCell ref="AO103:AR103"/>
    <mergeCell ref="AS103:AV103"/>
    <mergeCell ref="AW103:AZ103"/>
    <mergeCell ref="K104:N104"/>
    <mergeCell ref="O104:R104"/>
    <mergeCell ref="S104:V104"/>
    <mergeCell ref="W104:Z104"/>
    <mergeCell ref="AA104:AD104"/>
    <mergeCell ref="AE104:AH104"/>
    <mergeCell ref="AI104:AL104"/>
    <mergeCell ref="AM104:AP104"/>
    <mergeCell ref="AQ104:AT104"/>
    <mergeCell ref="AU104:AX104"/>
    <mergeCell ref="K105:N105"/>
    <mergeCell ref="O105:R105"/>
    <mergeCell ref="S105:V105"/>
    <mergeCell ref="W105:Z105"/>
    <mergeCell ref="AA105:AD105"/>
    <mergeCell ref="AE105:AH105"/>
    <mergeCell ref="AI105:AL105"/>
    <mergeCell ref="AM105:AP105"/>
    <mergeCell ref="AQ105:AT105"/>
    <mergeCell ref="AU105:AX105"/>
    <mergeCell ref="P106:S106"/>
    <mergeCell ref="T106:AK106"/>
    <mergeCell ref="AL106:AO106"/>
    <mergeCell ref="AP106:AS106"/>
    <mergeCell ref="P107:S107"/>
    <mergeCell ref="T107:AK107"/>
    <mergeCell ref="AL107:AO107"/>
    <mergeCell ref="AP107:AS107"/>
    <mergeCell ref="A109:AX109"/>
    <mergeCell ref="B110:E110"/>
    <mergeCell ref="G110:J110"/>
    <mergeCell ref="L110:O110"/>
    <mergeCell ref="F111:I111"/>
    <mergeCell ref="J111:M111"/>
    <mergeCell ref="N111:Q111"/>
    <mergeCell ref="R111:U111"/>
    <mergeCell ref="V111:Y111"/>
    <mergeCell ref="Z111:AC111"/>
    <mergeCell ref="AD111:AG111"/>
    <mergeCell ref="AH111:AK111"/>
    <mergeCell ref="AL111:AO111"/>
    <mergeCell ref="AP111:AS111"/>
    <mergeCell ref="AT111:AW111"/>
    <mergeCell ref="AX111:BA111"/>
    <mergeCell ref="F112:I112"/>
    <mergeCell ref="J112:M112"/>
    <mergeCell ref="N112:Q112"/>
    <mergeCell ref="R112:U112"/>
    <mergeCell ref="V112:Y112"/>
    <mergeCell ref="Z112:AC112"/>
    <mergeCell ref="AD112:AG112"/>
    <mergeCell ref="AH112:AK112"/>
    <mergeCell ref="AL112:AO112"/>
    <mergeCell ref="AP112:AS112"/>
    <mergeCell ref="AT112:AW112"/>
    <mergeCell ref="AX112:BA112"/>
    <mergeCell ref="H113:K113"/>
    <mergeCell ref="L113:O113"/>
    <mergeCell ref="P113:S113"/>
    <mergeCell ref="T113:W113"/>
    <mergeCell ref="X113:AA113"/>
    <mergeCell ref="AB113:AE113"/>
    <mergeCell ref="AF113:AI113"/>
    <mergeCell ref="AJ113:AM113"/>
    <mergeCell ref="AN113:AQ113"/>
    <mergeCell ref="AR113:AU113"/>
    <mergeCell ref="AV113:AY113"/>
    <mergeCell ref="AZ113:BC113"/>
    <mergeCell ref="H114:K114"/>
    <mergeCell ref="L114:O114"/>
    <mergeCell ref="P114:S114"/>
    <mergeCell ref="T114:W114"/>
    <mergeCell ref="X114:AA114"/>
    <mergeCell ref="AB114:AE114"/>
    <mergeCell ref="AF114:AI114"/>
    <mergeCell ref="AJ114:AM114"/>
    <mergeCell ref="AN114:AQ114"/>
    <mergeCell ref="AR114:AU114"/>
    <mergeCell ref="AV114:AY114"/>
    <mergeCell ref="AZ114:BC114"/>
    <mergeCell ref="I115:L115"/>
    <mergeCell ref="M115:P115"/>
    <mergeCell ref="Q115:T115"/>
    <mergeCell ref="U115:X115"/>
    <mergeCell ref="Y115:AB115"/>
    <mergeCell ref="AC115:AF115"/>
    <mergeCell ref="AG115:AJ115"/>
    <mergeCell ref="AK115:AN115"/>
    <mergeCell ref="AO115:AR115"/>
    <mergeCell ref="AS115:AV115"/>
    <mergeCell ref="AW115:AZ115"/>
    <mergeCell ref="I116:L116"/>
    <mergeCell ref="M116:P116"/>
    <mergeCell ref="Q116:T116"/>
    <mergeCell ref="U116:X116"/>
    <mergeCell ref="Y116:AB116"/>
    <mergeCell ref="AC116:AF116"/>
    <mergeCell ref="AG116:AJ116"/>
    <mergeCell ref="AK116:AN116"/>
    <mergeCell ref="AO116:AR116"/>
    <mergeCell ref="AS116:AV116"/>
    <mergeCell ref="AW116:AZ116"/>
    <mergeCell ref="K117:N117"/>
    <mergeCell ref="O117:R117"/>
    <mergeCell ref="S117:V117"/>
    <mergeCell ref="W117:Z117"/>
    <mergeCell ref="AA117:AD117"/>
    <mergeCell ref="AE117:AH117"/>
    <mergeCell ref="AI117:AL117"/>
    <mergeCell ref="AM117:AP117"/>
    <mergeCell ref="AQ117:AT117"/>
    <mergeCell ref="AU117:AX117"/>
    <mergeCell ref="K118:N118"/>
    <mergeCell ref="O118:R118"/>
    <mergeCell ref="S118:V118"/>
    <mergeCell ref="W118:Z118"/>
    <mergeCell ref="AA118:AD118"/>
    <mergeCell ref="AE118:AH118"/>
    <mergeCell ref="AI118:AL118"/>
    <mergeCell ref="AM118:AP118"/>
    <mergeCell ref="AQ118:AT118"/>
    <mergeCell ref="AU118:AX118"/>
    <mergeCell ref="P119:S119"/>
    <mergeCell ref="T119:AK119"/>
    <mergeCell ref="AL119:AO119"/>
    <mergeCell ref="AP119:AS119"/>
    <mergeCell ref="P120:S120"/>
    <mergeCell ref="T120:AK120"/>
    <mergeCell ref="AL120:AO120"/>
    <mergeCell ref="AP120:AS120"/>
    <mergeCell ref="A122:AX122"/>
    <mergeCell ref="B123:E123"/>
    <mergeCell ref="G123:J123"/>
    <mergeCell ref="L123:O123"/>
    <mergeCell ref="F124:I124"/>
    <mergeCell ref="J124:M124"/>
    <mergeCell ref="N124:Q124"/>
    <mergeCell ref="R124:U124"/>
    <mergeCell ref="V124:Y124"/>
    <mergeCell ref="Z124:AC124"/>
    <mergeCell ref="AD124:AG124"/>
    <mergeCell ref="AH124:AK124"/>
    <mergeCell ref="AL124:AO124"/>
    <mergeCell ref="AP124:AS124"/>
    <mergeCell ref="AT124:AW124"/>
    <mergeCell ref="AX124:BA124"/>
    <mergeCell ref="F125:I125"/>
    <mergeCell ref="J125:M125"/>
    <mergeCell ref="N125:Q125"/>
    <mergeCell ref="R125:U125"/>
    <mergeCell ref="V125:Y125"/>
    <mergeCell ref="Z125:AC125"/>
    <mergeCell ref="AD125:AG125"/>
    <mergeCell ref="AH125:AK125"/>
    <mergeCell ref="AL125:AO125"/>
    <mergeCell ref="AP125:AS125"/>
    <mergeCell ref="AT125:AW125"/>
    <mergeCell ref="AX125:BA125"/>
    <mergeCell ref="H126:K126"/>
    <mergeCell ref="L126:O126"/>
    <mergeCell ref="P126:S126"/>
    <mergeCell ref="T126:W126"/>
    <mergeCell ref="X126:AA126"/>
    <mergeCell ref="AB126:AE126"/>
    <mergeCell ref="AF126:AI126"/>
    <mergeCell ref="AJ126:AM126"/>
    <mergeCell ref="AN126:AQ126"/>
    <mergeCell ref="AR126:AU126"/>
    <mergeCell ref="AV126:AY126"/>
    <mergeCell ref="AZ126:BC126"/>
    <mergeCell ref="H127:K127"/>
    <mergeCell ref="L127:O127"/>
    <mergeCell ref="P127:S127"/>
    <mergeCell ref="T127:W127"/>
    <mergeCell ref="X127:AA127"/>
    <mergeCell ref="AB127:AE127"/>
    <mergeCell ref="AF127:AI127"/>
    <mergeCell ref="AJ127:AM127"/>
    <mergeCell ref="AN127:AQ127"/>
    <mergeCell ref="AR127:AU127"/>
    <mergeCell ref="AV127:AY127"/>
    <mergeCell ref="AZ127:BC127"/>
    <mergeCell ref="I128:L128"/>
    <mergeCell ref="M128:P128"/>
    <mergeCell ref="Q128:T128"/>
    <mergeCell ref="U128:X128"/>
    <mergeCell ref="Y128:AB128"/>
    <mergeCell ref="AC128:AF128"/>
    <mergeCell ref="AG128:AJ128"/>
    <mergeCell ref="AK128:AN128"/>
    <mergeCell ref="AO128:AR128"/>
    <mergeCell ref="AS128:AV128"/>
    <mergeCell ref="AW128:AZ128"/>
    <mergeCell ref="I129:L129"/>
    <mergeCell ref="M129:P129"/>
    <mergeCell ref="Q129:T129"/>
    <mergeCell ref="U129:X129"/>
    <mergeCell ref="Y129:AB129"/>
    <mergeCell ref="AC129:AF129"/>
    <mergeCell ref="AG129:AJ129"/>
    <mergeCell ref="AK129:AN129"/>
    <mergeCell ref="AO129:AR129"/>
    <mergeCell ref="AS129:AV129"/>
    <mergeCell ref="AW129:AZ129"/>
    <mergeCell ref="K130:N130"/>
    <mergeCell ref="O130:R130"/>
    <mergeCell ref="S130:V130"/>
    <mergeCell ref="W130:Z130"/>
    <mergeCell ref="AA130:AD130"/>
    <mergeCell ref="AE130:AH130"/>
    <mergeCell ref="AI130:AL130"/>
    <mergeCell ref="AM130:AP130"/>
    <mergeCell ref="AQ130:AT130"/>
    <mergeCell ref="AU130:AX130"/>
    <mergeCell ref="K131:N131"/>
    <mergeCell ref="O131:R131"/>
    <mergeCell ref="S131:V131"/>
    <mergeCell ref="W131:Z131"/>
    <mergeCell ref="AA131:AD131"/>
    <mergeCell ref="AE131:AH131"/>
    <mergeCell ref="AI131:AL131"/>
    <mergeCell ref="AM131:AP131"/>
    <mergeCell ref="AQ131:AT131"/>
    <mergeCell ref="AU131:AX131"/>
    <mergeCell ref="P132:S132"/>
    <mergeCell ref="T132:AK132"/>
    <mergeCell ref="AL132:AO132"/>
    <mergeCell ref="AP132:AS132"/>
    <mergeCell ref="P133:S133"/>
    <mergeCell ref="T133:AK133"/>
    <mergeCell ref="AL133:AO133"/>
    <mergeCell ref="AP133:AS133"/>
    <mergeCell ref="A135:AX135"/>
    <mergeCell ref="B136:E136"/>
    <mergeCell ref="G136:J136"/>
    <mergeCell ref="L136:O136"/>
    <mergeCell ref="F137:I137"/>
    <mergeCell ref="J137:M137"/>
    <mergeCell ref="N137:Q137"/>
    <mergeCell ref="R137:U137"/>
    <mergeCell ref="V137:Y137"/>
    <mergeCell ref="Z137:AC137"/>
    <mergeCell ref="AD137:AG137"/>
    <mergeCell ref="AH137:AK137"/>
    <mergeCell ref="AL137:AO137"/>
    <mergeCell ref="AP137:AS137"/>
    <mergeCell ref="AT137:AW137"/>
    <mergeCell ref="AX137:BA137"/>
    <mergeCell ref="F138:I138"/>
    <mergeCell ref="J138:M138"/>
    <mergeCell ref="N138:Q138"/>
    <mergeCell ref="R138:U138"/>
    <mergeCell ref="V138:Y138"/>
    <mergeCell ref="Z138:AC138"/>
    <mergeCell ref="AD138:AG138"/>
    <mergeCell ref="AH138:AK138"/>
    <mergeCell ref="AL138:AO138"/>
    <mergeCell ref="AP138:AS138"/>
    <mergeCell ref="AT138:AW138"/>
    <mergeCell ref="AX138:BA138"/>
    <mergeCell ref="H139:K139"/>
    <mergeCell ref="L139:O139"/>
    <mergeCell ref="P139:S139"/>
    <mergeCell ref="T139:W139"/>
    <mergeCell ref="X139:AA139"/>
    <mergeCell ref="AB139:AE139"/>
    <mergeCell ref="AF139:AI139"/>
    <mergeCell ref="AJ139:AM139"/>
    <mergeCell ref="AN139:AQ139"/>
    <mergeCell ref="AR139:AU139"/>
    <mergeCell ref="AV139:AY139"/>
    <mergeCell ref="AZ139:BC139"/>
    <mergeCell ref="H140:K140"/>
    <mergeCell ref="L140:O140"/>
    <mergeCell ref="P140:S140"/>
    <mergeCell ref="T140:W140"/>
    <mergeCell ref="X140:AA140"/>
    <mergeCell ref="AB140:AE140"/>
    <mergeCell ref="AF140:AI140"/>
    <mergeCell ref="AJ140:AM140"/>
    <mergeCell ref="AN140:AQ140"/>
    <mergeCell ref="AR140:AU140"/>
    <mergeCell ref="AV140:AY140"/>
    <mergeCell ref="AZ140:BC140"/>
    <mergeCell ref="I141:L141"/>
    <mergeCell ref="M141:P141"/>
    <mergeCell ref="Q141:T141"/>
    <mergeCell ref="U141:X141"/>
    <mergeCell ref="Y141:AB141"/>
    <mergeCell ref="AC141:AF141"/>
    <mergeCell ref="AG141:AJ141"/>
    <mergeCell ref="AK141:AN141"/>
    <mergeCell ref="AO141:AR141"/>
    <mergeCell ref="AS141:AV141"/>
    <mergeCell ref="AW141:AZ141"/>
    <mergeCell ref="I142:L142"/>
    <mergeCell ref="M142:P142"/>
    <mergeCell ref="Q142:T142"/>
    <mergeCell ref="U142:X142"/>
    <mergeCell ref="Y142:AB142"/>
    <mergeCell ref="AC142:AF142"/>
    <mergeCell ref="AG142:AJ142"/>
    <mergeCell ref="AK142:AN142"/>
    <mergeCell ref="AO142:AR142"/>
    <mergeCell ref="AS142:AV142"/>
    <mergeCell ref="AW142:AZ142"/>
    <mergeCell ref="K143:N143"/>
    <mergeCell ref="O143:R143"/>
    <mergeCell ref="S143:V143"/>
    <mergeCell ref="W143:Z143"/>
    <mergeCell ref="AA143:AD143"/>
    <mergeCell ref="AE143:AH143"/>
    <mergeCell ref="AI143:AL143"/>
    <mergeCell ref="AM143:AP143"/>
    <mergeCell ref="AQ143:AT143"/>
    <mergeCell ref="AU143:AX143"/>
    <mergeCell ref="K144:N144"/>
    <mergeCell ref="O144:R144"/>
    <mergeCell ref="S144:V144"/>
    <mergeCell ref="W144:Z144"/>
    <mergeCell ref="AA144:AD144"/>
    <mergeCell ref="AE144:AH144"/>
    <mergeCell ref="AI144:AL144"/>
    <mergeCell ref="AM144:AP144"/>
    <mergeCell ref="AQ144:AT144"/>
    <mergeCell ref="AU144:AX144"/>
    <mergeCell ref="P145:S145"/>
    <mergeCell ref="T145:AK145"/>
    <mergeCell ref="AL145:AO145"/>
    <mergeCell ref="AP145:AS145"/>
    <mergeCell ref="P146:S146"/>
    <mergeCell ref="T146:AK146"/>
    <mergeCell ref="AL146:AO146"/>
    <mergeCell ref="AP146:AS146"/>
    <mergeCell ref="A148:AX148"/>
    <mergeCell ref="B149:E149"/>
    <mergeCell ref="G149:J149"/>
    <mergeCell ref="L149:O149"/>
    <mergeCell ref="F150:I150"/>
    <mergeCell ref="J150:M150"/>
    <mergeCell ref="N150:Q150"/>
    <mergeCell ref="R150:U150"/>
    <mergeCell ref="V150:Y150"/>
    <mergeCell ref="Z150:AC150"/>
    <mergeCell ref="AD150:AG150"/>
    <mergeCell ref="AH150:AK150"/>
    <mergeCell ref="AL150:AO150"/>
    <mergeCell ref="AP150:AS150"/>
    <mergeCell ref="AT150:AW150"/>
    <mergeCell ref="AX150:BA150"/>
    <mergeCell ref="F151:I151"/>
    <mergeCell ref="J151:M151"/>
    <mergeCell ref="N151:Q151"/>
    <mergeCell ref="R151:U151"/>
    <mergeCell ref="V151:Y151"/>
    <mergeCell ref="Z151:AC151"/>
    <mergeCell ref="AD151:AG151"/>
    <mergeCell ref="AH151:AK151"/>
    <mergeCell ref="AL151:AO151"/>
    <mergeCell ref="AP151:AS151"/>
    <mergeCell ref="AT151:AW151"/>
    <mergeCell ref="AX151:BA151"/>
    <mergeCell ref="H152:K152"/>
    <mergeCell ref="L152:O152"/>
    <mergeCell ref="P152:S152"/>
    <mergeCell ref="T152:W152"/>
    <mergeCell ref="X152:AA152"/>
    <mergeCell ref="AB152:AE152"/>
    <mergeCell ref="AF152:AI152"/>
    <mergeCell ref="AJ152:AM152"/>
    <mergeCell ref="AN152:AQ152"/>
    <mergeCell ref="AR152:AU152"/>
    <mergeCell ref="AV152:AY152"/>
    <mergeCell ref="AZ152:BC152"/>
    <mergeCell ref="H153:K153"/>
    <mergeCell ref="L153:O153"/>
    <mergeCell ref="P153:S153"/>
    <mergeCell ref="T153:W153"/>
    <mergeCell ref="X153:AA153"/>
    <mergeCell ref="AB153:AE153"/>
    <mergeCell ref="AF153:AI153"/>
    <mergeCell ref="AJ153:AM153"/>
    <mergeCell ref="AN153:AQ153"/>
    <mergeCell ref="AR153:AU153"/>
    <mergeCell ref="AV153:AY153"/>
    <mergeCell ref="AZ153:BC153"/>
    <mergeCell ref="I154:L154"/>
    <mergeCell ref="M154:P154"/>
    <mergeCell ref="Q154:T154"/>
    <mergeCell ref="U154:X154"/>
    <mergeCell ref="Y154:AB154"/>
    <mergeCell ref="AC154:AF154"/>
    <mergeCell ref="AG154:AJ154"/>
    <mergeCell ref="AK154:AN154"/>
    <mergeCell ref="AO154:AR154"/>
    <mergeCell ref="AS154:AV154"/>
    <mergeCell ref="AW154:AZ154"/>
    <mergeCell ref="I155:L155"/>
    <mergeCell ref="M155:P155"/>
    <mergeCell ref="Q155:T155"/>
    <mergeCell ref="U155:X155"/>
    <mergeCell ref="Y155:AB155"/>
    <mergeCell ref="AC155:AF155"/>
    <mergeCell ref="AG155:AJ155"/>
    <mergeCell ref="AK155:AN155"/>
    <mergeCell ref="AO155:AR155"/>
    <mergeCell ref="AS155:AV155"/>
    <mergeCell ref="AW155:AZ155"/>
    <mergeCell ref="K156:N156"/>
    <mergeCell ref="O156:R156"/>
    <mergeCell ref="S156:V156"/>
    <mergeCell ref="W156:Z156"/>
    <mergeCell ref="AA156:AD156"/>
    <mergeCell ref="AE156:AH156"/>
    <mergeCell ref="AI156:AL156"/>
    <mergeCell ref="AM156:AP156"/>
    <mergeCell ref="AQ156:AT156"/>
    <mergeCell ref="AU156:AX156"/>
    <mergeCell ref="K157:N157"/>
    <mergeCell ref="O157:R157"/>
    <mergeCell ref="S157:V157"/>
    <mergeCell ref="W157:Z157"/>
    <mergeCell ref="AA157:AD157"/>
    <mergeCell ref="AE157:AH157"/>
    <mergeCell ref="AI157:AL157"/>
    <mergeCell ref="AM157:AP157"/>
    <mergeCell ref="AQ157:AT157"/>
    <mergeCell ref="AU157:AX157"/>
    <mergeCell ref="P158:S158"/>
    <mergeCell ref="T158:AK158"/>
    <mergeCell ref="AL158:AO158"/>
    <mergeCell ref="AP158:AS158"/>
    <mergeCell ref="P159:S159"/>
    <mergeCell ref="T159:AK159"/>
    <mergeCell ref="AL159:AO159"/>
    <mergeCell ref="AP159:AS159"/>
    <mergeCell ref="A161:AX161"/>
    <mergeCell ref="B162:E162"/>
    <mergeCell ref="G162:J162"/>
    <mergeCell ref="L162:O162"/>
    <mergeCell ref="F163:I163"/>
    <mergeCell ref="J163:M163"/>
    <mergeCell ref="N163:Q163"/>
    <mergeCell ref="R163:U163"/>
    <mergeCell ref="V163:Y163"/>
    <mergeCell ref="Z163:AC163"/>
    <mergeCell ref="AD163:AG163"/>
    <mergeCell ref="AH163:AK163"/>
    <mergeCell ref="AL163:AO163"/>
    <mergeCell ref="AP163:AS163"/>
    <mergeCell ref="AT163:AW163"/>
    <mergeCell ref="AX163:BA163"/>
    <mergeCell ref="F164:I164"/>
    <mergeCell ref="J164:M164"/>
    <mergeCell ref="N164:Q164"/>
    <mergeCell ref="R164:U164"/>
    <mergeCell ref="V164:Y164"/>
    <mergeCell ref="Z164:AC164"/>
    <mergeCell ref="AD164:AG164"/>
    <mergeCell ref="AH164:AK164"/>
    <mergeCell ref="AL164:AO164"/>
    <mergeCell ref="AP164:AS164"/>
    <mergeCell ref="AT164:AW164"/>
    <mergeCell ref="AX164:BA164"/>
    <mergeCell ref="H165:K165"/>
    <mergeCell ref="L165:O165"/>
    <mergeCell ref="P165:S165"/>
    <mergeCell ref="T165:W165"/>
    <mergeCell ref="X165:AA165"/>
    <mergeCell ref="AB165:AE165"/>
    <mergeCell ref="AF165:AI165"/>
    <mergeCell ref="AJ165:AM165"/>
    <mergeCell ref="AN165:AQ165"/>
    <mergeCell ref="AR165:AU165"/>
    <mergeCell ref="AV165:AY165"/>
    <mergeCell ref="AZ165:BC165"/>
    <mergeCell ref="H166:K166"/>
    <mergeCell ref="L166:O166"/>
    <mergeCell ref="P166:S166"/>
    <mergeCell ref="T166:W166"/>
    <mergeCell ref="X166:AA166"/>
    <mergeCell ref="AB166:AE166"/>
    <mergeCell ref="AF166:AI166"/>
    <mergeCell ref="AJ166:AM166"/>
    <mergeCell ref="AN166:AQ166"/>
    <mergeCell ref="AR166:AU166"/>
    <mergeCell ref="AV166:AY166"/>
    <mergeCell ref="AZ166:BC166"/>
    <mergeCell ref="I167:L167"/>
    <mergeCell ref="M167:P167"/>
    <mergeCell ref="Q167:T167"/>
    <mergeCell ref="U167:X167"/>
    <mergeCell ref="Y167:AB167"/>
    <mergeCell ref="AC167:AF167"/>
    <mergeCell ref="AG167:AJ167"/>
    <mergeCell ref="AK167:AN167"/>
    <mergeCell ref="AO167:AR167"/>
    <mergeCell ref="AS167:AV167"/>
    <mergeCell ref="AW167:AZ167"/>
    <mergeCell ref="I168:L168"/>
    <mergeCell ref="M168:P168"/>
    <mergeCell ref="Q168:T168"/>
    <mergeCell ref="U168:X168"/>
    <mergeCell ref="Y168:AB168"/>
    <mergeCell ref="AC168:AF168"/>
    <mergeCell ref="AG168:AJ168"/>
    <mergeCell ref="AK168:AN168"/>
    <mergeCell ref="AO168:AR168"/>
    <mergeCell ref="AS168:AV168"/>
    <mergeCell ref="AW168:AZ168"/>
    <mergeCell ref="K169:N169"/>
    <mergeCell ref="O169:R169"/>
    <mergeCell ref="S169:V169"/>
    <mergeCell ref="W169:Z169"/>
    <mergeCell ref="AA169:AD169"/>
    <mergeCell ref="AE169:AH169"/>
    <mergeCell ref="AI169:AL169"/>
    <mergeCell ref="AM169:AP169"/>
    <mergeCell ref="AQ169:AT169"/>
    <mergeCell ref="AU169:AX169"/>
    <mergeCell ref="K170:N170"/>
    <mergeCell ref="O170:R170"/>
    <mergeCell ref="S170:V170"/>
    <mergeCell ref="W170:Z170"/>
    <mergeCell ref="AA170:AD170"/>
    <mergeCell ref="AE170:AH170"/>
    <mergeCell ref="AI170:AL170"/>
    <mergeCell ref="AM170:AP170"/>
    <mergeCell ref="AQ170:AT170"/>
    <mergeCell ref="AU170:AX170"/>
    <mergeCell ref="P171:S171"/>
    <mergeCell ref="T171:AK171"/>
    <mergeCell ref="AL171:AO171"/>
    <mergeCell ref="AP171:AS171"/>
    <mergeCell ref="P172:S172"/>
    <mergeCell ref="T172:AK172"/>
    <mergeCell ref="AL172:AO172"/>
    <mergeCell ref="AP172:AS172"/>
    <mergeCell ref="A174:AX174"/>
    <mergeCell ref="B175:E175"/>
    <mergeCell ref="G175:J175"/>
    <mergeCell ref="L175:O175"/>
    <mergeCell ref="F176:I176"/>
    <mergeCell ref="J176:M176"/>
    <mergeCell ref="N176:Q176"/>
    <mergeCell ref="R176:U176"/>
    <mergeCell ref="V176:Y176"/>
    <mergeCell ref="Z176:AC176"/>
    <mergeCell ref="AD176:AG176"/>
    <mergeCell ref="AH176:AK176"/>
    <mergeCell ref="AL176:AO176"/>
    <mergeCell ref="AP176:AS176"/>
    <mergeCell ref="AT176:AW176"/>
    <mergeCell ref="AX176:BA176"/>
    <mergeCell ref="F177:I177"/>
    <mergeCell ref="J177:M177"/>
    <mergeCell ref="N177:Q177"/>
    <mergeCell ref="R177:U177"/>
    <mergeCell ref="V177:Y177"/>
    <mergeCell ref="Z177:AC177"/>
    <mergeCell ref="AD177:AG177"/>
    <mergeCell ref="AH177:AK177"/>
    <mergeCell ref="AL177:AO177"/>
    <mergeCell ref="AP177:AS177"/>
    <mergeCell ref="AT177:AW177"/>
    <mergeCell ref="AX177:BA177"/>
    <mergeCell ref="H178:K178"/>
    <mergeCell ref="L178:O178"/>
    <mergeCell ref="P178:S178"/>
    <mergeCell ref="T178:W178"/>
    <mergeCell ref="X178:AA178"/>
    <mergeCell ref="AB178:AE178"/>
    <mergeCell ref="AF178:AI178"/>
    <mergeCell ref="AJ178:AM178"/>
    <mergeCell ref="AN178:AQ178"/>
    <mergeCell ref="AR178:AU178"/>
    <mergeCell ref="AV178:AY178"/>
    <mergeCell ref="AZ178:BC178"/>
    <mergeCell ref="H179:K179"/>
    <mergeCell ref="L179:O179"/>
    <mergeCell ref="P179:S179"/>
    <mergeCell ref="T179:W179"/>
    <mergeCell ref="X179:AA179"/>
    <mergeCell ref="AB179:AE179"/>
    <mergeCell ref="AF179:AI179"/>
    <mergeCell ref="AJ179:AM179"/>
    <mergeCell ref="AN179:AQ179"/>
    <mergeCell ref="AR179:AU179"/>
    <mergeCell ref="AV179:AY179"/>
    <mergeCell ref="AZ179:BC179"/>
    <mergeCell ref="I180:L180"/>
    <mergeCell ref="M180:P180"/>
    <mergeCell ref="Q180:T180"/>
    <mergeCell ref="U180:X180"/>
    <mergeCell ref="Y180:AB180"/>
    <mergeCell ref="AC180:AF180"/>
    <mergeCell ref="AG180:AJ180"/>
    <mergeCell ref="AK180:AN180"/>
    <mergeCell ref="AO180:AR180"/>
    <mergeCell ref="AS180:AV180"/>
    <mergeCell ref="AW180:AZ180"/>
    <mergeCell ref="I181:L181"/>
    <mergeCell ref="M181:P181"/>
    <mergeCell ref="Q181:T181"/>
    <mergeCell ref="U181:X181"/>
    <mergeCell ref="Y181:AB181"/>
    <mergeCell ref="AC181:AF181"/>
    <mergeCell ref="AG181:AJ181"/>
    <mergeCell ref="AK181:AN181"/>
    <mergeCell ref="AO181:AR181"/>
    <mergeCell ref="AS181:AV181"/>
    <mergeCell ref="AW181:AZ181"/>
    <mergeCell ref="K182:N182"/>
    <mergeCell ref="O182:R182"/>
    <mergeCell ref="S182:V182"/>
    <mergeCell ref="W182:Z182"/>
    <mergeCell ref="AA182:AD182"/>
    <mergeCell ref="AE182:AH182"/>
    <mergeCell ref="AI182:AL182"/>
    <mergeCell ref="AM182:AP182"/>
    <mergeCell ref="AQ182:AT182"/>
    <mergeCell ref="AU182:AX182"/>
    <mergeCell ref="K183:N183"/>
    <mergeCell ref="O183:R183"/>
    <mergeCell ref="S183:V183"/>
    <mergeCell ref="W183:Z183"/>
    <mergeCell ref="AA183:AD183"/>
    <mergeCell ref="AE183:AH183"/>
    <mergeCell ref="AI183:AL183"/>
    <mergeCell ref="AM183:AP183"/>
    <mergeCell ref="AQ183:AT183"/>
    <mergeCell ref="AU183:AX183"/>
    <mergeCell ref="P184:S184"/>
    <mergeCell ref="T184:AK184"/>
    <mergeCell ref="AL184:AO184"/>
    <mergeCell ref="AP184:AS184"/>
    <mergeCell ref="P185:S185"/>
    <mergeCell ref="T185:AK185"/>
    <mergeCell ref="AL185:AO185"/>
    <mergeCell ref="AP185:AS185"/>
    <mergeCell ref="A187:AX187"/>
    <mergeCell ref="B188:E188"/>
    <mergeCell ref="G188:J188"/>
    <mergeCell ref="L188:O188"/>
    <mergeCell ref="F189:I189"/>
    <mergeCell ref="J189:M189"/>
    <mergeCell ref="N189:Q189"/>
    <mergeCell ref="R189:U189"/>
    <mergeCell ref="V189:Y189"/>
    <mergeCell ref="Z189:AC189"/>
    <mergeCell ref="AD189:AG189"/>
    <mergeCell ref="AH189:AK189"/>
    <mergeCell ref="AL189:AO189"/>
    <mergeCell ref="AP189:AS189"/>
    <mergeCell ref="AT189:AW189"/>
    <mergeCell ref="AX189:BA189"/>
    <mergeCell ref="F190:I190"/>
    <mergeCell ref="J190:M190"/>
    <mergeCell ref="N190:Q190"/>
    <mergeCell ref="R190:U190"/>
    <mergeCell ref="V190:Y190"/>
    <mergeCell ref="Z190:AC190"/>
    <mergeCell ref="AD190:AG190"/>
    <mergeCell ref="AH190:AK190"/>
    <mergeCell ref="AL190:AO190"/>
    <mergeCell ref="AP190:AS190"/>
    <mergeCell ref="AT190:AW190"/>
    <mergeCell ref="AX190:BA190"/>
    <mergeCell ref="H191:K191"/>
    <mergeCell ref="L191:O191"/>
    <mergeCell ref="P191:S191"/>
    <mergeCell ref="T191:W191"/>
    <mergeCell ref="X191:AA191"/>
    <mergeCell ref="AB191:AE191"/>
    <mergeCell ref="AF191:AI191"/>
    <mergeCell ref="AJ191:AM191"/>
    <mergeCell ref="AN191:AQ191"/>
    <mergeCell ref="AR191:AU191"/>
    <mergeCell ref="AV191:AY191"/>
    <mergeCell ref="AZ191:BC191"/>
    <mergeCell ref="H192:K192"/>
    <mergeCell ref="L192:O192"/>
    <mergeCell ref="P192:S192"/>
    <mergeCell ref="T192:W192"/>
    <mergeCell ref="X192:AA192"/>
    <mergeCell ref="AB192:AE192"/>
    <mergeCell ref="AF192:AI192"/>
    <mergeCell ref="AJ192:AM192"/>
    <mergeCell ref="AN192:AQ192"/>
    <mergeCell ref="AR192:AU192"/>
    <mergeCell ref="AV192:AY192"/>
    <mergeCell ref="AZ192:BC192"/>
    <mergeCell ref="I193:L193"/>
    <mergeCell ref="M193:P193"/>
    <mergeCell ref="Q193:T193"/>
    <mergeCell ref="U193:X193"/>
    <mergeCell ref="Y193:AB193"/>
    <mergeCell ref="AC193:AF193"/>
    <mergeCell ref="AG193:AJ193"/>
    <mergeCell ref="AK193:AN193"/>
    <mergeCell ref="AO193:AR193"/>
    <mergeCell ref="AS193:AV193"/>
    <mergeCell ref="AW193:AZ193"/>
    <mergeCell ref="I194:L194"/>
    <mergeCell ref="M194:P194"/>
    <mergeCell ref="Q194:T194"/>
    <mergeCell ref="U194:X194"/>
    <mergeCell ref="Y194:AB194"/>
    <mergeCell ref="AC194:AF194"/>
    <mergeCell ref="AG194:AJ194"/>
    <mergeCell ref="AK194:AN194"/>
    <mergeCell ref="AO194:AR194"/>
    <mergeCell ref="AS194:AV194"/>
    <mergeCell ref="AW194:AZ194"/>
    <mergeCell ref="K195:N195"/>
    <mergeCell ref="O195:R195"/>
    <mergeCell ref="S195:V195"/>
    <mergeCell ref="W195:Z195"/>
    <mergeCell ref="AA195:AD195"/>
    <mergeCell ref="AE195:AH195"/>
    <mergeCell ref="AI195:AL195"/>
    <mergeCell ref="AM195:AP195"/>
    <mergeCell ref="AQ195:AT195"/>
    <mergeCell ref="AU195:AX195"/>
    <mergeCell ref="K196:N196"/>
    <mergeCell ref="O196:R196"/>
    <mergeCell ref="S196:V196"/>
    <mergeCell ref="W196:Z196"/>
    <mergeCell ref="AA196:AD196"/>
    <mergeCell ref="AE196:AH196"/>
    <mergeCell ref="AI196:AL196"/>
    <mergeCell ref="AM196:AP196"/>
    <mergeCell ref="AQ196:AT196"/>
    <mergeCell ref="AU196:AX196"/>
    <mergeCell ref="P197:S197"/>
    <mergeCell ref="T197:AK197"/>
    <mergeCell ref="AL197:AO197"/>
    <mergeCell ref="AP197:AS197"/>
    <mergeCell ref="P198:S198"/>
    <mergeCell ref="T198:AK198"/>
    <mergeCell ref="AL198:AO198"/>
    <mergeCell ref="AP198:AS198"/>
    <mergeCell ref="A200:AX200"/>
    <mergeCell ref="B201:E201"/>
    <mergeCell ref="G201:J201"/>
    <mergeCell ref="L201:O201"/>
    <mergeCell ref="F202:I202"/>
    <mergeCell ref="J202:M202"/>
    <mergeCell ref="N202:Q202"/>
    <mergeCell ref="R202:U202"/>
    <mergeCell ref="V202:Y202"/>
    <mergeCell ref="Z202:AC202"/>
    <mergeCell ref="AD202:AG202"/>
    <mergeCell ref="AH202:AK202"/>
    <mergeCell ref="AL202:AO202"/>
    <mergeCell ref="AP202:AS202"/>
    <mergeCell ref="AT202:AW202"/>
    <mergeCell ref="AX202:BA202"/>
    <mergeCell ref="F203:I203"/>
    <mergeCell ref="J203:M203"/>
    <mergeCell ref="N203:Q203"/>
    <mergeCell ref="R203:U203"/>
    <mergeCell ref="V203:Y203"/>
    <mergeCell ref="Z203:AC203"/>
    <mergeCell ref="AD203:AG203"/>
    <mergeCell ref="AH203:AK203"/>
    <mergeCell ref="AL203:AO203"/>
    <mergeCell ref="AP203:AS203"/>
    <mergeCell ref="AT203:AW203"/>
    <mergeCell ref="AX203:BA203"/>
    <mergeCell ref="H204:K204"/>
    <mergeCell ref="L204:O204"/>
    <mergeCell ref="P204:S204"/>
    <mergeCell ref="T204:W204"/>
    <mergeCell ref="X204:AA204"/>
    <mergeCell ref="AB204:AE204"/>
    <mergeCell ref="AF204:AI204"/>
    <mergeCell ref="AJ204:AM204"/>
    <mergeCell ref="AN204:AQ204"/>
    <mergeCell ref="AR204:AU204"/>
    <mergeCell ref="AV204:AY204"/>
    <mergeCell ref="AZ204:BC204"/>
    <mergeCell ref="H205:K205"/>
    <mergeCell ref="L205:O205"/>
    <mergeCell ref="P205:S205"/>
    <mergeCell ref="T205:W205"/>
    <mergeCell ref="X205:AA205"/>
    <mergeCell ref="AB205:AE205"/>
    <mergeCell ref="AF205:AI205"/>
    <mergeCell ref="AJ205:AM205"/>
    <mergeCell ref="AN205:AQ205"/>
    <mergeCell ref="AR205:AU205"/>
    <mergeCell ref="AV205:AY205"/>
    <mergeCell ref="AZ205:BC205"/>
    <mergeCell ref="I206:L206"/>
    <mergeCell ref="M206:P206"/>
    <mergeCell ref="Q206:T206"/>
    <mergeCell ref="U206:X206"/>
    <mergeCell ref="Y206:AB206"/>
    <mergeCell ref="AC206:AF206"/>
    <mergeCell ref="AG206:AJ206"/>
    <mergeCell ref="AK206:AN206"/>
    <mergeCell ref="AO206:AR206"/>
    <mergeCell ref="AS206:AV206"/>
    <mergeCell ref="AW206:AZ206"/>
    <mergeCell ref="I207:L207"/>
    <mergeCell ref="M207:P207"/>
    <mergeCell ref="Q207:T207"/>
    <mergeCell ref="U207:X207"/>
    <mergeCell ref="Y207:AB207"/>
    <mergeCell ref="AC207:AF207"/>
    <mergeCell ref="AG207:AJ207"/>
    <mergeCell ref="AK207:AN207"/>
    <mergeCell ref="AO207:AR207"/>
    <mergeCell ref="AS207:AV207"/>
    <mergeCell ref="AW207:AZ207"/>
    <mergeCell ref="K208:N208"/>
    <mergeCell ref="O208:R208"/>
    <mergeCell ref="S208:V208"/>
    <mergeCell ref="W208:Z208"/>
    <mergeCell ref="AA208:AD208"/>
    <mergeCell ref="AE208:AH208"/>
    <mergeCell ref="AI208:AL208"/>
    <mergeCell ref="AM208:AP208"/>
    <mergeCell ref="AQ208:AT208"/>
    <mergeCell ref="AU208:AX208"/>
    <mergeCell ref="K209:N209"/>
    <mergeCell ref="O209:R209"/>
    <mergeCell ref="S209:V209"/>
    <mergeCell ref="W209:Z209"/>
    <mergeCell ref="AA209:AD209"/>
    <mergeCell ref="AE209:AH209"/>
    <mergeCell ref="AI209:AL209"/>
    <mergeCell ref="AM209:AP209"/>
    <mergeCell ref="AQ209:AT209"/>
    <mergeCell ref="AU209:AX209"/>
    <mergeCell ref="P210:S210"/>
    <mergeCell ref="T210:AK210"/>
    <mergeCell ref="AL210:AO210"/>
    <mergeCell ref="AP210:AS210"/>
    <mergeCell ref="P211:S211"/>
    <mergeCell ref="T211:AK211"/>
    <mergeCell ref="AL211:AO211"/>
    <mergeCell ref="AP211:AS211"/>
    <mergeCell ref="A213:AX213"/>
    <mergeCell ref="B214:E214"/>
    <mergeCell ref="G214:J214"/>
    <mergeCell ref="L214:O214"/>
    <mergeCell ref="F215:I215"/>
    <mergeCell ref="J215:M215"/>
    <mergeCell ref="N215:Q215"/>
    <mergeCell ref="R215:U215"/>
    <mergeCell ref="V215:Y215"/>
    <mergeCell ref="Z215:AC215"/>
    <mergeCell ref="AD215:AG215"/>
    <mergeCell ref="AH215:AK215"/>
    <mergeCell ref="AL215:AO215"/>
    <mergeCell ref="AP215:AS215"/>
    <mergeCell ref="AT215:AW215"/>
    <mergeCell ref="AX215:BA215"/>
    <mergeCell ref="F216:I216"/>
    <mergeCell ref="J216:M216"/>
    <mergeCell ref="N216:Q216"/>
    <mergeCell ref="R216:U216"/>
    <mergeCell ref="V216:Y216"/>
    <mergeCell ref="Z216:AC216"/>
    <mergeCell ref="AD216:AG216"/>
    <mergeCell ref="AH216:AK216"/>
    <mergeCell ref="AL216:AO216"/>
    <mergeCell ref="AP216:AS216"/>
    <mergeCell ref="AT216:AW216"/>
    <mergeCell ref="AX216:BA216"/>
    <mergeCell ref="H217:K217"/>
    <mergeCell ref="L217:O217"/>
    <mergeCell ref="P217:S217"/>
    <mergeCell ref="T217:W217"/>
    <mergeCell ref="X217:AA217"/>
    <mergeCell ref="AB217:AE217"/>
    <mergeCell ref="AF217:AI217"/>
    <mergeCell ref="AJ217:AM217"/>
    <mergeCell ref="AN217:AQ217"/>
    <mergeCell ref="AR217:AU217"/>
    <mergeCell ref="AV217:AY217"/>
    <mergeCell ref="AZ217:BC217"/>
    <mergeCell ref="H218:K218"/>
    <mergeCell ref="L218:O218"/>
    <mergeCell ref="P218:S218"/>
    <mergeCell ref="T218:W218"/>
    <mergeCell ref="X218:AA218"/>
    <mergeCell ref="AB218:AE218"/>
    <mergeCell ref="AF218:AI218"/>
    <mergeCell ref="AJ218:AM218"/>
    <mergeCell ref="AN218:AQ218"/>
    <mergeCell ref="AR218:AU218"/>
    <mergeCell ref="AV218:AY218"/>
    <mergeCell ref="AZ218:BC218"/>
    <mergeCell ref="I219:L219"/>
    <mergeCell ref="M219:P219"/>
    <mergeCell ref="Q219:T219"/>
    <mergeCell ref="U219:X219"/>
    <mergeCell ref="Y219:AB219"/>
    <mergeCell ref="AC219:AF219"/>
    <mergeCell ref="AG219:AJ219"/>
    <mergeCell ref="AK219:AN219"/>
    <mergeCell ref="AO219:AR219"/>
    <mergeCell ref="AS219:AV219"/>
    <mergeCell ref="AW219:AZ219"/>
    <mergeCell ref="I220:L220"/>
    <mergeCell ref="M220:P220"/>
    <mergeCell ref="Q220:T220"/>
    <mergeCell ref="U220:X220"/>
    <mergeCell ref="Y220:AB220"/>
    <mergeCell ref="AC220:AF220"/>
    <mergeCell ref="AG220:AJ220"/>
    <mergeCell ref="AK220:AN220"/>
    <mergeCell ref="AO220:AR220"/>
    <mergeCell ref="AS220:AV220"/>
    <mergeCell ref="AW220:AZ220"/>
    <mergeCell ref="K221:N221"/>
    <mergeCell ref="O221:R221"/>
    <mergeCell ref="S221:V221"/>
    <mergeCell ref="W221:Z221"/>
    <mergeCell ref="AA221:AD221"/>
    <mergeCell ref="AE221:AH221"/>
    <mergeCell ref="AI221:AL221"/>
    <mergeCell ref="AM221:AP221"/>
    <mergeCell ref="AQ221:AT221"/>
    <mergeCell ref="AU221:AX221"/>
    <mergeCell ref="K222:N222"/>
    <mergeCell ref="O222:R222"/>
    <mergeCell ref="S222:V222"/>
    <mergeCell ref="W222:Z222"/>
    <mergeCell ref="AA222:AD222"/>
    <mergeCell ref="AE222:AH222"/>
    <mergeCell ref="AI222:AL222"/>
    <mergeCell ref="AM222:AP222"/>
    <mergeCell ref="AQ222:AT222"/>
    <mergeCell ref="AU222:AX222"/>
    <mergeCell ref="P223:S223"/>
    <mergeCell ref="T223:AK223"/>
    <mergeCell ref="AL223:AO223"/>
    <mergeCell ref="AP223:AS223"/>
    <mergeCell ref="P224:S224"/>
    <mergeCell ref="T224:AK224"/>
    <mergeCell ref="AL224:AO224"/>
    <mergeCell ref="AP224:AS224"/>
    <mergeCell ref="A226:AX226"/>
    <mergeCell ref="B227:E227"/>
    <mergeCell ref="G227:J227"/>
    <mergeCell ref="L227:O227"/>
    <mergeCell ref="F228:I228"/>
    <mergeCell ref="J228:M228"/>
    <mergeCell ref="N228:Q228"/>
    <mergeCell ref="R228:U228"/>
    <mergeCell ref="V228:Y228"/>
    <mergeCell ref="Z228:AC228"/>
    <mergeCell ref="AD228:AG228"/>
    <mergeCell ref="AH228:AK228"/>
    <mergeCell ref="AL228:AO228"/>
    <mergeCell ref="AP228:AS228"/>
    <mergeCell ref="AT228:AW228"/>
    <mergeCell ref="AX228:BA228"/>
    <mergeCell ref="F229:I229"/>
    <mergeCell ref="J229:M229"/>
    <mergeCell ref="N229:Q229"/>
    <mergeCell ref="R229:U229"/>
    <mergeCell ref="V229:Y229"/>
    <mergeCell ref="Z229:AC229"/>
    <mergeCell ref="AD229:AG229"/>
    <mergeCell ref="AH229:AK229"/>
    <mergeCell ref="AL229:AO229"/>
    <mergeCell ref="AP229:AS229"/>
    <mergeCell ref="AT229:AW229"/>
    <mergeCell ref="AX229:BA229"/>
    <mergeCell ref="H230:K230"/>
    <mergeCell ref="L230:O230"/>
    <mergeCell ref="P230:S230"/>
    <mergeCell ref="T230:W230"/>
    <mergeCell ref="X230:AA230"/>
    <mergeCell ref="AB230:AE230"/>
    <mergeCell ref="AF230:AI230"/>
    <mergeCell ref="AJ230:AM230"/>
    <mergeCell ref="AN230:AQ230"/>
    <mergeCell ref="AR230:AU230"/>
    <mergeCell ref="AV230:AY230"/>
    <mergeCell ref="AZ230:BC230"/>
    <mergeCell ref="H231:K231"/>
    <mergeCell ref="L231:O231"/>
    <mergeCell ref="P231:S231"/>
    <mergeCell ref="T231:W231"/>
    <mergeCell ref="X231:AA231"/>
    <mergeCell ref="AB231:AE231"/>
    <mergeCell ref="AF231:AI231"/>
    <mergeCell ref="AJ231:AM231"/>
    <mergeCell ref="AN231:AQ231"/>
    <mergeCell ref="AR231:AU231"/>
    <mergeCell ref="AV231:AY231"/>
    <mergeCell ref="AZ231:BC231"/>
    <mergeCell ref="I232:L232"/>
    <mergeCell ref="M232:P232"/>
    <mergeCell ref="Q232:T232"/>
    <mergeCell ref="U232:X232"/>
    <mergeCell ref="Y232:AB232"/>
    <mergeCell ref="AC232:AF232"/>
    <mergeCell ref="AG232:AJ232"/>
    <mergeCell ref="AK232:AN232"/>
    <mergeCell ref="AO232:AR232"/>
    <mergeCell ref="AS232:AV232"/>
    <mergeCell ref="AW232:AZ232"/>
    <mergeCell ref="I233:L233"/>
    <mergeCell ref="M233:P233"/>
    <mergeCell ref="Q233:T233"/>
    <mergeCell ref="U233:X233"/>
    <mergeCell ref="Y233:AB233"/>
    <mergeCell ref="AC233:AF233"/>
    <mergeCell ref="AG233:AJ233"/>
    <mergeCell ref="AK233:AN233"/>
    <mergeCell ref="AO233:AR233"/>
    <mergeCell ref="AS233:AV233"/>
    <mergeCell ref="AW233:AZ233"/>
    <mergeCell ref="K234:N234"/>
    <mergeCell ref="O234:R234"/>
    <mergeCell ref="S234:V234"/>
    <mergeCell ref="W234:Z234"/>
    <mergeCell ref="AA234:AD234"/>
    <mergeCell ref="AE234:AH234"/>
    <mergeCell ref="AI234:AL234"/>
    <mergeCell ref="AM234:AP234"/>
    <mergeCell ref="AQ234:AT234"/>
    <mergeCell ref="AU234:AX234"/>
    <mergeCell ref="K235:N235"/>
    <mergeCell ref="O235:R235"/>
    <mergeCell ref="S235:V235"/>
    <mergeCell ref="W235:Z235"/>
    <mergeCell ref="AA235:AD235"/>
    <mergeCell ref="AE235:AH235"/>
    <mergeCell ref="AI235:AL235"/>
    <mergeCell ref="AM235:AP235"/>
    <mergeCell ref="AQ235:AT235"/>
    <mergeCell ref="AU235:AX235"/>
    <mergeCell ref="P236:S236"/>
    <mergeCell ref="T236:AK236"/>
    <mergeCell ref="AL236:AO236"/>
    <mergeCell ref="AP236:AS236"/>
    <mergeCell ref="P237:S237"/>
    <mergeCell ref="T237:AK237"/>
    <mergeCell ref="AL237:AO237"/>
    <mergeCell ref="AP237:AS237"/>
    <mergeCell ref="A239:AX239"/>
    <mergeCell ref="B240:E240"/>
    <mergeCell ref="G240:J240"/>
    <mergeCell ref="L240:O240"/>
    <mergeCell ref="F241:I241"/>
    <mergeCell ref="J241:M241"/>
    <mergeCell ref="N241:Q241"/>
    <mergeCell ref="R241:U241"/>
    <mergeCell ref="V241:Y241"/>
    <mergeCell ref="Z241:AC241"/>
    <mergeCell ref="AD241:AG241"/>
    <mergeCell ref="AH241:AK241"/>
    <mergeCell ref="AL241:AO241"/>
    <mergeCell ref="AP241:AS241"/>
    <mergeCell ref="AT241:AW241"/>
    <mergeCell ref="AX241:BA241"/>
    <mergeCell ref="F242:I242"/>
    <mergeCell ref="J242:M242"/>
    <mergeCell ref="N242:Q242"/>
    <mergeCell ref="R242:U242"/>
    <mergeCell ref="V242:Y242"/>
    <mergeCell ref="Z242:AC242"/>
    <mergeCell ref="AD242:AG242"/>
    <mergeCell ref="AH242:AK242"/>
    <mergeCell ref="AL242:AO242"/>
    <mergeCell ref="AP242:AS242"/>
    <mergeCell ref="AT242:AW242"/>
    <mergeCell ref="AX242:BA242"/>
    <mergeCell ref="H243:K243"/>
    <mergeCell ref="L243:O243"/>
    <mergeCell ref="P243:S243"/>
    <mergeCell ref="T243:W243"/>
    <mergeCell ref="X243:AA243"/>
    <mergeCell ref="AB243:AE243"/>
    <mergeCell ref="AF243:AI243"/>
    <mergeCell ref="AJ243:AM243"/>
    <mergeCell ref="AN243:AQ243"/>
    <mergeCell ref="AR243:AU243"/>
    <mergeCell ref="AV243:AY243"/>
    <mergeCell ref="AZ243:BC243"/>
    <mergeCell ref="H244:K244"/>
    <mergeCell ref="L244:O244"/>
    <mergeCell ref="P244:S244"/>
    <mergeCell ref="T244:W244"/>
    <mergeCell ref="X244:AA244"/>
    <mergeCell ref="AB244:AE244"/>
    <mergeCell ref="AF244:AI244"/>
    <mergeCell ref="AJ244:AM244"/>
    <mergeCell ref="AN244:AQ244"/>
    <mergeCell ref="AR244:AU244"/>
    <mergeCell ref="AV244:AY244"/>
    <mergeCell ref="AZ244:BC244"/>
    <mergeCell ref="I245:L245"/>
    <mergeCell ref="M245:P245"/>
    <mergeCell ref="Q245:T245"/>
    <mergeCell ref="U245:X245"/>
    <mergeCell ref="Y245:AB245"/>
    <mergeCell ref="AC245:AF245"/>
    <mergeCell ref="AG245:AJ245"/>
    <mergeCell ref="AK245:AN245"/>
    <mergeCell ref="AO245:AR245"/>
    <mergeCell ref="AS245:AV245"/>
    <mergeCell ref="AW245:AZ245"/>
    <mergeCell ref="I246:L246"/>
    <mergeCell ref="M246:P246"/>
    <mergeCell ref="Q246:T246"/>
    <mergeCell ref="U246:X246"/>
    <mergeCell ref="Y246:AB246"/>
    <mergeCell ref="AC246:AF246"/>
    <mergeCell ref="AG246:AJ246"/>
    <mergeCell ref="AK246:AN246"/>
    <mergeCell ref="AO246:AR246"/>
    <mergeCell ref="AS246:AV246"/>
    <mergeCell ref="AW246:AZ246"/>
    <mergeCell ref="K247:N247"/>
    <mergeCell ref="O247:R247"/>
    <mergeCell ref="S247:V247"/>
    <mergeCell ref="W247:Z247"/>
    <mergeCell ref="AA247:AD247"/>
    <mergeCell ref="AE247:AH247"/>
    <mergeCell ref="AI247:AL247"/>
    <mergeCell ref="AM247:AP247"/>
    <mergeCell ref="AQ247:AT247"/>
    <mergeCell ref="AU247:AX247"/>
    <mergeCell ref="K248:N248"/>
    <mergeCell ref="O248:R248"/>
    <mergeCell ref="S248:V248"/>
    <mergeCell ref="W248:Z248"/>
    <mergeCell ref="AA248:AD248"/>
    <mergeCell ref="AE248:AH248"/>
    <mergeCell ref="AI248:AL248"/>
    <mergeCell ref="AM248:AP248"/>
    <mergeCell ref="AQ248:AT248"/>
    <mergeCell ref="AU248:AX248"/>
    <mergeCell ref="P249:S249"/>
    <mergeCell ref="T249:AK249"/>
    <mergeCell ref="AL249:AO249"/>
    <mergeCell ref="AP249:AS249"/>
    <mergeCell ref="P250:S250"/>
    <mergeCell ref="T250:AK250"/>
    <mergeCell ref="AL250:AO250"/>
    <mergeCell ref="AP250:AS250"/>
    <mergeCell ref="A252:AX252"/>
    <mergeCell ref="B253:E253"/>
    <mergeCell ref="G253:J253"/>
    <mergeCell ref="L253:O253"/>
    <mergeCell ref="F254:I254"/>
    <mergeCell ref="J254:M254"/>
    <mergeCell ref="N254:Q254"/>
    <mergeCell ref="R254:U254"/>
    <mergeCell ref="V254:Y254"/>
    <mergeCell ref="Z254:AC254"/>
    <mergeCell ref="AD254:AG254"/>
    <mergeCell ref="AH254:AK254"/>
    <mergeCell ref="AL254:AO254"/>
    <mergeCell ref="AP254:AS254"/>
    <mergeCell ref="AT254:AW254"/>
    <mergeCell ref="AX254:BA254"/>
    <mergeCell ref="F255:I255"/>
    <mergeCell ref="J255:M255"/>
    <mergeCell ref="N255:Q255"/>
    <mergeCell ref="R255:U255"/>
    <mergeCell ref="V255:Y255"/>
    <mergeCell ref="Z255:AC255"/>
    <mergeCell ref="AD255:AG255"/>
    <mergeCell ref="AH255:AK255"/>
    <mergeCell ref="AL255:AO255"/>
    <mergeCell ref="AP255:AS255"/>
    <mergeCell ref="AT255:AW255"/>
    <mergeCell ref="AX255:BA255"/>
    <mergeCell ref="H256:K256"/>
    <mergeCell ref="L256:O256"/>
    <mergeCell ref="P256:S256"/>
    <mergeCell ref="T256:W256"/>
    <mergeCell ref="X256:AA256"/>
    <mergeCell ref="AB256:AE256"/>
    <mergeCell ref="AF256:AI256"/>
    <mergeCell ref="AJ256:AM256"/>
    <mergeCell ref="AN256:AQ256"/>
    <mergeCell ref="AR256:AU256"/>
    <mergeCell ref="AV256:AY256"/>
    <mergeCell ref="AZ256:BC256"/>
    <mergeCell ref="H257:K257"/>
    <mergeCell ref="L257:O257"/>
    <mergeCell ref="P257:S257"/>
    <mergeCell ref="T257:W257"/>
    <mergeCell ref="X257:AA257"/>
    <mergeCell ref="AB257:AE257"/>
    <mergeCell ref="AF257:AI257"/>
    <mergeCell ref="AJ257:AM257"/>
    <mergeCell ref="AN257:AQ257"/>
    <mergeCell ref="AR257:AU257"/>
    <mergeCell ref="AV257:AY257"/>
    <mergeCell ref="AZ257:BC257"/>
    <mergeCell ref="I258:L258"/>
    <mergeCell ref="M258:P258"/>
    <mergeCell ref="Q258:T258"/>
    <mergeCell ref="U258:X258"/>
    <mergeCell ref="Y258:AB258"/>
    <mergeCell ref="AC258:AF258"/>
    <mergeCell ref="AG258:AJ258"/>
    <mergeCell ref="AK258:AN258"/>
    <mergeCell ref="AO258:AR258"/>
    <mergeCell ref="AS258:AV258"/>
    <mergeCell ref="AW258:AZ258"/>
    <mergeCell ref="I259:L259"/>
    <mergeCell ref="M259:P259"/>
    <mergeCell ref="Q259:T259"/>
    <mergeCell ref="U259:X259"/>
    <mergeCell ref="Y259:AB259"/>
    <mergeCell ref="AC259:AF259"/>
    <mergeCell ref="AG259:AJ259"/>
    <mergeCell ref="AK259:AN259"/>
    <mergeCell ref="AO259:AR259"/>
    <mergeCell ref="AS259:AV259"/>
    <mergeCell ref="AW259:AZ259"/>
    <mergeCell ref="K260:N260"/>
    <mergeCell ref="O260:R260"/>
    <mergeCell ref="S260:V260"/>
    <mergeCell ref="W260:Z260"/>
    <mergeCell ref="AA260:AD260"/>
    <mergeCell ref="AE260:AH260"/>
    <mergeCell ref="AI260:AL260"/>
    <mergeCell ref="AM260:AP260"/>
    <mergeCell ref="AQ260:AT260"/>
    <mergeCell ref="AU260:AX260"/>
    <mergeCell ref="K261:N261"/>
    <mergeCell ref="O261:R261"/>
    <mergeCell ref="S261:V261"/>
    <mergeCell ref="W261:Z261"/>
    <mergeCell ref="AA261:AD261"/>
    <mergeCell ref="AE261:AH261"/>
    <mergeCell ref="AI261:AL261"/>
    <mergeCell ref="AM261:AP261"/>
    <mergeCell ref="AQ261:AT261"/>
    <mergeCell ref="AU261:AX261"/>
    <mergeCell ref="P262:S262"/>
    <mergeCell ref="T262:AK262"/>
    <mergeCell ref="AL262:AO262"/>
    <mergeCell ref="AP262:AS262"/>
    <mergeCell ref="P263:S263"/>
    <mergeCell ref="T263:AK263"/>
    <mergeCell ref="AL263:AO263"/>
    <mergeCell ref="AP263:AS263"/>
    <mergeCell ref="A265:AX265"/>
    <mergeCell ref="B266:E266"/>
    <mergeCell ref="G266:J266"/>
    <mergeCell ref="L266:O266"/>
    <mergeCell ref="F267:I267"/>
    <mergeCell ref="J267:M267"/>
    <mergeCell ref="N267:Q267"/>
    <mergeCell ref="R267:U267"/>
    <mergeCell ref="V267:Y267"/>
    <mergeCell ref="Z267:AC267"/>
    <mergeCell ref="AD267:AG267"/>
    <mergeCell ref="AH267:AK267"/>
    <mergeCell ref="AL267:AO267"/>
    <mergeCell ref="AP267:AS267"/>
    <mergeCell ref="AT267:AW267"/>
    <mergeCell ref="AX267:BA267"/>
    <mergeCell ref="F268:I268"/>
    <mergeCell ref="J268:M268"/>
    <mergeCell ref="N268:Q268"/>
    <mergeCell ref="R268:U268"/>
    <mergeCell ref="V268:Y268"/>
    <mergeCell ref="Z268:AC268"/>
    <mergeCell ref="AD268:AG268"/>
    <mergeCell ref="AH268:AK268"/>
    <mergeCell ref="AL268:AO268"/>
    <mergeCell ref="AP268:AS268"/>
    <mergeCell ref="AT268:AW268"/>
    <mergeCell ref="AX268:BA268"/>
    <mergeCell ref="H269:K269"/>
    <mergeCell ref="L269:O269"/>
    <mergeCell ref="P269:S269"/>
    <mergeCell ref="T269:W269"/>
    <mergeCell ref="X269:AA269"/>
    <mergeCell ref="AB269:AE269"/>
    <mergeCell ref="AF269:AI269"/>
    <mergeCell ref="AJ269:AM269"/>
    <mergeCell ref="AN269:AQ269"/>
    <mergeCell ref="AR269:AU269"/>
    <mergeCell ref="AV269:AY269"/>
    <mergeCell ref="AZ269:BC269"/>
    <mergeCell ref="H270:K270"/>
    <mergeCell ref="L270:O270"/>
    <mergeCell ref="P270:S270"/>
    <mergeCell ref="T270:W270"/>
    <mergeCell ref="X270:AA270"/>
    <mergeCell ref="AB270:AE270"/>
    <mergeCell ref="AF270:AI270"/>
    <mergeCell ref="AJ270:AM270"/>
    <mergeCell ref="AN270:AQ270"/>
    <mergeCell ref="AR270:AU270"/>
    <mergeCell ref="AV270:AY270"/>
    <mergeCell ref="AZ270:BC270"/>
    <mergeCell ref="I271:L271"/>
    <mergeCell ref="M271:P271"/>
    <mergeCell ref="Q271:T271"/>
    <mergeCell ref="U271:X271"/>
    <mergeCell ref="Y271:AB271"/>
    <mergeCell ref="AC271:AF271"/>
    <mergeCell ref="AG271:AJ271"/>
    <mergeCell ref="AK271:AN271"/>
    <mergeCell ref="AO271:AR271"/>
    <mergeCell ref="AS271:AV271"/>
    <mergeCell ref="AW271:AZ271"/>
    <mergeCell ref="I272:L272"/>
    <mergeCell ref="M272:P272"/>
    <mergeCell ref="Q272:T272"/>
    <mergeCell ref="U272:X272"/>
    <mergeCell ref="Y272:AB272"/>
    <mergeCell ref="AC272:AF272"/>
    <mergeCell ref="AG272:AJ272"/>
    <mergeCell ref="AK272:AN272"/>
    <mergeCell ref="AO272:AR272"/>
    <mergeCell ref="AS272:AV272"/>
    <mergeCell ref="AW272:AZ272"/>
    <mergeCell ref="K273:N273"/>
    <mergeCell ref="O273:R273"/>
    <mergeCell ref="S273:V273"/>
    <mergeCell ref="W273:Z273"/>
    <mergeCell ref="AA273:AD273"/>
    <mergeCell ref="AE273:AH273"/>
    <mergeCell ref="AI273:AL273"/>
    <mergeCell ref="AM273:AP273"/>
    <mergeCell ref="AQ273:AT273"/>
    <mergeCell ref="AU273:AX273"/>
    <mergeCell ref="K274:N274"/>
    <mergeCell ref="O274:R274"/>
    <mergeCell ref="S274:V274"/>
    <mergeCell ref="W274:Z274"/>
    <mergeCell ref="AA274:AD274"/>
    <mergeCell ref="AE274:AH274"/>
    <mergeCell ref="AI274:AL274"/>
    <mergeCell ref="AM274:AP274"/>
    <mergeCell ref="AQ274:AT274"/>
    <mergeCell ref="AU274:AX274"/>
    <mergeCell ref="P275:S275"/>
    <mergeCell ref="T275:AK275"/>
    <mergeCell ref="AL275:AO275"/>
    <mergeCell ref="AP275:AS275"/>
    <mergeCell ref="P276:S276"/>
    <mergeCell ref="T276:AK276"/>
    <mergeCell ref="AL276:AO276"/>
    <mergeCell ref="AP276:AS276"/>
    <mergeCell ref="A278:AX278"/>
    <mergeCell ref="B279:E279"/>
    <mergeCell ref="G279:J279"/>
    <mergeCell ref="L279:O279"/>
    <mergeCell ref="F280:I280"/>
    <mergeCell ref="J280:M280"/>
    <mergeCell ref="N280:Q280"/>
    <mergeCell ref="R280:U280"/>
    <mergeCell ref="V280:Y280"/>
    <mergeCell ref="Z280:AC280"/>
    <mergeCell ref="AD280:AG280"/>
    <mergeCell ref="AH280:AK280"/>
    <mergeCell ref="AL280:AO280"/>
    <mergeCell ref="AP280:AS280"/>
    <mergeCell ref="AT280:AW280"/>
    <mergeCell ref="AX280:BA280"/>
    <mergeCell ref="F281:I281"/>
    <mergeCell ref="J281:M281"/>
    <mergeCell ref="N281:Q281"/>
    <mergeCell ref="R281:U281"/>
    <mergeCell ref="V281:Y281"/>
    <mergeCell ref="Z281:AC281"/>
    <mergeCell ref="AD281:AG281"/>
    <mergeCell ref="AH281:AK281"/>
    <mergeCell ref="AL281:AO281"/>
    <mergeCell ref="AP281:AS281"/>
    <mergeCell ref="AT281:AW281"/>
    <mergeCell ref="AX281:BA281"/>
    <mergeCell ref="H282:K282"/>
    <mergeCell ref="L282:O282"/>
    <mergeCell ref="P282:S282"/>
    <mergeCell ref="T282:W282"/>
    <mergeCell ref="X282:AA282"/>
    <mergeCell ref="AB282:AE282"/>
    <mergeCell ref="AF282:AI282"/>
    <mergeCell ref="AJ282:AM282"/>
    <mergeCell ref="AN282:AQ282"/>
    <mergeCell ref="AR282:AU282"/>
    <mergeCell ref="AV282:AY282"/>
    <mergeCell ref="AZ282:BC282"/>
    <mergeCell ref="H283:K283"/>
    <mergeCell ref="L283:O283"/>
    <mergeCell ref="P283:S283"/>
    <mergeCell ref="T283:W283"/>
    <mergeCell ref="X283:AA283"/>
    <mergeCell ref="AB283:AE283"/>
    <mergeCell ref="AF283:AI283"/>
    <mergeCell ref="AJ283:AM283"/>
    <mergeCell ref="AN283:AQ283"/>
    <mergeCell ref="AR283:AU283"/>
    <mergeCell ref="AV283:AY283"/>
    <mergeCell ref="AZ283:BC283"/>
    <mergeCell ref="I284:L284"/>
    <mergeCell ref="M284:P284"/>
    <mergeCell ref="Q284:T284"/>
    <mergeCell ref="U284:X284"/>
    <mergeCell ref="Y284:AB284"/>
    <mergeCell ref="AC284:AF284"/>
    <mergeCell ref="AG284:AJ284"/>
    <mergeCell ref="AK284:AN284"/>
    <mergeCell ref="AO284:AR284"/>
    <mergeCell ref="AS284:AV284"/>
    <mergeCell ref="AW284:AZ284"/>
    <mergeCell ref="I285:L285"/>
    <mergeCell ref="M285:P285"/>
    <mergeCell ref="Q285:T285"/>
    <mergeCell ref="U285:X285"/>
    <mergeCell ref="Y285:AB285"/>
    <mergeCell ref="AC285:AF285"/>
    <mergeCell ref="AG285:AJ285"/>
    <mergeCell ref="AK285:AN285"/>
    <mergeCell ref="AO285:AR285"/>
    <mergeCell ref="AS285:AV285"/>
    <mergeCell ref="AW285:AZ285"/>
    <mergeCell ref="K286:N286"/>
    <mergeCell ref="O286:R286"/>
    <mergeCell ref="S286:V286"/>
    <mergeCell ref="W286:Z286"/>
    <mergeCell ref="AA286:AD286"/>
    <mergeCell ref="AE286:AH286"/>
    <mergeCell ref="AI286:AL286"/>
    <mergeCell ref="AM286:AP286"/>
    <mergeCell ref="AQ286:AT286"/>
    <mergeCell ref="AU286:AX286"/>
    <mergeCell ref="K287:N287"/>
    <mergeCell ref="O287:R287"/>
    <mergeCell ref="S287:V287"/>
    <mergeCell ref="W287:Z287"/>
    <mergeCell ref="AA287:AD287"/>
    <mergeCell ref="AE287:AH287"/>
    <mergeCell ref="AI287:AL287"/>
    <mergeCell ref="AM287:AP287"/>
    <mergeCell ref="AQ287:AT287"/>
    <mergeCell ref="AU287:AX287"/>
    <mergeCell ref="P288:S288"/>
    <mergeCell ref="T288:AK288"/>
    <mergeCell ref="AL288:AO288"/>
    <mergeCell ref="AP288:AS288"/>
    <mergeCell ref="P289:S289"/>
    <mergeCell ref="T289:AK289"/>
    <mergeCell ref="AL289:AO289"/>
    <mergeCell ref="AP289:AS289"/>
    <mergeCell ref="A291:AX291"/>
    <mergeCell ref="B292:E292"/>
    <mergeCell ref="G292:J292"/>
    <mergeCell ref="L292:O292"/>
    <mergeCell ref="F293:I293"/>
    <mergeCell ref="J293:M293"/>
    <mergeCell ref="N293:Q293"/>
    <mergeCell ref="R293:U293"/>
    <mergeCell ref="V293:Y293"/>
    <mergeCell ref="Z293:AC293"/>
    <mergeCell ref="AD293:AG293"/>
    <mergeCell ref="AH293:AK293"/>
    <mergeCell ref="AL293:AO293"/>
    <mergeCell ref="AP293:AS293"/>
    <mergeCell ref="AT293:AW293"/>
    <mergeCell ref="AX293:BA293"/>
    <mergeCell ref="F294:I294"/>
    <mergeCell ref="J294:M294"/>
    <mergeCell ref="N294:Q294"/>
    <mergeCell ref="R294:U294"/>
    <mergeCell ref="V294:Y294"/>
    <mergeCell ref="Z294:AC294"/>
    <mergeCell ref="AD294:AG294"/>
    <mergeCell ref="AH294:AK294"/>
    <mergeCell ref="AL294:AO294"/>
    <mergeCell ref="AP294:AS294"/>
    <mergeCell ref="AT294:AW294"/>
    <mergeCell ref="AX294:BA294"/>
    <mergeCell ref="H295:K295"/>
    <mergeCell ref="L295:O295"/>
    <mergeCell ref="P295:S295"/>
    <mergeCell ref="T295:W295"/>
    <mergeCell ref="X295:AA295"/>
    <mergeCell ref="AB295:AE295"/>
    <mergeCell ref="AF295:AI295"/>
    <mergeCell ref="AJ295:AM295"/>
    <mergeCell ref="AN295:AQ295"/>
    <mergeCell ref="AR295:AU295"/>
    <mergeCell ref="AV295:AY295"/>
    <mergeCell ref="AZ295:BC295"/>
    <mergeCell ref="H296:K296"/>
    <mergeCell ref="L296:O296"/>
    <mergeCell ref="P296:S296"/>
    <mergeCell ref="T296:W296"/>
    <mergeCell ref="X296:AA296"/>
    <mergeCell ref="AB296:AE296"/>
    <mergeCell ref="AF296:AI296"/>
    <mergeCell ref="AJ296:AM296"/>
    <mergeCell ref="AN296:AQ296"/>
    <mergeCell ref="AR296:AU296"/>
    <mergeCell ref="AV296:AY296"/>
    <mergeCell ref="AZ296:BC296"/>
    <mergeCell ref="I297:L297"/>
    <mergeCell ref="M297:P297"/>
    <mergeCell ref="Q297:T297"/>
    <mergeCell ref="U297:X297"/>
    <mergeCell ref="Y297:AB297"/>
    <mergeCell ref="AC297:AF297"/>
    <mergeCell ref="AG297:AJ297"/>
    <mergeCell ref="AK297:AN297"/>
    <mergeCell ref="AO297:AR297"/>
    <mergeCell ref="AS297:AV297"/>
    <mergeCell ref="AW297:AZ297"/>
    <mergeCell ref="I298:L298"/>
    <mergeCell ref="M298:P298"/>
    <mergeCell ref="Q298:T298"/>
    <mergeCell ref="U298:X298"/>
    <mergeCell ref="Y298:AB298"/>
    <mergeCell ref="AC298:AF298"/>
    <mergeCell ref="AG298:AJ298"/>
    <mergeCell ref="AK298:AN298"/>
    <mergeCell ref="AO298:AR298"/>
    <mergeCell ref="AS298:AV298"/>
    <mergeCell ref="AW298:AZ298"/>
    <mergeCell ref="K299:N299"/>
    <mergeCell ref="O299:R299"/>
    <mergeCell ref="S299:V299"/>
    <mergeCell ref="W299:Z299"/>
    <mergeCell ref="AA299:AD299"/>
    <mergeCell ref="AE299:AH299"/>
    <mergeCell ref="AI299:AL299"/>
    <mergeCell ref="AM299:AP299"/>
    <mergeCell ref="AQ299:AT299"/>
    <mergeCell ref="AU299:AX299"/>
    <mergeCell ref="K300:N300"/>
    <mergeCell ref="O300:R300"/>
    <mergeCell ref="S300:V300"/>
    <mergeCell ref="W300:Z300"/>
    <mergeCell ref="AA300:AD300"/>
    <mergeCell ref="AE300:AH300"/>
    <mergeCell ref="AI300:AL300"/>
    <mergeCell ref="AM300:AP300"/>
    <mergeCell ref="AQ300:AT300"/>
    <mergeCell ref="AU300:AX300"/>
    <mergeCell ref="P301:S301"/>
    <mergeCell ref="T301:AK301"/>
    <mergeCell ref="AL301:AO301"/>
    <mergeCell ref="AP301:AS301"/>
    <mergeCell ref="P302:S302"/>
    <mergeCell ref="T302:AK302"/>
    <mergeCell ref="AL302:AO302"/>
    <mergeCell ref="AP302:AS302"/>
    <mergeCell ref="A304:AX304"/>
    <mergeCell ref="B305:E305"/>
    <mergeCell ref="G305:J305"/>
    <mergeCell ref="L305:O305"/>
    <mergeCell ref="F306:I306"/>
    <mergeCell ref="J306:M306"/>
    <mergeCell ref="N306:Q306"/>
    <mergeCell ref="R306:U306"/>
    <mergeCell ref="V306:Y306"/>
    <mergeCell ref="Z306:AC306"/>
    <mergeCell ref="AD306:AG306"/>
    <mergeCell ref="AH306:AK306"/>
    <mergeCell ref="AL306:AO306"/>
    <mergeCell ref="AP306:AS306"/>
    <mergeCell ref="AT306:AW306"/>
    <mergeCell ref="AX306:BA306"/>
    <mergeCell ref="F307:I307"/>
    <mergeCell ref="J307:M307"/>
    <mergeCell ref="N307:Q307"/>
    <mergeCell ref="R307:U307"/>
    <mergeCell ref="V307:Y307"/>
    <mergeCell ref="Z307:AC307"/>
    <mergeCell ref="AD307:AG307"/>
    <mergeCell ref="AH307:AK307"/>
    <mergeCell ref="AL307:AO307"/>
    <mergeCell ref="AP307:AS307"/>
    <mergeCell ref="AT307:AW307"/>
    <mergeCell ref="AX307:BA307"/>
    <mergeCell ref="H308:K308"/>
    <mergeCell ref="L308:O308"/>
    <mergeCell ref="P308:S308"/>
    <mergeCell ref="T308:W308"/>
    <mergeCell ref="X308:AA308"/>
    <mergeCell ref="AB308:AE308"/>
    <mergeCell ref="AF308:AI308"/>
    <mergeCell ref="AJ308:AM308"/>
    <mergeCell ref="AN308:AQ308"/>
    <mergeCell ref="AR308:AU308"/>
    <mergeCell ref="AV308:AY308"/>
    <mergeCell ref="AZ308:BC308"/>
    <mergeCell ref="H309:K309"/>
    <mergeCell ref="L309:O309"/>
    <mergeCell ref="P309:S309"/>
    <mergeCell ref="T309:W309"/>
    <mergeCell ref="X309:AA309"/>
    <mergeCell ref="AB309:AE309"/>
    <mergeCell ref="AF309:AI309"/>
    <mergeCell ref="AJ309:AM309"/>
    <mergeCell ref="AN309:AQ309"/>
    <mergeCell ref="AR309:AU309"/>
    <mergeCell ref="AV309:AY309"/>
    <mergeCell ref="AZ309:BC309"/>
    <mergeCell ref="I310:L310"/>
    <mergeCell ref="M310:P310"/>
    <mergeCell ref="Q310:T310"/>
    <mergeCell ref="U310:X310"/>
    <mergeCell ref="Y310:AB310"/>
    <mergeCell ref="AC310:AF310"/>
    <mergeCell ref="AG310:AJ310"/>
    <mergeCell ref="AK310:AN310"/>
    <mergeCell ref="AO310:AR310"/>
    <mergeCell ref="AS310:AV310"/>
    <mergeCell ref="AW310:AZ310"/>
    <mergeCell ref="I311:L311"/>
    <mergeCell ref="M311:P311"/>
    <mergeCell ref="Q311:T311"/>
    <mergeCell ref="U311:X311"/>
    <mergeCell ref="Y311:AB311"/>
    <mergeCell ref="AC311:AF311"/>
    <mergeCell ref="AG311:AJ311"/>
    <mergeCell ref="AK311:AN311"/>
    <mergeCell ref="AO311:AR311"/>
    <mergeCell ref="AS311:AV311"/>
    <mergeCell ref="AW311:AZ311"/>
    <mergeCell ref="K312:N312"/>
    <mergeCell ref="O312:R312"/>
    <mergeCell ref="S312:V312"/>
    <mergeCell ref="W312:Z312"/>
    <mergeCell ref="AA312:AD312"/>
    <mergeCell ref="AE312:AH312"/>
    <mergeCell ref="AI312:AL312"/>
    <mergeCell ref="AM312:AP312"/>
    <mergeCell ref="AQ312:AT312"/>
    <mergeCell ref="AU312:AX312"/>
    <mergeCell ref="K313:N313"/>
    <mergeCell ref="O313:R313"/>
    <mergeCell ref="S313:V313"/>
    <mergeCell ref="W313:Z313"/>
    <mergeCell ref="AA313:AD313"/>
    <mergeCell ref="AE313:AH313"/>
    <mergeCell ref="AI313:AL313"/>
    <mergeCell ref="AM313:AP313"/>
    <mergeCell ref="AQ313:AT313"/>
    <mergeCell ref="AU313:AX313"/>
    <mergeCell ref="P314:S314"/>
    <mergeCell ref="T314:AK314"/>
    <mergeCell ref="AL314:AO314"/>
    <mergeCell ref="AP314:AS314"/>
    <mergeCell ref="P315:S315"/>
    <mergeCell ref="T315:AK315"/>
    <mergeCell ref="AL315:AO315"/>
    <mergeCell ref="AP315:AS315"/>
    <mergeCell ref="A317:AX317"/>
    <mergeCell ref="B318:E318"/>
    <mergeCell ref="G318:J318"/>
    <mergeCell ref="L318:O318"/>
    <mergeCell ref="F319:I319"/>
    <mergeCell ref="J319:M319"/>
    <mergeCell ref="N319:Q319"/>
    <mergeCell ref="R319:U319"/>
    <mergeCell ref="V319:Y319"/>
    <mergeCell ref="Z319:AC319"/>
    <mergeCell ref="AD319:AG319"/>
    <mergeCell ref="AH319:AK319"/>
    <mergeCell ref="AL319:AO319"/>
    <mergeCell ref="AP319:AS319"/>
    <mergeCell ref="AT319:AW319"/>
    <mergeCell ref="AX319:BA319"/>
    <mergeCell ref="F320:I320"/>
    <mergeCell ref="J320:M320"/>
    <mergeCell ref="N320:Q320"/>
    <mergeCell ref="R320:U320"/>
    <mergeCell ref="V320:Y320"/>
    <mergeCell ref="Z320:AC320"/>
    <mergeCell ref="AD320:AG320"/>
    <mergeCell ref="AH320:AK320"/>
    <mergeCell ref="AL320:AO320"/>
    <mergeCell ref="AP320:AS320"/>
    <mergeCell ref="AT320:AW320"/>
    <mergeCell ref="AX320:BA320"/>
    <mergeCell ref="H321:K321"/>
    <mergeCell ref="L321:O321"/>
    <mergeCell ref="P321:S321"/>
    <mergeCell ref="T321:W321"/>
    <mergeCell ref="X321:AA321"/>
    <mergeCell ref="AB321:AE321"/>
    <mergeCell ref="AF321:AI321"/>
    <mergeCell ref="AJ321:AM321"/>
    <mergeCell ref="AN321:AQ321"/>
    <mergeCell ref="AR321:AU321"/>
    <mergeCell ref="AV321:AY321"/>
    <mergeCell ref="AZ321:BC321"/>
    <mergeCell ref="H322:K322"/>
    <mergeCell ref="L322:O322"/>
    <mergeCell ref="P322:S322"/>
    <mergeCell ref="T322:W322"/>
    <mergeCell ref="X322:AA322"/>
    <mergeCell ref="AB322:AE322"/>
    <mergeCell ref="AF322:AI322"/>
    <mergeCell ref="AJ322:AM322"/>
    <mergeCell ref="AN322:AQ322"/>
    <mergeCell ref="AR322:AU322"/>
    <mergeCell ref="AV322:AY322"/>
    <mergeCell ref="AZ322:BC322"/>
    <mergeCell ref="I323:L323"/>
    <mergeCell ref="M323:P323"/>
    <mergeCell ref="Q323:T323"/>
    <mergeCell ref="U323:X323"/>
    <mergeCell ref="Y323:AB323"/>
    <mergeCell ref="AC323:AF323"/>
    <mergeCell ref="AG323:AJ323"/>
    <mergeCell ref="AK323:AN323"/>
    <mergeCell ref="AO323:AR323"/>
    <mergeCell ref="AS323:AV323"/>
    <mergeCell ref="AW323:AZ323"/>
    <mergeCell ref="I324:L324"/>
    <mergeCell ref="M324:P324"/>
    <mergeCell ref="Q324:T324"/>
    <mergeCell ref="U324:X324"/>
    <mergeCell ref="Y324:AB324"/>
    <mergeCell ref="AC324:AF324"/>
    <mergeCell ref="AG324:AJ324"/>
    <mergeCell ref="AK324:AN324"/>
    <mergeCell ref="AO324:AR324"/>
    <mergeCell ref="AS324:AV324"/>
    <mergeCell ref="AW324:AZ324"/>
    <mergeCell ref="K325:N325"/>
    <mergeCell ref="O325:R325"/>
    <mergeCell ref="S325:V325"/>
    <mergeCell ref="W325:Z325"/>
    <mergeCell ref="AA325:AD325"/>
    <mergeCell ref="AE325:AH325"/>
    <mergeCell ref="AI325:AL325"/>
    <mergeCell ref="AM325:AP325"/>
    <mergeCell ref="AQ325:AT325"/>
    <mergeCell ref="AU325:AX325"/>
    <mergeCell ref="K326:N326"/>
    <mergeCell ref="O326:R326"/>
    <mergeCell ref="S326:V326"/>
    <mergeCell ref="W326:Z326"/>
    <mergeCell ref="AA326:AD326"/>
    <mergeCell ref="AE326:AH326"/>
    <mergeCell ref="AI326:AL326"/>
    <mergeCell ref="AM326:AP326"/>
    <mergeCell ref="AQ326:AT326"/>
    <mergeCell ref="AU326:AX326"/>
    <mergeCell ref="P327:S327"/>
    <mergeCell ref="T327:AK327"/>
    <mergeCell ref="AL327:AO327"/>
    <mergeCell ref="AP327:AS327"/>
    <mergeCell ref="P328:S328"/>
    <mergeCell ref="T328:AK328"/>
    <mergeCell ref="AL328:AO328"/>
    <mergeCell ref="AP328:AS328"/>
    <mergeCell ref="A330:AX330"/>
    <mergeCell ref="B331:E331"/>
    <mergeCell ref="G331:J331"/>
    <mergeCell ref="L331:O331"/>
    <mergeCell ref="F332:I332"/>
    <mergeCell ref="J332:M332"/>
    <mergeCell ref="N332:Q332"/>
    <mergeCell ref="R332:U332"/>
    <mergeCell ref="V332:Y332"/>
    <mergeCell ref="Z332:AC332"/>
    <mergeCell ref="AD332:AG332"/>
    <mergeCell ref="AH332:AK332"/>
    <mergeCell ref="AL332:AO332"/>
    <mergeCell ref="AP332:AS332"/>
    <mergeCell ref="AT332:AW332"/>
    <mergeCell ref="AX332:BA332"/>
    <mergeCell ref="F333:I333"/>
    <mergeCell ref="J333:M333"/>
    <mergeCell ref="N333:Q333"/>
    <mergeCell ref="R333:U333"/>
    <mergeCell ref="V333:Y333"/>
    <mergeCell ref="Z333:AC333"/>
    <mergeCell ref="AD333:AG333"/>
    <mergeCell ref="AH333:AK333"/>
    <mergeCell ref="AL333:AO333"/>
    <mergeCell ref="AP333:AS333"/>
    <mergeCell ref="AT333:AW333"/>
    <mergeCell ref="AX333:BA333"/>
    <mergeCell ref="H334:K334"/>
    <mergeCell ref="L334:O334"/>
    <mergeCell ref="P334:S334"/>
    <mergeCell ref="T334:W334"/>
    <mergeCell ref="X334:AA334"/>
    <mergeCell ref="AB334:AE334"/>
    <mergeCell ref="AF334:AI334"/>
    <mergeCell ref="AJ334:AM334"/>
    <mergeCell ref="AN334:AQ334"/>
    <mergeCell ref="AR334:AU334"/>
    <mergeCell ref="AV334:AY334"/>
    <mergeCell ref="AZ334:BC334"/>
    <mergeCell ref="H335:K335"/>
    <mergeCell ref="L335:O335"/>
    <mergeCell ref="P335:S335"/>
    <mergeCell ref="T335:W335"/>
    <mergeCell ref="X335:AA335"/>
    <mergeCell ref="AB335:AE335"/>
    <mergeCell ref="AF335:AI335"/>
    <mergeCell ref="AJ335:AM335"/>
    <mergeCell ref="AN335:AQ335"/>
    <mergeCell ref="AR335:AU335"/>
    <mergeCell ref="AV335:AY335"/>
    <mergeCell ref="AZ335:BC335"/>
    <mergeCell ref="I336:L336"/>
    <mergeCell ref="M336:P336"/>
    <mergeCell ref="Q336:T336"/>
    <mergeCell ref="U336:X336"/>
    <mergeCell ref="Y336:AB336"/>
    <mergeCell ref="AC336:AF336"/>
    <mergeCell ref="AG336:AJ336"/>
    <mergeCell ref="AK336:AN336"/>
    <mergeCell ref="AO336:AR336"/>
    <mergeCell ref="AS336:AV336"/>
    <mergeCell ref="AW336:AZ336"/>
    <mergeCell ref="I337:L337"/>
    <mergeCell ref="M337:P337"/>
    <mergeCell ref="Q337:T337"/>
    <mergeCell ref="U337:X337"/>
    <mergeCell ref="Y337:AB337"/>
    <mergeCell ref="AC337:AF337"/>
    <mergeCell ref="AG337:AJ337"/>
    <mergeCell ref="AK337:AN337"/>
    <mergeCell ref="AO337:AR337"/>
    <mergeCell ref="AS337:AV337"/>
    <mergeCell ref="AW337:AZ337"/>
    <mergeCell ref="K338:N338"/>
    <mergeCell ref="O338:R338"/>
    <mergeCell ref="S338:V338"/>
    <mergeCell ref="W338:Z338"/>
    <mergeCell ref="AA338:AD338"/>
    <mergeCell ref="AE338:AH338"/>
    <mergeCell ref="AI338:AL338"/>
    <mergeCell ref="AM338:AP338"/>
    <mergeCell ref="AQ338:AT338"/>
    <mergeCell ref="AU338:AX338"/>
    <mergeCell ref="K339:N339"/>
    <mergeCell ref="O339:R339"/>
    <mergeCell ref="S339:V339"/>
    <mergeCell ref="W339:Z339"/>
    <mergeCell ref="AA339:AD339"/>
    <mergeCell ref="AE339:AH339"/>
    <mergeCell ref="AI339:AL339"/>
    <mergeCell ref="AM339:AP339"/>
    <mergeCell ref="AQ339:AT339"/>
    <mergeCell ref="AU339:AX339"/>
    <mergeCell ref="P340:S340"/>
    <mergeCell ref="T340:AK340"/>
    <mergeCell ref="AL340:AO340"/>
    <mergeCell ref="AP340:AS340"/>
    <mergeCell ref="P341:S341"/>
    <mergeCell ref="T341:AK341"/>
    <mergeCell ref="AL341:AO341"/>
    <mergeCell ref="AP341:AS341"/>
    <mergeCell ref="A343:AX343"/>
    <mergeCell ref="B344:E344"/>
    <mergeCell ref="G344:J344"/>
    <mergeCell ref="L344:O344"/>
    <mergeCell ref="F345:I345"/>
    <mergeCell ref="J345:M345"/>
    <mergeCell ref="N345:Q345"/>
    <mergeCell ref="R345:U345"/>
    <mergeCell ref="V345:Y345"/>
    <mergeCell ref="Z345:AC345"/>
    <mergeCell ref="AD345:AG345"/>
    <mergeCell ref="AH345:AK345"/>
    <mergeCell ref="AL345:AO345"/>
    <mergeCell ref="AP345:AS345"/>
    <mergeCell ref="AT345:AW345"/>
    <mergeCell ref="AX345:BA345"/>
    <mergeCell ref="F346:I346"/>
    <mergeCell ref="J346:M346"/>
    <mergeCell ref="N346:Q346"/>
    <mergeCell ref="R346:U346"/>
    <mergeCell ref="V346:Y346"/>
    <mergeCell ref="Z346:AC346"/>
    <mergeCell ref="AD346:AG346"/>
    <mergeCell ref="AH346:AK346"/>
    <mergeCell ref="AL346:AO346"/>
    <mergeCell ref="AP346:AS346"/>
    <mergeCell ref="AT346:AW346"/>
    <mergeCell ref="AX346:BA346"/>
    <mergeCell ref="H347:K347"/>
    <mergeCell ref="L347:O347"/>
    <mergeCell ref="P347:S347"/>
    <mergeCell ref="T347:W347"/>
    <mergeCell ref="X347:AA347"/>
    <mergeCell ref="AB347:AE347"/>
    <mergeCell ref="AF347:AI347"/>
    <mergeCell ref="AJ347:AM347"/>
    <mergeCell ref="AN347:AQ347"/>
    <mergeCell ref="AR347:AU347"/>
    <mergeCell ref="AV347:AY347"/>
    <mergeCell ref="AZ347:BC347"/>
    <mergeCell ref="H348:K348"/>
    <mergeCell ref="L348:O348"/>
    <mergeCell ref="P348:S348"/>
    <mergeCell ref="T348:W348"/>
    <mergeCell ref="X348:AA348"/>
    <mergeCell ref="AB348:AE348"/>
    <mergeCell ref="AF348:AI348"/>
    <mergeCell ref="AJ348:AM348"/>
    <mergeCell ref="AN348:AQ348"/>
    <mergeCell ref="AR348:AU348"/>
    <mergeCell ref="AV348:AY348"/>
    <mergeCell ref="AZ348:BC348"/>
    <mergeCell ref="I349:L349"/>
    <mergeCell ref="M349:P349"/>
    <mergeCell ref="Q349:T349"/>
    <mergeCell ref="U349:X349"/>
    <mergeCell ref="Y349:AB349"/>
    <mergeCell ref="AC349:AF349"/>
    <mergeCell ref="AG349:AJ349"/>
    <mergeCell ref="AK349:AN349"/>
    <mergeCell ref="AO349:AR349"/>
    <mergeCell ref="AS349:AV349"/>
    <mergeCell ref="AW349:AZ349"/>
    <mergeCell ref="I350:L350"/>
    <mergeCell ref="M350:P350"/>
    <mergeCell ref="Q350:T350"/>
    <mergeCell ref="U350:X350"/>
    <mergeCell ref="Y350:AB350"/>
    <mergeCell ref="AC350:AF350"/>
    <mergeCell ref="AG350:AJ350"/>
    <mergeCell ref="AK350:AN350"/>
    <mergeCell ref="AO350:AR350"/>
    <mergeCell ref="AS350:AV350"/>
    <mergeCell ref="AW350:AZ350"/>
    <mergeCell ref="K351:N351"/>
    <mergeCell ref="O351:R351"/>
    <mergeCell ref="S351:V351"/>
    <mergeCell ref="W351:Z351"/>
    <mergeCell ref="AA351:AD351"/>
    <mergeCell ref="AE351:AH351"/>
    <mergeCell ref="AI351:AL351"/>
    <mergeCell ref="AM351:AP351"/>
    <mergeCell ref="AQ351:AT351"/>
    <mergeCell ref="AU351:AX351"/>
    <mergeCell ref="K352:N352"/>
    <mergeCell ref="O352:R352"/>
    <mergeCell ref="S352:V352"/>
    <mergeCell ref="W352:Z352"/>
    <mergeCell ref="AA352:AD352"/>
    <mergeCell ref="AE352:AH352"/>
    <mergeCell ref="AI352:AL352"/>
    <mergeCell ref="AM352:AP352"/>
    <mergeCell ref="AQ352:AT352"/>
    <mergeCell ref="AU352:AX352"/>
    <mergeCell ref="P353:S353"/>
    <mergeCell ref="T353:AK353"/>
    <mergeCell ref="AL353:AO353"/>
    <mergeCell ref="AP353:AS353"/>
    <mergeCell ref="P354:S354"/>
    <mergeCell ref="T354:AK354"/>
    <mergeCell ref="AL354:AO354"/>
    <mergeCell ref="AP354:AS354"/>
    <mergeCell ref="A356:AX356"/>
    <mergeCell ref="B357:E357"/>
    <mergeCell ref="G357:J357"/>
    <mergeCell ref="L357:O357"/>
    <mergeCell ref="F358:I358"/>
    <mergeCell ref="J358:M358"/>
    <mergeCell ref="N358:Q358"/>
    <mergeCell ref="R358:U358"/>
    <mergeCell ref="V358:Y358"/>
    <mergeCell ref="Z358:AC358"/>
    <mergeCell ref="AD358:AG358"/>
    <mergeCell ref="AH358:AK358"/>
    <mergeCell ref="AL358:AO358"/>
    <mergeCell ref="AP358:AS358"/>
    <mergeCell ref="AT358:AW358"/>
    <mergeCell ref="AX358:BA358"/>
    <mergeCell ref="F359:I359"/>
    <mergeCell ref="J359:M359"/>
    <mergeCell ref="N359:Q359"/>
    <mergeCell ref="R359:U359"/>
    <mergeCell ref="V359:Y359"/>
    <mergeCell ref="Z359:AC359"/>
    <mergeCell ref="AD359:AG359"/>
    <mergeCell ref="AH359:AK359"/>
    <mergeCell ref="AL359:AO359"/>
    <mergeCell ref="AP359:AS359"/>
    <mergeCell ref="AT359:AW359"/>
    <mergeCell ref="AX359:BA359"/>
    <mergeCell ref="H360:K360"/>
    <mergeCell ref="L360:O360"/>
    <mergeCell ref="P360:S360"/>
    <mergeCell ref="T360:W360"/>
    <mergeCell ref="X360:AA360"/>
    <mergeCell ref="AB360:AE360"/>
    <mergeCell ref="AF360:AI360"/>
    <mergeCell ref="AJ360:AM360"/>
    <mergeCell ref="AN360:AQ360"/>
    <mergeCell ref="AR360:AU360"/>
    <mergeCell ref="AV360:AY360"/>
    <mergeCell ref="AZ360:BC360"/>
    <mergeCell ref="H361:K361"/>
    <mergeCell ref="L361:O361"/>
    <mergeCell ref="P361:S361"/>
    <mergeCell ref="T361:W361"/>
    <mergeCell ref="X361:AA361"/>
    <mergeCell ref="AB361:AE361"/>
    <mergeCell ref="AF361:AI361"/>
    <mergeCell ref="AJ361:AM361"/>
    <mergeCell ref="AN361:AQ361"/>
    <mergeCell ref="AR361:AU361"/>
    <mergeCell ref="AV361:AY361"/>
    <mergeCell ref="AZ361:BC361"/>
    <mergeCell ref="I362:L362"/>
    <mergeCell ref="M362:P362"/>
    <mergeCell ref="Q362:T362"/>
    <mergeCell ref="U362:X362"/>
    <mergeCell ref="Y362:AB362"/>
    <mergeCell ref="AC362:AF362"/>
    <mergeCell ref="AG362:AJ362"/>
    <mergeCell ref="AK362:AN362"/>
    <mergeCell ref="AO362:AR362"/>
    <mergeCell ref="AS362:AV362"/>
    <mergeCell ref="AW362:AZ362"/>
    <mergeCell ref="I363:L363"/>
    <mergeCell ref="M363:P363"/>
    <mergeCell ref="Q363:T363"/>
    <mergeCell ref="U363:X363"/>
    <mergeCell ref="Y363:AB363"/>
    <mergeCell ref="AC363:AF363"/>
    <mergeCell ref="AG363:AJ363"/>
    <mergeCell ref="AK363:AN363"/>
    <mergeCell ref="AO363:AR363"/>
    <mergeCell ref="AS363:AV363"/>
    <mergeCell ref="AW363:AZ363"/>
    <mergeCell ref="K364:N364"/>
    <mergeCell ref="O364:R364"/>
    <mergeCell ref="S364:V364"/>
    <mergeCell ref="W364:Z364"/>
    <mergeCell ref="AA364:AD364"/>
    <mergeCell ref="AE364:AH364"/>
    <mergeCell ref="AI364:AL364"/>
    <mergeCell ref="AM364:AP364"/>
    <mergeCell ref="AQ364:AT364"/>
    <mergeCell ref="AU364:AX364"/>
    <mergeCell ref="K365:N365"/>
    <mergeCell ref="O365:R365"/>
    <mergeCell ref="S365:V365"/>
    <mergeCell ref="W365:Z365"/>
    <mergeCell ref="AA365:AD365"/>
    <mergeCell ref="AE365:AH365"/>
    <mergeCell ref="AI365:AL365"/>
    <mergeCell ref="AM365:AP365"/>
    <mergeCell ref="AQ365:AT365"/>
    <mergeCell ref="AU365:AX365"/>
    <mergeCell ref="P366:S366"/>
    <mergeCell ref="T366:AK366"/>
    <mergeCell ref="AL366:AO366"/>
    <mergeCell ref="AP366:AS366"/>
    <mergeCell ref="P367:S367"/>
    <mergeCell ref="T367:AK367"/>
    <mergeCell ref="AL367:AO367"/>
    <mergeCell ref="AP367:AS367"/>
    <mergeCell ref="A369:AX369"/>
    <mergeCell ref="B370:E370"/>
    <mergeCell ref="G370:J370"/>
    <mergeCell ref="L370:O370"/>
    <mergeCell ref="F371:I371"/>
    <mergeCell ref="J371:M371"/>
    <mergeCell ref="N371:Q371"/>
    <mergeCell ref="R371:U371"/>
    <mergeCell ref="V371:Y371"/>
    <mergeCell ref="Z371:AC371"/>
    <mergeCell ref="AD371:AG371"/>
    <mergeCell ref="AH371:AK371"/>
    <mergeCell ref="AL371:AO371"/>
    <mergeCell ref="AP371:AS371"/>
    <mergeCell ref="AT371:AW371"/>
    <mergeCell ref="AX371:BA371"/>
    <mergeCell ref="F372:I372"/>
    <mergeCell ref="J372:M372"/>
    <mergeCell ref="N372:Q372"/>
    <mergeCell ref="R372:U372"/>
    <mergeCell ref="V372:Y372"/>
    <mergeCell ref="Z372:AC372"/>
    <mergeCell ref="AD372:AG372"/>
    <mergeCell ref="AH372:AK372"/>
    <mergeCell ref="AL372:AO372"/>
    <mergeCell ref="AP372:AS372"/>
    <mergeCell ref="AT372:AW372"/>
    <mergeCell ref="AX372:BA372"/>
    <mergeCell ref="H373:K373"/>
    <mergeCell ref="L373:O373"/>
    <mergeCell ref="P373:S373"/>
    <mergeCell ref="T373:W373"/>
    <mergeCell ref="X373:AA373"/>
    <mergeCell ref="AB373:AE373"/>
    <mergeCell ref="AF373:AI373"/>
    <mergeCell ref="AJ373:AM373"/>
    <mergeCell ref="AN373:AQ373"/>
    <mergeCell ref="AR373:AU373"/>
    <mergeCell ref="AV373:AY373"/>
    <mergeCell ref="AZ373:BC373"/>
    <mergeCell ref="H374:K374"/>
    <mergeCell ref="L374:O374"/>
    <mergeCell ref="P374:S374"/>
    <mergeCell ref="T374:W374"/>
    <mergeCell ref="X374:AA374"/>
    <mergeCell ref="AB374:AE374"/>
    <mergeCell ref="AF374:AI374"/>
    <mergeCell ref="AJ374:AM374"/>
    <mergeCell ref="AN374:AQ374"/>
    <mergeCell ref="AR374:AU374"/>
    <mergeCell ref="AV374:AY374"/>
    <mergeCell ref="AZ374:BC374"/>
    <mergeCell ref="I375:L375"/>
    <mergeCell ref="M375:P375"/>
    <mergeCell ref="Q375:T375"/>
    <mergeCell ref="U375:X375"/>
    <mergeCell ref="Y375:AB375"/>
    <mergeCell ref="AC375:AF375"/>
    <mergeCell ref="AG375:AJ375"/>
    <mergeCell ref="AK375:AN375"/>
    <mergeCell ref="AO375:AR375"/>
    <mergeCell ref="AS375:AV375"/>
    <mergeCell ref="AW375:AZ375"/>
    <mergeCell ref="I376:L376"/>
    <mergeCell ref="M376:P376"/>
    <mergeCell ref="Q376:T376"/>
    <mergeCell ref="U376:X376"/>
    <mergeCell ref="Y376:AB376"/>
    <mergeCell ref="AC376:AF376"/>
    <mergeCell ref="AG376:AJ376"/>
    <mergeCell ref="AK376:AN376"/>
    <mergeCell ref="AO376:AR376"/>
    <mergeCell ref="AS376:AV376"/>
    <mergeCell ref="AW376:AZ376"/>
    <mergeCell ref="K377:N377"/>
    <mergeCell ref="O377:R377"/>
    <mergeCell ref="S377:V377"/>
    <mergeCell ref="W377:Z377"/>
    <mergeCell ref="AA377:AD377"/>
    <mergeCell ref="AE377:AH377"/>
    <mergeCell ref="AI377:AL377"/>
    <mergeCell ref="AM377:AP377"/>
    <mergeCell ref="AQ377:AT377"/>
    <mergeCell ref="AU377:AX377"/>
    <mergeCell ref="K378:N378"/>
    <mergeCell ref="O378:R378"/>
    <mergeCell ref="S378:V378"/>
    <mergeCell ref="W378:Z378"/>
    <mergeCell ref="AA378:AD378"/>
    <mergeCell ref="AE378:AH378"/>
    <mergeCell ref="AI378:AL378"/>
    <mergeCell ref="AM378:AP378"/>
    <mergeCell ref="AQ378:AT378"/>
    <mergeCell ref="AU378:AX378"/>
    <mergeCell ref="P379:S379"/>
    <mergeCell ref="T379:AK379"/>
    <mergeCell ref="AL379:AO379"/>
    <mergeCell ref="AP379:AS379"/>
    <mergeCell ref="P380:S380"/>
    <mergeCell ref="T380:AK380"/>
    <mergeCell ref="AL380:AO380"/>
    <mergeCell ref="AP380:AS380"/>
    <mergeCell ref="A382:AX382"/>
    <mergeCell ref="B383:E383"/>
    <mergeCell ref="G383:J383"/>
    <mergeCell ref="L383:O383"/>
    <mergeCell ref="F384:I384"/>
    <mergeCell ref="J384:M384"/>
    <mergeCell ref="N384:Q384"/>
    <mergeCell ref="R384:U384"/>
    <mergeCell ref="V384:Y384"/>
    <mergeCell ref="Z384:AC384"/>
    <mergeCell ref="AD384:AG384"/>
    <mergeCell ref="AH384:AK384"/>
    <mergeCell ref="AL384:AO384"/>
    <mergeCell ref="AP384:AS384"/>
    <mergeCell ref="AT384:AW384"/>
    <mergeCell ref="AX384:BA384"/>
    <mergeCell ref="F385:I385"/>
    <mergeCell ref="J385:M385"/>
    <mergeCell ref="N385:Q385"/>
    <mergeCell ref="R385:U385"/>
    <mergeCell ref="V385:Y385"/>
    <mergeCell ref="Z385:AC385"/>
    <mergeCell ref="AD385:AG385"/>
    <mergeCell ref="AH385:AK385"/>
    <mergeCell ref="AL385:AO385"/>
    <mergeCell ref="AP385:AS385"/>
    <mergeCell ref="AT385:AW385"/>
    <mergeCell ref="AX385:BA385"/>
    <mergeCell ref="H386:K386"/>
    <mergeCell ref="L386:O386"/>
    <mergeCell ref="P386:S386"/>
    <mergeCell ref="T386:W386"/>
    <mergeCell ref="X386:AA386"/>
    <mergeCell ref="AB386:AE386"/>
    <mergeCell ref="AF386:AI386"/>
    <mergeCell ref="AJ386:AM386"/>
    <mergeCell ref="AN386:AQ386"/>
    <mergeCell ref="AR386:AU386"/>
    <mergeCell ref="AV386:AY386"/>
    <mergeCell ref="AZ386:BC386"/>
    <mergeCell ref="H387:K387"/>
    <mergeCell ref="L387:O387"/>
    <mergeCell ref="P387:S387"/>
    <mergeCell ref="T387:W387"/>
    <mergeCell ref="X387:AA387"/>
    <mergeCell ref="AB387:AE387"/>
    <mergeCell ref="AF387:AI387"/>
    <mergeCell ref="AJ387:AM387"/>
    <mergeCell ref="AN387:AQ387"/>
    <mergeCell ref="AR387:AU387"/>
    <mergeCell ref="AV387:AY387"/>
    <mergeCell ref="AZ387:BC387"/>
    <mergeCell ref="I388:L388"/>
    <mergeCell ref="M388:P388"/>
    <mergeCell ref="Q388:T388"/>
    <mergeCell ref="U388:X388"/>
    <mergeCell ref="Y388:AB388"/>
    <mergeCell ref="AC388:AF388"/>
    <mergeCell ref="AG388:AJ388"/>
    <mergeCell ref="AK388:AN388"/>
    <mergeCell ref="AO388:AR388"/>
    <mergeCell ref="AS388:AV388"/>
    <mergeCell ref="AW388:AZ388"/>
    <mergeCell ref="I389:L389"/>
    <mergeCell ref="M389:P389"/>
    <mergeCell ref="Q389:T389"/>
    <mergeCell ref="U389:X389"/>
    <mergeCell ref="Y389:AB389"/>
    <mergeCell ref="AC389:AF389"/>
    <mergeCell ref="AG389:AJ389"/>
    <mergeCell ref="AK389:AN389"/>
    <mergeCell ref="AO389:AR389"/>
    <mergeCell ref="AS389:AV389"/>
    <mergeCell ref="AW389:AZ389"/>
    <mergeCell ref="K390:N390"/>
    <mergeCell ref="O390:R390"/>
    <mergeCell ref="S390:V390"/>
    <mergeCell ref="W390:Z390"/>
    <mergeCell ref="AA390:AD390"/>
    <mergeCell ref="AE390:AH390"/>
    <mergeCell ref="AI390:AL390"/>
    <mergeCell ref="AM390:AP390"/>
    <mergeCell ref="AQ390:AT390"/>
    <mergeCell ref="AU390:AX390"/>
    <mergeCell ref="K391:N391"/>
    <mergeCell ref="O391:R391"/>
    <mergeCell ref="S391:V391"/>
    <mergeCell ref="W391:Z391"/>
    <mergeCell ref="AA391:AD391"/>
    <mergeCell ref="AE391:AH391"/>
    <mergeCell ref="AI391:AL391"/>
    <mergeCell ref="AM391:AP391"/>
    <mergeCell ref="AQ391:AT391"/>
    <mergeCell ref="AU391:AX391"/>
    <mergeCell ref="P392:S392"/>
    <mergeCell ref="T392:AK392"/>
    <mergeCell ref="AL392:AO392"/>
    <mergeCell ref="AP392:AS392"/>
    <mergeCell ref="P393:S393"/>
    <mergeCell ref="T393:AK393"/>
    <mergeCell ref="AL393:AO393"/>
    <mergeCell ref="AP393:AS393"/>
  </mergeCells>
  <dataValidations count="1">
    <dataValidation allowBlank="true" error="一覧にないキーIDです。" errorStyle="stop" errorTitle="キーIDが不正です" operator="between" showDropDown="false" showErrorMessage="false" showInputMessage="false" sqref="B6 G6 L6 B19 G19 L19 B32 G32 L32 B45 G45 L45 B58 G58 L58 B71 G71 L71 B84 G84 L84 B97 G97 L97 B110 G110 L110 B123 G123 L123 B136 G136 L136 B149 G149 L149 B162 G162 L162 B175 G175 L175 B188 G188 L188 B201 G201 L201 B214 G214 L214 B227 G227 L227 B240 G240 L240 B253 G253 L253 B266 G266 L266 B279 G279 L279 B292 G292 L292 B305 G305 L305 B318 G318 L318 B331 G331 L331 B344 G344 L344 B357 G357 L357 B370 G370 L370 B383 G383 L383" type="list">
      <formula1>_キー一覧!$A$1:$A$53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2" width="10"/>
    <col collapsed="false" customWidth="true" hidden="false" outlineLevel="0" max="2" min="2" style="2" width="14"/>
    <col collapsed="false" customWidth="true" hidden="false" outlineLevel="0" max="6" min="3" style="2" width="11"/>
    <col collapsed="false" customWidth="true" hidden="false" outlineLevel="0" max="7" min="7" style="2" width="12"/>
    <col collapsed="false" customWidth="true" hidden="false" outlineLevel="0" max="8" min="8" style="2" width="30"/>
  </cols>
  <sheetData>
    <row r="1" customFormat="false" ht="17.25" hidden="false" customHeight="true" outlineLevel="0" collapsed="false">
      <c r="A1" s="17" t="s">
        <v>349</v>
      </c>
    </row>
    <row r="2" customFormat="false" ht="15" hidden="false" customHeight="true" outlineLevel="0" collapsed="false">
      <c r="A2" s="4" t="s">
        <v>350</v>
      </c>
    </row>
    <row r="3" customFormat="false" ht="15" hidden="false" customHeight="true" outlineLevel="0" collapsed="false">
      <c r="A3" s="4" t="s">
        <v>351</v>
      </c>
    </row>
    <row r="5" customFormat="false" ht="16.5" hidden="false" customHeight="true" outlineLevel="0" collapsed="false">
      <c r="A5" s="18" t="s">
        <v>352</v>
      </c>
      <c r="B5" s="18" t="s">
        <v>353</v>
      </c>
      <c r="C5" s="18" t="s">
        <v>354</v>
      </c>
      <c r="D5" s="18" t="s">
        <v>355</v>
      </c>
      <c r="E5" s="18" t="s">
        <v>356</v>
      </c>
      <c r="F5" s="18" t="s">
        <v>357</v>
      </c>
      <c r="G5" s="18" t="s">
        <v>358</v>
      </c>
      <c r="H5" s="18" t="s">
        <v>359</v>
      </c>
    </row>
    <row r="6" customFormat="false" ht="15" hidden="false" customHeight="true" outlineLevel="0" collapsed="false">
      <c r="A6" s="19" t="s">
        <v>360</v>
      </c>
      <c r="B6" s="19" t="s">
        <v>361</v>
      </c>
      <c r="C6" s="20" t="s">
        <v>16</v>
      </c>
      <c r="D6" s="20" t="s">
        <v>32</v>
      </c>
      <c r="E6" s="19"/>
      <c r="F6" s="19"/>
      <c r="G6" s="19" t="s">
        <v>362</v>
      </c>
      <c r="H6" s="19" t="s">
        <v>363</v>
      </c>
    </row>
    <row r="7" customFormat="false" ht="15" hidden="false" customHeight="true" outlineLevel="0" collapsed="false">
      <c r="A7" s="21" t="s">
        <v>98</v>
      </c>
      <c r="B7" s="22" t="s">
        <v>364</v>
      </c>
      <c r="C7" s="23" t="str">
        <f aca="false">IFERROR(INDEX(_対応表!$H$2:$H$4460,MATCH($A7,_対応表!$G$2:$G$4460,0)),"")</f>
        <v>j</v>
      </c>
      <c r="D7" s="23" t="str">
        <f aca="false">IFERROR(INDEX(_対応表!$I$2:$I$4460,MATCH($A7,_対応表!$G$2:$G$4460,0)),"")</f>
        <v/>
      </c>
      <c r="E7" s="23" t="str">
        <f aca="false">IFERROR(INDEX(_対応表!$J$2:$J$4460,MATCH($A7,_対応表!$G$2:$G$4460,0)),"")</f>
        <v/>
      </c>
      <c r="F7" s="23" t="str">
        <f aca="false">IFERROR(INDEX(_対応表!$K$2:$K$4460,MATCH($A7,_対応表!$G$2:$G$4460,0)),"")</f>
        <v/>
      </c>
      <c r="G7" s="23" t="str">
        <f aca="false">IFERROR(INDEX(_対応表!$L$2:$L$4460,MATCH($A7,_対応表!$G$2:$G$4460,0)),"")</f>
        <v/>
      </c>
      <c r="H7" s="24"/>
    </row>
    <row r="8" customFormat="false" ht="15" hidden="false" customHeight="true" outlineLevel="0" collapsed="false">
      <c r="A8" s="21" t="s">
        <v>99</v>
      </c>
      <c r="B8" s="22" t="s">
        <v>364</v>
      </c>
      <c r="C8" s="23" t="str">
        <f aca="false">IFERROR(INDEX(_対応表!$H$2:$H$4460,MATCH($A8,_対応表!$G$2:$G$4460,0)),"")</f>
        <v>k</v>
      </c>
      <c r="D8" s="23" t="str">
        <f aca="false">IFERROR(INDEX(_対応表!$I$2:$I$4460,MATCH($A8,_対応表!$G$2:$G$4460,0)),"")</f>
        <v/>
      </c>
      <c r="E8" s="23" t="str">
        <f aca="false">IFERROR(INDEX(_対応表!$J$2:$J$4460,MATCH($A8,_対応表!$G$2:$G$4460,0)),"")</f>
        <v/>
      </c>
      <c r="F8" s="23" t="str">
        <f aca="false">IFERROR(INDEX(_対応表!$K$2:$K$4460,MATCH($A8,_対応表!$G$2:$G$4460,0)),"")</f>
        <v/>
      </c>
      <c r="G8" s="23" t="str">
        <f aca="false">IFERROR(INDEX(_対応表!$L$2:$L$4460,MATCH($A8,_対応表!$G$2:$G$4460,0)),"")</f>
        <v/>
      </c>
      <c r="H8" s="24"/>
    </row>
    <row r="9" customFormat="false" ht="15" hidden="false" customHeight="true" outlineLevel="0" collapsed="false">
      <c r="A9" s="21" t="s">
        <v>100</v>
      </c>
      <c r="B9" s="22" t="s">
        <v>364</v>
      </c>
      <c r="C9" s="23" t="str">
        <f aca="false">IFERROR(INDEX(_対応表!$H$2:$H$4460,MATCH($A9,_対応表!$G$2:$G$4460,0)),"")</f>
        <v>l</v>
      </c>
      <c r="D9" s="23" t="str">
        <f aca="false">IFERROR(INDEX(_対応表!$I$2:$I$4460,MATCH($A9,_対応表!$G$2:$G$4460,0)),"")</f>
        <v/>
      </c>
      <c r="E9" s="23" t="str">
        <f aca="false">IFERROR(INDEX(_対応表!$J$2:$J$4460,MATCH($A9,_対応表!$G$2:$G$4460,0)),"")</f>
        <v/>
      </c>
      <c r="F9" s="23" t="str">
        <f aca="false">IFERROR(INDEX(_対応表!$K$2:$K$4460,MATCH($A9,_対応表!$G$2:$G$4460,0)),"")</f>
        <v/>
      </c>
      <c r="G9" s="23" t="str">
        <f aca="false">IFERROR(INDEX(_対応表!$L$2:$L$4460,MATCH($A9,_対応表!$G$2:$G$4460,0)),"")</f>
        <v/>
      </c>
      <c r="H9" s="24"/>
    </row>
    <row r="10" customFormat="false" ht="15" hidden="false" customHeight="true" outlineLevel="0" collapsed="false">
      <c r="A10" s="21" t="s">
        <v>131</v>
      </c>
      <c r="B10" s="22" t="s">
        <v>364</v>
      </c>
      <c r="C10" s="23" t="str">
        <f aca="false">IFERROR(INDEX(_対応表!$H$2:$H$4460,MATCH($A10,_対応表!$G$2:$G$4460,0)),"")</f>
        <v>space</v>
      </c>
      <c r="D10" s="23" t="str">
        <f aca="false">IFERROR(INDEX(_対応表!$I$2:$I$4460,MATCH($A10,_対応表!$G$2:$G$4460,0)),"")</f>
        <v>o</v>
      </c>
      <c r="E10" s="23" t="str">
        <f aca="false">IFERROR(INDEX(_対応表!$J$2:$J$4460,MATCH($A10,_対応表!$G$2:$G$4460,0)),"")</f>
        <v/>
      </c>
      <c r="F10" s="23" t="str">
        <f aca="false">IFERROR(INDEX(_対応表!$K$2:$K$4460,MATCH($A10,_対応表!$G$2:$G$4460,0)),"")</f>
        <v/>
      </c>
      <c r="G10" s="23" t="str">
        <f aca="false">IFERROR(INDEX(_対応表!$L$2:$L$4460,MATCH($A10,_対応表!$G$2:$G$4460,0)),"")</f>
        <v>同時</v>
      </c>
      <c r="H10" s="24"/>
    </row>
    <row r="11" customFormat="false" ht="15" hidden="false" customHeight="true" outlineLevel="0" collapsed="false">
      <c r="A11" s="21" t="s">
        <v>146</v>
      </c>
      <c r="B11" s="22" t="s">
        <v>364</v>
      </c>
      <c r="C11" s="23" t="str">
        <f aca="false">IFERROR(INDEX(_対応表!$H$2:$H$4460,MATCH($A11,_対応表!$G$2:$G$4460,0)),"")</f>
        <v>space</v>
      </c>
      <c r="D11" s="23" t="str">
        <f aca="false">IFERROR(INDEX(_対応表!$I$2:$I$4460,MATCH($A11,_対応表!$G$2:$G$4460,0)),"")</f>
        <v>n</v>
      </c>
      <c r="E11" s="23" t="str">
        <f aca="false">IFERROR(INDEX(_対応表!$J$2:$J$4460,MATCH($A11,_対応表!$G$2:$G$4460,0)),"")</f>
        <v/>
      </c>
      <c r="F11" s="23" t="str">
        <f aca="false">IFERROR(INDEX(_対応表!$K$2:$K$4460,MATCH($A11,_対応表!$G$2:$G$4460,0)),"")</f>
        <v/>
      </c>
      <c r="G11" s="23" t="str">
        <f aca="false">IFERROR(INDEX(_対応表!$L$2:$L$4460,MATCH($A11,_対応表!$G$2:$G$4460,0)),"")</f>
        <v>同時</v>
      </c>
      <c r="H11" s="24"/>
    </row>
    <row r="12" customFormat="false" ht="15" hidden="false" customHeight="true" outlineLevel="0" collapsed="false">
      <c r="A12" s="21" t="s">
        <v>95</v>
      </c>
      <c r="B12" s="22" t="s">
        <v>364</v>
      </c>
      <c r="C12" s="23" t="str">
        <f aca="false">IFERROR(INDEX(_対応表!$H$2:$H$4460,MATCH($A12,_対応表!$G$2:$G$4460,0)),"")</f>
        <v>f</v>
      </c>
      <c r="D12" s="23" t="str">
        <f aca="false">IFERROR(INDEX(_対応表!$I$2:$I$4460,MATCH($A12,_対応表!$G$2:$G$4460,0)),"")</f>
        <v/>
      </c>
      <c r="E12" s="23" t="str">
        <f aca="false">IFERROR(INDEX(_対応表!$J$2:$J$4460,MATCH($A12,_対応表!$G$2:$G$4460,0)),"")</f>
        <v/>
      </c>
      <c r="F12" s="23" t="str">
        <f aca="false">IFERROR(INDEX(_対応表!$K$2:$K$4460,MATCH($A12,_対応表!$G$2:$G$4460,0)),"")</f>
        <v/>
      </c>
      <c r="G12" s="23" t="str">
        <f aca="false">IFERROR(INDEX(_対応表!$L$2:$L$4460,MATCH($A12,_対応表!$G$2:$G$4460,0)),"")</f>
        <v/>
      </c>
      <c r="H12" s="24"/>
    </row>
    <row r="13" customFormat="false" ht="15" hidden="false" customHeight="true" outlineLevel="0" collapsed="false">
      <c r="A13" s="21" t="s">
        <v>76</v>
      </c>
      <c r="B13" s="22" t="s">
        <v>364</v>
      </c>
      <c r="C13" s="23" t="str">
        <f aca="false">IFERROR(INDEX(_対応表!$H$2:$H$4460,MATCH($A13,_対応表!$G$2:$G$4460,0)),"")</f>
        <v>w</v>
      </c>
      <c r="D13" s="23" t="str">
        <f aca="false">IFERROR(INDEX(_対応表!$I$2:$I$4460,MATCH($A13,_対応表!$G$2:$G$4460,0)),"")</f>
        <v/>
      </c>
      <c r="E13" s="23" t="str">
        <f aca="false">IFERROR(INDEX(_対応表!$J$2:$J$4460,MATCH($A13,_対応表!$G$2:$G$4460,0)),"")</f>
        <v/>
      </c>
      <c r="F13" s="23" t="str">
        <f aca="false">IFERROR(INDEX(_対応表!$K$2:$K$4460,MATCH($A13,_対応表!$G$2:$G$4460,0)),"")</f>
        <v/>
      </c>
      <c r="G13" s="23" t="str">
        <f aca="false">IFERROR(INDEX(_対応表!$L$2:$L$4460,MATCH($A13,_対応表!$G$2:$G$4460,0)),"")</f>
        <v/>
      </c>
      <c r="H13" s="24"/>
    </row>
    <row r="14" customFormat="false" ht="15" hidden="false" customHeight="true" outlineLevel="0" collapsed="false">
      <c r="A14" s="21" t="s">
        <v>97</v>
      </c>
      <c r="B14" s="22" t="s">
        <v>364</v>
      </c>
      <c r="C14" s="23" t="str">
        <f aca="false">IFERROR(INDEX(_対応表!$H$2:$H$4460,MATCH($A14,_対応表!$G$2:$G$4460,0)),"")</f>
        <v>h</v>
      </c>
      <c r="D14" s="23" t="str">
        <f aca="false">IFERROR(INDEX(_対応表!$I$2:$I$4460,MATCH($A14,_対応表!$G$2:$G$4460,0)),"")</f>
        <v/>
      </c>
      <c r="E14" s="23" t="str">
        <f aca="false">IFERROR(INDEX(_対応表!$J$2:$J$4460,MATCH($A14,_対応表!$G$2:$G$4460,0)),"")</f>
        <v/>
      </c>
      <c r="F14" s="23" t="str">
        <f aca="false">IFERROR(INDEX(_対応表!$K$2:$K$4460,MATCH($A14,_対応表!$G$2:$G$4460,0)),"")</f>
        <v/>
      </c>
      <c r="G14" s="23" t="str">
        <f aca="false">IFERROR(INDEX(_対応表!$L$2:$L$4460,MATCH($A14,_対応表!$G$2:$G$4460,0)),"")</f>
        <v/>
      </c>
      <c r="H14" s="24"/>
    </row>
    <row r="15" customFormat="false" ht="15" hidden="false" customHeight="true" outlineLevel="0" collapsed="false">
      <c r="A15" s="21" t="s">
        <v>93</v>
      </c>
      <c r="B15" s="22" t="s">
        <v>364</v>
      </c>
      <c r="C15" s="23" t="str">
        <f aca="false">IFERROR(INDEX(_対応表!$H$2:$H$4460,MATCH($A15,_対応表!$G$2:$G$4460,0)),"")</f>
        <v>s</v>
      </c>
      <c r="D15" s="23" t="str">
        <f aca="false">IFERROR(INDEX(_対応表!$I$2:$I$4460,MATCH($A15,_対応表!$G$2:$G$4460,0)),"")</f>
        <v/>
      </c>
      <c r="E15" s="23" t="str">
        <f aca="false">IFERROR(INDEX(_対応表!$J$2:$J$4460,MATCH($A15,_対応表!$G$2:$G$4460,0)),"")</f>
        <v/>
      </c>
      <c r="F15" s="23" t="str">
        <f aca="false">IFERROR(INDEX(_対応表!$K$2:$K$4460,MATCH($A15,_対応表!$G$2:$G$4460,0)),"")</f>
        <v/>
      </c>
      <c r="G15" s="23" t="str">
        <f aca="false">IFERROR(INDEX(_対応表!$L$2:$L$4460,MATCH($A15,_対応表!$G$2:$G$4460,0)),"")</f>
        <v/>
      </c>
      <c r="H15" s="24"/>
    </row>
    <row r="16" customFormat="false" ht="15" hidden="false" customHeight="true" outlineLevel="0" collapsed="false">
      <c r="A16" s="21" t="s">
        <v>113</v>
      </c>
      <c r="B16" s="22" t="s">
        <v>364</v>
      </c>
      <c r="C16" s="23" t="str">
        <f aca="false">IFERROR(INDEX(_対応表!$H$2:$H$4460,MATCH($A16,_対応表!$G$2:$G$4460,0)),"")</f>
        <v>v</v>
      </c>
      <c r="D16" s="23" t="str">
        <f aca="false">IFERROR(INDEX(_対応表!$I$2:$I$4460,MATCH($A16,_対応表!$G$2:$G$4460,0)),"")</f>
        <v/>
      </c>
      <c r="E16" s="23" t="str">
        <f aca="false">IFERROR(INDEX(_対応表!$J$2:$J$4460,MATCH($A16,_対応表!$G$2:$G$4460,0)),"")</f>
        <v/>
      </c>
      <c r="F16" s="23" t="str">
        <f aca="false">IFERROR(INDEX(_対応表!$K$2:$K$4460,MATCH($A16,_対応表!$G$2:$G$4460,0)),"")</f>
        <v/>
      </c>
      <c r="G16" s="23" t="str">
        <f aca="false">IFERROR(INDEX(_対応表!$L$2:$L$4460,MATCH($A16,_対応表!$G$2:$G$4460,0)),"")</f>
        <v/>
      </c>
      <c r="H16" s="24"/>
    </row>
    <row r="17" customFormat="false" ht="15" hidden="false" customHeight="true" outlineLevel="0" collapsed="false">
      <c r="A17" s="21" t="s">
        <v>129</v>
      </c>
      <c r="B17" s="22" t="s">
        <v>364</v>
      </c>
      <c r="C17" s="23" t="str">
        <f aca="false">IFERROR(INDEX(_対応表!$H$2:$H$4460,MATCH($A17,_対応表!$G$2:$G$4460,0)),"")</f>
        <v>space</v>
      </c>
      <c r="D17" s="23" t="str">
        <f aca="false">IFERROR(INDEX(_対応表!$I$2:$I$4460,MATCH($A17,_対応表!$G$2:$G$4460,0)),"")</f>
        <v>u</v>
      </c>
      <c r="E17" s="23" t="str">
        <f aca="false">IFERROR(INDEX(_対応表!$J$2:$J$4460,MATCH($A17,_対応表!$G$2:$G$4460,0)),"")</f>
        <v/>
      </c>
      <c r="F17" s="23" t="str">
        <f aca="false">IFERROR(INDEX(_対応表!$K$2:$K$4460,MATCH($A17,_対応表!$G$2:$G$4460,0)),"")</f>
        <v/>
      </c>
      <c r="G17" s="23" t="str">
        <f aca="false">IFERROR(INDEX(_対応表!$L$2:$L$4460,MATCH($A17,_対応表!$G$2:$G$4460,0)),"")</f>
        <v>同時</v>
      </c>
      <c r="H17" s="24"/>
    </row>
    <row r="18" customFormat="false" ht="15" hidden="false" customHeight="true" outlineLevel="0" collapsed="false">
      <c r="A18" s="21" t="s">
        <v>78</v>
      </c>
      <c r="B18" s="22" t="s">
        <v>364</v>
      </c>
      <c r="C18" s="23" t="str">
        <f aca="false">IFERROR(INDEX(_対応表!$H$2:$H$4460,MATCH($A18,_対応表!$G$2:$G$4460,0)),"")</f>
        <v>r</v>
      </c>
      <c r="D18" s="23" t="str">
        <f aca="false">IFERROR(INDEX(_対応表!$I$2:$I$4460,MATCH($A18,_対応表!$G$2:$G$4460,0)),"")</f>
        <v/>
      </c>
      <c r="E18" s="23" t="str">
        <f aca="false">IFERROR(INDEX(_対応表!$J$2:$J$4460,MATCH($A18,_対応表!$G$2:$G$4460,0)),"")</f>
        <v/>
      </c>
      <c r="F18" s="23" t="str">
        <f aca="false">IFERROR(INDEX(_対応表!$K$2:$K$4460,MATCH($A18,_対応表!$G$2:$G$4460,0)),"")</f>
        <v/>
      </c>
      <c r="G18" s="23" t="str">
        <f aca="false">IFERROR(INDEX(_対応表!$L$2:$L$4460,MATCH($A18,_対応表!$G$2:$G$4460,0)),"")</f>
        <v/>
      </c>
      <c r="H18" s="24"/>
    </row>
    <row r="19" customFormat="false" ht="15" hidden="false" customHeight="true" outlineLevel="0" collapsed="false">
      <c r="A19" s="21" t="s">
        <v>80</v>
      </c>
      <c r="B19" s="22" t="s">
        <v>364</v>
      </c>
      <c r="C19" s="23" t="str">
        <f aca="false">IFERROR(INDEX(_対応表!$H$2:$H$4460,MATCH($A19,_対応表!$G$2:$G$4460,0)),"")</f>
        <v>o</v>
      </c>
      <c r="D19" s="23" t="str">
        <f aca="false">IFERROR(INDEX(_対応表!$I$2:$I$4460,MATCH($A19,_対応表!$G$2:$G$4460,0)),"")</f>
        <v/>
      </c>
      <c r="E19" s="23" t="str">
        <f aca="false">IFERROR(INDEX(_対応表!$J$2:$J$4460,MATCH($A19,_対応表!$G$2:$G$4460,0)),"")</f>
        <v/>
      </c>
      <c r="F19" s="23" t="str">
        <f aca="false">IFERROR(INDEX(_対応表!$K$2:$K$4460,MATCH($A19,_対応表!$G$2:$G$4460,0)),"")</f>
        <v/>
      </c>
      <c r="G19" s="23" t="str">
        <f aca="false">IFERROR(INDEX(_対応表!$L$2:$L$4460,MATCH($A19,_対応表!$G$2:$G$4460,0)),"")</f>
        <v/>
      </c>
      <c r="H19" s="24"/>
    </row>
    <row r="20" customFormat="false" ht="15" hidden="false" customHeight="true" outlineLevel="0" collapsed="false">
      <c r="A20" s="21" t="s">
        <v>133</v>
      </c>
      <c r="B20" s="22" t="s">
        <v>364</v>
      </c>
      <c r="C20" s="23" t="str">
        <f aca="false">IFERROR(INDEX(_対応表!$H$2:$H$4460,MATCH($A20,_対応表!$G$2:$G$4460,0)),"")</f>
        <v>space</v>
      </c>
      <c r="D20" s="23" t="str">
        <f aca="false">IFERROR(INDEX(_対応表!$I$2:$I$4460,MATCH($A20,_対応表!$G$2:$G$4460,0)),"")</f>
        <v>a</v>
      </c>
      <c r="E20" s="23" t="str">
        <f aca="false">IFERROR(INDEX(_対応表!$J$2:$J$4460,MATCH($A20,_対応表!$G$2:$G$4460,0)),"")</f>
        <v/>
      </c>
      <c r="F20" s="23" t="str">
        <f aca="false">IFERROR(INDEX(_対応表!$K$2:$K$4460,MATCH($A20,_対応表!$G$2:$G$4460,0)),"")</f>
        <v/>
      </c>
      <c r="G20" s="23" t="str">
        <f aca="false">IFERROR(INDEX(_対応表!$L$2:$L$4460,MATCH($A20,_対応表!$G$2:$G$4460,0)),"")</f>
        <v>同時</v>
      </c>
      <c r="H20" s="24"/>
    </row>
    <row r="21" customFormat="false" ht="15" hidden="false" customHeight="true" outlineLevel="0" collapsed="false">
      <c r="A21" s="21" t="s">
        <v>114</v>
      </c>
      <c r="B21" s="22" t="s">
        <v>364</v>
      </c>
      <c r="C21" s="23" t="str">
        <f aca="false">IFERROR(INDEX(_対応表!$H$2:$H$4460,MATCH($A21,_対応表!$G$2:$G$4460,0)),"")</f>
        <v>b</v>
      </c>
      <c r="D21" s="23" t="str">
        <f aca="false">IFERROR(INDEX(_対応表!$I$2:$I$4460,MATCH($A21,_対応表!$G$2:$G$4460,0)),"")</f>
        <v/>
      </c>
      <c r="E21" s="23" t="str">
        <f aca="false">IFERROR(INDEX(_対応表!$J$2:$J$4460,MATCH($A21,_対応表!$G$2:$G$4460,0)),"")</f>
        <v/>
      </c>
      <c r="F21" s="23" t="str">
        <f aca="false">IFERROR(INDEX(_対応表!$K$2:$K$4460,MATCH($A21,_対応表!$G$2:$G$4460,0)),"")</f>
        <v/>
      </c>
      <c r="G21" s="23" t="str">
        <f aca="false">IFERROR(INDEX(_対応表!$L$2:$L$4460,MATCH($A21,_対応表!$G$2:$G$4460,0)),"")</f>
        <v/>
      </c>
      <c r="H21" s="24"/>
    </row>
    <row r="22" customFormat="false" ht="15" hidden="false" customHeight="true" outlineLevel="0" collapsed="false">
      <c r="A22" s="21" t="s">
        <v>115</v>
      </c>
      <c r="B22" s="22" t="s">
        <v>364</v>
      </c>
      <c r="C22" s="23" t="str">
        <f aca="false">IFERROR(INDEX(_対応表!$H$2:$H$4460,MATCH($A22,_対応表!$G$2:$G$4460,0)),"")</f>
        <v>n</v>
      </c>
      <c r="D22" s="23" t="str">
        <f aca="false">IFERROR(INDEX(_対応表!$I$2:$I$4460,MATCH($A22,_対応表!$G$2:$G$4460,0)),"")</f>
        <v/>
      </c>
      <c r="E22" s="23" t="str">
        <f aca="false">IFERROR(INDEX(_対応表!$J$2:$J$4460,MATCH($A22,_対応表!$G$2:$G$4460,0)),"")</f>
        <v/>
      </c>
      <c r="F22" s="23" t="str">
        <f aca="false">IFERROR(INDEX(_対応表!$K$2:$K$4460,MATCH($A22,_対応表!$G$2:$G$4460,0)),"")</f>
        <v/>
      </c>
      <c r="G22" s="23" t="str">
        <f aca="false">IFERROR(INDEX(_対応表!$L$2:$L$4460,MATCH($A22,_対応表!$G$2:$G$4460,0)),"")</f>
        <v/>
      </c>
      <c r="H22" s="24"/>
    </row>
    <row r="23" customFormat="false" ht="15" hidden="false" customHeight="true" outlineLevel="0" collapsed="false">
      <c r="A23" s="21" t="s">
        <v>137</v>
      </c>
      <c r="B23" s="22" t="s">
        <v>364</v>
      </c>
      <c r="C23" s="23" t="str">
        <f aca="false">IFERROR(INDEX(_対応表!$H$2:$H$4460,MATCH($A23,_対応表!$G$2:$G$4460,0)),"")</f>
        <v>space</v>
      </c>
      <c r="D23" s="23" t="str">
        <f aca="false">IFERROR(INDEX(_対応表!$I$2:$I$4460,MATCH($A23,_対応表!$G$2:$G$4460,0)),"")</f>
        <v>g</v>
      </c>
      <c r="E23" s="23" t="str">
        <f aca="false">IFERROR(INDEX(_対応表!$J$2:$J$4460,MATCH($A23,_対応表!$G$2:$G$4460,0)),"")</f>
        <v/>
      </c>
      <c r="F23" s="23" t="str">
        <f aca="false">IFERROR(INDEX(_対応表!$K$2:$K$4460,MATCH($A23,_対応表!$G$2:$G$4460,0)),"")</f>
        <v/>
      </c>
      <c r="G23" s="23" t="str">
        <f aca="false">IFERROR(INDEX(_対応表!$L$2:$L$4460,MATCH($A23,_対応表!$G$2:$G$4460,0)),"")</f>
        <v>同時</v>
      </c>
      <c r="H23" s="24"/>
    </row>
    <row r="24" customFormat="false" ht="15" hidden="false" customHeight="true" outlineLevel="0" collapsed="false">
      <c r="A24" s="21" t="s">
        <v>141</v>
      </c>
      <c r="B24" s="22" t="s">
        <v>364</v>
      </c>
      <c r="C24" s="23" t="str">
        <f aca="false">IFERROR(INDEX(_対応表!$H$2:$H$4460,MATCH($A24,_対応表!$G$2:$G$4460,0)),"")</f>
        <v>space</v>
      </c>
      <c r="D24" s="23" t="str">
        <f aca="false">IFERROR(INDEX(_対応表!$I$2:$I$4460,MATCH($A24,_対応表!$G$2:$G$4460,0)),"")</f>
        <v>l</v>
      </c>
      <c r="E24" s="23" t="str">
        <f aca="false">IFERROR(INDEX(_対応表!$J$2:$J$4460,MATCH($A24,_対応表!$G$2:$G$4460,0)),"")</f>
        <v/>
      </c>
      <c r="F24" s="23" t="str">
        <f aca="false">IFERROR(INDEX(_対応表!$K$2:$K$4460,MATCH($A24,_対応表!$G$2:$G$4460,0)),"")</f>
        <v/>
      </c>
      <c r="G24" s="23" t="str">
        <f aca="false">IFERROR(INDEX(_対応表!$L$2:$L$4460,MATCH($A24,_対応表!$G$2:$G$4460,0)),"")</f>
        <v>同時</v>
      </c>
      <c r="H24" s="24"/>
    </row>
    <row r="25" customFormat="false" ht="15" hidden="false" customHeight="true" outlineLevel="0" collapsed="false">
      <c r="A25" s="21" t="s">
        <v>77</v>
      </c>
      <c r="B25" s="22" t="s">
        <v>364</v>
      </c>
      <c r="C25" s="23" t="str">
        <f aca="false">IFERROR(INDEX(_対応表!$H$2:$H$4460,MATCH($A25,_対応表!$G$2:$G$4460,0)),"")</f>
        <v>e</v>
      </c>
      <c r="D25" s="23" t="str">
        <f aca="false">IFERROR(INDEX(_対応表!$I$2:$I$4460,MATCH($A25,_対応表!$G$2:$G$4460,0)),"")</f>
        <v/>
      </c>
      <c r="E25" s="23" t="str">
        <f aca="false">IFERROR(INDEX(_対応表!$J$2:$J$4460,MATCH($A25,_対応表!$G$2:$G$4460,0)),"")</f>
        <v/>
      </c>
      <c r="F25" s="23" t="str">
        <f aca="false">IFERROR(INDEX(_対応表!$K$2:$K$4460,MATCH($A25,_対応表!$G$2:$G$4460,0)),"")</f>
        <v/>
      </c>
      <c r="G25" s="23" t="str">
        <f aca="false">IFERROR(INDEX(_対応表!$L$2:$L$4460,MATCH($A25,_対応表!$G$2:$G$4460,0)),"")</f>
        <v/>
      </c>
      <c r="H25" s="24"/>
    </row>
    <row r="26" customFormat="false" ht="15" hidden="false" customHeight="true" outlineLevel="0" collapsed="false">
      <c r="A26" s="21" t="s">
        <v>94</v>
      </c>
      <c r="B26" s="22" t="s">
        <v>364</v>
      </c>
      <c r="C26" s="23" t="str">
        <f aca="false">IFERROR(INDEX(_対応表!$H$2:$H$4460,MATCH($A26,_対応表!$G$2:$G$4460,0)),"")</f>
        <v>d</v>
      </c>
      <c r="D26" s="23" t="str">
        <f aca="false">IFERROR(INDEX(_対応表!$I$2:$I$4460,MATCH($A26,_対応表!$G$2:$G$4460,0)),"")</f>
        <v/>
      </c>
      <c r="E26" s="23" t="str">
        <f aca="false">IFERROR(INDEX(_対応表!$J$2:$J$4460,MATCH($A26,_対応表!$G$2:$G$4460,0)),"")</f>
        <v/>
      </c>
      <c r="F26" s="23" t="str">
        <f aca="false">IFERROR(INDEX(_対応表!$K$2:$K$4460,MATCH($A26,_対応表!$G$2:$G$4460,0)),"")</f>
        <v/>
      </c>
      <c r="G26" s="23" t="str">
        <f aca="false">IFERROR(INDEX(_対応表!$L$2:$L$4460,MATCH($A26,_対応表!$G$2:$G$4460,0)),"")</f>
        <v/>
      </c>
      <c r="H26" s="24"/>
    </row>
    <row r="27" customFormat="false" ht="15" hidden="false" customHeight="true" outlineLevel="0" collapsed="false">
      <c r="A27" s="21" t="s">
        <v>116</v>
      </c>
      <c r="B27" s="22" t="s">
        <v>364</v>
      </c>
      <c r="C27" s="23" t="str">
        <f aca="false">IFERROR(INDEX(_対応表!$H$2:$H$4460,MATCH($A27,_対応表!$G$2:$G$4460,0)),"")</f>
        <v>m</v>
      </c>
      <c r="D27" s="23" t="str">
        <f aca="false">IFERROR(INDEX(_対応表!$I$2:$I$4460,MATCH($A27,_対応表!$G$2:$G$4460,0)),"")</f>
        <v/>
      </c>
      <c r="E27" s="23" t="str">
        <f aca="false">IFERROR(INDEX(_対応表!$J$2:$J$4460,MATCH($A27,_対応表!$G$2:$G$4460,0)),"")</f>
        <v/>
      </c>
      <c r="F27" s="23" t="str">
        <f aca="false">IFERROR(INDEX(_対応表!$K$2:$K$4460,MATCH($A27,_対応表!$G$2:$G$4460,0)),"")</f>
        <v/>
      </c>
      <c r="G27" s="23" t="str">
        <f aca="false">IFERROR(INDEX(_対応表!$L$2:$L$4460,MATCH($A27,_対応表!$G$2:$G$4460,0)),"")</f>
        <v/>
      </c>
      <c r="H27" s="24"/>
    </row>
    <row r="28" customFormat="false" ht="15" hidden="false" customHeight="true" outlineLevel="0" collapsed="false">
      <c r="A28" s="21" t="s">
        <v>135</v>
      </c>
      <c r="B28" s="22" t="s">
        <v>364</v>
      </c>
      <c r="C28" s="23" t="str">
        <f aca="false">IFERROR(INDEX(_対応表!$H$2:$H$4460,MATCH($A28,_対応表!$G$2:$G$4460,0)),"")</f>
        <v>space</v>
      </c>
      <c r="D28" s="23" t="str">
        <f aca="false">IFERROR(INDEX(_対応表!$I$2:$I$4460,MATCH($A28,_対応表!$G$2:$G$4460,0)),"")</f>
        <v>d</v>
      </c>
      <c r="E28" s="23" t="str">
        <f aca="false">IFERROR(INDEX(_対応表!$J$2:$J$4460,MATCH($A28,_対応表!$G$2:$G$4460,0)),"")</f>
        <v/>
      </c>
      <c r="F28" s="23" t="str">
        <f aca="false">IFERROR(INDEX(_対応表!$K$2:$K$4460,MATCH($A28,_対応表!$G$2:$G$4460,0)),"")</f>
        <v/>
      </c>
      <c r="G28" s="23" t="str">
        <f aca="false">IFERROR(INDEX(_対応表!$L$2:$L$4460,MATCH($A28,_対応表!$G$2:$G$4460,0)),"")</f>
        <v>同時</v>
      </c>
      <c r="H28" s="24"/>
    </row>
    <row r="29" customFormat="false" ht="15" hidden="false" customHeight="true" outlineLevel="0" collapsed="false">
      <c r="A29" s="21" t="s">
        <v>145</v>
      </c>
      <c r="B29" s="22" t="s">
        <v>364</v>
      </c>
      <c r="C29" s="23" t="str">
        <f aca="false">IFERROR(INDEX(_対応表!$H$2:$H$4460,MATCH($A29,_対応表!$G$2:$G$4460,0)),"")</f>
        <v>space</v>
      </c>
      <c r="D29" s="23" t="str">
        <f aca="false">IFERROR(INDEX(_対応表!$I$2:$I$4460,MATCH($A29,_対応表!$G$2:$G$4460,0)),"")</f>
        <v>b</v>
      </c>
      <c r="E29" s="23" t="str">
        <f aca="false">IFERROR(INDEX(_対応表!$J$2:$J$4460,MATCH($A29,_対応表!$G$2:$G$4460,0)),"")</f>
        <v/>
      </c>
      <c r="F29" s="23" t="str">
        <f aca="false">IFERROR(INDEX(_対応表!$K$2:$K$4460,MATCH($A29,_対応表!$G$2:$G$4460,0)),"")</f>
        <v/>
      </c>
      <c r="G29" s="23" t="str">
        <f aca="false">IFERROR(INDEX(_対応表!$L$2:$L$4460,MATCH($A29,_対応表!$G$2:$G$4460,0)),"")</f>
        <v>同時</v>
      </c>
      <c r="H29" s="24"/>
    </row>
    <row r="30" customFormat="false" ht="15" hidden="false" customHeight="true" outlineLevel="0" collapsed="false">
      <c r="A30" s="21" t="s">
        <v>128</v>
      </c>
      <c r="B30" s="22" t="s">
        <v>364</v>
      </c>
      <c r="C30" s="23" t="str">
        <f aca="false">IFERROR(INDEX(_対応表!$H$2:$H$4460,MATCH($A30,_対応表!$G$2:$G$4460,0)),"")</f>
        <v>space</v>
      </c>
      <c r="D30" s="23" t="str">
        <f aca="false">IFERROR(INDEX(_対応表!$I$2:$I$4460,MATCH($A30,_対応表!$G$2:$G$4460,0)),"")</f>
        <v>r</v>
      </c>
      <c r="E30" s="23" t="str">
        <f aca="false">IFERROR(INDEX(_対応表!$J$2:$J$4460,MATCH($A30,_対応表!$G$2:$G$4460,0)),"")</f>
        <v/>
      </c>
      <c r="F30" s="23" t="str">
        <f aca="false">IFERROR(INDEX(_対応表!$K$2:$K$4460,MATCH($A30,_対応表!$G$2:$G$4460,0)),"")</f>
        <v/>
      </c>
      <c r="G30" s="23" t="str">
        <f aca="false">IFERROR(INDEX(_対応表!$L$2:$L$4460,MATCH($A30,_対応表!$G$2:$G$4460,0)),"")</f>
        <v>同時</v>
      </c>
      <c r="H30" s="24"/>
    </row>
    <row r="31" customFormat="false" ht="15" hidden="false" customHeight="true" outlineLevel="0" collapsed="false">
      <c r="A31" s="21" t="s">
        <v>139</v>
      </c>
      <c r="B31" s="22" t="s">
        <v>364</v>
      </c>
      <c r="C31" s="23" t="str">
        <f aca="false">IFERROR(INDEX(_対応表!$H$2:$H$4460,MATCH($A31,_対応表!$G$2:$G$4460,0)),"")</f>
        <v>space</v>
      </c>
      <c r="D31" s="23" t="str">
        <f aca="false">IFERROR(INDEX(_対応表!$I$2:$I$4460,MATCH($A31,_対応表!$G$2:$G$4460,0)),"")</f>
        <v>j</v>
      </c>
      <c r="E31" s="23" t="str">
        <f aca="false">IFERROR(INDEX(_対応表!$J$2:$J$4460,MATCH($A31,_対応表!$G$2:$G$4460,0)),"")</f>
        <v/>
      </c>
      <c r="F31" s="23" t="str">
        <f aca="false">IFERROR(INDEX(_対応表!$K$2:$K$4460,MATCH($A31,_対応表!$G$2:$G$4460,0)),"")</f>
        <v/>
      </c>
      <c r="G31" s="23" t="str">
        <f aca="false">IFERROR(INDEX(_対応表!$L$2:$L$4460,MATCH($A31,_対応表!$G$2:$G$4460,0)),"")</f>
        <v>同時</v>
      </c>
      <c r="H31" s="24"/>
    </row>
    <row r="32" customFormat="false" ht="15" hidden="false" customHeight="true" outlineLevel="0" collapsed="false">
      <c r="A32" s="21" t="s">
        <v>112</v>
      </c>
      <c r="B32" s="22" t="s">
        <v>364</v>
      </c>
      <c r="C32" s="23" t="str">
        <f aca="false">IFERROR(INDEX(_対応表!$H$2:$H$4460,MATCH($A32,_対応表!$G$2:$G$4460,0)),"")</f>
        <v>c</v>
      </c>
      <c r="D32" s="23" t="str">
        <f aca="false">IFERROR(INDEX(_対応表!$I$2:$I$4460,MATCH($A32,_対応表!$G$2:$G$4460,0)),"")</f>
        <v/>
      </c>
      <c r="E32" s="23" t="str">
        <f aca="false">IFERROR(INDEX(_対応表!$J$2:$J$4460,MATCH($A32,_対応表!$G$2:$G$4460,0)),"")</f>
        <v/>
      </c>
      <c r="F32" s="23" t="str">
        <f aca="false">IFERROR(INDEX(_対応表!$K$2:$K$4460,MATCH($A32,_対応表!$G$2:$G$4460,0)),"")</f>
        <v/>
      </c>
      <c r="G32" s="23" t="str">
        <f aca="false">IFERROR(INDEX(_対応表!$L$2:$L$4460,MATCH($A32,_対応表!$G$2:$G$4460,0)),"")</f>
        <v/>
      </c>
      <c r="H32" s="24"/>
    </row>
    <row r="33" customFormat="false" ht="15" hidden="false" customHeight="true" outlineLevel="0" collapsed="false">
      <c r="A33" s="21" t="s">
        <v>111</v>
      </c>
      <c r="B33" s="22" t="s">
        <v>364</v>
      </c>
      <c r="C33" s="23" t="str">
        <f aca="false">IFERROR(INDEX(_対応表!$H$2:$H$4460,MATCH($A33,_対応表!$G$2:$G$4460,0)),"")</f>
        <v>x</v>
      </c>
      <c r="D33" s="23" t="str">
        <f aca="false">IFERROR(INDEX(_対応表!$I$2:$I$4460,MATCH($A33,_対応表!$G$2:$G$4460,0)),"")</f>
        <v/>
      </c>
      <c r="E33" s="23" t="str">
        <f aca="false">IFERROR(INDEX(_対応表!$J$2:$J$4460,MATCH($A33,_対応表!$G$2:$G$4460,0)),"")</f>
        <v/>
      </c>
      <c r="F33" s="23" t="str">
        <f aca="false">IFERROR(INDEX(_対応表!$K$2:$K$4460,MATCH($A33,_対応表!$G$2:$G$4460,0)),"")</f>
        <v/>
      </c>
      <c r="G33" s="23" t="str">
        <f aca="false">IFERROR(INDEX(_対応表!$L$2:$L$4460,MATCH($A33,_対応表!$G$2:$G$4460,0)),"")</f>
        <v/>
      </c>
      <c r="H33" s="24"/>
    </row>
    <row r="34" customFormat="false" ht="15" hidden="false" customHeight="true" outlineLevel="0" collapsed="false">
      <c r="A34" s="21" t="s">
        <v>142</v>
      </c>
      <c r="B34" s="22" t="s">
        <v>364</v>
      </c>
      <c r="C34" s="23" t="str">
        <f aca="false">IFERROR(INDEX(_対応表!$H$2:$H$4460,MATCH($A34,_対応表!$G$2:$G$4460,0)),"")</f>
        <v>space</v>
      </c>
      <c r="D34" s="23" t="str">
        <f aca="false">IFERROR(INDEX(_対応表!$I$2:$I$4460,MATCH($A34,_対応表!$G$2:$G$4460,0)),"")</f>
        <v>;</v>
      </c>
      <c r="E34" s="23" t="str">
        <f aca="false">IFERROR(INDEX(_対応表!$J$2:$J$4460,MATCH($A34,_対応表!$G$2:$G$4460,0)),"")</f>
        <v/>
      </c>
      <c r="F34" s="23" t="str">
        <f aca="false">IFERROR(INDEX(_対応表!$K$2:$K$4460,MATCH($A34,_対応表!$G$2:$G$4460,0)),"")</f>
        <v/>
      </c>
      <c r="G34" s="23" t="str">
        <f aca="false">IFERROR(INDEX(_対応表!$L$2:$L$4460,MATCH($A34,_対応表!$G$2:$G$4460,0)),"")</f>
        <v>同時</v>
      </c>
      <c r="H34" s="24"/>
    </row>
    <row r="35" customFormat="false" ht="15" hidden="false" customHeight="true" outlineLevel="0" collapsed="false">
      <c r="A35" s="21" t="s">
        <v>81</v>
      </c>
      <c r="B35" s="22" t="s">
        <v>364</v>
      </c>
      <c r="C35" s="23" t="str">
        <f aca="false">IFERROR(INDEX(_対応表!$H$2:$H$4460,MATCH($A35,_対応表!$G$2:$G$4460,0)),"")</f>
        <v>p</v>
      </c>
      <c r="D35" s="23" t="str">
        <f aca="false">IFERROR(INDEX(_対応表!$I$2:$I$4460,MATCH($A35,_対応表!$G$2:$G$4460,0)),"")</f>
        <v/>
      </c>
      <c r="E35" s="23" t="str">
        <f aca="false">IFERROR(INDEX(_対応表!$J$2:$J$4460,MATCH($A35,_対応表!$G$2:$G$4460,0)),"")</f>
        <v/>
      </c>
      <c r="F35" s="23" t="str">
        <f aca="false">IFERROR(INDEX(_対応表!$K$2:$K$4460,MATCH($A35,_対応表!$G$2:$G$4460,0)),"")</f>
        <v/>
      </c>
      <c r="G35" s="23" t="str">
        <f aca="false">IFERROR(INDEX(_対応表!$L$2:$L$4460,MATCH($A35,_対応表!$G$2:$G$4460,0)),"")</f>
        <v/>
      </c>
      <c r="H35" s="24"/>
    </row>
    <row r="36" customFormat="false" ht="15" hidden="false" customHeight="true" outlineLevel="0" collapsed="false">
      <c r="A36" s="21" t="s">
        <v>110</v>
      </c>
      <c r="B36" s="22" t="s">
        <v>364</v>
      </c>
      <c r="C36" s="23" t="str">
        <f aca="false">IFERROR(INDEX(_対応表!$H$2:$H$4460,MATCH($A36,_対応表!$G$2:$G$4460,0)),"")</f>
        <v>z</v>
      </c>
      <c r="D36" s="23" t="str">
        <f aca="false">IFERROR(INDEX(_対応表!$I$2:$I$4460,MATCH($A36,_対応表!$G$2:$G$4460,0)),"")</f>
        <v/>
      </c>
      <c r="E36" s="23" t="str">
        <f aca="false">IFERROR(INDEX(_対応表!$J$2:$J$4460,MATCH($A36,_対応表!$G$2:$G$4460,0)),"")</f>
        <v/>
      </c>
      <c r="F36" s="23" t="str">
        <f aca="false">IFERROR(INDEX(_対応表!$K$2:$K$4460,MATCH($A36,_対応表!$G$2:$G$4460,0)),"")</f>
        <v/>
      </c>
      <c r="G36" s="23" t="str">
        <f aca="false">IFERROR(INDEX(_対応表!$L$2:$L$4460,MATCH($A36,_対応表!$G$2:$G$4460,0)),"")</f>
        <v/>
      </c>
      <c r="H36" s="24"/>
    </row>
    <row r="37" customFormat="false" ht="15" hidden="false" customHeight="true" outlineLevel="0" collapsed="false">
      <c r="A37" s="21" t="s">
        <v>136</v>
      </c>
      <c r="B37" s="22" t="s">
        <v>364</v>
      </c>
      <c r="C37" s="23" t="str">
        <f aca="false">IFERROR(INDEX(_対応表!$H$2:$H$4460,MATCH($A37,_対応表!$G$2:$G$4460,0)),"")</f>
        <v>space</v>
      </c>
      <c r="D37" s="23" t="str">
        <f aca="false">IFERROR(INDEX(_対応表!$I$2:$I$4460,MATCH($A37,_対応表!$G$2:$G$4460,0)),"")</f>
        <v>f</v>
      </c>
      <c r="E37" s="23" t="str">
        <f aca="false">IFERROR(INDEX(_対応表!$J$2:$J$4460,MATCH($A37,_対応表!$G$2:$G$4460,0)),"")</f>
        <v/>
      </c>
      <c r="F37" s="23" t="str">
        <f aca="false">IFERROR(INDEX(_対応表!$K$2:$K$4460,MATCH($A37,_対応表!$G$2:$G$4460,0)),"")</f>
        <v/>
      </c>
      <c r="G37" s="23" t="str">
        <f aca="false">IFERROR(INDEX(_対応表!$L$2:$L$4460,MATCH($A37,_対応表!$G$2:$G$4460,0)),"")</f>
        <v>同時</v>
      </c>
      <c r="H37" s="24"/>
    </row>
    <row r="38" customFormat="false" ht="15" hidden="false" customHeight="true" outlineLevel="0" collapsed="false">
      <c r="A38" s="21" t="s">
        <v>134</v>
      </c>
      <c r="B38" s="22" t="s">
        <v>364</v>
      </c>
      <c r="C38" s="23" t="str">
        <f aca="false">IFERROR(INDEX(_対応表!$H$2:$H$4460,MATCH($A38,_対応表!$G$2:$G$4460,0)),"")</f>
        <v>space</v>
      </c>
      <c r="D38" s="23" t="str">
        <f aca="false">IFERROR(INDEX(_対応表!$I$2:$I$4460,MATCH($A38,_対応表!$G$2:$G$4460,0)),"")</f>
        <v>s</v>
      </c>
      <c r="E38" s="23" t="str">
        <f aca="false">IFERROR(INDEX(_対応表!$J$2:$J$4460,MATCH($A38,_対応表!$G$2:$G$4460,0)),"")</f>
        <v/>
      </c>
      <c r="F38" s="23" t="str">
        <f aca="false">IFERROR(INDEX(_対応表!$K$2:$K$4460,MATCH($A38,_対応表!$G$2:$G$4460,0)),"")</f>
        <v/>
      </c>
      <c r="G38" s="23" t="str">
        <f aca="false">IFERROR(INDEX(_対応表!$L$2:$L$4460,MATCH($A38,_対応表!$G$2:$G$4460,0)),"")</f>
        <v>同時</v>
      </c>
      <c r="H38" s="24"/>
    </row>
    <row r="39" customFormat="false" ht="15" hidden="false" customHeight="true" outlineLevel="0" collapsed="false">
      <c r="A39" s="21" t="s">
        <v>148</v>
      </c>
      <c r="B39" s="22" t="s">
        <v>364</v>
      </c>
      <c r="C39" s="23" t="str">
        <f aca="false">IFERROR(INDEX(_対応表!$H$2:$H$4460,MATCH($A39,_対応表!$G$2:$G$4460,0)),"")</f>
        <v>space</v>
      </c>
      <c r="D39" s="23" t="str">
        <f aca="false">IFERROR(INDEX(_対応表!$I$2:$I$4460,MATCH($A39,_対応表!$G$2:$G$4460,0)),"")</f>
        <v>,</v>
      </c>
      <c r="E39" s="23" t="str">
        <f aca="false">IFERROR(INDEX(_対応表!$J$2:$J$4460,MATCH($A39,_対応表!$G$2:$G$4460,0)),"")</f>
        <v/>
      </c>
      <c r="F39" s="23" t="str">
        <f aca="false">IFERROR(INDEX(_対応表!$K$2:$K$4460,MATCH($A39,_対応表!$G$2:$G$4460,0)),"")</f>
        <v/>
      </c>
      <c r="G39" s="23" t="str">
        <f aca="false">IFERROR(INDEX(_対応表!$L$2:$L$4460,MATCH($A39,_対応表!$G$2:$G$4460,0)),"")</f>
        <v>同時</v>
      </c>
      <c r="H39" s="24"/>
    </row>
    <row r="40" customFormat="false" ht="15" hidden="false" customHeight="true" outlineLevel="0" collapsed="false">
      <c r="A40" s="21" t="s">
        <v>126</v>
      </c>
      <c r="B40" s="22" t="s">
        <v>364</v>
      </c>
      <c r="C40" s="23" t="str">
        <f aca="false">IFERROR(INDEX(_対応表!$H$2:$H$4460,MATCH($A40,_対応表!$G$2:$G$4460,0)),"")</f>
        <v>space</v>
      </c>
      <c r="D40" s="23" t="str">
        <f aca="false">IFERROR(INDEX(_対応表!$I$2:$I$4460,MATCH($A40,_対応表!$G$2:$G$4460,0)),"")</f>
        <v>w</v>
      </c>
      <c r="E40" s="23" t="str">
        <f aca="false">IFERROR(INDEX(_対応表!$J$2:$J$4460,MATCH($A40,_対応表!$G$2:$G$4460,0)),"")</f>
        <v/>
      </c>
      <c r="F40" s="23" t="str">
        <f aca="false">IFERROR(INDEX(_対応表!$K$2:$K$4460,MATCH($A40,_対応表!$G$2:$G$4460,0)),"")</f>
        <v/>
      </c>
      <c r="G40" s="23" t="str">
        <f aca="false">IFERROR(INDEX(_対応表!$L$2:$L$4460,MATCH($A40,_対応表!$G$2:$G$4460,0)),"")</f>
        <v>同時</v>
      </c>
      <c r="H40" s="24"/>
    </row>
    <row r="41" customFormat="false" ht="15" hidden="false" customHeight="true" outlineLevel="0" collapsed="false">
      <c r="A41" s="21" t="s">
        <v>140</v>
      </c>
      <c r="B41" s="22" t="s">
        <v>364</v>
      </c>
      <c r="C41" s="23" t="str">
        <f aca="false">IFERROR(INDEX(_対応表!$H$2:$H$4460,MATCH($A41,_対応表!$G$2:$G$4460,0)),"")</f>
        <v>space</v>
      </c>
      <c r="D41" s="23" t="str">
        <f aca="false">IFERROR(INDEX(_対応表!$I$2:$I$4460,MATCH($A41,_対応表!$G$2:$G$4460,0)),"")</f>
        <v>k</v>
      </c>
      <c r="E41" s="23" t="str">
        <f aca="false">IFERROR(INDEX(_対応表!$J$2:$J$4460,MATCH($A41,_対応表!$G$2:$G$4460,0)),"")</f>
        <v/>
      </c>
      <c r="F41" s="23" t="str">
        <f aca="false">IFERROR(INDEX(_対応表!$K$2:$K$4460,MATCH($A41,_対応表!$G$2:$G$4460,0)),"")</f>
        <v/>
      </c>
      <c r="G41" s="23" t="str">
        <f aca="false">IFERROR(INDEX(_対応表!$L$2:$L$4460,MATCH($A41,_対応表!$G$2:$G$4460,0)),"")</f>
        <v>同時</v>
      </c>
      <c r="H41" s="24"/>
    </row>
    <row r="42" customFormat="false" ht="15" hidden="false" customHeight="true" outlineLevel="0" collapsed="false">
      <c r="A42" s="21" t="s">
        <v>138</v>
      </c>
      <c r="B42" s="22" t="s">
        <v>364</v>
      </c>
      <c r="C42" s="23" t="str">
        <f aca="false">IFERROR(INDEX(_対応表!$H$2:$H$4460,MATCH($A42,_対応表!$G$2:$G$4460,0)),"")</f>
        <v>space</v>
      </c>
      <c r="D42" s="23" t="str">
        <f aca="false">IFERROR(INDEX(_対応表!$I$2:$I$4460,MATCH($A42,_対応表!$G$2:$G$4460,0)),"")</f>
        <v>h</v>
      </c>
      <c r="E42" s="23" t="str">
        <f aca="false">IFERROR(INDEX(_対応表!$J$2:$J$4460,MATCH($A42,_対応表!$G$2:$G$4460,0)),"")</f>
        <v/>
      </c>
      <c r="F42" s="23" t="str">
        <f aca="false">IFERROR(INDEX(_対応表!$K$2:$K$4460,MATCH($A42,_対応表!$G$2:$G$4460,0)),"")</f>
        <v/>
      </c>
      <c r="G42" s="23" t="str">
        <f aca="false">IFERROR(INDEX(_対応表!$L$2:$L$4460,MATCH($A42,_対応表!$G$2:$G$4460,0)),"")</f>
        <v>同時</v>
      </c>
      <c r="H42" s="24"/>
    </row>
    <row r="43" customFormat="false" ht="15" hidden="false" customHeight="true" outlineLevel="0" collapsed="false">
      <c r="A43" s="21" t="s">
        <v>132</v>
      </c>
      <c r="B43" s="22" t="s">
        <v>364</v>
      </c>
      <c r="C43" s="23" t="str">
        <f aca="false">IFERROR(INDEX(_対応表!$H$2:$H$4460,MATCH($A43,_対応表!$G$2:$G$4460,0)),"")</f>
        <v>space</v>
      </c>
      <c r="D43" s="23" t="str">
        <f aca="false">IFERROR(INDEX(_対応表!$I$2:$I$4460,MATCH($A43,_対応表!$G$2:$G$4460,0)),"")</f>
        <v>p</v>
      </c>
      <c r="E43" s="23" t="str">
        <f aca="false">IFERROR(INDEX(_対応表!$J$2:$J$4460,MATCH($A43,_対応表!$G$2:$G$4460,0)),"")</f>
        <v/>
      </c>
      <c r="F43" s="23" t="str">
        <f aca="false">IFERROR(INDEX(_対応表!$K$2:$K$4460,MATCH($A43,_対応表!$G$2:$G$4460,0)),"")</f>
        <v/>
      </c>
      <c r="G43" s="23" t="str">
        <f aca="false">IFERROR(INDEX(_対応表!$L$2:$L$4460,MATCH($A43,_対応表!$G$2:$G$4460,0)),"")</f>
        <v>同時</v>
      </c>
      <c r="H43" s="24"/>
    </row>
    <row r="44" customFormat="false" ht="15" hidden="false" customHeight="true" outlineLevel="0" collapsed="false">
      <c r="A44" s="21" t="s">
        <v>130</v>
      </c>
      <c r="B44" s="22" t="s">
        <v>364</v>
      </c>
      <c r="C44" s="23" t="str">
        <f aca="false">IFERROR(INDEX(_対応表!$H$2:$H$4460,MATCH($A44,_対応表!$G$2:$G$4460,0)),"")</f>
        <v>space</v>
      </c>
      <c r="D44" s="23" t="str">
        <f aca="false">IFERROR(INDEX(_対応表!$I$2:$I$4460,MATCH($A44,_対応表!$G$2:$G$4460,0)),"")</f>
        <v>i</v>
      </c>
      <c r="E44" s="23" t="str">
        <f aca="false">IFERROR(INDEX(_対応表!$J$2:$J$4460,MATCH($A44,_対応表!$G$2:$G$4460,0)),"")</f>
        <v/>
      </c>
      <c r="F44" s="23" t="str">
        <f aca="false">IFERROR(INDEX(_対応表!$K$2:$K$4460,MATCH($A44,_対応表!$G$2:$G$4460,0)),"")</f>
        <v/>
      </c>
      <c r="G44" s="23" t="str">
        <f aca="false">IFERROR(INDEX(_対応表!$L$2:$L$4460,MATCH($A44,_対応表!$G$2:$G$4460,0)),"")</f>
        <v>同時</v>
      </c>
      <c r="H44" s="24"/>
    </row>
    <row r="45" customFormat="false" ht="15" hidden="false" customHeight="true" outlineLevel="0" collapsed="false">
      <c r="A45" s="21" t="s">
        <v>118</v>
      </c>
      <c r="B45" s="22" t="s">
        <v>364</v>
      </c>
      <c r="C45" s="23" t="str">
        <f aca="false">IFERROR(INDEX(_対応表!$H$2:$H$4460,MATCH($A45,_対応表!$G$2:$G$4460,0)),"")</f>
        <v>.</v>
      </c>
      <c r="D45" s="23" t="str">
        <f aca="false">IFERROR(INDEX(_対応表!$I$2:$I$4460,MATCH($A45,_対応表!$G$2:$G$4460,0)),"")</f>
        <v/>
      </c>
      <c r="E45" s="23" t="str">
        <f aca="false">IFERROR(INDEX(_対応表!$J$2:$J$4460,MATCH($A45,_対応表!$G$2:$G$4460,0)),"")</f>
        <v/>
      </c>
      <c r="F45" s="23" t="str">
        <f aca="false">IFERROR(INDEX(_対応表!$K$2:$K$4460,MATCH($A45,_対応表!$G$2:$G$4460,0)),"")</f>
        <v/>
      </c>
      <c r="G45" s="23" t="str">
        <f aca="false">IFERROR(INDEX(_対応表!$L$2:$L$4460,MATCH($A45,_対応表!$G$2:$G$4460,0)),"")</f>
        <v/>
      </c>
      <c r="H45" s="24"/>
    </row>
    <row r="46" customFormat="false" ht="15" hidden="false" customHeight="true" outlineLevel="0" collapsed="false">
      <c r="A46" s="21" t="s">
        <v>127</v>
      </c>
      <c r="B46" s="22" t="s">
        <v>364</v>
      </c>
      <c r="C46" s="23" t="str">
        <f aca="false">IFERROR(INDEX(_対応表!$H$2:$H$4460,MATCH($A46,_対応表!$G$2:$G$4460,0)),"")</f>
        <v>space</v>
      </c>
      <c r="D46" s="23" t="str">
        <f aca="false">IFERROR(INDEX(_対応表!$I$2:$I$4460,MATCH($A46,_対応表!$G$2:$G$4460,0)),"")</f>
        <v>e</v>
      </c>
      <c r="E46" s="23" t="str">
        <f aca="false">IFERROR(INDEX(_対応表!$J$2:$J$4460,MATCH($A46,_対応表!$G$2:$G$4460,0)),"")</f>
        <v/>
      </c>
      <c r="F46" s="23" t="str">
        <f aca="false">IFERROR(INDEX(_対応表!$K$2:$K$4460,MATCH($A46,_対応表!$G$2:$G$4460,0)),"")</f>
        <v/>
      </c>
      <c r="G46" s="23" t="str">
        <f aca="false">IFERROR(INDEX(_対応表!$L$2:$L$4460,MATCH($A46,_対応表!$G$2:$G$4460,0)),"")</f>
        <v>同時</v>
      </c>
      <c r="H46" s="24"/>
    </row>
    <row r="47" customFormat="false" ht="15" hidden="false" customHeight="true" outlineLevel="0" collapsed="false">
      <c r="A47" s="21" t="s">
        <v>79</v>
      </c>
      <c r="B47" s="22" t="s">
        <v>364</v>
      </c>
      <c r="C47" s="23" t="str">
        <f aca="false">IFERROR(INDEX(_対応表!$H$2:$H$4460,MATCH($A47,_対応表!$G$2:$G$4460,0)),"")</f>
        <v>i</v>
      </c>
      <c r="D47" s="23" t="str">
        <f aca="false">IFERROR(INDEX(_対応表!$I$2:$I$4460,MATCH($A47,_対応表!$G$2:$G$4460,0)),"")</f>
        <v/>
      </c>
      <c r="E47" s="23" t="str">
        <f aca="false">IFERROR(INDEX(_対応表!$J$2:$J$4460,MATCH($A47,_対応表!$G$2:$G$4460,0)),"")</f>
        <v/>
      </c>
      <c r="F47" s="23" t="str">
        <f aca="false">IFERROR(INDEX(_対応表!$K$2:$K$4460,MATCH($A47,_対応表!$G$2:$G$4460,0)),"")</f>
        <v/>
      </c>
      <c r="G47" s="23" t="str">
        <f aca="false">IFERROR(INDEX(_対応表!$L$2:$L$4460,MATCH($A47,_対応表!$G$2:$G$4460,0)),"")</f>
        <v/>
      </c>
      <c r="H47" s="24"/>
    </row>
    <row r="48" customFormat="false" ht="15" hidden="false" customHeight="true" outlineLevel="0" collapsed="false">
      <c r="A48" s="21" t="s">
        <v>119</v>
      </c>
      <c r="B48" s="22" t="s">
        <v>364</v>
      </c>
      <c r="C48" s="23" t="str">
        <f aca="false">IFERROR(INDEX(_対応表!$H$2:$H$4460,MATCH($A48,_対応表!$G$2:$G$4460,0)),"")</f>
        <v>/</v>
      </c>
      <c r="D48" s="23" t="str">
        <f aca="false">IFERROR(INDEX(_対応表!$I$2:$I$4460,MATCH($A48,_対応表!$G$2:$G$4460,0)),"")</f>
        <v/>
      </c>
      <c r="E48" s="23" t="str">
        <f aca="false">IFERROR(INDEX(_対応表!$J$2:$J$4460,MATCH($A48,_対応表!$G$2:$G$4460,0)),"")</f>
        <v/>
      </c>
      <c r="F48" s="23" t="str">
        <f aca="false">IFERROR(INDEX(_対応表!$K$2:$K$4460,MATCH($A48,_対応表!$G$2:$G$4460,0)),"")</f>
        <v/>
      </c>
      <c r="G48" s="23" t="str">
        <f aca="false">IFERROR(INDEX(_対応表!$L$2:$L$4460,MATCH($A48,_対応表!$G$2:$G$4460,0)),"")</f>
        <v/>
      </c>
      <c r="H48" s="24"/>
    </row>
    <row r="49" customFormat="false" ht="15" hidden="false" customHeight="true" outlineLevel="0" collapsed="false">
      <c r="A49" s="21" t="s">
        <v>92</v>
      </c>
      <c r="B49" s="22" t="s">
        <v>364</v>
      </c>
      <c r="C49" s="23" t="str">
        <f aca="false">IFERROR(INDEX(_対応表!$H$2:$H$4460,MATCH($A49,_対応表!$G$2:$G$4460,0)),"")</f>
        <v>a</v>
      </c>
      <c r="D49" s="23" t="str">
        <f aca="false">IFERROR(INDEX(_対応表!$I$2:$I$4460,MATCH($A49,_対応表!$G$2:$G$4460,0)),"")</f>
        <v/>
      </c>
      <c r="E49" s="23" t="str">
        <f aca="false">IFERROR(INDEX(_対応表!$J$2:$J$4460,MATCH($A49,_対応表!$G$2:$G$4460,0)),"")</f>
        <v/>
      </c>
      <c r="F49" s="23" t="str">
        <f aca="false">IFERROR(INDEX(_対応表!$K$2:$K$4460,MATCH($A49,_対応表!$G$2:$G$4460,0)),"")</f>
        <v/>
      </c>
      <c r="G49" s="23" t="str">
        <f aca="false">IFERROR(INDEX(_対応表!$L$2:$L$4460,MATCH($A49,_対応表!$G$2:$G$4460,0)),"")</f>
        <v/>
      </c>
      <c r="H49" s="24"/>
    </row>
    <row r="50" customFormat="false" ht="15" hidden="false" customHeight="true" outlineLevel="0" collapsed="false">
      <c r="A50" s="21" t="s">
        <v>149</v>
      </c>
      <c r="B50" s="22" t="s">
        <v>364</v>
      </c>
      <c r="C50" s="23" t="str">
        <f aca="false">IFERROR(INDEX(_対応表!$H$2:$H$4460,MATCH($A50,_対応表!$G$2:$G$4460,0)),"")</f>
        <v>space</v>
      </c>
      <c r="D50" s="23" t="str">
        <f aca="false">IFERROR(INDEX(_対応表!$I$2:$I$4460,MATCH($A50,_対応表!$G$2:$G$4460,0)),"")</f>
        <v>.</v>
      </c>
      <c r="E50" s="23" t="str">
        <f aca="false">IFERROR(INDEX(_対応表!$J$2:$J$4460,MATCH($A50,_対応表!$G$2:$G$4460,0)),"")</f>
        <v/>
      </c>
      <c r="F50" s="23" t="str">
        <f aca="false">IFERROR(INDEX(_対応表!$K$2:$K$4460,MATCH($A50,_対応表!$G$2:$G$4460,0)),"")</f>
        <v/>
      </c>
      <c r="G50" s="23" t="str">
        <f aca="false">IFERROR(INDEX(_対応表!$L$2:$L$4460,MATCH($A50,_対応表!$G$2:$G$4460,0)),"")</f>
        <v>同時</v>
      </c>
      <c r="H50" s="24"/>
    </row>
    <row r="51" customFormat="false" ht="15" hidden="false" customHeight="true" outlineLevel="0" collapsed="false">
      <c r="A51" s="21" t="s">
        <v>365</v>
      </c>
      <c r="B51" s="22" t="s">
        <v>364</v>
      </c>
      <c r="C51" s="23" t="str">
        <f aca="false">IFERROR(INDEX(_対応表!$H$2:$H$4460,MATCH($A51,_対応表!$G$2:$G$4460,0)),"")</f>
        <v/>
      </c>
      <c r="D51" s="23" t="str">
        <f aca="false">IFERROR(INDEX(_対応表!$I$2:$I$4460,MATCH($A51,_対応表!$G$2:$G$4460,0)),"")</f>
        <v/>
      </c>
      <c r="E51" s="23" t="str">
        <f aca="false">IFERROR(INDEX(_対応表!$J$2:$J$4460,MATCH($A51,_対応表!$G$2:$G$4460,0)),"")</f>
        <v/>
      </c>
      <c r="F51" s="23" t="str">
        <f aca="false">IFERROR(INDEX(_対応表!$K$2:$K$4460,MATCH($A51,_対応表!$G$2:$G$4460,0)),"")</f>
        <v/>
      </c>
      <c r="G51" s="23" t="str">
        <f aca="false">IFERROR(INDEX(_対応表!$L$2:$L$4460,MATCH($A51,_対応表!$G$2:$G$4460,0)),"")</f>
        <v/>
      </c>
      <c r="H51" s="24"/>
    </row>
    <row r="52" customFormat="false" ht="15" hidden="false" customHeight="true" outlineLevel="0" collapsed="false">
      <c r="A52" s="21" t="s">
        <v>366</v>
      </c>
      <c r="B52" s="22" t="s">
        <v>364</v>
      </c>
      <c r="C52" s="23" t="str">
        <f aca="false">IFERROR(INDEX(_対応表!$H$2:$H$4460,MATCH($A52,_対応表!$G$2:$G$4460,0)),"")</f>
        <v/>
      </c>
      <c r="D52" s="23" t="str">
        <f aca="false">IFERROR(INDEX(_対応表!$I$2:$I$4460,MATCH($A52,_対応表!$G$2:$G$4460,0)),"")</f>
        <v/>
      </c>
      <c r="E52" s="23" t="str">
        <f aca="false">IFERROR(INDEX(_対応表!$J$2:$J$4460,MATCH($A52,_対応表!$G$2:$G$4460,0)),"")</f>
        <v/>
      </c>
      <c r="F52" s="23" t="str">
        <f aca="false">IFERROR(INDEX(_対応表!$K$2:$K$4460,MATCH($A52,_対応表!$G$2:$G$4460,0)),"")</f>
        <v/>
      </c>
      <c r="G52" s="23" t="str">
        <f aca="false">IFERROR(INDEX(_対応表!$L$2:$L$4460,MATCH($A52,_対応表!$G$2:$G$4460,0)),"")</f>
        <v/>
      </c>
      <c r="H52" s="24"/>
    </row>
    <row r="53" customFormat="false" ht="15" hidden="false" customHeight="true" outlineLevel="0" collapsed="false">
      <c r="A53" s="21" t="s">
        <v>143</v>
      </c>
      <c r="B53" s="22" t="s">
        <v>364</v>
      </c>
      <c r="C53" s="23" t="str">
        <f aca="false">IFERROR(INDEX(_対応表!$H$2:$H$4460,MATCH($A53,_対応表!$G$2:$G$4460,0)),"")</f>
        <v>space</v>
      </c>
      <c r="D53" s="23" t="str">
        <f aca="false">IFERROR(INDEX(_対応表!$I$2:$I$4460,MATCH($A53,_対応表!$G$2:$G$4460,0)),"")</f>
        <v>c</v>
      </c>
      <c r="E53" s="23" t="str">
        <f aca="false">IFERROR(INDEX(_対応表!$J$2:$J$4460,MATCH($A53,_対応表!$G$2:$G$4460,0)),"")</f>
        <v/>
      </c>
      <c r="F53" s="23" t="str">
        <f aca="false">IFERROR(INDEX(_対応表!$K$2:$K$4460,MATCH($A53,_対応表!$G$2:$G$4460,0)),"")</f>
        <v/>
      </c>
      <c r="G53" s="23" t="str">
        <f aca="false">IFERROR(INDEX(_対応表!$L$2:$L$4460,MATCH($A53,_対応表!$G$2:$G$4460,0)),"")</f>
        <v>同時</v>
      </c>
      <c r="H53" s="24"/>
    </row>
    <row r="54" customFormat="false" ht="15" hidden="false" customHeight="true" outlineLevel="0" collapsed="false">
      <c r="A54" s="21" t="s">
        <v>117</v>
      </c>
      <c r="B54" s="22" t="s">
        <v>364</v>
      </c>
      <c r="C54" s="23" t="str">
        <f aca="false">IFERROR(INDEX(_対応表!$H$2:$H$4460,MATCH($A54,_対応表!$G$2:$G$4460,0)),"")</f>
        <v>,</v>
      </c>
      <c r="D54" s="23" t="str">
        <f aca="false">IFERROR(INDEX(_対応表!$I$2:$I$4460,MATCH($A54,_対応表!$G$2:$G$4460,0)),"")</f>
        <v/>
      </c>
      <c r="E54" s="23" t="str">
        <f aca="false">IFERROR(INDEX(_対応表!$J$2:$J$4460,MATCH($A54,_対応表!$G$2:$G$4460,0)),"")</f>
        <v/>
      </c>
      <c r="F54" s="23" t="str">
        <f aca="false">IFERROR(INDEX(_対応表!$K$2:$K$4460,MATCH($A54,_対応表!$G$2:$G$4460,0)),"")</f>
        <v/>
      </c>
      <c r="G54" s="23" t="str">
        <f aca="false">IFERROR(INDEX(_対応表!$L$2:$L$4460,MATCH($A54,_対応表!$G$2:$G$4460,0)),"")</f>
        <v/>
      </c>
      <c r="H54" s="24"/>
    </row>
    <row r="55" customFormat="false" ht="15" hidden="false" customHeight="true" outlineLevel="0" collapsed="false">
      <c r="A55" s="21" t="s">
        <v>165</v>
      </c>
      <c r="B55" s="22" t="s">
        <v>367</v>
      </c>
      <c r="C55" s="23" t="str">
        <f aca="false">IFERROR(INDEX(_対応表!$H$2:$H$4460,MATCH($A55,_対応表!$G$2:$G$4460,0)),"")</f>
        <v>j</v>
      </c>
      <c r="D55" s="23" t="str">
        <f aca="false">IFERROR(INDEX(_対応表!$I$2:$I$4460,MATCH($A55,_対応表!$G$2:$G$4460,0)),"")</f>
        <v>f</v>
      </c>
      <c r="E55" s="23" t="str">
        <f aca="false">IFERROR(INDEX(_対応表!$J$2:$J$4460,MATCH($A55,_対応表!$G$2:$G$4460,0)),"")</f>
        <v/>
      </c>
      <c r="F55" s="23" t="str">
        <f aca="false">IFERROR(INDEX(_対応表!$K$2:$K$4460,MATCH($A55,_対応表!$G$2:$G$4460,0)),"")</f>
        <v/>
      </c>
      <c r="G55" s="23" t="str">
        <f aca="false">IFERROR(INDEX(_対応表!$L$2:$L$4460,MATCH($A55,_対応表!$G$2:$G$4460,0)),"")</f>
        <v>同時</v>
      </c>
      <c r="H55" s="24"/>
    </row>
    <row r="56" customFormat="false" ht="15" hidden="false" customHeight="true" outlineLevel="0" collapsed="false">
      <c r="A56" s="21" t="s">
        <v>159</v>
      </c>
      <c r="B56" s="22" t="s">
        <v>367</v>
      </c>
      <c r="C56" s="23" t="str">
        <f aca="false">IFERROR(INDEX(_対応表!$H$2:$H$4460,MATCH($A56,_対応表!$G$2:$G$4460,0)),"")</f>
        <v>j</v>
      </c>
      <c r="D56" s="23" t="str">
        <f aca="false">IFERROR(INDEX(_対応表!$I$2:$I$4460,MATCH($A56,_対応表!$G$2:$G$4460,0)),"")</f>
        <v>w</v>
      </c>
      <c r="E56" s="23" t="str">
        <f aca="false">IFERROR(INDEX(_対応表!$J$2:$J$4460,MATCH($A56,_対応表!$G$2:$G$4460,0)),"")</f>
        <v/>
      </c>
      <c r="F56" s="23" t="str">
        <f aca="false">IFERROR(INDEX(_対応表!$K$2:$K$4460,MATCH($A56,_対応表!$G$2:$G$4460,0)),"")</f>
        <v/>
      </c>
      <c r="G56" s="23" t="str">
        <f aca="false">IFERROR(INDEX(_対応表!$L$2:$L$4460,MATCH($A56,_対応表!$G$2:$G$4460,0)),"")</f>
        <v>同時</v>
      </c>
      <c r="H56" s="24"/>
    </row>
    <row r="57" customFormat="false" ht="15" hidden="false" customHeight="true" outlineLevel="0" collapsed="false">
      <c r="A57" s="21" t="s">
        <v>154</v>
      </c>
      <c r="B57" s="22" t="s">
        <v>367</v>
      </c>
      <c r="C57" s="23" t="str">
        <f aca="false">IFERROR(INDEX(_対応表!$H$2:$H$4460,MATCH($A57,_対応表!$G$2:$G$4460,0)),"")</f>
        <v>f</v>
      </c>
      <c r="D57" s="23" t="str">
        <f aca="false">IFERROR(INDEX(_対応表!$I$2:$I$4460,MATCH($A57,_対応表!$G$2:$G$4460,0)),"")</f>
        <v>h</v>
      </c>
      <c r="E57" s="23" t="str">
        <f aca="false">IFERROR(INDEX(_対応表!$J$2:$J$4460,MATCH($A57,_対応表!$G$2:$G$4460,0)),"")</f>
        <v/>
      </c>
      <c r="F57" s="23" t="str">
        <f aca="false">IFERROR(INDEX(_対応表!$K$2:$K$4460,MATCH($A57,_対応表!$G$2:$G$4460,0)),"")</f>
        <v/>
      </c>
      <c r="G57" s="23" t="str">
        <f aca="false">IFERROR(INDEX(_対応表!$L$2:$L$4460,MATCH($A57,_対応表!$G$2:$G$4460,0)),"")</f>
        <v>同時</v>
      </c>
      <c r="H57" s="24"/>
    </row>
    <row r="58" customFormat="false" ht="15" hidden="false" customHeight="true" outlineLevel="0" collapsed="false">
      <c r="A58" s="21" t="s">
        <v>163</v>
      </c>
      <c r="B58" s="22" t="s">
        <v>367</v>
      </c>
      <c r="C58" s="23" t="str">
        <f aca="false">IFERROR(INDEX(_対応表!$H$2:$H$4460,MATCH($A58,_対応表!$G$2:$G$4460,0)),"")</f>
        <v>j</v>
      </c>
      <c r="D58" s="23" t="str">
        <f aca="false">IFERROR(INDEX(_対応表!$I$2:$I$4460,MATCH($A58,_対応表!$G$2:$G$4460,0)),"")</f>
        <v>s</v>
      </c>
      <c r="E58" s="23" t="str">
        <f aca="false">IFERROR(INDEX(_対応表!$J$2:$J$4460,MATCH($A58,_対応表!$G$2:$G$4460,0)),"")</f>
        <v/>
      </c>
      <c r="F58" s="23" t="str">
        <f aca="false">IFERROR(INDEX(_対応表!$K$2:$K$4460,MATCH($A58,_対応表!$G$2:$G$4460,0)),"")</f>
        <v/>
      </c>
      <c r="G58" s="23" t="str">
        <f aca="false">IFERROR(INDEX(_対応表!$L$2:$L$4460,MATCH($A58,_対応表!$G$2:$G$4460,0)),"")</f>
        <v>同時</v>
      </c>
      <c r="H58" s="24"/>
    </row>
    <row r="59" customFormat="false" ht="15" hidden="false" customHeight="true" outlineLevel="0" collapsed="false">
      <c r="A59" s="21" t="s">
        <v>170</v>
      </c>
      <c r="B59" s="22" t="s">
        <v>367</v>
      </c>
      <c r="C59" s="23" t="str">
        <f aca="false">IFERROR(INDEX(_対応表!$H$2:$H$4460,MATCH($A59,_対応表!$G$2:$G$4460,0)),"")</f>
        <v>j</v>
      </c>
      <c r="D59" s="23" t="str">
        <f aca="false">IFERROR(INDEX(_対応表!$I$2:$I$4460,MATCH($A59,_対応表!$G$2:$G$4460,0)),"")</f>
        <v>v</v>
      </c>
      <c r="E59" s="23" t="str">
        <f aca="false">IFERROR(INDEX(_対応表!$J$2:$J$4460,MATCH($A59,_対応表!$G$2:$G$4460,0)),"")</f>
        <v/>
      </c>
      <c r="F59" s="23" t="str">
        <f aca="false">IFERROR(INDEX(_対応表!$K$2:$K$4460,MATCH($A59,_対応表!$G$2:$G$4460,0)),"")</f>
        <v/>
      </c>
      <c r="G59" s="23" t="str">
        <f aca="false">IFERROR(INDEX(_対応表!$L$2:$L$4460,MATCH($A59,_対応表!$G$2:$G$4460,0)),"")</f>
        <v>同時</v>
      </c>
      <c r="H59" s="24"/>
    </row>
    <row r="60" customFormat="false" ht="15" hidden="false" customHeight="true" outlineLevel="0" collapsed="false">
      <c r="A60" s="21" t="s">
        <v>151</v>
      </c>
      <c r="B60" s="22" t="s">
        <v>367</v>
      </c>
      <c r="C60" s="23" t="str">
        <f aca="false">IFERROR(INDEX(_対応表!$H$2:$H$4460,MATCH($A60,_対応表!$G$2:$G$4460,0)),"")</f>
        <v>f</v>
      </c>
      <c r="D60" s="23" t="str">
        <f aca="false">IFERROR(INDEX(_対応表!$I$2:$I$4460,MATCH($A60,_対応表!$G$2:$G$4460,0)),"")</f>
        <v>u</v>
      </c>
      <c r="E60" s="23" t="str">
        <f aca="false">IFERROR(INDEX(_対応表!$J$2:$J$4460,MATCH($A60,_対応表!$G$2:$G$4460,0)),"")</f>
        <v/>
      </c>
      <c r="F60" s="23" t="str">
        <f aca="false">IFERROR(INDEX(_対応表!$K$2:$K$4460,MATCH($A60,_対応表!$G$2:$G$4460,0)),"")</f>
        <v/>
      </c>
      <c r="G60" s="23" t="str">
        <f aca="false">IFERROR(INDEX(_対応表!$L$2:$L$4460,MATCH($A60,_対応表!$G$2:$G$4460,0)),"")</f>
        <v>同時</v>
      </c>
      <c r="H60" s="24"/>
    </row>
    <row r="61" customFormat="false" ht="15" hidden="false" customHeight="true" outlineLevel="0" collapsed="false">
      <c r="A61" s="21" t="s">
        <v>161</v>
      </c>
      <c r="B61" s="22" t="s">
        <v>367</v>
      </c>
      <c r="C61" s="23" t="str">
        <f aca="false">IFERROR(INDEX(_対応表!$H$2:$H$4460,MATCH($A61,_対応表!$G$2:$G$4460,0)),"")</f>
        <v>j</v>
      </c>
      <c r="D61" s="23" t="str">
        <f aca="false">IFERROR(INDEX(_対応表!$I$2:$I$4460,MATCH($A61,_対応表!$G$2:$G$4460,0)),"")</f>
        <v>r</v>
      </c>
      <c r="E61" s="23" t="str">
        <f aca="false">IFERROR(INDEX(_対応表!$J$2:$J$4460,MATCH($A61,_対応表!$G$2:$G$4460,0)),"")</f>
        <v/>
      </c>
      <c r="F61" s="23" t="str">
        <f aca="false">IFERROR(INDEX(_対応表!$K$2:$K$4460,MATCH($A61,_対応表!$G$2:$G$4460,0)),"")</f>
        <v/>
      </c>
      <c r="G61" s="23" t="str">
        <f aca="false">IFERROR(INDEX(_対応表!$L$2:$L$4460,MATCH($A61,_対応表!$G$2:$G$4460,0)),"")</f>
        <v>同時</v>
      </c>
      <c r="H61" s="24"/>
    </row>
    <row r="62" customFormat="false" ht="15" hidden="false" customHeight="true" outlineLevel="0" collapsed="false">
      <c r="A62" s="21" t="s">
        <v>152</v>
      </c>
      <c r="B62" s="22" t="s">
        <v>367</v>
      </c>
      <c r="C62" s="23" t="str">
        <f aca="false">IFERROR(INDEX(_対応表!$H$2:$H$4460,MATCH($A62,_対応表!$G$2:$G$4460,0)),"")</f>
        <v>f</v>
      </c>
      <c r="D62" s="23" t="str">
        <f aca="false">IFERROR(INDEX(_対応表!$I$2:$I$4460,MATCH($A62,_対応表!$G$2:$G$4460,0)),"")</f>
        <v>o</v>
      </c>
      <c r="E62" s="23" t="str">
        <f aca="false">IFERROR(INDEX(_対応表!$J$2:$J$4460,MATCH($A62,_対応表!$G$2:$G$4460,0)),"")</f>
        <v/>
      </c>
      <c r="F62" s="23" t="str">
        <f aca="false">IFERROR(INDEX(_対応表!$K$2:$K$4460,MATCH($A62,_対応表!$G$2:$G$4460,0)),"")</f>
        <v/>
      </c>
      <c r="G62" s="23" t="str">
        <f aca="false">IFERROR(INDEX(_対応表!$L$2:$L$4460,MATCH($A62,_対応表!$G$2:$G$4460,0)),"")</f>
        <v>同時</v>
      </c>
      <c r="H62" s="24"/>
    </row>
    <row r="63" customFormat="false" ht="15" hidden="false" customHeight="true" outlineLevel="0" collapsed="false">
      <c r="A63" s="21" t="s">
        <v>162</v>
      </c>
      <c r="B63" s="22" t="s">
        <v>367</v>
      </c>
      <c r="C63" s="23" t="str">
        <f aca="false">IFERROR(INDEX(_対応表!$H$2:$H$4460,MATCH($A63,_対応表!$G$2:$G$4460,0)),"")</f>
        <v>j</v>
      </c>
      <c r="D63" s="23" t="str">
        <f aca="false">IFERROR(INDEX(_対応表!$I$2:$I$4460,MATCH($A63,_対応表!$G$2:$G$4460,0)),"")</f>
        <v>a</v>
      </c>
      <c r="E63" s="23" t="str">
        <f aca="false">IFERROR(INDEX(_対応表!$J$2:$J$4460,MATCH($A63,_対応表!$G$2:$G$4460,0)),"")</f>
        <v/>
      </c>
      <c r="F63" s="23" t="str">
        <f aca="false">IFERROR(INDEX(_対応表!$K$2:$K$4460,MATCH($A63,_対応表!$G$2:$G$4460,0)),"")</f>
        <v/>
      </c>
      <c r="G63" s="23" t="str">
        <f aca="false">IFERROR(INDEX(_対応表!$L$2:$L$4460,MATCH($A63,_対応表!$G$2:$G$4460,0)),"")</f>
        <v>同時</v>
      </c>
      <c r="H63" s="24"/>
    </row>
    <row r="64" customFormat="false" ht="15" hidden="false" customHeight="true" outlineLevel="0" collapsed="false">
      <c r="A64" s="21" t="s">
        <v>171</v>
      </c>
      <c r="B64" s="22" t="s">
        <v>367</v>
      </c>
      <c r="C64" s="23" t="str">
        <f aca="false">IFERROR(INDEX(_対応表!$H$2:$H$4460,MATCH($A64,_対応表!$G$2:$G$4460,0)),"")</f>
        <v>j</v>
      </c>
      <c r="D64" s="23" t="str">
        <f aca="false">IFERROR(INDEX(_対応表!$I$2:$I$4460,MATCH($A64,_対応表!$G$2:$G$4460,0)),"")</f>
        <v>b</v>
      </c>
      <c r="E64" s="23" t="str">
        <f aca="false">IFERROR(INDEX(_対応表!$J$2:$J$4460,MATCH($A64,_対応表!$G$2:$G$4460,0)),"")</f>
        <v/>
      </c>
      <c r="F64" s="23" t="str">
        <f aca="false">IFERROR(INDEX(_対応表!$K$2:$K$4460,MATCH($A64,_対応表!$G$2:$G$4460,0)),"")</f>
        <v/>
      </c>
      <c r="G64" s="23" t="str">
        <f aca="false">IFERROR(INDEX(_対応表!$L$2:$L$4460,MATCH($A64,_対応表!$G$2:$G$4460,0)),"")</f>
        <v>同時</v>
      </c>
      <c r="H64" s="24"/>
    </row>
    <row r="65" customFormat="false" ht="15" hidden="false" customHeight="true" outlineLevel="0" collapsed="false">
      <c r="A65" s="21" t="s">
        <v>157</v>
      </c>
      <c r="B65" s="22" t="s">
        <v>367</v>
      </c>
      <c r="C65" s="23" t="str">
        <f aca="false">IFERROR(INDEX(_対応表!$H$2:$H$4460,MATCH($A65,_対応表!$G$2:$G$4460,0)),"")</f>
        <v>f</v>
      </c>
      <c r="D65" s="23" t="str">
        <f aca="false">IFERROR(INDEX(_対応表!$I$2:$I$4460,MATCH($A65,_対応表!$G$2:$G$4460,0)),"")</f>
        <v>n</v>
      </c>
      <c r="E65" s="23" t="str">
        <f aca="false">IFERROR(INDEX(_対応表!$J$2:$J$4460,MATCH($A65,_対応表!$G$2:$G$4460,0)),"")</f>
        <v/>
      </c>
      <c r="F65" s="23" t="str">
        <f aca="false">IFERROR(INDEX(_対応表!$K$2:$K$4460,MATCH($A65,_対応表!$G$2:$G$4460,0)),"")</f>
        <v/>
      </c>
      <c r="G65" s="23" t="str">
        <f aca="false">IFERROR(INDEX(_対応表!$L$2:$L$4460,MATCH($A65,_対応表!$G$2:$G$4460,0)),"")</f>
        <v>同時</v>
      </c>
      <c r="H65" s="24"/>
    </row>
    <row r="66" customFormat="false" ht="15" hidden="false" customHeight="true" outlineLevel="0" collapsed="false">
      <c r="A66" s="21" t="s">
        <v>166</v>
      </c>
      <c r="B66" s="22" t="s">
        <v>367</v>
      </c>
      <c r="C66" s="23" t="str">
        <f aca="false">IFERROR(INDEX(_対応表!$H$2:$H$4460,MATCH($A66,_対応表!$G$2:$G$4460,0)),"")</f>
        <v>j</v>
      </c>
      <c r="D66" s="23" t="str">
        <f aca="false">IFERROR(INDEX(_対応表!$I$2:$I$4460,MATCH($A66,_対応表!$G$2:$G$4460,0)),"")</f>
        <v>g</v>
      </c>
      <c r="E66" s="23" t="str">
        <f aca="false">IFERROR(INDEX(_対応表!$J$2:$J$4460,MATCH($A66,_対応表!$G$2:$G$4460,0)),"")</f>
        <v/>
      </c>
      <c r="F66" s="23" t="str">
        <f aca="false">IFERROR(INDEX(_対応表!$K$2:$K$4460,MATCH($A66,_対応表!$G$2:$G$4460,0)),"")</f>
        <v/>
      </c>
      <c r="G66" s="23" t="str">
        <f aca="false">IFERROR(INDEX(_対応表!$L$2:$L$4460,MATCH($A66,_対応表!$G$2:$G$4460,0)),"")</f>
        <v>同時</v>
      </c>
      <c r="H66" s="24"/>
    </row>
    <row r="67" customFormat="false" ht="15" hidden="false" customHeight="true" outlineLevel="0" collapsed="false">
      <c r="A67" s="21" t="s">
        <v>155</v>
      </c>
      <c r="B67" s="22" t="s">
        <v>367</v>
      </c>
      <c r="C67" s="23" t="str">
        <f aca="false">IFERROR(INDEX(_対応表!$H$2:$H$4460,MATCH($A67,_対応表!$G$2:$G$4460,0)),"")</f>
        <v>f</v>
      </c>
      <c r="D67" s="23" t="str">
        <f aca="false">IFERROR(INDEX(_対応表!$I$2:$I$4460,MATCH($A67,_対応表!$G$2:$G$4460,0)),"")</f>
        <v>l</v>
      </c>
      <c r="E67" s="23" t="str">
        <f aca="false">IFERROR(INDEX(_対応表!$J$2:$J$4460,MATCH($A67,_対応表!$G$2:$G$4460,0)),"")</f>
        <v/>
      </c>
      <c r="F67" s="23" t="str">
        <f aca="false">IFERROR(INDEX(_対応表!$K$2:$K$4460,MATCH($A67,_対応表!$G$2:$G$4460,0)),"")</f>
        <v/>
      </c>
      <c r="G67" s="23" t="str">
        <f aca="false">IFERROR(INDEX(_対応表!$L$2:$L$4460,MATCH($A67,_対応表!$G$2:$G$4460,0)),"")</f>
        <v>同時</v>
      </c>
      <c r="H67" s="24"/>
    </row>
    <row r="68" customFormat="false" ht="15" hidden="false" customHeight="true" outlineLevel="0" collapsed="false">
      <c r="A68" s="21" t="s">
        <v>160</v>
      </c>
      <c r="B68" s="22" t="s">
        <v>367</v>
      </c>
      <c r="C68" s="23" t="str">
        <f aca="false">IFERROR(INDEX(_対応表!$H$2:$H$4460,MATCH($A68,_対応表!$G$2:$G$4460,0)),"")</f>
        <v>j</v>
      </c>
      <c r="D68" s="23" t="str">
        <f aca="false">IFERROR(INDEX(_対応表!$I$2:$I$4460,MATCH($A68,_対応表!$G$2:$G$4460,0)),"")</f>
        <v>e</v>
      </c>
      <c r="E68" s="23" t="str">
        <f aca="false">IFERROR(INDEX(_対応表!$J$2:$J$4460,MATCH($A68,_対応表!$G$2:$G$4460,0)),"")</f>
        <v/>
      </c>
      <c r="F68" s="23" t="str">
        <f aca="false">IFERROR(INDEX(_対応表!$K$2:$K$4460,MATCH($A68,_対応表!$G$2:$G$4460,0)),"")</f>
        <v/>
      </c>
      <c r="G68" s="23" t="str">
        <f aca="false">IFERROR(INDEX(_対応表!$L$2:$L$4460,MATCH($A68,_対応表!$G$2:$G$4460,0)),"")</f>
        <v>同時</v>
      </c>
      <c r="H68" s="24"/>
    </row>
    <row r="69" customFormat="false" ht="15" hidden="false" customHeight="true" outlineLevel="0" collapsed="false">
      <c r="A69" s="21" t="s">
        <v>164</v>
      </c>
      <c r="B69" s="22" t="s">
        <v>367</v>
      </c>
      <c r="C69" s="23" t="str">
        <f aca="false">IFERROR(INDEX(_対応表!$H$2:$H$4460,MATCH($A69,_対応表!$G$2:$G$4460,0)),"")</f>
        <v>j</v>
      </c>
      <c r="D69" s="23" t="str">
        <f aca="false">IFERROR(INDEX(_対応表!$I$2:$I$4460,MATCH($A69,_対応表!$G$2:$G$4460,0)),"")</f>
        <v>d</v>
      </c>
      <c r="E69" s="23" t="str">
        <f aca="false">IFERROR(INDEX(_対応表!$J$2:$J$4460,MATCH($A69,_対応表!$G$2:$G$4460,0)),"")</f>
        <v/>
      </c>
      <c r="F69" s="23" t="str">
        <f aca="false">IFERROR(INDEX(_対応表!$K$2:$K$4460,MATCH($A69,_対応表!$G$2:$G$4460,0)),"")</f>
        <v/>
      </c>
      <c r="G69" s="23" t="str">
        <f aca="false">IFERROR(INDEX(_対応表!$L$2:$L$4460,MATCH($A69,_対応表!$G$2:$G$4460,0)),"")</f>
        <v>同時</v>
      </c>
      <c r="H69" s="24"/>
    </row>
    <row r="70" customFormat="false" ht="15" hidden="false" customHeight="true" outlineLevel="0" collapsed="false">
      <c r="A70" s="21" t="s">
        <v>169</v>
      </c>
      <c r="B70" s="22" t="s">
        <v>367</v>
      </c>
      <c r="C70" s="23" t="str">
        <f aca="false">IFERROR(INDEX(_対応表!$H$2:$H$4460,MATCH($A70,_対応表!$G$2:$G$4460,0)),"")</f>
        <v>j</v>
      </c>
      <c r="D70" s="23" t="str">
        <f aca="false">IFERROR(INDEX(_対応表!$I$2:$I$4460,MATCH($A70,_対応表!$G$2:$G$4460,0)),"")</f>
        <v>c</v>
      </c>
      <c r="E70" s="23" t="str">
        <f aca="false">IFERROR(INDEX(_対応表!$J$2:$J$4460,MATCH($A70,_対応表!$G$2:$G$4460,0)),"")</f>
        <v/>
      </c>
      <c r="F70" s="23" t="str">
        <f aca="false">IFERROR(INDEX(_対応表!$K$2:$K$4460,MATCH($A70,_対応表!$G$2:$G$4460,0)),"")</f>
        <v/>
      </c>
      <c r="G70" s="23" t="str">
        <f aca="false">IFERROR(INDEX(_対応表!$L$2:$L$4460,MATCH($A70,_対応表!$G$2:$G$4460,0)),"")</f>
        <v>同時</v>
      </c>
      <c r="H70" s="24"/>
    </row>
    <row r="71" customFormat="false" ht="15" hidden="false" customHeight="true" outlineLevel="0" collapsed="false">
      <c r="A71" s="21" t="s">
        <v>168</v>
      </c>
      <c r="B71" s="22" t="s">
        <v>367</v>
      </c>
      <c r="C71" s="23" t="str">
        <f aca="false">IFERROR(INDEX(_対応表!$H$2:$H$4460,MATCH($A71,_対応表!$G$2:$G$4460,0)),"")</f>
        <v>j</v>
      </c>
      <c r="D71" s="23" t="str">
        <f aca="false">IFERROR(INDEX(_対応表!$I$2:$I$4460,MATCH($A71,_対応表!$G$2:$G$4460,0)),"")</f>
        <v>x</v>
      </c>
      <c r="E71" s="23" t="str">
        <f aca="false">IFERROR(INDEX(_対応表!$J$2:$J$4460,MATCH($A71,_対応表!$G$2:$G$4460,0)),"")</f>
        <v/>
      </c>
      <c r="F71" s="23" t="str">
        <f aca="false">IFERROR(INDEX(_対応表!$K$2:$K$4460,MATCH($A71,_対応表!$G$2:$G$4460,0)),"")</f>
        <v/>
      </c>
      <c r="G71" s="23" t="str">
        <f aca="false">IFERROR(INDEX(_対応表!$L$2:$L$4460,MATCH($A71,_対応表!$G$2:$G$4460,0)),"")</f>
        <v>同時</v>
      </c>
      <c r="H71" s="24"/>
    </row>
    <row r="72" customFormat="false" ht="15" hidden="false" customHeight="true" outlineLevel="0" collapsed="false">
      <c r="A72" s="21" t="s">
        <v>156</v>
      </c>
      <c r="B72" s="22" t="s">
        <v>367</v>
      </c>
      <c r="C72" s="23" t="str">
        <f aca="false">IFERROR(INDEX(_対応表!$H$2:$H$4460,MATCH($A72,_対応表!$G$2:$G$4460,0)),"")</f>
        <v>f</v>
      </c>
      <c r="D72" s="23" t="str">
        <f aca="false">IFERROR(INDEX(_対応表!$I$2:$I$4460,MATCH($A72,_対応表!$G$2:$G$4460,0)),"")</f>
        <v>;</v>
      </c>
      <c r="E72" s="23" t="str">
        <f aca="false">IFERROR(INDEX(_対応表!$J$2:$J$4460,MATCH($A72,_対応表!$G$2:$G$4460,0)),"")</f>
        <v/>
      </c>
      <c r="F72" s="23" t="str">
        <f aca="false">IFERROR(INDEX(_対応表!$K$2:$K$4460,MATCH($A72,_対応表!$G$2:$G$4460,0)),"")</f>
        <v/>
      </c>
      <c r="G72" s="23" t="str">
        <f aca="false">IFERROR(INDEX(_対応表!$L$2:$L$4460,MATCH($A72,_対応表!$G$2:$G$4460,0)),"")</f>
        <v>同時</v>
      </c>
      <c r="H72" s="24"/>
    </row>
    <row r="73" customFormat="false" ht="15" hidden="false" customHeight="true" outlineLevel="0" collapsed="false">
      <c r="A73" s="21" t="s">
        <v>153</v>
      </c>
      <c r="B73" s="22" t="s">
        <v>367</v>
      </c>
      <c r="C73" s="23" t="str">
        <f aca="false">IFERROR(INDEX(_対応表!$H$2:$H$4460,MATCH($A73,_対応表!$G$2:$G$4460,0)),"")</f>
        <v>f</v>
      </c>
      <c r="D73" s="23" t="str">
        <f aca="false">IFERROR(INDEX(_対応表!$I$2:$I$4460,MATCH($A73,_対応表!$G$2:$G$4460,0)),"")</f>
        <v>p</v>
      </c>
      <c r="E73" s="23" t="str">
        <f aca="false">IFERROR(INDEX(_対応表!$J$2:$J$4460,MATCH($A73,_対応表!$G$2:$G$4460,0)),"")</f>
        <v/>
      </c>
      <c r="F73" s="23" t="str">
        <f aca="false">IFERROR(INDEX(_対応表!$K$2:$K$4460,MATCH($A73,_対応表!$G$2:$G$4460,0)),"")</f>
        <v/>
      </c>
      <c r="G73" s="23" t="str">
        <f aca="false">IFERROR(INDEX(_対応表!$L$2:$L$4460,MATCH($A73,_対応表!$G$2:$G$4460,0)),"")</f>
        <v>同時</v>
      </c>
      <c r="H73" s="24"/>
    </row>
    <row r="74" customFormat="false" ht="15" hidden="false" customHeight="true" outlineLevel="0" collapsed="false">
      <c r="A74" s="21" t="s">
        <v>167</v>
      </c>
      <c r="B74" s="22" t="s">
        <v>367</v>
      </c>
      <c r="C74" s="23" t="str">
        <f aca="false">IFERROR(INDEX(_対応表!$H$2:$H$4460,MATCH($A74,_対応表!$G$2:$G$4460,0)),"")</f>
        <v>j</v>
      </c>
      <c r="D74" s="23" t="str">
        <f aca="false">IFERROR(INDEX(_対応表!$I$2:$I$4460,MATCH($A74,_対応表!$G$2:$G$4460,0)),"")</f>
        <v>z</v>
      </c>
      <c r="E74" s="23" t="str">
        <f aca="false">IFERROR(INDEX(_対応表!$J$2:$J$4460,MATCH($A74,_対応表!$G$2:$G$4460,0)),"")</f>
        <v/>
      </c>
      <c r="F74" s="23" t="str">
        <f aca="false">IFERROR(INDEX(_対応表!$K$2:$K$4460,MATCH($A74,_対応表!$G$2:$G$4460,0)),"")</f>
        <v/>
      </c>
      <c r="G74" s="23" t="str">
        <f aca="false">IFERROR(INDEX(_対応表!$L$2:$L$4460,MATCH($A74,_対応表!$G$2:$G$4460,0)),"")</f>
        <v>同時</v>
      </c>
      <c r="H74" s="24"/>
    </row>
    <row r="75" customFormat="false" ht="15" hidden="false" customHeight="true" outlineLevel="0" collapsed="false">
      <c r="A75" s="21" t="s">
        <v>178</v>
      </c>
      <c r="B75" s="22" t="s">
        <v>367</v>
      </c>
      <c r="C75" s="23" t="str">
        <f aca="false">IFERROR(INDEX(_対応表!$H$2:$H$4460,MATCH($A75,_対応表!$G$2:$G$4460,0)),"")</f>
        <v>m</v>
      </c>
      <c r="D75" s="23" t="str">
        <f aca="false">IFERROR(INDEX(_対応表!$I$2:$I$4460,MATCH($A75,_対応表!$G$2:$G$4460,0)),"")</f>
        <v>c</v>
      </c>
      <c r="E75" s="23" t="str">
        <f aca="false">IFERROR(INDEX(_対応表!$J$2:$J$4460,MATCH($A75,_対応表!$G$2:$G$4460,0)),"")</f>
        <v/>
      </c>
      <c r="F75" s="23" t="str">
        <f aca="false">IFERROR(INDEX(_対応表!$K$2:$K$4460,MATCH($A75,_対応表!$G$2:$G$4460,0)),"")</f>
        <v/>
      </c>
      <c r="G75" s="23" t="str">
        <f aca="false">IFERROR(INDEX(_対応表!$L$2:$L$4460,MATCH($A75,_対応表!$G$2:$G$4460,0)),"")</f>
        <v>同時</v>
      </c>
      <c r="H75" s="24"/>
    </row>
    <row r="76" customFormat="false" ht="15" hidden="false" customHeight="true" outlineLevel="0" collapsed="false">
      <c r="A76" s="21" t="s">
        <v>177</v>
      </c>
      <c r="B76" s="22" t="s">
        <v>367</v>
      </c>
      <c r="C76" s="23" t="str">
        <f aca="false">IFERROR(INDEX(_対応表!$H$2:$H$4460,MATCH($A76,_対応表!$G$2:$G$4460,0)),"")</f>
        <v>m</v>
      </c>
      <c r="D76" s="23" t="str">
        <f aca="false">IFERROR(INDEX(_対応表!$I$2:$I$4460,MATCH($A76,_対応表!$G$2:$G$4460,0)),"")</f>
        <v>x</v>
      </c>
      <c r="E76" s="23" t="str">
        <f aca="false">IFERROR(INDEX(_対応表!$J$2:$J$4460,MATCH($A76,_対応表!$G$2:$G$4460,0)),"")</f>
        <v/>
      </c>
      <c r="F76" s="23" t="str">
        <f aca="false">IFERROR(INDEX(_対応表!$K$2:$K$4460,MATCH($A76,_対応表!$G$2:$G$4460,0)),"")</f>
        <v/>
      </c>
      <c r="G76" s="23" t="str">
        <f aca="false">IFERROR(INDEX(_対応表!$L$2:$L$4460,MATCH($A76,_対応表!$G$2:$G$4460,0)),"")</f>
        <v>同時</v>
      </c>
      <c r="H76" s="24"/>
    </row>
    <row r="77" customFormat="false" ht="15" hidden="false" customHeight="true" outlineLevel="0" collapsed="false">
      <c r="A77" s="21" t="s">
        <v>174</v>
      </c>
      <c r="B77" s="22" t="s">
        <v>367</v>
      </c>
      <c r="C77" s="23" t="str">
        <f aca="false">IFERROR(INDEX(_対応表!$H$2:$H$4460,MATCH($A77,_対応表!$G$2:$G$4460,0)),"")</f>
        <v>v</v>
      </c>
      <c r="D77" s="23" t="str">
        <f aca="false">IFERROR(INDEX(_対応表!$I$2:$I$4460,MATCH($A77,_対応表!$G$2:$G$4460,0)),"")</f>
        <v>;</v>
      </c>
      <c r="E77" s="23" t="str">
        <f aca="false">IFERROR(INDEX(_対応表!$J$2:$J$4460,MATCH($A77,_対応表!$G$2:$G$4460,0)),"")</f>
        <v/>
      </c>
      <c r="F77" s="23" t="str">
        <f aca="false">IFERROR(INDEX(_対応表!$K$2:$K$4460,MATCH($A77,_対応表!$G$2:$G$4460,0)),"")</f>
        <v/>
      </c>
      <c r="G77" s="23" t="str">
        <f aca="false">IFERROR(INDEX(_対応表!$L$2:$L$4460,MATCH($A77,_対応表!$G$2:$G$4460,0)),"")</f>
        <v>同時</v>
      </c>
      <c r="H77" s="24"/>
    </row>
    <row r="78" customFormat="false" ht="15" hidden="false" customHeight="true" outlineLevel="0" collapsed="false">
      <c r="A78" s="21" t="s">
        <v>173</v>
      </c>
      <c r="B78" s="22" t="s">
        <v>367</v>
      </c>
      <c r="C78" s="23" t="str">
        <f aca="false">IFERROR(INDEX(_対応表!$H$2:$H$4460,MATCH($A78,_対応表!$G$2:$G$4460,0)),"")</f>
        <v>v</v>
      </c>
      <c r="D78" s="23" t="str">
        <f aca="false">IFERROR(INDEX(_対応表!$I$2:$I$4460,MATCH($A78,_対応表!$G$2:$G$4460,0)),"")</f>
        <v>p</v>
      </c>
      <c r="E78" s="23" t="str">
        <f aca="false">IFERROR(INDEX(_対応表!$J$2:$J$4460,MATCH($A78,_対応表!$G$2:$G$4460,0)),"")</f>
        <v/>
      </c>
      <c r="F78" s="23" t="str">
        <f aca="false">IFERROR(INDEX(_対応表!$K$2:$K$4460,MATCH($A78,_対応表!$G$2:$G$4460,0)),"")</f>
        <v/>
      </c>
      <c r="G78" s="23" t="str">
        <f aca="false">IFERROR(INDEX(_対応表!$L$2:$L$4460,MATCH($A78,_対応表!$G$2:$G$4460,0)),"")</f>
        <v>同時</v>
      </c>
      <c r="H78" s="24"/>
    </row>
    <row r="79" customFormat="false" ht="15" hidden="false" customHeight="true" outlineLevel="0" collapsed="false">
      <c r="A79" s="21" t="s">
        <v>176</v>
      </c>
      <c r="B79" s="22" t="s">
        <v>367</v>
      </c>
      <c r="C79" s="23" t="str">
        <f aca="false">IFERROR(INDEX(_対応表!$H$2:$H$4460,MATCH($A79,_対応表!$G$2:$G$4460,0)),"")</f>
        <v>m</v>
      </c>
      <c r="D79" s="23" t="str">
        <f aca="false">IFERROR(INDEX(_対応表!$I$2:$I$4460,MATCH($A79,_対応表!$G$2:$G$4460,0)),"")</f>
        <v>z</v>
      </c>
      <c r="E79" s="23" t="str">
        <f aca="false">IFERROR(INDEX(_対応表!$J$2:$J$4460,MATCH($A79,_対応表!$G$2:$G$4460,0)),"")</f>
        <v/>
      </c>
      <c r="F79" s="23" t="str">
        <f aca="false">IFERROR(INDEX(_対応表!$K$2:$K$4460,MATCH($A79,_対応表!$G$2:$G$4460,0)),"")</f>
        <v/>
      </c>
      <c r="G79" s="23" t="str">
        <f aca="false">IFERROR(INDEX(_対応表!$L$2:$L$4460,MATCH($A79,_対応表!$G$2:$G$4460,0)),"")</f>
        <v>同時</v>
      </c>
      <c r="H79" s="24"/>
    </row>
    <row r="80" customFormat="false" ht="15" hidden="false" customHeight="true" outlineLevel="0" collapsed="false">
      <c r="A80" s="21" t="s">
        <v>208</v>
      </c>
      <c r="B80" s="22" t="s">
        <v>368</v>
      </c>
      <c r="C80" s="23" t="str">
        <f aca="false">IFERROR(INDEX(_対応表!$H$2:$H$4460,MATCH($A80,_対応表!$G$2:$G$4460,0)),"")</f>
        <v>q</v>
      </c>
      <c r="D80" s="23" t="str">
        <f aca="false">IFERROR(INDEX(_対応表!$I$2:$I$4460,MATCH($A80,_対応表!$G$2:$G$4460,0)),"")</f>
        <v>j</v>
      </c>
      <c r="E80" s="23" t="str">
        <f aca="false">IFERROR(INDEX(_対応表!$J$2:$J$4460,MATCH($A80,_対応表!$G$2:$G$4460,0)),"")</f>
        <v/>
      </c>
      <c r="F80" s="23" t="str">
        <f aca="false">IFERROR(INDEX(_対応表!$K$2:$K$4460,MATCH($A80,_対応表!$G$2:$G$4460,0)),"")</f>
        <v/>
      </c>
      <c r="G80" s="23" t="str">
        <f aca="false">IFERROR(INDEX(_対応表!$L$2:$L$4460,MATCH($A80,_対応表!$G$2:$G$4460,0)),"")</f>
        <v>同時</v>
      </c>
      <c r="H80" s="24"/>
    </row>
    <row r="81" customFormat="false" ht="15" hidden="false" customHeight="true" outlineLevel="0" collapsed="false">
      <c r="A81" s="21" t="s">
        <v>209</v>
      </c>
      <c r="B81" s="22" t="s">
        <v>368</v>
      </c>
      <c r="C81" s="23" t="str">
        <f aca="false">IFERROR(INDEX(_対応表!$H$2:$H$4460,MATCH($A81,_対応表!$G$2:$G$4460,0)),"")</f>
        <v>q</v>
      </c>
      <c r="D81" s="23" t="str">
        <f aca="false">IFERROR(INDEX(_対応表!$I$2:$I$4460,MATCH($A81,_対応表!$G$2:$G$4460,0)),"")</f>
        <v>k</v>
      </c>
      <c r="E81" s="23" t="str">
        <f aca="false">IFERROR(INDEX(_対応表!$J$2:$J$4460,MATCH($A81,_対応表!$G$2:$G$4460,0)),"")</f>
        <v/>
      </c>
      <c r="F81" s="23" t="str">
        <f aca="false">IFERROR(INDEX(_対応表!$K$2:$K$4460,MATCH($A81,_対応表!$G$2:$G$4460,0)),"")</f>
        <v/>
      </c>
      <c r="G81" s="23" t="str">
        <f aca="false">IFERROR(INDEX(_対応表!$L$2:$L$4460,MATCH($A81,_対応表!$G$2:$G$4460,0)),"")</f>
        <v>同時</v>
      </c>
      <c r="H81" s="24"/>
    </row>
    <row r="82" customFormat="false" ht="15" hidden="false" customHeight="true" outlineLevel="0" collapsed="false">
      <c r="A82" s="21" t="s">
        <v>210</v>
      </c>
      <c r="B82" s="22" t="s">
        <v>368</v>
      </c>
      <c r="C82" s="23" t="str">
        <f aca="false">IFERROR(INDEX(_対応表!$H$2:$H$4460,MATCH($A82,_対応表!$G$2:$G$4460,0)),"")</f>
        <v>q</v>
      </c>
      <c r="D82" s="23" t="str">
        <f aca="false">IFERROR(INDEX(_対応表!$I$2:$I$4460,MATCH($A82,_対応表!$G$2:$G$4460,0)),"")</f>
        <v>l</v>
      </c>
      <c r="E82" s="23" t="str">
        <f aca="false">IFERROR(INDEX(_対応表!$J$2:$J$4460,MATCH($A82,_対応表!$G$2:$G$4460,0)),"")</f>
        <v/>
      </c>
      <c r="F82" s="23" t="str">
        <f aca="false">IFERROR(INDEX(_対応表!$K$2:$K$4460,MATCH($A82,_対応表!$G$2:$G$4460,0)),"")</f>
        <v/>
      </c>
      <c r="G82" s="23" t="str">
        <f aca="false">IFERROR(INDEX(_対応表!$L$2:$L$4460,MATCH($A82,_対応表!$G$2:$G$4460,0)),"")</f>
        <v>同時</v>
      </c>
      <c r="H82" s="24"/>
    </row>
    <row r="83" customFormat="false" ht="15" hidden="false" customHeight="true" outlineLevel="0" collapsed="false">
      <c r="A83" s="21" t="s">
        <v>205</v>
      </c>
      <c r="B83" s="22" t="s">
        <v>368</v>
      </c>
      <c r="C83" s="23" t="str">
        <f aca="false">IFERROR(INDEX(_対応表!$H$2:$H$4460,MATCH($A83,_対応表!$G$2:$G$4460,0)),"")</f>
        <v>q</v>
      </c>
      <c r="D83" s="23" t="str">
        <f aca="false">IFERROR(INDEX(_対応表!$I$2:$I$4460,MATCH($A83,_対応表!$G$2:$G$4460,0)),"")</f>
        <v>o</v>
      </c>
      <c r="E83" s="23" t="str">
        <f aca="false">IFERROR(INDEX(_対応表!$J$2:$J$4460,MATCH($A83,_対応表!$G$2:$G$4460,0)),"")</f>
        <v/>
      </c>
      <c r="F83" s="23" t="str">
        <f aca="false">IFERROR(INDEX(_対応表!$K$2:$K$4460,MATCH($A83,_対応表!$G$2:$G$4460,0)),"")</f>
        <v/>
      </c>
      <c r="G83" s="23" t="str">
        <f aca="false">IFERROR(INDEX(_対応表!$L$2:$L$4460,MATCH($A83,_対応表!$G$2:$G$4460,0)),"")</f>
        <v>同時</v>
      </c>
      <c r="H83" s="24"/>
    </row>
    <row r="84" customFormat="false" ht="15" hidden="false" customHeight="true" outlineLevel="0" collapsed="false">
      <c r="A84" s="21" t="s">
        <v>211</v>
      </c>
      <c r="B84" s="22" t="s">
        <v>368</v>
      </c>
      <c r="C84" s="23" t="str">
        <f aca="false">IFERROR(INDEX(_対応表!$H$2:$H$4460,MATCH($A84,_対応表!$G$2:$G$4460,0)),"")</f>
        <v>q</v>
      </c>
      <c r="D84" s="23" t="str">
        <f aca="false">IFERROR(INDEX(_対応表!$I$2:$I$4460,MATCH($A84,_対応表!$G$2:$G$4460,0)),"")</f>
        <v>n</v>
      </c>
      <c r="E84" s="23" t="str">
        <f aca="false">IFERROR(INDEX(_対応表!$J$2:$J$4460,MATCH($A84,_対応表!$G$2:$G$4460,0)),"")</f>
        <v/>
      </c>
      <c r="F84" s="23" t="str">
        <f aca="false">IFERROR(INDEX(_対応表!$K$2:$K$4460,MATCH($A84,_対応表!$G$2:$G$4460,0)),"")</f>
        <v/>
      </c>
      <c r="G84" s="23" t="str">
        <f aca="false">IFERROR(INDEX(_対応表!$L$2:$L$4460,MATCH($A84,_対応表!$G$2:$G$4460,0)),"")</f>
        <v>同時</v>
      </c>
      <c r="H84" s="24"/>
    </row>
    <row r="85" customFormat="false" ht="15" hidden="false" customHeight="true" outlineLevel="0" collapsed="false">
      <c r="A85" s="21" t="s">
        <v>96</v>
      </c>
      <c r="B85" s="22" t="s">
        <v>368</v>
      </c>
      <c r="C85" s="23" t="str">
        <f aca="false">IFERROR(INDEX(_対応表!$H$2:$H$4460,MATCH($A85,_対応表!$G$2:$G$4460,0)),"")</f>
        <v>g</v>
      </c>
      <c r="D85" s="23" t="str">
        <f aca="false">IFERROR(INDEX(_対応表!$I$2:$I$4460,MATCH($A85,_対応表!$G$2:$G$4460,0)),"")</f>
        <v/>
      </c>
      <c r="E85" s="23" t="str">
        <f aca="false">IFERROR(INDEX(_対応表!$J$2:$J$4460,MATCH($A85,_対応表!$G$2:$G$4460,0)),"")</f>
        <v/>
      </c>
      <c r="F85" s="23" t="str">
        <f aca="false">IFERROR(INDEX(_対応表!$K$2:$K$4460,MATCH($A85,_対応表!$G$2:$G$4460,0)),"")</f>
        <v/>
      </c>
      <c r="G85" s="23" t="str">
        <f aca="false">IFERROR(INDEX(_対応表!$L$2:$L$4460,MATCH($A85,_対応表!$G$2:$G$4460,0)),"")</f>
        <v/>
      </c>
      <c r="H85" s="24"/>
    </row>
    <row r="86" customFormat="false" ht="15" hidden="false" customHeight="true" outlineLevel="0" collapsed="false">
      <c r="A86" s="21" t="s">
        <v>207</v>
      </c>
      <c r="B86" s="22" t="s">
        <v>368</v>
      </c>
      <c r="C86" s="23" t="str">
        <f aca="false">IFERROR(INDEX(_対応表!$H$2:$H$4460,MATCH($A86,_対応表!$G$2:$G$4460,0)),"")</f>
        <v>q</v>
      </c>
      <c r="D86" s="23" t="str">
        <f aca="false">IFERROR(INDEX(_対応表!$I$2:$I$4460,MATCH($A86,_対応表!$G$2:$G$4460,0)),"")</f>
        <v>h</v>
      </c>
      <c r="E86" s="23" t="str">
        <f aca="false">IFERROR(INDEX(_対応表!$J$2:$J$4460,MATCH($A86,_対応表!$G$2:$G$4460,0)),"")</f>
        <v/>
      </c>
      <c r="F86" s="23" t="str">
        <f aca="false">IFERROR(INDEX(_対応表!$K$2:$K$4460,MATCH($A86,_対応表!$G$2:$G$4460,0)),"")</f>
        <v/>
      </c>
      <c r="G86" s="23" t="str">
        <f aca="false">IFERROR(INDEX(_対応表!$L$2:$L$4460,MATCH($A86,_対応表!$G$2:$G$4460,0)),"")</f>
        <v>同時</v>
      </c>
      <c r="H86" s="24"/>
    </row>
    <row r="87" customFormat="false" ht="15" hidden="false" customHeight="true" outlineLevel="0" collapsed="false">
      <c r="A87" s="21" t="s">
        <v>206</v>
      </c>
      <c r="B87" s="22" t="s">
        <v>368</v>
      </c>
      <c r="C87" s="23" t="str">
        <f aca="false">IFERROR(INDEX(_対応表!$H$2:$H$4460,MATCH($A87,_対応表!$G$2:$G$4460,0)),"")</f>
        <v>q</v>
      </c>
      <c r="D87" s="23" t="str">
        <f aca="false">IFERROR(INDEX(_対応表!$I$2:$I$4460,MATCH($A87,_対応表!$G$2:$G$4460,0)),"")</f>
        <v>p</v>
      </c>
      <c r="E87" s="23" t="str">
        <f aca="false">IFERROR(INDEX(_対応表!$J$2:$J$4460,MATCH($A87,_対応表!$G$2:$G$4460,0)),"")</f>
        <v/>
      </c>
      <c r="F87" s="23" t="str">
        <f aca="false">IFERROR(INDEX(_対応表!$K$2:$K$4460,MATCH($A87,_対応表!$G$2:$G$4460,0)),"")</f>
        <v/>
      </c>
      <c r="G87" s="23" t="str">
        <f aca="false">IFERROR(INDEX(_対応表!$L$2:$L$4460,MATCH($A87,_対応表!$G$2:$G$4460,0)),"")</f>
        <v>同時</v>
      </c>
      <c r="H87" s="24"/>
    </row>
    <row r="88" customFormat="false" ht="15" hidden="false" customHeight="true" outlineLevel="0" collapsed="false">
      <c r="A88" s="21" t="s">
        <v>204</v>
      </c>
      <c r="B88" s="22" t="s">
        <v>368</v>
      </c>
      <c r="C88" s="23" t="str">
        <f aca="false">IFERROR(INDEX(_対応表!$H$2:$H$4460,MATCH($A88,_対応表!$G$2:$G$4460,0)),"")</f>
        <v>q</v>
      </c>
      <c r="D88" s="23" t="str">
        <f aca="false">IFERROR(INDEX(_対応表!$I$2:$I$4460,MATCH($A88,_対応表!$G$2:$G$4460,0)),"")</f>
        <v>i</v>
      </c>
      <c r="E88" s="23" t="str">
        <f aca="false">IFERROR(INDEX(_対応表!$J$2:$J$4460,MATCH($A88,_対応表!$G$2:$G$4460,0)),"")</f>
        <v/>
      </c>
      <c r="F88" s="23" t="str">
        <f aca="false">IFERROR(INDEX(_対応表!$K$2:$K$4460,MATCH($A88,_対応表!$G$2:$G$4460,0)),"")</f>
        <v/>
      </c>
      <c r="G88" s="23" t="str">
        <f aca="false">IFERROR(INDEX(_対応表!$L$2:$L$4460,MATCH($A88,_対応表!$G$2:$G$4460,0)),"")</f>
        <v>同時</v>
      </c>
      <c r="H88" s="24"/>
    </row>
    <row r="89" customFormat="false" ht="15" hidden="false" customHeight="true" outlineLevel="0" collapsed="false">
      <c r="A89" s="21" t="s">
        <v>212</v>
      </c>
      <c r="B89" s="22" t="s">
        <v>368</v>
      </c>
      <c r="C89" s="23" t="str">
        <f aca="false">IFERROR(INDEX(_対応表!$H$2:$H$4460,MATCH($A89,_対応表!$G$2:$G$4460,0)),"")</f>
        <v>q</v>
      </c>
      <c r="D89" s="23" t="str">
        <f aca="false">IFERROR(INDEX(_対応表!$I$2:$I$4460,MATCH($A89,_対応表!$G$2:$G$4460,0)),"")</f>
        <v>.</v>
      </c>
      <c r="E89" s="23" t="str">
        <f aca="false">IFERROR(INDEX(_対応表!$J$2:$J$4460,MATCH($A89,_対応表!$G$2:$G$4460,0)),"")</f>
        <v/>
      </c>
      <c r="F89" s="23" t="str">
        <f aca="false">IFERROR(INDEX(_対応表!$K$2:$K$4460,MATCH($A89,_対応表!$G$2:$G$4460,0)),"")</f>
        <v/>
      </c>
      <c r="G89" s="23" t="str">
        <f aca="false">IFERROR(INDEX(_対応表!$L$2:$L$4460,MATCH($A89,_対応表!$G$2:$G$4460,0)),"")</f>
        <v>同時</v>
      </c>
      <c r="H89" s="24"/>
    </row>
    <row r="90" customFormat="false" ht="15" hidden="false" customHeight="true" outlineLevel="0" collapsed="false">
      <c r="A90" s="21" t="s">
        <v>180</v>
      </c>
      <c r="B90" s="22" t="s">
        <v>369</v>
      </c>
      <c r="C90" s="23" t="str">
        <f aca="false">IFERROR(INDEX(_対応表!$H$2:$H$4460,MATCH($A90,_対応表!$G$2:$G$4460,0)),"")</f>
        <v>h</v>
      </c>
      <c r="D90" s="23" t="str">
        <f aca="false">IFERROR(INDEX(_対応表!$I$2:$I$4460,MATCH($A90,_対応表!$G$2:$G$4460,0)),"")</f>
        <v>w</v>
      </c>
      <c r="E90" s="23" t="str">
        <f aca="false">IFERROR(INDEX(_対応表!$J$2:$J$4460,MATCH($A90,_対応表!$G$2:$G$4460,0)),"")</f>
        <v/>
      </c>
      <c r="F90" s="23" t="str">
        <f aca="false">IFERROR(INDEX(_対応表!$K$2:$K$4460,MATCH($A90,_対応表!$G$2:$G$4460,0)),"")</f>
        <v/>
      </c>
      <c r="G90" s="23" t="str">
        <f aca="false">IFERROR(INDEX(_対応表!$L$2:$L$4460,MATCH($A90,_対応表!$G$2:$G$4460,0)),"")</f>
        <v>同時</v>
      </c>
      <c r="H90" s="24"/>
    </row>
    <row r="91" customFormat="false" ht="15" hidden="false" customHeight="true" outlineLevel="0" collapsed="false">
      <c r="A91" s="21" t="s">
        <v>188</v>
      </c>
      <c r="B91" s="22" t="s">
        <v>369</v>
      </c>
      <c r="C91" s="23" t="str">
        <f aca="false">IFERROR(INDEX(_対応表!$H$2:$H$4460,MATCH($A91,_対応表!$G$2:$G$4460,0)),"")</f>
        <v>p</v>
      </c>
      <c r="D91" s="23" t="str">
        <f aca="false">IFERROR(INDEX(_対応表!$I$2:$I$4460,MATCH($A91,_対応表!$G$2:$G$4460,0)),"")</f>
        <v>w</v>
      </c>
      <c r="E91" s="23" t="str">
        <f aca="false">IFERROR(INDEX(_対応表!$J$2:$J$4460,MATCH($A91,_対応表!$G$2:$G$4460,0)),"")</f>
        <v/>
      </c>
      <c r="F91" s="23" t="str">
        <f aca="false">IFERROR(INDEX(_対応表!$K$2:$K$4460,MATCH($A91,_対応表!$G$2:$G$4460,0)),"")</f>
        <v/>
      </c>
      <c r="G91" s="23" t="str">
        <f aca="false">IFERROR(INDEX(_対応表!$L$2:$L$4460,MATCH($A91,_対応表!$G$2:$G$4460,0)),"")</f>
        <v>同時</v>
      </c>
      <c r="H91" s="24"/>
    </row>
    <row r="92" customFormat="false" ht="15" hidden="false" customHeight="true" outlineLevel="0" collapsed="false">
      <c r="A92" s="21" t="s">
        <v>196</v>
      </c>
      <c r="B92" s="22" t="s">
        <v>369</v>
      </c>
      <c r="C92" s="23" t="str">
        <f aca="false">IFERROR(INDEX(_対応表!$H$2:$H$4460,MATCH($A92,_対応表!$G$2:$G$4460,0)),"")</f>
        <v>i</v>
      </c>
      <c r="D92" s="23" t="str">
        <f aca="false">IFERROR(INDEX(_対応表!$I$2:$I$4460,MATCH($A92,_対応表!$G$2:$G$4460,0)),"")</f>
        <v>w</v>
      </c>
      <c r="E92" s="23" t="str">
        <f aca="false">IFERROR(INDEX(_対応表!$J$2:$J$4460,MATCH($A92,_対応表!$G$2:$G$4460,0)),"")</f>
        <v/>
      </c>
      <c r="F92" s="23" t="str">
        <f aca="false">IFERROR(INDEX(_対応表!$K$2:$K$4460,MATCH($A92,_対応表!$G$2:$G$4460,0)),"")</f>
        <v/>
      </c>
      <c r="G92" s="23" t="str">
        <f aca="false">IFERROR(INDEX(_対応表!$L$2:$L$4460,MATCH($A92,_対応表!$G$2:$G$4460,0)),"")</f>
        <v>同時</v>
      </c>
      <c r="H92" s="24"/>
    </row>
    <row r="93" customFormat="false" ht="15" hidden="false" customHeight="true" outlineLevel="0" collapsed="false">
      <c r="A93" s="21" t="s">
        <v>182</v>
      </c>
      <c r="B93" s="22" t="s">
        <v>369</v>
      </c>
      <c r="C93" s="23" t="str">
        <f aca="false">IFERROR(INDEX(_対応表!$H$2:$H$4460,MATCH($A93,_対応表!$G$2:$G$4460,0)),"")</f>
        <v>h</v>
      </c>
      <c r="D93" s="23" t="str">
        <f aca="false">IFERROR(INDEX(_対応表!$I$2:$I$4460,MATCH($A93,_対応表!$G$2:$G$4460,0)),"")</f>
        <v>r</v>
      </c>
      <c r="E93" s="23" t="str">
        <f aca="false">IFERROR(INDEX(_対応表!$J$2:$J$4460,MATCH($A93,_対応表!$G$2:$G$4460,0)),"")</f>
        <v/>
      </c>
      <c r="F93" s="23" t="str">
        <f aca="false">IFERROR(INDEX(_対応表!$K$2:$K$4460,MATCH($A93,_対応表!$G$2:$G$4460,0)),"")</f>
        <v/>
      </c>
      <c r="G93" s="23" t="str">
        <f aca="false">IFERROR(INDEX(_対応表!$L$2:$L$4460,MATCH($A93,_対応表!$G$2:$G$4460,0)),"")</f>
        <v>同時</v>
      </c>
      <c r="H93" s="24"/>
    </row>
    <row r="94" customFormat="false" ht="15" hidden="false" customHeight="true" outlineLevel="0" collapsed="false">
      <c r="A94" s="21" t="s">
        <v>190</v>
      </c>
      <c r="B94" s="22" t="s">
        <v>369</v>
      </c>
      <c r="C94" s="23" t="str">
        <f aca="false">IFERROR(INDEX(_対応表!$H$2:$H$4460,MATCH($A94,_対応表!$G$2:$G$4460,0)),"")</f>
        <v>p</v>
      </c>
      <c r="D94" s="23" t="str">
        <f aca="false">IFERROR(INDEX(_対応表!$I$2:$I$4460,MATCH($A94,_対応表!$G$2:$G$4460,0)),"")</f>
        <v>r</v>
      </c>
      <c r="E94" s="23" t="str">
        <f aca="false">IFERROR(INDEX(_対応表!$J$2:$J$4460,MATCH($A94,_対応表!$G$2:$G$4460,0)),"")</f>
        <v/>
      </c>
      <c r="F94" s="23" t="str">
        <f aca="false">IFERROR(INDEX(_対応表!$K$2:$K$4460,MATCH($A94,_対応表!$G$2:$G$4460,0)),"")</f>
        <v/>
      </c>
      <c r="G94" s="23" t="str">
        <f aca="false">IFERROR(INDEX(_対応表!$L$2:$L$4460,MATCH($A94,_対応表!$G$2:$G$4460,0)),"")</f>
        <v>同時</v>
      </c>
      <c r="H94" s="24"/>
    </row>
    <row r="95" customFormat="false" ht="15" hidden="false" customHeight="true" outlineLevel="0" collapsed="false">
      <c r="A95" s="21" t="s">
        <v>198</v>
      </c>
      <c r="B95" s="22" t="s">
        <v>369</v>
      </c>
      <c r="C95" s="23" t="str">
        <f aca="false">IFERROR(INDEX(_対応表!$H$2:$H$4460,MATCH($A95,_対応表!$G$2:$G$4460,0)),"")</f>
        <v>i</v>
      </c>
      <c r="D95" s="23" t="str">
        <f aca="false">IFERROR(INDEX(_対応表!$I$2:$I$4460,MATCH($A95,_対応表!$G$2:$G$4460,0)),"")</f>
        <v>r</v>
      </c>
      <c r="E95" s="23" t="str">
        <f aca="false">IFERROR(INDEX(_対応表!$J$2:$J$4460,MATCH($A95,_対応表!$G$2:$G$4460,0)),"")</f>
        <v/>
      </c>
      <c r="F95" s="23" t="str">
        <f aca="false">IFERROR(INDEX(_対応表!$K$2:$K$4460,MATCH($A95,_対応表!$G$2:$G$4460,0)),"")</f>
        <v/>
      </c>
      <c r="G95" s="23" t="str">
        <f aca="false">IFERROR(INDEX(_対応表!$L$2:$L$4460,MATCH($A95,_対応表!$G$2:$G$4460,0)),"")</f>
        <v>同時</v>
      </c>
      <c r="H95" s="24"/>
    </row>
    <row r="96" customFormat="false" ht="15" hidden="false" customHeight="true" outlineLevel="0" collapsed="false">
      <c r="A96" s="21" t="s">
        <v>185</v>
      </c>
      <c r="B96" s="22" t="s">
        <v>369</v>
      </c>
      <c r="C96" s="23" t="str">
        <f aca="false">IFERROR(INDEX(_対応表!$H$2:$H$4460,MATCH($A96,_対応表!$G$2:$G$4460,0)),"")</f>
        <v>h</v>
      </c>
      <c r="D96" s="23" t="str">
        <f aca="false">IFERROR(INDEX(_対応表!$I$2:$I$4460,MATCH($A96,_対応表!$G$2:$G$4460,0)),"")</f>
        <v>g</v>
      </c>
      <c r="E96" s="23" t="str">
        <f aca="false">IFERROR(INDEX(_対応表!$J$2:$J$4460,MATCH($A96,_対応表!$G$2:$G$4460,0)),"")</f>
        <v/>
      </c>
      <c r="F96" s="23" t="str">
        <f aca="false">IFERROR(INDEX(_対応表!$K$2:$K$4460,MATCH($A96,_対応表!$G$2:$G$4460,0)),"")</f>
        <v/>
      </c>
      <c r="G96" s="23" t="str">
        <f aca="false">IFERROR(INDEX(_対応表!$L$2:$L$4460,MATCH($A96,_対応表!$G$2:$G$4460,0)),"")</f>
        <v>同時</v>
      </c>
      <c r="H96" s="24"/>
    </row>
    <row r="97" customFormat="false" ht="15" hidden="false" customHeight="true" outlineLevel="0" collapsed="false">
      <c r="A97" s="21" t="s">
        <v>193</v>
      </c>
      <c r="B97" s="22" t="s">
        <v>369</v>
      </c>
      <c r="C97" s="23" t="str">
        <f aca="false">IFERROR(INDEX(_対応表!$H$2:$H$4460,MATCH($A97,_対応表!$G$2:$G$4460,0)),"")</f>
        <v>p</v>
      </c>
      <c r="D97" s="23" t="str">
        <f aca="false">IFERROR(INDEX(_対応表!$I$2:$I$4460,MATCH($A97,_対応表!$G$2:$G$4460,0)),"")</f>
        <v>g</v>
      </c>
      <c r="E97" s="23" t="str">
        <f aca="false">IFERROR(INDEX(_対応表!$J$2:$J$4460,MATCH($A97,_対応表!$G$2:$G$4460,0)),"")</f>
        <v/>
      </c>
      <c r="F97" s="23" t="str">
        <f aca="false">IFERROR(INDEX(_対応表!$K$2:$K$4460,MATCH($A97,_対応表!$G$2:$G$4460,0)),"")</f>
        <v/>
      </c>
      <c r="G97" s="23" t="str">
        <f aca="false">IFERROR(INDEX(_対応表!$L$2:$L$4460,MATCH($A97,_対応表!$G$2:$G$4460,0)),"")</f>
        <v>同時</v>
      </c>
      <c r="H97" s="24"/>
    </row>
    <row r="98" customFormat="false" ht="15" hidden="false" customHeight="true" outlineLevel="0" collapsed="false">
      <c r="A98" s="21" t="s">
        <v>201</v>
      </c>
      <c r="B98" s="22" t="s">
        <v>369</v>
      </c>
      <c r="C98" s="23" t="str">
        <f aca="false">IFERROR(INDEX(_対応表!$H$2:$H$4460,MATCH($A98,_対応表!$G$2:$G$4460,0)),"")</f>
        <v>i</v>
      </c>
      <c r="D98" s="23" t="str">
        <f aca="false">IFERROR(INDEX(_対応表!$I$2:$I$4460,MATCH($A98,_対応表!$G$2:$G$4460,0)),"")</f>
        <v>g</v>
      </c>
      <c r="E98" s="23" t="str">
        <f aca="false">IFERROR(INDEX(_対応表!$J$2:$J$4460,MATCH($A98,_対応表!$G$2:$G$4460,0)),"")</f>
        <v/>
      </c>
      <c r="F98" s="23" t="str">
        <f aca="false">IFERROR(INDEX(_対応表!$K$2:$K$4460,MATCH($A98,_対応表!$G$2:$G$4460,0)),"")</f>
        <v/>
      </c>
      <c r="G98" s="23" t="str">
        <f aca="false">IFERROR(INDEX(_対応表!$L$2:$L$4460,MATCH($A98,_対応表!$G$2:$G$4460,0)),"")</f>
        <v>同時</v>
      </c>
      <c r="H98" s="24"/>
    </row>
    <row r="99" customFormat="false" ht="15" hidden="false" customHeight="true" outlineLevel="0" collapsed="false">
      <c r="A99" s="21" t="s">
        <v>184</v>
      </c>
      <c r="B99" s="22" t="s">
        <v>369</v>
      </c>
      <c r="C99" s="23" t="str">
        <f aca="false">IFERROR(INDEX(_対応表!$H$2:$H$4460,MATCH($A99,_対応表!$G$2:$G$4460,0)),"")</f>
        <v>h</v>
      </c>
      <c r="D99" s="23" t="str">
        <f aca="false">IFERROR(INDEX(_対応表!$I$2:$I$4460,MATCH($A99,_対応表!$G$2:$G$4460,0)),"")</f>
        <v>d</v>
      </c>
      <c r="E99" s="23" t="str">
        <f aca="false">IFERROR(INDEX(_対応表!$J$2:$J$4460,MATCH($A99,_対応表!$G$2:$G$4460,0)),"")</f>
        <v/>
      </c>
      <c r="F99" s="23" t="str">
        <f aca="false">IFERROR(INDEX(_対応表!$K$2:$K$4460,MATCH($A99,_対応表!$G$2:$G$4460,0)),"")</f>
        <v/>
      </c>
      <c r="G99" s="23" t="str">
        <f aca="false">IFERROR(INDEX(_対応表!$L$2:$L$4460,MATCH($A99,_対応表!$G$2:$G$4460,0)),"")</f>
        <v>同時</v>
      </c>
      <c r="H99" s="24"/>
    </row>
    <row r="100" customFormat="false" ht="15" hidden="false" customHeight="true" outlineLevel="0" collapsed="false">
      <c r="A100" s="21" t="s">
        <v>192</v>
      </c>
      <c r="B100" s="22" t="s">
        <v>369</v>
      </c>
      <c r="C100" s="23" t="str">
        <f aca="false">IFERROR(INDEX(_対応表!$H$2:$H$4460,MATCH($A100,_対応表!$G$2:$G$4460,0)),"")</f>
        <v>p</v>
      </c>
      <c r="D100" s="23" t="str">
        <f aca="false">IFERROR(INDEX(_対応表!$I$2:$I$4460,MATCH($A100,_対応表!$G$2:$G$4460,0)),"")</f>
        <v>d</v>
      </c>
      <c r="E100" s="23" t="str">
        <f aca="false">IFERROR(INDEX(_対応表!$J$2:$J$4460,MATCH($A100,_対応表!$G$2:$G$4460,0)),"")</f>
        <v/>
      </c>
      <c r="F100" s="23" t="str">
        <f aca="false">IFERROR(INDEX(_対応表!$K$2:$K$4460,MATCH($A100,_対応表!$G$2:$G$4460,0)),"")</f>
        <v/>
      </c>
      <c r="G100" s="23" t="str">
        <f aca="false">IFERROR(INDEX(_対応表!$L$2:$L$4460,MATCH($A100,_対応表!$G$2:$G$4460,0)),"")</f>
        <v>同時</v>
      </c>
      <c r="H100" s="24"/>
    </row>
    <row r="101" customFormat="false" ht="15" hidden="false" customHeight="true" outlineLevel="0" collapsed="false">
      <c r="A101" s="21" t="s">
        <v>200</v>
      </c>
      <c r="B101" s="22" t="s">
        <v>369</v>
      </c>
      <c r="C101" s="23" t="str">
        <f aca="false">IFERROR(INDEX(_対応表!$H$2:$H$4460,MATCH($A101,_対応表!$G$2:$G$4460,0)),"")</f>
        <v>i</v>
      </c>
      <c r="D101" s="23" t="str">
        <f aca="false">IFERROR(INDEX(_対応表!$I$2:$I$4460,MATCH($A101,_対応表!$G$2:$G$4460,0)),"")</f>
        <v>d</v>
      </c>
      <c r="E101" s="23" t="str">
        <f aca="false">IFERROR(INDEX(_対応表!$J$2:$J$4460,MATCH($A101,_対応表!$G$2:$G$4460,0)),"")</f>
        <v/>
      </c>
      <c r="F101" s="23" t="str">
        <f aca="false">IFERROR(INDEX(_対応表!$K$2:$K$4460,MATCH($A101,_対応表!$G$2:$G$4460,0)),"")</f>
        <v/>
      </c>
      <c r="G101" s="23" t="str">
        <f aca="false">IFERROR(INDEX(_対応表!$L$2:$L$4460,MATCH($A101,_対応表!$G$2:$G$4460,0)),"")</f>
        <v>同時</v>
      </c>
      <c r="H101" s="24"/>
    </row>
    <row r="102" customFormat="false" ht="15" hidden="false" customHeight="true" outlineLevel="0" collapsed="false">
      <c r="A102" s="21" t="s">
        <v>186</v>
      </c>
      <c r="B102" s="22" t="s">
        <v>369</v>
      </c>
      <c r="C102" s="23" t="str">
        <f aca="false">IFERROR(INDEX(_対応表!$H$2:$H$4460,MATCH($A102,_対応表!$G$2:$G$4460,0)),"")</f>
        <v>h</v>
      </c>
      <c r="D102" s="23" t="str">
        <f aca="false">IFERROR(INDEX(_対応表!$I$2:$I$4460,MATCH($A102,_対応表!$G$2:$G$4460,0)),"")</f>
        <v>x</v>
      </c>
      <c r="E102" s="23" t="str">
        <f aca="false">IFERROR(INDEX(_対応表!$J$2:$J$4460,MATCH($A102,_対応表!$G$2:$G$4460,0)),"")</f>
        <v/>
      </c>
      <c r="F102" s="23" t="str">
        <f aca="false">IFERROR(INDEX(_対応表!$K$2:$K$4460,MATCH($A102,_対応表!$G$2:$G$4460,0)),"")</f>
        <v/>
      </c>
      <c r="G102" s="23" t="str">
        <f aca="false">IFERROR(INDEX(_対応表!$L$2:$L$4460,MATCH($A102,_対応表!$G$2:$G$4460,0)),"")</f>
        <v>同時</v>
      </c>
      <c r="H102" s="24"/>
    </row>
    <row r="103" customFormat="false" ht="15" hidden="false" customHeight="true" outlineLevel="0" collapsed="false">
      <c r="A103" s="21" t="s">
        <v>194</v>
      </c>
      <c r="B103" s="22" t="s">
        <v>369</v>
      </c>
      <c r="C103" s="23" t="str">
        <f aca="false">IFERROR(INDEX(_対応表!$H$2:$H$4460,MATCH($A103,_対応表!$G$2:$G$4460,0)),"")</f>
        <v>p</v>
      </c>
      <c r="D103" s="23" t="str">
        <f aca="false">IFERROR(INDEX(_対応表!$I$2:$I$4460,MATCH($A103,_対応表!$G$2:$G$4460,0)),"")</f>
        <v>x</v>
      </c>
      <c r="E103" s="23" t="str">
        <f aca="false">IFERROR(INDEX(_対応表!$J$2:$J$4460,MATCH($A103,_対応表!$G$2:$G$4460,0)),"")</f>
        <v/>
      </c>
      <c r="F103" s="23" t="str">
        <f aca="false">IFERROR(INDEX(_対応表!$K$2:$K$4460,MATCH($A103,_対応表!$G$2:$G$4460,0)),"")</f>
        <v/>
      </c>
      <c r="G103" s="23" t="str">
        <f aca="false">IFERROR(INDEX(_対応表!$L$2:$L$4460,MATCH($A103,_対応表!$G$2:$G$4460,0)),"")</f>
        <v>同時</v>
      </c>
      <c r="H103" s="24"/>
    </row>
    <row r="104" customFormat="false" ht="15" hidden="false" customHeight="true" outlineLevel="0" collapsed="false">
      <c r="A104" s="21" t="s">
        <v>202</v>
      </c>
      <c r="B104" s="22" t="s">
        <v>369</v>
      </c>
      <c r="C104" s="23" t="str">
        <f aca="false">IFERROR(INDEX(_対応表!$H$2:$H$4460,MATCH($A104,_対応表!$G$2:$G$4460,0)),"")</f>
        <v>i</v>
      </c>
      <c r="D104" s="23" t="str">
        <f aca="false">IFERROR(INDEX(_対応表!$I$2:$I$4460,MATCH($A104,_対応表!$G$2:$G$4460,0)),"")</f>
        <v>x</v>
      </c>
      <c r="E104" s="23" t="str">
        <f aca="false">IFERROR(INDEX(_対応表!$J$2:$J$4460,MATCH($A104,_対応表!$G$2:$G$4460,0)),"")</f>
        <v/>
      </c>
      <c r="F104" s="23" t="str">
        <f aca="false">IFERROR(INDEX(_対応表!$K$2:$K$4460,MATCH($A104,_対応表!$G$2:$G$4460,0)),"")</f>
        <v/>
      </c>
      <c r="G104" s="23" t="str">
        <f aca="false">IFERROR(INDEX(_対応表!$L$2:$L$4460,MATCH($A104,_対応表!$G$2:$G$4460,0)),"")</f>
        <v>同時</v>
      </c>
      <c r="H104" s="24"/>
    </row>
    <row r="105" customFormat="false" ht="15" hidden="false" customHeight="true" outlineLevel="0" collapsed="false">
      <c r="A105" s="21" t="s">
        <v>183</v>
      </c>
      <c r="B105" s="22" t="s">
        <v>369</v>
      </c>
      <c r="C105" s="23" t="str">
        <f aca="false">IFERROR(INDEX(_対応表!$H$2:$H$4460,MATCH($A105,_対応表!$G$2:$G$4460,0)),"")</f>
        <v>h</v>
      </c>
      <c r="D105" s="23" t="str">
        <f aca="false">IFERROR(INDEX(_対応表!$I$2:$I$4460,MATCH($A105,_対応表!$G$2:$G$4460,0)),"")</f>
        <v>s</v>
      </c>
      <c r="E105" s="23" t="str">
        <f aca="false">IFERROR(INDEX(_対応表!$J$2:$J$4460,MATCH($A105,_対応表!$G$2:$G$4460,0)),"")</f>
        <v/>
      </c>
      <c r="F105" s="23" t="str">
        <f aca="false">IFERROR(INDEX(_対応表!$K$2:$K$4460,MATCH($A105,_対応表!$G$2:$G$4460,0)),"")</f>
        <v/>
      </c>
      <c r="G105" s="23" t="str">
        <f aca="false">IFERROR(INDEX(_対応表!$L$2:$L$4460,MATCH($A105,_対応表!$G$2:$G$4460,0)),"")</f>
        <v>同時</v>
      </c>
      <c r="H105" s="24"/>
    </row>
    <row r="106" customFormat="false" ht="15" hidden="false" customHeight="true" outlineLevel="0" collapsed="false">
      <c r="A106" s="21" t="s">
        <v>191</v>
      </c>
      <c r="B106" s="22" t="s">
        <v>369</v>
      </c>
      <c r="C106" s="23" t="str">
        <f aca="false">IFERROR(INDEX(_対応表!$H$2:$H$4460,MATCH($A106,_対応表!$G$2:$G$4460,0)),"")</f>
        <v>p</v>
      </c>
      <c r="D106" s="23" t="str">
        <f aca="false">IFERROR(INDEX(_対応表!$I$2:$I$4460,MATCH($A106,_対応表!$G$2:$G$4460,0)),"")</f>
        <v>s</v>
      </c>
      <c r="E106" s="23" t="str">
        <f aca="false">IFERROR(INDEX(_対応表!$J$2:$J$4460,MATCH($A106,_対応表!$G$2:$G$4460,0)),"")</f>
        <v/>
      </c>
      <c r="F106" s="23" t="str">
        <f aca="false">IFERROR(INDEX(_対応表!$K$2:$K$4460,MATCH($A106,_対応表!$G$2:$G$4460,0)),"")</f>
        <v/>
      </c>
      <c r="G106" s="23" t="str">
        <f aca="false">IFERROR(INDEX(_対応表!$L$2:$L$4460,MATCH($A106,_対応表!$G$2:$G$4460,0)),"")</f>
        <v>同時</v>
      </c>
      <c r="H106" s="24"/>
    </row>
    <row r="107" customFormat="false" ht="15" hidden="false" customHeight="true" outlineLevel="0" collapsed="false">
      <c r="A107" s="21" t="s">
        <v>199</v>
      </c>
      <c r="B107" s="22" t="s">
        <v>369</v>
      </c>
      <c r="C107" s="23" t="str">
        <f aca="false">IFERROR(INDEX(_対応表!$H$2:$H$4460,MATCH($A107,_対応表!$G$2:$G$4460,0)),"")</f>
        <v>i</v>
      </c>
      <c r="D107" s="23" t="str">
        <f aca="false">IFERROR(INDEX(_対応表!$I$2:$I$4460,MATCH($A107,_対応表!$G$2:$G$4460,0)),"")</f>
        <v>s</v>
      </c>
      <c r="E107" s="23" t="str">
        <f aca="false">IFERROR(INDEX(_対応表!$J$2:$J$4460,MATCH($A107,_対応表!$G$2:$G$4460,0)),"")</f>
        <v/>
      </c>
      <c r="F107" s="23" t="str">
        <f aca="false">IFERROR(INDEX(_対応表!$K$2:$K$4460,MATCH($A107,_対応表!$G$2:$G$4460,0)),"")</f>
        <v/>
      </c>
      <c r="G107" s="23" t="str">
        <f aca="false">IFERROR(INDEX(_対応表!$L$2:$L$4460,MATCH($A107,_対応表!$G$2:$G$4460,0)),"")</f>
        <v>同時</v>
      </c>
      <c r="H107" s="24"/>
    </row>
    <row r="108" customFormat="false" ht="15" hidden="false" customHeight="true" outlineLevel="0" collapsed="false">
      <c r="A108" s="21" t="s">
        <v>181</v>
      </c>
      <c r="B108" s="22" t="s">
        <v>369</v>
      </c>
      <c r="C108" s="23" t="str">
        <f aca="false">IFERROR(INDEX(_対応表!$H$2:$H$4460,MATCH($A108,_対応表!$G$2:$G$4460,0)),"")</f>
        <v>h</v>
      </c>
      <c r="D108" s="23" t="str">
        <f aca="false">IFERROR(INDEX(_対応表!$I$2:$I$4460,MATCH($A108,_対応表!$G$2:$G$4460,0)),"")</f>
        <v>e</v>
      </c>
      <c r="E108" s="23" t="str">
        <f aca="false">IFERROR(INDEX(_対応表!$J$2:$J$4460,MATCH($A108,_対応表!$G$2:$G$4460,0)),"")</f>
        <v/>
      </c>
      <c r="F108" s="23" t="str">
        <f aca="false">IFERROR(INDEX(_対応表!$K$2:$K$4460,MATCH($A108,_対応表!$G$2:$G$4460,0)),"")</f>
        <v/>
      </c>
      <c r="G108" s="23" t="str">
        <f aca="false">IFERROR(INDEX(_対応表!$L$2:$L$4460,MATCH($A108,_対応表!$G$2:$G$4460,0)),"")</f>
        <v>同時</v>
      </c>
      <c r="H108" s="24"/>
    </row>
    <row r="109" customFormat="false" ht="15" hidden="false" customHeight="true" outlineLevel="0" collapsed="false">
      <c r="A109" s="21" t="s">
        <v>189</v>
      </c>
      <c r="B109" s="22" t="s">
        <v>369</v>
      </c>
      <c r="C109" s="23" t="str">
        <f aca="false">IFERROR(INDEX(_対応表!$H$2:$H$4460,MATCH($A109,_対応表!$G$2:$G$4460,0)),"")</f>
        <v>p</v>
      </c>
      <c r="D109" s="23" t="str">
        <f aca="false">IFERROR(INDEX(_対応表!$I$2:$I$4460,MATCH($A109,_対応表!$G$2:$G$4460,0)),"")</f>
        <v>e</v>
      </c>
      <c r="E109" s="23" t="str">
        <f aca="false">IFERROR(INDEX(_対応表!$J$2:$J$4460,MATCH($A109,_対応表!$G$2:$G$4460,0)),"")</f>
        <v/>
      </c>
      <c r="F109" s="23" t="str">
        <f aca="false">IFERROR(INDEX(_対応表!$K$2:$K$4460,MATCH($A109,_対応表!$G$2:$G$4460,0)),"")</f>
        <v/>
      </c>
      <c r="G109" s="23" t="str">
        <f aca="false">IFERROR(INDEX(_対応表!$L$2:$L$4460,MATCH($A109,_対応表!$G$2:$G$4460,0)),"")</f>
        <v>同時</v>
      </c>
      <c r="H109" s="24"/>
    </row>
    <row r="110" customFormat="false" ht="15" hidden="false" customHeight="true" outlineLevel="0" collapsed="false">
      <c r="A110" s="21" t="s">
        <v>197</v>
      </c>
      <c r="B110" s="22" t="s">
        <v>369</v>
      </c>
      <c r="C110" s="23" t="str">
        <f aca="false">IFERROR(INDEX(_対応表!$H$2:$H$4460,MATCH($A110,_対応表!$G$2:$G$4460,0)),"")</f>
        <v>i</v>
      </c>
      <c r="D110" s="23" t="str">
        <f aca="false">IFERROR(INDEX(_対応表!$I$2:$I$4460,MATCH($A110,_対応表!$G$2:$G$4460,0)),"")</f>
        <v>e</v>
      </c>
      <c r="E110" s="23" t="str">
        <f aca="false">IFERROR(INDEX(_対応表!$J$2:$J$4460,MATCH($A110,_対応表!$G$2:$G$4460,0)),"")</f>
        <v/>
      </c>
      <c r="F110" s="23" t="str">
        <f aca="false">IFERROR(INDEX(_対応表!$K$2:$K$4460,MATCH($A110,_対応表!$G$2:$G$4460,0)),"")</f>
        <v/>
      </c>
      <c r="G110" s="23" t="str">
        <f aca="false">IFERROR(INDEX(_対応表!$L$2:$L$4460,MATCH($A110,_対応表!$G$2:$G$4460,0)),"")</f>
        <v>同時</v>
      </c>
      <c r="H110" s="24"/>
    </row>
    <row r="111" customFormat="false" ht="15" hidden="false" customHeight="true" outlineLevel="0" collapsed="false">
      <c r="A111" s="21" t="s">
        <v>243</v>
      </c>
      <c r="B111" s="22" t="s">
        <v>369</v>
      </c>
      <c r="C111" s="23" t="str">
        <f aca="false">IFERROR(INDEX(_対応表!$H$2:$H$4460,MATCH($A111,_対応表!$G$2:$G$4460,0)),"")</f>
        <v>j</v>
      </c>
      <c r="D111" s="23" t="str">
        <f aca="false">IFERROR(INDEX(_対応表!$I$2:$I$4460,MATCH($A111,_対応表!$G$2:$G$4460,0)),"")</f>
        <v>h</v>
      </c>
      <c r="E111" s="23" t="str">
        <f aca="false">IFERROR(INDEX(_対応表!$J$2:$J$4460,MATCH($A111,_対応表!$G$2:$G$4460,0)),"")</f>
        <v>w</v>
      </c>
      <c r="F111" s="23" t="str">
        <f aca="false">IFERROR(INDEX(_対応表!$K$2:$K$4460,MATCH($A111,_対応表!$G$2:$G$4460,0)),"")</f>
        <v/>
      </c>
      <c r="G111" s="23" t="str">
        <f aca="false">IFERROR(INDEX(_対応表!$L$2:$L$4460,MATCH($A111,_対応表!$G$2:$G$4460,0)),"")</f>
        <v>同時</v>
      </c>
      <c r="H111" s="24"/>
    </row>
    <row r="112" customFormat="false" ht="15" hidden="false" customHeight="true" outlineLevel="0" collapsed="false">
      <c r="A112" s="21" t="s">
        <v>253</v>
      </c>
      <c r="B112" s="22" t="s">
        <v>369</v>
      </c>
      <c r="C112" s="23" t="str">
        <f aca="false">IFERROR(INDEX(_対応表!$H$2:$H$4460,MATCH($A112,_対応表!$G$2:$G$4460,0)),"")</f>
        <v>j</v>
      </c>
      <c r="D112" s="23" t="str">
        <f aca="false">IFERROR(INDEX(_対応表!$I$2:$I$4460,MATCH($A112,_対応表!$G$2:$G$4460,0)),"")</f>
        <v>p</v>
      </c>
      <c r="E112" s="23" t="str">
        <f aca="false">IFERROR(INDEX(_対応表!$J$2:$J$4460,MATCH($A112,_対応表!$G$2:$G$4460,0)),"")</f>
        <v>w</v>
      </c>
      <c r="F112" s="23" t="str">
        <f aca="false">IFERROR(INDEX(_対応表!$K$2:$K$4460,MATCH($A112,_対応表!$G$2:$G$4460,0)),"")</f>
        <v/>
      </c>
      <c r="G112" s="23" t="str">
        <f aca="false">IFERROR(INDEX(_対応表!$L$2:$L$4460,MATCH($A112,_対応表!$G$2:$G$4460,0)),"")</f>
        <v>同時</v>
      </c>
      <c r="H112" s="24"/>
    </row>
    <row r="113" customFormat="false" ht="15" hidden="false" customHeight="true" outlineLevel="0" collapsed="false">
      <c r="A113" s="21" t="s">
        <v>248</v>
      </c>
      <c r="B113" s="22" t="s">
        <v>369</v>
      </c>
      <c r="C113" s="23" t="str">
        <f aca="false">IFERROR(INDEX(_対応表!$H$2:$H$4460,MATCH($A113,_対応表!$G$2:$G$4460,0)),"")</f>
        <v>j</v>
      </c>
      <c r="D113" s="23" t="str">
        <f aca="false">IFERROR(INDEX(_対応表!$I$2:$I$4460,MATCH($A113,_対応表!$G$2:$G$4460,0)),"")</f>
        <v>i</v>
      </c>
      <c r="E113" s="23" t="str">
        <f aca="false">IFERROR(INDEX(_対応表!$J$2:$J$4460,MATCH($A113,_対応表!$G$2:$G$4460,0)),"")</f>
        <v>w</v>
      </c>
      <c r="F113" s="23" t="str">
        <f aca="false">IFERROR(INDEX(_対応表!$K$2:$K$4460,MATCH($A113,_対応表!$G$2:$G$4460,0)),"")</f>
        <v/>
      </c>
      <c r="G113" s="23" t="str">
        <f aca="false">IFERROR(INDEX(_対応表!$L$2:$L$4460,MATCH($A113,_対応表!$G$2:$G$4460,0)),"")</f>
        <v>同時</v>
      </c>
      <c r="H113" s="24"/>
    </row>
    <row r="114" customFormat="false" ht="15" hidden="false" customHeight="true" outlineLevel="0" collapsed="false">
      <c r="A114" s="21" t="s">
        <v>244</v>
      </c>
      <c r="B114" s="22" t="s">
        <v>369</v>
      </c>
      <c r="C114" s="23" t="str">
        <f aca="false">IFERROR(INDEX(_対応表!$H$2:$H$4460,MATCH($A114,_対応表!$G$2:$G$4460,0)),"")</f>
        <v>j</v>
      </c>
      <c r="D114" s="23" t="str">
        <f aca="false">IFERROR(INDEX(_対応表!$I$2:$I$4460,MATCH($A114,_対応表!$G$2:$G$4460,0)),"")</f>
        <v>h</v>
      </c>
      <c r="E114" s="23" t="str">
        <f aca="false">IFERROR(INDEX(_対応表!$J$2:$J$4460,MATCH($A114,_対応表!$G$2:$G$4460,0)),"")</f>
        <v>r</v>
      </c>
      <c r="F114" s="23" t="str">
        <f aca="false">IFERROR(INDEX(_対応表!$K$2:$K$4460,MATCH($A114,_対応表!$G$2:$G$4460,0)),"")</f>
        <v/>
      </c>
      <c r="G114" s="23" t="str">
        <f aca="false">IFERROR(INDEX(_対応表!$L$2:$L$4460,MATCH($A114,_対応表!$G$2:$G$4460,0)),"")</f>
        <v>同時</v>
      </c>
      <c r="H114" s="24"/>
    </row>
    <row r="115" customFormat="false" ht="15" hidden="false" customHeight="true" outlineLevel="0" collapsed="false">
      <c r="A115" s="21" t="s">
        <v>254</v>
      </c>
      <c r="B115" s="22" t="s">
        <v>369</v>
      </c>
      <c r="C115" s="23" t="str">
        <f aca="false">IFERROR(INDEX(_対応表!$H$2:$H$4460,MATCH($A115,_対応表!$G$2:$G$4460,0)),"")</f>
        <v>j</v>
      </c>
      <c r="D115" s="23" t="str">
        <f aca="false">IFERROR(INDEX(_対応表!$I$2:$I$4460,MATCH($A115,_対応表!$G$2:$G$4460,0)),"")</f>
        <v>p</v>
      </c>
      <c r="E115" s="23" t="str">
        <f aca="false">IFERROR(INDEX(_対応表!$J$2:$J$4460,MATCH($A115,_対応表!$G$2:$G$4460,0)),"")</f>
        <v>r</v>
      </c>
      <c r="F115" s="23" t="str">
        <f aca="false">IFERROR(INDEX(_対応表!$K$2:$K$4460,MATCH($A115,_対応表!$G$2:$G$4460,0)),"")</f>
        <v/>
      </c>
      <c r="G115" s="23" t="str">
        <f aca="false">IFERROR(INDEX(_対応表!$L$2:$L$4460,MATCH($A115,_対応表!$G$2:$G$4460,0)),"")</f>
        <v>同時</v>
      </c>
      <c r="H115" s="24"/>
    </row>
    <row r="116" customFormat="false" ht="15" hidden="false" customHeight="true" outlineLevel="0" collapsed="false">
      <c r="A116" s="21" t="s">
        <v>249</v>
      </c>
      <c r="B116" s="22" t="s">
        <v>369</v>
      </c>
      <c r="C116" s="23" t="str">
        <f aca="false">IFERROR(INDEX(_対応表!$H$2:$H$4460,MATCH($A116,_対応表!$G$2:$G$4460,0)),"")</f>
        <v>j</v>
      </c>
      <c r="D116" s="23" t="str">
        <f aca="false">IFERROR(INDEX(_対応表!$I$2:$I$4460,MATCH($A116,_対応表!$G$2:$G$4460,0)),"")</f>
        <v>i</v>
      </c>
      <c r="E116" s="23" t="str">
        <f aca="false">IFERROR(INDEX(_対応表!$J$2:$J$4460,MATCH($A116,_対応表!$G$2:$G$4460,0)),"")</f>
        <v>r</v>
      </c>
      <c r="F116" s="23" t="str">
        <f aca="false">IFERROR(INDEX(_対応表!$K$2:$K$4460,MATCH($A116,_対応表!$G$2:$G$4460,0)),"")</f>
        <v/>
      </c>
      <c r="G116" s="23" t="str">
        <f aca="false">IFERROR(INDEX(_対応表!$L$2:$L$4460,MATCH($A116,_対応表!$G$2:$G$4460,0)),"")</f>
        <v>同時</v>
      </c>
      <c r="H116" s="24"/>
    </row>
    <row r="117" customFormat="false" ht="15" hidden="false" customHeight="true" outlineLevel="0" collapsed="false">
      <c r="A117" s="21" t="s">
        <v>245</v>
      </c>
      <c r="B117" s="22" t="s">
        <v>369</v>
      </c>
      <c r="C117" s="23" t="str">
        <f aca="false">IFERROR(INDEX(_対応表!$H$2:$H$4460,MATCH($A117,_対応表!$G$2:$G$4460,0)),"")</f>
        <v>j</v>
      </c>
      <c r="D117" s="23" t="str">
        <f aca="false">IFERROR(INDEX(_対応表!$I$2:$I$4460,MATCH($A117,_対応表!$G$2:$G$4460,0)),"")</f>
        <v>h</v>
      </c>
      <c r="E117" s="23" t="str">
        <f aca="false">IFERROR(INDEX(_対応表!$J$2:$J$4460,MATCH($A117,_対応表!$G$2:$G$4460,0)),"")</f>
        <v>g</v>
      </c>
      <c r="F117" s="23" t="str">
        <f aca="false">IFERROR(INDEX(_対応表!$K$2:$K$4460,MATCH($A117,_対応表!$G$2:$G$4460,0)),"")</f>
        <v/>
      </c>
      <c r="G117" s="23" t="str">
        <f aca="false">IFERROR(INDEX(_対応表!$L$2:$L$4460,MATCH($A117,_対応表!$G$2:$G$4460,0)),"")</f>
        <v>同時</v>
      </c>
      <c r="H117" s="24"/>
    </row>
    <row r="118" customFormat="false" ht="15" hidden="false" customHeight="true" outlineLevel="0" collapsed="false">
      <c r="A118" s="21" t="s">
        <v>255</v>
      </c>
      <c r="B118" s="22" t="s">
        <v>369</v>
      </c>
      <c r="C118" s="23" t="str">
        <f aca="false">IFERROR(INDEX(_対応表!$H$2:$H$4460,MATCH($A118,_対応表!$G$2:$G$4460,0)),"")</f>
        <v>j</v>
      </c>
      <c r="D118" s="23" t="str">
        <f aca="false">IFERROR(INDEX(_対応表!$I$2:$I$4460,MATCH($A118,_対応表!$G$2:$G$4460,0)),"")</f>
        <v>p</v>
      </c>
      <c r="E118" s="23" t="str">
        <f aca="false">IFERROR(INDEX(_対応表!$J$2:$J$4460,MATCH($A118,_対応表!$G$2:$G$4460,0)),"")</f>
        <v>g</v>
      </c>
      <c r="F118" s="23" t="str">
        <f aca="false">IFERROR(INDEX(_対応表!$K$2:$K$4460,MATCH($A118,_対応表!$G$2:$G$4460,0)),"")</f>
        <v/>
      </c>
      <c r="G118" s="23" t="str">
        <f aca="false">IFERROR(INDEX(_対応表!$L$2:$L$4460,MATCH($A118,_対応表!$G$2:$G$4460,0)),"")</f>
        <v>同時</v>
      </c>
      <c r="H118" s="24"/>
    </row>
    <row r="119" customFormat="false" ht="15" hidden="false" customHeight="true" outlineLevel="0" collapsed="false">
      <c r="A119" s="21" t="s">
        <v>250</v>
      </c>
      <c r="B119" s="22" t="s">
        <v>369</v>
      </c>
      <c r="C119" s="23" t="str">
        <f aca="false">IFERROR(INDEX(_対応表!$H$2:$H$4460,MATCH($A119,_対応表!$G$2:$G$4460,0)),"")</f>
        <v>j</v>
      </c>
      <c r="D119" s="23" t="str">
        <f aca="false">IFERROR(INDEX(_対応表!$I$2:$I$4460,MATCH($A119,_対応表!$G$2:$G$4460,0)),"")</f>
        <v>i</v>
      </c>
      <c r="E119" s="23" t="str">
        <f aca="false">IFERROR(INDEX(_対応表!$J$2:$J$4460,MATCH($A119,_対応表!$G$2:$G$4460,0)),"")</f>
        <v>g</v>
      </c>
      <c r="F119" s="23" t="str">
        <f aca="false">IFERROR(INDEX(_対応表!$K$2:$K$4460,MATCH($A119,_対応表!$G$2:$G$4460,0)),"")</f>
        <v/>
      </c>
      <c r="G119" s="23" t="str">
        <f aca="false">IFERROR(INDEX(_対応表!$L$2:$L$4460,MATCH($A119,_対応表!$G$2:$G$4460,0)),"")</f>
        <v>同時</v>
      </c>
      <c r="H119" s="24"/>
    </row>
    <row r="120" customFormat="false" ht="15" hidden="false" customHeight="true" outlineLevel="0" collapsed="false">
      <c r="A120" s="21" t="s">
        <v>246</v>
      </c>
      <c r="B120" s="22" t="s">
        <v>369</v>
      </c>
      <c r="C120" s="23" t="str">
        <f aca="false">IFERROR(INDEX(_対応表!$H$2:$H$4460,MATCH($A120,_対応表!$G$2:$G$4460,0)),"")</f>
        <v>j</v>
      </c>
      <c r="D120" s="23" t="str">
        <f aca="false">IFERROR(INDEX(_対応表!$I$2:$I$4460,MATCH($A120,_対応表!$G$2:$G$4460,0)),"")</f>
        <v>h</v>
      </c>
      <c r="E120" s="23" t="str">
        <f aca="false">IFERROR(INDEX(_対応表!$J$2:$J$4460,MATCH($A120,_対応表!$G$2:$G$4460,0)),"")</f>
        <v>x</v>
      </c>
      <c r="F120" s="23" t="str">
        <f aca="false">IFERROR(INDEX(_対応表!$K$2:$K$4460,MATCH($A120,_対応表!$G$2:$G$4460,0)),"")</f>
        <v/>
      </c>
      <c r="G120" s="23" t="str">
        <f aca="false">IFERROR(INDEX(_対応表!$L$2:$L$4460,MATCH($A120,_対応表!$G$2:$G$4460,0)),"")</f>
        <v>同時</v>
      </c>
      <c r="H120" s="24"/>
    </row>
    <row r="121" customFormat="false" ht="15" hidden="false" customHeight="true" outlineLevel="0" collapsed="false">
      <c r="A121" s="21" t="s">
        <v>256</v>
      </c>
      <c r="B121" s="22" t="s">
        <v>369</v>
      </c>
      <c r="C121" s="23" t="str">
        <f aca="false">IFERROR(INDEX(_対応表!$H$2:$H$4460,MATCH($A121,_対応表!$G$2:$G$4460,0)),"")</f>
        <v>j</v>
      </c>
      <c r="D121" s="23" t="str">
        <f aca="false">IFERROR(INDEX(_対応表!$I$2:$I$4460,MATCH($A121,_対応表!$G$2:$G$4460,0)),"")</f>
        <v>p</v>
      </c>
      <c r="E121" s="23" t="str">
        <f aca="false">IFERROR(INDEX(_対応表!$J$2:$J$4460,MATCH($A121,_対応表!$G$2:$G$4460,0)),"")</f>
        <v>x</v>
      </c>
      <c r="F121" s="23" t="str">
        <f aca="false">IFERROR(INDEX(_対応表!$K$2:$K$4460,MATCH($A121,_対応表!$G$2:$G$4460,0)),"")</f>
        <v/>
      </c>
      <c r="G121" s="23" t="str">
        <f aca="false">IFERROR(INDEX(_対応表!$L$2:$L$4460,MATCH($A121,_対応表!$G$2:$G$4460,0)),"")</f>
        <v>同時</v>
      </c>
      <c r="H121" s="24"/>
    </row>
    <row r="122" customFormat="false" ht="15" hidden="false" customHeight="true" outlineLevel="0" collapsed="false">
      <c r="A122" s="21" t="s">
        <v>251</v>
      </c>
      <c r="B122" s="22" t="s">
        <v>369</v>
      </c>
      <c r="C122" s="23" t="str">
        <f aca="false">IFERROR(INDEX(_対応表!$H$2:$H$4460,MATCH($A122,_対応表!$G$2:$G$4460,0)),"")</f>
        <v>j</v>
      </c>
      <c r="D122" s="23" t="str">
        <f aca="false">IFERROR(INDEX(_対応表!$I$2:$I$4460,MATCH($A122,_対応表!$G$2:$G$4460,0)),"")</f>
        <v>i</v>
      </c>
      <c r="E122" s="23" t="str">
        <f aca="false">IFERROR(INDEX(_対応表!$J$2:$J$4460,MATCH($A122,_対応表!$G$2:$G$4460,0)),"")</f>
        <v>x</v>
      </c>
      <c r="F122" s="23" t="str">
        <f aca="false">IFERROR(INDEX(_対応表!$K$2:$K$4460,MATCH($A122,_対応表!$G$2:$G$4460,0)),"")</f>
        <v/>
      </c>
      <c r="G122" s="23" t="str">
        <f aca="false">IFERROR(INDEX(_対応表!$L$2:$L$4460,MATCH($A122,_対応表!$G$2:$G$4460,0)),"")</f>
        <v>同時</v>
      </c>
      <c r="H122" s="24"/>
    </row>
    <row r="123" customFormat="false" ht="15" hidden="false" customHeight="true" outlineLevel="0" collapsed="false">
      <c r="A123" s="21" t="s">
        <v>238</v>
      </c>
      <c r="B123" s="22" t="s">
        <v>369</v>
      </c>
      <c r="C123" s="23" t="str">
        <f aca="false">IFERROR(INDEX(_対応表!$H$2:$H$4460,MATCH($A123,_対応表!$G$2:$G$4460,0)),"")</f>
        <v>h</v>
      </c>
      <c r="D123" s="23" t="str">
        <f aca="false">IFERROR(INDEX(_対応表!$I$2:$I$4460,MATCH($A123,_対応表!$G$2:$G$4460,0)),"")</f>
        <v>m</v>
      </c>
      <c r="E123" s="23" t="str">
        <f aca="false">IFERROR(INDEX(_対応表!$J$2:$J$4460,MATCH($A123,_対応表!$G$2:$G$4460,0)),"")</f>
        <v>x</v>
      </c>
      <c r="F123" s="23" t="str">
        <f aca="false">IFERROR(INDEX(_対応表!$K$2:$K$4460,MATCH($A123,_対応表!$G$2:$G$4460,0)),"")</f>
        <v/>
      </c>
      <c r="G123" s="23" t="str">
        <f aca="false">IFERROR(INDEX(_対応表!$L$2:$L$4460,MATCH($A123,_対応表!$G$2:$G$4460,0)),"")</f>
        <v>同時</v>
      </c>
      <c r="H123" s="24"/>
    </row>
    <row r="124" customFormat="false" ht="15" hidden="false" customHeight="true" outlineLevel="0" collapsed="false">
      <c r="A124" s="21" t="s">
        <v>241</v>
      </c>
      <c r="B124" s="22" t="s">
        <v>369</v>
      </c>
      <c r="C124" s="23" t="str">
        <f aca="false">IFERROR(INDEX(_対応表!$H$2:$H$4460,MATCH($A124,_対応表!$G$2:$G$4460,0)),"")</f>
        <v>m</v>
      </c>
      <c r="D124" s="23" t="str">
        <f aca="false">IFERROR(INDEX(_対応表!$I$2:$I$4460,MATCH($A124,_対応表!$G$2:$G$4460,0)),"")</f>
        <v>p</v>
      </c>
      <c r="E124" s="23" t="str">
        <f aca="false">IFERROR(INDEX(_対応表!$J$2:$J$4460,MATCH($A124,_対応表!$G$2:$G$4460,0)),"")</f>
        <v>x</v>
      </c>
      <c r="F124" s="23" t="str">
        <f aca="false">IFERROR(INDEX(_対応表!$K$2:$K$4460,MATCH($A124,_対応表!$G$2:$G$4460,0)),"")</f>
        <v/>
      </c>
      <c r="G124" s="23" t="str">
        <f aca="false">IFERROR(INDEX(_対応表!$L$2:$L$4460,MATCH($A124,_対応表!$G$2:$G$4460,0)),"")</f>
        <v>同時</v>
      </c>
      <c r="H124" s="24"/>
    </row>
    <row r="125" customFormat="false" ht="15" hidden="false" customHeight="true" outlineLevel="0" collapsed="false">
      <c r="A125" s="21" t="s">
        <v>258</v>
      </c>
      <c r="B125" s="22" t="s">
        <v>369</v>
      </c>
      <c r="C125" s="23" t="str">
        <f aca="false">IFERROR(INDEX(_対応表!$H$2:$H$4460,MATCH($A125,_対応表!$G$2:$G$4460,0)),"")</f>
        <v>m</v>
      </c>
      <c r="D125" s="23" t="str">
        <f aca="false">IFERROR(INDEX(_対応表!$I$2:$I$4460,MATCH($A125,_対応表!$G$2:$G$4460,0)),"")</f>
        <v>i</v>
      </c>
      <c r="E125" s="23" t="str">
        <f aca="false">IFERROR(INDEX(_対応表!$J$2:$J$4460,MATCH($A125,_対応表!$G$2:$G$4460,0)),"")</f>
        <v>x</v>
      </c>
      <c r="F125" s="23" t="str">
        <f aca="false">IFERROR(INDEX(_対応表!$K$2:$K$4460,MATCH($A125,_対応表!$G$2:$G$4460,0)),"")</f>
        <v/>
      </c>
      <c r="G125" s="23" t="str">
        <f aca="false">IFERROR(INDEX(_対応表!$L$2:$L$4460,MATCH($A125,_対応表!$G$2:$G$4460,0)),"")</f>
        <v>同時</v>
      </c>
      <c r="H125" s="24"/>
    </row>
    <row r="126" customFormat="false" ht="15" hidden="false" customHeight="true" outlineLevel="0" collapsed="false">
      <c r="A126" s="21" t="s">
        <v>370</v>
      </c>
      <c r="B126" s="22" t="s">
        <v>361</v>
      </c>
      <c r="C126" s="23" t="str">
        <f aca="false">IFERROR(INDEX(_対応表!$H$2:$H$4460,MATCH($A126,_対応表!$G$2:$G$4460,0)),"")</f>
        <v/>
      </c>
      <c r="D126" s="23" t="str">
        <f aca="false">IFERROR(INDEX(_対応表!$I$2:$I$4460,MATCH($A126,_対応表!$G$2:$G$4460,0)),"")</f>
        <v/>
      </c>
      <c r="E126" s="23" t="str">
        <f aca="false">IFERROR(INDEX(_対応表!$J$2:$J$4460,MATCH($A126,_対応表!$G$2:$G$4460,0)),"")</f>
        <v/>
      </c>
      <c r="F126" s="23" t="str">
        <f aca="false">IFERROR(INDEX(_対応表!$K$2:$K$4460,MATCH($A126,_対応表!$G$2:$G$4460,0)),"")</f>
        <v/>
      </c>
      <c r="G126" s="23" t="str">
        <f aca="false">IFERROR(INDEX(_対応表!$L$2:$L$4460,MATCH($A126,_対応表!$G$2:$G$4460,0)),"")</f>
        <v/>
      </c>
      <c r="H126" s="24"/>
    </row>
    <row r="127" customFormat="false" ht="15" hidden="false" customHeight="true" outlineLevel="0" collapsed="false">
      <c r="A127" s="21" t="s">
        <v>262</v>
      </c>
      <c r="B127" s="22" t="s">
        <v>361</v>
      </c>
      <c r="C127" s="23" t="str">
        <f aca="false">IFERROR(INDEX(_対応表!$H$2:$H$4460,MATCH($A127,_対応表!$G$2:$G$4460,0)),"")</f>
        <v>v</v>
      </c>
      <c r="D127" s="23" t="str">
        <f aca="false">IFERROR(INDEX(_対応表!$I$2:$I$4460,MATCH($A127,_対応表!$G$2:$G$4460,0)),"")</f>
        <v>l</v>
      </c>
      <c r="E127" s="23" t="str">
        <f aca="false">IFERROR(INDEX(_対応表!$J$2:$J$4460,MATCH($A127,_対応表!$G$2:$G$4460,0)),"")</f>
        <v>k</v>
      </c>
      <c r="F127" s="23" t="str">
        <f aca="false">IFERROR(INDEX(_対応表!$K$2:$K$4460,MATCH($A127,_対応表!$G$2:$G$4460,0)),"")</f>
        <v/>
      </c>
      <c r="G127" s="23" t="str">
        <f aca="false">IFERROR(INDEX(_対応表!$L$2:$L$4460,MATCH($A127,_対応表!$G$2:$G$4460,0)),"")</f>
        <v>同時</v>
      </c>
      <c r="H127" s="24"/>
    </row>
    <row r="128" customFormat="false" ht="15" hidden="false" customHeight="true" outlineLevel="0" collapsed="false">
      <c r="A128" s="21" t="s">
        <v>260</v>
      </c>
      <c r="B128" s="22" t="s">
        <v>361</v>
      </c>
      <c r="C128" s="23" t="str">
        <f aca="false">IFERROR(INDEX(_対応表!$H$2:$H$4460,MATCH($A128,_対応表!$G$2:$G$4460,0)),"")</f>
        <v>v</v>
      </c>
      <c r="D128" s="23" t="str">
        <f aca="false">IFERROR(INDEX(_対応表!$I$2:$I$4460,MATCH($A128,_対応表!$G$2:$G$4460,0)),"")</f>
        <v>l</v>
      </c>
      <c r="E128" s="23" t="str">
        <f aca="false">IFERROR(INDEX(_対応表!$J$2:$J$4460,MATCH($A128,_対応表!$G$2:$G$4460,0)),"")</f>
        <v>o</v>
      </c>
      <c r="F128" s="23" t="str">
        <f aca="false">IFERROR(INDEX(_対応表!$K$2:$K$4460,MATCH($A128,_対応表!$G$2:$G$4460,0)),"")</f>
        <v/>
      </c>
      <c r="G128" s="23" t="str">
        <f aca="false">IFERROR(INDEX(_対応表!$L$2:$L$4460,MATCH($A128,_対応表!$G$2:$G$4460,0)),"")</f>
        <v>同時</v>
      </c>
      <c r="H128" s="24"/>
    </row>
    <row r="129" customFormat="false" ht="15" hidden="false" customHeight="true" outlineLevel="0" collapsed="false">
      <c r="A129" s="21" t="s">
        <v>263</v>
      </c>
      <c r="B129" s="22" t="s">
        <v>361</v>
      </c>
      <c r="C129" s="23" t="str">
        <f aca="false">IFERROR(INDEX(_対応表!$H$2:$H$4460,MATCH($A129,_対応表!$G$2:$G$4460,0)),"")</f>
        <v>v</v>
      </c>
      <c r="D129" s="23" t="str">
        <f aca="false">IFERROR(INDEX(_対応表!$I$2:$I$4460,MATCH($A129,_対応表!$G$2:$G$4460,0)),"")</f>
        <v>l</v>
      </c>
      <c r="E129" s="23" t="str">
        <f aca="false">IFERROR(INDEX(_対応表!$J$2:$J$4460,MATCH($A129,_対応表!$G$2:$G$4460,0)),"")</f>
        <v>n</v>
      </c>
      <c r="F129" s="23" t="str">
        <f aca="false">IFERROR(INDEX(_対応表!$K$2:$K$4460,MATCH($A129,_対応表!$G$2:$G$4460,0)),"")</f>
        <v/>
      </c>
      <c r="G129" s="23" t="str">
        <f aca="false">IFERROR(INDEX(_対応表!$L$2:$L$4460,MATCH($A129,_対応表!$G$2:$G$4460,0)),"")</f>
        <v>同時</v>
      </c>
      <c r="H129" s="24"/>
    </row>
    <row r="130" customFormat="false" ht="15" hidden="false" customHeight="true" outlineLevel="0" collapsed="false">
      <c r="A130" s="21" t="s">
        <v>271</v>
      </c>
      <c r="B130" s="22" t="s">
        <v>361</v>
      </c>
      <c r="C130" s="23" t="str">
        <f aca="false">IFERROR(INDEX(_対応表!$H$2:$H$4460,MATCH($A130,_対応表!$G$2:$G$4460,0)),"")</f>
        <v>f</v>
      </c>
      <c r="D130" s="23" t="str">
        <f aca="false">IFERROR(INDEX(_対応表!$I$2:$I$4460,MATCH($A130,_対応表!$G$2:$G$4460,0)),"")</f>
        <v>;</v>
      </c>
      <c r="E130" s="23" t="str">
        <f aca="false">IFERROR(INDEX(_対応表!$J$2:$J$4460,MATCH($A130,_対応表!$G$2:$G$4460,0)),"")</f>
        <v>l</v>
      </c>
      <c r="F130" s="23" t="str">
        <f aca="false">IFERROR(INDEX(_対応表!$K$2:$K$4460,MATCH($A130,_対応表!$G$2:$G$4460,0)),"")</f>
        <v/>
      </c>
      <c r="G130" s="23" t="str">
        <f aca="false">IFERROR(INDEX(_対応表!$L$2:$L$4460,MATCH($A130,_対応表!$G$2:$G$4460,0)),"")</f>
        <v>同時</v>
      </c>
      <c r="H130" s="24"/>
    </row>
    <row r="131" customFormat="false" ht="15" hidden="false" customHeight="true" outlineLevel="0" collapsed="false">
      <c r="A131" s="21" t="s">
        <v>267</v>
      </c>
      <c r="B131" s="22" t="s">
        <v>361</v>
      </c>
      <c r="C131" s="23" t="str">
        <f aca="false">IFERROR(INDEX(_対応表!$H$2:$H$4460,MATCH($A131,_対応表!$G$2:$G$4460,0)),"")</f>
        <v>f</v>
      </c>
      <c r="D131" s="23" t="str">
        <f aca="false">IFERROR(INDEX(_対応表!$I$2:$I$4460,MATCH($A131,_対応表!$G$2:$G$4460,0)),"")</f>
        <v>l</v>
      </c>
      <c r="E131" s="23" t="str">
        <f aca="false">IFERROR(INDEX(_対応表!$J$2:$J$4460,MATCH($A131,_対応表!$G$2:$G$4460,0)),"")</f>
        <v>j</v>
      </c>
      <c r="F131" s="23" t="str">
        <f aca="false">IFERROR(INDEX(_対応表!$K$2:$K$4460,MATCH($A131,_対応表!$G$2:$G$4460,0)),"")</f>
        <v/>
      </c>
      <c r="G131" s="23" t="str">
        <f aca="false">IFERROR(INDEX(_対応表!$L$2:$L$4460,MATCH($A131,_対応表!$G$2:$G$4460,0)),"")</f>
        <v>同時</v>
      </c>
      <c r="H131" s="24"/>
    </row>
    <row r="132" customFormat="false" ht="15" hidden="false" customHeight="true" outlineLevel="0" collapsed="false">
      <c r="A132" s="21" t="s">
        <v>268</v>
      </c>
      <c r="B132" s="22" t="s">
        <v>361</v>
      </c>
      <c r="C132" s="23" t="str">
        <f aca="false">IFERROR(INDEX(_対応表!$H$2:$H$4460,MATCH($A132,_対応表!$G$2:$G$4460,0)),"")</f>
        <v>f</v>
      </c>
      <c r="D132" s="23" t="str">
        <f aca="false">IFERROR(INDEX(_対応表!$I$2:$I$4460,MATCH($A132,_対応表!$G$2:$G$4460,0)),"")</f>
        <v>l</v>
      </c>
      <c r="E132" s="23" t="str">
        <f aca="false">IFERROR(INDEX(_対応表!$J$2:$J$4460,MATCH($A132,_対応表!$G$2:$G$4460,0)),"")</f>
        <v>k</v>
      </c>
      <c r="F132" s="23" t="str">
        <f aca="false">IFERROR(INDEX(_対応表!$K$2:$K$4460,MATCH($A132,_対応表!$G$2:$G$4460,0)),"")</f>
        <v/>
      </c>
      <c r="G132" s="23" t="str">
        <f aca="false">IFERROR(INDEX(_対応表!$L$2:$L$4460,MATCH($A132,_対応表!$G$2:$G$4460,0)),"")</f>
        <v>同時</v>
      </c>
      <c r="H132" s="24"/>
    </row>
    <row r="133" customFormat="false" ht="15" hidden="false" customHeight="true" outlineLevel="0" collapsed="false">
      <c r="A133" s="21" t="s">
        <v>265</v>
      </c>
      <c r="B133" s="22" t="s">
        <v>361</v>
      </c>
      <c r="C133" s="23" t="str">
        <f aca="false">IFERROR(INDEX(_対応表!$H$2:$H$4460,MATCH($A133,_対応表!$G$2:$G$4460,0)),"")</f>
        <v>f</v>
      </c>
      <c r="D133" s="23" t="str">
        <f aca="false">IFERROR(INDEX(_対応表!$I$2:$I$4460,MATCH($A133,_対応表!$G$2:$G$4460,0)),"")</f>
        <v>l</v>
      </c>
      <c r="E133" s="23" t="str">
        <f aca="false">IFERROR(INDEX(_対応表!$J$2:$J$4460,MATCH($A133,_対応表!$G$2:$G$4460,0)),"")</f>
        <v>o</v>
      </c>
      <c r="F133" s="23" t="str">
        <f aca="false">IFERROR(INDEX(_対応表!$K$2:$K$4460,MATCH($A133,_対応表!$G$2:$G$4460,0)),"")</f>
        <v/>
      </c>
      <c r="G133" s="23" t="str">
        <f aca="false">IFERROR(INDEX(_対応表!$L$2:$L$4460,MATCH($A133,_対応表!$G$2:$G$4460,0)),"")</f>
        <v>同時</v>
      </c>
      <c r="H133" s="24"/>
    </row>
    <row r="134" customFormat="false" ht="15" hidden="false" customHeight="true" outlineLevel="0" collapsed="false">
      <c r="A134" s="21" t="s">
        <v>269</v>
      </c>
      <c r="B134" s="22" t="s">
        <v>361</v>
      </c>
      <c r="C134" s="23" t="str">
        <f aca="false">IFERROR(INDEX(_対応表!$H$2:$H$4460,MATCH($A134,_対応表!$G$2:$G$4460,0)),"")</f>
        <v>f</v>
      </c>
      <c r="D134" s="23" t="str">
        <f aca="false">IFERROR(INDEX(_対応表!$I$2:$I$4460,MATCH($A134,_対応表!$G$2:$G$4460,0)),"")</f>
        <v>l</v>
      </c>
      <c r="E134" s="23" t="str">
        <f aca="false">IFERROR(INDEX(_対応表!$J$2:$J$4460,MATCH($A134,_対応表!$G$2:$G$4460,0)),"")</f>
        <v>n</v>
      </c>
      <c r="F134" s="23" t="str">
        <f aca="false">IFERROR(INDEX(_対応表!$K$2:$K$4460,MATCH($A134,_対応表!$G$2:$G$4460,0)),"")</f>
        <v/>
      </c>
      <c r="G134" s="23" t="str">
        <f aca="false">IFERROR(INDEX(_対応表!$L$2:$L$4460,MATCH($A134,_対応表!$G$2:$G$4460,0)),"")</f>
        <v>同時</v>
      </c>
      <c r="H134" s="24"/>
    </row>
    <row r="135" customFormat="false" ht="15" hidden="false" customHeight="true" outlineLevel="0" collapsed="false">
      <c r="A135" s="21" t="s">
        <v>266</v>
      </c>
      <c r="B135" s="22" t="s">
        <v>361</v>
      </c>
      <c r="C135" s="23" t="str">
        <f aca="false">IFERROR(INDEX(_対応表!$H$2:$H$4460,MATCH($A135,_対応表!$G$2:$G$4460,0)),"")</f>
        <v>f</v>
      </c>
      <c r="D135" s="23" t="str">
        <f aca="false">IFERROR(INDEX(_対応表!$I$2:$I$4460,MATCH($A135,_対応表!$G$2:$G$4460,0)),"")</f>
        <v>l</v>
      </c>
      <c r="E135" s="23" t="str">
        <f aca="false">IFERROR(INDEX(_対応表!$J$2:$J$4460,MATCH($A135,_対応表!$G$2:$G$4460,0)),"")</f>
        <v>p</v>
      </c>
      <c r="F135" s="23" t="str">
        <f aca="false">IFERROR(INDEX(_対応表!$K$2:$K$4460,MATCH($A135,_対応表!$G$2:$G$4460,0)),"")</f>
        <v/>
      </c>
      <c r="G135" s="23" t="str">
        <f aca="false">IFERROR(INDEX(_対応表!$L$2:$L$4460,MATCH($A135,_対応表!$G$2:$G$4460,0)),"")</f>
        <v>同時</v>
      </c>
      <c r="H135" s="24"/>
    </row>
    <row r="136" customFormat="false" ht="15" hidden="false" customHeight="true" outlineLevel="0" collapsed="false">
      <c r="A136" s="21" t="s">
        <v>273</v>
      </c>
      <c r="B136" s="22" t="s">
        <v>361</v>
      </c>
      <c r="C136" s="23" t="str">
        <f aca="false">IFERROR(INDEX(_対応表!$H$2:$H$4460,MATCH($A136,_対応表!$G$2:$G$4460,0)),"")</f>
        <v>m</v>
      </c>
      <c r="D136" s="23" t="str">
        <f aca="false">IFERROR(INDEX(_対応表!$I$2:$I$4460,MATCH($A136,_対応表!$G$2:$G$4460,0)),"")</f>
        <v>o</v>
      </c>
      <c r="E136" s="23" t="str">
        <f aca="false">IFERROR(INDEX(_対応表!$J$2:$J$4460,MATCH($A136,_対応表!$G$2:$G$4460,0)),"")</f>
        <v>r</v>
      </c>
      <c r="F136" s="23" t="str">
        <f aca="false">IFERROR(INDEX(_対応表!$K$2:$K$4460,MATCH($A136,_対応表!$G$2:$G$4460,0)),"")</f>
        <v/>
      </c>
      <c r="G136" s="23" t="str">
        <f aca="false">IFERROR(INDEX(_対応表!$L$2:$L$4460,MATCH($A136,_対応表!$G$2:$G$4460,0)),"")</f>
        <v>同時</v>
      </c>
      <c r="H136" s="24"/>
    </row>
    <row r="137" customFormat="false" ht="15" hidden="false" customHeight="true" outlineLevel="0" collapsed="false">
      <c r="A137" s="21" t="s">
        <v>295</v>
      </c>
      <c r="B137" s="22" t="s">
        <v>361</v>
      </c>
      <c r="C137" s="23" t="str">
        <f aca="false">IFERROR(INDEX(_対応表!$H$2:$H$4460,MATCH($A137,_対応表!$G$2:$G$4460,0)),"")</f>
        <v>j</v>
      </c>
      <c r="D137" s="23" t="str">
        <f aca="false">IFERROR(INDEX(_対応表!$I$2:$I$4460,MATCH($A137,_対応表!$G$2:$G$4460,0)),"")</f>
        <v>o</v>
      </c>
      <c r="E137" s="23" t="str">
        <f aca="false">IFERROR(INDEX(_対応表!$J$2:$J$4460,MATCH($A137,_対応表!$G$2:$G$4460,0)),"")</f>
        <v>r</v>
      </c>
      <c r="F137" s="23" t="str">
        <f aca="false">IFERROR(INDEX(_対応表!$K$2:$K$4460,MATCH($A137,_対応表!$G$2:$G$4460,0)),"")</f>
        <v/>
      </c>
      <c r="G137" s="23" t="str">
        <f aca="false">IFERROR(INDEX(_対応表!$L$2:$L$4460,MATCH($A137,_対応表!$G$2:$G$4460,0)),"")</f>
        <v>同時</v>
      </c>
      <c r="H137" s="24"/>
    </row>
    <row r="138" customFormat="false" ht="15" hidden="false" customHeight="true" outlineLevel="0" collapsed="false">
      <c r="A138" s="21" t="s">
        <v>274</v>
      </c>
      <c r="B138" s="22" t="s">
        <v>361</v>
      </c>
      <c r="C138" s="23" t="str">
        <f aca="false">IFERROR(INDEX(_対応表!$H$2:$H$4460,MATCH($A138,_対応表!$G$2:$G$4460,0)),"")</f>
        <v>m</v>
      </c>
      <c r="D138" s="23" t="str">
        <f aca="false">IFERROR(INDEX(_対応表!$I$2:$I$4460,MATCH($A138,_対応表!$G$2:$G$4460,0)),"")</f>
        <v>o</v>
      </c>
      <c r="E138" s="23" t="str">
        <f aca="false">IFERROR(INDEX(_対応表!$J$2:$J$4460,MATCH($A138,_対応表!$G$2:$G$4460,0)),"")</f>
        <v>g</v>
      </c>
      <c r="F138" s="23" t="str">
        <f aca="false">IFERROR(INDEX(_対応表!$K$2:$K$4460,MATCH($A138,_対応表!$G$2:$G$4460,0)),"")</f>
        <v/>
      </c>
      <c r="G138" s="23" t="str">
        <f aca="false">IFERROR(INDEX(_対応表!$L$2:$L$4460,MATCH($A138,_対応表!$G$2:$G$4460,0)),"")</f>
        <v>同時</v>
      </c>
      <c r="H138" s="24"/>
    </row>
    <row r="139" customFormat="false" ht="15" hidden="false" customHeight="true" outlineLevel="0" collapsed="false">
      <c r="A139" s="21" t="s">
        <v>261</v>
      </c>
      <c r="B139" s="22" t="s">
        <v>361</v>
      </c>
      <c r="C139" s="23" t="str">
        <f aca="false">IFERROR(INDEX(_対応表!$H$2:$H$4460,MATCH($A139,_対応表!$G$2:$G$4460,0)),"")</f>
        <v>v</v>
      </c>
      <c r="D139" s="23" t="str">
        <f aca="false">IFERROR(INDEX(_対応表!$I$2:$I$4460,MATCH($A139,_対応表!$G$2:$G$4460,0)),"")</f>
        <v>l</v>
      </c>
      <c r="E139" s="23" t="str">
        <f aca="false">IFERROR(INDEX(_対応表!$J$2:$J$4460,MATCH($A139,_対応表!$G$2:$G$4460,0)),"")</f>
        <v>j</v>
      </c>
      <c r="F139" s="23" t="str">
        <f aca="false">IFERROR(INDEX(_対応表!$K$2:$K$4460,MATCH($A139,_対応表!$G$2:$G$4460,0)),"")</f>
        <v/>
      </c>
      <c r="G139" s="23" t="str">
        <f aca="false">IFERROR(INDEX(_対応表!$L$2:$L$4460,MATCH($A139,_対応表!$G$2:$G$4460,0)),"")</f>
        <v>同時</v>
      </c>
      <c r="H139" s="24"/>
    </row>
    <row r="140" customFormat="false" ht="15" hidden="false" customHeight="true" outlineLevel="0" collapsed="false">
      <c r="A140" s="21" t="s">
        <v>371</v>
      </c>
      <c r="B140" s="22" t="s">
        <v>361</v>
      </c>
      <c r="C140" s="23" t="str">
        <f aca="false">IFERROR(INDEX(_対応表!$H$2:$H$4460,MATCH($A140,_対応表!$G$2:$G$4460,0)),"")</f>
        <v/>
      </c>
      <c r="D140" s="23" t="str">
        <f aca="false">IFERROR(INDEX(_対応表!$I$2:$I$4460,MATCH($A140,_対応表!$G$2:$G$4460,0)),"")</f>
        <v/>
      </c>
      <c r="E140" s="23" t="str">
        <f aca="false">IFERROR(INDEX(_対応表!$J$2:$J$4460,MATCH($A140,_対応表!$G$2:$G$4460,0)),"")</f>
        <v/>
      </c>
      <c r="F140" s="23" t="str">
        <f aca="false">IFERROR(INDEX(_対応表!$K$2:$K$4460,MATCH($A140,_対応表!$G$2:$G$4460,0)),"")</f>
        <v/>
      </c>
      <c r="G140" s="23" t="str">
        <f aca="false">IFERROR(INDEX(_対応表!$L$2:$L$4460,MATCH($A140,_対応表!$G$2:$G$4460,0)),"")</f>
        <v/>
      </c>
      <c r="H140" s="24"/>
    </row>
    <row r="141" customFormat="false" ht="15" hidden="false" customHeight="true" outlineLevel="0" collapsed="false">
      <c r="A141" s="21" t="s">
        <v>372</v>
      </c>
      <c r="B141" s="22" t="s">
        <v>361</v>
      </c>
      <c r="C141" s="23" t="str">
        <f aca="false">IFERROR(INDEX(_対応表!$H$2:$H$4460,MATCH($A141,_対応表!$G$2:$G$4460,0)),"")</f>
        <v/>
      </c>
      <c r="D141" s="23" t="str">
        <f aca="false">IFERROR(INDEX(_対応表!$I$2:$I$4460,MATCH($A141,_対応表!$G$2:$G$4460,0)),"")</f>
        <v/>
      </c>
      <c r="E141" s="23" t="str">
        <f aca="false">IFERROR(INDEX(_対応表!$J$2:$J$4460,MATCH($A141,_対応表!$G$2:$G$4460,0)),"")</f>
        <v/>
      </c>
      <c r="F141" s="23" t="str">
        <f aca="false">IFERROR(INDEX(_対応表!$K$2:$K$4460,MATCH($A141,_対応表!$G$2:$G$4460,0)),"")</f>
        <v/>
      </c>
      <c r="G141" s="23" t="str">
        <f aca="false">IFERROR(INDEX(_対応表!$L$2:$L$4460,MATCH($A141,_対応表!$G$2:$G$4460,0)),"")</f>
        <v/>
      </c>
      <c r="H141" s="24"/>
    </row>
    <row r="142" customFormat="false" ht="15" hidden="false" customHeight="true" outlineLevel="0" collapsed="false">
      <c r="A142" s="21" t="s">
        <v>373</v>
      </c>
      <c r="B142" s="22" t="s">
        <v>361</v>
      </c>
      <c r="C142" s="23" t="str">
        <f aca="false">IFERROR(INDEX(_対応表!$H$2:$H$4460,MATCH($A142,_対応表!$G$2:$G$4460,0)),"")</f>
        <v/>
      </c>
      <c r="D142" s="23" t="str">
        <f aca="false">IFERROR(INDEX(_対応表!$I$2:$I$4460,MATCH($A142,_対応表!$G$2:$G$4460,0)),"")</f>
        <v/>
      </c>
      <c r="E142" s="23" t="str">
        <f aca="false">IFERROR(INDEX(_対応表!$J$2:$J$4460,MATCH($A142,_対応表!$G$2:$G$4460,0)),"")</f>
        <v/>
      </c>
      <c r="F142" s="23" t="str">
        <f aca="false">IFERROR(INDEX(_対応表!$K$2:$K$4460,MATCH($A142,_対応表!$G$2:$G$4460,0)),"")</f>
        <v/>
      </c>
      <c r="G142" s="23" t="str">
        <f aca="false">IFERROR(INDEX(_対応表!$L$2:$L$4460,MATCH($A142,_対応表!$G$2:$G$4460,0)),"")</f>
        <v/>
      </c>
      <c r="H142" s="24"/>
    </row>
    <row r="143" customFormat="false" ht="15" hidden="false" customHeight="true" outlineLevel="0" collapsed="false">
      <c r="A143" s="21" t="s">
        <v>283</v>
      </c>
      <c r="B143" s="22" t="s">
        <v>361</v>
      </c>
      <c r="C143" s="23" t="str">
        <f aca="false">IFERROR(INDEX(_対応表!$H$2:$H$4460,MATCH($A143,_対応表!$G$2:$G$4460,0)),"")</f>
        <v>m</v>
      </c>
      <c r="D143" s="23" t="str">
        <f aca="false">IFERROR(INDEX(_対応表!$I$2:$I$4460,MATCH($A143,_対応表!$G$2:$G$4460,0)),"")</f>
        <v>k</v>
      </c>
      <c r="E143" s="23" t="str">
        <f aca="false">IFERROR(INDEX(_対応表!$J$2:$J$4460,MATCH($A143,_対応表!$G$2:$G$4460,0)),"")</f>
        <v>e</v>
      </c>
      <c r="F143" s="23" t="str">
        <f aca="false">IFERROR(INDEX(_対応表!$K$2:$K$4460,MATCH($A143,_対応表!$G$2:$G$4460,0)),"")</f>
        <v/>
      </c>
      <c r="G143" s="23" t="str">
        <f aca="false">IFERROR(INDEX(_対応表!$L$2:$L$4460,MATCH($A143,_対応表!$G$2:$G$4460,0)),"")</f>
        <v>同時</v>
      </c>
      <c r="H143" s="24"/>
    </row>
    <row r="144" customFormat="false" ht="15" hidden="false" customHeight="true" outlineLevel="0" collapsed="false">
      <c r="A144" s="21" t="s">
        <v>240</v>
      </c>
      <c r="B144" s="22" t="s">
        <v>361</v>
      </c>
      <c r="C144" s="23" t="str">
        <f aca="false">IFERROR(INDEX(_対応表!$H$2:$H$4460,MATCH($A144,_対応表!$G$2:$G$4460,0)),"")</f>
        <v>m</v>
      </c>
      <c r="D144" s="23" t="str">
        <f aca="false">IFERROR(INDEX(_対応表!$I$2:$I$4460,MATCH($A144,_対応表!$G$2:$G$4460,0)),"")</f>
        <v>p</v>
      </c>
      <c r="E144" s="23" t="str">
        <f aca="false">IFERROR(INDEX(_対応表!$J$2:$J$4460,MATCH($A144,_対応表!$G$2:$G$4460,0)),"")</f>
        <v>e</v>
      </c>
      <c r="F144" s="23" t="str">
        <f aca="false">IFERROR(INDEX(_対応表!$K$2:$K$4460,MATCH($A144,_対応表!$G$2:$G$4460,0)),"")</f>
        <v/>
      </c>
      <c r="G144" s="23" t="str">
        <f aca="false">IFERROR(INDEX(_対応表!$L$2:$L$4460,MATCH($A144,_対応表!$G$2:$G$4460,0)),"")</f>
        <v>同時</v>
      </c>
      <c r="H144" s="24"/>
    </row>
    <row r="145" customFormat="false" ht="15" hidden="false" customHeight="true" outlineLevel="0" collapsed="false">
      <c r="A145" s="21" t="s">
        <v>297</v>
      </c>
      <c r="B145" s="22" t="s">
        <v>361</v>
      </c>
      <c r="C145" s="23" t="str">
        <f aca="false">IFERROR(INDEX(_対応表!$H$2:$H$4460,MATCH($A145,_対応表!$G$2:$G$4460,0)),"")</f>
        <v>j</v>
      </c>
      <c r="D145" s="23" t="str">
        <f aca="false">IFERROR(INDEX(_対応表!$I$2:$I$4460,MATCH($A145,_対応表!$G$2:$G$4460,0)),"")</f>
        <v>k</v>
      </c>
      <c r="E145" s="23" t="str">
        <f aca="false">IFERROR(INDEX(_対応表!$J$2:$J$4460,MATCH($A145,_対応表!$G$2:$G$4460,0)),"")</f>
        <v>e</v>
      </c>
      <c r="F145" s="23" t="str">
        <f aca="false">IFERROR(INDEX(_対応表!$K$2:$K$4460,MATCH($A145,_対応表!$G$2:$G$4460,0)),"")</f>
        <v/>
      </c>
      <c r="G145" s="23" t="str">
        <f aca="false">IFERROR(INDEX(_対応表!$L$2:$L$4460,MATCH($A145,_対応表!$G$2:$G$4460,0)),"")</f>
        <v>同時</v>
      </c>
      <c r="H145" s="24"/>
    </row>
    <row r="146" customFormat="false" ht="15" hidden="false" customHeight="true" outlineLevel="0" collapsed="false">
      <c r="A146" s="21" t="s">
        <v>304</v>
      </c>
      <c r="B146" s="22" t="s">
        <v>361</v>
      </c>
      <c r="C146" s="23" t="str">
        <f aca="false">IFERROR(INDEX(_対応表!$H$2:$H$4460,MATCH($A146,_対応表!$G$2:$G$4460,0)),"")</f>
        <v>j</v>
      </c>
      <c r="D146" s="23" t="str">
        <f aca="false">IFERROR(INDEX(_対応表!$I$2:$I$4460,MATCH($A146,_対応表!$G$2:$G$4460,0)),"")</f>
        <v>p</v>
      </c>
      <c r="E146" s="23" t="str">
        <f aca="false">IFERROR(INDEX(_対応表!$J$2:$J$4460,MATCH($A146,_対応表!$G$2:$G$4460,0)),"")</f>
        <v>e</v>
      </c>
      <c r="F146" s="23" t="str">
        <f aca="false">IFERROR(INDEX(_対応表!$K$2:$K$4460,MATCH($A146,_対応表!$G$2:$G$4460,0)),"")</f>
        <v/>
      </c>
      <c r="G146" s="23" t="str">
        <f aca="false">IFERROR(INDEX(_対応表!$L$2:$L$4460,MATCH($A146,_対応表!$G$2:$G$4460,0)),"")</f>
        <v>同時</v>
      </c>
      <c r="H146" s="24"/>
    </row>
    <row r="147" customFormat="false" ht="15" hidden="false" customHeight="true" outlineLevel="0" collapsed="false">
      <c r="A147" s="21" t="s">
        <v>288</v>
      </c>
      <c r="B147" s="22" t="s">
        <v>361</v>
      </c>
      <c r="C147" s="23" t="str">
        <f aca="false">IFERROR(INDEX(_対応表!$H$2:$H$4460,MATCH($A147,_対応表!$G$2:$G$4460,0)),"")</f>
        <v>m</v>
      </c>
      <c r="D147" s="23" t="str">
        <f aca="false">IFERROR(INDEX(_対応表!$I$2:$I$4460,MATCH($A147,_対応表!$G$2:$G$4460,0)),"")</f>
        <v>l</v>
      </c>
      <c r="E147" s="23" t="str">
        <f aca="false">IFERROR(INDEX(_対応表!$J$2:$J$4460,MATCH($A147,_対応表!$G$2:$G$4460,0)),"")</f>
        <v>d</v>
      </c>
      <c r="F147" s="23" t="str">
        <f aca="false">IFERROR(INDEX(_対応表!$K$2:$K$4460,MATCH($A147,_対応表!$G$2:$G$4460,0)),"")</f>
        <v/>
      </c>
      <c r="G147" s="23" t="str">
        <f aca="false">IFERROR(INDEX(_対応表!$L$2:$L$4460,MATCH($A147,_対応表!$G$2:$G$4460,0)),"")</f>
        <v>同時</v>
      </c>
      <c r="H147" s="24"/>
    </row>
    <row r="148" customFormat="false" ht="15" hidden="false" customHeight="true" outlineLevel="0" collapsed="false">
      <c r="A148" s="21" t="s">
        <v>306</v>
      </c>
      <c r="B148" s="22" t="s">
        <v>361</v>
      </c>
      <c r="C148" s="23" t="str">
        <f aca="false">IFERROR(INDEX(_対応表!$H$2:$H$4460,MATCH($A148,_対応表!$G$2:$G$4460,0)),"")</f>
        <v>j</v>
      </c>
      <c r="D148" s="23" t="str">
        <f aca="false">IFERROR(INDEX(_対応表!$I$2:$I$4460,MATCH($A148,_対応表!$G$2:$G$4460,0)),"")</f>
        <v>l</v>
      </c>
      <c r="E148" s="23" t="str">
        <f aca="false">IFERROR(INDEX(_対応表!$J$2:$J$4460,MATCH($A148,_対応表!$G$2:$G$4460,0)),"")</f>
        <v>d</v>
      </c>
      <c r="F148" s="23" t="str">
        <f aca="false">IFERROR(INDEX(_対応表!$K$2:$K$4460,MATCH($A148,_対応表!$G$2:$G$4460,0)),"")</f>
        <v/>
      </c>
      <c r="G148" s="23" t="str">
        <f aca="false">IFERROR(INDEX(_対応表!$L$2:$L$4460,MATCH($A148,_対応表!$G$2:$G$4460,0)),"")</f>
        <v>同時</v>
      </c>
      <c r="H148" s="24"/>
    </row>
    <row r="149" customFormat="false" ht="15" hidden="false" customHeight="true" outlineLevel="0" collapsed="false">
      <c r="A149" s="21" t="s">
        <v>286</v>
      </c>
      <c r="B149" s="22" t="s">
        <v>361</v>
      </c>
      <c r="C149" s="23" t="str">
        <f aca="false">IFERROR(INDEX(_対応表!$H$2:$H$4460,MATCH($A149,_対応表!$G$2:$G$4460,0)),"")</f>
        <v>v</v>
      </c>
      <c r="D149" s="23" t="str">
        <f aca="false">IFERROR(INDEX(_対応表!$I$2:$I$4460,MATCH($A149,_対応表!$G$2:$G$4460,0)),"")</f>
        <v>j</v>
      </c>
      <c r="E149" s="23" t="str">
        <f aca="false">IFERROR(INDEX(_対応表!$J$2:$J$4460,MATCH($A149,_対応表!$G$2:$G$4460,0)),"")</f>
        <v>;</v>
      </c>
      <c r="F149" s="23" t="str">
        <f aca="false">IFERROR(INDEX(_対応表!$K$2:$K$4460,MATCH($A149,_対応表!$G$2:$G$4460,0)),"")</f>
        <v/>
      </c>
      <c r="G149" s="23" t="str">
        <f aca="false">IFERROR(INDEX(_対応表!$L$2:$L$4460,MATCH($A149,_対応表!$G$2:$G$4460,0)),"")</f>
        <v>同時</v>
      </c>
      <c r="H149" s="24"/>
    </row>
    <row r="150" customFormat="false" ht="15" hidden="false" customHeight="true" outlineLevel="0" collapsed="false">
      <c r="A150" s="21" t="s">
        <v>281</v>
      </c>
      <c r="B150" s="22" t="s">
        <v>361</v>
      </c>
      <c r="C150" s="23" t="str">
        <f aca="false">IFERROR(INDEX(_対応表!$H$2:$H$4460,MATCH($A150,_対応表!$G$2:$G$4460,0)),"")</f>
        <v>v</v>
      </c>
      <c r="D150" s="23" t="str">
        <f aca="false">IFERROR(INDEX(_対応表!$I$2:$I$4460,MATCH($A150,_対応表!$G$2:$G$4460,0)),"")</f>
        <v>k</v>
      </c>
      <c r="E150" s="23" t="str">
        <f aca="false">IFERROR(INDEX(_対応表!$J$2:$J$4460,MATCH($A150,_対応表!$G$2:$G$4460,0)),"")</f>
        <v>;</v>
      </c>
      <c r="F150" s="23" t="str">
        <f aca="false">IFERROR(INDEX(_対応表!$K$2:$K$4460,MATCH($A150,_対応表!$G$2:$G$4460,0)),"")</f>
        <v/>
      </c>
      <c r="G150" s="23" t="str">
        <f aca="false">IFERROR(INDEX(_対応表!$L$2:$L$4460,MATCH($A150,_対応表!$G$2:$G$4460,0)),"")</f>
        <v>同時</v>
      </c>
      <c r="H150" s="24"/>
    </row>
    <row r="151" customFormat="false" ht="15" hidden="false" customHeight="true" outlineLevel="0" collapsed="false">
      <c r="A151" s="21" t="s">
        <v>278</v>
      </c>
      <c r="B151" s="22" t="s">
        <v>361</v>
      </c>
      <c r="C151" s="23" t="str">
        <f aca="false">IFERROR(INDEX(_対応表!$H$2:$H$4460,MATCH($A151,_対応表!$G$2:$G$4460,0)),"")</f>
        <v>v</v>
      </c>
      <c r="D151" s="23" t="str">
        <f aca="false">IFERROR(INDEX(_対応表!$I$2:$I$4460,MATCH($A151,_対応表!$G$2:$G$4460,0)),"")</f>
        <v>o</v>
      </c>
      <c r="E151" s="23" t="str">
        <f aca="false">IFERROR(INDEX(_対応表!$J$2:$J$4460,MATCH($A151,_対応表!$G$2:$G$4460,0)),"")</f>
        <v>;</v>
      </c>
      <c r="F151" s="23" t="str">
        <f aca="false">IFERROR(INDEX(_対応表!$K$2:$K$4460,MATCH($A151,_対応表!$G$2:$G$4460,0)),"")</f>
        <v/>
      </c>
      <c r="G151" s="23" t="str">
        <f aca="false">IFERROR(INDEX(_対応表!$L$2:$L$4460,MATCH($A151,_対応表!$G$2:$G$4460,0)),"")</f>
        <v>同時</v>
      </c>
      <c r="H151" s="24"/>
    </row>
    <row r="152" customFormat="false" ht="15" hidden="false" customHeight="true" outlineLevel="0" collapsed="false">
      <c r="A152" s="21" t="s">
        <v>291</v>
      </c>
      <c r="B152" s="22" t="s">
        <v>361</v>
      </c>
      <c r="C152" s="23" t="str">
        <f aca="false">IFERROR(INDEX(_対応表!$H$2:$H$4460,MATCH($A152,_対応表!$G$2:$G$4460,0)),"")</f>
        <v>v</v>
      </c>
      <c r="D152" s="23" t="str">
        <f aca="false">IFERROR(INDEX(_対応表!$I$2:$I$4460,MATCH($A152,_対応表!$G$2:$G$4460,0)),"")</f>
        <v>n</v>
      </c>
      <c r="E152" s="23" t="str">
        <f aca="false">IFERROR(INDEX(_対応表!$J$2:$J$4460,MATCH($A152,_対応表!$G$2:$G$4460,0)),"")</f>
        <v>;</v>
      </c>
      <c r="F152" s="23" t="str">
        <f aca="false">IFERROR(INDEX(_対応表!$K$2:$K$4460,MATCH($A152,_対応表!$G$2:$G$4460,0)),"")</f>
        <v/>
      </c>
      <c r="G152" s="23" t="str">
        <f aca="false">IFERROR(INDEX(_対応表!$L$2:$L$4460,MATCH($A152,_対応表!$G$2:$G$4460,0)),"")</f>
        <v>同時</v>
      </c>
      <c r="H152" s="24"/>
    </row>
    <row r="153" customFormat="false" ht="15" hidden="false" customHeight="true" outlineLevel="0" collapsed="false">
      <c r="A153" s="21" t="s">
        <v>293</v>
      </c>
      <c r="B153" s="22" t="s">
        <v>361</v>
      </c>
      <c r="C153" s="23" t="str">
        <f aca="false">IFERROR(INDEX(_対応表!$H$2:$H$4460,MATCH($A153,_対応表!$G$2:$G$4460,0)),"")</f>
        <v>v</v>
      </c>
      <c r="D153" s="23" t="str">
        <f aca="false">IFERROR(INDEX(_対応表!$I$2:$I$4460,MATCH($A153,_対応表!$G$2:$G$4460,0)),"")</f>
        <v>p</v>
      </c>
      <c r="E153" s="23" t="str">
        <f aca="false">IFERROR(INDEX(_対応表!$J$2:$J$4460,MATCH($A153,_対応表!$G$2:$G$4460,0)),"")</f>
        <v>;</v>
      </c>
      <c r="F153" s="23" t="str">
        <f aca="false">IFERROR(INDEX(_対応表!$K$2:$K$4460,MATCH($A153,_対応表!$G$2:$G$4460,0)),"")</f>
        <v/>
      </c>
      <c r="G153" s="23" t="str">
        <f aca="false">IFERROR(INDEX(_対応表!$L$2:$L$4460,MATCH($A153,_対応表!$G$2:$G$4460,0)),"")</f>
        <v>同時</v>
      </c>
      <c r="H153" s="24"/>
    </row>
    <row r="154" customFormat="false" ht="15" hidden="false" customHeight="true" outlineLevel="0" collapsed="false">
      <c r="A154" s="21" t="s">
        <v>285</v>
      </c>
      <c r="B154" s="22" t="s">
        <v>361</v>
      </c>
      <c r="C154" s="23" t="str">
        <f aca="false">IFERROR(INDEX(_対応表!$H$2:$H$4460,MATCH($A154,_対応表!$G$2:$G$4460,0)),"")</f>
        <v>v</v>
      </c>
      <c r="D154" s="23" t="str">
        <f aca="false">IFERROR(INDEX(_対応表!$I$2:$I$4460,MATCH($A154,_対応表!$G$2:$G$4460,0)),"")</f>
        <v>j</v>
      </c>
      <c r="E154" s="23" t="str">
        <f aca="false">IFERROR(INDEX(_対応表!$J$2:$J$4460,MATCH($A154,_対応表!$G$2:$G$4460,0)),"")</f>
        <v>h</v>
      </c>
      <c r="F154" s="23" t="str">
        <f aca="false">IFERROR(INDEX(_対応表!$K$2:$K$4460,MATCH($A154,_対応表!$G$2:$G$4460,0)),"")</f>
        <v/>
      </c>
      <c r="G154" s="23" t="str">
        <f aca="false">IFERROR(INDEX(_対応表!$L$2:$L$4460,MATCH($A154,_対応表!$G$2:$G$4460,0)),"")</f>
        <v>同時</v>
      </c>
      <c r="H154" s="24"/>
    </row>
    <row r="155" customFormat="false" ht="15" hidden="false" customHeight="true" outlineLevel="0" collapsed="false">
      <c r="A155" s="21" t="s">
        <v>280</v>
      </c>
      <c r="B155" s="22" t="s">
        <v>361</v>
      </c>
      <c r="C155" s="23" t="str">
        <f aca="false">IFERROR(INDEX(_対応表!$H$2:$H$4460,MATCH($A155,_対応表!$G$2:$G$4460,0)),"")</f>
        <v>v</v>
      </c>
      <c r="D155" s="23" t="str">
        <f aca="false">IFERROR(INDEX(_対応表!$I$2:$I$4460,MATCH($A155,_対応表!$G$2:$G$4460,0)),"")</f>
        <v>k</v>
      </c>
      <c r="E155" s="23" t="str">
        <f aca="false">IFERROR(INDEX(_対応表!$J$2:$J$4460,MATCH($A155,_対応表!$G$2:$G$4460,0)),"")</f>
        <v>h</v>
      </c>
      <c r="F155" s="23" t="str">
        <f aca="false">IFERROR(INDEX(_対応表!$K$2:$K$4460,MATCH($A155,_対応表!$G$2:$G$4460,0)),"")</f>
        <v/>
      </c>
      <c r="G155" s="23" t="str">
        <f aca="false">IFERROR(INDEX(_対応表!$L$2:$L$4460,MATCH($A155,_対応表!$G$2:$G$4460,0)),"")</f>
        <v>同時</v>
      </c>
      <c r="H155" s="24"/>
    </row>
    <row r="156" customFormat="false" ht="15" hidden="false" customHeight="true" outlineLevel="0" collapsed="false">
      <c r="A156" s="21" t="s">
        <v>276</v>
      </c>
      <c r="B156" s="22" t="s">
        <v>361</v>
      </c>
      <c r="C156" s="23" t="str">
        <f aca="false">IFERROR(INDEX(_対応表!$H$2:$H$4460,MATCH($A156,_対応表!$G$2:$G$4460,0)),"")</f>
        <v>v</v>
      </c>
      <c r="D156" s="23" t="str">
        <f aca="false">IFERROR(INDEX(_対応表!$I$2:$I$4460,MATCH($A156,_対応表!$G$2:$G$4460,0)),"")</f>
        <v>o</v>
      </c>
      <c r="E156" s="23" t="str">
        <f aca="false">IFERROR(INDEX(_対応表!$J$2:$J$4460,MATCH($A156,_対応表!$G$2:$G$4460,0)),"")</f>
        <v>h</v>
      </c>
      <c r="F156" s="23" t="str">
        <f aca="false">IFERROR(INDEX(_対応表!$K$2:$K$4460,MATCH($A156,_対応表!$G$2:$G$4460,0)),"")</f>
        <v/>
      </c>
      <c r="G156" s="23" t="str">
        <f aca="false">IFERROR(INDEX(_対応表!$L$2:$L$4460,MATCH($A156,_対応表!$G$2:$G$4460,0)),"")</f>
        <v>同時</v>
      </c>
      <c r="H156" s="24"/>
    </row>
    <row r="157" customFormat="false" ht="15" hidden="false" customHeight="true" outlineLevel="0" collapsed="false">
      <c r="A157" s="21" t="s">
        <v>290</v>
      </c>
      <c r="B157" s="22" t="s">
        <v>361</v>
      </c>
      <c r="C157" s="23" t="str">
        <f aca="false">IFERROR(INDEX(_対応表!$H$2:$H$4460,MATCH($A157,_対応表!$G$2:$G$4460,0)),"")</f>
        <v>v</v>
      </c>
      <c r="D157" s="23" t="str">
        <f aca="false">IFERROR(INDEX(_対応表!$I$2:$I$4460,MATCH($A157,_対応表!$G$2:$G$4460,0)),"")</f>
        <v>n</v>
      </c>
      <c r="E157" s="23" t="str">
        <f aca="false">IFERROR(INDEX(_対応表!$J$2:$J$4460,MATCH($A157,_対応表!$G$2:$G$4460,0)),"")</f>
        <v>h</v>
      </c>
      <c r="F157" s="23" t="str">
        <f aca="false">IFERROR(INDEX(_対応表!$K$2:$K$4460,MATCH($A157,_対応表!$G$2:$G$4460,0)),"")</f>
        <v/>
      </c>
      <c r="G157" s="23" t="str">
        <f aca="false">IFERROR(INDEX(_対応表!$L$2:$L$4460,MATCH($A157,_対応表!$G$2:$G$4460,0)),"")</f>
        <v>同時</v>
      </c>
      <c r="H157" s="24"/>
    </row>
    <row r="158" customFormat="false" ht="15" hidden="false" customHeight="true" outlineLevel="0" collapsed="false">
      <c r="A158" s="21" t="s">
        <v>308</v>
      </c>
      <c r="B158" s="22" t="s">
        <v>361</v>
      </c>
      <c r="C158" s="23" t="str">
        <f aca="false">IFERROR(INDEX(_対応表!$H$2:$H$4460,MATCH($A158,_対応表!$G$2:$G$4460,0)),"")</f>
        <v>f</v>
      </c>
      <c r="D158" s="23" t="str">
        <f aca="false">IFERROR(INDEX(_対応表!$I$2:$I$4460,MATCH($A158,_対応表!$G$2:$G$4460,0)),"")</f>
        <v>j</v>
      </c>
      <c r="E158" s="23" t="str">
        <f aca="false">IFERROR(INDEX(_対応表!$J$2:$J$4460,MATCH($A158,_対応表!$G$2:$G$4460,0)),"")</f>
        <v>h</v>
      </c>
      <c r="F158" s="23" t="str">
        <f aca="false">IFERROR(INDEX(_対応表!$K$2:$K$4460,MATCH($A158,_対応表!$G$2:$G$4460,0)),"")</f>
        <v/>
      </c>
      <c r="G158" s="23" t="str">
        <f aca="false">IFERROR(INDEX(_対応表!$L$2:$L$4460,MATCH($A158,_対応表!$G$2:$G$4460,0)),"")</f>
        <v>同時</v>
      </c>
      <c r="H158" s="24"/>
    </row>
    <row r="159" customFormat="false" ht="15" hidden="false" customHeight="true" outlineLevel="0" collapsed="false">
      <c r="A159" s="21" t="s">
        <v>277</v>
      </c>
      <c r="B159" s="22" t="s">
        <v>361</v>
      </c>
      <c r="C159" s="23" t="str">
        <f aca="false">IFERROR(INDEX(_対応表!$H$2:$H$4460,MATCH($A159,_対応表!$G$2:$G$4460,0)),"")</f>
        <v>v</v>
      </c>
      <c r="D159" s="23" t="str">
        <f aca="false">IFERROR(INDEX(_対応表!$I$2:$I$4460,MATCH($A159,_対応表!$G$2:$G$4460,0)),"")</f>
        <v>o</v>
      </c>
      <c r="E159" s="23" t="str">
        <f aca="false">IFERROR(INDEX(_対応表!$J$2:$J$4460,MATCH($A159,_対応表!$G$2:$G$4460,0)),"")</f>
        <v>k</v>
      </c>
      <c r="F159" s="23" t="str">
        <f aca="false">IFERROR(INDEX(_対応表!$K$2:$K$4460,MATCH($A159,_対応表!$G$2:$G$4460,0)),"")</f>
        <v/>
      </c>
      <c r="G159" s="23" t="str">
        <f aca="false">IFERROR(INDEX(_対応表!$L$2:$L$4460,MATCH($A159,_対応表!$G$2:$G$4460,0)),"")</f>
        <v>同時</v>
      </c>
      <c r="H159" s="24"/>
    </row>
    <row r="160" customFormat="false" ht="15" hidden="false" customHeight="true" outlineLevel="0" collapsed="false">
      <c r="A160" s="21" t="s">
        <v>101</v>
      </c>
      <c r="B160" s="22" t="s">
        <v>374</v>
      </c>
      <c r="C160" s="23" t="str">
        <f aca="false">IFERROR(INDEX(_対応表!$H$2:$H$4460,MATCH($A160,_対応表!$G$2:$G$4460,0)),"")</f>
        <v>;</v>
      </c>
      <c r="D160" s="23" t="str">
        <f aca="false">IFERROR(INDEX(_対応表!$I$2:$I$4460,MATCH($A160,_対応表!$G$2:$G$4460,0)),"")</f>
        <v/>
      </c>
      <c r="E160" s="23" t="str">
        <f aca="false">IFERROR(INDEX(_対応表!$J$2:$J$4460,MATCH($A160,_対応表!$G$2:$G$4460,0)),"")</f>
        <v/>
      </c>
      <c r="F160" s="23" t="str">
        <f aca="false">IFERROR(INDEX(_対応表!$K$2:$K$4460,MATCH($A160,_対応表!$G$2:$G$4460,0)),"")</f>
        <v/>
      </c>
      <c r="G160" s="23" t="str">
        <f aca="false">IFERROR(INDEX(_対応表!$L$2:$L$4460,MATCH($A160,_対応表!$G$2:$G$4460,0)),"")</f>
        <v/>
      </c>
      <c r="H160" s="24"/>
    </row>
    <row r="161" customFormat="false" ht="15" hidden="false" customHeight="true" outlineLevel="0" collapsed="false">
      <c r="A161" s="21" t="s">
        <v>144</v>
      </c>
      <c r="B161" s="22" t="s">
        <v>374</v>
      </c>
      <c r="C161" s="23" t="str">
        <f aca="false">IFERROR(INDEX(_対応表!$H$2:$H$4460,MATCH($A161,_対応表!$G$2:$G$4460,0)),"")</f>
        <v>space</v>
      </c>
      <c r="D161" s="23" t="str">
        <f aca="false">IFERROR(INDEX(_対応表!$I$2:$I$4460,MATCH($A161,_対応表!$G$2:$G$4460,0)),"")</f>
        <v>v</v>
      </c>
      <c r="E161" s="23" t="str">
        <f aca="false">IFERROR(INDEX(_対応表!$J$2:$J$4460,MATCH($A161,_対応表!$G$2:$G$4460,0)),"")</f>
        <v/>
      </c>
      <c r="F161" s="23" t="str">
        <f aca="false">IFERROR(INDEX(_対応表!$K$2:$K$4460,MATCH($A161,_対応表!$G$2:$G$4460,0)),"")</f>
        <v/>
      </c>
      <c r="G161" s="23" t="str">
        <f aca="false">IFERROR(INDEX(_対応表!$L$2:$L$4460,MATCH($A161,_対応表!$G$2:$G$4460,0)),"")</f>
        <v>同時</v>
      </c>
      <c r="H161" s="24"/>
    </row>
    <row r="162" customFormat="false" ht="15" hidden="false" customHeight="true" outlineLevel="0" collapsed="false">
      <c r="A162" s="21" t="s">
        <v>147</v>
      </c>
      <c r="B162" s="22" t="s">
        <v>374</v>
      </c>
      <c r="C162" s="23" t="str">
        <f aca="false">IFERROR(INDEX(_対応表!$H$2:$H$4460,MATCH($A162,_対応表!$G$2:$G$4460,0)),"")</f>
        <v>space</v>
      </c>
      <c r="D162" s="23" t="str">
        <f aca="false">IFERROR(INDEX(_対応表!$I$2:$I$4460,MATCH($A162,_対応表!$G$2:$G$4460,0)),"")</f>
        <v>m</v>
      </c>
      <c r="E162" s="23" t="str">
        <f aca="false">IFERROR(INDEX(_対応表!$J$2:$J$4460,MATCH($A162,_対応表!$G$2:$G$4460,0)),"")</f>
        <v/>
      </c>
      <c r="F162" s="23" t="str">
        <f aca="false">IFERROR(INDEX(_対応表!$K$2:$K$4460,MATCH($A162,_対応表!$G$2:$G$4460,0)),"")</f>
        <v/>
      </c>
      <c r="G162" s="23" t="str">
        <f aca="false">IFERROR(INDEX(_対応表!$L$2:$L$4460,MATCH($A162,_対応表!$G$2:$G$4460,0)),"")</f>
        <v>同時</v>
      </c>
      <c r="H162" s="24"/>
    </row>
    <row r="163" customFormat="false" ht="15" hidden="false" customHeight="true" outlineLevel="0" collapsed="false">
      <c r="A163" s="21" t="s">
        <v>298</v>
      </c>
      <c r="B163" s="22" t="s">
        <v>374</v>
      </c>
      <c r="C163" s="23" t="str">
        <f aca="false">IFERROR(INDEX(_対応表!$H$2:$H$4460,MATCH($A163,_対応表!$G$2:$G$4460,0)),"")</f>
        <v>j</v>
      </c>
      <c r="D163" s="23" t="str">
        <f aca="false">IFERROR(INDEX(_対応表!$I$2:$I$4460,MATCH($A163,_対応表!$G$2:$G$4460,0)),"")</f>
        <v>k</v>
      </c>
      <c r="E163" s="23" t="str">
        <f aca="false">IFERROR(INDEX(_対応表!$J$2:$J$4460,MATCH($A163,_対応表!$G$2:$G$4460,0)),"")</f>
        <v>t</v>
      </c>
      <c r="F163" s="23" t="str">
        <f aca="false">IFERROR(INDEX(_対応表!$K$2:$K$4460,MATCH($A163,_対応表!$G$2:$G$4460,0)),"")</f>
        <v/>
      </c>
      <c r="G163" s="23" t="str">
        <f aca="false">IFERROR(INDEX(_対応表!$L$2:$L$4460,MATCH($A163,_対応表!$G$2:$G$4460,0)),"")</f>
        <v>同時</v>
      </c>
      <c r="H163" s="24"/>
    </row>
    <row r="164" customFormat="false" ht="15" hidden="false" customHeight="true" outlineLevel="0" collapsed="false">
      <c r="A164" s="21" t="s">
        <v>375</v>
      </c>
      <c r="B164" s="22" t="s">
        <v>374</v>
      </c>
      <c r="C164" s="23" t="str">
        <f aca="false">IFERROR(INDEX(_対応表!$H$2:$H$4460,MATCH($A164,_対応表!$G$2:$G$4460,0)),"")</f>
        <v>j</v>
      </c>
      <c r="D164" s="23" t="str">
        <f aca="false">IFERROR(INDEX(_対応表!$I$2:$I$4460,MATCH($A164,_対応表!$G$2:$G$4460,0)),"")</f>
        <v>k</v>
      </c>
      <c r="E164" s="23" t="str">
        <f aca="false">IFERROR(INDEX(_対応表!$J$2:$J$4460,MATCH($A164,_対応表!$G$2:$G$4460,0)),"")</f>
        <v>d</v>
      </c>
      <c r="F164" s="23" t="str">
        <f aca="false">IFERROR(INDEX(_対応表!$K$2:$K$4460,MATCH($A164,_対応表!$G$2:$G$4460,0)),"")</f>
        <v/>
      </c>
      <c r="G164" s="23" t="str">
        <f aca="false">IFERROR(INDEX(_対応表!$L$2:$L$4460,MATCH($A164,_対応表!$G$2:$G$4460,0)),"")</f>
        <v>同時</v>
      </c>
      <c r="H164" s="24"/>
    </row>
    <row r="165" customFormat="false" ht="15" hidden="false" customHeight="true" outlineLevel="0" collapsed="false">
      <c r="A165" s="21" t="s">
        <v>301</v>
      </c>
      <c r="B165" s="22" t="s">
        <v>374</v>
      </c>
      <c r="C165" s="23" t="str">
        <f aca="false">IFERROR(INDEX(_対応表!$H$2:$H$4460,MATCH($A165,_対応表!$G$2:$G$4460,0)),"")</f>
        <v>j</v>
      </c>
      <c r="D165" s="23" t="str">
        <f aca="false">IFERROR(INDEX(_対応表!$I$2:$I$4460,MATCH($A165,_対応表!$G$2:$G$4460,0)),"")</f>
        <v>k</v>
      </c>
      <c r="E165" s="23" t="str">
        <f aca="false">IFERROR(INDEX(_対応表!$J$2:$J$4460,MATCH($A165,_対応表!$G$2:$G$4460,0)),"")</f>
        <v>c</v>
      </c>
      <c r="F165" s="23" t="str">
        <f aca="false">IFERROR(INDEX(_対応表!$K$2:$K$4460,MATCH($A165,_対応表!$G$2:$G$4460,0)),"")</f>
        <v/>
      </c>
      <c r="G165" s="23" t="str">
        <f aca="false">IFERROR(INDEX(_対応表!$L$2:$L$4460,MATCH($A165,_対応表!$G$2:$G$4460,0)),"")</f>
        <v>同時</v>
      </c>
      <c r="H165" s="24"/>
    </row>
    <row r="166" customFormat="false" ht="15" hidden="false" customHeight="true" outlineLevel="0" collapsed="false">
      <c r="A166" s="21" t="s">
        <v>300</v>
      </c>
      <c r="B166" s="22" t="s">
        <v>374</v>
      </c>
      <c r="C166" s="23" t="str">
        <f aca="false">IFERROR(INDEX(_対応表!$H$2:$H$4460,MATCH($A166,_対応表!$G$2:$G$4460,0)),"")</f>
        <v>j</v>
      </c>
      <c r="D166" s="23" t="str">
        <f aca="false">IFERROR(INDEX(_対応表!$I$2:$I$4460,MATCH($A166,_対応表!$G$2:$G$4460,0)),"")</f>
        <v>k</v>
      </c>
      <c r="E166" s="23" t="str">
        <f aca="false">IFERROR(INDEX(_対応表!$J$2:$J$4460,MATCH($A166,_対応表!$G$2:$G$4460,0)),"")</f>
        <v>f</v>
      </c>
      <c r="F166" s="23" t="str">
        <f aca="false">IFERROR(INDEX(_対応表!$K$2:$K$4460,MATCH($A166,_対応表!$G$2:$G$4460,0)),"")</f>
        <v/>
      </c>
      <c r="G166" s="23" t="str">
        <f aca="false">IFERROR(INDEX(_対応表!$L$2:$L$4460,MATCH($A166,_対応表!$G$2:$G$4460,0)),"")</f>
        <v>同時</v>
      </c>
      <c r="H166" s="24"/>
    </row>
    <row r="167" customFormat="false" ht="15" hidden="false" customHeight="true" outlineLevel="0" collapsed="false">
      <c r="A167" s="21" t="s">
        <v>302</v>
      </c>
      <c r="B167" s="22" t="s">
        <v>374</v>
      </c>
      <c r="C167" s="23" t="str">
        <f aca="false">IFERROR(INDEX(_対応表!$H$2:$H$4460,MATCH($A167,_対応表!$G$2:$G$4460,0)),"")</f>
        <v>j</v>
      </c>
      <c r="D167" s="23" t="str">
        <f aca="false">IFERROR(INDEX(_対応表!$I$2:$I$4460,MATCH($A167,_対応表!$G$2:$G$4460,0)),"")</f>
        <v>k</v>
      </c>
      <c r="E167" s="23" t="str">
        <f aca="false">IFERROR(INDEX(_対応表!$J$2:$J$4460,MATCH($A167,_対応表!$G$2:$G$4460,0)),"")</f>
        <v>v</v>
      </c>
      <c r="F167" s="23" t="str">
        <f aca="false">IFERROR(INDEX(_対応表!$K$2:$K$4460,MATCH($A167,_対応表!$G$2:$G$4460,0)),"")</f>
        <v/>
      </c>
      <c r="G167" s="23" t="str">
        <f aca="false">IFERROR(INDEX(_対応表!$L$2:$L$4460,MATCH($A167,_対応表!$G$2:$G$4460,0)),"")</f>
        <v>同時</v>
      </c>
      <c r="H167" s="24"/>
    </row>
  </sheetData>
  <dataValidations count="1">
    <dataValidation allowBlank="true" errorStyle="stop" operator="between" showDropDown="false" showErrorMessage="false" showInputMessage="false" sqref="G7:G167" type="list">
      <formula1>"同時,連続"</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2" width="12"/>
    <col collapsed="false" customWidth="true" hidden="false" outlineLevel="0" max="2" min="2" style="2" width="14"/>
    <col collapsed="false" customWidth="true" hidden="false" outlineLevel="0" max="11" min="3" style="2" width="10"/>
    <col collapsed="false" customWidth="true" hidden="false" outlineLevel="0" max="12" min="12" style="2" width="12"/>
    <col collapsed="false" customWidth="true" hidden="false" outlineLevel="0" max="13" min="13" style="2" width="20"/>
    <col collapsed="false" customWidth="true" hidden="false" outlineLevel="0" max="14" min="14" style="2" width="8"/>
  </cols>
  <sheetData>
    <row r="1" customFormat="false" ht="16.5" hidden="false" customHeight="true" outlineLevel="0" collapsed="false">
      <c r="A1" s="6" t="s">
        <v>376</v>
      </c>
      <c r="B1" s="6" t="s">
        <v>377</v>
      </c>
      <c r="C1" s="6" t="s">
        <v>378</v>
      </c>
      <c r="D1" s="6" t="s">
        <v>379</v>
      </c>
      <c r="E1" s="6" t="s">
        <v>380</v>
      </c>
      <c r="F1" s="6" t="s">
        <v>381</v>
      </c>
      <c r="G1" s="6" t="s">
        <v>352</v>
      </c>
      <c r="H1" s="6" t="s">
        <v>354</v>
      </c>
      <c r="I1" s="6" t="s">
        <v>355</v>
      </c>
      <c r="J1" s="6" t="s">
        <v>356</v>
      </c>
      <c r="K1" s="6" t="s">
        <v>357</v>
      </c>
      <c r="L1" s="6" t="s">
        <v>358</v>
      </c>
      <c r="M1" s="6" t="s">
        <v>382</v>
      </c>
      <c r="N1" s="6" t="s">
        <v>383</v>
      </c>
    </row>
    <row r="2" customFormat="false" ht="15" hidden="false" customHeight="true" outlineLevel="0" collapsed="false">
      <c r="A2" s="25" t="s">
        <v>384</v>
      </c>
      <c r="B2" s="25" t="s">
        <v>384</v>
      </c>
      <c r="C2" s="2" t="s">
        <v>0</v>
      </c>
      <c r="D2" s="2" t="str">
        <f aca="false">""</f>
        <v/>
      </c>
      <c r="E2" s="2" t="str">
        <f aca="false">""</f>
        <v/>
      </c>
      <c r="F2" s="2" t="str">
        <f aca="false">""</f>
        <v/>
      </c>
      <c r="G2" s="2" t="str">
        <f aca="false">IF(単打!F11="","",SUBSTITUTE(SUBSTITUTE(単打!F11," ",""),"　",""))</f>
        <v/>
      </c>
      <c r="H2" s="2" t="str">
        <f aca="false">IF($G2="","","1")</f>
        <v/>
      </c>
      <c r="I2" s="2" t="str">
        <f aca="false">""</f>
        <v/>
      </c>
      <c r="J2" s="2" t="str">
        <f aca="false">""</f>
        <v/>
      </c>
      <c r="K2" s="2" t="str">
        <f aca="false">""</f>
        <v/>
      </c>
      <c r="L2" s="2" t="str">
        <f aca="false">""</f>
        <v/>
      </c>
      <c r="M2" s="2" t="str">
        <f aca="false">IF($G2="","",IF(ISNA(MATCH($G2,個別指定!$A:$A,0)),"行なし",""))</f>
        <v/>
      </c>
      <c r="N2" s="2" t="str">
        <f aca="false">IF($G2="","",IF(COUNTIF($G$2:$G$4460,$G2)&gt;1,"重複",""))</f>
        <v/>
      </c>
    </row>
    <row r="3" customFormat="false" ht="15" hidden="false" customHeight="true" outlineLevel="0" collapsed="false">
      <c r="A3" s="25" t="s">
        <v>384</v>
      </c>
      <c r="B3" s="25" t="s">
        <v>384</v>
      </c>
      <c r="C3" s="2" t="s">
        <v>1</v>
      </c>
      <c r="D3" s="2" t="str">
        <f aca="false">""</f>
        <v/>
      </c>
      <c r="E3" s="2" t="str">
        <f aca="false">""</f>
        <v/>
      </c>
      <c r="F3" s="2" t="str">
        <f aca="false">""</f>
        <v/>
      </c>
      <c r="G3" s="2" t="str">
        <f aca="false">IF(単打!J11="","",SUBSTITUTE(SUBSTITUTE(単打!J11," ",""),"　",""))</f>
        <v/>
      </c>
      <c r="H3" s="2" t="str">
        <f aca="false">IF($G3="","","2")</f>
        <v/>
      </c>
      <c r="I3" s="2" t="str">
        <f aca="false">""</f>
        <v/>
      </c>
      <c r="J3" s="2" t="str">
        <f aca="false">""</f>
        <v/>
      </c>
      <c r="K3" s="2" t="str">
        <f aca="false">""</f>
        <v/>
      </c>
      <c r="L3" s="2" t="str">
        <f aca="false">""</f>
        <v/>
      </c>
      <c r="M3" s="2" t="str">
        <f aca="false">IF($G3="","",IF(ISNA(MATCH($G3,個別指定!$A:$A,0)),"行なし",""))</f>
        <v/>
      </c>
      <c r="N3" s="2" t="str">
        <f aca="false">IF($G3="","",IF(COUNTIF($G$2:$G$4460,$G3)&gt;1,"重複",""))</f>
        <v/>
      </c>
    </row>
    <row r="4" customFormat="false" ht="15" hidden="false" customHeight="true" outlineLevel="0" collapsed="false">
      <c r="A4" s="25" t="s">
        <v>384</v>
      </c>
      <c r="B4" s="25" t="s">
        <v>384</v>
      </c>
      <c r="C4" s="2" t="s">
        <v>2</v>
      </c>
      <c r="D4" s="2" t="str">
        <f aca="false">""</f>
        <v/>
      </c>
      <c r="E4" s="2" t="str">
        <f aca="false">""</f>
        <v/>
      </c>
      <c r="F4" s="2" t="str">
        <f aca="false">""</f>
        <v/>
      </c>
      <c r="G4" s="2" t="str">
        <f aca="false">IF(単打!N11="","",SUBSTITUTE(SUBSTITUTE(単打!N11," ",""),"　",""))</f>
        <v/>
      </c>
      <c r="H4" s="2" t="str">
        <f aca="false">IF($G4="","","3")</f>
        <v/>
      </c>
      <c r="I4" s="2" t="str">
        <f aca="false">""</f>
        <v/>
      </c>
      <c r="J4" s="2" t="str">
        <f aca="false">""</f>
        <v/>
      </c>
      <c r="K4" s="2" t="str">
        <f aca="false">""</f>
        <v/>
      </c>
      <c r="L4" s="2" t="str">
        <f aca="false">""</f>
        <v/>
      </c>
      <c r="M4" s="2" t="str">
        <f aca="false">IF($G4="","",IF(ISNA(MATCH($G4,個別指定!$A:$A,0)),"行なし",""))</f>
        <v/>
      </c>
      <c r="N4" s="2" t="str">
        <f aca="false">IF($G4="","",IF(COUNTIF($G$2:$G$4460,$G4)&gt;1,"重複",""))</f>
        <v/>
      </c>
    </row>
    <row r="5" customFormat="false" ht="15" hidden="false" customHeight="true" outlineLevel="0" collapsed="false">
      <c r="A5" s="25" t="s">
        <v>384</v>
      </c>
      <c r="B5" s="25" t="s">
        <v>384</v>
      </c>
      <c r="C5" s="2" t="s">
        <v>3</v>
      </c>
      <c r="D5" s="2" t="str">
        <f aca="false">""</f>
        <v/>
      </c>
      <c r="E5" s="2" t="str">
        <f aca="false">""</f>
        <v/>
      </c>
      <c r="F5" s="2" t="str">
        <f aca="false">""</f>
        <v/>
      </c>
      <c r="G5" s="2" t="str">
        <f aca="false">IF(単打!R11="","",SUBSTITUTE(SUBSTITUTE(単打!R11," ",""),"　",""))</f>
        <v/>
      </c>
      <c r="H5" s="2" t="str">
        <f aca="false">IF($G5="","","4")</f>
        <v/>
      </c>
      <c r="I5" s="2" t="str">
        <f aca="false">""</f>
        <v/>
      </c>
      <c r="J5" s="2" t="str">
        <f aca="false">""</f>
        <v/>
      </c>
      <c r="K5" s="2" t="str">
        <f aca="false">""</f>
        <v/>
      </c>
      <c r="L5" s="2" t="str">
        <f aca="false">""</f>
        <v/>
      </c>
      <c r="M5" s="2" t="str">
        <f aca="false">IF($G5="","",IF(ISNA(MATCH($G5,個別指定!$A:$A,0)),"行なし",""))</f>
        <v/>
      </c>
      <c r="N5" s="2" t="str">
        <f aca="false">IF($G5="","",IF(COUNTIF($G$2:$G$4460,$G5)&gt;1,"重複",""))</f>
        <v/>
      </c>
    </row>
    <row r="6" customFormat="false" ht="15" hidden="false" customHeight="true" outlineLevel="0" collapsed="false">
      <c r="A6" s="25" t="s">
        <v>384</v>
      </c>
      <c r="B6" s="25" t="s">
        <v>384</v>
      </c>
      <c r="C6" s="2" t="s">
        <v>4</v>
      </c>
      <c r="D6" s="2" t="str">
        <f aca="false">""</f>
        <v/>
      </c>
      <c r="E6" s="2" t="str">
        <f aca="false">""</f>
        <v/>
      </c>
      <c r="F6" s="2" t="str">
        <f aca="false">""</f>
        <v/>
      </c>
      <c r="G6" s="2" t="str">
        <f aca="false">IF(単打!V11="","",SUBSTITUTE(SUBSTITUTE(単打!V11," ",""),"　",""))</f>
        <v/>
      </c>
      <c r="H6" s="2" t="str">
        <f aca="false">IF($G6="","","5")</f>
        <v/>
      </c>
      <c r="I6" s="2" t="str">
        <f aca="false">""</f>
        <v/>
      </c>
      <c r="J6" s="2" t="str">
        <f aca="false">""</f>
        <v/>
      </c>
      <c r="K6" s="2" t="str">
        <f aca="false">""</f>
        <v/>
      </c>
      <c r="L6" s="2" t="str">
        <f aca="false">""</f>
        <v/>
      </c>
      <c r="M6" s="2" t="str">
        <f aca="false">IF($G6="","",IF(ISNA(MATCH($G6,個別指定!$A:$A,0)),"行なし",""))</f>
        <v/>
      </c>
      <c r="N6" s="2" t="str">
        <f aca="false">IF($G6="","",IF(COUNTIF($G$2:$G$4460,$G6)&gt;1,"重複",""))</f>
        <v/>
      </c>
    </row>
    <row r="7" customFormat="false" ht="15" hidden="false" customHeight="true" outlineLevel="0" collapsed="false">
      <c r="A7" s="25" t="s">
        <v>384</v>
      </c>
      <c r="B7" s="25" t="s">
        <v>384</v>
      </c>
      <c r="C7" s="2" t="s">
        <v>5</v>
      </c>
      <c r="D7" s="2" t="str">
        <f aca="false">""</f>
        <v/>
      </c>
      <c r="E7" s="2" t="str">
        <f aca="false">""</f>
        <v/>
      </c>
      <c r="F7" s="2" t="str">
        <f aca="false">""</f>
        <v/>
      </c>
      <c r="G7" s="2" t="str">
        <f aca="false">IF(単打!Z11="","",SUBSTITUTE(SUBSTITUTE(単打!Z11," ",""),"　",""))</f>
        <v/>
      </c>
      <c r="H7" s="2" t="str">
        <f aca="false">IF($G7="","","6")</f>
        <v/>
      </c>
      <c r="I7" s="2" t="str">
        <f aca="false">""</f>
        <v/>
      </c>
      <c r="J7" s="2" t="str">
        <f aca="false">""</f>
        <v/>
      </c>
      <c r="K7" s="2" t="str">
        <f aca="false">""</f>
        <v/>
      </c>
      <c r="L7" s="2" t="str">
        <f aca="false">""</f>
        <v/>
      </c>
      <c r="M7" s="2" t="str">
        <f aca="false">IF($G7="","",IF(ISNA(MATCH($G7,個別指定!$A:$A,0)),"行なし",""))</f>
        <v/>
      </c>
      <c r="N7" s="2" t="str">
        <f aca="false">IF($G7="","",IF(COUNTIF($G$2:$G$4460,$G7)&gt;1,"重複",""))</f>
        <v/>
      </c>
    </row>
    <row r="8" customFormat="false" ht="15" hidden="false" customHeight="true" outlineLevel="0" collapsed="false">
      <c r="A8" s="25" t="s">
        <v>384</v>
      </c>
      <c r="B8" s="25" t="s">
        <v>384</v>
      </c>
      <c r="C8" s="2" t="s">
        <v>6</v>
      </c>
      <c r="D8" s="2" t="str">
        <f aca="false">""</f>
        <v/>
      </c>
      <c r="E8" s="2" t="str">
        <f aca="false">""</f>
        <v/>
      </c>
      <c r="F8" s="2" t="str">
        <f aca="false">""</f>
        <v/>
      </c>
      <c r="G8" s="2" t="str">
        <f aca="false">IF(単打!AD11="","",SUBSTITUTE(SUBSTITUTE(単打!AD11," ",""),"　",""))</f>
        <v/>
      </c>
      <c r="H8" s="2" t="str">
        <f aca="false">IF($G8="","","7")</f>
        <v/>
      </c>
      <c r="I8" s="2" t="str">
        <f aca="false">""</f>
        <v/>
      </c>
      <c r="J8" s="2" t="str">
        <f aca="false">""</f>
        <v/>
      </c>
      <c r="K8" s="2" t="str">
        <f aca="false">""</f>
        <v/>
      </c>
      <c r="L8" s="2" t="str">
        <f aca="false">""</f>
        <v/>
      </c>
      <c r="M8" s="2" t="str">
        <f aca="false">IF($G8="","",IF(ISNA(MATCH($G8,個別指定!$A:$A,0)),"行なし",""))</f>
        <v/>
      </c>
      <c r="N8" s="2" t="str">
        <f aca="false">IF($G8="","",IF(COUNTIF($G$2:$G$4460,$G8)&gt;1,"重複",""))</f>
        <v/>
      </c>
    </row>
    <row r="9" customFormat="false" ht="15" hidden="false" customHeight="true" outlineLevel="0" collapsed="false">
      <c r="A9" s="25" t="s">
        <v>384</v>
      </c>
      <c r="B9" s="25" t="s">
        <v>384</v>
      </c>
      <c r="C9" s="2" t="s">
        <v>7</v>
      </c>
      <c r="D9" s="2" t="str">
        <f aca="false">""</f>
        <v/>
      </c>
      <c r="E9" s="2" t="str">
        <f aca="false">""</f>
        <v/>
      </c>
      <c r="F9" s="2" t="str">
        <f aca="false">""</f>
        <v/>
      </c>
      <c r="G9" s="2" t="str">
        <f aca="false">IF(単打!AH11="","",SUBSTITUTE(SUBSTITUTE(単打!AH11," ",""),"　",""))</f>
        <v/>
      </c>
      <c r="H9" s="2" t="str">
        <f aca="false">IF($G9="","","8")</f>
        <v/>
      </c>
      <c r="I9" s="2" t="str">
        <f aca="false">""</f>
        <v/>
      </c>
      <c r="J9" s="2" t="str">
        <f aca="false">""</f>
        <v/>
      </c>
      <c r="K9" s="2" t="str">
        <f aca="false">""</f>
        <v/>
      </c>
      <c r="L9" s="2" t="str">
        <f aca="false">""</f>
        <v/>
      </c>
      <c r="M9" s="2" t="str">
        <f aca="false">IF($G9="","",IF(ISNA(MATCH($G9,個別指定!$A:$A,0)),"行なし",""))</f>
        <v/>
      </c>
      <c r="N9" s="2" t="str">
        <f aca="false">IF($G9="","",IF(COUNTIF($G$2:$G$4460,$G9)&gt;1,"重複",""))</f>
        <v/>
      </c>
    </row>
    <row r="10" customFormat="false" ht="15" hidden="false" customHeight="true" outlineLevel="0" collapsed="false">
      <c r="A10" s="25" t="s">
        <v>384</v>
      </c>
      <c r="B10" s="25" t="s">
        <v>384</v>
      </c>
      <c r="C10" s="2" t="s">
        <v>8</v>
      </c>
      <c r="D10" s="2" t="str">
        <f aca="false">""</f>
        <v/>
      </c>
      <c r="E10" s="2" t="str">
        <f aca="false">""</f>
        <v/>
      </c>
      <c r="F10" s="2" t="str">
        <f aca="false">""</f>
        <v/>
      </c>
      <c r="G10" s="2" t="str">
        <f aca="false">IF(単打!AL11="","",SUBSTITUTE(SUBSTITUTE(単打!AL11," ",""),"　",""))</f>
        <v/>
      </c>
      <c r="H10" s="2" t="str">
        <f aca="false">IF($G10="","","9")</f>
        <v/>
      </c>
      <c r="I10" s="2" t="str">
        <f aca="false">""</f>
        <v/>
      </c>
      <c r="J10" s="2" t="str">
        <f aca="false">""</f>
        <v/>
      </c>
      <c r="K10" s="2" t="str">
        <f aca="false">""</f>
        <v/>
      </c>
      <c r="L10" s="2" t="str">
        <f aca="false">""</f>
        <v/>
      </c>
      <c r="M10" s="2" t="str">
        <f aca="false">IF($G10="","",IF(ISNA(MATCH($G10,個別指定!$A:$A,0)),"行なし",""))</f>
        <v/>
      </c>
      <c r="N10" s="2" t="str">
        <f aca="false">IF($G10="","",IF(COUNTIF($G$2:$G$4460,$G10)&gt;1,"重複",""))</f>
        <v/>
      </c>
    </row>
    <row r="11" customFormat="false" ht="15" hidden="false" customHeight="true" outlineLevel="0" collapsed="false">
      <c r="A11" s="25" t="s">
        <v>384</v>
      </c>
      <c r="B11" s="25" t="s">
        <v>384</v>
      </c>
      <c r="C11" s="2" t="s">
        <v>9</v>
      </c>
      <c r="D11" s="2" t="str">
        <f aca="false">""</f>
        <v/>
      </c>
      <c r="E11" s="2" t="str">
        <f aca="false">""</f>
        <v/>
      </c>
      <c r="F11" s="2" t="str">
        <f aca="false">""</f>
        <v/>
      </c>
      <c r="G11" s="2" t="str">
        <f aca="false">IF(単打!AP11="","",SUBSTITUTE(SUBSTITUTE(単打!AP11," ",""),"　",""))</f>
        <v/>
      </c>
      <c r="H11" s="2" t="str">
        <f aca="false">IF($G11="","","0")</f>
        <v/>
      </c>
      <c r="I11" s="2" t="str">
        <f aca="false">""</f>
        <v/>
      </c>
      <c r="J11" s="2" t="str">
        <f aca="false">""</f>
        <v/>
      </c>
      <c r="K11" s="2" t="str">
        <f aca="false">""</f>
        <v/>
      </c>
      <c r="L11" s="2" t="str">
        <f aca="false">""</f>
        <v/>
      </c>
      <c r="M11" s="2" t="str">
        <f aca="false">IF($G11="","",IF(ISNA(MATCH($G11,個別指定!$A:$A,0)),"行なし",""))</f>
        <v/>
      </c>
      <c r="N11" s="2" t="str">
        <f aca="false">IF($G11="","",IF(COUNTIF($G$2:$G$4460,$G11)&gt;1,"重複",""))</f>
        <v/>
      </c>
    </row>
    <row r="12" customFormat="false" ht="15" hidden="false" customHeight="true" outlineLevel="0" collapsed="false">
      <c r="A12" s="25" t="s">
        <v>384</v>
      </c>
      <c r="B12" s="25" t="s">
        <v>384</v>
      </c>
      <c r="C12" s="2" t="s">
        <v>10</v>
      </c>
      <c r="D12" s="2" t="str">
        <f aca="false">""</f>
        <v/>
      </c>
      <c r="E12" s="2" t="str">
        <f aca="false">""</f>
        <v/>
      </c>
      <c r="F12" s="2" t="str">
        <f aca="false">""</f>
        <v/>
      </c>
      <c r="G12" s="2" t="str">
        <f aca="false">IF(単打!AT11="","",SUBSTITUTE(SUBSTITUTE(単打!AT11," ",""),"　",""))</f>
        <v/>
      </c>
      <c r="H12" s="2" t="str">
        <f aca="false">IF($G12="","","-")</f>
        <v/>
      </c>
      <c r="I12" s="2" t="str">
        <f aca="false">""</f>
        <v/>
      </c>
      <c r="J12" s="2" t="str">
        <f aca="false">""</f>
        <v/>
      </c>
      <c r="K12" s="2" t="str">
        <f aca="false">""</f>
        <v/>
      </c>
      <c r="L12" s="2" t="str">
        <f aca="false">""</f>
        <v/>
      </c>
      <c r="M12" s="2" t="str">
        <f aca="false">IF($G12="","",IF(ISNA(MATCH($G12,個別指定!$A:$A,0)),"行なし",""))</f>
        <v/>
      </c>
      <c r="N12" s="2" t="str">
        <f aca="false">IF($G12="","",IF(COUNTIF($G$2:$G$4460,$G12)&gt;1,"重複",""))</f>
        <v/>
      </c>
    </row>
    <row r="13" customFormat="false" ht="15" hidden="false" customHeight="true" outlineLevel="0" collapsed="false">
      <c r="A13" s="25" t="s">
        <v>384</v>
      </c>
      <c r="B13" s="25" t="s">
        <v>384</v>
      </c>
      <c r="C13" s="2" t="s">
        <v>11</v>
      </c>
      <c r="D13" s="2" t="str">
        <f aca="false">""</f>
        <v/>
      </c>
      <c r="E13" s="2" t="str">
        <f aca="false">""</f>
        <v/>
      </c>
      <c r="F13" s="2" t="str">
        <f aca="false">""</f>
        <v/>
      </c>
      <c r="G13" s="2" t="str">
        <f aca="false">IF(単打!AX11="","",SUBSTITUTE(SUBSTITUTE(単打!AX11," ",""),"　",""))</f>
        <v/>
      </c>
      <c r="H13" s="2" t="str">
        <f aca="false">IF($G13="","","=")</f>
        <v/>
      </c>
      <c r="I13" s="2" t="str">
        <f aca="false">""</f>
        <v/>
      </c>
      <c r="J13" s="2" t="str">
        <f aca="false">""</f>
        <v/>
      </c>
      <c r="K13" s="2" t="str">
        <f aca="false">""</f>
        <v/>
      </c>
      <c r="L13" s="2" t="str">
        <f aca="false">""</f>
        <v/>
      </c>
      <c r="M13" s="2" t="str">
        <f aca="false">IF($G13="","",IF(ISNA(MATCH($G13,個別指定!$A:$A,0)),"行なし",""))</f>
        <v/>
      </c>
      <c r="N13" s="2" t="str">
        <f aca="false">IF($G13="","",IF(COUNTIF($G$2:$G$4460,$G13)&gt;1,"重複",""))</f>
        <v/>
      </c>
    </row>
    <row r="14" customFormat="false" ht="15" hidden="false" customHeight="true" outlineLevel="0" collapsed="false">
      <c r="A14" s="25" t="s">
        <v>384</v>
      </c>
      <c r="B14" s="25" t="s">
        <v>384</v>
      </c>
      <c r="C14" s="2" t="s">
        <v>12</v>
      </c>
      <c r="D14" s="2" t="str">
        <f aca="false">""</f>
        <v/>
      </c>
      <c r="E14" s="2" t="str">
        <f aca="false">""</f>
        <v/>
      </c>
      <c r="F14" s="2" t="str">
        <f aca="false">""</f>
        <v/>
      </c>
      <c r="G14" s="2" t="str">
        <f aca="false">IF(単打!H13="","",SUBSTITUTE(SUBSTITUTE(単打!H13," ",""),"　",""))</f>
        <v/>
      </c>
      <c r="H14" s="2" t="str">
        <f aca="false">IF($G14="","","q")</f>
        <v/>
      </c>
      <c r="I14" s="2" t="str">
        <f aca="false">""</f>
        <v/>
      </c>
      <c r="J14" s="2" t="str">
        <f aca="false">""</f>
        <v/>
      </c>
      <c r="K14" s="2" t="str">
        <f aca="false">""</f>
        <v/>
      </c>
      <c r="L14" s="2" t="str">
        <f aca="false">""</f>
        <v/>
      </c>
      <c r="M14" s="2" t="str">
        <f aca="false">IF($G14="","",IF(ISNA(MATCH($G14,個別指定!$A:$A,0)),"行なし",""))</f>
        <v/>
      </c>
      <c r="N14" s="2" t="str">
        <f aca="false">IF($G14="","",IF(COUNTIF($G$2:$G$4460,$G14)&gt;1,"重複",""))</f>
        <v/>
      </c>
    </row>
    <row r="15" customFormat="false" ht="15" hidden="false" customHeight="true" outlineLevel="0" collapsed="false">
      <c r="A15" s="25" t="s">
        <v>384</v>
      </c>
      <c r="B15" s="25" t="s">
        <v>384</v>
      </c>
      <c r="C15" s="2" t="s">
        <v>13</v>
      </c>
      <c r="D15" s="2" t="str">
        <f aca="false">""</f>
        <v/>
      </c>
      <c r="E15" s="2" t="str">
        <f aca="false">""</f>
        <v/>
      </c>
      <c r="F15" s="2" t="str">
        <f aca="false">""</f>
        <v/>
      </c>
      <c r="G15" s="2" t="str">
        <f aca="false">IF(単打!L13="","",SUBSTITUTE(SUBSTITUTE(単打!L13," ",""),"　",""))</f>
        <v>き</v>
      </c>
      <c r="H15" s="2" t="str">
        <f aca="false">IF($G15="","","w")</f>
        <v>w</v>
      </c>
      <c r="I15" s="2" t="str">
        <f aca="false">""</f>
        <v/>
      </c>
      <c r="J15" s="2" t="str">
        <f aca="false">""</f>
        <v/>
      </c>
      <c r="K15" s="2" t="str">
        <f aca="false">""</f>
        <v/>
      </c>
      <c r="L15" s="2" t="str">
        <f aca="false">""</f>
        <v/>
      </c>
      <c r="M15" s="2" t="str">
        <f aca="false">IF($G15="","",IF(ISNA(MATCH($G15,個別指定!$A:$A,0)),"行なし",""))</f>
        <v/>
      </c>
      <c r="N15" s="2" t="str">
        <f aca="false">IF($G15="","",IF(COUNTIF($G$2:$G$4460,$G15)&gt;1,"重複",""))</f>
        <v/>
      </c>
    </row>
    <row r="16" customFormat="false" ht="15" hidden="false" customHeight="true" outlineLevel="0" collapsed="false">
      <c r="A16" s="25" t="s">
        <v>384</v>
      </c>
      <c r="B16" s="25" t="s">
        <v>384</v>
      </c>
      <c r="C16" s="2" t="s">
        <v>14</v>
      </c>
      <c r="D16" s="2" t="str">
        <f aca="false">""</f>
        <v/>
      </c>
      <c r="E16" s="2" t="str">
        <f aca="false">""</f>
        <v/>
      </c>
      <c r="F16" s="2" t="str">
        <f aca="false">""</f>
        <v/>
      </c>
      <c r="G16" s="2" t="str">
        <f aca="false">IF(単打!P13="","",SUBSTITUTE(SUBSTITUTE(単打!P13," ",""),"　",""))</f>
        <v>て</v>
      </c>
      <c r="H16" s="2" t="str">
        <f aca="false">IF($G16="","","e")</f>
        <v>e</v>
      </c>
      <c r="I16" s="2" t="str">
        <f aca="false">""</f>
        <v/>
      </c>
      <c r="J16" s="2" t="str">
        <f aca="false">""</f>
        <v/>
      </c>
      <c r="K16" s="2" t="str">
        <f aca="false">""</f>
        <v/>
      </c>
      <c r="L16" s="2" t="str">
        <f aca="false">""</f>
        <v/>
      </c>
      <c r="M16" s="2" t="str">
        <f aca="false">IF($G16="","",IF(ISNA(MATCH($G16,個別指定!$A:$A,0)),"行なし",""))</f>
        <v/>
      </c>
      <c r="N16" s="2" t="str">
        <f aca="false">IF($G16="","",IF(COUNTIF($G$2:$G$4460,$G16)&gt;1,"重複",""))</f>
        <v/>
      </c>
    </row>
    <row r="17" customFormat="false" ht="15" hidden="false" customHeight="true" outlineLevel="0" collapsed="false">
      <c r="A17" s="25" t="s">
        <v>384</v>
      </c>
      <c r="B17" s="25" t="s">
        <v>384</v>
      </c>
      <c r="C17" s="2" t="s">
        <v>15</v>
      </c>
      <c r="D17" s="2" t="str">
        <f aca="false">""</f>
        <v/>
      </c>
      <c r="E17" s="2" t="str">
        <f aca="false">""</f>
        <v/>
      </c>
      <c r="F17" s="2" t="str">
        <f aca="false">""</f>
        <v/>
      </c>
      <c r="G17" s="2" t="str">
        <f aca="false">IF(単打!T13="","",SUBSTITUTE(SUBSTITUTE(単打!T13," ",""),"　",""))</f>
        <v>し</v>
      </c>
      <c r="H17" s="2" t="str">
        <f aca="false">IF($G17="","","r")</f>
        <v>r</v>
      </c>
      <c r="I17" s="2" t="str">
        <f aca="false">""</f>
        <v/>
      </c>
      <c r="J17" s="2" t="str">
        <f aca="false">""</f>
        <v/>
      </c>
      <c r="K17" s="2" t="str">
        <f aca="false">""</f>
        <v/>
      </c>
      <c r="L17" s="2" t="str">
        <f aca="false">""</f>
        <v/>
      </c>
      <c r="M17" s="2" t="str">
        <f aca="false">IF($G17="","",IF(ISNA(MATCH($G17,個別指定!$A:$A,0)),"行なし",""))</f>
        <v/>
      </c>
      <c r="N17" s="2" t="str">
        <f aca="false">IF($G17="","",IF(COUNTIF($G$2:$G$4460,$G17)&gt;1,"重複",""))</f>
        <v/>
      </c>
    </row>
    <row r="18" customFormat="false" ht="15" hidden="false" customHeight="true" outlineLevel="0" collapsed="false">
      <c r="A18" s="25" t="s">
        <v>384</v>
      </c>
      <c r="B18" s="25" t="s">
        <v>384</v>
      </c>
      <c r="C18" s="2" t="s">
        <v>16</v>
      </c>
      <c r="D18" s="2" t="str">
        <f aca="false">""</f>
        <v/>
      </c>
      <c r="E18" s="2" t="str">
        <f aca="false">""</f>
        <v/>
      </c>
      <c r="F18" s="2" t="str">
        <f aca="false">""</f>
        <v/>
      </c>
      <c r="G18" s="2" t="str">
        <f aca="false">IF(単打!X13="","",SUBSTITUTE(SUBSTITUTE(単打!X13," ",""),"　",""))</f>
        <v/>
      </c>
      <c r="H18" s="2" t="str">
        <f aca="false">IF($G18="","","t")</f>
        <v/>
      </c>
      <c r="I18" s="2" t="str">
        <f aca="false">""</f>
        <v/>
      </c>
      <c r="J18" s="2" t="str">
        <f aca="false">""</f>
        <v/>
      </c>
      <c r="K18" s="2" t="str">
        <f aca="false">""</f>
        <v/>
      </c>
      <c r="L18" s="2" t="str">
        <f aca="false">""</f>
        <v/>
      </c>
      <c r="M18" s="2" t="str">
        <f aca="false">IF($G18="","",IF(ISNA(MATCH($G18,個別指定!$A:$A,0)),"行なし",""))</f>
        <v/>
      </c>
      <c r="N18" s="2" t="str">
        <f aca="false">IF($G18="","",IF(COUNTIF($G$2:$G$4460,$G18)&gt;1,"重複",""))</f>
        <v/>
      </c>
    </row>
    <row r="19" customFormat="false" ht="15" hidden="false" customHeight="true" outlineLevel="0" collapsed="false">
      <c r="A19" s="25" t="s">
        <v>384</v>
      </c>
      <c r="B19" s="25" t="s">
        <v>384</v>
      </c>
      <c r="C19" s="2" t="s">
        <v>17</v>
      </c>
      <c r="D19" s="2" t="str">
        <f aca="false">""</f>
        <v/>
      </c>
      <c r="E19" s="2" t="str">
        <f aca="false">""</f>
        <v/>
      </c>
      <c r="F19" s="2" t="str">
        <f aca="false">""</f>
        <v/>
      </c>
      <c r="G19" s="2" t="str">
        <f aca="false">IF(単打!AB13="","",SUBSTITUTE(SUBSTITUTE(単打!AB13," ",""),"　",""))</f>
        <v/>
      </c>
      <c r="H19" s="2" t="str">
        <f aca="false">IF($G19="","","y")</f>
        <v/>
      </c>
      <c r="I19" s="2" t="str">
        <f aca="false">""</f>
        <v/>
      </c>
      <c r="J19" s="2" t="str">
        <f aca="false">""</f>
        <v/>
      </c>
      <c r="K19" s="2" t="str">
        <f aca="false">""</f>
        <v/>
      </c>
      <c r="L19" s="2" t="str">
        <f aca="false">""</f>
        <v/>
      </c>
      <c r="M19" s="2" t="str">
        <f aca="false">IF($G19="","",IF(ISNA(MATCH($G19,個別指定!$A:$A,0)),"行なし",""))</f>
        <v/>
      </c>
      <c r="N19" s="2" t="str">
        <f aca="false">IF($G19="","",IF(COUNTIF($G$2:$G$4460,$G19)&gt;1,"重複",""))</f>
        <v/>
      </c>
    </row>
    <row r="20" customFormat="false" ht="15" hidden="false" customHeight="true" outlineLevel="0" collapsed="false">
      <c r="A20" s="25" t="s">
        <v>384</v>
      </c>
      <c r="B20" s="25" t="s">
        <v>384</v>
      </c>
      <c r="C20" s="2" t="s">
        <v>18</v>
      </c>
      <c r="D20" s="2" t="str">
        <f aca="false">""</f>
        <v/>
      </c>
      <c r="E20" s="2" t="str">
        <f aca="false">""</f>
        <v/>
      </c>
      <c r="F20" s="2" t="str">
        <f aca="false">""</f>
        <v/>
      </c>
      <c r="G20" s="2" t="str">
        <f aca="false">IF(単打!AF13="","",SUBSTITUTE(SUBSTITUTE(単打!AF13," ",""),"　",""))</f>
        <v/>
      </c>
      <c r="H20" s="2" t="str">
        <f aca="false">IF($G20="","","u")</f>
        <v/>
      </c>
      <c r="I20" s="2" t="str">
        <f aca="false">""</f>
        <v/>
      </c>
      <c r="J20" s="2" t="str">
        <f aca="false">""</f>
        <v/>
      </c>
      <c r="K20" s="2" t="str">
        <f aca="false">""</f>
        <v/>
      </c>
      <c r="L20" s="2" t="str">
        <f aca="false">""</f>
        <v/>
      </c>
      <c r="M20" s="2" t="str">
        <f aca="false">IF($G20="","",IF(ISNA(MATCH($G20,個別指定!$A:$A,0)),"行なし",""))</f>
        <v/>
      </c>
      <c r="N20" s="2" t="str">
        <f aca="false">IF($G20="","",IF(COUNTIF($G$2:$G$4460,$G20)&gt;1,"重複",""))</f>
        <v/>
      </c>
    </row>
    <row r="21" customFormat="false" ht="15" hidden="false" customHeight="true" outlineLevel="0" collapsed="false">
      <c r="A21" s="25" t="s">
        <v>384</v>
      </c>
      <c r="B21" s="25" t="s">
        <v>384</v>
      </c>
      <c r="C21" s="2" t="s">
        <v>19</v>
      </c>
      <c r="D21" s="2" t="str">
        <f aca="false">""</f>
        <v/>
      </c>
      <c r="E21" s="2" t="str">
        <f aca="false">""</f>
        <v/>
      </c>
      <c r="F21" s="2" t="str">
        <f aca="false">""</f>
        <v/>
      </c>
      <c r="G21" s="2" t="str">
        <f aca="false">IF(単打!AJ13="","",SUBSTITUTE(SUBSTITUTE(単打!AJ13," ",""),"　",""))</f>
        <v>る</v>
      </c>
      <c r="H21" s="2" t="str">
        <f aca="false">IF($G21="","","i")</f>
        <v>i</v>
      </c>
      <c r="I21" s="2" t="str">
        <f aca="false">""</f>
        <v/>
      </c>
      <c r="J21" s="2" t="str">
        <f aca="false">""</f>
        <v/>
      </c>
      <c r="K21" s="2" t="str">
        <f aca="false">""</f>
        <v/>
      </c>
      <c r="L21" s="2" t="str">
        <f aca="false">""</f>
        <v/>
      </c>
      <c r="M21" s="2" t="str">
        <f aca="false">IF($G21="","",IF(ISNA(MATCH($G21,個別指定!$A:$A,0)),"行なし",""))</f>
        <v/>
      </c>
      <c r="N21" s="2" t="str">
        <f aca="false">IF($G21="","",IF(COUNTIF($G$2:$G$4460,$G21)&gt;1,"重複",""))</f>
        <v/>
      </c>
    </row>
    <row r="22" customFormat="false" ht="15" hidden="false" customHeight="true" outlineLevel="0" collapsed="false">
      <c r="A22" s="25" t="s">
        <v>384</v>
      </c>
      <c r="B22" s="25" t="s">
        <v>384</v>
      </c>
      <c r="C22" s="2" t="s">
        <v>20</v>
      </c>
      <c r="D22" s="2" t="str">
        <f aca="false">""</f>
        <v/>
      </c>
      <c r="E22" s="2" t="str">
        <f aca="false">""</f>
        <v/>
      </c>
      <c r="F22" s="2" t="str">
        <f aca="false">""</f>
        <v/>
      </c>
      <c r="G22" s="2" t="str">
        <f aca="false">IF(単打!AN13="","",SUBSTITUTE(SUBSTITUTE(単打!AN13," ",""),"　",""))</f>
        <v>す</v>
      </c>
      <c r="H22" s="2" t="str">
        <f aca="false">IF($G22="","","o")</f>
        <v>o</v>
      </c>
      <c r="I22" s="2" t="str">
        <f aca="false">""</f>
        <v/>
      </c>
      <c r="J22" s="2" t="str">
        <f aca="false">""</f>
        <v/>
      </c>
      <c r="K22" s="2" t="str">
        <f aca="false">""</f>
        <v/>
      </c>
      <c r="L22" s="2" t="str">
        <f aca="false">""</f>
        <v/>
      </c>
      <c r="M22" s="2" t="str">
        <f aca="false">IF($G22="","",IF(ISNA(MATCH($G22,個別指定!$A:$A,0)),"行なし",""))</f>
        <v/>
      </c>
      <c r="N22" s="2" t="str">
        <f aca="false">IF($G22="","",IF(COUNTIF($G$2:$G$4460,$G22)&gt;1,"重複",""))</f>
        <v/>
      </c>
    </row>
    <row r="23" customFormat="false" ht="15" hidden="false" customHeight="true" outlineLevel="0" collapsed="false">
      <c r="A23" s="25" t="s">
        <v>384</v>
      </c>
      <c r="B23" s="25" t="s">
        <v>384</v>
      </c>
      <c r="C23" s="2" t="s">
        <v>21</v>
      </c>
      <c r="D23" s="2" t="str">
        <f aca="false">""</f>
        <v/>
      </c>
      <c r="E23" s="2" t="str">
        <f aca="false">""</f>
        <v/>
      </c>
      <c r="F23" s="2" t="str">
        <f aca="false">""</f>
        <v/>
      </c>
      <c r="G23" s="2" t="str">
        <f aca="false">IF(単打!AR13="","",SUBSTITUTE(SUBSTITUTE(単打!AR13," ",""),"　",""))</f>
        <v>へ</v>
      </c>
      <c r="H23" s="2" t="str">
        <f aca="false">IF($G23="","","p")</f>
        <v>p</v>
      </c>
      <c r="I23" s="2" t="str">
        <f aca="false">""</f>
        <v/>
      </c>
      <c r="J23" s="2" t="str">
        <f aca="false">""</f>
        <v/>
      </c>
      <c r="K23" s="2" t="str">
        <f aca="false">""</f>
        <v/>
      </c>
      <c r="L23" s="2" t="str">
        <f aca="false">""</f>
        <v/>
      </c>
      <c r="M23" s="2" t="str">
        <f aca="false">IF($G23="","",IF(ISNA(MATCH($G23,個別指定!$A:$A,0)),"行なし",""))</f>
        <v/>
      </c>
      <c r="N23" s="2" t="str">
        <f aca="false">IF($G23="","",IF(COUNTIF($G$2:$G$4460,$G23)&gt;1,"重複",""))</f>
        <v/>
      </c>
    </row>
    <row r="24" customFormat="false" ht="15" hidden="false" customHeight="true" outlineLevel="0" collapsed="false">
      <c r="A24" s="25" t="s">
        <v>384</v>
      </c>
      <c r="B24" s="25" t="s">
        <v>384</v>
      </c>
      <c r="C24" s="2" t="s">
        <v>22</v>
      </c>
      <c r="D24" s="2" t="str">
        <f aca="false">""</f>
        <v/>
      </c>
      <c r="E24" s="2" t="str">
        <f aca="false">""</f>
        <v/>
      </c>
      <c r="F24" s="2" t="str">
        <f aca="false">""</f>
        <v/>
      </c>
      <c r="G24" s="2" t="str">
        <f aca="false">IF(単打!AV13="","",SUBSTITUTE(SUBSTITUTE(単打!AV13," ",""),"　",""))</f>
        <v/>
      </c>
      <c r="H24" s="2" t="str">
        <f aca="false">IF($G24="","","[")</f>
        <v/>
      </c>
      <c r="I24" s="2" t="str">
        <f aca="false">""</f>
        <v/>
      </c>
      <c r="J24" s="2" t="str">
        <f aca="false">""</f>
        <v/>
      </c>
      <c r="K24" s="2" t="str">
        <f aca="false">""</f>
        <v/>
      </c>
      <c r="L24" s="2" t="str">
        <f aca="false">""</f>
        <v/>
      </c>
      <c r="M24" s="2" t="str">
        <f aca="false">IF($G24="","",IF(ISNA(MATCH($G24,個別指定!$A:$A,0)),"行なし",""))</f>
        <v/>
      </c>
      <c r="N24" s="2" t="str">
        <f aca="false">IF($G24="","",IF(COUNTIF($G$2:$G$4460,$G24)&gt;1,"重複",""))</f>
        <v/>
      </c>
    </row>
    <row r="25" customFormat="false" ht="15" hidden="false" customHeight="true" outlineLevel="0" collapsed="false">
      <c r="A25" s="25" t="s">
        <v>384</v>
      </c>
      <c r="B25" s="25" t="s">
        <v>384</v>
      </c>
      <c r="C25" s="2" t="s">
        <v>23</v>
      </c>
      <c r="D25" s="2" t="str">
        <f aca="false">""</f>
        <v/>
      </c>
      <c r="E25" s="2" t="str">
        <f aca="false">""</f>
        <v/>
      </c>
      <c r="F25" s="2" t="str">
        <f aca="false">""</f>
        <v/>
      </c>
      <c r="G25" s="2" t="str">
        <f aca="false">IF(単打!AZ13="","",SUBSTITUTE(SUBSTITUTE(単打!AZ13," ",""),"　",""))</f>
        <v/>
      </c>
      <c r="H25" s="2" t="str">
        <f aca="false">IF($G25="","","]")</f>
        <v/>
      </c>
      <c r="I25" s="2" t="str">
        <f aca="false">""</f>
        <v/>
      </c>
      <c r="J25" s="2" t="str">
        <f aca="false">""</f>
        <v/>
      </c>
      <c r="K25" s="2" t="str">
        <f aca="false">""</f>
        <v/>
      </c>
      <c r="L25" s="2" t="str">
        <f aca="false">""</f>
        <v/>
      </c>
      <c r="M25" s="2" t="str">
        <f aca="false">IF($G25="","",IF(ISNA(MATCH($G25,個別指定!$A:$A,0)),"行なし",""))</f>
        <v/>
      </c>
      <c r="N25" s="2" t="str">
        <f aca="false">IF($G25="","",IF(COUNTIF($G$2:$G$4460,$G25)&gt;1,"重複",""))</f>
        <v/>
      </c>
    </row>
    <row r="26" customFormat="false" ht="15" hidden="false" customHeight="true" outlineLevel="0" collapsed="false">
      <c r="A26" s="25" t="s">
        <v>384</v>
      </c>
      <c r="B26" s="25" t="s">
        <v>384</v>
      </c>
      <c r="C26" s="2" t="s">
        <v>24</v>
      </c>
      <c r="D26" s="2" t="str">
        <f aca="false">""</f>
        <v/>
      </c>
      <c r="E26" s="2" t="str">
        <f aca="false">""</f>
        <v/>
      </c>
      <c r="F26" s="2" t="str">
        <f aca="false">""</f>
        <v/>
      </c>
      <c r="G26" s="2" t="str">
        <f aca="false">IF(単打!I15="","",SUBSTITUTE(SUBSTITUTE(単打!I15," ",""),"　",""))</f>
        <v>ろ</v>
      </c>
      <c r="H26" s="2" t="str">
        <f aca="false">IF($G26="","","a")</f>
        <v>a</v>
      </c>
      <c r="I26" s="2" t="str">
        <f aca="false">""</f>
        <v/>
      </c>
      <c r="J26" s="2" t="str">
        <f aca="false">""</f>
        <v/>
      </c>
      <c r="K26" s="2" t="str">
        <f aca="false">""</f>
        <v/>
      </c>
      <c r="L26" s="2" t="str">
        <f aca="false">""</f>
        <v/>
      </c>
      <c r="M26" s="2" t="str">
        <f aca="false">IF($G26="","",IF(ISNA(MATCH($G26,個別指定!$A:$A,0)),"行なし",""))</f>
        <v/>
      </c>
      <c r="N26" s="2" t="str">
        <f aca="false">IF($G26="","",IF(COUNTIF($G$2:$G$4460,$G26)&gt;1,"重複",""))</f>
        <v/>
      </c>
    </row>
    <row r="27" customFormat="false" ht="15" hidden="false" customHeight="true" outlineLevel="0" collapsed="false">
      <c r="A27" s="25" t="s">
        <v>384</v>
      </c>
      <c r="B27" s="25" t="s">
        <v>384</v>
      </c>
      <c r="C27" s="2" t="s">
        <v>25</v>
      </c>
      <c r="D27" s="2" t="str">
        <f aca="false">""</f>
        <v/>
      </c>
      <c r="E27" s="2" t="str">
        <f aca="false">""</f>
        <v/>
      </c>
      <c r="F27" s="2" t="str">
        <f aca="false">""</f>
        <v/>
      </c>
      <c r="G27" s="2" t="str">
        <f aca="false">IF(単打!M15="","",SUBSTITUTE(SUBSTITUTE(単打!M15," ",""),"　",""))</f>
        <v>け</v>
      </c>
      <c r="H27" s="2" t="str">
        <f aca="false">IF($G27="","","s")</f>
        <v>s</v>
      </c>
      <c r="I27" s="2" t="str">
        <f aca="false">""</f>
        <v/>
      </c>
      <c r="J27" s="2" t="str">
        <f aca="false">""</f>
        <v/>
      </c>
      <c r="K27" s="2" t="str">
        <f aca="false">""</f>
        <v/>
      </c>
      <c r="L27" s="2" t="str">
        <f aca="false">""</f>
        <v/>
      </c>
      <c r="M27" s="2" t="str">
        <f aca="false">IF($G27="","",IF(ISNA(MATCH($G27,個別指定!$A:$A,0)),"行なし",""))</f>
        <v/>
      </c>
      <c r="N27" s="2" t="str">
        <f aca="false">IF($G27="","",IF(COUNTIF($G$2:$G$4460,$G27)&gt;1,"重複",""))</f>
        <v/>
      </c>
    </row>
    <row r="28" customFormat="false" ht="15" hidden="false" customHeight="true" outlineLevel="0" collapsed="false">
      <c r="A28" s="25" t="s">
        <v>384</v>
      </c>
      <c r="B28" s="25" t="s">
        <v>384</v>
      </c>
      <c r="C28" s="2" t="s">
        <v>26</v>
      </c>
      <c r="D28" s="2" t="str">
        <f aca="false">""</f>
        <v/>
      </c>
      <c r="E28" s="2" t="str">
        <f aca="false">""</f>
        <v/>
      </c>
      <c r="F28" s="2" t="str">
        <f aca="false">""</f>
        <v/>
      </c>
      <c r="G28" s="2" t="str">
        <f aca="false">IF(単打!Q15="","",SUBSTITUTE(SUBSTITUTE(単打!Q15," ",""),"　",""))</f>
        <v>と</v>
      </c>
      <c r="H28" s="2" t="str">
        <f aca="false">IF($G28="","","d")</f>
        <v>d</v>
      </c>
      <c r="I28" s="2" t="str">
        <f aca="false">""</f>
        <v/>
      </c>
      <c r="J28" s="2" t="str">
        <f aca="false">""</f>
        <v/>
      </c>
      <c r="K28" s="2" t="str">
        <f aca="false">""</f>
        <v/>
      </c>
      <c r="L28" s="2" t="str">
        <f aca="false">""</f>
        <v/>
      </c>
      <c r="M28" s="2" t="str">
        <f aca="false">IF($G28="","",IF(ISNA(MATCH($G28,個別指定!$A:$A,0)),"行なし",""))</f>
        <v/>
      </c>
      <c r="N28" s="2" t="str">
        <f aca="false">IF($G28="","",IF(COUNTIF($G$2:$G$4460,$G28)&gt;1,"重複",""))</f>
        <v/>
      </c>
    </row>
    <row r="29" customFormat="false" ht="15" hidden="false" customHeight="true" outlineLevel="0" collapsed="false">
      <c r="A29" s="25" t="s">
        <v>384</v>
      </c>
      <c r="B29" s="25" t="s">
        <v>384</v>
      </c>
      <c r="C29" s="2" t="s">
        <v>27</v>
      </c>
      <c r="D29" s="2" t="str">
        <f aca="false">""</f>
        <v/>
      </c>
      <c r="E29" s="2" t="str">
        <f aca="false">""</f>
        <v/>
      </c>
      <c r="F29" s="2" t="str">
        <f aca="false">""</f>
        <v/>
      </c>
      <c r="G29" s="2" t="str">
        <f aca="false">IF(単打!U15="","",SUBSTITUTE(SUBSTITUTE(単打!U15," ",""),"　",""))</f>
        <v>か</v>
      </c>
      <c r="H29" s="2" t="str">
        <f aca="false">IF($G29="","","f")</f>
        <v>f</v>
      </c>
      <c r="I29" s="2" t="str">
        <f aca="false">""</f>
        <v/>
      </c>
      <c r="J29" s="2" t="str">
        <f aca="false">""</f>
        <v/>
      </c>
      <c r="K29" s="2" t="str">
        <f aca="false">""</f>
        <v/>
      </c>
      <c r="L29" s="2" t="str">
        <f aca="false">""</f>
        <v/>
      </c>
      <c r="M29" s="2" t="str">
        <f aca="false">IF($G29="","",IF(ISNA(MATCH($G29,個別指定!$A:$A,0)),"行なし",""))</f>
        <v/>
      </c>
      <c r="N29" s="2" t="str">
        <f aca="false">IF($G29="","",IF(COUNTIF($G$2:$G$4460,$G29)&gt;1,"重複",""))</f>
        <v/>
      </c>
    </row>
    <row r="30" customFormat="false" ht="15" hidden="false" customHeight="true" outlineLevel="0" collapsed="false">
      <c r="A30" s="25" t="s">
        <v>384</v>
      </c>
      <c r="B30" s="25" t="s">
        <v>384</v>
      </c>
      <c r="C30" s="2" t="s">
        <v>28</v>
      </c>
      <c r="D30" s="2" t="str">
        <f aca="false">""</f>
        <v/>
      </c>
      <c r="E30" s="2" t="str">
        <f aca="false">""</f>
        <v/>
      </c>
      <c r="F30" s="2" t="str">
        <f aca="false">""</f>
        <v/>
      </c>
      <c r="G30" s="2" t="str">
        <f aca="false">IF(単打!Y15="","",SUBSTITUTE(SUBSTITUTE(単打!Y15," ",""),"　",""))</f>
        <v>っ</v>
      </c>
      <c r="H30" s="2" t="str">
        <f aca="false">IF($G30="","","g")</f>
        <v>g</v>
      </c>
      <c r="I30" s="2" t="str">
        <f aca="false">""</f>
        <v/>
      </c>
      <c r="J30" s="2" t="str">
        <f aca="false">""</f>
        <v/>
      </c>
      <c r="K30" s="2" t="str">
        <f aca="false">""</f>
        <v/>
      </c>
      <c r="L30" s="2" t="str">
        <f aca="false">""</f>
        <v/>
      </c>
      <c r="M30" s="2" t="str">
        <f aca="false">IF($G30="","",IF(ISNA(MATCH($G30,個別指定!$A:$A,0)),"行なし",""))</f>
        <v/>
      </c>
      <c r="N30" s="2" t="str">
        <f aca="false">IF($G30="","",IF(COUNTIF($G$2:$G$4460,$G30)&gt;1,"重複",""))</f>
        <v/>
      </c>
    </row>
    <row r="31" customFormat="false" ht="15" hidden="false" customHeight="true" outlineLevel="0" collapsed="false">
      <c r="A31" s="25" t="s">
        <v>384</v>
      </c>
      <c r="B31" s="25" t="s">
        <v>384</v>
      </c>
      <c r="C31" s="2" t="s">
        <v>29</v>
      </c>
      <c r="D31" s="2" t="str">
        <f aca="false">""</f>
        <v/>
      </c>
      <c r="E31" s="2" t="str">
        <f aca="false">""</f>
        <v/>
      </c>
      <c r="F31" s="2" t="str">
        <f aca="false">""</f>
        <v/>
      </c>
      <c r="G31" s="2" t="str">
        <f aca="false">IF(単打!AC15="","",SUBSTITUTE(SUBSTITUTE(単打!AC15," ",""),"　",""))</f>
        <v>く</v>
      </c>
      <c r="H31" s="2" t="str">
        <f aca="false">IF($G31="","","h")</f>
        <v>h</v>
      </c>
      <c r="I31" s="2" t="str">
        <f aca="false">""</f>
        <v/>
      </c>
      <c r="J31" s="2" t="str">
        <f aca="false">""</f>
        <v/>
      </c>
      <c r="K31" s="2" t="str">
        <f aca="false">""</f>
        <v/>
      </c>
      <c r="L31" s="2" t="str">
        <f aca="false">""</f>
        <v/>
      </c>
      <c r="M31" s="2" t="str">
        <f aca="false">IF($G31="","",IF(ISNA(MATCH($G31,個別指定!$A:$A,0)),"行なし",""))</f>
        <v/>
      </c>
      <c r="N31" s="2" t="str">
        <f aca="false">IF($G31="","",IF(COUNTIF($G$2:$G$4460,$G31)&gt;1,"重複",""))</f>
        <v/>
      </c>
    </row>
    <row r="32" customFormat="false" ht="15" hidden="false" customHeight="true" outlineLevel="0" collapsed="false">
      <c r="A32" s="25" t="s">
        <v>384</v>
      </c>
      <c r="B32" s="25" t="s">
        <v>384</v>
      </c>
      <c r="C32" s="2" t="s">
        <v>30</v>
      </c>
      <c r="D32" s="2" t="str">
        <f aca="false">""</f>
        <v/>
      </c>
      <c r="E32" s="2" t="str">
        <f aca="false">""</f>
        <v/>
      </c>
      <c r="F32" s="2" t="str">
        <f aca="false">""</f>
        <v/>
      </c>
      <c r="G32" s="2" t="str">
        <f aca="false">IF(単打!AG15="","",SUBSTITUTE(SUBSTITUTE(単打!AG15," ",""),"　",""))</f>
        <v>あ</v>
      </c>
      <c r="H32" s="2" t="str">
        <f aca="false">IF($G32="","","j")</f>
        <v>j</v>
      </c>
      <c r="I32" s="2" t="str">
        <f aca="false">""</f>
        <v/>
      </c>
      <c r="J32" s="2" t="str">
        <f aca="false">""</f>
        <v/>
      </c>
      <c r="K32" s="2" t="str">
        <f aca="false">""</f>
        <v/>
      </c>
      <c r="L32" s="2" t="str">
        <f aca="false">""</f>
        <v/>
      </c>
      <c r="M32" s="2" t="str">
        <f aca="false">IF($G32="","",IF(ISNA(MATCH($G32,個別指定!$A:$A,0)),"行なし",""))</f>
        <v/>
      </c>
      <c r="N32" s="2" t="str">
        <f aca="false">IF($G32="","",IF(COUNTIF($G$2:$G$4460,$G32)&gt;1,"重複",""))</f>
        <v/>
      </c>
    </row>
    <row r="33" customFormat="false" ht="15" hidden="false" customHeight="true" outlineLevel="0" collapsed="false">
      <c r="A33" s="25" t="s">
        <v>384</v>
      </c>
      <c r="B33" s="25" t="s">
        <v>384</v>
      </c>
      <c r="C33" s="2" t="s">
        <v>31</v>
      </c>
      <c r="D33" s="2" t="str">
        <f aca="false">""</f>
        <v/>
      </c>
      <c r="E33" s="2" t="str">
        <f aca="false">""</f>
        <v/>
      </c>
      <c r="F33" s="2" t="str">
        <f aca="false">""</f>
        <v/>
      </c>
      <c r="G33" s="2" t="str">
        <f aca="false">IF(単打!AK15="","",SUBSTITUTE(SUBSTITUTE(単打!AK15," ",""),"　",""))</f>
        <v>い</v>
      </c>
      <c r="H33" s="2" t="str">
        <f aca="false">IF($G33="","","k")</f>
        <v>k</v>
      </c>
      <c r="I33" s="2" t="str">
        <f aca="false">""</f>
        <v/>
      </c>
      <c r="J33" s="2" t="str">
        <f aca="false">""</f>
        <v/>
      </c>
      <c r="K33" s="2" t="str">
        <f aca="false">""</f>
        <v/>
      </c>
      <c r="L33" s="2" t="str">
        <f aca="false">""</f>
        <v/>
      </c>
      <c r="M33" s="2" t="str">
        <f aca="false">IF($G33="","",IF(ISNA(MATCH($G33,個別指定!$A:$A,0)),"行なし",""))</f>
        <v/>
      </c>
      <c r="N33" s="2" t="str">
        <f aca="false">IF($G33="","",IF(COUNTIF($G$2:$G$4460,$G33)&gt;1,"重複",""))</f>
        <v/>
      </c>
    </row>
    <row r="34" customFormat="false" ht="15" hidden="false" customHeight="true" outlineLevel="0" collapsed="false">
      <c r="A34" s="25" t="s">
        <v>384</v>
      </c>
      <c r="B34" s="25" t="s">
        <v>384</v>
      </c>
      <c r="C34" s="2" t="s">
        <v>32</v>
      </c>
      <c r="D34" s="2" t="str">
        <f aca="false">""</f>
        <v/>
      </c>
      <c r="E34" s="2" t="str">
        <f aca="false">""</f>
        <v/>
      </c>
      <c r="F34" s="2" t="str">
        <f aca="false">""</f>
        <v/>
      </c>
      <c r="G34" s="2" t="str">
        <f aca="false">IF(単打!AO15="","",SUBSTITUTE(SUBSTITUTE(単打!AO15," ",""),"　",""))</f>
        <v>う</v>
      </c>
      <c r="H34" s="2" t="str">
        <f aca="false">IF($G34="","","l")</f>
        <v>l</v>
      </c>
      <c r="I34" s="2" t="str">
        <f aca="false">""</f>
        <v/>
      </c>
      <c r="J34" s="2" t="str">
        <f aca="false">""</f>
        <v/>
      </c>
      <c r="K34" s="2" t="str">
        <f aca="false">""</f>
        <v/>
      </c>
      <c r="L34" s="2" t="str">
        <f aca="false">""</f>
        <v/>
      </c>
      <c r="M34" s="2" t="str">
        <f aca="false">IF($G34="","",IF(ISNA(MATCH($G34,個別指定!$A:$A,0)),"行なし",""))</f>
        <v/>
      </c>
      <c r="N34" s="2" t="str">
        <f aca="false">IF($G34="","",IF(COUNTIF($G$2:$G$4460,$G34)&gt;1,"重複",""))</f>
        <v/>
      </c>
    </row>
    <row r="35" customFormat="false" ht="15" hidden="false" customHeight="true" outlineLevel="0" collapsed="false">
      <c r="A35" s="25" t="s">
        <v>384</v>
      </c>
      <c r="B35" s="25" t="s">
        <v>384</v>
      </c>
      <c r="C35" s="2" t="s">
        <v>33</v>
      </c>
      <c r="D35" s="2" t="str">
        <f aca="false">""</f>
        <v/>
      </c>
      <c r="E35" s="2" t="str">
        <f aca="false">""</f>
        <v/>
      </c>
      <c r="F35" s="2" t="str">
        <f aca="false">""</f>
        <v/>
      </c>
      <c r="G35" s="2" t="str">
        <f aca="false">IF(単打!AS15="","",SUBSTITUTE(SUBSTITUTE(単打!AS15," ",""),"　",""))</f>
        <v>ー</v>
      </c>
      <c r="H35" s="2" t="str">
        <f aca="false">IF($G35="","",";")</f>
        <v>;</v>
      </c>
      <c r="I35" s="2" t="str">
        <f aca="false">""</f>
        <v/>
      </c>
      <c r="J35" s="2" t="str">
        <f aca="false">""</f>
        <v/>
      </c>
      <c r="K35" s="2" t="str">
        <f aca="false">""</f>
        <v/>
      </c>
      <c r="L35" s="2" t="str">
        <f aca="false">""</f>
        <v/>
      </c>
      <c r="M35" s="2" t="str">
        <f aca="false">IF($G35="","",IF(ISNA(MATCH($G35,個別指定!$A:$A,0)),"行なし",""))</f>
        <v/>
      </c>
      <c r="N35" s="2" t="str">
        <f aca="false">IF($G35="","",IF(COUNTIF($G$2:$G$4460,$G35)&gt;1,"重複",""))</f>
        <v/>
      </c>
    </row>
    <row r="36" customFormat="false" ht="15" hidden="false" customHeight="true" outlineLevel="0" collapsed="false">
      <c r="A36" s="25" t="s">
        <v>384</v>
      </c>
      <c r="B36" s="25" t="s">
        <v>384</v>
      </c>
      <c r="C36" s="2" t="s">
        <v>34</v>
      </c>
      <c r="D36" s="2" t="str">
        <f aca="false">""</f>
        <v/>
      </c>
      <c r="E36" s="2" t="str">
        <f aca="false">""</f>
        <v/>
      </c>
      <c r="F36" s="2" t="str">
        <f aca="false">""</f>
        <v/>
      </c>
      <c r="G36" s="2" t="str">
        <f aca="false">IF(単打!AW15="","",SUBSTITUTE(SUBSTITUTE(単打!AW15," ",""),"　",""))</f>
        <v/>
      </c>
      <c r="H36" s="2" t="str">
        <f aca="false">IF($G36="","","'")</f>
        <v/>
      </c>
      <c r="I36" s="2" t="str">
        <f aca="false">""</f>
        <v/>
      </c>
      <c r="J36" s="2" t="str">
        <f aca="false">""</f>
        <v/>
      </c>
      <c r="K36" s="2" t="str">
        <f aca="false">""</f>
        <v/>
      </c>
      <c r="L36" s="2" t="str">
        <f aca="false">""</f>
        <v/>
      </c>
      <c r="M36" s="2" t="str">
        <f aca="false">IF($G36="","",IF(ISNA(MATCH($G36,個別指定!$A:$A,0)),"行なし",""))</f>
        <v/>
      </c>
      <c r="N36" s="2" t="str">
        <f aca="false">IF($G36="","",IF(COUNTIF($G$2:$G$4460,$G36)&gt;1,"重複",""))</f>
        <v/>
      </c>
    </row>
    <row r="37" customFormat="false" ht="15" hidden="false" customHeight="true" outlineLevel="0" collapsed="false">
      <c r="A37" s="25" t="s">
        <v>384</v>
      </c>
      <c r="B37" s="25" t="s">
        <v>384</v>
      </c>
      <c r="C37" s="2" t="s">
        <v>35</v>
      </c>
      <c r="D37" s="2" t="str">
        <f aca="false">""</f>
        <v/>
      </c>
      <c r="E37" s="2" t="str">
        <f aca="false">""</f>
        <v/>
      </c>
      <c r="F37" s="2" t="str">
        <f aca="false">""</f>
        <v/>
      </c>
      <c r="G37" s="2" t="str">
        <f aca="false">IF(単打!K17="","",SUBSTITUTE(SUBSTITUTE(単打!K17," ",""),"　",""))</f>
        <v>ほ</v>
      </c>
      <c r="H37" s="2" t="str">
        <f aca="false">IF($G37="","","z")</f>
        <v>z</v>
      </c>
      <c r="I37" s="2" t="str">
        <f aca="false">""</f>
        <v/>
      </c>
      <c r="J37" s="2" t="str">
        <f aca="false">""</f>
        <v/>
      </c>
      <c r="K37" s="2" t="str">
        <f aca="false">""</f>
        <v/>
      </c>
      <c r="L37" s="2" t="str">
        <f aca="false">""</f>
        <v/>
      </c>
      <c r="M37" s="2" t="str">
        <f aca="false">IF($G37="","",IF(ISNA(MATCH($G37,個別指定!$A:$A,0)),"行なし",""))</f>
        <v/>
      </c>
      <c r="N37" s="2" t="str">
        <f aca="false">IF($G37="","",IF(COUNTIF($G$2:$G$4460,$G37)&gt;1,"重複",""))</f>
        <v/>
      </c>
    </row>
    <row r="38" customFormat="false" ht="15" hidden="false" customHeight="true" outlineLevel="0" collapsed="false">
      <c r="A38" s="25" t="s">
        <v>384</v>
      </c>
      <c r="B38" s="25" t="s">
        <v>384</v>
      </c>
      <c r="C38" s="2" t="s">
        <v>36</v>
      </c>
      <c r="D38" s="2" t="str">
        <f aca="false">""</f>
        <v/>
      </c>
      <c r="E38" s="2" t="str">
        <f aca="false">""</f>
        <v/>
      </c>
      <c r="F38" s="2" t="str">
        <f aca="false">""</f>
        <v/>
      </c>
      <c r="G38" s="2" t="str">
        <f aca="false">IF(単打!O17="","",SUBSTITUTE(SUBSTITUTE(単打!O17," ",""),"　",""))</f>
        <v>ひ</v>
      </c>
      <c r="H38" s="2" t="str">
        <f aca="false">IF($G38="","","x")</f>
        <v>x</v>
      </c>
      <c r="I38" s="2" t="str">
        <f aca="false">""</f>
        <v/>
      </c>
      <c r="J38" s="2" t="str">
        <f aca="false">""</f>
        <v/>
      </c>
      <c r="K38" s="2" t="str">
        <f aca="false">""</f>
        <v/>
      </c>
      <c r="L38" s="2" t="str">
        <f aca="false">""</f>
        <v/>
      </c>
      <c r="M38" s="2" t="str">
        <f aca="false">IF($G38="","",IF(ISNA(MATCH($G38,個別指定!$A:$A,0)),"行なし",""))</f>
        <v/>
      </c>
      <c r="N38" s="2" t="str">
        <f aca="false">IF($G38="","",IF(COUNTIF($G$2:$G$4460,$G38)&gt;1,"重複",""))</f>
        <v/>
      </c>
    </row>
    <row r="39" customFormat="false" ht="15" hidden="false" customHeight="true" outlineLevel="0" collapsed="false">
      <c r="A39" s="25" t="s">
        <v>384</v>
      </c>
      <c r="B39" s="25" t="s">
        <v>384</v>
      </c>
      <c r="C39" s="2" t="s">
        <v>37</v>
      </c>
      <c r="D39" s="2" t="str">
        <f aca="false">""</f>
        <v/>
      </c>
      <c r="E39" s="2" t="str">
        <f aca="false">""</f>
        <v/>
      </c>
      <c r="F39" s="2" t="str">
        <f aca="false">""</f>
        <v/>
      </c>
      <c r="G39" s="2" t="str">
        <f aca="false">IF(単打!S17="","",SUBSTITUTE(SUBSTITUTE(単打!S17," ",""),"　",""))</f>
        <v>は</v>
      </c>
      <c r="H39" s="2" t="str">
        <f aca="false">IF($G39="","","c")</f>
        <v>c</v>
      </c>
      <c r="I39" s="2" t="str">
        <f aca="false">""</f>
        <v/>
      </c>
      <c r="J39" s="2" t="str">
        <f aca="false">""</f>
        <v/>
      </c>
      <c r="K39" s="2" t="str">
        <f aca="false">""</f>
        <v/>
      </c>
      <c r="L39" s="2" t="str">
        <f aca="false">""</f>
        <v/>
      </c>
      <c r="M39" s="2" t="str">
        <f aca="false">IF($G39="","",IF(ISNA(MATCH($G39,個別指定!$A:$A,0)),"行なし",""))</f>
        <v/>
      </c>
      <c r="N39" s="2" t="str">
        <f aca="false">IF($G39="","",IF(COUNTIF($G$2:$G$4460,$G39)&gt;1,"重複",""))</f>
        <v/>
      </c>
    </row>
    <row r="40" customFormat="false" ht="15" hidden="false" customHeight="true" outlineLevel="0" collapsed="false">
      <c r="A40" s="25" t="s">
        <v>384</v>
      </c>
      <c r="B40" s="25" t="s">
        <v>384</v>
      </c>
      <c r="C40" s="2" t="s">
        <v>38</v>
      </c>
      <c r="D40" s="2" t="str">
        <f aca="false">""</f>
        <v/>
      </c>
      <c r="E40" s="2" t="str">
        <f aca="false">""</f>
        <v/>
      </c>
      <c r="F40" s="2" t="str">
        <f aca="false">""</f>
        <v/>
      </c>
      <c r="G40" s="2" t="str">
        <f aca="false">IF(単打!W17="","",SUBSTITUTE(SUBSTITUTE(単打!W17," ",""),"　",""))</f>
        <v>こ</v>
      </c>
      <c r="H40" s="2" t="str">
        <f aca="false">IF($G40="","","v")</f>
        <v>v</v>
      </c>
      <c r="I40" s="2" t="str">
        <f aca="false">""</f>
        <v/>
      </c>
      <c r="J40" s="2" t="str">
        <f aca="false">""</f>
        <v/>
      </c>
      <c r="K40" s="2" t="str">
        <f aca="false">""</f>
        <v/>
      </c>
      <c r="L40" s="2" t="str">
        <f aca="false">""</f>
        <v/>
      </c>
      <c r="M40" s="2" t="str">
        <f aca="false">IF($G40="","",IF(ISNA(MATCH($G40,個別指定!$A:$A,0)),"行なし",""))</f>
        <v/>
      </c>
      <c r="N40" s="2" t="str">
        <f aca="false">IF($G40="","",IF(COUNTIF($G$2:$G$4460,$G40)&gt;1,"重複",""))</f>
        <v/>
      </c>
    </row>
    <row r="41" customFormat="false" ht="15" hidden="false" customHeight="true" outlineLevel="0" collapsed="false">
      <c r="A41" s="25" t="s">
        <v>384</v>
      </c>
      <c r="B41" s="25" t="s">
        <v>384</v>
      </c>
      <c r="C41" s="2" t="s">
        <v>39</v>
      </c>
      <c r="D41" s="2" t="str">
        <f aca="false">""</f>
        <v/>
      </c>
      <c r="E41" s="2" t="str">
        <f aca="false">""</f>
        <v/>
      </c>
      <c r="F41" s="2" t="str">
        <f aca="false">""</f>
        <v/>
      </c>
      <c r="G41" s="2" t="str">
        <f aca="false">IF(単打!AA17="","",SUBSTITUTE(SUBSTITUTE(単打!AA17," ",""),"　",""))</f>
        <v>そ</v>
      </c>
      <c r="H41" s="2" t="str">
        <f aca="false">IF($G41="","","b")</f>
        <v>b</v>
      </c>
      <c r="I41" s="2" t="str">
        <f aca="false">""</f>
        <v/>
      </c>
      <c r="J41" s="2" t="str">
        <f aca="false">""</f>
        <v/>
      </c>
      <c r="K41" s="2" t="str">
        <f aca="false">""</f>
        <v/>
      </c>
      <c r="L41" s="2" t="str">
        <f aca="false">""</f>
        <v/>
      </c>
      <c r="M41" s="2" t="str">
        <f aca="false">IF($G41="","",IF(ISNA(MATCH($G41,個別指定!$A:$A,0)),"行なし",""))</f>
        <v/>
      </c>
      <c r="N41" s="2" t="str">
        <f aca="false">IF($G41="","",IF(COUNTIF($G$2:$G$4460,$G41)&gt;1,"重複",""))</f>
        <v/>
      </c>
    </row>
    <row r="42" customFormat="false" ht="15" hidden="false" customHeight="true" outlineLevel="0" collapsed="false">
      <c r="A42" s="25" t="s">
        <v>384</v>
      </c>
      <c r="B42" s="25" t="s">
        <v>384</v>
      </c>
      <c r="C42" s="2" t="s">
        <v>40</v>
      </c>
      <c r="D42" s="2" t="str">
        <f aca="false">""</f>
        <v/>
      </c>
      <c r="E42" s="2" t="str">
        <f aca="false">""</f>
        <v/>
      </c>
      <c r="F42" s="2" t="str">
        <f aca="false">""</f>
        <v/>
      </c>
      <c r="G42" s="2" t="str">
        <f aca="false">IF(単打!AE17="","",SUBSTITUTE(SUBSTITUTE(単打!AE17," ",""),"　",""))</f>
        <v>た</v>
      </c>
      <c r="H42" s="2" t="str">
        <f aca="false">IF($G42="","","n")</f>
        <v>n</v>
      </c>
      <c r="I42" s="2" t="str">
        <f aca="false">""</f>
        <v/>
      </c>
      <c r="J42" s="2" t="str">
        <f aca="false">""</f>
        <v/>
      </c>
      <c r="K42" s="2" t="str">
        <f aca="false">""</f>
        <v/>
      </c>
      <c r="L42" s="2" t="str">
        <f aca="false">""</f>
        <v/>
      </c>
      <c r="M42" s="2" t="str">
        <f aca="false">IF($G42="","",IF(ISNA(MATCH($G42,個別指定!$A:$A,0)),"行なし",""))</f>
        <v/>
      </c>
      <c r="N42" s="2" t="str">
        <f aca="false">IF($G42="","",IF(COUNTIF($G$2:$G$4460,$G42)&gt;1,"重複",""))</f>
        <v/>
      </c>
    </row>
    <row r="43" customFormat="false" ht="15" hidden="false" customHeight="true" outlineLevel="0" collapsed="false">
      <c r="A43" s="25" t="s">
        <v>384</v>
      </c>
      <c r="B43" s="25" t="s">
        <v>384</v>
      </c>
      <c r="C43" s="2" t="s">
        <v>41</v>
      </c>
      <c r="D43" s="2" t="str">
        <f aca="false">""</f>
        <v/>
      </c>
      <c r="E43" s="2" t="str">
        <f aca="false">""</f>
        <v/>
      </c>
      <c r="F43" s="2" t="str">
        <f aca="false">""</f>
        <v/>
      </c>
      <c r="G43" s="2" t="str">
        <f aca="false">IF(単打!AI17="","",SUBSTITUTE(SUBSTITUTE(単打!AI17," ",""),"　",""))</f>
        <v>な</v>
      </c>
      <c r="H43" s="2" t="str">
        <f aca="false">IF($G43="","","m")</f>
        <v>m</v>
      </c>
      <c r="I43" s="2" t="str">
        <f aca="false">""</f>
        <v/>
      </c>
      <c r="J43" s="2" t="str">
        <f aca="false">""</f>
        <v/>
      </c>
      <c r="K43" s="2" t="str">
        <f aca="false">""</f>
        <v/>
      </c>
      <c r="L43" s="2" t="str">
        <f aca="false">""</f>
        <v/>
      </c>
      <c r="M43" s="2" t="str">
        <f aca="false">IF($G43="","",IF(ISNA(MATCH($G43,個別指定!$A:$A,0)),"行なし",""))</f>
        <v/>
      </c>
      <c r="N43" s="2" t="str">
        <f aca="false">IF($G43="","",IF(COUNTIF($G$2:$G$4460,$G43)&gt;1,"重複",""))</f>
        <v/>
      </c>
    </row>
    <row r="44" customFormat="false" ht="15" hidden="false" customHeight="true" outlineLevel="0" collapsed="false">
      <c r="A44" s="25" t="s">
        <v>384</v>
      </c>
      <c r="B44" s="25" t="s">
        <v>384</v>
      </c>
      <c r="C44" s="2" t="s">
        <v>42</v>
      </c>
      <c r="D44" s="2" t="str">
        <f aca="false">""</f>
        <v/>
      </c>
      <c r="E44" s="2" t="str">
        <f aca="false">""</f>
        <v/>
      </c>
      <c r="F44" s="2" t="str">
        <f aca="false">""</f>
        <v/>
      </c>
      <c r="G44" s="2" t="str">
        <f aca="false">IF(単打!AM17="","",SUBSTITUTE(SUBSTITUTE(単打!AM17," ",""),"　",""))</f>
        <v>ん</v>
      </c>
      <c r="H44" s="2" t="str">
        <f aca="false">IF($G44="","",",")</f>
        <v>,</v>
      </c>
      <c r="I44" s="2" t="str">
        <f aca="false">""</f>
        <v/>
      </c>
      <c r="J44" s="2" t="str">
        <f aca="false">""</f>
        <v/>
      </c>
      <c r="K44" s="2" t="str">
        <f aca="false">""</f>
        <v/>
      </c>
      <c r="L44" s="2" t="str">
        <f aca="false">""</f>
        <v/>
      </c>
      <c r="M44" s="2" t="str">
        <f aca="false">IF($G44="","",IF(ISNA(MATCH($G44,個別指定!$A:$A,0)),"行なし",""))</f>
        <v/>
      </c>
      <c r="N44" s="2" t="str">
        <f aca="false">IF($G44="","",IF(COUNTIF($G$2:$G$4460,$G44)&gt;1,"重複",""))</f>
        <v/>
      </c>
    </row>
    <row r="45" customFormat="false" ht="15" hidden="false" customHeight="true" outlineLevel="0" collapsed="false">
      <c r="A45" s="25" t="s">
        <v>384</v>
      </c>
      <c r="B45" s="25" t="s">
        <v>384</v>
      </c>
      <c r="C45" s="2" t="s">
        <v>43</v>
      </c>
      <c r="D45" s="2" t="str">
        <f aca="false">""</f>
        <v/>
      </c>
      <c r="E45" s="2" t="str">
        <f aca="false">""</f>
        <v/>
      </c>
      <c r="F45" s="2" t="str">
        <f aca="false">""</f>
        <v/>
      </c>
      <c r="G45" s="2" t="str">
        <f aca="false">IF(単打!AQ17="","",SUBSTITUTE(SUBSTITUTE(単打!AQ17," ",""),"　",""))</f>
        <v>ら</v>
      </c>
      <c r="H45" s="2" t="str">
        <f aca="false">IF($G45="","",".")</f>
        <v>.</v>
      </c>
      <c r="I45" s="2" t="str">
        <f aca="false">""</f>
        <v/>
      </c>
      <c r="J45" s="2" t="str">
        <f aca="false">""</f>
        <v/>
      </c>
      <c r="K45" s="2" t="str">
        <f aca="false">""</f>
        <v/>
      </c>
      <c r="L45" s="2" t="str">
        <f aca="false">""</f>
        <v/>
      </c>
      <c r="M45" s="2" t="str">
        <f aca="false">IF($G45="","",IF(ISNA(MATCH($G45,個別指定!$A:$A,0)),"行なし",""))</f>
        <v/>
      </c>
      <c r="N45" s="2" t="str">
        <f aca="false">IF($G45="","",IF(COUNTIF($G$2:$G$4460,$G45)&gt;1,"重複",""))</f>
        <v/>
      </c>
    </row>
    <row r="46" customFormat="false" ht="15" hidden="false" customHeight="true" outlineLevel="0" collapsed="false">
      <c r="A46" s="25" t="s">
        <v>384</v>
      </c>
      <c r="B46" s="25" t="s">
        <v>384</v>
      </c>
      <c r="C46" s="2" t="s">
        <v>44</v>
      </c>
      <c r="D46" s="2" t="str">
        <f aca="false">""</f>
        <v/>
      </c>
      <c r="E46" s="2" t="str">
        <f aca="false">""</f>
        <v/>
      </c>
      <c r="F46" s="2" t="str">
        <f aca="false">""</f>
        <v/>
      </c>
      <c r="G46" s="2" t="str">
        <f aca="false">IF(単打!AU17="","",SUBSTITUTE(SUBSTITUTE(単打!AU17," ",""),"　",""))</f>
        <v>れ</v>
      </c>
      <c r="H46" s="2" t="str">
        <f aca="false">IF($G46="","","/")</f>
        <v>/</v>
      </c>
      <c r="I46" s="2" t="str">
        <f aca="false">""</f>
        <v/>
      </c>
      <c r="J46" s="2" t="str">
        <f aca="false">""</f>
        <v/>
      </c>
      <c r="K46" s="2" t="str">
        <f aca="false">""</f>
        <v/>
      </c>
      <c r="L46" s="2" t="str">
        <f aca="false">""</f>
        <v/>
      </c>
      <c r="M46" s="2" t="str">
        <f aca="false">IF($G46="","",IF(ISNA(MATCH($G46,個別指定!$A:$A,0)),"行なし",""))</f>
        <v/>
      </c>
      <c r="N46" s="2" t="str">
        <f aca="false">IF($G46="","",IF(COUNTIF($G$2:$G$4460,$G46)&gt;1,"重複",""))</f>
        <v/>
      </c>
    </row>
    <row r="47" customFormat="false" ht="15" hidden="false" customHeight="true" outlineLevel="0" collapsed="false">
      <c r="A47" s="25" t="s">
        <v>384</v>
      </c>
      <c r="B47" s="25" t="s">
        <v>384</v>
      </c>
      <c r="C47" s="2" t="s">
        <v>48</v>
      </c>
      <c r="D47" s="2" t="str">
        <f aca="false">""</f>
        <v/>
      </c>
      <c r="E47" s="2" t="str">
        <f aca="false">""</f>
        <v/>
      </c>
      <c r="F47" s="2" t="str">
        <f aca="false">""</f>
        <v/>
      </c>
      <c r="G47" s="2" t="str">
        <f aca="false">IF(単打!P19="","",SUBSTITUTE(SUBSTITUTE(単打!P19," ",""),"　",""))</f>
        <v/>
      </c>
      <c r="H47" s="2" t="str">
        <f aca="false">IF($G47="","","muhenkan")</f>
        <v/>
      </c>
      <c r="I47" s="2" t="str">
        <f aca="false">""</f>
        <v/>
      </c>
      <c r="J47" s="2" t="str">
        <f aca="false">""</f>
        <v/>
      </c>
      <c r="K47" s="2" t="str">
        <f aca="false">""</f>
        <v/>
      </c>
      <c r="L47" s="2" t="str">
        <f aca="false">""</f>
        <v/>
      </c>
      <c r="M47" s="2" t="str">
        <f aca="false">IF($G47="","",IF(ISNA(MATCH($G47,個別指定!$A:$A,0)),"行なし",""))</f>
        <v/>
      </c>
      <c r="N47" s="2" t="str">
        <f aca="false">IF($G47="","",IF(COUNTIF($G$2:$G$4460,$G47)&gt;1,"重複",""))</f>
        <v/>
      </c>
    </row>
    <row r="48" customFormat="false" ht="15" hidden="false" customHeight="true" outlineLevel="0" collapsed="false">
      <c r="A48" s="25" t="s">
        <v>384</v>
      </c>
      <c r="B48" s="25" t="s">
        <v>384</v>
      </c>
      <c r="C48" s="2" t="s">
        <v>50</v>
      </c>
      <c r="D48" s="2" t="str">
        <f aca="false">""</f>
        <v/>
      </c>
      <c r="E48" s="2" t="str">
        <f aca="false">""</f>
        <v/>
      </c>
      <c r="F48" s="2" t="str">
        <f aca="false">""</f>
        <v/>
      </c>
      <c r="G48" s="2" t="str">
        <f aca="false">IF(単打!T19="","",SUBSTITUTE(SUBSTITUTE(単打!T19," ",""),"　",""))</f>
        <v/>
      </c>
      <c r="H48" s="2" t="str">
        <f aca="false">IF($G48="","","space")</f>
        <v/>
      </c>
      <c r="I48" s="2" t="str">
        <f aca="false">""</f>
        <v/>
      </c>
      <c r="J48" s="2" t="str">
        <f aca="false">""</f>
        <v/>
      </c>
      <c r="K48" s="2" t="str">
        <f aca="false">""</f>
        <v/>
      </c>
      <c r="L48" s="2" t="str">
        <f aca="false">""</f>
        <v/>
      </c>
      <c r="M48" s="2" t="str">
        <f aca="false">IF($G48="","",IF(ISNA(MATCH($G48,個別指定!$A:$A,0)),"行なし",""))</f>
        <v/>
      </c>
      <c r="N48" s="2" t="str">
        <f aca="false">IF($G48="","",IF(COUNTIF($G$2:$G$4460,$G48)&gt;1,"重複",""))</f>
        <v/>
      </c>
    </row>
    <row r="49" customFormat="false" ht="15" hidden="false" customHeight="true" outlineLevel="0" collapsed="false">
      <c r="A49" s="25" t="s">
        <v>384</v>
      </c>
      <c r="B49" s="25" t="s">
        <v>384</v>
      </c>
      <c r="C49" s="2" t="s">
        <v>45</v>
      </c>
      <c r="D49" s="2" t="str">
        <f aca="false">""</f>
        <v/>
      </c>
      <c r="E49" s="2" t="str">
        <f aca="false">""</f>
        <v/>
      </c>
      <c r="F49" s="2" t="str">
        <f aca="false">""</f>
        <v/>
      </c>
      <c r="G49" s="2" t="str">
        <f aca="false">IF(単打!AL19="","",SUBSTITUTE(SUBSTITUTE(単打!AL19," ",""),"　",""))</f>
        <v/>
      </c>
      <c r="H49" s="2" t="str">
        <f aca="false">IF($G49="","","henkan")</f>
        <v/>
      </c>
      <c r="I49" s="2" t="str">
        <f aca="false">""</f>
        <v/>
      </c>
      <c r="J49" s="2" t="str">
        <f aca="false">""</f>
        <v/>
      </c>
      <c r="K49" s="2" t="str">
        <f aca="false">""</f>
        <v/>
      </c>
      <c r="L49" s="2" t="str">
        <f aca="false">""</f>
        <v/>
      </c>
      <c r="M49" s="2" t="str">
        <f aca="false">IF($G49="","",IF(ISNA(MATCH($G49,個別指定!$A:$A,0)),"行なし",""))</f>
        <v/>
      </c>
      <c r="N49" s="2" t="str">
        <f aca="false">IF($G49="","",IF(COUNTIF($G$2:$G$4460,$G49)&gt;1,"重複",""))</f>
        <v/>
      </c>
    </row>
    <row r="50" customFormat="false" ht="15" hidden="false" customHeight="true" outlineLevel="0" collapsed="false">
      <c r="A50" s="25" t="s">
        <v>384</v>
      </c>
      <c r="B50" s="25" t="s">
        <v>384</v>
      </c>
      <c r="C50" s="2" t="s">
        <v>46</v>
      </c>
      <c r="D50" s="2" t="str">
        <f aca="false">""</f>
        <v/>
      </c>
      <c r="E50" s="2" t="str">
        <f aca="false">""</f>
        <v/>
      </c>
      <c r="F50" s="2" t="str">
        <f aca="false">""</f>
        <v/>
      </c>
      <c r="G50" s="2" t="str">
        <f aca="false">IF(単打!AP19="","",SUBSTITUTE(SUBSTITUTE(単打!AP19," ",""),"　",""))</f>
        <v/>
      </c>
      <c r="H50" s="2" t="str">
        <f aca="false">IF($G50="","","kana")</f>
        <v/>
      </c>
      <c r="I50" s="2" t="str">
        <f aca="false">""</f>
        <v/>
      </c>
      <c r="J50" s="2" t="str">
        <f aca="false">""</f>
        <v/>
      </c>
      <c r="K50" s="2" t="str">
        <f aca="false">""</f>
        <v/>
      </c>
      <c r="L50" s="2" t="str">
        <f aca="false">""</f>
        <v/>
      </c>
      <c r="M50" s="2" t="str">
        <f aca="false">IF($G50="","",IF(ISNA(MATCH($G50,個別指定!$A:$A,0)),"行なし",""))</f>
        <v/>
      </c>
      <c r="N50" s="2" t="str">
        <f aca="false">IF($G50="","",IF(COUNTIF($G$2:$G$4460,$G50)&gt;1,"重複",""))</f>
        <v/>
      </c>
    </row>
    <row r="51" customFormat="false" ht="16.5" hidden="false" customHeight="true" outlineLevel="0" collapsed="false">
      <c r="A51" s="2" t="s">
        <v>385</v>
      </c>
      <c r="B51" s="2" t="s">
        <v>386</v>
      </c>
      <c r="C51" s="2" t="s">
        <v>0</v>
      </c>
      <c r="D51" s="2" t="str">
        <f aca="false">IF(2キー同時!$B$6="","",2キー同時!$B$6)</f>
        <v>space</v>
      </c>
      <c r="E51" s="2" t="str">
        <f aca="false">""</f>
        <v/>
      </c>
      <c r="F51" s="2" t="str">
        <f aca="false">""</f>
        <v/>
      </c>
      <c r="G51" s="2" t="str">
        <f aca="false">IF(2キー同時!$B$6="","",IF(2キー同時!F8="","",SUBSTITUTE(SUBSTITUTE(2キー同時!F8," ",""),"　","")))</f>
        <v/>
      </c>
      <c r="H51" s="2" t="str">
        <f aca="false">IF($G51="","",2キー同時!$B$6)</f>
        <v/>
      </c>
      <c r="I51" s="2" t="str">
        <f aca="false">IF($G51="","","1")</f>
        <v/>
      </c>
      <c r="J51" s="2" t="str">
        <f aca="false">""</f>
        <v/>
      </c>
      <c r="K51" s="2" t="str">
        <f aca="false">""</f>
        <v/>
      </c>
      <c r="L51" s="2" t="str">
        <f aca="false">IF($G51="","","同時")</f>
        <v/>
      </c>
      <c r="M51" s="2" t="str">
        <f aca="false">IF($G51="","",IF(ISNA(MATCH($G51,個別指定!$A:$A,0)),"行なし",""))</f>
        <v/>
      </c>
      <c r="N51" s="2" t="str">
        <f aca="false">IF($G51="","",IF(COUNTIF($G$2:$G$4460,$G51)&gt;1,"重複",""))</f>
        <v/>
      </c>
    </row>
    <row r="52" customFormat="false" ht="16.5" hidden="false" customHeight="true" outlineLevel="0" collapsed="false">
      <c r="A52" s="2" t="s">
        <v>385</v>
      </c>
      <c r="B52" s="2" t="s">
        <v>386</v>
      </c>
      <c r="C52" s="2" t="s">
        <v>1</v>
      </c>
      <c r="D52" s="2" t="str">
        <f aca="false">IF(2キー同時!$B$6="","",2キー同時!$B$6)</f>
        <v>space</v>
      </c>
      <c r="E52" s="2" t="str">
        <f aca="false">""</f>
        <v/>
      </c>
      <c r="F52" s="2" t="str">
        <f aca="false">""</f>
        <v/>
      </c>
      <c r="G52" s="2" t="str">
        <f aca="false">IF(2キー同時!$B$6="","",IF(2キー同時!J8="","",SUBSTITUTE(SUBSTITUTE(2キー同時!J8," ",""),"　","")))</f>
        <v/>
      </c>
      <c r="H52" s="2" t="str">
        <f aca="false">IF($G52="","",2キー同時!$B$6)</f>
        <v/>
      </c>
      <c r="I52" s="2" t="str">
        <f aca="false">IF($G52="","","2")</f>
        <v/>
      </c>
      <c r="J52" s="2" t="str">
        <f aca="false">""</f>
        <v/>
      </c>
      <c r="K52" s="2" t="str">
        <f aca="false">""</f>
        <v/>
      </c>
      <c r="L52" s="2" t="str">
        <f aca="false">IF($G52="","","同時")</f>
        <v/>
      </c>
      <c r="M52" s="2" t="str">
        <f aca="false">IF($G52="","",IF(ISNA(MATCH($G52,個別指定!$A:$A,0)),"行なし",""))</f>
        <v/>
      </c>
      <c r="N52" s="2" t="str">
        <f aca="false">IF($G52="","",IF(COUNTIF($G$2:$G$4460,$G52)&gt;1,"重複",""))</f>
        <v/>
      </c>
    </row>
    <row r="53" customFormat="false" ht="16.5" hidden="false" customHeight="true" outlineLevel="0" collapsed="false">
      <c r="A53" s="2" t="s">
        <v>385</v>
      </c>
      <c r="B53" s="2" t="s">
        <v>386</v>
      </c>
      <c r="C53" s="2" t="s">
        <v>2</v>
      </c>
      <c r="D53" s="2" t="str">
        <f aca="false">IF(2キー同時!$B$6="","",2キー同時!$B$6)</f>
        <v>space</v>
      </c>
      <c r="E53" s="2" t="str">
        <f aca="false">""</f>
        <v/>
      </c>
      <c r="F53" s="2" t="str">
        <f aca="false">""</f>
        <v/>
      </c>
      <c r="G53" s="2" t="str">
        <f aca="false">IF(2キー同時!$B$6="","",IF(2キー同時!N8="","",SUBSTITUTE(SUBSTITUTE(2キー同時!N8," ",""),"　","")))</f>
        <v/>
      </c>
      <c r="H53" s="2" t="str">
        <f aca="false">IF($G53="","",2キー同時!$B$6)</f>
        <v/>
      </c>
      <c r="I53" s="2" t="str">
        <f aca="false">IF($G53="","","3")</f>
        <v/>
      </c>
      <c r="J53" s="2" t="str">
        <f aca="false">""</f>
        <v/>
      </c>
      <c r="K53" s="2" t="str">
        <f aca="false">""</f>
        <v/>
      </c>
      <c r="L53" s="2" t="str">
        <f aca="false">IF($G53="","","同時")</f>
        <v/>
      </c>
      <c r="M53" s="2" t="str">
        <f aca="false">IF($G53="","",IF(ISNA(MATCH($G53,個別指定!$A:$A,0)),"行なし",""))</f>
        <v/>
      </c>
      <c r="N53" s="2" t="str">
        <f aca="false">IF($G53="","",IF(COUNTIF($G$2:$G$4460,$G53)&gt;1,"重複",""))</f>
        <v/>
      </c>
    </row>
    <row r="54" customFormat="false" ht="16.5" hidden="false" customHeight="true" outlineLevel="0" collapsed="false">
      <c r="A54" s="2" t="s">
        <v>385</v>
      </c>
      <c r="B54" s="2" t="s">
        <v>386</v>
      </c>
      <c r="C54" s="2" t="s">
        <v>3</v>
      </c>
      <c r="D54" s="2" t="str">
        <f aca="false">IF(2キー同時!$B$6="","",2キー同時!$B$6)</f>
        <v>space</v>
      </c>
      <c r="E54" s="2" t="str">
        <f aca="false">""</f>
        <v/>
      </c>
      <c r="F54" s="2" t="str">
        <f aca="false">""</f>
        <v/>
      </c>
      <c r="G54" s="2" t="str">
        <f aca="false">IF(2キー同時!$B$6="","",IF(2キー同時!R8="","",SUBSTITUTE(SUBSTITUTE(2キー同時!R8," ",""),"　","")))</f>
        <v/>
      </c>
      <c r="H54" s="2" t="str">
        <f aca="false">IF($G54="","",2キー同時!$B$6)</f>
        <v/>
      </c>
      <c r="I54" s="2" t="str">
        <f aca="false">IF($G54="","","4")</f>
        <v/>
      </c>
      <c r="J54" s="2" t="str">
        <f aca="false">""</f>
        <v/>
      </c>
      <c r="K54" s="2" t="str">
        <f aca="false">""</f>
        <v/>
      </c>
      <c r="L54" s="2" t="str">
        <f aca="false">IF($G54="","","同時")</f>
        <v/>
      </c>
      <c r="M54" s="2" t="str">
        <f aca="false">IF($G54="","",IF(ISNA(MATCH($G54,個別指定!$A:$A,0)),"行なし",""))</f>
        <v/>
      </c>
      <c r="N54" s="2" t="str">
        <f aca="false">IF($G54="","",IF(COUNTIF($G$2:$G$4460,$G54)&gt;1,"重複",""))</f>
        <v/>
      </c>
    </row>
    <row r="55" customFormat="false" ht="16.5" hidden="false" customHeight="true" outlineLevel="0" collapsed="false">
      <c r="A55" s="2" t="s">
        <v>385</v>
      </c>
      <c r="B55" s="2" t="s">
        <v>386</v>
      </c>
      <c r="C55" s="2" t="s">
        <v>4</v>
      </c>
      <c r="D55" s="2" t="str">
        <f aca="false">IF(2キー同時!$B$6="","",2キー同時!$B$6)</f>
        <v>space</v>
      </c>
      <c r="E55" s="2" t="str">
        <f aca="false">""</f>
        <v/>
      </c>
      <c r="F55" s="2" t="str">
        <f aca="false">""</f>
        <v/>
      </c>
      <c r="G55" s="2" t="str">
        <f aca="false">IF(2キー同時!$B$6="","",IF(2キー同時!V8="","",SUBSTITUTE(SUBSTITUTE(2キー同時!V8," ",""),"　","")))</f>
        <v/>
      </c>
      <c r="H55" s="2" t="str">
        <f aca="false">IF($G55="","",2キー同時!$B$6)</f>
        <v/>
      </c>
      <c r="I55" s="2" t="str">
        <f aca="false">IF($G55="","","5")</f>
        <v/>
      </c>
      <c r="J55" s="2" t="str">
        <f aca="false">""</f>
        <v/>
      </c>
      <c r="K55" s="2" t="str">
        <f aca="false">""</f>
        <v/>
      </c>
      <c r="L55" s="2" t="str">
        <f aca="false">IF($G55="","","同時")</f>
        <v/>
      </c>
      <c r="M55" s="2" t="str">
        <f aca="false">IF($G55="","",IF(ISNA(MATCH($G55,個別指定!$A:$A,0)),"行なし",""))</f>
        <v/>
      </c>
      <c r="N55" s="2" t="str">
        <f aca="false">IF($G55="","",IF(COUNTIF($G$2:$G$4460,$G55)&gt;1,"重複",""))</f>
        <v/>
      </c>
    </row>
    <row r="56" customFormat="false" ht="16.5" hidden="false" customHeight="true" outlineLevel="0" collapsed="false">
      <c r="A56" s="2" t="s">
        <v>385</v>
      </c>
      <c r="B56" s="2" t="s">
        <v>386</v>
      </c>
      <c r="C56" s="2" t="s">
        <v>5</v>
      </c>
      <c r="D56" s="2" t="str">
        <f aca="false">IF(2キー同時!$B$6="","",2キー同時!$B$6)</f>
        <v>space</v>
      </c>
      <c r="E56" s="2" t="str">
        <f aca="false">""</f>
        <v/>
      </c>
      <c r="F56" s="2" t="str">
        <f aca="false">""</f>
        <v/>
      </c>
      <c r="G56" s="2" t="str">
        <f aca="false">IF(2キー同時!$B$6="","",IF(2キー同時!Z8="","",SUBSTITUTE(SUBSTITUTE(2キー同時!Z8," ",""),"　","")))</f>
        <v/>
      </c>
      <c r="H56" s="2" t="str">
        <f aca="false">IF($G56="","",2キー同時!$B$6)</f>
        <v/>
      </c>
      <c r="I56" s="2" t="str">
        <f aca="false">IF($G56="","","6")</f>
        <v/>
      </c>
      <c r="J56" s="2" t="str">
        <f aca="false">""</f>
        <v/>
      </c>
      <c r="K56" s="2" t="str">
        <f aca="false">""</f>
        <v/>
      </c>
      <c r="L56" s="2" t="str">
        <f aca="false">IF($G56="","","同時")</f>
        <v/>
      </c>
      <c r="M56" s="2" t="str">
        <f aca="false">IF($G56="","",IF(ISNA(MATCH($G56,個別指定!$A:$A,0)),"行なし",""))</f>
        <v/>
      </c>
      <c r="N56" s="2" t="str">
        <f aca="false">IF($G56="","",IF(COUNTIF($G$2:$G$4460,$G56)&gt;1,"重複",""))</f>
        <v/>
      </c>
    </row>
    <row r="57" customFormat="false" ht="16.5" hidden="false" customHeight="true" outlineLevel="0" collapsed="false">
      <c r="A57" s="2" t="s">
        <v>385</v>
      </c>
      <c r="B57" s="2" t="s">
        <v>386</v>
      </c>
      <c r="C57" s="2" t="s">
        <v>6</v>
      </c>
      <c r="D57" s="2" t="str">
        <f aca="false">IF(2キー同時!$B$6="","",2キー同時!$B$6)</f>
        <v>space</v>
      </c>
      <c r="E57" s="2" t="str">
        <f aca="false">""</f>
        <v/>
      </c>
      <c r="F57" s="2" t="str">
        <f aca="false">""</f>
        <v/>
      </c>
      <c r="G57" s="2" t="str">
        <f aca="false">IF(2キー同時!$B$6="","",IF(2キー同時!AD8="","",SUBSTITUTE(SUBSTITUTE(2キー同時!AD8," ",""),"　","")))</f>
        <v/>
      </c>
      <c r="H57" s="2" t="str">
        <f aca="false">IF($G57="","",2キー同時!$B$6)</f>
        <v/>
      </c>
      <c r="I57" s="2" t="str">
        <f aca="false">IF($G57="","","7")</f>
        <v/>
      </c>
      <c r="J57" s="2" t="str">
        <f aca="false">""</f>
        <v/>
      </c>
      <c r="K57" s="2" t="str">
        <f aca="false">""</f>
        <v/>
      </c>
      <c r="L57" s="2" t="str">
        <f aca="false">IF($G57="","","同時")</f>
        <v/>
      </c>
      <c r="M57" s="2" t="str">
        <f aca="false">IF($G57="","",IF(ISNA(MATCH($G57,個別指定!$A:$A,0)),"行なし",""))</f>
        <v/>
      </c>
      <c r="N57" s="2" t="str">
        <f aca="false">IF($G57="","",IF(COUNTIF($G$2:$G$4460,$G57)&gt;1,"重複",""))</f>
        <v/>
      </c>
    </row>
    <row r="58" customFormat="false" ht="16.5" hidden="false" customHeight="true" outlineLevel="0" collapsed="false">
      <c r="A58" s="2" t="s">
        <v>385</v>
      </c>
      <c r="B58" s="2" t="s">
        <v>386</v>
      </c>
      <c r="C58" s="2" t="s">
        <v>7</v>
      </c>
      <c r="D58" s="2" t="str">
        <f aca="false">IF(2キー同時!$B$6="","",2キー同時!$B$6)</f>
        <v>space</v>
      </c>
      <c r="E58" s="2" t="str">
        <f aca="false">""</f>
        <v/>
      </c>
      <c r="F58" s="2" t="str">
        <f aca="false">""</f>
        <v/>
      </c>
      <c r="G58" s="2" t="str">
        <f aca="false">IF(2キー同時!$B$6="","",IF(2キー同時!AH8="","",SUBSTITUTE(SUBSTITUTE(2キー同時!AH8," ",""),"　","")))</f>
        <v/>
      </c>
      <c r="H58" s="2" t="str">
        <f aca="false">IF($G58="","",2キー同時!$B$6)</f>
        <v/>
      </c>
      <c r="I58" s="2" t="str">
        <f aca="false">IF($G58="","","8")</f>
        <v/>
      </c>
      <c r="J58" s="2" t="str">
        <f aca="false">""</f>
        <v/>
      </c>
      <c r="K58" s="2" t="str">
        <f aca="false">""</f>
        <v/>
      </c>
      <c r="L58" s="2" t="str">
        <f aca="false">IF($G58="","","同時")</f>
        <v/>
      </c>
      <c r="M58" s="2" t="str">
        <f aca="false">IF($G58="","",IF(ISNA(MATCH($G58,個別指定!$A:$A,0)),"行なし",""))</f>
        <v/>
      </c>
      <c r="N58" s="2" t="str">
        <f aca="false">IF($G58="","",IF(COUNTIF($G$2:$G$4460,$G58)&gt;1,"重複",""))</f>
        <v/>
      </c>
    </row>
    <row r="59" customFormat="false" ht="16.5" hidden="false" customHeight="true" outlineLevel="0" collapsed="false">
      <c r="A59" s="2" t="s">
        <v>385</v>
      </c>
      <c r="B59" s="2" t="s">
        <v>386</v>
      </c>
      <c r="C59" s="2" t="s">
        <v>8</v>
      </c>
      <c r="D59" s="2" t="str">
        <f aca="false">IF(2キー同時!$B$6="","",2キー同時!$B$6)</f>
        <v>space</v>
      </c>
      <c r="E59" s="2" t="str">
        <f aca="false">""</f>
        <v/>
      </c>
      <c r="F59" s="2" t="str">
        <f aca="false">""</f>
        <v/>
      </c>
      <c r="G59" s="2" t="str">
        <f aca="false">IF(2キー同時!$B$6="","",IF(2キー同時!AL8="","",SUBSTITUTE(SUBSTITUTE(2キー同時!AL8," ",""),"　","")))</f>
        <v/>
      </c>
      <c r="H59" s="2" t="str">
        <f aca="false">IF($G59="","",2キー同時!$B$6)</f>
        <v/>
      </c>
      <c r="I59" s="2" t="str">
        <f aca="false">IF($G59="","","9")</f>
        <v/>
      </c>
      <c r="J59" s="2" t="str">
        <f aca="false">""</f>
        <v/>
      </c>
      <c r="K59" s="2" t="str">
        <f aca="false">""</f>
        <v/>
      </c>
      <c r="L59" s="2" t="str">
        <f aca="false">IF($G59="","","同時")</f>
        <v/>
      </c>
      <c r="M59" s="2" t="str">
        <f aca="false">IF($G59="","",IF(ISNA(MATCH($G59,個別指定!$A:$A,0)),"行なし",""))</f>
        <v/>
      </c>
      <c r="N59" s="2" t="str">
        <f aca="false">IF($G59="","",IF(COUNTIF($G$2:$G$4460,$G59)&gt;1,"重複",""))</f>
        <v/>
      </c>
    </row>
    <row r="60" customFormat="false" ht="16.5" hidden="false" customHeight="true" outlineLevel="0" collapsed="false">
      <c r="A60" s="2" t="s">
        <v>385</v>
      </c>
      <c r="B60" s="2" t="s">
        <v>386</v>
      </c>
      <c r="C60" s="2" t="s">
        <v>9</v>
      </c>
      <c r="D60" s="2" t="str">
        <f aca="false">IF(2キー同時!$B$6="","",2キー同時!$B$6)</f>
        <v>space</v>
      </c>
      <c r="E60" s="2" t="str">
        <f aca="false">""</f>
        <v/>
      </c>
      <c r="F60" s="2" t="str">
        <f aca="false">""</f>
        <v/>
      </c>
      <c r="G60" s="2" t="str">
        <f aca="false">IF(2キー同時!$B$6="","",IF(2キー同時!AP8="","",SUBSTITUTE(SUBSTITUTE(2キー同時!AP8," ",""),"　","")))</f>
        <v/>
      </c>
      <c r="H60" s="2" t="str">
        <f aca="false">IF($G60="","",2キー同時!$B$6)</f>
        <v/>
      </c>
      <c r="I60" s="2" t="str">
        <f aca="false">IF($G60="","","0")</f>
        <v/>
      </c>
      <c r="J60" s="2" t="str">
        <f aca="false">""</f>
        <v/>
      </c>
      <c r="K60" s="2" t="str">
        <f aca="false">""</f>
        <v/>
      </c>
      <c r="L60" s="2" t="str">
        <f aca="false">IF($G60="","","同時")</f>
        <v/>
      </c>
      <c r="M60" s="2" t="str">
        <f aca="false">IF($G60="","",IF(ISNA(MATCH($G60,個別指定!$A:$A,0)),"行なし",""))</f>
        <v/>
      </c>
      <c r="N60" s="2" t="str">
        <f aca="false">IF($G60="","",IF(COUNTIF($G$2:$G$4460,$G60)&gt;1,"重複",""))</f>
        <v/>
      </c>
    </row>
    <row r="61" customFormat="false" ht="16.5" hidden="false" customHeight="true" outlineLevel="0" collapsed="false">
      <c r="A61" s="2" t="s">
        <v>385</v>
      </c>
      <c r="B61" s="2" t="s">
        <v>386</v>
      </c>
      <c r="C61" s="2" t="s">
        <v>10</v>
      </c>
      <c r="D61" s="2" t="str">
        <f aca="false">IF(2キー同時!$B$6="","",2キー同時!$B$6)</f>
        <v>space</v>
      </c>
      <c r="E61" s="2" t="str">
        <f aca="false">""</f>
        <v/>
      </c>
      <c r="F61" s="2" t="str">
        <f aca="false">""</f>
        <v/>
      </c>
      <c r="G61" s="2" t="str">
        <f aca="false">IF(2キー同時!$B$6="","",IF(2キー同時!AT8="","",SUBSTITUTE(SUBSTITUTE(2キー同時!AT8," ",""),"　","")))</f>
        <v/>
      </c>
      <c r="H61" s="2" t="str">
        <f aca="false">IF($G61="","",2キー同時!$B$6)</f>
        <v/>
      </c>
      <c r="I61" s="2" t="str">
        <f aca="false">IF($G61="","","-")</f>
        <v/>
      </c>
      <c r="J61" s="2" t="str">
        <f aca="false">""</f>
        <v/>
      </c>
      <c r="K61" s="2" t="str">
        <f aca="false">""</f>
        <v/>
      </c>
      <c r="L61" s="2" t="str">
        <f aca="false">IF($G61="","","同時")</f>
        <v/>
      </c>
      <c r="M61" s="2" t="str">
        <f aca="false">IF($G61="","",IF(ISNA(MATCH($G61,個別指定!$A:$A,0)),"行なし",""))</f>
        <v/>
      </c>
      <c r="N61" s="2" t="str">
        <f aca="false">IF($G61="","",IF(COUNTIF($G$2:$G$4460,$G61)&gt;1,"重複",""))</f>
        <v/>
      </c>
    </row>
    <row r="62" customFormat="false" ht="16.5" hidden="false" customHeight="true" outlineLevel="0" collapsed="false">
      <c r="A62" s="2" t="s">
        <v>385</v>
      </c>
      <c r="B62" s="2" t="s">
        <v>386</v>
      </c>
      <c r="C62" s="2" t="s">
        <v>11</v>
      </c>
      <c r="D62" s="2" t="str">
        <f aca="false">IF(2キー同時!$B$6="","",2キー同時!$B$6)</f>
        <v>space</v>
      </c>
      <c r="E62" s="2" t="str">
        <f aca="false">""</f>
        <v/>
      </c>
      <c r="F62" s="2" t="str">
        <f aca="false">""</f>
        <v/>
      </c>
      <c r="G62" s="2" t="str">
        <f aca="false">IF(2キー同時!$B$6="","",IF(2キー同時!AX8="","",SUBSTITUTE(SUBSTITUTE(2キー同時!AX8," ",""),"　","")))</f>
        <v/>
      </c>
      <c r="H62" s="2" t="str">
        <f aca="false">IF($G62="","",2キー同時!$B$6)</f>
        <v/>
      </c>
      <c r="I62" s="2" t="str">
        <f aca="false">IF($G62="","","=")</f>
        <v/>
      </c>
      <c r="J62" s="2" t="str">
        <f aca="false">""</f>
        <v/>
      </c>
      <c r="K62" s="2" t="str">
        <f aca="false">""</f>
        <v/>
      </c>
      <c r="L62" s="2" t="str">
        <f aca="false">IF($G62="","","同時")</f>
        <v/>
      </c>
      <c r="M62" s="2" t="str">
        <f aca="false">IF($G62="","",IF(ISNA(MATCH($G62,個別指定!$A:$A,0)),"行なし",""))</f>
        <v/>
      </c>
      <c r="N62" s="2" t="str">
        <f aca="false">IF($G62="","",IF(COUNTIF($G$2:$G$4460,$G62)&gt;1,"重複",""))</f>
        <v/>
      </c>
    </row>
    <row r="63" customFormat="false" ht="16.5" hidden="false" customHeight="true" outlineLevel="0" collapsed="false">
      <c r="A63" s="2" t="s">
        <v>385</v>
      </c>
      <c r="B63" s="2" t="s">
        <v>386</v>
      </c>
      <c r="C63" s="2" t="s">
        <v>12</v>
      </c>
      <c r="D63" s="2" t="str">
        <f aca="false">IF(2キー同時!$B$6="","",2キー同時!$B$6)</f>
        <v>space</v>
      </c>
      <c r="E63" s="2" t="str">
        <f aca="false">""</f>
        <v/>
      </c>
      <c r="F63" s="2" t="str">
        <f aca="false">""</f>
        <v/>
      </c>
      <c r="G63" s="2" t="str">
        <f aca="false">IF(2キー同時!$B$6="","",IF(2キー同時!H10="","",SUBSTITUTE(SUBSTITUTE(2キー同時!H10," ",""),"　","")))</f>
        <v/>
      </c>
      <c r="H63" s="2" t="str">
        <f aca="false">IF($G63="","",2キー同時!$B$6)</f>
        <v/>
      </c>
      <c r="I63" s="2" t="str">
        <f aca="false">IF($G63="","","q")</f>
        <v/>
      </c>
      <c r="J63" s="2" t="str">
        <f aca="false">""</f>
        <v/>
      </c>
      <c r="K63" s="2" t="str">
        <f aca="false">""</f>
        <v/>
      </c>
      <c r="L63" s="2" t="str">
        <f aca="false">IF($G63="","","同時")</f>
        <v/>
      </c>
      <c r="M63" s="2" t="str">
        <f aca="false">IF($G63="","",IF(ISNA(MATCH($G63,個別指定!$A:$A,0)),"行なし",""))</f>
        <v/>
      </c>
      <c r="N63" s="2" t="str">
        <f aca="false">IF($G63="","",IF(COUNTIF($G$2:$G$4460,$G63)&gt;1,"重複",""))</f>
        <v/>
      </c>
    </row>
    <row r="64" customFormat="false" ht="16.5" hidden="false" customHeight="true" outlineLevel="0" collapsed="false">
      <c r="A64" s="2" t="s">
        <v>385</v>
      </c>
      <c r="B64" s="2" t="s">
        <v>386</v>
      </c>
      <c r="C64" s="2" t="s">
        <v>13</v>
      </c>
      <c r="D64" s="2" t="str">
        <f aca="false">IF(2キー同時!$B$6="","",2キー同時!$B$6)</f>
        <v>space</v>
      </c>
      <c r="E64" s="2" t="str">
        <f aca="false">""</f>
        <v/>
      </c>
      <c r="F64" s="2" t="str">
        <f aca="false">""</f>
        <v/>
      </c>
      <c r="G64" s="2" t="str">
        <f aca="false">IF(2キー同時!$B$6="","",IF(2キー同時!L10="","",SUBSTITUTE(SUBSTITUTE(2キー同時!L10," ",""),"　","")))</f>
        <v>め</v>
      </c>
      <c r="H64" s="2" t="str">
        <f aca="false">IF($G64="","",2キー同時!$B$6)</f>
        <v>space</v>
      </c>
      <c r="I64" s="2" t="str">
        <f aca="false">IF($G64="","","w")</f>
        <v>w</v>
      </c>
      <c r="J64" s="2" t="str">
        <f aca="false">""</f>
        <v/>
      </c>
      <c r="K64" s="2" t="str">
        <f aca="false">""</f>
        <v/>
      </c>
      <c r="L64" s="2" t="str">
        <f aca="false">IF($G64="","","同時")</f>
        <v>同時</v>
      </c>
      <c r="M64" s="2" t="str">
        <f aca="false">IF($G64="","",IF(ISNA(MATCH($G64,個別指定!$A:$A,0)),"行なし",""))</f>
        <v/>
      </c>
      <c r="N64" s="2" t="str">
        <f aca="false">IF($G64="","",IF(COUNTIF($G$2:$G$4460,$G64)&gt;1,"重複",""))</f>
        <v/>
      </c>
    </row>
    <row r="65" customFormat="false" ht="16.5" hidden="false" customHeight="true" outlineLevel="0" collapsed="false">
      <c r="A65" s="2" t="s">
        <v>385</v>
      </c>
      <c r="B65" s="2" t="s">
        <v>386</v>
      </c>
      <c r="C65" s="2" t="s">
        <v>14</v>
      </c>
      <c r="D65" s="2" t="str">
        <f aca="false">IF(2キー同時!$B$6="","",2キー同時!$B$6)</f>
        <v>space</v>
      </c>
      <c r="E65" s="2" t="str">
        <f aca="false">""</f>
        <v/>
      </c>
      <c r="F65" s="2" t="str">
        <f aca="false">""</f>
        <v/>
      </c>
      <c r="G65" s="2" t="str">
        <f aca="false">IF(2キー同時!$B$6="","",IF(2キー同時!P10="","",SUBSTITUTE(SUBSTITUTE(2キー同時!P10," ",""),"　","")))</f>
        <v>り</v>
      </c>
      <c r="H65" s="2" t="str">
        <f aca="false">IF($G65="","",2キー同時!$B$6)</f>
        <v>space</v>
      </c>
      <c r="I65" s="2" t="str">
        <f aca="false">IF($G65="","","e")</f>
        <v>e</v>
      </c>
      <c r="J65" s="2" t="str">
        <f aca="false">""</f>
        <v/>
      </c>
      <c r="K65" s="2" t="str">
        <f aca="false">""</f>
        <v/>
      </c>
      <c r="L65" s="2" t="str">
        <f aca="false">IF($G65="","","同時")</f>
        <v>同時</v>
      </c>
      <c r="M65" s="2" t="str">
        <f aca="false">IF($G65="","",IF(ISNA(MATCH($G65,個別指定!$A:$A,0)),"行なし",""))</f>
        <v/>
      </c>
      <c r="N65" s="2" t="str">
        <f aca="false">IF($G65="","",IF(COUNTIF($G$2:$G$4460,$G65)&gt;1,"重複",""))</f>
        <v/>
      </c>
    </row>
    <row r="66" customFormat="false" ht="16.5" hidden="false" customHeight="true" outlineLevel="0" collapsed="false">
      <c r="A66" s="2" t="s">
        <v>385</v>
      </c>
      <c r="B66" s="2" t="s">
        <v>386</v>
      </c>
      <c r="C66" s="2" t="s">
        <v>15</v>
      </c>
      <c r="D66" s="2" t="str">
        <f aca="false">IF(2キー同時!$B$6="","",2キー同時!$B$6)</f>
        <v>space</v>
      </c>
      <c r="E66" s="2" t="str">
        <f aca="false">""</f>
        <v/>
      </c>
      <c r="F66" s="2" t="str">
        <f aca="false">""</f>
        <v/>
      </c>
      <c r="G66" s="2" t="str">
        <f aca="false">IF(2キー同時!$B$6="","",IF(2キー同時!T10="","",SUBSTITUTE(SUBSTITUTE(2キー同時!T10," ",""),"　","")))</f>
        <v>ね</v>
      </c>
      <c r="H66" s="2" t="str">
        <f aca="false">IF($G66="","",2キー同時!$B$6)</f>
        <v>space</v>
      </c>
      <c r="I66" s="2" t="str">
        <f aca="false">IF($G66="","","r")</f>
        <v>r</v>
      </c>
      <c r="J66" s="2" t="str">
        <f aca="false">""</f>
        <v/>
      </c>
      <c r="K66" s="2" t="str">
        <f aca="false">""</f>
        <v/>
      </c>
      <c r="L66" s="2" t="str">
        <f aca="false">IF($G66="","","同時")</f>
        <v>同時</v>
      </c>
      <c r="M66" s="2" t="str">
        <f aca="false">IF($G66="","",IF(ISNA(MATCH($G66,個別指定!$A:$A,0)),"行なし",""))</f>
        <v/>
      </c>
      <c r="N66" s="2" t="str">
        <f aca="false">IF($G66="","",IF(COUNTIF($G$2:$G$4460,$G66)&gt;1,"重複",""))</f>
        <v/>
      </c>
    </row>
    <row r="67" customFormat="false" ht="16.5" hidden="false" customHeight="true" outlineLevel="0" collapsed="false">
      <c r="A67" s="2" t="s">
        <v>385</v>
      </c>
      <c r="B67" s="2" t="s">
        <v>386</v>
      </c>
      <c r="C67" s="2" t="s">
        <v>16</v>
      </c>
      <c r="D67" s="2" t="str">
        <f aca="false">IF(2キー同時!$B$6="","",2キー同時!$B$6)</f>
        <v>space</v>
      </c>
      <c r="E67" s="2" t="str">
        <f aca="false">""</f>
        <v/>
      </c>
      <c r="F67" s="2" t="str">
        <f aca="false">""</f>
        <v/>
      </c>
      <c r="G67" s="2" t="str">
        <f aca="false">IF(2キー同時!$B$6="","",IF(2キー同時!X10="","",SUBSTITUTE(SUBSTITUTE(2キー同時!X10," ",""),"　","")))</f>
        <v/>
      </c>
      <c r="H67" s="2" t="str">
        <f aca="false">IF($G67="","",2キー同時!$B$6)</f>
        <v/>
      </c>
      <c r="I67" s="2" t="str">
        <f aca="false">IF($G67="","","t")</f>
        <v/>
      </c>
      <c r="J67" s="2" t="str">
        <f aca="false">""</f>
        <v/>
      </c>
      <c r="K67" s="2" t="str">
        <f aca="false">""</f>
        <v/>
      </c>
      <c r="L67" s="2" t="str">
        <f aca="false">IF($G67="","","同時")</f>
        <v/>
      </c>
      <c r="M67" s="2" t="str">
        <f aca="false">IF($G67="","",IF(ISNA(MATCH($G67,個別指定!$A:$A,0)),"行なし",""))</f>
        <v/>
      </c>
      <c r="N67" s="2" t="str">
        <f aca="false">IF($G67="","",IF(COUNTIF($G$2:$G$4460,$G67)&gt;1,"重複",""))</f>
        <v/>
      </c>
    </row>
    <row r="68" customFormat="false" ht="16.5" hidden="false" customHeight="true" outlineLevel="0" collapsed="false">
      <c r="A68" s="2" t="s">
        <v>385</v>
      </c>
      <c r="B68" s="2" t="s">
        <v>386</v>
      </c>
      <c r="C68" s="2" t="s">
        <v>17</v>
      </c>
      <c r="D68" s="2" t="str">
        <f aca="false">IF(2キー同時!$B$6="","",2キー同時!$B$6)</f>
        <v>space</v>
      </c>
      <c r="E68" s="2" t="str">
        <f aca="false">""</f>
        <v/>
      </c>
      <c r="F68" s="2" t="str">
        <f aca="false">""</f>
        <v/>
      </c>
      <c r="G68" s="2" t="str">
        <f aca="false">IF(2キー同時!$B$6="","",IF(2キー同時!AB10="","",SUBSTITUTE(SUBSTITUTE(2キー同時!AB10," ",""),"　","")))</f>
        <v/>
      </c>
      <c r="H68" s="2" t="str">
        <f aca="false">IF($G68="","",2キー同時!$B$6)</f>
        <v/>
      </c>
      <c r="I68" s="2" t="str">
        <f aca="false">IF($G68="","","y")</f>
        <v/>
      </c>
      <c r="J68" s="2" t="str">
        <f aca="false">""</f>
        <v/>
      </c>
      <c r="K68" s="2" t="str">
        <f aca="false">""</f>
        <v/>
      </c>
      <c r="L68" s="2" t="str">
        <f aca="false">IF($G68="","","同時")</f>
        <v/>
      </c>
      <c r="M68" s="2" t="str">
        <f aca="false">IF($G68="","",IF(ISNA(MATCH($G68,個別指定!$A:$A,0)),"行なし",""))</f>
        <v/>
      </c>
      <c r="N68" s="2" t="str">
        <f aca="false">IF($G68="","",IF(COUNTIF($G$2:$G$4460,$G68)&gt;1,"重複",""))</f>
        <v/>
      </c>
    </row>
    <row r="69" customFormat="false" ht="16.5" hidden="false" customHeight="true" outlineLevel="0" collapsed="false">
      <c r="A69" s="2" t="s">
        <v>385</v>
      </c>
      <c r="B69" s="2" t="s">
        <v>386</v>
      </c>
      <c r="C69" s="2" t="s">
        <v>18</v>
      </c>
      <c r="D69" s="2" t="str">
        <f aca="false">IF(2キー同時!$B$6="","",2キー同時!$B$6)</f>
        <v>space</v>
      </c>
      <c r="E69" s="2" t="str">
        <f aca="false">""</f>
        <v/>
      </c>
      <c r="F69" s="2" t="str">
        <f aca="false">""</f>
        <v/>
      </c>
      <c r="G69" s="2" t="str">
        <f aca="false">IF(2キー同時!$B$6="","",IF(2キー同時!AF10="","",SUBSTITUTE(SUBSTITUTE(2キー同時!AF10," ",""),"　","")))</f>
        <v>さ</v>
      </c>
      <c r="H69" s="2" t="str">
        <f aca="false">IF($G69="","",2キー同時!$B$6)</f>
        <v>space</v>
      </c>
      <c r="I69" s="2" t="str">
        <f aca="false">IF($G69="","","u")</f>
        <v>u</v>
      </c>
      <c r="J69" s="2" t="str">
        <f aca="false">""</f>
        <v/>
      </c>
      <c r="K69" s="2" t="str">
        <f aca="false">""</f>
        <v/>
      </c>
      <c r="L69" s="2" t="str">
        <f aca="false">IF($G69="","","同時")</f>
        <v>同時</v>
      </c>
      <c r="M69" s="2" t="str">
        <f aca="false">IF($G69="","",IF(ISNA(MATCH($G69,個別指定!$A:$A,0)),"行なし",""))</f>
        <v/>
      </c>
      <c r="N69" s="2" t="str">
        <f aca="false">IF($G69="","",IF(COUNTIF($G$2:$G$4460,$G69)&gt;1,"重複",""))</f>
        <v/>
      </c>
    </row>
    <row r="70" customFormat="false" ht="16.5" hidden="false" customHeight="true" outlineLevel="0" collapsed="false">
      <c r="A70" s="2" t="s">
        <v>385</v>
      </c>
      <c r="B70" s="2" t="s">
        <v>386</v>
      </c>
      <c r="C70" s="2" t="s">
        <v>19</v>
      </c>
      <c r="D70" s="2" t="str">
        <f aca="false">IF(2キー同時!$B$6="","",2キー同時!$B$6)</f>
        <v>space</v>
      </c>
      <c r="E70" s="2" t="str">
        <f aca="false">""</f>
        <v/>
      </c>
      <c r="F70" s="2" t="str">
        <f aca="false">""</f>
        <v/>
      </c>
      <c r="G70" s="2" t="str">
        <f aca="false">IF(2キー同時!$B$6="","",IF(2キー同時!AJ10="","",SUBSTITUTE(SUBSTITUTE(2キー同時!AJ10," ",""),"　","")))</f>
        <v>よ</v>
      </c>
      <c r="H70" s="2" t="str">
        <f aca="false">IF($G70="","",2キー同時!$B$6)</f>
        <v>space</v>
      </c>
      <c r="I70" s="2" t="str">
        <f aca="false">IF($G70="","","i")</f>
        <v>i</v>
      </c>
      <c r="J70" s="2" t="str">
        <f aca="false">""</f>
        <v/>
      </c>
      <c r="K70" s="2" t="str">
        <f aca="false">""</f>
        <v/>
      </c>
      <c r="L70" s="2" t="str">
        <f aca="false">IF($G70="","","同時")</f>
        <v>同時</v>
      </c>
      <c r="M70" s="2" t="str">
        <f aca="false">IF($G70="","",IF(ISNA(MATCH($G70,個別指定!$A:$A,0)),"行なし",""))</f>
        <v/>
      </c>
      <c r="N70" s="2" t="str">
        <f aca="false">IF($G70="","",IF(COUNTIF($G$2:$G$4460,$G70)&gt;1,"重複",""))</f>
        <v/>
      </c>
    </row>
    <row r="71" customFormat="false" ht="16.5" hidden="false" customHeight="true" outlineLevel="0" collapsed="false">
      <c r="A71" s="2" t="s">
        <v>385</v>
      </c>
      <c r="B71" s="2" t="s">
        <v>386</v>
      </c>
      <c r="C71" s="2" t="s">
        <v>20</v>
      </c>
      <c r="D71" s="2" t="str">
        <f aca="false">IF(2キー同時!$B$6="","",2キー同時!$B$6)</f>
        <v>space</v>
      </c>
      <c r="E71" s="2" t="str">
        <f aca="false">""</f>
        <v/>
      </c>
      <c r="F71" s="2" t="str">
        <f aca="false">""</f>
        <v/>
      </c>
      <c r="G71" s="2" t="str">
        <f aca="false">IF(2キー同時!$B$6="","",IF(2キー同時!AN10="","",SUBSTITUTE(SUBSTITUTE(2キー同時!AN10," ",""),"　","")))</f>
        <v>え</v>
      </c>
      <c r="H71" s="2" t="str">
        <f aca="false">IF($G71="","",2キー同時!$B$6)</f>
        <v>space</v>
      </c>
      <c r="I71" s="2" t="str">
        <f aca="false">IF($G71="","","o")</f>
        <v>o</v>
      </c>
      <c r="J71" s="2" t="str">
        <f aca="false">""</f>
        <v/>
      </c>
      <c r="K71" s="2" t="str">
        <f aca="false">""</f>
        <v/>
      </c>
      <c r="L71" s="2" t="str">
        <f aca="false">IF($G71="","","同時")</f>
        <v>同時</v>
      </c>
      <c r="M71" s="2" t="str">
        <f aca="false">IF($G71="","",IF(ISNA(MATCH($G71,個別指定!$A:$A,0)),"行なし",""))</f>
        <v/>
      </c>
      <c r="N71" s="2" t="str">
        <f aca="false">IF($G71="","",IF(COUNTIF($G$2:$G$4460,$G71)&gt;1,"重複",""))</f>
        <v/>
      </c>
    </row>
    <row r="72" customFormat="false" ht="16.5" hidden="false" customHeight="true" outlineLevel="0" collapsed="false">
      <c r="A72" s="2" t="s">
        <v>385</v>
      </c>
      <c r="B72" s="2" t="s">
        <v>386</v>
      </c>
      <c r="C72" s="2" t="s">
        <v>21</v>
      </c>
      <c r="D72" s="2" t="str">
        <f aca="false">IF(2キー同時!$B$6="","",2キー同時!$B$6)</f>
        <v>space</v>
      </c>
      <c r="E72" s="2" t="str">
        <f aca="false">""</f>
        <v/>
      </c>
      <c r="F72" s="2" t="str">
        <f aca="false">""</f>
        <v/>
      </c>
      <c r="G72" s="2" t="str">
        <f aca="false">IF(2キー同時!$B$6="","",IF(2キー同時!AR10="","",SUBSTITUTE(SUBSTITUTE(2キー同時!AR10," ",""),"　","")))</f>
        <v>ゆ</v>
      </c>
      <c r="H72" s="2" t="str">
        <f aca="false">IF($G72="","",2キー同時!$B$6)</f>
        <v>space</v>
      </c>
      <c r="I72" s="2" t="str">
        <f aca="false">IF($G72="","","p")</f>
        <v>p</v>
      </c>
      <c r="J72" s="2" t="str">
        <f aca="false">""</f>
        <v/>
      </c>
      <c r="K72" s="2" t="str">
        <f aca="false">""</f>
        <v/>
      </c>
      <c r="L72" s="2" t="str">
        <f aca="false">IF($G72="","","同時")</f>
        <v>同時</v>
      </c>
      <c r="M72" s="2" t="str">
        <f aca="false">IF($G72="","",IF(ISNA(MATCH($G72,個別指定!$A:$A,0)),"行なし",""))</f>
        <v/>
      </c>
      <c r="N72" s="2" t="str">
        <f aca="false">IF($G72="","",IF(COUNTIF($G$2:$G$4460,$G72)&gt;1,"重複",""))</f>
        <v/>
      </c>
    </row>
    <row r="73" customFormat="false" ht="16.5" hidden="false" customHeight="true" outlineLevel="0" collapsed="false">
      <c r="A73" s="2" t="s">
        <v>385</v>
      </c>
      <c r="B73" s="2" t="s">
        <v>386</v>
      </c>
      <c r="C73" s="2" t="s">
        <v>22</v>
      </c>
      <c r="D73" s="2" t="str">
        <f aca="false">IF(2キー同時!$B$6="","",2キー同時!$B$6)</f>
        <v>space</v>
      </c>
      <c r="E73" s="2" t="str">
        <f aca="false">""</f>
        <v/>
      </c>
      <c r="F73" s="2" t="str">
        <f aca="false">""</f>
        <v/>
      </c>
      <c r="G73" s="2" t="str">
        <f aca="false">IF(2キー同時!$B$6="","",IF(2キー同時!AV10="","",SUBSTITUTE(SUBSTITUTE(2キー同時!AV10," ",""),"　","")))</f>
        <v/>
      </c>
      <c r="H73" s="2" t="str">
        <f aca="false">IF($G73="","",2キー同時!$B$6)</f>
        <v/>
      </c>
      <c r="I73" s="2" t="str">
        <f aca="false">IF($G73="","","[")</f>
        <v/>
      </c>
      <c r="J73" s="2" t="str">
        <f aca="false">""</f>
        <v/>
      </c>
      <c r="K73" s="2" t="str">
        <f aca="false">""</f>
        <v/>
      </c>
      <c r="L73" s="2" t="str">
        <f aca="false">IF($G73="","","同時")</f>
        <v/>
      </c>
      <c r="M73" s="2" t="str">
        <f aca="false">IF($G73="","",IF(ISNA(MATCH($G73,個別指定!$A:$A,0)),"行なし",""))</f>
        <v/>
      </c>
      <c r="N73" s="2" t="str">
        <f aca="false">IF($G73="","",IF(COUNTIF($G$2:$G$4460,$G73)&gt;1,"重複",""))</f>
        <v/>
      </c>
    </row>
    <row r="74" customFormat="false" ht="16.5" hidden="false" customHeight="true" outlineLevel="0" collapsed="false">
      <c r="A74" s="2" t="s">
        <v>385</v>
      </c>
      <c r="B74" s="2" t="s">
        <v>386</v>
      </c>
      <c r="C74" s="2" t="s">
        <v>23</v>
      </c>
      <c r="D74" s="2" t="str">
        <f aca="false">IF(2キー同時!$B$6="","",2キー同時!$B$6)</f>
        <v>space</v>
      </c>
      <c r="E74" s="2" t="str">
        <f aca="false">""</f>
        <v/>
      </c>
      <c r="F74" s="2" t="str">
        <f aca="false">""</f>
        <v/>
      </c>
      <c r="G74" s="2" t="str">
        <f aca="false">IF(2キー同時!$B$6="","",IF(2キー同時!AZ10="","",SUBSTITUTE(SUBSTITUTE(2キー同時!AZ10," ",""),"　","")))</f>
        <v/>
      </c>
      <c r="H74" s="2" t="str">
        <f aca="false">IF($G74="","",2キー同時!$B$6)</f>
        <v/>
      </c>
      <c r="I74" s="2" t="str">
        <f aca="false">IF($G74="","","]")</f>
        <v/>
      </c>
      <c r="J74" s="2" t="str">
        <f aca="false">""</f>
        <v/>
      </c>
      <c r="K74" s="2" t="str">
        <f aca="false">""</f>
        <v/>
      </c>
      <c r="L74" s="2" t="str">
        <f aca="false">IF($G74="","","同時")</f>
        <v/>
      </c>
      <c r="M74" s="2" t="str">
        <f aca="false">IF($G74="","",IF(ISNA(MATCH($G74,個別指定!$A:$A,0)),"行なし",""))</f>
        <v/>
      </c>
      <c r="N74" s="2" t="str">
        <f aca="false">IF($G74="","",IF(COUNTIF($G$2:$G$4460,$G74)&gt;1,"重複",""))</f>
        <v/>
      </c>
    </row>
    <row r="75" customFormat="false" ht="16.5" hidden="false" customHeight="true" outlineLevel="0" collapsed="false">
      <c r="A75" s="2" t="s">
        <v>385</v>
      </c>
      <c r="B75" s="2" t="s">
        <v>386</v>
      </c>
      <c r="C75" s="2" t="s">
        <v>24</v>
      </c>
      <c r="D75" s="2" t="str">
        <f aca="false">IF(2キー同時!$B$6="","",2キー同時!$B$6)</f>
        <v>space</v>
      </c>
      <c r="E75" s="2" t="str">
        <f aca="false">""</f>
        <v/>
      </c>
      <c r="F75" s="2" t="str">
        <f aca="false">""</f>
        <v/>
      </c>
      <c r="G75" s="2" t="str">
        <f aca="false">IF(2キー同時!$B$6="","",IF(2キー同時!I12="","",SUBSTITUTE(SUBSTITUTE(2キー同時!I12," ",""),"　","")))</f>
        <v>せ</v>
      </c>
      <c r="H75" s="2" t="str">
        <f aca="false">IF($G75="","",2キー同時!$B$6)</f>
        <v>space</v>
      </c>
      <c r="I75" s="2" t="str">
        <f aca="false">IF($G75="","","a")</f>
        <v>a</v>
      </c>
      <c r="J75" s="2" t="str">
        <f aca="false">""</f>
        <v/>
      </c>
      <c r="K75" s="2" t="str">
        <f aca="false">""</f>
        <v/>
      </c>
      <c r="L75" s="2" t="str">
        <f aca="false">IF($G75="","","同時")</f>
        <v>同時</v>
      </c>
      <c r="M75" s="2" t="str">
        <f aca="false">IF($G75="","",IF(ISNA(MATCH($G75,個別指定!$A:$A,0)),"行なし",""))</f>
        <v/>
      </c>
      <c r="N75" s="2" t="str">
        <f aca="false">IF($G75="","",IF(COUNTIF($G$2:$G$4460,$G75)&gt;1,"重複",""))</f>
        <v/>
      </c>
    </row>
    <row r="76" customFormat="false" ht="16.5" hidden="false" customHeight="true" outlineLevel="0" collapsed="false">
      <c r="A76" s="2" t="s">
        <v>385</v>
      </c>
      <c r="B76" s="2" t="s">
        <v>386</v>
      </c>
      <c r="C76" s="2" t="s">
        <v>25</v>
      </c>
      <c r="D76" s="2" t="str">
        <f aca="false">IF(2キー同時!$B$6="","",2キー同時!$B$6)</f>
        <v>space</v>
      </c>
      <c r="E76" s="2" t="str">
        <f aca="false">""</f>
        <v/>
      </c>
      <c r="F76" s="2" t="str">
        <f aca="false">""</f>
        <v/>
      </c>
      <c r="G76" s="2" t="str">
        <f aca="false">IF(2キー同時!$B$6="","",IF(2キー同時!M12="","",SUBSTITUTE(SUBSTITUTE(2キー同時!M12," ",""),"　","")))</f>
        <v>み</v>
      </c>
      <c r="H76" s="2" t="str">
        <f aca="false">IF($G76="","",2キー同時!$B$6)</f>
        <v>space</v>
      </c>
      <c r="I76" s="2" t="str">
        <f aca="false">IF($G76="","","s")</f>
        <v>s</v>
      </c>
      <c r="J76" s="2" t="str">
        <f aca="false">""</f>
        <v/>
      </c>
      <c r="K76" s="2" t="str">
        <f aca="false">""</f>
        <v/>
      </c>
      <c r="L76" s="2" t="str">
        <f aca="false">IF($G76="","","同時")</f>
        <v>同時</v>
      </c>
      <c r="M76" s="2" t="str">
        <f aca="false">IF($G76="","",IF(ISNA(MATCH($G76,個別指定!$A:$A,0)),"行なし",""))</f>
        <v/>
      </c>
      <c r="N76" s="2" t="str">
        <f aca="false">IF($G76="","",IF(COUNTIF($G$2:$G$4460,$G76)&gt;1,"重複",""))</f>
        <v/>
      </c>
    </row>
    <row r="77" customFormat="false" ht="16.5" hidden="false" customHeight="true" outlineLevel="0" collapsed="false">
      <c r="A77" s="2" t="s">
        <v>385</v>
      </c>
      <c r="B77" s="2" t="s">
        <v>386</v>
      </c>
      <c r="C77" s="2" t="s">
        <v>26</v>
      </c>
      <c r="D77" s="2" t="str">
        <f aca="false">IF(2キー同時!$B$6="","",2キー同時!$B$6)</f>
        <v>space</v>
      </c>
      <c r="E77" s="2" t="str">
        <f aca="false">""</f>
        <v/>
      </c>
      <c r="F77" s="2" t="str">
        <f aca="false">""</f>
        <v/>
      </c>
      <c r="G77" s="2" t="str">
        <f aca="false">IF(2キー同時!$B$6="","",IF(2キー同時!Q12="","",SUBSTITUTE(SUBSTITUTE(2キー同時!Q12," ",""),"　","")))</f>
        <v>に</v>
      </c>
      <c r="H77" s="2" t="str">
        <f aca="false">IF($G77="","",2キー同時!$B$6)</f>
        <v>space</v>
      </c>
      <c r="I77" s="2" t="str">
        <f aca="false">IF($G77="","","d")</f>
        <v>d</v>
      </c>
      <c r="J77" s="2" t="str">
        <f aca="false">""</f>
        <v/>
      </c>
      <c r="K77" s="2" t="str">
        <f aca="false">""</f>
        <v/>
      </c>
      <c r="L77" s="2" t="str">
        <f aca="false">IF($G77="","","同時")</f>
        <v>同時</v>
      </c>
      <c r="M77" s="2" t="str">
        <f aca="false">IF($G77="","",IF(ISNA(MATCH($G77,個別指定!$A:$A,0)),"行なし",""))</f>
        <v/>
      </c>
      <c r="N77" s="2" t="str">
        <f aca="false">IF($G77="","",IF(COUNTIF($G$2:$G$4460,$G77)&gt;1,"重複",""))</f>
        <v/>
      </c>
    </row>
    <row r="78" customFormat="false" ht="16.5" hidden="false" customHeight="true" outlineLevel="0" collapsed="false">
      <c r="A78" s="2" t="s">
        <v>385</v>
      </c>
      <c r="B78" s="2" t="s">
        <v>386</v>
      </c>
      <c r="C78" s="2" t="s">
        <v>27</v>
      </c>
      <c r="D78" s="2" t="str">
        <f aca="false">IF(2キー同時!$B$6="","",2キー同時!$B$6)</f>
        <v>space</v>
      </c>
      <c r="E78" s="2" t="str">
        <f aca="false">""</f>
        <v/>
      </c>
      <c r="F78" s="2" t="str">
        <f aca="false">""</f>
        <v/>
      </c>
      <c r="G78" s="2" t="str">
        <f aca="false">IF(2キー同時!$B$6="","",IF(2キー同時!U12="","",SUBSTITUTE(SUBSTITUTE(2キー同時!U12," ",""),"　","")))</f>
        <v>ま</v>
      </c>
      <c r="H78" s="2" t="str">
        <f aca="false">IF($G78="","",2キー同時!$B$6)</f>
        <v>space</v>
      </c>
      <c r="I78" s="2" t="str">
        <f aca="false">IF($G78="","","f")</f>
        <v>f</v>
      </c>
      <c r="J78" s="2" t="str">
        <f aca="false">""</f>
        <v/>
      </c>
      <c r="K78" s="2" t="str">
        <f aca="false">""</f>
        <v/>
      </c>
      <c r="L78" s="2" t="str">
        <f aca="false">IF($G78="","","同時")</f>
        <v>同時</v>
      </c>
      <c r="M78" s="2" t="str">
        <f aca="false">IF($G78="","",IF(ISNA(MATCH($G78,個別指定!$A:$A,0)),"行なし",""))</f>
        <v/>
      </c>
      <c r="N78" s="2" t="str">
        <f aca="false">IF($G78="","",IF(COUNTIF($G$2:$G$4460,$G78)&gt;1,"重複",""))</f>
        <v/>
      </c>
    </row>
    <row r="79" customFormat="false" ht="16.5" hidden="false" customHeight="true" outlineLevel="0" collapsed="false">
      <c r="A79" s="2" t="s">
        <v>385</v>
      </c>
      <c r="B79" s="2" t="s">
        <v>386</v>
      </c>
      <c r="C79" s="2" t="s">
        <v>28</v>
      </c>
      <c r="D79" s="2" t="str">
        <f aca="false">IF(2キー同時!$B$6="","",2キー同時!$B$6)</f>
        <v>space</v>
      </c>
      <c r="E79" s="2" t="str">
        <f aca="false">""</f>
        <v/>
      </c>
      <c r="F79" s="2" t="str">
        <f aca="false">""</f>
        <v/>
      </c>
      <c r="G79" s="2" t="str">
        <f aca="false">IF(2キー同時!$B$6="","",IF(2キー同時!Y12="","",SUBSTITUTE(SUBSTITUTE(2キー同時!Y12," ",""),"　","")))</f>
        <v>ち</v>
      </c>
      <c r="H79" s="2" t="str">
        <f aca="false">IF($G79="","",2キー同時!$B$6)</f>
        <v>space</v>
      </c>
      <c r="I79" s="2" t="str">
        <f aca="false">IF($G79="","","g")</f>
        <v>g</v>
      </c>
      <c r="J79" s="2" t="str">
        <f aca="false">""</f>
        <v/>
      </c>
      <c r="K79" s="2" t="str">
        <f aca="false">""</f>
        <v/>
      </c>
      <c r="L79" s="2" t="str">
        <f aca="false">IF($G79="","","同時")</f>
        <v>同時</v>
      </c>
      <c r="M79" s="2" t="str">
        <f aca="false">IF($G79="","",IF(ISNA(MATCH($G79,個別指定!$A:$A,0)),"行なし",""))</f>
        <v/>
      </c>
      <c r="N79" s="2" t="str">
        <f aca="false">IF($G79="","",IF(COUNTIF($G$2:$G$4460,$G79)&gt;1,"重複",""))</f>
        <v/>
      </c>
    </row>
    <row r="80" customFormat="false" ht="16.5" hidden="false" customHeight="true" outlineLevel="0" collapsed="false">
      <c r="A80" s="2" t="s">
        <v>385</v>
      </c>
      <c r="B80" s="2" t="s">
        <v>386</v>
      </c>
      <c r="C80" s="2" t="s">
        <v>29</v>
      </c>
      <c r="D80" s="2" t="str">
        <f aca="false">IF(2キー同時!$B$6="","",2キー同時!$B$6)</f>
        <v>space</v>
      </c>
      <c r="E80" s="2" t="str">
        <f aca="false">""</f>
        <v/>
      </c>
      <c r="F80" s="2" t="str">
        <f aca="false">""</f>
        <v/>
      </c>
      <c r="G80" s="2" t="str">
        <f aca="false">IF(2キー同時!$B$6="","",IF(2キー同時!AC12="","",SUBSTITUTE(SUBSTITUTE(2キー同時!AC12," ",""),"　","")))</f>
        <v>や</v>
      </c>
      <c r="H80" s="2" t="str">
        <f aca="false">IF($G80="","",2キー同時!$B$6)</f>
        <v>space</v>
      </c>
      <c r="I80" s="2" t="str">
        <f aca="false">IF($G80="","","h")</f>
        <v>h</v>
      </c>
      <c r="J80" s="2" t="str">
        <f aca="false">""</f>
        <v/>
      </c>
      <c r="K80" s="2" t="str">
        <f aca="false">""</f>
        <v/>
      </c>
      <c r="L80" s="2" t="str">
        <f aca="false">IF($G80="","","同時")</f>
        <v>同時</v>
      </c>
      <c r="M80" s="2" t="str">
        <f aca="false">IF($G80="","",IF(ISNA(MATCH($G80,個別指定!$A:$A,0)),"行なし",""))</f>
        <v/>
      </c>
      <c r="N80" s="2" t="str">
        <f aca="false">IF($G80="","",IF(COUNTIF($G$2:$G$4460,$G80)&gt;1,"重複",""))</f>
        <v/>
      </c>
    </row>
    <row r="81" customFormat="false" ht="16.5" hidden="false" customHeight="true" outlineLevel="0" collapsed="false">
      <c r="A81" s="2" t="s">
        <v>385</v>
      </c>
      <c r="B81" s="2" t="s">
        <v>386</v>
      </c>
      <c r="C81" s="2" t="s">
        <v>30</v>
      </c>
      <c r="D81" s="2" t="str">
        <f aca="false">IF(2キー同時!$B$6="","",2キー同時!$B$6)</f>
        <v>space</v>
      </c>
      <c r="E81" s="2" t="str">
        <f aca="false">""</f>
        <v/>
      </c>
      <c r="F81" s="2" t="str">
        <f aca="false">""</f>
        <v/>
      </c>
      <c r="G81" s="2" t="str">
        <f aca="false">IF(2キー同時!$B$6="","",IF(2キー同時!AG12="","",SUBSTITUTE(SUBSTITUTE(2キー同時!AG12," ",""),"　","")))</f>
        <v>の</v>
      </c>
      <c r="H81" s="2" t="str">
        <f aca="false">IF($G81="","",2キー同時!$B$6)</f>
        <v>space</v>
      </c>
      <c r="I81" s="2" t="str">
        <f aca="false">IF($G81="","","j")</f>
        <v>j</v>
      </c>
      <c r="J81" s="2" t="str">
        <f aca="false">""</f>
        <v/>
      </c>
      <c r="K81" s="2" t="str">
        <f aca="false">""</f>
        <v/>
      </c>
      <c r="L81" s="2" t="str">
        <f aca="false">IF($G81="","","同時")</f>
        <v>同時</v>
      </c>
      <c r="M81" s="2" t="str">
        <f aca="false">IF($G81="","",IF(ISNA(MATCH($G81,個別指定!$A:$A,0)),"行なし",""))</f>
        <v/>
      </c>
      <c r="N81" s="2" t="str">
        <f aca="false">IF($G81="","",IF(COUNTIF($G$2:$G$4460,$G81)&gt;1,"重複",""))</f>
        <v/>
      </c>
    </row>
    <row r="82" customFormat="false" ht="16.5" hidden="false" customHeight="true" outlineLevel="0" collapsed="false">
      <c r="A82" s="2" t="s">
        <v>385</v>
      </c>
      <c r="B82" s="2" t="s">
        <v>386</v>
      </c>
      <c r="C82" s="2" t="s">
        <v>31</v>
      </c>
      <c r="D82" s="2" t="str">
        <f aca="false">IF(2キー同時!$B$6="","",2キー同時!$B$6)</f>
        <v>space</v>
      </c>
      <c r="E82" s="2" t="str">
        <f aca="false">""</f>
        <v/>
      </c>
      <c r="F82" s="2" t="str">
        <f aca="false">""</f>
        <v/>
      </c>
      <c r="G82" s="2" t="str">
        <f aca="false">IF(2キー同時!$B$6="","",IF(2キー同時!AK12="","",SUBSTITUTE(SUBSTITUTE(2キー同時!AK12," ",""),"　","")))</f>
        <v>も</v>
      </c>
      <c r="H82" s="2" t="str">
        <f aca="false">IF($G82="","",2キー同時!$B$6)</f>
        <v>space</v>
      </c>
      <c r="I82" s="2" t="str">
        <f aca="false">IF($G82="","","k")</f>
        <v>k</v>
      </c>
      <c r="J82" s="2" t="str">
        <f aca="false">""</f>
        <v/>
      </c>
      <c r="K82" s="2" t="str">
        <f aca="false">""</f>
        <v/>
      </c>
      <c r="L82" s="2" t="str">
        <f aca="false">IF($G82="","","同時")</f>
        <v>同時</v>
      </c>
      <c r="M82" s="2" t="str">
        <f aca="false">IF($G82="","",IF(ISNA(MATCH($G82,個別指定!$A:$A,0)),"行なし",""))</f>
        <v/>
      </c>
      <c r="N82" s="2" t="str">
        <f aca="false">IF($G82="","",IF(COUNTIF($G$2:$G$4460,$G82)&gt;1,"重複",""))</f>
        <v/>
      </c>
    </row>
    <row r="83" customFormat="false" ht="16.5" hidden="false" customHeight="true" outlineLevel="0" collapsed="false">
      <c r="A83" s="2" t="s">
        <v>385</v>
      </c>
      <c r="B83" s="2" t="s">
        <v>386</v>
      </c>
      <c r="C83" s="2" t="s">
        <v>32</v>
      </c>
      <c r="D83" s="2" t="str">
        <f aca="false">IF(2キー同時!$B$6="","",2キー同時!$B$6)</f>
        <v>space</v>
      </c>
      <c r="E83" s="2" t="str">
        <f aca="false">""</f>
        <v/>
      </c>
      <c r="F83" s="2" t="str">
        <f aca="false">""</f>
        <v/>
      </c>
      <c r="G83" s="2" t="str">
        <f aca="false">IF(2キー同時!$B$6="","",IF(2キー同時!AO12="","",SUBSTITUTE(SUBSTITUTE(2キー同時!AO12," ",""),"　","")))</f>
        <v>つ</v>
      </c>
      <c r="H83" s="2" t="str">
        <f aca="false">IF($G83="","",2キー同時!$B$6)</f>
        <v>space</v>
      </c>
      <c r="I83" s="2" t="str">
        <f aca="false">IF($G83="","","l")</f>
        <v>l</v>
      </c>
      <c r="J83" s="2" t="str">
        <f aca="false">""</f>
        <v/>
      </c>
      <c r="K83" s="2" t="str">
        <f aca="false">""</f>
        <v/>
      </c>
      <c r="L83" s="2" t="str">
        <f aca="false">IF($G83="","","同時")</f>
        <v>同時</v>
      </c>
      <c r="M83" s="2" t="str">
        <f aca="false">IF($G83="","",IF(ISNA(MATCH($G83,個別指定!$A:$A,0)),"行なし",""))</f>
        <v/>
      </c>
      <c r="N83" s="2" t="str">
        <f aca="false">IF($G83="","",IF(COUNTIF($G$2:$G$4460,$G83)&gt;1,"重複",""))</f>
        <v/>
      </c>
    </row>
    <row r="84" customFormat="false" ht="16.5" hidden="false" customHeight="true" outlineLevel="0" collapsed="false">
      <c r="A84" s="2" t="s">
        <v>385</v>
      </c>
      <c r="B84" s="2" t="s">
        <v>386</v>
      </c>
      <c r="C84" s="2" t="s">
        <v>33</v>
      </c>
      <c r="D84" s="2" t="str">
        <f aca="false">IF(2キー同時!$B$6="","",2キー同時!$B$6)</f>
        <v>space</v>
      </c>
      <c r="E84" s="2" t="str">
        <f aca="false">""</f>
        <v/>
      </c>
      <c r="F84" s="2" t="str">
        <f aca="false">""</f>
        <v/>
      </c>
      <c r="G84" s="2" t="str">
        <f aca="false">IF(2キー同時!$B$6="","",IF(2キー同時!AS12="","",SUBSTITUTE(SUBSTITUTE(2キー同時!AS12," ",""),"　","")))</f>
        <v>ふ</v>
      </c>
      <c r="H84" s="2" t="str">
        <f aca="false">IF($G84="","",2キー同時!$B$6)</f>
        <v>space</v>
      </c>
      <c r="I84" s="2" t="str">
        <f aca="false">IF($G84="","",";")</f>
        <v>;</v>
      </c>
      <c r="J84" s="2" t="str">
        <f aca="false">""</f>
        <v/>
      </c>
      <c r="K84" s="2" t="str">
        <f aca="false">""</f>
        <v/>
      </c>
      <c r="L84" s="2" t="str">
        <f aca="false">IF($G84="","","同時")</f>
        <v>同時</v>
      </c>
      <c r="M84" s="2" t="str">
        <f aca="false">IF($G84="","",IF(ISNA(MATCH($G84,個別指定!$A:$A,0)),"行なし",""))</f>
        <v/>
      </c>
      <c r="N84" s="2" t="str">
        <f aca="false">IF($G84="","",IF(COUNTIF($G$2:$G$4460,$G84)&gt;1,"重複",""))</f>
        <v/>
      </c>
    </row>
    <row r="85" customFormat="false" ht="16.5" hidden="false" customHeight="true" outlineLevel="0" collapsed="false">
      <c r="A85" s="2" t="s">
        <v>385</v>
      </c>
      <c r="B85" s="2" t="s">
        <v>386</v>
      </c>
      <c r="C85" s="2" t="s">
        <v>34</v>
      </c>
      <c r="D85" s="2" t="str">
        <f aca="false">IF(2キー同時!$B$6="","",2キー同時!$B$6)</f>
        <v>space</v>
      </c>
      <c r="E85" s="2" t="str">
        <f aca="false">""</f>
        <v/>
      </c>
      <c r="F85" s="2" t="str">
        <f aca="false">""</f>
        <v/>
      </c>
      <c r="G85" s="2" t="str">
        <f aca="false">IF(2キー同時!$B$6="","",IF(2キー同時!AW12="","",SUBSTITUTE(SUBSTITUTE(2キー同時!AW12," ",""),"　","")))</f>
        <v/>
      </c>
      <c r="H85" s="2" t="str">
        <f aca="false">IF($G85="","",2キー同時!$B$6)</f>
        <v/>
      </c>
      <c r="I85" s="2" t="str">
        <f aca="false">IF($G85="","","'")</f>
        <v/>
      </c>
      <c r="J85" s="2" t="str">
        <f aca="false">""</f>
        <v/>
      </c>
      <c r="K85" s="2" t="str">
        <f aca="false">""</f>
        <v/>
      </c>
      <c r="L85" s="2" t="str">
        <f aca="false">IF($G85="","","同時")</f>
        <v/>
      </c>
      <c r="M85" s="2" t="str">
        <f aca="false">IF($G85="","",IF(ISNA(MATCH($G85,個別指定!$A:$A,0)),"行なし",""))</f>
        <v/>
      </c>
      <c r="N85" s="2" t="str">
        <f aca="false">IF($G85="","",IF(COUNTIF($G$2:$G$4460,$G85)&gt;1,"重複",""))</f>
        <v/>
      </c>
    </row>
    <row r="86" customFormat="false" ht="16.5" hidden="false" customHeight="true" outlineLevel="0" collapsed="false">
      <c r="A86" s="2" t="s">
        <v>385</v>
      </c>
      <c r="B86" s="2" t="s">
        <v>386</v>
      </c>
      <c r="C86" s="2" t="s">
        <v>35</v>
      </c>
      <c r="D86" s="2" t="str">
        <f aca="false">IF(2キー同時!$B$6="","",2キー同時!$B$6)</f>
        <v>space</v>
      </c>
      <c r="E86" s="2" t="str">
        <f aca="false">""</f>
        <v/>
      </c>
      <c r="F86" s="2" t="str">
        <f aca="false">""</f>
        <v/>
      </c>
      <c r="G86" s="2" t="str">
        <f aca="false">IF(2キー同時!$B$6="","",IF(2キー同時!K14="","",SUBSTITUTE(SUBSTITUTE(2キー同時!K14," ",""),"　","")))</f>
        <v/>
      </c>
      <c r="H86" s="2" t="str">
        <f aca="false">IF($G86="","",2キー同時!$B$6)</f>
        <v/>
      </c>
      <c r="I86" s="2" t="str">
        <f aca="false">IF($G86="","","z")</f>
        <v/>
      </c>
      <c r="J86" s="2" t="str">
        <f aca="false">""</f>
        <v/>
      </c>
      <c r="K86" s="2" t="str">
        <f aca="false">""</f>
        <v/>
      </c>
      <c r="L86" s="2" t="str">
        <f aca="false">IF($G86="","","同時")</f>
        <v/>
      </c>
      <c r="M86" s="2" t="str">
        <f aca="false">IF($G86="","",IF(ISNA(MATCH($G86,個別指定!$A:$A,0)),"行なし",""))</f>
        <v/>
      </c>
      <c r="N86" s="2" t="str">
        <f aca="false">IF($G86="","",IF(COUNTIF($G$2:$G$4460,$G86)&gt;1,"重複",""))</f>
        <v/>
      </c>
    </row>
    <row r="87" customFormat="false" ht="16.5" hidden="false" customHeight="true" outlineLevel="0" collapsed="false">
      <c r="A87" s="2" t="s">
        <v>385</v>
      </c>
      <c r="B87" s="2" t="s">
        <v>386</v>
      </c>
      <c r="C87" s="2" t="s">
        <v>36</v>
      </c>
      <c r="D87" s="2" t="str">
        <f aca="false">IF(2キー同時!$B$6="","",2キー同時!$B$6)</f>
        <v>space</v>
      </c>
      <c r="E87" s="2" t="str">
        <f aca="false">""</f>
        <v/>
      </c>
      <c r="F87" s="2" t="str">
        <f aca="false">""</f>
        <v/>
      </c>
      <c r="G87" s="2" t="str">
        <f aca="false">IF(2キー同時!$B$6="","",IF(2キー同時!O14="","",SUBSTITUTE(SUBSTITUTE(2キー同時!O14," ",""),"　","")))</f>
        <v/>
      </c>
      <c r="H87" s="2" t="str">
        <f aca="false">IF($G87="","",2キー同時!$B$6)</f>
        <v/>
      </c>
      <c r="I87" s="2" t="str">
        <f aca="false">IF($G87="","","x")</f>
        <v/>
      </c>
      <c r="J87" s="2" t="str">
        <f aca="false">""</f>
        <v/>
      </c>
      <c r="K87" s="2" t="str">
        <f aca="false">""</f>
        <v/>
      </c>
      <c r="L87" s="2" t="str">
        <f aca="false">IF($G87="","","同時")</f>
        <v/>
      </c>
      <c r="M87" s="2" t="str">
        <f aca="false">IF($G87="","",IF(ISNA(MATCH($G87,個別指定!$A:$A,0)),"行なし",""))</f>
        <v/>
      </c>
      <c r="N87" s="2" t="str">
        <f aca="false">IF($G87="","",IF(COUNTIF($G$2:$G$4460,$G87)&gt;1,"重複",""))</f>
        <v/>
      </c>
    </row>
    <row r="88" customFormat="false" ht="16.5" hidden="false" customHeight="true" outlineLevel="0" collapsed="false">
      <c r="A88" s="2" t="s">
        <v>385</v>
      </c>
      <c r="B88" s="2" t="s">
        <v>386</v>
      </c>
      <c r="C88" s="2" t="s">
        <v>37</v>
      </c>
      <c r="D88" s="2" t="str">
        <f aca="false">IF(2キー同時!$B$6="","",2キー同時!$B$6)</f>
        <v>space</v>
      </c>
      <c r="E88" s="2" t="str">
        <f aca="false">""</f>
        <v/>
      </c>
      <c r="F88" s="2" t="str">
        <f aca="false">""</f>
        <v/>
      </c>
      <c r="G88" s="2" t="str">
        <f aca="false">IF(2キー同時!$B$6="","",IF(2キー同時!S14="","",SUBSTITUTE(SUBSTITUTE(2キー同時!S14," ",""),"　","")))</f>
        <v>を</v>
      </c>
      <c r="H88" s="2" t="str">
        <f aca="false">IF($G88="","",2キー同時!$B$6)</f>
        <v>space</v>
      </c>
      <c r="I88" s="2" t="str">
        <f aca="false">IF($G88="","","c")</f>
        <v>c</v>
      </c>
      <c r="J88" s="2" t="str">
        <f aca="false">""</f>
        <v/>
      </c>
      <c r="K88" s="2" t="str">
        <f aca="false">""</f>
        <v/>
      </c>
      <c r="L88" s="2" t="str">
        <f aca="false">IF($G88="","","同時")</f>
        <v>同時</v>
      </c>
      <c r="M88" s="2" t="str">
        <f aca="false">IF($G88="","",IF(ISNA(MATCH($G88,個別指定!$A:$A,0)),"行なし",""))</f>
        <v/>
      </c>
      <c r="N88" s="2" t="str">
        <f aca="false">IF($G88="","",IF(COUNTIF($G$2:$G$4460,$G88)&gt;1,"重複",""))</f>
        <v/>
      </c>
    </row>
    <row r="89" customFormat="false" ht="16.5" hidden="false" customHeight="true" outlineLevel="0" collapsed="false">
      <c r="A89" s="2" t="s">
        <v>385</v>
      </c>
      <c r="B89" s="2" t="s">
        <v>386</v>
      </c>
      <c r="C89" s="2" t="s">
        <v>38</v>
      </c>
      <c r="D89" s="2" t="str">
        <f aca="false">IF(2キー同時!$B$6="","",2キー同時!$B$6)</f>
        <v>space</v>
      </c>
      <c r="E89" s="2" t="str">
        <f aca="false">""</f>
        <v/>
      </c>
      <c r="F89" s="2" t="str">
        <f aca="false">""</f>
        <v/>
      </c>
      <c r="G89" s="2" t="str">
        <f aca="false">IF(2キー同時!$B$6="","",IF(2キー同時!W14="","",SUBSTITUTE(SUBSTITUTE(2キー同時!W14," ",""),"　","")))</f>
        <v>、</v>
      </c>
      <c r="H89" s="2" t="str">
        <f aca="false">IF($G89="","",2キー同時!$B$6)</f>
        <v>space</v>
      </c>
      <c r="I89" s="2" t="str">
        <f aca="false">IF($G89="","","v")</f>
        <v>v</v>
      </c>
      <c r="J89" s="2" t="str">
        <f aca="false">""</f>
        <v/>
      </c>
      <c r="K89" s="2" t="str">
        <f aca="false">""</f>
        <v/>
      </c>
      <c r="L89" s="2" t="str">
        <f aca="false">IF($G89="","","同時")</f>
        <v>同時</v>
      </c>
      <c r="M89" s="2" t="str">
        <f aca="false">IF($G89="","",IF(ISNA(MATCH($G89,個別指定!$A:$A,0)),"行なし",""))</f>
        <v/>
      </c>
      <c r="N89" s="2" t="str">
        <f aca="false">IF($G89="","",IF(COUNTIF($G$2:$G$4460,$G89)&gt;1,"重複",""))</f>
        <v/>
      </c>
    </row>
    <row r="90" customFormat="false" ht="16.5" hidden="false" customHeight="true" outlineLevel="0" collapsed="false">
      <c r="A90" s="2" t="s">
        <v>385</v>
      </c>
      <c r="B90" s="2" t="s">
        <v>386</v>
      </c>
      <c r="C90" s="2" t="s">
        <v>39</v>
      </c>
      <c r="D90" s="2" t="str">
        <f aca="false">IF(2キー同時!$B$6="","",2キー同時!$B$6)</f>
        <v>space</v>
      </c>
      <c r="E90" s="2" t="str">
        <f aca="false">""</f>
        <v/>
      </c>
      <c r="F90" s="2" t="str">
        <f aca="false">""</f>
        <v/>
      </c>
      <c r="G90" s="2" t="str">
        <f aca="false">IF(2キー同時!$B$6="","",IF(2キー同時!AA14="","",SUBSTITUTE(SUBSTITUTE(2キー同時!AA14," ",""),"　","")))</f>
        <v>ぬ</v>
      </c>
      <c r="H90" s="2" t="str">
        <f aca="false">IF($G90="","",2キー同時!$B$6)</f>
        <v>space</v>
      </c>
      <c r="I90" s="2" t="str">
        <f aca="false">IF($G90="","","b")</f>
        <v>b</v>
      </c>
      <c r="J90" s="2" t="str">
        <f aca="false">""</f>
        <v/>
      </c>
      <c r="K90" s="2" t="str">
        <f aca="false">""</f>
        <v/>
      </c>
      <c r="L90" s="2" t="str">
        <f aca="false">IF($G90="","","同時")</f>
        <v>同時</v>
      </c>
      <c r="M90" s="2" t="str">
        <f aca="false">IF($G90="","",IF(ISNA(MATCH($G90,個別指定!$A:$A,0)),"行なし",""))</f>
        <v/>
      </c>
      <c r="N90" s="2" t="str">
        <f aca="false">IF($G90="","",IF(COUNTIF($G$2:$G$4460,$G90)&gt;1,"重複",""))</f>
        <v/>
      </c>
    </row>
    <row r="91" customFormat="false" ht="16.5" hidden="false" customHeight="true" outlineLevel="0" collapsed="false">
      <c r="A91" s="2" t="s">
        <v>385</v>
      </c>
      <c r="B91" s="2" t="s">
        <v>386</v>
      </c>
      <c r="C91" s="2" t="s">
        <v>40</v>
      </c>
      <c r="D91" s="2" t="str">
        <f aca="false">IF(2キー同時!$B$6="","",2キー同時!$B$6)</f>
        <v>space</v>
      </c>
      <c r="E91" s="2" t="str">
        <f aca="false">""</f>
        <v/>
      </c>
      <c r="F91" s="2" t="str">
        <f aca="false">""</f>
        <v/>
      </c>
      <c r="G91" s="2" t="str">
        <f aca="false">IF(2キー同時!$B$6="","",IF(2キー同時!AE14="","",SUBSTITUTE(SUBSTITUTE(2キー同時!AE14," ",""),"　","")))</f>
        <v>お</v>
      </c>
      <c r="H91" s="2" t="str">
        <f aca="false">IF($G91="","",2キー同時!$B$6)</f>
        <v>space</v>
      </c>
      <c r="I91" s="2" t="str">
        <f aca="false">IF($G91="","","n")</f>
        <v>n</v>
      </c>
      <c r="J91" s="2" t="str">
        <f aca="false">""</f>
        <v/>
      </c>
      <c r="K91" s="2" t="str">
        <f aca="false">""</f>
        <v/>
      </c>
      <c r="L91" s="2" t="str">
        <f aca="false">IF($G91="","","同時")</f>
        <v>同時</v>
      </c>
      <c r="M91" s="2" t="str">
        <f aca="false">IF($G91="","",IF(ISNA(MATCH($G91,個別指定!$A:$A,0)),"行なし",""))</f>
        <v/>
      </c>
      <c r="N91" s="2" t="str">
        <f aca="false">IF($G91="","",IF(COUNTIF($G$2:$G$4460,$G91)&gt;1,"重複",""))</f>
        <v/>
      </c>
    </row>
    <row r="92" customFormat="false" ht="16.5" hidden="false" customHeight="true" outlineLevel="0" collapsed="false">
      <c r="A92" s="2" t="s">
        <v>385</v>
      </c>
      <c r="B92" s="2" t="s">
        <v>386</v>
      </c>
      <c r="C92" s="2" t="s">
        <v>41</v>
      </c>
      <c r="D92" s="2" t="str">
        <f aca="false">IF(2キー同時!$B$6="","",2キー同時!$B$6)</f>
        <v>space</v>
      </c>
      <c r="E92" s="2" t="str">
        <f aca="false">""</f>
        <v/>
      </c>
      <c r="F92" s="2" t="str">
        <f aca="false">""</f>
        <v/>
      </c>
      <c r="G92" s="2" t="str">
        <f aca="false">IF(2キー同時!$B$6="","",IF(2キー同時!AI14="","",SUBSTITUTE(SUBSTITUTE(2キー同時!AI14," ",""),"　","")))</f>
        <v>。</v>
      </c>
      <c r="H92" s="2" t="str">
        <f aca="false">IF($G92="","",2キー同時!$B$6)</f>
        <v>space</v>
      </c>
      <c r="I92" s="2" t="str">
        <f aca="false">IF($G92="","","m")</f>
        <v>m</v>
      </c>
      <c r="J92" s="2" t="str">
        <f aca="false">""</f>
        <v/>
      </c>
      <c r="K92" s="2" t="str">
        <f aca="false">""</f>
        <v/>
      </c>
      <c r="L92" s="2" t="str">
        <f aca="false">IF($G92="","","同時")</f>
        <v>同時</v>
      </c>
      <c r="M92" s="2" t="str">
        <f aca="false">IF($G92="","",IF(ISNA(MATCH($G92,個別指定!$A:$A,0)),"行なし",""))</f>
        <v/>
      </c>
      <c r="N92" s="2" t="str">
        <f aca="false">IF($G92="","",IF(COUNTIF($G$2:$G$4460,$G92)&gt;1,"重複",""))</f>
        <v/>
      </c>
    </row>
    <row r="93" customFormat="false" ht="16.5" hidden="false" customHeight="true" outlineLevel="0" collapsed="false">
      <c r="A93" s="2" t="s">
        <v>385</v>
      </c>
      <c r="B93" s="2" t="s">
        <v>386</v>
      </c>
      <c r="C93" s="2" t="s">
        <v>42</v>
      </c>
      <c r="D93" s="2" t="str">
        <f aca="false">IF(2キー同時!$B$6="","",2キー同時!$B$6)</f>
        <v>space</v>
      </c>
      <c r="E93" s="2" t="str">
        <f aca="false">""</f>
        <v/>
      </c>
      <c r="F93" s="2" t="str">
        <f aca="false">""</f>
        <v/>
      </c>
      <c r="G93" s="2" t="str">
        <f aca="false">IF(2キー同時!$B$6="","",IF(2キー同時!AM14="","",SUBSTITUTE(SUBSTITUTE(2キー同時!AM14," ",""),"　","")))</f>
        <v>む</v>
      </c>
      <c r="H93" s="2" t="str">
        <f aca="false">IF($G93="","",2キー同時!$B$6)</f>
        <v>space</v>
      </c>
      <c r="I93" s="2" t="str">
        <f aca="false">IF($G93="","",",")</f>
        <v>,</v>
      </c>
      <c r="J93" s="2" t="str">
        <f aca="false">""</f>
        <v/>
      </c>
      <c r="K93" s="2" t="str">
        <f aca="false">""</f>
        <v/>
      </c>
      <c r="L93" s="2" t="str">
        <f aca="false">IF($G93="","","同時")</f>
        <v>同時</v>
      </c>
      <c r="M93" s="2" t="str">
        <f aca="false">IF($G93="","",IF(ISNA(MATCH($G93,個別指定!$A:$A,0)),"行なし",""))</f>
        <v/>
      </c>
      <c r="N93" s="2" t="str">
        <f aca="false">IF($G93="","",IF(COUNTIF($G$2:$G$4460,$G93)&gt;1,"重複",""))</f>
        <v/>
      </c>
    </row>
    <row r="94" customFormat="false" ht="16.5" hidden="false" customHeight="true" outlineLevel="0" collapsed="false">
      <c r="A94" s="2" t="s">
        <v>385</v>
      </c>
      <c r="B94" s="2" t="s">
        <v>386</v>
      </c>
      <c r="C94" s="2" t="s">
        <v>43</v>
      </c>
      <c r="D94" s="2" t="str">
        <f aca="false">IF(2キー同時!$B$6="","",2キー同時!$B$6)</f>
        <v>space</v>
      </c>
      <c r="E94" s="2" t="str">
        <f aca="false">""</f>
        <v/>
      </c>
      <c r="F94" s="2" t="str">
        <f aca="false">""</f>
        <v/>
      </c>
      <c r="G94" s="2" t="str">
        <f aca="false">IF(2キー同時!$B$6="","",IF(2キー同時!AQ14="","",SUBSTITUTE(SUBSTITUTE(2キー同時!AQ14," ",""),"　","")))</f>
        <v>わ</v>
      </c>
      <c r="H94" s="2" t="str">
        <f aca="false">IF($G94="","",2キー同時!$B$6)</f>
        <v>space</v>
      </c>
      <c r="I94" s="2" t="str">
        <f aca="false">IF($G94="","",".")</f>
        <v>.</v>
      </c>
      <c r="J94" s="2" t="str">
        <f aca="false">""</f>
        <v/>
      </c>
      <c r="K94" s="2" t="str">
        <f aca="false">""</f>
        <v/>
      </c>
      <c r="L94" s="2" t="str">
        <f aca="false">IF($G94="","","同時")</f>
        <v>同時</v>
      </c>
      <c r="M94" s="2" t="str">
        <f aca="false">IF($G94="","",IF(ISNA(MATCH($G94,個別指定!$A:$A,0)),"行なし",""))</f>
        <v/>
      </c>
      <c r="N94" s="2" t="str">
        <f aca="false">IF($G94="","",IF(COUNTIF($G$2:$G$4460,$G94)&gt;1,"重複",""))</f>
        <v/>
      </c>
    </row>
    <row r="95" customFormat="false" ht="16.5" hidden="false" customHeight="true" outlineLevel="0" collapsed="false">
      <c r="A95" s="2" t="s">
        <v>385</v>
      </c>
      <c r="B95" s="2" t="s">
        <v>386</v>
      </c>
      <c r="C95" s="2" t="s">
        <v>44</v>
      </c>
      <c r="D95" s="2" t="str">
        <f aca="false">IF(2キー同時!$B$6="","",2キー同時!$B$6)</f>
        <v>space</v>
      </c>
      <c r="E95" s="2" t="str">
        <f aca="false">""</f>
        <v/>
      </c>
      <c r="F95" s="2" t="str">
        <f aca="false">""</f>
        <v/>
      </c>
      <c r="G95" s="2" t="str">
        <f aca="false">IF(2キー同時!$B$6="","",IF(2キー同時!AU14="","",SUBSTITUTE(SUBSTITUTE(2キー同時!AU14," ",""),"　","")))</f>
        <v/>
      </c>
      <c r="H95" s="2" t="str">
        <f aca="false">IF($G95="","",2キー同時!$B$6)</f>
        <v/>
      </c>
      <c r="I95" s="2" t="str">
        <f aca="false">IF($G95="","","/")</f>
        <v/>
      </c>
      <c r="J95" s="2" t="str">
        <f aca="false">""</f>
        <v/>
      </c>
      <c r="K95" s="2" t="str">
        <f aca="false">""</f>
        <v/>
      </c>
      <c r="L95" s="2" t="str">
        <f aca="false">IF($G95="","","同時")</f>
        <v/>
      </c>
      <c r="M95" s="2" t="str">
        <f aca="false">IF($G95="","",IF(ISNA(MATCH($G95,個別指定!$A:$A,0)),"行なし",""))</f>
        <v/>
      </c>
      <c r="N95" s="2" t="str">
        <f aca="false">IF($G95="","",IF(COUNTIF($G$2:$G$4460,$G95)&gt;1,"重複",""))</f>
        <v/>
      </c>
    </row>
    <row r="96" customFormat="false" ht="16.5" hidden="false" customHeight="true" outlineLevel="0" collapsed="false">
      <c r="A96" s="2" t="s">
        <v>385</v>
      </c>
      <c r="B96" s="2" t="s">
        <v>386</v>
      </c>
      <c r="C96" s="2" t="s">
        <v>48</v>
      </c>
      <c r="D96" s="2" t="str">
        <f aca="false">IF(2キー同時!$B$6="","",2キー同時!$B$6)</f>
        <v>space</v>
      </c>
      <c r="E96" s="2" t="str">
        <f aca="false">""</f>
        <v/>
      </c>
      <c r="F96" s="2" t="str">
        <f aca="false">""</f>
        <v/>
      </c>
      <c r="G96" s="2" t="str">
        <f aca="false">IF(2キー同時!$B$6="","",IF(2キー同時!P16="","",SUBSTITUTE(SUBSTITUTE(2キー同時!P16," ",""),"　","")))</f>
        <v/>
      </c>
      <c r="H96" s="2" t="str">
        <f aca="false">IF($G96="","",2キー同時!$B$6)</f>
        <v/>
      </c>
      <c r="I96" s="2" t="str">
        <f aca="false">IF($G96="","","muhenkan")</f>
        <v/>
      </c>
      <c r="J96" s="2" t="str">
        <f aca="false">""</f>
        <v/>
      </c>
      <c r="K96" s="2" t="str">
        <f aca="false">""</f>
        <v/>
      </c>
      <c r="L96" s="2" t="str">
        <f aca="false">IF($G96="","","同時")</f>
        <v/>
      </c>
      <c r="M96" s="2" t="str">
        <f aca="false">IF($G96="","",IF(ISNA(MATCH($G96,個別指定!$A:$A,0)),"行なし",""))</f>
        <v/>
      </c>
      <c r="N96" s="2" t="str">
        <f aca="false">IF($G96="","",IF(COUNTIF($G$2:$G$4460,$G96)&gt;1,"重複",""))</f>
        <v/>
      </c>
    </row>
    <row r="97" customFormat="false" ht="16.5" hidden="false" customHeight="true" outlineLevel="0" collapsed="false">
      <c r="A97" s="2" t="s">
        <v>385</v>
      </c>
      <c r="B97" s="2" t="s">
        <v>386</v>
      </c>
      <c r="C97" s="2" t="s">
        <v>50</v>
      </c>
      <c r="D97" s="2" t="str">
        <f aca="false">IF(2キー同時!$B$6="","",2キー同時!$B$6)</f>
        <v>space</v>
      </c>
      <c r="E97" s="2" t="str">
        <f aca="false">""</f>
        <v/>
      </c>
      <c r="F97" s="2" t="str">
        <f aca="false">""</f>
        <v/>
      </c>
      <c r="G97" s="2" t="str">
        <f aca="false">IF(2キー同時!$B$6="","",IF(2キー同時!T16="","",SUBSTITUTE(SUBSTITUTE(2キー同時!T16," ",""),"　","")))</f>
        <v/>
      </c>
      <c r="H97" s="2" t="str">
        <f aca="false">IF($G97="","",2キー同時!$B$6)</f>
        <v/>
      </c>
      <c r="I97" s="2" t="str">
        <f aca="false">IF($G97="","","space")</f>
        <v/>
      </c>
      <c r="J97" s="2" t="str">
        <f aca="false">""</f>
        <v/>
      </c>
      <c r="K97" s="2" t="str">
        <f aca="false">""</f>
        <v/>
      </c>
      <c r="L97" s="2" t="str">
        <f aca="false">IF($G97="","","同時")</f>
        <v/>
      </c>
      <c r="M97" s="2" t="str">
        <f aca="false">IF($G97="","",IF(ISNA(MATCH($G97,個別指定!$A:$A,0)),"行なし",""))</f>
        <v/>
      </c>
      <c r="N97" s="2" t="str">
        <f aca="false">IF($G97="","",IF(COUNTIF($G$2:$G$4460,$G97)&gt;1,"重複",""))</f>
        <v/>
      </c>
    </row>
    <row r="98" customFormat="false" ht="16.5" hidden="false" customHeight="true" outlineLevel="0" collapsed="false">
      <c r="A98" s="2" t="s">
        <v>385</v>
      </c>
      <c r="B98" s="2" t="s">
        <v>386</v>
      </c>
      <c r="C98" s="2" t="s">
        <v>45</v>
      </c>
      <c r="D98" s="2" t="str">
        <f aca="false">IF(2キー同時!$B$6="","",2キー同時!$B$6)</f>
        <v>space</v>
      </c>
      <c r="E98" s="2" t="str">
        <f aca="false">""</f>
        <v/>
      </c>
      <c r="F98" s="2" t="str">
        <f aca="false">""</f>
        <v/>
      </c>
      <c r="G98" s="2" t="str">
        <f aca="false">IF(2キー同時!$B$6="","",IF(2キー同時!AL16="","",SUBSTITUTE(SUBSTITUTE(2キー同時!AL16," ",""),"　","")))</f>
        <v/>
      </c>
      <c r="H98" s="2" t="str">
        <f aca="false">IF($G98="","",2キー同時!$B$6)</f>
        <v/>
      </c>
      <c r="I98" s="2" t="str">
        <f aca="false">IF($G98="","","henkan")</f>
        <v/>
      </c>
      <c r="J98" s="2" t="str">
        <f aca="false">""</f>
        <v/>
      </c>
      <c r="K98" s="2" t="str">
        <f aca="false">""</f>
        <v/>
      </c>
      <c r="L98" s="2" t="str">
        <f aca="false">IF($G98="","","同時")</f>
        <v/>
      </c>
      <c r="M98" s="2" t="str">
        <f aca="false">IF($G98="","",IF(ISNA(MATCH($G98,個別指定!$A:$A,0)),"行なし",""))</f>
        <v/>
      </c>
      <c r="N98" s="2" t="str">
        <f aca="false">IF($G98="","",IF(COUNTIF($G$2:$G$4460,$G98)&gt;1,"重複",""))</f>
        <v/>
      </c>
    </row>
    <row r="99" customFormat="false" ht="16.5" hidden="false" customHeight="true" outlineLevel="0" collapsed="false">
      <c r="A99" s="2" t="s">
        <v>385</v>
      </c>
      <c r="B99" s="2" t="s">
        <v>386</v>
      </c>
      <c r="C99" s="2" t="s">
        <v>46</v>
      </c>
      <c r="D99" s="2" t="str">
        <f aca="false">IF(2キー同時!$B$6="","",2キー同時!$B$6)</f>
        <v>space</v>
      </c>
      <c r="E99" s="2" t="str">
        <f aca="false">""</f>
        <v/>
      </c>
      <c r="F99" s="2" t="str">
        <f aca="false">""</f>
        <v/>
      </c>
      <c r="G99" s="2" t="str">
        <f aca="false">IF(2キー同時!$B$6="","",IF(2キー同時!AP16="","",SUBSTITUTE(SUBSTITUTE(2キー同時!AP16," ",""),"　","")))</f>
        <v/>
      </c>
      <c r="H99" s="2" t="str">
        <f aca="false">IF($G99="","",2キー同時!$B$6)</f>
        <v/>
      </c>
      <c r="I99" s="2" t="str">
        <f aca="false">IF($G99="","","kana")</f>
        <v/>
      </c>
      <c r="J99" s="2" t="str">
        <f aca="false">""</f>
        <v/>
      </c>
      <c r="K99" s="2" t="str">
        <f aca="false">""</f>
        <v/>
      </c>
      <c r="L99" s="2" t="str">
        <f aca="false">IF($G99="","","同時")</f>
        <v/>
      </c>
      <c r="M99" s="2" t="str">
        <f aca="false">IF($G99="","",IF(ISNA(MATCH($G99,個別指定!$A:$A,0)),"行なし",""))</f>
        <v/>
      </c>
      <c r="N99" s="2" t="str">
        <f aca="false">IF($G99="","",IF(COUNTIF($G$2:$G$4460,$G99)&gt;1,"重複",""))</f>
        <v/>
      </c>
    </row>
    <row r="100" customFormat="false" ht="16.5" hidden="false" customHeight="true" outlineLevel="0" collapsed="false">
      <c r="A100" s="2" t="s">
        <v>385</v>
      </c>
      <c r="B100" s="2" t="s">
        <v>387</v>
      </c>
      <c r="C100" s="2" t="s">
        <v>0</v>
      </c>
      <c r="D100" s="2" t="str">
        <f aca="false">IF(2キー同時!$B$19="","",2キー同時!$B$19)</f>
        <v>f</v>
      </c>
      <c r="E100" s="2" t="str">
        <f aca="false">""</f>
        <v/>
      </c>
      <c r="F100" s="2" t="str">
        <f aca="false">""</f>
        <v/>
      </c>
      <c r="G100" s="2" t="str">
        <f aca="false">IF(2キー同時!$B$19="","",IF(2キー同時!F21="","",SUBSTITUTE(SUBSTITUTE(2キー同時!F21," ",""),"　","")))</f>
        <v/>
      </c>
      <c r="H100" s="2" t="str">
        <f aca="false">IF($G100="","",2キー同時!$B$19)</f>
        <v/>
      </c>
      <c r="I100" s="2" t="str">
        <f aca="false">IF($G100="","","1")</f>
        <v/>
      </c>
      <c r="J100" s="2" t="str">
        <f aca="false">""</f>
        <v/>
      </c>
      <c r="K100" s="2" t="str">
        <f aca="false">""</f>
        <v/>
      </c>
      <c r="L100" s="2" t="str">
        <f aca="false">IF($G100="","","同時")</f>
        <v/>
      </c>
      <c r="M100" s="2" t="str">
        <f aca="false">IF($G100="","",IF(ISNA(MATCH($G100,個別指定!$A:$A,0)),"行なし",""))</f>
        <v/>
      </c>
      <c r="N100" s="2" t="str">
        <f aca="false">IF($G100="","",IF(COUNTIF($G$2:$G$4460,$G100)&gt;1,"重複",""))</f>
        <v/>
      </c>
    </row>
    <row r="101" customFormat="false" ht="16.5" hidden="false" customHeight="true" outlineLevel="0" collapsed="false">
      <c r="A101" s="2" t="s">
        <v>385</v>
      </c>
      <c r="B101" s="2" t="s">
        <v>387</v>
      </c>
      <c r="C101" s="2" t="s">
        <v>1</v>
      </c>
      <c r="D101" s="2" t="str">
        <f aca="false">IF(2キー同時!$B$19="","",2キー同時!$B$19)</f>
        <v>f</v>
      </c>
      <c r="E101" s="2" t="str">
        <f aca="false">""</f>
        <v/>
      </c>
      <c r="F101" s="2" t="str">
        <f aca="false">""</f>
        <v/>
      </c>
      <c r="G101" s="2" t="str">
        <f aca="false">IF(2キー同時!$B$19="","",IF(2キー同時!J21="","",SUBSTITUTE(SUBSTITUTE(2キー同時!J21," ",""),"　","")))</f>
        <v/>
      </c>
      <c r="H101" s="2" t="str">
        <f aca="false">IF($G101="","",2キー同時!$B$19)</f>
        <v/>
      </c>
      <c r="I101" s="2" t="str">
        <f aca="false">IF($G101="","","2")</f>
        <v/>
      </c>
      <c r="J101" s="2" t="str">
        <f aca="false">""</f>
        <v/>
      </c>
      <c r="K101" s="2" t="str">
        <f aca="false">""</f>
        <v/>
      </c>
      <c r="L101" s="2" t="str">
        <f aca="false">IF($G101="","","同時")</f>
        <v/>
      </c>
      <c r="M101" s="2" t="str">
        <f aca="false">IF($G101="","",IF(ISNA(MATCH($G101,個別指定!$A:$A,0)),"行なし",""))</f>
        <v/>
      </c>
      <c r="N101" s="2" t="str">
        <f aca="false">IF($G101="","",IF(COUNTIF($G$2:$G$4460,$G101)&gt;1,"重複",""))</f>
        <v/>
      </c>
    </row>
    <row r="102" customFormat="false" ht="16.5" hidden="false" customHeight="true" outlineLevel="0" collapsed="false">
      <c r="A102" s="2" t="s">
        <v>385</v>
      </c>
      <c r="B102" s="2" t="s">
        <v>387</v>
      </c>
      <c r="C102" s="2" t="s">
        <v>2</v>
      </c>
      <c r="D102" s="2" t="str">
        <f aca="false">IF(2キー同時!$B$19="","",2キー同時!$B$19)</f>
        <v>f</v>
      </c>
      <c r="E102" s="2" t="str">
        <f aca="false">""</f>
        <v/>
      </c>
      <c r="F102" s="2" t="str">
        <f aca="false">""</f>
        <v/>
      </c>
      <c r="G102" s="2" t="str">
        <f aca="false">IF(2キー同時!$B$19="","",IF(2キー同時!N21="","",SUBSTITUTE(SUBSTITUTE(2キー同時!N21," ",""),"　","")))</f>
        <v/>
      </c>
      <c r="H102" s="2" t="str">
        <f aca="false">IF($G102="","",2キー同時!$B$19)</f>
        <v/>
      </c>
      <c r="I102" s="2" t="str">
        <f aca="false">IF($G102="","","3")</f>
        <v/>
      </c>
      <c r="J102" s="2" t="str">
        <f aca="false">""</f>
        <v/>
      </c>
      <c r="K102" s="2" t="str">
        <f aca="false">""</f>
        <v/>
      </c>
      <c r="L102" s="2" t="str">
        <f aca="false">IF($G102="","","同時")</f>
        <v/>
      </c>
      <c r="M102" s="2" t="str">
        <f aca="false">IF($G102="","",IF(ISNA(MATCH($G102,個別指定!$A:$A,0)),"行なし",""))</f>
        <v/>
      </c>
      <c r="N102" s="2" t="str">
        <f aca="false">IF($G102="","",IF(COUNTIF($G$2:$G$4460,$G102)&gt;1,"重複",""))</f>
        <v/>
      </c>
    </row>
    <row r="103" customFormat="false" ht="16.5" hidden="false" customHeight="true" outlineLevel="0" collapsed="false">
      <c r="A103" s="2" t="s">
        <v>385</v>
      </c>
      <c r="B103" s="2" t="s">
        <v>387</v>
      </c>
      <c r="C103" s="2" t="s">
        <v>3</v>
      </c>
      <c r="D103" s="2" t="str">
        <f aca="false">IF(2キー同時!$B$19="","",2キー同時!$B$19)</f>
        <v>f</v>
      </c>
      <c r="E103" s="2" t="str">
        <f aca="false">""</f>
        <v/>
      </c>
      <c r="F103" s="2" t="str">
        <f aca="false">""</f>
        <v/>
      </c>
      <c r="G103" s="2" t="str">
        <f aca="false">IF(2キー同時!$B$19="","",IF(2キー同時!R21="","",SUBSTITUTE(SUBSTITUTE(2キー同時!R21," ",""),"　","")))</f>
        <v/>
      </c>
      <c r="H103" s="2" t="str">
        <f aca="false">IF($G103="","",2キー同時!$B$19)</f>
        <v/>
      </c>
      <c r="I103" s="2" t="str">
        <f aca="false">IF($G103="","","4")</f>
        <v/>
      </c>
      <c r="J103" s="2" t="str">
        <f aca="false">""</f>
        <v/>
      </c>
      <c r="K103" s="2" t="str">
        <f aca="false">""</f>
        <v/>
      </c>
      <c r="L103" s="2" t="str">
        <f aca="false">IF($G103="","","同時")</f>
        <v/>
      </c>
      <c r="M103" s="2" t="str">
        <f aca="false">IF($G103="","",IF(ISNA(MATCH($G103,個別指定!$A:$A,0)),"行なし",""))</f>
        <v/>
      </c>
      <c r="N103" s="2" t="str">
        <f aca="false">IF($G103="","",IF(COUNTIF($G$2:$G$4460,$G103)&gt;1,"重複",""))</f>
        <v/>
      </c>
    </row>
    <row r="104" customFormat="false" ht="16.5" hidden="false" customHeight="true" outlineLevel="0" collapsed="false">
      <c r="A104" s="2" t="s">
        <v>385</v>
      </c>
      <c r="B104" s="2" t="s">
        <v>387</v>
      </c>
      <c r="C104" s="2" t="s">
        <v>4</v>
      </c>
      <c r="D104" s="2" t="str">
        <f aca="false">IF(2キー同時!$B$19="","",2キー同時!$B$19)</f>
        <v>f</v>
      </c>
      <c r="E104" s="2" t="str">
        <f aca="false">""</f>
        <v/>
      </c>
      <c r="F104" s="2" t="str">
        <f aca="false">""</f>
        <v/>
      </c>
      <c r="G104" s="2" t="str">
        <f aca="false">IF(2キー同時!$B$19="","",IF(2キー同時!V21="","",SUBSTITUTE(SUBSTITUTE(2キー同時!V21," ",""),"　","")))</f>
        <v/>
      </c>
      <c r="H104" s="2" t="str">
        <f aca="false">IF($G104="","",2キー同時!$B$19)</f>
        <v/>
      </c>
      <c r="I104" s="2" t="str">
        <f aca="false">IF($G104="","","5")</f>
        <v/>
      </c>
      <c r="J104" s="2" t="str">
        <f aca="false">""</f>
        <v/>
      </c>
      <c r="K104" s="2" t="str">
        <f aca="false">""</f>
        <v/>
      </c>
      <c r="L104" s="2" t="str">
        <f aca="false">IF($G104="","","同時")</f>
        <v/>
      </c>
      <c r="M104" s="2" t="str">
        <f aca="false">IF($G104="","",IF(ISNA(MATCH($G104,個別指定!$A:$A,0)),"行なし",""))</f>
        <v/>
      </c>
      <c r="N104" s="2" t="str">
        <f aca="false">IF($G104="","",IF(COUNTIF($G$2:$G$4460,$G104)&gt;1,"重複",""))</f>
        <v/>
      </c>
    </row>
    <row r="105" customFormat="false" ht="16.5" hidden="false" customHeight="true" outlineLevel="0" collapsed="false">
      <c r="A105" s="2" t="s">
        <v>385</v>
      </c>
      <c r="B105" s="2" t="s">
        <v>387</v>
      </c>
      <c r="C105" s="2" t="s">
        <v>5</v>
      </c>
      <c r="D105" s="2" t="str">
        <f aca="false">IF(2キー同時!$B$19="","",2キー同時!$B$19)</f>
        <v>f</v>
      </c>
      <c r="E105" s="2" t="str">
        <f aca="false">""</f>
        <v/>
      </c>
      <c r="F105" s="2" t="str">
        <f aca="false">""</f>
        <v/>
      </c>
      <c r="G105" s="2" t="str">
        <f aca="false">IF(2キー同時!$B$19="","",IF(2キー同時!Z21="","",SUBSTITUTE(SUBSTITUTE(2キー同時!Z21," ",""),"　","")))</f>
        <v/>
      </c>
      <c r="H105" s="2" t="str">
        <f aca="false">IF($G105="","",2キー同時!$B$19)</f>
        <v/>
      </c>
      <c r="I105" s="2" t="str">
        <f aca="false">IF($G105="","","6")</f>
        <v/>
      </c>
      <c r="J105" s="2" t="str">
        <f aca="false">""</f>
        <v/>
      </c>
      <c r="K105" s="2" t="str">
        <f aca="false">""</f>
        <v/>
      </c>
      <c r="L105" s="2" t="str">
        <f aca="false">IF($G105="","","同時")</f>
        <v/>
      </c>
      <c r="M105" s="2" t="str">
        <f aca="false">IF($G105="","",IF(ISNA(MATCH($G105,個別指定!$A:$A,0)),"行なし",""))</f>
        <v/>
      </c>
      <c r="N105" s="2" t="str">
        <f aca="false">IF($G105="","",IF(COUNTIF($G$2:$G$4460,$G105)&gt;1,"重複",""))</f>
        <v/>
      </c>
    </row>
    <row r="106" customFormat="false" ht="16.5" hidden="false" customHeight="true" outlineLevel="0" collapsed="false">
      <c r="A106" s="2" t="s">
        <v>385</v>
      </c>
      <c r="B106" s="2" t="s">
        <v>387</v>
      </c>
      <c r="C106" s="2" t="s">
        <v>6</v>
      </c>
      <c r="D106" s="2" t="str">
        <f aca="false">IF(2キー同時!$B$19="","",2キー同時!$B$19)</f>
        <v>f</v>
      </c>
      <c r="E106" s="2" t="str">
        <f aca="false">""</f>
        <v/>
      </c>
      <c r="F106" s="2" t="str">
        <f aca="false">""</f>
        <v/>
      </c>
      <c r="G106" s="2" t="str">
        <f aca="false">IF(2キー同時!$B$19="","",IF(2キー同時!AD21="","",SUBSTITUTE(SUBSTITUTE(2キー同時!AD21," ",""),"　","")))</f>
        <v/>
      </c>
      <c r="H106" s="2" t="str">
        <f aca="false">IF($G106="","",2キー同時!$B$19)</f>
        <v/>
      </c>
      <c r="I106" s="2" t="str">
        <f aca="false">IF($G106="","","7")</f>
        <v/>
      </c>
      <c r="J106" s="2" t="str">
        <f aca="false">""</f>
        <v/>
      </c>
      <c r="K106" s="2" t="str">
        <f aca="false">""</f>
        <v/>
      </c>
      <c r="L106" s="2" t="str">
        <f aca="false">IF($G106="","","同時")</f>
        <v/>
      </c>
      <c r="M106" s="2" t="str">
        <f aca="false">IF($G106="","",IF(ISNA(MATCH($G106,個別指定!$A:$A,0)),"行なし",""))</f>
        <v/>
      </c>
      <c r="N106" s="2" t="str">
        <f aca="false">IF($G106="","",IF(COUNTIF($G$2:$G$4460,$G106)&gt;1,"重複",""))</f>
        <v/>
      </c>
    </row>
    <row r="107" customFormat="false" ht="16.5" hidden="false" customHeight="true" outlineLevel="0" collapsed="false">
      <c r="A107" s="2" t="s">
        <v>385</v>
      </c>
      <c r="B107" s="2" t="s">
        <v>387</v>
      </c>
      <c r="C107" s="2" t="s">
        <v>7</v>
      </c>
      <c r="D107" s="2" t="str">
        <f aca="false">IF(2キー同時!$B$19="","",2キー同時!$B$19)</f>
        <v>f</v>
      </c>
      <c r="E107" s="2" t="str">
        <f aca="false">""</f>
        <v/>
      </c>
      <c r="F107" s="2" t="str">
        <f aca="false">""</f>
        <v/>
      </c>
      <c r="G107" s="2" t="str">
        <f aca="false">IF(2キー同時!$B$19="","",IF(2キー同時!AH21="","",SUBSTITUTE(SUBSTITUTE(2キー同時!AH21," ",""),"　","")))</f>
        <v/>
      </c>
      <c r="H107" s="2" t="str">
        <f aca="false">IF($G107="","",2キー同時!$B$19)</f>
        <v/>
      </c>
      <c r="I107" s="2" t="str">
        <f aca="false">IF($G107="","","8")</f>
        <v/>
      </c>
      <c r="J107" s="2" t="str">
        <f aca="false">""</f>
        <v/>
      </c>
      <c r="K107" s="2" t="str">
        <f aca="false">""</f>
        <v/>
      </c>
      <c r="L107" s="2" t="str">
        <f aca="false">IF($G107="","","同時")</f>
        <v/>
      </c>
      <c r="M107" s="2" t="str">
        <f aca="false">IF($G107="","",IF(ISNA(MATCH($G107,個別指定!$A:$A,0)),"行なし",""))</f>
        <v/>
      </c>
      <c r="N107" s="2" t="str">
        <f aca="false">IF($G107="","",IF(COUNTIF($G$2:$G$4460,$G107)&gt;1,"重複",""))</f>
        <v/>
      </c>
    </row>
    <row r="108" customFormat="false" ht="16.5" hidden="false" customHeight="true" outlineLevel="0" collapsed="false">
      <c r="A108" s="2" t="s">
        <v>385</v>
      </c>
      <c r="B108" s="2" t="s">
        <v>387</v>
      </c>
      <c r="C108" s="2" t="s">
        <v>8</v>
      </c>
      <c r="D108" s="2" t="str">
        <f aca="false">IF(2キー同時!$B$19="","",2キー同時!$B$19)</f>
        <v>f</v>
      </c>
      <c r="E108" s="2" t="str">
        <f aca="false">""</f>
        <v/>
      </c>
      <c r="F108" s="2" t="str">
        <f aca="false">""</f>
        <v/>
      </c>
      <c r="G108" s="2" t="str">
        <f aca="false">IF(2キー同時!$B$19="","",IF(2キー同時!AL21="","",SUBSTITUTE(SUBSTITUTE(2キー同時!AL21," ",""),"　","")))</f>
        <v/>
      </c>
      <c r="H108" s="2" t="str">
        <f aca="false">IF($G108="","",2キー同時!$B$19)</f>
        <v/>
      </c>
      <c r="I108" s="2" t="str">
        <f aca="false">IF($G108="","","9")</f>
        <v/>
      </c>
      <c r="J108" s="2" t="str">
        <f aca="false">""</f>
        <v/>
      </c>
      <c r="K108" s="2" t="str">
        <f aca="false">""</f>
        <v/>
      </c>
      <c r="L108" s="2" t="str">
        <f aca="false">IF($G108="","","同時")</f>
        <v/>
      </c>
      <c r="M108" s="2" t="str">
        <f aca="false">IF($G108="","",IF(ISNA(MATCH($G108,個別指定!$A:$A,0)),"行なし",""))</f>
        <v/>
      </c>
      <c r="N108" s="2" t="str">
        <f aca="false">IF($G108="","",IF(COUNTIF($G$2:$G$4460,$G108)&gt;1,"重複",""))</f>
        <v/>
      </c>
    </row>
    <row r="109" customFormat="false" ht="16.5" hidden="false" customHeight="true" outlineLevel="0" collapsed="false">
      <c r="A109" s="2" t="s">
        <v>385</v>
      </c>
      <c r="B109" s="2" t="s">
        <v>387</v>
      </c>
      <c r="C109" s="2" t="s">
        <v>9</v>
      </c>
      <c r="D109" s="2" t="str">
        <f aca="false">IF(2キー同時!$B$19="","",2キー同時!$B$19)</f>
        <v>f</v>
      </c>
      <c r="E109" s="2" t="str">
        <f aca="false">""</f>
        <v/>
      </c>
      <c r="F109" s="2" t="str">
        <f aca="false">""</f>
        <v/>
      </c>
      <c r="G109" s="2" t="str">
        <f aca="false">IF(2キー同時!$B$19="","",IF(2キー同時!AP21="","",SUBSTITUTE(SUBSTITUTE(2キー同時!AP21," ",""),"　","")))</f>
        <v/>
      </c>
      <c r="H109" s="2" t="str">
        <f aca="false">IF($G109="","",2キー同時!$B$19)</f>
        <v/>
      </c>
      <c r="I109" s="2" t="str">
        <f aca="false">IF($G109="","","0")</f>
        <v/>
      </c>
      <c r="J109" s="2" t="str">
        <f aca="false">""</f>
        <v/>
      </c>
      <c r="K109" s="2" t="str">
        <f aca="false">""</f>
        <v/>
      </c>
      <c r="L109" s="2" t="str">
        <f aca="false">IF($G109="","","同時")</f>
        <v/>
      </c>
      <c r="M109" s="2" t="str">
        <f aca="false">IF($G109="","",IF(ISNA(MATCH($G109,個別指定!$A:$A,0)),"行なし",""))</f>
        <v/>
      </c>
      <c r="N109" s="2" t="str">
        <f aca="false">IF($G109="","",IF(COUNTIF($G$2:$G$4460,$G109)&gt;1,"重複",""))</f>
        <v/>
      </c>
    </row>
    <row r="110" customFormat="false" ht="16.5" hidden="false" customHeight="true" outlineLevel="0" collapsed="false">
      <c r="A110" s="2" t="s">
        <v>385</v>
      </c>
      <c r="B110" s="2" t="s">
        <v>387</v>
      </c>
      <c r="C110" s="2" t="s">
        <v>10</v>
      </c>
      <c r="D110" s="2" t="str">
        <f aca="false">IF(2キー同時!$B$19="","",2キー同時!$B$19)</f>
        <v>f</v>
      </c>
      <c r="E110" s="2" t="str">
        <f aca="false">""</f>
        <v/>
      </c>
      <c r="F110" s="2" t="str">
        <f aca="false">""</f>
        <v/>
      </c>
      <c r="G110" s="2" t="str">
        <f aca="false">IF(2キー同時!$B$19="","",IF(2キー同時!AT21="","",SUBSTITUTE(SUBSTITUTE(2キー同時!AT21," ",""),"　","")))</f>
        <v/>
      </c>
      <c r="H110" s="2" t="str">
        <f aca="false">IF($G110="","",2キー同時!$B$19)</f>
        <v/>
      </c>
      <c r="I110" s="2" t="str">
        <f aca="false">IF($G110="","","-")</f>
        <v/>
      </c>
      <c r="J110" s="2" t="str">
        <f aca="false">""</f>
        <v/>
      </c>
      <c r="K110" s="2" t="str">
        <f aca="false">""</f>
        <v/>
      </c>
      <c r="L110" s="2" t="str">
        <f aca="false">IF($G110="","","同時")</f>
        <v/>
      </c>
      <c r="M110" s="2" t="str">
        <f aca="false">IF($G110="","",IF(ISNA(MATCH($G110,個別指定!$A:$A,0)),"行なし",""))</f>
        <v/>
      </c>
      <c r="N110" s="2" t="str">
        <f aca="false">IF($G110="","",IF(COUNTIF($G$2:$G$4460,$G110)&gt;1,"重複",""))</f>
        <v/>
      </c>
    </row>
    <row r="111" customFormat="false" ht="16.5" hidden="false" customHeight="true" outlineLevel="0" collapsed="false">
      <c r="A111" s="2" t="s">
        <v>385</v>
      </c>
      <c r="B111" s="2" t="s">
        <v>387</v>
      </c>
      <c r="C111" s="2" t="s">
        <v>11</v>
      </c>
      <c r="D111" s="2" t="str">
        <f aca="false">IF(2キー同時!$B$19="","",2キー同時!$B$19)</f>
        <v>f</v>
      </c>
      <c r="E111" s="2" t="str">
        <f aca="false">""</f>
        <v/>
      </c>
      <c r="F111" s="2" t="str">
        <f aca="false">""</f>
        <v/>
      </c>
      <c r="G111" s="2" t="str">
        <f aca="false">IF(2キー同時!$B$19="","",IF(2キー同時!AX21="","",SUBSTITUTE(SUBSTITUTE(2キー同時!AX21," ",""),"　","")))</f>
        <v/>
      </c>
      <c r="H111" s="2" t="str">
        <f aca="false">IF($G111="","",2キー同時!$B$19)</f>
        <v/>
      </c>
      <c r="I111" s="2" t="str">
        <f aca="false">IF($G111="","","=")</f>
        <v/>
      </c>
      <c r="J111" s="2" t="str">
        <f aca="false">""</f>
        <v/>
      </c>
      <c r="K111" s="2" t="str">
        <f aca="false">""</f>
        <v/>
      </c>
      <c r="L111" s="2" t="str">
        <f aca="false">IF($G111="","","同時")</f>
        <v/>
      </c>
      <c r="M111" s="2" t="str">
        <f aca="false">IF($G111="","",IF(ISNA(MATCH($G111,個別指定!$A:$A,0)),"行なし",""))</f>
        <v/>
      </c>
      <c r="N111" s="2" t="str">
        <f aca="false">IF($G111="","",IF(COUNTIF($G$2:$G$4460,$G111)&gt;1,"重複",""))</f>
        <v/>
      </c>
    </row>
    <row r="112" customFormat="false" ht="16.5" hidden="false" customHeight="true" outlineLevel="0" collapsed="false">
      <c r="A112" s="2" t="s">
        <v>385</v>
      </c>
      <c r="B112" s="2" t="s">
        <v>387</v>
      </c>
      <c r="C112" s="2" t="s">
        <v>12</v>
      </c>
      <c r="D112" s="2" t="str">
        <f aca="false">IF(2キー同時!$B$19="","",2キー同時!$B$19)</f>
        <v>f</v>
      </c>
      <c r="E112" s="2" t="str">
        <f aca="false">""</f>
        <v/>
      </c>
      <c r="F112" s="2" t="str">
        <f aca="false">""</f>
        <v/>
      </c>
      <c r="G112" s="2" t="str">
        <f aca="false">IF(2キー同時!$B$19="","",IF(2キー同時!H23="","",SUBSTITUTE(SUBSTITUTE(2キー同時!H23," ",""),"　","")))</f>
        <v/>
      </c>
      <c r="H112" s="2" t="str">
        <f aca="false">IF($G112="","",2キー同時!$B$19)</f>
        <v/>
      </c>
      <c r="I112" s="2" t="str">
        <f aca="false">IF($G112="","","q")</f>
        <v/>
      </c>
      <c r="J112" s="2" t="str">
        <f aca="false">""</f>
        <v/>
      </c>
      <c r="K112" s="2" t="str">
        <f aca="false">""</f>
        <v/>
      </c>
      <c r="L112" s="2" t="str">
        <f aca="false">IF($G112="","","同時")</f>
        <v/>
      </c>
      <c r="M112" s="2" t="str">
        <f aca="false">IF($G112="","",IF(ISNA(MATCH($G112,個別指定!$A:$A,0)),"行なし",""))</f>
        <v/>
      </c>
      <c r="N112" s="2" t="str">
        <f aca="false">IF($G112="","",IF(COUNTIF($G$2:$G$4460,$G112)&gt;1,"重複",""))</f>
        <v/>
      </c>
    </row>
    <row r="113" customFormat="false" ht="16.5" hidden="false" customHeight="true" outlineLevel="0" collapsed="false">
      <c r="A113" s="2" t="s">
        <v>385</v>
      </c>
      <c r="B113" s="2" t="s">
        <v>387</v>
      </c>
      <c r="C113" s="2" t="s">
        <v>13</v>
      </c>
      <c r="D113" s="2" t="str">
        <f aca="false">IF(2キー同時!$B$19="","",2キー同時!$B$19)</f>
        <v>f</v>
      </c>
      <c r="E113" s="2" t="str">
        <f aca="false">""</f>
        <v/>
      </c>
      <c r="F113" s="2" t="str">
        <f aca="false">""</f>
        <v/>
      </c>
      <c r="G113" s="2" t="str">
        <f aca="false">IF(2キー同時!$B$19="","",IF(2キー同時!L23="","",SUBSTITUTE(SUBSTITUTE(2キー同時!L23," ",""),"　","")))</f>
        <v/>
      </c>
      <c r="H113" s="2" t="str">
        <f aca="false">IF($G113="","",2キー同時!$B$19)</f>
        <v/>
      </c>
      <c r="I113" s="2" t="str">
        <f aca="false">IF($G113="","","w")</f>
        <v/>
      </c>
      <c r="J113" s="2" t="str">
        <f aca="false">""</f>
        <v/>
      </c>
      <c r="K113" s="2" t="str">
        <f aca="false">""</f>
        <v/>
      </c>
      <c r="L113" s="2" t="str">
        <f aca="false">IF($G113="","","同時")</f>
        <v/>
      </c>
      <c r="M113" s="2" t="str">
        <f aca="false">IF($G113="","",IF(ISNA(MATCH($G113,個別指定!$A:$A,0)),"行なし",""))</f>
        <v/>
      </c>
      <c r="N113" s="2" t="str">
        <f aca="false">IF($G113="","",IF(COUNTIF($G$2:$G$4460,$G113)&gt;1,"重複",""))</f>
        <v/>
      </c>
    </row>
    <row r="114" customFormat="false" ht="16.5" hidden="false" customHeight="true" outlineLevel="0" collapsed="false">
      <c r="A114" s="2" t="s">
        <v>385</v>
      </c>
      <c r="B114" s="2" t="s">
        <v>387</v>
      </c>
      <c r="C114" s="2" t="s">
        <v>14</v>
      </c>
      <c r="D114" s="2" t="str">
        <f aca="false">IF(2キー同時!$B$19="","",2キー同時!$B$19)</f>
        <v>f</v>
      </c>
      <c r="E114" s="2" t="str">
        <f aca="false">""</f>
        <v/>
      </c>
      <c r="F114" s="2" t="str">
        <f aca="false">""</f>
        <v/>
      </c>
      <c r="G114" s="2" t="str">
        <f aca="false">IF(2キー同時!$B$19="","",IF(2キー同時!P23="","",SUBSTITUTE(SUBSTITUTE(2キー同時!P23," ",""),"　","")))</f>
        <v/>
      </c>
      <c r="H114" s="2" t="str">
        <f aca="false">IF($G114="","",2キー同時!$B$19)</f>
        <v/>
      </c>
      <c r="I114" s="2" t="str">
        <f aca="false">IF($G114="","","e")</f>
        <v/>
      </c>
      <c r="J114" s="2" t="str">
        <f aca="false">""</f>
        <v/>
      </c>
      <c r="K114" s="2" t="str">
        <f aca="false">""</f>
        <v/>
      </c>
      <c r="L114" s="2" t="str">
        <f aca="false">IF($G114="","","同時")</f>
        <v/>
      </c>
      <c r="M114" s="2" t="str">
        <f aca="false">IF($G114="","",IF(ISNA(MATCH($G114,個別指定!$A:$A,0)),"行なし",""))</f>
        <v/>
      </c>
      <c r="N114" s="2" t="str">
        <f aca="false">IF($G114="","",IF(COUNTIF($G$2:$G$4460,$G114)&gt;1,"重複",""))</f>
        <v/>
      </c>
    </row>
    <row r="115" customFormat="false" ht="16.5" hidden="false" customHeight="true" outlineLevel="0" collapsed="false">
      <c r="A115" s="2" t="s">
        <v>385</v>
      </c>
      <c r="B115" s="2" t="s">
        <v>387</v>
      </c>
      <c r="C115" s="2" t="s">
        <v>15</v>
      </c>
      <c r="D115" s="2" t="str">
        <f aca="false">IF(2キー同時!$B$19="","",2キー同時!$B$19)</f>
        <v>f</v>
      </c>
      <c r="E115" s="2" t="str">
        <f aca="false">""</f>
        <v/>
      </c>
      <c r="F115" s="2" t="str">
        <f aca="false">""</f>
        <v/>
      </c>
      <c r="G115" s="2" t="str">
        <f aca="false">IF(2キー同時!$B$19="","",IF(2キー同時!T23="","",SUBSTITUTE(SUBSTITUTE(2キー同時!T23," ",""),"　","")))</f>
        <v/>
      </c>
      <c r="H115" s="2" t="str">
        <f aca="false">IF($G115="","",2キー同時!$B$19)</f>
        <v/>
      </c>
      <c r="I115" s="2" t="str">
        <f aca="false">IF($G115="","","r")</f>
        <v/>
      </c>
      <c r="J115" s="2" t="str">
        <f aca="false">""</f>
        <v/>
      </c>
      <c r="K115" s="2" t="str">
        <f aca="false">""</f>
        <v/>
      </c>
      <c r="L115" s="2" t="str">
        <f aca="false">IF($G115="","","同時")</f>
        <v/>
      </c>
      <c r="M115" s="2" t="str">
        <f aca="false">IF($G115="","",IF(ISNA(MATCH($G115,個別指定!$A:$A,0)),"行なし",""))</f>
        <v/>
      </c>
      <c r="N115" s="2" t="str">
        <f aca="false">IF($G115="","",IF(COUNTIF($G$2:$G$4460,$G115)&gt;1,"重複",""))</f>
        <v/>
      </c>
    </row>
    <row r="116" customFormat="false" ht="16.5" hidden="false" customHeight="true" outlineLevel="0" collapsed="false">
      <c r="A116" s="2" t="s">
        <v>385</v>
      </c>
      <c r="B116" s="2" t="s">
        <v>387</v>
      </c>
      <c r="C116" s="2" t="s">
        <v>16</v>
      </c>
      <c r="D116" s="2" t="str">
        <f aca="false">IF(2キー同時!$B$19="","",2キー同時!$B$19)</f>
        <v>f</v>
      </c>
      <c r="E116" s="2" t="str">
        <f aca="false">""</f>
        <v/>
      </c>
      <c r="F116" s="2" t="str">
        <f aca="false">""</f>
        <v/>
      </c>
      <c r="G116" s="2" t="str">
        <f aca="false">IF(2キー同時!$B$19="","",IF(2キー同時!X23="","",SUBSTITUTE(SUBSTITUTE(2キー同時!X23," ",""),"　","")))</f>
        <v/>
      </c>
      <c r="H116" s="2" t="str">
        <f aca="false">IF($G116="","",2キー同時!$B$19)</f>
        <v/>
      </c>
      <c r="I116" s="2" t="str">
        <f aca="false">IF($G116="","","t")</f>
        <v/>
      </c>
      <c r="J116" s="2" t="str">
        <f aca="false">""</f>
        <v/>
      </c>
      <c r="K116" s="2" t="str">
        <f aca="false">""</f>
        <v/>
      </c>
      <c r="L116" s="2" t="str">
        <f aca="false">IF($G116="","","同時")</f>
        <v/>
      </c>
      <c r="M116" s="2" t="str">
        <f aca="false">IF($G116="","",IF(ISNA(MATCH($G116,個別指定!$A:$A,0)),"行なし",""))</f>
        <v/>
      </c>
      <c r="N116" s="2" t="str">
        <f aca="false">IF($G116="","",IF(COUNTIF($G$2:$G$4460,$G116)&gt;1,"重複",""))</f>
        <v/>
      </c>
    </row>
    <row r="117" customFormat="false" ht="16.5" hidden="false" customHeight="true" outlineLevel="0" collapsed="false">
      <c r="A117" s="2" t="s">
        <v>385</v>
      </c>
      <c r="B117" s="2" t="s">
        <v>387</v>
      </c>
      <c r="C117" s="2" t="s">
        <v>17</v>
      </c>
      <c r="D117" s="2" t="str">
        <f aca="false">IF(2キー同時!$B$19="","",2キー同時!$B$19)</f>
        <v>f</v>
      </c>
      <c r="E117" s="2" t="str">
        <f aca="false">""</f>
        <v/>
      </c>
      <c r="F117" s="2" t="str">
        <f aca="false">""</f>
        <v/>
      </c>
      <c r="G117" s="2" t="str">
        <f aca="false">IF(2キー同時!$B$19="","",IF(2キー同時!AB23="","",SUBSTITUTE(SUBSTITUTE(2キー同時!AB23," ",""),"　","")))</f>
        <v/>
      </c>
      <c r="H117" s="2" t="str">
        <f aca="false">IF($G117="","",2キー同時!$B$19)</f>
        <v/>
      </c>
      <c r="I117" s="2" t="str">
        <f aca="false">IF($G117="","","y")</f>
        <v/>
      </c>
      <c r="J117" s="2" t="str">
        <f aca="false">""</f>
        <v/>
      </c>
      <c r="K117" s="2" t="str">
        <f aca="false">""</f>
        <v/>
      </c>
      <c r="L117" s="2" t="str">
        <f aca="false">IF($G117="","","同時")</f>
        <v/>
      </c>
      <c r="M117" s="2" t="str">
        <f aca="false">IF($G117="","",IF(ISNA(MATCH($G117,個別指定!$A:$A,0)),"行なし",""))</f>
        <v/>
      </c>
      <c r="N117" s="2" t="str">
        <f aca="false">IF($G117="","",IF(COUNTIF($G$2:$G$4460,$G117)&gt;1,"重複",""))</f>
        <v/>
      </c>
    </row>
    <row r="118" customFormat="false" ht="16.5" hidden="false" customHeight="true" outlineLevel="0" collapsed="false">
      <c r="A118" s="2" t="s">
        <v>385</v>
      </c>
      <c r="B118" s="2" t="s">
        <v>387</v>
      </c>
      <c r="C118" s="2" t="s">
        <v>18</v>
      </c>
      <c r="D118" s="2" t="str">
        <f aca="false">IF(2キー同時!$B$19="","",2キー同時!$B$19)</f>
        <v>f</v>
      </c>
      <c r="E118" s="2" t="str">
        <f aca="false">""</f>
        <v/>
      </c>
      <c r="F118" s="2" t="str">
        <f aca="false">""</f>
        <v/>
      </c>
      <c r="G118" s="2" t="str">
        <f aca="false">IF(2キー同時!$B$19="","",IF(2キー同時!AF23="","",SUBSTITUTE(SUBSTITUTE(2キー同時!AF23," ",""),"　","")))</f>
        <v>ざ</v>
      </c>
      <c r="H118" s="2" t="str">
        <f aca="false">IF($G118="","",2キー同時!$B$19)</f>
        <v>f</v>
      </c>
      <c r="I118" s="2" t="str">
        <f aca="false">IF($G118="","","u")</f>
        <v>u</v>
      </c>
      <c r="J118" s="2" t="str">
        <f aca="false">""</f>
        <v/>
      </c>
      <c r="K118" s="2" t="str">
        <f aca="false">""</f>
        <v/>
      </c>
      <c r="L118" s="2" t="str">
        <f aca="false">IF($G118="","","同時")</f>
        <v>同時</v>
      </c>
      <c r="M118" s="2" t="str">
        <f aca="false">IF($G118="","",IF(ISNA(MATCH($G118,個別指定!$A:$A,0)),"行なし",""))</f>
        <v/>
      </c>
      <c r="N118" s="2" t="str">
        <f aca="false">IF($G118="","",IF(COUNTIF($G$2:$G$4460,$G118)&gt;1,"重複",""))</f>
        <v/>
      </c>
    </row>
    <row r="119" customFormat="false" ht="16.5" hidden="false" customHeight="true" outlineLevel="0" collapsed="false">
      <c r="A119" s="2" t="s">
        <v>385</v>
      </c>
      <c r="B119" s="2" t="s">
        <v>387</v>
      </c>
      <c r="C119" s="2" t="s">
        <v>19</v>
      </c>
      <c r="D119" s="2" t="str">
        <f aca="false">IF(2キー同時!$B$19="","",2キー同時!$B$19)</f>
        <v>f</v>
      </c>
      <c r="E119" s="2" t="str">
        <f aca="false">""</f>
        <v/>
      </c>
      <c r="F119" s="2" t="str">
        <f aca="false">""</f>
        <v/>
      </c>
      <c r="G119" s="2" t="str">
        <f aca="false">IF(2キー同時!$B$19="","",IF(2キー同時!AJ23="","",SUBSTITUTE(SUBSTITUTE(2キー同時!AJ23," ",""),"　","")))</f>
        <v/>
      </c>
      <c r="H119" s="2" t="str">
        <f aca="false">IF($G119="","",2キー同時!$B$19)</f>
        <v/>
      </c>
      <c r="I119" s="2" t="str">
        <f aca="false">IF($G119="","","i")</f>
        <v/>
      </c>
      <c r="J119" s="2" t="str">
        <f aca="false">""</f>
        <v/>
      </c>
      <c r="K119" s="2" t="str">
        <f aca="false">""</f>
        <v/>
      </c>
      <c r="L119" s="2" t="str">
        <f aca="false">IF($G119="","","同時")</f>
        <v/>
      </c>
      <c r="M119" s="2" t="str">
        <f aca="false">IF($G119="","",IF(ISNA(MATCH($G119,個別指定!$A:$A,0)),"行なし",""))</f>
        <v/>
      </c>
      <c r="N119" s="2" t="str">
        <f aca="false">IF($G119="","",IF(COUNTIF($G$2:$G$4460,$G119)&gt;1,"重複",""))</f>
        <v/>
      </c>
    </row>
    <row r="120" customFormat="false" ht="16.5" hidden="false" customHeight="true" outlineLevel="0" collapsed="false">
      <c r="A120" s="2" t="s">
        <v>385</v>
      </c>
      <c r="B120" s="2" t="s">
        <v>387</v>
      </c>
      <c r="C120" s="2" t="s">
        <v>20</v>
      </c>
      <c r="D120" s="2" t="str">
        <f aca="false">IF(2キー同時!$B$19="","",2キー同時!$B$19)</f>
        <v>f</v>
      </c>
      <c r="E120" s="2" t="str">
        <f aca="false">""</f>
        <v/>
      </c>
      <c r="F120" s="2" t="str">
        <f aca="false">""</f>
        <v/>
      </c>
      <c r="G120" s="2" t="str">
        <f aca="false">IF(2キー同時!$B$19="","",IF(2キー同時!AN23="","",SUBSTITUTE(SUBSTITUTE(2キー同時!AN23," ",""),"　","")))</f>
        <v>ず</v>
      </c>
      <c r="H120" s="2" t="str">
        <f aca="false">IF($G120="","",2キー同時!$B$19)</f>
        <v>f</v>
      </c>
      <c r="I120" s="2" t="str">
        <f aca="false">IF($G120="","","o")</f>
        <v>o</v>
      </c>
      <c r="J120" s="2" t="str">
        <f aca="false">""</f>
        <v/>
      </c>
      <c r="K120" s="2" t="str">
        <f aca="false">""</f>
        <v/>
      </c>
      <c r="L120" s="2" t="str">
        <f aca="false">IF($G120="","","同時")</f>
        <v>同時</v>
      </c>
      <c r="M120" s="2" t="str">
        <f aca="false">IF($G120="","",IF(ISNA(MATCH($G120,個別指定!$A:$A,0)),"行なし",""))</f>
        <v/>
      </c>
      <c r="N120" s="2" t="str">
        <f aca="false">IF($G120="","",IF(COUNTIF($G$2:$G$4460,$G120)&gt;1,"重複",""))</f>
        <v/>
      </c>
    </row>
    <row r="121" customFormat="false" ht="16.5" hidden="false" customHeight="true" outlineLevel="0" collapsed="false">
      <c r="A121" s="2" t="s">
        <v>385</v>
      </c>
      <c r="B121" s="2" t="s">
        <v>387</v>
      </c>
      <c r="C121" s="2" t="s">
        <v>21</v>
      </c>
      <c r="D121" s="2" t="str">
        <f aca="false">IF(2キー同時!$B$19="","",2キー同時!$B$19)</f>
        <v>f</v>
      </c>
      <c r="E121" s="2" t="str">
        <f aca="false">""</f>
        <v/>
      </c>
      <c r="F121" s="2" t="str">
        <f aca="false">""</f>
        <v/>
      </c>
      <c r="G121" s="2" t="str">
        <f aca="false">IF(2キー同時!$B$19="","",IF(2キー同時!AR23="","",SUBSTITUTE(SUBSTITUTE(2キー同時!AR23," ",""),"　","")))</f>
        <v>べ</v>
      </c>
      <c r="H121" s="2" t="str">
        <f aca="false">IF($G121="","",2キー同時!$B$19)</f>
        <v>f</v>
      </c>
      <c r="I121" s="2" t="str">
        <f aca="false">IF($G121="","","p")</f>
        <v>p</v>
      </c>
      <c r="J121" s="2" t="str">
        <f aca="false">""</f>
        <v/>
      </c>
      <c r="K121" s="2" t="str">
        <f aca="false">""</f>
        <v/>
      </c>
      <c r="L121" s="2" t="str">
        <f aca="false">IF($G121="","","同時")</f>
        <v>同時</v>
      </c>
      <c r="M121" s="2" t="str">
        <f aca="false">IF($G121="","",IF(ISNA(MATCH($G121,個別指定!$A:$A,0)),"行なし",""))</f>
        <v/>
      </c>
      <c r="N121" s="2" t="str">
        <f aca="false">IF($G121="","",IF(COUNTIF($G$2:$G$4460,$G121)&gt;1,"重複",""))</f>
        <v/>
      </c>
    </row>
    <row r="122" customFormat="false" ht="16.5" hidden="false" customHeight="true" outlineLevel="0" collapsed="false">
      <c r="A122" s="2" t="s">
        <v>385</v>
      </c>
      <c r="B122" s="2" t="s">
        <v>387</v>
      </c>
      <c r="C122" s="2" t="s">
        <v>22</v>
      </c>
      <c r="D122" s="2" t="str">
        <f aca="false">IF(2キー同時!$B$19="","",2キー同時!$B$19)</f>
        <v>f</v>
      </c>
      <c r="E122" s="2" t="str">
        <f aca="false">""</f>
        <v/>
      </c>
      <c r="F122" s="2" t="str">
        <f aca="false">""</f>
        <v/>
      </c>
      <c r="G122" s="2" t="str">
        <f aca="false">IF(2キー同時!$B$19="","",IF(2キー同時!AV23="","",SUBSTITUTE(SUBSTITUTE(2キー同時!AV23," ",""),"　","")))</f>
        <v/>
      </c>
      <c r="H122" s="2" t="str">
        <f aca="false">IF($G122="","",2キー同時!$B$19)</f>
        <v/>
      </c>
      <c r="I122" s="2" t="str">
        <f aca="false">IF($G122="","","[")</f>
        <v/>
      </c>
      <c r="J122" s="2" t="str">
        <f aca="false">""</f>
        <v/>
      </c>
      <c r="K122" s="2" t="str">
        <f aca="false">""</f>
        <v/>
      </c>
      <c r="L122" s="2" t="str">
        <f aca="false">IF($G122="","","同時")</f>
        <v/>
      </c>
      <c r="M122" s="2" t="str">
        <f aca="false">IF($G122="","",IF(ISNA(MATCH($G122,個別指定!$A:$A,0)),"行なし",""))</f>
        <v/>
      </c>
      <c r="N122" s="2" t="str">
        <f aca="false">IF($G122="","",IF(COUNTIF($G$2:$G$4460,$G122)&gt;1,"重複",""))</f>
        <v/>
      </c>
    </row>
    <row r="123" customFormat="false" ht="16.5" hidden="false" customHeight="true" outlineLevel="0" collapsed="false">
      <c r="A123" s="2" t="s">
        <v>385</v>
      </c>
      <c r="B123" s="2" t="s">
        <v>387</v>
      </c>
      <c r="C123" s="2" t="s">
        <v>23</v>
      </c>
      <c r="D123" s="2" t="str">
        <f aca="false">IF(2キー同時!$B$19="","",2キー同時!$B$19)</f>
        <v>f</v>
      </c>
      <c r="E123" s="2" t="str">
        <f aca="false">""</f>
        <v/>
      </c>
      <c r="F123" s="2" t="str">
        <f aca="false">""</f>
        <v/>
      </c>
      <c r="G123" s="2" t="str">
        <f aca="false">IF(2キー同時!$B$19="","",IF(2キー同時!AZ23="","",SUBSTITUTE(SUBSTITUTE(2キー同時!AZ23," ",""),"　","")))</f>
        <v/>
      </c>
      <c r="H123" s="2" t="str">
        <f aca="false">IF($G123="","",2キー同時!$B$19)</f>
        <v/>
      </c>
      <c r="I123" s="2" t="str">
        <f aca="false">IF($G123="","","]")</f>
        <v/>
      </c>
      <c r="J123" s="2" t="str">
        <f aca="false">""</f>
        <v/>
      </c>
      <c r="K123" s="2" t="str">
        <f aca="false">""</f>
        <v/>
      </c>
      <c r="L123" s="2" t="str">
        <f aca="false">IF($G123="","","同時")</f>
        <v/>
      </c>
      <c r="M123" s="2" t="str">
        <f aca="false">IF($G123="","",IF(ISNA(MATCH($G123,個別指定!$A:$A,0)),"行なし",""))</f>
        <v/>
      </c>
      <c r="N123" s="2" t="str">
        <f aca="false">IF($G123="","",IF(COUNTIF($G$2:$G$4460,$G123)&gt;1,"重複",""))</f>
        <v/>
      </c>
    </row>
    <row r="124" customFormat="false" ht="16.5" hidden="false" customHeight="true" outlineLevel="0" collapsed="false">
      <c r="A124" s="2" t="s">
        <v>385</v>
      </c>
      <c r="B124" s="2" t="s">
        <v>387</v>
      </c>
      <c r="C124" s="2" t="s">
        <v>24</v>
      </c>
      <c r="D124" s="2" t="str">
        <f aca="false">IF(2キー同時!$B$19="","",2キー同時!$B$19)</f>
        <v>f</v>
      </c>
      <c r="E124" s="2" t="str">
        <f aca="false">""</f>
        <v/>
      </c>
      <c r="F124" s="2" t="str">
        <f aca="false">""</f>
        <v/>
      </c>
      <c r="G124" s="2" t="str">
        <f aca="false">IF(2キー同時!$B$19="","",IF(2キー同時!I25="","",SUBSTITUTE(SUBSTITUTE(2キー同時!I25," ",""),"　","")))</f>
        <v/>
      </c>
      <c r="H124" s="2" t="str">
        <f aca="false">IF($G124="","",2キー同時!$B$19)</f>
        <v/>
      </c>
      <c r="I124" s="2" t="str">
        <f aca="false">IF($G124="","","a")</f>
        <v/>
      </c>
      <c r="J124" s="2" t="str">
        <f aca="false">""</f>
        <v/>
      </c>
      <c r="K124" s="2" t="str">
        <f aca="false">""</f>
        <v/>
      </c>
      <c r="L124" s="2" t="str">
        <f aca="false">IF($G124="","","同時")</f>
        <v/>
      </c>
      <c r="M124" s="2" t="str">
        <f aca="false">IF($G124="","",IF(ISNA(MATCH($G124,個別指定!$A:$A,0)),"行なし",""))</f>
        <v/>
      </c>
      <c r="N124" s="2" t="str">
        <f aca="false">IF($G124="","",IF(COUNTIF($G$2:$G$4460,$G124)&gt;1,"重複",""))</f>
        <v/>
      </c>
    </row>
    <row r="125" customFormat="false" ht="16.5" hidden="false" customHeight="true" outlineLevel="0" collapsed="false">
      <c r="A125" s="2" t="s">
        <v>385</v>
      </c>
      <c r="B125" s="2" t="s">
        <v>387</v>
      </c>
      <c r="C125" s="2" t="s">
        <v>25</v>
      </c>
      <c r="D125" s="2" t="str">
        <f aca="false">IF(2キー同時!$B$19="","",2キー同時!$B$19)</f>
        <v>f</v>
      </c>
      <c r="E125" s="2" t="str">
        <f aca="false">""</f>
        <v/>
      </c>
      <c r="F125" s="2" t="str">
        <f aca="false">""</f>
        <v/>
      </c>
      <c r="G125" s="2" t="str">
        <f aca="false">IF(2キー同時!$B$19="","",IF(2キー同時!M25="","",SUBSTITUTE(SUBSTITUTE(2キー同時!M25," ",""),"　","")))</f>
        <v/>
      </c>
      <c r="H125" s="2" t="str">
        <f aca="false">IF($G125="","",2キー同時!$B$19)</f>
        <v/>
      </c>
      <c r="I125" s="2" t="str">
        <f aca="false">IF($G125="","","s")</f>
        <v/>
      </c>
      <c r="J125" s="2" t="str">
        <f aca="false">""</f>
        <v/>
      </c>
      <c r="K125" s="2" t="str">
        <f aca="false">""</f>
        <v/>
      </c>
      <c r="L125" s="2" t="str">
        <f aca="false">IF($G125="","","同時")</f>
        <v/>
      </c>
      <c r="M125" s="2" t="str">
        <f aca="false">IF($G125="","",IF(ISNA(MATCH($G125,個別指定!$A:$A,0)),"行なし",""))</f>
        <v/>
      </c>
      <c r="N125" s="2" t="str">
        <f aca="false">IF($G125="","",IF(COUNTIF($G$2:$G$4460,$G125)&gt;1,"重複",""))</f>
        <v/>
      </c>
    </row>
    <row r="126" customFormat="false" ht="16.5" hidden="false" customHeight="true" outlineLevel="0" collapsed="false">
      <c r="A126" s="2" t="s">
        <v>385</v>
      </c>
      <c r="B126" s="2" t="s">
        <v>387</v>
      </c>
      <c r="C126" s="2" t="s">
        <v>26</v>
      </c>
      <c r="D126" s="2" t="str">
        <f aca="false">IF(2キー同時!$B$19="","",2キー同時!$B$19)</f>
        <v>f</v>
      </c>
      <c r="E126" s="2" t="str">
        <f aca="false">""</f>
        <v/>
      </c>
      <c r="F126" s="2" t="str">
        <f aca="false">""</f>
        <v/>
      </c>
      <c r="G126" s="2" t="str">
        <f aca="false">IF(2キー同時!$B$19="","",IF(2キー同時!Q25="","",SUBSTITUTE(SUBSTITUTE(2キー同時!Q25," ",""),"　","")))</f>
        <v/>
      </c>
      <c r="H126" s="2" t="str">
        <f aca="false">IF($G126="","",2キー同時!$B$19)</f>
        <v/>
      </c>
      <c r="I126" s="2" t="str">
        <f aca="false">IF($G126="","","d")</f>
        <v/>
      </c>
      <c r="J126" s="2" t="str">
        <f aca="false">""</f>
        <v/>
      </c>
      <c r="K126" s="2" t="str">
        <f aca="false">""</f>
        <v/>
      </c>
      <c r="L126" s="2" t="str">
        <f aca="false">IF($G126="","","同時")</f>
        <v/>
      </c>
      <c r="M126" s="2" t="str">
        <f aca="false">IF($G126="","",IF(ISNA(MATCH($G126,個別指定!$A:$A,0)),"行なし",""))</f>
        <v/>
      </c>
      <c r="N126" s="2" t="str">
        <f aca="false">IF($G126="","",IF(COUNTIF($G$2:$G$4460,$G126)&gt;1,"重複",""))</f>
        <v/>
      </c>
    </row>
    <row r="127" customFormat="false" ht="16.5" hidden="false" customHeight="true" outlineLevel="0" collapsed="false">
      <c r="A127" s="2" t="s">
        <v>385</v>
      </c>
      <c r="B127" s="2" t="s">
        <v>387</v>
      </c>
      <c r="C127" s="2" t="s">
        <v>27</v>
      </c>
      <c r="D127" s="2" t="str">
        <f aca="false">IF(2キー同時!$B$19="","",2キー同時!$B$19)</f>
        <v>f</v>
      </c>
      <c r="E127" s="2" t="str">
        <f aca="false">""</f>
        <v/>
      </c>
      <c r="F127" s="2" t="str">
        <f aca="false">""</f>
        <v/>
      </c>
      <c r="G127" s="2" t="str">
        <f aca="false">IF(2キー同時!$B$19="","",IF(2キー同時!U25="","",SUBSTITUTE(SUBSTITUTE(2キー同時!U25," ",""),"　","")))</f>
        <v/>
      </c>
      <c r="H127" s="2" t="str">
        <f aca="false">IF($G127="","",2キー同時!$B$19)</f>
        <v/>
      </c>
      <c r="I127" s="2" t="str">
        <f aca="false">IF($G127="","","f")</f>
        <v/>
      </c>
      <c r="J127" s="2" t="str">
        <f aca="false">""</f>
        <v/>
      </c>
      <c r="K127" s="2" t="str">
        <f aca="false">""</f>
        <v/>
      </c>
      <c r="L127" s="2" t="str">
        <f aca="false">IF($G127="","","同時")</f>
        <v/>
      </c>
      <c r="M127" s="2" t="str">
        <f aca="false">IF($G127="","",IF(ISNA(MATCH($G127,個別指定!$A:$A,0)),"行なし",""))</f>
        <v/>
      </c>
      <c r="N127" s="2" t="str">
        <f aca="false">IF($G127="","",IF(COUNTIF($G$2:$G$4460,$G127)&gt;1,"重複",""))</f>
        <v/>
      </c>
    </row>
    <row r="128" customFormat="false" ht="16.5" hidden="false" customHeight="true" outlineLevel="0" collapsed="false">
      <c r="A128" s="2" t="s">
        <v>385</v>
      </c>
      <c r="B128" s="2" t="s">
        <v>387</v>
      </c>
      <c r="C128" s="2" t="s">
        <v>28</v>
      </c>
      <c r="D128" s="2" t="str">
        <f aca="false">IF(2キー同時!$B$19="","",2キー同時!$B$19)</f>
        <v>f</v>
      </c>
      <c r="E128" s="2" t="str">
        <f aca="false">""</f>
        <v/>
      </c>
      <c r="F128" s="2" t="str">
        <f aca="false">""</f>
        <v/>
      </c>
      <c r="G128" s="2" t="str">
        <f aca="false">IF(2キー同時!$B$19="","",IF(2キー同時!Y25="","",SUBSTITUTE(SUBSTITUTE(2キー同時!Y25," ",""),"　","")))</f>
        <v/>
      </c>
      <c r="H128" s="2" t="str">
        <f aca="false">IF($G128="","",2キー同時!$B$19)</f>
        <v/>
      </c>
      <c r="I128" s="2" t="str">
        <f aca="false">IF($G128="","","g")</f>
        <v/>
      </c>
      <c r="J128" s="2" t="str">
        <f aca="false">""</f>
        <v/>
      </c>
      <c r="K128" s="2" t="str">
        <f aca="false">""</f>
        <v/>
      </c>
      <c r="L128" s="2" t="str">
        <f aca="false">IF($G128="","","同時")</f>
        <v/>
      </c>
      <c r="M128" s="2" t="str">
        <f aca="false">IF($G128="","",IF(ISNA(MATCH($G128,個別指定!$A:$A,0)),"行なし",""))</f>
        <v/>
      </c>
      <c r="N128" s="2" t="str">
        <f aca="false">IF($G128="","",IF(COUNTIF($G$2:$G$4460,$G128)&gt;1,"重複",""))</f>
        <v/>
      </c>
    </row>
    <row r="129" customFormat="false" ht="16.5" hidden="false" customHeight="true" outlineLevel="0" collapsed="false">
      <c r="A129" s="2" t="s">
        <v>385</v>
      </c>
      <c r="B129" s="2" t="s">
        <v>387</v>
      </c>
      <c r="C129" s="2" t="s">
        <v>29</v>
      </c>
      <c r="D129" s="2" t="str">
        <f aca="false">IF(2キー同時!$B$19="","",2キー同時!$B$19)</f>
        <v>f</v>
      </c>
      <c r="E129" s="2" t="str">
        <f aca="false">""</f>
        <v/>
      </c>
      <c r="F129" s="2" t="str">
        <f aca="false">""</f>
        <v/>
      </c>
      <c r="G129" s="2" t="str">
        <f aca="false">IF(2キー同時!$B$19="","",IF(2キー同時!AC25="","",SUBSTITUTE(SUBSTITUTE(2キー同時!AC25," ",""),"　","")))</f>
        <v>ぐ</v>
      </c>
      <c r="H129" s="2" t="str">
        <f aca="false">IF($G129="","",2キー同時!$B$19)</f>
        <v>f</v>
      </c>
      <c r="I129" s="2" t="str">
        <f aca="false">IF($G129="","","h")</f>
        <v>h</v>
      </c>
      <c r="J129" s="2" t="str">
        <f aca="false">""</f>
        <v/>
      </c>
      <c r="K129" s="2" t="str">
        <f aca="false">""</f>
        <v/>
      </c>
      <c r="L129" s="2" t="str">
        <f aca="false">IF($G129="","","同時")</f>
        <v>同時</v>
      </c>
      <c r="M129" s="2" t="str">
        <f aca="false">IF($G129="","",IF(ISNA(MATCH($G129,個別指定!$A:$A,0)),"行なし",""))</f>
        <v/>
      </c>
      <c r="N129" s="2" t="str">
        <f aca="false">IF($G129="","",IF(COUNTIF($G$2:$G$4460,$G129)&gt;1,"重複",""))</f>
        <v/>
      </c>
    </row>
    <row r="130" customFormat="false" ht="16.5" hidden="false" customHeight="true" outlineLevel="0" collapsed="false">
      <c r="A130" s="2" t="s">
        <v>385</v>
      </c>
      <c r="B130" s="2" t="s">
        <v>387</v>
      </c>
      <c r="C130" s="2" t="s">
        <v>30</v>
      </c>
      <c r="D130" s="2" t="str">
        <f aca="false">IF(2キー同時!$B$19="","",2キー同時!$B$19)</f>
        <v>f</v>
      </c>
      <c r="E130" s="2" t="str">
        <f aca="false">""</f>
        <v/>
      </c>
      <c r="F130" s="2" t="str">
        <f aca="false">""</f>
        <v/>
      </c>
      <c r="G130" s="2" t="str">
        <f aca="false">IF(2キー同時!$B$19="","",IF(2キー同時!AG25="","",SUBSTITUTE(SUBSTITUTE(2キー同時!AG25," ",""),"　","")))</f>
        <v/>
      </c>
      <c r="H130" s="2" t="str">
        <f aca="false">IF($G130="","",2キー同時!$B$19)</f>
        <v/>
      </c>
      <c r="I130" s="2" t="str">
        <f aca="false">IF($G130="","","j")</f>
        <v/>
      </c>
      <c r="J130" s="2" t="str">
        <f aca="false">""</f>
        <v/>
      </c>
      <c r="K130" s="2" t="str">
        <f aca="false">""</f>
        <v/>
      </c>
      <c r="L130" s="2" t="str">
        <f aca="false">IF($G130="","","同時")</f>
        <v/>
      </c>
      <c r="M130" s="2" t="str">
        <f aca="false">IF($G130="","",IF(ISNA(MATCH($G130,個別指定!$A:$A,0)),"行なし",""))</f>
        <v/>
      </c>
      <c r="N130" s="2" t="str">
        <f aca="false">IF($G130="","",IF(COUNTIF($G$2:$G$4460,$G130)&gt;1,"重複",""))</f>
        <v/>
      </c>
    </row>
    <row r="131" customFormat="false" ht="16.5" hidden="false" customHeight="true" outlineLevel="0" collapsed="false">
      <c r="A131" s="2" t="s">
        <v>385</v>
      </c>
      <c r="B131" s="2" t="s">
        <v>387</v>
      </c>
      <c r="C131" s="2" t="s">
        <v>31</v>
      </c>
      <c r="D131" s="2" t="str">
        <f aca="false">IF(2キー同時!$B$19="","",2キー同時!$B$19)</f>
        <v>f</v>
      </c>
      <c r="E131" s="2" t="str">
        <f aca="false">""</f>
        <v/>
      </c>
      <c r="F131" s="2" t="str">
        <f aca="false">""</f>
        <v/>
      </c>
      <c r="G131" s="2" t="str">
        <f aca="false">IF(2キー同時!$B$19="","",IF(2キー同時!AK25="","",SUBSTITUTE(SUBSTITUTE(2キー同時!AK25," ",""),"　","")))</f>
        <v/>
      </c>
      <c r="H131" s="2" t="str">
        <f aca="false">IF($G131="","",2キー同時!$B$19)</f>
        <v/>
      </c>
      <c r="I131" s="2" t="str">
        <f aca="false">IF($G131="","","k")</f>
        <v/>
      </c>
      <c r="J131" s="2" t="str">
        <f aca="false">""</f>
        <v/>
      </c>
      <c r="K131" s="2" t="str">
        <f aca="false">""</f>
        <v/>
      </c>
      <c r="L131" s="2" t="str">
        <f aca="false">IF($G131="","","同時")</f>
        <v/>
      </c>
      <c r="M131" s="2" t="str">
        <f aca="false">IF($G131="","",IF(ISNA(MATCH($G131,個別指定!$A:$A,0)),"行なし",""))</f>
        <v/>
      </c>
      <c r="N131" s="2" t="str">
        <f aca="false">IF($G131="","",IF(COUNTIF($G$2:$G$4460,$G131)&gt;1,"重複",""))</f>
        <v/>
      </c>
    </row>
    <row r="132" customFormat="false" ht="16.5" hidden="false" customHeight="true" outlineLevel="0" collapsed="false">
      <c r="A132" s="2" t="s">
        <v>385</v>
      </c>
      <c r="B132" s="2" t="s">
        <v>387</v>
      </c>
      <c r="C132" s="2" t="s">
        <v>32</v>
      </c>
      <c r="D132" s="2" t="str">
        <f aca="false">IF(2キー同時!$B$19="","",2キー同時!$B$19)</f>
        <v>f</v>
      </c>
      <c r="E132" s="2" t="str">
        <f aca="false">""</f>
        <v/>
      </c>
      <c r="F132" s="2" t="str">
        <f aca="false">""</f>
        <v/>
      </c>
      <c r="G132" s="2" t="str">
        <f aca="false">IF(2キー同時!$B$19="","",IF(2キー同時!AO25="","",SUBSTITUTE(SUBSTITUTE(2キー同時!AO25," ",""),"　","")))</f>
        <v>づ</v>
      </c>
      <c r="H132" s="2" t="str">
        <f aca="false">IF($G132="","",2キー同時!$B$19)</f>
        <v>f</v>
      </c>
      <c r="I132" s="2" t="str">
        <f aca="false">IF($G132="","","l")</f>
        <v>l</v>
      </c>
      <c r="J132" s="2" t="str">
        <f aca="false">""</f>
        <v/>
      </c>
      <c r="K132" s="2" t="str">
        <f aca="false">""</f>
        <v/>
      </c>
      <c r="L132" s="2" t="str">
        <f aca="false">IF($G132="","","同時")</f>
        <v>同時</v>
      </c>
      <c r="M132" s="2" t="str">
        <f aca="false">IF($G132="","",IF(ISNA(MATCH($G132,個別指定!$A:$A,0)),"行なし",""))</f>
        <v/>
      </c>
      <c r="N132" s="2" t="str">
        <f aca="false">IF($G132="","",IF(COUNTIF($G$2:$G$4460,$G132)&gt;1,"重複",""))</f>
        <v/>
      </c>
    </row>
    <row r="133" customFormat="false" ht="16.5" hidden="false" customHeight="true" outlineLevel="0" collapsed="false">
      <c r="A133" s="2" t="s">
        <v>385</v>
      </c>
      <c r="B133" s="2" t="s">
        <v>387</v>
      </c>
      <c r="C133" s="2" t="s">
        <v>33</v>
      </c>
      <c r="D133" s="2" t="str">
        <f aca="false">IF(2キー同時!$B$19="","",2キー同時!$B$19)</f>
        <v>f</v>
      </c>
      <c r="E133" s="2" t="str">
        <f aca="false">""</f>
        <v/>
      </c>
      <c r="F133" s="2" t="str">
        <f aca="false">""</f>
        <v/>
      </c>
      <c r="G133" s="2" t="str">
        <f aca="false">IF(2キー同時!$B$19="","",IF(2キー同時!AS25="","",SUBSTITUTE(SUBSTITUTE(2キー同時!AS25," ",""),"　","")))</f>
        <v>ぶ</v>
      </c>
      <c r="H133" s="2" t="str">
        <f aca="false">IF($G133="","",2キー同時!$B$19)</f>
        <v>f</v>
      </c>
      <c r="I133" s="2" t="str">
        <f aca="false">IF($G133="","",";")</f>
        <v>;</v>
      </c>
      <c r="J133" s="2" t="str">
        <f aca="false">""</f>
        <v/>
      </c>
      <c r="K133" s="2" t="str">
        <f aca="false">""</f>
        <v/>
      </c>
      <c r="L133" s="2" t="str">
        <f aca="false">IF($G133="","","同時")</f>
        <v>同時</v>
      </c>
      <c r="M133" s="2" t="str">
        <f aca="false">IF($G133="","",IF(ISNA(MATCH($G133,個別指定!$A:$A,0)),"行なし",""))</f>
        <v/>
      </c>
      <c r="N133" s="2" t="str">
        <f aca="false">IF($G133="","",IF(COUNTIF($G$2:$G$4460,$G133)&gt;1,"重複",""))</f>
        <v/>
      </c>
    </row>
    <row r="134" customFormat="false" ht="16.5" hidden="false" customHeight="true" outlineLevel="0" collapsed="false">
      <c r="A134" s="2" t="s">
        <v>385</v>
      </c>
      <c r="B134" s="2" t="s">
        <v>387</v>
      </c>
      <c r="C134" s="2" t="s">
        <v>34</v>
      </c>
      <c r="D134" s="2" t="str">
        <f aca="false">IF(2キー同時!$B$19="","",2キー同時!$B$19)</f>
        <v>f</v>
      </c>
      <c r="E134" s="2" t="str">
        <f aca="false">""</f>
        <v/>
      </c>
      <c r="F134" s="2" t="str">
        <f aca="false">""</f>
        <v/>
      </c>
      <c r="G134" s="2" t="str">
        <f aca="false">IF(2キー同時!$B$19="","",IF(2キー同時!AW25="","",SUBSTITUTE(SUBSTITUTE(2キー同時!AW25," ",""),"　","")))</f>
        <v/>
      </c>
      <c r="H134" s="2" t="str">
        <f aca="false">IF($G134="","",2キー同時!$B$19)</f>
        <v/>
      </c>
      <c r="I134" s="2" t="str">
        <f aca="false">IF($G134="","","'")</f>
        <v/>
      </c>
      <c r="J134" s="2" t="str">
        <f aca="false">""</f>
        <v/>
      </c>
      <c r="K134" s="2" t="str">
        <f aca="false">""</f>
        <v/>
      </c>
      <c r="L134" s="2" t="str">
        <f aca="false">IF($G134="","","同時")</f>
        <v/>
      </c>
      <c r="M134" s="2" t="str">
        <f aca="false">IF($G134="","",IF(ISNA(MATCH($G134,個別指定!$A:$A,0)),"行なし",""))</f>
        <v/>
      </c>
      <c r="N134" s="2" t="str">
        <f aca="false">IF($G134="","",IF(COUNTIF($G$2:$G$4460,$G134)&gt;1,"重複",""))</f>
        <v/>
      </c>
    </row>
    <row r="135" customFormat="false" ht="16.5" hidden="false" customHeight="true" outlineLevel="0" collapsed="false">
      <c r="A135" s="2" t="s">
        <v>385</v>
      </c>
      <c r="B135" s="2" t="s">
        <v>387</v>
      </c>
      <c r="C135" s="2" t="s">
        <v>35</v>
      </c>
      <c r="D135" s="2" t="str">
        <f aca="false">IF(2キー同時!$B$19="","",2キー同時!$B$19)</f>
        <v>f</v>
      </c>
      <c r="E135" s="2" t="str">
        <f aca="false">""</f>
        <v/>
      </c>
      <c r="F135" s="2" t="str">
        <f aca="false">""</f>
        <v/>
      </c>
      <c r="G135" s="2" t="str">
        <f aca="false">IF(2キー同時!$B$19="","",IF(2キー同時!K27="","",SUBSTITUTE(SUBSTITUTE(2キー同時!K27," ",""),"　","")))</f>
        <v/>
      </c>
      <c r="H135" s="2" t="str">
        <f aca="false">IF($G135="","",2キー同時!$B$19)</f>
        <v/>
      </c>
      <c r="I135" s="2" t="str">
        <f aca="false">IF($G135="","","z")</f>
        <v/>
      </c>
      <c r="J135" s="2" t="str">
        <f aca="false">""</f>
        <v/>
      </c>
      <c r="K135" s="2" t="str">
        <f aca="false">""</f>
        <v/>
      </c>
      <c r="L135" s="2" t="str">
        <f aca="false">IF($G135="","","同時")</f>
        <v/>
      </c>
      <c r="M135" s="2" t="str">
        <f aca="false">IF($G135="","",IF(ISNA(MATCH($G135,個別指定!$A:$A,0)),"行なし",""))</f>
        <v/>
      </c>
      <c r="N135" s="2" t="str">
        <f aca="false">IF($G135="","",IF(COUNTIF($G$2:$G$4460,$G135)&gt;1,"重複",""))</f>
        <v/>
      </c>
    </row>
    <row r="136" customFormat="false" ht="16.5" hidden="false" customHeight="true" outlineLevel="0" collapsed="false">
      <c r="A136" s="2" t="s">
        <v>385</v>
      </c>
      <c r="B136" s="2" t="s">
        <v>387</v>
      </c>
      <c r="C136" s="2" t="s">
        <v>36</v>
      </c>
      <c r="D136" s="2" t="str">
        <f aca="false">IF(2キー同時!$B$19="","",2キー同時!$B$19)</f>
        <v>f</v>
      </c>
      <c r="E136" s="2" t="str">
        <f aca="false">""</f>
        <v/>
      </c>
      <c r="F136" s="2" t="str">
        <f aca="false">""</f>
        <v/>
      </c>
      <c r="G136" s="2" t="str">
        <f aca="false">IF(2キー同時!$B$19="","",IF(2キー同時!O27="","",SUBSTITUTE(SUBSTITUTE(2キー同時!O27," ",""),"　","")))</f>
        <v/>
      </c>
      <c r="H136" s="2" t="str">
        <f aca="false">IF($G136="","",2キー同時!$B$19)</f>
        <v/>
      </c>
      <c r="I136" s="2" t="str">
        <f aca="false">IF($G136="","","x")</f>
        <v/>
      </c>
      <c r="J136" s="2" t="str">
        <f aca="false">""</f>
        <v/>
      </c>
      <c r="K136" s="2" t="str">
        <f aca="false">""</f>
        <v/>
      </c>
      <c r="L136" s="2" t="str">
        <f aca="false">IF($G136="","","同時")</f>
        <v/>
      </c>
      <c r="M136" s="2" t="str">
        <f aca="false">IF($G136="","",IF(ISNA(MATCH($G136,個別指定!$A:$A,0)),"行なし",""))</f>
        <v/>
      </c>
      <c r="N136" s="2" t="str">
        <f aca="false">IF($G136="","",IF(COUNTIF($G$2:$G$4460,$G136)&gt;1,"重複",""))</f>
        <v/>
      </c>
    </row>
    <row r="137" customFormat="false" ht="16.5" hidden="false" customHeight="true" outlineLevel="0" collapsed="false">
      <c r="A137" s="2" t="s">
        <v>385</v>
      </c>
      <c r="B137" s="2" t="s">
        <v>387</v>
      </c>
      <c r="C137" s="2" t="s">
        <v>37</v>
      </c>
      <c r="D137" s="2" t="str">
        <f aca="false">IF(2キー同時!$B$19="","",2キー同時!$B$19)</f>
        <v>f</v>
      </c>
      <c r="E137" s="2" t="str">
        <f aca="false">""</f>
        <v/>
      </c>
      <c r="F137" s="2" t="str">
        <f aca="false">""</f>
        <v/>
      </c>
      <c r="G137" s="2" t="str">
        <f aca="false">IF(2キー同時!$B$19="","",IF(2キー同時!S27="","",SUBSTITUTE(SUBSTITUTE(2キー同時!S27," ",""),"　","")))</f>
        <v/>
      </c>
      <c r="H137" s="2" t="str">
        <f aca="false">IF($G137="","",2キー同時!$B$19)</f>
        <v/>
      </c>
      <c r="I137" s="2" t="str">
        <f aca="false">IF($G137="","","c")</f>
        <v/>
      </c>
      <c r="J137" s="2" t="str">
        <f aca="false">""</f>
        <v/>
      </c>
      <c r="K137" s="2" t="str">
        <f aca="false">""</f>
        <v/>
      </c>
      <c r="L137" s="2" t="str">
        <f aca="false">IF($G137="","","同時")</f>
        <v/>
      </c>
      <c r="M137" s="2" t="str">
        <f aca="false">IF($G137="","",IF(ISNA(MATCH($G137,個別指定!$A:$A,0)),"行なし",""))</f>
        <v/>
      </c>
      <c r="N137" s="2" t="str">
        <f aca="false">IF($G137="","",IF(COUNTIF($G$2:$G$4460,$G137)&gt;1,"重複",""))</f>
        <v/>
      </c>
    </row>
    <row r="138" customFormat="false" ht="16.5" hidden="false" customHeight="true" outlineLevel="0" collapsed="false">
      <c r="A138" s="2" t="s">
        <v>385</v>
      </c>
      <c r="B138" s="2" t="s">
        <v>387</v>
      </c>
      <c r="C138" s="2" t="s">
        <v>38</v>
      </c>
      <c r="D138" s="2" t="str">
        <f aca="false">IF(2キー同時!$B$19="","",2キー同時!$B$19)</f>
        <v>f</v>
      </c>
      <c r="E138" s="2" t="str">
        <f aca="false">""</f>
        <v/>
      </c>
      <c r="F138" s="2" t="str">
        <f aca="false">""</f>
        <v/>
      </c>
      <c r="G138" s="2" t="str">
        <f aca="false">IF(2キー同時!$B$19="","",IF(2キー同時!W27="","",SUBSTITUTE(SUBSTITUTE(2キー同時!W27," ",""),"　","")))</f>
        <v/>
      </c>
      <c r="H138" s="2" t="str">
        <f aca="false">IF($G138="","",2キー同時!$B$19)</f>
        <v/>
      </c>
      <c r="I138" s="2" t="str">
        <f aca="false">IF($G138="","","v")</f>
        <v/>
      </c>
      <c r="J138" s="2" t="str">
        <f aca="false">""</f>
        <v/>
      </c>
      <c r="K138" s="2" t="str">
        <f aca="false">""</f>
        <v/>
      </c>
      <c r="L138" s="2" t="str">
        <f aca="false">IF($G138="","","同時")</f>
        <v/>
      </c>
      <c r="M138" s="2" t="str">
        <f aca="false">IF($G138="","",IF(ISNA(MATCH($G138,個別指定!$A:$A,0)),"行なし",""))</f>
        <v/>
      </c>
      <c r="N138" s="2" t="str">
        <f aca="false">IF($G138="","",IF(COUNTIF($G$2:$G$4460,$G138)&gt;1,"重複",""))</f>
        <v/>
      </c>
    </row>
    <row r="139" customFormat="false" ht="16.5" hidden="false" customHeight="true" outlineLevel="0" collapsed="false">
      <c r="A139" s="2" t="s">
        <v>385</v>
      </c>
      <c r="B139" s="2" t="s">
        <v>387</v>
      </c>
      <c r="C139" s="2" t="s">
        <v>39</v>
      </c>
      <c r="D139" s="2" t="str">
        <f aca="false">IF(2キー同時!$B$19="","",2キー同時!$B$19)</f>
        <v>f</v>
      </c>
      <c r="E139" s="2" t="str">
        <f aca="false">""</f>
        <v/>
      </c>
      <c r="F139" s="2" t="str">
        <f aca="false">""</f>
        <v/>
      </c>
      <c r="G139" s="2" t="str">
        <f aca="false">IF(2キー同時!$B$19="","",IF(2キー同時!AA27="","",SUBSTITUTE(SUBSTITUTE(2キー同時!AA27," ",""),"　","")))</f>
        <v/>
      </c>
      <c r="H139" s="2" t="str">
        <f aca="false">IF($G139="","",2キー同時!$B$19)</f>
        <v/>
      </c>
      <c r="I139" s="2" t="str">
        <f aca="false">IF($G139="","","b")</f>
        <v/>
      </c>
      <c r="J139" s="2" t="str">
        <f aca="false">""</f>
        <v/>
      </c>
      <c r="K139" s="2" t="str">
        <f aca="false">""</f>
        <v/>
      </c>
      <c r="L139" s="2" t="str">
        <f aca="false">IF($G139="","","同時")</f>
        <v/>
      </c>
      <c r="M139" s="2" t="str">
        <f aca="false">IF($G139="","",IF(ISNA(MATCH($G139,個別指定!$A:$A,0)),"行なし",""))</f>
        <v/>
      </c>
      <c r="N139" s="2" t="str">
        <f aca="false">IF($G139="","",IF(COUNTIF($G$2:$G$4460,$G139)&gt;1,"重複",""))</f>
        <v/>
      </c>
    </row>
    <row r="140" customFormat="false" ht="16.5" hidden="false" customHeight="true" outlineLevel="0" collapsed="false">
      <c r="A140" s="2" t="s">
        <v>385</v>
      </c>
      <c r="B140" s="2" t="s">
        <v>387</v>
      </c>
      <c r="C140" s="2" t="s">
        <v>40</v>
      </c>
      <c r="D140" s="2" t="str">
        <f aca="false">IF(2キー同時!$B$19="","",2キー同時!$B$19)</f>
        <v>f</v>
      </c>
      <c r="E140" s="2" t="str">
        <f aca="false">""</f>
        <v/>
      </c>
      <c r="F140" s="2" t="str">
        <f aca="false">""</f>
        <v/>
      </c>
      <c r="G140" s="2" t="str">
        <f aca="false">IF(2キー同時!$B$19="","",IF(2キー同時!AE27="","",SUBSTITUTE(SUBSTITUTE(2キー同時!AE27," ",""),"　","")))</f>
        <v>だ</v>
      </c>
      <c r="H140" s="2" t="str">
        <f aca="false">IF($G140="","",2キー同時!$B$19)</f>
        <v>f</v>
      </c>
      <c r="I140" s="2" t="str">
        <f aca="false">IF($G140="","","n")</f>
        <v>n</v>
      </c>
      <c r="J140" s="2" t="str">
        <f aca="false">""</f>
        <v/>
      </c>
      <c r="K140" s="2" t="str">
        <f aca="false">""</f>
        <v/>
      </c>
      <c r="L140" s="2" t="str">
        <f aca="false">IF($G140="","","同時")</f>
        <v>同時</v>
      </c>
      <c r="M140" s="2" t="str">
        <f aca="false">IF($G140="","",IF(ISNA(MATCH($G140,個別指定!$A:$A,0)),"行なし",""))</f>
        <v/>
      </c>
      <c r="N140" s="2" t="str">
        <f aca="false">IF($G140="","",IF(COUNTIF($G$2:$G$4460,$G140)&gt;1,"重複",""))</f>
        <v/>
      </c>
    </row>
    <row r="141" customFormat="false" ht="16.5" hidden="false" customHeight="true" outlineLevel="0" collapsed="false">
      <c r="A141" s="2" t="s">
        <v>385</v>
      </c>
      <c r="B141" s="2" t="s">
        <v>387</v>
      </c>
      <c r="C141" s="2" t="s">
        <v>41</v>
      </c>
      <c r="D141" s="2" t="str">
        <f aca="false">IF(2キー同時!$B$19="","",2キー同時!$B$19)</f>
        <v>f</v>
      </c>
      <c r="E141" s="2" t="str">
        <f aca="false">""</f>
        <v/>
      </c>
      <c r="F141" s="2" t="str">
        <f aca="false">""</f>
        <v/>
      </c>
      <c r="G141" s="2" t="str">
        <f aca="false">IF(2キー同時!$B$19="","",IF(2キー同時!AI27="","",SUBSTITUTE(SUBSTITUTE(2キー同時!AI27," ",""),"　","")))</f>
        <v/>
      </c>
      <c r="H141" s="2" t="str">
        <f aca="false">IF($G141="","",2キー同時!$B$19)</f>
        <v/>
      </c>
      <c r="I141" s="2" t="str">
        <f aca="false">IF($G141="","","m")</f>
        <v/>
      </c>
      <c r="J141" s="2" t="str">
        <f aca="false">""</f>
        <v/>
      </c>
      <c r="K141" s="2" t="str">
        <f aca="false">""</f>
        <v/>
      </c>
      <c r="L141" s="2" t="str">
        <f aca="false">IF($G141="","","同時")</f>
        <v/>
      </c>
      <c r="M141" s="2" t="str">
        <f aca="false">IF($G141="","",IF(ISNA(MATCH($G141,個別指定!$A:$A,0)),"行なし",""))</f>
        <v/>
      </c>
      <c r="N141" s="2" t="str">
        <f aca="false">IF($G141="","",IF(COUNTIF($G$2:$G$4460,$G141)&gt;1,"重複",""))</f>
        <v/>
      </c>
    </row>
    <row r="142" customFormat="false" ht="16.5" hidden="false" customHeight="true" outlineLevel="0" collapsed="false">
      <c r="A142" s="2" t="s">
        <v>385</v>
      </c>
      <c r="B142" s="2" t="s">
        <v>387</v>
      </c>
      <c r="C142" s="2" t="s">
        <v>42</v>
      </c>
      <c r="D142" s="2" t="str">
        <f aca="false">IF(2キー同時!$B$19="","",2キー同時!$B$19)</f>
        <v>f</v>
      </c>
      <c r="E142" s="2" t="str">
        <f aca="false">""</f>
        <v/>
      </c>
      <c r="F142" s="2" t="str">
        <f aca="false">""</f>
        <v/>
      </c>
      <c r="G142" s="2" t="str">
        <f aca="false">IF(2キー同時!$B$19="","",IF(2キー同時!AM27="","",SUBSTITUTE(SUBSTITUTE(2キー同時!AM27," ",""),"　","")))</f>
        <v/>
      </c>
      <c r="H142" s="2" t="str">
        <f aca="false">IF($G142="","",2キー同時!$B$19)</f>
        <v/>
      </c>
      <c r="I142" s="2" t="str">
        <f aca="false">IF($G142="","",",")</f>
        <v/>
      </c>
      <c r="J142" s="2" t="str">
        <f aca="false">""</f>
        <v/>
      </c>
      <c r="K142" s="2" t="str">
        <f aca="false">""</f>
        <v/>
      </c>
      <c r="L142" s="2" t="str">
        <f aca="false">IF($G142="","","同時")</f>
        <v/>
      </c>
      <c r="M142" s="2" t="str">
        <f aca="false">IF($G142="","",IF(ISNA(MATCH($G142,個別指定!$A:$A,0)),"行なし",""))</f>
        <v/>
      </c>
      <c r="N142" s="2" t="str">
        <f aca="false">IF($G142="","",IF(COUNTIF($G$2:$G$4460,$G142)&gt;1,"重複",""))</f>
        <v/>
      </c>
    </row>
    <row r="143" customFormat="false" ht="16.5" hidden="false" customHeight="true" outlineLevel="0" collapsed="false">
      <c r="A143" s="2" t="s">
        <v>385</v>
      </c>
      <c r="B143" s="2" t="s">
        <v>387</v>
      </c>
      <c r="C143" s="2" t="s">
        <v>43</v>
      </c>
      <c r="D143" s="2" t="str">
        <f aca="false">IF(2キー同時!$B$19="","",2キー同時!$B$19)</f>
        <v>f</v>
      </c>
      <c r="E143" s="2" t="str">
        <f aca="false">""</f>
        <v/>
      </c>
      <c r="F143" s="2" t="str">
        <f aca="false">""</f>
        <v/>
      </c>
      <c r="G143" s="2" t="str">
        <f aca="false">IF(2キー同時!$B$19="","",IF(2キー同時!AQ27="","",SUBSTITUTE(SUBSTITUTE(2キー同時!AQ27," ",""),"　","")))</f>
        <v/>
      </c>
      <c r="H143" s="2" t="str">
        <f aca="false">IF($G143="","",2キー同時!$B$19)</f>
        <v/>
      </c>
      <c r="I143" s="2" t="str">
        <f aca="false">IF($G143="","",".")</f>
        <v/>
      </c>
      <c r="J143" s="2" t="str">
        <f aca="false">""</f>
        <v/>
      </c>
      <c r="K143" s="2" t="str">
        <f aca="false">""</f>
        <v/>
      </c>
      <c r="L143" s="2" t="str">
        <f aca="false">IF($G143="","","同時")</f>
        <v/>
      </c>
      <c r="M143" s="2" t="str">
        <f aca="false">IF($G143="","",IF(ISNA(MATCH($G143,個別指定!$A:$A,0)),"行なし",""))</f>
        <v/>
      </c>
      <c r="N143" s="2" t="str">
        <f aca="false">IF($G143="","",IF(COUNTIF($G$2:$G$4460,$G143)&gt;1,"重複",""))</f>
        <v/>
      </c>
    </row>
    <row r="144" customFormat="false" ht="16.5" hidden="false" customHeight="true" outlineLevel="0" collapsed="false">
      <c r="A144" s="2" t="s">
        <v>385</v>
      </c>
      <c r="B144" s="2" t="s">
        <v>387</v>
      </c>
      <c r="C144" s="2" t="s">
        <v>44</v>
      </c>
      <c r="D144" s="2" t="str">
        <f aca="false">IF(2キー同時!$B$19="","",2キー同時!$B$19)</f>
        <v>f</v>
      </c>
      <c r="E144" s="2" t="str">
        <f aca="false">""</f>
        <v/>
      </c>
      <c r="F144" s="2" t="str">
        <f aca="false">""</f>
        <v/>
      </c>
      <c r="G144" s="2" t="str">
        <f aca="false">IF(2キー同時!$B$19="","",IF(2キー同時!AU27="","",SUBSTITUTE(SUBSTITUTE(2キー同時!AU27," ",""),"　","")))</f>
        <v/>
      </c>
      <c r="H144" s="2" t="str">
        <f aca="false">IF($G144="","",2キー同時!$B$19)</f>
        <v/>
      </c>
      <c r="I144" s="2" t="str">
        <f aca="false">IF($G144="","","/")</f>
        <v/>
      </c>
      <c r="J144" s="2" t="str">
        <f aca="false">""</f>
        <v/>
      </c>
      <c r="K144" s="2" t="str">
        <f aca="false">""</f>
        <v/>
      </c>
      <c r="L144" s="2" t="str">
        <f aca="false">IF($G144="","","同時")</f>
        <v/>
      </c>
      <c r="M144" s="2" t="str">
        <f aca="false">IF($G144="","",IF(ISNA(MATCH($G144,個別指定!$A:$A,0)),"行なし",""))</f>
        <v/>
      </c>
      <c r="N144" s="2" t="str">
        <f aca="false">IF($G144="","",IF(COUNTIF($G$2:$G$4460,$G144)&gt;1,"重複",""))</f>
        <v/>
      </c>
    </row>
    <row r="145" customFormat="false" ht="16.5" hidden="false" customHeight="true" outlineLevel="0" collapsed="false">
      <c r="A145" s="2" t="s">
        <v>385</v>
      </c>
      <c r="B145" s="2" t="s">
        <v>387</v>
      </c>
      <c r="C145" s="2" t="s">
        <v>48</v>
      </c>
      <c r="D145" s="2" t="str">
        <f aca="false">IF(2キー同時!$B$19="","",2キー同時!$B$19)</f>
        <v>f</v>
      </c>
      <c r="E145" s="2" t="str">
        <f aca="false">""</f>
        <v/>
      </c>
      <c r="F145" s="2" t="str">
        <f aca="false">""</f>
        <v/>
      </c>
      <c r="G145" s="2" t="str">
        <f aca="false">IF(2キー同時!$B$19="","",IF(2キー同時!P29="","",SUBSTITUTE(SUBSTITUTE(2キー同時!P29," ",""),"　","")))</f>
        <v/>
      </c>
      <c r="H145" s="2" t="str">
        <f aca="false">IF($G145="","",2キー同時!$B$19)</f>
        <v/>
      </c>
      <c r="I145" s="2" t="str">
        <f aca="false">IF($G145="","","muhenkan")</f>
        <v/>
      </c>
      <c r="J145" s="2" t="str">
        <f aca="false">""</f>
        <v/>
      </c>
      <c r="K145" s="2" t="str">
        <f aca="false">""</f>
        <v/>
      </c>
      <c r="L145" s="2" t="str">
        <f aca="false">IF($G145="","","同時")</f>
        <v/>
      </c>
      <c r="M145" s="2" t="str">
        <f aca="false">IF($G145="","",IF(ISNA(MATCH($G145,個別指定!$A:$A,0)),"行なし",""))</f>
        <v/>
      </c>
      <c r="N145" s="2" t="str">
        <f aca="false">IF($G145="","",IF(COUNTIF($G$2:$G$4460,$G145)&gt;1,"重複",""))</f>
        <v/>
      </c>
    </row>
    <row r="146" customFormat="false" ht="16.5" hidden="false" customHeight="true" outlineLevel="0" collapsed="false">
      <c r="A146" s="2" t="s">
        <v>385</v>
      </c>
      <c r="B146" s="2" t="s">
        <v>387</v>
      </c>
      <c r="C146" s="2" t="s">
        <v>50</v>
      </c>
      <c r="D146" s="2" t="str">
        <f aca="false">IF(2キー同時!$B$19="","",2キー同時!$B$19)</f>
        <v>f</v>
      </c>
      <c r="E146" s="2" t="str">
        <f aca="false">""</f>
        <v/>
      </c>
      <c r="F146" s="2" t="str">
        <f aca="false">""</f>
        <v/>
      </c>
      <c r="G146" s="2" t="str">
        <f aca="false">IF(2キー同時!$B$19="","",IF(2キー同時!T29="","",SUBSTITUTE(SUBSTITUTE(2キー同時!T29," ",""),"　","")))</f>
        <v/>
      </c>
      <c r="H146" s="2" t="str">
        <f aca="false">IF($G146="","",2キー同時!$B$19)</f>
        <v/>
      </c>
      <c r="I146" s="2" t="str">
        <f aca="false">IF($G146="","","space")</f>
        <v/>
      </c>
      <c r="J146" s="2" t="str">
        <f aca="false">""</f>
        <v/>
      </c>
      <c r="K146" s="2" t="str">
        <f aca="false">""</f>
        <v/>
      </c>
      <c r="L146" s="2" t="str">
        <f aca="false">IF($G146="","","同時")</f>
        <v/>
      </c>
      <c r="M146" s="2" t="str">
        <f aca="false">IF($G146="","",IF(ISNA(MATCH($G146,個別指定!$A:$A,0)),"行なし",""))</f>
        <v/>
      </c>
      <c r="N146" s="2" t="str">
        <f aca="false">IF($G146="","",IF(COUNTIF($G$2:$G$4460,$G146)&gt;1,"重複",""))</f>
        <v/>
      </c>
    </row>
    <row r="147" customFormat="false" ht="16.5" hidden="false" customHeight="true" outlineLevel="0" collapsed="false">
      <c r="A147" s="2" t="s">
        <v>385</v>
      </c>
      <c r="B147" s="2" t="s">
        <v>387</v>
      </c>
      <c r="C147" s="2" t="s">
        <v>45</v>
      </c>
      <c r="D147" s="2" t="str">
        <f aca="false">IF(2キー同時!$B$19="","",2キー同時!$B$19)</f>
        <v>f</v>
      </c>
      <c r="E147" s="2" t="str">
        <f aca="false">""</f>
        <v/>
      </c>
      <c r="F147" s="2" t="str">
        <f aca="false">""</f>
        <v/>
      </c>
      <c r="G147" s="2" t="str">
        <f aca="false">IF(2キー同時!$B$19="","",IF(2キー同時!AL29="","",SUBSTITUTE(SUBSTITUTE(2キー同時!AL29," ",""),"　","")))</f>
        <v/>
      </c>
      <c r="H147" s="2" t="str">
        <f aca="false">IF($G147="","",2キー同時!$B$19)</f>
        <v/>
      </c>
      <c r="I147" s="2" t="str">
        <f aca="false">IF($G147="","","henkan")</f>
        <v/>
      </c>
      <c r="J147" s="2" t="str">
        <f aca="false">""</f>
        <v/>
      </c>
      <c r="K147" s="2" t="str">
        <f aca="false">""</f>
        <v/>
      </c>
      <c r="L147" s="2" t="str">
        <f aca="false">IF($G147="","","同時")</f>
        <v/>
      </c>
      <c r="M147" s="2" t="str">
        <f aca="false">IF($G147="","",IF(ISNA(MATCH($G147,個別指定!$A:$A,0)),"行なし",""))</f>
        <v/>
      </c>
      <c r="N147" s="2" t="str">
        <f aca="false">IF($G147="","",IF(COUNTIF($G$2:$G$4460,$G147)&gt;1,"重複",""))</f>
        <v/>
      </c>
    </row>
    <row r="148" customFormat="false" ht="16.5" hidden="false" customHeight="true" outlineLevel="0" collapsed="false">
      <c r="A148" s="2" t="s">
        <v>385</v>
      </c>
      <c r="B148" s="2" t="s">
        <v>387</v>
      </c>
      <c r="C148" s="2" t="s">
        <v>46</v>
      </c>
      <c r="D148" s="2" t="str">
        <f aca="false">IF(2キー同時!$B$19="","",2キー同時!$B$19)</f>
        <v>f</v>
      </c>
      <c r="E148" s="2" t="str">
        <f aca="false">""</f>
        <v/>
      </c>
      <c r="F148" s="2" t="str">
        <f aca="false">""</f>
        <v/>
      </c>
      <c r="G148" s="2" t="str">
        <f aca="false">IF(2キー同時!$B$19="","",IF(2キー同時!AP29="","",SUBSTITUTE(SUBSTITUTE(2キー同時!AP29," ",""),"　","")))</f>
        <v/>
      </c>
      <c r="H148" s="2" t="str">
        <f aca="false">IF($G148="","",2キー同時!$B$19)</f>
        <v/>
      </c>
      <c r="I148" s="2" t="str">
        <f aca="false">IF($G148="","","kana")</f>
        <v/>
      </c>
      <c r="J148" s="2" t="str">
        <f aca="false">""</f>
        <v/>
      </c>
      <c r="K148" s="2" t="str">
        <f aca="false">""</f>
        <v/>
      </c>
      <c r="L148" s="2" t="str">
        <f aca="false">IF($G148="","","同時")</f>
        <v/>
      </c>
      <c r="M148" s="2" t="str">
        <f aca="false">IF($G148="","",IF(ISNA(MATCH($G148,個別指定!$A:$A,0)),"行なし",""))</f>
        <v/>
      </c>
      <c r="N148" s="2" t="str">
        <f aca="false">IF($G148="","",IF(COUNTIF($G$2:$G$4460,$G148)&gt;1,"重複",""))</f>
        <v/>
      </c>
    </row>
    <row r="149" customFormat="false" ht="16.5" hidden="false" customHeight="true" outlineLevel="0" collapsed="false">
      <c r="A149" s="2" t="s">
        <v>385</v>
      </c>
      <c r="B149" s="2" t="s">
        <v>388</v>
      </c>
      <c r="C149" s="2" t="s">
        <v>0</v>
      </c>
      <c r="D149" s="2" t="str">
        <f aca="false">IF(2キー同時!$B$32="","",2キー同時!$B$32)</f>
        <v>j</v>
      </c>
      <c r="E149" s="2" t="str">
        <f aca="false">""</f>
        <v/>
      </c>
      <c r="F149" s="2" t="str">
        <f aca="false">""</f>
        <v/>
      </c>
      <c r="G149" s="2" t="str">
        <f aca="false">IF(2キー同時!$B$32="","",IF(2キー同時!F34="","",SUBSTITUTE(SUBSTITUTE(2キー同時!F34," ",""),"　","")))</f>
        <v/>
      </c>
      <c r="H149" s="2" t="str">
        <f aca="false">IF($G149="","",2キー同時!$B$32)</f>
        <v/>
      </c>
      <c r="I149" s="2" t="str">
        <f aca="false">IF($G149="","","1")</f>
        <v/>
      </c>
      <c r="J149" s="2" t="str">
        <f aca="false">""</f>
        <v/>
      </c>
      <c r="K149" s="2" t="str">
        <f aca="false">""</f>
        <v/>
      </c>
      <c r="L149" s="2" t="str">
        <f aca="false">IF($G149="","","同時")</f>
        <v/>
      </c>
      <c r="M149" s="2" t="str">
        <f aca="false">IF($G149="","",IF(ISNA(MATCH($G149,個別指定!$A:$A,0)),"行なし",""))</f>
        <v/>
      </c>
      <c r="N149" s="2" t="str">
        <f aca="false">IF($G149="","",IF(COUNTIF($G$2:$G$4460,$G149)&gt;1,"重複",""))</f>
        <v/>
      </c>
    </row>
    <row r="150" customFormat="false" ht="16.5" hidden="false" customHeight="true" outlineLevel="0" collapsed="false">
      <c r="A150" s="2" t="s">
        <v>385</v>
      </c>
      <c r="B150" s="2" t="s">
        <v>388</v>
      </c>
      <c r="C150" s="2" t="s">
        <v>1</v>
      </c>
      <c r="D150" s="2" t="str">
        <f aca="false">IF(2キー同時!$B$32="","",2キー同時!$B$32)</f>
        <v>j</v>
      </c>
      <c r="E150" s="2" t="str">
        <f aca="false">""</f>
        <v/>
      </c>
      <c r="F150" s="2" t="str">
        <f aca="false">""</f>
        <v/>
      </c>
      <c r="G150" s="2" t="str">
        <f aca="false">IF(2キー同時!$B$32="","",IF(2キー同時!J34="","",SUBSTITUTE(SUBSTITUTE(2キー同時!J34," ",""),"　","")))</f>
        <v/>
      </c>
      <c r="H150" s="2" t="str">
        <f aca="false">IF($G150="","",2キー同時!$B$32)</f>
        <v/>
      </c>
      <c r="I150" s="2" t="str">
        <f aca="false">IF($G150="","","2")</f>
        <v/>
      </c>
      <c r="J150" s="2" t="str">
        <f aca="false">""</f>
        <v/>
      </c>
      <c r="K150" s="2" t="str">
        <f aca="false">""</f>
        <v/>
      </c>
      <c r="L150" s="2" t="str">
        <f aca="false">IF($G150="","","同時")</f>
        <v/>
      </c>
      <c r="M150" s="2" t="str">
        <f aca="false">IF($G150="","",IF(ISNA(MATCH($G150,個別指定!$A:$A,0)),"行なし",""))</f>
        <v/>
      </c>
      <c r="N150" s="2" t="str">
        <f aca="false">IF($G150="","",IF(COUNTIF($G$2:$G$4460,$G150)&gt;1,"重複",""))</f>
        <v/>
      </c>
    </row>
    <row r="151" customFormat="false" ht="16.5" hidden="false" customHeight="true" outlineLevel="0" collapsed="false">
      <c r="A151" s="2" t="s">
        <v>385</v>
      </c>
      <c r="B151" s="2" t="s">
        <v>388</v>
      </c>
      <c r="C151" s="2" t="s">
        <v>2</v>
      </c>
      <c r="D151" s="2" t="str">
        <f aca="false">IF(2キー同時!$B$32="","",2キー同時!$B$32)</f>
        <v>j</v>
      </c>
      <c r="E151" s="2" t="str">
        <f aca="false">""</f>
        <v/>
      </c>
      <c r="F151" s="2" t="str">
        <f aca="false">""</f>
        <v/>
      </c>
      <c r="G151" s="2" t="str">
        <f aca="false">IF(2キー同時!$B$32="","",IF(2キー同時!N34="","",SUBSTITUTE(SUBSTITUTE(2キー同時!N34," ",""),"　","")))</f>
        <v/>
      </c>
      <c r="H151" s="2" t="str">
        <f aca="false">IF($G151="","",2キー同時!$B$32)</f>
        <v/>
      </c>
      <c r="I151" s="2" t="str">
        <f aca="false">IF($G151="","","3")</f>
        <v/>
      </c>
      <c r="J151" s="2" t="str">
        <f aca="false">""</f>
        <v/>
      </c>
      <c r="K151" s="2" t="str">
        <f aca="false">""</f>
        <v/>
      </c>
      <c r="L151" s="2" t="str">
        <f aca="false">IF($G151="","","同時")</f>
        <v/>
      </c>
      <c r="M151" s="2" t="str">
        <f aca="false">IF($G151="","",IF(ISNA(MATCH($G151,個別指定!$A:$A,0)),"行なし",""))</f>
        <v/>
      </c>
      <c r="N151" s="2" t="str">
        <f aca="false">IF($G151="","",IF(COUNTIF($G$2:$G$4460,$G151)&gt;1,"重複",""))</f>
        <v/>
      </c>
    </row>
    <row r="152" customFormat="false" ht="16.5" hidden="false" customHeight="true" outlineLevel="0" collapsed="false">
      <c r="A152" s="2" t="s">
        <v>385</v>
      </c>
      <c r="B152" s="2" t="s">
        <v>388</v>
      </c>
      <c r="C152" s="2" t="s">
        <v>3</v>
      </c>
      <c r="D152" s="2" t="str">
        <f aca="false">IF(2キー同時!$B$32="","",2キー同時!$B$32)</f>
        <v>j</v>
      </c>
      <c r="E152" s="2" t="str">
        <f aca="false">""</f>
        <v/>
      </c>
      <c r="F152" s="2" t="str">
        <f aca="false">""</f>
        <v/>
      </c>
      <c r="G152" s="2" t="str">
        <f aca="false">IF(2キー同時!$B$32="","",IF(2キー同時!R34="","",SUBSTITUTE(SUBSTITUTE(2キー同時!R34," ",""),"　","")))</f>
        <v/>
      </c>
      <c r="H152" s="2" t="str">
        <f aca="false">IF($G152="","",2キー同時!$B$32)</f>
        <v/>
      </c>
      <c r="I152" s="2" t="str">
        <f aca="false">IF($G152="","","4")</f>
        <v/>
      </c>
      <c r="J152" s="2" t="str">
        <f aca="false">""</f>
        <v/>
      </c>
      <c r="K152" s="2" t="str">
        <f aca="false">""</f>
        <v/>
      </c>
      <c r="L152" s="2" t="str">
        <f aca="false">IF($G152="","","同時")</f>
        <v/>
      </c>
      <c r="M152" s="2" t="str">
        <f aca="false">IF($G152="","",IF(ISNA(MATCH($G152,個別指定!$A:$A,0)),"行なし",""))</f>
        <v/>
      </c>
      <c r="N152" s="2" t="str">
        <f aca="false">IF($G152="","",IF(COUNTIF($G$2:$G$4460,$G152)&gt;1,"重複",""))</f>
        <v/>
      </c>
    </row>
    <row r="153" customFormat="false" ht="16.5" hidden="false" customHeight="true" outlineLevel="0" collapsed="false">
      <c r="A153" s="2" t="s">
        <v>385</v>
      </c>
      <c r="B153" s="2" t="s">
        <v>388</v>
      </c>
      <c r="C153" s="2" t="s">
        <v>4</v>
      </c>
      <c r="D153" s="2" t="str">
        <f aca="false">IF(2キー同時!$B$32="","",2キー同時!$B$32)</f>
        <v>j</v>
      </c>
      <c r="E153" s="2" t="str">
        <f aca="false">""</f>
        <v/>
      </c>
      <c r="F153" s="2" t="str">
        <f aca="false">""</f>
        <v/>
      </c>
      <c r="G153" s="2" t="str">
        <f aca="false">IF(2キー同時!$B$32="","",IF(2キー同時!V34="","",SUBSTITUTE(SUBSTITUTE(2キー同時!V34," ",""),"　","")))</f>
        <v/>
      </c>
      <c r="H153" s="2" t="str">
        <f aca="false">IF($G153="","",2キー同時!$B$32)</f>
        <v/>
      </c>
      <c r="I153" s="2" t="str">
        <f aca="false">IF($G153="","","5")</f>
        <v/>
      </c>
      <c r="J153" s="2" t="str">
        <f aca="false">""</f>
        <v/>
      </c>
      <c r="K153" s="2" t="str">
        <f aca="false">""</f>
        <v/>
      </c>
      <c r="L153" s="2" t="str">
        <f aca="false">IF($G153="","","同時")</f>
        <v/>
      </c>
      <c r="M153" s="2" t="str">
        <f aca="false">IF($G153="","",IF(ISNA(MATCH($G153,個別指定!$A:$A,0)),"行なし",""))</f>
        <v/>
      </c>
      <c r="N153" s="2" t="str">
        <f aca="false">IF($G153="","",IF(COUNTIF($G$2:$G$4460,$G153)&gt;1,"重複",""))</f>
        <v/>
      </c>
    </row>
    <row r="154" customFormat="false" ht="16.5" hidden="false" customHeight="true" outlineLevel="0" collapsed="false">
      <c r="A154" s="2" t="s">
        <v>385</v>
      </c>
      <c r="B154" s="2" t="s">
        <v>388</v>
      </c>
      <c r="C154" s="2" t="s">
        <v>5</v>
      </c>
      <c r="D154" s="2" t="str">
        <f aca="false">IF(2キー同時!$B$32="","",2キー同時!$B$32)</f>
        <v>j</v>
      </c>
      <c r="E154" s="2" t="str">
        <f aca="false">""</f>
        <v/>
      </c>
      <c r="F154" s="2" t="str">
        <f aca="false">""</f>
        <v/>
      </c>
      <c r="G154" s="2" t="str">
        <f aca="false">IF(2キー同時!$B$32="","",IF(2キー同時!Z34="","",SUBSTITUTE(SUBSTITUTE(2キー同時!Z34," ",""),"　","")))</f>
        <v/>
      </c>
      <c r="H154" s="2" t="str">
        <f aca="false">IF($G154="","",2キー同時!$B$32)</f>
        <v/>
      </c>
      <c r="I154" s="2" t="str">
        <f aca="false">IF($G154="","","6")</f>
        <v/>
      </c>
      <c r="J154" s="2" t="str">
        <f aca="false">""</f>
        <v/>
      </c>
      <c r="K154" s="2" t="str">
        <f aca="false">""</f>
        <v/>
      </c>
      <c r="L154" s="2" t="str">
        <f aca="false">IF($G154="","","同時")</f>
        <v/>
      </c>
      <c r="M154" s="2" t="str">
        <f aca="false">IF($G154="","",IF(ISNA(MATCH($G154,個別指定!$A:$A,0)),"行なし",""))</f>
        <v/>
      </c>
      <c r="N154" s="2" t="str">
        <f aca="false">IF($G154="","",IF(COUNTIF($G$2:$G$4460,$G154)&gt;1,"重複",""))</f>
        <v/>
      </c>
    </row>
    <row r="155" customFormat="false" ht="16.5" hidden="false" customHeight="true" outlineLevel="0" collapsed="false">
      <c r="A155" s="2" t="s">
        <v>385</v>
      </c>
      <c r="B155" s="2" t="s">
        <v>388</v>
      </c>
      <c r="C155" s="2" t="s">
        <v>6</v>
      </c>
      <c r="D155" s="2" t="str">
        <f aca="false">IF(2キー同時!$B$32="","",2キー同時!$B$32)</f>
        <v>j</v>
      </c>
      <c r="E155" s="2" t="str">
        <f aca="false">""</f>
        <v/>
      </c>
      <c r="F155" s="2" t="str">
        <f aca="false">""</f>
        <v/>
      </c>
      <c r="G155" s="2" t="str">
        <f aca="false">IF(2キー同時!$B$32="","",IF(2キー同時!AD34="","",SUBSTITUTE(SUBSTITUTE(2キー同時!AD34," ",""),"　","")))</f>
        <v/>
      </c>
      <c r="H155" s="2" t="str">
        <f aca="false">IF($G155="","",2キー同時!$B$32)</f>
        <v/>
      </c>
      <c r="I155" s="2" t="str">
        <f aca="false">IF($G155="","","7")</f>
        <v/>
      </c>
      <c r="J155" s="2" t="str">
        <f aca="false">""</f>
        <v/>
      </c>
      <c r="K155" s="2" t="str">
        <f aca="false">""</f>
        <v/>
      </c>
      <c r="L155" s="2" t="str">
        <f aca="false">IF($G155="","","同時")</f>
        <v/>
      </c>
      <c r="M155" s="2" t="str">
        <f aca="false">IF($G155="","",IF(ISNA(MATCH($G155,個別指定!$A:$A,0)),"行なし",""))</f>
        <v/>
      </c>
      <c r="N155" s="2" t="str">
        <f aca="false">IF($G155="","",IF(COUNTIF($G$2:$G$4460,$G155)&gt;1,"重複",""))</f>
        <v/>
      </c>
    </row>
    <row r="156" customFormat="false" ht="16.5" hidden="false" customHeight="true" outlineLevel="0" collapsed="false">
      <c r="A156" s="2" t="s">
        <v>385</v>
      </c>
      <c r="B156" s="2" t="s">
        <v>388</v>
      </c>
      <c r="C156" s="2" t="s">
        <v>7</v>
      </c>
      <c r="D156" s="2" t="str">
        <f aca="false">IF(2キー同時!$B$32="","",2キー同時!$B$32)</f>
        <v>j</v>
      </c>
      <c r="E156" s="2" t="str">
        <f aca="false">""</f>
        <v/>
      </c>
      <c r="F156" s="2" t="str">
        <f aca="false">""</f>
        <v/>
      </c>
      <c r="G156" s="2" t="str">
        <f aca="false">IF(2キー同時!$B$32="","",IF(2キー同時!AH34="","",SUBSTITUTE(SUBSTITUTE(2キー同時!AH34," ",""),"　","")))</f>
        <v/>
      </c>
      <c r="H156" s="2" t="str">
        <f aca="false">IF($G156="","",2キー同時!$B$32)</f>
        <v/>
      </c>
      <c r="I156" s="2" t="str">
        <f aca="false">IF($G156="","","8")</f>
        <v/>
      </c>
      <c r="J156" s="2" t="str">
        <f aca="false">""</f>
        <v/>
      </c>
      <c r="K156" s="2" t="str">
        <f aca="false">""</f>
        <v/>
      </c>
      <c r="L156" s="2" t="str">
        <f aca="false">IF($G156="","","同時")</f>
        <v/>
      </c>
      <c r="M156" s="2" t="str">
        <f aca="false">IF($G156="","",IF(ISNA(MATCH($G156,個別指定!$A:$A,0)),"行なし",""))</f>
        <v/>
      </c>
      <c r="N156" s="2" t="str">
        <f aca="false">IF($G156="","",IF(COUNTIF($G$2:$G$4460,$G156)&gt;1,"重複",""))</f>
        <v/>
      </c>
    </row>
    <row r="157" customFormat="false" ht="16.5" hidden="false" customHeight="true" outlineLevel="0" collapsed="false">
      <c r="A157" s="2" t="s">
        <v>385</v>
      </c>
      <c r="B157" s="2" t="s">
        <v>388</v>
      </c>
      <c r="C157" s="2" t="s">
        <v>8</v>
      </c>
      <c r="D157" s="2" t="str">
        <f aca="false">IF(2キー同時!$B$32="","",2キー同時!$B$32)</f>
        <v>j</v>
      </c>
      <c r="E157" s="2" t="str">
        <f aca="false">""</f>
        <v/>
      </c>
      <c r="F157" s="2" t="str">
        <f aca="false">""</f>
        <v/>
      </c>
      <c r="G157" s="2" t="str">
        <f aca="false">IF(2キー同時!$B$32="","",IF(2キー同時!AL34="","",SUBSTITUTE(SUBSTITUTE(2キー同時!AL34," ",""),"　","")))</f>
        <v/>
      </c>
      <c r="H157" s="2" t="str">
        <f aca="false">IF($G157="","",2キー同時!$B$32)</f>
        <v/>
      </c>
      <c r="I157" s="2" t="str">
        <f aca="false">IF($G157="","","9")</f>
        <v/>
      </c>
      <c r="J157" s="2" t="str">
        <f aca="false">""</f>
        <v/>
      </c>
      <c r="K157" s="2" t="str">
        <f aca="false">""</f>
        <v/>
      </c>
      <c r="L157" s="2" t="str">
        <f aca="false">IF($G157="","","同時")</f>
        <v/>
      </c>
      <c r="M157" s="2" t="str">
        <f aca="false">IF($G157="","",IF(ISNA(MATCH($G157,個別指定!$A:$A,0)),"行なし",""))</f>
        <v/>
      </c>
      <c r="N157" s="2" t="str">
        <f aca="false">IF($G157="","",IF(COUNTIF($G$2:$G$4460,$G157)&gt;1,"重複",""))</f>
        <v/>
      </c>
    </row>
    <row r="158" customFormat="false" ht="16.5" hidden="false" customHeight="true" outlineLevel="0" collapsed="false">
      <c r="A158" s="2" t="s">
        <v>385</v>
      </c>
      <c r="B158" s="2" t="s">
        <v>388</v>
      </c>
      <c r="C158" s="2" t="s">
        <v>9</v>
      </c>
      <c r="D158" s="2" t="str">
        <f aca="false">IF(2キー同時!$B$32="","",2キー同時!$B$32)</f>
        <v>j</v>
      </c>
      <c r="E158" s="2" t="str">
        <f aca="false">""</f>
        <v/>
      </c>
      <c r="F158" s="2" t="str">
        <f aca="false">""</f>
        <v/>
      </c>
      <c r="G158" s="2" t="str">
        <f aca="false">IF(2キー同時!$B$32="","",IF(2キー同時!AP34="","",SUBSTITUTE(SUBSTITUTE(2キー同時!AP34," ",""),"　","")))</f>
        <v/>
      </c>
      <c r="H158" s="2" t="str">
        <f aca="false">IF($G158="","",2キー同時!$B$32)</f>
        <v/>
      </c>
      <c r="I158" s="2" t="str">
        <f aca="false">IF($G158="","","0")</f>
        <v/>
      </c>
      <c r="J158" s="2" t="str">
        <f aca="false">""</f>
        <v/>
      </c>
      <c r="K158" s="2" t="str">
        <f aca="false">""</f>
        <v/>
      </c>
      <c r="L158" s="2" t="str">
        <f aca="false">IF($G158="","","同時")</f>
        <v/>
      </c>
      <c r="M158" s="2" t="str">
        <f aca="false">IF($G158="","",IF(ISNA(MATCH($G158,個別指定!$A:$A,0)),"行なし",""))</f>
        <v/>
      </c>
      <c r="N158" s="2" t="str">
        <f aca="false">IF($G158="","",IF(COUNTIF($G$2:$G$4460,$G158)&gt;1,"重複",""))</f>
        <v/>
      </c>
    </row>
    <row r="159" customFormat="false" ht="16.5" hidden="false" customHeight="true" outlineLevel="0" collapsed="false">
      <c r="A159" s="2" t="s">
        <v>385</v>
      </c>
      <c r="B159" s="2" t="s">
        <v>388</v>
      </c>
      <c r="C159" s="2" t="s">
        <v>10</v>
      </c>
      <c r="D159" s="2" t="str">
        <f aca="false">IF(2キー同時!$B$32="","",2キー同時!$B$32)</f>
        <v>j</v>
      </c>
      <c r="E159" s="2" t="str">
        <f aca="false">""</f>
        <v/>
      </c>
      <c r="F159" s="2" t="str">
        <f aca="false">""</f>
        <v/>
      </c>
      <c r="G159" s="2" t="str">
        <f aca="false">IF(2キー同時!$B$32="","",IF(2キー同時!AT34="","",SUBSTITUTE(SUBSTITUTE(2キー同時!AT34," ",""),"　","")))</f>
        <v/>
      </c>
      <c r="H159" s="2" t="str">
        <f aca="false">IF($G159="","",2キー同時!$B$32)</f>
        <v/>
      </c>
      <c r="I159" s="2" t="str">
        <f aca="false">IF($G159="","","-")</f>
        <v/>
      </c>
      <c r="J159" s="2" t="str">
        <f aca="false">""</f>
        <v/>
      </c>
      <c r="K159" s="2" t="str">
        <f aca="false">""</f>
        <v/>
      </c>
      <c r="L159" s="2" t="str">
        <f aca="false">IF($G159="","","同時")</f>
        <v/>
      </c>
      <c r="M159" s="2" t="str">
        <f aca="false">IF($G159="","",IF(ISNA(MATCH($G159,個別指定!$A:$A,0)),"行なし",""))</f>
        <v/>
      </c>
      <c r="N159" s="2" t="str">
        <f aca="false">IF($G159="","",IF(COUNTIF($G$2:$G$4460,$G159)&gt;1,"重複",""))</f>
        <v/>
      </c>
    </row>
    <row r="160" customFormat="false" ht="16.5" hidden="false" customHeight="true" outlineLevel="0" collapsed="false">
      <c r="A160" s="2" t="s">
        <v>385</v>
      </c>
      <c r="B160" s="2" t="s">
        <v>388</v>
      </c>
      <c r="C160" s="2" t="s">
        <v>11</v>
      </c>
      <c r="D160" s="2" t="str">
        <f aca="false">IF(2キー同時!$B$32="","",2キー同時!$B$32)</f>
        <v>j</v>
      </c>
      <c r="E160" s="2" t="str">
        <f aca="false">""</f>
        <v/>
      </c>
      <c r="F160" s="2" t="str">
        <f aca="false">""</f>
        <v/>
      </c>
      <c r="G160" s="2" t="str">
        <f aca="false">IF(2キー同時!$B$32="","",IF(2キー同時!AX34="","",SUBSTITUTE(SUBSTITUTE(2キー同時!AX34," ",""),"　","")))</f>
        <v/>
      </c>
      <c r="H160" s="2" t="str">
        <f aca="false">IF($G160="","",2キー同時!$B$32)</f>
        <v/>
      </c>
      <c r="I160" s="2" t="str">
        <f aca="false">IF($G160="","","=")</f>
        <v/>
      </c>
      <c r="J160" s="2" t="str">
        <f aca="false">""</f>
        <v/>
      </c>
      <c r="K160" s="2" t="str">
        <f aca="false">""</f>
        <v/>
      </c>
      <c r="L160" s="2" t="str">
        <f aca="false">IF($G160="","","同時")</f>
        <v/>
      </c>
      <c r="M160" s="2" t="str">
        <f aca="false">IF($G160="","",IF(ISNA(MATCH($G160,個別指定!$A:$A,0)),"行なし",""))</f>
        <v/>
      </c>
      <c r="N160" s="2" t="str">
        <f aca="false">IF($G160="","",IF(COUNTIF($G$2:$G$4460,$G160)&gt;1,"重複",""))</f>
        <v/>
      </c>
    </row>
    <row r="161" customFormat="false" ht="16.5" hidden="false" customHeight="true" outlineLevel="0" collapsed="false">
      <c r="A161" s="2" t="s">
        <v>385</v>
      </c>
      <c r="B161" s="2" t="s">
        <v>388</v>
      </c>
      <c r="C161" s="2" t="s">
        <v>12</v>
      </c>
      <c r="D161" s="2" t="str">
        <f aca="false">IF(2キー同時!$B$32="","",2キー同時!$B$32)</f>
        <v>j</v>
      </c>
      <c r="E161" s="2" t="str">
        <f aca="false">""</f>
        <v/>
      </c>
      <c r="F161" s="2" t="str">
        <f aca="false">""</f>
        <v/>
      </c>
      <c r="G161" s="2" t="str">
        <f aca="false">IF(2キー同時!$B$32="","",IF(2キー同時!H36="","",SUBSTITUTE(SUBSTITUTE(2キー同時!H36," ",""),"　","")))</f>
        <v/>
      </c>
      <c r="H161" s="2" t="str">
        <f aca="false">IF($G161="","",2キー同時!$B$32)</f>
        <v/>
      </c>
      <c r="I161" s="2" t="str">
        <f aca="false">IF($G161="","","q")</f>
        <v/>
      </c>
      <c r="J161" s="2" t="str">
        <f aca="false">""</f>
        <v/>
      </c>
      <c r="K161" s="2" t="str">
        <f aca="false">""</f>
        <v/>
      </c>
      <c r="L161" s="2" t="str">
        <f aca="false">IF($G161="","","同時")</f>
        <v/>
      </c>
      <c r="M161" s="2" t="str">
        <f aca="false">IF($G161="","",IF(ISNA(MATCH($G161,個別指定!$A:$A,0)),"行なし",""))</f>
        <v/>
      </c>
      <c r="N161" s="2" t="str">
        <f aca="false">IF($G161="","",IF(COUNTIF($G$2:$G$4460,$G161)&gt;1,"重複",""))</f>
        <v/>
      </c>
    </row>
    <row r="162" customFormat="false" ht="16.5" hidden="false" customHeight="true" outlineLevel="0" collapsed="false">
      <c r="A162" s="2" t="s">
        <v>385</v>
      </c>
      <c r="B162" s="2" t="s">
        <v>388</v>
      </c>
      <c r="C162" s="2" t="s">
        <v>13</v>
      </c>
      <c r="D162" s="2" t="str">
        <f aca="false">IF(2キー同時!$B$32="","",2キー同時!$B$32)</f>
        <v>j</v>
      </c>
      <c r="E162" s="2" t="str">
        <f aca="false">""</f>
        <v/>
      </c>
      <c r="F162" s="2" t="str">
        <f aca="false">""</f>
        <v/>
      </c>
      <c r="G162" s="2" t="str">
        <f aca="false">IF(2キー同時!$B$32="","",IF(2キー同時!L36="","",SUBSTITUTE(SUBSTITUTE(2キー同時!L36," ",""),"　","")))</f>
        <v>ぎ</v>
      </c>
      <c r="H162" s="2" t="str">
        <f aca="false">IF($G162="","",2キー同時!$B$32)</f>
        <v>j</v>
      </c>
      <c r="I162" s="2" t="str">
        <f aca="false">IF($G162="","","w")</f>
        <v>w</v>
      </c>
      <c r="J162" s="2" t="str">
        <f aca="false">""</f>
        <v/>
      </c>
      <c r="K162" s="2" t="str">
        <f aca="false">""</f>
        <v/>
      </c>
      <c r="L162" s="2" t="str">
        <f aca="false">IF($G162="","","同時")</f>
        <v>同時</v>
      </c>
      <c r="M162" s="2" t="str">
        <f aca="false">IF($G162="","",IF(ISNA(MATCH($G162,個別指定!$A:$A,0)),"行なし",""))</f>
        <v/>
      </c>
      <c r="N162" s="2" t="str">
        <f aca="false">IF($G162="","",IF(COUNTIF($G$2:$G$4460,$G162)&gt;1,"重複",""))</f>
        <v/>
      </c>
    </row>
    <row r="163" customFormat="false" ht="16.5" hidden="false" customHeight="true" outlineLevel="0" collapsed="false">
      <c r="A163" s="2" t="s">
        <v>385</v>
      </c>
      <c r="B163" s="2" t="s">
        <v>388</v>
      </c>
      <c r="C163" s="2" t="s">
        <v>14</v>
      </c>
      <c r="D163" s="2" t="str">
        <f aca="false">IF(2キー同時!$B$32="","",2キー同時!$B$32)</f>
        <v>j</v>
      </c>
      <c r="E163" s="2" t="str">
        <f aca="false">""</f>
        <v/>
      </c>
      <c r="F163" s="2" t="str">
        <f aca="false">""</f>
        <v/>
      </c>
      <c r="G163" s="2" t="str">
        <f aca="false">IF(2キー同時!$B$32="","",IF(2キー同時!P36="","",SUBSTITUTE(SUBSTITUTE(2キー同時!P36," ",""),"　","")))</f>
        <v>で</v>
      </c>
      <c r="H163" s="2" t="str">
        <f aca="false">IF($G163="","",2キー同時!$B$32)</f>
        <v>j</v>
      </c>
      <c r="I163" s="2" t="str">
        <f aca="false">IF($G163="","","e")</f>
        <v>e</v>
      </c>
      <c r="J163" s="2" t="str">
        <f aca="false">""</f>
        <v/>
      </c>
      <c r="K163" s="2" t="str">
        <f aca="false">""</f>
        <v/>
      </c>
      <c r="L163" s="2" t="str">
        <f aca="false">IF($G163="","","同時")</f>
        <v>同時</v>
      </c>
      <c r="M163" s="2" t="str">
        <f aca="false">IF($G163="","",IF(ISNA(MATCH($G163,個別指定!$A:$A,0)),"行なし",""))</f>
        <v/>
      </c>
      <c r="N163" s="2" t="str">
        <f aca="false">IF($G163="","",IF(COUNTIF($G$2:$G$4460,$G163)&gt;1,"重複",""))</f>
        <v/>
      </c>
    </row>
    <row r="164" customFormat="false" ht="16.5" hidden="false" customHeight="true" outlineLevel="0" collapsed="false">
      <c r="A164" s="2" t="s">
        <v>385</v>
      </c>
      <c r="B164" s="2" t="s">
        <v>388</v>
      </c>
      <c r="C164" s="2" t="s">
        <v>15</v>
      </c>
      <c r="D164" s="2" t="str">
        <f aca="false">IF(2キー同時!$B$32="","",2キー同時!$B$32)</f>
        <v>j</v>
      </c>
      <c r="E164" s="2" t="str">
        <f aca="false">""</f>
        <v/>
      </c>
      <c r="F164" s="2" t="str">
        <f aca="false">""</f>
        <v/>
      </c>
      <c r="G164" s="2" t="str">
        <f aca="false">IF(2キー同時!$B$32="","",IF(2キー同時!T36="","",SUBSTITUTE(SUBSTITUTE(2キー同時!T36," ",""),"　","")))</f>
        <v>じ</v>
      </c>
      <c r="H164" s="2" t="str">
        <f aca="false">IF($G164="","",2キー同時!$B$32)</f>
        <v>j</v>
      </c>
      <c r="I164" s="2" t="str">
        <f aca="false">IF($G164="","","r")</f>
        <v>r</v>
      </c>
      <c r="J164" s="2" t="str">
        <f aca="false">""</f>
        <v/>
      </c>
      <c r="K164" s="2" t="str">
        <f aca="false">""</f>
        <v/>
      </c>
      <c r="L164" s="2" t="str">
        <f aca="false">IF($G164="","","同時")</f>
        <v>同時</v>
      </c>
      <c r="M164" s="2" t="str">
        <f aca="false">IF($G164="","",IF(ISNA(MATCH($G164,個別指定!$A:$A,0)),"行なし",""))</f>
        <v/>
      </c>
      <c r="N164" s="2" t="str">
        <f aca="false">IF($G164="","",IF(COUNTIF($G$2:$G$4460,$G164)&gt;1,"重複",""))</f>
        <v/>
      </c>
    </row>
    <row r="165" customFormat="false" ht="16.5" hidden="false" customHeight="true" outlineLevel="0" collapsed="false">
      <c r="A165" s="2" t="s">
        <v>385</v>
      </c>
      <c r="B165" s="2" t="s">
        <v>388</v>
      </c>
      <c r="C165" s="2" t="s">
        <v>16</v>
      </c>
      <c r="D165" s="2" t="str">
        <f aca="false">IF(2キー同時!$B$32="","",2キー同時!$B$32)</f>
        <v>j</v>
      </c>
      <c r="E165" s="2" t="str">
        <f aca="false">""</f>
        <v/>
      </c>
      <c r="F165" s="2" t="str">
        <f aca="false">""</f>
        <v/>
      </c>
      <c r="G165" s="2" t="str">
        <f aca="false">IF(2キー同時!$B$32="","",IF(2キー同時!X36="","",SUBSTITUTE(SUBSTITUTE(2キー同時!X36," ",""),"　","")))</f>
        <v/>
      </c>
      <c r="H165" s="2" t="str">
        <f aca="false">IF($G165="","",2キー同時!$B$32)</f>
        <v/>
      </c>
      <c r="I165" s="2" t="str">
        <f aca="false">IF($G165="","","t")</f>
        <v/>
      </c>
      <c r="J165" s="2" t="str">
        <f aca="false">""</f>
        <v/>
      </c>
      <c r="K165" s="2" t="str">
        <f aca="false">""</f>
        <v/>
      </c>
      <c r="L165" s="2" t="str">
        <f aca="false">IF($G165="","","同時")</f>
        <v/>
      </c>
      <c r="M165" s="2" t="str">
        <f aca="false">IF($G165="","",IF(ISNA(MATCH($G165,個別指定!$A:$A,0)),"行なし",""))</f>
        <v/>
      </c>
      <c r="N165" s="2" t="str">
        <f aca="false">IF($G165="","",IF(COUNTIF($G$2:$G$4460,$G165)&gt;1,"重複",""))</f>
        <v/>
      </c>
    </row>
    <row r="166" customFormat="false" ht="16.5" hidden="false" customHeight="true" outlineLevel="0" collapsed="false">
      <c r="A166" s="2" t="s">
        <v>385</v>
      </c>
      <c r="B166" s="2" t="s">
        <v>388</v>
      </c>
      <c r="C166" s="2" t="s">
        <v>17</v>
      </c>
      <c r="D166" s="2" t="str">
        <f aca="false">IF(2キー同時!$B$32="","",2キー同時!$B$32)</f>
        <v>j</v>
      </c>
      <c r="E166" s="2" t="str">
        <f aca="false">""</f>
        <v/>
      </c>
      <c r="F166" s="2" t="str">
        <f aca="false">""</f>
        <v/>
      </c>
      <c r="G166" s="2" t="str">
        <f aca="false">IF(2キー同時!$B$32="","",IF(2キー同時!AB36="","",SUBSTITUTE(SUBSTITUTE(2キー同時!AB36," ",""),"　","")))</f>
        <v/>
      </c>
      <c r="H166" s="2" t="str">
        <f aca="false">IF($G166="","",2キー同時!$B$32)</f>
        <v/>
      </c>
      <c r="I166" s="2" t="str">
        <f aca="false">IF($G166="","","y")</f>
        <v/>
      </c>
      <c r="J166" s="2" t="str">
        <f aca="false">""</f>
        <v/>
      </c>
      <c r="K166" s="2" t="str">
        <f aca="false">""</f>
        <v/>
      </c>
      <c r="L166" s="2" t="str">
        <f aca="false">IF($G166="","","同時")</f>
        <v/>
      </c>
      <c r="M166" s="2" t="str">
        <f aca="false">IF($G166="","",IF(ISNA(MATCH($G166,個別指定!$A:$A,0)),"行なし",""))</f>
        <v/>
      </c>
      <c r="N166" s="2" t="str">
        <f aca="false">IF($G166="","",IF(COUNTIF($G$2:$G$4460,$G166)&gt;1,"重複",""))</f>
        <v/>
      </c>
    </row>
    <row r="167" customFormat="false" ht="16.5" hidden="false" customHeight="true" outlineLevel="0" collapsed="false">
      <c r="A167" s="2" t="s">
        <v>385</v>
      </c>
      <c r="B167" s="2" t="s">
        <v>388</v>
      </c>
      <c r="C167" s="2" t="s">
        <v>18</v>
      </c>
      <c r="D167" s="2" t="str">
        <f aca="false">IF(2キー同時!$B$32="","",2キー同時!$B$32)</f>
        <v>j</v>
      </c>
      <c r="E167" s="2" t="str">
        <f aca="false">""</f>
        <v/>
      </c>
      <c r="F167" s="2" t="str">
        <f aca="false">""</f>
        <v/>
      </c>
      <c r="G167" s="2" t="str">
        <f aca="false">IF(2キー同時!$B$32="","",IF(2キー同時!AF36="","",SUBSTITUTE(SUBSTITUTE(2キー同時!AF36," ",""),"　","")))</f>
        <v/>
      </c>
      <c r="H167" s="2" t="str">
        <f aca="false">IF($G167="","",2キー同時!$B$32)</f>
        <v/>
      </c>
      <c r="I167" s="2" t="str">
        <f aca="false">IF($G167="","","u")</f>
        <v/>
      </c>
      <c r="J167" s="2" t="str">
        <f aca="false">""</f>
        <v/>
      </c>
      <c r="K167" s="2" t="str">
        <f aca="false">""</f>
        <v/>
      </c>
      <c r="L167" s="2" t="str">
        <f aca="false">IF($G167="","","同時")</f>
        <v/>
      </c>
      <c r="M167" s="2" t="str">
        <f aca="false">IF($G167="","",IF(ISNA(MATCH($G167,個別指定!$A:$A,0)),"行なし",""))</f>
        <v/>
      </c>
      <c r="N167" s="2" t="str">
        <f aca="false">IF($G167="","",IF(COUNTIF($G$2:$G$4460,$G167)&gt;1,"重複",""))</f>
        <v/>
      </c>
    </row>
    <row r="168" customFormat="false" ht="16.5" hidden="false" customHeight="true" outlineLevel="0" collapsed="false">
      <c r="A168" s="2" t="s">
        <v>385</v>
      </c>
      <c r="B168" s="2" t="s">
        <v>388</v>
      </c>
      <c r="C168" s="2" t="s">
        <v>19</v>
      </c>
      <c r="D168" s="2" t="str">
        <f aca="false">IF(2キー同時!$B$32="","",2キー同時!$B$32)</f>
        <v>j</v>
      </c>
      <c r="E168" s="2" t="str">
        <f aca="false">""</f>
        <v/>
      </c>
      <c r="F168" s="2" t="str">
        <f aca="false">""</f>
        <v/>
      </c>
      <c r="G168" s="2" t="str">
        <f aca="false">IF(2キー同時!$B$32="","",IF(2キー同時!AJ36="","",SUBSTITUTE(SUBSTITUTE(2キー同時!AJ36," ",""),"　","")))</f>
        <v/>
      </c>
      <c r="H168" s="2" t="str">
        <f aca="false">IF($G168="","",2キー同時!$B$32)</f>
        <v/>
      </c>
      <c r="I168" s="2" t="str">
        <f aca="false">IF($G168="","","i")</f>
        <v/>
      </c>
      <c r="J168" s="2" t="str">
        <f aca="false">""</f>
        <v/>
      </c>
      <c r="K168" s="2" t="str">
        <f aca="false">""</f>
        <v/>
      </c>
      <c r="L168" s="2" t="str">
        <f aca="false">IF($G168="","","同時")</f>
        <v/>
      </c>
      <c r="M168" s="2" t="str">
        <f aca="false">IF($G168="","",IF(ISNA(MATCH($G168,個別指定!$A:$A,0)),"行なし",""))</f>
        <v/>
      </c>
      <c r="N168" s="2" t="str">
        <f aca="false">IF($G168="","",IF(COUNTIF($G$2:$G$4460,$G168)&gt;1,"重複",""))</f>
        <v/>
      </c>
    </row>
    <row r="169" customFormat="false" ht="16.5" hidden="false" customHeight="true" outlineLevel="0" collapsed="false">
      <c r="A169" s="2" t="s">
        <v>385</v>
      </c>
      <c r="B169" s="2" t="s">
        <v>388</v>
      </c>
      <c r="C169" s="2" t="s">
        <v>20</v>
      </c>
      <c r="D169" s="2" t="str">
        <f aca="false">IF(2キー同時!$B$32="","",2キー同時!$B$32)</f>
        <v>j</v>
      </c>
      <c r="E169" s="2" t="str">
        <f aca="false">""</f>
        <v/>
      </c>
      <c r="F169" s="2" t="str">
        <f aca="false">""</f>
        <v/>
      </c>
      <c r="G169" s="2" t="str">
        <f aca="false">IF(2キー同時!$B$32="","",IF(2キー同時!AN36="","",SUBSTITUTE(SUBSTITUTE(2キー同時!AN36," ",""),"　","")))</f>
        <v/>
      </c>
      <c r="H169" s="2" t="str">
        <f aca="false">IF($G169="","",2キー同時!$B$32)</f>
        <v/>
      </c>
      <c r="I169" s="2" t="str">
        <f aca="false">IF($G169="","","o")</f>
        <v/>
      </c>
      <c r="J169" s="2" t="str">
        <f aca="false">""</f>
        <v/>
      </c>
      <c r="K169" s="2" t="str">
        <f aca="false">""</f>
        <v/>
      </c>
      <c r="L169" s="2" t="str">
        <f aca="false">IF($G169="","","同時")</f>
        <v/>
      </c>
      <c r="M169" s="2" t="str">
        <f aca="false">IF($G169="","",IF(ISNA(MATCH($G169,個別指定!$A:$A,0)),"行なし",""))</f>
        <v/>
      </c>
      <c r="N169" s="2" t="str">
        <f aca="false">IF($G169="","",IF(COUNTIF($G$2:$G$4460,$G169)&gt;1,"重複",""))</f>
        <v/>
      </c>
    </row>
    <row r="170" customFormat="false" ht="16.5" hidden="false" customHeight="true" outlineLevel="0" collapsed="false">
      <c r="A170" s="2" t="s">
        <v>385</v>
      </c>
      <c r="B170" s="2" t="s">
        <v>388</v>
      </c>
      <c r="C170" s="2" t="s">
        <v>21</v>
      </c>
      <c r="D170" s="2" t="str">
        <f aca="false">IF(2キー同時!$B$32="","",2キー同時!$B$32)</f>
        <v>j</v>
      </c>
      <c r="E170" s="2" t="str">
        <f aca="false">""</f>
        <v/>
      </c>
      <c r="F170" s="2" t="str">
        <f aca="false">""</f>
        <v/>
      </c>
      <c r="G170" s="2" t="str">
        <f aca="false">IF(2キー同時!$B$32="","",IF(2キー同時!AR36="","",SUBSTITUTE(SUBSTITUTE(2キー同時!AR36," ",""),"　","")))</f>
        <v/>
      </c>
      <c r="H170" s="2" t="str">
        <f aca="false">IF($G170="","",2キー同時!$B$32)</f>
        <v/>
      </c>
      <c r="I170" s="2" t="str">
        <f aca="false">IF($G170="","","p")</f>
        <v/>
      </c>
      <c r="J170" s="2" t="str">
        <f aca="false">""</f>
        <v/>
      </c>
      <c r="K170" s="2" t="str">
        <f aca="false">""</f>
        <v/>
      </c>
      <c r="L170" s="2" t="str">
        <f aca="false">IF($G170="","","同時")</f>
        <v/>
      </c>
      <c r="M170" s="2" t="str">
        <f aca="false">IF($G170="","",IF(ISNA(MATCH($G170,個別指定!$A:$A,0)),"行なし",""))</f>
        <v/>
      </c>
      <c r="N170" s="2" t="str">
        <f aca="false">IF($G170="","",IF(COUNTIF($G$2:$G$4460,$G170)&gt;1,"重複",""))</f>
        <v/>
      </c>
    </row>
    <row r="171" customFormat="false" ht="16.5" hidden="false" customHeight="true" outlineLevel="0" collapsed="false">
      <c r="A171" s="2" t="s">
        <v>385</v>
      </c>
      <c r="B171" s="2" t="s">
        <v>388</v>
      </c>
      <c r="C171" s="2" t="s">
        <v>22</v>
      </c>
      <c r="D171" s="2" t="str">
        <f aca="false">IF(2キー同時!$B$32="","",2キー同時!$B$32)</f>
        <v>j</v>
      </c>
      <c r="E171" s="2" t="str">
        <f aca="false">""</f>
        <v/>
      </c>
      <c r="F171" s="2" t="str">
        <f aca="false">""</f>
        <v/>
      </c>
      <c r="G171" s="2" t="str">
        <f aca="false">IF(2キー同時!$B$32="","",IF(2キー同時!AV36="","",SUBSTITUTE(SUBSTITUTE(2キー同時!AV36," ",""),"　","")))</f>
        <v/>
      </c>
      <c r="H171" s="2" t="str">
        <f aca="false">IF($G171="","",2キー同時!$B$32)</f>
        <v/>
      </c>
      <c r="I171" s="2" t="str">
        <f aca="false">IF($G171="","","[")</f>
        <v/>
      </c>
      <c r="J171" s="2" t="str">
        <f aca="false">""</f>
        <v/>
      </c>
      <c r="K171" s="2" t="str">
        <f aca="false">""</f>
        <v/>
      </c>
      <c r="L171" s="2" t="str">
        <f aca="false">IF($G171="","","同時")</f>
        <v/>
      </c>
      <c r="M171" s="2" t="str">
        <f aca="false">IF($G171="","",IF(ISNA(MATCH($G171,個別指定!$A:$A,0)),"行なし",""))</f>
        <v/>
      </c>
      <c r="N171" s="2" t="str">
        <f aca="false">IF($G171="","",IF(COUNTIF($G$2:$G$4460,$G171)&gt;1,"重複",""))</f>
        <v/>
      </c>
    </row>
    <row r="172" customFormat="false" ht="16.5" hidden="false" customHeight="true" outlineLevel="0" collapsed="false">
      <c r="A172" s="2" t="s">
        <v>385</v>
      </c>
      <c r="B172" s="2" t="s">
        <v>388</v>
      </c>
      <c r="C172" s="2" t="s">
        <v>23</v>
      </c>
      <c r="D172" s="2" t="str">
        <f aca="false">IF(2キー同時!$B$32="","",2キー同時!$B$32)</f>
        <v>j</v>
      </c>
      <c r="E172" s="2" t="str">
        <f aca="false">""</f>
        <v/>
      </c>
      <c r="F172" s="2" t="str">
        <f aca="false">""</f>
        <v/>
      </c>
      <c r="G172" s="2" t="str">
        <f aca="false">IF(2キー同時!$B$32="","",IF(2キー同時!AZ36="","",SUBSTITUTE(SUBSTITUTE(2キー同時!AZ36," ",""),"　","")))</f>
        <v/>
      </c>
      <c r="H172" s="2" t="str">
        <f aca="false">IF($G172="","",2キー同時!$B$32)</f>
        <v/>
      </c>
      <c r="I172" s="2" t="str">
        <f aca="false">IF($G172="","","]")</f>
        <v/>
      </c>
      <c r="J172" s="2" t="str">
        <f aca="false">""</f>
        <v/>
      </c>
      <c r="K172" s="2" t="str">
        <f aca="false">""</f>
        <v/>
      </c>
      <c r="L172" s="2" t="str">
        <f aca="false">IF($G172="","","同時")</f>
        <v/>
      </c>
      <c r="M172" s="2" t="str">
        <f aca="false">IF($G172="","",IF(ISNA(MATCH($G172,個別指定!$A:$A,0)),"行なし",""))</f>
        <v/>
      </c>
      <c r="N172" s="2" t="str">
        <f aca="false">IF($G172="","",IF(COUNTIF($G$2:$G$4460,$G172)&gt;1,"重複",""))</f>
        <v/>
      </c>
    </row>
    <row r="173" customFormat="false" ht="16.5" hidden="false" customHeight="true" outlineLevel="0" collapsed="false">
      <c r="A173" s="2" t="s">
        <v>385</v>
      </c>
      <c r="B173" s="2" t="s">
        <v>388</v>
      </c>
      <c r="C173" s="2" t="s">
        <v>24</v>
      </c>
      <c r="D173" s="2" t="str">
        <f aca="false">IF(2キー同時!$B$32="","",2キー同時!$B$32)</f>
        <v>j</v>
      </c>
      <c r="E173" s="2" t="str">
        <f aca="false">""</f>
        <v/>
      </c>
      <c r="F173" s="2" t="str">
        <f aca="false">""</f>
        <v/>
      </c>
      <c r="G173" s="2" t="str">
        <f aca="false">IF(2キー同時!$B$32="","",IF(2キー同時!I38="","",SUBSTITUTE(SUBSTITUTE(2キー同時!I38," ",""),"　","")))</f>
        <v>ぜ</v>
      </c>
      <c r="H173" s="2" t="str">
        <f aca="false">IF($G173="","",2キー同時!$B$32)</f>
        <v>j</v>
      </c>
      <c r="I173" s="2" t="str">
        <f aca="false">IF($G173="","","a")</f>
        <v>a</v>
      </c>
      <c r="J173" s="2" t="str">
        <f aca="false">""</f>
        <v/>
      </c>
      <c r="K173" s="2" t="str">
        <f aca="false">""</f>
        <v/>
      </c>
      <c r="L173" s="2" t="str">
        <f aca="false">IF($G173="","","同時")</f>
        <v>同時</v>
      </c>
      <c r="M173" s="2" t="str">
        <f aca="false">IF($G173="","",IF(ISNA(MATCH($G173,個別指定!$A:$A,0)),"行なし",""))</f>
        <v/>
      </c>
      <c r="N173" s="2" t="str">
        <f aca="false">IF($G173="","",IF(COUNTIF($G$2:$G$4460,$G173)&gt;1,"重複",""))</f>
        <v/>
      </c>
    </row>
    <row r="174" customFormat="false" ht="16.5" hidden="false" customHeight="true" outlineLevel="0" collapsed="false">
      <c r="A174" s="2" t="s">
        <v>385</v>
      </c>
      <c r="B174" s="2" t="s">
        <v>388</v>
      </c>
      <c r="C174" s="2" t="s">
        <v>25</v>
      </c>
      <c r="D174" s="2" t="str">
        <f aca="false">IF(2キー同時!$B$32="","",2キー同時!$B$32)</f>
        <v>j</v>
      </c>
      <c r="E174" s="2" t="str">
        <f aca="false">""</f>
        <v/>
      </c>
      <c r="F174" s="2" t="str">
        <f aca="false">""</f>
        <v/>
      </c>
      <c r="G174" s="2" t="str">
        <f aca="false">IF(2キー同時!$B$32="","",IF(2キー同時!M38="","",SUBSTITUTE(SUBSTITUTE(2キー同時!M38," ",""),"　","")))</f>
        <v>げ</v>
      </c>
      <c r="H174" s="2" t="str">
        <f aca="false">IF($G174="","",2キー同時!$B$32)</f>
        <v>j</v>
      </c>
      <c r="I174" s="2" t="str">
        <f aca="false">IF($G174="","","s")</f>
        <v>s</v>
      </c>
      <c r="J174" s="2" t="str">
        <f aca="false">""</f>
        <v/>
      </c>
      <c r="K174" s="2" t="str">
        <f aca="false">""</f>
        <v/>
      </c>
      <c r="L174" s="2" t="str">
        <f aca="false">IF($G174="","","同時")</f>
        <v>同時</v>
      </c>
      <c r="M174" s="2" t="str">
        <f aca="false">IF($G174="","",IF(ISNA(MATCH($G174,個別指定!$A:$A,0)),"行なし",""))</f>
        <v/>
      </c>
      <c r="N174" s="2" t="str">
        <f aca="false">IF($G174="","",IF(COUNTIF($G$2:$G$4460,$G174)&gt;1,"重複",""))</f>
        <v/>
      </c>
    </row>
    <row r="175" customFormat="false" ht="16.5" hidden="false" customHeight="true" outlineLevel="0" collapsed="false">
      <c r="A175" s="2" t="s">
        <v>385</v>
      </c>
      <c r="B175" s="2" t="s">
        <v>388</v>
      </c>
      <c r="C175" s="2" t="s">
        <v>26</v>
      </c>
      <c r="D175" s="2" t="str">
        <f aca="false">IF(2キー同時!$B$32="","",2キー同時!$B$32)</f>
        <v>j</v>
      </c>
      <c r="E175" s="2" t="str">
        <f aca="false">""</f>
        <v/>
      </c>
      <c r="F175" s="2" t="str">
        <f aca="false">""</f>
        <v/>
      </c>
      <c r="G175" s="2" t="str">
        <f aca="false">IF(2キー同時!$B$32="","",IF(2キー同時!Q38="","",SUBSTITUTE(SUBSTITUTE(2キー同時!Q38," ",""),"　","")))</f>
        <v>ど</v>
      </c>
      <c r="H175" s="2" t="str">
        <f aca="false">IF($G175="","",2キー同時!$B$32)</f>
        <v>j</v>
      </c>
      <c r="I175" s="2" t="str">
        <f aca="false">IF($G175="","","d")</f>
        <v>d</v>
      </c>
      <c r="J175" s="2" t="str">
        <f aca="false">""</f>
        <v/>
      </c>
      <c r="K175" s="2" t="str">
        <f aca="false">""</f>
        <v/>
      </c>
      <c r="L175" s="2" t="str">
        <f aca="false">IF($G175="","","同時")</f>
        <v>同時</v>
      </c>
      <c r="M175" s="2" t="str">
        <f aca="false">IF($G175="","",IF(ISNA(MATCH($G175,個別指定!$A:$A,0)),"行なし",""))</f>
        <v/>
      </c>
      <c r="N175" s="2" t="str">
        <f aca="false">IF($G175="","",IF(COUNTIF($G$2:$G$4460,$G175)&gt;1,"重複",""))</f>
        <v/>
      </c>
    </row>
    <row r="176" customFormat="false" ht="16.5" hidden="false" customHeight="true" outlineLevel="0" collapsed="false">
      <c r="A176" s="2" t="s">
        <v>385</v>
      </c>
      <c r="B176" s="2" t="s">
        <v>388</v>
      </c>
      <c r="C176" s="2" t="s">
        <v>27</v>
      </c>
      <c r="D176" s="2" t="str">
        <f aca="false">IF(2キー同時!$B$32="","",2キー同時!$B$32)</f>
        <v>j</v>
      </c>
      <c r="E176" s="2" t="str">
        <f aca="false">""</f>
        <v/>
      </c>
      <c r="F176" s="2" t="str">
        <f aca="false">""</f>
        <v/>
      </c>
      <c r="G176" s="2" t="str">
        <f aca="false">IF(2キー同時!$B$32="","",IF(2キー同時!U38="","",SUBSTITUTE(SUBSTITUTE(2キー同時!U38," ",""),"　","")))</f>
        <v>が</v>
      </c>
      <c r="H176" s="2" t="str">
        <f aca="false">IF($G176="","",2キー同時!$B$32)</f>
        <v>j</v>
      </c>
      <c r="I176" s="2" t="str">
        <f aca="false">IF($G176="","","f")</f>
        <v>f</v>
      </c>
      <c r="J176" s="2" t="str">
        <f aca="false">""</f>
        <v/>
      </c>
      <c r="K176" s="2" t="str">
        <f aca="false">""</f>
        <v/>
      </c>
      <c r="L176" s="2" t="str">
        <f aca="false">IF($G176="","","同時")</f>
        <v>同時</v>
      </c>
      <c r="M176" s="2" t="str">
        <f aca="false">IF($G176="","",IF(ISNA(MATCH($G176,個別指定!$A:$A,0)),"行なし",""))</f>
        <v/>
      </c>
      <c r="N176" s="2" t="str">
        <f aca="false">IF($G176="","",IF(COUNTIF($G$2:$G$4460,$G176)&gt;1,"重複",""))</f>
        <v/>
      </c>
    </row>
    <row r="177" customFormat="false" ht="16.5" hidden="false" customHeight="true" outlineLevel="0" collapsed="false">
      <c r="A177" s="2" t="s">
        <v>385</v>
      </c>
      <c r="B177" s="2" t="s">
        <v>388</v>
      </c>
      <c r="C177" s="2" t="s">
        <v>28</v>
      </c>
      <c r="D177" s="2" t="str">
        <f aca="false">IF(2キー同時!$B$32="","",2キー同時!$B$32)</f>
        <v>j</v>
      </c>
      <c r="E177" s="2" t="str">
        <f aca="false">""</f>
        <v/>
      </c>
      <c r="F177" s="2" t="str">
        <f aca="false">""</f>
        <v/>
      </c>
      <c r="G177" s="2" t="str">
        <f aca="false">IF(2キー同時!$B$32="","",IF(2キー同時!Y38="","",SUBSTITUTE(SUBSTITUTE(2キー同時!Y38," ",""),"　","")))</f>
        <v>ぢ</v>
      </c>
      <c r="H177" s="2" t="str">
        <f aca="false">IF($G177="","",2キー同時!$B$32)</f>
        <v>j</v>
      </c>
      <c r="I177" s="2" t="str">
        <f aca="false">IF($G177="","","g")</f>
        <v>g</v>
      </c>
      <c r="J177" s="2" t="str">
        <f aca="false">""</f>
        <v/>
      </c>
      <c r="K177" s="2" t="str">
        <f aca="false">""</f>
        <v/>
      </c>
      <c r="L177" s="2" t="str">
        <f aca="false">IF($G177="","","同時")</f>
        <v>同時</v>
      </c>
      <c r="M177" s="2" t="str">
        <f aca="false">IF($G177="","",IF(ISNA(MATCH($G177,個別指定!$A:$A,0)),"行なし",""))</f>
        <v/>
      </c>
      <c r="N177" s="2" t="str">
        <f aca="false">IF($G177="","",IF(COUNTIF($G$2:$G$4460,$G177)&gt;1,"重複",""))</f>
        <v/>
      </c>
    </row>
    <row r="178" customFormat="false" ht="16.5" hidden="false" customHeight="true" outlineLevel="0" collapsed="false">
      <c r="A178" s="2" t="s">
        <v>385</v>
      </c>
      <c r="B178" s="2" t="s">
        <v>388</v>
      </c>
      <c r="C178" s="2" t="s">
        <v>29</v>
      </c>
      <c r="D178" s="2" t="str">
        <f aca="false">IF(2キー同時!$B$32="","",2キー同時!$B$32)</f>
        <v>j</v>
      </c>
      <c r="E178" s="2" t="str">
        <f aca="false">""</f>
        <v/>
      </c>
      <c r="F178" s="2" t="str">
        <f aca="false">""</f>
        <v/>
      </c>
      <c r="G178" s="2" t="str">
        <f aca="false">IF(2キー同時!$B$32="","",IF(2キー同時!AC38="","",SUBSTITUTE(SUBSTITUTE(2キー同時!AC38," ",""),"　","")))</f>
        <v/>
      </c>
      <c r="H178" s="2" t="str">
        <f aca="false">IF($G178="","",2キー同時!$B$32)</f>
        <v/>
      </c>
      <c r="I178" s="2" t="str">
        <f aca="false">IF($G178="","","h")</f>
        <v/>
      </c>
      <c r="J178" s="2" t="str">
        <f aca="false">""</f>
        <v/>
      </c>
      <c r="K178" s="2" t="str">
        <f aca="false">""</f>
        <v/>
      </c>
      <c r="L178" s="2" t="str">
        <f aca="false">IF($G178="","","同時")</f>
        <v/>
      </c>
      <c r="M178" s="2" t="str">
        <f aca="false">IF($G178="","",IF(ISNA(MATCH($G178,個別指定!$A:$A,0)),"行なし",""))</f>
        <v/>
      </c>
      <c r="N178" s="2" t="str">
        <f aca="false">IF($G178="","",IF(COUNTIF($G$2:$G$4460,$G178)&gt;1,"重複",""))</f>
        <v/>
      </c>
    </row>
    <row r="179" customFormat="false" ht="16.5" hidden="false" customHeight="true" outlineLevel="0" collapsed="false">
      <c r="A179" s="2" t="s">
        <v>385</v>
      </c>
      <c r="B179" s="2" t="s">
        <v>388</v>
      </c>
      <c r="C179" s="2" t="s">
        <v>30</v>
      </c>
      <c r="D179" s="2" t="str">
        <f aca="false">IF(2キー同時!$B$32="","",2キー同時!$B$32)</f>
        <v>j</v>
      </c>
      <c r="E179" s="2" t="str">
        <f aca="false">""</f>
        <v/>
      </c>
      <c r="F179" s="2" t="str">
        <f aca="false">""</f>
        <v/>
      </c>
      <c r="G179" s="2" t="str">
        <f aca="false">IF(2キー同時!$B$32="","",IF(2キー同時!AG38="","",SUBSTITUTE(SUBSTITUTE(2キー同時!AG38," ",""),"　","")))</f>
        <v/>
      </c>
      <c r="H179" s="2" t="str">
        <f aca="false">IF($G179="","",2キー同時!$B$32)</f>
        <v/>
      </c>
      <c r="I179" s="2" t="str">
        <f aca="false">IF($G179="","","j")</f>
        <v/>
      </c>
      <c r="J179" s="2" t="str">
        <f aca="false">""</f>
        <v/>
      </c>
      <c r="K179" s="2" t="str">
        <f aca="false">""</f>
        <v/>
      </c>
      <c r="L179" s="2" t="str">
        <f aca="false">IF($G179="","","同時")</f>
        <v/>
      </c>
      <c r="M179" s="2" t="str">
        <f aca="false">IF($G179="","",IF(ISNA(MATCH($G179,個別指定!$A:$A,0)),"行なし",""))</f>
        <v/>
      </c>
      <c r="N179" s="2" t="str">
        <f aca="false">IF($G179="","",IF(COUNTIF($G$2:$G$4460,$G179)&gt;1,"重複",""))</f>
        <v/>
      </c>
    </row>
    <row r="180" customFormat="false" ht="16.5" hidden="false" customHeight="true" outlineLevel="0" collapsed="false">
      <c r="A180" s="2" t="s">
        <v>385</v>
      </c>
      <c r="B180" s="2" t="s">
        <v>388</v>
      </c>
      <c r="C180" s="2" t="s">
        <v>31</v>
      </c>
      <c r="D180" s="2" t="str">
        <f aca="false">IF(2キー同時!$B$32="","",2キー同時!$B$32)</f>
        <v>j</v>
      </c>
      <c r="E180" s="2" t="str">
        <f aca="false">""</f>
        <v/>
      </c>
      <c r="F180" s="2" t="str">
        <f aca="false">""</f>
        <v/>
      </c>
      <c r="G180" s="2" t="str">
        <f aca="false">IF(2キー同時!$B$32="","",IF(2キー同時!AK38="","",SUBSTITUTE(SUBSTITUTE(2キー同時!AK38," ",""),"　","")))</f>
        <v/>
      </c>
      <c r="H180" s="2" t="str">
        <f aca="false">IF($G180="","",2キー同時!$B$32)</f>
        <v/>
      </c>
      <c r="I180" s="2" t="str">
        <f aca="false">IF($G180="","","k")</f>
        <v/>
      </c>
      <c r="J180" s="2" t="str">
        <f aca="false">""</f>
        <v/>
      </c>
      <c r="K180" s="2" t="str">
        <f aca="false">""</f>
        <v/>
      </c>
      <c r="L180" s="2" t="str">
        <f aca="false">IF($G180="","","同時")</f>
        <v/>
      </c>
      <c r="M180" s="2" t="str">
        <f aca="false">IF($G180="","",IF(ISNA(MATCH($G180,個別指定!$A:$A,0)),"行なし",""))</f>
        <v/>
      </c>
      <c r="N180" s="2" t="str">
        <f aca="false">IF($G180="","",IF(COUNTIF($G$2:$G$4460,$G180)&gt;1,"重複",""))</f>
        <v/>
      </c>
    </row>
    <row r="181" customFormat="false" ht="16.5" hidden="false" customHeight="true" outlineLevel="0" collapsed="false">
      <c r="A181" s="2" t="s">
        <v>385</v>
      </c>
      <c r="B181" s="2" t="s">
        <v>388</v>
      </c>
      <c r="C181" s="2" t="s">
        <v>32</v>
      </c>
      <c r="D181" s="2" t="str">
        <f aca="false">IF(2キー同時!$B$32="","",2キー同時!$B$32)</f>
        <v>j</v>
      </c>
      <c r="E181" s="2" t="str">
        <f aca="false">""</f>
        <v/>
      </c>
      <c r="F181" s="2" t="str">
        <f aca="false">""</f>
        <v/>
      </c>
      <c r="G181" s="2" t="str">
        <f aca="false">IF(2キー同時!$B$32="","",IF(2キー同時!AO38="","",SUBSTITUTE(SUBSTITUTE(2キー同時!AO38," ",""),"　","")))</f>
        <v/>
      </c>
      <c r="H181" s="2" t="str">
        <f aca="false">IF($G181="","",2キー同時!$B$32)</f>
        <v/>
      </c>
      <c r="I181" s="2" t="str">
        <f aca="false">IF($G181="","","l")</f>
        <v/>
      </c>
      <c r="J181" s="2" t="str">
        <f aca="false">""</f>
        <v/>
      </c>
      <c r="K181" s="2" t="str">
        <f aca="false">""</f>
        <v/>
      </c>
      <c r="L181" s="2" t="str">
        <f aca="false">IF($G181="","","同時")</f>
        <v/>
      </c>
      <c r="M181" s="2" t="str">
        <f aca="false">IF($G181="","",IF(ISNA(MATCH($G181,個別指定!$A:$A,0)),"行なし",""))</f>
        <v/>
      </c>
      <c r="N181" s="2" t="str">
        <f aca="false">IF($G181="","",IF(COUNTIF($G$2:$G$4460,$G181)&gt;1,"重複",""))</f>
        <v/>
      </c>
    </row>
    <row r="182" customFormat="false" ht="16.5" hidden="false" customHeight="true" outlineLevel="0" collapsed="false">
      <c r="A182" s="2" t="s">
        <v>385</v>
      </c>
      <c r="B182" s="2" t="s">
        <v>388</v>
      </c>
      <c r="C182" s="2" t="s">
        <v>33</v>
      </c>
      <c r="D182" s="2" t="str">
        <f aca="false">IF(2キー同時!$B$32="","",2キー同時!$B$32)</f>
        <v>j</v>
      </c>
      <c r="E182" s="2" t="str">
        <f aca="false">""</f>
        <v/>
      </c>
      <c r="F182" s="2" t="str">
        <f aca="false">""</f>
        <v/>
      </c>
      <c r="G182" s="2" t="str">
        <f aca="false">IF(2キー同時!$B$32="","",IF(2キー同時!AS38="","",SUBSTITUTE(SUBSTITUTE(2キー同時!AS38," ",""),"　","")))</f>
        <v/>
      </c>
      <c r="H182" s="2" t="str">
        <f aca="false">IF($G182="","",2キー同時!$B$32)</f>
        <v/>
      </c>
      <c r="I182" s="2" t="str">
        <f aca="false">IF($G182="","",";")</f>
        <v/>
      </c>
      <c r="J182" s="2" t="str">
        <f aca="false">""</f>
        <v/>
      </c>
      <c r="K182" s="2" t="str">
        <f aca="false">""</f>
        <v/>
      </c>
      <c r="L182" s="2" t="str">
        <f aca="false">IF($G182="","","同時")</f>
        <v/>
      </c>
      <c r="M182" s="2" t="str">
        <f aca="false">IF($G182="","",IF(ISNA(MATCH($G182,個別指定!$A:$A,0)),"行なし",""))</f>
        <v/>
      </c>
      <c r="N182" s="2" t="str">
        <f aca="false">IF($G182="","",IF(COUNTIF($G$2:$G$4460,$G182)&gt;1,"重複",""))</f>
        <v/>
      </c>
    </row>
    <row r="183" customFormat="false" ht="16.5" hidden="false" customHeight="true" outlineLevel="0" collapsed="false">
      <c r="A183" s="2" t="s">
        <v>385</v>
      </c>
      <c r="B183" s="2" t="s">
        <v>388</v>
      </c>
      <c r="C183" s="2" t="s">
        <v>34</v>
      </c>
      <c r="D183" s="2" t="str">
        <f aca="false">IF(2キー同時!$B$32="","",2キー同時!$B$32)</f>
        <v>j</v>
      </c>
      <c r="E183" s="2" t="str">
        <f aca="false">""</f>
        <v/>
      </c>
      <c r="F183" s="2" t="str">
        <f aca="false">""</f>
        <v/>
      </c>
      <c r="G183" s="2" t="str">
        <f aca="false">IF(2キー同時!$B$32="","",IF(2キー同時!AW38="","",SUBSTITUTE(SUBSTITUTE(2キー同時!AW38," ",""),"　","")))</f>
        <v/>
      </c>
      <c r="H183" s="2" t="str">
        <f aca="false">IF($G183="","",2キー同時!$B$32)</f>
        <v/>
      </c>
      <c r="I183" s="2" t="str">
        <f aca="false">IF($G183="","","'")</f>
        <v/>
      </c>
      <c r="J183" s="2" t="str">
        <f aca="false">""</f>
        <v/>
      </c>
      <c r="K183" s="2" t="str">
        <f aca="false">""</f>
        <v/>
      </c>
      <c r="L183" s="2" t="str">
        <f aca="false">IF($G183="","","同時")</f>
        <v/>
      </c>
      <c r="M183" s="2" t="str">
        <f aca="false">IF($G183="","",IF(ISNA(MATCH($G183,個別指定!$A:$A,0)),"行なし",""))</f>
        <v/>
      </c>
      <c r="N183" s="2" t="str">
        <f aca="false">IF($G183="","",IF(COUNTIF($G$2:$G$4460,$G183)&gt;1,"重複",""))</f>
        <v/>
      </c>
    </row>
    <row r="184" customFormat="false" ht="16.5" hidden="false" customHeight="true" outlineLevel="0" collapsed="false">
      <c r="A184" s="2" t="s">
        <v>385</v>
      </c>
      <c r="B184" s="2" t="s">
        <v>388</v>
      </c>
      <c r="C184" s="2" t="s">
        <v>35</v>
      </c>
      <c r="D184" s="2" t="str">
        <f aca="false">IF(2キー同時!$B$32="","",2キー同時!$B$32)</f>
        <v>j</v>
      </c>
      <c r="E184" s="2" t="str">
        <f aca="false">""</f>
        <v/>
      </c>
      <c r="F184" s="2" t="str">
        <f aca="false">""</f>
        <v/>
      </c>
      <c r="G184" s="2" t="str">
        <f aca="false">IF(2キー同時!$B$32="","",IF(2キー同時!K40="","",SUBSTITUTE(SUBSTITUTE(2キー同時!K40," ",""),"　","")))</f>
        <v>ぼ</v>
      </c>
      <c r="H184" s="2" t="str">
        <f aca="false">IF($G184="","",2キー同時!$B$32)</f>
        <v>j</v>
      </c>
      <c r="I184" s="2" t="str">
        <f aca="false">IF($G184="","","z")</f>
        <v>z</v>
      </c>
      <c r="J184" s="2" t="str">
        <f aca="false">""</f>
        <v/>
      </c>
      <c r="K184" s="2" t="str">
        <f aca="false">""</f>
        <v/>
      </c>
      <c r="L184" s="2" t="str">
        <f aca="false">IF($G184="","","同時")</f>
        <v>同時</v>
      </c>
      <c r="M184" s="2" t="str">
        <f aca="false">IF($G184="","",IF(ISNA(MATCH($G184,個別指定!$A:$A,0)),"行なし",""))</f>
        <v/>
      </c>
      <c r="N184" s="2" t="str">
        <f aca="false">IF($G184="","",IF(COUNTIF($G$2:$G$4460,$G184)&gt;1,"重複",""))</f>
        <v/>
      </c>
    </row>
    <row r="185" customFormat="false" ht="16.5" hidden="false" customHeight="true" outlineLevel="0" collapsed="false">
      <c r="A185" s="2" t="s">
        <v>385</v>
      </c>
      <c r="B185" s="2" t="s">
        <v>388</v>
      </c>
      <c r="C185" s="2" t="s">
        <v>36</v>
      </c>
      <c r="D185" s="2" t="str">
        <f aca="false">IF(2キー同時!$B$32="","",2キー同時!$B$32)</f>
        <v>j</v>
      </c>
      <c r="E185" s="2" t="str">
        <f aca="false">""</f>
        <v/>
      </c>
      <c r="F185" s="2" t="str">
        <f aca="false">""</f>
        <v/>
      </c>
      <c r="G185" s="2" t="str">
        <f aca="false">IF(2キー同時!$B$32="","",IF(2キー同時!O40="","",SUBSTITUTE(SUBSTITUTE(2キー同時!O40," ",""),"　","")))</f>
        <v>び</v>
      </c>
      <c r="H185" s="2" t="str">
        <f aca="false">IF($G185="","",2キー同時!$B$32)</f>
        <v>j</v>
      </c>
      <c r="I185" s="2" t="str">
        <f aca="false">IF($G185="","","x")</f>
        <v>x</v>
      </c>
      <c r="J185" s="2" t="str">
        <f aca="false">""</f>
        <v/>
      </c>
      <c r="K185" s="2" t="str">
        <f aca="false">""</f>
        <v/>
      </c>
      <c r="L185" s="2" t="str">
        <f aca="false">IF($G185="","","同時")</f>
        <v>同時</v>
      </c>
      <c r="M185" s="2" t="str">
        <f aca="false">IF($G185="","",IF(ISNA(MATCH($G185,個別指定!$A:$A,0)),"行なし",""))</f>
        <v/>
      </c>
      <c r="N185" s="2" t="str">
        <f aca="false">IF($G185="","",IF(COUNTIF($G$2:$G$4460,$G185)&gt;1,"重複",""))</f>
        <v/>
      </c>
    </row>
    <row r="186" customFormat="false" ht="16.5" hidden="false" customHeight="true" outlineLevel="0" collapsed="false">
      <c r="A186" s="2" t="s">
        <v>385</v>
      </c>
      <c r="B186" s="2" t="s">
        <v>388</v>
      </c>
      <c r="C186" s="2" t="s">
        <v>37</v>
      </c>
      <c r="D186" s="2" t="str">
        <f aca="false">IF(2キー同時!$B$32="","",2キー同時!$B$32)</f>
        <v>j</v>
      </c>
      <c r="E186" s="2" t="str">
        <f aca="false">""</f>
        <v/>
      </c>
      <c r="F186" s="2" t="str">
        <f aca="false">""</f>
        <v/>
      </c>
      <c r="G186" s="2" t="str">
        <f aca="false">IF(2キー同時!$B$32="","",IF(2キー同時!S40="","",SUBSTITUTE(SUBSTITUTE(2キー同時!S40," ",""),"　","")))</f>
        <v>ば</v>
      </c>
      <c r="H186" s="2" t="str">
        <f aca="false">IF($G186="","",2キー同時!$B$32)</f>
        <v>j</v>
      </c>
      <c r="I186" s="2" t="str">
        <f aca="false">IF($G186="","","c")</f>
        <v>c</v>
      </c>
      <c r="J186" s="2" t="str">
        <f aca="false">""</f>
        <v/>
      </c>
      <c r="K186" s="2" t="str">
        <f aca="false">""</f>
        <v/>
      </c>
      <c r="L186" s="2" t="str">
        <f aca="false">IF($G186="","","同時")</f>
        <v>同時</v>
      </c>
      <c r="M186" s="2" t="str">
        <f aca="false">IF($G186="","",IF(ISNA(MATCH($G186,個別指定!$A:$A,0)),"行なし",""))</f>
        <v/>
      </c>
      <c r="N186" s="2" t="str">
        <f aca="false">IF($G186="","",IF(COUNTIF($G$2:$G$4460,$G186)&gt;1,"重複",""))</f>
        <v/>
      </c>
    </row>
    <row r="187" customFormat="false" ht="16.5" hidden="false" customHeight="true" outlineLevel="0" collapsed="false">
      <c r="A187" s="2" t="s">
        <v>385</v>
      </c>
      <c r="B187" s="2" t="s">
        <v>388</v>
      </c>
      <c r="C187" s="2" t="s">
        <v>38</v>
      </c>
      <c r="D187" s="2" t="str">
        <f aca="false">IF(2キー同時!$B$32="","",2キー同時!$B$32)</f>
        <v>j</v>
      </c>
      <c r="E187" s="2" t="str">
        <f aca="false">""</f>
        <v/>
      </c>
      <c r="F187" s="2" t="str">
        <f aca="false">""</f>
        <v/>
      </c>
      <c r="G187" s="2" t="str">
        <f aca="false">IF(2キー同時!$B$32="","",IF(2キー同時!W40="","",SUBSTITUTE(SUBSTITUTE(2キー同時!W40," ",""),"　","")))</f>
        <v>ご</v>
      </c>
      <c r="H187" s="2" t="str">
        <f aca="false">IF($G187="","",2キー同時!$B$32)</f>
        <v>j</v>
      </c>
      <c r="I187" s="2" t="str">
        <f aca="false">IF($G187="","","v")</f>
        <v>v</v>
      </c>
      <c r="J187" s="2" t="str">
        <f aca="false">""</f>
        <v/>
      </c>
      <c r="K187" s="2" t="str">
        <f aca="false">""</f>
        <v/>
      </c>
      <c r="L187" s="2" t="str">
        <f aca="false">IF($G187="","","同時")</f>
        <v>同時</v>
      </c>
      <c r="M187" s="2" t="str">
        <f aca="false">IF($G187="","",IF(ISNA(MATCH($G187,個別指定!$A:$A,0)),"行なし",""))</f>
        <v/>
      </c>
      <c r="N187" s="2" t="str">
        <f aca="false">IF($G187="","",IF(COUNTIF($G$2:$G$4460,$G187)&gt;1,"重複",""))</f>
        <v/>
      </c>
    </row>
    <row r="188" customFormat="false" ht="16.5" hidden="false" customHeight="true" outlineLevel="0" collapsed="false">
      <c r="A188" s="2" t="s">
        <v>385</v>
      </c>
      <c r="B188" s="2" t="s">
        <v>388</v>
      </c>
      <c r="C188" s="2" t="s">
        <v>39</v>
      </c>
      <c r="D188" s="2" t="str">
        <f aca="false">IF(2キー同時!$B$32="","",2キー同時!$B$32)</f>
        <v>j</v>
      </c>
      <c r="E188" s="2" t="str">
        <f aca="false">""</f>
        <v/>
      </c>
      <c r="F188" s="2" t="str">
        <f aca="false">""</f>
        <v/>
      </c>
      <c r="G188" s="2" t="str">
        <f aca="false">IF(2キー同時!$B$32="","",IF(2キー同時!AA40="","",SUBSTITUTE(SUBSTITUTE(2キー同時!AA40," ",""),"　","")))</f>
        <v>ぞ</v>
      </c>
      <c r="H188" s="2" t="str">
        <f aca="false">IF($G188="","",2キー同時!$B$32)</f>
        <v>j</v>
      </c>
      <c r="I188" s="2" t="str">
        <f aca="false">IF($G188="","","b")</f>
        <v>b</v>
      </c>
      <c r="J188" s="2" t="str">
        <f aca="false">""</f>
        <v/>
      </c>
      <c r="K188" s="2" t="str">
        <f aca="false">""</f>
        <v/>
      </c>
      <c r="L188" s="2" t="str">
        <f aca="false">IF($G188="","","同時")</f>
        <v>同時</v>
      </c>
      <c r="M188" s="2" t="str">
        <f aca="false">IF($G188="","",IF(ISNA(MATCH($G188,個別指定!$A:$A,0)),"行なし",""))</f>
        <v/>
      </c>
      <c r="N188" s="2" t="str">
        <f aca="false">IF($G188="","",IF(COUNTIF($G$2:$G$4460,$G188)&gt;1,"重複",""))</f>
        <v/>
      </c>
    </row>
    <row r="189" customFormat="false" ht="16.5" hidden="false" customHeight="true" outlineLevel="0" collapsed="false">
      <c r="A189" s="2" t="s">
        <v>385</v>
      </c>
      <c r="B189" s="2" t="s">
        <v>388</v>
      </c>
      <c r="C189" s="2" t="s">
        <v>40</v>
      </c>
      <c r="D189" s="2" t="str">
        <f aca="false">IF(2キー同時!$B$32="","",2キー同時!$B$32)</f>
        <v>j</v>
      </c>
      <c r="E189" s="2" t="str">
        <f aca="false">""</f>
        <v/>
      </c>
      <c r="F189" s="2" t="str">
        <f aca="false">""</f>
        <v/>
      </c>
      <c r="G189" s="2" t="str">
        <f aca="false">IF(2キー同時!$B$32="","",IF(2キー同時!AE40="","",SUBSTITUTE(SUBSTITUTE(2キー同時!AE40," ",""),"　","")))</f>
        <v/>
      </c>
      <c r="H189" s="2" t="str">
        <f aca="false">IF($G189="","",2キー同時!$B$32)</f>
        <v/>
      </c>
      <c r="I189" s="2" t="str">
        <f aca="false">IF($G189="","","n")</f>
        <v/>
      </c>
      <c r="J189" s="2" t="str">
        <f aca="false">""</f>
        <v/>
      </c>
      <c r="K189" s="2" t="str">
        <f aca="false">""</f>
        <v/>
      </c>
      <c r="L189" s="2" t="str">
        <f aca="false">IF($G189="","","同時")</f>
        <v/>
      </c>
      <c r="M189" s="2" t="str">
        <f aca="false">IF($G189="","",IF(ISNA(MATCH($G189,個別指定!$A:$A,0)),"行なし",""))</f>
        <v/>
      </c>
      <c r="N189" s="2" t="str">
        <f aca="false">IF($G189="","",IF(COUNTIF($G$2:$G$4460,$G189)&gt;1,"重複",""))</f>
        <v/>
      </c>
    </row>
    <row r="190" customFormat="false" ht="16.5" hidden="false" customHeight="true" outlineLevel="0" collapsed="false">
      <c r="A190" s="2" t="s">
        <v>385</v>
      </c>
      <c r="B190" s="2" t="s">
        <v>388</v>
      </c>
      <c r="C190" s="2" t="s">
        <v>41</v>
      </c>
      <c r="D190" s="2" t="str">
        <f aca="false">IF(2キー同時!$B$32="","",2キー同時!$B$32)</f>
        <v>j</v>
      </c>
      <c r="E190" s="2" t="str">
        <f aca="false">""</f>
        <v/>
      </c>
      <c r="F190" s="2" t="str">
        <f aca="false">""</f>
        <v/>
      </c>
      <c r="G190" s="2" t="str">
        <f aca="false">IF(2キー同時!$B$32="","",IF(2キー同時!AI40="","",SUBSTITUTE(SUBSTITUTE(2キー同時!AI40," ",""),"　","")))</f>
        <v/>
      </c>
      <c r="H190" s="2" t="str">
        <f aca="false">IF($G190="","",2キー同時!$B$32)</f>
        <v/>
      </c>
      <c r="I190" s="2" t="str">
        <f aca="false">IF($G190="","","m")</f>
        <v/>
      </c>
      <c r="J190" s="2" t="str">
        <f aca="false">""</f>
        <v/>
      </c>
      <c r="K190" s="2" t="str">
        <f aca="false">""</f>
        <v/>
      </c>
      <c r="L190" s="2" t="str">
        <f aca="false">IF($G190="","","同時")</f>
        <v/>
      </c>
      <c r="M190" s="2" t="str">
        <f aca="false">IF($G190="","",IF(ISNA(MATCH($G190,個別指定!$A:$A,0)),"行なし",""))</f>
        <v/>
      </c>
      <c r="N190" s="2" t="str">
        <f aca="false">IF($G190="","",IF(COUNTIF($G$2:$G$4460,$G190)&gt;1,"重複",""))</f>
        <v/>
      </c>
    </row>
    <row r="191" customFormat="false" ht="16.5" hidden="false" customHeight="true" outlineLevel="0" collapsed="false">
      <c r="A191" s="2" t="s">
        <v>385</v>
      </c>
      <c r="B191" s="2" t="s">
        <v>388</v>
      </c>
      <c r="C191" s="2" t="s">
        <v>42</v>
      </c>
      <c r="D191" s="2" t="str">
        <f aca="false">IF(2キー同時!$B$32="","",2キー同時!$B$32)</f>
        <v>j</v>
      </c>
      <c r="E191" s="2" t="str">
        <f aca="false">""</f>
        <v/>
      </c>
      <c r="F191" s="2" t="str">
        <f aca="false">""</f>
        <v/>
      </c>
      <c r="G191" s="2" t="str">
        <f aca="false">IF(2キー同時!$B$32="","",IF(2キー同時!AM40="","",SUBSTITUTE(SUBSTITUTE(2キー同時!AM40," ",""),"　","")))</f>
        <v/>
      </c>
      <c r="H191" s="2" t="str">
        <f aca="false">IF($G191="","",2キー同時!$B$32)</f>
        <v/>
      </c>
      <c r="I191" s="2" t="str">
        <f aca="false">IF($G191="","",",")</f>
        <v/>
      </c>
      <c r="J191" s="2" t="str">
        <f aca="false">""</f>
        <v/>
      </c>
      <c r="K191" s="2" t="str">
        <f aca="false">""</f>
        <v/>
      </c>
      <c r="L191" s="2" t="str">
        <f aca="false">IF($G191="","","同時")</f>
        <v/>
      </c>
      <c r="M191" s="2" t="str">
        <f aca="false">IF($G191="","",IF(ISNA(MATCH($G191,個別指定!$A:$A,0)),"行なし",""))</f>
        <v/>
      </c>
      <c r="N191" s="2" t="str">
        <f aca="false">IF($G191="","",IF(COUNTIF($G$2:$G$4460,$G191)&gt;1,"重複",""))</f>
        <v/>
      </c>
    </row>
    <row r="192" customFormat="false" ht="16.5" hidden="false" customHeight="true" outlineLevel="0" collapsed="false">
      <c r="A192" s="2" t="s">
        <v>385</v>
      </c>
      <c r="B192" s="2" t="s">
        <v>388</v>
      </c>
      <c r="C192" s="2" t="s">
        <v>43</v>
      </c>
      <c r="D192" s="2" t="str">
        <f aca="false">IF(2キー同時!$B$32="","",2キー同時!$B$32)</f>
        <v>j</v>
      </c>
      <c r="E192" s="2" t="str">
        <f aca="false">""</f>
        <v/>
      </c>
      <c r="F192" s="2" t="str">
        <f aca="false">""</f>
        <v/>
      </c>
      <c r="G192" s="2" t="str">
        <f aca="false">IF(2キー同時!$B$32="","",IF(2キー同時!AQ40="","",SUBSTITUTE(SUBSTITUTE(2キー同時!AQ40," ",""),"　","")))</f>
        <v/>
      </c>
      <c r="H192" s="2" t="str">
        <f aca="false">IF($G192="","",2キー同時!$B$32)</f>
        <v/>
      </c>
      <c r="I192" s="2" t="str">
        <f aca="false">IF($G192="","",".")</f>
        <v/>
      </c>
      <c r="J192" s="2" t="str">
        <f aca="false">""</f>
        <v/>
      </c>
      <c r="K192" s="2" t="str">
        <f aca="false">""</f>
        <v/>
      </c>
      <c r="L192" s="2" t="str">
        <f aca="false">IF($G192="","","同時")</f>
        <v/>
      </c>
      <c r="M192" s="2" t="str">
        <f aca="false">IF($G192="","",IF(ISNA(MATCH($G192,個別指定!$A:$A,0)),"行なし",""))</f>
        <v/>
      </c>
      <c r="N192" s="2" t="str">
        <f aca="false">IF($G192="","",IF(COUNTIF($G$2:$G$4460,$G192)&gt;1,"重複",""))</f>
        <v/>
      </c>
    </row>
    <row r="193" customFormat="false" ht="16.5" hidden="false" customHeight="true" outlineLevel="0" collapsed="false">
      <c r="A193" s="2" t="s">
        <v>385</v>
      </c>
      <c r="B193" s="2" t="s">
        <v>388</v>
      </c>
      <c r="C193" s="2" t="s">
        <v>44</v>
      </c>
      <c r="D193" s="2" t="str">
        <f aca="false">IF(2キー同時!$B$32="","",2キー同時!$B$32)</f>
        <v>j</v>
      </c>
      <c r="E193" s="2" t="str">
        <f aca="false">""</f>
        <v/>
      </c>
      <c r="F193" s="2" t="str">
        <f aca="false">""</f>
        <v/>
      </c>
      <c r="G193" s="2" t="str">
        <f aca="false">IF(2キー同時!$B$32="","",IF(2キー同時!AU40="","",SUBSTITUTE(SUBSTITUTE(2キー同時!AU40," ",""),"　","")))</f>
        <v/>
      </c>
      <c r="H193" s="2" t="str">
        <f aca="false">IF($G193="","",2キー同時!$B$32)</f>
        <v/>
      </c>
      <c r="I193" s="2" t="str">
        <f aca="false">IF($G193="","","/")</f>
        <v/>
      </c>
      <c r="J193" s="2" t="str">
        <f aca="false">""</f>
        <v/>
      </c>
      <c r="K193" s="2" t="str">
        <f aca="false">""</f>
        <v/>
      </c>
      <c r="L193" s="2" t="str">
        <f aca="false">IF($G193="","","同時")</f>
        <v/>
      </c>
      <c r="M193" s="2" t="str">
        <f aca="false">IF($G193="","",IF(ISNA(MATCH($G193,個別指定!$A:$A,0)),"行なし",""))</f>
        <v/>
      </c>
      <c r="N193" s="2" t="str">
        <f aca="false">IF($G193="","",IF(COUNTIF($G$2:$G$4460,$G193)&gt;1,"重複",""))</f>
        <v/>
      </c>
    </row>
    <row r="194" customFormat="false" ht="16.5" hidden="false" customHeight="true" outlineLevel="0" collapsed="false">
      <c r="A194" s="2" t="s">
        <v>385</v>
      </c>
      <c r="B194" s="2" t="s">
        <v>388</v>
      </c>
      <c r="C194" s="2" t="s">
        <v>48</v>
      </c>
      <c r="D194" s="2" t="str">
        <f aca="false">IF(2キー同時!$B$32="","",2キー同時!$B$32)</f>
        <v>j</v>
      </c>
      <c r="E194" s="2" t="str">
        <f aca="false">""</f>
        <v/>
      </c>
      <c r="F194" s="2" t="str">
        <f aca="false">""</f>
        <v/>
      </c>
      <c r="G194" s="2" t="str">
        <f aca="false">IF(2キー同時!$B$32="","",IF(2キー同時!P42="","",SUBSTITUTE(SUBSTITUTE(2キー同時!P42," ",""),"　","")))</f>
        <v/>
      </c>
      <c r="H194" s="2" t="str">
        <f aca="false">IF($G194="","",2キー同時!$B$32)</f>
        <v/>
      </c>
      <c r="I194" s="2" t="str">
        <f aca="false">IF($G194="","","muhenkan")</f>
        <v/>
      </c>
      <c r="J194" s="2" t="str">
        <f aca="false">""</f>
        <v/>
      </c>
      <c r="K194" s="2" t="str">
        <f aca="false">""</f>
        <v/>
      </c>
      <c r="L194" s="2" t="str">
        <f aca="false">IF($G194="","","同時")</f>
        <v/>
      </c>
      <c r="M194" s="2" t="str">
        <f aca="false">IF($G194="","",IF(ISNA(MATCH($G194,個別指定!$A:$A,0)),"行なし",""))</f>
        <v/>
      </c>
      <c r="N194" s="2" t="str">
        <f aca="false">IF($G194="","",IF(COUNTIF($G$2:$G$4460,$G194)&gt;1,"重複",""))</f>
        <v/>
      </c>
    </row>
    <row r="195" customFormat="false" ht="16.5" hidden="false" customHeight="true" outlineLevel="0" collapsed="false">
      <c r="A195" s="2" t="s">
        <v>385</v>
      </c>
      <c r="B195" s="2" t="s">
        <v>388</v>
      </c>
      <c r="C195" s="2" t="s">
        <v>50</v>
      </c>
      <c r="D195" s="2" t="str">
        <f aca="false">IF(2キー同時!$B$32="","",2キー同時!$B$32)</f>
        <v>j</v>
      </c>
      <c r="E195" s="2" t="str">
        <f aca="false">""</f>
        <v/>
      </c>
      <c r="F195" s="2" t="str">
        <f aca="false">""</f>
        <v/>
      </c>
      <c r="G195" s="2" t="str">
        <f aca="false">IF(2キー同時!$B$32="","",IF(2キー同時!T42="","",SUBSTITUTE(SUBSTITUTE(2キー同時!T42," ",""),"　","")))</f>
        <v/>
      </c>
      <c r="H195" s="2" t="str">
        <f aca="false">IF($G195="","",2キー同時!$B$32)</f>
        <v/>
      </c>
      <c r="I195" s="2" t="str">
        <f aca="false">IF($G195="","","space")</f>
        <v/>
      </c>
      <c r="J195" s="2" t="str">
        <f aca="false">""</f>
        <v/>
      </c>
      <c r="K195" s="2" t="str">
        <f aca="false">""</f>
        <v/>
      </c>
      <c r="L195" s="2" t="str">
        <f aca="false">IF($G195="","","同時")</f>
        <v/>
      </c>
      <c r="M195" s="2" t="str">
        <f aca="false">IF($G195="","",IF(ISNA(MATCH($G195,個別指定!$A:$A,0)),"行なし",""))</f>
        <v/>
      </c>
      <c r="N195" s="2" t="str">
        <f aca="false">IF($G195="","",IF(COUNTIF($G$2:$G$4460,$G195)&gt;1,"重複",""))</f>
        <v/>
      </c>
    </row>
    <row r="196" customFormat="false" ht="16.5" hidden="false" customHeight="true" outlineLevel="0" collapsed="false">
      <c r="A196" s="2" t="s">
        <v>385</v>
      </c>
      <c r="B196" s="2" t="s">
        <v>388</v>
      </c>
      <c r="C196" s="2" t="s">
        <v>45</v>
      </c>
      <c r="D196" s="2" t="str">
        <f aca="false">IF(2キー同時!$B$32="","",2キー同時!$B$32)</f>
        <v>j</v>
      </c>
      <c r="E196" s="2" t="str">
        <f aca="false">""</f>
        <v/>
      </c>
      <c r="F196" s="2" t="str">
        <f aca="false">""</f>
        <v/>
      </c>
      <c r="G196" s="2" t="str">
        <f aca="false">IF(2キー同時!$B$32="","",IF(2キー同時!AL42="","",SUBSTITUTE(SUBSTITUTE(2キー同時!AL42," ",""),"　","")))</f>
        <v/>
      </c>
      <c r="H196" s="2" t="str">
        <f aca="false">IF($G196="","",2キー同時!$B$32)</f>
        <v/>
      </c>
      <c r="I196" s="2" t="str">
        <f aca="false">IF($G196="","","henkan")</f>
        <v/>
      </c>
      <c r="J196" s="2" t="str">
        <f aca="false">""</f>
        <v/>
      </c>
      <c r="K196" s="2" t="str">
        <f aca="false">""</f>
        <v/>
      </c>
      <c r="L196" s="2" t="str">
        <f aca="false">IF($G196="","","同時")</f>
        <v/>
      </c>
      <c r="M196" s="2" t="str">
        <f aca="false">IF($G196="","",IF(ISNA(MATCH($G196,個別指定!$A:$A,0)),"行なし",""))</f>
        <v/>
      </c>
      <c r="N196" s="2" t="str">
        <f aca="false">IF($G196="","",IF(COUNTIF($G$2:$G$4460,$G196)&gt;1,"重複",""))</f>
        <v/>
      </c>
    </row>
    <row r="197" customFormat="false" ht="16.5" hidden="false" customHeight="true" outlineLevel="0" collapsed="false">
      <c r="A197" s="2" t="s">
        <v>385</v>
      </c>
      <c r="B197" s="2" t="s">
        <v>388</v>
      </c>
      <c r="C197" s="2" t="s">
        <v>46</v>
      </c>
      <c r="D197" s="2" t="str">
        <f aca="false">IF(2キー同時!$B$32="","",2キー同時!$B$32)</f>
        <v>j</v>
      </c>
      <c r="E197" s="2" t="str">
        <f aca="false">""</f>
        <v/>
      </c>
      <c r="F197" s="2" t="str">
        <f aca="false">""</f>
        <v/>
      </c>
      <c r="G197" s="2" t="str">
        <f aca="false">IF(2キー同時!$B$32="","",IF(2キー同時!AP42="","",SUBSTITUTE(SUBSTITUTE(2キー同時!AP42," ",""),"　","")))</f>
        <v/>
      </c>
      <c r="H197" s="2" t="str">
        <f aca="false">IF($G197="","",2キー同時!$B$32)</f>
        <v/>
      </c>
      <c r="I197" s="2" t="str">
        <f aca="false">IF($G197="","","kana")</f>
        <v/>
      </c>
      <c r="J197" s="2" t="str">
        <f aca="false">""</f>
        <v/>
      </c>
      <c r="K197" s="2" t="str">
        <f aca="false">""</f>
        <v/>
      </c>
      <c r="L197" s="2" t="str">
        <f aca="false">IF($G197="","","同時")</f>
        <v/>
      </c>
      <c r="M197" s="2" t="str">
        <f aca="false">IF($G197="","",IF(ISNA(MATCH($G197,個別指定!$A:$A,0)),"行なし",""))</f>
        <v/>
      </c>
      <c r="N197" s="2" t="str">
        <f aca="false">IF($G197="","",IF(COUNTIF($G$2:$G$4460,$G197)&gt;1,"重複",""))</f>
        <v/>
      </c>
    </row>
    <row r="198" customFormat="false" ht="16.5" hidden="false" customHeight="true" outlineLevel="0" collapsed="false">
      <c r="A198" s="2" t="s">
        <v>385</v>
      </c>
      <c r="B198" s="2" t="s">
        <v>389</v>
      </c>
      <c r="C198" s="2" t="s">
        <v>0</v>
      </c>
      <c r="D198" s="2" t="str">
        <f aca="false">IF(2キー同時!$B$45="","",2キー同時!$B$45)</f>
        <v>v</v>
      </c>
      <c r="E198" s="2" t="str">
        <f aca="false">""</f>
        <v/>
      </c>
      <c r="F198" s="2" t="str">
        <f aca="false">""</f>
        <v/>
      </c>
      <c r="G198" s="2" t="str">
        <f aca="false">IF(2キー同時!$B$45="","",IF(2キー同時!F47="","",SUBSTITUTE(SUBSTITUTE(2キー同時!F47," ",""),"　","")))</f>
        <v/>
      </c>
      <c r="H198" s="2" t="str">
        <f aca="false">IF($G198="","",2キー同時!$B$45)</f>
        <v/>
      </c>
      <c r="I198" s="2" t="str">
        <f aca="false">IF($G198="","","1")</f>
        <v/>
      </c>
      <c r="J198" s="2" t="str">
        <f aca="false">""</f>
        <v/>
      </c>
      <c r="K198" s="2" t="str">
        <f aca="false">""</f>
        <v/>
      </c>
      <c r="L198" s="2" t="str">
        <f aca="false">IF($G198="","","同時")</f>
        <v/>
      </c>
      <c r="M198" s="2" t="str">
        <f aca="false">IF($G198="","",IF(ISNA(MATCH($G198,個別指定!$A:$A,0)),"行なし",""))</f>
        <v/>
      </c>
      <c r="N198" s="2" t="str">
        <f aca="false">IF($G198="","",IF(COUNTIF($G$2:$G$4460,$G198)&gt;1,"重複",""))</f>
        <v/>
      </c>
    </row>
    <row r="199" customFormat="false" ht="16.5" hidden="false" customHeight="true" outlineLevel="0" collapsed="false">
      <c r="A199" s="2" t="s">
        <v>385</v>
      </c>
      <c r="B199" s="2" t="s">
        <v>389</v>
      </c>
      <c r="C199" s="2" t="s">
        <v>1</v>
      </c>
      <c r="D199" s="2" t="str">
        <f aca="false">IF(2キー同時!$B$45="","",2キー同時!$B$45)</f>
        <v>v</v>
      </c>
      <c r="E199" s="2" t="str">
        <f aca="false">""</f>
        <v/>
      </c>
      <c r="F199" s="2" t="str">
        <f aca="false">""</f>
        <v/>
      </c>
      <c r="G199" s="2" t="str">
        <f aca="false">IF(2キー同時!$B$45="","",IF(2キー同時!J47="","",SUBSTITUTE(SUBSTITUTE(2キー同時!J47," ",""),"　","")))</f>
        <v/>
      </c>
      <c r="H199" s="2" t="str">
        <f aca="false">IF($G199="","",2キー同時!$B$45)</f>
        <v/>
      </c>
      <c r="I199" s="2" t="str">
        <f aca="false">IF($G199="","","2")</f>
        <v/>
      </c>
      <c r="J199" s="2" t="str">
        <f aca="false">""</f>
        <v/>
      </c>
      <c r="K199" s="2" t="str">
        <f aca="false">""</f>
        <v/>
      </c>
      <c r="L199" s="2" t="str">
        <f aca="false">IF($G199="","","同時")</f>
        <v/>
      </c>
      <c r="M199" s="2" t="str">
        <f aca="false">IF($G199="","",IF(ISNA(MATCH($G199,個別指定!$A:$A,0)),"行なし",""))</f>
        <v/>
      </c>
      <c r="N199" s="2" t="str">
        <f aca="false">IF($G199="","",IF(COUNTIF($G$2:$G$4460,$G199)&gt;1,"重複",""))</f>
        <v/>
      </c>
    </row>
    <row r="200" customFormat="false" ht="16.5" hidden="false" customHeight="true" outlineLevel="0" collapsed="false">
      <c r="A200" s="2" t="s">
        <v>385</v>
      </c>
      <c r="B200" s="2" t="s">
        <v>389</v>
      </c>
      <c r="C200" s="2" t="s">
        <v>2</v>
      </c>
      <c r="D200" s="2" t="str">
        <f aca="false">IF(2キー同時!$B$45="","",2キー同時!$B$45)</f>
        <v>v</v>
      </c>
      <c r="E200" s="2" t="str">
        <f aca="false">""</f>
        <v/>
      </c>
      <c r="F200" s="2" t="str">
        <f aca="false">""</f>
        <v/>
      </c>
      <c r="G200" s="2" t="str">
        <f aca="false">IF(2キー同時!$B$45="","",IF(2キー同時!N47="","",SUBSTITUTE(SUBSTITUTE(2キー同時!N47," ",""),"　","")))</f>
        <v/>
      </c>
      <c r="H200" s="2" t="str">
        <f aca="false">IF($G200="","",2キー同時!$B$45)</f>
        <v/>
      </c>
      <c r="I200" s="2" t="str">
        <f aca="false">IF($G200="","","3")</f>
        <v/>
      </c>
      <c r="J200" s="2" t="str">
        <f aca="false">""</f>
        <v/>
      </c>
      <c r="K200" s="2" t="str">
        <f aca="false">""</f>
        <v/>
      </c>
      <c r="L200" s="2" t="str">
        <f aca="false">IF($G200="","","同時")</f>
        <v/>
      </c>
      <c r="M200" s="2" t="str">
        <f aca="false">IF($G200="","",IF(ISNA(MATCH($G200,個別指定!$A:$A,0)),"行なし",""))</f>
        <v/>
      </c>
      <c r="N200" s="2" t="str">
        <f aca="false">IF($G200="","",IF(COUNTIF($G$2:$G$4460,$G200)&gt;1,"重複",""))</f>
        <v/>
      </c>
    </row>
    <row r="201" customFormat="false" ht="16.5" hidden="false" customHeight="true" outlineLevel="0" collapsed="false">
      <c r="A201" s="2" t="s">
        <v>385</v>
      </c>
      <c r="B201" s="2" t="s">
        <v>389</v>
      </c>
      <c r="C201" s="2" t="s">
        <v>3</v>
      </c>
      <c r="D201" s="2" t="str">
        <f aca="false">IF(2キー同時!$B$45="","",2キー同時!$B$45)</f>
        <v>v</v>
      </c>
      <c r="E201" s="2" t="str">
        <f aca="false">""</f>
        <v/>
      </c>
      <c r="F201" s="2" t="str">
        <f aca="false">""</f>
        <v/>
      </c>
      <c r="G201" s="2" t="str">
        <f aca="false">IF(2キー同時!$B$45="","",IF(2キー同時!R47="","",SUBSTITUTE(SUBSTITUTE(2キー同時!R47," ",""),"　","")))</f>
        <v/>
      </c>
      <c r="H201" s="2" t="str">
        <f aca="false">IF($G201="","",2キー同時!$B$45)</f>
        <v/>
      </c>
      <c r="I201" s="2" t="str">
        <f aca="false">IF($G201="","","4")</f>
        <v/>
      </c>
      <c r="J201" s="2" t="str">
        <f aca="false">""</f>
        <v/>
      </c>
      <c r="K201" s="2" t="str">
        <f aca="false">""</f>
        <v/>
      </c>
      <c r="L201" s="2" t="str">
        <f aca="false">IF($G201="","","同時")</f>
        <v/>
      </c>
      <c r="M201" s="2" t="str">
        <f aca="false">IF($G201="","",IF(ISNA(MATCH($G201,個別指定!$A:$A,0)),"行なし",""))</f>
        <v/>
      </c>
      <c r="N201" s="2" t="str">
        <f aca="false">IF($G201="","",IF(COUNTIF($G$2:$G$4460,$G201)&gt;1,"重複",""))</f>
        <v/>
      </c>
    </row>
    <row r="202" customFormat="false" ht="16.5" hidden="false" customHeight="true" outlineLevel="0" collapsed="false">
      <c r="A202" s="2" t="s">
        <v>385</v>
      </c>
      <c r="B202" s="2" t="s">
        <v>389</v>
      </c>
      <c r="C202" s="2" t="s">
        <v>4</v>
      </c>
      <c r="D202" s="2" t="str">
        <f aca="false">IF(2キー同時!$B$45="","",2キー同時!$B$45)</f>
        <v>v</v>
      </c>
      <c r="E202" s="2" t="str">
        <f aca="false">""</f>
        <v/>
      </c>
      <c r="F202" s="2" t="str">
        <f aca="false">""</f>
        <v/>
      </c>
      <c r="G202" s="2" t="str">
        <f aca="false">IF(2キー同時!$B$45="","",IF(2キー同時!V47="","",SUBSTITUTE(SUBSTITUTE(2キー同時!V47," ",""),"　","")))</f>
        <v/>
      </c>
      <c r="H202" s="2" t="str">
        <f aca="false">IF($G202="","",2キー同時!$B$45)</f>
        <v/>
      </c>
      <c r="I202" s="2" t="str">
        <f aca="false">IF($G202="","","5")</f>
        <v/>
      </c>
      <c r="J202" s="2" t="str">
        <f aca="false">""</f>
        <v/>
      </c>
      <c r="K202" s="2" t="str">
        <f aca="false">""</f>
        <v/>
      </c>
      <c r="L202" s="2" t="str">
        <f aca="false">IF($G202="","","同時")</f>
        <v/>
      </c>
      <c r="M202" s="2" t="str">
        <f aca="false">IF($G202="","",IF(ISNA(MATCH($G202,個別指定!$A:$A,0)),"行なし",""))</f>
        <v/>
      </c>
      <c r="N202" s="2" t="str">
        <f aca="false">IF($G202="","",IF(COUNTIF($G$2:$G$4460,$G202)&gt;1,"重複",""))</f>
        <v/>
      </c>
    </row>
    <row r="203" customFormat="false" ht="16.5" hidden="false" customHeight="true" outlineLevel="0" collapsed="false">
      <c r="A203" s="2" t="s">
        <v>385</v>
      </c>
      <c r="B203" s="2" t="s">
        <v>389</v>
      </c>
      <c r="C203" s="2" t="s">
        <v>5</v>
      </c>
      <c r="D203" s="2" t="str">
        <f aca="false">IF(2キー同時!$B$45="","",2キー同時!$B$45)</f>
        <v>v</v>
      </c>
      <c r="E203" s="2" t="str">
        <f aca="false">""</f>
        <v/>
      </c>
      <c r="F203" s="2" t="str">
        <f aca="false">""</f>
        <v/>
      </c>
      <c r="G203" s="2" t="str">
        <f aca="false">IF(2キー同時!$B$45="","",IF(2キー同時!Z47="","",SUBSTITUTE(SUBSTITUTE(2キー同時!Z47," ",""),"　","")))</f>
        <v/>
      </c>
      <c r="H203" s="2" t="str">
        <f aca="false">IF($G203="","",2キー同時!$B$45)</f>
        <v/>
      </c>
      <c r="I203" s="2" t="str">
        <f aca="false">IF($G203="","","6")</f>
        <v/>
      </c>
      <c r="J203" s="2" t="str">
        <f aca="false">""</f>
        <v/>
      </c>
      <c r="K203" s="2" t="str">
        <f aca="false">""</f>
        <v/>
      </c>
      <c r="L203" s="2" t="str">
        <f aca="false">IF($G203="","","同時")</f>
        <v/>
      </c>
      <c r="M203" s="2" t="str">
        <f aca="false">IF($G203="","",IF(ISNA(MATCH($G203,個別指定!$A:$A,0)),"行なし",""))</f>
        <v/>
      </c>
      <c r="N203" s="2" t="str">
        <f aca="false">IF($G203="","",IF(COUNTIF($G$2:$G$4460,$G203)&gt;1,"重複",""))</f>
        <v/>
      </c>
    </row>
    <row r="204" customFormat="false" ht="16.5" hidden="false" customHeight="true" outlineLevel="0" collapsed="false">
      <c r="A204" s="2" t="s">
        <v>385</v>
      </c>
      <c r="B204" s="2" t="s">
        <v>389</v>
      </c>
      <c r="C204" s="2" t="s">
        <v>6</v>
      </c>
      <c r="D204" s="2" t="str">
        <f aca="false">IF(2キー同時!$B$45="","",2キー同時!$B$45)</f>
        <v>v</v>
      </c>
      <c r="E204" s="2" t="str">
        <f aca="false">""</f>
        <v/>
      </c>
      <c r="F204" s="2" t="str">
        <f aca="false">""</f>
        <v/>
      </c>
      <c r="G204" s="2" t="str">
        <f aca="false">IF(2キー同時!$B$45="","",IF(2キー同時!AD47="","",SUBSTITUTE(SUBSTITUTE(2キー同時!AD47," ",""),"　","")))</f>
        <v/>
      </c>
      <c r="H204" s="2" t="str">
        <f aca="false">IF($G204="","",2キー同時!$B$45)</f>
        <v/>
      </c>
      <c r="I204" s="2" t="str">
        <f aca="false">IF($G204="","","7")</f>
        <v/>
      </c>
      <c r="J204" s="2" t="str">
        <f aca="false">""</f>
        <v/>
      </c>
      <c r="K204" s="2" t="str">
        <f aca="false">""</f>
        <v/>
      </c>
      <c r="L204" s="2" t="str">
        <f aca="false">IF($G204="","","同時")</f>
        <v/>
      </c>
      <c r="M204" s="2" t="str">
        <f aca="false">IF($G204="","",IF(ISNA(MATCH($G204,個別指定!$A:$A,0)),"行なし",""))</f>
        <v/>
      </c>
      <c r="N204" s="2" t="str">
        <f aca="false">IF($G204="","",IF(COUNTIF($G$2:$G$4460,$G204)&gt;1,"重複",""))</f>
        <v/>
      </c>
    </row>
    <row r="205" customFormat="false" ht="16.5" hidden="false" customHeight="true" outlineLevel="0" collapsed="false">
      <c r="A205" s="2" t="s">
        <v>385</v>
      </c>
      <c r="B205" s="2" t="s">
        <v>389</v>
      </c>
      <c r="C205" s="2" t="s">
        <v>7</v>
      </c>
      <c r="D205" s="2" t="str">
        <f aca="false">IF(2キー同時!$B$45="","",2キー同時!$B$45)</f>
        <v>v</v>
      </c>
      <c r="E205" s="2" t="str">
        <f aca="false">""</f>
        <v/>
      </c>
      <c r="F205" s="2" t="str">
        <f aca="false">""</f>
        <v/>
      </c>
      <c r="G205" s="2" t="str">
        <f aca="false">IF(2キー同時!$B$45="","",IF(2キー同時!AH47="","",SUBSTITUTE(SUBSTITUTE(2キー同時!AH47," ",""),"　","")))</f>
        <v/>
      </c>
      <c r="H205" s="2" t="str">
        <f aca="false">IF($G205="","",2キー同時!$B$45)</f>
        <v/>
      </c>
      <c r="I205" s="2" t="str">
        <f aca="false">IF($G205="","","8")</f>
        <v/>
      </c>
      <c r="J205" s="2" t="str">
        <f aca="false">""</f>
        <v/>
      </c>
      <c r="K205" s="2" t="str">
        <f aca="false">""</f>
        <v/>
      </c>
      <c r="L205" s="2" t="str">
        <f aca="false">IF($G205="","","同時")</f>
        <v/>
      </c>
      <c r="M205" s="2" t="str">
        <f aca="false">IF($G205="","",IF(ISNA(MATCH($G205,個別指定!$A:$A,0)),"行なし",""))</f>
        <v/>
      </c>
      <c r="N205" s="2" t="str">
        <f aca="false">IF($G205="","",IF(COUNTIF($G$2:$G$4460,$G205)&gt;1,"重複",""))</f>
        <v/>
      </c>
    </row>
    <row r="206" customFormat="false" ht="16.5" hidden="false" customHeight="true" outlineLevel="0" collapsed="false">
      <c r="A206" s="2" t="s">
        <v>385</v>
      </c>
      <c r="B206" s="2" t="s">
        <v>389</v>
      </c>
      <c r="C206" s="2" t="s">
        <v>8</v>
      </c>
      <c r="D206" s="2" t="str">
        <f aca="false">IF(2キー同時!$B$45="","",2キー同時!$B$45)</f>
        <v>v</v>
      </c>
      <c r="E206" s="2" t="str">
        <f aca="false">""</f>
        <v/>
      </c>
      <c r="F206" s="2" t="str">
        <f aca="false">""</f>
        <v/>
      </c>
      <c r="G206" s="2" t="str">
        <f aca="false">IF(2キー同時!$B$45="","",IF(2キー同時!AL47="","",SUBSTITUTE(SUBSTITUTE(2キー同時!AL47," ",""),"　","")))</f>
        <v/>
      </c>
      <c r="H206" s="2" t="str">
        <f aca="false">IF($G206="","",2キー同時!$B$45)</f>
        <v/>
      </c>
      <c r="I206" s="2" t="str">
        <f aca="false">IF($G206="","","9")</f>
        <v/>
      </c>
      <c r="J206" s="2" t="str">
        <f aca="false">""</f>
        <v/>
      </c>
      <c r="K206" s="2" t="str">
        <f aca="false">""</f>
        <v/>
      </c>
      <c r="L206" s="2" t="str">
        <f aca="false">IF($G206="","","同時")</f>
        <v/>
      </c>
      <c r="M206" s="2" t="str">
        <f aca="false">IF($G206="","",IF(ISNA(MATCH($G206,個別指定!$A:$A,0)),"行なし",""))</f>
        <v/>
      </c>
      <c r="N206" s="2" t="str">
        <f aca="false">IF($G206="","",IF(COUNTIF($G$2:$G$4460,$G206)&gt;1,"重複",""))</f>
        <v/>
      </c>
    </row>
    <row r="207" customFormat="false" ht="16.5" hidden="false" customHeight="true" outlineLevel="0" collapsed="false">
      <c r="A207" s="2" t="s">
        <v>385</v>
      </c>
      <c r="B207" s="2" t="s">
        <v>389</v>
      </c>
      <c r="C207" s="2" t="s">
        <v>9</v>
      </c>
      <c r="D207" s="2" t="str">
        <f aca="false">IF(2キー同時!$B$45="","",2キー同時!$B$45)</f>
        <v>v</v>
      </c>
      <c r="E207" s="2" t="str">
        <f aca="false">""</f>
        <v/>
      </c>
      <c r="F207" s="2" t="str">
        <f aca="false">""</f>
        <v/>
      </c>
      <c r="G207" s="2" t="str">
        <f aca="false">IF(2キー同時!$B$45="","",IF(2キー同時!AP47="","",SUBSTITUTE(SUBSTITUTE(2キー同時!AP47," ",""),"　","")))</f>
        <v/>
      </c>
      <c r="H207" s="2" t="str">
        <f aca="false">IF($G207="","",2キー同時!$B$45)</f>
        <v/>
      </c>
      <c r="I207" s="2" t="str">
        <f aca="false">IF($G207="","","0")</f>
        <v/>
      </c>
      <c r="J207" s="2" t="str">
        <f aca="false">""</f>
        <v/>
      </c>
      <c r="K207" s="2" t="str">
        <f aca="false">""</f>
        <v/>
      </c>
      <c r="L207" s="2" t="str">
        <f aca="false">IF($G207="","","同時")</f>
        <v/>
      </c>
      <c r="M207" s="2" t="str">
        <f aca="false">IF($G207="","",IF(ISNA(MATCH($G207,個別指定!$A:$A,0)),"行なし",""))</f>
        <v/>
      </c>
      <c r="N207" s="2" t="str">
        <f aca="false">IF($G207="","",IF(COUNTIF($G$2:$G$4460,$G207)&gt;1,"重複",""))</f>
        <v/>
      </c>
    </row>
    <row r="208" customFormat="false" ht="16.5" hidden="false" customHeight="true" outlineLevel="0" collapsed="false">
      <c r="A208" s="2" t="s">
        <v>385</v>
      </c>
      <c r="B208" s="2" t="s">
        <v>389</v>
      </c>
      <c r="C208" s="2" t="s">
        <v>10</v>
      </c>
      <c r="D208" s="2" t="str">
        <f aca="false">IF(2キー同時!$B$45="","",2キー同時!$B$45)</f>
        <v>v</v>
      </c>
      <c r="E208" s="2" t="str">
        <f aca="false">""</f>
        <v/>
      </c>
      <c r="F208" s="2" t="str">
        <f aca="false">""</f>
        <v/>
      </c>
      <c r="G208" s="2" t="str">
        <f aca="false">IF(2キー同時!$B$45="","",IF(2キー同時!AT47="","",SUBSTITUTE(SUBSTITUTE(2キー同時!AT47," ",""),"　","")))</f>
        <v/>
      </c>
      <c r="H208" s="2" t="str">
        <f aca="false">IF($G208="","",2キー同時!$B$45)</f>
        <v/>
      </c>
      <c r="I208" s="2" t="str">
        <f aca="false">IF($G208="","","-")</f>
        <v/>
      </c>
      <c r="J208" s="2" t="str">
        <f aca="false">""</f>
        <v/>
      </c>
      <c r="K208" s="2" t="str">
        <f aca="false">""</f>
        <v/>
      </c>
      <c r="L208" s="2" t="str">
        <f aca="false">IF($G208="","","同時")</f>
        <v/>
      </c>
      <c r="M208" s="2" t="str">
        <f aca="false">IF($G208="","",IF(ISNA(MATCH($G208,個別指定!$A:$A,0)),"行なし",""))</f>
        <v/>
      </c>
      <c r="N208" s="2" t="str">
        <f aca="false">IF($G208="","",IF(COUNTIF($G$2:$G$4460,$G208)&gt;1,"重複",""))</f>
        <v/>
      </c>
    </row>
    <row r="209" customFormat="false" ht="16.5" hidden="false" customHeight="true" outlineLevel="0" collapsed="false">
      <c r="A209" s="2" t="s">
        <v>385</v>
      </c>
      <c r="B209" s="2" t="s">
        <v>389</v>
      </c>
      <c r="C209" s="2" t="s">
        <v>11</v>
      </c>
      <c r="D209" s="2" t="str">
        <f aca="false">IF(2キー同時!$B$45="","",2キー同時!$B$45)</f>
        <v>v</v>
      </c>
      <c r="E209" s="2" t="str">
        <f aca="false">""</f>
        <v/>
      </c>
      <c r="F209" s="2" t="str">
        <f aca="false">""</f>
        <v/>
      </c>
      <c r="G209" s="2" t="str">
        <f aca="false">IF(2キー同時!$B$45="","",IF(2キー同時!AX47="","",SUBSTITUTE(SUBSTITUTE(2キー同時!AX47," ",""),"　","")))</f>
        <v/>
      </c>
      <c r="H209" s="2" t="str">
        <f aca="false">IF($G209="","",2キー同時!$B$45)</f>
        <v/>
      </c>
      <c r="I209" s="2" t="str">
        <f aca="false">IF($G209="","","=")</f>
        <v/>
      </c>
      <c r="J209" s="2" t="str">
        <f aca="false">""</f>
        <v/>
      </c>
      <c r="K209" s="2" t="str">
        <f aca="false">""</f>
        <v/>
      </c>
      <c r="L209" s="2" t="str">
        <f aca="false">IF($G209="","","同時")</f>
        <v/>
      </c>
      <c r="M209" s="2" t="str">
        <f aca="false">IF($G209="","",IF(ISNA(MATCH($G209,個別指定!$A:$A,0)),"行なし",""))</f>
        <v/>
      </c>
      <c r="N209" s="2" t="str">
        <f aca="false">IF($G209="","",IF(COUNTIF($G$2:$G$4460,$G209)&gt;1,"重複",""))</f>
        <v/>
      </c>
    </row>
    <row r="210" customFormat="false" ht="16.5" hidden="false" customHeight="true" outlineLevel="0" collapsed="false">
      <c r="A210" s="2" t="s">
        <v>385</v>
      </c>
      <c r="B210" s="2" t="s">
        <v>389</v>
      </c>
      <c r="C210" s="2" t="s">
        <v>12</v>
      </c>
      <c r="D210" s="2" t="str">
        <f aca="false">IF(2キー同時!$B$45="","",2キー同時!$B$45)</f>
        <v>v</v>
      </c>
      <c r="E210" s="2" t="str">
        <f aca="false">""</f>
        <v/>
      </c>
      <c r="F210" s="2" t="str">
        <f aca="false">""</f>
        <v/>
      </c>
      <c r="G210" s="2" t="str">
        <f aca="false">IF(2キー同時!$B$45="","",IF(2キー同時!H49="","",SUBSTITUTE(SUBSTITUTE(2キー同時!H49," ",""),"　","")))</f>
        <v/>
      </c>
      <c r="H210" s="2" t="str">
        <f aca="false">IF($G210="","",2キー同時!$B$45)</f>
        <v/>
      </c>
      <c r="I210" s="2" t="str">
        <f aca="false">IF($G210="","","q")</f>
        <v/>
      </c>
      <c r="J210" s="2" t="str">
        <f aca="false">""</f>
        <v/>
      </c>
      <c r="K210" s="2" t="str">
        <f aca="false">""</f>
        <v/>
      </c>
      <c r="L210" s="2" t="str">
        <f aca="false">IF($G210="","","同時")</f>
        <v/>
      </c>
      <c r="M210" s="2" t="str">
        <f aca="false">IF($G210="","",IF(ISNA(MATCH($G210,個別指定!$A:$A,0)),"行なし",""))</f>
        <v/>
      </c>
      <c r="N210" s="2" t="str">
        <f aca="false">IF($G210="","",IF(COUNTIF($G$2:$G$4460,$G210)&gt;1,"重複",""))</f>
        <v/>
      </c>
    </row>
    <row r="211" customFormat="false" ht="16.5" hidden="false" customHeight="true" outlineLevel="0" collapsed="false">
      <c r="A211" s="2" t="s">
        <v>385</v>
      </c>
      <c r="B211" s="2" t="s">
        <v>389</v>
      </c>
      <c r="C211" s="2" t="s">
        <v>13</v>
      </c>
      <c r="D211" s="2" t="str">
        <f aca="false">IF(2キー同時!$B$45="","",2キー同時!$B$45)</f>
        <v>v</v>
      </c>
      <c r="E211" s="2" t="str">
        <f aca="false">""</f>
        <v/>
      </c>
      <c r="F211" s="2" t="str">
        <f aca="false">""</f>
        <v/>
      </c>
      <c r="G211" s="2" t="str">
        <f aca="false">IF(2キー同時!$B$45="","",IF(2キー同時!L49="","",SUBSTITUTE(SUBSTITUTE(2キー同時!L49," ",""),"　","")))</f>
        <v/>
      </c>
      <c r="H211" s="2" t="str">
        <f aca="false">IF($G211="","",2キー同時!$B$45)</f>
        <v/>
      </c>
      <c r="I211" s="2" t="str">
        <f aca="false">IF($G211="","","w")</f>
        <v/>
      </c>
      <c r="J211" s="2" t="str">
        <f aca="false">""</f>
        <v/>
      </c>
      <c r="K211" s="2" t="str">
        <f aca="false">""</f>
        <v/>
      </c>
      <c r="L211" s="2" t="str">
        <f aca="false">IF($G211="","","同時")</f>
        <v/>
      </c>
      <c r="M211" s="2" t="str">
        <f aca="false">IF($G211="","",IF(ISNA(MATCH($G211,個別指定!$A:$A,0)),"行なし",""))</f>
        <v/>
      </c>
      <c r="N211" s="2" t="str">
        <f aca="false">IF($G211="","",IF(COUNTIF($G$2:$G$4460,$G211)&gt;1,"重複",""))</f>
        <v/>
      </c>
    </row>
    <row r="212" customFormat="false" ht="16.5" hidden="false" customHeight="true" outlineLevel="0" collapsed="false">
      <c r="A212" s="2" t="s">
        <v>385</v>
      </c>
      <c r="B212" s="2" t="s">
        <v>389</v>
      </c>
      <c r="C212" s="2" t="s">
        <v>14</v>
      </c>
      <c r="D212" s="2" t="str">
        <f aca="false">IF(2キー同時!$B$45="","",2キー同時!$B$45)</f>
        <v>v</v>
      </c>
      <c r="E212" s="2" t="str">
        <f aca="false">""</f>
        <v/>
      </c>
      <c r="F212" s="2" t="str">
        <f aca="false">""</f>
        <v/>
      </c>
      <c r="G212" s="2" t="str">
        <f aca="false">IF(2キー同時!$B$45="","",IF(2キー同時!P49="","",SUBSTITUTE(SUBSTITUTE(2キー同時!P49," ",""),"　","")))</f>
        <v/>
      </c>
      <c r="H212" s="2" t="str">
        <f aca="false">IF($G212="","",2キー同時!$B$45)</f>
        <v/>
      </c>
      <c r="I212" s="2" t="str">
        <f aca="false">IF($G212="","","e")</f>
        <v/>
      </c>
      <c r="J212" s="2" t="str">
        <f aca="false">""</f>
        <v/>
      </c>
      <c r="K212" s="2" t="str">
        <f aca="false">""</f>
        <v/>
      </c>
      <c r="L212" s="2" t="str">
        <f aca="false">IF($G212="","","同時")</f>
        <v/>
      </c>
      <c r="M212" s="2" t="str">
        <f aca="false">IF($G212="","",IF(ISNA(MATCH($G212,個別指定!$A:$A,0)),"行なし",""))</f>
        <v/>
      </c>
      <c r="N212" s="2" t="str">
        <f aca="false">IF($G212="","",IF(COUNTIF($G$2:$G$4460,$G212)&gt;1,"重複",""))</f>
        <v/>
      </c>
    </row>
    <row r="213" customFormat="false" ht="16.5" hidden="false" customHeight="true" outlineLevel="0" collapsed="false">
      <c r="A213" s="2" t="s">
        <v>385</v>
      </c>
      <c r="B213" s="2" t="s">
        <v>389</v>
      </c>
      <c r="C213" s="2" t="s">
        <v>15</v>
      </c>
      <c r="D213" s="2" t="str">
        <f aca="false">IF(2キー同時!$B$45="","",2キー同時!$B$45)</f>
        <v>v</v>
      </c>
      <c r="E213" s="2" t="str">
        <f aca="false">""</f>
        <v/>
      </c>
      <c r="F213" s="2" t="str">
        <f aca="false">""</f>
        <v/>
      </c>
      <c r="G213" s="2" t="str">
        <f aca="false">IF(2キー同時!$B$45="","",IF(2キー同時!T49="","",SUBSTITUTE(SUBSTITUTE(2キー同時!T49," ",""),"　","")))</f>
        <v/>
      </c>
      <c r="H213" s="2" t="str">
        <f aca="false">IF($G213="","",2キー同時!$B$45)</f>
        <v/>
      </c>
      <c r="I213" s="2" t="str">
        <f aca="false">IF($G213="","","r")</f>
        <v/>
      </c>
      <c r="J213" s="2" t="str">
        <f aca="false">""</f>
        <v/>
      </c>
      <c r="K213" s="2" t="str">
        <f aca="false">""</f>
        <v/>
      </c>
      <c r="L213" s="2" t="str">
        <f aca="false">IF($G213="","","同時")</f>
        <v/>
      </c>
      <c r="M213" s="2" t="str">
        <f aca="false">IF($G213="","",IF(ISNA(MATCH($G213,個別指定!$A:$A,0)),"行なし",""))</f>
        <v/>
      </c>
      <c r="N213" s="2" t="str">
        <f aca="false">IF($G213="","",IF(COUNTIF($G$2:$G$4460,$G213)&gt;1,"重複",""))</f>
        <v/>
      </c>
    </row>
    <row r="214" customFormat="false" ht="16.5" hidden="false" customHeight="true" outlineLevel="0" collapsed="false">
      <c r="A214" s="2" t="s">
        <v>385</v>
      </c>
      <c r="B214" s="2" t="s">
        <v>389</v>
      </c>
      <c r="C214" s="2" t="s">
        <v>16</v>
      </c>
      <c r="D214" s="2" t="str">
        <f aca="false">IF(2キー同時!$B$45="","",2キー同時!$B$45)</f>
        <v>v</v>
      </c>
      <c r="E214" s="2" t="str">
        <f aca="false">""</f>
        <v/>
      </c>
      <c r="F214" s="2" t="str">
        <f aca="false">""</f>
        <v/>
      </c>
      <c r="G214" s="2" t="str">
        <f aca="false">IF(2キー同時!$B$45="","",IF(2キー同時!X49="","",SUBSTITUTE(SUBSTITUTE(2キー同時!X49," ",""),"　","")))</f>
        <v/>
      </c>
      <c r="H214" s="2" t="str">
        <f aca="false">IF($G214="","",2キー同時!$B$45)</f>
        <v/>
      </c>
      <c r="I214" s="2" t="str">
        <f aca="false">IF($G214="","","t")</f>
        <v/>
      </c>
      <c r="J214" s="2" t="str">
        <f aca="false">""</f>
        <v/>
      </c>
      <c r="K214" s="2" t="str">
        <f aca="false">""</f>
        <v/>
      </c>
      <c r="L214" s="2" t="str">
        <f aca="false">IF($G214="","","同時")</f>
        <v/>
      </c>
      <c r="M214" s="2" t="str">
        <f aca="false">IF($G214="","",IF(ISNA(MATCH($G214,個別指定!$A:$A,0)),"行なし",""))</f>
        <v/>
      </c>
      <c r="N214" s="2" t="str">
        <f aca="false">IF($G214="","",IF(COUNTIF($G$2:$G$4460,$G214)&gt;1,"重複",""))</f>
        <v/>
      </c>
    </row>
    <row r="215" customFormat="false" ht="16.5" hidden="false" customHeight="true" outlineLevel="0" collapsed="false">
      <c r="A215" s="2" t="s">
        <v>385</v>
      </c>
      <c r="B215" s="2" t="s">
        <v>389</v>
      </c>
      <c r="C215" s="2" t="s">
        <v>17</v>
      </c>
      <c r="D215" s="2" t="str">
        <f aca="false">IF(2キー同時!$B$45="","",2キー同時!$B$45)</f>
        <v>v</v>
      </c>
      <c r="E215" s="2" t="str">
        <f aca="false">""</f>
        <v/>
      </c>
      <c r="F215" s="2" t="str">
        <f aca="false">""</f>
        <v/>
      </c>
      <c r="G215" s="2" t="str">
        <f aca="false">IF(2キー同時!$B$45="","",IF(2キー同時!AB49="","",SUBSTITUTE(SUBSTITUTE(2キー同時!AB49," ",""),"　","")))</f>
        <v/>
      </c>
      <c r="H215" s="2" t="str">
        <f aca="false">IF($G215="","",2キー同時!$B$45)</f>
        <v/>
      </c>
      <c r="I215" s="2" t="str">
        <f aca="false">IF($G215="","","y")</f>
        <v/>
      </c>
      <c r="J215" s="2" t="str">
        <f aca="false">""</f>
        <v/>
      </c>
      <c r="K215" s="2" t="str">
        <f aca="false">""</f>
        <v/>
      </c>
      <c r="L215" s="2" t="str">
        <f aca="false">IF($G215="","","同時")</f>
        <v/>
      </c>
      <c r="M215" s="2" t="str">
        <f aca="false">IF($G215="","",IF(ISNA(MATCH($G215,個別指定!$A:$A,0)),"行なし",""))</f>
        <v/>
      </c>
      <c r="N215" s="2" t="str">
        <f aca="false">IF($G215="","",IF(COUNTIF($G$2:$G$4460,$G215)&gt;1,"重複",""))</f>
        <v/>
      </c>
    </row>
    <row r="216" customFormat="false" ht="16.5" hidden="false" customHeight="true" outlineLevel="0" collapsed="false">
      <c r="A216" s="2" t="s">
        <v>385</v>
      </c>
      <c r="B216" s="2" t="s">
        <v>389</v>
      </c>
      <c r="C216" s="2" t="s">
        <v>18</v>
      </c>
      <c r="D216" s="2" t="str">
        <f aca="false">IF(2キー同時!$B$45="","",2キー同時!$B$45)</f>
        <v>v</v>
      </c>
      <c r="E216" s="2" t="str">
        <f aca="false">""</f>
        <v/>
      </c>
      <c r="F216" s="2" t="str">
        <f aca="false">""</f>
        <v/>
      </c>
      <c r="G216" s="2" t="str">
        <f aca="false">IF(2キー同時!$B$45="","",IF(2キー同時!AF49="","",SUBSTITUTE(SUBSTITUTE(2キー同時!AF49," ",""),"　","")))</f>
        <v/>
      </c>
      <c r="H216" s="2" t="str">
        <f aca="false">IF($G216="","",2キー同時!$B$45)</f>
        <v/>
      </c>
      <c r="I216" s="2" t="str">
        <f aca="false">IF($G216="","","u")</f>
        <v/>
      </c>
      <c r="J216" s="2" t="str">
        <f aca="false">""</f>
        <v/>
      </c>
      <c r="K216" s="2" t="str">
        <f aca="false">""</f>
        <v/>
      </c>
      <c r="L216" s="2" t="str">
        <f aca="false">IF($G216="","","同時")</f>
        <v/>
      </c>
      <c r="M216" s="2" t="str">
        <f aca="false">IF($G216="","",IF(ISNA(MATCH($G216,個別指定!$A:$A,0)),"行なし",""))</f>
        <v/>
      </c>
      <c r="N216" s="2" t="str">
        <f aca="false">IF($G216="","",IF(COUNTIF($G$2:$G$4460,$G216)&gt;1,"重複",""))</f>
        <v/>
      </c>
    </row>
    <row r="217" customFormat="false" ht="16.5" hidden="false" customHeight="true" outlineLevel="0" collapsed="false">
      <c r="A217" s="2" t="s">
        <v>385</v>
      </c>
      <c r="B217" s="2" t="s">
        <v>389</v>
      </c>
      <c r="C217" s="2" t="s">
        <v>19</v>
      </c>
      <c r="D217" s="2" t="str">
        <f aca="false">IF(2キー同時!$B$45="","",2キー同時!$B$45)</f>
        <v>v</v>
      </c>
      <c r="E217" s="2" t="str">
        <f aca="false">""</f>
        <v/>
      </c>
      <c r="F217" s="2" t="str">
        <f aca="false">""</f>
        <v/>
      </c>
      <c r="G217" s="2" t="str">
        <f aca="false">IF(2キー同時!$B$45="","",IF(2キー同時!AJ49="","",SUBSTITUTE(SUBSTITUTE(2キー同時!AJ49," ",""),"　","")))</f>
        <v/>
      </c>
      <c r="H217" s="2" t="str">
        <f aca="false">IF($G217="","",2キー同時!$B$45)</f>
        <v/>
      </c>
      <c r="I217" s="2" t="str">
        <f aca="false">IF($G217="","","i")</f>
        <v/>
      </c>
      <c r="J217" s="2" t="str">
        <f aca="false">""</f>
        <v/>
      </c>
      <c r="K217" s="2" t="str">
        <f aca="false">""</f>
        <v/>
      </c>
      <c r="L217" s="2" t="str">
        <f aca="false">IF($G217="","","同時")</f>
        <v/>
      </c>
      <c r="M217" s="2" t="str">
        <f aca="false">IF($G217="","",IF(ISNA(MATCH($G217,個別指定!$A:$A,0)),"行なし",""))</f>
        <v/>
      </c>
      <c r="N217" s="2" t="str">
        <f aca="false">IF($G217="","",IF(COUNTIF($G$2:$G$4460,$G217)&gt;1,"重複",""))</f>
        <v/>
      </c>
    </row>
    <row r="218" customFormat="false" ht="16.5" hidden="false" customHeight="true" outlineLevel="0" collapsed="false">
      <c r="A218" s="2" t="s">
        <v>385</v>
      </c>
      <c r="B218" s="2" t="s">
        <v>389</v>
      </c>
      <c r="C218" s="2" t="s">
        <v>20</v>
      </c>
      <c r="D218" s="2" t="str">
        <f aca="false">IF(2キー同時!$B$45="","",2キー同時!$B$45)</f>
        <v>v</v>
      </c>
      <c r="E218" s="2" t="str">
        <f aca="false">""</f>
        <v/>
      </c>
      <c r="F218" s="2" t="str">
        <f aca="false">""</f>
        <v/>
      </c>
      <c r="G218" s="2" t="str">
        <f aca="false">IF(2キー同時!$B$45="","",IF(2キー同時!AN49="","",SUBSTITUTE(SUBSTITUTE(2キー同時!AN49," ",""),"　","")))</f>
        <v/>
      </c>
      <c r="H218" s="2" t="str">
        <f aca="false">IF($G218="","",2キー同時!$B$45)</f>
        <v/>
      </c>
      <c r="I218" s="2" t="str">
        <f aca="false">IF($G218="","","o")</f>
        <v/>
      </c>
      <c r="J218" s="2" t="str">
        <f aca="false">""</f>
        <v/>
      </c>
      <c r="K218" s="2" t="str">
        <f aca="false">""</f>
        <v/>
      </c>
      <c r="L218" s="2" t="str">
        <f aca="false">IF($G218="","","同時")</f>
        <v/>
      </c>
      <c r="M218" s="2" t="str">
        <f aca="false">IF($G218="","",IF(ISNA(MATCH($G218,個別指定!$A:$A,0)),"行なし",""))</f>
        <v/>
      </c>
      <c r="N218" s="2" t="str">
        <f aca="false">IF($G218="","",IF(COUNTIF($G$2:$G$4460,$G218)&gt;1,"重複",""))</f>
        <v/>
      </c>
    </row>
    <row r="219" customFormat="false" ht="16.5" hidden="false" customHeight="true" outlineLevel="0" collapsed="false">
      <c r="A219" s="2" t="s">
        <v>385</v>
      </c>
      <c r="B219" s="2" t="s">
        <v>389</v>
      </c>
      <c r="C219" s="2" t="s">
        <v>21</v>
      </c>
      <c r="D219" s="2" t="str">
        <f aca="false">IF(2キー同時!$B$45="","",2キー同時!$B$45)</f>
        <v>v</v>
      </c>
      <c r="E219" s="2" t="str">
        <f aca="false">""</f>
        <v/>
      </c>
      <c r="F219" s="2" t="str">
        <f aca="false">""</f>
        <v/>
      </c>
      <c r="G219" s="2" t="str">
        <f aca="false">IF(2キー同時!$B$45="","",IF(2キー同時!AR49="","",SUBSTITUTE(SUBSTITUTE(2キー同時!AR49," ",""),"　","")))</f>
        <v>ぺ</v>
      </c>
      <c r="H219" s="2" t="str">
        <f aca="false">IF($G219="","",2キー同時!$B$45)</f>
        <v>v</v>
      </c>
      <c r="I219" s="2" t="str">
        <f aca="false">IF($G219="","","p")</f>
        <v>p</v>
      </c>
      <c r="J219" s="2" t="str">
        <f aca="false">""</f>
        <v/>
      </c>
      <c r="K219" s="2" t="str">
        <f aca="false">""</f>
        <v/>
      </c>
      <c r="L219" s="2" t="str">
        <f aca="false">IF($G219="","","同時")</f>
        <v>同時</v>
      </c>
      <c r="M219" s="2" t="str">
        <f aca="false">IF($G219="","",IF(ISNA(MATCH($G219,個別指定!$A:$A,0)),"行なし",""))</f>
        <v/>
      </c>
      <c r="N219" s="2" t="str">
        <f aca="false">IF($G219="","",IF(COUNTIF($G$2:$G$4460,$G219)&gt;1,"重複",""))</f>
        <v/>
      </c>
    </row>
    <row r="220" customFormat="false" ht="16.5" hidden="false" customHeight="true" outlineLevel="0" collapsed="false">
      <c r="A220" s="2" t="s">
        <v>385</v>
      </c>
      <c r="B220" s="2" t="s">
        <v>389</v>
      </c>
      <c r="C220" s="2" t="s">
        <v>22</v>
      </c>
      <c r="D220" s="2" t="str">
        <f aca="false">IF(2キー同時!$B$45="","",2キー同時!$B$45)</f>
        <v>v</v>
      </c>
      <c r="E220" s="2" t="str">
        <f aca="false">""</f>
        <v/>
      </c>
      <c r="F220" s="2" t="str">
        <f aca="false">""</f>
        <v/>
      </c>
      <c r="G220" s="2" t="str">
        <f aca="false">IF(2キー同時!$B$45="","",IF(2キー同時!AV49="","",SUBSTITUTE(SUBSTITUTE(2キー同時!AV49," ",""),"　","")))</f>
        <v/>
      </c>
      <c r="H220" s="2" t="str">
        <f aca="false">IF($G220="","",2キー同時!$B$45)</f>
        <v/>
      </c>
      <c r="I220" s="2" t="str">
        <f aca="false">IF($G220="","","[")</f>
        <v/>
      </c>
      <c r="J220" s="2" t="str">
        <f aca="false">""</f>
        <v/>
      </c>
      <c r="K220" s="2" t="str">
        <f aca="false">""</f>
        <v/>
      </c>
      <c r="L220" s="2" t="str">
        <f aca="false">IF($G220="","","同時")</f>
        <v/>
      </c>
      <c r="M220" s="2" t="str">
        <f aca="false">IF($G220="","",IF(ISNA(MATCH($G220,個別指定!$A:$A,0)),"行なし",""))</f>
        <v/>
      </c>
      <c r="N220" s="2" t="str">
        <f aca="false">IF($G220="","",IF(COUNTIF($G$2:$G$4460,$G220)&gt;1,"重複",""))</f>
        <v/>
      </c>
    </row>
    <row r="221" customFormat="false" ht="16.5" hidden="false" customHeight="true" outlineLevel="0" collapsed="false">
      <c r="A221" s="2" t="s">
        <v>385</v>
      </c>
      <c r="B221" s="2" t="s">
        <v>389</v>
      </c>
      <c r="C221" s="2" t="s">
        <v>23</v>
      </c>
      <c r="D221" s="2" t="str">
        <f aca="false">IF(2キー同時!$B$45="","",2キー同時!$B$45)</f>
        <v>v</v>
      </c>
      <c r="E221" s="2" t="str">
        <f aca="false">""</f>
        <v/>
      </c>
      <c r="F221" s="2" t="str">
        <f aca="false">""</f>
        <v/>
      </c>
      <c r="G221" s="2" t="str">
        <f aca="false">IF(2キー同時!$B$45="","",IF(2キー同時!AZ49="","",SUBSTITUTE(SUBSTITUTE(2キー同時!AZ49," ",""),"　","")))</f>
        <v/>
      </c>
      <c r="H221" s="2" t="str">
        <f aca="false">IF($G221="","",2キー同時!$B$45)</f>
        <v/>
      </c>
      <c r="I221" s="2" t="str">
        <f aca="false">IF($G221="","","]")</f>
        <v/>
      </c>
      <c r="J221" s="2" t="str">
        <f aca="false">""</f>
        <v/>
      </c>
      <c r="K221" s="2" t="str">
        <f aca="false">""</f>
        <v/>
      </c>
      <c r="L221" s="2" t="str">
        <f aca="false">IF($G221="","","同時")</f>
        <v/>
      </c>
      <c r="M221" s="2" t="str">
        <f aca="false">IF($G221="","",IF(ISNA(MATCH($G221,個別指定!$A:$A,0)),"行なし",""))</f>
        <v/>
      </c>
      <c r="N221" s="2" t="str">
        <f aca="false">IF($G221="","",IF(COUNTIF($G$2:$G$4460,$G221)&gt;1,"重複",""))</f>
        <v/>
      </c>
    </row>
    <row r="222" customFormat="false" ht="16.5" hidden="false" customHeight="true" outlineLevel="0" collapsed="false">
      <c r="A222" s="2" t="s">
        <v>385</v>
      </c>
      <c r="B222" s="2" t="s">
        <v>389</v>
      </c>
      <c r="C222" s="2" t="s">
        <v>24</v>
      </c>
      <c r="D222" s="2" t="str">
        <f aca="false">IF(2キー同時!$B$45="","",2キー同時!$B$45)</f>
        <v>v</v>
      </c>
      <c r="E222" s="2" t="str">
        <f aca="false">""</f>
        <v/>
      </c>
      <c r="F222" s="2" t="str">
        <f aca="false">""</f>
        <v/>
      </c>
      <c r="G222" s="2" t="str">
        <f aca="false">IF(2キー同時!$B$45="","",IF(2キー同時!I51="","",SUBSTITUTE(SUBSTITUTE(2キー同時!I51," ",""),"　","")))</f>
        <v/>
      </c>
      <c r="H222" s="2" t="str">
        <f aca="false">IF($G222="","",2キー同時!$B$45)</f>
        <v/>
      </c>
      <c r="I222" s="2" t="str">
        <f aca="false">IF($G222="","","a")</f>
        <v/>
      </c>
      <c r="J222" s="2" t="str">
        <f aca="false">""</f>
        <v/>
      </c>
      <c r="K222" s="2" t="str">
        <f aca="false">""</f>
        <v/>
      </c>
      <c r="L222" s="2" t="str">
        <f aca="false">IF($G222="","","同時")</f>
        <v/>
      </c>
      <c r="M222" s="2" t="str">
        <f aca="false">IF($G222="","",IF(ISNA(MATCH($G222,個別指定!$A:$A,0)),"行なし",""))</f>
        <v/>
      </c>
      <c r="N222" s="2" t="str">
        <f aca="false">IF($G222="","",IF(COUNTIF($G$2:$G$4460,$G222)&gt;1,"重複",""))</f>
        <v/>
      </c>
    </row>
    <row r="223" customFormat="false" ht="16.5" hidden="false" customHeight="true" outlineLevel="0" collapsed="false">
      <c r="A223" s="2" t="s">
        <v>385</v>
      </c>
      <c r="B223" s="2" t="s">
        <v>389</v>
      </c>
      <c r="C223" s="2" t="s">
        <v>25</v>
      </c>
      <c r="D223" s="2" t="str">
        <f aca="false">IF(2キー同時!$B$45="","",2キー同時!$B$45)</f>
        <v>v</v>
      </c>
      <c r="E223" s="2" t="str">
        <f aca="false">""</f>
        <v/>
      </c>
      <c r="F223" s="2" t="str">
        <f aca="false">""</f>
        <v/>
      </c>
      <c r="G223" s="2" t="str">
        <f aca="false">IF(2キー同時!$B$45="","",IF(2キー同時!M51="","",SUBSTITUTE(SUBSTITUTE(2キー同時!M51," ",""),"　","")))</f>
        <v/>
      </c>
      <c r="H223" s="2" t="str">
        <f aca="false">IF($G223="","",2キー同時!$B$45)</f>
        <v/>
      </c>
      <c r="I223" s="2" t="str">
        <f aca="false">IF($G223="","","s")</f>
        <v/>
      </c>
      <c r="J223" s="2" t="str">
        <f aca="false">""</f>
        <v/>
      </c>
      <c r="K223" s="2" t="str">
        <f aca="false">""</f>
        <v/>
      </c>
      <c r="L223" s="2" t="str">
        <f aca="false">IF($G223="","","同時")</f>
        <v/>
      </c>
      <c r="M223" s="2" t="str">
        <f aca="false">IF($G223="","",IF(ISNA(MATCH($G223,個別指定!$A:$A,0)),"行なし",""))</f>
        <v/>
      </c>
      <c r="N223" s="2" t="str">
        <f aca="false">IF($G223="","",IF(COUNTIF($G$2:$G$4460,$G223)&gt;1,"重複",""))</f>
        <v/>
      </c>
    </row>
    <row r="224" customFormat="false" ht="16.5" hidden="false" customHeight="true" outlineLevel="0" collapsed="false">
      <c r="A224" s="2" t="s">
        <v>385</v>
      </c>
      <c r="B224" s="2" t="s">
        <v>389</v>
      </c>
      <c r="C224" s="2" t="s">
        <v>26</v>
      </c>
      <c r="D224" s="2" t="str">
        <f aca="false">IF(2キー同時!$B$45="","",2キー同時!$B$45)</f>
        <v>v</v>
      </c>
      <c r="E224" s="2" t="str">
        <f aca="false">""</f>
        <v/>
      </c>
      <c r="F224" s="2" t="str">
        <f aca="false">""</f>
        <v/>
      </c>
      <c r="G224" s="2" t="str">
        <f aca="false">IF(2キー同時!$B$45="","",IF(2キー同時!Q51="","",SUBSTITUTE(SUBSTITUTE(2キー同時!Q51," ",""),"　","")))</f>
        <v/>
      </c>
      <c r="H224" s="2" t="str">
        <f aca="false">IF($G224="","",2キー同時!$B$45)</f>
        <v/>
      </c>
      <c r="I224" s="2" t="str">
        <f aca="false">IF($G224="","","d")</f>
        <v/>
      </c>
      <c r="J224" s="2" t="str">
        <f aca="false">""</f>
        <v/>
      </c>
      <c r="K224" s="2" t="str">
        <f aca="false">""</f>
        <v/>
      </c>
      <c r="L224" s="2" t="str">
        <f aca="false">IF($G224="","","同時")</f>
        <v/>
      </c>
      <c r="M224" s="2" t="str">
        <f aca="false">IF($G224="","",IF(ISNA(MATCH($G224,個別指定!$A:$A,0)),"行なし",""))</f>
        <v/>
      </c>
      <c r="N224" s="2" t="str">
        <f aca="false">IF($G224="","",IF(COUNTIF($G$2:$G$4460,$G224)&gt;1,"重複",""))</f>
        <v/>
      </c>
    </row>
    <row r="225" customFormat="false" ht="16.5" hidden="false" customHeight="true" outlineLevel="0" collapsed="false">
      <c r="A225" s="2" t="s">
        <v>385</v>
      </c>
      <c r="B225" s="2" t="s">
        <v>389</v>
      </c>
      <c r="C225" s="2" t="s">
        <v>27</v>
      </c>
      <c r="D225" s="2" t="str">
        <f aca="false">IF(2キー同時!$B$45="","",2キー同時!$B$45)</f>
        <v>v</v>
      </c>
      <c r="E225" s="2" t="str">
        <f aca="false">""</f>
        <v/>
      </c>
      <c r="F225" s="2" t="str">
        <f aca="false">""</f>
        <v/>
      </c>
      <c r="G225" s="2" t="str">
        <f aca="false">IF(2キー同時!$B$45="","",IF(2キー同時!U51="","",SUBSTITUTE(SUBSTITUTE(2キー同時!U51," ",""),"　","")))</f>
        <v/>
      </c>
      <c r="H225" s="2" t="str">
        <f aca="false">IF($G225="","",2キー同時!$B$45)</f>
        <v/>
      </c>
      <c r="I225" s="2" t="str">
        <f aca="false">IF($G225="","","f")</f>
        <v/>
      </c>
      <c r="J225" s="2" t="str">
        <f aca="false">""</f>
        <v/>
      </c>
      <c r="K225" s="2" t="str">
        <f aca="false">""</f>
        <v/>
      </c>
      <c r="L225" s="2" t="str">
        <f aca="false">IF($G225="","","同時")</f>
        <v/>
      </c>
      <c r="M225" s="2" t="str">
        <f aca="false">IF($G225="","",IF(ISNA(MATCH($G225,個別指定!$A:$A,0)),"行なし",""))</f>
        <v/>
      </c>
      <c r="N225" s="2" t="str">
        <f aca="false">IF($G225="","",IF(COUNTIF($G$2:$G$4460,$G225)&gt;1,"重複",""))</f>
        <v/>
      </c>
    </row>
    <row r="226" customFormat="false" ht="16.5" hidden="false" customHeight="true" outlineLevel="0" collapsed="false">
      <c r="A226" s="2" t="s">
        <v>385</v>
      </c>
      <c r="B226" s="2" t="s">
        <v>389</v>
      </c>
      <c r="C226" s="2" t="s">
        <v>28</v>
      </c>
      <c r="D226" s="2" t="str">
        <f aca="false">IF(2キー同時!$B$45="","",2キー同時!$B$45)</f>
        <v>v</v>
      </c>
      <c r="E226" s="2" t="str">
        <f aca="false">""</f>
        <v/>
      </c>
      <c r="F226" s="2" t="str">
        <f aca="false">""</f>
        <v/>
      </c>
      <c r="G226" s="2" t="str">
        <f aca="false">IF(2キー同時!$B$45="","",IF(2キー同時!Y51="","",SUBSTITUTE(SUBSTITUTE(2キー同時!Y51," ",""),"　","")))</f>
        <v/>
      </c>
      <c r="H226" s="2" t="str">
        <f aca="false">IF($G226="","",2キー同時!$B$45)</f>
        <v/>
      </c>
      <c r="I226" s="2" t="str">
        <f aca="false">IF($G226="","","g")</f>
        <v/>
      </c>
      <c r="J226" s="2" t="str">
        <f aca="false">""</f>
        <v/>
      </c>
      <c r="K226" s="2" t="str">
        <f aca="false">""</f>
        <v/>
      </c>
      <c r="L226" s="2" t="str">
        <f aca="false">IF($G226="","","同時")</f>
        <v/>
      </c>
      <c r="M226" s="2" t="str">
        <f aca="false">IF($G226="","",IF(ISNA(MATCH($G226,個別指定!$A:$A,0)),"行なし",""))</f>
        <v/>
      </c>
      <c r="N226" s="2" t="str">
        <f aca="false">IF($G226="","",IF(COUNTIF($G$2:$G$4460,$G226)&gt;1,"重複",""))</f>
        <v/>
      </c>
    </row>
    <row r="227" customFormat="false" ht="16.5" hidden="false" customHeight="true" outlineLevel="0" collapsed="false">
      <c r="A227" s="2" t="s">
        <v>385</v>
      </c>
      <c r="B227" s="2" t="s">
        <v>389</v>
      </c>
      <c r="C227" s="2" t="s">
        <v>29</v>
      </c>
      <c r="D227" s="2" t="str">
        <f aca="false">IF(2キー同時!$B$45="","",2キー同時!$B$45)</f>
        <v>v</v>
      </c>
      <c r="E227" s="2" t="str">
        <f aca="false">""</f>
        <v/>
      </c>
      <c r="F227" s="2" t="str">
        <f aca="false">""</f>
        <v/>
      </c>
      <c r="G227" s="2" t="str">
        <f aca="false">IF(2キー同時!$B$45="","",IF(2キー同時!AC51="","",SUBSTITUTE(SUBSTITUTE(2キー同時!AC51," ",""),"　","")))</f>
        <v/>
      </c>
      <c r="H227" s="2" t="str">
        <f aca="false">IF($G227="","",2キー同時!$B$45)</f>
        <v/>
      </c>
      <c r="I227" s="2" t="str">
        <f aca="false">IF($G227="","","h")</f>
        <v/>
      </c>
      <c r="J227" s="2" t="str">
        <f aca="false">""</f>
        <v/>
      </c>
      <c r="K227" s="2" t="str">
        <f aca="false">""</f>
        <v/>
      </c>
      <c r="L227" s="2" t="str">
        <f aca="false">IF($G227="","","同時")</f>
        <v/>
      </c>
      <c r="M227" s="2" t="str">
        <f aca="false">IF($G227="","",IF(ISNA(MATCH($G227,個別指定!$A:$A,0)),"行なし",""))</f>
        <v/>
      </c>
      <c r="N227" s="2" t="str">
        <f aca="false">IF($G227="","",IF(COUNTIF($G$2:$G$4460,$G227)&gt;1,"重複",""))</f>
        <v/>
      </c>
    </row>
    <row r="228" customFormat="false" ht="16.5" hidden="false" customHeight="true" outlineLevel="0" collapsed="false">
      <c r="A228" s="2" t="s">
        <v>385</v>
      </c>
      <c r="B228" s="2" t="s">
        <v>389</v>
      </c>
      <c r="C228" s="2" t="s">
        <v>30</v>
      </c>
      <c r="D228" s="2" t="str">
        <f aca="false">IF(2キー同時!$B$45="","",2キー同時!$B$45)</f>
        <v>v</v>
      </c>
      <c r="E228" s="2" t="str">
        <f aca="false">""</f>
        <v/>
      </c>
      <c r="F228" s="2" t="str">
        <f aca="false">""</f>
        <v/>
      </c>
      <c r="G228" s="2" t="str">
        <f aca="false">IF(2キー同時!$B$45="","",IF(2キー同時!AG51="","",SUBSTITUTE(SUBSTITUTE(2キー同時!AG51," ",""),"　","")))</f>
        <v/>
      </c>
      <c r="H228" s="2" t="str">
        <f aca="false">IF($G228="","",2キー同時!$B$45)</f>
        <v/>
      </c>
      <c r="I228" s="2" t="str">
        <f aca="false">IF($G228="","","j")</f>
        <v/>
      </c>
      <c r="J228" s="2" t="str">
        <f aca="false">""</f>
        <v/>
      </c>
      <c r="K228" s="2" t="str">
        <f aca="false">""</f>
        <v/>
      </c>
      <c r="L228" s="2" t="str">
        <f aca="false">IF($G228="","","同時")</f>
        <v/>
      </c>
      <c r="M228" s="2" t="str">
        <f aca="false">IF($G228="","",IF(ISNA(MATCH($G228,個別指定!$A:$A,0)),"行なし",""))</f>
        <v/>
      </c>
      <c r="N228" s="2" t="str">
        <f aca="false">IF($G228="","",IF(COUNTIF($G$2:$G$4460,$G228)&gt;1,"重複",""))</f>
        <v/>
      </c>
    </row>
    <row r="229" customFormat="false" ht="16.5" hidden="false" customHeight="true" outlineLevel="0" collapsed="false">
      <c r="A229" s="2" t="s">
        <v>385</v>
      </c>
      <c r="B229" s="2" t="s">
        <v>389</v>
      </c>
      <c r="C229" s="2" t="s">
        <v>31</v>
      </c>
      <c r="D229" s="2" t="str">
        <f aca="false">IF(2キー同時!$B$45="","",2キー同時!$B$45)</f>
        <v>v</v>
      </c>
      <c r="E229" s="2" t="str">
        <f aca="false">""</f>
        <v/>
      </c>
      <c r="F229" s="2" t="str">
        <f aca="false">""</f>
        <v/>
      </c>
      <c r="G229" s="2" t="str">
        <f aca="false">IF(2キー同時!$B$45="","",IF(2キー同時!AK51="","",SUBSTITUTE(SUBSTITUTE(2キー同時!AK51," ",""),"　","")))</f>
        <v/>
      </c>
      <c r="H229" s="2" t="str">
        <f aca="false">IF($G229="","",2キー同時!$B$45)</f>
        <v/>
      </c>
      <c r="I229" s="2" t="str">
        <f aca="false">IF($G229="","","k")</f>
        <v/>
      </c>
      <c r="J229" s="2" t="str">
        <f aca="false">""</f>
        <v/>
      </c>
      <c r="K229" s="2" t="str">
        <f aca="false">""</f>
        <v/>
      </c>
      <c r="L229" s="2" t="str">
        <f aca="false">IF($G229="","","同時")</f>
        <v/>
      </c>
      <c r="M229" s="2" t="str">
        <f aca="false">IF($G229="","",IF(ISNA(MATCH($G229,個別指定!$A:$A,0)),"行なし",""))</f>
        <v/>
      </c>
      <c r="N229" s="2" t="str">
        <f aca="false">IF($G229="","",IF(COUNTIF($G$2:$G$4460,$G229)&gt;1,"重複",""))</f>
        <v/>
      </c>
    </row>
    <row r="230" customFormat="false" ht="16.5" hidden="false" customHeight="true" outlineLevel="0" collapsed="false">
      <c r="A230" s="2" t="s">
        <v>385</v>
      </c>
      <c r="B230" s="2" t="s">
        <v>389</v>
      </c>
      <c r="C230" s="2" t="s">
        <v>32</v>
      </c>
      <c r="D230" s="2" t="str">
        <f aca="false">IF(2キー同時!$B$45="","",2キー同時!$B$45)</f>
        <v>v</v>
      </c>
      <c r="E230" s="2" t="str">
        <f aca="false">""</f>
        <v/>
      </c>
      <c r="F230" s="2" t="str">
        <f aca="false">""</f>
        <v/>
      </c>
      <c r="G230" s="2" t="str">
        <f aca="false">IF(2キー同時!$B$45="","",IF(2キー同時!AO51="","",SUBSTITUTE(SUBSTITUTE(2キー同時!AO51," ",""),"　","")))</f>
        <v/>
      </c>
      <c r="H230" s="2" t="str">
        <f aca="false">IF($G230="","",2キー同時!$B$45)</f>
        <v/>
      </c>
      <c r="I230" s="2" t="str">
        <f aca="false">IF($G230="","","l")</f>
        <v/>
      </c>
      <c r="J230" s="2" t="str">
        <f aca="false">""</f>
        <v/>
      </c>
      <c r="K230" s="2" t="str">
        <f aca="false">""</f>
        <v/>
      </c>
      <c r="L230" s="2" t="str">
        <f aca="false">IF($G230="","","同時")</f>
        <v/>
      </c>
      <c r="M230" s="2" t="str">
        <f aca="false">IF($G230="","",IF(ISNA(MATCH($G230,個別指定!$A:$A,0)),"行なし",""))</f>
        <v/>
      </c>
      <c r="N230" s="2" t="str">
        <f aca="false">IF($G230="","",IF(COUNTIF($G$2:$G$4460,$G230)&gt;1,"重複",""))</f>
        <v/>
      </c>
    </row>
    <row r="231" customFormat="false" ht="16.5" hidden="false" customHeight="true" outlineLevel="0" collapsed="false">
      <c r="A231" s="2" t="s">
        <v>385</v>
      </c>
      <c r="B231" s="2" t="s">
        <v>389</v>
      </c>
      <c r="C231" s="2" t="s">
        <v>33</v>
      </c>
      <c r="D231" s="2" t="str">
        <f aca="false">IF(2キー同時!$B$45="","",2キー同時!$B$45)</f>
        <v>v</v>
      </c>
      <c r="E231" s="2" t="str">
        <f aca="false">""</f>
        <v/>
      </c>
      <c r="F231" s="2" t="str">
        <f aca="false">""</f>
        <v/>
      </c>
      <c r="G231" s="2" t="str">
        <f aca="false">IF(2キー同時!$B$45="","",IF(2キー同時!AS51="","",SUBSTITUTE(SUBSTITUTE(2キー同時!AS51," ",""),"　","")))</f>
        <v>ぷ</v>
      </c>
      <c r="H231" s="2" t="str">
        <f aca="false">IF($G231="","",2キー同時!$B$45)</f>
        <v>v</v>
      </c>
      <c r="I231" s="2" t="str">
        <f aca="false">IF($G231="","",";")</f>
        <v>;</v>
      </c>
      <c r="J231" s="2" t="str">
        <f aca="false">""</f>
        <v/>
      </c>
      <c r="K231" s="2" t="str">
        <f aca="false">""</f>
        <v/>
      </c>
      <c r="L231" s="2" t="str">
        <f aca="false">IF($G231="","","同時")</f>
        <v>同時</v>
      </c>
      <c r="M231" s="2" t="str">
        <f aca="false">IF($G231="","",IF(ISNA(MATCH($G231,個別指定!$A:$A,0)),"行なし",""))</f>
        <v/>
      </c>
      <c r="N231" s="2" t="str">
        <f aca="false">IF($G231="","",IF(COUNTIF($G$2:$G$4460,$G231)&gt;1,"重複",""))</f>
        <v/>
      </c>
    </row>
    <row r="232" customFormat="false" ht="16.5" hidden="false" customHeight="true" outlineLevel="0" collapsed="false">
      <c r="A232" s="2" t="s">
        <v>385</v>
      </c>
      <c r="B232" s="2" t="s">
        <v>389</v>
      </c>
      <c r="C232" s="2" t="s">
        <v>34</v>
      </c>
      <c r="D232" s="2" t="str">
        <f aca="false">IF(2キー同時!$B$45="","",2キー同時!$B$45)</f>
        <v>v</v>
      </c>
      <c r="E232" s="2" t="str">
        <f aca="false">""</f>
        <v/>
      </c>
      <c r="F232" s="2" t="str">
        <f aca="false">""</f>
        <v/>
      </c>
      <c r="G232" s="2" t="str">
        <f aca="false">IF(2キー同時!$B$45="","",IF(2キー同時!AW51="","",SUBSTITUTE(SUBSTITUTE(2キー同時!AW51," ",""),"　","")))</f>
        <v/>
      </c>
      <c r="H232" s="2" t="str">
        <f aca="false">IF($G232="","",2キー同時!$B$45)</f>
        <v/>
      </c>
      <c r="I232" s="2" t="str">
        <f aca="false">IF($G232="","","'")</f>
        <v/>
      </c>
      <c r="J232" s="2" t="str">
        <f aca="false">""</f>
        <v/>
      </c>
      <c r="K232" s="2" t="str">
        <f aca="false">""</f>
        <v/>
      </c>
      <c r="L232" s="2" t="str">
        <f aca="false">IF($G232="","","同時")</f>
        <v/>
      </c>
      <c r="M232" s="2" t="str">
        <f aca="false">IF($G232="","",IF(ISNA(MATCH($G232,個別指定!$A:$A,0)),"行なし",""))</f>
        <v/>
      </c>
      <c r="N232" s="2" t="str">
        <f aca="false">IF($G232="","",IF(COUNTIF($G$2:$G$4460,$G232)&gt;1,"重複",""))</f>
        <v/>
      </c>
    </row>
    <row r="233" customFormat="false" ht="16.5" hidden="false" customHeight="true" outlineLevel="0" collapsed="false">
      <c r="A233" s="2" t="s">
        <v>385</v>
      </c>
      <c r="B233" s="2" t="s">
        <v>389</v>
      </c>
      <c r="C233" s="2" t="s">
        <v>35</v>
      </c>
      <c r="D233" s="2" t="str">
        <f aca="false">IF(2キー同時!$B$45="","",2キー同時!$B$45)</f>
        <v>v</v>
      </c>
      <c r="E233" s="2" t="str">
        <f aca="false">""</f>
        <v/>
      </c>
      <c r="F233" s="2" t="str">
        <f aca="false">""</f>
        <v/>
      </c>
      <c r="G233" s="2" t="str">
        <f aca="false">IF(2キー同時!$B$45="","",IF(2キー同時!K53="","",SUBSTITUTE(SUBSTITUTE(2キー同時!K53," ",""),"　","")))</f>
        <v/>
      </c>
      <c r="H233" s="2" t="str">
        <f aca="false">IF($G233="","",2キー同時!$B$45)</f>
        <v/>
      </c>
      <c r="I233" s="2" t="str">
        <f aca="false">IF($G233="","","z")</f>
        <v/>
      </c>
      <c r="J233" s="2" t="str">
        <f aca="false">""</f>
        <v/>
      </c>
      <c r="K233" s="2" t="str">
        <f aca="false">""</f>
        <v/>
      </c>
      <c r="L233" s="2" t="str">
        <f aca="false">IF($G233="","","同時")</f>
        <v/>
      </c>
      <c r="M233" s="2" t="str">
        <f aca="false">IF($G233="","",IF(ISNA(MATCH($G233,個別指定!$A:$A,0)),"行なし",""))</f>
        <v/>
      </c>
      <c r="N233" s="2" t="str">
        <f aca="false">IF($G233="","",IF(COUNTIF($G$2:$G$4460,$G233)&gt;1,"重複",""))</f>
        <v/>
      </c>
    </row>
    <row r="234" customFormat="false" ht="16.5" hidden="false" customHeight="true" outlineLevel="0" collapsed="false">
      <c r="A234" s="2" t="s">
        <v>385</v>
      </c>
      <c r="B234" s="2" t="s">
        <v>389</v>
      </c>
      <c r="C234" s="2" t="s">
        <v>36</v>
      </c>
      <c r="D234" s="2" t="str">
        <f aca="false">IF(2キー同時!$B$45="","",2キー同時!$B$45)</f>
        <v>v</v>
      </c>
      <c r="E234" s="2" t="str">
        <f aca="false">""</f>
        <v/>
      </c>
      <c r="F234" s="2" t="str">
        <f aca="false">""</f>
        <v/>
      </c>
      <c r="G234" s="2" t="str">
        <f aca="false">IF(2キー同時!$B$45="","",IF(2キー同時!O53="","",SUBSTITUTE(SUBSTITUTE(2キー同時!O53," ",""),"　","")))</f>
        <v/>
      </c>
      <c r="H234" s="2" t="str">
        <f aca="false">IF($G234="","",2キー同時!$B$45)</f>
        <v/>
      </c>
      <c r="I234" s="2" t="str">
        <f aca="false">IF($G234="","","x")</f>
        <v/>
      </c>
      <c r="J234" s="2" t="str">
        <f aca="false">""</f>
        <v/>
      </c>
      <c r="K234" s="2" t="str">
        <f aca="false">""</f>
        <v/>
      </c>
      <c r="L234" s="2" t="str">
        <f aca="false">IF($G234="","","同時")</f>
        <v/>
      </c>
      <c r="M234" s="2" t="str">
        <f aca="false">IF($G234="","",IF(ISNA(MATCH($G234,個別指定!$A:$A,0)),"行なし",""))</f>
        <v/>
      </c>
      <c r="N234" s="2" t="str">
        <f aca="false">IF($G234="","",IF(COUNTIF($G$2:$G$4460,$G234)&gt;1,"重複",""))</f>
        <v/>
      </c>
    </row>
    <row r="235" customFormat="false" ht="16.5" hidden="false" customHeight="true" outlineLevel="0" collapsed="false">
      <c r="A235" s="2" t="s">
        <v>385</v>
      </c>
      <c r="B235" s="2" t="s">
        <v>389</v>
      </c>
      <c r="C235" s="2" t="s">
        <v>37</v>
      </c>
      <c r="D235" s="2" t="str">
        <f aca="false">IF(2キー同時!$B$45="","",2キー同時!$B$45)</f>
        <v>v</v>
      </c>
      <c r="E235" s="2" t="str">
        <f aca="false">""</f>
        <v/>
      </c>
      <c r="F235" s="2" t="str">
        <f aca="false">""</f>
        <v/>
      </c>
      <c r="G235" s="2" t="str">
        <f aca="false">IF(2キー同時!$B$45="","",IF(2キー同時!S53="","",SUBSTITUTE(SUBSTITUTE(2キー同時!S53," ",""),"　","")))</f>
        <v/>
      </c>
      <c r="H235" s="2" t="str">
        <f aca="false">IF($G235="","",2キー同時!$B$45)</f>
        <v/>
      </c>
      <c r="I235" s="2" t="str">
        <f aca="false">IF($G235="","","c")</f>
        <v/>
      </c>
      <c r="J235" s="2" t="str">
        <f aca="false">""</f>
        <v/>
      </c>
      <c r="K235" s="2" t="str">
        <f aca="false">""</f>
        <v/>
      </c>
      <c r="L235" s="2" t="str">
        <f aca="false">IF($G235="","","同時")</f>
        <v/>
      </c>
      <c r="M235" s="2" t="str">
        <f aca="false">IF($G235="","",IF(ISNA(MATCH($G235,個別指定!$A:$A,0)),"行なし",""))</f>
        <v/>
      </c>
      <c r="N235" s="2" t="str">
        <f aca="false">IF($G235="","",IF(COUNTIF($G$2:$G$4460,$G235)&gt;1,"重複",""))</f>
        <v/>
      </c>
    </row>
    <row r="236" customFormat="false" ht="16.5" hidden="false" customHeight="true" outlineLevel="0" collapsed="false">
      <c r="A236" s="2" t="s">
        <v>385</v>
      </c>
      <c r="B236" s="2" t="s">
        <v>389</v>
      </c>
      <c r="C236" s="2" t="s">
        <v>38</v>
      </c>
      <c r="D236" s="2" t="str">
        <f aca="false">IF(2キー同時!$B$45="","",2キー同時!$B$45)</f>
        <v>v</v>
      </c>
      <c r="E236" s="2" t="str">
        <f aca="false">""</f>
        <v/>
      </c>
      <c r="F236" s="2" t="str">
        <f aca="false">""</f>
        <v/>
      </c>
      <c r="G236" s="2" t="str">
        <f aca="false">IF(2キー同時!$B$45="","",IF(2キー同時!W53="","",SUBSTITUTE(SUBSTITUTE(2キー同時!W53," ",""),"　","")))</f>
        <v/>
      </c>
      <c r="H236" s="2" t="str">
        <f aca="false">IF($G236="","",2キー同時!$B$45)</f>
        <v/>
      </c>
      <c r="I236" s="2" t="str">
        <f aca="false">IF($G236="","","v")</f>
        <v/>
      </c>
      <c r="J236" s="2" t="str">
        <f aca="false">""</f>
        <v/>
      </c>
      <c r="K236" s="2" t="str">
        <f aca="false">""</f>
        <v/>
      </c>
      <c r="L236" s="2" t="str">
        <f aca="false">IF($G236="","","同時")</f>
        <v/>
      </c>
      <c r="M236" s="2" t="str">
        <f aca="false">IF($G236="","",IF(ISNA(MATCH($G236,個別指定!$A:$A,0)),"行なし",""))</f>
        <v/>
      </c>
      <c r="N236" s="2" t="str">
        <f aca="false">IF($G236="","",IF(COUNTIF($G$2:$G$4460,$G236)&gt;1,"重複",""))</f>
        <v/>
      </c>
    </row>
    <row r="237" customFormat="false" ht="16.5" hidden="false" customHeight="true" outlineLevel="0" collapsed="false">
      <c r="A237" s="2" t="s">
        <v>385</v>
      </c>
      <c r="B237" s="2" t="s">
        <v>389</v>
      </c>
      <c r="C237" s="2" t="s">
        <v>39</v>
      </c>
      <c r="D237" s="2" t="str">
        <f aca="false">IF(2キー同時!$B$45="","",2キー同時!$B$45)</f>
        <v>v</v>
      </c>
      <c r="E237" s="2" t="str">
        <f aca="false">""</f>
        <v/>
      </c>
      <c r="F237" s="2" t="str">
        <f aca="false">""</f>
        <v/>
      </c>
      <c r="G237" s="2" t="str">
        <f aca="false">IF(2キー同時!$B$45="","",IF(2キー同時!AA53="","",SUBSTITUTE(SUBSTITUTE(2キー同時!AA53," ",""),"　","")))</f>
        <v/>
      </c>
      <c r="H237" s="2" t="str">
        <f aca="false">IF($G237="","",2キー同時!$B$45)</f>
        <v/>
      </c>
      <c r="I237" s="2" t="str">
        <f aca="false">IF($G237="","","b")</f>
        <v/>
      </c>
      <c r="J237" s="2" t="str">
        <f aca="false">""</f>
        <v/>
      </c>
      <c r="K237" s="2" t="str">
        <f aca="false">""</f>
        <v/>
      </c>
      <c r="L237" s="2" t="str">
        <f aca="false">IF($G237="","","同時")</f>
        <v/>
      </c>
      <c r="M237" s="2" t="str">
        <f aca="false">IF($G237="","",IF(ISNA(MATCH($G237,個別指定!$A:$A,0)),"行なし",""))</f>
        <v/>
      </c>
      <c r="N237" s="2" t="str">
        <f aca="false">IF($G237="","",IF(COUNTIF($G$2:$G$4460,$G237)&gt;1,"重複",""))</f>
        <v/>
      </c>
    </row>
    <row r="238" customFormat="false" ht="16.5" hidden="false" customHeight="true" outlineLevel="0" collapsed="false">
      <c r="A238" s="2" t="s">
        <v>385</v>
      </c>
      <c r="B238" s="2" t="s">
        <v>389</v>
      </c>
      <c r="C238" s="2" t="s">
        <v>40</v>
      </c>
      <c r="D238" s="2" t="str">
        <f aca="false">IF(2キー同時!$B$45="","",2キー同時!$B$45)</f>
        <v>v</v>
      </c>
      <c r="E238" s="2" t="str">
        <f aca="false">""</f>
        <v/>
      </c>
      <c r="F238" s="2" t="str">
        <f aca="false">""</f>
        <v/>
      </c>
      <c r="G238" s="2" t="str">
        <f aca="false">IF(2キー同時!$B$45="","",IF(2キー同時!AE53="","",SUBSTITUTE(SUBSTITUTE(2キー同時!AE53," ",""),"　","")))</f>
        <v/>
      </c>
      <c r="H238" s="2" t="str">
        <f aca="false">IF($G238="","",2キー同時!$B$45)</f>
        <v/>
      </c>
      <c r="I238" s="2" t="str">
        <f aca="false">IF($G238="","","n")</f>
        <v/>
      </c>
      <c r="J238" s="2" t="str">
        <f aca="false">""</f>
        <v/>
      </c>
      <c r="K238" s="2" t="str">
        <f aca="false">""</f>
        <v/>
      </c>
      <c r="L238" s="2" t="str">
        <f aca="false">IF($G238="","","同時")</f>
        <v/>
      </c>
      <c r="M238" s="2" t="str">
        <f aca="false">IF($G238="","",IF(ISNA(MATCH($G238,個別指定!$A:$A,0)),"行なし",""))</f>
        <v/>
      </c>
      <c r="N238" s="2" t="str">
        <f aca="false">IF($G238="","",IF(COUNTIF($G$2:$G$4460,$G238)&gt;1,"重複",""))</f>
        <v/>
      </c>
    </row>
    <row r="239" customFormat="false" ht="16.5" hidden="false" customHeight="true" outlineLevel="0" collapsed="false">
      <c r="A239" s="2" t="s">
        <v>385</v>
      </c>
      <c r="B239" s="2" t="s">
        <v>389</v>
      </c>
      <c r="C239" s="2" t="s">
        <v>41</v>
      </c>
      <c r="D239" s="2" t="str">
        <f aca="false">IF(2キー同時!$B$45="","",2キー同時!$B$45)</f>
        <v>v</v>
      </c>
      <c r="E239" s="2" t="str">
        <f aca="false">""</f>
        <v/>
      </c>
      <c r="F239" s="2" t="str">
        <f aca="false">""</f>
        <v/>
      </c>
      <c r="G239" s="2" t="str">
        <f aca="false">IF(2キー同時!$B$45="","",IF(2キー同時!AI53="","",SUBSTITUTE(SUBSTITUTE(2キー同時!AI53," ",""),"　","")))</f>
        <v/>
      </c>
      <c r="H239" s="2" t="str">
        <f aca="false">IF($G239="","",2キー同時!$B$45)</f>
        <v/>
      </c>
      <c r="I239" s="2" t="str">
        <f aca="false">IF($G239="","","m")</f>
        <v/>
      </c>
      <c r="J239" s="2" t="str">
        <f aca="false">""</f>
        <v/>
      </c>
      <c r="K239" s="2" t="str">
        <f aca="false">""</f>
        <v/>
      </c>
      <c r="L239" s="2" t="str">
        <f aca="false">IF($G239="","","同時")</f>
        <v/>
      </c>
      <c r="M239" s="2" t="str">
        <f aca="false">IF($G239="","",IF(ISNA(MATCH($G239,個別指定!$A:$A,0)),"行なし",""))</f>
        <v/>
      </c>
      <c r="N239" s="2" t="str">
        <f aca="false">IF($G239="","",IF(COUNTIF($G$2:$G$4460,$G239)&gt;1,"重複",""))</f>
        <v/>
      </c>
    </row>
    <row r="240" customFormat="false" ht="16.5" hidden="false" customHeight="true" outlineLevel="0" collapsed="false">
      <c r="A240" s="2" t="s">
        <v>385</v>
      </c>
      <c r="B240" s="2" t="s">
        <v>389</v>
      </c>
      <c r="C240" s="2" t="s">
        <v>42</v>
      </c>
      <c r="D240" s="2" t="str">
        <f aca="false">IF(2キー同時!$B$45="","",2キー同時!$B$45)</f>
        <v>v</v>
      </c>
      <c r="E240" s="2" t="str">
        <f aca="false">""</f>
        <v/>
      </c>
      <c r="F240" s="2" t="str">
        <f aca="false">""</f>
        <v/>
      </c>
      <c r="G240" s="2" t="str">
        <f aca="false">IF(2キー同時!$B$45="","",IF(2キー同時!AM53="","",SUBSTITUTE(SUBSTITUTE(2キー同時!AM53," ",""),"　","")))</f>
        <v/>
      </c>
      <c r="H240" s="2" t="str">
        <f aca="false">IF($G240="","",2キー同時!$B$45)</f>
        <v/>
      </c>
      <c r="I240" s="2" t="str">
        <f aca="false">IF($G240="","",",")</f>
        <v/>
      </c>
      <c r="J240" s="2" t="str">
        <f aca="false">""</f>
        <v/>
      </c>
      <c r="K240" s="2" t="str">
        <f aca="false">""</f>
        <v/>
      </c>
      <c r="L240" s="2" t="str">
        <f aca="false">IF($G240="","","同時")</f>
        <v/>
      </c>
      <c r="M240" s="2" t="str">
        <f aca="false">IF($G240="","",IF(ISNA(MATCH($G240,個別指定!$A:$A,0)),"行なし",""))</f>
        <v/>
      </c>
      <c r="N240" s="2" t="str">
        <f aca="false">IF($G240="","",IF(COUNTIF($G$2:$G$4460,$G240)&gt;1,"重複",""))</f>
        <v/>
      </c>
    </row>
    <row r="241" customFormat="false" ht="16.5" hidden="false" customHeight="true" outlineLevel="0" collapsed="false">
      <c r="A241" s="2" t="s">
        <v>385</v>
      </c>
      <c r="B241" s="2" t="s">
        <v>389</v>
      </c>
      <c r="C241" s="2" t="s">
        <v>43</v>
      </c>
      <c r="D241" s="2" t="str">
        <f aca="false">IF(2キー同時!$B$45="","",2キー同時!$B$45)</f>
        <v>v</v>
      </c>
      <c r="E241" s="2" t="str">
        <f aca="false">""</f>
        <v/>
      </c>
      <c r="F241" s="2" t="str">
        <f aca="false">""</f>
        <v/>
      </c>
      <c r="G241" s="2" t="str">
        <f aca="false">IF(2キー同時!$B$45="","",IF(2キー同時!AQ53="","",SUBSTITUTE(SUBSTITUTE(2キー同時!AQ53," ",""),"　","")))</f>
        <v/>
      </c>
      <c r="H241" s="2" t="str">
        <f aca="false">IF($G241="","",2キー同時!$B$45)</f>
        <v/>
      </c>
      <c r="I241" s="2" t="str">
        <f aca="false">IF($G241="","",".")</f>
        <v/>
      </c>
      <c r="J241" s="2" t="str">
        <f aca="false">""</f>
        <v/>
      </c>
      <c r="K241" s="2" t="str">
        <f aca="false">""</f>
        <v/>
      </c>
      <c r="L241" s="2" t="str">
        <f aca="false">IF($G241="","","同時")</f>
        <v/>
      </c>
      <c r="M241" s="2" t="str">
        <f aca="false">IF($G241="","",IF(ISNA(MATCH($G241,個別指定!$A:$A,0)),"行なし",""))</f>
        <v/>
      </c>
      <c r="N241" s="2" t="str">
        <f aca="false">IF($G241="","",IF(COUNTIF($G$2:$G$4460,$G241)&gt;1,"重複",""))</f>
        <v/>
      </c>
    </row>
    <row r="242" customFormat="false" ht="16.5" hidden="false" customHeight="true" outlineLevel="0" collapsed="false">
      <c r="A242" s="2" t="s">
        <v>385</v>
      </c>
      <c r="B242" s="2" t="s">
        <v>389</v>
      </c>
      <c r="C242" s="2" t="s">
        <v>44</v>
      </c>
      <c r="D242" s="2" t="str">
        <f aca="false">IF(2キー同時!$B$45="","",2キー同時!$B$45)</f>
        <v>v</v>
      </c>
      <c r="E242" s="2" t="str">
        <f aca="false">""</f>
        <v/>
      </c>
      <c r="F242" s="2" t="str">
        <f aca="false">""</f>
        <v/>
      </c>
      <c r="G242" s="2" t="str">
        <f aca="false">IF(2キー同時!$B$45="","",IF(2キー同時!AU53="","",SUBSTITUTE(SUBSTITUTE(2キー同時!AU53," ",""),"　","")))</f>
        <v/>
      </c>
      <c r="H242" s="2" t="str">
        <f aca="false">IF($G242="","",2キー同時!$B$45)</f>
        <v/>
      </c>
      <c r="I242" s="2" t="str">
        <f aca="false">IF($G242="","","/")</f>
        <v/>
      </c>
      <c r="J242" s="2" t="str">
        <f aca="false">""</f>
        <v/>
      </c>
      <c r="K242" s="2" t="str">
        <f aca="false">""</f>
        <v/>
      </c>
      <c r="L242" s="2" t="str">
        <f aca="false">IF($G242="","","同時")</f>
        <v/>
      </c>
      <c r="M242" s="2" t="str">
        <f aca="false">IF($G242="","",IF(ISNA(MATCH($G242,個別指定!$A:$A,0)),"行なし",""))</f>
        <v/>
      </c>
      <c r="N242" s="2" t="str">
        <f aca="false">IF($G242="","",IF(COUNTIF($G$2:$G$4460,$G242)&gt;1,"重複",""))</f>
        <v/>
      </c>
    </row>
    <row r="243" customFormat="false" ht="16.5" hidden="false" customHeight="true" outlineLevel="0" collapsed="false">
      <c r="A243" s="2" t="s">
        <v>385</v>
      </c>
      <c r="B243" s="2" t="s">
        <v>389</v>
      </c>
      <c r="C243" s="2" t="s">
        <v>48</v>
      </c>
      <c r="D243" s="2" t="str">
        <f aca="false">IF(2キー同時!$B$45="","",2キー同時!$B$45)</f>
        <v>v</v>
      </c>
      <c r="E243" s="2" t="str">
        <f aca="false">""</f>
        <v/>
      </c>
      <c r="F243" s="2" t="str">
        <f aca="false">""</f>
        <v/>
      </c>
      <c r="G243" s="2" t="str">
        <f aca="false">IF(2キー同時!$B$45="","",IF(2キー同時!P55="","",SUBSTITUTE(SUBSTITUTE(2キー同時!P55," ",""),"　","")))</f>
        <v/>
      </c>
      <c r="H243" s="2" t="str">
        <f aca="false">IF($G243="","",2キー同時!$B$45)</f>
        <v/>
      </c>
      <c r="I243" s="2" t="str">
        <f aca="false">IF($G243="","","muhenkan")</f>
        <v/>
      </c>
      <c r="J243" s="2" t="str">
        <f aca="false">""</f>
        <v/>
      </c>
      <c r="K243" s="2" t="str">
        <f aca="false">""</f>
        <v/>
      </c>
      <c r="L243" s="2" t="str">
        <f aca="false">IF($G243="","","同時")</f>
        <v/>
      </c>
      <c r="M243" s="2" t="str">
        <f aca="false">IF($G243="","",IF(ISNA(MATCH($G243,個別指定!$A:$A,0)),"行なし",""))</f>
        <v/>
      </c>
      <c r="N243" s="2" t="str">
        <f aca="false">IF($G243="","",IF(COUNTIF($G$2:$G$4460,$G243)&gt;1,"重複",""))</f>
        <v/>
      </c>
    </row>
    <row r="244" customFormat="false" ht="16.5" hidden="false" customHeight="true" outlineLevel="0" collapsed="false">
      <c r="A244" s="2" t="s">
        <v>385</v>
      </c>
      <c r="B244" s="2" t="s">
        <v>389</v>
      </c>
      <c r="C244" s="2" t="s">
        <v>50</v>
      </c>
      <c r="D244" s="2" t="str">
        <f aca="false">IF(2キー同時!$B$45="","",2キー同時!$B$45)</f>
        <v>v</v>
      </c>
      <c r="E244" s="2" t="str">
        <f aca="false">""</f>
        <v/>
      </c>
      <c r="F244" s="2" t="str">
        <f aca="false">""</f>
        <v/>
      </c>
      <c r="G244" s="2" t="str">
        <f aca="false">IF(2キー同時!$B$45="","",IF(2キー同時!T55="","",SUBSTITUTE(SUBSTITUTE(2キー同時!T55," ",""),"　","")))</f>
        <v/>
      </c>
      <c r="H244" s="2" t="str">
        <f aca="false">IF($G244="","",2キー同時!$B$45)</f>
        <v/>
      </c>
      <c r="I244" s="2" t="str">
        <f aca="false">IF($G244="","","space")</f>
        <v/>
      </c>
      <c r="J244" s="2" t="str">
        <f aca="false">""</f>
        <v/>
      </c>
      <c r="K244" s="2" t="str">
        <f aca="false">""</f>
        <v/>
      </c>
      <c r="L244" s="2" t="str">
        <f aca="false">IF($G244="","","同時")</f>
        <v/>
      </c>
      <c r="M244" s="2" t="str">
        <f aca="false">IF($G244="","",IF(ISNA(MATCH($G244,個別指定!$A:$A,0)),"行なし",""))</f>
        <v/>
      </c>
      <c r="N244" s="2" t="str">
        <f aca="false">IF($G244="","",IF(COUNTIF($G$2:$G$4460,$G244)&gt;1,"重複",""))</f>
        <v/>
      </c>
    </row>
    <row r="245" customFormat="false" ht="16.5" hidden="false" customHeight="true" outlineLevel="0" collapsed="false">
      <c r="A245" s="2" t="s">
        <v>385</v>
      </c>
      <c r="B245" s="2" t="s">
        <v>389</v>
      </c>
      <c r="C245" s="2" t="s">
        <v>45</v>
      </c>
      <c r="D245" s="2" t="str">
        <f aca="false">IF(2キー同時!$B$45="","",2キー同時!$B$45)</f>
        <v>v</v>
      </c>
      <c r="E245" s="2" t="str">
        <f aca="false">""</f>
        <v/>
      </c>
      <c r="F245" s="2" t="str">
        <f aca="false">""</f>
        <v/>
      </c>
      <c r="G245" s="2" t="str">
        <f aca="false">IF(2キー同時!$B$45="","",IF(2キー同時!AL55="","",SUBSTITUTE(SUBSTITUTE(2キー同時!AL55," ",""),"　","")))</f>
        <v/>
      </c>
      <c r="H245" s="2" t="str">
        <f aca="false">IF($G245="","",2キー同時!$B$45)</f>
        <v/>
      </c>
      <c r="I245" s="2" t="str">
        <f aca="false">IF($G245="","","henkan")</f>
        <v/>
      </c>
      <c r="J245" s="2" t="str">
        <f aca="false">""</f>
        <v/>
      </c>
      <c r="K245" s="2" t="str">
        <f aca="false">""</f>
        <v/>
      </c>
      <c r="L245" s="2" t="str">
        <f aca="false">IF($G245="","","同時")</f>
        <v/>
      </c>
      <c r="M245" s="2" t="str">
        <f aca="false">IF($G245="","",IF(ISNA(MATCH($G245,個別指定!$A:$A,0)),"行なし",""))</f>
        <v/>
      </c>
      <c r="N245" s="2" t="str">
        <f aca="false">IF($G245="","",IF(COUNTIF($G$2:$G$4460,$G245)&gt;1,"重複",""))</f>
        <v/>
      </c>
    </row>
    <row r="246" customFormat="false" ht="16.5" hidden="false" customHeight="true" outlineLevel="0" collapsed="false">
      <c r="A246" s="2" t="s">
        <v>385</v>
      </c>
      <c r="B246" s="2" t="s">
        <v>389</v>
      </c>
      <c r="C246" s="2" t="s">
        <v>46</v>
      </c>
      <c r="D246" s="2" t="str">
        <f aca="false">IF(2キー同時!$B$45="","",2キー同時!$B$45)</f>
        <v>v</v>
      </c>
      <c r="E246" s="2" t="str">
        <f aca="false">""</f>
        <v/>
      </c>
      <c r="F246" s="2" t="str">
        <f aca="false">""</f>
        <v/>
      </c>
      <c r="G246" s="2" t="str">
        <f aca="false">IF(2キー同時!$B$45="","",IF(2キー同時!AP55="","",SUBSTITUTE(SUBSTITUTE(2キー同時!AP55," ",""),"　","")))</f>
        <v/>
      </c>
      <c r="H246" s="2" t="str">
        <f aca="false">IF($G246="","",2キー同時!$B$45)</f>
        <v/>
      </c>
      <c r="I246" s="2" t="str">
        <f aca="false">IF($G246="","","kana")</f>
        <v/>
      </c>
      <c r="J246" s="2" t="str">
        <f aca="false">""</f>
        <v/>
      </c>
      <c r="K246" s="2" t="str">
        <f aca="false">""</f>
        <v/>
      </c>
      <c r="L246" s="2" t="str">
        <f aca="false">IF($G246="","","同時")</f>
        <v/>
      </c>
      <c r="M246" s="2" t="str">
        <f aca="false">IF($G246="","",IF(ISNA(MATCH($G246,個別指定!$A:$A,0)),"行なし",""))</f>
        <v/>
      </c>
      <c r="N246" s="2" t="str">
        <f aca="false">IF($G246="","",IF(COUNTIF($G$2:$G$4460,$G246)&gt;1,"重複",""))</f>
        <v/>
      </c>
    </row>
    <row r="247" customFormat="false" ht="16.5" hidden="false" customHeight="true" outlineLevel="0" collapsed="false">
      <c r="A247" s="2" t="s">
        <v>385</v>
      </c>
      <c r="B247" s="2" t="s">
        <v>390</v>
      </c>
      <c r="C247" s="2" t="s">
        <v>0</v>
      </c>
      <c r="D247" s="2" t="str">
        <f aca="false">IF(2キー同時!$B$58="","",2キー同時!$B$58)</f>
        <v>m</v>
      </c>
      <c r="E247" s="2" t="str">
        <f aca="false">""</f>
        <v/>
      </c>
      <c r="F247" s="2" t="str">
        <f aca="false">""</f>
        <v/>
      </c>
      <c r="G247" s="2" t="str">
        <f aca="false">IF(2キー同時!$B$58="","",IF(2キー同時!F60="","",SUBSTITUTE(SUBSTITUTE(2キー同時!F60," ",""),"　","")))</f>
        <v/>
      </c>
      <c r="H247" s="2" t="str">
        <f aca="false">IF($G247="","",2キー同時!$B$58)</f>
        <v/>
      </c>
      <c r="I247" s="2" t="str">
        <f aca="false">IF($G247="","","1")</f>
        <v/>
      </c>
      <c r="J247" s="2" t="str">
        <f aca="false">""</f>
        <v/>
      </c>
      <c r="K247" s="2" t="str">
        <f aca="false">""</f>
        <v/>
      </c>
      <c r="L247" s="2" t="str">
        <f aca="false">IF($G247="","","同時")</f>
        <v/>
      </c>
      <c r="M247" s="2" t="str">
        <f aca="false">IF($G247="","",IF(ISNA(MATCH($G247,個別指定!$A:$A,0)),"行なし",""))</f>
        <v/>
      </c>
      <c r="N247" s="2" t="str">
        <f aca="false">IF($G247="","",IF(COUNTIF($G$2:$G$4460,$G247)&gt;1,"重複",""))</f>
        <v/>
      </c>
    </row>
    <row r="248" customFormat="false" ht="16.5" hidden="false" customHeight="true" outlineLevel="0" collapsed="false">
      <c r="A248" s="2" t="s">
        <v>385</v>
      </c>
      <c r="B248" s="2" t="s">
        <v>390</v>
      </c>
      <c r="C248" s="2" t="s">
        <v>1</v>
      </c>
      <c r="D248" s="2" t="str">
        <f aca="false">IF(2キー同時!$B$58="","",2キー同時!$B$58)</f>
        <v>m</v>
      </c>
      <c r="E248" s="2" t="str">
        <f aca="false">""</f>
        <v/>
      </c>
      <c r="F248" s="2" t="str">
        <f aca="false">""</f>
        <v/>
      </c>
      <c r="G248" s="2" t="str">
        <f aca="false">IF(2キー同時!$B$58="","",IF(2キー同時!J60="","",SUBSTITUTE(SUBSTITUTE(2キー同時!J60," ",""),"　","")))</f>
        <v/>
      </c>
      <c r="H248" s="2" t="str">
        <f aca="false">IF($G248="","",2キー同時!$B$58)</f>
        <v/>
      </c>
      <c r="I248" s="2" t="str">
        <f aca="false">IF($G248="","","2")</f>
        <v/>
      </c>
      <c r="J248" s="2" t="str">
        <f aca="false">""</f>
        <v/>
      </c>
      <c r="K248" s="2" t="str">
        <f aca="false">""</f>
        <v/>
      </c>
      <c r="L248" s="2" t="str">
        <f aca="false">IF($G248="","","同時")</f>
        <v/>
      </c>
      <c r="M248" s="2" t="str">
        <f aca="false">IF($G248="","",IF(ISNA(MATCH($G248,個別指定!$A:$A,0)),"行なし",""))</f>
        <v/>
      </c>
      <c r="N248" s="2" t="str">
        <f aca="false">IF($G248="","",IF(COUNTIF($G$2:$G$4460,$G248)&gt;1,"重複",""))</f>
        <v/>
      </c>
    </row>
    <row r="249" customFormat="false" ht="16.5" hidden="false" customHeight="true" outlineLevel="0" collapsed="false">
      <c r="A249" s="2" t="s">
        <v>385</v>
      </c>
      <c r="B249" s="2" t="s">
        <v>390</v>
      </c>
      <c r="C249" s="2" t="s">
        <v>2</v>
      </c>
      <c r="D249" s="2" t="str">
        <f aca="false">IF(2キー同時!$B$58="","",2キー同時!$B$58)</f>
        <v>m</v>
      </c>
      <c r="E249" s="2" t="str">
        <f aca="false">""</f>
        <v/>
      </c>
      <c r="F249" s="2" t="str">
        <f aca="false">""</f>
        <v/>
      </c>
      <c r="G249" s="2" t="str">
        <f aca="false">IF(2キー同時!$B$58="","",IF(2キー同時!N60="","",SUBSTITUTE(SUBSTITUTE(2キー同時!N60," ",""),"　","")))</f>
        <v/>
      </c>
      <c r="H249" s="2" t="str">
        <f aca="false">IF($G249="","",2キー同時!$B$58)</f>
        <v/>
      </c>
      <c r="I249" s="2" t="str">
        <f aca="false">IF($G249="","","3")</f>
        <v/>
      </c>
      <c r="J249" s="2" t="str">
        <f aca="false">""</f>
        <v/>
      </c>
      <c r="K249" s="2" t="str">
        <f aca="false">""</f>
        <v/>
      </c>
      <c r="L249" s="2" t="str">
        <f aca="false">IF($G249="","","同時")</f>
        <v/>
      </c>
      <c r="M249" s="2" t="str">
        <f aca="false">IF($G249="","",IF(ISNA(MATCH($G249,個別指定!$A:$A,0)),"行なし",""))</f>
        <v/>
      </c>
      <c r="N249" s="2" t="str">
        <f aca="false">IF($G249="","",IF(COUNTIF($G$2:$G$4460,$G249)&gt;1,"重複",""))</f>
        <v/>
      </c>
    </row>
    <row r="250" customFormat="false" ht="16.5" hidden="false" customHeight="true" outlineLevel="0" collapsed="false">
      <c r="A250" s="2" t="s">
        <v>385</v>
      </c>
      <c r="B250" s="2" t="s">
        <v>390</v>
      </c>
      <c r="C250" s="2" t="s">
        <v>3</v>
      </c>
      <c r="D250" s="2" t="str">
        <f aca="false">IF(2キー同時!$B$58="","",2キー同時!$B$58)</f>
        <v>m</v>
      </c>
      <c r="E250" s="2" t="str">
        <f aca="false">""</f>
        <v/>
      </c>
      <c r="F250" s="2" t="str">
        <f aca="false">""</f>
        <v/>
      </c>
      <c r="G250" s="2" t="str">
        <f aca="false">IF(2キー同時!$B$58="","",IF(2キー同時!R60="","",SUBSTITUTE(SUBSTITUTE(2キー同時!R60," ",""),"　","")))</f>
        <v/>
      </c>
      <c r="H250" s="2" t="str">
        <f aca="false">IF($G250="","",2キー同時!$B$58)</f>
        <v/>
      </c>
      <c r="I250" s="2" t="str">
        <f aca="false">IF($G250="","","4")</f>
        <v/>
      </c>
      <c r="J250" s="2" t="str">
        <f aca="false">""</f>
        <v/>
      </c>
      <c r="K250" s="2" t="str">
        <f aca="false">""</f>
        <v/>
      </c>
      <c r="L250" s="2" t="str">
        <f aca="false">IF($G250="","","同時")</f>
        <v/>
      </c>
      <c r="M250" s="2" t="str">
        <f aca="false">IF($G250="","",IF(ISNA(MATCH($G250,個別指定!$A:$A,0)),"行なし",""))</f>
        <v/>
      </c>
      <c r="N250" s="2" t="str">
        <f aca="false">IF($G250="","",IF(COUNTIF($G$2:$G$4460,$G250)&gt;1,"重複",""))</f>
        <v/>
      </c>
    </row>
    <row r="251" customFormat="false" ht="16.5" hidden="false" customHeight="true" outlineLevel="0" collapsed="false">
      <c r="A251" s="2" t="s">
        <v>385</v>
      </c>
      <c r="B251" s="2" t="s">
        <v>390</v>
      </c>
      <c r="C251" s="2" t="s">
        <v>4</v>
      </c>
      <c r="D251" s="2" t="str">
        <f aca="false">IF(2キー同時!$B$58="","",2キー同時!$B$58)</f>
        <v>m</v>
      </c>
      <c r="E251" s="2" t="str">
        <f aca="false">""</f>
        <v/>
      </c>
      <c r="F251" s="2" t="str">
        <f aca="false">""</f>
        <v/>
      </c>
      <c r="G251" s="2" t="str">
        <f aca="false">IF(2キー同時!$B$58="","",IF(2キー同時!V60="","",SUBSTITUTE(SUBSTITUTE(2キー同時!V60," ",""),"　","")))</f>
        <v/>
      </c>
      <c r="H251" s="2" t="str">
        <f aca="false">IF($G251="","",2キー同時!$B$58)</f>
        <v/>
      </c>
      <c r="I251" s="2" t="str">
        <f aca="false">IF($G251="","","5")</f>
        <v/>
      </c>
      <c r="J251" s="2" t="str">
        <f aca="false">""</f>
        <v/>
      </c>
      <c r="K251" s="2" t="str">
        <f aca="false">""</f>
        <v/>
      </c>
      <c r="L251" s="2" t="str">
        <f aca="false">IF($G251="","","同時")</f>
        <v/>
      </c>
      <c r="M251" s="2" t="str">
        <f aca="false">IF($G251="","",IF(ISNA(MATCH($G251,個別指定!$A:$A,0)),"行なし",""))</f>
        <v/>
      </c>
      <c r="N251" s="2" t="str">
        <f aca="false">IF($G251="","",IF(COUNTIF($G$2:$G$4460,$G251)&gt;1,"重複",""))</f>
        <v/>
      </c>
    </row>
    <row r="252" customFormat="false" ht="16.5" hidden="false" customHeight="true" outlineLevel="0" collapsed="false">
      <c r="A252" s="2" t="s">
        <v>385</v>
      </c>
      <c r="B252" s="2" t="s">
        <v>390</v>
      </c>
      <c r="C252" s="2" t="s">
        <v>5</v>
      </c>
      <c r="D252" s="2" t="str">
        <f aca="false">IF(2キー同時!$B$58="","",2キー同時!$B$58)</f>
        <v>m</v>
      </c>
      <c r="E252" s="2" t="str">
        <f aca="false">""</f>
        <v/>
      </c>
      <c r="F252" s="2" t="str">
        <f aca="false">""</f>
        <v/>
      </c>
      <c r="G252" s="2" t="str">
        <f aca="false">IF(2キー同時!$B$58="","",IF(2キー同時!Z60="","",SUBSTITUTE(SUBSTITUTE(2キー同時!Z60," ",""),"　","")))</f>
        <v/>
      </c>
      <c r="H252" s="2" t="str">
        <f aca="false">IF($G252="","",2キー同時!$B$58)</f>
        <v/>
      </c>
      <c r="I252" s="2" t="str">
        <f aca="false">IF($G252="","","6")</f>
        <v/>
      </c>
      <c r="J252" s="2" t="str">
        <f aca="false">""</f>
        <v/>
      </c>
      <c r="K252" s="2" t="str">
        <f aca="false">""</f>
        <v/>
      </c>
      <c r="L252" s="2" t="str">
        <f aca="false">IF($G252="","","同時")</f>
        <v/>
      </c>
      <c r="M252" s="2" t="str">
        <f aca="false">IF($G252="","",IF(ISNA(MATCH($G252,個別指定!$A:$A,0)),"行なし",""))</f>
        <v/>
      </c>
      <c r="N252" s="2" t="str">
        <f aca="false">IF($G252="","",IF(COUNTIF($G$2:$G$4460,$G252)&gt;1,"重複",""))</f>
        <v/>
      </c>
    </row>
    <row r="253" customFormat="false" ht="16.5" hidden="false" customHeight="true" outlineLevel="0" collapsed="false">
      <c r="A253" s="2" t="s">
        <v>385</v>
      </c>
      <c r="B253" s="2" t="s">
        <v>390</v>
      </c>
      <c r="C253" s="2" t="s">
        <v>6</v>
      </c>
      <c r="D253" s="2" t="str">
        <f aca="false">IF(2キー同時!$B$58="","",2キー同時!$B$58)</f>
        <v>m</v>
      </c>
      <c r="E253" s="2" t="str">
        <f aca="false">""</f>
        <v/>
      </c>
      <c r="F253" s="2" t="str">
        <f aca="false">""</f>
        <v/>
      </c>
      <c r="G253" s="2" t="str">
        <f aca="false">IF(2キー同時!$B$58="","",IF(2キー同時!AD60="","",SUBSTITUTE(SUBSTITUTE(2キー同時!AD60," ",""),"　","")))</f>
        <v/>
      </c>
      <c r="H253" s="2" t="str">
        <f aca="false">IF($G253="","",2キー同時!$B$58)</f>
        <v/>
      </c>
      <c r="I253" s="2" t="str">
        <f aca="false">IF($G253="","","7")</f>
        <v/>
      </c>
      <c r="J253" s="2" t="str">
        <f aca="false">""</f>
        <v/>
      </c>
      <c r="K253" s="2" t="str">
        <f aca="false">""</f>
        <v/>
      </c>
      <c r="L253" s="2" t="str">
        <f aca="false">IF($G253="","","同時")</f>
        <v/>
      </c>
      <c r="M253" s="2" t="str">
        <f aca="false">IF($G253="","",IF(ISNA(MATCH($G253,個別指定!$A:$A,0)),"行なし",""))</f>
        <v/>
      </c>
      <c r="N253" s="2" t="str">
        <f aca="false">IF($G253="","",IF(COUNTIF($G$2:$G$4460,$G253)&gt;1,"重複",""))</f>
        <v/>
      </c>
    </row>
    <row r="254" customFormat="false" ht="16.5" hidden="false" customHeight="true" outlineLevel="0" collapsed="false">
      <c r="A254" s="2" t="s">
        <v>385</v>
      </c>
      <c r="B254" s="2" t="s">
        <v>390</v>
      </c>
      <c r="C254" s="2" t="s">
        <v>7</v>
      </c>
      <c r="D254" s="2" t="str">
        <f aca="false">IF(2キー同時!$B$58="","",2キー同時!$B$58)</f>
        <v>m</v>
      </c>
      <c r="E254" s="2" t="str">
        <f aca="false">""</f>
        <v/>
      </c>
      <c r="F254" s="2" t="str">
        <f aca="false">""</f>
        <v/>
      </c>
      <c r="G254" s="2" t="str">
        <f aca="false">IF(2キー同時!$B$58="","",IF(2キー同時!AH60="","",SUBSTITUTE(SUBSTITUTE(2キー同時!AH60," ",""),"　","")))</f>
        <v/>
      </c>
      <c r="H254" s="2" t="str">
        <f aca="false">IF($G254="","",2キー同時!$B$58)</f>
        <v/>
      </c>
      <c r="I254" s="2" t="str">
        <f aca="false">IF($G254="","","8")</f>
        <v/>
      </c>
      <c r="J254" s="2" t="str">
        <f aca="false">""</f>
        <v/>
      </c>
      <c r="K254" s="2" t="str">
        <f aca="false">""</f>
        <v/>
      </c>
      <c r="L254" s="2" t="str">
        <f aca="false">IF($G254="","","同時")</f>
        <v/>
      </c>
      <c r="M254" s="2" t="str">
        <f aca="false">IF($G254="","",IF(ISNA(MATCH($G254,個別指定!$A:$A,0)),"行なし",""))</f>
        <v/>
      </c>
      <c r="N254" s="2" t="str">
        <f aca="false">IF($G254="","",IF(COUNTIF($G$2:$G$4460,$G254)&gt;1,"重複",""))</f>
        <v/>
      </c>
    </row>
    <row r="255" customFormat="false" ht="16.5" hidden="false" customHeight="true" outlineLevel="0" collapsed="false">
      <c r="A255" s="2" t="s">
        <v>385</v>
      </c>
      <c r="B255" s="2" t="s">
        <v>390</v>
      </c>
      <c r="C255" s="2" t="s">
        <v>8</v>
      </c>
      <c r="D255" s="2" t="str">
        <f aca="false">IF(2キー同時!$B$58="","",2キー同時!$B$58)</f>
        <v>m</v>
      </c>
      <c r="E255" s="2" t="str">
        <f aca="false">""</f>
        <v/>
      </c>
      <c r="F255" s="2" t="str">
        <f aca="false">""</f>
        <v/>
      </c>
      <c r="G255" s="2" t="str">
        <f aca="false">IF(2キー同時!$B$58="","",IF(2キー同時!AL60="","",SUBSTITUTE(SUBSTITUTE(2キー同時!AL60," ",""),"　","")))</f>
        <v/>
      </c>
      <c r="H255" s="2" t="str">
        <f aca="false">IF($G255="","",2キー同時!$B$58)</f>
        <v/>
      </c>
      <c r="I255" s="2" t="str">
        <f aca="false">IF($G255="","","9")</f>
        <v/>
      </c>
      <c r="J255" s="2" t="str">
        <f aca="false">""</f>
        <v/>
      </c>
      <c r="K255" s="2" t="str">
        <f aca="false">""</f>
        <v/>
      </c>
      <c r="L255" s="2" t="str">
        <f aca="false">IF($G255="","","同時")</f>
        <v/>
      </c>
      <c r="M255" s="2" t="str">
        <f aca="false">IF($G255="","",IF(ISNA(MATCH($G255,個別指定!$A:$A,0)),"行なし",""))</f>
        <v/>
      </c>
      <c r="N255" s="2" t="str">
        <f aca="false">IF($G255="","",IF(COUNTIF($G$2:$G$4460,$G255)&gt;1,"重複",""))</f>
        <v/>
      </c>
    </row>
    <row r="256" customFormat="false" ht="16.5" hidden="false" customHeight="true" outlineLevel="0" collapsed="false">
      <c r="A256" s="2" t="s">
        <v>385</v>
      </c>
      <c r="B256" s="2" t="s">
        <v>390</v>
      </c>
      <c r="C256" s="2" t="s">
        <v>9</v>
      </c>
      <c r="D256" s="2" t="str">
        <f aca="false">IF(2キー同時!$B$58="","",2キー同時!$B$58)</f>
        <v>m</v>
      </c>
      <c r="E256" s="2" t="str">
        <f aca="false">""</f>
        <v/>
      </c>
      <c r="F256" s="2" t="str">
        <f aca="false">""</f>
        <v/>
      </c>
      <c r="G256" s="2" t="str">
        <f aca="false">IF(2キー同時!$B$58="","",IF(2キー同時!AP60="","",SUBSTITUTE(SUBSTITUTE(2キー同時!AP60," ",""),"　","")))</f>
        <v/>
      </c>
      <c r="H256" s="2" t="str">
        <f aca="false">IF($G256="","",2キー同時!$B$58)</f>
        <v/>
      </c>
      <c r="I256" s="2" t="str">
        <f aca="false">IF($G256="","","0")</f>
        <v/>
      </c>
      <c r="J256" s="2" t="str">
        <f aca="false">""</f>
        <v/>
      </c>
      <c r="K256" s="2" t="str">
        <f aca="false">""</f>
        <v/>
      </c>
      <c r="L256" s="2" t="str">
        <f aca="false">IF($G256="","","同時")</f>
        <v/>
      </c>
      <c r="M256" s="2" t="str">
        <f aca="false">IF($G256="","",IF(ISNA(MATCH($G256,個別指定!$A:$A,0)),"行なし",""))</f>
        <v/>
      </c>
      <c r="N256" s="2" t="str">
        <f aca="false">IF($G256="","",IF(COUNTIF($G$2:$G$4460,$G256)&gt;1,"重複",""))</f>
        <v/>
      </c>
    </row>
    <row r="257" customFormat="false" ht="16.5" hidden="false" customHeight="true" outlineLevel="0" collapsed="false">
      <c r="A257" s="2" t="s">
        <v>385</v>
      </c>
      <c r="B257" s="2" t="s">
        <v>390</v>
      </c>
      <c r="C257" s="2" t="s">
        <v>10</v>
      </c>
      <c r="D257" s="2" t="str">
        <f aca="false">IF(2キー同時!$B$58="","",2キー同時!$B$58)</f>
        <v>m</v>
      </c>
      <c r="E257" s="2" t="str">
        <f aca="false">""</f>
        <v/>
      </c>
      <c r="F257" s="2" t="str">
        <f aca="false">""</f>
        <v/>
      </c>
      <c r="G257" s="2" t="str">
        <f aca="false">IF(2キー同時!$B$58="","",IF(2キー同時!AT60="","",SUBSTITUTE(SUBSTITUTE(2キー同時!AT60," ",""),"　","")))</f>
        <v/>
      </c>
      <c r="H257" s="2" t="str">
        <f aca="false">IF($G257="","",2キー同時!$B$58)</f>
        <v/>
      </c>
      <c r="I257" s="2" t="str">
        <f aca="false">IF($G257="","","-")</f>
        <v/>
      </c>
      <c r="J257" s="2" t="str">
        <f aca="false">""</f>
        <v/>
      </c>
      <c r="K257" s="2" t="str">
        <f aca="false">""</f>
        <v/>
      </c>
      <c r="L257" s="2" t="str">
        <f aca="false">IF($G257="","","同時")</f>
        <v/>
      </c>
      <c r="M257" s="2" t="str">
        <f aca="false">IF($G257="","",IF(ISNA(MATCH($G257,個別指定!$A:$A,0)),"行なし",""))</f>
        <v/>
      </c>
      <c r="N257" s="2" t="str">
        <f aca="false">IF($G257="","",IF(COUNTIF($G$2:$G$4460,$G257)&gt;1,"重複",""))</f>
        <v/>
      </c>
    </row>
    <row r="258" customFormat="false" ht="16.5" hidden="false" customHeight="true" outlineLevel="0" collapsed="false">
      <c r="A258" s="2" t="s">
        <v>385</v>
      </c>
      <c r="B258" s="2" t="s">
        <v>390</v>
      </c>
      <c r="C258" s="2" t="s">
        <v>11</v>
      </c>
      <c r="D258" s="2" t="str">
        <f aca="false">IF(2キー同時!$B$58="","",2キー同時!$B$58)</f>
        <v>m</v>
      </c>
      <c r="E258" s="2" t="str">
        <f aca="false">""</f>
        <v/>
      </c>
      <c r="F258" s="2" t="str">
        <f aca="false">""</f>
        <v/>
      </c>
      <c r="G258" s="2" t="str">
        <f aca="false">IF(2キー同時!$B$58="","",IF(2キー同時!AX60="","",SUBSTITUTE(SUBSTITUTE(2キー同時!AX60," ",""),"　","")))</f>
        <v/>
      </c>
      <c r="H258" s="2" t="str">
        <f aca="false">IF($G258="","",2キー同時!$B$58)</f>
        <v/>
      </c>
      <c r="I258" s="2" t="str">
        <f aca="false">IF($G258="","","=")</f>
        <v/>
      </c>
      <c r="J258" s="2" t="str">
        <f aca="false">""</f>
        <v/>
      </c>
      <c r="K258" s="2" t="str">
        <f aca="false">""</f>
        <v/>
      </c>
      <c r="L258" s="2" t="str">
        <f aca="false">IF($G258="","","同時")</f>
        <v/>
      </c>
      <c r="M258" s="2" t="str">
        <f aca="false">IF($G258="","",IF(ISNA(MATCH($G258,個別指定!$A:$A,0)),"行なし",""))</f>
        <v/>
      </c>
      <c r="N258" s="2" t="str">
        <f aca="false">IF($G258="","",IF(COUNTIF($G$2:$G$4460,$G258)&gt;1,"重複",""))</f>
        <v/>
      </c>
    </row>
    <row r="259" customFormat="false" ht="16.5" hidden="false" customHeight="true" outlineLevel="0" collapsed="false">
      <c r="A259" s="2" t="s">
        <v>385</v>
      </c>
      <c r="B259" s="2" t="s">
        <v>390</v>
      </c>
      <c r="C259" s="2" t="s">
        <v>12</v>
      </c>
      <c r="D259" s="2" t="str">
        <f aca="false">IF(2キー同時!$B$58="","",2キー同時!$B$58)</f>
        <v>m</v>
      </c>
      <c r="E259" s="2" t="str">
        <f aca="false">""</f>
        <v/>
      </c>
      <c r="F259" s="2" t="str">
        <f aca="false">""</f>
        <v/>
      </c>
      <c r="G259" s="2" t="str">
        <f aca="false">IF(2キー同時!$B$58="","",IF(2キー同時!H62="","",SUBSTITUTE(SUBSTITUTE(2キー同時!H62," ",""),"　","")))</f>
        <v/>
      </c>
      <c r="H259" s="2" t="str">
        <f aca="false">IF($G259="","",2キー同時!$B$58)</f>
        <v/>
      </c>
      <c r="I259" s="2" t="str">
        <f aca="false">IF($G259="","","q")</f>
        <v/>
      </c>
      <c r="J259" s="2" t="str">
        <f aca="false">""</f>
        <v/>
      </c>
      <c r="K259" s="2" t="str">
        <f aca="false">""</f>
        <v/>
      </c>
      <c r="L259" s="2" t="str">
        <f aca="false">IF($G259="","","同時")</f>
        <v/>
      </c>
      <c r="M259" s="2" t="str">
        <f aca="false">IF($G259="","",IF(ISNA(MATCH($G259,個別指定!$A:$A,0)),"行なし",""))</f>
        <v/>
      </c>
      <c r="N259" s="2" t="str">
        <f aca="false">IF($G259="","",IF(COUNTIF($G$2:$G$4460,$G259)&gt;1,"重複",""))</f>
        <v/>
      </c>
    </row>
    <row r="260" customFormat="false" ht="16.5" hidden="false" customHeight="true" outlineLevel="0" collapsed="false">
      <c r="A260" s="2" t="s">
        <v>385</v>
      </c>
      <c r="B260" s="2" t="s">
        <v>390</v>
      </c>
      <c r="C260" s="2" t="s">
        <v>13</v>
      </c>
      <c r="D260" s="2" t="str">
        <f aca="false">IF(2キー同時!$B$58="","",2キー同時!$B$58)</f>
        <v>m</v>
      </c>
      <c r="E260" s="2" t="str">
        <f aca="false">""</f>
        <v/>
      </c>
      <c r="F260" s="2" t="str">
        <f aca="false">""</f>
        <v/>
      </c>
      <c r="G260" s="2" t="str">
        <f aca="false">IF(2キー同時!$B$58="","",IF(2キー同時!L62="","",SUBSTITUTE(SUBSTITUTE(2キー同時!L62," ",""),"　","")))</f>
        <v/>
      </c>
      <c r="H260" s="2" t="str">
        <f aca="false">IF($G260="","",2キー同時!$B$58)</f>
        <v/>
      </c>
      <c r="I260" s="2" t="str">
        <f aca="false">IF($G260="","","w")</f>
        <v/>
      </c>
      <c r="J260" s="2" t="str">
        <f aca="false">""</f>
        <v/>
      </c>
      <c r="K260" s="2" t="str">
        <f aca="false">""</f>
        <v/>
      </c>
      <c r="L260" s="2" t="str">
        <f aca="false">IF($G260="","","同時")</f>
        <v/>
      </c>
      <c r="M260" s="2" t="str">
        <f aca="false">IF($G260="","",IF(ISNA(MATCH($G260,個別指定!$A:$A,0)),"行なし",""))</f>
        <v/>
      </c>
      <c r="N260" s="2" t="str">
        <f aca="false">IF($G260="","",IF(COUNTIF($G$2:$G$4460,$G260)&gt;1,"重複",""))</f>
        <v/>
      </c>
    </row>
    <row r="261" customFormat="false" ht="16.5" hidden="false" customHeight="true" outlineLevel="0" collapsed="false">
      <c r="A261" s="2" t="s">
        <v>385</v>
      </c>
      <c r="B261" s="2" t="s">
        <v>390</v>
      </c>
      <c r="C261" s="2" t="s">
        <v>14</v>
      </c>
      <c r="D261" s="2" t="str">
        <f aca="false">IF(2キー同時!$B$58="","",2キー同時!$B$58)</f>
        <v>m</v>
      </c>
      <c r="E261" s="2" t="str">
        <f aca="false">""</f>
        <v/>
      </c>
      <c r="F261" s="2" t="str">
        <f aca="false">""</f>
        <v/>
      </c>
      <c r="G261" s="2" t="str">
        <f aca="false">IF(2キー同時!$B$58="","",IF(2キー同時!P62="","",SUBSTITUTE(SUBSTITUTE(2キー同時!P62," ",""),"　","")))</f>
        <v/>
      </c>
      <c r="H261" s="2" t="str">
        <f aca="false">IF($G261="","",2キー同時!$B$58)</f>
        <v/>
      </c>
      <c r="I261" s="2" t="str">
        <f aca="false">IF($G261="","","e")</f>
        <v/>
      </c>
      <c r="J261" s="2" t="str">
        <f aca="false">""</f>
        <v/>
      </c>
      <c r="K261" s="2" t="str">
        <f aca="false">""</f>
        <v/>
      </c>
      <c r="L261" s="2" t="str">
        <f aca="false">IF($G261="","","同時")</f>
        <v/>
      </c>
      <c r="M261" s="2" t="str">
        <f aca="false">IF($G261="","",IF(ISNA(MATCH($G261,個別指定!$A:$A,0)),"行なし",""))</f>
        <v/>
      </c>
      <c r="N261" s="2" t="str">
        <f aca="false">IF($G261="","",IF(COUNTIF($G$2:$G$4460,$G261)&gt;1,"重複",""))</f>
        <v/>
      </c>
    </row>
    <row r="262" customFormat="false" ht="16.5" hidden="false" customHeight="true" outlineLevel="0" collapsed="false">
      <c r="A262" s="2" t="s">
        <v>385</v>
      </c>
      <c r="B262" s="2" t="s">
        <v>390</v>
      </c>
      <c r="C262" s="2" t="s">
        <v>15</v>
      </c>
      <c r="D262" s="2" t="str">
        <f aca="false">IF(2キー同時!$B$58="","",2キー同時!$B$58)</f>
        <v>m</v>
      </c>
      <c r="E262" s="2" t="str">
        <f aca="false">""</f>
        <v/>
      </c>
      <c r="F262" s="2" t="str">
        <f aca="false">""</f>
        <v/>
      </c>
      <c r="G262" s="2" t="str">
        <f aca="false">IF(2キー同時!$B$58="","",IF(2キー同時!T62="","",SUBSTITUTE(SUBSTITUTE(2キー同時!T62," ",""),"　","")))</f>
        <v/>
      </c>
      <c r="H262" s="2" t="str">
        <f aca="false">IF($G262="","",2キー同時!$B$58)</f>
        <v/>
      </c>
      <c r="I262" s="2" t="str">
        <f aca="false">IF($G262="","","r")</f>
        <v/>
      </c>
      <c r="J262" s="2" t="str">
        <f aca="false">""</f>
        <v/>
      </c>
      <c r="K262" s="2" t="str">
        <f aca="false">""</f>
        <v/>
      </c>
      <c r="L262" s="2" t="str">
        <f aca="false">IF($G262="","","同時")</f>
        <v/>
      </c>
      <c r="M262" s="2" t="str">
        <f aca="false">IF($G262="","",IF(ISNA(MATCH($G262,個別指定!$A:$A,0)),"行なし",""))</f>
        <v/>
      </c>
      <c r="N262" s="2" t="str">
        <f aca="false">IF($G262="","",IF(COUNTIF($G$2:$G$4460,$G262)&gt;1,"重複",""))</f>
        <v/>
      </c>
    </row>
    <row r="263" customFormat="false" ht="16.5" hidden="false" customHeight="true" outlineLevel="0" collapsed="false">
      <c r="A263" s="2" t="s">
        <v>385</v>
      </c>
      <c r="B263" s="2" t="s">
        <v>390</v>
      </c>
      <c r="C263" s="2" t="s">
        <v>16</v>
      </c>
      <c r="D263" s="2" t="str">
        <f aca="false">IF(2キー同時!$B$58="","",2キー同時!$B$58)</f>
        <v>m</v>
      </c>
      <c r="E263" s="2" t="str">
        <f aca="false">""</f>
        <v/>
      </c>
      <c r="F263" s="2" t="str">
        <f aca="false">""</f>
        <v/>
      </c>
      <c r="G263" s="2" t="str">
        <f aca="false">IF(2キー同時!$B$58="","",IF(2キー同時!X62="","",SUBSTITUTE(SUBSTITUTE(2キー同時!X62," ",""),"　","")))</f>
        <v/>
      </c>
      <c r="H263" s="2" t="str">
        <f aca="false">IF($G263="","",2キー同時!$B$58)</f>
        <v/>
      </c>
      <c r="I263" s="2" t="str">
        <f aca="false">IF($G263="","","t")</f>
        <v/>
      </c>
      <c r="J263" s="2" t="str">
        <f aca="false">""</f>
        <v/>
      </c>
      <c r="K263" s="2" t="str">
        <f aca="false">""</f>
        <v/>
      </c>
      <c r="L263" s="2" t="str">
        <f aca="false">IF($G263="","","同時")</f>
        <v/>
      </c>
      <c r="M263" s="2" t="str">
        <f aca="false">IF($G263="","",IF(ISNA(MATCH($G263,個別指定!$A:$A,0)),"行なし",""))</f>
        <v/>
      </c>
      <c r="N263" s="2" t="str">
        <f aca="false">IF($G263="","",IF(COUNTIF($G$2:$G$4460,$G263)&gt;1,"重複",""))</f>
        <v/>
      </c>
    </row>
    <row r="264" customFormat="false" ht="16.5" hidden="false" customHeight="true" outlineLevel="0" collapsed="false">
      <c r="A264" s="2" t="s">
        <v>385</v>
      </c>
      <c r="B264" s="2" t="s">
        <v>390</v>
      </c>
      <c r="C264" s="2" t="s">
        <v>17</v>
      </c>
      <c r="D264" s="2" t="str">
        <f aca="false">IF(2キー同時!$B$58="","",2キー同時!$B$58)</f>
        <v>m</v>
      </c>
      <c r="E264" s="2" t="str">
        <f aca="false">""</f>
        <v/>
      </c>
      <c r="F264" s="2" t="str">
        <f aca="false">""</f>
        <v/>
      </c>
      <c r="G264" s="2" t="str">
        <f aca="false">IF(2キー同時!$B$58="","",IF(2キー同時!AB62="","",SUBSTITUTE(SUBSTITUTE(2キー同時!AB62," ",""),"　","")))</f>
        <v/>
      </c>
      <c r="H264" s="2" t="str">
        <f aca="false">IF($G264="","",2キー同時!$B$58)</f>
        <v/>
      </c>
      <c r="I264" s="2" t="str">
        <f aca="false">IF($G264="","","y")</f>
        <v/>
      </c>
      <c r="J264" s="2" t="str">
        <f aca="false">""</f>
        <v/>
      </c>
      <c r="K264" s="2" t="str">
        <f aca="false">""</f>
        <v/>
      </c>
      <c r="L264" s="2" t="str">
        <f aca="false">IF($G264="","","同時")</f>
        <v/>
      </c>
      <c r="M264" s="2" t="str">
        <f aca="false">IF($G264="","",IF(ISNA(MATCH($G264,個別指定!$A:$A,0)),"行なし",""))</f>
        <v/>
      </c>
      <c r="N264" s="2" t="str">
        <f aca="false">IF($G264="","",IF(COUNTIF($G$2:$G$4460,$G264)&gt;1,"重複",""))</f>
        <v/>
      </c>
    </row>
    <row r="265" customFormat="false" ht="16.5" hidden="false" customHeight="true" outlineLevel="0" collapsed="false">
      <c r="A265" s="2" t="s">
        <v>385</v>
      </c>
      <c r="B265" s="2" t="s">
        <v>390</v>
      </c>
      <c r="C265" s="2" t="s">
        <v>18</v>
      </c>
      <c r="D265" s="2" t="str">
        <f aca="false">IF(2キー同時!$B$58="","",2キー同時!$B$58)</f>
        <v>m</v>
      </c>
      <c r="E265" s="2" t="str">
        <f aca="false">""</f>
        <v/>
      </c>
      <c r="F265" s="2" t="str">
        <f aca="false">""</f>
        <v/>
      </c>
      <c r="G265" s="2" t="str">
        <f aca="false">IF(2キー同時!$B$58="","",IF(2キー同時!AF62="","",SUBSTITUTE(SUBSTITUTE(2キー同時!AF62," ",""),"　","")))</f>
        <v/>
      </c>
      <c r="H265" s="2" t="str">
        <f aca="false">IF($G265="","",2キー同時!$B$58)</f>
        <v/>
      </c>
      <c r="I265" s="2" t="str">
        <f aca="false">IF($G265="","","u")</f>
        <v/>
      </c>
      <c r="J265" s="2" t="str">
        <f aca="false">""</f>
        <v/>
      </c>
      <c r="K265" s="2" t="str">
        <f aca="false">""</f>
        <v/>
      </c>
      <c r="L265" s="2" t="str">
        <f aca="false">IF($G265="","","同時")</f>
        <v/>
      </c>
      <c r="M265" s="2" t="str">
        <f aca="false">IF($G265="","",IF(ISNA(MATCH($G265,個別指定!$A:$A,0)),"行なし",""))</f>
        <v/>
      </c>
      <c r="N265" s="2" t="str">
        <f aca="false">IF($G265="","",IF(COUNTIF($G$2:$G$4460,$G265)&gt;1,"重複",""))</f>
        <v/>
      </c>
    </row>
    <row r="266" customFormat="false" ht="16.5" hidden="false" customHeight="true" outlineLevel="0" collapsed="false">
      <c r="A266" s="2" t="s">
        <v>385</v>
      </c>
      <c r="B266" s="2" t="s">
        <v>390</v>
      </c>
      <c r="C266" s="2" t="s">
        <v>19</v>
      </c>
      <c r="D266" s="2" t="str">
        <f aca="false">IF(2キー同時!$B$58="","",2キー同時!$B$58)</f>
        <v>m</v>
      </c>
      <c r="E266" s="2" t="str">
        <f aca="false">""</f>
        <v/>
      </c>
      <c r="F266" s="2" t="str">
        <f aca="false">""</f>
        <v/>
      </c>
      <c r="G266" s="2" t="str">
        <f aca="false">IF(2キー同時!$B$58="","",IF(2キー同時!AJ62="","",SUBSTITUTE(SUBSTITUTE(2キー同時!AJ62," ",""),"　","")))</f>
        <v/>
      </c>
      <c r="H266" s="2" t="str">
        <f aca="false">IF($G266="","",2キー同時!$B$58)</f>
        <v/>
      </c>
      <c r="I266" s="2" t="str">
        <f aca="false">IF($G266="","","i")</f>
        <v/>
      </c>
      <c r="J266" s="2" t="str">
        <f aca="false">""</f>
        <v/>
      </c>
      <c r="K266" s="2" t="str">
        <f aca="false">""</f>
        <v/>
      </c>
      <c r="L266" s="2" t="str">
        <f aca="false">IF($G266="","","同時")</f>
        <v/>
      </c>
      <c r="M266" s="2" t="str">
        <f aca="false">IF($G266="","",IF(ISNA(MATCH($G266,個別指定!$A:$A,0)),"行なし",""))</f>
        <v/>
      </c>
      <c r="N266" s="2" t="str">
        <f aca="false">IF($G266="","",IF(COUNTIF($G$2:$G$4460,$G266)&gt;1,"重複",""))</f>
        <v/>
      </c>
    </row>
    <row r="267" customFormat="false" ht="16.5" hidden="false" customHeight="true" outlineLevel="0" collapsed="false">
      <c r="A267" s="2" t="s">
        <v>385</v>
      </c>
      <c r="B267" s="2" t="s">
        <v>390</v>
      </c>
      <c r="C267" s="2" t="s">
        <v>20</v>
      </c>
      <c r="D267" s="2" t="str">
        <f aca="false">IF(2キー同時!$B$58="","",2キー同時!$B$58)</f>
        <v>m</v>
      </c>
      <c r="E267" s="2" t="str">
        <f aca="false">""</f>
        <v/>
      </c>
      <c r="F267" s="2" t="str">
        <f aca="false">""</f>
        <v/>
      </c>
      <c r="G267" s="2" t="str">
        <f aca="false">IF(2キー同時!$B$58="","",IF(2キー同時!AN62="","",SUBSTITUTE(SUBSTITUTE(2キー同時!AN62," ",""),"　","")))</f>
        <v/>
      </c>
      <c r="H267" s="2" t="str">
        <f aca="false">IF($G267="","",2キー同時!$B$58)</f>
        <v/>
      </c>
      <c r="I267" s="2" t="str">
        <f aca="false">IF($G267="","","o")</f>
        <v/>
      </c>
      <c r="J267" s="2" t="str">
        <f aca="false">""</f>
        <v/>
      </c>
      <c r="K267" s="2" t="str">
        <f aca="false">""</f>
        <v/>
      </c>
      <c r="L267" s="2" t="str">
        <f aca="false">IF($G267="","","同時")</f>
        <v/>
      </c>
      <c r="M267" s="2" t="str">
        <f aca="false">IF($G267="","",IF(ISNA(MATCH($G267,個別指定!$A:$A,0)),"行なし",""))</f>
        <v/>
      </c>
      <c r="N267" s="2" t="str">
        <f aca="false">IF($G267="","",IF(COUNTIF($G$2:$G$4460,$G267)&gt;1,"重複",""))</f>
        <v/>
      </c>
    </row>
    <row r="268" customFormat="false" ht="16.5" hidden="false" customHeight="true" outlineLevel="0" collapsed="false">
      <c r="A268" s="2" t="s">
        <v>385</v>
      </c>
      <c r="B268" s="2" t="s">
        <v>390</v>
      </c>
      <c r="C268" s="2" t="s">
        <v>21</v>
      </c>
      <c r="D268" s="2" t="str">
        <f aca="false">IF(2キー同時!$B$58="","",2キー同時!$B$58)</f>
        <v>m</v>
      </c>
      <c r="E268" s="2" t="str">
        <f aca="false">""</f>
        <v/>
      </c>
      <c r="F268" s="2" t="str">
        <f aca="false">""</f>
        <v/>
      </c>
      <c r="G268" s="2" t="str">
        <f aca="false">IF(2キー同時!$B$58="","",IF(2キー同時!AR62="","",SUBSTITUTE(SUBSTITUTE(2キー同時!AR62," ",""),"　","")))</f>
        <v/>
      </c>
      <c r="H268" s="2" t="str">
        <f aca="false">IF($G268="","",2キー同時!$B$58)</f>
        <v/>
      </c>
      <c r="I268" s="2" t="str">
        <f aca="false">IF($G268="","","p")</f>
        <v/>
      </c>
      <c r="J268" s="2" t="str">
        <f aca="false">""</f>
        <v/>
      </c>
      <c r="K268" s="2" t="str">
        <f aca="false">""</f>
        <v/>
      </c>
      <c r="L268" s="2" t="str">
        <f aca="false">IF($G268="","","同時")</f>
        <v/>
      </c>
      <c r="M268" s="2" t="str">
        <f aca="false">IF($G268="","",IF(ISNA(MATCH($G268,個別指定!$A:$A,0)),"行なし",""))</f>
        <v/>
      </c>
      <c r="N268" s="2" t="str">
        <f aca="false">IF($G268="","",IF(COUNTIF($G$2:$G$4460,$G268)&gt;1,"重複",""))</f>
        <v/>
      </c>
    </row>
    <row r="269" customFormat="false" ht="16.5" hidden="false" customHeight="true" outlineLevel="0" collapsed="false">
      <c r="A269" s="2" t="s">
        <v>385</v>
      </c>
      <c r="B269" s="2" t="s">
        <v>390</v>
      </c>
      <c r="C269" s="2" t="s">
        <v>22</v>
      </c>
      <c r="D269" s="2" t="str">
        <f aca="false">IF(2キー同時!$B$58="","",2キー同時!$B$58)</f>
        <v>m</v>
      </c>
      <c r="E269" s="2" t="str">
        <f aca="false">""</f>
        <v/>
      </c>
      <c r="F269" s="2" t="str">
        <f aca="false">""</f>
        <v/>
      </c>
      <c r="G269" s="2" t="str">
        <f aca="false">IF(2キー同時!$B$58="","",IF(2キー同時!AV62="","",SUBSTITUTE(SUBSTITUTE(2キー同時!AV62," ",""),"　","")))</f>
        <v/>
      </c>
      <c r="H269" s="2" t="str">
        <f aca="false">IF($G269="","",2キー同時!$B$58)</f>
        <v/>
      </c>
      <c r="I269" s="2" t="str">
        <f aca="false">IF($G269="","","[")</f>
        <v/>
      </c>
      <c r="J269" s="2" t="str">
        <f aca="false">""</f>
        <v/>
      </c>
      <c r="K269" s="2" t="str">
        <f aca="false">""</f>
        <v/>
      </c>
      <c r="L269" s="2" t="str">
        <f aca="false">IF($G269="","","同時")</f>
        <v/>
      </c>
      <c r="M269" s="2" t="str">
        <f aca="false">IF($G269="","",IF(ISNA(MATCH($G269,個別指定!$A:$A,0)),"行なし",""))</f>
        <v/>
      </c>
      <c r="N269" s="2" t="str">
        <f aca="false">IF($G269="","",IF(COUNTIF($G$2:$G$4460,$G269)&gt;1,"重複",""))</f>
        <v/>
      </c>
    </row>
    <row r="270" customFormat="false" ht="16.5" hidden="false" customHeight="true" outlineLevel="0" collapsed="false">
      <c r="A270" s="2" t="s">
        <v>385</v>
      </c>
      <c r="B270" s="2" t="s">
        <v>390</v>
      </c>
      <c r="C270" s="2" t="s">
        <v>23</v>
      </c>
      <c r="D270" s="2" t="str">
        <f aca="false">IF(2キー同時!$B$58="","",2キー同時!$B$58)</f>
        <v>m</v>
      </c>
      <c r="E270" s="2" t="str">
        <f aca="false">""</f>
        <v/>
      </c>
      <c r="F270" s="2" t="str">
        <f aca="false">""</f>
        <v/>
      </c>
      <c r="G270" s="2" t="str">
        <f aca="false">IF(2キー同時!$B$58="","",IF(2キー同時!AZ62="","",SUBSTITUTE(SUBSTITUTE(2キー同時!AZ62," ",""),"　","")))</f>
        <v/>
      </c>
      <c r="H270" s="2" t="str">
        <f aca="false">IF($G270="","",2キー同時!$B$58)</f>
        <v/>
      </c>
      <c r="I270" s="2" t="str">
        <f aca="false">IF($G270="","","]")</f>
        <v/>
      </c>
      <c r="J270" s="2" t="str">
        <f aca="false">""</f>
        <v/>
      </c>
      <c r="K270" s="2" t="str">
        <f aca="false">""</f>
        <v/>
      </c>
      <c r="L270" s="2" t="str">
        <f aca="false">IF($G270="","","同時")</f>
        <v/>
      </c>
      <c r="M270" s="2" t="str">
        <f aca="false">IF($G270="","",IF(ISNA(MATCH($G270,個別指定!$A:$A,0)),"行なし",""))</f>
        <v/>
      </c>
      <c r="N270" s="2" t="str">
        <f aca="false">IF($G270="","",IF(COUNTIF($G$2:$G$4460,$G270)&gt;1,"重複",""))</f>
        <v/>
      </c>
    </row>
    <row r="271" customFormat="false" ht="16.5" hidden="false" customHeight="true" outlineLevel="0" collapsed="false">
      <c r="A271" s="2" t="s">
        <v>385</v>
      </c>
      <c r="B271" s="2" t="s">
        <v>390</v>
      </c>
      <c r="C271" s="2" t="s">
        <v>24</v>
      </c>
      <c r="D271" s="2" t="str">
        <f aca="false">IF(2キー同時!$B$58="","",2キー同時!$B$58)</f>
        <v>m</v>
      </c>
      <c r="E271" s="2" t="str">
        <f aca="false">""</f>
        <v/>
      </c>
      <c r="F271" s="2" t="str">
        <f aca="false">""</f>
        <v/>
      </c>
      <c r="G271" s="2" t="str">
        <f aca="false">IF(2キー同時!$B$58="","",IF(2キー同時!I64="","",SUBSTITUTE(SUBSTITUTE(2キー同時!I64," ",""),"　","")))</f>
        <v/>
      </c>
      <c r="H271" s="2" t="str">
        <f aca="false">IF($G271="","",2キー同時!$B$58)</f>
        <v/>
      </c>
      <c r="I271" s="2" t="str">
        <f aca="false">IF($G271="","","a")</f>
        <v/>
      </c>
      <c r="J271" s="2" t="str">
        <f aca="false">""</f>
        <v/>
      </c>
      <c r="K271" s="2" t="str">
        <f aca="false">""</f>
        <v/>
      </c>
      <c r="L271" s="2" t="str">
        <f aca="false">IF($G271="","","同時")</f>
        <v/>
      </c>
      <c r="M271" s="2" t="str">
        <f aca="false">IF($G271="","",IF(ISNA(MATCH($G271,個別指定!$A:$A,0)),"行なし",""))</f>
        <v/>
      </c>
      <c r="N271" s="2" t="str">
        <f aca="false">IF($G271="","",IF(COUNTIF($G$2:$G$4460,$G271)&gt;1,"重複",""))</f>
        <v/>
      </c>
    </row>
    <row r="272" customFormat="false" ht="16.5" hidden="false" customHeight="true" outlineLevel="0" collapsed="false">
      <c r="A272" s="2" t="s">
        <v>385</v>
      </c>
      <c r="B272" s="2" t="s">
        <v>390</v>
      </c>
      <c r="C272" s="2" t="s">
        <v>25</v>
      </c>
      <c r="D272" s="2" t="str">
        <f aca="false">IF(2キー同時!$B$58="","",2キー同時!$B$58)</f>
        <v>m</v>
      </c>
      <c r="E272" s="2" t="str">
        <f aca="false">""</f>
        <v/>
      </c>
      <c r="F272" s="2" t="str">
        <f aca="false">""</f>
        <v/>
      </c>
      <c r="G272" s="2" t="str">
        <f aca="false">IF(2キー同時!$B$58="","",IF(2キー同時!M64="","",SUBSTITUTE(SUBSTITUTE(2キー同時!M64," ",""),"　","")))</f>
        <v/>
      </c>
      <c r="H272" s="2" t="str">
        <f aca="false">IF($G272="","",2キー同時!$B$58)</f>
        <v/>
      </c>
      <c r="I272" s="2" t="str">
        <f aca="false">IF($G272="","","s")</f>
        <v/>
      </c>
      <c r="J272" s="2" t="str">
        <f aca="false">""</f>
        <v/>
      </c>
      <c r="K272" s="2" t="str">
        <f aca="false">""</f>
        <v/>
      </c>
      <c r="L272" s="2" t="str">
        <f aca="false">IF($G272="","","同時")</f>
        <v/>
      </c>
      <c r="M272" s="2" t="str">
        <f aca="false">IF($G272="","",IF(ISNA(MATCH($G272,個別指定!$A:$A,0)),"行なし",""))</f>
        <v/>
      </c>
      <c r="N272" s="2" t="str">
        <f aca="false">IF($G272="","",IF(COUNTIF($G$2:$G$4460,$G272)&gt;1,"重複",""))</f>
        <v/>
      </c>
    </row>
    <row r="273" customFormat="false" ht="16.5" hidden="false" customHeight="true" outlineLevel="0" collapsed="false">
      <c r="A273" s="2" t="s">
        <v>385</v>
      </c>
      <c r="B273" s="2" t="s">
        <v>390</v>
      </c>
      <c r="C273" s="2" t="s">
        <v>26</v>
      </c>
      <c r="D273" s="2" t="str">
        <f aca="false">IF(2キー同時!$B$58="","",2キー同時!$B$58)</f>
        <v>m</v>
      </c>
      <c r="E273" s="2" t="str">
        <f aca="false">""</f>
        <v/>
      </c>
      <c r="F273" s="2" t="str">
        <f aca="false">""</f>
        <v/>
      </c>
      <c r="G273" s="2" t="str">
        <f aca="false">IF(2キー同時!$B$58="","",IF(2キー同時!Q64="","",SUBSTITUTE(SUBSTITUTE(2キー同時!Q64," ",""),"　","")))</f>
        <v/>
      </c>
      <c r="H273" s="2" t="str">
        <f aca="false">IF($G273="","",2キー同時!$B$58)</f>
        <v/>
      </c>
      <c r="I273" s="2" t="str">
        <f aca="false">IF($G273="","","d")</f>
        <v/>
      </c>
      <c r="J273" s="2" t="str">
        <f aca="false">""</f>
        <v/>
      </c>
      <c r="K273" s="2" t="str">
        <f aca="false">""</f>
        <v/>
      </c>
      <c r="L273" s="2" t="str">
        <f aca="false">IF($G273="","","同時")</f>
        <v/>
      </c>
      <c r="M273" s="2" t="str">
        <f aca="false">IF($G273="","",IF(ISNA(MATCH($G273,個別指定!$A:$A,0)),"行なし",""))</f>
        <v/>
      </c>
      <c r="N273" s="2" t="str">
        <f aca="false">IF($G273="","",IF(COUNTIF($G$2:$G$4460,$G273)&gt;1,"重複",""))</f>
        <v/>
      </c>
    </row>
    <row r="274" customFormat="false" ht="16.5" hidden="false" customHeight="true" outlineLevel="0" collapsed="false">
      <c r="A274" s="2" t="s">
        <v>385</v>
      </c>
      <c r="B274" s="2" t="s">
        <v>390</v>
      </c>
      <c r="C274" s="2" t="s">
        <v>27</v>
      </c>
      <c r="D274" s="2" t="str">
        <f aca="false">IF(2キー同時!$B$58="","",2キー同時!$B$58)</f>
        <v>m</v>
      </c>
      <c r="E274" s="2" t="str">
        <f aca="false">""</f>
        <v/>
      </c>
      <c r="F274" s="2" t="str">
        <f aca="false">""</f>
        <v/>
      </c>
      <c r="G274" s="2" t="str">
        <f aca="false">IF(2キー同時!$B$58="","",IF(2キー同時!U64="","",SUBSTITUTE(SUBSTITUTE(2キー同時!U64," ",""),"　","")))</f>
        <v/>
      </c>
      <c r="H274" s="2" t="str">
        <f aca="false">IF($G274="","",2キー同時!$B$58)</f>
        <v/>
      </c>
      <c r="I274" s="2" t="str">
        <f aca="false">IF($G274="","","f")</f>
        <v/>
      </c>
      <c r="J274" s="2" t="str">
        <f aca="false">""</f>
        <v/>
      </c>
      <c r="K274" s="2" t="str">
        <f aca="false">""</f>
        <v/>
      </c>
      <c r="L274" s="2" t="str">
        <f aca="false">IF($G274="","","同時")</f>
        <v/>
      </c>
      <c r="M274" s="2" t="str">
        <f aca="false">IF($G274="","",IF(ISNA(MATCH($G274,個別指定!$A:$A,0)),"行なし",""))</f>
        <v/>
      </c>
      <c r="N274" s="2" t="str">
        <f aca="false">IF($G274="","",IF(COUNTIF($G$2:$G$4460,$G274)&gt;1,"重複",""))</f>
        <v/>
      </c>
    </row>
    <row r="275" customFormat="false" ht="16.5" hidden="false" customHeight="true" outlineLevel="0" collapsed="false">
      <c r="A275" s="2" t="s">
        <v>385</v>
      </c>
      <c r="B275" s="2" t="s">
        <v>390</v>
      </c>
      <c r="C275" s="2" t="s">
        <v>28</v>
      </c>
      <c r="D275" s="2" t="str">
        <f aca="false">IF(2キー同時!$B$58="","",2キー同時!$B$58)</f>
        <v>m</v>
      </c>
      <c r="E275" s="2" t="str">
        <f aca="false">""</f>
        <v/>
      </c>
      <c r="F275" s="2" t="str">
        <f aca="false">""</f>
        <v/>
      </c>
      <c r="G275" s="2" t="str">
        <f aca="false">IF(2キー同時!$B$58="","",IF(2キー同時!Y64="","",SUBSTITUTE(SUBSTITUTE(2キー同時!Y64," ",""),"　","")))</f>
        <v/>
      </c>
      <c r="H275" s="2" t="str">
        <f aca="false">IF($G275="","",2キー同時!$B$58)</f>
        <v/>
      </c>
      <c r="I275" s="2" t="str">
        <f aca="false">IF($G275="","","g")</f>
        <v/>
      </c>
      <c r="J275" s="2" t="str">
        <f aca="false">""</f>
        <v/>
      </c>
      <c r="K275" s="2" t="str">
        <f aca="false">""</f>
        <v/>
      </c>
      <c r="L275" s="2" t="str">
        <f aca="false">IF($G275="","","同時")</f>
        <v/>
      </c>
      <c r="M275" s="2" t="str">
        <f aca="false">IF($G275="","",IF(ISNA(MATCH($G275,個別指定!$A:$A,0)),"行なし",""))</f>
        <v/>
      </c>
      <c r="N275" s="2" t="str">
        <f aca="false">IF($G275="","",IF(COUNTIF($G$2:$G$4460,$G275)&gt;1,"重複",""))</f>
        <v/>
      </c>
    </row>
    <row r="276" customFormat="false" ht="16.5" hidden="false" customHeight="true" outlineLevel="0" collapsed="false">
      <c r="A276" s="2" t="s">
        <v>385</v>
      </c>
      <c r="B276" s="2" t="s">
        <v>390</v>
      </c>
      <c r="C276" s="2" t="s">
        <v>29</v>
      </c>
      <c r="D276" s="2" t="str">
        <f aca="false">IF(2キー同時!$B$58="","",2キー同時!$B$58)</f>
        <v>m</v>
      </c>
      <c r="E276" s="2" t="str">
        <f aca="false">""</f>
        <v/>
      </c>
      <c r="F276" s="2" t="str">
        <f aca="false">""</f>
        <v/>
      </c>
      <c r="G276" s="2" t="str">
        <f aca="false">IF(2キー同時!$B$58="","",IF(2キー同時!AC64="","",SUBSTITUTE(SUBSTITUTE(2キー同時!AC64," ",""),"　","")))</f>
        <v/>
      </c>
      <c r="H276" s="2" t="str">
        <f aca="false">IF($G276="","",2キー同時!$B$58)</f>
        <v/>
      </c>
      <c r="I276" s="2" t="str">
        <f aca="false">IF($G276="","","h")</f>
        <v/>
      </c>
      <c r="J276" s="2" t="str">
        <f aca="false">""</f>
        <v/>
      </c>
      <c r="K276" s="2" t="str">
        <f aca="false">""</f>
        <v/>
      </c>
      <c r="L276" s="2" t="str">
        <f aca="false">IF($G276="","","同時")</f>
        <v/>
      </c>
      <c r="M276" s="2" t="str">
        <f aca="false">IF($G276="","",IF(ISNA(MATCH($G276,個別指定!$A:$A,0)),"行なし",""))</f>
        <v/>
      </c>
      <c r="N276" s="2" t="str">
        <f aca="false">IF($G276="","",IF(COUNTIF($G$2:$G$4460,$G276)&gt;1,"重複",""))</f>
        <v/>
      </c>
    </row>
    <row r="277" customFormat="false" ht="16.5" hidden="false" customHeight="true" outlineLevel="0" collapsed="false">
      <c r="A277" s="2" t="s">
        <v>385</v>
      </c>
      <c r="B277" s="2" t="s">
        <v>390</v>
      </c>
      <c r="C277" s="2" t="s">
        <v>30</v>
      </c>
      <c r="D277" s="2" t="str">
        <f aca="false">IF(2キー同時!$B$58="","",2キー同時!$B$58)</f>
        <v>m</v>
      </c>
      <c r="E277" s="2" t="str">
        <f aca="false">""</f>
        <v/>
      </c>
      <c r="F277" s="2" t="str">
        <f aca="false">""</f>
        <v/>
      </c>
      <c r="G277" s="2" t="str">
        <f aca="false">IF(2キー同時!$B$58="","",IF(2キー同時!AG64="","",SUBSTITUTE(SUBSTITUTE(2キー同時!AG64," ",""),"　","")))</f>
        <v/>
      </c>
      <c r="H277" s="2" t="str">
        <f aca="false">IF($G277="","",2キー同時!$B$58)</f>
        <v/>
      </c>
      <c r="I277" s="2" t="str">
        <f aca="false">IF($G277="","","j")</f>
        <v/>
      </c>
      <c r="J277" s="2" t="str">
        <f aca="false">""</f>
        <v/>
      </c>
      <c r="K277" s="2" t="str">
        <f aca="false">""</f>
        <v/>
      </c>
      <c r="L277" s="2" t="str">
        <f aca="false">IF($G277="","","同時")</f>
        <v/>
      </c>
      <c r="M277" s="2" t="str">
        <f aca="false">IF($G277="","",IF(ISNA(MATCH($G277,個別指定!$A:$A,0)),"行なし",""))</f>
        <v/>
      </c>
      <c r="N277" s="2" t="str">
        <f aca="false">IF($G277="","",IF(COUNTIF($G$2:$G$4460,$G277)&gt;1,"重複",""))</f>
        <v/>
      </c>
    </row>
    <row r="278" customFormat="false" ht="16.5" hidden="false" customHeight="true" outlineLevel="0" collapsed="false">
      <c r="A278" s="2" t="s">
        <v>385</v>
      </c>
      <c r="B278" s="2" t="s">
        <v>390</v>
      </c>
      <c r="C278" s="2" t="s">
        <v>31</v>
      </c>
      <c r="D278" s="2" t="str">
        <f aca="false">IF(2キー同時!$B$58="","",2キー同時!$B$58)</f>
        <v>m</v>
      </c>
      <c r="E278" s="2" t="str">
        <f aca="false">""</f>
        <v/>
      </c>
      <c r="F278" s="2" t="str">
        <f aca="false">""</f>
        <v/>
      </c>
      <c r="G278" s="2" t="str">
        <f aca="false">IF(2キー同時!$B$58="","",IF(2キー同時!AK64="","",SUBSTITUTE(SUBSTITUTE(2キー同時!AK64," ",""),"　","")))</f>
        <v/>
      </c>
      <c r="H278" s="2" t="str">
        <f aca="false">IF($G278="","",2キー同時!$B$58)</f>
        <v/>
      </c>
      <c r="I278" s="2" t="str">
        <f aca="false">IF($G278="","","k")</f>
        <v/>
      </c>
      <c r="J278" s="2" t="str">
        <f aca="false">""</f>
        <v/>
      </c>
      <c r="K278" s="2" t="str">
        <f aca="false">""</f>
        <v/>
      </c>
      <c r="L278" s="2" t="str">
        <f aca="false">IF($G278="","","同時")</f>
        <v/>
      </c>
      <c r="M278" s="2" t="str">
        <f aca="false">IF($G278="","",IF(ISNA(MATCH($G278,個別指定!$A:$A,0)),"行なし",""))</f>
        <v/>
      </c>
      <c r="N278" s="2" t="str">
        <f aca="false">IF($G278="","",IF(COUNTIF($G$2:$G$4460,$G278)&gt;1,"重複",""))</f>
        <v/>
      </c>
    </row>
    <row r="279" customFormat="false" ht="16.5" hidden="false" customHeight="true" outlineLevel="0" collapsed="false">
      <c r="A279" s="2" t="s">
        <v>385</v>
      </c>
      <c r="B279" s="2" t="s">
        <v>390</v>
      </c>
      <c r="C279" s="2" t="s">
        <v>32</v>
      </c>
      <c r="D279" s="2" t="str">
        <f aca="false">IF(2キー同時!$B$58="","",2キー同時!$B$58)</f>
        <v>m</v>
      </c>
      <c r="E279" s="2" t="str">
        <f aca="false">""</f>
        <v/>
      </c>
      <c r="F279" s="2" t="str">
        <f aca="false">""</f>
        <v/>
      </c>
      <c r="G279" s="2" t="str">
        <f aca="false">IF(2キー同時!$B$58="","",IF(2キー同時!AO64="","",SUBSTITUTE(SUBSTITUTE(2キー同時!AO64," ",""),"　","")))</f>
        <v/>
      </c>
      <c r="H279" s="2" t="str">
        <f aca="false">IF($G279="","",2キー同時!$B$58)</f>
        <v/>
      </c>
      <c r="I279" s="2" t="str">
        <f aca="false">IF($G279="","","l")</f>
        <v/>
      </c>
      <c r="J279" s="2" t="str">
        <f aca="false">""</f>
        <v/>
      </c>
      <c r="K279" s="2" t="str">
        <f aca="false">""</f>
        <v/>
      </c>
      <c r="L279" s="2" t="str">
        <f aca="false">IF($G279="","","同時")</f>
        <v/>
      </c>
      <c r="M279" s="2" t="str">
        <f aca="false">IF($G279="","",IF(ISNA(MATCH($G279,個別指定!$A:$A,0)),"行なし",""))</f>
        <v/>
      </c>
      <c r="N279" s="2" t="str">
        <f aca="false">IF($G279="","",IF(COUNTIF($G$2:$G$4460,$G279)&gt;1,"重複",""))</f>
        <v/>
      </c>
    </row>
    <row r="280" customFormat="false" ht="16.5" hidden="false" customHeight="true" outlineLevel="0" collapsed="false">
      <c r="A280" s="2" t="s">
        <v>385</v>
      </c>
      <c r="B280" s="2" t="s">
        <v>390</v>
      </c>
      <c r="C280" s="2" t="s">
        <v>33</v>
      </c>
      <c r="D280" s="2" t="str">
        <f aca="false">IF(2キー同時!$B$58="","",2キー同時!$B$58)</f>
        <v>m</v>
      </c>
      <c r="E280" s="2" t="str">
        <f aca="false">""</f>
        <v/>
      </c>
      <c r="F280" s="2" t="str">
        <f aca="false">""</f>
        <v/>
      </c>
      <c r="G280" s="2" t="str">
        <f aca="false">IF(2キー同時!$B$58="","",IF(2キー同時!AS64="","",SUBSTITUTE(SUBSTITUTE(2キー同時!AS64," ",""),"　","")))</f>
        <v/>
      </c>
      <c r="H280" s="2" t="str">
        <f aca="false">IF($G280="","",2キー同時!$B$58)</f>
        <v/>
      </c>
      <c r="I280" s="2" t="str">
        <f aca="false">IF($G280="","",";")</f>
        <v/>
      </c>
      <c r="J280" s="2" t="str">
        <f aca="false">""</f>
        <v/>
      </c>
      <c r="K280" s="2" t="str">
        <f aca="false">""</f>
        <v/>
      </c>
      <c r="L280" s="2" t="str">
        <f aca="false">IF($G280="","","同時")</f>
        <v/>
      </c>
      <c r="M280" s="2" t="str">
        <f aca="false">IF($G280="","",IF(ISNA(MATCH($G280,個別指定!$A:$A,0)),"行なし",""))</f>
        <v/>
      </c>
      <c r="N280" s="2" t="str">
        <f aca="false">IF($G280="","",IF(COUNTIF($G$2:$G$4460,$G280)&gt;1,"重複",""))</f>
        <v/>
      </c>
    </row>
    <row r="281" customFormat="false" ht="16.5" hidden="false" customHeight="true" outlineLevel="0" collapsed="false">
      <c r="A281" s="2" t="s">
        <v>385</v>
      </c>
      <c r="B281" s="2" t="s">
        <v>390</v>
      </c>
      <c r="C281" s="2" t="s">
        <v>34</v>
      </c>
      <c r="D281" s="2" t="str">
        <f aca="false">IF(2キー同時!$B$58="","",2キー同時!$B$58)</f>
        <v>m</v>
      </c>
      <c r="E281" s="2" t="str">
        <f aca="false">""</f>
        <v/>
      </c>
      <c r="F281" s="2" t="str">
        <f aca="false">""</f>
        <v/>
      </c>
      <c r="G281" s="2" t="str">
        <f aca="false">IF(2キー同時!$B$58="","",IF(2キー同時!AW64="","",SUBSTITUTE(SUBSTITUTE(2キー同時!AW64," ",""),"　","")))</f>
        <v/>
      </c>
      <c r="H281" s="2" t="str">
        <f aca="false">IF($G281="","",2キー同時!$B$58)</f>
        <v/>
      </c>
      <c r="I281" s="2" t="str">
        <f aca="false">IF($G281="","","'")</f>
        <v/>
      </c>
      <c r="J281" s="2" t="str">
        <f aca="false">""</f>
        <v/>
      </c>
      <c r="K281" s="2" t="str">
        <f aca="false">""</f>
        <v/>
      </c>
      <c r="L281" s="2" t="str">
        <f aca="false">IF($G281="","","同時")</f>
        <v/>
      </c>
      <c r="M281" s="2" t="str">
        <f aca="false">IF($G281="","",IF(ISNA(MATCH($G281,個別指定!$A:$A,0)),"行なし",""))</f>
        <v/>
      </c>
      <c r="N281" s="2" t="str">
        <f aca="false">IF($G281="","",IF(COUNTIF($G$2:$G$4460,$G281)&gt;1,"重複",""))</f>
        <v/>
      </c>
    </row>
    <row r="282" customFormat="false" ht="16.5" hidden="false" customHeight="true" outlineLevel="0" collapsed="false">
      <c r="A282" s="2" t="s">
        <v>385</v>
      </c>
      <c r="B282" s="2" t="s">
        <v>390</v>
      </c>
      <c r="C282" s="2" t="s">
        <v>35</v>
      </c>
      <c r="D282" s="2" t="str">
        <f aca="false">IF(2キー同時!$B$58="","",2キー同時!$B$58)</f>
        <v>m</v>
      </c>
      <c r="E282" s="2" t="str">
        <f aca="false">""</f>
        <v/>
      </c>
      <c r="F282" s="2" t="str">
        <f aca="false">""</f>
        <v/>
      </c>
      <c r="G282" s="2" t="str">
        <f aca="false">IF(2キー同時!$B$58="","",IF(2キー同時!K66="","",SUBSTITUTE(SUBSTITUTE(2キー同時!K66," ",""),"　","")))</f>
        <v>ぽ</v>
      </c>
      <c r="H282" s="2" t="str">
        <f aca="false">IF($G282="","",2キー同時!$B$58)</f>
        <v>m</v>
      </c>
      <c r="I282" s="2" t="str">
        <f aca="false">IF($G282="","","z")</f>
        <v>z</v>
      </c>
      <c r="J282" s="2" t="str">
        <f aca="false">""</f>
        <v/>
      </c>
      <c r="K282" s="2" t="str">
        <f aca="false">""</f>
        <v/>
      </c>
      <c r="L282" s="2" t="str">
        <f aca="false">IF($G282="","","同時")</f>
        <v>同時</v>
      </c>
      <c r="M282" s="2" t="str">
        <f aca="false">IF($G282="","",IF(ISNA(MATCH($G282,個別指定!$A:$A,0)),"行なし",""))</f>
        <v/>
      </c>
      <c r="N282" s="2" t="str">
        <f aca="false">IF($G282="","",IF(COUNTIF($G$2:$G$4460,$G282)&gt;1,"重複",""))</f>
        <v/>
      </c>
    </row>
    <row r="283" customFormat="false" ht="16.5" hidden="false" customHeight="true" outlineLevel="0" collapsed="false">
      <c r="A283" s="2" t="s">
        <v>385</v>
      </c>
      <c r="B283" s="2" t="s">
        <v>390</v>
      </c>
      <c r="C283" s="2" t="s">
        <v>36</v>
      </c>
      <c r="D283" s="2" t="str">
        <f aca="false">IF(2キー同時!$B$58="","",2キー同時!$B$58)</f>
        <v>m</v>
      </c>
      <c r="E283" s="2" t="str">
        <f aca="false">""</f>
        <v/>
      </c>
      <c r="F283" s="2" t="str">
        <f aca="false">""</f>
        <v/>
      </c>
      <c r="G283" s="2" t="str">
        <f aca="false">IF(2キー同時!$B$58="","",IF(2キー同時!O66="","",SUBSTITUTE(SUBSTITUTE(2キー同時!O66," ",""),"　","")))</f>
        <v>ぴ</v>
      </c>
      <c r="H283" s="2" t="str">
        <f aca="false">IF($G283="","",2キー同時!$B$58)</f>
        <v>m</v>
      </c>
      <c r="I283" s="2" t="str">
        <f aca="false">IF($G283="","","x")</f>
        <v>x</v>
      </c>
      <c r="J283" s="2" t="str">
        <f aca="false">""</f>
        <v/>
      </c>
      <c r="K283" s="2" t="str">
        <f aca="false">""</f>
        <v/>
      </c>
      <c r="L283" s="2" t="str">
        <f aca="false">IF($G283="","","同時")</f>
        <v>同時</v>
      </c>
      <c r="M283" s="2" t="str">
        <f aca="false">IF($G283="","",IF(ISNA(MATCH($G283,個別指定!$A:$A,0)),"行なし",""))</f>
        <v/>
      </c>
      <c r="N283" s="2" t="str">
        <f aca="false">IF($G283="","",IF(COUNTIF($G$2:$G$4460,$G283)&gt;1,"重複",""))</f>
        <v/>
      </c>
    </row>
    <row r="284" customFormat="false" ht="16.5" hidden="false" customHeight="true" outlineLevel="0" collapsed="false">
      <c r="A284" s="2" t="s">
        <v>385</v>
      </c>
      <c r="B284" s="2" t="s">
        <v>390</v>
      </c>
      <c r="C284" s="2" t="s">
        <v>37</v>
      </c>
      <c r="D284" s="2" t="str">
        <f aca="false">IF(2キー同時!$B$58="","",2キー同時!$B$58)</f>
        <v>m</v>
      </c>
      <c r="E284" s="2" t="str">
        <f aca="false">""</f>
        <v/>
      </c>
      <c r="F284" s="2" t="str">
        <f aca="false">""</f>
        <v/>
      </c>
      <c r="G284" s="2" t="str">
        <f aca="false">IF(2キー同時!$B$58="","",IF(2キー同時!S66="","",SUBSTITUTE(SUBSTITUTE(2キー同時!S66," ",""),"　","")))</f>
        <v>ぱ</v>
      </c>
      <c r="H284" s="2" t="str">
        <f aca="false">IF($G284="","",2キー同時!$B$58)</f>
        <v>m</v>
      </c>
      <c r="I284" s="2" t="str">
        <f aca="false">IF($G284="","","c")</f>
        <v>c</v>
      </c>
      <c r="J284" s="2" t="str">
        <f aca="false">""</f>
        <v/>
      </c>
      <c r="K284" s="2" t="str">
        <f aca="false">""</f>
        <v/>
      </c>
      <c r="L284" s="2" t="str">
        <f aca="false">IF($G284="","","同時")</f>
        <v>同時</v>
      </c>
      <c r="M284" s="2" t="str">
        <f aca="false">IF($G284="","",IF(ISNA(MATCH($G284,個別指定!$A:$A,0)),"行なし",""))</f>
        <v/>
      </c>
      <c r="N284" s="2" t="str">
        <f aca="false">IF($G284="","",IF(COUNTIF($G$2:$G$4460,$G284)&gt;1,"重複",""))</f>
        <v/>
      </c>
    </row>
    <row r="285" customFormat="false" ht="16.5" hidden="false" customHeight="true" outlineLevel="0" collapsed="false">
      <c r="A285" s="2" t="s">
        <v>385</v>
      </c>
      <c r="B285" s="2" t="s">
        <v>390</v>
      </c>
      <c r="C285" s="2" t="s">
        <v>38</v>
      </c>
      <c r="D285" s="2" t="str">
        <f aca="false">IF(2キー同時!$B$58="","",2キー同時!$B$58)</f>
        <v>m</v>
      </c>
      <c r="E285" s="2" t="str">
        <f aca="false">""</f>
        <v/>
      </c>
      <c r="F285" s="2" t="str">
        <f aca="false">""</f>
        <v/>
      </c>
      <c r="G285" s="2" t="str">
        <f aca="false">IF(2キー同時!$B$58="","",IF(2キー同時!W66="","",SUBSTITUTE(SUBSTITUTE(2キー同時!W66," ",""),"　","")))</f>
        <v/>
      </c>
      <c r="H285" s="2" t="str">
        <f aca="false">IF($G285="","",2キー同時!$B$58)</f>
        <v/>
      </c>
      <c r="I285" s="2" t="str">
        <f aca="false">IF($G285="","","v")</f>
        <v/>
      </c>
      <c r="J285" s="2" t="str">
        <f aca="false">""</f>
        <v/>
      </c>
      <c r="K285" s="2" t="str">
        <f aca="false">""</f>
        <v/>
      </c>
      <c r="L285" s="2" t="str">
        <f aca="false">IF($G285="","","同時")</f>
        <v/>
      </c>
      <c r="M285" s="2" t="str">
        <f aca="false">IF($G285="","",IF(ISNA(MATCH($G285,個別指定!$A:$A,0)),"行なし",""))</f>
        <v/>
      </c>
      <c r="N285" s="2" t="str">
        <f aca="false">IF($G285="","",IF(COUNTIF($G$2:$G$4460,$G285)&gt;1,"重複",""))</f>
        <v/>
      </c>
    </row>
    <row r="286" customFormat="false" ht="16.5" hidden="false" customHeight="true" outlineLevel="0" collapsed="false">
      <c r="A286" s="2" t="s">
        <v>385</v>
      </c>
      <c r="B286" s="2" t="s">
        <v>390</v>
      </c>
      <c r="C286" s="2" t="s">
        <v>39</v>
      </c>
      <c r="D286" s="2" t="str">
        <f aca="false">IF(2キー同時!$B$58="","",2キー同時!$B$58)</f>
        <v>m</v>
      </c>
      <c r="E286" s="2" t="str">
        <f aca="false">""</f>
        <v/>
      </c>
      <c r="F286" s="2" t="str">
        <f aca="false">""</f>
        <v/>
      </c>
      <c r="G286" s="2" t="str">
        <f aca="false">IF(2キー同時!$B$58="","",IF(2キー同時!AA66="","",SUBSTITUTE(SUBSTITUTE(2キー同時!AA66," ",""),"　","")))</f>
        <v/>
      </c>
      <c r="H286" s="2" t="str">
        <f aca="false">IF($G286="","",2キー同時!$B$58)</f>
        <v/>
      </c>
      <c r="I286" s="2" t="str">
        <f aca="false">IF($G286="","","b")</f>
        <v/>
      </c>
      <c r="J286" s="2" t="str">
        <f aca="false">""</f>
        <v/>
      </c>
      <c r="K286" s="2" t="str">
        <f aca="false">""</f>
        <v/>
      </c>
      <c r="L286" s="2" t="str">
        <f aca="false">IF($G286="","","同時")</f>
        <v/>
      </c>
      <c r="M286" s="2" t="str">
        <f aca="false">IF($G286="","",IF(ISNA(MATCH($G286,個別指定!$A:$A,0)),"行なし",""))</f>
        <v/>
      </c>
      <c r="N286" s="2" t="str">
        <f aca="false">IF($G286="","",IF(COUNTIF($G$2:$G$4460,$G286)&gt;1,"重複",""))</f>
        <v/>
      </c>
    </row>
    <row r="287" customFormat="false" ht="16.5" hidden="false" customHeight="true" outlineLevel="0" collapsed="false">
      <c r="A287" s="2" t="s">
        <v>385</v>
      </c>
      <c r="B287" s="2" t="s">
        <v>390</v>
      </c>
      <c r="C287" s="2" t="s">
        <v>40</v>
      </c>
      <c r="D287" s="2" t="str">
        <f aca="false">IF(2キー同時!$B$58="","",2キー同時!$B$58)</f>
        <v>m</v>
      </c>
      <c r="E287" s="2" t="str">
        <f aca="false">""</f>
        <v/>
      </c>
      <c r="F287" s="2" t="str">
        <f aca="false">""</f>
        <v/>
      </c>
      <c r="G287" s="2" t="str">
        <f aca="false">IF(2キー同時!$B$58="","",IF(2キー同時!AE66="","",SUBSTITUTE(SUBSTITUTE(2キー同時!AE66," ",""),"　","")))</f>
        <v/>
      </c>
      <c r="H287" s="2" t="str">
        <f aca="false">IF($G287="","",2キー同時!$B$58)</f>
        <v/>
      </c>
      <c r="I287" s="2" t="str">
        <f aca="false">IF($G287="","","n")</f>
        <v/>
      </c>
      <c r="J287" s="2" t="str">
        <f aca="false">""</f>
        <v/>
      </c>
      <c r="K287" s="2" t="str">
        <f aca="false">""</f>
        <v/>
      </c>
      <c r="L287" s="2" t="str">
        <f aca="false">IF($G287="","","同時")</f>
        <v/>
      </c>
      <c r="M287" s="2" t="str">
        <f aca="false">IF($G287="","",IF(ISNA(MATCH($G287,個別指定!$A:$A,0)),"行なし",""))</f>
        <v/>
      </c>
      <c r="N287" s="2" t="str">
        <f aca="false">IF($G287="","",IF(COUNTIF($G$2:$G$4460,$G287)&gt;1,"重複",""))</f>
        <v/>
      </c>
    </row>
    <row r="288" customFormat="false" ht="16.5" hidden="false" customHeight="true" outlineLevel="0" collapsed="false">
      <c r="A288" s="2" t="s">
        <v>385</v>
      </c>
      <c r="B288" s="2" t="s">
        <v>390</v>
      </c>
      <c r="C288" s="2" t="s">
        <v>41</v>
      </c>
      <c r="D288" s="2" t="str">
        <f aca="false">IF(2キー同時!$B$58="","",2キー同時!$B$58)</f>
        <v>m</v>
      </c>
      <c r="E288" s="2" t="str">
        <f aca="false">""</f>
        <v/>
      </c>
      <c r="F288" s="2" t="str">
        <f aca="false">""</f>
        <v/>
      </c>
      <c r="G288" s="2" t="str">
        <f aca="false">IF(2キー同時!$B$58="","",IF(2キー同時!AI66="","",SUBSTITUTE(SUBSTITUTE(2キー同時!AI66," ",""),"　","")))</f>
        <v/>
      </c>
      <c r="H288" s="2" t="str">
        <f aca="false">IF($G288="","",2キー同時!$B$58)</f>
        <v/>
      </c>
      <c r="I288" s="2" t="str">
        <f aca="false">IF($G288="","","m")</f>
        <v/>
      </c>
      <c r="J288" s="2" t="str">
        <f aca="false">""</f>
        <v/>
      </c>
      <c r="K288" s="2" t="str">
        <f aca="false">""</f>
        <v/>
      </c>
      <c r="L288" s="2" t="str">
        <f aca="false">IF($G288="","","同時")</f>
        <v/>
      </c>
      <c r="M288" s="2" t="str">
        <f aca="false">IF($G288="","",IF(ISNA(MATCH($G288,個別指定!$A:$A,0)),"行なし",""))</f>
        <v/>
      </c>
      <c r="N288" s="2" t="str">
        <f aca="false">IF($G288="","",IF(COUNTIF($G$2:$G$4460,$G288)&gt;1,"重複",""))</f>
        <v/>
      </c>
    </row>
    <row r="289" customFormat="false" ht="16.5" hidden="false" customHeight="true" outlineLevel="0" collapsed="false">
      <c r="A289" s="2" t="s">
        <v>385</v>
      </c>
      <c r="B289" s="2" t="s">
        <v>390</v>
      </c>
      <c r="C289" s="2" t="s">
        <v>42</v>
      </c>
      <c r="D289" s="2" t="str">
        <f aca="false">IF(2キー同時!$B$58="","",2キー同時!$B$58)</f>
        <v>m</v>
      </c>
      <c r="E289" s="2" t="str">
        <f aca="false">""</f>
        <v/>
      </c>
      <c r="F289" s="2" t="str">
        <f aca="false">""</f>
        <v/>
      </c>
      <c r="G289" s="2" t="str">
        <f aca="false">IF(2キー同時!$B$58="","",IF(2キー同時!AM66="","",SUBSTITUTE(SUBSTITUTE(2キー同時!AM66," ",""),"　","")))</f>
        <v/>
      </c>
      <c r="H289" s="2" t="str">
        <f aca="false">IF($G289="","",2キー同時!$B$58)</f>
        <v/>
      </c>
      <c r="I289" s="2" t="str">
        <f aca="false">IF($G289="","",",")</f>
        <v/>
      </c>
      <c r="J289" s="2" t="str">
        <f aca="false">""</f>
        <v/>
      </c>
      <c r="K289" s="2" t="str">
        <f aca="false">""</f>
        <v/>
      </c>
      <c r="L289" s="2" t="str">
        <f aca="false">IF($G289="","","同時")</f>
        <v/>
      </c>
      <c r="M289" s="2" t="str">
        <f aca="false">IF($G289="","",IF(ISNA(MATCH($G289,個別指定!$A:$A,0)),"行なし",""))</f>
        <v/>
      </c>
      <c r="N289" s="2" t="str">
        <f aca="false">IF($G289="","",IF(COUNTIF($G$2:$G$4460,$G289)&gt;1,"重複",""))</f>
        <v/>
      </c>
    </row>
    <row r="290" customFormat="false" ht="16.5" hidden="false" customHeight="true" outlineLevel="0" collapsed="false">
      <c r="A290" s="2" t="s">
        <v>385</v>
      </c>
      <c r="B290" s="2" t="s">
        <v>390</v>
      </c>
      <c r="C290" s="2" t="s">
        <v>43</v>
      </c>
      <c r="D290" s="2" t="str">
        <f aca="false">IF(2キー同時!$B$58="","",2キー同時!$B$58)</f>
        <v>m</v>
      </c>
      <c r="E290" s="2" t="str">
        <f aca="false">""</f>
        <v/>
      </c>
      <c r="F290" s="2" t="str">
        <f aca="false">""</f>
        <v/>
      </c>
      <c r="G290" s="2" t="str">
        <f aca="false">IF(2キー同時!$B$58="","",IF(2キー同時!AQ66="","",SUBSTITUTE(SUBSTITUTE(2キー同時!AQ66," ",""),"　","")))</f>
        <v/>
      </c>
      <c r="H290" s="2" t="str">
        <f aca="false">IF($G290="","",2キー同時!$B$58)</f>
        <v/>
      </c>
      <c r="I290" s="2" t="str">
        <f aca="false">IF($G290="","",".")</f>
        <v/>
      </c>
      <c r="J290" s="2" t="str">
        <f aca="false">""</f>
        <v/>
      </c>
      <c r="K290" s="2" t="str">
        <f aca="false">""</f>
        <v/>
      </c>
      <c r="L290" s="2" t="str">
        <f aca="false">IF($G290="","","同時")</f>
        <v/>
      </c>
      <c r="M290" s="2" t="str">
        <f aca="false">IF($G290="","",IF(ISNA(MATCH($G290,個別指定!$A:$A,0)),"行なし",""))</f>
        <v/>
      </c>
      <c r="N290" s="2" t="str">
        <f aca="false">IF($G290="","",IF(COUNTIF($G$2:$G$4460,$G290)&gt;1,"重複",""))</f>
        <v/>
      </c>
    </row>
    <row r="291" customFormat="false" ht="16.5" hidden="false" customHeight="true" outlineLevel="0" collapsed="false">
      <c r="A291" s="2" t="s">
        <v>385</v>
      </c>
      <c r="B291" s="2" t="s">
        <v>390</v>
      </c>
      <c r="C291" s="2" t="s">
        <v>44</v>
      </c>
      <c r="D291" s="2" t="str">
        <f aca="false">IF(2キー同時!$B$58="","",2キー同時!$B$58)</f>
        <v>m</v>
      </c>
      <c r="E291" s="2" t="str">
        <f aca="false">""</f>
        <v/>
      </c>
      <c r="F291" s="2" t="str">
        <f aca="false">""</f>
        <v/>
      </c>
      <c r="G291" s="2" t="str">
        <f aca="false">IF(2キー同時!$B$58="","",IF(2キー同時!AU66="","",SUBSTITUTE(SUBSTITUTE(2キー同時!AU66," ",""),"　","")))</f>
        <v/>
      </c>
      <c r="H291" s="2" t="str">
        <f aca="false">IF($G291="","",2キー同時!$B$58)</f>
        <v/>
      </c>
      <c r="I291" s="2" t="str">
        <f aca="false">IF($G291="","","/")</f>
        <v/>
      </c>
      <c r="J291" s="2" t="str">
        <f aca="false">""</f>
        <v/>
      </c>
      <c r="K291" s="2" t="str">
        <f aca="false">""</f>
        <v/>
      </c>
      <c r="L291" s="2" t="str">
        <f aca="false">IF($G291="","","同時")</f>
        <v/>
      </c>
      <c r="M291" s="2" t="str">
        <f aca="false">IF($G291="","",IF(ISNA(MATCH($G291,個別指定!$A:$A,0)),"行なし",""))</f>
        <v/>
      </c>
      <c r="N291" s="2" t="str">
        <f aca="false">IF($G291="","",IF(COUNTIF($G$2:$G$4460,$G291)&gt;1,"重複",""))</f>
        <v/>
      </c>
    </row>
    <row r="292" customFormat="false" ht="16.5" hidden="false" customHeight="true" outlineLevel="0" collapsed="false">
      <c r="A292" s="2" t="s">
        <v>385</v>
      </c>
      <c r="B292" s="2" t="s">
        <v>390</v>
      </c>
      <c r="C292" s="2" t="s">
        <v>48</v>
      </c>
      <c r="D292" s="2" t="str">
        <f aca="false">IF(2キー同時!$B$58="","",2キー同時!$B$58)</f>
        <v>m</v>
      </c>
      <c r="E292" s="2" t="str">
        <f aca="false">""</f>
        <v/>
      </c>
      <c r="F292" s="2" t="str">
        <f aca="false">""</f>
        <v/>
      </c>
      <c r="G292" s="2" t="str">
        <f aca="false">IF(2キー同時!$B$58="","",IF(2キー同時!P68="","",SUBSTITUTE(SUBSTITUTE(2キー同時!P68," ",""),"　","")))</f>
        <v/>
      </c>
      <c r="H292" s="2" t="str">
        <f aca="false">IF($G292="","",2キー同時!$B$58)</f>
        <v/>
      </c>
      <c r="I292" s="2" t="str">
        <f aca="false">IF($G292="","","muhenkan")</f>
        <v/>
      </c>
      <c r="J292" s="2" t="str">
        <f aca="false">""</f>
        <v/>
      </c>
      <c r="K292" s="2" t="str">
        <f aca="false">""</f>
        <v/>
      </c>
      <c r="L292" s="2" t="str">
        <f aca="false">IF($G292="","","同時")</f>
        <v/>
      </c>
      <c r="M292" s="2" t="str">
        <f aca="false">IF($G292="","",IF(ISNA(MATCH($G292,個別指定!$A:$A,0)),"行なし",""))</f>
        <v/>
      </c>
      <c r="N292" s="2" t="str">
        <f aca="false">IF($G292="","",IF(COUNTIF($G$2:$G$4460,$G292)&gt;1,"重複",""))</f>
        <v/>
      </c>
    </row>
    <row r="293" customFormat="false" ht="16.5" hidden="false" customHeight="true" outlineLevel="0" collapsed="false">
      <c r="A293" s="2" t="s">
        <v>385</v>
      </c>
      <c r="B293" s="2" t="s">
        <v>390</v>
      </c>
      <c r="C293" s="2" t="s">
        <v>50</v>
      </c>
      <c r="D293" s="2" t="str">
        <f aca="false">IF(2キー同時!$B$58="","",2キー同時!$B$58)</f>
        <v>m</v>
      </c>
      <c r="E293" s="2" t="str">
        <f aca="false">""</f>
        <v/>
      </c>
      <c r="F293" s="2" t="str">
        <f aca="false">""</f>
        <v/>
      </c>
      <c r="G293" s="2" t="str">
        <f aca="false">IF(2キー同時!$B$58="","",IF(2キー同時!T68="","",SUBSTITUTE(SUBSTITUTE(2キー同時!T68," ",""),"　","")))</f>
        <v/>
      </c>
      <c r="H293" s="2" t="str">
        <f aca="false">IF($G293="","",2キー同時!$B$58)</f>
        <v/>
      </c>
      <c r="I293" s="2" t="str">
        <f aca="false">IF($G293="","","space")</f>
        <v/>
      </c>
      <c r="J293" s="2" t="str">
        <f aca="false">""</f>
        <v/>
      </c>
      <c r="K293" s="2" t="str">
        <f aca="false">""</f>
        <v/>
      </c>
      <c r="L293" s="2" t="str">
        <f aca="false">IF($G293="","","同時")</f>
        <v/>
      </c>
      <c r="M293" s="2" t="str">
        <f aca="false">IF($G293="","",IF(ISNA(MATCH($G293,個別指定!$A:$A,0)),"行なし",""))</f>
        <v/>
      </c>
      <c r="N293" s="2" t="str">
        <f aca="false">IF($G293="","",IF(COUNTIF($G$2:$G$4460,$G293)&gt;1,"重複",""))</f>
        <v/>
      </c>
    </row>
    <row r="294" customFormat="false" ht="16.5" hidden="false" customHeight="true" outlineLevel="0" collapsed="false">
      <c r="A294" s="2" t="s">
        <v>385</v>
      </c>
      <c r="B294" s="2" t="s">
        <v>390</v>
      </c>
      <c r="C294" s="2" t="s">
        <v>45</v>
      </c>
      <c r="D294" s="2" t="str">
        <f aca="false">IF(2キー同時!$B$58="","",2キー同時!$B$58)</f>
        <v>m</v>
      </c>
      <c r="E294" s="2" t="str">
        <f aca="false">""</f>
        <v/>
      </c>
      <c r="F294" s="2" t="str">
        <f aca="false">""</f>
        <v/>
      </c>
      <c r="G294" s="2" t="str">
        <f aca="false">IF(2キー同時!$B$58="","",IF(2キー同時!AL68="","",SUBSTITUTE(SUBSTITUTE(2キー同時!AL68," ",""),"　","")))</f>
        <v/>
      </c>
      <c r="H294" s="2" t="str">
        <f aca="false">IF($G294="","",2キー同時!$B$58)</f>
        <v/>
      </c>
      <c r="I294" s="2" t="str">
        <f aca="false">IF($G294="","","henkan")</f>
        <v/>
      </c>
      <c r="J294" s="2" t="str">
        <f aca="false">""</f>
        <v/>
      </c>
      <c r="K294" s="2" t="str">
        <f aca="false">""</f>
        <v/>
      </c>
      <c r="L294" s="2" t="str">
        <f aca="false">IF($G294="","","同時")</f>
        <v/>
      </c>
      <c r="M294" s="2" t="str">
        <f aca="false">IF($G294="","",IF(ISNA(MATCH($G294,個別指定!$A:$A,0)),"行なし",""))</f>
        <v/>
      </c>
      <c r="N294" s="2" t="str">
        <f aca="false">IF($G294="","",IF(COUNTIF($G$2:$G$4460,$G294)&gt;1,"重複",""))</f>
        <v/>
      </c>
    </row>
    <row r="295" customFormat="false" ht="16.5" hidden="false" customHeight="true" outlineLevel="0" collapsed="false">
      <c r="A295" s="2" t="s">
        <v>385</v>
      </c>
      <c r="B295" s="2" t="s">
        <v>390</v>
      </c>
      <c r="C295" s="2" t="s">
        <v>46</v>
      </c>
      <c r="D295" s="2" t="str">
        <f aca="false">IF(2キー同時!$B$58="","",2キー同時!$B$58)</f>
        <v>m</v>
      </c>
      <c r="E295" s="2" t="str">
        <f aca="false">""</f>
        <v/>
      </c>
      <c r="F295" s="2" t="str">
        <f aca="false">""</f>
        <v/>
      </c>
      <c r="G295" s="2" t="str">
        <f aca="false">IF(2キー同時!$B$58="","",IF(2キー同時!AP68="","",SUBSTITUTE(SUBSTITUTE(2キー同時!AP68," ",""),"　","")))</f>
        <v/>
      </c>
      <c r="H295" s="2" t="str">
        <f aca="false">IF($G295="","",2キー同時!$B$58)</f>
        <v/>
      </c>
      <c r="I295" s="2" t="str">
        <f aca="false">IF($G295="","","kana")</f>
        <v/>
      </c>
      <c r="J295" s="2" t="str">
        <f aca="false">""</f>
        <v/>
      </c>
      <c r="K295" s="2" t="str">
        <f aca="false">""</f>
        <v/>
      </c>
      <c r="L295" s="2" t="str">
        <f aca="false">IF($G295="","","同時")</f>
        <v/>
      </c>
      <c r="M295" s="2" t="str">
        <f aca="false">IF($G295="","",IF(ISNA(MATCH($G295,個別指定!$A:$A,0)),"行なし",""))</f>
        <v/>
      </c>
      <c r="N295" s="2" t="str">
        <f aca="false">IF($G295="","",IF(COUNTIF($G$2:$G$4460,$G295)&gt;1,"重複",""))</f>
        <v/>
      </c>
    </row>
    <row r="296" customFormat="false" ht="16.5" hidden="false" customHeight="true" outlineLevel="0" collapsed="false">
      <c r="A296" s="2" t="s">
        <v>385</v>
      </c>
      <c r="B296" s="2" t="s">
        <v>391</v>
      </c>
      <c r="C296" s="2" t="s">
        <v>0</v>
      </c>
      <c r="D296" s="2" t="str">
        <f aca="false">IF(2キー同時!$B$71="","",2キー同時!$B$71)</f>
        <v>h</v>
      </c>
      <c r="E296" s="2" t="str">
        <f aca="false">""</f>
        <v/>
      </c>
      <c r="F296" s="2" t="str">
        <f aca="false">""</f>
        <v/>
      </c>
      <c r="G296" s="2" t="str">
        <f aca="false">IF(2キー同時!$B$71="","",IF(2キー同時!F73="","",SUBSTITUTE(SUBSTITUTE(2キー同時!F73," ",""),"　","")))</f>
        <v/>
      </c>
      <c r="H296" s="2" t="str">
        <f aca="false">IF($G296="","",2キー同時!$B$71)</f>
        <v/>
      </c>
      <c r="I296" s="2" t="str">
        <f aca="false">IF($G296="","","1")</f>
        <v/>
      </c>
      <c r="J296" s="2" t="str">
        <f aca="false">""</f>
        <v/>
      </c>
      <c r="K296" s="2" t="str">
        <f aca="false">""</f>
        <v/>
      </c>
      <c r="L296" s="2" t="str">
        <f aca="false">IF($G296="","","同時")</f>
        <v/>
      </c>
      <c r="M296" s="2" t="str">
        <f aca="false">IF($G296="","",IF(ISNA(MATCH($G296,個別指定!$A:$A,0)),"行なし",""))</f>
        <v/>
      </c>
      <c r="N296" s="2" t="str">
        <f aca="false">IF($G296="","",IF(COUNTIF($G$2:$G$4460,$G296)&gt;1,"重複",""))</f>
        <v/>
      </c>
    </row>
    <row r="297" customFormat="false" ht="16.5" hidden="false" customHeight="true" outlineLevel="0" collapsed="false">
      <c r="A297" s="2" t="s">
        <v>385</v>
      </c>
      <c r="B297" s="2" t="s">
        <v>391</v>
      </c>
      <c r="C297" s="2" t="s">
        <v>1</v>
      </c>
      <c r="D297" s="2" t="str">
        <f aca="false">IF(2キー同時!$B$71="","",2キー同時!$B$71)</f>
        <v>h</v>
      </c>
      <c r="E297" s="2" t="str">
        <f aca="false">""</f>
        <v/>
      </c>
      <c r="F297" s="2" t="str">
        <f aca="false">""</f>
        <v/>
      </c>
      <c r="G297" s="2" t="str">
        <f aca="false">IF(2キー同時!$B$71="","",IF(2キー同時!J73="","",SUBSTITUTE(SUBSTITUTE(2キー同時!J73," ",""),"　","")))</f>
        <v/>
      </c>
      <c r="H297" s="2" t="str">
        <f aca="false">IF($G297="","",2キー同時!$B$71)</f>
        <v/>
      </c>
      <c r="I297" s="2" t="str">
        <f aca="false">IF($G297="","","2")</f>
        <v/>
      </c>
      <c r="J297" s="2" t="str">
        <f aca="false">""</f>
        <v/>
      </c>
      <c r="K297" s="2" t="str">
        <f aca="false">""</f>
        <v/>
      </c>
      <c r="L297" s="2" t="str">
        <f aca="false">IF($G297="","","同時")</f>
        <v/>
      </c>
      <c r="M297" s="2" t="str">
        <f aca="false">IF($G297="","",IF(ISNA(MATCH($G297,個別指定!$A:$A,0)),"行なし",""))</f>
        <v/>
      </c>
      <c r="N297" s="2" t="str">
        <f aca="false">IF($G297="","",IF(COUNTIF($G$2:$G$4460,$G297)&gt;1,"重複",""))</f>
        <v/>
      </c>
    </row>
    <row r="298" customFormat="false" ht="16.5" hidden="false" customHeight="true" outlineLevel="0" collapsed="false">
      <c r="A298" s="2" t="s">
        <v>385</v>
      </c>
      <c r="B298" s="2" t="s">
        <v>391</v>
      </c>
      <c r="C298" s="2" t="s">
        <v>2</v>
      </c>
      <c r="D298" s="2" t="str">
        <f aca="false">IF(2キー同時!$B$71="","",2キー同時!$B$71)</f>
        <v>h</v>
      </c>
      <c r="E298" s="2" t="str">
        <f aca="false">""</f>
        <v/>
      </c>
      <c r="F298" s="2" t="str">
        <f aca="false">""</f>
        <v/>
      </c>
      <c r="G298" s="2" t="str">
        <f aca="false">IF(2キー同時!$B$71="","",IF(2キー同時!N73="","",SUBSTITUTE(SUBSTITUTE(2キー同時!N73," ",""),"　","")))</f>
        <v/>
      </c>
      <c r="H298" s="2" t="str">
        <f aca="false">IF($G298="","",2キー同時!$B$71)</f>
        <v/>
      </c>
      <c r="I298" s="2" t="str">
        <f aca="false">IF($G298="","","3")</f>
        <v/>
      </c>
      <c r="J298" s="2" t="str">
        <f aca="false">""</f>
        <v/>
      </c>
      <c r="K298" s="2" t="str">
        <f aca="false">""</f>
        <v/>
      </c>
      <c r="L298" s="2" t="str">
        <f aca="false">IF($G298="","","同時")</f>
        <v/>
      </c>
      <c r="M298" s="2" t="str">
        <f aca="false">IF($G298="","",IF(ISNA(MATCH($G298,個別指定!$A:$A,0)),"行なし",""))</f>
        <v/>
      </c>
      <c r="N298" s="2" t="str">
        <f aca="false">IF($G298="","",IF(COUNTIF($G$2:$G$4460,$G298)&gt;1,"重複",""))</f>
        <v/>
      </c>
    </row>
    <row r="299" customFormat="false" ht="16.5" hidden="false" customHeight="true" outlineLevel="0" collapsed="false">
      <c r="A299" s="2" t="s">
        <v>385</v>
      </c>
      <c r="B299" s="2" t="s">
        <v>391</v>
      </c>
      <c r="C299" s="2" t="s">
        <v>3</v>
      </c>
      <c r="D299" s="2" t="str">
        <f aca="false">IF(2キー同時!$B$71="","",2キー同時!$B$71)</f>
        <v>h</v>
      </c>
      <c r="E299" s="2" t="str">
        <f aca="false">""</f>
        <v/>
      </c>
      <c r="F299" s="2" t="str">
        <f aca="false">""</f>
        <v/>
      </c>
      <c r="G299" s="2" t="str">
        <f aca="false">IF(2キー同時!$B$71="","",IF(2キー同時!R73="","",SUBSTITUTE(SUBSTITUTE(2キー同時!R73," ",""),"　","")))</f>
        <v/>
      </c>
      <c r="H299" s="2" t="str">
        <f aca="false">IF($G299="","",2キー同時!$B$71)</f>
        <v/>
      </c>
      <c r="I299" s="2" t="str">
        <f aca="false">IF($G299="","","4")</f>
        <v/>
      </c>
      <c r="J299" s="2" t="str">
        <f aca="false">""</f>
        <v/>
      </c>
      <c r="K299" s="2" t="str">
        <f aca="false">""</f>
        <v/>
      </c>
      <c r="L299" s="2" t="str">
        <f aca="false">IF($G299="","","同時")</f>
        <v/>
      </c>
      <c r="M299" s="2" t="str">
        <f aca="false">IF($G299="","",IF(ISNA(MATCH($G299,個別指定!$A:$A,0)),"行なし",""))</f>
        <v/>
      </c>
      <c r="N299" s="2" t="str">
        <f aca="false">IF($G299="","",IF(COUNTIF($G$2:$G$4460,$G299)&gt;1,"重複",""))</f>
        <v/>
      </c>
    </row>
    <row r="300" customFormat="false" ht="16.5" hidden="false" customHeight="true" outlineLevel="0" collapsed="false">
      <c r="A300" s="2" t="s">
        <v>385</v>
      </c>
      <c r="B300" s="2" t="s">
        <v>391</v>
      </c>
      <c r="C300" s="2" t="s">
        <v>4</v>
      </c>
      <c r="D300" s="2" t="str">
        <f aca="false">IF(2キー同時!$B$71="","",2キー同時!$B$71)</f>
        <v>h</v>
      </c>
      <c r="E300" s="2" t="str">
        <f aca="false">""</f>
        <v/>
      </c>
      <c r="F300" s="2" t="str">
        <f aca="false">""</f>
        <v/>
      </c>
      <c r="G300" s="2" t="str">
        <f aca="false">IF(2キー同時!$B$71="","",IF(2キー同時!V73="","",SUBSTITUTE(SUBSTITUTE(2キー同時!V73," ",""),"　","")))</f>
        <v/>
      </c>
      <c r="H300" s="2" t="str">
        <f aca="false">IF($G300="","",2キー同時!$B$71)</f>
        <v/>
      </c>
      <c r="I300" s="2" t="str">
        <f aca="false">IF($G300="","","5")</f>
        <v/>
      </c>
      <c r="J300" s="2" t="str">
        <f aca="false">""</f>
        <v/>
      </c>
      <c r="K300" s="2" t="str">
        <f aca="false">""</f>
        <v/>
      </c>
      <c r="L300" s="2" t="str">
        <f aca="false">IF($G300="","","同時")</f>
        <v/>
      </c>
      <c r="M300" s="2" t="str">
        <f aca="false">IF($G300="","",IF(ISNA(MATCH($G300,個別指定!$A:$A,0)),"行なし",""))</f>
        <v/>
      </c>
      <c r="N300" s="2" t="str">
        <f aca="false">IF($G300="","",IF(COUNTIF($G$2:$G$4460,$G300)&gt;1,"重複",""))</f>
        <v/>
      </c>
    </row>
    <row r="301" customFormat="false" ht="16.5" hidden="false" customHeight="true" outlineLevel="0" collapsed="false">
      <c r="A301" s="2" t="s">
        <v>385</v>
      </c>
      <c r="B301" s="2" t="s">
        <v>391</v>
      </c>
      <c r="C301" s="2" t="s">
        <v>5</v>
      </c>
      <c r="D301" s="2" t="str">
        <f aca="false">IF(2キー同時!$B$71="","",2キー同時!$B$71)</f>
        <v>h</v>
      </c>
      <c r="E301" s="2" t="str">
        <f aca="false">""</f>
        <v/>
      </c>
      <c r="F301" s="2" t="str">
        <f aca="false">""</f>
        <v/>
      </c>
      <c r="G301" s="2" t="str">
        <f aca="false">IF(2キー同時!$B$71="","",IF(2キー同時!Z73="","",SUBSTITUTE(SUBSTITUTE(2キー同時!Z73," ",""),"　","")))</f>
        <v/>
      </c>
      <c r="H301" s="2" t="str">
        <f aca="false">IF($G301="","",2キー同時!$B$71)</f>
        <v/>
      </c>
      <c r="I301" s="2" t="str">
        <f aca="false">IF($G301="","","6")</f>
        <v/>
      </c>
      <c r="J301" s="2" t="str">
        <f aca="false">""</f>
        <v/>
      </c>
      <c r="K301" s="2" t="str">
        <f aca="false">""</f>
        <v/>
      </c>
      <c r="L301" s="2" t="str">
        <f aca="false">IF($G301="","","同時")</f>
        <v/>
      </c>
      <c r="M301" s="2" t="str">
        <f aca="false">IF($G301="","",IF(ISNA(MATCH($G301,個別指定!$A:$A,0)),"行なし",""))</f>
        <v/>
      </c>
      <c r="N301" s="2" t="str">
        <f aca="false">IF($G301="","",IF(COUNTIF($G$2:$G$4460,$G301)&gt;1,"重複",""))</f>
        <v/>
      </c>
    </row>
    <row r="302" customFormat="false" ht="16.5" hidden="false" customHeight="true" outlineLevel="0" collapsed="false">
      <c r="A302" s="2" t="s">
        <v>385</v>
      </c>
      <c r="B302" s="2" t="s">
        <v>391</v>
      </c>
      <c r="C302" s="2" t="s">
        <v>6</v>
      </c>
      <c r="D302" s="2" t="str">
        <f aca="false">IF(2キー同時!$B$71="","",2キー同時!$B$71)</f>
        <v>h</v>
      </c>
      <c r="E302" s="2" t="str">
        <f aca="false">""</f>
        <v/>
      </c>
      <c r="F302" s="2" t="str">
        <f aca="false">""</f>
        <v/>
      </c>
      <c r="G302" s="2" t="str">
        <f aca="false">IF(2キー同時!$B$71="","",IF(2キー同時!AD73="","",SUBSTITUTE(SUBSTITUTE(2キー同時!AD73," ",""),"　","")))</f>
        <v/>
      </c>
      <c r="H302" s="2" t="str">
        <f aca="false">IF($G302="","",2キー同時!$B$71)</f>
        <v/>
      </c>
      <c r="I302" s="2" t="str">
        <f aca="false">IF($G302="","","7")</f>
        <v/>
      </c>
      <c r="J302" s="2" t="str">
        <f aca="false">""</f>
        <v/>
      </c>
      <c r="K302" s="2" t="str">
        <f aca="false">""</f>
        <v/>
      </c>
      <c r="L302" s="2" t="str">
        <f aca="false">IF($G302="","","同時")</f>
        <v/>
      </c>
      <c r="M302" s="2" t="str">
        <f aca="false">IF($G302="","",IF(ISNA(MATCH($G302,個別指定!$A:$A,0)),"行なし",""))</f>
        <v/>
      </c>
      <c r="N302" s="2" t="str">
        <f aca="false">IF($G302="","",IF(COUNTIF($G$2:$G$4460,$G302)&gt;1,"重複",""))</f>
        <v/>
      </c>
    </row>
    <row r="303" customFormat="false" ht="16.5" hidden="false" customHeight="true" outlineLevel="0" collapsed="false">
      <c r="A303" s="2" t="s">
        <v>385</v>
      </c>
      <c r="B303" s="2" t="s">
        <v>391</v>
      </c>
      <c r="C303" s="2" t="s">
        <v>7</v>
      </c>
      <c r="D303" s="2" t="str">
        <f aca="false">IF(2キー同時!$B$71="","",2キー同時!$B$71)</f>
        <v>h</v>
      </c>
      <c r="E303" s="2" t="str">
        <f aca="false">""</f>
        <v/>
      </c>
      <c r="F303" s="2" t="str">
        <f aca="false">""</f>
        <v/>
      </c>
      <c r="G303" s="2" t="str">
        <f aca="false">IF(2キー同時!$B$71="","",IF(2キー同時!AH73="","",SUBSTITUTE(SUBSTITUTE(2キー同時!AH73," ",""),"　","")))</f>
        <v/>
      </c>
      <c r="H303" s="2" t="str">
        <f aca="false">IF($G303="","",2キー同時!$B$71)</f>
        <v/>
      </c>
      <c r="I303" s="2" t="str">
        <f aca="false">IF($G303="","","8")</f>
        <v/>
      </c>
      <c r="J303" s="2" t="str">
        <f aca="false">""</f>
        <v/>
      </c>
      <c r="K303" s="2" t="str">
        <f aca="false">""</f>
        <v/>
      </c>
      <c r="L303" s="2" t="str">
        <f aca="false">IF($G303="","","同時")</f>
        <v/>
      </c>
      <c r="M303" s="2" t="str">
        <f aca="false">IF($G303="","",IF(ISNA(MATCH($G303,個別指定!$A:$A,0)),"行なし",""))</f>
        <v/>
      </c>
      <c r="N303" s="2" t="str">
        <f aca="false">IF($G303="","",IF(COUNTIF($G$2:$G$4460,$G303)&gt;1,"重複",""))</f>
        <v/>
      </c>
    </row>
    <row r="304" customFormat="false" ht="16.5" hidden="false" customHeight="true" outlineLevel="0" collapsed="false">
      <c r="A304" s="2" t="s">
        <v>385</v>
      </c>
      <c r="B304" s="2" t="s">
        <v>391</v>
      </c>
      <c r="C304" s="2" t="s">
        <v>8</v>
      </c>
      <c r="D304" s="2" t="str">
        <f aca="false">IF(2キー同時!$B$71="","",2キー同時!$B$71)</f>
        <v>h</v>
      </c>
      <c r="E304" s="2" t="str">
        <f aca="false">""</f>
        <v/>
      </c>
      <c r="F304" s="2" t="str">
        <f aca="false">""</f>
        <v/>
      </c>
      <c r="G304" s="2" t="str">
        <f aca="false">IF(2キー同時!$B$71="","",IF(2キー同時!AL73="","",SUBSTITUTE(SUBSTITUTE(2キー同時!AL73," ",""),"　","")))</f>
        <v/>
      </c>
      <c r="H304" s="2" t="str">
        <f aca="false">IF($G304="","",2キー同時!$B$71)</f>
        <v/>
      </c>
      <c r="I304" s="2" t="str">
        <f aca="false">IF($G304="","","9")</f>
        <v/>
      </c>
      <c r="J304" s="2" t="str">
        <f aca="false">""</f>
        <v/>
      </c>
      <c r="K304" s="2" t="str">
        <f aca="false">""</f>
        <v/>
      </c>
      <c r="L304" s="2" t="str">
        <f aca="false">IF($G304="","","同時")</f>
        <v/>
      </c>
      <c r="M304" s="2" t="str">
        <f aca="false">IF($G304="","",IF(ISNA(MATCH($G304,個別指定!$A:$A,0)),"行なし",""))</f>
        <v/>
      </c>
      <c r="N304" s="2" t="str">
        <f aca="false">IF($G304="","",IF(COUNTIF($G$2:$G$4460,$G304)&gt;1,"重複",""))</f>
        <v/>
      </c>
    </row>
    <row r="305" customFormat="false" ht="16.5" hidden="false" customHeight="true" outlineLevel="0" collapsed="false">
      <c r="A305" s="2" t="s">
        <v>385</v>
      </c>
      <c r="B305" s="2" t="s">
        <v>391</v>
      </c>
      <c r="C305" s="2" t="s">
        <v>9</v>
      </c>
      <c r="D305" s="2" t="str">
        <f aca="false">IF(2キー同時!$B$71="","",2キー同時!$B$71)</f>
        <v>h</v>
      </c>
      <c r="E305" s="2" t="str">
        <f aca="false">""</f>
        <v/>
      </c>
      <c r="F305" s="2" t="str">
        <f aca="false">""</f>
        <v/>
      </c>
      <c r="G305" s="2" t="str">
        <f aca="false">IF(2キー同時!$B$71="","",IF(2キー同時!AP73="","",SUBSTITUTE(SUBSTITUTE(2キー同時!AP73," ",""),"　","")))</f>
        <v/>
      </c>
      <c r="H305" s="2" t="str">
        <f aca="false">IF($G305="","",2キー同時!$B$71)</f>
        <v/>
      </c>
      <c r="I305" s="2" t="str">
        <f aca="false">IF($G305="","","0")</f>
        <v/>
      </c>
      <c r="J305" s="2" t="str">
        <f aca="false">""</f>
        <v/>
      </c>
      <c r="K305" s="2" t="str">
        <f aca="false">""</f>
        <v/>
      </c>
      <c r="L305" s="2" t="str">
        <f aca="false">IF($G305="","","同時")</f>
        <v/>
      </c>
      <c r="M305" s="2" t="str">
        <f aca="false">IF($G305="","",IF(ISNA(MATCH($G305,個別指定!$A:$A,0)),"行なし",""))</f>
        <v/>
      </c>
      <c r="N305" s="2" t="str">
        <f aca="false">IF($G305="","",IF(COUNTIF($G$2:$G$4460,$G305)&gt;1,"重複",""))</f>
        <v/>
      </c>
    </row>
    <row r="306" customFormat="false" ht="16.5" hidden="false" customHeight="true" outlineLevel="0" collapsed="false">
      <c r="A306" s="2" t="s">
        <v>385</v>
      </c>
      <c r="B306" s="2" t="s">
        <v>391</v>
      </c>
      <c r="C306" s="2" t="s">
        <v>10</v>
      </c>
      <c r="D306" s="2" t="str">
        <f aca="false">IF(2キー同時!$B$71="","",2キー同時!$B$71)</f>
        <v>h</v>
      </c>
      <c r="E306" s="2" t="str">
        <f aca="false">""</f>
        <v/>
      </c>
      <c r="F306" s="2" t="str">
        <f aca="false">""</f>
        <v/>
      </c>
      <c r="G306" s="2" t="str">
        <f aca="false">IF(2キー同時!$B$71="","",IF(2キー同時!AT73="","",SUBSTITUTE(SUBSTITUTE(2キー同時!AT73," ",""),"　","")))</f>
        <v/>
      </c>
      <c r="H306" s="2" t="str">
        <f aca="false">IF($G306="","",2キー同時!$B$71)</f>
        <v/>
      </c>
      <c r="I306" s="2" t="str">
        <f aca="false">IF($G306="","","-")</f>
        <v/>
      </c>
      <c r="J306" s="2" t="str">
        <f aca="false">""</f>
        <v/>
      </c>
      <c r="K306" s="2" t="str">
        <f aca="false">""</f>
        <v/>
      </c>
      <c r="L306" s="2" t="str">
        <f aca="false">IF($G306="","","同時")</f>
        <v/>
      </c>
      <c r="M306" s="2" t="str">
        <f aca="false">IF($G306="","",IF(ISNA(MATCH($G306,個別指定!$A:$A,0)),"行なし",""))</f>
        <v/>
      </c>
      <c r="N306" s="2" t="str">
        <f aca="false">IF($G306="","",IF(COUNTIF($G$2:$G$4460,$G306)&gt;1,"重複",""))</f>
        <v/>
      </c>
    </row>
    <row r="307" customFormat="false" ht="16.5" hidden="false" customHeight="true" outlineLevel="0" collapsed="false">
      <c r="A307" s="2" t="s">
        <v>385</v>
      </c>
      <c r="B307" s="2" t="s">
        <v>391</v>
      </c>
      <c r="C307" s="2" t="s">
        <v>11</v>
      </c>
      <c r="D307" s="2" t="str">
        <f aca="false">IF(2キー同時!$B$71="","",2キー同時!$B$71)</f>
        <v>h</v>
      </c>
      <c r="E307" s="2" t="str">
        <f aca="false">""</f>
        <v/>
      </c>
      <c r="F307" s="2" t="str">
        <f aca="false">""</f>
        <v/>
      </c>
      <c r="G307" s="2" t="str">
        <f aca="false">IF(2キー同時!$B$71="","",IF(2キー同時!AX73="","",SUBSTITUTE(SUBSTITUTE(2キー同時!AX73," ",""),"　","")))</f>
        <v/>
      </c>
      <c r="H307" s="2" t="str">
        <f aca="false">IF($G307="","",2キー同時!$B$71)</f>
        <v/>
      </c>
      <c r="I307" s="2" t="str">
        <f aca="false">IF($G307="","","=")</f>
        <v/>
      </c>
      <c r="J307" s="2" t="str">
        <f aca="false">""</f>
        <v/>
      </c>
      <c r="K307" s="2" t="str">
        <f aca="false">""</f>
        <v/>
      </c>
      <c r="L307" s="2" t="str">
        <f aca="false">IF($G307="","","同時")</f>
        <v/>
      </c>
      <c r="M307" s="2" t="str">
        <f aca="false">IF($G307="","",IF(ISNA(MATCH($G307,個別指定!$A:$A,0)),"行なし",""))</f>
        <v/>
      </c>
      <c r="N307" s="2" t="str">
        <f aca="false">IF($G307="","",IF(COUNTIF($G$2:$G$4460,$G307)&gt;1,"重複",""))</f>
        <v/>
      </c>
    </row>
    <row r="308" customFormat="false" ht="16.5" hidden="false" customHeight="true" outlineLevel="0" collapsed="false">
      <c r="A308" s="2" t="s">
        <v>385</v>
      </c>
      <c r="B308" s="2" t="s">
        <v>391</v>
      </c>
      <c r="C308" s="2" t="s">
        <v>12</v>
      </c>
      <c r="D308" s="2" t="str">
        <f aca="false">IF(2キー同時!$B$71="","",2キー同時!$B$71)</f>
        <v>h</v>
      </c>
      <c r="E308" s="2" t="str">
        <f aca="false">""</f>
        <v/>
      </c>
      <c r="F308" s="2" t="str">
        <f aca="false">""</f>
        <v/>
      </c>
      <c r="G308" s="2" t="str">
        <f aca="false">IF(2キー同時!$B$71="","",IF(2キー同時!H75="","",SUBSTITUTE(SUBSTITUTE(2キー同時!H75," ",""),"　","")))</f>
        <v/>
      </c>
      <c r="H308" s="2" t="str">
        <f aca="false">IF($G308="","",2キー同時!$B$71)</f>
        <v/>
      </c>
      <c r="I308" s="2" t="str">
        <f aca="false">IF($G308="","","q")</f>
        <v/>
      </c>
      <c r="J308" s="2" t="str">
        <f aca="false">""</f>
        <v/>
      </c>
      <c r="K308" s="2" t="str">
        <f aca="false">""</f>
        <v/>
      </c>
      <c r="L308" s="2" t="str">
        <f aca="false">IF($G308="","","同時")</f>
        <v/>
      </c>
      <c r="M308" s="2" t="str">
        <f aca="false">IF($G308="","",IF(ISNA(MATCH($G308,個別指定!$A:$A,0)),"行なし",""))</f>
        <v/>
      </c>
      <c r="N308" s="2" t="str">
        <f aca="false">IF($G308="","",IF(COUNTIF($G$2:$G$4460,$G308)&gt;1,"重複",""))</f>
        <v/>
      </c>
    </row>
    <row r="309" customFormat="false" ht="16.5" hidden="false" customHeight="true" outlineLevel="0" collapsed="false">
      <c r="A309" s="2" t="s">
        <v>385</v>
      </c>
      <c r="B309" s="2" t="s">
        <v>391</v>
      </c>
      <c r="C309" s="2" t="s">
        <v>13</v>
      </c>
      <c r="D309" s="2" t="str">
        <f aca="false">IF(2キー同時!$B$71="","",2キー同時!$B$71)</f>
        <v>h</v>
      </c>
      <c r="E309" s="2" t="str">
        <f aca="false">""</f>
        <v/>
      </c>
      <c r="F309" s="2" t="str">
        <f aca="false">""</f>
        <v/>
      </c>
      <c r="G309" s="2" t="str">
        <f aca="false">IF(2キー同時!$B$71="","",IF(2キー同時!L75="","",SUBSTITUTE(SUBSTITUTE(2キー同時!L75," ",""),"　","")))</f>
        <v>きゃ</v>
      </c>
      <c r="H309" s="2" t="str">
        <f aca="false">IF($G309="","",2キー同時!$B$71)</f>
        <v>h</v>
      </c>
      <c r="I309" s="2" t="str">
        <f aca="false">IF($G309="","","w")</f>
        <v>w</v>
      </c>
      <c r="J309" s="2" t="str">
        <f aca="false">""</f>
        <v/>
      </c>
      <c r="K309" s="2" t="str">
        <f aca="false">""</f>
        <v/>
      </c>
      <c r="L309" s="2" t="str">
        <f aca="false">IF($G309="","","同時")</f>
        <v>同時</v>
      </c>
      <c r="M309" s="2" t="str">
        <f aca="false">IF($G309="","",IF(ISNA(MATCH($G309,個別指定!$A:$A,0)),"行なし",""))</f>
        <v/>
      </c>
      <c r="N309" s="2" t="str">
        <f aca="false">IF($G309="","",IF(COUNTIF($G$2:$G$4460,$G309)&gt;1,"重複",""))</f>
        <v/>
      </c>
    </row>
    <row r="310" customFormat="false" ht="16.5" hidden="false" customHeight="true" outlineLevel="0" collapsed="false">
      <c r="A310" s="2" t="s">
        <v>385</v>
      </c>
      <c r="B310" s="2" t="s">
        <v>391</v>
      </c>
      <c r="C310" s="2" t="s">
        <v>14</v>
      </c>
      <c r="D310" s="2" t="str">
        <f aca="false">IF(2キー同時!$B$71="","",2キー同時!$B$71)</f>
        <v>h</v>
      </c>
      <c r="E310" s="2" t="str">
        <f aca="false">""</f>
        <v/>
      </c>
      <c r="F310" s="2" t="str">
        <f aca="false">""</f>
        <v/>
      </c>
      <c r="G310" s="2" t="str">
        <f aca="false">IF(2キー同時!$B$71="","",IF(2キー同時!P75="","",SUBSTITUTE(SUBSTITUTE(2キー同時!P75," ",""),"　","")))</f>
        <v>りゃ</v>
      </c>
      <c r="H310" s="2" t="str">
        <f aca="false">IF($G310="","",2キー同時!$B$71)</f>
        <v>h</v>
      </c>
      <c r="I310" s="2" t="str">
        <f aca="false">IF($G310="","","e")</f>
        <v>e</v>
      </c>
      <c r="J310" s="2" t="str">
        <f aca="false">""</f>
        <v/>
      </c>
      <c r="K310" s="2" t="str">
        <f aca="false">""</f>
        <v/>
      </c>
      <c r="L310" s="2" t="str">
        <f aca="false">IF($G310="","","同時")</f>
        <v>同時</v>
      </c>
      <c r="M310" s="2" t="str">
        <f aca="false">IF($G310="","",IF(ISNA(MATCH($G310,個別指定!$A:$A,0)),"行なし",""))</f>
        <v/>
      </c>
      <c r="N310" s="2" t="str">
        <f aca="false">IF($G310="","",IF(COUNTIF($G$2:$G$4460,$G310)&gt;1,"重複",""))</f>
        <v/>
      </c>
    </row>
    <row r="311" customFormat="false" ht="16.5" hidden="false" customHeight="true" outlineLevel="0" collapsed="false">
      <c r="A311" s="2" t="s">
        <v>385</v>
      </c>
      <c r="B311" s="2" t="s">
        <v>391</v>
      </c>
      <c r="C311" s="2" t="s">
        <v>15</v>
      </c>
      <c r="D311" s="2" t="str">
        <f aca="false">IF(2キー同時!$B$71="","",2キー同時!$B$71)</f>
        <v>h</v>
      </c>
      <c r="E311" s="2" t="str">
        <f aca="false">""</f>
        <v/>
      </c>
      <c r="F311" s="2" t="str">
        <f aca="false">""</f>
        <v/>
      </c>
      <c r="G311" s="2" t="str">
        <f aca="false">IF(2キー同時!$B$71="","",IF(2キー同時!T75="","",SUBSTITUTE(SUBSTITUTE(2キー同時!T75," ",""),"　","")))</f>
        <v>しゃ</v>
      </c>
      <c r="H311" s="2" t="str">
        <f aca="false">IF($G311="","",2キー同時!$B$71)</f>
        <v>h</v>
      </c>
      <c r="I311" s="2" t="str">
        <f aca="false">IF($G311="","","r")</f>
        <v>r</v>
      </c>
      <c r="J311" s="2" t="str">
        <f aca="false">""</f>
        <v/>
      </c>
      <c r="K311" s="2" t="str">
        <f aca="false">""</f>
        <v/>
      </c>
      <c r="L311" s="2" t="str">
        <f aca="false">IF($G311="","","同時")</f>
        <v>同時</v>
      </c>
      <c r="M311" s="2" t="str">
        <f aca="false">IF($G311="","",IF(ISNA(MATCH($G311,個別指定!$A:$A,0)),"行なし",""))</f>
        <v/>
      </c>
      <c r="N311" s="2" t="str">
        <f aca="false">IF($G311="","",IF(COUNTIF($G$2:$G$4460,$G311)&gt;1,"重複",""))</f>
        <v/>
      </c>
    </row>
    <row r="312" customFormat="false" ht="16.5" hidden="false" customHeight="true" outlineLevel="0" collapsed="false">
      <c r="A312" s="2" t="s">
        <v>385</v>
      </c>
      <c r="B312" s="2" t="s">
        <v>391</v>
      </c>
      <c r="C312" s="2" t="s">
        <v>16</v>
      </c>
      <c r="D312" s="2" t="str">
        <f aca="false">IF(2キー同時!$B$71="","",2キー同時!$B$71)</f>
        <v>h</v>
      </c>
      <c r="E312" s="2" t="str">
        <f aca="false">""</f>
        <v/>
      </c>
      <c r="F312" s="2" t="str">
        <f aca="false">""</f>
        <v/>
      </c>
      <c r="G312" s="2" t="str">
        <f aca="false">IF(2キー同時!$B$71="","",IF(2キー同時!X75="","",SUBSTITUTE(SUBSTITUTE(2キー同時!X75," ",""),"　","")))</f>
        <v/>
      </c>
      <c r="H312" s="2" t="str">
        <f aca="false">IF($G312="","",2キー同時!$B$71)</f>
        <v/>
      </c>
      <c r="I312" s="2" t="str">
        <f aca="false">IF($G312="","","t")</f>
        <v/>
      </c>
      <c r="J312" s="2" t="str">
        <f aca="false">""</f>
        <v/>
      </c>
      <c r="K312" s="2" t="str">
        <f aca="false">""</f>
        <v/>
      </c>
      <c r="L312" s="2" t="str">
        <f aca="false">IF($G312="","","同時")</f>
        <v/>
      </c>
      <c r="M312" s="2" t="str">
        <f aca="false">IF($G312="","",IF(ISNA(MATCH($G312,個別指定!$A:$A,0)),"行なし",""))</f>
        <v/>
      </c>
      <c r="N312" s="2" t="str">
        <f aca="false">IF($G312="","",IF(COUNTIF($G$2:$G$4460,$G312)&gt;1,"重複",""))</f>
        <v/>
      </c>
    </row>
    <row r="313" customFormat="false" ht="16.5" hidden="false" customHeight="true" outlineLevel="0" collapsed="false">
      <c r="A313" s="2" t="s">
        <v>385</v>
      </c>
      <c r="B313" s="2" t="s">
        <v>391</v>
      </c>
      <c r="C313" s="2" t="s">
        <v>17</v>
      </c>
      <c r="D313" s="2" t="str">
        <f aca="false">IF(2キー同時!$B$71="","",2キー同時!$B$71)</f>
        <v>h</v>
      </c>
      <c r="E313" s="2" t="str">
        <f aca="false">""</f>
        <v/>
      </c>
      <c r="F313" s="2" t="str">
        <f aca="false">""</f>
        <v/>
      </c>
      <c r="G313" s="2" t="str">
        <f aca="false">IF(2キー同時!$B$71="","",IF(2キー同時!AB75="","",SUBSTITUTE(SUBSTITUTE(2キー同時!AB75," ",""),"　","")))</f>
        <v/>
      </c>
      <c r="H313" s="2" t="str">
        <f aca="false">IF($G313="","",2キー同時!$B$71)</f>
        <v/>
      </c>
      <c r="I313" s="2" t="str">
        <f aca="false">IF($G313="","","y")</f>
        <v/>
      </c>
      <c r="J313" s="2" t="str">
        <f aca="false">""</f>
        <v/>
      </c>
      <c r="K313" s="2" t="str">
        <f aca="false">""</f>
        <v/>
      </c>
      <c r="L313" s="2" t="str">
        <f aca="false">IF($G313="","","同時")</f>
        <v/>
      </c>
      <c r="M313" s="2" t="str">
        <f aca="false">IF($G313="","",IF(ISNA(MATCH($G313,個別指定!$A:$A,0)),"行なし",""))</f>
        <v/>
      </c>
      <c r="N313" s="2" t="str">
        <f aca="false">IF($G313="","",IF(COUNTIF($G$2:$G$4460,$G313)&gt;1,"重複",""))</f>
        <v/>
      </c>
    </row>
    <row r="314" customFormat="false" ht="16.5" hidden="false" customHeight="true" outlineLevel="0" collapsed="false">
      <c r="A314" s="2" t="s">
        <v>385</v>
      </c>
      <c r="B314" s="2" t="s">
        <v>391</v>
      </c>
      <c r="C314" s="2" t="s">
        <v>18</v>
      </c>
      <c r="D314" s="2" t="str">
        <f aca="false">IF(2キー同時!$B$71="","",2キー同時!$B$71)</f>
        <v>h</v>
      </c>
      <c r="E314" s="2" t="str">
        <f aca="false">""</f>
        <v/>
      </c>
      <c r="F314" s="2" t="str">
        <f aca="false">""</f>
        <v/>
      </c>
      <c r="G314" s="2" t="str">
        <f aca="false">IF(2キー同時!$B$71="","",IF(2キー同時!AF75="","",SUBSTITUTE(SUBSTITUTE(2キー同時!AF75," ",""),"　","")))</f>
        <v/>
      </c>
      <c r="H314" s="2" t="str">
        <f aca="false">IF($G314="","",2キー同時!$B$71)</f>
        <v/>
      </c>
      <c r="I314" s="2" t="str">
        <f aca="false">IF($G314="","","u")</f>
        <v/>
      </c>
      <c r="J314" s="2" t="str">
        <f aca="false">""</f>
        <v/>
      </c>
      <c r="K314" s="2" t="str">
        <f aca="false">""</f>
        <v/>
      </c>
      <c r="L314" s="2" t="str">
        <f aca="false">IF($G314="","","同時")</f>
        <v/>
      </c>
      <c r="M314" s="2" t="str">
        <f aca="false">IF($G314="","",IF(ISNA(MATCH($G314,個別指定!$A:$A,0)),"行なし",""))</f>
        <v/>
      </c>
      <c r="N314" s="2" t="str">
        <f aca="false">IF($G314="","",IF(COUNTIF($G$2:$G$4460,$G314)&gt;1,"重複",""))</f>
        <v/>
      </c>
    </row>
    <row r="315" customFormat="false" ht="16.5" hidden="false" customHeight="true" outlineLevel="0" collapsed="false">
      <c r="A315" s="2" t="s">
        <v>385</v>
      </c>
      <c r="B315" s="2" t="s">
        <v>391</v>
      </c>
      <c r="C315" s="2" t="s">
        <v>19</v>
      </c>
      <c r="D315" s="2" t="str">
        <f aca="false">IF(2キー同時!$B$71="","",2キー同時!$B$71)</f>
        <v>h</v>
      </c>
      <c r="E315" s="2" t="str">
        <f aca="false">""</f>
        <v/>
      </c>
      <c r="F315" s="2" t="str">
        <f aca="false">""</f>
        <v/>
      </c>
      <c r="G315" s="2" t="str">
        <f aca="false">IF(2キー同時!$B$71="","",IF(2キー同時!AJ75="","",SUBSTITUTE(SUBSTITUTE(2キー同時!AJ75," ",""),"　","")))</f>
        <v/>
      </c>
      <c r="H315" s="2" t="str">
        <f aca="false">IF($G315="","",2キー同時!$B$71)</f>
        <v/>
      </c>
      <c r="I315" s="2" t="str">
        <f aca="false">IF($G315="","","i")</f>
        <v/>
      </c>
      <c r="J315" s="2" t="str">
        <f aca="false">""</f>
        <v/>
      </c>
      <c r="K315" s="2" t="str">
        <f aca="false">""</f>
        <v/>
      </c>
      <c r="L315" s="2" t="str">
        <f aca="false">IF($G315="","","同時")</f>
        <v/>
      </c>
      <c r="M315" s="2" t="str">
        <f aca="false">IF($G315="","",IF(ISNA(MATCH($G315,個別指定!$A:$A,0)),"行なし",""))</f>
        <v/>
      </c>
      <c r="N315" s="2" t="str">
        <f aca="false">IF($G315="","",IF(COUNTIF($G$2:$G$4460,$G315)&gt;1,"重複",""))</f>
        <v/>
      </c>
    </row>
    <row r="316" customFormat="false" ht="16.5" hidden="false" customHeight="true" outlineLevel="0" collapsed="false">
      <c r="A316" s="2" t="s">
        <v>385</v>
      </c>
      <c r="B316" s="2" t="s">
        <v>391</v>
      </c>
      <c r="C316" s="2" t="s">
        <v>20</v>
      </c>
      <c r="D316" s="2" t="str">
        <f aca="false">IF(2キー同時!$B$71="","",2キー同時!$B$71)</f>
        <v>h</v>
      </c>
      <c r="E316" s="2" t="str">
        <f aca="false">""</f>
        <v/>
      </c>
      <c r="F316" s="2" t="str">
        <f aca="false">""</f>
        <v/>
      </c>
      <c r="G316" s="2" t="str">
        <f aca="false">IF(2キー同時!$B$71="","",IF(2キー同時!AN75="","",SUBSTITUTE(SUBSTITUTE(2キー同時!AN75," ",""),"　","")))</f>
        <v/>
      </c>
      <c r="H316" s="2" t="str">
        <f aca="false">IF($G316="","",2キー同時!$B$71)</f>
        <v/>
      </c>
      <c r="I316" s="2" t="str">
        <f aca="false">IF($G316="","","o")</f>
        <v/>
      </c>
      <c r="J316" s="2" t="str">
        <f aca="false">""</f>
        <v/>
      </c>
      <c r="K316" s="2" t="str">
        <f aca="false">""</f>
        <v/>
      </c>
      <c r="L316" s="2" t="str">
        <f aca="false">IF($G316="","","同時")</f>
        <v/>
      </c>
      <c r="M316" s="2" t="str">
        <f aca="false">IF($G316="","",IF(ISNA(MATCH($G316,個別指定!$A:$A,0)),"行なし",""))</f>
        <v/>
      </c>
      <c r="N316" s="2" t="str">
        <f aca="false">IF($G316="","",IF(COUNTIF($G$2:$G$4460,$G316)&gt;1,"重複",""))</f>
        <v/>
      </c>
    </row>
    <row r="317" customFormat="false" ht="16.5" hidden="false" customHeight="true" outlineLevel="0" collapsed="false">
      <c r="A317" s="2" t="s">
        <v>385</v>
      </c>
      <c r="B317" s="2" t="s">
        <v>391</v>
      </c>
      <c r="C317" s="2" t="s">
        <v>21</v>
      </c>
      <c r="D317" s="2" t="str">
        <f aca="false">IF(2キー同時!$B$71="","",2キー同時!$B$71)</f>
        <v>h</v>
      </c>
      <c r="E317" s="2" t="str">
        <f aca="false">""</f>
        <v/>
      </c>
      <c r="F317" s="2" t="str">
        <f aca="false">""</f>
        <v/>
      </c>
      <c r="G317" s="2" t="str">
        <f aca="false">IF(2キー同時!$B$71="","",IF(2キー同時!AR75="","",SUBSTITUTE(SUBSTITUTE(2キー同時!AR75," ",""),"　","")))</f>
        <v/>
      </c>
      <c r="H317" s="2" t="str">
        <f aca="false">IF($G317="","",2キー同時!$B$71)</f>
        <v/>
      </c>
      <c r="I317" s="2" t="str">
        <f aca="false">IF($G317="","","p")</f>
        <v/>
      </c>
      <c r="J317" s="2" t="str">
        <f aca="false">""</f>
        <v/>
      </c>
      <c r="K317" s="2" t="str">
        <f aca="false">""</f>
        <v/>
      </c>
      <c r="L317" s="2" t="str">
        <f aca="false">IF($G317="","","同時")</f>
        <v/>
      </c>
      <c r="M317" s="2" t="str">
        <f aca="false">IF($G317="","",IF(ISNA(MATCH($G317,個別指定!$A:$A,0)),"行なし",""))</f>
        <v/>
      </c>
      <c r="N317" s="2" t="str">
        <f aca="false">IF($G317="","",IF(COUNTIF($G$2:$G$4460,$G317)&gt;1,"重複",""))</f>
        <v/>
      </c>
    </row>
    <row r="318" customFormat="false" ht="16.5" hidden="false" customHeight="true" outlineLevel="0" collapsed="false">
      <c r="A318" s="2" t="s">
        <v>385</v>
      </c>
      <c r="B318" s="2" t="s">
        <v>391</v>
      </c>
      <c r="C318" s="2" t="s">
        <v>22</v>
      </c>
      <c r="D318" s="2" t="str">
        <f aca="false">IF(2キー同時!$B$71="","",2キー同時!$B$71)</f>
        <v>h</v>
      </c>
      <c r="E318" s="2" t="str">
        <f aca="false">""</f>
        <v/>
      </c>
      <c r="F318" s="2" t="str">
        <f aca="false">""</f>
        <v/>
      </c>
      <c r="G318" s="2" t="str">
        <f aca="false">IF(2キー同時!$B$71="","",IF(2キー同時!AV75="","",SUBSTITUTE(SUBSTITUTE(2キー同時!AV75," ",""),"　","")))</f>
        <v/>
      </c>
      <c r="H318" s="2" t="str">
        <f aca="false">IF($G318="","",2キー同時!$B$71)</f>
        <v/>
      </c>
      <c r="I318" s="2" t="str">
        <f aca="false">IF($G318="","","[")</f>
        <v/>
      </c>
      <c r="J318" s="2" t="str">
        <f aca="false">""</f>
        <v/>
      </c>
      <c r="K318" s="2" t="str">
        <f aca="false">""</f>
        <v/>
      </c>
      <c r="L318" s="2" t="str">
        <f aca="false">IF($G318="","","同時")</f>
        <v/>
      </c>
      <c r="M318" s="2" t="str">
        <f aca="false">IF($G318="","",IF(ISNA(MATCH($G318,個別指定!$A:$A,0)),"行なし",""))</f>
        <v/>
      </c>
      <c r="N318" s="2" t="str">
        <f aca="false">IF($G318="","",IF(COUNTIF($G$2:$G$4460,$G318)&gt;1,"重複",""))</f>
        <v/>
      </c>
    </row>
    <row r="319" customFormat="false" ht="16.5" hidden="false" customHeight="true" outlineLevel="0" collapsed="false">
      <c r="A319" s="2" t="s">
        <v>385</v>
      </c>
      <c r="B319" s="2" t="s">
        <v>391</v>
      </c>
      <c r="C319" s="2" t="s">
        <v>23</v>
      </c>
      <c r="D319" s="2" t="str">
        <f aca="false">IF(2キー同時!$B$71="","",2キー同時!$B$71)</f>
        <v>h</v>
      </c>
      <c r="E319" s="2" t="str">
        <f aca="false">""</f>
        <v/>
      </c>
      <c r="F319" s="2" t="str">
        <f aca="false">""</f>
        <v/>
      </c>
      <c r="G319" s="2" t="str">
        <f aca="false">IF(2キー同時!$B$71="","",IF(2キー同時!AZ75="","",SUBSTITUTE(SUBSTITUTE(2キー同時!AZ75," ",""),"　","")))</f>
        <v/>
      </c>
      <c r="H319" s="2" t="str">
        <f aca="false">IF($G319="","",2キー同時!$B$71)</f>
        <v/>
      </c>
      <c r="I319" s="2" t="str">
        <f aca="false">IF($G319="","","]")</f>
        <v/>
      </c>
      <c r="J319" s="2" t="str">
        <f aca="false">""</f>
        <v/>
      </c>
      <c r="K319" s="2" t="str">
        <f aca="false">""</f>
        <v/>
      </c>
      <c r="L319" s="2" t="str">
        <f aca="false">IF($G319="","","同時")</f>
        <v/>
      </c>
      <c r="M319" s="2" t="str">
        <f aca="false">IF($G319="","",IF(ISNA(MATCH($G319,個別指定!$A:$A,0)),"行なし",""))</f>
        <v/>
      </c>
      <c r="N319" s="2" t="str">
        <f aca="false">IF($G319="","",IF(COUNTIF($G$2:$G$4460,$G319)&gt;1,"重複",""))</f>
        <v/>
      </c>
    </row>
    <row r="320" customFormat="false" ht="16.5" hidden="false" customHeight="true" outlineLevel="0" collapsed="false">
      <c r="A320" s="2" t="s">
        <v>385</v>
      </c>
      <c r="B320" s="2" t="s">
        <v>391</v>
      </c>
      <c r="C320" s="2" t="s">
        <v>24</v>
      </c>
      <c r="D320" s="2" t="str">
        <f aca="false">IF(2キー同時!$B$71="","",2キー同時!$B$71)</f>
        <v>h</v>
      </c>
      <c r="E320" s="2" t="str">
        <f aca="false">""</f>
        <v/>
      </c>
      <c r="F320" s="2" t="str">
        <f aca="false">""</f>
        <v/>
      </c>
      <c r="G320" s="2" t="str">
        <f aca="false">IF(2キー同時!$B$71="","",IF(2キー同時!I77="","",SUBSTITUTE(SUBSTITUTE(2キー同時!I77," ",""),"　","")))</f>
        <v/>
      </c>
      <c r="H320" s="2" t="str">
        <f aca="false">IF($G320="","",2キー同時!$B$71)</f>
        <v/>
      </c>
      <c r="I320" s="2" t="str">
        <f aca="false">IF($G320="","","a")</f>
        <v/>
      </c>
      <c r="J320" s="2" t="str">
        <f aca="false">""</f>
        <v/>
      </c>
      <c r="K320" s="2" t="str">
        <f aca="false">""</f>
        <v/>
      </c>
      <c r="L320" s="2" t="str">
        <f aca="false">IF($G320="","","同時")</f>
        <v/>
      </c>
      <c r="M320" s="2" t="str">
        <f aca="false">IF($G320="","",IF(ISNA(MATCH($G320,個別指定!$A:$A,0)),"行なし",""))</f>
        <v/>
      </c>
      <c r="N320" s="2" t="str">
        <f aca="false">IF($G320="","",IF(COUNTIF($G$2:$G$4460,$G320)&gt;1,"重複",""))</f>
        <v/>
      </c>
    </row>
    <row r="321" customFormat="false" ht="16.5" hidden="false" customHeight="true" outlineLevel="0" collapsed="false">
      <c r="A321" s="2" t="s">
        <v>385</v>
      </c>
      <c r="B321" s="2" t="s">
        <v>391</v>
      </c>
      <c r="C321" s="2" t="s">
        <v>25</v>
      </c>
      <c r="D321" s="2" t="str">
        <f aca="false">IF(2キー同時!$B$71="","",2キー同時!$B$71)</f>
        <v>h</v>
      </c>
      <c r="E321" s="2" t="str">
        <f aca="false">""</f>
        <v/>
      </c>
      <c r="F321" s="2" t="str">
        <f aca="false">""</f>
        <v/>
      </c>
      <c r="G321" s="2" t="str">
        <f aca="false">IF(2キー同時!$B$71="","",IF(2キー同時!M77="","",SUBSTITUTE(SUBSTITUTE(2キー同時!M77," ",""),"　","")))</f>
        <v>みゃ</v>
      </c>
      <c r="H321" s="2" t="str">
        <f aca="false">IF($G321="","",2キー同時!$B$71)</f>
        <v>h</v>
      </c>
      <c r="I321" s="2" t="str">
        <f aca="false">IF($G321="","","s")</f>
        <v>s</v>
      </c>
      <c r="J321" s="2" t="str">
        <f aca="false">""</f>
        <v/>
      </c>
      <c r="K321" s="2" t="str">
        <f aca="false">""</f>
        <v/>
      </c>
      <c r="L321" s="2" t="str">
        <f aca="false">IF($G321="","","同時")</f>
        <v>同時</v>
      </c>
      <c r="M321" s="2" t="str">
        <f aca="false">IF($G321="","",IF(ISNA(MATCH($G321,個別指定!$A:$A,0)),"行なし",""))</f>
        <v/>
      </c>
      <c r="N321" s="2" t="str">
        <f aca="false">IF($G321="","",IF(COUNTIF($G$2:$G$4460,$G321)&gt;1,"重複",""))</f>
        <v/>
      </c>
    </row>
    <row r="322" customFormat="false" ht="16.5" hidden="false" customHeight="true" outlineLevel="0" collapsed="false">
      <c r="A322" s="2" t="s">
        <v>385</v>
      </c>
      <c r="B322" s="2" t="s">
        <v>391</v>
      </c>
      <c r="C322" s="2" t="s">
        <v>26</v>
      </c>
      <c r="D322" s="2" t="str">
        <f aca="false">IF(2キー同時!$B$71="","",2キー同時!$B$71)</f>
        <v>h</v>
      </c>
      <c r="E322" s="2" t="str">
        <f aca="false">""</f>
        <v/>
      </c>
      <c r="F322" s="2" t="str">
        <f aca="false">""</f>
        <v/>
      </c>
      <c r="G322" s="2" t="str">
        <f aca="false">IF(2キー同時!$B$71="","",IF(2キー同時!Q77="","",SUBSTITUTE(SUBSTITUTE(2キー同時!Q77," ",""),"　","")))</f>
        <v>にゃ</v>
      </c>
      <c r="H322" s="2" t="str">
        <f aca="false">IF($G322="","",2キー同時!$B$71)</f>
        <v>h</v>
      </c>
      <c r="I322" s="2" t="str">
        <f aca="false">IF($G322="","","d")</f>
        <v>d</v>
      </c>
      <c r="J322" s="2" t="str">
        <f aca="false">""</f>
        <v/>
      </c>
      <c r="K322" s="2" t="str">
        <f aca="false">""</f>
        <v/>
      </c>
      <c r="L322" s="2" t="str">
        <f aca="false">IF($G322="","","同時")</f>
        <v>同時</v>
      </c>
      <c r="M322" s="2" t="str">
        <f aca="false">IF($G322="","",IF(ISNA(MATCH($G322,個別指定!$A:$A,0)),"行なし",""))</f>
        <v/>
      </c>
      <c r="N322" s="2" t="str">
        <f aca="false">IF($G322="","",IF(COUNTIF($G$2:$G$4460,$G322)&gt;1,"重複",""))</f>
        <v/>
      </c>
    </row>
    <row r="323" customFormat="false" ht="16.5" hidden="false" customHeight="true" outlineLevel="0" collapsed="false">
      <c r="A323" s="2" t="s">
        <v>385</v>
      </c>
      <c r="B323" s="2" t="s">
        <v>391</v>
      </c>
      <c r="C323" s="2" t="s">
        <v>27</v>
      </c>
      <c r="D323" s="2" t="str">
        <f aca="false">IF(2キー同時!$B$71="","",2キー同時!$B$71)</f>
        <v>h</v>
      </c>
      <c r="E323" s="2" t="str">
        <f aca="false">""</f>
        <v/>
      </c>
      <c r="F323" s="2" t="str">
        <f aca="false">""</f>
        <v/>
      </c>
      <c r="G323" s="2" t="str">
        <f aca="false">IF(2キー同時!$B$71="","",IF(2キー同時!U77="","",SUBSTITUTE(SUBSTITUTE(2キー同時!U77," ",""),"　","")))</f>
        <v/>
      </c>
      <c r="H323" s="2" t="str">
        <f aca="false">IF($G323="","",2キー同時!$B$71)</f>
        <v/>
      </c>
      <c r="I323" s="2" t="str">
        <f aca="false">IF($G323="","","f")</f>
        <v/>
      </c>
      <c r="J323" s="2" t="str">
        <f aca="false">""</f>
        <v/>
      </c>
      <c r="K323" s="2" t="str">
        <f aca="false">""</f>
        <v/>
      </c>
      <c r="L323" s="2" t="str">
        <f aca="false">IF($G323="","","同時")</f>
        <v/>
      </c>
      <c r="M323" s="2" t="str">
        <f aca="false">IF($G323="","",IF(ISNA(MATCH($G323,個別指定!$A:$A,0)),"行なし",""))</f>
        <v/>
      </c>
      <c r="N323" s="2" t="str">
        <f aca="false">IF($G323="","",IF(COUNTIF($G$2:$G$4460,$G323)&gt;1,"重複",""))</f>
        <v/>
      </c>
    </row>
    <row r="324" customFormat="false" ht="16.5" hidden="false" customHeight="true" outlineLevel="0" collapsed="false">
      <c r="A324" s="2" t="s">
        <v>385</v>
      </c>
      <c r="B324" s="2" t="s">
        <v>391</v>
      </c>
      <c r="C324" s="2" t="s">
        <v>28</v>
      </c>
      <c r="D324" s="2" t="str">
        <f aca="false">IF(2キー同時!$B$71="","",2キー同時!$B$71)</f>
        <v>h</v>
      </c>
      <c r="E324" s="2" t="str">
        <f aca="false">""</f>
        <v/>
      </c>
      <c r="F324" s="2" t="str">
        <f aca="false">""</f>
        <v/>
      </c>
      <c r="G324" s="2" t="str">
        <f aca="false">IF(2キー同時!$B$71="","",IF(2キー同時!Y77="","",SUBSTITUTE(SUBSTITUTE(2キー同時!Y77," ",""),"　","")))</f>
        <v>ちゃ</v>
      </c>
      <c r="H324" s="2" t="str">
        <f aca="false">IF($G324="","",2キー同時!$B$71)</f>
        <v>h</v>
      </c>
      <c r="I324" s="2" t="str">
        <f aca="false">IF($G324="","","g")</f>
        <v>g</v>
      </c>
      <c r="J324" s="2" t="str">
        <f aca="false">""</f>
        <v/>
      </c>
      <c r="K324" s="2" t="str">
        <f aca="false">""</f>
        <v/>
      </c>
      <c r="L324" s="2" t="str">
        <f aca="false">IF($G324="","","同時")</f>
        <v>同時</v>
      </c>
      <c r="M324" s="2" t="str">
        <f aca="false">IF($G324="","",IF(ISNA(MATCH($G324,個別指定!$A:$A,0)),"行なし",""))</f>
        <v/>
      </c>
      <c r="N324" s="2" t="str">
        <f aca="false">IF($G324="","",IF(COUNTIF($G$2:$G$4460,$G324)&gt;1,"重複",""))</f>
        <v/>
      </c>
    </row>
    <row r="325" customFormat="false" ht="16.5" hidden="false" customHeight="true" outlineLevel="0" collapsed="false">
      <c r="A325" s="2" t="s">
        <v>385</v>
      </c>
      <c r="B325" s="2" t="s">
        <v>391</v>
      </c>
      <c r="C325" s="2" t="s">
        <v>29</v>
      </c>
      <c r="D325" s="2" t="str">
        <f aca="false">IF(2キー同時!$B$71="","",2キー同時!$B$71)</f>
        <v>h</v>
      </c>
      <c r="E325" s="2" t="str">
        <f aca="false">""</f>
        <v/>
      </c>
      <c r="F325" s="2" t="str">
        <f aca="false">""</f>
        <v/>
      </c>
      <c r="G325" s="2" t="str">
        <f aca="false">IF(2キー同時!$B$71="","",IF(2キー同時!AC77="","",SUBSTITUTE(SUBSTITUTE(2キー同時!AC77," ",""),"　","")))</f>
        <v/>
      </c>
      <c r="H325" s="2" t="str">
        <f aca="false">IF($G325="","",2キー同時!$B$71)</f>
        <v/>
      </c>
      <c r="I325" s="2" t="str">
        <f aca="false">IF($G325="","","h")</f>
        <v/>
      </c>
      <c r="J325" s="2" t="str">
        <f aca="false">""</f>
        <v/>
      </c>
      <c r="K325" s="2" t="str">
        <f aca="false">""</f>
        <v/>
      </c>
      <c r="L325" s="2" t="str">
        <f aca="false">IF($G325="","","同時")</f>
        <v/>
      </c>
      <c r="M325" s="2" t="str">
        <f aca="false">IF($G325="","",IF(ISNA(MATCH($G325,個別指定!$A:$A,0)),"行なし",""))</f>
        <v/>
      </c>
      <c r="N325" s="2" t="str">
        <f aca="false">IF($G325="","",IF(COUNTIF($G$2:$G$4460,$G325)&gt;1,"重複",""))</f>
        <v/>
      </c>
    </row>
    <row r="326" customFormat="false" ht="16.5" hidden="false" customHeight="true" outlineLevel="0" collapsed="false">
      <c r="A326" s="2" t="s">
        <v>385</v>
      </c>
      <c r="B326" s="2" t="s">
        <v>391</v>
      </c>
      <c r="C326" s="2" t="s">
        <v>30</v>
      </c>
      <c r="D326" s="2" t="str">
        <f aca="false">IF(2キー同時!$B$71="","",2キー同時!$B$71)</f>
        <v>h</v>
      </c>
      <c r="E326" s="2" t="str">
        <f aca="false">""</f>
        <v/>
      </c>
      <c r="F326" s="2" t="str">
        <f aca="false">""</f>
        <v/>
      </c>
      <c r="G326" s="2" t="str">
        <f aca="false">IF(2キー同時!$B$71="","",IF(2キー同時!AG77="","",SUBSTITUTE(SUBSTITUTE(2キー同時!AG77," ",""),"　","")))</f>
        <v/>
      </c>
      <c r="H326" s="2" t="str">
        <f aca="false">IF($G326="","",2キー同時!$B$71)</f>
        <v/>
      </c>
      <c r="I326" s="2" t="str">
        <f aca="false">IF($G326="","","j")</f>
        <v/>
      </c>
      <c r="J326" s="2" t="str">
        <f aca="false">""</f>
        <v/>
      </c>
      <c r="K326" s="2" t="str">
        <f aca="false">""</f>
        <v/>
      </c>
      <c r="L326" s="2" t="str">
        <f aca="false">IF($G326="","","同時")</f>
        <v/>
      </c>
      <c r="M326" s="2" t="str">
        <f aca="false">IF($G326="","",IF(ISNA(MATCH($G326,個別指定!$A:$A,0)),"行なし",""))</f>
        <v/>
      </c>
      <c r="N326" s="2" t="str">
        <f aca="false">IF($G326="","",IF(COUNTIF($G$2:$G$4460,$G326)&gt;1,"重複",""))</f>
        <v/>
      </c>
    </row>
    <row r="327" customFormat="false" ht="16.5" hidden="false" customHeight="true" outlineLevel="0" collapsed="false">
      <c r="A327" s="2" t="s">
        <v>385</v>
      </c>
      <c r="B327" s="2" t="s">
        <v>391</v>
      </c>
      <c r="C327" s="2" t="s">
        <v>31</v>
      </c>
      <c r="D327" s="2" t="str">
        <f aca="false">IF(2キー同時!$B$71="","",2キー同時!$B$71)</f>
        <v>h</v>
      </c>
      <c r="E327" s="2" t="str">
        <f aca="false">""</f>
        <v/>
      </c>
      <c r="F327" s="2" t="str">
        <f aca="false">""</f>
        <v/>
      </c>
      <c r="G327" s="2" t="str">
        <f aca="false">IF(2キー同時!$B$71="","",IF(2キー同時!AK77="","",SUBSTITUTE(SUBSTITUTE(2キー同時!AK77," ",""),"　","")))</f>
        <v/>
      </c>
      <c r="H327" s="2" t="str">
        <f aca="false">IF($G327="","",2キー同時!$B$71)</f>
        <v/>
      </c>
      <c r="I327" s="2" t="str">
        <f aca="false">IF($G327="","","k")</f>
        <v/>
      </c>
      <c r="J327" s="2" t="str">
        <f aca="false">""</f>
        <v/>
      </c>
      <c r="K327" s="2" t="str">
        <f aca="false">""</f>
        <v/>
      </c>
      <c r="L327" s="2" t="str">
        <f aca="false">IF($G327="","","同時")</f>
        <v/>
      </c>
      <c r="M327" s="2" t="str">
        <f aca="false">IF($G327="","",IF(ISNA(MATCH($G327,個別指定!$A:$A,0)),"行なし",""))</f>
        <v/>
      </c>
      <c r="N327" s="2" t="str">
        <f aca="false">IF($G327="","",IF(COUNTIF($G$2:$G$4460,$G327)&gt;1,"重複",""))</f>
        <v/>
      </c>
    </row>
    <row r="328" customFormat="false" ht="16.5" hidden="false" customHeight="true" outlineLevel="0" collapsed="false">
      <c r="A328" s="2" t="s">
        <v>385</v>
      </c>
      <c r="B328" s="2" t="s">
        <v>391</v>
      </c>
      <c r="C328" s="2" t="s">
        <v>32</v>
      </c>
      <c r="D328" s="2" t="str">
        <f aca="false">IF(2キー同時!$B$71="","",2キー同時!$B$71)</f>
        <v>h</v>
      </c>
      <c r="E328" s="2" t="str">
        <f aca="false">""</f>
        <v/>
      </c>
      <c r="F328" s="2" t="str">
        <f aca="false">""</f>
        <v/>
      </c>
      <c r="G328" s="2" t="str">
        <f aca="false">IF(2キー同時!$B$71="","",IF(2キー同時!AO77="","",SUBSTITUTE(SUBSTITUTE(2キー同時!AO77," ",""),"　","")))</f>
        <v/>
      </c>
      <c r="H328" s="2" t="str">
        <f aca="false">IF($G328="","",2キー同時!$B$71)</f>
        <v/>
      </c>
      <c r="I328" s="2" t="str">
        <f aca="false">IF($G328="","","l")</f>
        <v/>
      </c>
      <c r="J328" s="2" t="str">
        <f aca="false">""</f>
        <v/>
      </c>
      <c r="K328" s="2" t="str">
        <f aca="false">""</f>
        <v/>
      </c>
      <c r="L328" s="2" t="str">
        <f aca="false">IF($G328="","","同時")</f>
        <v/>
      </c>
      <c r="M328" s="2" t="str">
        <f aca="false">IF($G328="","",IF(ISNA(MATCH($G328,個別指定!$A:$A,0)),"行なし",""))</f>
        <v/>
      </c>
      <c r="N328" s="2" t="str">
        <f aca="false">IF($G328="","",IF(COUNTIF($G$2:$G$4460,$G328)&gt;1,"重複",""))</f>
        <v/>
      </c>
    </row>
    <row r="329" customFormat="false" ht="16.5" hidden="false" customHeight="true" outlineLevel="0" collapsed="false">
      <c r="A329" s="2" t="s">
        <v>385</v>
      </c>
      <c r="B329" s="2" t="s">
        <v>391</v>
      </c>
      <c r="C329" s="2" t="s">
        <v>33</v>
      </c>
      <c r="D329" s="2" t="str">
        <f aca="false">IF(2キー同時!$B$71="","",2キー同時!$B$71)</f>
        <v>h</v>
      </c>
      <c r="E329" s="2" t="str">
        <f aca="false">""</f>
        <v/>
      </c>
      <c r="F329" s="2" t="str">
        <f aca="false">""</f>
        <v/>
      </c>
      <c r="G329" s="2" t="str">
        <f aca="false">IF(2キー同時!$B$71="","",IF(2キー同時!AS77="","",SUBSTITUTE(SUBSTITUTE(2キー同時!AS77," ",""),"　","")))</f>
        <v/>
      </c>
      <c r="H329" s="2" t="str">
        <f aca="false">IF($G329="","",2キー同時!$B$71)</f>
        <v/>
      </c>
      <c r="I329" s="2" t="str">
        <f aca="false">IF($G329="","",";")</f>
        <v/>
      </c>
      <c r="J329" s="2" t="str">
        <f aca="false">""</f>
        <v/>
      </c>
      <c r="K329" s="2" t="str">
        <f aca="false">""</f>
        <v/>
      </c>
      <c r="L329" s="2" t="str">
        <f aca="false">IF($G329="","","同時")</f>
        <v/>
      </c>
      <c r="M329" s="2" t="str">
        <f aca="false">IF($G329="","",IF(ISNA(MATCH($G329,個別指定!$A:$A,0)),"行なし",""))</f>
        <v/>
      </c>
      <c r="N329" s="2" t="str">
        <f aca="false">IF($G329="","",IF(COUNTIF($G$2:$G$4460,$G329)&gt;1,"重複",""))</f>
        <v/>
      </c>
    </row>
    <row r="330" customFormat="false" ht="16.5" hidden="false" customHeight="true" outlineLevel="0" collapsed="false">
      <c r="A330" s="2" t="s">
        <v>385</v>
      </c>
      <c r="B330" s="2" t="s">
        <v>391</v>
      </c>
      <c r="C330" s="2" t="s">
        <v>34</v>
      </c>
      <c r="D330" s="2" t="str">
        <f aca="false">IF(2キー同時!$B$71="","",2キー同時!$B$71)</f>
        <v>h</v>
      </c>
      <c r="E330" s="2" t="str">
        <f aca="false">""</f>
        <v/>
      </c>
      <c r="F330" s="2" t="str">
        <f aca="false">""</f>
        <v/>
      </c>
      <c r="G330" s="2" t="str">
        <f aca="false">IF(2キー同時!$B$71="","",IF(2キー同時!AW77="","",SUBSTITUTE(SUBSTITUTE(2キー同時!AW77," ",""),"　","")))</f>
        <v/>
      </c>
      <c r="H330" s="2" t="str">
        <f aca="false">IF($G330="","",2キー同時!$B$71)</f>
        <v/>
      </c>
      <c r="I330" s="2" t="str">
        <f aca="false">IF($G330="","","'")</f>
        <v/>
      </c>
      <c r="J330" s="2" t="str">
        <f aca="false">""</f>
        <v/>
      </c>
      <c r="K330" s="2" t="str">
        <f aca="false">""</f>
        <v/>
      </c>
      <c r="L330" s="2" t="str">
        <f aca="false">IF($G330="","","同時")</f>
        <v/>
      </c>
      <c r="M330" s="2" t="str">
        <f aca="false">IF($G330="","",IF(ISNA(MATCH($G330,個別指定!$A:$A,0)),"行なし",""))</f>
        <v/>
      </c>
      <c r="N330" s="2" t="str">
        <f aca="false">IF($G330="","",IF(COUNTIF($G$2:$G$4460,$G330)&gt;1,"重複",""))</f>
        <v/>
      </c>
    </row>
    <row r="331" customFormat="false" ht="16.5" hidden="false" customHeight="true" outlineLevel="0" collapsed="false">
      <c r="A331" s="2" t="s">
        <v>385</v>
      </c>
      <c r="B331" s="2" t="s">
        <v>391</v>
      </c>
      <c r="C331" s="2" t="s">
        <v>35</v>
      </c>
      <c r="D331" s="2" t="str">
        <f aca="false">IF(2キー同時!$B$71="","",2キー同時!$B$71)</f>
        <v>h</v>
      </c>
      <c r="E331" s="2" t="str">
        <f aca="false">""</f>
        <v/>
      </c>
      <c r="F331" s="2" t="str">
        <f aca="false">""</f>
        <v/>
      </c>
      <c r="G331" s="2" t="str">
        <f aca="false">IF(2キー同時!$B$71="","",IF(2キー同時!K79="","",SUBSTITUTE(SUBSTITUTE(2キー同時!K79," ",""),"　","")))</f>
        <v/>
      </c>
      <c r="H331" s="2" t="str">
        <f aca="false">IF($G331="","",2キー同時!$B$71)</f>
        <v/>
      </c>
      <c r="I331" s="2" t="str">
        <f aca="false">IF($G331="","","z")</f>
        <v/>
      </c>
      <c r="J331" s="2" t="str">
        <f aca="false">""</f>
        <v/>
      </c>
      <c r="K331" s="2" t="str">
        <f aca="false">""</f>
        <v/>
      </c>
      <c r="L331" s="2" t="str">
        <f aca="false">IF($G331="","","同時")</f>
        <v/>
      </c>
      <c r="M331" s="2" t="str">
        <f aca="false">IF($G331="","",IF(ISNA(MATCH($G331,個別指定!$A:$A,0)),"行なし",""))</f>
        <v/>
      </c>
      <c r="N331" s="2" t="str">
        <f aca="false">IF($G331="","",IF(COUNTIF($G$2:$G$4460,$G331)&gt;1,"重複",""))</f>
        <v/>
      </c>
    </row>
    <row r="332" customFormat="false" ht="16.5" hidden="false" customHeight="true" outlineLevel="0" collapsed="false">
      <c r="A332" s="2" t="s">
        <v>385</v>
      </c>
      <c r="B332" s="2" t="s">
        <v>391</v>
      </c>
      <c r="C332" s="2" t="s">
        <v>36</v>
      </c>
      <c r="D332" s="2" t="str">
        <f aca="false">IF(2キー同時!$B$71="","",2キー同時!$B$71)</f>
        <v>h</v>
      </c>
      <c r="E332" s="2" t="str">
        <f aca="false">""</f>
        <v/>
      </c>
      <c r="F332" s="2" t="str">
        <f aca="false">""</f>
        <v/>
      </c>
      <c r="G332" s="2" t="str">
        <f aca="false">IF(2キー同時!$B$71="","",IF(2キー同時!O79="","",SUBSTITUTE(SUBSTITUTE(2キー同時!O79," ",""),"　","")))</f>
        <v>ひゃ</v>
      </c>
      <c r="H332" s="2" t="str">
        <f aca="false">IF($G332="","",2キー同時!$B$71)</f>
        <v>h</v>
      </c>
      <c r="I332" s="2" t="str">
        <f aca="false">IF($G332="","","x")</f>
        <v>x</v>
      </c>
      <c r="J332" s="2" t="str">
        <f aca="false">""</f>
        <v/>
      </c>
      <c r="K332" s="2" t="str">
        <f aca="false">""</f>
        <v/>
      </c>
      <c r="L332" s="2" t="str">
        <f aca="false">IF($G332="","","同時")</f>
        <v>同時</v>
      </c>
      <c r="M332" s="2" t="str">
        <f aca="false">IF($G332="","",IF(ISNA(MATCH($G332,個別指定!$A:$A,0)),"行なし",""))</f>
        <v/>
      </c>
      <c r="N332" s="2" t="str">
        <f aca="false">IF($G332="","",IF(COUNTIF($G$2:$G$4460,$G332)&gt;1,"重複",""))</f>
        <v/>
      </c>
    </row>
    <row r="333" customFormat="false" ht="16.5" hidden="false" customHeight="true" outlineLevel="0" collapsed="false">
      <c r="A333" s="2" t="s">
        <v>385</v>
      </c>
      <c r="B333" s="2" t="s">
        <v>391</v>
      </c>
      <c r="C333" s="2" t="s">
        <v>37</v>
      </c>
      <c r="D333" s="2" t="str">
        <f aca="false">IF(2キー同時!$B$71="","",2キー同時!$B$71)</f>
        <v>h</v>
      </c>
      <c r="E333" s="2" t="str">
        <f aca="false">""</f>
        <v/>
      </c>
      <c r="F333" s="2" t="str">
        <f aca="false">""</f>
        <v/>
      </c>
      <c r="G333" s="2" t="str">
        <f aca="false">IF(2キー同時!$B$71="","",IF(2キー同時!S79="","",SUBSTITUTE(SUBSTITUTE(2キー同時!S79," ",""),"　","")))</f>
        <v/>
      </c>
      <c r="H333" s="2" t="str">
        <f aca="false">IF($G333="","",2キー同時!$B$71)</f>
        <v/>
      </c>
      <c r="I333" s="2" t="str">
        <f aca="false">IF($G333="","","c")</f>
        <v/>
      </c>
      <c r="J333" s="2" t="str">
        <f aca="false">""</f>
        <v/>
      </c>
      <c r="K333" s="2" t="str">
        <f aca="false">""</f>
        <v/>
      </c>
      <c r="L333" s="2" t="str">
        <f aca="false">IF($G333="","","同時")</f>
        <v/>
      </c>
      <c r="M333" s="2" t="str">
        <f aca="false">IF($G333="","",IF(ISNA(MATCH($G333,個別指定!$A:$A,0)),"行なし",""))</f>
        <v/>
      </c>
      <c r="N333" s="2" t="str">
        <f aca="false">IF($G333="","",IF(COUNTIF($G$2:$G$4460,$G333)&gt;1,"重複",""))</f>
        <v/>
      </c>
    </row>
    <row r="334" customFormat="false" ht="16.5" hidden="false" customHeight="true" outlineLevel="0" collapsed="false">
      <c r="A334" s="2" t="s">
        <v>385</v>
      </c>
      <c r="B334" s="2" t="s">
        <v>391</v>
      </c>
      <c r="C334" s="2" t="s">
        <v>38</v>
      </c>
      <c r="D334" s="2" t="str">
        <f aca="false">IF(2キー同時!$B$71="","",2キー同時!$B$71)</f>
        <v>h</v>
      </c>
      <c r="E334" s="2" t="str">
        <f aca="false">""</f>
        <v/>
      </c>
      <c r="F334" s="2" t="str">
        <f aca="false">""</f>
        <v/>
      </c>
      <c r="G334" s="2" t="str">
        <f aca="false">IF(2キー同時!$B$71="","",IF(2キー同時!W79="","",SUBSTITUTE(SUBSTITUTE(2キー同時!W79," ",""),"　","")))</f>
        <v/>
      </c>
      <c r="H334" s="2" t="str">
        <f aca="false">IF($G334="","",2キー同時!$B$71)</f>
        <v/>
      </c>
      <c r="I334" s="2" t="str">
        <f aca="false">IF($G334="","","v")</f>
        <v/>
      </c>
      <c r="J334" s="2" t="str">
        <f aca="false">""</f>
        <v/>
      </c>
      <c r="K334" s="2" t="str">
        <f aca="false">""</f>
        <v/>
      </c>
      <c r="L334" s="2" t="str">
        <f aca="false">IF($G334="","","同時")</f>
        <v/>
      </c>
      <c r="M334" s="2" t="str">
        <f aca="false">IF($G334="","",IF(ISNA(MATCH($G334,個別指定!$A:$A,0)),"行なし",""))</f>
        <v/>
      </c>
      <c r="N334" s="2" t="str">
        <f aca="false">IF($G334="","",IF(COUNTIF($G$2:$G$4460,$G334)&gt;1,"重複",""))</f>
        <v/>
      </c>
    </row>
    <row r="335" customFormat="false" ht="16.5" hidden="false" customHeight="true" outlineLevel="0" collapsed="false">
      <c r="A335" s="2" t="s">
        <v>385</v>
      </c>
      <c r="B335" s="2" t="s">
        <v>391</v>
      </c>
      <c r="C335" s="2" t="s">
        <v>39</v>
      </c>
      <c r="D335" s="2" t="str">
        <f aca="false">IF(2キー同時!$B$71="","",2キー同時!$B$71)</f>
        <v>h</v>
      </c>
      <c r="E335" s="2" t="str">
        <f aca="false">""</f>
        <v/>
      </c>
      <c r="F335" s="2" t="str">
        <f aca="false">""</f>
        <v/>
      </c>
      <c r="G335" s="2" t="str">
        <f aca="false">IF(2キー同時!$B$71="","",IF(2キー同時!AA79="","",SUBSTITUTE(SUBSTITUTE(2キー同時!AA79," ",""),"　","")))</f>
        <v/>
      </c>
      <c r="H335" s="2" t="str">
        <f aca="false">IF($G335="","",2キー同時!$B$71)</f>
        <v/>
      </c>
      <c r="I335" s="2" t="str">
        <f aca="false">IF($G335="","","b")</f>
        <v/>
      </c>
      <c r="J335" s="2" t="str">
        <f aca="false">""</f>
        <v/>
      </c>
      <c r="K335" s="2" t="str">
        <f aca="false">""</f>
        <v/>
      </c>
      <c r="L335" s="2" t="str">
        <f aca="false">IF($G335="","","同時")</f>
        <v/>
      </c>
      <c r="M335" s="2" t="str">
        <f aca="false">IF($G335="","",IF(ISNA(MATCH($G335,個別指定!$A:$A,0)),"行なし",""))</f>
        <v/>
      </c>
      <c r="N335" s="2" t="str">
        <f aca="false">IF($G335="","",IF(COUNTIF($G$2:$G$4460,$G335)&gt;1,"重複",""))</f>
        <v/>
      </c>
    </row>
    <row r="336" customFormat="false" ht="16.5" hidden="false" customHeight="true" outlineLevel="0" collapsed="false">
      <c r="A336" s="2" t="s">
        <v>385</v>
      </c>
      <c r="B336" s="2" t="s">
        <v>391</v>
      </c>
      <c r="C336" s="2" t="s">
        <v>40</v>
      </c>
      <c r="D336" s="2" t="str">
        <f aca="false">IF(2キー同時!$B$71="","",2キー同時!$B$71)</f>
        <v>h</v>
      </c>
      <c r="E336" s="2" t="str">
        <f aca="false">""</f>
        <v/>
      </c>
      <c r="F336" s="2" t="str">
        <f aca="false">""</f>
        <v/>
      </c>
      <c r="G336" s="2" t="str">
        <f aca="false">IF(2キー同時!$B$71="","",IF(2キー同時!AE79="","",SUBSTITUTE(SUBSTITUTE(2キー同時!AE79," ",""),"　","")))</f>
        <v/>
      </c>
      <c r="H336" s="2" t="str">
        <f aca="false">IF($G336="","",2キー同時!$B$71)</f>
        <v/>
      </c>
      <c r="I336" s="2" t="str">
        <f aca="false">IF($G336="","","n")</f>
        <v/>
      </c>
      <c r="J336" s="2" t="str">
        <f aca="false">""</f>
        <v/>
      </c>
      <c r="K336" s="2" t="str">
        <f aca="false">""</f>
        <v/>
      </c>
      <c r="L336" s="2" t="str">
        <f aca="false">IF($G336="","","同時")</f>
        <v/>
      </c>
      <c r="M336" s="2" t="str">
        <f aca="false">IF($G336="","",IF(ISNA(MATCH($G336,個別指定!$A:$A,0)),"行なし",""))</f>
        <v/>
      </c>
      <c r="N336" s="2" t="str">
        <f aca="false">IF($G336="","",IF(COUNTIF($G$2:$G$4460,$G336)&gt;1,"重複",""))</f>
        <v/>
      </c>
    </row>
    <row r="337" customFormat="false" ht="16.5" hidden="false" customHeight="true" outlineLevel="0" collapsed="false">
      <c r="A337" s="2" t="s">
        <v>385</v>
      </c>
      <c r="B337" s="2" t="s">
        <v>391</v>
      </c>
      <c r="C337" s="2" t="s">
        <v>41</v>
      </c>
      <c r="D337" s="2" t="str">
        <f aca="false">IF(2キー同時!$B$71="","",2キー同時!$B$71)</f>
        <v>h</v>
      </c>
      <c r="E337" s="2" t="str">
        <f aca="false">""</f>
        <v/>
      </c>
      <c r="F337" s="2" t="str">
        <f aca="false">""</f>
        <v/>
      </c>
      <c r="G337" s="2" t="str">
        <f aca="false">IF(2キー同時!$B$71="","",IF(2キー同時!AI79="","",SUBSTITUTE(SUBSTITUTE(2キー同時!AI79," ",""),"　","")))</f>
        <v/>
      </c>
      <c r="H337" s="2" t="str">
        <f aca="false">IF($G337="","",2キー同時!$B$71)</f>
        <v/>
      </c>
      <c r="I337" s="2" t="str">
        <f aca="false">IF($G337="","","m")</f>
        <v/>
      </c>
      <c r="J337" s="2" t="str">
        <f aca="false">""</f>
        <v/>
      </c>
      <c r="K337" s="2" t="str">
        <f aca="false">""</f>
        <v/>
      </c>
      <c r="L337" s="2" t="str">
        <f aca="false">IF($G337="","","同時")</f>
        <v/>
      </c>
      <c r="M337" s="2" t="str">
        <f aca="false">IF($G337="","",IF(ISNA(MATCH($G337,個別指定!$A:$A,0)),"行なし",""))</f>
        <v/>
      </c>
      <c r="N337" s="2" t="str">
        <f aca="false">IF($G337="","",IF(COUNTIF($G$2:$G$4460,$G337)&gt;1,"重複",""))</f>
        <v/>
      </c>
    </row>
    <row r="338" customFormat="false" ht="16.5" hidden="false" customHeight="true" outlineLevel="0" collapsed="false">
      <c r="A338" s="2" t="s">
        <v>385</v>
      </c>
      <c r="B338" s="2" t="s">
        <v>391</v>
      </c>
      <c r="C338" s="2" t="s">
        <v>42</v>
      </c>
      <c r="D338" s="2" t="str">
        <f aca="false">IF(2キー同時!$B$71="","",2キー同時!$B$71)</f>
        <v>h</v>
      </c>
      <c r="E338" s="2" t="str">
        <f aca="false">""</f>
        <v/>
      </c>
      <c r="F338" s="2" t="str">
        <f aca="false">""</f>
        <v/>
      </c>
      <c r="G338" s="2" t="str">
        <f aca="false">IF(2キー同時!$B$71="","",IF(2キー同時!AM79="","",SUBSTITUTE(SUBSTITUTE(2キー同時!AM79," ",""),"　","")))</f>
        <v/>
      </c>
      <c r="H338" s="2" t="str">
        <f aca="false">IF($G338="","",2キー同時!$B$71)</f>
        <v/>
      </c>
      <c r="I338" s="2" t="str">
        <f aca="false">IF($G338="","",",")</f>
        <v/>
      </c>
      <c r="J338" s="2" t="str">
        <f aca="false">""</f>
        <v/>
      </c>
      <c r="K338" s="2" t="str">
        <f aca="false">""</f>
        <v/>
      </c>
      <c r="L338" s="2" t="str">
        <f aca="false">IF($G338="","","同時")</f>
        <v/>
      </c>
      <c r="M338" s="2" t="str">
        <f aca="false">IF($G338="","",IF(ISNA(MATCH($G338,個別指定!$A:$A,0)),"行なし",""))</f>
        <v/>
      </c>
      <c r="N338" s="2" t="str">
        <f aca="false">IF($G338="","",IF(COUNTIF($G$2:$G$4460,$G338)&gt;1,"重複",""))</f>
        <v/>
      </c>
    </row>
    <row r="339" customFormat="false" ht="16.5" hidden="false" customHeight="true" outlineLevel="0" collapsed="false">
      <c r="A339" s="2" t="s">
        <v>385</v>
      </c>
      <c r="B339" s="2" t="s">
        <v>391</v>
      </c>
      <c r="C339" s="2" t="s">
        <v>43</v>
      </c>
      <c r="D339" s="2" t="str">
        <f aca="false">IF(2キー同時!$B$71="","",2キー同時!$B$71)</f>
        <v>h</v>
      </c>
      <c r="E339" s="2" t="str">
        <f aca="false">""</f>
        <v/>
      </c>
      <c r="F339" s="2" t="str">
        <f aca="false">""</f>
        <v/>
      </c>
      <c r="G339" s="2" t="str">
        <f aca="false">IF(2キー同時!$B$71="","",IF(2キー同時!AQ79="","",SUBSTITUTE(SUBSTITUTE(2キー同時!AQ79," ",""),"　","")))</f>
        <v/>
      </c>
      <c r="H339" s="2" t="str">
        <f aca="false">IF($G339="","",2キー同時!$B$71)</f>
        <v/>
      </c>
      <c r="I339" s="2" t="str">
        <f aca="false">IF($G339="","",".")</f>
        <v/>
      </c>
      <c r="J339" s="2" t="str">
        <f aca="false">""</f>
        <v/>
      </c>
      <c r="K339" s="2" t="str">
        <f aca="false">""</f>
        <v/>
      </c>
      <c r="L339" s="2" t="str">
        <f aca="false">IF($G339="","","同時")</f>
        <v/>
      </c>
      <c r="M339" s="2" t="str">
        <f aca="false">IF($G339="","",IF(ISNA(MATCH($G339,個別指定!$A:$A,0)),"行なし",""))</f>
        <v/>
      </c>
      <c r="N339" s="2" t="str">
        <f aca="false">IF($G339="","",IF(COUNTIF($G$2:$G$4460,$G339)&gt;1,"重複",""))</f>
        <v/>
      </c>
    </row>
    <row r="340" customFormat="false" ht="16.5" hidden="false" customHeight="true" outlineLevel="0" collapsed="false">
      <c r="A340" s="2" t="s">
        <v>385</v>
      </c>
      <c r="B340" s="2" t="s">
        <v>391</v>
      </c>
      <c r="C340" s="2" t="s">
        <v>44</v>
      </c>
      <c r="D340" s="2" t="str">
        <f aca="false">IF(2キー同時!$B$71="","",2キー同時!$B$71)</f>
        <v>h</v>
      </c>
      <c r="E340" s="2" t="str">
        <f aca="false">""</f>
        <v/>
      </c>
      <c r="F340" s="2" t="str">
        <f aca="false">""</f>
        <v/>
      </c>
      <c r="G340" s="2" t="str">
        <f aca="false">IF(2キー同時!$B$71="","",IF(2キー同時!AU79="","",SUBSTITUTE(SUBSTITUTE(2キー同時!AU79," ",""),"　","")))</f>
        <v/>
      </c>
      <c r="H340" s="2" t="str">
        <f aca="false">IF($G340="","",2キー同時!$B$71)</f>
        <v/>
      </c>
      <c r="I340" s="2" t="str">
        <f aca="false">IF($G340="","","/")</f>
        <v/>
      </c>
      <c r="J340" s="2" t="str">
        <f aca="false">""</f>
        <v/>
      </c>
      <c r="K340" s="2" t="str">
        <f aca="false">""</f>
        <v/>
      </c>
      <c r="L340" s="2" t="str">
        <f aca="false">IF($G340="","","同時")</f>
        <v/>
      </c>
      <c r="M340" s="2" t="str">
        <f aca="false">IF($G340="","",IF(ISNA(MATCH($G340,個別指定!$A:$A,0)),"行なし",""))</f>
        <v/>
      </c>
      <c r="N340" s="2" t="str">
        <f aca="false">IF($G340="","",IF(COUNTIF($G$2:$G$4460,$G340)&gt;1,"重複",""))</f>
        <v/>
      </c>
    </row>
    <row r="341" customFormat="false" ht="16.5" hidden="false" customHeight="true" outlineLevel="0" collapsed="false">
      <c r="A341" s="2" t="s">
        <v>385</v>
      </c>
      <c r="B341" s="2" t="s">
        <v>391</v>
      </c>
      <c r="C341" s="2" t="s">
        <v>48</v>
      </c>
      <c r="D341" s="2" t="str">
        <f aca="false">IF(2キー同時!$B$71="","",2キー同時!$B$71)</f>
        <v>h</v>
      </c>
      <c r="E341" s="2" t="str">
        <f aca="false">""</f>
        <v/>
      </c>
      <c r="F341" s="2" t="str">
        <f aca="false">""</f>
        <v/>
      </c>
      <c r="G341" s="2" t="str">
        <f aca="false">IF(2キー同時!$B$71="","",IF(2キー同時!P81="","",SUBSTITUTE(SUBSTITUTE(2キー同時!P81," ",""),"　","")))</f>
        <v/>
      </c>
      <c r="H341" s="2" t="str">
        <f aca="false">IF($G341="","",2キー同時!$B$71)</f>
        <v/>
      </c>
      <c r="I341" s="2" t="str">
        <f aca="false">IF($G341="","","muhenkan")</f>
        <v/>
      </c>
      <c r="J341" s="2" t="str">
        <f aca="false">""</f>
        <v/>
      </c>
      <c r="K341" s="2" t="str">
        <f aca="false">""</f>
        <v/>
      </c>
      <c r="L341" s="2" t="str">
        <f aca="false">IF($G341="","","同時")</f>
        <v/>
      </c>
      <c r="M341" s="2" t="str">
        <f aca="false">IF($G341="","",IF(ISNA(MATCH($G341,個別指定!$A:$A,0)),"行なし",""))</f>
        <v/>
      </c>
      <c r="N341" s="2" t="str">
        <f aca="false">IF($G341="","",IF(COUNTIF($G$2:$G$4460,$G341)&gt;1,"重複",""))</f>
        <v/>
      </c>
    </row>
    <row r="342" customFormat="false" ht="16.5" hidden="false" customHeight="true" outlineLevel="0" collapsed="false">
      <c r="A342" s="2" t="s">
        <v>385</v>
      </c>
      <c r="B342" s="2" t="s">
        <v>391</v>
      </c>
      <c r="C342" s="2" t="s">
        <v>50</v>
      </c>
      <c r="D342" s="2" t="str">
        <f aca="false">IF(2キー同時!$B$71="","",2キー同時!$B$71)</f>
        <v>h</v>
      </c>
      <c r="E342" s="2" t="str">
        <f aca="false">""</f>
        <v/>
      </c>
      <c r="F342" s="2" t="str">
        <f aca="false">""</f>
        <v/>
      </c>
      <c r="G342" s="2" t="str">
        <f aca="false">IF(2キー同時!$B$71="","",IF(2キー同時!T81="","",SUBSTITUTE(SUBSTITUTE(2キー同時!T81," ",""),"　","")))</f>
        <v/>
      </c>
      <c r="H342" s="2" t="str">
        <f aca="false">IF($G342="","",2キー同時!$B$71)</f>
        <v/>
      </c>
      <c r="I342" s="2" t="str">
        <f aca="false">IF($G342="","","space")</f>
        <v/>
      </c>
      <c r="J342" s="2" t="str">
        <f aca="false">""</f>
        <v/>
      </c>
      <c r="K342" s="2" t="str">
        <f aca="false">""</f>
        <v/>
      </c>
      <c r="L342" s="2" t="str">
        <f aca="false">IF($G342="","","同時")</f>
        <v/>
      </c>
      <c r="M342" s="2" t="str">
        <f aca="false">IF($G342="","",IF(ISNA(MATCH($G342,個別指定!$A:$A,0)),"行なし",""))</f>
        <v/>
      </c>
      <c r="N342" s="2" t="str">
        <f aca="false">IF($G342="","",IF(COUNTIF($G$2:$G$4460,$G342)&gt;1,"重複",""))</f>
        <v/>
      </c>
    </row>
    <row r="343" customFormat="false" ht="16.5" hidden="false" customHeight="true" outlineLevel="0" collapsed="false">
      <c r="A343" s="2" t="s">
        <v>385</v>
      </c>
      <c r="B343" s="2" t="s">
        <v>391</v>
      </c>
      <c r="C343" s="2" t="s">
        <v>45</v>
      </c>
      <c r="D343" s="2" t="str">
        <f aca="false">IF(2キー同時!$B$71="","",2キー同時!$B$71)</f>
        <v>h</v>
      </c>
      <c r="E343" s="2" t="str">
        <f aca="false">""</f>
        <v/>
      </c>
      <c r="F343" s="2" t="str">
        <f aca="false">""</f>
        <v/>
      </c>
      <c r="G343" s="2" t="str">
        <f aca="false">IF(2キー同時!$B$71="","",IF(2キー同時!AL81="","",SUBSTITUTE(SUBSTITUTE(2キー同時!AL81," ",""),"　","")))</f>
        <v/>
      </c>
      <c r="H343" s="2" t="str">
        <f aca="false">IF($G343="","",2キー同時!$B$71)</f>
        <v/>
      </c>
      <c r="I343" s="2" t="str">
        <f aca="false">IF($G343="","","henkan")</f>
        <v/>
      </c>
      <c r="J343" s="2" t="str">
        <f aca="false">""</f>
        <v/>
      </c>
      <c r="K343" s="2" t="str">
        <f aca="false">""</f>
        <v/>
      </c>
      <c r="L343" s="2" t="str">
        <f aca="false">IF($G343="","","同時")</f>
        <v/>
      </c>
      <c r="M343" s="2" t="str">
        <f aca="false">IF($G343="","",IF(ISNA(MATCH($G343,個別指定!$A:$A,0)),"行なし",""))</f>
        <v/>
      </c>
      <c r="N343" s="2" t="str">
        <f aca="false">IF($G343="","",IF(COUNTIF($G$2:$G$4460,$G343)&gt;1,"重複",""))</f>
        <v/>
      </c>
    </row>
    <row r="344" customFormat="false" ht="16.5" hidden="false" customHeight="true" outlineLevel="0" collapsed="false">
      <c r="A344" s="2" t="s">
        <v>385</v>
      </c>
      <c r="B344" s="2" t="s">
        <v>391</v>
      </c>
      <c r="C344" s="2" t="s">
        <v>46</v>
      </c>
      <c r="D344" s="2" t="str">
        <f aca="false">IF(2キー同時!$B$71="","",2キー同時!$B$71)</f>
        <v>h</v>
      </c>
      <c r="E344" s="2" t="str">
        <f aca="false">""</f>
        <v/>
      </c>
      <c r="F344" s="2" t="str">
        <f aca="false">""</f>
        <v/>
      </c>
      <c r="G344" s="2" t="str">
        <f aca="false">IF(2キー同時!$B$71="","",IF(2キー同時!AP81="","",SUBSTITUTE(SUBSTITUTE(2キー同時!AP81," ",""),"　","")))</f>
        <v/>
      </c>
      <c r="H344" s="2" t="str">
        <f aca="false">IF($G344="","",2キー同時!$B$71)</f>
        <v/>
      </c>
      <c r="I344" s="2" t="str">
        <f aca="false">IF($G344="","","kana")</f>
        <v/>
      </c>
      <c r="J344" s="2" t="str">
        <f aca="false">""</f>
        <v/>
      </c>
      <c r="K344" s="2" t="str">
        <f aca="false">""</f>
        <v/>
      </c>
      <c r="L344" s="2" t="str">
        <f aca="false">IF($G344="","","同時")</f>
        <v/>
      </c>
      <c r="M344" s="2" t="str">
        <f aca="false">IF($G344="","",IF(ISNA(MATCH($G344,個別指定!$A:$A,0)),"行なし",""))</f>
        <v/>
      </c>
      <c r="N344" s="2" t="str">
        <f aca="false">IF($G344="","",IF(COUNTIF($G$2:$G$4460,$G344)&gt;1,"重複",""))</f>
        <v/>
      </c>
    </row>
    <row r="345" customFormat="false" ht="16.5" hidden="false" customHeight="true" outlineLevel="0" collapsed="false">
      <c r="A345" s="2" t="s">
        <v>385</v>
      </c>
      <c r="B345" s="2" t="s">
        <v>392</v>
      </c>
      <c r="C345" s="2" t="s">
        <v>0</v>
      </c>
      <c r="D345" s="2" t="str">
        <f aca="false">IF(2キー同時!$B$84="","",2キー同時!$B$84)</f>
        <v>p</v>
      </c>
      <c r="E345" s="2" t="str">
        <f aca="false">""</f>
        <v/>
      </c>
      <c r="F345" s="2" t="str">
        <f aca="false">""</f>
        <v/>
      </c>
      <c r="G345" s="2" t="str">
        <f aca="false">IF(2キー同時!$B$84="","",IF(2キー同時!F86="","",SUBSTITUTE(SUBSTITUTE(2キー同時!F86," ",""),"　","")))</f>
        <v/>
      </c>
      <c r="H345" s="2" t="str">
        <f aca="false">IF($G345="","",2キー同時!$B$84)</f>
        <v/>
      </c>
      <c r="I345" s="2" t="str">
        <f aca="false">IF($G345="","","1")</f>
        <v/>
      </c>
      <c r="J345" s="2" t="str">
        <f aca="false">""</f>
        <v/>
      </c>
      <c r="K345" s="2" t="str">
        <f aca="false">""</f>
        <v/>
      </c>
      <c r="L345" s="2" t="str">
        <f aca="false">IF($G345="","","同時")</f>
        <v/>
      </c>
      <c r="M345" s="2" t="str">
        <f aca="false">IF($G345="","",IF(ISNA(MATCH($G345,個別指定!$A:$A,0)),"行なし",""))</f>
        <v/>
      </c>
      <c r="N345" s="2" t="str">
        <f aca="false">IF($G345="","",IF(COUNTIF($G$2:$G$4460,$G345)&gt;1,"重複",""))</f>
        <v/>
      </c>
    </row>
    <row r="346" customFormat="false" ht="16.5" hidden="false" customHeight="true" outlineLevel="0" collapsed="false">
      <c r="A346" s="2" t="s">
        <v>385</v>
      </c>
      <c r="B346" s="2" t="s">
        <v>392</v>
      </c>
      <c r="C346" s="2" t="s">
        <v>1</v>
      </c>
      <c r="D346" s="2" t="str">
        <f aca="false">IF(2キー同時!$B$84="","",2キー同時!$B$84)</f>
        <v>p</v>
      </c>
      <c r="E346" s="2" t="str">
        <f aca="false">""</f>
        <v/>
      </c>
      <c r="F346" s="2" t="str">
        <f aca="false">""</f>
        <v/>
      </c>
      <c r="G346" s="2" t="str">
        <f aca="false">IF(2キー同時!$B$84="","",IF(2キー同時!J86="","",SUBSTITUTE(SUBSTITUTE(2キー同時!J86," ",""),"　","")))</f>
        <v/>
      </c>
      <c r="H346" s="2" t="str">
        <f aca="false">IF($G346="","",2キー同時!$B$84)</f>
        <v/>
      </c>
      <c r="I346" s="2" t="str">
        <f aca="false">IF($G346="","","2")</f>
        <v/>
      </c>
      <c r="J346" s="2" t="str">
        <f aca="false">""</f>
        <v/>
      </c>
      <c r="K346" s="2" t="str">
        <f aca="false">""</f>
        <v/>
      </c>
      <c r="L346" s="2" t="str">
        <f aca="false">IF($G346="","","同時")</f>
        <v/>
      </c>
      <c r="M346" s="2" t="str">
        <f aca="false">IF($G346="","",IF(ISNA(MATCH($G346,個別指定!$A:$A,0)),"行なし",""))</f>
        <v/>
      </c>
      <c r="N346" s="2" t="str">
        <f aca="false">IF($G346="","",IF(COUNTIF($G$2:$G$4460,$G346)&gt;1,"重複",""))</f>
        <v/>
      </c>
    </row>
    <row r="347" customFormat="false" ht="16.5" hidden="false" customHeight="true" outlineLevel="0" collapsed="false">
      <c r="A347" s="2" t="s">
        <v>385</v>
      </c>
      <c r="B347" s="2" t="s">
        <v>392</v>
      </c>
      <c r="C347" s="2" t="s">
        <v>2</v>
      </c>
      <c r="D347" s="2" t="str">
        <f aca="false">IF(2キー同時!$B$84="","",2キー同時!$B$84)</f>
        <v>p</v>
      </c>
      <c r="E347" s="2" t="str">
        <f aca="false">""</f>
        <v/>
      </c>
      <c r="F347" s="2" t="str">
        <f aca="false">""</f>
        <v/>
      </c>
      <c r="G347" s="2" t="str">
        <f aca="false">IF(2キー同時!$B$84="","",IF(2キー同時!N86="","",SUBSTITUTE(SUBSTITUTE(2キー同時!N86," ",""),"　","")))</f>
        <v/>
      </c>
      <c r="H347" s="2" t="str">
        <f aca="false">IF($G347="","",2キー同時!$B$84)</f>
        <v/>
      </c>
      <c r="I347" s="2" t="str">
        <f aca="false">IF($G347="","","3")</f>
        <v/>
      </c>
      <c r="J347" s="2" t="str">
        <f aca="false">""</f>
        <v/>
      </c>
      <c r="K347" s="2" t="str">
        <f aca="false">""</f>
        <v/>
      </c>
      <c r="L347" s="2" t="str">
        <f aca="false">IF($G347="","","同時")</f>
        <v/>
      </c>
      <c r="M347" s="2" t="str">
        <f aca="false">IF($G347="","",IF(ISNA(MATCH($G347,個別指定!$A:$A,0)),"行なし",""))</f>
        <v/>
      </c>
      <c r="N347" s="2" t="str">
        <f aca="false">IF($G347="","",IF(COUNTIF($G$2:$G$4460,$G347)&gt;1,"重複",""))</f>
        <v/>
      </c>
    </row>
    <row r="348" customFormat="false" ht="16.5" hidden="false" customHeight="true" outlineLevel="0" collapsed="false">
      <c r="A348" s="2" t="s">
        <v>385</v>
      </c>
      <c r="B348" s="2" t="s">
        <v>392</v>
      </c>
      <c r="C348" s="2" t="s">
        <v>3</v>
      </c>
      <c r="D348" s="2" t="str">
        <f aca="false">IF(2キー同時!$B$84="","",2キー同時!$B$84)</f>
        <v>p</v>
      </c>
      <c r="E348" s="2" t="str">
        <f aca="false">""</f>
        <v/>
      </c>
      <c r="F348" s="2" t="str">
        <f aca="false">""</f>
        <v/>
      </c>
      <c r="G348" s="2" t="str">
        <f aca="false">IF(2キー同時!$B$84="","",IF(2キー同時!R86="","",SUBSTITUTE(SUBSTITUTE(2キー同時!R86," ",""),"　","")))</f>
        <v/>
      </c>
      <c r="H348" s="2" t="str">
        <f aca="false">IF($G348="","",2キー同時!$B$84)</f>
        <v/>
      </c>
      <c r="I348" s="2" t="str">
        <f aca="false">IF($G348="","","4")</f>
        <v/>
      </c>
      <c r="J348" s="2" t="str">
        <f aca="false">""</f>
        <v/>
      </c>
      <c r="K348" s="2" t="str">
        <f aca="false">""</f>
        <v/>
      </c>
      <c r="L348" s="2" t="str">
        <f aca="false">IF($G348="","","同時")</f>
        <v/>
      </c>
      <c r="M348" s="2" t="str">
        <f aca="false">IF($G348="","",IF(ISNA(MATCH($G348,個別指定!$A:$A,0)),"行なし",""))</f>
        <v/>
      </c>
      <c r="N348" s="2" t="str">
        <f aca="false">IF($G348="","",IF(COUNTIF($G$2:$G$4460,$G348)&gt;1,"重複",""))</f>
        <v/>
      </c>
    </row>
    <row r="349" customFormat="false" ht="16.5" hidden="false" customHeight="true" outlineLevel="0" collapsed="false">
      <c r="A349" s="2" t="s">
        <v>385</v>
      </c>
      <c r="B349" s="2" t="s">
        <v>392</v>
      </c>
      <c r="C349" s="2" t="s">
        <v>4</v>
      </c>
      <c r="D349" s="2" t="str">
        <f aca="false">IF(2キー同時!$B$84="","",2キー同時!$B$84)</f>
        <v>p</v>
      </c>
      <c r="E349" s="2" t="str">
        <f aca="false">""</f>
        <v/>
      </c>
      <c r="F349" s="2" t="str">
        <f aca="false">""</f>
        <v/>
      </c>
      <c r="G349" s="2" t="str">
        <f aca="false">IF(2キー同時!$B$84="","",IF(2キー同時!V86="","",SUBSTITUTE(SUBSTITUTE(2キー同時!V86," ",""),"　","")))</f>
        <v/>
      </c>
      <c r="H349" s="2" t="str">
        <f aca="false">IF($G349="","",2キー同時!$B$84)</f>
        <v/>
      </c>
      <c r="I349" s="2" t="str">
        <f aca="false">IF($G349="","","5")</f>
        <v/>
      </c>
      <c r="J349" s="2" t="str">
        <f aca="false">""</f>
        <v/>
      </c>
      <c r="K349" s="2" t="str">
        <f aca="false">""</f>
        <v/>
      </c>
      <c r="L349" s="2" t="str">
        <f aca="false">IF($G349="","","同時")</f>
        <v/>
      </c>
      <c r="M349" s="2" t="str">
        <f aca="false">IF($G349="","",IF(ISNA(MATCH($G349,個別指定!$A:$A,0)),"行なし",""))</f>
        <v/>
      </c>
      <c r="N349" s="2" t="str">
        <f aca="false">IF($G349="","",IF(COUNTIF($G$2:$G$4460,$G349)&gt;1,"重複",""))</f>
        <v/>
      </c>
    </row>
    <row r="350" customFormat="false" ht="16.5" hidden="false" customHeight="true" outlineLevel="0" collapsed="false">
      <c r="A350" s="2" t="s">
        <v>385</v>
      </c>
      <c r="B350" s="2" t="s">
        <v>392</v>
      </c>
      <c r="C350" s="2" t="s">
        <v>5</v>
      </c>
      <c r="D350" s="2" t="str">
        <f aca="false">IF(2キー同時!$B$84="","",2キー同時!$B$84)</f>
        <v>p</v>
      </c>
      <c r="E350" s="2" t="str">
        <f aca="false">""</f>
        <v/>
      </c>
      <c r="F350" s="2" t="str">
        <f aca="false">""</f>
        <v/>
      </c>
      <c r="G350" s="2" t="str">
        <f aca="false">IF(2キー同時!$B$84="","",IF(2キー同時!Z86="","",SUBSTITUTE(SUBSTITUTE(2キー同時!Z86," ",""),"　","")))</f>
        <v/>
      </c>
      <c r="H350" s="2" t="str">
        <f aca="false">IF($G350="","",2キー同時!$B$84)</f>
        <v/>
      </c>
      <c r="I350" s="2" t="str">
        <f aca="false">IF($G350="","","6")</f>
        <v/>
      </c>
      <c r="J350" s="2" t="str">
        <f aca="false">""</f>
        <v/>
      </c>
      <c r="K350" s="2" t="str">
        <f aca="false">""</f>
        <v/>
      </c>
      <c r="L350" s="2" t="str">
        <f aca="false">IF($G350="","","同時")</f>
        <v/>
      </c>
      <c r="M350" s="2" t="str">
        <f aca="false">IF($G350="","",IF(ISNA(MATCH($G350,個別指定!$A:$A,0)),"行なし",""))</f>
        <v/>
      </c>
      <c r="N350" s="2" t="str">
        <f aca="false">IF($G350="","",IF(COUNTIF($G$2:$G$4460,$G350)&gt;1,"重複",""))</f>
        <v/>
      </c>
    </row>
    <row r="351" customFormat="false" ht="16.5" hidden="false" customHeight="true" outlineLevel="0" collapsed="false">
      <c r="A351" s="2" t="s">
        <v>385</v>
      </c>
      <c r="B351" s="2" t="s">
        <v>392</v>
      </c>
      <c r="C351" s="2" t="s">
        <v>6</v>
      </c>
      <c r="D351" s="2" t="str">
        <f aca="false">IF(2キー同時!$B$84="","",2キー同時!$B$84)</f>
        <v>p</v>
      </c>
      <c r="E351" s="2" t="str">
        <f aca="false">""</f>
        <v/>
      </c>
      <c r="F351" s="2" t="str">
        <f aca="false">""</f>
        <v/>
      </c>
      <c r="G351" s="2" t="str">
        <f aca="false">IF(2キー同時!$B$84="","",IF(2キー同時!AD86="","",SUBSTITUTE(SUBSTITUTE(2キー同時!AD86," ",""),"　","")))</f>
        <v/>
      </c>
      <c r="H351" s="2" t="str">
        <f aca="false">IF($G351="","",2キー同時!$B$84)</f>
        <v/>
      </c>
      <c r="I351" s="2" t="str">
        <f aca="false">IF($G351="","","7")</f>
        <v/>
      </c>
      <c r="J351" s="2" t="str">
        <f aca="false">""</f>
        <v/>
      </c>
      <c r="K351" s="2" t="str">
        <f aca="false">""</f>
        <v/>
      </c>
      <c r="L351" s="2" t="str">
        <f aca="false">IF($G351="","","同時")</f>
        <v/>
      </c>
      <c r="M351" s="2" t="str">
        <f aca="false">IF($G351="","",IF(ISNA(MATCH($G351,個別指定!$A:$A,0)),"行なし",""))</f>
        <v/>
      </c>
      <c r="N351" s="2" t="str">
        <f aca="false">IF($G351="","",IF(COUNTIF($G$2:$G$4460,$G351)&gt;1,"重複",""))</f>
        <v/>
      </c>
    </row>
    <row r="352" customFormat="false" ht="16.5" hidden="false" customHeight="true" outlineLevel="0" collapsed="false">
      <c r="A352" s="2" t="s">
        <v>385</v>
      </c>
      <c r="B352" s="2" t="s">
        <v>392</v>
      </c>
      <c r="C352" s="2" t="s">
        <v>7</v>
      </c>
      <c r="D352" s="2" t="str">
        <f aca="false">IF(2キー同時!$B$84="","",2キー同時!$B$84)</f>
        <v>p</v>
      </c>
      <c r="E352" s="2" t="str">
        <f aca="false">""</f>
        <v/>
      </c>
      <c r="F352" s="2" t="str">
        <f aca="false">""</f>
        <v/>
      </c>
      <c r="G352" s="2" t="str">
        <f aca="false">IF(2キー同時!$B$84="","",IF(2キー同時!AH86="","",SUBSTITUTE(SUBSTITUTE(2キー同時!AH86," ",""),"　","")))</f>
        <v/>
      </c>
      <c r="H352" s="2" t="str">
        <f aca="false">IF($G352="","",2キー同時!$B$84)</f>
        <v/>
      </c>
      <c r="I352" s="2" t="str">
        <f aca="false">IF($G352="","","8")</f>
        <v/>
      </c>
      <c r="J352" s="2" t="str">
        <f aca="false">""</f>
        <v/>
      </c>
      <c r="K352" s="2" t="str">
        <f aca="false">""</f>
        <v/>
      </c>
      <c r="L352" s="2" t="str">
        <f aca="false">IF($G352="","","同時")</f>
        <v/>
      </c>
      <c r="M352" s="2" t="str">
        <f aca="false">IF($G352="","",IF(ISNA(MATCH($G352,個別指定!$A:$A,0)),"行なし",""))</f>
        <v/>
      </c>
      <c r="N352" s="2" t="str">
        <f aca="false">IF($G352="","",IF(COUNTIF($G$2:$G$4460,$G352)&gt;1,"重複",""))</f>
        <v/>
      </c>
    </row>
    <row r="353" customFormat="false" ht="16.5" hidden="false" customHeight="true" outlineLevel="0" collapsed="false">
      <c r="A353" s="2" t="s">
        <v>385</v>
      </c>
      <c r="B353" s="2" t="s">
        <v>392</v>
      </c>
      <c r="C353" s="2" t="s">
        <v>8</v>
      </c>
      <c r="D353" s="2" t="str">
        <f aca="false">IF(2キー同時!$B$84="","",2キー同時!$B$84)</f>
        <v>p</v>
      </c>
      <c r="E353" s="2" t="str">
        <f aca="false">""</f>
        <v/>
      </c>
      <c r="F353" s="2" t="str">
        <f aca="false">""</f>
        <v/>
      </c>
      <c r="G353" s="2" t="str">
        <f aca="false">IF(2キー同時!$B$84="","",IF(2キー同時!AL86="","",SUBSTITUTE(SUBSTITUTE(2キー同時!AL86," ",""),"　","")))</f>
        <v/>
      </c>
      <c r="H353" s="2" t="str">
        <f aca="false">IF($G353="","",2キー同時!$B$84)</f>
        <v/>
      </c>
      <c r="I353" s="2" t="str">
        <f aca="false">IF($G353="","","9")</f>
        <v/>
      </c>
      <c r="J353" s="2" t="str">
        <f aca="false">""</f>
        <v/>
      </c>
      <c r="K353" s="2" t="str">
        <f aca="false">""</f>
        <v/>
      </c>
      <c r="L353" s="2" t="str">
        <f aca="false">IF($G353="","","同時")</f>
        <v/>
      </c>
      <c r="M353" s="2" t="str">
        <f aca="false">IF($G353="","",IF(ISNA(MATCH($G353,個別指定!$A:$A,0)),"行なし",""))</f>
        <v/>
      </c>
      <c r="N353" s="2" t="str">
        <f aca="false">IF($G353="","",IF(COUNTIF($G$2:$G$4460,$G353)&gt;1,"重複",""))</f>
        <v/>
      </c>
    </row>
    <row r="354" customFormat="false" ht="16.5" hidden="false" customHeight="true" outlineLevel="0" collapsed="false">
      <c r="A354" s="2" t="s">
        <v>385</v>
      </c>
      <c r="B354" s="2" t="s">
        <v>392</v>
      </c>
      <c r="C354" s="2" t="s">
        <v>9</v>
      </c>
      <c r="D354" s="2" t="str">
        <f aca="false">IF(2キー同時!$B$84="","",2キー同時!$B$84)</f>
        <v>p</v>
      </c>
      <c r="E354" s="2" t="str">
        <f aca="false">""</f>
        <v/>
      </c>
      <c r="F354" s="2" t="str">
        <f aca="false">""</f>
        <v/>
      </c>
      <c r="G354" s="2" t="str">
        <f aca="false">IF(2キー同時!$B$84="","",IF(2キー同時!AP86="","",SUBSTITUTE(SUBSTITUTE(2キー同時!AP86," ",""),"　","")))</f>
        <v/>
      </c>
      <c r="H354" s="2" t="str">
        <f aca="false">IF($G354="","",2キー同時!$B$84)</f>
        <v/>
      </c>
      <c r="I354" s="2" t="str">
        <f aca="false">IF($G354="","","0")</f>
        <v/>
      </c>
      <c r="J354" s="2" t="str">
        <f aca="false">""</f>
        <v/>
      </c>
      <c r="K354" s="2" t="str">
        <f aca="false">""</f>
        <v/>
      </c>
      <c r="L354" s="2" t="str">
        <f aca="false">IF($G354="","","同時")</f>
        <v/>
      </c>
      <c r="M354" s="2" t="str">
        <f aca="false">IF($G354="","",IF(ISNA(MATCH($G354,個別指定!$A:$A,0)),"行なし",""))</f>
        <v/>
      </c>
      <c r="N354" s="2" t="str">
        <f aca="false">IF($G354="","",IF(COUNTIF($G$2:$G$4460,$G354)&gt;1,"重複",""))</f>
        <v/>
      </c>
    </row>
    <row r="355" customFormat="false" ht="16.5" hidden="false" customHeight="true" outlineLevel="0" collapsed="false">
      <c r="A355" s="2" t="s">
        <v>385</v>
      </c>
      <c r="B355" s="2" t="s">
        <v>392</v>
      </c>
      <c r="C355" s="2" t="s">
        <v>10</v>
      </c>
      <c r="D355" s="2" t="str">
        <f aca="false">IF(2キー同時!$B$84="","",2キー同時!$B$84)</f>
        <v>p</v>
      </c>
      <c r="E355" s="2" t="str">
        <f aca="false">""</f>
        <v/>
      </c>
      <c r="F355" s="2" t="str">
        <f aca="false">""</f>
        <v/>
      </c>
      <c r="G355" s="2" t="str">
        <f aca="false">IF(2キー同時!$B$84="","",IF(2キー同時!AT86="","",SUBSTITUTE(SUBSTITUTE(2キー同時!AT86," ",""),"　","")))</f>
        <v/>
      </c>
      <c r="H355" s="2" t="str">
        <f aca="false">IF($G355="","",2キー同時!$B$84)</f>
        <v/>
      </c>
      <c r="I355" s="2" t="str">
        <f aca="false">IF($G355="","","-")</f>
        <v/>
      </c>
      <c r="J355" s="2" t="str">
        <f aca="false">""</f>
        <v/>
      </c>
      <c r="K355" s="2" t="str">
        <f aca="false">""</f>
        <v/>
      </c>
      <c r="L355" s="2" t="str">
        <f aca="false">IF($G355="","","同時")</f>
        <v/>
      </c>
      <c r="M355" s="2" t="str">
        <f aca="false">IF($G355="","",IF(ISNA(MATCH($G355,個別指定!$A:$A,0)),"行なし",""))</f>
        <v/>
      </c>
      <c r="N355" s="2" t="str">
        <f aca="false">IF($G355="","",IF(COUNTIF($G$2:$G$4460,$G355)&gt;1,"重複",""))</f>
        <v/>
      </c>
    </row>
    <row r="356" customFormat="false" ht="16.5" hidden="false" customHeight="true" outlineLevel="0" collapsed="false">
      <c r="A356" s="2" t="s">
        <v>385</v>
      </c>
      <c r="B356" s="2" t="s">
        <v>392</v>
      </c>
      <c r="C356" s="2" t="s">
        <v>11</v>
      </c>
      <c r="D356" s="2" t="str">
        <f aca="false">IF(2キー同時!$B$84="","",2キー同時!$B$84)</f>
        <v>p</v>
      </c>
      <c r="E356" s="2" t="str">
        <f aca="false">""</f>
        <v/>
      </c>
      <c r="F356" s="2" t="str">
        <f aca="false">""</f>
        <v/>
      </c>
      <c r="G356" s="2" t="str">
        <f aca="false">IF(2キー同時!$B$84="","",IF(2キー同時!AX86="","",SUBSTITUTE(SUBSTITUTE(2キー同時!AX86," ",""),"　","")))</f>
        <v/>
      </c>
      <c r="H356" s="2" t="str">
        <f aca="false">IF($G356="","",2キー同時!$B$84)</f>
        <v/>
      </c>
      <c r="I356" s="2" t="str">
        <f aca="false">IF($G356="","","=")</f>
        <v/>
      </c>
      <c r="J356" s="2" t="str">
        <f aca="false">""</f>
        <v/>
      </c>
      <c r="K356" s="2" t="str">
        <f aca="false">""</f>
        <v/>
      </c>
      <c r="L356" s="2" t="str">
        <f aca="false">IF($G356="","","同時")</f>
        <v/>
      </c>
      <c r="M356" s="2" t="str">
        <f aca="false">IF($G356="","",IF(ISNA(MATCH($G356,個別指定!$A:$A,0)),"行なし",""))</f>
        <v/>
      </c>
      <c r="N356" s="2" t="str">
        <f aca="false">IF($G356="","",IF(COUNTIF($G$2:$G$4460,$G356)&gt;1,"重複",""))</f>
        <v/>
      </c>
    </row>
    <row r="357" customFormat="false" ht="16.5" hidden="false" customHeight="true" outlineLevel="0" collapsed="false">
      <c r="A357" s="2" t="s">
        <v>385</v>
      </c>
      <c r="B357" s="2" t="s">
        <v>392</v>
      </c>
      <c r="C357" s="2" t="s">
        <v>12</v>
      </c>
      <c r="D357" s="2" t="str">
        <f aca="false">IF(2キー同時!$B$84="","",2キー同時!$B$84)</f>
        <v>p</v>
      </c>
      <c r="E357" s="2" t="str">
        <f aca="false">""</f>
        <v/>
      </c>
      <c r="F357" s="2" t="str">
        <f aca="false">""</f>
        <v/>
      </c>
      <c r="G357" s="2" t="str">
        <f aca="false">IF(2キー同時!$B$84="","",IF(2キー同時!H88="","",SUBSTITUTE(SUBSTITUTE(2キー同時!H88," ",""),"　","")))</f>
        <v/>
      </c>
      <c r="H357" s="2" t="str">
        <f aca="false">IF($G357="","",2キー同時!$B$84)</f>
        <v/>
      </c>
      <c r="I357" s="2" t="str">
        <f aca="false">IF($G357="","","q")</f>
        <v/>
      </c>
      <c r="J357" s="2" t="str">
        <f aca="false">""</f>
        <v/>
      </c>
      <c r="K357" s="2" t="str">
        <f aca="false">""</f>
        <v/>
      </c>
      <c r="L357" s="2" t="str">
        <f aca="false">IF($G357="","","同時")</f>
        <v/>
      </c>
      <c r="M357" s="2" t="str">
        <f aca="false">IF($G357="","",IF(ISNA(MATCH($G357,個別指定!$A:$A,0)),"行なし",""))</f>
        <v/>
      </c>
      <c r="N357" s="2" t="str">
        <f aca="false">IF($G357="","",IF(COUNTIF($G$2:$G$4460,$G357)&gt;1,"重複",""))</f>
        <v/>
      </c>
    </row>
    <row r="358" customFormat="false" ht="16.5" hidden="false" customHeight="true" outlineLevel="0" collapsed="false">
      <c r="A358" s="2" t="s">
        <v>385</v>
      </c>
      <c r="B358" s="2" t="s">
        <v>392</v>
      </c>
      <c r="C358" s="2" t="s">
        <v>13</v>
      </c>
      <c r="D358" s="2" t="str">
        <f aca="false">IF(2キー同時!$B$84="","",2キー同時!$B$84)</f>
        <v>p</v>
      </c>
      <c r="E358" s="2" t="str">
        <f aca="false">""</f>
        <v/>
      </c>
      <c r="F358" s="2" t="str">
        <f aca="false">""</f>
        <v/>
      </c>
      <c r="G358" s="2" t="str">
        <f aca="false">IF(2キー同時!$B$84="","",IF(2キー同時!L88="","",SUBSTITUTE(SUBSTITUTE(2キー同時!L88," ",""),"　","")))</f>
        <v>きゅ</v>
      </c>
      <c r="H358" s="2" t="str">
        <f aca="false">IF($G358="","",2キー同時!$B$84)</f>
        <v>p</v>
      </c>
      <c r="I358" s="2" t="str">
        <f aca="false">IF($G358="","","w")</f>
        <v>w</v>
      </c>
      <c r="J358" s="2" t="str">
        <f aca="false">""</f>
        <v/>
      </c>
      <c r="K358" s="2" t="str">
        <f aca="false">""</f>
        <v/>
      </c>
      <c r="L358" s="2" t="str">
        <f aca="false">IF($G358="","","同時")</f>
        <v>同時</v>
      </c>
      <c r="M358" s="2" t="str">
        <f aca="false">IF($G358="","",IF(ISNA(MATCH($G358,個別指定!$A:$A,0)),"行なし",""))</f>
        <v/>
      </c>
      <c r="N358" s="2" t="str">
        <f aca="false">IF($G358="","",IF(COUNTIF($G$2:$G$4460,$G358)&gt;1,"重複",""))</f>
        <v/>
      </c>
    </row>
    <row r="359" customFormat="false" ht="16.5" hidden="false" customHeight="true" outlineLevel="0" collapsed="false">
      <c r="A359" s="2" t="s">
        <v>385</v>
      </c>
      <c r="B359" s="2" t="s">
        <v>392</v>
      </c>
      <c r="C359" s="2" t="s">
        <v>14</v>
      </c>
      <c r="D359" s="2" t="str">
        <f aca="false">IF(2キー同時!$B$84="","",2キー同時!$B$84)</f>
        <v>p</v>
      </c>
      <c r="E359" s="2" t="str">
        <f aca="false">""</f>
        <v/>
      </c>
      <c r="F359" s="2" t="str">
        <f aca="false">""</f>
        <v/>
      </c>
      <c r="G359" s="2" t="str">
        <f aca="false">IF(2キー同時!$B$84="","",IF(2キー同時!P88="","",SUBSTITUTE(SUBSTITUTE(2キー同時!P88," ",""),"　","")))</f>
        <v>りゅ</v>
      </c>
      <c r="H359" s="2" t="str">
        <f aca="false">IF($G359="","",2キー同時!$B$84)</f>
        <v>p</v>
      </c>
      <c r="I359" s="2" t="str">
        <f aca="false">IF($G359="","","e")</f>
        <v>e</v>
      </c>
      <c r="J359" s="2" t="str">
        <f aca="false">""</f>
        <v/>
      </c>
      <c r="K359" s="2" t="str">
        <f aca="false">""</f>
        <v/>
      </c>
      <c r="L359" s="2" t="str">
        <f aca="false">IF($G359="","","同時")</f>
        <v>同時</v>
      </c>
      <c r="M359" s="2" t="str">
        <f aca="false">IF($G359="","",IF(ISNA(MATCH($G359,個別指定!$A:$A,0)),"行なし",""))</f>
        <v/>
      </c>
      <c r="N359" s="2" t="str">
        <f aca="false">IF($G359="","",IF(COUNTIF($G$2:$G$4460,$G359)&gt;1,"重複",""))</f>
        <v/>
      </c>
    </row>
    <row r="360" customFormat="false" ht="16.5" hidden="false" customHeight="true" outlineLevel="0" collapsed="false">
      <c r="A360" s="2" t="s">
        <v>385</v>
      </c>
      <c r="B360" s="2" t="s">
        <v>392</v>
      </c>
      <c r="C360" s="2" t="s">
        <v>15</v>
      </c>
      <c r="D360" s="2" t="str">
        <f aca="false">IF(2キー同時!$B$84="","",2キー同時!$B$84)</f>
        <v>p</v>
      </c>
      <c r="E360" s="2" t="str">
        <f aca="false">""</f>
        <v/>
      </c>
      <c r="F360" s="2" t="str">
        <f aca="false">""</f>
        <v/>
      </c>
      <c r="G360" s="2" t="str">
        <f aca="false">IF(2キー同時!$B$84="","",IF(2キー同時!T88="","",SUBSTITUTE(SUBSTITUTE(2キー同時!T88," ",""),"　","")))</f>
        <v>しゅ</v>
      </c>
      <c r="H360" s="2" t="str">
        <f aca="false">IF($G360="","",2キー同時!$B$84)</f>
        <v>p</v>
      </c>
      <c r="I360" s="2" t="str">
        <f aca="false">IF($G360="","","r")</f>
        <v>r</v>
      </c>
      <c r="J360" s="2" t="str">
        <f aca="false">""</f>
        <v/>
      </c>
      <c r="K360" s="2" t="str">
        <f aca="false">""</f>
        <v/>
      </c>
      <c r="L360" s="2" t="str">
        <f aca="false">IF($G360="","","同時")</f>
        <v>同時</v>
      </c>
      <c r="M360" s="2" t="str">
        <f aca="false">IF($G360="","",IF(ISNA(MATCH($G360,個別指定!$A:$A,0)),"行なし",""))</f>
        <v/>
      </c>
      <c r="N360" s="2" t="str">
        <f aca="false">IF($G360="","",IF(COUNTIF($G$2:$G$4460,$G360)&gt;1,"重複",""))</f>
        <v/>
      </c>
    </row>
    <row r="361" customFormat="false" ht="16.5" hidden="false" customHeight="true" outlineLevel="0" collapsed="false">
      <c r="A361" s="2" t="s">
        <v>385</v>
      </c>
      <c r="B361" s="2" t="s">
        <v>392</v>
      </c>
      <c r="C361" s="2" t="s">
        <v>16</v>
      </c>
      <c r="D361" s="2" t="str">
        <f aca="false">IF(2キー同時!$B$84="","",2キー同時!$B$84)</f>
        <v>p</v>
      </c>
      <c r="E361" s="2" t="str">
        <f aca="false">""</f>
        <v/>
      </c>
      <c r="F361" s="2" t="str">
        <f aca="false">""</f>
        <v/>
      </c>
      <c r="G361" s="2" t="str">
        <f aca="false">IF(2キー同時!$B$84="","",IF(2キー同時!X88="","",SUBSTITUTE(SUBSTITUTE(2キー同時!X88," ",""),"　","")))</f>
        <v/>
      </c>
      <c r="H361" s="2" t="str">
        <f aca="false">IF($G361="","",2キー同時!$B$84)</f>
        <v/>
      </c>
      <c r="I361" s="2" t="str">
        <f aca="false">IF($G361="","","t")</f>
        <v/>
      </c>
      <c r="J361" s="2" t="str">
        <f aca="false">""</f>
        <v/>
      </c>
      <c r="K361" s="2" t="str">
        <f aca="false">""</f>
        <v/>
      </c>
      <c r="L361" s="2" t="str">
        <f aca="false">IF($G361="","","同時")</f>
        <v/>
      </c>
      <c r="M361" s="2" t="str">
        <f aca="false">IF($G361="","",IF(ISNA(MATCH($G361,個別指定!$A:$A,0)),"行なし",""))</f>
        <v/>
      </c>
      <c r="N361" s="2" t="str">
        <f aca="false">IF($G361="","",IF(COUNTIF($G$2:$G$4460,$G361)&gt;1,"重複",""))</f>
        <v/>
      </c>
    </row>
    <row r="362" customFormat="false" ht="16.5" hidden="false" customHeight="true" outlineLevel="0" collapsed="false">
      <c r="A362" s="2" t="s">
        <v>385</v>
      </c>
      <c r="B362" s="2" t="s">
        <v>392</v>
      </c>
      <c r="C362" s="2" t="s">
        <v>17</v>
      </c>
      <c r="D362" s="2" t="str">
        <f aca="false">IF(2キー同時!$B$84="","",2キー同時!$B$84)</f>
        <v>p</v>
      </c>
      <c r="E362" s="2" t="str">
        <f aca="false">""</f>
        <v/>
      </c>
      <c r="F362" s="2" t="str">
        <f aca="false">""</f>
        <v/>
      </c>
      <c r="G362" s="2" t="str">
        <f aca="false">IF(2キー同時!$B$84="","",IF(2キー同時!AB88="","",SUBSTITUTE(SUBSTITUTE(2キー同時!AB88," ",""),"　","")))</f>
        <v/>
      </c>
      <c r="H362" s="2" t="str">
        <f aca="false">IF($G362="","",2キー同時!$B$84)</f>
        <v/>
      </c>
      <c r="I362" s="2" t="str">
        <f aca="false">IF($G362="","","y")</f>
        <v/>
      </c>
      <c r="J362" s="2" t="str">
        <f aca="false">""</f>
        <v/>
      </c>
      <c r="K362" s="2" t="str">
        <f aca="false">""</f>
        <v/>
      </c>
      <c r="L362" s="2" t="str">
        <f aca="false">IF($G362="","","同時")</f>
        <v/>
      </c>
      <c r="M362" s="2" t="str">
        <f aca="false">IF($G362="","",IF(ISNA(MATCH($G362,個別指定!$A:$A,0)),"行なし",""))</f>
        <v/>
      </c>
      <c r="N362" s="2" t="str">
        <f aca="false">IF($G362="","",IF(COUNTIF($G$2:$G$4460,$G362)&gt;1,"重複",""))</f>
        <v/>
      </c>
    </row>
    <row r="363" customFormat="false" ht="16.5" hidden="false" customHeight="true" outlineLevel="0" collapsed="false">
      <c r="A363" s="2" t="s">
        <v>385</v>
      </c>
      <c r="B363" s="2" t="s">
        <v>392</v>
      </c>
      <c r="C363" s="2" t="s">
        <v>18</v>
      </c>
      <c r="D363" s="2" t="str">
        <f aca="false">IF(2キー同時!$B$84="","",2キー同時!$B$84)</f>
        <v>p</v>
      </c>
      <c r="E363" s="2" t="str">
        <f aca="false">""</f>
        <v/>
      </c>
      <c r="F363" s="2" t="str">
        <f aca="false">""</f>
        <v/>
      </c>
      <c r="G363" s="2" t="str">
        <f aca="false">IF(2キー同時!$B$84="","",IF(2キー同時!AF88="","",SUBSTITUTE(SUBSTITUTE(2キー同時!AF88," ",""),"　","")))</f>
        <v/>
      </c>
      <c r="H363" s="2" t="str">
        <f aca="false">IF($G363="","",2キー同時!$B$84)</f>
        <v/>
      </c>
      <c r="I363" s="2" t="str">
        <f aca="false">IF($G363="","","u")</f>
        <v/>
      </c>
      <c r="J363" s="2" t="str">
        <f aca="false">""</f>
        <v/>
      </c>
      <c r="K363" s="2" t="str">
        <f aca="false">""</f>
        <v/>
      </c>
      <c r="L363" s="2" t="str">
        <f aca="false">IF($G363="","","同時")</f>
        <v/>
      </c>
      <c r="M363" s="2" t="str">
        <f aca="false">IF($G363="","",IF(ISNA(MATCH($G363,個別指定!$A:$A,0)),"行なし",""))</f>
        <v/>
      </c>
      <c r="N363" s="2" t="str">
        <f aca="false">IF($G363="","",IF(COUNTIF($G$2:$G$4460,$G363)&gt;1,"重複",""))</f>
        <v/>
      </c>
    </row>
    <row r="364" customFormat="false" ht="16.5" hidden="false" customHeight="true" outlineLevel="0" collapsed="false">
      <c r="A364" s="2" t="s">
        <v>385</v>
      </c>
      <c r="B364" s="2" t="s">
        <v>392</v>
      </c>
      <c r="C364" s="2" t="s">
        <v>19</v>
      </c>
      <c r="D364" s="2" t="str">
        <f aca="false">IF(2キー同時!$B$84="","",2キー同時!$B$84)</f>
        <v>p</v>
      </c>
      <c r="E364" s="2" t="str">
        <f aca="false">""</f>
        <v/>
      </c>
      <c r="F364" s="2" t="str">
        <f aca="false">""</f>
        <v/>
      </c>
      <c r="G364" s="2" t="str">
        <f aca="false">IF(2キー同時!$B$84="","",IF(2キー同時!AJ88="","",SUBSTITUTE(SUBSTITUTE(2キー同時!AJ88," ",""),"　","")))</f>
        <v/>
      </c>
      <c r="H364" s="2" t="str">
        <f aca="false">IF($G364="","",2キー同時!$B$84)</f>
        <v/>
      </c>
      <c r="I364" s="2" t="str">
        <f aca="false">IF($G364="","","i")</f>
        <v/>
      </c>
      <c r="J364" s="2" t="str">
        <f aca="false">""</f>
        <v/>
      </c>
      <c r="K364" s="2" t="str">
        <f aca="false">""</f>
        <v/>
      </c>
      <c r="L364" s="2" t="str">
        <f aca="false">IF($G364="","","同時")</f>
        <v/>
      </c>
      <c r="M364" s="2" t="str">
        <f aca="false">IF($G364="","",IF(ISNA(MATCH($G364,個別指定!$A:$A,0)),"行なし",""))</f>
        <v/>
      </c>
      <c r="N364" s="2" t="str">
        <f aca="false">IF($G364="","",IF(COUNTIF($G$2:$G$4460,$G364)&gt;1,"重複",""))</f>
        <v/>
      </c>
    </row>
    <row r="365" customFormat="false" ht="16.5" hidden="false" customHeight="true" outlineLevel="0" collapsed="false">
      <c r="A365" s="2" t="s">
        <v>385</v>
      </c>
      <c r="B365" s="2" t="s">
        <v>392</v>
      </c>
      <c r="C365" s="2" t="s">
        <v>20</v>
      </c>
      <c r="D365" s="2" t="str">
        <f aca="false">IF(2キー同時!$B$84="","",2キー同時!$B$84)</f>
        <v>p</v>
      </c>
      <c r="E365" s="2" t="str">
        <f aca="false">""</f>
        <v/>
      </c>
      <c r="F365" s="2" t="str">
        <f aca="false">""</f>
        <v/>
      </c>
      <c r="G365" s="2" t="str">
        <f aca="false">IF(2キー同時!$B$84="","",IF(2キー同時!AN88="","",SUBSTITUTE(SUBSTITUTE(2キー同時!AN88," ",""),"　","")))</f>
        <v/>
      </c>
      <c r="H365" s="2" t="str">
        <f aca="false">IF($G365="","",2キー同時!$B$84)</f>
        <v/>
      </c>
      <c r="I365" s="2" t="str">
        <f aca="false">IF($G365="","","o")</f>
        <v/>
      </c>
      <c r="J365" s="2" t="str">
        <f aca="false">""</f>
        <v/>
      </c>
      <c r="K365" s="2" t="str">
        <f aca="false">""</f>
        <v/>
      </c>
      <c r="L365" s="2" t="str">
        <f aca="false">IF($G365="","","同時")</f>
        <v/>
      </c>
      <c r="M365" s="2" t="str">
        <f aca="false">IF($G365="","",IF(ISNA(MATCH($G365,個別指定!$A:$A,0)),"行なし",""))</f>
        <v/>
      </c>
      <c r="N365" s="2" t="str">
        <f aca="false">IF($G365="","",IF(COUNTIF($G$2:$G$4460,$G365)&gt;1,"重複",""))</f>
        <v/>
      </c>
    </row>
    <row r="366" customFormat="false" ht="16.5" hidden="false" customHeight="true" outlineLevel="0" collapsed="false">
      <c r="A366" s="2" t="s">
        <v>385</v>
      </c>
      <c r="B366" s="2" t="s">
        <v>392</v>
      </c>
      <c r="C366" s="2" t="s">
        <v>21</v>
      </c>
      <c r="D366" s="2" t="str">
        <f aca="false">IF(2キー同時!$B$84="","",2キー同時!$B$84)</f>
        <v>p</v>
      </c>
      <c r="E366" s="2" t="str">
        <f aca="false">""</f>
        <v/>
      </c>
      <c r="F366" s="2" t="str">
        <f aca="false">""</f>
        <v/>
      </c>
      <c r="G366" s="2" t="str">
        <f aca="false">IF(2キー同時!$B$84="","",IF(2キー同時!AR88="","",SUBSTITUTE(SUBSTITUTE(2キー同時!AR88," ",""),"　","")))</f>
        <v/>
      </c>
      <c r="H366" s="2" t="str">
        <f aca="false">IF($G366="","",2キー同時!$B$84)</f>
        <v/>
      </c>
      <c r="I366" s="2" t="str">
        <f aca="false">IF($G366="","","p")</f>
        <v/>
      </c>
      <c r="J366" s="2" t="str">
        <f aca="false">""</f>
        <v/>
      </c>
      <c r="K366" s="2" t="str">
        <f aca="false">""</f>
        <v/>
      </c>
      <c r="L366" s="2" t="str">
        <f aca="false">IF($G366="","","同時")</f>
        <v/>
      </c>
      <c r="M366" s="2" t="str">
        <f aca="false">IF($G366="","",IF(ISNA(MATCH($G366,個別指定!$A:$A,0)),"行なし",""))</f>
        <v/>
      </c>
      <c r="N366" s="2" t="str">
        <f aca="false">IF($G366="","",IF(COUNTIF($G$2:$G$4460,$G366)&gt;1,"重複",""))</f>
        <v/>
      </c>
    </row>
    <row r="367" customFormat="false" ht="16.5" hidden="false" customHeight="true" outlineLevel="0" collapsed="false">
      <c r="A367" s="2" t="s">
        <v>385</v>
      </c>
      <c r="B367" s="2" t="s">
        <v>392</v>
      </c>
      <c r="C367" s="2" t="s">
        <v>22</v>
      </c>
      <c r="D367" s="2" t="str">
        <f aca="false">IF(2キー同時!$B$84="","",2キー同時!$B$84)</f>
        <v>p</v>
      </c>
      <c r="E367" s="2" t="str">
        <f aca="false">""</f>
        <v/>
      </c>
      <c r="F367" s="2" t="str">
        <f aca="false">""</f>
        <v/>
      </c>
      <c r="G367" s="2" t="str">
        <f aca="false">IF(2キー同時!$B$84="","",IF(2キー同時!AV88="","",SUBSTITUTE(SUBSTITUTE(2キー同時!AV88," ",""),"　","")))</f>
        <v/>
      </c>
      <c r="H367" s="2" t="str">
        <f aca="false">IF($G367="","",2キー同時!$B$84)</f>
        <v/>
      </c>
      <c r="I367" s="2" t="str">
        <f aca="false">IF($G367="","","[")</f>
        <v/>
      </c>
      <c r="J367" s="2" t="str">
        <f aca="false">""</f>
        <v/>
      </c>
      <c r="K367" s="2" t="str">
        <f aca="false">""</f>
        <v/>
      </c>
      <c r="L367" s="2" t="str">
        <f aca="false">IF($G367="","","同時")</f>
        <v/>
      </c>
      <c r="M367" s="2" t="str">
        <f aca="false">IF($G367="","",IF(ISNA(MATCH($G367,個別指定!$A:$A,0)),"行なし",""))</f>
        <v/>
      </c>
      <c r="N367" s="2" t="str">
        <f aca="false">IF($G367="","",IF(COUNTIF($G$2:$G$4460,$G367)&gt;1,"重複",""))</f>
        <v/>
      </c>
    </row>
    <row r="368" customFormat="false" ht="16.5" hidden="false" customHeight="true" outlineLevel="0" collapsed="false">
      <c r="A368" s="2" t="s">
        <v>385</v>
      </c>
      <c r="B368" s="2" t="s">
        <v>392</v>
      </c>
      <c r="C368" s="2" t="s">
        <v>23</v>
      </c>
      <c r="D368" s="2" t="str">
        <f aca="false">IF(2キー同時!$B$84="","",2キー同時!$B$84)</f>
        <v>p</v>
      </c>
      <c r="E368" s="2" t="str">
        <f aca="false">""</f>
        <v/>
      </c>
      <c r="F368" s="2" t="str">
        <f aca="false">""</f>
        <v/>
      </c>
      <c r="G368" s="2" t="str">
        <f aca="false">IF(2キー同時!$B$84="","",IF(2キー同時!AZ88="","",SUBSTITUTE(SUBSTITUTE(2キー同時!AZ88," ",""),"　","")))</f>
        <v/>
      </c>
      <c r="H368" s="2" t="str">
        <f aca="false">IF($G368="","",2キー同時!$B$84)</f>
        <v/>
      </c>
      <c r="I368" s="2" t="str">
        <f aca="false">IF($G368="","","]")</f>
        <v/>
      </c>
      <c r="J368" s="2" t="str">
        <f aca="false">""</f>
        <v/>
      </c>
      <c r="K368" s="2" t="str">
        <f aca="false">""</f>
        <v/>
      </c>
      <c r="L368" s="2" t="str">
        <f aca="false">IF($G368="","","同時")</f>
        <v/>
      </c>
      <c r="M368" s="2" t="str">
        <f aca="false">IF($G368="","",IF(ISNA(MATCH($G368,個別指定!$A:$A,0)),"行なし",""))</f>
        <v/>
      </c>
      <c r="N368" s="2" t="str">
        <f aca="false">IF($G368="","",IF(COUNTIF($G$2:$G$4460,$G368)&gt;1,"重複",""))</f>
        <v/>
      </c>
    </row>
    <row r="369" customFormat="false" ht="16.5" hidden="false" customHeight="true" outlineLevel="0" collapsed="false">
      <c r="A369" s="2" t="s">
        <v>385</v>
      </c>
      <c r="B369" s="2" t="s">
        <v>392</v>
      </c>
      <c r="C369" s="2" t="s">
        <v>24</v>
      </c>
      <c r="D369" s="2" t="str">
        <f aca="false">IF(2キー同時!$B$84="","",2キー同時!$B$84)</f>
        <v>p</v>
      </c>
      <c r="E369" s="2" t="str">
        <f aca="false">""</f>
        <v/>
      </c>
      <c r="F369" s="2" t="str">
        <f aca="false">""</f>
        <v/>
      </c>
      <c r="G369" s="2" t="str">
        <f aca="false">IF(2キー同時!$B$84="","",IF(2キー同時!I90="","",SUBSTITUTE(SUBSTITUTE(2キー同時!I90," ",""),"　","")))</f>
        <v/>
      </c>
      <c r="H369" s="2" t="str">
        <f aca="false">IF($G369="","",2キー同時!$B$84)</f>
        <v/>
      </c>
      <c r="I369" s="2" t="str">
        <f aca="false">IF($G369="","","a")</f>
        <v/>
      </c>
      <c r="J369" s="2" t="str">
        <f aca="false">""</f>
        <v/>
      </c>
      <c r="K369" s="2" t="str">
        <f aca="false">""</f>
        <v/>
      </c>
      <c r="L369" s="2" t="str">
        <f aca="false">IF($G369="","","同時")</f>
        <v/>
      </c>
      <c r="M369" s="2" t="str">
        <f aca="false">IF($G369="","",IF(ISNA(MATCH($G369,個別指定!$A:$A,0)),"行なし",""))</f>
        <v/>
      </c>
      <c r="N369" s="2" t="str">
        <f aca="false">IF($G369="","",IF(COUNTIF($G$2:$G$4460,$G369)&gt;1,"重複",""))</f>
        <v/>
      </c>
    </row>
    <row r="370" customFormat="false" ht="16.5" hidden="false" customHeight="true" outlineLevel="0" collapsed="false">
      <c r="A370" s="2" t="s">
        <v>385</v>
      </c>
      <c r="B370" s="2" t="s">
        <v>392</v>
      </c>
      <c r="C370" s="2" t="s">
        <v>25</v>
      </c>
      <c r="D370" s="2" t="str">
        <f aca="false">IF(2キー同時!$B$84="","",2キー同時!$B$84)</f>
        <v>p</v>
      </c>
      <c r="E370" s="2" t="str">
        <f aca="false">""</f>
        <v/>
      </c>
      <c r="F370" s="2" t="str">
        <f aca="false">""</f>
        <v/>
      </c>
      <c r="G370" s="2" t="str">
        <f aca="false">IF(2キー同時!$B$84="","",IF(2キー同時!M90="","",SUBSTITUTE(SUBSTITUTE(2キー同時!M90," ",""),"　","")))</f>
        <v>みゅ</v>
      </c>
      <c r="H370" s="2" t="str">
        <f aca="false">IF($G370="","",2キー同時!$B$84)</f>
        <v>p</v>
      </c>
      <c r="I370" s="2" t="str">
        <f aca="false">IF($G370="","","s")</f>
        <v>s</v>
      </c>
      <c r="J370" s="2" t="str">
        <f aca="false">""</f>
        <v/>
      </c>
      <c r="K370" s="2" t="str">
        <f aca="false">""</f>
        <v/>
      </c>
      <c r="L370" s="2" t="str">
        <f aca="false">IF($G370="","","同時")</f>
        <v>同時</v>
      </c>
      <c r="M370" s="2" t="str">
        <f aca="false">IF($G370="","",IF(ISNA(MATCH($G370,個別指定!$A:$A,0)),"行なし",""))</f>
        <v/>
      </c>
      <c r="N370" s="2" t="str">
        <f aca="false">IF($G370="","",IF(COUNTIF($G$2:$G$4460,$G370)&gt;1,"重複",""))</f>
        <v/>
      </c>
    </row>
    <row r="371" customFormat="false" ht="16.5" hidden="false" customHeight="true" outlineLevel="0" collapsed="false">
      <c r="A371" s="2" t="s">
        <v>385</v>
      </c>
      <c r="B371" s="2" t="s">
        <v>392</v>
      </c>
      <c r="C371" s="2" t="s">
        <v>26</v>
      </c>
      <c r="D371" s="2" t="str">
        <f aca="false">IF(2キー同時!$B$84="","",2キー同時!$B$84)</f>
        <v>p</v>
      </c>
      <c r="E371" s="2" t="str">
        <f aca="false">""</f>
        <v/>
      </c>
      <c r="F371" s="2" t="str">
        <f aca="false">""</f>
        <v/>
      </c>
      <c r="G371" s="2" t="str">
        <f aca="false">IF(2キー同時!$B$84="","",IF(2キー同時!Q90="","",SUBSTITUTE(SUBSTITUTE(2キー同時!Q90," ",""),"　","")))</f>
        <v>にゅ</v>
      </c>
      <c r="H371" s="2" t="str">
        <f aca="false">IF($G371="","",2キー同時!$B$84)</f>
        <v>p</v>
      </c>
      <c r="I371" s="2" t="str">
        <f aca="false">IF($G371="","","d")</f>
        <v>d</v>
      </c>
      <c r="J371" s="2" t="str">
        <f aca="false">""</f>
        <v/>
      </c>
      <c r="K371" s="2" t="str">
        <f aca="false">""</f>
        <v/>
      </c>
      <c r="L371" s="2" t="str">
        <f aca="false">IF($G371="","","同時")</f>
        <v>同時</v>
      </c>
      <c r="M371" s="2" t="str">
        <f aca="false">IF($G371="","",IF(ISNA(MATCH($G371,個別指定!$A:$A,0)),"行なし",""))</f>
        <v/>
      </c>
      <c r="N371" s="2" t="str">
        <f aca="false">IF($G371="","",IF(COUNTIF($G$2:$G$4460,$G371)&gt;1,"重複",""))</f>
        <v/>
      </c>
    </row>
    <row r="372" customFormat="false" ht="16.5" hidden="false" customHeight="true" outlineLevel="0" collapsed="false">
      <c r="A372" s="2" t="s">
        <v>385</v>
      </c>
      <c r="B372" s="2" t="s">
        <v>392</v>
      </c>
      <c r="C372" s="2" t="s">
        <v>27</v>
      </c>
      <c r="D372" s="2" t="str">
        <f aca="false">IF(2キー同時!$B$84="","",2キー同時!$B$84)</f>
        <v>p</v>
      </c>
      <c r="E372" s="2" t="str">
        <f aca="false">""</f>
        <v/>
      </c>
      <c r="F372" s="2" t="str">
        <f aca="false">""</f>
        <v/>
      </c>
      <c r="G372" s="2" t="str">
        <f aca="false">IF(2キー同時!$B$84="","",IF(2キー同時!U90="","",SUBSTITUTE(SUBSTITUTE(2キー同時!U90," ",""),"　","")))</f>
        <v/>
      </c>
      <c r="H372" s="2" t="str">
        <f aca="false">IF($G372="","",2キー同時!$B$84)</f>
        <v/>
      </c>
      <c r="I372" s="2" t="str">
        <f aca="false">IF($G372="","","f")</f>
        <v/>
      </c>
      <c r="J372" s="2" t="str">
        <f aca="false">""</f>
        <v/>
      </c>
      <c r="K372" s="2" t="str">
        <f aca="false">""</f>
        <v/>
      </c>
      <c r="L372" s="2" t="str">
        <f aca="false">IF($G372="","","同時")</f>
        <v/>
      </c>
      <c r="M372" s="2" t="str">
        <f aca="false">IF($G372="","",IF(ISNA(MATCH($G372,個別指定!$A:$A,0)),"行なし",""))</f>
        <v/>
      </c>
      <c r="N372" s="2" t="str">
        <f aca="false">IF($G372="","",IF(COUNTIF($G$2:$G$4460,$G372)&gt;1,"重複",""))</f>
        <v/>
      </c>
    </row>
    <row r="373" customFormat="false" ht="16.5" hidden="false" customHeight="true" outlineLevel="0" collapsed="false">
      <c r="A373" s="2" t="s">
        <v>385</v>
      </c>
      <c r="B373" s="2" t="s">
        <v>392</v>
      </c>
      <c r="C373" s="2" t="s">
        <v>28</v>
      </c>
      <c r="D373" s="2" t="str">
        <f aca="false">IF(2キー同時!$B$84="","",2キー同時!$B$84)</f>
        <v>p</v>
      </c>
      <c r="E373" s="2" t="str">
        <f aca="false">""</f>
        <v/>
      </c>
      <c r="F373" s="2" t="str">
        <f aca="false">""</f>
        <v/>
      </c>
      <c r="G373" s="2" t="str">
        <f aca="false">IF(2キー同時!$B$84="","",IF(2キー同時!Y90="","",SUBSTITUTE(SUBSTITUTE(2キー同時!Y90," ",""),"　","")))</f>
        <v>ちゅ</v>
      </c>
      <c r="H373" s="2" t="str">
        <f aca="false">IF($G373="","",2キー同時!$B$84)</f>
        <v>p</v>
      </c>
      <c r="I373" s="2" t="str">
        <f aca="false">IF($G373="","","g")</f>
        <v>g</v>
      </c>
      <c r="J373" s="2" t="str">
        <f aca="false">""</f>
        <v/>
      </c>
      <c r="K373" s="2" t="str">
        <f aca="false">""</f>
        <v/>
      </c>
      <c r="L373" s="2" t="str">
        <f aca="false">IF($G373="","","同時")</f>
        <v>同時</v>
      </c>
      <c r="M373" s="2" t="str">
        <f aca="false">IF($G373="","",IF(ISNA(MATCH($G373,個別指定!$A:$A,0)),"行なし",""))</f>
        <v/>
      </c>
      <c r="N373" s="2" t="str">
        <f aca="false">IF($G373="","",IF(COUNTIF($G$2:$G$4460,$G373)&gt;1,"重複",""))</f>
        <v/>
      </c>
    </row>
    <row r="374" customFormat="false" ht="16.5" hidden="false" customHeight="true" outlineLevel="0" collapsed="false">
      <c r="A374" s="2" t="s">
        <v>385</v>
      </c>
      <c r="B374" s="2" t="s">
        <v>392</v>
      </c>
      <c r="C374" s="2" t="s">
        <v>29</v>
      </c>
      <c r="D374" s="2" t="str">
        <f aca="false">IF(2キー同時!$B$84="","",2キー同時!$B$84)</f>
        <v>p</v>
      </c>
      <c r="E374" s="2" t="str">
        <f aca="false">""</f>
        <v/>
      </c>
      <c r="F374" s="2" t="str">
        <f aca="false">""</f>
        <v/>
      </c>
      <c r="G374" s="2" t="str">
        <f aca="false">IF(2キー同時!$B$84="","",IF(2キー同時!AC90="","",SUBSTITUTE(SUBSTITUTE(2キー同時!AC90," ",""),"　","")))</f>
        <v/>
      </c>
      <c r="H374" s="2" t="str">
        <f aca="false">IF($G374="","",2キー同時!$B$84)</f>
        <v/>
      </c>
      <c r="I374" s="2" t="str">
        <f aca="false">IF($G374="","","h")</f>
        <v/>
      </c>
      <c r="J374" s="2" t="str">
        <f aca="false">""</f>
        <v/>
      </c>
      <c r="K374" s="2" t="str">
        <f aca="false">""</f>
        <v/>
      </c>
      <c r="L374" s="2" t="str">
        <f aca="false">IF($G374="","","同時")</f>
        <v/>
      </c>
      <c r="M374" s="2" t="str">
        <f aca="false">IF($G374="","",IF(ISNA(MATCH($G374,個別指定!$A:$A,0)),"行なし",""))</f>
        <v/>
      </c>
      <c r="N374" s="2" t="str">
        <f aca="false">IF($G374="","",IF(COUNTIF($G$2:$G$4460,$G374)&gt;1,"重複",""))</f>
        <v/>
      </c>
    </row>
    <row r="375" customFormat="false" ht="16.5" hidden="false" customHeight="true" outlineLevel="0" collapsed="false">
      <c r="A375" s="2" t="s">
        <v>385</v>
      </c>
      <c r="B375" s="2" t="s">
        <v>392</v>
      </c>
      <c r="C375" s="2" t="s">
        <v>30</v>
      </c>
      <c r="D375" s="2" t="str">
        <f aca="false">IF(2キー同時!$B$84="","",2キー同時!$B$84)</f>
        <v>p</v>
      </c>
      <c r="E375" s="2" t="str">
        <f aca="false">""</f>
        <v/>
      </c>
      <c r="F375" s="2" t="str">
        <f aca="false">""</f>
        <v/>
      </c>
      <c r="G375" s="2" t="str">
        <f aca="false">IF(2キー同時!$B$84="","",IF(2キー同時!AG90="","",SUBSTITUTE(SUBSTITUTE(2キー同時!AG90," ",""),"　","")))</f>
        <v/>
      </c>
      <c r="H375" s="2" t="str">
        <f aca="false">IF($G375="","",2キー同時!$B$84)</f>
        <v/>
      </c>
      <c r="I375" s="2" t="str">
        <f aca="false">IF($G375="","","j")</f>
        <v/>
      </c>
      <c r="J375" s="2" t="str">
        <f aca="false">""</f>
        <v/>
      </c>
      <c r="K375" s="2" t="str">
        <f aca="false">""</f>
        <v/>
      </c>
      <c r="L375" s="2" t="str">
        <f aca="false">IF($G375="","","同時")</f>
        <v/>
      </c>
      <c r="M375" s="2" t="str">
        <f aca="false">IF($G375="","",IF(ISNA(MATCH($G375,個別指定!$A:$A,0)),"行なし",""))</f>
        <v/>
      </c>
      <c r="N375" s="2" t="str">
        <f aca="false">IF($G375="","",IF(COUNTIF($G$2:$G$4460,$G375)&gt;1,"重複",""))</f>
        <v/>
      </c>
    </row>
    <row r="376" customFormat="false" ht="16.5" hidden="false" customHeight="true" outlineLevel="0" collapsed="false">
      <c r="A376" s="2" t="s">
        <v>385</v>
      </c>
      <c r="B376" s="2" t="s">
        <v>392</v>
      </c>
      <c r="C376" s="2" t="s">
        <v>31</v>
      </c>
      <c r="D376" s="2" t="str">
        <f aca="false">IF(2キー同時!$B$84="","",2キー同時!$B$84)</f>
        <v>p</v>
      </c>
      <c r="E376" s="2" t="str">
        <f aca="false">""</f>
        <v/>
      </c>
      <c r="F376" s="2" t="str">
        <f aca="false">""</f>
        <v/>
      </c>
      <c r="G376" s="2" t="str">
        <f aca="false">IF(2キー同時!$B$84="","",IF(2キー同時!AK90="","",SUBSTITUTE(SUBSTITUTE(2キー同時!AK90," ",""),"　","")))</f>
        <v/>
      </c>
      <c r="H376" s="2" t="str">
        <f aca="false">IF($G376="","",2キー同時!$B$84)</f>
        <v/>
      </c>
      <c r="I376" s="2" t="str">
        <f aca="false">IF($G376="","","k")</f>
        <v/>
      </c>
      <c r="J376" s="2" t="str">
        <f aca="false">""</f>
        <v/>
      </c>
      <c r="K376" s="2" t="str">
        <f aca="false">""</f>
        <v/>
      </c>
      <c r="L376" s="2" t="str">
        <f aca="false">IF($G376="","","同時")</f>
        <v/>
      </c>
      <c r="M376" s="2" t="str">
        <f aca="false">IF($G376="","",IF(ISNA(MATCH($G376,個別指定!$A:$A,0)),"行なし",""))</f>
        <v/>
      </c>
      <c r="N376" s="2" t="str">
        <f aca="false">IF($G376="","",IF(COUNTIF($G$2:$G$4460,$G376)&gt;1,"重複",""))</f>
        <v/>
      </c>
    </row>
    <row r="377" customFormat="false" ht="16.5" hidden="false" customHeight="true" outlineLevel="0" collapsed="false">
      <c r="A377" s="2" t="s">
        <v>385</v>
      </c>
      <c r="B377" s="2" t="s">
        <v>392</v>
      </c>
      <c r="C377" s="2" t="s">
        <v>32</v>
      </c>
      <c r="D377" s="2" t="str">
        <f aca="false">IF(2キー同時!$B$84="","",2キー同時!$B$84)</f>
        <v>p</v>
      </c>
      <c r="E377" s="2" t="str">
        <f aca="false">""</f>
        <v/>
      </c>
      <c r="F377" s="2" t="str">
        <f aca="false">""</f>
        <v/>
      </c>
      <c r="G377" s="2" t="str">
        <f aca="false">IF(2キー同時!$B$84="","",IF(2キー同時!AO90="","",SUBSTITUTE(SUBSTITUTE(2キー同時!AO90," ",""),"　","")))</f>
        <v/>
      </c>
      <c r="H377" s="2" t="str">
        <f aca="false">IF($G377="","",2キー同時!$B$84)</f>
        <v/>
      </c>
      <c r="I377" s="2" t="str">
        <f aca="false">IF($G377="","","l")</f>
        <v/>
      </c>
      <c r="J377" s="2" t="str">
        <f aca="false">""</f>
        <v/>
      </c>
      <c r="K377" s="2" t="str">
        <f aca="false">""</f>
        <v/>
      </c>
      <c r="L377" s="2" t="str">
        <f aca="false">IF($G377="","","同時")</f>
        <v/>
      </c>
      <c r="M377" s="2" t="str">
        <f aca="false">IF($G377="","",IF(ISNA(MATCH($G377,個別指定!$A:$A,0)),"行なし",""))</f>
        <v/>
      </c>
      <c r="N377" s="2" t="str">
        <f aca="false">IF($G377="","",IF(COUNTIF($G$2:$G$4460,$G377)&gt;1,"重複",""))</f>
        <v/>
      </c>
    </row>
    <row r="378" customFormat="false" ht="16.5" hidden="false" customHeight="true" outlineLevel="0" collapsed="false">
      <c r="A378" s="2" t="s">
        <v>385</v>
      </c>
      <c r="B378" s="2" t="s">
        <v>392</v>
      </c>
      <c r="C378" s="2" t="s">
        <v>33</v>
      </c>
      <c r="D378" s="2" t="str">
        <f aca="false">IF(2キー同時!$B$84="","",2キー同時!$B$84)</f>
        <v>p</v>
      </c>
      <c r="E378" s="2" t="str">
        <f aca="false">""</f>
        <v/>
      </c>
      <c r="F378" s="2" t="str">
        <f aca="false">""</f>
        <v/>
      </c>
      <c r="G378" s="2" t="str">
        <f aca="false">IF(2キー同時!$B$84="","",IF(2キー同時!AS90="","",SUBSTITUTE(SUBSTITUTE(2キー同時!AS90," ",""),"　","")))</f>
        <v/>
      </c>
      <c r="H378" s="2" t="str">
        <f aca="false">IF($G378="","",2キー同時!$B$84)</f>
        <v/>
      </c>
      <c r="I378" s="2" t="str">
        <f aca="false">IF($G378="","",";")</f>
        <v/>
      </c>
      <c r="J378" s="2" t="str">
        <f aca="false">""</f>
        <v/>
      </c>
      <c r="K378" s="2" t="str">
        <f aca="false">""</f>
        <v/>
      </c>
      <c r="L378" s="2" t="str">
        <f aca="false">IF($G378="","","同時")</f>
        <v/>
      </c>
      <c r="M378" s="2" t="str">
        <f aca="false">IF($G378="","",IF(ISNA(MATCH($G378,個別指定!$A:$A,0)),"行なし",""))</f>
        <v/>
      </c>
      <c r="N378" s="2" t="str">
        <f aca="false">IF($G378="","",IF(COUNTIF($G$2:$G$4460,$G378)&gt;1,"重複",""))</f>
        <v/>
      </c>
    </row>
    <row r="379" customFormat="false" ht="16.5" hidden="false" customHeight="true" outlineLevel="0" collapsed="false">
      <c r="A379" s="2" t="s">
        <v>385</v>
      </c>
      <c r="B379" s="2" t="s">
        <v>392</v>
      </c>
      <c r="C379" s="2" t="s">
        <v>34</v>
      </c>
      <c r="D379" s="2" t="str">
        <f aca="false">IF(2キー同時!$B$84="","",2キー同時!$B$84)</f>
        <v>p</v>
      </c>
      <c r="E379" s="2" t="str">
        <f aca="false">""</f>
        <v/>
      </c>
      <c r="F379" s="2" t="str">
        <f aca="false">""</f>
        <v/>
      </c>
      <c r="G379" s="2" t="str">
        <f aca="false">IF(2キー同時!$B$84="","",IF(2キー同時!AW90="","",SUBSTITUTE(SUBSTITUTE(2キー同時!AW90," ",""),"　","")))</f>
        <v/>
      </c>
      <c r="H379" s="2" t="str">
        <f aca="false">IF($G379="","",2キー同時!$B$84)</f>
        <v/>
      </c>
      <c r="I379" s="2" t="str">
        <f aca="false">IF($G379="","","'")</f>
        <v/>
      </c>
      <c r="J379" s="2" t="str">
        <f aca="false">""</f>
        <v/>
      </c>
      <c r="K379" s="2" t="str">
        <f aca="false">""</f>
        <v/>
      </c>
      <c r="L379" s="2" t="str">
        <f aca="false">IF($G379="","","同時")</f>
        <v/>
      </c>
      <c r="M379" s="2" t="str">
        <f aca="false">IF($G379="","",IF(ISNA(MATCH($G379,個別指定!$A:$A,0)),"行なし",""))</f>
        <v/>
      </c>
      <c r="N379" s="2" t="str">
        <f aca="false">IF($G379="","",IF(COUNTIF($G$2:$G$4460,$G379)&gt;1,"重複",""))</f>
        <v/>
      </c>
    </row>
    <row r="380" customFormat="false" ht="16.5" hidden="false" customHeight="true" outlineLevel="0" collapsed="false">
      <c r="A380" s="2" t="s">
        <v>385</v>
      </c>
      <c r="B380" s="2" t="s">
        <v>392</v>
      </c>
      <c r="C380" s="2" t="s">
        <v>35</v>
      </c>
      <c r="D380" s="2" t="str">
        <f aca="false">IF(2キー同時!$B$84="","",2キー同時!$B$84)</f>
        <v>p</v>
      </c>
      <c r="E380" s="2" t="str">
        <f aca="false">""</f>
        <v/>
      </c>
      <c r="F380" s="2" t="str">
        <f aca="false">""</f>
        <v/>
      </c>
      <c r="G380" s="2" t="str">
        <f aca="false">IF(2キー同時!$B$84="","",IF(2キー同時!K92="","",SUBSTITUTE(SUBSTITUTE(2キー同時!K92," ",""),"　","")))</f>
        <v/>
      </c>
      <c r="H380" s="2" t="str">
        <f aca="false">IF($G380="","",2キー同時!$B$84)</f>
        <v/>
      </c>
      <c r="I380" s="2" t="str">
        <f aca="false">IF($G380="","","z")</f>
        <v/>
      </c>
      <c r="J380" s="2" t="str">
        <f aca="false">""</f>
        <v/>
      </c>
      <c r="K380" s="2" t="str">
        <f aca="false">""</f>
        <v/>
      </c>
      <c r="L380" s="2" t="str">
        <f aca="false">IF($G380="","","同時")</f>
        <v/>
      </c>
      <c r="M380" s="2" t="str">
        <f aca="false">IF($G380="","",IF(ISNA(MATCH($G380,個別指定!$A:$A,0)),"行なし",""))</f>
        <v/>
      </c>
      <c r="N380" s="2" t="str">
        <f aca="false">IF($G380="","",IF(COUNTIF($G$2:$G$4460,$G380)&gt;1,"重複",""))</f>
        <v/>
      </c>
    </row>
    <row r="381" customFormat="false" ht="16.5" hidden="false" customHeight="true" outlineLevel="0" collapsed="false">
      <c r="A381" s="2" t="s">
        <v>385</v>
      </c>
      <c r="B381" s="2" t="s">
        <v>392</v>
      </c>
      <c r="C381" s="2" t="s">
        <v>36</v>
      </c>
      <c r="D381" s="2" t="str">
        <f aca="false">IF(2キー同時!$B$84="","",2キー同時!$B$84)</f>
        <v>p</v>
      </c>
      <c r="E381" s="2" t="str">
        <f aca="false">""</f>
        <v/>
      </c>
      <c r="F381" s="2" t="str">
        <f aca="false">""</f>
        <v/>
      </c>
      <c r="G381" s="2" t="str">
        <f aca="false">IF(2キー同時!$B$84="","",IF(2キー同時!O92="","",SUBSTITUTE(SUBSTITUTE(2キー同時!O92," ",""),"　","")))</f>
        <v>ひゅ</v>
      </c>
      <c r="H381" s="2" t="str">
        <f aca="false">IF($G381="","",2キー同時!$B$84)</f>
        <v>p</v>
      </c>
      <c r="I381" s="2" t="str">
        <f aca="false">IF($G381="","","x")</f>
        <v>x</v>
      </c>
      <c r="J381" s="2" t="str">
        <f aca="false">""</f>
        <v/>
      </c>
      <c r="K381" s="2" t="str">
        <f aca="false">""</f>
        <v/>
      </c>
      <c r="L381" s="2" t="str">
        <f aca="false">IF($G381="","","同時")</f>
        <v>同時</v>
      </c>
      <c r="M381" s="2" t="str">
        <f aca="false">IF($G381="","",IF(ISNA(MATCH($G381,個別指定!$A:$A,0)),"行なし",""))</f>
        <v/>
      </c>
      <c r="N381" s="2" t="str">
        <f aca="false">IF($G381="","",IF(COUNTIF($G$2:$G$4460,$G381)&gt;1,"重複",""))</f>
        <v/>
      </c>
    </row>
    <row r="382" customFormat="false" ht="16.5" hidden="false" customHeight="true" outlineLevel="0" collapsed="false">
      <c r="A382" s="2" t="s">
        <v>385</v>
      </c>
      <c r="B382" s="2" t="s">
        <v>392</v>
      </c>
      <c r="C382" s="2" t="s">
        <v>37</v>
      </c>
      <c r="D382" s="2" t="str">
        <f aca="false">IF(2キー同時!$B$84="","",2キー同時!$B$84)</f>
        <v>p</v>
      </c>
      <c r="E382" s="2" t="str">
        <f aca="false">""</f>
        <v/>
      </c>
      <c r="F382" s="2" t="str">
        <f aca="false">""</f>
        <v/>
      </c>
      <c r="G382" s="2" t="str">
        <f aca="false">IF(2キー同時!$B$84="","",IF(2キー同時!S92="","",SUBSTITUTE(SUBSTITUTE(2キー同時!S92," ",""),"　","")))</f>
        <v/>
      </c>
      <c r="H382" s="2" t="str">
        <f aca="false">IF($G382="","",2キー同時!$B$84)</f>
        <v/>
      </c>
      <c r="I382" s="2" t="str">
        <f aca="false">IF($G382="","","c")</f>
        <v/>
      </c>
      <c r="J382" s="2" t="str">
        <f aca="false">""</f>
        <v/>
      </c>
      <c r="K382" s="2" t="str">
        <f aca="false">""</f>
        <v/>
      </c>
      <c r="L382" s="2" t="str">
        <f aca="false">IF($G382="","","同時")</f>
        <v/>
      </c>
      <c r="M382" s="2" t="str">
        <f aca="false">IF($G382="","",IF(ISNA(MATCH($G382,個別指定!$A:$A,0)),"行なし",""))</f>
        <v/>
      </c>
      <c r="N382" s="2" t="str">
        <f aca="false">IF($G382="","",IF(COUNTIF($G$2:$G$4460,$G382)&gt;1,"重複",""))</f>
        <v/>
      </c>
    </row>
    <row r="383" customFormat="false" ht="16.5" hidden="false" customHeight="true" outlineLevel="0" collapsed="false">
      <c r="A383" s="2" t="s">
        <v>385</v>
      </c>
      <c r="B383" s="2" t="s">
        <v>392</v>
      </c>
      <c r="C383" s="2" t="s">
        <v>38</v>
      </c>
      <c r="D383" s="2" t="str">
        <f aca="false">IF(2キー同時!$B$84="","",2キー同時!$B$84)</f>
        <v>p</v>
      </c>
      <c r="E383" s="2" t="str">
        <f aca="false">""</f>
        <v/>
      </c>
      <c r="F383" s="2" t="str">
        <f aca="false">""</f>
        <v/>
      </c>
      <c r="G383" s="2" t="str">
        <f aca="false">IF(2キー同時!$B$84="","",IF(2キー同時!W92="","",SUBSTITUTE(SUBSTITUTE(2キー同時!W92," ",""),"　","")))</f>
        <v/>
      </c>
      <c r="H383" s="2" t="str">
        <f aca="false">IF($G383="","",2キー同時!$B$84)</f>
        <v/>
      </c>
      <c r="I383" s="2" t="str">
        <f aca="false">IF($G383="","","v")</f>
        <v/>
      </c>
      <c r="J383" s="2" t="str">
        <f aca="false">""</f>
        <v/>
      </c>
      <c r="K383" s="2" t="str">
        <f aca="false">""</f>
        <v/>
      </c>
      <c r="L383" s="2" t="str">
        <f aca="false">IF($G383="","","同時")</f>
        <v/>
      </c>
      <c r="M383" s="2" t="str">
        <f aca="false">IF($G383="","",IF(ISNA(MATCH($G383,個別指定!$A:$A,0)),"行なし",""))</f>
        <v/>
      </c>
      <c r="N383" s="2" t="str">
        <f aca="false">IF($G383="","",IF(COUNTIF($G$2:$G$4460,$G383)&gt;1,"重複",""))</f>
        <v/>
      </c>
    </row>
    <row r="384" customFormat="false" ht="16.5" hidden="false" customHeight="true" outlineLevel="0" collapsed="false">
      <c r="A384" s="2" t="s">
        <v>385</v>
      </c>
      <c r="B384" s="2" t="s">
        <v>392</v>
      </c>
      <c r="C384" s="2" t="s">
        <v>39</v>
      </c>
      <c r="D384" s="2" t="str">
        <f aca="false">IF(2キー同時!$B$84="","",2キー同時!$B$84)</f>
        <v>p</v>
      </c>
      <c r="E384" s="2" t="str">
        <f aca="false">""</f>
        <v/>
      </c>
      <c r="F384" s="2" t="str">
        <f aca="false">""</f>
        <v/>
      </c>
      <c r="G384" s="2" t="str">
        <f aca="false">IF(2キー同時!$B$84="","",IF(2キー同時!AA92="","",SUBSTITUTE(SUBSTITUTE(2キー同時!AA92," ",""),"　","")))</f>
        <v/>
      </c>
      <c r="H384" s="2" t="str">
        <f aca="false">IF($G384="","",2キー同時!$B$84)</f>
        <v/>
      </c>
      <c r="I384" s="2" t="str">
        <f aca="false">IF($G384="","","b")</f>
        <v/>
      </c>
      <c r="J384" s="2" t="str">
        <f aca="false">""</f>
        <v/>
      </c>
      <c r="K384" s="2" t="str">
        <f aca="false">""</f>
        <v/>
      </c>
      <c r="L384" s="2" t="str">
        <f aca="false">IF($G384="","","同時")</f>
        <v/>
      </c>
      <c r="M384" s="2" t="str">
        <f aca="false">IF($G384="","",IF(ISNA(MATCH($G384,個別指定!$A:$A,0)),"行なし",""))</f>
        <v/>
      </c>
      <c r="N384" s="2" t="str">
        <f aca="false">IF($G384="","",IF(COUNTIF($G$2:$G$4460,$G384)&gt;1,"重複",""))</f>
        <v/>
      </c>
    </row>
    <row r="385" customFormat="false" ht="16.5" hidden="false" customHeight="true" outlineLevel="0" collapsed="false">
      <c r="A385" s="2" t="s">
        <v>385</v>
      </c>
      <c r="B385" s="2" t="s">
        <v>392</v>
      </c>
      <c r="C385" s="2" t="s">
        <v>40</v>
      </c>
      <c r="D385" s="2" t="str">
        <f aca="false">IF(2キー同時!$B$84="","",2キー同時!$B$84)</f>
        <v>p</v>
      </c>
      <c r="E385" s="2" t="str">
        <f aca="false">""</f>
        <v/>
      </c>
      <c r="F385" s="2" t="str">
        <f aca="false">""</f>
        <v/>
      </c>
      <c r="G385" s="2" t="str">
        <f aca="false">IF(2キー同時!$B$84="","",IF(2キー同時!AE92="","",SUBSTITUTE(SUBSTITUTE(2キー同時!AE92," ",""),"　","")))</f>
        <v/>
      </c>
      <c r="H385" s="2" t="str">
        <f aca="false">IF($G385="","",2キー同時!$B$84)</f>
        <v/>
      </c>
      <c r="I385" s="2" t="str">
        <f aca="false">IF($G385="","","n")</f>
        <v/>
      </c>
      <c r="J385" s="2" t="str">
        <f aca="false">""</f>
        <v/>
      </c>
      <c r="K385" s="2" t="str">
        <f aca="false">""</f>
        <v/>
      </c>
      <c r="L385" s="2" t="str">
        <f aca="false">IF($G385="","","同時")</f>
        <v/>
      </c>
      <c r="M385" s="2" t="str">
        <f aca="false">IF($G385="","",IF(ISNA(MATCH($G385,個別指定!$A:$A,0)),"行なし",""))</f>
        <v/>
      </c>
      <c r="N385" s="2" t="str">
        <f aca="false">IF($G385="","",IF(COUNTIF($G$2:$G$4460,$G385)&gt;1,"重複",""))</f>
        <v/>
      </c>
    </row>
    <row r="386" customFormat="false" ht="16.5" hidden="false" customHeight="true" outlineLevel="0" collapsed="false">
      <c r="A386" s="2" t="s">
        <v>385</v>
      </c>
      <c r="B386" s="2" t="s">
        <v>392</v>
      </c>
      <c r="C386" s="2" t="s">
        <v>41</v>
      </c>
      <c r="D386" s="2" t="str">
        <f aca="false">IF(2キー同時!$B$84="","",2キー同時!$B$84)</f>
        <v>p</v>
      </c>
      <c r="E386" s="2" t="str">
        <f aca="false">""</f>
        <v/>
      </c>
      <c r="F386" s="2" t="str">
        <f aca="false">""</f>
        <v/>
      </c>
      <c r="G386" s="2" t="str">
        <f aca="false">IF(2キー同時!$B$84="","",IF(2キー同時!AI92="","",SUBSTITUTE(SUBSTITUTE(2キー同時!AI92," ",""),"　","")))</f>
        <v/>
      </c>
      <c r="H386" s="2" t="str">
        <f aca="false">IF($G386="","",2キー同時!$B$84)</f>
        <v/>
      </c>
      <c r="I386" s="2" t="str">
        <f aca="false">IF($G386="","","m")</f>
        <v/>
      </c>
      <c r="J386" s="2" t="str">
        <f aca="false">""</f>
        <v/>
      </c>
      <c r="K386" s="2" t="str">
        <f aca="false">""</f>
        <v/>
      </c>
      <c r="L386" s="2" t="str">
        <f aca="false">IF($G386="","","同時")</f>
        <v/>
      </c>
      <c r="M386" s="2" t="str">
        <f aca="false">IF($G386="","",IF(ISNA(MATCH($G386,個別指定!$A:$A,0)),"行なし",""))</f>
        <v/>
      </c>
      <c r="N386" s="2" t="str">
        <f aca="false">IF($G386="","",IF(COUNTIF($G$2:$G$4460,$G386)&gt;1,"重複",""))</f>
        <v/>
      </c>
    </row>
    <row r="387" customFormat="false" ht="16.5" hidden="false" customHeight="true" outlineLevel="0" collapsed="false">
      <c r="A387" s="2" t="s">
        <v>385</v>
      </c>
      <c r="B387" s="2" t="s">
        <v>392</v>
      </c>
      <c r="C387" s="2" t="s">
        <v>42</v>
      </c>
      <c r="D387" s="2" t="str">
        <f aca="false">IF(2キー同時!$B$84="","",2キー同時!$B$84)</f>
        <v>p</v>
      </c>
      <c r="E387" s="2" t="str">
        <f aca="false">""</f>
        <v/>
      </c>
      <c r="F387" s="2" t="str">
        <f aca="false">""</f>
        <v/>
      </c>
      <c r="G387" s="2" t="str">
        <f aca="false">IF(2キー同時!$B$84="","",IF(2キー同時!AM92="","",SUBSTITUTE(SUBSTITUTE(2キー同時!AM92," ",""),"　","")))</f>
        <v/>
      </c>
      <c r="H387" s="2" t="str">
        <f aca="false">IF($G387="","",2キー同時!$B$84)</f>
        <v/>
      </c>
      <c r="I387" s="2" t="str">
        <f aca="false">IF($G387="","",",")</f>
        <v/>
      </c>
      <c r="J387" s="2" t="str">
        <f aca="false">""</f>
        <v/>
      </c>
      <c r="K387" s="2" t="str">
        <f aca="false">""</f>
        <v/>
      </c>
      <c r="L387" s="2" t="str">
        <f aca="false">IF($G387="","","同時")</f>
        <v/>
      </c>
      <c r="M387" s="2" t="str">
        <f aca="false">IF($G387="","",IF(ISNA(MATCH($G387,個別指定!$A:$A,0)),"行なし",""))</f>
        <v/>
      </c>
      <c r="N387" s="2" t="str">
        <f aca="false">IF($G387="","",IF(COUNTIF($G$2:$G$4460,$G387)&gt;1,"重複",""))</f>
        <v/>
      </c>
    </row>
    <row r="388" customFormat="false" ht="16.5" hidden="false" customHeight="true" outlineLevel="0" collapsed="false">
      <c r="A388" s="2" t="s">
        <v>385</v>
      </c>
      <c r="B388" s="2" t="s">
        <v>392</v>
      </c>
      <c r="C388" s="2" t="s">
        <v>43</v>
      </c>
      <c r="D388" s="2" t="str">
        <f aca="false">IF(2キー同時!$B$84="","",2キー同時!$B$84)</f>
        <v>p</v>
      </c>
      <c r="E388" s="2" t="str">
        <f aca="false">""</f>
        <v/>
      </c>
      <c r="F388" s="2" t="str">
        <f aca="false">""</f>
        <v/>
      </c>
      <c r="G388" s="2" t="str">
        <f aca="false">IF(2キー同時!$B$84="","",IF(2キー同時!AQ92="","",SUBSTITUTE(SUBSTITUTE(2キー同時!AQ92," ",""),"　","")))</f>
        <v/>
      </c>
      <c r="H388" s="2" t="str">
        <f aca="false">IF($G388="","",2キー同時!$B$84)</f>
        <v/>
      </c>
      <c r="I388" s="2" t="str">
        <f aca="false">IF($G388="","",".")</f>
        <v/>
      </c>
      <c r="J388" s="2" t="str">
        <f aca="false">""</f>
        <v/>
      </c>
      <c r="K388" s="2" t="str">
        <f aca="false">""</f>
        <v/>
      </c>
      <c r="L388" s="2" t="str">
        <f aca="false">IF($G388="","","同時")</f>
        <v/>
      </c>
      <c r="M388" s="2" t="str">
        <f aca="false">IF($G388="","",IF(ISNA(MATCH($G388,個別指定!$A:$A,0)),"行なし",""))</f>
        <v/>
      </c>
      <c r="N388" s="2" t="str">
        <f aca="false">IF($G388="","",IF(COUNTIF($G$2:$G$4460,$G388)&gt;1,"重複",""))</f>
        <v/>
      </c>
    </row>
    <row r="389" customFormat="false" ht="16.5" hidden="false" customHeight="true" outlineLevel="0" collapsed="false">
      <c r="A389" s="2" t="s">
        <v>385</v>
      </c>
      <c r="B389" s="2" t="s">
        <v>392</v>
      </c>
      <c r="C389" s="2" t="s">
        <v>44</v>
      </c>
      <c r="D389" s="2" t="str">
        <f aca="false">IF(2キー同時!$B$84="","",2キー同時!$B$84)</f>
        <v>p</v>
      </c>
      <c r="E389" s="2" t="str">
        <f aca="false">""</f>
        <v/>
      </c>
      <c r="F389" s="2" t="str">
        <f aca="false">""</f>
        <v/>
      </c>
      <c r="G389" s="2" t="str">
        <f aca="false">IF(2キー同時!$B$84="","",IF(2キー同時!AU92="","",SUBSTITUTE(SUBSTITUTE(2キー同時!AU92," ",""),"　","")))</f>
        <v/>
      </c>
      <c r="H389" s="2" t="str">
        <f aca="false">IF($G389="","",2キー同時!$B$84)</f>
        <v/>
      </c>
      <c r="I389" s="2" t="str">
        <f aca="false">IF($G389="","","/")</f>
        <v/>
      </c>
      <c r="J389" s="2" t="str">
        <f aca="false">""</f>
        <v/>
      </c>
      <c r="K389" s="2" t="str">
        <f aca="false">""</f>
        <v/>
      </c>
      <c r="L389" s="2" t="str">
        <f aca="false">IF($G389="","","同時")</f>
        <v/>
      </c>
      <c r="M389" s="2" t="str">
        <f aca="false">IF($G389="","",IF(ISNA(MATCH($G389,個別指定!$A:$A,0)),"行なし",""))</f>
        <v/>
      </c>
      <c r="N389" s="2" t="str">
        <f aca="false">IF($G389="","",IF(COUNTIF($G$2:$G$4460,$G389)&gt;1,"重複",""))</f>
        <v/>
      </c>
    </row>
    <row r="390" customFormat="false" ht="16.5" hidden="false" customHeight="true" outlineLevel="0" collapsed="false">
      <c r="A390" s="2" t="s">
        <v>385</v>
      </c>
      <c r="B390" s="2" t="s">
        <v>392</v>
      </c>
      <c r="C390" s="2" t="s">
        <v>48</v>
      </c>
      <c r="D390" s="2" t="str">
        <f aca="false">IF(2キー同時!$B$84="","",2キー同時!$B$84)</f>
        <v>p</v>
      </c>
      <c r="E390" s="2" t="str">
        <f aca="false">""</f>
        <v/>
      </c>
      <c r="F390" s="2" t="str">
        <f aca="false">""</f>
        <v/>
      </c>
      <c r="G390" s="2" t="str">
        <f aca="false">IF(2キー同時!$B$84="","",IF(2キー同時!P94="","",SUBSTITUTE(SUBSTITUTE(2キー同時!P94," ",""),"　","")))</f>
        <v/>
      </c>
      <c r="H390" s="2" t="str">
        <f aca="false">IF($G390="","",2キー同時!$B$84)</f>
        <v/>
      </c>
      <c r="I390" s="2" t="str">
        <f aca="false">IF($G390="","","muhenkan")</f>
        <v/>
      </c>
      <c r="J390" s="2" t="str">
        <f aca="false">""</f>
        <v/>
      </c>
      <c r="K390" s="2" t="str">
        <f aca="false">""</f>
        <v/>
      </c>
      <c r="L390" s="2" t="str">
        <f aca="false">IF($G390="","","同時")</f>
        <v/>
      </c>
      <c r="M390" s="2" t="str">
        <f aca="false">IF($G390="","",IF(ISNA(MATCH($G390,個別指定!$A:$A,0)),"行なし",""))</f>
        <v/>
      </c>
      <c r="N390" s="2" t="str">
        <f aca="false">IF($G390="","",IF(COUNTIF($G$2:$G$4460,$G390)&gt;1,"重複",""))</f>
        <v/>
      </c>
    </row>
    <row r="391" customFormat="false" ht="16.5" hidden="false" customHeight="true" outlineLevel="0" collapsed="false">
      <c r="A391" s="2" t="s">
        <v>385</v>
      </c>
      <c r="B391" s="2" t="s">
        <v>392</v>
      </c>
      <c r="C391" s="2" t="s">
        <v>50</v>
      </c>
      <c r="D391" s="2" t="str">
        <f aca="false">IF(2キー同時!$B$84="","",2キー同時!$B$84)</f>
        <v>p</v>
      </c>
      <c r="E391" s="2" t="str">
        <f aca="false">""</f>
        <v/>
      </c>
      <c r="F391" s="2" t="str">
        <f aca="false">""</f>
        <v/>
      </c>
      <c r="G391" s="2" t="str">
        <f aca="false">IF(2キー同時!$B$84="","",IF(2キー同時!T94="","",SUBSTITUTE(SUBSTITUTE(2キー同時!T94," ",""),"　","")))</f>
        <v/>
      </c>
      <c r="H391" s="2" t="str">
        <f aca="false">IF($G391="","",2キー同時!$B$84)</f>
        <v/>
      </c>
      <c r="I391" s="2" t="str">
        <f aca="false">IF($G391="","","space")</f>
        <v/>
      </c>
      <c r="J391" s="2" t="str">
        <f aca="false">""</f>
        <v/>
      </c>
      <c r="K391" s="2" t="str">
        <f aca="false">""</f>
        <v/>
      </c>
      <c r="L391" s="2" t="str">
        <f aca="false">IF($G391="","","同時")</f>
        <v/>
      </c>
      <c r="M391" s="2" t="str">
        <f aca="false">IF($G391="","",IF(ISNA(MATCH($G391,個別指定!$A:$A,0)),"行なし",""))</f>
        <v/>
      </c>
      <c r="N391" s="2" t="str">
        <f aca="false">IF($G391="","",IF(COUNTIF($G$2:$G$4460,$G391)&gt;1,"重複",""))</f>
        <v/>
      </c>
    </row>
    <row r="392" customFormat="false" ht="16.5" hidden="false" customHeight="true" outlineLevel="0" collapsed="false">
      <c r="A392" s="2" t="s">
        <v>385</v>
      </c>
      <c r="B392" s="2" t="s">
        <v>392</v>
      </c>
      <c r="C392" s="2" t="s">
        <v>45</v>
      </c>
      <c r="D392" s="2" t="str">
        <f aca="false">IF(2キー同時!$B$84="","",2キー同時!$B$84)</f>
        <v>p</v>
      </c>
      <c r="E392" s="2" t="str">
        <f aca="false">""</f>
        <v/>
      </c>
      <c r="F392" s="2" t="str">
        <f aca="false">""</f>
        <v/>
      </c>
      <c r="G392" s="2" t="str">
        <f aca="false">IF(2キー同時!$B$84="","",IF(2キー同時!AL94="","",SUBSTITUTE(SUBSTITUTE(2キー同時!AL94," ",""),"　","")))</f>
        <v/>
      </c>
      <c r="H392" s="2" t="str">
        <f aca="false">IF($G392="","",2キー同時!$B$84)</f>
        <v/>
      </c>
      <c r="I392" s="2" t="str">
        <f aca="false">IF($G392="","","henkan")</f>
        <v/>
      </c>
      <c r="J392" s="2" t="str">
        <f aca="false">""</f>
        <v/>
      </c>
      <c r="K392" s="2" t="str">
        <f aca="false">""</f>
        <v/>
      </c>
      <c r="L392" s="2" t="str">
        <f aca="false">IF($G392="","","同時")</f>
        <v/>
      </c>
      <c r="M392" s="2" t="str">
        <f aca="false">IF($G392="","",IF(ISNA(MATCH($G392,個別指定!$A:$A,0)),"行なし",""))</f>
        <v/>
      </c>
      <c r="N392" s="2" t="str">
        <f aca="false">IF($G392="","",IF(COUNTIF($G$2:$G$4460,$G392)&gt;1,"重複",""))</f>
        <v/>
      </c>
    </row>
    <row r="393" customFormat="false" ht="16.5" hidden="false" customHeight="true" outlineLevel="0" collapsed="false">
      <c r="A393" s="2" t="s">
        <v>385</v>
      </c>
      <c r="B393" s="2" t="s">
        <v>392</v>
      </c>
      <c r="C393" s="2" t="s">
        <v>46</v>
      </c>
      <c r="D393" s="2" t="str">
        <f aca="false">IF(2キー同時!$B$84="","",2キー同時!$B$84)</f>
        <v>p</v>
      </c>
      <c r="E393" s="2" t="str">
        <f aca="false">""</f>
        <v/>
      </c>
      <c r="F393" s="2" t="str">
        <f aca="false">""</f>
        <v/>
      </c>
      <c r="G393" s="2" t="str">
        <f aca="false">IF(2キー同時!$B$84="","",IF(2キー同時!AP94="","",SUBSTITUTE(SUBSTITUTE(2キー同時!AP94," ",""),"　","")))</f>
        <v/>
      </c>
      <c r="H393" s="2" t="str">
        <f aca="false">IF($G393="","",2キー同時!$B$84)</f>
        <v/>
      </c>
      <c r="I393" s="2" t="str">
        <f aca="false">IF($G393="","","kana")</f>
        <v/>
      </c>
      <c r="J393" s="2" t="str">
        <f aca="false">""</f>
        <v/>
      </c>
      <c r="K393" s="2" t="str">
        <f aca="false">""</f>
        <v/>
      </c>
      <c r="L393" s="2" t="str">
        <f aca="false">IF($G393="","","同時")</f>
        <v/>
      </c>
      <c r="M393" s="2" t="str">
        <f aca="false">IF($G393="","",IF(ISNA(MATCH($G393,個別指定!$A:$A,0)),"行なし",""))</f>
        <v/>
      </c>
      <c r="N393" s="2" t="str">
        <f aca="false">IF($G393="","",IF(COUNTIF($G$2:$G$4460,$G393)&gt;1,"重複",""))</f>
        <v/>
      </c>
    </row>
    <row r="394" customFormat="false" ht="16.5" hidden="false" customHeight="true" outlineLevel="0" collapsed="false">
      <c r="A394" s="2" t="s">
        <v>385</v>
      </c>
      <c r="B394" s="2" t="s">
        <v>393</v>
      </c>
      <c r="C394" s="2" t="s">
        <v>0</v>
      </c>
      <c r="D394" s="2" t="str">
        <f aca="false">IF(2キー同時!$B$97="","",2キー同時!$B$97)</f>
        <v>i</v>
      </c>
      <c r="E394" s="2" t="str">
        <f aca="false">""</f>
        <v/>
      </c>
      <c r="F394" s="2" t="str">
        <f aca="false">""</f>
        <v/>
      </c>
      <c r="G394" s="2" t="str">
        <f aca="false">IF(2キー同時!$B$97="","",IF(2キー同時!F99="","",SUBSTITUTE(SUBSTITUTE(2キー同時!F99," ",""),"　","")))</f>
        <v/>
      </c>
      <c r="H394" s="2" t="str">
        <f aca="false">IF($G394="","",2キー同時!$B$97)</f>
        <v/>
      </c>
      <c r="I394" s="2" t="str">
        <f aca="false">IF($G394="","","1")</f>
        <v/>
      </c>
      <c r="J394" s="2" t="str">
        <f aca="false">""</f>
        <v/>
      </c>
      <c r="K394" s="2" t="str">
        <f aca="false">""</f>
        <v/>
      </c>
      <c r="L394" s="2" t="str">
        <f aca="false">IF($G394="","","同時")</f>
        <v/>
      </c>
      <c r="M394" s="2" t="str">
        <f aca="false">IF($G394="","",IF(ISNA(MATCH($G394,個別指定!$A:$A,0)),"行なし",""))</f>
        <v/>
      </c>
      <c r="N394" s="2" t="str">
        <f aca="false">IF($G394="","",IF(COUNTIF($G$2:$G$4460,$G394)&gt;1,"重複",""))</f>
        <v/>
      </c>
    </row>
    <row r="395" customFormat="false" ht="16.5" hidden="false" customHeight="true" outlineLevel="0" collapsed="false">
      <c r="A395" s="2" t="s">
        <v>385</v>
      </c>
      <c r="B395" s="2" t="s">
        <v>393</v>
      </c>
      <c r="C395" s="2" t="s">
        <v>1</v>
      </c>
      <c r="D395" s="2" t="str">
        <f aca="false">IF(2キー同時!$B$97="","",2キー同時!$B$97)</f>
        <v>i</v>
      </c>
      <c r="E395" s="2" t="str">
        <f aca="false">""</f>
        <v/>
      </c>
      <c r="F395" s="2" t="str">
        <f aca="false">""</f>
        <v/>
      </c>
      <c r="G395" s="2" t="str">
        <f aca="false">IF(2キー同時!$B$97="","",IF(2キー同時!J99="","",SUBSTITUTE(SUBSTITUTE(2キー同時!J99," ",""),"　","")))</f>
        <v/>
      </c>
      <c r="H395" s="2" t="str">
        <f aca="false">IF($G395="","",2キー同時!$B$97)</f>
        <v/>
      </c>
      <c r="I395" s="2" t="str">
        <f aca="false">IF($G395="","","2")</f>
        <v/>
      </c>
      <c r="J395" s="2" t="str">
        <f aca="false">""</f>
        <v/>
      </c>
      <c r="K395" s="2" t="str">
        <f aca="false">""</f>
        <v/>
      </c>
      <c r="L395" s="2" t="str">
        <f aca="false">IF($G395="","","同時")</f>
        <v/>
      </c>
      <c r="M395" s="2" t="str">
        <f aca="false">IF($G395="","",IF(ISNA(MATCH($G395,個別指定!$A:$A,0)),"行なし",""))</f>
        <v/>
      </c>
      <c r="N395" s="2" t="str">
        <f aca="false">IF($G395="","",IF(COUNTIF($G$2:$G$4460,$G395)&gt;1,"重複",""))</f>
        <v/>
      </c>
    </row>
    <row r="396" customFormat="false" ht="16.5" hidden="false" customHeight="true" outlineLevel="0" collapsed="false">
      <c r="A396" s="2" t="s">
        <v>385</v>
      </c>
      <c r="B396" s="2" t="s">
        <v>393</v>
      </c>
      <c r="C396" s="2" t="s">
        <v>2</v>
      </c>
      <c r="D396" s="2" t="str">
        <f aca="false">IF(2キー同時!$B$97="","",2キー同時!$B$97)</f>
        <v>i</v>
      </c>
      <c r="E396" s="2" t="str">
        <f aca="false">""</f>
        <v/>
      </c>
      <c r="F396" s="2" t="str">
        <f aca="false">""</f>
        <v/>
      </c>
      <c r="G396" s="2" t="str">
        <f aca="false">IF(2キー同時!$B$97="","",IF(2キー同時!N99="","",SUBSTITUTE(SUBSTITUTE(2キー同時!N99," ",""),"　","")))</f>
        <v/>
      </c>
      <c r="H396" s="2" t="str">
        <f aca="false">IF($G396="","",2キー同時!$B$97)</f>
        <v/>
      </c>
      <c r="I396" s="2" t="str">
        <f aca="false">IF($G396="","","3")</f>
        <v/>
      </c>
      <c r="J396" s="2" t="str">
        <f aca="false">""</f>
        <v/>
      </c>
      <c r="K396" s="2" t="str">
        <f aca="false">""</f>
        <v/>
      </c>
      <c r="L396" s="2" t="str">
        <f aca="false">IF($G396="","","同時")</f>
        <v/>
      </c>
      <c r="M396" s="2" t="str">
        <f aca="false">IF($G396="","",IF(ISNA(MATCH($G396,個別指定!$A:$A,0)),"行なし",""))</f>
        <v/>
      </c>
      <c r="N396" s="2" t="str">
        <f aca="false">IF($G396="","",IF(COUNTIF($G$2:$G$4460,$G396)&gt;1,"重複",""))</f>
        <v/>
      </c>
    </row>
    <row r="397" customFormat="false" ht="16.5" hidden="false" customHeight="true" outlineLevel="0" collapsed="false">
      <c r="A397" s="2" t="s">
        <v>385</v>
      </c>
      <c r="B397" s="2" t="s">
        <v>393</v>
      </c>
      <c r="C397" s="2" t="s">
        <v>3</v>
      </c>
      <c r="D397" s="2" t="str">
        <f aca="false">IF(2キー同時!$B$97="","",2キー同時!$B$97)</f>
        <v>i</v>
      </c>
      <c r="E397" s="2" t="str">
        <f aca="false">""</f>
        <v/>
      </c>
      <c r="F397" s="2" t="str">
        <f aca="false">""</f>
        <v/>
      </c>
      <c r="G397" s="2" t="str">
        <f aca="false">IF(2キー同時!$B$97="","",IF(2キー同時!R99="","",SUBSTITUTE(SUBSTITUTE(2キー同時!R99," ",""),"　","")))</f>
        <v/>
      </c>
      <c r="H397" s="2" t="str">
        <f aca="false">IF($G397="","",2キー同時!$B$97)</f>
        <v/>
      </c>
      <c r="I397" s="2" t="str">
        <f aca="false">IF($G397="","","4")</f>
        <v/>
      </c>
      <c r="J397" s="2" t="str">
        <f aca="false">""</f>
        <v/>
      </c>
      <c r="K397" s="2" t="str">
        <f aca="false">""</f>
        <v/>
      </c>
      <c r="L397" s="2" t="str">
        <f aca="false">IF($G397="","","同時")</f>
        <v/>
      </c>
      <c r="M397" s="2" t="str">
        <f aca="false">IF($G397="","",IF(ISNA(MATCH($G397,個別指定!$A:$A,0)),"行なし",""))</f>
        <v/>
      </c>
      <c r="N397" s="2" t="str">
        <f aca="false">IF($G397="","",IF(COUNTIF($G$2:$G$4460,$G397)&gt;1,"重複",""))</f>
        <v/>
      </c>
    </row>
    <row r="398" customFormat="false" ht="16.5" hidden="false" customHeight="true" outlineLevel="0" collapsed="false">
      <c r="A398" s="2" t="s">
        <v>385</v>
      </c>
      <c r="B398" s="2" t="s">
        <v>393</v>
      </c>
      <c r="C398" s="2" t="s">
        <v>4</v>
      </c>
      <c r="D398" s="2" t="str">
        <f aca="false">IF(2キー同時!$B$97="","",2キー同時!$B$97)</f>
        <v>i</v>
      </c>
      <c r="E398" s="2" t="str">
        <f aca="false">""</f>
        <v/>
      </c>
      <c r="F398" s="2" t="str">
        <f aca="false">""</f>
        <v/>
      </c>
      <c r="G398" s="2" t="str">
        <f aca="false">IF(2キー同時!$B$97="","",IF(2キー同時!V99="","",SUBSTITUTE(SUBSTITUTE(2キー同時!V99," ",""),"　","")))</f>
        <v/>
      </c>
      <c r="H398" s="2" t="str">
        <f aca="false">IF($G398="","",2キー同時!$B$97)</f>
        <v/>
      </c>
      <c r="I398" s="2" t="str">
        <f aca="false">IF($G398="","","5")</f>
        <v/>
      </c>
      <c r="J398" s="2" t="str">
        <f aca="false">""</f>
        <v/>
      </c>
      <c r="K398" s="2" t="str">
        <f aca="false">""</f>
        <v/>
      </c>
      <c r="L398" s="2" t="str">
        <f aca="false">IF($G398="","","同時")</f>
        <v/>
      </c>
      <c r="M398" s="2" t="str">
        <f aca="false">IF($G398="","",IF(ISNA(MATCH($G398,個別指定!$A:$A,0)),"行なし",""))</f>
        <v/>
      </c>
      <c r="N398" s="2" t="str">
        <f aca="false">IF($G398="","",IF(COUNTIF($G$2:$G$4460,$G398)&gt;1,"重複",""))</f>
        <v/>
      </c>
    </row>
    <row r="399" customFormat="false" ht="16.5" hidden="false" customHeight="true" outlineLevel="0" collapsed="false">
      <c r="A399" s="2" t="s">
        <v>385</v>
      </c>
      <c r="B399" s="2" t="s">
        <v>393</v>
      </c>
      <c r="C399" s="2" t="s">
        <v>5</v>
      </c>
      <c r="D399" s="2" t="str">
        <f aca="false">IF(2キー同時!$B$97="","",2キー同時!$B$97)</f>
        <v>i</v>
      </c>
      <c r="E399" s="2" t="str">
        <f aca="false">""</f>
        <v/>
      </c>
      <c r="F399" s="2" t="str">
        <f aca="false">""</f>
        <v/>
      </c>
      <c r="G399" s="2" t="str">
        <f aca="false">IF(2キー同時!$B$97="","",IF(2キー同時!Z99="","",SUBSTITUTE(SUBSTITUTE(2キー同時!Z99," ",""),"　","")))</f>
        <v/>
      </c>
      <c r="H399" s="2" t="str">
        <f aca="false">IF($G399="","",2キー同時!$B$97)</f>
        <v/>
      </c>
      <c r="I399" s="2" t="str">
        <f aca="false">IF($G399="","","6")</f>
        <v/>
      </c>
      <c r="J399" s="2" t="str">
        <f aca="false">""</f>
        <v/>
      </c>
      <c r="K399" s="2" t="str">
        <f aca="false">""</f>
        <v/>
      </c>
      <c r="L399" s="2" t="str">
        <f aca="false">IF($G399="","","同時")</f>
        <v/>
      </c>
      <c r="M399" s="2" t="str">
        <f aca="false">IF($G399="","",IF(ISNA(MATCH($G399,個別指定!$A:$A,0)),"行なし",""))</f>
        <v/>
      </c>
      <c r="N399" s="2" t="str">
        <f aca="false">IF($G399="","",IF(COUNTIF($G$2:$G$4460,$G399)&gt;1,"重複",""))</f>
        <v/>
      </c>
    </row>
    <row r="400" customFormat="false" ht="16.5" hidden="false" customHeight="true" outlineLevel="0" collapsed="false">
      <c r="A400" s="2" t="s">
        <v>385</v>
      </c>
      <c r="B400" s="2" t="s">
        <v>393</v>
      </c>
      <c r="C400" s="2" t="s">
        <v>6</v>
      </c>
      <c r="D400" s="2" t="str">
        <f aca="false">IF(2キー同時!$B$97="","",2キー同時!$B$97)</f>
        <v>i</v>
      </c>
      <c r="E400" s="2" t="str">
        <f aca="false">""</f>
        <v/>
      </c>
      <c r="F400" s="2" t="str">
        <f aca="false">""</f>
        <v/>
      </c>
      <c r="G400" s="2" t="str">
        <f aca="false">IF(2キー同時!$B$97="","",IF(2キー同時!AD99="","",SUBSTITUTE(SUBSTITUTE(2キー同時!AD99," ",""),"　","")))</f>
        <v/>
      </c>
      <c r="H400" s="2" t="str">
        <f aca="false">IF($G400="","",2キー同時!$B$97)</f>
        <v/>
      </c>
      <c r="I400" s="2" t="str">
        <f aca="false">IF($G400="","","7")</f>
        <v/>
      </c>
      <c r="J400" s="2" t="str">
        <f aca="false">""</f>
        <v/>
      </c>
      <c r="K400" s="2" t="str">
        <f aca="false">""</f>
        <v/>
      </c>
      <c r="L400" s="2" t="str">
        <f aca="false">IF($G400="","","同時")</f>
        <v/>
      </c>
      <c r="M400" s="2" t="str">
        <f aca="false">IF($G400="","",IF(ISNA(MATCH($G400,個別指定!$A:$A,0)),"行なし",""))</f>
        <v/>
      </c>
      <c r="N400" s="2" t="str">
        <f aca="false">IF($G400="","",IF(COUNTIF($G$2:$G$4460,$G400)&gt;1,"重複",""))</f>
        <v/>
      </c>
    </row>
    <row r="401" customFormat="false" ht="16.5" hidden="false" customHeight="true" outlineLevel="0" collapsed="false">
      <c r="A401" s="2" t="s">
        <v>385</v>
      </c>
      <c r="B401" s="2" t="s">
        <v>393</v>
      </c>
      <c r="C401" s="2" t="s">
        <v>7</v>
      </c>
      <c r="D401" s="2" t="str">
        <f aca="false">IF(2キー同時!$B$97="","",2キー同時!$B$97)</f>
        <v>i</v>
      </c>
      <c r="E401" s="2" t="str">
        <f aca="false">""</f>
        <v/>
      </c>
      <c r="F401" s="2" t="str">
        <f aca="false">""</f>
        <v/>
      </c>
      <c r="G401" s="2" t="str">
        <f aca="false">IF(2キー同時!$B$97="","",IF(2キー同時!AH99="","",SUBSTITUTE(SUBSTITUTE(2キー同時!AH99," ",""),"　","")))</f>
        <v/>
      </c>
      <c r="H401" s="2" t="str">
        <f aca="false">IF($G401="","",2キー同時!$B$97)</f>
        <v/>
      </c>
      <c r="I401" s="2" t="str">
        <f aca="false">IF($G401="","","8")</f>
        <v/>
      </c>
      <c r="J401" s="2" t="str">
        <f aca="false">""</f>
        <v/>
      </c>
      <c r="K401" s="2" t="str">
        <f aca="false">""</f>
        <v/>
      </c>
      <c r="L401" s="2" t="str">
        <f aca="false">IF($G401="","","同時")</f>
        <v/>
      </c>
      <c r="M401" s="2" t="str">
        <f aca="false">IF($G401="","",IF(ISNA(MATCH($G401,個別指定!$A:$A,0)),"行なし",""))</f>
        <v/>
      </c>
      <c r="N401" s="2" t="str">
        <f aca="false">IF($G401="","",IF(COUNTIF($G$2:$G$4460,$G401)&gt;1,"重複",""))</f>
        <v/>
      </c>
    </row>
    <row r="402" customFormat="false" ht="16.5" hidden="false" customHeight="true" outlineLevel="0" collapsed="false">
      <c r="A402" s="2" t="s">
        <v>385</v>
      </c>
      <c r="B402" s="2" t="s">
        <v>393</v>
      </c>
      <c r="C402" s="2" t="s">
        <v>8</v>
      </c>
      <c r="D402" s="2" t="str">
        <f aca="false">IF(2キー同時!$B$97="","",2キー同時!$B$97)</f>
        <v>i</v>
      </c>
      <c r="E402" s="2" t="str">
        <f aca="false">""</f>
        <v/>
      </c>
      <c r="F402" s="2" t="str">
        <f aca="false">""</f>
        <v/>
      </c>
      <c r="G402" s="2" t="str">
        <f aca="false">IF(2キー同時!$B$97="","",IF(2キー同時!AL99="","",SUBSTITUTE(SUBSTITUTE(2キー同時!AL99," ",""),"　","")))</f>
        <v/>
      </c>
      <c r="H402" s="2" t="str">
        <f aca="false">IF($G402="","",2キー同時!$B$97)</f>
        <v/>
      </c>
      <c r="I402" s="2" t="str">
        <f aca="false">IF($G402="","","9")</f>
        <v/>
      </c>
      <c r="J402" s="2" t="str">
        <f aca="false">""</f>
        <v/>
      </c>
      <c r="K402" s="2" t="str">
        <f aca="false">""</f>
        <v/>
      </c>
      <c r="L402" s="2" t="str">
        <f aca="false">IF($G402="","","同時")</f>
        <v/>
      </c>
      <c r="M402" s="2" t="str">
        <f aca="false">IF($G402="","",IF(ISNA(MATCH($G402,個別指定!$A:$A,0)),"行なし",""))</f>
        <v/>
      </c>
      <c r="N402" s="2" t="str">
        <f aca="false">IF($G402="","",IF(COUNTIF($G$2:$G$4460,$G402)&gt;1,"重複",""))</f>
        <v/>
      </c>
    </row>
    <row r="403" customFormat="false" ht="16.5" hidden="false" customHeight="true" outlineLevel="0" collapsed="false">
      <c r="A403" s="2" t="s">
        <v>385</v>
      </c>
      <c r="B403" s="2" t="s">
        <v>393</v>
      </c>
      <c r="C403" s="2" t="s">
        <v>9</v>
      </c>
      <c r="D403" s="2" t="str">
        <f aca="false">IF(2キー同時!$B$97="","",2キー同時!$B$97)</f>
        <v>i</v>
      </c>
      <c r="E403" s="2" t="str">
        <f aca="false">""</f>
        <v/>
      </c>
      <c r="F403" s="2" t="str">
        <f aca="false">""</f>
        <v/>
      </c>
      <c r="G403" s="2" t="str">
        <f aca="false">IF(2キー同時!$B$97="","",IF(2キー同時!AP99="","",SUBSTITUTE(SUBSTITUTE(2キー同時!AP99," ",""),"　","")))</f>
        <v/>
      </c>
      <c r="H403" s="2" t="str">
        <f aca="false">IF($G403="","",2キー同時!$B$97)</f>
        <v/>
      </c>
      <c r="I403" s="2" t="str">
        <f aca="false">IF($G403="","","0")</f>
        <v/>
      </c>
      <c r="J403" s="2" t="str">
        <f aca="false">""</f>
        <v/>
      </c>
      <c r="K403" s="2" t="str">
        <f aca="false">""</f>
        <v/>
      </c>
      <c r="L403" s="2" t="str">
        <f aca="false">IF($G403="","","同時")</f>
        <v/>
      </c>
      <c r="M403" s="2" t="str">
        <f aca="false">IF($G403="","",IF(ISNA(MATCH($G403,個別指定!$A:$A,0)),"行なし",""))</f>
        <v/>
      </c>
      <c r="N403" s="2" t="str">
        <f aca="false">IF($G403="","",IF(COUNTIF($G$2:$G$4460,$G403)&gt;1,"重複",""))</f>
        <v/>
      </c>
    </row>
    <row r="404" customFormat="false" ht="16.5" hidden="false" customHeight="true" outlineLevel="0" collapsed="false">
      <c r="A404" s="2" t="s">
        <v>385</v>
      </c>
      <c r="B404" s="2" t="s">
        <v>393</v>
      </c>
      <c r="C404" s="2" t="s">
        <v>10</v>
      </c>
      <c r="D404" s="2" t="str">
        <f aca="false">IF(2キー同時!$B$97="","",2キー同時!$B$97)</f>
        <v>i</v>
      </c>
      <c r="E404" s="2" t="str">
        <f aca="false">""</f>
        <v/>
      </c>
      <c r="F404" s="2" t="str">
        <f aca="false">""</f>
        <v/>
      </c>
      <c r="G404" s="2" t="str">
        <f aca="false">IF(2キー同時!$B$97="","",IF(2キー同時!AT99="","",SUBSTITUTE(SUBSTITUTE(2キー同時!AT99," ",""),"　","")))</f>
        <v/>
      </c>
      <c r="H404" s="2" t="str">
        <f aca="false">IF($G404="","",2キー同時!$B$97)</f>
        <v/>
      </c>
      <c r="I404" s="2" t="str">
        <f aca="false">IF($G404="","","-")</f>
        <v/>
      </c>
      <c r="J404" s="2" t="str">
        <f aca="false">""</f>
        <v/>
      </c>
      <c r="K404" s="2" t="str">
        <f aca="false">""</f>
        <v/>
      </c>
      <c r="L404" s="2" t="str">
        <f aca="false">IF($G404="","","同時")</f>
        <v/>
      </c>
      <c r="M404" s="2" t="str">
        <f aca="false">IF($G404="","",IF(ISNA(MATCH($G404,個別指定!$A:$A,0)),"行なし",""))</f>
        <v/>
      </c>
      <c r="N404" s="2" t="str">
        <f aca="false">IF($G404="","",IF(COUNTIF($G$2:$G$4460,$G404)&gt;1,"重複",""))</f>
        <v/>
      </c>
    </row>
    <row r="405" customFormat="false" ht="16.5" hidden="false" customHeight="true" outlineLevel="0" collapsed="false">
      <c r="A405" s="2" t="s">
        <v>385</v>
      </c>
      <c r="B405" s="2" t="s">
        <v>393</v>
      </c>
      <c r="C405" s="2" t="s">
        <v>11</v>
      </c>
      <c r="D405" s="2" t="str">
        <f aca="false">IF(2キー同時!$B$97="","",2キー同時!$B$97)</f>
        <v>i</v>
      </c>
      <c r="E405" s="2" t="str">
        <f aca="false">""</f>
        <v/>
      </c>
      <c r="F405" s="2" t="str">
        <f aca="false">""</f>
        <v/>
      </c>
      <c r="G405" s="2" t="str">
        <f aca="false">IF(2キー同時!$B$97="","",IF(2キー同時!AX99="","",SUBSTITUTE(SUBSTITUTE(2キー同時!AX99," ",""),"　","")))</f>
        <v/>
      </c>
      <c r="H405" s="2" t="str">
        <f aca="false">IF($G405="","",2キー同時!$B$97)</f>
        <v/>
      </c>
      <c r="I405" s="2" t="str">
        <f aca="false">IF($G405="","","=")</f>
        <v/>
      </c>
      <c r="J405" s="2" t="str">
        <f aca="false">""</f>
        <v/>
      </c>
      <c r="K405" s="2" t="str">
        <f aca="false">""</f>
        <v/>
      </c>
      <c r="L405" s="2" t="str">
        <f aca="false">IF($G405="","","同時")</f>
        <v/>
      </c>
      <c r="M405" s="2" t="str">
        <f aca="false">IF($G405="","",IF(ISNA(MATCH($G405,個別指定!$A:$A,0)),"行なし",""))</f>
        <v/>
      </c>
      <c r="N405" s="2" t="str">
        <f aca="false">IF($G405="","",IF(COUNTIF($G$2:$G$4460,$G405)&gt;1,"重複",""))</f>
        <v/>
      </c>
    </row>
    <row r="406" customFormat="false" ht="16.5" hidden="false" customHeight="true" outlineLevel="0" collapsed="false">
      <c r="A406" s="2" t="s">
        <v>385</v>
      </c>
      <c r="B406" s="2" t="s">
        <v>393</v>
      </c>
      <c r="C406" s="2" t="s">
        <v>12</v>
      </c>
      <c r="D406" s="2" t="str">
        <f aca="false">IF(2キー同時!$B$97="","",2キー同時!$B$97)</f>
        <v>i</v>
      </c>
      <c r="E406" s="2" t="str">
        <f aca="false">""</f>
        <v/>
      </c>
      <c r="F406" s="2" t="str">
        <f aca="false">""</f>
        <v/>
      </c>
      <c r="G406" s="2" t="str">
        <f aca="false">IF(2キー同時!$B$97="","",IF(2キー同時!H101="","",SUBSTITUTE(SUBSTITUTE(2キー同時!H101," ",""),"　","")))</f>
        <v/>
      </c>
      <c r="H406" s="2" t="str">
        <f aca="false">IF($G406="","",2キー同時!$B$97)</f>
        <v/>
      </c>
      <c r="I406" s="2" t="str">
        <f aca="false">IF($G406="","","q")</f>
        <v/>
      </c>
      <c r="J406" s="2" t="str">
        <f aca="false">""</f>
        <v/>
      </c>
      <c r="K406" s="2" t="str">
        <f aca="false">""</f>
        <v/>
      </c>
      <c r="L406" s="2" t="str">
        <f aca="false">IF($G406="","","同時")</f>
        <v/>
      </c>
      <c r="M406" s="2" t="str">
        <f aca="false">IF($G406="","",IF(ISNA(MATCH($G406,個別指定!$A:$A,0)),"行なし",""))</f>
        <v/>
      </c>
      <c r="N406" s="2" t="str">
        <f aca="false">IF($G406="","",IF(COUNTIF($G$2:$G$4460,$G406)&gt;1,"重複",""))</f>
        <v/>
      </c>
    </row>
    <row r="407" customFormat="false" ht="16.5" hidden="false" customHeight="true" outlineLevel="0" collapsed="false">
      <c r="A407" s="2" t="s">
        <v>385</v>
      </c>
      <c r="B407" s="2" t="s">
        <v>393</v>
      </c>
      <c r="C407" s="2" t="s">
        <v>13</v>
      </c>
      <c r="D407" s="2" t="str">
        <f aca="false">IF(2キー同時!$B$97="","",2キー同時!$B$97)</f>
        <v>i</v>
      </c>
      <c r="E407" s="2" t="str">
        <f aca="false">""</f>
        <v/>
      </c>
      <c r="F407" s="2" t="str">
        <f aca="false">""</f>
        <v/>
      </c>
      <c r="G407" s="2" t="str">
        <f aca="false">IF(2キー同時!$B$97="","",IF(2キー同時!L101="","",SUBSTITUTE(SUBSTITUTE(2キー同時!L101," ",""),"　","")))</f>
        <v>きょ</v>
      </c>
      <c r="H407" s="2" t="str">
        <f aca="false">IF($G407="","",2キー同時!$B$97)</f>
        <v>i</v>
      </c>
      <c r="I407" s="2" t="str">
        <f aca="false">IF($G407="","","w")</f>
        <v>w</v>
      </c>
      <c r="J407" s="2" t="str">
        <f aca="false">""</f>
        <v/>
      </c>
      <c r="K407" s="2" t="str">
        <f aca="false">""</f>
        <v/>
      </c>
      <c r="L407" s="2" t="str">
        <f aca="false">IF($G407="","","同時")</f>
        <v>同時</v>
      </c>
      <c r="M407" s="2" t="str">
        <f aca="false">IF($G407="","",IF(ISNA(MATCH($G407,個別指定!$A:$A,0)),"行なし",""))</f>
        <v/>
      </c>
      <c r="N407" s="2" t="str">
        <f aca="false">IF($G407="","",IF(COUNTIF($G$2:$G$4460,$G407)&gt;1,"重複",""))</f>
        <v/>
      </c>
    </row>
    <row r="408" customFormat="false" ht="16.5" hidden="false" customHeight="true" outlineLevel="0" collapsed="false">
      <c r="A408" s="2" t="s">
        <v>385</v>
      </c>
      <c r="B408" s="2" t="s">
        <v>393</v>
      </c>
      <c r="C408" s="2" t="s">
        <v>14</v>
      </c>
      <c r="D408" s="2" t="str">
        <f aca="false">IF(2キー同時!$B$97="","",2キー同時!$B$97)</f>
        <v>i</v>
      </c>
      <c r="E408" s="2" t="str">
        <f aca="false">""</f>
        <v/>
      </c>
      <c r="F408" s="2" t="str">
        <f aca="false">""</f>
        <v/>
      </c>
      <c r="G408" s="2" t="str">
        <f aca="false">IF(2キー同時!$B$97="","",IF(2キー同時!P101="","",SUBSTITUTE(SUBSTITUTE(2キー同時!P101," ",""),"　","")))</f>
        <v>りょ</v>
      </c>
      <c r="H408" s="2" t="str">
        <f aca="false">IF($G408="","",2キー同時!$B$97)</f>
        <v>i</v>
      </c>
      <c r="I408" s="2" t="str">
        <f aca="false">IF($G408="","","e")</f>
        <v>e</v>
      </c>
      <c r="J408" s="2" t="str">
        <f aca="false">""</f>
        <v/>
      </c>
      <c r="K408" s="2" t="str">
        <f aca="false">""</f>
        <v/>
      </c>
      <c r="L408" s="2" t="str">
        <f aca="false">IF($G408="","","同時")</f>
        <v>同時</v>
      </c>
      <c r="M408" s="2" t="str">
        <f aca="false">IF($G408="","",IF(ISNA(MATCH($G408,個別指定!$A:$A,0)),"行なし",""))</f>
        <v/>
      </c>
      <c r="N408" s="2" t="str">
        <f aca="false">IF($G408="","",IF(COUNTIF($G$2:$G$4460,$G408)&gt;1,"重複",""))</f>
        <v/>
      </c>
    </row>
    <row r="409" customFormat="false" ht="16.5" hidden="false" customHeight="true" outlineLevel="0" collapsed="false">
      <c r="A409" s="2" t="s">
        <v>385</v>
      </c>
      <c r="B409" s="2" t="s">
        <v>393</v>
      </c>
      <c r="C409" s="2" t="s">
        <v>15</v>
      </c>
      <c r="D409" s="2" t="str">
        <f aca="false">IF(2キー同時!$B$97="","",2キー同時!$B$97)</f>
        <v>i</v>
      </c>
      <c r="E409" s="2" t="str">
        <f aca="false">""</f>
        <v/>
      </c>
      <c r="F409" s="2" t="str">
        <f aca="false">""</f>
        <v/>
      </c>
      <c r="G409" s="2" t="str">
        <f aca="false">IF(2キー同時!$B$97="","",IF(2キー同時!T101="","",SUBSTITUTE(SUBSTITUTE(2キー同時!T101," ",""),"　","")))</f>
        <v>しょ</v>
      </c>
      <c r="H409" s="2" t="str">
        <f aca="false">IF($G409="","",2キー同時!$B$97)</f>
        <v>i</v>
      </c>
      <c r="I409" s="2" t="str">
        <f aca="false">IF($G409="","","r")</f>
        <v>r</v>
      </c>
      <c r="J409" s="2" t="str">
        <f aca="false">""</f>
        <v/>
      </c>
      <c r="K409" s="2" t="str">
        <f aca="false">""</f>
        <v/>
      </c>
      <c r="L409" s="2" t="str">
        <f aca="false">IF($G409="","","同時")</f>
        <v>同時</v>
      </c>
      <c r="M409" s="2" t="str">
        <f aca="false">IF($G409="","",IF(ISNA(MATCH($G409,個別指定!$A:$A,0)),"行なし",""))</f>
        <v/>
      </c>
      <c r="N409" s="2" t="str">
        <f aca="false">IF($G409="","",IF(COUNTIF($G$2:$G$4460,$G409)&gt;1,"重複",""))</f>
        <v/>
      </c>
    </row>
    <row r="410" customFormat="false" ht="16.5" hidden="false" customHeight="true" outlineLevel="0" collapsed="false">
      <c r="A410" s="2" t="s">
        <v>385</v>
      </c>
      <c r="B410" s="2" t="s">
        <v>393</v>
      </c>
      <c r="C410" s="2" t="s">
        <v>16</v>
      </c>
      <c r="D410" s="2" t="str">
        <f aca="false">IF(2キー同時!$B$97="","",2キー同時!$B$97)</f>
        <v>i</v>
      </c>
      <c r="E410" s="2" t="str">
        <f aca="false">""</f>
        <v/>
      </c>
      <c r="F410" s="2" t="str">
        <f aca="false">""</f>
        <v/>
      </c>
      <c r="G410" s="2" t="str">
        <f aca="false">IF(2キー同時!$B$97="","",IF(2キー同時!X101="","",SUBSTITUTE(SUBSTITUTE(2キー同時!X101," ",""),"　","")))</f>
        <v/>
      </c>
      <c r="H410" s="2" t="str">
        <f aca="false">IF($G410="","",2キー同時!$B$97)</f>
        <v/>
      </c>
      <c r="I410" s="2" t="str">
        <f aca="false">IF($G410="","","t")</f>
        <v/>
      </c>
      <c r="J410" s="2" t="str">
        <f aca="false">""</f>
        <v/>
      </c>
      <c r="K410" s="2" t="str">
        <f aca="false">""</f>
        <v/>
      </c>
      <c r="L410" s="2" t="str">
        <f aca="false">IF($G410="","","同時")</f>
        <v/>
      </c>
      <c r="M410" s="2" t="str">
        <f aca="false">IF($G410="","",IF(ISNA(MATCH($G410,個別指定!$A:$A,0)),"行なし",""))</f>
        <v/>
      </c>
      <c r="N410" s="2" t="str">
        <f aca="false">IF($G410="","",IF(COUNTIF($G$2:$G$4460,$G410)&gt;1,"重複",""))</f>
        <v/>
      </c>
    </row>
    <row r="411" customFormat="false" ht="16.5" hidden="false" customHeight="true" outlineLevel="0" collapsed="false">
      <c r="A411" s="2" t="s">
        <v>385</v>
      </c>
      <c r="B411" s="2" t="s">
        <v>393</v>
      </c>
      <c r="C411" s="2" t="s">
        <v>17</v>
      </c>
      <c r="D411" s="2" t="str">
        <f aca="false">IF(2キー同時!$B$97="","",2キー同時!$B$97)</f>
        <v>i</v>
      </c>
      <c r="E411" s="2" t="str">
        <f aca="false">""</f>
        <v/>
      </c>
      <c r="F411" s="2" t="str">
        <f aca="false">""</f>
        <v/>
      </c>
      <c r="G411" s="2" t="str">
        <f aca="false">IF(2キー同時!$B$97="","",IF(2キー同時!AB101="","",SUBSTITUTE(SUBSTITUTE(2キー同時!AB101," ",""),"　","")))</f>
        <v/>
      </c>
      <c r="H411" s="2" t="str">
        <f aca="false">IF($G411="","",2キー同時!$B$97)</f>
        <v/>
      </c>
      <c r="I411" s="2" t="str">
        <f aca="false">IF($G411="","","y")</f>
        <v/>
      </c>
      <c r="J411" s="2" t="str">
        <f aca="false">""</f>
        <v/>
      </c>
      <c r="K411" s="2" t="str">
        <f aca="false">""</f>
        <v/>
      </c>
      <c r="L411" s="2" t="str">
        <f aca="false">IF($G411="","","同時")</f>
        <v/>
      </c>
      <c r="M411" s="2" t="str">
        <f aca="false">IF($G411="","",IF(ISNA(MATCH($G411,個別指定!$A:$A,0)),"行なし",""))</f>
        <v/>
      </c>
      <c r="N411" s="2" t="str">
        <f aca="false">IF($G411="","",IF(COUNTIF($G$2:$G$4460,$G411)&gt;1,"重複",""))</f>
        <v/>
      </c>
    </row>
    <row r="412" customFormat="false" ht="16.5" hidden="false" customHeight="true" outlineLevel="0" collapsed="false">
      <c r="A412" s="2" t="s">
        <v>385</v>
      </c>
      <c r="B412" s="2" t="s">
        <v>393</v>
      </c>
      <c r="C412" s="2" t="s">
        <v>18</v>
      </c>
      <c r="D412" s="2" t="str">
        <f aca="false">IF(2キー同時!$B$97="","",2キー同時!$B$97)</f>
        <v>i</v>
      </c>
      <c r="E412" s="2" t="str">
        <f aca="false">""</f>
        <v/>
      </c>
      <c r="F412" s="2" t="str">
        <f aca="false">""</f>
        <v/>
      </c>
      <c r="G412" s="2" t="str">
        <f aca="false">IF(2キー同時!$B$97="","",IF(2キー同時!AF101="","",SUBSTITUTE(SUBSTITUTE(2キー同時!AF101," ",""),"　","")))</f>
        <v/>
      </c>
      <c r="H412" s="2" t="str">
        <f aca="false">IF($G412="","",2キー同時!$B$97)</f>
        <v/>
      </c>
      <c r="I412" s="2" t="str">
        <f aca="false">IF($G412="","","u")</f>
        <v/>
      </c>
      <c r="J412" s="2" t="str">
        <f aca="false">""</f>
        <v/>
      </c>
      <c r="K412" s="2" t="str">
        <f aca="false">""</f>
        <v/>
      </c>
      <c r="L412" s="2" t="str">
        <f aca="false">IF($G412="","","同時")</f>
        <v/>
      </c>
      <c r="M412" s="2" t="str">
        <f aca="false">IF($G412="","",IF(ISNA(MATCH($G412,個別指定!$A:$A,0)),"行なし",""))</f>
        <v/>
      </c>
      <c r="N412" s="2" t="str">
        <f aca="false">IF($G412="","",IF(COUNTIF($G$2:$G$4460,$G412)&gt;1,"重複",""))</f>
        <v/>
      </c>
    </row>
    <row r="413" customFormat="false" ht="16.5" hidden="false" customHeight="true" outlineLevel="0" collapsed="false">
      <c r="A413" s="2" t="s">
        <v>385</v>
      </c>
      <c r="B413" s="2" t="s">
        <v>393</v>
      </c>
      <c r="C413" s="2" t="s">
        <v>19</v>
      </c>
      <c r="D413" s="2" t="str">
        <f aca="false">IF(2キー同時!$B$97="","",2キー同時!$B$97)</f>
        <v>i</v>
      </c>
      <c r="E413" s="2" t="str">
        <f aca="false">""</f>
        <v/>
      </c>
      <c r="F413" s="2" t="str">
        <f aca="false">""</f>
        <v/>
      </c>
      <c r="G413" s="2" t="str">
        <f aca="false">IF(2キー同時!$B$97="","",IF(2キー同時!AJ101="","",SUBSTITUTE(SUBSTITUTE(2キー同時!AJ101," ",""),"　","")))</f>
        <v/>
      </c>
      <c r="H413" s="2" t="str">
        <f aca="false">IF($G413="","",2キー同時!$B$97)</f>
        <v/>
      </c>
      <c r="I413" s="2" t="str">
        <f aca="false">IF($G413="","","i")</f>
        <v/>
      </c>
      <c r="J413" s="2" t="str">
        <f aca="false">""</f>
        <v/>
      </c>
      <c r="K413" s="2" t="str">
        <f aca="false">""</f>
        <v/>
      </c>
      <c r="L413" s="2" t="str">
        <f aca="false">IF($G413="","","同時")</f>
        <v/>
      </c>
      <c r="M413" s="2" t="str">
        <f aca="false">IF($G413="","",IF(ISNA(MATCH($G413,個別指定!$A:$A,0)),"行なし",""))</f>
        <v/>
      </c>
      <c r="N413" s="2" t="str">
        <f aca="false">IF($G413="","",IF(COUNTIF($G$2:$G$4460,$G413)&gt;1,"重複",""))</f>
        <v/>
      </c>
    </row>
    <row r="414" customFormat="false" ht="16.5" hidden="false" customHeight="true" outlineLevel="0" collapsed="false">
      <c r="A414" s="2" t="s">
        <v>385</v>
      </c>
      <c r="B414" s="2" t="s">
        <v>393</v>
      </c>
      <c r="C414" s="2" t="s">
        <v>20</v>
      </c>
      <c r="D414" s="2" t="str">
        <f aca="false">IF(2キー同時!$B$97="","",2キー同時!$B$97)</f>
        <v>i</v>
      </c>
      <c r="E414" s="2" t="str">
        <f aca="false">""</f>
        <v/>
      </c>
      <c r="F414" s="2" t="str">
        <f aca="false">""</f>
        <v/>
      </c>
      <c r="G414" s="2" t="str">
        <f aca="false">IF(2キー同時!$B$97="","",IF(2キー同時!AN101="","",SUBSTITUTE(SUBSTITUTE(2キー同時!AN101," ",""),"　","")))</f>
        <v/>
      </c>
      <c r="H414" s="2" t="str">
        <f aca="false">IF($G414="","",2キー同時!$B$97)</f>
        <v/>
      </c>
      <c r="I414" s="2" t="str">
        <f aca="false">IF($G414="","","o")</f>
        <v/>
      </c>
      <c r="J414" s="2" t="str">
        <f aca="false">""</f>
        <v/>
      </c>
      <c r="K414" s="2" t="str">
        <f aca="false">""</f>
        <v/>
      </c>
      <c r="L414" s="2" t="str">
        <f aca="false">IF($G414="","","同時")</f>
        <v/>
      </c>
      <c r="M414" s="2" t="str">
        <f aca="false">IF($G414="","",IF(ISNA(MATCH($G414,個別指定!$A:$A,0)),"行なし",""))</f>
        <v/>
      </c>
      <c r="N414" s="2" t="str">
        <f aca="false">IF($G414="","",IF(COUNTIF($G$2:$G$4460,$G414)&gt;1,"重複",""))</f>
        <v/>
      </c>
    </row>
    <row r="415" customFormat="false" ht="16.5" hidden="false" customHeight="true" outlineLevel="0" collapsed="false">
      <c r="A415" s="2" t="s">
        <v>385</v>
      </c>
      <c r="B415" s="2" t="s">
        <v>393</v>
      </c>
      <c r="C415" s="2" t="s">
        <v>21</v>
      </c>
      <c r="D415" s="2" t="str">
        <f aca="false">IF(2キー同時!$B$97="","",2キー同時!$B$97)</f>
        <v>i</v>
      </c>
      <c r="E415" s="2" t="str">
        <f aca="false">""</f>
        <v/>
      </c>
      <c r="F415" s="2" t="str">
        <f aca="false">""</f>
        <v/>
      </c>
      <c r="G415" s="2" t="str">
        <f aca="false">IF(2キー同時!$B$97="","",IF(2キー同時!AR101="","",SUBSTITUTE(SUBSTITUTE(2キー同時!AR101," ",""),"　","")))</f>
        <v/>
      </c>
      <c r="H415" s="2" t="str">
        <f aca="false">IF($G415="","",2キー同時!$B$97)</f>
        <v/>
      </c>
      <c r="I415" s="2" t="str">
        <f aca="false">IF($G415="","","p")</f>
        <v/>
      </c>
      <c r="J415" s="2" t="str">
        <f aca="false">""</f>
        <v/>
      </c>
      <c r="K415" s="2" t="str">
        <f aca="false">""</f>
        <v/>
      </c>
      <c r="L415" s="2" t="str">
        <f aca="false">IF($G415="","","同時")</f>
        <v/>
      </c>
      <c r="M415" s="2" t="str">
        <f aca="false">IF($G415="","",IF(ISNA(MATCH($G415,個別指定!$A:$A,0)),"行なし",""))</f>
        <v/>
      </c>
      <c r="N415" s="2" t="str">
        <f aca="false">IF($G415="","",IF(COUNTIF($G$2:$G$4460,$G415)&gt;1,"重複",""))</f>
        <v/>
      </c>
    </row>
    <row r="416" customFormat="false" ht="16.5" hidden="false" customHeight="true" outlineLevel="0" collapsed="false">
      <c r="A416" s="2" t="s">
        <v>385</v>
      </c>
      <c r="B416" s="2" t="s">
        <v>393</v>
      </c>
      <c r="C416" s="2" t="s">
        <v>22</v>
      </c>
      <c r="D416" s="2" t="str">
        <f aca="false">IF(2キー同時!$B$97="","",2キー同時!$B$97)</f>
        <v>i</v>
      </c>
      <c r="E416" s="2" t="str">
        <f aca="false">""</f>
        <v/>
      </c>
      <c r="F416" s="2" t="str">
        <f aca="false">""</f>
        <v/>
      </c>
      <c r="G416" s="2" t="str">
        <f aca="false">IF(2キー同時!$B$97="","",IF(2キー同時!AV101="","",SUBSTITUTE(SUBSTITUTE(2キー同時!AV101," ",""),"　","")))</f>
        <v/>
      </c>
      <c r="H416" s="2" t="str">
        <f aca="false">IF($G416="","",2キー同時!$B$97)</f>
        <v/>
      </c>
      <c r="I416" s="2" t="str">
        <f aca="false">IF($G416="","","[")</f>
        <v/>
      </c>
      <c r="J416" s="2" t="str">
        <f aca="false">""</f>
        <v/>
      </c>
      <c r="K416" s="2" t="str">
        <f aca="false">""</f>
        <v/>
      </c>
      <c r="L416" s="2" t="str">
        <f aca="false">IF($G416="","","同時")</f>
        <v/>
      </c>
      <c r="M416" s="2" t="str">
        <f aca="false">IF($G416="","",IF(ISNA(MATCH($G416,個別指定!$A:$A,0)),"行なし",""))</f>
        <v/>
      </c>
      <c r="N416" s="2" t="str">
        <f aca="false">IF($G416="","",IF(COUNTIF($G$2:$G$4460,$G416)&gt;1,"重複",""))</f>
        <v/>
      </c>
    </row>
    <row r="417" customFormat="false" ht="16.5" hidden="false" customHeight="true" outlineLevel="0" collapsed="false">
      <c r="A417" s="2" t="s">
        <v>385</v>
      </c>
      <c r="B417" s="2" t="s">
        <v>393</v>
      </c>
      <c r="C417" s="2" t="s">
        <v>23</v>
      </c>
      <c r="D417" s="2" t="str">
        <f aca="false">IF(2キー同時!$B$97="","",2キー同時!$B$97)</f>
        <v>i</v>
      </c>
      <c r="E417" s="2" t="str">
        <f aca="false">""</f>
        <v/>
      </c>
      <c r="F417" s="2" t="str">
        <f aca="false">""</f>
        <v/>
      </c>
      <c r="G417" s="2" t="str">
        <f aca="false">IF(2キー同時!$B$97="","",IF(2キー同時!AZ101="","",SUBSTITUTE(SUBSTITUTE(2キー同時!AZ101," ",""),"　","")))</f>
        <v/>
      </c>
      <c r="H417" s="2" t="str">
        <f aca="false">IF($G417="","",2キー同時!$B$97)</f>
        <v/>
      </c>
      <c r="I417" s="2" t="str">
        <f aca="false">IF($G417="","","]")</f>
        <v/>
      </c>
      <c r="J417" s="2" t="str">
        <f aca="false">""</f>
        <v/>
      </c>
      <c r="K417" s="2" t="str">
        <f aca="false">""</f>
        <v/>
      </c>
      <c r="L417" s="2" t="str">
        <f aca="false">IF($G417="","","同時")</f>
        <v/>
      </c>
      <c r="M417" s="2" t="str">
        <f aca="false">IF($G417="","",IF(ISNA(MATCH($G417,個別指定!$A:$A,0)),"行なし",""))</f>
        <v/>
      </c>
      <c r="N417" s="2" t="str">
        <f aca="false">IF($G417="","",IF(COUNTIF($G$2:$G$4460,$G417)&gt;1,"重複",""))</f>
        <v/>
      </c>
    </row>
    <row r="418" customFormat="false" ht="16.5" hidden="false" customHeight="true" outlineLevel="0" collapsed="false">
      <c r="A418" s="2" t="s">
        <v>385</v>
      </c>
      <c r="B418" s="2" t="s">
        <v>393</v>
      </c>
      <c r="C418" s="2" t="s">
        <v>24</v>
      </c>
      <c r="D418" s="2" t="str">
        <f aca="false">IF(2キー同時!$B$97="","",2キー同時!$B$97)</f>
        <v>i</v>
      </c>
      <c r="E418" s="2" t="str">
        <f aca="false">""</f>
        <v/>
      </c>
      <c r="F418" s="2" t="str">
        <f aca="false">""</f>
        <v/>
      </c>
      <c r="G418" s="2" t="str">
        <f aca="false">IF(2キー同時!$B$97="","",IF(2キー同時!I103="","",SUBSTITUTE(SUBSTITUTE(2キー同時!I103," ",""),"　","")))</f>
        <v/>
      </c>
      <c r="H418" s="2" t="str">
        <f aca="false">IF($G418="","",2キー同時!$B$97)</f>
        <v/>
      </c>
      <c r="I418" s="2" t="str">
        <f aca="false">IF($G418="","","a")</f>
        <v/>
      </c>
      <c r="J418" s="2" t="str">
        <f aca="false">""</f>
        <v/>
      </c>
      <c r="K418" s="2" t="str">
        <f aca="false">""</f>
        <v/>
      </c>
      <c r="L418" s="2" t="str">
        <f aca="false">IF($G418="","","同時")</f>
        <v/>
      </c>
      <c r="M418" s="2" t="str">
        <f aca="false">IF($G418="","",IF(ISNA(MATCH($G418,個別指定!$A:$A,0)),"行なし",""))</f>
        <v/>
      </c>
      <c r="N418" s="2" t="str">
        <f aca="false">IF($G418="","",IF(COUNTIF($G$2:$G$4460,$G418)&gt;1,"重複",""))</f>
        <v/>
      </c>
    </row>
    <row r="419" customFormat="false" ht="16.5" hidden="false" customHeight="true" outlineLevel="0" collapsed="false">
      <c r="A419" s="2" t="s">
        <v>385</v>
      </c>
      <c r="B419" s="2" t="s">
        <v>393</v>
      </c>
      <c r="C419" s="2" t="s">
        <v>25</v>
      </c>
      <c r="D419" s="2" t="str">
        <f aca="false">IF(2キー同時!$B$97="","",2キー同時!$B$97)</f>
        <v>i</v>
      </c>
      <c r="E419" s="2" t="str">
        <f aca="false">""</f>
        <v/>
      </c>
      <c r="F419" s="2" t="str">
        <f aca="false">""</f>
        <v/>
      </c>
      <c r="G419" s="2" t="str">
        <f aca="false">IF(2キー同時!$B$97="","",IF(2キー同時!M103="","",SUBSTITUTE(SUBSTITUTE(2キー同時!M103," ",""),"　","")))</f>
        <v>みょ</v>
      </c>
      <c r="H419" s="2" t="str">
        <f aca="false">IF($G419="","",2キー同時!$B$97)</f>
        <v>i</v>
      </c>
      <c r="I419" s="2" t="str">
        <f aca="false">IF($G419="","","s")</f>
        <v>s</v>
      </c>
      <c r="J419" s="2" t="str">
        <f aca="false">""</f>
        <v/>
      </c>
      <c r="K419" s="2" t="str">
        <f aca="false">""</f>
        <v/>
      </c>
      <c r="L419" s="2" t="str">
        <f aca="false">IF($G419="","","同時")</f>
        <v>同時</v>
      </c>
      <c r="M419" s="2" t="str">
        <f aca="false">IF($G419="","",IF(ISNA(MATCH($G419,個別指定!$A:$A,0)),"行なし",""))</f>
        <v/>
      </c>
      <c r="N419" s="2" t="str">
        <f aca="false">IF($G419="","",IF(COUNTIF($G$2:$G$4460,$G419)&gt;1,"重複",""))</f>
        <v/>
      </c>
    </row>
    <row r="420" customFormat="false" ht="16.5" hidden="false" customHeight="true" outlineLevel="0" collapsed="false">
      <c r="A420" s="2" t="s">
        <v>385</v>
      </c>
      <c r="B420" s="2" t="s">
        <v>393</v>
      </c>
      <c r="C420" s="2" t="s">
        <v>26</v>
      </c>
      <c r="D420" s="2" t="str">
        <f aca="false">IF(2キー同時!$B$97="","",2キー同時!$B$97)</f>
        <v>i</v>
      </c>
      <c r="E420" s="2" t="str">
        <f aca="false">""</f>
        <v/>
      </c>
      <c r="F420" s="2" t="str">
        <f aca="false">""</f>
        <v/>
      </c>
      <c r="G420" s="2" t="str">
        <f aca="false">IF(2キー同時!$B$97="","",IF(2キー同時!Q103="","",SUBSTITUTE(SUBSTITUTE(2キー同時!Q103," ",""),"　","")))</f>
        <v>にょ</v>
      </c>
      <c r="H420" s="2" t="str">
        <f aca="false">IF($G420="","",2キー同時!$B$97)</f>
        <v>i</v>
      </c>
      <c r="I420" s="2" t="str">
        <f aca="false">IF($G420="","","d")</f>
        <v>d</v>
      </c>
      <c r="J420" s="2" t="str">
        <f aca="false">""</f>
        <v/>
      </c>
      <c r="K420" s="2" t="str">
        <f aca="false">""</f>
        <v/>
      </c>
      <c r="L420" s="2" t="str">
        <f aca="false">IF($G420="","","同時")</f>
        <v>同時</v>
      </c>
      <c r="M420" s="2" t="str">
        <f aca="false">IF($G420="","",IF(ISNA(MATCH($G420,個別指定!$A:$A,0)),"行なし",""))</f>
        <v/>
      </c>
      <c r="N420" s="2" t="str">
        <f aca="false">IF($G420="","",IF(COUNTIF($G$2:$G$4460,$G420)&gt;1,"重複",""))</f>
        <v/>
      </c>
    </row>
    <row r="421" customFormat="false" ht="16.5" hidden="false" customHeight="true" outlineLevel="0" collapsed="false">
      <c r="A421" s="2" t="s">
        <v>385</v>
      </c>
      <c r="B421" s="2" t="s">
        <v>393</v>
      </c>
      <c r="C421" s="2" t="s">
        <v>27</v>
      </c>
      <c r="D421" s="2" t="str">
        <f aca="false">IF(2キー同時!$B$97="","",2キー同時!$B$97)</f>
        <v>i</v>
      </c>
      <c r="E421" s="2" t="str">
        <f aca="false">""</f>
        <v/>
      </c>
      <c r="F421" s="2" t="str">
        <f aca="false">""</f>
        <v/>
      </c>
      <c r="G421" s="2" t="str">
        <f aca="false">IF(2キー同時!$B$97="","",IF(2キー同時!U103="","",SUBSTITUTE(SUBSTITUTE(2キー同時!U103," ",""),"　","")))</f>
        <v/>
      </c>
      <c r="H421" s="2" t="str">
        <f aca="false">IF($G421="","",2キー同時!$B$97)</f>
        <v/>
      </c>
      <c r="I421" s="2" t="str">
        <f aca="false">IF($G421="","","f")</f>
        <v/>
      </c>
      <c r="J421" s="2" t="str">
        <f aca="false">""</f>
        <v/>
      </c>
      <c r="K421" s="2" t="str">
        <f aca="false">""</f>
        <v/>
      </c>
      <c r="L421" s="2" t="str">
        <f aca="false">IF($G421="","","同時")</f>
        <v/>
      </c>
      <c r="M421" s="2" t="str">
        <f aca="false">IF($G421="","",IF(ISNA(MATCH($G421,個別指定!$A:$A,0)),"行なし",""))</f>
        <v/>
      </c>
      <c r="N421" s="2" t="str">
        <f aca="false">IF($G421="","",IF(COUNTIF($G$2:$G$4460,$G421)&gt;1,"重複",""))</f>
        <v/>
      </c>
    </row>
    <row r="422" customFormat="false" ht="16.5" hidden="false" customHeight="true" outlineLevel="0" collapsed="false">
      <c r="A422" s="2" t="s">
        <v>385</v>
      </c>
      <c r="B422" s="2" t="s">
        <v>393</v>
      </c>
      <c r="C422" s="2" t="s">
        <v>28</v>
      </c>
      <c r="D422" s="2" t="str">
        <f aca="false">IF(2キー同時!$B$97="","",2キー同時!$B$97)</f>
        <v>i</v>
      </c>
      <c r="E422" s="2" t="str">
        <f aca="false">""</f>
        <v/>
      </c>
      <c r="F422" s="2" t="str">
        <f aca="false">""</f>
        <v/>
      </c>
      <c r="G422" s="2" t="str">
        <f aca="false">IF(2キー同時!$B$97="","",IF(2キー同時!Y103="","",SUBSTITUTE(SUBSTITUTE(2キー同時!Y103," ",""),"　","")))</f>
        <v>ちょ</v>
      </c>
      <c r="H422" s="2" t="str">
        <f aca="false">IF($G422="","",2キー同時!$B$97)</f>
        <v>i</v>
      </c>
      <c r="I422" s="2" t="str">
        <f aca="false">IF($G422="","","g")</f>
        <v>g</v>
      </c>
      <c r="J422" s="2" t="str">
        <f aca="false">""</f>
        <v/>
      </c>
      <c r="K422" s="2" t="str">
        <f aca="false">""</f>
        <v/>
      </c>
      <c r="L422" s="2" t="str">
        <f aca="false">IF($G422="","","同時")</f>
        <v>同時</v>
      </c>
      <c r="M422" s="2" t="str">
        <f aca="false">IF($G422="","",IF(ISNA(MATCH($G422,個別指定!$A:$A,0)),"行なし",""))</f>
        <v/>
      </c>
      <c r="N422" s="2" t="str">
        <f aca="false">IF($G422="","",IF(COUNTIF($G$2:$G$4460,$G422)&gt;1,"重複",""))</f>
        <v/>
      </c>
    </row>
    <row r="423" customFormat="false" ht="16.5" hidden="false" customHeight="true" outlineLevel="0" collapsed="false">
      <c r="A423" s="2" t="s">
        <v>385</v>
      </c>
      <c r="B423" s="2" t="s">
        <v>393</v>
      </c>
      <c r="C423" s="2" t="s">
        <v>29</v>
      </c>
      <c r="D423" s="2" t="str">
        <f aca="false">IF(2キー同時!$B$97="","",2キー同時!$B$97)</f>
        <v>i</v>
      </c>
      <c r="E423" s="2" t="str">
        <f aca="false">""</f>
        <v/>
      </c>
      <c r="F423" s="2" t="str">
        <f aca="false">""</f>
        <v/>
      </c>
      <c r="G423" s="2" t="str">
        <f aca="false">IF(2キー同時!$B$97="","",IF(2キー同時!AC103="","",SUBSTITUTE(SUBSTITUTE(2キー同時!AC103," ",""),"　","")))</f>
        <v/>
      </c>
      <c r="H423" s="2" t="str">
        <f aca="false">IF($G423="","",2キー同時!$B$97)</f>
        <v/>
      </c>
      <c r="I423" s="2" t="str">
        <f aca="false">IF($G423="","","h")</f>
        <v/>
      </c>
      <c r="J423" s="2" t="str">
        <f aca="false">""</f>
        <v/>
      </c>
      <c r="K423" s="2" t="str">
        <f aca="false">""</f>
        <v/>
      </c>
      <c r="L423" s="2" t="str">
        <f aca="false">IF($G423="","","同時")</f>
        <v/>
      </c>
      <c r="M423" s="2" t="str">
        <f aca="false">IF($G423="","",IF(ISNA(MATCH($G423,個別指定!$A:$A,0)),"行なし",""))</f>
        <v/>
      </c>
      <c r="N423" s="2" t="str">
        <f aca="false">IF($G423="","",IF(COUNTIF($G$2:$G$4460,$G423)&gt;1,"重複",""))</f>
        <v/>
      </c>
    </row>
    <row r="424" customFormat="false" ht="16.5" hidden="false" customHeight="true" outlineLevel="0" collapsed="false">
      <c r="A424" s="2" t="s">
        <v>385</v>
      </c>
      <c r="B424" s="2" t="s">
        <v>393</v>
      </c>
      <c r="C424" s="2" t="s">
        <v>30</v>
      </c>
      <c r="D424" s="2" t="str">
        <f aca="false">IF(2キー同時!$B$97="","",2キー同時!$B$97)</f>
        <v>i</v>
      </c>
      <c r="E424" s="2" t="str">
        <f aca="false">""</f>
        <v/>
      </c>
      <c r="F424" s="2" t="str">
        <f aca="false">""</f>
        <v/>
      </c>
      <c r="G424" s="2" t="str">
        <f aca="false">IF(2キー同時!$B$97="","",IF(2キー同時!AG103="","",SUBSTITUTE(SUBSTITUTE(2キー同時!AG103," ",""),"　","")))</f>
        <v/>
      </c>
      <c r="H424" s="2" t="str">
        <f aca="false">IF($G424="","",2キー同時!$B$97)</f>
        <v/>
      </c>
      <c r="I424" s="2" t="str">
        <f aca="false">IF($G424="","","j")</f>
        <v/>
      </c>
      <c r="J424" s="2" t="str">
        <f aca="false">""</f>
        <v/>
      </c>
      <c r="K424" s="2" t="str">
        <f aca="false">""</f>
        <v/>
      </c>
      <c r="L424" s="2" t="str">
        <f aca="false">IF($G424="","","同時")</f>
        <v/>
      </c>
      <c r="M424" s="2" t="str">
        <f aca="false">IF($G424="","",IF(ISNA(MATCH($G424,個別指定!$A:$A,0)),"行なし",""))</f>
        <v/>
      </c>
      <c r="N424" s="2" t="str">
        <f aca="false">IF($G424="","",IF(COUNTIF($G$2:$G$4460,$G424)&gt;1,"重複",""))</f>
        <v/>
      </c>
    </row>
    <row r="425" customFormat="false" ht="16.5" hidden="false" customHeight="true" outlineLevel="0" collapsed="false">
      <c r="A425" s="2" t="s">
        <v>385</v>
      </c>
      <c r="B425" s="2" t="s">
        <v>393</v>
      </c>
      <c r="C425" s="2" t="s">
        <v>31</v>
      </c>
      <c r="D425" s="2" t="str">
        <f aca="false">IF(2キー同時!$B$97="","",2キー同時!$B$97)</f>
        <v>i</v>
      </c>
      <c r="E425" s="2" t="str">
        <f aca="false">""</f>
        <v/>
      </c>
      <c r="F425" s="2" t="str">
        <f aca="false">""</f>
        <v/>
      </c>
      <c r="G425" s="2" t="str">
        <f aca="false">IF(2キー同時!$B$97="","",IF(2キー同時!AK103="","",SUBSTITUTE(SUBSTITUTE(2キー同時!AK103," ",""),"　","")))</f>
        <v/>
      </c>
      <c r="H425" s="2" t="str">
        <f aca="false">IF($G425="","",2キー同時!$B$97)</f>
        <v/>
      </c>
      <c r="I425" s="2" t="str">
        <f aca="false">IF($G425="","","k")</f>
        <v/>
      </c>
      <c r="J425" s="2" t="str">
        <f aca="false">""</f>
        <v/>
      </c>
      <c r="K425" s="2" t="str">
        <f aca="false">""</f>
        <v/>
      </c>
      <c r="L425" s="2" t="str">
        <f aca="false">IF($G425="","","同時")</f>
        <v/>
      </c>
      <c r="M425" s="2" t="str">
        <f aca="false">IF($G425="","",IF(ISNA(MATCH($G425,個別指定!$A:$A,0)),"行なし",""))</f>
        <v/>
      </c>
      <c r="N425" s="2" t="str">
        <f aca="false">IF($G425="","",IF(COUNTIF($G$2:$G$4460,$G425)&gt;1,"重複",""))</f>
        <v/>
      </c>
    </row>
    <row r="426" customFormat="false" ht="16.5" hidden="false" customHeight="true" outlineLevel="0" collapsed="false">
      <c r="A426" s="2" t="s">
        <v>385</v>
      </c>
      <c r="B426" s="2" t="s">
        <v>393</v>
      </c>
      <c r="C426" s="2" t="s">
        <v>32</v>
      </c>
      <c r="D426" s="2" t="str">
        <f aca="false">IF(2キー同時!$B$97="","",2キー同時!$B$97)</f>
        <v>i</v>
      </c>
      <c r="E426" s="2" t="str">
        <f aca="false">""</f>
        <v/>
      </c>
      <c r="F426" s="2" t="str">
        <f aca="false">""</f>
        <v/>
      </c>
      <c r="G426" s="2" t="str">
        <f aca="false">IF(2キー同時!$B$97="","",IF(2キー同時!AO103="","",SUBSTITUTE(SUBSTITUTE(2キー同時!AO103," ",""),"　","")))</f>
        <v/>
      </c>
      <c r="H426" s="2" t="str">
        <f aca="false">IF($G426="","",2キー同時!$B$97)</f>
        <v/>
      </c>
      <c r="I426" s="2" t="str">
        <f aca="false">IF($G426="","","l")</f>
        <v/>
      </c>
      <c r="J426" s="2" t="str">
        <f aca="false">""</f>
        <v/>
      </c>
      <c r="K426" s="2" t="str">
        <f aca="false">""</f>
        <v/>
      </c>
      <c r="L426" s="2" t="str">
        <f aca="false">IF($G426="","","同時")</f>
        <v/>
      </c>
      <c r="M426" s="2" t="str">
        <f aca="false">IF($G426="","",IF(ISNA(MATCH($G426,個別指定!$A:$A,0)),"行なし",""))</f>
        <v/>
      </c>
      <c r="N426" s="2" t="str">
        <f aca="false">IF($G426="","",IF(COUNTIF($G$2:$G$4460,$G426)&gt;1,"重複",""))</f>
        <v/>
      </c>
    </row>
    <row r="427" customFormat="false" ht="16.5" hidden="false" customHeight="true" outlineLevel="0" collapsed="false">
      <c r="A427" s="2" t="s">
        <v>385</v>
      </c>
      <c r="B427" s="2" t="s">
        <v>393</v>
      </c>
      <c r="C427" s="2" t="s">
        <v>33</v>
      </c>
      <c r="D427" s="2" t="str">
        <f aca="false">IF(2キー同時!$B$97="","",2キー同時!$B$97)</f>
        <v>i</v>
      </c>
      <c r="E427" s="2" t="str">
        <f aca="false">""</f>
        <v/>
      </c>
      <c r="F427" s="2" t="str">
        <f aca="false">""</f>
        <v/>
      </c>
      <c r="G427" s="2" t="str">
        <f aca="false">IF(2キー同時!$B$97="","",IF(2キー同時!AS103="","",SUBSTITUTE(SUBSTITUTE(2キー同時!AS103," ",""),"　","")))</f>
        <v/>
      </c>
      <c r="H427" s="2" t="str">
        <f aca="false">IF($G427="","",2キー同時!$B$97)</f>
        <v/>
      </c>
      <c r="I427" s="2" t="str">
        <f aca="false">IF($G427="","",";")</f>
        <v/>
      </c>
      <c r="J427" s="2" t="str">
        <f aca="false">""</f>
        <v/>
      </c>
      <c r="K427" s="2" t="str">
        <f aca="false">""</f>
        <v/>
      </c>
      <c r="L427" s="2" t="str">
        <f aca="false">IF($G427="","","同時")</f>
        <v/>
      </c>
      <c r="M427" s="2" t="str">
        <f aca="false">IF($G427="","",IF(ISNA(MATCH($G427,個別指定!$A:$A,0)),"行なし",""))</f>
        <v/>
      </c>
      <c r="N427" s="2" t="str">
        <f aca="false">IF($G427="","",IF(COUNTIF($G$2:$G$4460,$G427)&gt;1,"重複",""))</f>
        <v/>
      </c>
    </row>
    <row r="428" customFormat="false" ht="16.5" hidden="false" customHeight="true" outlineLevel="0" collapsed="false">
      <c r="A428" s="2" t="s">
        <v>385</v>
      </c>
      <c r="B428" s="2" t="s">
        <v>393</v>
      </c>
      <c r="C428" s="2" t="s">
        <v>34</v>
      </c>
      <c r="D428" s="2" t="str">
        <f aca="false">IF(2キー同時!$B$97="","",2キー同時!$B$97)</f>
        <v>i</v>
      </c>
      <c r="E428" s="2" t="str">
        <f aca="false">""</f>
        <v/>
      </c>
      <c r="F428" s="2" t="str">
        <f aca="false">""</f>
        <v/>
      </c>
      <c r="G428" s="2" t="str">
        <f aca="false">IF(2キー同時!$B$97="","",IF(2キー同時!AW103="","",SUBSTITUTE(SUBSTITUTE(2キー同時!AW103," ",""),"　","")))</f>
        <v/>
      </c>
      <c r="H428" s="2" t="str">
        <f aca="false">IF($G428="","",2キー同時!$B$97)</f>
        <v/>
      </c>
      <c r="I428" s="2" t="str">
        <f aca="false">IF($G428="","","'")</f>
        <v/>
      </c>
      <c r="J428" s="2" t="str">
        <f aca="false">""</f>
        <v/>
      </c>
      <c r="K428" s="2" t="str">
        <f aca="false">""</f>
        <v/>
      </c>
      <c r="L428" s="2" t="str">
        <f aca="false">IF($G428="","","同時")</f>
        <v/>
      </c>
      <c r="M428" s="2" t="str">
        <f aca="false">IF($G428="","",IF(ISNA(MATCH($G428,個別指定!$A:$A,0)),"行なし",""))</f>
        <v/>
      </c>
      <c r="N428" s="2" t="str">
        <f aca="false">IF($G428="","",IF(COUNTIF($G$2:$G$4460,$G428)&gt;1,"重複",""))</f>
        <v/>
      </c>
    </row>
    <row r="429" customFormat="false" ht="16.5" hidden="false" customHeight="true" outlineLevel="0" collapsed="false">
      <c r="A429" s="2" t="s">
        <v>385</v>
      </c>
      <c r="B429" s="2" t="s">
        <v>393</v>
      </c>
      <c r="C429" s="2" t="s">
        <v>35</v>
      </c>
      <c r="D429" s="2" t="str">
        <f aca="false">IF(2キー同時!$B$97="","",2キー同時!$B$97)</f>
        <v>i</v>
      </c>
      <c r="E429" s="2" t="str">
        <f aca="false">""</f>
        <v/>
      </c>
      <c r="F429" s="2" t="str">
        <f aca="false">""</f>
        <v/>
      </c>
      <c r="G429" s="2" t="str">
        <f aca="false">IF(2キー同時!$B$97="","",IF(2キー同時!K105="","",SUBSTITUTE(SUBSTITUTE(2キー同時!K105," ",""),"　","")))</f>
        <v/>
      </c>
      <c r="H429" s="2" t="str">
        <f aca="false">IF($G429="","",2キー同時!$B$97)</f>
        <v/>
      </c>
      <c r="I429" s="2" t="str">
        <f aca="false">IF($G429="","","z")</f>
        <v/>
      </c>
      <c r="J429" s="2" t="str">
        <f aca="false">""</f>
        <v/>
      </c>
      <c r="K429" s="2" t="str">
        <f aca="false">""</f>
        <v/>
      </c>
      <c r="L429" s="2" t="str">
        <f aca="false">IF($G429="","","同時")</f>
        <v/>
      </c>
      <c r="M429" s="2" t="str">
        <f aca="false">IF($G429="","",IF(ISNA(MATCH($G429,個別指定!$A:$A,0)),"行なし",""))</f>
        <v/>
      </c>
      <c r="N429" s="2" t="str">
        <f aca="false">IF($G429="","",IF(COUNTIF($G$2:$G$4460,$G429)&gt;1,"重複",""))</f>
        <v/>
      </c>
    </row>
    <row r="430" customFormat="false" ht="16.5" hidden="false" customHeight="true" outlineLevel="0" collapsed="false">
      <c r="A430" s="2" t="s">
        <v>385</v>
      </c>
      <c r="B430" s="2" t="s">
        <v>393</v>
      </c>
      <c r="C430" s="2" t="s">
        <v>36</v>
      </c>
      <c r="D430" s="2" t="str">
        <f aca="false">IF(2キー同時!$B$97="","",2キー同時!$B$97)</f>
        <v>i</v>
      </c>
      <c r="E430" s="2" t="str">
        <f aca="false">""</f>
        <v/>
      </c>
      <c r="F430" s="2" t="str">
        <f aca="false">""</f>
        <v/>
      </c>
      <c r="G430" s="2" t="str">
        <f aca="false">IF(2キー同時!$B$97="","",IF(2キー同時!O105="","",SUBSTITUTE(SUBSTITUTE(2キー同時!O105," ",""),"　","")))</f>
        <v>ひょ</v>
      </c>
      <c r="H430" s="2" t="str">
        <f aca="false">IF($G430="","",2キー同時!$B$97)</f>
        <v>i</v>
      </c>
      <c r="I430" s="2" t="str">
        <f aca="false">IF($G430="","","x")</f>
        <v>x</v>
      </c>
      <c r="J430" s="2" t="str">
        <f aca="false">""</f>
        <v/>
      </c>
      <c r="K430" s="2" t="str">
        <f aca="false">""</f>
        <v/>
      </c>
      <c r="L430" s="2" t="str">
        <f aca="false">IF($G430="","","同時")</f>
        <v>同時</v>
      </c>
      <c r="M430" s="2" t="str">
        <f aca="false">IF($G430="","",IF(ISNA(MATCH($G430,個別指定!$A:$A,0)),"行なし",""))</f>
        <v/>
      </c>
      <c r="N430" s="2" t="str">
        <f aca="false">IF($G430="","",IF(COUNTIF($G$2:$G$4460,$G430)&gt;1,"重複",""))</f>
        <v/>
      </c>
    </row>
    <row r="431" customFormat="false" ht="16.5" hidden="false" customHeight="true" outlineLevel="0" collapsed="false">
      <c r="A431" s="2" t="s">
        <v>385</v>
      </c>
      <c r="B431" s="2" t="s">
        <v>393</v>
      </c>
      <c r="C431" s="2" t="s">
        <v>37</v>
      </c>
      <c r="D431" s="2" t="str">
        <f aca="false">IF(2キー同時!$B$97="","",2キー同時!$B$97)</f>
        <v>i</v>
      </c>
      <c r="E431" s="2" t="str">
        <f aca="false">""</f>
        <v/>
      </c>
      <c r="F431" s="2" t="str">
        <f aca="false">""</f>
        <v/>
      </c>
      <c r="G431" s="2" t="str">
        <f aca="false">IF(2キー同時!$B$97="","",IF(2キー同時!S105="","",SUBSTITUTE(SUBSTITUTE(2キー同時!S105," ",""),"　","")))</f>
        <v/>
      </c>
      <c r="H431" s="2" t="str">
        <f aca="false">IF($G431="","",2キー同時!$B$97)</f>
        <v/>
      </c>
      <c r="I431" s="2" t="str">
        <f aca="false">IF($G431="","","c")</f>
        <v/>
      </c>
      <c r="J431" s="2" t="str">
        <f aca="false">""</f>
        <v/>
      </c>
      <c r="K431" s="2" t="str">
        <f aca="false">""</f>
        <v/>
      </c>
      <c r="L431" s="2" t="str">
        <f aca="false">IF($G431="","","同時")</f>
        <v/>
      </c>
      <c r="M431" s="2" t="str">
        <f aca="false">IF($G431="","",IF(ISNA(MATCH($G431,個別指定!$A:$A,0)),"行なし",""))</f>
        <v/>
      </c>
      <c r="N431" s="2" t="str">
        <f aca="false">IF($G431="","",IF(COUNTIF($G$2:$G$4460,$G431)&gt;1,"重複",""))</f>
        <v/>
      </c>
    </row>
    <row r="432" customFormat="false" ht="16.5" hidden="false" customHeight="true" outlineLevel="0" collapsed="false">
      <c r="A432" s="2" t="s">
        <v>385</v>
      </c>
      <c r="B432" s="2" t="s">
        <v>393</v>
      </c>
      <c r="C432" s="2" t="s">
        <v>38</v>
      </c>
      <c r="D432" s="2" t="str">
        <f aca="false">IF(2キー同時!$B$97="","",2キー同時!$B$97)</f>
        <v>i</v>
      </c>
      <c r="E432" s="2" t="str">
        <f aca="false">""</f>
        <v/>
      </c>
      <c r="F432" s="2" t="str">
        <f aca="false">""</f>
        <v/>
      </c>
      <c r="G432" s="2" t="str">
        <f aca="false">IF(2キー同時!$B$97="","",IF(2キー同時!W105="","",SUBSTITUTE(SUBSTITUTE(2キー同時!W105," ",""),"　","")))</f>
        <v/>
      </c>
      <c r="H432" s="2" t="str">
        <f aca="false">IF($G432="","",2キー同時!$B$97)</f>
        <v/>
      </c>
      <c r="I432" s="2" t="str">
        <f aca="false">IF($G432="","","v")</f>
        <v/>
      </c>
      <c r="J432" s="2" t="str">
        <f aca="false">""</f>
        <v/>
      </c>
      <c r="K432" s="2" t="str">
        <f aca="false">""</f>
        <v/>
      </c>
      <c r="L432" s="2" t="str">
        <f aca="false">IF($G432="","","同時")</f>
        <v/>
      </c>
      <c r="M432" s="2" t="str">
        <f aca="false">IF($G432="","",IF(ISNA(MATCH($G432,個別指定!$A:$A,0)),"行なし",""))</f>
        <v/>
      </c>
      <c r="N432" s="2" t="str">
        <f aca="false">IF($G432="","",IF(COUNTIF($G$2:$G$4460,$G432)&gt;1,"重複",""))</f>
        <v/>
      </c>
    </row>
    <row r="433" customFormat="false" ht="16.5" hidden="false" customHeight="true" outlineLevel="0" collapsed="false">
      <c r="A433" s="2" t="s">
        <v>385</v>
      </c>
      <c r="B433" s="2" t="s">
        <v>393</v>
      </c>
      <c r="C433" s="2" t="s">
        <v>39</v>
      </c>
      <c r="D433" s="2" t="str">
        <f aca="false">IF(2キー同時!$B$97="","",2キー同時!$B$97)</f>
        <v>i</v>
      </c>
      <c r="E433" s="2" t="str">
        <f aca="false">""</f>
        <v/>
      </c>
      <c r="F433" s="2" t="str">
        <f aca="false">""</f>
        <v/>
      </c>
      <c r="G433" s="2" t="str">
        <f aca="false">IF(2キー同時!$B$97="","",IF(2キー同時!AA105="","",SUBSTITUTE(SUBSTITUTE(2キー同時!AA105," ",""),"　","")))</f>
        <v/>
      </c>
      <c r="H433" s="2" t="str">
        <f aca="false">IF($G433="","",2キー同時!$B$97)</f>
        <v/>
      </c>
      <c r="I433" s="2" t="str">
        <f aca="false">IF($G433="","","b")</f>
        <v/>
      </c>
      <c r="J433" s="2" t="str">
        <f aca="false">""</f>
        <v/>
      </c>
      <c r="K433" s="2" t="str">
        <f aca="false">""</f>
        <v/>
      </c>
      <c r="L433" s="2" t="str">
        <f aca="false">IF($G433="","","同時")</f>
        <v/>
      </c>
      <c r="M433" s="2" t="str">
        <f aca="false">IF($G433="","",IF(ISNA(MATCH($G433,個別指定!$A:$A,0)),"行なし",""))</f>
        <v/>
      </c>
      <c r="N433" s="2" t="str">
        <f aca="false">IF($G433="","",IF(COUNTIF($G$2:$G$4460,$G433)&gt;1,"重複",""))</f>
        <v/>
      </c>
    </row>
    <row r="434" customFormat="false" ht="16.5" hidden="false" customHeight="true" outlineLevel="0" collapsed="false">
      <c r="A434" s="2" t="s">
        <v>385</v>
      </c>
      <c r="B434" s="2" t="s">
        <v>393</v>
      </c>
      <c r="C434" s="2" t="s">
        <v>40</v>
      </c>
      <c r="D434" s="2" t="str">
        <f aca="false">IF(2キー同時!$B$97="","",2キー同時!$B$97)</f>
        <v>i</v>
      </c>
      <c r="E434" s="2" t="str">
        <f aca="false">""</f>
        <v/>
      </c>
      <c r="F434" s="2" t="str">
        <f aca="false">""</f>
        <v/>
      </c>
      <c r="G434" s="2" t="str">
        <f aca="false">IF(2キー同時!$B$97="","",IF(2キー同時!AE105="","",SUBSTITUTE(SUBSTITUTE(2キー同時!AE105," ",""),"　","")))</f>
        <v/>
      </c>
      <c r="H434" s="2" t="str">
        <f aca="false">IF($G434="","",2キー同時!$B$97)</f>
        <v/>
      </c>
      <c r="I434" s="2" t="str">
        <f aca="false">IF($G434="","","n")</f>
        <v/>
      </c>
      <c r="J434" s="2" t="str">
        <f aca="false">""</f>
        <v/>
      </c>
      <c r="K434" s="2" t="str">
        <f aca="false">""</f>
        <v/>
      </c>
      <c r="L434" s="2" t="str">
        <f aca="false">IF($G434="","","同時")</f>
        <v/>
      </c>
      <c r="M434" s="2" t="str">
        <f aca="false">IF($G434="","",IF(ISNA(MATCH($G434,個別指定!$A:$A,0)),"行なし",""))</f>
        <v/>
      </c>
      <c r="N434" s="2" t="str">
        <f aca="false">IF($G434="","",IF(COUNTIF($G$2:$G$4460,$G434)&gt;1,"重複",""))</f>
        <v/>
      </c>
    </row>
    <row r="435" customFormat="false" ht="16.5" hidden="false" customHeight="true" outlineLevel="0" collapsed="false">
      <c r="A435" s="2" t="s">
        <v>385</v>
      </c>
      <c r="B435" s="2" t="s">
        <v>393</v>
      </c>
      <c r="C435" s="2" t="s">
        <v>41</v>
      </c>
      <c r="D435" s="2" t="str">
        <f aca="false">IF(2キー同時!$B$97="","",2キー同時!$B$97)</f>
        <v>i</v>
      </c>
      <c r="E435" s="2" t="str">
        <f aca="false">""</f>
        <v/>
      </c>
      <c r="F435" s="2" t="str">
        <f aca="false">""</f>
        <v/>
      </c>
      <c r="G435" s="2" t="str">
        <f aca="false">IF(2キー同時!$B$97="","",IF(2キー同時!AI105="","",SUBSTITUTE(SUBSTITUTE(2キー同時!AI105," ",""),"　","")))</f>
        <v/>
      </c>
      <c r="H435" s="2" t="str">
        <f aca="false">IF($G435="","",2キー同時!$B$97)</f>
        <v/>
      </c>
      <c r="I435" s="2" t="str">
        <f aca="false">IF($G435="","","m")</f>
        <v/>
      </c>
      <c r="J435" s="2" t="str">
        <f aca="false">""</f>
        <v/>
      </c>
      <c r="K435" s="2" t="str">
        <f aca="false">""</f>
        <v/>
      </c>
      <c r="L435" s="2" t="str">
        <f aca="false">IF($G435="","","同時")</f>
        <v/>
      </c>
      <c r="M435" s="2" t="str">
        <f aca="false">IF($G435="","",IF(ISNA(MATCH($G435,個別指定!$A:$A,0)),"行なし",""))</f>
        <v/>
      </c>
      <c r="N435" s="2" t="str">
        <f aca="false">IF($G435="","",IF(COUNTIF($G$2:$G$4460,$G435)&gt;1,"重複",""))</f>
        <v/>
      </c>
    </row>
    <row r="436" customFormat="false" ht="16.5" hidden="false" customHeight="true" outlineLevel="0" collapsed="false">
      <c r="A436" s="2" t="s">
        <v>385</v>
      </c>
      <c r="B436" s="2" t="s">
        <v>393</v>
      </c>
      <c r="C436" s="2" t="s">
        <v>42</v>
      </c>
      <c r="D436" s="2" t="str">
        <f aca="false">IF(2キー同時!$B$97="","",2キー同時!$B$97)</f>
        <v>i</v>
      </c>
      <c r="E436" s="2" t="str">
        <f aca="false">""</f>
        <v/>
      </c>
      <c r="F436" s="2" t="str">
        <f aca="false">""</f>
        <v/>
      </c>
      <c r="G436" s="2" t="str">
        <f aca="false">IF(2キー同時!$B$97="","",IF(2キー同時!AM105="","",SUBSTITUTE(SUBSTITUTE(2キー同時!AM105," ",""),"　","")))</f>
        <v/>
      </c>
      <c r="H436" s="2" t="str">
        <f aca="false">IF($G436="","",2キー同時!$B$97)</f>
        <v/>
      </c>
      <c r="I436" s="2" t="str">
        <f aca="false">IF($G436="","",",")</f>
        <v/>
      </c>
      <c r="J436" s="2" t="str">
        <f aca="false">""</f>
        <v/>
      </c>
      <c r="K436" s="2" t="str">
        <f aca="false">""</f>
        <v/>
      </c>
      <c r="L436" s="2" t="str">
        <f aca="false">IF($G436="","","同時")</f>
        <v/>
      </c>
      <c r="M436" s="2" t="str">
        <f aca="false">IF($G436="","",IF(ISNA(MATCH($G436,個別指定!$A:$A,0)),"行なし",""))</f>
        <v/>
      </c>
      <c r="N436" s="2" t="str">
        <f aca="false">IF($G436="","",IF(COUNTIF($G$2:$G$4460,$G436)&gt;1,"重複",""))</f>
        <v/>
      </c>
    </row>
    <row r="437" customFormat="false" ht="16.5" hidden="false" customHeight="true" outlineLevel="0" collapsed="false">
      <c r="A437" s="2" t="s">
        <v>385</v>
      </c>
      <c r="B437" s="2" t="s">
        <v>393</v>
      </c>
      <c r="C437" s="2" t="s">
        <v>43</v>
      </c>
      <c r="D437" s="2" t="str">
        <f aca="false">IF(2キー同時!$B$97="","",2キー同時!$B$97)</f>
        <v>i</v>
      </c>
      <c r="E437" s="2" t="str">
        <f aca="false">""</f>
        <v/>
      </c>
      <c r="F437" s="2" t="str">
        <f aca="false">""</f>
        <v/>
      </c>
      <c r="G437" s="2" t="str">
        <f aca="false">IF(2キー同時!$B$97="","",IF(2キー同時!AQ105="","",SUBSTITUTE(SUBSTITUTE(2キー同時!AQ105," ",""),"　","")))</f>
        <v/>
      </c>
      <c r="H437" s="2" t="str">
        <f aca="false">IF($G437="","",2キー同時!$B$97)</f>
        <v/>
      </c>
      <c r="I437" s="2" t="str">
        <f aca="false">IF($G437="","",".")</f>
        <v/>
      </c>
      <c r="J437" s="2" t="str">
        <f aca="false">""</f>
        <v/>
      </c>
      <c r="K437" s="2" t="str">
        <f aca="false">""</f>
        <v/>
      </c>
      <c r="L437" s="2" t="str">
        <f aca="false">IF($G437="","","同時")</f>
        <v/>
      </c>
      <c r="M437" s="2" t="str">
        <f aca="false">IF($G437="","",IF(ISNA(MATCH($G437,個別指定!$A:$A,0)),"行なし",""))</f>
        <v/>
      </c>
      <c r="N437" s="2" t="str">
        <f aca="false">IF($G437="","",IF(COUNTIF($G$2:$G$4460,$G437)&gt;1,"重複",""))</f>
        <v/>
      </c>
    </row>
    <row r="438" customFormat="false" ht="16.5" hidden="false" customHeight="true" outlineLevel="0" collapsed="false">
      <c r="A438" s="2" t="s">
        <v>385</v>
      </c>
      <c r="B438" s="2" t="s">
        <v>393</v>
      </c>
      <c r="C438" s="2" t="s">
        <v>44</v>
      </c>
      <c r="D438" s="2" t="str">
        <f aca="false">IF(2キー同時!$B$97="","",2キー同時!$B$97)</f>
        <v>i</v>
      </c>
      <c r="E438" s="2" t="str">
        <f aca="false">""</f>
        <v/>
      </c>
      <c r="F438" s="2" t="str">
        <f aca="false">""</f>
        <v/>
      </c>
      <c r="G438" s="2" t="str">
        <f aca="false">IF(2キー同時!$B$97="","",IF(2キー同時!AU105="","",SUBSTITUTE(SUBSTITUTE(2キー同時!AU105," ",""),"　","")))</f>
        <v/>
      </c>
      <c r="H438" s="2" t="str">
        <f aca="false">IF($G438="","",2キー同時!$B$97)</f>
        <v/>
      </c>
      <c r="I438" s="2" t="str">
        <f aca="false">IF($G438="","","/")</f>
        <v/>
      </c>
      <c r="J438" s="2" t="str">
        <f aca="false">""</f>
        <v/>
      </c>
      <c r="K438" s="2" t="str">
        <f aca="false">""</f>
        <v/>
      </c>
      <c r="L438" s="2" t="str">
        <f aca="false">IF($G438="","","同時")</f>
        <v/>
      </c>
      <c r="M438" s="2" t="str">
        <f aca="false">IF($G438="","",IF(ISNA(MATCH($G438,個別指定!$A:$A,0)),"行なし",""))</f>
        <v/>
      </c>
      <c r="N438" s="2" t="str">
        <f aca="false">IF($G438="","",IF(COUNTIF($G$2:$G$4460,$G438)&gt;1,"重複",""))</f>
        <v/>
      </c>
    </row>
    <row r="439" customFormat="false" ht="16.5" hidden="false" customHeight="true" outlineLevel="0" collapsed="false">
      <c r="A439" s="2" t="s">
        <v>385</v>
      </c>
      <c r="B439" s="2" t="s">
        <v>393</v>
      </c>
      <c r="C439" s="2" t="s">
        <v>48</v>
      </c>
      <c r="D439" s="2" t="str">
        <f aca="false">IF(2キー同時!$B$97="","",2キー同時!$B$97)</f>
        <v>i</v>
      </c>
      <c r="E439" s="2" t="str">
        <f aca="false">""</f>
        <v/>
      </c>
      <c r="F439" s="2" t="str">
        <f aca="false">""</f>
        <v/>
      </c>
      <c r="G439" s="2" t="str">
        <f aca="false">IF(2キー同時!$B$97="","",IF(2キー同時!P107="","",SUBSTITUTE(SUBSTITUTE(2キー同時!P107," ",""),"　","")))</f>
        <v/>
      </c>
      <c r="H439" s="2" t="str">
        <f aca="false">IF($G439="","",2キー同時!$B$97)</f>
        <v/>
      </c>
      <c r="I439" s="2" t="str">
        <f aca="false">IF($G439="","","muhenkan")</f>
        <v/>
      </c>
      <c r="J439" s="2" t="str">
        <f aca="false">""</f>
        <v/>
      </c>
      <c r="K439" s="2" t="str">
        <f aca="false">""</f>
        <v/>
      </c>
      <c r="L439" s="2" t="str">
        <f aca="false">IF($G439="","","同時")</f>
        <v/>
      </c>
      <c r="M439" s="2" t="str">
        <f aca="false">IF($G439="","",IF(ISNA(MATCH($G439,個別指定!$A:$A,0)),"行なし",""))</f>
        <v/>
      </c>
      <c r="N439" s="2" t="str">
        <f aca="false">IF($G439="","",IF(COUNTIF($G$2:$G$4460,$G439)&gt;1,"重複",""))</f>
        <v/>
      </c>
    </row>
    <row r="440" customFormat="false" ht="16.5" hidden="false" customHeight="true" outlineLevel="0" collapsed="false">
      <c r="A440" s="2" t="s">
        <v>385</v>
      </c>
      <c r="B440" s="2" t="s">
        <v>393</v>
      </c>
      <c r="C440" s="2" t="s">
        <v>50</v>
      </c>
      <c r="D440" s="2" t="str">
        <f aca="false">IF(2キー同時!$B$97="","",2キー同時!$B$97)</f>
        <v>i</v>
      </c>
      <c r="E440" s="2" t="str">
        <f aca="false">""</f>
        <v/>
      </c>
      <c r="F440" s="2" t="str">
        <f aca="false">""</f>
        <v/>
      </c>
      <c r="G440" s="2" t="str">
        <f aca="false">IF(2キー同時!$B$97="","",IF(2キー同時!T107="","",SUBSTITUTE(SUBSTITUTE(2キー同時!T107," ",""),"　","")))</f>
        <v/>
      </c>
      <c r="H440" s="2" t="str">
        <f aca="false">IF($G440="","",2キー同時!$B$97)</f>
        <v/>
      </c>
      <c r="I440" s="2" t="str">
        <f aca="false">IF($G440="","","space")</f>
        <v/>
      </c>
      <c r="J440" s="2" t="str">
        <f aca="false">""</f>
        <v/>
      </c>
      <c r="K440" s="2" t="str">
        <f aca="false">""</f>
        <v/>
      </c>
      <c r="L440" s="2" t="str">
        <f aca="false">IF($G440="","","同時")</f>
        <v/>
      </c>
      <c r="M440" s="2" t="str">
        <f aca="false">IF($G440="","",IF(ISNA(MATCH($G440,個別指定!$A:$A,0)),"行なし",""))</f>
        <v/>
      </c>
      <c r="N440" s="2" t="str">
        <f aca="false">IF($G440="","",IF(COUNTIF($G$2:$G$4460,$G440)&gt;1,"重複",""))</f>
        <v/>
      </c>
    </row>
    <row r="441" customFormat="false" ht="16.5" hidden="false" customHeight="true" outlineLevel="0" collapsed="false">
      <c r="A441" s="2" t="s">
        <v>385</v>
      </c>
      <c r="B441" s="2" t="s">
        <v>393</v>
      </c>
      <c r="C441" s="2" t="s">
        <v>45</v>
      </c>
      <c r="D441" s="2" t="str">
        <f aca="false">IF(2キー同時!$B$97="","",2キー同時!$B$97)</f>
        <v>i</v>
      </c>
      <c r="E441" s="2" t="str">
        <f aca="false">""</f>
        <v/>
      </c>
      <c r="F441" s="2" t="str">
        <f aca="false">""</f>
        <v/>
      </c>
      <c r="G441" s="2" t="str">
        <f aca="false">IF(2キー同時!$B$97="","",IF(2キー同時!AL107="","",SUBSTITUTE(SUBSTITUTE(2キー同時!AL107," ",""),"　","")))</f>
        <v/>
      </c>
      <c r="H441" s="2" t="str">
        <f aca="false">IF($G441="","",2キー同時!$B$97)</f>
        <v/>
      </c>
      <c r="I441" s="2" t="str">
        <f aca="false">IF($G441="","","henkan")</f>
        <v/>
      </c>
      <c r="J441" s="2" t="str">
        <f aca="false">""</f>
        <v/>
      </c>
      <c r="K441" s="2" t="str">
        <f aca="false">""</f>
        <v/>
      </c>
      <c r="L441" s="2" t="str">
        <f aca="false">IF($G441="","","同時")</f>
        <v/>
      </c>
      <c r="M441" s="2" t="str">
        <f aca="false">IF($G441="","",IF(ISNA(MATCH($G441,個別指定!$A:$A,0)),"行なし",""))</f>
        <v/>
      </c>
      <c r="N441" s="2" t="str">
        <f aca="false">IF($G441="","",IF(COUNTIF($G$2:$G$4460,$G441)&gt;1,"重複",""))</f>
        <v/>
      </c>
    </row>
    <row r="442" customFormat="false" ht="16.5" hidden="false" customHeight="true" outlineLevel="0" collapsed="false">
      <c r="A442" s="2" t="s">
        <v>385</v>
      </c>
      <c r="B442" s="2" t="s">
        <v>393</v>
      </c>
      <c r="C442" s="2" t="s">
        <v>46</v>
      </c>
      <c r="D442" s="2" t="str">
        <f aca="false">IF(2キー同時!$B$97="","",2キー同時!$B$97)</f>
        <v>i</v>
      </c>
      <c r="E442" s="2" t="str">
        <f aca="false">""</f>
        <v/>
      </c>
      <c r="F442" s="2" t="str">
        <f aca="false">""</f>
        <v/>
      </c>
      <c r="G442" s="2" t="str">
        <f aca="false">IF(2キー同時!$B$97="","",IF(2キー同時!AP107="","",SUBSTITUTE(SUBSTITUTE(2キー同時!AP107," ",""),"　","")))</f>
        <v/>
      </c>
      <c r="H442" s="2" t="str">
        <f aca="false">IF($G442="","",2キー同時!$B$97)</f>
        <v/>
      </c>
      <c r="I442" s="2" t="str">
        <f aca="false">IF($G442="","","kana")</f>
        <v/>
      </c>
      <c r="J442" s="2" t="str">
        <f aca="false">""</f>
        <v/>
      </c>
      <c r="K442" s="2" t="str">
        <f aca="false">""</f>
        <v/>
      </c>
      <c r="L442" s="2" t="str">
        <f aca="false">IF($G442="","","同時")</f>
        <v/>
      </c>
      <c r="M442" s="2" t="str">
        <f aca="false">IF($G442="","",IF(ISNA(MATCH($G442,個別指定!$A:$A,0)),"行なし",""))</f>
        <v/>
      </c>
      <c r="N442" s="2" t="str">
        <f aca="false">IF($G442="","",IF(COUNTIF($G$2:$G$4460,$G442)&gt;1,"重複",""))</f>
        <v/>
      </c>
    </row>
    <row r="443" customFormat="false" ht="16.5" hidden="false" customHeight="true" outlineLevel="0" collapsed="false">
      <c r="A443" s="2" t="s">
        <v>385</v>
      </c>
      <c r="B443" s="2" t="s">
        <v>394</v>
      </c>
      <c r="C443" s="2" t="s">
        <v>0</v>
      </c>
      <c r="D443" s="2" t="str">
        <f aca="false">IF(2キー同時!$B$110="","",2キー同時!$B$110)</f>
        <v>q</v>
      </c>
      <c r="E443" s="2" t="str">
        <f aca="false">""</f>
        <v/>
      </c>
      <c r="F443" s="2" t="str">
        <f aca="false">""</f>
        <v/>
      </c>
      <c r="G443" s="2" t="str">
        <f aca="false">IF(2キー同時!$B$110="","",IF(2キー同時!F112="","",SUBSTITUTE(SUBSTITUTE(2キー同時!F112," ",""),"　","")))</f>
        <v/>
      </c>
      <c r="H443" s="2" t="str">
        <f aca="false">IF($G443="","",2キー同時!$B$110)</f>
        <v/>
      </c>
      <c r="I443" s="2" t="str">
        <f aca="false">IF($G443="","","1")</f>
        <v/>
      </c>
      <c r="J443" s="2" t="str">
        <f aca="false">""</f>
        <v/>
      </c>
      <c r="K443" s="2" t="str">
        <f aca="false">""</f>
        <v/>
      </c>
      <c r="L443" s="2" t="str">
        <f aca="false">IF($G443="","","同時")</f>
        <v/>
      </c>
      <c r="M443" s="2" t="str">
        <f aca="false">IF($G443="","",IF(ISNA(MATCH($G443,個別指定!$A:$A,0)),"行なし",""))</f>
        <v/>
      </c>
      <c r="N443" s="2" t="str">
        <f aca="false">IF($G443="","",IF(COUNTIF($G$2:$G$4460,$G443)&gt;1,"重複",""))</f>
        <v/>
      </c>
    </row>
    <row r="444" customFormat="false" ht="16.5" hidden="false" customHeight="true" outlineLevel="0" collapsed="false">
      <c r="A444" s="2" t="s">
        <v>385</v>
      </c>
      <c r="B444" s="2" t="s">
        <v>394</v>
      </c>
      <c r="C444" s="2" t="s">
        <v>1</v>
      </c>
      <c r="D444" s="2" t="str">
        <f aca="false">IF(2キー同時!$B$110="","",2キー同時!$B$110)</f>
        <v>q</v>
      </c>
      <c r="E444" s="2" t="str">
        <f aca="false">""</f>
        <v/>
      </c>
      <c r="F444" s="2" t="str">
        <f aca="false">""</f>
        <v/>
      </c>
      <c r="G444" s="2" t="str">
        <f aca="false">IF(2キー同時!$B$110="","",IF(2キー同時!J112="","",SUBSTITUTE(SUBSTITUTE(2キー同時!J112," ",""),"　","")))</f>
        <v/>
      </c>
      <c r="H444" s="2" t="str">
        <f aca="false">IF($G444="","",2キー同時!$B$110)</f>
        <v/>
      </c>
      <c r="I444" s="2" t="str">
        <f aca="false">IF($G444="","","2")</f>
        <v/>
      </c>
      <c r="J444" s="2" t="str">
        <f aca="false">""</f>
        <v/>
      </c>
      <c r="K444" s="2" t="str">
        <f aca="false">""</f>
        <v/>
      </c>
      <c r="L444" s="2" t="str">
        <f aca="false">IF($G444="","","同時")</f>
        <v/>
      </c>
      <c r="M444" s="2" t="str">
        <f aca="false">IF($G444="","",IF(ISNA(MATCH($G444,個別指定!$A:$A,0)),"行なし",""))</f>
        <v/>
      </c>
      <c r="N444" s="2" t="str">
        <f aca="false">IF($G444="","",IF(COUNTIF($G$2:$G$4460,$G444)&gt;1,"重複",""))</f>
        <v/>
      </c>
    </row>
    <row r="445" customFormat="false" ht="16.5" hidden="false" customHeight="true" outlineLevel="0" collapsed="false">
      <c r="A445" s="2" t="s">
        <v>385</v>
      </c>
      <c r="B445" s="2" t="s">
        <v>394</v>
      </c>
      <c r="C445" s="2" t="s">
        <v>2</v>
      </c>
      <c r="D445" s="2" t="str">
        <f aca="false">IF(2キー同時!$B$110="","",2キー同時!$B$110)</f>
        <v>q</v>
      </c>
      <c r="E445" s="2" t="str">
        <f aca="false">""</f>
        <v/>
      </c>
      <c r="F445" s="2" t="str">
        <f aca="false">""</f>
        <v/>
      </c>
      <c r="G445" s="2" t="str">
        <f aca="false">IF(2キー同時!$B$110="","",IF(2キー同時!N112="","",SUBSTITUTE(SUBSTITUTE(2キー同時!N112," ",""),"　","")))</f>
        <v/>
      </c>
      <c r="H445" s="2" t="str">
        <f aca="false">IF($G445="","",2キー同時!$B$110)</f>
        <v/>
      </c>
      <c r="I445" s="2" t="str">
        <f aca="false">IF($G445="","","3")</f>
        <v/>
      </c>
      <c r="J445" s="2" t="str">
        <f aca="false">""</f>
        <v/>
      </c>
      <c r="K445" s="2" t="str">
        <f aca="false">""</f>
        <v/>
      </c>
      <c r="L445" s="2" t="str">
        <f aca="false">IF($G445="","","同時")</f>
        <v/>
      </c>
      <c r="M445" s="2" t="str">
        <f aca="false">IF($G445="","",IF(ISNA(MATCH($G445,個別指定!$A:$A,0)),"行なし",""))</f>
        <v/>
      </c>
      <c r="N445" s="2" t="str">
        <f aca="false">IF($G445="","",IF(COUNTIF($G$2:$G$4460,$G445)&gt;1,"重複",""))</f>
        <v/>
      </c>
    </row>
    <row r="446" customFormat="false" ht="16.5" hidden="false" customHeight="true" outlineLevel="0" collapsed="false">
      <c r="A446" s="2" t="s">
        <v>385</v>
      </c>
      <c r="B446" s="2" t="s">
        <v>394</v>
      </c>
      <c r="C446" s="2" t="s">
        <v>3</v>
      </c>
      <c r="D446" s="2" t="str">
        <f aca="false">IF(2キー同時!$B$110="","",2キー同時!$B$110)</f>
        <v>q</v>
      </c>
      <c r="E446" s="2" t="str">
        <f aca="false">""</f>
        <v/>
      </c>
      <c r="F446" s="2" t="str">
        <f aca="false">""</f>
        <v/>
      </c>
      <c r="G446" s="2" t="str">
        <f aca="false">IF(2キー同時!$B$110="","",IF(2キー同時!R112="","",SUBSTITUTE(SUBSTITUTE(2キー同時!R112," ",""),"　","")))</f>
        <v/>
      </c>
      <c r="H446" s="2" t="str">
        <f aca="false">IF($G446="","",2キー同時!$B$110)</f>
        <v/>
      </c>
      <c r="I446" s="2" t="str">
        <f aca="false">IF($G446="","","4")</f>
        <v/>
      </c>
      <c r="J446" s="2" t="str">
        <f aca="false">""</f>
        <v/>
      </c>
      <c r="K446" s="2" t="str">
        <f aca="false">""</f>
        <v/>
      </c>
      <c r="L446" s="2" t="str">
        <f aca="false">IF($G446="","","同時")</f>
        <v/>
      </c>
      <c r="M446" s="2" t="str">
        <f aca="false">IF($G446="","",IF(ISNA(MATCH($G446,個別指定!$A:$A,0)),"行なし",""))</f>
        <v/>
      </c>
      <c r="N446" s="2" t="str">
        <f aca="false">IF($G446="","",IF(COUNTIF($G$2:$G$4460,$G446)&gt;1,"重複",""))</f>
        <v/>
      </c>
    </row>
    <row r="447" customFormat="false" ht="16.5" hidden="false" customHeight="true" outlineLevel="0" collapsed="false">
      <c r="A447" s="2" t="s">
        <v>385</v>
      </c>
      <c r="B447" s="2" t="s">
        <v>394</v>
      </c>
      <c r="C447" s="2" t="s">
        <v>4</v>
      </c>
      <c r="D447" s="2" t="str">
        <f aca="false">IF(2キー同時!$B$110="","",2キー同時!$B$110)</f>
        <v>q</v>
      </c>
      <c r="E447" s="2" t="str">
        <f aca="false">""</f>
        <v/>
      </c>
      <c r="F447" s="2" t="str">
        <f aca="false">""</f>
        <v/>
      </c>
      <c r="G447" s="2" t="str">
        <f aca="false">IF(2キー同時!$B$110="","",IF(2キー同時!V112="","",SUBSTITUTE(SUBSTITUTE(2キー同時!V112," ",""),"　","")))</f>
        <v/>
      </c>
      <c r="H447" s="2" t="str">
        <f aca="false">IF($G447="","",2キー同時!$B$110)</f>
        <v/>
      </c>
      <c r="I447" s="2" t="str">
        <f aca="false">IF($G447="","","5")</f>
        <v/>
      </c>
      <c r="J447" s="2" t="str">
        <f aca="false">""</f>
        <v/>
      </c>
      <c r="K447" s="2" t="str">
        <f aca="false">""</f>
        <v/>
      </c>
      <c r="L447" s="2" t="str">
        <f aca="false">IF($G447="","","同時")</f>
        <v/>
      </c>
      <c r="M447" s="2" t="str">
        <f aca="false">IF($G447="","",IF(ISNA(MATCH($G447,個別指定!$A:$A,0)),"行なし",""))</f>
        <v/>
      </c>
      <c r="N447" s="2" t="str">
        <f aca="false">IF($G447="","",IF(COUNTIF($G$2:$G$4460,$G447)&gt;1,"重複",""))</f>
        <v/>
      </c>
    </row>
    <row r="448" customFormat="false" ht="16.5" hidden="false" customHeight="true" outlineLevel="0" collapsed="false">
      <c r="A448" s="2" t="s">
        <v>385</v>
      </c>
      <c r="B448" s="2" t="s">
        <v>394</v>
      </c>
      <c r="C448" s="2" t="s">
        <v>5</v>
      </c>
      <c r="D448" s="2" t="str">
        <f aca="false">IF(2キー同時!$B$110="","",2キー同時!$B$110)</f>
        <v>q</v>
      </c>
      <c r="E448" s="2" t="str">
        <f aca="false">""</f>
        <v/>
      </c>
      <c r="F448" s="2" t="str">
        <f aca="false">""</f>
        <v/>
      </c>
      <c r="G448" s="2" t="str">
        <f aca="false">IF(2キー同時!$B$110="","",IF(2キー同時!Z112="","",SUBSTITUTE(SUBSTITUTE(2キー同時!Z112," ",""),"　","")))</f>
        <v/>
      </c>
      <c r="H448" s="2" t="str">
        <f aca="false">IF($G448="","",2キー同時!$B$110)</f>
        <v/>
      </c>
      <c r="I448" s="2" t="str">
        <f aca="false">IF($G448="","","6")</f>
        <v/>
      </c>
      <c r="J448" s="2" t="str">
        <f aca="false">""</f>
        <v/>
      </c>
      <c r="K448" s="2" t="str">
        <f aca="false">""</f>
        <v/>
      </c>
      <c r="L448" s="2" t="str">
        <f aca="false">IF($G448="","","同時")</f>
        <v/>
      </c>
      <c r="M448" s="2" t="str">
        <f aca="false">IF($G448="","",IF(ISNA(MATCH($G448,個別指定!$A:$A,0)),"行なし",""))</f>
        <v/>
      </c>
      <c r="N448" s="2" t="str">
        <f aca="false">IF($G448="","",IF(COUNTIF($G$2:$G$4460,$G448)&gt;1,"重複",""))</f>
        <v/>
      </c>
    </row>
    <row r="449" customFormat="false" ht="16.5" hidden="false" customHeight="true" outlineLevel="0" collapsed="false">
      <c r="A449" s="2" t="s">
        <v>385</v>
      </c>
      <c r="B449" s="2" t="s">
        <v>394</v>
      </c>
      <c r="C449" s="2" t="s">
        <v>6</v>
      </c>
      <c r="D449" s="2" t="str">
        <f aca="false">IF(2キー同時!$B$110="","",2キー同時!$B$110)</f>
        <v>q</v>
      </c>
      <c r="E449" s="2" t="str">
        <f aca="false">""</f>
        <v/>
      </c>
      <c r="F449" s="2" t="str">
        <f aca="false">""</f>
        <v/>
      </c>
      <c r="G449" s="2" t="str">
        <f aca="false">IF(2キー同時!$B$110="","",IF(2キー同時!AD112="","",SUBSTITUTE(SUBSTITUTE(2キー同時!AD112," ",""),"　","")))</f>
        <v/>
      </c>
      <c r="H449" s="2" t="str">
        <f aca="false">IF($G449="","",2キー同時!$B$110)</f>
        <v/>
      </c>
      <c r="I449" s="2" t="str">
        <f aca="false">IF($G449="","","7")</f>
        <v/>
      </c>
      <c r="J449" s="2" t="str">
        <f aca="false">""</f>
        <v/>
      </c>
      <c r="K449" s="2" t="str">
        <f aca="false">""</f>
        <v/>
      </c>
      <c r="L449" s="2" t="str">
        <f aca="false">IF($G449="","","同時")</f>
        <v/>
      </c>
      <c r="M449" s="2" t="str">
        <f aca="false">IF($G449="","",IF(ISNA(MATCH($G449,個別指定!$A:$A,0)),"行なし",""))</f>
        <v/>
      </c>
      <c r="N449" s="2" t="str">
        <f aca="false">IF($G449="","",IF(COUNTIF($G$2:$G$4460,$G449)&gt;1,"重複",""))</f>
        <v/>
      </c>
    </row>
    <row r="450" customFormat="false" ht="16.5" hidden="false" customHeight="true" outlineLevel="0" collapsed="false">
      <c r="A450" s="2" t="s">
        <v>385</v>
      </c>
      <c r="B450" s="2" t="s">
        <v>394</v>
      </c>
      <c r="C450" s="2" t="s">
        <v>7</v>
      </c>
      <c r="D450" s="2" t="str">
        <f aca="false">IF(2キー同時!$B$110="","",2キー同時!$B$110)</f>
        <v>q</v>
      </c>
      <c r="E450" s="2" t="str">
        <f aca="false">""</f>
        <v/>
      </c>
      <c r="F450" s="2" t="str">
        <f aca="false">""</f>
        <v/>
      </c>
      <c r="G450" s="2" t="str">
        <f aca="false">IF(2キー同時!$B$110="","",IF(2キー同時!AH112="","",SUBSTITUTE(SUBSTITUTE(2キー同時!AH112," ",""),"　","")))</f>
        <v/>
      </c>
      <c r="H450" s="2" t="str">
        <f aca="false">IF($G450="","",2キー同時!$B$110)</f>
        <v/>
      </c>
      <c r="I450" s="2" t="str">
        <f aca="false">IF($G450="","","8")</f>
        <v/>
      </c>
      <c r="J450" s="2" t="str">
        <f aca="false">""</f>
        <v/>
      </c>
      <c r="K450" s="2" t="str">
        <f aca="false">""</f>
        <v/>
      </c>
      <c r="L450" s="2" t="str">
        <f aca="false">IF($G450="","","同時")</f>
        <v/>
      </c>
      <c r="M450" s="2" t="str">
        <f aca="false">IF($G450="","",IF(ISNA(MATCH($G450,個別指定!$A:$A,0)),"行なし",""))</f>
        <v/>
      </c>
      <c r="N450" s="2" t="str">
        <f aca="false">IF($G450="","",IF(COUNTIF($G$2:$G$4460,$G450)&gt;1,"重複",""))</f>
        <v/>
      </c>
    </row>
    <row r="451" customFormat="false" ht="16.5" hidden="false" customHeight="true" outlineLevel="0" collapsed="false">
      <c r="A451" s="2" t="s">
        <v>385</v>
      </c>
      <c r="B451" s="2" t="s">
        <v>394</v>
      </c>
      <c r="C451" s="2" t="s">
        <v>8</v>
      </c>
      <c r="D451" s="2" t="str">
        <f aca="false">IF(2キー同時!$B$110="","",2キー同時!$B$110)</f>
        <v>q</v>
      </c>
      <c r="E451" s="2" t="str">
        <f aca="false">""</f>
        <v/>
      </c>
      <c r="F451" s="2" t="str">
        <f aca="false">""</f>
        <v/>
      </c>
      <c r="G451" s="2" t="str">
        <f aca="false">IF(2キー同時!$B$110="","",IF(2キー同時!AL112="","",SUBSTITUTE(SUBSTITUTE(2キー同時!AL112," ",""),"　","")))</f>
        <v/>
      </c>
      <c r="H451" s="2" t="str">
        <f aca="false">IF($G451="","",2キー同時!$B$110)</f>
        <v/>
      </c>
      <c r="I451" s="2" t="str">
        <f aca="false">IF($G451="","","9")</f>
        <v/>
      </c>
      <c r="J451" s="2" t="str">
        <f aca="false">""</f>
        <v/>
      </c>
      <c r="K451" s="2" t="str">
        <f aca="false">""</f>
        <v/>
      </c>
      <c r="L451" s="2" t="str">
        <f aca="false">IF($G451="","","同時")</f>
        <v/>
      </c>
      <c r="M451" s="2" t="str">
        <f aca="false">IF($G451="","",IF(ISNA(MATCH($G451,個別指定!$A:$A,0)),"行なし",""))</f>
        <v/>
      </c>
      <c r="N451" s="2" t="str">
        <f aca="false">IF($G451="","",IF(COUNTIF($G$2:$G$4460,$G451)&gt;1,"重複",""))</f>
        <v/>
      </c>
    </row>
    <row r="452" customFormat="false" ht="16.5" hidden="false" customHeight="true" outlineLevel="0" collapsed="false">
      <c r="A452" s="2" t="s">
        <v>385</v>
      </c>
      <c r="B452" s="2" t="s">
        <v>394</v>
      </c>
      <c r="C452" s="2" t="s">
        <v>9</v>
      </c>
      <c r="D452" s="2" t="str">
        <f aca="false">IF(2キー同時!$B$110="","",2キー同時!$B$110)</f>
        <v>q</v>
      </c>
      <c r="E452" s="2" t="str">
        <f aca="false">""</f>
        <v/>
      </c>
      <c r="F452" s="2" t="str">
        <f aca="false">""</f>
        <v/>
      </c>
      <c r="G452" s="2" t="str">
        <f aca="false">IF(2キー同時!$B$110="","",IF(2キー同時!AP112="","",SUBSTITUTE(SUBSTITUTE(2キー同時!AP112," ",""),"　","")))</f>
        <v/>
      </c>
      <c r="H452" s="2" t="str">
        <f aca="false">IF($G452="","",2キー同時!$B$110)</f>
        <v/>
      </c>
      <c r="I452" s="2" t="str">
        <f aca="false">IF($G452="","","0")</f>
        <v/>
      </c>
      <c r="J452" s="2" t="str">
        <f aca="false">""</f>
        <v/>
      </c>
      <c r="K452" s="2" t="str">
        <f aca="false">""</f>
        <v/>
      </c>
      <c r="L452" s="2" t="str">
        <f aca="false">IF($G452="","","同時")</f>
        <v/>
      </c>
      <c r="M452" s="2" t="str">
        <f aca="false">IF($G452="","",IF(ISNA(MATCH($G452,個別指定!$A:$A,0)),"行なし",""))</f>
        <v/>
      </c>
      <c r="N452" s="2" t="str">
        <f aca="false">IF($G452="","",IF(COUNTIF($G$2:$G$4460,$G452)&gt;1,"重複",""))</f>
        <v/>
      </c>
    </row>
    <row r="453" customFormat="false" ht="16.5" hidden="false" customHeight="true" outlineLevel="0" collapsed="false">
      <c r="A453" s="2" t="s">
        <v>385</v>
      </c>
      <c r="B453" s="2" t="s">
        <v>394</v>
      </c>
      <c r="C453" s="2" t="s">
        <v>10</v>
      </c>
      <c r="D453" s="2" t="str">
        <f aca="false">IF(2キー同時!$B$110="","",2キー同時!$B$110)</f>
        <v>q</v>
      </c>
      <c r="E453" s="2" t="str">
        <f aca="false">""</f>
        <v/>
      </c>
      <c r="F453" s="2" t="str">
        <f aca="false">""</f>
        <v/>
      </c>
      <c r="G453" s="2" t="str">
        <f aca="false">IF(2キー同時!$B$110="","",IF(2キー同時!AT112="","",SUBSTITUTE(SUBSTITUTE(2キー同時!AT112," ",""),"　","")))</f>
        <v/>
      </c>
      <c r="H453" s="2" t="str">
        <f aca="false">IF($G453="","",2キー同時!$B$110)</f>
        <v/>
      </c>
      <c r="I453" s="2" t="str">
        <f aca="false">IF($G453="","","-")</f>
        <v/>
      </c>
      <c r="J453" s="2" t="str">
        <f aca="false">""</f>
        <v/>
      </c>
      <c r="K453" s="2" t="str">
        <f aca="false">""</f>
        <v/>
      </c>
      <c r="L453" s="2" t="str">
        <f aca="false">IF($G453="","","同時")</f>
        <v/>
      </c>
      <c r="M453" s="2" t="str">
        <f aca="false">IF($G453="","",IF(ISNA(MATCH($G453,個別指定!$A:$A,0)),"行なし",""))</f>
        <v/>
      </c>
      <c r="N453" s="2" t="str">
        <f aca="false">IF($G453="","",IF(COUNTIF($G$2:$G$4460,$G453)&gt;1,"重複",""))</f>
        <v/>
      </c>
    </row>
    <row r="454" customFormat="false" ht="16.5" hidden="false" customHeight="true" outlineLevel="0" collapsed="false">
      <c r="A454" s="2" t="s">
        <v>385</v>
      </c>
      <c r="B454" s="2" t="s">
        <v>394</v>
      </c>
      <c r="C454" s="2" t="s">
        <v>11</v>
      </c>
      <c r="D454" s="2" t="str">
        <f aca="false">IF(2キー同時!$B$110="","",2キー同時!$B$110)</f>
        <v>q</v>
      </c>
      <c r="E454" s="2" t="str">
        <f aca="false">""</f>
        <v/>
      </c>
      <c r="F454" s="2" t="str">
        <f aca="false">""</f>
        <v/>
      </c>
      <c r="G454" s="2" t="str">
        <f aca="false">IF(2キー同時!$B$110="","",IF(2キー同時!AX112="","",SUBSTITUTE(SUBSTITUTE(2キー同時!AX112," ",""),"　","")))</f>
        <v/>
      </c>
      <c r="H454" s="2" t="str">
        <f aca="false">IF($G454="","",2キー同時!$B$110)</f>
        <v/>
      </c>
      <c r="I454" s="2" t="str">
        <f aca="false">IF($G454="","","=")</f>
        <v/>
      </c>
      <c r="J454" s="2" t="str">
        <f aca="false">""</f>
        <v/>
      </c>
      <c r="K454" s="2" t="str">
        <f aca="false">""</f>
        <v/>
      </c>
      <c r="L454" s="2" t="str">
        <f aca="false">IF($G454="","","同時")</f>
        <v/>
      </c>
      <c r="M454" s="2" t="str">
        <f aca="false">IF($G454="","",IF(ISNA(MATCH($G454,個別指定!$A:$A,0)),"行なし",""))</f>
        <v/>
      </c>
      <c r="N454" s="2" t="str">
        <f aca="false">IF($G454="","",IF(COUNTIF($G$2:$G$4460,$G454)&gt;1,"重複",""))</f>
        <v/>
      </c>
    </row>
    <row r="455" customFormat="false" ht="16.5" hidden="false" customHeight="true" outlineLevel="0" collapsed="false">
      <c r="A455" s="2" t="s">
        <v>385</v>
      </c>
      <c r="B455" s="2" t="s">
        <v>394</v>
      </c>
      <c r="C455" s="2" t="s">
        <v>12</v>
      </c>
      <c r="D455" s="2" t="str">
        <f aca="false">IF(2キー同時!$B$110="","",2キー同時!$B$110)</f>
        <v>q</v>
      </c>
      <c r="E455" s="2" t="str">
        <f aca="false">""</f>
        <v/>
      </c>
      <c r="F455" s="2" t="str">
        <f aca="false">""</f>
        <v/>
      </c>
      <c r="G455" s="2" t="str">
        <f aca="false">IF(2キー同時!$B$110="","",IF(2キー同時!H114="","",SUBSTITUTE(SUBSTITUTE(2キー同時!H114," ",""),"　","")))</f>
        <v/>
      </c>
      <c r="H455" s="2" t="str">
        <f aca="false">IF($G455="","",2キー同時!$B$110)</f>
        <v/>
      </c>
      <c r="I455" s="2" t="str">
        <f aca="false">IF($G455="","","q")</f>
        <v/>
      </c>
      <c r="J455" s="2" t="str">
        <f aca="false">""</f>
        <v/>
      </c>
      <c r="K455" s="2" t="str">
        <f aca="false">""</f>
        <v/>
      </c>
      <c r="L455" s="2" t="str">
        <f aca="false">IF($G455="","","同時")</f>
        <v/>
      </c>
      <c r="M455" s="2" t="str">
        <f aca="false">IF($G455="","",IF(ISNA(MATCH($G455,個別指定!$A:$A,0)),"行なし",""))</f>
        <v/>
      </c>
      <c r="N455" s="2" t="str">
        <f aca="false">IF($G455="","",IF(COUNTIF($G$2:$G$4460,$G455)&gt;1,"重複",""))</f>
        <v/>
      </c>
    </row>
    <row r="456" customFormat="false" ht="16.5" hidden="false" customHeight="true" outlineLevel="0" collapsed="false">
      <c r="A456" s="2" t="s">
        <v>385</v>
      </c>
      <c r="B456" s="2" t="s">
        <v>394</v>
      </c>
      <c r="C456" s="2" t="s">
        <v>13</v>
      </c>
      <c r="D456" s="2" t="str">
        <f aca="false">IF(2キー同時!$B$110="","",2キー同時!$B$110)</f>
        <v>q</v>
      </c>
      <c r="E456" s="2" t="str">
        <f aca="false">""</f>
        <v/>
      </c>
      <c r="F456" s="2" t="str">
        <f aca="false">""</f>
        <v/>
      </c>
      <c r="G456" s="2" t="str">
        <f aca="false">IF(2キー同時!$B$110="","",IF(2キー同時!L114="","",SUBSTITUTE(SUBSTITUTE(2キー同時!L114," ",""),"　","")))</f>
        <v/>
      </c>
      <c r="H456" s="2" t="str">
        <f aca="false">IF($G456="","",2キー同時!$B$110)</f>
        <v/>
      </c>
      <c r="I456" s="2" t="str">
        <f aca="false">IF($G456="","","w")</f>
        <v/>
      </c>
      <c r="J456" s="2" t="str">
        <f aca="false">""</f>
        <v/>
      </c>
      <c r="K456" s="2" t="str">
        <f aca="false">""</f>
        <v/>
      </c>
      <c r="L456" s="2" t="str">
        <f aca="false">IF($G456="","","同時")</f>
        <v/>
      </c>
      <c r="M456" s="2" t="str">
        <f aca="false">IF($G456="","",IF(ISNA(MATCH($G456,個別指定!$A:$A,0)),"行なし",""))</f>
        <v/>
      </c>
      <c r="N456" s="2" t="str">
        <f aca="false">IF($G456="","",IF(COUNTIF($G$2:$G$4460,$G456)&gt;1,"重複",""))</f>
        <v/>
      </c>
    </row>
    <row r="457" customFormat="false" ht="16.5" hidden="false" customHeight="true" outlineLevel="0" collapsed="false">
      <c r="A457" s="2" t="s">
        <v>385</v>
      </c>
      <c r="B457" s="2" t="s">
        <v>394</v>
      </c>
      <c r="C457" s="2" t="s">
        <v>14</v>
      </c>
      <c r="D457" s="2" t="str">
        <f aca="false">IF(2キー同時!$B$110="","",2キー同時!$B$110)</f>
        <v>q</v>
      </c>
      <c r="E457" s="2" t="str">
        <f aca="false">""</f>
        <v/>
      </c>
      <c r="F457" s="2" t="str">
        <f aca="false">""</f>
        <v/>
      </c>
      <c r="G457" s="2" t="str">
        <f aca="false">IF(2キー同時!$B$110="","",IF(2キー同時!P114="","",SUBSTITUTE(SUBSTITUTE(2キー同時!P114," ",""),"　","")))</f>
        <v/>
      </c>
      <c r="H457" s="2" t="str">
        <f aca="false">IF($G457="","",2キー同時!$B$110)</f>
        <v/>
      </c>
      <c r="I457" s="2" t="str">
        <f aca="false">IF($G457="","","e")</f>
        <v/>
      </c>
      <c r="J457" s="2" t="str">
        <f aca="false">""</f>
        <v/>
      </c>
      <c r="K457" s="2" t="str">
        <f aca="false">""</f>
        <v/>
      </c>
      <c r="L457" s="2" t="str">
        <f aca="false">IF($G457="","","同時")</f>
        <v/>
      </c>
      <c r="M457" s="2" t="str">
        <f aca="false">IF($G457="","",IF(ISNA(MATCH($G457,個別指定!$A:$A,0)),"行なし",""))</f>
        <v/>
      </c>
      <c r="N457" s="2" t="str">
        <f aca="false">IF($G457="","",IF(COUNTIF($G$2:$G$4460,$G457)&gt;1,"重複",""))</f>
        <v/>
      </c>
    </row>
    <row r="458" customFormat="false" ht="16.5" hidden="false" customHeight="true" outlineLevel="0" collapsed="false">
      <c r="A458" s="2" t="s">
        <v>385</v>
      </c>
      <c r="B458" s="2" t="s">
        <v>394</v>
      </c>
      <c r="C458" s="2" t="s">
        <v>15</v>
      </c>
      <c r="D458" s="2" t="str">
        <f aca="false">IF(2キー同時!$B$110="","",2キー同時!$B$110)</f>
        <v>q</v>
      </c>
      <c r="E458" s="2" t="str">
        <f aca="false">""</f>
        <v/>
      </c>
      <c r="F458" s="2" t="str">
        <f aca="false">""</f>
        <v/>
      </c>
      <c r="G458" s="2" t="str">
        <f aca="false">IF(2キー同時!$B$110="","",IF(2キー同時!T114="","",SUBSTITUTE(SUBSTITUTE(2キー同時!T114," ",""),"　","")))</f>
        <v/>
      </c>
      <c r="H458" s="2" t="str">
        <f aca="false">IF($G458="","",2キー同時!$B$110)</f>
        <v/>
      </c>
      <c r="I458" s="2" t="str">
        <f aca="false">IF($G458="","","r")</f>
        <v/>
      </c>
      <c r="J458" s="2" t="str">
        <f aca="false">""</f>
        <v/>
      </c>
      <c r="K458" s="2" t="str">
        <f aca="false">""</f>
        <v/>
      </c>
      <c r="L458" s="2" t="str">
        <f aca="false">IF($G458="","","同時")</f>
        <v/>
      </c>
      <c r="M458" s="2" t="str">
        <f aca="false">IF($G458="","",IF(ISNA(MATCH($G458,個別指定!$A:$A,0)),"行なし",""))</f>
        <v/>
      </c>
      <c r="N458" s="2" t="str">
        <f aca="false">IF($G458="","",IF(COUNTIF($G$2:$G$4460,$G458)&gt;1,"重複",""))</f>
        <v/>
      </c>
    </row>
    <row r="459" customFormat="false" ht="16.5" hidden="false" customHeight="true" outlineLevel="0" collapsed="false">
      <c r="A459" s="2" t="s">
        <v>385</v>
      </c>
      <c r="B459" s="2" t="s">
        <v>394</v>
      </c>
      <c r="C459" s="2" t="s">
        <v>16</v>
      </c>
      <c r="D459" s="2" t="str">
        <f aca="false">IF(2キー同時!$B$110="","",2キー同時!$B$110)</f>
        <v>q</v>
      </c>
      <c r="E459" s="2" t="str">
        <f aca="false">""</f>
        <v/>
      </c>
      <c r="F459" s="2" t="str">
        <f aca="false">""</f>
        <v/>
      </c>
      <c r="G459" s="2" t="str">
        <f aca="false">IF(2キー同時!$B$110="","",IF(2キー同時!X114="","",SUBSTITUTE(SUBSTITUTE(2キー同時!X114," ",""),"　","")))</f>
        <v/>
      </c>
      <c r="H459" s="2" t="str">
        <f aca="false">IF($G459="","",2キー同時!$B$110)</f>
        <v/>
      </c>
      <c r="I459" s="2" t="str">
        <f aca="false">IF($G459="","","t")</f>
        <v/>
      </c>
      <c r="J459" s="2" t="str">
        <f aca="false">""</f>
        <v/>
      </c>
      <c r="K459" s="2" t="str">
        <f aca="false">""</f>
        <v/>
      </c>
      <c r="L459" s="2" t="str">
        <f aca="false">IF($G459="","","同時")</f>
        <v/>
      </c>
      <c r="M459" s="2" t="str">
        <f aca="false">IF($G459="","",IF(ISNA(MATCH($G459,個別指定!$A:$A,0)),"行なし",""))</f>
        <v/>
      </c>
      <c r="N459" s="2" t="str">
        <f aca="false">IF($G459="","",IF(COUNTIF($G$2:$G$4460,$G459)&gt;1,"重複",""))</f>
        <v/>
      </c>
    </row>
    <row r="460" customFormat="false" ht="16.5" hidden="false" customHeight="true" outlineLevel="0" collapsed="false">
      <c r="A460" s="2" t="s">
        <v>385</v>
      </c>
      <c r="B460" s="2" t="s">
        <v>394</v>
      </c>
      <c r="C460" s="2" t="s">
        <v>17</v>
      </c>
      <c r="D460" s="2" t="str">
        <f aca="false">IF(2キー同時!$B$110="","",2キー同時!$B$110)</f>
        <v>q</v>
      </c>
      <c r="E460" s="2" t="str">
        <f aca="false">""</f>
        <v/>
      </c>
      <c r="F460" s="2" t="str">
        <f aca="false">""</f>
        <v/>
      </c>
      <c r="G460" s="2" t="str">
        <f aca="false">IF(2キー同時!$B$110="","",IF(2キー同時!AB114="","",SUBSTITUTE(SUBSTITUTE(2キー同時!AB114," ",""),"　","")))</f>
        <v/>
      </c>
      <c r="H460" s="2" t="str">
        <f aca="false">IF($G460="","",2キー同時!$B$110)</f>
        <v/>
      </c>
      <c r="I460" s="2" t="str">
        <f aca="false">IF($G460="","","y")</f>
        <v/>
      </c>
      <c r="J460" s="2" t="str">
        <f aca="false">""</f>
        <v/>
      </c>
      <c r="K460" s="2" t="str">
        <f aca="false">""</f>
        <v/>
      </c>
      <c r="L460" s="2" t="str">
        <f aca="false">IF($G460="","","同時")</f>
        <v/>
      </c>
      <c r="M460" s="2" t="str">
        <f aca="false">IF($G460="","",IF(ISNA(MATCH($G460,個別指定!$A:$A,0)),"行なし",""))</f>
        <v/>
      </c>
      <c r="N460" s="2" t="str">
        <f aca="false">IF($G460="","",IF(COUNTIF($G$2:$G$4460,$G460)&gt;1,"重複",""))</f>
        <v/>
      </c>
    </row>
    <row r="461" customFormat="false" ht="16.5" hidden="false" customHeight="true" outlineLevel="0" collapsed="false">
      <c r="A461" s="2" t="s">
        <v>385</v>
      </c>
      <c r="B461" s="2" t="s">
        <v>394</v>
      </c>
      <c r="C461" s="2" t="s">
        <v>18</v>
      </c>
      <c r="D461" s="2" t="str">
        <f aca="false">IF(2キー同時!$B$110="","",2キー同時!$B$110)</f>
        <v>q</v>
      </c>
      <c r="E461" s="2" t="str">
        <f aca="false">""</f>
        <v/>
      </c>
      <c r="F461" s="2" t="str">
        <f aca="false">""</f>
        <v/>
      </c>
      <c r="G461" s="2" t="str">
        <f aca="false">IF(2キー同時!$B$110="","",IF(2キー同時!AF114="","",SUBSTITUTE(SUBSTITUTE(2キー同時!AF114," ",""),"　","")))</f>
        <v/>
      </c>
      <c r="H461" s="2" t="str">
        <f aca="false">IF($G461="","",2キー同時!$B$110)</f>
        <v/>
      </c>
      <c r="I461" s="2" t="str">
        <f aca="false">IF($G461="","","u")</f>
        <v/>
      </c>
      <c r="J461" s="2" t="str">
        <f aca="false">""</f>
        <v/>
      </c>
      <c r="K461" s="2" t="str">
        <f aca="false">""</f>
        <v/>
      </c>
      <c r="L461" s="2" t="str">
        <f aca="false">IF($G461="","","同時")</f>
        <v/>
      </c>
      <c r="M461" s="2" t="str">
        <f aca="false">IF($G461="","",IF(ISNA(MATCH($G461,個別指定!$A:$A,0)),"行なし",""))</f>
        <v/>
      </c>
      <c r="N461" s="2" t="str">
        <f aca="false">IF($G461="","",IF(COUNTIF($G$2:$G$4460,$G461)&gt;1,"重複",""))</f>
        <v/>
      </c>
    </row>
    <row r="462" customFormat="false" ht="16.5" hidden="false" customHeight="true" outlineLevel="0" collapsed="false">
      <c r="A462" s="2" t="s">
        <v>385</v>
      </c>
      <c r="B462" s="2" t="s">
        <v>394</v>
      </c>
      <c r="C462" s="2" t="s">
        <v>19</v>
      </c>
      <c r="D462" s="2" t="str">
        <f aca="false">IF(2キー同時!$B$110="","",2キー同時!$B$110)</f>
        <v>q</v>
      </c>
      <c r="E462" s="2" t="str">
        <f aca="false">""</f>
        <v/>
      </c>
      <c r="F462" s="2" t="str">
        <f aca="false">""</f>
        <v/>
      </c>
      <c r="G462" s="2" t="str">
        <f aca="false">IF(2キー同時!$B$110="","",IF(2キー同時!AJ114="","",SUBSTITUTE(SUBSTITUTE(2キー同時!AJ114," ",""),"　","")))</f>
        <v>ょ</v>
      </c>
      <c r="H462" s="2" t="str">
        <f aca="false">IF($G462="","",2キー同時!$B$110)</f>
        <v>q</v>
      </c>
      <c r="I462" s="2" t="str">
        <f aca="false">IF($G462="","","i")</f>
        <v>i</v>
      </c>
      <c r="J462" s="2" t="str">
        <f aca="false">""</f>
        <v/>
      </c>
      <c r="K462" s="2" t="str">
        <f aca="false">""</f>
        <v/>
      </c>
      <c r="L462" s="2" t="str">
        <f aca="false">IF($G462="","","同時")</f>
        <v>同時</v>
      </c>
      <c r="M462" s="2" t="str">
        <f aca="false">IF($G462="","",IF(ISNA(MATCH($G462,個別指定!$A:$A,0)),"行なし",""))</f>
        <v/>
      </c>
      <c r="N462" s="2" t="str">
        <f aca="false">IF($G462="","",IF(COUNTIF($G$2:$G$4460,$G462)&gt;1,"重複",""))</f>
        <v/>
      </c>
    </row>
    <row r="463" customFormat="false" ht="16.5" hidden="false" customHeight="true" outlineLevel="0" collapsed="false">
      <c r="A463" s="2" t="s">
        <v>385</v>
      </c>
      <c r="B463" s="2" t="s">
        <v>394</v>
      </c>
      <c r="C463" s="2" t="s">
        <v>20</v>
      </c>
      <c r="D463" s="2" t="str">
        <f aca="false">IF(2キー同時!$B$110="","",2キー同時!$B$110)</f>
        <v>q</v>
      </c>
      <c r="E463" s="2" t="str">
        <f aca="false">""</f>
        <v/>
      </c>
      <c r="F463" s="2" t="str">
        <f aca="false">""</f>
        <v/>
      </c>
      <c r="G463" s="2" t="str">
        <f aca="false">IF(2キー同時!$B$110="","",IF(2キー同時!AN114="","",SUBSTITUTE(SUBSTITUTE(2キー同時!AN114," ",""),"　","")))</f>
        <v>ぇ</v>
      </c>
      <c r="H463" s="2" t="str">
        <f aca="false">IF($G463="","",2キー同時!$B$110)</f>
        <v>q</v>
      </c>
      <c r="I463" s="2" t="str">
        <f aca="false">IF($G463="","","o")</f>
        <v>o</v>
      </c>
      <c r="J463" s="2" t="str">
        <f aca="false">""</f>
        <v/>
      </c>
      <c r="K463" s="2" t="str">
        <f aca="false">""</f>
        <v/>
      </c>
      <c r="L463" s="2" t="str">
        <f aca="false">IF($G463="","","同時")</f>
        <v>同時</v>
      </c>
      <c r="M463" s="2" t="str">
        <f aca="false">IF($G463="","",IF(ISNA(MATCH($G463,個別指定!$A:$A,0)),"行なし",""))</f>
        <v/>
      </c>
      <c r="N463" s="2" t="str">
        <f aca="false">IF($G463="","",IF(COUNTIF($G$2:$G$4460,$G463)&gt;1,"重複",""))</f>
        <v/>
      </c>
    </row>
    <row r="464" customFormat="false" ht="16.5" hidden="false" customHeight="true" outlineLevel="0" collapsed="false">
      <c r="A464" s="2" t="s">
        <v>385</v>
      </c>
      <c r="B464" s="2" t="s">
        <v>394</v>
      </c>
      <c r="C464" s="2" t="s">
        <v>21</v>
      </c>
      <c r="D464" s="2" t="str">
        <f aca="false">IF(2キー同時!$B$110="","",2キー同時!$B$110)</f>
        <v>q</v>
      </c>
      <c r="E464" s="2" t="str">
        <f aca="false">""</f>
        <v/>
      </c>
      <c r="F464" s="2" t="str">
        <f aca="false">""</f>
        <v/>
      </c>
      <c r="G464" s="2" t="str">
        <f aca="false">IF(2キー同時!$B$110="","",IF(2キー同時!AR114="","",SUBSTITUTE(SUBSTITUTE(2キー同時!AR114," ",""),"　","")))</f>
        <v>ゅ</v>
      </c>
      <c r="H464" s="2" t="str">
        <f aca="false">IF($G464="","",2キー同時!$B$110)</f>
        <v>q</v>
      </c>
      <c r="I464" s="2" t="str">
        <f aca="false">IF($G464="","","p")</f>
        <v>p</v>
      </c>
      <c r="J464" s="2" t="str">
        <f aca="false">""</f>
        <v/>
      </c>
      <c r="K464" s="2" t="str">
        <f aca="false">""</f>
        <v/>
      </c>
      <c r="L464" s="2" t="str">
        <f aca="false">IF($G464="","","同時")</f>
        <v>同時</v>
      </c>
      <c r="M464" s="2" t="str">
        <f aca="false">IF($G464="","",IF(ISNA(MATCH($G464,個別指定!$A:$A,0)),"行なし",""))</f>
        <v/>
      </c>
      <c r="N464" s="2" t="str">
        <f aca="false">IF($G464="","",IF(COUNTIF($G$2:$G$4460,$G464)&gt;1,"重複",""))</f>
        <v/>
      </c>
    </row>
    <row r="465" customFormat="false" ht="16.5" hidden="false" customHeight="true" outlineLevel="0" collapsed="false">
      <c r="A465" s="2" t="s">
        <v>385</v>
      </c>
      <c r="B465" s="2" t="s">
        <v>394</v>
      </c>
      <c r="C465" s="2" t="s">
        <v>22</v>
      </c>
      <c r="D465" s="2" t="str">
        <f aca="false">IF(2キー同時!$B$110="","",2キー同時!$B$110)</f>
        <v>q</v>
      </c>
      <c r="E465" s="2" t="str">
        <f aca="false">""</f>
        <v/>
      </c>
      <c r="F465" s="2" t="str">
        <f aca="false">""</f>
        <v/>
      </c>
      <c r="G465" s="2" t="str">
        <f aca="false">IF(2キー同時!$B$110="","",IF(2キー同時!AV114="","",SUBSTITUTE(SUBSTITUTE(2キー同時!AV114," ",""),"　","")))</f>
        <v/>
      </c>
      <c r="H465" s="2" t="str">
        <f aca="false">IF($G465="","",2キー同時!$B$110)</f>
        <v/>
      </c>
      <c r="I465" s="2" t="str">
        <f aca="false">IF($G465="","","[")</f>
        <v/>
      </c>
      <c r="J465" s="2" t="str">
        <f aca="false">""</f>
        <v/>
      </c>
      <c r="K465" s="2" t="str">
        <f aca="false">""</f>
        <v/>
      </c>
      <c r="L465" s="2" t="str">
        <f aca="false">IF($G465="","","同時")</f>
        <v/>
      </c>
      <c r="M465" s="2" t="str">
        <f aca="false">IF($G465="","",IF(ISNA(MATCH($G465,個別指定!$A:$A,0)),"行なし",""))</f>
        <v/>
      </c>
      <c r="N465" s="2" t="str">
        <f aca="false">IF($G465="","",IF(COUNTIF($G$2:$G$4460,$G465)&gt;1,"重複",""))</f>
        <v/>
      </c>
    </row>
    <row r="466" customFormat="false" ht="16.5" hidden="false" customHeight="true" outlineLevel="0" collapsed="false">
      <c r="A466" s="2" t="s">
        <v>385</v>
      </c>
      <c r="B466" s="2" t="s">
        <v>394</v>
      </c>
      <c r="C466" s="2" t="s">
        <v>23</v>
      </c>
      <c r="D466" s="2" t="str">
        <f aca="false">IF(2キー同時!$B$110="","",2キー同時!$B$110)</f>
        <v>q</v>
      </c>
      <c r="E466" s="2" t="str">
        <f aca="false">""</f>
        <v/>
      </c>
      <c r="F466" s="2" t="str">
        <f aca="false">""</f>
        <v/>
      </c>
      <c r="G466" s="2" t="str">
        <f aca="false">IF(2キー同時!$B$110="","",IF(2キー同時!AZ114="","",SUBSTITUTE(SUBSTITUTE(2キー同時!AZ114," ",""),"　","")))</f>
        <v/>
      </c>
      <c r="H466" s="2" t="str">
        <f aca="false">IF($G466="","",2キー同時!$B$110)</f>
        <v/>
      </c>
      <c r="I466" s="2" t="str">
        <f aca="false">IF($G466="","","]")</f>
        <v/>
      </c>
      <c r="J466" s="2" t="str">
        <f aca="false">""</f>
        <v/>
      </c>
      <c r="K466" s="2" t="str">
        <f aca="false">""</f>
        <v/>
      </c>
      <c r="L466" s="2" t="str">
        <f aca="false">IF($G466="","","同時")</f>
        <v/>
      </c>
      <c r="M466" s="2" t="str">
        <f aca="false">IF($G466="","",IF(ISNA(MATCH($G466,個別指定!$A:$A,0)),"行なし",""))</f>
        <v/>
      </c>
      <c r="N466" s="2" t="str">
        <f aca="false">IF($G466="","",IF(COUNTIF($G$2:$G$4460,$G466)&gt;1,"重複",""))</f>
        <v/>
      </c>
    </row>
    <row r="467" customFormat="false" ht="16.5" hidden="false" customHeight="true" outlineLevel="0" collapsed="false">
      <c r="A467" s="2" t="s">
        <v>385</v>
      </c>
      <c r="B467" s="2" t="s">
        <v>394</v>
      </c>
      <c r="C467" s="2" t="s">
        <v>24</v>
      </c>
      <c r="D467" s="2" t="str">
        <f aca="false">IF(2キー同時!$B$110="","",2キー同時!$B$110)</f>
        <v>q</v>
      </c>
      <c r="E467" s="2" t="str">
        <f aca="false">""</f>
        <v/>
      </c>
      <c r="F467" s="2" t="str">
        <f aca="false">""</f>
        <v/>
      </c>
      <c r="G467" s="2" t="str">
        <f aca="false">IF(2キー同時!$B$110="","",IF(2キー同時!I116="","",SUBSTITUTE(SUBSTITUTE(2キー同時!I116," ",""),"　","")))</f>
        <v/>
      </c>
      <c r="H467" s="2" t="str">
        <f aca="false">IF($G467="","",2キー同時!$B$110)</f>
        <v/>
      </c>
      <c r="I467" s="2" t="str">
        <f aca="false">IF($G467="","","a")</f>
        <v/>
      </c>
      <c r="J467" s="2" t="str">
        <f aca="false">""</f>
        <v/>
      </c>
      <c r="K467" s="2" t="str">
        <f aca="false">""</f>
        <v/>
      </c>
      <c r="L467" s="2" t="str">
        <f aca="false">IF($G467="","","同時")</f>
        <v/>
      </c>
      <c r="M467" s="2" t="str">
        <f aca="false">IF($G467="","",IF(ISNA(MATCH($G467,個別指定!$A:$A,0)),"行なし",""))</f>
        <v/>
      </c>
      <c r="N467" s="2" t="str">
        <f aca="false">IF($G467="","",IF(COUNTIF($G$2:$G$4460,$G467)&gt;1,"重複",""))</f>
        <v/>
      </c>
    </row>
    <row r="468" customFormat="false" ht="16.5" hidden="false" customHeight="true" outlineLevel="0" collapsed="false">
      <c r="A468" s="2" t="s">
        <v>385</v>
      </c>
      <c r="B468" s="2" t="s">
        <v>394</v>
      </c>
      <c r="C468" s="2" t="s">
        <v>25</v>
      </c>
      <c r="D468" s="2" t="str">
        <f aca="false">IF(2キー同時!$B$110="","",2キー同時!$B$110)</f>
        <v>q</v>
      </c>
      <c r="E468" s="2" t="str">
        <f aca="false">""</f>
        <v/>
      </c>
      <c r="F468" s="2" t="str">
        <f aca="false">""</f>
        <v/>
      </c>
      <c r="G468" s="2" t="str">
        <f aca="false">IF(2キー同時!$B$110="","",IF(2キー同時!M116="","",SUBSTITUTE(SUBSTITUTE(2キー同時!M116," ",""),"　","")))</f>
        <v/>
      </c>
      <c r="H468" s="2" t="str">
        <f aca="false">IF($G468="","",2キー同時!$B$110)</f>
        <v/>
      </c>
      <c r="I468" s="2" t="str">
        <f aca="false">IF($G468="","","s")</f>
        <v/>
      </c>
      <c r="J468" s="2" t="str">
        <f aca="false">""</f>
        <v/>
      </c>
      <c r="K468" s="2" t="str">
        <f aca="false">""</f>
        <v/>
      </c>
      <c r="L468" s="2" t="str">
        <f aca="false">IF($G468="","","同時")</f>
        <v/>
      </c>
      <c r="M468" s="2" t="str">
        <f aca="false">IF($G468="","",IF(ISNA(MATCH($G468,個別指定!$A:$A,0)),"行なし",""))</f>
        <v/>
      </c>
      <c r="N468" s="2" t="str">
        <f aca="false">IF($G468="","",IF(COUNTIF($G$2:$G$4460,$G468)&gt;1,"重複",""))</f>
        <v/>
      </c>
    </row>
    <row r="469" customFormat="false" ht="16.5" hidden="false" customHeight="true" outlineLevel="0" collapsed="false">
      <c r="A469" s="2" t="s">
        <v>385</v>
      </c>
      <c r="B469" s="2" t="s">
        <v>394</v>
      </c>
      <c r="C469" s="2" t="s">
        <v>26</v>
      </c>
      <c r="D469" s="2" t="str">
        <f aca="false">IF(2キー同時!$B$110="","",2キー同時!$B$110)</f>
        <v>q</v>
      </c>
      <c r="E469" s="2" t="str">
        <f aca="false">""</f>
        <v/>
      </c>
      <c r="F469" s="2" t="str">
        <f aca="false">""</f>
        <v/>
      </c>
      <c r="G469" s="2" t="str">
        <f aca="false">IF(2キー同時!$B$110="","",IF(2キー同時!Q116="","",SUBSTITUTE(SUBSTITUTE(2キー同時!Q116," ",""),"　","")))</f>
        <v/>
      </c>
      <c r="H469" s="2" t="str">
        <f aca="false">IF($G469="","",2キー同時!$B$110)</f>
        <v/>
      </c>
      <c r="I469" s="2" t="str">
        <f aca="false">IF($G469="","","d")</f>
        <v/>
      </c>
      <c r="J469" s="2" t="str">
        <f aca="false">""</f>
        <v/>
      </c>
      <c r="K469" s="2" t="str">
        <f aca="false">""</f>
        <v/>
      </c>
      <c r="L469" s="2" t="str">
        <f aca="false">IF($G469="","","同時")</f>
        <v/>
      </c>
      <c r="M469" s="2" t="str">
        <f aca="false">IF($G469="","",IF(ISNA(MATCH($G469,個別指定!$A:$A,0)),"行なし",""))</f>
        <v/>
      </c>
      <c r="N469" s="2" t="str">
        <f aca="false">IF($G469="","",IF(COUNTIF($G$2:$G$4460,$G469)&gt;1,"重複",""))</f>
        <v/>
      </c>
    </row>
    <row r="470" customFormat="false" ht="16.5" hidden="false" customHeight="true" outlineLevel="0" collapsed="false">
      <c r="A470" s="2" t="s">
        <v>385</v>
      </c>
      <c r="B470" s="2" t="s">
        <v>394</v>
      </c>
      <c r="C470" s="2" t="s">
        <v>27</v>
      </c>
      <c r="D470" s="2" t="str">
        <f aca="false">IF(2キー同時!$B$110="","",2キー同時!$B$110)</f>
        <v>q</v>
      </c>
      <c r="E470" s="2" t="str">
        <f aca="false">""</f>
        <v/>
      </c>
      <c r="F470" s="2" t="str">
        <f aca="false">""</f>
        <v/>
      </c>
      <c r="G470" s="2" t="str">
        <f aca="false">IF(2キー同時!$B$110="","",IF(2キー同時!U116="","",SUBSTITUTE(SUBSTITUTE(2キー同時!U116," ",""),"　","")))</f>
        <v/>
      </c>
      <c r="H470" s="2" t="str">
        <f aca="false">IF($G470="","",2キー同時!$B$110)</f>
        <v/>
      </c>
      <c r="I470" s="2" t="str">
        <f aca="false">IF($G470="","","f")</f>
        <v/>
      </c>
      <c r="J470" s="2" t="str">
        <f aca="false">""</f>
        <v/>
      </c>
      <c r="K470" s="2" t="str">
        <f aca="false">""</f>
        <v/>
      </c>
      <c r="L470" s="2" t="str">
        <f aca="false">IF($G470="","","同時")</f>
        <v/>
      </c>
      <c r="M470" s="2" t="str">
        <f aca="false">IF($G470="","",IF(ISNA(MATCH($G470,個別指定!$A:$A,0)),"行なし",""))</f>
        <v/>
      </c>
      <c r="N470" s="2" t="str">
        <f aca="false">IF($G470="","",IF(COUNTIF($G$2:$G$4460,$G470)&gt;1,"重複",""))</f>
        <v/>
      </c>
    </row>
    <row r="471" customFormat="false" ht="16.5" hidden="false" customHeight="true" outlineLevel="0" collapsed="false">
      <c r="A471" s="2" t="s">
        <v>385</v>
      </c>
      <c r="B471" s="2" t="s">
        <v>394</v>
      </c>
      <c r="C471" s="2" t="s">
        <v>28</v>
      </c>
      <c r="D471" s="2" t="str">
        <f aca="false">IF(2キー同時!$B$110="","",2キー同時!$B$110)</f>
        <v>q</v>
      </c>
      <c r="E471" s="2" t="str">
        <f aca="false">""</f>
        <v/>
      </c>
      <c r="F471" s="2" t="str">
        <f aca="false">""</f>
        <v/>
      </c>
      <c r="G471" s="2" t="str">
        <f aca="false">IF(2キー同時!$B$110="","",IF(2キー同時!Y116="","",SUBSTITUTE(SUBSTITUTE(2キー同時!Y116," ",""),"　","")))</f>
        <v/>
      </c>
      <c r="H471" s="2" t="str">
        <f aca="false">IF($G471="","",2キー同時!$B$110)</f>
        <v/>
      </c>
      <c r="I471" s="2" t="str">
        <f aca="false">IF($G471="","","g")</f>
        <v/>
      </c>
      <c r="J471" s="2" t="str">
        <f aca="false">""</f>
        <v/>
      </c>
      <c r="K471" s="2" t="str">
        <f aca="false">""</f>
        <v/>
      </c>
      <c r="L471" s="2" t="str">
        <f aca="false">IF($G471="","","同時")</f>
        <v/>
      </c>
      <c r="M471" s="2" t="str">
        <f aca="false">IF($G471="","",IF(ISNA(MATCH($G471,個別指定!$A:$A,0)),"行なし",""))</f>
        <v/>
      </c>
      <c r="N471" s="2" t="str">
        <f aca="false">IF($G471="","",IF(COUNTIF($G$2:$G$4460,$G471)&gt;1,"重複",""))</f>
        <v/>
      </c>
    </row>
    <row r="472" customFormat="false" ht="16.5" hidden="false" customHeight="true" outlineLevel="0" collapsed="false">
      <c r="A472" s="2" t="s">
        <v>385</v>
      </c>
      <c r="B472" s="2" t="s">
        <v>394</v>
      </c>
      <c r="C472" s="2" t="s">
        <v>29</v>
      </c>
      <c r="D472" s="2" t="str">
        <f aca="false">IF(2キー同時!$B$110="","",2キー同時!$B$110)</f>
        <v>q</v>
      </c>
      <c r="E472" s="2" t="str">
        <f aca="false">""</f>
        <v/>
      </c>
      <c r="F472" s="2" t="str">
        <f aca="false">""</f>
        <v/>
      </c>
      <c r="G472" s="2" t="str">
        <f aca="false">IF(2キー同時!$B$110="","",IF(2キー同時!AC116="","",SUBSTITUTE(SUBSTITUTE(2キー同時!AC116," ",""),"　","")))</f>
        <v>ゃ</v>
      </c>
      <c r="H472" s="2" t="str">
        <f aca="false">IF($G472="","",2キー同時!$B$110)</f>
        <v>q</v>
      </c>
      <c r="I472" s="2" t="str">
        <f aca="false">IF($G472="","","h")</f>
        <v>h</v>
      </c>
      <c r="J472" s="2" t="str">
        <f aca="false">""</f>
        <v/>
      </c>
      <c r="K472" s="2" t="str">
        <f aca="false">""</f>
        <v/>
      </c>
      <c r="L472" s="2" t="str">
        <f aca="false">IF($G472="","","同時")</f>
        <v>同時</v>
      </c>
      <c r="M472" s="2" t="str">
        <f aca="false">IF($G472="","",IF(ISNA(MATCH($G472,個別指定!$A:$A,0)),"行なし",""))</f>
        <v/>
      </c>
      <c r="N472" s="2" t="str">
        <f aca="false">IF($G472="","",IF(COUNTIF($G$2:$G$4460,$G472)&gt;1,"重複",""))</f>
        <v/>
      </c>
    </row>
    <row r="473" customFormat="false" ht="16.5" hidden="false" customHeight="true" outlineLevel="0" collapsed="false">
      <c r="A473" s="2" t="s">
        <v>385</v>
      </c>
      <c r="B473" s="2" t="s">
        <v>394</v>
      </c>
      <c r="C473" s="2" t="s">
        <v>30</v>
      </c>
      <c r="D473" s="2" t="str">
        <f aca="false">IF(2キー同時!$B$110="","",2キー同時!$B$110)</f>
        <v>q</v>
      </c>
      <c r="E473" s="2" t="str">
        <f aca="false">""</f>
        <v/>
      </c>
      <c r="F473" s="2" t="str">
        <f aca="false">""</f>
        <v/>
      </c>
      <c r="G473" s="2" t="str">
        <f aca="false">IF(2キー同時!$B$110="","",IF(2キー同時!AG116="","",SUBSTITUTE(SUBSTITUTE(2キー同時!AG116," ",""),"　","")))</f>
        <v>ぁ</v>
      </c>
      <c r="H473" s="2" t="str">
        <f aca="false">IF($G473="","",2キー同時!$B$110)</f>
        <v>q</v>
      </c>
      <c r="I473" s="2" t="str">
        <f aca="false">IF($G473="","","j")</f>
        <v>j</v>
      </c>
      <c r="J473" s="2" t="str">
        <f aca="false">""</f>
        <v/>
      </c>
      <c r="K473" s="2" t="str">
        <f aca="false">""</f>
        <v/>
      </c>
      <c r="L473" s="2" t="str">
        <f aca="false">IF($G473="","","同時")</f>
        <v>同時</v>
      </c>
      <c r="M473" s="2" t="str">
        <f aca="false">IF($G473="","",IF(ISNA(MATCH($G473,個別指定!$A:$A,0)),"行なし",""))</f>
        <v/>
      </c>
      <c r="N473" s="2" t="str">
        <f aca="false">IF($G473="","",IF(COUNTIF($G$2:$G$4460,$G473)&gt;1,"重複",""))</f>
        <v/>
      </c>
    </row>
    <row r="474" customFormat="false" ht="16.5" hidden="false" customHeight="true" outlineLevel="0" collapsed="false">
      <c r="A474" s="2" t="s">
        <v>385</v>
      </c>
      <c r="B474" s="2" t="s">
        <v>394</v>
      </c>
      <c r="C474" s="2" t="s">
        <v>31</v>
      </c>
      <c r="D474" s="2" t="str">
        <f aca="false">IF(2キー同時!$B$110="","",2キー同時!$B$110)</f>
        <v>q</v>
      </c>
      <c r="E474" s="2" t="str">
        <f aca="false">""</f>
        <v/>
      </c>
      <c r="F474" s="2" t="str">
        <f aca="false">""</f>
        <v/>
      </c>
      <c r="G474" s="2" t="str">
        <f aca="false">IF(2キー同時!$B$110="","",IF(2キー同時!AK116="","",SUBSTITUTE(SUBSTITUTE(2キー同時!AK116," ",""),"　","")))</f>
        <v>ぃ</v>
      </c>
      <c r="H474" s="2" t="str">
        <f aca="false">IF($G474="","",2キー同時!$B$110)</f>
        <v>q</v>
      </c>
      <c r="I474" s="2" t="str">
        <f aca="false">IF($G474="","","k")</f>
        <v>k</v>
      </c>
      <c r="J474" s="2" t="str">
        <f aca="false">""</f>
        <v/>
      </c>
      <c r="K474" s="2" t="str">
        <f aca="false">""</f>
        <v/>
      </c>
      <c r="L474" s="2" t="str">
        <f aca="false">IF($G474="","","同時")</f>
        <v>同時</v>
      </c>
      <c r="M474" s="2" t="str">
        <f aca="false">IF($G474="","",IF(ISNA(MATCH($G474,個別指定!$A:$A,0)),"行なし",""))</f>
        <v/>
      </c>
      <c r="N474" s="2" t="str">
        <f aca="false">IF($G474="","",IF(COUNTIF($G$2:$G$4460,$G474)&gt;1,"重複",""))</f>
        <v/>
      </c>
    </row>
    <row r="475" customFormat="false" ht="16.5" hidden="false" customHeight="true" outlineLevel="0" collapsed="false">
      <c r="A475" s="2" t="s">
        <v>385</v>
      </c>
      <c r="B475" s="2" t="s">
        <v>394</v>
      </c>
      <c r="C475" s="2" t="s">
        <v>32</v>
      </c>
      <c r="D475" s="2" t="str">
        <f aca="false">IF(2キー同時!$B$110="","",2キー同時!$B$110)</f>
        <v>q</v>
      </c>
      <c r="E475" s="2" t="str">
        <f aca="false">""</f>
        <v/>
      </c>
      <c r="F475" s="2" t="str">
        <f aca="false">""</f>
        <v/>
      </c>
      <c r="G475" s="2" t="str">
        <f aca="false">IF(2キー同時!$B$110="","",IF(2キー同時!AO116="","",SUBSTITUTE(SUBSTITUTE(2キー同時!AO116," ",""),"　","")))</f>
        <v>ぅ</v>
      </c>
      <c r="H475" s="2" t="str">
        <f aca="false">IF($G475="","",2キー同時!$B$110)</f>
        <v>q</v>
      </c>
      <c r="I475" s="2" t="str">
        <f aca="false">IF($G475="","","l")</f>
        <v>l</v>
      </c>
      <c r="J475" s="2" t="str">
        <f aca="false">""</f>
        <v/>
      </c>
      <c r="K475" s="2" t="str">
        <f aca="false">""</f>
        <v/>
      </c>
      <c r="L475" s="2" t="str">
        <f aca="false">IF($G475="","","同時")</f>
        <v>同時</v>
      </c>
      <c r="M475" s="2" t="str">
        <f aca="false">IF($G475="","",IF(ISNA(MATCH($G475,個別指定!$A:$A,0)),"行なし",""))</f>
        <v/>
      </c>
      <c r="N475" s="2" t="str">
        <f aca="false">IF($G475="","",IF(COUNTIF($G$2:$G$4460,$G475)&gt;1,"重複",""))</f>
        <v/>
      </c>
    </row>
    <row r="476" customFormat="false" ht="16.5" hidden="false" customHeight="true" outlineLevel="0" collapsed="false">
      <c r="A476" s="2" t="s">
        <v>385</v>
      </c>
      <c r="B476" s="2" t="s">
        <v>394</v>
      </c>
      <c r="C476" s="2" t="s">
        <v>33</v>
      </c>
      <c r="D476" s="2" t="str">
        <f aca="false">IF(2キー同時!$B$110="","",2キー同時!$B$110)</f>
        <v>q</v>
      </c>
      <c r="E476" s="2" t="str">
        <f aca="false">""</f>
        <v/>
      </c>
      <c r="F476" s="2" t="str">
        <f aca="false">""</f>
        <v/>
      </c>
      <c r="G476" s="2" t="str">
        <f aca="false">IF(2キー同時!$B$110="","",IF(2キー同時!AS116="","",SUBSTITUTE(SUBSTITUTE(2キー同時!AS116," ",""),"　","")))</f>
        <v/>
      </c>
      <c r="H476" s="2" t="str">
        <f aca="false">IF($G476="","",2キー同時!$B$110)</f>
        <v/>
      </c>
      <c r="I476" s="2" t="str">
        <f aca="false">IF($G476="","",";")</f>
        <v/>
      </c>
      <c r="J476" s="2" t="str">
        <f aca="false">""</f>
        <v/>
      </c>
      <c r="K476" s="2" t="str">
        <f aca="false">""</f>
        <v/>
      </c>
      <c r="L476" s="2" t="str">
        <f aca="false">IF($G476="","","同時")</f>
        <v/>
      </c>
      <c r="M476" s="2" t="str">
        <f aca="false">IF($G476="","",IF(ISNA(MATCH($G476,個別指定!$A:$A,0)),"行なし",""))</f>
        <v/>
      </c>
      <c r="N476" s="2" t="str">
        <f aca="false">IF($G476="","",IF(COUNTIF($G$2:$G$4460,$G476)&gt;1,"重複",""))</f>
        <v/>
      </c>
    </row>
    <row r="477" customFormat="false" ht="16.5" hidden="false" customHeight="true" outlineLevel="0" collapsed="false">
      <c r="A477" s="2" t="s">
        <v>385</v>
      </c>
      <c r="B477" s="2" t="s">
        <v>394</v>
      </c>
      <c r="C477" s="2" t="s">
        <v>34</v>
      </c>
      <c r="D477" s="2" t="str">
        <f aca="false">IF(2キー同時!$B$110="","",2キー同時!$B$110)</f>
        <v>q</v>
      </c>
      <c r="E477" s="2" t="str">
        <f aca="false">""</f>
        <v/>
      </c>
      <c r="F477" s="2" t="str">
        <f aca="false">""</f>
        <v/>
      </c>
      <c r="G477" s="2" t="str">
        <f aca="false">IF(2キー同時!$B$110="","",IF(2キー同時!AW116="","",SUBSTITUTE(SUBSTITUTE(2キー同時!AW116," ",""),"　","")))</f>
        <v/>
      </c>
      <c r="H477" s="2" t="str">
        <f aca="false">IF($G477="","",2キー同時!$B$110)</f>
        <v/>
      </c>
      <c r="I477" s="2" t="str">
        <f aca="false">IF($G477="","","'")</f>
        <v/>
      </c>
      <c r="J477" s="2" t="str">
        <f aca="false">""</f>
        <v/>
      </c>
      <c r="K477" s="2" t="str">
        <f aca="false">""</f>
        <v/>
      </c>
      <c r="L477" s="2" t="str">
        <f aca="false">IF($G477="","","同時")</f>
        <v/>
      </c>
      <c r="M477" s="2" t="str">
        <f aca="false">IF($G477="","",IF(ISNA(MATCH($G477,個別指定!$A:$A,0)),"行なし",""))</f>
        <v/>
      </c>
      <c r="N477" s="2" t="str">
        <f aca="false">IF($G477="","",IF(COUNTIF($G$2:$G$4460,$G477)&gt;1,"重複",""))</f>
        <v/>
      </c>
    </row>
    <row r="478" customFormat="false" ht="16.5" hidden="false" customHeight="true" outlineLevel="0" collapsed="false">
      <c r="A478" s="2" t="s">
        <v>385</v>
      </c>
      <c r="B478" s="2" t="s">
        <v>394</v>
      </c>
      <c r="C478" s="2" t="s">
        <v>35</v>
      </c>
      <c r="D478" s="2" t="str">
        <f aca="false">IF(2キー同時!$B$110="","",2キー同時!$B$110)</f>
        <v>q</v>
      </c>
      <c r="E478" s="2" t="str">
        <f aca="false">""</f>
        <v/>
      </c>
      <c r="F478" s="2" t="str">
        <f aca="false">""</f>
        <v/>
      </c>
      <c r="G478" s="2" t="str">
        <f aca="false">IF(2キー同時!$B$110="","",IF(2キー同時!K118="","",SUBSTITUTE(SUBSTITUTE(2キー同時!K118," ",""),"　","")))</f>
        <v/>
      </c>
      <c r="H478" s="2" t="str">
        <f aca="false">IF($G478="","",2キー同時!$B$110)</f>
        <v/>
      </c>
      <c r="I478" s="2" t="str">
        <f aca="false">IF($G478="","","z")</f>
        <v/>
      </c>
      <c r="J478" s="2" t="str">
        <f aca="false">""</f>
        <v/>
      </c>
      <c r="K478" s="2" t="str">
        <f aca="false">""</f>
        <v/>
      </c>
      <c r="L478" s="2" t="str">
        <f aca="false">IF($G478="","","同時")</f>
        <v/>
      </c>
      <c r="M478" s="2" t="str">
        <f aca="false">IF($G478="","",IF(ISNA(MATCH($G478,個別指定!$A:$A,0)),"行なし",""))</f>
        <v/>
      </c>
      <c r="N478" s="2" t="str">
        <f aca="false">IF($G478="","",IF(COUNTIF($G$2:$G$4460,$G478)&gt;1,"重複",""))</f>
        <v/>
      </c>
    </row>
    <row r="479" customFormat="false" ht="16.5" hidden="false" customHeight="true" outlineLevel="0" collapsed="false">
      <c r="A479" s="2" t="s">
        <v>385</v>
      </c>
      <c r="B479" s="2" t="s">
        <v>394</v>
      </c>
      <c r="C479" s="2" t="s">
        <v>36</v>
      </c>
      <c r="D479" s="2" t="str">
        <f aca="false">IF(2キー同時!$B$110="","",2キー同時!$B$110)</f>
        <v>q</v>
      </c>
      <c r="E479" s="2" t="str">
        <f aca="false">""</f>
        <v/>
      </c>
      <c r="F479" s="2" t="str">
        <f aca="false">""</f>
        <v/>
      </c>
      <c r="G479" s="2" t="str">
        <f aca="false">IF(2キー同時!$B$110="","",IF(2キー同時!O118="","",SUBSTITUTE(SUBSTITUTE(2キー同時!O118," ",""),"　","")))</f>
        <v/>
      </c>
      <c r="H479" s="2" t="str">
        <f aca="false">IF($G479="","",2キー同時!$B$110)</f>
        <v/>
      </c>
      <c r="I479" s="2" t="str">
        <f aca="false">IF($G479="","","x")</f>
        <v/>
      </c>
      <c r="J479" s="2" t="str">
        <f aca="false">""</f>
        <v/>
      </c>
      <c r="K479" s="2" t="str">
        <f aca="false">""</f>
        <v/>
      </c>
      <c r="L479" s="2" t="str">
        <f aca="false">IF($G479="","","同時")</f>
        <v/>
      </c>
      <c r="M479" s="2" t="str">
        <f aca="false">IF($G479="","",IF(ISNA(MATCH($G479,個別指定!$A:$A,0)),"行なし",""))</f>
        <v/>
      </c>
      <c r="N479" s="2" t="str">
        <f aca="false">IF($G479="","",IF(COUNTIF($G$2:$G$4460,$G479)&gt;1,"重複",""))</f>
        <v/>
      </c>
    </row>
    <row r="480" customFormat="false" ht="16.5" hidden="false" customHeight="true" outlineLevel="0" collapsed="false">
      <c r="A480" s="2" t="s">
        <v>385</v>
      </c>
      <c r="B480" s="2" t="s">
        <v>394</v>
      </c>
      <c r="C480" s="2" t="s">
        <v>37</v>
      </c>
      <c r="D480" s="2" t="str">
        <f aca="false">IF(2キー同時!$B$110="","",2キー同時!$B$110)</f>
        <v>q</v>
      </c>
      <c r="E480" s="2" t="str">
        <f aca="false">""</f>
        <v/>
      </c>
      <c r="F480" s="2" t="str">
        <f aca="false">""</f>
        <v/>
      </c>
      <c r="G480" s="2" t="str">
        <f aca="false">IF(2キー同時!$B$110="","",IF(2キー同時!S118="","",SUBSTITUTE(SUBSTITUTE(2キー同時!S118," ",""),"　","")))</f>
        <v/>
      </c>
      <c r="H480" s="2" t="str">
        <f aca="false">IF($G480="","",2キー同時!$B$110)</f>
        <v/>
      </c>
      <c r="I480" s="2" t="str">
        <f aca="false">IF($G480="","","c")</f>
        <v/>
      </c>
      <c r="J480" s="2" t="str">
        <f aca="false">""</f>
        <v/>
      </c>
      <c r="K480" s="2" t="str">
        <f aca="false">""</f>
        <v/>
      </c>
      <c r="L480" s="2" t="str">
        <f aca="false">IF($G480="","","同時")</f>
        <v/>
      </c>
      <c r="M480" s="2" t="str">
        <f aca="false">IF($G480="","",IF(ISNA(MATCH($G480,個別指定!$A:$A,0)),"行なし",""))</f>
        <v/>
      </c>
      <c r="N480" s="2" t="str">
        <f aca="false">IF($G480="","",IF(COUNTIF($G$2:$G$4460,$G480)&gt;1,"重複",""))</f>
        <v/>
      </c>
    </row>
    <row r="481" customFormat="false" ht="16.5" hidden="false" customHeight="true" outlineLevel="0" collapsed="false">
      <c r="A481" s="2" t="s">
        <v>385</v>
      </c>
      <c r="B481" s="2" t="s">
        <v>394</v>
      </c>
      <c r="C481" s="2" t="s">
        <v>38</v>
      </c>
      <c r="D481" s="2" t="str">
        <f aca="false">IF(2キー同時!$B$110="","",2キー同時!$B$110)</f>
        <v>q</v>
      </c>
      <c r="E481" s="2" t="str">
        <f aca="false">""</f>
        <v/>
      </c>
      <c r="F481" s="2" t="str">
        <f aca="false">""</f>
        <v/>
      </c>
      <c r="G481" s="2" t="str">
        <f aca="false">IF(2キー同時!$B$110="","",IF(2キー同時!W118="","",SUBSTITUTE(SUBSTITUTE(2キー同時!W118," ",""),"　","")))</f>
        <v/>
      </c>
      <c r="H481" s="2" t="str">
        <f aca="false">IF($G481="","",2キー同時!$B$110)</f>
        <v/>
      </c>
      <c r="I481" s="2" t="str">
        <f aca="false">IF($G481="","","v")</f>
        <v/>
      </c>
      <c r="J481" s="2" t="str">
        <f aca="false">""</f>
        <v/>
      </c>
      <c r="K481" s="2" t="str">
        <f aca="false">""</f>
        <v/>
      </c>
      <c r="L481" s="2" t="str">
        <f aca="false">IF($G481="","","同時")</f>
        <v/>
      </c>
      <c r="M481" s="2" t="str">
        <f aca="false">IF($G481="","",IF(ISNA(MATCH($G481,個別指定!$A:$A,0)),"行なし",""))</f>
        <v/>
      </c>
      <c r="N481" s="2" t="str">
        <f aca="false">IF($G481="","",IF(COUNTIF($G$2:$G$4460,$G481)&gt;1,"重複",""))</f>
        <v/>
      </c>
    </row>
    <row r="482" customFormat="false" ht="16.5" hidden="false" customHeight="true" outlineLevel="0" collapsed="false">
      <c r="A482" s="2" t="s">
        <v>385</v>
      </c>
      <c r="B482" s="2" t="s">
        <v>394</v>
      </c>
      <c r="C482" s="2" t="s">
        <v>39</v>
      </c>
      <c r="D482" s="2" t="str">
        <f aca="false">IF(2キー同時!$B$110="","",2キー同時!$B$110)</f>
        <v>q</v>
      </c>
      <c r="E482" s="2" t="str">
        <f aca="false">""</f>
        <v/>
      </c>
      <c r="F482" s="2" t="str">
        <f aca="false">""</f>
        <v/>
      </c>
      <c r="G482" s="2" t="str">
        <f aca="false">IF(2キー同時!$B$110="","",IF(2キー同時!AA118="","",SUBSTITUTE(SUBSTITUTE(2キー同時!AA118," ",""),"　","")))</f>
        <v/>
      </c>
      <c r="H482" s="2" t="str">
        <f aca="false">IF($G482="","",2キー同時!$B$110)</f>
        <v/>
      </c>
      <c r="I482" s="2" t="str">
        <f aca="false">IF($G482="","","b")</f>
        <v/>
      </c>
      <c r="J482" s="2" t="str">
        <f aca="false">""</f>
        <v/>
      </c>
      <c r="K482" s="2" t="str">
        <f aca="false">""</f>
        <v/>
      </c>
      <c r="L482" s="2" t="str">
        <f aca="false">IF($G482="","","同時")</f>
        <v/>
      </c>
      <c r="M482" s="2" t="str">
        <f aca="false">IF($G482="","",IF(ISNA(MATCH($G482,個別指定!$A:$A,0)),"行なし",""))</f>
        <v/>
      </c>
      <c r="N482" s="2" t="str">
        <f aca="false">IF($G482="","",IF(COUNTIF($G$2:$G$4460,$G482)&gt;1,"重複",""))</f>
        <v/>
      </c>
    </row>
    <row r="483" customFormat="false" ht="16.5" hidden="false" customHeight="true" outlineLevel="0" collapsed="false">
      <c r="A483" s="2" t="s">
        <v>385</v>
      </c>
      <c r="B483" s="2" t="s">
        <v>394</v>
      </c>
      <c r="C483" s="2" t="s">
        <v>40</v>
      </c>
      <c r="D483" s="2" t="str">
        <f aca="false">IF(2キー同時!$B$110="","",2キー同時!$B$110)</f>
        <v>q</v>
      </c>
      <c r="E483" s="2" t="str">
        <f aca="false">""</f>
        <v/>
      </c>
      <c r="F483" s="2" t="str">
        <f aca="false">""</f>
        <v/>
      </c>
      <c r="G483" s="2" t="str">
        <f aca="false">IF(2キー同時!$B$110="","",IF(2キー同時!AE118="","",SUBSTITUTE(SUBSTITUTE(2キー同時!AE118," ",""),"　","")))</f>
        <v>ぉ</v>
      </c>
      <c r="H483" s="2" t="str">
        <f aca="false">IF($G483="","",2キー同時!$B$110)</f>
        <v>q</v>
      </c>
      <c r="I483" s="2" t="str">
        <f aca="false">IF($G483="","","n")</f>
        <v>n</v>
      </c>
      <c r="J483" s="2" t="str">
        <f aca="false">""</f>
        <v/>
      </c>
      <c r="K483" s="2" t="str">
        <f aca="false">""</f>
        <v/>
      </c>
      <c r="L483" s="2" t="str">
        <f aca="false">IF($G483="","","同時")</f>
        <v>同時</v>
      </c>
      <c r="M483" s="2" t="str">
        <f aca="false">IF($G483="","",IF(ISNA(MATCH($G483,個別指定!$A:$A,0)),"行なし",""))</f>
        <v/>
      </c>
      <c r="N483" s="2" t="str">
        <f aca="false">IF($G483="","",IF(COUNTIF($G$2:$G$4460,$G483)&gt;1,"重複",""))</f>
        <v/>
      </c>
    </row>
    <row r="484" customFormat="false" ht="16.5" hidden="false" customHeight="true" outlineLevel="0" collapsed="false">
      <c r="A484" s="2" t="s">
        <v>385</v>
      </c>
      <c r="B484" s="2" t="s">
        <v>394</v>
      </c>
      <c r="C484" s="2" t="s">
        <v>41</v>
      </c>
      <c r="D484" s="2" t="str">
        <f aca="false">IF(2キー同時!$B$110="","",2キー同時!$B$110)</f>
        <v>q</v>
      </c>
      <c r="E484" s="2" t="str">
        <f aca="false">""</f>
        <v/>
      </c>
      <c r="F484" s="2" t="str">
        <f aca="false">""</f>
        <v/>
      </c>
      <c r="G484" s="2" t="str">
        <f aca="false">IF(2キー同時!$B$110="","",IF(2キー同時!AI118="","",SUBSTITUTE(SUBSTITUTE(2キー同時!AI118," ",""),"　","")))</f>
        <v/>
      </c>
      <c r="H484" s="2" t="str">
        <f aca="false">IF($G484="","",2キー同時!$B$110)</f>
        <v/>
      </c>
      <c r="I484" s="2" t="str">
        <f aca="false">IF($G484="","","m")</f>
        <v/>
      </c>
      <c r="J484" s="2" t="str">
        <f aca="false">""</f>
        <v/>
      </c>
      <c r="K484" s="2" t="str">
        <f aca="false">""</f>
        <v/>
      </c>
      <c r="L484" s="2" t="str">
        <f aca="false">IF($G484="","","同時")</f>
        <v/>
      </c>
      <c r="M484" s="2" t="str">
        <f aca="false">IF($G484="","",IF(ISNA(MATCH($G484,個別指定!$A:$A,0)),"行なし",""))</f>
        <v/>
      </c>
      <c r="N484" s="2" t="str">
        <f aca="false">IF($G484="","",IF(COUNTIF($G$2:$G$4460,$G484)&gt;1,"重複",""))</f>
        <v/>
      </c>
    </row>
    <row r="485" customFormat="false" ht="16.5" hidden="false" customHeight="true" outlineLevel="0" collapsed="false">
      <c r="A485" s="2" t="s">
        <v>385</v>
      </c>
      <c r="B485" s="2" t="s">
        <v>394</v>
      </c>
      <c r="C485" s="2" t="s">
        <v>42</v>
      </c>
      <c r="D485" s="2" t="str">
        <f aca="false">IF(2キー同時!$B$110="","",2キー同時!$B$110)</f>
        <v>q</v>
      </c>
      <c r="E485" s="2" t="str">
        <f aca="false">""</f>
        <v/>
      </c>
      <c r="F485" s="2" t="str">
        <f aca="false">""</f>
        <v/>
      </c>
      <c r="G485" s="2" t="str">
        <f aca="false">IF(2キー同時!$B$110="","",IF(2キー同時!AM118="","",SUBSTITUTE(SUBSTITUTE(2キー同時!AM118," ",""),"　","")))</f>
        <v/>
      </c>
      <c r="H485" s="2" t="str">
        <f aca="false">IF($G485="","",2キー同時!$B$110)</f>
        <v/>
      </c>
      <c r="I485" s="2" t="str">
        <f aca="false">IF($G485="","",",")</f>
        <v/>
      </c>
      <c r="J485" s="2" t="str">
        <f aca="false">""</f>
        <v/>
      </c>
      <c r="K485" s="2" t="str">
        <f aca="false">""</f>
        <v/>
      </c>
      <c r="L485" s="2" t="str">
        <f aca="false">IF($G485="","","同時")</f>
        <v/>
      </c>
      <c r="M485" s="2" t="str">
        <f aca="false">IF($G485="","",IF(ISNA(MATCH($G485,個別指定!$A:$A,0)),"行なし",""))</f>
        <v/>
      </c>
      <c r="N485" s="2" t="str">
        <f aca="false">IF($G485="","",IF(COUNTIF($G$2:$G$4460,$G485)&gt;1,"重複",""))</f>
        <v/>
      </c>
    </row>
    <row r="486" customFormat="false" ht="16.5" hidden="false" customHeight="true" outlineLevel="0" collapsed="false">
      <c r="A486" s="2" t="s">
        <v>385</v>
      </c>
      <c r="B486" s="2" t="s">
        <v>394</v>
      </c>
      <c r="C486" s="2" t="s">
        <v>43</v>
      </c>
      <c r="D486" s="2" t="str">
        <f aca="false">IF(2キー同時!$B$110="","",2キー同時!$B$110)</f>
        <v>q</v>
      </c>
      <c r="E486" s="2" t="str">
        <f aca="false">""</f>
        <v/>
      </c>
      <c r="F486" s="2" t="str">
        <f aca="false">""</f>
        <v/>
      </c>
      <c r="G486" s="2" t="str">
        <f aca="false">IF(2キー同時!$B$110="","",IF(2キー同時!AQ118="","",SUBSTITUTE(SUBSTITUTE(2キー同時!AQ118," ",""),"　","")))</f>
        <v>ゎ</v>
      </c>
      <c r="H486" s="2" t="str">
        <f aca="false">IF($G486="","",2キー同時!$B$110)</f>
        <v>q</v>
      </c>
      <c r="I486" s="2" t="str">
        <f aca="false">IF($G486="","",".")</f>
        <v>.</v>
      </c>
      <c r="J486" s="2" t="str">
        <f aca="false">""</f>
        <v/>
      </c>
      <c r="K486" s="2" t="str">
        <f aca="false">""</f>
        <v/>
      </c>
      <c r="L486" s="2" t="str">
        <f aca="false">IF($G486="","","同時")</f>
        <v>同時</v>
      </c>
      <c r="M486" s="2" t="str">
        <f aca="false">IF($G486="","",IF(ISNA(MATCH($G486,個別指定!$A:$A,0)),"行なし",""))</f>
        <v/>
      </c>
      <c r="N486" s="2" t="str">
        <f aca="false">IF($G486="","",IF(COUNTIF($G$2:$G$4460,$G486)&gt;1,"重複",""))</f>
        <v/>
      </c>
    </row>
    <row r="487" customFormat="false" ht="16.5" hidden="false" customHeight="true" outlineLevel="0" collapsed="false">
      <c r="A487" s="2" t="s">
        <v>385</v>
      </c>
      <c r="B487" s="2" t="s">
        <v>394</v>
      </c>
      <c r="C487" s="2" t="s">
        <v>44</v>
      </c>
      <c r="D487" s="2" t="str">
        <f aca="false">IF(2キー同時!$B$110="","",2キー同時!$B$110)</f>
        <v>q</v>
      </c>
      <c r="E487" s="2" t="str">
        <f aca="false">""</f>
        <v/>
      </c>
      <c r="F487" s="2" t="str">
        <f aca="false">""</f>
        <v/>
      </c>
      <c r="G487" s="2" t="str">
        <f aca="false">IF(2キー同時!$B$110="","",IF(2キー同時!AU118="","",SUBSTITUTE(SUBSTITUTE(2キー同時!AU118," ",""),"　","")))</f>
        <v/>
      </c>
      <c r="H487" s="2" t="str">
        <f aca="false">IF($G487="","",2キー同時!$B$110)</f>
        <v/>
      </c>
      <c r="I487" s="2" t="str">
        <f aca="false">IF($G487="","","/")</f>
        <v/>
      </c>
      <c r="J487" s="2" t="str">
        <f aca="false">""</f>
        <v/>
      </c>
      <c r="K487" s="2" t="str">
        <f aca="false">""</f>
        <v/>
      </c>
      <c r="L487" s="2" t="str">
        <f aca="false">IF($G487="","","同時")</f>
        <v/>
      </c>
      <c r="M487" s="2" t="str">
        <f aca="false">IF($G487="","",IF(ISNA(MATCH($G487,個別指定!$A:$A,0)),"行なし",""))</f>
        <v/>
      </c>
      <c r="N487" s="2" t="str">
        <f aca="false">IF($G487="","",IF(COUNTIF($G$2:$G$4460,$G487)&gt;1,"重複",""))</f>
        <v/>
      </c>
    </row>
    <row r="488" customFormat="false" ht="16.5" hidden="false" customHeight="true" outlineLevel="0" collapsed="false">
      <c r="A488" s="2" t="s">
        <v>385</v>
      </c>
      <c r="B488" s="2" t="s">
        <v>394</v>
      </c>
      <c r="C488" s="2" t="s">
        <v>48</v>
      </c>
      <c r="D488" s="2" t="str">
        <f aca="false">IF(2キー同時!$B$110="","",2キー同時!$B$110)</f>
        <v>q</v>
      </c>
      <c r="E488" s="2" t="str">
        <f aca="false">""</f>
        <v/>
      </c>
      <c r="F488" s="2" t="str">
        <f aca="false">""</f>
        <v/>
      </c>
      <c r="G488" s="2" t="str">
        <f aca="false">IF(2キー同時!$B$110="","",IF(2キー同時!P120="","",SUBSTITUTE(SUBSTITUTE(2キー同時!P120," ",""),"　","")))</f>
        <v/>
      </c>
      <c r="H488" s="2" t="str">
        <f aca="false">IF($G488="","",2キー同時!$B$110)</f>
        <v/>
      </c>
      <c r="I488" s="2" t="str">
        <f aca="false">IF($G488="","","muhenkan")</f>
        <v/>
      </c>
      <c r="J488" s="2" t="str">
        <f aca="false">""</f>
        <v/>
      </c>
      <c r="K488" s="2" t="str">
        <f aca="false">""</f>
        <v/>
      </c>
      <c r="L488" s="2" t="str">
        <f aca="false">IF($G488="","","同時")</f>
        <v/>
      </c>
      <c r="M488" s="2" t="str">
        <f aca="false">IF($G488="","",IF(ISNA(MATCH($G488,個別指定!$A:$A,0)),"行なし",""))</f>
        <v/>
      </c>
      <c r="N488" s="2" t="str">
        <f aca="false">IF($G488="","",IF(COUNTIF($G$2:$G$4460,$G488)&gt;1,"重複",""))</f>
        <v/>
      </c>
    </row>
    <row r="489" customFormat="false" ht="16.5" hidden="false" customHeight="true" outlineLevel="0" collapsed="false">
      <c r="A489" s="2" t="s">
        <v>385</v>
      </c>
      <c r="B489" s="2" t="s">
        <v>394</v>
      </c>
      <c r="C489" s="2" t="s">
        <v>50</v>
      </c>
      <c r="D489" s="2" t="str">
        <f aca="false">IF(2キー同時!$B$110="","",2キー同時!$B$110)</f>
        <v>q</v>
      </c>
      <c r="E489" s="2" t="str">
        <f aca="false">""</f>
        <v/>
      </c>
      <c r="F489" s="2" t="str">
        <f aca="false">""</f>
        <v/>
      </c>
      <c r="G489" s="2" t="str">
        <f aca="false">IF(2キー同時!$B$110="","",IF(2キー同時!T120="","",SUBSTITUTE(SUBSTITUTE(2キー同時!T120," ",""),"　","")))</f>
        <v/>
      </c>
      <c r="H489" s="2" t="str">
        <f aca="false">IF($G489="","",2キー同時!$B$110)</f>
        <v/>
      </c>
      <c r="I489" s="2" t="str">
        <f aca="false">IF($G489="","","space")</f>
        <v/>
      </c>
      <c r="J489" s="2" t="str">
        <f aca="false">""</f>
        <v/>
      </c>
      <c r="K489" s="2" t="str">
        <f aca="false">""</f>
        <v/>
      </c>
      <c r="L489" s="2" t="str">
        <f aca="false">IF($G489="","","同時")</f>
        <v/>
      </c>
      <c r="M489" s="2" t="str">
        <f aca="false">IF($G489="","",IF(ISNA(MATCH($G489,個別指定!$A:$A,0)),"行なし",""))</f>
        <v/>
      </c>
      <c r="N489" s="2" t="str">
        <f aca="false">IF($G489="","",IF(COUNTIF($G$2:$G$4460,$G489)&gt;1,"重複",""))</f>
        <v/>
      </c>
    </row>
    <row r="490" customFormat="false" ht="16.5" hidden="false" customHeight="true" outlineLevel="0" collapsed="false">
      <c r="A490" s="2" t="s">
        <v>385</v>
      </c>
      <c r="B490" s="2" t="s">
        <v>394</v>
      </c>
      <c r="C490" s="2" t="s">
        <v>45</v>
      </c>
      <c r="D490" s="2" t="str">
        <f aca="false">IF(2キー同時!$B$110="","",2キー同時!$B$110)</f>
        <v>q</v>
      </c>
      <c r="E490" s="2" t="str">
        <f aca="false">""</f>
        <v/>
      </c>
      <c r="F490" s="2" t="str">
        <f aca="false">""</f>
        <v/>
      </c>
      <c r="G490" s="2" t="str">
        <f aca="false">IF(2キー同時!$B$110="","",IF(2キー同時!AL120="","",SUBSTITUTE(SUBSTITUTE(2キー同時!AL120," ",""),"　","")))</f>
        <v/>
      </c>
      <c r="H490" s="2" t="str">
        <f aca="false">IF($G490="","",2キー同時!$B$110)</f>
        <v/>
      </c>
      <c r="I490" s="2" t="str">
        <f aca="false">IF($G490="","","henkan")</f>
        <v/>
      </c>
      <c r="J490" s="2" t="str">
        <f aca="false">""</f>
        <v/>
      </c>
      <c r="K490" s="2" t="str">
        <f aca="false">""</f>
        <v/>
      </c>
      <c r="L490" s="2" t="str">
        <f aca="false">IF($G490="","","同時")</f>
        <v/>
      </c>
      <c r="M490" s="2" t="str">
        <f aca="false">IF($G490="","",IF(ISNA(MATCH($G490,個別指定!$A:$A,0)),"行なし",""))</f>
        <v/>
      </c>
      <c r="N490" s="2" t="str">
        <f aca="false">IF($G490="","",IF(COUNTIF($G$2:$G$4460,$G490)&gt;1,"重複",""))</f>
        <v/>
      </c>
    </row>
    <row r="491" customFormat="false" ht="16.5" hidden="false" customHeight="true" outlineLevel="0" collapsed="false">
      <c r="A491" s="2" t="s">
        <v>385</v>
      </c>
      <c r="B491" s="2" t="s">
        <v>394</v>
      </c>
      <c r="C491" s="2" t="s">
        <v>46</v>
      </c>
      <c r="D491" s="2" t="str">
        <f aca="false">IF(2キー同時!$B$110="","",2キー同時!$B$110)</f>
        <v>q</v>
      </c>
      <c r="E491" s="2" t="str">
        <f aca="false">""</f>
        <v/>
      </c>
      <c r="F491" s="2" t="str">
        <f aca="false">""</f>
        <v/>
      </c>
      <c r="G491" s="2" t="str">
        <f aca="false">IF(2キー同時!$B$110="","",IF(2キー同時!AP120="","",SUBSTITUTE(SUBSTITUTE(2キー同時!AP120," ",""),"　","")))</f>
        <v/>
      </c>
      <c r="H491" s="2" t="str">
        <f aca="false">IF($G491="","",2キー同時!$B$110)</f>
        <v/>
      </c>
      <c r="I491" s="2" t="str">
        <f aca="false">IF($G491="","","kana")</f>
        <v/>
      </c>
      <c r="J491" s="2" t="str">
        <f aca="false">""</f>
        <v/>
      </c>
      <c r="K491" s="2" t="str">
        <f aca="false">""</f>
        <v/>
      </c>
      <c r="L491" s="2" t="str">
        <f aca="false">IF($G491="","","同時")</f>
        <v/>
      </c>
      <c r="M491" s="2" t="str">
        <f aca="false">IF($G491="","",IF(ISNA(MATCH($G491,個別指定!$A:$A,0)),"行なし",""))</f>
        <v/>
      </c>
      <c r="N491" s="2" t="str">
        <f aca="false">IF($G491="","",IF(COUNTIF($G$2:$G$4460,$G491)&gt;1,"重複",""))</f>
        <v/>
      </c>
    </row>
    <row r="492" customFormat="false" ht="16.5" hidden="false" customHeight="true" outlineLevel="0" collapsed="false">
      <c r="A492" s="2" t="s">
        <v>385</v>
      </c>
      <c r="B492" s="2" t="s">
        <v>395</v>
      </c>
      <c r="C492" s="2" t="s">
        <v>0</v>
      </c>
      <c r="D492" s="2" t="str">
        <f aca="false">IF(2キー同時!$B$123="","",2キー同時!$B$123)</f>
        <v/>
      </c>
      <c r="E492" s="2" t="str">
        <f aca="false">""</f>
        <v/>
      </c>
      <c r="F492" s="2" t="str">
        <f aca="false">""</f>
        <v/>
      </c>
      <c r="G492" s="2" t="str">
        <f aca="false">IF(2キー同時!$B$123="","",IF(2キー同時!F125="","",SUBSTITUTE(SUBSTITUTE(2キー同時!F125," ",""),"　","")))</f>
        <v/>
      </c>
      <c r="H492" s="2" t="str">
        <f aca="false">IF($G492="","",2キー同時!$B$123)</f>
        <v/>
      </c>
      <c r="I492" s="2" t="str">
        <f aca="false">IF($G492="","","1")</f>
        <v/>
      </c>
      <c r="J492" s="2" t="str">
        <f aca="false">""</f>
        <v/>
      </c>
      <c r="K492" s="2" t="str">
        <f aca="false">""</f>
        <v/>
      </c>
      <c r="L492" s="2" t="str">
        <f aca="false">IF($G492="","","同時")</f>
        <v/>
      </c>
      <c r="M492" s="2" t="str">
        <f aca="false">IF($G492="","",IF(ISNA(MATCH($G492,個別指定!$A:$A,0)),"行なし",""))</f>
        <v/>
      </c>
      <c r="N492" s="2" t="str">
        <f aca="false">IF($G492="","",IF(COUNTIF($G$2:$G$4460,$G492)&gt;1,"重複",""))</f>
        <v/>
      </c>
    </row>
    <row r="493" customFormat="false" ht="16.5" hidden="false" customHeight="true" outlineLevel="0" collapsed="false">
      <c r="A493" s="2" t="s">
        <v>385</v>
      </c>
      <c r="B493" s="2" t="s">
        <v>395</v>
      </c>
      <c r="C493" s="2" t="s">
        <v>1</v>
      </c>
      <c r="D493" s="2" t="str">
        <f aca="false">IF(2キー同時!$B$123="","",2キー同時!$B$123)</f>
        <v/>
      </c>
      <c r="E493" s="2" t="str">
        <f aca="false">""</f>
        <v/>
      </c>
      <c r="F493" s="2" t="str">
        <f aca="false">""</f>
        <v/>
      </c>
      <c r="G493" s="2" t="str">
        <f aca="false">IF(2キー同時!$B$123="","",IF(2キー同時!J125="","",SUBSTITUTE(SUBSTITUTE(2キー同時!J125," ",""),"　","")))</f>
        <v/>
      </c>
      <c r="H493" s="2" t="str">
        <f aca="false">IF($G493="","",2キー同時!$B$123)</f>
        <v/>
      </c>
      <c r="I493" s="2" t="str">
        <f aca="false">IF($G493="","","2")</f>
        <v/>
      </c>
      <c r="J493" s="2" t="str">
        <f aca="false">""</f>
        <v/>
      </c>
      <c r="K493" s="2" t="str">
        <f aca="false">""</f>
        <v/>
      </c>
      <c r="L493" s="2" t="str">
        <f aca="false">IF($G493="","","同時")</f>
        <v/>
      </c>
      <c r="M493" s="2" t="str">
        <f aca="false">IF($G493="","",IF(ISNA(MATCH($G493,個別指定!$A:$A,0)),"行なし",""))</f>
        <v/>
      </c>
      <c r="N493" s="2" t="str">
        <f aca="false">IF($G493="","",IF(COUNTIF($G$2:$G$4460,$G493)&gt;1,"重複",""))</f>
        <v/>
      </c>
    </row>
    <row r="494" customFormat="false" ht="16.5" hidden="false" customHeight="true" outlineLevel="0" collapsed="false">
      <c r="A494" s="2" t="s">
        <v>385</v>
      </c>
      <c r="B494" s="2" t="s">
        <v>395</v>
      </c>
      <c r="C494" s="2" t="s">
        <v>2</v>
      </c>
      <c r="D494" s="2" t="str">
        <f aca="false">IF(2キー同時!$B$123="","",2キー同時!$B$123)</f>
        <v/>
      </c>
      <c r="E494" s="2" t="str">
        <f aca="false">""</f>
        <v/>
      </c>
      <c r="F494" s="2" t="str">
        <f aca="false">""</f>
        <v/>
      </c>
      <c r="G494" s="2" t="str">
        <f aca="false">IF(2キー同時!$B$123="","",IF(2キー同時!N125="","",SUBSTITUTE(SUBSTITUTE(2キー同時!N125," ",""),"　","")))</f>
        <v/>
      </c>
      <c r="H494" s="2" t="str">
        <f aca="false">IF($G494="","",2キー同時!$B$123)</f>
        <v/>
      </c>
      <c r="I494" s="2" t="str">
        <f aca="false">IF($G494="","","3")</f>
        <v/>
      </c>
      <c r="J494" s="2" t="str">
        <f aca="false">""</f>
        <v/>
      </c>
      <c r="K494" s="2" t="str">
        <f aca="false">""</f>
        <v/>
      </c>
      <c r="L494" s="2" t="str">
        <f aca="false">IF($G494="","","同時")</f>
        <v/>
      </c>
      <c r="M494" s="2" t="str">
        <f aca="false">IF($G494="","",IF(ISNA(MATCH($G494,個別指定!$A:$A,0)),"行なし",""))</f>
        <v/>
      </c>
      <c r="N494" s="2" t="str">
        <f aca="false">IF($G494="","",IF(COUNTIF($G$2:$G$4460,$G494)&gt;1,"重複",""))</f>
        <v/>
      </c>
    </row>
    <row r="495" customFormat="false" ht="16.5" hidden="false" customHeight="true" outlineLevel="0" collapsed="false">
      <c r="A495" s="2" t="s">
        <v>385</v>
      </c>
      <c r="B495" s="2" t="s">
        <v>395</v>
      </c>
      <c r="C495" s="2" t="s">
        <v>3</v>
      </c>
      <c r="D495" s="2" t="str">
        <f aca="false">IF(2キー同時!$B$123="","",2キー同時!$B$123)</f>
        <v/>
      </c>
      <c r="E495" s="2" t="str">
        <f aca="false">""</f>
        <v/>
      </c>
      <c r="F495" s="2" t="str">
        <f aca="false">""</f>
        <v/>
      </c>
      <c r="G495" s="2" t="str">
        <f aca="false">IF(2キー同時!$B$123="","",IF(2キー同時!R125="","",SUBSTITUTE(SUBSTITUTE(2キー同時!R125," ",""),"　","")))</f>
        <v/>
      </c>
      <c r="H495" s="2" t="str">
        <f aca="false">IF($G495="","",2キー同時!$B$123)</f>
        <v/>
      </c>
      <c r="I495" s="2" t="str">
        <f aca="false">IF($G495="","","4")</f>
        <v/>
      </c>
      <c r="J495" s="2" t="str">
        <f aca="false">""</f>
        <v/>
      </c>
      <c r="K495" s="2" t="str">
        <f aca="false">""</f>
        <v/>
      </c>
      <c r="L495" s="2" t="str">
        <f aca="false">IF($G495="","","同時")</f>
        <v/>
      </c>
      <c r="M495" s="2" t="str">
        <f aca="false">IF($G495="","",IF(ISNA(MATCH($G495,個別指定!$A:$A,0)),"行なし",""))</f>
        <v/>
      </c>
      <c r="N495" s="2" t="str">
        <f aca="false">IF($G495="","",IF(COUNTIF($G$2:$G$4460,$G495)&gt;1,"重複",""))</f>
        <v/>
      </c>
    </row>
    <row r="496" customFormat="false" ht="16.5" hidden="false" customHeight="true" outlineLevel="0" collapsed="false">
      <c r="A496" s="2" t="s">
        <v>385</v>
      </c>
      <c r="B496" s="2" t="s">
        <v>395</v>
      </c>
      <c r="C496" s="2" t="s">
        <v>4</v>
      </c>
      <c r="D496" s="2" t="str">
        <f aca="false">IF(2キー同時!$B$123="","",2キー同時!$B$123)</f>
        <v/>
      </c>
      <c r="E496" s="2" t="str">
        <f aca="false">""</f>
        <v/>
      </c>
      <c r="F496" s="2" t="str">
        <f aca="false">""</f>
        <v/>
      </c>
      <c r="G496" s="2" t="str">
        <f aca="false">IF(2キー同時!$B$123="","",IF(2キー同時!V125="","",SUBSTITUTE(SUBSTITUTE(2キー同時!V125," ",""),"　","")))</f>
        <v/>
      </c>
      <c r="H496" s="2" t="str">
        <f aca="false">IF($G496="","",2キー同時!$B$123)</f>
        <v/>
      </c>
      <c r="I496" s="2" t="str">
        <f aca="false">IF($G496="","","5")</f>
        <v/>
      </c>
      <c r="J496" s="2" t="str">
        <f aca="false">""</f>
        <v/>
      </c>
      <c r="K496" s="2" t="str">
        <f aca="false">""</f>
        <v/>
      </c>
      <c r="L496" s="2" t="str">
        <f aca="false">IF($G496="","","同時")</f>
        <v/>
      </c>
      <c r="M496" s="2" t="str">
        <f aca="false">IF($G496="","",IF(ISNA(MATCH($G496,個別指定!$A:$A,0)),"行なし",""))</f>
        <v/>
      </c>
      <c r="N496" s="2" t="str">
        <f aca="false">IF($G496="","",IF(COUNTIF($G$2:$G$4460,$G496)&gt;1,"重複",""))</f>
        <v/>
      </c>
    </row>
    <row r="497" customFormat="false" ht="16.5" hidden="false" customHeight="true" outlineLevel="0" collapsed="false">
      <c r="A497" s="2" t="s">
        <v>385</v>
      </c>
      <c r="B497" s="2" t="s">
        <v>395</v>
      </c>
      <c r="C497" s="2" t="s">
        <v>5</v>
      </c>
      <c r="D497" s="2" t="str">
        <f aca="false">IF(2キー同時!$B$123="","",2キー同時!$B$123)</f>
        <v/>
      </c>
      <c r="E497" s="2" t="str">
        <f aca="false">""</f>
        <v/>
      </c>
      <c r="F497" s="2" t="str">
        <f aca="false">""</f>
        <v/>
      </c>
      <c r="G497" s="2" t="str">
        <f aca="false">IF(2キー同時!$B$123="","",IF(2キー同時!Z125="","",SUBSTITUTE(SUBSTITUTE(2キー同時!Z125," ",""),"　","")))</f>
        <v/>
      </c>
      <c r="H497" s="2" t="str">
        <f aca="false">IF($G497="","",2キー同時!$B$123)</f>
        <v/>
      </c>
      <c r="I497" s="2" t="str">
        <f aca="false">IF($G497="","","6")</f>
        <v/>
      </c>
      <c r="J497" s="2" t="str">
        <f aca="false">""</f>
        <v/>
      </c>
      <c r="K497" s="2" t="str">
        <f aca="false">""</f>
        <v/>
      </c>
      <c r="L497" s="2" t="str">
        <f aca="false">IF($G497="","","同時")</f>
        <v/>
      </c>
      <c r="M497" s="2" t="str">
        <f aca="false">IF($G497="","",IF(ISNA(MATCH($G497,個別指定!$A:$A,0)),"行なし",""))</f>
        <v/>
      </c>
      <c r="N497" s="2" t="str">
        <f aca="false">IF($G497="","",IF(COUNTIF($G$2:$G$4460,$G497)&gt;1,"重複",""))</f>
        <v/>
      </c>
    </row>
    <row r="498" customFormat="false" ht="16.5" hidden="false" customHeight="true" outlineLevel="0" collapsed="false">
      <c r="A498" s="2" t="s">
        <v>385</v>
      </c>
      <c r="B498" s="2" t="s">
        <v>395</v>
      </c>
      <c r="C498" s="2" t="s">
        <v>6</v>
      </c>
      <c r="D498" s="2" t="str">
        <f aca="false">IF(2キー同時!$B$123="","",2キー同時!$B$123)</f>
        <v/>
      </c>
      <c r="E498" s="2" t="str">
        <f aca="false">""</f>
        <v/>
      </c>
      <c r="F498" s="2" t="str">
        <f aca="false">""</f>
        <v/>
      </c>
      <c r="G498" s="2" t="str">
        <f aca="false">IF(2キー同時!$B$123="","",IF(2キー同時!AD125="","",SUBSTITUTE(SUBSTITUTE(2キー同時!AD125," ",""),"　","")))</f>
        <v/>
      </c>
      <c r="H498" s="2" t="str">
        <f aca="false">IF($G498="","",2キー同時!$B$123)</f>
        <v/>
      </c>
      <c r="I498" s="2" t="str">
        <f aca="false">IF($G498="","","7")</f>
        <v/>
      </c>
      <c r="J498" s="2" t="str">
        <f aca="false">""</f>
        <v/>
      </c>
      <c r="K498" s="2" t="str">
        <f aca="false">""</f>
        <v/>
      </c>
      <c r="L498" s="2" t="str">
        <f aca="false">IF($G498="","","同時")</f>
        <v/>
      </c>
      <c r="M498" s="2" t="str">
        <f aca="false">IF($G498="","",IF(ISNA(MATCH($G498,個別指定!$A:$A,0)),"行なし",""))</f>
        <v/>
      </c>
      <c r="N498" s="2" t="str">
        <f aca="false">IF($G498="","",IF(COUNTIF($G$2:$G$4460,$G498)&gt;1,"重複",""))</f>
        <v/>
      </c>
    </row>
    <row r="499" customFormat="false" ht="16.5" hidden="false" customHeight="true" outlineLevel="0" collapsed="false">
      <c r="A499" s="2" t="s">
        <v>385</v>
      </c>
      <c r="B499" s="2" t="s">
        <v>395</v>
      </c>
      <c r="C499" s="2" t="s">
        <v>7</v>
      </c>
      <c r="D499" s="2" t="str">
        <f aca="false">IF(2キー同時!$B$123="","",2キー同時!$B$123)</f>
        <v/>
      </c>
      <c r="E499" s="2" t="str">
        <f aca="false">""</f>
        <v/>
      </c>
      <c r="F499" s="2" t="str">
        <f aca="false">""</f>
        <v/>
      </c>
      <c r="G499" s="2" t="str">
        <f aca="false">IF(2キー同時!$B$123="","",IF(2キー同時!AH125="","",SUBSTITUTE(SUBSTITUTE(2キー同時!AH125," ",""),"　","")))</f>
        <v/>
      </c>
      <c r="H499" s="2" t="str">
        <f aca="false">IF($G499="","",2キー同時!$B$123)</f>
        <v/>
      </c>
      <c r="I499" s="2" t="str">
        <f aca="false">IF($G499="","","8")</f>
        <v/>
      </c>
      <c r="J499" s="2" t="str">
        <f aca="false">""</f>
        <v/>
      </c>
      <c r="K499" s="2" t="str">
        <f aca="false">""</f>
        <v/>
      </c>
      <c r="L499" s="2" t="str">
        <f aca="false">IF($G499="","","同時")</f>
        <v/>
      </c>
      <c r="M499" s="2" t="str">
        <f aca="false">IF($G499="","",IF(ISNA(MATCH($G499,個別指定!$A:$A,0)),"行なし",""))</f>
        <v/>
      </c>
      <c r="N499" s="2" t="str">
        <f aca="false">IF($G499="","",IF(COUNTIF($G$2:$G$4460,$G499)&gt;1,"重複",""))</f>
        <v/>
      </c>
    </row>
    <row r="500" customFormat="false" ht="16.5" hidden="false" customHeight="true" outlineLevel="0" collapsed="false">
      <c r="A500" s="2" t="s">
        <v>385</v>
      </c>
      <c r="B500" s="2" t="s">
        <v>395</v>
      </c>
      <c r="C500" s="2" t="s">
        <v>8</v>
      </c>
      <c r="D500" s="2" t="str">
        <f aca="false">IF(2キー同時!$B$123="","",2キー同時!$B$123)</f>
        <v/>
      </c>
      <c r="E500" s="2" t="str">
        <f aca="false">""</f>
        <v/>
      </c>
      <c r="F500" s="2" t="str">
        <f aca="false">""</f>
        <v/>
      </c>
      <c r="G500" s="2" t="str">
        <f aca="false">IF(2キー同時!$B$123="","",IF(2キー同時!AL125="","",SUBSTITUTE(SUBSTITUTE(2キー同時!AL125," ",""),"　","")))</f>
        <v/>
      </c>
      <c r="H500" s="2" t="str">
        <f aca="false">IF($G500="","",2キー同時!$B$123)</f>
        <v/>
      </c>
      <c r="I500" s="2" t="str">
        <f aca="false">IF($G500="","","9")</f>
        <v/>
      </c>
      <c r="J500" s="2" t="str">
        <f aca="false">""</f>
        <v/>
      </c>
      <c r="K500" s="2" t="str">
        <f aca="false">""</f>
        <v/>
      </c>
      <c r="L500" s="2" t="str">
        <f aca="false">IF($G500="","","同時")</f>
        <v/>
      </c>
      <c r="M500" s="2" t="str">
        <f aca="false">IF($G500="","",IF(ISNA(MATCH($G500,個別指定!$A:$A,0)),"行なし",""))</f>
        <v/>
      </c>
      <c r="N500" s="2" t="str">
        <f aca="false">IF($G500="","",IF(COUNTIF($G$2:$G$4460,$G500)&gt;1,"重複",""))</f>
        <v/>
      </c>
    </row>
    <row r="501" customFormat="false" ht="16.5" hidden="false" customHeight="true" outlineLevel="0" collapsed="false">
      <c r="A501" s="2" t="s">
        <v>385</v>
      </c>
      <c r="B501" s="2" t="s">
        <v>395</v>
      </c>
      <c r="C501" s="2" t="s">
        <v>9</v>
      </c>
      <c r="D501" s="2" t="str">
        <f aca="false">IF(2キー同時!$B$123="","",2キー同時!$B$123)</f>
        <v/>
      </c>
      <c r="E501" s="2" t="str">
        <f aca="false">""</f>
        <v/>
      </c>
      <c r="F501" s="2" t="str">
        <f aca="false">""</f>
        <v/>
      </c>
      <c r="G501" s="2" t="str">
        <f aca="false">IF(2キー同時!$B$123="","",IF(2キー同時!AP125="","",SUBSTITUTE(SUBSTITUTE(2キー同時!AP125," ",""),"　","")))</f>
        <v/>
      </c>
      <c r="H501" s="2" t="str">
        <f aca="false">IF($G501="","",2キー同時!$B$123)</f>
        <v/>
      </c>
      <c r="I501" s="2" t="str">
        <f aca="false">IF($G501="","","0")</f>
        <v/>
      </c>
      <c r="J501" s="2" t="str">
        <f aca="false">""</f>
        <v/>
      </c>
      <c r="K501" s="2" t="str">
        <f aca="false">""</f>
        <v/>
      </c>
      <c r="L501" s="2" t="str">
        <f aca="false">IF($G501="","","同時")</f>
        <v/>
      </c>
      <c r="M501" s="2" t="str">
        <f aca="false">IF($G501="","",IF(ISNA(MATCH($G501,個別指定!$A:$A,0)),"行なし",""))</f>
        <v/>
      </c>
      <c r="N501" s="2" t="str">
        <f aca="false">IF($G501="","",IF(COUNTIF($G$2:$G$4460,$G501)&gt;1,"重複",""))</f>
        <v/>
      </c>
    </row>
    <row r="502" customFormat="false" ht="16.5" hidden="false" customHeight="true" outlineLevel="0" collapsed="false">
      <c r="A502" s="2" t="s">
        <v>385</v>
      </c>
      <c r="B502" s="2" t="s">
        <v>395</v>
      </c>
      <c r="C502" s="2" t="s">
        <v>10</v>
      </c>
      <c r="D502" s="2" t="str">
        <f aca="false">IF(2キー同時!$B$123="","",2キー同時!$B$123)</f>
        <v/>
      </c>
      <c r="E502" s="2" t="str">
        <f aca="false">""</f>
        <v/>
      </c>
      <c r="F502" s="2" t="str">
        <f aca="false">""</f>
        <v/>
      </c>
      <c r="G502" s="2" t="str">
        <f aca="false">IF(2キー同時!$B$123="","",IF(2キー同時!AT125="","",SUBSTITUTE(SUBSTITUTE(2キー同時!AT125," ",""),"　","")))</f>
        <v/>
      </c>
      <c r="H502" s="2" t="str">
        <f aca="false">IF($G502="","",2キー同時!$B$123)</f>
        <v/>
      </c>
      <c r="I502" s="2" t="str">
        <f aca="false">IF($G502="","","-")</f>
        <v/>
      </c>
      <c r="J502" s="2" t="str">
        <f aca="false">""</f>
        <v/>
      </c>
      <c r="K502" s="2" t="str">
        <f aca="false">""</f>
        <v/>
      </c>
      <c r="L502" s="2" t="str">
        <f aca="false">IF($G502="","","同時")</f>
        <v/>
      </c>
      <c r="M502" s="2" t="str">
        <f aca="false">IF($G502="","",IF(ISNA(MATCH($G502,個別指定!$A:$A,0)),"行なし",""))</f>
        <v/>
      </c>
      <c r="N502" s="2" t="str">
        <f aca="false">IF($G502="","",IF(COUNTIF($G$2:$G$4460,$G502)&gt;1,"重複",""))</f>
        <v/>
      </c>
    </row>
    <row r="503" customFormat="false" ht="16.5" hidden="false" customHeight="true" outlineLevel="0" collapsed="false">
      <c r="A503" s="2" t="s">
        <v>385</v>
      </c>
      <c r="B503" s="2" t="s">
        <v>395</v>
      </c>
      <c r="C503" s="2" t="s">
        <v>11</v>
      </c>
      <c r="D503" s="2" t="str">
        <f aca="false">IF(2キー同時!$B$123="","",2キー同時!$B$123)</f>
        <v/>
      </c>
      <c r="E503" s="2" t="str">
        <f aca="false">""</f>
        <v/>
      </c>
      <c r="F503" s="2" t="str">
        <f aca="false">""</f>
        <v/>
      </c>
      <c r="G503" s="2" t="str">
        <f aca="false">IF(2キー同時!$B$123="","",IF(2キー同時!AX125="","",SUBSTITUTE(SUBSTITUTE(2キー同時!AX125," ",""),"　","")))</f>
        <v/>
      </c>
      <c r="H503" s="2" t="str">
        <f aca="false">IF($G503="","",2キー同時!$B$123)</f>
        <v/>
      </c>
      <c r="I503" s="2" t="str">
        <f aca="false">IF($G503="","","=")</f>
        <v/>
      </c>
      <c r="J503" s="2" t="str">
        <f aca="false">""</f>
        <v/>
      </c>
      <c r="K503" s="2" t="str">
        <f aca="false">""</f>
        <v/>
      </c>
      <c r="L503" s="2" t="str">
        <f aca="false">IF($G503="","","同時")</f>
        <v/>
      </c>
      <c r="M503" s="2" t="str">
        <f aca="false">IF($G503="","",IF(ISNA(MATCH($G503,個別指定!$A:$A,0)),"行なし",""))</f>
        <v/>
      </c>
      <c r="N503" s="2" t="str">
        <f aca="false">IF($G503="","",IF(COUNTIF($G$2:$G$4460,$G503)&gt;1,"重複",""))</f>
        <v/>
      </c>
    </row>
    <row r="504" customFormat="false" ht="16.5" hidden="false" customHeight="true" outlineLevel="0" collapsed="false">
      <c r="A504" s="2" t="s">
        <v>385</v>
      </c>
      <c r="B504" s="2" t="s">
        <v>395</v>
      </c>
      <c r="C504" s="2" t="s">
        <v>12</v>
      </c>
      <c r="D504" s="2" t="str">
        <f aca="false">IF(2キー同時!$B$123="","",2キー同時!$B$123)</f>
        <v/>
      </c>
      <c r="E504" s="2" t="str">
        <f aca="false">""</f>
        <v/>
      </c>
      <c r="F504" s="2" t="str">
        <f aca="false">""</f>
        <v/>
      </c>
      <c r="G504" s="2" t="str">
        <f aca="false">IF(2キー同時!$B$123="","",IF(2キー同時!H127="","",SUBSTITUTE(SUBSTITUTE(2キー同時!H127," ",""),"　","")))</f>
        <v/>
      </c>
      <c r="H504" s="2" t="str">
        <f aca="false">IF($G504="","",2キー同時!$B$123)</f>
        <v/>
      </c>
      <c r="I504" s="2" t="str">
        <f aca="false">IF($G504="","","q")</f>
        <v/>
      </c>
      <c r="J504" s="2" t="str">
        <f aca="false">""</f>
        <v/>
      </c>
      <c r="K504" s="2" t="str">
        <f aca="false">""</f>
        <v/>
      </c>
      <c r="L504" s="2" t="str">
        <f aca="false">IF($G504="","","同時")</f>
        <v/>
      </c>
      <c r="M504" s="2" t="str">
        <f aca="false">IF($G504="","",IF(ISNA(MATCH($G504,個別指定!$A:$A,0)),"行なし",""))</f>
        <v/>
      </c>
      <c r="N504" s="2" t="str">
        <f aca="false">IF($G504="","",IF(COUNTIF($G$2:$G$4460,$G504)&gt;1,"重複",""))</f>
        <v/>
      </c>
    </row>
    <row r="505" customFormat="false" ht="16.5" hidden="false" customHeight="true" outlineLevel="0" collapsed="false">
      <c r="A505" s="2" t="s">
        <v>385</v>
      </c>
      <c r="B505" s="2" t="s">
        <v>395</v>
      </c>
      <c r="C505" s="2" t="s">
        <v>13</v>
      </c>
      <c r="D505" s="2" t="str">
        <f aca="false">IF(2キー同時!$B$123="","",2キー同時!$B$123)</f>
        <v/>
      </c>
      <c r="E505" s="2" t="str">
        <f aca="false">""</f>
        <v/>
      </c>
      <c r="F505" s="2" t="str">
        <f aca="false">""</f>
        <v/>
      </c>
      <c r="G505" s="2" t="str">
        <f aca="false">IF(2キー同時!$B$123="","",IF(2キー同時!L127="","",SUBSTITUTE(SUBSTITUTE(2キー同時!L127," ",""),"　","")))</f>
        <v/>
      </c>
      <c r="H505" s="2" t="str">
        <f aca="false">IF($G505="","",2キー同時!$B$123)</f>
        <v/>
      </c>
      <c r="I505" s="2" t="str">
        <f aca="false">IF($G505="","","w")</f>
        <v/>
      </c>
      <c r="J505" s="2" t="str">
        <f aca="false">""</f>
        <v/>
      </c>
      <c r="K505" s="2" t="str">
        <f aca="false">""</f>
        <v/>
      </c>
      <c r="L505" s="2" t="str">
        <f aca="false">IF($G505="","","同時")</f>
        <v/>
      </c>
      <c r="M505" s="2" t="str">
        <f aca="false">IF($G505="","",IF(ISNA(MATCH($G505,個別指定!$A:$A,0)),"行なし",""))</f>
        <v/>
      </c>
      <c r="N505" s="2" t="str">
        <f aca="false">IF($G505="","",IF(COUNTIF($G$2:$G$4460,$G505)&gt;1,"重複",""))</f>
        <v/>
      </c>
    </row>
    <row r="506" customFormat="false" ht="16.5" hidden="false" customHeight="true" outlineLevel="0" collapsed="false">
      <c r="A506" s="2" t="s">
        <v>385</v>
      </c>
      <c r="B506" s="2" t="s">
        <v>395</v>
      </c>
      <c r="C506" s="2" t="s">
        <v>14</v>
      </c>
      <c r="D506" s="2" t="str">
        <f aca="false">IF(2キー同時!$B$123="","",2キー同時!$B$123)</f>
        <v/>
      </c>
      <c r="E506" s="2" t="str">
        <f aca="false">""</f>
        <v/>
      </c>
      <c r="F506" s="2" t="str">
        <f aca="false">""</f>
        <v/>
      </c>
      <c r="G506" s="2" t="str">
        <f aca="false">IF(2キー同時!$B$123="","",IF(2キー同時!P127="","",SUBSTITUTE(SUBSTITUTE(2キー同時!P127," ",""),"　","")))</f>
        <v/>
      </c>
      <c r="H506" s="2" t="str">
        <f aca="false">IF($G506="","",2キー同時!$B$123)</f>
        <v/>
      </c>
      <c r="I506" s="2" t="str">
        <f aca="false">IF($G506="","","e")</f>
        <v/>
      </c>
      <c r="J506" s="2" t="str">
        <f aca="false">""</f>
        <v/>
      </c>
      <c r="K506" s="2" t="str">
        <f aca="false">""</f>
        <v/>
      </c>
      <c r="L506" s="2" t="str">
        <f aca="false">IF($G506="","","同時")</f>
        <v/>
      </c>
      <c r="M506" s="2" t="str">
        <f aca="false">IF($G506="","",IF(ISNA(MATCH($G506,個別指定!$A:$A,0)),"行なし",""))</f>
        <v/>
      </c>
      <c r="N506" s="2" t="str">
        <f aca="false">IF($G506="","",IF(COUNTIF($G$2:$G$4460,$G506)&gt;1,"重複",""))</f>
        <v/>
      </c>
    </row>
    <row r="507" customFormat="false" ht="16.5" hidden="false" customHeight="true" outlineLevel="0" collapsed="false">
      <c r="A507" s="2" t="s">
        <v>385</v>
      </c>
      <c r="B507" s="2" t="s">
        <v>395</v>
      </c>
      <c r="C507" s="2" t="s">
        <v>15</v>
      </c>
      <c r="D507" s="2" t="str">
        <f aca="false">IF(2キー同時!$B$123="","",2キー同時!$B$123)</f>
        <v/>
      </c>
      <c r="E507" s="2" t="str">
        <f aca="false">""</f>
        <v/>
      </c>
      <c r="F507" s="2" t="str">
        <f aca="false">""</f>
        <v/>
      </c>
      <c r="G507" s="2" t="str">
        <f aca="false">IF(2キー同時!$B$123="","",IF(2キー同時!T127="","",SUBSTITUTE(SUBSTITUTE(2キー同時!T127," ",""),"　","")))</f>
        <v/>
      </c>
      <c r="H507" s="2" t="str">
        <f aca="false">IF($G507="","",2キー同時!$B$123)</f>
        <v/>
      </c>
      <c r="I507" s="2" t="str">
        <f aca="false">IF($G507="","","r")</f>
        <v/>
      </c>
      <c r="J507" s="2" t="str">
        <f aca="false">""</f>
        <v/>
      </c>
      <c r="K507" s="2" t="str">
        <f aca="false">""</f>
        <v/>
      </c>
      <c r="L507" s="2" t="str">
        <f aca="false">IF($G507="","","同時")</f>
        <v/>
      </c>
      <c r="M507" s="2" t="str">
        <f aca="false">IF($G507="","",IF(ISNA(MATCH($G507,個別指定!$A:$A,0)),"行なし",""))</f>
        <v/>
      </c>
      <c r="N507" s="2" t="str">
        <f aca="false">IF($G507="","",IF(COUNTIF($G$2:$G$4460,$G507)&gt;1,"重複",""))</f>
        <v/>
      </c>
    </row>
    <row r="508" customFormat="false" ht="16.5" hidden="false" customHeight="true" outlineLevel="0" collapsed="false">
      <c r="A508" s="2" t="s">
        <v>385</v>
      </c>
      <c r="B508" s="2" t="s">
        <v>395</v>
      </c>
      <c r="C508" s="2" t="s">
        <v>16</v>
      </c>
      <c r="D508" s="2" t="str">
        <f aca="false">IF(2キー同時!$B$123="","",2キー同時!$B$123)</f>
        <v/>
      </c>
      <c r="E508" s="2" t="str">
        <f aca="false">""</f>
        <v/>
      </c>
      <c r="F508" s="2" t="str">
        <f aca="false">""</f>
        <v/>
      </c>
      <c r="G508" s="2" t="str">
        <f aca="false">IF(2キー同時!$B$123="","",IF(2キー同時!X127="","",SUBSTITUTE(SUBSTITUTE(2キー同時!X127," ",""),"　","")))</f>
        <v/>
      </c>
      <c r="H508" s="2" t="str">
        <f aca="false">IF($G508="","",2キー同時!$B$123)</f>
        <v/>
      </c>
      <c r="I508" s="2" t="str">
        <f aca="false">IF($G508="","","t")</f>
        <v/>
      </c>
      <c r="J508" s="2" t="str">
        <f aca="false">""</f>
        <v/>
      </c>
      <c r="K508" s="2" t="str">
        <f aca="false">""</f>
        <v/>
      </c>
      <c r="L508" s="2" t="str">
        <f aca="false">IF($G508="","","同時")</f>
        <v/>
      </c>
      <c r="M508" s="2" t="str">
        <f aca="false">IF($G508="","",IF(ISNA(MATCH($G508,個別指定!$A:$A,0)),"行なし",""))</f>
        <v/>
      </c>
      <c r="N508" s="2" t="str">
        <f aca="false">IF($G508="","",IF(COUNTIF($G$2:$G$4460,$G508)&gt;1,"重複",""))</f>
        <v/>
      </c>
    </row>
    <row r="509" customFormat="false" ht="16.5" hidden="false" customHeight="true" outlineLevel="0" collapsed="false">
      <c r="A509" s="2" t="s">
        <v>385</v>
      </c>
      <c r="B509" s="2" t="s">
        <v>395</v>
      </c>
      <c r="C509" s="2" t="s">
        <v>17</v>
      </c>
      <c r="D509" s="2" t="str">
        <f aca="false">IF(2キー同時!$B$123="","",2キー同時!$B$123)</f>
        <v/>
      </c>
      <c r="E509" s="2" t="str">
        <f aca="false">""</f>
        <v/>
      </c>
      <c r="F509" s="2" t="str">
        <f aca="false">""</f>
        <v/>
      </c>
      <c r="G509" s="2" t="str">
        <f aca="false">IF(2キー同時!$B$123="","",IF(2キー同時!AB127="","",SUBSTITUTE(SUBSTITUTE(2キー同時!AB127," ",""),"　","")))</f>
        <v/>
      </c>
      <c r="H509" s="2" t="str">
        <f aca="false">IF($G509="","",2キー同時!$B$123)</f>
        <v/>
      </c>
      <c r="I509" s="2" t="str">
        <f aca="false">IF($G509="","","y")</f>
        <v/>
      </c>
      <c r="J509" s="2" t="str">
        <f aca="false">""</f>
        <v/>
      </c>
      <c r="K509" s="2" t="str">
        <f aca="false">""</f>
        <v/>
      </c>
      <c r="L509" s="2" t="str">
        <f aca="false">IF($G509="","","同時")</f>
        <v/>
      </c>
      <c r="M509" s="2" t="str">
        <f aca="false">IF($G509="","",IF(ISNA(MATCH($G509,個別指定!$A:$A,0)),"行なし",""))</f>
        <v/>
      </c>
      <c r="N509" s="2" t="str">
        <f aca="false">IF($G509="","",IF(COUNTIF($G$2:$G$4460,$G509)&gt;1,"重複",""))</f>
        <v/>
      </c>
    </row>
    <row r="510" customFormat="false" ht="16.5" hidden="false" customHeight="true" outlineLevel="0" collapsed="false">
      <c r="A510" s="2" t="s">
        <v>385</v>
      </c>
      <c r="B510" s="2" t="s">
        <v>395</v>
      </c>
      <c r="C510" s="2" t="s">
        <v>18</v>
      </c>
      <c r="D510" s="2" t="str">
        <f aca="false">IF(2キー同時!$B$123="","",2キー同時!$B$123)</f>
        <v/>
      </c>
      <c r="E510" s="2" t="str">
        <f aca="false">""</f>
        <v/>
      </c>
      <c r="F510" s="2" t="str">
        <f aca="false">""</f>
        <v/>
      </c>
      <c r="G510" s="2" t="str">
        <f aca="false">IF(2キー同時!$B$123="","",IF(2キー同時!AF127="","",SUBSTITUTE(SUBSTITUTE(2キー同時!AF127," ",""),"　","")))</f>
        <v/>
      </c>
      <c r="H510" s="2" t="str">
        <f aca="false">IF($G510="","",2キー同時!$B$123)</f>
        <v/>
      </c>
      <c r="I510" s="2" t="str">
        <f aca="false">IF($G510="","","u")</f>
        <v/>
      </c>
      <c r="J510" s="2" t="str">
        <f aca="false">""</f>
        <v/>
      </c>
      <c r="K510" s="2" t="str">
        <f aca="false">""</f>
        <v/>
      </c>
      <c r="L510" s="2" t="str">
        <f aca="false">IF($G510="","","同時")</f>
        <v/>
      </c>
      <c r="M510" s="2" t="str">
        <f aca="false">IF($G510="","",IF(ISNA(MATCH($G510,個別指定!$A:$A,0)),"行なし",""))</f>
        <v/>
      </c>
      <c r="N510" s="2" t="str">
        <f aca="false">IF($G510="","",IF(COUNTIF($G$2:$G$4460,$G510)&gt;1,"重複",""))</f>
        <v/>
      </c>
    </row>
    <row r="511" customFormat="false" ht="16.5" hidden="false" customHeight="true" outlineLevel="0" collapsed="false">
      <c r="A511" s="2" t="s">
        <v>385</v>
      </c>
      <c r="B511" s="2" t="s">
        <v>395</v>
      </c>
      <c r="C511" s="2" t="s">
        <v>19</v>
      </c>
      <c r="D511" s="2" t="str">
        <f aca="false">IF(2キー同時!$B$123="","",2キー同時!$B$123)</f>
        <v/>
      </c>
      <c r="E511" s="2" t="str">
        <f aca="false">""</f>
        <v/>
      </c>
      <c r="F511" s="2" t="str">
        <f aca="false">""</f>
        <v/>
      </c>
      <c r="G511" s="2" t="str">
        <f aca="false">IF(2キー同時!$B$123="","",IF(2キー同時!AJ127="","",SUBSTITUTE(SUBSTITUTE(2キー同時!AJ127," ",""),"　","")))</f>
        <v/>
      </c>
      <c r="H511" s="2" t="str">
        <f aca="false">IF($G511="","",2キー同時!$B$123)</f>
        <v/>
      </c>
      <c r="I511" s="2" t="str">
        <f aca="false">IF($G511="","","i")</f>
        <v/>
      </c>
      <c r="J511" s="2" t="str">
        <f aca="false">""</f>
        <v/>
      </c>
      <c r="K511" s="2" t="str">
        <f aca="false">""</f>
        <v/>
      </c>
      <c r="L511" s="2" t="str">
        <f aca="false">IF($G511="","","同時")</f>
        <v/>
      </c>
      <c r="M511" s="2" t="str">
        <f aca="false">IF($G511="","",IF(ISNA(MATCH($G511,個別指定!$A:$A,0)),"行なし",""))</f>
        <v/>
      </c>
      <c r="N511" s="2" t="str">
        <f aca="false">IF($G511="","",IF(COUNTIF($G$2:$G$4460,$G511)&gt;1,"重複",""))</f>
        <v/>
      </c>
    </row>
    <row r="512" customFormat="false" ht="16.5" hidden="false" customHeight="true" outlineLevel="0" collapsed="false">
      <c r="A512" s="2" t="s">
        <v>385</v>
      </c>
      <c r="B512" s="2" t="s">
        <v>395</v>
      </c>
      <c r="C512" s="2" t="s">
        <v>20</v>
      </c>
      <c r="D512" s="2" t="str">
        <f aca="false">IF(2キー同時!$B$123="","",2キー同時!$B$123)</f>
        <v/>
      </c>
      <c r="E512" s="2" t="str">
        <f aca="false">""</f>
        <v/>
      </c>
      <c r="F512" s="2" t="str">
        <f aca="false">""</f>
        <v/>
      </c>
      <c r="G512" s="2" t="str">
        <f aca="false">IF(2キー同時!$B$123="","",IF(2キー同時!AN127="","",SUBSTITUTE(SUBSTITUTE(2キー同時!AN127," ",""),"　","")))</f>
        <v/>
      </c>
      <c r="H512" s="2" t="str">
        <f aca="false">IF($G512="","",2キー同時!$B$123)</f>
        <v/>
      </c>
      <c r="I512" s="2" t="str">
        <f aca="false">IF($G512="","","o")</f>
        <v/>
      </c>
      <c r="J512" s="2" t="str">
        <f aca="false">""</f>
        <v/>
      </c>
      <c r="K512" s="2" t="str">
        <f aca="false">""</f>
        <v/>
      </c>
      <c r="L512" s="2" t="str">
        <f aca="false">IF($G512="","","同時")</f>
        <v/>
      </c>
      <c r="M512" s="2" t="str">
        <f aca="false">IF($G512="","",IF(ISNA(MATCH($G512,個別指定!$A:$A,0)),"行なし",""))</f>
        <v/>
      </c>
      <c r="N512" s="2" t="str">
        <f aca="false">IF($G512="","",IF(COUNTIF($G$2:$G$4460,$G512)&gt;1,"重複",""))</f>
        <v/>
      </c>
    </row>
    <row r="513" customFormat="false" ht="16.5" hidden="false" customHeight="true" outlineLevel="0" collapsed="false">
      <c r="A513" s="2" t="s">
        <v>385</v>
      </c>
      <c r="B513" s="2" t="s">
        <v>395</v>
      </c>
      <c r="C513" s="2" t="s">
        <v>21</v>
      </c>
      <c r="D513" s="2" t="str">
        <f aca="false">IF(2キー同時!$B$123="","",2キー同時!$B$123)</f>
        <v/>
      </c>
      <c r="E513" s="2" t="str">
        <f aca="false">""</f>
        <v/>
      </c>
      <c r="F513" s="2" t="str">
        <f aca="false">""</f>
        <v/>
      </c>
      <c r="G513" s="2" t="str">
        <f aca="false">IF(2キー同時!$B$123="","",IF(2キー同時!AR127="","",SUBSTITUTE(SUBSTITUTE(2キー同時!AR127," ",""),"　","")))</f>
        <v/>
      </c>
      <c r="H513" s="2" t="str">
        <f aca="false">IF($G513="","",2キー同時!$B$123)</f>
        <v/>
      </c>
      <c r="I513" s="2" t="str">
        <f aca="false">IF($G513="","","p")</f>
        <v/>
      </c>
      <c r="J513" s="2" t="str">
        <f aca="false">""</f>
        <v/>
      </c>
      <c r="K513" s="2" t="str">
        <f aca="false">""</f>
        <v/>
      </c>
      <c r="L513" s="2" t="str">
        <f aca="false">IF($G513="","","同時")</f>
        <v/>
      </c>
      <c r="M513" s="2" t="str">
        <f aca="false">IF($G513="","",IF(ISNA(MATCH($G513,個別指定!$A:$A,0)),"行なし",""))</f>
        <v/>
      </c>
      <c r="N513" s="2" t="str">
        <f aca="false">IF($G513="","",IF(COUNTIF($G$2:$G$4460,$G513)&gt;1,"重複",""))</f>
        <v/>
      </c>
    </row>
    <row r="514" customFormat="false" ht="16.5" hidden="false" customHeight="true" outlineLevel="0" collapsed="false">
      <c r="A514" s="2" t="s">
        <v>385</v>
      </c>
      <c r="B514" s="2" t="s">
        <v>395</v>
      </c>
      <c r="C514" s="2" t="s">
        <v>22</v>
      </c>
      <c r="D514" s="2" t="str">
        <f aca="false">IF(2キー同時!$B$123="","",2キー同時!$B$123)</f>
        <v/>
      </c>
      <c r="E514" s="2" t="str">
        <f aca="false">""</f>
        <v/>
      </c>
      <c r="F514" s="2" t="str">
        <f aca="false">""</f>
        <v/>
      </c>
      <c r="G514" s="2" t="str">
        <f aca="false">IF(2キー同時!$B$123="","",IF(2キー同時!AV127="","",SUBSTITUTE(SUBSTITUTE(2キー同時!AV127," ",""),"　","")))</f>
        <v/>
      </c>
      <c r="H514" s="2" t="str">
        <f aca="false">IF($G514="","",2キー同時!$B$123)</f>
        <v/>
      </c>
      <c r="I514" s="2" t="str">
        <f aca="false">IF($G514="","","[")</f>
        <v/>
      </c>
      <c r="J514" s="2" t="str">
        <f aca="false">""</f>
        <v/>
      </c>
      <c r="K514" s="2" t="str">
        <f aca="false">""</f>
        <v/>
      </c>
      <c r="L514" s="2" t="str">
        <f aca="false">IF($G514="","","同時")</f>
        <v/>
      </c>
      <c r="M514" s="2" t="str">
        <f aca="false">IF($G514="","",IF(ISNA(MATCH($G514,個別指定!$A:$A,0)),"行なし",""))</f>
        <v/>
      </c>
      <c r="N514" s="2" t="str">
        <f aca="false">IF($G514="","",IF(COUNTIF($G$2:$G$4460,$G514)&gt;1,"重複",""))</f>
        <v/>
      </c>
    </row>
    <row r="515" customFormat="false" ht="16.5" hidden="false" customHeight="true" outlineLevel="0" collapsed="false">
      <c r="A515" s="2" t="s">
        <v>385</v>
      </c>
      <c r="B515" s="2" t="s">
        <v>395</v>
      </c>
      <c r="C515" s="2" t="s">
        <v>23</v>
      </c>
      <c r="D515" s="2" t="str">
        <f aca="false">IF(2キー同時!$B$123="","",2キー同時!$B$123)</f>
        <v/>
      </c>
      <c r="E515" s="2" t="str">
        <f aca="false">""</f>
        <v/>
      </c>
      <c r="F515" s="2" t="str">
        <f aca="false">""</f>
        <v/>
      </c>
      <c r="G515" s="2" t="str">
        <f aca="false">IF(2キー同時!$B$123="","",IF(2キー同時!AZ127="","",SUBSTITUTE(SUBSTITUTE(2キー同時!AZ127," ",""),"　","")))</f>
        <v/>
      </c>
      <c r="H515" s="2" t="str">
        <f aca="false">IF($G515="","",2キー同時!$B$123)</f>
        <v/>
      </c>
      <c r="I515" s="2" t="str">
        <f aca="false">IF($G515="","","]")</f>
        <v/>
      </c>
      <c r="J515" s="2" t="str">
        <f aca="false">""</f>
        <v/>
      </c>
      <c r="K515" s="2" t="str">
        <f aca="false">""</f>
        <v/>
      </c>
      <c r="L515" s="2" t="str">
        <f aca="false">IF($G515="","","同時")</f>
        <v/>
      </c>
      <c r="M515" s="2" t="str">
        <f aca="false">IF($G515="","",IF(ISNA(MATCH($G515,個別指定!$A:$A,0)),"行なし",""))</f>
        <v/>
      </c>
      <c r="N515" s="2" t="str">
        <f aca="false">IF($G515="","",IF(COUNTIF($G$2:$G$4460,$G515)&gt;1,"重複",""))</f>
        <v/>
      </c>
    </row>
    <row r="516" customFormat="false" ht="16.5" hidden="false" customHeight="true" outlineLevel="0" collapsed="false">
      <c r="A516" s="2" t="s">
        <v>385</v>
      </c>
      <c r="B516" s="2" t="s">
        <v>395</v>
      </c>
      <c r="C516" s="2" t="s">
        <v>24</v>
      </c>
      <c r="D516" s="2" t="str">
        <f aca="false">IF(2キー同時!$B$123="","",2キー同時!$B$123)</f>
        <v/>
      </c>
      <c r="E516" s="2" t="str">
        <f aca="false">""</f>
        <v/>
      </c>
      <c r="F516" s="2" t="str">
        <f aca="false">""</f>
        <v/>
      </c>
      <c r="G516" s="2" t="str">
        <f aca="false">IF(2キー同時!$B$123="","",IF(2キー同時!I129="","",SUBSTITUTE(SUBSTITUTE(2キー同時!I129," ",""),"　","")))</f>
        <v/>
      </c>
      <c r="H516" s="2" t="str">
        <f aca="false">IF($G516="","",2キー同時!$B$123)</f>
        <v/>
      </c>
      <c r="I516" s="2" t="str">
        <f aca="false">IF($G516="","","a")</f>
        <v/>
      </c>
      <c r="J516" s="2" t="str">
        <f aca="false">""</f>
        <v/>
      </c>
      <c r="K516" s="2" t="str">
        <f aca="false">""</f>
        <v/>
      </c>
      <c r="L516" s="2" t="str">
        <f aca="false">IF($G516="","","同時")</f>
        <v/>
      </c>
      <c r="M516" s="2" t="str">
        <f aca="false">IF($G516="","",IF(ISNA(MATCH($G516,個別指定!$A:$A,0)),"行なし",""))</f>
        <v/>
      </c>
      <c r="N516" s="2" t="str">
        <f aca="false">IF($G516="","",IF(COUNTIF($G$2:$G$4460,$G516)&gt;1,"重複",""))</f>
        <v/>
      </c>
    </row>
    <row r="517" customFormat="false" ht="16.5" hidden="false" customHeight="true" outlineLevel="0" collapsed="false">
      <c r="A517" s="2" t="s">
        <v>385</v>
      </c>
      <c r="B517" s="2" t="s">
        <v>395</v>
      </c>
      <c r="C517" s="2" t="s">
        <v>25</v>
      </c>
      <c r="D517" s="2" t="str">
        <f aca="false">IF(2キー同時!$B$123="","",2キー同時!$B$123)</f>
        <v/>
      </c>
      <c r="E517" s="2" t="str">
        <f aca="false">""</f>
        <v/>
      </c>
      <c r="F517" s="2" t="str">
        <f aca="false">""</f>
        <v/>
      </c>
      <c r="G517" s="2" t="str">
        <f aca="false">IF(2キー同時!$B$123="","",IF(2キー同時!M129="","",SUBSTITUTE(SUBSTITUTE(2キー同時!M129," ",""),"　","")))</f>
        <v/>
      </c>
      <c r="H517" s="2" t="str">
        <f aca="false">IF($G517="","",2キー同時!$B$123)</f>
        <v/>
      </c>
      <c r="I517" s="2" t="str">
        <f aca="false">IF($G517="","","s")</f>
        <v/>
      </c>
      <c r="J517" s="2" t="str">
        <f aca="false">""</f>
        <v/>
      </c>
      <c r="K517" s="2" t="str">
        <f aca="false">""</f>
        <v/>
      </c>
      <c r="L517" s="2" t="str">
        <f aca="false">IF($G517="","","同時")</f>
        <v/>
      </c>
      <c r="M517" s="2" t="str">
        <f aca="false">IF($G517="","",IF(ISNA(MATCH($G517,個別指定!$A:$A,0)),"行なし",""))</f>
        <v/>
      </c>
      <c r="N517" s="2" t="str">
        <f aca="false">IF($G517="","",IF(COUNTIF($G$2:$G$4460,$G517)&gt;1,"重複",""))</f>
        <v/>
      </c>
    </row>
    <row r="518" customFormat="false" ht="16.5" hidden="false" customHeight="true" outlineLevel="0" collapsed="false">
      <c r="A518" s="2" t="s">
        <v>385</v>
      </c>
      <c r="B518" s="2" t="s">
        <v>395</v>
      </c>
      <c r="C518" s="2" t="s">
        <v>26</v>
      </c>
      <c r="D518" s="2" t="str">
        <f aca="false">IF(2キー同時!$B$123="","",2キー同時!$B$123)</f>
        <v/>
      </c>
      <c r="E518" s="2" t="str">
        <f aca="false">""</f>
        <v/>
      </c>
      <c r="F518" s="2" t="str">
        <f aca="false">""</f>
        <v/>
      </c>
      <c r="G518" s="2" t="str">
        <f aca="false">IF(2キー同時!$B$123="","",IF(2キー同時!Q129="","",SUBSTITUTE(SUBSTITUTE(2キー同時!Q129," ",""),"　","")))</f>
        <v/>
      </c>
      <c r="H518" s="2" t="str">
        <f aca="false">IF($G518="","",2キー同時!$B$123)</f>
        <v/>
      </c>
      <c r="I518" s="2" t="str">
        <f aca="false">IF($G518="","","d")</f>
        <v/>
      </c>
      <c r="J518" s="2" t="str">
        <f aca="false">""</f>
        <v/>
      </c>
      <c r="K518" s="2" t="str">
        <f aca="false">""</f>
        <v/>
      </c>
      <c r="L518" s="2" t="str">
        <f aca="false">IF($G518="","","同時")</f>
        <v/>
      </c>
      <c r="M518" s="2" t="str">
        <f aca="false">IF($G518="","",IF(ISNA(MATCH($G518,個別指定!$A:$A,0)),"行なし",""))</f>
        <v/>
      </c>
      <c r="N518" s="2" t="str">
        <f aca="false">IF($G518="","",IF(COUNTIF($G$2:$G$4460,$G518)&gt;1,"重複",""))</f>
        <v/>
      </c>
    </row>
    <row r="519" customFormat="false" ht="16.5" hidden="false" customHeight="true" outlineLevel="0" collapsed="false">
      <c r="A519" s="2" t="s">
        <v>385</v>
      </c>
      <c r="B519" s="2" t="s">
        <v>395</v>
      </c>
      <c r="C519" s="2" t="s">
        <v>27</v>
      </c>
      <c r="D519" s="2" t="str">
        <f aca="false">IF(2キー同時!$B$123="","",2キー同時!$B$123)</f>
        <v/>
      </c>
      <c r="E519" s="2" t="str">
        <f aca="false">""</f>
        <v/>
      </c>
      <c r="F519" s="2" t="str">
        <f aca="false">""</f>
        <v/>
      </c>
      <c r="G519" s="2" t="str">
        <f aca="false">IF(2キー同時!$B$123="","",IF(2キー同時!U129="","",SUBSTITUTE(SUBSTITUTE(2キー同時!U129," ",""),"　","")))</f>
        <v/>
      </c>
      <c r="H519" s="2" t="str">
        <f aca="false">IF($G519="","",2キー同時!$B$123)</f>
        <v/>
      </c>
      <c r="I519" s="2" t="str">
        <f aca="false">IF($G519="","","f")</f>
        <v/>
      </c>
      <c r="J519" s="2" t="str">
        <f aca="false">""</f>
        <v/>
      </c>
      <c r="K519" s="2" t="str">
        <f aca="false">""</f>
        <v/>
      </c>
      <c r="L519" s="2" t="str">
        <f aca="false">IF($G519="","","同時")</f>
        <v/>
      </c>
      <c r="M519" s="2" t="str">
        <f aca="false">IF($G519="","",IF(ISNA(MATCH($G519,個別指定!$A:$A,0)),"行なし",""))</f>
        <v/>
      </c>
      <c r="N519" s="2" t="str">
        <f aca="false">IF($G519="","",IF(COUNTIF($G$2:$G$4460,$G519)&gt;1,"重複",""))</f>
        <v/>
      </c>
    </row>
    <row r="520" customFormat="false" ht="16.5" hidden="false" customHeight="true" outlineLevel="0" collapsed="false">
      <c r="A520" s="2" t="s">
        <v>385</v>
      </c>
      <c r="B520" s="2" t="s">
        <v>395</v>
      </c>
      <c r="C520" s="2" t="s">
        <v>28</v>
      </c>
      <c r="D520" s="2" t="str">
        <f aca="false">IF(2キー同時!$B$123="","",2キー同時!$B$123)</f>
        <v/>
      </c>
      <c r="E520" s="2" t="str">
        <f aca="false">""</f>
        <v/>
      </c>
      <c r="F520" s="2" t="str">
        <f aca="false">""</f>
        <v/>
      </c>
      <c r="G520" s="2" t="str">
        <f aca="false">IF(2キー同時!$B$123="","",IF(2キー同時!Y129="","",SUBSTITUTE(SUBSTITUTE(2キー同時!Y129," ",""),"　","")))</f>
        <v/>
      </c>
      <c r="H520" s="2" t="str">
        <f aca="false">IF($G520="","",2キー同時!$B$123)</f>
        <v/>
      </c>
      <c r="I520" s="2" t="str">
        <f aca="false">IF($G520="","","g")</f>
        <v/>
      </c>
      <c r="J520" s="2" t="str">
        <f aca="false">""</f>
        <v/>
      </c>
      <c r="K520" s="2" t="str">
        <f aca="false">""</f>
        <v/>
      </c>
      <c r="L520" s="2" t="str">
        <f aca="false">IF($G520="","","同時")</f>
        <v/>
      </c>
      <c r="M520" s="2" t="str">
        <f aca="false">IF($G520="","",IF(ISNA(MATCH($G520,個別指定!$A:$A,0)),"行なし",""))</f>
        <v/>
      </c>
      <c r="N520" s="2" t="str">
        <f aca="false">IF($G520="","",IF(COUNTIF($G$2:$G$4460,$G520)&gt;1,"重複",""))</f>
        <v/>
      </c>
    </row>
    <row r="521" customFormat="false" ht="16.5" hidden="false" customHeight="true" outlineLevel="0" collapsed="false">
      <c r="A521" s="2" t="s">
        <v>385</v>
      </c>
      <c r="B521" s="2" t="s">
        <v>395</v>
      </c>
      <c r="C521" s="2" t="s">
        <v>29</v>
      </c>
      <c r="D521" s="2" t="str">
        <f aca="false">IF(2キー同時!$B$123="","",2キー同時!$B$123)</f>
        <v/>
      </c>
      <c r="E521" s="2" t="str">
        <f aca="false">""</f>
        <v/>
      </c>
      <c r="F521" s="2" t="str">
        <f aca="false">""</f>
        <v/>
      </c>
      <c r="G521" s="2" t="str">
        <f aca="false">IF(2キー同時!$B$123="","",IF(2キー同時!AC129="","",SUBSTITUTE(SUBSTITUTE(2キー同時!AC129," ",""),"　","")))</f>
        <v/>
      </c>
      <c r="H521" s="2" t="str">
        <f aca="false">IF($G521="","",2キー同時!$B$123)</f>
        <v/>
      </c>
      <c r="I521" s="2" t="str">
        <f aca="false">IF($G521="","","h")</f>
        <v/>
      </c>
      <c r="J521" s="2" t="str">
        <f aca="false">""</f>
        <v/>
      </c>
      <c r="K521" s="2" t="str">
        <f aca="false">""</f>
        <v/>
      </c>
      <c r="L521" s="2" t="str">
        <f aca="false">IF($G521="","","同時")</f>
        <v/>
      </c>
      <c r="M521" s="2" t="str">
        <f aca="false">IF($G521="","",IF(ISNA(MATCH($G521,個別指定!$A:$A,0)),"行なし",""))</f>
        <v/>
      </c>
      <c r="N521" s="2" t="str">
        <f aca="false">IF($G521="","",IF(COUNTIF($G$2:$G$4460,$G521)&gt;1,"重複",""))</f>
        <v/>
      </c>
    </row>
    <row r="522" customFormat="false" ht="16.5" hidden="false" customHeight="true" outlineLevel="0" collapsed="false">
      <c r="A522" s="2" t="s">
        <v>385</v>
      </c>
      <c r="B522" s="2" t="s">
        <v>395</v>
      </c>
      <c r="C522" s="2" t="s">
        <v>30</v>
      </c>
      <c r="D522" s="2" t="str">
        <f aca="false">IF(2キー同時!$B$123="","",2キー同時!$B$123)</f>
        <v/>
      </c>
      <c r="E522" s="2" t="str">
        <f aca="false">""</f>
        <v/>
      </c>
      <c r="F522" s="2" t="str">
        <f aca="false">""</f>
        <v/>
      </c>
      <c r="G522" s="2" t="str">
        <f aca="false">IF(2キー同時!$B$123="","",IF(2キー同時!AG129="","",SUBSTITUTE(SUBSTITUTE(2キー同時!AG129," ",""),"　","")))</f>
        <v/>
      </c>
      <c r="H522" s="2" t="str">
        <f aca="false">IF($G522="","",2キー同時!$B$123)</f>
        <v/>
      </c>
      <c r="I522" s="2" t="str">
        <f aca="false">IF($G522="","","j")</f>
        <v/>
      </c>
      <c r="J522" s="2" t="str">
        <f aca="false">""</f>
        <v/>
      </c>
      <c r="K522" s="2" t="str">
        <f aca="false">""</f>
        <v/>
      </c>
      <c r="L522" s="2" t="str">
        <f aca="false">IF($G522="","","同時")</f>
        <v/>
      </c>
      <c r="M522" s="2" t="str">
        <f aca="false">IF($G522="","",IF(ISNA(MATCH($G522,個別指定!$A:$A,0)),"行なし",""))</f>
        <v/>
      </c>
      <c r="N522" s="2" t="str">
        <f aca="false">IF($G522="","",IF(COUNTIF($G$2:$G$4460,$G522)&gt;1,"重複",""))</f>
        <v/>
      </c>
    </row>
    <row r="523" customFormat="false" ht="16.5" hidden="false" customHeight="true" outlineLevel="0" collapsed="false">
      <c r="A523" s="2" t="s">
        <v>385</v>
      </c>
      <c r="B523" s="2" t="s">
        <v>395</v>
      </c>
      <c r="C523" s="2" t="s">
        <v>31</v>
      </c>
      <c r="D523" s="2" t="str">
        <f aca="false">IF(2キー同時!$B$123="","",2キー同時!$B$123)</f>
        <v/>
      </c>
      <c r="E523" s="2" t="str">
        <f aca="false">""</f>
        <v/>
      </c>
      <c r="F523" s="2" t="str">
        <f aca="false">""</f>
        <v/>
      </c>
      <c r="G523" s="2" t="str">
        <f aca="false">IF(2キー同時!$B$123="","",IF(2キー同時!AK129="","",SUBSTITUTE(SUBSTITUTE(2キー同時!AK129," ",""),"　","")))</f>
        <v/>
      </c>
      <c r="H523" s="2" t="str">
        <f aca="false">IF($G523="","",2キー同時!$B$123)</f>
        <v/>
      </c>
      <c r="I523" s="2" t="str">
        <f aca="false">IF($G523="","","k")</f>
        <v/>
      </c>
      <c r="J523" s="2" t="str">
        <f aca="false">""</f>
        <v/>
      </c>
      <c r="K523" s="2" t="str">
        <f aca="false">""</f>
        <v/>
      </c>
      <c r="L523" s="2" t="str">
        <f aca="false">IF($G523="","","同時")</f>
        <v/>
      </c>
      <c r="M523" s="2" t="str">
        <f aca="false">IF($G523="","",IF(ISNA(MATCH($G523,個別指定!$A:$A,0)),"行なし",""))</f>
        <v/>
      </c>
      <c r="N523" s="2" t="str">
        <f aca="false">IF($G523="","",IF(COUNTIF($G$2:$G$4460,$G523)&gt;1,"重複",""))</f>
        <v/>
      </c>
    </row>
    <row r="524" customFormat="false" ht="16.5" hidden="false" customHeight="true" outlineLevel="0" collapsed="false">
      <c r="A524" s="2" t="s">
        <v>385</v>
      </c>
      <c r="B524" s="2" t="s">
        <v>395</v>
      </c>
      <c r="C524" s="2" t="s">
        <v>32</v>
      </c>
      <c r="D524" s="2" t="str">
        <f aca="false">IF(2キー同時!$B$123="","",2キー同時!$B$123)</f>
        <v/>
      </c>
      <c r="E524" s="2" t="str">
        <f aca="false">""</f>
        <v/>
      </c>
      <c r="F524" s="2" t="str">
        <f aca="false">""</f>
        <v/>
      </c>
      <c r="G524" s="2" t="str">
        <f aca="false">IF(2キー同時!$B$123="","",IF(2キー同時!AO129="","",SUBSTITUTE(SUBSTITUTE(2キー同時!AO129," ",""),"　","")))</f>
        <v/>
      </c>
      <c r="H524" s="2" t="str">
        <f aca="false">IF($G524="","",2キー同時!$B$123)</f>
        <v/>
      </c>
      <c r="I524" s="2" t="str">
        <f aca="false">IF($G524="","","l")</f>
        <v/>
      </c>
      <c r="J524" s="2" t="str">
        <f aca="false">""</f>
        <v/>
      </c>
      <c r="K524" s="2" t="str">
        <f aca="false">""</f>
        <v/>
      </c>
      <c r="L524" s="2" t="str">
        <f aca="false">IF($G524="","","同時")</f>
        <v/>
      </c>
      <c r="M524" s="2" t="str">
        <f aca="false">IF($G524="","",IF(ISNA(MATCH($G524,個別指定!$A:$A,0)),"行なし",""))</f>
        <v/>
      </c>
      <c r="N524" s="2" t="str">
        <f aca="false">IF($G524="","",IF(COUNTIF($G$2:$G$4460,$G524)&gt;1,"重複",""))</f>
        <v/>
      </c>
    </row>
    <row r="525" customFormat="false" ht="16.5" hidden="false" customHeight="true" outlineLevel="0" collapsed="false">
      <c r="A525" s="2" t="s">
        <v>385</v>
      </c>
      <c r="B525" s="2" t="s">
        <v>395</v>
      </c>
      <c r="C525" s="2" t="s">
        <v>33</v>
      </c>
      <c r="D525" s="2" t="str">
        <f aca="false">IF(2キー同時!$B$123="","",2キー同時!$B$123)</f>
        <v/>
      </c>
      <c r="E525" s="2" t="str">
        <f aca="false">""</f>
        <v/>
      </c>
      <c r="F525" s="2" t="str">
        <f aca="false">""</f>
        <v/>
      </c>
      <c r="G525" s="2" t="str">
        <f aca="false">IF(2キー同時!$B$123="","",IF(2キー同時!AS129="","",SUBSTITUTE(SUBSTITUTE(2キー同時!AS129," ",""),"　","")))</f>
        <v/>
      </c>
      <c r="H525" s="2" t="str">
        <f aca="false">IF($G525="","",2キー同時!$B$123)</f>
        <v/>
      </c>
      <c r="I525" s="2" t="str">
        <f aca="false">IF($G525="","",";")</f>
        <v/>
      </c>
      <c r="J525" s="2" t="str">
        <f aca="false">""</f>
        <v/>
      </c>
      <c r="K525" s="2" t="str">
        <f aca="false">""</f>
        <v/>
      </c>
      <c r="L525" s="2" t="str">
        <f aca="false">IF($G525="","","同時")</f>
        <v/>
      </c>
      <c r="M525" s="2" t="str">
        <f aca="false">IF($G525="","",IF(ISNA(MATCH($G525,個別指定!$A:$A,0)),"行なし",""))</f>
        <v/>
      </c>
      <c r="N525" s="2" t="str">
        <f aca="false">IF($G525="","",IF(COUNTIF($G$2:$G$4460,$G525)&gt;1,"重複",""))</f>
        <v/>
      </c>
    </row>
    <row r="526" customFormat="false" ht="16.5" hidden="false" customHeight="true" outlineLevel="0" collapsed="false">
      <c r="A526" s="2" t="s">
        <v>385</v>
      </c>
      <c r="B526" s="2" t="s">
        <v>395</v>
      </c>
      <c r="C526" s="2" t="s">
        <v>34</v>
      </c>
      <c r="D526" s="2" t="str">
        <f aca="false">IF(2キー同時!$B$123="","",2キー同時!$B$123)</f>
        <v/>
      </c>
      <c r="E526" s="2" t="str">
        <f aca="false">""</f>
        <v/>
      </c>
      <c r="F526" s="2" t="str">
        <f aca="false">""</f>
        <v/>
      </c>
      <c r="G526" s="2" t="str">
        <f aca="false">IF(2キー同時!$B$123="","",IF(2キー同時!AW129="","",SUBSTITUTE(SUBSTITUTE(2キー同時!AW129," ",""),"　","")))</f>
        <v/>
      </c>
      <c r="H526" s="2" t="str">
        <f aca="false">IF($G526="","",2キー同時!$B$123)</f>
        <v/>
      </c>
      <c r="I526" s="2" t="str">
        <f aca="false">IF($G526="","","'")</f>
        <v/>
      </c>
      <c r="J526" s="2" t="str">
        <f aca="false">""</f>
        <v/>
      </c>
      <c r="K526" s="2" t="str">
        <f aca="false">""</f>
        <v/>
      </c>
      <c r="L526" s="2" t="str">
        <f aca="false">IF($G526="","","同時")</f>
        <v/>
      </c>
      <c r="M526" s="2" t="str">
        <f aca="false">IF($G526="","",IF(ISNA(MATCH($G526,個別指定!$A:$A,0)),"行なし",""))</f>
        <v/>
      </c>
      <c r="N526" s="2" t="str">
        <f aca="false">IF($G526="","",IF(COUNTIF($G$2:$G$4460,$G526)&gt;1,"重複",""))</f>
        <v/>
      </c>
    </row>
    <row r="527" customFormat="false" ht="16.5" hidden="false" customHeight="true" outlineLevel="0" collapsed="false">
      <c r="A527" s="2" t="s">
        <v>385</v>
      </c>
      <c r="B527" s="2" t="s">
        <v>395</v>
      </c>
      <c r="C527" s="2" t="s">
        <v>35</v>
      </c>
      <c r="D527" s="2" t="str">
        <f aca="false">IF(2キー同時!$B$123="","",2キー同時!$B$123)</f>
        <v/>
      </c>
      <c r="E527" s="2" t="str">
        <f aca="false">""</f>
        <v/>
      </c>
      <c r="F527" s="2" t="str">
        <f aca="false">""</f>
        <v/>
      </c>
      <c r="G527" s="2" t="str">
        <f aca="false">IF(2キー同時!$B$123="","",IF(2キー同時!K131="","",SUBSTITUTE(SUBSTITUTE(2キー同時!K131," ",""),"　","")))</f>
        <v/>
      </c>
      <c r="H527" s="2" t="str">
        <f aca="false">IF($G527="","",2キー同時!$B$123)</f>
        <v/>
      </c>
      <c r="I527" s="2" t="str">
        <f aca="false">IF($G527="","","z")</f>
        <v/>
      </c>
      <c r="J527" s="2" t="str">
        <f aca="false">""</f>
        <v/>
      </c>
      <c r="K527" s="2" t="str">
        <f aca="false">""</f>
        <v/>
      </c>
      <c r="L527" s="2" t="str">
        <f aca="false">IF($G527="","","同時")</f>
        <v/>
      </c>
      <c r="M527" s="2" t="str">
        <f aca="false">IF($G527="","",IF(ISNA(MATCH($G527,個別指定!$A:$A,0)),"行なし",""))</f>
        <v/>
      </c>
      <c r="N527" s="2" t="str">
        <f aca="false">IF($G527="","",IF(COUNTIF($G$2:$G$4460,$G527)&gt;1,"重複",""))</f>
        <v/>
      </c>
    </row>
    <row r="528" customFormat="false" ht="16.5" hidden="false" customHeight="true" outlineLevel="0" collapsed="false">
      <c r="A528" s="2" t="s">
        <v>385</v>
      </c>
      <c r="B528" s="2" t="s">
        <v>395</v>
      </c>
      <c r="C528" s="2" t="s">
        <v>36</v>
      </c>
      <c r="D528" s="2" t="str">
        <f aca="false">IF(2キー同時!$B$123="","",2キー同時!$B$123)</f>
        <v/>
      </c>
      <c r="E528" s="2" t="str">
        <f aca="false">""</f>
        <v/>
      </c>
      <c r="F528" s="2" t="str">
        <f aca="false">""</f>
        <v/>
      </c>
      <c r="G528" s="2" t="str">
        <f aca="false">IF(2キー同時!$B$123="","",IF(2キー同時!O131="","",SUBSTITUTE(SUBSTITUTE(2キー同時!O131," ",""),"　","")))</f>
        <v/>
      </c>
      <c r="H528" s="2" t="str">
        <f aca="false">IF($G528="","",2キー同時!$B$123)</f>
        <v/>
      </c>
      <c r="I528" s="2" t="str">
        <f aca="false">IF($G528="","","x")</f>
        <v/>
      </c>
      <c r="J528" s="2" t="str">
        <f aca="false">""</f>
        <v/>
      </c>
      <c r="K528" s="2" t="str">
        <f aca="false">""</f>
        <v/>
      </c>
      <c r="L528" s="2" t="str">
        <f aca="false">IF($G528="","","同時")</f>
        <v/>
      </c>
      <c r="M528" s="2" t="str">
        <f aca="false">IF($G528="","",IF(ISNA(MATCH($G528,個別指定!$A:$A,0)),"行なし",""))</f>
        <v/>
      </c>
      <c r="N528" s="2" t="str">
        <f aca="false">IF($G528="","",IF(COUNTIF($G$2:$G$4460,$G528)&gt;1,"重複",""))</f>
        <v/>
      </c>
    </row>
    <row r="529" customFormat="false" ht="16.5" hidden="false" customHeight="true" outlineLevel="0" collapsed="false">
      <c r="A529" s="2" t="s">
        <v>385</v>
      </c>
      <c r="B529" s="2" t="s">
        <v>395</v>
      </c>
      <c r="C529" s="2" t="s">
        <v>37</v>
      </c>
      <c r="D529" s="2" t="str">
        <f aca="false">IF(2キー同時!$B$123="","",2キー同時!$B$123)</f>
        <v/>
      </c>
      <c r="E529" s="2" t="str">
        <f aca="false">""</f>
        <v/>
      </c>
      <c r="F529" s="2" t="str">
        <f aca="false">""</f>
        <v/>
      </c>
      <c r="G529" s="2" t="str">
        <f aca="false">IF(2キー同時!$B$123="","",IF(2キー同時!S131="","",SUBSTITUTE(SUBSTITUTE(2キー同時!S131," ",""),"　","")))</f>
        <v/>
      </c>
      <c r="H529" s="2" t="str">
        <f aca="false">IF($G529="","",2キー同時!$B$123)</f>
        <v/>
      </c>
      <c r="I529" s="2" t="str">
        <f aca="false">IF($G529="","","c")</f>
        <v/>
      </c>
      <c r="J529" s="2" t="str">
        <f aca="false">""</f>
        <v/>
      </c>
      <c r="K529" s="2" t="str">
        <f aca="false">""</f>
        <v/>
      </c>
      <c r="L529" s="2" t="str">
        <f aca="false">IF($G529="","","同時")</f>
        <v/>
      </c>
      <c r="M529" s="2" t="str">
        <f aca="false">IF($G529="","",IF(ISNA(MATCH($G529,個別指定!$A:$A,0)),"行なし",""))</f>
        <v/>
      </c>
      <c r="N529" s="2" t="str">
        <f aca="false">IF($G529="","",IF(COUNTIF($G$2:$G$4460,$G529)&gt;1,"重複",""))</f>
        <v/>
      </c>
    </row>
    <row r="530" customFormat="false" ht="16.5" hidden="false" customHeight="true" outlineLevel="0" collapsed="false">
      <c r="A530" s="2" t="s">
        <v>385</v>
      </c>
      <c r="B530" s="2" t="s">
        <v>395</v>
      </c>
      <c r="C530" s="2" t="s">
        <v>38</v>
      </c>
      <c r="D530" s="2" t="str">
        <f aca="false">IF(2キー同時!$B$123="","",2キー同時!$B$123)</f>
        <v/>
      </c>
      <c r="E530" s="2" t="str">
        <f aca="false">""</f>
        <v/>
      </c>
      <c r="F530" s="2" t="str">
        <f aca="false">""</f>
        <v/>
      </c>
      <c r="G530" s="2" t="str">
        <f aca="false">IF(2キー同時!$B$123="","",IF(2キー同時!W131="","",SUBSTITUTE(SUBSTITUTE(2キー同時!W131," ",""),"　","")))</f>
        <v/>
      </c>
      <c r="H530" s="2" t="str">
        <f aca="false">IF($G530="","",2キー同時!$B$123)</f>
        <v/>
      </c>
      <c r="I530" s="2" t="str">
        <f aca="false">IF($G530="","","v")</f>
        <v/>
      </c>
      <c r="J530" s="2" t="str">
        <f aca="false">""</f>
        <v/>
      </c>
      <c r="K530" s="2" t="str">
        <f aca="false">""</f>
        <v/>
      </c>
      <c r="L530" s="2" t="str">
        <f aca="false">IF($G530="","","同時")</f>
        <v/>
      </c>
      <c r="M530" s="2" t="str">
        <f aca="false">IF($G530="","",IF(ISNA(MATCH($G530,個別指定!$A:$A,0)),"行なし",""))</f>
        <v/>
      </c>
      <c r="N530" s="2" t="str">
        <f aca="false">IF($G530="","",IF(COUNTIF($G$2:$G$4460,$G530)&gt;1,"重複",""))</f>
        <v/>
      </c>
    </row>
    <row r="531" customFormat="false" ht="16.5" hidden="false" customHeight="true" outlineLevel="0" collapsed="false">
      <c r="A531" s="2" t="s">
        <v>385</v>
      </c>
      <c r="B531" s="2" t="s">
        <v>395</v>
      </c>
      <c r="C531" s="2" t="s">
        <v>39</v>
      </c>
      <c r="D531" s="2" t="str">
        <f aca="false">IF(2キー同時!$B$123="","",2キー同時!$B$123)</f>
        <v/>
      </c>
      <c r="E531" s="2" t="str">
        <f aca="false">""</f>
        <v/>
      </c>
      <c r="F531" s="2" t="str">
        <f aca="false">""</f>
        <v/>
      </c>
      <c r="G531" s="2" t="str">
        <f aca="false">IF(2キー同時!$B$123="","",IF(2キー同時!AA131="","",SUBSTITUTE(SUBSTITUTE(2キー同時!AA131," ",""),"　","")))</f>
        <v/>
      </c>
      <c r="H531" s="2" t="str">
        <f aca="false">IF($G531="","",2キー同時!$B$123)</f>
        <v/>
      </c>
      <c r="I531" s="2" t="str">
        <f aca="false">IF($G531="","","b")</f>
        <v/>
      </c>
      <c r="J531" s="2" t="str">
        <f aca="false">""</f>
        <v/>
      </c>
      <c r="K531" s="2" t="str">
        <f aca="false">""</f>
        <v/>
      </c>
      <c r="L531" s="2" t="str">
        <f aca="false">IF($G531="","","同時")</f>
        <v/>
      </c>
      <c r="M531" s="2" t="str">
        <f aca="false">IF($G531="","",IF(ISNA(MATCH($G531,個別指定!$A:$A,0)),"行なし",""))</f>
        <v/>
      </c>
      <c r="N531" s="2" t="str">
        <f aca="false">IF($G531="","",IF(COUNTIF($G$2:$G$4460,$G531)&gt;1,"重複",""))</f>
        <v/>
      </c>
    </row>
    <row r="532" customFormat="false" ht="16.5" hidden="false" customHeight="true" outlineLevel="0" collapsed="false">
      <c r="A532" s="2" t="s">
        <v>385</v>
      </c>
      <c r="B532" s="2" t="s">
        <v>395</v>
      </c>
      <c r="C532" s="2" t="s">
        <v>40</v>
      </c>
      <c r="D532" s="2" t="str">
        <f aca="false">IF(2キー同時!$B$123="","",2キー同時!$B$123)</f>
        <v/>
      </c>
      <c r="E532" s="2" t="str">
        <f aca="false">""</f>
        <v/>
      </c>
      <c r="F532" s="2" t="str">
        <f aca="false">""</f>
        <v/>
      </c>
      <c r="G532" s="2" t="str">
        <f aca="false">IF(2キー同時!$B$123="","",IF(2キー同時!AE131="","",SUBSTITUTE(SUBSTITUTE(2キー同時!AE131," ",""),"　","")))</f>
        <v/>
      </c>
      <c r="H532" s="2" t="str">
        <f aca="false">IF($G532="","",2キー同時!$B$123)</f>
        <v/>
      </c>
      <c r="I532" s="2" t="str">
        <f aca="false">IF($G532="","","n")</f>
        <v/>
      </c>
      <c r="J532" s="2" t="str">
        <f aca="false">""</f>
        <v/>
      </c>
      <c r="K532" s="2" t="str">
        <f aca="false">""</f>
        <v/>
      </c>
      <c r="L532" s="2" t="str">
        <f aca="false">IF($G532="","","同時")</f>
        <v/>
      </c>
      <c r="M532" s="2" t="str">
        <f aca="false">IF($G532="","",IF(ISNA(MATCH($G532,個別指定!$A:$A,0)),"行なし",""))</f>
        <v/>
      </c>
      <c r="N532" s="2" t="str">
        <f aca="false">IF($G532="","",IF(COUNTIF($G$2:$G$4460,$G532)&gt;1,"重複",""))</f>
        <v/>
      </c>
    </row>
    <row r="533" customFormat="false" ht="16.5" hidden="false" customHeight="true" outlineLevel="0" collapsed="false">
      <c r="A533" s="2" t="s">
        <v>385</v>
      </c>
      <c r="B533" s="2" t="s">
        <v>395</v>
      </c>
      <c r="C533" s="2" t="s">
        <v>41</v>
      </c>
      <c r="D533" s="2" t="str">
        <f aca="false">IF(2キー同時!$B$123="","",2キー同時!$B$123)</f>
        <v/>
      </c>
      <c r="E533" s="2" t="str">
        <f aca="false">""</f>
        <v/>
      </c>
      <c r="F533" s="2" t="str">
        <f aca="false">""</f>
        <v/>
      </c>
      <c r="G533" s="2" t="str">
        <f aca="false">IF(2キー同時!$B$123="","",IF(2キー同時!AI131="","",SUBSTITUTE(SUBSTITUTE(2キー同時!AI131," ",""),"　","")))</f>
        <v/>
      </c>
      <c r="H533" s="2" t="str">
        <f aca="false">IF($G533="","",2キー同時!$B$123)</f>
        <v/>
      </c>
      <c r="I533" s="2" t="str">
        <f aca="false">IF($G533="","","m")</f>
        <v/>
      </c>
      <c r="J533" s="2" t="str">
        <f aca="false">""</f>
        <v/>
      </c>
      <c r="K533" s="2" t="str">
        <f aca="false">""</f>
        <v/>
      </c>
      <c r="L533" s="2" t="str">
        <f aca="false">IF($G533="","","同時")</f>
        <v/>
      </c>
      <c r="M533" s="2" t="str">
        <f aca="false">IF($G533="","",IF(ISNA(MATCH($G533,個別指定!$A:$A,0)),"行なし",""))</f>
        <v/>
      </c>
      <c r="N533" s="2" t="str">
        <f aca="false">IF($G533="","",IF(COUNTIF($G$2:$G$4460,$G533)&gt;1,"重複",""))</f>
        <v/>
      </c>
    </row>
    <row r="534" customFormat="false" ht="16.5" hidden="false" customHeight="true" outlineLevel="0" collapsed="false">
      <c r="A534" s="2" t="s">
        <v>385</v>
      </c>
      <c r="B534" s="2" t="s">
        <v>395</v>
      </c>
      <c r="C534" s="2" t="s">
        <v>42</v>
      </c>
      <c r="D534" s="2" t="str">
        <f aca="false">IF(2キー同時!$B$123="","",2キー同時!$B$123)</f>
        <v/>
      </c>
      <c r="E534" s="2" t="str">
        <f aca="false">""</f>
        <v/>
      </c>
      <c r="F534" s="2" t="str">
        <f aca="false">""</f>
        <v/>
      </c>
      <c r="G534" s="2" t="str">
        <f aca="false">IF(2キー同時!$B$123="","",IF(2キー同時!AM131="","",SUBSTITUTE(SUBSTITUTE(2キー同時!AM131," ",""),"　","")))</f>
        <v/>
      </c>
      <c r="H534" s="2" t="str">
        <f aca="false">IF($G534="","",2キー同時!$B$123)</f>
        <v/>
      </c>
      <c r="I534" s="2" t="str">
        <f aca="false">IF($G534="","",",")</f>
        <v/>
      </c>
      <c r="J534" s="2" t="str">
        <f aca="false">""</f>
        <v/>
      </c>
      <c r="K534" s="2" t="str">
        <f aca="false">""</f>
        <v/>
      </c>
      <c r="L534" s="2" t="str">
        <f aca="false">IF($G534="","","同時")</f>
        <v/>
      </c>
      <c r="M534" s="2" t="str">
        <f aca="false">IF($G534="","",IF(ISNA(MATCH($G534,個別指定!$A:$A,0)),"行なし",""))</f>
        <v/>
      </c>
      <c r="N534" s="2" t="str">
        <f aca="false">IF($G534="","",IF(COUNTIF($G$2:$G$4460,$G534)&gt;1,"重複",""))</f>
        <v/>
      </c>
    </row>
    <row r="535" customFormat="false" ht="16.5" hidden="false" customHeight="true" outlineLevel="0" collapsed="false">
      <c r="A535" s="2" t="s">
        <v>385</v>
      </c>
      <c r="B535" s="2" t="s">
        <v>395</v>
      </c>
      <c r="C535" s="2" t="s">
        <v>43</v>
      </c>
      <c r="D535" s="2" t="str">
        <f aca="false">IF(2キー同時!$B$123="","",2キー同時!$B$123)</f>
        <v/>
      </c>
      <c r="E535" s="2" t="str">
        <f aca="false">""</f>
        <v/>
      </c>
      <c r="F535" s="2" t="str">
        <f aca="false">""</f>
        <v/>
      </c>
      <c r="G535" s="2" t="str">
        <f aca="false">IF(2キー同時!$B$123="","",IF(2キー同時!AQ131="","",SUBSTITUTE(SUBSTITUTE(2キー同時!AQ131," ",""),"　","")))</f>
        <v/>
      </c>
      <c r="H535" s="2" t="str">
        <f aca="false">IF($G535="","",2キー同時!$B$123)</f>
        <v/>
      </c>
      <c r="I535" s="2" t="str">
        <f aca="false">IF($G535="","",".")</f>
        <v/>
      </c>
      <c r="J535" s="2" t="str">
        <f aca="false">""</f>
        <v/>
      </c>
      <c r="K535" s="2" t="str">
        <f aca="false">""</f>
        <v/>
      </c>
      <c r="L535" s="2" t="str">
        <f aca="false">IF($G535="","","同時")</f>
        <v/>
      </c>
      <c r="M535" s="2" t="str">
        <f aca="false">IF($G535="","",IF(ISNA(MATCH($G535,個別指定!$A:$A,0)),"行なし",""))</f>
        <v/>
      </c>
      <c r="N535" s="2" t="str">
        <f aca="false">IF($G535="","",IF(COUNTIF($G$2:$G$4460,$G535)&gt;1,"重複",""))</f>
        <v/>
      </c>
    </row>
    <row r="536" customFormat="false" ht="16.5" hidden="false" customHeight="true" outlineLevel="0" collapsed="false">
      <c r="A536" s="2" t="s">
        <v>385</v>
      </c>
      <c r="B536" s="2" t="s">
        <v>395</v>
      </c>
      <c r="C536" s="2" t="s">
        <v>44</v>
      </c>
      <c r="D536" s="2" t="str">
        <f aca="false">IF(2キー同時!$B$123="","",2キー同時!$B$123)</f>
        <v/>
      </c>
      <c r="E536" s="2" t="str">
        <f aca="false">""</f>
        <v/>
      </c>
      <c r="F536" s="2" t="str">
        <f aca="false">""</f>
        <v/>
      </c>
      <c r="G536" s="2" t="str">
        <f aca="false">IF(2キー同時!$B$123="","",IF(2キー同時!AU131="","",SUBSTITUTE(SUBSTITUTE(2キー同時!AU131," ",""),"　","")))</f>
        <v/>
      </c>
      <c r="H536" s="2" t="str">
        <f aca="false">IF($G536="","",2キー同時!$B$123)</f>
        <v/>
      </c>
      <c r="I536" s="2" t="str">
        <f aca="false">IF($G536="","","/")</f>
        <v/>
      </c>
      <c r="J536" s="2" t="str">
        <f aca="false">""</f>
        <v/>
      </c>
      <c r="K536" s="2" t="str">
        <f aca="false">""</f>
        <v/>
      </c>
      <c r="L536" s="2" t="str">
        <f aca="false">IF($G536="","","同時")</f>
        <v/>
      </c>
      <c r="M536" s="2" t="str">
        <f aca="false">IF($G536="","",IF(ISNA(MATCH($G536,個別指定!$A:$A,0)),"行なし",""))</f>
        <v/>
      </c>
      <c r="N536" s="2" t="str">
        <f aca="false">IF($G536="","",IF(COUNTIF($G$2:$G$4460,$G536)&gt;1,"重複",""))</f>
        <v/>
      </c>
    </row>
    <row r="537" customFormat="false" ht="16.5" hidden="false" customHeight="true" outlineLevel="0" collapsed="false">
      <c r="A537" s="2" t="s">
        <v>385</v>
      </c>
      <c r="B537" s="2" t="s">
        <v>395</v>
      </c>
      <c r="C537" s="2" t="s">
        <v>48</v>
      </c>
      <c r="D537" s="2" t="str">
        <f aca="false">IF(2キー同時!$B$123="","",2キー同時!$B$123)</f>
        <v/>
      </c>
      <c r="E537" s="2" t="str">
        <f aca="false">""</f>
        <v/>
      </c>
      <c r="F537" s="2" t="str">
        <f aca="false">""</f>
        <v/>
      </c>
      <c r="G537" s="2" t="str">
        <f aca="false">IF(2キー同時!$B$123="","",IF(2キー同時!P133="","",SUBSTITUTE(SUBSTITUTE(2キー同時!P133," ",""),"　","")))</f>
        <v/>
      </c>
      <c r="H537" s="2" t="str">
        <f aca="false">IF($G537="","",2キー同時!$B$123)</f>
        <v/>
      </c>
      <c r="I537" s="2" t="str">
        <f aca="false">IF($G537="","","muhenkan")</f>
        <v/>
      </c>
      <c r="J537" s="2" t="str">
        <f aca="false">""</f>
        <v/>
      </c>
      <c r="K537" s="2" t="str">
        <f aca="false">""</f>
        <v/>
      </c>
      <c r="L537" s="2" t="str">
        <f aca="false">IF($G537="","","同時")</f>
        <v/>
      </c>
      <c r="M537" s="2" t="str">
        <f aca="false">IF($G537="","",IF(ISNA(MATCH($G537,個別指定!$A:$A,0)),"行なし",""))</f>
        <v/>
      </c>
      <c r="N537" s="2" t="str">
        <f aca="false">IF($G537="","",IF(COUNTIF($G$2:$G$4460,$G537)&gt;1,"重複",""))</f>
        <v/>
      </c>
    </row>
    <row r="538" customFormat="false" ht="16.5" hidden="false" customHeight="true" outlineLevel="0" collapsed="false">
      <c r="A538" s="2" t="s">
        <v>385</v>
      </c>
      <c r="B538" s="2" t="s">
        <v>395</v>
      </c>
      <c r="C538" s="2" t="s">
        <v>50</v>
      </c>
      <c r="D538" s="2" t="str">
        <f aca="false">IF(2キー同時!$B$123="","",2キー同時!$B$123)</f>
        <v/>
      </c>
      <c r="E538" s="2" t="str">
        <f aca="false">""</f>
        <v/>
      </c>
      <c r="F538" s="2" t="str">
        <f aca="false">""</f>
        <v/>
      </c>
      <c r="G538" s="2" t="str">
        <f aca="false">IF(2キー同時!$B$123="","",IF(2キー同時!T133="","",SUBSTITUTE(SUBSTITUTE(2キー同時!T133," ",""),"　","")))</f>
        <v/>
      </c>
      <c r="H538" s="2" t="str">
        <f aca="false">IF($G538="","",2キー同時!$B$123)</f>
        <v/>
      </c>
      <c r="I538" s="2" t="str">
        <f aca="false">IF($G538="","","space")</f>
        <v/>
      </c>
      <c r="J538" s="2" t="str">
        <f aca="false">""</f>
        <v/>
      </c>
      <c r="K538" s="2" t="str">
        <f aca="false">""</f>
        <v/>
      </c>
      <c r="L538" s="2" t="str">
        <f aca="false">IF($G538="","","同時")</f>
        <v/>
      </c>
      <c r="M538" s="2" t="str">
        <f aca="false">IF($G538="","",IF(ISNA(MATCH($G538,個別指定!$A:$A,0)),"行なし",""))</f>
        <v/>
      </c>
      <c r="N538" s="2" t="str">
        <f aca="false">IF($G538="","",IF(COUNTIF($G$2:$G$4460,$G538)&gt;1,"重複",""))</f>
        <v/>
      </c>
    </row>
    <row r="539" customFormat="false" ht="16.5" hidden="false" customHeight="true" outlineLevel="0" collapsed="false">
      <c r="A539" s="2" t="s">
        <v>385</v>
      </c>
      <c r="B539" s="2" t="s">
        <v>395</v>
      </c>
      <c r="C539" s="2" t="s">
        <v>45</v>
      </c>
      <c r="D539" s="2" t="str">
        <f aca="false">IF(2キー同時!$B$123="","",2キー同時!$B$123)</f>
        <v/>
      </c>
      <c r="E539" s="2" t="str">
        <f aca="false">""</f>
        <v/>
      </c>
      <c r="F539" s="2" t="str">
        <f aca="false">""</f>
        <v/>
      </c>
      <c r="G539" s="2" t="str">
        <f aca="false">IF(2キー同時!$B$123="","",IF(2キー同時!AL133="","",SUBSTITUTE(SUBSTITUTE(2キー同時!AL133," ",""),"　","")))</f>
        <v/>
      </c>
      <c r="H539" s="2" t="str">
        <f aca="false">IF($G539="","",2キー同時!$B$123)</f>
        <v/>
      </c>
      <c r="I539" s="2" t="str">
        <f aca="false">IF($G539="","","henkan")</f>
        <v/>
      </c>
      <c r="J539" s="2" t="str">
        <f aca="false">""</f>
        <v/>
      </c>
      <c r="K539" s="2" t="str">
        <f aca="false">""</f>
        <v/>
      </c>
      <c r="L539" s="2" t="str">
        <f aca="false">IF($G539="","","同時")</f>
        <v/>
      </c>
      <c r="M539" s="2" t="str">
        <f aca="false">IF($G539="","",IF(ISNA(MATCH($G539,個別指定!$A:$A,0)),"行なし",""))</f>
        <v/>
      </c>
      <c r="N539" s="2" t="str">
        <f aca="false">IF($G539="","",IF(COUNTIF($G$2:$G$4460,$G539)&gt;1,"重複",""))</f>
        <v/>
      </c>
    </row>
    <row r="540" customFormat="false" ht="16.5" hidden="false" customHeight="true" outlineLevel="0" collapsed="false">
      <c r="A540" s="2" t="s">
        <v>385</v>
      </c>
      <c r="B540" s="2" t="s">
        <v>395</v>
      </c>
      <c r="C540" s="2" t="s">
        <v>46</v>
      </c>
      <c r="D540" s="2" t="str">
        <f aca="false">IF(2キー同時!$B$123="","",2キー同時!$B$123)</f>
        <v/>
      </c>
      <c r="E540" s="2" t="str">
        <f aca="false">""</f>
        <v/>
      </c>
      <c r="F540" s="2" t="str">
        <f aca="false">""</f>
        <v/>
      </c>
      <c r="G540" s="2" t="str">
        <f aca="false">IF(2キー同時!$B$123="","",IF(2キー同時!AP133="","",SUBSTITUTE(SUBSTITUTE(2キー同時!AP133," ",""),"　","")))</f>
        <v/>
      </c>
      <c r="H540" s="2" t="str">
        <f aca="false">IF($G540="","",2キー同時!$B$123)</f>
        <v/>
      </c>
      <c r="I540" s="2" t="str">
        <f aca="false">IF($G540="","","kana")</f>
        <v/>
      </c>
      <c r="J540" s="2" t="str">
        <f aca="false">""</f>
        <v/>
      </c>
      <c r="K540" s="2" t="str">
        <f aca="false">""</f>
        <v/>
      </c>
      <c r="L540" s="2" t="str">
        <f aca="false">IF($G540="","","同時")</f>
        <v/>
      </c>
      <c r="M540" s="2" t="str">
        <f aca="false">IF($G540="","",IF(ISNA(MATCH($G540,個別指定!$A:$A,0)),"行なし",""))</f>
        <v/>
      </c>
      <c r="N540" s="2" t="str">
        <f aca="false">IF($G540="","",IF(COUNTIF($G$2:$G$4460,$G540)&gt;1,"重複",""))</f>
        <v/>
      </c>
    </row>
    <row r="541" customFormat="false" ht="16.5" hidden="false" customHeight="true" outlineLevel="0" collapsed="false">
      <c r="A541" s="2" t="s">
        <v>385</v>
      </c>
      <c r="B541" s="2" t="s">
        <v>396</v>
      </c>
      <c r="C541" s="2" t="s">
        <v>0</v>
      </c>
      <c r="D541" s="2" t="str">
        <f aca="false">IF(2キー同時!$B$136="","",2キー同時!$B$136)</f>
        <v/>
      </c>
      <c r="E541" s="2" t="str">
        <f aca="false">""</f>
        <v/>
      </c>
      <c r="F541" s="2" t="str">
        <f aca="false">""</f>
        <v/>
      </c>
      <c r="G541" s="2" t="str">
        <f aca="false">IF(2キー同時!$B$136="","",IF(2キー同時!F138="","",SUBSTITUTE(SUBSTITUTE(2キー同時!F138," ",""),"　","")))</f>
        <v/>
      </c>
      <c r="H541" s="2" t="str">
        <f aca="false">IF($G541="","",2キー同時!$B$136)</f>
        <v/>
      </c>
      <c r="I541" s="2" t="str">
        <f aca="false">IF($G541="","","1")</f>
        <v/>
      </c>
      <c r="J541" s="2" t="str">
        <f aca="false">""</f>
        <v/>
      </c>
      <c r="K541" s="2" t="str">
        <f aca="false">""</f>
        <v/>
      </c>
      <c r="L541" s="2" t="str">
        <f aca="false">IF($G541="","","同時")</f>
        <v/>
      </c>
      <c r="M541" s="2" t="str">
        <f aca="false">IF($G541="","",IF(ISNA(MATCH($G541,個別指定!$A:$A,0)),"行なし",""))</f>
        <v/>
      </c>
      <c r="N541" s="2" t="str">
        <f aca="false">IF($G541="","",IF(COUNTIF($G$2:$G$4460,$G541)&gt;1,"重複",""))</f>
        <v/>
      </c>
    </row>
    <row r="542" customFormat="false" ht="16.5" hidden="false" customHeight="true" outlineLevel="0" collapsed="false">
      <c r="A542" s="2" t="s">
        <v>385</v>
      </c>
      <c r="B542" s="2" t="s">
        <v>396</v>
      </c>
      <c r="C542" s="2" t="s">
        <v>1</v>
      </c>
      <c r="D542" s="2" t="str">
        <f aca="false">IF(2キー同時!$B$136="","",2キー同時!$B$136)</f>
        <v/>
      </c>
      <c r="E542" s="2" t="str">
        <f aca="false">""</f>
        <v/>
      </c>
      <c r="F542" s="2" t="str">
        <f aca="false">""</f>
        <v/>
      </c>
      <c r="G542" s="2" t="str">
        <f aca="false">IF(2キー同時!$B$136="","",IF(2キー同時!J138="","",SUBSTITUTE(SUBSTITUTE(2キー同時!J138," ",""),"　","")))</f>
        <v/>
      </c>
      <c r="H542" s="2" t="str">
        <f aca="false">IF($G542="","",2キー同時!$B$136)</f>
        <v/>
      </c>
      <c r="I542" s="2" t="str">
        <f aca="false">IF($G542="","","2")</f>
        <v/>
      </c>
      <c r="J542" s="2" t="str">
        <f aca="false">""</f>
        <v/>
      </c>
      <c r="K542" s="2" t="str">
        <f aca="false">""</f>
        <v/>
      </c>
      <c r="L542" s="2" t="str">
        <f aca="false">IF($G542="","","同時")</f>
        <v/>
      </c>
      <c r="M542" s="2" t="str">
        <f aca="false">IF($G542="","",IF(ISNA(MATCH($G542,個別指定!$A:$A,0)),"行なし",""))</f>
        <v/>
      </c>
      <c r="N542" s="2" t="str">
        <f aca="false">IF($G542="","",IF(COUNTIF($G$2:$G$4460,$G542)&gt;1,"重複",""))</f>
        <v/>
      </c>
    </row>
    <row r="543" customFormat="false" ht="16.5" hidden="false" customHeight="true" outlineLevel="0" collapsed="false">
      <c r="A543" s="2" t="s">
        <v>385</v>
      </c>
      <c r="B543" s="2" t="s">
        <v>396</v>
      </c>
      <c r="C543" s="2" t="s">
        <v>2</v>
      </c>
      <c r="D543" s="2" t="str">
        <f aca="false">IF(2キー同時!$B$136="","",2キー同時!$B$136)</f>
        <v/>
      </c>
      <c r="E543" s="2" t="str">
        <f aca="false">""</f>
        <v/>
      </c>
      <c r="F543" s="2" t="str">
        <f aca="false">""</f>
        <v/>
      </c>
      <c r="G543" s="2" t="str">
        <f aca="false">IF(2キー同時!$B$136="","",IF(2キー同時!N138="","",SUBSTITUTE(SUBSTITUTE(2キー同時!N138," ",""),"　","")))</f>
        <v/>
      </c>
      <c r="H543" s="2" t="str">
        <f aca="false">IF($G543="","",2キー同時!$B$136)</f>
        <v/>
      </c>
      <c r="I543" s="2" t="str">
        <f aca="false">IF($G543="","","3")</f>
        <v/>
      </c>
      <c r="J543" s="2" t="str">
        <f aca="false">""</f>
        <v/>
      </c>
      <c r="K543" s="2" t="str">
        <f aca="false">""</f>
        <v/>
      </c>
      <c r="L543" s="2" t="str">
        <f aca="false">IF($G543="","","同時")</f>
        <v/>
      </c>
      <c r="M543" s="2" t="str">
        <f aca="false">IF($G543="","",IF(ISNA(MATCH($G543,個別指定!$A:$A,0)),"行なし",""))</f>
        <v/>
      </c>
      <c r="N543" s="2" t="str">
        <f aca="false">IF($G543="","",IF(COUNTIF($G$2:$G$4460,$G543)&gt;1,"重複",""))</f>
        <v/>
      </c>
    </row>
    <row r="544" customFormat="false" ht="16.5" hidden="false" customHeight="true" outlineLevel="0" collapsed="false">
      <c r="A544" s="2" t="s">
        <v>385</v>
      </c>
      <c r="B544" s="2" t="s">
        <v>396</v>
      </c>
      <c r="C544" s="2" t="s">
        <v>3</v>
      </c>
      <c r="D544" s="2" t="str">
        <f aca="false">IF(2キー同時!$B$136="","",2キー同時!$B$136)</f>
        <v/>
      </c>
      <c r="E544" s="2" t="str">
        <f aca="false">""</f>
        <v/>
      </c>
      <c r="F544" s="2" t="str">
        <f aca="false">""</f>
        <v/>
      </c>
      <c r="G544" s="2" t="str">
        <f aca="false">IF(2キー同時!$B$136="","",IF(2キー同時!R138="","",SUBSTITUTE(SUBSTITUTE(2キー同時!R138," ",""),"　","")))</f>
        <v/>
      </c>
      <c r="H544" s="2" t="str">
        <f aca="false">IF($G544="","",2キー同時!$B$136)</f>
        <v/>
      </c>
      <c r="I544" s="2" t="str">
        <f aca="false">IF($G544="","","4")</f>
        <v/>
      </c>
      <c r="J544" s="2" t="str">
        <f aca="false">""</f>
        <v/>
      </c>
      <c r="K544" s="2" t="str">
        <f aca="false">""</f>
        <v/>
      </c>
      <c r="L544" s="2" t="str">
        <f aca="false">IF($G544="","","同時")</f>
        <v/>
      </c>
      <c r="M544" s="2" t="str">
        <f aca="false">IF($G544="","",IF(ISNA(MATCH($G544,個別指定!$A:$A,0)),"行なし",""))</f>
        <v/>
      </c>
      <c r="N544" s="2" t="str">
        <f aca="false">IF($G544="","",IF(COUNTIF($G$2:$G$4460,$G544)&gt;1,"重複",""))</f>
        <v/>
      </c>
    </row>
    <row r="545" customFormat="false" ht="16.5" hidden="false" customHeight="true" outlineLevel="0" collapsed="false">
      <c r="A545" s="2" t="s">
        <v>385</v>
      </c>
      <c r="B545" s="2" t="s">
        <v>396</v>
      </c>
      <c r="C545" s="2" t="s">
        <v>4</v>
      </c>
      <c r="D545" s="2" t="str">
        <f aca="false">IF(2キー同時!$B$136="","",2キー同時!$B$136)</f>
        <v/>
      </c>
      <c r="E545" s="2" t="str">
        <f aca="false">""</f>
        <v/>
      </c>
      <c r="F545" s="2" t="str">
        <f aca="false">""</f>
        <v/>
      </c>
      <c r="G545" s="2" t="str">
        <f aca="false">IF(2キー同時!$B$136="","",IF(2キー同時!V138="","",SUBSTITUTE(SUBSTITUTE(2キー同時!V138," ",""),"　","")))</f>
        <v/>
      </c>
      <c r="H545" s="2" t="str">
        <f aca="false">IF($G545="","",2キー同時!$B$136)</f>
        <v/>
      </c>
      <c r="I545" s="2" t="str">
        <f aca="false">IF($G545="","","5")</f>
        <v/>
      </c>
      <c r="J545" s="2" t="str">
        <f aca="false">""</f>
        <v/>
      </c>
      <c r="K545" s="2" t="str">
        <f aca="false">""</f>
        <v/>
      </c>
      <c r="L545" s="2" t="str">
        <f aca="false">IF($G545="","","同時")</f>
        <v/>
      </c>
      <c r="M545" s="2" t="str">
        <f aca="false">IF($G545="","",IF(ISNA(MATCH($G545,個別指定!$A:$A,0)),"行なし",""))</f>
        <v/>
      </c>
      <c r="N545" s="2" t="str">
        <f aca="false">IF($G545="","",IF(COUNTIF($G$2:$G$4460,$G545)&gt;1,"重複",""))</f>
        <v/>
      </c>
    </row>
    <row r="546" customFormat="false" ht="16.5" hidden="false" customHeight="true" outlineLevel="0" collapsed="false">
      <c r="A546" s="2" t="s">
        <v>385</v>
      </c>
      <c r="B546" s="2" t="s">
        <v>396</v>
      </c>
      <c r="C546" s="2" t="s">
        <v>5</v>
      </c>
      <c r="D546" s="2" t="str">
        <f aca="false">IF(2キー同時!$B$136="","",2キー同時!$B$136)</f>
        <v/>
      </c>
      <c r="E546" s="2" t="str">
        <f aca="false">""</f>
        <v/>
      </c>
      <c r="F546" s="2" t="str">
        <f aca="false">""</f>
        <v/>
      </c>
      <c r="G546" s="2" t="str">
        <f aca="false">IF(2キー同時!$B$136="","",IF(2キー同時!Z138="","",SUBSTITUTE(SUBSTITUTE(2キー同時!Z138," ",""),"　","")))</f>
        <v/>
      </c>
      <c r="H546" s="2" t="str">
        <f aca="false">IF($G546="","",2キー同時!$B$136)</f>
        <v/>
      </c>
      <c r="I546" s="2" t="str">
        <f aca="false">IF($G546="","","6")</f>
        <v/>
      </c>
      <c r="J546" s="2" t="str">
        <f aca="false">""</f>
        <v/>
      </c>
      <c r="K546" s="2" t="str">
        <f aca="false">""</f>
        <v/>
      </c>
      <c r="L546" s="2" t="str">
        <f aca="false">IF($G546="","","同時")</f>
        <v/>
      </c>
      <c r="M546" s="2" t="str">
        <f aca="false">IF($G546="","",IF(ISNA(MATCH($G546,個別指定!$A:$A,0)),"行なし",""))</f>
        <v/>
      </c>
      <c r="N546" s="2" t="str">
        <f aca="false">IF($G546="","",IF(COUNTIF($G$2:$G$4460,$G546)&gt;1,"重複",""))</f>
        <v/>
      </c>
    </row>
    <row r="547" customFormat="false" ht="16.5" hidden="false" customHeight="true" outlineLevel="0" collapsed="false">
      <c r="A547" s="2" t="s">
        <v>385</v>
      </c>
      <c r="B547" s="2" t="s">
        <v>396</v>
      </c>
      <c r="C547" s="2" t="s">
        <v>6</v>
      </c>
      <c r="D547" s="2" t="str">
        <f aca="false">IF(2キー同時!$B$136="","",2キー同時!$B$136)</f>
        <v/>
      </c>
      <c r="E547" s="2" t="str">
        <f aca="false">""</f>
        <v/>
      </c>
      <c r="F547" s="2" t="str">
        <f aca="false">""</f>
        <v/>
      </c>
      <c r="G547" s="2" t="str">
        <f aca="false">IF(2キー同時!$B$136="","",IF(2キー同時!AD138="","",SUBSTITUTE(SUBSTITUTE(2キー同時!AD138," ",""),"　","")))</f>
        <v/>
      </c>
      <c r="H547" s="2" t="str">
        <f aca="false">IF($G547="","",2キー同時!$B$136)</f>
        <v/>
      </c>
      <c r="I547" s="2" t="str">
        <f aca="false">IF($G547="","","7")</f>
        <v/>
      </c>
      <c r="J547" s="2" t="str">
        <f aca="false">""</f>
        <v/>
      </c>
      <c r="K547" s="2" t="str">
        <f aca="false">""</f>
        <v/>
      </c>
      <c r="L547" s="2" t="str">
        <f aca="false">IF($G547="","","同時")</f>
        <v/>
      </c>
      <c r="M547" s="2" t="str">
        <f aca="false">IF($G547="","",IF(ISNA(MATCH($G547,個別指定!$A:$A,0)),"行なし",""))</f>
        <v/>
      </c>
      <c r="N547" s="2" t="str">
        <f aca="false">IF($G547="","",IF(COUNTIF($G$2:$G$4460,$G547)&gt;1,"重複",""))</f>
        <v/>
      </c>
    </row>
    <row r="548" customFormat="false" ht="16.5" hidden="false" customHeight="true" outlineLevel="0" collapsed="false">
      <c r="A548" s="2" t="s">
        <v>385</v>
      </c>
      <c r="B548" s="2" t="s">
        <v>396</v>
      </c>
      <c r="C548" s="2" t="s">
        <v>7</v>
      </c>
      <c r="D548" s="2" t="str">
        <f aca="false">IF(2キー同時!$B$136="","",2キー同時!$B$136)</f>
        <v/>
      </c>
      <c r="E548" s="2" t="str">
        <f aca="false">""</f>
        <v/>
      </c>
      <c r="F548" s="2" t="str">
        <f aca="false">""</f>
        <v/>
      </c>
      <c r="G548" s="2" t="str">
        <f aca="false">IF(2キー同時!$B$136="","",IF(2キー同時!AH138="","",SUBSTITUTE(SUBSTITUTE(2キー同時!AH138," ",""),"　","")))</f>
        <v/>
      </c>
      <c r="H548" s="2" t="str">
        <f aca="false">IF($G548="","",2キー同時!$B$136)</f>
        <v/>
      </c>
      <c r="I548" s="2" t="str">
        <f aca="false">IF($G548="","","8")</f>
        <v/>
      </c>
      <c r="J548" s="2" t="str">
        <f aca="false">""</f>
        <v/>
      </c>
      <c r="K548" s="2" t="str">
        <f aca="false">""</f>
        <v/>
      </c>
      <c r="L548" s="2" t="str">
        <f aca="false">IF($G548="","","同時")</f>
        <v/>
      </c>
      <c r="M548" s="2" t="str">
        <f aca="false">IF($G548="","",IF(ISNA(MATCH($G548,個別指定!$A:$A,0)),"行なし",""))</f>
        <v/>
      </c>
      <c r="N548" s="2" t="str">
        <f aca="false">IF($G548="","",IF(COUNTIF($G$2:$G$4460,$G548)&gt;1,"重複",""))</f>
        <v/>
      </c>
    </row>
    <row r="549" customFormat="false" ht="16.5" hidden="false" customHeight="true" outlineLevel="0" collapsed="false">
      <c r="A549" s="2" t="s">
        <v>385</v>
      </c>
      <c r="B549" s="2" t="s">
        <v>396</v>
      </c>
      <c r="C549" s="2" t="s">
        <v>8</v>
      </c>
      <c r="D549" s="2" t="str">
        <f aca="false">IF(2キー同時!$B$136="","",2キー同時!$B$136)</f>
        <v/>
      </c>
      <c r="E549" s="2" t="str">
        <f aca="false">""</f>
        <v/>
      </c>
      <c r="F549" s="2" t="str">
        <f aca="false">""</f>
        <v/>
      </c>
      <c r="G549" s="2" t="str">
        <f aca="false">IF(2キー同時!$B$136="","",IF(2キー同時!AL138="","",SUBSTITUTE(SUBSTITUTE(2キー同時!AL138," ",""),"　","")))</f>
        <v/>
      </c>
      <c r="H549" s="2" t="str">
        <f aca="false">IF($G549="","",2キー同時!$B$136)</f>
        <v/>
      </c>
      <c r="I549" s="2" t="str">
        <f aca="false">IF($G549="","","9")</f>
        <v/>
      </c>
      <c r="J549" s="2" t="str">
        <f aca="false">""</f>
        <v/>
      </c>
      <c r="K549" s="2" t="str">
        <f aca="false">""</f>
        <v/>
      </c>
      <c r="L549" s="2" t="str">
        <f aca="false">IF($G549="","","同時")</f>
        <v/>
      </c>
      <c r="M549" s="2" t="str">
        <f aca="false">IF($G549="","",IF(ISNA(MATCH($G549,個別指定!$A:$A,0)),"行なし",""))</f>
        <v/>
      </c>
      <c r="N549" s="2" t="str">
        <f aca="false">IF($G549="","",IF(COUNTIF($G$2:$G$4460,$G549)&gt;1,"重複",""))</f>
        <v/>
      </c>
    </row>
    <row r="550" customFormat="false" ht="16.5" hidden="false" customHeight="true" outlineLevel="0" collapsed="false">
      <c r="A550" s="2" t="s">
        <v>385</v>
      </c>
      <c r="B550" s="2" t="s">
        <v>396</v>
      </c>
      <c r="C550" s="2" t="s">
        <v>9</v>
      </c>
      <c r="D550" s="2" t="str">
        <f aca="false">IF(2キー同時!$B$136="","",2キー同時!$B$136)</f>
        <v/>
      </c>
      <c r="E550" s="2" t="str">
        <f aca="false">""</f>
        <v/>
      </c>
      <c r="F550" s="2" t="str">
        <f aca="false">""</f>
        <v/>
      </c>
      <c r="G550" s="2" t="str">
        <f aca="false">IF(2キー同時!$B$136="","",IF(2キー同時!AP138="","",SUBSTITUTE(SUBSTITUTE(2キー同時!AP138," ",""),"　","")))</f>
        <v/>
      </c>
      <c r="H550" s="2" t="str">
        <f aca="false">IF($G550="","",2キー同時!$B$136)</f>
        <v/>
      </c>
      <c r="I550" s="2" t="str">
        <f aca="false">IF($G550="","","0")</f>
        <v/>
      </c>
      <c r="J550" s="2" t="str">
        <f aca="false">""</f>
        <v/>
      </c>
      <c r="K550" s="2" t="str">
        <f aca="false">""</f>
        <v/>
      </c>
      <c r="L550" s="2" t="str">
        <f aca="false">IF($G550="","","同時")</f>
        <v/>
      </c>
      <c r="M550" s="2" t="str">
        <f aca="false">IF($G550="","",IF(ISNA(MATCH($G550,個別指定!$A:$A,0)),"行なし",""))</f>
        <v/>
      </c>
      <c r="N550" s="2" t="str">
        <f aca="false">IF($G550="","",IF(COUNTIF($G$2:$G$4460,$G550)&gt;1,"重複",""))</f>
        <v/>
      </c>
    </row>
    <row r="551" customFormat="false" ht="16.5" hidden="false" customHeight="true" outlineLevel="0" collapsed="false">
      <c r="A551" s="2" t="s">
        <v>385</v>
      </c>
      <c r="B551" s="2" t="s">
        <v>396</v>
      </c>
      <c r="C551" s="2" t="s">
        <v>10</v>
      </c>
      <c r="D551" s="2" t="str">
        <f aca="false">IF(2キー同時!$B$136="","",2キー同時!$B$136)</f>
        <v/>
      </c>
      <c r="E551" s="2" t="str">
        <f aca="false">""</f>
        <v/>
      </c>
      <c r="F551" s="2" t="str">
        <f aca="false">""</f>
        <v/>
      </c>
      <c r="G551" s="2" t="str">
        <f aca="false">IF(2キー同時!$B$136="","",IF(2キー同時!AT138="","",SUBSTITUTE(SUBSTITUTE(2キー同時!AT138," ",""),"　","")))</f>
        <v/>
      </c>
      <c r="H551" s="2" t="str">
        <f aca="false">IF($G551="","",2キー同時!$B$136)</f>
        <v/>
      </c>
      <c r="I551" s="2" t="str">
        <f aca="false">IF($G551="","","-")</f>
        <v/>
      </c>
      <c r="J551" s="2" t="str">
        <f aca="false">""</f>
        <v/>
      </c>
      <c r="K551" s="2" t="str">
        <f aca="false">""</f>
        <v/>
      </c>
      <c r="L551" s="2" t="str">
        <f aca="false">IF($G551="","","同時")</f>
        <v/>
      </c>
      <c r="M551" s="2" t="str">
        <f aca="false">IF($G551="","",IF(ISNA(MATCH($G551,個別指定!$A:$A,0)),"行なし",""))</f>
        <v/>
      </c>
      <c r="N551" s="2" t="str">
        <f aca="false">IF($G551="","",IF(COUNTIF($G$2:$G$4460,$G551)&gt;1,"重複",""))</f>
        <v/>
      </c>
    </row>
    <row r="552" customFormat="false" ht="16.5" hidden="false" customHeight="true" outlineLevel="0" collapsed="false">
      <c r="A552" s="2" t="s">
        <v>385</v>
      </c>
      <c r="B552" s="2" t="s">
        <v>396</v>
      </c>
      <c r="C552" s="2" t="s">
        <v>11</v>
      </c>
      <c r="D552" s="2" t="str">
        <f aca="false">IF(2キー同時!$B$136="","",2キー同時!$B$136)</f>
        <v/>
      </c>
      <c r="E552" s="2" t="str">
        <f aca="false">""</f>
        <v/>
      </c>
      <c r="F552" s="2" t="str">
        <f aca="false">""</f>
        <v/>
      </c>
      <c r="G552" s="2" t="str">
        <f aca="false">IF(2キー同時!$B$136="","",IF(2キー同時!AX138="","",SUBSTITUTE(SUBSTITUTE(2キー同時!AX138," ",""),"　","")))</f>
        <v/>
      </c>
      <c r="H552" s="2" t="str">
        <f aca="false">IF($G552="","",2キー同時!$B$136)</f>
        <v/>
      </c>
      <c r="I552" s="2" t="str">
        <f aca="false">IF($G552="","","=")</f>
        <v/>
      </c>
      <c r="J552" s="2" t="str">
        <f aca="false">""</f>
        <v/>
      </c>
      <c r="K552" s="2" t="str">
        <f aca="false">""</f>
        <v/>
      </c>
      <c r="L552" s="2" t="str">
        <f aca="false">IF($G552="","","同時")</f>
        <v/>
      </c>
      <c r="M552" s="2" t="str">
        <f aca="false">IF($G552="","",IF(ISNA(MATCH($G552,個別指定!$A:$A,0)),"行なし",""))</f>
        <v/>
      </c>
      <c r="N552" s="2" t="str">
        <f aca="false">IF($G552="","",IF(COUNTIF($G$2:$G$4460,$G552)&gt;1,"重複",""))</f>
        <v/>
      </c>
    </row>
    <row r="553" customFormat="false" ht="16.5" hidden="false" customHeight="true" outlineLevel="0" collapsed="false">
      <c r="A553" s="2" t="s">
        <v>385</v>
      </c>
      <c r="B553" s="2" t="s">
        <v>396</v>
      </c>
      <c r="C553" s="2" t="s">
        <v>12</v>
      </c>
      <c r="D553" s="2" t="str">
        <f aca="false">IF(2キー同時!$B$136="","",2キー同時!$B$136)</f>
        <v/>
      </c>
      <c r="E553" s="2" t="str">
        <f aca="false">""</f>
        <v/>
      </c>
      <c r="F553" s="2" t="str">
        <f aca="false">""</f>
        <v/>
      </c>
      <c r="G553" s="2" t="str">
        <f aca="false">IF(2キー同時!$B$136="","",IF(2キー同時!H140="","",SUBSTITUTE(SUBSTITUTE(2キー同時!H140," ",""),"　","")))</f>
        <v/>
      </c>
      <c r="H553" s="2" t="str">
        <f aca="false">IF($G553="","",2キー同時!$B$136)</f>
        <v/>
      </c>
      <c r="I553" s="2" t="str">
        <f aca="false">IF($G553="","","q")</f>
        <v/>
      </c>
      <c r="J553" s="2" t="str">
        <f aca="false">""</f>
        <v/>
      </c>
      <c r="K553" s="2" t="str">
        <f aca="false">""</f>
        <v/>
      </c>
      <c r="L553" s="2" t="str">
        <f aca="false">IF($G553="","","同時")</f>
        <v/>
      </c>
      <c r="M553" s="2" t="str">
        <f aca="false">IF($G553="","",IF(ISNA(MATCH($G553,個別指定!$A:$A,0)),"行なし",""))</f>
        <v/>
      </c>
      <c r="N553" s="2" t="str">
        <f aca="false">IF($G553="","",IF(COUNTIF($G$2:$G$4460,$G553)&gt;1,"重複",""))</f>
        <v/>
      </c>
    </row>
    <row r="554" customFormat="false" ht="16.5" hidden="false" customHeight="true" outlineLevel="0" collapsed="false">
      <c r="A554" s="2" t="s">
        <v>385</v>
      </c>
      <c r="B554" s="2" t="s">
        <v>396</v>
      </c>
      <c r="C554" s="2" t="s">
        <v>13</v>
      </c>
      <c r="D554" s="2" t="str">
        <f aca="false">IF(2キー同時!$B$136="","",2キー同時!$B$136)</f>
        <v/>
      </c>
      <c r="E554" s="2" t="str">
        <f aca="false">""</f>
        <v/>
      </c>
      <c r="F554" s="2" t="str">
        <f aca="false">""</f>
        <v/>
      </c>
      <c r="G554" s="2" t="str">
        <f aca="false">IF(2キー同時!$B$136="","",IF(2キー同時!L140="","",SUBSTITUTE(SUBSTITUTE(2キー同時!L140," ",""),"　","")))</f>
        <v/>
      </c>
      <c r="H554" s="2" t="str">
        <f aca="false">IF($G554="","",2キー同時!$B$136)</f>
        <v/>
      </c>
      <c r="I554" s="2" t="str">
        <f aca="false">IF($G554="","","w")</f>
        <v/>
      </c>
      <c r="J554" s="2" t="str">
        <f aca="false">""</f>
        <v/>
      </c>
      <c r="K554" s="2" t="str">
        <f aca="false">""</f>
        <v/>
      </c>
      <c r="L554" s="2" t="str">
        <f aca="false">IF($G554="","","同時")</f>
        <v/>
      </c>
      <c r="M554" s="2" t="str">
        <f aca="false">IF($G554="","",IF(ISNA(MATCH($G554,個別指定!$A:$A,0)),"行なし",""))</f>
        <v/>
      </c>
      <c r="N554" s="2" t="str">
        <f aca="false">IF($G554="","",IF(COUNTIF($G$2:$G$4460,$G554)&gt;1,"重複",""))</f>
        <v/>
      </c>
    </row>
    <row r="555" customFormat="false" ht="16.5" hidden="false" customHeight="true" outlineLevel="0" collapsed="false">
      <c r="A555" s="2" t="s">
        <v>385</v>
      </c>
      <c r="B555" s="2" t="s">
        <v>396</v>
      </c>
      <c r="C555" s="2" t="s">
        <v>14</v>
      </c>
      <c r="D555" s="2" t="str">
        <f aca="false">IF(2キー同時!$B$136="","",2キー同時!$B$136)</f>
        <v/>
      </c>
      <c r="E555" s="2" t="str">
        <f aca="false">""</f>
        <v/>
      </c>
      <c r="F555" s="2" t="str">
        <f aca="false">""</f>
        <v/>
      </c>
      <c r="G555" s="2" t="str">
        <f aca="false">IF(2キー同時!$B$136="","",IF(2キー同時!P140="","",SUBSTITUTE(SUBSTITUTE(2キー同時!P140," ",""),"　","")))</f>
        <v/>
      </c>
      <c r="H555" s="2" t="str">
        <f aca="false">IF($G555="","",2キー同時!$B$136)</f>
        <v/>
      </c>
      <c r="I555" s="2" t="str">
        <f aca="false">IF($G555="","","e")</f>
        <v/>
      </c>
      <c r="J555" s="2" t="str">
        <f aca="false">""</f>
        <v/>
      </c>
      <c r="K555" s="2" t="str">
        <f aca="false">""</f>
        <v/>
      </c>
      <c r="L555" s="2" t="str">
        <f aca="false">IF($G555="","","同時")</f>
        <v/>
      </c>
      <c r="M555" s="2" t="str">
        <f aca="false">IF($G555="","",IF(ISNA(MATCH($G555,個別指定!$A:$A,0)),"行なし",""))</f>
        <v/>
      </c>
      <c r="N555" s="2" t="str">
        <f aca="false">IF($G555="","",IF(COUNTIF($G$2:$G$4460,$G555)&gt;1,"重複",""))</f>
        <v/>
      </c>
    </row>
    <row r="556" customFormat="false" ht="16.5" hidden="false" customHeight="true" outlineLevel="0" collapsed="false">
      <c r="A556" s="2" t="s">
        <v>385</v>
      </c>
      <c r="B556" s="2" t="s">
        <v>396</v>
      </c>
      <c r="C556" s="2" t="s">
        <v>15</v>
      </c>
      <c r="D556" s="2" t="str">
        <f aca="false">IF(2キー同時!$B$136="","",2キー同時!$B$136)</f>
        <v/>
      </c>
      <c r="E556" s="2" t="str">
        <f aca="false">""</f>
        <v/>
      </c>
      <c r="F556" s="2" t="str">
        <f aca="false">""</f>
        <v/>
      </c>
      <c r="G556" s="2" t="str">
        <f aca="false">IF(2キー同時!$B$136="","",IF(2キー同時!T140="","",SUBSTITUTE(SUBSTITUTE(2キー同時!T140," ",""),"　","")))</f>
        <v/>
      </c>
      <c r="H556" s="2" t="str">
        <f aca="false">IF($G556="","",2キー同時!$B$136)</f>
        <v/>
      </c>
      <c r="I556" s="2" t="str">
        <f aca="false">IF($G556="","","r")</f>
        <v/>
      </c>
      <c r="J556" s="2" t="str">
        <f aca="false">""</f>
        <v/>
      </c>
      <c r="K556" s="2" t="str">
        <f aca="false">""</f>
        <v/>
      </c>
      <c r="L556" s="2" t="str">
        <f aca="false">IF($G556="","","同時")</f>
        <v/>
      </c>
      <c r="M556" s="2" t="str">
        <f aca="false">IF($G556="","",IF(ISNA(MATCH($G556,個別指定!$A:$A,0)),"行なし",""))</f>
        <v/>
      </c>
      <c r="N556" s="2" t="str">
        <f aca="false">IF($G556="","",IF(COUNTIF($G$2:$G$4460,$G556)&gt;1,"重複",""))</f>
        <v/>
      </c>
    </row>
    <row r="557" customFormat="false" ht="16.5" hidden="false" customHeight="true" outlineLevel="0" collapsed="false">
      <c r="A557" s="2" t="s">
        <v>385</v>
      </c>
      <c r="B557" s="2" t="s">
        <v>396</v>
      </c>
      <c r="C557" s="2" t="s">
        <v>16</v>
      </c>
      <c r="D557" s="2" t="str">
        <f aca="false">IF(2キー同時!$B$136="","",2キー同時!$B$136)</f>
        <v/>
      </c>
      <c r="E557" s="2" t="str">
        <f aca="false">""</f>
        <v/>
      </c>
      <c r="F557" s="2" t="str">
        <f aca="false">""</f>
        <v/>
      </c>
      <c r="G557" s="2" t="str">
        <f aca="false">IF(2キー同時!$B$136="","",IF(2キー同時!X140="","",SUBSTITUTE(SUBSTITUTE(2キー同時!X140," ",""),"　","")))</f>
        <v/>
      </c>
      <c r="H557" s="2" t="str">
        <f aca="false">IF($G557="","",2キー同時!$B$136)</f>
        <v/>
      </c>
      <c r="I557" s="2" t="str">
        <f aca="false">IF($G557="","","t")</f>
        <v/>
      </c>
      <c r="J557" s="2" t="str">
        <f aca="false">""</f>
        <v/>
      </c>
      <c r="K557" s="2" t="str">
        <f aca="false">""</f>
        <v/>
      </c>
      <c r="L557" s="2" t="str">
        <f aca="false">IF($G557="","","同時")</f>
        <v/>
      </c>
      <c r="M557" s="2" t="str">
        <f aca="false">IF($G557="","",IF(ISNA(MATCH($G557,個別指定!$A:$A,0)),"行なし",""))</f>
        <v/>
      </c>
      <c r="N557" s="2" t="str">
        <f aca="false">IF($G557="","",IF(COUNTIF($G$2:$G$4460,$G557)&gt;1,"重複",""))</f>
        <v/>
      </c>
    </row>
    <row r="558" customFormat="false" ht="16.5" hidden="false" customHeight="true" outlineLevel="0" collapsed="false">
      <c r="A558" s="2" t="s">
        <v>385</v>
      </c>
      <c r="B558" s="2" t="s">
        <v>396</v>
      </c>
      <c r="C558" s="2" t="s">
        <v>17</v>
      </c>
      <c r="D558" s="2" t="str">
        <f aca="false">IF(2キー同時!$B$136="","",2キー同時!$B$136)</f>
        <v/>
      </c>
      <c r="E558" s="2" t="str">
        <f aca="false">""</f>
        <v/>
      </c>
      <c r="F558" s="2" t="str">
        <f aca="false">""</f>
        <v/>
      </c>
      <c r="G558" s="2" t="str">
        <f aca="false">IF(2キー同時!$B$136="","",IF(2キー同時!AB140="","",SUBSTITUTE(SUBSTITUTE(2キー同時!AB140," ",""),"　","")))</f>
        <v/>
      </c>
      <c r="H558" s="2" t="str">
        <f aca="false">IF($G558="","",2キー同時!$B$136)</f>
        <v/>
      </c>
      <c r="I558" s="2" t="str">
        <f aca="false">IF($G558="","","y")</f>
        <v/>
      </c>
      <c r="J558" s="2" t="str">
        <f aca="false">""</f>
        <v/>
      </c>
      <c r="K558" s="2" t="str">
        <f aca="false">""</f>
        <v/>
      </c>
      <c r="L558" s="2" t="str">
        <f aca="false">IF($G558="","","同時")</f>
        <v/>
      </c>
      <c r="M558" s="2" t="str">
        <f aca="false">IF($G558="","",IF(ISNA(MATCH($G558,個別指定!$A:$A,0)),"行なし",""))</f>
        <v/>
      </c>
      <c r="N558" s="2" t="str">
        <f aca="false">IF($G558="","",IF(COUNTIF($G$2:$G$4460,$G558)&gt;1,"重複",""))</f>
        <v/>
      </c>
    </row>
    <row r="559" customFormat="false" ht="16.5" hidden="false" customHeight="true" outlineLevel="0" collapsed="false">
      <c r="A559" s="2" t="s">
        <v>385</v>
      </c>
      <c r="B559" s="2" t="s">
        <v>396</v>
      </c>
      <c r="C559" s="2" t="s">
        <v>18</v>
      </c>
      <c r="D559" s="2" t="str">
        <f aca="false">IF(2キー同時!$B$136="","",2キー同時!$B$136)</f>
        <v/>
      </c>
      <c r="E559" s="2" t="str">
        <f aca="false">""</f>
        <v/>
      </c>
      <c r="F559" s="2" t="str">
        <f aca="false">""</f>
        <v/>
      </c>
      <c r="G559" s="2" t="str">
        <f aca="false">IF(2キー同時!$B$136="","",IF(2キー同時!AF140="","",SUBSTITUTE(SUBSTITUTE(2キー同時!AF140," ",""),"　","")))</f>
        <v/>
      </c>
      <c r="H559" s="2" t="str">
        <f aca="false">IF($G559="","",2キー同時!$B$136)</f>
        <v/>
      </c>
      <c r="I559" s="2" t="str">
        <f aca="false">IF($G559="","","u")</f>
        <v/>
      </c>
      <c r="J559" s="2" t="str">
        <f aca="false">""</f>
        <v/>
      </c>
      <c r="K559" s="2" t="str">
        <f aca="false">""</f>
        <v/>
      </c>
      <c r="L559" s="2" t="str">
        <f aca="false">IF($G559="","","同時")</f>
        <v/>
      </c>
      <c r="M559" s="2" t="str">
        <f aca="false">IF($G559="","",IF(ISNA(MATCH($G559,個別指定!$A:$A,0)),"行なし",""))</f>
        <v/>
      </c>
      <c r="N559" s="2" t="str">
        <f aca="false">IF($G559="","",IF(COUNTIF($G$2:$G$4460,$G559)&gt;1,"重複",""))</f>
        <v/>
      </c>
    </row>
    <row r="560" customFormat="false" ht="16.5" hidden="false" customHeight="true" outlineLevel="0" collapsed="false">
      <c r="A560" s="2" t="s">
        <v>385</v>
      </c>
      <c r="B560" s="2" t="s">
        <v>396</v>
      </c>
      <c r="C560" s="2" t="s">
        <v>19</v>
      </c>
      <c r="D560" s="2" t="str">
        <f aca="false">IF(2キー同時!$B$136="","",2キー同時!$B$136)</f>
        <v/>
      </c>
      <c r="E560" s="2" t="str">
        <f aca="false">""</f>
        <v/>
      </c>
      <c r="F560" s="2" t="str">
        <f aca="false">""</f>
        <v/>
      </c>
      <c r="G560" s="2" t="str">
        <f aca="false">IF(2キー同時!$B$136="","",IF(2キー同時!AJ140="","",SUBSTITUTE(SUBSTITUTE(2キー同時!AJ140," ",""),"　","")))</f>
        <v/>
      </c>
      <c r="H560" s="2" t="str">
        <f aca="false">IF($G560="","",2キー同時!$B$136)</f>
        <v/>
      </c>
      <c r="I560" s="2" t="str">
        <f aca="false">IF($G560="","","i")</f>
        <v/>
      </c>
      <c r="J560" s="2" t="str">
        <f aca="false">""</f>
        <v/>
      </c>
      <c r="K560" s="2" t="str">
        <f aca="false">""</f>
        <v/>
      </c>
      <c r="L560" s="2" t="str">
        <f aca="false">IF($G560="","","同時")</f>
        <v/>
      </c>
      <c r="M560" s="2" t="str">
        <f aca="false">IF($G560="","",IF(ISNA(MATCH($G560,個別指定!$A:$A,0)),"行なし",""))</f>
        <v/>
      </c>
      <c r="N560" s="2" t="str">
        <f aca="false">IF($G560="","",IF(COUNTIF($G$2:$G$4460,$G560)&gt;1,"重複",""))</f>
        <v/>
      </c>
    </row>
    <row r="561" customFormat="false" ht="16.5" hidden="false" customHeight="true" outlineLevel="0" collapsed="false">
      <c r="A561" s="2" t="s">
        <v>385</v>
      </c>
      <c r="B561" s="2" t="s">
        <v>396</v>
      </c>
      <c r="C561" s="2" t="s">
        <v>20</v>
      </c>
      <c r="D561" s="2" t="str">
        <f aca="false">IF(2キー同時!$B$136="","",2キー同時!$B$136)</f>
        <v/>
      </c>
      <c r="E561" s="2" t="str">
        <f aca="false">""</f>
        <v/>
      </c>
      <c r="F561" s="2" t="str">
        <f aca="false">""</f>
        <v/>
      </c>
      <c r="G561" s="2" t="str">
        <f aca="false">IF(2キー同時!$B$136="","",IF(2キー同時!AN140="","",SUBSTITUTE(SUBSTITUTE(2キー同時!AN140," ",""),"　","")))</f>
        <v/>
      </c>
      <c r="H561" s="2" t="str">
        <f aca="false">IF($G561="","",2キー同時!$B$136)</f>
        <v/>
      </c>
      <c r="I561" s="2" t="str">
        <f aca="false">IF($G561="","","o")</f>
        <v/>
      </c>
      <c r="J561" s="2" t="str">
        <f aca="false">""</f>
        <v/>
      </c>
      <c r="K561" s="2" t="str">
        <f aca="false">""</f>
        <v/>
      </c>
      <c r="L561" s="2" t="str">
        <f aca="false">IF($G561="","","同時")</f>
        <v/>
      </c>
      <c r="M561" s="2" t="str">
        <f aca="false">IF($G561="","",IF(ISNA(MATCH($G561,個別指定!$A:$A,0)),"行なし",""))</f>
        <v/>
      </c>
      <c r="N561" s="2" t="str">
        <f aca="false">IF($G561="","",IF(COUNTIF($G$2:$G$4460,$G561)&gt;1,"重複",""))</f>
        <v/>
      </c>
    </row>
    <row r="562" customFormat="false" ht="16.5" hidden="false" customHeight="true" outlineLevel="0" collapsed="false">
      <c r="A562" s="2" t="s">
        <v>385</v>
      </c>
      <c r="B562" s="2" t="s">
        <v>396</v>
      </c>
      <c r="C562" s="2" t="s">
        <v>21</v>
      </c>
      <c r="D562" s="2" t="str">
        <f aca="false">IF(2キー同時!$B$136="","",2キー同時!$B$136)</f>
        <v/>
      </c>
      <c r="E562" s="2" t="str">
        <f aca="false">""</f>
        <v/>
      </c>
      <c r="F562" s="2" t="str">
        <f aca="false">""</f>
        <v/>
      </c>
      <c r="G562" s="2" t="str">
        <f aca="false">IF(2キー同時!$B$136="","",IF(2キー同時!AR140="","",SUBSTITUTE(SUBSTITUTE(2キー同時!AR140," ",""),"　","")))</f>
        <v/>
      </c>
      <c r="H562" s="2" t="str">
        <f aca="false">IF($G562="","",2キー同時!$B$136)</f>
        <v/>
      </c>
      <c r="I562" s="2" t="str">
        <f aca="false">IF($G562="","","p")</f>
        <v/>
      </c>
      <c r="J562" s="2" t="str">
        <f aca="false">""</f>
        <v/>
      </c>
      <c r="K562" s="2" t="str">
        <f aca="false">""</f>
        <v/>
      </c>
      <c r="L562" s="2" t="str">
        <f aca="false">IF($G562="","","同時")</f>
        <v/>
      </c>
      <c r="M562" s="2" t="str">
        <f aca="false">IF($G562="","",IF(ISNA(MATCH($G562,個別指定!$A:$A,0)),"行なし",""))</f>
        <v/>
      </c>
      <c r="N562" s="2" t="str">
        <f aca="false">IF($G562="","",IF(COUNTIF($G$2:$G$4460,$G562)&gt;1,"重複",""))</f>
        <v/>
      </c>
    </row>
    <row r="563" customFormat="false" ht="16.5" hidden="false" customHeight="true" outlineLevel="0" collapsed="false">
      <c r="A563" s="2" t="s">
        <v>385</v>
      </c>
      <c r="B563" s="2" t="s">
        <v>396</v>
      </c>
      <c r="C563" s="2" t="s">
        <v>22</v>
      </c>
      <c r="D563" s="2" t="str">
        <f aca="false">IF(2キー同時!$B$136="","",2キー同時!$B$136)</f>
        <v/>
      </c>
      <c r="E563" s="2" t="str">
        <f aca="false">""</f>
        <v/>
      </c>
      <c r="F563" s="2" t="str">
        <f aca="false">""</f>
        <v/>
      </c>
      <c r="G563" s="2" t="str">
        <f aca="false">IF(2キー同時!$B$136="","",IF(2キー同時!AV140="","",SUBSTITUTE(SUBSTITUTE(2キー同時!AV140," ",""),"　","")))</f>
        <v/>
      </c>
      <c r="H563" s="2" t="str">
        <f aca="false">IF($G563="","",2キー同時!$B$136)</f>
        <v/>
      </c>
      <c r="I563" s="2" t="str">
        <f aca="false">IF($G563="","","[")</f>
        <v/>
      </c>
      <c r="J563" s="2" t="str">
        <f aca="false">""</f>
        <v/>
      </c>
      <c r="K563" s="2" t="str">
        <f aca="false">""</f>
        <v/>
      </c>
      <c r="L563" s="2" t="str">
        <f aca="false">IF($G563="","","同時")</f>
        <v/>
      </c>
      <c r="M563" s="2" t="str">
        <f aca="false">IF($G563="","",IF(ISNA(MATCH($G563,個別指定!$A:$A,0)),"行なし",""))</f>
        <v/>
      </c>
      <c r="N563" s="2" t="str">
        <f aca="false">IF($G563="","",IF(COUNTIF($G$2:$G$4460,$G563)&gt;1,"重複",""))</f>
        <v/>
      </c>
    </row>
    <row r="564" customFormat="false" ht="16.5" hidden="false" customHeight="true" outlineLevel="0" collapsed="false">
      <c r="A564" s="2" t="s">
        <v>385</v>
      </c>
      <c r="B564" s="2" t="s">
        <v>396</v>
      </c>
      <c r="C564" s="2" t="s">
        <v>23</v>
      </c>
      <c r="D564" s="2" t="str">
        <f aca="false">IF(2キー同時!$B$136="","",2キー同時!$B$136)</f>
        <v/>
      </c>
      <c r="E564" s="2" t="str">
        <f aca="false">""</f>
        <v/>
      </c>
      <c r="F564" s="2" t="str">
        <f aca="false">""</f>
        <v/>
      </c>
      <c r="G564" s="2" t="str">
        <f aca="false">IF(2キー同時!$B$136="","",IF(2キー同時!AZ140="","",SUBSTITUTE(SUBSTITUTE(2キー同時!AZ140," ",""),"　","")))</f>
        <v/>
      </c>
      <c r="H564" s="2" t="str">
        <f aca="false">IF($G564="","",2キー同時!$B$136)</f>
        <v/>
      </c>
      <c r="I564" s="2" t="str">
        <f aca="false">IF($G564="","","]")</f>
        <v/>
      </c>
      <c r="J564" s="2" t="str">
        <f aca="false">""</f>
        <v/>
      </c>
      <c r="K564" s="2" t="str">
        <f aca="false">""</f>
        <v/>
      </c>
      <c r="L564" s="2" t="str">
        <f aca="false">IF($G564="","","同時")</f>
        <v/>
      </c>
      <c r="M564" s="2" t="str">
        <f aca="false">IF($G564="","",IF(ISNA(MATCH($G564,個別指定!$A:$A,0)),"行なし",""))</f>
        <v/>
      </c>
      <c r="N564" s="2" t="str">
        <f aca="false">IF($G564="","",IF(COUNTIF($G$2:$G$4460,$G564)&gt;1,"重複",""))</f>
        <v/>
      </c>
    </row>
    <row r="565" customFormat="false" ht="16.5" hidden="false" customHeight="true" outlineLevel="0" collapsed="false">
      <c r="A565" s="2" t="s">
        <v>385</v>
      </c>
      <c r="B565" s="2" t="s">
        <v>396</v>
      </c>
      <c r="C565" s="2" t="s">
        <v>24</v>
      </c>
      <c r="D565" s="2" t="str">
        <f aca="false">IF(2キー同時!$B$136="","",2キー同時!$B$136)</f>
        <v/>
      </c>
      <c r="E565" s="2" t="str">
        <f aca="false">""</f>
        <v/>
      </c>
      <c r="F565" s="2" t="str">
        <f aca="false">""</f>
        <v/>
      </c>
      <c r="G565" s="2" t="str">
        <f aca="false">IF(2キー同時!$B$136="","",IF(2キー同時!I142="","",SUBSTITUTE(SUBSTITUTE(2キー同時!I142," ",""),"　","")))</f>
        <v/>
      </c>
      <c r="H565" s="2" t="str">
        <f aca="false">IF($G565="","",2キー同時!$B$136)</f>
        <v/>
      </c>
      <c r="I565" s="2" t="str">
        <f aca="false">IF($G565="","","a")</f>
        <v/>
      </c>
      <c r="J565" s="2" t="str">
        <f aca="false">""</f>
        <v/>
      </c>
      <c r="K565" s="2" t="str">
        <f aca="false">""</f>
        <v/>
      </c>
      <c r="L565" s="2" t="str">
        <f aca="false">IF($G565="","","同時")</f>
        <v/>
      </c>
      <c r="M565" s="2" t="str">
        <f aca="false">IF($G565="","",IF(ISNA(MATCH($G565,個別指定!$A:$A,0)),"行なし",""))</f>
        <v/>
      </c>
      <c r="N565" s="2" t="str">
        <f aca="false">IF($G565="","",IF(COUNTIF($G$2:$G$4460,$G565)&gt;1,"重複",""))</f>
        <v/>
      </c>
    </row>
    <row r="566" customFormat="false" ht="16.5" hidden="false" customHeight="true" outlineLevel="0" collapsed="false">
      <c r="A566" s="2" t="s">
        <v>385</v>
      </c>
      <c r="B566" s="2" t="s">
        <v>396</v>
      </c>
      <c r="C566" s="2" t="s">
        <v>25</v>
      </c>
      <c r="D566" s="2" t="str">
        <f aca="false">IF(2キー同時!$B$136="","",2キー同時!$B$136)</f>
        <v/>
      </c>
      <c r="E566" s="2" t="str">
        <f aca="false">""</f>
        <v/>
      </c>
      <c r="F566" s="2" t="str">
        <f aca="false">""</f>
        <v/>
      </c>
      <c r="G566" s="2" t="str">
        <f aca="false">IF(2キー同時!$B$136="","",IF(2キー同時!M142="","",SUBSTITUTE(SUBSTITUTE(2キー同時!M142," ",""),"　","")))</f>
        <v/>
      </c>
      <c r="H566" s="2" t="str">
        <f aca="false">IF($G566="","",2キー同時!$B$136)</f>
        <v/>
      </c>
      <c r="I566" s="2" t="str">
        <f aca="false">IF($G566="","","s")</f>
        <v/>
      </c>
      <c r="J566" s="2" t="str">
        <f aca="false">""</f>
        <v/>
      </c>
      <c r="K566" s="2" t="str">
        <f aca="false">""</f>
        <v/>
      </c>
      <c r="L566" s="2" t="str">
        <f aca="false">IF($G566="","","同時")</f>
        <v/>
      </c>
      <c r="M566" s="2" t="str">
        <f aca="false">IF($G566="","",IF(ISNA(MATCH($G566,個別指定!$A:$A,0)),"行なし",""))</f>
        <v/>
      </c>
      <c r="N566" s="2" t="str">
        <f aca="false">IF($G566="","",IF(COUNTIF($G$2:$G$4460,$G566)&gt;1,"重複",""))</f>
        <v/>
      </c>
    </row>
    <row r="567" customFormat="false" ht="16.5" hidden="false" customHeight="true" outlineLevel="0" collapsed="false">
      <c r="A567" s="2" t="s">
        <v>385</v>
      </c>
      <c r="B567" s="2" t="s">
        <v>396</v>
      </c>
      <c r="C567" s="2" t="s">
        <v>26</v>
      </c>
      <c r="D567" s="2" t="str">
        <f aca="false">IF(2キー同時!$B$136="","",2キー同時!$B$136)</f>
        <v/>
      </c>
      <c r="E567" s="2" t="str">
        <f aca="false">""</f>
        <v/>
      </c>
      <c r="F567" s="2" t="str">
        <f aca="false">""</f>
        <v/>
      </c>
      <c r="G567" s="2" t="str">
        <f aca="false">IF(2キー同時!$B$136="","",IF(2キー同時!Q142="","",SUBSTITUTE(SUBSTITUTE(2キー同時!Q142," ",""),"　","")))</f>
        <v/>
      </c>
      <c r="H567" s="2" t="str">
        <f aca="false">IF($G567="","",2キー同時!$B$136)</f>
        <v/>
      </c>
      <c r="I567" s="2" t="str">
        <f aca="false">IF($G567="","","d")</f>
        <v/>
      </c>
      <c r="J567" s="2" t="str">
        <f aca="false">""</f>
        <v/>
      </c>
      <c r="K567" s="2" t="str">
        <f aca="false">""</f>
        <v/>
      </c>
      <c r="L567" s="2" t="str">
        <f aca="false">IF($G567="","","同時")</f>
        <v/>
      </c>
      <c r="M567" s="2" t="str">
        <f aca="false">IF($G567="","",IF(ISNA(MATCH($G567,個別指定!$A:$A,0)),"行なし",""))</f>
        <v/>
      </c>
      <c r="N567" s="2" t="str">
        <f aca="false">IF($G567="","",IF(COUNTIF($G$2:$G$4460,$G567)&gt;1,"重複",""))</f>
        <v/>
      </c>
    </row>
    <row r="568" customFormat="false" ht="16.5" hidden="false" customHeight="true" outlineLevel="0" collapsed="false">
      <c r="A568" s="2" t="s">
        <v>385</v>
      </c>
      <c r="B568" s="2" t="s">
        <v>396</v>
      </c>
      <c r="C568" s="2" t="s">
        <v>27</v>
      </c>
      <c r="D568" s="2" t="str">
        <f aca="false">IF(2キー同時!$B$136="","",2キー同時!$B$136)</f>
        <v/>
      </c>
      <c r="E568" s="2" t="str">
        <f aca="false">""</f>
        <v/>
      </c>
      <c r="F568" s="2" t="str">
        <f aca="false">""</f>
        <v/>
      </c>
      <c r="G568" s="2" t="str">
        <f aca="false">IF(2キー同時!$B$136="","",IF(2キー同時!U142="","",SUBSTITUTE(SUBSTITUTE(2キー同時!U142," ",""),"　","")))</f>
        <v/>
      </c>
      <c r="H568" s="2" t="str">
        <f aca="false">IF($G568="","",2キー同時!$B$136)</f>
        <v/>
      </c>
      <c r="I568" s="2" t="str">
        <f aca="false">IF($G568="","","f")</f>
        <v/>
      </c>
      <c r="J568" s="2" t="str">
        <f aca="false">""</f>
        <v/>
      </c>
      <c r="K568" s="2" t="str">
        <f aca="false">""</f>
        <v/>
      </c>
      <c r="L568" s="2" t="str">
        <f aca="false">IF($G568="","","同時")</f>
        <v/>
      </c>
      <c r="M568" s="2" t="str">
        <f aca="false">IF($G568="","",IF(ISNA(MATCH($G568,個別指定!$A:$A,0)),"行なし",""))</f>
        <v/>
      </c>
      <c r="N568" s="2" t="str">
        <f aca="false">IF($G568="","",IF(COUNTIF($G$2:$G$4460,$G568)&gt;1,"重複",""))</f>
        <v/>
      </c>
    </row>
    <row r="569" customFormat="false" ht="16.5" hidden="false" customHeight="true" outlineLevel="0" collapsed="false">
      <c r="A569" s="2" t="s">
        <v>385</v>
      </c>
      <c r="B569" s="2" t="s">
        <v>396</v>
      </c>
      <c r="C569" s="2" t="s">
        <v>28</v>
      </c>
      <c r="D569" s="2" t="str">
        <f aca="false">IF(2キー同時!$B$136="","",2キー同時!$B$136)</f>
        <v/>
      </c>
      <c r="E569" s="2" t="str">
        <f aca="false">""</f>
        <v/>
      </c>
      <c r="F569" s="2" t="str">
        <f aca="false">""</f>
        <v/>
      </c>
      <c r="G569" s="2" t="str">
        <f aca="false">IF(2キー同時!$B$136="","",IF(2キー同時!Y142="","",SUBSTITUTE(SUBSTITUTE(2キー同時!Y142," ",""),"　","")))</f>
        <v/>
      </c>
      <c r="H569" s="2" t="str">
        <f aca="false">IF($G569="","",2キー同時!$B$136)</f>
        <v/>
      </c>
      <c r="I569" s="2" t="str">
        <f aca="false">IF($G569="","","g")</f>
        <v/>
      </c>
      <c r="J569" s="2" t="str">
        <f aca="false">""</f>
        <v/>
      </c>
      <c r="K569" s="2" t="str">
        <f aca="false">""</f>
        <v/>
      </c>
      <c r="L569" s="2" t="str">
        <f aca="false">IF($G569="","","同時")</f>
        <v/>
      </c>
      <c r="M569" s="2" t="str">
        <f aca="false">IF($G569="","",IF(ISNA(MATCH($G569,個別指定!$A:$A,0)),"行なし",""))</f>
        <v/>
      </c>
      <c r="N569" s="2" t="str">
        <f aca="false">IF($G569="","",IF(COUNTIF($G$2:$G$4460,$G569)&gt;1,"重複",""))</f>
        <v/>
      </c>
    </row>
    <row r="570" customFormat="false" ht="16.5" hidden="false" customHeight="true" outlineLevel="0" collapsed="false">
      <c r="A570" s="2" t="s">
        <v>385</v>
      </c>
      <c r="B570" s="2" t="s">
        <v>396</v>
      </c>
      <c r="C570" s="2" t="s">
        <v>29</v>
      </c>
      <c r="D570" s="2" t="str">
        <f aca="false">IF(2キー同時!$B$136="","",2キー同時!$B$136)</f>
        <v/>
      </c>
      <c r="E570" s="2" t="str">
        <f aca="false">""</f>
        <v/>
      </c>
      <c r="F570" s="2" t="str">
        <f aca="false">""</f>
        <v/>
      </c>
      <c r="G570" s="2" t="str">
        <f aca="false">IF(2キー同時!$B$136="","",IF(2キー同時!AC142="","",SUBSTITUTE(SUBSTITUTE(2キー同時!AC142," ",""),"　","")))</f>
        <v/>
      </c>
      <c r="H570" s="2" t="str">
        <f aca="false">IF($G570="","",2キー同時!$B$136)</f>
        <v/>
      </c>
      <c r="I570" s="2" t="str">
        <f aca="false">IF($G570="","","h")</f>
        <v/>
      </c>
      <c r="J570" s="2" t="str">
        <f aca="false">""</f>
        <v/>
      </c>
      <c r="K570" s="2" t="str">
        <f aca="false">""</f>
        <v/>
      </c>
      <c r="L570" s="2" t="str">
        <f aca="false">IF($G570="","","同時")</f>
        <v/>
      </c>
      <c r="M570" s="2" t="str">
        <f aca="false">IF($G570="","",IF(ISNA(MATCH($G570,個別指定!$A:$A,0)),"行なし",""))</f>
        <v/>
      </c>
      <c r="N570" s="2" t="str">
        <f aca="false">IF($G570="","",IF(COUNTIF($G$2:$G$4460,$G570)&gt;1,"重複",""))</f>
        <v/>
      </c>
    </row>
    <row r="571" customFormat="false" ht="16.5" hidden="false" customHeight="true" outlineLevel="0" collapsed="false">
      <c r="A571" s="2" t="s">
        <v>385</v>
      </c>
      <c r="B571" s="2" t="s">
        <v>396</v>
      </c>
      <c r="C571" s="2" t="s">
        <v>30</v>
      </c>
      <c r="D571" s="2" t="str">
        <f aca="false">IF(2キー同時!$B$136="","",2キー同時!$B$136)</f>
        <v/>
      </c>
      <c r="E571" s="2" t="str">
        <f aca="false">""</f>
        <v/>
      </c>
      <c r="F571" s="2" t="str">
        <f aca="false">""</f>
        <v/>
      </c>
      <c r="G571" s="2" t="str">
        <f aca="false">IF(2キー同時!$B$136="","",IF(2キー同時!AG142="","",SUBSTITUTE(SUBSTITUTE(2キー同時!AG142," ",""),"　","")))</f>
        <v/>
      </c>
      <c r="H571" s="2" t="str">
        <f aca="false">IF($G571="","",2キー同時!$B$136)</f>
        <v/>
      </c>
      <c r="I571" s="2" t="str">
        <f aca="false">IF($G571="","","j")</f>
        <v/>
      </c>
      <c r="J571" s="2" t="str">
        <f aca="false">""</f>
        <v/>
      </c>
      <c r="K571" s="2" t="str">
        <f aca="false">""</f>
        <v/>
      </c>
      <c r="L571" s="2" t="str">
        <f aca="false">IF($G571="","","同時")</f>
        <v/>
      </c>
      <c r="M571" s="2" t="str">
        <f aca="false">IF($G571="","",IF(ISNA(MATCH($G571,個別指定!$A:$A,0)),"行なし",""))</f>
        <v/>
      </c>
      <c r="N571" s="2" t="str">
        <f aca="false">IF($G571="","",IF(COUNTIF($G$2:$G$4460,$G571)&gt;1,"重複",""))</f>
        <v/>
      </c>
    </row>
    <row r="572" customFormat="false" ht="16.5" hidden="false" customHeight="true" outlineLevel="0" collapsed="false">
      <c r="A572" s="2" t="s">
        <v>385</v>
      </c>
      <c r="B572" s="2" t="s">
        <v>396</v>
      </c>
      <c r="C572" s="2" t="s">
        <v>31</v>
      </c>
      <c r="D572" s="2" t="str">
        <f aca="false">IF(2キー同時!$B$136="","",2キー同時!$B$136)</f>
        <v/>
      </c>
      <c r="E572" s="2" t="str">
        <f aca="false">""</f>
        <v/>
      </c>
      <c r="F572" s="2" t="str">
        <f aca="false">""</f>
        <v/>
      </c>
      <c r="G572" s="2" t="str">
        <f aca="false">IF(2キー同時!$B$136="","",IF(2キー同時!AK142="","",SUBSTITUTE(SUBSTITUTE(2キー同時!AK142," ",""),"　","")))</f>
        <v/>
      </c>
      <c r="H572" s="2" t="str">
        <f aca="false">IF($G572="","",2キー同時!$B$136)</f>
        <v/>
      </c>
      <c r="I572" s="2" t="str">
        <f aca="false">IF($G572="","","k")</f>
        <v/>
      </c>
      <c r="J572" s="2" t="str">
        <f aca="false">""</f>
        <v/>
      </c>
      <c r="K572" s="2" t="str">
        <f aca="false">""</f>
        <v/>
      </c>
      <c r="L572" s="2" t="str">
        <f aca="false">IF($G572="","","同時")</f>
        <v/>
      </c>
      <c r="M572" s="2" t="str">
        <f aca="false">IF($G572="","",IF(ISNA(MATCH($G572,個別指定!$A:$A,0)),"行なし",""))</f>
        <v/>
      </c>
      <c r="N572" s="2" t="str">
        <f aca="false">IF($G572="","",IF(COUNTIF($G$2:$G$4460,$G572)&gt;1,"重複",""))</f>
        <v/>
      </c>
    </row>
    <row r="573" customFormat="false" ht="16.5" hidden="false" customHeight="true" outlineLevel="0" collapsed="false">
      <c r="A573" s="2" t="s">
        <v>385</v>
      </c>
      <c r="B573" s="2" t="s">
        <v>396</v>
      </c>
      <c r="C573" s="2" t="s">
        <v>32</v>
      </c>
      <c r="D573" s="2" t="str">
        <f aca="false">IF(2キー同時!$B$136="","",2キー同時!$B$136)</f>
        <v/>
      </c>
      <c r="E573" s="2" t="str">
        <f aca="false">""</f>
        <v/>
      </c>
      <c r="F573" s="2" t="str">
        <f aca="false">""</f>
        <v/>
      </c>
      <c r="G573" s="2" t="str">
        <f aca="false">IF(2キー同時!$B$136="","",IF(2キー同時!AO142="","",SUBSTITUTE(SUBSTITUTE(2キー同時!AO142," ",""),"　","")))</f>
        <v/>
      </c>
      <c r="H573" s="2" t="str">
        <f aca="false">IF($G573="","",2キー同時!$B$136)</f>
        <v/>
      </c>
      <c r="I573" s="2" t="str">
        <f aca="false">IF($G573="","","l")</f>
        <v/>
      </c>
      <c r="J573" s="2" t="str">
        <f aca="false">""</f>
        <v/>
      </c>
      <c r="K573" s="2" t="str">
        <f aca="false">""</f>
        <v/>
      </c>
      <c r="L573" s="2" t="str">
        <f aca="false">IF($G573="","","同時")</f>
        <v/>
      </c>
      <c r="M573" s="2" t="str">
        <f aca="false">IF($G573="","",IF(ISNA(MATCH($G573,個別指定!$A:$A,0)),"行なし",""))</f>
        <v/>
      </c>
      <c r="N573" s="2" t="str">
        <f aca="false">IF($G573="","",IF(COUNTIF($G$2:$G$4460,$G573)&gt;1,"重複",""))</f>
        <v/>
      </c>
    </row>
    <row r="574" customFormat="false" ht="16.5" hidden="false" customHeight="true" outlineLevel="0" collapsed="false">
      <c r="A574" s="2" t="s">
        <v>385</v>
      </c>
      <c r="B574" s="2" t="s">
        <v>396</v>
      </c>
      <c r="C574" s="2" t="s">
        <v>33</v>
      </c>
      <c r="D574" s="2" t="str">
        <f aca="false">IF(2キー同時!$B$136="","",2キー同時!$B$136)</f>
        <v/>
      </c>
      <c r="E574" s="2" t="str">
        <f aca="false">""</f>
        <v/>
      </c>
      <c r="F574" s="2" t="str">
        <f aca="false">""</f>
        <v/>
      </c>
      <c r="G574" s="2" t="str">
        <f aca="false">IF(2キー同時!$B$136="","",IF(2キー同時!AS142="","",SUBSTITUTE(SUBSTITUTE(2キー同時!AS142," ",""),"　","")))</f>
        <v/>
      </c>
      <c r="H574" s="2" t="str">
        <f aca="false">IF($G574="","",2キー同時!$B$136)</f>
        <v/>
      </c>
      <c r="I574" s="2" t="str">
        <f aca="false">IF($G574="","",";")</f>
        <v/>
      </c>
      <c r="J574" s="2" t="str">
        <f aca="false">""</f>
        <v/>
      </c>
      <c r="K574" s="2" t="str">
        <f aca="false">""</f>
        <v/>
      </c>
      <c r="L574" s="2" t="str">
        <f aca="false">IF($G574="","","同時")</f>
        <v/>
      </c>
      <c r="M574" s="2" t="str">
        <f aca="false">IF($G574="","",IF(ISNA(MATCH($G574,個別指定!$A:$A,0)),"行なし",""))</f>
        <v/>
      </c>
      <c r="N574" s="2" t="str">
        <f aca="false">IF($G574="","",IF(COUNTIF($G$2:$G$4460,$G574)&gt;1,"重複",""))</f>
        <v/>
      </c>
    </row>
    <row r="575" customFormat="false" ht="16.5" hidden="false" customHeight="true" outlineLevel="0" collapsed="false">
      <c r="A575" s="2" t="s">
        <v>385</v>
      </c>
      <c r="B575" s="2" t="s">
        <v>396</v>
      </c>
      <c r="C575" s="2" t="s">
        <v>34</v>
      </c>
      <c r="D575" s="2" t="str">
        <f aca="false">IF(2キー同時!$B$136="","",2キー同時!$B$136)</f>
        <v/>
      </c>
      <c r="E575" s="2" t="str">
        <f aca="false">""</f>
        <v/>
      </c>
      <c r="F575" s="2" t="str">
        <f aca="false">""</f>
        <v/>
      </c>
      <c r="G575" s="2" t="str">
        <f aca="false">IF(2キー同時!$B$136="","",IF(2キー同時!AW142="","",SUBSTITUTE(SUBSTITUTE(2キー同時!AW142," ",""),"　","")))</f>
        <v/>
      </c>
      <c r="H575" s="2" t="str">
        <f aca="false">IF($G575="","",2キー同時!$B$136)</f>
        <v/>
      </c>
      <c r="I575" s="2" t="str">
        <f aca="false">IF($G575="","","'")</f>
        <v/>
      </c>
      <c r="J575" s="2" t="str">
        <f aca="false">""</f>
        <v/>
      </c>
      <c r="K575" s="2" t="str">
        <f aca="false">""</f>
        <v/>
      </c>
      <c r="L575" s="2" t="str">
        <f aca="false">IF($G575="","","同時")</f>
        <v/>
      </c>
      <c r="M575" s="2" t="str">
        <f aca="false">IF($G575="","",IF(ISNA(MATCH($G575,個別指定!$A:$A,0)),"行なし",""))</f>
        <v/>
      </c>
      <c r="N575" s="2" t="str">
        <f aca="false">IF($G575="","",IF(COUNTIF($G$2:$G$4460,$G575)&gt;1,"重複",""))</f>
        <v/>
      </c>
    </row>
    <row r="576" customFormat="false" ht="16.5" hidden="false" customHeight="true" outlineLevel="0" collapsed="false">
      <c r="A576" s="2" t="s">
        <v>385</v>
      </c>
      <c r="B576" s="2" t="s">
        <v>396</v>
      </c>
      <c r="C576" s="2" t="s">
        <v>35</v>
      </c>
      <c r="D576" s="2" t="str">
        <f aca="false">IF(2キー同時!$B$136="","",2キー同時!$B$136)</f>
        <v/>
      </c>
      <c r="E576" s="2" t="str">
        <f aca="false">""</f>
        <v/>
      </c>
      <c r="F576" s="2" t="str">
        <f aca="false">""</f>
        <v/>
      </c>
      <c r="G576" s="2" t="str">
        <f aca="false">IF(2キー同時!$B$136="","",IF(2キー同時!K144="","",SUBSTITUTE(SUBSTITUTE(2キー同時!K144," ",""),"　","")))</f>
        <v/>
      </c>
      <c r="H576" s="2" t="str">
        <f aca="false">IF($G576="","",2キー同時!$B$136)</f>
        <v/>
      </c>
      <c r="I576" s="2" t="str">
        <f aca="false">IF($G576="","","z")</f>
        <v/>
      </c>
      <c r="J576" s="2" t="str">
        <f aca="false">""</f>
        <v/>
      </c>
      <c r="K576" s="2" t="str">
        <f aca="false">""</f>
        <v/>
      </c>
      <c r="L576" s="2" t="str">
        <f aca="false">IF($G576="","","同時")</f>
        <v/>
      </c>
      <c r="M576" s="2" t="str">
        <f aca="false">IF($G576="","",IF(ISNA(MATCH($G576,個別指定!$A:$A,0)),"行なし",""))</f>
        <v/>
      </c>
      <c r="N576" s="2" t="str">
        <f aca="false">IF($G576="","",IF(COUNTIF($G$2:$G$4460,$G576)&gt;1,"重複",""))</f>
        <v/>
      </c>
    </row>
    <row r="577" customFormat="false" ht="16.5" hidden="false" customHeight="true" outlineLevel="0" collapsed="false">
      <c r="A577" s="2" t="s">
        <v>385</v>
      </c>
      <c r="B577" s="2" t="s">
        <v>396</v>
      </c>
      <c r="C577" s="2" t="s">
        <v>36</v>
      </c>
      <c r="D577" s="2" t="str">
        <f aca="false">IF(2キー同時!$B$136="","",2キー同時!$B$136)</f>
        <v/>
      </c>
      <c r="E577" s="2" t="str">
        <f aca="false">""</f>
        <v/>
      </c>
      <c r="F577" s="2" t="str">
        <f aca="false">""</f>
        <v/>
      </c>
      <c r="G577" s="2" t="str">
        <f aca="false">IF(2キー同時!$B$136="","",IF(2キー同時!O144="","",SUBSTITUTE(SUBSTITUTE(2キー同時!O144," ",""),"　","")))</f>
        <v/>
      </c>
      <c r="H577" s="2" t="str">
        <f aca="false">IF($G577="","",2キー同時!$B$136)</f>
        <v/>
      </c>
      <c r="I577" s="2" t="str">
        <f aca="false">IF($G577="","","x")</f>
        <v/>
      </c>
      <c r="J577" s="2" t="str">
        <f aca="false">""</f>
        <v/>
      </c>
      <c r="K577" s="2" t="str">
        <f aca="false">""</f>
        <v/>
      </c>
      <c r="L577" s="2" t="str">
        <f aca="false">IF($G577="","","同時")</f>
        <v/>
      </c>
      <c r="M577" s="2" t="str">
        <f aca="false">IF($G577="","",IF(ISNA(MATCH($G577,個別指定!$A:$A,0)),"行なし",""))</f>
        <v/>
      </c>
      <c r="N577" s="2" t="str">
        <f aca="false">IF($G577="","",IF(COUNTIF($G$2:$G$4460,$G577)&gt;1,"重複",""))</f>
        <v/>
      </c>
    </row>
    <row r="578" customFormat="false" ht="16.5" hidden="false" customHeight="true" outlineLevel="0" collapsed="false">
      <c r="A578" s="2" t="s">
        <v>385</v>
      </c>
      <c r="B578" s="2" t="s">
        <v>396</v>
      </c>
      <c r="C578" s="2" t="s">
        <v>37</v>
      </c>
      <c r="D578" s="2" t="str">
        <f aca="false">IF(2キー同時!$B$136="","",2キー同時!$B$136)</f>
        <v/>
      </c>
      <c r="E578" s="2" t="str">
        <f aca="false">""</f>
        <v/>
      </c>
      <c r="F578" s="2" t="str">
        <f aca="false">""</f>
        <v/>
      </c>
      <c r="G578" s="2" t="str">
        <f aca="false">IF(2キー同時!$B$136="","",IF(2キー同時!S144="","",SUBSTITUTE(SUBSTITUTE(2キー同時!S144," ",""),"　","")))</f>
        <v/>
      </c>
      <c r="H578" s="2" t="str">
        <f aca="false">IF($G578="","",2キー同時!$B$136)</f>
        <v/>
      </c>
      <c r="I578" s="2" t="str">
        <f aca="false">IF($G578="","","c")</f>
        <v/>
      </c>
      <c r="J578" s="2" t="str">
        <f aca="false">""</f>
        <v/>
      </c>
      <c r="K578" s="2" t="str">
        <f aca="false">""</f>
        <v/>
      </c>
      <c r="L578" s="2" t="str">
        <f aca="false">IF($G578="","","同時")</f>
        <v/>
      </c>
      <c r="M578" s="2" t="str">
        <f aca="false">IF($G578="","",IF(ISNA(MATCH($G578,個別指定!$A:$A,0)),"行なし",""))</f>
        <v/>
      </c>
      <c r="N578" s="2" t="str">
        <f aca="false">IF($G578="","",IF(COUNTIF($G$2:$G$4460,$G578)&gt;1,"重複",""))</f>
        <v/>
      </c>
    </row>
    <row r="579" customFormat="false" ht="16.5" hidden="false" customHeight="true" outlineLevel="0" collapsed="false">
      <c r="A579" s="2" t="s">
        <v>385</v>
      </c>
      <c r="B579" s="2" t="s">
        <v>396</v>
      </c>
      <c r="C579" s="2" t="s">
        <v>38</v>
      </c>
      <c r="D579" s="2" t="str">
        <f aca="false">IF(2キー同時!$B$136="","",2キー同時!$B$136)</f>
        <v/>
      </c>
      <c r="E579" s="2" t="str">
        <f aca="false">""</f>
        <v/>
      </c>
      <c r="F579" s="2" t="str">
        <f aca="false">""</f>
        <v/>
      </c>
      <c r="G579" s="2" t="str">
        <f aca="false">IF(2キー同時!$B$136="","",IF(2キー同時!W144="","",SUBSTITUTE(SUBSTITUTE(2キー同時!W144," ",""),"　","")))</f>
        <v/>
      </c>
      <c r="H579" s="2" t="str">
        <f aca="false">IF($G579="","",2キー同時!$B$136)</f>
        <v/>
      </c>
      <c r="I579" s="2" t="str">
        <f aca="false">IF($G579="","","v")</f>
        <v/>
      </c>
      <c r="J579" s="2" t="str">
        <f aca="false">""</f>
        <v/>
      </c>
      <c r="K579" s="2" t="str">
        <f aca="false">""</f>
        <v/>
      </c>
      <c r="L579" s="2" t="str">
        <f aca="false">IF($G579="","","同時")</f>
        <v/>
      </c>
      <c r="M579" s="2" t="str">
        <f aca="false">IF($G579="","",IF(ISNA(MATCH($G579,個別指定!$A:$A,0)),"行なし",""))</f>
        <v/>
      </c>
      <c r="N579" s="2" t="str">
        <f aca="false">IF($G579="","",IF(COUNTIF($G$2:$G$4460,$G579)&gt;1,"重複",""))</f>
        <v/>
      </c>
    </row>
    <row r="580" customFormat="false" ht="16.5" hidden="false" customHeight="true" outlineLevel="0" collapsed="false">
      <c r="A580" s="2" t="s">
        <v>385</v>
      </c>
      <c r="B580" s="2" t="s">
        <v>396</v>
      </c>
      <c r="C580" s="2" t="s">
        <v>39</v>
      </c>
      <c r="D580" s="2" t="str">
        <f aca="false">IF(2キー同時!$B$136="","",2キー同時!$B$136)</f>
        <v/>
      </c>
      <c r="E580" s="2" t="str">
        <f aca="false">""</f>
        <v/>
      </c>
      <c r="F580" s="2" t="str">
        <f aca="false">""</f>
        <v/>
      </c>
      <c r="G580" s="2" t="str">
        <f aca="false">IF(2キー同時!$B$136="","",IF(2キー同時!AA144="","",SUBSTITUTE(SUBSTITUTE(2キー同時!AA144," ",""),"　","")))</f>
        <v/>
      </c>
      <c r="H580" s="2" t="str">
        <f aca="false">IF($G580="","",2キー同時!$B$136)</f>
        <v/>
      </c>
      <c r="I580" s="2" t="str">
        <f aca="false">IF($G580="","","b")</f>
        <v/>
      </c>
      <c r="J580" s="2" t="str">
        <f aca="false">""</f>
        <v/>
      </c>
      <c r="K580" s="2" t="str">
        <f aca="false">""</f>
        <v/>
      </c>
      <c r="L580" s="2" t="str">
        <f aca="false">IF($G580="","","同時")</f>
        <v/>
      </c>
      <c r="M580" s="2" t="str">
        <f aca="false">IF($G580="","",IF(ISNA(MATCH($G580,個別指定!$A:$A,0)),"行なし",""))</f>
        <v/>
      </c>
      <c r="N580" s="2" t="str">
        <f aca="false">IF($G580="","",IF(COUNTIF($G$2:$G$4460,$G580)&gt;1,"重複",""))</f>
        <v/>
      </c>
    </row>
    <row r="581" customFormat="false" ht="16.5" hidden="false" customHeight="true" outlineLevel="0" collapsed="false">
      <c r="A581" s="2" t="s">
        <v>385</v>
      </c>
      <c r="B581" s="2" t="s">
        <v>396</v>
      </c>
      <c r="C581" s="2" t="s">
        <v>40</v>
      </c>
      <c r="D581" s="2" t="str">
        <f aca="false">IF(2キー同時!$B$136="","",2キー同時!$B$136)</f>
        <v/>
      </c>
      <c r="E581" s="2" t="str">
        <f aca="false">""</f>
        <v/>
      </c>
      <c r="F581" s="2" t="str">
        <f aca="false">""</f>
        <v/>
      </c>
      <c r="G581" s="2" t="str">
        <f aca="false">IF(2キー同時!$B$136="","",IF(2キー同時!AE144="","",SUBSTITUTE(SUBSTITUTE(2キー同時!AE144," ",""),"　","")))</f>
        <v/>
      </c>
      <c r="H581" s="2" t="str">
        <f aca="false">IF($G581="","",2キー同時!$B$136)</f>
        <v/>
      </c>
      <c r="I581" s="2" t="str">
        <f aca="false">IF($G581="","","n")</f>
        <v/>
      </c>
      <c r="J581" s="2" t="str">
        <f aca="false">""</f>
        <v/>
      </c>
      <c r="K581" s="2" t="str">
        <f aca="false">""</f>
        <v/>
      </c>
      <c r="L581" s="2" t="str">
        <f aca="false">IF($G581="","","同時")</f>
        <v/>
      </c>
      <c r="M581" s="2" t="str">
        <f aca="false">IF($G581="","",IF(ISNA(MATCH($G581,個別指定!$A:$A,0)),"行なし",""))</f>
        <v/>
      </c>
      <c r="N581" s="2" t="str">
        <f aca="false">IF($G581="","",IF(COUNTIF($G$2:$G$4460,$G581)&gt;1,"重複",""))</f>
        <v/>
      </c>
    </row>
    <row r="582" customFormat="false" ht="16.5" hidden="false" customHeight="true" outlineLevel="0" collapsed="false">
      <c r="A582" s="2" t="s">
        <v>385</v>
      </c>
      <c r="B582" s="2" t="s">
        <v>396</v>
      </c>
      <c r="C582" s="2" t="s">
        <v>41</v>
      </c>
      <c r="D582" s="2" t="str">
        <f aca="false">IF(2キー同時!$B$136="","",2キー同時!$B$136)</f>
        <v/>
      </c>
      <c r="E582" s="2" t="str">
        <f aca="false">""</f>
        <v/>
      </c>
      <c r="F582" s="2" t="str">
        <f aca="false">""</f>
        <v/>
      </c>
      <c r="G582" s="2" t="str">
        <f aca="false">IF(2キー同時!$B$136="","",IF(2キー同時!AI144="","",SUBSTITUTE(SUBSTITUTE(2キー同時!AI144," ",""),"　","")))</f>
        <v/>
      </c>
      <c r="H582" s="2" t="str">
        <f aca="false">IF($G582="","",2キー同時!$B$136)</f>
        <v/>
      </c>
      <c r="I582" s="2" t="str">
        <f aca="false">IF($G582="","","m")</f>
        <v/>
      </c>
      <c r="J582" s="2" t="str">
        <f aca="false">""</f>
        <v/>
      </c>
      <c r="K582" s="2" t="str">
        <f aca="false">""</f>
        <v/>
      </c>
      <c r="L582" s="2" t="str">
        <f aca="false">IF($G582="","","同時")</f>
        <v/>
      </c>
      <c r="M582" s="2" t="str">
        <f aca="false">IF($G582="","",IF(ISNA(MATCH($G582,個別指定!$A:$A,0)),"行なし",""))</f>
        <v/>
      </c>
      <c r="N582" s="2" t="str">
        <f aca="false">IF($G582="","",IF(COUNTIF($G$2:$G$4460,$G582)&gt;1,"重複",""))</f>
        <v/>
      </c>
    </row>
    <row r="583" customFormat="false" ht="16.5" hidden="false" customHeight="true" outlineLevel="0" collapsed="false">
      <c r="A583" s="2" t="s">
        <v>385</v>
      </c>
      <c r="B583" s="2" t="s">
        <v>396</v>
      </c>
      <c r="C583" s="2" t="s">
        <v>42</v>
      </c>
      <c r="D583" s="2" t="str">
        <f aca="false">IF(2キー同時!$B$136="","",2キー同時!$B$136)</f>
        <v/>
      </c>
      <c r="E583" s="2" t="str">
        <f aca="false">""</f>
        <v/>
      </c>
      <c r="F583" s="2" t="str">
        <f aca="false">""</f>
        <v/>
      </c>
      <c r="G583" s="2" t="str">
        <f aca="false">IF(2キー同時!$B$136="","",IF(2キー同時!AM144="","",SUBSTITUTE(SUBSTITUTE(2キー同時!AM144," ",""),"　","")))</f>
        <v/>
      </c>
      <c r="H583" s="2" t="str">
        <f aca="false">IF($G583="","",2キー同時!$B$136)</f>
        <v/>
      </c>
      <c r="I583" s="2" t="str">
        <f aca="false">IF($G583="","",",")</f>
        <v/>
      </c>
      <c r="J583" s="2" t="str">
        <f aca="false">""</f>
        <v/>
      </c>
      <c r="K583" s="2" t="str">
        <f aca="false">""</f>
        <v/>
      </c>
      <c r="L583" s="2" t="str">
        <f aca="false">IF($G583="","","同時")</f>
        <v/>
      </c>
      <c r="M583" s="2" t="str">
        <f aca="false">IF($G583="","",IF(ISNA(MATCH($G583,個別指定!$A:$A,0)),"行なし",""))</f>
        <v/>
      </c>
      <c r="N583" s="2" t="str">
        <f aca="false">IF($G583="","",IF(COUNTIF($G$2:$G$4460,$G583)&gt;1,"重複",""))</f>
        <v/>
      </c>
    </row>
    <row r="584" customFormat="false" ht="16.5" hidden="false" customHeight="true" outlineLevel="0" collapsed="false">
      <c r="A584" s="2" t="s">
        <v>385</v>
      </c>
      <c r="B584" s="2" t="s">
        <v>396</v>
      </c>
      <c r="C584" s="2" t="s">
        <v>43</v>
      </c>
      <c r="D584" s="2" t="str">
        <f aca="false">IF(2キー同時!$B$136="","",2キー同時!$B$136)</f>
        <v/>
      </c>
      <c r="E584" s="2" t="str">
        <f aca="false">""</f>
        <v/>
      </c>
      <c r="F584" s="2" t="str">
        <f aca="false">""</f>
        <v/>
      </c>
      <c r="G584" s="2" t="str">
        <f aca="false">IF(2キー同時!$B$136="","",IF(2キー同時!AQ144="","",SUBSTITUTE(SUBSTITUTE(2キー同時!AQ144," ",""),"　","")))</f>
        <v/>
      </c>
      <c r="H584" s="2" t="str">
        <f aca="false">IF($G584="","",2キー同時!$B$136)</f>
        <v/>
      </c>
      <c r="I584" s="2" t="str">
        <f aca="false">IF($G584="","",".")</f>
        <v/>
      </c>
      <c r="J584" s="2" t="str">
        <f aca="false">""</f>
        <v/>
      </c>
      <c r="K584" s="2" t="str">
        <f aca="false">""</f>
        <v/>
      </c>
      <c r="L584" s="2" t="str">
        <f aca="false">IF($G584="","","同時")</f>
        <v/>
      </c>
      <c r="M584" s="2" t="str">
        <f aca="false">IF($G584="","",IF(ISNA(MATCH($G584,個別指定!$A:$A,0)),"行なし",""))</f>
        <v/>
      </c>
      <c r="N584" s="2" t="str">
        <f aca="false">IF($G584="","",IF(COUNTIF($G$2:$G$4460,$G584)&gt;1,"重複",""))</f>
        <v/>
      </c>
    </row>
    <row r="585" customFormat="false" ht="16.5" hidden="false" customHeight="true" outlineLevel="0" collapsed="false">
      <c r="A585" s="2" t="s">
        <v>385</v>
      </c>
      <c r="B585" s="2" t="s">
        <v>396</v>
      </c>
      <c r="C585" s="2" t="s">
        <v>44</v>
      </c>
      <c r="D585" s="2" t="str">
        <f aca="false">IF(2キー同時!$B$136="","",2キー同時!$B$136)</f>
        <v/>
      </c>
      <c r="E585" s="2" t="str">
        <f aca="false">""</f>
        <v/>
      </c>
      <c r="F585" s="2" t="str">
        <f aca="false">""</f>
        <v/>
      </c>
      <c r="G585" s="2" t="str">
        <f aca="false">IF(2キー同時!$B$136="","",IF(2キー同時!AU144="","",SUBSTITUTE(SUBSTITUTE(2キー同時!AU144," ",""),"　","")))</f>
        <v/>
      </c>
      <c r="H585" s="2" t="str">
        <f aca="false">IF($G585="","",2キー同時!$B$136)</f>
        <v/>
      </c>
      <c r="I585" s="2" t="str">
        <f aca="false">IF($G585="","","/")</f>
        <v/>
      </c>
      <c r="J585" s="2" t="str">
        <f aca="false">""</f>
        <v/>
      </c>
      <c r="K585" s="2" t="str">
        <f aca="false">""</f>
        <v/>
      </c>
      <c r="L585" s="2" t="str">
        <f aca="false">IF($G585="","","同時")</f>
        <v/>
      </c>
      <c r="M585" s="2" t="str">
        <f aca="false">IF($G585="","",IF(ISNA(MATCH($G585,個別指定!$A:$A,0)),"行なし",""))</f>
        <v/>
      </c>
      <c r="N585" s="2" t="str">
        <f aca="false">IF($G585="","",IF(COUNTIF($G$2:$G$4460,$G585)&gt;1,"重複",""))</f>
        <v/>
      </c>
    </row>
    <row r="586" customFormat="false" ht="16.5" hidden="false" customHeight="true" outlineLevel="0" collapsed="false">
      <c r="A586" s="2" t="s">
        <v>385</v>
      </c>
      <c r="B586" s="2" t="s">
        <v>396</v>
      </c>
      <c r="C586" s="2" t="s">
        <v>48</v>
      </c>
      <c r="D586" s="2" t="str">
        <f aca="false">IF(2キー同時!$B$136="","",2キー同時!$B$136)</f>
        <v/>
      </c>
      <c r="E586" s="2" t="str">
        <f aca="false">""</f>
        <v/>
      </c>
      <c r="F586" s="2" t="str">
        <f aca="false">""</f>
        <v/>
      </c>
      <c r="G586" s="2" t="str">
        <f aca="false">IF(2キー同時!$B$136="","",IF(2キー同時!P146="","",SUBSTITUTE(SUBSTITUTE(2キー同時!P146," ",""),"　","")))</f>
        <v/>
      </c>
      <c r="H586" s="2" t="str">
        <f aca="false">IF($G586="","",2キー同時!$B$136)</f>
        <v/>
      </c>
      <c r="I586" s="2" t="str">
        <f aca="false">IF($G586="","","muhenkan")</f>
        <v/>
      </c>
      <c r="J586" s="2" t="str">
        <f aca="false">""</f>
        <v/>
      </c>
      <c r="K586" s="2" t="str">
        <f aca="false">""</f>
        <v/>
      </c>
      <c r="L586" s="2" t="str">
        <f aca="false">IF($G586="","","同時")</f>
        <v/>
      </c>
      <c r="M586" s="2" t="str">
        <f aca="false">IF($G586="","",IF(ISNA(MATCH($G586,個別指定!$A:$A,0)),"行なし",""))</f>
        <v/>
      </c>
      <c r="N586" s="2" t="str">
        <f aca="false">IF($G586="","",IF(COUNTIF($G$2:$G$4460,$G586)&gt;1,"重複",""))</f>
        <v/>
      </c>
    </row>
    <row r="587" customFormat="false" ht="16.5" hidden="false" customHeight="true" outlineLevel="0" collapsed="false">
      <c r="A587" s="2" t="s">
        <v>385</v>
      </c>
      <c r="B587" s="2" t="s">
        <v>396</v>
      </c>
      <c r="C587" s="2" t="s">
        <v>50</v>
      </c>
      <c r="D587" s="2" t="str">
        <f aca="false">IF(2キー同時!$B$136="","",2キー同時!$B$136)</f>
        <v/>
      </c>
      <c r="E587" s="2" t="str">
        <f aca="false">""</f>
        <v/>
      </c>
      <c r="F587" s="2" t="str">
        <f aca="false">""</f>
        <v/>
      </c>
      <c r="G587" s="2" t="str">
        <f aca="false">IF(2キー同時!$B$136="","",IF(2キー同時!T146="","",SUBSTITUTE(SUBSTITUTE(2キー同時!T146," ",""),"　","")))</f>
        <v/>
      </c>
      <c r="H587" s="2" t="str">
        <f aca="false">IF($G587="","",2キー同時!$B$136)</f>
        <v/>
      </c>
      <c r="I587" s="2" t="str">
        <f aca="false">IF($G587="","","space")</f>
        <v/>
      </c>
      <c r="J587" s="2" t="str">
        <f aca="false">""</f>
        <v/>
      </c>
      <c r="K587" s="2" t="str">
        <f aca="false">""</f>
        <v/>
      </c>
      <c r="L587" s="2" t="str">
        <f aca="false">IF($G587="","","同時")</f>
        <v/>
      </c>
      <c r="M587" s="2" t="str">
        <f aca="false">IF($G587="","",IF(ISNA(MATCH($G587,個別指定!$A:$A,0)),"行なし",""))</f>
        <v/>
      </c>
      <c r="N587" s="2" t="str">
        <f aca="false">IF($G587="","",IF(COUNTIF($G$2:$G$4460,$G587)&gt;1,"重複",""))</f>
        <v/>
      </c>
    </row>
    <row r="588" customFormat="false" ht="16.5" hidden="false" customHeight="true" outlineLevel="0" collapsed="false">
      <c r="A588" s="2" t="s">
        <v>385</v>
      </c>
      <c r="B588" s="2" t="s">
        <v>396</v>
      </c>
      <c r="C588" s="2" t="s">
        <v>45</v>
      </c>
      <c r="D588" s="2" t="str">
        <f aca="false">IF(2キー同時!$B$136="","",2キー同時!$B$136)</f>
        <v/>
      </c>
      <c r="E588" s="2" t="str">
        <f aca="false">""</f>
        <v/>
      </c>
      <c r="F588" s="2" t="str">
        <f aca="false">""</f>
        <v/>
      </c>
      <c r="G588" s="2" t="str">
        <f aca="false">IF(2キー同時!$B$136="","",IF(2キー同時!AL146="","",SUBSTITUTE(SUBSTITUTE(2キー同時!AL146," ",""),"　","")))</f>
        <v/>
      </c>
      <c r="H588" s="2" t="str">
        <f aca="false">IF($G588="","",2キー同時!$B$136)</f>
        <v/>
      </c>
      <c r="I588" s="2" t="str">
        <f aca="false">IF($G588="","","henkan")</f>
        <v/>
      </c>
      <c r="J588" s="2" t="str">
        <f aca="false">""</f>
        <v/>
      </c>
      <c r="K588" s="2" t="str">
        <f aca="false">""</f>
        <v/>
      </c>
      <c r="L588" s="2" t="str">
        <f aca="false">IF($G588="","","同時")</f>
        <v/>
      </c>
      <c r="M588" s="2" t="str">
        <f aca="false">IF($G588="","",IF(ISNA(MATCH($G588,個別指定!$A:$A,0)),"行なし",""))</f>
        <v/>
      </c>
      <c r="N588" s="2" t="str">
        <f aca="false">IF($G588="","",IF(COUNTIF($G$2:$G$4460,$G588)&gt;1,"重複",""))</f>
        <v/>
      </c>
    </row>
    <row r="589" customFormat="false" ht="16.5" hidden="false" customHeight="true" outlineLevel="0" collapsed="false">
      <c r="A589" s="2" t="s">
        <v>385</v>
      </c>
      <c r="B589" s="2" t="s">
        <v>396</v>
      </c>
      <c r="C589" s="2" t="s">
        <v>46</v>
      </c>
      <c r="D589" s="2" t="str">
        <f aca="false">IF(2キー同時!$B$136="","",2キー同時!$B$136)</f>
        <v/>
      </c>
      <c r="E589" s="2" t="str">
        <f aca="false">""</f>
        <v/>
      </c>
      <c r="F589" s="2" t="str">
        <f aca="false">""</f>
        <v/>
      </c>
      <c r="G589" s="2" t="str">
        <f aca="false">IF(2キー同時!$B$136="","",IF(2キー同時!AP146="","",SUBSTITUTE(SUBSTITUTE(2キー同時!AP146," ",""),"　","")))</f>
        <v/>
      </c>
      <c r="H589" s="2" t="str">
        <f aca="false">IF($G589="","",2キー同時!$B$136)</f>
        <v/>
      </c>
      <c r="I589" s="2" t="str">
        <f aca="false">IF($G589="","","kana")</f>
        <v/>
      </c>
      <c r="J589" s="2" t="str">
        <f aca="false">""</f>
        <v/>
      </c>
      <c r="K589" s="2" t="str">
        <f aca="false">""</f>
        <v/>
      </c>
      <c r="L589" s="2" t="str">
        <f aca="false">IF($G589="","","同時")</f>
        <v/>
      </c>
      <c r="M589" s="2" t="str">
        <f aca="false">IF($G589="","",IF(ISNA(MATCH($G589,個別指定!$A:$A,0)),"行なし",""))</f>
        <v/>
      </c>
      <c r="N589" s="2" t="str">
        <f aca="false">IF($G589="","",IF(COUNTIF($G$2:$G$4460,$G589)&gt;1,"重複",""))</f>
        <v/>
      </c>
    </row>
    <row r="590" customFormat="false" ht="16.5" hidden="false" customHeight="true" outlineLevel="0" collapsed="false">
      <c r="A590" s="2" t="s">
        <v>385</v>
      </c>
      <c r="B590" s="2" t="s">
        <v>397</v>
      </c>
      <c r="C590" s="2" t="s">
        <v>0</v>
      </c>
      <c r="D590" s="2" t="str">
        <f aca="false">IF(2キー同時!$B$149="","",2キー同時!$B$149)</f>
        <v/>
      </c>
      <c r="E590" s="2" t="str">
        <f aca="false">""</f>
        <v/>
      </c>
      <c r="F590" s="2" t="str">
        <f aca="false">""</f>
        <v/>
      </c>
      <c r="G590" s="2" t="str">
        <f aca="false">IF(2キー同時!$B$149="","",IF(2キー同時!F151="","",SUBSTITUTE(SUBSTITUTE(2キー同時!F151," ",""),"　","")))</f>
        <v/>
      </c>
      <c r="H590" s="2" t="str">
        <f aca="false">IF($G590="","",2キー同時!$B$149)</f>
        <v/>
      </c>
      <c r="I590" s="2" t="str">
        <f aca="false">IF($G590="","","1")</f>
        <v/>
      </c>
      <c r="J590" s="2" t="str">
        <f aca="false">""</f>
        <v/>
      </c>
      <c r="K590" s="2" t="str">
        <f aca="false">""</f>
        <v/>
      </c>
      <c r="L590" s="2" t="str">
        <f aca="false">IF($G590="","","同時")</f>
        <v/>
      </c>
      <c r="M590" s="2" t="str">
        <f aca="false">IF($G590="","",IF(ISNA(MATCH($G590,個別指定!$A:$A,0)),"行なし",""))</f>
        <v/>
      </c>
      <c r="N590" s="2" t="str">
        <f aca="false">IF($G590="","",IF(COUNTIF($G$2:$G$4460,$G590)&gt;1,"重複",""))</f>
        <v/>
      </c>
    </row>
    <row r="591" customFormat="false" ht="16.5" hidden="false" customHeight="true" outlineLevel="0" collapsed="false">
      <c r="A591" s="2" t="s">
        <v>385</v>
      </c>
      <c r="B591" s="2" t="s">
        <v>397</v>
      </c>
      <c r="C591" s="2" t="s">
        <v>1</v>
      </c>
      <c r="D591" s="2" t="str">
        <f aca="false">IF(2キー同時!$B$149="","",2キー同時!$B$149)</f>
        <v/>
      </c>
      <c r="E591" s="2" t="str">
        <f aca="false">""</f>
        <v/>
      </c>
      <c r="F591" s="2" t="str">
        <f aca="false">""</f>
        <v/>
      </c>
      <c r="G591" s="2" t="str">
        <f aca="false">IF(2キー同時!$B$149="","",IF(2キー同時!J151="","",SUBSTITUTE(SUBSTITUTE(2キー同時!J151," ",""),"　","")))</f>
        <v/>
      </c>
      <c r="H591" s="2" t="str">
        <f aca="false">IF($G591="","",2キー同時!$B$149)</f>
        <v/>
      </c>
      <c r="I591" s="2" t="str">
        <f aca="false">IF($G591="","","2")</f>
        <v/>
      </c>
      <c r="J591" s="2" t="str">
        <f aca="false">""</f>
        <v/>
      </c>
      <c r="K591" s="2" t="str">
        <f aca="false">""</f>
        <v/>
      </c>
      <c r="L591" s="2" t="str">
        <f aca="false">IF($G591="","","同時")</f>
        <v/>
      </c>
      <c r="M591" s="2" t="str">
        <f aca="false">IF($G591="","",IF(ISNA(MATCH($G591,個別指定!$A:$A,0)),"行なし",""))</f>
        <v/>
      </c>
      <c r="N591" s="2" t="str">
        <f aca="false">IF($G591="","",IF(COUNTIF($G$2:$G$4460,$G591)&gt;1,"重複",""))</f>
        <v/>
      </c>
    </row>
    <row r="592" customFormat="false" ht="16.5" hidden="false" customHeight="true" outlineLevel="0" collapsed="false">
      <c r="A592" s="2" t="s">
        <v>385</v>
      </c>
      <c r="B592" s="2" t="s">
        <v>397</v>
      </c>
      <c r="C592" s="2" t="s">
        <v>2</v>
      </c>
      <c r="D592" s="2" t="str">
        <f aca="false">IF(2キー同時!$B$149="","",2キー同時!$B$149)</f>
        <v/>
      </c>
      <c r="E592" s="2" t="str">
        <f aca="false">""</f>
        <v/>
      </c>
      <c r="F592" s="2" t="str">
        <f aca="false">""</f>
        <v/>
      </c>
      <c r="G592" s="2" t="str">
        <f aca="false">IF(2キー同時!$B$149="","",IF(2キー同時!N151="","",SUBSTITUTE(SUBSTITUTE(2キー同時!N151," ",""),"　","")))</f>
        <v/>
      </c>
      <c r="H592" s="2" t="str">
        <f aca="false">IF($G592="","",2キー同時!$B$149)</f>
        <v/>
      </c>
      <c r="I592" s="2" t="str">
        <f aca="false">IF($G592="","","3")</f>
        <v/>
      </c>
      <c r="J592" s="2" t="str">
        <f aca="false">""</f>
        <v/>
      </c>
      <c r="K592" s="2" t="str">
        <f aca="false">""</f>
        <v/>
      </c>
      <c r="L592" s="2" t="str">
        <f aca="false">IF($G592="","","同時")</f>
        <v/>
      </c>
      <c r="M592" s="2" t="str">
        <f aca="false">IF($G592="","",IF(ISNA(MATCH($G592,個別指定!$A:$A,0)),"行なし",""))</f>
        <v/>
      </c>
      <c r="N592" s="2" t="str">
        <f aca="false">IF($G592="","",IF(COUNTIF($G$2:$G$4460,$G592)&gt;1,"重複",""))</f>
        <v/>
      </c>
    </row>
    <row r="593" customFormat="false" ht="16.5" hidden="false" customHeight="true" outlineLevel="0" collapsed="false">
      <c r="A593" s="2" t="s">
        <v>385</v>
      </c>
      <c r="B593" s="2" t="s">
        <v>397</v>
      </c>
      <c r="C593" s="2" t="s">
        <v>3</v>
      </c>
      <c r="D593" s="2" t="str">
        <f aca="false">IF(2キー同時!$B$149="","",2キー同時!$B$149)</f>
        <v/>
      </c>
      <c r="E593" s="2" t="str">
        <f aca="false">""</f>
        <v/>
      </c>
      <c r="F593" s="2" t="str">
        <f aca="false">""</f>
        <v/>
      </c>
      <c r="G593" s="2" t="str">
        <f aca="false">IF(2キー同時!$B$149="","",IF(2キー同時!R151="","",SUBSTITUTE(SUBSTITUTE(2キー同時!R151," ",""),"　","")))</f>
        <v/>
      </c>
      <c r="H593" s="2" t="str">
        <f aca="false">IF($G593="","",2キー同時!$B$149)</f>
        <v/>
      </c>
      <c r="I593" s="2" t="str">
        <f aca="false">IF($G593="","","4")</f>
        <v/>
      </c>
      <c r="J593" s="2" t="str">
        <f aca="false">""</f>
        <v/>
      </c>
      <c r="K593" s="2" t="str">
        <f aca="false">""</f>
        <v/>
      </c>
      <c r="L593" s="2" t="str">
        <f aca="false">IF($G593="","","同時")</f>
        <v/>
      </c>
      <c r="M593" s="2" t="str">
        <f aca="false">IF($G593="","",IF(ISNA(MATCH($G593,個別指定!$A:$A,0)),"行なし",""))</f>
        <v/>
      </c>
      <c r="N593" s="2" t="str">
        <f aca="false">IF($G593="","",IF(COUNTIF($G$2:$G$4460,$G593)&gt;1,"重複",""))</f>
        <v/>
      </c>
    </row>
    <row r="594" customFormat="false" ht="16.5" hidden="false" customHeight="true" outlineLevel="0" collapsed="false">
      <c r="A594" s="2" t="s">
        <v>385</v>
      </c>
      <c r="B594" s="2" t="s">
        <v>397</v>
      </c>
      <c r="C594" s="2" t="s">
        <v>4</v>
      </c>
      <c r="D594" s="2" t="str">
        <f aca="false">IF(2キー同時!$B$149="","",2キー同時!$B$149)</f>
        <v/>
      </c>
      <c r="E594" s="2" t="str">
        <f aca="false">""</f>
        <v/>
      </c>
      <c r="F594" s="2" t="str">
        <f aca="false">""</f>
        <v/>
      </c>
      <c r="G594" s="2" t="str">
        <f aca="false">IF(2キー同時!$B$149="","",IF(2キー同時!V151="","",SUBSTITUTE(SUBSTITUTE(2キー同時!V151," ",""),"　","")))</f>
        <v/>
      </c>
      <c r="H594" s="2" t="str">
        <f aca="false">IF($G594="","",2キー同時!$B$149)</f>
        <v/>
      </c>
      <c r="I594" s="2" t="str">
        <f aca="false">IF($G594="","","5")</f>
        <v/>
      </c>
      <c r="J594" s="2" t="str">
        <f aca="false">""</f>
        <v/>
      </c>
      <c r="K594" s="2" t="str">
        <f aca="false">""</f>
        <v/>
      </c>
      <c r="L594" s="2" t="str">
        <f aca="false">IF($G594="","","同時")</f>
        <v/>
      </c>
      <c r="M594" s="2" t="str">
        <f aca="false">IF($G594="","",IF(ISNA(MATCH($G594,個別指定!$A:$A,0)),"行なし",""))</f>
        <v/>
      </c>
      <c r="N594" s="2" t="str">
        <f aca="false">IF($G594="","",IF(COUNTIF($G$2:$G$4460,$G594)&gt;1,"重複",""))</f>
        <v/>
      </c>
    </row>
    <row r="595" customFormat="false" ht="16.5" hidden="false" customHeight="true" outlineLevel="0" collapsed="false">
      <c r="A595" s="2" t="s">
        <v>385</v>
      </c>
      <c r="B595" s="2" t="s">
        <v>397</v>
      </c>
      <c r="C595" s="2" t="s">
        <v>5</v>
      </c>
      <c r="D595" s="2" t="str">
        <f aca="false">IF(2キー同時!$B$149="","",2キー同時!$B$149)</f>
        <v/>
      </c>
      <c r="E595" s="2" t="str">
        <f aca="false">""</f>
        <v/>
      </c>
      <c r="F595" s="2" t="str">
        <f aca="false">""</f>
        <v/>
      </c>
      <c r="G595" s="2" t="str">
        <f aca="false">IF(2キー同時!$B$149="","",IF(2キー同時!Z151="","",SUBSTITUTE(SUBSTITUTE(2キー同時!Z151," ",""),"　","")))</f>
        <v/>
      </c>
      <c r="H595" s="2" t="str">
        <f aca="false">IF($G595="","",2キー同時!$B$149)</f>
        <v/>
      </c>
      <c r="I595" s="2" t="str">
        <f aca="false">IF($G595="","","6")</f>
        <v/>
      </c>
      <c r="J595" s="2" t="str">
        <f aca="false">""</f>
        <v/>
      </c>
      <c r="K595" s="2" t="str">
        <f aca="false">""</f>
        <v/>
      </c>
      <c r="L595" s="2" t="str">
        <f aca="false">IF($G595="","","同時")</f>
        <v/>
      </c>
      <c r="M595" s="2" t="str">
        <f aca="false">IF($G595="","",IF(ISNA(MATCH($G595,個別指定!$A:$A,0)),"行なし",""))</f>
        <v/>
      </c>
      <c r="N595" s="2" t="str">
        <f aca="false">IF($G595="","",IF(COUNTIF($G$2:$G$4460,$G595)&gt;1,"重複",""))</f>
        <v/>
      </c>
    </row>
    <row r="596" customFormat="false" ht="16.5" hidden="false" customHeight="true" outlineLevel="0" collapsed="false">
      <c r="A596" s="2" t="s">
        <v>385</v>
      </c>
      <c r="B596" s="2" t="s">
        <v>397</v>
      </c>
      <c r="C596" s="2" t="s">
        <v>6</v>
      </c>
      <c r="D596" s="2" t="str">
        <f aca="false">IF(2キー同時!$B$149="","",2キー同時!$B$149)</f>
        <v/>
      </c>
      <c r="E596" s="2" t="str">
        <f aca="false">""</f>
        <v/>
      </c>
      <c r="F596" s="2" t="str">
        <f aca="false">""</f>
        <v/>
      </c>
      <c r="G596" s="2" t="str">
        <f aca="false">IF(2キー同時!$B$149="","",IF(2キー同時!AD151="","",SUBSTITUTE(SUBSTITUTE(2キー同時!AD151," ",""),"　","")))</f>
        <v/>
      </c>
      <c r="H596" s="2" t="str">
        <f aca="false">IF($G596="","",2キー同時!$B$149)</f>
        <v/>
      </c>
      <c r="I596" s="2" t="str">
        <f aca="false">IF($G596="","","7")</f>
        <v/>
      </c>
      <c r="J596" s="2" t="str">
        <f aca="false">""</f>
        <v/>
      </c>
      <c r="K596" s="2" t="str">
        <f aca="false">""</f>
        <v/>
      </c>
      <c r="L596" s="2" t="str">
        <f aca="false">IF($G596="","","同時")</f>
        <v/>
      </c>
      <c r="M596" s="2" t="str">
        <f aca="false">IF($G596="","",IF(ISNA(MATCH($G596,個別指定!$A:$A,0)),"行なし",""))</f>
        <v/>
      </c>
      <c r="N596" s="2" t="str">
        <f aca="false">IF($G596="","",IF(COUNTIF($G$2:$G$4460,$G596)&gt;1,"重複",""))</f>
        <v/>
      </c>
    </row>
    <row r="597" customFormat="false" ht="16.5" hidden="false" customHeight="true" outlineLevel="0" collapsed="false">
      <c r="A597" s="2" t="s">
        <v>385</v>
      </c>
      <c r="B597" s="2" t="s">
        <v>397</v>
      </c>
      <c r="C597" s="2" t="s">
        <v>7</v>
      </c>
      <c r="D597" s="2" t="str">
        <f aca="false">IF(2キー同時!$B$149="","",2キー同時!$B$149)</f>
        <v/>
      </c>
      <c r="E597" s="2" t="str">
        <f aca="false">""</f>
        <v/>
      </c>
      <c r="F597" s="2" t="str">
        <f aca="false">""</f>
        <v/>
      </c>
      <c r="G597" s="2" t="str">
        <f aca="false">IF(2キー同時!$B$149="","",IF(2キー同時!AH151="","",SUBSTITUTE(SUBSTITUTE(2キー同時!AH151," ",""),"　","")))</f>
        <v/>
      </c>
      <c r="H597" s="2" t="str">
        <f aca="false">IF($G597="","",2キー同時!$B$149)</f>
        <v/>
      </c>
      <c r="I597" s="2" t="str">
        <f aca="false">IF($G597="","","8")</f>
        <v/>
      </c>
      <c r="J597" s="2" t="str">
        <f aca="false">""</f>
        <v/>
      </c>
      <c r="K597" s="2" t="str">
        <f aca="false">""</f>
        <v/>
      </c>
      <c r="L597" s="2" t="str">
        <f aca="false">IF($G597="","","同時")</f>
        <v/>
      </c>
      <c r="M597" s="2" t="str">
        <f aca="false">IF($G597="","",IF(ISNA(MATCH($G597,個別指定!$A:$A,0)),"行なし",""))</f>
        <v/>
      </c>
      <c r="N597" s="2" t="str">
        <f aca="false">IF($G597="","",IF(COUNTIF($G$2:$G$4460,$G597)&gt;1,"重複",""))</f>
        <v/>
      </c>
    </row>
    <row r="598" customFormat="false" ht="16.5" hidden="false" customHeight="true" outlineLevel="0" collapsed="false">
      <c r="A598" s="2" t="s">
        <v>385</v>
      </c>
      <c r="B598" s="2" t="s">
        <v>397</v>
      </c>
      <c r="C598" s="2" t="s">
        <v>8</v>
      </c>
      <c r="D598" s="2" t="str">
        <f aca="false">IF(2キー同時!$B$149="","",2キー同時!$B$149)</f>
        <v/>
      </c>
      <c r="E598" s="2" t="str">
        <f aca="false">""</f>
        <v/>
      </c>
      <c r="F598" s="2" t="str">
        <f aca="false">""</f>
        <v/>
      </c>
      <c r="G598" s="2" t="str">
        <f aca="false">IF(2キー同時!$B$149="","",IF(2キー同時!AL151="","",SUBSTITUTE(SUBSTITUTE(2キー同時!AL151," ",""),"　","")))</f>
        <v/>
      </c>
      <c r="H598" s="2" t="str">
        <f aca="false">IF($G598="","",2キー同時!$B$149)</f>
        <v/>
      </c>
      <c r="I598" s="2" t="str">
        <f aca="false">IF($G598="","","9")</f>
        <v/>
      </c>
      <c r="J598" s="2" t="str">
        <f aca="false">""</f>
        <v/>
      </c>
      <c r="K598" s="2" t="str">
        <f aca="false">""</f>
        <v/>
      </c>
      <c r="L598" s="2" t="str">
        <f aca="false">IF($G598="","","同時")</f>
        <v/>
      </c>
      <c r="M598" s="2" t="str">
        <f aca="false">IF($G598="","",IF(ISNA(MATCH($G598,個別指定!$A:$A,0)),"行なし",""))</f>
        <v/>
      </c>
      <c r="N598" s="2" t="str">
        <f aca="false">IF($G598="","",IF(COUNTIF($G$2:$G$4460,$G598)&gt;1,"重複",""))</f>
        <v/>
      </c>
    </row>
    <row r="599" customFormat="false" ht="16.5" hidden="false" customHeight="true" outlineLevel="0" collapsed="false">
      <c r="A599" s="2" t="s">
        <v>385</v>
      </c>
      <c r="B599" s="2" t="s">
        <v>397</v>
      </c>
      <c r="C599" s="2" t="s">
        <v>9</v>
      </c>
      <c r="D599" s="2" t="str">
        <f aca="false">IF(2キー同時!$B$149="","",2キー同時!$B$149)</f>
        <v/>
      </c>
      <c r="E599" s="2" t="str">
        <f aca="false">""</f>
        <v/>
      </c>
      <c r="F599" s="2" t="str">
        <f aca="false">""</f>
        <v/>
      </c>
      <c r="G599" s="2" t="str">
        <f aca="false">IF(2キー同時!$B$149="","",IF(2キー同時!AP151="","",SUBSTITUTE(SUBSTITUTE(2キー同時!AP151," ",""),"　","")))</f>
        <v/>
      </c>
      <c r="H599" s="2" t="str">
        <f aca="false">IF($G599="","",2キー同時!$B$149)</f>
        <v/>
      </c>
      <c r="I599" s="2" t="str">
        <f aca="false">IF($G599="","","0")</f>
        <v/>
      </c>
      <c r="J599" s="2" t="str">
        <f aca="false">""</f>
        <v/>
      </c>
      <c r="K599" s="2" t="str">
        <f aca="false">""</f>
        <v/>
      </c>
      <c r="L599" s="2" t="str">
        <f aca="false">IF($G599="","","同時")</f>
        <v/>
      </c>
      <c r="M599" s="2" t="str">
        <f aca="false">IF($G599="","",IF(ISNA(MATCH($G599,個別指定!$A:$A,0)),"行なし",""))</f>
        <v/>
      </c>
      <c r="N599" s="2" t="str">
        <f aca="false">IF($G599="","",IF(COUNTIF($G$2:$G$4460,$G599)&gt;1,"重複",""))</f>
        <v/>
      </c>
    </row>
    <row r="600" customFormat="false" ht="16.5" hidden="false" customHeight="true" outlineLevel="0" collapsed="false">
      <c r="A600" s="2" t="s">
        <v>385</v>
      </c>
      <c r="B600" s="2" t="s">
        <v>397</v>
      </c>
      <c r="C600" s="2" t="s">
        <v>10</v>
      </c>
      <c r="D600" s="2" t="str">
        <f aca="false">IF(2キー同時!$B$149="","",2キー同時!$B$149)</f>
        <v/>
      </c>
      <c r="E600" s="2" t="str">
        <f aca="false">""</f>
        <v/>
      </c>
      <c r="F600" s="2" t="str">
        <f aca="false">""</f>
        <v/>
      </c>
      <c r="G600" s="2" t="str">
        <f aca="false">IF(2キー同時!$B$149="","",IF(2キー同時!AT151="","",SUBSTITUTE(SUBSTITUTE(2キー同時!AT151," ",""),"　","")))</f>
        <v/>
      </c>
      <c r="H600" s="2" t="str">
        <f aca="false">IF($G600="","",2キー同時!$B$149)</f>
        <v/>
      </c>
      <c r="I600" s="2" t="str">
        <f aca="false">IF($G600="","","-")</f>
        <v/>
      </c>
      <c r="J600" s="2" t="str">
        <f aca="false">""</f>
        <v/>
      </c>
      <c r="K600" s="2" t="str">
        <f aca="false">""</f>
        <v/>
      </c>
      <c r="L600" s="2" t="str">
        <f aca="false">IF($G600="","","同時")</f>
        <v/>
      </c>
      <c r="M600" s="2" t="str">
        <f aca="false">IF($G600="","",IF(ISNA(MATCH($G600,個別指定!$A:$A,0)),"行なし",""))</f>
        <v/>
      </c>
      <c r="N600" s="2" t="str">
        <f aca="false">IF($G600="","",IF(COUNTIF($G$2:$G$4460,$G600)&gt;1,"重複",""))</f>
        <v/>
      </c>
    </row>
    <row r="601" customFormat="false" ht="16.5" hidden="false" customHeight="true" outlineLevel="0" collapsed="false">
      <c r="A601" s="2" t="s">
        <v>385</v>
      </c>
      <c r="B601" s="2" t="s">
        <v>397</v>
      </c>
      <c r="C601" s="2" t="s">
        <v>11</v>
      </c>
      <c r="D601" s="2" t="str">
        <f aca="false">IF(2キー同時!$B$149="","",2キー同時!$B$149)</f>
        <v/>
      </c>
      <c r="E601" s="2" t="str">
        <f aca="false">""</f>
        <v/>
      </c>
      <c r="F601" s="2" t="str">
        <f aca="false">""</f>
        <v/>
      </c>
      <c r="G601" s="2" t="str">
        <f aca="false">IF(2キー同時!$B$149="","",IF(2キー同時!AX151="","",SUBSTITUTE(SUBSTITUTE(2キー同時!AX151," ",""),"　","")))</f>
        <v/>
      </c>
      <c r="H601" s="2" t="str">
        <f aca="false">IF($G601="","",2キー同時!$B$149)</f>
        <v/>
      </c>
      <c r="I601" s="2" t="str">
        <f aca="false">IF($G601="","","=")</f>
        <v/>
      </c>
      <c r="J601" s="2" t="str">
        <f aca="false">""</f>
        <v/>
      </c>
      <c r="K601" s="2" t="str">
        <f aca="false">""</f>
        <v/>
      </c>
      <c r="L601" s="2" t="str">
        <f aca="false">IF($G601="","","同時")</f>
        <v/>
      </c>
      <c r="M601" s="2" t="str">
        <f aca="false">IF($G601="","",IF(ISNA(MATCH($G601,個別指定!$A:$A,0)),"行なし",""))</f>
        <v/>
      </c>
      <c r="N601" s="2" t="str">
        <f aca="false">IF($G601="","",IF(COUNTIF($G$2:$G$4460,$G601)&gt;1,"重複",""))</f>
        <v/>
      </c>
    </row>
    <row r="602" customFormat="false" ht="16.5" hidden="false" customHeight="true" outlineLevel="0" collapsed="false">
      <c r="A602" s="2" t="s">
        <v>385</v>
      </c>
      <c r="B602" s="2" t="s">
        <v>397</v>
      </c>
      <c r="C602" s="2" t="s">
        <v>12</v>
      </c>
      <c r="D602" s="2" t="str">
        <f aca="false">IF(2キー同時!$B$149="","",2キー同時!$B$149)</f>
        <v/>
      </c>
      <c r="E602" s="2" t="str">
        <f aca="false">""</f>
        <v/>
      </c>
      <c r="F602" s="2" t="str">
        <f aca="false">""</f>
        <v/>
      </c>
      <c r="G602" s="2" t="str">
        <f aca="false">IF(2キー同時!$B$149="","",IF(2キー同時!H153="","",SUBSTITUTE(SUBSTITUTE(2キー同時!H153," ",""),"　","")))</f>
        <v/>
      </c>
      <c r="H602" s="2" t="str">
        <f aca="false">IF($G602="","",2キー同時!$B$149)</f>
        <v/>
      </c>
      <c r="I602" s="2" t="str">
        <f aca="false">IF($G602="","","q")</f>
        <v/>
      </c>
      <c r="J602" s="2" t="str">
        <f aca="false">""</f>
        <v/>
      </c>
      <c r="K602" s="2" t="str">
        <f aca="false">""</f>
        <v/>
      </c>
      <c r="L602" s="2" t="str">
        <f aca="false">IF($G602="","","同時")</f>
        <v/>
      </c>
      <c r="M602" s="2" t="str">
        <f aca="false">IF($G602="","",IF(ISNA(MATCH($G602,個別指定!$A:$A,0)),"行なし",""))</f>
        <v/>
      </c>
      <c r="N602" s="2" t="str">
        <f aca="false">IF($G602="","",IF(COUNTIF($G$2:$G$4460,$G602)&gt;1,"重複",""))</f>
        <v/>
      </c>
    </row>
    <row r="603" customFormat="false" ht="16.5" hidden="false" customHeight="true" outlineLevel="0" collapsed="false">
      <c r="A603" s="2" t="s">
        <v>385</v>
      </c>
      <c r="B603" s="2" t="s">
        <v>397</v>
      </c>
      <c r="C603" s="2" t="s">
        <v>13</v>
      </c>
      <c r="D603" s="2" t="str">
        <f aca="false">IF(2キー同時!$B$149="","",2キー同時!$B$149)</f>
        <v/>
      </c>
      <c r="E603" s="2" t="str">
        <f aca="false">""</f>
        <v/>
      </c>
      <c r="F603" s="2" t="str">
        <f aca="false">""</f>
        <v/>
      </c>
      <c r="G603" s="2" t="str">
        <f aca="false">IF(2キー同時!$B$149="","",IF(2キー同時!L153="","",SUBSTITUTE(SUBSTITUTE(2キー同時!L153," ",""),"　","")))</f>
        <v/>
      </c>
      <c r="H603" s="2" t="str">
        <f aca="false">IF($G603="","",2キー同時!$B$149)</f>
        <v/>
      </c>
      <c r="I603" s="2" t="str">
        <f aca="false">IF($G603="","","w")</f>
        <v/>
      </c>
      <c r="J603" s="2" t="str">
        <f aca="false">""</f>
        <v/>
      </c>
      <c r="K603" s="2" t="str">
        <f aca="false">""</f>
        <v/>
      </c>
      <c r="L603" s="2" t="str">
        <f aca="false">IF($G603="","","同時")</f>
        <v/>
      </c>
      <c r="M603" s="2" t="str">
        <f aca="false">IF($G603="","",IF(ISNA(MATCH($G603,個別指定!$A:$A,0)),"行なし",""))</f>
        <v/>
      </c>
      <c r="N603" s="2" t="str">
        <f aca="false">IF($G603="","",IF(COUNTIF($G$2:$G$4460,$G603)&gt;1,"重複",""))</f>
        <v/>
      </c>
    </row>
    <row r="604" customFormat="false" ht="16.5" hidden="false" customHeight="true" outlineLevel="0" collapsed="false">
      <c r="A604" s="2" t="s">
        <v>385</v>
      </c>
      <c r="B604" s="2" t="s">
        <v>397</v>
      </c>
      <c r="C604" s="2" t="s">
        <v>14</v>
      </c>
      <c r="D604" s="2" t="str">
        <f aca="false">IF(2キー同時!$B$149="","",2キー同時!$B$149)</f>
        <v/>
      </c>
      <c r="E604" s="2" t="str">
        <f aca="false">""</f>
        <v/>
      </c>
      <c r="F604" s="2" t="str">
        <f aca="false">""</f>
        <v/>
      </c>
      <c r="G604" s="2" t="str">
        <f aca="false">IF(2キー同時!$B$149="","",IF(2キー同時!P153="","",SUBSTITUTE(SUBSTITUTE(2キー同時!P153," ",""),"　","")))</f>
        <v/>
      </c>
      <c r="H604" s="2" t="str">
        <f aca="false">IF($G604="","",2キー同時!$B$149)</f>
        <v/>
      </c>
      <c r="I604" s="2" t="str">
        <f aca="false">IF($G604="","","e")</f>
        <v/>
      </c>
      <c r="J604" s="2" t="str">
        <f aca="false">""</f>
        <v/>
      </c>
      <c r="K604" s="2" t="str">
        <f aca="false">""</f>
        <v/>
      </c>
      <c r="L604" s="2" t="str">
        <f aca="false">IF($G604="","","同時")</f>
        <v/>
      </c>
      <c r="M604" s="2" t="str">
        <f aca="false">IF($G604="","",IF(ISNA(MATCH($G604,個別指定!$A:$A,0)),"行なし",""))</f>
        <v/>
      </c>
      <c r="N604" s="2" t="str">
        <f aca="false">IF($G604="","",IF(COUNTIF($G$2:$G$4460,$G604)&gt;1,"重複",""))</f>
        <v/>
      </c>
    </row>
    <row r="605" customFormat="false" ht="16.5" hidden="false" customHeight="true" outlineLevel="0" collapsed="false">
      <c r="A605" s="2" t="s">
        <v>385</v>
      </c>
      <c r="B605" s="2" t="s">
        <v>397</v>
      </c>
      <c r="C605" s="2" t="s">
        <v>15</v>
      </c>
      <c r="D605" s="2" t="str">
        <f aca="false">IF(2キー同時!$B$149="","",2キー同時!$B$149)</f>
        <v/>
      </c>
      <c r="E605" s="2" t="str">
        <f aca="false">""</f>
        <v/>
      </c>
      <c r="F605" s="2" t="str">
        <f aca="false">""</f>
        <v/>
      </c>
      <c r="G605" s="2" t="str">
        <f aca="false">IF(2キー同時!$B$149="","",IF(2キー同時!T153="","",SUBSTITUTE(SUBSTITUTE(2キー同時!T153," ",""),"　","")))</f>
        <v/>
      </c>
      <c r="H605" s="2" t="str">
        <f aca="false">IF($G605="","",2キー同時!$B$149)</f>
        <v/>
      </c>
      <c r="I605" s="2" t="str">
        <f aca="false">IF($G605="","","r")</f>
        <v/>
      </c>
      <c r="J605" s="2" t="str">
        <f aca="false">""</f>
        <v/>
      </c>
      <c r="K605" s="2" t="str">
        <f aca="false">""</f>
        <v/>
      </c>
      <c r="L605" s="2" t="str">
        <f aca="false">IF($G605="","","同時")</f>
        <v/>
      </c>
      <c r="M605" s="2" t="str">
        <f aca="false">IF($G605="","",IF(ISNA(MATCH($G605,個別指定!$A:$A,0)),"行なし",""))</f>
        <v/>
      </c>
      <c r="N605" s="2" t="str">
        <f aca="false">IF($G605="","",IF(COUNTIF($G$2:$G$4460,$G605)&gt;1,"重複",""))</f>
        <v/>
      </c>
    </row>
    <row r="606" customFormat="false" ht="16.5" hidden="false" customHeight="true" outlineLevel="0" collapsed="false">
      <c r="A606" s="2" t="s">
        <v>385</v>
      </c>
      <c r="B606" s="2" t="s">
        <v>397</v>
      </c>
      <c r="C606" s="2" t="s">
        <v>16</v>
      </c>
      <c r="D606" s="2" t="str">
        <f aca="false">IF(2キー同時!$B$149="","",2キー同時!$B$149)</f>
        <v/>
      </c>
      <c r="E606" s="2" t="str">
        <f aca="false">""</f>
        <v/>
      </c>
      <c r="F606" s="2" t="str">
        <f aca="false">""</f>
        <v/>
      </c>
      <c r="G606" s="2" t="str">
        <f aca="false">IF(2キー同時!$B$149="","",IF(2キー同時!X153="","",SUBSTITUTE(SUBSTITUTE(2キー同時!X153," ",""),"　","")))</f>
        <v/>
      </c>
      <c r="H606" s="2" t="str">
        <f aca="false">IF($G606="","",2キー同時!$B$149)</f>
        <v/>
      </c>
      <c r="I606" s="2" t="str">
        <f aca="false">IF($G606="","","t")</f>
        <v/>
      </c>
      <c r="J606" s="2" t="str">
        <f aca="false">""</f>
        <v/>
      </c>
      <c r="K606" s="2" t="str">
        <f aca="false">""</f>
        <v/>
      </c>
      <c r="L606" s="2" t="str">
        <f aca="false">IF($G606="","","同時")</f>
        <v/>
      </c>
      <c r="M606" s="2" t="str">
        <f aca="false">IF($G606="","",IF(ISNA(MATCH($G606,個別指定!$A:$A,0)),"行なし",""))</f>
        <v/>
      </c>
      <c r="N606" s="2" t="str">
        <f aca="false">IF($G606="","",IF(COUNTIF($G$2:$G$4460,$G606)&gt;1,"重複",""))</f>
        <v/>
      </c>
    </row>
    <row r="607" customFormat="false" ht="16.5" hidden="false" customHeight="true" outlineLevel="0" collapsed="false">
      <c r="A607" s="2" t="s">
        <v>385</v>
      </c>
      <c r="B607" s="2" t="s">
        <v>397</v>
      </c>
      <c r="C607" s="2" t="s">
        <v>17</v>
      </c>
      <c r="D607" s="2" t="str">
        <f aca="false">IF(2キー同時!$B$149="","",2キー同時!$B$149)</f>
        <v/>
      </c>
      <c r="E607" s="2" t="str">
        <f aca="false">""</f>
        <v/>
      </c>
      <c r="F607" s="2" t="str">
        <f aca="false">""</f>
        <v/>
      </c>
      <c r="G607" s="2" t="str">
        <f aca="false">IF(2キー同時!$B$149="","",IF(2キー同時!AB153="","",SUBSTITUTE(SUBSTITUTE(2キー同時!AB153," ",""),"　","")))</f>
        <v/>
      </c>
      <c r="H607" s="2" t="str">
        <f aca="false">IF($G607="","",2キー同時!$B$149)</f>
        <v/>
      </c>
      <c r="I607" s="2" t="str">
        <f aca="false">IF($G607="","","y")</f>
        <v/>
      </c>
      <c r="J607" s="2" t="str">
        <f aca="false">""</f>
        <v/>
      </c>
      <c r="K607" s="2" t="str">
        <f aca="false">""</f>
        <v/>
      </c>
      <c r="L607" s="2" t="str">
        <f aca="false">IF($G607="","","同時")</f>
        <v/>
      </c>
      <c r="M607" s="2" t="str">
        <f aca="false">IF($G607="","",IF(ISNA(MATCH($G607,個別指定!$A:$A,0)),"行なし",""))</f>
        <v/>
      </c>
      <c r="N607" s="2" t="str">
        <f aca="false">IF($G607="","",IF(COUNTIF($G$2:$G$4460,$G607)&gt;1,"重複",""))</f>
        <v/>
      </c>
    </row>
    <row r="608" customFormat="false" ht="16.5" hidden="false" customHeight="true" outlineLevel="0" collapsed="false">
      <c r="A608" s="2" t="s">
        <v>385</v>
      </c>
      <c r="B608" s="2" t="s">
        <v>397</v>
      </c>
      <c r="C608" s="2" t="s">
        <v>18</v>
      </c>
      <c r="D608" s="2" t="str">
        <f aca="false">IF(2キー同時!$B$149="","",2キー同時!$B$149)</f>
        <v/>
      </c>
      <c r="E608" s="2" t="str">
        <f aca="false">""</f>
        <v/>
      </c>
      <c r="F608" s="2" t="str">
        <f aca="false">""</f>
        <v/>
      </c>
      <c r="G608" s="2" t="str">
        <f aca="false">IF(2キー同時!$B$149="","",IF(2キー同時!AF153="","",SUBSTITUTE(SUBSTITUTE(2キー同時!AF153," ",""),"　","")))</f>
        <v/>
      </c>
      <c r="H608" s="2" t="str">
        <f aca="false">IF($G608="","",2キー同時!$B$149)</f>
        <v/>
      </c>
      <c r="I608" s="2" t="str">
        <f aca="false">IF($G608="","","u")</f>
        <v/>
      </c>
      <c r="J608" s="2" t="str">
        <f aca="false">""</f>
        <v/>
      </c>
      <c r="K608" s="2" t="str">
        <f aca="false">""</f>
        <v/>
      </c>
      <c r="L608" s="2" t="str">
        <f aca="false">IF($G608="","","同時")</f>
        <v/>
      </c>
      <c r="M608" s="2" t="str">
        <f aca="false">IF($G608="","",IF(ISNA(MATCH($G608,個別指定!$A:$A,0)),"行なし",""))</f>
        <v/>
      </c>
      <c r="N608" s="2" t="str">
        <f aca="false">IF($G608="","",IF(COUNTIF($G$2:$G$4460,$G608)&gt;1,"重複",""))</f>
        <v/>
      </c>
    </row>
    <row r="609" customFormat="false" ht="16.5" hidden="false" customHeight="true" outlineLevel="0" collapsed="false">
      <c r="A609" s="2" t="s">
        <v>385</v>
      </c>
      <c r="B609" s="2" t="s">
        <v>397</v>
      </c>
      <c r="C609" s="2" t="s">
        <v>19</v>
      </c>
      <c r="D609" s="2" t="str">
        <f aca="false">IF(2キー同時!$B$149="","",2キー同時!$B$149)</f>
        <v/>
      </c>
      <c r="E609" s="2" t="str">
        <f aca="false">""</f>
        <v/>
      </c>
      <c r="F609" s="2" t="str">
        <f aca="false">""</f>
        <v/>
      </c>
      <c r="G609" s="2" t="str">
        <f aca="false">IF(2キー同時!$B$149="","",IF(2キー同時!AJ153="","",SUBSTITUTE(SUBSTITUTE(2キー同時!AJ153," ",""),"　","")))</f>
        <v/>
      </c>
      <c r="H609" s="2" t="str">
        <f aca="false">IF($G609="","",2キー同時!$B$149)</f>
        <v/>
      </c>
      <c r="I609" s="2" t="str">
        <f aca="false">IF($G609="","","i")</f>
        <v/>
      </c>
      <c r="J609" s="2" t="str">
        <f aca="false">""</f>
        <v/>
      </c>
      <c r="K609" s="2" t="str">
        <f aca="false">""</f>
        <v/>
      </c>
      <c r="L609" s="2" t="str">
        <f aca="false">IF($G609="","","同時")</f>
        <v/>
      </c>
      <c r="M609" s="2" t="str">
        <f aca="false">IF($G609="","",IF(ISNA(MATCH($G609,個別指定!$A:$A,0)),"行なし",""))</f>
        <v/>
      </c>
      <c r="N609" s="2" t="str">
        <f aca="false">IF($G609="","",IF(COUNTIF($G$2:$G$4460,$G609)&gt;1,"重複",""))</f>
        <v/>
      </c>
    </row>
    <row r="610" customFormat="false" ht="16.5" hidden="false" customHeight="true" outlineLevel="0" collapsed="false">
      <c r="A610" s="2" t="s">
        <v>385</v>
      </c>
      <c r="B610" s="2" t="s">
        <v>397</v>
      </c>
      <c r="C610" s="2" t="s">
        <v>20</v>
      </c>
      <c r="D610" s="2" t="str">
        <f aca="false">IF(2キー同時!$B$149="","",2キー同時!$B$149)</f>
        <v/>
      </c>
      <c r="E610" s="2" t="str">
        <f aca="false">""</f>
        <v/>
      </c>
      <c r="F610" s="2" t="str">
        <f aca="false">""</f>
        <v/>
      </c>
      <c r="G610" s="2" t="str">
        <f aca="false">IF(2キー同時!$B$149="","",IF(2キー同時!AN153="","",SUBSTITUTE(SUBSTITUTE(2キー同時!AN153," ",""),"　","")))</f>
        <v/>
      </c>
      <c r="H610" s="2" t="str">
        <f aca="false">IF($G610="","",2キー同時!$B$149)</f>
        <v/>
      </c>
      <c r="I610" s="2" t="str">
        <f aca="false">IF($G610="","","o")</f>
        <v/>
      </c>
      <c r="J610" s="2" t="str">
        <f aca="false">""</f>
        <v/>
      </c>
      <c r="K610" s="2" t="str">
        <f aca="false">""</f>
        <v/>
      </c>
      <c r="L610" s="2" t="str">
        <f aca="false">IF($G610="","","同時")</f>
        <v/>
      </c>
      <c r="M610" s="2" t="str">
        <f aca="false">IF($G610="","",IF(ISNA(MATCH($G610,個別指定!$A:$A,0)),"行なし",""))</f>
        <v/>
      </c>
      <c r="N610" s="2" t="str">
        <f aca="false">IF($G610="","",IF(COUNTIF($G$2:$G$4460,$G610)&gt;1,"重複",""))</f>
        <v/>
      </c>
    </row>
    <row r="611" customFormat="false" ht="16.5" hidden="false" customHeight="true" outlineLevel="0" collapsed="false">
      <c r="A611" s="2" t="s">
        <v>385</v>
      </c>
      <c r="B611" s="2" t="s">
        <v>397</v>
      </c>
      <c r="C611" s="2" t="s">
        <v>21</v>
      </c>
      <c r="D611" s="2" t="str">
        <f aca="false">IF(2キー同時!$B$149="","",2キー同時!$B$149)</f>
        <v/>
      </c>
      <c r="E611" s="2" t="str">
        <f aca="false">""</f>
        <v/>
      </c>
      <c r="F611" s="2" t="str">
        <f aca="false">""</f>
        <v/>
      </c>
      <c r="G611" s="2" t="str">
        <f aca="false">IF(2キー同時!$B$149="","",IF(2キー同時!AR153="","",SUBSTITUTE(SUBSTITUTE(2キー同時!AR153," ",""),"　","")))</f>
        <v/>
      </c>
      <c r="H611" s="2" t="str">
        <f aca="false">IF($G611="","",2キー同時!$B$149)</f>
        <v/>
      </c>
      <c r="I611" s="2" t="str">
        <f aca="false">IF($G611="","","p")</f>
        <v/>
      </c>
      <c r="J611" s="2" t="str">
        <f aca="false">""</f>
        <v/>
      </c>
      <c r="K611" s="2" t="str">
        <f aca="false">""</f>
        <v/>
      </c>
      <c r="L611" s="2" t="str">
        <f aca="false">IF($G611="","","同時")</f>
        <v/>
      </c>
      <c r="M611" s="2" t="str">
        <f aca="false">IF($G611="","",IF(ISNA(MATCH($G611,個別指定!$A:$A,0)),"行なし",""))</f>
        <v/>
      </c>
      <c r="N611" s="2" t="str">
        <f aca="false">IF($G611="","",IF(COUNTIF($G$2:$G$4460,$G611)&gt;1,"重複",""))</f>
        <v/>
      </c>
    </row>
    <row r="612" customFormat="false" ht="16.5" hidden="false" customHeight="true" outlineLevel="0" collapsed="false">
      <c r="A612" s="2" t="s">
        <v>385</v>
      </c>
      <c r="B612" s="2" t="s">
        <v>397</v>
      </c>
      <c r="C612" s="2" t="s">
        <v>22</v>
      </c>
      <c r="D612" s="2" t="str">
        <f aca="false">IF(2キー同時!$B$149="","",2キー同時!$B$149)</f>
        <v/>
      </c>
      <c r="E612" s="2" t="str">
        <f aca="false">""</f>
        <v/>
      </c>
      <c r="F612" s="2" t="str">
        <f aca="false">""</f>
        <v/>
      </c>
      <c r="G612" s="2" t="str">
        <f aca="false">IF(2キー同時!$B$149="","",IF(2キー同時!AV153="","",SUBSTITUTE(SUBSTITUTE(2キー同時!AV153," ",""),"　","")))</f>
        <v/>
      </c>
      <c r="H612" s="2" t="str">
        <f aca="false">IF($G612="","",2キー同時!$B$149)</f>
        <v/>
      </c>
      <c r="I612" s="2" t="str">
        <f aca="false">IF($G612="","","[")</f>
        <v/>
      </c>
      <c r="J612" s="2" t="str">
        <f aca="false">""</f>
        <v/>
      </c>
      <c r="K612" s="2" t="str">
        <f aca="false">""</f>
        <v/>
      </c>
      <c r="L612" s="2" t="str">
        <f aca="false">IF($G612="","","同時")</f>
        <v/>
      </c>
      <c r="M612" s="2" t="str">
        <f aca="false">IF($G612="","",IF(ISNA(MATCH($G612,個別指定!$A:$A,0)),"行なし",""))</f>
        <v/>
      </c>
      <c r="N612" s="2" t="str">
        <f aca="false">IF($G612="","",IF(COUNTIF($G$2:$G$4460,$G612)&gt;1,"重複",""))</f>
        <v/>
      </c>
    </row>
    <row r="613" customFormat="false" ht="16.5" hidden="false" customHeight="true" outlineLevel="0" collapsed="false">
      <c r="A613" s="2" t="s">
        <v>385</v>
      </c>
      <c r="B613" s="2" t="s">
        <v>397</v>
      </c>
      <c r="C613" s="2" t="s">
        <v>23</v>
      </c>
      <c r="D613" s="2" t="str">
        <f aca="false">IF(2キー同時!$B$149="","",2キー同時!$B$149)</f>
        <v/>
      </c>
      <c r="E613" s="2" t="str">
        <f aca="false">""</f>
        <v/>
      </c>
      <c r="F613" s="2" t="str">
        <f aca="false">""</f>
        <v/>
      </c>
      <c r="G613" s="2" t="str">
        <f aca="false">IF(2キー同時!$B$149="","",IF(2キー同時!AZ153="","",SUBSTITUTE(SUBSTITUTE(2キー同時!AZ153," ",""),"　","")))</f>
        <v/>
      </c>
      <c r="H613" s="2" t="str">
        <f aca="false">IF($G613="","",2キー同時!$B$149)</f>
        <v/>
      </c>
      <c r="I613" s="2" t="str">
        <f aca="false">IF($G613="","","]")</f>
        <v/>
      </c>
      <c r="J613" s="2" t="str">
        <f aca="false">""</f>
        <v/>
      </c>
      <c r="K613" s="2" t="str">
        <f aca="false">""</f>
        <v/>
      </c>
      <c r="L613" s="2" t="str">
        <f aca="false">IF($G613="","","同時")</f>
        <v/>
      </c>
      <c r="M613" s="2" t="str">
        <f aca="false">IF($G613="","",IF(ISNA(MATCH($G613,個別指定!$A:$A,0)),"行なし",""))</f>
        <v/>
      </c>
      <c r="N613" s="2" t="str">
        <f aca="false">IF($G613="","",IF(COUNTIF($G$2:$G$4460,$G613)&gt;1,"重複",""))</f>
        <v/>
      </c>
    </row>
    <row r="614" customFormat="false" ht="16.5" hidden="false" customHeight="true" outlineLevel="0" collapsed="false">
      <c r="A614" s="2" t="s">
        <v>385</v>
      </c>
      <c r="B614" s="2" t="s">
        <v>397</v>
      </c>
      <c r="C614" s="2" t="s">
        <v>24</v>
      </c>
      <c r="D614" s="2" t="str">
        <f aca="false">IF(2キー同時!$B$149="","",2キー同時!$B$149)</f>
        <v/>
      </c>
      <c r="E614" s="2" t="str">
        <f aca="false">""</f>
        <v/>
      </c>
      <c r="F614" s="2" t="str">
        <f aca="false">""</f>
        <v/>
      </c>
      <c r="G614" s="2" t="str">
        <f aca="false">IF(2キー同時!$B$149="","",IF(2キー同時!I155="","",SUBSTITUTE(SUBSTITUTE(2キー同時!I155," ",""),"　","")))</f>
        <v/>
      </c>
      <c r="H614" s="2" t="str">
        <f aca="false">IF($G614="","",2キー同時!$B$149)</f>
        <v/>
      </c>
      <c r="I614" s="2" t="str">
        <f aca="false">IF($G614="","","a")</f>
        <v/>
      </c>
      <c r="J614" s="2" t="str">
        <f aca="false">""</f>
        <v/>
      </c>
      <c r="K614" s="2" t="str">
        <f aca="false">""</f>
        <v/>
      </c>
      <c r="L614" s="2" t="str">
        <f aca="false">IF($G614="","","同時")</f>
        <v/>
      </c>
      <c r="M614" s="2" t="str">
        <f aca="false">IF($G614="","",IF(ISNA(MATCH($G614,個別指定!$A:$A,0)),"行なし",""))</f>
        <v/>
      </c>
      <c r="N614" s="2" t="str">
        <f aca="false">IF($G614="","",IF(COUNTIF($G$2:$G$4460,$G614)&gt;1,"重複",""))</f>
        <v/>
      </c>
    </row>
    <row r="615" customFormat="false" ht="16.5" hidden="false" customHeight="true" outlineLevel="0" collapsed="false">
      <c r="A615" s="2" t="s">
        <v>385</v>
      </c>
      <c r="B615" s="2" t="s">
        <v>397</v>
      </c>
      <c r="C615" s="2" t="s">
        <v>25</v>
      </c>
      <c r="D615" s="2" t="str">
        <f aca="false">IF(2キー同時!$B$149="","",2キー同時!$B$149)</f>
        <v/>
      </c>
      <c r="E615" s="2" t="str">
        <f aca="false">""</f>
        <v/>
      </c>
      <c r="F615" s="2" t="str">
        <f aca="false">""</f>
        <v/>
      </c>
      <c r="G615" s="2" t="str">
        <f aca="false">IF(2キー同時!$B$149="","",IF(2キー同時!M155="","",SUBSTITUTE(SUBSTITUTE(2キー同時!M155," ",""),"　","")))</f>
        <v/>
      </c>
      <c r="H615" s="2" t="str">
        <f aca="false">IF($G615="","",2キー同時!$B$149)</f>
        <v/>
      </c>
      <c r="I615" s="2" t="str">
        <f aca="false">IF($G615="","","s")</f>
        <v/>
      </c>
      <c r="J615" s="2" t="str">
        <f aca="false">""</f>
        <v/>
      </c>
      <c r="K615" s="2" t="str">
        <f aca="false">""</f>
        <v/>
      </c>
      <c r="L615" s="2" t="str">
        <f aca="false">IF($G615="","","同時")</f>
        <v/>
      </c>
      <c r="M615" s="2" t="str">
        <f aca="false">IF($G615="","",IF(ISNA(MATCH($G615,個別指定!$A:$A,0)),"行なし",""))</f>
        <v/>
      </c>
      <c r="N615" s="2" t="str">
        <f aca="false">IF($G615="","",IF(COUNTIF($G$2:$G$4460,$G615)&gt;1,"重複",""))</f>
        <v/>
      </c>
    </row>
    <row r="616" customFormat="false" ht="16.5" hidden="false" customHeight="true" outlineLevel="0" collapsed="false">
      <c r="A616" s="2" t="s">
        <v>385</v>
      </c>
      <c r="B616" s="2" t="s">
        <v>397</v>
      </c>
      <c r="C616" s="2" t="s">
        <v>26</v>
      </c>
      <c r="D616" s="2" t="str">
        <f aca="false">IF(2キー同時!$B$149="","",2キー同時!$B$149)</f>
        <v/>
      </c>
      <c r="E616" s="2" t="str">
        <f aca="false">""</f>
        <v/>
      </c>
      <c r="F616" s="2" t="str">
        <f aca="false">""</f>
        <v/>
      </c>
      <c r="G616" s="2" t="str">
        <f aca="false">IF(2キー同時!$B$149="","",IF(2キー同時!Q155="","",SUBSTITUTE(SUBSTITUTE(2キー同時!Q155," ",""),"　","")))</f>
        <v/>
      </c>
      <c r="H616" s="2" t="str">
        <f aca="false">IF($G616="","",2キー同時!$B$149)</f>
        <v/>
      </c>
      <c r="I616" s="2" t="str">
        <f aca="false">IF($G616="","","d")</f>
        <v/>
      </c>
      <c r="J616" s="2" t="str">
        <f aca="false">""</f>
        <v/>
      </c>
      <c r="K616" s="2" t="str">
        <f aca="false">""</f>
        <v/>
      </c>
      <c r="L616" s="2" t="str">
        <f aca="false">IF($G616="","","同時")</f>
        <v/>
      </c>
      <c r="M616" s="2" t="str">
        <f aca="false">IF($G616="","",IF(ISNA(MATCH($G616,個別指定!$A:$A,0)),"行なし",""))</f>
        <v/>
      </c>
      <c r="N616" s="2" t="str">
        <f aca="false">IF($G616="","",IF(COUNTIF($G$2:$G$4460,$G616)&gt;1,"重複",""))</f>
        <v/>
      </c>
    </row>
    <row r="617" customFormat="false" ht="16.5" hidden="false" customHeight="true" outlineLevel="0" collapsed="false">
      <c r="A617" s="2" t="s">
        <v>385</v>
      </c>
      <c r="B617" s="2" t="s">
        <v>397</v>
      </c>
      <c r="C617" s="2" t="s">
        <v>27</v>
      </c>
      <c r="D617" s="2" t="str">
        <f aca="false">IF(2キー同時!$B$149="","",2キー同時!$B$149)</f>
        <v/>
      </c>
      <c r="E617" s="2" t="str">
        <f aca="false">""</f>
        <v/>
      </c>
      <c r="F617" s="2" t="str">
        <f aca="false">""</f>
        <v/>
      </c>
      <c r="G617" s="2" t="str">
        <f aca="false">IF(2キー同時!$B$149="","",IF(2キー同時!U155="","",SUBSTITUTE(SUBSTITUTE(2キー同時!U155," ",""),"　","")))</f>
        <v/>
      </c>
      <c r="H617" s="2" t="str">
        <f aca="false">IF($G617="","",2キー同時!$B$149)</f>
        <v/>
      </c>
      <c r="I617" s="2" t="str">
        <f aca="false">IF($G617="","","f")</f>
        <v/>
      </c>
      <c r="J617" s="2" t="str">
        <f aca="false">""</f>
        <v/>
      </c>
      <c r="K617" s="2" t="str">
        <f aca="false">""</f>
        <v/>
      </c>
      <c r="L617" s="2" t="str">
        <f aca="false">IF($G617="","","同時")</f>
        <v/>
      </c>
      <c r="M617" s="2" t="str">
        <f aca="false">IF($G617="","",IF(ISNA(MATCH($G617,個別指定!$A:$A,0)),"行なし",""))</f>
        <v/>
      </c>
      <c r="N617" s="2" t="str">
        <f aca="false">IF($G617="","",IF(COUNTIF($G$2:$G$4460,$G617)&gt;1,"重複",""))</f>
        <v/>
      </c>
    </row>
    <row r="618" customFormat="false" ht="16.5" hidden="false" customHeight="true" outlineLevel="0" collapsed="false">
      <c r="A618" s="2" t="s">
        <v>385</v>
      </c>
      <c r="B618" s="2" t="s">
        <v>397</v>
      </c>
      <c r="C618" s="2" t="s">
        <v>28</v>
      </c>
      <c r="D618" s="2" t="str">
        <f aca="false">IF(2キー同時!$B$149="","",2キー同時!$B$149)</f>
        <v/>
      </c>
      <c r="E618" s="2" t="str">
        <f aca="false">""</f>
        <v/>
      </c>
      <c r="F618" s="2" t="str">
        <f aca="false">""</f>
        <v/>
      </c>
      <c r="G618" s="2" t="str">
        <f aca="false">IF(2キー同時!$B$149="","",IF(2キー同時!Y155="","",SUBSTITUTE(SUBSTITUTE(2キー同時!Y155," ",""),"　","")))</f>
        <v/>
      </c>
      <c r="H618" s="2" t="str">
        <f aca="false">IF($G618="","",2キー同時!$B$149)</f>
        <v/>
      </c>
      <c r="I618" s="2" t="str">
        <f aca="false">IF($G618="","","g")</f>
        <v/>
      </c>
      <c r="J618" s="2" t="str">
        <f aca="false">""</f>
        <v/>
      </c>
      <c r="K618" s="2" t="str">
        <f aca="false">""</f>
        <v/>
      </c>
      <c r="L618" s="2" t="str">
        <f aca="false">IF($G618="","","同時")</f>
        <v/>
      </c>
      <c r="M618" s="2" t="str">
        <f aca="false">IF($G618="","",IF(ISNA(MATCH($G618,個別指定!$A:$A,0)),"行なし",""))</f>
        <v/>
      </c>
      <c r="N618" s="2" t="str">
        <f aca="false">IF($G618="","",IF(COUNTIF($G$2:$G$4460,$G618)&gt;1,"重複",""))</f>
        <v/>
      </c>
    </row>
    <row r="619" customFormat="false" ht="16.5" hidden="false" customHeight="true" outlineLevel="0" collapsed="false">
      <c r="A619" s="2" t="s">
        <v>385</v>
      </c>
      <c r="B619" s="2" t="s">
        <v>397</v>
      </c>
      <c r="C619" s="2" t="s">
        <v>29</v>
      </c>
      <c r="D619" s="2" t="str">
        <f aca="false">IF(2キー同時!$B$149="","",2キー同時!$B$149)</f>
        <v/>
      </c>
      <c r="E619" s="2" t="str">
        <f aca="false">""</f>
        <v/>
      </c>
      <c r="F619" s="2" t="str">
        <f aca="false">""</f>
        <v/>
      </c>
      <c r="G619" s="2" t="str">
        <f aca="false">IF(2キー同時!$B$149="","",IF(2キー同時!AC155="","",SUBSTITUTE(SUBSTITUTE(2キー同時!AC155," ",""),"　","")))</f>
        <v/>
      </c>
      <c r="H619" s="2" t="str">
        <f aca="false">IF($G619="","",2キー同時!$B$149)</f>
        <v/>
      </c>
      <c r="I619" s="2" t="str">
        <f aca="false">IF($G619="","","h")</f>
        <v/>
      </c>
      <c r="J619" s="2" t="str">
        <f aca="false">""</f>
        <v/>
      </c>
      <c r="K619" s="2" t="str">
        <f aca="false">""</f>
        <v/>
      </c>
      <c r="L619" s="2" t="str">
        <f aca="false">IF($G619="","","同時")</f>
        <v/>
      </c>
      <c r="M619" s="2" t="str">
        <f aca="false">IF($G619="","",IF(ISNA(MATCH($G619,個別指定!$A:$A,0)),"行なし",""))</f>
        <v/>
      </c>
      <c r="N619" s="2" t="str">
        <f aca="false">IF($G619="","",IF(COUNTIF($G$2:$G$4460,$G619)&gt;1,"重複",""))</f>
        <v/>
      </c>
    </row>
    <row r="620" customFormat="false" ht="16.5" hidden="false" customHeight="true" outlineLevel="0" collapsed="false">
      <c r="A620" s="2" t="s">
        <v>385</v>
      </c>
      <c r="B620" s="2" t="s">
        <v>397</v>
      </c>
      <c r="C620" s="2" t="s">
        <v>30</v>
      </c>
      <c r="D620" s="2" t="str">
        <f aca="false">IF(2キー同時!$B$149="","",2キー同時!$B$149)</f>
        <v/>
      </c>
      <c r="E620" s="2" t="str">
        <f aca="false">""</f>
        <v/>
      </c>
      <c r="F620" s="2" t="str">
        <f aca="false">""</f>
        <v/>
      </c>
      <c r="G620" s="2" t="str">
        <f aca="false">IF(2キー同時!$B$149="","",IF(2キー同時!AG155="","",SUBSTITUTE(SUBSTITUTE(2キー同時!AG155," ",""),"　","")))</f>
        <v/>
      </c>
      <c r="H620" s="2" t="str">
        <f aca="false">IF($G620="","",2キー同時!$B$149)</f>
        <v/>
      </c>
      <c r="I620" s="2" t="str">
        <f aca="false">IF($G620="","","j")</f>
        <v/>
      </c>
      <c r="J620" s="2" t="str">
        <f aca="false">""</f>
        <v/>
      </c>
      <c r="K620" s="2" t="str">
        <f aca="false">""</f>
        <v/>
      </c>
      <c r="L620" s="2" t="str">
        <f aca="false">IF($G620="","","同時")</f>
        <v/>
      </c>
      <c r="M620" s="2" t="str">
        <f aca="false">IF($G620="","",IF(ISNA(MATCH($G620,個別指定!$A:$A,0)),"行なし",""))</f>
        <v/>
      </c>
      <c r="N620" s="2" t="str">
        <f aca="false">IF($G620="","",IF(COUNTIF($G$2:$G$4460,$G620)&gt;1,"重複",""))</f>
        <v/>
      </c>
    </row>
    <row r="621" customFormat="false" ht="16.5" hidden="false" customHeight="true" outlineLevel="0" collapsed="false">
      <c r="A621" s="2" t="s">
        <v>385</v>
      </c>
      <c r="B621" s="2" t="s">
        <v>397</v>
      </c>
      <c r="C621" s="2" t="s">
        <v>31</v>
      </c>
      <c r="D621" s="2" t="str">
        <f aca="false">IF(2キー同時!$B$149="","",2キー同時!$B$149)</f>
        <v/>
      </c>
      <c r="E621" s="2" t="str">
        <f aca="false">""</f>
        <v/>
      </c>
      <c r="F621" s="2" t="str">
        <f aca="false">""</f>
        <v/>
      </c>
      <c r="G621" s="2" t="str">
        <f aca="false">IF(2キー同時!$B$149="","",IF(2キー同時!AK155="","",SUBSTITUTE(SUBSTITUTE(2キー同時!AK155," ",""),"　","")))</f>
        <v/>
      </c>
      <c r="H621" s="2" t="str">
        <f aca="false">IF($G621="","",2キー同時!$B$149)</f>
        <v/>
      </c>
      <c r="I621" s="2" t="str">
        <f aca="false">IF($G621="","","k")</f>
        <v/>
      </c>
      <c r="J621" s="2" t="str">
        <f aca="false">""</f>
        <v/>
      </c>
      <c r="K621" s="2" t="str">
        <f aca="false">""</f>
        <v/>
      </c>
      <c r="L621" s="2" t="str">
        <f aca="false">IF($G621="","","同時")</f>
        <v/>
      </c>
      <c r="M621" s="2" t="str">
        <f aca="false">IF($G621="","",IF(ISNA(MATCH($G621,個別指定!$A:$A,0)),"行なし",""))</f>
        <v/>
      </c>
      <c r="N621" s="2" t="str">
        <f aca="false">IF($G621="","",IF(COUNTIF($G$2:$G$4460,$G621)&gt;1,"重複",""))</f>
        <v/>
      </c>
    </row>
    <row r="622" customFormat="false" ht="16.5" hidden="false" customHeight="true" outlineLevel="0" collapsed="false">
      <c r="A622" s="2" t="s">
        <v>385</v>
      </c>
      <c r="B622" s="2" t="s">
        <v>397</v>
      </c>
      <c r="C622" s="2" t="s">
        <v>32</v>
      </c>
      <c r="D622" s="2" t="str">
        <f aca="false">IF(2キー同時!$B$149="","",2キー同時!$B$149)</f>
        <v/>
      </c>
      <c r="E622" s="2" t="str">
        <f aca="false">""</f>
        <v/>
      </c>
      <c r="F622" s="2" t="str">
        <f aca="false">""</f>
        <v/>
      </c>
      <c r="G622" s="2" t="str">
        <f aca="false">IF(2キー同時!$B$149="","",IF(2キー同時!AO155="","",SUBSTITUTE(SUBSTITUTE(2キー同時!AO155," ",""),"　","")))</f>
        <v/>
      </c>
      <c r="H622" s="2" t="str">
        <f aca="false">IF($G622="","",2キー同時!$B$149)</f>
        <v/>
      </c>
      <c r="I622" s="2" t="str">
        <f aca="false">IF($G622="","","l")</f>
        <v/>
      </c>
      <c r="J622" s="2" t="str">
        <f aca="false">""</f>
        <v/>
      </c>
      <c r="K622" s="2" t="str">
        <f aca="false">""</f>
        <v/>
      </c>
      <c r="L622" s="2" t="str">
        <f aca="false">IF($G622="","","同時")</f>
        <v/>
      </c>
      <c r="M622" s="2" t="str">
        <f aca="false">IF($G622="","",IF(ISNA(MATCH($G622,個別指定!$A:$A,0)),"行なし",""))</f>
        <v/>
      </c>
      <c r="N622" s="2" t="str">
        <f aca="false">IF($G622="","",IF(COUNTIF($G$2:$G$4460,$G622)&gt;1,"重複",""))</f>
        <v/>
      </c>
    </row>
    <row r="623" customFormat="false" ht="16.5" hidden="false" customHeight="true" outlineLevel="0" collapsed="false">
      <c r="A623" s="2" t="s">
        <v>385</v>
      </c>
      <c r="B623" s="2" t="s">
        <v>397</v>
      </c>
      <c r="C623" s="2" t="s">
        <v>33</v>
      </c>
      <c r="D623" s="2" t="str">
        <f aca="false">IF(2キー同時!$B$149="","",2キー同時!$B$149)</f>
        <v/>
      </c>
      <c r="E623" s="2" t="str">
        <f aca="false">""</f>
        <v/>
      </c>
      <c r="F623" s="2" t="str">
        <f aca="false">""</f>
        <v/>
      </c>
      <c r="G623" s="2" t="str">
        <f aca="false">IF(2キー同時!$B$149="","",IF(2キー同時!AS155="","",SUBSTITUTE(SUBSTITUTE(2キー同時!AS155," ",""),"　","")))</f>
        <v/>
      </c>
      <c r="H623" s="2" t="str">
        <f aca="false">IF($G623="","",2キー同時!$B$149)</f>
        <v/>
      </c>
      <c r="I623" s="2" t="str">
        <f aca="false">IF($G623="","",";")</f>
        <v/>
      </c>
      <c r="J623" s="2" t="str">
        <f aca="false">""</f>
        <v/>
      </c>
      <c r="K623" s="2" t="str">
        <f aca="false">""</f>
        <v/>
      </c>
      <c r="L623" s="2" t="str">
        <f aca="false">IF($G623="","","同時")</f>
        <v/>
      </c>
      <c r="M623" s="2" t="str">
        <f aca="false">IF($G623="","",IF(ISNA(MATCH($G623,個別指定!$A:$A,0)),"行なし",""))</f>
        <v/>
      </c>
      <c r="N623" s="2" t="str">
        <f aca="false">IF($G623="","",IF(COUNTIF($G$2:$G$4460,$G623)&gt;1,"重複",""))</f>
        <v/>
      </c>
    </row>
    <row r="624" customFormat="false" ht="16.5" hidden="false" customHeight="true" outlineLevel="0" collapsed="false">
      <c r="A624" s="2" t="s">
        <v>385</v>
      </c>
      <c r="B624" s="2" t="s">
        <v>397</v>
      </c>
      <c r="C624" s="2" t="s">
        <v>34</v>
      </c>
      <c r="D624" s="2" t="str">
        <f aca="false">IF(2キー同時!$B$149="","",2キー同時!$B$149)</f>
        <v/>
      </c>
      <c r="E624" s="2" t="str">
        <f aca="false">""</f>
        <v/>
      </c>
      <c r="F624" s="2" t="str">
        <f aca="false">""</f>
        <v/>
      </c>
      <c r="G624" s="2" t="str">
        <f aca="false">IF(2キー同時!$B$149="","",IF(2キー同時!AW155="","",SUBSTITUTE(SUBSTITUTE(2キー同時!AW155," ",""),"　","")))</f>
        <v/>
      </c>
      <c r="H624" s="2" t="str">
        <f aca="false">IF($G624="","",2キー同時!$B$149)</f>
        <v/>
      </c>
      <c r="I624" s="2" t="str">
        <f aca="false">IF($G624="","","'")</f>
        <v/>
      </c>
      <c r="J624" s="2" t="str">
        <f aca="false">""</f>
        <v/>
      </c>
      <c r="K624" s="2" t="str">
        <f aca="false">""</f>
        <v/>
      </c>
      <c r="L624" s="2" t="str">
        <f aca="false">IF($G624="","","同時")</f>
        <v/>
      </c>
      <c r="M624" s="2" t="str">
        <f aca="false">IF($G624="","",IF(ISNA(MATCH($G624,個別指定!$A:$A,0)),"行なし",""))</f>
        <v/>
      </c>
      <c r="N624" s="2" t="str">
        <f aca="false">IF($G624="","",IF(COUNTIF($G$2:$G$4460,$G624)&gt;1,"重複",""))</f>
        <v/>
      </c>
    </row>
    <row r="625" customFormat="false" ht="16.5" hidden="false" customHeight="true" outlineLevel="0" collapsed="false">
      <c r="A625" s="2" t="s">
        <v>385</v>
      </c>
      <c r="B625" s="2" t="s">
        <v>397</v>
      </c>
      <c r="C625" s="2" t="s">
        <v>35</v>
      </c>
      <c r="D625" s="2" t="str">
        <f aca="false">IF(2キー同時!$B$149="","",2キー同時!$B$149)</f>
        <v/>
      </c>
      <c r="E625" s="2" t="str">
        <f aca="false">""</f>
        <v/>
      </c>
      <c r="F625" s="2" t="str">
        <f aca="false">""</f>
        <v/>
      </c>
      <c r="G625" s="2" t="str">
        <f aca="false">IF(2キー同時!$B$149="","",IF(2キー同時!K157="","",SUBSTITUTE(SUBSTITUTE(2キー同時!K157," ",""),"　","")))</f>
        <v/>
      </c>
      <c r="H625" s="2" t="str">
        <f aca="false">IF($G625="","",2キー同時!$B$149)</f>
        <v/>
      </c>
      <c r="I625" s="2" t="str">
        <f aca="false">IF($G625="","","z")</f>
        <v/>
      </c>
      <c r="J625" s="2" t="str">
        <f aca="false">""</f>
        <v/>
      </c>
      <c r="K625" s="2" t="str">
        <f aca="false">""</f>
        <v/>
      </c>
      <c r="L625" s="2" t="str">
        <f aca="false">IF($G625="","","同時")</f>
        <v/>
      </c>
      <c r="M625" s="2" t="str">
        <f aca="false">IF($G625="","",IF(ISNA(MATCH($G625,個別指定!$A:$A,0)),"行なし",""))</f>
        <v/>
      </c>
      <c r="N625" s="2" t="str">
        <f aca="false">IF($G625="","",IF(COUNTIF($G$2:$G$4460,$G625)&gt;1,"重複",""))</f>
        <v/>
      </c>
    </row>
    <row r="626" customFormat="false" ht="16.5" hidden="false" customHeight="true" outlineLevel="0" collapsed="false">
      <c r="A626" s="2" t="s">
        <v>385</v>
      </c>
      <c r="B626" s="2" t="s">
        <v>397</v>
      </c>
      <c r="C626" s="2" t="s">
        <v>36</v>
      </c>
      <c r="D626" s="2" t="str">
        <f aca="false">IF(2キー同時!$B$149="","",2キー同時!$B$149)</f>
        <v/>
      </c>
      <c r="E626" s="2" t="str">
        <f aca="false">""</f>
        <v/>
      </c>
      <c r="F626" s="2" t="str">
        <f aca="false">""</f>
        <v/>
      </c>
      <c r="G626" s="2" t="str">
        <f aca="false">IF(2キー同時!$B$149="","",IF(2キー同時!O157="","",SUBSTITUTE(SUBSTITUTE(2キー同時!O157," ",""),"　","")))</f>
        <v/>
      </c>
      <c r="H626" s="2" t="str">
        <f aca="false">IF($G626="","",2キー同時!$B$149)</f>
        <v/>
      </c>
      <c r="I626" s="2" t="str">
        <f aca="false">IF($G626="","","x")</f>
        <v/>
      </c>
      <c r="J626" s="2" t="str">
        <f aca="false">""</f>
        <v/>
      </c>
      <c r="K626" s="2" t="str">
        <f aca="false">""</f>
        <v/>
      </c>
      <c r="L626" s="2" t="str">
        <f aca="false">IF($G626="","","同時")</f>
        <v/>
      </c>
      <c r="M626" s="2" t="str">
        <f aca="false">IF($G626="","",IF(ISNA(MATCH($G626,個別指定!$A:$A,0)),"行なし",""))</f>
        <v/>
      </c>
      <c r="N626" s="2" t="str">
        <f aca="false">IF($G626="","",IF(COUNTIF($G$2:$G$4460,$G626)&gt;1,"重複",""))</f>
        <v/>
      </c>
    </row>
    <row r="627" customFormat="false" ht="16.5" hidden="false" customHeight="true" outlineLevel="0" collapsed="false">
      <c r="A627" s="2" t="s">
        <v>385</v>
      </c>
      <c r="B627" s="2" t="s">
        <v>397</v>
      </c>
      <c r="C627" s="2" t="s">
        <v>37</v>
      </c>
      <c r="D627" s="2" t="str">
        <f aca="false">IF(2キー同時!$B$149="","",2キー同時!$B$149)</f>
        <v/>
      </c>
      <c r="E627" s="2" t="str">
        <f aca="false">""</f>
        <v/>
      </c>
      <c r="F627" s="2" t="str">
        <f aca="false">""</f>
        <v/>
      </c>
      <c r="G627" s="2" t="str">
        <f aca="false">IF(2キー同時!$B$149="","",IF(2キー同時!S157="","",SUBSTITUTE(SUBSTITUTE(2キー同時!S157," ",""),"　","")))</f>
        <v/>
      </c>
      <c r="H627" s="2" t="str">
        <f aca="false">IF($G627="","",2キー同時!$B$149)</f>
        <v/>
      </c>
      <c r="I627" s="2" t="str">
        <f aca="false">IF($G627="","","c")</f>
        <v/>
      </c>
      <c r="J627" s="2" t="str">
        <f aca="false">""</f>
        <v/>
      </c>
      <c r="K627" s="2" t="str">
        <f aca="false">""</f>
        <v/>
      </c>
      <c r="L627" s="2" t="str">
        <f aca="false">IF($G627="","","同時")</f>
        <v/>
      </c>
      <c r="M627" s="2" t="str">
        <f aca="false">IF($G627="","",IF(ISNA(MATCH($G627,個別指定!$A:$A,0)),"行なし",""))</f>
        <v/>
      </c>
      <c r="N627" s="2" t="str">
        <f aca="false">IF($G627="","",IF(COUNTIF($G$2:$G$4460,$G627)&gt;1,"重複",""))</f>
        <v/>
      </c>
    </row>
    <row r="628" customFormat="false" ht="16.5" hidden="false" customHeight="true" outlineLevel="0" collapsed="false">
      <c r="A628" s="2" t="s">
        <v>385</v>
      </c>
      <c r="B628" s="2" t="s">
        <v>397</v>
      </c>
      <c r="C628" s="2" t="s">
        <v>38</v>
      </c>
      <c r="D628" s="2" t="str">
        <f aca="false">IF(2キー同時!$B$149="","",2キー同時!$B$149)</f>
        <v/>
      </c>
      <c r="E628" s="2" t="str">
        <f aca="false">""</f>
        <v/>
      </c>
      <c r="F628" s="2" t="str">
        <f aca="false">""</f>
        <v/>
      </c>
      <c r="G628" s="2" t="str">
        <f aca="false">IF(2キー同時!$B$149="","",IF(2キー同時!W157="","",SUBSTITUTE(SUBSTITUTE(2キー同時!W157," ",""),"　","")))</f>
        <v/>
      </c>
      <c r="H628" s="2" t="str">
        <f aca="false">IF($G628="","",2キー同時!$B$149)</f>
        <v/>
      </c>
      <c r="I628" s="2" t="str">
        <f aca="false">IF($G628="","","v")</f>
        <v/>
      </c>
      <c r="J628" s="2" t="str">
        <f aca="false">""</f>
        <v/>
      </c>
      <c r="K628" s="2" t="str">
        <f aca="false">""</f>
        <v/>
      </c>
      <c r="L628" s="2" t="str">
        <f aca="false">IF($G628="","","同時")</f>
        <v/>
      </c>
      <c r="M628" s="2" t="str">
        <f aca="false">IF($G628="","",IF(ISNA(MATCH($G628,個別指定!$A:$A,0)),"行なし",""))</f>
        <v/>
      </c>
      <c r="N628" s="2" t="str">
        <f aca="false">IF($G628="","",IF(COUNTIF($G$2:$G$4460,$G628)&gt;1,"重複",""))</f>
        <v/>
      </c>
    </row>
    <row r="629" customFormat="false" ht="16.5" hidden="false" customHeight="true" outlineLevel="0" collapsed="false">
      <c r="A629" s="2" t="s">
        <v>385</v>
      </c>
      <c r="B629" s="2" t="s">
        <v>397</v>
      </c>
      <c r="C629" s="2" t="s">
        <v>39</v>
      </c>
      <c r="D629" s="2" t="str">
        <f aca="false">IF(2キー同時!$B$149="","",2キー同時!$B$149)</f>
        <v/>
      </c>
      <c r="E629" s="2" t="str">
        <f aca="false">""</f>
        <v/>
      </c>
      <c r="F629" s="2" t="str">
        <f aca="false">""</f>
        <v/>
      </c>
      <c r="G629" s="2" t="str">
        <f aca="false">IF(2キー同時!$B$149="","",IF(2キー同時!AA157="","",SUBSTITUTE(SUBSTITUTE(2キー同時!AA157," ",""),"　","")))</f>
        <v/>
      </c>
      <c r="H629" s="2" t="str">
        <f aca="false">IF($G629="","",2キー同時!$B$149)</f>
        <v/>
      </c>
      <c r="I629" s="2" t="str">
        <f aca="false">IF($G629="","","b")</f>
        <v/>
      </c>
      <c r="J629" s="2" t="str">
        <f aca="false">""</f>
        <v/>
      </c>
      <c r="K629" s="2" t="str">
        <f aca="false">""</f>
        <v/>
      </c>
      <c r="L629" s="2" t="str">
        <f aca="false">IF($G629="","","同時")</f>
        <v/>
      </c>
      <c r="M629" s="2" t="str">
        <f aca="false">IF($G629="","",IF(ISNA(MATCH($G629,個別指定!$A:$A,0)),"行なし",""))</f>
        <v/>
      </c>
      <c r="N629" s="2" t="str">
        <f aca="false">IF($G629="","",IF(COUNTIF($G$2:$G$4460,$G629)&gt;1,"重複",""))</f>
        <v/>
      </c>
    </row>
    <row r="630" customFormat="false" ht="16.5" hidden="false" customHeight="true" outlineLevel="0" collapsed="false">
      <c r="A630" s="2" t="s">
        <v>385</v>
      </c>
      <c r="B630" s="2" t="s">
        <v>397</v>
      </c>
      <c r="C630" s="2" t="s">
        <v>40</v>
      </c>
      <c r="D630" s="2" t="str">
        <f aca="false">IF(2キー同時!$B$149="","",2キー同時!$B$149)</f>
        <v/>
      </c>
      <c r="E630" s="2" t="str">
        <f aca="false">""</f>
        <v/>
      </c>
      <c r="F630" s="2" t="str">
        <f aca="false">""</f>
        <v/>
      </c>
      <c r="G630" s="2" t="str">
        <f aca="false">IF(2キー同時!$B$149="","",IF(2キー同時!AE157="","",SUBSTITUTE(SUBSTITUTE(2キー同時!AE157," ",""),"　","")))</f>
        <v/>
      </c>
      <c r="H630" s="2" t="str">
        <f aca="false">IF($G630="","",2キー同時!$B$149)</f>
        <v/>
      </c>
      <c r="I630" s="2" t="str">
        <f aca="false">IF($G630="","","n")</f>
        <v/>
      </c>
      <c r="J630" s="2" t="str">
        <f aca="false">""</f>
        <v/>
      </c>
      <c r="K630" s="2" t="str">
        <f aca="false">""</f>
        <v/>
      </c>
      <c r="L630" s="2" t="str">
        <f aca="false">IF($G630="","","同時")</f>
        <v/>
      </c>
      <c r="M630" s="2" t="str">
        <f aca="false">IF($G630="","",IF(ISNA(MATCH($G630,個別指定!$A:$A,0)),"行なし",""))</f>
        <v/>
      </c>
      <c r="N630" s="2" t="str">
        <f aca="false">IF($G630="","",IF(COUNTIF($G$2:$G$4460,$G630)&gt;1,"重複",""))</f>
        <v/>
      </c>
    </row>
    <row r="631" customFormat="false" ht="16.5" hidden="false" customHeight="true" outlineLevel="0" collapsed="false">
      <c r="A631" s="2" t="s">
        <v>385</v>
      </c>
      <c r="B631" s="2" t="s">
        <v>397</v>
      </c>
      <c r="C631" s="2" t="s">
        <v>41</v>
      </c>
      <c r="D631" s="2" t="str">
        <f aca="false">IF(2キー同時!$B$149="","",2キー同時!$B$149)</f>
        <v/>
      </c>
      <c r="E631" s="2" t="str">
        <f aca="false">""</f>
        <v/>
      </c>
      <c r="F631" s="2" t="str">
        <f aca="false">""</f>
        <v/>
      </c>
      <c r="G631" s="2" t="str">
        <f aca="false">IF(2キー同時!$B$149="","",IF(2キー同時!AI157="","",SUBSTITUTE(SUBSTITUTE(2キー同時!AI157," ",""),"　","")))</f>
        <v/>
      </c>
      <c r="H631" s="2" t="str">
        <f aca="false">IF($G631="","",2キー同時!$B$149)</f>
        <v/>
      </c>
      <c r="I631" s="2" t="str">
        <f aca="false">IF($G631="","","m")</f>
        <v/>
      </c>
      <c r="J631" s="2" t="str">
        <f aca="false">""</f>
        <v/>
      </c>
      <c r="K631" s="2" t="str">
        <f aca="false">""</f>
        <v/>
      </c>
      <c r="L631" s="2" t="str">
        <f aca="false">IF($G631="","","同時")</f>
        <v/>
      </c>
      <c r="M631" s="2" t="str">
        <f aca="false">IF($G631="","",IF(ISNA(MATCH($G631,個別指定!$A:$A,0)),"行なし",""))</f>
        <v/>
      </c>
      <c r="N631" s="2" t="str">
        <f aca="false">IF($G631="","",IF(COUNTIF($G$2:$G$4460,$G631)&gt;1,"重複",""))</f>
        <v/>
      </c>
    </row>
    <row r="632" customFormat="false" ht="16.5" hidden="false" customHeight="true" outlineLevel="0" collapsed="false">
      <c r="A632" s="2" t="s">
        <v>385</v>
      </c>
      <c r="B632" s="2" t="s">
        <v>397</v>
      </c>
      <c r="C632" s="2" t="s">
        <v>42</v>
      </c>
      <c r="D632" s="2" t="str">
        <f aca="false">IF(2キー同時!$B$149="","",2キー同時!$B$149)</f>
        <v/>
      </c>
      <c r="E632" s="2" t="str">
        <f aca="false">""</f>
        <v/>
      </c>
      <c r="F632" s="2" t="str">
        <f aca="false">""</f>
        <v/>
      </c>
      <c r="G632" s="2" t="str">
        <f aca="false">IF(2キー同時!$B$149="","",IF(2キー同時!AM157="","",SUBSTITUTE(SUBSTITUTE(2キー同時!AM157," ",""),"　","")))</f>
        <v/>
      </c>
      <c r="H632" s="2" t="str">
        <f aca="false">IF($G632="","",2キー同時!$B$149)</f>
        <v/>
      </c>
      <c r="I632" s="2" t="str">
        <f aca="false">IF($G632="","",",")</f>
        <v/>
      </c>
      <c r="J632" s="2" t="str">
        <f aca="false">""</f>
        <v/>
      </c>
      <c r="K632" s="2" t="str">
        <f aca="false">""</f>
        <v/>
      </c>
      <c r="L632" s="2" t="str">
        <f aca="false">IF($G632="","","同時")</f>
        <v/>
      </c>
      <c r="M632" s="2" t="str">
        <f aca="false">IF($G632="","",IF(ISNA(MATCH($G632,個別指定!$A:$A,0)),"行なし",""))</f>
        <v/>
      </c>
      <c r="N632" s="2" t="str">
        <f aca="false">IF($G632="","",IF(COUNTIF($G$2:$G$4460,$G632)&gt;1,"重複",""))</f>
        <v/>
      </c>
    </row>
    <row r="633" customFormat="false" ht="16.5" hidden="false" customHeight="true" outlineLevel="0" collapsed="false">
      <c r="A633" s="2" t="s">
        <v>385</v>
      </c>
      <c r="B633" s="2" t="s">
        <v>397</v>
      </c>
      <c r="C633" s="2" t="s">
        <v>43</v>
      </c>
      <c r="D633" s="2" t="str">
        <f aca="false">IF(2キー同時!$B$149="","",2キー同時!$B$149)</f>
        <v/>
      </c>
      <c r="E633" s="2" t="str">
        <f aca="false">""</f>
        <v/>
      </c>
      <c r="F633" s="2" t="str">
        <f aca="false">""</f>
        <v/>
      </c>
      <c r="G633" s="2" t="str">
        <f aca="false">IF(2キー同時!$B$149="","",IF(2キー同時!AQ157="","",SUBSTITUTE(SUBSTITUTE(2キー同時!AQ157," ",""),"　","")))</f>
        <v/>
      </c>
      <c r="H633" s="2" t="str">
        <f aca="false">IF($G633="","",2キー同時!$B$149)</f>
        <v/>
      </c>
      <c r="I633" s="2" t="str">
        <f aca="false">IF($G633="","",".")</f>
        <v/>
      </c>
      <c r="J633" s="2" t="str">
        <f aca="false">""</f>
        <v/>
      </c>
      <c r="K633" s="2" t="str">
        <f aca="false">""</f>
        <v/>
      </c>
      <c r="L633" s="2" t="str">
        <f aca="false">IF($G633="","","同時")</f>
        <v/>
      </c>
      <c r="M633" s="2" t="str">
        <f aca="false">IF($G633="","",IF(ISNA(MATCH($G633,個別指定!$A:$A,0)),"行なし",""))</f>
        <v/>
      </c>
      <c r="N633" s="2" t="str">
        <f aca="false">IF($G633="","",IF(COUNTIF($G$2:$G$4460,$G633)&gt;1,"重複",""))</f>
        <v/>
      </c>
    </row>
    <row r="634" customFormat="false" ht="16.5" hidden="false" customHeight="true" outlineLevel="0" collapsed="false">
      <c r="A634" s="2" t="s">
        <v>385</v>
      </c>
      <c r="B634" s="2" t="s">
        <v>397</v>
      </c>
      <c r="C634" s="2" t="s">
        <v>44</v>
      </c>
      <c r="D634" s="2" t="str">
        <f aca="false">IF(2キー同時!$B$149="","",2キー同時!$B$149)</f>
        <v/>
      </c>
      <c r="E634" s="2" t="str">
        <f aca="false">""</f>
        <v/>
      </c>
      <c r="F634" s="2" t="str">
        <f aca="false">""</f>
        <v/>
      </c>
      <c r="G634" s="2" t="str">
        <f aca="false">IF(2キー同時!$B$149="","",IF(2キー同時!AU157="","",SUBSTITUTE(SUBSTITUTE(2キー同時!AU157," ",""),"　","")))</f>
        <v/>
      </c>
      <c r="H634" s="2" t="str">
        <f aca="false">IF($G634="","",2キー同時!$B$149)</f>
        <v/>
      </c>
      <c r="I634" s="2" t="str">
        <f aca="false">IF($G634="","","/")</f>
        <v/>
      </c>
      <c r="J634" s="2" t="str">
        <f aca="false">""</f>
        <v/>
      </c>
      <c r="K634" s="2" t="str">
        <f aca="false">""</f>
        <v/>
      </c>
      <c r="L634" s="2" t="str">
        <f aca="false">IF($G634="","","同時")</f>
        <v/>
      </c>
      <c r="M634" s="2" t="str">
        <f aca="false">IF($G634="","",IF(ISNA(MATCH($G634,個別指定!$A:$A,0)),"行なし",""))</f>
        <v/>
      </c>
      <c r="N634" s="2" t="str">
        <f aca="false">IF($G634="","",IF(COUNTIF($G$2:$G$4460,$G634)&gt;1,"重複",""))</f>
        <v/>
      </c>
    </row>
    <row r="635" customFormat="false" ht="16.5" hidden="false" customHeight="true" outlineLevel="0" collapsed="false">
      <c r="A635" s="2" t="s">
        <v>385</v>
      </c>
      <c r="B635" s="2" t="s">
        <v>397</v>
      </c>
      <c r="C635" s="2" t="s">
        <v>48</v>
      </c>
      <c r="D635" s="2" t="str">
        <f aca="false">IF(2キー同時!$B$149="","",2キー同時!$B$149)</f>
        <v/>
      </c>
      <c r="E635" s="2" t="str">
        <f aca="false">""</f>
        <v/>
      </c>
      <c r="F635" s="2" t="str">
        <f aca="false">""</f>
        <v/>
      </c>
      <c r="G635" s="2" t="str">
        <f aca="false">IF(2キー同時!$B$149="","",IF(2キー同時!P159="","",SUBSTITUTE(SUBSTITUTE(2キー同時!P159," ",""),"　","")))</f>
        <v/>
      </c>
      <c r="H635" s="2" t="str">
        <f aca="false">IF($G635="","",2キー同時!$B$149)</f>
        <v/>
      </c>
      <c r="I635" s="2" t="str">
        <f aca="false">IF($G635="","","muhenkan")</f>
        <v/>
      </c>
      <c r="J635" s="2" t="str">
        <f aca="false">""</f>
        <v/>
      </c>
      <c r="K635" s="2" t="str">
        <f aca="false">""</f>
        <v/>
      </c>
      <c r="L635" s="2" t="str">
        <f aca="false">IF($G635="","","同時")</f>
        <v/>
      </c>
      <c r="M635" s="2" t="str">
        <f aca="false">IF($G635="","",IF(ISNA(MATCH($G635,個別指定!$A:$A,0)),"行なし",""))</f>
        <v/>
      </c>
      <c r="N635" s="2" t="str">
        <f aca="false">IF($G635="","",IF(COUNTIF($G$2:$G$4460,$G635)&gt;1,"重複",""))</f>
        <v/>
      </c>
    </row>
    <row r="636" customFormat="false" ht="16.5" hidden="false" customHeight="true" outlineLevel="0" collapsed="false">
      <c r="A636" s="2" t="s">
        <v>385</v>
      </c>
      <c r="B636" s="2" t="s">
        <v>397</v>
      </c>
      <c r="C636" s="2" t="s">
        <v>50</v>
      </c>
      <c r="D636" s="2" t="str">
        <f aca="false">IF(2キー同時!$B$149="","",2キー同時!$B$149)</f>
        <v/>
      </c>
      <c r="E636" s="2" t="str">
        <f aca="false">""</f>
        <v/>
      </c>
      <c r="F636" s="2" t="str">
        <f aca="false">""</f>
        <v/>
      </c>
      <c r="G636" s="2" t="str">
        <f aca="false">IF(2キー同時!$B$149="","",IF(2キー同時!T159="","",SUBSTITUTE(SUBSTITUTE(2キー同時!T159," ",""),"　","")))</f>
        <v/>
      </c>
      <c r="H636" s="2" t="str">
        <f aca="false">IF($G636="","",2キー同時!$B$149)</f>
        <v/>
      </c>
      <c r="I636" s="2" t="str">
        <f aca="false">IF($G636="","","space")</f>
        <v/>
      </c>
      <c r="J636" s="2" t="str">
        <f aca="false">""</f>
        <v/>
      </c>
      <c r="K636" s="2" t="str">
        <f aca="false">""</f>
        <v/>
      </c>
      <c r="L636" s="2" t="str">
        <f aca="false">IF($G636="","","同時")</f>
        <v/>
      </c>
      <c r="M636" s="2" t="str">
        <f aca="false">IF($G636="","",IF(ISNA(MATCH($G636,個別指定!$A:$A,0)),"行なし",""))</f>
        <v/>
      </c>
      <c r="N636" s="2" t="str">
        <f aca="false">IF($G636="","",IF(COUNTIF($G$2:$G$4460,$G636)&gt;1,"重複",""))</f>
        <v/>
      </c>
    </row>
    <row r="637" customFormat="false" ht="16.5" hidden="false" customHeight="true" outlineLevel="0" collapsed="false">
      <c r="A637" s="2" t="s">
        <v>385</v>
      </c>
      <c r="B637" s="2" t="s">
        <v>397</v>
      </c>
      <c r="C637" s="2" t="s">
        <v>45</v>
      </c>
      <c r="D637" s="2" t="str">
        <f aca="false">IF(2キー同時!$B$149="","",2キー同時!$B$149)</f>
        <v/>
      </c>
      <c r="E637" s="2" t="str">
        <f aca="false">""</f>
        <v/>
      </c>
      <c r="F637" s="2" t="str">
        <f aca="false">""</f>
        <v/>
      </c>
      <c r="G637" s="2" t="str">
        <f aca="false">IF(2キー同時!$B$149="","",IF(2キー同時!AL159="","",SUBSTITUTE(SUBSTITUTE(2キー同時!AL159," ",""),"　","")))</f>
        <v/>
      </c>
      <c r="H637" s="2" t="str">
        <f aca="false">IF($G637="","",2キー同時!$B$149)</f>
        <v/>
      </c>
      <c r="I637" s="2" t="str">
        <f aca="false">IF($G637="","","henkan")</f>
        <v/>
      </c>
      <c r="J637" s="2" t="str">
        <f aca="false">""</f>
        <v/>
      </c>
      <c r="K637" s="2" t="str">
        <f aca="false">""</f>
        <v/>
      </c>
      <c r="L637" s="2" t="str">
        <f aca="false">IF($G637="","","同時")</f>
        <v/>
      </c>
      <c r="M637" s="2" t="str">
        <f aca="false">IF($G637="","",IF(ISNA(MATCH($G637,個別指定!$A:$A,0)),"行なし",""))</f>
        <v/>
      </c>
      <c r="N637" s="2" t="str">
        <f aca="false">IF($G637="","",IF(COUNTIF($G$2:$G$4460,$G637)&gt;1,"重複",""))</f>
        <v/>
      </c>
    </row>
    <row r="638" customFormat="false" ht="16.5" hidden="false" customHeight="true" outlineLevel="0" collapsed="false">
      <c r="A638" s="2" t="s">
        <v>385</v>
      </c>
      <c r="B638" s="2" t="s">
        <v>397</v>
      </c>
      <c r="C638" s="2" t="s">
        <v>46</v>
      </c>
      <c r="D638" s="2" t="str">
        <f aca="false">IF(2キー同時!$B$149="","",2キー同時!$B$149)</f>
        <v/>
      </c>
      <c r="E638" s="2" t="str">
        <f aca="false">""</f>
        <v/>
      </c>
      <c r="F638" s="2" t="str">
        <f aca="false">""</f>
        <v/>
      </c>
      <c r="G638" s="2" t="str">
        <f aca="false">IF(2キー同時!$B$149="","",IF(2キー同時!AP159="","",SUBSTITUTE(SUBSTITUTE(2キー同時!AP159," ",""),"　","")))</f>
        <v/>
      </c>
      <c r="H638" s="2" t="str">
        <f aca="false">IF($G638="","",2キー同時!$B$149)</f>
        <v/>
      </c>
      <c r="I638" s="2" t="str">
        <f aca="false">IF($G638="","","kana")</f>
        <v/>
      </c>
      <c r="J638" s="2" t="str">
        <f aca="false">""</f>
        <v/>
      </c>
      <c r="K638" s="2" t="str">
        <f aca="false">""</f>
        <v/>
      </c>
      <c r="L638" s="2" t="str">
        <f aca="false">IF($G638="","","同時")</f>
        <v/>
      </c>
      <c r="M638" s="2" t="str">
        <f aca="false">IF($G638="","",IF(ISNA(MATCH($G638,個別指定!$A:$A,0)),"行なし",""))</f>
        <v/>
      </c>
      <c r="N638" s="2" t="str">
        <f aca="false">IF($G638="","",IF(COUNTIF($G$2:$G$4460,$G638)&gt;1,"重複",""))</f>
        <v/>
      </c>
    </row>
    <row r="639" customFormat="false" ht="16.5" hidden="false" customHeight="true" outlineLevel="0" collapsed="false">
      <c r="A639" s="2" t="s">
        <v>385</v>
      </c>
      <c r="B639" s="2" t="s">
        <v>398</v>
      </c>
      <c r="C639" s="2" t="s">
        <v>0</v>
      </c>
      <c r="D639" s="2" t="str">
        <f aca="false">IF(2キー同時!$B$162="","",2キー同時!$B$162)</f>
        <v/>
      </c>
      <c r="E639" s="2" t="str">
        <f aca="false">""</f>
        <v/>
      </c>
      <c r="F639" s="2" t="str">
        <f aca="false">""</f>
        <v/>
      </c>
      <c r="G639" s="2" t="str">
        <f aca="false">IF(2キー同時!$B$162="","",IF(2キー同時!F164="","",SUBSTITUTE(SUBSTITUTE(2キー同時!F164," ",""),"　","")))</f>
        <v/>
      </c>
      <c r="H639" s="2" t="str">
        <f aca="false">IF($G639="","",2キー同時!$B$162)</f>
        <v/>
      </c>
      <c r="I639" s="2" t="str">
        <f aca="false">IF($G639="","","1")</f>
        <v/>
      </c>
      <c r="J639" s="2" t="str">
        <f aca="false">""</f>
        <v/>
      </c>
      <c r="K639" s="2" t="str">
        <f aca="false">""</f>
        <v/>
      </c>
      <c r="L639" s="2" t="str">
        <f aca="false">IF($G639="","","同時")</f>
        <v/>
      </c>
      <c r="M639" s="2" t="str">
        <f aca="false">IF($G639="","",IF(ISNA(MATCH($G639,個別指定!$A:$A,0)),"行なし",""))</f>
        <v/>
      </c>
      <c r="N639" s="2" t="str">
        <f aca="false">IF($G639="","",IF(COUNTIF($G$2:$G$4460,$G639)&gt;1,"重複",""))</f>
        <v/>
      </c>
    </row>
    <row r="640" customFormat="false" ht="16.5" hidden="false" customHeight="true" outlineLevel="0" collapsed="false">
      <c r="A640" s="2" t="s">
        <v>385</v>
      </c>
      <c r="B640" s="2" t="s">
        <v>398</v>
      </c>
      <c r="C640" s="2" t="s">
        <v>1</v>
      </c>
      <c r="D640" s="2" t="str">
        <f aca="false">IF(2キー同時!$B$162="","",2キー同時!$B$162)</f>
        <v/>
      </c>
      <c r="E640" s="2" t="str">
        <f aca="false">""</f>
        <v/>
      </c>
      <c r="F640" s="2" t="str">
        <f aca="false">""</f>
        <v/>
      </c>
      <c r="G640" s="2" t="str">
        <f aca="false">IF(2キー同時!$B$162="","",IF(2キー同時!J164="","",SUBSTITUTE(SUBSTITUTE(2キー同時!J164," ",""),"　","")))</f>
        <v/>
      </c>
      <c r="H640" s="2" t="str">
        <f aca="false">IF($G640="","",2キー同時!$B$162)</f>
        <v/>
      </c>
      <c r="I640" s="2" t="str">
        <f aca="false">IF($G640="","","2")</f>
        <v/>
      </c>
      <c r="J640" s="2" t="str">
        <f aca="false">""</f>
        <v/>
      </c>
      <c r="K640" s="2" t="str">
        <f aca="false">""</f>
        <v/>
      </c>
      <c r="L640" s="2" t="str">
        <f aca="false">IF($G640="","","同時")</f>
        <v/>
      </c>
      <c r="M640" s="2" t="str">
        <f aca="false">IF($G640="","",IF(ISNA(MATCH($G640,個別指定!$A:$A,0)),"行なし",""))</f>
        <v/>
      </c>
      <c r="N640" s="2" t="str">
        <f aca="false">IF($G640="","",IF(COUNTIF($G$2:$G$4460,$G640)&gt;1,"重複",""))</f>
        <v/>
      </c>
    </row>
    <row r="641" customFormat="false" ht="16.5" hidden="false" customHeight="true" outlineLevel="0" collapsed="false">
      <c r="A641" s="2" t="s">
        <v>385</v>
      </c>
      <c r="B641" s="2" t="s">
        <v>398</v>
      </c>
      <c r="C641" s="2" t="s">
        <v>2</v>
      </c>
      <c r="D641" s="2" t="str">
        <f aca="false">IF(2キー同時!$B$162="","",2キー同時!$B$162)</f>
        <v/>
      </c>
      <c r="E641" s="2" t="str">
        <f aca="false">""</f>
        <v/>
      </c>
      <c r="F641" s="2" t="str">
        <f aca="false">""</f>
        <v/>
      </c>
      <c r="G641" s="2" t="str">
        <f aca="false">IF(2キー同時!$B$162="","",IF(2キー同時!N164="","",SUBSTITUTE(SUBSTITUTE(2キー同時!N164," ",""),"　","")))</f>
        <v/>
      </c>
      <c r="H641" s="2" t="str">
        <f aca="false">IF($G641="","",2キー同時!$B$162)</f>
        <v/>
      </c>
      <c r="I641" s="2" t="str">
        <f aca="false">IF($G641="","","3")</f>
        <v/>
      </c>
      <c r="J641" s="2" t="str">
        <f aca="false">""</f>
        <v/>
      </c>
      <c r="K641" s="2" t="str">
        <f aca="false">""</f>
        <v/>
      </c>
      <c r="L641" s="2" t="str">
        <f aca="false">IF($G641="","","同時")</f>
        <v/>
      </c>
      <c r="M641" s="2" t="str">
        <f aca="false">IF($G641="","",IF(ISNA(MATCH($G641,個別指定!$A:$A,0)),"行なし",""))</f>
        <v/>
      </c>
      <c r="N641" s="2" t="str">
        <f aca="false">IF($G641="","",IF(COUNTIF($G$2:$G$4460,$G641)&gt;1,"重複",""))</f>
        <v/>
      </c>
    </row>
    <row r="642" customFormat="false" ht="16.5" hidden="false" customHeight="true" outlineLevel="0" collapsed="false">
      <c r="A642" s="2" t="s">
        <v>385</v>
      </c>
      <c r="B642" s="2" t="s">
        <v>398</v>
      </c>
      <c r="C642" s="2" t="s">
        <v>3</v>
      </c>
      <c r="D642" s="2" t="str">
        <f aca="false">IF(2キー同時!$B$162="","",2キー同時!$B$162)</f>
        <v/>
      </c>
      <c r="E642" s="2" t="str">
        <f aca="false">""</f>
        <v/>
      </c>
      <c r="F642" s="2" t="str">
        <f aca="false">""</f>
        <v/>
      </c>
      <c r="G642" s="2" t="str">
        <f aca="false">IF(2キー同時!$B$162="","",IF(2キー同時!R164="","",SUBSTITUTE(SUBSTITUTE(2キー同時!R164," ",""),"　","")))</f>
        <v/>
      </c>
      <c r="H642" s="2" t="str">
        <f aca="false">IF($G642="","",2キー同時!$B$162)</f>
        <v/>
      </c>
      <c r="I642" s="2" t="str">
        <f aca="false">IF($G642="","","4")</f>
        <v/>
      </c>
      <c r="J642" s="2" t="str">
        <f aca="false">""</f>
        <v/>
      </c>
      <c r="K642" s="2" t="str">
        <f aca="false">""</f>
        <v/>
      </c>
      <c r="L642" s="2" t="str">
        <f aca="false">IF($G642="","","同時")</f>
        <v/>
      </c>
      <c r="M642" s="2" t="str">
        <f aca="false">IF($G642="","",IF(ISNA(MATCH($G642,個別指定!$A:$A,0)),"行なし",""))</f>
        <v/>
      </c>
      <c r="N642" s="2" t="str">
        <f aca="false">IF($G642="","",IF(COUNTIF($G$2:$G$4460,$G642)&gt;1,"重複",""))</f>
        <v/>
      </c>
    </row>
    <row r="643" customFormat="false" ht="16.5" hidden="false" customHeight="true" outlineLevel="0" collapsed="false">
      <c r="A643" s="2" t="s">
        <v>385</v>
      </c>
      <c r="B643" s="2" t="s">
        <v>398</v>
      </c>
      <c r="C643" s="2" t="s">
        <v>4</v>
      </c>
      <c r="D643" s="2" t="str">
        <f aca="false">IF(2キー同時!$B$162="","",2キー同時!$B$162)</f>
        <v/>
      </c>
      <c r="E643" s="2" t="str">
        <f aca="false">""</f>
        <v/>
      </c>
      <c r="F643" s="2" t="str">
        <f aca="false">""</f>
        <v/>
      </c>
      <c r="G643" s="2" t="str">
        <f aca="false">IF(2キー同時!$B$162="","",IF(2キー同時!V164="","",SUBSTITUTE(SUBSTITUTE(2キー同時!V164," ",""),"　","")))</f>
        <v/>
      </c>
      <c r="H643" s="2" t="str">
        <f aca="false">IF($G643="","",2キー同時!$B$162)</f>
        <v/>
      </c>
      <c r="I643" s="2" t="str">
        <f aca="false">IF($G643="","","5")</f>
        <v/>
      </c>
      <c r="J643" s="2" t="str">
        <f aca="false">""</f>
        <v/>
      </c>
      <c r="K643" s="2" t="str">
        <f aca="false">""</f>
        <v/>
      </c>
      <c r="L643" s="2" t="str">
        <f aca="false">IF($G643="","","同時")</f>
        <v/>
      </c>
      <c r="M643" s="2" t="str">
        <f aca="false">IF($G643="","",IF(ISNA(MATCH($G643,個別指定!$A:$A,0)),"行なし",""))</f>
        <v/>
      </c>
      <c r="N643" s="2" t="str">
        <f aca="false">IF($G643="","",IF(COUNTIF($G$2:$G$4460,$G643)&gt;1,"重複",""))</f>
        <v/>
      </c>
    </row>
    <row r="644" customFormat="false" ht="16.5" hidden="false" customHeight="true" outlineLevel="0" collapsed="false">
      <c r="A644" s="2" t="s">
        <v>385</v>
      </c>
      <c r="B644" s="2" t="s">
        <v>398</v>
      </c>
      <c r="C644" s="2" t="s">
        <v>5</v>
      </c>
      <c r="D644" s="2" t="str">
        <f aca="false">IF(2キー同時!$B$162="","",2キー同時!$B$162)</f>
        <v/>
      </c>
      <c r="E644" s="2" t="str">
        <f aca="false">""</f>
        <v/>
      </c>
      <c r="F644" s="2" t="str">
        <f aca="false">""</f>
        <v/>
      </c>
      <c r="G644" s="2" t="str">
        <f aca="false">IF(2キー同時!$B$162="","",IF(2キー同時!Z164="","",SUBSTITUTE(SUBSTITUTE(2キー同時!Z164," ",""),"　","")))</f>
        <v/>
      </c>
      <c r="H644" s="2" t="str">
        <f aca="false">IF($G644="","",2キー同時!$B$162)</f>
        <v/>
      </c>
      <c r="I644" s="2" t="str">
        <f aca="false">IF($G644="","","6")</f>
        <v/>
      </c>
      <c r="J644" s="2" t="str">
        <f aca="false">""</f>
        <v/>
      </c>
      <c r="K644" s="2" t="str">
        <f aca="false">""</f>
        <v/>
      </c>
      <c r="L644" s="2" t="str">
        <f aca="false">IF($G644="","","同時")</f>
        <v/>
      </c>
      <c r="M644" s="2" t="str">
        <f aca="false">IF($G644="","",IF(ISNA(MATCH($G644,個別指定!$A:$A,0)),"行なし",""))</f>
        <v/>
      </c>
      <c r="N644" s="2" t="str">
        <f aca="false">IF($G644="","",IF(COUNTIF($G$2:$G$4460,$G644)&gt;1,"重複",""))</f>
        <v/>
      </c>
    </row>
    <row r="645" customFormat="false" ht="16.5" hidden="false" customHeight="true" outlineLevel="0" collapsed="false">
      <c r="A645" s="2" t="s">
        <v>385</v>
      </c>
      <c r="B645" s="2" t="s">
        <v>398</v>
      </c>
      <c r="C645" s="2" t="s">
        <v>6</v>
      </c>
      <c r="D645" s="2" t="str">
        <f aca="false">IF(2キー同時!$B$162="","",2キー同時!$B$162)</f>
        <v/>
      </c>
      <c r="E645" s="2" t="str">
        <f aca="false">""</f>
        <v/>
      </c>
      <c r="F645" s="2" t="str">
        <f aca="false">""</f>
        <v/>
      </c>
      <c r="G645" s="2" t="str">
        <f aca="false">IF(2キー同時!$B$162="","",IF(2キー同時!AD164="","",SUBSTITUTE(SUBSTITUTE(2キー同時!AD164," ",""),"　","")))</f>
        <v/>
      </c>
      <c r="H645" s="2" t="str">
        <f aca="false">IF($G645="","",2キー同時!$B$162)</f>
        <v/>
      </c>
      <c r="I645" s="2" t="str">
        <f aca="false">IF($G645="","","7")</f>
        <v/>
      </c>
      <c r="J645" s="2" t="str">
        <f aca="false">""</f>
        <v/>
      </c>
      <c r="K645" s="2" t="str">
        <f aca="false">""</f>
        <v/>
      </c>
      <c r="L645" s="2" t="str">
        <f aca="false">IF($G645="","","同時")</f>
        <v/>
      </c>
      <c r="M645" s="2" t="str">
        <f aca="false">IF($G645="","",IF(ISNA(MATCH($G645,個別指定!$A:$A,0)),"行なし",""))</f>
        <v/>
      </c>
      <c r="N645" s="2" t="str">
        <f aca="false">IF($G645="","",IF(COUNTIF($G$2:$G$4460,$G645)&gt;1,"重複",""))</f>
        <v/>
      </c>
    </row>
    <row r="646" customFormat="false" ht="16.5" hidden="false" customHeight="true" outlineLevel="0" collapsed="false">
      <c r="A646" s="2" t="s">
        <v>385</v>
      </c>
      <c r="B646" s="2" t="s">
        <v>398</v>
      </c>
      <c r="C646" s="2" t="s">
        <v>7</v>
      </c>
      <c r="D646" s="2" t="str">
        <f aca="false">IF(2キー同時!$B$162="","",2キー同時!$B$162)</f>
        <v/>
      </c>
      <c r="E646" s="2" t="str">
        <f aca="false">""</f>
        <v/>
      </c>
      <c r="F646" s="2" t="str">
        <f aca="false">""</f>
        <v/>
      </c>
      <c r="G646" s="2" t="str">
        <f aca="false">IF(2キー同時!$B$162="","",IF(2キー同時!AH164="","",SUBSTITUTE(SUBSTITUTE(2キー同時!AH164," ",""),"　","")))</f>
        <v/>
      </c>
      <c r="H646" s="2" t="str">
        <f aca="false">IF($G646="","",2キー同時!$B$162)</f>
        <v/>
      </c>
      <c r="I646" s="2" t="str">
        <f aca="false">IF($G646="","","8")</f>
        <v/>
      </c>
      <c r="J646" s="2" t="str">
        <f aca="false">""</f>
        <v/>
      </c>
      <c r="K646" s="2" t="str">
        <f aca="false">""</f>
        <v/>
      </c>
      <c r="L646" s="2" t="str">
        <f aca="false">IF($G646="","","同時")</f>
        <v/>
      </c>
      <c r="M646" s="2" t="str">
        <f aca="false">IF($G646="","",IF(ISNA(MATCH($G646,個別指定!$A:$A,0)),"行なし",""))</f>
        <v/>
      </c>
      <c r="N646" s="2" t="str">
        <f aca="false">IF($G646="","",IF(COUNTIF($G$2:$G$4460,$G646)&gt;1,"重複",""))</f>
        <v/>
      </c>
    </row>
    <row r="647" customFormat="false" ht="16.5" hidden="false" customHeight="true" outlineLevel="0" collapsed="false">
      <c r="A647" s="2" t="s">
        <v>385</v>
      </c>
      <c r="B647" s="2" t="s">
        <v>398</v>
      </c>
      <c r="C647" s="2" t="s">
        <v>8</v>
      </c>
      <c r="D647" s="2" t="str">
        <f aca="false">IF(2キー同時!$B$162="","",2キー同時!$B$162)</f>
        <v/>
      </c>
      <c r="E647" s="2" t="str">
        <f aca="false">""</f>
        <v/>
      </c>
      <c r="F647" s="2" t="str">
        <f aca="false">""</f>
        <v/>
      </c>
      <c r="G647" s="2" t="str">
        <f aca="false">IF(2キー同時!$B$162="","",IF(2キー同時!AL164="","",SUBSTITUTE(SUBSTITUTE(2キー同時!AL164," ",""),"　","")))</f>
        <v/>
      </c>
      <c r="H647" s="2" t="str">
        <f aca="false">IF($G647="","",2キー同時!$B$162)</f>
        <v/>
      </c>
      <c r="I647" s="2" t="str">
        <f aca="false">IF($G647="","","9")</f>
        <v/>
      </c>
      <c r="J647" s="2" t="str">
        <f aca="false">""</f>
        <v/>
      </c>
      <c r="K647" s="2" t="str">
        <f aca="false">""</f>
        <v/>
      </c>
      <c r="L647" s="2" t="str">
        <f aca="false">IF($G647="","","同時")</f>
        <v/>
      </c>
      <c r="M647" s="2" t="str">
        <f aca="false">IF($G647="","",IF(ISNA(MATCH($G647,個別指定!$A:$A,0)),"行なし",""))</f>
        <v/>
      </c>
      <c r="N647" s="2" t="str">
        <f aca="false">IF($G647="","",IF(COUNTIF($G$2:$G$4460,$G647)&gt;1,"重複",""))</f>
        <v/>
      </c>
    </row>
    <row r="648" customFormat="false" ht="16.5" hidden="false" customHeight="true" outlineLevel="0" collapsed="false">
      <c r="A648" s="2" t="s">
        <v>385</v>
      </c>
      <c r="B648" s="2" t="s">
        <v>398</v>
      </c>
      <c r="C648" s="2" t="s">
        <v>9</v>
      </c>
      <c r="D648" s="2" t="str">
        <f aca="false">IF(2キー同時!$B$162="","",2キー同時!$B$162)</f>
        <v/>
      </c>
      <c r="E648" s="2" t="str">
        <f aca="false">""</f>
        <v/>
      </c>
      <c r="F648" s="2" t="str">
        <f aca="false">""</f>
        <v/>
      </c>
      <c r="G648" s="2" t="str">
        <f aca="false">IF(2キー同時!$B$162="","",IF(2キー同時!AP164="","",SUBSTITUTE(SUBSTITUTE(2キー同時!AP164," ",""),"　","")))</f>
        <v/>
      </c>
      <c r="H648" s="2" t="str">
        <f aca="false">IF($G648="","",2キー同時!$B$162)</f>
        <v/>
      </c>
      <c r="I648" s="2" t="str">
        <f aca="false">IF($G648="","","0")</f>
        <v/>
      </c>
      <c r="J648" s="2" t="str">
        <f aca="false">""</f>
        <v/>
      </c>
      <c r="K648" s="2" t="str">
        <f aca="false">""</f>
        <v/>
      </c>
      <c r="L648" s="2" t="str">
        <f aca="false">IF($G648="","","同時")</f>
        <v/>
      </c>
      <c r="M648" s="2" t="str">
        <f aca="false">IF($G648="","",IF(ISNA(MATCH($G648,個別指定!$A:$A,0)),"行なし",""))</f>
        <v/>
      </c>
      <c r="N648" s="2" t="str">
        <f aca="false">IF($G648="","",IF(COUNTIF($G$2:$G$4460,$G648)&gt;1,"重複",""))</f>
        <v/>
      </c>
    </row>
    <row r="649" customFormat="false" ht="16.5" hidden="false" customHeight="true" outlineLevel="0" collapsed="false">
      <c r="A649" s="2" t="s">
        <v>385</v>
      </c>
      <c r="B649" s="2" t="s">
        <v>398</v>
      </c>
      <c r="C649" s="2" t="s">
        <v>10</v>
      </c>
      <c r="D649" s="2" t="str">
        <f aca="false">IF(2キー同時!$B$162="","",2キー同時!$B$162)</f>
        <v/>
      </c>
      <c r="E649" s="2" t="str">
        <f aca="false">""</f>
        <v/>
      </c>
      <c r="F649" s="2" t="str">
        <f aca="false">""</f>
        <v/>
      </c>
      <c r="G649" s="2" t="str">
        <f aca="false">IF(2キー同時!$B$162="","",IF(2キー同時!AT164="","",SUBSTITUTE(SUBSTITUTE(2キー同時!AT164," ",""),"　","")))</f>
        <v/>
      </c>
      <c r="H649" s="2" t="str">
        <f aca="false">IF($G649="","",2キー同時!$B$162)</f>
        <v/>
      </c>
      <c r="I649" s="2" t="str">
        <f aca="false">IF($G649="","","-")</f>
        <v/>
      </c>
      <c r="J649" s="2" t="str">
        <f aca="false">""</f>
        <v/>
      </c>
      <c r="K649" s="2" t="str">
        <f aca="false">""</f>
        <v/>
      </c>
      <c r="L649" s="2" t="str">
        <f aca="false">IF($G649="","","同時")</f>
        <v/>
      </c>
      <c r="M649" s="2" t="str">
        <f aca="false">IF($G649="","",IF(ISNA(MATCH($G649,個別指定!$A:$A,0)),"行なし",""))</f>
        <v/>
      </c>
      <c r="N649" s="2" t="str">
        <f aca="false">IF($G649="","",IF(COUNTIF($G$2:$G$4460,$G649)&gt;1,"重複",""))</f>
        <v/>
      </c>
    </row>
    <row r="650" customFormat="false" ht="16.5" hidden="false" customHeight="true" outlineLevel="0" collapsed="false">
      <c r="A650" s="2" t="s">
        <v>385</v>
      </c>
      <c r="B650" s="2" t="s">
        <v>398</v>
      </c>
      <c r="C650" s="2" t="s">
        <v>11</v>
      </c>
      <c r="D650" s="2" t="str">
        <f aca="false">IF(2キー同時!$B$162="","",2キー同時!$B$162)</f>
        <v/>
      </c>
      <c r="E650" s="2" t="str">
        <f aca="false">""</f>
        <v/>
      </c>
      <c r="F650" s="2" t="str">
        <f aca="false">""</f>
        <v/>
      </c>
      <c r="G650" s="2" t="str">
        <f aca="false">IF(2キー同時!$B$162="","",IF(2キー同時!AX164="","",SUBSTITUTE(SUBSTITUTE(2キー同時!AX164," ",""),"　","")))</f>
        <v/>
      </c>
      <c r="H650" s="2" t="str">
        <f aca="false">IF($G650="","",2キー同時!$B$162)</f>
        <v/>
      </c>
      <c r="I650" s="2" t="str">
        <f aca="false">IF($G650="","","=")</f>
        <v/>
      </c>
      <c r="J650" s="2" t="str">
        <f aca="false">""</f>
        <v/>
      </c>
      <c r="K650" s="2" t="str">
        <f aca="false">""</f>
        <v/>
      </c>
      <c r="L650" s="2" t="str">
        <f aca="false">IF($G650="","","同時")</f>
        <v/>
      </c>
      <c r="M650" s="2" t="str">
        <f aca="false">IF($G650="","",IF(ISNA(MATCH($G650,個別指定!$A:$A,0)),"行なし",""))</f>
        <v/>
      </c>
      <c r="N650" s="2" t="str">
        <f aca="false">IF($G650="","",IF(COUNTIF($G$2:$G$4460,$G650)&gt;1,"重複",""))</f>
        <v/>
      </c>
    </row>
    <row r="651" customFormat="false" ht="16.5" hidden="false" customHeight="true" outlineLevel="0" collapsed="false">
      <c r="A651" s="2" t="s">
        <v>385</v>
      </c>
      <c r="B651" s="2" t="s">
        <v>398</v>
      </c>
      <c r="C651" s="2" t="s">
        <v>12</v>
      </c>
      <c r="D651" s="2" t="str">
        <f aca="false">IF(2キー同時!$B$162="","",2キー同時!$B$162)</f>
        <v/>
      </c>
      <c r="E651" s="2" t="str">
        <f aca="false">""</f>
        <v/>
      </c>
      <c r="F651" s="2" t="str">
        <f aca="false">""</f>
        <v/>
      </c>
      <c r="G651" s="2" t="str">
        <f aca="false">IF(2キー同時!$B$162="","",IF(2キー同時!H166="","",SUBSTITUTE(SUBSTITUTE(2キー同時!H166," ",""),"　","")))</f>
        <v/>
      </c>
      <c r="H651" s="2" t="str">
        <f aca="false">IF($G651="","",2キー同時!$B$162)</f>
        <v/>
      </c>
      <c r="I651" s="2" t="str">
        <f aca="false">IF($G651="","","q")</f>
        <v/>
      </c>
      <c r="J651" s="2" t="str">
        <f aca="false">""</f>
        <v/>
      </c>
      <c r="K651" s="2" t="str">
        <f aca="false">""</f>
        <v/>
      </c>
      <c r="L651" s="2" t="str">
        <f aca="false">IF($G651="","","同時")</f>
        <v/>
      </c>
      <c r="M651" s="2" t="str">
        <f aca="false">IF($G651="","",IF(ISNA(MATCH($G651,個別指定!$A:$A,0)),"行なし",""))</f>
        <v/>
      </c>
      <c r="N651" s="2" t="str">
        <f aca="false">IF($G651="","",IF(COUNTIF($G$2:$G$4460,$G651)&gt;1,"重複",""))</f>
        <v/>
      </c>
    </row>
    <row r="652" customFormat="false" ht="16.5" hidden="false" customHeight="true" outlineLevel="0" collapsed="false">
      <c r="A652" s="2" t="s">
        <v>385</v>
      </c>
      <c r="B652" s="2" t="s">
        <v>398</v>
      </c>
      <c r="C652" s="2" t="s">
        <v>13</v>
      </c>
      <c r="D652" s="2" t="str">
        <f aca="false">IF(2キー同時!$B$162="","",2キー同時!$B$162)</f>
        <v/>
      </c>
      <c r="E652" s="2" t="str">
        <f aca="false">""</f>
        <v/>
      </c>
      <c r="F652" s="2" t="str">
        <f aca="false">""</f>
        <v/>
      </c>
      <c r="G652" s="2" t="str">
        <f aca="false">IF(2キー同時!$B$162="","",IF(2キー同時!L166="","",SUBSTITUTE(SUBSTITUTE(2キー同時!L166," ",""),"　","")))</f>
        <v/>
      </c>
      <c r="H652" s="2" t="str">
        <f aca="false">IF($G652="","",2キー同時!$B$162)</f>
        <v/>
      </c>
      <c r="I652" s="2" t="str">
        <f aca="false">IF($G652="","","w")</f>
        <v/>
      </c>
      <c r="J652" s="2" t="str">
        <f aca="false">""</f>
        <v/>
      </c>
      <c r="K652" s="2" t="str">
        <f aca="false">""</f>
        <v/>
      </c>
      <c r="L652" s="2" t="str">
        <f aca="false">IF($G652="","","同時")</f>
        <v/>
      </c>
      <c r="M652" s="2" t="str">
        <f aca="false">IF($G652="","",IF(ISNA(MATCH($G652,個別指定!$A:$A,0)),"行なし",""))</f>
        <v/>
      </c>
      <c r="N652" s="2" t="str">
        <f aca="false">IF($G652="","",IF(COUNTIF($G$2:$G$4460,$G652)&gt;1,"重複",""))</f>
        <v/>
      </c>
    </row>
    <row r="653" customFormat="false" ht="16.5" hidden="false" customHeight="true" outlineLevel="0" collapsed="false">
      <c r="A653" s="2" t="s">
        <v>385</v>
      </c>
      <c r="B653" s="2" t="s">
        <v>398</v>
      </c>
      <c r="C653" s="2" t="s">
        <v>14</v>
      </c>
      <c r="D653" s="2" t="str">
        <f aca="false">IF(2キー同時!$B$162="","",2キー同時!$B$162)</f>
        <v/>
      </c>
      <c r="E653" s="2" t="str">
        <f aca="false">""</f>
        <v/>
      </c>
      <c r="F653" s="2" t="str">
        <f aca="false">""</f>
        <v/>
      </c>
      <c r="G653" s="2" t="str">
        <f aca="false">IF(2キー同時!$B$162="","",IF(2キー同時!P166="","",SUBSTITUTE(SUBSTITUTE(2キー同時!P166," ",""),"　","")))</f>
        <v/>
      </c>
      <c r="H653" s="2" t="str">
        <f aca="false">IF($G653="","",2キー同時!$B$162)</f>
        <v/>
      </c>
      <c r="I653" s="2" t="str">
        <f aca="false">IF($G653="","","e")</f>
        <v/>
      </c>
      <c r="J653" s="2" t="str">
        <f aca="false">""</f>
        <v/>
      </c>
      <c r="K653" s="2" t="str">
        <f aca="false">""</f>
        <v/>
      </c>
      <c r="L653" s="2" t="str">
        <f aca="false">IF($G653="","","同時")</f>
        <v/>
      </c>
      <c r="M653" s="2" t="str">
        <f aca="false">IF($G653="","",IF(ISNA(MATCH($G653,個別指定!$A:$A,0)),"行なし",""))</f>
        <v/>
      </c>
      <c r="N653" s="2" t="str">
        <f aca="false">IF($G653="","",IF(COUNTIF($G$2:$G$4460,$G653)&gt;1,"重複",""))</f>
        <v/>
      </c>
    </row>
    <row r="654" customFormat="false" ht="16.5" hidden="false" customHeight="true" outlineLevel="0" collapsed="false">
      <c r="A654" s="2" t="s">
        <v>385</v>
      </c>
      <c r="B654" s="2" t="s">
        <v>398</v>
      </c>
      <c r="C654" s="2" t="s">
        <v>15</v>
      </c>
      <c r="D654" s="2" t="str">
        <f aca="false">IF(2キー同時!$B$162="","",2キー同時!$B$162)</f>
        <v/>
      </c>
      <c r="E654" s="2" t="str">
        <f aca="false">""</f>
        <v/>
      </c>
      <c r="F654" s="2" t="str">
        <f aca="false">""</f>
        <v/>
      </c>
      <c r="G654" s="2" t="str">
        <f aca="false">IF(2キー同時!$B$162="","",IF(2キー同時!T166="","",SUBSTITUTE(SUBSTITUTE(2キー同時!T166," ",""),"　","")))</f>
        <v/>
      </c>
      <c r="H654" s="2" t="str">
        <f aca="false">IF($G654="","",2キー同時!$B$162)</f>
        <v/>
      </c>
      <c r="I654" s="2" t="str">
        <f aca="false">IF($G654="","","r")</f>
        <v/>
      </c>
      <c r="J654" s="2" t="str">
        <f aca="false">""</f>
        <v/>
      </c>
      <c r="K654" s="2" t="str">
        <f aca="false">""</f>
        <v/>
      </c>
      <c r="L654" s="2" t="str">
        <f aca="false">IF($G654="","","同時")</f>
        <v/>
      </c>
      <c r="M654" s="2" t="str">
        <f aca="false">IF($G654="","",IF(ISNA(MATCH($G654,個別指定!$A:$A,0)),"行なし",""))</f>
        <v/>
      </c>
      <c r="N654" s="2" t="str">
        <f aca="false">IF($G654="","",IF(COUNTIF($G$2:$G$4460,$G654)&gt;1,"重複",""))</f>
        <v/>
      </c>
    </row>
    <row r="655" customFormat="false" ht="16.5" hidden="false" customHeight="true" outlineLevel="0" collapsed="false">
      <c r="A655" s="2" t="s">
        <v>385</v>
      </c>
      <c r="B655" s="2" t="s">
        <v>398</v>
      </c>
      <c r="C655" s="2" t="s">
        <v>16</v>
      </c>
      <c r="D655" s="2" t="str">
        <f aca="false">IF(2キー同時!$B$162="","",2キー同時!$B$162)</f>
        <v/>
      </c>
      <c r="E655" s="2" t="str">
        <f aca="false">""</f>
        <v/>
      </c>
      <c r="F655" s="2" t="str">
        <f aca="false">""</f>
        <v/>
      </c>
      <c r="G655" s="2" t="str">
        <f aca="false">IF(2キー同時!$B$162="","",IF(2キー同時!X166="","",SUBSTITUTE(SUBSTITUTE(2キー同時!X166," ",""),"　","")))</f>
        <v/>
      </c>
      <c r="H655" s="2" t="str">
        <f aca="false">IF($G655="","",2キー同時!$B$162)</f>
        <v/>
      </c>
      <c r="I655" s="2" t="str">
        <f aca="false">IF($G655="","","t")</f>
        <v/>
      </c>
      <c r="J655" s="2" t="str">
        <f aca="false">""</f>
        <v/>
      </c>
      <c r="K655" s="2" t="str">
        <f aca="false">""</f>
        <v/>
      </c>
      <c r="L655" s="2" t="str">
        <f aca="false">IF($G655="","","同時")</f>
        <v/>
      </c>
      <c r="M655" s="2" t="str">
        <f aca="false">IF($G655="","",IF(ISNA(MATCH($G655,個別指定!$A:$A,0)),"行なし",""))</f>
        <v/>
      </c>
      <c r="N655" s="2" t="str">
        <f aca="false">IF($G655="","",IF(COUNTIF($G$2:$G$4460,$G655)&gt;1,"重複",""))</f>
        <v/>
      </c>
    </row>
    <row r="656" customFormat="false" ht="16.5" hidden="false" customHeight="true" outlineLevel="0" collapsed="false">
      <c r="A656" s="2" t="s">
        <v>385</v>
      </c>
      <c r="B656" s="2" t="s">
        <v>398</v>
      </c>
      <c r="C656" s="2" t="s">
        <v>17</v>
      </c>
      <c r="D656" s="2" t="str">
        <f aca="false">IF(2キー同時!$B$162="","",2キー同時!$B$162)</f>
        <v/>
      </c>
      <c r="E656" s="2" t="str">
        <f aca="false">""</f>
        <v/>
      </c>
      <c r="F656" s="2" t="str">
        <f aca="false">""</f>
        <v/>
      </c>
      <c r="G656" s="2" t="str">
        <f aca="false">IF(2キー同時!$B$162="","",IF(2キー同時!AB166="","",SUBSTITUTE(SUBSTITUTE(2キー同時!AB166," ",""),"　","")))</f>
        <v/>
      </c>
      <c r="H656" s="2" t="str">
        <f aca="false">IF($G656="","",2キー同時!$B$162)</f>
        <v/>
      </c>
      <c r="I656" s="2" t="str">
        <f aca="false">IF($G656="","","y")</f>
        <v/>
      </c>
      <c r="J656" s="2" t="str">
        <f aca="false">""</f>
        <v/>
      </c>
      <c r="K656" s="2" t="str">
        <f aca="false">""</f>
        <v/>
      </c>
      <c r="L656" s="2" t="str">
        <f aca="false">IF($G656="","","同時")</f>
        <v/>
      </c>
      <c r="M656" s="2" t="str">
        <f aca="false">IF($G656="","",IF(ISNA(MATCH($G656,個別指定!$A:$A,0)),"行なし",""))</f>
        <v/>
      </c>
      <c r="N656" s="2" t="str">
        <f aca="false">IF($G656="","",IF(COUNTIF($G$2:$G$4460,$G656)&gt;1,"重複",""))</f>
        <v/>
      </c>
    </row>
    <row r="657" customFormat="false" ht="16.5" hidden="false" customHeight="true" outlineLevel="0" collapsed="false">
      <c r="A657" s="2" t="s">
        <v>385</v>
      </c>
      <c r="B657" s="2" t="s">
        <v>398</v>
      </c>
      <c r="C657" s="2" t="s">
        <v>18</v>
      </c>
      <c r="D657" s="2" t="str">
        <f aca="false">IF(2キー同時!$B$162="","",2キー同時!$B$162)</f>
        <v/>
      </c>
      <c r="E657" s="2" t="str">
        <f aca="false">""</f>
        <v/>
      </c>
      <c r="F657" s="2" t="str">
        <f aca="false">""</f>
        <v/>
      </c>
      <c r="G657" s="2" t="str">
        <f aca="false">IF(2キー同時!$B$162="","",IF(2キー同時!AF166="","",SUBSTITUTE(SUBSTITUTE(2キー同時!AF166," ",""),"　","")))</f>
        <v/>
      </c>
      <c r="H657" s="2" t="str">
        <f aca="false">IF($G657="","",2キー同時!$B$162)</f>
        <v/>
      </c>
      <c r="I657" s="2" t="str">
        <f aca="false">IF($G657="","","u")</f>
        <v/>
      </c>
      <c r="J657" s="2" t="str">
        <f aca="false">""</f>
        <v/>
      </c>
      <c r="K657" s="2" t="str">
        <f aca="false">""</f>
        <v/>
      </c>
      <c r="L657" s="2" t="str">
        <f aca="false">IF($G657="","","同時")</f>
        <v/>
      </c>
      <c r="M657" s="2" t="str">
        <f aca="false">IF($G657="","",IF(ISNA(MATCH($G657,個別指定!$A:$A,0)),"行なし",""))</f>
        <v/>
      </c>
      <c r="N657" s="2" t="str">
        <f aca="false">IF($G657="","",IF(COUNTIF($G$2:$G$4460,$G657)&gt;1,"重複",""))</f>
        <v/>
      </c>
    </row>
    <row r="658" customFormat="false" ht="16.5" hidden="false" customHeight="true" outlineLevel="0" collapsed="false">
      <c r="A658" s="2" t="s">
        <v>385</v>
      </c>
      <c r="B658" s="2" t="s">
        <v>398</v>
      </c>
      <c r="C658" s="2" t="s">
        <v>19</v>
      </c>
      <c r="D658" s="2" t="str">
        <f aca="false">IF(2キー同時!$B$162="","",2キー同時!$B$162)</f>
        <v/>
      </c>
      <c r="E658" s="2" t="str">
        <f aca="false">""</f>
        <v/>
      </c>
      <c r="F658" s="2" t="str">
        <f aca="false">""</f>
        <v/>
      </c>
      <c r="G658" s="2" t="str">
        <f aca="false">IF(2キー同時!$B$162="","",IF(2キー同時!AJ166="","",SUBSTITUTE(SUBSTITUTE(2キー同時!AJ166," ",""),"　","")))</f>
        <v/>
      </c>
      <c r="H658" s="2" t="str">
        <f aca="false">IF($G658="","",2キー同時!$B$162)</f>
        <v/>
      </c>
      <c r="I658" s="2" t="str">
        <f aca="false">IF($G658="","","i")</f>
        <v/>
      </c>
      <c r="J658" s="2" t="str">
        <f aca="false">""</f>
        <v/>
      </c>
      <c r="K658" s="2" t="str">
        <f aca="false">""</f>
        <v/>
      </c>
      <c r="L658" s="2" t="str">
        <f aca="false">IF($G658="","","同時")</f>
        <v/>
      </c>
      <c r="M658" s="2" t="str">
        <f aca="false">IF($G658="","",IF(ISNA(MATCH($G658,個別指定!$A:$A,0)),"行なし",""))</f>
        <v/>
      </c>
      <c r="N658" s="2" t="str">
        <f aca="false">IF($G658="","",IF(COUNTIF($G$2:$G$4460,$G658)&gt;1,"重複",""))</f>
        <v/>
      </c>
    </row>
    <row r="659" customFormat="false" ht="16.5" hidden="false" customHeight="true" outlineLevel="0" collapsed="false">
      <c r="A659" s="2" t="s">
        <v>385</v>
      </c>
      <c r="B659" s="2" t="s">
        <v>398</v>
      </c>
      <c r="C659" s="2" t="s">
        <v>20</v>
      </c>
      <c r="D659" s="2" t="str">
        <f aca="false">IF(2キー同時!$B$162="","",2キー同時!$B$162)</f>
        <v/>
      </c>
      <c r="E659" s="2" t="str">
        <f aca="false">""</f>
        <v/>
      </c>
      <c r="F659" s="2" t="str">
        <f aca="false">""</f>
        <v/>
      </c>
      <c r="G659" s="2" t="str">
        <f aca="false">IF(2キー同時!$B$162="","",IF(2キー同時!AN166="","",SUBSTITUTE(SUBSTITUTE(2キー同時!AN166," ",""),"　","")))</f>
        <v/>
      </c>
      <c r="H659" s="2" t="str">
        <f aca="false">IF($G659="","",2キー同時!$B$162)</f>
        <v/>
      </c>
      <c r="I659" s="2" t="str">
        <f aca="false">IF($G659="","","o")</f>
        <v/>
      </c>
      <c r="J659" s="2" t="str">
        <f aca="false">""</f>
        <v/>
      </c>
      <c r="K659" s="2" t="str">
        <f aca="false">""</f>
        <v/>
      </c>
      <c r="L659" s="2" t="str">
        <f aca="false">IF($G659="","","同時")</f>
        <v/>
      </c>
      <c r="M659" s="2" t="str">
        <f aca="false">IF($G659="","",IF(ISNA(MATCH($G659,個別指定!$A:$A,0)),"行なし",""))</f>
        <v/>
      </c>
      <c r="N659" s="2" t="str">
        <f aca="false">IF($G659="","",IF(COUNTIF($G$2:$G$4460,$G659)&gt;1,"重複",""))</f>
        <v/>
      </c>
    </row>
    <row r="660" customFormat="false" ht="16.5" hidden="false" customHeight="true" outlineLevel="0" collapsed="false">
      <c r="A660" s="2" t="s">
        <v>385</v>
      </c>
      <c r="B660" s="2" t="s">
        <v>398</v>
      </c>
      <c r="C660" s="2" t="s">
        <v>21</v>
      </c>
      <c r="D660" s="2" t="str">
        <f aca="false">IF(2キー同時!$B$162="","",2キー同時!$B$162)</f>
        <v/>
      </c>
      <c r="E660" s="2" t="str">
        <f aca="false">""</f>
        <v/>
      </c>
      <c r="F660" s="2" t="str">
        <f aca="false">""</f>
        <v/>
      </c>
      <c r="G660" s="2" t="str">
        <f aca="false">IF(2キー同時!$B$162="","",IF(2キー同時!AR166="","",SUBSTITUTE(SUBSTITUTE(2キー同時!AR166," ",""),"　","")))</f>
        <v/>
      </c>
      <c r="H660" s="2" t="str">
        <f aca="false">IF($G660="","",2キー同時!$B$162)</f>
        <v/>
      </c>
      <c r="I660" s="2" t="str">
        <f aca="false">IF($G660="","","p")</f>
        <v/>
      </c>
      <c r="J660" s="2" t="str">
        <f aca="false">""</f>
        <v/>
      </c>
      <c r="K660" s="2" t="str">
        <f aca="false">""</f>
        <v/>
      </c>
      <c r="L660" s="2" t="str">
        <f aca="false">IF($G660="","","同時")</f>
        <v/>
      </c>
      <c r="M660" s="2" t="str">
        <f aca="false">IF($G660="","",IF(ISNA(MATCH($G660,個別指定!$A:$A,0)),"行なし",""))</f>
        <v/>
      </c>
      <c r="N660" s="2" t="str">
        <f aca="false">IF($G660="","",IF(COUNTIF($G$2:$G$4460,$G660)&gt;1,"重複",""))</f>
        <v/>
      </c>
    </row>
    <row r="661" customFormat="false" ht="16.5" hidden="false" customHeight="true" outlineLevel="0" collapsed="false">
      <c r="A661" s="2" t="s">
        <v>385</v>
      </c>
      <c r="B661" s="2" t="s">
        <v>398</v>
      </c>
      <c r="C661" s="2" t="s">
        <v>22</v>
      </c>
      <c r="D661" s="2" t="str">
        <f aca="false">IF(2キー同時!$B$162="","",2キー同時!$B$162)</f>
        <v/>
      </c>
      <c r="E661" s="2" t="str">
        <f aca="false">""</f>
        <v/>
      </c>
      <c r="F661" s="2" t="str">
        <f aca="false">""</f>
        <v/>
      </c>
      <c r="G661" s="2" t="str">
        <f aca="false">IF(2キー同時!$B$162="","",IF(2キー同時!AV166="","",SUBSTITUTE(SUBSTITUTE(2キー同時!AV166," ",""),"　","")))</f>
        <v/>
      </c>
      <c r="H661" s="2" t="str">
        <f aca="false">IF($G661="","",2キー同時!$B$162)</f>
        <v/>
      </c>
      <c r="I661" s="2" t="str">
        <f aca="false">IF($G661="","","[")</f>
        <v/>
      </c>
      <c r="J661" s="2" t="str">
        <f aca="false">""</f>
        <v/>
      </c>
      <c r="K661" s="2" t="str">
        <f aca="false">""</f>
        <v/>
      </c>
      <c r="L661" s="2" t="str">
        <f aca="false">IF($G661="","","同時")</f>
        <v/>
      </c>
      <c r="M661" s="2" t="str">
        <f aca="false">IF($G661="","",IF(ISNA(MATCH($G661,個別指定!$A:$A,0)),"行なし",""))</f>
        <v/>
      </c>
      <c r="N661" s="2" t="str">
        <f aca="false">IF($G661="","",IF(COUNTIF($G$2:$G$4460,$G661)&gt;1,"重複",""))</f>
        <v/>
      </c>
    </row>
    <row r="662" customFormat="false" ht="16.5" hidden="false" customHeight="true" outlineLevel="0" collapsed="false">
      <c r="A662" s="2" t="s">
        <v>385</v>
      </c>
      <c r="B662" s="2" t="s">
        <v>398</v>
      </c>
      <c r="C662" s="2" t="s">
        <v>23</v>
      </c>
      <c r="D662" s="2" t="str">
        <f aca="false">IF(2キー同時!$B$162="","",2キー同時!$B$162)</f>
        <v/>
      </c>
      <c r="E662" s="2" t="str">
        <f aca="false">""</f>
        <v/>
      </c>
      <c r="F662" s="2" t="str">
        <f aca="false">""</f>
        <v/>
      </c>
      <c r="G662" s="2" t="str">
        <f aca="false">IF(2キー同時!$B$162="","",IF(2キー同時!AZ166="","",SUBSTITUTE(SUBSTITUTE(2キー同時!AZ166," ",""),"　","")))</f>
        <v/>
      </c>
      <c r="H662" s="2" t="str">
        <f aca="false">IF($G662="","",2キー同時!$B$162)</f>
        <v/>
      </c>
      <c r="I662" s="2" t="str">
        <f aca="false">IF($G662="","","]")</f>
        <v/>
      </c>
      <c r="J662" s="2" t="str">
        <f aca="false">""</f>
        <v/>
      </c>
      <c r="K662" s="2" t="str">
        <f aca="false">""</f>
        <v/>
      </c>
      <c r="L662" s="2" t="str">
        <f aca="false">IF($G662="","","同時")</f>
        <v/>
      </c>
      <c r="M662" s="2" t="str">
        <f aca="false">IF($G662="","",IF(ISNA(MATCH($G662,個別指定!$A:$A,0)),"行なし",""))</f>
        <v/>
      </c>
      <c r="N662" s="2" t="str">
        <f aca="false">IF($G662="","",IF(COUNTIF($G$2:$G$4460,$G662)&gt;1,"重複",""))</f>
        <v/>
      </c>
    </row>
    <row r="663" customFormat="false" ht="16.5" hidden="false" customHeight="true" outlineLevel="0" collapsed="false">
      <c r="A663" s="2" t="s">
        <v>385</v>
      </c>
      <c r="B663" s="2" t="s">
        <v>398</v>
      </c>
      <c r="C663" s="2" t="s">
        <v>24</v>
      </c>
      <c r="D663" s="2" t="str">
        <f aca="false">IF(2キー同時!$B$162="","",2キー同時!$B$162)</f>
        <v/>
      </c>
      <c r="E663" s="2" t="str">
        <f aca="false">""</f>
        <v/>
      </c>
      <c r="F663" s="2" t="str">
        <f aca="false">""</f>
        <v/>
      </c>
      <c r="G663" s="2" t="str">
        <f aca="false">IF(2キー同時!$B$162="","",IF(2キー同時!I168="","",SUBSTITUTE(SUBSTITUTE(2キー同時!I168," ",""),"　","")))</f>
        <v/>
      </c>
      <c r="H663" s="2" t="str">
        <f aca="false">IF($G663="","",2キー同時!$B$162)</f>
        <v/>
      </c>
      <c r="I663" s="2" t="str">
        <f aca="false">IF($G663="","","a")</f>
        <v/>
      </c>
      <c r="J663" s="2" t="str">
        <f aca="false">""</f>
        <v/>
      </c>
      <c r="K663" s="2" t="str">
        <f aca="false">""</f>
        <v/>
      </c>
      <c r="L663" s="2" t="str">
        <f aca="false">IF($G663="","","同時")</f>
        <v/>
      </c>
      <c r="M663" s="2" t="str">
        <f aca="false">IF($G663="","",IF(ISNA(MATCH($G663,個別指定!$A:$A,0)),"行なし",""))</f>
        <v/>
      </c>
      <c r="N663" s="2" t="str">
        <f aca="false">IF($G663="","",IF(COUNTIF($G$2:$G$4460,$G663)&gt;1,"重複",""))</f>
        <v/>
      </c>
    </row>
    <row r="664" customFormat="false" ht="16.5" hidden="false" customHeight="true" outlineLevel="0" collapsed="false">
      <c r="A664" s="2" t="s">
        <v>385</v>
      </c>
      <c r="B664" s="2" t="s">
        <v>398</v>
      </c>
      <c r="C664" s="2" t="s">
        <v>25</v>
      </c>
      <c r="D664" s="2" t="str">
        <f aca="false">IF(2キー同時!$B$162="","",2キー同時!$B$162)</f>
        <v/>
      </c>
      <c r="E664" s="2" t="str">
        <f aca="false">""</f>
        <v/>
      </c>
      <c r="F664" s="2" t="str">
        <f aca="false">""</f>
        <v/>
      </c>
      <c r="G664" s="2" t="str">
        <f aca="false">IF(2キー同時!$B$162="","",IF(2キー同時!M168="","",SUBSTITUTE(SUBSTITUTE(2キー同時!M168," ",""),"　","")))</f>
        <v/>
      </c>
      <c r="H664" s="2" t="str">
        <f aca="false">IF($G664="","",2キー同時!$B$162)</f>
        <v/>
      </c>
      <c r="I664" s="2" t="str">
        <f aca="false">IF($G664="","","s")</f>
        <v/>
      </c>
      <c r="J664" s="2" t="str">
        <f aca="false">""</f>
        <v/>
      </c>
      <c r="K664" s="2" t="str">
        <f aca="false">""</f>
        <v/>
      </c>
      <c r="L664" s="2" t="str">
        <f aca="false">IF($G664="","","同時")</f>
        <v/>
      </c>
      <c r="M664" s="2" t="str">
        <f aca="false">IF($G664="","",IF(ISNA(MATCH($G664,個別指定!$A:$A,0)),"行なし",""))</f>
        <v/>
      </c>
      <c r="N664" s="2" t="str">
        <f aca="false">IF($G664="","",IF(COUNTIF($G$2:$G$4460,$G664)&gt;1,"重複",""))</f>
        <v/>
      </c>
    </row>
    <row r="665" customFormat="false" ht="16.5" hidden="false" customHeight="true" outlineLevel="0" collapsed="false">
      <c r="A665" s="2" t="s">
        <v>385</v>
      </c>
      <c r="B665" s="2" t="s">
        <v>398</v>
      </c>
      <c r="C665" s="2" t="s">
        <v>26</v>
      </c>
      <c r="D665" s="2" t="str">
        <f aca="false">IF(2キー同時!$B$162="","",2キー同時!$B$162)</f>
        <v/>
      </c>
      <c r="E665" s="2" t="str">
        <f aca="false">""</f>
        <v/>
      </c>
      <c r="F665" s="2" t="str">
        <f aca="false">""</f>
        <v/>
      </c>
      <c r="G665" s="2" t="str">
        <f aca="false">IF(2キー同時!$B$162="","",IF(2キー同時!Q168="","",SUBSTITUTE(SUBSTITUTE(2キー同時!Q168," ",""),"　","")))</f>
        <v/>
      </c>
      <c r="H665" s="2" t="str">
        <f aca="false">IF($G665="","",2キー同時!$B$162)</f>
        <v/>
      </c>
      <c r="I665" s="2" t="str">
        <f aca="false">IF($G665="","","d")</f>
        <v/>
      </c>
      <c r="J665" s="2" t="str">
        <f aca="false">""</f>
        <v/>
      </c>
      <c r="K665" s="2" t="str">
        <f aca="false">""</f>
        <v/>
      </c>
      <c r="L665" s="2" t="str">
        <f aca="false">IF($G665="","","同時")</f>
        <v/>
      </c>
      <c r="M665" s="2" t="str">
        <f aca="false">IF($G665="","",IF(ISNA(MATCH($G665,個別指定!$A:$A,0)),"行なし",""))</f>
        <v/>
      </c>
      <c r="N665" s="2" t="str">
        <f aca="false">IF($G665="","",IF(COUNTIF($G$2:$G$4460,$G665)&gt;1,"重複",""))</f>
        <v/>
      </c>
    </row>
    <row r="666" customFormat="false" ht="16.5" hidden="false" customHeight="true" outlineLevel="0" collapsed="false">
      <c r="A666" s="2" t="s">
        <v>385</v>
      </c>
      <c r="B666" s="2" t="s">
        <v>398</v>
      </c>
      <c r="C666" s="2" t="s">
        <v>27</v>
      </c>
      <c r="D666" s="2" t="str">
        <f aca="false">IF(2キー同時!$B$162="","",2キー同時!$B$162)</f>
        <v/>
      </c>
      <c r="E666" s="2" t="str">
        <f aca="false">""</f>
        <v/>
      </c>
      <c r="F666" s="2" t="str">
        <f aca="false">""</f>
        <v/>
      </c>
      <c r="G666" s="2" t="str">
        <f aca="false">IF(2キー同時!$B$162="","",IF(2キー同時!U168="","",SUBSTITUTE(SUBSTITUTE(2キー同時!U168," ",""),"　","")))</f>
        <v/>
      </c>
      <c r="H666" s="2" t="str">
        <f aca="false">IF($G666="","",2キー同時!$B$162)</f>
        <v/>
      </c>
      <c r="I666" s="2" t="str">
        <f aca="false">IF($G666="","","f")</f>
        <v/>
      </c>
      <c r="J666" s="2" t="str">
        <f aca="false">""</f>
        <v/>
      </c>
      <c r="K666" s="2" t="str">
        <f aca="false">""</f>
        <v/>
      </c>
      <c r="L666" s="2" t="str">
        <f aca="false">IF($G666="","","同時")</f>
        <v/>
      </c>
      <c r="M666" s="2" t="str">
        <f aca="false">IF($G666="","",IF(ISNA(MATCH($G666,個別指定!$A:$A,0)),"行なし",""))</f>
        <v/>
      </c>
      <c r="N666" s="2" t="str">
        <f aca="false">IF($G666="","",IF(COUNTIF($G$2:$G$4460,$G666)&gt;1,"重複",""))</f>
        <v/>
      </c>
    </row>
    <row r="667" customFormat="false" ht="16.5" hidden="false" customHeight="true" outlineLevel="0" collapsed="false">
      <c r="A667" s="2" t="s">
        <v>385</v>
      </c>
      <c r="B667" s="2" t="s">
        <v>398</v>
      </c>
      <c r="C667" s="2" t="s">
        <v>28</v>
      </c>
      <c r="D667" s="2" t="str">
        <f aca="false">IF(2キー同時!$B$162="","",2キー同時!$B$162)</f>
        <v/>
      </c>
      <c r="E667" s="2" t="str">
        <f aca="false">""</f>
        <v/>
      </c>
      <c r="F667" s="2" t="str">
        <f aca="false">""</f>
        <v/>
      </c>
      <c r="G667" s="2" t="str">
        <f aca="false">IF(2キー同時!$B$162="","",IF(2キー同時!Y168="","",SUBSTITUTE(SUBSTITUTE(2キー同時!Y168," ",""),"　","")))</f>
        <v/>
      </c>
      <c r="H667" s="2" t="str">
        <f aca="false">IF($G667="","",2キー同時!$B$162)</f>
        <v/>
      </c>
      <c r="I667" s="2" t="str">
        <f aca="false">IF($G667="","","g")</f>
        <v/>
      </c>
      <c r="J667" s="2" t="str">
        <f aca="false">""</f>
        <v/>
      </c>
      <c r="K667" s="2" t="str">
        <f aca="false">""</f>
        <v/>
      </c>
      <c r="L667" s="2" t="str">
        <f aca="false">IF($G667="","","同時")</f>
        <v/>
      </c>
      <c r="M667" s="2" t="str">
        <f aca="false">IF($G667="","",IF(ISNA(MATCH($G667,個別指定!$A:$A,0)),"行なし",""))</f>
        <v/>
      </c>
      <c r="N667" s="2" t="str">
        <f aca="false">IF($G667="","",IF(COUNTIF($G$2:$G$4460,$G667)&gt;1,"重複",""))</f>
        <v/>
      </c>
    </row>
    <row r="668" customFormat="false" ht="16.5" hidden="false" customHeight="true" outlineLevel="0" collapsed="false">
      <c r="A668" s="2" t="s">
        <v>385</v>
      </c>
      <c r="B668" s="2" t="s">
        <v>398</v>
      </c>
      <c r="C668" s="2" t="s">
        <v>29</v>
      </c>
      <c r="D668" s="2" t="str">
        <f aca="false">IF(2キー同時!$B$162="","",2キー同時!$B$162)</f>
        <v/>
      </c>
      <c r="E668" s="2" t="str">
        <f aca="false">""</f>
        <v/>
      </c>
      <c r="F668" s="2" t="str">
        <f aca="false">""</f>
        <v/>
      </c>
      <c r="G668" s="2" t="str">
        <f aca="false">IF(2キー同時!$B$162="","",IF(2キー同時!AC168="","",SUBSTITUTE(SUBSTITUTE(2キー同時!AC168," ",""),"　","")))</f>
        <v/>
      </c>
      <c r="H668" s="2" t="str">
        <f aca="false">IF($G668="","",2キー同時!$B$162)</f>
        <v/>
      </c>
      <c r="I668" s="2" t="str">
        <f aca="false">IF($G668="","","h")</f>
        <v/>
      </c>
      <c r="J668" s="2" t="str">
        <f aca="false">""</f>
        <v/>
      </c>
      <c r="K668" s="2" t="str">
        <f aca="false">""</f>
        <v/>
      </c>
      <c r="L668" s="2" t="str">
        <f aca="false">IF($G668="","","同時")</f>
        <v/>
      </c>
      <c r="M668" s="2" t="str">
        <f aca="false">IF($G668="","",IF(ISNA(MATCH($G668,個別指定!$A:$A,0)),"行なし",""))</f>
        <v/>
      </c>
      <c r="N668" s="2" t="str">
        <f aca="false">IF($G668="","",IF(COUNTIF($G$2:$G$4460,$G668)&gt;1,"重複",""))</f>
        <v/>
      </c>
    </row>
    <row r="669" customFormat="false" ht="16.5" hidden="false" customHeight="true" outlineLevel="0" collapsed="false">
      <c r="A669" s="2" t="s">
        <v>385</v>
      </c>
      <c r="B669" s="2" t="s">
        <v>398</v>
      </c>
      <c r="C669" s="2" t="s">
        <v>30</v>
      </c>
      <c r="D669" s="2" t="str">
        <f aca="false">IF(2キー同時!$B$162="","",2キー同時!$B$162)</f>
        <v/>
      </c>
      <c r="E669" s="2" t="str">
        <f aca="false">""</f>
        <v/>
      </c>
      <c r="F669" s="2" t="str">
        <f aca="false">""</f>
        <v/>
      </c>
      <c r="G669" s="2" t="str">
        <f aca="false">IF(2キー同時!$B$162="","",IF(2キー同時!AG168="","",SUBSTITUTE(SUBSTITUTE(2キー同時!AG168," ",""),"　","")))</f>
        <v/>
      </c>
      <c r="H669" s="2" t="str">
        <f aca="false">IF($G669="","",2キー同時!$B$162)</f>
        <v/>
      </c>
      <c r="I669" s="2" t="str">
        <f aca="false">IF($G669="","","j")</f>
        <v/>
      </c>
      <c r="J669" s="2" t="str">
        <f aca="false">""</f>
        <v/>
      </c>
      <c r="K669" s="2" t="str">
        <f aca="false">""</f>
        <v/>
      </c>
      <c r="L669" s="2" t="str">
        <f aca="false">IF($G669="","","同時")</f>
        <v/>
      </c>
      <c r="M669" s="2" t="str">
        <f aca="false">IF($G669="","",IF(ISNA(MATCH($G669,個別指定!$A:$A,0)),"行なし",""))</f>
        <v/>
      </c>
      <c r="N669" s="2" t="str">
        <f aca="false">IF($G669="","",IF(COUNTIF($G$2:$G$4460,$G669)&gt;1,"重複",""))</f>
        <v/>
      </c>
    </row>
    <row r="670" customFormat="false" ht="16.5" hidden="false" customHeight="true" outlineLevel="0" collapsed="false">
      <c r="A670" s="2" t="s">
        <v>385</v>
      </c>
      <c r="B670" s="2" t="s">
        <v>398</v>
      </c>
      <c r="C670" s="2" t="s">
        <v>31</v>
      </c>
      <c r="D670" s="2" t="str">
        <f aca="false">IF(2キー同時!$B$162="","",2キー同時!$B$162)</f>
        <v/>
      </c>
      <c r="E670" s="2" t="str">
        <f aca="false">""</f>
        <v/>
      </c>
      <c r="F670" s="2" t="str">
        <f aca="false">""</f>
        <v/>
      </c>
      <c r="G670" s="2" t="str">
        <f aca="false">IF(2キー同時!$B$162="","",IF(2キー同時!AK168="","",SUBSTITUTE(SUBSTITUTE(2キー同時!AK168," ",""),"　","")))</f>
        <v/>
      </c>
      <c r="H670" s="2" t="str">
        <f aca="false">IF($G670="","",2キー同時!$B$162)</f>
        <v/>
      </c>
      <c r="I670" s="2" t="str">
        <f aca="false">IF($G670="","","k")</f>
        <v/>
      </c>
      <c r="J670" s="2" t="str">
        <f aca="false">""</f>
        <v/>
      </c>
      <c r="K670" s="2" t="str">
        <f aca="false">""</f>
        <v/>
      </c>
      <c r="L670" s="2" t="str">
        <f aca="false">IF($G670="","","同時")</f>
        <v/>
      </c>
      <c r="M670" s="2" t="str">
        <f aca="false">IF($G670="","",IF(ISNA(MATCH($G670,個別指定!$A:$A,0)),"行なし",""))</f>
        <v/>
      </c>
      <c r="N670" s="2" t="str">
        <f aca="false">IF($G670="","",IF(COUNTIF($G$2:$G$4460,$G670)&gt;1,"重複",""))</f>
        <v/>
      </c>
    </row>
    <row r="671" customFormat="false" ht="16.5" hidden="false" customHeight="true" outlineLevel="0" collapsed="false">
      <c r="A671" s="2" t="s">
        <v>385</v>
      </c>
      <c r="B671" s="2" t="s">
        <v>398</v>
      </c>
      <c r="C671" s="2" t="s">
        <v>32</v>
      </c>
      <c r="D671" s="2" t="str">
        <f aca="false">IF(2キー同時!$B$162="","",2キー同時!$B$162)</f>
        <v/>
      </c>
      <c r="E671" s="2" t="str">
        <f aca="false">""</f>
        <v/>
      </c>
      <c r="F671" s="2" t="str">
        <f aca="false">""</f>
        <v/>
      </c>
      <c r="G671" s="2" t="str">
        <f aca="false">IF(2キー同時!$B$162="","",IF(2キー同時!AO168="","",SUBSTITUTE(SUBSTITUTE(2キー同時!AO168," ",""),"　","")))</f>
        <v/>
      </c>
      <c r="H671" s="2" t="str">
        <f aca="false">IF($G671="","",2キー同時!$B$162)</f>
        <v/>
      </c>
      <c r="I671" s="2" t="str">
        <f aca="false">IF($G671="","","l")</f>
        <v/>
      </c>
      <c r="J671" s="2" t="str">
        <f aca="false">""</f>
        <v/>
      </c>
      <c r="K671" s="2" t="str">
        <f aca="false">""</f>
        <v/>
      </c>
      <c r="L671" s="2" t="str">
        <f aca="false">IF($G671="","","同時")</f>
        <v/>
      </c>
      <c r="M671" s="2" t="str">
        <f aca="false">IF($G671="","",IF(ISNA(MATCH($G671,個別指定!$A:$A,0)),"行なし",""))</f>
        <v/>
      </c>
      <c r="N671" s="2" t="str">
        <f aca="false">IF($G671="","",IF(COUNTIF($G$2:$G$4460,$G671)&gt;1,"重複",""))</f>
        <v/>
      </c>
    </row>
    <row r="672" customFormat="false" ht="16.5" hidden="false" customHeight="true" outlineLevel="0" collapsed="false">
      <c r="A672" s="2" t="s">
        <v>385</v>
      </c>
      <c r="B672" s="2" t="s">
        <v>398</v>
      </c>
      <c r="C672" s="2" t="s">
        <v>33</v>
      </c>
      <c r="D672" s="2" t="str">
        <f aca="false">IF(2キー同時!$B$162="","",2キー同時!$B$162)</f>
        <v/>
      </c>
      <c r="E672" s="2" t="str">
        <f aca="false">""</f>
        <v/>
      </c>
      <c r="F672" s="2" t="str">
        <f aca="false">""</f>
        <v/>
      </c>
      <c r="G672" s="2" t="str">
        <f aca="false">IF(2キー同時!$B$162="","",IF(2キー同時!AS168="","",SUBSTITUTE(SUBSTITUTE(2キー同時!AS168," ",""),"　","")))</f>
        <v/>
      </c>
      <c r="H672" s="2" t="str">
        <f aca="false">IF($G672="","",2キー同時!$B$162)</f>
        <v/>
      </c>
      <c r="I672" s="2" t="str">
        <f aca="false">IF($G672="","",";")</f>
        <v/>
      </c>
      <c r="J672" s="2" t="str">
        <f aca="false">""</f>
        <v/>
      </c>
      <c r="K672" s="2" t="str">
        <f aca="false">""</f>
        <v/>
      </c>
      <c r="L672" s="2" t="str">
        <f aca="false">IF($G672="","","同時")</f>
        <v/>
      </c>
      <c r="M672" s="2" t="str">
        <f aca="false">IF($G672="","",IF(ISNA(MATCH($G672,個別指定!$A:$A,0)),"行なし",""))</f>
        <v/>
      </c>
      <c r="N672" s="2" t="str">
        <f aca="false">IF($G672="","",IF(COUNTIF($G$2:$G$4460,$G672)&gt;1,"重複",""))</f>
        <v/>
      </c>
    </row>
    <row r="673" customFormat="false" ht="16.5" hidden="false" customHeight="true" outlineLevel="0" collapsed="false">
      <c r="A673" s="2" t="s">
        <v>385</v>
      </c>
      <c r="B673" s="2" t="s">
        <v>398</v>
      </c>
      <c r="C673" s="2" t="s">
        <v>34</v>
      </c>
      <c r="D673" s="2" t="str">
        <f aca="false">IF(2キー同時!$B$162="","",2キー同時!$B$162)</f>
        <v/>
      </c>
      <c r="E673" s="2" t="str">
        <f aca="false">""</f>
        <v/>
      </c>
      <c r="F673" s="2" t="str">
        <f aca="false">""</f>
        <v/>
      </c>
      <c r="G673" s="2" t="str">
        <f aca="false">IF(2キー同時!$B$162="","",IF(2キー同時!AW168="","",SUBSTITUTE(SUBSTITUTE(2キー同時!AW168," ",""),"　","")))</f>
        <v/>
      </c>
      <c r="H673" s="2" t="str">
        <f aca="false">IF($G673="","",2キー同時!$B$162)</f>
        <v/>
      </c>
      <c r="I673" s="2" t="str">
        <f aca="false">IF($G673="","","'")</f>
        <v/>
      </c>
      <c r="J673" s="2" t="str">
        <f aca="false">""</f>
        <v/>
      </c>
      <c r="K673" s="2" t="str">
        <f aca="false">""</f>
        <v/>
      </c>
      <c r="L673" s="2" t="str">
        <f aca="false">IF($G673="","","同時")</f>
        <v/>
      </c>
      <c r="M673" s="2" t="str">
        <f aca="false">IF($G673="","",IF(ISNA(MATCH($G673,個別指定!$A:$A,0)),"行なし",""))</f>
        <v/>
      </c>
      <c r="N673" s="2" t="str">
        <f aca="false">IF($G673="","",IF(COUNTIF($G$2:$G$4460,$G673)&gt;1,"重複",""))</f>
        <v/>
      </c>
    </row>
    <row r="674" customFormat="false" ht="16.5" hidden="false" customHeight="true" outlineLevel="0" collapsed="false">
      <c r="A674" s="2" t="s">
        <v>385</v>
      </c>
      <c r="B674" s="2" t="s">
        <v>398</v>
      </c>
      <c r="C674" s="2" t="s">
        <v>35</v>
      </c>
      <c r="D674" s="2" t="str">
        <f aca="false">IF(2キー同時!$B$162="","",2キー同時!$B$162)</f>
        <v/>
      </c>
      <c r="E674" s="2" t="str">
        <f aca="false">""</f>
        <v/>
      </c>
      <c r="F674" s="2" t="str">
        <f aca="false">""</f>
        <v/>
      </c>
      <c r="G674" s="2" t="str">
        <f aca="false">IF(2キー同時!$B$162="","",IF(2キー同時!K170="","",SUBSTITUTE(SUBSTITUTE(2キー同時!K170," ",""),"　","")))</f>
        <v/>
      </c>
      <c r="H674" s="2" t="str">
        <f aca="false">IF($G674="","",2キー同時!$B$162)</f>
        <v/>
      </c>
      <c r="I674" s="2" t="str">
        <f aca="false">IF($G674="","","z")</f>
        <v/>
      </c>
      <c r="J674" s="2" t="str">
        <f aca="false">""</f>
        <v/>
      </c>
      <c r="K674" s="2" t="str">
        <f aca="false">""</f>
        <v/>
      </c>
      <c r="L674" s="2" t="str">
        <f aca="false">IF($G674="","","同時")</f>
        <v/>
      </c>
      <c r="M674" s="2" t="str">
        <f aca="false">IF($G674="","",IF(ISNA(MATCH($G674,個別指定!$A:$A,0)),"行なし",""))</f>
        <v/>
      </c>
      <c r="N674" s="2" t="str">
        <f aca="false">IF($G674="","",IF(COUNTIF($G$2:$G$4460,$G674)&gt;1,"重複",""))</f>
        <v/>
      </c>
    </row>
    <row r="675" customFormat="false" ht="16.5" hidden="false" customHeight="true" outlineLevel="0" collapsed="false">
      <c r="A675" s="2" t="s">
        <v>385</v>
      </c>
      <c r="B675" s="2" t="s">
        <v>398</v>
      </c>
      <c r="C675" s="2" t="s">
        <v>36</v>
      </c>
      <c r="D675" s="2" t="str">
        <f aca="false">IF(2キー同時!$B$162="","",2キー同時!$B$162)</f>
        <v/>
      </c>
      <c r="E675" s="2" t="str">
        <f aca="false">""</f>
        <v/>
      </c>
      <c r="F675" s="2" t="str">
        <f aca="false">""</f>
        <v/>
      </c>
      <c r="G675" s="2" t="str">
        <f aca="false">IF(2キー同時!$B$162="","",IF(2キー同時!O170="","",SUBSTITUTE(SUBSTITUTE(2キー同時!O170," ",""),"　","")))</f>
        <v/>
      </c>
      <c r="H675" s="2" t="str">
        <f aca="false">IF($G675="","",2キー同時!$B$162)</f>
        <v/>
      </c>
      <c r="I675" s="2" t="str">
        <f aca="false">IF($G675="","","x")</f>
        <v/>
      </c>
      <c r="J675" s="2" t="str">
        <f aca="false">""</f>
        <v/>
      </c>
      <c r="K675" s="2" t="str">
        <f aca="false">""</f>
        <v/>
      </c>
      <c r="L675" s="2" t="str">
        <f aca="false">IF($G675="","","同時")</f>
        <v/>
      </c>
      <c r="M675" s="2" t="str">
        <f aca="false">IF($G675="","",IF(ISNA(MATCH($G675,個別指定!$A:$A,0)),"行なし",""))</f>
        <v/>
      </c>
      <c r="N675" s="2" t="str">
        <f aca="false">IF($G675="","",IF(COUNTIF($G$2:$G$4460,$G675)&gt;1,"重複",""))</f>
        <v/>
      </c>
    </row>
    <row r="676" customFormat="false" ht="16.5" hidden="false" customHeight="true" outlineLevel="0" collapsed="false">
      <c r="A676" s="2" t="s">
        <v>385</v>
      </c>
      <c r="B676" s="2" t="s">
        <v>398</v>
      </c>
      <c r="C676" s="2" t="s">
        <v>37</v>
      </c>
      <c r="D676" s="2" t="str">
        <f aca="false">IF(2キー同時!$B$162="","",2キー同時!$B$162)</f>
        <v/>
      </c>
      <c r="E676" s="2" t="str">
        <f aca="false">""</f>
        <v/>
      </c>
      <c r="F676" s="2" t="str">
        <f aca="false">""</f>
        <v/>
      </c>
      <c r="G676" s="2" t="str">
        <f aca="false">IF(2キー同時!$B$162="","",IF(2キー同時!S170="","",SUBSTITUTE(SUBSTITUTE(2キー同時!S170," ",""),"　","")))</f>
        <v/>
      </c>
      <c r="H676" s="2" t="str">
        <f aca="false">IF($G676="","",2キー同時!$B$162)</f>
        <v/>
      </c>
      <c r="I676" s="2" t="str">
        <f aca="false">IF($G676="","","c")</f>
        <v/>
      </c>
      <c r="J676" s="2" t="str">
        <f aca="false">""</f>
        <v/>
      </c>
      <c r="K676" s="2" t="str">
        <f aca="false">""</f>
        <v/>
      </c>
      <c r="L676" s="2" t="str">
        <f aca="false">IF($G676="","","同時")</f>
        <v/>
      </c>
      <c r="M676" s="2" t="str">
        <f aca="false">IF($G676="","",IF(ISNA(MATCH($G676,個別指定!$A:$A,0)),"行なし",""))</f>
        <v/>
      </c>
      <c r="N676" s="2" t="str">
        <f aca="false">IF($G676="","",IF(COUNTIF($G$2:$G$4460,$G676)&gt;1,"重複",""))</f>
        <v/>
      </c>
    </row>
    <row r="677" customFormat="false" ht="16.5" hidden="false" customHeight="true" outlineLevel="0" collapsed="false">
      <c r="A677" s="2" t="s">
        <v>385</v>
      </c>
      <c r="B677" s="2" t="s">
        <v>398</v>
      </c>
      <c r="C677" s="2" t="s">
        <v>38</v>
      </c>
      <c r="D677" s="2" t="str">
        <f aca="false">IF(2キー同時!$B$162="","",2キー同時!$B$162)</f>
        <v/>
      </c>
      <c r="E677" s="2" t="str">
        <f aca="false">""</f>
        <v/>
      </c>
      <c r="F677" s="2" t="str">
        <f aca="false">""</f>
        <v/>
      </c>
      <c r="G677" s="2" t="str">
        <f aca="false">IF(2キー同時!$B$162="","",IF(2キー同時!W170="","",SUBSTITUTE(SUBSTITUTE(2キー同時!W170," ",""),"　","")))</f>
        <v/>
      </c>
      <c r="H677" s="2" t="str">
        <f aca="false">IF($G677="","",2キー同時!$B$162)</f>
        <v/>
      </c>
      <c r="I677" s="2" t="str">
        <f aca="false">IF($G677="","","v")</f>
        <v/>
      </c>
      <c r="J677" s="2" t="str">
        <f aca="false">""</f>
        <v/>
      </c>
      <c r="K677" s="2" t="str">
        <f aca="false">""</f>
        <v/>
      </c>
      <c r="L677" s="2" t="str">
        <f aca="false">IF($G677="","","同時")</f>
        <v/>
      </c>
      <c r="M677" s="2" t="str">
        <f aca="false">IF($G677="","",IF(ISNA(MATCH($G677,個別指定!$A:$A,0)),"行なし",""))</f>
        <v/>
      </c>
      <c r="N677" s="2" t="str">
        <f aca="false">IF($G677="","",IF(COUNTIF($G$2:$G$4460,$G677)&gt;1,"重複",""))</f>
        <v/>
      </c>
    </row>
    <row r="678" customFormat="false" ht="16.5" hidden="false" customHeight="true" outlineLevel="0" collapsed="false">
      <c r="A678" s="2" t="s">
        <v>385</v>
      </c>
      <c r="B678" s="2" t="s">
        <v>398</v>
      </c>
      <c r="C678" s="2" t="s">
        <v>39</v>
      </c>
      <c r="D678" s="2" t="str">
        <f aca="false">IF(2キー同時!$B$162="","",2キー同時!$B$162)</f>
        <v/>
      </c>
      <c r="E678" s="2" t="str">
        <f aca="false">""</f>
        <v/>
      </c>
      <c r="F678" s="2" t="str">
        <f aca="false">""</f>
        <v/>
      </c>
      <c r="G678" s="2" t="str">
        <f aca="false">IF(2キー同時!$B$162="","",IF(2キー同時!AA170="","",SUBSTITUTE(SUBSTITUTE(2キー同時!AA170," ",""),"　","")))</f>
        <v/>
      </c>
      <c r="H678" s="2" t="str">
        <f aca="false">IF($G678="","",2キー同時!$B$162)</f>
        <v/>
      </c>
      <c r="I678" s="2" t="str">
        <f aca="false">IF($G678="","","b")</f>
        <v/>
      </c>
      <c r="J678" s="2" t="str">
        <f aca="false">""</f>
        <v/>
      </c>
      <c r="K678" s="2" t="str">
        <f aca="false">""</f>
        <v/>
      </c>
      <c r="L678" s="2" t="str">
        <f aca="false">IF($G678="","","同時")</f>
        <v/>
      </c>
      <c r="M678" s="2" t="str">
        <f aca="false">IF($G678="","",IF(ISNA(MATCH($G678,個別指定!$A:$A,0)),"行なし",""))</f>
        <v/>
      </c>
      <c r="N678" s="2" t="str">
        <f aca="false">IF($G678="","",IF(COUNTIF($G$2:$G$4460,$G678)&gt;1,"重複",""))</f>
        <v/>
      </c>
    </row>
    <row r="679" customFormat="false" ht="16.5" hidden="false" customHeight="true" outlineLevel="0" collapsed="false">
      <c r="A679" s="2" t="s">
        <v>385</v>
      </c>
      <c r="B679" s="2" t="s">
        <v>398</v>
      </c>
      <c r="C679" s="2" t="s">
        <v>40</v>
      </c>
      <c r="D679" s="2" t="str">
        <f aca="false">IF(2キー同時!$B$162="","",2キー同時!$B$162)</f>
        <v/>
      </c>
      <c r="E679" s="2" t="str">
        <f aca="false">""</f>
        <v/>
      </c>
      <c r="F679" s="2" t="str">
        <f aca="false">""</f>
        <v/>
      </c>
      <c r="G679" s="2" t="str">
        <f aca="false">IF(2キー同時!$B$162="","",IF(2キー同時!AE170="","",SUBSTITUTE(SUBSTITUTE(2キー同時!AE170," ",""),"　","")))</f>
        <v/>
      </c>
      <c r="H679" s="2" t="str">
        <f aca="false">IF($G679="","",2キー同時!$B$162)</f>
        <v/>
      </c>
      <c r="I679" s="2" t="str">
        <f aca="false">IF($G679="","","n")</f>
        <v/>
      </c>
      <c r="J679" s="2" t="str">
        <f aca="false">""</f>
        <v/>
      </c>
      <c r="K679" s="2" t="str">
        <f aca="false">""</f>
        <v/>
      </c>
      <c r="L679" s="2" t="str">
        <f aca="false">IF($G679="","","同時")</f>
        <v/>
      </c>
      <c r="M679" s="2" t="str">
        <f aca="false">IF($G679="","",IF(ISNA(MATCH($G679,個別指定!$A:$A,0)),"行なし",""))</f>
        <v/>
      </c>
      <c r="N679" s="2" t="str">
        <f aca="false">IF($G679="","",IF(COUNTIF($G$2:$G$4460,$G679)&gt;1,"重複",""))</f>
        <v/>
      </c>
    </row>
    <row r="680" customFormat="false" ht="16.5" hidden="false" customHeight="true" outlineLevel="0" collapsed="false">
      <c r="A680" s="2" t="s">
        <v>385</v>
      </c>
      <c r="B680" s="2" t="s">
        <v>398</v>
      </c>
      <c r="C680" s="2" t="s">
        <v>41</v>
      </c>
      <c r="D680" s="2" t="str">
        <f aca="false">IF(2キー同時!$B$162="","",2キー同時!$B$162)</f>
        <v/>
      </c>
      <c r="E680" s="2" t="str">
        <f aca="false">""</f>
        <v/>
      </c>
      <c r="F680" s="2" t="str">
        <f aca="false">""</f>
        <v/>
      </c>
      <c r="G680" s="2" t="str">
        <f aca="false">IF(2キー同時!$B$162="","",IF(2キー同時!AI170="","",SUBSTITUTE(SUBSTITUTE(2キー同時!AI170," ",""),"　","")))</f>
        <v/>
      </c>
      <c r="H680" s="2" t="str">
        <f aca="false">IF($G680="","",2キー同時!$B$162)</f>
        <v/>
      </c>
      <c r="I680" s="2" t="str">
        <f aca="false">IF($G680="","","m")</f>
        <v/>
      </c>
      <c r="J680" s="2" t="str">
        <f aca="false">""</f>
        <v/>
      </c>
      <c r="K680" s="2" t="str">
        <f aca="false">""</f>
        <v/>
      </c>
      <c r="L680" s="2" t="str">
        <f aca="false">IF($G680="","","同時")</f>
        <v/>
      </c>
      <c r="M680" s="2" t="str">
        <f aca="false">IF($G680="","",IF(ISNA(MATCH($G680,個別指定!$A:$A,0)),"行なし",""))</f>
        <v/>
      </c>
      <c r="N680" s="2" t="str">
        <f aca="false">IF($G680="","",IF(COUNTIF($G$2:$G$4460,$G680)&gt;1,"重複",""))</f>
        <v/>
      </c>
    </row>
    <row r="681" customFormat="false" ht="16.5" hidden="false" customHeight="true" outlineLevel="0" collapsed="false">
      <c r="A681" s="2" t="s">
        <v>385</v>
      </c>
      <c r="B681" s="2" t="s">
        <v>398</v>
      </c>
      <c r="C681" s="2" t="s">
        <v>42</v>
      </c>
      <c r="D681" s="2" t="str">
        <f aca="false">IF(2キー同時!$B$162="","",2キー同時!$B$162)</f>
        <v/>
      </c>
      <c r="E681" s="2" t="str">
        <f aca="false">""</f>
        <v/>
      </c>
      <c r="F681" s="2" t="str">
        <f aca="false">""</f>
        <v/>
      </c>
      <c r="G681" s="2" t="str">
        <f aca="false">IF(2キー同時!$B$162="","",IF(2キー同時!AM170="","",SUBSTITUTE(SUBSTITUTE(2キー同時!AM170," ",""),"　","")))</f>
        <v/>
      </c>
      <c r="H681" s="2" t="str">
        <f aca="false">IF($G681="","",2キー同時!$B$162)</f>
        <v/>
      </c>
      <c r="I681" s="2" t="str">
        <f aca="false">IF($G681="","",",")</f>
        <v/>
      </c>
      <c r="J681" s="2" t="str">
        <f aca="false">""</f>
        <v/>
      </c>
      <c r="K681" s="2" t="str">
        <f aca="false">""</f>
        <v/>
      </c>
      <c r="L681" s="2" t="str">
        <f aca="false">IF($G681="","","同時")</f>
        <v/>
      </c>
      <c r="M681" s="2" t="str">
        <f aca="false">IF($G681="","",IF(ISNA(MATCH($G681,個別指定!$A:$A,0)),"行なし",""))</f>
        <v/>
      </c>
      <c r="N681" s="2" t="str">
        <f aca="false">IF($G681="","",IF(COUNTIF($G$2:$G$4460,$G681)&gt;1,"重複",""))</f>
        <v/>
      </c>
    </row>
    <row r="682" customFormat="false" ht="16.5" hidden="false" customHeight="true" outlineLevel="0" collapsed="false">
      <c r="A682" s="2" t="s">
        <v>385</v>
      </c>
      <c r="B682" s="2" t="s">
        <v>398</v>
      </c>
      <c r="C682" s="2" t="s">
        <v>43</v>
      </c>
      <c r="D682" s="2" t="str">
        <f aca="false">IF(2キー同時!$B$162="","",2キー同時!$B$162)</f>
        <v/>
      </c>
      <c r="E682" s="2" t="str">
        <f aca="false">""</f>
        <v/>
      </c>
      <c r="F682" s="2" t="str">
        <f aca="false">""</f>
        <v/>
      </c>
      <c r="G682" s="2" t="str">
        <f aca="false">IF(2キー同時!$B$162="","",IF(2キー同時!AQ170="","",SUBSTITUTE(SUBSTITUTE(2キー同時!AQ170," ",""),"　","")))</f>
        <v/>
      </c>
      <c r="H682" s="2" t="str">
        <f aca="false">IF($G682="","",2キー同時!$B$162)</f>
        <v/>
      </c>
      <c r="I682" s="2" t="str">
        <f aca="false">IF($G682="","",".")</f>
        <v/>
      </c>
      <c r="J682" s="2" t="str">
        <f aca="false">""</f>
        <v/>
      </c>
      <c r="K682" s="2" t="str">
        <f aca="false">""</f>
        <v/>
      </c>
      <c r="L682" s="2" t="str">
        <f aca="false">IF($G682="","","同時")</f>
        <v/>
      </c>
      <c r="M682" s="2" t="str">
        <f aca="false">IF($G682="","",IF(ISNA(MATCH($G682,個別指定!$A:$A,0)),"行なし",""))</f>
        <v/>
      </c>
      <c r="N682" s="2" t="str">
        <f aca="false">IF($G682="","",IF(COUNTIF($G$2:$G$4460,$G682)&gt;1,"重複",""))</f>
        <v/>
      </c>
    </row>
    <row r="683" customFormat="false" ht="16.5" hidden="false" customHeight="true" outlineLevel="0" collapsed="false">
      <c r="A683" s="2" t="s">
        <v>385</v>
      </c>
      <c r="B683" s="2" t="s">
        <v>398</v>
      </c>
      <c r="C683" s="2" t="s">
        <v>44</v>
      </c>
      <c r="D683" s="2" t="str">
        <f aca="false">IF(2キー同時!$B$162="","",2キー同時!$B$162)</f>
        <v/>
      </c>
      <c r="E683" s="2" t="str">
        <f aca="false">""</f>
        <v/>
      </c>
      <c r="F683" s="2" t="str">
        <f aca="false">""</f>
        <v/>
      </c>
      <c r="G683" s="2" t="str">
        <f aca="false">IF(2キー同時!$B$162="","",IF(2キー同時!AU170="","",SUBSTITUTE(SUBSTITUTE(2キー同時!AU170," ",""),"　","")))</f>
        <v/>
      </c>
      <c r="H683" s="2" t="str">
        <f aca="false">IF($G683="","",2キー同時!$B$162)</f>
        <v/>
      </c>
      <c r="I683" s="2" t="str">
        <f aca="false">IF($G683="","","/")</f>
        <v/>
      </c>
      <c r="J683" s="2" t="str">
        <f aca="false">""</f>
        <v/>
      </c>
      <c r="K683" s="2" t="str">
        <f aca="false">""</f>
        <v/>
      </c>
      <c r="L683" s="2" t="str">
        <f aca="false">IF($G683="","","同時")</f>
        <v/>
      </c>
      <c r="M683" s="2" t="str">
        <f aca="false">IF($G683="","",IF(ISNA(MATCH($G683,個別指定!$A:$A,0)),"行なし",""))</f>
        <v/>
      </c>
      <c r="N683" s="2" t="str">
        <f aca="false">IF($G683="","",IF(COUNTIF($G$2:$G$4460,$G683)&gt;1,"重複",""))</f>
        <v/>
      </c>
    </row>
    <row r="684" customFormat="false" ht="16.5" hidden="false" customHeight="true" outlineLevel="0" collapsed="false">
      <c r="A684" s="2" t="s">
        <v>385</v>
      </c>
      <c r="B684" s="2" t="s">
        <v>398</v>
      </c>
      <c r="C684" s="2" t="s">
        <v>48</v>
      </c>
      <c r="D684" s="2" t="str">
        <f aca="false">IF(2キー同時!$B$162="","",2キー同時!$B$162)</f>
        <v/>
      </c>
      <c r="E684" s="2" t="str">
        <f aca="false">""</f>
        <v/>
      </c>
      <c r="F684" s="2" t="str">
        <f aca="false">""</f>
        <v/>
      </c>
      <c r="G684" s="2" t="str">
        <f aca="false">IF(2キー同時!$B$162="","",IF(2キー同時!P172="","",SUBSTITUTE(SUBSTITUTE(2キー同時!P172," ",""),"　","")))</f>
        <v/>
      </c>
      <c r="H684" s="2" t="str">
        <f aca="false">IF($G684="","",2キー同時!$B$162)</f>
        <v/>
      </c>
      <c r="I684" s="2" t="str">
        <f aca="false">IF($G684="","","muhenkan")</f>
        <v/>
      </c>
      <c r="J684" s="2" t="str">
        <f aca="false">""</f>
        <v/>
      </c>
      <c r="K684" s="2" t="str">
        <f aca="false">""</f>
        <v/>
      </c>
      <c r="L684" s="2" t="str">
        <f aca="false">IF($G684="","","同時")</f>
        <v/>
      </c>
      <c r="M684" s="2" t="str">
        <f aca="false">IF($G684="","",IF(ISNA(MATCH($G684,個別指定!$A:$A,0)),"行なし",""))</f>
        <v/>
      </c>
      <c r="N684" s="2" t="str">
        <f aca="false">IF($G684="","",IF(COUNTIF($G$2:$G$4460,$G684)&gt;1,"重複",""))</f>
        <v/>
      </c>
    </row>
    <row r="685" customFormat="false" ht="16.5" hidden="false" customHeight="true" outlineLevel="0" collapsed="false">
      <c r="A685" s="2" t="s">
        <v>385</v>
      </c>
      <c r="B685" s="2" t="s">
        <v>398</v>
      </c>
      <c r="C685" s="2" t="s">
        <v>50</v>
      </c>
      <c r="D685" s="2" t="str">
        <f aca="false">IF(2キー同時!$B$162="","",2キー同時!$B$162)</f>
        <v/>
      </c>
      <c r="E685" s="2" t="str">
        <f aca="false">""</f>
        <v/>
      </c>
      <c r="F685" s="2" t="str">
        <f aca="false">""</f>
        <v/>
      </c>
      <c r="G685" s="2" t="str">
        <f aca="false">IF(2キー同時!$B$162="","",IF(2キー同時!T172="","",SUBSTITUTE(SUBSTITUTE(2キー同時!T172," ",""),"　","")))</f>
        <v/>
      </c>
      <c r="H685" s="2" t="str">
        <f aca="false">IF($G685="","",2キー同時!$B$162)</f>
        <v/>
      </c>
      <c r="I685" s="2" t="str">
        <f aca="false">IF($G685="","","space")</f>
        <v/>
      </c>
      <c r="J685" s="2" t="str">
        <f aca="false">""</f>
        <v/>
      </c>
      <c r="K685" s="2" t="str">
        <f aca="false">""</f>
        <v/>
      </c>
      <c r="L685" s="2" t="str">
        <f aca="false">IF($G685="","","同時")</f>
        <v/>
      </c>
      <c r="M685" s="2" t="str">
        <f aca="false">IF($G685="","",IF(ISNA(MATCH($G685,個別指定!$A:$A,0)),"行なし",""))</f>
        <v/>
      </c>
      <c r="N685" s="2" t="str">
        <f aca="false">IF($G685="","",IF(COUNTIF($G$2:$G$4460,$G685)&gt;1,"重複",""))</f>
        <v/>
      </c>
    </row>
    <row r="686" customFormat="false" ht="16.5" hidden="false" customHeight="true" outlineLevel="0" collapsed="false">
      <c r="A686" s="2" t="s">
        <v>385</v>
      </c>
      <c r="B686" s="2" t="s">
        <v>398</v>
      </c>
      <c r="C686" s="2" t="s">
        <v>45</v>
      </c>
      <c r="D686" s="2" t="str">
        <f aca="false">IF(2キー同時!$B$162="","",2キー同時!$B$162)</f>
        <v/>
      </c>
      <c r="E686" s="2" t="str">
        <f aca="false">""</f>
        <v/>
      </c>
      <c r="F686" s="2" t="str">
        <f aca="false">""</f>
        <v/>
      </c>
      <c r="G686" s="2" t="str">
        <f aca="false">IF(2キー同時!$B$162="","",IF(2キー同時!AL172="","",SUBSTITUTE(SUBSTITUTE(2キー同時!AL172," ",""),"　","")))</f>
        <v/>
      </c>
      <c r="H686" s="2" t="str">
        <f aca="false">IF($G686="","",2キー同時!$B$162)</f>
        <v/>
      </c>
      <c r="I686" s="2" t="str">
        <f aca="false">IF($G686="","","henkan")</f>
        <v/>
      </c>
      <c r="J686" s="2" t="str">
        <f aca="false">""</f>
        <v/>
      </c>
      <c r="K686" s="2" t="str">
        <f aca="false">""</f>
        <v/>
      </c>
      <c r="L686" s="2" t="str">
        <f aca="false">IF($G686="","","同時")</f>
        <v/>
      </c>
      <c r="M686" s="2" t="str">
        <f aca="false">IF($G686="","",IF(ISNA(MATCH($G686,個別指定!$A:$A,0)),"行なし",""))</f>
        <v/>
      </c>
      <c r="N686" s="2" t="str">
        <f aca="false">IF($G686="","",IF(COUNTIF($G$2:$G$4460,$G686)&gt;1,"重複",""))</f>
        <v/>
      </c>
    </row>
    <row r="687" customFormat="false" ht="16.5" hidden="false" customHeight="true" outlineLevel="0" collapsed="false">
      <c r="A687" s="2" t="s">
        <v>385</v>
      </c>
      <c r="B687" s="2" t="s">
        <v>398</v>
      </c>
      <c r="C687" s="2" t="s">
        <v>46</v>
      </c>
      <c r="D687" s="2" t="str">
        <f aca="false">IF(2キー同時!$B$162="","",2キー同時!$B$162)</f>
        <v/>
      </c>
      <c r="E687" s="2" t="str">
        <f aca="false">""</f>
        <v/>
      </c>
      <c r="F687" s="2" t="str">
        <f aca="false">""</f>
        <v/>
      </c>
      <c r="G687" s="2" t="str">
        <f aca="false">IF(2キー同時!$B$162="","",IF(2キー同時!AP172="","",SUBSTITUTE(SUBSTITUTE(2キー同時!AP172," ",""),"　","")))</f>
        <v/>
      </c>
      <c r="H687" s="2" t="str">
        <f aca="false">IF($G687="","",2キー同時!$B$162)</f>
        <v/>
      </c>
      <c r="I687" s="2" t="str">
        <f aca="false">IF($G687="","","kana")</f>
        <v/>
      </c>
      <c r="J687" s="2" t="str">
        <f aca="false">""</f>
        <v/>
      </c>
      <c r="K687" s="2" t="str">
        <f aca="false">""</f>
        <v/>
      </c>
      <c r="L687" s="2" t="str">
        <f aca="false">IF($G687="","","同時")</f>
        <v/>
      </c>
      <c r="M687" s="2" t="str">
        <f aca="false">IF($G687="","",IF(ISNA(MATCH($G687,個別指定!$A:$A,0)),"行なし",""))</f>
        <v/>
      </c>
      <c r="N687" s="2" t="str">
        <f aca="false">IF($G687="","",IF(COUNTIF($G$2:$G$4460,$G687)&gt;1,"重複",""))</f>
        <v/>
      </c>
    </row>
    <row r="688" customFormat="false" ht="16.5" hidden="false" customHeight="true" outlineLevel="0" collapsed="false">
      <c r="A688" s="2" t="s">
        <v>385</v>
      </c>
      <c r="B688" s="2" t="s">
        <v>399</v>
      </c>
      <c r="C688" s="2" t="s">
        <v>0</v>
      </c>
      <c r="D688" s="2" t="str">
        <f aca="false">IF(2キー同時!$B$175="","",2キー同時!$B$175)</f>
        <v/>
      </c>
      <c r="E688" s="2" t="str">
        <f aca="false">""</f>
        <v/>
      </c>
      <c r="F688" s="2" t="str">
        <f aca="false">""</f>
        <v/>
      </c>
      <c r="G688" s="2" t="str">
        <f aca="false">IF(2キー同時!$B$175="","",IF(2キー同時!F177="","",SUBSTITUTE(SUBSTITUTE(2キー同時!F177," ",""),"　","")))</f>
        <v/>
      </c>
      <c r="H688" s="2" t="str">
        <f aca="false">IF($G688="","",2キー同時!$B$175)</f>
        <v/>
      </c>
      <c r="I688" s="2" t="str">
        <f aca="false">IF($G688="","","1")</f>
        <v/>
      </c>
      <c r="J688" s="2" t="str">
        <f aca="false">""</f>
        <v/>
      </c>
      <c r="K688" s="2" t="str">
        <f aca="false">""</f>
        <v/>
      </c>
      <c r="L688" s="2" t="str">
        <f aca="false">IF($G688="","","同時")</f>
        <v/>
      </c>
      <c r="M688" s="2" t="str">
        <f aca="false">IF($G688="","",IF(ISNA(MATCH($G688,個別指定!$A:$A,0)),"行なし",""))</f>
        <v/>
      </c>
      <c r="N688" s="2" t="str">
        <f aca="false">IF($G688="","",IF(COUNTIF($G$2:$G$4460,$G688)&gt;1,"重複",""))</f>
        <v/>
      </c>
    </row>
    <row r="689" customFormat="false" ht="16.5" hidden="false" customHeight="true" outlineLevel="0" collapsed="false">
      <c r="A689" s="2" t="s">
        <v>385</v>
      </c>
      <c r="B689" s="2" t="s">
        <v>399</v>
      </c>
      <c r="C689" s="2" t="s">
        <v>1</v>
      </c>
      <c r="D689" s="2" t="str">
        <f aca="false">IF(2キー同時!$B$175="","",2キー同時!$B$175)</f>
        <v/>
      </c>
      <c r="E689" s="2" t="str">
        <f aca="false">""</f>
        <v/>
      </c>
      <c r="F689" s="2" t="str">
        <f aca="false">""</f>
        <v/>
      </c>
      <c r="G689" s="2" t="str">
        <f aca="false">IF(2キー同時!$B$175="","",IF(2キー同時!J177="","",SUBSTITUTE(SUBSTITUTE(2キー同時!J177," ",""),"　","")))</f>
        <v/>
      </c>
      <c r="H689" s="2" t="str">
        <f aca="false">IF($G689="","",2キー同時!$B$175)</f>
        <v/>
      </c>
      <c r="I689" s="2" t="str">
        <f aca="false">IF($G689="","","2")</f>
        <v/>
      </c>
      <c r="J689" s="2" t="str">
        <f aca="false">""</f>
        <v/>
      </c>
      <c r="K689" s="2" t="str">
        <f aca="false">""</f>
        <v/>
      </c>
      <c r="L689" s="2" t="str">
        <f aca="false">IF($G689="","","同時")</f>
        <v/>
      </c>
      <c r="M689" s="2" t="str">
        <f aca="false">IF($G689="","",IF(ISNA(MATCH($G689,個別指定!$A:$A,0)),"行なし",""))</f>
        <v/>
      </c>
      <c r="N689" s="2" t="str">
        <f aca="false">IF($G689="","",IF(COUNTIF($G$2:$G$4460,$G689)&gt;1,"重複",""))</f>
        <v/>
      </c>
    </row>
    <row r="690" customFormat="false" ht="16.5" hidden="false" customHeight="true" outlineLevel="0" collapsed="false">
      <c r="A690" s="2" t="s">
        <v>385</v>
      </c>
      <c r="B690" s="2" t="s">
        <v>399</v>
      </c>
      <c r="C690" s="2" t="s">
        <v>2</v>
      </c>
      <c r="D690" s="2" t="str">
        <f aca="false">IF(2キー同時!$B$175="","",2キー同時!$B$175)</f>
        <v/>
      </c>
      <c r="E690" s="2" t="str">
        <f aca="false">""</f>
        <v/>
      </c>
      <c r="F690" s="2" t="str">
        <f aca="false">""</f>
        <v/>
      </c>
      <c r="G690" s="2" t="str">
        <f aca="false">IF(2キー同時!$B$175="","",IF(2キー同時!N177="","",SUBSTITUTE(SUBSTITUTE(2キー同時!N177," ",""),"　","")))</f>
        <v/>
      </c>
      <c r="H690" s="2" t="str">
        <f aca="false">IF($G690="","",2キー同時!$B$175)</f>
        <v/>
      </c>
      <c r="I690" s="2" t="str">
        <f aca="false">IF($G690="","","3")</f>
        <v/>
      </c>
      <c r="J690" s="2" t="str">
        <f aca="false">""</f>
        <v/>
      </c>
      <c r="K690" s="2" t="str">
        <f aca="false">""</f>
        <v/>
      </c>
      <c r="L690" s="2" t="str">
        <f aca="false">IF($G690="","","同時")</f>
        <v/>
      </c>
      <c r="M690" s="2" t="str">
        <f aca="false">IF($G690="","",IF(ISNA(MATCH($G690,個別指定!$A:$A,0)),"行なし",""))</f>
        <v/>
      </c>
      <c r="N690" s="2" t="str">
        <f aca="false">IF($G690="","",IF(COUNTIF($G$2:$G$4460,$G690)&gt;1,"重複",""))</f>
        <v/>
      </c>
    </row>
    <row r="691" customFormat="false" ht="16.5" hidden="false" customHeight="true" outlineLevel="0" collapsed="false">
      <c r="A691" s="2" t="s">
        <v>385</v>
      </c>
      <c r="B691" s="2" t="s">
        <v>399</v>
      </c>
      <c r="C691" s="2" t="s">
        <v>3</v>
      </c>
      <c r="D691" s="2" t="str">
        <f aca="false">IF(2キー同時!$B$175="","",2キー同時!$B$175)</f>
        <v/>
      </c>
      <c r="E691" s="2" t="str">
        <f aca="false">""</f>
        <v/>
      </c>
      <c r="F691" s="2" t="str">
        <f aca="false">""</f>
        <v/>
      </c>
      <c r="G691" s="2" t="str">
        <f aca="false">IF(2キー同時!$B$175="","",IF(2キー同時!R177="","",SUBSTITUTE(SUBSTITUTE(2キー同時!R177," ",""),"　","")))</f>
        <v/>
      </c>
      <c r="H691" s="2" t="str">
        <f aca="false">IF($G691="","",2キー同時!$B$175)</f>
        <v/>
      </c>
      <c r="I691" s="2" t="str">
        <f aca="false">IF($G691="","","4")</f>
        <v/>
      </c>
      <c r="J691" s="2" t="str">
        <f aca="false">""</f>
        <v/>
      </c>
      <c r="K691" s="2" t="str">
        <f aca="false">""</f>
        <v/>
      </c>
      <c r="L691" s="2" t="str">
        <f aca="false">IF($G691="","","同時")</f>
        <v/>
      </c>
      <c r="M691" s="2" t="str">
        <f aca="false">IF($G691="","",IF(ISNA(MATCH($G691,個別指定!$A:$A,0)),"行なし",""))</f>
        <v/>
      </c>
      <c r="N691" s="2" t="str">
        <f aca="false">IF($G691="","",IF(COUNTIF($G$2:$G$4460,$G691)&gt;1,"重複",""))</f>
        <v/>
      </c>
    </row>
    <row r="692" customFormat="false" ht="16.5" hidden="false" customHeight="true" outlineLevel="0" collapsed="false">
      <c r="A692" s="2" t="s">
        <v>385</v>
      </c>
      <c r="B692" s="2" t="s">
        <v>399</v>
      </c>
      <c r="C692" s="2" t="s">
        <v>4</v>
      </c>
      <c r="D692" s="2" t="str">
        <f aca="false">IF(2キー同時!$B$175="","",2キー同時!$B$175)</f>
        <v/>
      </c>
      <c r="E692" s="2" t="str">
        <f aca="false">""</f>
        <v/>
      </c>
      <c r="F692" s="2" t="str">
        <f aca="false">""</f>
        <v/>
      </c>
      <c r="G692" s="2" t="str">
        <f aca="false">IF(2キー同時!$B$175="","",IF(2キー同時!V177="","",SUBSTITUTE(SUBSTITUTE(2キー同時!V177," ",""),"　","")))</f>
        <v/>
      </c>
      <c r="H692" s="2" t="str">
        <f aca="false">IF($G692="","",2キー同時!$B$175)</f>
        <v/>
      </c>
      <c r="I692" s="2" t="str">
        <f aca="false">IF($G692="","","5")</f>
        <v/>
      </c>
      <c r="J692" s="2" t="str">
        <f aca="false">""</f>
        <v/>
      </c>
      <c r="K692" s="2" t="str">
        <f aca="false">""</f>
        <v/>
      </c>
      <c r="L692" s="2" t="str">
        <f aca="false">IF($G692="","","同時")</f>
        <v/>
      </c>
      <c r="M692" s="2" t="str">
        <f aca="false">IF($G692="","",IF(ISNA(MATCH($G692,個別指定!$A:$A,0)),"行なし",""))</f>
        <v/>
      </c>
      <c r="N692" s="2" t="str">
        <f aca="false">IF($G692="","",IF(COUNTIF($G$2:$G$4460,$G692)&gt;1,"重複",""))</f>
        <v/>
      </c>
    </row>
    <row r="693" customFormat="false" ht="16.5" hidden="false" customHeight="true" outlineLevel="0" collapsed="false">
      <c r="A693" s="2" t="s">
        <v>385</v>
      </c>
      <c r="B693" s="2" t="s">
        <v>399</v>
      </c>
      <c r="C693" s="2" t="s">
        <v>5</v>
      </c>
      <c r="D693" s="2" t="str">
        <f aca="false">IF(2キー同時!$B$175="","",2キー同時!$B$175)</f>
        <v/>
      </c>
      <c r="E693" s="2" t="str">
        <f aca="false">""</f>
        <v/>
      </c>
      <c r="F693" s="2" t="str">
        <f aca="false">""</f>
        <v/>
      </c>
      <c r="G693" s="2" t="str">
        <f aca="false">IF(2キー同時!$B$175="","",IF(2キー同時!Z177="","",SUBSTITUTE(SUBSTITUTE(2キー同時!Z177," ",""),"　","")))</f>
        <v/>
      </c>
      <c r="H693" s="2" t="str">
        <f aca="false">IF($G693="","",2キー同時!$B$175)</f>
        <v/>
      </c>
      <c r="I693" s="2" t="str">
        <f aca="false">IF($G693="","","6")</f>
        <v/>
      </c>
      <c r="J693" s="2" t="str">
        <f aca="false">""</f>
        <v/>
      </c>
      <c r="K693" s="2" t="str">
        <f aca="false">""</f>
        <v/>
      </c>
      <c r="L693" s="2" t="str">
        <f aca="false">IF($G693="","","同時")</f>
        <v/>
      </c>
      <c r="M693" s="2" t="str">
        <f aca="false">IF($G693="","",IF(ISNA(MATCH($G693,個別指定!$A:$A,0)),"行なし",""))</f>
        <v/>
      </c>
      <c r="N693" s="2" t="str">
        <f aca="false">IF($G693="","",IF(COUNTIF($G$2:$G$4460,$G693)&gt;1,"重複",""))</f>
        <v/>
      </c>
    </row>
    <row r="694" customFormat="false" ht="16.5" hidden="false" customHeight="true" outlineLevel="0" collapsed="false">
      <c r="A694" s="2" t="s">
        <v>385</v>
      </c>
      <c r="B694" s="2" t="s">
        <v>399</v>
      </c>
      <c r="C694" s="2" t="s">
        <v>6</v>
      </c>
      <c r="D694" s="2" t="str">
        <f aca="false">IF(2キー同時!$B$175="","",2キー同時!$B$175)</f>
        <v/>
      </c>
      <c r="E694" s="2" t="str">
        <f aca="false">""</f>
        <v/>
      </c>
      <c r="F694" s="2" t="str">
        <f aca="false">""</f>
        <v/>
      </c>
      <c r="G694" s="2" t="str">
        <f aca="false">IF(2キー同時!$B$175="","",IF(2キー同時!AD177="","",SUBSTITUTE(SUBSTITUTE(2キー同時!AD177," ",""),"　","")))</f>
        <v/>
      </c>
      <c r="H694" s="2" t="str">
        <f aca="false">IF($G694="","",2キー同時!$B$175)</f>
        <v/>
      </c>
      <c r="I694" s="2" t="str">
        <f aca="false">IF($G694="","","7")</f>
        <v/>
      </c>
      <c r="J694" s="2" t="str">
        <f aca="false">""</f>
        <v/>
      </c>
      <c r="K694" s="2" t="str">
        <f aca="false">""</f>
        <v/>
      </c>
      <c r="L694" s="2" t="str">
        <f aca="false">IF($G694="","","同時")</f>
        <v/>
      </c>
      <c r="M694" s="2" t="str">
        <f aca="false">IF($G694="","",IF(ISNA(MATCH($G694,個別指定!$A:$A,0)),"行なし",""))</f>
        <v/>
      </c>
      <c r="N694" s="2" t="str">
        <f aca="false">IF($G694="","",IF(COUNTIF($G$2:$G$4460,$G694)&gt;1,"重複",""))</f>
        <v/>
      </c>
    </row>
    <row r="695" customFormat="false" ht="16.5" hidden="false" customHeight="true" outlineLevel="0" collapsed="false">
      <c r="A695" s="2" t="s">
        <v>385</v>
      </c>
      <c r="B695" s="2" t="s">
        <v>399</v>
      </c>
      <c r="C695" s="2" t="s">
        <v>7</v>
      </c>
      <c r="D695" s="2" t="str">
        <f aca="false">IF(2キー同時!$B$175="","",2キー同時!$B$175)</f>
        <v/>
      </c>
      <c r="E695" s="2" t="str">
        <f aca="false">""</f>
        <v/>
      </c>
      <c r="F695" s="2" t="str">
        <f aca="false">""</f>
        <v/>
      </c>
      <c r="G695" s="2" t="str">
        <f aca="false">IF(2キー同時!$B$175="","",IF(2キー同時!AH177="","",SUBSTITUTE(SUBSTITUTE(2キー同時!AH177," ",""),"　","")))</f>
        <v/>
      </c>
      <c r="H695" s="2" t="str">
        <f aca="false">IF($G695="","",2キー同時!$B$175)</f>
        <v/>
      </c>
      <c r="I695" s="2" t="str">
        <f aca="false">IF($G695="","","8")</f>
        <v/>
      </c>
      <c r="J695" s="2" t="str">
        <f aca="false">""</f>
        <v/>
      </c>
      <c r="K695" s="2" t="str">
        <f aca="false">""</f>
        <v/>
      </c>
      <c r="L695" s="2" t="str">
        <f aca="false">IF($G695="","","同時")</f>
        <v/>
      </c>
      <c r="M695" s="2" t="str">
        <f aca="false">IF($G695="","",IF(ISNA(MATCH($G695,個別指定!$A:$A,0)),"行なし",""))</f>
        <v/>
      </c>
      <c r="N695" s="2" t="str">
        <f aca="false">IF($G695="","",IF(COUNTIF($G$2:$G$4460,$G695)&gt;1,"重複",""))</f>
        <v/>
      </c>
    </row>
    <row r="696" customFormat="false" ht="16.5" hidden="false" customHeight="true" outlineLevel="0" collapsed="false">
      <c r="A696" s="2" t="s">
        <v>385</v>
      </c>
      <c r="B696" s="2" t="s">
        <v>399</v>
      </c>
      <c r="C696" s="2" t="s">
        <v>8</v>
      </c>
      <c r="D696" s="2" t="str">
        <f aca="false">IF(2キー同時!$B$175="","",2キー同時!$B$175)</f>
        <v/>
      </c>
      <c r="E696" s="2" t="str">
        <f aca="false">""</f>
        <v/>
      </c>
      <c r="F696" s="2" t="str">
        <f aca="false">""</f>
        <v/>
      </c>
      <c r="G696" s="2" t="str">
        <f aca="false">IF(2キー同時!$B$175="","",IF(2キー同時!AL177="","",SUBSTITUTE(SUBSTITUTE(2キー同時!AL177," ",""),"　","")))</f>
        <v/>
      </c>
      <c r="H696" s="2" t="str">
        <f aca="false">IF($G696="","",2キー同時!$B$175)</f>
        <v/>
      </c>
      <c r="I696" s="2" t="str">
        <f aca="false">IF($G696="","","9")</f>
        <v/>
      </c>
      <c r="J696" s="2" t="str">
        <f aca="false">""</f>
        <v/>
      </c>
      <c r="K696" s="2" t="str">
        <f aca="false">""</f>
        <v/>
      </c>
      <c r="L696" s="2" t="str">
        <f aca="false">IF($G696="","","同時")</f>
        <v/>
      </c>
      <c r="M696" s="2" t="str">
        <f aca="false">IF($G696="","",IF(ISNA(MATCH($G696,個別指定!$A:$A,0)),"行なし",""))</f>
        <v/>
      </c>
      <c r="N696" s="2" t="str">
        <f aca="false">IF($G696="","",IF(COUNTIF($G$2:$G$4460,$G696)&gt;1,"重複",""))</f>
        <v/>
      </c>
    </row>
    <row r="697" customFormat="false" ht="16.5" hidden="false" customHeight="true" outlineLevel="0" collapsed="false">
      <c r="A697" s="2" t="s">
        <v>385</v>
      </c>
      <c r="B697" s="2" t="s">
        <v>399</v>
      </c>
      <c r="C697" s="2" t="s">
        <v>9</v>
      </c>
      <c r="D697" s="2" t="str">
        <f aca="false">IF(2キー同時!$B$175="","",2キー同時!$B$175)</f>
        <v/>
      </c>
      <c r="E697" s="2" t="str">
        <f aca="false">""</f>
        <v/>
      </c>
      <c r="F697" s="2" t="str">
        <f aca="false">""</f>
        <v/>
      </c>
      <c r="G697" s="2" t="str">
        <f aca="false">IF(2キー同時!$B$175="","",IF(2キー同時!AP177="","",SUBSTITUTE(SUBSTITUTE(2キー同時!AP177," ",""),"　","")))</f>
        <v/>
      </c>
      <c r="H697" s="2" t="str">
        <f aca="false">IF($G697="","",2キー同時!$B$175)</f>
        <v/>
      </c>
      <c r="I697" s="2" t="str">
        <f aca="false">IF($G697="","","0")</f>
        <v/>
      </c>
      <c r="J697" s="2" t="str">
        <f aca="false">""</f>
        <v/>
      </c>
      <c r="K697" s="2" t="str">
        <f aca="false">""</f>
        <v/>
      </c>
      <c r="L697" s="2" t="str">
        <f aca="false">IF($G697="","","同時")</f>
        <v/>
      </c>
      <c r="M697" s="2" t="str">
        <f aca="false">IF($G697="","",IF(ISNA(MATCH($G697,個別指定!$A:$A,0)),"行なし",""))</f>
        <v/>
      </c>
      <c r="N697" s="2" t="str">
        <f aca="false">IF($G697="","",IF(COUNTIF($G$2:$G$4460,$G697)&gt;1,"重複",""))</f>
        <v/>
      </c>
    </row>
    <row r="698" customFormat="false" ht="16.5" hidden="false" customHeight="true" outlineLevel="0" collapsed="false">
      <c r="A698" s="2" t="s">
        <v>385</v>
      </c>
      <c r="B698" s="2" t="s">
        <v>399</v>
      </c>
      <c r="C698" s="2" t="s">
        <v>10</v>
      </c>
      <c r="D698" s="2" t="str">
        <f aca="false">IF(2キー同時!$B$175="","",2キー同時!$B$175)</f>
        <v/>
      </c>
      <c r="E698" s="2" t="str">
        <f aca="false">""</f>
        <v/>
      </c>
      <c r="F698" s="2" t="str">
        <f aca="false">""</f>
        <v/>
      </c>
      <c r="G698" s="2" t="str">
        <f aca="false">IF(2キー同時!$B$175="","",IF(2キー同時!AT177="","",SUBSTITUTE(SUBSTITUTE(2キー同時!AT177," ",""),"　","")))</f>
        <v/>
      </c>
      <c r="H698" s="2" t="str">
        <f aca="false">IF($G698="","",2キー同時!$B$175)</f>
        <v/>
      </c>
      <c r="I698" s="2" t="str">
        <f aca="false">IF($G698="","","-")</f>
        <v/>
      </c>
      <c r="J698" s="2" t="str">
        <f aca="false">""</f>
        <v/>
      </c>
      <c r="K698" s="2" t="str">
        <f aca="false">""</f>
        <v/>
      </c>
      <c r="L698" s="2" t="str">
        <f aca="false">IF($G698="","","同時")</f>
        <v/>
      </c>
      <c r="M698" s="2" t="str">
        <f aca="false">IF($G698="","",IF(ISNA(MATCH($G698,個別指定!$A:$A,0)),"行なし",""))</f>
        <v/>
      </c>
      <c r="N698" s="2" t="str">
        <f aca="false">IF($G698="","",IF(COUNTIF($G$2:$G$4460,$G698)&gt;1,"重複",""))</f>
        <v/>
      </c>
    </row>
    <row r="699" customFormat="false" ht="16.5" hidden="false" customHeight="true" outlineLevel="0" collapsed="false">
      <c r="A699" s="2" t="s">
        <v>385</v>
      </c>
      <c r="B699" s="2" t="s">
        <v>399</v>
      </c>
      <c r="C699" s="2" t="s">
        <v>11</v>
      </c>
      <c r="D699" s="2" t="str">
        <f aca="false">IF(2キー同時!$B$175="","",2キー同時!$B$175)</f>
        <v/>
      </c>
      <c r="E699" s="2" t="str">
        <f aca="false">""</f>
        <v/>
      </c>
      <c r="F699" s="2" t="str">
        <f aca="false">""</f>
        <v/>
      </c>
      <c r="G699" s="2" t="str">
        <f aca="false">IF(2キー同時!$B$175="","",IF(2キー同時!AX177="","",SUBSTITUTE(SUBSTITUTE(2キー同時!AX177," ",""),"　","")))</f>
        <v/>
      </c>
      <c r="H699" s="2" t="str">
        <f aca="false">IF($G699="","",2キー同時!$B$175)</f>
        <v/>
      </c>
      <c r="I699" s="2" t="str">
        <f aca="false">IF($G699="","","=")</f>
        <v/>
      </c>
      <c r="J699" s="2" t="str">
        <f aca="false">""</f>
        <v/>
      </c>
      <c r="K699" s="2" t="str">
        <f aca="false">""</f>
        <v/>
      </c>
      <c r="L699" s="2" t="str">
        <f aca="false">IF($G699="","","同時")</f>
        <v/>
      </c>
      <c r="M699" s="2" t="str">
        <f aca="false">IF($G699="","",IF(ISNA(MATCH($G699,個別指定!$A:$A,0)),"行なし",""))</f>
        <v/>
      </c>
      <c r="N699" s="2" t="str">
        <f aca="false">IF($G699="","",IF(COUNTIF($G$2:$G$4460,$G699)&gt;1,"重複",""))</f>
        <v/>
      </c>
    </row>
    <row r="700" customFormat="false" ht="16.5" hidden="false" customHeight="true" outlineLevel="0" collapsed="false">
      <c r="A700" s="2" t="s">
        <v>385</v>
      </c>
      <c r="B700" s="2" t="s">
        <v>399</v>
      </c>
      <c r="C700" s="2" t="s">
        <v>12</v>
      </c>
      <c r="D700" s="2" t="str">
        <f aca="false">IF(2キー同時!$B$175="","",2キー同時!$B$175)</f>
        <v/>
      </c>
      <c r="E700" s="2" t="str">
        <f aca="false">""</f>
        <v/>
      </c>
      <c r="F700" s="2" t="str">
        <f aca="false">""</f>
        <v/>
      </c>
      <c r="G700" s="2" t="str">
        <f aca="false">IF(2キー同時!$B$175="","",IF(2キー同時!H179="","",SUBSTITUTE(SUBSTITUTE(2キー同時!H179," ",""),"　","")))</f>
        <v/>
      </c>
      <c r="H700" s="2" t="str">
        <f aca="false">IF($G700="","",2キー同時!$B$175)</f>
        <v/>
      </c>
      <c r="I700" s="2" t="str">
        <f aca="false">IF($G700="","","q")</f>
        <v/>
      </c>
      <c r="J700" s="2" t="str">
        <f aca="false">""</f>
        <v/>
      </c>
      <c r="K700" s="2" t="str">
        <f aca="false">""</f>
        <v/>
      </c>
      <c r="L700" s="2" t="str">
        <f aca="false">IF($G700="","","同時")</f>
        <v/>
      </c>
      <c r="M700" s="2" t="str">
        <f aca="false">IF($G700="","",IF(ISNA(MATCH($G700,個別指定!$A:$A,0)),"行なし",""))</f>
        <v/>
      </c>
      <c r="N700" s="2" t="str">
        <f aca="false">IF($G700="","",IF(COUNTIF($G$2:$G$4460,$G700)&gt;1,"重複",""))</f>
        <v/>
      </c>
    </row>
    <row r="701" customFormat="false" ht="16.5" hidden="false" customHeight="true" outlineLevel="0" collapsed="false">
      <c r="A701" s="2" t="s">
        <v>385</v>
      </c>
      <c r="B701" s="2" t="s">
        <v>399</v>
      </c>
      <c r="C701" s="2" t="s">
        <v>13</v>
      </c>
      <c r="D701" s="2" t="str">
        <f aca="false">IF(2キー同時!$B$175="","",2キー同時!$B$175)</f>
        <v/>
      </c>
      <c r="E701" s="2" t="str">
        <f aca="false">""</f>
        <v/>
      </c>
      <c r="F701" s="2" t="str">
        <f aca="false">""</f>
        <v/>
      </c>
      <c r="G701" s="2" t="str">
        <f aca="false">IF(2キー同時!$B$175="","",IF(2キー同時!L179="","",SUBSTITUTE(SUBSTITUTE(2キー同時!L179," ",""),"　","")))</f>
        <v/>
      </c>
      <c r="H701" s="2" t="str">
        <f aca="false">IF($G701="","",2キー同時!$B$175)</f>
        <v/>
      </c>
      <c r="I701" s="2" t="str">
        <f aca="false">IF($G701="","","w")</f>
        <v/>
      </c>
      <c r="J701" s="2" t="str">
        <f aca="false">""</f>
        <v/>
      </c>
      <c r="K701" s="2" t="str">
        <f aca="false">""</f>
        <v/>
      </c>
      <c r="L701" s="2" t="str">
        <f aca="false">IF($G701="","","同時")</f>
        <v/>
      </c>
      <c r="M701" s="2" t="str">
        <f aca="false">IF($G701="","",IF(ISNA(MATCH($G701,個別指定!$A:$A,0)),"行なし",""))</f>
        <v/>
      </c>
      <c r="N701" s="2" t="str">
        <f aca="false">IF($G701="","",IF(COUNTIF($G$2:$G$4460,$G701)&gt;1,"重複",""))</f>
        <v/>
      </c>
    </row>
    <row r="702" customFormat="false" ht="16.5" hidden="false" customHeight="true" outlineLevel="0" collapsed="false">
      <c r="A702" s="2" t="s">
        <v>385</v>
      </c>
      <c r="B702" s="2" t="s">
        <v>399</v>
      </c>
      <c r="C702" s="2" t="s">
        <v>14</v>
      </c>
      <c r="D702" s="2" t="str">
        <f aca="false">IF(2キー同時!$B$175="","",2キー同時!$B$175)</f>
        <v/>
      </c>
      <c r="E702" s="2" t="str">
        <f aca="false">""</f>
        <v/>
      </c>
      <c r="F702" s="2" t="str">
        <f aca="false">""</f>
        <v/>
      </c>
      <c r="G702" s="2" t="str">
        <f aca="false">IF(2キー同時!$B$175="","",IF(2キー同時!P179="","",SUBSTITUTE(SUBSTITUTE(2キー同時!P179," ",""),"　","")))</f>
        <v/>
      </c>
      <c r="H702" s="2" t="str">
        <f aca="false">IF($G702="","",2キー同時!$B$175)</f>
        <v/>
      </c>
      <c r="I702" s="2" t="str">
        <f aca="false">IF($G702="","","e")</f>
        <v/>
      </c>
      <c r="J702" s="2" t="str">
        <f aca="false">""</f>
        <v/>
      </c>
      <c r="K702" s="2" t="str">
        <f aca="false">""</f>
        <v/>
      </c>
      <c r="L702" s="2" t="str">
        <f aca="false">IF($G702="","","同時")</f>
        <v/>
      </c>
      <c r="M702" s="2" t="str">
        <f aca="false">IF($G702="","",IF(ISNA(MATCH($G702,個別指定!$A:$A,0)),"行なし",""))</f>
        <v/>
      </c>
      <c r="N702" s="2" t="str">
        <f aca="false">IF($G702="","",IF(COUNTIF($G$2:$G$4460,$G702)&gt;1,"重複",""))</f>
        <v/>
      </c>
    </row>
    <row r="703" customFormat="false" ht="16.5" hidden="false" customHeight="true" outlineLevel="0" collapsed="false">
      <c r="A703" s="2" t="s">
        <v>385</v>
      </c>
      <c r="B703" s="2" t="s">
        <v>399</v>
      </c>
      <c r="C703" s="2" t="s">
        <v>15</v>
      </c>
      <c r="D703" s="2" t="str">
        <f aca="false">IF(2キー同時!$B$175="","",2キー同時!$B$175)</f>
        <v/>
      </c>
      <c r="E703" s="2" t="str">
        <f aca="false">""</f>
        <v/>
      </c>
      <c r="F703" s="2" t="str">
        <f aca="false">""</f>
        <v/>
      </c>
      <c r="G703" s="2" t="str">
        <f aca="false">IF(2キー同時!$B$175="","",IF(2キー同時!T179="","",SUBSTITUTE(SUBSTITUTE(2キー同時!T179," ",""),"　","")))</f>
        <v/>
      </c>
      <c r="H703" s="2" t="str">
        <f aca="false">IF($G703="","",2キー同時!$B$175)</f>
        <v/>
      </c>
      <c r="I703" s="2" t="str">
        <f aca="false">IF($G703="","","r")</f>
        <v/>
      </c>
      <c r="J703" s="2" t="str">
        <f aca="false">""</f>
        <v/>
      </c>
      <c r="K703" s="2" t="str">
        <f aca="false">""</f>
        <v/>
      </c>
      <c r="L703" s="2" t="str">
        <f aca="false">IF($G703="","","同時")</f>
        <v/>
      </c>
      <c r="M703" s="2" t="str">
        <f aca="false">IF($G703="","",IF(ISNA(MATCH($G703,個別指定!$A:$A,0)),"行なし",""))</f>
        <v/>
      </c>
      <c r="N703" s="2" t="str">
        <f aca="false">IF($G703="","",IF(COUNTIF($G$2:$G$4460,$G703)&gt;1,"重複",""))</f>
        <v/>
      </c>
    </row>
    <row r="704" customFormat="false" ht="16.5" hidden="false" customHeight="true" outlineLevel="0" collapsed="false">
      <c r="A704" s="2" t="s">
        <v>385</v>
      </c>
      <c r="B704" s="2" t="s">
        <v>399</v>
      </c>
      <c r="C704" s="2" t="s">
        <v>16</v>
      </c>
      <c r="D704" s="2" t="str">
        <f aca="false">IF(2キー同時!$B$175="","",2キー同時!$B$175)</f>
        <v/>
      </c>
      <c r="E704" s="2" t="str">
        <f aca="false">""</f>
        <v/>
      </c>
      <c r="F704" s="2" t="str">
        <f aca="false">""</f>
        <v/>
      </c>
      <c r="G704" s="2" t="str">
        <f aca="false">IF(2キー同時!$B$175="","",IF(2キー同時!X179="","",SUBSTITUTE(SUBSTITUTE(2キー同時!X179," ",""),"　","")))</f>
        <v/>
      </c>
      <c r="H704" s="2" t="str">
        <f aca="false">IF($G704="","",2キー同時!$B$175)</f>
        <v/>
      </c>
      <c r="I704" s="2" t="str">
        <f aca="false">IF($G704="","","t")</f>
        <v/>
      </c>
      <c r="J704" s="2" t="str">
        <f aca="false">""</f>
        <v/>
      </c>
      <c r="K704" s="2" t="str">
        <f aca="false">""</f>
        <v/>
      </c>
      <c r="L704" s="2" t="str">
        <f aca="false">IF($G704="","","同時")</f>
        <v/>
      </c>
      <c r="M704" s="2" t="str">
        <f aca="false">IF($G704="","",IF(ISNA(MATCH($G704,個別指定!$A:$A,0)),"行なし",""))</f>
        <v/>
      </c>
      <c r="N704" s="2" t="str">
        <f aca="false">IF($G704="","",IF(COUNTIF($G$2:$G$4460,$G704)&gt;1,"重複",""))</f>
        <v/>
      </c>
    </row>
    <row r="705" customFormat="false" ht="16.5" hidden="false" customHeight="true" outlineLevel="0" collapsed="false">
      <c r="A705" s="2" t="s">
        <v>385</v>
      </c>
      <c r="B705" s="2" t="s">
        <v>399</v>
      </c>
      <c r="C705" s="2" t="s">
        <v>17</v>
      </c>
      <c r="D705" s="2" t="str">
        <f aca="false">IF(2キー同時!$B$175="","",2キー同時!$B$175)</f>
        <v/>
      </c>
      <c r="E705" s="2" t="str">
        <f aca="false">""</f>
        <v/>
      </c>
      <c r="F705" s="2" t="str">
        <f aca="false">""</f>
        <v/>
      </c>
      <c r="G705" s="2" t="str">
        <f aca="false">IF(2キー同時!$B$175="","",IF(2キー同時!AB179="","",SUBSTITUTE(SUBSTITUTE(2キー同時!AB179," ",""),"　","")))</f>
        <v/>
      </c>
      <c r="H705" s="2" t="str">
        <f aca="false">IF($G705="","",2キー同時!$B$175)</f>
        <v/>
      </c>
      <c r="I705" s="2" t="str">
        <f aca="false">IF($G705="","","y")</f>
        <v/>
      </c>
      <c r="J705" s="2" t="str">
        <f aca="false">""</f>
        <v/>
      </c>
      <c r="K705" s="2" t="str">
        <f aca="false">""</f>
        <v/>
      </c>
      <c r="L705" s="2" t="str">
        <f aca="false">IF($G705="","","同時")</f>
        <v/>
      </c>
      <c r="M705" s="2" t="str">
        <f aca="false">IF($G705="","",IF(ISNA(MATCH($G705,個別指定!$A:$A,0)),"行なし",""))</f>
        <v/>
      </c>
      <c r="N705" s="2" t="str">
        <f aca="false">IF($G705="","",IF(COUNTIF($G$2:$G$4460,$G705)&gt;1,"重複",""))</f>
        <v/>
      </c>
    </row>
    <row r="706" customFormat="false" ht="16.5" hidden="false" customHeight="true" outlineLevel="0" collapsed="false">
      <c r="A706" s="2" t="s">
        <v>385</v>
      </c>
      <c r="B706" s="2" t="s">
        <v>399</v>
      </c>
      <c r="C706" s="2" t="s">
        <v>18</v>
      </c>
      <c r="D706" s="2" t="str">
        <f aca="false">IF(2キー同時!$B$175="","",2キー同時!$B$175)</f>
        <v/>
      </c>
      <c r="E706" s="2" t="str">
        <f aca="false">""</f>
        <v/>
      </c>
      <c r="F706" s="2" t="str">
        <f aca="false">""</f>
        <v/>
      </c>
      <c r="G706" s="2" t="str">
        <f aca="false">IF(2キー同時!$B$175="","",IF(2キー同時!AF179="","",SUBSTITUTE(SUBSTITUTE(2キー同時!AF179," ",""),"　","")))</f>
        <v/>
      </c>
      <c r="H706" s="2" t="str">
        <f aca="false">IF($G706="","",2キー同時!$B$175)</f>
        <v/>
      </c>
      <c r="I706" s="2" t="str">
        <f aca="false">IF($G706="","","u")</f>
        <v/>
      </c>
      <c r="J706" s="2" t="str">
        <f aca="false">""</f>
        <v/>
      </c>
      <c r="K706" s="2" t="str">
        <f aca="false">""</f>
        <v/>
      </c>
      <c r="L706" s="2" t="str">
        <f aca="false">IF($G706="","","同時")</f>
        <v/>
      </c>
      <c r="M706" s="2" t="str">
        <f aca="false">IF($G706="","",IF(ISNA(MATCH($G706,個別指定!$A:$A,0)),"行なし",""))</f>
        <v/>
      </c>
      <c r="N706" s="2" t="str">
        <f aca="false">IF($G706="","",IF(COUNTIF($G$2:$G$4460,$G706)&gt;1,"重複",""))</f>
        <v/>
      </c>
    </row>
    <row r="707" customFormat="false" ht="16.5" hidden="false" customHeight="true" outlineLevel="0" collapsed="false">
      <c r="A707" s="2" t="s">
        <v>385</v>
      </c>
      <c r="B707" s="2" t="s">
        <v>399</v>
      </c>
      <c r="C707" s="2" t="s">
        <v>19</v>
      </c>
      <c r="D707" s="2" t="str">
        <f aca="false">IF(2キー同時!$B$175="","",2キー同時!$B$175)</f>
        <v/>
      </c>
      <c r="E707" s="2" t="str">
        <f aca="false">""</f>
        <v/>
      </c>
      <c r="F707" s="2" t="str">
        <f aca="false">""</f>
        <v/>
      </c>
      <c r="G707" s="2" t="str">
        <f aca="false">IF(2キー同時!$B$175="","",IF(2キー同時!AJ179="","",SUBSTITUTE(SUBSTITUTE(2キー同時!AJ179," ",""),"　","")))</f>
        <v/>
      </c>
      <c r="H707" s="2" t="str">
        <f aca="false">IF($G707="","",2キー同時!$B$175)</f>
        <v/>
      </c>
      <c r="I707" s="2" t="str">
        <f aca="false">IF($G707="","","i")</f>
        <v/>
      </c>
      <c r="J707" s="2" t="str">
        <f aca="false">""</f>
        <v/>
      </c>
      <c r="K707" s="2" t="str">
        <f aca="false">""</f>
        <v/>
      </c>
      <c r="L707" s="2" t="str">
        <f aca="false">IF($G707="","","同時")</f>
        <v/>
      </c>
      <c r="M707" s="2" t="str">
        <f aca="false">IF($G707="","",IF(ISNA(MATCH($G707,個別指定!$A:$A,0)),"行なし",""))</f>
        <v/>
      </c>
      <c r="N707" s="2" t="str">
        <f aca="false">IF($G707="","",IF(COUNTIF($G$2:$G$4460,$G707)&gt;1,"重複",""))</f>
        <v/>
      </c>
    </row>
    <row r="708" customFormat="false" ht="16.5" hidden="false" customHeight="true" outlineLevel="0" collapsed="false">
      <c r="A708" s="2" t="s">
        <v>385</v>
      </c>
      <c r="B708" s="2" t="s">
        <v>399</v>
      </c>
      <c r="C708" s="2" t="s">
        <v>20</v>
      </c>
      <c r="D708" s="2" t="str">
        <f aca="false">IF(2キー同時!$B$175="","",2キー同時!$B$175)</f>
        <v/>
      </c>
      <c r="E708" s="2" t="str">
        <f aca="false">""</f>
        <v/>
      </c>
      <c r="F708" s="2" t="str">
        <f aca="false">""</f>
        <v/>
      </c>
      <c r="G708" s="2" t="str">
        <f aca="false">IF(2キー同時!$B$175="","",IF(2キー同時!AN179="","",SUBSTITUTE(SUBSTITUTE(2キー同時!AN179," ",""),"　","")))</f>
        <v/>
      </c>
      <c r="H708" s="2" t="str">
        <f aca="false">IF($G708="","",2キー同時!$B$175)</f>
        <v/>
      </c>
      <c r="I708" s="2" t="str">
        <f aca="false">IF($G708="","","o")</f>
        <v/>
      </c>
      <c r="J708" s="2" t="str">
        <f aca="false">""</f>
        <v/>
      </c>
      <c r="K708" s="2" t="str">
        <f aca="false">""</f>
        <v/>
      </c>
      <c r="L708" s="2" t="str">
        <f aca="false">IF($G708="","","同時")</f>
        <v/>
      </c>
      <c r="M708" s="2" t="str">
        <f aca="false">IF($G708="","",IF(ISNA(MATCH($G708,個別指定!$A:$A,0)),"行なし",""))</f>
        <v/>
      </c>
      <c r="N708" s="2" t="str">
        <f aca="false">IF($G708="","",IF(COUNTIF($G$2:$G$4460,$G708)&gt;1,"重複",""))</f>
        <v/>
      </c>
    </row>
    <row r="709" customFormat="false" ht="16.5" hidden="false" customHeight="true" outlineLevel="0" collapsed="false">
      <c r="A709" s="2" t="s">
        <v>385</v>
      </c>
      <c r="B709" s="2" t="s">
        <v>399</v>
      </c>
      <c r="C709" s="2" t="s">
        <v>21</v>
      </c>
      <c r="D709" s="2" t="str">
        <f aca="false">IF(2キー同時!$B$175="","",2キー同時!$B$175)</f>
        <v/>
      </c>
      <c r="E709" s="2" t="str">
        <f aca="false">""</f>
        <v/>
      </c>
      <c r="F709" s="2" t="str">
        <f aca="false">""</f>
        <v/>
      </c>
      <c r="G709" s="2" t="str">
        <f aca="false">IF(2キー同時!$B$175="","",IF(2キー同時!AR179="","",SUBSTITUTE(SUBSTITUTE(2キー同時!AR179," ",""),"　","")))</f>
        <v/>
      </c>
      <c r="H709" s="2" t="str">
        <f aca="false">IF($G709="","",2キー同時!$B$175)</f>
        <v/>
      </c>
      <c r="I709" s="2" t="str">
        <f aca="false">IF($G709="","","p")</f>
        <v/>
      </c>
      <c r="J709" s="2" t="str">
        <f aca="false">""</f>
        <v/>
      </c>
      <c r="K709" s="2" t="str">
        <f aca="false">""</f>
        <v/>
      </c>
      <c r="L709" s="2" t="str">
        <f aca="false">IF($G709="","","同時")</f>
        <v/>
      </c>
      <c r="M709" s="2" t="str">
        <f aca="false">IF($G709="","",IF(ISNA(MATCH($G709,個別指定!$A:$A,0)),"行なし",""))</f>
        <v/>
      </c>
      <c r="N709" s="2" t="str">
        <f aca="false">IF($G709="","",IF(COUNTIF($G$2:$G$4460,$G709)&gt;1,"重複",""))</f>
        <v/>
      </c>
    </row>
    <row r="710" customFormat="false" ht="16.5" hidden="false" customHeight="true" outlineLevel="0" collapsed="false">
      <c r="A710" s="2" t="s">
        <v>385</v>
      </c>
      <c r="B710" s="2" t="s">
        <v>399</v>
      </c>
      <c r="C710" s="2" t="s">
        <v>22</v>
      </c>
      <c r="D710" s="2" t="str">
        <f aca="false">IF(2キー同時!$B$175="","",2キー同時!$B$175)</f>
        <v/>
      </c>
      <c r="E710" s="2" t="str">
        <f aca="false">""</f>
        <v/>
      </c>
      <c r="F710" s="2" t="str">
        <f aca="false">""</f>
        <v/>
      </c>
      <c r="G710" s="2" t="str">
        <f aca="false">IF(2キー同時!$B$175="","",IF(2キー同時!AV179="","",SUBSTITUTE(SUBSTITUTE(2キー同時!AV179," ",""),"　","")))</f>
        <v/>
      </c>
      <c r="H710" s="2" t="str">
        <f aca="false">IF($G710="","",2キー同時!$B$175)</f>
        <v/>
      </c>
      <c r="I710" s="2" t="str">
        <f aca="false">IF($G710="","","[")</f>
        <v/>
      </c>
      <c r="J710" s="2" t="str">
        <f aca="false">""</f>
        <v/>
      </c>
      <c r="K710" s="2" t="str">
        <f aca="false">""</f>
        <v/>
      </c>
      <c r="L710" s="2" t="str">
        <f aca="false">IF($G710="","","同時")</f>
        <v/>
      </c>
      <c r="M710" s="2" t="str">
        <f aca="false">IF($G710="","",IF(ISNA(MATCH($G710,個別指定!$A:$A,0)),"行なし",""))</f>
        <v/>
      </c>
      <c r="N710" s="2" t="str">
        <f aca="false">IF($G710="","",IF(COUNTIF($G$2:$G$4460,$G710)&gt;1,"重複",""))</f>
        <v/>
      </c>
    </row>
    <row r="711" customFormat="false" ht="16.5" hidden="false" customHeight="true" outlineLevel="0" collapsed="false">
      <c r="A711" s="2" t="s">
        <v>385</v>
      </c>
      <c r="B711" s="2" t="s">
        <v>399</v>
      </c>
      <c r="C711" s="2" t="s">
        <v>23</v>
      </c>
      <c r="D711" s="2" t="str">
        <f aca="false">IF(2キー同時!$B$175="","",2キー同時!$B$175)</f>
        <v/>
      </c>
      <c r="E711" s="2" t="str">
        <f aca="false">""</f>
        <v/>
      </c>
      <c r="F711" s="2" t="str">
        <f aca="false">""</f>
        <v/>
      </c>
      <c r="G711" s="2" t="str">
        <f aca="false">IF(2キー同時!$B$175="","",IF(2キー同時!AZ179="","",SUBSTITUTE(SUBSTITUTE(2キー同時!AZ179," ",""),"　","")))</f>
        <v/>
      </c>
      <c r="H711" s="2" t="str">
        <f aca="false">IF($G711="","",2キー同時!$B$175)</f>
        <v/>
      </c>
      <c r="I711" s="2" t="str">
        <f aca="false">IF($G711="","","]")</f>
        <v/>
      </c>
      <c r="J711" s="2" t="str">
        <f aca="false">""</f>
        <v/>
      </c>
      <c r="K711" s="2" t="str">
        <f aca="false">""</f>
        <v/>
      </c>
      <c r="L711" s="2" t="str">
        <f aca="false">IF($G711="","","同時")</f>
        <v/>
      </c>
      <c r="M711" s="2" t="str">
        <f aca="false">IF($G711="","",IF(ISNA(MATCH($G711,個別指定!$A:$A,0)),"行なし",""))</f>
        <v/>
      </c>
      <c r="N711" s="2" t="str">
        <f aca="false">IF($G711="","",IF(COUNTIF($G$2:$G$4460,$G711)&gt;1,"重複",""))</f>
        <v/>
      </c>
    </row>
    <row r="712" customFormat="false" ht="16.5" hidden="false" customHeight="true" outlineLevel="0" collapsed="false">
      <c r="A712" s="2" t="s">
        <v>385</v>
      </c>
      <c r="B712" s="2" t="s">
        <v>399</v>
      </c>
      <c r="C712" s="2" t="s">
        <v>24</v>
      </c>
      <c r="D712" s="2" t="str">
        <f aca="false">IF(2キー同時!$B$175="","",2キー同時!$B$175)</f>
        <v/>
      </c>
      <c r="E712" s="2" t="str">
        <f aca="false">""</f>
        <v/>
      </c>
      <c r="F712" s="2" t="str">
        <f aca="false">""</f>
        <v/>
      </c>
      <c r="G712" s="2" t="str">
        <f aca="false">IF(2キー同時!$B$175="","",IF(2キー同時!I181="","",SUBSTITUTE(SUBSTITUTE(2キー同時!I181," ",""),"　","")))</f>
        <v/>
      </c>
      <c r="H712" s="2" t="str">
        <f aca="false">IF($G712="","",2キー同時!$B$175)</f>
        <v/>
      </c>
      <c r="I712" s="2" t="str">
        <f aca="false">IF($G712="","","a")</f>
        <v/>
      </c>
      <c r="J712" s="2" t="str">
        <f aca="false">""</f>
        <v/>
      </c>
      <c r="K712" s="2" t="str">
        <f aca="false">""</f>
        <v/>
      </c>
      <c r="L712" s="2" t="str">
        <f aca="false">IF($G712="","","同時")</f>
        <v/>
      </c>
      <c r="M712" s="2" t="str">
        <f aca="false">IF($G712="","",IF(ISNA(MATCH($G712,個別指定!$A:$A,0)),"行なし",""))</f>
        <v/>
      </c>
      <c r="N712" s="2" t="str">
        <f aca="false">IF($G712="","",IF(COUNTIF($G$2:$G$4460,$G712)&gt;1,"重複",""))</f>
        <v/>
      </c>
    </row>
    <row r="713" customFormat="false" ht="16.5" hidden="false" customHeight="true" outlineLevel="0" collapsed="false">
      <c r="A713" s="2" t="s">
        <v>385</v>
      </c>
      <c r="B713" s="2" t="s">
        <v>399</v>
      </c>
      <c r="C713" s="2" t="s">
        <v>25</v>
      </c>
      <c r="D713" s="2" t="str">
        <f aca="false">IF(2キー同時!$B$175="","",2キー同時!$B$175)</f>
        <v/>
      </c>
      <c r="E713" s="2" t="str">
        <f aca="false">""</f>
        <v/>
      </c>
      <c r="F713" s="2" t="str">
        <f aca="false">""</f>
        <v/>
      </c>
      <c r="G713" s="2" t="str">
        <f aca="false">IF(2キー同時!$B$175="","",IF(2キー同時!M181="","",SUBSTITUTE(SUBSTITUTE(2キー同時!M181," ",""),"　","")))</f>
        <v/>
      </c>
      <c r="H713" s="2" t="str">
        <f aca="false">IF($G713="","",2キー同時!$B$175)</f>
        <v/>
      </c>
      <c r="I713" s="2" t="str">
        <f aca="false">IF($G713="","","s")</f>
        <v/>
      </c>
      <c r="J713" s="2" t="str">
        <f aca="false">""</f>
        <v/>
      </c>
      <c r="K713" s="2" t="str">
        <f aca="false">""</f>
        <v/>
      </c>
      <c r="L713" s="2" t="str">
        <f aca="false">IF($G713="","","同時")</f>
        <v/>
      </c>
      <c r="M713" s="2" t="str">
        <f aca="false">IF($G713="","",IF(ISNA(MATCH($G713,個別指定!$A:$A,0)),"行なし",""))</f>
        <v/>
      </c>
      <c r="N713" s="2" t="str">
        <f aca="false">IF($G713="","",IF(COUNTIF($G$2:$G$4460,$G713)&gt;1,"重複",""))</f>
        <v/>
      </c>
    </row>
    <row r="714" customFormat="false" ht="16.5" hidden="false" customHeight="true" outlineLevel="0" collapsed="false">
      <c r="A714" s="2" t="s">
        <v>385</v>
      </c>
      <c r="B714" s="2" t="s">
        <v>399</v>
      </c>
      <c r="C714" s="2" t="s">
        <v>26</v>
      </c>
      <c r="D714" s="2" t="str">
        <f aca="false">IF(2キー同時!$B$175="","",2キー同時!$B$175)</f>
        <v/>
      </c>
      <c r="E714" s="2" t="str">
        <f aca="false">""</f>
        <v/>
      </c>
      <c r="F714" s="2" t="str">
        <f aca="false">""</f>
        <v/>
      </c>
      <c r="G714" s="2" t="str">
        <f aca="false">IF(2キー同時!$B$175="","",IF(2キー同時!Q181="","",SUBSTITUTE(SUBSTITUTE(2キー同時!Q181," ",""),"　","")))</f>
        <v/>
      </c>
      <c r="H714" s="2" t="str">
        <f aca="false">IF($G714="","",2キー同時!$B$175)</f>
        <v/>
      </c>
      <c r="I714" s="2" t="str">
        <f aca="false">IF($G714="","","d")</f>
        <v/>
      </c>
      <c r="J714" s="2" t="str">
        <f aca="false">""</f>
        <v/>
      </c>
      <c r="K714" s="2" t="str">
        <f aca="false">""</f>
        <v/>
      </c>
      <c r="L714" s="2" t="str">
        <f aca="false">IF($G714="","","同時")</f>
        <v/>
      </c>
      <c r="M714" s="2" t="str">
        <f aca="false">IF($G714="","",IF(ISNA(MATCH($G714,個別指定!$A:$A,0)),"行なし",""))</f>
        <v/>
      </c>
      <c r="N714" s="2" t="str">
        <f aca="false">IF($G714="","",IF(COUNTIF($G$2:$G$4460,$G714)&gt;1,"重複",""))</f>
        <v/>
      </c>
    </row>
    <row r="715" customFormat="false" ht="16.5" hidden="false" customHeight="true" outlineLevel="0" collapsed="false">
      <c r="A715" s="2" t="s">
        <v>385</v>
      </c>
      <c r="B715" s="2" t="s">
        <v>399</v>
      </c>
      <c r="C715" s="2" t="s">
        <v>27</v>
      </c>
      <c r="D715" s="2" t="str">
        <f aca="false">IF(2キー同時!$B$175="","",2キー同時!$B$175)</f>
        <v/>
      </c>
      <c r="E715" s="2" t="str">
        <f aca="false">""</f>
        <v/>
      </c>
      <c r="F715" s="2" t="str">
        <f aca="false">""</f>
        <v/>
      </c>
      <c r="G715" s="2" t="str">
        <f aca="false">IF(2キー同時!$B$175="","",IF(2キー同時!U181="","",SUBSTITUTE(SUBSTITUTE(2キー同時!U181," ",""),"　","")))</f>
        <v/>
      </c>
      <c r="H715" s="2" t="str">
        <f aca="false">IF($G715="","",2キー同時!$B$175)</f>
        <v/>
      </c>
      <c r="I715" s="2" t="str">
        <f aca="false">IF($G715="","","f")</f>
        <v/>
      </c>
      <c r="J715" s="2" t="str">
        <f aca="false">""</f>
        <v/>
      </c>
      <c r="K715" s="2" t="str">
        <f aca="false">""</f>
        <v/>
      </c>
      <c r="L715" s="2" t="str">
        <f aca="false">IF($G715="","","同時")</f>
        <v/>
      </c>
      <c r="M715" s="2" t="str">
        <f aca="false">IF($G715="","",IF(ISNA(MATCH($G715,個別指定!$A:$A,0)),"行なし",""))</f>
        <v/>
      </c>
      <c r="N715" s="2" t="str">
        <f aca="false">IF($G715="","",IF(COUNTIF($G$2:$G$4460,$G715)&gt;1,"重複",""))</f>
        <v/>
      </c>
    </row>
    <row r="716" customFormat="false" ht="16.5" hidden="false" customHeight="true" outlineLevel="0" collapsed="false">
      <c r="A716" s="2" t="s">
        <v>385</v>
      </c>
      <c r="B716" s="2" t="s">
        <v>399</v>
      </c>
      <c r="C716" s="2" t="s">
        <v>28</v>
      </c>
      <c r="D716" s="2" t="str">
        <f aca="false">IF(2キー同時!$B$175="","",2キー同時!$B$175)</f>
        <v/>
      </c>
      <c r="E716" s="2" t="str">
        <f aca="false">""</f>
        <v/>
      </c>
      <c r="F716" s="2" t="str">
        <f aca="false">""</f>
        <v/>
      </c>
      <c r="G716" s="2" t="str">
        <f aca="false">IF(2キー同時!$B$175="","",IF(2キー同時!Y181="","",SUBSTITUTE(SUBSTITUTE(2キー同時!Y181," ",""),"　","")))</f>
        <v/>
      </c>
      <c r="H716" s="2" t="str">
        <f aca="false">IF($G716="","",2キー同時!$B$175)</f>
        <v/>
      </c>
      <c r="I716" s="2" t="str">
        <f aca="false">IF($G716="","","g")</f>
        <v/>
      </c>
      <c r="J716" s="2" t="str">
        <f aca="false">""</f>
        <v/>
      </c>
      <c r="K716" s="2" t="str">
        <f aca="false">""</f>
        <v/>
      </c>
      <c r="L716" s="2" t="str">
        <f aca="false">IF($G716="","","同時")</f>
        <v/>
      </c>
      <c r="M716" s="2" t="str">
        <f aca="false">IF($G716="","",IF(ISNA(MATCH($G716,個別指定!$A:$A,0)),"行なし",""))</f>
        <v/>
      </c>
      <c r="N716" s="2" t="str">
        <f aca="false">IF($G716="","",IF(COUNTIF($G$2:$G$4460,$G716)&gt;1,"重複",""))</f>
        <v/>
      </c>
    </row>
    <row r="717" customFormat="false" ht="16.5" hidden="false" customHeight="true" outlineLevel="0" collapsed="false">
      <c r="A717" s="2" t="s">
        <v>385</v>
      </c>
      <c r="B717" s="2" t="s">
        <v>399</v>
      </c>
      <c r="C717" s="2" t="s">
        <v>29</v>
      </c>
      <c r="D717" s="2" t="str">
        <f aca="false">IF(2キー同時!$B$175="","",2キー同時!$B$175)</f>
        <v/>
      </c>
      <c r="E717" s="2" t="str">
        <f aca="false">""</f>
        <v/>
      </c>
      <c r="F717" s="2" t="str">
        <f aca="false">""</f>
        <v/>
      </c>
      <c r="G717" s="2" t="str">
        <f aca="false">IF(2キー同時!$B$175="","",IF(2キー同時!AC181="","",SUBSTITUTE(SUBSTITUTE(2キー同時!AC181," ",""),"　","")))</f>
        <v/>
      </c>
      <c r="H717" s="2" t="str">
        <f aca="false">IF($G717="","",2キー同時!$B$175)</f>
        <v/>
      </c>
      <c r="I717" s="2" t="str">
        <f aca="false">IF($G717="","","h")</f>
        <v/>
      </c>
      <c r="J717" s="2" t="str">
        <f aca="false">""</f>
        <v/>
      </c>
      <c r="K717" s="2" t="str">
        <f aca="false">""</f>
        <v/>
      </c>
      <c r="L717" s="2" t="str">
        <f aca="false">IF($G717="","","同時")</f>
        <v/>
      </c>
      <c r="M717" s="2" t="str">
        <f aca="false">IF($G717="","",IF(ISNA(MATCH($G717,個別指定!$A:$A,0)),"行なし",""))</f>
        <v/>
      </c>
      <c r="N717" s="2" t="str">
        <f aca="false">IF($G717="","",IF(COUNTIF($G$2:$G$4460,$G717)&gt;1,"重複",""))</f>
        <v/>
      </c>
    </row>
    <row r="718" customFormat="false" ht="16.5" hidden="false" customHeight="true" outlineLevel="0" collapsed="false">
      <c r="A718" s="2" t="s">
        <v>385</v>
      </c>
      <c r="B718" s="2" t="s">
        <v>399</v>
      </c>
      <c r="C718" s="2" t="s">
        <v>30</v>
      </c>
      <c r="D718" s="2" t="str">
        <f aca="false">IF(2キー同時!$B$175="","",2キー同時!$B$175)</f>
        <v/>
      </c>
      <c r="E718" s="2" t="str">
        <f aca="false">""</f>
        <v/>
      </c>
      <c r="F718" s="2" t="str">
        <f aca="false">""</f>
        <v/>
      </c>
      <c r="G718" s="2" t="str">
        <f aca="false">IF(2キー同時!$B$175="","",IF(2キー同時!AG181="","",SUBSTITUTE(SUBSTITUTE(2キー同時!AG181," ",""),"　","")))</f>
        <v/>
      </c>
      <c r="H718" s="2" t="str">
        <f aca="false">IF($G718="","",2キー同時!$B$175)</f>
        <v/>
      </c>
      <c r="I718" s="2" t="str">
        <f aca="false">IF($G718="","","j")</f>
        <v/>
      </c>
      <c r="J718" s="2" t="str">
        <f aca="false">""</f>
        <v/>
      </c>
      <c r="K718" s="2" t="str">
        <f aca="false">""</f>
        <v/>
      </c>
      <c r="L718" s="2" t="str">
        <f aca="false">IF($G718="","","同時")</f>
        <v/>
      </c>
      <c r="M718" s="2" t="str">
        <f aca="false">IF($G718="","",IF(ISNA(MATCH($G718,個別指定!$A:$A,0)),"行なし",""))</f>
        <v/>
      </c>
      <c r="N718" s="2" t="str">
        <f aca="false">IF($G718="","",IF(COUNTIF($G$2:$G$4460,$G718)&gt;1,"重複",""))</f>
        <v/>
      </c>
    </row>
    <row r="719" customFormat="false" ht="16.5" hidden="false" customHeight="true" outlineLevel="0" collapsed="false">
      <c r="A719" s="2" t="s">
        <v>385</v>
      </c>
      <c r="B719" s="2" t="s">
        <v>399</v>
      </c>
      <c r="C719" s="2" t="s">
        <v>31</v>
      </c>
      <c r="D719" s="2" t="str">
        <f aca="false">IF(2キー同時!$B$175="","",2キー同時!$B$175)</f>
        <v/>
      </c>
      <c r="E719" s="2" t="str">
        <f aca="false">""</f>
        <v/>
      </c>
      <c r="F719" s="2" t="str">
        <f aca="false">""</f>
        <v/>
      </c>
      <c r="G719" s="2" t="str">
        <f aca="false">IF(2キー同時!$B$175="","",IF(2キー同時!AK181="","",SUBSTITUTE(SUBSTITUTE(2キー同時!AK181," ",""),"　","")))</f>
        <v/>
      </c>
      <c r="H719" s="2" t="str">
        <f aca="false">IF($G719="","",2キー同時!$B$175)</f>
        <v/>
      </c>
      <c r="I719" s="2" t="str">
        <f aca="false">IF($G719="","","k")</f>
        <v/>
      </c>
      <c r="J719" s="2" t="str">
        <f aca="false">""</f>
        <v/>
      </c>
      <c r="K719" s="2" t="str">
        <f aca="false">""</f>
        <v/>
      </c>
      <c r="L719" s="2" t="str">
        <f aca="false">IF($G719="","","同時")</f>
        <v/>
      </c>
      <c r="M719" s="2" t="str">
        <f aca="false">IF($G719="","",IF(ISNA(MATCH($G719,個別指定!$A:$A,0)),"行なし",""))</f>
        <v/>
      </c>
      <c r="N719" s="2" t="str">
        <f aca="false">IF($G719="","",IF(COUNTIF($G$2:$G$4460,$G719)&gt;1,"重複",""))</f>
        <v/>
      </c>
    </row>
    <row r="720" customFormat="false" ht="16.5" hidden="false" customHeight="true" outlineLevel="0" collapsed="false">
      <c r="A720" s="2" t="s">
        <v>385</v>
      </c>
      <c r="B720" s="2" t="s">
        <v>399</v>
      </c>
      <c r="C720" s="2" t="s">
        <v>32</v>
      </c>
      <c r="D720" s="2" t="str">
        <f aca="false">IF(2キー同時!$B$175="","",2キー同時!$B$175)</f>
        <v/>
      </c>
      <c r="E720" s="2" t="str">
        <f aca="false">""</f>
        <v/>
      </c>
      <c r="F720" s="2" t="str">
        <f aca="false">""</f>
        <v/>
      </c>
      <c r="G720" s="2" t="str">
        <f aca="false">IF(2キー同時!$B$175="","",IF(2キー同時!AO181="","",SUBSTITUTE(SUBSTITUTE(2キー同時!AO181," ",""),"　","")))</f>
        <v/>
      </c>
      <c r="H720" s="2" t="str">
        <f aca="false">IF($G720="","",2キー同時!$B$175)</f>
        <v/>
      </c>
      <c r="I720" s="2" t="str">
        <f aca="false">IF($G720="","","l")</f>
        <v/>
      </c>
      <c r="J720" s="2" t="str">
        <f aca="false">""</f>
        <v/>
      </c>
      <c r="K720" s="2" t="str">
        <f aca="false">""</f>
        <v/>
      </c>
      <c r="L720" s="2" t="str">
        <f aca="false">IF($G720="","","同時")</f>
        <v/>
      </c>
      <c r="M720" s="2" t="str">
        <f aca="false">IF($G720="","",IF(ISNA(MATCH($G720,個別指定!$A:$A,0)),"行なし",""))</f>
        <v/>
      </c>
      <c r="N720" s="2" t="str">
        <f aca="false">IF($G720="","",IF(COUNTIF($G$2:$G$4460,$G720)&gt;1,"重複",""))</f>
        <v/>
      </c>
    </row>
    <row r="721" customFormat="false" ht="16.5" hidden="false" customHeight="true" outlineLevel="0" collapsed="false">
      <c r="A721" s="2" t="s">
        <v>385</v>
      </c>
      <c r="B721" s="2" t="s">
        <v>399</v>
      </c>
      <c r="C721" s="2" t="s">
        <v>33</v>
      </c>
      <c r="D721" s="2" t="str">
        <f aca="false">IF(2キー同時!$B$175="","",2キー同時!$B$175)</f>
        <v/>
      </c>
      <c r="E721" s="2" t="str">
        <f aca="false">""</f>
        <v/>
      </c>
      <c r="F721" s="2" t="str">
        <f aca="false">""</f>
        <v/>
      </c>
      <c r="G721" s="2" t="str">
        <f aca="false">IF(2キー同時!$B$175="","",IF(2キー同時!AS181="","",SUBSTITUTE(SUBSTITUTE(2キー同時!AS181," ",""),"　","")))</f>
        <v/>
      </c>
      <c r="H721" s="2" t="str">
        <f aca="false">IF($G721="","",2キー同時!$B$175)</f>
        <v/>
      </c>
      <c r="I721" s="2" t="str">
        <f aca="false">IF($G721="","",";")</f>
        <v/>
      </c>
      <c r="J721" s="2" t="str">
        <f aca="false">""</f>
        <v/>
      </c>
      <c r="K721" s="2" t="str">
        <f aca="false">""</f>
        <v/>
      </c>
      <c r="L721" s="2" t="str">
        <f aca="false">IF($G721="","","同時")</f>
        <v/>
      </c>
      <c r="M721" s="2" t="str">
        <f aca="false">IF($G721="","",IF(ISNA(MATCH($G721,個別指定!$A:$A,0)),"行なし",""))</f>
        <v/>
      </c>
      <c r="N721" s="2" t="str">
        <f aca="false">IF($G721="","",IF(COUNTIF($G$2:$G$4460,$G721)&gt;1,"重複",""))</f>
        <v/>
      </c>
    </row>
    <row r="722" customFormat="false" ht="16.5" hidden="false" customHeight="true" outlineLevel="0" collapsed="false">
      <c r="A722" s="2" t="s">
        <v>385</v>
      </c>
      <c r="B722" s="2" t="s">
        <v>399</v>
      </c>
      <c r="C722" s="2" t="s">
        <v>34</v>
      </c>
      <c r="D722" s="2" t="str">
        <f aca="false">IF(2キー同時!$B$175="","",2キー同時!$B$175)</f>
        <v/>
      </c>
      <c r="E722" s="2" t="str">
        <f aca="false">""</f>
        <v/>
      </c>
      <c r="F722" s="2" t="str">
        <f aca="false">""</f>
        <v/>
      </c>
      <c r="G722" s="2" t="str">
        <f aca="false">IF(2キー同時!$B$175="","",IF(2キー同時!AW181="","",SUBSTITUTE(SUBSTITUTE(2キー同時!AW181," ",""),"　","")))</f>
        <v/>
      </c>
      <c r="H722" s="2" t="str">
        <f aca="false">IF($G722="","",2キー同時!$B$175)</f>
        <v/>
      </c>
      <c r="I722" s="2" t="str">
        <f aca="false">IF($G722="","","'")</f>
        <v/>
      </c>
      <c r="J722" s="2" t="str">
        <f aca="false">""</f>
        <v/>
      </c>
      <c r="K722" s="2" t="str">
        <f aca="false">""</f>
        <v/>
      </c>
      <c r="L722" s="2" t="str">
        <f aca="false">IF($G722="","","同時")</f>
        <v/>
      </c>
      <c r="M722" s="2" t="str">
        <f aca="false">IF($G722="","",IF(ISNA(MATCH($G722,個別指定!$A:$A,0)),"行なし",""))</f>
        <v/>
      </c>
      <c r="N722" s="2" t="str">
        <f aca="false">IF($G722="","",IF(COUNTIF($G$2:$G$4460,$G722)&gt;1,"重複",""))</f>
        <v/>
      </c>
    </row>
    <row r="723" customFormat="false" ht="16.5" hidden="false" customHeight="true" outlineLevel="0" collapsed="false">
      <c r="A723" s="2" t="s">
        <v>385</v>
      </c>
      <c r="B723" s="2" t="s">
        <v>399</v>
      </c>
      <c r="C723" s="2" t="s">
        <v>35</v>
      </c>
      <c r="D723" s="2" t="str">
        <f aca="false">IF(2キー同時!$B$175="","",2キー同時!$B$175)</f>
        <v/>
      </c>
      <c r="E723" s="2" t="str">
        <f aca="false">""</f>
        <v/>
      </c>
      <c r="F723" s="2" t="str">
        <f aca="false">""</f>
        <v/>
      </c>
      <c r="G723" s="2" t="str">
        <f aca="false">IF(2キー同時!$B$175="","",IF(2キー同時!K183="","",SUBSTITUTE(SUBSTITUTE(2キー同時!K183," ",""),"　","")))</f>
        <v/>
      </c>
      <c r="H723" s="2" t="str">
        <f aca="false">IF($G723="","",2キー同時!$B$175)</f>
        <v/>
      </c>
      <c r="I723" s="2" t="str">
        <f aca="false">IF($G723="","","z")</f>
        <v/>
      </c>
      <c r="J723" s="2" t="str">
        <f aca="false">""</f>
        <v/>
      </c>
      <c r="K723" s="2" t="str">
        <f aca="false">""</f>
        <v/>
      </c>
      <c r="L723" s="2" t="str">
        <f aca="false">IF($G723="","","同時")</f>
        <v/>
      </c>
      <c r="M723" s="2" t="str">
        <f aca="false">IF($G723="","",IF(ISNA(MATCH($G723,個別指定!$A:$A,0)),"行なし",""))</f>
        <v/>
      </c>
      <c r="N723" s="2" t="str">
        <f aca="false">IF($G723="","",IF(COUNTIF($G$2:$G$4460,$G723)&gt;1,"重複",""))</f>
        <v/>
      </c>
    </row>
    <row r="724" customFormat="false" ht="16.5" hidden="false" customHeight="true" outlineLevel="0" collapsed="false">
      <c r="A724" s="2" t="s">
        <v>385</v>
      </c>
      <c r="B724" s="2" t="s">
        <v>399</v>
      </c>
      <c r="C724" s="2" t="s">
        <v>36</v>
      </c>
      <c r="D724" s="2" t="str">
        <f aca="false">IF(2キー同時!$B$175="","",2キー同時!$B$175)</f>
        <v/>
      </c>
      <c r="E724" s="2" t="str">
        <f aca="false">""</f>
        <v/>
      </c>
      <c r="F724" s="2" t="str">
        <f aca="false">""</f>
        <v/>
      </c>
      <c r="G724" s="2" t="str">
        <f aca="false">IF(2キー同時!$B$175="","",IF(2キー同時!O183="","",SUBSTITUTE(SUBSTITUTE(2キー同時!O183," ",""),"　","")))</f>
        <v/>
      </c>
      <c r="H724" s="2" t="str">
        <f aca="false">IF($G724="","",2キー同時!$B$175)</f>
        <v/>
      </c>
      <c r="I724" s="2" t="str">
        <f aca="false">IF($G724="","","x")</f>
        <v/>
      </c>
      <c r="J724" s="2" t="str">
        <f aca="false">""</f>
        <v/>
      </c>
      <c r="K724" s="2" t="str">
        <f aca="false">""</f>
        <v/>
      </c>
      <c r="L724" s="2" t="str">
        <f aca="false">IF($G724="","","同時")</f>
        <v/>
      </c>
      <c r="M724" s="2" t="str">
        <f aca="false">IF($G724="","",IF(ISNA(MATCH($G724,個別指定!$A:$A,0)),"行なし",""))</f>
        <v/>
      </c>
      <c r="N724" s="2" t="str">
        <f aca="false">IF($G724="","",IF(COUNTIF($G$2:$G$4460,$G724)&gt;1,"重複",""))</f>
        <v/>
      </c>
    </row>
    <row r="725" customFormat="false" ht="16.5" hidden="false" customHeight="true" outlineLevel="0" collapsed="false">
      <c r="A725" s="2" t="s">
        <v>385</v>
      </c>
      <c r="B725" s="2" t="s">
        <v>399</v>
      </c>
      <c r="C725" s="2" t="s">
        <v>37</v>
      </c>
      <c r="D725" s="2" t="str">
        <f aca="false">IF(2キー同時!$B$175="","",2キー同時!$B$175)</f>
        <v/>
      </c>
      <c r="E725" s="2" t="str">
        <f aca="false">""</f>
        <v/>
      </c>
      <c r="F725" s="2" t="str">
        <f aca="false">""</f>
        <v/>
      </c>
      <c r="G725" s="2" t="str">
        <f aca="false">IF(2キー同時!$B$175="","",IF(2キー同時!S183="","",SUBSTITUTE(SUBSTITUTE(2キー同時!S183," ",""),"　","")))</f>
        <v/>
      </c>
      <c r="H725" s="2" t="str">
        <f aca="false">IF($G725="","",2キー同時!$B$175)</f>
        <v/>
      </c>
      <c r="I725" s="2" t="str">
        <f aca="false">IF($G725="","","c")</f>
        <v/>
      </c>
      <c r="J725" s="2" t="str">
        <f aca="false">""</f>
        <v/>
      </c>
      <c r="K725" s="2" t="str">
        <f aca="false">""</f>
        <v/>
      </c>
      <c r="L725" s="2" t="str">
        <f aca="false">IF($G725="","","同時")</f>
        <v/>
      </c>
      <c r="M725" s="2" t="str">
        <f aca="false">IF($G725="","",IF(ISNA(MATCH($G725,個別指定!$A:$A,0)),"行なし",""))</f>
        <v/>
      </c>
      <c r="N725" s="2" t="str">
        <f aca="false">IF($G725="","",IF(COUNTIF($G$2:$G$4460,$G725)&gt;1,"重複",""))</f>
        <v/>
      </c>
    </row>
    <row r="726" customFormat="false" ht="16.5" hidden="false" customHeight="true" outlineLevel="0" collapsed="false">
      <c r="A726" s="2" t="s">
        <v>385</v>
      </c>
      <c r="B726" s="2" t="s">
        <v>399</v>
      </c>
      <c r="C726" s="2" t="s">
        <v>38</v>
      </c>
      <c r="D726" s="2" t="str">
        <f aca="false">IF(2キー同時!$B$175="","",2キー同時!$B$175)</f>
        <v/>
      </c>
      <c r="E726" s="2" t="str">
        <f aca="false">""</f>
        <v/>
      </c>
      <c r="F726" s="2" t="str">
        <f aca="false">""</f>
        <v/>
      </c>
      <c r="G726" s="2" t="str">
        <f aca="false">IF(2キー同時!$B$175="","",IF(2キー同時!W183="","",SUBSTITUTE(SUBSTITUTE(2キー同時!W183," ",""),"　","")))</f>
        <v/>
      </c>
      <c r="H726" s="2" t="str">
        <f aca="false">IF($G726="","",2キー同時!$B$175)</f>
        <v/>
      </c>
      <c r="I726" s="2" t="str">
        <f aca="false">IF($G726="","","v")</f>
        <v/>
      </c>
      <c r="J726" s="2" t="str">
        <f aca="false">""</f>
        <v/>
      </c>
      <c r="K726" s="2" t="str">
        <f aca="false">""</f>
        <v/>
      </c>
      <c r="L726" s="2" t="str">
        <f aca="false">IF($G726="","","同時")</f>
        <v/>
      </c>
      <c r="M726" s="2" t="str">
        <f aca="false">IF($G726="","",IF(ISNA(MATCH($G726,個別指定!$A:$A,0)),"行なし",""))</f>
        <v/>
      </c>
      <c r="N726" s="2" t="str">
        <f aca="false">IF($G726="","",IF(COUNTIF($G$2:$G$4460,$G726)&gt;1,"重複",""))</f>
        <v/>
      </c>
    </row>
    <row r="727" customFormat="false" ht="16.5" hidden="false" customHeight="true" outlineLevel="0" collapsed="false">
      <c r="A727" s="2" t="s">
        <v>385</v>
      </c>
      <c r="B727" s="2" t="s">
        <v>399</v>
      </c>
      <c r="C727" s="2" t="s">
        <v>39</v>
      </c>
      <c r="D727" s="2" t="str">
        <f aca="false">IF(2キー同時!$B$175="","",2キー同時!$B$175)</f>
        <v/>
      </c>
      <c r="E727" s="2" t="str">
        <f aca="false">""</f>
        <v/>
      </c>
      <c r="F727" s="2" t="str">
        <f aca="false">""</f>
        <v/>
      </c>
      <c r="G727" s="2" t="str">
        <f aca="false">IF(2キー同時!$B$175="","",IF(2キー同時!AA183="","",SUBSTITUTE(SUBSTITUTE(2キー同時!AA183," ",""),"　","")))</f>
        <v/>
      </c>
      <c r="H727" s="2" t="str">
        <f aca="false">IF($G727="","",2キー同時!$B$175)</f>
        <v/>
      </c>
      <c r="I727" s="2" t="str">
        <f aca="false">IF($G727="","","b")</f>
        <v/>
      </c>
      <c r="J727" s="2" t="str">
        <f aca="false">""</f>
        <v/>
      </c>
      <c r="K727" s="2" t="str">
        <f aca="false">""</f>
        <v/>
      </c>
      <c r="L727" s="2" t="str">
        <f aca="false">IF($G727="","","同時")</f>
        <v/>
      </c>
      <c r="M727" s="2" t="str">
        <f aca="false">IF($G727="","",IF(ISNA(MATCH($G727,個別指定!$A:$A,0)),"行なし",""))</f>
        <v/>
      </c>
      <c r="N727" s="2" t="str">
        <f aca="false">IF($G727="","",IF(COUNTIF($G$2:$G$4460,$G727)&gt;1,"重複",""))</f>
        <v/>
      </c>
    </row>
    <row r="728" customFormat="false" ht="16.5" hidden="false" customHeight="true" outlineLevel="0" collapsed="false">
      <c r="A728" s="2" t="s">
        <v>385</v>
      </c>
      <c r="B728" s="2" t="s">
        <v>399</v>
      </c>
      <c r="C728" s="2" t="s">
        <v>40</v>
      </c>
      <c r="D728" s="2" t="str">
        <f aca="false">IF(2キー同時!$B$175="","",2キー同時!$B$175)</f>
        <v/>
      </c>
      <c r="E728" s="2" t="str">
        <f aca="false">""</f>
        <v/>
      </c>
      <c r="F728" s="2" t="str">
        <f aca="false">""</f>
        <v/>
      </c>
      <c r="G728" s="2" t="str">
        <f aca="false">IF(2キー同時!$B$175="","",IF(2キー同時!AE183="","",SUBSTITUTE(SUBSTITUTE(2キー同時!AE183," ",""),"　","")))</f>
        <v/>
      </c>
      <c r="H728" s="2" t="str">
        <f aca="false">IF($G728="","",2キー同時!$B$175)</f>
        <v/>
      </c>
      <c r="I728" s="2" t="str">
        <f aca="false">IF($G728="","","n")</f>
        <v/>
      </c>
      <c r="J728" s="2" t="str">
        <f aca="false">""</f>
        <v/>
      </c>
      <c r="K728" s="2" t="str">
        <f aca="false">""</f>
        <v/>
      </c>
      <c r="L728" s="2" t="str">
        <f aca="false">IF($G728="","","同時")</f>
        <v/>
      </c>
      <c r="M728" s="2" t="str">
        <f aca="false">IF($G728="","",IF(ISNA(MATCH($G728,個別指定!$A:$A,0)),"行なし",""))</f>
        <v/>
      </c>
      <c r="N728" s="2" t="str">
        <f aca="false">IF($G728="","",IF(COUNTIF($G$2:$G$4460,$G728)&gt;1,"重複",""))</f>
        <v/>
      </c>
    </row>
    <row r="729" customFormat="false" ht="16.5" hidden="false" customHeight="true" outlineLevel="0" collapsed="false">
      <c r="A729" s="2" t="s">
        <v>385</v>
      </c>
      <c r="B729" s="2" t="s">
        <v>399</v>
      </c>
      <c r="C729" s="2" t="s">
        <v>41</v>
      </c>
      <c r="D729" s="2" t="str">
        <f aca="false">IF(2キー同時!$B$175="","",2キー同時!$B$175)</f>
        <v/>
      </c>
      <c r="E729" s="2" t="str">
        <f aca="false">""</f>
        <v/>
      </c>
      <c r="F729" s="2" t="str">
        <f aca="false">""</f>
        <v/>
      </c>
      <c r="G729" s="2" t="str">
        <f aca="false">IF(2キー同時!$B$175="","",IF(2キー同時!AI183="","",SUBSTITUTE(SUBSTITUTE(2キー同時!AI183," ",""),"　","")))</f>
        <v/>
      </c>
      <c r="H729" s="2" t="str">
        <f aca="false">IF($G729="","",2キー同時!$B$175)</f>
        <v/>
      </c>
      <c r="I729" s="2" t="str">
        <f aca="false">IF($G729="","","m")</f>
        <v/>
      </c>
      <c r="J729" s="2" t="str">
        <f aca="false">""</f>
        <v/>
      </c>
      <c r="K729" s="2" t="str">
        <f aca="false">""</f>
        <v/>
      </c>
      <c r="L729" s="2" t="str">
        <f aca="false">IF($G729="","","同時")</f>
        <v/>
      </c>
      <c r="M729" s="2" t="str">
        <f aca="false">IF($G729="","",IF(ISNA(MATCH($G729,個別指定!$A:$A,0)),"行なし",""))</f>
        <v/>
      </c>
      <c r="N729" s="2" t="str">
        <f aca="false">IF($G729="","",IF(COUNTIF($G$2:$G$4460,$G729)&gt;1,"重複",""))</f>
        <v/>
      </c>
    </row>
    <row r="730" customFormat="false" ht="16.5" hidden="false" customHeight="true" outlineLevel="0" collapsed="false">
      <c r="A730" s="2" t="s">
        <v>385</v>
      </c>
      <c r="B730" s="2" t="s">
        <v>399</v>
      </c>
      <c r="C730" s="2" t="s">
        <v>42</v>
      </c>
      <c r="D730" s="2" t="str">
        <f aca="false">IF(2キー同時!$B$175="","",2キー同時!$B$175)</f>
        <v/>
      </c>
      <c r="E730" s="2" t="str">
        <f aca="false">""</f>
        <v/>
      </c>
      <c r="F730" s="2" t="str">
        <f aca="false">""</f>
        <v/>
      </c>
      <c r="G730" s="2" t="str">
        <f aca="false">IF(2キー同時!$B$175="","",IF(2キー同時!AM183="","",SUBSTITUTE(SUBSTITUTE(2キー同時!AM183," ",""),"　","")))</f>
        <v/>
      </c>
      <c r="H730" s="2" t="str">
        <f aca="false">IF($G730="","",2キー同時!$B$175)</f>
        <v/>
      </c>
      <c r="I730" s="2" t="str">
        <f aca="false">IF($G730="","",",")</f>
        <v/>
      </c>
      <c r="J730" s="2" t="str">
        <f aca="false">""</f>
        <v/>
      </c>
      <c r="K730" s="2" t="str">
        <f aca="false">""</f>
        <v/>
      </c>
      <c r="L730" s="2" t="str">
        <f aca="false">IF($G730="","","同時")</f>
        <v/>
      </c>
      <c r="M730" s="2" t="str">
        <f aca="false">IF($G730="","",IF(ISNA(MATCH($G730,個別指定!$A:$A,0)),"行なし",""))</f>
        <v/>
      </c>
      <c r="N730" s="2" t="str">
        <f aca="false">IF($G730="","",IF(COUNTIF($G$2:$G$4460,$G730)&gt;1,"重複",""))</f>
        <v/>
      </c>
    </row>
    <row r="731" customFormat="false" ht="16.5" hidden="false" customHeight="true" outlineLevel="0" collapsed="false">
      <c r="A731" s="2" t="s">
        <v>385</v>
      </c>
      <c r="B731" s="2" t="s">
        <v>399</v>
      </c>
      <c r="C731" s="2" t="s">
        <v>43</v>
      </c>
      <c r="D731" s="2" t="str">
        <f aca="false">IF(2キー同時!$B$175="","",2キー同時!$B$175)</f>
        <v/>
      </c>
      <c r="E731" s="2" t="str">
        <f aca="false">""</f>
        <v/>
      </c>
      <c r="F731" s="2" t="str">
        <f aca="false">""</f>
        <v/>
      </c>
      <c r="G731" s="2" t="str">
        <f aca="false">IF(2キー同時!$B$175="","",IF(2キー同時!AQ183="","",SUBSTITUTE(SUBSTITUTE(2キー同時!AQ183," ",""),"　","")))</f>
        <v/>
      </c>
      <c r="H731" s="2" t="str">
        <f aca="false">IF($G731="","",2キー同時!$B$175)</f>
        <v/>
      </c>
      <c r="I731" s="2" t="str">
        <f aca="false">IF($G731="","",".")</f>
        <v/>
      </c>
      <c r="J731" s="2" t="str">
        <f aca="false">""</f>
        <v/>
      </c>
      <c r="K731" s="2" t="str">
        <f aca="false">""</f>
        <v/>
      </c>
      <c r="L731" s="2" t="str">
        <f aca="false">IF($G731="","","同時")</f>
        <v/>
      </c>
      <c r="M731" s="2" t="str">
        <f aca="false">IF($G731="","",IF(ISNA(MATCH($G731,個別指定!$A:$A,0)),"行なし",""))</f>
        <v/>
      </c>
      <c r="N731" s="2" t="str">
        <f aca="false">IF($G731="","",IF(COUNTIF($G$2:$G$4460,$G731)&gt;1,"重複",""))</f>
        <v/>
      </c>
    </row>
    <row r="732" customFormat="false" ht="16.5" hidden="false" customHeight="true" outlineLevel="0" collapsed="false">
      <c r="A732" s="2" t="s">
        <v>385</v>
      </c>
      <c r="B732" s="2" t="s">
        <v>399</v>
      </c>
      <c r="C732" s="2" t="s">
        <v>44</v>
      </c>
      <c r="D732" s="2" t="str">
        <f aca="false">IF(2キー同時!$B$175="","",2キー同時!$B$175)</f>
        <v/>
      </c>
      <c r="E732" s="2" t="str">
        <f aca="false">""</f>
        <v/>
      </c>
      <c r="F732" s="2" t="str">
        <f aca="false">""</f>
        <v/>
      </c>
      <c r="G732" s="2" t="str">
        <f aca="false">IF(2キー同時!$B$175="","",IF(2キー同時!AU183="","",SUBSTITUTE(SUBSTITUTE(2キー同時!AU183," ",""),"　","")))</f>
        <v/>
      </c>
      <c r="H732" s="2" t="str">
        <f aca="false">IF($G732="","",2キー同時!$B$175)</f>
        <v/>
      </c>
      <c r="I732" s="2" t="str">
        <f aca="false">IF($G732="","","/")</f>
        <v/>
      </c>
      <c r="J732" s="2" t="str">
        <f aca="false">""</f>
        <v/>
      </c>
      <c r="K732" s="2" t="str">
        <f aca="false">""</f>
        <v/>
      </c>
      <c r="L732" s="2" t="str">
        <f aca="false">IF($G732="","","同時")</f>
        <v/>
      </c>
      <c r="M732" s="2" t="str">
        <f aca="false">IF($G732="","",IF(ISNA(MATCH($G732,個別指定!$A:$A,0)),"行なし",""))</f>
        <v/>
      </c>
      <c r="N732" s="2" t="str">
        <f aca="false">IF($G732="","",IF(COUNTIF($G$2:$G$4460,$G732)&gt;1,"重複",""))</f>
        <v/>
      </c>
    </row>
    <row r="733" customFormat="false" ht="16.5" hidden="false" customHeight="true" outlineLevel="0" collapsed="false">
      <c r="A733" s="2" t="s">
        <v>385</v>
      </c>
      <c r="B733" s="2" t="s">
        <v>399</v>
      </c>
      <c r="C733" s="2" t="s">
        <v>48</v>
      </c>
      <c r="D733" s="2" t="str">
        <f aca="false">IF(2キー同時!$B$175="","",2キー同時!$B$175)</f>
        <v/>
      </c>
      <c r="E733" s="2" t="str">
        <f aca="false">""</f>
        <v/>
      </c>
      <c r="F733" s="2" t="str">
        <f aca="false">""</f>
        <v/>
      </c>
      <c r="G733" s="2" t="str">
        <f aca="false">IF(2キー同時!$B$175="","",IF(2キー同時!P185="","",SUBSTITUTE(SUBSTITUTE(2キー同時!P185," ",""),"　","")))</f>
        <v/>
      </c>
      <c r="H733" s="2" t="str">
        <f aca="false">IF($G733="","",2キー同時!$B$175)</f>
        <v/>
      </c>
      <c r="I733" s="2" t="str">
        <f aca="false">IF($G733="","","muhenkan")</f>
        <v/>
      </c>
      <c r="J733" s="2" t="str">
        <f aca="false">""</f>
        <v/>
      </c>
      <c r="K733" s="2" t="str">
        <f aca="false">""</f>
        <v/>
      </c>
      <c r="L733" s="2" t="str">
        <f aca="false">IF($G733="","","同時")</f>
        <v/>
      </c>
      <c r="M733" s="2" t="str">
        <f aca="false">IF($G733="","",IF(ISNA(MATCH($G733,個別指定!$A:$A,0)),"行なし",""))</f>
        <v/>
      </c>
      <c r="N733" s="2" t="str">
        <f aca="false">IF($G733="","",IF(COUNTIF($G$2:$G$4460,$G733)&gt;1,"重複",""))</f>
        <v/>
      </c>
    </row>
    <row r="734" customFormat="false" ht="16.5" hidden="false" customHeight="true" outlineLevel="0" collapsed="false">
      <c r="A734" s="2" t="s">
        <v>385</v>
      </c>
      <c r="B734" s="2" t="s">
        <v>399</v>
      </c>
      <c r="C734" s="2" t="s">
        <v>50</v>
      </c>
      <c r="D734" s="2" t="str">
        <f aca="false">IF(2キー同時!$B$175="","",2キー同時!$B$175)</f>
        <v/>
      </c>
      <c r="E734" s="2" t="str">
        <f aca="false">""</f>
        <v/>
      </c>
      <c r="F734" s="2" t="str">
        <f aca="false">""</f>
        <v/>
      </c>
      <c r="G734" s="2" t="str">
        <f aca="false">IF(2キー同時!$B$175="","",IF(2キー同時!T185="","",SUBSTITUTE(SUBSTITUTE(2キー同時!T185," ",""),"　","")))</f>
        <v/>
      </c>
      <c r="H734" s="2" t="str">
        <f aca="false">IF($G734="","",2キー同時!$B$175)</f>
        <v/>
      </c>
      <c r="I734" s="2" t="str">
        <f aca="false">IF($G734="","","space")</f>
        <v/>
      </c>
      <c r="J734" s="2" t="str">
        <f aca="false">""</f>
        <v/>
      </c>
      <c r="K734" s="2" t="str">
        <f aca="false">""</f>
        <v/>
      </c>
      <c r="L734" s="2" t="str">
        <f aca="false">IF($G734="","","同時")</f>
        <v/>
      </c>
      <c r="M734" s="2" t="str">
        <f aca="false">IF($G734="","",IF(ISNA(MATCH($G734,個別指定!$A:$A,0)),"行なし",""))</f>
        <v/>
      </c>
      <c r="N734" s="2" t="str">
        <f aca="false">IF($G734="","",IF(COUNTIF($G$2:$G$4460,$G734)&gt;1,"重複",""))</f>
        <v/>
      </c>
    </row>
    <row r="735" customFormat="false" ht="16.5" hidden="false" customHeight="true" outlineLevel="0" collapsed="false">
      <c r="A735" s="2" t="s">
        <v>385</v>
      </c>
      <c r="B735" s="2" t="s">
        <v>399</v>
      </c>
      <c r="C735" s="2" t="s">
        <v>45</v>
      </c>
      <c r="D735" s="2" t="str">
        <f aca="false">IF(2キー同時!$B$175="","",2キー同時!$B$175)</f>
        <v/>
      </c>
      <c r="E735" s="2" t="str">
        <f aca="false">""</f>
        <v/>
      </c>
      <c r="F735" s="2" t="str">
        <f aca="false">""</f>
        <v/>
      </c>
      <c r="G735" s="2" t="str">
        <f aca="false">IF(2キー同時!$B$175="","",IF(2キー同時!AL185="","",SUBSTITUTE(SUBSTITUTE(2キー同時!AL185," ",""),"　","")))</f>
        <v/>
      </c>
      <c r="H735" s="2" t="str">
        <f aca="false">IF($G735="","",2キー同時!$B$175)</f>
        <v/>
      </c>
      <c r="I735" s="2" t="str">
        <f aca="false">IF($G735="","","henkan")</f>
        <v/>
      </c>
      <c r="J735" s="2" t="str">
        <f aca="false">""</f>
        <v/>
      </c>
      <c r="K735" s="2" t="str">
        <f aca="false">""</f>
        <v/>
      </c>
      <c r="L735" s="2" t="str">
        <f aca="false">IF($G735="","","同時")</f>
        <v/>
      </c>
      <c r="M735" s="2" t="str">
        <f aca="false">IF($G735="","",IF(ISNA(MATCH($G735,個別指定!$A:$A,0)),"行なし",""))</f>
        <v/>
      </c>
      <c r="N735" s="2" t="str">
        <f aca="false">IF($G735="","",IF(COUNTIF($G$2:$G$4460,$G735)&gt;1,"重複",""))</f>
        <v/>
      </c>
    </row>
    <row r="736" customFormat="false" ht="16.5" hidden="false" customHeight="true" outlineLevel="0" collapsed="false">
      <c r="A736" s="2" t="s">
        <v>385</v>
      </c>
      <c r="B736" s="2" t="s">
        <v>399</v>
      </c>
      <c r="C736" s="2" t="s">
        <v>46</v>
      </c>
      <c r="D736" s="2" t="str">
        <f aca="false">IF(2キー同時!$B$175="","",2キー同時!$B$175)</f>
        <v/>
      </c>
      <c r="E736" s="2" t="str">
        <f aca="false">""</f>
        <v/>
      </c>
      <c r="F736" s="2" t="str">
        <f aca="false">""</f>
        <v/>
      </c>
      <c r="G736" s="2" t="str">
        <f aca="false">IF(2キー同時!$B$175="","",IF(2キー同時!AP185="","",SUBSTITUTE(SUBSTITUTE(2キー同時!AP185," ",""),"　","")))</f>
        <v/>
      </c>
      <c r="H736" s="2" t="str">
        <f aca="false">IF($G736="","",2キー同時!$B$175)</f>
        <v/>
      </c>
      <c r="I736" s="2" t="str">
        <f aca="false">IF($G736="","","kana")</f>
        <v/>
      </c>
      <c r="J736" s="2" t="str">
        <f aca="false">""</f>
        <v/>
      </c>
      <c r="K736" s="2" t="str">
        <f aca="false">""</f>
        <v/>
      </c>
      <c r="L736" s="2" t="str">
        <f aca="false">IF($G736="","","同時")</f>
        <v/>
      </c>
      <c r="M736" s="2" t="str">
        <f aca="false">IF($G736="","",IF(ISNA(MATCH($G736,個別指定!$A:$A,0)),"行なし",""))</f>
        <v/>
      </c>
      <c r="N736" s="2" t="str">
        <f aca="false">IF($G736="","",IF(COUNTIF($G$2:$G$4460,$G736)&gt;1,"重複",""))</f>
        <v/>
      </c>
    </row>
    <row r="737" customFormat="false" ht="16.5" hidden="false" customHeight="true" outlineLevel="0" collapsed="false">
      <c r="A737" s="2" t="s">
        <v>385</v>
      </c>
      <c r="B737" s="2" t="s">
        <v>400</v>
      </c>
      <c r="C737" s="2" t="s">
        <v>0</v>
      </c>
      <c r="D737" s="2" t="str">
        <f aca="false">IF(2キー同時!$B$188="","",2キー同時!$B$188)</f>
        <v/>
      </c>
      <c r="E737" s="2" t="str">
        <f aca="false">""</f>
        <v/>
      </c>
      <c r="F737" s="2" t="str">
        <f aca="false">""</f>
        <v/>
      </c>
      <c r="G737" s="2" t="str">
        <f aca="false">IF(2キー同時!$B$188="","",IF(2キー同時!F190="","",SUBSTITUTE(SUBSTITUTE(2キー同時!F190," ",""),"　","")))</f>
        <v/>
      </c>
      <c r="H737" s="2" t="str">
        <f aca="false">IF($G737="","",2キー同時!$B$188)</f>
        <v/>
      </c>
      <c r="I737" s="2" t="str">
        <f aca="false">IF($G737="","","1")</f>
        <v/>
      </c>
      <c r="J737" s="2" t="str">
        <f aca="false">""</f>
        <v/>
      </c>
      <c r="K737" s="2" t="str">
        <f aca="false">""</f>
        <v/>
      </c>
      <c r="L737" s="2" t="str">
        <f aca="false">IF($G737="","","同時")</f>
        <v/>
      </c>
      <c r="M737" s="2" t="str">
        <f aca="false">IF($G737="","",IF(ISNA(MATCH($G737,個別指定!$A:$A,0)),"行なし",""))</f>
        <v/>
      </c>
      <c r="N737" s="2" t="str">
        <f aca="false">IF($G737="","",IF(COUNTIF($G$2:$G$4460,$G737)&gt;1,"重複",""))</f>
        <v/>
      </c>
    </row>
    <row r="738" customFormat="false" ht="16.5" hidden="false" customHeight="true" outlineLevel="0" collapsed="false">
      <c r="A738" s="2" t="s">
        <v>385</v>
      </c>
      <c r="B738" s="2" t="s">
        <v>400</v>
      </c>
      <c r="C738" s="2" t="s">
        <v>1</v>
      </c>
      <c r="D738" s="2" t="str">
        <f aca="false">IF(2キー同時!$B$188="","",2キー同時!$B$188)</f>
        <v/>
      </c>
      <c r="E738" s="2" t="str">
        <f aca="false">""</f>
        <v/>
      </c>
      <c r="F738" s="2" t="str">
        <f aca="false">""</f>
        <v/>
      </c>
      <c r="G738" s="2" t="str">
        <f aca="false">IF(2キー同時!$B$188="","",IF(2キー同時!J190="","",SUBSTITUTE(SUBSTITUTE(2キー同時!J190," ",""),"　","")))</f>
        <v/>
      </c>
      <c r="H738" s="2" t="str">
        <f aca="false">IF($G738="","",2キー同時!$B$188)</f>
        <v/>
      </c>
      <c r="I738" s="2" t="str">
        <f aca="false">IF($G738="","","2")</f>
        <v/>
      </c>
      <c r="J738" s="2" t="str">
        <f aca="false">""</f>
        <v/>
      </c>
      <c r="K738" s="2" t="str">
        <f aca="false">""</f>
        <v/>
      </c>
      <c r="L738" s="2" t="str">
        <f aca="false">IF($G738="","","同時")</f>
        <v/>
      </c>
      <c r="M738" s="2" t="str">
        <f aca="false">IF($G738="","",IF(ISNA(MATCH($G738,個別指定!$A:$A,0)),"行なし",""))</f>
        <v/>
      </c>
      <c r="N738" s="2" t="str">
        <f aca="false">IF($G738="","",IF(COUNTIF($G$2:$G$4460,$G738)&gt;1,"重複",""))</f>
        <v/>
      </c>
    </row>
    <row r="739" customFormat="false" ht="16.5" hidden="false" customHeight="true" outlineLevel="0" collapsed="false">
      <c r="A739" s="2" t="s">
        <v>385</v>
      </c>
      <c r="B739" s="2" t="s">
        <v>400</v>
      </c>
      <c r="C739" s="2" t="s">
        <v>2</v>
      </c>
      <c r="D739" s="2" t="str">
        <f aca="false">IF(2キー同時!$B$188="","",2キー同時!$B$188)</f>
        <v/>
      </c>
      <c r="E739" s="2" t="str">
        <f aca="false">""</f>
        <v/>
      </c>
      <c r="F739" s="2" t="str">
        <f aca="false">""</f>
        <v/>
      </c>
      <c r="G739" s="2" t="str">
        <f aca="false">IF(2キー同時!$B$188="","",IF(2キー同時!N190="","",SUBSTITUTE(SUBSTITUTE(2キー同時!N190," ",""),"　","")))</f>
        <v/>
      </c>
      <c r="H739" s="2" t="str">
        <f aca="false">IF($G739="","",2キー同時!$B$188)</f>
        <v/>
      </c>
      <c r="I739" s="2" t="str">
        <f aca="false">IF($G739="","","3")</f>
        <v/>
      </c>
      <c r="J739" s="2" t="str">
        <f aca="false">""</f>
        <v/>
      </c>
      <c r="K739" s="2" t="str">
        <f aca="false">""</f>
        <v/>
      </c>
      <c r="L739" s="2" t="str">
        <f aca="false">IF($G739="","","同時")</f>
        <v/>
      </c>
      <c r="M739" s="2" t="str">
        <f aca="false">IF($G739="","",IF(ISNA(MATCH($G739,個別指定!$A:$A,0)),"行なし",""))</f>
        <v/>
      </c>
      <c r="N739" s="2" t="str">
        <f aca="false">IF($G739="","",IF(COUNTIF($G$2:$G$4460,$G739)&gt;1,"重複",""))</f>
        <v/>
      </c>
    </row>
    <row r="740" customFormat="false" ht="16.5" hidden="false" customHeight="true" outlineLevel="0" collapsed="false">
      <c r="A740" s="2" t="s">
        <v>385</v>
      </c>
      <c r="B740" s="2" t="s">
        <v>400</v>
      </c>
      <c r="C740" s="2" t="s">
        <v>3</v>
      </c>
      <c r="D740" s="2" t="str">
        <f aca="false">IF(2キー同時!$B$188="","",2キー同時!$B$188)</f>
        <v/>
      </c>
      <c r="E740" s="2" t="str">
        <f aca="false">""</f>
        <v/>
      </c>
      <c r="F740" s="2" t="str">
        <f aca="false">""</f>
        <v/>
      </c>
      <c r="G740" s="2" t="str">
        <f aca="false">IF(2キー同時!$B$188="","",IF(2キー同時!R190="","",SUBSTITUTE(SUBSTITUTE(2キー同時!R190," ",""),"　","")))</f>
        <v/>
      </c>
      <c r="H740" s="2" t="str">
        <f aca="false">IF($G740="","",2キー同時!$B$188)</f>
        <v/>
      </c>
      <c r="I740" s="2" t="str">
        <f aca="false">IF($G740="","","4")</f>
        <v/>
      </c>
      <c r="J740" s="2" t="str">
        <f aca="false">""</f>
        <v/>
      </c>
      <c r="K740" s="2" t="str">
        <f aca="false">""</f>
        <v/>
      </c>
      <c r="L740" s="2" t="str">
        <f aca="false">IF($G740="","","同時")</f>
        <v/>
      </c>
      <c r="M740" s="2" t="str">
        <f aca="false">IF($G740="","",IF(ISNA(MATCH($G740,個別指定!$A:$A,0)),"行なし",""))</f>
        <v/>
      </c>
      <c r="N740" s="2" t="str">
        <f aca="false">IF($G740="","",IF(COUNTIF($G$2:$G$4460,$G740)&gt;1,"重複",""))</f>
        <v/>
      </c>
    </row>
    <row r="741" customFormat="false" ht="16.5" hidden="false" customHeight="true" outlineLevel="0" collapsed="false">
      <c r="A741" s="2" t="s">
        <v>385</v>
      </c>
      <c r="B741" s="2" t="s">
        <v>400</v>
      </c>
      <c r="C741" s="2" t="s">
        <v>4</v>
      </c>
      <c r="D741" s="2" t="str">
        <f aca="false">IF(2キー同時!$B$188="","",2キー同時!$B$188)</f>
        <v/>
      </c>
      <c r="E741" s="2" t="str">
        <f aca="false">""</f>
        <v/>
      </c>
      <c r="F741" s="2" t="str">
        <f aca="false">""</f>
        <v/>
      </c>
      <c r="G741" s="2" t="str">
        <f aca="false">IF(2キー同時!$B$188="","",IF(2キー同時!V190="","",SUBSTITUTE(SUBSTITUTE(2キー同時!V190," ",""),"　","")))</f>
        <v/>
      </c>
      <c r="H741" s="2" t="str">
        <f aca="false">IF($G741="","",2キー同時!$B$188)</f>
        <v/>
      </c>
      <c r="I741" s="2" t="str">
        <f aca="false">IF($G741="","","5")</f>
        <v/>
      </c>
      <c r="J741" s="2" t="str">
        <f aca="false">""</f>
        <v/>
      </c>
      <c r="K741" s="2" t="str">
        <f aca="false">""</f>
        <v/>
      </c>
      <c r="L741" s="2" t="str">
        <f aca="false">IF($G741="","","同時")</f>
        <v/>
      </c>
      <c r="M741" s="2" t="str">
        <f aca="false">IF($G741="","",IF(ISNA(MATCH($G741,個別指定!$A:$A,0)),"行なし",""))</f>
        <v/>
      </c>
      <c r="N741" s="2" t="str">
        <f aca="false">IF($G741="","",IF(COUNTIF($G$2:$G$4460,$G741)&gt;1,"重複",""))</f>
        <v/>
      </c>
    </row>
    <row r="742" customFormat="false" ht="16.5" hidden="false" customHeight="true" outlineLevel="0" collapsed="false">
      <c r="A742" s="2" t="s">
        <v>385</v>
      </c>
      <c r="B742" s="2" t="s">
        <v>400</v>
      </c>
      <c r="C742" s="2" t="s">
        <v>5</v>
      </c>
      <c r="D742" s="2" t="str">
        <f aca="false">IF(2キー同時!$B$188="","",2キー同時!$B$188)</f>
        <v/>
      </c>
      <c r="E742" s="2" t="str">
        <f aca="false">""</f>
        <v/>
      </c>
      <c r="F742" s="2" t="str">
        <f aca="false">""</f>
        <v/>
      </c>
      <c r="G742" s="2" t="str">
        <f aca="false">IF(2キー同時!$B$188="","",IF(2キー同時!Z190="","",SUBSTITUTE(SUBSTITUTE(2キー同時!Z190," ",""),"　","")))</f>
        <v/>
      </c>
      <c r="H742" s="2" t="str">
        <f aca="false">IF($G742="","",2キー同時!$B$188)</f>
        <v/>
      </c>
      <c r="I742" s="2" t="str">
        <f aca="false">IF($G742="","","6")</f>
        <v/>
      </c>
      <c r="J742" s="2" t="str">
        <f aca="false">""</f>
        <v/>
      </c>
      <c r="K742" s="2" t="str">
        <f aca="false">""</f>
        <v/>
      </c>
      <c r="L742" s="2" t="str">
        <f aca="false">IF($G742="","","同時")</f>
        <v/>
      </c>
      <c r="M742" s="2" t="str">
        <f aca="false">IF($G742="","",IF(ISNA(MATCH($G742,個別指定!$A:$A,0)),"行なし",""))</f>
        <v/>
      </c>
      <c r="N742" s="2" t="str">
        <f aca="false">IF($G742="","",IF(COUNTIF($G$2:$G$4460,$G742)&gt;1,"重複",""))</f>
        <v/>
      </c>
    </row>
    <row r="743" customFormat="false" ht="16.5" hidden="false" customHeight="true" outlineLevel="0" collapsed="false">
      <c r="A743" s="2" t="s">
        <v>385</v>
      </c>
      <c r="B743" s="2" t="s">
        <v>400</v>
      </c>
      <c r="C743" s="2" t="s">
        <v>6</v>
      </c>
      <c r="D743" s="2" t="str">
        <f aca="false">IF(2キー同時!$B$188="","",2キー同時!$B$188)</f>
        <v/>
      </c>
      <c r="E743" s="2" t="str">
        <f aca="false">""</f>
        <v/>
      </c>
      <c r="F743" s="2" t="str">
        <f aca="false">""</f>
        <v/>
      </c>
      <c r="G743" s="2" t="str">
        <f aca="false">IF(2キー同時!$B$188="","",IF(2キー同時!AD190="","",SUBSTITUTE(SUBSTITUTE(2キー同時!AD190," ",""),"　","")))</f>
        <v/>
      </c>
      <c r="H743" s="2" t="str">
        <f aca="false">IF($G743="","",2キー同時!$B$188)</f>
        <v/>
      </c>
      <c r="I743" s="2" t="str">
        <f aca="false">IF($G743="","","7")</f>
        <v/>
      </c>
      <c r="J743" s="2" t="str">
        <f aca="false">""</f>
        <v/>
      </c>
      <c r="K743" s="2" t="str">
        <f aca="false">""</f>
        <v/>
      </c>
      <c r="L743" s="2" t="str">
        <f aca="false">IF($G743="","","同時")</f>
        <v/>
      </c>
      <c r="M743" s="2" t="str">
        <f aca="false">IF($G743="","",IF(ISNA(MATCH($G743,個別指定!$A:$A,0)),"行なし",""))</f>
        <v/>
      </c>
      <c r="N743" s="2" t="str">
        <f aca="false">IF($G743="","",IF(COUNTIF($G$2:$G$4460,$G743)&gt;1,"重複",""))</f>
        <v/>
      </c>
    </row>
    <row r="744" customFormat="false" ht="16.5" hidden="false" customHeight="true" outlineLevel="0" collapsed="false">
      <c r="A744" s="2" t="s">
        <v>385</v>
      </c>
      <c r="B744" s="2" t="s">
        <v>400</v>
      </c>
      <c r="C744" s="2" t="s">
        <v>7</v>
      </c>
      <c r="D744" s="2" t="str">
        <f aca="false">IF(2キー同時!$B$188="","",2キー同時!$B$188)</f>
        <v/>
      </c>
      <c r="E744" s="2" t="str">
        <f aca="false">""</f>
        <v/>
      </c>
      <c r="F744" s="2" t="str">
        <f aca="false">""</f>
        <v/>
      </c>
      <c r="G744" s="2" t="str">
        <f aca="false">IF(2キー同時!$B$188="","",IF(2キー同時!AH190="","",SUBSTITUTE(SUBSTITUTE(2キー同時!AH190," ",""),"　","")))</f>
        <v/>
      </c>
      <c r="H744" s="2" t="str">
        <f aca="false">IF($G744="","",2キー同時!$B$188)</f>
        <v/>
      </c>
      <c r="I744" s="2" t="str">
        <f aca="false">IF($G744="","","8")</f>
        <v/>
      </c>
      <c r="J744" s="2" t="str">
        <f aca="false">""</f>
        <v/>
      </c>
      <c r="K744" s="2" t="str">
        <f aca="false">""</f>
        <v/>
      </c>
      <c r="L744" s="2" t="str">
        <f aca="false">IF($G744="","","同時")</f>
        <v/>
      </c>
      <c r="M744" s="2" t="str">
        <f aca="false">IF($G744="","",IF(ISNA(MATCH($G744,個別指定!$A:$A,0)),"行なし",""))</f>
        <v/>
      </c>
      <c r="N744" s="2" t="str">
        <f aca="false">IF($G744="","",IF(COUNTIF($G$2:$G$4460,$G744)&gt;1,"重複",""))</f>
        <v/>
      </c>
    </row>
    <row r="745" customFormat="false" ht="16.5" hidden="false" customHeight="true" outlineLevel="0" collapsed="false">
      <c r="A745" s="2" t="s">
        <v>385</v>
      </c>
      <c r="B745" s="2" t="s">
        <v>400</v>
      </c>
      <c r="C745" s="2" t="s">
        <v>8</v>
      </c>
      <c r="D745" s="2" t="str">
        <f aca="false">IF(2キー同時!$B$188="","",2キー同時!$B$188)</f>
        <v/>
      </c>
      <c r="E745" s="2" t="str">
        <f aca="false">""</f>
        <v/>
      </c>
      <c r="F745" s="2" t="str">
        <f aca="false">""</f>
        <v/>
      </c>
      <c r="G745" s="2" t="str">
        <f aca="false">IF(2キー同時!$B$188="","",IF(2キー同時!AL190="","",SUBSTITUTE(SUBSTITUTE(2キー同時!AL190," ",""),"　","")))</f>
        <v/>
      </c>
      <c r="H745" s="2" t="str">
        <f aca="false">IF($G745="","",2キー同時!$B$188)</f>
        <v/>
      </c>
      <c r="I745" s="2" t="str">
        <f aca="false">IF($G745="","","9")</f>
        <v/>
      </c>
      <c r="J745" s="2" t="str">
        <f aca="false">""</f>
        <v/>
      </c>
      <c r="K745" s="2" t="str">
        <f aca="false">""</f>
        <v/>
      </c>
      <c r="L745" s="2" t="str">
        <f aca="false">IF($G745="","","同時")</f>
        <v/>
      </c>
      <c r="M745" s="2" t="str">
        <f aca="false">IF($G745="","",IF(ISNA(MATCH($G745,個別指定!$A:$A,0)),"行なし",""))</f>
        <v/>
      </c>
      <c r="N745" s="2" t="str">
        <f aca="false">IF($G745="","",IF(COUNTIF($G$2:$G$4460,$G745)&gt;1,"重複",""))</f>
        <v/>
      </c>
    </row>
    <row r="746" customFormat="false" ht="16.5" hidden="false" customHeight="true" outlineLevel="0" collapsed="false">
      <c r="A746" s="2" t="s">
        <v>385</v>
      </c>
      <c r="B746" s="2" t="s">
        <v>400</v>
      </c>
      <c r="C746" s="2" t="s">
        <v>9</v>
      </c>
      <c r="D746" s="2" t="str">
        <f aca="false">IF(2キー同時!$B$188="","",2キー同時!$B$188)</f>
        <v/>
      </c>
      <c r="E746" s="2" t="str">
        <f aca="false">""</f>
        <v/>
      </c>
      <c r="F746" s="2" t="str">
        <f aca="false">""</f>
        <v/>
      </c>
      <c r="G746" s="2" t="str">
        <f aca="false">IF(2キー同時!$B$188="","",IF(2キー同時!AP190="","",SUBSTITUTE(SUBSTITUTE(2キー同時!AP190," ",""),"　","")))</f>
        <v/>
      </c>
      <c r="H746" s="2" t="str">
        <f aca="false">IF($G746="","",2キー同時!$B$188)</f>
        <v/>
      </c>
      <c r="I746" s="2" t="str">
        <f aca="false">IF($G746="","","0")</f>
        <v/>
      </c>
      <c r="J746" s="2" t="str">
        <f aca="false">""</f>
        <v/>
      </c>
      <c r="K746" s="2" t="str">
        <f aca="false">""</f>
        <v/>
      </c>
      <c r="L746" s="2" t="str">
        <f aca="false">IF($G746="","","同時")</f>
        <v/>
      </c>
      <c r="M746" s="2" t="str">
        <f aca="false">IF($G746="","",IF(ISNA(MATCH($G746,個別指定!$A:$A,0)),"行なし",""))</f>
        <v/>
      </c>
      <c r="N746" s="2" t="str">
        <f aca="false">IF($G746="","",IF(COUNTIF($G$2:$G$4460,$G746)&gt;1,"重複",""))</f>
        <v/>
      </c>
    </row>
    <row r="747" customFormat="false" ht="16.5" hidden="false" customHeight="true" outlineLevel="0" collapsed="false">
      <c r="A747" s="2" t="s">
        <v>385</v>
      </c>
      <c r="B747" s="2" t="s">
        <v>400</v>
      </c>
      <c r="C747" s="2" t="s">
        <v>10</v>
      </c>
      <c r="D747" s="2" t="str">
        <f aca="false">IF(2キー同時!$B$188="","",2キー同時!$B$188)</f>
        <v/>
      </c>
      <c r="E747" s="2" t="str">
        <f aca="false">""</f>
        <v/>
      </c>
      <c r="F747" s="2" t="str">
        <f aca="false">""</f>
        <v/>
      </c>
      <c r="G747" s="2" t="str">
        <f aca="false">IF(2キー同時!$B$188="","",IF(2キー同時!AT190="","",SUBSTITUTE(SUBSTITUTE(2キー同時!AT190," ",""),"　","")))</f>
        <v/>
      </c>
      <c r="H747" s="2" t="str">
        <f aca="false">IF($G747="","",2キー同時!$B$188)</f>
        <v/>
      </c>
      <c r="I747" s="2" t="str">
        <f aca="false">IF($G747="","","-")</f>
        <v/>
      </c>
      <c r="J747" s="2" t="str">
        <f aca="false">""</f>
        <v/>
      </c>
      <c r="K747" s="2" t="str">
        <f aca="false">""</f>
        <v/>
      </c>
      <c r="L747" s="2" t="str">
        <f aca="false">IF($G747="","","同時")</f>
        <v/>
      </c>
      <c r="M747" s="2" t="str">
        <f aca="false">IF($G747="","",IF(ISNA(MATCH($G747,個別指定!$A:$A,0)),"行なし",""))</f>
        <v/>
      </c>
      <c r="N747" s="2" t="str">
        <f aca="false">IF($G747="","",IF(COUNTIF($G$2:$G$4460,$G747)&gt;1,"重複",""))</f>
        <v/>
      </c>
    </row>
    <row r="748" customFormat="false" ht="16.5" hidden="false" customHeight="true" outlineLevel="0" collapsed="false">
      <c r="A748" s="2" t="s">
        <v>385</v>
      </c>
      <c r="B748" s="2" t="s">
        <v>400</v>
      </c>
      <c r="C748" s="2" t="s">
        <v>11</v>
      </c>
      <c r="D748" s="2" t="str">
        <f aca="false">IF(2キー同時!$B$188="","",2キー同時!$B$188)</f>
        <v/>
      </c>
      <c r="E748" s="2" t="str">
        <f aca="false">""</f>
        <v/>
      </c>
      <c r="F748" s="2" t="str">
        <f aca="false">""</f>
        <v/>
      </c>
      <c r="G748" s="2" t="str">
        <f aca="false">IF(2キー同時!$B$188="","",IF(2キー同時!AX190="","",SUBSTITUTE(SUBSTITUTE(2キー同時!AX190," ",""),"　","")))</f>
        <v/>
      </c>
      <c r="H748" s="2" t="str">
        <f aca="false">IF($G748="","",2キー同時!$B$188)</f>
        <v/>
      </c>
      <c r="I748" s="2" t="str">
        <f aca="false">IF($G748="","","=")</f>
        <v/>
      </c>
      <c r="J748" s="2" t="str">
        <f aca="false">""</f>
        <v/>
      </c>
      <c r="K748" s="2" t="str">
        <f aca="false">""</f>
        <v/>
      </c>
      <c r="L748" s="2" t="str">
        <f aca="false">IF($G748="","","同時")</f>
        <v/>
      </c>
      <c r="M748" s="2" t="str">
        <f aca="false">IF($G748="","",IF(ISNA(MATCH($G748,個別指定!$A:$A,0)),"行なし",""))</f>
        <v/>
      </c>
      <c r="N748" s="2" t="str">
        <f aca="false">IF($G748="","",IF(COUNTIF($G$2:$G$4460,$G748)&gt;1,"重複",""))</f>
        <v/>
      </c>
    </row>
    <row r="749" customFormat="false" ht="16.5" hidden="false" customHeight="true" outlineLevel="0" collapsed="false">
      <c r="A749" s="2" t="s">
        <v>385</v>
      </c>
      <c r="B749" s="2" t="s">
        <v>400</v>
      </c>
      <c r="C749" s="2" t="s">
        <v>12</v>
      </c>
      <c r="D749" s="2" t="str">
        <f aca="false">IF(2キー同時!$B$188="","",2キー同時!$B$188)</f>
        <v/>
      </c>
      <c r="E749" s="2" t="str">
        <f aca="false">""</f>
        <v/>
      </c>
      <c r="F749" s="2" t="str">
        <f aca="false">""</f>
        <v/>
      </c>
      <c r="G749" s="2" t="str">
        <f aca="false">IF(2キー同時!$B$188="","",IF(2キー同時!H192="","",SUBSTITUTE(SUBSTITUTE(2キー同時!H192," ",""),"　","")))</f>
        <v/>
      </c>
      <c r="H749" s="2" t="str">
        <f aca="false">IF($G749="","",2キー同時!$B$188)</f>
        <v/>
      </c>
      <c r="I749" s="2" t="str">
        <f aca="false">IF($G749="","","q")</f>
        <v/>
      </c>
      <c r="J749" s="2" t="str">
        <f aca="false">""</f>
        <v/>
      </c>
      <c r="K749" s="2" t="str">
        <f aca="false">""</f>
        <v/>
      </c>
      <c r="L749" s="2" t="str">
        <f aca="false">IF($G749="","","同時")</f>
        <v/>
      </c>
      <c r="M749" s="2" t="str">
        <f aca="false">IF($G749="","",IF(ISNA(MATCH($G749,個別指定!$A:$A,0)),"行なし",""))</f>
        <v/>
      </c>
      <c r="N749" s="2" t="str">
        <f aca="false">IF($G749="","",IF(COUNTIF($G$2:$G$4460,$G749)&gt;1,"重複",""))</f>
        <v/>
      </c>
    </row>
    <row r="750" customFormat="false" ht="16.5" hidden="false" customHeight="true" outlineLevel="0" collapsed="false">
      <c r="A750" s="2" t="s">
        <v>385</v>
      </c>
      <c r="B750" s="2" t="s">
        <v>400</v>
      </c>
      <c r="C750" s="2" t="s">
        <v>13</v>
      </c>
      <c r="D750" s="2" t="str">
        <f aca="false">IF(2キー同時!$B$188="","",2キー同時!$B$188)</f>
        <v/>
      </c>
      <c r="E750" s="2" t="str">
        <f aca="false">""</f>
        <v/>
      </c>
      <c r="F750" s="2" t="str">
        <f aca="false">""</f>
        <v/>
      </c>
      <c r="G750" s="2" t="str">
        <f aca="false">IF(2キー同時!$B$188="","",IF(2キー同時!L192="","",SUBSTITUTE(SUBSTITUTE(2キー同時!L192," ",""),"　","")))</f>
        <v/>
      </c>
      <c r="H750" s="2" t="str">
        <f aca="false">IF($G750="","",2キー同時!$B$188)</f>
        <v/>
      </c>
      <c r="I750" s="2" t="str">
        <f aca="false">IF($G750="","","w")</f>
        <v/>
      </c>
      <c r="J750" s="2" t="str">
        <f aca="false">""</f>
        <v/>
      </c>
      <c r="K750" s="2" t="str">
        <f aca="false">""</f>
        <v/>
      </c>
      <c r="L750" s="2" t="str">
        <f aca="false">IF($G750="","","同時")</f>
        <v/>
      </c>
      <c r="M750" s="2" t="str">
        <f aca="false">IF($G750="","",IF(ISNA(MATCH($G750,個別指定!$A:$A,0)),"行なし",""))</f>
        <v/>
      </c>
      <c r="N750" s="2" t="str">
        <f aca="false">IF($G750="","",IF(COUNTIF($G$2:$G$4460,$G750)&gt;1,"重複",""))</f>
        <v/>
      </c>
    </row>
    <row r="751" customFormat="false" ht="16.5" hidden="false" customHeight="true" outlineLevel="0" collapsed="false">
      <c r="A751" s="2" t="s">
        <v>385</v>
      </c>
      <c r="B751" s="2" t="s">
        <v>400</v>
      </c>
      <c r="C751" s="2" t="s">
        <v>14</v>
      </c>
      <c r="D751" s="2" t="str">
        <f aca="false">IF(2キー同時!$B$188="","",2キー同時!$B$188)</f>
        <v/>
      </c>
      <c r="E751" s="2" t="str">
        <f aca="false">""</f>
        <v/>
      </c>
      <c r="F751" s="2" t="str">
        <f aca="false">""</f>
        <v/>
      </c>
      <c r="G751" s="2" t="str">
        <f aca="false">IF(2キー同時!$B$188="","",IF(2キー同時!P192="","",SUBSTITUTE(SUBSTITUTE(2キー同時!P192," ",""),"　","")))</f>
        <v/>
      </c>
      <c r="H751" s="2" t="str">
        <f aca="false">IF($G751="","",2キー同時!$B$188)</f>
        <v/>
      </c>
      <c r="I751" s="2" t="str">
        <f aca="false">IF($G751="","","e")</f>
        <v/>
      </c>
      <c r="J751" s="2" t="str">
        <f aca="false">""</f>
        <v/>
      </c>
      <c r="K751" s="2" t="str">
        <f aca="false">""</f>
        <v/>
      </c>
      <c r="L751" s="2" t="str">
        <f aca="false">IF($G751="","","同時")</f>
        <v/>
      </c>
      <c r="M751" s="2" t="str">
        <f aca="false">IF($G751="","",IF(ISNA(MATCH($G751,個別指定!$A:$A,0)),"行なし",""))</f>
        <v/>
      </c>
      <c r="N751" s="2" t="str">
        <f aca="false">IF($G751="","",IF(COUNTIF($G$2:$G$4460,$G751)&gt;1,"重複",""))</f>
        <v/>
      </c>
    </row>
    <row r="752" customFormat="false" ht="16.5" hidden="false" customHeight="true" outlineLevel="0" collapsed="false">
      <c r="A752" s="2" t="s">
        <v>385</v>
      </c>
      <c r="B752" s="2" t="s">
        <v>400</v>
      </c>
      <c r="C752" s="2" t="s">
        <v>15</v>
      </c>
      <c r="D752" s="2" t="str">
        <f aca="false">IF(2キー同時!$B$188="","",2キー同時!$B$188)</f>
        <v/>
      </c>
      <c r="E752" s="2" t="str">
        <f aca="false">""</f>
        <v/>
      </c>
      <c r="F752" s="2" t="str">
        <f aca="false">""</f>
        <v/>
      </c>
      <c r="G752" s="2" t="str">
        <f aca="false">IF(2キー同時!$B$188="","",IF(2キー同時!T192="","",SUBSTITUTE(SUBSTITUTE(2キー同時!T192," ",""),"　","")))</f>
        <v/>
      </c>
      <c r="H752" s="2" t="str">
        <f aca="false">IF($G752="","",2キー同時!$B$188)</f>
        <v/>
      </c>
      <c r="I752" s="2" t="str">
        <f aca="false">IF($G752="","","r")</f>
        <v/>
      </c>
      <c r="J752" s="2" t="str">
        <f aca="false">""</f>
        <v/>
      </c>
      <c r="K752" s="2" t="str">
        <f aca="false">""</f>
        <v/>
      </c>
      <c r="L752" s="2" t="str">
        <f aca="false">IF($G752="","","同時")</f>
        <v/>
      </c>
      <c r="M752" s="2" t="str">
        <f aca="false">IF($G752="","",IF(ISNA(MATCH($G752,個別指定!$A:$A,0)),"行なし",""))</f>
        <v/>
      </c>
      <c r="N752" s="2" t="str">
        <f aca="false">IF($G752="","",IF(COUNTIF($G$2:$G$4460,$G752)&gt;1,"重複",""))</f>
        <v/>
      </c>
    </row>
    <row r="753" customFormat="false" ht="16.5" hidden="false" customHeight="true" outlineLevel="0" collapsed="false">
      <c r="A753" s="2" t="s">
        <v>385</v>
      </c>
      <c r="B753" s="2" t="s">
        <v>400</v>
      </c>
      <c r="C753" s="2" t="s">
        <v>16</v>
      </c>
      <c r="D753" s="2" t="str">
        <f aca="false">IF(2キー同時!$B$188="","",2キー同時!$B$188)</f>
        <v/>
      </c>
      <c r="E753" s="2" t="str">
        <f aca="false">""</f>
        <v/>
      </c>
      <c r="F753" s="2" t="str">
        <f aca="false">""</f>
        <v/>
      </c>
      <c r="G753" s="2" t="str">
        <f aca="false">IF(2キー同時!$B$188="","",IF(2キー同時!X192="","",SUBSTITUTE(SUBSTITUTE(2キー同時!X192," ",""),"　","")))</f>
        <v/>
      </c>
      <c r="H753" s="2" t="str">
        <f aca="false">IF($G753="","",2キー同時!$B$188)</f>
        <v/>
      </c>
      <c r="I753" s="2" t="str">
        <f aca="false">IF($G753="","","t")</f>
        <v/>
      </c>
      <c r="J753" s="2" t="str">
        <f aca="false">""</f>
        <v/>
      </c>
      <c r="K753" s="2" t="str">
        <f aca="false">""</f>
        <v/>
      </c>
      <c r="L753" s="2" t="str">
        <f aca="false">IF($G753="","","同時")</f>
        <v/>
      </c>
      <c r="M753" s="2" t="str">
        <f aca="false">IF($G753="","",IF(ISNA(MATCH($G753,個別指定!$A:$A,0)),"行なし",""))</f>
        <v/>
      </c>
      <c r="N753" s="2" t="str">
        <f aca="false">IF($G753="","",IF(COUNTIF($G$2:$G$4460,$G753)&gt;1,"重複",""))</f>
        <v/>
      </c>
    </row>
    <row r="754" customFormat="false" ht="16.5" hidden="false" customHeight="true" outlineLevel="0" collapsed="false">
      <c r="A754" s="2" t="s">
        <v>385</v>
      </c>
      <c r="B754" s="2" t="s">
        <v>400</v>
      </c>
      <c r="C754" s="2" t="s">
        <v>17</v>
      </c>
      <c r="D754" s="2" t="str">
        <f aca="false">IF(2キー同時!$B$188="","",2キー同時!$B$188)</f>
        <v/>
      </c>
      <c r="E754" s="2" t="str">
        <f aca="false">""</f>
        <v/>
      </c>
      <c r="F754" s="2" t="str">
        <f aca="false">""</f>
        <v/>
      </c>
      <c r="G754" s="2" t="str">
        <f aca="false">IF(2キー同時!$B$188="","",IF(2キー同時!AB192="","",SUBSTITUTE(SUBSTITUTE(2キー同時!AB192," ",""),"　","")))</f>
        <v/>
      </c>
      <c r="H754" s="2" t="str">
        <f aca="false">IF($G754="","",2キー同時!$B$188)</f>
        <v/>
      </c>
      <c r="I754" s="2" t="str">
        <f aca="false">IF($G754="","","y")</f>
        <v/>
      </c>
      <c r="J754" s="2" t="str">
        <f aca="false">""</f>
        <v/>
      </c>
      <c r="K754" s="2" t="str">
        <f aca="false">""</f>
        <v/>
      </c>
      <c r="L754" s="2" t="str">
        <f aca="false">IF($G754="","","同時")</f>
        <v/>
      </c>
      <c r="M754" s="2" t="str">
        <f aca="false">IF($G754="","",IF(ISNA(MATCH($G754,個別指定!$A:$A,0)),"行なし",""))</f>
        <v/>
      </c>
      <c r="N754" s="2" t="str">
        <f aca="false">IF($G754="","",IF(COUNTIF($G$2:$G$4460,$G754)&gt;1,"重複",""))</f>
        <v/>
      </c>
    </row>
    <row r="755" customFormat="false" ht="16.5" hidden="false" customHeight="true" outlineLevel="0" collapsed="false">
      <c r="A755" s="2" t="s">
        <v>385</v>
      </c>
      <c r="B755" s="2" t="s">
        <v>400</v>
      </c>
      <c r="C755" s="2" t="s">
        <v>18</v>
      </c>
      <c r="D755" s="2" t="str">
        <f aca="false">IF(2キー同時!$B$188="","",2キー同時!$B$188)</f>
        <v/>
      </c>
      <c r="E755" s="2" t="str">
        <f aca="false">""</f>
        <v/>
      </c>
      <c r="F755" s="2" t="str">
        <f aca="false">""</f>
        <v/>
      </c>
      <c r="G755" s="2" t="str">
        <f aca="false">IF(2キー同時!$B$188="","",IF(2キー同時!AF192="","",SUBSTITUTE(SUBSTITUTE(2キー同時!AF192," ",""),"　","")))</f>
        <v/>
      </c>
      <c r="H755" s="2" t="str">
        <f aca="false">IF($G755="","",2キー同時!$B$188)</f>
        <v/>
      </c>
      <c r="I755" s="2" t="str">
        <f aca="false">IF($G755="","","u")</f>
        <v/>
      </c>
      <c r="J755" s="2" t="str">
        <f aca="false">""</f>
        <v/>
      </c>
      <c r="K755" s="2" t="str">
        <f aca="false">""</f>
        <v/>
      </c>
      <c r="L755" s="2" t="str">
        <f aca="false">IF($G755="","","同時")</f>
        <v/>
      </c>
      <c r="M755" s="2" t="str">
        <f aca="false">IF($G755="","",IF(ISNA(MATCH($G755,個別指定!$A:$A,0)),"行なし",""))</f>
        <v/>
      </c>
      <c r="N755" s="2" t="str">
        <f aca="false">IF($G755="","",IF(COUNTIF($G$2:$G$4460,$G755)&gt;1,"重複",""))</f>
        <v/>
      </c>
    </row>
    <row r="756" customFormat="false" ht="16.5" hidden="false" customHeight="true" outlineLevel="0" collapsed="false">
      <c r="A756" s="2" t="s">
        <v>385</v>
      </c>
      <c r="B756" s="2" t="s">
        <v>400</v>
      </c>
      <c r="C756" s="2" t="s">
        <v>19</v>
      </c>
      <c r="D756" s="2" t="str">
        <f aca="false">IF(2キー同時!$B$188="","",2キー同時!$B$188)</f>
        <v/>
      </c>
      <c r="E756" s="2" t="str">
        <f aca="false">""</f>
        <v/>
      </c>
      <c r="F756" s="2" t="str">
        <f aca="false">""</f>
        <v/>
      </c>
      <c r="G756" s="2" t="str">
        <f aca="false">IF(2キー同時!$B$188="","",IF(2キー同時!AJ192="","",SUBSTITUTE(SUBSTITUTE(2キー同時!AJ192," ",""),"　","")))</f>
        <v/>
      </c>
      <c r="H756" s="2" t="str">
        <f aca="false">IF($G756="","",2キー同時!$B$188)</f>
        <v/>
      </c>
      <c r="I756" s="2" t="str">
        <f aca="false">IF($G756="","","i")</f>
        <v/>
      </c>
      <c r="J756" s="2" t="str">
        <f aca="false">""</f>
        <v/>
      </c>
      <c r="K756" s="2" t="str">
        <f aca="false">""</f>
        <v/>
      </c>
      <c r="L756" s="2" t="str">
        <f aca="false">IF($G756="","","同時")</f>
        <v/>
      </c>
      <c r="M756" s="2" t="str">
        <f aca="false">IF($G756="","",IF(ISNA(MATCH($G756,個別指定!$A:$A,0)),"行なし",""))</f>
        <v/>
      </c>
      <c r="N756" s="2" t="str">
        <f aca="false">IF($G756="","",IF(COUNTIF($G$2:$G$4460,$G756)&gt;1,"重複",""))</f>
        <v/>
      </c>
    </row>
    <row r="757" customFormat="false" ht="16.5" hidden="false" customHeight="true" outlineLevel="0" collapsed="false">
      <c r="A757" s="2" t="s">
        <v>385</v>
      </c>
      <c r="B757" s="2" t="s">
        <v>400</v>
      </c>
      <c r="C757" s="2" t="s">
        <v>20</v>
      </c>
      <c r="D757" s="2" t="str">
        <f aca="false">IF(2キー同時!$B$188="","",2キー同時!$B$188)</f>
        <v/>
      </c>
      <c r="E757" s="2" t="str">
        <f aca="false">""</f>
        <v/>
      </c>
      <c r="F757" s="2" t="str">
        <f aca="false">""</f>
        <v/>
      </c>
      <c r="G757" s="2" t="str">
        <f aca="false">IF(2キー同時!$B$188="","",IF(2キー同時!AN192="","",SUBSTITUTE(SUBSTITUTE(2キー同時!AN192," ",""),"　","")))</f>
        <v/>
      </c>
      <c r="H757" s="2" t="str">
        <f aca="false">IF($G757="","",2キー同時!$B$188)</f>
        <v/>
      </c>
      <c r="I757" s="2" t="str">
        <f aca="false">IF($G757="","","o")</f>
        <v/>
      </c>
      <c r="J757" s="2" t="str">
        <f aca="false">""</f>
        <v/>
      </c>
      <c r="K757" s="2" t="str">
        <f aca="false">""</f>
        <v/>
      </c>
      <c r="L757" s="2" t="str">
        <f aca="false">IF($G757="","","同時")</f>
        <v/>
      </c>
      <c r="M757" s="2" t="str">
        <f aca="false">IF($G757="","",IF(ISNA(MATCH($G757,個別指定!$A:$A,0)),"行なし",""))</f>
        <v/>
      </c>
      <c r="N757" s="2" t="str">
        <f aca="false">IF($G757="","",IF(COUNTIF($G$2:$G$4460,$G757)&gt;1,"重複",""))</f>
        <v/>
      </c>
    </row>
    <row r="758" customFormat="false" ht="16.5" hidden="false" customHeight="true" outlineLevel="0" collapsed="false">
      <c r="A758" s="2" t="s">
        <v>385</v>
      </c>
      <c r="B758" s="2" t="s">
        <v>400</v>
      </c>
      <c r="C758" s="2" t="s">
        <v>21</v>
      </c>
      <c r="D758" s="2" t="str">
        <f aca="false">IF(2キー同時!$B$188="","",2キー同時!$B$188)</f>
        <v/>
      </c>
      <c r="E758" s="2" t="str">
        <f aca="false">""</f>
        <v/>
      </c>
      <c r="F758" s="2" t="str">
        <f aca="false">""</f>
        <v/>
      </c>
      <c r="G758" s="2" t="str">
        <f aca="false">IF(2キー同時!$B$188="","",IF(2キー同時!AR192="","",SUBSTITUTE(SUBSTITUTE(2キー同時!AR192," ",""),"　","")))</f>
        <v/>
      </c>
      <c r="H758" s="2" t="str">
        <f aca="false">IF($G758="","",2キー同時!$B$188)</f>
        <v/>
      </c>
      <c r="I758" s="2" t="str">
        <f aca="false">IF($G758="","","p")</f>
        <v/>
      </c>
      <c r="J758" s="2" t="str">
        <f aca="false">""</f>
        <v/>
      </c>
      <c r="K758" s="2" t="str">
        <f aca="false">""</f>
        <v/>
      </c>
      <c r="L758" s="2" t="str">
        <f aca="false">IF($G758="","","同時")</f>
        <v/>
      </c>
      <c r="M758" s="2" t="str">
        <f aca="false">IF($G758="","",IF(ISNA(MATCH($G758,個別指定!$A:$A,0)),"行なし",""))</f>
        <v/>
      </c>
      <c r="N758" s="2" t="str">
        <f aca="false">IF($G758="","",IF(COUNTIF($G$2:$G$4460,$G758)&gt;1,"重複",""))</f>
        <v/>
      </c>
    </row>
    <row r="759" customFormat="false" ht="16.5" hidden="false" customHeight="true" outlineLevel="0" collapsed="false">
      <c r="A759" s="2" t="s">
        <v>385</v>
      </c>
      <c r="B759" s="2" t="s">
        <v>400</v>
      </c>
      <c r="C759" s="2" t="s">
        <v>22</v>
      </c>
      <c r="D759" s="2" t="str">
        <f aca="false">IF(2キー同時!$B$188="","",2キー同時!$B$188)</f>
        <v/>
      </c>
      <c r="E759" s="2" t="str">
        <f aca="false">""</f>
        <v/>
      </c>
      <c r="F759" s="2" t="str">
        <f aca="false">""</f>
        <v/>
      </c>
      <c r="G759" s="2" t="str">
        <f aca="false">IF(2キー同時!$B$188="","",IF(2キー同時!AV192="","",SUBSTITUTE(SUBSTITUTE(2キー同時!AV192," ",""),"　","")))</f>
        <v/>
      </c>
      <c r="H759" s="2" t="str">
        <f aca="false">IF($G759="","",2キー同時!$B$188)</f>
        <v/>
      </c>
      <c r="I759" s="2" t="str">
        <f aca="false">IF($G759="","","[")</f>
        <v/>
      </c>
      <c r="J759" s="2" t="str">
        <f aca="false">""</f>
        <v/>
      </c>
      <c r="K759" s="2" t="str">
        <f aca="false">""</f>
        <v/>
      </c>
      <c r="L759" s="2" t="str">
        <f aca="false">IF($G759="","","同時")</f>
        <v/>
      </c>
      <c r="M759" s="2" t="str">
        <f aca="false">IF($G759="","",IF(ISNA(MATCH($G759,個別指定!$A:$A,0)),"行なし",""))</f>
        <v/>
      </c>
      <c r="N759" s="2" t="str">
        <f aca="false">IF($G759="","",IF(COUNTIF($G$2:$G$4460,$G759)&gt;1,"重複",""))</f>
        <v/>
      </c>
    </row>
    <row r="760" customFormat="false" ht="16.5" hidden="false" customHeight="true" outlineLevel="0" collapsed="false">
      <c r="A760" s="2" t="s">
        <v>385</v>
      </c>
      <c r="B760" s="2" t="s">
        <v>400</v>
      </c>
      <c r="C760" s="2" t="s">
        <v>23</v>
      </c>
      <c r="D760" s="2" t="str">
        <f aca="false">IF(2キー同時!$B$188="","",2キー同時!$B$188)</f>
        <v/>
      </c>
      <c r="E760" s="2" t="str">
        <f aca="false">""</f>
        <v/>
      </c>
      <c r="F760" s="2" t="str">
        <f aca="false">""</f>
        <v/>
      </c>
      <c r="G760" s="2" t="str">
        <f aca="false">IF(2キー同時!$B$188="","",IF(2キー同時!AZ192="","",SUBSTITUTE(SUBSTITUTE(2キー同時!AZ192," ",""),"　","")))</f>
        <v/>
      </c>
      <c r="H760" s="2" t="str">
        <f aca="false">IF($G760="","",2キー同時!$B$188)</f>
        <v/>
      </c>
      <c r="I760" s="2" t="str">
        <f aca="false">IF($G760="","","]")</f>
        <v/>
      </c>
      <c r="J760" s="2" t="str">
        <f aca="false">""</f>
        <v/>
      </c>
      <c r="K760" s="2" t="str">
        <f aca="false">""</f>
        <v/>
      </c>
      <c r="L760" s="2" t="str">
        <f aca="false">IF($G760="","","同時")</f>
        <v/>
      </c>
      <c r="M760" s="2" t="str">
        <f aca="false">IF($G760="","",IF(ISNA(MATCH($G760,個別指定!$A:$A,0)),"行なし",""))</f>
        <v/>
      </c>
      <c r="N760" s="2" t="str">
        <f aca="false">IF($G760="","",IF(COUNTIF($G$2:$G$4460,$G760)&gt;1,"重複",""))</f>
        <v/>
      </c>
    </row>
    <row r="761" customFormat="false" ht="16.5" hidden="false" customHeight="true" outlineLevel="0" collapsed="false">
      <c r="A761" s="2" t="s">
        <v>385</v>
      </c>
      <c r="B761" s="2" t="s">
        <v>400</v>
      </c>
      <c r="C761" s="2" t="s">
        <v>24</v>
      </c>
      <c r="D761" s="2" t="str">
        <f aca="false">IF(2キー同時!$B$188="","",2キー同時!$B$188)</f>
        <v/>
      </c>
      <c r="E761" s="2" t="str">
        <f aca="false">""</f>
        <v/>
      </c>
      <c r="F761" s="2" t="str">
        <f aca="false">""</f>
        <v/>
      </c>
      <c r="G761" s="2" t="str">
        <f aca="false">IF(2キー同時!$B$188="","",IF(2キー同時!I194="","",SUBSTITUTE(SUBSTITUTE(2キー同時!I194," ",""),"　","")))</f>
        <v/>
      </c>
      <c r="H761" s="2" t="str">
        <f aca="false">IF($G761="","",2キー同時!$B$188)</f>
        <v/>
      </c>
      <c r="I761" s="2" t="str">
        <f aca="false">IF($G761="","","a")</f>
        <v/>
      </c>
      <c r="J761" s="2" t="str">
        <f aca="false">""</f>
        <v/>
      </c>
      <c r="K761" s="2" t="str">
        <f aca="false">""</f>
        <v/>
      </c>
      <c r="L761" s="2" t="str">
        <f aca="false">IF($G761="","","同時")</f>
        <v/>
      </c>
      <c r="M761" s="2" t="str">
        <f aca="false">IF($G761="","",IF(ISNA(MATCH($G761,個別指定!$A:$A,0)),"行なし",""))</f>
        <v/>
      </c>
      <c r="N761" s="2" t="str">
        <f aca="false">IF($G761="","",IF(COUNTIF($G$2:$G$4460,$G761)&gt;1,"重複",""))</f>
        <v/>
      </c>
    </row>
    <row r="762" customFormat="false" ht="16.5" hidden="false" customHeight="true" outlineLevel="0" collapsed="false">
      <c r="A762" s="2" t="s">
        <v>385</v>
      </c>
      <c r="B762" s="2" t="s">
        <v>400</v>
      </c>
      <c r="C762" s="2" t="s">
        <v>25</v>
      </c>
      <c r="D762" s="2" t="str">
        <f aca="false">IF(2キー同時!$B$188="","",2キー同時!$B$188)</f>
        <v/>
      </c>
      <c r="E762" s="2" t="str">
        <f aca="false">""</f>
        <v/>
      </c>
      <c r="F762" s="2" t="str">
        <f aca="false">""</f>
        <v/>
      </c>
      <c r="G762" s="2" t="str">
        <f aca="false">IF(2キー同時!$B$188="","",IF(2キー同時!M194="","",SUBSTITUTE(SUBSTITUTE(2キー同時!M194," ",""),"　","")))</f>
        <v/>
      </c>
      <c r="H762" s="2" t="str">
        <f aca="false">IF($G762="","",2キー同時!$B$188)</f>
        <v/>
      </c>
      <c r="I762" s="2" t="str">
        <f aca="false">IF($G762="","","s")</f>
        <v/>
      </c>
      <c r="J762" s="2" t="str">
        <f aca="false">""</f>
        <v/>
      </c>
      <c r="K762" s="2" t="str">
        <f aca="false">""</f>
        <v/>
      </c>
      <c r="L762" s="2" t="str">
        <f aca="false">IF($G762="","","同時")</f>
        <v/>
      </c>
      <c r="M762" s="2" t="str">
        <f aca="false">IF($G762="","",IF(ISNA(MATCH($G762,個別指定!$A:$A,0)),"行なし",""))</f>
        <v/>
      </c>
      <c r="N762" s="2" t="str">
        <f aca="false">IF($G762="","",IF(COUNTIF($G$2:$G$4460,$G762)&gt;1,"重複",""))</f>
        <v/>
      </c>
    </row>
    <row r="763" customFormat="false" ht="16.5" hidden="false" customHeight="true" outlineLevel="0" collapsed="false">
      <c r="A763" s="2" t="s">
        <v>385</v>
      </c>
      <c r="B763" s="2" t="s">
        <v>400</v>
      </c>
      <c r="C763" s="2" t="s">
        <v>26</v>
      </c>
      <c r="D763" s="2" t="str">
        <f aca="false">IF(2キー同時!$B$188="","",2キー同時!$B$188)</f>
        <v/>
      </c>
      <c r="E763" s="2" t="str">
        <f aca="false">""</f>
        <v/>
      </c>
      <c r="F763" s="2" t="str">
        <f aca="false">""</f>
        <v/>
      </c>
      <c r="G763" s="2" t="str">
        <f aca="false">IF(2キー同時!$B$188="","",IF(2キー同時!Q194="","",SUBSTITUTE(SUBSTITUTE(2キー同時!Q194," ",""),"　","")))</f>
        <v/>
      </c>
      <c r="H763" s="2" t="str">
        <f aca="false">IF($G763="","",2キー同時!$B$188)</f>
        <v/>
      </c>
      <c r="I763" s="2" t="str">
        <f aca="false">IF($G763="","","d")</f>
        <v/>
      </c>
      <c r="J763" s="2" t="str">
        <f aca="false">""</f>
        <v/>
      </c>
      <c r="K763" s="2" t="str">
        <f aca="false">""</f>
        <v/>
      </c>
      <c r="L763" s="2" t="str">
        <f aca="false">IF($G763="","","同時")</f>
        <v/>
      </c>
      <c r="M763" s="2" t="str">
        <f aca="false">IF($G763="","",IF(ISNA(MATCH($G763,個別指定!$A:$A,0)),"行なし",""))</f>
        <v/>
      </c>
      <c r="N763" s="2" t="str">
        <f aca="false">IF($G763="","",IF(COUNTIF($G$2:$G$4460,$G763)&gt;1,"重複",""))</f>
        <v/>
      </c>
    </row>
    <row r="764" customFormat="false" ht="16.5" hidden="false" customHeight="true" outlineLevel="0" collapsed="false">
      <c r="A764" s="2" t="s">
        <v>385</v>
      </c>
      <c r="B764" s="2" t="s">
        <v>400</v>
      </c>
      <c r="C764" s="2" t="s">
        <v>27</v>
      </c>
      <c r="D764" s="2" t="str">
        <f aca="false">IF(2キー同時!$B$188="","",2キー同時!$B$188)</f>
        <v/>
      </c>
      <c r="E764" s="2" t="str">
        <f aca="false">""</f>
        <v/>
      </c>
      <c r="F764" s="2" t="str">
        <f aca="false">""</f>
        <v/>
      </c>
      <c r="G764" s="2" t="str">
        <f aca="false">IF(2キー同時!$B$188="","",IF(2キー同時!U194="","",SUBSTITUTE(SUBSTITUTE(2キー同時!U194," ",""),"　","")))</f>
        <v/>
      </c>
      <c r="H764" s="2" t="str">
        <f aca="false">IF($G764="","",2キー同時!$B$188)</f>
        <v/>
      </c>
      <c r="I764" s="2" t="str">
        <f aca="false">IF($G764="","","f")</f>
        <v/>
      </c>
      <c r="J764" s="2" t="str">
        <f aca="false">""</f>
        <v/>
      </c>
      <c r="K764" s="2" t="str">
        <f aca="false">""</f>
        <v/>
      </c>
      <c r="L764" s="2" t="str">
        <f aca="false">IF($G764="","","同時")</f>
        <v/>
      </c>
      <c r="M764" s="2" t="str">
        <f aca="false">IF($G764="","",IF(ISNA(MATCH($G764,個別指定!$A:$A,0)),"行なし",""))</f>
        <v/>
      </c>
      <c r="N764" s="2" t="str">
        <f aca="false">IF($G764="","",IF(COUNTIF($G$2:$G$4460,$G764)&gt;1,"重複",""))</f>
        <v/>
      </c>
    </row>
    <row r="765" customFormat="false" ht="16.5" hidden="false" customHeight="true" outlineLevel="0" collapsed="false">
      <c r="A765" s="2" t="s">
        <v>385</v>
      </c>
      <c r="B765" s="2" t="s">
        <v>400</v>
      </c>
      <c r="C765" s="2" t="s">
        <v>28</v>
      </c>
      <c r="D765" s="2" t="str">
        <f aca="false">IF(2キー同時!$B$188="","",2キー同時!$B$188)</f>
        <v/>
      </c>
      <c r="E765" s="2" t="str">
        <f aca="false">""</f>
        <v/>
      </c>
      <c r="F765" s="2" t="str">
        <f aca="false">""</f>
        <v/>
      </c>
      <c r="G765" s="2" t="str">
        <f aca="false">IF(2キー同時!$B$188="","",IF(2キー同時!Y194="","",SUBSTITUTE(SUBSTITUTE(2キー同時!Y194," ",""),"　","")))</f>
        <v/>
      </c>
      <c r="H765" s="2" t="str">
        <f aca="false">IF($G765="","",2キー同時!$B$188)</f>
        <v/>
      </c>
      <c r="I765" s="2" t="str">
        <f aca="false">IF($G765="","","g")</f>
        <v/>
      </c>
      <c r="J765" s="2" t="str">
        <f aca="false">""</f>
        <v/>
      </c>
      <c r="K765" s="2" t="str">
        <f aca="false">""</f>
        <v/>
      </c>
      <c r="L765" s="2" t="str">
        <f aca="false">IF($G765="","","同時")</f>
        <v/>
      </c>
      <c r="M765" s="2" t="str">
        <f aca="false">IF($G765="","",IF(ISNA(MATCH($G765,個別指定!$A:$A,0)),"行なし",""))</f>
        <v/>
      </c>
      <c r="N765" s="2" t="str">
        <f aca="false">IF($G765="","",IF(COUNTIF($G$2:$G$4460,$G765)&gt;1,"重複",""))</f>
        <v/>
      </c>
    </row>
    <row r="766" customFormat="false" ht="16.5" hidden="false" customHeight="true" outlineLevel="0" collapsed="false">
      <c r="A766" s="2" t="s">
        <v>385</v>
      </c>
      <c r="B766" s="2" t="s">
        <v>400</v>
      </c>
      <c r="C766" s="2" t="s">
        <v>29</v>
      </c>
      <c r="D766" s="2" t="str">
        <f aca="false">IF(2キー同時!$B$188="","",2キー同時!$B$188)</f>
        <v/>
      </c>
      <c r="E766" s="2" t="str">
        <f aca="false">""</f>
        <v/>
      </c>
      <c r="F766" s="2" t="str">
        <f aca="false">""</f>
        <v/>
      </c>
      <c r="G766" s="2" t="str">
        <f aca="false">IF(2キー同時!$B$188="","",IF(2キー同時!AC194="","",SUBSTITUTE(SUBSTITUTE(2キー同時!AC194," ",""),"　","")))</f>
        <v/>
      </c>
      <c r="H766" s="2" t="str">
        <f aca="false">IF($G766="","",2キー同時!$B$188)</f>
        <v/>
      </c>
      <c r="I766" s="2" t="str">
        <f aca="false">IF($G766="","","h")</f>
        <v/>
      </c>
      <c r="J766" s="2" t="str">
        <f aca="false">""</f>
        <v/>
      </c>
      <c r="K766" s="2" t="str">
        <f aca="false">""</f>
        <v/>
      </c>
      <c r="L766" s="2" t="str">
        <f aca="false">IF($G766="","","同時")</f>
        <v/>
      </c>
      <c r="M766" s="2" t="str">
        <f aca="false">IF($G766="","",IF(ISNA(MATCH($G766,個別指定!$A:$A,0)),"行なし",""))</f>
        <v/>
      </c>
      <c r="N766" s="2" t="str">
        <f aca="false">IF($G766="","",IF(COUNTIF($G$2:$G$4460,$G766)&gt;1,"重複",""))</f>
        <v/>
      </c>
    </row>
    <row r="767" customFormat="false" ht="16.5" hidden="false" customHeight="true" outlineLevel="0" collapsed="false">
      <c r="A767" s="2" t="s">
        <v>385</v>
      </c>
      <c r="B767" s="2" t="s">
        <v>400</v>
      </c>
      <c r="C767" s="2" t="s">
        <v>30</v>
      </c>
      <c r="D767" s="2" t="str">
        <f aca="false">IF(2キー同時!$B$188="","",2キー同時!$B$188)</f>
        <v/>
      </c>
      <c r="E767" s="2" t="str">
        <f aca="false">""</f>
        <v/>
      </c>
      <c r="F767" s="2" t="str">
        <f aca="false">""</f>
        <v/>
      </c>
      <c r="G767" s="2" t="str">
        <f aca="false">IF(2キー同時!$B$188="","",IF(2キー同時!AG194="","",SUBSTITUTE(SUBSTITUTE(2キー同時!AG194," ",""),"　","")))</f>
        <v/>
      </c>
      <c r="H767" s="2" t="str">
        <f aca="false">IF($G767="","",2キー同時!$B$188)</f>
        <v/>
      </c>
      <c r="I767" s="2" t="str">
        <f aca="false">IF($G767="","","j")</f>
        <v/>
      </c>
      <c r="J767" s="2" t="str">
        <f aca="false">""</f>
        <v/>
      </c>
      <c r="K767" s="2" t="str">
        <f aca="false">""</f>
        <v/>
      </c>
      <c r="L767" s="2" t="str">
        <f aca="false">IF($G767="","","同時")</f>
        <v/>
      </c>
      <c r="M767" s="2" t="str">
        <f aca="false">IF($G767="","",IF(ISNA(MATCH($G767,個別指定!$A:$A,0)),"行なし",""))</f>
        <v/>
      </c>
      <c r="N767" s="2" t="str">
        <f aca="false">IF($G767="","",IF(COUNTIF($G$2:$G$4460,$G767)&gt;1,"重複",""))</f>
        <v/>
      </c>
    </row>
    <row r="768" customFormat="false" ht="16.5" hidden="false" customHeight="true" outlineLevel="0" collapsed="false">
      <c r="A768" s="2" t="s">
        <v>385</v>
      </c>
      <c r="B768" s="2" t="s">
        <v>400</v>
      </c>
      <c r="C768" s="2" t="s">
        <v>31</v>
      </c>
      <c r="D768" s="2" t="str">
        <f aca="false">IF(2キー同時!$B$188="","",2キー同時!$B$188)</f>
        <v/>
      </c>
      <c r="E768" s="2" t="str">
        <f aca="false">""</f>
        <v/>
      </c>
      <c r="F768" s="2" t="str">
        <f aca="false">""</f>
        <v/>
      </c>
      <c r="G768" s="2" t="str">
        <f aca="false">IF(2キー同時!$B$188="","",IF(2キー同時!AK194="","",SUBSTITUTE(SUBSTITUTE(2キー同時!AK194," ",""),"　","")))</f>
        <v/>
      </c>
      <c r="H768" s="2" t="str">
        <f aca="false">IF($G768="","",2キー同時!$B$188)</f>
        <v/>
      </c>
      <c r="I768" s="2" t="str">
        <f aca="false">IF($G768="","","k")</f>
        <v/>
      </c>
      <c r="J768" s="2" t="str">
        <f aca="false">""</f>
        <v/>
      </c>
      <c r="K768" s="2" t="str">
        <f aca="false">""</f>
        <v/>
      </c>
      <c r="L768" s="2" t="str">
        <f aca="false">IF($G768="","","同時")</f>
        <v/>
      </c>
      <c r="M768" s="2" t="str">
        <f aca="false">IF($G768="","",IF(ISNA(MATCH($G768,個別指定!$A:$A,0)),"行なし",""))</f>
        <v/>
      </c>
      <c r="N768" s="2" t="str">
        <f aca="false">IF($G768="","",IF(COUNTIF($G$2:$G$4460,$G768)&gt;1,"重複",""))</f>
        <v/>
      </c>
    </row>
    <row r="769" customFormat="false" ht="16.5" hidden="false" customHeight="true" outlineLevel="0" collapsed="false">
      <c r="A769" s="2" t="s">
        <v>385</v>
      </c>
      <c r="B769" s="2" t="s">
        <v>400</v>
      </c>
      <c r="C769" s="2" t="s">
        <v>32</v>
      </c>
      <c r="D769" s="2" t="str">
        <f aca="false">IF(2キー同時!$B$188="","",2キー同時!$B$188)</f>
        <v/>
      </c>
      <c r="E769" s="2" t="str">
        <f aca="false">""</f>
        <v/>
      </c>
      <c r="F769" s="2" t="str">
        <f aca="false">""</f>
        <v/>
      </c>
      <c r="G769" s="2" t="str">
        <f aca="false">IF(2キー同時!$B$188="","",IF(2キー同時!AO194="","",SUBSTITUTE(SUBSTITUTE(2キー同時!AO194," ",""),"　","")))</f>
        <v/>
      </c>
      <c r="H769" s="2" t="str">
        <f aca="false">IF($G769="","",2キー同時!$B$188)</f>
        <v/>
      </c>
      <c r="I769" s="2" t="str">
        <f aca="false">IF($G769="","","l")</f>
        <v/>
      </c>
      <c r="J769" s="2" t="str">
        <f aca="false">""</f>
        <v/>
      </c>
      <c r="K769" s="2" t="str">
        <f aca="false">""</f>
        <v/>
      </c>
      <c r="L769" s="2" t="str">
        <f aca="false">IF($G769="","","同時")</f>
        <v/>
      </c>
      <c r="M769" s="2" t="str">
        <f aca="false">IF($G769="","",IF(ISNA(MATCH($G769,個別指定!$A:$A,0)),"行なし",""))</f>
        <v/>
      </c>
      <c r="N769" s="2" t="str">
        <f aca="false">IF($G769="","",IF(COUNTIF($G$2:$G$4460,$G769)&gt;1,"重複",""))</f>
        <v/>
      </c>
    </row>
    <row r="770" customFormat="false" ht="16.5" hidden="false" customHeight="true" outlineLevel="0" collapsed="false">
      <c r="A770" s="2" t="s">
        <v>385</v>
      </c>
      <c r="B770" s="2" t="s">
        <v>400</v>
      </c>
      <c r="C770" s="2" t="s">
        <v>33</v>
      </c>
      <c r="D770" s="2" t="str">
        <f aca="false">IF(2キー同時!$B$188="","",2キー同時!$B$188)</f>
        <v/>
      </c>
      <c r="E770" s="2" t="str">
        <f aca="false">""</f>
        <v/>
      </c>
      <c r="F770" s="2" t="str">
        <f aca="false">""</f>
        <v/>
      </c>
      <c r="G770" s="2" t="str">
        <f aca="false">IF(2キー同時!$B$188="","",IF(2キー同時!AS194="","",SUBSTITUTE(SUBSTITUTE(2キー同時!AS194," ",""),"　","")))</f>
        <v/>
      </c>
      <c r="H770" s="2" t="str">
        <f aca="false">IF($G770="","",2キー同時!$B$188)</f>
        <v/>
      </c>
      <c r="I770" s="2" t="str">
        <f aca="false">IF($G770="","",";")</f>
        <v/>
      </c>
      <c r="J770" s="2" t="str">
        <f aca="false">""</f>
        <v/>
      </c>
      <c r="K770" s="2" t="str">
        <f aca="false">""</f>
        <v/>
      </c>
      <c r="L770" s="2" t="str">
        <f aca="false">IF($G770="","","同時")</f>
        <v/>
      </c>
      <c r="M770" s="2" t="str">
        <f aca="false">IF($G770="","",IF(ISNA(MATCH($G770,個別指定!$A:$A,0)),"行なし",""))</f>
        <v/>
      </c>
      <c r="N770" s="2" t="str">
        <f aca="false">IF($G770="","",IF(COUNTIF($G$2:$G$4460,$G770)&gt;1,"重複",""))</f>
        <v/>
      </c>
    </row>
    <row r="771" customFormat="false" ht="16.5" hidden="false" customHeight="true" outlineLevel="0" collapsed="false">
      <c r="A771" s="2" t="s">
        <v>385</v>
      </c>
      <c r="B771" s="2" t="s">
        <v>400</v>
      </c>
      <c r="C771" s="2" t="s">
        <v>34</v>
      </c>
      <c r="D771" s="2" t="str">
        <f aca="false">IF(2キー同時!$B$188="","",2キー同時!$B$188)</f>
        <v/>
      </c>
      <c r="E771" s="2" t="str">
        <f aca="false">""</f>
        <v/>
      </c>
      <c r="F771" s="2" t="str">
        <f aca="false">""</f>
        <v/>
      </c>
      <c r="G771" s="2" t="str">
        <f aca="false">IF(2キー同時!$B$188="","",IF(2キー同時!AW194="","",SUBSTITUTE(SUBSTITUTE(2キー同時!AW194," ",""),"　","")))</f>
        <v/>
      </c>
      <c r="H771" s="2" t="str">
        <f aca="false">IF($G771="","",2キー同時!$B$188)</f>
        <v/>
      </c>
      <c r="I771" s="2" t="str">
        <f aca="false">IF($G771="","","'")</f>
        <v/>
      </c>
      <c r="J771" s="2" t="str">
        <f aca="false">""</f>
        <v/>
      </c>
      <c r="K771" s="2" t="str">
        <f aca="false">""</f>
        <v/>
      </c>
      <c r="L771" s="2" t="str">
        <f aca="false">IF($G771="","","同時")</f>
        <v/>
      </c>
      <c r="M771" s="2" t="str">
        <f aca="false">IF($G771="","",IF(ISNA(MATCH($G771,個別指定!$A:$A,0)),"行なし",""))</f>
        <v/>
      </c>
      <c r="N771" s="2" t="str">
        <f aca="false">IF($G771="","",IF(COUNTIF($G$2:$G$4460,$G771)&gt;1,"重複",""))</f>
        <v/>
      </c>
    </row>
    <row r="772" customFormat="false" ht="16.5" hidden="false" customHeight="true" outlineLevel="0" collapsed="false">
      <c r="A772" s="2" t="s">
        <v>385</v>
      </c>
      <c r="B772" s="2" t="s">
        <v>400</v>
      </c>
      <c r="C772" s="2" t="s">
        <v>35</v>
      </c>
      <c r="D772" s="2" t="str">
        <f aca="false">IF(2キー同時!$B$188="","",2キー同時!$B$188)</f>
        <v/>
      </c>
      <c r="E772" s="2" t="str">
        <f aca="false">""</f>
        <v/>
      </c>
      <c r="F772" s="2" t="str">
        <f aca="false">""</f>
        <v/>
      </c>
      <c r="G772" s="2" t="str">
        <f aca="false">IF(2キー同時!$B$188="","",IF(2キー同時!K196="","",SUBSTITUTE(SUBSTITUTE(2キー同時!K196," ",""),"　","")))</f>
        <v/>
      </c>
      <c r="H772" s="2" t="str">
        <f aca="false">IF($G772="","",2キー同時!$B$188)</f>
        <v/>
      </c>
      <c r="I772" s="2" t="str">
        <f aca="false">IF($G772="","","z")</f>
        <v/>
      </c>
      <c r="J772" s="2" t="str">
        <f aca="false">""</f>
        <v/>
      </c>
      <c r="K772" s="2" t="str">
        <f aca="false">""</f>
        <v/>
      </c>
      <c r="L772" s="2" t="str">
        <f aca="false">IF($G772="","","同時")</f>
        <v/>
      </c>
      <c r="M772" s="2" t="str">
        <f aca="false">IF($G772="","",IF(ISNA(MATCH($G772,個別指定!$A:$A,0)),"行なし",""))</f>
        <v/>
      </c>
      <c r="N772" s="2" t="str">
        <f aca="false">IF($G772="","",IF(COUNTIF($G$2:$G$4460,$G772)&gt;1,"重複",""))</f>
        <v/>
      </c>
    </row>
    <row r="773" customFormat="false" ht="16.5" hidden="false" customHeight="true" outlineLevel="0" collapsed="false">
      <c r="A773" s="2" t="s">
        <v>385</v>
      </c>
      <c r="B773" s="2" t="s">
        <v>400</v>
      </c>
      <c r="C773" s="2" t="s">
        <v>36</v>
      </c>
      <c r="D773" s="2" t="str">
        <f aca="false">IF(2キー同時!$B$188="","",2キー同時!$B$188)</f>
        <v/>
      </c>
      <c r="E773" s="2" t="str">
        <f aca="false">""</f>
        <v/>
      </c>
      <c r="F773" s="2" t="str">
        <f aca="false">""</f>
        <v/>
      </c>
      <c r="G773" s="2" t="str">
        <f aca="false">IF(2キー同時!$B$188="","",IF(2キー同時!O196="","",SUBSTITUTE(SUBSTITUTE(2キー同時!O196," ",""),"　","")))</f>
        <v/>
      </c>
      <c r="H773" s="2" t="str">
        <f aca="false">IF($G773="","",2キー同時!$B$188)</f>
        <v/>
      </c>
      <c r="I773" s="2" t="str">
        <f aca="false">IF($G773="","","x")</f>
        <v/>
      </c>
      <c r="J773" s="2" t="str">
        <f aca="false">""</f>
        <v/>
      </c>
      <c r="K773" s="2" t="str">
        <f aca="false">""</f>
        <v/>
      </c>
      <c r="L773" s="2" t="str">
        <f aca="false">IF($G773="","","同時")</f>
        <v/>
      </c>
      <c r="M773" s="2" t="str">
        <f aca="false">IF($G773="","",IF(ISNA(MATCH($G773,個別指定!$A:$A,0)),"行なし",""))</f>
        <v/>
      </c>
      <c r="N773" s="2" t="str">
        <f aca="false">IF($G773="","",IF(COUNTIF($G$2:$G$4460,$G773)&gt;1,"重複",""))</f>
        <v/>
      </c>
    </row>
    <row r="774" customFormat="false" ht="16.5" hidden="false" customHeight="true" outlineLevel="0" collapsed="false">
      <c r="A774" s="2" t="s">
        <v>385</v>
      </c>
      <c r="B774" s="2" t="s">
        <v>400</v>
      </c>
      <c r="C774" s="2" t="s">
        <v>37</v>
      </c>
      <c r="D774" s="2" t="str">
        <f aca="false">IF(2キー同時!$B$188="","",2キー同時!$B$188)</f>
        <v/>
      </c>
      <c r="E774" s="2" t="str">
        <f aca="false">""</f>
        <v/>
      </c>
      <c r="F774" s="2" t="str">
        <f aca="false">""</f>
        <v/>
      </c>
      <c r="G774" s="2" t="str">
        <f aca="false">IF(2キー同時!$B$188="","",IF(2キー同時!S196="","",SUBSTITUTE(SUBSTITUTE(2キー同時!S196," ",""),"　","")))</f>
        <v/>
      </c>
      <c r="H774" s="2" t="str">
        <f aca="false">IF($G774="","",2キー同時!$B$188)</f>
        <v/>
      </c>
      <c r="I774" s="2" t="str">
        <f aca="false">IF($G774="","","c")</f>
        <v/>
      </c>
      <c r="J774" s="2" t="str">
        <f aca="false">""</f>
        <v/>
      </c>
      <c r="K774" s="2" t="str">
        <f aca="false">""</f>
        <v/>
      </c>
      <c r="L774" s="2" t="str">
        <f aca="false">IF($G774="","","同時")</f>
        <v/>
      </c>
      <c r="M774" s="2" t="str">
        <f aca="false">IF($G774="","",IF(ISNA(MATCH($G774,個別指定!$A:$A,0)),"行なし",""))</f>
        <v/>
      </c>
      <c r="N774" s="2" t="str">
        <f aca="false">IF($G774="","",IF(COUNTIF($G$2:$G$4460,$G774)&gt;1,"重複",""))</f>
        <v/>
      </c>
    </row>
    <row r="775" customFormat="false" ht="16.5" hidden="false" customHeight="true" outlineLevel="0" collapsed="false">
      <c r="A775" s="2" t="s">
        <v>385</v>
      </c>
      <c r="B775" s="2" t="s">
        <v>400</v>
      </c>
      <c r="C775" s="2" t="s">
        <v>38</v>
      </c>
      <c r="D775" s="2" t="str">
        <f aca="false">IF(2キー同時!$B$188="","",2キー同時!$B$188)</f>
        <v/>
      </c>
      <c r="E775" s="2" t="str">
        <f aca="false">""</f>
        <v/>
      </c>
      <c r="F775" s="2" t="str">
        <f aca="false">""</f>
        <v/>
      </c>
      <c r="G775" s="2" t="str">
        <f aca="false">IF(2キー同時!$B$188="","",IF(2キー同時!W196="","",SUBSTITUTE(SUBSTITUTE(2キー同時!W196," ",""),"　","")))</f>
        <v/>
      </c>
      <c r="H775" s="2" t="str">
        <f aca="false">IF($G775="","",2キー同時!$B$188)</f>
        <v/>
      </c>
      <c r="I775" s="2" t="str">
        <f aca="false">IF($G775="","","v")</f>
        <v/>
      </c>
      <c r="J775" s="2" t="str">
        <f aca="false">""</f>
        <v/>
      </c>
      <c r="K775" s="2" t="str">
        <f aca="false">""</f>
        <v/>
      </c>
      <c r="L775" s="2" t="str">
        <f aca="false">IF($G775="","","同時")</f>
        <v/>
      </c>
      <c r="M775" s="2" t="str">
        <f aca="false">IF($G775="","",IF(ISNA(MATCH($G775,個別指定!$A:$A,0)),"行なし",""))</f>
        <v/>
      </c>
      <c r="N775" s="2" t="str">
        <f aca="false">IF($G775="","",IF(COUNTIF($G$2:$G$4460,$G775)&gt;1,"重複",""))</f>
        <v/>
      </c>
    </row>
    <row r="776" customFormat="false" ht="16.5" hidden="false" customHeight="true" outlineLevel="0" collapsed="false">
      <c r="A776" s="2" t="s">
        <v>385</v>
      </c>
      <c r="B776" s="2" t="s">
        <v>400</v>
      </c>
      <c r="C776" s="2" t="s">
        <v>39</v>
      </c>
      <c r="D776" s="2" t="str">
        <f aca="false">IF(2キー同時!$B$188="","",2キー同時!$B$188)</f>
        <v/>
      </c>
      <c r="E776" s="2" t="str">
        <f aca="false">""</f>
        <v/>
      </c>
      <c r="F776" s="2" t="str">
        <f aca="false">""</f>
        <v/>
      </c>
      <c r="G776" s="2" t="str">
        <f aca="false">IF(2キー同時!$B$188="","",IF(2キー同時!AA196="","",SUBSTITUTE(SUBSTITUTE(2キー同時!AA196," ",""),"　","")))</f>
        <v/>
      </c>
      <c r="H776" s="2" t="str">
        <f aca="false">IF($G776="","",2キー同時!$B$188)</f>
        <v/>
      </c>
      <c r="I776" s="2" t="str">
        <f aca="false">IF($G776="","","b")</f>
        <v/>
      </c>
      <c r="J776" s="2" t="str">
        <f aca="false">""</f>
        <v/>
      </c>
      <c r="K776" s="2" t="str">
        <f aca="false">""</f>
        <v/>
      </c>
      <c r="L776" s="2" t="str">
        <f aca="false">IF($G776="","","同時")</f>
        <v/>
      </c>
      <c r="M776" s="2" t="str">
        <f aca="false">IF($G776="","",IF(ISNA(MATCH($G776,個別指定!$A:$A,0)),"行なし",""))</f>
        <v/>
      </c>
      <c r="N776" s="2" t="str">
        <f aca="false">IF($G776="","",IF(COUNTIF($G$2:$G$4460,$G776)&gt;1,"重複",""))</f>
        <v/>
      </c>
    </row>
    <row r="777" customFormat="false" ht="16.5" hidden="false" customHeight="true" outlineLevel="0" collapsed="false">
      <c r="A777" s="2" t="s">
        <v>385</v>
      </c>
      <c r="B777" s="2" t="s">
        <v>400</v>
      </c>
      <c r="C777" s="2" t="s">
        <v>40</v>
      </c>
      <c r="D777" s="2" t="str">
        <f aca="false">IF(2キー同時!$B$188="","",2キー同時!$B$188)</f>
        <v/>
      </c>
      <c r="E777" s="2" t="str">
        <f aca="false">""</f>
        <v/>
      </c>
      <c r="F777" s="2" t="str">
        <f aca="false">""</f>
        <v/>
      </c>
      <c r="G777" s="2" t="str">
        <f aca="false">IF(2キー同時!$B$188="","",IF(2キー同時!AE196="","",SUBSTITUTE(SUBSTITUTE(2キー同時!AE196," ",""),"　","")))</f>
        <v/>
      </c>
      <c r="H777" s="2" t="str">
        <f aca="false">IF($G777="","",2キー同時!$B$188)</f>
        <v/>
      </c>
      <c r="I777" s="2" t="str">
        <f aca="false">IF($G777="","","n")</f>
        <v/>
      </c>
      <c r="J777" s="2" t="str">
        <f aca="false">""</f>
        <v/>
      </c>
      <c r="K777" s="2" t="str">
        <f aca="false">""</f>
        <v/>
      </c>
      <c r="L777" s="2" t="str">
        <f aca="false">IF($G777="","","同時")</f>
        <v/>
      </c>
      <c r="M777" s="2" t="str">
        <f aca="false">IF($G777="","",IF(ISNA(MATCH($G777,個別指定!$A:$A,0)),"行なし",""))</f>
        <v/>
      </c>
      <c r="N777" s="2" t="str">
        <f aca="false">IF($G777="","",IF(COUNTIF($G$2:$G$4460,$G777)&gt;1,"重複",""))</f>
        <v/>
      </c>
    </row>
    <row r="778" customFormat="false" ht="16.5" hidden="false" customHeight="true" outlineLevel="0" collapsed="false">
      <c r="A778" s="2" t="s">
        <v>385</v>
      </c>
      <c r="B778" s="2" t="s">
        <v>400</v>
      </c>
      <c r="C778" s="2" t="s">
        <v>41</v>
      </c>
      <c r="D778" s="2" t="str">
        <f aca="false">IF(2キー同時!$B$188="","",2キー同時!$B$188)</f>
        <v/>
      </c>
      <c r="E778" s="2" t="str">
        <f aca="false">""</f>
        <v/>
      </c>
      <c r="F778" s="2" t="str">
        <f aca="false">""</f>
        <v/>
      </c>
      <c r="G778" s="2" t="str">
        <f aca="false">IF(2キー同時!$B$188="","",IF(2キー同時!AI196="","",SUBSTITUTE(SUBSTITUTE(2キー同時!AI196," ",""),"　","")))</f>
        <v/>
      </c>
      <c r="H778" s="2" t="str">
        <f aca="false">IF($G778="","",2キー同時!$B$188)</f>
        <v/>
      </c>
      <c r="I778" s="2" t="str">
        <f aca="false">IF($G778="","","m")</f>
        <v/>
      </c>
      <c r="J778" s="2" t="str">
        <f aca="false">""</f>
        <v/>
      </c>
      <c r="K778" s="2" t="str">
        <f aca="false">""</f>
        <v/>
      </c>
      <c r="L778" s="2" t="str">
        <f aca="false">IF($G778="","","同時")</f>
        <v/>
      </c>
      <c r="M778" s="2" t="str">
        <f aca="false">IF($G778="","",IF(ISNA(MATCH($G778,個別指定!$A:$A,0)),"行なし",""))</f>
        <v/>
      </c>
      <c r="N778" s="2" t="str">
        <f aca="false">IF($G778="","",IF(COUNTIF($G$2:$G$4460,$G778)&gt;1,"重複",""))</f>
        <v/>
      </c>
    </row>
    <row r="779" customFormat="false" ht="16.5" hidden="false" customHeight="true" outlineLevel="0" collapsed="false">
      <c r="A779" s="2" t="s">
        <v>385</v>
      </c>
      <c r="B779" s="2" t="s">
        <v>400</v>
      </c>
      <c r="C779" s="2" t="s">
        <v>42</v>
      </c>
      <c r="D779" s="2" t="str">
        <f aca="false">IF(2キー同時!$B$188="","",2キー同時!$B$188)</f>
        <v/>
      </c>
      <c r="E779" s="2" t="str">
        <f aca="false">""</f>
        <v/>
      </c>
      <c r="F779" s="2" t="str">
        <f aca="false">""</f>
        <v/>
      </c>
      <c r="G779" s="2" t="str">
        <f aca="false">IF(2キー同時!$B$188="","",IF(2キー同時!AM196="","",SUBSTITUTE(SUBSTITUTE(2キー同時!AM196," ",""),"　","")))</f>
        <v/>
      </c>
      <c r="H779" s="2" t="str">
        <f aca="false">IF($G779="","",2キー同時!$B$188)</f>
        <v/>
      </c>
      <c r="I779" s="2" t="str">
        <f aca="false">IF($G779="","",",")</f>
        <v/>
      </c>
      <c r="J779" s="2" t="str">
        <f aca="false">""</f>
        <v/>
      </c>
      <c r="K779" s="2" t="str">
        <f aca="false">""</f>
        <v/>
      </c>
      <c r="L779" s="2" t="str">
        <f aca="false">IF($G779="","","同時")</f>
        <v/>
      </c>
      <c r="M779" s="2" t="str">
        <f aca="false">IF($G779="","",IF(ISNA(MATCH($G779,個別指定!$A:$A,0)),"行なし",""))</f>
        <v/>
      </c>
      <c r="N779" s="2" t="str">
        <f aca="false">IF($G779="","",IF(COUNTIF($G$2:$G$4460,$G779)&gt;1,"重複",""))</f>
        <v/>
      </c>
    </row>
    <row r="780" customFormat="false" ht="16.5" hidden="false" customHeight="true" outlineLevel="0" collapsed="false">
      <c r="A780" s="2" t="s">
        <v>385</v>
      </c>
      <c r="B780" s="2" t="s">
        <v>400</v>
      </c>
      <c r="C780" s="2" t="s">
        <v>43</v>
      </c>
      <c r="D780" s="2" t="str">
        <f aca="false">IF(2キー同時!$B$188="","",2キー同時!$B$188)</f>
        <v/>
      </c>
      <c r="E780" s="2" t="str">
        <f aca="false">""</f>
        <v/>
      </c>
      <c r="F780" s="2" t="str">
        <f aca="false">""</f>
        <v/>
      </c>
      <c r="G780" s="2" t="str">
        <f aca="false">IF(2キー同時!$B$188="","",IF(2キー同時!AQ196="","",SUBSTITUTE(SUBSTITUTE(2キー同時!AQ196," ",""),"　","")))</f>
        <v/>
      </c>
      <c r="H780" s="2" t="str">
        <f aca="false">IF($G780="","",2キー同時!$B$188)</f>
        <v/>
      </c>
      <c r="I780" s="2" t="str">
        <f aca="false">IF($G780="","",".")</f>
        <v/>
      </c>
      <c r="J780" s="2" t="str">
        <f aca="false">""</f>
        <v/>
      </c>
      <c r="K780" s="2" t="str">
        <f aca="false">""</f>
        <v/>
      </c>
      <c r="L780" s="2" t="str">
        <f aca="false">IF($G780="","","同時")</f>
        <v/>
      </c>
      <c r="M780" s="2" t="str">
        <f aca="false">IF($G780="","",IF(ISNA(MATCH($G780,個別指定!$A:$A,0)),"行なし",""))</f>
        <v/>
      </c>
      <c r="N780" s="2" t="str">
        <f aca="false">IF($G780="","",IF(COUNTIF($G$2:$G$4460,$G780)&gt;1,"重複",""))</f>
        <v/>
      </c>
    </row>
    <row r="781" customFormat="false" ht="16.5" hidden="false" customHeight="true" outlineLevel="0" collapsed="false">
      <c r="A781" s="2" t="s">
        <v>385</v>
      </c>
      <c r="B781" s="2" t="s">
        <v>400</v>
      </c>
      <c r="C781" s="2" t="s">
        <v>44</v>
      </c>
      <c r="D781" s="2" t="str">
        <f aca="false">IF(2キー同時!$B$188="","",2キー同時!$B$188)</f>
        <v/>
      </c>
      <c r="E781" s="2" t="str">
        <f aca="false">""</f>
        <v/>
      </c>
      <c r="F781" s="2" t="str">
        <f aca="false">""</f>
        <v/>
      </c>
      <c r="G781" s="2" t="str">
        <f aca="false">IF(2キー同時!$B$188="","",IF(2キー同時!AU196="","",SUBSTITUTE(SUBSTITUTE(2キー同時!AU196," ",""),"　","")))</f>
        <v/>
      </c>
      <c r="H781" s="2" t="str">
        <f aca="false">IF($G781="","",2キー同時!$B$188)</f>
        <v/>
      </c>
      <c r="I781" s="2" t="str">
        <f aca="false">IF($G781="","","/")</f>
        <v/>
      </c>
      <c r="J781" s="2" t="str">
        <f aca="false">""</f>
        <v/>
      </c>
      <c r="K781" s="2" t="str">
        <f aca="false">""</f>
        <v/>
      </c>
      <c r="L781" s="2" t="str">
        <f aca="false">IF($G781="","","同時")</f>
        <v/>
      </c>
      <c r="M781" s="2" t="str">
        <f aca="false">IF($G781="","",IF(ISNA(MATCH($G781,個別指定!$A:$A,0)),"行なし",""))</f>
        <v/>
      </c>
      <c r="N781" s="2" t="str">
        <f aca="false">IF($G781="","",IF(COUNTIF($G$2:$G$4460,$G781)&gt;1,"重複",""))</f>
        <v/>
      </c>
    </row>
    <row r="782" customFormat="false" ht="16.5" hidden="false" customHeight="true" outlineLevel="0" collapsed="false">
      <c r="A782" s="2" t="s">
        <v>385</v>
      </c>
      <c r="B782" s="2" t="s">
        <v>400</v>
      </c>
      <c r="C782" s="2" t="s">
        <v>48</v>
      </c>
      <c r="D782" s="2" t="str">
        <f aca="false">IF(2キー同時!$B$188="","",2キー同時!$B$188)</f>
        <v/>
      </c>
      <c r="E782" s="2" t="str">
        <f aca="false">""</f>
        <v/>
      </c>
      <c r="F782" s="2" t="str">
        <f aca="false">""</f>
        <v/>
      </c>
      <c r="G782" s="2" t="str">
        <f aca="false">IF(2キー同時!$B$188="","",IF(2キー同時!P198="","",SUBSTITUTE(SUBSTITUTE(2キー同時!P198," ",""),"　","")))</f>
        <v/>
      </c>
      <c r="H782" s="2" t="str">
        <f aca="false">IF($G782="","",2キー同時!$B$188)</f>
        <v/>
      </c>
      <c r="I782" s="2" t="str">
        <f aca="false">IF($G782="","","muhenkan")</f>
        <v/>
      </c>
      <c r="J782" s="2" t="str">
        <f aca="false">""</f>
        <v/>
      </c>
      <c r="K782" s="2" t="str">
        <f aca="false">""</f>
        <v/>
      </c>
      <c r="L782" s="2" t="str">
        <f aca="false">IF($G782="","","同時")</f>
        <v/>
      </c>
      <c r="M782" s="2" t="str">
        <f aca="false">IF($G782="","",IF(ISNA(MATCH($G782,個別指定!$A:$A,0)),"行なし",""))</f>
        <v/>
      </c>
      <c r="N782" s="2" t="str">
        <f aca="false">IF($G782="","",IF(COUNTIF($G$2:$G$4460,$G782)&gt;1,"重複",""))</f>
        <v/>
      </c>
    </row>
    <row r="783" customFormat="false" ht="16.5" hidden="false" customHeight="true" outlineLevel="0" collapsed="false">
      <c r="A783" s="2" t="s">
        <v>385</v>
      </c>
      <c r="B783" s="2" t="s">
        <v>400</v>
      </c>
      <c r="C783" s="2" t="s">
        <v>50</v>
      </c>
      <c r="D783" s="2" t="str">
        <f aca="false">IF(2キー同時!$B$188="","",2キー同時!$B$188)</f>
        <v/>
      </c>
      <c r="E783" s="2" t="str">
        <f aca="false">""</f>
        <v/>
      </c>
      <c r="F783" s="2" t="str">
        <f aca="false">""</f>
        <v/>
      </c>
      <c r="G783" s="2" t="str">
        <f aca="false">IF(2キー同時!$B$188="","",IF(2キー同時!T198="","",SUBSTITUTE(SUBSTITUTE(2キー同時!T198," ",""),"　","")))</f>
        <v/>
      </c>
      <c r="H783" s="2" t="str">
        <f aca="false">IF($G783="","",2キー同時!$B$188)</f>
        <v/>
      </c>
      <c r="I783" s="2" t="str">
        <f aca="false">IF($G783="","","space")</f>
        <v/>
      </c>
      <c r="J783" s="2" t="str">
        <f aca="false">""</f>
        <v/>
      </c>
      <c r="K783" s="2" t="str">
        <f aca="false">""</f>
        <v/>
      </c>
      <c r="L783" s="2" t="str">
        <f aca="false">IF($G783="","","同時")</f>
        <v/>
      </c>
      <c r="M783" s="2" t="str">
        <f aca="false">IF($G783="","",IF(ISNA(MATCH($G783,個別指定!$A:$A,0)),"行なし",""))</f>
        <v/>
      </c>
      <c r="N783" s="2" t="str">
        <f aca="false">IF($G783="","",IF(COUNTIF($G$2:$G$4460,$G783)&gt;1,"重複",""))</f>
        <v/>
      </c>
    </row>
    <row r="784" customFormat="false" ht="16.5" hidden="false" customHeight="true" outlineLevel="0" collapsed="false">
      <c r="A784" s="2" t="s">
        <v>385</v>
      </c>
      <c r="B784" s="2" t="s">
        <v>400</v>
      </c>
      <c r="C784" s="2" t="s">
        <v>45</v>
      </c>
      <c r="D784" s="2" t="str">
        <f aca="false">IF(2キー同時!$B$188="","",2キー同時!$B$188)</f>
        <v/>
      </c>
      <c r="E784" s="2" t="str">
        <f aca="false">""</f>
        <v/>
      </c>
      <c r="F784" s="2" t="str">
        <f aca="false">""</f>
        <v/>
      </c>
      <c r="G784" s="2" t="str">
        <f aca="false">IF(2キー同時!$B$188="","",IF(2キー同時!AL198="","",SUBSTITUTE(SUBSTITUTE(2キー同時!AL198," ",""),"　","")))</f>
        <v/>
      </c>
      <c r="H784" s="2" t="str">
        <f aca="false">IF($G784="","",2キー同時!$B$188)</f>
        <v/>
      </c>
      <c r="I784" s="2" t="str">
        <f aca="false">IF($G784="","","henkan")</f>
        <v/>
      </c>
      <c r="J784" s="2" t="str">
        <f aca="false">""</f>
        <v/>
      </c>
      <c r="K784" s="2" t="str">
        <f aca="false">""</f>
        <v/>
      </c>
      <c r="L784" s="2" t="str">
        <f aca="false">IF($G784="","","同時")</f>
        <v/>
      </c>
      <c r="M784" s="2" t="str">
        <f aca="false">IF($G784="","",IF(ISNA(MATCH($G784,個別指定!$A:$A,0)),"行なし",""))</f>
        <v/>
      </c>
      <c r="N784" s="2" t="str">
        <f aca="false">IF($G784="","",IF(COUNTIF($G$2:$G$4460,$G784)&gt;1,"重複",""))</f>
        <v/>
      </c>
    </row>
    <row r="785" customFormat="false" ht="16.5" hidden="false" customHeight="true" outlineLevel="0" collapsed="false">
      <c r="A785" s="2" t="s">
        <v>385</v>
      </c>
      <c r="B785" s="2" t="s">
        <v>400</v>
      </c>
      <c r="C785" s="2" t="s">
        <v>46</v>
      </c>
      <c r="D785" s="2" t="str">
        <f aca="false">IF(2キー同時!$B$188="","",2キー同時!$B$188)</f>
        <v/>
      </c>
      <c r="E785" s="2" t="str">
        <f aca="false">""</f>
        <v/>
      </c>
      <c r="F785" s="2" t="str">
        <f aca="false">""</f>
        <v/>
      </c>
      <c r="G785" s="2" t="str">
        <f aca="false">IF(2キー同時!$B$188="","",IF(2キー同時!AP198="","",SUBSTITUTE(SUBSTITUTE(2キー同時!AP198," ",""),"　","")))</f>
        <v/>
      </c>
      <c r="H785" s="2" t="str">
        <f aca="false">IF($G785="","",2キー同時!$B$188)</f>
        <v/>
      </c>
      <c r="I785" s="2" t="str">
        <f aca="false">IF($G785="","","kana")</f>
        <v/>
      </c>
      <c r="J785" s="2" t="str">
        <f aca="false">""</f>
        <v/>
      </c>
      <c r="K785" s="2" t="str">
        <f aca="false">""</f>
        <v/>
      </c>
      <c r="L785" s="2" t="str">
        <f aca="false">IF($G785="","","同時")</f>
        <v/>
      </c>
      <c r="M785" s="2" t="str">
        <f aca="false">IF($G785="","",IF(ISNA(MATCH($G785,個別指定!$A:$A,0)),"行なし",""))</f>
        <v/>
      </c>
      <c r="N785" s="2" t="str">
        <f aca="false">IF($G785="","",IF(COUNTIF($G$2:$G$4460,$G785)&gt;1,"重複",""))</f>
        <v/>
      </c>
    </row>
    <row r="786" customFormat="false" ht="16.5" hidden="false" customHeight="true" outlineLevel="0" collapsed="false">
      <c r="A786" s="2" t="s">
        <v>385</v>
      </c>
      <c r="B786" s="2" t="s">
        <v>401</v>
      </c>
      <c r="C786" s="2" t="s">
        <v>0</v>
      </c>
      <c r="D786" s="2" t="str">
        <f aca="false">IF(2キー同時!$B$201="","",2キー同時!$B$201)</f>
        <v/>
      </c>
      <c r="E786" s="2" t="str">
        <f aca="false">""</f>
        <v/>
      </c>
      <c r="F786" s="2" t="str">
        <f aca="false">""</f>
        <v/>
      </c>
      <c r="G786" s="2" t="str">
        <f aca="false">IF(2キー同時!$B$201="","",IF(2キー同時!F203="","",SUBSTITUTE(SUBSTITUTE(2キー同時!F203," ",""),"　","")))</f>
        <v/>
      </c>
      <c r="H786" s="2" t="str">
        <f aca="false">IF($G786="","",2キー同時!$B$201)</f>
        <v/>
      </c>
      <c r="I786" s="2" t="str">
        <f aca="false">IF($G786="","","1")</f>
        <v/>
      </c>
      <c r="J786" s="2" t="str">
        <f aca="false">""</f>
        <v/>
      </c>
      <c r="K786" s="2" t="str">
        <f aca="false">""</f>
        <v/>
      </c>
      <c r="L786" s="2" t="str">
        <f aca="false">IF($G786="","","同時")</f>
        <v/>
      </c>
      <c r="M786" s="2" t="str">
        <f aca="false">IF($G786="","",IF(ISNA(MATCH($G786,個別指定!$A:$A,0)),"行なし",""))</f>
        <v/>
      </c>
      <c r="N786" s="2" t="str">
        <f aca="false">IF($G786="","",IF(COUNTIF($G$2:$G$4460,$G786)&gt;1,"重複",""))</f>
        <v/>
      </c>
    </row>
    <row r="787" customFormat="false" ht="16.5" hidden="false" customHeight="true" outlineLevel="0" collapsed="false">
      <c r="A787" s="2" t="s">
        <v>385</v>
      </c>
      <c r="B787" s="2" t="s">
        <v>401</v>
      </c>
      <c r="C787" s="2" t="s">
        <v>1</v>
      </c>
      <c r="D787" s="2" t="str">
        <f aca="false">IF(2キー同時!$B$201="","",2キー同時!$B$201)</f>
        <v/>
      </c>
      <c r="E787" s="2" t="str">
        <f aca="false">""</f>
        <v/>
      </c>
      <c r="F787" s="2" t="str">
        <f aca="false">""</f>
        <v/>
      </c>
      <c r="G787" s="2" t="str">
        <f aca="false">IF(2キー同時!$B$201="","",IF(2キー同時!J203="","",SUBSTITUTE(SUBSTITUTE(2キー同時!J203," ",""),"　","")))</f>
        <v/>
      </c>
      <c r="H787" s="2" t="str">
        <f aca="false">IF($G787="","",2キー同時!$B$201)</f>
        <v/>
      </c>
      <c r="I787" s="2" t="str">
        <f aca="false">IF($G787="","","2")</f>
        <v/>
      </c>
      <c r="J787" s="2" t="str">
        <f aca="false">""</f>
        <v/>
      </c>
      <c r="K787" s="2" t="str">
        <f aca="false">""</f>
        <v/>
      </c>
      <c r="L787" s="2" t="str">
        <f aca="false">IF($G787="","","同時")</f>
        <v/>
      </c>
      <c r="M787" s="2" t="str">
        <f aca="false">IF($G787="","",IF(ISNA(MATCH($G787,個別指定!$A:$A,0)),"行なし",""))</f>
        <v/>
      </c>
      <c r="N787" s="2" t="str">
        <f aca="false">IF($G787="","",IF(COUNTIF($G$2:$G$4460,$G787)&gt;1,"重複",""))</f>
        <v/>
      </c>
    </row>
    <row r="788" customFormat="false" ht="16.5" hidden="false" customHeight="true" outlineLevel="0" collapsed="false">
      <c r="A788" s="2" t="s">
        <v>385</v>
      </c>
      <c r="B788" s="2" t="s">
        <v>401</v>
      </c>
      <c r="C788" s="2" t="s">
        <v>2</v>
      </c>
      <c r="D788" s="2" t="str">
        <f aca="false">IF(2キー同時!$B$201="","",2キー同時!$B$201)</f>
        <v/>
      </c>
      <c r="E788" s="2" t="str">
        <f aca="false">""</f>
        <v/>
      </c>
      <c r="F788" s="2" t="str">
        <f aca="false">""</f>
        <v/>
      </c>
      <c r="G788" s="2" t="str">
        <f aca="false">IF(2キー同時!$B$201="","",IF(2キー同時!N203="","",SUBSTITUTE(SUBSTITUTE(2キー同時!N203," ",""),"　","")))</f>
        <v/>
      </c>
      <c r="H788" s="2" t="str">
        <f aca="false">IF($G788="","",2キー同時!$B$201)</f>
        <v/>
      </c>
      <c r="I788" s="2" t="str">
        <f aca="false">IF($G788="","","3")</f>
        <v/>
      </c>
      <c r="J788" s="2" t="str">
        <f aca="false">""</f>
        <v/>
      </c>
      <c r="K788" s="2" t="str">
        <f aca="false">""</f>
        <v/>
      </c>
      <c r="L788" s="2" t="str">
        <f aca="false">IF($G788="","","同時")</f>
        <v/>
      </c>
      <c r="M788" s="2" t="str">
        <f aca="false">IF($G788="","",IF(ISNA(MATCH($G788,個別指定!$A:$A,0)),"行なし",""))</f>
        <v/>
      </c>
      <c r="N788" s="2" t="str">
        <f aca="false">IF($G788="","",IF(COUNTIF($G$2:$G$4460,$G788)&gt;1,"重複",""))</f>
        <v/>
      </c>
    </row>
    <row r="789" customFormat="false" ht="16.5" hidden="false" customHeight="true" outlineLevel="0" collapsed="false">
      <c r="A789" s="2" t="s">
        <v>385</v>
      </c>
      <c r="B789" s="2" t="s">
        <v>401</v>
      </c>
      <c r="C789" s="2" t="s">
        <v>3</v>
      </c>
      <c r="D789" s="2" t="str">
        <f aca="false">IF(2キー同時!$B$201="","",2キー同時!$B$201)</f>
        <v/>
      </c>
      <c r="E789" s="2" t="str">
        <f aca="false">""</f>
        <v/>
      </c>
      <c r="F789" s="2" t="str">
        <f aca="false">""</f>
        <v/>
      </c>
      <c r="G789" s="2" t="str">
        <f aca="false">IF(2キー同時!$B$201="","",IF(2キー同時!R203="","",SUBSTITUTE(SUBSTITUTE(2キー同時!R203," ",""),"　","")))</f>
        <v/>
      </c>
      <c r="H789" s="2" t="str">
        <f aca="false">IF($G789="","",2キー同時!$B$201)</f>
        <v/>
      </c>
      <c r="I789" s="2" t="str">
        <f aca="false">IF($G789="","","4")</f>
        <v/>
      </c>
      <c r="J789" s="2" t="str">
        <f aca="false">""</f>
        <v/>
      </c>
      <c r="K789" s="2" t="str">
        <f aca="false">""</f>
        <v/>
      </c>
      <c r="L789" s="2" t="str">
        <f aca="false">IF($G789="","","同時")</f>
        <v/>
      </c>
      <c r="M789" s="2" t="str">
        <f aca="false">IF($G789="","",IF(ISNA(MATCH($G789,個別指定!$A:$A,0)),"行なし",""))</f>
        <v/>
      </c>
      <c r="N789" s="2" t="str">
        <f aca="false">IF($G789="","",IF(COUNTIF($G$2:$G$4460,$G789)&gt;1,"重複",""))</f>
        <v/>
      </c>
    </row>
    <row r="790" customFormat="false" ht="16.5" hidden="false" customHeight="true" outlineLevel="0" collapsed="false">
      <c r="A790" s="2" t="s">
        <v>385</v>
      </c>
      <c r="B790" s="2" t="s">
        <v>401</v>
      </c>
      <c r="C790" s="2" t="s">
        <v>4</v>
      </c>
      <c r="D790" s="2" t="str">
        <f aca="false">IF(2キー同時!$B$201="","",2キー同時!$B$201)</f>
        <v/>
      </c>
      <c r="E790" s="2" t="str">
        <f aca="false">""</f>
        <v/>
      </c>
      <c r="F790" s="2" t="str">
        <f aca="false">""</f>
        <v/>
      </c>
      <c r="G790" s="2" t="str">
        <f aca="false">IF(2キー同時!$B$201="","",IF(2キー同時!V203="","",SUBSTITUTE(SUBSTITUTE(2キー同時!V203," ",""),"　","")))</f>
        <v/>
      </c>
      <c r="H790" s="2" t="str">
        <f aca="false">IF($G790="","",2キー同時!$B$201)</f>
        <v/>
      </c>
      <c r="I790" s="2" t="str">
        <f aca="false">IF($G790="","","5")</f>
        <v/>
      </c>
      <c r="J790" s="2" t="str">
        <f aca="false">""</f>
        <v/>
      </c>
      <c r="K790" s="2" t="str">
        <f aca="false">""</f>
        <v/>
      </c>
      <c r="L790" s="2" t="str">
        <f aca="false">IF($G790="","","同時")</f>
        <v/>
      </c>
      <c r="M790" s="2" t="str">
        <f aca="false">IF($G790="","",IF(ISNA(MATCH($G790,個別指定!$A:$A,0)),"行なし",""))</f>
        <v/>
      </c>
      <c r="N790" s="2" t="str">
        <f aca="false">IF($G790="","",IF(COUNTIF($G$2:$G$4460,$G790)&gt;1,"重複",""))</f>
        <v/>
      </c>
    </row>
    <row r="791" customFormat="false" ht="16.5" hidden="false" customHeight="true" outlineLevel="0" collapsed="false">
      <c r="A791" s="2" t="s">
        <v>385</v>
      </c>
      <c r="B791" s="2" t="s">
        <v>401</v>
      </c>
      <c r="C791" s="2" t="s">
        <v>5</v>
      </c>
      <c r="D791" s="2" t="str">
        <f aca="false">IF(2キー同時!$B$201="","",2キー同時!$B$201)</f>
        <v/>
      </c>
      <c r="E791" s="2" t="str">
        <f aca="false">""</f>
        <v/>
      </c>
      <c r="F791" s="2" t="str">
        <f aca="false">""</f>
        <v/>
      </c>
      <c r="G791" s="2" t="str">
        <f aca="false">IF(2キー同時!$B$201="","",IF(2キー同時!Z203="","",SUBSTITUTE(SUBSTITUTE(2キー同時!Z203," ",""),"　","")))</f>
        <v/>
      </c>
      <c r="H791" s="2" t="str">
        <f aca="false">IF($G791="","",2キー同時!$B$201)</f>
        <v/>
      </c>
      <c r="I791" s="2" t="str">
        <f aca="false">IF($G791="","","6")</f>
        <v/>
      </c>
      <c r="J791" s="2" t="str">
        <f aca="false">""</f>
        <v/>
      </c>
      <c r="K791" s="2" t="str">
        <f aca="false">""</f>
        <v/>
      </c>
      <c r="L791" s="2" t="str">
        <f aca="false">IF($G791="","","同時")</f>
        <v/>
      </c>
      <c r="M791" s="2" t="str">
        <f aca="false">IF($G791="","",IF(ISNA(MATCH($G791,個別指定!$A:$A,0)),"行なし",""))</f>
        <v/>
      </c>
      <c r="N791" s="2" t="str">
        <f aca="false">IF($G791="","",IF(COUNTIF($G$2:$G$4460,$G791)&gt;1,"重複",""))</f>
        <v/>
      </c>
    </row>
    <row r="792" customFormat="false" ht="16.5" hidden="false" customHeight="true" outlineLevel="0" collapsed="false">
      <c r="A792" s="2" t="s">
        <v>385</v>
      </c>
      <c r="B792" s="2" t="s">
        <v>401</v>
      </c>
      <c r="C792" s="2" t="s">
        <v>6</v>
      </c>
      <c r="D792" s="2" t="str">
        <f aca="false">IF(2キー同時!$B$201="","",2キー同時!$B$201)</f>
        <v/>
      </c>
      <c r="E792" s="2" t="str">
        <f aca="false">""</f>
        <v/>
      </c>
      <c r="F792" s="2" t="str">
        <f aca="false">""</f>
        <v/>
      </c>
      <c r="G792" s="2" t="str">
        <f aca="false">IF(2キー同時!$B$201="","",IF(2キー同時!AD203="","",SUBSTITUTE(SUBSTITUTE(2キー同時!AD203," ",""),"　","")))</f>
        <v/>
      </c>
      <c r="H792" s="2" t="str">
        <f aca="false">IF($G792="","",2キー同時!$B$201)</f>
        <v/>
      </c>
      <c r="I792" s="2" t="str">
        <f aca="false">IF($G792="","","7")</f>
        <v/>
      </c>
      <c r="J792" s="2" t="str">
        <f aca="false">""</f>
        <v/>
      </c>
      <c r="K792" s="2" t="str">
        <f aca="false">""</f>
        <v/>
      </c>
      <c r="L792" s="2" t="str">
        <f aca="false">IF($G792="","","同時")</f>
        <v/>
      </c>
      <c r="M792" s="2" t="str">
        <f aca="false">IF($G792="","",IF(ISNA(MATCH($G792,個別指定!$A:$A,0)),"行なし",""))</f>
        <v/>
      </c>
      <c r="N792" s="2" t="str">
        <f aca="false">IF($G792="","",IF(COUNTIF($G$2:$G$4460,$G792)&gt;1,"重複",""))</f>
        <v/>
      </c>
    </row>
    <row r="793" customFormat="false" ht="16.5" hidden="false" customHeight="true" outlineLevel="0" collapsed="false">
      <c r="A793" s="2" t="s">
        <v>385</v>
      </c>
      <c r="B793" s="2" t="s">
        <v>401</v>
      </c>
      <c r="C793" s="2" t="s">
        <v>7</v>
      </c>
      <c r="D793" s="2" t="str">
        <f aca="false">IF(2キー同時!$B$201="","",2キー同時!$B$201)</f>
        <v/>
      </c>
      <c r="E793" s="2" t="str">
        <f aca="false">""</f>
        <v/>
      </c>
      <c r="F793" s="2" t="str">
        <f aca="false">""</f>
        <v/>
      </c>
      <c r="G793" s="2" t="str">
        <f aca="false">IF(2キー同時!$B$201="","",IF(2キー同時!AH203="","",SUBSTITUTE(SUBSTITUTE(2キー同時!AH203," ",""),"　","")))</f>
        <v/>
      </c>
      <c r="H793" s="2" t="str">
        <f aca="false">IF($G793="","",2キー同時!$B$201)</f>
        <v/>
      </c>
      <c r="I793" s="2" t="str">
        <f aca="false">IF($G793="","","8")</f>
        <v/>
      </c>
      <c r="J793" s="2" t="str">
        <f aca="false">""</f>
        <v/>
      </c>
      <c r="K793" s="2" t="str">
        <f aca="false">""</f>
        <v/>
      </c>
      <c r="L793" s="2" t="str">
        <f aca="false">IF($G793="","","同時")</f>
        <v/>
      </c>
      <c r="M793" s="2" t="str">
        <f aca="false">IF($G793="","",IF(ISNA(MATCH($G793,個別指定!$A:$A,0)),"行なし",""))</f>
        <v/>
      </c>
      <c r="N793" s="2" t="str">
        <f aca="false">IF($G793="","",IF(COUNTIF($G$2:$G$4460,$G793)&gt;1,"重複",""))</f>
        <v/>
      </c>
    </row>
    <row r="794" customFormat="false" ht="16.5" hidden="false" customHeight="true" outlineLevel="0" collapsed="false">
      <c r="A794" s="2" t="s">
        <v>385</v>
      </c>
      <c r="B794" s="2" t="s">
        <v>401</v>
      </c>
      <c r="C794" s="2" t="s">
        <v>8</v>
      </c>
      <c r="D794" s="2" t="str">
        <f aca="false">IF(2キー同時!$B$201="","",2キー同時!$B$201)</f>
        <v/>
      </c>
      <c r="E794" s="2" t="str">
        <f aca="false">""</f>
        <v/>
      </c>
      <c r="F794" s="2" t="str">
        <f aca="false">""</f>
        <v/>
      </c>
      <c r="G794" s="2" t="str">
        <f aca="false">IF(2キー同時!$B$201="","",IF(2キー同時!AL203="","",SUBSTITUTE(SUBSTITUTE(2キー同時!AL203," ",""),"　","")))</f>
        <v/>
      </c>
      <c r="H794" s="2" t="str">
        <f aca="false">IF($G794="","",2キー同時!$B$201)</f>
        <v/>
      </c>
      <c r="I794" s="2" t="str">
        <f aca="false">IF($G794="","","9")</f>
        <v/>
      </c>
      <c r="J794" s="2" t="str">
        <f aca="false">""</f>
        <v/>
      </c>
      <c r="K794" s="2" t="str">
        <f aca="false">""</f>
        <v/>
      </c>
      <c r="L794" s="2" t="str">
        <f aca="false">IF($G794="","","同時")</f>
        <v/>
      </c>
      <c r="M794" s="2" t="str">
        <f aca="false">IF($G794="","",IF(ISNA(MATCH($G794,個別指定!$A:$A,0)),"行なし",""))</f>
        <v/>
      </c>
      <c r="N794" s="2" t="str">
        <f aca="false">IF($G794="","",IF(COUNTIF($G$2:$G$4460,$G794)&gt;1,"重複",""))</f>
        <v/>
      </c>
    </row>
    <row r="795" customFormat="false" ht="16.5" hidden="false" customHeight="true" outlineLevel="0" collapsed="false">
      <c r="A795" s="2" t="s">
        <v>385</v>
      </c>
      <c r="B795" s="2" t="s">
        <v>401</v>
      </c>
      <c r="C795" s="2" t="s">
        <v>9</v>
      </c>
      <c r="D795" s="2" t="str">
        <f aca="false">IF(2キー同時!$B$201="","",2キー同時!$B$201)</f>
        <v/>
      </c>
      <c r="E795" s="2" t="str">
        <f aca="false">""</f>
        <v/>
      </c>
      <c r="F795" s="2" t="str">
        <f aca="false">""</f>
        <v/>
      </c>
      <c r="G795" s="2" t="str">
        <f aca="false">IF(2キー同時!$B$201="","",IF(2キー同時!AP203="","",SUBSTITUTE(SUBSTITUTE(2キー同時!AP203," ",""),"　","")))</f>
        <v/>
      </c>
      <c r="H795" s="2" t="str">
        <f aca="false">IF($G795="","",2キー同時!$B$201)</f>
        <v/>
      </c>
      <c r="I795" s="2" t="str">
        <f aca="false">IF($G795="","","0")</f>
        <v/>
      </c>
      <c r="J795" s="2" t="str">
        <f aca="false">""</f>
        <v/>
      </c>
      <c r="K795" s="2" t="str">
        <f aca="false">""</f>
        <v/>
      </c>
      <c r="L795" s="2" t="str">
        <f aca="false">IF($G795="","","同時")</f>
        <v/>
      </c>
      <c r="M795" s="2" t="str">
        <f aca="false">IF($G795="","",IF(ISNA(MATCH($G795,個別指定!$A:$A,0)),"行なし",""))</f>
        <v/>
      </c>
      <c r="N795" s="2" t="str">
        <f aca="false">IF($G795="","",IF(COUNTIF($G$2:$G$4460,$G795)&gt;1,"重複",""))</f>
        <v/>
      </c>
    </row>
    <row r="796" customFormat="false" ht="16.5" hidden="false" customHeight="true" outlineLevel="0" collapsed="false">
      <c r="A796" s="2" t="s">
        <v>385</v>
      </c>
      <c r="B796" s="2" t="s">
        <v>401</v>
      </c>
      <c r="C796" s="2" t="s">
        <v>10</v>
      </c>
      <c r="D796" s="2" t="str">
        <f aca="false">IF(2キー同時!$B$201="","",2キー同時!$B$201)</f>
        <v/>
      </c>
      <c r="E796" s="2" t="str">
        <f aca="false">""</f>
        <v/>
      </c>
      <c r="F796" s="2" t="str">
        <f aca="false">""</f>
        <v/>
      </c>
      <c r="G796" s="2" t="str">
        <f aca="false">IF(2キー同時!$B$201="","",IF(2キー同時!AT203="","",SUBSTITUTE(SUBSTITUTE(2キー同時!AT203," ",""),"　","")))</f>
        <v/>
      </c>
      <c r="H796" s="2" t="str">
        <f aca="false">IF($G796="","",2キー同時!$B$201)</f>
        <v/>
      </c>
      <c r="I796" s="2" t="str">
        <f aca="false">IF($G796="","","-")</f>
        <v/>
      </c>
      <c r="J796" s="2" t="str">
        <f aca="false">""</f>
        <v/>
      </c>
      <c r="K796" s="2" t="str">
        <f aca="false">""</f>
        <v/>
      </c>
      <c r="L796" s="2" t="str">
        <f aca="false">IF($G796="","","同時")</f>
        <v/>
      </c>
      <c r="M796" s="2" t="str">
        <f aca="false">IF($G796="","",IF(ISNA(MATCH($G796,個別指定!$A:$A,0)),"行なし",""))</f>
        <v/>
      </c>
      <c r="N796" s="2" t="str">
        <f aca="false">IF($G796="","",IF(COUNTIF($G$2:$G$4460,$G796)&gt;1,"重複",""))</f>
        <v/>
      </c>
    </row>
    <row r="797" customFormat="false" ht="16.5" hidden="false" customHeight="true" outlineLevel="0" collapsed="false">
      <c r="A797" s="2" t="s">
        <v>385</v>
      </c>
      <c r="B797" s="2" t="s">
        <v>401</v>
      </c>
      <c r="C797" s="2" t="s">
        <v>11</v>
      </c>
      <c r="D797" s="2" t="str">
        <f aca="false">IF(2キー同時!$B$201="","",2キー同時!$B$201)</f>
        <v/>
      </c>
      <c r="E797" s="2" t="str">
        <f aca="false">""</f>
        <v/>
      </c>
      <c r="F797" s="2" t="str">
        <f aca="false">""</f>
        <v/>
      </c>
      <c r="G797" s="2" t="str">
        <f aca="false">IF(2キー同時!$B$201="","",IF(2キー同時!AX203="","",SUBSTITUTE(SUBSTITUTE(2キー同時!AX203," ",""),"　","")))</f>
        <v/>
      </c>
      <c r="H797" s="2" t="str">
        <f aca="false">IF($G797="","",2キー同時!$B$201)</f>
        <v/>
      </c>
      <c r="I797" s="2" t="str">
        <f aca="false">IF($G797="","","=")</f>
        <v/>
      </c>
      <c r="J797" s="2" t="str">
        <f aca="false">""</f>
        <v/>
      </c>
      <c r="K797" s="2" t="str">
        <f aca="false">""</f>
        <v/>
      </c>
      <c r="L797" s="2" t="str">
        <f aca="false">IF($G797="","","同時")</f>
        <v/>
      </c>
      <c r="M797" s="2" t="str">
        <f aca="false">IF($G797="","",IF(ISNA(MATCH($G797,個別指定!$A:$A,0)),"行なし",""))</f>
        <v/>
      </c>
      <c r="N797" s="2" t="str">
        <f aca="false">IF($G797="","",IF(COUNTIF($G$2:$G$4460,$G797)&gt;1,"重複",""))</f>
        <v/>
      </c>
    </row>
    <row r="798" customFormat="false" ht="16.5" hidden="false" customHeight="true" outlineLevel="0" collapsed="false">
      <c r="A798" s="2" t="s">
        <v>385</v>
      </c>
      <c r="B798" s="2" t="s">
        <v>401</v>
      </c>
      <c r="C798" s="2" t="s">
        <v>12</v>
      </c>
      <c r="D798" s="2" t="str">
        <f aca="false">IF(2キー同時!$B$201="","",2キー同時!$B$201)</f>
        <v/>
      </c>
      <c r="E798" s="2" t="str">
        <f aca="false">""</f>
        <v/>
      </c>
      <c r="F798" s="2" t="str">
        <f aca="false">""</f>
        <v/>
      </c>
      <c r="G798" s="2" t="str">
        <f aca="false">IF(2キー同時!$B$201="","",IF(2キー同時!H205="","",SUBSTITUTE(SUBSTITUTE(2キー同時!H205," ",""),"　","")))</f>
        <v/>
      </c>
      <c r="H798" s="2" t="str">
        <f aca="false">IF($G798="","",2キー同時!$B$201)</f>
        <v/>
      </c>
      <c r="I798" s="2" t="str">
        <f aca="false">IF($G798="","","q")</f>
        <v/>
      </c>
      <c r="J798" s="2" t="str">
        <f aca="false">""</f>
        <v/>
      </c>
      <c r="K798" s="2" t="str">
        <f aca="false">""</f>
        <v/>
      </c>
      <c r="L798" s="2" t="str">
        <f aca="false">IF($G798="","","同時")</f>
        <v/>
      </c>
      <c r="M798" s="2" t="str">
        <f aca="false">IF($G798="","",IF(ISNA(MATCH($G798,個別指定!$A:$A,0)),"行なし",""))</f>
        <v/>
      </c>
      <c r="N798" s="2" t="str">
        <f aca="false">IF($G798="","",IF(COUNTIF($G$2:$G$4460,$G798)&gt;1,"重複",""))</f>
        <v/>
      </c>
    </row>
    <row r="799" customFormat="false" ht="16.5" hidden="false" customHeight="true" outlineLevel="0" collapsed="false">
      <c r="A799" s="2" t="s">
        <v>385</v>
      </c>
      <c r="B799" s="2" t="s">
        <v>401</v>
      </c>
      <c r="C799" s="2" t="s">
        <v>13</v>
      </c>
      <c r="D799" s="2" t="str">
        <f aca="false">IF(2キー同時!$B$201="","",2キー同時!$B$201)</f>
        <v/>
      </c>
      <c r="E799" s="2" t="str">
        <f aca="false">""</f>
        <v/>
      </c>
      <c r="F799" s="2" t="str">
        <f aca="false">""</f>
        <v/>
      </c>
      <c r="G799" s="2" t="str">
        <f aca="false">IF(2キー同時!$B$201="","",IF(2キー同時!L205="","",SUBSTITUTE(SUBSTITUTE(2キー同時!L205," ",""),"　","")))</f>
        <v/>
      </c>
      <c r="H799" s="2" t="str">
        <f aca="false">IF($G799="","",2キー同時!$B$201)</f>
        <v/>
      </c>
      <c r="I799" s="2" t="str">
        <f aca="false">IF($G799="","","w")</f>
        <v/>
      </c>
      <c r="J799" s="2" t="str">
        <f aca="false">""</f>
        <v/>
      </c>
      <c r="K799" s="2" t="str">
        <f aca="false">""</f>
        <v/>
      </c>
      <c r="L799" s="2" t="str">
        <f aca="false">IF($G799="","","同時")</f>
        <v/>
      </c>
      <c r="M799" s="2" t="str">
        <f aca="false">IF($G799="","",IF(ISNA(MATCH($G799,個別指定!$A:$A,0)),"行なし",""))</f>
        <v/>
      </c>
      <c r="N799" s="2" t="str">
        <f aca="false">IF($G799="","",IF(COUNTIF($G$2:$G$4460,$G799)&gt;1,"重複",""))</f>
        <v/>
      </c>
    </row>
    <row r="800" customFormat="false" ht="16.5" hidden="false" customHeight="true" outlineLevel="0" collapsed="false">
      <c r="A800" s="2" t="s">
        <v>385</v>
      </c>
      <c r="B800" s="2" t="s">
        <v>401</v>
      </c>
      <c r="C800" s="2" t="s">
        <v>14</v>
      </c>
      <c r="D800" s="2" t="str">
        <f aca="false">IF(2キー同時!$B$201="","",2キー同時!$B$201)</f>
        <v/>
      </c>
      <c r="E800" s="2" t="str">
        <f aca="false">""</f>
        <v/>
      </c>
      <c r="F800" s="2" t="str">
        <f aca="false">""</f>
        <v/>
      </c>
      <c r="G800" s="2" t="str">
        <f aca="false">IF(2キー同時!$B$201="","",IF(2キー同時!P205="","",SUBSTITUTE(SUBSTITUTE(2キー同時!P205," ",""),"　","")))</f>
        <v/>
      </c>
      <c r="H800" s="2" t="str">
        <f aca="false">IF($G800="","",2キー同時!$B$201)</f>
        <v/>
      </c>
      <c r="I800" s="2" t="str">
        <f aca="false">IF($G800="","","e")</f>
        <v/>
      </c>
      <c r="J800" s="2" t="str">
        <f aca="false">""</f>
        <v/>
      </c>
      <c r="K800" s="2" t="str">
        <f aca="false">""</f>
        <v/>
      </c>
      <c r="L800" s="2" t="str">
        <f aca="false">IF($G800="","","同時")</f>
        <v/>
      </c>
      <c r="M800" s="2" t="str">
        <f aca="false">IF($G800="","",IF(ISNA(MATCH($G800,個別指定!$A:$A,0)),"行なし",""))</f>
        <v/>
      </c>
      <c r="N800" s="2" t="str">
        <f aca="false">IF($G800="","",IF(COUNTIF($G$2:$G$4460,$G800)&gt;1,"重複",""))</f>
        <v/>
      </c>
    </row>
    <row r="801" customFormat="false" ht="16.5" hidden="false" customHeight="true" outlineLevel="0" collapsed="false">
      <c r="A801" s="2" t="s">
        <v>385</v>
      </c>
      <c r="B801" s="2" t="s">
        <v>401</v>
      </c>
      <c r="C801" s="2" t="s">
        <v>15</v>
      </c>
      <c r="D801" s="2" t="str">
        <f aca="false">IF(2キー同時!$B$201="","",2キー同時!$B$201)</f>
        <v/>
      </c>
      <c r="E801" s="2" t="str">
        <f aca="false">""</f>
        <v/>
      </c>
      <c r="F801" s="2" t="str">
        <f aca="false">""</f>
        <v/>
      </c>
      <c r="G801" s="2" t="str">
        <f aca="false">IF(2キー同時!$B$201="","",IF(2キー同時!T205="","",SUBSTITUTE(SUBSTITUTE(2キー同時!T205," ",""),"　","")))</f>
        <v/>
      </c>
      <c r="H801" s="2" t="str">
        <f aca="false">IF($G801="","",2キー同時!$B$201)</f>
        <v/>
      </c>
      <c r="I801" s="2" t="str">
        <f aca="false">IF($G801="","","r")</f>
        <v/>
      </c>
      <c r="J801" s="2" t="str">
        <f aca="false">""</f>
        <v/>
      </c>
      <c r="K801" s="2" t="str">
        <f aca="false">""</f>
        <v/>
      </c>
      <c r="L801" s="2" t="str">
        <f aca="false">IF($G801="","","同時")</f>
        <v/>
      </c>
      <c r="M801" s="2" t="str">
        <f aca="false">IF($G801="","",IF(ISNA(MATCH($G801,個別指定!$A:$A,0)),"行なし",""))</f>
        <v/>
      </c>
      <c r="N801" s="2" t="str">
        <f aca="false">IF($G801="","",IF(COUNTIF($G$2:$G$4460,$G801)&gt;1,"重複",""))</f>
        <v/>
      </c>
    </row>
    <row r="802" customFormat="false" ht="16.5" hidden="false" customHeight="true" outlineLevel="0" collapsed="false">
      <c r="A802" s="2" t="s">
        <v>385</v>
      </c>
      <c r="B802" s="2" t="s">
        <v>401</v>
      </c>
      <c r="C802" s="2" t="s">
        <v>16</v>
      </c>
      <c r="D802" s="2" t="str">
        <f aca="false">IF(2キー同時!$B$201="","",2キー同時!$B$201)</f>
        <v/>
      </c>
      <c r="E802" s="2" t="str">
        <f aca="false">""</f>
        <v/>
      </c>
      <c r="F802" s="2" t="str">
        <f aca="false">""</f>
        <v/>
      </c>
      <c r="G802" s="2" t="str">
        <f aca="false">IF(2キー同時!$B$201="","",IF(2キー同時!X205="","",SUBSTITUTE(SUBSTITUTE(2キー同時!X205," ",""),"　","")))</f>
        <v/>
      </c>
      <c r="H802" s="2" t="str">
        <f aca="false">IF($G802="","",2キー同時!$B$201)</f>
        <v/>
      </c>
      <c r="I802" s="2" t="str">
        <f aca="false">IF($G802="","","t")</f>
        <v/>
      </c>
      <c r="J802" s="2" t="str">
        <f aca="false">""</f>
        <v/>
      </c>
      <c r="K802" s="2" t="str">
        <f aca="false">""</f>
        <v/>
      </c>
      <c r="L802" s="2" t="str">
        <f aca="false">IF($G802="","","同時")</f>
        <v/>
      </c>
      <c r="M802" s="2" t="str">
        <f aca="false">IF($G802="","",IF(ISNA(MATCH($G802,個別指定!$A:$A,0)),"行なし",""))</f>
        <v/>
      </c>
      <c r="N802" s="2" t="str">
        <f aca="false">IF($G802="","",IF(COUNTIF($G$2:$G$4460,$G802)&gt;1,"重複",""))</f>
        <v/>
      </c>
    </row>
    <row r="803" customFormat="false" ht="16.5" hidden="false" customHeight="true" outlineLevel="0" collapsed="false">
      <c r="A803" s="2" t="s">
        <v>385</v>
      </c>
      <c r="B803" s="2" t="s">
        <v>401</v>
      </c>
      <c r="C803" s="2" t="s">
        <v>17</v>
      </c>
      <c r="D803" s="2" t="str">
        <f aca="false">IF(2キー同時!$B$201="","",2キー同時!$B$201)</f>
        <v/>
      </c>
      <c r="E803" s="2" t="str">
        <f aca="false">""</f>
        <v/>
      </c>
      <c r="F803" s="2" t="str">
        <f aca="false">""</f>
        <v/>
      </c>
      <c r="G803" s="2" t="str">
        <f aca="false">IF(2キー同時!$B$201="","",IF(2キー同時!AB205="","",SUBSTITUTE(SUBSTITUTE(2キー同時!AB205," ",""),"　","")))</f>
        <v/>
      </c>
      <c r="H803" s="2" t="str">
        <f aca="false">IF($G803="","",2キー同時!$B$201)</f>
        <v/>
      </c>
      <c r="I803" s="2" t="str">
        <f aca="false">IF($G803="","","y")</f>
        <v/>
      </c>
      <c r="J803" s="2" t="str">
        <f aca="false">""</f>
        <v/>
      </c>
      <c r="K803" s="2" t="str">
        <f aca="false">""</f>
        <v/>
      </c>
      <c r="L803" s="2" t="str">
        <f aca="false">IF($G803="","","同時")</f>
        <v/>
      </c>
      <c r="M803" s="2" t="str">
        <f aca="false">IF($G803="","",IF(ISNA(MATCH($G803,個別指定!$A:$A,0)),"行なし",""))</f>
        <v/>
      </c>
      <c r="N803" s="2" t="str">
        <f aca="false">IF($G803="","",IF(COUNTIF($G$2:$G$4460,$G803)&gt;1,"重複",""))</f>
        <v/>
      </c>
    </row>
    <row r="804" customFormat="false" ht="16.5" hidden="false" customHeight="true" outlineLevel="0" collapsed="false">
      <c r="A804" s="2" t="s">
        <v>385</v>
      </c>
      <c r="B804" s="2" t="s">
        <v>401</v>
      </c>
      <c r="C804" s="2" t="s">
        <v>18</v>
      </c>
      <c r="D804" s="2" t="str">
        <f aca="false">IF(2キー同時!$B$201="","",2キー同時!$B$201)</f>
        <v/>
      </c>
      <c r="E804" s="2" t="str">
        <f aca="false">""</f>
        <v/>
      </c>
      <c r="F804" s="2" t="str">
        <f aca="false">""</f>
        <v/>
      </c>
      <c r="G804" s="2" t="str">
        <f aca="false">IF(2キー同時!$B$201="","",IF(2キー同時!AF205="","",SUBSTITUTE(SUBSTITUTE(2キー同時!AF205," ",""),"　","")))</f>
        <v/>
      </c>
      <c r="H804" s="2" t="str">
        <f aca="false">IF($G804="","",2キー同時!$B$201)</f>
        <v/>
      </c>
      <c r="I804" s="2" t="str">
        <f aca="false">IF($G804="","","u")</f>
        <v/>
      </c>
      <c r="J804" s="2" t="str">
        <f aca="false">""</f>
        <v/>
      </c>
      <c r="K804" s="2" t="str">
        <f aca="false">""</f>
        <v/>
      </c>
      <c r="L804" s="2" t="str">
        <f aca="false">IF($G804="","","同時")</f>
        <v/>
      </c>
      <c r="M804" s="2" t="str">
        <f aca="false">IF($G804="","",IF(ISNA(MATCH($G804,個別指定!$A:$A,0)),"行なし",""))</f>
        <v/>
      </c>
      <c r="N804" s="2" t="str">
        <f aca="false">IF($G804="","",IF(COUNTIF($G$2:$G$4460,$G804)&gt;1,"重複",""))</f>
        <v/>
      </c>
    </row>
    <row r="805" customFormat="false" ht="16.5" hidden="false" customHeight="true" outlineLevel="0" collapsed="false">
      <c r="A805" s="2" t="s">
        <v>385</v>
      </c>
      <c r="B805" s="2" t="s">
        <v>401</v>
      </c>
      <c r="C805" s="2" t="s">
        <v>19</v>
      </c>
      <c r="D805" s="2" t="str">
        <f aca="false">IF(2キー同時!$B$201="","",2キー同時!$B$201)</f>
        <v/>
      </c>
      <c r="E805" s="2" t="str">
        <f aca="false">""</f>
        <v/>
      </c>
      <c r="F805" s="2" t="str">
        <f aca="false">""</f>
        <v/>
      </c>
      <c r="G805" s="2" t="str">
        <f aca="false">IF(2キー同時!$B$201="","",IF(2キー同時!AJ205="","",SUBSTITUTE(SUBSTITUTE(2キー同時!AJ205," ",""),"　","")))</f>
        <v/>
      </c>
      <c r="H805" s="2" t="str">
        <f aca="false">IF($G805="","",2キー同時!$B$201)</f>
        <v/>
      </c>
      <c r="I805" s="2" t="str">
        <f aca="false">IF($G805="","","i")</f>
        <v/>
      </c>
      <c r="J805" s="2" t="str">
        <f aca="false">""</f>
        <v/>
      </c>
      <c r="K805" s="2" t="str">
        <f aca="false">""</f>
        <v/>
      </c>
      <c r="L805" s="2" t="str">
        <f aca="false">IF($G805="","","同時")</f>
        <v/>
      </c>
      <c r="M805" s="2" t="str">
        <f aca="false">IF($G805="","",IF(ISNA(MATCH($G805,個別指定!$A:$A,0)),"行なし",""))</f>
        <v/>
      </c>
      <c r="N805" s="2" t="str">
        <f aca="false">IF($G805="","",IF(COUNTIF($G$2:$G$4460,$G805)&gt;1,"重複",""))</f>
        <v/>
      </c>
    </row>
    <row r="806" customFormat="false" ht="16.5" hidden="false" customHeight="true" outlineLevel="0" collapsed="false">
      <c r="A806" s="2" t="s">
        <v>385</v>
      </c>
      <c r="B806" s="2" t="s">
        <v>401</v>
      </c>
      <c r="C806" s="2" t="s">
        <v>20</v>
      </c>
      <c r="D806" s="2" t="str">
        <f aca="false">IF(2キー同時!$B$201="","",2キー同時!$B$201)</f>
        <v/>
      </c>
      <c r="E806" s="2" t="str">
        <f aca="false">""</f>
        <v/>
      </c>
      <c r="F806" s="2" t="str">
        <f aca="false">""</f>
        <v/>
      </c>
      <c r="G806" s="2" t="str">
        <f aca="false">IF(2キー同時!$B$201="","",IF(2キー同時!AN205="","",SUBSTITUTE(SUBSTITUTE(2キー同時!AN205," ",""),"　","")))</f>
        <v/>
      </c>
      <c r="H806" s="2" t="str">
        <f aca="false">IF($G806="","",2キー同時!$B$201)</f>
        <v/>
      </c>
      <c r="I806" s="2" t="str">
        <f aca="false">IF($G806="","","o")</f>
        <v/>
      </c>
      <c r="J806" s="2" t="str">
        <f aca="false">""</f>
        <v/>
      </c>
      <c r="K806" s="2" t="str">
        <f aca="false">""</f>
        <v/>
      </c>
      <c r="L806" s="2" t="str">
        <f aca="false">IF($G806="","","同時")</f>
        <v/>
      </c>
      <c r="M806" s="2" t="str">
        <f aca="false">IF($G806="","",IF(ISNA(MATCH($G806,個別指定!$A:$A,0)),"行なし",""))</f>
        <v/>
      </c>
      <c r="N806" s="2" t="str">
        <f aca="false">IF($G806="","",IF(COUNTIF($G$2:$G$4460,$G806)&gt;1,"重複",""))</f>
        <v/>
      </c>
    </row>
    <row r="807" customFormat="false" ht="16.5" hidden="false" customHeight="true" outlineLevel="0" collapsed="false">
      <c r="A807" s="2" t="s">
        <v>385</v>
      </c>
      <c r="B807" s="2" t="s">
        <v>401</v>
      </c>
      <c r="C807" s="2" t="s">
        <v>21</v>
      </c>
      <c r="D807" s="2" t="str">
        <f aca="false">IF(2キー同時!$B$201="","",2キー同時!$B$201)</f>
        <v/>
      </c>
      <c r="E807" s="2" t="str">
        <f aca="false">""</f>
        <v/>
      </c>
      <c r="F807" s="2" t="str">
        <f aca="false">""</f>
        <v/>
      </c>
      <c r="G807" s="2" t="str">
        <f aca="false">IF(2キー同時!$B$201="","",IF(2キー同時!AR205="","",SUBSTITUTE(SUBSTITUTE(2キー同時!AR205," ",""),"　","")))</f>
        <v/>
      </c>
      <c r="H807" s="2" t="str">
        <f aca="false">IF($G807="","",2キー同時!$B$201)</f>
        <v/>
      </c>
      <c r="I807" s="2" t="str">
        <f aca="false">IF($G807="","","p")</f>
        <v/>
      </c>
      <c r="J807" s="2" t="str">
        <f aca="false">""</f>
        <v/>
      </c>
      <c r="K807" s="2" t="str">
        <f aca="false">""</f>
        <v/>
      </c>
      <c r="L807" s="2" t="str">
        <f aca="false">IF($G807="","","同時")</f>
        <v/>
      </c>
      <c r="M807" s="2" t="str">
        <f aca="false">IF($G807="","",IF(ISNA(MATCH($G807,個別指定!$A:$A,0)),"行なし",""))</f>
        <v/>
      </c>
      <c r="N807" s="2" t="str">
        <f aca="false">IF($G807="","",IF(COUNTIF($G$2:$G$4460,$G807)&gt;1,"重複",""))</f>
        <v/>
      </c>
    </row>
    <row r="808" customFormat="false" ht="16.5" hidden="false" customHeight="true" outlineLevel="0" collapsed="false">
      <c r="A808" s="2" t="s">
        <v>385</v>
      </c>
      <c r="B808" s="2" t="s">
        <v>401</v>
      </c>
      <c r="C808" s="2" t="s">
        <v>22</v>
      </c>
      <c r="D808" s="2" t="str">
        <f aca="false">IF(2キー同時!$B$201="","",2キー同時!$B$201)</f>
        <v/>
      </c>
      <c r="E808" s="2" t="str">
        <f aca="false">""</f>
        <v/>
      </c>
      <c r="F808" s="2" t="str">
        <f aca="false">""</f>
        <v/>
      </c>
      <c r="G808" s="2" t="str">
        <f aca="false">IF(2キー同時!$B$201="","",IF(2キー同時!AV205="","",SUBSTITUTE(SUBSTITUTE(2キー同時!AV205," ",""),"　","")))</f>
        <v/>
      </c>
      <c r="H808" s="2" t="str">
        <f aca="false">IF($G808="","",2キー同時!$B$201)</f>
        <v/>
      </c>
      <c r="I808" s="2" t="str">
        <f aca="false">IF($G808="","","[")</f>
        <v/>
      </c>
      <c r="J808" s="2" t="str">
        <f aca="false">""</f>
        <v/>
      </c>
      <c r="K808" s="2" t="str">
        <f aca="false">""</f>
        <v/>
      </c>
      <c r="L808" s="2" t="str">
        <f aca="false">IF($G808="","","同時")</f>
        <v/>
      </c>
      <c r="M808" s="2" t="str">
        <f aca="false">IF($G808="","",IF(ISNA(MATCH($G808,個別指定!$A:$A,0)),"行なし",""))</f>
        <v/>
      </c>
      <c r="N808" s="2" t="str">
        <f aca="false">IF($G808="","",IF(COUNTIF($G$2:$G$4460,$G808)&gt;1,"重複",""))</f>
        <v/>
      </c>
    </row>
    <row r="809" customFormat="false" ht="16.5" hidden="false" customHeight="true" outlineLevel="0" collapsed="false">
      <c r="A809" s="2" t="s">
        <v>385</v>
      </c>
      <c r="B809" s="2" t="s">
        <v>401</v>
      </c>
      <c r="C809" s="2" t="s">
        <v>23</v>
      </c>
      <c r="D809" s="2" t="str">
        <f aca="false">IF(2キー同時!$B$201="","",2キー同時!$B$201)</f>
        <v/>
      </c>
      <c r="E809" s="2" t="str">
        <f aca="false">""</f>
        <v/>
      </c>
      <c r="F809" s="2" t="str">
        <f aca="false">""</f>
        <v/>
      </c>
      <c r="G809" s="2" t="str">
        <f aca="false">IF(2キー同時!$B$201="","",IF(2キー同時!AZ205="","",SUBSTITUTE(SUBSTITUTE(2キー同時!AZ205," ",""),"　","")))</f>
        <v/>
      </c>
      <c r="H809" s="2" t="str">
        <f aca="false">IF($G809="","",2キー同時!$B$201)</f>
        <v/>
      </c>
      <c r="I809" s="2" t="str">
        <f aca="false">IF($G809="","","]")</f>
        <v/>
      </c>
      <c r="J809" s="2" t="str">
        <f aca="false">""</f>
        <v/>
      </c>
      <c r="K809" s="2" t="str">
        <f aca="false">""</f>
        <v/>
      </c>
      <c r="L809" s="2" t="str">
        <f aca="false">IF($G809="","","同時")</f>
        <v/>
      </c>
      <c r="M809" s="2" t="str">
        <f aca="false">IF($G809="","",IF(ISNA(MATCH($G809,個別指定!$A:$A,0)),"行なし",""))</f>
        <v/>
      </c>
      <c r="N809" s="2" t="str">
        <f aca="false">IF($G809="","",IF(COUNTIF($G$2:$G$4460,$G809)&gt;1,"重複",""))</f>
        <v/>
      </c>
    </row>
    <row r="810" customFormat="false" ht="16.5" hidden="false" customHeight="true" outlineLevel="0" collapsed="false">
      <c r="A810" s="2" t="s">
        <v>385</v>
      </c>
      <c r="B810" s="2" t="s">
        <v>401</v>
      </c>
      <c r="C810" s="2" t="s">
        <v>24</v>
      </c>
      <c r="D810" s="2" t="str">
        <f aca="false">IF(2キー同時!$B$201="","",2キー同時!$B$201)</f>
        <v/>
      </c>
      <c r="E810" s="2" t="str">
        <f aca="false">""</f>
        <v/>
      </c>
      <c r="F810" s="2" t="str">
        <f aca="false">""</f>
        <v/>
      </c>
      <c r="G810" s="2" t="str">
        <f aca="false">IF(2キー同時!$B$201="","",IF(2キー同時!I207="","",SUBSTITUTE(SUBSTITUTE(2キー同時!I207," ",""),"　","")))</f>
        <v/>
      </c>
      <c r="H810" s="2" t="str">
        <f aca="false">IF($G810="","",2キー同時!$B$201)</f>
        <v/>
      </c>
      <c r="I810" s="2" t="str">
        <f aca="false">IF($G810="","","a")</f>
        <v/>
      </c>
      <c r="J810" s="2" t="str">
        <f aca="false">""</f>
        <v/>
      </c>
      <c r="K810" s="2" t="str">
        <f aca="false">""</f>
        <v/>
      </c>
      <c r="L810" s="2" t="str">
        <f aca="false">IF($G810="","","同時")</f>
        <v/>
      </c>
      <c r="M810" s="2" t="str">
        <f aca="false">IF($G810="","",IF(ISNA(MATCH($G810,個別指定!$A:$A,0)),"行なし",""))</f>
        <v/>
      </c>
      <c r="N810" s="2" t="str">
        <f aca="false">IF($G810="","",IF(COUNTIF($G$2:$G$4460,$G810)&gt;1,"重複",""))</f>
        <v/>
      </c>
    </row>
    <row r="811" customFormat="false" ht="16.5" hidden="false" customHeight="true" outlineLevel="0" collapsed="false">
      <c r="A811" s="2" t="s">
        <v>385</v>
      </c>
      <c r="B811" s="2" t="s">
        <v>401</v>
      </c>
      <c r="C811" s="2" t="s">
        <v>25</v>
      </c>
      <c r="D811" s="2" t="str">
        <f aca="false">IF(2キー同時!$B$201="","",2キー同時!$B$201)</f>
        <v/>
      </c>
      <c r="E811" s="2" t="str">
        <f aca="false">""</f>
        <v/>
      </c>
      <c r="F811" s="2" t="str">
        <f aca="false">""</f>
        <v/>
      </c>
      <c r="G811" s="2" t="str">
        <f aca="false">IF(2キー同時!$B$201="","",IF(2キー同時!M207="","",SUBSTITUTE(SUBSTITUTE(2キー同時!M207," ",""),"　","")))</f>
        <v/>
      </c>
      <c r="H811" s="2" t="str">
        <f aca="false">IF($G811="","",2キー同時!$B$201)</f>
        <v/>
      </c>
      <c r="I811" s="2" t="str">
        <f aca="false">IF($G811="","","s")</f>
        <v/>
      </c>
      <c r="J811" s="2" t="str">
        <f aca="false">""</f>
        <v/>
      </c>
      <c r="K811" s="2" t="str">
        <f aca="false">""</f>
        <v/>
      </c>
      <c r="L811" s="2" t="str">
        <f aca="false">IF($G811="","","同時")</f>
        <v/>
      </c>
      <c r="M811" s="2" t="str">
        <f aca="false">IF($G811="","",IF(ISNA(MATCH($G811,個別指定!$A:$A,0)),"行なし",""))</f>
        <v/>
      </c>
      <c r="N811" s="2" t="str">
        <f aca="false">IF($G811="","",IF(COUNTIF($G$2:$G$4460,$G811)&gt;1,"重複",""))</f>
        <v/>
      </c>
    </row>
    <row r="812" customFormat="false" ht="16.5" hidden="false" customHeight="true" outlineLevel="0" collapsed="false">
      <c r="A812" s="2" t="s">
        <v>385</v>
      </c>
      <c r="B812" s="2" t="s">
        <v>401</v>
      </c>
      <c r="C812" s="2" t="s">
        <v>26</v>
      </c>
      <c r="D812" s="2" t="str">
        <f aca="false">IF(2キー同時!$B$201="","",2キー同時!$B$201)</f>
        <v/>
      </c>
      <c r="E812" s="2" t="str">
        <f aca="false">""</f>
        <v/>
      </c>
      <c r="F812" s="2" t="str">
        <f aca="false">""</f>
        <v/>
      </c>
      <c r="G812" s="2" t="str">
        <f aca="false">IF(2キー同時!$B$201="","",IF(2キー同時!Q207="","",SUBSTITUTE(SUBSTITUTE(2キー同時!Q207," ",""),"　","")))</f>
        <v/>
      </c>
      <c r="H812" s="2" t="str">
        <f aca="false">IF($G812="","",2キー同時!$B$201)</f>
        <v/>
      </c>
      <c r="I812" s="2" t="str">
        <f aca="false">IF($G812="","","d")</f>
        <v/>
      </c>
      <c r="J812" s="2" t="str">
        <f aca="false">""</f>
        <v/>
      </c>
      <c r="K812" s="2" t="str">
        <f aca="false">""</f>
        <v/>
      </c>
      <c r="L812" s="2" t="str">
        <f aca="false">IF($G812="","","同時")</f>
        <v/>
      </c>
      <c r="M812" s="2" t="str">
        <f aca="false">IF($G812="","",IF(ISNA(MATCH($G812,個別指定!$A:$A,0)),"行なし",""))</f>
        <v/>
      </c>
      <c r="N812" s="2" t="str">
        <f aca="false">IF($G812="","",IF(COUNTIF($G$2:$G$4460,$G812)&gt;1,"重複",""))</f>
        <v/>
      </c>
    </row>
    <row r="813" customFormat="false" ht="16.5" hidden="false" customHeight="true" outlineLevel="0" collapsed="false">
      <c r="A813" s="2" t="s">
        <v>385</v>
      </c>
      <c r="B813" s="2" t="s">
        <v>401</v>
      </c>
      <c r="C813" s="2" t="s">
        <v>27</v>
      </c>
      <c r="D813" s="2" t="str">
        <f aca="false">IF(2キー同時!$B$201="","",2キー同時!$B$201)</f>
        <v/>
      </c>
      <c r="E813" s="2" t="str">
        <f aca="false">""</f>
        <v/>
      </c>
      <c r="F813" s="2" t="str">
        <f aca="false">""</f>
        <v/>
      </c>
      <c r="G813" s="2" t="str">
        <f aca="false">IF(2キー同時!$B$201="","",IF(2キー同時!U207="","",SUBSTITUTE(SUBSTITUTE(2キー同時!U207," ",""),"　","")))</f>
        <v/>
      </c>
      <c r="H813" s="2" t="str">
        <f aca="false">IF($G813="","",2キー同時!$B$201)</f>
        <v/>
      </c>
      <c r="I813" s="2" t="str">
        <f aca="false">IF($G813="","","f")</f>
        <v/>
      </c>
      <c r="J813" s="2" t="str">
        <f aca="false">""</f>
        <v/>
      </c>
      <c r="K813" s="2" t="str">
        <f aca="false">""</f>
        <v/>
      </c>
      <c r="L813" s="2" t="str">
        <f aca="false">IF($G813="","","同時")</f>
        <v/>
      </c>
      <c r="M813" s="2" t="str">
        <f aca="false">IF($G813="","",IF(ISNA(MATCH($G813,個別指定!$A:$A,0)),"行なし",""))</f>
        <v/>
      </c>
      <c r="N813" s="2" t="str">
        <f aca="false">IF($G813="","",IF(COUNTIF($G$2:$G$4460,$G813)&gt;1,"重複",""))</f>
        <v/>
      </c>
    </row>
    <row r="814" customFormat="false" ht="16.5" hidden="false" customHeight="true" outlineLevel="0" collapsed="false">
      <c r="A814" s="2" t="s">
        <v>385</v>
      </c>
      <c r="B814" s="2" t="s">
        <v>401</v>
      </c>
      <c r="C814" s="2" t="s">
        <v>28</v>
      </c>
      <c r="D814" s="2" t="str">
        <f aca="false">IF(2キー同時!$B$201="","",2キー同時!$B$201)</f>
        <v/>
      </c>
      <c r="E814" s="2" t="str">
        <f aca="false">""</f>
        <v/>
      </c>
      <c r="F814" s="2" t="str">
        <f aca="false">""</f>
        <v/>
      </c>
      <c r="G814" s="2" t="str">
        <f aca="false">IF(2キー同時!$B$201="","",IF(2キー同時!Y207="","",SUBSTITUTE(SUBSTITUTE(2キー同時!Y207," ",""),"　","")))</f>
        <v/>
      </c>
      <c r="H814" s="2" t="str">
        <f aca="false">IF($G814="","",2キー同時!$B$201)</f>
        <v/>
      </c>
      <c r="I814" s="2" t="str">
        <f aca="false">IF($G814="","","g")</f>
        <v/>
      </c>
      <c r="J814" s="2" t="str">
        <f aca="false">""</f>
        <v/>
      </c>
      <c r="K814" s="2" t="str">
        <f aca="false">""</f>
        <v/>
      </c>
      <c r="L814" s="2" t="str">
        <f aca="false">IF($G814="","","同時")</f>
        <v/>
      </c>
      <c r="M814" s="2" t="str">
        <f aca="false">IF($G814="","",IF(ISNA(MATCH($G814,個別指定!$A:$A,0)),"行なし",""))</f>
        <v/>
      </c>
      <c r="N814" s="2" t="str">
        <f aca="false">IF($G814="","",IF(COUNTIF($G$2:$G$4460,$G814)&gt;1,"重複",""))</f>
        <v/>
      </c>
    </row>
    <row r="815" customFormat="false" ht="16.5" hidden="false" customHeight="true" outlineLevel="0" collapsed="false">
      <c r="A815" s="2" t="s">
        <v>385</v>
      </c>
      <c r="B815" s="2" t="s">
        <v>401</v>
      </c>
      <c r="C815" s="2" t="s">
        <v>29</v>
      </c>
      <c r="D815" s="2" t="str">
        <f aca="false">IF(2キー同時!$B$201="","",2キー同時!$B$201)</f>
        <v/>
      </c>
      <c r="E815" s="2" t="str">
        <f aca="false">""</f>
        <v/>
      </c>
      <c r="F815" s="2" t="str">
        <f aca="false">""</f>
        <v/>
      </c>
      <c r="G815" s="2" t="str">
        <f aca="false">IF(2キー同時!$B$201="","",IF(2キー同時!AC207="","",SUBSTITUTE(SUBSTITUTE(2キー同時!AC207," ",""),"　","")))</f>
        <v/>
      </c>
      <c r="H815" s="2" t="str">
        <f aca="false">IF($G815="","",2キー同時!$B$201)</f>
        <v/>
      </c>
      <c r="I815" s="2" t="str">
        <f aca="false">IF($G815="","","h")</f>
        <v/>
      </c>
      <c r="J815" s="2" t="str">
        <f aca="false">""</f>
        <v/>
      </c>
      <c r="K815" s="2" t="str">
        <f aca="false">""</f>
        <v/>
      </c>
      <c r="L815" s="2" t="str">
        <f aca="false">IF($G815="","","同時")</f>
        <v/>
      </c>
      <c r="M815" s="2" t="str">
        <f aca="false">IF($G815="","",IF(ISNA(MATCH($G815,個別指定!$A:$A,0)),"行なし",""))</f>
        <v/>
      </c>
      <c r="N815" s="2" t="str">
        <f aca="false">IF($G815="","",IF(COUNTIF($G$2:$G$4460,$G815)&gt;1,"重複",""))</f>
        <v/>
      </c>
    </row>
    <row r="816" customFormat="false" ht="16.5" hidden="false" customHeight="true" outlineLevel="0" collapsed="false">
      <c r="A816" s="2" t="s">
        <v>385</v>
      </c>
      <c r="B816" s="2" t="s">
        <v>401</v>
      </c>
      <c r="C816" s="2" t="s">
        <v>30</v>
      </c>
      <c r="D816" s="2" t="str">
        <f aca="false">IF(2キー同時!$B$201="","",2キー同時!$B$201)</f>
        <v/>
      </c>
      <c r="E816" s="2" t="str">
        <f aca="false">""</f>
        <v/>
      </c>
      <c r="F816" s="2" t="str">
        <f aca="false">""</f>
        <v/>
      </c>
      <c r="G816" s="2" t="str">
        <f aca="false">IF(2キー同時!$B$201="","",IF(2キー同時!AG207="","",SUBSTITUTE(SUBSTITUTE(2キー同時!AG207," ",""),"　","")))</f>
        <v/>
      </c>
      <c r="H816" s="2" t="str">
        <f aca="false">IF($G816="","",2キー同時!$B$201)</f>
        <v/>
      </c>
      <c r="I816" s="2" t="str">
        <f aca="false">IF($G816="","","j")</f>
        <v/>
      </c>
      <c r="J816" s="2" t="str">
        <f aca="false">""</f>
        <v/>
      </c>
      <c r="K816" s="2" t="str">
        <f aca="false">""</f>
        <v/>
      </c>
      <c r="L816" s="2" t="str">
        <f aca="false">IF($G816="","","同時")</f>
        <v/>
      </c>
      <c r="M816" s="2" t="str">
        <f aca="false">IF($G816="","",IF(ISNA(MATCH($G816,個別指定!$A:$A,0)),"行なし",""))</f>
        <v/>
      </c>
      <c r="N816" s="2" t="str">
        <f aca="false">IF($G816="","",IF(COUNTIF($G$2:$G$4460,$G816)&gt;1,"重複",""))</f>
        <v/>
      </c>
    </row>
    <row r="817" customFormat="false" ht="16.5" hidden="false" customHeight="true" outlineLevel="0" collapsed="false">
      <c r="A817" s="2" t="s">
        <v>385</v>
      </c>
      <c r="B817" s="2" t="s">
        <v>401</v>
      </c>
      <c r="C817" s="2" t="s">
        <v>31</v>
      </c>
      <c r="D817" s="2" t="str">
        <f aca="false">IF(2キー同時!$B$201="","",2キー同時!$B$201)</f>
        <v/>
      </c>
      <c r="E817" s="2" t="str">
        <f aca="false">""</f>
        <v/>
      </c>
      <c r="F817" s="2" t="str">
        <f aca="false">""</f>
        <v/>
      </c>
      <c r="G817" s="2" t="str">
        <f aca="false">IF(2キー同時!$B$201="","",IF(2キー同時!AK207="","",SUBSTITUTE(SUBSTITUTE(2キー同時!AK207," ",""),"　","")))</f>
        <v/>
      </c>
      <c r="H817" s="2" t="str">
        <f aca="false">IF($G817="","",2キー同時!$B$201)</f>
        <v/>
      </c>
      <c r="I817" s="2" t="str">
        <f aca="false">IF($G817="","","k")</f>
        <v/>
      </c>
      <c r="J817" s="2" t="str">
        <f aca="false">""</f>
        <v/>
      </c>
      <c r="K817" s="2" t="str">
        <f aca="false">""</f>
        <v/>
      </c>
      <c r="L817" s="2" t="str">
        <f aca="false">IF($G817="","","同時")</f>
        <v/>
      </c>
      <c r="M817" s="2" t="str">
        <f aca="false">IF($G817="","",IF(ISNA(MATCH($G817,個別指定!$A:$A,0)),"行なし",""))</f>
        <v/>
      </c>
      <c r="N817" s="2" t="str">
        <f aca="false">IF($G817="","",IF(COUNTIF($G$2:$G$4460,$G817)&gt;1,"重複",""))</f>
        <v/>
      </c>
    </row>
    <row r="818" customFormat="false" ht="16.5" hidden="false" customHeight="true" outlineLevel="0" collapsed="false">
      <c r="A818" s="2" t="s">
        <v>385</v>
      </c>
      <c r="B818" s="2" t="s">
        <v>401</v>
      </c>
      <c r="C818" s="2" t="s">
        <v>32</v>
      </c>
      <c r="D818" s="2" t="str">
        <f aca="false">IF(2キー同時!$B$201="","",2キー同時!$B$201)</f>
        <v/>
      </c>
      <c r="E818" s="2" t="str">
        <f aca="false">""</f>
        <v/>
      </c>
      <c r="F818" s="2" t="str">
        <f aca="false">""</f>
        <v/>
      </c>
      <c r="G818" s="2" t="str">
        <f aca="false">IF(2キー同時!$B$201="","",IF(2キー同時!AO207="","",SUBSTITUTE(SUBSTITUTE(2キー同時!AO207," ",""),"　","")))</f>
        <v/>
      </c>
      <c r="H818" s="2" t="str">
        <f aca="false">IF($G818="","",2キー同時!$B$201)</f>
        <v/>
      </c>
      <c r="I818" s="2" t="str">
        <f aca="false">IF($G818="","","l")</f>
        <v/>
      </c>
      <c r="J818" s="2" t="str">
        <f aca="false">""</f>
        <v/>
      </c>
      <c r="K818" s="2" t="str">
        <f aca="false">""</f>
        <v/>
      </c>
      <c r="L818" s="2" t="str">
        <f aca="false">IF($G818="","","同時")</f>
        <v/>
      </c>
      <c r="M818" s="2" t="str">
        <f aca="false">IF($G818="","",IF(ISNA(MATCH($G818,個別指定!$A:$A,0)),"行なし",""))</f>
        <v/>
      </c>
      <c r="N818" s="2" t="str">
        <f aca="false">IF($G818="","",IF(COUNTIF($G$2:$G$4460,$G818)&gt;1,"重複",""))</f>
        <v/>
      </c>
    </row>
    <row r="819" customFormat="false" ht="16.5" hidden="false" customHeight="true" outlineLevel="0" collapsed="false">
      <c r="A819" s="2" t="s">
        <v>385</v>
      </c>
      <c r="B819" s="2" t="s">
        <v>401</v>
      </c>
      <c r="C819" s="2" t="s">
        <v>33</v>
      </c>
      <c r="D819" s="2" t="str">
        <f aca="false">IF(2キー同時!$B$201="","",2キー同時!$B$201)</f>
        <v/>
      </c>
      <c r="E819" s="2" t="str">
        <f aca="false">""</f>
        <v/>
      </c>
      <c r="F819" s="2" t="str">
        <f aca="false">""</f>
        <v/>
      </c>
      <c r="G819" s="2" t="str">
        <f aca="false">IF(2キー同時!$B$201="","",IF(2キー同時!AS207="","",SUBSTITUTE(SUBSTITUTE(2キー同時!AS207," ",""),"　","")))</f>
        <v/>
      </c>
      <c r="H819" s="2" t="str">
        <f aca="false">IF($G819="","",2キー同時!$B$201)</f>
        <v/>
      </c>
      <c r="I819" s="2" t="str">
        <f aca="false">IF($G819="","",";")</f>
        <v/>
      </c>
      <c r="J819" s="2" t="str">
        <f aca="false">""</f>
        <v/>
      </c>
      <c r="K819" s="2" t="str">
        <f aca="false">""</f>
        <v/>
      </c>
      <c r="L819" s="2" t="str">
        <f aca="false">IF($G819="","","同時")</f>
        <v/>
      </c>
      <c r="M819" s="2" t="str">
        <f aca="false">IF($G819="","",IF(ISNA(MATCH($G819,個別指定!$A:$A,0)),"行なし",""))</f>
        <v/>
      </c>
      <c r="N819" s="2" t="str">
        <f aca="false">IF($G819="","",IF(COUNTIF($G$2:$G$4460,$G819)&gt;1,"重複",""))</f>
        <v/>
      </c>
    </row>
    <row r="820" customFormat="false" ht="16.5" hidden="false" customHeight="true" outlineLevel="0" collapsed="false">
      <c r="A820" s="2" t="s">
        <v>385</v>
      </c>
      <c r="B820" s="2" t="s">
        <v>401</v>
      </c>
      <c r="C820" s="2" t="s">
        <v>34</v>
      </c>
      <c r="D820" s="2" t="str">
        <f aca="false">IF(2キー同時!$B$201="","",2キー同時!$B$201)</f>
        <v/>
      </c>
      <c r="E820" s="2" t="str">
        <f aca="false">""</f>
        <v/>
      </c>
      <c r="F820" s="2" t="str">
        <f aca="false">""</f>
        <v/>
      </c>
      <c r="G820" s="2" t="str">
        <f aca="false">IF(2キー同時!$B$201="","",IF(2キー同時!AW207="","",SUBSTITUTE(SUBSTITUTE(2キー同時!AW207," ",""),"　","")))</f>
        <v/>
      </c>
      <c r="H820" s="2" t="str">
        <f aca="false">IF($G820="","",2キー同時!$B$201)</f>
        <v/>
      </c>
      <c r="I820" s="2" t="str">
        <f aca="false">IF($G820="","","'")</f>
        <v/>
      </c>
      <c r="J820" s="2" t="str">
        <f aca="false">""</f>
        <v/>
      </c>
      <c r="K820" s="2" t="str">
        <f aca="false">""</f>
        <v/>
      </c>
      <c r="L820" s="2" t="str">
        <f aca="false">IF($G820="","","同時")</f>
        <v/>
      </c>
      <c r="M820" s="2" t="str">
        <f aca="false">IF($G820="","",IF(ISNA(MATCH($G820,個別指定!$A:$A,0)),"行なし",""))</f>
        <v/>
      </c>
      <c r="N820" s="2" t="str">
        <f aca="false">IF($G820="","",IF(COUNTIF($G$2:$G$4460,$G820)&gt;1,"重複",""))</f>
        <v/>
      </c>
    </row>
    <row r="821" customFormat="false" ht="16.5" hidden="false" customHeight="true" outlineLevel="0" collapsed="false">
      <c r="A821" s="2" t="s">
        <v>385</v>
      </c>
      <c r="B821" s="2" t="s">
        <v>401</v>
      </c>
      <c r="C821" s="2" t="s">
        <v>35</v>
      </c>
      <c r="D821" s="2" t="str">
        <f aca="false">IF(2キー同時!$B$201="","",2キー同時!$B$201)</f>
        <v/>
      </c>
      <c r="E821" s="2" t="str">
        <f aca="false">""</f>
        <v/>
      </c>
      <c r="F821" s="2" t="str">
        <f aca="false">""</f>
        <v/>
      </c>
      <c r="G821" s="2" t="str">
        <f aca="false">IF(2キー同時!$B$201="","",IF(2キー同時!K209="","",SUBSTITUTE(SUBSTITUTE(2キー同時!K209," ",""),"　","")))</f>
        <v/>
      </c>
      <c r="H821" s="2" t="str">
        <f aca="false">IF($G821="","",2キー同時!$B$201)</f>
        <v/>
      </c>
      <c r="I821" s="2" t="str">
        <f aca="false">IF($G821="","","z")</f>
        <v/>
      </c>
      <c r="J821" s="2" t="str">
        <f aca="false">""</f>
        <v/>
      </c>
      <c r="K821" s="2" t="str">
        <f aca="false">""</f>
        <v/>
      </c>
      <c r="L821" s="2" t="str">
        <f aca="false">IF($G821="","","同時")</f>
        <v/>
      </c>
      <c r="M821" s="2" t="str">
        <f aca="false">IF($G821="","",IF(ISNA(MATCH($G821,個別指定!$A:$A,0)),"行なし",""))</f>
        <v/>
      </c>
      <c r="N821" s="2" t="str">
        <f aca="false">IF($G821="","",IF(COUNTIF($G$2:$G$4460,$G821)&gt;1,"重複",""))</f>
        <v/>
      </c>
    </row>
    <row r="822" customFormat="false" ht="16.5" hidden="false" customHeight="true" outlineLevel="0" collapsed="false">
      <c r="A822" s="2" t="s">
        <v>385</v>
      </c>
      <c r="B822" s="2" t="s">
        <v>401</v>
      </c>
      <c r="C822" s="2" t="s">
        <v>36</v>
      </c>
      <c r="D822" s="2" t="str">
        <f aca="false">IF(2キー同時!$B$201="","",2キー同時!$B$201)</f>
        <v/>
      </c>
      <c r="E822" s="2" t="str">
        <f aca="false">""</f>
        <v/>
      </c>
      <c r="F822" s="2" t="str">
        <f aca="false">""</f>
        <v/>
      </c>
      <c r="G822" s="2" t="str">
        <f aca="false">IF(2キー同時!$B$201="","",IF(2キー同時!O209="","",SUBSTITUTE(SUBSTITUTE(2キー同時!O209," ",""),"　","")))</f>
        <v/>
      </c>
      <c r="H822" s="2" t="str">
        <f aca="false">IF($G822="","",2キー同時!$B$201)</f>
        <v/>
      </c>
      <c r="I822" s="2" t="str">
        <f aca="false">IF($G822="","","x")</f>
        <v/>
      </c>
      <c r="J822" s="2" t="str">
        <f aca="false">""</f>
        <v/>
      </c>
      <c r="K822" s="2" t="str">
        <f aca="false">""</f>
        <v/>
      </c>
      <c r="L822" s="2" t="str">
        <f aca="false">IF($G822="","","同時")</f>
        <v/>
      </c>
      <c r="M822" s="2" t="str">
        <f aca="false">IF($G822="","",IF(ISNA(MATCH($G822,個別指定!$A:$A,0)),"行なし",""))</f>
        <v/>
      </c>
      <c r="N822" s="2" t="str">
        <f aca="false">IF($G822="","",IF(COUNTIF($G$2:$G$4460,$G822)&gt;1,"重複",""))</f>
        <v/>
      </c>
    </row>
    <row r="823" customFormat="false" ht="16.5" hidden="false" customHeight="true" outlineLevel="0" collapsed="false">
      <c r="A823" s="2" t="s">
        <v>385</v>
      </c>
      <c r="B823" s="2" t="s">
        <v>401</v>
      </c>
      <c r="C823" s="2" t="s">
        <v>37</v>
      </c>
      <c r="D823" s="2" t="str">
        <f aca="false">IF(2キー同時!$B$201="","",2キー同時!$B$201)</f>
        <v/>
      </c>
      <c r="E823" s="2" t="str">
        <f aca="false">""</f>
        <v/>
      </c>
      <c r="F823" s="2" t="str">
        <f aca="false">""</f>
        <v/>
      </c>
      <c r="G823" s="2" t="str">
        <f aca="false">IF(2キー同時!$B$201="","",IF(2キー同時!S209="","",SUBSTITUTE(SUBSTITUTE(2キー同時!S209," ",""),"　","")))</f>
        <v/>
      </c>
      <c r="H823" s="2" t="str">
        <f aca="false">IF($G823="","",2キー同時!$B$201)</f>
        <v/>
      </c>
      <c r="I823" s="2" t="str">
        <f aca="false">IF($G823="","","c")</f>
        <v/>
      </c>
      <c r="J823" s="2" t="str">
        <f aca="false">""</f>
        <v/>
      </c>
      <c r="K823" s="2" t="str">
        <f aca="false">""</f>
        <v/>
      </c>
      <c r="L823" s="2" t="str">
        <f aca="false">IF($G823="","","同時")</f>
        <v/>
      </c>
      <c r="M823" s="2" t="str">
        <f aca="false">IF($G823="","",IF(ISNA(MATCH($G823,個別指定!$A:$A,0)),"行なし",""))</f>
        <v/>
      </c>
      <c r="N823" s="2" t="str">
        <f aca="false">IF($G823="","",IF(COUNTIF($G$2:$G$4460,$G823)&gt;1,"重複",""))</f>
        <v/>
      </c>
    </row>
    <row r="824" customFormat="false" ht="16.5" hidden="false" customHeight="true" outlineLevel="0" collapsed="false">
      <c r="A824" s="2" t="s">
        <v>385</v>
      </c>
      <c r="B824" s="2" t="s">
        <v>401</v>
      </c>
      <c r="C824" s="2" t="s">
        <v>38</v>
      </c>
      <c r="D824" s="2" t="str">
        <f aca="false">IF(2キー同時!$B$201="","",2キー同時!$B$201)</f>
        <v/>
      </c>
      <c r="E824" s="2" t="str">
        <f aca="false">""</f>
        <v/>
      </c>
      <c r="F824" s="2" t="str">
        <f aca="false">""</f>
        <v/>
      </c>
      <c r="G824" s="2" t="str">
        <f aca="false">IF(2キー同時!$B$201="","",IF(2キー同時!W209="","",SUBSTITUTE(SUBSTITUTE(2キー同時!W209," ",""),"　","")))</f>
        <v/>
      </c>
      <c r="H824" s="2" t="str">
        <f aca="false">IF($G824="","",2キー同時!$B$201)</f>
        <v/>
      </c>
      <c r="I824" s="2" t="str">
        <f aca="false">IF($G824="","","v")</f>
        <v/>
      </c>
      <c r="J824" s="2" t="str">
        <f aca="false">""</f>
        <v/>
      </c>
      <c r="K824" s="2" t="str">
        <f aca="false">""</f>
        <v/>
      </c>
      <c r="L824" s="2" t="str">
        <f aca="false">IF($G824="","","同時")</f>
        <v/>
      </c>
      <c r="M824" s="2" t="str">
        <f aca="false">IF($G824="","",IF(ISNA(MATCH($G824,個別指定!$A:$A,0)),"行なし",""))</f>
        <v/>
      </c>
      <c r="N824" s="2" t="str">
        <f aca="false">IF($G824="","",IF(COUNTIF($G$2:$G$4460,$G824)&gt;1,"重複",""))</f>
        <v/>
      </c>
    </row>
    <row r="825" customFormat="false" ht="16.5" hidden="false" customHeight="true" outlineLevel="0" collapsed="false">
      <c r="A825" s="2" t="s">
        <v>385</v>
      </c>
      <c r="B825" s="2" t="s">
        <v>401</v>
      </c>
      <c r="C825" s="2" t="s">
        <v>39</v>
      </c>
      <c r="D825" s="2" t="str">
        <f aca="false">IF(2キー同時!$B$201="","",2キー同時!$B$201)</f>
        <v/>
      </c>
      <c r="E825" s="2" t="str">
        <f aca="false">""</f>
        <v/>
      </c>
      <c r="F825" s="2" t="str">
        <f aca="false">""</f>
        <v/>
      </c>
      <c r="G825" s="2" t="str">
        <f aca="false">IF(2キー同時!$B$201="","",IF(2キー同時!AA209="","",SUBSTITUTE(SUBSTITUTE(2キー同時!AA209," ",""),"　","")))</f>
        <v/>
      </c>
      <c r="H825" s="2" t="str">
        <f aca="false">IF($G825="","",2キー同時!$B$201)</f>
        <v/>
      </c>
      <c r="I825" s="2" t="str">
        <f aca="false">IF($G825="","","b")</f>
        <v/>
      </c>
      <c r="J825" s="2" t="str">
        <f aca="false">""</f>
        <v/>
      </c>
      <c r="K825" s="2" t="str">
        <f aca="false">""</f>
        <v/>
      </c>
      <c r="L825" s="2" t="str">
        <f aca="false">IF($G825="","","同時")</f>
        <v/>
      </c>
      <c r="M825" s="2" t="str">
        <f aca="false">IF($G825="","",IF(ISNA(MATCH($G825,個別指定!$A:$A,0)),"行なし",""))</f>
        <v/>
      </c>
      <c r="N825" s="2" t="str">
        <f aca="false">IF($G825="","",IF(COUNTIF($G$2:$G$4460,$G825)&gt;1,"重複",""))</f>
        <v/>
      </c>
    </row>
    <row r="826" customFormat="false" ht="16.5" hidden="false" customHeight="true" outlineLevel="0" collapsed="false">
      <c r="A826" s="2" t="s">
        <v>385</v>
      </c>
      <c r="B826" s="2" t="s">
        <v>401</v>
      </c>
      <c r="C826" s="2" t="s">
        <v>40</v>
      </c>
      <c r="D826" s="2" t="str">
        <f aca="false">IF(2キー同時!$B$201="","",2キー同時!$B$201)</f>
        <v/>
      </c>
      <c r="E826" s="2" t="str">
        <f aca="false">""</f>
        <v/>
      </c>
      <c r="F826" s="2" t="str">
        <f aca="false">""</f>
        <v/>
      </c>
      <c r="G826" s="2" t="str">
        <f aca="false">IF(2キー同時!$B$201="","",IF(2キー同時!AE209="","",SUBSTITUTE(SUBSTITUTE(2キー同時!AE209," ",""),"　","")))</f>
        <v/>
      </c>
      <c r="H826" s="2" t="str">
        <f aca="false">IF($G826="","",2キー同時!$B$201)</f>
        <v/>
      </c>
      <c r="I826" s="2" t="str">
        <f aca="false">IF($G826="","","n")</f>
        <v/>
      </c>
      <c r="J826" s="2" t="str">
        <f aca="false">""</f>
        <v/>
      </c>
      <c r="K826" s="2" t="str">
        <f aca="false">""</f>
        <v/>
      </c>
      <c r="L826" s="2" t="str">
        <f aca="false">IF($G826="","","同時")</f>
        <v/>
      </c>
      <c r="M826" s="2" t="str">
        <f aca="false">IF($G826="","",IF(ISNA(MATCH($G826,個別指定!$A:$A,0)),"行なし",""))</f>
        <v/>
      </c>
      <c r="N826" s="2" t="str">
        <f aca="false">IF($G826="","",IF(COUNTIF($G$2:$G$4460,$G826)&gt;1,"重複",""))</f>
        <v/>
      </c>
    </row>
    <row r="827" customFormat="false" ht="16.5" hidden="false" customHeight="true" outlineLevel="0" collapsed="false">
      <c r="A827" s="2" t="s">
        <v>385</v>
      </c>
      <c r="B827" s="2" t="s">
        <v>401</v>
      </c>
      <c r="C827" s="2" t="s">
        <v>41</v>
      </c>
      <c r="D827" s="2" t="str">
        <f aca="false">IF(2キー同時!$B$201="","",2キー同時!$B$201)</f>
        <v/>
      </c>
      <c r="E827" s="2" t="str">
        <f aca="false">""</f>
        <v/>
      </c>
      <c r="F827" s="2" t="str">
        <f aca="false">""</f>
        <v/>
      </c>
      <c r="G827" s="2" t="str">
        <f aca="false">IF(2キー同時!$B$201="","",IF(2キー同時!AI209="","",SUBSTITUTE(SUBSTITUTE(2キー同時!AI209," ",""),"　","")))</f>
        <v/>
      </c>
      <c r="H827" s="2" t="str">
        <f aca="false">IF($G827="","",2キー同時!$B$201)</f>
        <v/>
      </c>
      <c r="I827" s="2" t="str">
        <f aca="false">IF($G827="","","m")</f>
        <v/>
      </c>
      <c r="J827" s="2" t="str">
        <f aca="false">""</f>
        <v/>
      </c>
      <c r="K827" s="2" t="str">
        <f aca="false">""</f>
        <v/>
      </c>
      <c r="L827" s="2" t="str">
        <f aca="false">IF($G827="","","同時")</f>
        <v/>
      </c>
      <c r="M827" s="2" t="str">
        <f aca="false">IF($G827="","",IF(ISNA(MATCH($G827,個別指定!$A:$A,0)),"行なし",""))</f>
        <v/>
      </c>
      <c r="N827" s="2" t="str">
        <f aca="false">IF($G827="","",IF(COUNTIF($G$2:$G$4460,$G827)&gt;1,"重複",""))</f>
        <v/>
      </c>
    </row>
    <row r="828" customFormat="false" ht="16.5" hidden="false" customHeight="true" outlineLevel="0" collapsed="false">
      <c r="A828" s="2" t="s">
        <v>385</v>
      </c>
      <c r="B828" s="2" t="s">
        <v>401</v>
      </c>
      <c r="C828" s="2" t="s">
        <v>42</v>
      </c>
      <c r="D828" s="2" t="str">
        <f aca="false">IF(2キー同時!$B$201="","",2キー同時!$B$201)</f>
        <v/>
      </c>
      <c r="E828" s="2" t="str">
        <f aca="false">""</f>
        <v/>
      </c>
      <c r="F828" s="2" t="str">
        <f aca="false">""</f>
        <v/>
      </c>
      <c r="G828" s="2" t="str">
        <f aca="false">IF(2キー同時!$B$201="","",IF(2キー同時!AM209="","",SUBSTITUTE(SUBSTITUTE(2キー同時!AM209," ",""),"　","")))</f>
        <v/>
      </c>
      <c r="H828" s="2" t="str">
        <f aca="false">IF($G828="","",2キー同時!$B$201)</f>
        <v/>
      </c>
      <c r="I828" s="2" t="str">
        <f aca="false">IF($G828="","",",")</f>
        <v/>
      </c>
      <c r="J828" s="2" t="str">
        <f aca="false">""</f>
        <v/>
      </c>
      <c r="K828" s="2" t="str">
        <f aca="false">""</f>
        <v/>
      </c>
      <c r="L828" s="2" t="str">
        <f aca="false">IF($G828="","","同時")</f>
        <v/>
      </c>
      <c r="M828" s="2" t="str">
        <f aca="false">IF($G828="","",IF(ISNA(MATCH($G828,個別指定!$A:$A,0)),"行なし",""))</f>
        <v/>
      </c>
      <c r="N828" s="2" t="str">
        <f aca="false">IF($G828="","",IF(COUNTIF($G$2:$G$4460,$G828)&gt;1,"重複",""))</f>
        <v/>
      </c>
    </row>
    <row r="829" customFormat="false" ht="16.5" hidden="false" customHeight="true" outlineLevel="0" collapsed="false">
      <c r="A829" s="2" t="s">
        <v>385</v>
      </c>
      <c r="B829" s="2" t="s">
        <v>401</v>
      </c>
      <c r="C829" s="2" t="s">
        <v>43</v>
      </c>
      <c r="D829" s="2" t="str">
        <f aca="false">IF(2キー同時!$B$201="","",2キー同時!$B$201)</f>
        <v/>
      </c>
      <c r="E829" s="2" t="str">
        <f aca="false">""</f>
        <v/>
      </c>
      <c r="F829" s="2" t="str">
        <f aca="false">""</f>
        <v/>
      </c>
      <c r="G829" s="2" t="str">
        <f aca="false">IF(2キー同時!$B$201="","",IF(2キー同時!AQ209="","",SUBSTITUTE(SUBSTITUTE(2キー同時!AQ209," ",""),"　","")))</f>
        <v/>
      </c>
      <c r="H829" s="2" t="str">
        <f aca="false">IF($G829="","",2キー同時!$B$201)</f>
        <v/>
      </c>
      <c r="I829" s="2" t="str">
        <f aca="false">IF($G829="","",".")</f>
        <v/>
      </c>
      <c r="J829" s="2" t="str">
        <f aca="false">""</f>
        <v/>
      </c>
      <c r="K829" s="2" t="str">
        <f aca="false">""</f>
        <v/>
      </c>
      <c r="L829" s="2" t="str">
        <f aca="false">IF($G829="","","同時")</f>
        <v/>
      </c>
      <c r="M829" s="2" t="str">
        <f aca="false">IF($G829="","",IF(ISNA(MATCH($G829,個別指定!$A:$A,0)),"行なし",""))</f>
        <v/>
      </c>
      <c r="N829" s="2" t="str">
        <f aca="false">IF($G829="","",IF(COUNTIF($G$2:$G$4460,$G829)&gt;1,"重複",""))</f>
        <v/>
      </c>
    </row>
    <row r="830" customFormat="false" ht="16.5" hidden="false" customHeight="true" outlineLevel="0" collapsed="false">
      <c r="A830" s="2" t="s">
        <v>385</v>
      </c>
      <c r="B830" s="2" t="s">
        <v>401</v>
      </c>
      <c r="C830" s="2" t="s">
        <v>44</v>
      </c>
      <c r="D830" s="2" t="str">
        <f aca="false">IF(2キー同時!$B$201="","",2キー同時!$B$201)</f>
        <v/>
      </c>
      <c r="E830" s="2" t="str">
        <f aca="false">""</f>
        <v/>
      </c>
      <c r="F830" s="2" t="str">
        <f aca="false">""</f>
        <v/>
      </c>
      <c r="G830" s="2" t="str">
        <f aca="false">IF(2キー同時!$B$201="","",IF(2キー同時!AU209="","",SUBSTITUTE(SUBSTITUTE(2キー同時!AU209," ",""),"　","")))</f>
        <v/>
      </c>
      <c r="H830" s="2" t="str">
        <f aca="false">IF($G830="","",2キー同時!$B$201)</f>
        <v/>
      </c>
      <c r="I830" s="2" t="str">
        <f aca="false">IF($G830="","","/")</f>
        <v/>
      </c>
      <c r="J830" s="2" t="str">
        <f aca="false">""</f>
        <v/>
      </c>
      <c r="K830" s="2" t="str">
        <f aca="false">""</f>
        <v/>
      </c>
      <c r="L830" s="2" t="str">
        <f aca="false">IF($G830="","","同時")</f>
        <v/>
      </c>
      <c r="M830" s="2" t="str">
        <f aca="false">IF($G830="","",IF(ISNA(MATCH($G830,個別指定!$A:$A,0)),"行なし",""))</f>
        <v/>
      </c>
      <c r="N830" s="2" t="str">
        <f aca="false">IF($G830="","",IF(COUNTIF($G$2:$G$4460,$G830)&gt;1,"重複",""))</f>
        <v/>
      </c>
    </row>
    <row r="831" customFormat="false" ht="16.5" hidden="false" customHeight="true" outlineLevel="0" collapsed="false">
      <c r="A831" s="2" t="s">
        <v>385</v>
      </c>
      <c r="B831" s="2" t="s">
        <v>401</v>
      </c>
      <c r="C831" s="2" t="s">
        <v>48</v>
      </c>
      <c r="D831" s="2" t="str">
        <f aca="false">IF(2キー同時!$B$201="","",2キー同時!$B$201)</f>
        <v/>
      </c>
      <c r="E831" s="2" t="str">
        <f aca="false">""</f>
        <v/>
      </c>
      <c r="F831" s="2" t="str">
        <f aca="false">""</f>
        <v/>
      </c>
      <c r="G831" s="2" t="str">
        <f aca="false">IF(2キー同時!$B$201="","",IF(2キー同時!P211="","",SUBSTITUTE(SUBSTITUTE(2キー同時!P211," ",""),"　","")))</f>
        <v/>
      </c>
      <c r="H831" s="2" t="str">
        <f aca="false">IF($G831="","",2キー同時!$B$201)</f>
        <v/>
      </c>
      <c r="I831" s="2" t="str">
        <f aca="false">IF($G831="","","muhenkan")</f>
        <v/>
      </c>
      <c r="J831" s="2" t="str">
        <f aca="false">""</f>
        <v/>
      </c>
      <c r="K831" s="2" t="str">
        <f aca="false">""</f>
        <v/>
      </c>
      <c r="L831" s="2" t="str">
        <f aca="false">IF($G831="","","同時")</f>
        <v/>
      </c>
      <c r="M831" s="2" t="str">
        <f aca="false">IF($G831="","",IF(ISNA(MATCH($G831,個別指定!$A:$A,0)),"行なし",""))</f>
        <v/>
      </c>
      <c r="N831" s="2" t="str">
        <f aca="false">IF($G831="","",IF(COUNTIF($G$2:$G$4460,$G831)&gt;1,"重複",""))</f>
        <v/>
      </c>
    </row>
    <row r="832" customFormat="false" ht="16.5" hidden="false" customHeight="true" outlineLevel="0" collapsed="false">
      <c r="A832" s="2" t="s">
        <v>385</v>
      </c>
      <c r="B832" s="2" t="s">
        <v>401</v>
      </c>
      <c r="C832" s="2" t="s">
        <v>50</v>
      </c>
      <c r="D832" s="2" t="str">
        <f aca="false">IF(2キー同時!$B$201="","",2キー同時!$B$201)</f>
        <v/>
      </c>
      <c r="E832" s="2" t="str">
        <f aca="false">""</f>
        <v/>
      </c>
      <c r="F832" s="2" t="str">
        <f aca="false">""</f>
        <v/>
      </c>
      <c r="G832" s="2" t="str">
        <f aca="false">IF(2キー同時!$B$201="","",IF(2キー同時!T211="","",SUBSTITUTE(SUBSTITUTE(2キー同時!T211," ",""),"　","")))</f>
        <v/>
      </c>
      <c r="H832" s="2" t="str">
        <f aca="false">IF($G832="","",2キー同時!$B$201)</f>
        <v/>
      </c>
      <c r="I832" s="2" t="str">
        <f aca="false">IF($G832="","","space")</f>
        <v/>
      </c>
      <c r="J832" s="2" t="str">
        <f aca="false">""</f>
        <v/>
      </c>
      <c r="K832" s="2" t="str">
        <f aca="false">""</f>
        <v/>
      </c>
      <c r="L832" s="2" t="str">
        <f aca="false">IF($G832="","","同時")</f>
        <v/>
      </c>
      <c r="M832" s="2" t="str">
        <f aca="false">IF($G832="","",IF(ISNA(MATCH($G832,個別指定!$A:$A,0)),"行なし",""))</f>
        <v/>
      </c>
      <c r="N832" s="2" t="str">
        <f aca="false">IF($G832="","",IF(COUNTIF($G$2:$G$4460,$G832)&gt;1,"重複",""))</f>
        <v/>
      </c>
    </row>
    <row r="833" customFormat="false" ht="16.5" hidden="false" customHeight="true" outlineLevel="0" collapsed="false">
      <c r="A833" s="2" t="s">
        <v>385</v>
      </c>
      <c r="B833" s="2" t="s">
        <v>401</v>
      </c>
      <c r="C833" s="2" t="s">
        <v>45</v>
      </c>
      <c r="D833" s="2" t="str">
        <f aca="false">IF(2キー同時!$B$201="","",2キー同時!$B$201)</f>
        <v/>
      </c>
      <c r="E833" s="2" t="str">
        <f aca="false">""</f>
        <v/>
      </c>
      <c r="F833" s="2" t="str">
        <f aca="false">""</f>
        <v/>
      </c>
      <c r="G833" s="2" t="str">
        <f aca="false">IF(2キー同時!$B$201="","",IF(2キー同時!AL211="","",SUBSTITUTE(SUBSTITUTE(2キー同時!AL211," ",""),"　","")))</f>
        <v/>
      </c>
      <c r="H833" s="2" t="str">
        <f aca="false">IF($G833="","",2キー同時!$B$201)</f>
        <v/>
      </c>
      <c r="I833" s="2" t="str">
        <f aca="false">IF($G833="","","henkan")</f>
        <v/>
      </c>
      <c r="J833" s="2" t="str">
        <f aca="false">""</f>
        <v/>
      </c>
      <c r="K833" s="2" t="str">
        <f aca="false">""</f>
        <v/>
      </c>
      <c r="L833" s="2" t="str">
        <f aca="false">IF($G833="","","同時")</f>
        <v/>
      </c>
      <c r="M833" s="2" t="str">
        <f aca="false">IF($G833="","",IF(ISNA(MATCH($G833,個別指定!$A:$A,0)),"行なし",""))</f>
        <v/>
      </c>
      <c r="N833" s="2" t="str">
        <f aca="false">IF($G833="","",IF(COUNTIF($G$2:$G$4460,$G833)&gt;1,"重複",""))</f>
        <v/>
      </c>
    </row>
    <row r="834" customFormat="false" ht="16.5" hidden="false" customHeight="true" outlineLevel="0" collapsed="false">
      <c r="A834" s="2" t="s">
        <v>385</v>
      </c>
      <c r="B834" s="2" t="s">
        <v>401</v>
      </c>
      <c r="C834" s="2" t="s">
        <v>46</v>
      </c>
      <c r="D834" s="2" t="str">
        <f aca="false">IF(2キー同時!$B$201="","",2キー同時!$B$201)</f>
        <v/>
      </c>
      <c r="E834" s="2" t="str">
        <f aca="false">""</f>
        <v/>
      </c>
      <c r="F834" s="2" t="str">
        <f aca="false">""</f>
        <v/>
      </c>
      <c r="G834" s="2" t="str">
        <f aca="false">IF(2キー同時!$B$201="","",IF(2キー同時!AP211="","",SUBSTITUTE(SUBSTITUTE(2キー同時!AP211," ",""),"　","")))</f>
        <v/>
      </c>
      <c r="H834" s="2" t="str">
        <f aca="false">IF($G834="","",2キー同時!$B$201)</f>
        <v/>
      </c>
      <c r="I834" s="2" t="str">
        <f aca="false">IF($G834="","","kana")</f>
        <v/>
      </c>
      <c r="J834" s="2" t="str">
        <f aca="false">""</f>
        <v/>
      </c>
      <c r="K834" s="2" t="str">
        <f aca="false">""</f>
        <v/>
      </c>
      <c r="L834" s="2" t="str">
        <f aca="false">IF($G834="","","同時")</f>
        <v/>
      </c>
      <c r="M834" s="2" t="str">
        <f aca="false">IF($G834="","",IF(ISNA(MATCH($G834,個別指定!$A:$A,0)),"行なし",""))</f>
        <v/>
      </c>
      <c r="N834" s="2" t="str">
        <f aca="false">IF($G834="","",IF(COUNTIF($G$2:$G$4460,$G834)&gt;1,"重複",""))</f>
        <v/>
      </c>
    </row>
    <row r="835" customFormat="false" ht="16.5" hidden="false" customHeight="true" outlineLevel="0" collapsed="false">
      <c r="A835" s="2" t="s">
        <v>385</v>
      </c>
      <c r="B835" s="2" t="s">
        <v>402</v>
      </c>
      <c r="C835" s="2" t="s">
        <v>0</v>
      </c>
      <c r="D835" s="2" t="str">
        <f aca="false">IF(2キー同時!$B$214="","",2キー同時!$B$214)</f>
        <v/>
      </c>
      <c r="E835" s="2" t="str">
        <f aca="false">""</f>
        <v/>
      </c>
      <c r="F835" s="2" t="str">
        <f aca="false">""</f>
        <v/>
      </c>
      <c r="G835" s="2" t="str">
        <f aca="false">IF(2キー同時!$B$214="","",IF(2キー同時!F216="","",SUBSTITUTE(SUBSTITUTE(2キー同時!F216," ",""),"　","")))</f>
        <v/>
      </c>
      <c r="H835" s="2" t="str">
        <f aca="false">IF($G835="","",2キー同時!$B$214)</f>
        <v/>
      </c>
      <c r="I835" s="2" t="str">
        <f aca="false">IF($G835="","","1")</f>
        <v/>
      </c>
      <c r="J835" s="2" t="str">
        <f aca="false">""</f>
        <v/>
      </c>
      <c r="K835" s="2" t="str">
        <f aca="false">""</f>
        <v/>
      </c>
      <c r="L835" s="2" t="str">
        <f aca="false">IF($G835="","","同時")</f>
        <v/>
      </c>
      <c r="M835" s="2" t="str">
        <f aca="false">IF($G835="","",IF(ISNA(MATCH($G835,個別指定!$A:$A,0)),"行なし",""))</f>
        <v/>
      </c>
      <c r="N835" s="2" t="str">
        <f aca="false">IF($G835="","",IF(COUNTIF($G$2:$G$4460,$G835)&gt;1,"重複",""))</f>
        <v/>
      </c>
    </row>
    <row r="836" customFormat="false" ht="16.5" hidden="false" customHeight="true" outlineLevel="0" collapsed="false">
      <c r="A836" s="2" t="s">
        <v>385</v>
      </c>
      <c r="B836" s="2" t="s">
        <v>402</v>
      </c>
      <c r="C836" s="2" t="s">
        <v>1</v>
      </c>
      <c r="D836" s="2" t="str">
        <f aca="false">IF(2キー同時!$B$214="","",2キー同時!$B$214)</f>
        <v/>
      </c>
      <c r="E836" s="2" t="str">
        <f aca="false">""</f>
        <v/>
      </c>
      <c r="F836" s="2" t="str">
        <f aca="false">""</f>
        <v/>
      </c>
      <c r="G836" s="2" t="str">
        <f aca="false">IF(2キー同時!$B$214="","",IF(2キー同時!J216="","",SUBSTITUTE(SUBSTITUTE(2キー同時!J216," ",""),"　","")))</f>
        <v/>
      </c>
      <c r="H836" s="2" t="str">
        <f aca="false">IF($G836="","",2キー同時!$B$214)</f>
        <v/>
      </c>
      <c r="I836" s="2" t="str">
        <f aca="false">IF($G836="","","2")</f>
        <v/>
      </c>
      <c r="J836" s="2" t="str">
        <f aca="false">""</f>
        <v/>
      </c>
      <c r="K836" s="2" t="str">
        <f aca="false">""</f>
        <v/>
      </c>
      <c r="L836" s="2" t="str">
        <f aca="false">IF($G836="","","同時")</f>
        <v/>
      </c>
      <c r="M836" s="2" t="str">
        <f aca="false">IF($G836="","",IF(ISNA(MATCH($G836,個別指定!$A:$A,0)),"行なし",""))</f>
        <v/>
      </c>
      <c r="N836" s="2" t="str">
        <f aca="false">IF($G836="","",IF(COUNTIF($G$2:$G$4460,$G836)&gt;1,"重複",""))</f>
        <v/>
      </c>
    </row>
    <row r="837" customFormat="false" ht="16.5" hidden="false" customHeight="true" outlineLevel="0" collapsed="false">
      <c r="A837" s="2" t="s">
        <v>385</v>
      </c>
      <c r="B837" s="2" t="s">
        <v>402</v>
      </c>
      <c r="C837" s="2" t="s">
        <v>2</v>
      </c>
      <c r="D837" s="2" t="str">
        <f aca="false">IF(2キー同時!$B$214="","",2キー同時!$B$214)</f>
        <v/>
      </c>
      <c r="E837" s="2" t="str">
        <f aca="false">""</f>
        <v/>
      </c>
      <c r="F837" s="2" t="str">
        <f aca="false">""</f>
        <v/>
      </c>
      <c r="G837" s="2" t="str">
        <f aca="false">IF(2キー同時!$B$214="","",IF(2キー同時!N216="","",SUBSTITUTE(SUBSTITUTE(2キー同時!N216," ",""),"　","")))</f>
        <v/>
      </c>
      <c r="H837" s="2" t="str">
        <f aca="false">IF($G837="","",2キー同時!$B$214)</f>
        <v/>
      </c>
      <c r="I837" s="2" t="str">
        <f aca="false">IF($G837="","","3")</f>
        <v/>
      </c>
      <c r="J837" s="2" t="str">
        <f aca="false">""</f>
        <v/>
      </c>
      <c r="K837" s="2" t="str">
        <f aca="false">""</f>
        <v/>
      </c>
      <c r="L837" s="2" t="str">
        <f aca="false">IF($G837="","","同時")</f>
        <v/>
      </c>
      <c r="M837" s="2" t="str">
        <f aca="false">IF($G837="","",IF(ISNA(MATCH($G837,個別指定!$A:$A,0)),"行なし",""))</f>
        <v/>
      </c>
      <c r="N837" s="2" t="str">
        <f aca="false">IF($G837="","",IF(COUNTIF($G$2:$G$4460,$G837)&gt;1,"重複",""))</f>
        <v/>
      </c>
    </row>
    <row r="838" customFormat="false" ht="16.5" hidden="false" customHeight="true" outlineLevel="0" collapsed="false">
      <c r="A838" s="2" t="s">
        <v>385</v>
      </c>
      <c r="B838" s="2" t="s">
        <v>402</v>
      </c>
      <c r="C838" s="2" t="s">
        <v>3</v>
      </c>
      <c r="D838" s="2" t="str">
        <f aca="false">IF(2キー同時!$B$214="","",2キー同時!$B$214)</f>
        <v/>
      </c>
      <c r="E838" s="2" t="str">
        <f aca="false">""</f>
        <v/>
      </c>
      <c r="F838" s="2" t="str">
        <f aca="false">""</f>
        <v/>
      </c>
      <c r="G838" s="2" t="str">
        <f aca="false">IF(2キー同時!$B$214="","",IF(2キー同時!R216="","",SUBSTITUTE(SUBSTITUTE(2キー同時!R216," ",""),"　","")))</f>
        <v/>
      </c>
      <c r="H838" s="2" t="str">
        <f aca="false">IF($G838="","",2キー同時!$B$214)</f>
        <v/>
      </c>
      <c r="I838" s="2" t="str">
        <f aca="false">IF($G838="","","4")</f>
        <v/>
      </c>
      <c r="J838" s="2" t="str">
        <f aca="false">""</f>
        <v/>
      </c>
      <c r="K838" s="2" t="str">
        <f aca="false">""</f>
        <v/>
      </c>
      <c r="L838" s="2" t="str">
        <f aca="false">IF($G838="","","同時")</f>
        <v/>
      </c>
      <c r="M838" s="2" t="str">
        <f aca="false">IF($G838="","",IF(ISNA(MATCH($G838,個別指定!$A:$A,0)),"行なし",""))</f>
        <v/>
      </c>
      <c r="N838" s="2" t="str">
        <f aca="false">IF($G838="","",IF(COUNTIF($G$2:$G$4460,$G838)&gt;1,"重複",""))</f>
        <v/>
      </c>
    </row>
    <row r="839" customFormat="false" ht="16.5" hidden="false" customHeight="true" outlineLevel="0" collapsed="false">
      <c r="A839" s="2" t="s">
        <v>385</v>
      </c>
      <c r="B839" s="2" t="s">
        <v>402</v>
      </c>
      <c r="C839" s="2" t="s">
        <v>4</v>
      </c>
      <c r="D839" s="2" t="str">
        <f aca="false">IF(2キー同時!$B$214="","",2キー同時!$B$214)</f>
        <v/>
      </c>
      <c r="E839" s="2" t="str">
        <f aca="false">""</f>
        <v/>
      </c>
      <c r="F839" s="2" t="str">
        <f aca="false">""</f>
        <v/>
      </c>
      <c r="G839" s="2" t="str">
        <f aca="false">IF(2キー同時!$B$214="","",IF(2キー同時!V216="","",SUBSTITUTE(SUBSTITUTE(2キー同時!V216," ",""),"　","")))</f>
        <v/>
      </c>
      <c r="H839" s="2" t="str">
        <f aca="false">IF($G839="","",2キー同時!$B$214)</f>
        <v/>
      </c>
      <c r="I839" s="2" t="str">
        <f aca="false">IF($G839="","","5")</f>
        <v/>
      </c>
      <c r="J839" s="2" t="str">
        <f aca="false">""</f>
        <v/>
      </c>
      <c r="K839" s="2" t="str">
        <f aca="false">""</f>
        <v/>
      </c>
      <c r="L839" s="2" t="str">
        <f aca="false">IF($G839="","","同時")</f>
        <v/>
      </c>
      <c r="M839" s="2" t="str">
        <f aca="false">IF($G839="","",IF(ISNA(MATCH($G839,個別指定!$A:$A,0)),"行なし",""))</f>
        <v/>
      </c>
      <c r="N839" s="2" t="str">
        <f aca="false">IF($G839="","",IF(COUNTIF($G$2:$G$4460,$G839)&gt;1,"重複",""))</f>
        <v/>
      </c>
    </row>
    <row r="840" customFormat="false" ht="16.5" hidden="false" customHeight="true" outlineLevel="0" collapsed="false">
      <c r="A840" s="2" t="s">
        <v>385</v>
      </c>
      <c r="B840" s="2" t="s">
        <v>402</v>
      </c>
      <c r="C840" s="2" t="s">
        <v>5</v>
      </c>
      <c r="D840" s="2" t="str">
        <f aca="false">IF(2キー同時!$B$214="","",2キー同時!$B$214)</f>
        <v/>
      </c>
      <c r="E840" s="2" t="str">
        <f aca="false">""</f>
        <v/>
      </c>
      <c r="F840" s="2" t="str">
        <f aca="false">""</f>
        <v/>
      </c>
      <c r="G840" s="2" t="str">
        <f aca="false">IF(2キー同時!$B$214="","",IF(2キー同時!Z216="","",SUBSTITUTE(SUBSTITUTE(2キー同時!Z216," ",""),"　","")))</f>
        <v/>
      </c>
      <c r="H840" s="2" t="str">
        <f aca="false">IF($G840="","",2キー同時!$B$214)</f>
        <v/>
      </c>
      <c r="I840" s="2" t="str">
        <f aca="false">IF($G840="","","6")</f>
        <v/>
      </c>
      <c r="J840" s="2" t="str">
        <f aca="false">""</f>
        <v/>
      </c>
      <c r="K840" s="2" t="str">
        <f aca="false">""</f>
        <v/>
      </c>
      <c r="L840" s="2" t="str">
        <f aca="false">IF($G840="","","同時")</f>
        <v/>
      </c>
      <c r="M840" s="2" t="str">
        <f aca="false">IF($G840="","",IF(ISNA(MATCH($G840,個別指定!$A:$A,0)),"行なし",""))</f>
        <v/>
      </c>
      <c r="N840" s="2" t="str">
        <f aca="false">IF($G840="","",IF(COUNTIF($G$2:$G$4460,$G840)&gt;1,"重複",""))</f>
        <v/>
      </c>
    </row>
    <row r="841" customFormat="false" ht="16.5" hidden="false" customHeight="true" outlineLevel="0" collapsed="false">
      <c r="A841" s="2" t="s">
        <v>385</v>
      </c>
      <c r="B841" s="2" t="s">
        <v>402</v>
      </c>
      <c r="C841" s="2" t="s">
        <v>6</v>
      </c>
      <c r="D841" s="2" t="str">
        <f aca="false">IF(2キー同時!$B$214="","",2キー同時!$B$214)</f>
        <v/>
      </c>
      <c r="E841" s="2" t="str">
        <f aca="false">""</f>
        <v/>
      </c>
      <c r="F841" s="2" t="str">
        <f aca="false">""</f>
        <v/>
      </c>
      <c r="G841" s="2" t="str">
        <f aca="false">IF(2キー同時!$B$214="","",IF(2キー同時!AD216="","",SUBSTITUTE(SUBSTITUTE(2キー同時!AD216," ",""),"　","")))</f>
        <v/>
      </c>
      <c r="H841" s="2" t="str">
        <f aca="false">IF($G841="","",2キー同時!$B$214)</f>
        <v/>
      </c>
      <c r="I841" s="2" t="str">
        <f aca="false">IF($G841="","","7")</f>
        <v/>
      </c>
      <c r="J841" s="2" t="str">
        <f aca="false">""</f>
        <v/>
      </c>
      <c r="K841" s="2" t="str">
        <f aca="false">""</f>
        <v/>
      </c>
      <c r="L841" s="2" t="str">
        <f aca="false">IF($G841="","","同時")</f>
        <v/>
      </c>
      <c r="M841" s="2" t="str">
        <f aca="false">IF($G841="","",IF(ISNA(MATCH($G841,個別指定!$A:$A,0)),"行なし",""))</f>
        <v/>
      </c>
      <c r="N841" s="2" t="str">
        <f aca="false">IF($G841="","",IF(COUNTIF($G$2:$G$4460,$G841)&gt;1,"重複",""))</f>
        <v/>
      </c>
    </row>
    <row r="842" customFormat="false" ht="16.5" hidden="false" customHeight="true" outlineLevel="0" collapsed="false">
      <c r="A842" s="2" t="s">
        <v>385</v>
      </c>
      <c r="B842" s="2" t="s">
        <v>402</v>
      </c>
      <c r="C842" s="2" t="s">
        <v>7</v>
      </c>
      <c r="D842" s="2" t="str">
        <f aca="false">IF(2キー同時!$B$214="","",2キー同時!$B$214)</f>
        <v/>
      </c>
      <c r="E842" s="2" t="str">
        <f aca="false">""</f>
        <v/>
      </c>
      <c r="F842" s="2" t="str">
        <f aca="false">""</f>
        <v/>
      </c>
      <c r="G842" s="2" t="str">
        <f aca="false">IF(2キー同時!$B$214="","",IF(2キー同時!AH216="","",SUBSTITUTE(SUBSTITUTE(2キー同時!AH216," ",""),"　","")))</f>
        <v/>
      </c>
      <c r="H842" s="2" t="str">
        <f aca="false">IF($G842="","",2キー同時!$B$214)</f>
        <v/>
      </c>
      <c r="I842" s="2" t="str">
        <f aca="false">IF($G842="","","8")</f>
        <v/>
      </c>
      <c r="J842" s="2" t="str">
        <f aca="false">""</f>
        <v/>
      </c>
      <c r="K842" s="2" t="str">
        <f aca="false">""</f>
        <v/>
      </c>
      <c r="L842" s="2" t="str">
        <f aca="false">IF($G842="","","同時")</f>
        <v/>
      </c>
      <c r="M842" s="2" t="str">
        <f aca="false">IF($G842="","",IF(ISNA(MATCH($G842,個別指定!$A:$A,0)),"行なし",""))</f>
        <v/>
      </c>
      <c r="N842" s="2" t="str">
        <f aca="false">IF($G842="","",IF(COUNTIF($G$2:$G$4460,$G842)&gt;1,"重複",""))</f>
        <v/>
      </c>
    </row>
    <row r="843" customFormat="false" ht="16.5" hidden="false" customHeight="true" outlineLevel="0" collapsed="false">
      <c r="A843" s="2" t="s">
        <v>385</v>
      </c>
      <c r="B843" s="2" t="s">
        <v>402</v>
      </c>
      <c r="C843" s="2" t="s">
        <v>8</v>
      </c>
      <c r="D843" s="2" t="str">
        <f aca="false">IF(2キー同時!$B$214="","",2キー同時!$B$214)</f>
        <v/>
      </c>
      <c r="E843" s="2" t="str">
        <f aca="false">""</f>
        <v/>
      </c>
      <c r="F843" s="2" t="str">
        <f aca="false">""</f>
        <v/>
      </c>
      <c r="G843" s="2" t="str">
        <f aca="false">IF(2キー同時!$B$214="","",IF(2キー同時!AL216="","",SUBSTITUTE(SUBSTITUTE(2キー同時!AL216," ",""),"　","")))</f>
        <v/>
      </c>
      <c r="H843" s="2" t="str">
        <f aca="false">IF($G843="","",2キー同時!$B$214)</f>
        <v/>
      </c>
      <c r="I843" s="2" t="str">
        <f aca="false">IF($G843="","","9")</f>
        <v/>
      </c>
      <c r="J843" s="2" t="str">
        <f aca="false">""</f>
        <v/>
      </c>
      <c r="K843" s="2" t="str">
        <f aca="false">""</f>
        <v/>
      </c>
      <c r="L843" s="2" t="str">
        <f aca="false">IF($G843="","","同時")</f>
        <v/>
      </c>
      <c r="M843" s="2" t="str">
        <f aca="false">IF($G843="","",IF(ISNA(MATCH($G843,個別指定!$A:$A,0)),"行なし",""))</f>
        <v/>
      </c>
      <c r="N843" s="2" t="str">
        <f aca="false">IF($G843="","",IF(COUNTIF($G$2:$G$4460,$G843)&gt;1,"重複",""))</f>
        <v/>
      </c>
    </row>
    <row r="844" customFormat="false" ht="16.5" hidden="false" customHeight="true" outlineLevel="0" collapsed="false">
      <c r="A844" s="2" t="s">
        <v>385</v>
      </c>
      <c r="B844" s="2" t="s">
        <v>402</v>
      </c>
      <c r="C844" s="2" t="s">
        <v>9</v>
      </c>
      <c r="D844" s="2" t="str">
        <f aca="false">IF(2キー同時!$B$214="","",2キー同時!$B$214)</f>
        <v/>
      </c>
      <c r="E844" s="2" t="str">
        <f aca="false">""</f>
        <v/>
      </c>
      <c r="F844" s="2" t="str">
        <f aca="false">""</f>
        <v/>
      </c>
      <c r="G844" s="2" t="str">
        <f aca="false">IF(2キー同時!$B$214="","",IF(2キー同時!AP216="","",SUBSTITUTE(SUBSTITUTE(2キー同時!AP216," ",""),"　","")))</f>
        <v/>
      </c>
      <c r="H844" s="2" t="str">
        <f aca="false">IF($G844="","",2キー同時!$B$214)</f>
        <v/>
      </c>
      <c r="I844" s="2" t="str">
        <f aca="false">IF($G844="","","0")</f>
        <v/>
      </c>
      <c r="J844" s="2" t="str">
        <f aca="false">""</f>
        <v/>
      </c>
      <c r="K844" s="2" t="str">
        <f aca="false">""</f>
        <v/>
      </c>
      <c r="L844" s="2" t="str">
        <f aca="false">IF($G844="","","同時")</f>
        <v/>
      </c>
      <c r="M844" s="2" t="str">
        <f aca="false">IF($G844="","",IF(ISNA(MATCH($G844,個別指定!$A:$A,0)),"行なし",""))</f>
        <v/>
      </c>
      <c r="N844" s="2" t="str">
        <f aca="false">IF($G844="","",IF(COUNTIF($G$2:$G$4460,$G844)&gt;1,"重複",""))</f>
        <v/>
      </c>
    </row>
    <row r="845" customFormat="false" ht="16.5" hidden="false" customHeight="true" outlineLevel="0" collapsed="false">
      <c r="A845" s="2" t="s">
        <v>385</v>
      </c>
      <c r="B845" s="2" t="s">
        <v>402</v>
      </c>
      <c r="C845" s="2" t="s">
        <v>10</v>
      </c>
      <c r="D845" s="2" t="str">
        <f aca="false">IF(2キー同時!$B$214="","",2キー同時!$B$214)</f>
        <v/>
      </c>
      <c r="E845" s="2" t="str">
        <f aca="false">""</f>
        <v/>
      </c>
      <c r="F845" s="2" t="str">
        <f aca="false">""</f>
        <v/>
      </c>
      <c r="G845" s="2" t="str">
        <f aca="false">IF(2キー同時!$B$214="","",IF(2キー同時!AT216="","",SUBSTITUTE(SUBSTITUTE(2キー同時!AT216," ",""),"　","")))</f>
        <v/>
      </c>
      <c r="H845" s="2" t="str">
        <f aca="false">IF($G845="","",2キー同時!$B$214)</f>
        <v/>
      </c>
      <c r="I845" s="2" t="str">
        <f aca="false">IF($G845="","","-")</f>
        <v/>
      </c>
      <c r="J845" s="2" t="str">
        <f aca="false">""</f>
        <v/>
      </c>
      <c r="K845" s="2" t="str">
        <f aca="false">""</f>
        <v/>
      </c>
      <c r="L845" s="2" t="str">
        <f aca="false">IF($G845="","","同時")</f>
        <v/>
      </c>
      <c r="M845" s="2" t="str">
        <f aca="false">IF($G845="","",IF(ISNA(MATCH($G845,個別指定!$A:$A,0)),"行なし",""))</f>
        <v/>
      </c>
      <c r="N845" s="2" t="str">
        <f aca="false">IF($G845="","",IF(COUNTIF($G$2:$G$4460,$G845)&gt;1,"重複",""))</f>
        <v/>
      </c>
    </row>
    <row r="846" customFormat="false" ht="16.5" hidden="false" customHeight="true" outlineLevel="0" collapsed="false">
      <c r="A846" s="2" t="s">
        <v>385</v>
      </c>
      <c r="B846" s="2" t="s">
        <v>402</v>
      </c>
      <c r="C846" s="2" t="s">
        <v>11</v>
      </c>
      <c r="D846" s="2" t="str">
        <f aca="false">IF(2キー同時!$B$214="","",2キー同時!$B$214)</f>
        <v/>
      </c>
      <c r="E846" s="2" t="str">
        <f aca="false">""</f>
        <v/>
      </c>
      <c r="F846" s="2" t="str">
        <f aca="false">""</f>
        <v/>
      </c>
      <c r="G846" s="2" t="str">
        <f aca="false">IF(2キー同時!$B$214="","",IF(2キー同時!AX216="","",SUBSTITUTE(SUBSTITUTE(2キー同時!AX216," ",""),"　","")))</f>
        <v/>
      </c>
      <c r="H846" s="2" t="str">
        <f aca="false">IF($G846="","",2キー同時!$B$214)</f>
        <v/>
      </c>
      <c r="I846" s="2" t="str">
        <f aca="false">IF($G846="","","=")</f>
        <v/>
      </c>
      <c r="J846" s="2" t="str">
        <f aca="false">""</f>
        <v/>
      </c>
      <c r="K846" s="2" t="str">
        <f aca="false">""</f>
        <v/>
      </c>
      <c r="L846" s="2" t="str">
        <f aca="false">IF($G846="","","同時")</f>
        <v/>
      </c>
      <c r="M846" s="2" t="str">
        <f aca="false">IF($G846="","",IF(ISNA(MATCH($G846,個別指定!$A:$A,0)),"行なし",""))</f>
        <v/>
      </c>
      <c r="N846" s="2" t="str">
        <f aca="false">IF($G846="","",IF(COUNTIF($G$2:$G$4460,$G846)&gt;1,"重複",""))</f>
        <v/>
      </c>
    </row>
    <row r="847" customFormat="false" ht="16.5" hidden="false" customHeight="true" outlineLevel="0" collapsed="false">
      <c r="A847" s="2" t="s">
        <v>385</v>
      </c>
      <c r="B847" s="2" t="s">
        <v>402</v>
      </c>
      <c r="C847" s="2" t="s">
        <v>12</v>
      </c>
      <c r="D847" s="2" t="str">
        <f aca="false">IF(2キー同時!$B$214="","",2キー同時!$B$214)</f>
        <v/>
      </c>
      <c r="E847" s="2" t="str">
        <f aca="false">""</f>
        <v/>
      </c>
      <c r="F847" s="2" t="str">
        <f aca="false">""</f>
        <v/>
      </c>
      <c r="G847" s="2" t="str">
        <f aca="false">IF(2キー同時!$B$214="","",IF(2キー同時!H218="","",SUBSTITUTE(SUBSTITUTE(2キー同時!H218," ",""),"　","")))</f>
        <v/>
      </c>
      <c r="H847" s="2" t="str">
        <f aca="false">IF($G847="","",2キー同時!$B$214)</f>
        <v/>
      </c>
      <c r="I847" s="2" t="str">
        <f aca="false">IF($G847="","","q")</f>
        <v/>
      </c>
      <c r="J847" s="2" t="str">
        <f aca="false">""</f>
        <v/>
      </c>
      <c r="K847" s="2" t="str">
        <f aca="false">""</f>
        <v/>
      </c>
      <c r="L847" s="2" t="str">
        <f aca="false">IF($G847="","","同時")</f>
        <v/>
      </c>
      <c r="M847" s="2" t="str">
        <f aca="false">IF($G847="","",IF(ISNA(MATCH($G847,個別指定!$A:$A,0)),"行なし",""))</f>
        <v/>
      </c>
      <c r="N847" s="2" t="str">
        <f aca="false">IF($G847="","",IF(COUNTIF($G$2:$G$4460,$G847)&gt;1,"重複",""))</f>
        <v/>
      </c>
    </row>
    <row r="848" customFormat="false" ht="16.5" hidden="false" customHeight="true" outlineLevel="0" collapsed="false">
      <c r="A848" s="2" t="s">
        <v>385</v>
      </c>
      <c r="B848" s="2" t="s">
        <v>402</v>
      </c>
      <c r="C848" s="2" t="s">
        <v>13</v>
      </c>
      <c r="D848" s="2" t="str">
        <f aca="false">IF(2キー同時!$B$214="","",2キー同時!$B$214)</f>
        <v/>
      </c>
      <c r="E848" s="2" t="str">
        <f aca="false">""</f>
        <v/>
      </c>
      <c r="F848" s="2" t="str">
        <f aca="false">""</f>
        <v/>
      </c>
      <c r="G848" s="2" t="str">
        <f aca="false">IF(2キー同時!$B$214="","",IF(2キー同時!L218="","",SUBSTITUTE(SUBSTITUTE(2キー同時!L218," ",""),"　","")))</f>
        <v/>
      </c>
      <c r="H848" s="2" t="str">
        <f aca="false">IF($G848="","",2キー同時!$B$214)</f>
        <v/>
      </c>
      <c r="I848" s="2" t="str">
        <f aca="false">IF($G848="","","w")</f>
        <v/>
      </c>
      <c r="J848" s="2" t="str">
        <f aca="false">""</f>
        <v/>
      </c>
      <c r="K848" s="2" t="str">
        <f aca="false">""</f>
        <v/>
      </c>
      <c r="L848" s="2" t="str">
        <f aca="false">IF($G848="","","同時")</f>
        <v/>
      </c>
      <c r="M848" s="2" t="str">
        <f aca="false">IF($G848="","",IF(ISNA(MATCH($G848,個別指定!$A:$A,0)),"行なし",""))</f>
        <v/>
      </c>
      <c r="N848" s="2" t="str">
        <f aca="false">IF($G848="","",IF(COUNTIF($G$2:$G$4460,$G848)&gt;1,"重複",""))</f>
        <v/>
      </c>
    </row>
    <row r="849" customFormat="false" ht="16.5" hidden="false" customHeight="true" outlineLevel="0" collapsed="false">
      <c r="A849" s="2" t="s">
        <v>385</v>
      </c>
      <c r="B849" s="2" t="s">
        <v>402</v>
      </c>
      <c r="C849" s="2" t="s">
        <v>14</v>
      </c>
      <c r="D849" s="2" t="str">
        <f aca="false">IF(2キー同時!$B$214="","",2キー同時!$B$214)</f>
        <v/>
      </c>
      <c r="E849" s="2" t="str">
        <f aca="false">""</f>
        <v/>
      </c>
      <c r="F849" s="2" t="str">
        <f aca="false">""</f>
        <v/>
      </c>
      <c r="G849" s="2" t="str">
        <f aca="false">IF(2キー同時!$B$214="","",IF(2キー同時!P218="","",SUBSTITUTE(SUBSTITUTE(2キー同時!P218," ",""),"　","")))</f>
        <v/>
      </c>
      <c r="H849" s="2" t="str">
        <f aca="false">IF($G849="","",2キー同時!$B$214)</f>
        <v/>
      </c>
      <c r="I849" s="2" t="str">
        <f aca="false">IF($G849="","","e")</f>
        <v/>
      </c>
      <c r="J849" s="2" t="str">
        <f aca="false">""</f>
        <v/>
      </c>
      <c r="K849" s="2" t="str">
        <f aca="false">""</f>
        <v/>
      </c>
      <c r="L849" s="2" t="str">
        <f aca="false">IF($G849="","","同時")</f>
        <v/>
      </c>
      <c r="M849" s="2" t="str">
        <f aca="false">IF($G849="","",IF(ISNA(MATCH($G849,個別指定!$A:$A,0)),"行なし",""))</f>
        <v/>
      </c>
      <c r="N849" s="2" t="str">
        <f aca="false">IF($G849="","",IF(COUNTIF($G$2:$G$4460,$G849)&gt;1,"重複",""))</f>
        <v/>
      </c>
    </row>
    <row r="850" customFormat="false" ht="16.5" hidden="false" customHeight="true" outlineLevel="0" collapsed="false">
      <c r="A850" s="2" t="s">
        <v>385</v>
      </c>
      <c r="B850" s="2" t="s">
        <v>402</v>
      </c>
      <c r="C850" s="2" t="s">
        <v>15</v>
      </c>
      <c r="D850" s="2" t="str">
        <f aca="false">IF(2キー同時!$B$214="","",2キー同時!$B$214)</f>
        <v/>
      </c>
      <c r="E850" s="2" t="str">
        <f aca="false">""</f>
        <v/>
      </c>
      <c r="F850" s="2" t="str">
        <f aca="false">""</f>
        <v/>
      </c>
      <c r="G850" s="2" t="str">
        <f aca="false">IF(2キー同時!$B$214="","",IF(2キー同時!T218="","",SUBSTITUTE(SUBSTITUTE(2キー同時!T218," ",""),"　","")))</f>
        <v/>
      </c>
      <c r="H850" s="2" t="str">
        <f aca="false">IF($G850="","",2キー同時!$B$214)</f>
        <v/>
      </c>
      <c r="I850" s="2" t="str">
        <f aca="false">IF($G850="","","r")</f>
        <v/>
      </c>
      <c r="J850" s="2" t="str">
        <f aca="false">""</f>
        <v/>
      </c>
      <c r="K850" s="2" t="str">
        <f aca="false">""</f>
        <v/>
      </c>
      <c r="L850" s="2" t="str">
        <f aca="false">IF($G850="","","同時")</f>
        <v/>
      </c>
      <c r="M850" s="2" t="str">
        <f aca="false">IF($G850="","",IF(ISNA(MATCH($G850,個別指定!$A:$A,0)),"行なし",""))</f>
        <v/>
      </c>
      <c r="N850" s="2" t="str">
        <f aca="false">IF($G850="","",IF(COUNTIF($G$2:$G$4460,$G850)&gt;1,"重複",""))</f>
        <v/>
      </c>
    </row>
    <row r="851" customFormat="false" ht="16.5" hidden="false" customHeight="true" outlineLevel="0" collapsed="false">
      <c r="A851" s="2" t="s">
        <v>385</v>
      </c>
      <c r="B851" s="2" t="s">
        <v>402</v>
      </c>
      <c r="C851" s="2" t="s">
        <v>16</v>
      </c>
      <c r="D851" s="2" t="str">
        <f aca="false">IF(2キー同時!$B$214="","",2キー同時!$B$214)</f>
        <v/>
      </c>
      <c r="E851" s="2" t="str">
        <f aca="false">""</f>
        <v/>
      </c>
      <c r="F851" s="2" t="str">
        <f aca="false">""</f>
        <v/>
      </c>
      <c r="G851" s="2" t="str">
        <f aca="false">IF(2キー同時!$B$214="","",IF(2キー同時!X218="","",SUBSTITUTE(SUBSTITUTE(2キー同時!X218," ",""),"　","")))</f>
        <v/>
      </c>
      <c r="H851" s="2" t="str">
        <f aca="false">IF($G851="","",2キー同時!$B$214)</f>
        <v/>
      </c>
      <c r="I851" s="2" t="str">
        <f aca="false">IF($G851="","","t")</f>
        <v/>
      </c>
      <c r="J851" s="2" t="str">
        <f aca="false">""</f>
        <v/>
      </c>
      <c r="K851" s="2" t="str">
        <f aca="false">""</f>
        <v/>
      </c>
      <c r="L851" s="2" t="str">
        <f aca="false">IF($G851="","","同時")</f>
        <v/>
      </c>
      <c r="M851" s="2" t="str">
        <f aca="false">IF($G851="","",IF(ISNA(MATCH($G851,個別指定!$A:$A,0)),"行なし",""))</f>
        <v/>
      </c>
      <c r="N851" s="2" t="str">
        <f aca="false">IF($G851="","",IF(COUNTIF($G$2:$G$4460,$G851)&gt;1,"重複",""))</f>
        <v/>
      </c>
    </row>
    <row r="852" customFormat="false" ht="16.5" hidden="false" customHeight="true" outlineLevel="0" collapsed="false">
      <c r="A852" s="2" t="s">
        <v>385</v>
      </c>
      <c r="B852" s="2" t="s">
        <v>402</v>
      </c>
      <c r="C852" s="2" t="s">
        <v>17</v>
      </c>
      <c r="D852" s="2" t="str">
        <f aca="false">IF(2キー同時!$B$214="","",2キー同時!$B$214)</f>
        <v/>
      </c>
      <c r="E852" s="2" t="str">
        <f aca="false">""</f>
        <v/>
      </c>
      <c r="F852" s="2" t="str">
        <f aca="false">""</f>
        <v/>
      </c>
      <c r="G852" s="2" t="str">
        <f aca="false">IF(2キー同時!$B$214="","",IF(2キー同時!AB218="","",SUBSTITUTE(SUBSTITUTE(2キー同時!AB218," ",""),"　","")))</f>
        <v/>
      </c>
      <c r="H852" s="2" t="str">
        <f aca="false">IF($G852="","",2キー同時!$B$214)</f>
        <v/>
      </c>
      <c r="I852" s="2" t="str">
        <f aca="false">IF($G852="","","y")</f>
        <v/>
      </c>
      <c r="J852" s="2" t="str">
        <f aca="false">""</f>
        <v/>
      </c>
      <c r="K852" s="2" t="str">
        <f aca="false">""</f>
        <v/>
      </c>
      <c r="L852" s="2" t="str">
        <f aca="false">IF($G852="","","同時")</f>
        <v/>
      </c>
      <c r="M852" s="2" t="str">
        <f aca="false">IF($G852="","",IF(ISNA(MATCH($G852,個別指定!$A:$A,0)),"行なし",""))</f>
        <v/>
      </c>
      <c r="N852" s="2" t="str">
        <f aca="false">IF($G852="","",IF(COUNTIF($G$2:$G$4460,$G852)&gt;1,"重複",""))</f>
        <v/>
      </c>
    </row>
    <row r="853" customFormat="false" ht="16.5" hidden="false" customHeight="true" outlineLevel="0" collapsed="false">
      <c r="A853" s="2" t="s">
        <v>385</v>
      </c>
      <c r="B853" s="2" t="s">
        <v>402</v>
      </c>
      <c r="C853" s="2" t="s">
        <v>18</v>
      </c>
      <c r="D853" s="2" t="str">
        <f aca="false">IF(2キー同時!$B$214="","",2キー同時!$B$214)</f>
        <v/>
      </c>
      <c r="E853" s="2" t="str">
        <f aca="false">""</f>
        <v/>
      </c>
      <c r="F853" s="2" t="str">
        <f aca="false">""</f>
        <v/>
      </c>
      <c r="G853" s="2" t="str">
        <f aca="false">IF(2キー同時!$B$214="","",IF(2キー同時!AF218="","",SUBSTITUTE(SUBSTITUTE(2キー同時!AF218," ",""),"　","")))</f>
        <v/>
      </c>
      <c r="H853" s="2" t="str">
        <f aca="false">IF($G853="","",2キー同時!$B$214)</f>
        <v/>
      </c>
      <c r="I853" s="2" t="str">
        <f aca="false">IF($G853="","","u")</f>
        <v/>
      </c>
      <c r="J853" s="2" t="str">
        <f aca="false">""</f>
        <v/>
      </c>
      <c r="K853" s="2" t="str">
        <f aca="false">""</f>
        <v/>
      </c>
      <c r="L853" s="2" t="str">
        <f aca="false">IF($G853="","","同時")</f>
        <v/>
      </c>
      <c r="M853" s="2" t="str">
        <f aca="false">IF($G853="","",IF(ISNA(MATCH($G853,個別指定!$A:$A,0)),"行なし",""))</f>
        <v/>
      </c>
      <c r="N853" s="2" t="str">
        <f aca="false">IF($G853="","",IF(COUNTIF($G$2:$G$4460,$G853)&gt;1,"重複",""))</f>
        <v/>
      </c>
    </row>
    <row r="854" customFormat="false" ht="16.5" hidden="false" customHeight="true" outlineLevel="0" collapsed="false">
      <c r="A854" s="2" t="s">
        <v>385</v>
      </c>
      <c r="B854" s="2" t="s">
        <v>402</v>
      </c>
      <c r="C854" s="2" t="s">
        <v>19</v>
      </c>
      <c r="D854" s="2" t="str">
        <f aca="false">IF(2キー同時!$B$214="","",2キー同時!$B$214)</f>
        <v/>
      </c>
      <c r="E854" s="2" t="str">
        <f aca="false">""</f>
        <v/>
      </c>
      <c r="F854" s="2" t="str">
        <f aca="false">""</f>
        <v/>
      </c>
      <c r="G854" s="2" t="str">
        <f aca="false">IF(2キー同時!$B$214="","",IF(2キー同時!AJ218="","",SUBSTITUTE(SUBSTITUTE(2キー同時!AJ218," ",""),"　","")))</f>
        <v/>
      </c>
      <c r="H854" s="2" t="str">
        <f aca="false">IF($G854="","",2キー同時!$B$214)</f>
        <v/>
      </c>
      <c r="I854" s="2" t="str">
        <f aca="false">IF($G854="","","i")</f>
        <v/>
      </c>
      <c r="J854" s="2" t="str">
        <f aca="false">""</f>
        <v/>
      </c>
      <c r="K854" s="2" t="str">
        <f aca="false">""</f>
        <v/>
      </c>
      <c r="L854" s="2" t="str">
        <f aca="false">IF($G854="","","同時")</f>
        <v/>
      </c>
      <c r="M854" s="2" t="str">
        <f aca="false">IF($G854="","",IF(ISNA(MATCH($G854,個別指定!$A:$A,0)),"行なし",""))</f>
        <v/>
      </c>
      <c r="N854" s="2" t="str">
        <f aca="false">IF($G854="","",IF(COUNTIF($G$2:$G$4460,$G854)&gt;1,"重複",""))</f>
        <v/>
      </c>
    </row>
    <row r="855" customFormat="false" ht="16.5" hidden="false" customHeight="true" outlineLevel="0" collapsed="false">
      <c r="A855" s="2" t="s">
        <v>385</v>
      </c>
      <c r="B855" s="2" t="s">
        <v>402</v>
      </c>
      <c r="C855" s="2" t="s">
        <v>20</v>
      </c>
      <c r="D855" s="2" t="str">
        <f aca="false">IF(2キー同時!$B$214="","",2キー同時!$B$214)</f>
        <v/>
      </c>
      <c r="E855" s="2" t="str">
        <f aca="false">""</f>
        <v/>
      </c>
      <c r="F855" s="2" t="str">
        <f aca="false">""</f>
        <v/>
      </c>
      <c r="G855" s="2" t="str">
        <f aca="false">IF(2キー同時!$B$214="","",IF(2キー同時!AN218="","",SUBSTITUTE(SUBSTITUTE(2キー同時!AN218," ",""),"　","")))</f>
        <v/>
      </c>
      <c r="H855" s="2" t="str">
        <f aca="false">IF($G855="","",2キー同時!$B$214)</f>
        <v/>
      </c>
      <c r="I855" s="2" t="str">
        <f aca="false">IF($G855="","","o")</f>
        <v/>
      </c>
      <c r="J855" s="2" t="str">
        <f aca="false">""</f>
        <v/>
      </c>
      <c r="K855" s="2" t="str">
        <f aca="false">""</f>
        <v/>
      </c>
      <c r="L855" s="2" t="str">
        <f aca="false">IF($G855="","","同時")</f>
        <v/>
      </c>
      <c r="M855" s="2" t="str">
        <f aca="false">IF($G855="","",IF(ISNA(MATCH($G855,個別指定!$A:$A,0)),"行なし",""))</f>
        <v/>
      </c>
      <c r="N855" s="2" t="str">
        <f aca="false">IF($G855="","",IF(COUNTIF($G$2:$G$4460,$G855)&gt;1,"重複",""))</f>
        <v/>
      </c>
    </row>
    <row r="856" customFormat="false" ht="16.5" hidden="false" customHeight="true" outlineLevel="0" collapsed="false">
      <c r="A856" s="2" t="s">
        <v>385</v>
      </c>
      <c r="B856" s="2" t="s">
        <v>402</v>
      </c>
      <c r="C856" s="2" t="s">
        <v>21</v>
      </c>
      <c r="D856" s="2" t="str">
        <f aca="false">IF(2キー同時!$B$214="","",2キー同時!$B$214)</f>
        <v/>
      </c>
      <c r="E856" s="2" t="str">
        <f aca="false">""</f>
        <v/>
      </c>
      <c r="F856" s="2" t="str">
        <f aca="false">""</f>
        <v/>
      </c>
      <c r="G856" s="2" t="str">
        <f aca="false">IF(2キー同時!$B$214="","",IF(2キー同時!AR218="","",SUBSTITUTE(SUBSTITUTE(2キー同時!AR218," ",""),"　","")))</f>
        <v/>
      </c>
      <c r="H856" s="2" t="str">
        <f aca="false">IF($G856="","",2キー同時!$B$214)</f>
        <v/>
      </c>
      <c r="I856" s="2" t="str">
        <f aca="false">IF($G856="","","p")</f>
        <v/>
      </c>
      <c r="J856" s="2" t="str">
        <f aca="false">""</f>
        <v/>
      </c>
      <c r="K856" s="2" t="str">
        <f aca="false">""</f>
        <v/>
      </c>
      <c r="L856" s="2" t="str">
        <f aca="false">IF($G856="","","同時")</f>
        <v/>
      </c>
      <c r="M856" s="2" t="str">
        <f aca="false">IF($G856="","",IF(ISNA(MATCH($G856,個別指定!$A:$A,0)),"行なし",""))</f>
        <v/>
      </c>
      <c r="N856" s="2" t="str">
        <f aca="false">IF($G856="","",IF(COUNTIF($G$2:$G$4460,$G856)&gt;1,"重複",""))</f>
        <v/>
      </c>
    </row>
    <row r="857" customFormat="false" ht="16.5" hidden="false" customHeight="true" outlineLevel="0" collapsed="false">
      <c r="A857" s="2" t="s">
        <v>385</v>
      </c>
      <c r="B857" s="2" t="s">
        <v>402</v>
      </c>
      <c r="C857" s="2" t="s">
        <v>22</v>
      </c>
      <c r="D857" s="2" t="str">
        <f aca="false">IF(2キー同時!$B$214="","",2キー同時!$B$214)</f>
        <v/>
      </c>
      <c r="E857" s="2" t="str">
        <f aca="false">""</f>
        <v/>
      </c>
      <c r="F857" s="2" t="str">
        <f aca="false">""</f>
        <v/>
      </c>
      <c r="G857" s="2" t="str">
        <f aca="false">IF(2キー同時!$B$214="","",IF(2キー同時!AV218="","",SUBSTITUTE(SUBSTITUTE(2キー同時!AV218," ",""),"　","")))</f>
        <v/>
      </c>
      <c r="H857" s="2" t="str">
        <f aca="false">IF($G857="","",2キー同時!$B$214)</f>
        <v/>
      </c>
      <c r="I857" s="2" t="str">
        <f aca="false">IF($G857="","","[")</f>
        <v/>
      </c>
      <c r="J857" s="2" t="str">
        <f aca="false">""</f>
        <v/>
      </c>
      <c r="K857" s="2" t="str">
        <f aca="false">""</f>
        <v/>
      </c>
      <c r="L857" s="2" t="str">
        <f aca="false">IF($G857="","","同時")</f>
        <v/>
      </c>
      <c r="M857" s="2" t="str">
        <f aca="false">IF($G857="","",IF(ISNA(MATCH($G857,個別指定!$A:$A,0)),"行なし",""))</f>
        <v/>
      </c>
      <c r="N857" s="2" t="str">
        <f aca="false">IF($G857="","",IF(COUNTIF($G$2:$G$4460,$G857)&gt;1,"重複",""))</f>
        <v/>
      </c>
    </row>
    <row r="858" customFormat="false" ht="16.5" hidden="false" customHeight="true" outlineLevel="0" collapsed="false">
      <c r="A858" s="2" t="s">
        <v>385</v>
      </c>
      <c r="B858" s="2" t="s">
        <v>402</v>
      </c>
      <c r="C858" s="2" t="s">
        <v>23</v>
      </c>
      <c r="D858" s="2" t="str">
        <f aca="false">IF(2キー同時!$B$214="","",2キー同時!$B$214)</f>
        <v/>
      </c>
      <c r="E858" s="2" t="str">
        <f aca="false">""</f>
        <v/>
      </c>
      <c r="F858" s="2" t="str">
        <f aca="false">""</f>
        <v/>
      </c>
      <c r="G858" s="2" t="str">
        <f aca="false">IF(2キー同時!$B$214="","",IF(2キー同時!AZ218="","",SUBSTITUTE(SUBSTITUTE(2キー同時!AZ218," ",""),"　","")))</f>
        <v/>
      </c>
      <c r="H858" s="2" t="str">
        <f aca="false">IF($G858="","",2キー同時!$B$214)</f>
        <v/>
      </c>
      <c r="I858" s="2" t="str">
        <f aca="false">IF($G858="","","]")</f>
        <v/>
      </c>
      <c r="J858" s="2" t="str">
        <f aca="false">""</f>
        <v/>
      </c>
      <c r="K858" s="2" t="str">
        <f aca="false">""</f>
        <v/>
      </c>
      <c r="L858" s="2" t="str">
        <f aca="false">IF($G858="","","同時")</f>
        <v/>
      </c>
      <c r="M858" s="2" t="str">
        <f aca="false">IF($G858="","",IF(ISNA(MATCH($G858,個別指定!$A:$A,0)),"行なし",""))</f>
        <v/>
      </c>
      <c r="N858" s="2" t="str">
        <f aca="false">IF($G858="","",IF(COUNTIF($G$2:$G$4460,$G858)&gt;1,"重複",""))</f>
        <v/>
      </c>
    </row>
    <row r="859" customFormat="false" ht="16.5" hidden="false" customHeight="true" outlineLevel="0" collapsed="false">
      <c r="A859" s="2" t="s">
        <v>385</v>
      </c>
      <c r="B859" s="2" t="s">
        <v>402</v>
      </c>
      <c r="C859" s="2" t="s">
        <v>24</v>
      </c>
      <c r="D859" s="2" t="str">
        <f aca="false">IF(2キー同時!$B$214="","",2キー同時!$B$214)</f>
        <v/>
      </c>
      <c r="E859" s="2" t="str">
        <f aca="false">""</f>
        <v/>
      </c>
      <c r="F859" s="2" t="str">
        <f aca="false">""</f>
        <v/>
      </c>
      <c r="G859" s="2" t="str">
        <f aca="false">IF(2キー同時!$B$214="","",IF(2キー同時!I220="","",SUBSTITUTE(SUBSTITUTE(2キー同時!I220," ",""),"　","")))</f>
        <v/>
      </c>
      <c r="H859" s="2" t="str">
        <f aca="false">IF($G859="","",2キー同時!$B$214)</f>
        <v/>
      </c>
      <c r="I859" s="2" t="str">
        <f aca="false">IF($G859="","","a")</f>
        <v/>
      </c>
      <c r="J859" s="2" t="str">
        <f aca="false">""</f>
        <v/>
      </c>
      <c r="K859" s="2" t="str">
        <f aca="false">""</f>
        <v/>
      </c>
      <c r="L859" s="2" t="str">
        <f aca="false">IF($G859="","","同時")</f>
        <v/>
      </c>
      <c r="M859" s="2" t="str">
        <f aca="false">IF($G859="","",IF(ISNA(MATCH($G859,個別指定!$A:$A,0)),"行なし",""))</f>
        <v/>
      </c>
      <c r="N859" s="2" t="str">
        <f aca="false">IF($G859="","",IF(COUNTIF($G$2:$G$4460,$G859)&gt;1,"重複",""))</f>
        <v/>
      </c>
    </row>
    <row r="860" customFormat="false" ht="16.5" hidden="false" customHeight="true" outlineLevel="0" collapsed="false">
      <c r="A860" s="2" t="s">
        <v>385</v>
      </c>
      <c r="B860" s="2" t="s">
        <v>402</v>
      </c>
      <c r="C860" s="2" t="s">
        <v>25</v>
      </c>
      <c r="D860" s="2" t="str">
        <f aca="false">IF(2キー同時!$B$214="","",2キー同時!$B$214)</f>
        <v/>
      </c>
      <c r="E860" s="2" t="str">
        <f aca="false">""</f>
        <v/>
      </c>
      <c r="F860" s="2" t="str">
        <f aca="false">""</f>
        <v/>
      </c>
      <c r="G860" s="2" t="str">
        <f aca="false">IF(2キー同時!$B$214="","",IF(2キー同時!M220="","",SUBSTITUTE(SUBSTITUTE(2キー同時!M220," ",""),"　","")))</f>
        <v/>
      </c>
      <c r="H860" s="2" t="str">
        <f aca="false">IF($G860="","",2キー同時!$B$214)</f>
        <v/>
      </c>
      <c r="I860" s="2" t="str">
        <f aca="false">IF($G860="","","s")</f>
        <v/>
      </c>
      <c r="J860" s="2" t="str">
        <f aca="false">""</f>
        <v/>
      </c>
      <c r="K860" s="2" t="str">
        <f aca="false">""</f>
        <v/>
      </c>
      <c r="L860" s="2" t="str">
        <f aca="false">IF($G860="","","同時")</f>
        <v/>
      </c>
      <c r="M860" s="2" t="str">
        <f aca="false">IF($G860="","",IF(ISNA(MATCH($G860,個別指定!$A:$A,0)),"行なし",""))</f>
        <v/>
      </c>
      <c r="N860" s="2" t="str">
        <f aca="false">IF($G860="","",IF(COUNTIF($G$2:$G$4460,$G860)&gt;1,"重複",""))</f>
        <v/>
      </c>
    </row>
    <row r="861" customFormat="false" ht="16.5" hidden="false" customHeight="true" outlineLevel="0" collapsed="false">
      <c r="A861" s="2" t="s">
        <v>385</v>
      </c>
      <c r="B861" s="2" t="s">
        <v>402</v>
      </c>
      <c r="C861" s="2" t="s">
        <v>26</v>
      </c>
      <c r="D861" s="2" t="str">
        <f aca="false">IF(2キー同時!$B$214="","",2キー同時!$B$214)</f>
        <v/>
      </c>
      <c r="E861" s="2" t="str">
        <f aca="false">""</f>
        <v/>
      </c>
      <c r="F861" s="2" t="str">
        <f aca="false">""</f>
        <v/>
      </c>
      <c r="G861" s="2" t="str">
        <f aca="false">IF(2キー同時!$B$214="","",IF(2キー同時!Q220="","",SUBSTITUTE(SUBSTITUTE(2キー同時!Q220," ",""),"　","")))</f>
        <v/>
      </c>
      <c r="H861" s="2" t="str">
        <f aca="false">IF($G861="","",2キー同時!$B$214)</f>
        <v/>
      </c>
      <c r="I861" s="2" t="str">
        <f aca="false">IF($G861="","","d")</f>
        <v/>
      </c>
      <c r="J861" s="2" t="str">
        <f aca="false">""</f>
        <v/>
      </c>
      <c r="K861" s="2" t="str">
        <f aca="false">""</f>
        <v/>
      </c>
      <c r="L861" s="2" t="str">
        <f aca="false">IF($G861="","","同時")</f>
        <v/>
      </c>
      <c r="M861" s="2" t="str">
        <f aca="false">IF($G861="","",IF(ISNA(MATCH($G861,個別指定!$A:$A,0)),"行なし",""))</f>
        <v/>
      </c>
      <c r="N861" s="2" t="str">
        <f aca="false">IF($G861="","",IF(COUNTIF($G$2:$G$4460,$G861)&gt;1,"重複",""))</f>
        <v/>
      </c>
    </row>
    <row r="862" customFormat="false" ht="16.5" hidden="false" customHeight="true" outlineLevel="0" collapsed="false">
      <c r="A862" s="2" t="s">
        <v>385</v>
      </c>
      <c r="B862" s="2" t="s">
        <v>402</v>
      </c>
      <c r="C862" s="2" t="s">
        <v>27</v>
      </c>
      <c r="D862" s="2" t="str">
        <f aca="false">IF(2キー同時!$B$214="","",2キー同時!$B$214)</f>
        <v/>
      </c>
      <c r="E862" s="2" t="str">
        <f aca="false">""</f>
        <v/>
      </c>
      <c r="F862" s="2" t="str">
        <f aca="false">""</f>
        <v/>
      </c>
      <c r="G862" s="2" t="str">
        <f aca="false">IF(2キー同時!$B$214="","",IF(2キー同時!U220="","",SUBSTITUTE(SUBSTITUTE(2キー同時!U220," ",""),"　","")))</f>
        <v/>
      </c>
      <c r="H862" s="2" t="str">
        <f aca="false">IF($G862="","",2キー同時!$B$214)</f>
        <v/>
      </c>
      <c r="I862" s="2" t="str">
        <f aca="false">IF($G862="","","f")</f>
        <v/>
      </c>
      <c r="J862" s="2" t="str">
        <f aca="false">""</f>
        <v/>
      </c>
      <c r="K862" s="2" t="str">
        <f aca="false">""</f>
        <v/>
      </c>
      <c r="L862" s="2" t="str">
        <f aca="false">IF($G862="","","同時")</f>
        <v/>
      </c>
      <c r="M862" s="2" t="str">
        <f aca="false">IF($G862="","",IF(ISNA(MATCH($G862,個別指定!$A:$A,0)),"行なし",""))</f>
        <v/>
      </c>
      <c r="N862" s="2" t="str">
        <f aca="false">IF($G862="","",IF(COUNTIF($G$2:$G$4460,$G862)&gt;1,"重複",""))</f>
        <v/>
      </c>
    </row>
    <row r="863" customFormat="false" ht="16.5" hidden="false" customHeight="true" outlineLevel="0" collapsed="false">
      <c r="A863" s="2" t="s">
        <v>385</v>
      </c>
      <c r="B863" s="2" t="s">
        <v>402</v>
      </c>
      <c r="C863" s="2" t="s">
        <v>28</v>
      </c>
      <c r="D863" s="2" t="str">
        <f aca="false">IF(2キー同時!$B$214="","",2キー同時!$B$214)</f>
        <v/>
      </c>
      <c r="E863" s="2" t="str">
        <f aca="false">""</f>
        <v/>
      </c>
      <c r="F863" s="2" t="str">
        <f aca="false">""</f>
        <v/>
      </c>
      <c r="G863" s="2" t="str">
        <f aca="false">IF(2キー同時!$B$214="","",IF(2キー同時!Y220="","",SUBSTITUTE(SUBSTITUTE(2キー同時!Y220," ",""),"　","")))</f>
        <v/>
      </c>
      <c r="H863" s="2" t="str">
        <f aca="false">IF($G863="","",2キー同時!$B$214)</f>
        <v/>
      </c>
      <c r="I863" s="2" t="str">
        <f aca="false">IF($G863="","","g")</f>
        <v/>
      </c>
      <c r="J863" s="2" t="str">
        <f aca="false">""</f>
        <v/>
      </c>
      <c r="K863" s="2" t="str">
        <f aca="false">""</f>
        <v/>
      </c>
      <c r="L863" s="2" t="str">
        <f aca="false">IF($G863="","","同時")</f>
        <v/>
      </c>
      <c r="M863" s="2" t="str">
        <f aca="false">IF($G863="","",IF(ISNA(MATCH($G863,個別指定!$A:$A,0)),"行なし",""))</f>
        <v/>
      </c>
      <c r="N863" s="2" t="str">
        <f aca="false">IF($G863="","",IF(COUNTIF($G$2:$G$4460,$G863)&gt;1,"重複",""))</f>
        <v/>
      </c>
    </row>
    <row r="864" customFormat="false" ht="16.5" hidden="false" customHeight="true" outlineLevel="0" collapsed="false">
      <c r="A864" s="2" t="s">
        <v>385</v>
      </c>
      <c r="B864" s="2" t="s">
        <v>402</v>
      </c>
      <c r="C864" s="2" t="s">
        <v>29</v>
      </c>
      <c r="D864" s="2" t="str">
        <f aca="false">IF(2キー同時!$B$214="","",2キー同時!$B$214)</f>
        <v/>
      </c>
      <c r="E864" s="2" t="str">
        <f aca="false">""</f>
        <v/>
      </c>
      <c r="F864" s="2" t="str">
        <f aca="false">""</f>
        <v/>
      </c>
      <c r="G864" s="2" t="str">
        <f aca="false">IF(2キー同時!$B$214="","",IF(2キー同時!AC220="","",SUBSTITUTE(SUBSTITUTE(2キー同時!AC220," ",""),"　","")))</f>
        <v/>
      </c>
      <c r="H864" s="2" t="str">
        <f aca="false">IF($G864="","",2キー同時!$B$214)</f>
        <v/>
      </c>
      <c r="I864" s="2" t="str">
        <f aca="false">IF($G864="","","h")</f>
        <v/>
      </c>
      <c r="J864" s="2" t="str">
        <f aca="false">""</f>
        <v/>
      </c>
      <c r="K864" s="2" t="str">
        <f aca="false">""</f>
        <v/>
      </c>
      <c r="L864" s="2" t="str">
        <f aca="false">IF($G864="","","同時")</f>
        <v/>
      </c>
      <c r="M864" s="2" t="str">
        <f aca="false">IF($G864="","",IF(ISNA(MATCH($G864,個別指定!$A:$A,0)),"行なし",""))</f>
        <v/>
      </c>
      <c r="N864" s="2" t="str">
        <f aca="false">IF($G864="","",IF(COUNTIF($G$2:$G$4460,$G864)&gt;1,"重複",""))</f>
        <v/>
      </c>
    </row>
    <row r="865" customFormat="false" ht="16.5" hidden="false" customHeight="true" outlineLevel="0" collapsed="false">
      <c r="A865" s="2" t="s">
        <v>385</v>
      </c>
      <c r="B865" s="2" t="s">
        <v>402</v>
      </c>
      <c r="C865" s="2" t="s">
        <v>30</v>
      </c>
      <c r="D865" s="2" t="str">
        <f aca="false">IF(2キー同時!$B$214="","",2キー同時!$B$214)</f>
        <v/>
      </c>
      <c r="E865" s="2" t="str">
        <f aca="false">""</f>
        <v/>
      </c>
      <c r="F865" s="2" t="str">
        <f aca="false">""</f>
        <v/>
      </c>
      <c r="G865" s="2" t="str">
        <f aca="false">IF(2キー同時!$B$214="","",IF(2キー同時!AG220="","",SUBSTITUTE(SUBSTITUTE(2キー同時!AG220," ",""),"　","")))</f>
        <v/>
      </c>
      <c r="H865" s="2" t="str">
        <f aca="false">IF($G865="","",2キー同時!$B$214)</f>
        <v/>
      </c>
      <c r="I865" s="2" t="str">
        <f aca="false">IF($G865="","","j")</f>
        <v/>
      </c>
      <c r="J865" s="2" t="str">
        <f aca="false">""</f>
        <v/>
      </c>
      <c r="K865" s="2" t="str">
        <f aca="false">""</f>
        <v/>
      </c>
      <c r="L865" s="2" t="str">
        <f aca="false">IF($G865="","","同時")</f>
        <v/>
      </c>
      <c r="M865" s="2" t="str">
        <f aca="false">IF($G865="","",IF(ISNA(MATCH($G865,個別指定!$A:$A,0)),"行なし",""))</f>
        <v/>
      </c>
      <c r="N865" s="2" t="str">
        <f aca="false">IF($G865="","",IF(COUNTIF($G$2:$G$4460,$G865)&gt;1,"重複",""))</f>
        <v/>
      </c>
    </row>
    <row r="866" customFormat="false" ht="16.5" hidden="false" customHeight="true" outlineLevel="0" collapsed="false">
      <c r="A866" s="2" t="s">
        <v>385</v>
      </c>
      <c r="B866" s="2" t="s">
        <v>402</v>
      </c>
      <c r="C866" s="2" t="s">
        <v>31</v>
      </c>
      <c r="D866" s="2" t="str">
        <f aca="false">IF(2キー同時!$B$214="","",2キー同時!$B$214)</f>
        <v/>
      </c>
      <c r="E866" s="2" t="str">
        <f aca="false">""</f>
        <v/>
      </c>
      <c r="F866" s="2" t="str">
        <f aca="false">""</f>
        <v/>
      </c>
      <c r="G866" s="2" t="str">
        <f aca="false">IF(2キー同時!$B$214="","",IF(2キー同時!AK220="","",SUBSTITUTE(SUBSTITUTE(2キー同時!AK220," ",""),"　","")))</f>
        <v/>
      </c>
      <c r="H866" s="2" t="str">
        <f aca="false">IF($G866="","",2キー同時!$B$214)</f>
        <v/>
      </c>
      <c r="I866" s="2" t="str">
        <f aca="false">IF($G866="","","k")</f>
        <v/>
      </c>
      <c r="J866" s="2" t="str">
        <f aca="false">""</f>
        <v/>
      </c>
      <c r="K866" s="2" t="str">
        <f aca="false">""</f>
        <v/>
      </c>
      <c r="L866" s="2" t="str">
        <f aca="false">IF($G866="","","同時")</f>
        <v/>
      </c>
      <c r="M866" s="2" t="str">
        <f aca="false">IF($G866="","",IF(ISNA(MATCH($G866,個別指定!$A:$A,0)),"行なし",""))</f>
        <v/>
      </c>
      <c r="N866" s="2" t="str">
        <f aca="false">IF($G866="","",IF(COUNTIF($G$2:$G$4460,$G866)&gt;1,"重複",""))</f>
        <v/>
      </c>
    </row>
    <row r="867" customFormat="false" ht="16.5" hidden="false" customHeight="true" outlineLevel="0" collapsed="false">
      <c r="A867" s="2" t="s">
        <v>385</v>
      </c>
      <c r="B867" s="2" t="s">
        <v>402</v>
      </c>
      <c r="C867" s="2" t="s">
        <v>32</v>
      </c>
      <c r="D867" s="2" t="str">
        <f aca="false">IF(2キー同時!$B$214="","",2キー同時!$B$214)</f>
        <v/>
      </c>
      <c r="E867" s="2" t="str">
        <f aca="false">""</f>
        <v/>
      </c>
      <c r="F867" s="2" t="str">
        <f aca="false">""</f>
        <v/>
      </c>
      <c r="G867" s="2" t="str">
        <f aca="false">IF(2キー同時!$B$214="","",IF(2キー同時!AO220="","",SUBSTITUTE(SUBSTITUTE(2キー同時!AO220," ",""),"　","")))</f>
        <v/>
      </c>
      <c r="H867" s="2" t="str">
        <f aca="false">IF($G867="","",2キー同時!$B$214)</f>
        <v/>
      </c>
      <c r="I867" s="2" t="str">
        <f aca="false">IF($G867="","","l")</f>
        <v/>
      </c>
      <c r="J867" s="2" t="str">
        <f aca="false">""</f>
        <v/>
      </c>
      <c r="K867" s="2" t="str">
        <f aca="false">""</f>
        <v/>
      </c>
      <c r="L867" s="2" t="str">
        <f aca="false">IF($G867="","","同時")</f>
        <v/>
      </c>
      <c r="M867" s="2" t="str">
        <f aca="false">IF($G867="","",IF(ISNA(MATCH($G867,個別指定!$A:$A,0)),"行なし",""))</f>
        <v/>
      </c>
      <c r="N867" s="2" t="str">
        <f aca="false">IF($G867="","",IF(COUNTIF($G$2:$G$4460,$G867)&gt;1,"重複",""))</f>
        <v/>
      </c>
    </row>
    <row r="868" customFormat="false" ht="16.5" hidden="false" customHeight="true" outlineLevel="0" collapsed="false">
      <c r="A868" s="2" t="s">
        <v>385</v>
      </c>
      <c r="B868" s="2" t="s">
        <v>402</v>
      </c>
      <c r="C868" s="2" t="s">
        <v>33</v>
      </c>
      <c r="D868" s="2" t="str">
        <f aca="false">IF(2キー同時!$B$214="","",2キー同時!$B$214)</f>
        <v/>
      </c>
      <c r="E868" s="2" t="str">
        <f aca="false">""</f>
        <v/>
      </c>
      <c r="F868" s="2" t="str">
        <f aca="false">""</f>
        <v/>
      </c>
      <c r="G868" s="2" t="str">
        <f aca="false">IF(2キー同時!$B$214="","",IF(2キー同時!AS220="","",SUBSTITUTE(SUBSTITUTE(2キー同時!AS220," ",""),"　","")))</f>
        <v/>
      </c>
      <c r="H868" s="2" t="str">
        <f aca="false">IF($G868="","",2キー同時!$B$214)</f>
        <v/>
      </c>
      <c r="I868" s="2" t="str">
        <f aca="false">IF($G868="","",";")</f>
        <v/>
      </c>
      <c r="J868" s="2" t="str">
        <f aca="false">""</f>
        <v/>
      </c>
      <c r="K868" s="2" t="str">
        <f aca="false">""</f>
        <v/>
      </c>
      <c r="L868" s="2" t="str">
        <f aca="false">IF($G868="","","同時")</f>
        <v/>
      </c>
      <c r="M868" s="2" t="str">
        <f aca="false">IF($G868="","",IF(ISNA(MATCH($G868,個別指定!$A:$A,0)),"行なし",""))</f>
        <v/>
      </c>
      <c r="N868" s="2" t="str">
        <f aca="false">IF($G868="","",IF(COUNTIF($G$2:$G$4460,$G868)&gt;1,"重複",""))</f>
        <v/>
      </c>
    </row>
    <row r="869" customFormat="false" ht="16.5" hidden="false" customHeight="true" outlineLevel="0" collapsed="false">
      <c r="A869" s="2" t="s">
        <v>385</v>
      </c>
      <c r="B869" s="2" t="s">
        <v>402</v>
      </c>
      <c r="C869" s="2" t="s">
        <v>34</v>
      </c>
      <c r="D869" s="2" t="str">
        <f aca="false">IF(2キー同時!$B$214="","",2キー同時!$B$214)</f>
        <v/>
      </c>
      <c r="E869" s="2" t="str">
        <f aca="false">""</f>
        <v/>
      </c>
      <c r="F869" s="2" t="str">
        <f aca="false">""</f>
        <v/>
      </c>
      <c r="G869" s="2" t="str">
        <f aca="false">IF(2キー同時!$B$214="","",IF(2キー同時!AW220="","",SUBSTITUTE(SUBSTITUTE(2キー同時!AW220," ",""),"　","")))</f>
        <v/>
      </c>
      <c r="H869" s="2" t="str">
        <f aca="false">IF($G869="","",2キー同時!$B$214)</f>
        <v/>
      </c>
      <c r="I869" s="2" t="str">
        <f aca="false">IF($G869="","","'")</f>
        <v/>
      </c>
      <c r="J869" s="2" t="str">
        <f aca="false">""</f>
        <v/>
      </c>
      <c r="K869" s="2" t="str">
        <f aca="false">""</f>
        <v/>
      </c>
      <c r="L869" s="2" t="str">
        <f aca="false">IF($G869="","","同時")</f>
        <v/>
      </c>
      <c r="M869" s="2" t="str">
        <f aca="false">IF($G869="","",IF(ISNA(MATCH($G869,個別指定!$A:$A,0)),"行なし",""))</f>
        <v/>
      </c>
      <c r="N869" s="2" t="str">
        <f aca="false">IF($G869="","",IF(COUNTIF($G$2:$G$4460,$G869)&gt;1,"重複",""))</f>
        <v/>
      </c>
    </row>
    <row r="870" customFormat="false" ht="16.5" hidden="false" customHeight="true" outlineLevel="0" collapsed="false">
      <c r="A870" s="2" t="s">
        <v>385</v>
      </c>
      <c r="B870" s="2" t="s">
        <v>402</v>
      </c>
      <c r="C870" s="2" t="s">
        <v>35</v>
      </c>
      <c r="D870" s="2" t="str">
        <f aca="false">IF(2キー同時!$B$214="","",2キー同時!$B$214)</f>
        <v/>
      </c>
      <c r="E870" s="2" t="str">
        <f aca="false">""</f>
        <v/>
      </c>
      <c r="F870" s="2" t="str">
        <f aca="false">""</f>
        <v/>
      </c>
      <c r="G870" s="2" t="str">
        <f aca="false">IF(2キー同時!$B$214="","",IF(2キー同時!K222="","",SUBSTITUTE(SUBSTITUTE(2キー同時!K222," ",""),"　","")))</f>
        <v/>
      </c>
      <c r="H870" s="2" t="str">
        <f aca="false">IF($G870="","",2キー同時!$B$214)</f>
        <v/>
      </c>
      <c r="I870" s="2" t="str">
        <f aca="false">IF($G870="","","z")</f>
        <v/>
      </c>
      <c r="J870" s="2" t="str">
        <f aca="false">""</f>
        <v/>
      </c>
      <c r="K870" s="2" t="str">
        <f aca="false">""</f>
        <v/>
      </c>
      <c r="L870" s="2" t="str">
        <f aca="false">IF($G870="","","同時")</f>
        <v/>
      </c>
      <c r="M870" s="2" t="str">
        <f aca="false">IF($G870="","",IF(ISNA(MATCH($G870,個別指定!$A:$A,0)),"行なし",""))</f>
        <v/>
      </c>
      <c r="N870" s="2" t="str">
        <f aca="false">IF($G870="","",IF(COUNTIF($G$2:$G$4460,$G870)&gt;1,"重複",""))</f>
        <v/>
      </c>
    </row>
    <row r="871" customFormat="false" ht="16.5" hidden="false" customHeight="true" outlineLevel="0" collapsed="false">
      <c r="A871" s="2" t="s">
        <v>385</v>
      </c>
      <c r="B871" s="2" t="s">
        <v>402</v>
      </c>
      <c r="C871" s="2" t="s">
        <v>36</v>
      </c>
      <c r="D871" s="2" t="str">
        <f aca="false">IF(2キー同時!$B$214="","",2キー同時!$B$214)</f>
        <v/>
      </c>
      <c r="E871" s="2" t="str">
        <f aca="false">""</f>
        <v/>
      </c>
      <c r="F871" s="2" t="str">
        <f aca="false">""</f>
        <v/>
      </c>
      <c r="G871" s="2" t="str">
        <f aca="false">IF(2キー同時!$B$214="","",IF(2キー同時!O222="","",SUBSTITUTE(SUBSTITUTE(2キー同時!O222," ",""),"　","")))</f>
        <v/>
      </c>
      <c r="H871" s="2" t="str">
        <f aca="false">IF($G871="","",2キー同時!$B$214)</f>
        <v/>
      </c>
      <c r="I871" s="2" t="str">
        <f aca="false">IF($G871="","","x")</f>
        <v/>
      </c>
      <c r="J871" s="2" t="str">
        <f aca="false">""</f>
        <v/>
      </c>
      <c r="K871" s="2" t="str">
        <f aca="false">""</f>
        <v/>
      </c>
      <c r="L871" s="2" t="str">
        <f aca="false">IF($G871="","","同時")</f>
        <v/>
      </c>
      <c r="M871" s="2" t="str">
        <f aca="false">IF($G871="","",IF(ISNA(MATCH($G871,個別指定!$A:$A,0)),"行なし",""))</f>
        <v/>
      </c>
      <c r="N871" s="2" t="str">
        <f aca="false">IF($G871="","",IF(COUNTIF($G$2:$G$4460,$G871)&gt;1,"重複",""))</f>
        <v/>
      </c>
    </row>
    <row r="872" customFormat="false" ht="16.5" hidden="false" customHeight="true" outlineLevel="0" collapsed="false">
      <c r="A872" s="2" t="s">
        <v>385</v>
      </c>
      <c r="B872" s="2" t="s">
        <v>402</v>
      </c>
      <c r="C872" s="2" t="s">
        <v>37</v>
      </c>
      <c r="D872" s="2" t="str">
        <f aca="false">IF(2キー同時!$B$214="","",2キー同時!$B$214)</f>
        <v/>
      </c>
      <c r="E872" s="2" t="str">
        <f aca="false">""</f>
        <v/>
      </c>
      <c r="F872" s="2" t="str">
        <f aca="false">""</f>
        <v/>
      </c>
      <c r="G872" s="2" t="str">
        <f aca="false">IF(2キー同時!$B$214="","",IF(2キー同時!S222="","",SUBSTITUTE(SUBSTITUTE(2キー同時!S222," ",""),"　","")))</f>
        <v/>
      </c>
      <c r="H872" s="2" t="str">
        <f aca="false">IF($G872="","",2キー同時!$B$214)</f>
        <v/>
      </c>
      <c r="I872" s="2" t="str">
        <f aca="false">IF($G872="","","c")</f>
        <v/>
      </c>
      <c r="J872" s="2" t="str">
        <f aca="false">""</f>
        <v/>
      </c>
      <c r="K872" s="2" t="str">
        <f aca="false">""</f>
        <v/>
      </c>
      <c r="L872" s="2" t="str">
        <f aca="false">IF($G872="","","同時")</f>
        <v/>
      </c>
      <c r="M872" s="2" t="str">
        <f aca="false">IF($G872="","",IF(ISNA(MATCH($G872,個別指定!$A:$A,0)),"行なし",""))</f>
        <v/>
      </c>
      <c r="N872" s="2" t="str">
        <f aca="false">IF($G872="","",IF(COUNTIF($G$2:$G$4460,$G872)&gt;1,"重複",""))</f>
        <v/>
      </c>
    </row>
    <row r="873" customFormat="false" ht="16.5" hidden="false" customHeight="true" outlineLevel="0" collapsed="false">
      <c r="A873" s="2" t="s">
        <v>385</v>
      </c>
      <c r="B873" s="2" t="s">
        <v>402</v>
      </c>
      <c r="C873" s="2" t="s">
        <v>38</v>
      </c>
      <c r="D873" s="2" t="str">
        <f aca="false">IF(2キー同時!$B$214="","",2キー同時!$B$214)</f>
        <v/>
      </c>
      <c r="E873" s="2" t="str">
        <f aca="false">""</f>
        <v/>
      </c>
      <c r="F873" s="2" t="str">
        <f aca="false">""</f>
        <v/>
      </c>
      <c r="G873" s="2" t="str">
        <f aca="false">IF(2キー同時!$B$214="","",IF(2キー同時!W222="","",SUBSTITUTE(SUBSTITUTE(2キー同時!W222," ",""),"　","")))</f>
        <v/>
      </c>
      <c r="H873" s="2" t="str">
        <f aca="false">IF($G873="","",2キー同時!$B$214)</f>
        <v/>
      </c>
      <c r="I873" s="2" t="str">
        <f aca="false">IF($G873="","","v")</f>
        <v/>
      </c>
      <c r="J873" s="2" t="str">
        <f aca="false">""</f>
        <v/>
      </c>
      <c r="K873" s="2" t="str">
        <f aca="false">""</f>
        <v/>
      </c>
      <c r="L873" s="2" t="str">
        <f aca="false">IF($G873="","","同時")</f>
        <v/>
      </c>
      <c r="M873" s="2" t="str">
        <f aca="false">IF($G873="","",IF(ISNA(MATCH($G873,個別指定!$A:$A,0)),"行なし",""))</f>
        <v/>
      </c>
      <c r="N873" s="2" t="str">
        <f aca="false">IF($G873="","",IF(COUNTIF($G$2:$G$4460,$G873)&gt;1,"重複",""))</f>
        <v/>
      </c>
    </row>
    <row r="874" customFormat="false" ht="16.5" hidden="false" customHeight="true" outlineLevel="0" collapsed="false">
      <c r="A874" s="2" t="s">
        <v>385</v>
      </c>
      <c r="B874" s="2" t="s">
        <v>402</v>
      </c>
      <c r="C874" s="2" t="s">
        <v>39</v>
      </c>
      <c r="D874" s="2" t="str">
        <f aca="false">IF(2キー同時!$B$214="","",2キー同時!$B$214)</f>
        <v/>
      </c>
      <c r="E874" s="2" t="str">
        <f aca="false">""</f>
        <v/>
      </c>
      <c r="F874" s="2" t="str">
        <f aca="false">""</f>
        <v/>
      </c>
      <c r="G874" s="2" t="str">
        <f aca="false">IF(2キー同時!$B$214="","",IF(2キー同時!AA222="","",SUBSTITUTE(SUBSTITUTE(2キー同時!AA222," ",""),"　","")))</f>
        <v/>
      </c>
      <c r="H874" s="2" t="str">
        <f aca="false">IF($G874="","",2キー同時!$B$214)</f>
        <v/>
      </c>
      <c r="I874" s="2" t="str">
        <f aca="false">IF($G874="","","b")</f>
        <v/>
      </c>
      <c r="J874" s="2" t="str">
        <f aca="false">""</f>
        <v/>
      </c>
      <c r="K874" s="2" t="str">
        <f aca="false">""</f>
        <v/>
      </c>
      <c r="L874" s="2" t="str">
        <f aca="false">IF($G874="","","同時")</f>
        <v/>
      </c>
      <c r="M874" s="2" t="str">
        <f aca="false">IF($G874="","",IF(ISNA(MATCH($G874,個別指定!$A:$A,0)),"行なし",""))</f>
        <v/>
      </c>
      <c r="N874" s="2" t="str">
        <f aca="false">IF($G874="","",IF(COUNTIF($G$2:$G$4460,$G874)&gt;1,"重複",""))</f>
        <v/>
      </c>
    </row>
    <row r="875" customFormat="false" ht="16.5" hidden="false" customHeight="true" outlineLevel="0" collapsed="false">
      <c r="A875" s="2" t="s">
        <v>385</v>
      </c>
      <c r="B875" s="2" t="s">
        <v>402</v>
      </c>
      <c r="C875" s="2" t="s">
        <v>40</v>
      </c>
      <c r="D875" s="2" t="str">
        <f aca="false">IF(2キー同時!$B$214="","",2キー同時!$B$214)</f>
        <v/>
      </c>
      <c r="E875" s="2" t="str">
        <f aca="false">""</f>
        <v/>
      </c>
      <c r="F875" s="2" t="str">
        <f aca="false">""</f>
        <v/>
      </c>
      <c r="G875" s="2" t="str">
        <f aca="false">IF(2キー同時!$B$214="","",IF(2キー同時!AE222="","",SUBSTITUTE(SUBSTITUTE(2キー同時!AE222," ",""),"　","")))</f>
        <v/>
      </c>
      <c r="H875" s="2" t="str">
        <f aca="false">IF($G875="","",2キー同時!$B$214)</f>
        <v/>
      </c>
      <c r="I875" s="2" t="str">
        <f aca="false">IF($G875="","","n")</f>
        <v/>
      </c>
      <c r="J875" s="2" t="str">
        <f aca="false">""</f>
        <v/>
      </c>
      <c r="K875" s="2" t="str">
        <f aca="false">""</f>
        <v/>
      </c>
      <c r="L875" s="2" t="str">
        <f aca="false">IF($G875="","","同時")</f>
        <v/>
      </c>
      <c r="M875" s="2" t="str">
        <f aca="false">IF($G875="","",IF(ISNA(MATCH($G875,個別指定!$A:$A,0)),"行なし",""))</f>
        <v/>
      </c>
      <c r="N875" s="2" t="str">
        <f aca="false">IF($G875="","",IF(COUNTIF($G$2:$G$4460,$G875)&gt;1,"重複",""))</f>
        <v/>
      </c>
    </row>
    <row r="876" customFormat="false" ht="16.5" hidden="false" customHeight="true" outlineLevel="0" collapsed="false">
      <c r="A876" s="2" t="s">
        <v>385</v>
      </c>
      <c r="B876" s="2" t="s">
        <v>402</v>
      </c>
      <c r="C876" s="2" t="s">
        <v>41</v>
      </c>
      <c r="D876" s="2" t="str">
        <f aca="false">IF(2キー同時!$B$214="","",2キー同時!$B$214)</f>
        <v/>
      </c>
      <c r="E876" s="2" t="str">
        <f aca="false">""</f>
        <v/>
      </c>
      <c r="F876" s="2" t="str">
        <f aca="false">""</f>
        <v/>
      </c>
      <c r="G876" s="2" t="str">
        <f aca="false">IF(2キー同時!$B$214="","",IF(2キー同時!AI222="","",SUBSTITUTE(SUBSTITUTE(2キー同時!AI222," ",""),"　","")))</f>
        <v/>
      </c>
      <c r="H876" s="2" t="str">
        <f aca="false">IF($G876="","",2キー同時!$B$214)</f>
        <v/>
      </c>
      <c r="I876" s="2" t="str">
        <f aca="false">IF($G876="","","m")</f>
        <v/>
      </c>
      <c r="J876" s="2" t="str">
        <f aca="false">""</f>
        <v/>
      </c>
      <c r="K876" s="2" t="str">
        <f aca="false">""</f>
        <v/>
      </c>
      <c r="L876" s="2" t="str">
        <f aca="false">IF($G876="","","同時")</f>
        <v/>
      </c>
      <c r="M876" s="2" t="str">
        <f aca="false">IF($G876="","",IF(ISNA(MATCH($G876,個別指定!$A:$A,0)),"行なし",""))</f>
        <v/>
      </c>
      <c r="N876" s="2" t="str">
        <f aca="false">IF($G876="","",IF(COUNTIF($G$2:$G$4460,$G876)&gt;1,"重複",""))</f>
        <v/>
      </c>
    </row>
    <row r="877" customFormat="false" ht="16.5" hidden="false" customHeight="true" outlineLevel="0" collapsed="false">
      <c r="A877" s="2" t="s">
        <v>385</v>
      </c>
      <c r="B877" s="2" t="s">
        <v>402</v>
      </c>
      <c r="C877" s="2" t="s">
        <v>42</v>
      </c>
      <c r="D877" s="2" t="str">
        <f aca="false">IF(2キー同時!$B$214="","",2キー同時!$B$214)</f>
        <v/>
      </c>
      <c r="E877" s="2" t="str">
        <f aca="false">""</f>
        <v/>
      </c>
      <c r="F877" s="2" t="str">
        <f aca="false">""</f>
        <v/>
      </c>
      <c r="G877" s="2" t="str">
        <f aca="false">IF(2キー同時!$B$214="","",IF(2キー同時!AM222="","",SUBSTITUTE(SUBSTITUTE(2キー同時!AM222," ",""),"　","")))</f>
        <v/>
      </c>
      <c r="H877" s="2" t="str">
        <f aca="false">IF($G877="","",2キー同時!$B$214)</f>
        <v/>
      </c>
      <c r="I877" s="2" t="str">
        <f aca="false">IF($G877="","",",")</f>
        <v/>
      </c>
      <c r="J877" s="2" t="str">
        <f aca="false">""</f>
        <v/>
      </c>
      <c r="K877" s="2" t="str">
        <f aca="false">""</f>
        <v/>
      </c>
      <c r="L877" s="2" t="str">
        <f aca="false">IF($G877="","","同時")</f>
        <v/>
      </c>
      <c r="M877" s="2" t="str">
        <f aca="false">IF($G877="","",IF(ISNA(MATCH($G877,個別指定!$A:$A,0)),"行なし",""))</f>
        <v/>
      </c>
      <c r="N877" s="2" t="str">
        <f aca="false">IF($G877="","",IF(COUNTIF($G$2:$G$4460,$G877)&gt;1,"重複",""))</f>
        <v/>
      </c>
    </row>
    <row r="878" customFormat="false" ht="16.5" hidden="false" customHeight="true" outlineLevel="0" collapsed="false">
      <c r="A878" s="2" t="s">
        <v>385</v>
      </c>
      <c r="B878" s="2" t="s">
        <v>402</v>
      </c>
      <c r="C878" s="2" t="s">
        <v>43</v>
      </c>
      <c r="D878" s="2" t="str">
        <f aca="false">IF(2キー同時!$B$214="","",2キー同時!$B$214)</f>
        <v/>
      </c>
      <c r="E878" s="2" t="str">
        <f aca="false">""</f>
        <v/>
      </c>
      <c r="F878" s="2" t="str">
        <f aca="false">""</f>
        <v/>
      </c>
      <c r="G878" s="2" t="str">
        <f aca="false">IF(2キー同時!$B$214="","",IF(2キー同時!AQ222="","",SUBSTITUTE(SUBSTITUTE(2キー同時!AQ222," ",""),"　","")))</f>
        <v/>
      </c>
      <c r="H878" s="2" t="str">
        <f aca="false">IF($G878="","",2キー同時!$B$214)</f>
        <v/>
      </c>
      <c r="I878" s="2" t="str">
        <f aca="false">IF($G878="","",".")</f>
        <v/>
      </c>
      <c r="J878" s="2" t="str">
        <f aca="false">""</f>
        <v/>
      </c>
      <c r="K878" s="2" t="str">
        <f aca="false">""</f>
        <v/>
      </c>
      <c r="L878" s="2" t="str">
        <f aca="false">IF($G878="","","同時")</f>
        <v/>
      </c>
      <c r="M878" s="2" t="str">
        <f aca="false">IF($G878="","",IF(ISNA(MATCH($G878,個別指定!$A:$A,0)),"行なし",""))</f>
        <v/>
      </c>
      <c r="N878" s="2" t="str">
        <f aca="false">IF($G878="","",IF(COUNTIF($G$2:$G$4460,$G878)&gt;1,"重複",""))</f>
        <v/>
      </c>
    </row>
    <row r="879" customFormat="false" ht="16.5" hidden="false" customHeight="true" outlineLevel="0" collapsed="false">
      <c r="A879" s="2" t="s">
        <v>385</v>
      </c>
      <c r="B879" s="2" t="s">
        <v>402</v>
      </c>
      <c r="C879" s="2" t="s">
        <v>44</v>
      </c>
      <c r="D879" s="2" t="str">
        <f aca="false">IF(2キー同時!$B$214="","",2キー同時!$B$214)</f>
        <v/>
      </c>
      <c r="E879" s="2" t="str">
        <f aca="false">""</f>
        <v/>
      </c>
      <c r="F879" s="2" t="str">
        <f aca="false">""</f>
        <v/>
      </c>
      <c r="G879" s="2" t="str">
        <f aca="false">IF(2キー同時!$B$214="","",IF(2キー同時!AU222="","",SUBSTITUTE(SUBSTITUTE(2キー同時!AU222," ",""),"　","")))</f>
        <v/>
      </c>
      <c r="H879" s="2" t="str">
        <f aca="false">IF($G879="","",2キー同時!$B$214)</f>
        <v/>
      </c>
      <c r="I879" s="2" t="str">
        <f aca="false">IF($G879="","","/")</f>
        <v/>
      </c>
      <c r="J879" s="2" t="str">
        <f aca="false">""</f>
        <v/>
      </c>
      <c r="K879" s="2" t="str">
        <f aca="false">""</f>
        <v/>
      </c>
      <c r="L879" s="2" t="str">
        <f aca="false">IF($G879="","","同時")</f>
        <v/>
      </c>
      <c r="M879" s="2" t="str">
        <f aca="false">IF($G879="","",IF(ISNA(MATCH($G879,個別指定!$A:$A,0)),"行なし",""))</f>
        <v/>
      </c>
      <c r="N879" s="2" t="str">
        <f aca="false">IF($G879="","",IF(COUNTIF($G$2:$G$4460,$G879)&gt;1,"重複",""))</f>
        <v/>
      </c>
    </row>
    <row r="880" customFormat="false" ht="16.5" hidden="false" customHeight="true" outlineLevel="0" collapsed="false">
      <c r="A880" s="2" t="s">
        <v>385</v>
      </c>
      <c r="B880" s="2" t="s">
        <v>402</v>
      </c>
      <c r="C880" s="2" t="s">
        <v>48</v>
      </c>
      <c r="D880" s="2" t="str">
        <f aca="false">IF(2キー同時!$B$214="","",2キー同時!$B$214)</f>
        <v/>
      </c>
      <c r="E880" s="2" t="str">
        <f aca="false">""</f>
        <v/>
      </c>
      <c r="F880" s="2" t="str">
        <f aca="false">""</f>
        <v/>
      </c>
      <c r="G880" s="2" t="str">
        <f aca="false">IF(2キー同時!$B$214="","",IF(2キー同時!P224="","",SUBSTITUTE(SUBSTITUTE(2キー同時!P224," ",""),"　","")))</f>
        <v/>
      </c>
      <c r="H880" s="2" t="str">
        <f aca="false">IF($G880="","",2キー同時!$B$214)</f>
        <v/>
      </c>
      <c r="I880" s="2" t="str">
        <f aca="false">IF($G880="","","muhenkan")</f>
        <v/>
      </c>
      <c r="J880" s="2" t="str">
        <f aca="false">""</f>
        <v/>
      </c>
      <c r="K880" s="2" t="str">
        <f aca="false">""</f>
        <v/>
      </c>
      <c r="L880" s="2" t="str">
        <f aca="false">IF($G880="","","同時")</f>
        <v/>
      </c>
      <c r="M880" s="2" t="str">
        <f aca="false">IF($G880="","",IF(ISNA(MATCH($G880,個別指定!$A:$A,0)),"行なし",""))</f>
        <v/>
      </c>
      <c r="N880" s="2" t="str">
        <f aca="false">IF($G880="","",IF(COUNTIF($G$2:$G$4460,$G880)&gt;1,"重複",""))</f>
        <v/>
      </c>
    </row>
    <row r="881" customFormat="false" ht="16.5" hidden="false" customHeight="true" outlineLevel="0" collapsed="false">
      <c r="A881" s="2" t="s">
        <v>385</v>
      </c>
      <c r="B881" s="2" t="s">
        <v>402</v>
      </c>
      <c r="C881" s="2" t="s">
        <v>50</v>
      </c>
      <c r="D881" s="2" t="str">
        <f aca="false">IF(2キー同時!$B$214="","",2キー同時!$B$214)</f>
        <v/>
      </c>
      <c r="E881" s="2" t="str">
        <f aca="false">""</f>
        <v/>
      </c>
      <c r="F881" s="2" t="str">
        <f aca="false">""</f>
        <v/>
      </c>
      <c r="G881" s="2" t="str">
        <f aca="false">IF(2キー同時!$B$214="","",IF(2キー同時!T224="","",SUBSTITUTE(SUBSTITUTE(2キー同時!T224," ",""),"　","")))</f>
        <v/>
      </c>
      <c r="H881" s="2" t="str">
        <f aca="false">IF($G881="","",2キー同時!$B$214)</f>
        <v/>
      </c>
      <c r="I881" s="2" t="str">
        <f aca="false">IF($G881="","","space")</f>
        <v/>
      </c>
      <c r="J881" s="2" t="str">
        <f aca="false">""</f>
        <v/>
      </c>
      <c r="K881" s="2" t="str">
        <f aca="false">""</f>
        <v/>
      </c>
      <c r="L881" s="2" t="str">
        <f aca="false">IF($G881="","","同時")</f>
        <v/>
      </c>
      <c r="M881" s="2" t="str">
        <f aca="false">IF($G881="","",IF(ISNA(MATCH($G881,個別指定!$A:$A,0)),"行なし",""))</f>
        <v/>
      </c>
      <c r="N881" s="2" t="str">
        <f aca="false">IF($G881="","",IF(COUNTIF($G$2:$G$4460,$G881)&gt;1,"重複",""))</f>
        <v/>
      </c>
    </row>
    <row r="882" customFormat="false" ht="16.5" hidden="false" customHeight="true" outlineLevel="0" collapsed="false">
      <c r="A882" s="2" t="s">
        <v>385</v>
      </c>
      <c r="B882" s="2" t="s">
        <v>402</v>
      </c>
      <c r="C882" s="2" t="s">
        <v>45</v>
      </c>
      <c r="D882" s="2" t="str">
        <f aca="false">IF(2キー同時!$B$214="","",2キー同時!$B$214)</f>
        <v/>
      </c>
      <c r="E882" s="2" t="str">
        <f aca="false">""</f>
        <v/>
      </c>
      <c r="F882" s="2" t="str">
        <f aca="false">""</f>
        <v/>
      </c>
      <c r="G882" s="2" t="str">
        <f aca="false">IF(2キー同時!$B$214="","",IF(2キー同時!AL224="","",SUBSTITUTE(SUBSTITUTE(2キー同時!AL224," ",""),"　","")))</f>
        <v/>
      </c>
      <c r="H882" s="2" t="str">
        <f aca="false">IF($G882="","",2キー同時!$B$214)</f>
        <v/>
      </c>
      <c r="I882" s="2" t="str">
        <f aca="false">IF($G882="","","henkan")</f>
        <v/>
      </c>
      <c r="J882" s="2" t="str">
        <f aca="false">""</f>
        <v/>
      </c>
      <c r="K882" s="2" t="str">
        <f aca="false">""</f>
        <v/>
      </c>
      <c r="L882" s="2" t="str">
        <f aca="false">IF($G882="","","同時")</f>
        <v/>
      </c>
      <c r="M882" s="2" t="str">
        <f aca="false">IF($G882="","",IF(ISNA(MATCH($G882,個別指定!$A:$A,0)),"行なし",""))</f>
        <v/>
      </c>
      <c r="N882" s="2" t="str">
        <f aca="false">IF($G882="","",IF(COUNTIF($G$2:$G$4460,$G882)&gt;1,"重複",""))</f>
        <v/>
      </c>
    </row>
    <row r="883" customFormat="false" ht="16.5" hidden="false" customHeight="true" outlineLevel="0" collapsed="false">
      <c r="A883" s="2" t="s">
        <v>385</v>
      </c>
      <c r="B883" s="2" t="s">
        <v>402</v>
      </c>
      <c r="C883" s="2" t="s">
        <v>46</v>
      </c>
      <c r="D883" s="2" t="str">
        <f aca="false">IF(2キー同時!$B$214="","",2キー同時!$B$214)</f>
        <v/>
      </c>
      <c r="E883" s="2" t="str">
        <f aca="false">""</f>
        <v/>
      </c>
      <c r="F883" s="2" t="str">
        <f aca="false">""</f>
        <v/>
      </c>
      <c r="G883" s="2" t="str">
        <f aca="false">IF(2キー同時!$B$214="","",IF(2キー同時!AP224="","",SUBSTITUTE(SUBSTITUTE(2キー同時!AP224," ",""),"　","")))</f>
        <v/>
      </c>
      <c r="H883" s="2" t="str">
        <f aca="false">IF($G883="","",2キー同時!$B$214)</f>
        <v/>
      </c>
      <c r="I883" s="2" t="str">
        <f aca="false">IF($G883="","","kana")</f>
        <v/>
      </c>
      <c r="J883" s="2" t="str">
        <f aca="false">""</f>
        <v/>
      </c>
      <c r="K883" s="2" t="str">
        <f aca="false">""</f>
        <v/>
      </c>
      <c r="L883" s="2" t="str">
        <f aca="false">IF($G883="","","同時")</f>
        <v/>
      </c>
      <c r="M883" s="2" t="str">
        <f aca="false">IF($G883="","",IF(ISNA(MATCH($G883,個別指定!$A:$A,0)),"行なし",""))</f>
        <v/>
      </c>
      <c r="N883" s="2" t="str">
        <f aca="false">IF($G883="","",IF(COUNTIF($G$2:$G$4460,$G883)&gt;1,"重複",""))</f>
        <v/>
      </c>
    </row>
    <row r="884" customFormat="false" ht="16.5" hidden="false" customHeight="true" outlineLevel="0" collapsed="false">
      <c r="A884" s="2" t="s">
        <v>385</v>
      </c>
      <c r="B884" s="2" t="s">
        <v>403</v>
      </c>
      <c r="C884" s="2" t="s">
        <v>0</v>
      </c>
      <c r="D884" s="2" t="str">
        <f aca="false">IF(2キー同時!$B$227="","",2キー同時!$B$227)</f>
        <v/>
      </c>
      <c r="E884" s="2" t="str">
        <f aca="false">""</f>
        <v/>
      </c>
      <c r="F884" s="2" t="str">
        <f aca="false">""</f>
        <v/>
      </c>
      <c r="G884" s="2" t="str">
        <f aca="false">IF(2キー同時!$B$227="","",IF(2キー同時!F229="","",SUBSTITUTE(SUBSTITUTE(2キー同時!F229," ",""),"　","")))</f>
        <v/>
      </c>
      <c r="H884" s="2" t="str">
        <f aca="false">IF($G884="","",2キー同時!$B$227)</f>
        <v/>
      </c>
      <c r="I884" s="2" t="str">
        <f aca="false">IF($G884="","","1")</f>
        <v/>
      </c>
      <c r="J884" s="2" t="str">
        <f aca="false">""</f>
        <v/>
      </c>
      <c r="K884" s="2" t="str">
        <f aca="false">""</f>
        <v/>
      </c>
      <c r="L884" s="2" t="str">
        <f aca="false">IF($G884="","","同時")</f>
        <v/>
      </c>
      <c r="M884" s="2" t="str">
        <f aca="false">IF($G884="","",IF(ISNA(MATCH($G884,個別指定!$A:$A,0)),"行なし",""))</f>
        <v/>
      </c>
      <c r="N884" s="2" t="str">
        <f aca="false">IF($G884="","",IF(COUNTIF($G$2:$G$4460,$G884)&gt;1,"重複",""))</f>
        <v/>
      </c>
    </row>
    <row r="885" customFormat="false" ht="16.5" hidden="false" customHeight="true" outlineLevel="0" collapsed="false">
      <c r="A885" s="2" t="s">
        <v>385</v>
      </c>
      <c r="B885" s="2" t="s">
        <v>403</v>
      </c>
      <c r="C885" s="2" t="s">
        <v>1</v>
      </c>
      <c r="D885" s="2" t="str">
        <f aca="false">IF(2キー同時!$B$227="","",2キー同時!$B$227)</f>
        <v/>
      </c>
      <c r="E885" s="2" t="str">
        <f aca="false">""</f>
        <v/>
      </c>
      <c r="F885" s="2" t="str">
        <f aca="false">""</f>
        <v/>
      </c>
      <c r="G885" s="2" t="str">
        <f aca="false">IF(2キー同時!$B$227="","",IF(2キー同時!J229="","",SUBSTITUTE(SUBSTITUTE(2キー同時!J229," ",""),"　","")))</f>
        <v/>
      </c>
      <c r="H885" s="2" t="str">
        <f aca="false">IF($G885="","",2キー同時!$B$227)</f>
        <v/>
      </c>
      <c r="I885" s="2" t="str">
        <f aca="false">IF($G885="","","2")</f>
        <v/>
      </c>
      <c r="J885" s="2" t="str">
        <f aca="false">""</f>
        <v/>
      </c>
      <c r="K885" s="2" t="str">
        <f aca="false">""</f>
        <v/>
      </c>
      <c r="L885" s="2" t="str">
        <f aca="false">IF($G885="","","同時")</f>
        <v/>
      </c>
      <c r="M885" s="2" t="str">
        <f aca="false">IF($G885="","",IF(ISNA(MATCH($G885,個別指定!$A:$A,0)),"行なし",""))</f>
        <v/>
      </c>
      <c r="N885" s="2" t="str">
        <f aca="false">IF($G885="","",IF(COUNTIF($G$2:$G$4460,$G885)&gt;1,"重複",""))</f>
        <v/>
      </c>
    </row>
    <row r="886" customFormat="false" ht="16.5" hidden="false" customHeight="true" outlineLevel="0" collapsed="false">
      <c r="A886" s="2" t="s">
        <v>385</v>
      </c>
      <c r="B886" s="2" t="s">
        <v>403</v>
      </c>
      <c r="C886" s="2" t="s">
        <v>2</v>
      </c>
      <c r="D886" s="2" t="str">
        <f aca="false">IF(2キー同時!$B$227="","",2キー同時!$B$227)</f>
        <v/>
      </c>
      <c r="E886" s="2" t="str">
        <f aca="false">""</f>
        <v/>
      </c>
      <c r="F886" s="2" t="str">
        <f aca="false">""</f>
        <v/>
      </c>
      <c r="G886" s="2" t="str">
        <f aca="false">IF(2キー同時!$B$227="","",IF(2キー同時!N229="","",SUBSTITUTE(SUBSTITUTE(2キー同時!N229," ",""),"　","")))</f>
        <v/>
      </c>
      <c r="H886" s="2" t="str">
        <f aca="false">IF($G886="","",2キー同時!$B$227)</f>
        <v/>
      </c>
      <c r="I886" s="2" t="str">
        <f aca="false">IF($G886="","","3")</f>
        <v/>
      </c>
      <c r="J886" s="2" t="str">
        <f aca="false">""</f>
        <v/>
      </c>
      <c r="K886" s="2" t="str">
        <f aca="false">""</f>
        <v/>
      </c>
      <c r="L886" s="2" t="str">
        <f aca="false">IF($G886="","","同時")</f>
        <v/>
      </c>
      <c r="M886" s="2" t="str">
        <f aca="false">IF($G886="","",IF(ISNA(MATCH($G886,個別指定!$A:$A,0)),"行なし",""))</f>
        <v/>
      </c>
      <c r="N886" s="2" t="str">
        <f aca="false">IF($G886="","",IF(COUNTIF($G$2:$G$4460,$G886)&gt;1,"重複",""))</f>
        <v/>
      </c>
    </row>
    <row r="887" customFormat="false" ht="16.5" hidden="false" customHeight="true" outlineLevel="0" collapsed="false">
      <c r="A887" s="2" t="s">
        <v>385</v>
      </c>
      <c r="B887" s="2" t="s">
        <v>403</v>
      </c>
      <c r="C887" s="2" t="s">
        <v>3</v>
      </c>
      <c r="D887" s="2" t="str">
        <f aca="false">IF(2キー同時!$B$227="","",2キー同時!$B$227)</f>
        <v/>
      </c>
      <c r="E887" s="2" t="str">
        <f aca="false">""</f>
        <v/>
      </c>
      <c r="F887" s="2" t="str">
        <f aca="false">""</f>
        <v/>
      </c>
      <c r="G887" s="2" t="str">
        <f aca="false">IF(2キー同時!$B$227="","",IF(2キー同時!R229="","",SUBSTITUTE(SUBSTITUTE(2キー同時!R229," ",""),"　","")))</f>
        <v/>
      </c>
      <c r="H887" s="2" t="str">
        <f aca="false">IF($G887="","",2キー同時!$B$227)</f>
        <v/>
      </c>
      <c r="I887" s="2" t="str">
        <f aca="false">IF($G887="","","4")</f>
        <v/>
      </c>
      <c r="J887" s="2" t="str">
        <f aca="false">""</f>
        <v/>
      </c>
      <c r="K887" s="2" t="str">
        <f aca="false">""</f>
        <v/>
      </c>
      <c r="L887" s="2" t="str">
        <f aca="false">IF($G887="","","同時")</f>
        <v/>
      </c>
      <c r="M887" s="2" t="str">
        <f aca="false">IF($G887="","",IF(ISNA(MATCH($G887,個別指定!$A:$A,0)),"行なし",""))</f>
        <v/>
      </c>
      <c r="N887" s="2" t="str">
        <f aca="false">IF($G887="","",IF(COUNTIF($G$2:$G$4460,$G887)&gt;1,"重複",""))</f>
        <v/>
      </c>
    </row>
    <row r="888" customFormat="false" ht="16.5" hidden="false" customHeight="true" outlineLevel="0" collapsed="false">
      <c r="A888" s="2" t="s">
        <v>385</v>
      </c>
      <c r="B888" s="2" t="s">
        <v>403</v>
      </c>
      <c r="C888" s="2" t="s">
        <v>4</v>
      </c>
      <c r="D888" s="2" t="str">
        <f aca="false">IF(2キー同時!$B$227="","",2キー同時!$B$227)</f>
        <v/>
      </c>
      <c r="E888" s="2" t="str">
        <f aca="false">""</f>
        <v/>
      </c>
      <c r="F888" s="2" t="str">
        <f aca="false">""</f>
        <v/>
      </c>
      <c r="G888" s="2" t="str">
        <f aca="false">IF(2キー同時!$B$227="","",IF(2キー同時!V229="","",SUBSTITUTE(SUBSTITUTE(2キー同時!V229," ",""),"　","")))</f>
        <v/>
      </c>
      <c r="H888" s="2" t="str">
        <f aca="false">IF($G888="","",2キー同時!$B$227)</f>
        <v/>
      </c>
      <c r="I888" s="2" t="str">
        <f aca="false">IF($G888="","","5")</f>
        <v/>
      </c>
      <c r="J888" s="2" t="str">
        <f aca="false">""</f>
        <v/>
      </c>
      <c r="K888" s="2" t="str">
        <f aca="false">""</f>
        <v/>
      </c>
      <c r="L888" s="2" t="str">
        <f aca="false">IF($G888="","","同時")</f>
        <v/>
      </c>
      <c r="M888" s="2" t="str">
        <f aca="false">IF($G888="","",IF(ISNA(MATCH($G888,個別指定!$A:$A,0)),"行なし",""))</f>
        <v/>
      </c>
      <c r="N888" s="2" t="str">
        <f aca="false">IF($G888="","",IF(COUNTIF($G$2:$G$4460,$G888)&gt;1,"重複",""))</f>
        <v/>
      </c>
    </row>
    <row r="889" customFormat="false" ht="16.5" hidden="false" customHeight="true" outlineLevel="0" collapsed="false">
      <c r="A889" s="2" t="s">
        <v>385</v>
      </c>
      <c r="B889" s="2" t="s">
        <v>403</v>
      </c>
      <c r="C889" s="2" t="s">
        <v>5</v>
      </c>
      <c r="D889" s="2" t="str">
        <f aca="false">IF(2キー同時!$B$227="","",2キー同時!$B$227)</f>
        <v/>
      </c>
      <c r="E889" s="2" t="str">
        <f aca="false">""</f>
        <v/>
      </c>
      <c r="F889" s="2" t="str">
        <f aca="false">""</f>
        <v/>
      </c>
      <c r="G889" s="2" t="str">
        <f aca="false">IF(2キー同時!$B$227="","",IF(2キー同時!Z229="","",SUBSTITUTE(SUBSTITUTE(2キー同時!Z229," ",""),"　","")))</f>
        <v/>
      </c>
      <c r="H889" s="2" t="str">
        <f aca="false">IF($G889="","",2キー同時!$B$227)</f>
        <v/>
      </c>
      <c r="I889" s="2" t="str">
        <f aca="false">IF($G889="","","6")</f>
        <v/>
      </c>
      <c r="J889" s="2" t="str">
        <f aca="false">""</f>
        <v/>
      </c>
      <c r="K889" s="2" t="str">
        <f aca="false">""</f>
        <v/>
      </c>
      <c r="L889" s="2" t="str">
        <f aca="false">IF($G889="","","同時")</f>
        <v/>
      </c>
      <c r="M889" s="2" t="str">
        <f aca="false">IF($G889="","",IF(ISNA(MATCH($G889,個別指定!$A:$A,0)),"行なし",""))</f>
        <v/>
      </c>
      <c r="N889" s="2" t="str">
        <f aca="false">IF($G889="","",IF(COUNTIF($G$2:$G$4460,$G889)&gt;1,"重複",""))</f>
        <v/>
      </c>
    </row>
    <row r="890" customFormat="false" ht="16.5" hidden="false" customHeight="true" outlineLevel="0" collapsed="false">
      <c r="A890" s="2" t="s">
        <v>385</v>
      </c>
      <c r="B890" s="2" t="s">
        <v>403</v>
      </c>
      <c r="C890" s="2" t="s">
        <v>6</v>
      </c>
      <c r="D890" s="2" t="str">
        <f aca="false">IF(2キー同時!$B$227="","",2キー同時!$B$227)</f>
        <v/>
      </c>
      <c r="E890" s="2" t="str">
        <f aca="false">""</f>
        <v/>
      </c>
      <c r="F890" s="2" t="str">
        <f aca="false">""</f>
        <v/>
      </c>
      <c r="G890" s="2" t="str">
        <f aca="false">IF(2キー同時!$B$227="","",IF(2キー同時!AD229="","",SUBSTITUTE(SUBSTITUTE(2キー同時!AD229," ",""),"　","")))</f>
        <v/>
      </c>
      <c r="H890" s="2" t="str">
        <f aca="false">IF($G890="","",2キー同時!$B$227)</f>
        <v/>
      </c>
      <c r="I890" s="2" t="str">
        <f aca="false">IF($G890="","","7")</f>
        <v/>
      </c>
      <c r="J890" s="2" t="str">
        <f aca="false">""</f>
        <v/>
      </c>
      <c r="K890" s="2" t="str">
        <f aca="false">""</f>
        <v/>
      </c>
      <c r="L890" s="2" t="str">
        <f aca="false">IF($G890="","","同時")</f>
        <v/>
      </c>
      <c r="M890" s="2" t="str">
        <f aca="false">IF($G890="","",IF(ISNA(MATCH($G890,個別指定!$A:$A,0)),"行なし",""))</f>
        <v/>
      </c>
      <c r="N890" s="2" t="str">
        <f aca="false">IF($G890="","",IF(COUNTIF($G$2:$G$4460,$G890)&gt;1,"重複",""))</f>
        <v/>
      </c>
    </row>
    <row r="891" customFormat="false" ht="16.5" hidden="false" customHeight="true" outlineLevel="0" collapsed="false">
      <c r="A891" s="2" t="s">
        <v>385</v>
      </c>
      <c r="B891" s="2" t="s">
        <v>403</v>
      </c>
      <c r="C891" s="2" t="s">
        <v>7</v>
      </c>
      <c r="D891" s="2" t="str">
        <f aca="false">IF(2キー同時!$B$227="","",2キー同時!$B$227)</f>
        <v/>
      </c>
      <c r="E891" s="2" t="str">
        <f aca="false">""</f>
        <v/>
      </c>
      <c r="F891" s="2" t="str">
        <f aca="false">""</f>
        <v/>
      </c>
      <c r="G891" s="2" t="str">
        <f aca="false">IF(2キー同時!$B$227="","",IF(2キー同時!AH229="","",SUBSTITUTE(SUBSTITUTE(2キー同時!AH229," ",""),"　","")))</f>
        <v/>
      </c>
      <c r="H891" s="2" t="str">
        <f aca="false">IF($G891="","",2キー同時!$B$227)</f>
        <v/>
      </c>
      <c r="I891" s="2" t="str">
        <f aca="false">IF($G891="","","8")</f>
        <v/>
      </c>
      <c r="J891" s="2" t="str">
        <f aca="false">""</f>
        <v/>
      </c>
      <c r="K891" s="2" t="str">
        <f aca="false">""</f>
        <v/>
      </c>
      <c r="L891" s="2" t="str">
        <f aca="false">IF($G891="","","同時")</f>
        <v/>
      </c>
      <c r="M891" s="2" t="str">
        <f aca="false">IF($G891="","",IF(ISNA(MATCH($G891,個別指定!$A:$A,0)),"行なし",""))</f>
        <v/>
      </c>
      <c r="N891" s="2" t="str">
        <f aca="false">IF($G891="","",IF(COUNTIF($G$2:$G$4460,$G891)&gt;1,"重複",""))</f>
        <v/>
      </c>
    </row>
    <row r="892" customFormat="false" ht="16.5" hidden="false" customHeight="true" outlineLevel="0" collapsed="false">
      <c r="A892" s="2" t="s">
        <v>385</v>
      </c>
      <c r="B892" s="2" t="s">
        <v>403</v>
      </c>
      <c r="C892" s="2" t="s">
        <v>8</v>
      </c>
      <c r="D892" s="2" t="str">
        <f aca="false">IF(2キー同時!$B$227="","",2キー同時!$B$227)</f>
        <v/>
      </c>
      <c r="E892" s="2" t="str">
        <f aca="false">""</f>
        <v/>
      </c>
      <c r="F892" s="2" t="str">
        <f aca="false">""</f>
        <v/>
      </c>
      <c r="G892" s="2" t="str">
        <f aca="false">IF(2キー同時!$B$227="","",IF(2キー同時!AL229="","",SUBSTITUTE(SUBSTITUTE(2キー同時!AL229," ",""),"　","")))</f>
        <v/>
      </c>
      <c r="H892" s="2" t="str">
        <f aca="false">IF($G892="","",2キー同時!$B$227)</f>
        <v/>
      </c>
      <c r="I892" s="2" t="str">
        <f aca="false">IF($G892="","","9")</f>
        <v/>
      </c>
      <c r="J892" s="2" t="str">
        <f aca="false">""</f>
        <v/>
      </c>
      <c r="K892" s="2" t="str">
        <f aca="false">""</f>
        <v/>
      </c>
      <c r="L892" s="2" t="str">
        <f aca="false">IF($G892="","","同時")</f>
        <v/>
      </c>
      <c r="M892" s="2" t="str">
        <f aca="false">IF($G892="","",IF(ISNA(MATCH($G892,個別指定!$A:$A,0)),"行なし",""))</f>
        <v/>
      </c>
      <c r="N892" s="2" t="str">
        <f aca="false">IF($G892="","",IF(COUNTIF($G$2:$G$4460,$G892)&gt;1,"重複",""))</f>
        <v/>
      </c>
    </row>
    <row r="893" customFormat="false" ht="16.5" hidden="false" customHeight="true" outlineLevel="0" collapsed="false">
      <c r="A893" s="2" t="s">
        <v>385</v>
      </c>
      <c r="B893" s="2" t="s">
        <v>403</v>
      </c>
      <c r="C893" s="2" t="s">
        <v>9</v>
      </c>
      <c r="D893" s="2" t="str">
        <f aca="false">IF(2キー同時!$B$227="","",2キー同時!$B$227)</f>
        <v/>
      </c>
      <c r="E893" s="2" t="str">
        <f aca="false">""</f>
        <v/>
      </c>
      <c r="F893" s="2" t="str">
        <f aca="false">""</f>
        <v/>
      </c>
      <c r="G893" s="2" t="str">
        <f aca="false">IF(2キー同時!$B$227="","",IF(2キー同時!AP229="","",SUBSTITUTE(SUBSTITUTE(2キー同時!AP229," ",""),"　","")))</f>
        <v/>
      </c>
      <c r="H893" s="2" t="str">
        <f aca="false">IF($G893="","",2キー同時!$B$227)</f>
        <v/>
      </c>
      <c r="I893" s="2" t="str">
        <f aca="false">IF($G893="","","0")</f>
        <v/>
      </c>
      <c r="J893" s="2" t="str">
        <f aca="false">""</f>
        <v/>
      </c>
      <c r="K893" s="2" t="str">
        <f aca="false">""</f>
        <v/>
      </c>
      <c r="L893" s="2" t="str">
        <f aca="false">IF($G893="","","同時")</f>
        <v/>
      </c>
      <c r="M893" s="2" t="str">
        <f aca="false">IF($G893="","",IF(ISNA(MATCH($G893,個別指定!$A:$A,0)),"行なし",""))</f>
        <v/>
      </c>
      <c r="N893" s="2" t="str">
        <f aca="false">IF($G893="","",IF(COUNTIF($G$2:$G$4460,$G893)&gt;1,"重複",""))</f>
        <v/>
      </c>
    </row>
    <row r="894" customFormat="false" ht="16.5" hidden="false" customHeight="true" outlineLevel="0" collapsed="false">
      <c r="A894" s="2" t="s">
        <v>385</v>
      </c>
      <c r="B894" s="2" t="s">
        <v>403</v>
      </c>
      <c r="C894" s="2" t="s">
        <v>10</v>
      </c>
      <c r="D894" s="2" t="str">
        <f aca="false">IF(2キー同時!$B$227="","",2キー同時!$B$227)</f>
        <v/>
      </c>
      <c r="E894" s="2" t="str">
        <f aca="false">""</f>
        <v/>
      </c>
      <c r="F894" s="2" t="str">
        <f aca="false">""</f>
        <v/>
      </c>
      <c r="G894" s="2" t="str">
        <f aca="false">IF(2キー同時!$B$227="","",IF(2キー同時!AT229="","",SUBSTITUTE(SUBSTITUTE(2キー同時!AT229," ",""),"　","")))</f>
        <v/>
      </c>
      <c r="H894" s="2" t="str">
        <f aca="false">IF($G894="","",2キー同時!$B$227)</f>
        <v/>
      </c>
      <c r="I894" s="2" t="str">
        <f aca="false">IF($G894="","","-")</f>
        <v/>
      </c>
      <c r="J894" s="2" t="str">
        <f aca="false">""</f>
        <v/>
      </c>
      <c r="K894" s="2" t="str">
        <f aca="false">""</f>
        <v/>
      </c>
      <c r="L894" s="2" t="str">
        <f aca="false">IF($G894="","","同時")</f>
        <v/>
      </c>
      <c r="M894" s="2" t="str">
        <f aca="false">IF($G894="","",IF(ISNA(MATCH($G894,個別指定!$A:$A,0)),"行なし",""))</f>
        <v/>
      </c>
      <c r="N894" s="2" t="str">
        <f aca="false">IF($G894="","",IF(COUNTIF($G$2:$G$4460,$G894)&gt;1,"重複",""))</f>
        <v/>
      </c>
    </row>
    <row r="895" customFormat="false" ht="16.5" hidden="false" customHeight="true" outlineLevel="0" collapsed="false">
      <c r="A895" s="2" t="s">
        <v>385</v>
      </c>
      <c r="B895" s="2" t="s">
        <v>403</v>
      </c>
      <c r="C895" s="2" t="s">
        <v>11</v>
      </c>
      <c r="D895" s="2" t="str">
        <f aca="false">IF(2キー同時!$B$227="","",2キー同時!$B$227)</f>
        <v/>
      </c>
      <c r="E895" s="2" t="str">
        <f aca="false">""</f>
        <v/>
      </c>
      <c r="F895" s="2" t="str">
        <f aca="false">""</f>
        <v/>
      </c>
      <c r="G895" s="2" t="str">
        <f aca="false">IF(2キー同時!$B$227="","",IF(2キー同時!AX229="","",SUBSTITUTE(SUBSTITUTE(2キー同時!AX229," ",""),"　","")))</f>
        <v/>
      </c>
      <c r="H895" s="2" t="str">
        <f aca="false">IF($G895="","",2キー同時!$B$227)</f>
        <v/>
      </c>
      <c r="I895" s="2" t="str">
        <f aca="false">IF($G895="","","=")</f>
        <v/>
      </c>
      <c r="J895" s="2" t="str">
        <f aca="false">""</f>
        <v/>
      </c>
      <c r="K895" s="2" t="str">
        <f aca="false">""</f>
        <v/>
      </c>
      <c r="L895" s="2" t="str">
        <f aca="false">IF($G895="","","同時")</f>
        <v/>
      </c>
      <c r="M895" s="2" t="str">
        <f aca="false">IF($G895="","",IF(ISNA(MATCH($G895,個別指定!$A:$A,0)),"行なし",""))</f>
        <v/>
      </c>
      <c r="N895" s="2" t="str">
        <f aca="false">IF($G895="","",IF(COUNTIF($G$2:$G$4460,$G895)&gt;1,"重複",""))</f>
        <v/>
      </c>
    </row>
    <row r="896" customFormat="false" ht="16.5" hidden="false" customHeight="true" outlineLevel="0" collapsed="false">
      <c r="A896" s="2" t="s">
        <v>385</v>
      </c>
      <c r="B896" s="2" t="s">
        <v>403</v>
      </c>
      <c r="C896" s="2" t="s">
        <v>12</v>
      </c>
      <c r="D896" s="2" t="str">
        <f aca="false">IF(2キー同時!$B$227="","",2キー同時!$B$227)</f>
        <v/>
      </c>
      <c r="E896" s="2" t="str">
        <f aca="false">""</f>
        <v/>
      </c>
      <c r="F896" s="2" t="str">
        <f aca="false">""</f>
        <v/>
      </c>
      <c r="G896" s="2" t="str">
        <f aca="false">IF(2キー同時!$B$227="","",IF(2キー同時!H231="","",SUBSTITUTE(SUBSTITUTE(2キー同時!H231," ",""),"　","")))</f>
        <v/>
      </c>
      <c r="H896" s="2" t="str">
        <f aca="false">IF($G896="","",2キー同時!$B$227)</f>
        <v/>
      </c>
      <c r="I896" s="2" t="str">
        <f aca="false">IF($G896="","","q")</f>
        <v/>
      </c>
      <c r="J896" s="2" t="str">
        <f aca="false">""</f>
        <v/>
      </c>
      <c r="K896" s="2" t="str">
        <f aca="false">""</f>
        <v/>
      </c>
      <c r="L896" s="2" t="str">
        <f aca="false">IF($G896="","","同時")</f>
        <v/>
      </c>
      <c r="M896" s="2" t="str">
        <f aca="false">IF($G896="","",IF(ISNA(MATCH($G896,個別指定!$A:$A,0)),"行なし",""))</f>
        <v/>
      </c>
      <c r="N896" s="2" t="str">
        <f aca="false">IF($G896="","",IF(COUNTIF($G$2:$G$4460,$G896)&gt;1,"重複",""))</f>
        <v/>
      </c>
    </row>
    <row r="897" customFormat="false" ht="16.5" hidden="false" customHeight="true" outlineLevel="0" collapsed="false">
      <c r="A897" s="2" t="s">
        <v>385</v>
      </c>
      <c r="B897" s="2" t="s">
        <v>403</v>
      </c>
      <c r="C897" s="2" t="s">
        <v>13</v>
      </c>
      <c r="D897" s="2" t="str">
        <f aca="false">IF(2キー同時!$B$227="","",2キー同時!$B$227)</f>
        <v/>
      </c>
      <c r="E897" s="2" t="str">
        <f aca="false">""</f>
        <v/>
      </c>
      <c r="F897" s="2" t="str">
        <f aca="false">""</f>
        <v/>
      </c>
      <c r="G897" s="2" t="str">
        <f aca="false">IF(2キー同時!$B$227="","",IF(2キー同時!L231="","",SUBSTITUTE(SUBSTITUTE(2キー同時!L231," ",""),"　","")))</f>
        <v/>
      </c>
      <c r="H897" s="2" t="str">
        <f aca="false">IF($G897="","",2キー同時!$B$227)</f>
        <v/>
      </c>
      <c r="I897" s="2" t="str">
        <f aca="false">IF($G897="","","w")</f>
        <v/>
      </c>
      <c r="J897" s="2" t="str">
        <f aca="false">""</f>
        <v/>
      </c>
      <c r="K897" s="2" t="str">
        <f aca="false">""</f>
        <v/>
      </c>
      <c r="L897" s="2" t="str">
        <f aca="false">IF($G897="","","同時")</f>
        <v/>
      </c>
      <c r="M897" s="2" t="str">
        <f aca="false">IF($G897="","",IF(ISNA(MATCH($G897,個別指定!$A:$A,0)),"行なし",""))</f>
        <v/>
      </c>
      <c r="N897" s="2" t="str">
        <f aca="false">IF($G897="","",IF(COUNTIF($G$2:$G$4460,$G897)&gt;1,"重複",""))</f>
        <v/>
      </c>
    </row>
    <row r="898" customFormat="false" ht="16.5" hidden="false" customHeight="true" outlineLevel="0" collapsed="false">
      <c r="A898" s="2" t="s">
        <v>385</v>
      </c>
      <c r="B898" s="2" t="s">
        <v>403</v>
      </c>
      <c r="C898" s="2" t="s">
        <v>14</v>
      </c>
      <c r="D898" s="2" t="str">
        <f aca="false">IF(2キー同時!$B$227="","",2キー同時!$B$227)</f>
        <v/>
      </c>
      <c r="E898" s="2" t="str">
        <f aca="false">""</f>
        <v/>
      </c>
      <c r="F898" s="2" t="str">
        <f aca="false">""</f>
        <v/>
      </c>
      <c r="G898" s="2" t="str">
        <f aca="false">IF(2キー同時!$B$227="","",IF(2キー同時!P231="","",SUBSTITUTE(SUBSTITUTE(2キー同時!P231," ",""),"　","")))</f>
        <v/>
      </c>
      <c r="H898" s="2" t="str">
        <f aca="false">IF($G898="","",2キー同時!$B$227)</f>
        <v/>
      </c>
      <c r="I898" s="2" t="str">
        <f aca="false">IF($G898="","","e")</f>
        <v/>
      </c>
      <c r="J898" s="2" t="str">
        <f aca="false">""</f>
        <v/>
      </c>
      <c r="K898" s="2" t="str">
        <f aca="false">""</f>
        <v/>
      </c>
      <c r="L898" s="2" t="str">
        <f aca="false">IF($G898="","","同時")</f>
        <v/>
      </c>
      <c r="M898" s="2" t="str">
        <f aca="false">IF($G898="","",IF(ISNA(MATCH($G898,個別指定!$A:$A,0)),"行なし",""))</f>
        <v/>
      </c>
      <c r="N898" s="2" t="str">
        <f aca="false">IF($G898="","",IF(COUNTIF($G$2:$G$4460,$G898)&gt;1,"重複",""))</f>
        <v/>
      </c>
    </row>
    <row r="899" customFormat="false" ht="16.5" hidden="false" customHeight="true" outlineLevel="0" collapsed="false">
      <c r="A899" s="2" t="s">
        <v>385</v>
      </c>
      <c r="B899" s="2" t="s">
        <v>403</v>
      </c>
      <c r="C899" s="2" t="s">
        <v>15</v>
      </c>
      <c r="D899" s="2" t="str">
        <f aca="false">IF(2キー同時!$B$227="","",2キー同時!$B$227)</f>
        <v/>
      </c>
      <c r="E899" s="2" t="str">
        <f aca="false">""</f>
        <v/>
      </c>
      <c r="F899" s="2" t="str">
        <f aca="false">""</f>
        <v/>
      </c>
      <c r="G899" s="2" t="str">
        <f aca="false">IF(2キー同時!$B$227="","",IF(2キー同時!T231="","",SUBSTITUTE(SUBSTITUTE(2キー同時!T231," ",""),"　","")))</f>
        <v/>
      </c>
      <c r="H899" s="2" t="str">
        <f aca="false">IF($G899="","",2キー同時!$B$227)</f>
        <v/>
      </c>
      <c r="I899" s="2" t="str">
        <f aca="false">IF($G899="","","r")</f>
        <v/>
      </c>
      <c r="J899" s="2" t="str">
        <f aca="false">""</f>
        <v/>
      </c>
      <c r="K899" s="2" t="str">
        <f aca="false">""</f>
        <v/>
      </c>
      <c r="L899" s="2" t="str">
        <f aca="false">IF($G899="","","同時")</f>
        <v/>
      </c>
      <c r="M899" s="2" t="str">
        <f aca="false">IF($G899="","",IF(ISNA(MATCH($G899,個別指定!$A:$A,0)),"行なし",""))</f>
        <v/>
      </c>
      <c r="N899" s="2" t="str">
        <f aca="false">IF($G899="","",IF(COUNTIF($G$2:$G$4460,$G899)&gt;1,"重複",""))</f>
        <v/>
      </c>
    </row>
    <row r="900" customFormat="false" ht="16.5" hidden="false" customHeight="true" outlineLevel="0" collapsed="false">
      <c r="A900" s="2" t="s">
        <v>385</v>
      </c>
      <c r="B900" s="2" t="s">
        <v>403</v>
      </c>
      <c r="C900" s="2" t="s">
        <v>16</v>
      </c>
      <c r="D900" s="2" t="str">
        <f aca="false">IF(2キー同時!$B$227="","",2キー同時!$B$227)</f>
        <v/>
      </c>
      <c r="E900" s="2" t="str">
        <f aca="false">""</f>
        <v/>
      </c>
      <c r="F900" s="2" t="str">
        <f aca="false">""</f>
        <v/>
      </c>
      <c r="G900" s="2" t="str">
        <f aca="false">IF(2キー同時!$B$227="","",IF(2キー同時!X231="","",SUBSTITUTE(SUBSTITUTE(2キー同時!X231," ",""),"　","")))</f>
        <v/>
      </c>
      <c r="H900" s="2" t="str">
        <f aca="false">IF($G900="","",2キー同時!$B$227)</f>
        <v/>
      </c>
      <c r="I900" s="2" t="str">
        <f aca="false">IF($G900="","","t")</f>
        <v/>
      </c>
      <c r="J900" s="2" t="str">
        <f aca="false">""</f>
        <v/>
      </c>
      <c r="K900" s="2" t="str">
        <f aca="false">""</f>
        <v/>
      </c>
      <c r="L900" s="2" t="str">
        <f aca="false">IF($G900="","","同時")</f>
        <v/>
      </c>
      <c r="M900" s="2" t="str">
        <f aca="false">IF($G900="","",IF(ISNA(MATCH($G900,個別指定!$A:$A,0)),"行なし",""))</f>
        <v/>
      </c>
      <c r="N900" s="2" t="str">
        <f aca="false">IF($G900="","",IF(COUNTIF($G$2:$G$4460,$G900)&gt;1,"重複",""))</f>
        <v/>
      </c>
    </row>
    <row r="901" customFormat="false" ht="16.5" hidden="false" customHeight="true" outlineLevel="0" collapsed="false">
      <c r="A901" s="2" t="s">
        <v>385</v>
      </c>
      <c r="B901" s="2" t="s">
        <v>403</v>
      </c>
      <c r="C901" s="2" t="s">
        <v>17</v>
      </c>
      <c r="D901" s="2" t="str">
        <f aca="false">IF(2キー同時!$B$227="","",2キー同時!$B$227)</f>
        <v/>
      </c>
      <c r="E901" s="2" t="str">
        <f aca="false">""</f>
        <v/>
      </c>
      <c r="F901" s="2" t="str">
        <f aca="false">""</f>
        <v/>
      </c>
      <c r="G901" s="2" t="str">
        <f aca="false">IF(2キー同時!$B$227="","",IF(2キー同時!AB231="","",SUBSTITUTE(SUBSTITUTE(2キー同時!AB231," ",""),"　","")))</f>
        <v/>
      </c>
      <c r="H901" s="2" t="str">
        <f aca="false">IF($G901="","",2キー同時!$B$227)</f>
        <v/>
      </c>
      <c r="I901" s="2" t="str">
        <f aca="false">IF($G901="","","y")</f>
        <v/>
      </c>
      <c r="J901" s="2" t="str">
        <f aca="false">""</f>
        <v/>
      </c>
      <c r="K901" s="2" t="str">
        <f aca="false">""</f>
        <v/>
      </c>
      <c r="L901" s="2" t="str">
        <f aca="false">IF($G901="","","同時")</f>
        <v/>
      </c>
      <c r="M901" s="2" t="str">
        <f aca="false">IF($G901="","",IF(ISNA(MATCH($G901,個別指定!$A:$A,0)),"行なし",""))</f>
        <v/>
      </c>
      <c r="N901" s="2" t="str">
        <f aca="false">IF($G901="","",IF(COUNTIF($G$2:$G$4460,$G901)&gt;1,"重複",""))</f>
        <v/>
      </c>
    </row>
    <row r="902" customFormat="false" ht="16.5" hidden="false" customHeight="true" outlineLevel="0" collapsed="false">
      <c r="A902" s="2" t="s">
        <v>385</v>
      </c>
      <c r="B902" s="2" t="s">
        <v>403</v>
      </c>
      <c r="C902" s="2" t="s">
        <v>18</v>
      </c>
      <c r="D902" s="2" t="str">
        <f aca="false">IF(2キー同時!$B$227="","",2キー同時!$B$227)</f>
        <v/>
      </c>
      <c r="E902" s="2" t="str">
        <f aca="false">""</f>
        <v/>
      </c>
      <c r="F902" s="2" t="str">
        <f aca="false">""</f>
        <v/>
      </c>
      <c r="G902" s="2" t="str">
        <f aca="false">IF(2キー同時!$B$227="","",IF(2キー同時!AF231="","",SUBSTITUTE(SUBSTITUTE(2キー同時!AF231," ",""),"　","")))</f>
        <v/>
      </c>
      <c r="H902" s="2" t="str">
        <f aca="false">IF($G902="","",2キー同時!$B$227)</f>
        <v/>
      </c>
      <c r="I902" s="2" t="str">
        <f aca="false">IF($G902="","","u")</f>
        <v/>
      </c>
      <c r="J902" s="2" t="str">
        <f aca="false">""</f>
        <v/>
      </c>
      <c r="K902" s="2" t="str">
        <f aca="false">""</f>
        <v/>
      </c>
      <c r="L902" s="2" t="str">
        <f aca="false">IF($G902="","","同時")</f>
        <v/>
      </c>
      <c r="M902" s="2" t="str">
        <f aca="false">IF($G902="","",IF(ISNA(MATCH($G902,個別指定!$A:$A,0)),"行なし",""))</f>
        <v/>
      </c>
      <c r="N902" s="2" t="str">
        <f aca="false">IF($G902="","",IF(COUNTIF($G$2:$G$4460,$G902)&gt;1,"重複",""))</f>
        <v/>
      </c>
    </row>
    <row r="903" customFormat="false" ht="16.5" hidden="false" customHeight="true" outlineLevel="0" collapsed="false">
      <c r="A903" s="2" t="s">
        <v>385</v>
      </c>
      <c r="B903" s="2" t="s">
        <v>403</v>
      </c>
      <c r="C903" s="2" t="s">
        <v>19</v>
      </c>
      <c r="D903" s="2" t="str">
        <f aca="false">IF(2キー同時!$B$227="","",2キー同時!$B$227)</f>
        <v/>
      </c>
      <c r="E903" s="2" t="str">
        <f aca="false">""</f>
        <v/>
      </c>
      <c r="F903" s="2" t="str">
        <f aca="false">""</f>
        <v/>
      </c>
      <c r="G903" s="2" t="str">
        <f aca="false">IF(2キー同時!$B$227="","",IF(2キー同時!AJ231="","",SUBSTITUTE(SUBSTITUTE(2キー同時!AJ231," ",""),"　","")))</f>
        <v/>
      </c>
      <c r="H903" s="2" t="str">
        <f aca="false">IF($G903="","",2キー同時!$B$227)</f>
        <v/>
      </c>
      <c r="I903" s="2" t="str">
        <f aca="false">IF($G903="","","i")</f>
        <v/>
      </c>
      <c r="J903" s="2" t="str">
        <f aca="false">""</f>
        <v/>
      </c>
      <c r="K903" s="2" t="str">
        <f aca="false">""</f>
        <v/>
      </c>
      <c r="L903" s="2" t="str">
        <f aca="false">IF($G903="","","同時")</f>
        <v/>
      </c>
      <c r="M903" s="2" t="str">
        <f aca="false">IF($G903="","",IF(ISNA(MATCH($G903,個別指定!$A:$A,0)),"行なし",""))</f>
        <v/>
      </c>
      <c r="N903" s="2" t="str">
        <f aca="false">IF($G903="","",IF(COUNTIF($G$2:$G$4460,$G903)&gt;1,"重複",""))</f>
        <v/>
      </c>
    </row>
    <row r="904" customFormat="false" ht="16.5" hidden="false" customHeight="true" outlineLevel="0" collapsed="false">
      <c r="A904" s="2" t="s">
        <v>385</v>
      </c>
      <c r="B904" s="2" t="s">
        <v>403</v>
      </c>
      <c r="C904" s="2" t="s">
        <v>20</v>
      </c>
      <c r="D904" s="2" t="str">
        <f aca="false">IF(2キー同時!$B$227="","",2キー同時!$B$227)</f>
        <v/>
      </c>
      <c r="E904" s="2" t="str">
        <f aca="false">""</f>
        <v/>
      </c>
      <c r="F904" s="2" t="str">
        <f aca="false">""</f>
        <v/>
      </c>
      <c r="G904" s="2" t="str">
        <f aca="false">IF(2キー同時!$B$227="","",IF(2キー同時!AN231="","",SUBSTITUTE(SUBSTITUTE(2キー同時!AN231," ",""),"　","")))</f>
        <v/>
      </c>
      <c r="H904" s="2" t="str">
        <f aca="false">IF($G904="","",2キー同時!$B$227)</f>
        <v/>
      </c>
      <c r="I904" s="2" t="str">
        <f aca="false">IF($G904="","","o")</f>
        <v/>
      </c>
      <c r="J904" s="2" t="str">
        <f aca="false">""</f>
        <v/>
      </c>
      <c r="K904" s="2" t="str">
        <f aca="false">""</f>
        <v/>
      </c>
      <c r="L904" s="2" t="str">
        <f aca="false">IF($G904="","","同時")</f>
        <v/>
      </c>
      <c r="M904" s="2" t="str">
        <f aca="false">IF($G904="","",IF(ISNA(MATCH($G904,個別指定!$A:$A,0)),"行なし",""))</f>
        <v/>
      </c>
      <c r="N904" s="2" t="str">
        <f aca="false">IF($G904="","",IF(COUNTIF($G$2:$G$4460,$G904)&gt;1,"重複",""))</f>
        <v/>
      </c>
    </row>
    <row r="905" customFormat="false" ht="16.5" hidden="false" customHeight="true" outlineLevel="0" collapsed="false">
      <c r="A905" s="2" t="s">
        <v>385</v>
      </c>
      <c r="B905" s="2" t="s">
        <v>403</v>
      </c>
      <c r="C905" s="2" t="s">
        <v>21</v>
      </c>
      <c r="D905" s="2" t="str">
        <f aca="false">IF(2キー同時!$B$227="","",2キー同時!$B$227)</f>
        <v/>
      </c>
      <c r="E905" s="2" t="str">
        <f aca="false">""</f>
        <v/>
      </c>
      <c r="F905" s="2" t="str">
        <f aca="false">""</f>
        <v/>
      </c>
      <c r="G905" s="2" t="str">
        <f aca="false">IF(2キー同時!$B$227="","",IF(2キー同時!AR231="","",SUBSTITUTE(SUBSTITUTE(2キー同時!AR231," ",""),"　","")))</f>
        <v/>
      </c>
      <c r="H905" s="2" t="str">
        <f aca="false">IF($G905="","",2キー同時!$B$227)</f>
        <v/>
      </c>
      <c r="I905" s="2" t="str">
        <f aca="false">IF($G905="","","p")</f>
        <v/>
      </c>
      <c r="J905" s="2" t="str">
        <f aca="false">""</f>
        <v/>
      </c>
      <c r="K905" s="2" t="str">
        <f aca="false">""</f>
        <v/>
      </c>
      <c r="L905" s="2" t="str">
        <f aca="false">IF($G905="","","同時")</f>
        <v/>
      </c>
      <c r="M905" s="2" t="str">
        <f aca="false">IF($G905="","",IF(ISNA(MATCH($G905,個別指定!$A:$A,0)),"行なし",""))</f>
        <v/>
      </c>
      <c r="N905" s="2" t="str">
        <f aca="false">IF($G905="","",IF(COUNTIF($G$2:$G$4460,$G905)&gt;1,"重複",""))</f>
        <v/>
      </c>
    </row>
    <row r="906" customFormat="false" ht="16.5" hidden="false" customHeight="true" outlineLevel="0" collapsed="false">
      <c r="A906" s="2" t="s">
        <v>385</v>
      </c>
      <c r="B906" s="2" t="s">
        <v>403</v>
      </c>
      <c r="C906" s="2" t="s">
        <v>22</v>
      </c>
      <c r="D906" s="2" t="str">
        <f aca="false">IF(2キー同時!$B$227="","",2キー同時!$B$227)</f>
        <v/>
      </c>
      <c r="E906" s="2" t="str">
        <f aca="false">""</f>
        <v/>
      </c>
      <c r="F906" s="2" t="str">
        <f aca="false">""</f>
        <v/>
      </c>
      <c r="G906" s="2" t="str">
        <f aca="false">IF(2キー同時!$B$227="","",IF(2キー同時!AV231="","",SUBSTITUTE(SUBSTITUTE(2キー同時!AV231," ",""),"　","")))</f>
        <v/>
      </c>
      <c r="H906" s="2" t="str">
        <f aca="false">IF($G906="","",2キー同時!$B$227)</f>
        <v/>
      </c>
      <c r="I906" s="2" t="str">
        <f aca="false">IF($G906="","","[")</f>
        <v/>
      </c>
      <c r="J906" s="2" t="str">
        <f aca="false">""</f>
        <v/>
      </c>
      <c r="K906" s="2" t="str">
        <f aca="false">""</f>
        <v/>
      </c>
      <c r="L906" s="2" t="str">
        <f aca="false">IF($G906="","","同時")</f>
        <v/>
      </c>
      <c r="M906" s="2" t="str">
        <f aca="false">IF($G906="","",IF(ISNA(MATCH($G906,個別指定!$A:$A,0)),"行なし",""))</f>
        <v/>
      </c>
      <c r="N906" s="2" t="str">
        <f aca="false">IF($G906="","",IF(COUNTIF($G$2:$G$4460,$G906)&gt;1,"重複",""))</f>
        <v/>
      </c>
    </row>
    <row r="907" customFormat="false" ht="16.5" hidden="false" customHeight="true" outlineLevel="0" collapsed="false">
      <c r="A907" s="2" t="s">
        <v>385</v>
      </c>
      <c r="B907" s="2" t="s">
        <v>403</v>
      </c>
      <c r="C907" s="2" t="s">
        <v>23</v>
      </c>
      <c r="D907" s="2" t="str">
        <f aca="false">IF(2キー同時!$B$227="","",2キー同時!$B$227)</f>
        <v/>
      </c>
      <c r="E907" s="2" t="str">
        <f aca="false">""</f>
        <v/>
      </c>
      <c r="F907" s="2" t="str">
        <f aca="false">""</f>
        <v/>
      </c>
      <c r="G907" s="2" t="str">
        <f aca="false">IF(2キー同時!$B$227="","",IF(2キー同時!AZ231="","",SUBSTITUTE(SUBSTITUTE(2キー同時!AZ231," ",""),"　","")))</f>
        <v/>
      </c>
      <c r="H907" s="2" t="str">
        <f aca="false">IF($G907="","",2キー同時!$B$227)</f>
        <v/>
      </c>
      <c r="I907" s="2" t="str">
        <f aca="false">IF($G907="","","]")</f>
        <v/>
      </c>
      <c r="J907" s="2" t="str">
        <f aca="false">""</f>
        <v/>
      </c>
      <c r="K907" s="2" t="str">
        <f aca="false">""</f>
        <v/>
      </c>
      <c r="L907" s="2" t="str">
        <f aca="false">IF($G907="","","同時")</f>
        <v/>
      </c>
      <c r="M907" s="2" t="str">
        <f aca="false">IF($G907="","",IF(ISNA(MATCH($G907,個別指定!$A:$A,0)),"行なし",""))</f>
        <v/>
      </c>
      <c r="N907" s="2" t="str">
        <f aca="false">IF($G907="","",IF(COUNTIF($G$2:$G$4460,$G907)&gt;1,"重複",""))</f>
        <v/>
      </c>
    </row>
    <row r="908" customFormat="false" ht="16.5" hidden="false" customHeight="true" outlineLevel="0" collapsed="false">
      <c r="A908" s="2" t="s">
        <v>385</v>
      </c>
      <c r="B908" s="2" t="s">
        <v>403</v>
      </c>
      <c r="C908" s="2" t="s">
        <v>24</v>
      </c>
      <c r="D908" s="2" t="str">
        <f aca="false">IF(2キー同時!$B$227="","",2キー同時!$B$227)</f>
        <v/>
      </c>
      <c r="E908" s="2" t="str">
        <f aca="false">""</f>
        <v/>
      </c>
      <c r="F908" s="2" t="str">
        <f aca="false">""</f>
        <v/>
      </c>
      <c r="G908" s="2" t="str">
        <f aca="false">IF(2キー同時!$B$227="","",IF(2キー同時!I233="","",SUBSTITUTE(SUBSTITUTE(2キー同時!I233," ",""),"　","")))</f>
        <v/>
      </c>
      <c r="H908" s="2" t="str">
        <f aca="false">IF($G908="","",2キー同時!$B$227)</f>
        <v/>
      </c>
      <c r="I908" s="2" t="str">
        <f aca="false">IF($G908="","","a")</f>
        <v/>
      </c>
      <c r="J908" s="2" t="str">
        <f aca="false">""</f>
        <v/>
      </c>
      <c r="K908" s="2" t="str">
        <f aca="false">""</f>
        <v/>
      </c>
      <c r="L908" s="2" t="str">
        <f aca="false">IF($G908="","","同時")</f>
        <v/>
      </c>
      <c r="M908" s="2" t="str">
        <f aca="false">IF($G908="","",IF(ISNA(MATCH($G908,個別指定!$A:$A,0)),"行なし",""))</f>
        <v/>
      </c>
      <c r="N908" s="2" t="str">
        <f aca="false">IF($G908="","",IF(COUNTIF($G$2:$G$4460,$G908)&gt;1,"重複",""))</f>
        <v/>
      </c>
    </row>
    <row r="909" customFormat="false" ht="16.5" hidden="false" customHeight="true" outlineLevel="0" collapsed="false">
      <c r="A909" s="2" t="s">
        <v>385</v>
      </c>
      <c r="B909" s="2" t="s">
        <v>403</v>
      </c>
      <c r="C909" s="2" t="s">
        <v>25</v>
      </c>
      <c r="D909" s="2" t="str">
        <f aca="false">IF(2キー同時!$B$227="","",2キー同時!$B$227)</f>
        <v/>
      </c>
      <c r="E909" s="2" t="str">
        <f aca="false">""</f>
        <v/>
      </c>
      <c r="F909" s="2" t="str">
        <f aca="false">""</f>
        <v/>
      </c>
      <c r="G909" s="2" t="str">
        <f aca="false">IF(2キー同時!$B$227="","",IF(2キー同時!M233="","",SUBSTITUTE(SUBSTITUTE(2キー同時!M233," ",""),"　","")))</f>
        <v/>
      </c>
      <c r="H909" s="2" t="str">
        <f aca="false">IF($G909="","",2キー同時!$B$227)</f>
        <v/>
      </c>
      <c r="I909" s="2" t="str">
        <f aca="false">IF($G909="","","s")</f>
        <v/>
      </c>
      <c r="J909" s="2" t="str">
        <f aca="false">""</f>
        <v/>
      </c>
      <c r="K909" s="2" t="str">
        <f aca="false">""</f>
        <v/>
      </c>
      <c r="L909" s="2" t="str">
        <f aca="false">IF($G909="","","同時")</f>
        <v/>
      </c>
      <c r="M909" s="2" t="str">
        <f aca="false">IF($G909="","",IF(ISNA(MATCH($G909,個別指定!$A:$A,0)),"行なし",""))</f>
        <v/>
      </c>
      <c r="N909" s="2" t="str">
        <f aca="false">IF($G909="","",IF(COUNTIF($G$2:$G$4460,$G909)&gt;1,"重複",""))</f>
        <v/>
      </c>
    </row>
    <row r="910" customFormat="false" ht="16.5" hidden="false" customHeight="true" outlineLevel="0" collapsed="false">
      <c r="A910" s="2" t="s">
        <v>385</v>
      </c>
      <c r="B910" s="2" t="s">
        <v>403</v>
      </c>
      <c r="C910" s="2" t="s">
        <v>26</v>
      </c>
      <c r="D910" s="2" t="str">
        <f aca="false">IF(2キー同時!$B$227="","",2キー同時!$B$227)</f>
        <v/>
      </c>
      <c r="E910" s="2" t="str">
        <f aca="false">""</f>
        <v/>
      </c>
      <c r="F910" s="2" t="str">
        <f aca="false">""</f>
        <v/>
      </c>
      <c r="G910" s="2" t="str">
        <f aca="false">IF(2キー同時!$B$227="","",IF(2キー同時!Q233="","",SUBSTITUTE(SUBSTITUTE(2キー同時!Q233," ",""),"　","")))</f>
        <v/>
      </c>
      <c r="H910" s="2" t="str">
        <f aca="false">IF($G910="","",2キー同時!$B$227)</f>
        <v/>
      </c>
      <c r="I910" s="2" t="str">
        <f aca="false">IF($G910="","","d")</f>
        <v/>
      </c>
      <c r="J910" s="2" t="str">
        <f aca="false">""</f>
        <v/>
      </c>
      <c r="K910" s="2" t="str">
        <f aca="false">""</f>
        <v/>
      </c>
      <c r="L910" s="2" t="str">
        <f aca="false">IF($G910="","","同時")</f>
        <v/>
      </c>
      <c r="M910" s="2" t="str">
        <f aca="false">IF($G910="","",IF(ISNA(MATCH($G910,個別指定!$A:$A,0)),"行なし",""))</f>
        <v/>
      </c>
      <c r="N910" s="2" t="str">
        <f aca="false">IF($G910="","",IF(COUNTIF($G$2:$G$4460,$G910)&gt;1,"重複",""))</f>
        <v/>
      </c>
    </row>
    <row r="911" customFormat="false" ht="16.5" hidden="false" customHeight="true" outlineLevel="0" collapsed="false">
      <c r="A911" s="2" t="s">
        <v>385</v>
      </c>
      <c r="B911" s="2" t="s">
        <v>403</v>
      </c>
      <c r="C911" s="2" t="s">
        <v>27</v>
      </c>
      <c r="D911" s="2" t="str">
        <f aca="false">IF(2キー同時!$B$227="","",2キー同時!$B$227)</f>
        <v/>
      </c>
      <c r="E911" s="2" t="str">
        <f aca="false">""</f>
        <v/>
      </c>
      <c r="F911" s="2" t="str">
        <f aca="false">""</f>
        <v/>
      </c>
      <c r="G911" s="2" t="str">
        <f aca="false">IF(2キー同時!$B$227="","",IF(2キー同時!U233="","",SUBSTITUTE(SUBSTITUTE(2キー同時!U233," ",""),"　","")))</f>
        <v/>
      </c>
      <c r="H911" s="2" t="str">
        <f aca="false">IF($G911="","",2キー同時!$B$227)</f>
        <v/>
      </c>
      <c r="I911" s="2" t="str">
        <f aca="false">IF($G911="","","f")</f>
        <v/>
      </c>
      <c r="J911" s="2" t="str">
        <f aca="false">""</f>
        <v/>
      </c>
      <c r="K911" s="2" t="str">
        <f aca="false">""</f>
        <v/>
      </c>
      <c r="L911" s="2" t="str">
        <f aca="false">IF($G911="","","同時")</f>
        <v/>
      </c>
      <c r="M911" s="2" t="str">
        <f aca="false">IF($G911="","",IF(ISNA(MATCH($G911,個別指定!$A:$A,0)),"行なし",""))</f>
        <v/>
      </c>
      <c r="N911" s="2" t="str">
        <f aca="false">IF($G911="","",IF(COUNTIF($G$2:$G$4460,$G911)&gt;1,"重複",""))</f>
        <v/>
      </c>
    </row>
    <row r="912" customFormat="false" ht="16.5" hidden="false" customHeight="true" outlineLevel="0" collapsed="false">
      <c r="A912" s="2" t="s">
        <v>385</v>
      </c>
      <c r="B912" s="2" t="s">
        <v>403</v>
      </c>
      <c r="C912" s="2" t="s">
        <v>28</v>
      </c>
      <c r="D912" s="2" t="str">
        <f aca="false">IF(2キー同時!$B$227="","",2キー同時!$B$227)</f>
        <v/>
      </c>
      <c r="E912" s="2" t="str">
        <f aca="false">""</f>
        <v/>
      </c>
      <c r="F912" s="2" t="str">
        <f aca="false">""</f>
        <v/>
      </c>
      <c r="G912" s="2" t="str">
        <f aca="false">IF(2キー同時!$B$227="","",IF(2キー同時!Y233="","",SUBSTITUTE(SUBSTITUTE(2キー同時!Y233," ",""),"　","")))</f>
        <v/>
      </c>
      <c r="H912" s="2" t="str">
        <f aca="false">IF($G912="","",2キー同時!$B$227)</f>
        <v/>
      </c>
      <c r="I912" s="2" t="str">
        <f aca="false">IF($G912="","","g")</f>
        <v/>
      </c>
      <c r="J912" s="2" t="str">
        <f aca="false">""</f>
        <v/>
      </c>
      <c r="K912" s="2" t="str">
        <f aca="false">""</f>
        <v/>
      </c>
      <c r="L912" s="2" t="str">
        <f aca="false">IF($G912="","","同時")</f>
        <v/>
      </c>
      <c r="M912" s="2" t="str">
        <f aca="false">IF($G912="","",IF(ISNA(MATCH($G912,個別指定!$A:$A,0)),"行なし",""))</f>
        <v/>
      </c>
      <c r="N912" s="2" t="str">
        <f aca="false">IF($G912="","",IF(COUNTIF($G$2:$G$4460,$G912)&gt;1,"重複",""))</f>
        <v/>
      </c>
    </row>
    <row r="913" customFormat="false" ht="16.5" hidden="false" customHeight="true" outlineLevel="0" collapsed="false">
      <c r="A913" s="2" t="s">
        <v>385</v>
      </c>
      <c r="B913" s="2" t="s">
        <v>403</v>
      </c>
      <c r="C913" s="2" t="s">
        <v>29</v>
      </c>
      <c r="D913" s="2" t="str">
        <f aca="false">IF(2キー同時!$B$227="","",2キー同時!$B$227)</f>
        <v/>
      </c>
      <c r="E913" s="2" t="str">
        <f aca="false">""</f>
        <v/>
      </c>
      <c r="F913" s="2" t="str">
        <f aca="false">""</f>
        <v/>
      </c>
      <c r="G913" s="2" t="str">
        <f aca="false">IF(2キー同時!$B$227="","",IF(2キー同時!AC233="","",SUBSTITUTE(SUBSTITUTE(2キー同時!AC233," ",""),"　","")))</f>
        <v/>
      </c>
      <c r="H913" s="2" t="str">
        <f aca="false">IF($G913="","",2キー同時!$B$227)</f>
        <v/>
      </c>
      <c r="I913" s="2" t="str">
        <f aca="false">IF($G913="","","h")</f>
        <v/>
      </c>
      <c r="J913" s="2" t="str">
        <f aca="false">""</f>
        <v/>
      </c>
      <c r="K913" s="2" t="str">
        <f aca="false">""</f>
        <v/>
      </c>
      <c r="L913" s="2" t="str">
        <f aca="false">IF($G913="","","同時")</f>
        <v/>
      </c>
      <c r="M913" s="2" t="str">
        <f aca="false">IF($G913="","",IF(ISNA(MATCH($G913,個別指定!$A:$A,0)),"行なし",""))</f>
        <v/>
      </c>
      <c r="N913" s="2" t="str">
        <f aca="false">IF($G913="","",IF(COUNTIF($G$2:$G$4460,$G913)&gt;1,"重複",""))</f>
        <v/>
      </c>
    </row>
    <row r="914" customFormat="false" ht="16.5" hidden="false" customHeight="true" outlineLevel="0" collapsed="false">
      <c r="A914" s="2" t="s">
        <v>385</v>
      </c>
      <c r="B914" s="2" t="s">
        <v>403</v>
      </c>
      <c r="C914" s="2" t="s">
        <v>30</v>
      </c>
      <c r="D914" s="2" t="str">
        <f aca="false">IF(2キー同時!$B$227="","",2キー同時!$B$227)</f>
        <v/>
      </c>
      <c r="E914" s="2" t="str">
        <f aca="false">""</f>
        <v/>
      </c>
      <c r="F914" s="2" t="str">
        <f aca="false">""</f>
        <v/>
      </c>
      <c r="G914" s="2" t="str">
        <f aca="false">IF(2キー同時!$B$227="","",IF(2キー同時!AG233="","",SUBSTITUTE(SUBSTITUTE(2キー同時!AG233," ",""),"　","")))</f>
        <v/>
      </c>
      <c r="H914" s="2" t="str">
        <f aca="false">IF($G914="","",2キー同時!$B$227)</f>
        <v/>
      </c>
      <c r="I914" s="2" t="str">
        <f aca="false">IF($G914="","","j")</f>
        <v/>
      </c>
      <c r="J914" s="2" t="str">
        <f aca="false">""</f>
        <v/>
      </c>
      <c r="K914" s="2" t="str">
        <f aca="false">""</f>
        <v/>
      </c>
      <c r="L914" s="2" t="str">
        <f aca="false">IF($G914="","","同時")</f>
        <v/>
      </c>
      <c r="M914" s="2" t="str">
        <f aca="false">IF($G914="","",IF(ISNA(MATCH($G914,個別指定!$A:$A,0)),"行なし",""))</f>
        <v/>
      </c>
      <c r="N914" s="2" t="str">
        <f aca="false">IF($G914="","",IF(COUNTIF($G$2:$G$4460,$G914)&gt;1,"重複",""))</f>
        <v/>
      </c>
    </row>
    <row r="915" customFormat="false" ht="16.5" hidden="false" customHeight="true" outlineLevel="0" collapsed="false">
      <c r="A915" s="2" t="s">
        <v>385</v>
      </c>
      <c r="B915" s="2" t="s">
        <v>403</v>
      </c>
      <c r="C915" s="2" t="s">
        <v>31</v>
      </c>
      <c r="D915" s="2" t="str">
        <f aca="false">IF(2キー同時!$B$227="","",2キー同時!$B$227)</f>
        <v/>
      </c>
      <c r="E915" s="2" t="str">
        <f aca="false">""</f>
        <v/>
      </c>
      <c r="F915" s="2" t="str">
        <f aca="false">""</f>
        <v/>
      </c>
      <c r="G915" s="2" t="str">
        <f aca="false">IF(2キー同時!$B$227="","",IF(2キー同時!AK233="","",SUBSTITUTE(SUBSTITUTE(2キー同時!AK233," ",""),"　","")))</f>
        <v/>
      </c>
      <c r="H915" s="2" t="str">
        <f aca="false">IF($G915="","",2キー同時!$B$227)</f>
        <v/>
      </c>
      <c r="I915" s="2" t="str">
        <f aca="false">IF($G915="","","k")</f>
        <v/>
      </c>
      <c r="J915" s="2" t="str">
        <f aca="false">""</f>
        <v/>
      </c>
      <c r="K915" s="2" t="str">
        <f aca="false">""</f>
        <v/>
      </c>
      <c r="L915" s="2" t="str">
        <f aca="false">IF($G915="","","同時")</f>
        <v/>
      </c>
      <c r="M915" s="2" t="str">
        <f aca="false">IF($G915="","",IF(ISNA(MATCH($G915,個別指定!$A:$A,0)),"行なし",""))</f>
        <v/>
      </c>
      <c r="N915" s="2" t="str">
        <f aca="false">IF($G915="","",IF(COUNTIF($G$2:$G$4460,$G915)&gt;1,"重複",""))</f>
        <v/>
      </c>
    </row>
    <row r="916" customFormat="false" ht="16.5" hidden="false" customHeight="true" outlineLevel="0" collapsed="false">
      <c r="A916" s="2" t="s">
        <v>385</v>
      </c>
      <c r="B916" s="2" t="s">
        <v>403</v>
      </c>
      <c r="C916" s="2" t="s">
        <v>32</v>
      </c>
      <c r="D916" s="2" t="str">
        <f aca="false">IF(2キー同時!$B$227="","",2キー同時!$B$227)</f>
        <v/>
      </c>
      <c r="E916" s="2" t="str">
        <f aca="false">""</f>
        <v/>
      </c>
      <c r="F916" s="2" t="str">
        <f aca="false">""</f>
        <v/>
      </c>
      <c r="G916" s="2" t="str">
        <f aca="false">IF(2キー同時!$B$227="","",IF(2キー同時!AO233="","",SUBSTITUTE(SUBSTITUTE(2キー同時!AO233," ",""),"　","")))</f>
        <v/>
      </c>
      <c r="H916" s="2" t="str">
        <f aca="false">IF($G916="","",2キー同時!$B$227)</f>
        <v/>
      </c>
      <c r="I916" s="2" t="str">
        <f aca="false">IF($G916="","","l")</f>
        <v/>
      </c>
      <c r="J916" s="2" t="str">
        <f aca="false">""</f>
        <v/>
      </c>
      <c r="K916" s="2" t="str">
        <f aca="false">""</f>
        <v/>
      </c>
      <c r="L916" s="2" t="str">
        <f aca="false">IF($G916="","","同時")</f>
        <v/>
      </c>
      <c r="M916" s="2" t="str">
        <f aca="false">IF($G916="","",IF(ISNA(MATCH($G916,個別指定!$A:$A,0)),"行なし",""))</f>
        <v/>
      </c>
      <c r="N916" s="2" t="str">
        <f aca="false">IF($G916="","",IF(COUNTIF($G$2:$G$4460,$G916)&gt;1,"重複",""))</f>
        <v/>
      </c>
    </row>
    <row r="917" customFormat="false" ht="16.5" hidden="false" customHeight="true" outlineLevel="0" collapsed="false">
      <c r="A917" s="2" t="s">
        <v>385</v>
      </c>
      <c r="B917" s="2" t="s">
        <v>403</v>
      </c>
      <c r="C917" s="2" t="s">
        <v>33</v>
      </c>
      <c r="D917" s="2" t="str">
        <f aca="false">IF(2キー同時!$B$227="","",2キー同時!$B$227)</f>
        <v/>
      </c>
      <c r="E917" s="2" t="str">
        <f aca="false">""</f>
        <v/>
      </c>
      <c r="F917" s="2" t="str">
        <f aca="false">""</f>
        <v/>
      </c>
      <c r="G917" s="2" t="str">
        <f aca="false">IF(2キー同時!$B$227="","",IF(2キー同時!AS233="","",SUBSTITUTE(SUBSTITUTE(2キー同時!AS233," ",""),"　","")))</f>
        <v/>
      </c>
      <c r="H917" s="2" t="str">
        <f aca="false">IF($G917="","",2キー同時!$B$227)</f>
        <v/>
      </c>
      <c r="I917" s="2" t="str">
        <f aca="false">IF($G917="","",";")</f>
        <v/>
      </c>
      <c r="J917" s="2" t="str">
        <f aca="false">""</f>
        <v/>
      </c>
      <c r="K917" s="2" t="str">
        <f aca="false">""</f>
        <v/>
      </c>
      <c r="L917" s="2" t="str">
        <f aca="false">IF($G917="","","同時")</f>
        <v/>
      </c>
      <c r="M917" s="2" t="str">
        <f aca="false">IF($G917="","",IF(ISNA(MATCH($G917,個別指定!$A:$A,0)),"行なし",""))</f>
        <v/>
      </c>
      <c r="N917" s="2" t="str">
        <f aca="false">IF($G917="","",IF(COUNTIF($G$2:$G$4460,$G917)&gt;1,"重複",""))</f>
        <v/>
      </c>
    </row>
    <row r="918" customFormat="false" ht="16.5" hidden="false" customHeight="true" outlineLevel="0" collapsed="false">
      <c r="A918" s="2" t="s">
        <v>385</v>
      </c>
      <c r="B918" s="2" t="s">
        <v>403</v>
      </c>
      <c r="C918" s="2" t="s">
        <v>34</v>
      </c>
      <c r="D918" s="2" t="str">
        <f aca="false">IF(2キー同時!$B$227="","",2キー同時!$B$227)</f>
        <v/>
      </c>
      <c r="E918" s="2" t="str">
        <f aca="false">""</f>
        <v/>
      </c>
      <c r="F918" s="2" t="str">
        <f aca="false">""</f>
        <v/>
      </c>
      <c r="G918" s="2" t="str">
        <f aca="false">IF(2キー同時!$B$227="","",IF(2キー同時!AW233="","",SUBSTITUTE(SUBSTITUTE(2キー同時!AW233," ",""),"　","")))</f>
        <v/>
      </c>
      <c r="H918" s="2" t="str">
        <f aca="false">IF($G918="","",2キー同時!$B$227)</f>
        <v/>
      </c>
      <c r="I918" s="2" t="str">
        <f aca="false">IF($G918="","","'")</f>
        <v/>
      </c>
      <c r="J918" s="2" t="str">
        <f aca="false">""</f>
        <v/>
      </c>
      <c r="K918" s="2" t="str">
        <f aca="false">""</f>
        <v/>
      </c>
      <c r="L918" s="2" t="str">
        <f aca="false">IF($G918="","","同時")</f>
        <v/>
      </c>
      <c r="M918" s="2" t="str">
        <f aca="false">IF($G918="","",IF(ISNA(MATCH($G918,個別指定!$A:$A,0)),"行なし",""))</f>
        <v/>
      </c>
      <c r="N918" s="2" t="str">
        <f aca="false">IF($G918="","",IF(COUNTIF($G$2:$G$4460,$G918)&gt;1,"重複",""))</f>
        <v/>
      </c>
    </row>
    <row r="919" customFormat="false" ht="16.5" hidden="false" customHeight="true" outlineLevel="0" collapsed="false">
      <c r="A919" s="2" t="s">
        <v>385</v>
      </c>
      <c r="B919" s="2" t="s">
        <v>403</v>
      </c>
      <c r="C919" s="2" t="s">
        <v>35</v>
      </c>
      <c r="D919" s="2" t="str">
        <f aca="false">IF(2キー同時!$B$227="","",2キー同時!$B$227)</f>
        <v/>
      </c>
      <c r="E919" s="2" t="str">
        <f aca="false">""</f>
        <v/>
      </c>
      <c r="F919" s="2" t="str">
        <f aca="false">""</f>
        <v/>
      </c>
      <c r="G919" s="2" t="str">
        <f aca="false">IF(2キー同時!$B$227="","",IF(2キー同時!K235="","",SUBSTITUTE(SUBSTITUTE(2キー同時!K235," ",""),"　","")))</f>
        <v/>
      </c>
      <c r="H919" s="2" t="str">
        <f aca="false">IF($G919="","",2キー同時!$B$227)</f>
        <v/>
      </c>
      <c r="I919" s="2" t="str">
        <f aca="false">IF($G919="","","z")</f>
        <v/>
      </c>
      <c r="J919" s="2" t="str">
        <f aca="false">""</f>
        <v/>
      </c>
      <c r="K919" s="2" t="str">
        <f aca="false">""</f>
        <v/>
      </c>
      <c r="L919" s="2" t="str">
        <f aca="false">IF($G919="","","同時")</f>
        <v/>
      </c>
      <c r="M919" s="2" t="str">
        <f aca="false">IF($G919="","",IF(ISNA(MATCH($G919,個別指定!$A:$A,0)),"行なし",""))</f>
        <v/>
      </c>
      <c r="N919" s="2" t="str">
        <f aca="false">IF($G919="","",IF(COUNTIF($G$2:$G$4460,$G919)&gt;1,"重複",""))</f>
        <v/>
      </c>
    </row>
    <row r="920" customFormat="false" ht="16.5" hidden="false" customHeight="true" outlineLevel="0" collapsed="false">
      <c r="A920" s="2" t="s">
        <v>385</v>
      </c>
      <c r="B920" s="2" t="s">
        <v>403</v>
      </c>
      <c r="C920" s="2" t="s">
        <v>36</v>
      </c>
      <c r="D920" s="2" t="str">
        <f aca="false">IF(2キー同時!$B$227="","",2キー同時!$B$227)</f>
        <v/>
      </c>
      <c r="E920" s="2" t="str">
        <f aca="false">""</f>
        <v/>
      </c>
      <c r="F920" s="2" t="str">
        <f aca="false">""</f>
        <v/>
      </c>
      <c r="G920" s="2" t="str">
        <f aca="false">IF(2キー同時!$B$227="","",IF(2キー同時!O235="","",SUBSTITUTE(SUBSTITUTE(2キー同時!O235," ",""),"　","")))</f>
        <v/>
      </c>
      <c r="H920" s="2" t="str">
        <f aca="false">IF($G920="","",2キー同時!$B$227)</f>
        <v/>
      </c>
      <c r="I920" s="2" t="str">
        <f aca="false">IF($G920="","","x")</f>
        <v/>
      </c>
      <c r="J920" s="2" t="str">
        <f aca="false">""</f>
        <v/>
      </c>
      <c r="K920" s="2" t="str">
        <f aca="false">""</f>
        <v/>
      </c>
      <c r="L920" s="2" t="str">
        <f aca="false">IF($G920="","","同時")</f>
        <v/>
      </c>
      <c r="M920" s="2" t="str">
        <f aca="false">IF($G920="","",IF(ISNA(MATCH($G920,個別指定!$A:$A,0)),"行なし",""))</f>
        <v/>
      </c>
      <c r="N920" s="2" t="str">
        <f aca="false">IF($G920="","",IF(COUNTIF($G$2:$G$4460,$G920)&gt;1,"重複",""))</f>
        <v/>
      </c>
    </row>
    <row r="921" customFormat="false" ht="16.5" hidden="false" customHeight="true" outlineLevel="0" collapsed="false">
      <c r="A921" s="2" t="s">
        <v>385</v>
      </c>
      <c r="B921" s="2" t="s">
        <v>403</v>
      </c>
      <c r="C921" s="2" t="s">
        <v>37</v>
      </c>
      <c r="D921" s="2" t="str">
        <f aca="false">IF(2キー同時!$B$227="","",2キー同時!$B$227)</f>
        <v/>
      </c>
      <c r="E921" s="2" t="str">
        <f aca="false">""</f>
        <v/>
      </c>
      <c r="F921" s="2" t="str">
        <f aca="false">""</f>
        <v/>
      </c>
      <c r="G921" s="2" t="str">
        <f aca="false">IF(2キー同時!$B$227="","",IF(2キー同時!S235="","",SUBSTITUTE(SUBSTITUTE(2キー同時!S235," ",""),"　","")))</f>
        <v/>
      </c>
      <c r="H921" s="2" t="str">
        <f aca="false">IF($G921="","",2キー同時!$B$227)</f>
        <v/>
      </c>
      <c r="I921" s="2" t="str">
        <f aca="false">IF($G921="","","c")</f>
        <v/>
      </c>
      <c r="J921" s="2" t="str">
        <f aca="false">""</f>
        <v/>
      </c>
      <c r="K921" s="2" t="str">
        <f aca="false">""</f>
        <v/>
      </c>
      <c r="L921" s="2" t="str">
        <f aca="false">IF($G921="","","同時")</f>
        <v/>
      </c>
      <c r="M921" s="2" t="str">
        <f aca="false">IF($G921="","",IF(ISNA(MATCH($G921,個別指定!$A:$A,0)),"行なし",""))</f>
        <v/>
      </c>
      <c r="N921" s="2" t="str">
        <f aca="false">IF($G921="","",IF(COUNTIF($G$2:$G$4460,$G921)&gt;1,"重複",""))</f>
        <v/>
      </c>
    </row>
    <row r="922" customFormat="false" ht="16.5" hidden="false" customHeight="true" outlineLevel="0" collapsed="false">
      <c r="A922" s="2" t="s">
        <v>385</v>
      </c>
      <c r="B922" s="2" t="s">
        <v>403</v>
      </c>
      <c r="C922" s="2" t="s">
        <v>38</v>
      </c>
      <c r="D922" s="2" t="str">
        <f aca="false">IF(2キー同時!$B$227="","",2キー同時!$B$227)</f>
        <v/>
      </c>
      <c r="E922" s="2" t="str">
        <f aca="false">""</f>
        <v/>
      </c>
      <c r="F922" s="2" t="str">
        <f aca="false">""</f>
        <v/>
      </c>
      <c r="G922" s="2" t="str">
        <f aca="false">IF(2キー同時!$B$227="","",IF(2キー同時!W235="","",SUBSTITUTE(SUBSTITUTE(2キー同時!W235," ",""),"　","")))</f>
        <v/>
      </c>
      <c r="H922" s="2" t="str">
        <f aca="false">IF($G922="","",2キー同時!$B$227)</f>
        <v/>
      </c>
      <c r="I922" s="2" t="str">
        <f aca="false">IF($G922="","","v")</f>
        <v/>
      </c>
      <c r="J922" s="2" t="str">
        <f aca="false">""</f>
        <v/>
      </c>
      <c r="K922" s="2" t="str">
        <f aca="false">""</f>
        <v/>
      </c>
      <c r="L922" s="2" t="str">
        <f aca="false">IF($G922="","","同時")</f>
        <v/>
      </c>
      <c r="M922" s="2" t="str">
        <f aca="false">IF($G922="","",IF(ISNA(MATCH($G922,個別指定!$A:$A,0)),"行なし",""))</f>
        <v/>
      </c>
      <c r="N922" s="2" t="str">
        <f aca="false">IF($G922="","",IF(COUNTIF($G$2:$G$4460,$G922)&gt;1,"重複",""))</f>
        <v/>
      </c>
    </row>
    <row r="923" customFormat="false" ht="16.5" hidden="false" customHeight="true" outlineLevel="0" collapsed="false">
      <c r="A923" s="2" t="s">
        <v>385</v>
      </c>
      <c r="B923" s="2" t="s">
        <v>403</v>
      </c>
      <c r="C923" s="2" t="s">
        <v>39</v>
      </c>
      <c r="D923" s="2" t="str">
        <f aca="false">IF(2キー同時!$B$227="","",2キー同時!$B$227)</f>
        <v/>
      </c>
      <c r="E923" s="2" t="str">
        <f aca="false">""</f>
        <v/>
      </c>
      <c r="F923" s="2" t="str">
        <f aca="false">""</f>
        <v/>
      </c>
      <c r="G923" s="2" t="str">
        <f aca="false">IF(2キー同時!$B$227="","",IF(2キー同時!AA235="","",SUBSTITUTE(SUBSTITUTE(2キー同時!AA235," ",""),"　","")))</f>
        <v/>
      </c>
      <c r="H923" s="2" t="str">
        <f aca="false">IF($G923="","",2キー同時!$B$227)</f>
        <v/>
      </c>
      <c r="I923" s="2" t="str">
        <f aca="false">IF($G923="","","b")</f>
        <v/>
      </c>
      <c r="J923" s="2" t="str">
        <f aca="false">""</f>
        <v/>
      </c>
      <c r="K923" s="2" t="str">
        <f aca="false">""</f>
        <v/>
      </c>
      <c r="L923" s="2" t="str">
        <f aca="false">IF($G923="","","同時")</f>
        <v/>
      </c>
      <c r="M923" s="2" t="str">
        <f aca="false">IF($G923="","",IF(ISNA(MATCH($G923,個別指定!$A:$A,0)),"行なし",""))</f>
        <v/>
      </c>
      <c r="N923" s="2" t="str">
        <f aca="false">IF($G923="","",IF(COUNTIF($G$2:$G$4460,$G923)&gt;1,"重複",""))</f>
        <v/>
      </c>
    </row>
    <row r="924" customFormat="false" ht="16.5" hidden="false" customHeight="true" outlineLevel="0" collapsed="false">
      <c r="A924" s="2" t="s">
        <v>385</v>
      </c>
      <c r="B924" s="2" t="s">
        <v>403</v>
      </c>
      <c r="C924" s="2" t="s">
        <v>40</v>
      </c>
      <c r="D924" s="2" t="str">
        <f aca="false">IF(2キー同時!$B$227="","",2キー同時!$B$227)</f>
        <v/>
      </c>
      <c r="E924" s="2" t="str">
        <f aca="false">""</f>
        <v/>
      </c>
      <c r="F924" s="2" t="str">
        <f aca="false">""</f>
        <v/>
      </c>
      <c r="G924" s="2" t="str">
        <f aca="false">IF(2キー同時!$B$227="","",IF(2キー同時!AE235="","",SUBSTITUTE(SUBSTITUTE(2キー同時!AE235," ",""),"　","")))</f>
        <v/>
      </c>
      <c r="H924" s="2" t="str">
        <f aca="false">IF($G924="","",2キー同時!$B$227)</f>
        <v/>
      </c>
      <c r="I924" s="2" t="str">
        <f aca="false">IF($G924="","","n")</f>
        <v/>
      </c>
      <c r="J924" s="2" t="str">
        <f aca="false">""</f>
        <v/>
      </c>
      <c r="K924" s="2" t="str">
        <f aca="false">""</f>
        <v/>
      </c>
      <c r="L924" s="2" t="str">
        <f aca="false">IF($G924="","","同時")</f>
        <v/>
      </c>
      <c r="M924" s="2" t="str">
        <f aca="false">IF($G924="","",IF(ISNA(MATCH($G924,個別指定!$A:$A,0)),"行なし",""))</f>
        <v/>
      </c>
      <c r="N924" s="2" t="str">
        <f aca="false">IF($G924="","",IF(COUNTIF($G$2:$G$4460,$G924)&gt;1,"重複",""))</f>
        <v/>
      </c>
    </row>
    <row r="925" customFormat="false" ht="16.5" hidden="false" customHeight="true" outlineLevel="0" collapsed="false">
      <c r="A925" s="2" t="s">
        <v>385</v>
      </c>
      <c r="B925" s="2" t="s">
        <v>403</v>
      </c>
      <c r="C925" s="2" t="s">
        <v>41</v>
      </c>
      <c r="D925" s="2" t="str">
        <f aca="false">IF(2キー同時!$B$227="","",2キー同時!$B$227)</f>
        <v/>
      </c>
      <c r="E925" s="2" t="str">
        <f aca="false">""</f>
        <v/>
      </c>
      <c r="F925" s="2" t="str">
        <f aca="false">""</f>
        <v/>
      </c>
      <c r="G925" s="2" t="str">
        <f aca="false">IF(2キー同時!$B$227="","",IF(2キー同時!AI235="","",SUBSTITUTE(SUBSTITUTE(2キー同時!AI235," ",""),"　","")))</f>
        <v/>
      </c>
      <c r="H925" s="2" t="str">
        <f aca="false">IF($G925="","",2キー同時!$B$227)</f>
        <v/>
      </c>
      <c r="I925" s="2" t="str">
        <f aca="false">IF($G925="","","m")</f>
        <v/>
      </c>
      <c r="J925" s="2" t="str">
        <f aca="false">""</f>
        <v/>
      </c>
      <c r="K925" s="2" t="str">
        <f aca="false">""</f>
        <v/>
      </c>
      <c r="L925" s="2" t="str">
        <f aca="false">IF($G925="","","同時")</f>
        <v/>
      </c>
      <c r="M925" s="2" t="str">
        <f aca="false">IF($G925="","",IF(ISNA(MATCH($G925,個別指定!$A:$A,0)),"行なし",""))</f>
        <v/>
      </c>
      <c r="N925" s="2" t="str">
        <f aca="false">IF($G925="","",IF(COUNTIF($G$2:$G$4460,$G925)&gt;1,"重複",""))</f>
        <v/>
      </c>
    </row>
    <row r="926" customFormat="false" ht="16.5" hidden="false" customHeight="true" outlineLevel="0" collapsed="false">
      <c r="A926" s="2" t="s">
        <v>385</v>
      </c>
      <c r="B926" s="2" t="s">
        <v>403</v>
      </c>
      <c r="C926" s="2" t="s">
        <v>42</v>
      </c>
      <c r="D926" s="2" t="str">
        <f aca="false">IF(2キー同時!$B$227="","",2キー同時!$B$227)</f>
        <v/>
      </c>
      <c r="E926" s="2" t="str">
        <f aca="false">""</f>
        <v/>
      </c>
      <c r="F926" s="2" t="str">
        <f aca="false">""</f>
        <v/>
      </c>
      <c r="G926" s="2" t="str">
        <f aca="false">IF(2キー同時!$B$227="","",IF(2キー同時!AM235="","",SUBSTITUTE(SUBSTITUTE(2キー同時!AM235," ",""),"　","")))</f>
        <v/>
      </c>
      <c r="H926" s="2" t="str">
        <f aca="false">IF($G926="","",2キー同時!$B$227)</f>
        <v/>
      </c>
      <c r="I926" s="2" t="str">
        <f aca="false">IF($G926="","",",")</f>
        <v/>
      </c>
      <c r="J926" s="2" t="str">
        <f aca="false">""</f>
        <v/>
      </c>
      <c r="K926" s="2" t="str">
        <f aca="false">""</f>
        <v/>
      </c>
      <c r="L926" s="2" t="str">
        <f aca="false">IF($G926="","","同時")</f>
        <v/>
      </c>
      <c r="M926" s="2" t="str">
        <f aca="false">IF($G926="","",IF(ISNA(MATCH($G926,個別指定!$A:$A,0)),"行なし",""))</f>
        <v/>
      </c>
      <c r="N926" s="2" t="str">
        <f aca="false">IF($G926="","",IF(COUNTIF($G$2:$G$4460,$G926)&gt;1,"重複",""))</f>
        <v/>
      </c>
    </row>
    <row r="927" customFormat="false" ht="16.5" hidden="false" customHeight="true" outlineLevel="0" collapsed="false">
      <c r="A927" s="2" t="s">
        <v>385</v>
      </c>
      <c r="B927" s="2" t="s">
        <v>403</v>
      </c>
      <c r="C927" s="2" t="s">
        <v>43</v>
      </c>
      <c r="D927" s="2" t="str">
        <f aca="false">IF(2キー同時!$B$227="","",2キー同時!$B$227)</f>
        <v/>
      </c>
      <c r="E927" s="2" t="str">
        <f aca="false">""</f>
        <v/>
      </c>
      <c r="F927" s="2" t="str">
        <f aca="false">""</f>
        <v/>
      </c>
      <c r="G927" s="2" t="str">
        <f aca="false">IF(2キー同時!$B$227="","",IF(2キー同時!AQ235="","",SUBSTITUTE(SUBSTITUTE(2キー同時!AQ235," ",""),"　","")))</f>
        <v/>
      </c>
      <c r="H927" s="2" t="str">
        <f aca="false">IF($G927="","",2キー同時!$B$227)</f>
        <v/>
      </c>
      <c r="I927" s="2" t="str">
        <f aca="false">IF($G927="","",".")</f>
        <v/>
      </c>
      <c r="J927" s="2" t="str">
        <f aca="false">""</f>
        <v/>
      </c>
      <c r="K927" s="2" t="str">
        <f aca="false">""</f>
        <v/>
      </c>
      <c r="L927" s="2" t="str">
        <f aca="false">IF($G927="","","同時")</f>
        <v/>
      </c>
      <c r="M927" s="2" t="str">
        <f aca="false">IF($G927="","",IF(ISNA(MATCH($G927,個別指定!$A:$A,0)),"行なし",""))</f>
        <v/>
      </c>
      <c r="N927" s="2" t="str">
        <f aca="false">IF($G927="","",IF(COUNTIF($G$2:$G$4460,$G927)&gt;1,"重複",""))</f>
        <v/>
      </c>
    </row>
    <row r="928" customFormat="false" ht="16.5" hidden="false" customHeight="true" outlineLevel="0" collapsed="false">
      <c r="A928" s="2" t="s">
        <v>385</v>
      </c>
      <c r="B928" s="2" t="s">
        <v>403</v>
      </c>
      <c r="C928" s="2" t="s">
        <v>44</v>
      </c>
      <c r="D928" s="2" t="str">
        <f aca="false">IF(2キー同時!$B$227="","",2キー同時!$B$227)</f>
        <v/>
      </c>
      <c r="E928" s="2" t="str">
        <f aca="false">""</f>
        <v/>
      </c>
      <c r="F928" s="2" t="str">
        <f aca="false">""</f>
        <v/>
      </c>
      <c r="G928" s="2" t="str">
        <f aca="false">IF(2キー同時!$B$227="","",IF(2キー同時!AU235="","",SUBSTITUTE(SUBSTITUTE(2キー同時!AU235," ",""),"　","")))</f>
        <v/>
      </c>
      <c r="H928" s="2" t="str">
        <f aca="false">IF($G928="","",2キー同時!$B$227)</f>
        <v/>
      </c>
      <c r="I928" s="2" t="str">
        <f aca="false">IF($G928="","","/")</f>
        <v/>
      </c>
      <c r="J928" s="2" t="str">
        <f aca="false">""</f>
        <v/>
      </c>
      <c r="K928" s="2" t="str">
        <f aca="false">""</f>
        <v/>
      </c>
      <c r="L928" s="2" t="str">
        <f aca="false">IF($G928="","","同時")</f>
        <v/>
      </c>
      <c r="M928" s="2" t="str">
        <f aca="false">IF($G928="","",IF(ISNA(MATCH($G928,個別指定!$A:$A,0)),"行なし",""))</f>
        <v/>
      </c>
      <c r="N928" s="2" t="str">
        <f aca="false">IF($G928="","",IF(COUNTIF($G$2:$G$4460,$G928)&gt;1,"重複",""))</f>
        <v/>
      </c>
    </row>
    <row r="929" customFormat="false" ht="16.5" hidden="false" customHeight="true" outlineLevel="0" collapsed="false">
      <c r="A929" s="2" t="s">
        <v>385</v>
      </c>
      <c r="B929" s="2" t="s">
        <v>403</v>
      </c>
      <c r="C929" s="2" t="s">
        <v>48</v>
      </c>
      <c r="D929" s="2" t="str">
        <f aca="false">IF(2キー同時!$B$227="","",2キー同時!$B$227)</f>
        <v/>
      </c>
      <c r="E929" s="2" t="str">
        <f aca="false">""</f>
        <v/>
      </c>
      <c r="F929" s="2" t="str">
        <f aca="false">""</f>
        <v/>
      </c>
      <c r="G929" s="2" t="str">
        <f aca="false">IF(2キー同時!$B$227="","",IF(2キー同時!P237="","",SUBSTITUTE(SUBSTITUTE(2キー同時!P237," ",""),"　","")))</f>
        <v/>
      </c>
      <c r="H929" s="2" t="str">
        <f aca="false">IF($G929="","",2キー同時!$B$227)</f>
        <v/>
      </c>
      <c r="I929" s="2" t="str">
        <f aca="false">IF($G929="","","muhenkan")</f>
        <v/>
      </c>
      <c r="J929" s="2" t="str">
        <f aca="false">""</f>
        <v/>
      </c>
      <c r="K929" s="2" t="str">
        <f aca="false">""</f>
        <v/>
      </c>
      <c r="L929" s="2" t="str">
        <f aca="false">IF($G929="","","同時")</f>
        <v/>
      </c>
      <c r="M929" s="2" t="str">
        <f aca="false">IF($G929="","",IF(ISNA(MATCH($G929,個別指定!$A:$A,0)),"行なし",""))</f>
        <v/>
      </c>
      <c r="N929" s="2" t="str">
        <f aca="false">IF($G929="","",IF(COUNTIF($G$2:$G$4460,$G929)&gt;1,"重複",""))</f>
        <v/>
      </c>
    </row>
    <row r="930" customFormat="false" ht="16.5" hidden="false" customHeight="true" outlineLevel="0" collapsed="false">
      <c r="A930" s="2" t="s">
        <v>385</v>
      </c>
      <c r="B930" s="2" t="s">
        <v>403</v>
      </c>
      <c r="C930" s="2" t="s">
        <v>50</v>
      </c>
      <c r="D930" s="2" t="str">
        <f aca="false">IF(2キー同時!$B$227="","",2キー同時!$B$227)</f>
        <v/>
      </c>
      <c r="E930" s="2" t="str">
        <f aca="false">""</f>
        <v/>
      </c>
      <c r="F930" s="2" t="str">
        <f aca="false">""</f>
        <v/>
      </c>
      <c r="G930" s="2" t="str">
        <f aca="false">IF(2キー同時!$B$227="","",IF(2キー同時!T237="","",SUBSTITUTE(SUBSTITUTE(2キー同時!T237," ",""),"　","")))</f>
        <v/>
      </c>
      <c r="H930" s="2" t="str">
        <f aca="false">IF($G930="","",2キー同時!$B$227)</f>
        <v/>
      </c>
      <c r="I930" s="2" t="str">
        <f aca="false">IF($G930="","","space")</f>
        <v/>
      </c>
      <c r="J930" s="2" t="str">
        <f aca="false">""</f>
        <v/>
      </c>
      <c r="K930" s="2" t="str">
        <f aca="false">""</f>
        <v/>
      </c>
      <c r="L930" s="2" t="str">
        <f aca="false">IF($G930="","","同時")</f>
        <v/>
      </c>
      <c r="M930" s="2" t="str">
        <f aca="false">IF($G930="","",IF(ISNA(MATCH($G930,個別指定!$A:$A,0)),"行なし",""))</f>
        <v/>
      </c>
      <c r="N930" s="2" t="str">
        <f aca="false">IF($G930="","",IF(COUNTIF($G$2:$G$4460,$G930)&gt;1,"重複",""))</f>
        <v/>
      </c>
    </row>
    <row r="931" customFormat="false" ht="16.5" hidden="false" customHeight="true" outlineLevel="0" collapsed="false">
      <c r="A931" s="2" t="s">
        <v>385</v>
      </c>
      <c r="B931" s="2" t="s">
        <v>403</v>
      </c>
      <c r="C931" s="2" t="s">
        <v>45</v>
      </c>
      <c r="D931" s="2" t="str">
        <f aca="false">IF(2キー同時!$B$227="","",2キー同時!$B$227)</f>
        <v/>
      </c>
      <c r="E931" s="2" t="str">
        <f aca="false">""</f>
        <v/>
      </c>
      <c r="F931" s="2" t="str">
        <f aca="false">""</f>
        <v/>
      </c>
      <c r="G931" s="2" t="str">
        <f aca="false">IF(2キー同時!$B$227="","",IF(2キー同時!AL237="","",SUBSTITUTE(SUBSTITUTE(2キー同時!AL237," ",""),"　","")))</f>
        <v/>
      </c>
      <c r="H931" s="2" t="str">
        <f aca="false">IF($G931="","",2キー同時!$B$227)</f>
        <v/>
      </c>
      <c r="I931" s="2" t="str">
        <f aca="false">IF($G931="","","henkan")</f>
        <v/>
      </c>
      <c r="J931" s="2" t="str">
        <f aca="false">""</f>
        <v/>
      </c>
      <c r="K931" s="2" t="str">
        <f aca="false">""</f>
        <v/>
      </c>
      <c r="L931" s="2" t="str">
        <f aca="false">IF($G931="","","同時")</f>
        <v/>
      </c>
      <c r="M931" s="2" t="str">
        <f aca="false">IF($G931="","",IF(ISNA(MATCH($G931,個別指定!$A:$A,0)),"行なし",""))</f>
        <v/>
      </c>
      <c r="N931" s="2" t="str">
        <f aca="false">IF($G931="","",IF(COUNTIF($G$2:$G$4460,$G931)&gt;1,"重複",""))</f>
        <v/>
      </c>
    </row>
    <row r="932" customFormat="false" ht="16.5" hidden="false" customHeight="true" outlineLevel="0" collapsed="false">
      <c r="A932" s="2" t="s">
        <v>385</v>
      </c>
      <c r="B932" s="2" t="s">
        <v>403</v>
      </c>
      <c r="C932" s="2" t="s">
        <v>46</v>
      </c>
      <c r="D932" s="2" t="str">
        <f aca="false">IF(2キー同時!$B$227="","",2キー同時!$B$227)</f>
        <v/>
      </c>
      <c r="E932" s="2" t="str">
        <f aca="false">""</f>
        <v/>
      </c>
      <c r="F932" s="2" t="str">
        <f aca="false">""</f>
        <v/>
      </c>
      <c r="G932" s="2" t="str">
        <f aca="false">IF(2キー同時!$B$227="","",IF(2キー同時!AP237="","",SUBSTITUTE(SUBSTITUTE(2キー同時!AP237," ",""),"　","")))</f>
        <v/>
      </c>
      <c r="H932" s="2" t="str">
        <f aca="false">IF($G932="","",2キー同時!$B$227)</f>
        <v/>
      </c>
      <c r="I932" s="2" t="str">
        <f aca="false">IF($G932="","","kana")</f>
        <v/>
      </c>
      <c r="J932" s="2" t="str">
        <f aca="false">""</f>
        <v/>
      </c>
      <c r="K932" s="2" t="str">
        <f aca="false">""</f>
        <v/>
      </c>
      <c r="L932" s="2" t="str">
        <f aca="false">IF($G932="","","同時")</f>
        <v/>
      </c>
      <c r="M932" s="2" t="str">
        <f aca="false">IF($G932="","",IF(ISNA(MATCH($G932,個別指定!$A:$A,0)),"行なし",""))</f>
        <v/>
      </c>
      <c r="N932" s="2" t="str">
        <f aca="false">IF($G932="","",IF(COUNTIF($G$2:$G$4460,$G932)&gt;1,"重複",""))</f>
        <v/>
      </c>
    </row>
    <row r="933" customFormat="false" ht="16.5" hidden="false" customHeight="true" outlineLevel="0" collapsed="false">
      <c r="A933" s="2" t="s">
        <v>385</v>
      </c>
      <c r="B933" s="2" t="s">
        <v>404</v>
      </c>
      <c r="C933" s="2" t="s">
        <v>0</v>
      </c>
      <c r="D933" s="2" t="str">
        <f aca="false">IF(2キー同時!$B$240="","",2キー同時!$B$240)</f>
        <v/>
      </c>
      <c r="E933" s="2" t="str">
        <f aca="false">""</f>
        <v/>
      </c>
      <c r="F933" s="2" t="str">
        <f aca="false">""</f>
        <v/>
      </c>
      <c r="G933" s="2" t="str">
        <f aca="false">IF(2キー同時!$B$240="","",IF(2キー同時!F242="","",SUBSTITUTE(SUBSTITUTE(2キー同時!F242," ",""),"　","")))</f>
        <v/>
      </c>
      <c r="H933" s="2" t="str">
        <f aca="false">IF($G933="","",2キー同時!$B$240)</f>
        <v/>
      </c>
      <c r="I933" s="2" t="str">
        <f aca="false">IF($G933="","","1")</f>
        <v/>
      </c>
      <c r="J933" s="2" t="str">
        <f aca="false">""</f>
        <v/>
      </c>
      <c r="K933" s="2" t="str">
        <f aca="false">""</f>
        <v/>
      </c>
      <c r="L933" s="2" t="str">
        <f aca="false">IF($G933="","","同時")</f>
        <v/>
      </c>
      <c r="M933" s="2" t="str">
        <f aca="false">IF($G933="","",IF(ISNA(MATCH($G933,個別指定!$A:$A,0)),"行なし",""))</f>
        <v/>
      </c>
      <c r="N933" s="2" t="str">
        <f aca="false">IF($G933="","",IF(COUNTIF($G$2:$G$4460,$G933)&gt;1,"重複",""))</f>
        <v/>
      </c>
    </row>
    <row r="934" customFormat="false" ht="16.5" hidden="false" customHeight="true" outlineLevel="0" collapsed="false">
      <c r="A934" s="2" t="s">
        <v>385</v>
      </c>
      <c r="B934" s="2" t="s">
        <v>404</v>
      </c>
      <c r="C934" s="2" t="s">
        <v>1</v>
      </c>
      <c r="D934" s="2" t="str">
        <f aca="false">IF(2キー同時!$B$240="","",2キー同時!$B$240)</f>
        <v/>
      </c>
      <c r="E934" s="2" t="str">
        <f aca="false">""</f>
        <v/>
      </c>
      <c r="F934" s="2" t="str">
        <f aca="false">""</f>
        <v/>
      </c>
      <c r="G934" s="2" t="str">
        <f aca="false">IF(2キー同時!$B$240="","",IF(2キー同時!J242="","",SUBSTITUTE(SUBSTITUTE(2キー同時!J242," ",""),"　","")))</f>
        <v/>
      </c>
      <c r="H934" s="2" t="str">
        <f aca="false">IF($G934="","",2キー同時!$B$240)</f>
        <v/>
      </c>
      <c r="I934" s="2" t="str">
        <f aca="false">IF($G934="","","2")</f>
        <v/>
      </c>
      <c r="J934" s="2" t="str">
        <f aca="false">""</f>
        <v/>
      </c>
      <c r="K934" s="2" t="str">
        <f aca="false">""</f>
        <v/>
      </c>
      <c r="L934" s="2" t="str">
        <f aca="false">IF($G934="","","同時")</f>
        <v/>
      </c>
      <c r="M934" s="2" t="str">
        <f aca="false">IF($G934="","",IF(ISNA(MATCH($G934,個別指定!$A:$A,0)),"行なし",""))</f>
        <v/>
      </c>
      <c r="N934" s="2" t="str">
        <f aca="false">IF($G934="","",IF(COUNTIF($G$2:$G$4460,$G934)&gt;1,"重複",""))</f>
        <v/>
      </c>
    </row>
    <row r="935" customFormat="false" ht="16.5" hidden="false" customHeight="true" outlineLevel="0" collapsed="false">
      <c r="A935" s="2" t="s">
        <v>385</v>
      </c>
      <c r="B935" s="2" t="s">
        <v>404</v>
      </c>
      <c r="C935" s="2" t="s">
        <v>2</v>
      </c>
      <c r="D935" s="2" t="str">
        <f aca="false">IF(2キー同時!$B$240="","",2キー同時!$B$240)</f>
        <v/>
      </c>
      <c r="E935" s="2" t="str">
        <f aca="false">""</f>
        <v/>
      </c>
      <c r="F935" s="2" t="str">
        <f aca="false">""</f>
        <v/>
      </c>
      <c r="G935" s="2" t="str">
        <f aca="false">IF(2キー同時!$B$240="","",IF(2キー同時!N242="","",SUBSTITUTE(SUBSTITUTE(2キー同時!N242," ",""),"　","")))</f>
        <v/>
      </c>
      <c r="H935" s="2" t="str">
        <f aca="false">IF($G935="","",2キー同時!$B$240)</f>
        <v/>
      </c>
      <c r="I935" s="2" t="str">
        <f aca="false">IF($G935="","","3")</f>
        <v/>
      </c>
      <c r="J935" s="2" t="str">
        <f aca="false">""</f>
        <v/>
      </c>
      <c r="K935" s="2" t="str">
        <f aca="false">""</f>
        <v/>
      </c>
      <c r="L935" s="2" t="str">
        <f aca="false">IF($G935="","","同時")</f>
        <v/>
      </c>
      <c r="M935" s="2" t="str">
        <f aca="false">IF($G935="","",IF(ISNA(MATCH($G935,個別指定!$A:$A,0)),"行なし",""))</f>
        <v/>
      </c>
      <c r="N935" s="2" t="str">
        <f aca="false">IF($G935="","",IF(COUNTIF($G$2:$G$4460,$G935)&gt;1,"重複",""))</f>
        <v/>
      </c>
    </row>
    <row r="936" customFormat="false" ht="16.5" hidden="false" customHeight="true" outlineLevel="0" collapsed="false">
      <c r="A936" s="2" t="s">
        <v>385</v>
      </c>
      <c r="B936" s="2" t="s">
        <v>404</v>
      </c>
      <c r="C936" s="2" t="s">
        <v>3</v>
      </c>
      <c r="D936" s="2" t="str">
        <f aca="false">IF(2キー同時!$B$240="","",2キー同時!$B$240)</f>
        <v/>
      </c>
      <c r="E936" s="2" t="str">
        <f aca="false">""</f>
        <v/>
      </c>
      <c r="F936" s="2" t="str">
        <f aca="false">""</f>
        <v/>
      </c>
      <c r="G936" s="2" t="str">
        <f aca="false">IF(2キー同時!$B$240="","",IF(2キー同時!R242="","",SUBSTITUTE(SUBSTITUTE(2キー同時!R242," ",""),"　","")))</f>
        <v/>
      </c>
      <c r="H936" s="2" t="str">
        <f aca="false">IF($G936="","",2キー同時!$B$240)</f>
        <v/>
      </c>
      <c r="I936" s="2" t="str">
        <f aca="false">IF($G936="","","4")</f>
        <v/>
      </c>
      <c r="J936" s="2" t="str">
        <f aca="false">""</f>
        <v/>
      </c>
      <c r="K936" s="2" t="str">
        <f aca="false">""</f>
        <v/>
      </c>
      <c r="L936" s="2" t="str">
        <f aca="false">IF($G936="","","同時")</f>
        <v/>
      </c>
      <c r="M936" s="2" t="str">
        <f aca="false">IF($G936="","",IF(ISNA(MATCH($G936,個別指定!$A:$A,0)),"行なし",""))</f>
        <v/>
      </c>
      <c r="N936" s="2" t="str">
        <f aca="false">IF($G936="","",IF(COUNTIF($G$2:$G$4460,$G936)&gt;1,"重複",""))</f>
        <v/>
      </c>
    </row>
    <row r="937" customFormat="false" ht="16.5" hidden="false" customHeight="true" outlineLevel="0" collapsed="false">
      <c r="A937" s="2" t="s">
        <v>385</v>
      </c>
      <c r="B937" s="2" t="s">
        <v>404</v>
      </c>
      <c r="C937" s="2" t="s">
        <v>4</v>
      </c>
      <c r="D937" s="2" t="str">
        <f aca="false">IF(2キー同時!$B$240="","",2キー同時!$B$240)</f>
        <v/>
      </c>
      <c r="E937" s="2" t="str">
        <f aca="false">""</f>
        <v/>
      </c>
      <c r="F937" s="2" t="str">
        <f aca="false">""</f>
        <v/>
      </c>
      <c r="G937" s="2" t="str">
        <f aca="false">IF(2キー同時!$B$240="","",IF(2キー同時!V242="","",SUBSTITUTE(SUBSTITUTE(2キー同時!V242," ",""),"　","")))</f>
        <v/>
      </c>
      <c r="H937" s="2" t="str">
        <f aca="false">IF($G937="","",2キー同時!$B$240)</f>
        <v/>
      </c>
      <c r="I937" s="2" t="str">
        <f aca="false">IF($G937="","","5")</f>
        <v/>
      </c>
      <c r="J937" s="2" t="str">
        <f aca="false">""</f>
        <v/>
      </c>
      <c r="K937" s="2" t="str">
        <f aca="false">""</f>
        <v/>
      </c>
      <c r="L937" s="2" t="str">
        <f aca="false">IF($G937="","","同時")</f>
        <v/>
      </c>
      <c r="M937" s="2" t="str">
        <f aca="false">IF($G937="","",IF(ISNA(MATCH($G937,個別指定!$A:$A,0)),"行なし",""))</f>
        <v/>
      </c>
      <c r="N937" s="2" t="str">
        <f aca="false">IF($G937="","",IF(COUNTIF($G$2:$G$4460,$G937)&gt;1,"重複",""))</f>
        <v/>
      </c>
    </row>
    <row r="938" customFormat="false" ht="16.5" hidden="false" customHeight="true" outlineLevel="0" collapsed="false">
      <c r="A938" s="2" t="s">
        <v>385</v>
      </c>
      <c r="B938" s="2" t="s">
        <v>404</v>
      </c>
      <c r="C938" s="2" t="s">
        <v>5</v>
      </c>
      <c r="D938" s="2" t="str">
        <f aca="false">IF(2キー同時!$B$240="","",2キー同時!$B$240)</f>
        <v/>
      </c>
      <c r="E938" s="2" t="str">
        <f aca="false">""</f>
        <v/>
      </c>
      <c r="F938" s="2" t="str">
        <f aca="false">""</f>
        <v/>
      </c>
      <c r="G938" s="2" t="str">
        <f aca="false">IF(2キー同時!$B$240="","",IF(2キー同時!Z242="","",SUBSTITUTE(SUBSTITUTE(2キー同時!Z242," ",""),"　","")))</f>
        <v/>
      </c>
      <c r="H938" s="2" t="str">
        <f aca="false">IF($G938="","",2キー同時!$B$240)</f>
        <v/>
      </c>
      <c r="I938" s="2" t="str">
        <f aca="false">IF($G938="","","6")</f>
        <v/>
      </c>
      <c r="J938" s="2" t="str">
        <f aca="false">""</f>
        <v/>
      </c>
      <c r="K938" s="2" t="str">
        <f aca="false">""</f>
        <v/>
      </c>
      <c r="L938" s="2" t="str">
        <f aca="false">IF($G938="","","同時")</f>
        <v/>
      </c>
      <c r="M938" s="2" t="str">
        <f aca="false">IF($G938="","",IF(ISNA(MATCH($G938,個別指定!$A:$A,0)),"行なし",""))</f>
        <v/>
      </c>
      <c r="N938" s="2" t="str">
        <f aca="false">IF($G938="","",IF(COUNTIF($G$2:$G$4460,$G938)&gt;1,"重複",""))</f>
        <v/>
      </c>
    </row>
    <row r="939" customFormat="false" ht="16.5" hidden="false" customHeight="true" outlineLevel="0" collapsed="false">
      <c r="A939" s="2" t="s">
        <v>385</v>
      </c>
      <c r="B939" s="2" t="s">
        <v>404</v>
      </c>
      <c r="C939" s="2" t="s">
        <v>6</v>
      </c>
      <c r="D939" s="2" t="str">
        <f aca="false">IF(2キー同時!$B$240="","",2キー同時!$B$240)</f>
        <v/>
      </c>
      <c r="E939" s="2" t="str">
        <f aca="false">""</f>
        <v/>
      </c>
      <c r="F939" s="2" t="str">
        <f aca="false">""</f>
        <v/>
      </c>
      <c r="G939" s="2" t="str">
        <f aca="false">IF(2キー同時!$B$240="","",IF(2キー同時!AD242="","",SUBSTITUTE(SUBSTITUTE(2キー同時!AD242," ",""),"　","")))</f>
        <v/>
      </c>
      <c r="H939" s="2" t="str">
        <f aca="false">IF($G939="","",2キー同時!$B$240)</f>
        <v/>
      </c>
      <c r="I939" s="2" t="str">
        <f aca="false">IF($G939="","","7")</f>
        <v/>
      </c>
      <c r="J939" s="2" t="str">
        <f aca="false">""</f>
        <v/>
      </c>
      <c r="K939" s="2" t="str">
        <f aca="false">""</f>
        <v/>
      </c>
      <c r="L939" s="2" t="str">
        <f aca="false">IF($G939="","","同時")</f>
        <v/>
      </c>
      <c r="M939" s="2" t="str">
        <f aca="false">IF($G939="","",IF(ISNA(MATCH($G939,個別指定!$A:$A,0)),"行なし",""))</f>
        <v/>
      </c>
      <c r="N939" s="2" t="str">
        <f aca="false">IF($G939="","",IF(COUNTIF($G$2:$G$4460,$G939)&gt;1,"重複",""))</f>
        <v/>
      </c>
    </row>
    <row r="940" customFormat="false" ht="16.5" hidden="false" customHeight="true" outlineLevel="0" collapsed="false">
      <c r="A940" s="2" t="s">
        <v>385</v>
      </c>
      <c r="B940" s="2" t="s">
        <v>404</v>
      </c>
      <c r="C940" s="2" t="s">
        <v>7</v>
      </c>
      <c r="D940" s="2" t="str">
        <f aca="false">IF(2キー同時!$B$240="","",2キー同時!$B$240)</f>
        <v/>
      </c>
      <c r="E940" s="2" t="str">
        <f aca="false">""</f>
        <v/>
      </c>
      <c r="F940" s="2" t="str">
        <f aca="false">""</f>
        <v/>
      </c>
      <c r="G940" s="2" t="str">
        <f aca="false">IF(2キー同時!$B$240="","",IF(2キー同時!AH242="","",SUBSTITUTE(SUBSTITUTE(2キー同時!AH242," ",""),"　","")))</f>
        <v/>
      </c>
      <c r="H940" s="2" t="str">
        <f aca="false">IF($G940="","",2キー同時!$B$240)</f>
        <v/>
      </c>
      <c r="I940" s="2" t="str">
        <f aca="false">IF($G940="","","8")</f>
        <v/>
      </c>
      <c r="J940" s="2" t="str">
        <f aca="false">""</f>
        <v/>
      </c>
      <c r="K940" s="2" t="str">
        <f aca="false">""</f>
        <v/>
      </c>
      <c r="L940" s="2" t="str">
        <f aca="false">IF($G940="","","同時")</f>
        <v/>
      </c>
      <c r="M940" s="2" t="str">
        <f aca="false">IF($G940="","",IF(ISNA(MATCH($G940,個別指定!$A:$A,0)),"行なし",""))</f>
        <v/>
      </c>
      <c r="N940" s="2" t="str">
        <f aca="false">IF($G940="","",IF(COUNTIF($G$2:$G$4460,$G940)&gt;1,"重複",""))</f>
        <v/>
      </c>
    </row>
    <row r="941" customFormat="false" ht="16.5" hidden="false" customHeight="true" outlineLevel="0" collapsed="false">
      <c r="A941" s="2" t="s">
        <v>385</v>
      </c>
      <c r="B941" s="2" t="s">
        <v>404</v>
      </c>
      <c r="C941" s="2" t="s">
        <v>8</v>
      </c>
      <c r="D941" s="2" t="str">
        <f aca="false">IF(2キー同時!$B$240="","",2キー同時!$B$240)</f>
        <v/>
      </c>
      <c r="E941" s="2" t="str">
        <f aca="false">""</f>
        <v/>
      </c>
      <c r="F941" s="2" t="str">
        <f aca="false">""</f>
        <v/>
      </c>
      <c r="G941" s="2" t="str">
        <f aca="false">IF(2キー同時!$B$240="","",IF(2キー同時!AL242="","",SUBSTITUTE(SUBSTITUTE(2キー同時!AL242," ",""),"　","")))</f>
        <v/>
      </c>
      <c r="H941" s="2" t="str">
        <f aca="false">IF($G941="","",2キー同時!$B$240)</f>
        <v/>
      </c>
      <c r="I941" s="2" t="str">
        <f aca="false">IF($G941="","","9")</f>
        <v/>
      </c>
      <c r="J941" s="2" t="str">
        <f aca="false">""</f>
        <v/>
      </c>
      <c r="K941" s="2" t="str">
        <f aca="false">""</f>
        <v/>
      </c>
      <c r="L941" s="2" t="str">
        <f aca="false">IF($G941="","","同時")</f>
        <v/>
      </c>
      <c r="M941" s="2" t="str">
        <f aca="false">IF($G941="","",IF(ISNA(MATCH($G941,個別指定!$A:$A,0)),"行なし",""))</f>
        <v/>
      </c>
      <c r="N941" s="2" t="str">
        <f aca="false">IF($G941="","",IF(COUNTIF($G$2:$G$4460,$G941)&gt;1,"重複",""))</f>
        <v/>
      </c>
    </row>
    <row r="942" customFormat="false" ht="16.5" hidden="false" customHeight="true" outlineLevel="0" collapsed="false">
      <c r="A942" s="2" t="s">
        <v>385</v>
      </c>
      <c r="B942" s="2" t="s">
        <v>404</v>
      </c>
      <c r="C942" s="2" t="s">
        <v>9</v>
      </c>
      <c r="D942" s="2" t="str">
        <f aca="false">IF(2キー同時!$B$240="","",2キー同時!$B$240)</f>
        <v/>
      </c>
      <c r="E942" s="2" t="str">
        <f aca="false">""</f>
        <v/>
      </c>
      <c r="F942" s="2" t="str">
        <f aca="false">""</f>
        <v/>
      </c>
      <c r="G942" s="2" t="str">
        <f aca="false">IF(2キー同時!$B$240="","",IF(2キー同時!AP242="","",SUBSTITUTE(SUBSTITUTE(2キー同時!AP242," ",""),"　","")))</f>
        <v/>
      </c>
      <c r="H942" s="2" t="str">
        <f aca="false">IF($G942="","",2キー同時!$B$240)</f>
        <v/>
      </c>
      <c r="I942" s="2" t="str">
        <f aca="false">IF($G942="","","0")</f>
        <v/>
      </c>
      <c r="J942" s="2" t="str">
        <f aca="false">""</f>
        <v/>
      </c>
      <c r="K942" s="2" t="str">
        <f aca="false">""</f>
        <v/>
      </c>
      <c r="L942" s="2" t="str">
        <f aca="false">IF($G942="","","同時")</f>
        <v/>
      </c>
      <c r="M942" s="2" t="str">
        <f aca="false">IF($G942="","",IF(ISNA(MATCH($G942,個別指定!$A:$A,0)),"行なし",""))</f>
        <v/>
      </c>
      <c r="N942" s="2" t="str">
        <f aca="false">IF($G942="","",IF(COUNTIF($G$2:$G$4460,$G942)&gt;1,"重複",""))</f>
        <v/>
      </c>
    </row>
    <row r="943" customFormat="false" ht="16.5" hidden="false" customHeight="true" outlineLevel="0" collapsed="false">
      <c r="A943" s="2" t="s">
        <v>385</v>
      </c>
      <c r="B943" s="2" t="s">
        <v>404</v>
      </c>
      <c r="C943" s="2" t="s">
        <v>10</v>
      </c>
      <c r="D943" s="2" t="str">
        <f aca="false">IF(2キー同時!$B$240="","",2キー同時!$B$240)</f>
        <v/>
      </c>
      <c r="E943" s="2" t="str">
        <f aca="false">""</f>
        <v/>
      </c>
      <c r="F943" s="2" t="str">
        <f aca="false">""</f>
        <v/>
      </c>
      <c r="G943" s="2" t="str">
        <f aca="false">IF(2キー同時!$B$240="","",IF(2キー同時!AT242="","",SUBSTITUTE(SUBSTITUTE(2キー同時!AT242," ",""),"　","")))</f>
        <v/>
      </c>
      <c r="H943" s="2" t="str">
        <f aca="false">IF($G943="","",2キー同時!$B$240)</f>
        <v/>
      </c>
      <c r="I943" s="2" t="str">
        <f aca="false">IF($G943="","","-")</f>
        <v/>
      </c>
      <c r="J943" s="2" t="str">
        <f aca="false">""</f>
        <v/>
      </c>
      <c r="K943" s="2" t="str">
        <f aca="false">""</f>
        <v/>
      </c>
      <c r="L943" s="2" t="str">
        <f aca="false">IF($G943="","","同時")</f>
        <v/>
      </c>
      <c r="M943" s="2" t="str">
        <f aca="false">IF($G943="","",IF(ISNA(MATCH($G943,個別指定!$A:$A,0)),"行なし",""))</f>
        <v/>
      </c>
      <c r="N943" s="2" t="str">
        <f aca="false">IF($G943="","",IF(COUNTIF($G$2:$G$4460,$G943)&gt;1,"重複",""))</f>
        <v/>
      </c>
    </row>
    <row r="944" customFormat="false" ht="16.5" hidden="false" customHeight="true" outlineLevel="0" collapsed="false">
      <c r="A944" s="2" t="s">
        <v>385</v>
      </c>
      <c r="B944" s="2" t="s">
        <v>404</v>
      </c>
      <c r="C944" s="2" t="s">
        <v>11</v>
      </c>
      <c r="D944" s="2" t="str">
        <f aca="false">IF(2キー同時!$B$240="","",2キー同時!$B$240)</f>
        <v/>
      </c>
      <c r="E944" s="2" t="str">
        <f aca="false">""</f>
        <v/>
      </c>
      <c r="F944" s="2" t="str">
        <f aca="false">""</f>
        <v/>
      </c>
      <c r="G944" s="2" t="str">
        <f aca="false">IF(2キー同時!$B$240="","",IF(2キー同時!AX242="","",SUBSTITUTE(SUBSTITUTE(2キー同時!AX242," ",""),"　","")))</f>
        <v/>
      </c>
      <c r="H944" s="2" t="str">
        <f aca="false">IF($G944="","",2キー同時!$B$240)</f>
        <v/>
      </c>
      <c r="I944" s="2" t="str">
        <f aca="false">IF($G944="","","=")</f>
        <v/>
      </c>
      <c r="J944" s="2" t="str">
        <f aca="false">""</f>
        <v/>
      </c>
      <c r="K944" s="2" t="str">
        <f aca="false">""</f>
        <v/>
      </c>
      <c r="L944" s="2" t="str">
        <f aca="false">IF($G944="","","同時")</f>
        <v/>
      </c>
      <c r="M944" s="2" t="str">
        <f aca="false">IF($G944="","",IF(ISNA(MATCH($G944,個別指定!$A:$A,0)),"行なし",""))</f>
        <v/>
      </c>
      <c r="N944" s="2" t="str">
        <f aca="false">IF($G944="","",IF(COUNTIF($G$2:$G$4460,$G944)&gt;1,"重複",""))</f>
        <v/>
      </c>
    </row>
    <row r="945" customFormat="false" ht="16.5" hidden="false" customHeight="true" outlineLevel="0" collapsed="false">
      <c r="A945" s="2" t="s">
        <v>385</v>
      </c>
      <c r="B945" s="2" t="s">
        <v>404</v>
      </c>
      <c r="C945" s="2" t="s">
        <v>12</v>
      </c>
      <c r="D945" s="2" t="str">
        <f aca="false">IF(2キー同時!$B$240="","",2キー同時!$B$240)</f>
        <v/>
      </c>
      <c r="E945" s="2" t="str">
        <f aca="false">""</f>
        <v/>
      </c>
      <c r="F945" s="2" t="str">
        <f aca="false">""</f>
        <v/>
      </c>
      <c r="G945" s="2" t="str">
        <f aca="false">IF(2キー同時!$B$240="","",IF(2キー同時!H244="","",SUBSTITUTE(SUBSTITUTE(2キー同時!H244," ",""),"　","")))</f>
        <v/>
      </c>
      <c r="H945" s="2" t="str">
        <f aca="false">IF($G945="","",2キー同時!$B$240)</f>
        <v/>
      </c>
      <c r="I945" s="2" t="str">
        <f aca="false">IF($G945="","","q")</f>
        <v/>
      </c>
      <c r="J945" s="2" t="str">
        <f aca="false">""</f>
        <v/>
      </c>
      <c r="K945" s="2" t="str">
        <f aca="false">""</f>
        <v/>
      </c>
      <c r="L945" s="2" t="str">
        <f aca="false">IF($G945="","","同時")</f>
        <v/>
      </c>
      <c r="M945" s="2" t="str">
        <f aca="false">IF($G945="","",IF(ISNA(MATCH($G945,個別指定!$A:$A,0)),"行なし",""))</f>
        <v/>
      </c>
      <c r="N945" s="2" t="str">
        <f aca="false">IF($G945="","",IF(COUNTIF($G$2:$G$4460,$G945)&gt;1,"重複",""))</f>
        <v/>
      </c>
    </row>
    <row r="946" customFormat="false" ht="16.5" hidden="false" customHeight="true" outlineLevel="0" collapsed="false">
      <c r="A946" s="2" t="s">
        <v>385</v>
      </c>
      <c r="B946" s="2" t="s">
        <v>404</v>
      </c>
      <c r="C946" s="2" t="s">
        <v>13</v>
      </c>
      <c r="D946" s="2" t="str">
        <f aca="false">IF(2キー同時!$B$240="","",2キー同時!$B$240)</f>
        <v/>
      </c>
      <c r="E946" s="2" t="str">
        <f aca="false">""</f>
        <v/>
      </c>
      <c r="F946" s="2" t="str">
        <f aca="false">""</f>
        <v/>
      </c>
      <c r="G946" s="2" t="str">
        <f aca="false">IF(2キー同時!$B$240="","",IF(2キー同時!L244="","",SUBSTITUTE(SUBSTITUTE(2キー同時!L244," ",""),"　","")))</f>
        <v/>
      </c>
      <c r="H946" s="2" t="str">
        <f aca="false">IF($G946="","",2キー同時!$B$240)</f>
        <v/>
      </c>
      <c r="I946" s="2" t="str">
        <f aca="false">IF($G946="","","w")</f>
        <v/>
      </c>
      <c r="J946" s="2" t="str">
        <f aca="false">""</f>
        <v/>
      </c>
      <c r="K946" s="2" t="str">
        <f aca="false">""</f>
        <v/>
      </c>
      <c r="L946" s="2" t="str">
        <f aca="false">IF($G946="","","同時")</f>
        <v/>
      </c>
      <c r="M946" s="2" t="str">
        <f aca="false">IF($G946="","",IF(ISNA(MATCH($G946,個別指定!$A:$A,0)),"行なし",""))</f>
        <v/>
      </c>
      <c r="N946" s="2" t="str">
        <f aca="false">IF($G946="","",IF(COUNTIF($G$2:$G$4460,$G946)&gt;1,"重複",""))</f>
        <v/>
      </c>
    </row>
    <row r="947" customFormat="false" ht="16.5" hidden="false" customHeight="true" outlineLevel="0" collapsed="false">
      <c r="A947" s="2" t="s">
        <v>385</v>
      </c>
      <c r="B947" s="2" t="s">
        <v>404</v>
      </c>
      <c r="C947" s="2" t="s">
        <v>14</v>
      </c>
      <c r="D947" s="2" t="str">
        <f aca="false">IF(2キー同時!$B$240="","",2キー同時!$B$240)</f>
        <v/>
      </c>
      <c r="E947" s="2" t="str">
        <f aca="false">""</f>
        <v/>
      </c>
      <c r="F947" s="2" t="str">
        <f aca="false">""</f>
        <v/>
      </c>
      <c r="G947" s="2" t="str">
        <f aca="false">IF(2キー同時!$B$240="","",IF(2キー同時!P244="","",SUBSTITUTE(SUBSTITUTE(2キー同時!P244," ",""),"　","")))</f>
        <v/>
      </c>
      <c r="H947" s="2" t="str">
        <f aca="false">IF($G947="","",2キー同時!$B$240)</f>
        <v/>
      </c>
      <c r="I947" s="2" t="str">
        <f aca="false">IF($G947="","","e")</f>
        <v/>
      </c>
      <c r="J947" s="2" t="str">
        <f aca="false">""</f>
        <v/>
      </c>
      <c r="K947" s="2" t="str">
        <f aca="false">""</f>
        <v/>
      </c>
      <c r="L947" s="2" t="str">
        <f aca="false">IF($G947="","","同時")</f>
        <v/>
      </c>
      <c r="M947" s="2" t="str">
        <f aca="false">IF($G947="","",IF(ISNA(MATCH($G947,個別指定!$A:$A,0)),"行なし",""))</f>
        <v/>
      </c>
      <c r="N947" s="2" t="str">
        <f aca="false">IF($G947="","",IF(COUNTIF($G$2:$G$4460,$G947)&gt;1,"重複",""))</f>
        <v/>
      </c>
    </row>
    <row r="948" customFormat="false" ht="16.5" hidden="false" customHeight="true" outlineLevel="0" collapsed="false">
      <c r="A948" s="2" t="s">
        <v>385</v>
      </c>
      <c r="B948" s="2" t="s">
        <v>404</v>
      </c>
      <c r="C948" s="2" t="s">
        <v>15</v>
      </c>
      <c r="D948" s="2" t="str">
        <f aca="false">IF(2キー同時!$B$240="","",2キー同時!$B$240)</f>
        <v/>
      </c>
      <c r="E948" s="2" t="str">
        <f aca="false">""</f>
        <v/>
      </c>
      <c r="F948" s="2" t="str">
        <f aca="false">""</f>
        <v/>
      </c>
      <c r="G948" s="2" t="str">
        <f aca="false">IF(2キー同時!$B$240="","",IF(2キー同時!T244="","",SUBSTITUTE(SUBSTITUTE(2キー同時!T244," ",""),"　","")))</f>
        <v/>
      </c>
      <c r="H948" s="2" t="str">
        <f aca="false">IF($G948="","",2キー同時!$B$240)</f>
        <v/>
      </c>
      <c r="I948" s="2" t="str">
        <f aca="false">IF($G948="","","r")</f>
        <v/>
      </c>
      <c r="J948" s="2" t="str">
        <f aca="false">""</f>
        <v/>
      </c>
      <c r="K948" s="2" t="str">
        <f aca="false">""</f>
        <v/>
      </c>
      <c r="L948" s="2" t="str">
        <f aca="false">IF($G948="","","同時")</f>
        <v/>
      </c>
      <c r="M948" s="2" t="str">
        <f aca="false">IF($G948="","",IF(ISNA(MATCH($G948,個別指定!$A:$A,0)),"行なし",""))</f>
        <v/>
      </c>
      <c r="N948" s="2" t="str">
        <f aca="false">IF($G948="","",IF(COUNTIF($G$2:$G$4460,$G948)&gt;1,"重複",""))</f>
        <v/>
      </c>
    </row>
    <row r="949" customFormat="false" ht="16.5" hidden="false" customHeight="true" outlineLevel="0" collapsed="false">
      <c r="A949" s="2" t="s">
        <v>385</v>
      </c>
      <c r="B949" s="2" t="s">
        <v>404</v>
      </c>
      <c r="C949" s="2" t="s">
        <v>16</v>
      </c>
      <c r="D949" s="2" t="str">
        <f aca="false">IF(2キー同時!$B$240="","",2キー同時!$B$240)</f>
        <v/>
      </c>
      <c r="E949" s="2" t="str">
        <f aca="false">""</f>
        <v/>
      </c>
      <c r="F949" s="2" t="str">
        <f aca="false">""</f>
        <v/>
      </c>
      <c r="G949" s="2" t="str">
        <f aca="false">IF(2キー同時!$B$240="","",IF(2キー同時!X244="","",SUBSTITUTE(SUBSTITUTE(2キー同時!X244," ",""),"　","")))</f>
        <v/>
      </c>
      <c r="H949" s="2" t="str">
        <f aca="false">IF($G949="","",2キー同時!$B$240)</f>
        <v/>
      </c>
      <c r="I949" s="2" t="str">
        <f aca="false">IF($G949="","","t")</f>
        <v/>
      </c>
      <c r="J949" s="2" t="str">
        <f aca="false">""</f>
        <v/>
      </c>
      <c r="K949" s="2" t="str">
        <f aca="false">""</f>
        <v/>
      </c>
      <c r="L949" s="2" t="str">
        <f aca="false">IF($G949="","","同時")</f>
        <v/>
      </c>
      <c r="M949" s="2" t="str">
        <f aca="false">IF($G949="","",IF(ISNA(MATCH($G949,個別指定!$A:$A,0)),"行なし",""))</f>
        <v/>
      </c>
      <c r="N949" s="2" t="str">
        <f aca="false">IF($G949="","",IF(COUNTIF($G$2:$G$4460,$G949)&gt;1,"重複",""))</f>
        <v/>
      </c>
    </row>
    <row r="950" customFormat="false" ht="16.5" hidden="false" customHeight="true" outlineLevel="0" collapsed="false">
      <c r="A950" s="2" t="s">
        <v>385</v>
      </c>
      <c r="B950" s="2" t="s">
        <v>404</v>
      </c>
      <c r="C950" s="2" t="s">
        <v>17</v>
      </c>
      <c r="D950" s="2" t="str">
        <f aca="false">IF(2キー同時!$B$240="","",2キー同時!$B$240)</f>
        <v/>
      </c>
      <c r="E950" s="2" t="str">
        <f aca="false">""</f>
        <v/>
      </c>
      <c r="F950" s="2" t="str">
        <f aca="false">""</f>
        <v/>
      </c>
      <c r="G950" s="2" t="str">
        <f aca="false">IF(2キー同時!$B$240="","",IF(2キー同時!AB244="","",SUBSTITUTE(SUBSTITUTE(2キー同時!AB244," ",""),"　","")))</f>
        <v/>
      </c>
      <c r="H950" s="2" t="str">
        <f aca="false">IF($G950="","",2キー同時!$B$240)</f>
        <v/>
      </c>
      <c r="I950" s="2" t="str">
        <f aca="false">IF($G950="","","y")</f>
        <v/>
      </c>
      <c r="J950" s="2" t="str">
        <f aca="false">""</f>
        <v/>
      </c>
      <c r="K950" s="2" t="str">
        <f aca="false">""</f>
        <v/>
      </c>
      <c r="L950" s="2" t="str">
        <f aca="false">IF($G950="","","同時")</f>
        <v/>
      </c>
      <c r="M950" s="2" t="str">
        <f aca="false">IF($G950="","",IF(ISNA(MATCH($G950,個別指定!$A:$A,0)),"行なし",""))</f>
        <v/>
      </c>
      <c r="N950" s="2" t="str">
        <f aca="false">IF($G950="","",IF(COUNTIF($G$2:$G$4460,$G950)&gt;1,"重複",""))</f>
        <v/>
      </c>
    </row>
    <row r="951" customFormat="false" ht="16.5" hidden="false" customHeight="true" outlineLevel="0" collapsed="false">
      <c r="A951" s="2" t="s">
        <v>385</v>
      </c>
      <c r="B951" s="2" t="s">
        <v>404</v>
      </c>
      <c r="C951" s="2" t="s">
        <v>18</v>
      </c>
      <c r="D951" s="2" t="str">
        <f aca="false">IF(2キー同時!$B$240="","",2キー同時!$B$240)</f>
        <v/>
      </c>
      <c r="E951" s="2" t="str">
        <f aca="false">""</f>
        <v/>
      </c>
      <c r="F951" s="2" t="str">
        <f aca="false">""</f>
        <v/>
      </c>
      <c r="G951" s="2" t="str">
        <f aca="false">IF(2キー同時!$B$240="","",IF(2キー同時!AF244="","",SUBSTITUTE(SUBSTITUTE(2キー同時!AF244," ",""),"　","")))</f>
        <v/>
      </c>
      <c r="H951" s="2" t="str">
        <f aca="false">IF($G951="","",2キー同時!$B$240)</f>
        <v/>
      </c>
      <c r="I951" s="2" t="str">
        <f aca="false">IF($G951="","","u")</f>
        <v/>
      </c>
      <c r="J951" s="2" t="str">
        <f aca="false">""</f>
        <v/>
      </c>
      <c r="K951" s="2" t="str">
        <f aca="false">""</f>
        <v/>
      </c>
      <c r="L951" s="2" t="str">
        <f aca="false">IF($G951="","","同時")</f>
        <v/>
      </c>
      <c r="M951" s="2" t="str">
        <f aca="false">IF($G951="","",IF(ISNA(MATCH($G951,個別指定!$A:$A,0)),"行なし",""))</f>
        <v/>
      </c>
      <c r="N951" s="2" t="str">
        <f aca="false">IF($G951="","",IF(COUNTIF($G$2:$G$4460,$G951)&gt;1,"重複",""))</f>
        <v/>
      </c>
    </row>
    <row r="952" customFormat="false" ht="16.5" hidden="false" customHeight="true" outlineLevel="0" collapsed="false">
      <c r="A952" s="2" t="s">
        <v>385</v>
      </c>
      <c r="B952" s="2" t="s">
        <v>404</v>
      </c>
      <c r="C952" s="2" t="s">
        <v>19</v>
      </c>
      <c r="D952" s="2" t="str">
        <f aca="false">IF(2キー同時!$B$240="","",2キー同時!$B$240)</f>
        <v/>
      </c>
      <c r="E952" s="2" t="str">
        <f aca="false">""</f>
        <v/>
      </c>
      <c r="F952" s="2" t="str">
        <f aca="false">""</f>
        <v/>
      </c>
      <c r="G952" s="2" t="str">
        <f aca="false">IF(2キー同時!$B$240="","",IF(2キー同時!AJ244="","",SUBSTITUTE(SUBSTITUTE(2キー同時!AJ244," ",""),"　","")))</f>
        <v/>
      </c>
      <c r="H952" s="2" t="str">
        <f aca="false">IF($G952="","",2キー同時!$B$240)</f>
        <v/>
      </c>
      <c r="I952" s="2" t="str">
        <f aca="false">IF($G952="","","i")</f>
        <v/>
      </c>
      <c r="J952" s="2" t="str">
        <f aca="false">""</f>
        <v/>
      </c>
      <c r="K952" s="2" t="str">
        <f aca="false">""</f>
        <v/>
      </c>
      <c r="L952" s="2" t="str">
        <f aca="false">IF($G952="","","同時")</f>
        <v/>
      </c>
      <c r="M952" s="2" t="str">
        <f aca="false">IF($G952="","",IF(ISNA(MATCH($G952,個別指定!$A:$A,0)),"行なし",""))</f>
        <v/>
      </c>
      <c r="N952" s="2" t="str">
        <f aca="false">IF($G952="","",IF(COUNTIF($G$2:$G$4460,$G952)&gt;1,"重複",""))</f>
        <v/>
      </c>
    </row>
    <row r="953" customFormat="false" ht="16.5" hidden="false" customHeight="true" outlineLevel="0" collapsed="false">
      <c r="A953" s="2" t="s">
        <v>385</v>
      </c>
      <c r="B953" s="2" t="s">
        <v>404</v>
      </c>
      <c r="C953" s="2" t="s">
        <v>20</v>
      </c>
      <c r="D953" s="2" t="str">
        <f aca="false">IF(2キー同時!$B$240="","",2キー同時!$B$240)</f>
        <v/>
      </c>
      <c r="E953" s="2" t="str">
        <f aca="false">""</f>
        <v/>
      </c>
      <c r="F953" s="2" t="str">
        <f aca="false">""</f>
        <v/>
      </c>
      <c r="G953" s="2" t="str">
        <f aca="false">IF(2キー同時!$B$240="","",IF(2キー同時!AN244="","",SUBSTITUTE(SUBSTITUTE(2キー同時!AN244," ",""),"　","")))</f>
        <v/>
      </c>
      <c r="H953" s="2" t="str">
        <f aca="false">IF($G953="","",2キー同時!$B$240)</f>
        <v/>
      </c>
      <c r="I953" s="2" t="str">
        <f aca="false">IF($G953="","","o")</f>
        <v/>
      </c>
      <c r="J953" s="2" t="str">
        <f aca="false">""</f>
        <v/>
      </c>
      <c r="K953" s="2" t="str">
        <f aca="false">""</f>
        <v/>
      </c>
      <c r="L953" s="2" t="str">
        <f aca="false">IF($G953="","","同時")</f>
        <v/>
      </c>
      <c r="M953" s="2" t="str">
        <f aca="false">IF($G953="","",IF(ISNA(MATCH($G953,個別指定!$A:$A,0)),"行なし",""))</f>
        <v/>
      </c>
      <c r="N953" s="2" t="str">
        <f aca="false">IF($G953="","",IF(COUNTIF($G$2:$G$4460,$G953)&gt;1,"重複",""))</f>
        <v/>
      </c>
    </row>
    <row r="954" customFormat="false" ht="16.5" hidden="false" customHeight="true" outlineLevel="0" collapsed="false">
      <c r="A954" s="2" t="s">
        <v>385</v>
      </c>
      <c r="B954" s="2" t="s">
        <v>404</v>
      </c>
      <c r="C954" s="2" t="s">
        <v>21</v>
      </c>
      <c r="D954" s="2" t="str">
        <f aca="false">IF(2キー同時!$B$240="","",2キー同時!$B$240)</f>
        <v/>
      </c>
      <c r="E954" s="2" t="str">
        <f aca="false">""</f>
        <v/>
      </c>
      <c r="F954" s="2" t="str">
        <f aca="false">""</f>
        <v/>
      </c>
      <c r="G954" s="2" t="str">
        <f aca="false">IF(2キー同時!$B$240="","",IF(2キー同時!AR244="","",SUBSTITUTE(SUBSTITUTE(2キー同時!AR244," ",""),"　","")))</f>
        <v/>
      </c>
      <c r="H954" s="2" t="str">
        <f aca="false">IF($G954="","",2キー同時!$B$240)</f>
        <v/>
      </c>
      <c r="I954" s="2" t="str">
        <f aca="false">IF($G954="","","p")</f>
        <v/>
      </c>
      <c r="J954" s="2" t="str">
        <f aca="false">""</f>
        <v/>
      </c>
      <c r="K954" s="2" t="str">
        <f aca="false">""</f>
        <v/>
      </c>
      <c r="L954" s="2" t="str">
        <f aca="false">IF($G954="","","同時")</f>
        <v/>
      </c>
      <c r="M954" s="2" t="str">
        <f aca="false">IF($G954="","",IF(ISNA(MATCH($G954,個別指定!$A:$A,0)),"行なし",""))</f>
        <v/>
      </c>
      <c r="N954" s="2" t="str">
        <f aca="false">IF($G954="","",IF(COUNTIF($G$2:$G$4460,$G954)&gt;1,"重複",""))</f>
        <v/>
      </c>
    </row>
    <row r="955" customFormat="false" ht="16.5" hidden="false" customHeight="true" outlineLevel="0" collapsed="false">
      <c r="A955" s="2" t="s">
        <v>385</v>
      </c>
      <c r="B955" s="2" t="s">
        <v>404</v>
      </c>
      <c r="C955" s="2" t="s">
        <v>22</v>
      </c>
      <c r="D955" s="2" t="str">
        <f aca="false">IF(2キー同時!$B$240="","",2キー同時!$B$240)</f>
        <v/>
      </c>
      <c r="E955" s="2" t="str">
        <f aca="false">""</f>
        <v/>
      </c>
      <c r="F955" s="2" t="str">
        <f aca="false">""</f>
        <v/>
      </c>
      <c r="G955" s="2" t="str">
        <f aca="false">IF(2キー同時!$B$240="","",IF(2キー同時!AV244="","",SUBSTITUTE(SUBSTITUTE(2キー同時!AV244," ",""),"　","")))</f>
        <v/>
      </c>
      <c r="H955" s="2" t="str">
        <f aca="false">IF($G955="","",2キー同時!$B$240)</f>
        <v/>
      </c>
      <c r="I955" s="2" t="str">
        <f aca="false">IF($G955="","","[")</f>
        <v/>
      </c>
      <c r="J955" s="2" t="str">
        <f aca="false">""</f>
        <v/>
      </c>
      <c r="K955" s="2" t="str">
        <f aca="false">""</f>
        <v/>
      </c>
      <c r="L955" s="2" t="str">
        <f aca="false">IF($G955="","","同時")</f>
        <v/>
      </c>
      <c r="M955" s="2" t="str">
        <f aca="false">IF($G955="","",IF(ISNA(MATCH($G955,個別指定!$A:$A,0)),"行なし",""))</f>
        <v/>
      </c>
      <c r="N955" s="2" t="str">
        <f aca="false">IF($G955="","",IF(COUNTIF($G$2:$G$4460,$G955)&gt;1,"重複",""))</f>
        <v/>
      </c>
    </row>
    <row r="956" customFormat="false" ht="16.5" hidden="false" customHeight="true" outlineLevel="0" collapsed="false">
      <c r="A956" s="2" t="s">
        <v>385</v>
      </c>
      <c r="B956" s="2" t="s">
        <v>404</v>
      </c>
      <c r="C956" s="2" t="s">
        <v>23</v>
      </c>
      <c r="D956" s="2" t="str">
        <f aca="false">IF(2キー同時!$B$240="","",2キー同時!$B$240)</f>
        <v/>
      </c>
      <c r="E956" s="2" t="str">
        <f aca="false">""</f>
        <v/>
      </c>
      <c r="F956" s="2" t="str">
        <f aca="false">""</f>
        <v/>
      </c>
      <c r="G956" s="2" t="str">
        <f aca="false">IF(2キー同時!$B$240="","",IF(2キー同時!AZ244="","",SUBSTITUTE(SUBSTITUTE(2キー同時!AZ244," ",""),"　","")))</f>
        <v/>
      </c>
      <c r="H956" s="2" t="str">
        <f aca="false">IF($G956="","",2キー同時!$B$240)</f>
        <v/>
      </c>
      <c r="I956" s="2" t="str">
        <f aca="false">IF($G956="","","]")</f>
        <v/>
      </c>
      <c r="J956" s="2" t="str">
        <f aca="false">""</f>
        <v/>
      </c>
      <c r="K956" s="2" t="str">
        <f aca="false">""</f>
        <v/>
      </c>
      <c r="L956" s="2" t="str">
        <f aca="false">IF($G956="","","同時")</f>
        <v/>
      </c>
      <c r="M956" s="2" t="str">
        <f aca="false">IF($G956="","",IF(ISNA(MATCH($G956,個別指定!$A:$A,0)),"行なし",""))</f>
        <v/>
      </c>
      <c r="N956" s="2" t="str">
        <f aca="false">IF($G956="","",IF(COUNTIF($G$2:$G$4460,$G956)&gt;1,"重複",""))</f>
        <v/>
      </c>
    </row>
    <row r="957" customFormat="false" ht="16.5" hidden="false" customHeight="true" outlineLevel="0" collapsed="false">
      <c r="A957" s="2" t="s">
        <v>385</v>
      </c>
      <c r="B957" s="2" t="s">
        <v>404</v>
      </c>
      <c r="C957" s="2" t="s">
        <v>24</v>
      </c>
      <c r="D957" s="2" t="str">
        <f aca="false">IF(2キー同時!$B$240="","",2キー同時!$B$240)</f>
        <v/>
      </c>
      <c r="E957" s="2" t="str">
        <f aca="false">""</f>
        <v/>
      </c>
      <c r="F957" s="2" t="str">
        <f aca="false">""</f>
        <v/>
      </c>
      <c r="G957" s="2" t="str">
        <f aca="false">IF(2キー同時!$B$240="","",IF(2キー同時!I246="","",SUBSTITUTE(SUBSTITUTE(2キー同時!I246," ",""),"　","")))</f>
        <v/>
      </c>
      <c r="H957" s="2" t="str">
        <f aca="false">IF($G957="","",2キー同時!$B$240)</f>
        <v/>
      </c>
      <c r="I957" s="2" t="str">
        <f aca="false">IF($G957="","","a")</f>
        <v/>
      </c>
      <c r="J957" s="2" t="str">
        <f aca="false">""</f>
        <v/>
      </c>
      <c r="K957" s="2" t="str">
        <f aca="false">""</f>
        <v/>
      </c>
      <c r="L957" s="2" t="str">
        <f aca="false">IF($G957="","","同時")</f>
        <v/>
      </c>
      <c r="M957" s="2" t="str">
        <f aca="false">IF($G957="","",IF(ISNA(MATCH($G957,個別指定!$A:$A,0)),"行なし",""))</f>
        <v/>
      </c>
      <c r="N957" s="2" t="str">
        <f aca="false">IF($G957="","",IF(COUNTIF($G$2:$G$4460,$G957)&gt;1,"重複",""))</f>
        <v/>
      </c>
    </row>
    <row r="958" customFormat="false" ht="16.5" hidden="false" customHeight="true" outlineLevel="0" collapsed="false">
      <c r="A958" s="2" t="s">
        <v>385</v>
      </c>
      <c r="B958" s="2" t="s">
        <v>404</v>
      </c>
      <c r="C958" s="2" t="s">
        <v>25</v>
      </c>
      <c r="D958" s="2" t="str">
        <f aca="false">IF(2キー同時!$B$240="","",2キー同時!$B$240)</f>
        <v/>
      </c>
      <c r="E958" s="2" t="str">
        <f aca="false">""</f>
        <v/>
      </c>
      <c r="F958" s="2" t="str">
        <f aca="false">""</f>
        <v/>
      </c>
      <c r="G958" s="2" t="str">
        <f aca="false">IF(2キー同時!$B$240="","",IF(2キー同時!M246="","",SUBSTITUTE(SUBSTITUTE(2キー同時!M246," ",""),"　","")))</f>
        <v/>
      </c>
      <c r="H958" s="2" t="str">
        <f aca="false">IF($G958="","",2キー同時!$B$240)</f>
        <v/>
      </c>
      <c r="I958" s="2" t="str">
        <f aca="false">IF($G958="","","s")</f>
        <v/>
      </c>
      <c r="J958" s="2" t="str">
        <f aca="false">""</f>
        <v/>
      </c>
      <c r="K958" s="2" t="str">
        <f aca="false">""</f>
        <v/>
      </c>
      <c r="L958" s="2" t="str">
        <f aca="false">IF($G958="","","同時")</f>
        <v/>
      </c>
      <c r="M958" s="2" t="str">
        <f aca="false">IF($G958="","",IF(ISNA(MATCH($G958,個別指定!$A:$A,0)),"行なし",""))</f>
        <v/>
      </c>
      <c r="N958" s="2" t="str">
        <f aca="false">IF($G958="","",IF(COUNTIF($G$2:$G$4460,$G958)&gt;1,"重複",""))</f>
        <v/>
      </c>
    </row>
    <row r="959" customFormat="false" ht="16.5" hidden="false" customHeight="true" outlineLevel="0" collapsed="false">
      <c r="A959" s="2" t="s">
        <v>385</v>
      </c>
      <c r="B959" s="2" t="s">
        <v>404</v>
      </c>
      <c r="C959" s="2" t="s">
        <v>26</v>
      </c>
      <c r="D959" s="2" t="str">
        <f aca="false">IF(2キー同時!$B$240="","",2キー同時!$B$240)</f>
        <v/>
      </c>
      <c r="E959" s="2" t="str">
        <f aca="false">""</f>
        <v/>
      </c>
      <c r="F959" s="2" t="str">
        <f aca="false">""</f>
        <v/>
      </c>
      <c r="G959" s="2" t="str">
        <f aca="false">IF(2キー同時!$B$240="","",IF(2キー同時!Q246="","",SUBSTITUTE(SUBSTITUTE(2キー同時!Q246," ",""),"　","")))</f>
        <v/>
      </c>
      <c r="H959" s="2" t="str">
        <f aca="false">IF($G959="","",2キー同時!$B$240)</f>
        <v/>
      </c>
      <c r="I959" s="2" t="str">
        <f aca="false">IF($G959="","","d")</f>
        <v/>
      </c>
      <c r="J959" s="2" t="str">
        <f aca="false">""</f>
        <v/>
      </c>
      <c r="K959" s="2" t="str">
        <f aca="false">""</f>
        <v/>
      </c>
      <c r="L959" s="2" t="str">
        <f aca="false">IF($G959="","","同時")</f>
        <v/>
      </c>
      <c r="M959" s="2" t="str">
        <f aca="false">IF($G959="","",IF(ISNA(MATCH($G959,個別指定!$A:$A,0)),"行なし",""))</f>
        <v/>
      </c>
      <c r="N959" s="2" t="str">
        <f aca="false">IF($G959="","",IF(COUNTIF($G$2:$G$4460,$G959)&gt;1,"重複",""))</f>
        <v/>
      </c>
    </row>
    <row r="960" customFormat="false" ht="16.5" hidden="false" customHeight="true" outlineLevel="0" collapsed="false">
      <c r="A960" s="2" t="s">
        <v>385</v>
      </c>
      <c r="B960" s="2" t="s">
        <v>404</v>
      </c>
      <c r="C960" s="2" t="s">
        <v>27</v>
      </c>
      <c r="D960" s="2" t="str">
        <f aca="false">IF(2キー同時!$B$240="","",2キー同時!$B$240)</f>
        <v/>
      </c>
      <c r="E960" s="2" t="str">
        <f aca="false">""</f>
        <v/>
      </c>
      <c r="F960" s="2" t="str">
        <f aca="false">""</f>
        <v/>
      </c>
      <c r="G960" s="2" t="str">
        <f aca="false">IF(2キー同時!$B$240="","",IF(2キー同時!U246="","",SUBSTITUTE(SUBSTITUTE(2キー同時!U246," ",""),"　","")))</f>
        <v/>
      </c>
      <c r="H960" s="2" t="str">
        <f aca="false">IF($G960="","",2キー同時!$B$240)</f>
        <v/>
      </c>
      <c r="I960" s="2" t="str">
        <f aca="false">IF($G960="","","f")</f>
        <v/>
      </c>
      <c r="J960" s="2" t="str">
        <f aca="false">""</f>
        <v/>
      </c>
      <c r="K960" s="2" t="str">
        <f aca="false">""</f>
        <v/>
      </c>
      <c r="L960" s="2" t="str">
        <f aca="false">IF($G960="","","同時")</f>
        <v/>
      </c>
      <c r="M960" s="2" t="str">
        <f aca="false">IF($G960="","",IF(ISNA(MATCH($G960,個別指定!$A:$A,0)),"行なし",""))</f>
        <v/>
      </c>
      <c r="N960" s="2" t="str">
        <f aca="false">IF($G960="","",IF(COUNTIF($G$2:$G$4460,$G960)&gt;1,"重複",""))</f>
        <v/>
      </c>
    </row>
    <row r="961" customFormat="false" ht="16.5" hidden="false" customHeight="true" outlineLevel="0" collapsed="false">
      <c r="A961" s="2" t="s">
        <v>385</v>
      </c>
      <c r="B961" s="2" t="s">
        <v>404</v>
      </c>
      <c r="C961" s="2" t="s">
        <v>28</v>
      </c>
      <c r="D961" s="2" t="str">
        <f aca="false">IF(2キー同時!$B$240="","",2キー同時!$B$240)</f>
        <v/>
      </c>
      <c r="E961" s="2" t="str">
        <f aca="false">""</f>
        <v/>
      </c>
      <c r="F961" s="2" t="str">
        <f aca="false">""</f>
        <v/>
      </c>
      <c r="G961" s="2" t="str">
        <f aca="false">IF(2キー同時!$B$240="","",IF(2キー同時!Y246="","",SUBSTITUTE(SUBSTITUTE(2キー同時!Y246," ",""),"　","")))</f>
        <v/>
      </c>
      <c r="H961" s="2" t="str">
        <f aca="false">IF($G961="","",2キー同時!$B$240)</f>
        <v/>
      </c>
      <c r="I961" s="2" t="str">
        <f aca="false">IF($G961="","","g")</f>
        <v/>
      </c>
      <c r="J961" s="2" t="str">
        <f aca="false">""</f>
        <v/>
      </c>
      <c r="K961" s="2" t="str">
        <f aca="false">""</f>
        <v/>
      </c>
      <c r="L961" s="2" t="str">
        <f aca="false">IF($G961="","","同時")</f>
        <v/>
      </c>
      <c r="M961" s="2" t="str">
        <f aca="false">IF($G961="","",IF(ISNA(MATCH($G961,個別指定!$A:$A,0)),"行なし",""))</f>
        <v/>
      </c>
      <c r="N961" s="2" t="str">
        <f aca="false">IF($G961="","",IF(COUNTIF($G$2:$G$4460,$G961)&gt;1,"重複",""))</f>
        <v/>
      </c>
    </row>
    <row r="962" customFormat="false" ht="16.5" hidden="false" customHeight="true" outlineLevel="0" collapsed="false">
      <c r="A962" s="2" t="s">
        <v>385</v>
      </c>
      <c r="B962" s="2" t="s">
        <v>404</v>
      </c>
      <c r="C962" s="2" t="s">
        <v>29</v>
      </c>
      <c r="D962" s="2" t="str">
        <f aca="false">IF(2キー同時!$B$240="","",2キー同時!$B$240)</f>
        <v/>
      </c>
      <c r="E962" s="2" t="str">
        <f aca="false">""</f>
        <v/>
      </c>
      <c r="F962" s="2" t="str">
        <f aca="false">""</f>
        <v/>
      </c>
      <c r="G962" s="2" t="str">
        <f aca="false">IF(2キー同時!$B$240="","",IF(2キー同時!AC246="","",SUBSTITUTE(SUBSTITUTE(2キー同時!AC246," ",""),"　","")))</f>
        <v/>
      </c>
      <c r="H962" s="2" t="str">
        <f aca="false">IF($G962="","",2キー同時!$B$240)</f>
        <v/>
      </c>
      <c r="I962" s="2" t="str">
        <f aca="false">IF($G962="","","h")</f>
        <v/>
      </c>
      <c r="J962" s="2" t="str">
        <f aca="false">""</f>
        <v/>
      </c>
      <c r="K962" s="2" t="str">
        <f aca="false">""</f>
        <v/>
      </c>
      <c r="L962" s="2" t="str">
        <f aca="false">IF($G962="","","同時")</f>
        <v/>
      </c>
      <c r="M962" s="2" t="str">
        <f aca="false">IF($G962="","",IF(ISNA(MATCH($G962,個別指定!$A:$A,0)),"行なし",""))</f>
        <v/>
      </c>
      <c r="N962" s="2" t="str">
        <f aca="false">IF($G962="","",IF(COUNTIF($G$2:$G$4460,$G962)&gt;1,"重複",""))</f>
        <v/>
      </c>
    </row>
    <row r="963" customFormat="false" ht="16.5" hidden="false" customHeight="true" outlineLevel="0" collapsed="false">
      <c r="A963" s="2" t="s">
        <v>385</v>
      </c>
      <c r="B963" s="2" t="s">
        <v>404</v>
      </c>
      <c r="C963" s="2" t="s">
        <v>30</v>
      </c>
      <c r="D963" s="2" t="str">
        <f aca="false">IF(2キー同時!$B$240="","",2キー同時!$B$240)</f>
        <v/>
      </c>
      <c r="E963" s="2" t="str">
        <f aca="false">""</f>
        <v/>
      </c>
      <c r="F963" s="2" t="str">
        <f aca="false">""</f>
        <v/>
      </c>
      <c r="G963" s="2" t="str">
        <f aca="false">IF(2キー同時!$B$240="","",IF(2キー同時!AG246="","",SUBSTITUTE(SUBSTITUTE(2キー同時!AG246," ",""),"　","")))</f>
        <v/>
      </c>
      <c r="H963" s="2" t="str">
        <f aca="false">IF($G963="","",2キー同時!$B$240)</f>
        <v/>
      </c>
      <c r="I963" s="2" t="str">
        <f aca="false">IF($G963="","","j")</f>
        <v/>
      </c>
      <c r="J963" s="2" t="str">
        <f aca="false">""</f>
        <v/>
      </c>
      <c r="K963" s="2" t="str">
        <f aca="false">""</f>
        <v/>
      </c>
      <c r="L963" s="2" t="str">
        <f aca="false">IF($G963="","","同時")</f>
        <v/>
      </c>
      <c r="M963" s="2" t="str">
        <f aca="false">IF($G963="","",IF(ISNA(MATCH($G963,個別指定!$A:$A,0)),"行なし",""))</f>
        <v/>
      </c>
      <c r="N963" s="2" t="str">
        <f aca="false">IF($G963="","",IF(COUNTIF($G$2:$G$4460,$G963)&gt;1,"重複",""))</f>
        <v/>
      </c>
    </row>
    <row r="964" customFormat="false" ht="16.5" hidden="false" customHeight="true" outlineLevel="0" collapsed="false">
      <c r="A964" s="2" t="s">
        <v>385</v>
      </c>
      <c r="B964" s="2" t="s">
        <v>404</v>
      </c>
      <c r="C964" s="2" t="s">
        <v>31</v>
      </c>
      <c r="D964" s="2" t="str">
        <f aca="false">IF(2キー同時!$B$240="","",2キー同時!$B$240)</f>
        <v/>
      </c>
      <c r="E964" s="2" t="str">
        <f aca="false">""</f>
        <v/>
      </c>
      <c r="F964" s="2" t="str">
        <f aca="false">""</f>
        <v/>
      </c>
      <c r="G964" s="2" t="str">
        <f aca="false">IF(2キー同時!$B$240="","",IF(2キー同時!AK246="","",SUBSTITUTE(SUBSTITUTE(2キー同時!AK246," ",""),"　","")))</f>
        <v/>
      </c>
      <c r="H964" s="2" t="str">
        <f aca="false">IF($G964="","",2キー同時!$B$240)</f>
        <v/>
      </c>
      <c r="I964" s="2" t="str">
        <f aca="false">IF($G964="","","k")</f>
        <v/>
      </c>
      <c r="J964" s="2" t="str">
        <f aca="false">""</f>
        <v/>
      </c>
      <c r="K964" s="2" t="str">
        <f aca="false">""</f>
        <v/>
      </c>
      <c r="L964" s="2" t="str">
        <f aca="false">IF($G964="","","同時")</f>
        <v/>
      </c>
      <c r="M964" s="2" t="str">
        <f aca="false">IF($G964="","",IF(ISNA(MATCH($G964,個別指定!$A:$A,0)),"行なし",""))</f>
        <v/>
      </c>
      <c r="N964" s="2" t="str">
        <f aca="false">IF($G964="","",IF(COUNTIF($G$2:$G$4460,$G964)&gt;1,"重複",""))</f>
        <v/>
      </c>
    </row>
    <row r="965" customFormat="false" ht="16.5" hidden="false" customHeight="true" outlineLevel="0" collapsed="false">
      <c r="A965" s="2" t="s">
        <v>385</v>
      </c>
      <c r="B965" s="2" t="s">
        <v>404</v>
      </c>
      <c r="C965" s="2" t="s">
        <v>32</v>
      </c>
      <c r="D965" s="2" t="str">
        <f aca="false">IF(2キー同時!$B$240="","",2キー同時!$B$240)</f>
        <v/>
      </c>
      <c r="E965" s="2" t="str">
        <f aca="false">""</f>
        <v/>
      </c>
      <c r="F965" s="2" t="str">
        <f aca="false">""</f>
        <v/>
      </c>
      <c r="G965" s="2" t="str">
        <f aca="false">IF(2キー同時!$B$240="","",IF(2キー同時!AO246="","",SUBSTITUTE(SUBSTITUTE(2キー同時!AO246," ",""),"　","")))</f>
        <v/>
      </c>
      <c r="H965" s="2" t="str">
        <f aca="false">IF($G965="","",2キー同時!$B$240)</f>
        <v/>
      </c>
      <c r="I965" s="2" t="str">
        <f aca="false">IF($G965="","","l")</f>
        <v/>
      </c>
      <c r="J965" s="2" t="str">
        <f aca="false">""</f>
        <v/>
      </c>
      <c r="K965" s="2" t="str">
        <f aca="false">""</f>
        <v/>
      </c>
      <c r="L965" s="2" t="str">
        <f aca="false">IF($G965="","","同時")</f>
        <v/>
      </c>
      <c r="M965" s="2" t="str">
        <f aca="false">IF($G965="","",IF(ISNA(MATCH($G965,個別指定!$A:$A,0)),"行なし",""))</f>
        <v/>
      </c>
      <c r="N965" s="2" t="str">
        <f aca="false">IF($G965="","",IF(COUNTIF($G$2:$G$4460,$G965)&gt;1,"重複",""))</f>
        <v/>
      </c>
    </row>
    <row r="966" customFormat="false" ht="16.5" hidden="false" customHeight="true" outlineLevel="0" collapsed="false">
      <c r="A966" s="2" t="s">
        <v>385</v>
      </c>
      <c r="B966" s="2" t="s">
        <v>404</v>
      </c>
      <c r="C966" s="2" t="s">
        <v>33</v>
      </c>
      <c r="D966" s="2" t="str">
        <f aca="false">IF(2キー同時!$B$240="","",2キー同時!$B$240)</f>
        <v/>
      </c>
      <c r="E966" s="2" t="str">
        <f aca="false">""</f>
        <v/>
      </c>
      <c r="F966" s="2" t="str">
        <f aca="false">""</f>
        <v/>
      </c>
      <c r="G966" s="2" t="str">
        <f aca="false">IF(2キー同時!$B$240="","",IF(2キー同時!AS246="","",SUBSTITUTE(SUBSTITUTE(2キー同時!AS246," ",""),"　","")))</f>
        <v/>
      </c>
      <c r="H966" s="2" t="str">
        <f aca="false">IF($G966="","",2キー同時!$B$240)</f>
        <v/>
      </c>
      <c r="I966" s="2" t="str">
        <f aca="false">IF($G966="","",";")</f>
        <v/>
      </c>
      <c r="J966" s="2" t="str">
        <f aca="false">""</f>
        <v/>
      </c>
      <c r="K966" s="2" t="str">
        <f aca="false">""</f>
        <v/>
      </c>
      <c r="L966" s="2" t="str">
        <f aca="false">IF($G966="","","同時")</f>
        <v/>
      </c>
      <c r="M966" s="2" t="str">
        <f aca="false">IF($G966="","",IF(ISNA(MATCH($G966,個別指定!$A:$A,0)),"行なし",""))</f>
        <v/>
      </c>
      <c r="N966" s="2" t="str">
        <f aca="false">IF($G966="","",IF(COUNTIF($G$2:$G$4460,$G966)&gt;1,"重複",""))</f>
        <v/>
      </c>
    </row>
    <row r="967" customFormat="false" ht="16.5" hidden="false" customHeight="true" outlineLevel="0" collapsed="false">
      <c r="A967" s="2" t="s">
        <v>385</v>
      </c>
      <c r="B967" s="2" t="s">
        <v>404</v>
      </c>
      <c r="C967" s="2" t="s">
        <v>34</v>
      </c>
      <c r="D967" s="2" t="str">
        <f aca="false">IF(2キー同時!$B$240="","",2キー同時!$B$240)</f>
        <v/>
      </c>
      <c r="E967" s="2" t="str">
        <f aca="false">""</f>
        <v/>
      </c>
      <c r="F967" s="2" t="str">
        <f aca="false">""</f>
        <v/>
      </c>
      <c r="G967" s="2" t="str">
        <f aca="false">IF(2キー同時!$B$240="","",IF(2キー同時!AW246="","",SUBSTITUTE(SUBSTITUTE(2キー同時!AW246," ",""),"　","")))</f>
        <v/>
      </c>
      <c r="H967" s="2" t="str">
        <f aca="false">IF($G967="","",2キー同時!$B$240)</f>
        <v/>
      </c>
      <c r="I967" s="2" t="str">
        <f aca="false">IF($G967="","","'")</f>
        <v/>
      </c>
      <c r="J967" s="2" t="str">
        <f aca="false">""</f>
        <v/>
      </c>
      <c r="K967" s="2" t="str">
        <f aca="false">""</f>
        <v/>
      </c>
      <c r="L967" s="2" t="str">
        <f aca="false">IF($G967="","","同時")</f>
        <v/>
      </c>
      <c r="M967" s="2" t="str">
        <f aca="false">IF($G967="","",IF(ISNA(MATCH($G967,個別指定!$A:$A,0)),"行なし",""))</f>
        <v/>
      </c>
      <c r="N967" s="2" t="str">
        <f aca="false">IF($G967="","",IF(COUNTIF($G$2:$G$4460,$G967)&gt;1,"重複",""))</f>
        <v/>
      </c>
    </row>
    <row r="968" customFormat="false" ht="16.5" hidden="false" customHeight="true" outlineLevel="0" collapsed="false">
      <c r="A968" s="2" t="s">
        <v>385</v>
      </c>
      <c r="B968" s="2" t="s">
        <v>404</v>
      </c>
      <c r="C968" s="2" t="s">
        <v>35</v>
      </c>
      <c r="D968" s="2" t="str">
        <f aca="false">IF(2キー同時!$B$240="","",2キー同時!$B$240)</f>
        <v/>
      </c>
      <c r="E968" s="2" t="str">
        <f aca="false">""</f>
        <v/>
      </c>
      <c r="F968" s="2" t="str">
        <f aca="false">""</f>
        <v/>
      </c>
      <c r="G968" s="2" t="str">
        <f aca="false">IF(2キー同時!$B$240="","",IF(2キー同時!K248="","",SUBSTITUTE(SUBSTITUTE(2キー同時!K248," ",""),"　","")))</f>
        <v/>
      </c>
      <c r="H968" s="2" t="str">
        <f aca="false">IF($G968="","",2キー同時!$B$240)</f>
        <v/>
      </c>
      <c r="I968" s="2" t="str">
        <f aca="false">IF($G968="","","z")</f>
        <v/>
      </c>
      <c r="J968" s="2" t="str">
        <f aca="false">""</f>
        <v/>
      </c>
      <c r="K968" s="2" t="str">
        <f aca="false">""</f>
        <v/>
      </c>
      <c r="L968" s="2" t="str">
        <f aca="false">IF($G968="","","同時")</f>
        <v/>
      </c>
      <c r="M968" s="2" t="str">
        <f aca="false">IF($G968="","",IF(ISNA(MATCH($G968,個別指定!$A:$A,0)),"行なし",""))</f>
        <v/>
      </c>
      <c r="N968" s="2" t="str">
        <f aca="false">IF($G968="","",IF(COUNTIF($G$2:$G$4460,$G968)&gt;1,"重複",""))</f>
        <v/>
      </c>
    </row>
    <row r="969" customFormat="false" ht="16.5" hidden="false" customHeight="true" outlineLevel="0" collapsed="false">
      <c r="A969" s="2" t="s">
        <v>385</v>
      </c>
      <c r="B969" s="2" t="s">
        <v>404</v>
      </c>
      <c r="C969" s="2" t="s">
        <v>36</v>
      </c>
      <c r="D969" s="2" t="str">
        <f aca="false">IF(2キー同時!$B$240="","",2キー同時!$B$240)</f>
        <v/>
      </c>
      <c r="E969" s="2" t="str">
        <f aca="false">""</f>
        <v/>
      </c>
      <c r="F969" s="2" t="str">
        <f aca="false">""</f>
        <v/>
      </c>
      <c r="G969" s="2" t="str">
        <f aca="false">IF(2キー同時!$B$240="","",IF(2キー同時!O248="","",SUBSTITUTE(SUBSTITUTE(2キー同時!O248," ",""),"　","")))</f>
        <v/>
      </c>
      <c r="H969" s="2" t="str">
        <f aca="false">IF($G969="","",2キー同時!$B$240)</f>
        <v/>
      </c>
      <c r="I969" s="2" t="str">
        <f aca="false">IF($G969="","","x")</f>
        <v/>
      </c>
      <c r="J969" s="2" t="str">
        <f aca="false">""</f>
        <v/>
      </c>
      <c r="K969" s="2" t="str">
        <f aca="false">""</f>
        <v/>
      </c>
      <c r="L969" s="2" t="str">
        <f aca="false">IF($G969="","","同時")</f>
        <v/>
      </c>
      <c r="M969" s="2" t="str">
        <f aca="false">IF($G969="","",IF(ISNA(MATCH($G969,個別指定!$A:$A,0)),"行なし",""))</f>
        <v/>
      </c>
      <c r="N969" s="2" t="str">
        <f aca="false">IF($G969="","",IF(COUNTIF($G$2:$G$4460,$G969)&gt;1,"重複",""))</f>
        <v/>
      </c>
    </row>
    <row r="970" customFormat="false" ht="16.5" hidden="false" customHeight="true" outlineLevel="0" collapsed="false">
      <c r="A970" s="2" t="s">
        <v>385</v>
      </c>
      <c r="B970" s="2" t="s">
        <v>404</v>
      </c>
      <c r="C970" s="2" t="s">
        <v>37</v>
      </c>
      <c r="D970" s="2" t="str">
        <f aca="false">IF(2キー同時!$B$240="","",2キー同時!$B$240)</f>
        <v/>
      </c>
      <c r="E970" s="2" t="str">
        <f aca="false">""</f>
        <v/>
      </c>
      <c r="F970" s="2" t="str">
        <f aca="false">""</f>
        <v/>
      </c>
      <c r="G970" s="2" t="str">
        <f aca="false">IF(2キー同時!$B$240="","",IF(2キー同時!S248="","",SUBSTITUTE(SUBSTITUTE(2キー同時!S248," ",""),"　","")))</f>
        <v/>
      </c>
      <c r="H970" s="2" t="str">
        <f aca="false">IF($G970="","",2キー同時!$B$240)</f>
        <v/>
      </c>
      <c r="I970" s="2" t="str">
        <f aca="false">IF($G970="","","c")</f>
        <v/>
      </c>
      <c r="J970" s="2" t="str">
        <f aca="false">""</f>
        <v/>
      </c>
      <c r="K970" s="2" t="str">
        <f aca="false">""</f>
        <v/>
      </c>
      <c r="L970" s="2" t="str">
        <f aca="false">IF($G970="","","同時")</f>
        <v/>
      </c>
      <c r="M970" s="2" t="str">
        <f aca="false">IF($G970="","",IF(ISNA(MATCH($G970,個別指定!$A:$A,0)),"行なし",""))</f>
        <v/>
      </c>
      <c r="N970" s="2" t="str">
        <f aca="false">IF($G970="","",IF(COUNTIF($G$2:$G$4460,$G970)&gt;1,"重複",""))</f>
        <v/>
      </c>
    </row>
    <row r="971" customFormat="false" ht="16.5" hidden="false" customHeight="true" outlineLevel="0" collapsed="false">
      <c r="A971" s="2" t="s">
        <v>385</v>
      </c>
      <c r="B971" s="2" t="s">
        <v>404</v>
      </c>
      <c r="C971" s="2" t="s">
        <v>38</v>
      </c>
      <c r="D971" s="2" t="str">
        <f aca="false">IF(2キー同時!$B$240="","",2キー同時!$B$240)</f>
        <v/>
      </c>
      <c r="E971" s="2" t="str">
        <f aca="false">""</f>
        <v/>
      </c>
      <c r="F971" s="2" t="str">
        <f aca="false">""</f>
        <v/>
      </c>
      <c r="G971" s="2" t="str">
        <f aca="false">IF(2キー同時!$B$240="","",IF(2キー同時!W248="","",SUBSTITUTE(SUBSTITUTE(2キー同時!W248," ",""),"　","")))</f>
        <v/>
      </c>
      <c r="H971" s="2" t="str">
        <f aca="false">IF($G971="","",2キー同時!$B$240)</f>
        <v/>
      </c>
      <c r="I971" s="2" t="str">
        <f aca="false">IF($G971="","","v")</f>
        <v/>
      </c>
      <c r="J971" s="2" t="str">
        <f aca="false">""</f>
        <v/>
      </c>
      <c r="K971" s="2" t="str">
        <f aca="false">""</f>
        <v/>
      </c>
      <c r="L971" s="2" t="str">
        <f aca="false">IF($G971="","","同時")</f>
        <v/>
      </c>
      <c r="M971" s="2" t="str">
        <f aca="false">IF($G971="","",IF(ISNA(MATCH($G971,個別指定!$A:$A,0)),"行なし",""))</f>
        <v/>
      </c>
      <c r="N971" s="2" t="str">
        <f aca="false">IF($G971="","",IF(COUNTIF($G$2:$G$4460,$G971)&gt;1,"重複",""))</f>
        <v/>
      </c>
    </row>
    <row r="972" customFormat="false" ht="16.5" hidden="false" customHeight="true" outlineLevel="0" collapsed="false">
      <c r="A972" s="2" t="s">
        <v>385</v>
      </c>
      <c r="B972" s="2" t="s">
        <v>404</v>
      </c>
      <c r="C972" s="2" t="s">
        <v>39</v>
      </c>
      <c r="D972" s="2" t="str">
        <f aca="false">IF(2キー同時!$B$240="","",2キー同時!$B$240)</f>
        <v/>
      </c>
      <c r="E972" s="2" t="str">
        <f aca="false">""</f>
        <v/>
      </c>
      <c r="F972" s="2" t="str">
        <f aca="false">""</f>
        <v/>
      </c>
      <c r="G972" s="2" t="str">
        <f aca="false">IF(2キー同時!$B$240="","",IF(2キー同時!AA248="","",SUBSTITUTE(SUBSTITUTE(2キー同時!AA248," ",""),"　","")))</f>
        <v/>
      </c>
      <c r="H972" s="2" t="str">
        <f aca="false">IF($G972="","",2キー同時!$B$240)</f>
        <v/>
      </c>
      <c r="I972" s="2" t="str">
        <f aca="false">IF($G972="","","b")</f>
        <v/>
      </c>
      <c r="J972" s="2" t="str">
        <f aca="false">""</f>
        <v/>
      </c>
      <c r="K972" s="2" t="str">
        <f aca="false">""</f>
        <v/>
      </c>
      <c r="L972" s="2" t="str">
        <f aca="false">IF($G972="","","同時")</f>
        <v/>
      </c>
      <c r="M972" s="2" t="str">
        <f aca="false">IF($G972="","",IF(ISNA(MATCH($G972,個別指定!$A:$A,0)),"行なし",""))</f>
        <v/>
      </c>
      <c r="N972" s="2" t="str">
        <f aca="false">IF($G972="","",IF(COUNTIF($G$2:$G$4460,$G972)&gt;1,"重複",""))</f>
        <v/>
      </c>
    </row>
    <row r="973" customFormat="false" ht="16.5" hidden="false" customHeight="true" outlineLevel="0" collapsed="false">
      <c r="A973" s="2" t="s">
        <v>385</v>
      </c>
      <c r="B973" s="2" t="s">
        <v>404</v>
      </c>
      <c r="C973" s="2" t="s">
        <v>40</v>
      </c>
      <c r="D973" s="2" t="str">
        <f aca="false">IF(2キー同時!$B$240="","",2キー同時!$B$240)</f>
        <v/>
      </c>
      <c r="E973" s="2" t="str">
        <f aca="false">""</f>
        <v/>
      </c>
      <c r="F973" s="2" t="str">
        <f aca="false">""</f>
        <v/>
      </c>
      <c r="G973" s="2" t="str">
        <f aca="false">IF(2キー同時!$B$240="","",IF(2キー同時!AE248="","",SUBSTITUTE(SUBSTITUTE(2キー同時!AE248," ",""),"　","")))</f>
        <v/>
      </c>
      <c r="H973" s="2" t="str">
        <f aca="false">IF($G973="","",2キー同時!$B$240)</f>
        <v/>
      </c>
      <c r="I973" s="2" t="str">
        <f aca="false">IF($G973="","","n")</f>
        <v/>
      </c>
      <c r="J973" s="2" t="str">
        <f aca="false">""</f>
        <v/>
      </c>
      <c r="K973" s="2" t="str">
        <f aca="false">""</f>
        <v/>
      </c>
      <c r="L973" s="2" t="str">
        <f aca="false">IF($G973="","","同時")</f>
        <v/>
      </c>
      <c r="M973" s="2" t="str">
        <f aca="false">IF($G973="","",IF(ISNA(MATCH($G973,個別指定!$A:$A,0)),"行なし",""))</f>
        <v/>
      </c>
      <c r="N973" s="2" t="str">
        <f aca="false">IF($G973="","",IF(COUNTIF($G$2:$G$4460,$G973)&gt;1,"重複",""))</f>
        <v/>
      </c>
    </row>
    <row r="974" customFormat="false" ht="16.5" hidden="false" customHeight="true" outlineLevel="0" collapsed="false">
      <c r="A974" s="2" t="s">
        <v>385</v>
      </c>
      <c r="B974" s="2" t="s">
        <v>404</v>
      </c>
      <c r="C974" s="2" t="s">
        <v>41</v>
      </c>
      <c r="D974" s="2" t="str">
        <f aca="false">IF(2キー同時!$B$240="","",2キー同時!$B$240)</f>
        <v/>
      </c>
      <c r="E974" s="2" t="str">
        <f aca="false">""</f>
        <v/>
      </c>
      <c r="F974" s="2" t="str">
        <f aca="false">""</f>
        <v/>
      </c>
      <c r="G974" s="2" t="str">
        <f aca="false">IF(2キー同時!$B$240="","",IF(2キー同時!AI248="","",SUBSTITUTE(SUBSTITUTE(2キー同時!AI248," ",""),"　","")))</f>
        <v/>
      </c>
      <c r="H974" s="2" t="str">
        <f aca="false">IF($G974="","",2キー同時!$B$240)</f>
        <v/>
      </c>
      <c r="I974" s="2" t="str">
        <f aca="false">IF($G974="","","m")</f>
        <v/>
      </c>
      <c r="J974" s="2" t="str">
        <f aca="false">""</f>
        <v/>
      </c>
      <c r="K974" s="2" t="str">
        <f aca="false">""</f>
        <v/>
      </c>
      <c r="L974" s="2" t="str">
        <f aca="false">IF($G974="","","同時")</f>
        <v/>
      </c>
      <c r="M974" s="2" t="str">
        <f aca="false">IF($G974="","",IF(ISNA(MATCH($G974,個別指定!$A:$A,0)),"行なし",""))</f>
        <v/>
      </c>
      <c r="N974" s="2" t="str">
        <f aca="false">IF($G974="","",IF(COUNTIF($G$2:$G$4460,$G974)&gt;1,"重複",""))</f>
        <v/>
      </c>
    </row>
    <row r="975" customFormat="false" ht="16.5" hidden="false" customHeight="true" outlineLevel="0" collapsed="false">
      <c r="A975" s="2" t="s">
        <v>385</v>
      </c>
      <c r="B975" s="2" t="s">
        <v>404</v>
      </c>
      <c r="C975" s="2" t="s">
        <v>42</v>
      </c>
      <c r="D975" s="2" t="str">
        <f aca="false">IF(2キー同時!$B$240="","",2キー同時!$B$240)</f>
        <v/>
      </c>
      <c r="E975" s="2" t="str">
        <f aca="false">""</f>
        <v/>
      </c>
      <c r="F975" s="2" t="str">
        <f aca="false">""</f>
        <v/>
      </c>
      <c r="G975" s="2" t="str">
        <f aca="false">IF(2キー同時!$B$240="","",IF(2キー同時!AM248="","",SUBSTITUTE(SUBSTITUTE(2キー同時!AM248," ",""),"　","")))</f>
        <v/>
      </c>
      <c r="H975" s="2" t="str">
        <f aca="false">IF($G975="","",2キー同時!$B$240)</f>
        <v/>
      </c>
      <c r="I975" s="2" t="str">
        <f aca="false">IF($G975="","",",")</f>
        <v/>
      </c>
      <c r="J975" s="2" t="str">
        <f aca="false">""</f>
        <v/>
      </c>
      <c r="K975" s="2" t="str">
        <f aca="false">""</f>
        <v/>
      </c>
      <c r="L975" s="2" t="str">
        <f aca="false">IF($G975="","","同時")</f>
        <v/>
      </c>
      <c r="M975" s="2" t="str">
        <f aca="false">IF($G975="","",IF(ISNA(MATCH($G975,個別指定!$A:$A,0)),"行なし",""))</f>
        <v/>
      </c>
      <c r="N975" s="2" t="str">
        <f aca="false">IF($G975="","",IF(COUNTIF($G$2:$G$4460,$G975)&gt;1,"重複",""))</f>
        <v/>
      </c>
    </row>
    <row r="976" customFormat="false" ht="16.5" hidden="false" customHeight="true" outlineLevel="0" collapsed="false">
      <c r="A976" s="2" t="s">
        <v>385</v>
      </c>
      <c r="B976" s="2" t="s">
        <v>404</v>
      </c>
      <c r="C976" s="2" t="s">
        <v>43</v>
      </c>
      <c r="D976" s="2" t="str">
        <f aca="false">IF(2キー同時!$B$240="","",2キー同時!$B$240)</f>
        <v/>
      </c>
      <c r="E976" s="2" t="str">
        <f aca="false">""</f>
        <v/>
      </c>
      <c r="F976" s="2" t="str">
        <f aca="false">""</f>
        <v/>
      </c>
      <c r="G976" s="2" t="str">
        <f aca="false">IF(2キー同時!$B$240="","",IF(2キー同時!AQ248="","",SUBSTITUTE(SUBSTITUTE(2キー同時!AQ248," ",""),"　","")))</f>
        <v/>
      </c>
      <c r="H976" s="2" t="str">
        <f aca="false">IF($G976="","",2キー同時!$B$240)</f>
        <v/>
      </c>
      <c r="I976" s="2" t="str">
        <f aca="false">IF($G976="","",".")</f>
        <v/>
      </c>
      <c r="J976" s="2" t="str">
        <f aca="false">""</f>
        <v/>
      </c>
      <c r="K976" s="2" t="str">
        <f aca="false">""</f>
        <v/>
      </c>
      <c r="L976" s="2" t="str">
        <f aca="false">IF($G976="","","同時")</f>
        <v/>
      </c>
      <c r="M976" s="2" t="str">
        <f aca="false">IF($G976="","",IF(ISNA(MATCH($G976,個別指定!$A:$A,0)),"行なし",""))</f>
        <v/>
      </c>
      <c r="N976" s="2" t="str">
        <f aca="false">IF($G976="","",IF(COUNTIF($G$2:$G$4460,$G976)&gt;1,"重複",""))</f>
        <v/>
      </c>
    </row>
    <row r="977" customFormat="false" ht="16.5" hidden="false" customHeight="true" outlineLevel="0" collapsed="false">
      <c r="A977" s="2" t="s">
        <v>385</v>
      </c>
      <c r="B977" s="2" t="s">
        <v>404</v>
      </c>
      <c r="C977" s="2" t="s">
        <v>44</v>
      </c>
      <c r="D977" s="2" t="str">
        <f aca="false">IF(2キー同時!$B$240="","",2キー同時!$B$240)</f>
        <v/>
      </c>
      <c r="E977" s="2" t="str">
        <f aca="false">""</f>
        <v/>
      </c>
      <c r="F977" s="2" t="str">
        <f aca="false">""</f>
        <v/>
      </c>
      <c r="G977" s="2" t="str">
        <f aca="false">IF(2キー同時!$B$240="","",IF(2キー同時!AU248="","",SUBSTITUTE(SUBSTITUTE(2キー同時!AU248," ",""),"　","")))</f>
        <v/>
      </c>
      <c r="H977" s="2" t="str">
        <f aca="false">IF($G977="","",2キー同時!$B$240)</f>
        <v/>
      </c>
      <c r="I977" s="2" t="str">
        <f aca="false">IF($G977="","","/")</f>
        <v/>
      </c>
      <c r="J977" s="2" t="str">
        <f aca="false">""</f>
        <v/>
      </c>
      <c r="K977" s="2" t="str">
        <f aca="false">""</f>
        <v/>
      </c>
      <c r="L977" s="2" t="str">
        <f aca="false">IF($G977="","","同時")</f>
        <v/>
      </c>
      <c r="M977" s="2" t="str">
        <f aca="false">IF($G977="","",IF(ISNA(MATCH($G977,個別指定!$A:$A,0)),"行なし",""))</f>
        <v/>
      </c>
      <c r="N977" s="2" t="str">
        <f aca="false">IF($G977="","",IF(COUNTIF($G$2:$G$4460,$G977)&gt;1,"重複",""))</f>
        <v/>
      </c>
    </row>
    <row r="978" customFormat="false" ht="16.5" hidden="false" customHeight="true" outlineLevel="0" collapsed="false">
      <c r="A978" s="2" t="s">
        <v>385</v>
      </c>
      <c r="B978" s="2" t="s">
        <v>404</v>
      </c>
      <c r="C978" s="2" t="s">
        <v>48</v>
      </c>
      <c r="D978" s="2" t="str">
        <f aca="false">IF(2キー同時!$B$240="","",2キー同時!$B$240)</f>
        <v/>
      </c>
      <c r="E978" s="2" t="str">
        <f aca="false">""</f>
        <v/>
      </c>
      <c r="F978" s="2" t="str">
        <f aca="false">""</f>
        <v/>
      </c>
      <c r="G978" s="2" t="str">
        <f aca="false">IF(2キー同時!$B$240="","",IF(2キー同時!P250="","",SUBSTITUTE(SUBSTITUTE(2キー同時!P250," ",""),"　","")))</f>
        <v/>
      </c>
      <c r="H978" s="2" t="str">
        <f aca="false">IF($G978="","",2キー同時!$B$240)</f>
        <v/>
      </c>
      <c r="I978" s="2" t="str">
        <f aca="false">IF($G978="","","muhenkan")</f>
        <v/>
      </c>
      <c r="J978" s="2" t="str">
        <f aca="false">""</f>
        <v/>
      </c>
      <c r="K978" s="2" t="str">
        <f aca="false">""</f>
        <v/>
      </c>
      <c r="L978" s="2" t="str">
        <f aca="false">IF($G978="","","同時")</f>
        <v/>
      </c>
      <c r="M978" s="2" t="str">
        <f aca="false">IF($G978="","",IF(ISNA(MATCH($G978,個別指定!$A:$A,0)),"行なし",""))</f>
        <v/>
      </c>
      <c r="N978" s="2" t="str">
        <f aca="false">IF($G978="","",IF(COUNTIF($G$2:$G$4460,$G978)&gt;1,"重複",""))</f>
        <v/>
      </c>
    </row>
    <row r="979" customFormat="false" ht="16.5" hidden="false" customHeight="true" outlineLevel="0" collapsed="false">
      <c r="A979" s="2" t="s">
        <v>385</v>
      </c>
      <c r="B979" s="2" t="s">
        <v>404</v>
      </c>
      <c r="C979" s="2" t="s">
        <v>50</v>
      </c>
      <c r="D979" s="2" t="str">
        <f aca="false">IF(2キー同時!$B$240="","",2キー同時!$B$240)</f>
        <v/>
      </c>
      <c r="E979" s="2" t="str">
        <f aca="false">""</f>
        <v/>
      </c>
      <c r="F979" s="2" t="str">
        <f aca="false">""</f>
        <v/>
      </c>
      <c r="G979" s="2" t="str">
        <f aca="false">IF(2キー同時!$B$240="","",IF(2キー同時!T250="","",SUBSTITUTE(SUBSTITUTE(2キー同時!T250," ",""),"　","")))</f>
        <v/>
      </c>
      <c r="H979" s="2" t="str">
        <f aca="false">IF($G979="","",2キー同時!$B$240)</f>
        <v/>
      </c>
      <c r="I979" s="2" t="str">
        <f aca="false">IF($G979="","","space")</f>
        <v/>
      </c>
      <c r="J979" s="2" t="str">
        <f aca="false">""</f>
        <v/>
      </c>
      <c r="K979" s="2" t="str">
        <f aca="false">""</f>
        <v/>
      </c>
      <c r="L979" s="2" t="str">
        <f aca="false">IF($G979="","","同時")</f>
        <v/>
      </c>
      <c r="M979" s="2" t="str">
        <f aca="false">IF($G979="","",IF(ISNA(MATCH($G979,個別指定!$A:$A,0)),"行なし",""))</f>
        <v/>
      </c>
      <c r="N979" s="2" t="str">
        <f aca="false">IF($G979="","",IF(COUNTIF($G$2:$G$4460,$G979)&gt;1,"重複",""))</f>
        <v/>
      </c>
    </row>
    <row r="980" customFormat="false" ht="16.5" hidden="false" customHeight="true" outlineLevel="0" collapsed="false">
      <c r="A980" s="2" t="s">
        <v>385</v>
      </c>
      <c r="B980" s="2" t="s">
        <v>404</v>
      </c>
      <c r="C980" s="2" t="s">
        <v>45</v>
      </c>
      <c r="D980" s="2" t="str">
        <f aca="false">IF(2キー同時!$B$240="","",2キー同時!$B$240)</f>
        <v/>
      </c>
      <c r="E980" s="2" t="str">
        <f aca="false">""</f>
        <v/>
      </c>
      <c r="F980" s="2" t="str">
        <f aca="false">""</f>
        <v/>
      </c>
      <c r="G980" s="2" t="str">
        <f aca="false">IF(2キー同時!$B$240="","",IF(2キー同時!AL250="","",SUBSTITUTE(SUBSTITUTE(2キー同時!AL250," ",""),"　","")))</f>
        <v/>
      </c>
      <c r="H980" s="2" t="str">
        <f aca="false">IF($G980="","",2キー同時!$B$240)</f>
        <v/>
      </c>
      <c r="I980" s="2" t="str">
        <f aca="false">IF($G980="","","henkan")</f>
        <v/>
      </c>
      <c r="J980" s="2" t="str">
        <f aca="false">""</f>
        <v/>
      </c>
      <c r="K980" s="2" t="str">
        <f aca="false">""</f>
        <v/>
      </c>
      <c r="L980" s="2" t="str">
        <f aca="false">IF($G980="","","同時")</f>
        <v/>
      </c>
      <c r="M980" s="2" t="str">
        <f aca="false">IF($G980="","",IF(ISNA(MATCH($G980,個別指定!$A:$A,0)),"行なし",""))</f>
        <v/>
      </c>
      <c r="N980" s="2" t="str">
        <f aca="false">IF($G980="","",IF(COUNTIF($G$2:$G$4460,$G980)&gt;1,"重複",""))</f>
        <v/>
      </c>
    </row>
    <row r="981" customFormat="false" ht="16.5" hidden="false" customHeight="true" outlineLevel="0" collapsed="false">
      <c r="A981" s="2" t="s">
        <v>385</v>
      </c>
      <c r="B981" s="2" t="s">
        <v>404</v>
      </c>
      <c r="C981" s="2" t="s">
        <v>46</v>
      </c>
      <c r="D981" s="2" t="str">
        <f aca="false">IF(2キー同時!$B$240="","",2キー同時!$B$240)</f>
        <v/>
      </c>
      <c r="E981" s="2" t="str">
        <f aca="false">""</f>
        <v/>
      </c>
      <c r="F981" s="2" t="str">
        <f aca="false">""</f>
        <v/>
      </c>
      <c r="G981" s="2" t="str">
        <f aca="false">IF(2キー同時!$B$240="","",IF(2キー同時!AP250="","",SUBSTITUTE(SUBSTITUTE(2キー同時!AP250," ",""),"　","")))</f>
        <v/>
      </c>
      <c r="H981" s="2" t="str">
        <f aca="false">IF($G981="","",2キー同時!$B$240)</f>
        <v/>
      </c>
      <c r="I981" s="2" t="str">
        <f aca="false">IF($G981="","","kana")</f>
        <v/>
      </c>
      <c r="J981" s="2" t="str">
        <f aca="false">""</f>
        <v/>
      </c>
      <c r="K981" s="2" t="str">
        <f aca="false">""</f>
        <v/>
      </c>
      <c r="L981" s="2" t="str">
        <f aca="false">IF($G981="","","同時")</f>
        <v/>
      </c>
      <c r="M981" s="2" t="str">
        <f aca="false">IF($G981="","",IF(ISNA(MATCH($G981,個別指定!$A:$A,0)),"行なし",""))</f>
        <v/>
      </c>
      <c r="N981" s="2" t="str">
        <f aca="false">IF($G981="","",IF(COUNTIF($G$2:$G$4460,$G981)&gt;1,"重複",""))</f>
        <v/>
      </c>
    </row>
    <row r="982" customFormat="false" ht="16.5" hidden="false" customHeight="true" outlineLevel="0" collapsed="false">
      <c r="A982" s="2" t="s">
        <v>385</v>
      </c>
      <c r="B982" s="2" t="s">
        <v>405</v>
      </c>
      <c r="C982" s="2" t="s">
        <v>0</v>
      </c>
      <c r="D982" s="2" t="str">
        <f aca="false">IF(2キー同時!$B$253="","",2キー同時!$B$253)</f>
        <v/>
      </c>
      <c r="E982" s="2" t="str">
        <f aca="false">""</f>
        <v/>
      </c>
      <c r="F982" s="2" t="str">
        <f aca="false">""</f>
        <v/>
      </c>
      <c r="G982" s="2" t="str">
        <f aca="false">IF(2キー同時!$B$253="","",IF(2キー同時!F255="","",SUBSTITUTE(SUBSTITUTE(2キー同時!F255," ",""),"　","")))</f>
        <v/>
      </c>
      <c r="H982" s="2" t="str">
        <f aca="false">IF($G982="","",2キー同時!$B$253)</f>
        <v/>
      </c>
      <c r="I982" s="2" t="str">
        <f aca="false">IF($G982="","","1")</f>
        <v/>
      </c>
      <c r="J982" s="2" t="str">
        <f aca="false">""</f>
        <v/>
      </c>
      <c r="K982" s="2" t="str">
        <f aca="false">""</f>
        <v/>
      </c>
      <c r="L982" s="2" t="str">
        <f aca="false">IF($G982="","","同時")</f>
        <v/>
      </c>
      <c r="M982" s="2" t="str">
        <f aca="false">IF($G982="","",IF(ISNA(MATCH($G982,個別指定!$A:$A,0)),"行なし",""))</f>
        <v/>
      </c>
      <c r="N982" s="2" t="str">
        <f aca="false">IF($G982="","",IF(COUNTIF($G$2:$G$4460,$G982)&gt;1,"重複",""))</f>
        <v/>
      </c>
    </row>
    <row r="983" customFormat="false" ht="16.5" hidden="false" customHeight="true" outlineLevel="0" collapsed="false">
      <c r="A983" s="2" t="s">
        <v>385</v>
      </c>
      <c r="B983" s="2" t="s">
        <v>405</v>
      </c>
      <c r="C983" s="2" t="s">
        <v>1</v>
      </c>
      <c r="D983" s="2" t="str">
        <f aca="false">IF(2キー同時!$B$253="","",2キー同時!$B$253)</f>
        <v/>
      </c>
      <c r="E983" s="2" t="str">
        <f aca="false">""</f>
        <v/>
      </c>
      <c r="F983" s="2" t="str">
        <f aca="false">""</f>
        <v/>
      </c>
      <c r="G983" s="2" t="str">
        <f aca="false">IF(2キー同時!$B$253="","",IF(2キー同時!J255="","",SUBSTITUTE(SUBSTITUTE(2キー同時!J255," ",""),"　","")))</f>
        <v/>
      </c>
      <c r="H983" s="2" t="str">
        <f aca="false">IF($G983="","",2キー同時!$B$253)</f>
        <v/>
      </c>
      <c r="I983" s="2" t="str">
        <f aca="false">IF($G983="","","2")</f>
        <v/>
      </c>
      <c r="J983" s="2" t="str">
        <f aca="false">""</f>
        <v/>
      </c>
      <c r="K983" s="2" t="str">
        <f aca="false">""</f>
        <v/>
      </c>
      <c r="L983" s="2" t="str">
        <f aca="false">IF($G983="","","同時")</f>
        <v/>
      </c>
      <c r="M983" s="2" t="str">
        <f aca="false">IF($G983="","",IF(ISNA(MATCH($G983,個別指定!$A:$A,0)),"行なし",""))</f>
        <v/>
      </c>
      <c r="N983" s="2" t="str">
        <f aca="false">IF($G983="","",IF(COUNTIF($G$2:$G$4460,$G983)&gt;1,"重複",""))</f>
        <v/>
      </c>
    </row>
    <row r="984" customFormat="false" ht="16.5" hidden="false" customHeight="true" outlineLevel="0" collapsed="false">
      <c r="A984" s="2" t="s">
        <v>385</v>
      </c>
      <c r="B984" s="2" t="s">
        <v>405</v>
      </c>
      <c r="C984" s="2" t="s">
        <v>2</v>
      </c>
      <c r="D984" s="2" t="str">
        <f aca="false">IF(2キー同時!$B$253="","",2キー同時!$B$253)</f>
        <v/>
      </c>
      <c r="E984" s="2" t="str">
        <f aca="false">""</f>
        <v/>
      </c>
      <c r="F984" s="2" t="str">
        <f aca="false">""</f>
        <v/>
      </c>
      <c r="G984" s="2" t="str">
        <f aca="false">IF(2キー同時!$B$253="","",IF(2キー同時!N255="","",SUBSTITUTE(SUBSTITUTE(2キー同時!N255," ",""),"　","")))</f>
        <v/>
      </c>
      <c r="H984" s="2" t="str">
        <f aca="false">IF($G984="","",2キー同時!$B$253)</f>
        <v/>
      </c>
      <c r="I984" s="2" t="str">
        <f aca="false">IF($G984="","","3")</f>
        <v/>
      </c>
      <c r="J984" s="2" t="str">
        <f aca="false">""</f>
        <v/>
      </c>
      <c r="K984" s="2" t="str">
        <f aca="false">""</f>
        <v/>
      </c>
      <c r="L984" s="2" t="str">
        <f aca="false">IF($G984="","","同時")</f>
        <v/>
      </c>
      <c r="M984" s="2" t="str">
        <f aca="false">IF($G984="","",IF(ISNA(MATCH($G984,個別指定!$A:$A,0)),"行なし",""))</f>
        <v/>
      </c>
      <c r="N984" s="2" t="str">
        <f aca="false">IF($G984="","",IF(COUNTIF($G$2:$G$4460,$G984)&gt;1,"重複",""))</f>
        <v/>
      </c>
    </row>
    <row r="985" customFormat="false" ht="16.5" hidden="false" customHeight="true" outlineLevel="0" collapsed="false">
      <c r="A985" s="2" t="s">
        <v>385</v>
      </c>
      <c r="B985" s="2" t="s">
        <v>405</v>
      </c>
      <c r="C985" s="2" t="s">
        <v>3</v>
      </c>
      <c r="D985" s="2" t="str">
        <f aca="false">IF(2キー同時!$B$253="","",2キー同時!$B$253)</f>
        <v/>
      </c>
      <c r="E985" s="2" t="str">
        <f aca="false">""</f>
        <v/>
      </c>
      <c r="F985" s="2" t="str">
        <f aca="false">""</f>
        <v/>
      </c>
      <c r="G985" s="2" t="str">
        <f aca="false">IF(2キー同時!$B$253="","",IF(2キー同時!R255="","",SUBSTITUTE(SUBSTITUTE(2キー同時!R255," ",""),"　","")))</f>
        <v/>
      </c>
      <c r="H985" s="2" t="str">
        <f aca="false">IF($G985="","",2キー同時!$B$253)</f>
        <v/>
      </c>
      <c r="I985" s="2" t="str">
        <f aca="false">IF($G985="","","4")</f>
        <v/>
      </c>
      <c r="J985" s="2" t="str">
        <f aca="false">""</f>
        <v/>
      </c>
      <c r="K985" s="2" t="str">
        <f aca="false">""</f>
        <v/>
      </c>
      <c r="L985" s="2" t="str">
        <f aca="false">IF($G985="","","同時")</f>
        <v/>
      </c>
      <c r="M985" s="2" t="str">
        <f aca="false">IF($G985="","",IF(ISNA(MATCH($G985,個別指定!$A:$A,0)),"行なし",""))</f>
        <v/>
      </c>
      <c r="N985" s="2" t="str">
        <f aca="false">IF($G985="","",IF(COUNTIF($G$2:$G$4460,$G985)&gt;1,"重複",""))</f>
        <v/>
      </c>
    </row>
    <row r="986" customFormat="false" ht="16.5" hidden="false" customHeight="true" outlineLevel="0" collapsed="false">
      <c r="A986" s="2" t="s">
        <v>385</v>
      </c>
      <c r="B986" s="2" t="s">
        <v>405</v>
      </c>
      <c r="C986" s="2" t="s">
        <v>4</v>
      </c>
      <c r="D986" s="2" t="str">
        <f aca="false">IF(2キー同時!$B$253="","",2キー同時!$B$253)</f>
        <v/>
      </c>
      <c r="E986" s="2" t="str">
        <f aca="false">""</f>
        <v/>
      </c>
      <c r="F986" s="2" t="str">
        <f aca="false">""</f>
        <v/>
      </c>
      <c r="G986" s="2" t="str">
        <f aca="false">IF(2キー同時!$B$253="","",IF(2キー同時!V255="","",SUBSTITUTE(SUBSTITUTE(2キー同時!V255," ",""),"　","")))</f>
        <v/>
      </c>
      <c r="H986" s="2" t="str">
        <f aca="false">IF($G986="","",2キー同時!$B$253)</f>
        <v/>
      </c>
      <c r="I986" s="2" t="str">
        <f aca="false">IF($G986="","","5")</f>
        <v/>
      </c>
      <c r="J986" s="2" t="str">
        <f aca="false">""</f>
        <v/>
      </c>
      <c r="K986" s="2" t="str">
        <f aca="false">""</f>
        <v/>
      </c>
      <c r="L986" s="2" t="str">
        <f aca="false">IF($G986="","","同時")</f>
        <v/>
      </c>
      <c r="M986" s="2" t="str">
        <f aca="false">IF($G986="","",IF(ISNA(MATCH($G986,個別指定!$A:$A,0)),"行なし",""))</f>
        <v/>
      </c>
      <c r="N986" s="2" t="str">
        <f aca="false">IF($G986="","",IF(COUNTIF($G$2:$G$4460,$G986)&gt;1,"重複",""))</f>
        <v/>
      </c>
    </row>
    <row r="987" customFormat="false" ht="16.5" hidden="false" customHeight="true" outlineLevel="0" collapsed="false">
      <c r="A987" s="2" t="s">
        <v>385</v>
      </c>
      <c r="B987" s="2" t="s">
        <v>405</v>
      </c>
      <c r="C987" s="2" t="s">
        <v>5</v>
      </c>
      <c r="D987" s="2" t="str">
        <f aca="false">IF(2キー同時!$B$253="","",2キー同時!$B$253)</f>
        <v/>
      </c>
      <c r="E987" s="2" t="str">
        <f aca="false">""</f>
        <v/>
      </c>
      <c r="F987" s="2" t="str">
        <f aca="false">""</f>
        <v/>
      </c>
      <c r="G987" s="2" t="str">
        <f aca="false">IF(2キー同時!$B$253="","",IF(2キー同時!Z255="","",SUBSTITUTE(SUBSTITUTE(2キー同時!Z255," ",""),"　","")))</f>
        <v/>
      </c>
      <c r="H987" s="2" t="str">
        <f aca="false">IF($G987="","",2キー同時!$B$253)</f>
        <v/>
      </c>
      <c r="I987" s="2" t="str">
        <f aca="false">IF($G987="","","6")</f>
        <v/>
      </c>
      <c r="J987" s="2" t="str">
        <f aca="false">""</f>
        <v/>
      </c>
      <c r="K987" s="2" t="str">
        <f aca="false">""</f>
        <v/>
      </c>
      <c r="L987" s="2" t="str">
        <f aca="false">IF($G987="","","同時")</f>
        <v/>
      </c>
      <c r="M987" s="2" t="str">
        <f aca="false">IF($G987="","",IF(ISNA(MATCH($G987,個別指定!$A:$A,0)),"行なし",""))</f>
        <v/>
      </c>
      <c r="N987" s="2" t="str">
        <f aca="false">IF($G987="","",IF(COUNTIF($G$2:$G$4460,$G987)&gt;1,"重複",""))</f>
        <v/>
      </c>
    </row>
    <row r="988" customFormat="false" ht="16.5" hidden="false" customHeight="true" outlineLevel="0" collapsed="false">
      <c r="A988" s="2" t="s">
        <v>385</v>
      </c>
      <c r="B988" s="2" t="s">
        <v>405</v>
      </c>
      <c r="C988" s="2" t="s">
        <v>6</v>
      </c>
      <c r="D988" s="2" t="str">
        <f aca="false">IF(2キー同時!$B$253="","",2キー同時!$B$253)</f>
        <v/>
      </c>
      <c r="E988" s="2" t="str">
        <f aca="false">""</f>
        <v/>
      </c>
      <c r="F988" s="2" t="str">
        <f aca="false">""</f>
        <v/>
      </c>
      <c r="G988" s="2" t="str">
        <f aca="false">IF(2キー同時!$B$253="","",IF(2キー同時!AD255="","",SUBSTITUTE(SUBSTITUTE(2キー同時!AD255," ",""),"　","")))</f>
        <v/>
      </c>
      <c r="H988" s="2" t="str">
        <f aca="false">IF($G988="","",2キー同時!$B$253)</f>
        <v/>
      </c>
      <c r="I988" s="2" t="str">
        <f aca="false">IF($G988="","","7")</f>
        <v/>
      </c>
      <c r="J988" s="2" t="str">
        <f aca="false">""</f>
        <v/>
      </c>
      <c r="K988" s="2" t="str">
        <f aca="false">""</f>
        <v/>
      </c>
      <c r="L988" s="2" t="str">
        <f aca="false">IF($G988="","","同時")</f>
        <v/>
      </c>
      <c r="M988" s="2" t="str">
        <f aca="false">IF($G988="","",IF(ISNA(MATCH($G988,個別指定!$A:$A,0)),"行なし",""))</f>
        <v/>
      </c>
      <c r="N988" s="2" t="str">
        <f aca="false">IF($G988="","",IF(COUNTIF($G$2:$G$4460,$G988)&gt;1,"重複",""))</f>
        <v/>
      </c>
    </row>
    <row r="989" customFormat="false" ht="16.5" hidden="false" customHeight="true" outlineLevel="0" collapsed="false">
      <c r="A989" s="2" t="s">
        <v>385</v>
      </c>
      <c r="B989" s="2" t="s">
        <v>405</v>
      </c>
      <c r="C989" s="2" t="s">
        <v>7</v>
      </c>
      <c r="D989" s="2" t="str">
        <f aca="false">IF(2キー同時!$B$253="","",2キー同時!$B$253)</f>
        <v/>
      </c>
      <c r="E989" s="2" t="str">
        <f aca="false">""</f>
        <v/>
      </c>
      <c r="F989" s="2" t="str">
        <f aca="false">""</f>
        <v/>
      </c>
      <c r="G989" s="2" t="str">
        <f aca="false">IF(2キー同時!$B$253="","",IF(2キー同時!AH255="","",SUBSTITUTE(SUBSTITUTE(2キー同時!AH255," ",""),"　","")))</f>
        <v/>
      </c>
      <c r="H989" s="2" t="str">
        <f aca="false">IF($G989="","",2キー同時!$B$253)</f>
        <v/>
      </c>
      <c r="I989" s="2" t="str">
        <f aca="false">IF($G989="","","8")</f>
        <v/>
      </c>
      <c r="J989" s="2" t="str">
        <f aca="false">""</f>
        <v/>
      </c>
      <c r="K989" s="2" t="str">
        <f aca="false">""</f>
        <v/>
      </c>
      <c r="L989" s="2" t="str">
        <f aca="false">IF($G989="","","同時")</f>
        <v/>
      </c>
      <c r="M989" s="2" t="str">
        <f aca="false">IF($G989="","",IF(ISNA(MATCH($G989,個別指定!$A:$A,0)),"行なし",""))</f>
        <v/>
      </c>
      <c r="N989" s="2" t="str">
        <f aca="false">IF($G989="","",IF(COUNTIF($G$2:$G$4460,$G989)&gt;1,"重複",""))</f>
        <v/>
      </c>
    </row>
    <row r="990" customFormat="false" ht="16.5" hidden="false" customHeight="true" outlineLevel="0" collapsed="false">
      <c r="A990" s="2" t="s">
        <v>385</v>
      </c>
      <c r="B990" s="2" t="s">
        <v>405</v>
      </c>
      <c r="C990" s="2" t="s">
        <v>8</v>
      </c>
      <c r="D990" s="2" t="str">
        <f aca="false">IF(2キー同時!$B$253="","",2キー同時!$B$253)</f>
        <v/>
      </c>
      <c r="E990" s="2" t="str">
        <f aca="false">""</f>
        <v/>
      </c>
      <c r="F990" s="2" t="str">
        <f aca="false">""</f>
        <v/>
      </c>
      <c r="G990" s="2" t="str">
        <f aca="false">IF(2キー同時!$B$253="","",IF(2キー同時!AL255="","",SUBSTITUTE(SUBSTITUTE(2キー同時!AL255," ",""),"　","")))</f>
        <v/>
      </c>
      <c r="H990" s="2" t="str">
        <f aca="false">IF($G990="","",2キー同時!$B$253)</f>
        <v/>
      </c>
      <c r="I990" s="2" t="str">
        <f aca="false">IF($G990="","","9")</f>
        <v/>
      </c>
      <c r="J990" s="2" t="str">
        <f aca="false">""</f>
        <v/>
      </c>
      <c r="K990" s="2" t="str">
        <f aca="false">""</f>
        <v/>
      </c>
      <c r="L990" s="2" t="str">
        <f aca="false">IF($G990="","","同時")</f>
        <v/>
      </c>
      <c r="M990" s="2" t="str">
        <f aca="false">IF($G990="","",IF(ISNA(MATCH($G990,個別指定!$A:$A,0)),"行なし",""))</f>
        <v/>
      </c>
      <c r="N990" s="2" t="str">
        <f aca="false">IF($G990="","",IF(COUNTIF($G$2:$G$4460,$G990)&gt;1,"重複",""))</f>
        <v/>
      </c>
    </row>
    <row r="991" customFormat="false" ht="16.5" hidden="false" customHeight="true" outlineLevel="0" collapsed="false">
      <c r="A991" s="2" t="s">
        <v>385</v>
      </c>
      <c r="B991" s="2" t="s">
        <v>405</v>
      </c>
      <c r="C991" s="2" t="s">
        <v>9</v>
      </c>
      <c r="D991" s="2" t="str">
        <f aca="false">IF(2キー同時!$B$253="","",2キー同時!$B$253)</f>
        <v/>
      </c>
      <c r="E991" s="2" t="str">
        <f aca="false">""</f>
        <v/>
      </c>
      <c r="F991" s="2" t="str">
        <f aca="false">""</f>
        <v/>
      </c>
      <c r="G991" s="2" t="str">
        <f aca="false">IF(2キー同時!$B$253="","",IF(2キー同時!AP255="","",SUBSTITUTE(SUBSTITUTE(2キー同時!AP255," ",""),"　","")))</f>
        <v/>
      </c>
      <c r="H991" s="2" t="str">
        <f aca="false">IF($G991="","",2キー同時!$B$253)</f>
        <v/>
      </c>
      <c r="I991" s="2" t="str">
        <f aca="false">IF($G991="","","0")</f>
        <v/>
      </c>
      <c r="J991" s="2" t="str">
        <f aca="false">""</f>
        <v/>
      </c>
      <c r="K991" s="2" t="str">
        <f aca="false">""</f>
        <v/>
      </c>
      <c r="L991" s="2" t="str">
        <f aca="false">IF($G991="","","同時")</f>
        <v/>
      </c>
      <c r="M991" s="2" t="str">
        <f aca="false">IF($G991="","",IF(ISNA(MATCH($G991,個別指定!$A:$A,0)),"行なし",""))</f>
        <v/>
      </c>
      <c r="N991" s="2" t="str">
        <f aca="false">IF($G991="","",IF(COUNTIF($G$2:$G$4460,$G991)&gt;1,"重複",""))</f>
        <v/>
      </c>
    </row>
    <row r="992" customFormat="false" ht="16.5" hidden="false" customHeight="true" outlineLevel="0" collapsed="false">
      <c r="A992" s="2" t="s">
        <v>385</v>
      </c>
      <c r="B992" s="2" t="s">
        <v>405</v>
      </c>
      <c r="C992" s="2" t="s">
        <v>10</v>
      </c>
      <c r="D992" s="2" t="str">
        <f aca="false">IF(2キー同時!$B$253="","",2キー同時!$B$253)</f>
        <v/>
      </c>
      <c r="E992" s="2" t="str">
        <f aca="false">""</f>
        <v/>
      </c>
      <c r="F992" s="2" t="str">
        <f aca="false">""</f>
        <v/>
      </c>
      <c r="G992" s="2" t="str">
        <f aca="false">IF(2キー同時!$B$253="","",IF(2キー同時!AT255="","",SUBSTITUTE(SUBSTITUTE(2キー同時!AT255," ",""),"　","")))</f>
        <v/>
      </c>
      <c r="H992" s="2" t="str">
        <f aca="false">IF($G992="","",2キー同時!$B$253)</f>
        <v/>
      </c>
      <c r="I992" s="2" t="str">
        <f aca="false">IF($G992="","","-")</f>
        <v/>
      </c>
      <c r="J992" s="2" t="str">
        <f aca="false">""</f>
        <v/>
      </c>
      <c r="K992" s="2" t="str">
        <f aca="false">""</f>
        <v/>
      </c>
      <c r="L992" s="2" t="str">
        <f aca="false">IF($G992="","","同時")</f>
        <v/>
      </c>
      <c r="M992" s="2" t="str">
        <f aca="false">IF($G992="","",IF(ISNA(MATCH($G992,個別指定!$A:$A,0)),"行なし",""))</f>
        <v/>
      </c>
      <c r="N992" s="2" t="str">
        <f aca="false">IF($G992="","",IF(COUNTIF($G$2:$G$4460,$G992)&gt;1,"重複",""))</f>
        <v/>
      </c>
    </row>
    <row r="993" customFormat="false" ht="16.5" hidden="false" customHeight="true" outlineLevel="0" collapsed="false">
      <c r="A993" s="2" t="s">
        <v>385</v>
      </c>
      <c r="B993" s="2" t="s">
        <v>405</v>
      </c>
      <c r="C993" s="2" t="s">
        <v>11</v>
      </c>
      <c r="D993" s="2" t="str">
        <f aca="false">IF(2キー同時!$B$253="","",2キー同時!$B$253)</f>
        <v/>
      </c>
      <c r="E993" s="2" t="str">
        <f aca="false">""</f>
        <v/>
      </c>
      <c r="F993" s="2" t="str">
        <f aca="false">""</f>
        <v/>
      </c>
      <c r="G993" s="2" t="str">
        <f aca="false">IF(2キー同時!$B$253="","",IF(2キー同時!AX255="","",SUBSTITUTE(SUBSTITUTE(2キー同時!AX255," ",""),"　","")))</f>
        <v/>
      </c>
      <c r="H993" s="2" t="str">
        <f aca="false">IF($G993="","",2キー同時!$B$253)</f>
        <v/>
      </c>
      <c r="I993" s="2" t="str">
        <f aca="false">IF($G993="","","=")</f>
        <v/>
      </c>
      <c r="J993" s="2" t="str">
        <f aca="false">""</f>
        <v/>
      </c>
      <c r="K993" s="2" t="str">
        <f aca="false">""</f>
        <v/>
      </c>
      <c r="L993" s="2" t="str">
        <f aca="false">IF($G993="","","同時")</f>
        <v/>
      </c>
      <c r="M993" s="2" t="str">
        <f aca="false">IF($G993="","",IF(ISNA(MATCH($G993,個別指定!$A:$A,0)),"行なし",""))</f>
        <v/>
      </c>
      <c r="N993" s="2" t="str">
        <f aca="false">IF($G993="","",IF(COUNTIF($G$2:$G$4460,$G993)&gt;1,"重複",""))</f>
        <v/>
      </c>
    </row>
    <row r="994" customFormat="false" ht="16.5" hidden="false" customHeight="true" outlineLevel="0" collapsed="false">
      <c r="A994" s="2" t="s">
        <v>385</v>
      </c>
      <c r="B994" s="2" t="s">
        <v>405</v>
      </c>
      <c r="C994" s="2" t="s">
        <v>12</v>
      </c>
      <c r="D994" s="2" t="str">
        <f aca="false">IF(2キー同時!$B$253="","",2キー同時!$B$253)</f>
        <v/>
      </c>
      <c r="E994" s="2" t="str">
        <f aca="false">""</f>
        <v/>
      </c>
      <c r="F994" s="2" t="str">
        <f aca="false">""</f>
        <v/>
      </c>
      <c r="G994" s="2" t="str">
        <f aca="false">IF(2キー同時!$B$253="","",IF(2キー同時!H257="","",SUBSTITUTE(SUBSTITUTE(2キー同時!H257," ",""),"　","")))</f>
        <v/>
      </c>
      <c r="H994" s="2" t="str">
        <f aca="false">IF($G994="","",2キー同時!$B$253)</f>
        <v/>
      </c>
      <c r="I994" s="2" t="str">
        <f aca="false">IF($G994="","","q")</f>
        <v/>
      </c>
      <c r="J994" s="2" t="str">
        <f aca="false">""</f>
        <v/>
      </c>
      <c r="K994" s="2" t="str">
        <f aca="false">""</f>
        <v/>
      </c>
      <c r="L994" s="2" t="str">
        <f aca="false">IF($G994="","","同時")</f>
        <v/>
      </c>
      <c r="M994" s="2" t="str">
        <f aca="false">IF($G994="","",IF(ISNA(MATCH($G994,個別指定!$A:$A,0)),"行なし",""))</f>
        <v/>
      </c>
      <c r="N994" s="2" t="str">
        <f aca="false">IF($G994="","",IF(COUNTIF($G$2:$G$4460,$G994)&gt;1,"重複",""))</f>
        <v/>
      </c>
    </row>
    <row r="995" customFormat="false" ht="16.5" hidden="false" customHeight="true" outlineLevel="0" collapsed="false">
      <c r="A995" s="2" t="s">
        <v>385</v>
      </c>
      <c r="B995" s="2" t="s">
        <v>405</v>
      </c>
      <c r="C995" s="2" t="s">
        <v>13</v>
      </c>
      <c r="D995" s="2" t="str">
        <f aca="false">IF(2キー同時!$B$253="","",2キー同時!$B$253)</f>
        <v/>
      </c>
      <c r="E995" s="2" t="str">
        <f aca="false">""</f>
        <v/>
      </c>
      <c r="F995" s="2" t="str">
        <f aca="false">""</f>
        <v/>
      </c>
      <c r="G995" s="2" t="str">
        <f aca="false">IF(2キー同時!$B$253="","",IF(2キー同時!L257="","",SUBSTITUTE(SUBSTITUTE(2キー同時!L257," ",""),"　","")))</f>
        <v/>
      </c>
      <c r="H995" s="2" t="str">
        <f aca="false">IF($G995="","",2キー同時!$B$253)</f>
        <v/>
      </c>
      <c r="I995" s="2" t="str">
        <f aca="false">IF($G995="","","w")</f>
        <v/>
      </c>
      <c r="J995" s="2" t="str">
        <f aca="false">""</f>
        <v/>
      </c>
      <c r="K995" s="2" t="str">
        <f aca="false">""</f>
        <v/>
      </c>
      <c r="L995" s="2" t="str">
        <f aca="false">IF($G995="","","同時")</f>
        <v/>
      </c>
      <c r="M995" s="2" t="str">
        <f aca="false">IF($G995="","",IF(ISNA(MATCH($G995,個別指定!$A:$A,0)),"行なし",""))</f>
        <v/>
      </c>
      <c r="N995" s="2" t="str">
        <f aca="false">IF($G995="","",IF(COUNTIF($G$2:$G$4460,$G995)&gt;1,"重複",""))</f>
        <v/>
      </c>
    </row>
    <row r="996" customFormat="false" ht="16.5" hidden="false" customHeight="true" outlineLevel="0" collapsed="false">
      <c r="A996" s="2" t="s">
        <v>385</v>
      </c>
      <c r="B996" s="2" t="s">
        <v>405</v>
      </c>
      <c r="C996" s="2" t="s">
        <v>14</v>
      </c>
      <c r="D996" s="2" t="str">
        <f aca="false">IF(2キー同時!$B$253="","",2キー同時!$B$253)</f>
        <v/>
      </c>
      <c r="E996" s="2" t="str">
        <f aca="false">""</f>
        <v/>
      </c>
      <c r="F996" s="2" t="str">
        <f aca="false">""</f>
        <v/>
      </c>
      <c r="G996" s="2" t="str">
        <f aca="false">IF(2キー同時!$B$253="","",IF(2キー同時!P257="","",SUBSTITUTE(SUBSTITUTE(2キー同時!P257," ",""),"　","")))</f>
        <v/>
      </c>
      <c r="H996" s="2" t="str">
        <f aca="false">IF($G996="","",2キー同時!$B$253)</f>
        <v/>
      </c>
      <c r="I996" s="2" t="str">
        <f aca="false">IF($G996="","","e")</f>
        <v/>
      </c>
      <c r="J996" s="2" t="str">
        <f aca="false">""</f>
        <v/>
      </c>
      <c r="K996" s="2" t="str">
        <f aca="false">""</f>
        <v/>
      </c>
      <c r="L996" s="2" t="str">
        <f aca="false">IF($G996="","","同時")</f>
        <v/>
      </c>
      <c r="M996" s="2" t="str">
        <f aca="false">IF($G996="","",IF(ISNA(MATCH($G996,個別指定!$A:$A,0)),"行なし",""))</f>
        <v/>
      </c>
      <c r="N996" s="2" t="str">
        <f aca="false">IF($G996="","",IF(COUNTIF($G$2:$G$4460,$G996)&gt;1,"重複",""))</f>
        <v/>
      </c>
    </row>
    <row r="997" customFormat="false" ht="16.5" hidden="false" customHeight="true" outlineLevel="0" collapsed="false">
      <c r="A997" s="2" t="s">
        <v>385</v>
      </c>
      <c r="B997" s="2" t="s">
        <v>405</v>
      </c>
      <c r="C997" s="2" t="s">
        <v>15</v>
      </c>
      <c r="D997" s="2" t="str">
        <f aca="false">IF(2キー同時!$B$253="","",2キー同時!$B$253)</f>
        <v/>
      </c>
      <c r="E997" s="2" t="str">
        <f aca="false">""</f>
        <v/>
      </c>
      <c r="F997" s="2" t="str">
        <f aca="false">""</f>
        <v/>
      </c>
      <c r="G997" s="2" t="str">
        <f aca="false">IF(2キー同時!$B$253="","",IF(2キー同時!T257="","",SUBSTITUTE(SUBSTITUTE(2キー同時!T257," ",""),"　","")))</f>
        <v/>
      </c>
      <c r="H997" s="2" t="str">
        <f aca="false">IF($G997="","",2キー同時!$B$253)</f>
        <v/>
      </c>
      <c r="I997" s="2" t="str">
        <f aca="false">IF($G997="","","r")</f>
        <v/>
      </c>
      <c r="J997" s="2" t="str">
        <f aca="false">""</f>
        <v/>
      </c>
      <c r="K997" s="2" t="str">
        <f aca="false">""</f>
        <v/>
      </c>
      <c r="L997" s="2" t="str">
        <f aca="false">IF($G997="","","同時")</f>
        <v/>
      </c>
      <c r="M997" s="2" t="str">
        <f aca="false">IF($G997="","",IF(ISNA(MATCH($G997,個別指定!$A:$A,0)),"行なし",""))</f>
        <v/>
      </c>
      <c r="N997" s="2" t="str">
        <f aca="false">IF($G997="","",IF(COUNTIF($G$2:$G$4460,$G997)&gt;1,"重複",""))</f>
        <v/>
      </c>
    </row>
    <row r="998" customFormat="false" ht="16.5" hidden="false" customHeight="true" outlineLevel="0" collapsed="false">
      <c r="A998" s="2" t="s">
        <v>385</v>
      </c>
      <c r="B998" s="2" t="s">
        <v>405</v>
      </c>
      <c r="C998" s="2" t="s">
        <v>16</v>
      </c>
      <c r="D998" s="2" t="str">
        <f aca="false">IF(2キー同時!$B$253="","",2キー同時!$B$253)</f>
        <v/>
      </c>
      <c r="E998" s="2" t="str">
        <f aca="false">""</f>
        <v/>
      </c>
      <c r="F998" s="2" t="str">
        <f aca="false">""</f>
        <v/>
      </c>
      <c r="G998" s="2" t="str">
        <f aca="false">IF(2キー同時!$B$253="","",IF(2キー同時!X257="","",SUBSTITUTE(SUBSTITUTE(2キー同時!X257," ",""),"　","")))</f>
        <v/>
      </c>
      <c r="H998" s="2" t="str">
        <f aca="false">IF($G998="","",2キー同時!$B$253)</f>
        <v/>
      </c>
      <c r="I998" s="2" t="str">
        <f aca="false">IF($G998="","","t")</f>
        <v/>
      </c>
      <c r="J998" s="2" t="str">
        <f aca="false">""</f>
        <v/>
      </c>
      <c r="K998" s="2" t="str">
        <f aca="false">""</f>
        <v/>
      </c>
      <c r="L998" s="2" t="str">
        <f aca="false">IF($G998="","","同時")</f>
        <v/>
      </c>
      <c r="M998" s="2" t="str">
        <f aca="false">IF($G998="","",IF(ISNA(MATCH($G998,個別指定!$A:$A,0)),"行なし",""))</f>
        <v/>
      </c>
      <c r="N998" s="2" t="str">
        <f aca="false">IF($G998="","",IF(COUNTIF($G$2:$G$4460,$G998)&gt;1,"重複",""))</f>
        <v/>
      </c>
    </row>
    <row r="999" customFormat="false" ht="16.5" hidden="false" customHeight="true" outlineLevel="0" collapsed="false">
      <c r="A999" s="2" t="s">
        <v>385</v>
      </c>
      <c r="B999" s="2" t="s">
        <v>405</v>
      </c>
      <c r="C999" s="2" t="s">
        <v>17</v>
      </c>
      <c r="D999" s="2" t="str">
        <f aca="false">IF(2キー同時!$B$253="","",2キー同時!$B$253)</f>
        <v/>
      </c>
      <c r="E999" s="2" t="str">
        <f aca="false">""</f>
        <v/>
      </c>
      <c r="F999" s="2" t="str">
        <f aca="false">""</f>
        <v/>
      </c>
      <c r="G999" s="2" t="str">
        <f aca="false">IF(2キー同時!$B$253="","",IF(2キー同時!AB257="","",SUBSTITUTE(SUBSTITUTE(2キー同時!AB257," ",""),"　","")))</f>
        <v/>
      </c>
      <c r="H999" s="2" t="str">
        <f aca="false">IF($G999="","",2キー同時!$B$253)</f>
        <v/>
      </c>
      <c r="I999" s="2" t="str">
        <f aca="false">IF($G999="","","y")</f>
        <v/>
      </c>
      <c r="J999" s="2" t="str">
        <f aca="false">""</f>
        <v/>
      </c>
      <c r="K999" s="2" t="str">
        <f aca="false">""</f>
        <v/>
      </c>
      <c r="L999" s="2" t="str">
        <f aca="false">IF($G999="","","同時")</f>
        <v/>
      </c>
      <c r="M999" s="2" t="str">
        <f aca="false">IF($G999="","",IF(ISNA(MATCH($G999,個別指定!$A:$A,0)),"行なし",""))</f>
        <v/>
      </c>
      <c r="N999" s="2" t="str">
        <f aca="false">IF($G999="","",IF(COUNTIF($G$2:$G$4460,$G999)&gt;1,"重複",""))</f>
        <v/>
      </c>
    </row>
    <row r="1000" customFormat="false" ht="16.5" hidden="false" customHeight="true" outlineLevel="0" collapsed="false">
      <c r="A1000" s="2" t="s">
        <v>385</v>
      </c>
      <c r="B1000" s="2" t="s">
        <v>405</v>
      </c>
      <c r="C1000" s="2" t="s">
        <v>18</v>
      </c>
      <c r="D1000" s="2" t="str">
        <f aca="false">IF(2キー同時!$B$253="","",2キー同時!$B$253)</f>
        <v/>
      </c>
      <c r="E1000" s="2" t="str">
        <f aca="false">""</f>
        <v/>
      </c>
      <c r="F1000" s="2" t="str">
        <f aca="false">""</f>
        <v/>
      </c>
      <c r="G1000" s="2" t="str">
        <f aca="false">IF(2キー同時!$B$253="","",IF(2キー同時!AF257="","",SUBSTITUTE(SUBSTITUTE(2キー同時!AF257," ",""),"　","")))</f>
        <v/>
      </c>
      <c r="H1000" s="2" t="str">
        <f aca="false">IF($G1000="","",2キー同時!$B$253)</f>
        <v/>
      </c>
      <c r="I1000" s="2" t="str">
        <f aca="false">IF($G1000="","","u")</f>
        <v/>
      </c>
      <c r="J1000" s="2" t="str">
        <f aca="false">""</f>
        <v/>
      </c>
      <c r="K1000" s="2" t="str">
        <f aca="false">""</f>
        <v/>
      </c>
      <c r="L1000" s="2" t="str">
        <f aca="false">IF($G1000="","","同時")</f>
        <v/>
      </c>
      <c r="M1000" s="2" t="str">
        <f aca="false">IF($G1000="","",IF(ISNA(MATCH($G1000,個別指定!$A:$A,0)),"行なし",""))</f>
        <v/>
      </c>
      <c r="N1000" s="2" t="str">
        <f aca="false">IF($G1000="","",IF(COUNTIF($G$2:$G$4460,$G1000)&gt;1,"重複",""))</f>
        <v/>
      </c>
    </row>
    <row r="1001" customFormat="false" ht="16.5" hidden="false" customHeight="true" outlineLevel="0" collapsed="false">
      <c r="A1001" s="2" t="s">
        <v>385</v>
      </c>
      <c r="B1001" s="2" t="s">
        <v>405</v>
      </c>
      <c r="C1001" s="2" t="s">
        <v>19</v>
      </c>
      <c r="D1001" s="2" t="str">
        <f aca="false">IF(2キー同時!$B$253="","",2キー同時!$B$253)</f>
        <v/>
      </c>
      <c r="E1001" s="2" t="str">
        <f aca="false">""</f>
        <v/>
      </c>
      <c r="F1001" s="2" t="str">
        <f aca="false">""</f>
        <v/>
      </c>
      <c r="G1001" s="2" t="str">
        <f aca="false">IF(2キー同時!$B$253="","",IF(2キー同時!AJ257="","",SUBSTITUTE(SUBSTITUTE(2キー同時!AJ257," ",""),"　","")))</f>
        <v/>
      </c>
      <c r="H1001" s="2" t="str">
        <f aca="false">IF($G1001="","",2キー同時!$B$253)</f>
        <v/>
      </c>
      <c r="I1001" s="2" t="str">
        <f aca="false">IF($G1001="","","i")</f>
        <v/>
      </c>
      <c r="J1001" s="2" t="str">
        <f aca="false">""</f>
        <v/>
      </c>
      <c r="K1001" s="2" t="str">
        <f aca="false">""</f>
        <v/>
      </c>
      <c r="L1001" s="2" t="str">
        <f aca="false">IF($G1001="","","同時")</f>
        <v/>
      </c>
      <c r="M1001" s="2" t="str">
        <f aca="false">IF($G1001="","",IF(ISNA(MATCH($G1001,個別指定!$A:$A,0)),"行なし",""))</f>
        <v/>
      </c>
      <c r="N1001" s="2" t="str">
        <f aca="false">IF($G1001="","",IF(COUNTIF($G$2:$G$4460,$G1001)&gt;1,"重複",""))</f>
        <v/>
      </c>
    </row>
    <row r="1002" customFormat="false" ht="16.5" hidden="false" customHeight="true" outlineLevel="0" collapsed="false">
      <c r="A1002" s="2" t="s">
        <v>385</v>
      </c>
      <c r="B1002" s="2" t="s">
        <v>405</v>
      </c>
      <c r="C1002" s="2" t="s">
        <v>20</v>
      </c>
      <c r="D1002" s="2" t="str">
        <f aca="false">IF(2キー同時!$B$253="","",2キー同時!$B$253)</f>
        <v/>
      </c>
      <c r="E1002" s="2" t="str">
        <f aca="false">""</f>
        <v/>
      </c>
      <c r="F1002" s="2" t="str">
        <f aca="false">""</f>
        <v/>
      </c>
      <c r="G1002" s="2" t="str">
        <f aca="false">IF(2キー同時!$B$253="","",IF(2キー同時!AN257="","",SUBSTITUTE(SUBSTITUTE(2キー同時!AN257," ",""),"　","")))</f>
        <v/>
      </c>
      <c r="H1002" s="2" t="str">
        <f aca="false">IF($G1002="","",2キー同時!$B$253)</f>
        <v/>
      </c>
      <c r="I1002" s="2" t="str">
        <f aca="false">IF($G1002="","","o")</f>
        <v/>
      </c>
      <c r="J1002" s="2" t="str">
        <f aca="false">""</f>
        <v/>
      </c>
      <c r="K1002" s="2" t="str">
        <f aca="false">""</f>
        <v/>
      </c>
      <c r="L1002" s="2" t="str">
        <f aca="false">IF($G1002="","","同時")</f>
        <v/>
      </c>
      <c r="M1002" s="2" t="str">
        <f aca="false">IF($G1002="","",IF(ISNA(MATCH($G1002,個別指定!$A:$A,0)),"行なし",""))</f>
        <v/>
      </c>
      <c r="N1002" s="2" t="str">
        <f aca="false">IF($G1002="","",IF(COUNTIF($G$2:$G$4460,$G1002)&gt;1,"重複",""))</f>
        <v/>
      </c>
    </row>
    <row r="1003" customFormat="false" ht="16.5" hidden="false" customHeight="true" outlineLevel="0" collapsed="false">
      <c r="A1003" s="2" t="s">
        <v>385</v>
      </c>
      <c r="B1003" s="2" t="s">
        <v>405</v>
      </c>
      <c r="C1003" s="2" t="s">
        <v>21</v>
      </c>
      <c r="D1003" s="2" t="str">
        <f aca="false">IF(2キー同時!$B$253="","",2キー同時!$B$253)</f>
        <v/>
      </c>
      <c r="E1003" s="2" t="str">
        <f aca="false">""</f>
        <v/>
      </c>
      <c r="F1003" s="2" t="str">
        <f aca="false">""</f>
        <v/>
      </c>
      <c r="G1003" s="2" t="str">
        <f aca="false">IF(2キー同時!$B$253="","",IF(2キー同時!AR257="","",SUBSTITUTE(SUBSTITUTE(2キー同時!AR257," ",""),"　","")))</f>
        <v/>
      </c>
      <c r="H1003" s="2" t="str">
        <f aca="false">IF($G1003="","",2キー同時!$B$253)</f>
        <v/>
      </c>
      <c r="I1003" s="2" t="str">
        <f aca="false">IF($G1003="","","p")</f>
        <v/>
      </c>
      <c r="J1003" s="2" t="str">
        <f aca="false">""</f>
        <v/>
      </c>
      <c r="K1003" s="2" t="str">
        <f aca="false">""</f>
        <v/>
      </c>
      <c r="L1003" s="2" t="str">
        <f aca="false">IF($G1003="","","同時")</f>
        <v/>
      </c>
      <c r="M1003" s="2" t="str">
        <f aca="false">IF($G1003="","",IF(ISNA(MATCH($G1003,個別指定!$A:$A,0)),"行なし",""))</f>
        <v/>
      </c>
      <c r="N1003" s="2" t="str">
        <f aca="false">IF($G1003="","",IF(COUNTIF($G$2:$G$4460,$G1003)&gt;1,"重複",""))</f>
        <v/>
      </c>
    </row>
    <row r="1004" customFormat="false" ht="16.5" hidden="false" customHeight="true" outlineLevel="0" collapsed="false">
      <c r="A1004" s="2" t="s">
        <v>385</v>
      </c>
      <c r="B1004" s="2" t="s">
        <v>405</v>
      </c>
      <c r="C1004" s="2" t="s">
        <v>22</v>
      </c>
      <c r="D1004" s="2" t="str">
        <f aca="false">IF(2キー同時!$B$253="","",2キー同時!$B$253)</f>
        <v/>
      </c>
      <c r="E1004" s="2" t="str">
        <f aca="false">""</f>
        <v/>
      </c>
      <c r="F1004" s="2" t="str">
        <f aca="false">""</f>
        <v/>
      </c>
      <c r="G1004" s="2" t="str">
        <f aca="false">IF(2キー同時!$B$253="","",IF(2キー同時!AV257="","",SUBSTITUTE(SUBSTITUTE(2キー同時!AV257," ",""),"　","")))</f>
        <v/>
      </c>
      <c r="H1004" s="2" t="str">
        <f aca="false">IF($G1004="","",2キー同時!$B$253)</f>
        <v/>
      </c>
      <c r="I1004" s="2" t="str">
        <f aca="false">IF($G1004="","","[")</f>
        <v/>
      </c>
      <c r="J1004" s="2" t="str">
        <f aca="false">""</f>
        <v/>
      </c>
      <c r="K1004" s="2" t="str">
        <f aca="false">""</f>
        <v/>
      </c>
      <c r="L1004" s="2" t="str">
        <f aca="false">IF($G1004="","","同時")</f>
        <v/>
      </c>
      <c r="M1004" s="2" t="str">
        <f aca="false">IF($G1004="","",IF(ISNA(MATCH($G1004,個別指定!$A:$A,0)),"行なし",""))</f>
        <v/>
      </c>
      <c r="N1004" s="2" t="str">
        <f aca="false">IF($G1004="","",IF(COUNTIF($G$2:$G$4460,$G1004)&gt;1,"重複",""))</f>
        <v/>
      </c>
    </row>
    <row r="1005" customFormat="false" ht="16.5" hidden="false" customHeight="true" outlineLevel="0" collapsed="false">
      <c r="A1005" s="2" t="s">
        <v>385</v>
      </c>
      <c r="B1005" s="2" t="s">
        <v>405</v>
      </c>
      <c r="C1005" s="2" t="s">
        <v>23</v>
      </c>
      <c r="D1005" s="2" t="str">
        <f aca="false">IF(2キー同時!$B$253="","",2キー同時!$B$253)</f>
        <v/>
      </c>
      <c r="E1005" s="2" t="str">
        <f aca="false">""</f>
        <v/>
      </c>
      <c r="F1005" s="2" t="str">
        <f aca="false">""</f>
        <v/>
      </c>
      <c r="G1005" s="2" t="str">
        <f aca="false">IF(2キー同時!$B$253="","",IF(2キー同時!AZ257="","",SUBSTITUTE(SUBSTITUTE(2キー同時!AZ257," ",""),"　","")))</f>
        <v/>
      </c>
      <c r="H1005" s="2" t="str">
        <f aca="false">IF($G1005="","",2キー同時!$B$253)</f>
        <v/>
      </c>
      <c r="I1005" s="2" t="str">
        <f aca="false">IF($G1005="","","]")</f>
        <v/>
      </c>
      <c r="J1005" s="2" t="str">
        <f aca="false">""</f>
        <v/>
      </c>
      <c r="K1005" s="2" t="str">
        <f aca="false">""</f>
        <v/>
      </c>
      <c r="L1005" s="2" t="str">
        <f aca="false">IF($G1005="","","同時")</f>
        <v/>
      </c>
      <c r="M1005" s="2" t="str">
        <f aca="false">IF($G1005="","",IF(ISNA(MATCH($G1005,個別指定!$A:$A,0)),"行なし",""))</f>
        <v/>
      </c>
      <c r="N1005" s="2" t="str">
        <f aca="false">IF($G1005="","",IF(COUNTIF($G$2:$G$4460,$G1005)&gt;1,"重複",""))</f>
        <v/>
      </c>
    </row>
    <row r="1006" customFormat="false" ht="16.5" hidden="false" customHeight="true" outlineLevel="0" collapsed="false">
      <c r="A1006" s="2" t="s">
        <v>385</v>
      </c>
      <c r="B1006" s="2" t="s">
        <v>405</v>
      </c>
      <c r="C1006" s="2" t="s">
        <v>24</v>
      </c>
      <c r="D1006" s="2" t="str">
        <f aca="false">IF(2キー同時!$B$253="","",2キー同時!$B$253)</f>
        <v/>
      </c>
      <c r="E1006" s="2" t="str">
        <f aca="false">""</f>
        <v/>
      </c>
      <c r="F1006" s="2" t="str">
        <f aca="false">""</f>
        <v/>
      </c>
      <c r="G1006" s="2" t="str">
        <f aca="false">IF(2キー同時!$B$253="","",IF(2キー同時!I259="","",SUBSTITUTE(SUBSTITUTE(2キー同時!I259," ",""),"　","")))</f>
        <v/>
      </c>
      <c r="H1006" s="2" t="str">
        <f aca="false">IF($G1006="","",2キー同時!$B$253)</f>
        <v/>
      </c>
      <c r="I1006" s="2" t="str">
        <f aca="false">IF($G1006="","","a")</f>
        <v/>
      </c>
      <c r="J1006" s="2" t="str">
        <f aca="false">""</f>
        <v/>
      </c>
      <c r="K1006" s="2" t="str">
        <f aca="false">""</f>
        <v/>
      </c>
      <c r="L1006" s="2" t="str">
        <f aca="false">IF($G1006="","","同時")</f>
        <v/>
      </c>
      <c r="M1006" s="2" t="str">
        <f aca="false">IF($G1006="","",IF(ISNA(MATCH($G1006,個別指定!$A:$A,0)),"行なし",""))</f>
        <v/>
      </c>
      <c r="N1006" s="2" t="str">
        <f aca="false">IF($G1006="","",IF(COUNTIF($G$2:$G$4460,$G1006)&gt;1,"重複",""))</f>
        <v/>
      </c>
    </row>
    <row r="1007" customFormat="false" ht="16.5" hidden="false" customHeight="true" outlineLevel="0" collapsed="false">
      <c r="A1007" s="2" t="s">
        <v>385</v>
      </c>
      <c r="B1007" s="2" t="s">
        <v>405</v>
      </c>
      <c r="C1007" s="2" t="s">
        <v>25</v>
      </c>
      <c r="D1007" s="2" t="str">
        <f aca="false">IF(2キー同時!$B$253="","",2キー同時!$B$253)</f>
        <v/>
      </c>
      <c r="E1007" s="2" t="str">
        <f aca="false">""</f>
        <v/>
      </c>
      <c r="F1007" s="2" t="str">
        <f aca="false">""</f>
        <v/>
      </c>
      <c r="G1007" s="2" t="str">
        <f aca="false">IF(2キー同時!$B$253="","",IF(2キー同時!M259="","",SUBSTITUTE(SUBSTITUTE(2キー同時!M259," ",""),"　","")))</f>
        <v/>
      </c>
      <c r="H1007" s="2" t="str">
        <f aca="false">IF($G1007="","",2キー同時!$B$253)</f>
        <v/>
      </c>
      <c r="I1007" s="2" t="str">
        <f aca="false">IF($G1007="","","s")</f>
        <v/>
      </c>
      <c r="J1007" s="2" t="str">
        <f aca="false">""</f>
        <v/>
      </c>
      <c r="K1007" s="2" t="str">
        <f aca="false">""</f>
        <v/>
      </c>
      <c r="L1007" s="2" t="str">
        <f aca="false">IF($G1007="","","同時")</f>
        <v/>
      </c>
      <c r="M1007" s="2" t="str">
        <f aca="false">IF($G1007="","",IF(ISNA(MATCH($G1007,個別指定!$A:$A,0)),"行なし",""))</f>
        <v/>
      </c>
      <c r="N1007" s="2" t="str">
        <f aca="false">IF($G1007="","",IF(COUNTIF($G$2:$G$4460,$G1007)&gt;1,"重複",""))</f>
        <v/>
      </c>
    </row>
    <row r="1008" customFormat="false" ht="16.5" hidden="false" customHeight="true" outlineLevel="0" collapsed="false">
      <c r="A1008" s="2" t="s">
        <v>385</v>
      </c>
      <c r="B1008" s="2" t="s">
        <v>405</v>
      </c>
      <c r="C1008" s="2" t="s">
        <v>26</v>
      </c>
      <c r="D1008" s="2" t="str">
        <f aca="false">IF(2キー同時!$B$253="","",2キー同時!$B$253)</f>
        <v/>
      </c>
      <c r="E1008" s="2" t="str">
        <f aca="false">""</f>
        <v/>
      </c>
      <c r="F1008" s="2" t="str">
        <f aca="false">""</f>
        <v/>
      </c>
      <c r="G1008" s="2" t="str">
        <f aca="false">IF(2キー同時!$B$253="","",IF(2キー同時!Q259="","",SUBSTITUTE(SUBSTITUTE(2キー同時!Q259," ",""),"　","")))</f>
        <v/>
      </c>
      <c r="H1008" s="2" t="str">
        <f aca="false">IF($G1008="","",2キー同時!$B$253)</f>
        <v/>
      </c>
      <c r="I1008" s="2" t="str">
        <f aca="false">IF($G1008="","","d")</f>
        <v/>
      </c>
      <c r="J1008" s="2" t="str">
        <f aca="false">""</f>
        <v/>
      </c>
      <c r="K1008" s="2" t="str">
        <f aca="false">""</f>
        <v/>
      </c>
      <c r="L1008" s="2" t="str">
        <f aca="false">IF($G1008="","","同時")</f>
        <v/>
      </c>
      <c r="M1008" s="2" t="str">
        <f aca="false">IF($G1008="","",IF(ISNA(MATCH($G1008,個別指定!$A:$A,0)),"行なし",""))</f>
        <v/>
      </c>
      <c r="N1008" s="2" t="str">
        <f aca="false">IF($G1008="","",IF(COUNTIF($G$2:$G$4460,$G1008)&gt;1,"重複",""))</f>
        <v/>
      </c>
    </row>
    <row r="1009" customFormat="false" ht="16.5" hidden="false" customHeight="true" outlineLevel="0" collapsed="false">
      <c r="A1009" s="2" t="s">
        <v>385</v>
      </c>
      <c r="B1009" s="2" t="s">
        <v>405</v>
      </c>
      <c r="C1009" s="2" t="s">
        <v>27</v>
      </c>
      <c r="D1009" s="2" t="str">
        <f aca="false">IF(2キー同時!$B$253="","",2キー同時!$B$253)</f>
        <v/>
      </c>
      <c r="E1009" s="2" t="str">
        <f aca="false">""</f>
        <v/>
      </c>
      <c r="F1009" s="2" t="str">
        <f aca="false">""</f>
        <v/>
      </c>
      <c r="G1009" s="2" t="str">
        <f aca="false">IF(2キー同時!$B$253="","",IF(2キー同時!U259="","",SUBSTITUTE(SUBSTITUTE(2キー同時!U259," ",""),"　","")))</f>
        <v/>
      </c>
      <c r="H1009" s="2" t="str">
        <f aca="false">IF($G1009="","",2キー同時!$B$253)</f>
        <v/>
      </c>
      <c r="I1009" s="2" t="str">
        <f aca="false">IF($G1009="","","f")</f>
        <v/>
      </c>
      <c r="J1009" s="2" t="str">
        <f aca="false">""</f>
        <v/>
      </c>
      <c r="K1009" s="2" t="str">
        <f aca="false">""</f>
        <v/>
      </c>
      <c r="L1009" s="2" t="str">
        <f aca="false">IF($G1009="","","同時")</f>
        <v/>
      </c>
      <c r="M1009" s="2" t="str">
        <f aca="false">IF($G1009="","",IF(ISNA(MATCH($G1009,個別指定!$A:$A,0)),"行なし",""))</f>
        <v/>
      </c>
      <c r="N1009" s="2" t="str">
        <f aca="false">IF($G1009="","",IF(COUNTIF($G$2:$G$4460,$G1009)&gt;1,"重複",""))</f>
        <v/>
      </c>
    </row>
    <row r="1010" customFormat="false" ht="16.5" hidden="false" customHeight="true" outlineLevel="0" collapsed="false">
      <c r="A1010" s="2" t="s">
        <v>385</v>
      </c>
      <c r="B1010" s="2" t="s">
        <v>405</v>
      </c>
      <c r="C1010" s="2" t="s">
        <v>28</v>
      </c>
      <c r="D1010" s="2" t="str">
        <f aca="false">IF(2キー同時!$B$253="","",2キー同時!$B$253)</f>
        <v/>
      </c>
      <c r="E1010" s="2" t="str">
        <f aca="false">""</f>
        <v/>
      </c>
      <c r="F1010" s="2" t="str">
        <f aca="false">""</f>
        <v/>
      </c>
      <c r="G1010" s="2" t="str">
        <f aca="false">IF(2キー同時!$B$253="","",IF(2キー同時!Y259="","",SUBSTITUTE(SUBSTITUTE(2キー同時!Y259," ",""),"　","")))</f>
        <v/>
      </c>
      <c r="H1010" s="2" t="str">
        <f aca="false">IF($G1010="","",2キー同時!$B$253)</f>
        <v/>
      </c>
      <c r="I1010" s="2" t="str">
        <f aca="false">IF($G1010="","","g")</f>
        <v/>
      </c>
      <c r="J1010" s="2" t="str">
        <f aca="false">""</f>
        <v/>
      </c>
      <c r="K1010" s="2" t="str">
        <f aca="false">""</f>
        <v/>
      </c>
      <c r="L1010" s="2" t="str">
        <f aca="false">IF($G1010="","","同時")</f>
        <v/>
      </c>
      <c r="M1010" s="2" t="str">
        <f aca="false">IF($G1010="","",IF(ISNA(MATCH($G1010,個別指定!$A:$A,0)),"行なし",""))</f>
        <v/>
      </c>
      <c r="N1010" s="2" t="str">
        <f aca="false">IF($G1010="","",IF(COUNTIF($G$2:$G$4460,$G1010)&gt;1,"重複",""))</f>
        <v/>
      </c>
    </row>
    <row r="1011" customFormat="false" ht="16.5" hidden="false" customHeight="true" outlineLevel="0" collapsed="false">
      <c r="A1011" s="2" t="s">
        <v>385</v>
      </c>
      <c r="B1011" s="2" t="s">
        <v>405</v>
      </c>
      <c r="C1011" s="2" t="s">
        <v>29</v>
      </c>
      <c r="D1011" s="2" t="str">
        <f aca="false">IF(2キー同時!$B$253="","",2キー同時!$B$253)</f>
        <v/>
      </c>
      <c r="E1011" s="2" t="str">
        <f aca="false">""</f>
        <v/>
      </c>
      <c r="F1011" s="2" t="str">
        <f aca="false">""</f>
        <v/>
      </c>
      <c r="G1011" s="2" t="str">
        <f aca="false">IF(2キー同時!$B$253="","",IF(2キー同時!AC259="","",SUBSTITUTE(SUBSTITUTE(2キー同時!AC259," ",""),"　","")))</f>
        <v/>
      </c>
      <c r="H1011" s="2" t="str">
        <f aca="false">IF($G1011="","",2キー同時!$B$253)</f>
        <v/>
      </c>
      <c r="I1011" s="2" t="str">
        <f aca="false">IF($G1011="","","h")</f>
        <v/>
      </c>
      <c r="J1011" s="2" t="str">
        <f aca="false">""</f>
        <v/>
      </c>
      <c r="K1011" s="2" t="str">
        <f aca="false">""</f>
        <v/>
      </c>
      <c r="L1011" s="2" t="str">
        <f aca="false">IF($G1011="","","同時")</f>
        <v/>
      </c>
      <c r="M1011" s="2" t="str">
        <f aca="false">IF($G1011="","",IF(ISNA(MATCH($G1011,個別指定!$A:$A,0)),"行なし",""))</f>
        <v/>
      </c>
      <c r="N1011" s="2" t="str">
        <f aca="false">IF($G1011="","",IF(COUNTIF($G$2:$G$4460,$G1011)&gt;1,"重複",""))</f>
        <v/>
      </c>
    </row>
    <row r="1012" customFormat="false" ht="16.5" hidden="false" customHeight="true" outlineLevel="0" collapsed="false">
      <c r="A1012" s="2" t="s">
        <v>385</v>
      </c>
      <c r="B1012" s="2" t="s">
        <v>405</v>
      </c>
      <c r="C1012" s="2" t="s">
        <v>30</v>
      </c>
      <c r="D1012" s="2" t="str">
        <f aca="false">IF(2キー同時!$B$253="","",2キー同時!$B$253)</f>
        <v/>
      </c>
      <c r="E1012" s="2" t="str">
        <f aca="false">""</f>
        <v/>
      </c>
      <c r="F1012" s="2" t="str">
        <f aca="false">""</f>
        <v/>
      </c>
      <c r="G1012" s="2" t="str">
        <f aca="false">IF(2キー同時!$B$253="","",IF(2キー同時!AG259="","",SUBSTITUTE(SUBSTITUTE(2キー同時!AG259," ",""),"　","")))</f>
        <v/>
      </c>
      <c r="H1012" s="2" t="str">
        <f aca="false">IF($G1012="","",2キー同時!$B$253)</f>
        <v/>
      </c>
      <c r="I1012" s="2" t="str">
        <f aca="false">IF($G1012="","","j")</f>
        <v/>
      </c>
      <c r="J1012" s="2" t="str">
        <f aca="false">""</f>
        <v/>
      </c>
      <c r="K1012" s="2" t="str">
        <f aca="false">""</f>
        <v/>
      </c>
      <c r="L1012" s="2" t="str">
        <f aca="false">IF($G1012="","","同時")</f>
        <v/>
      </c>
      <c r="M1012" s="2" t="str">
        <f aca="false">IF($G1012="","",IF(ISNA(MATCH($G1012,個別指定!$A:$A,0)),"行なし",""))</f>
        <v/>
      </c>
      <c r="N1012" s="2" t="str">
        <f aca="false">IF($G1012="","",IF(COUNTIF($G$2:$G$4460,$G1012)&gt;1,"重複",""))</f>
        <v/>
      </c>
    </row>
    <row r="1013" customFormat="false" ht="16.5" hidden="false" customHeight="true" outlineLevel="0" collapsed="false">
      <c r="A1013" s="2" t="s">
        <v>385</v>
      </c>
      <c r="B1013" s="2" t="s">
        <v>405</v>
      </c>
      <c r="C1013" s="2" t="s">
        <v>31</v>
      </c>
      <c r="D1013" s="2" t="str">
        <f aca="false">IF(2キー同時!$B$253="","",2キー同時!$B$253)</f>
        <v/>
      </c>
      <c r="E1013" s="2" t="str">
        <f aca="false">""</f>
        <v/>
      </c>
      <c r="F1013" s="2" t="str">
        <f aca="false">""</f>
        <v/>
      </c>
      <c r="G1013" s="2" t="str">
        <f aca="false">IF(2キー同時!$B$253="","",IF(2キー同時!AK259="","",SUBSTITUTE(SUBSTITUTE(2キー同時!AK259," ",""),"　","")))</f>
        <v/>
      </c>
      <c r="H1013" s="2" t="str">
        <f aca="false">IF($G1013="","",2キー同時!$B$253)</f>
        <v/>
      </c>
      <c r="I1013" s="2" t="str">
        <f aca="false">IF($G1013="","","k")</f>
        <v/>
      </c>
      <c r="J1013" s="2" t="str">
        <f aca="false">""</f>
        <v/>
      </c>
      <c r="K1013" s="2" t="str">
        <f aca="false">""</f>
        <v/>
      </c>
      <c r="L1013" s="2" t="str">
        <f aca="false">IF($G1013="","","同時")</f>
        <v/>
      </c>
      <c r="M1013" s="2" t="str">
        <f aca="false">IF($G1013="","",IF(ISNA(MATCH($G1013,個別指定!$A:$A,0)),"行なし",""))</f>
        <v/>
      </c>
      <c r="N1013" s="2" t="str">
        <f aca="false">IF($G1013="","",IF(COUNTIF($G$2:$G$4460,$G1013)&gt;1,"重複",""))</f>
        <v/>
      </c>
    </row>
    <row r="1014" customFormat="false" ht="16.5" hidden="false" customHeight="true" outlineLevel="0" collapsed="false">
      <c r="A1014" s="2" t="s">
        <v>385</v>
      </c>
      <c r="B1014" s="2" t="s">
        <v>405</v>
      </c>
      <c r="C1014" s="2" t="s">
        <v>32</v>
      </c>
      <c r="D1014" s="2" t="str">
        <f aca="false">IF(2キー同時!$B$253="","",2キー同時!$B$253)</f>
        <v/>
      </c>
      <c r="E1014" s="2" t="str">
        <f aca="false">""</f>
        <v/>
      </c>
      <c r="F1014" s="2" t="str">
        <f aca="false">""</f>
        <v/>
      </c>
      <c r="G1014" s="2" t="str">
        <f aca="false">IF(2キー同時!$B$253="","",IF(2キー同時!AO259="","",SUBSTITUTE(SUBSTITUTE(2キー同時!AO259," ",""),"　","")))</f>
        <v/>
      </c>
      <c r="H1014" s="2" t="str">
        <f aca="false">IF($G1014="","",2キー同時!$B$253)</f>
        <v/>
      </c>
      <c r="I1014" s="2" t="str">
        <f aca="false">IF($G1014="","","l")</f>
        <v/>
      </c>
      <c r="J1014" s="2" t="str">
        <f aca="false">""</f>
        <v/>
      </c>
      <c r="K1014" s="2" t="str">
        <f aca="false">""</f>
        <v/>
      </c>
      <c r="L1014" s="2" t="str">
        <f aca="false">IF($G1014="","","同時")</f>
        <v/>
      </c>
      <c r="M1014" s="2" t="str">
        <f aca="false">IF($G1014="","",IF(ISNA(MATCH($G1014,個別指定!$A:$A,0)),"行なし",""))</f>
        <v/>
      </c>
      <c r="N1014" s="2" t="str">
        <f aca="false">IF($G1014="","",IF(COUNTIF($G$2:$G$4460,$G1014)&gt;1,"重複",""))</f>
        <v/>
      </c>
    </row>
    <row r="1015" customFormat="false" ht="16.5" hidden="false" customHeight="true" outlineLevel="0" collapsed="false">
      <c r="A1015" s="2" t="s">
        <v>385</v>
      </c>
      <c r="B1015" s="2" t="s">
        <v>405</v>
      </c>
      <c r="C1015" s="2" t="s">
        <v>33</v>
      </c>
      <c r="D1015" s="2" t="str">
        <f aca="false">IF(2キー同時!$B$253="","",2キー同時!$B$253)</f>
        <v/>
      </c>
      <c r="E1015" s="2" t="str">
        <f aca="false">""</f>
        <v/>
      </c>
      <c r="F1015" s="2" t="str">
        <f aca="false">""</f>
        <v/>
      </c>
      <c r="G1015" s="2" t="str">
        <f aca="false">IF(2キー同時!$B$253="","",IF(2キー同時!AS259="","",SUBSTITUTE(SUBSTITUTE(2キー同時!AS259," ",""),"　","")))</f>
        <v/>
      </c>
      <c r="H1015" s="2" t="str">
        <f aca="false">IF($G1015="","",2キー同時!$B$253)</f>
        <v/>
      </c>
      <c r="I1015" s="2" t="str">
        <f aca="false">IF($G1015="","",";")</f>
        <v/>
      </c>
      <c r="J1015" s="2" t="str">
        <f aca="false">""</f>
        <v/>
      </c>
      <c r="K1015" s="2" t="str">
        <f aca="false">""</f>
        <v/>
      </c>
      <c r="L1015" s="2" t="str">
        <f aca="false">IF($G1015="","","同時")</f>
        <v/>
      </c>
      <c r="M1015" s="2" t="str">
        <f aca="false">IF($G1015="","",IF(ISNA(MATCH($G1015,個別指定!$A:$A,0)),"行なし",""))</f>
        <v/>
      </c>
      <c r="N1015" s="2" t="str">
        <f aca="false">IF($G1015="","",IF(COUNTIF($G$2:$G$4460,$G1015)&gt;1,"重複",""))</f>
        <v/>
      </c>
    </row>
    <row r="1016" customFormat="false" ht="16.5" hidden="false" customHeight="true" outlineLevel="0" collapsed="false">
      <c r="A1016" s="2" t="s">
        <v>385</v>
      </c>
      <c r="B1016" s="2" t="s">
        <v>405</v>
      </c>
      <c r="C1016" s="2" t="s">
        <v>34</v>
      </c>
      <c r="D1016" s="2" t="str">
        <f aca="false">IF(2キー同時!$B$253="","",2キー同時!$B$253)</f>
        <v/>
      </c>
      <c r="E1016" s="2" t="str">
        <f aca="false">""</f>
        <v/>
      </c>
      <c r="F1016" s="2" t="str">
        <f aca="false">""</f>
        <v/>
      </c>
      <c r="G1016" s="2" t="str">
        <f aca="false">IF(2キー同時!$B$253="","",IF(2キー同時!AW259="","",SUBSTITUTE(SUBSTITUTE(2キー同時!AW259," ",""),"　","")))</f>
        <v/>
      </c>
      <c r="H1016" s="2" t="str">
        <f aca="false">IF($G1016="","",2キー同時!$B$253)</f>
        <v/>
      </c>
      <c r="I1016" s="2" t="str">
        <f aca="false">IF($G1016="","","'")</f>
        <v/>
      </c>
      <c r="J1016" s="2" t="str">
        <f aca="false">""</f>
        <v/>
      </c>
      <c r="K1016" s="2" t="str">
        <f aca="false">""</f>
        <v/>
      </c>
      <c r="L1016" s="2" t="str">
        <f aca="false">IF($G1016="","","同時")</f>
        <v/>
      </c>
      <c r="M1016" s="2" t="str">
        <f aca="false">IF($G1016="","",IF(ISNA(MATCH($G1016,個別指定!$A:$A,0)),"行なし",""))</f>
        <v/>
      </c>
      <c r="N1016" s="2" t="str">
        <f aca="false">IF($G1016="","",IF(COUNTIF($G$2:$G$4460,$G1016)&gt;1,"重複",""))</f>
        <v/>
      </c>
    </row>
    <row r="1017" customFormat="false" ht="16.5" hidden="false" customHeight="true" outlineLevel="0" collapsed="false">
      <c r="A1017" s="2" t="s">
        <v>385</v>
      </c>
      <c r="B1017" s="2" t="s">
        <v>405</v>
      </c>
      <c r="C1017" s="2" t="s">
        <v>35</v>
      </c>
      <c r="D1017" s="2" t="str">
        <f aca="false">IF(2キー同時!$B$253="","",2キー同時!$B$253)</f>
        <v/>
      </c>
      <c r="E1017" s="2" t="str">
        <f aca="false">""</f>
        <v/>
      </c>
      <c r="F1017" s="2" t="str">
        <f aca="false">""</f>
        <v/>
      </c>
      <c r="G1017" s="2" t="str">
        <f aca="false">IF(2キー同時!$B$253="","",IF(2キー同時!K261="","",SUBSTITUTE(SUBSTITUTE(2キー同時!K261," ",""),"　","")))</f>
        <v/>
      </c>
      <c r="H1017" s="2" t="str">
        <f aca="false">IF($G1017="","",2キー同時!$B$253)</f>
        <v/>
      </c>
      <c r="I1017" s="2" t="str">
        <f aca="false">IF($G1017="","","z")</f>
        <v/>
      </c>
      <c r="J1017" s="2" t="str">
        <f aca="false">""</f>
        <v/>
      </c>
      <c r="K1017" s="2" t="str">
        <f aca="false">""</f>
        <v/>
      </c>
      <c r="L1017" s="2" t="str">
        <f aca="false">IF($G1017="","","同時")</f>
        <v/>
      </c>
      <c r="M1017" s="2" t="str">
        <f aca="false">IF($G1017="","",IF(ISNA(MATCH($G1017,個別指定!$A:$A,0)),"行なし",""))</f>
        <v/>
      </c>
      <c r="N1017" s="2" t="str">
        <f aca="false">IF($G1017="","",IF(COUNTIF($G$2:$G$4460,$G1017)&gt;1,"重複",""))</f>
        <v/>
      </c>
    </row>
    <row r="1018" customFormat="false" ht="16.5" hidden="false" customHeight="true" outlineLevel="0" collapsed="false">
      <c r="A1018" s="2" t="s">
        <v>385</v>
      </c>
      <c r="B1018" s="2" t="s">
        <v>405</v>
      </c>
      <c r="C1018" s="2" t="s">
        <v>36</v>
      </c>
      <c r="D1018" s="2" t="str">
        <f aca="false">IF(2キー同時!$B$253="","",2キー同時!$B$253)</f>
        <v/>
      </c>
      <c r="E1018" s="2" t="str">
        <f aca="false">""</f>
        <v/>
      </c>
      <c r="F1018" s="2" t="str">
        <f aca="false">""</f>
        <v/>
      </c>
      <c r="G1018" s="2" t="str">
        <f aca="false">IF(2キー同時!$B$253="","",IF(2キー同時!O261="","",SUBSTITUTE(SUBSTITUTE(2キー同時!O261," ",""),"　","")))</f>
        <v/>
      </c>
      <c r="H1018" s="2" t="str">
        <f aca="false">IF($G1018="","",2キー同時!$B$253)</f>
        <v/>
      </c>
      <c r="I1018" s="2" t="str">
        <f aca="false">IF($G1018="","","x")</f>
        <v/>
      </c>
      <c r="J1018" s="2" t="str">
        <f aca="false">""</f>
        <v/>
      </c>
      <c r="K1018" s="2" t="str">
        <f aca="false">""</f>
        <v/>
      </c>
      <c r="L1018" s="2" t="str">
        <f aca="false">IF($G1018="","","同時")</f>
        <v/>
      </c>
      <c r="M1018" s="2" t="str">
        <f aca="false">IF($G1018="","",IF(ISNA(MATCH($G1018,個別指定!$A:$A,0)),"行なし",""))</f>
        <v/>
      </c>
      <c r="N1018" s="2" t="str">
        <f aca="false">IF($G1018="","",IF(COUNTIF($G$2:$G$4460,$G1018)&gt;1,"重複",""))</f>
        <v/>
      </c>
    </row>
    <row r="1019" customFormat="false" ht="16.5" hidden="false" customHeight="true" outlineLevel="0" collapsed="false">
      <c r="A1019" s="2" t="s">
        <v>385</v>
      </c>
      <c r="B1019" s="2" t="s">
        <v>405</v>
      </c>
      <c r="C1019" s="2" t="s">
        <v>37</v>
      </c>
      <c r="D1019" s="2" t="str">
        <f aca="false">IF(2キー同時!$B$253="","",2キー同時!$B$253)</f>
        <v/>
      </c>
      <c r="E1019" s="2" t="str">
        <f aca="false">""</f>
        <v/>
      </c>
      <c r="F1019" s="2" t="str">
        <f aca="false">""</f>
        <v/>
      </c>
      <c r="G1019" s="2" t="str">
        <f aca="false">IF(2キー同時!$B$253="","",IF(2キー同時!S261="","",SUBSTITUTE(SUBSTITUTE(2キー同時!S261," ",""),"　","")))</f>
        <v/>
      </c>
      <c r="H1019" s="2" t="str">
        <f aca="false">IF($G1019="","",2キー同時!$B$253)</f>
        <v/>
      </c>
      <c r="I1019" s="2" t="str">
        <f aca="false">IF($G1019="","","c")</f>
        <v/>
      </c>
      <c r="J1019" s="2" t="str">
        <f aca="false">""</f>
        <v/>
      </c>
      <c r="K1019" s="2" t="str">
        <f aca="false">""</f>
        <v/>
      </c>
      <c r="L1019" s="2" t="str">
        <f aca="false">IF($G1019="","","同時")</f>
        <v/>
      </c>
      <c r="M1019" s="2" t="str">
        <f aca="false">IF($G1019="","",IF(ISNA(MATCH($G1019,個別指定!$A:$A,0)),"行なし",""))</f>
        <v/>
      </c>
      <c r="N1019" s="2" t="str">
        <f aca="false">IF($G1019="","",IF(COUNTIF($G$2:$G$4460,$G1019)&gt;1,"重複",""))</f>
        <v/>
      </c>
    </row>
    <row r="1020" customFormat="false" ht="16.5" hidden="false" customHeight="true" outlineLevel="0" collapsed="false">
      <c r="A1020" s="2" t="s">
        <v>385</v>
      </c>
      <c r="B1020" s="2" t="s">
        <v>405</v>
      </c>
      <c r="C1020" s="2" t="s">
        <v>38</v>
      </c>
      <c r="D1020" s="2" t="str">
        <f aca="false">IF(2キー同時!$B$253="","",2キー同時!$B$253)</f>
        <v/>
      </c>
      <c r="E1020" s="2" t="str">
        <f aca="false">""</f>
        <v/>
      </c>
      <c r="F1020" s="2" t="str">
        <f aca="false">""</f>
        <v/>
      </c>
      <c r="G1020" s="2" t="str">
        <f aca="false">IF(2キー同時!$B$253="","",IF(2キー同時!W261="","",SUBSTITUTE(SUBSTITUTE(2キー同時!W261," ",""),"　","")))</f>
        <v/>
      </c>
      <c r="H1020" s="2" t="str">
        <f aca="false">IF($G1020="","",2キー同時!$B$253)</f>
        <v/>
      </c>
      <c r="I1020" s="2" t="str">
        <f aca="false">IF($G1020="","","v")</f>
        <v/>
      </c>
      <c r="J1020" s="2" t="str">
        <f aca="false">""</f>
        <v/>
      </c>
      <c r="K1020" s="2" t="str">
        <f aca="false">""</f>
        <v/>
      </c>
      <c r="L1020" s="2" t="str">
        <f aca="false">IF($G1020="","","同時")</f>
        <v/>
      </c>
      <c r="M1020" s="2" t="str">
        <f aca="false">IF($G1020="","",IF(ISNA(MATCH($G1020,個別指定!$A:$A,0)),"行なし",""))</f>
        <v/>
      </c>
      <c r="N1020" s="2" t="str">
        <f aca="false">IF($G1020="","",IF(COUNTIF($G$2:$G$4460,$G1020)&gt;1,"重複",""))</f>
        <v/>
      </c>
    </row>
    <row r="1021" customFormat="false" ht="16.5" hidden="false" customHeight="true" outlineLevel="0" collapsed="false">
      <c r="A1021" s="2" t="s">
        <v>385</v>
      </c>
      <c r="B1021" s="2" t="s">
        <v>405</v>
      </c>
      <c r="C1021" s="2" t="s">
        <v>39</v>
      </c>
      <c r="D1021" s="2" t="str">
        <f aca="false">IF(2キー同時!$B$253="","",2キー同時!$B$253)</f>
        <v/>
      </c>
      <c r="E1021" s="2" t="str">
        <f aca="false">""</f>
        <v/>
      </c>
      <c r="F1021" s="2" t="str">
        <f aca="false">""</f>
        <v/>
      </c>
      <c r="G1021" s="2" t="str">
        <f aca="false">IF(2キー同時!$B$253="","",IF(2キー同時!AA261="","",SUBSTITUTE(SUBSTITUTE(2キー同時!AA261," ",""),"　","")))</f>
        <v/>
      </c>
      <c r="H1021" s="2" t="str">
        <f aca="false">IF($G1021="","",2キー同時!$B$253)</f>
        <v/>
      </c>
      <c r="I1021" s="2" t="str">
        <f aca="false">IF($G1021="","","b")</f>
        <v/>
      </c>
      <c r="J1021" s="2" t="str">
        <f aca="false">""</f>
        <v/>
      </c>
      <c r="K1021" s="2" t="str">
        <f aca="false">""</f>
        <v/>
      </c>
      <c r="L1021" s="2" t="str">
        <f aca="false">IF($G1021="","","同時")</f>
        <v/>
      </c>
      <c r="M1021" s="2" t="str">
        <f aca="false">IF($G1021="","",IF(ISNA(MATCH($G1021,個別指定!$A:$A,0)),"行なし",""))</f>
        <v/>
      </c>
      <c r="N1021" s="2" t="str">
        <f aca="false">IF($G1021="","",IF(COUNTIF($G$2:$G$4460,$G1021)&gt;1,"重複",""))</f>
        <v/>
      </c>
    </row>
    <row r="1022" customFormat="false" ht="16.5" hidden="false" customHeight="true" outlineLevel="0" collapsed="false">
      <c r="A1022" s="2" t="s">
        <v>385</v>
      </c>
      <c r="B1022" s="2" t="s">
        <v>405</v>
      </c>
      <c r="C1022" s="2" t="s">
        <v>40</v>
      </c>
      <c r="D1022" s="2" t="str">
        <f aca="false">IF(2キー同時!$B$253="","",2キー同時!$B$253)</f>
        <v/>
      </c>
      <c r="E1022" s="2" t="str">
        <f aca="false">""</f>
        <v/>
      </c>
      <c r="F1022" s="2" t="str">
        <f aca="false">""</f>
        <v/>
      </c>
      <c r="G1022" s="2" t="str">
        <f aca="false">IF(2キー同時!$B$253="","",IF(2キー同時!AE261="","",SUBSTITUTE(SUBSTITUTE(2キー同時!AE261," ",""),"　","")))</f>
        <v/>
      </c>
      <c r="H1022" s="2" t="str">
        <f aca="false">IF($G1022="","",2キー同時!$B$253)</f>
        <v/>
      </c>
      <c r="I1022" s="2" t="str">
        <f aca="false">IF($G1022="","","n")</f>
        <v/>
      </c>
      <c r="J1022" s="2" t="str">
        <f aca="false">""</f>
        <v/>
      </c>
      <c r="K1022" s="2" t="str">
        <f aca="false">""</f>
        <v/>
      </c>
      <c r="L1022" s="2" t="str">
        <f aca="false">IF($G1022="","","同時")</f>
        <v/>
      </c>
      <c r="M1022" s="2" t="str">
        <f aca="false">IF($G1022="","",IF(ISNA(MATCH($G1022,個別指定!$A:$A,0)),"行なし",""))</f>
        <v/>
      </c>
      <c r="N1022" s="2" t="str">
        <f aca="false">IF($G1022="","",IF(COUNTIF($G$2:$G$4460,$G1022)&gt;1,"重複",""))</f>
        <v/>
      </c>
    </row>
    <row r="1023" customFormat="false" ht="16.5" hidden="false" customHeight="true" outlineLevel="0" collapsed="false">
      <c r="A1023" s="2" t="s">
        <v>385</v>
      </c>
      <c r="B1023" s="2" t="s">
        <v>405</v>
      </c>
      <c r="C1023" s="2" t="s">
        <v>41</v>
      </c>
      <c r="D1023" s="2" t="str">
        <f aca="false">IF(2キー同時!$B$253="","",2キー同時!$B$253)</f>
        <v/>
      </c>
      <c r="E1023" s="2" t="str">
        <f aca="false">""</f>
        <v/>
      </c>
      <c r="F1023" s="2" t="str">
        <f aca="false">""</f>
        <v/>
      </c>
      <c r="G1023" s="2" t="str">
        <f aca="false">IF(2キー同時!$B$253="","",IF(2キー同時!AI261="","",SUBSTITUTE(SUBSTITUTE(2キー同時!AI261," ",""),"　","")))</f>
        <v/>
      </c>
      <c r="H1023" s="2" t="str">
        <f aca="false">IF($G1023="","",2キー同時!$B$253)</f>
        <v/>
      </c>
      <c r="I1023" s="2" t="str">
        <f aca="false">IF($G1023="","","m")</f>
        <v/>
      </c>
      <c r="J1023" s="2" t="str">
        <f aca="false">""</f>
        <v/>
      </c>
      <c r="K1023" s="2" t="str">
        <f aca="false">""</f>
        <v/>
      </c>
      <c r="L1023" s="2" t="str">
        <f aca="false">IF($G1023="","","同時")</f>
        <v/>
      </c>
      <c r="M1023" s="2" t="str">
        <f aca="false">IF($G1023="","",IF(ISNA(MATCH($G1023,個別指定!$A:$A,0)),"行なし",""))</f>
        <v/>
      </c>
      <c r="N1023" s="2" t="str">
        <f aca="false">IF($G1023="","",IF(COUNTIF($G$2:$G$4460,$G1023)&gt;1,"重複",""))</f>
        <v/>
      </c>
    </row>
    <row r="1024" customFormat="false" ht="16.5" hidden="false" customHeight="true" outlineLevel="0" collapsed="false">
      <c r="A1024" s="2" t="s">
        <v>385</v>
      </c>
      <c r="B1024" s="2" t="s">
        <v>405</v>
      </c>
      <c r="C1024" s="2" t="s">
        <v>42</v>
      </c>
      <c r="D1024" s="2" t="str">
        <f aca="false">IF(2キー同時!$B$253="","",2キー同時!$B$253)</f>
        <v/>
      </c>
      <c r="E1024" s="2" t="str">
        <f aca="false">""</f>
        <v/>
      </c>
      <c r="F1024" s="2" t="str">
        <f aca="false">""</f>
        <v/>
      </c>
      <c r="G1024" s="2" t="str">
        <f aca="false">IF(2キー同時!$B$253="","",IF(2キー同時!AM261="","",SUBSTITUTE(SUBSTITUTE(2キー同時!AM261," ",""),"　","")))</f>
        <v/>
      </c>
      <c r="H1024" s="2" t="str">
        <f aca="false">IF($G1024="","",2キー同時!$B$253)</f>
        <v/>
      </c>
      <c r="I1024" s="2" t="str">
        <f aca="false">IF($G1024="","",",")</f>
        <v/>
      </c>
      <c r="J1024" s="2" t="str">
        <f aca="false">""</f>
        <v/>
      </c>
      <c r="K1024" s="2" t="str">
        <f aca="false">""</f>
        <v/>
      </c>
      <c r="L1024" s="2" t="str">
        <f aca="false">IF($G1024="","","同時")</f>
        <v/>
      </c>
      <c r="M1024" s="2" t="str">
        <f aca="false">IF($G1024="","",IF(ISNA(MATCH($G1024,個別指定!$A:$A,0)),"行なし",""))</f>
        <v/>
      </c>
      <c r="N1024" s="2" t="str">
        <f aca="false">IF($G1024="","",IF(COUNTIF($G$2:$G$4460,$G1024)&gt;1,"重複",""))</f>
        <v/>
      </c>
    </row>
    <row r="1025" customFormat="false" ht="16.5" hidden="false" customHeight="true" outlineLevel="0" collapsed="false">
      <c r="A1025" s="2" t="s">
        <v>385</v>
      </c>
      <c r="B1025" s="2" t="s">
        <v>405</v>
      </c>
      <c r="C1025" s="2" t="s">
        <v>43</v>
      </c>
      <c r="D1025" s="2" t="str">
        <f aca="false">IF(2キー同時!$B$253="","",2キー同時!$B$253)</f>
        <v/>
      </c>
      <c r="E1025" s="2" t="str">
        <f aca="false">""</f>
        <v/>
      </c>
      <c r="F1025" s="2" t="str">
        <f aca="false">""</f>
        <v/>
      </c>
      <c r="G1025" s="2" t="str">
        <f aca="false">IF(2キー同時!$B$253="","",IF(2キー同時!AQ261="","",SUBSTITUTE(SUBSTITUTE(2キー同時!AQ261," ",""),"　","")))</f>
        <v/>
      </c>
      <c r="H1025" s="2" t="str">
        <f aca="false">IF($G1025="","",2キー同時!$B$253)</f>
        <v/>
      </c>
      <c r="I1025" s="2" t="str">
        <f aca="false">IF($G1025="","",".")</f>
        <v/>
      </c>
      <c r="J1025" s="2" t="str">
        <f aca="false">""</f>
        <v/>
      </c>
      <c r="K1025" s="2" t="str">
        <f aca="false">""</f>
        <v/>
      </c>
      <c r="L1025" s="2" t="str">
        <f aca="false">IF($G1025="","","同時")</f>
        <v/>
      </c>
      <c r="M1025" s="2" t="str">
        <f aca="false">IF($G1025="","",IF(ISNA(MATCH($G1025,個別指定!$A:$A,0)),"行なし",""))</f>
        <v/>
      </c>
      <c r="N1025" s="2" t="str">
        <f aca="false">IF($G1025="","",IF(COUNTIF($G$2:$G$4460,$G1025)&gt;1,"重複",""))</f>
        <v/>
      </c>
    </row>
    <row r="1026" customFormat="false" ht="16.5" hidden="false" customHeight="true" outlineLevel="0" collapsed="false">
      <c r="A1026" s="2" t="s">
        <v>385</v>
      </c>
      <c r="B1026" s="2" t="s">
        <v>405</v>
      </c>
      <c r="C1026" s="2" t="s">
        <v>44</v>
      </c>
      <c r="D1026" s="2" t="str">
        <f aca="false">IF(2キー同時!$B$253="","",2キー同時!$B$253)</f>
        <v/>
      </c>
      <c r="E1026" s="2" t="str">
        <f aca="false">""</f>
        <v/>
      </c>
      <c r="F1026" s="2" t="str">
        <f aca="false">""</f>
        <v/>
      </c>
      <c r="G1026" s="2" t="str">
        <f aca="false">IF(2キー同時!$B$253="","",IF(2キー同時!AU261="","",SUBSTITUTE(SUBSTITUTE(2キー同時!AU261," ",""),"　","")))</f>
        <v/>
      </c>
      <c r="H1026" s="2" t="str">
        <f aca="false">IF($G1026="","",2キー同時!$B$253)</f>
        <v/>
      </c>
      <c r="I1026" s="2" t="str">
        <f aca="false">IF($G1026="","","/")</f>
        <v/>
      </c>
      <c r="J1026" s="2" t="str">
        <f aca="false">""</f>
        <v/>
      </c>
      <c r="K1026" s="2" t="str">
        <f aca="false">""</f>
        <v/>
      </c>
      <c r="L1026" s="2" t="str">
        <f aca="false">IF($G1026="","","同時")</f>
        <v/>
      </c>
      <c r="M1026" s="2" t="str">
        <f aca="false">IF($G1026="","",IF(ISNA(MATCH($G1026,個別指定!$A:$A,0)),"行なし",""))</f>
        <v/>
      </c>
      <c r="N1026" s="2" t="str">
        <f aca="false">IF($G1026="","",IF(COUNTIF($G$2:$G$4460,$G1026)&gt;1,"重複",""))</f>
        <v/>
      </c>
    </row>
    <row r="1027" customFormat="false" ht="16.5" hidden="false" customHeight="true" outlineLevel="0" collapsed="false">
      <c r="A1027" s="2" t="s">
        <v>385</v>
      </c>
      <c r="B1027" s="2" t="s">
        <v>405</v>
      </c>
      <c r="C1027" s="2" t="s">
        <v>48</v>
      </c>
      <c r="D1027" s="2" t="str">
        <f aca="false">IF(2キー同時!$B$253="","",2キー同時!$B$253)</f>
        <v/>
      </c>
      <c r="E1027" s="2" t="str">
        <f aca="false">""</f>
        <v/>
      </c>
      <c r="F1027" s="2" t="str">
        <f aca="false">""</f>
        <v/>
      </c>
      <c r="G1027" s="2" t="str">
        <f aca="false">IF(2キー同時!$B$253="","",IF(2キー同時!P263="","",SUBSTITUTE(SUBSTITUTE(2キー同時!P263," ",""),"　","")))</f>
        <v/>
      </c>
      <c r="H1027" s="2" t="str">
        <f aca="false">IF($G1027="","",2キー同時!$B$253)</f>
        <v/>
      </c>
      <c r="I1027" s="2" t="str">
        <f aca="false">IF($G1027="","","muhenkan")</f>
        <v/>
      </c>
      <c r="J1027" s="2" t="str">
        <f aca="false">""</f>
        <v/>
      </c>
      <c r="K1027" s="2" t="str">
        <f aca="false">""</f>
        <v/>
      </c>
      <c r="L1027" s="2" t="str">
        <f aca="false">IF($G1027="","","同時")</f>
        <v/>
      </c>
      <c r="M1027" s="2" t="str">
        <f aca="false">IF($G1027="","",IF(ISNA(MATCH($G1027,個別指定!$A:$A,0)),"行なし",""))</f>
        <v/>
      </c>
      <c r="N1027" s="2" t="str">
        <f aca="false">IF($G1027="","",IF(COUNTIF($G$2:$G$4460,$G1027)&gt;1,"重複",""))</f>
        <v/>
      </c>
    </row>
    <row r="1028" customFormat="false" ht="16.5" hidden="false" customHeight="true" outlineLevel="0" collapsed="false">
      <c r="A1028" s="2" t="s">
        <v>385</v>
      </c>
      <c r="B1028" s="2" t="s">
        <v>405</v>
      </c>
      <c r="C1028" s="2" t="s">
        <v>50</v>
      </c>
      <c r="D1028" s="2" t="str">
        <f aca="false">IF(2キー同時!$B$253="","",2キー同時!$B$253)</f>
        <v/>
      </c>
      <c r="E1028" s="2" t="str">
        <f aca="false">""</f>
        <v/>
      </c>
      <c r="F1028" s="2" t="str">
        <f aca="false">""</f>
        <v/>
      </c>
      <c r="G1028" s="2" t="str">
        <f aca="false">IF(2キー同時!$B$253="","",IF(2キー同時!T263="","",SUBSTITUTE(SUBSTITUTE(2キー同時!T263," ",""),"　","")))</f>
        <v/>
      </c>
      <c r="H1028" s="2" t="str">
        <f aca="false">IF($G1028="","",2キー同時!$B$253)</f>
        <v/>
      </c>
      <c r="I1028" s="2" t="str">
        <f aca="false">IF($G1028="","","space")</f>
        <v/>
      </c>
      <c r="J1028" s="2" t="str">
        <f aca="false">""</f>
        <v/>
      </c>
      <c r="K1028" s="2" t="str">
        <f aca="false">""</f>
        <v/>
      </c>
      <c r="L1028" s="2" t="str">
        <f aca="false">IF($G1028="","","同時")</f>
        <v/>
      </c>
      <c r="M1028" s="2" t="str">
        <f aca="false">IF($G1028="","",IF(ISNA(MATCH($G1028,個別指定!$A:$A,0)),"行なし",""))</f>
        <v/>
      </c>
      <c r="N1028" s="2" t="str">
        <f aca="false">IF($G1028="","",IF(COUNTIF($G$2:$G$4460,$G1028)&gt;1,"重複",""))</f>
        <v/>
      </c>
    </row>
    <row r="1029" customFormat="false" ht="16.5" hidden="false" customHeight="true" outlineLevel="0" collapsed="false">
      <c r="A1029" s="2" t="s">
        <v>385</v>
      </c>
      <c r="B1029" s="2" t="s">
        <v>405</v>
      </c>
      <c r="C1029" s="2" t="s">
        <v>45</v>
      </c>
      <c r="D1029" s="2" t="str">
        <f aca="false">IF(2キー同時!$B$253="","",2キー同時!$B$253)</f>
        <v/>
      </c>
      <c r="E1029" s="2" t="str">
        <f aca="false">""</f>
        <v/>
      </c>
      <c r="F1029" s="2" t="str">
        <f aca="false">""</f>
        <v/>
      </c>
      <c r="G1029" s="2" t="str">
        <f aca="false">IF(2キー同時!$B$253="","",IF(2キー同時!AL263="","",SUBSTITUTE(SUBSTITUTE(2キー同時!AL263," ",""),"　","")))</f>
        <v/>
      </c>
      <c r="H1029" s="2" t="str">
        <f aca="false">IF($G1029="","",2キー同時!$B$253)</f>
        <v/>
      </c>
      <c r="I1029" s="2" t="str">
        <f aca="false">IF($G1029="","","henkan")</f>
        <v/>
      </c>
      <c r="J1029" s="2" t="str">
        <f aca="false">""</f>
        <v/>
      </c>
      <c r="K1029" s="2" t="str">
        <f aca="false">""</f>
        <v/>
      </c>
      <c r="L1029" s="2" t="str">
        <f aca="false">IF($G1029="","","同時")</f>
        <v/>
      </c>
      <c r="M1029" s="2" t="str">
        <f aca="false">IF($G1029="","",IF(ISNA(MATCH($G1029,個別指定!$A:$A,0)),"行なし",""))</f>
        <v/>
      </c>
      <c r="N1029" s="2" t="str">
        <f aca="false">IF($G1029="","",IF(COUNTIF($G$2:$G$4460,$G1029)&gt;1,"重複",""))</f>
        <v/>
      </c>
    </row>
    <row r="1030" customFormat="false" ht="16.5" hidden="false" customHeight="true" outlineLevel="0" collapsed="false">
      <c r="A1030" s="2" t="s">
        <v>385</v>
      </c>
      <c r="B1030" s="2" t="s">
        <v>405</v>
      </c>
      <c r="C1030" s="2" t="s">
        <v>46</v>
      </c>
      <c r="D1030" s="2" t="str">
        <f aca="false">IF(2キー同時!$B$253="","",2キー同時!$B$253)</f>
        <v/>
      </c>
      <c r="E1030" s="2" t="str">
        <f aca="false">""</f>
        <v/>
      </c>
      <c r="F1030" s="2" t="str">
        <f aca="false">""</f>
        <v/>
      </c>
      <c r="G1030" s="2" t="str">
        <f aca="false">IF(2キー同時!$B$253="","",IF(2キー同時!AP263="","",SUBSTITUTE(SUBSTITUTE(2キー同時!AP263," ",""),"　","")))</f>
        <v/>
      </c>
      <c r="H1030" s="2" t="str">
        <f aca="false">IF($G1030="","",2キー同時!$B$253)</f>
        <v/>
      </c>
      <c r="I1030" s="2" t="str">
        <f aca="false">IF($G1030="","","kana")</f>
        <v/>
      </c>
      <c r="J1030" s="2" t="str">
        <f aca="false">""</f>
        <v/>
      </c>
      <c r="K1030" s="2" t="str">
        <f aca="false">""</f>
        <v/>
      </c>
      <c r="L1030" s="2" t="str">
        <f aca="false">IF($G1030="","","同時")</f>
        <v/>
      </c>
      <c r="M1030" s="2" t="str">
        <f aca="false">IF($G1030="","",IF(ISNA(MATCH($G1030,個別指定!$A:$A,0)),"行なし",""))</f>
        <v/>
      </c>
      <c r="N1030" s="2" t="str">
        <f aca="false">IF($G1030="","",IF(COUNTIF($G$2:$G$4460,$G1030)&gt;1,"重複",""))</f>
        <v/>
      </c>
    </row>
    <row r="1031" customFormat="false" ht="16.5" hidden="false" customHeight="true" outlineLevel="0" collapsed="false">
      <c r="A1031" s="2" t="s">
        <v>385</v>
      </c>
      <c r="B1031" s="2" t="s">
        <v>406</v>
      </c>
      <c r="C1031" s="2" t="s">
        <v>0</v>
      </c>
      <c r="D1031" s="2" t="str">
        <f aca="false">IF(2キー同時!$B$266="","",2キー同時!$B$266)</f>
        <v/>
      </c>
      <c r="E1031" s="2" t="str">
        <f aca="false">""</f>
        <v/>
      </c>
      <c r="F1031" s="2" t="str">
        <f aca="false">""</f>
        <v/>
      </c>
      <c r="G1031" s="2" t="str">
        <f aca="false">IF(2キー同時!$B$266="","",IF(2キー同時!F268="","",SUBSTITUTE(SUBSTITUTE(2キー同時!F268," ",""),"　","")))</f>
        <v/>
      </c>
      <c r="H1031" s="2" t="str">
        <f aca="false">IF($G1031="","",2キー同時!$B$266)</f>
        <v/>
      </c>
      <c r="I1031" s="2" t="str">
        <f aca="false">IF($G1031="","","1")</f>
        <v/>
      </c>
      <c r="J1031" s="2" t="str">
        <f aca="false">""</f>
        <v/>
      </c>
      <c r="K1031" s="2" t="str">
        <f aca="false">""</f>
        <v/>
      </c>
      <c r="L1031" s="2" t="str">
        <f aca="false">IF($G1031="","","同時")</f>
        <v/>
      </c>
      <c r="M1031" s="2" t="str">
        <f aca="false">IF($G1031="","",IF(ISNA(MATCH($G1031,個別指定!$A:$A,0)),"行なし",""))</f>
        <v/>
      </c>
      <c r="N1031" s="2" t="str">
        <f aca="false">IF($G1031="","",IF(COUNTIF($G$2:$G$4460,$G1031)&gt;1,"重複",""))</f>
        <v/>
      </c>
    </row>
    <row r="1032" customFormat="false" ht="16.5" hidden="false" customHeight="true" outlineLevel="0" collapsed="false">
      <c r="A1032" s="2" t="s">
        <v>385</v>
      </c>
      <c r="B1032" s="2" t="s">
        <v>406</v>
      </c>
      <c r="C1032" s="2" t="s">
        <v>1</v>
      </c>
      <c r="D1032" s="2" t="str">
        <f aca="false">IF(2キー同時!$B$266="","",2キー同時!$B$266)</f>
        <v/>
      </c>
      <c r="E1032" s="2" t="str">
        <f aca="false">""</f>
        <v/>
      </c>
      <c r="F1032" s="2" t="str">
        <f aca="false">""</f>
        <v/>
      </c>
      <c r="G1032" s="2" t="str">
        <f aca="false">IF(2キー同時!$B$266="","",IF(2キー同時!J268="","",SUBSTITUTE(SUBSTITUTE(2キー同時!J268," ",""),"　","")))</f>
        <v/>
      </c>
      <c r="H1032" s="2" t="str">
        <f aca="false">IF($G1032="","",2キー同時!$B$266)</f>
        <v/>
      </c>
      <c r="I1032" s="2" t="str">
        <f aca="false">IF($G1032="","","2")</f>
        <v/>
      </c>
      <c r="J1032" s="2" t="str">
        <f aca="false">""</f>
        <v/>
      </c>
      <c r="K1032" s="2" t="str">
        <f aca="false">""</f>
        <v/>
      </c>
      <c r="L1032" s="2" t="str">
        <f aca="false">IF($G1032="","","同時")</f>
        <v/>
      </c>
      <c r="M1032" s="2" t="str">
        <f aca="false">IF($G1032="","",IF(ISNA(MATCH($G1032,個別指定!$A:$A,0)),"行なし",""))</f>
        <v/>
      </c>
      <c r="N1032" s="2" t="str">
        <f aca="false">IF($G1032="","",IF(COUNTIF($G$2:$G$4460,$G1032)&gt;1,"重複",""))</f>
        <v/>
      </c>
    </row>
    <row r="1033" customFormat="false" ht="16.5" hidden="false" customHeight="true" outlineLevel="0" collapsed="false">
      <c r="A1033" s="2" t="s">
        <v>385</v>
      </c>
      <c r="B1033" s="2" t="s">
        <v>406</v>
      </c>
      <c r="C1033" s="2" t="s">
        <v>2</v>
      </c>
      <c r="D1033" s="2" t="str">
        <f aca="false">IF(2キー同時!$B$266="","",2キー同時!$B$266)</f>
        <v/>
      </c>
      <c r="E1033" s="2" t="str">
        <f aca="false">""</f>
        <v/>
      </c>
      <c r="F1033" s="2" t="str">
        <f aca="false">""</f>
        <v/>
      </c>
      <c r="G1033" s="2" t="str">
        <f aca="false">IF(2キー同時!$B$266="","",IF(2キー同時!N268="","",SUBSTITUTE(SUBSTITUTE(2キー同時!N268," ",""),"　","")))</f>
        <v/>
      </c>
      <c r="H1033" s="2" t="str">
        <f aca="false">IF($G1033="","",2キー同時!$B$266)</f>
        <v/>
      </c>
      <c r="I1033" s="2" t="str">
        <f aca="false">IF($G1033="","","3")</f>
        <v/>
      </c>
      <c r="J1033" s="2" t="str">
        <f aca="false">""</f>
        <v/>
      </c>
      <c r="K1033" s="2" t="str">
        <f aca="false">""</f>
        <v/>
      </c>
      <c r="L1033" s="2" t="str">
        <f aca="false">IF($G1033="","","同時")</f>
        <v/>
      </c>
      <c r="M1033" s="2" t="str">
        <f aca="false">IF($G1033="","",IF(ISNA(MATCH($G1033,個別指定!$A:$A,0)),"行なし",""))</f>
        <v/>
      </c>
      <c r="N1033" s="2" t="str">
        <f aca="false">IF($G1033="","",IF(COUNTIF($G$2:$G$4460,$G1033)&gt;1,"重複",""))</f>
        <v/>
      </c>
    </row>
    <row r="1034" customFormat="false" ht="16.5" hidden="false" customHeight="true" outlineLevel="0" collapsed="false">
      <c r="A1034" s="2" t="s">
        <v>385</v>
      </c>
      <c r="B1034" s="2" t="s">
        <v>406</v>
      </c>
      <c r="C1034" s="2" t="s">
        <v>3</v>
      </c>
      <c r="D1034" s="2" t="str">
        <f aca="false">IF(2キー同時!$B$266="","",2キー同時!$B$266)</f>
        <v/>
      </c>
      <c r="E1034" s="2" t="str">
        <f aca="false">""</f>
        <v/>
      </c>
      <c r="F1034" s="2" t="str">
        <f aca="false">""</f>
        <v/>
      </c>
      <c r="G1034" s="2" t="str">
        <f aca="false">IF(2キー同時!$B$266="","",IF(2キー同時!R268="","",SUBSTITUTE(SUBSTITUTE(2キー同時!R268," ",""),"　","")))</f>
        <v/>
      </c>
      <c r="H1034" s="2" t="str">
        <f aca="false">IF($G1034="","",2キー同時!$B$266)</f>
        <v/>
      </c>
      <c r="I1034" s="2" t="str">
        <f aca="false">IF($G1034="","","4")</f>
        <v/>
      </c>
      <c r="J1034" s="2" t="str">
        <f aca="false">""</f>
        <v/>
      </c>
      <c r="K1034" s="2" t="str">
        <f aca="false">""</f>
        <v/>
      </c>
      <c r="L1034" s="2" t="str">
        <f aca="false">IF($G1034="","","同時")</f>
        <v/>
      </c>
      <c r="M1034" s="2" t="str">
        <f aca="false">IF($G1034="","",IF(ISNA(MATCH($G1034,個別指定!$A:$A,0)),"行なし",""))</f>
        <v/>
      </c>
      <c r="N1034" s="2" t="str">
        <f aca="false">IF($G1034="","",IF(COUNTIF($G$2:$G$4460,$G1034)&gt;1,"重複",""))</f>
        <v/>
      </c>
    </row>
    <row r="1035" customFormat="false" ht="16.5" hidden="false" customHeight="true" outlineLevel="0" collapsed="false">
      <c r="A1035" s="2" t="s">
        <v>385</v>
      </c>
      <c r="B1035" s="2" t="s">
        <v>406</v>
      </c>
      <c r="C1035" s="2" t="s">
        <v>4</v>
      </c>
      <c r="D1035" s="2" t="str">
        <f aca="false">IF(2キー同時!$B$266="","",2キー同時!$B$266)</f>
        <v/>
      </c>
      <c r="E1035" s="2" t="str">
        <f aca="false">""</f>
        <v/>
      </c>
      <c r="F1035" s="2" t="str">
        <f aca="false">""</f>
        <v/>
      </c>
      <c r="G1035" s="2" t="str">
        <f aca="false">IF(2キー同時!$B$266="","",IF(2キー同時!V268="","",SUBSTITUTE(SUBSTITUTE(2キー同時!V268," ",""),"　","")))</f>
        <v/>
      </c>
      <c r="H1035" s="2" t="str">
        <f aca="false">IF($G1035="","",2キー同時!$B$266)</f>
        <v/>
      </c>
      <c r="I1035" s="2" t="str">
        <f aca="false">IF($G1035="","","5")</f>
        <v/>
      </c>
      <c r="J1035" s="2" t="str">
        <f aca="false">""</f>
        <v/>
      </c>
      <c r="K1035" s="2" t="str">
        <f aca="false">""</f>
        <v/>
      </c>
      <c r="L1035" s="2" t="str">
        <f aca="false">IF($G1035="","","同時")</f>
        <v/>
      </c>
      <c r="M1035" s="2" t="str">
        <f aca="false">IF($G1035="","",IF(ISNA(MATCH($G1035,個別指定!$A:$A,0)),"行なし",""))</f>
        <v/>
      </c>
      <c r="N1035" s="2" t="str">
        <f aca="false">IF($G1035="","",IF(COUNTIF($G$2:$G$4460,$G1035)&gt;1,"重複",""))</f>
        <v/>
      </c>
    </row>
    <row r="1036" customFormat="false" ht="16.5" hidden="false" customHeight="true" outlineLevel="0" collapsed="false">
      <c r="A1036" s="2" t="s">
        <v>385</v>
      </c>
      <c r="B1036" s="2" t="s">
        <v>406</v>
      </c>
      <c r="C1036" s="2" t="s">
        <v>5</v>
      </c>
      <c r="D1036" s="2" t="str">
        <f aca="false">IF(2キー同時!$B$266="","",2キー同時!$B$266)</f>
        <v/>
      </c>
      <c r="E1036" s="2" t="str">
        <f aca="false">""</f>
        <v/>
      </c>
      <c r="F1036" s="2" t="str">
        <f aca="false">""</f>
        <v/>
      </c>
      <c r="G1036" s="2" t="str">
        <f aca="false">IF(2キー同時!$B$266="","",IF(2キー同時!Z268="","",SUBSTITUTE(SUBSTITUTE(2キー同時!Z268," ",""),"　","")))</f>
        <v/>
      </c>
      <c r="H1036" s="2" t="str">
        <f aca="false">IF($G1036="","",2キー同時!$B$266)</f>
        <v/>
      </c>
      <c r="I1036" s="2" t="str">
        <f aca="false">IF($G1036="","","6")</f>
        <v/>
      </c>
      <c r="J1036" s="2" t="str">
        <f aca="false">""</f>
        <v/>
      </c>
      <c r="K1036" s="2" t="str">
        <f aca="false">""</f>
        <v/>
      </c>
      <c r="L1036" s="2" t="str">
        <f aca="false">IF($G1036="","","同時")</f>
        <v/>
      </c>
      <c r="M1036" s="2" t="str">
        <f aca="false">IF($G1036="","",IF(ISNA(MATCH($G1036,個別指定!$A:$A,0)),"行なし",""))</f>
        <v/>
      </c>
      <c r="N1036" s="2" t="str">
        <f aca="false">IF($G1036="","",IF(COUNTIF($G$2:$G$4460,$G1036)&gt;1,"重複",""))</f>
        <v/>
      </c>
    </row>
    <row r="1037" customFormat="false" ht="16.5" hidden="false" customHeight="true" outlineLevel="0" collapsed="false">
      <c r="A1037" s="2" t="s">
        <v>385</v>
      </c>
      <c r="B1037" s="2" t="s">
        <v>406</v>
      </c>
      <c r="C1037" s="2" t="s">
        <v>6</v>
      </c>
      <c r="D1037" s="2" t="str">
        <f aca="false">IF(2キー同時!$B$266="","",2キー同時!$B$266)</f>
        <v/>
      </c>
      <c r="E1037" s="2" t="str">
        <f aca="false">""</f>
        <v/>
      </c>
      <c r="F1037" s="2" t="str">
        <f aca="false">""</f>
        <v/>
      </c>
      <c r="G1037" s="2" t="str">
        <f aca="false">IF(2キー同時!$B$266="","",IF(2キー同時!AD268="","",SUBSTITUTE(SUBSTITUTE(2キー同時!AD268," ",""),"　","")))</f>
        <v/>
      </c>
      <c r="H1037" s="2" t="str">
        <f aca="false">IF($G1037="","",2キー同時!$B$266)</f>
        <v/>
      </c>
      <c r="I1037" s="2" t="str">
        <f aca="false">IF($G1037="","","7")</f>
        <v/>
      </c>
      <c r="J1037" s="2" t="str">
        <f aca="false">""</f>
        <v/>
      </c>
      <c r="K1037" s="2" t="str">
        <f aca="false">""</f>
        <v/>
      </c>
      <c r="L1037" s="2" t="str">
        <f aca="false">IF($G1037="","","同時")</f>
        <v/>
      </c>
      <c r="M1037" s="2" t="str">
        <f aca="false">IF($G1037="","",IF(ISNA(MATCH($G1037,個別指定!$A:$A,0)),"行なし",""))</f>
        <v/>
      </c>
      <c r="N1037" s="2" t="str">
        <f aca="false">IF($G1037="","",IF(COUNTIF($G$2:$G$4460,$G1037)&gt;1,"重複",""))</f>
        <v/>
      </c>
    </row>
    <row r="1038" customFormat="false" ht="16.5" hidden="false" customHeight="true" outlineLevel="0" collapsed="false">
      <c r="A1038" s="2" t="s">
        <v>385</v>
      </c>
      <c r="B1038" s="2" t="s">
        <v>406</v>
      </c>
      <c r="C1038" s="2" t="s">
        <v>7</v>
      </c>
      <c r="D1038" s="2" t="str">
        <f aca="false">IF(2キー同時!$B$266="","",2キー同時!$B$266)</f>
        <v/>
      </c>
      <c r="E1038" s="2" t="str">
        <f aca="false">""</f>
        <v/>
      </c>
      <c r="F1038" s="2" t="str">
        <f aca="false">""</f>
        <v/>
      </c>
      <c r="G1038" s="2" t="str">
        <f aca="false">IF(2キー同時!$B$266="","",IF(2キー同時!AH268="","",SUBSTITUTE(SUBSTITUTE(2キー同時!AH268," ",""),"　","")))</f>
        <v/>
      </c>
      <c r="H1038" s="2" t="str">
        <f aca="false">IF($G1038="","",2キー同時!$B$266)</f>
        <v/>
      </c>
      <c r="I1038" s="2" t="str">
        <f aca="false">IF($G1038="","","8")</f>
        <v/>
      </c>
      <c r="J1038" s="2" t="str">
        <f aca="false">""</f>
        <v/>
      </c>
      <c r="K1038" s="2" t="str">
        <f aca="false">""</f>
        <v/>
      </c>
      <c r="L1038" s="2" t="str">
        <f aca="false">IF($G1038="","","同時")</f>
        <v/>
      </c>
      <c r="M1038" s="2" t="str">
        <f aca="false">IF($G1038="","",IF(ISNA(MATCH($G1038,個別指定!$A:$A,0)),"行なし",""))</f>
        <v/>
      </c>
      <c r="N1038" s="2" t="str">
        <f aca="false">IF($G1038="","",IF(COUNTIF($G$2:$G$4460,$G1038)&gt;1,"重複",""))</f>
        <v/>
      </c>
    </row>
    <row r="1039" customFormat="false" ht="16.5" hidden="false" customHeight="true" outlineLevel="0" collapsed="false">
      <c r="A1039" s="2" t="s">
        <v>385</v>
      </c>
      <c r="B1039" s="2" t="s">
        <v>406</v>
      </c>
      <c r="C1039" s="2" t="s">
        <v>8</v>
      </c>
      <c r="D1039" s="2" t="str">
        <f aca="false">IF(2キー同時!$B$266="","",2キー同時!$B$266)</f>
        <v/>
      </c>
      <c r="E1039" s="2" t="str">
        <f aca="false">""</f>
        <v/>
      </c>
      <c r="F1039" s="2" t="str">
        <f aca="false">""</f>
        <v/>
      </c>
      <c r="G1039" s="2" t="str">
        <f aca="false">IF(2キー同時!$B$266="","",IF(2キー同時!AL268="","",SUBSTITUTE(SUBSTITUTE(2キー同時!AL268," ",""),"　","")))</f>
        <v/>
      </c>
      <c r="H1039" s="2" t="str">
        <f aca="false">IF($G1039="","",2キー同時!$B$266)</f>
        <v/>
      </c>
      <c r="I1039" s="2" t="str">
        <f aca="false">IF($G1039="","","9")</f>
        <v/>
      </c>
      <c r="J1039" s="2" t="str">
        <f aca="false">""</f>
        <v/>
      </c>
      <c r="K1039" s="2" t="str">
        <f aca="false">""</f>
        <v/>
      </c>
      <c r="L1039" s="2" t="str">
        <f aca="false">IF($G1039="","","同時")</f>
        <v/>
      </c>
      <c r="M1039" s="2" t="str">
        <f aca="false">IF($G1039="","",IF(ISNA(MATCH($G1039,個別指定!$A:$A,0)),"行なし",""))</f>
        <v/>
      </c>
      <c r="N1039" s="2" t="str">
        <f aca="false">IF($G1039="","",IF(COUNTIF($G$2:$G$4460,$G1039)&gt;1,"重複",""))</f>
        <v/>
      </c>
    </row>
    <row r="1040" customFormat="false" ht="16.5" hidden="false" customHeight="true" outlineLevel="0" collapsed="false">
      <c r="A1040" s="2" t="s">
        <v>385</v>
      </c>
      <c r="B1040" s="2" t="s">
        <v>406</v>
      </c>
      <c r="C1040" s="2" t="s">
        <v>9</v>
      </c>
      <c r="D1040" s="2" t="str">
        <f aca="false">IF(2キー同時!$B$266="","",2キー同時!$B$266)</f>
        <v/>
      </c>
      <c r="E1040" s="2" t="str">
        <f aca="false">""</f>
        <v/>
      </c>
      <c r="F1040" s="2" t="str">
        <f aca="false">""</f>
        <v/>
      </c>
      <c r="G1040" s="2" t="str">
        <f aca="false">IF(2キー同時!$B$266="","",IF(2キー同時!AP268="","",SUBSTITUTE(SUBSTITUTE(2キー同時!AP268," ",""),"　","")))</f>
        <v/>
      </c>
      <c r="H1040" s="2" t="str">
        <f aca="false">IF($G1040="","",2キー同時!$B$266)</f>
        <v/>
      </c>
      <c r="I1040" s="2" t="str">
        <f aca="false">IF($G1040="","","0")</f>
        <v/>
      </c>
      <c r="J1040" s="2" t="str">
        <f aca="false">""</f>
        <v/>
      </c>
      <c r="K1040" s="2" t="str">
        <f aca="false">""</f>
        <v/>
      </c>
      <c r="L1040" s="2" t="str">
        <f aca="false">IF($G1040="","","同時")</f>
        <v/>
      </c>
      <c r="M1040" s="2" t="str">
        <f aca="false">IF($G1040="","",IF(ISNA(MATCH($G1040,個別指定!$A:$A,0)),"行なし",""))</f>
        <v/>
      </c>
      <c r="N1040" s="2" t="str">
        <f aca="false">IF($G1040="","",IF(COUNTIF($G$2:$G$4460,$G1040)&gt;1,"重複",""))</f>
        <v/>
      </c>
    </row>
    <row r="1041" customFormat="false" ht="16.5" hidden="false" customHeight="true" outlineLevel="0" collapsed="false">
      <c r="A1041" s="2" t="s">
        <v>385</v>
      </c>
      <c r="B1041" s="2" t="s">
        <v>406</v>
      </c>
      <c r="C1041" s="2" t="s">
        <v>10</v>
      </c>
      <c r="D1041" s="2" t="str">
        <f aca="false">IF(2キー同時!$B$266="","",2キー同時!$B$266)</f>
        <v/>
      </c>
      <c r="E1041" s="2" t="str">
        <f aca="false">""</f>
        <v/>
      </c>
      <c r="F1041" s="2" t="str">
        <f aca="false">""</f>
        <v/>
      </c>
      <c r="G1041" s="2" t="str">
        <f aca="false">IF(2キー同時!$B$266="","",IF(2キー同時!AT268="","",SUBSTITUTE(SUBSTITUTE(2キー同時!AT268," ",""),"　","")))</f>
        <v/>
      </c>
      <c r="H1041" s="2" t="str">
        <f aca="false">IF($G1041="","",2キー同時!$B$266)</f>
        <v/>
      </c>
      <c r="I1041" s="2" t="str">
        <f aca="false">IF($G1041="","","-")</f>
        <v/>
      </c>
      <c r="J1041" s="2" t="str">
        <f aca="false">""</f>
        <v/>
      </c>
      <c r="K1041" s="2" t="str">
        <f aca="false">""</f>
        <v/>
      </c>
      <c r="L1041" s="2" t="str">
        <f aca="false">IF($G1041="","","同時")</f>
        <v/>
      </c>
      <c r="M1041" s="2" t="str">
        <f aca="false">IF($G1041="","",IF(ISNA(MATCH($G1041,個別指定!$A:$A,0)),"行なし",""))</f>
        <v/>
      </c>
      <c r="N1041" s="2" t="str">
        <f aca="false">IF($G1041="","",IF(COUNTIF($G$2:$G$4460,$G1041)&gt;1,"重複",""))</f>
        <v/>
      </c>
    </row>
    <row r="1042" customFormat="false" ht="16.5" hidden="false" customHeight="true" outlineLevel="0" collapsed="false">
      <c r="A1042" s="2" t="s">
        <v>385</v>
      </c>
      <c r="B1042" s="2" t="s">
        <v>406</v>
      </c>
      <c r="C1042" s="2" t="s">
        <v>11</v>
      </c>
      <c r="D1042" s="2" t="str">
        <f aca="false">IF(2キー同時!$B$266="","",2キー同時!$B$266)</f>
        <v/>
      </c>
      <c r="E1042" s="2" t="str">
        <f aca="false">""</f>
        <v/>
      </c>
      <c r="F1042" s="2" t="str">
        <f aca="false">""</f>
        <v/>
      </c>
      <c r="G1042" s="2" t="str">
        <f aca="false">IF(2キー同時!$B$266="","",IF(2キー同時!AX268="","",SUBSTITUTE(SUBSTITUTE(2キー同時!AX268," ",""),"　","")))</f>
        <v/>
      </c>
      <c r="H1042" s="2" t="str">
        <f aca="false">IF($G1042="","",2キー同時!$B$266)</f>
        <v/>
      </c>
      <c r="I1042" s="2" t="str">
        <f aca="false">IF($G1042="","","=")</f>
        <v/>
      </c>
      <c r="J1042" s="2" t="str">
        <f aca="false">""</f>
        <v/>
      </c>
      <c r="K1042" s="2" t="str">
        <f aca="false">""</f>
        <v/>
      </c>
      <c r="L1042" s="2" t="str">
        <f aca="false">IF($G1042="","","同時")</f>
        <v/>
      </c>
      <c r="M1042" s="2" t="str">
        <f aca="false">IF($G1042="","",IF(ISNA(MATCH($G1042,個別指定!$A:$A,0)),"行なし",""))</f>
        <v/>
      </c>
      <c r="N1042" s="2" t="str">
        <f aca="false">IF($G1042="","",IF(COUNTIF($G$2:$G$4460,$G1042)&gt;1,"重複",""))</f>
        <v/>
      </c>
    </row>
    <row r="1043" customFormat="false" ht="16.5" hidden="false" customHeight="true" outlineLevel="0" collapsed="false">
      <c r="A1043" s="2" t="s">
        <v>385</v>
      </c>
      <c r="B1043" s="2" t="s">
        <v>406</v>
      </c>
      <c r="C1043" s="2" t="s">
        <v>12</v>
      </c>
      <c r="D1043" s="2" t="str">
        <f aca="false">IF(2キー同時!$B$266="","",2キー同時!$B$266)</f>
        <v/>
      </c>
      <c r="E1043" s="2" t="str">
        <f aca="false">""</f>
        <v/>
      </c>
      <c r="F1043" s="2" t="str">
        <f aca="false">""</f>
        <v/>
      </c>
      <c r="G1043" s="2" t="str">
        <f aca="false">IF(2キー同時!$B$266="","",IF(2キー同時!H270="","",SUBSTITUTE(SUBSTITUTE(2キー同時!H270," ",""),"　","")))</f>
        <v/>
      </c>
      <c r="H1043" s="2" t="str">
        <f aca="false">IF($G1043="","",2キー同時!$B$266)</f>
        <v/>
      </c>
      <c r="I1043" s="2" t="str">
        <f aca="false">IF($G1043="","","q")</f>
        <v/>
      </c>
      <c r="J1043" s="2" t="str">
        <f aca="false">""</f>
        <v/>
      </c>
      <c r="K1043" s="2" t="str">
        <f aca="false">""</f>
        <v/>
      </c>
      <c r="L1043" s="2" t="str">
        <f aca="false">IF($G1043="","","同時")</f>
        <v/>
      </c>
      <c r="M1043" s="2" t="str">
        <f aca="false">IF($G1043="","",IF(ISNA(MATCH($G1043,個別指定!$A:$A,0)),"行なし",""))</f>
        <v/>
      </c>
      <c r="N1043" s="2" t="str">
        <f aca="false">IF($G1043="","",IF(COUNTIF($G$2:$G$4460,$G1043)&gt;1,"重複",""))</f>
        <v/>
      </c>
    </row>
    <row r="1044" customFormat="false" ht="16.5" hidden="false" customHeight="true" outlineLevel="0" collapsed="false">
      <c r="A1044" s="2" t="s">
        <v>385</v>
      </c>
      <c r="B1044" s="2" t="s">
        <v>406</v>
      </c>
      <c r="C1044" s="2" t="s">
        <v>13</v>
      </c>
      <c r="D1044" s="2" t="str">
        <f aca="false">IF(2キー同時!$B$266="","",2キー同時!$B$266)</f>
        <v/>
      </c>
      <c r="E1044" s="2" t="str">
        <f aca="false">""</f>
        <v/>
      </c>
      <c r="F1044" s="2" t="str">
        <f aca="false">""</f>
        <v/>
      </c>
      <c r="G1044" s="2" t="str">
        <f aca="false">IF(2キー同時!$B$266="","",IF(2キー同時!L270="","",SUBSTITUTE(SUBSTITUTE(2キー同時!L270," ",""),"　","")))</f>
        <v/>
      </c>
      <c r="H1044" s="2" t="str">
        <f aca="false">IF($G1044="","",2キー同時!$B$266)</f>
        <v/>
      </c>
      <c r="I1044" s="2" t="str">
        <f aca="false">IF($G1044="","","w")</f>
        <v/>
      </c>
      <c r="J1044" s="2" t="str">
        <f aca="false">""</f>
        <v/>
      </c>
      <c r="K1044" s="2" t="str">
        <f aca="false">""</f>
        <v/>
      </c>
      <c r="L1044" s="2" t="str">
        <f aca="false">IF($G1044="","","同時")</f>
        <v/>
      </c>
      <c r="M1044" s="2" t="str">
        <f aca="false">IF($G1044="","",IF(ISNA(MATCH($G1044,個別指定!$A:$A,0)),"行なし",""))</f>
        <v/>
      </c>
      <c r="N1044" s="2" t="str">
        <f aca="false">IF($G1044="","",IF(COUNTIF($G$2:$G$4460,$G1044)&gt;1,"重複",""))</f>
        <v/>
      </c>
    </row>
    <row r="1045" customFormat="false" ht="16.5" hidden="false" customHeight="true" outlineLevel="0" collapsed="false">
      <c r="A1045" s="2" t="s">
        <v>385</v>
      </c>
      <c r="B1045" s="2" t="s">
        <v>406</v>
      </c>
      <c r="C1045" s="2" t="s">
        <v>14</v>
      </c>
      <c r="D1045" s="2" t="str">
        <f aca="false">IF(2キー同時!$B$266="","",2キー同時!$B$266)</f>
        <v/>
      </c>
      <c r="E1045" s="2" t="str">
        <f aca="false">""</f>
        <v/>
      </c>
      <c r="F1045" s="2" t="str">
        <f aca="false">""</f>
        <v/>
      </c>
      <c r="G1045" s="2" t="str">
        <f aca="false">IF(2キー同時!$B$266="","",IF(2キー同時!P270="","",SUBSTITUTE(SUBSTITUTE(2キー同時!P270," ",""),"　","")))</f>
        <v/>
      </c>
      <c r="H1045" s="2" t="str">
        <f aca="false">IF($G1045="","",2キー同時!$B$266)</f>
        <v/>
      </c>
      <c r="I1045" s="2" t="str">
        <f aca="false">IF($G1045="","","e")</f>
        <v/>
      </c>
      <c r="J1045" s="2" t="str">
        <f aca="false">""</f>
        <v/>
      </c>
      <c r="K1045" s="2" t="str">
        <f aca="false">""</f>
        <v/>
      </c>
      <c r="L1045" s="2" t="str">
        <f aca="false">IF($G1045="","","同時")</f>
        <v/>
      </c>
      <c r="M1045" s="2" t="str">
        <f aca="false">IF($G1045="","",IF(ISNA(MATCH($G1045,個別指定!$A:$A,0)),"行なし",""))</f>
        <v/>
      </c>
      <c r="N1045" s="2" t="str">
        <f aca="false">IF($G1045="","",IF(COUNTIF($G$2:$G$4460,$G1045)&gt;1,"重複",""))</f>
        <v/>
      </c>
    </row>
    <row r="1046" customFormat="false" ht="16.5" hidden="false" customHeight="true" outlineLevel="0" collapsed="false">
      <c r="A1046" s="2" t="s">
        <v>385</v>
      </c>
      <c r="B1046" s="2" t="s">
        <v>406</v>
      </c>
      <c r="C1046" s="2" t="s">
        <v>15</v>
      </c>
      <c r="D1046" s="2" t="str">
        <f aca="false">IF(2キー同時!$B$266="","",2キー同時!$B$266)</f>
        <v/>
      </c>
      <c r="E1046" s="2" t="str">
        <f aca="false">""</f>
        <v/>
      </c>
      <c r="F1046" s="2" t="str">
        <f aca="false">""</f>
        <v/>
      </c>
      <c r="G1046" s="2" t="str">
        <f aca="false">IF(2キー同時!$B$266="","",IF(2キー同時!T270="","",SUBSTITUTE(SUBSTITUTE(2キー同時!T270," ",""),"　","")))</f>
        <v/>
      </c>
      <c r="H1046" s="2" t="str">
        <f aca="false">IF($G1046="","",2キー同時!$B$266)</f>
        <v/>
      </c>
      <c r="I1046" s="2" t="str">
        <f aca="false">IF($G1046="","","r")</f>
        <v/>
      </c>
      <c r="J1046" s="2" t="str">
        <f aca="false">""</f>
        <v/>
      </c>
      <c r="K1046" s="2" t="str">
        <f aca="false">""</f>
        <v/>
      </c>
      <c r="L1046" s="2" t="str">
        <f aca="false">IF($G1046="","","同時")</f>
        <v/>
      </c>
      <c r="M1046" s="2" t="str">
        <f aca="false">IF($G1046="","",IF(ISNA(MATCH($G1046,個別指定!$A:$A,0)),"行なし",""))</f>
        <v/>
      </c>
      <c r="N1046" s="2" t="str">
        <f aca="false">IF($G1046="","",IF(COUNTIF($G$2:$G$4460,$G1046)&gt;1,"重複",""))</f>
        <v/>
      </c>
    </row>
    <row r="1047" customFormat="false" ht="16.5" hidden="false" customHeight="true" outlineLevel="0" collapsed="false">
      <c r="A1047" s="2" t="s">
        <v>385</v>
      </c>
      <c r="B1047" s="2" t="s">
        <v>406</v>
      </c>
      <c r="C1047" s="2" t="s">
        <v>16</v>
      </c>
      <c r="D1047" s="2" t="str">
        <f aca="false">IF(2キー同時!$B$266="","",2キー同時!$B$266)</f>
        <v/>
      </c>
      <c r="E1047" s="2" t="str">
        <f aca="false">""</f>
        <v/>
      </c>
      <c r="F1047" s="2" t="str">
        <f aca="false">""</f>
        <v/>
      </c>
      <c r="G1047" s="2" t="str">
        <f aca="false">IF(2キー同時!$B$266="","",IF(2キー同時!X270="","",SUBSTITUTE(SUBSTITUTE(2キー同時!X270," ",""),"　","")))</f>
        <v/>
      </c>
      <c r="H1047" s="2" t="str">
        <f aca="false">IF($G1047="","",2キー同時!$B$266)</f>
        <v/>
      </c>
      <c r="I1047" s="2" t="str">
        <f aca="false">IF($G1047="","","t")</f>
        <v/>
      </c>
      <c r="J1047" s="2" t="str">
        <f aca="false">""</f>
        <v/>
      </c>
      <c r="K1047" s="2" t="str">
        <f aca="false">""</f>
        <v/>
      </c>
      <c r="L1047" s="2" t="str">
        <f aca="false">IF($G1047="","","同時")</f>
        <v/>
      </c>
      <c r="M1047" s="2" t="str">
        <f aca="false">IF($G1047="","",IF(ISNA(MATCH($G1047,個別指定!$A:$A,0)),"行なし",""))</f>
        <v/>
      </c>
      <c r="N1047" s="2" t="str">
        <f aca="false">IF($G1047="","",IF(COUNTIF($G$2:$G$4460,$G1047)&gt;1,"重複",""))</f>
        <v/>
      </c>
    </row>
    <row r="1048" customFormat="false" ht="16.5" hidden="false" customHeight="true" outlineLevel="0" collapsed="false">
      <c r="A1048" s="2" t="s">
        <v>385</v>
      </c>
      <c r="B1048" s="2" t="s">
        <v>406</v>
      </c>
      <c r="C1048" s="2" t="s">
        <v>17</v>
      </c>
      <c r="D1048" s="2" t="str">
        <f aca="false">IF(2キー同時!$B$266="","",2キー同時!$B$266)</f>
        <v/>
      </c>
      <c r="E1048" s="2" t="str">
        <f aca="false">""</f>
        <v/>
      </c>
      <c r="F1048" s="2" t="str">
        <f aca="false">""</f>
        <v/>
      </c>
      <c r="G1048" s="2" t="str">
        <f aca="false">IF(2キー同時!$B$266="","",IF(2キー同時!AB270="","",SUBSTITUTE(SUBSTITUTE(2キー同時!AB270," ",""),"　","")))</f>
        <v/>
      </c>
      <c r="H1048" s="2" t="str">
        <f aca="false">IF($G1048="","",2キー同時!$B$266)</f>
        <v/>
      </c>
      <c r="I1048" s="2" t="str">
        <f aca="false">IF($G1048="","","y")</f>
        <v/>
      </c>
      <c r="J1048" s="2" t="str">
        <f aca="false">""</f>
        <v/>
      </c>
      <c r="K1048" s="2" t="str">
        <f aca="false">""</f>
        <v/>
      </c>
      <c r="L1048" s="2" t="str">
        <f aca="false">IF($G1048="","","同時")</f>
        <v/>
      </c>
      <c r="M1048" s="2" t="str">
        <f aca="false">IF($G1048="","",IF(ISNA(MATCH($G1048,個別指定!$A:$A,0)),"行なし",""))</f>
        <v/>
      </c>
      <c r="N1048" s="2" t="str">
        <f aca="false">IF($G1048="","",IF(COUNTIF($G$2:$G$4460,$G1048)&gt;1,"重複",""))</f>
        <v/>
      </c>
    </row>
    <row r="1049" customFormat="false" ht="16.5" hidden="false" customHeight="true" outlineLevel="0" collapsed="false">
      <c r="A1049" s="2" t="s">
        <v>385</v>
      </c>
      <c r="B1049" s="2" t="s">
        <v>406</v>
      </c>
      <c r="C1049" s="2" t="s">
        <v>18</v>
      </c>
      <c r="D1049" s="2" t="str">
        <f aca="false">IF(2キー同時!$B$266="","",2キー同時!$B$266)</f>
        <v/>
      </c>
      <c r="E1049" s="2" t="str">
        <f aca="false">""</f>
        <v/>
      </c>
      <c r="F1049" s="2" t="str">
        <f aca="false">""</f>
        <v/>
      </c>
      <c r="G1049" s="2" t="str">
        <f aca="false">IF(2キー同時!$B$266="","",IF(2キー同時!AF270="","",SUBSTITUTE(SUBSTITUTE(2キー同時!AF270," ",""),"　","")))</f>
        <v/>
      </c>
      <c r="H1049" s="2" t="str">
        <f aca="false">IF($G1049="","",2キー同時!$B$266)</f>
        <v/>
      </c>
      <c r="I1049" s="2" t="str">
        <f aca="false">IF($G1049="","","u")</f>
        <v/>
      </c>
      <c r="J1049" s="2" t="str">
        <f aca="false">""</f>
        <v/>
      </c>
      <c r="K1049" s="2" t="str">
        <f aca="false">""</f>
        <v/>
      </c>
      <c r="L1049" s="2" t="str">
        <f aca="false">IF($G1049="","","同時")</f>
        <v/>
      </c>
      <c r="M1049" s="2" t="str">
        <f aca="false">IF($G1049="","",IF(ISNA(MATCH($G1049,個別指定!$A:$A,0)),"行なし",""))</f>
        <v/>
      </c>
      <c r="N1049" s="2" t="str">
        <f aca="false">IF($G1049="","",IF(COUNTIF($G$2:$G$4460,$G1049)&gt;1,"重複",""))</f>
        <v/>
      </c>
    </row>
    <row r="1050" customFormat="false" ht="16.5" hidden="false" customHeight="true" outlineLevel="0" collapsed="false">
      <c r="A1050" s="2" t="s">
        <v>385</v>
      </c>
      <c r="B1050" s="2" t="s">
        <v>406</v>
      </c>
      <c r="C1050" s="2" t="s">
        <v>19</v>
      </c>
      <c r="D1050" s="2" t="str">
        <f aca="false">IF(2キー同時!$B$266="","",2キー同時!$B$266)</f>
        <v/>
      </c>
      <c r="E1050" s="2" t="str">
        <f aca="false">""</f>
        <v/>
      </c>
      <c r="F1050" s="2" t="str">
        <f aca="false">""</f>
        <v/>
      </c>
      <c r="G1050" s="2" t="str">
        <f aca="false">IF(2キー同時!$B$266="","",IF(2キー同時!AJ270="","",SUBSTITUTE(SUBSTITUTE(2キー同時!AJ270," ",""),"　","")))</f>
        <v/>
      </c>
      <c r="H1050" s="2" t="str">
        <f aca="false">IF($G1050="","",2キー同時!$B$266)</f>
        <v/>
      </c>
      <c r="I1050" s="2" t="str">
        <f aca="false">IF($G1050="","","i")</f>
        <v/>
      </c>
      <c r="J1050" s="2" t="str">
        <f aca="false">""</f>
        <v/>
      </c>
      <c r="K1050" s="2" t="str">
        <f aca="false">""</f>
        <v/>
      </c>
      <c r="L1050" s="2" t="str">
        <f aca="false">IF($G1050="","","同時")</f>
        <v/>
      </c>
      <c r="M1050" s="2" t="str">
        <f aca="false">IF($G1050="","",IF(ISNA(MATCH($G1050,個別指定!$A:$A,0)),"行なし",""))</f>
        <v/>
      </c>
      <c r="N1050" s="2" t="str">
        <f aca="false">IF($G1050="","",IF(COUNTIF($G$2:$G$4460,$G1050)&gt;1,"重複",""))</f>
        <v/>
      </c>
    </row>
    <row r="1051" customFormat="false" ht="16.5" hidden="false" customHeight="true" outlineLevel="0" collapsed="false">
      <c r="A1051" s="2" t="s">
        <v>385</v>
      </c>
      <c r="B1051" s="2" t="s">
        <v>406</v>
      </c>
      <c r="C1051" s="2" t="s">
        <v>20</v>
      </c>
      <c r="D1051" s="2" t="str">
        <f aca="false">IF(2キー同時!$B$266="","",2キー同時!$B$266)</f>
        <v/>
      </c>
      <c r="E1051" s="2" t="str">
        <f aca="false">""</f>
        <v/>
      </c>
      <c r="F1051" s="2" t="str">
        <f aca="false">""</f>
        <v/>
      </c>
      <c r="G1051" s="2" t="str">
        <f aca="false">IF(2キー同時!$B$266="","",IF(2キー同時!AN270="","",SUBSTITUTE(SUBSTITUTE(2キー同時!AN270," ",""),"　","")))</f>
        <v/>
      </c>
      <c r="H1051" s="2" t="str">
        <f aca="false">IF($G1051="","",2キー同時!$B$266)</f>
        <v/>
      </c>
      <c r="I1051" s="2" t="str">
        <f aca="false">IF($G1051="","","o")</f>
        <v/>
      </c>
      <c r="J1051" s="2" t="str">
        <f aca="false">""</f>
        <v/>
      </c>
      <c r="K1051" s="2" t="str">
        <f aca="false">""</f>
        <v/>
      </c>
      <c r="L1051" s="2" t="str">
        <f aca="false">IF($G1051="","","同時")</f>
        <v/>
      </c>
      <c r="M1051" s="2" t="str">
        <f aca="false">IF($G1051="","",IF(ISNA(MATCH($G1051,個別指定!$A:$A,0)),"行なし",""))</f>
        <v/>
      </c>
      <c r="N1051" s="2" t="str">
        <f aca="false">IF($G1051="","",IF(COUNTIF($G$2:$G$4460,$G1051)&gt;1,"重複",""))</f>
        <v/>
      </c>
    </row>
    <row r="1052" customFormat="false" ht="16.5" hidden="false" customHeight="true" outlineLevel="0" collapsed="false">
      <c r="A1052" s="2" t="s">
        <v>385</v>
      </c>
      <c r="B1052" s="2" t="s">
        <v>406</v>
      </c>
      <c r="C1052" s="2" t="s">
        <v>21</v>
      </c>
      <c r="D1052" s="2" t="str">
        <f aca="false">IF(2キー同時!$B$266="","",2キー同時!$B$266)</f>
        <v/>
      </c>
      <c r="E1052" s="2" t="str">
        <f aca="false">""</f>
        <v/>
      </c>
      <c r="F1052" s="2" t="str">
        <f aca="false">""</f>
        <v/>
      </c>
      <c r="G1052" s="2" t="str">
        <f aca="false">IF(2キー同時!$B$266="","",IF(2キー同時!AR270="","",SUBSTITUTE(SUBSTITUTE(2キー同時!AR270," ",""),"　","")))</f>
        <v/>
      </c>
      <c r="H1052" s="2" t="str">
        <f aca="false">IF($G1052="","",2キー同時!$B$266)</f>
        <v/>
      </c>
      <c r="I1052" s="2" t="str">
        <f aca="false">IF($G1052="","","p")</f>
        <v/>
      </c>
      <c r="J1052" s="2" t="str">
        <f aca="false">""</f>
        <v/>
      </c>
      <c r="K1052" s="2" t="str">
        <f aca="false">""</f>
        <v/>
      </c>
      <c r="L1052" s="2" t="str">
        <f aca="false">IF($G1052="","","同時")</f>
        <v/>
      </c>
      <c r="M1052" s="2" t="str">
        <f aca="false">IF($G1052="","",IF(ISNA(MATCH($G1052,個別指定!$A:$A,0)),"行なし",""))</f>
        <v/>
      </c>
      <c r="N1052" s="2" t="str">
        <f aca="false">IF($G1052="","",IF(COUNTIF($G$2:$G$4460,$G1052)&gt;1,"重複",""))</f>
        <v/>
      </c>
    </row>
    <row r="1053" customFormat="false" ht="16.5" hidden="false" customHeight="true" outlineLevel="0" collapsed="false">
      <c r="A1053" s="2" t="s">
        <v>385</v>
      </c>
      <c r="B1053" s="2" t="s">
        <v>406</v>
      </c>
      <c r="C1053" s="2" t="s">
        <v>22</v>
      </c>
      <c r="D1053" s="2" t="str">
        <f aca="false">IF(2キー同時!$B$266="","",2キー同時!$B$266)</f>
        <v/>
      </c>
      <c r="E1053" s="2" t="str">
        <f aca="false">""</f>
        <v/>
      </c>
      <c r="F1053" s="2" t="str">
        <f aca="false">""</f>
        <v/>
      </c>
      <c r="G1053" s="2" t="str">
        <f aca="false">IF(2キー同時!$B$266="","",IF(2キー同時!AV270="","",SUBSTITUTE(SUBSTITUTE(2キー同時!AV270," ",""),"　","")))</f>
        <v/>
      </c>
      <c r="H1053" s="2" t="str">
        <f aca="false">IF($G1053="","",2キー同時!$B$266)</f>
        <v/>
      </c>
      <c r="I1053" s="2" t="str">
        <f aca="false">IF($G1053="","","[")</f>
        <v/>
      </c>
      <c r="J1053" s="2" t="str">
        <f aca="false">""</f>
        <v/>
      </c>
      <c r="K1053" s="2" t="str">
        <f aca="false">""</f>
        <v/>
      </c>
      <c r="L1053" s="2" t="str">
        <f aca="false">IF($G1053="","","同時")</f>
        <v/>
      </c>
      <c r="M1053" s="2" t="str">
        <f aca="false">IF($G1053="","",IF(ISNA(MATCH($G1053,個別指定!$A:$A,0)),"行なし",""))</f>
        <v/>
      </c>
      <c r="N1053" s="2" t="str">
        <f aca="false">IF($G1053="","",IF(COUNTIF($G$2:$G$4460,$G1053)&gt;1,"重複",""))</f>
        <v/>
      </c>
    </row>
    <row r="1054" customFormat="false" ht="16.5" hidden="false" customHeight="true" outlineLevel="0" collapsed="false">
      <c r="A1054" s="2" t="s">
        <v>385</v>
      </c>
      <c r="B1054" s="2" t="s">
        <v>406</v>
      </c>
      <c r="C1054" s="2" t="s">
        <v>23</v>
      </c>
      <c r="D1054" s="2" t="str">
        <f aca="false">IF(2キー同時!$B$266="","",2キー同時!$B$266)</f>
        <v/>
      </c>
      <c r="E1054" s="2" t="str">
        <f aca="false">""</f>
        <v/>
      </c>
      <c r="F1054" s="2" t="str">
        <f aca="false">""</f>
        <v/>
      </c>
      <c r="G1054" s="2" t="str">
        <f aca="false">IF(2キー同時!$B$266="","",IF(2キー同時!AZ270="","",SUBSTITUTE(SUBSTITUTE(2キー同時!AZ270," ",""),"　","")))</f>
        <v/>
      </c>
      <c r="H1054" s="2" t="str">
        <f aca="false">IF($G1054="","",2キー同時!$B$266)</f>
        <v/>
      </c>
      <c r="I1054" s="2" t="str">
        <f aca="false">IF($G1054="","","]")</f>
        <v/>
      </c>
      <c r="J1054" s="2" t="str">
        <f aca="false">""</f>
        <v/>
      </c>
      <c r="K1054" s="2" t="str">
        <f aca="false">""</f>
        <v/>
      </c>
      <c r="L1054" s="2" t="str">
        <f aca="false">IF($G1054="","","同時")</f>
        <v/>
      </c>
      <c r="M1054" s="2" t="str">
        <f aca="false">IF($G1054="","",IF(ISNA(MATCH($G1054,個別指定!$A:$A,0)),"行なし",""))</f>
        <v/>
      </c>
      <c r="N1054" s="2" t="str">
        <f aca="false">IF($G1054="","",IF(COUNTIF($G$2:$G$4460,$G1054)&gt;1,"重複",""))</f>
        <v/>
      </c>
    </row>
    <row r="1055" customFormat="false" ht="16.5" hidden="false" customHeight="true" outlineLevel="0" collapsed="false">
      <c r="A1055" s="2" t="s">
        <v>385</v>
      </c>
      <c r="B1055" s="2" t="s">
        <v>406</v>
      </c>
      <c r="C1055" s="2" t="s">
        <v>24</v>
      </c>
      <c r="D1055" s="2" t="str">
        <f aca="false">IF(2キー同時!$B$266="","",2キー同時!$B$266)</f>
        <v/>
      </c>
      <c r="E1055" s="2" t="str">
        <f aca="false">""</f>
        <v/>
      </c>
      <c r="F1055" s="2" t="str">
        <f aca="false">""</f>
        <v/>
      </c>
      <c r="G1055" s="2" t="str">
        <f aca="false">IF(2キー同時!$B$266="","",IF(2キー同時!I272="","",SUBSTITUTE(SUBSTITUTE(2キー同時!I272," ",""),"　","")))</f>
        <v/>
      </c>
      <c r="H1055" s="2" t="str">
        <f aca="false">IF($G1055="","",2キー同時!$B$266)</f>
        <v/>
      </c>
      <c r="I1055" s="2" t="str">
        <f aca="false">IF($G1055="","","a")</f>
        <v/>
      </c>
      <c r="J1055" s="2" t="str">
        <f aca="false">""</f>
        <v/>
      </c>
      <c r="K1055" s="2" t="str">
        <f aca="false">""</f>
        <v/>
      </c>
      <c r="L1055" s="2" t="str">
        <f aca="false">IF($G1055="","","同時")</f>
        <v/>
      </c>
      <c r="M1055" s="2" t="str">
        <f aca="false">IF($G1055="","",IF(ISNA(MATCH($G1055,個別指定!$A:$A,0)),"行なし",""))</f>
        <v/>
      </c>
      <c r="N1055" s="2" t="str">
        <f aca="false">IF($G1055="","",IF(COUNTIF($G$2:$G$4460,$G1055)&gt;1,"重複",""))</f>
        <v/>
      </c>
    </row>
    <row r="1056" customFormat="false" ht="16.5" hidden="false" customHeight="true" outlineLevel="0" collapsed="false">
      <c r="A1056" s="2" t="s">
        <v>385</v>
      </c>
      <c r="B1056" s="2" t="s">
        <v>406</v>
      </c>
      <c r="C1056" s="2" t="s">
        <v>25</v>
      </c>
      <c r="D1056" s="2" t="str">
        <f aca="false">IF(2キー同時!$B$266="","",2キー同時!$B$266)</f>
        <v/>
      </c>
      <c r="E1056" s="2" t="str">
        <f aca="false">""</f>
        <v/>
      </c>
      <c r="F1056" s="2" t="str">
        <f aca="false">""</f>
        <v/>
      </c>
      <c r="G1056" s="2" t="str">
        <f aca="false">IF(2キー同時!$B$266="","",IF(2キー同時!M272="","",SUBSTITUTE(SUBSTITUTE(2キー同時!M272," ",""),"　","")))</f>
        <v/>
      </c>
      <c r="H1056" s="2" t="str">
        <f aca="false">IF($G1056="","",2キー同時!$B$266)</f>
        <v/>
      </c>
      <c r="I1056" s="2" t="str">
        <f aca="false">IF($G1056="","","s")</f>
        <v/>
      </c>
      <c r="J1056" s="2" t="str">
        <f aca="false">""</f>
        <v/>
      </c>
      <c r="K1056" s="2" t="str">
        <f aca="false">""</f>
        <v/>
      </c>
      <c r="L1056" s="2" t="str">
        <f aca="false">IF($G1056="","","同時")</f>
        <v/>
      </c>
      <c r="M1056" s="2" t="str">
        <f aca="false">IF($G1056="","",IF(ISNA(MATCH($G1056,個別指定!$A:$A,0)),"行なし",""))</f>
        <v/>
      </c>
      <c r="N1056" s="2" t="str">
        <f aca="false">IF($G1056="","",IF(COUNTIF($G$2:$G$4460,$G1056)&gt;1,"重複",""))</f>
        <v/>
      </c>
    </row>
    <row r="1057" customFormat="false" ht="16.5" hidden="false" customHeight="true" outlineLevel="0" collapsed="false">
      <c r="A1057" s="2" t="s">
        <v>385</v>
      </c>
      <c r="B1057" s="2" t="s">
        <v>406</v>
      </c>
      <c r="C1057" s="2" t="s">
        <v>26</v>
      </c>
      <c r="D1057" s="2" t="str">
        <f aca="false">IF(2キー同時!$B$266="","",2キー同時!$B$266)</f>
        <v/>
      </c>
      <c r="E1057" s="2" t="str">
        <f aca="false">""</f>
        <v/>
      </c>
      <c r="F1057" s="2" t="str">
        <f aca="false">""</f>
        <v/>
      </c>
      <c r="G1057" s="2" t="str">
        <f aca="false">IF(2キー同時!$B$266="","",IF(2キー同時!Q272="","",SUBSTITUTE(SUBSTITUTE(2キー同時!Q272," ",""),"　","")))</f>
        <v/>
      </c>
      <c r="H1057" s="2" t="str">
        <f aca="false">IF($G1057="","",2キー同時!$B$266)</f>
        <v/>
      </c>
      <c r="I1057" s="2" t="str">
        <f aca="false">IF($G1057="","","d")</f>
        <v/>
      </c>
      <c r="J1057" s="2" t="str">
        <f aca="false">""</f>
        <v/>
      </c>
      <c r="K1057" s="2" t="str">
        <f aca="false">""</f>
        <v/>
      </c>
      <c r="L1057" s="2" t="str">
        <f aca="false">IF($G1057="","","同時")</f>
        <v/>
      </c>
      <c r="M1057" s="2" t="str">
        <f aca="false">IF($G1057="","",IF(ISNA(MATCH($G1057,個別指定!$A:$A,0)),"行なし",""))</f>
        <v/>
      </c>
      <c r="N1057" s="2" t="str">
        <f aca="false">IF($G1057="","",IF(COUNTIF($G$2:$G$4460,$G1057)&gt;1,"重複",""))</f>
        <v/>
      </c>
    </row>
    <row r="1058" customFormat="false" ht="16.5" hidden="false" customHeight="true" outlineLevel="0" collapsed="false">
      <c r="A1058" s="2" t="s">
        <v>385</v>
      </c>
      <c r="B1058" s="2" t="s">
        <v>406</v>
      </c>
      <c r="C1058" s="2" t="s">
        <v>27</v>
      </c>
      <c r="D1058" s="2" t="str">
        <f aca="false">IF(2キー同時!$B$266="","",2キー同時!$B$266)</f>
        <v/>
      </c>
      <c r="E1058" s="2" t="str">
        <f aca="false">""</f>
        <v/>
      </c>
      <c r="F1058" s="2" t="str">
        <f aca="false">""</f>
        <v/>
      </c>
      <c r="G1058" s="2" t="str">
        <f aca="false">IF(2キー同時!$B$266="","",IF(2キー同時!U272="","",SUBSTITUTE(SUBSTITUTE(2キー同時!U272," ",""),"　","")))</f>
        <v/>
      </c>
      <c r="H1058" s="2" t="str">
        <f aca="false">IF($G1058="","",2キー同時!$B$266)</f>
        <v/>
      </c>
      <c r="I1058" s="2" t="str">
        <f aca="false">IF($G1058="","","f")</f>
        <v/>
      </c>
      <c r="J1058" s="2" t="str">
        <f aca="false">""</f>
        <v/>
      </c>
      <c r="K1058" s="2" t="str">
        <f aca="false">""</f>
        <v/>
      </c>
      <c r="L1058" s="2" t="str">
        <f aca="false">IF($G1058="","","同時")</f>
        <v/>
      </c>
      <c r="M1058" s="2" t="str">
        <f aca="false">IF($G1058="","",IF(ISNA(MATCH($G1058,個別指定!$A:$A,0)),"行なし",""))</f>
        <v/>
      </c>
      <c r="N1058" s="2" t="str">
        <f aca="false">IF($G1058="","",IF(COUNTIF($G$2:$G$4460,$G1058)&gt;1,"重複",""))</f>
        <v/>
      </c>
    </row>
    <row r="1059" customFormat="false" ht="16.5" hidden="false" customHeight="true" outlineLevel="0" collapsed="false">
      <c r="A1059" s="2" t="s">
        <v>385</v>
      </c>
      <c r="B1059" s="2" t="s">
        <v>406</v>
      </c>
      <c r="C1059" s="2" t="s">
        <v>28</v>
      </c>
      <c r="D1059" s="2" t="str">
        <f aca="false">IF(2キー同時!$B$266="","",2キー同時!$B$266)</f>
        <v/>
      </c>
      <c r="E1059" s="2" t="str">
        <f aca="false">""</f>
        <v/>
      </c>
      <c r="F1059" s="2" t="str">
        <f aca="false">""</f>
        <v/>
      </c>
      <c r="G1059" s="2" t="str">
        <f aca="false">IF(2キー同時!$B$266="","",IF(2キー同時!Y272="","",SUBSTITUTE(SUBSTITUTE(2キー同時!Y272," ",""),"　","")))</f>
        <v/>
      </c>
      <c r="H1059" s="2" t="str">
        <f aca="false">IF($G1059="","",2キー同時!$B$266)</f>
        <v/>
      </c>
      <c r="I1059" s="2" t="str">
        <f aca="false">IF($G1059="","","g")</f>
        <v/>
      </c>
      <c r="J1059" s="2" t="str">
        <f aca="false">""</f>
        <v/>
      </c>
      <c r="K1059" s="2" t="str">
        <f aca="false">""</f>
        <v/>
      </c>
      <c r="L1059" s="2" t="str">
        <f aca="false">IF($G1059="","","同時")</f>
        <v/>
      </c>
      <c r="M1059" s="2" t="str">
        <f aca="false">IF($G1059="","",IF(ISNA(MATCH($G1059,個別指定!$A:$A,0)),"行なし",""))</f>
        <v/>
      </c>
      <c r="N1059" s="2" t="str">
        <f aca="false">IF($G1059="","",IF(COUNTIF($G$2:$G$4460,$G1059)&gt;1,"重複",""))</f>
        <v/>
      </c>
    </row>
    <row r="1060" customFormat="false" ht="16.5" hidden="false" customHeight="true" outlineLevel="0" collapsed="false">
      <c r="A1060" s="2" t="s">
        <v>385</v>
      </c>
      <c r="B1060" s="2" t="s">
        <v>406</v>
      </c>
      <c r="C1060" s="2" t="s">
        <v>29</v>
      </c>
      <c r="D1060" s="2" t="str">
        <f aca="false">IF(2キー同時!$B$266="","",2キー同時!$B$266)</f>
        <v/>
      </c>
      <c r="E1060" s="2" t="str">
        <f aca="false">""</f>
        <v/>
      </c>
      <c r="F1060" s="2" t="str">
        <f aca="false">""</f>
        <v/>
      </c>
      <c r="G1060" s="2" t="str">
        <f aca="false">IF(2キー同時!$B$266="","",IF(2キー同時!AC272="","",SUBSTITUTE(SUBSTITUTE(2キー同時!AC272," ",""),"　","")))</f>
        <v/>
      </c>
      <c r="H1060" s="2" t="str">
        <f aca="false">IF($G1060="","",2キー同時!$B$266)</f>
        <v/>
      </c>
      <c r="I1060" s="2" t="str">
        <f aca="false">IF($G1060="","","h")</f>
        <v/>
      </c>
      <c r="J1060" s="2" t="str">
        <f aca="false">""</f>
        <v/>
      </c>
      <c r="K1060" s="2" t="str">
        <f aca="false">""</f>
        <v/>
      </c>
      <c r="L1060" s="2" t="str">
        <f aca="false">IF($G1060="","","同時")</f>
        <v/>
      </c>
      <c r="M1060" s="2" t="str">
        <f aca="false">IF($G1060="","",IF(ISNA(MATCH($G1060,個別指定!$A:$A,0)),"行なし",""))</f>
        <v/>
      </c>
      <c r="N1060" s="2" t="str">
        <f aca="false">IF($G1060="","",IF(COUNTIF($G$2:$G$4460,$G1060)&gt;1,"重複",""))</f>
        <v/>
      </c>
    </row>
    <row r="1061" customFormat="false" ht="16.5" hidden="false" customHeight="true" outlineLevel="0" collapsed="false">
      <c r="A1061" s="2" t="s">
        <v>385</v>
      </c>
      <c r="B1061" s="2" t="s">
        <v>406</v>
      </c>
      <c r="C1061" s="2" t="s">
        <v>30</v>
      </c>
      <c r="D1061" s="2" t="str">
        <f aca="false">IF(2キー同時!$B$266="","",2キー同時!$B$266)</f>
        <v/>
      </c>
      <c r="E1061" s="2" t="str">
        <f aca="false">""</f>
        <v/>
      </c>
      <c r="F1061" s="2" t="str">
        <f aca="false">""</f>
        <v/>
      </c>
      <c r="G1061" s="2" t="str">
        <f aca="false">IF(2キー同時!$B$266="","",IF(2キー同時!AG272="","",SUBSTITUTE(SUBSTITUTE(2キー同時!AG272," ",""),"　","")))</f>
        <v/>
      </c>
      <c r="H1061" s="2" t="str">
        <f aca="false">IF($G1061="","",2キー同時!$B$266)</f>
        <v/>
      </c>
      <c r="I1061" s="2" t="str">
        <f aca="false">IF($G1061="","","j")</f>
        <v/>
      </c>
      <c r="J1061" s="2" t="str">
        <f aca="false">""</f>
        <v/>
      </c>
      <c r="K1061" s="2" t="str">
        <f aca="false">""</f>
        <v/>
      </c>
      <c r="L1061" s="2" t="str">
        <f aca="false">IF($G1061="","","同時")</f>
        <v/>
      </c>
      <c r="M1061" s="2" t="str">
        <f aca="false">IF($G1061="","",IF(ISNA(MATCH($G1061,個別指定!$A:$A,0)),"行なし",""))</f>
        <v/>
      </c>
      <c r="N1061" s="2" t="str">
        <f aca="false">IF($G1061="","",IF(COUNTIF($G$2:$G$4460,$G1061)&gt;1,"重複",""))</f>
        <v/>
      </c>
    </row>
    <row r="1062" customFormat="false" ht="16.5" hidden="false" customHeight="true" outlineLevel="0" collapsed="false">
      <c r="A1062" s="2" t="s">
        <v>385</v>
      </c>
      <c r="B1062" s="2" t="s">
        <v>406</v>
      </c>
      <c r="C1062" s="2" t="s">
        <v>31</v>
      </c>
      <c r="D1062" s="2" t="str">
        <f aca="false">IF(2キー同時!$B$266="","",2キー同時!$B$266)</f>
        <v/>
      </c>
      <c r="E1062" s="2" t="str">
        <f aca="false">""</f>
        <v/>
      </c>
      <c r="F1062" s="2" t="str">
        <f aca="false">""</f>
        <v/>
      </c>
      <c r="G1062" s="2" t="str">
        <f aca="false">IF(2キー同時!$B$266="","",IF(2キー同時!AK272="","",SUBSTITUTE(SUBSTITUTE(2キー同時!AK272," ",""),"　","")))</f>
        <v/>
      </c>
      <c r="H1062" s="2" t="str">
        <f aca="false">IF($G1062="","",2キー同時!$B$266)</f>
        <v/>
      </c>
      <c r="I1062" s="2" t="str">
        <f aca="false">IF($G1062="","","k")</f>
        <v/>
      </c>
      <c r="J1062" s="2" t="str">
        <f aca="false">""</f>
        <v/>
      </c>
      <c r="K1062" s="2" t="str">
        <f aca="false">""</f>
        <v/>
      </c>
      <c r="L1062" s="2" t="str">
        <f aca="false">IF($G1062="","","同時")</f>
        <v/>
      </c>
      <c r="M1062" s="2" t="str">
        <f aca="false">IF($G1062="","",IF(ISNA(MATCH($G1062,個別指定!$A:$A,0)),"行なし",""))</f>
        <v/>
      </c>
      <c r="N1062" s="2" t="str">
        <f aca="false">IF($G1062="","",IF(COUNTIF($G$2:$G$4460,$G1062)&gt;1,"重複",""))</f>
        <v/>
      </c>
    </row>
    <row r="1063" customFormat="false" ht="16.5" hidden="false" customHeight="true" outlineLevel="0" collapsed="false">
      <c r="A1063" s="2" t="s">
        <v>385</v>
      </c>
      <c r="B1063" s="2" t="s">
        <v>406</v>
      </c>
      <c r="C1063" s="2" t="s">
        <v>32</v>
      </c>
      <c r="D1063" s="2" t="str">
        <f aca="false">IF(2キー同時!$B$266="","",2キー同時!$B$266)</f>
        <v/>
      </c>
      <c r="E1063" s="2" t="str">
        <f aca="false">""</f>
        <v/>
      </c>
      <c r="F1063" s="2" t="str">
        <f aca="false">""</f>
        <v/>
      </c>
      <c r="G1063" s="2" t="str">
        <f aca="false">IF(2キー同時!$B$266="","",IF(2キー同時!AO272="","",SUBSTITUTE(SUBSTITUTE(2キー同時!AO272," ",""),"　","")))</f>
        <v/>
      </c>
      <c r="H1063" s="2" t="str">
        <f aca="false">IF($G1063="","",2キー同時!$B$266)</f>
        <v/>
      </c>
      <c r="I1063" s="2" t="str">
        <f aca="false">IF($G1063="","","l")</f>
        <v/>
      </c>
      <c r="J1063" s="2" t="str">
        <f aca="false">""</f>
        <v/>
      </c>
      <c r="K1063" s="2" t="str">
        <f aca="false">""</f>
        <v/>
      </c>
      <c r="L1063" s="2" t="str">
        <f aca="false">IF($G1063="","","同時")</f>
        <v/>
      </c>
      <c r="M1063" s="2" t="str">
        <f aca="false">IF($G1063="","",IF(ISNA(MATCH($G1063,個別指定!$A:$A,0)),"行なし",""))</f>
        <v/>
      </c>
      <c r="N1063" s="2" t="str">
        <f aca="false">IF($G1063="","",IF(COUNTIF($G$2:$G$4460,$G1063)&gt;1,"重複",""))</f>
        <v/>
      </c>
    </row>
    <row r="1064" customFormat="false" ht="16.5" hidden="false" customHeight="true" outlineLevel="0" collapsed="false">
      <c r="A1064" s="2" t="s">
        <v>385</v>
      </c>
      <c r="B1064" s="2" t="s">
        <v>406</v>
      </c>
      <c r="C1064" s="2" t="s">
        <v>33</v>
      </c>
      <c r="D1064" s="2" t="str">
        <f aca="false">IF(2キー同時!$B$266="","",2キー同時!$B$266)</f>
        <v/>
      </c>
      <c r="E1064" s="2" t="str">
        <f aca="false">""</f>
        <v/>
      </c>
      <c r="F1064" s="2" t="str">
        <f aca="false">""</f>
        <v/>
      </c>
      <c r="G1064" s="2" t="str">
        <f aca="false">IF(2キー同時!$B$266="","",IF(2キー同時!AS272="","",SUBSTITUTE(SUBSTITUTE(2キー同時!AS272," ",""),"　","")))</f>
        <v/>
      </c>
      <c r="H1064" s="2" t="str">
        <f aca="false">IF($G1064="","",2キー同時!$B$266)</f>
        <v/>
      </c>
      <c r="I1064" s="2" t="str">
        <f aca="false">IF($G1064="","",";")</f>
        <v/>
      </c>
      <c r="J1064" s="2" t="str">
        <f aca="false">""</f>
        <v/>
      </c>
      <c r="K1064" s="2" t="str">
        <f aca="false">""</f>
        <v/>
      </c>
      <c r="L1064" s="2" t="str">
        <f aca="false">IF($G1064="","","同時")</f>
        <v/>
      </c>
      <c r="M1064" s="2" t="str">
        <f aca="false">IF($G1064="","",IF(ISNA(MATCH($G1064,個別指定!$A:$A,0)),"行なし",""))</f>
        <v/>
      </c>
      <c r="N1064" s="2" t="str">
        <f aca="false">IF($G1064="","",IF(COUNTIF($G$2:$G$4460,$G1064)&gt;1,"重複",""))</f>
        <v/>
      </c>
    </row>
    <row r="1065" customFormat="false" ht="16.5" hidden="false" customHeight="true" outlineLevel="0" collapsed="false">
      <c r="A1065" s="2" t="s">
        <v>385</v>
      </c>
      <c r="B1065" s="2" t="s">
        <v>406</v>
      </c>
      <c r="C1065" s="2" t="s">
        <v>34</v>
      </c>
      <c r="D1065" s="2" t="str">
        <f aca="false">IF(2キー同時!$B$266="","",2キー同時!$B$266)</f>
        <v/>
      </c>
      <c r="E1065" s="2" t="str">
        <f aca="false">""</f>
        <v/>
      </c>
      <c r="F1065" s="2" t="str">
        <f aca="false">""</f>
        <v/>
      </c>
      <c r="G1065" s="2" t="str">
        <f aca="false">IF(2キー同時!$B$266="","",IF(2キー同時!AW272="","",SUBSTITUTE(SUBSTITUTE(2キー同時!AW272," ",""),"　","")))</f>
        <v/>
      </c>
      <c r="H1065" s="2" t="str">
        <f aca="false">IF($G1065="","",2キー同時!$B$266)</f>
        <v/>
      </c>
      <c r="I1065" s="2" t="str">
        <f aca="false">IF($G1065="","","'")</f>
        <v/>
      </c>
      <c r="J1065" s="2" t="str">
        <f aca="false">""</f>
        <v/>
      </c>
      <c r="K1065" s="2" t="str">
        <f aca="false">""</f>
        <v/>
      </c>
      <c r="L1065" s="2" t="str">
        <f aca="false">IF($G1065="","","同時")</f>
        <v/>
      </c>
      <c r="M1065" s="2" t="str">
        <f aca="false">IF($G1065="","",IF(ISNA(MATCH($G1065,個別指定!$A:$A,0)),"行なし",""))</f>
        <v/>
      </c>
      <c r="N1065" s="2" t="str">
        <f aca="false">IF($G1065="","",IF(COUNTIF($G$2:$G$4460,$G1065)&gt;1,"重複",""))</f>
        <v/>
      </c>
    </row>
    <row r="1066" customFormat="false" ht="16.5" hidden="false" customHeight="true" outlineLevel="0" collapsed="false">
      <c r="A1066" s="2" t="s">
        <v>385</v>
      </c>
      <c r="B1066" s="2" t="s">
        <v>406</v>
      </c>
      <c r="C1066" s="2" t="s">
        <v>35</v>
      </c>
      <c r="D1066" s="2" t="str">
        <f aca="false">IF(2キー同時!$B$266="","",2キー同時!$B$266)</f>
        <v/>
      </c>
      <c r="E1066" s="2" t="str">
        <f aca="false">""</f>
        <v/>
      </c>
      <c r="F1066" s="2" t="str">
        <f aca="false">""</f>
        <v/>
      </c>
      <c r="G1066" s="2" t="str">
        <f aca="false">IF(2キー同時!$B$266="","",IF(2キー同時!K274="","",SUBSTITUTE(SUBSTITUTE(2キー同時!K274," ",""),"　","")))</f>
        <v/>
      </c>
      <c r="H1066" s="2" t="str">
        <f aca="false">IF($G1066="","",2キー同時!$B$266)</f>
        <v/>
      </c>
      <c r="I1066" s="2" t="str">
        <f aca="false">IF($G1066="","","z")</f>
        <v/>
      </c>
      <c r="J1066" s="2" t="str">
        <f aca="false">""</f>
        <v/>
      </c>
      <c r="K1066" s="2" t="str">
        <f aca="false">""</f>
        <v/>
      </c>
      <c r="L1066" s="2" t="str">
        <f aca="false">IF($G1066="","","同時")</f>
        <v/>
      </c>
      <c r="M1066" s="2" t="str">
        <f aca="false">IF($G1066="","",IF(ISNA(MATCH($G1066,個別指定!$A:$A,0)),"行なし",""))</f>
        <v/>
      </c>
      <c r="N1066" s="2" t="str">
        <f aca="false">IF($G1066="","",IF(COUNTIF($G$2:$G$4460,$G1066)&gt;1,"重複",""))</f>
        <v/>
      </c>
    </row>
    <row r="1067" customFormat="false" ht="16.5" hidden="false" customHeight="true" outlineLevel="0" collapsed="false">
      <c r="A1067" s="2" t="s">
        <v>385</v>
      </c>
      <c r="B1067" s="2" t="s">
        <v>406</v>
      </c>
      <c r="C1067" s="2" t="s">
        <v>36</v>
      </c>
      <c r="D1067" s="2" t="str">
        <f aca="false">IF(2キー同時!$B$266="","",2キー同時!$B$266)</f>
        <v/>
      </c>
      <c r="E1067" s="2" t="str">
        <f aca="false">""</f>
        <v/>
      </c>
      <c r="F1067" s="2" t="str">
        <f aca="false">""</f>
        <v/>
      </c>
      <c r="G1067" s="2" t="str">
        <f aca="false">IF(2キー同時!$B$266="","",IF(2キー同時!O274="","",SUBSTITUTE(SUBSTITUTE(2キー同時!O274," ",""),"　","")))</f>
        <v/>
      </c>
      <c r="H1067" s="2" t="str">
        <f aca="false">IF($G1067="","",2キー同時!$B$266)</f>
        <v/>
      </c>
      <c r="I1067" s="2" t="str">
        <f aca="false">IF($G1067="","","x")</f>
        <v/>
      </c>
      <c r="J1067" s="2" t="str">
        <f aca="false">""</f>
        <v/>
      </c>
      <c r="K1067" s="2" t="str">
        <f aca="false">""</f>
        <v/>
      </c>
      <c r="L1067" s="2" t="str">
        <f aca="false">IF($G1067="","","同時")</f>
        <v/>
      </c>
      <c r="M1067" s="2" t="str">
        <f aca="false">IF($G1067="","",IF(ISNA(MATCH($G1067,個別指定!$A:$A,0)),"行なし",""))</f>
        <v/>
      </c>
      <c r="N1067" s="2" t="str">
        <f aca="false">IF($G1067="","",IF(COUNTIF($G$2:$G$4460,$G1067)&gt;1,"重複",""))</f>
        <v/>
      </c>
    </row>
    <row r="1068" customFormat="false" ht="16.5" hidden="false" customHeight="true" outlineLevel="0" collapsed="false">
      <c r="A1068" s="2" t="s">
        <v>385</v>
      </c>
      <c r="B1068" s="2" t="s">
        <v>406</v>
      </c>
      <c r="C1068" s="2" t="s">
        <v>37</v>
      </c>
      <c r="D1068" s="2" t="str">
        <f aca="false">IF(2キー同時!$B$266="","",2キー同時!$B$266)</f>
        <v/>
      </c>
      <c r="E1068" s="2" t="str">
        <f aca="false">""</f>
        <v/>
      </c>
      <c r="F1068" s="2" t="str">
        <f aca="false">""</f>
        <v/>
      </c>
      <c r="G1068" s="2" t="str">
        <f aca="false">IF(2キー同時!$B$266="","",IF(2キー同時!S274="","",SUBSTITUTE(SUBSTITUTE(2キー同時!S274," ",""),"　","")))</f>
        <v/>
      </c>
      <c r="H1068" s="2" t="str">
        <f aca="false">IF($G1068="","",2キー同時!$B$266)</f>
        <v/>
      </c>
      <c r="I1068" s="2" t="str">
        <f aca="false">IF($G1068="","","c")</f>
        <v/>
      </c>
      <c r="J1068" s="2" t="str">
        <f aca="false">""</f>
        <v/>
      </c>
      <c r="K1068" s="2" t="str">
        <f aca="false">""</f>
        <v/>
      </c>
      <c r="L1068" s="2" t="str">
        <f aca="false">IF($G1068="","","同時")</f>
        <v/>
      </c>
      <c r="M1068" s="2" t="str">
        <f aca="false">IF($G1068="","",IF(ISNA(MATCH($G1068,個別指定!$A:$A,0)),"行なし",""))</f>
        <v/>
      </c>
      <c r="N1068" s="2" t="str">
        <f aca="false">IF($G1068="","",IF(COUNTIF($G$2:$G$4460,$G1068)&gt;1,"重複",""))</f>
        <v/>
      </c>
    </row>
    <row r="1069" customFormat="false" ht="16.5" hidden="false" customHeight="true" outlineLevel="0" collapsed="false">
      <c r="A1069" s="2" t="s">
        <v>385</v>
      </c>
      <c r="B1069" s="2" t="s">
        <v>406</v>
      </c>
      <c r="C1069" s="2" t="s">
        <v>38</v>
      </c>
      <c r="D1069" s="2" t="str">
        <f aca="false">IF(2キー同時!$B$266="","",2キー同時!$B$266)</f>
        <v/>
      </c>
      <c r="E1069" s="2" t="str">
        <f aca="false">""</f>
        <v/>
      </c>
      <c r="F1069" s="2" t="str">
        <f aca="false">""</f>
        <v/>
      </c>
      <c r="G1069" s="2" t="str">
        <f aca="false">IF(2キー同時!$B$266="","",IF(2キー同時!W274="","",SUBSTITUTE(SUBSTITUTE(2キー同時!W274," ",""),"　","")))</f>
        <v/>
      </c>
      <c r="H1069" s="2" t="str">
        <f aca="false">IF($G1069="","",2キー同時!$B$266)</f>
        <v/>
      </c>
      <c r="I1069" s="2" t="str">
        <f aca="false">IF($G1069="","","v")</f>
        <v/>
      </c>
      <c r="J1069" s="2" t="str">
        <f aca="false">""</f>
        <v/>
      </c>
      <c r="K1069" s="2" t="str">
        <f aca="false">""</f>
        <v/>
      </c>
      <c r="L1069" s="2" t="str">
        <f aca="false">IF($G1069="","","同時")</f>
        <v/>
      </c>
      <c r="M1069" s="2" t="str">
        <f aca="false">IF($G1069="","",IF(ISNA(MATCH($G1069,個別指定!$A:$A,0)),"行なし",""))</f>
        <v/>
      </c>
      <c r="N1069" s="2" t="str">
        <f aca="false">IF($G1069="","",IF(COUNTIF($G$2:$G$4460,$G1069)&gt;1,"重複",""))</f>
        <v/>
      </c>
    </row>
    <row r="1070" customFormat="false" ht="16.5" hidden="false" customHeight="true" outlineLevel="0" collapsed="false">
      <c r="A1070" s="2" t="s">
        <v>385</v>
      </c>
      <c r="B1070" s="2" t="s">
        <v>406</v>
      </c>
      <c r="C1070" s="2" t="s">
        <v>39</v>
      </c>
      <c r="D1070" s="2" t="str">
        <f aca="false">IF(2キー同時!$B$266="","",2キー同時!$B$266)</f>
        <v/>
      </c>
      <c r="E1070" s="2" t="str">
        <f aca="false">""</f>
        <v/>
      </c>
      <c r="F1070" s="2" t="str">
        <f aca="false">""</f>
        <v/>
      </c>
      <c r="G1070" s="2" t="str">
        <f aca="false">IF(2キー同時!$B$266="","",IF(2キー同時!AA274="","",SUBSTITUTE(SUBSTITUTE(2キー同時!AA274," ",""),"　","")))</f>
        <v/>
      </c>
      <c r="H1070" s="2" t="str">
        <f aca="false">IF($G1070="","",2キー同時!$B$266)</f>
        <v/>
      </c>
      <c r="I1070" s="2" t="str">
        <f aca="false">IF($G1070="","","b")</f>
        <v/>
      </c>
      <c r="J1070" s="2" t="str">
        <f aca="false">""</f>
        <v/>
      </c>
      <c r="K1070" s="2" t="str">
        <f aca="false">""</f>
        <v/>
      </c>
      <c r="L1070" s="2" t="str">
        <f aca="false">IF($G1070="","","同時")</f>
        <v/>
      </c>
      <c r="M1070" s="2" t="str">
        <f aca="false">IF($G1070="","",IF(ISNA(MATCH($G1070,個別指定!$A:$A,0)),"行なし",""))</f>
        <v/>
      </c>
      <c r="N1070" s="2" t="str">
        <f aca="false">IF($G1070="","",IF(COUNTIF($G$2:$G$4460,$G1070)&gt;1,"重複",""))</f>
        <v/>
      </c>
    </row>
    <row r="1071" customFormat="false" ht="16.5" hidden="false" customHeight="true" outlineLevel="0" collapsed="false">
      <c r="A1071" s="2" t="s">
        <v>385</v>
      </c>
      <c r="B1071" s="2" t="s">
        <v>406</v>
      </c>
      <c r="C1071" s="2" t="s">
        <v>40</v>
      </c>
      <c r="D1071" s="2" t="str">
        <f aca="false">IF(2キー同時!$B$266="","",2キー同時!$B$266)</f>
        <v/>
      </c>
      <c r="E1071" s="2" t="str">
        <f aca="false">""</f>
        <v/>
      </c>
      <c r="F1071" s="2" t="str">
        <f aca="false">""</f>
        <v/>
      </c>
      <c r="G1071" s="2" t="str">
        <f aca="false">IF(2キー同時!$B$266="","",IF(2キー同時!AE274="","",SUBSTITUTE(SUBSTITUTE(2キー同時!AE274," ",""),"　","")))</f>
        <v/>
      </c>
      <c r="H1071" s="2" t="str">
        <f aca="false">IF($G1071="","",2キー同時!$B$266)</f>
        <v/>
      </c>
      <c r="I1071" s="2" t="str">
        <f aca="false">IF($G1071="","","n")</f>
        <v/>
      </c>
      <c r="J1071" s="2" t="str">
        <f aca="false">""</f>
        <v/>
      </c>
      <c r="K1071" s="2" t="str">
        <f aca="false">""</f>
        <v/>
      </c>
      <c r="L1071" s="2" t="str">
        <f aca="false">IF($G1071="","","同時")</f>
        <v/>
      </c>
      <c r="M1071" s="2" t="str">
        <f aca="false">IF($G1071="","",IF(ISNA(MATCH($G1071,個別指定!$A:$A,0)),"行なし",""))</f>
        <v/>
      </c>
      <c r="N1071" s="2" t="str">
        <f aca="false">IF($G1071="","",IF(COUNTIF($G$2:$G$4460,$G1071)&gt;1,"重複",""))</f>
        <v/>
      </c>
    </row>
    <row r="1072" customFormat="false" ht="16.5" hidden="false" customHeight="true" outlineLevel="0" collapsed="false">
      <c r="A1072" s="2" t="s">
        <v>385</v>
      </c>
      <c r="B1072" s="2" t="s">
        <v>406</v>
      </c>
      <c r="C1072" s="2" t="s">
        <v>41</v>
      </c>
      <c r="D1072" s="2" t="str">
        <f aca="false">IF(2キー同時!$B$266="","",2キー同時!$B$266)</f>
        <v/>
      </c>
      <c r="E1072" s="2" t="str">
        <f aca="false">""</f>
        <v/>
      </c>
      <c r="F1072" s="2" t="str">
        <f aca="false">""</f>
        <v/>
      </c>
      <c r="G1072" s="2" t="str">
        <f aca="false">IF(2キー同時!$B$266="","",IF(2キー同時!AI274="","",SUBSTITUTE(SUBSTITUTE(2キー同時!AI274," ",""),"　","")))</f>
        <v/>
      </c>
      <c r="H1072" s="2" t="str">
        <f aca="false">IF($G1072="","",2キー同時!$B$266)</f>
        <v/>
      </c>
      <c r="I1072" s="2" t="str">
        <f aca="false">IF($G1072="","","m")</f>
        <v/>
      </c>
      <c r="J1072" s="2" t="str">
        <f aca="false">""</f>
        <v/>
      </c>
      <c r="K1072" s="2" t="str">
        <f aca="false">""</f>
        <v/>
      </c>
      <c r="L1072" s="2" t="str">
        <f aca="false">IF($G1072="","","同時")</f>
        <v/>
      </c>
      <c r="M1072" s="2" t="str">
        <f aca="false">IF($G1072="","",IF(ISNA(MATCH($G1072,個別指定!$A:$A,0)),"行なし",""))</f>
        <v/>
      </c>
      <c r="N1072" s="2" t="str">
        <f aca="false">IF($G1072="","",IF(COUNTIF($G$2:$G$4460,$G1072)&gt;1,"重複",""))</f>
        <v/>
      </c>
    </row>
    <row r="1073" customFormat="false" ht="16.5" hidden="false" customHeight="true" outlineLevel="0" collapsed="false">
      <c r="A1073" s="2" t="s">
        <v>385</v>
      </c>
      <c r="B1073" s="2" t="s">
        <v>406</v>
      </c>
      <c r="C1073" s="2" t="s">
        <v>42</v>
      </c>
      <c r="D1073" s="2" t="str">
        <f aca="false">IF(2キー同時!$B$266="","",2キー同時!$B$266)</f>
        <v/>
      </c>
      <c r="E1073" s="2" t="str">
        <f aca="false">""</f>
        <v/>
      </c>
      <c r="F1073" s="2" t="str">
        <f aca="false">""</f>
        <v/>
      </c>
      <c r="G1073" s="2" t="str">
        <f aca="false">IF(2キー同時!$B$266="","",IF(2キー同時!AM274="","",SUBSTITUTE(SUBSTITUTE(2キー同時!AM274," ",""),"　","")))</f>
        <v/>
      </c>
      <c r="H1073" s="2" t="str">
        <f aca="false">IF($G1073="","",2キー同時!$B$266)</f>
        <v/>
      </c>
      <c r="I1073" s="2" t="str">
        <f aca="false">IF($G1073="","",",")</f>
        <v/>
      </c>
      <c r="J1073" s="2" t="str">
        <f aca="false">""</f>
        <v/>
      </c>
      <c r="K1073" s="2" t="str">
        <f aca="false">""</f>
        <v/>
      </c>
      <c r="L1073" s="2" t="str">
        <f aca="false">IF($G1073="","","同時")</f>
        <v/>
      </c>
      <c r="M1073" s="2" t="str">
        <f aca="false">IF($G1073="","",IF(ISNA(MATCH($G1073,個別指定!$A:$A,0)),"行なし",""))</f>
        <v/>
      </c>
      <c r="N1073" s="2" t="str">
        <f aca="false">IF($G1073="","",IF(COUNTIF($G$2:$G$4460,$G1073)&gt;1,"重複",""))</f>
        <v/>
      </c>
    </row>
    <row r="1074" customFormat="false" ht="16.5" hidden="false" customHeight="true" outlineLevel="0" collapsed="false">
      <c r="A1074" s="2" t="s">
        <v>385</v>
      </c>
      <c r="B1074" s="2" t="s">
        <v>406</v>
      </c>
      <c r="C1074" s="2" t="s">
        <v>43</v>
      </c>
      <c r="D1074" s="2" t="str">
        <f aca="false">IF(2キー同時!$B$266="","",2キー同時!$B$266)</f>
        <v/>
      </c>
      <c r="E1074" s="2" t="str">
        <f aca="false">""</f>
        <v/>
      </c>
      <c r="F1074" s="2" t="str">
        <f aca="false">""</f>
        <v/>
      </c>
      <c r="G1074" s="2" t="str">
        <f aca="false">IF(2キー同時!$B$266="","",IF(2キー同時!AQ274="","",SUBSTITUTE(SUBSTITUTE(2キー同時!AQ274," ",""),"　","")))</f>
        <v/>
      </c>
      <c r="H1074" s="2" t="str">
        <f aca="false">IF($G1074="","",2キー同時!$B$266)</f>
        <v/>
      </c>
      <c r="I1074" s="2" t="str">
        <f aca="false">IF($G1074="","",".")</f>
        <v/>
      </c>
      <c r="J1074" s="2" t="str">
        <f aca="false">""</f>
        <v/>
      </c>
      <c r="K1074" s="2" t="str">
        <f aca="false">""</f>
        <v/>
      </c>
      <c r="L1074" s="2" t="str">
        <f aca="false">IF($G1074="","","同時")</f>
        <v/>
      </c>
      <c r="M1074" s="2" t="str">
        <f aca="false">IF($G1074="","",IF(ISNA(MATCH($G1074,個別指定!$A:$A,0)),"行なし",""))</f>
        <v/>
      </c>
      <c r="N1074" s="2" t="str">
        <f aca="false">IF($G1074="","",IF(COUNTIF($G$2:$G$4460,$G1074)&gt;1,"重複",""))</f>
        <v/>
      </c>
    </row>
    <row r="1075" customFormat="false" ht="16.5" hidden="false" customHeight="true" outlineLevel="0" collapsed="false">
      <c r="A1075" s="2" t="s">
        <v>385</v>
      </c>
      <c r="B1075" s="2" t="s">
        <v>406</v>
      </c>
      <c r="C1075" s="2" t="s">
        <v>44</v>
      </c>
      <c r="D1075" s="2" t="str">
        <f aca="false">IF(2キー同時!$B$266="","",2キー同時!$B$266)</f>
        <v/>
      </c>
      <c r="E1075" s="2" t="str">
        <f aca="false">""</f>
        <v/>
      </c>
      <c r="F1075" s="2" t="str">
        <f aca="false">""</f>
        <v/>
      </c>
      <c r="G1075" s="2" t="str">
        <f aca="false">IF(2キー同時!$B$266="","",IF(2キー同時!AU274="","",SUBSTITUTE(SUBSTITUTE(2キー同時!AU274," ",""),"　","")))</f>
        <v/>
      </c>
      <c r="H1075" s="2" t="str">
        <f aca="false">IF($G1075="","",2キー同時!$B$266)</f>
        <v/>
      </c>
      <c r="I1075" s="2" t="str">
        <f aca="false">IF($G1075="","","/")</f>
        <v/>
      </c>
      <c r="J1075" s="2" t="str">
        <f aca="false">""</f>
        <v/>
      </c>
      <c r="K1075" s="2" t="str">
        <f aca="false">""</f>
        <v/>
      </c>
      <c r="L1075" s="2" t="str">
        <f aca="false">IF($G1075="","","同時")</f>
        <v/>
      </c>
      <c r="M1075" s="2" t="str">
        <f aca="false">IF($G1075="","",IF(ISNA(MATCH($G1075,個別指定!$A:$A,0)),"行なし",""))</f>
        <v/>
      </c>
      <c r="N1075" s="2" t="str">
        <f aca="false">IF($G1075="","",IF(COUNTIF($G$2:$G$4460,$G1075)&gt;1,"重複",""))</f>
        <v/>
      </c>
    </row>
    <row r="1076" customFormat="false" ht="16.5" hidden="false" customHeight="true" outlineLevel="0" collapsed="false">
      <c r="A1076" s="2" t="s">
        <v>385</v>
      </c>
      <c r="B1076" s="2" t="s">
        <v>406</v>
      </c>
      <c r="C1076" s="2" t="s">
        <v>48</v>
      </c>
      <c r="D1076" s="2" t="str">
        <f aca="false">IF(2キー同時!$B$266="","",2キー同時!$B$266)</f>
        <v/>
      </c>
      <c r="E1076" s="2" t="str">
        <f aca="false">""</f>
        <v/>
      </c>
      <c r="F1076" s="2" t="str">
        <f aca="false">""</f>
        <v/>
      </c>
      <c r="G1076" s="2" t="str">
        <f aca="false">IF(2キー同時!$B$266="","",IF(2キー同時!P276="","",SUBSTITUTE(SUBSTITUTE(2キー同時!P276," ",""),"　","")))</f>
        <v/>
      </c>
      <c r="H1076" s="2" t="str">
        <f aca="false">IF($G1076="","",2キー同時!$B$266)</f>
        <v/>
      </c>
      <c r="I1076" s="2" t="str">
        <f aca="false">IF($G1076="","","muhenkan")</f>
        <v/>
      </c>
      <c r="J1076" s="2" t="str">
        <f aca="false">""</f>
        <v/>
      </c>
      <c r="K1076" s="2" t="str">
        <f aca="false">""</f>
        <v/>
      </c>
      <c r="L1076" s="2" t="str">
        <f aca="false">IF($G1076="","","同時")</f>
        <v/>
      </c>
      <c r="M1076" s="2" t="str">
        <f aca="false">IF($G1076="","",IF(ISNA(MATCH($G1076,個別指定!$A:$A,0)),"行なし",""))</f>
        <v/>
      </c>
      <c r="N1076" s="2" t="str">
        <f aca="false">IF($G1076="","",IF(COUNTIF($G$2:$G$4460,$G1076)&gt;1,"重複",""))</f>
        <v/>
      </c>
    </row>
    <row r="1077" customFormat="false" ht="16.5" hidden="false" customHeight="true" outlineLevel="0" collapsed="false">
      <c r="A1077" s="2" t="s">
        <v>385</v>
      </c>
      <c r="B1077" s="2" t="s">
        <v>406</v>
      </c>
      <c r="C1077" s="2" t="s">
        <v>50</v>
      </c>
      <c r="D1077" s="2" t="str">
        <f aca="false">IF(2キー同時!$B$266="","",2キー同時!$B$266)</f>
        <v/>
      </c>
      <c r="E1077" s="2" t="str">
        <f aca="false">""</f>
        <v/>
      </c>
      <c r="F1077" s="2" t="str">
        <f aca="false">""</f>
        <v/>
      </c>
      <c r="G1077" s="2" t="str">
        <f aca="false">IF(2キー同時!$B$266="","",IF(2キー同時!T276="","",SUBSTITUTE(SUBSTITUTE(2キー同時!T276," ",""),"　","")))</f>
        <v/>
      </c>
      <c r="H1077" s="2" t="str">
        <f aca="false">IF($G1077="","",2キー同時!$B$266)</f>
        <v/>
      </c>
      <c r="I1077" s="2" t="str">
        <f aca="false">IF($G1077="","","space")</f>
        <v/>
      </c>
      <c r="J1077" s="2" t="str">
        <f aca="false">""</f>
        <v/>
      </c>
      <c r="K1077" s="2" t="str">
        <f aca="false">""</f>
        <v/>
      </c>
      <c r="L1077" s="2" t="str">
        <f aca="false">IF($G1077="","","同時")</f>
        <v/>
      </c>
      <c r="M1077" s="2" t="str">
        <f aca="false">IF($G1077="","",IF(ISNA(MATCH($G1077,個別指定!$A:$A,0)),"行なし",""))</f>
        <v/>
      </c>
      <c r="N1077" s="2" t="str">
        <f aca="false">IF($G1077="","",IF(COUNTIF($G$2:$G$4460,$G1077)&gt;1,"重複",""))</f>
        <v/>
      </c>
    </row>
    <row r="1078" customFormat="false" ht="16.5" hidden="false" customHeight="true" outlineLevel="0" collapsed="false">
      <c r="A1078" s="2" t="s">
        <v>385</v>
      </c>
      <c r="B1078" s="2" t="s">
        <v>406</v>
      </c>
      <c r="C1078" s="2" t="s">
        <v>45</v>
      </c>
      <c r="D1078" s="2" t="str">
        <f aca="false">IF(2キー同時!$B$266="","",2キー同時!$B$266)</f>
        <v/>
      </c>
      <c r="E1078" s="2" t="str">
        <f aca="false">""</f>
        <v/>
      </c>
      <c r="F1078" s="2" t="str">
        <f aca="false">""</f>
        <v/>
      </c>
      <c r="G1078" s="2" t="str">
        <f aca="false">IF(2キー同時!$B$266="","",IF(2キー同時!AL276="","",SUBSTITUTE(SUBSTITUTE(2キー同時!AL276," ",""),"　","")))</f>
        <v/>
      </c>
      <c r="H1078" s="2" t="str">
        <f aca="false">IF($G1078="","",2キー同時!$B$266)</f>
        <v/>
      </c>
      <c r="I1078" s="2" t="str">
        <f aca="false">IF($G1078="","","henkan")</f>
        <v/>
      </c>
      <c r="J1078" s="2" t="str">
        <f aca="false">""</f>
        <v/>
      </c>
      <c r="K1078" s="2" t="str">
        <f aca="false">""</f>
        <v/>
      </c>
      <c r="L1078" s="2" t="str">
        <f aca="false">IF($G1078="","","同時")</f>
        <v/>
      </c>
      <c r="M1078" s="2" t="str">
        <f aca="false">IF($G1078="","",IF(ISNA(MATCH($G1078,個別指定!$A:$A,0)),"行なし",""))</f>
        <v/>
      </c>
      <c r="N1078" s="2" t="str">
        <f aca="false">IF($G1078="","",IF(COUNTIF($G$2:$G$4460,$G1078)&gt;1,"重複",""))</f>
        <v/>
      </c>
    </row>
    <row r="1079" customFormat="false" ht="16.5" hidden="false" customHeight="true" outlineLevel="0" collapsed="false">
      <c r="A1079" s="2" t="s">
        <v>385</v>
      </c>
      <c r="B1079" s="2" t="s">
        <v>406</v>
      </c>
      <c r="C1079" s="2" t="s">
        <v>46</v>
      </c>
      <c r="D1079" s="2" t="str">
        <f aca="false">IF(2キー同時!$B$266="","",2キー同時!$B$266)</f>
        <v/>
      </c>
      <c r="E1079" s="2" t="str">
        <f aca="false">""</f>
        <v/>
      </c>
      <c r="F1079" s="2" t="str">
        <f aca="false">""</f>
        <v/>
      </c>
      <c r="G1079" s="2" t="str">
        <f aca="false">IF(2キー同時!$B$266="","",IF(2キー同時!AP276="","",SUBSTITUTE(SUBSTITUTE(2キー同時!AP276," ",""),"　","")))</f>
        <v/>
      </c>
      <c r="H1079" s="2" t="str">
        <f aca="false">IF($G1079="","",2キー同時!$B$266)</f>
        <v/>
      </c>
      <c r="I1079" s="2" t="str">
        <f aca="false">IF($G1079="","","kana")</f>
        <v/>
      </c>
      <c r="J1079" s="2" t="str">
        <f aca="false">""</f>
        <v/>
      </c>
      <c r="K1079" s="2" t="str">
        <f aca="false">""</f>
        <v/>
      </c>
      <c r="L1079" s="2" t="str">
        <f aca="false">IF($G1079="","","同時")</f>
        <v/>
      </c>
      <c r="M1079" s="2" t="str">
        <f aca="false">IF($G1079="","",IF(ISNA(MATCH($G1079,個別指定!$A:$A,0)),"行なし",""))</f>
        <v/>
      </c>
      <c r="N1079" s="2" t="str">
        <f aca="false">IF($G1079="","",IF(COUNTIF($G$2:$G$4460,$G1079)&gt;1,"重複",""))</f>
        <v/>
      </c>
    </row>
    <row r="1080" customFormat="false" ht="16.5" hidden="false" customHeight="true" outlineLevel="0" collapsed="false">
      <c r="A1080" s="2" t="s">
        <v>385</v>
      </c>
      <c r="B1080" s="2" t="s">
        <v>407</v>
      </c>
      <c r="C1080" s="2" t="s">
        <v>0</v>
      </c>
      <c r="D1080" s="2" t="str">
        <f aca="false">IF(2キー同時!$B$279="","",2キー同時!$B$279)</f>
        <v/>
      </c>
      <c r="E1080" s="2" t="str">
        <f aca="false">""</f>
        <v/>
      </c>
      <c r="F1080" s="2" t="str">
        <f aca="false">""</f>
        <v/>
      </c>
      <c r="G1080" s="2" t="str">
        <f aca="false">IF(2キー同時!$B$279="","",IF(2キー同時!F281="","",SUBSTITUTE(SUBSTITUTE(2キー同時!F281," ",""),"　","")))</f>
        <v/>
      </c>
      <c r="H1080" s="2" t="str">
        <f aca="false">IF($G1080="","",2キー同時!$B$279)</f>
        <v/>
      </c>
      <c r="I1080" s="2" t="str">
        <f aca="false">IF($G1080="","","1")</f>
        <v/>
      </c>
      <c r="J1080" s="2" t="str">
        <f aca="false">""</f>
        <v/>
      </c>
      <c r="K1080" s="2" t="str">
        <f aca="false">""</f>
        <v/>
      </c>
      <c r="L1080" s="2" t="str">
        <f aca="false">IF($G1080="","","同時")</f>
        <v/>
      </c>
      <c r="M1080" s="2" t="str">
        <f aca="false">IF($G1080="","",IF(ISNA(MATCH($G1080,個別指定!$A:$A,0)),"行なし",""))</f>
        <v/>
      </c>
      <c r="N1080" s="2" t="str">
        <f aca="false">IF($G1080="","",IF(COUNTIF($G$2:$G$4460,$G1080)&gt;1,"重複",""))</f>
        <v/>
      </c>
    </row>
    <row r="1081" customFormat="false" ht="16.5" hidden="false" customHeight="true" outlineLevel="0" collapsed="false">
      <c r="A1081" s="2" t="s">
        <v>385</v>
      </c>
      <c r="B1081" s="2" t="s">
        <v>407</v>
      </c>
      <c r="C1081" s="2" t="s">
        <v>1</v>
      </c>
      <c r="D1081" s="2" t="str">
        <f aca="false">IF(2キー同時!$B$279="","",2キー同時!$B$279)</f>
        <v/>
      </c>
      <c r="E1081" s="2" t="str">
        <f aca="false">""</f>
        <v/>
      </c>
      <c r="F1081" s="2" t="str">
        <f aca="false">""</f>
        <v/>
      </c>
      <c r="G1081" s="2" t="str">
        <f aca="false">IF(2キー同時!$B$279="","",IF(2キー同時!J281="","",SUBSTITUTE(SUBSTITUTE(2キー同時!J281," ",""),"　","")))</f>
        <v/>
      </c>
      <c r="H1081" s="2" t="str">
        <f aca="false">IF($G1081="","",2キー同時!$B$279)</f>
        <v/>
      </c>
      <c r="I1081" s="2" t="str">
        <f aca="false">IF($G1081="","","2")</f>
        <v/>
      </c>
      <c r="J1081" s="2" t="str">
        <f aca="false">""</f>
        <v/>
      </c>
      <c r="K1081" s="2" t="str">
        <f aca="false">""</f>
        <v/>
      </c>
      <c r="L1081" s="2" t="str">
        <f aca="false">IF($G1081="","","同時")</f>
        <v/>
      </c>
      <c r="M1081" s="2" t="str">
        <f aca="false">IF($G1081="","",IF(ISNA(MATCH($G1081,個別指定!$A:$A,0)),"行なし",""))</f>
        <v/>
      </c>
      <c r="N1081" s="2" t="str">
        <f aca="false">IF($G1081="","",IF(COUNTIF($G$2:$G$4460,$G1081)&gt;1,"重複",""))</f>
        <v/>
      </c>
    </row>
    <row r="1082" customFormat="false" ht="16.5" hidden="false" customHeight="true" outlineLevel="0" collapsed="false">
      <c r="A1082" s="2" t="s">
        <v>385</v>
      </c>
      <c r="B1082" s="2" t="s">
        <v>407</v>
      </c>
      <c r="C1082" s="2" t="s">
        <v>2</v>
      </c>
      <c r="D1082" s="2" t="str">
        <f aca="false">IF(2キー同時!$B$279="","",2キー同時!$B$279)</f>
        <v/>
      </c>
      <c r="E1082" s="2" t="str">
        <f aca="false">""</f>
        <v/>
      </c>
      <c r="F1082" s="2" t="str">
        <f aca="false">""</f>
        <v/>
      </c>
      <c r="G1082" s="2" t="str">
        <f aca="false">IF(2キー同時!$B$279="","",IF(2キー同時!N281="","",SUBSTITUTE(SUBSTITUTE(2キー同時!N281," ",""),"　","")))</f>
        <v/>
      </c>
      <c r="H1082" s="2" t="str">
        <f aca="false">IF($G1082="","",2キー同時!$B$279)</f>
        <v/>
      </c>
      <c r="I1082" s="2" t="str">
        <f aca="false">IF($G1082="","","3")</f>
        <v/>
      </c>
      <c r="J1082" s="2" t="str">
        <f aca="false">""</f>
        <v/>
      </c>
      <c r="K1082" s="2" t="str">
        <f aca="false">""</f>
        <v/>
      </c>
      <c r="L1082" s="2" t="str">
        <f aca="false">IF($G1082="","","同時")</f>
        <v/>
      </c>
      <c r="M1082" s="2" t="str">
        <f aca="false">IF($G1082="","",IF(ISNA(MATCH($G1082,個別指定!$A:$A,0)),"行なし",""))</f>
        <v/>
      </c>
      <c r="N1082" s="2" t="str">
        <f aca="false">IF($G1082="","",IF(COUNTIF($G$2:$G$4460,$G1082)&gt;1,"重複",""))</f>
        <v/>
      </c>
    </row>
    <row r="1083" customFormat="false" ht="16.5" hidden="false" customHeight="true" outlineLevel="0" collapsed="false">
      <c r="A1083" s="2" t="s">
        <v>385</v>
      </c>
      <c r="B1083" s="2" t="s">
        <v>407</v>
      </c>
      <c r="C1083" s="2" t="s">
        <v>3</v>
      </c>
      <c r="D1083" s="2" t="str">
        <f aca="false">IF(2キー同時!$B$279="","",2キー同時!$B$279)</f>
        <v/>
      </c>
      <c r="E1083" s="2" t="str">
        <f aca="false">""</f>
        <v/>
      </c>
      <c r="F1083" s="2" t="str">
        <f aca="false">""</f>
        <v/>
      </c>
      <c r="G1083" s="2" t="str">
        <f aca="false">IF(2キー同時!$B$279="","",IF(2キー同時!R281="","",SUBSTITUTE(SUBSTITUTE(2キー同時!R281," ",""),"　","")))</f>
        <v/>
      </c>
      <c r="H1083" s="2" t="str">
        <f aca="false">IF($G1083="","",2キー同時!$B$279)</f>
        <v/>
      </c>
      <c r="I1083" s="2" t="str">
        <f aca="false">IF($G1083="","","4")</f>
        <v/>
      </c>
      <c r="J1083" s="2" t="str">
        <f aca="false">""</f>
        <v/>
      </c>
      <c r="K1083" s="2" t="str">
        <f aca="false">""</f>
        <v/>
      </c>
      <c r="L1083" s="2" t="str">
        <f aca="false">IF($G1083="","","同時")</f>
        <v/>
      </c>
      <c r="M1083" s="2" t="str">
        <f aca="false">IF($G1083="","",IF(ISNA(MATCH($G1083,個別指定!$A:$A,0)),"行なし",""))</f>
        <v/>
      </c>
      <c r="N1083" s="2" t="str">
        <f aca="false">IF($G1083="","",IF(COUNTIF($G$2:$G$4460,$G1083)&gt;1,"重複",""))</f>
        <v/>
      </c>
    </row>
    <row r="1084" customFormat="false" ht="16.5" hidden="false" customHeight="true" outlineLevel="0" collapsed="false">
      <c r="A1084" s="2" t="s">
        <v>385</v>
      </c>
      <c r="B1084" s="2" t="s">
        <v>407</v>
      </c>
      <c r="C1084" s="2" t="s">
        <v>4</v>
      </c>
      <c r="D1084" s="2" t="str">
        <f aca="false">IF(2キー同時!$B$279="","",2キー同時!$B$279)</f>
        <v/>
      </c>
      <c r="E1084" s="2" t="str">
        <f aca="false">""</f>
        <v/>
      </c>
      <c r="F1084" s="2" t="str">
        <f aca="false">""</f>
        <v/>
      </c>
      <c r="G1084" s="2" t="str">
        <f aca="false">IF(2キー同時!$B$279="","",IF(2キー同時!V281="","",SUBSTITUTE(SUBSTITUTE(2キー同時!V281," ",""),"　","")))</f>
        <v/>
      </c>
      <c r="H1084" s="2" t="str">
        <f aca="false">IF($G1084="","",2キー同時!$B$279)</f>
        <v/>
      </c>
      <c r="I1084" s="2" t="str">
        <f aca="false">IF($G1084="","","5")</f>
        <v/>
      </c>
      <c r="J1084" s="2" t="str">
        <f aca="false">""</f>
        <v/>
      </c>
      <c r="K1084" s="2" t="str">
        <f aca="false">""</f>
        <v/>
      </c>
      <c r="L1084" s="2" t="str">
        <f aca="false">IF($G1084="","","同時")</f>
        <v/>
      </c>
      <c r="M1084" s="2" t="str">
        <f aca="false">IF($G1084="","",IF(ISNA(MATCH($G1084,個別指定!$A:$A,0)),"行なし",""))</f>
        <v/>
      </c>
      <c r="N1084" s="2" t="str">
        <f aca="false">IF($G1084="","",IF(COUNTIF($G$2:$G$4460,$G1084)&gt;1,"重複",""))</f>
        <v/>
      </c>
    </row>
    <row r="1085" customFormat="false" ht="16.5" hidden="false" customHeight="true" outlineLevel="0" collapsed="false">
      <c r="A1085" s="2" t="s">
        <v>385</v>
      </c>
      <c r="B1085" s="2" t="s">
        <v>407</v>
      </c>
      <c r="C1085" s="2" t="s">
        <v>5</v>
      </c>
      <c r="D1085" s="2" t="str">
        <f aca="false">IF(2キー同時!$B$279="","",2キー同時!$B$279)</f>
        <v/>
      </c>
      <c r="E1085" s="2" t="str">
        <f aca="false">""</f>
        <v/>
      </c>
      <c r="F1085" s="2" t="str">
        <f aca="false">""</f>
        <v/>
      </c>
      <c r="G1085" s="2" t="str">
        <f aca="false">IF(2キー同時!$B$279="","",IF(2キー同時!Z281="","",SUBSTITUTE(SUBSTITUTE(2キー同時!Z281," ",""),"　","")))</f>
        <v/>
      </c>
      <c r="H1085" s="2" t="str">
        <f aca="false">IF($G1085="","",2キー同時!$B$279)</f>
        <v/>
      </c>
      <c r="I1085" s="2" t="str">
        <f aca="false">IF($G1085="","","6")</f>
        <v/>
      </c>
      <c r="J1085" s="2" t="str">
        <f aca="false">""</f>
        <v/>
      </c>
      <c r="K1085" s="2" t="str">
        <f aca="false">""</f>
        <v/>
      </c>
      <c r="L1085" s="2" t="str">
        <f aca="false">IF($G1085="","","同時")</f>
        <v/>
      </c>
      <c r="M1085" s="2" t="str">
        <f aca="false">IF($G1085="","",IF(ISNA(MATCH($G1085,個別指定!$A:$A,0)),"行なし",""))</f>
        <v/>
      </c>
      <c r="N1085" s="2" t="str">
        <f aca="false">IF($G1085="","",IF(COUNTIF($G$2:$G$4460,$G1085)&gt;1,"重複",""))</f>
        <v/>
      </c>
    </row>
    <row r="1086" customFormat="false" ht="16.5" hidden="false" customHeight="true" outlineLevel="0" collapsed="false">
      <c r="A1086" s="2" t="s">
        <v>385</v>
      </c>
      <c r="B1086" s="2" t="s">
        <v>407</v>
      </c>
      <c r="C1086" s="2" t="s">
        <v>6</v>
      </c>
      <c r="D1086" s="2" t="str">
        <f aca="false">IF(2キー同時!$B$279="","",2キー同時!$B$279)</f>
        <v/>
      </c>
      <c r="E1086" s="2" t="str">
        <f aca="false">""</f>
        <v/>
      </c>
      <c r="F1086" s="2" t="str">
        <f aca="false">""</f>
        <v/>
      </c>
      <c r="G1086" s="2" t="str">
        <f aca="false">IF(2キー同時!$B$279="","",IF(2キー同時!AD281="","",SUBSTITUTE(SUBSTITUTE(2キー同時!AD281," ",""),"　","")))</f>
        <v/>
      </c>
      <c r="H1086" s="2" t="str">
        <f aca="false">IF($G1086="","",2キー同時!$B$279)</f>
        <v/>
      </c>
      <c r="I1086" s="2" t="str">
        <f aca="false">IF($G1086="","","7")</f>
        <v/>
      </c>
      <c r="J1086" s="2" t="str">
        <f aca="false">""</f>
        <v/>
      </c>
      <c r="K1086" s="2" t="str">
        <f aca="false">""</f>
        <v/>
      </c>
      <c r="L1086" s="2" t="str">
        <f aca="false">IF($G1086="","","同時")</f>
        <v/>
      </c>
      <c r="M1086" s="2" t="str">
        <f aca="false">IF($G1086="","",IF(ISNA(MATCH($G1086,個別指定!$A:$A,0)),"行なし",""))</f>
        <v/>
      </c>
      <c r="N1086" s="2" t="str">
        <f aca="false">IF($G1086="","",IF(COUNTIF($G$2:$G$4460,$G1086)&gt;1,"重複",""))</f>
        <v/>
      </c>
    </row>
    <row r="1087" customFormat="false" ht="16.5" hidden="false" customHeight="true" outlineLevel="0" collapsed="false">
      <c r="A1087" s="2" t="s">
        <v>385</v>
      </c>
      <c r="B1087" s="2" t="s">
        <v>407</v>
      </c>
      <c r="C1087" s="2" t="s">
        <v>7</v>
      </c>
      <c r="D1087" s="2" t="str">
        <f aca="false">IF(2キー同時!$B$279="","",2キー同時!$B$279)</f>
        <v/>
      </c>
      <c r="E1087" s="2" t="str">
        <f aca="false">""</f>
        <v/>
      </c>
      <c r="F1087" s="2" t="str">
        <f aca="false">""</f>
        <v/>
      </c>
      <c r="G1087" s="2" t="str">
        <f aca="false">IF(2キー同時!$B$279="","",IF(2キー同時!AH281="","",SUBSTITUTE(SUBSTITUTE(2キー同時!AH281," ",""),"　","")))</f>
        <v/>
      </c>
      <c r="H1087" s="2" t="str">
        <f aca="false">IF($G1087="","",2キー同時!$B$279)</f>
        <v/>
      </c>
      <c r="I1087" s="2" t="str">
        <f aca="false">IF($G1087="","","8")</f>
        <v/>
      </c>
      <c r="J1087" s="2" t="str">
        <f aca="false">""</f>
        <v/>
      </c>
      <c r="K1087" s="2" t="str">
        <f aca="false">""</f>
        <v/>
      </c>
      <c r="L1087" s="2" t="str">
        <f aca="false">IF($G1087="","","同時")</f>
        <v/>
      </c>
      <c r="M1087" s="2" t="str">
        <f aca="false">IF($G1087="","",IF(ISNA(MATCH($G1087,個別指定!$A:$A,0)),"行なし",""))</f>
        <v/>
      </c>
      <c r="N1087" s="2" t="str">
        <f aca="false">IF($G1087="","",IF(COUNTIF($G$2:$G$4460,$G1087)&gt;1,"重複",""))</f>
        <v/>
      </c>
    </row>
    <row r="1088" customFormat="false" ht="16.5" hidden="false" customHeight="true" outlineLevel="0" collapsed="false">
      <c r="A1088" s="2" t="s">
        <v>385</v>
      </c>
      <c r="B1088" s="2" t="s">
        <v>407</v>
      </c>
      <c r="C1088" s="2" t="s">
        <v>8</v>
      </c>
      <c r="D1088" s="2" t="str">
        <f aca="false">IF(2キー同時!$B$279="","",2キー同時!$B$279)</f>
        <v/>
      </c>
      <c r="E1088" s="2" t="str">
        <f aca="false">""</f>
        <v/>
      </c>
      <c r="F1088" s="2" t="str">
        <f aca="false">""</f>
        <v/>
      </c>
      <c r="G1088" s="2" t="str">
        <f aca="false">IF(2キー同時!$B$279="","",IF(2キー同時!AL281="","",SUBSTITUTE(SUBSTITUTE(2キー同時!AL281," ",""),"　","")))</f>
        <v/>
      </c>
      <c r="H1088" s="2" t="str">
        <f aca="false">IF($G1088="","",2キー同時!$B$279)</f>
        <v/>
      </c>
      <c r="I1088" s="2" t="str">
        <f aca="false">IF($G1088="","","9")</f>
        <v/>
      </c>
      <c r="J1088" s="2" t="str">
        <f aca="false">""</f>
        <v/>
      </c>
      <c r="K1088" s="2" t="str">
        <f aca="false">""</f>
        <v/>
      </c>
      <c r="L1088" s="2" t="str">
        <f aca="false">IF($G1088="","","同時")</f>
        <v/>
      </c>
      <c r="M1088" s="2" t="str">
        <f aca="false">IF($G1088="","",IF(ISNA(MATCH($G1088,個別指定!$A:$A,0)),"行なし",""))</f>
        <v/>
      </c>
      <c r="N1088" s="2" t="str">
        <f aca="false">IF($G1088="","",IF(COUNTIF($G$2:$G$4460,$G1088)&gt;1,"重複",""))</f>
        <v/>
      </c>
    </row>
    <row r="1089" customFormat="false" ht="16.5" hidden="false" customHeight="true" outlineLevel="0" collapsed="false">
      <c r="A1089" s="2" t="s">
        <v>385</v>
      </c>
      <c r="B1089" s="2" t="s">
        <v>407</v>
      </c>
      <c r="C1089" s="2" t="s">
        <v>9</v>
      </c>
      <c r="D1089" s="2" t="str">
        <f aca="false">IF(2キー同時!$B$279="","",2キー同時!$B$279)</f>
        <v/>
      </c>
      <c r="E1089" s="2" t="str">
        <f aca="false">""</f>
        <v/>
      </c>
      <c r="F1089" s="2" t="str">
        <f aca="false">""</f>
        <v/>
      </c>
      <c r="G1089" s="2" t="str">
        <f aca="false">IF(2キー同時!$B$279="","",IF(2キー同時!AP281="","",SUBSTITUTE(SUBSTITUTE(2キー同時!AP281," ",""),"　","")))</f>
        <v/>
      </c>
      <c r="H1089" s="2" t="str">
        <f aca="false">IF($G1089="","",2キー同時!$B$279)</f>
        <v/>
      </c>
      <c r="I1089" s="2" t="str">
        <f aca="false">IF($G1089="","","0")</f>
        <v/>
      </c>
      <c r="J1089" s="2" t="str">
        <f aca="false">""</f>
        <v/>
      </c>
      <c r="K1089" s="2" t="str">
        <f aca="false">""</f>
        <v/>
      </c>
      <c r="L1089" s="2" t="str">
        <f aca="false">IF($G1089="","","同時")</f>
        <v/>
      </c>
      <c r="M1089" s="2" t="str">
        <f aca="false">IF($G1089="","",IF(ISNA(MATCH($G1089,個別指定!$A:$A,0)),"行なし",""))</f>
        <v/>
      </c>
      <c r="N1089" s="2" t="str">
        <f aca="false">IF($G1089="","",IF(COUNTIF($G$2:$G$4460,$G1089)&gt;1,"重複",""))</f>
        <v/>
      </c>
    </row>
    <row r="1090" customFormat="false" ht="16.5" hidden="false" customHeight="true" outlineLevel="0" collapsed="false">
      <c r="A1090" s="2" t="s">
        <v>385</v>
      </c>
      <c r="B1090" s="2" t="s">
        <v>407</v>
      </c>
      <c r="C1090" s="2" t="s">
        <v>10</v>
      </c>
      <c r="D1090" s="2" t="str">
        <f aca="false">IF(2キー同時!$B$279="","",2キー同時!$B$279)</f>
        <v/>
      </c>
      <c r="E1090" s="2" t="str">
        <f aca="false">""</f>
        <v/>
      </c>
      <c r="F1090" s="2" t="str">
        <f aca="false">""</f>
        <v/>
      </c>
      <c r="G1090" s="2" t="str">
        <f aca="false">IF(2キー同時!$B$279="","",IF(2キー同時!AT281="","",SUBSTITUTE(SUBSTITUTE(2キー同時!AT281," ",""),"　","")))</f>
        <v/>
      </c>
      <c r="H1090" s="2" t="str">
        <f aca="false">IF($G1090="","",2キー同時!$B$279)</f>
        <v/>
      </c>
      <c r="I1090" s="2" t="str">
        <f aca="false">IF($G1090="","","-")</f>
        <v/>
      </c>
      <c r="J1090" s="2" t="str">
        <f aca="false">""</f>
        <v/>
      </c>
      <c r="K1090" s="2" t="str">
        <f aca="false">""</f>
        <v/>
      </c>
      <c r="L1090" s="2" t="str">
        <f aca="false">IF($G1090="","","同時")</f>
        <v/>
      </c>
      <c r="M1090" s="2" t="str">
        <f aca="false">IF($G1090="","",IF(ISNA(MATCH($G1090,個別指定!$A:$A,0)),"行なし",""))</f>
        <v/>
      </c>
      <c r="N1090" s="2" t="str">
        <f aca="false">IF($G1090="","",IF(COUNTIF($G$2:$G$4460,$G1090)&gt;1,"重複",""))</f>
        <v/>
      </c>
    </row>
    <row r="1091" customFormat="false" ht="16.5" hidden="false" customHeight="true" outlineLevel="0" collapsed="false">
      <c r="A1091" s="2" t="s">
        <v>385</v>
      </c>
      <c r="B1091" s="2" t="s">
        <v>407</v>
      </c>
      <c r="C1091" s="2" t="s">
        <v>11</v>
      </c>
      <c r="D1091" s="2" t="str">
        <f aca="false">IF(2キー同時!$B$279="","",2キー同時!$B$279)</f>
        <v/>
      </c>
      <c r="E1091" s="2" t="str">
        <f aca="false">""</f>
        <v/>
      </c>
      <c r="F1091" s="2" t="str">
        <f aca="false">""</f>
        <v/>
      </c>
      <c r="G1091" s="2" t="str">
        <f aca="false">IF(2キー同時!$B$279="","",IF(2キー同時!AX281="","",SUBSTITUTE(SUBSTITUTE(2キー同時!AX281," ",""),"　","")))</f>
        <v/>
      </c>
      <c r="H1091" s="2" t="str">
        <f aca="false">IF($G1091="","",2キー同時!$B$279)</f>
        <v/>
      </c>
      <c r="I1091" s="2" t="str">
        <f aca="false">IF($G1091="","","=")</f>
        <v/>
      </c>
      <c r="J1091" s="2" t="str">
        <f aca="false">""</f>
        <v/>
      </c>
      <c r="K1091" s="2" t="str">
        <f aca="false">""</f>
        <v/>
      </c>
      <c r="L1091" s="2" t="str">
        <f aca="false">IF($G1091="","","同時")</f>
        <v/>
      </c>
      <c r="M1091" s="2" t="str">
        <f aca="false">IF($G1091="","",IF(ISNA(MATCH($G1091,個別指定!$A:$A,0)),"行なし",""))</f>
        <v/>
      </c>
      <c r="N1091" s="2" t="str">
        <f aca="false">IF($G1091="","",IF(COUNTIF($G$2:$G$4460,$G1091)&gt;1,"重複",""))</f>
        <v/>
      </c>
    </row>
    <row r="1092" customFormat="false" ht="16.5" hidden="false" customHeight="true" outlineLevel="0" collapsed="false">
      <c r="A1092" s="2" t="s">
        <v>385</v>
      </c>
      <c r="B1092" s="2" t="s">
        <v>407</v>
      </c>
      <c r="C1092" s="2" t="s">
        <v>12</v>
      </c>
      <c r="D1092" s="2" t="str">
        <f aca="false">IF(2キー同時!$B$279="","",2キー同時!$B$279)</f>
        <v/>
      </c>
      <c r="E1092" s="2" t="str">
        <f aca="false">""</f>
        <v/>
      </c>
      <c r="F1092" s="2" t="str">
        <f aca="false">""</f>
        <v/>
      </c>
      <c r="G1092" s="2" t="str">
        <f aca="false">IF(2キー同時!$B$279="","",IF(2キー同時!H283="","",SUBSTITUTE(SUBSTITUTE(2キー同時!H283," ",""),"　","")))</f>
        <v/>
      </c>
      <c r="H1092" s="2" t="str">
        <f aca="false">IF($G1092="","",2キー同時!$B$279)</f>
        <v/>
      </c>
      <c r="I1092" s="2" t="str">
        <f aca="false">IF($G1092="","","q")</f>
        <v/>
      </c>
      <c r="J1092" s="2" t="str">
        <f aca="false">""</f>
        <v/>
      </c>
      <c r="K1092" s="2" t="str">
        <f aca="false">""</f>
        <v/>
      </c>
      <c r="L1092" s="2" t="str">
        <f aca="false">IF($G1092="","","同時")</f>
        <v/>
      </c>
      <c r="M1092" s="2" t="str">
        <f aca="false">IF($G1092="","",IF(ISNA(MATCH($G1092,個別指定!$A:$A,0)),"行なし",""))</f>
        <v/>
      </c>
      <c r="N1092" s="2" t="str">
        <f aca="false">IF($G1092="","",IF(COUNTIF($G$2:$G$4460,$G1092)&gt;1,"重複",""))</f>
        <v/>
      </c>
    </row>
    <row r="1093" customFormat="false" ht="16.5" hidden="false" customHeight="true" outlineLevel="0" collapsed="false">
      <c r="A1093" s="2" t="s">
        <v>385</v>
      </c>
      <c r="B1093" s="2" t="s">
        <v>407</v>
      </c>
      <c r="C1093" s="2" t="s">
        <v>13</v>
      </c>
      <c r="D1093" s="2" t="str">
        <f aca="false">IF(2キー同時!$B$279="","",2キー同時!$B$279)</f>
        <v/>
      </c>
      <c r="E1093" s="2" t="str">
        <f aca="false">""</f>
        <v/>
      </c>
      <c r="F1093" s="2" t="str">
        <f aca="false">""</f>
        <v/>
      </c>
      <c r="G1093" s="2" t="str">
        <f aca="false">IF(2キー同時!$B$279="","",IF(2キー同時!L283="","",SUBSTITUTE(SUBSTITUTE(2キー同時!L283," ",""),"　","")))</f>
        <v/>
      </c>
      <c r="H1093" s="2" t="str">
        <f aca="false">IF($G1093="","",2キー同時!$B$279)</f>
        <v/>
      </c>
      <c r="I1093" s="2" t="str">
        <f aca="false">IF($G1093="","","w")</f>
        <v/>
      </c>
      <c r="J1093" s="2" t="str">
        <f aca="false">""</f>
        <v/>
      </c>
      <c r="K1093" s="2" t="str">
        <f aca="false">""</f>
        <v/>
      </c>
      <c r="L1093" s="2" t="str">
        <f aca="false">IF($G1093="","","同時")</f>
        <v/>
      </c>
      <c r="M1093" s="2" t="str">
        <f aca="false">IF($G1093="","",IF(ISNA(MATCH($G1093,個別指定!$A:$A,0)),"行なし",""))</f>
        <v/>
      </c>
      <c r="N1093" s="2" t="str">
        <f aca="false">IF($G1093="","",IF(COUNTIF($G$2:$G$4460,$G1093)&gt;1,"重複",""))</f>
        <v/>
      </c>
    </row>
    <row r="1094" customFormat="false" ht="16.5" hidden="false" customHeight="true" outlineLevel="0" collapsed="false">
      <c r="A1094" s="2" t="s">
        <v>385</v>
      </c>
      <c r="B1094" s="2" t="s">
        <v>407</v>
      </c>
      <c r="C1094" s="2" t="s">
        <v>14</v>
      </c>
      <c r="D1094" s="2" t="str">
        <f aca="false">IF(2キー同時!$B$279="","",2キー同時!$B$279)</f>
        <v/>
      </c>
      <c r="E1094" s="2" t="str">
        <f aca="false">""</f>
        <v/>
      </c>
      <c r="F1094" s="2" t="str">
        <f aca="false">""</f>
        <v/>
      </c>
      <c r="G1094" s="2" t="str">
        <f aca="false">IF(2キー同時!$B$279="","",IF(2キー同時!P283="","",SUBSTITUTE(SUBSTITUTE(2キー同時!P283," ",""),"　","")))</f>
        <v/>
      </c>
      <c r="H1094" s="2" t="str">
        <f aca="false">IF($G1094="","",2キー同時!$B$279)</f>
        <v/>
      </c>
      <c r="I1094" s="2" t="str">
        <f aca="false">IF($G1094="","","e")</f>
        <v/>
      </c>
      <c r="J1094" s="2" t="str">
        <f aca="false">""</f>
        <v/>
      </c>
      <c r="K1094" s="2" t="str">
        <f aca="false">""</f>
        <v/>
      </c>
      <c r="L1094" s="2" t="str">
        <f aca="false">IF($G1094="","","同時")</f>
        <v/>
      </c>
      <c r="M1094" s="2" t="str">
        <f aca="false">IF($G1094="","",IF(ISNA(MATCH($G1094,個別指定!$A:$A,0)),"行なし",""))</f>
        <v/>
      </c>
      <c r="N1094" s="2" t="str">
        <f aca="false">IF($G1094="","",IF(COUNTIF($G$2:$G$4460,$G1094)&gt;1,"重複",""))</f>
        <v/>
      </c>
    </row>
    <row r="1095" customFormat="false" ht="16.5" hidden="false" customHeight="true" outlineLevel="0" collapsed="false">
      <c r="A1095" s="2" t="s">
        <v>385</v>
      </c>
      <c r="B1095" s="2" t="s">
        <v>407</v>
      </c>
      <c r="C1095" s="2" t="s">
        <v>15</v>
      </c>
      <c r="D1095" s="2" t="str">
        <f aca="false">IF(2キー同時!$B$279="","",2キー同時!$B$279)</f>
        <v/>
      </c>
      <c r="E1095" s="2" t="str">
        <f aca="false">""</f>
        <v/>
      </c>
      <c r="F1095" s="2" t="str">
        <f aca="false">""</f>
        <v/>
      </c>
      <c r="G1095" s="2" t="str">
        <f aca="false">IF(2キー同時!$B$279="","",IF(2キー同時!T283="","",SUBSTITUTE(SUBSTITUTE(2キー同時!T283," ",""),"　","")))</f>
        <v/>
      </c>
      <c r="H1095" s="2" t="str">
        <f aca="false">IF($G1095="","",2キー同時!$B$279)</f>
        <v/>
      </c>
      <c r="I1095" s="2" t="str">
        <f aca="false">IF($G1095="","","r")</f>
        <v/>
      </c>
      <c r="J1095" s="2" t="str">
        <f aca="false">""</f>
        <v/>
      </c>
      <c r="K1095" s="2" t="str">
        <f aca="false">""</f>
        <v/>
      </c>
      <c r="L1095" s="2" t="str">
        <f aca="false">IF($G1095="","","同時")</f>
        <v/>
      </c>
      <c r="M1095" s="2" t="str">
        <f aca="false">IF($G1095="","",IF(ISNA(MATCH($G1095,個別指定!$A:$A,0)),"行なし",""))</f>
        <v/>
      </c>
      <c r="N1095" s="2" t="str">
        <f aca="false">IF($G1095="","",IF(COUNTIF($G$2:$G$4460,$G1095)&gt;1,"重複",""))</f>
        <v/>
      </c>
    </row>
    <row r="1096" customFormat="false" ht="16.5" hidden="false" customHeight="true" outlineLevel="0" collapsed="false">
      <c r="A1096" s="2" t="s">
        <v>385</v>
      </c>
      <c r="B1096" s="2" t="s">
        <v>407</v>
      </c>
      <c r="C1096" s="2" t="s">
        <v>16</v>
      </c>
      <c r="D1096" s="2" t="str">
        <f aca="false">IF(2キー同時!$B$279="","",2キー同時!$B$279)</f>
        <v/>
      </c>
      <c r="E1096" s="2" t="str">
        <f aca="false">""</f>
        <v/>
      </c>
      <c r="F1096" s="2" t="str">
        <f aca="false">""</f>
        <v/>
      </c>
      <c r="G1096" s="2" t="str">
        <f aca="false">IF(2キー同時!$B$279="","",IF(2キー同時!X283="","",SUBSTITUTE(SUBSTITUTE(2キー同時!X283," ",""),"　","")))</f>
        <v/>
      </c>
      <c r="H1096" s="2" t="str">
        <f aca="false">IF($G1096="","",2キー同時!$B$279)</f>
        <v/>
      </c>
      <c r="I1096" s="2" t="str">
        <f aca="false">IF($G1096="","","t")</f>
        <v/>
      </c>
      <c r="J1096" s="2" t="str">
        <f aca="false">""</f>
        <v/>
      </c>
      <c r="K1096" s="2" t="str">
        <f aca="false">""</f>
        <v/>
      </c>
      <c r="L1096" s="2" t="str">
        <f aca="false">IF($G1096="","","同時")</f>
        <v/>
      </c>
      <c r="M1096" s="2" t="str">
        <f aca="false">IF($G1096="","",IF(ISNA(MATCH($G1096,個別指定!$A:$A,0)),"行なし",""))</f>
        <v/>
      </c>
      <c r="N1096" s="2" t="str">
        <f aca="false">IF($G1096="","",IF(COUNTIF($G$2:$G$4460,$G1096)&gt;1,"重複",""))</f>
        <v/>
      </c>
    </row>
    <row r="1097" customFormat="false" ht="16.5" hidden="false" customHeight="true" outlineLevel="0" collapsed="false">
      <c r="A1097" s="2" t="s">
        <v>385</v>
      </c>
      <c r="B1097" s="2" t="s">
        <v>407</v>
      </c>
      <c r="C1097" s="2" t="s">
        <v>17</v>
      </c>
      <c r="D1097" s="2" t="str">
        <f aca="false">IF(2キー同時!$B$279="","",2キー同時!$B$279)</f>
        <v/>
      </c>
      <c r="E1097" s="2" t="str">
        <f aca="false">""</f>
        <v/>
      </c>
      <c r="F1097" s="2" t="str">
        <f aca="false">""</f>
        <v/>
      </c>
      <c r="G1097" s="2" t="str">
        <f aca="false">IF(2キー同時!$B$279="","",IF(2キー同時!AB283="","",SUBSTITUTE(SUBSTITUTE(2キー同時!AB283," ",""),"　","")))</f>
        <v/>
      </c>
      <c r="H1097" s="2" t="str">
        <f aca="false">IF($G1097="","",2キー同時!$B$279)</f>
        <v/>
      </c>
      <c r="I1097" s="2" t="str">
        <f aca="false">IF($G1097="","","y")</f>
        <v/>
      </c>
      <c r="J1097" s="2" t="str">
        <f aca="false">""</f>
        <v/>
      </c>
      <c r="K1097" s="2" t="str">
        <f aca="false">""</f>
        <v/>
      </c>
      <c r="L1097" s="2" t="str">
        <f aca="false">IF($G1097="","","同時")</f>
        <v/>
      </c>
      <c r="M1097" s="2" t="str">
        <f aca="false">IF($G1097="","",IF(ISNA(MATCH($G1097,個別指定!$A:$A,0)),"行なし",""))</f>
        <v/>
      </c>
      <c r="N1097" s="2" t="str">
        <f aca="false">IF($G1097="","",IF(COUNTIF($G$2:$G$4460,$G1097)&gt;1,"重複",""))</f>
        <v/>
      </c>
    </row>
    <row r="1098" customFormat="false" ht="16.5" hidden="false" customHeight="true" outlineLevel="0" collapsed="false">
      <c r="A1098" s="2" t="s">
        <v>385</v>
      </c>
      <c r="B1098" s="2" t="s">
        <v>407</v>
      </c>
      <c r="C1098" s="2" t="s">
        <v>18</v>
      </c>
      <c r="D1098" s="2" t="str">
        <f aca="false">IF(2キー同時!$B$279="","",2キー同時!$B$279)</f>
        <v/>
      </c>
      <c r="E1098" s="2" t="str">
        <f aca="false">""</f>
        <v/>
      </c>
      <c r="F1098" s="2" t="str">
        <f aca="false">""</f>
        <v/>
      </c>
      <c r="G1098" s="2" t="str">
        <f aca="false">IF(2キー同時!$B$279="","",IF(2キー同時!AF283="","",SUBSTITUTE(SUBSTITUTE(2キー同時!AF283," ",""),"　","")))</f>
        <v/>
      </c>
      <c r="H1098" s="2" t="str">
        <f aca="false">IF($G1098="","",2キー同時!$B$279)</f>
        <v/>
      </c>
      <c r="I1098" s="2" t="str">
        <f aca="false">IF($G1098="","","u")</f>
        <v/>
      </c>
      <c r="J1098" s="2" t="str">
        <f aca="false">""</f>
        <v/>
      </c>
      <c r="K1098" s="2" t="str">
        <f aca="false">""</f>
        <v/>
      </c>
      <c r="L1098" s="2" t="str">
        <f aca="false">IF($G1098="","","同時")</f>
        <v/>
      </c>
      <c r="M1098" s="2" t="str">
        <f aca="false">IF($G1098="","",IF(ISNA(MATCH($G1098,個別指定!$A:$A,0)),"行なし",""))</f>
        <v/>
      </c>
      <c r="N1098" s="2" t="str">
        <f aca="false">IF($G1098="","",IF(COUNTIF($G$2:$G$4460,$G1098)&gt;1,"重複",""))</f>
        <v/>
      </c>
    </row>
    <row r="1099" customFormat="false" ht="16.5" hidden="false" customHeight="true" outlineLevel="0" collapsed="false">
      <c r="A1099" s="2" t="s">
        <v>385</v>
      </c>
      <c r="B1099" s="2" t="s">
        <v>407</v>
      </c>
      <c r="C1099" s="2" t="s">
        <v>19</v>
      </c>
      <c r="D1099" s="2" t="str">
        <f aca="false">IF(2キー同時!$B$279="","",2キー同時!$B$279)</f>
        <v/>
      </c>
      <c r="E1099" s="2" t="str">
        <f aca="false">""</f>
        <v/>
      </c>
      <c r="F1099" s="2" t="str">
        <f aca="false">""</f>
        <v/>
      </c>
      <c r="G1099" s="2" t="str">
        <f aca="false">IF(2キー同時!$B$279="","",IF(2キー同時!AJ283="","",SUBSTITUTE(SUBSTITUTE(2キー同時!AJ283," ",""),"　","")))</f>
        <v/>
      </c>
      <c r="H1099" s="2" t="str">
        <f aca="false">IF($G1099="","",2キー同時!$B$279)</f>
        <v/>
      </c>
      <c r="I1099" s="2" t="str">
        <f aca="false">IF($G1099="","","i")</f>
        <v/>
      </c>
      <c r="J1099" s="2" t="str">
        <f aca="false">""</f>
        <v/>
      </c>
      <c r="K1099" s="2" t="str">
        <f aca="false">""</f>
        <v/>
      </c>
      <c r="L1099" s="2" t="str">
        <f aca="false">IF($G1099="","","同時")</f>
        <v/>
      </c>
      <c r="M1099" s="2" t="str">
        <f aca="false">IF($G1099="","",IF(ISNA(MATCH($G1099,個別指定!$A:$A,0)),"行なし",""))</f>
        <v/>
      </c>
      <c r="N1099" s="2" t="str">
        <f aca="false">IF($G1099="","",IF(COUNTIF($G$2:$G$4460,$G1099)&gt;1,"重複",""))</f>
        <v/>
      </c>
    </row>
    <row r="1100" customFormat="false" ht="16.5" hidden="false" customHeight="true" outlineLevel="0" collapsed="false">
      <c r="A1100" s="2" t="s">
        <v>385</v>
      </c>
      <c r="B1100" s="2" t="s">
        <v>407</v>
      </c>
      <c r="C1100" s="2" t="s">
        <v>20</v>
      </c>
      <c r="D1100" s="2" t="str">
        <f aca="false">IF(2キー同時!$B$279="","",2キー同時!$B$279)</f>
        <v/>
      </c>
      <c r="E1100" s="2" t="str">
        <f aca="false">""</f>
        <v/>
      </c>
      <c r="F1100" s="2" t="str">
        <f aca="false">""</f>
        <v/>
      </c>
      <c r="G1100" s="2" t="str">
        <f aca="false">IF(2キー同時!$B$279="","",IF(2キー同時!AN283="","",SUBSTITUTE(SUBSTITUTE(2キー同時!AN283," ",""),"　","")))</f>
        <v/>
      </c>
      <c r="H1100" s="2" t="str">
        <f aca="false">IF($G1100="","",2キー同時!$B$279)</f>
        <v/>
      </c>
      <c r="I1100" s="2" t="str">
        <f aca="false">IF($G1100="","","o")</f>
        <v/>
      </c>
      <c r="J1100" s="2" t="str">
        <f aca="false">""</f>
        <v/>
      </c>
      <c r="K1100" s="2" t="str">
        <f aca="false">""</f>
        <v/>
      </c>
      <c r="L1100" s="2" t="str">
        <f aca="false">IF($G1100="","","同時")</f>
        <v/>
      </c>
      <c r="M1100" s="2" t="str">
        <f aca="false">IF($G1100="","",IF(ISNA(MATCH($G1100,個別指定!$A:$A,0)),"行なし",""))</f>
        <v/>
      </c>
      <c r="N1100" s="2" t="str">
        <f aca="false">IF($G1100="","",IF(COUNTIF($G$2:$G$4460,$G1100)&gt;1,"重複",""))</f>
        <v/>
      </c>
    </row>
    <row r="1101" customFormat="false" ht="16.5" hidden="false" customHeight="true" outlineLevel="0" collapsed="false">
      <c r="A1101" s="2" t="s">
        <v>385</v>
      </c>
      <c r="B1101" s="2" t="s">
        <v>407</v>
      </c>
      <c r="C1101" s="2" t="s">
        <v>21</v>
      </c>
      <c r="D1101" s="2" t="str">
        <f aca="false">IF(2キー同時!$B$279="","",2キー同時!$B$279)</f>
        <v/>
      </c>
      <c r="E1101" s="2" t="str">
        <f aca="false">""</f>
        <v/>
      </c>
      <c r="F1101" s="2" t="str">
        <f aca="false">""</f>
        <v/>
      </c>
      <c r="G1101" s="2" t="str">
        <f aca="false">IF(2キー同時!$B$279="","",IF(2キー同時!AR283="","",SUBSTITUTE(SUBSTITUTE(2キー同時!AR283," ",""),"　","")))</f>
        <v/>
      </c>
      <c r="H1101" s="2" t="str">
        <f aca="false">IF($G1101="","",2キー同時!$B$279)</f>
        <v/>
      </c>
      <c r="I1101" s="2" t="str">
        <f aca="false">IF($G1101="","","p")</f>
        <v/>
      </c>
      <c r="J1101" s="2" t="str">
        <f aca="false">""</f>
        <v/>
      </c>
      <c r="K1101" s="2" t="str">
        <f aca="false">""</f>
        <v/>
      </c>
      <c r="L1101" s="2" t="str">
        <f aca="false">IF($G1101="","","同時")</f>
        <v/>
      </c>
      <c r="M1101" s="2" t="str">
        <f aca="false">IF($G1101="","",IF(ISNA(MATCH($G1101,個別指定!$A:$A,0)),"行なし",""))</f>
        <v/>
      </c>
      <c r="N1101" s="2" t="str">
        <f aca="false">IF($G1101="","",IF(COUNTIF($G$2:$G$4460,$G1101)&gt;1,"重複",""))</f>
        <v/>
      </c>
    </row>
    <row r="1102" customFormat="false" ht="16.5" hidden="false" customHeight="true" outlineLevel="0" collapsed="false">
      <c r="A1102" s="2" t="s">
        <v>385</v>
      </c>
      <c r="B1102" s="2" t="s">
        <v>407</v>
      </c>
      <c r="C1102" s="2" t="s">
        <v>22</v>
      </c>
      <c r="D1102" s="2" t="str">
        <f aca="false">IF(2キー同時!$B$279="","",2キー同時!$B$279)</f>
        <v/>
      </c>
      <c r="E1102" s="2" t="str">
        <f aca="false">""</f>
        <v/>
      </c>
      <c r="F1102" s="2" t="str">
        <f aca="false">""</f>
        <v/>
      </c>
      <c r="G1102" s="2" t="str">
        <f aca="false">IF(2キー同時!$B$279="","",IF(2キー同時!AV283="","",SUBSTITUTE(SUBSTITUTE(2キー同時!AV283," ",""),"　","")))</f>
        <v/>
      </c>
      <c r="H1102" s="2" t="str">
        <f aca="false">IF($G1102="","",2キー同時!$B$279)</f>
        <v/>
      </c>
      <c r="I1102" s="2" t="str">
        <f aca="false">IF($G1102="","","[")</f>
        <v/>
      </c>
      <c r="J1102" s="2" t="str">
        <f aca="false">""</f>
        <v/>
      </c>
      <c r="K1102" s="2" t="str">
        <f aca="false">""</f>
        <v/>
      </c>
      <c r="L1102" s="2" t="str">
        <f aca="false">IF($G1102="","","同時")</f>
        <v/>
      </c>
      <c r="M1102" s="2" t="str">
        <f aca="false">IF($G1102="","",IF(ISNA(MATCH($G1102,個別指定!$A:$A,0)),"行なし",""))</f>
        <v/>
      </c>
      <c r="N1102" s="2" t="str">
        <f aca="false">IF($G1102="","",IF(COUNTIF($G$2:$G$4460,$G1102)&gt;1,"重複",""))</f>
        <v/>
      </c>
    </row>
    <row r="1103" customFormat="false" ht="16.5" hidden="false" customHeight="true" outlineLevel="0" collapsed="false">
      <c r="A1103" s="2" t="s">
        <v>385</v>
      </c>
      <c r="B1103" s="2" t="s">
        <v>407</v>
      </c>
      <c r="C1103" s="2" t="s">
        <v>23</v>
      </c>
      <c r="D1103" s="2" t="str">
        <f aca="false">IF(2キー同時!$B$279="","",2キー同時!$B$279)</f>
        <v/>
      </c>
      <c r="E1103" s="2" t="str">
        <f aca="false">""</f>
        <v/>
      </c>
      <c r="F1103" s="2" t="str">
        <f aca="false">""</f>
        <v/>
      </c>
      <c r="G1103" s="2" t="str">
        <f aca="false">IF(2キー同時!$B$279="","",IF(2キー同時!AZ283="","",SUBSTITUTE(SUBSTITUTE(2キー同時!AZ283," ",""),"　","")))</f>
        <v/>
      </c>
      <c r="H1103" s="2" t="str">
        <f aca="false">IF($G1103="","",2キー同時!$B$279)</f>
        <v/>
      </c>
      <c r="I1103" s="2" t="str">
        <f aca="false">IF($G1103="","","]")</f>
        <v/>
      </c>
      <c r="J1103" s="2" t="str">
        <f aca="false">""</f>
        <v/>
      </c>
      <c r="K1103" s="2" t="str">
        <f aca="false">""</f>
        <v/>
      </c>
      <c r="L1103" s="2" t="str">
        <f aca="false">IF($G1103="","","同時")</f>
        <v/>
      </c>
      <c r="M1103" s="2" t="str">
        <f aca="false">IF($G1103="","",IF(ISNA(MATCH($G1103,個別指定!$A:$A,0)),"行なし",""))</f>
        <v/>
      </c>
      <c r="N1103" s="2" t="str">
        <f aca="false">IF($G1103="","",IF(COUNTIF($G$2:$G$4460,$G1103)&gt;1,"重複",""))</f>
        <v/>
      </c>
    </row>
    <row r="1104" customFormat="false" ht="16.5" hidden="false" customHeight="true" outlineLevel="0" collapsed="false">
      <c r="A1104" s="2" t="s">
        <v>385</v>
      </c>
      <c r="B1104" s="2" t="s">
        <v>407</v>
      </c>
      <c r="C1104" s="2" t="s">
        <v>24</v>
      </c>
      <c r="D1104" s="2" t="str">
        <f aca="false">IF(2キー同時!$B$279="","",2キー同時!$B$279)</f>
        <v/>
      </c>
      <c r="E1104" s="2" t="str">
        <f aca="false">""</f>
        <v/>
      </c>
      <c r="F1104" s="2" t="str">
        <f aca="false">""</f>
        <v/>
      </c>
      <c r="G1104" s="2" t="str">
        <f aca="false">IF(2キー同時!$B$279="","",IF(2キー同時!I285="","",SUBSTITUTE(SUBSTITUTE(2キー同時!I285," ",""),"　","")))</f>
        <v/>
      </c>
      <c r="H1104" s="2" t="str">
        <f aca="false">IF($G1104="","",2キー同時!$B$279)</f>
        <v/>
      </c>
      <c r="I1104" s="2" t="str">
        <f aca="false">IF($G1104="","","a")</f>
        <v/>
      </c>
      <c r="J1104" s="2" t="str">
        <f aca="false">""</f>
        <v/>
      </c>
      <c r="K1104" s="2" t="str">
        <f aca="false">""</f>
        <v/>
      </c>
      <c r="L1104" s="2" t="str">
        <f aca="false">IF($G1104="","","同時")</f>
        <v/>
      </c>
      <c r="M1104" s="2" t="str">
        <f aca="false">IF($G1104="","",IF(ISNA(MATCH($G1104,個別指定!$A:$A,0)),"行なし",""))</f>
        <v/>
      </c>
      <c r="N1104" s="2" t="str">
        <f aca="false">IF($G1104="","",IF(COUNTIF($G$2:$G$4460,$G1104)&gt;1,"重複",""))</f>
        <v/>
      </c>
    </row>
    <row r="1105" customFormat="false" ht="16.5" hidden="false" customHeight="true" outlineLevel="0" collapsed="false">
      <c r="A1105" s="2" t="s">
        <v>385</v>
      </c>
      <c r="B1105" s="2" t="s">
        <v>407</v>
      </c>
      <c r="C1105" s="2" t="s">
        <v>25</v>
      </c>
      <c r="D1105" s="2" t="str">
        <f aca="false">IF(2キー同時!$B$279="","",2キー同時!$B$279)</f>
        <v/>
      </c>
      <c r="E1105" s="2" t="str">
        <f aca="false">""</f>
        <v/>
      </c>
      <c r="F1105" s="2" t="str">
        <f aca="false">""</f>
        <v/>
      </c>
      <c r="G1105" s="2" t="str">
        <f aca="false">IF(2キー同時!$B$279="","",IF(2キー同時!M285="","",SUBSTITUTE(SUBSTITUTE(2キー同時!M285," ",""),"　","")))</f>
        <v/>
      </c>
      <c r="H1105" s="2" t="str">
        <f aca="false">IF($G1105="","",2キー同時!$B$279)</f>
        <v/>
      </c>
      <c r="I1105" s="2" t="str">
        <f aca="false">IF($G1105="","","s")</f>
        <v/>
      </c>
      <c r="J1105" s="2" t="str">
        <f aca="false">""</f>
        <v/>
      </c>
      <c r="K1105" s="2" t="str">
        <f aca="false">""</f>
        <v/>
      </c>
      <c r="L1105" s="2" t="str">
        <f aca="false">IF($G1105="","","同時")</f>
        <v/>
      </c>
      <c r="M1105" s="2" t="str">
        <f aca="false">IF($G1105="","",IF(ISNA(MATCH($G1105,個別指定!$A:$A,0)),"行なし",""))</f>
        <v/>
      </c>
      <c r="N1105" s="2" t="str">
        <f aca="false">IF($G1105="","",IF(COUNTIF($G$2:$G$4460,$G1105)&gt;1,"重複",""))</f>
        <v/>
      </c>
    </row>
    <row r="1106" customFormat="false" ht="16.5" hidden="false" customHeight="true" outlineLevel="0" collapsed="false">
      <c r="A1106" s="2" t="s">
        <v>385</v>
      </c>
      <c r="B1106" s="2" t="s">
        <v>407</v>
      </c>
      <c r="C1106" s="2" t="s">
        <v>26</v>
      </c>
      <c r="D1106" s="2" t="str">
        <f aca="false">IF(2キー同時!$B$279="","",2キー同時!$B$279)</f>
        <v/>
      </c>
      <c r="E1106" s="2" t="str">
        <f aca="false">""</f>
        <v/>
      </c>
      <c r="F1106" s="2" t="str">
        <f aca="false">""</f>
        <v/>
      </c>
      <c r="G1106" s="2" t="str">
        <f aca="false">IF(2キー同時!$B$279="","",IF(2キー同時!Q285="","",SUBSTITUTE(SUBSTITUTE(2キー同時!Q285," ",""),"　","")))</f>
        <v/>
      </c>
      <c r="H1106" s="2" t="str">
        <f aca="false">IF($G1106="","",2キー同時!$B$279)</f>
        <v/>
      </c>
      <c r="I1106" s="2" t="str">
        <f aca="false">IF($G1106="","","d")</f>
        <v/>
      </c>
      <c r="J1106" s="2" t="str">
        <f aca="false">""</f>
        <v/>
      </c>
      <c r="K1106" s="2" t="str">
        <f aca="false">""</f>
        <v/>
      </c>
      <c r="L1106" s="2" t="str">
        <f aca="false">IF($G1106="","","同時")</f>
        <v/>
      </c>
      <c r="M1106" s="2" t="str">
        <f aca="false">IF($G1106="","",IF(ISNA(MATCH($G1106,個別指定!$A:$A,0)),"行なし",""))</f>
        <v/>
      </c>
      <c r="N1106" s="2" t="str">
        <f aca="false">IF($G1106="","",IF(COUNTIF($G$2:$G$4460,$G1106)&gt;1,"重複",""))</f>
        <v/>
      </c>
    </row>
    <row r="1107" customFormat="false" ht="16.5" hidden="false" customHeight="true" outlineLevel="0" collapsed="false">
      <c r="A1107" s="2" t="s">
        <v>385</v>
      </c>
      <c r="B1107" s="2" t="s">
        <v>407</v>
      </c>
      <c r="C1107" s="2" t="s">
        <v>27</v>
      </c>
      <c r="D1107" s="2" t="str">
        <f aca="false">IF(2キー同時!$B$279="","",2キー同時!$B$279)</f>
        <v/>
      </c>
      <c r="E1107" s="2" t="str">
        <f aca="false">""</f>
        <v/>
      </c>
      <c r="F1107" s="2" t="str">
        <f aca="false">""</f>
        <v/>
      </c>
      <c r="G1107" s="2" t="str">
        <f aca="false">IF(2キー同時!$B$279="","",IF(2キー同時!U285="","",SUBSTITUTE(SUBSTITUTE(2キー同時!U285," ",""),"　","")))</f>
        <v/>
      </c>
      <c r="H1107" s="2" t="str">
        <f aca="false">IF($G1107="","",2キー同時!$B$279)</f>
        <v/>
      </c>
      <c r="I1107" s="2" t="str">
        <f aca="false">IF($G1107="","","f")</f>
        <v/>
      </c>
      <c r="J1107" s="2" t="str">
        <f aca="false">""</f>
        <v/>
      </c>
      <c r="K1107" s="2" t="str">
        <f aca="false">""</f>
        <v/>
      </c>
      <c r="L1107" s="2" t="str">
        <f aca="false">IF($G1107="","","同時")</f>
        <v/>
      </c>
      <c r="M1107" s="2" t="str">
        <f aca="false">IF($G1107="","",IF(ISNA(MATCH($G1107,個別指定!$A:$A,0)),"行なし",""))</f>
        <v/>
      </c>
      <c r="N1107" s="2" t="str">
        <f aca="false">IF($G1107="","",IF(COUNTIF($G$2:$G$4460,$G1107)&gt;1,"重複",""))</f>
        <v/>
      </c>
    </row>
    <row r="1108" customFormat="false" ht="16.5" hidden="false" customHeight="true" outlineLevel="0" collapsed="false">
      <c r="A1108" s="2" t="s">
        <v>385</v>
      </c>
      <c r="B1108" s="2" t="s">
        <v>407</v>
      </c>
      <c r="C1108" s="2" t="s">
        <v>28</v>
      </c>
      <c r="D1108" s="2" t="str">
        <f aca="false">IF(2キー同時!$B$279="","",2キー同時!$B$279)</f>
        <v/>
      </c>
      <c r="E1108" s="2" t="str">
        <f aca="false">""</f>
        <v/>
      </c>
      <c r="F1108" s="2" t="str">
        <f aca="false">""</f>
        <v/>
      </c>
      <c r="G1108" s="2" t="str">
        <f aca="false">IF(2キー同時!$B$279="","",IF(2キー同時!Y285="","",SUBSTITUTE(SUBSTITUTE(2キー同時!Y285," ",""),"　","")))</f>
        <v/>
      </c>
      <c r="H1108" s="2" t="str">
        <f aca="false">IF($G1108="","",2キー同時!$B$279)</f>
        <v/>
      </c>
      <c r="I1108" s="2" t="str">
        <f aca="false">IF($G1108="","","g")</f>
        <v/>
      </c>
      <c r="J1108" s="2" t="str">
        <f aca="false">""</f>
        <v/>
      </c>
      <c r="K1108" s="2" t="str">
        <f aca="false">""</f>
        <v/>
      </c>
      <c r="L1108" s="2" t="str">
        <f aca="false">IF($G1108="","","同時")</f>
        <v/>
      </c>
      <c r="M1108" s="2" t="str">
        <f aca="false">IF($G1108="","",IF(ISNA(MATCH($G1108,個別指定!$A:$A,0)),"行なし",""))</f>
        <v/>
      </c>
      <c r="N1108" s="2" t="str">
        <f aca="false">IF($G1108="","",IF(COUNTIF($G$2:$G$4460,$G1108)&gt;1,"重複",""))</f>
        <v/>
      </c>
    </row>
    <row r="1109" customFormat="false" ht="16.5" hidden="false" customHeight="true" outlineLevel="0" collapsed="false">
      <c r="A1109" s="2" t="s">
        <v>385</v>
      </c>
      <c r="B1109" s="2" t="s">
        <v>407</v>
      </c>
      <c r="C1109" s="2" t="s">
        <v>29</v>
      </c>
      <c r="D1109" s="2" t="str">
        <f aca="false">IF(2キー同時!$B$279="","",2キー同時!$B$279)</f>
        <v/>
      </c>
      <c r="E1109" s="2" t="str">
        <f aca="false">""</f>
        <v/>
      </c>
      <c r="F1109" s="2" t="str">
        <f aca="false">""</f>
        <v/>
      </c>
      <c r="G1109" s="2" t="str">
        <f aca="false">IF(2キー同時!$B$279="","",IF(2キー同時!AC285="","",SUBSTITUTE(SUBSTITUTE(2キー同時!AC285," ",""),"　","")))</f>
        <v/>
      </c>
      <c r="H1109" s="2" t="str">
        <f aca="false">IF($G1109="","",2キー同時!$B$279)</f>
        <v/>
      </c>
      <c r="I1109" s="2" t="str">
        <f aca="false">IF($G1109="","","h")</f>
        <v/>
      </c>
      <c r="J1109" s="2" t="str">
        <f aca="false">""</f>
        <v/>
      </c>
      <c r="K1109" s="2" t="str">
        <f aca="false">""</f>
        <v/>
      </c>
      <c r="L1109" s="2" t="str">
        <f aca="false">IF($G1109="","","同時")</f>
        <v/>
      </c>
      <c r="M1109" s="2" t="str">
        <f aca="false">IF($G1109="","",IF(ISNA(MATCH($G1109,個別指定!$A:$A,0)),"行なし",""))</f>
        <v/>
      </c>
      <c r="N1109" s="2" t="str">
        <f aca="false">IF($G1109="","",IF(COUNTIF($G$2:$G$4460,$G1109)&gt;1,"重複",""))</f>
        <v/>
      </c>
    </row>
    <row r="1110" customFormat="false" ht="16.5" hidden="false" customHeight="true" outlineLevel="0" collapsed="false">
      <c r="A1110" s="2" t="s">
        <v>385</v>
      </c>
      <c r="B1110" s="2" t="s">
        <v>407</v>
      </c>
      <c r="C1110" s="2" t="s">
        <v>30</v>
      </c>
      <c r="D1110" s="2" t="str">
        <f aca="false">IF(2キー同時!$B$279="","",2キー同時!$B$279)</f>
        <v/>
      </c>
      <c r="E1110" s="2" t="str">
        <f aca="false">""</f>
        <v/>
      </c>
      <c r="F1110" s="2" t="str">
        <f aca="false">""</f>
        <v/>
      </c>
      <c r="G1110" s="2" t="str">
        <f aca="false">IF(2キー同時!$B$279="","",IF(2キー同時!AG285="","",SUBSTITUTE(SUBSTITUTE(2キー同時!AG285," ",""),"　","")))</f>
        <v/>
      </c>
      <c r="H1110" s="2" t="str">
        <f aca="false">IF($G1110="","",2キー同時!$B$279)</f>
        <v/>
      </c>
      <c r="I1110" s="2" t="str">
        <f aca="false">IF($G1110="","","j")</f>
        <v/>
      </c>
      <c r="J1110" s="2" t="str">
        <f aca="false">""</f>
        <v/>
      </c>
      <c r="K1110" s="2" t="str">
        <f aca="false">""</f>
        <v/>
      </c>
      <c r="L1110" s="2" t="str">
        <f aca="false">IF($G1110="","","同時")</f>
        <v/>
      </c>
      <c r="M1110" s="2" t="str">
        <f aca="false">IF($G1110="","",IF(ISNA(MATCH($G1110,個別指定!$A:$A,0)),"行なし",""))</f>
        <v/>
      </c>
      <c r="N1110" s="2" t="str">
        <f aca="false">IF($G1110="","",IF(COUNTIF($G$2:$G$4460,$G1110)&gt;1,"重複",""))</f>
        <v/>
      </c>
    </row>
    <row r="1111" customFormat="false" ht="16.5" hidden="false" customHeight="true" outlineLevel="0" collapsed="false">
      <c r="A1111" s="2" t="s">
        <v>385</v>
      </c>
      <c r="B1111" s="2" t="s">
        <v>407</v>
      </c>
      <c r="C1111" s="2" t="s">
        <v>31</v>
      </c>
      <c r="D1111" s="2" t="str">
        <f aca="false">IF(2キー同時!$B$279="","",2キー同時!$B$279)</f>
        <v/>
      </c>
      <c r="E1111" s="2" t="str">
        <f aca="false">""</f>
        <v/>
      </c>
      <c r="F1111" s="2" t="str">
        <f aca="false">""</f>
        <v/>
      </c>
      <c r="G1111" s="2" t="str">
        <f aca="false">IF(2キー同時!$B$279="","",IF(2キー同時!AK285="","",SUBSTITUTE(SUBSTITUTE(2キー同時!AK285," ",""),"　","")))</f>
        <v/>
      </c>
      <c r="H1111" s="2" t="str">
        <f aca="false">IF($G1111="","",2キー同時!$B$279)</f>
        <v/>
      </c>
      <c r="I1111" s="2" t="str">
        <f aca="false">IF($G1111="","","k")</f>
        <v/>
      </c>
      <c r="J1111" s="2" t="str">
        <f aca="false">""</f>
        <v/>
      </c>
      <c r="K1111" s="2" t="str">
        <f aca="false">""</f>
        <v/>
      </c>
      <c r="L1111" s="2" t="str">
        <f aca="false">IF($G1111="","","同時")</f>
        <v/>
      </c>
      <c r="M1111" s="2" t="str">
        <f aca="false">IF($G1111="","",IF(ISNA(MATCH($G1111,個別指定!$A:$A,0)),"行なし",""))</f>
        <v/>
      </c>
      <c r="N1111" s="2" t="str">
        <f aca="false">IF($G1111="","",IF(COUNTIF($G$2:$G$4460,$G1111)&gt;1,"重複",""))</f>
        <v/>
      </c>
    </row>
    <row r="1112" customFormat="false" ht="16.5" hidden="false" customHeight="true" outlineLevel="0" collapsed="false">
      <c r="A1112" s="2" t="s">
        <v>385</v>
      </c>
      <c r="B1112" s="2" t="s">
        <v>407</v>
      </c>
      <c r="C1112" s="2" t="s">
        <v>32</v>
      </c>
      <c r="D1112" s="2" t="str">
        <f aca="false">IF(2キー同時!$B$279="","",2キー同時!$B$279)</f>
        <v/>
      </c>
      <c r="E1112" s="2" t="str">
        <f aca="false">""</f>
        <v/>
      </c>
      <c r="F1112" s="2" t="str">
        <f aca="false">""</f>
        <v/>
      </c>
      <c r="G1112" s="2" t="str">
        <f aca="false">IF(2キー同時!$B$279="","",IF(2キー同時!AO285="","",SUBSTITUTE(SUBSTITUTE(2キー同時!AO285," ",""),"　","")))</f>
        <v/>
      </c>
      <c r="H1112" s="2" t="str">
        <f aca="false">IF($G1112="","",2キー同時!$B$279)</f>
        <v/>
      </c>
      <c r="I1112" s="2" t="str">
        <f aca="false">IF($G1112="","","l")</f>
        <v/>
      </c>
      <c r="J1112" s="2" t="str">
        <f aca="false">""</f>
        <v/>
      </c>
      <c r="K1112" s="2" t="str">
        <f aca="false">""</f>
        <v/>
      </c>
      <c r="L1112" s="2" t="str">
        <f aca="false">IF($G1112="","","同時")</f>
        <v/>
      </c>
      <c r="M1112" s="2" t="str">
        <f aca="false">IF($G1112="","",IF(ISNA(MATCH($G1112,個別指定!$A:$A,0)),"行なし",""))</f>
        <v/>
      </c>
      <c r="N1112" s="2" t="str">
        <f aca="false">IF($G1112="","",IF(COUNTIF($G$2:$G$4460,$G1112)&gt;1,"重複",""))</f>
        <v/>
      </c>
    </row>
    <row r="1113" customFormat="false" ht="16.5" hidden="false" customHeight="true" outlineLevel="0" collapsed="false">
      <c r="A1113" s="2" t="s">
        <v>385</v>
      </c>
      <c r="B1113" s="2" t="s">
        <v>407</v>
      </c>
      <c r="C1113" s="2" t="s">
        <v>33</v>
      </c>
      <c r="D1113" s="2" t="str">
        <f aca="false">IF(2キー同時!$B$279="","",2キー同時!$B$279)</f>
        <v/>
      </c>
      <c r="E1113" s="2" t="str">
        <f aca="false">""</f>
        <v/>
      </c>
      <c r="F1113" s="2" t="str">
        <f aca="false">""</f>
        <v/>
      </c>
      <c r="G1113" s="2" t="str">
        <f aca="false">IF(2キー同時!$B$279="","",IF(2キー同時!AS285="","",SUBSTITUTE(SUBSTITUTE(2キー同時!AS285," ",""),"　","")))</f>
        <v/>
      </c>
      <c r="H1113" s="2" t="str">
        <f aca="false">IF($G1113="","",2キー同時!$B$279)</f>
        <v/>
      </c>
      <c r="I1113" s="2" t="str">
        <f aca="false">IF($G1113="","",";")</f>
        <v/>
      </c>
      <c r="J1113" s="2" t="str">
        <f aca="false">""</f>
        <v/>
      </c>
      <c r="K1113" s="2" t="str">
        <f aca="false">""</f>
        <v/>
      </c>
      <c r="L1113" s="2" t="str">
        <f aca="false">IF($G1113="","","同時")</f>
        <v/>
      </c>
      <c r="M1113" s="2" t="str">
        <f aca="false">IF($G1113="","",IF(ISNA(MATCH($G1113,個別指定!$A:$A,0)),"行なし",""))</f>
        <v/>
      </c>
      <c r="N1113" s="2" t="str">
        <f aca="false">IF($G1113="","",IF(COUNTIF($G$2:$G$4460,$G1113)&gt;1,"重複",""))</f>
        <v/>
      </c>
    </row>
    <row r="1114" customFormat="false" ht="16.5" hidden="false" customHeight="true" outlineLevel="0" collapsed="false">
      <c r="A1114" s="2" t="s">
        <v>385</v>
      </c>
      <c r="B1114" s="2" t="s">
        <v>407</v>
      </c>
      <c r="C1114" s="2" t="s">
        <v>34</v>
      </c>
      <c r="D1114" s="2" t="str">
        <f aca="false">IF(2キー同時!$B$279="","",2キー同時!$B$279)</f>
        <v/>
      </c>
      <c r="E1114" s="2" t="str">
        <f aca="false">""</f>
        <v/>
      </c>
      <c r="F1114" s="2" t="str">
        <f aca="false">""</f>
        <v/>
      </c>
      <c r="G1114" s="2" t="str">
        <f aca="false">IF(2キー同時!$B$279="","",IF(2キー同時!AW285="","",SUBSTITUTE(SUBSTITUTE(2キー同時!AW285," ",""),"　","")))</f>
        <v/>
      </c>
      <c r="H1114" s="2" t="str">
        <f aca="false">IF($G1114="","",2キー同時!$B$279)</f>
        <v/>
      </c>
      <c r="I1114" s="2" t="str">
        <f aca="false">IF($G1114="","","'")</f>
        <v/>
      </c>
      <c r="J1114" s="2" t="str">
        <f aca="false">""</f>
        <v/>
      </c>
      <c r="K1114" s="2" t="str">
        <f aca="false">""</f>
        <v/>
      </c>
      <c r="L1114" s="2" t="str">
        <f aca="false">IF($G1114="","","同時")</f>
        <v/>
      </c>
      <c r="M1114" s="2" t="str">
        <f aca="false">IF($G1114="","",IF(ISNA(MATCH($G1114,個別指定!$A:$A,0)),"行なし",""))</f>
        <v/>
      </c>
      <c r="N1114" s="2" t="str">
        <f aca="false">IF($G1114="","",IF(COUNTIF($G$2:$G$4460,$G1114)&gt;1,"重複",""))</f>
        <v/>
      </c>
    </row>
    <row r="1115" customFormat="false" ht="16.5" hidden="false" customHeight="true" outlineLevel="0" collapsed="false">
      <c r="A1115" s="2" t="s">
        <v>385</v>
      </c>
      <c r="B1115" s="2" t="s">
        <v>407</v>
      </c>
      <c r="C1115" s="2" t="s">
        <v>35</v>
      </c>
      <c r="D1115" s="2" t="str">
        <f aca="false">IF(2キー同時!$B$279="","",2キー同時!$B$279)</f>
        <v/>
      </c>
      <c r="E1115" s="2" t="str">
        <f aca="false">""</f>
        <v/>
      </c>
      <c r="F1115" s="2" t="str">
        <f aca="false">""</f>
        <v/>
      </c>
      <c r="G1115" s="2" t="str">
        <f aca="false">IF(2キー同時!$B$279="","",IF(2キー同時!K287="","",SUBSTITUTE(SUBSTITUTE(2キー同時!K287," ",""),"　","")))</f>
        <v/>
      </c>
      <c r="H1115" s="2" t="str">
        <f aca="false">IF($G1115="","",2キー同時!$B$279)</f>
        <v/>
      </c>
      <c r="I1115" s="2" t="str">
        <f aca="false">IF($G1115="","","z")</f>
        <v/>
      </c>
      <c r="J1115" s="2" t="str">
        <f aca="false">""</f>
        <v/>
      </c>
      <c r="K1115" s="2" t="str">
        <f aca="false">""</f>
        <v/>
      </c>
      <c r="L1115" s="2" t="str">
        <f aca="false">IF($G1115="","","同時")</f>
        <v/>
      </c>
      <c r="M1115" s="2" t="str">
        <f aca="false">IF($G1115="","",IF(ISNA(MATCH($G1115,個別指定!$A:$A,0)),"行なし",""))</f>
        <v/>
      </c>
      <c r="N1115" s="2" t="str">
        <f aca="false">IF($G1115="","",IF(COUNTIF($G$2:$G$4460,$G1115)&gt;1,"重複",""))</f>
        <v/>
      </c>
    </row>
    <row r="1116" customFormat="false" ht="16.5" hidden="false" customHeight="true" outlineLevel="0" collapsed="false">
      <c r="A1116" s="2" t="s">
        <v>385</v>
      </c>
      <c r="B1116" s="2" t="s">
        <v>407</v>
      </c>
      <c r="C1116" s="2" t="s">
        <v>36</v>
      </c>
      <c r="D1116" s="2" t="str">
        <f aca="false">IF(2キー同時!$B$279="","",2キー同時!$B$279)</f>
        <v/>
      </c>
      <c r="E1116" s="2" t="str">
        <f aca="false">""</f>
        <v/>
      </c>
      <c r="F1116" s="2" t="str">
        <f aca="false">""</f>
        <v/>
      </c>
      <c r="G1116" s="2" t="str">
        <f aca="false">IF(2キー同時!$B$279="","",IF(2キー同時!O287="","",SUBSTITUTE(SUBSTITUTE(2キー同時!O287," ",""),"　","")))</f>
        <v/>
      </c>
      <c r="H1116" s="2" t="str">
        <f aca="false">IF($G1116="","",2キー同時!$B$279)</f>
        <v/>
      </c>
      <c r="I1116" s="2" t="str">
        <f aca="false">IF($G1116="","","x")</f>
        <v/>
      </c>
      <c r="J1116" s="2" t="str">
        <f aca="false">""</f>
        <v/>
      </c>
      <c r="K1116" s="2" t="str">
        <f aca="false">""</f>
        <v/>
      </c>
      <c r="L1116" s="2" t="str">
        <f aca="false">IF($G1116="","","同時")</f>
        <v/>
      </c>
      <c r="M1116" s="2" t="str">
        <f aca="false">IF($G1116="","",IF(ISNA(MATCH($G1116,個別指定!$A:$A,0)),"行なし",""))</f>
        <v/>
      </c>
      <c r="N1116" s="2" t="str">
        <f aca="false">IF($G1116="","",IF(COUNTIF($G$2:$G$4460,$G1116)&gt;1,"重複",""))</f>
        <v/>
      </c>
    </row>
    <row r="1117" customFormat="false" ht="16.5" hidden="false" customHeight="true" outlineLevel="0" collapsed="false">
      <c r="A1117" s="2" t="s">
        <v>385</v>
      </c>
      <c r="B1117" s="2" t="s">
        <v>407</v>
      </c>
      <c r="C1117" s="2" t="s">
        <v>37</v>
      </c>
      <c r="D1117" s="2" t="str">
        <f aca="false">IF(2キー同時!$B$279="","",2キー同時!$B$279)</f>
        <v/>
      </c>
      <c r="E1117" s="2" t="str">
        <f aca="false">""</f>
        <v/>
      </c>
      <c r="F1117" s="2" t="str">
        <f aca="false">""</f>
        <v/>
      </c>
      <c r="G1117" s="2" t="str">
        <f aca="false">IF(2キー同時!$B$279="","",IF(2キー同時!S287="","",SUBSTITUTE(SUBSTITUTE(2キー同時!S287," ",""),"　","")))</f>
        <v/>
      </c>
      <c r="H1117" s="2" t="str">
        <f aca="false">IF($G1117="","",2キー同時!$B$279)</f>
        <v/>
      </c>
      <c r="I1117" s="2" t="str">
        <f aca="false">IF($G1117="","","c")</f>
        <v/>
      </c>
      <c r="J1117" s="2" t="str">
        <f aca="false">""</f>
        <v/>
      </c>
      <c r="K1117" s="2" t="str">
        <f aca="false">""</f>
        <v/>
      </c>
      <c r="L1117" s="2" t="str">
        <f aca="false">IF($G1117="","","同時")</f>
        <v/>
      </c>
      <c r="M1117" s="2" t="str">
        <f aca="false">IF($G1117="","",IF(ISNA(MATCH($G1117,個別指定!$A:$A,0)),"行なし",""))</f>
        <v/>
      </c>
      <c r="N1117" s="2" t="str">
        <f aca="false">IF($G1117="","",IF(COUNTIF($G$2:$G$4460,$G1117)&gt;1,"重複",""))</f>
        <v/>
      </c>
    </row>
    <row r="1118" customFormat="false" ht="16.5" hidden="false" customHeight="true" outlineLevel="0" collapsed="false">
      <c r="A1118" s="2" t="s">
        <v>385</v>
      </c>
      <c r="B1118" s="2" t="s">
        <v>407</v>
      </c>
      <c r="C1118" s="2" t="s">
        <v>38</v>
      </c>
      <c r="D1118" s="2" t="str">
        <f aca="false">IF(2キー同時!$B$279="","",2キー同時!$B$279)</f>
        <v/>
      </c>
      <c r="E1118" s="2" t="str">
        <f aca="false">""</f>
        <v/>
      </c>
      <c r="F1118" s="2" t="str">
        <f aca="false">""</f>
        <v/>
      </c>
      <c r="G1118" s="2" t="str">
        <f aca="false">IF(2キー同時!$B$279="","",IF(2キー同時!W287="","",SUBSTITUTE(SUBSTITUTE(2キー同時!W287," ",""),"　","")))</f>
        <v/>
      </c>
      <c r="H1118" s="2" t="str">
        <f aca="false">IF($G1118="","",2キー同時!$B$279)</f>
        <v/>
      </c>
      <c r="I1118" s="2" t="str">
        <f aca="false">IF($G1118="","","v")</f>
        <v/>
      </c>
      <c r="J1118" s="2" t="str">
        <f aca="false">""</f>
        <v/>
      </c>
      <c r="K1118" s="2" t="str">
        <f aca="false">""</f>
        <v/>
      </c>
      <c r="L1118" s="2" t="str">
        <f aca="false">IF($G1118="","","同時")</f>
        <v/>
      </c>
      <c r="M1118" s="2" t="str">
        <f aca="false">IF($G1118="","",IF(ISNA(MATCH($G1118,個別指定!$A:$A,0)),"行なし",""))</f>
        <v/>
      </c>
      <c r="N1118" s="2" t="str">
        <f aca="false">IF($G1118="","",IF(COUNTIF($G$2:$G$4460,$G1118)&gt;1,"重複",""))</f>
        <v/>
      </c>
    </row>
    <row r="1119" customFormat="false" ht="16.5" hidden="false" customHeight="true" outlineLevel="0" collapsed="false">
      <c r="A1119" s="2" t="s">
        <v>385</v>
      </c>
      <c r="B1119" s="2" t="s">
        <v>407</v>
      </c>
      <c r="C1119" s="2" t="s">
        <v>39</v>
      </c>
      <c r="D1119" s="2" t="str">
        <f aca="false">IF(2キー同時!$B$279="","",2キー同時!$B$279)</f>
        <v/>
      </c>
      <c r="E1119" s="2" t="str">
        <f aca="false">""</f>
        <v/>
      </c>
      <c r="F1119" s="2" t="str">
        <f aca="false">""</f>
        <v/>
      </c>
      <c r="G1119" s="2" t="str">
        <f aca="false">IF(2キー同時!$B$279="","",IF(2キー同時!AA287="","",SUBSTITUTE(SUBSTITUTE(2キー同時!AA287," ",""),"　","")))</f>
        <v/>
      </c>
      <c r="H1119" s="2" t="str">
        <f aca="false">IF($G1119="","",2キー同時!$B$279)</f>
        <v/>
      </c>
      <c r="I1119" s="2" t="str">
        <f aca="false">IF($G1119="","","b")</f>
        <v/>
      </c>
      <c r="J1119" s="2" t="str">
        <f aca="false">""</f>
        <v/>
      </c>
      <c r="K1119" s="2" t="str">
        <f aca="false">""</f>
        <v/>
      </c>
      <c r="L1119" s="2" t="str">
        <f aca="false">IF($G1119="","","同時")</f>
        <v/>
      </c>
      <c r="M1119" s="2" t="str">
        <f aca="false">IF($G1119="","",IF(ISNA(MATCH($G1119,個別指定!$A:$A,0)),"行なし",""))</f>
        <v/>
      </c>
      <c r="N1119" s="2" t="str">
        <f aca="false">IF($G1119="","",IF(COUNTIF($G$2:$G$4460,$G1119)&gt;1,"重複",""))</f>
        <v/>
      </c>
    </row>
    <row r="1120" customFormat="false" ht="16.5" hidden="false" customHeight="true" outlineLevel="0" collapsed="false">
      <c r="A1120" s="2" t="s">
        <v>385</v>
      </c>
      <c r="B1120" s="2" t="s">
        <v>407</v>
      </c>
      <c r="C1120" s="2" t="s">
        <v>40</v>
      </c>
      <c r="D1120" s="2" t="str">
        <f aca="false">IF(2キー同時!$B$279="","",2キー同時!$B$279)</f>
        <v/>
      </c>
      <c r="E1120" s="2" t="str">
        <f aca="false">""</f>
        <v/>
      </c>
      <c r="F1120" s="2" t="str">
        <f aca="false">""</f>
        <v/>
      </c>
      <c r="G1120" s="2" t="str">
        <f aca="false">IF(2キー同時!$B$279="","",IF(2キー同時!AE287="","",SUBSTITUTE(SUBSTITUTE(2キー同時!AE287," ",""),"　","")))</f>
        <v/>
      </c>
      <c r="H1120" s="2" t="str">
        <f aca="false">IF($G1120="","",2キー同時!$B$279)</f>
        <v/>
      </c>
      <c r="I1120" s="2" t="str">
        <f aca="false">IF($G1120="","","n")</f>
        <v/>
      </c>
      <c r="J1120" s="2" t="str">
        <f aca="false">""</f>
        <v/>
      </c>
      <c r="K1120" s="2" t="str">
        <f aca="false">""</f>
        <v/>
      </c>
      <c r="L1120" s="2" t="str">
        <f aca="false">IF($G1120="","","同時")</f>
        <v/>
      </c>
      <c r="M1120" s="2" t="str">
        <f aca="false">IF($G1120="","",IF(ISNA(MATCH($G1120,個別指定!$A:$A,0)),"行なし",""))</f>
        <v/>
      </c>
      <c r="N1120" s="2" t="str">
        <f aca="false">IF($G1120="","",IF(COUNTIF($G$2:$G$4460,$G1120)&gt;1,"重複",""))</f>
        <v/>
      </c>
    </row>
    <row r="1121" customFormat="false" ht="16.5" hidden="false" customHeight="true" outlineLevel="0" collapsed="false">
      <c r="A1121" s="2" t="s">
        <v>385</v>
      </c>
      <c r="B1121" s="2" t="s">
        <v>407</v>
      </c>
      <c r="C1121" s="2" t="s">
        <v>41</v>
      </c>
      <c r="D1121" s="2" t="str">
        <f aca="false">IF(2キー同時!$B$279="","",2キー同時!$B$279)</f>
        <v/>
      </c>
      <c r="E1121" s="2" t="str">
        <f aca="false">""</f>
        <v/>
      </c>
      <c r="F1121" s="2" t="str">
        <f aca="false">""</f>
        <v/>
      </c>
      <c r="G1121" s="2" t="str">
        <f aca="false">IF(2キー同時!$B$279="","",IF(2キー同時!AI287="","",SUBSTITUTE(SUBSTITUTE(2キー同時!AI287," ",""),"　","")))</f>
        <v/>
      </c>
      <c r="H1121" s="2" t="str">
        <f aca="false">IF($G1121="","",2キー同時!$B$279)</f>
        <v/>
      </c>
      <c r="I1121" s="2" t="str">
        <f aca="false">IF($G1121="","","m")</f>
        <v/>
      </c>
      <c r="J1121" s="2" t="str">
        <f aca="false">""</f>
        <v/>
      </c>
      <c r="K1121" s="2" t="str">
        <f aca="false">""</f>
        <v/>
      </c>
      <c r="L1121" s="2" t="str">
        <f aca="false">IF($G1121="","","同時")</f>
        <v/>
      </c>
      <c r="M1121" s="2" t="str">
        <f aca="false">IF($G1121="","",IF(ISNA(MATCH($G1121,個別指定!$A:$A,0)),"行なし",""))</f>
        <v/>
      </c>
      <c r="N1121" s="2" t="str">
        <f aca="false">IF($G1121="","",IF(COUNTIF($G$2:$G$4460,$G1121)&gt;1,"重複",""))</f>
        <v/>
      </c>
    </row>
    <row r="1122" customFormat="false" ht="16.5" hidden="false" customHeight="true" outlineLevel="0" collapsed="false">
      <c r="A1122" s="2" t="s">
        <v>385</v>
      </c>
      <c r="B1122" s="2" t="s">
        <v>407</v>
      </c>
      <c r="C1122" s="2" t="s">
        <v>42</v>
      </c>
      <c r="D1122" s="2" t="str">
        <f aca="false">IF(2キー同時!$B$279="","",2キー同時!$B$279)</f>
        <v/>
      </c>
      <c r="E1122" s="2" t="str">
        <f aca="false">""</f>
        <v/>
      </c>
      <c r="F1122" s="2" t="str">
        <f aca="false">""</f>
        <v/>
      </c>
      <c r="G1122" s="2" t="str">
        <f aca="false">IF(2キー同時!$B$279="","",IF(2キー同時!AM287="","",SUBSTITUTE(SUBSTITUTE(2キー同時!AM287," ",""),"　","")))</f>
        <v/>
      </c>
      <c r="H1122" s="2" t="str">
        <f aca="false">IF($G1122="","",2キー同時!$B$279)</f>
        <v/>
      </c>
      <c r="I1122" s="2" t="str">
        <f aca="false">IF($G1122="","",",")</f>
        <v/>
      </c>
      <c r="J1122" s="2" t="str">
        <f aca="false">""</f>
        <v/>
      </c>
      <c r="K1122" s="2" t="str">
        <f aca="false">""</f>
        <v/>
      </c>
      <c r="L1122" s="2" t="str">
        <f aca="false">IF($G1122="","","同時")</f>
        <v/>
      </c>
      <c r="M1122" s="2" t="str">
        <f aca="false">IF($G1122="","",IF(ISNA(MATCH($G1122,個別指定!$A:$A,0)),"行なし",""))</f>
        <v/>
      </c>
      <c r="N1122" s="2" t="str">
        <f aca="false">IF($G1122="","",IF(COUNTIF($G$2:$G$4460,$G1122)&gt;1,"重複",""))</f>
        <v/>
      </c>
    </row>
    <row r="1123" customFormat="false" ht="16.5" hidden="false" customHeight="true" outlineLevel="0" collapsed="false">
      <c r="A1123" s="2" t="s">
        <v>385</v>
      </c>
      <c r="B1123" s="2" t="s">
        <v>407</v>
      </c>
      <c r="C1123" s="2" t="s">
        <v>43</v>
      </c>
      <c r="D1123" s="2" t="str">
        <f aca="false">IF(2キー同時!$B$279="","",2キー同時!$B$279)</f>
        <v/>
      </c>
      <c r="E1123" s="2" t="str">
        <f aca="false">""</f>
        <v/>
      </c>
      <c r="F1123" s="2" t="str">
        <f aca="false">""</f>
        <v/>
      </c>
      <c r="G1123" s="2" t="str">
        <f aca="false">IF(2キー同時!$B$279="","",IF(2キー同時!AQ287="","",SUBSTITUTE(SUBSTITUTE(2キー同時!AQ287," ",""),"　","")))</f>
        <v/>
      </c>
      <c r="H1123" s="2" t="str">
        <f aca="false">IF($G1123="","",2キー同時!$B$279)</f>
        <v/>
      </c>
      <c r="I1123" s="2" t="str">
        <f aca="false">IF($G1123="","",".")</f>
        <v/>
      </c>
      <c r="J1123" s="2" t="str">
        <f aca="false">""</f>
        <v/>
      </c>
      <c r="K1123" s="2" t="str">
        <f aca="false">""</f>
        <v/>
      </c>
      <c r="L1123" s="2" t="str">
        <f aca="false">IF($G1123="","","同時")</f>
        <v/>
      </c>
      <c r="M1123" s="2" t="str">
        <f aca="false">IF($G1123="","",IF(ISNA(MATCH($G1123,個別指定!$A:$A,0)),"行なし",""))</f>
        <v/>
      </c>
      <c r="N1123" s="2" t="str">
        <f aca="false">IF($G1123="","",IF(COUNTIF($G$2:$G$4460,$G1123)&gt;1,"重複",""))</f>
        <v/>
      </c>
    </row>
    <row r="1124" customFormat="false" ht="16.5" hidden="false" customHeight="true" outlineLevel="0" collapsed="false">
      <c r="A1124" s="2" t="s">
        <v>385</v>
      </c>
      <c r="B1124" s="2" t="s">
        <v>407</v>
      </c>
      <c r="C1124" s="2" t="s">
        <v>44</v>
      </c>
      <c r="D1124" s="2" t="str">
        <f aca="false">IF(2キー同時!$B$279="","",2キー同時!$B$279)</f>
        <v/>
      </c>
      <c r="E1124" s="2" t="str">
        <f aca="false">""</f>
        <v/>
      </c>
      <c r="F1124" s="2" t="str">
        <f aca="false">""</f>
        <v/>
      </c>
      <c r="G1124" s="2" t="str">
        <f aca="false">IF(2キー同時!$B$279="","",IF(2キー同時!AU287="","",SUBSTITUTE(SUBSTITUTE(2キー同時!AU287," ",""),"　","")))</f>
        <v/>
      </c>
      <c r="H1124" s="2" t="str">
        <f aca="false">IF($G1124="","",2キー同時!$B$279)</f>
        <v/>
      </c>
      <c r="I1124" s="2" t="str">
        <f aca="false">IF($G1124="","","/")</f>
        <v/>
      </c>
      <c r="J1124" s="2" t="str">
        <f aca="false">""</f>
        <v/>
      </c>
      <c r="K1124" s="2" t="str">
        <f aca="false">""</f>
        <v/>
      </c>
      <c r="L1124" s="2" t="str">
        <f aca="false">IF($G1124="","","同時")</f>
        <v/>
      </c>
      <c r="M1124" s="2" t="str">
        <f aca="false">IF($G1124="","",IF(ISNA(MATCH($G1124,個別指定!$A:$A,0)),"行なし",""))</f>
        <v/>
      </c>
      <c r="N1124" s="2" t="str">
        <f aca="false">IF($G1124="","",IF(COUNTIF($G$2:$G$4460,$G1124)&gt;1,"重複",""))</f>
        <v/>
      </c>
    </row>
    <row r="1125" customFormat="false" ht="16.5" hidden="false" customHeight="true" outlineLevel="0" collapsed="false">
      <c r="A1125" s="2" t="s">
        <v>385</v>
      </c>
      <c r="B1125" s="2" t="s">
        <v>407</v>
      </c>
      <c r="C1125" s="2" t="s">
        <v>48</v>
      </c>
      <c r="D1125" s="2" t="str">
        <f aca="false">IF(2キー同時!$B$279="","",2キー同時!$B$279)</f>
        <v/>
      </c>
      <c r="E1125" s="2" t="str">
        <f aca="false">""</f>
        <v/>
      </c>
      <c r="F1125" s="2" t="str">
        <f aca="false">""</f>
        <v/>
      </c>
      <c r="G1125" s="2" t="str">
        <f aca="false">IF(2キー同時!$B$279="","",IF(2キー同時!P289="","",SUBSTITUTE(SUBSTITUTE(2キー同時!P289," ",""),"　","")))</f>
        <v/>
      </c>
      <c r="H1125" s="2" t="str">
        <f aca="false">IF($G1125="","",2キー同時!$B$279)</f>
        <v/>
      </c>
      <c r="I1125" s="2" t="str">
        <f aca="false">IF($G1125="","","muhenkan")</f>
        <v/>
      </c>
      <c r="J1125" s="2" t="str">
        <f aca="false">""</f>
        <v/>
      </c>
      <c r="K1125" s="2" t="str">
        <f aca="false">""</f>
        <v/>
      </c>
      <c r="L1125" s="2" t="str">
        <f aca="false">IF($G1125="","","同時")</f>
        <v/>
      </c>
      <c r="M1125" s="2" t="str">
        <f aca="false">IF($G1125="","",IF(ISNA(MATCH($G1125,個別指定!$A:$A,0)),"行なし",""))</f>
        <v/>
      </c>
      <c r="N1125" s="2" t="str">
        <f aca="false">IF($G1125="","",IF(COUNTIF($G$2:$G$4460,$G1125)&gt;1,"重複",""))</f>
        <v/>
      </c>
    </row>
    <row r="1126" customFormat="false" ht="16.5" hidden="false" customHeight="true" outlineLevel="0" collapsed="false">
      <c r="A1126" s="2" t="s">
        <v>385</v>
      </c>
      <c r="B1126" s="2" t="s">
        <v>407</v>
      </c>
      <c r="C1126" s="2" t="s">
        <v>50</v>
      </c>
      <c r="D1126" s="2" t="str">
        <f aca="false">IF(2キー同時!$B$279="","",2キー同時!$B$279)</f>
        <v/>
      </c>
      <c r="E1126" s="2" t="str">
        <f aca="false">""</f>
        <v/>
      </c>
      <c r="F1126" s="2" t="str">
        <f aca="false">""</f>
        <v/>
      </c>
      <c r="G1126" s="2" t="str">
        <f aca="false">IF(2キー同時!$B$279="","",IF(2キー同時!T289="","",SUBSTITUTE(SUBSTITUTE(2キー同時!T289," ",""),"　","")))</f>
        <v/>
      </c>
      <c r="H1126" s="2" t="str">
        <f aca="false">IF($G1126="","",2キー同時!$B$279)</f>
        <v/>
      </c>
      <c r="I1126" s="2" t="str">
        <f aca="false">IF($G1126="","","space")</f>
        <v/>
      </c>
      <c r="J1126" s="2" t="str">
        <f aca="false">""</f>
        <v/>
      </c>
      <c r="K1126" s="2" t="str">
        <f aca="false">""</f>
        <v/>
      </c>
      <c r="L1126" s="2" t="str">
        <f aca="false">IF($G1126="","","同時")</f>
        <v/>
      </c>
      <c r="M1126" s="2" t="str">
        <f aca="false">IF($G1126="","",IF(ISNA(MATCH($G1126,個別指定!$A:$A,0)),"行なし",""))</f>
        <v/>
      </c>
      <c r="N1126" s="2" t="str">
        <f aca="false">IF($G1126="","",IF(COUNTIF($G$2:$G$4460,$G1126)&gt;1,"重複",""))</f>
        <v/>
      </c>
    </row>
    <row r="1127" customFormat="false" ht="16.5" hidden="false" customHeight="true" outlineLevel="0" collapsed="false">
      <c r="A1127" s="2" t="s">
        <v>385</v>
      </c>
      <c r="B1127" s="2" t="s">
        <v>407</v>
      </c>
      <c r="C1127" s="2" t="s">
        <v>45</v>
      </c>
      <c r="D1127" s="2" t="str">
        <f aca="false">IF(2キー同時!$B$279="","",2キー同時!$B$279)</f>
        <v/>
      </c>
      <c r="E1127" s="2" t="str">
        <f aca="false">""</f>
        <v/>
      </c>
      <c r="F1127" s="2" t="str">
        <f aca="false">""</f>
        <v/>
      </c>
      <c r="G1127" s="2" t="str">
        <f aca="false">IF(2キー同時!$B$279="","",IF(2キー同時!AL289="","",SUBSTITUTE(SUBSTITUTE(2キー同時!AL289," ",""),"　","")))</f>
        <v/>
      </c>
      <c r="H1127" s="2" t="str">
        <f aca="false">IF($G1127="","",2キー同時!$B$279)</f>
        <v/>
      </c>
      <c r="I1127" s="2" t="str">
        <f aca="false">IF($G1127="","","henkan")</f>
        <v/>
      </c>
      <c r="J1127" s="2" t="str">
        <f aca="false">""</f>
        <v/>
      </c>
      <c r="K1127" s="2" t="str">
        <f aca="false">""</f>
        <v/>
      </c>
      <c r="L1127" s="2" t="str">
        <f aca="false">IF($G1127="","","同時")</f>
        <v/>
      </c>
      <c r="M1127" s="2" t="str">
        <f aca="false">IF($G1127="","",IF(ISNA(MATCH($G1127,個別指定!$A:$A,0)),"行なし",""))</f>
        <v/>
      </c>
      <c r="N1127" s="2" t="str">
        <f aca="false">IF($G1127="","",IF(COUNTIF($G$2:$G$4460,$G1127)&gt;1,"重複",""))</f>
        <v/>
      </c>
    </row>
    <row r="1128" customFormat="false" ht="16.5" hidden="false" customHeight="true" outlineLevel="0" collapsed="false">
      <c r="A1128" s="2" t="s">
        <v>385</v>
      </c>
      <c r="B1128" s="2" t="s">
        <v>407</v>
      </c>
      <c r="C1128" s="2" t="s">
        <v>46</v>
      </c>
      <c r="D1128" s="2" t="str">
        <f aca="false">IF(2キー同時!$B$279="","",2キー同時!$B$279)</f>
        <v/>
      </c>
      <c r="E1128" s="2" t="str">
        <f aca="false">""</f>
        <v/>
      </c>
      <c r="F1128" s="2" t="str">
        <f aca="false">""</f>
        <v/>
      </c>
      <c r="G1128" s="2" t="str">
        <f aca="false">IF(2キー同時!$B$279="","",IF(2キー同時!AP289="","",SUBSTITUTE(SUBSTITUTE(2キー同時!AP289," ",""),"　","")))</f>
        <v/>
      </c>
      <c r="H1128" s="2" t="str">
        <f aca="false">IF($G1128="","",2キー同時!$B$279)</f>
        <v/>
      </c>
      <c r="I1128" s="2" t="str">
        <f aca="false">IF($G1128="","","kana")</f>
        <v/>
      </c>
      <c r="J1128" s="2" t="str">
        <f aca="false">""</f>
        <v/>
      </c>
      <c r="K1128" s="2" t="str">
        <f aca="false">""</f>
        <v/>
      </c>
      <c r="L1128" s="2" t="str">
        <f aca="false">IF($G1128="","","同時")</f>
        <v/>
      </c>
      <c r="M1128" s="2" t="str">
        <f aca="false">IF($G1128="","",IF(ISNA(MATCH($G1128,個別指定!$A:$A,0)),"行なし",""))</f>
        <v/>
      </c>
      <c r="N1128" s="2" t="str">
        <f aca="false">IF($G1128="","",IF(COUNTIF($G$2:$G$4460,$G1128)&gt;1,"重複",""))</f>
        <v/>
      </c>
    </row>
    <row r="1129" customFormat="false" ht="16.5" hidden="false" customHeight="true" outlineLevel="0" collapsed="false">
      <c r="A1129" s="2" t="s">
        <v>385</v>
      </c>
      <c r="B1129" s="2" t="s">
        <v>408</v>
      </c>
      <c r="C1129" s="2" t="s">
        <v>0</v>
      </c>
      <c r="D1129" s="2" t="str">
        <f aca="false">IF(2キー同時!$B$292="","",2キー同時!$B$292)</f>
        <v/>
      </c>
      <c r="E1129" s="2" t="str">
        <f aca="false">""</f>
        <v/>
      </c>
      <c r="F1129" s="2" t="str">
        <f aca="false">""</f>
        <v/>
      </c>
      <c r="G1129" s="2" t="str">
        <f aca="false">IF(2キー同時!$B$292="","",IF(2キー同時!F294="","",SUBSTITUTE(SUBSTITUTE(2キー同時!F294," ",""),"　","")))</f>
        <v/>
      </c>
      <c r="H1129" s="2" t="str">
        <f aca="false">IF($G1129="","",2キー同時!$B$292)</f>
        <v/>
      </c>
      <c r="I1129" s="2" t="str">
        <f aca="false">IF($G1129="","","1")</f>
        <v/>
      </c>
      <c r="J1129" s="2" t="str">
        <f aca="false">""</f>
        <v/>
      </c>
      <c r="K1129" s="2" t="str">
        <f aca="false">""</f>
        <v/>
      </c>
      <c r="L1129" s="2" t="str">
        <f aca="false">IF($G1129="","","同時")</f>
        <v/>
      </c>
      <c r="M1129" s="2" t="str">
        <f aca="false">IF($G1129="","",IF(ISNA(MATCH($G1129,個別指定!$A:$A,0)),"行なし",""))</f>
        <v/>
      </c>
      <c r="N1129" s="2" t="str">
        <f aca="false">IF($G1129="","",IF(COUNTIF($G$2:$G$4460,$G1129)&gt;1,"重複",""))</f>
        <v/>
      </c>
    </row>
    <row r="1130" customFormat="false" ht="16.5" hidden="false" customHeight="true" outlineLevel="0" collapsed="false">
      <c r="A1130" s="2" t="s">
        <v>385</v>
      </c>
      <c r="B1130" s="2" t="s">
        <v>408</v>
      </c>
      <c r="C1130" s="2" t="s">
        <v>1</v>
      </c>
      <c r="D1130" s="2" t="str">
        <f aca="false">IF(2キー同時!$B$292="","",2キー同時!$B$292)</f>
        <v/>
      </c>
      <c r="E1130" s="2" t="str">
        <f aca="false">""</f>
        <v/>
      </c>
      <c r="F1130" s="2" t="str">
        <f aca="false">""</f>
        <v/>
      </c>
      <c r="G1130" s="2" t="str">
        <f aca="false">IF(2キー同時!$B$292="","",IF(2キー同時!J294="","",SUBSTITUTE(SUBSTITUTE(2キー同時!J294," ",""),"　","")))</f>
        <v/>
      </c>
      <c r="H1130" s="2" t="str">
        <f aca="false">IF($G1130="","",2キー同時!$B$292)</f>
        <v/>
      </c>
      <c r="I1130" s="2" t="str">
        <f aca="false">IF($G1130="","","2")</f>
        <v/>
      </c>
      <c r="J1130" s="2" t="str">
        <f aca="false">""</f>
        <v/>
      </c>
      <c r="K1130" s="2" t="str">
        <f aca="false">""</f>
        <v/>
      </c>
      <c r="L1130" s="2" t="str">
        <f aca="false">IF($G1130="","","同時")</f>
        <v/>
      </c>
      <c r="M1130" s="2" t="str">
        <f aca="false">IF($G1130="","",IF(ISNA(MATCH($G1130,個別指定!$A:$A,0)),"行なし",""))</f>
        <v/>
      </c>
      <c r="N1130" s="2" t="str">
        <f aca="false">IF($G1130="","",IF(COUNTIF($G$2:$G$4460,$G1130)&gt;1,"重複",""))</f>
        <v/>
      </c>
    </row>
    <row r="1131" customFormat="false" ht="16.5" hidden="false" customHeight="true" outlineLevel="0" collapsed="false">
      <c r="A1131" s="2" t="s">
        <v>385</v>
      </c>
      <c r="B1131" s="2" t="s">
        <v>408</v>
      </c>
      <c r="C1131" s="2" t="s">
        <v>2</v>
      </c>
      <c r="D1131" s="2" t="str">
        <f aca="false">IF(2キー同時!$B$292="","",2キー同時!$B$292)</f>
        <v/>
      </c>
      <c r="E1131" s="2" t="str">
        <f aca="false">""</f>
        <v/>
      </c>
      <c r="F1131" s="2" t="str">
        <f aca="false">""</f>
        <v/>
      </c>
      <c r="G1131" s="2" t="str">
        <f aca="false">IF(2キー同時!$B$292="","",IF(2キー同時!N294="","",SUBSTITUTE(SUBSTITUTE(2キー同時!N294," ",""),"　","")))</f>
        <v/>
      </c>
      <c r="H1131" s="2" t="str">
        <f aca="false">IF($G1131="","",2キー同時!$B$292)</f>
        <v/>
      </c>
      <c r="I1131" s="2" t="str">
        <f aca="false">IF($G1131="","","3")</f>
        <v/>
      </c>
      <c r="J1131" s="2" t="str">
        <f aca="false">""</f>
        <v/>
      </c>
      <c r="K1131" s="2" t="str">
        <f aca="false">""</f>
        <v/>
      </c>
      <c r="L1131" s="2" t="str">
        <f aca="false">IF($G1131="","","同時")</f>
        <v/>
      </c>
      <c r="M1131" s="2" t="str">
        <f aca="false">IF($G1131="","",IF(ISNA(MATCH($G1131,個別指定!$A:$A,0)),"行なし",""))</f>
        <v/>
      </c>
      <c r="N1131" s="2" t="str">
        <f aca="false">IF($G1131="","",IF(COUNTIF($G$2:$G$4460,$G1131)&gt;1,"重複",""))</f>
        <v/>
      </c>
    </row>
    <row r="1132" customFormat="false" ht="16.5" hidden="false" customHeight="true" outlineLevel="0" collapsed="false">
      <c r="A1132" s="2" t="s">
        <v>385</v>
      </c>
      <c r="B1132" s="2" t="s">
        <v>408</v>
      </c>
      <c r="C1132" s="2" t="s">
        <v>3</v>
      </c>
      <c r="D1132" s="2" t="str">
        <f aca="false">IF(2キー同時!$B$292="","",2キー同時!$B$292)</f>
        <v/>
      </c>
      <c r="E1132" s="2" t="str">
        <f aca="false">""</f>
        <v/>
      </c>
      <c r="F1132" s="2" t="str">
        <f aca="false">""</f>
        <v/>
      </c>
      <c r="G1132" s="2" t="str">
        <f aca="false">IF(2キー同時!$B$292="","",IF(2キー同時!R294="","",SUBSTITUTE(SUBSTITUTE(2キー同時!R294," ",""),"　","")))</f>
        <v/>
      </c>
      <c r="H1132" s="2" t="str">
        <f aca="false">IF($G1132="","",2キー同時!$B$292)</f>
        <v/>
      </c>
      <c r="I1132" s="2" t="str">
        <f aca="false">IF($G1132="","","4")</f>
        <v/>
      </c>
      <c r="J1132" s="2" t="str">
        <f aca="false">""</f>
        <v/>
      </c>
      <c r="K1132" s="2" t="str">
        <f aca="false">""</f>
        <v/>
      </c>
      <c r="L1132" s="2" t="str">
        <f aca="false">IF($G1132="","","同時")</f>
        <v/>
      </c>
      <c r="M1132" s="2" t="str">
        <f aca="false">IF($G1132="","",IF(ISNA(MATCH($G1132,個別指定!$A:$A,0)),"行なし",""))</f>
        <v/>
      </c>
      <c r="N1132" s="2" t="str">
        <f aca="false">IF($G1132="","",IF(COUNTIF($G$2:$G$4460,$G1132)&gt;1,"重複",""))</f>
        <v/>
      </c>
    </row>
    <row r="1133" customFormat="false" ht="16.5" hidden="false" customHeight="true" outlineLevel="0" collapsed="false">
      <c r="A1133" s="2" t="s">
        <v>385</v>
      </c>
      <c r="B1133" s="2" t="s">
        <v>408</v>
      </c>
      <c r="C1133" s="2" t="s">
        <v>4</v>
      </c>
      <c r="D1133" s="2" t="str">
        <f aca="false">IF(2キー同時!$B$292="","",2キー同時!$B$292)</f>
        <v/>
      </c>
      <c r="E1133" s="2" t="str">
        <f aca="false">""</f>
        <v/>
      </c>
      <c r="F1133" s="2" t="str">
        <f aca="false">""</f>
        <v/>
      </c>
      <c r="G1133" s="2" t="str">
        <f aca="false">IF(2キー同時!$B$292="","",IF(2キー同時!V294="","",SUBSTITUTE(SUBSTITUTE(2キー同時!V294," ",""),"　","")))</f>
        <v/>
      </c>
      <c r="H1133" s="2" t="str">
        <f aca="false">IF($G1133="","",2キー同時!$B$292)</f>
        <v/>
      </c>
      <c r="I1133" s="2" t="str">
        <f aca="false">IF($G1133="","","5")</f>
        <v/>
      </c>
      <c r="J1133" s="2" t="str">
        <f aca="false">""</f>
        <v/>
      </c>
      <c r="K1133" s="2" t="str">
        <f aca="false">""</f>
        <v/>
      </c>
      <c r="L1133" s="2" t="str">
        <f aca="false">IF($G1133="","","同時")</f>
        <v/>
      </c>
      <c r="M1133" s="2" t="str">
        <f aca="false">IF($G1133="","",IF(ISNA(MATCH($G1133,個別指定!$A:$A,0)),"行なし",""))</f>
        <v/>
      </c>
      <c r="N1133" s="2" t="str">
        <f aca="false">IF($G1133="","",IF(COUNTIF($G$2:$G$4460,$G1133)&gt;1,"重複",""))</f>
        <v/>
      </c>
    </row>
    <row r="1134" customFormat="false" ht="16.5" hidden="false" customHeight="true" outlineLevel="0" collapsed="false">
      <c r="A1134" s="2" t="s">
        <v>385</v>
      </c>
      <c r="B1134" s="2" t="s">
        <v>408</v>
      </c>
      <c r="C1134" s="2" t="s">
        <v>5</v>
      </c>
      <c r="D1134" s="2" t="str">
        <f aca="false">IF(2キー同時!$B$292="","",2キー同時!$B$292)</f>
        <v/>
      </c>
      <c r="E1134" s="2" t="str">
        <f aca="false">""</f>
        <v/>
      </c>
      <c r="F1134" s="2" t="str">
        <f aca="false">""</f>
        <v/>
      </c>
      <c r="G1134" s="2" t="str">
        <f aca="false">IF(2キー同時!$B$292="","",IF(2キー同時!Z294="","",SUBSTITUTE(SUBSTITUTE(2キー同時!Z294," ",""),"　","")))</f>
        <v/>
      </c>
      <c r="H1134" s="2" t="str">
        <f aca="false">IF($G1134="","",2キー同時!$B$292)</f>
        <v/>
      </c>
      <c r="I1134" s="2" t="str">
        <f aca="false">IF($G1134="","","6")</f>
        <v/>
      </c>
      <c r="J1134" s="2" t="str">
        <f aca="false">""</f>
        <v/>
      </c>
      <c r="K1134" s="2" t="str">
        <f aca="false">""</f>
        <v/>
      </c>
      <c r="L1134" s="2" t="str">
        <f aca="false">IF($G1134="","","同時")</f>
        <v/>
      </c>
      <c r="M1134" s="2" t="str">
        <f aca="false">IF($G1134="","",IF(ISNA(MATCH($G1134,個別指定!$A:$A,0)),"行なし",""))</f>
        <v/>
      </c>
      <c r="N1134" s="2" t="str">
        <f aca="false">IF($G1134="","",IF(COUNTIF($G$2:$G$4460,$G1134)&gt;1,"重複",""))</f>
        <v/>
      </c>
    </row>
    <row r="1135" customFormat="false" ht="16.5" hidden="false" customHeight="true" outlineLevel="0" collapsed="false">
      <c r="A1135" s="2" t="s">
        <v>385</v>
      </c>
      <c r="B1135" s="2" t="s">
        <v>408</v>
      </c>
      <c r="C1135" s="2" t="s">
        <v>6</v>
      </c>
      <c r="D1135" s="2" t="str">
        <f aca="false">IF(2キー同時!$B$292="","",2キー同時!$B$292)</f>
        <v/>
      </c>
      <c r="E1135" s="2" t="str">
        <f aca="false">""</f>
        <v/>
      </c>
      <c r="F1135" s="2" t="str">
        <f aca="false">""</f>
        <v/>
      </c>
      <c r="G1135" s="2" t="str">
        <f aca="false">IF(2キー同時!$B$292="","",IF(2キー同時!AD294="","",SUBSTITUTE(SUBSTITUTE(2キー同時!AD294," ",""),"　","")))</f>
        <v/>
      </c>
      <c r="H1135" s="2" t="str">
        <f aca="false">IF($G1135="","",2キー同時!$B$292)</f>
        <v/>
      </c>
      <c r="I1135" s="2" t="str">
        <f aca="false">IF($G1135="","","7")</f>
        <v/>
      </c>
      <c r="J1135" s="2" t="str">
        <f aca="false">""</f>
        <v/>
      </c>
      <c r="K1135" s="2" t="str">
        <f aca="false">""</f>
        <v/>
      </c>
      <c r="L1135" s="2" t="str">
        <f aca="false">IF($G1135="","","同時")</f>
        <v/>
      </c>
      <c r="M1135" s="2" t="str">
        <f aca="false">IF($G1135="","",IF(ISNA(MATCH($G1135,個別指定!$A:$A,0)),"行なし",""))</f>
        <v/>
      </c>
      <c r="N1135" s="2" t="str">
        <f aca="false">IF($G1135="","",IF(COUNTIF($G$2:$G$4460,$G1135)&gt;1,"重複",""))</f>
        <v/>
      </c>
    </row>
    <row r="1136" customFormat="false" ht="16.5" hidden="false" customHeight="true" outlineLevel="0" collapsed="false">
      <c r="A1136" s="2" t="s">
        <v>385</v>
      </c>
      <c r="B1136" s="2" t="s">
        <v>408</v>
      </c>
      <c r="C1136" s="2" t="s">
        <v>7</v>
      </c>
      <c r="D1136" s="2" t="str">
        <f aca="false">IF(2キー同時!$B$292="","",2キー同時!$B$292)</f>
        <v/>
      </c>
      <c r="E1136" s="2" t="str">
        <f aca="false">""</f>
        <v/>
      </c>
      <c r="F1136" s="2" t="str">
        <f aca="false">""</f>
        <v/>
      </c>
      <c r="G1136" s="2" t="str">
        <f aca="false">IF(2キー同時!$B$292="","",IF(2キー同時!AH294="","",SUBSTITUTE(SUBSTITUTE(2キー同時!AH294," ",""),"　","")))</f>
        <v/>
      </c>
      <c r="H1136" s="2" t="str">
        <f aca="false">IF($G1136="","",2キー同時!$B$292)</f>
        <v/>
      </c>
      <c r="I1136" s="2" t="str">
        <f aca="false">IF($G1136="","","8")</f>
        <v/>
      </c>
      <c r="J1136" s="2" t="str">
        <f aca="false">""</f>
        <v/>
      </c>
      <c r="K1136" s="2" t="str">
        <f aca="false">""</f>
        <v/>
      </c>
      <c r="L1136" s="2" t="str">
        <f aca="false">IF($G1136="","","同時")</f>
        <v/>
      </c>
      <c r="M1136" s="2" t="str">
        <f aca="false">IF($G1136="","",IF(ISNA(MATCH($G1136,個別指定!$A:$A,0)),"行なし",""))</f>
        <v/>
      </c>
      <c r="N1136" s="2" t="str">
        <f aca="false">IF($G1136="","",IF(COUNTIF($G$2:$G$4460,$G1136)&gt;1,"重複",""))</f>
        <v/>
      </c>
    </row>
    <row r="1137" customFormat="false" ht="16.5" hidden="false" customHeight="true" outlineLevel="0" collapsed="false">
      <c r="A1137" s="2" t="s">
        <v>385</v>
      </c>
      <c r="B1137" s="2" t="s">
        <v>408</v>
      </c>
      <c r="C1137" s="2" t="s">
        <v>8</v>
      </c>
      <c r="D1137" s="2" t="str">
        <f aca="false">IF(2キー同時!$B$292="","",2キー同時!$B$292)</f>
        <v/>
      </c>
      <c r="E1137" s="2" t="str">
        <f aca="false">""</f>
        <v/>
      </c>
      <c r="F1137" s="2" t="str">
        <f aca="false">""</f>
        <v/>
      </c>
      <c r="G1137" s="2" t="str">
        <f aca="false">IF(2キー同時!$B$292="","",IF(2キー同時!AL294="","",SUBSTITUTE(SUBSTITUTE(2キー同時!AL294," ",""),"　","")))</f>
        <v/>
      </c>
      <c r="H1137" s="2" t="str">
        <f aca="false">IF($G1137="","",2キー同時!$B$292)</f>
        <v/>
      </c>
      <c r="I1137" s="2" t="str">
        <f aca="false">IF($G1137="","","9")</f>
        <v/>
      </c>
      <c r="J1137" s="2" t="str">
        <f aca="false">""</f>
        <v/>
      </c>
      <c r="K1137" s="2" t="str">
        <f aca="false">""</f>
        <v/>
      </c>
      <c r="L1137" s="2" t="str">
        <f aca="false">IF($G1137="","","同時")</f>
        <v/>
      </c>
      <c r="M1137" s="2" t="str">
        <f aca="false">IF($G1137="","",IF(ISNA(MATCH($G1137,個別指定!$A:$A,0)),"行なし",""))</f>
        <v/>
      </c>
      <c r="N1137" s="2" t="str">
        <f aca="false">IF($G1137="","",IF(COUNTIF($G$2:$G$4460,$G1137)&gt;1,"重複",""))</f>
        <v/>
      </c>
    </row>
    <row r="1138" customFormat="false" ht="16.5" hidden="false" customHeight="true" outlineLevel="0" collapsed="false">
      <c r="A1138" s="2" t="s">
        <v>385</v>
      </c>
      <c r="B1138" s="2" t="s">
        <v>408</v>
      </c>
      <c r="C1138" s="2" t="s">
        <v>9</v>
      </c>
      <c r="D1138" s="2" t="str">
        <f aca="false">IF(2キー同時!$B$292="","",2キー同時!$B$292)</f>
        <v/>
      </c>
      <c r="E1138" s="2" t="str">
        <f aca="false">""</f>
        <v/>
      </c>
      <c r="F1138" s="2" t="str">
        <f aca="false">""</f>
        <v/>
      </c>
      <c r="G1138" s="2" t="str">
        <f aca="false">IF(2キー同時!$B$292="","",IF(2キー同時!AP294="","",SUBSTITUTE(SUBSTITUTE(2キー同時!AP294," ",""),"　","")))</f>
        <v/>
      </c>
      <c r="H1138" s="2" t="str">
        <f aca="false">IF($G1138="","",2キー同時!$B$292)</f>
        <v/>
      </c>
      <c r="I1138" s="2" t="str">
        <f aca="false">IF($G1138="","","0")</f>
        <v/>
      </c>
      <c r="J1138" s="2" t="str">
        <f aca="false">""</f>
        <v/>
      </c>
      <c r="K1138" s="2" t="str">
        <f aca="false">""</f>
        <v/>
      </c>
      <c r="L1138" s="2" t="str">
        <f aca="false">IF($G1138="","","同時")</f>
        <v/>
      </c>
      <c r="M1138" s="2" t="str">
        <f aca="false">IF($G1138="","",IF(ISNA(MATCH($G1138,個別指定!$A:$A,0)),"行なし",""))</f>
        <v/>
      </c>
      <c r="N1138" s="2" t="str">
        <f aca="false">IF($G1138="","",IF(COUNTIF($G$2:$G$4460,$G1138)&gt;1,"重複",""))</f>
        <v/>
      </c>
    </row>
    <row r="1139" customFormat="false" ht="16.5" hidden="false" customHeight="true" outlineLevel="0" collapsed="false">
      <c r="A1139" s="2" t="s">
        <v>385</v>
      </c>
      <c r="B1139" s="2" t="s">
        <v>408</v>
      </c>
      <c r="C1139" s="2" t="s">
        <v>10</v>
      </c>
      <c r="D1139" s="2" t="str">
        <f aca="false">IF(2キー同時!$B$292="","",2キー同時!$B$292)</f>
        <v/>
      </c>
      <c r="E1139" s="2" t="str">
        <f aca="false">""</f>
        <v/>
      </c>
      <c r="F1139" s="2" t="str">
        <f aca="false">""</f>
        <v/>
      </c>
      <c r="G1139" s="2" t="str">
        <f aca="false">IF(2キー同時!$B$292="","",IF(2キー同時!AT294="","",SUBSTITUTE(SUBSTITUTE(2キー同時!AT294," ",""),"　","")))</f>
        <v/>
      </c>
      <c r="H1139" s="2" t="str">
        <f aca="false">IF($G1139="","",2キー同時!$B$292)</f>
        <v/>
      </c>
      <c r="I1139" s="2" t="str">
        <f aca="false">IF($G1139="","","-")</f>
        <v/>
      </c>
      <c r="J1139" s="2" t="str">
        <f aca="false">""</f>
        <v/>
      </c>
      <c r="K1139" s="2" t="str">
        <f aca="false">""</f>
        <v/>
      </c>
      <c r="L1139" s="2" t="str">
        <f aca="false">IF($G1139="","","同時")</f>
        <v/>
      </c>
      <c r="M1139" s="2" t="str">
        <f aca="false">IF($G1139="","",IF(ISNA(MATCH($G1139,個別指定!$A:$A,0)),"行なし",""))</f>
        <v/>
      </c>
      <c r="N1139" s="2" t="str">
        <f aca="false">IF($G1139="","",IF(COUNTIF($G$2:$G$4460,$G1139)&gt;1,"重複",""))</f>
        <v/>
      </c>
    </row>
    <row r="1140" customFormat="false" ht="16.5" hidden="false" customHeight="true" outlineLevel="0" collapsed="false">
      <c r="A1140" s="2" t="s">
        <v>385</v>
      </c>
      <c r="B1140" s="2" t="s">
        <v>408</v>
      </c>
      <c r="C1140" s="2" t="s">
        <v>11</v>
      </c>
      <c r="D1140" s="2" t="str">
        <f aca="false">IF(2キー同時!$B$292="","",2キー同時!$B$292)</f>
        <v/>
      </c>
      <c r="E1140" s="2" t="str">
        <f aca="false">""</f>
        <v/>
      </c>
      <c r="F1140" s="2" t="str">
        <f aca="false">""</f>
        <v/>
      </c>
      <c r="G1140" s="2" t="str">
        <f aca="false">IF(2キー同時!$B$292="","",IF(2キー同時!AX294="","",SUBSTITUTE(SUBSTITUTE(2キー同時!AX294," ",""),"　","")))</f>
        <v/>
      </c>
      <c r="H1140" s="2" t="str">
        <f aca="false">IF($G1140="","",2キー同時!$B$292)</f>
        <v/>
      </c>
      <c r="I1140" s="2" t="str">
        <f aca="false">IF($G1140="","","=")</f>
        <v/>
      </c>
      <c r="J1140" s="2" t="str">
        <f aca="false">""</f>
        <v/>
      </c>
      <c r="K1140" s="2" t="str">
        <f aca="false">""</f>
        <v/>
      </c>
      <c r="L1140" s="2" t="str">
        <f aca="false">IF($G1140="","","同時")</f>
        <v/>
      </c>
      <c r="M1140" s="2" t="str">
        <f aca="false">IF($G1140="","",IF(ISNA(MATCH($G1140,個別指定!$A:$A,0)),"行なし",""))</f>
        <v/>
      </c>
      <c r="N1140" s="2" t="str">
        <f aca="false">IF($G1140="","",IF(COUNTIF($G$2:$G$4460,$G1140)&gt;1,"重複",""))</f>
        <v/>
      </c>
    </row>
    <row r="1141" customFormat="false" ht="16.5" hidden="false" customHeight="true" outlineLevel="0" collapsed="false">
      <c r="A1141" s="2" t="s">
        <v>385</v>
      </c>
      <c r="B1141" s="2" t="s">
        <v>408</v>
      </c>
      <c r="C1141" s="2" t="s">
        <v>12</v>
      </c>
      <c r="D1141" s="2" t="str">
        <f aca="false">IF(2キー同時!$B$292="","",2キー同時!$B$292)</f>
        <v/>
      </c>
      <c r="E1141" s="2" t="str">
        <f aca="false">""</f>
        <v/>
      </c>
      <c r="F1141" s="2" t="str">
        <f aca="false">""</f>
        <v/>
      </c>
      <c r="G1141" s="2" t="str">
        <f aca="false">IF(2キー同時!$B$292="","",IF(2キー同時!H296="","",SUBSTITUTE(SUBSTITUTE(2キー同時!H296," ",""),"　","")))</f>
        <v/>
      </c>
      <c r="H1141" s="2" t="str">
        <f aca="false">IF($G1141="","",2キー同時!$B$292)</f>
        <v/>
      </c>
      <c r="I1141" s="2" t="str">
        <f aca="false">IF($G1141="","","q")</f>
        <v/>
      </c>
      <c r="J1141" s="2" t="str">
        <f aca="false">""</f>
        <v/>
      </c>
      <c r="K1141" s="2" t="str">
        <f aca="false">""</f>
        <v/>
      </c>
      <c r="L1141" s="2" t="str">
        <f aca="false">IF($G1141="","","同時")</f>
        <v/>
      </c>
      <c r="M1141" s="2" t="str">
        <f aca="false">IF($G1141="","",IF(ISNA(MATCH($G1141,個別指定!$A:$A,0)),"行なし",""))</f>
        <v/>
      </c>
      <c r="N1141" s="2" t="str">
        <f aca="false">IF($G1141="","",IF(COUNTIF($G$2:$G$4460,$G1141)&gt;1,"重複",""))</f>
        <v/>
      </c>
    </row>
    <row r="1142" customFormat="false" ht="16.5" hidden="false" customHeight="true" outlineLevel="0" collapsed="false">
      <c r="A1142" s="2" t="s">
        <v>385</v>
      </c>
      <c r="B1142" s="2" t="s">
        <v>408</v>
      </c>
      <c r="C1142" s="2" t="s">
        <v>13</v>
      </c>
      <c r="D1142" s="2" t="str">
        <f aca="false">IF(2キー同時!$B$292="","",2キー同時!$B$292)</f>
        <v/>
      </c>
      <c r="E1142" s="2" t="str">
        <f aca="false">""</f>
        <v/>
      </c>
      <c r="F1142" s="2" t="str">
        <f aca="false">""</f>
        <v/>
      </c>
      <c r="G1142" s="2" t="str">
        <f aca="false">IF(2キー同時!$B$292="","",IF(2キー同時!L296="","",SUBSTITUTE(SUBSTITUTE(2キー同時!L296," ",""),"　","")))</f>
        <v/>
      </c>
      <c r="H1142" s="2" t="str">
        <f aca="false">IF($G1142="","",2キー同時!$B$292)</f>
        <v/>
      </c>
      <c r="I1142" s="2" t="str">
        <f aca="false">IF($G1142="","","w")</f>
        <v/>
      </c>
      <c r="J1142" s="2" t="str">
        <f aca="false">""</f>
        <v/>
      </c>
      <c r="K1142" s="2" t="str">
        <f aca="false">""</f>
        <v/>
      </c>
      <c r="L1142" s="2" t="str">
        <f aca="false">IF($G1142="","","同時")</f>
        <v/>
      </c>
      <c r="M1142" s="2" t="str">
        <f aca="false">IF($G1142="","",IF(ISNA(MATCH($G1142,個別指定!$A:$A,0)),"行なし",""))</f>
        <v/>
      </c>
      <c r="N1142" s="2" t="str">
        <f aca="false">IF($G1142="","",IF(COUNTIF($G$2:$G$4460,$G1142)&gt;1,"重複",""))</f>
        <v/>
      </c>
    </row>
    <row r="1143" customFormat="false" ht="16.5" hidden="false" customHeight="true" outlineLevel="0" collapsed="false">
      <c r="A1143" s="2" t="s">
        <v>385</v>
      </c>
      <c r="B1143" s="2" t="s">
        <v>408</v>
      </c>
      <c r="C1143" s="2" t="s">
        <v>14</v>
      </c>
      <c r="D1143" s="2" t="str">
        <f aca="false">IF(2キー同時!$B$292="","",2キー同時!$B$292)</f>
        <v/>
      </c>
      <c r="E1143" s="2" t="str">
        <f aca="false">""</f>
        <v/>
      </c>
      <c r="F1143" s="2" t="str">
        <f aca="false">""</f>
        <v/>
      </c>
      <c r="G1143" s="2" t="str">
        <f aca="false">IF(2キー同時!$B$292="","",IF(2キー同時!P296="","",SUBSTITUTE(SUBSTITUTE(2キー同時!P296," ",""),"　","")))</f>
        <v/>
      </c>
      <c r="H1143" s="2" t="str">
        <f aca="false">IF($G1143="","",2キー同時!$B$292)</f>
        <v/>
      </c>
      <c r="I1143" s="2" t="str">
        <f aca="false">IF($G1143="","","e")</f>
        <v/>
      </c>
      <c r="J1143" s="2" t="str">
        <f aca="false">""</f>
        <v/>
      </c>
      <c r="K1143" s="2" t="str">
        <f aca="false">""</f>
        <v/>
      </c>
      <c r="L1143" s="2" t="str">
        <f aca="false">IF($G1143="","","同時")</f>
        <v/>
      </c>
      <c r="M1143" s="2" t="str">
        <f aca="false">IF($G1143="","",IF(ISNA(MATCH($G1143,個別指定!$A:$A,0)),"行なし",""))</f>
        <v/>
      </c>
      <c r="N1143" s="2" t="str">
        <f aca="false">IF($G1143="","",IF(COUNTIF($G$2:$G$4460,$G1143)&gt;1,"重複",""))</f>
        <v/>
      </c>
    </row>
    <row r="1144" customFormat="false" ht="16.5" hidden="false" customHeight="true" outlineLevel="0" collapsed="false">
      <c r="A1144" s="2" t="s">
        <v>385</v>
      </c>
      <c r="B1144" s="2" t="s">
        <v>408</v>
      </c>
      <c r="C1144" s="2" t="s">
        <v>15</v>
      </c>
      <c r="D1144" s="2" t="str">
        <f aca="false">IF(2キー同時!$B$292="","",2キー同時!$B$292)</f>
        <v/>
      </c>
      <c r="E1144" s="2" t="str">
        <f aca="false">""</f>
        <v/>
      </c>
      <c r="F1144" s="2" t="str">
        <f aca="false">""</f>
        <v/>
      </c>
      <c r="G1144" s="2" t="str">
        <f aca="false">IF(2キー同時!$B$292="","",IF(2キー同時!T296="","",SUBSTITUTE(SUBSTITUTE(2キー同時!T296," ",""),"　","")))</f>
        <v/>
      </c>
      <c r="H1144" s="2" t="str">
        <f aca="false">IF($G1144="","",2キー同時!$B$292)</f>
        <v/>
      </c>
      <c r="I1144" s="2" t="str">
        <f aca="false">IF($G1144="","","r")</f>
        <v/>
      </c>
      <c r="J1144" s="2" t="str">
        <f aca="false">""</f>
        <v/>
      </c>
      <c r="K1144" s="2" t="str">
        <f aca="false">""</f>
        <v/>
      </c>
      <c r="L1144" s="2" t="str">
        <f aca="false">IF($G1144="","","同時")</f>
        <v/>
      </c>
      <c r="M1144" s="2" t="str">
        <f aca="false">IF($G1144="","",IF(ISNA(MATCH($G1144,個別指定!$A:$A,0)),"行なし",""))</f>
        <v/>
      </c>
      <c r="N1144" s="2" t="str">
        <f aca="false">IF($G1144="","",IF(COUNTIF($G$2:$G$4460,$G1144)&gt;1,"重複",""))</f>
        <v/>
      </c>
    </row>
    <row r="1145" customFormat="false" ht="16.5" hidden="false" customHeight="true" outlineLevel="0" collapsed="false">
      <c r="A1145" s="2" t="s">
        <v>385</v>
      </c>
      <c r="B1145" s="2" t="s">
        <v>408</v>
      </c>
      <c r="C1145" s="2" t="s">
        <v>16</v>
      </c>
      <c r="D1145" s="2" t="str">
        <f aca="false">IF(2キー同時!$B$292="","",2キー同時!$B$292)</f>
        <v/>
      </c>
      <c r="E1145" s="2" t="str">
        <f aca="false">""</f>
        <v/>
      </c>
      <c r="F1145" s="2" t="str">
        <f aca="false">""</f>
        <v/>
      </c>
      <c r="G1145" s="2" t="str">
        <f aca="false">IF(2キー同時!$B$292="","",IF(2キー同時!X296="","",SUBSTITUTE(SUBSTITUTE(2キー同時!X296," ",""),"　","")))</f>
        <v/>
      </c>
      <c r="H1145" s="2" t="str">
        <f aca="false">IF($G1145="","",2キー同時!$B$292)</f>
        <v/>
      </c>
      <c r="I1145" s="2" t="str">
        <f aca="false">IF($G1145="","","t")</f>
        <v/>
      </c>
      <c r="J1145" s="2" t="str">
        <f aca="false">""</f>
        <v/>
      </c>
      <c r="K1145" s="2" t="str">
        <f aca="false">""</f>
        <v/>
      </c>
      <c r="L1145" s="2" t="str">
        <f aca="false">IF($G1145="","","同時")</f>
        <v/>
      </c>
      <c r="M1145" s="2" t="str">
        <f aca="false">IF($G1145="","",IF(ISNA(MATCH($G1145,個別指定!$A:$A,0)),"行なし",""))</f>
        <v/>
      </c>
      <c r="N1145" s="2" t="str">
        <f aca="false">IF($G1145="","",IF(COUNTIF($G$2:$G$4460,$G1145)&gt;1,"重複",""))</f>
        <v/>
      </c>
    </row>
    <row r="1146" customFormat="false" ht="16.5" hidden="false" customHeight="true" outlineLevel="0" collapsed="false">
      <c r="A1146" s="2" t="s">
        <v>385</v>
      </c>
      <c r="B1146" s="2" t="s">
        <v>408</v>
      </c>
      <c r="C1146" s="2" t="s">
        <v>17</v>
      </c>
      <c r="D1146" s="2" t="str">
        <f aca="false">IF(2キー同時!$B$292="","",2キー同時!$B$292)</f>
        <v/>
      </c>
      <c r="E1146" s="2" t="str">
        <f aca="false">""</f>
        <v/>
      </c>
      <c r="F1146" s="2" t="str">
        <f aca="false">""</f>
        <v/>
      </c>
      <c r="G1146" s="2" t="str">
        <f aca="false">IF(2キー同時!$B$292="","",IF(2キー同時!AB296="","",SUBSTITUTE(SUBSTITUTE(2キー同時!AB296," ",""),"　","")))</f>
        <v/>
      </c>
      <c r="H1146" s="2" t="str">
        <f aca="false">IF($G1146="","",2キー同時!$B$292)</f>
        <v/>
      </c>
      <c r="I1146" s="2" t="str">
        <f aca="false">IF($G1146="","","y")</f>
        <v/>
      </c>
      <c r="J1146" s="2" t="str">
        <f aca="false">""</f>
        <v/>
      </c>
      <c r="K1146" s="2" t="str">
        <f aca="false">""</f>
        <v/>
      </c>
      <c r="L1146" s="2" t="str">
        <f aca="false">IF($G1146="","","同時")</f>
        <v/>
      </c>
      <c r="M1146" s="2" t="str">
        <f aca="false">IF($G1146="","",IF(ISNA(MATCH($G1146,個別指定!$A:$A,0)),"行なし",""))</f>
        <v/>
      </c>
      <c r="N1146" s="2" t="str">
        <f aca="false">IF($G1146="","",IF(COUNTIF($G$2:$G$4460,$G1146)&gt;1,"重複",""))</f>
        <v/>
      </c>
    </row>
    <row r="1147" customFormat="false" ht="16.5" hidden="false" customHeight="true" outlineLevel="0" collapsed="false">
      <c r="A1147" s="2" t="s">
        <v>385</v>
      </c>
      <c r="B1147" s="2" t="s">
        <v>408</v>
      </c>
      <c r="C1147" s="2" t="s">
        <v>18</v>
      </c>
      <c r="D1147" s="2" t="str">
        <f aca="false">IF(2キー同時!$B$292="","",2キー同時!$B$292)</f>
        <v/>
      </c>
      <c r="E1147" s="2" t="str">
        <f aca="false">""</f>
        <v/>
      </c>
      <c r="F1147" s="2" t="str">
        <f aca="false">""</f>
        <v/>
      </c>
      <c r="G1147" s="2" t="str">
        <f aca="false">IF(2キー同時!$B$292="","",IF(2キー同時!AF296="","",SUBSTITUTE(SUBSTITUTE(2キー同時!AF296," ",""),"　","")))</f>
        <v/>
      </c>
      <c r="H1147" s="2" t="str">
        <f aca="false">IF($G1147="","",2キー同時!$B$292)</f>
        <v/>
      </c>
      <c r="I1147" s="2" t="str">
        <f aca="false">IF($G1147="","","u")</f>
        <v/>
      </c>
      <c r="J1147" s="2" t="str">
        <f aca="false">""</f>
        <v/>
      </c>
      <c r="K1147" s="2" t="str">
        <f aca="false">""</f>
        <v/>
      </c>
      <c r="L1147" s="2" t="str">
        <f aca="false">IF($G1147="","","同時")</f>
        <v/>
      </c>
      <c r="M1147" s="2" t="str">
        <f aca="false">IF($G1147="","",IF(ISNA(MATCH($G1147,個別指定!$A:$A,0)),"行なし",""))</f>
        <v/>
      </c>
      <c r="N1147" s="2" t="str">
        <f aca="false">IF($G1147="","",IF(COUNTIF($G$2:$G$4460,$G1147)&gt;1,"重複",""))</f>
        <v/>
      </c>
    </row>
    <row r="1148" customFormat="false" ht="16.5" hidden="false" customHeight="true" outlineLevel="0" collapsed="false">
      <c r="A1148" s="2" t="s">
        <v>385</v>
      </c>
      <c r="B1148" s="2" t="s">
        <v>408</v>
      </c>
      <c r="C1148" s="2" t="s">
        <v>19</v>
      </c>
      <c r="D1148" s="2" t="str">
        <f aca="false">IF(2キー同時!$B$292="","",2キー同時!$B$292)</f>
        <v/>
      </c>
      <c r="E1148" s="2" t="str">
        <f aca="false">""</f>
        <v/>
      </c>
      <c r="F1148" s="2" t="str">
        <f aca="false">""</f>
        <v/>
      </c>
      <c r="G1148" s="2" t="str">
        <f aca="false">IF(2キー同時!$B$292="","",IF(2キー同時!AJ296="","",SUBSTITUTE(SUBSTITUTE(2キー同時!AJ296," ",""),"　","")))</f>
        <v/>
      </c>
      <c r="H1148" s="2" t="str">
        <f aca="false">IF($G1148="","",2キー同時!$B$292)</f>
        <v/>
      </c>
      <c r="I1148" s="2" t="str">
        <f aca="false">IF($G1148="","","i")</f>
        <v/>
      </c>
      <c r="J1148" s="2" t="str">
        <f aca="false">""</f>
        <v/>
      </c>
      <c r="K1148" s="2" t="str">
        <f aca="false">""</f>
        <v/>
      </c>
      <c r="L1148" s="2" t="str">
        <f aca="false">IF($G1148="","","同時")</f>
        <v/>
      </c>
      <c r="M1148" s="2" t="str">
        <f aca="false">IF($G1148="","",IF(ISNA(MATCH($G1148,個別指定!$A:$A,0)),"行なし",""))</f>
        <v/>
      </c>
      <c r="N1148" s="2" t="str">
        <f aca="false">IF($G1148="","",IF(COUNTIF($G$2:$G$4460,$G1148)&gt;1,"重複",""))</f>
        <v/>
      </c>
    </row>
    <row r="1149" customFormat="false" ht="16.5" hidden="false" customHeight="true" outlineLevel="0" collapsed="false">
      <c r="A1149" s="2" t="s">
        <v>385</v>
      </c>
      <c r="B1149" s="2" t="s">
        <v>408</v>
      </c>
      <c r="C1149" s="2" t="s">
        <v>20</v>
      </c>
      <c r="D1149" s="2" t="str">
        <f aca="false">IF(2キー同時!$B$292="","",2キー同時!$B$292)</f>
        <v/>
      </c>
      <c r="E1149" s="2" t="str">
        <f aca="false">""</f>
        <v/>
      </c>
      <c r="F1149" s="2" t="str">
        <f aca="false">""</f>
        <v/>
      </c>
      <c r="G1149" s="2" t="str">
        <f aca="false">IF(2キー同時!$B$292="","",IF(2キー同時!AN296="","",SUBSTITUTE(SUBSTITUTE(2キー同時!AN296," ",""),"　","")))</f>
        <v/>
      </c>
      <c r="H1149" s="2" t="str">
        <f aca="false">IF($G1149="","",2キー同時!$B$292)</f>
        <v/>
      </c>
      <c r="I1149" s="2" t="str">
        <f aca="false">IF($G1149="","","o")</f>
        <v/>
      </c>
      <c r="J1149" s="2" t="str">
        <f aca="false">""</f>
        <v/>
      </c>
      <c r="K1149" s="2" t="str">
        <f aca="false">""</f>
        <v/>
      </c>
      <c r="L1149" s="2" t="str">
        <f aca="false">IF($G1149="","","同時")</f>
        <v/>
      </c>
      <c r="M1149" s="2" t="str">
        <f aca="false">IF($G1149="","",IF(ISNA(MATCH($G1149,個別指定!$A:$A,0)),"行なし",""))</f>
        <v/>
      </c>
      <c r="N1149" s="2" t="str">
        <f aca="false">IF($G1149="","",IF(COUNTIF($G$2:$G$4460,$G1149)&gt;1,"重複",""))</f>
        <v/>
      </c>
    </row>
    <row r="1150" customFormat="false" ht="16.5" hidden="false" customHeight="true" outlineLevel="0" collapsed="false">
      <c r="A1150" s="2" t="s">
        <v>385</v>
      </c>
      <c r="B1150" s="2" t="s">
        <v>408</v>
      </c>
      <c r="C1150" s="2" t="s">
        <v>21</v>
      </c>
      <c r="D1150" s="2" t="str">
        <f aca="false">IF(2キー同時!$B$292="","",2キー同時!$B$292)</f>
        <v/>
      </c>
      <c r="E1150" s="2" t="str">
        <f aca="false">""</f>
        <v/>
      </c>
      <c r="F1150" s="2" t="str">
        <f aca="false">""</f>
        <v/>
      </c>
      <c r="G1150" s="2" t="str">
        <f aca="false">IF(2キー同時!$B$292="","",IF(2キー同時!AR296="","",SUBSTITUTE(SUBSTITUTE(2キー同時!AR296," ",""),"　","")))</f>
        <v/>
      </c>
      <c r="H1150" s="2" t="str">
        <f aca="false">IF($G1150="","",2キー同時!$B$292)</f>
        <v/>
      </c>
      <c r="I1150" s="2" t="str">
        <f aca="false">IF($G1150="","","p")</f>
        <v/>
      </c>
      <c r="J1150" s="2" t="str">
        <f aca="false">""</f>
        <v/>
      </c>
      <c r="K1150" s="2" t="str">
        <f aca="false">""</f>
        <v/>
      </c>
      <c r="L1150" s="2" t="str">
        <f aca="false">IF($G1150="","","同時")</f>
        <v/>
      </c>
      <c r="M1150" s="2" t="str">
        <f aca="false">IF($G1150="","",IF(ISNA(MATCH($G1150,個別指定!$A:$A,0)),"行なし",""))</f>
        <v/>
      </c>
      <c r="N1150" s="2" t="str">
        <f aca="false">IF($G1150="","",IF(COUNTIF($G$2:$G$4460,$G1150)&gt;1,"重複",""))</f>
        <v/>
      </c>
    </row>
    <row r="1151" customFormat="false" ht="16.5" hidden="false" customHeight="true" outlineLevel="0" collapsed="false">
      <c r="A1151" s="2" t="s">
        <v>385</v>
      </c>
      <c r="B1151" s="2" t="s">
        <v>408</v>
      </c>
      <c r="C1151" s="2" t="s">
        <v>22</v>
      </c>
      <c r="D1151" s="2" t="str">
        <f aca="false">IF(2キー同時!$B$292="","",2キー同時!$B$292)</f>
        <v/>
      </c>
      <c r="E1151" s="2" t="str">
        <f aca="false">""</f>
        <v/>
      </c>
      <c r="F1151" s="2" t="str">
        <f aca="false">""</f>
        <v/>
      </c>
      <c r="G1151" s="2" t="str">
        <f aca="false">IF(2キー同時!$B$292="","",IF(2キー同時!AV296="","",SUBSTITUTE(SUBSTITUTE(2キー同時!AV296," ",""),"　","")))</f>
        <v/>
      </c>
      <c r="H1151" s="2" t="str">
        <f aca="false">IF($G1151="","",2キー同時!$B$292)</f>
        <v/>
      </c>
      <c r="I1151" s="2" t="str">
        <f aca="false">IF($G1151="","","[")</f>
        <v/>
      </c>
      <c r="J1151" s="2" t="str">
        <f aca="false">""</f>
        <v/>
      </c>
      <c r="K1151" s="2" t="str">
        <f aca="false">""</f>
        <v/>
      </c>
      <c r="L1151" s="2" t="str">
        <f aca="false">IF($G1151="","","同時")</f>
        <v/>
      </c>
      <c r="M1151" s="2" t="str">
        <f aca="false">IF($G1151="","",IF(ISNA(MATCH($G1151,個別指定!$A:$A,0)),"行なし",""))</f>
        <v/>
      </c>
      <c r="N1151" s="2" t="str">
        <f aca="false">IF($G1151="","",IF(COUNTIF($G$2:$G$4460,$G1151)&gt;1,"重複",""))</f>
        <v/>
      </c>
    </row>
    <row r="1152" customFormat="false" ht="16.5" hidden="false" customHeight="true" outlineLevel="0" collapsed="false">
      <c r="A1152" s="2" t="s">
        <v>385</v>
      </c>
      <c r="B1152" s="2" t="s">
        <v>408</v>
      </c>
      <c r="C1152" s="2" t="s">
        <v>23</v>
      </c>
      <c r="D1152" s="2" t="str">
        <f aca="false">IF(2キー同時!$B$292="","",2キー同時!$B$292)</f>
        <v/>
      </c>
      <c r="E1152" s="2" t="str">
        <f aca="false">""</f>
        <v/>
      </c>
      <c r="F1152" s="2" t="str">
        <f aca="false">""</f>
        <v/>
      </c>
      <c r="G1152" s="2" t="str">
        <f aca="false">IF(2キー同時!$B$292="","",IF(2キー同時!AZ296="","",SUBSTITUTE(SUBSTITUTE(2キー同時!AZ296," ",""),"　","")))</f>
        <v/>
      </c>
      <c r="H1152" s="2" t="str">
        <f aca="false">IF($G1152="","",2キー同時!$B$292)</f>
        <v/>
      </c>
      <c r="I1152" s="2" t="str">
        <f aca="false">IF($G1152="","","]")</f>
        <v/>
      </c>
      <c r="J1152" s="2" t="str">
        <f aca="false">""</f>
        <v/>
      </c>
      <c r="K1152" s="2" t="str">
        <f aca="false">""</f>
        <v/>
      </c>
      <c r="L1152" s="2" t="str">
        <f aca="false">IF($G1152="","","同時")</f>
        <v/>
      </c>
      <c r="M1152" s="2" t="str">
        <f aca="false">IF($G1152="","",IF(ISNA(MATCH($G1152,個別指定!$A:$A,0)),"行なし",""))</f>
        <v/>
      </c>
      <c r="N1152" s="2" t="str">
        <f aca="false">IF($G1152="","",IF(COUNTIF($G$2:$G$4460,$G1152)&gt;1,"重複",""))</f>
        <v/>
      </c>
    </row>
    <row r="1153" customFormat="false" ht="16.5" hidden="false" customHeight="true" outlineLevel="0" collapsed="false">
      <c r="A1153" s="2" t="s">
        <v>385</v>
      </c>
      <c r="B1153" s="2" t="s">
        <v>408</v>
      </c>
      <c r="C1153" s="2" t="s">
        <v>24</v>
      </c>
      <c r="D1153" s="2" t="str">
        <f aca="false">IF(2キー同時!$B$292="","",2キー同時!$B$292)</f>
        <v/>
      </c>
      <c r="E1153" s="2" t="str">
        <f aca="false">""</f>
        <v/>
      </c>
      <c r="F1153" s="2" t="str">
        <f aca="false">""</f>
        <v/>
      </c>
      <c r="G1153" s="2" t="str">
        <f aca="false">IF(2キー同時!$B$292="","",IF(2キー同時!I298="","",SUBSTITUTE(SUBSTITUTE(2キー同時!I298," ",""),"　","")))</f>
        <v/>
      </c>
      <c r="H1153" s="2" t="str">
        <f aca="false">IF($G1153="","",2キー同時!$B$292)</f>
        <v/>
      </c>
      <c r="I1153" s="2" t="str">
        <f aca="false">IF($G1153="","","a")</f>
        <v/>
      </c>
      <c r="J1153" s="2" t="str">
        <f aca="false">""</f>
        <v/>
      </c>
      <c r="K1153" s="2" t="str">
        <f aca="false">""</f>
        <v/>
      </c>
      <c r="L1153" s="2" t="str">
        <f aca="false">IF($G1153="","","同時")</f>
        <v/>
      </c>
      <c r="M1153" s="2" t="str">
        <f aca="false">IF($G1153="","",IF(ISNA(MATCH($G1153,個別指定!$A:$A,0)),"行なし",""))</f>
        <v/>
      </c>
      <c r="N1153" s="2" t="str">
        <f aca="false">IF($G1153="","",IF(COUNTIF($G$2:$G$4460,$G1153)&gt;1,"重複",""))</f>
        <v/>
      </c>
    </row>
    <row r="1154" customFormat="false" ht="16.5" hidden="false" customHeight="true" outlineLevel="0" collapsed="false">
      <c r="A1154" s="2" t="s">
        <v>385</v>
      </c>
      <c r="B1154" s="2" t="s">
        <v>408</v>
      </c>
      <c r="C1154" s="2" t="s">
        <v>25</v>
      </c>
      <c r="D1154" s="2" t="str">
        <f aca="false">IF(2キー同時!$B$292="","",2キー同時!$B$292)</f>
        <v/>
      </c>
      <c r="E1154" s="2" t="str">
        <f aca="false">""</f>
        <v/>
      </c>
      <c r="F1154" s="2" t="str">
        <f aca="false">""</f>
        <v/>
      </c>
      <c r="G1154" s="2" t="str">
        <f aca="false">IF(2キー同時!$B$292="","",IF(2キー同時!M298="","",SUBSTITUTE(SUBSTITUTE(2キー同時!M298," ",""),"　","")))</f>
        <v/>
      </c>
      <c r="H1154" s="2" t="str">
        <f aca="false">IF($G1154="","",2キー同時!$B$292)</f>
        <v/>
      </c>
      <c r="I1154" s="2" t="str">
        <f aca="false">IF($G1154="","","s")</f>
        <v/>
      </c>
      <c r="J1154" s="2" t="str">
        <f aca="false">""</f>
        <v/>
      </c>
      <c r="K1154" s="2" t="str">
        <f aca="false">""</f>
        <v/>
      </c>
      <c r="L1154" s="2" t="str">
        <f aca="false">IF($G1154="","","同時")</f>
        <v/>
      </c>
      <c r="M1154" s="2" t="str">
        <f aca="false">IF($G1154="","",IF(ISNA(MATCH($G1154,個別指定!$A:$A,0)),"行なし",""))</f>
        <v/>
      </c>
      <c r="N1154" s="2" t="str">
        <f aca="false">IF($G1154="","",IF(COUNTIF($G$2:$G$4460,$G1154)&gt;1,"重複",""))</f>
        <v/>
      </c>
    </row>
    <row r="1155" customFormat="false" ht="16.5" hidden="false" customHeight="true" outlineLevel="0" collapsed="false">
      <c r="A1155" s="2" t="s">
        <v>385</v>
      </c>
      <c r="B1155" s="2" t="s">
        <v>408</v>
      </c>
      <c r="C1155" s="2" t="s">
        <v>26</v>
      </c>
      <c r="D1155" s="2" t="str">
        <f aca="false">IF(2キー同時!$B$292="","",2キー同時!$B$292)</f>
        <v/>
      </c>
      <c r="E1155" s="2" t="str">
        <f aca="false">""</f>
        <v/>
      </c>
      <c r="F1155" s="2" t="str">
        <f aca="false">""</f>
        <v/>
      </c>
      <c r="G1155" s="2" t="str">
        <f aca="false">IF(2キー同時!$B$292="","",IF(2キー同時!Q298="","",SUBSTITUTE(SUBSTITUTE(2キー同時!Q298," ",""),"　","")))</f>
        <v/>
      </c>
      <c r="H1155" s="2" t="str">
        <f aca="false">IF($G1155="","",2キー同時!$B$292)</f>
        <v/>
      </c>
      <c r="I1155" s="2" t="str">
        <f aca="false">IF($G1155="","","d")</f>
        <v/>
      </c>
      <c r="J1155" s="2" t="str">
        <f aca="false">""</f>
        <v/>
      </c>
      <c r="K1155" s="2" t="str">
        <f aca="false">""</f>
        <v/>
      </c>
      <c r="L1155" s="2" t="str">
        <f aca="false">IF($G1155="","","同時")</f>
        <v/>
      </c>
      <c r="M1155" s="2" t="str">
        <f aca="false">IF($G1155="","",IF(ISNA(MATCH($G1155,個別指定!$A:$A,0)),"行なし",""))</f>
        <v/>
      </c>
      <c r="N1155" s="2" t="str">
        <f aca="false">IF($G1155="","",IF(COUNTIF($G$2:$G$4460,$G1155)&gt;1,"重複",""))</f>
        <v/>
      </c>
    </row>
    <row r="1156" customFormat="false" ht="16.5" hidden="false" customHeight="true" outlineLevel="0" collapsed="false">
      <c r="A1156" s="2" t="s">
        <v>385</v>
      </c>
      <c r="B1156" s="2" t="s">
        <v>408</v>
      </c>
      <c r="C1156" s="2" t="s">
        <v>27</v>
      </c>
      <c r="D1156" s="2" t="str">
        <f aca="false">IF(2キー同時!$B$292="","",2キー同時!$B$292)</f>
        <v/>
      </c>
      <c r="E1156" s="2" t="str">
        <f aca="false">""</f>
        <v/>
      </c>
      <c r="F1156" s="2" t="str">
        <f aca="false">""</f>
        <v/>
      </c>
      <c r="G1156" s="2" t="str">
        <f aca="false">IF(2キー同時!$B$292="","",IF(2キー同時!U298="","",SUBSTITUTE(SUBSTITUTE(2キー同時!U298," ",""),"　","")))</f>
        <v/>
      </c>
      <c r="H1156" s="2" t="str">
        <f aca="false">IF($G1156="","",2キー同時!$B$292)</f>
        <v/>
      </c>
      <c r="I1156" s="2" t="str">
        <f aca="false">IF($G1156="","","f")</f>
        <v/>
      </c>
      <c r="J1156" s="2" t="str">
        <f aca="false">""</f>
        <v/>
      </c>
      <c r="K1156" s="2" t="str">
        <f aca="false">""</f>
        <v/>
      </c>
      <c r="L1156" s="2" t="str">
        <f aca="false">IF($G1156="","","同時")</f>
        <v/>
      </c>
      <c r="M1156" s="2" t="str">
        <f aca="false">IF($G1156="","",IF(ISNA(MATCH($G1156,個別指定!$A:$A,0)),"行なし",""))</f>
        <v/>
      </c>
      <c r="N1156" s="2" t="str">
        <f aca="false">IF($G1156="","",IF(COUNTIF($G$2:$G$4460,$G1156)&gt;1,"重複",""))</f>
        <v/>
      </c>
    </row>
    <row r="1157" customFormat="false" ht="16.5" hidden="false" customHeight="true" outlineLevel="0" collapsed="false">
      <c r="A1157" s="2" t="s">
        <v>385</v>
      </c>
      <c r="B1157" s="2" t="s">
        <v>408</v>
      </c>
      <c r="C1157" s="2" t="s">
        <v>28</v>
      </c>
      <c r="D1157" s="2" t="str">
        <f aca="false">IF(2キー同時!$B$292="","",2キー同時!$B$292)</f>
        <v/>
      </c>
      <c r="E1157" s="2" t="str">
        <f aca="false">""</f>
        <v/>
      </c>
      <c r="F1157" s="2" t="str">
        <f aca="false">""</f>
        <v/>
      </c>
      <c r="G1157" s="2" t="str">
        <f aca="false">IF(2キー同時!$B$292="","",IF(2キー同時!Y298="","",SUBSTITUTE(SUBSTITUTE(2キー同時!Y298," ",""),"　","")))</f>
        <v/>
      </c>
      <c r="H1157" s="2" t="str">
        <f aca="false">IF($G1157="","",2キー同時!$B$292)</f>
        <v/>
      </c>
      <c r="I1157" s="2" t="str">
        <f aca="false">IF($G1157="","","g")</f>
        <v/>
      </c>
      <c r="J1157" s="2" t="str">
        <f aca="false">""</f>
        <v/>
      </c>
      <c r="K1157" s="2" t="str">
        <f aca="false">""</f>
        <v/>
      </c>
      <c r="L1157" s="2" t="str">
        <f aca="false">IF($G1157="","","同時")</f>
        <v/>
      </c>
      <c r="M1157" s="2" t="str">
        <f aca="false">IF($G1157="","",IF(ISNA(MATCH($G1157,個別指定!$A:$A,0)),"行なし",""))</f>
        <v/>
      </c>
      <c r="N1157" s="2" t="str">
        <f aca="false">IF($G1157="","",IF(COUNTIF($G$2:$G$4460,$G1157)&gt;1,"重複",""))</f>
        <v/>
      </c>
    </row>
    <row r="1158" customFormat="false" ht="16.5" hidden="false" customHeight="true" outlineLevel="0" collapsed="false">
      <c r="A1158" s="2" t="s">
        <v>385</v>
      </c>
      <c r="B1158" s="2" t="s">
        <v>408</v>
      </c>
      <c r="C1158" s="2" t="s">
        <v>29</v>
      </c>
      <c r="D1158" s="2" t="str">
        <f aca="false">IF(2キー同時!$B$292="","",2キー同時!$B$292)</f>
        <v/>
      </c>
      <c r="E1158" s="2" t="str">
        <f aca="false">""</f>
        <v/>
      </c>
      <c r="F1158" s="2" t="str">
        <f aca="false">""</f>
        <v/>
      </c>
      <c r="G1158" s="2" t="str">
        <f aca="false">IF(2キー同時!$B$292="","",IF(2キー同時!AC298="","",SUBSTITUTE(SUBSTITUTE(2キー同時!AC298," ",""),"　","")))</f>
        <v/>
      </c>
      <c r="H1158" s="2" t="str">
        <f aca="false">IF($G1158="","",2キー同時!$B$292)</f>
        <v/>
      </c>
      <c r="I1158" s="2" t="str">
        <f aca="false">IF($G1158="","","h")</f>
        <v/>
      </c>
      <c r="J1158" s="2" t="str">
        <f aca="false">""</f>
        <v/>
      </c>
      <c r="K1158" s="2" t="str">
        <f aca="false">""</f>
        <v/>
      </c>
      <c r="L1158" s="2" t="str">
        <f aca="false">IF($G1158="","","同時")</f>
        <v/>
      </c>
      <c r="M1158" s="2" t="str">
        <f aca="false">IF($G1158="","",IF(ISNA(MATCH($G1158,個別指定!$A:$A,0)),"行なし",""))</f>
        <v/>
      </c>
      <c r="N1158" s="2" t="str">
        <f aca="false">IF($G1158="","",IF(COUNTIF($G$2:$G$4460,$G1158)&gt;1,"重複",""))</f>
        <v/>
      </c>
    </row>
    <row r="1159" customFormat="false" ht="16.5" hidden="false" customHeight="true" outlineLevel="0" collapsed="false">
      <c r="A1159" s="2" t="s">
        <v>385</v>
      </c>
      <c r="B1159" s="2" t="s">
        <v>408</v>
      </c>
      <c r="C1159" s="2" t="s">
        <v>30</v>
      </c>
      <c r="D1159" s="2" t="str">
        <f aca="false">IF(2キー同時!$B$292="","",2キー同時!$B$292)</f>
        <v/>
      </c>
      <c r="E1159" s="2" t="str">
        <f aca="false">""</f>
        <v/>
      </c>
      <c r="F1159" s="2" t="str">
        <f aca="false">""</f>
        <v/>
      </c>
      <c r="G1159" s="2" t="str">
        <f aca="false">IF(2キー同時!$B$292="","",IF(2キー同時!AG298="","",SUBSTITUTE(SUBSTITUTE(2キー同時!AG298," ",""),"　","")))</f>
        <v/>
      </c>
      <c r="H1159" s="2" t="str">
        <f aca="false">IF($G1159="","",2キー同時!$B$292)</f>
        <v/>
      </c>
      <c r="I1159" s="2" t="str">
        <f aca="false">IF($G1159="","","j")</f>
        <v/>
      </c>
      <c r="J1159" s="2" t="str">
        <f aca="false">""</f>
        <v/>
      </c>
      <c r="K1159" s="2" t="str">
        <f aca="false">""</f>
        <v/>
      </c>
      <c r="L1159" s="2" t="str">
        <f aca="false">IF($G1159="","","同時")</f>
        <v/>
      </c>
      <c r="M1159" s="2" t="str">
        <f aca="false">IF($G1159="","",IF(ISNA(MATCH($G1159,個別指定!$A:$A,0)),"行なし",""))</f>
        <v/>
      </c>
      <c r="N1159" s="2" t="str">
        <f aca="false">IF($G1159="","",IF(COUNTIF($G$2:$G$4460,$G1159)&gt;1,"重複",""))</f>
        <v/>
      </c>
    </row>
    <row r="1160" customFormat="false" ht="16.5" hidden="false" customHeight="true" outlineLevel="0" collapsed="false">
      <c r="A1160" s="2" t="s">
        <v>385</v>
      </c>
      <c r="B1160" s="2" t="s">
        <v>408</v>
      </c>
      <c r="C1160" s="2" t="s">
        <v>31</v>
      </c>
      <c r="D1160" s="2" t="str">
        <f aca="false">IF(2キー同時!$B$292="","",2キー同時!$B$292)</f>
        <v/>
      </c>
      <c r="E1160" s="2" t="str">
        <f aca="false">""</f>
        <v/>
      </c>
      <c r="F1160" s="2" t="str">
        <f aca="false">""</f>
        <v/>
      </c>
      <c r="G1160" s="2" t="str">
        <f aca="false">IF(2キー同時!$B$292="","",IF(2キー同時!AK298="","",SUBSTITUTE(SUBSTITUTE(2キー同時!AK298," ",""),"　","")))</f>
        <v/>
      </c>
      <c r="H1160" s="2" t="str">
        <f aca="false">IF($G1160="","",2キー同時!$B$292)</f>
        <v/>
      </c>
      <c r="I1160" s="2" t="str">
        <f aca="false">IF($G1160="","","k")</f>
        <v/>
      </c>
      <c r="J1160" s="2" t="str">
        <f aca="false">""</f>
        <v/>
      </c>
      <c r="K1160" s="2" t="str">
        <f aca="false">""</f>
        <v/>
      </c>
      <c r="L1160" s="2" t="str">
        <f aca="false">IF($G1160="","","同時")</f>
        <v/>
      </c>
      <c r="M1160" s="2" t="str">
        <f aca="false">IF($G1160="","",IF(ISNA(MATCH($G1160,個別指定!$A:$A,0)),"行なし",""))</f>
        <v/>
      </c>
      <c r="N1160" s="2" t="str">
        <f aca="false">IF($G1160="","",IF(COUNTIF($G$2:$G$4460,$G1160)&gt;1,"重複",""))</f>
        <v/>
      </c>
    </row>
    <row r="1161" customFormat="false" ht="16.5" hidden="false" customHeight="true" outlineLevel="0" collapsed="false">
      <c r="A1161" s="2" t="s">
        <v>385</v>
      </c>
      <c r="B1161" s="2" t="s">
        <v>408</v>
      </c>
      <c r="C1161" s="2" t="s">
        <v>32</v>
      </c>
      <c r="D1161" s="2" t="str">
        <f aca="false">IF(2キー同時!$B$292="","",2キー同時!$B$292)</f>
        <v/>
      </c>
      <c r="E1161" s="2" t="str">
        <f aca="false">""</f>
        <v/>
      </c>
      <c r="F1161" s="2" t="str">
        <f aca="false">""</f>
        <v/>
      </c>
      <c r="G1161" s="2" t="str">
        <f aca="false">IF(2キー同時!$B$292="","",IF(2キー同時!AO298="","",SUBSTITUTE(SUBSTITUTE(2キー同時!AO298," ",""),"　","")))</f>
        <v/>
      </c>
      <c r="H1161" s="2" t="str">
        <f aca="false">IF($G1161="","",2キー同時!$B$292)</f>
        <v/>
      </c>
      <c r="I1161" s="2" t="str">
        <f aca="false">IF($G1161="","","l")</f>
        <v/>
      </c>
      <c r="J1161" s="2" t="str">
        <f aca="false">""</f>
        <v/>
      </c>
      <c r="K1161" s="2" t="str">
        <f aca="false">""</f>
        <v/>
      </c>
      <c r="L1161" s="2" t="str">
        <f aca="false">IF($G1161="","","同時")</f>
        <v/>
      </c>
      <c r="M1161" s="2" t="str">
        <f aca="false">IF($G1161="","",IF(ISNA(MATCH($G1161,個別指定!$A:$A,0)),"行なし",""))</f>
        <v/>
      </c>
      <c r="N1161" s="2" t="str">
        <f aca="false">IF($G1161="","",IF(COUNTIF($G$2:$G$4460,$G1161)&gt;1,"重複",""))</f>
        <v/>
      </c>
    </row>
    <row r="1162" customFormat="false" ht="16.5" hidden="false" customHeight="true" outlineLevel="0" collapsed="false">
      <c r="A1162" s="2" t="s">
        <v>385</v>
      </c>
      <c r="B1162" s="2" t="s">
        <v>408</v>
      </c>
      <c r="C1162" s="2" t="s">
        <v>33</v>
      </c>
      <c r="D1162" s="2" t="str">
        <f aca="false">IF(2キー同時!$B$292="","",2キー同時!$B$292)</f>
        <v/>
      </c>
      <c r="E1162" s="2" t="str">
        <f aca="false">""</f>
        <v/>
      </c>
      <c r="F1162" s="2" t="str">
        <f aca="false">""</f>
        <v/>
      </c>
      <c r="G1162" s="2" t="str">
        <f aca="false">IF(2キー同時!$B$292="","",IF(2キー同時!AS298="","",SUBSTITUTE(SUBSTITUTE(2キー同時!AS298," ",""),"　","")))</f>
        <v/>
      </c>
      <c r="H1162" s="2" t="str">
        <f aca="false">IF($G1162="","",2キー同時!$B$292)</f>
        <v/>
      </c>
      <c r="I1162" s="2" t="str">
        <f aca="false">IF($G1162="","",";")</f>
        <v/>
      </c>
      <c r="J1162" s="2" t="str">
        <f aca="false">""</f>
        <v/>
      </c>
      <c r="K1162" s="2" t="str">
        <f aca="false">""</f>
        <v/>
      </c>
      <c r="L1162" s="2" t="str">
        <f aca="false">IF($G1162="","","同時")</f>
        <v/>
      </c>
      <c r="M1162" s="2" t="str">
        <f aca="false">IF($G1162="","",IF(ISNA(MATCH($G1162,個別指定!$A:$A,0)),"行なし",""))</f>
        <v/>
      </c>
      <c r="N1162" s="2" t="str">
        <f aca="false">IF($G1162="","",IF(COUNTIF($G$2:$G$4460,$G1162)&gt;1,"重複",""))</f>
        <v/>
      </c>
    </row>
    <row r="1163" customFormat="false" ht="16.5" hidden="false" customHeight="true" outlineLevel="0" collapsed="false">
      <c r="A1163" s="2" t="s">
        <v>385</v>
      </c>
      <c r="B1163" s="2" t="s">
        <v>408</v>
      </c>
      <c r="C1163" s="2" t="s">
        <v>34</v>
      </c>
      <c r="D1163" s="2" t="str">
        <f aca="false">IF(2キー同時!$B$292="","",2キー同時!$B$292)</f>
        <v/>
      </c>
      <c r="E1163" s="2" t="str">
        <f aca="false">""</f>
        <v/>
      </c>
      <c r="F1163" s="2" t="str">
        <f aca="false">""</f>
        <v/>
      </c>
      <c r="G1163" s="2" t="str">
        <f aca="false">IF(2キー同時!$B$292="","",IF(2キー同時!AW298="","",SUBSTITUTE(SUBSTITUTE(2キー同時!AW298," ",""),"　","")))</f>
        <v/>
      </c>
      <c r="H1163" s="2" t="str">
        <f aca="false">IF($G1163="","",2キー同時!$B$292)</f>
        <v/>
      </c>
      <c r="I1163" s="2" t="str">
        <f aca="false">IF($G1163="","","'")</f>
        <v/>
      </c>
      <c r="J1163" s="2" t="str">
        <f aca="false">""</f>
        <v/>
      </c>
      <c r="K1163" s="2" t="str">
        <f aca="false">""</f>
        <v/>
      </c>
      <c r="L1163" s="2" t="str">
        <f aca="false">IF($G1163="","","同時")</f>
        <v/>
      </c>
      <c r="M1163" s="2" t="str">
        <f aca="false">IF($G1163="","",IF(ISNA(MATCH($G1163,個別指定!$A:$A,0)),"行なし",""))</f>
        <v/>
      </c>
      <c r="N1163" s="2" t="str">
        <f aca="false">IF($G1163="","",IF(COUNTIF($G$2:$G$4460,$G1163)&gt;1,"重複",""))</f>
        <v/>
      </c>
    </row>
    <row r="1164" customFormat="false" ht="16.5" hidden="false" customHeight="true" outlineLevel="0" collapsed="false">
      <c r="A1164" s="2" t="s">
        <v>385</v>
      </c>
      <c r="B1164" s="2" t="s">
        <v>408</v>
      </c>
      <c r="C1164" s="2" t="s">
        <v>35</v>
      </c>
      <c r="D1164" s="2" t="str">
        <f aca="false">IF(2キー同時!$B$292="","",2キー同時!$B$292)</f>
        <v/>
      </c>
      <c r="E1164" s="2" t="str">
        <f aca="false">""</f>
        <v/>
      </c>
      <c r="F1164" s="2" t="str">
        <f aca="false">""</f>
        <v/>
      </c>
      <c r="G1164" s="2" t="str">
        <f aca="false">IF(2キー同時!$B$292="","",IF(2キー同時!K300="","",SUBSTITUTE(SUBSTITUTE(2キー同時!K300," ",""),"　","")))</f>
        <v/>
      </c>
      <c r="H1164" s="2" t="str">
        <f aca="false">IF($G1164="","",2キー同時!$B$292)</f>
        <v/>
      </c>
      <c r="I1164" s="2" t="str">
        <f aca="false">IF($G1164="","","z")</f>
        <v/>
      </c>
      <c r="J1164" s="2" t="str">
        <f aca="false">""</f>
        <v/>
      </c>
      <c r="K1164" s="2" t="str">
        <f aca="false">""</f>
        <v/>
      </c>
      <c r="L1164" s="2" t="str">
        <f aca="false">IF($G1164="","","同時")</f>
        <v/>
      </c>
      <c r="M1164" s="2" t="str">
        <f aca="false">IF($G1164="","",IF(ISNA(MATCH($G1164,個別指定!$A:$A,0)),"行なし",""))</f>
        <v/>
      </c>
      <c r="N1164" s="2" t="str">
        <f aca="false">IF($G1164="","",IF(COUNTIF($G$2:$G$4460,$G1164)&gt;1,"重複",""))</f>
        <v/>
      </c>
    </row>
    <row r="1165" customFormat="false" ht="16.5" hidden="false" customHeight="true" outlineLevel="0" collapsed="false">
      <c r="A1165" s="2" t="s">
        <v>385</v>
      </c>
      <c r="B1165" s="2" t="s">
        <v>408</v>
      </c>
      <c r="C1165" s="2" t="s">
        <v>36</v>
      </c>
      <c r="D1165" s="2" t="str">
        <f aca="false">IF(2キー同時!$B$292="","",2キー同時!$B$292)</f>
        <v/>
      </c>
      <c r="E1165" s="2" t="str">
        <f aca="false">""</f>
        <v/>
      </c>
      <c r="F1165" s="2" t="str">
        <f aca="false">""</f>
        <v/>
      </c>
      <c r="G1165" s="2" t="str">
        <f aca="false">IF(2キー同時!$B$292="","",IF(2キー同時!O300="","",SUBSTITUTE(SUBSTITUTE(2キー同時!O300," ",""),"　","")))</f>
        <v/>
      </c>
      <c r="H1165" s="2" t="str">
        <f aca="false">IF($G1165="","",2キー同時!$B$292)</f>
        <v/>
      </c>
      <c r="I1165" s="2" t="str">
        <f aca="false">IF($G1165="","","x")</f>
        <v/>
      </c>
      <c r="J1165" s="2" t="str">
        <f aca="false">""</f>
        <v/>
      </c>
      <c r="K1165" s="2" t="str">
        <f aca="false">""</f>
        <v/>
      </c>
      <c r="L1165" s="2" t="str">
        <f aca="false">IF($G1165="","","同時")</f>
        <v/>
      </c>
      <c r="M1165" s="2" t="str">
        <f aca="false">IF($G1165="","",IF(ISNA(MATCH($G1165,個別指定!$A:$A,0)),"行なし",""))</f>
        <v/>
      </c>
      <c r="N1165" s="2" t="str">
        <f aca="false">IF($G1165="","",IF(COUNTIF($G$2:$G$4460,$G1165)&gt;1,"重複",""))</f>
        <v/>
      </c>
    </row>
    <row r="1166" customFormat="false" ht="16.5" hidden="false" customHeight="true" outlineLevel="0" collapsed="false">
      <c r="A1166" s="2" t="s">
        <v>385</v>
      </c>
      <c r="B1166" s="2" t="s">
        <v>408</v>
      </c>
      <c r="C1166" s="2" t="s">
        <v>37</v>
      </c>
      <c r="D1166" s="2" t="str">
        <f aca="false">IF(2キー同時!$B$292="","",2キー同時!$B$292)</f>
        <v/>
      </c>
      <c r="E1166" s="2" t="str">
        <f aca="false">""</f>
        <v/>
      </c>
      <c r="F1166" s="2" t="str">
        <f aca="false">""</f>
        <v/>
      </c>
      <c r="G1166" s="2" t="str">
        <f aca="false">IF(2キー同時!$B$292="","",IF(2キー同時!S300="","",SUBSTITUTE(SUBSTITUTE(2キー同時!S300," ",""),"　","")))</f>
        <v/>
      </c>
      <c r="H1166" s="2" t="str">
        <f aca="false">IF($G1166="","",2キー同時!$B$292)</f>
        <v/>
      </c>
      <c r="I1166" s="2" t="str">
        <f aca="false">IF($G1166="","","c")</f>
        <v/>
      </c>
      <c r="J1166" s="2" t="str">
        <f aca="false">""</f>
        <v/>
      </c>
      <c r="K1166" s="2" t="str">
        <f aca="false">""</f>
        <v/>
      </c>
      <c r="L1166" s="2" t="str">
        <f aca="false">IF($G1166="","","同時")</f>
        <v/>
      </c>
      <c r="M1166" s="2" t="str">
        <f aca="false">IF($G1166="","",IF(ISNA(MATCH($G1166,個別指定!$A:$A,0)),"行なし",""))</f>
        <v/>
      </c>
      <c r="N1166" s="2" t="str">
        <f aca="false">IF($G1166="","",IF(COUNTIF($G$2:$G$4460,$G1166)&gt;1,"重複",""))</f>
        <v/>
      </c>
    </row>
    <row r="1167" customFormat="false" ht="16.5" hidden="false" customHeight="true" outlineLevel="0" collapsed="false">
      <c r="A1167" s="2" t="s">
        <v>385</v>
      </c>
      <c r="B1167" s="2" t="s">
        <v>408</v>
      </c>
      <c r="C1167" s="2" t="s">
        <v>38</v>
      </c>
      <c r="D1167" s="2" t="str">
        <f aca="false">IF(2キー同時!$B$292="","",2キー同時!$B$292)</f>
        <v/>
      </c>
      <c r="E1167" s="2" t="str">
        <f aca="false">""</f>
        <v/>
      </c>
      <c r="F1167" s="2" t="str">
        <f aca="false">""</f>
        <v/>
      </c>
      <c r="G1167" s="2" t="str">
        <f aca="false">IF(2キー同時!$B$292="","",IF(2キー同時!W300="","",SUBSTITUTE(SUBSTITUTE(2キー同時!W300," ",""),"　","")))</f>
        <v/>
      </c>
      <c r="H1167" s="2" t="str">
        <f aca="false">IF($G1167="","",2キー同時!$B$292)</f>
        <v/>
      </c>
      <c r="I1167" s="2" t="str">
        <f aca="false">IF($G1167="","","v")</f>
        <v/>
      </c>
      <c r="J1167" s="2" t="str">
        <f aca="false">""</f>
        <v/>
      </c>
      <c r="K1167" s="2" t="str">
        <f aca="false">""</f>
        <v/>
      </c>
      <c r="L1167" s="2" t="str">
        <f aca="false">IF($G1167="","","同時")</f>
        <v/>
      </c>
      <c r="M1167" s="2" t="str">
        <f aca="false">IF($G1167="","",IF(ISNA(MATCH($G1167,個別指定!$A:$A,0)),"行なし",""))</f>
        <v/>
      </c>
      <c r="N1167" s="2" t="str">
        <f aca="false">IF($G1167="","",IF(COUNTIF($G$2:$G$4460,$G1167)&gt;1,"重複",""))</f>
        <v/>
      </c>
    </row>
    <row r="1168" customFormat="false" ht="16.5" hidden="false" customHeight="true" outlineLevel="0" collapsed="false">
      <c r="A1168" s="2" t="s">
        <v>385</v>
      </c>
      <c r="B1168" s="2" t="s">
        <v>408</v>
      </c>
      <c r="C1168" s="2" t="s">
        <v>39</v>
      </c>
      <c r="D1168" s="2" t="str">
        <f aca="false">IF(2キー同時!$B$292="","",2キー同時!$B$292)</f>
        <v/>
      </c>
      <c r="E1168" s="2" t="str">
        <f aca="false">""</f>
        <v/>
      </c>
      <c r="F1168" s="2" t="str">
        <f aca="false">""</f>
        <v/>
      </c>
      <c r="G1168" s="2" t="str">
        <f aca="false">IF(2キー同時!$B$292="","",IF(2キー同時!AA300="","",SUBSTITUTE(SUBSTITUTE(2キー同時!AA300," ",""),"　","")))</f>
        <v/>
      </c>
      <c r="H1168" s="2" t="str">
        <f aca="false">IF($G1168="","",2キー同時!$B$292)</f>
        <v/>
      </c>
      <c r="I1168" s="2" t="str">
        <f aca="false">IF($G1168="","","b")</f>
        <v/>
      </c>
      <c r="J1168" s="2" t="str">
        <f aca="false">""</f>
        <v/>
      </c>
      <c r="K1168" s="2" t="str">
        <f aca="false">""</f>
        <v/>
      </c>
      <c r="L1168" s="2" t="str">
        <f aca="false">IF($G1168="","","同時")</f>
        <v/>
      </c>
      <c r="M1168" s="2" t="str">
        <f aca="false">IF($G1168="","",IF(ISNA(MATCH($G1168,個別指定!$A:$A,0)),"行なし",""))</f>
        <v/>
      </c>
      <c r="N1168" s="2" t="str">
        <f aca="false">IF($G1168="","",IF(COUNTIF($G$2:$G$4460,$G1168)&gt;1,"重複",""))</f>
        <v/>
      </c>
    </row>
    <row r="1169" customFormat="false" ht="16.5" hidden="false" customHeight="true" outlineLevel="0" collapsed="false">
      <c r="A1169" s="2" t="s">
        <v>385</v>
      </c>
      <c r="B1169" s="2" t="s">
        <v>408</v>
      </c>
      <c r="C1169" s="2" t="s">
        <v>40</v>
      </c>
      <c r="D1169" s="2" t="str">
        <f aca="false">IF(2キー同時!$B$292="","",2キー同時!$B$292)</f>
        <v/>
      </c>
      <c r="E1169" s="2" t="str">
        <f aca="false">""</f>
        <v/>
      </c>
      <c r="F1169" s="2" t="str">
        <f aca="false">""</f>
        <v/>
      </c>
      <c r="G1169" s="2" t="str">
        <f aca="false">IF(2キー同時!$B$292="","",IF(2キー同時!AE300="","",SUBSTITUTE(SUBSTITUTE(2キー同時!AE300," ",""),"　","")))</f>
        <v/>
      </c>
      <c r="H1169" s="2" t="str">
        <f aca="false">IF($G1169="","",2キー同時!$B$292)</f>
        <v/>
      </c>
      <c r="I1169" s="2" t="str">
        <f aca="false">IF($G1169="","","n")</f>
        <v/>
      </c>
      <c r="J1169" s="2" t="str">
        <f aca="false">""</f>
        <v/>
      </c>
      <c r="K1169" s="2" t="str">
        <f aca="false">""</f>
        <v/>
      </c>
      <c r="L1169" s="2" t="str">
        <f aca="false">IF($G1169="","","同時")</f>
        <v/>
      </c>
      <c r="M1169" s="2" t="str">
        <f aca="false">IF($G1169="","",IF(ISNA(MATCH($G1169,個別指定!$A:$A,0)),"行なし",""))</f>
        <v/>
      </c>
      <c r="N1169" s="2" t="str">
        <f aca="false">IF($G1169="","",IF(COUNTIF($G$2:$G$4460,$G1169)&gt;1,"重複",""))</f>
        <v/>
      </c>
    </row>
    <row r="1170" customFormat="false" ht="16.5" hidden="false" customHeight="true" outlineLevel="0" collapsed="false">
      <c r="A1170" s="2" t="s">
        <v>385</v>
      </c>
      <c r="B1170" s="2" t="s">
        <v>408</v>
      </c>
      <c r="C1170" s="2" t="s">
        <v>41</v>
      </c>
      <c r="D1170" s="2" t="str">
        <f aca="false">IF(2キー同時!$B$292="","",2キー同時!$B$292)</f>
        <v/>
      </c>
      <c r="E1170" s="2" t="str">
        <f aca="false">""</f>
        <v/>
      </c>
      <c r="F1170" s="2" t="str">
        <f aca="false">""</f>
        <v/>
      </c>
      <c r="G1170" s="2" t="str">
        <f aca="false">IF(2キー同時!$B$292="","",IF(2キー同時!AI300="","",SUBSTITUTE(SUBSTITUTE(2キー同時!AI300," ",""),"　","")))</f>
        <v/>
      </c>
      <c r="H1170" s="2" t="str">
        <f aca="false">IF($G1170="","",2キー同時!$B$292)</f>
        <v/>
      </c>
      <c r="I1170" s="2" t="str">
        <f aca="false">IF($G1170="","","m")</f>
        <v/>
      </c>
      <c r="J1170" s="2" t="str">
        <f aca="false">""</f>
        <v/>
      </c>
      <c r="K1170" s="2" t="str">
        <f aca="false">""</f>
        <v/>
      </c>
      <c r="L1170" s="2" t="str">
        <f aca="false">IF($G1170="","","同時")</f>
        <v/>
      </c>
      <c r="M1170" s="2" t="str">
        <f aca="false">IF($G1170="","",IF(ISNA(MATCH($G1170,個別指定!$A:$A,0)),"行なし",""))</f>
        <v/>
      </c>
      <c r="N1170" s="2" t="str">
        <f aca="false">IF($G1170="","",IF(COUNTIF($G$2:$G$4460,$G1170)&gt;1,"重複",""))</f>
        <v/>
      </c>
    </row>
    <row r="1171" customFormat="false" ht="16.5" hidden="false" customHeight="true" outlineLevel="0" collapsed="false">
      <c r="A1171" s="2" t="s">
        <v>385</v>
      </c>
      <c r="B1171" s="2" t="s">
        <v>408</v>
      </c>
      <c r="C1171" s="2" t="s">
        <v>42</v>
      </c>
      <c r="D1171" s="2" t="str">
        <f aca="false">IF(2キー同時!$B$292="","",2キー同時!$B$292)</f>
        <v/>
      </c>
      <c r="E1171" s="2" t="str">
        <f aca="false">""</f>
        <v/>
      </c>
      <c r="F1171" s="2" t="str">
        <f aca="false">""</f>
        <v/>
      </c>
      <c r="G1171" s="2" t="str">
        <f aca="false">IF(2キー同時!$B$292="","",IF(2キー同時!AM300="","",SUBSTITUTE(SUBSTITUTE(2キー同時!AM300," ",""),"　","")))</f>
        <v/>
      </c>
      <c r="H1171" s="2" t="str">
        <f aca="false">IF($G1171="","",2キー同時!$B$292)</f>
        <v/>
      </c>
      <c r="I1171" s="2" t="str">
        <f aca="false">IF($G1171="","",",")</f>
        <v/>
      </c>
      <c r="J1171" s="2" t="str">
        <f aca="false">""</f>
        <v/>
      </c>
      <c r="K1171" s="2" t="str">
        <f aca="false">""</f>
        <v/>
      </c>
      <c r="L1171" s="2" t="str">
        <f aca="false">IF($G1171="","","同時")</f>
        <v/>
      </c>
      <c r="M1171" s="2" t="str">
        <f aca="false">IF($G1171="","",IF(ISNA(MATCH($G1171,個別指定!$A:$A,0)),"行なし",""))</f>
        <v/>
      </c>
      <c r="N1171" s="2" t="str">
        <f aca="false">IF($G1171="","",IF(COUNTIF($G$2:$G$4460,$G1171)&gt;1,"重複",""))</f>
        <v/>
      </c>
    </row>
    <row r="1172" customFormat="false" ht="16.5" hidden="false" customHeight="true" outlineLevel="0" collapsed="false">
      <c r="A1172" s="2" t="s">
        <v>385</v>
      </c>
      <c r="B1172" s="2" t="s">
        <v>408</v>
      </c>
      <c r="C1172" s="2" t="s">
        <v>43</v>
      </c>
      <c r="D1172" s="2" t="str">
        <f aca="false">IF(2キー同時!$B$292="","",2キー同時!$B$292)</f>
        <v/>
      </c>
      <c r="E1172" s="2" t="str">
        <f aca="false">""</f>
        <v/>
      </c>
      <c r="F1172" s="2" t="str">
        <f aca="false">""</f>
        <v/>
      </c>
      <c r="G1172" s="2" t="str">
        <f aca="false">IF(2キー同時!$B$292="","",IF(2キー同時!AQ300="","",SUBSTITUTE(SUBSTITUTE(2キー同時!AQ300," ",""),"　","")))</f>
        <v/>
      </c>
      <c r="H1172" s="2" t="str">
        <f aca="false">IF($G1172="","",2キー同時!$B$292)</f>
        <v/>
      </c>
      <c r="I1172" s="2" t="str">
        <f aca="false">IF($G1172="","",".")</f>
        <v/>
      </c>
      <c r="J1172" s="2" t="str">
        <f aca="false">""</f>
        <v/>
      </c>
      <c r="K1172" s="2" t="str">
        <f aca="false">""</f>
        <v/>
      </c>
      <c r="L1172" s="2" t="str">
        <f aca="false">IF($G1172="","","同時")</f>
        <v/>
      </c>
      <c r="M1172" s="2" t="str">
        <f aca="false">IF($G1172="","",IF(ISNA(MATCH($G1172,個別指定!$A:$A,0)),"行なし",""))</f>
        <v/>
      </c>
      <c r="N1172" s="2" t="str">
        <f aca="false">IF($G1172="","",IF(COUNTIF($G$2:$G$4460,$G1172)&gt;1,"重複",""))</f>
        <v/>
      </c>
    </row>
    <row r="1173" customFormat="false" ht="16.5" hidden="false" customHeight="true" outlineLevel="0" collapsed="false">
      <c r="A1173" s="2" t="s">
        <v>385</v>
      </c>
      <c r="B1173" s="2" t="s">
        <v>408</v>
      </c>
      <c r="C1173" s="2" t="s">
        <v>44</v>
      </c>
      <c r="D1173" s="2" t="str">
        <f aca="false">IF(2キー同時!$B$292="","",2キー同時!$B$292)</f>
        <v/>
      </c>
      <c r="E1173" s="2" t="str">
        <f aca="false">""</f>
        <v/>
      </c>
      <c r="F1173" s="2" t="str">
        <f aca="false">""</f>
        <v/>
      </c>
      <c r="G1173" s="2" t="str">
        <f aca="false">IF(2キー同時!$B$292="","",IF(2キー同時!AU300="","",SUBSTITUTE(SUBSTITUTE(2キー同時!AU300," ",""),"　","")))</f>
        <v/>
      </c>
      <c r="H1173" s="2" t="str">
        <f aca="false">IF($G1173="","",2キー同時!$B$292)</f>
        <v/>
      </c>
      <c r="I1173" s="2" t="str">
        <f aca="false">IF($G1173="","","/")</f>
        <v/>
      </c>
      <c r="J1173" s="2" t="str">
        <f aca="false">""</f>
        <v/>
      </c>
      <c r="K1173" s="2" t="str">
        <f aca="false">""</f>
        <v/>
      </c>
      <c r="L1173" s="2" t="str">
        <f aca="false">IF($G1173="","","同時")</f>
        <v/>
      </c>
      <c r="M1173" s="2" t="str">
        <f aca="false">IF($G1173="","",IF(ISNA(MATCH($G1173,個別指定!$A:$A,0)),"行なし",""))</f>
        <v/>
      </c>
      <c r="N1173" s="2" t="str">
        <f aca="false">IF($G1173="","",IF(COUNTIF($G$2:$G$4460,$G1173)&gt;1,"重複",""))</f>
        <v/>
      </c>
    </row>
    <row r="1174" customFormat="false" ht="16.5" hidden="false" customHeight="true" outlineLevel="0" collapsed="false">
      <c r="A1174" s="2" t="s">
        <v>385</v>
      </c>
      <c r="B1174" s="2" t="s">
        <v>408</v>
      </c>
      <c r="C1174" s="2" t="s">
        <v>48</v>
      </c>
      <c r="D1174" s="2" t="str">
        <f aca="false">IF(2キー同時!$B$292="","",2キー同時!$B$292)</f>
        <v/>
      </c>
      <c r="E1174" s="2" t="str">
        <f aca="false">""</f>
        <v/>
      </c>
      <c r="F1174" s="2" t="str">
        <f aca="false">""</f>
        <v/>
      </c>
      <c r="G1174" s="2" t="str">
        <f aca="false">IF(2キー同時!$B$292="","",IF(2キー同時!P302="","",SUBSTITUTE(SUBSTITUTE(2キー同時!P302," ",""),"　","")))</f>
        <v/>
      </c>
      <c r="H1174" s="2" t="str">
        <f aca="false">IF($G1174="","",2キー同時!$B$292)</f>
        <v/>
      </c>
      <c r="I1174" s="2" t="str">
        <f aca="false">IF($G1174="","","muhenkan")</f>
        <v/>
      </c>
      <c r="J1174" s="2" t="str">
        <f aca="false">""</f>
        <v/>
      </c>
      <c r="K1174" s="2" t="str">
        <f aca="false">""</f>
        <v/>
      </c>
      <c r="L1174" s="2" t="str">
        <f aca="false">IF($G1174="","","同時")</f>
        <v/>
      </c>
      <c r="M1174" s="2" t="str">
        <f aca="false">IF($G1174="","",IF(ISNA(MATCH($G1174,個別指定!$A:$A,0)),"行なし",""))</f>
        <v/>
      </c>
      <c r="N1174" s="2" t="str">
        <f aca="false">IF($G1174="","",IF(COUNTIF($G$2:$G$4460,$G1174)&gt;1,"重複",""))</f>
        <v/>
      </c>
    </row>
    <row r="1175" customFormat="false" ht="16.5" hidden="false" customHeight="true" outlineLevel="0" collapsed="false">
      <c r="A1175" s="2" t="s">
        <v>385</v>
      </c>
      <c r="B1175" s="2" t="s">
        <v>408</v>
      </c>
      <c r="C1175" s="2" t="s">
        <v>50</v>
      </c>
      <c r="D1175" s="2" t="str">
        <f aca="false">IF(2キー同時!$B$292="","",2キー同時!$B$292)</f>
        <v/>
      </c>
      <c r="E1175" s="2" t="str">
        <f aca="false">""</f>
        <v/>
      </c>
      <c r="F1175" s="2" t="str">
        <f aca="false">""</f>
        <v/>
      </c>
      <c r="G1175" s="2" t="str">
        <f aca="false">IF(2キー同時!$B$292="","",IF(2キー同時!T302="","",SUBSTITUTE(SUBSTITUTE(2キー同時!T302," ",""),"　","")))</f>
        <v/>
      </c>
      <c r="H1175" s="2" t="str">
        <f aca="false">IF($G1175="","",2キー同時!$B$292)</f>
        <v/>
      </c>
      <c r="I1175" s="2" t="str">
        <f aca="false">IF($G1175="","","space")</f>
        <v/>
      </c>
      <c r="J1175" s="2" t="str">
        <f aca="false">""</f>
        <v/>
      </c>
      <c r="K1175" s="2" t="str">
        <f aca="false">""</f>
        <v/>
      </c>
      <c r="L1175" s="2" t="str">
        <f aca="false">IF($G1175="","","同時")</f>
        <v/>
      </c>
      <c r="M1175" s="2" t="str">
        <f aca="false">IF($G1175="","",IF(ISNA(MATCH($G1175,個別指定!$A:$A,0)),"行なし",""))</f>
        <v/>
      </c>
      <c r="N1175" s="2" t="str">
        <f aca="false">IF($G1175="","",IF(COUNTIF($G$2:$G$4460,$G1175)&gt;1,"重複",""))</f>
        <v/>
      </c>
    </row>
    <row r="1176" customFormat="false" ht="16.5" hidden="false" customHeight="true" outlineLevel="0" collapsed="false">
      <c r="A1176" s="2" t="s">
        <v>385</v>
      </c>
      <c r="B1176" s="2" t="s">
        <v>408</v>
      </c>
      <c r="C1176" s="2" t="s">
        <v>45</v>
      </c>
      <c r="D1176" s="2" t="str">
        <f aca="false">IF(2キー同時!$B$292="","",2キー同時!$B$292)</f>
        <v/>
      </c>
      <c r="E1176" s="2" t="str">
        <f aca="false">""</f>
        <v/>
      </c>
      <c r="F1176" s="2" t="str">
        <f aca="false">""</f>
        <v/>
      </c>
      <c r="G1176" s="2" t="str">
        <f aca="false">IF(2キー同時!$B$292="","",IF(2キー同時!AL302="","",SUBSTITUTE(SUBSTITUTE(2キー同時!AL302," ",""),"　","")))</f>
        <v/>
      </c>
      <c r="H1176" s="2" t="str">
        <f aca="false">IF($G1176="","",2キー同時!$B$292)</f>
        <v/>
      </c>
      <c r="I1176" s="2" t="str">
        <f aca="false">IF($G1176="","","henkan")</f>
        <v/>
      </c>
      <c r="J1176" s="2" t="str">
        <f aca="false">""</f>
        <v/>
      </c>
      <c r="K1176" s="2" t="str">
        <f aca="false">""</f>
        <v/>
      </c>
      <c r="L1176" s="2" t="str">
        <f aca="false">IF($G1176="","","同時")</f>
        <v/>
      </c>
      <c r="M1176" s="2" t="str">
        <f aca="false">IF($G1176="","",IF(ISNA(MATCH($G1176,個別指定!$A:$A,0)),"行なし",""))</f>
        <v/>
      </c>
      <c r="N1176" s="2" t="str">
        <f aca="false">IF($G1176="","",IF(COUNTIF($G$2:$G$4460,$G1176)&gt;1,"重複",""))</f>
        <v/>
      </c>
    </row>
    <row r="1177" customFormat="false" ht="16.5" hidden="false" customHeight="true" outlineLevel="0" collapsed="false">
      <c r="A1177" s="2" t="s">
        <v>385</v>
      </c>
      <c r="B1177" s="2" t="s">
        <v>408</v>
      </c>
      <c r="C1177" s="2" t="s">
        <v>46</v>
      </c>
      <c r="D1177" s="2" t="str">
        <f aca="false">IF(2キー同時!$B$292="","",2キー同時!$B$292)</f>
        <v/>
      </c>
      <c r="E1177" s="2" t="str">
        <f aca="false">""</f>
        <v/>
      </c>
      <c r="F1177" s="2" t="str">
        <f aca="false">""</f>
        <v/>
      </c>
      <c r="G1177" s="2" t="str">
        <f aca="false">IF(2キー同時!$B$292="","",IF(2キー同時!AP302="","",SUBSTITUTE(SUBSTITUTE(2キー同時!AP302," ",""),"　","")))</f>
        <v/>
      </c>
      <c r="H1177" s="2" t="str">
        <f aca="false">IF($G1177="","",2キー同時!$B$292)</f>
        <v/>
      </c>
      <c r="I1177" s="2" t="str">
        <f aca="false">IF($G1177="","","kana")</f>
        <v/>
      </c>
      <c r="J1177" s="2" t="str">
        <f aca="false">""</f>
        <v/>
      </c>
      <c r="K1177" s="2" t="str">
        <f aca="false">""</f>
        <v/>
      </c>
      <c r="L1177" s="2" t="str">
        <f aca="false">IF($G1177="","","同時")</f>
        <v/>
      </c>
      <c r="M1177" s="2" t="str">
        <f aca="false">IF($G1177="","",IF(ISNA(MATCH($G1177,個別指定!$A:$A,0)),"行なし",""))</f>
        <v/>
      </c>
      <c r="N1177" s="2" t="str">
        <f aca="false">IF($G1177="","",IF(COUNTIF($G$2:$G$4460,$G1177)&gt;1,"重複",""))</f>
        <v/>
      </c>
    </row>
    <row r="1178" customFormat="false" ht="16.5" hidden="false" customHeight="true" outlineLevel="0" collapsed="false">
      <c r="A1178" s="2" t="s">
        <v>385</v>
      </c>
      <c r="B1178" s="2" t="s">
        <v>409</v>
      </c>
      <c r="C1178" s="2" t="s">
        <v>0</v>
      </c>
      <c r="D1178" s="2" t="str">
        <f aca="false">IF(2キー同時!$B$305="","",2キー同時!$B$305)</f>
        <v/>
      </c>
      <c r="E1178" s="2" t="str">
        <f aca="false">""</f>
        <v/>
      </c>
      <c r="F1178" s="2" t="str">
        <f aca="false">""</f>
        <v/>
      </c>
      <c r="G1178" s="2" t="str">
        <f aca="false">IF(2キー同時!$B$305="","",IF(2キー同時!F307="","",SUBSTITUTE(SUBSTITUTE(2キー同時!F307," ",""),"　","")))</f>
        <v/>
      </c>
      <c r="H1178" s="2" t="str">
        <f aca="false">IF($G1178="","",2キー同時!$B$305)</f>
        <v/>
      </c>
      <c r="I1178" s="2" t="str">
        <f aca="false">IF($G1178="","","1")</f>
        <v/>
      </c>
      <c r="J1178" s="2" t="str">
        <f aca="false">""</f>
        <v/>
      </c>
      <c r="K1178" s="2" t="str">
        <f aca="false">""</f>
        <v/>
      </c>
      <c r="L1178" s="2" t="str">
        <f aca="false">IF($G1178="","","同時")</f>
        <v/>
      </c>
      <c r="M1178" s="2" t="str">
        <f aca="false">IF($G1178="","",IF(ISNA(MATCH($G1178,個別指定!$A:$A,0)),"行なし",""))</f>
        <v/>
      </c>
      <c r="N1178" s="2" t="str">
        <f aca="false">IF($G1178="","",IF(COUNTIF($G$2:$G$4460,$G1178)&gt;1,"重複",""))</f>
        <v/>
      </c>
    </row>
    <row r="1179" customFormat="false" ht="16.5" hidden="false" customHeight="true" outlineLevel="0" collapsed="false">
      <c r="A1179" s="2" t="s">
        <v>385</v>
      </c>
      <c r="B1179" s="2" t="s">
        <v>409</v>
      </c>
      <c r="C1179" s="2" t="s">
        <v>1</v>
      </c>
      <c r="D1179" s="2" t="str">
        <f aca="false">IF(2キー同時!$B$305="","",2キー同時!$B$305)</f>
        <v/>
      </c>
      <c r="E1179" s="2" t="str">
        <f aca="false">""</f>
        <v/>
      </c>
      <c r="F1179" s="2" t="str">
        <f aca="false">""</f>
        <v/>
      </c>
      <c r="G1179" s="2" t="str">
        <f aca="false">IF(2キー同時!$B$305="","",IF(2キー同時!J307="","",SUBSTITUTE(SUBSTITUTE(2キー同時!J307," ",""),"　","")))</f>
        <v/>
      </c>
      <c r="H1179" s="2" t="str">
        <f aca="false">IF($G1179="","",2キー同時!$B$305)</f>
        <v/>
      </c>
      <c r="I1179" s="2" t="str">
        <f aca="false">IF($G1179="","","2")</f>
        <v/>
      </c>
      <c r="J1179" s="2" t="str">
        <f aca="false">""</f>
        <v/>
      </c>
      <c r="K1179" s="2" t="str">
        <f aca="false">""</f>
        <v/>
      </c>
      <c r="L1179" s="2" t="str">
        <f aca="false">IF($G1179="","","同時")</f>
        <v/>
      </c>
      <c r="M1179" s="2" t="str">
        <f aca="false">IF($G1179="","",IF(ISNA(MATCH($G1179,個別指定!$A:$A,0)),"行なし",""))</f>
        <v/>
      </c>
      <c r="N1179" s="2" t="str">
        <f aca="false">IF($G1179="","",IF(COUNTIF($G$2:$G$4460,$G1179)&gt;1,"重複",""))</f>
        <v/>
      </c>
    </row>
    <row r="1180" customFormat="false" ht="16.5" hidden="false" customHeight="true" outlineLevel="0" collapsed="false">
      <c r="A1180" s="2" t="s">
        <v>385</v>
      </c>
      <c r="B1180" s="2" t="s">
        <v>409</v>
      </c>
      <c r="C1180" s="2" t="s">
        <v>2</v>
      </c>
      <c r="D1180" s="2" t="str">
        <f aca="false">IF(2キー同時!$B$305="","",2キー同時!$B$305)</f>
        <v/>
      </c>
      <c r="E1180" s="2" t="str">
        <f aca="false">""</f>
        <v/>
      </c>
      <c r="F1180" s="2" t="str">
        <f aca="false">""</f>
        <v/>
      </c>
      <c r="G1180" s="2" t="str">
        <f aca="false">IF(2キー同時!$B$305="","",IF(2キー同時!N307="","",SUBSTITUTE(SUBSTITUTE(2キー同時!N307," ",""),"　","")))</f>
        <v/>
      </c>
      <c r="H1180" s="2" t="str">
        <f aca="false">IF($G1180="","",2キー同時!$B$305)</f>
        <v/>
      </c>
      <c r="I1180" s="2" t="str">
        <f aca="false">IF($G1180="","","3")</f>
        <v/>
      </c>
      <c r="J1180" s="2" t="str">
        <f aca="false">""</f>
        <v/>
      </c>
      <c r="K1180" s="2" t="str">
        <f aca="false">""</f>
        <v/>
      </c>
      <c r="L1180" s="2" t="str">
        <f aca="false">IF($G1180="","","同時")</f>
        <v/>
      </c>
      <c r="M1180" s="2" t="str">
        <f aca="false">IF($G1180="","",IF(ISNA(MATCH($G1180,個別指定!$A:$A,0)),"行なし",""))</f>
        <v/>
      </c>
      <c r="N1180" s="2" t="str">
        <f aca="false">IF($G1180="","",IF(COUNTIF($G$2:$G$4460,$G1180)&gt;1,"重複",""))</f>
        <v/>
      </c>
    </row>
    <row r="1181" customFormat="false" ht="16.5" hidden="false" customHeight="true" outlineLevel="0" collapsed="false">
      <c r="A1181" s="2" t="s">
        <v>385</v>
      </c>
      <c r="B1181" s="2" t="s">
        <v>409</v>
      </c>
      <c r="C1181" s="2" t="s">
        <v>3</v>
      </c>
      <c r="D1181" s="2" t="str">
        <f aca="false">IF(2キー同時!$B$305="","",2キー同時!$B$305)</f>
        <v/>
      </c>
      <c r="E1181" s="2" t="str">
        <f aca="false">""</f>
        <v/>
      </c>
      <c r="F1181" s="2" t="str">
        <f aca="false">""</f>
        <v/>
      </c>
      <c r="G1181" s="2" t="str">
        <f aca="false">IF(2キー同時!$B$305="","",IF(2キー同時!R307="","",SUBSTITUTE(SUBSTITUTE(2キー同時!R307," ",""),"　","")))</f>
        <v/>
      </c>
      <c r="H1181" s="2" t="str">
        <f aca="false">IF($G1181="","",2キー同時!$B$305)</f>
        <v/>
      </c>
      <c r="I1181" s="2" t="str">
        <f aca="false">IF($G1181="","","4")</f>
        <v/>
      </c>
      <c r="J1181" s="2" t="str">
        <f aca="false">""</f>
        <v/>
      </c>
      <c r="K1181" s="2" t="str">
        <f aca="false">""</f>
        <v/>
      </c>
      <c r="L1181" s="2" t="str">
        <f aca="false">IF($G1181="","","同時")</f>
        <v/>
      </c>
      <c r="M1181" s="2" t="str">
        <f aca="false">IF($G1181="","",IF(ISNA(MATCH($G1181,個別指定!$A:$A,0)),"行なし",""))</f>
        <v/>
      </c>
      <c r="N1181" s="2" t="str">
        <f aca="false">IF($G1181="","",IF(COUNTIF($G$2:$G$4460,$G1181)&gt;1,"重複",""))</f>
        <v/>
      </c>
    </row>
    <row r="1182" customFormat="false" ht="16.5" hidden="false" customHeight="true" outlineLevel="0" collapsed="false">
      <c r="A1182" s="2" t="s">
        <v>385</v>
      </c>
      <c r="B1182" s="2" t="s">
        <v>409</v>
      </c>
      <c r="C1182" s="2" t="s">
        <v>4</v>
      </c>
      <c r="D1182" s="2" t="str">
        <f aca="false">IF(2キー同時!$B$305="","",2キー同時!$B$305)</f>
        <v/>
      </c>
      <c r="E1182" s="2" t="str">
        <f aca="false">""</f>
        <v/>
      </c>
      <c r="F1182" s="2" t="str">
        <f aca="false">""</f>
        <v/>
      </c>
      <c r="G1182" s="2" t="str">
        <f aca="false">IF(2キー同時!$B$305="","",IF(2キー同時!V307="","",SUBSTITUTE(SUBSTITUTE(2キー同時!V307," ",""),"　","")))</f>
        <v/>
      </c>
      <c r="H1182" s="2" t="str">
        <f aca="false">IF($G1182="","",2キー同時!$B$305)</f>
        <v/>
      </c>
      <c r="I1182" s="2" t="str">
        <f aca="false">IF($G1182="","","5")</f>
        <v/>
      </c>
      <c r="J1182" s="2" t="str">
        <f aca="false">""</f>
        <v/>
      </c>
      <c r="K1182" s="2" t="str">
        <f aca="false">""</f>
        <v/>
      </c>
      <c r="L1182" s="2" t="str">
        <f aca="false">IF($G1182="","","同時")</f>
        <v/>
      </c>
      <c r="M1182" s="2" t="str">
        <f aca="false">IF($G1182="","",IF(ISNA(MATCH($G1182,個別指定!$A:$A,0)),"行なし",""))</f>
        <v/>
      </c>
      <c r="N1182" s="2" t="str">
        <f aca="false">IF($G1182="","",IF(COUNTIF($G$2:$G$4460,$G1182)&gt;1,"重複",""))</f>
        <v/>
      </c>
    </row>
    <row r="1183" customFormat="false" ht="16.5" hidden="false" customHeight="true" outlineLevel="0" collapsed="false">
      <c r="A1183" s="2" t="s">
        <v>385</v>
      </c>
      <c r="B1183" s="2" t="s">
        <v>409</v>
      </c>
      <c r="C1183" s="2" t="s">
        <v>5</v>
      </c>
      <c r="D1183" s="2" t="str">
        <f aca="false">IF(2キー同時!$B$305="","",2キー同時!$B$305)</f>
        <v/>
      </c>
      <c r="E1183" s="2" t="str">
        <f aca="false">""</f>
        <v/>
      </c>
      <c r="F1183" s="2" t="str">
        <f aca="false">""</f>
        <v/>
      </c>
      <c r="G1183" s="2" t="str">
        <f aca="false">IF(2キー同時!$B$305="","",IF(2キー同時!Z307="","",SUBSTITUTE(SUBSTITUTE(2キー同時!Z307," ",""),"　","")))</f>
        <v/>
      </c>
      <c r="H1183" s="2" t="str">
        <f aca="false">IF($G1183="","",2キー同時!$B$305)</f>
        <v/>
      </c>
      <c r="I1183" s="2" t="str">
        <f aca="false">IF($G1183="","","6")</f>
        <v/>
      </c>
      <c r="J1183" s="2" t="str">
        <f aca="false">""</f>
        <v/>
      </c>
      <c r="K1183" s="2" t="str">
        <f aca="false">""</f>
        <v/>
      </c>
      <c r="L1183" s="2" t="str">
        <f aca="false">IF($G1183="","","同時")</f>
        <v/>
      </c>
      <c r="M1183" s="2" t="str">
        <f aca="false">IF($G1183="","",IF(ISNA(MATCH($G1183,個別指定!$A:$A,0)),"行なし",""))</f>
        <v/>
      </c>
      <c r="N1183" s="2" t="str">
        <f aca="false">IF($G1183="","",IF(COUNTIF($G$2:$G$4460,$G1183)&gt;1,"重複",""))</f>
        <v/>
      </c>
    </row>
    <row r="1184" customFormat="false" ht="16.5" hidden="false" customHeight="true" outlineLevel="0" collapsed="false">
      <c r="A1184" s="2" t="s">
        <v>385</v>
      </c>
      <c r="B1184" s="2" t="s">
        <v>409</v>
      </c>
      <c r="C1184" s="2" t="s">
        <v>6</v>
      </c>
      <c r="D1184" s="2" t="str">
        <f aca="false">IF(2キー同時!$B$305="","",2キー同時!$B$305)</f>
        <v/>
      </c>
      <c r="E1184" s="2" t="str">
        <f aca="false">""</f>
        <v/>
      </c>
      <c r="F1184" s="2" t="str">
        <f aca="false">""</f>
        <v/>
      </c>
      <c r="G1184" s="2" t="str">
        <f aca="false">IF(2キー同時!$B$305="","",IF(2キー同時!AD307="","",SUBSTITUTE(SUBSTITUTE(2キー同時!AD307," ",""),"　","")))</f>
        <v/>
      </c>
      <c r="H1184" s="2" t="str">
        <f aca="false">IF($G1184="","",2キー同時!$B$305)</f>
        <v/>
      </c>
      <c r="I1184" s="2" t="str">
        <f aca="false">IF($G1184="","","7")</f>
        <v/>
      </c>
      <c r="J1184" s="2" t="str">
        <f aca="false">""</f>
        <v/>
      </c>
      <c r="K1184" s="2" t="str">
        <f aca="false">""</f>
        <v/>
      </c>
      <c r="L1184" s="2" t="str">
        <f aca="false">IF($G1184="","","同時")</f>
        <v/>
      </c>
      <c r="M1184" s="2" t="str">
        <f aca="false">IF($G1184="","",IF(ISNA(MATCH($G1184,個別指定!$A:$A,0)),"行なし",""))</f>
        <v/>
      </c>
      <c r="N1184" s="2" t="str">
        <f aca="false">IF($G1184="","",IF(COUNTIF($G$2:$G$4460,$G1184)&gt;1,"重複",""))</f>
        <v/>
      </c>
    </row>
    <row r="1185" customFormat="false" ht="16.5" hidden="false" customHeight="true" outlineLevel="0" collapsed="false">
      <c r="A1185" s="2" t="s">
        <v>385</v>
      </c>
      <c r="B1185" s="2" t="s">
        <v>409</v>
      </c>
      <c r="C1185" s="2" t="s">
        <v>7</v>
      </c>
      <c r="D1185" s="2" t="str">
        <f aca="false">IF(2キー同時!$B$305="","",2キー同時!$B$305)</f>
        <v/>
      </c>
      <c r="E1185" s="2" t="str">
        <f aca="false">""</f>
        <v/>
      </c>
      <c r="F1185" s="2" t="str">
        <f aca="false">""</f>
        <v/>
      </c>
      <c r="G1185" s="2" t="str">
        <f aca="false">IF(2キー同時!$B$305="","",IF(2キー同時!AH307="","",SUBSTITUTE(SUBSTITUTE(2キー同時!AH307," ",""),"　","")))</f>
        <v/>
      </c>
      <c r="H1185" s="2" t="str">
        <f aca="false">IF($G1185="","",2キー同時!$B$305)</f>
        <v/>
      </c>
      <c r="I1185" s="2" t="str">
        <f aca="false">IF($G1185="","","8")</f>
        <v/>
      </c>
      <c r="J1185" s="2" t="str">
        <f aca="false">""</f>
        <v/>
      </c>
      <c r="K1185" s="2" t="str">
        <f aca="false">""</f>
        <v/>
      </c>
      <c r="L1185" s="2" t="str">
        <f aca="false">IF($G1185="","","同時")</f>
        <v/>
      </c>
      <c r="M1185" s="2" t="str">
        <f aca="false">IF($G1185="","",IF(ISNA(MATCH($G1185,個別指定!$A:$A,0)),"行なし",""))</f>
        <v/>
      </c>
      <c r="N1185" s="2" t="str">
        <f aca="false">IF($G1185="","",IF(COUNTIF($G$2:$G$4460,$G1185)&gt;1,"重複",""))</f>
        <v/>
      </c>
    </row>
    <row r="1186" customFormat="false" ht="16.5" hidden="false" customHeight="true" outlineLevel="0" collapsed="false">
      <c r="A1186" s="2" t="s">
        <v>385</v>
      </c>
      <c r="B1186" s="2" t="s">
        <v>409</v>
      </c>
      <c r="C1186" s="2" t="s">
        <v>8</v>
      </c>
      <c r="D1186" s="2" t="str">
        <f aca="false">IF(2キー同時!$B$305="","",2キー同時!$B$305)</f>
        <v/>
      </c>
      <c r="E1186" s="2" t="str">
        <f aca="false">""</f>
        <v/>
      </c>
      <c r="F1186" s="2" t="str">
        <f aca="false">""</f>
        <v/>
      </c>
      <c r="G1186" s="2" t="str">
        <f aca="false">IF(2キー同時!$B$305="","",IF(2キー同時!AL307="","",SUBSTITUTE(SUBSTITUTE(2キー同時!AL307," ",""),"　","")))</f>
        <v/>
      </c>
      <c r="H1186" s="2" t="str">
        <f aca="false">IF($G1186="","",2キー同時!$B$305)</f>
        <v/>
      </c>
      <c r="I1186" s="2" t="str">
        <f aca="false">IF($G1186="","","9")</f>
        <v/>
      </c>
      <c r="J1186" s="2" t="str">
        <f aca="false">""</f>
        <v/>
      </c>
      <c r="K1186" s="2" t="str">
        <f aca="false">""</f>
        <v/>
      </c>
      <c r="L1186" s="2" t="str">
        <f aca="false">IF($G1186="","","同時")</f>
        <v/>
      </c>
      <c r="M1186" s="2" t="str">
        <f aca="false">IF($G1186="","",IF(ISNA(MATCH($G1186,個別指定!$A:$A,0)),"行なし",""))</f>
        <v/>
      </c>
      <c r="N1186" s="2" t="str">
        <f aca="false">IF($G1186="","",IF(COUNTIF($G$2:$G$4460,$G1186)&gt;1,"重複",""))</f>
        <v/>
      </c>
    </row>
    <row r="1187" customFormat="false" ht="16.5" hidden="false" customHeight="true" outlineLevel="0" collapsed="false">
      <c r="A1187" s="2" t="s">
        <v>385</v>
      </c>
      <c r="B1187" s="2" t="s">
        <v>409</v>
      </c>
      <c r="C1187" s="2" t="s">
        <v>9</v>
      </c>
      <c r="D1187" s="2" t="str">
        <f aca="false">IF(2キー同時!$B$305="","",2キー同時!$B$305)</f>
        <v/>
      </c>
      <c r="E1187" s="2" t="str">
        <f aca="false">""</f>
        <v/>
      </c>
      <c r="F1187" s="2" t="str">
        <f aca="false">""</f>
        <v/>
      </c>
      <c r="G1187" s="2" t="str">
        <f aca="false">IF(2キー同時!$B$305="","",IF(2キー同時!AP307="","",SUBSTITUTE(SUBSTITUTE(2キー同時!AP307," ",""),"　","")))</f>
        <v/>
      </c>
      <c r="H1187" s="2" t="str">
        <f aca="false">IF($G1187="","",2キー同時!$B$305)</f>
        <v/>
      </c>
      <c r="I1187" s="2" t="str">
        <f aca="false">IF($G1187="","","0")</f>
        <v/>
      </c>
      <c r="J1187" s="2" t="str">
        <f aca="false">""</f>
        <v/>
      </c>
      <c r="K1187" s="2" t="str">
        <f aca="false">""</f>
        <v/>
      </c>
      <c r="L1187" s="2" t="str">
        <f aca="false">IF($G1187="","","同時")</f>
        <v/>
      </c>
      <c r="M1187" s="2" t="str">
        <f aca="false">IF($G1187="","",IF(ISNA(MATCH($G1187,個別指定!$A:$A,0)),"行なし",""))</f>
        <v/>
      </c>
      <c r="N1187" s="2" t="str">
        <f aca="false">IF($G1187="","",IF(COUNTIF($G$2:$G$4460,$G1187)&gt;1,"重複",""))</f>
        <v/>
      </c>
    </row>
    <row r="1188" customFormat="false" ht="16.5" hidden="false" customHeight="true" outlineLevel="0" collapsed="false">
      <c r="A1188" s="2" t="s">
        <v>385</v>
      </c>
      <c r="B1188" s="2" t="s">
        <v>409</v>
      </c>
      <c r="C1188" s="2" t="s">
        <v>10</v>
      </c>
      <c r="D1188" s="2" t="str">
        <f aca="false">IF(2キー同時!$B$305="","",2キー同時!$B$305)</f>
        <v/>
      </c>
      <c r="E1188" s="2" t="str">
        <f aca="false">""</f>
        <v/>
      </c>
      <c r="F1188" s="2" t="str">
        <f aca="false">""</f>
        <v/>
      </c>
      <c r="G1188" s="2" t="str">
        <f aca="false">IF(2キー同時!$B$305="","",IF(2キー同時!AT307="","",SUBSTITUTE(SUBSTITUTE(2キー同時!AT307," ",""),"　","")))</f>
        <v/>
      </c>
      <c r="H1188" s="2" t="str">
        <f aca="false">IF($G1188="","",2キー同時!$B$305)</f>
        <v/>
      </c>
      <c r="I1188" s="2" t="str">
        <f aca="false">IF($G1188="","","-")</f>
        <v/>
      </c>
      <c r="J1188" s="2" t="str">
        <f aca="false">""</f>
        <v/>
      </c>
      <c r="K1188" s="2" t="str">
        <f aca="false">""</f>
        <v/>
      </c>
      <c r="L1188" s="2" t="str">
        <f aca="false">IF($G1188="","","同時")</f>
        <v/>
      </c>
      <c r="M1188" s="2" t="str">
        <f aca="false">IF($G1188="","",IF(ISNA(MATCH($G1188,個別指定!$A:$A,0)),"行なし",""))</f>
        <v/>
      </c>
      <c r="N1188" s="2" t="str">
        <f aca="false">IF($G1188="","",IF(COUNTIF($G$2:$G$4460,$G1188)&gt;1,"重複",""))</f>
        <v/>
      </c>
    </row>
    <row r="1189" customFormat="false" ht="16.5" hidden="false" customHeight="true" outlineLevel="0" collapsed="false">
      <c r="A1189" s="2" t="s">
        <v>385</v>
      </c>
      <c r="B1189" s="2" t="s">
        <v>409</v>
      </c>
      <c r="C1189" s="2" t="s">
        <v>11</v>
      </c>
      <c r="D1189" s="2" t="str">
        <f aca="false">IF(2キー同時!$B$305="","",2キー同時!$B$305)</f>
        <v/>
      </c>
      <c r="E1189" s="2" t="str">
        <f aca="false">""</f>
        <v/>
      </c>
      <c r="F1189" s="2" t="str">
        <f aca="false">""</f>
        <v/>
      </c>
      <c r="G1189" s="2" t="str">
        <f aca="false">IF(2キー同時!$B$305="","",IF(2キー同時!AX307="","",SUBSTITUTE(SUBSTITUTE(2キー同時!AX307," ",""),"　","")))</f>
        <v/>
      </c>
      <c r="H1189" s="2" t="str">
        <f aca="false">IF($G1189="","",2キー同時!$B$305)</f>
        <v/>
      </c>
      <c r="I1189" s="2" t="str">
        <f aca="false">IF($G1189="","","=")</f>
        <v/>
      </c>
      <c r="J1189" s="2" t="str">
        <f aca="false">""</f>
        <v/>
      </c>
      <c r="K1189" s="2" t="str">
        <f aca="false">""</f>
        <v/>
      </c>
      <c r="L1189" s="2" t="str">
        <f aca="false">IF($G1189="","","同時")</f>
        <v/>
      </c>
      <c r="M1189" s="2" t="str">
        <f aca="false">IF($G1189="","",IF(ISNA(MATCH($G1189,個別指定!$A:$A,0)),"行なし",""))</f>
        <v/>
      </c>
      <c r="N1189" s="2" t="str">
        <f aca="false">IF($G1189="","",IF(COUNTIF($G$2:$G$4460,$G1189)&gt;1,"重複",""))</f>
        <v/>
      </c>
    </row>
    <row r="1190" customFormat="false" ht="16.5" hidden="false" customHeight="true" outlineLevel="0" collapsed="false">
      <c r="A1190" s="2" t="s">
        <v>385</v>
      </c>
      <c r="B1190" s="2" t="s">
        <v>409</v>
      </c>
      <c r="C1190" s="2" t="s">
        <v>12</v>
      </c>
      <c r="D1190" s="2" t="str">
        <f aca="false">IF(2キー同時!$B$305="","",2キー同時!$B$305)</f>
        <v/>
      </c>
      <c r="E1190" s="2" t="str">
        <f aca="false">""</f>
        <v/>
      </c>
      <c r="F1190" s="2" t="str">
        <f aca="false">""</f>
        <v/>
      </c>
      <c r="G1190" s="2" t="str">
        <f aca="false">IF(2キー同時!$B$305="","",IF(2キー同時!H309="","",SUBSTITUTE(SUBSTITUTE(2キー同時!H309," ",""),"　","")))</f>
        <v/>
      </c>
      <c r="H1190" s="2" t="str">
        <f aca="false">IF($G1190="","",2キー同時!$B$305)</f>
        <v/>
      </c>
      <c r="I1190" s="2" t="str">
        <f aca="false">IF($G1190="","","q")</f>
        <v/>
      </c>
      <c r="J1190" s="2" t="str">
        <f aca="false">""</f>
        <v/>
      </c>
      <c r="K1190" s="2" t="str">
        <f aca="false">""</f>
        <v/>
      </c>
      <c r="L1190" s="2" t="str">
        <f aca="false">IF($G1190="","","同時")</f>
        <v/>
      </c>
      <c r="M1190" s="2" t="str">
        <f aca="false">IF($G1190="","",IF(ISNA(MATCH($G1190,個別指定!$A:$A,0)),"行なし",""))</f>
        <v/>
      </c>
      <c r="N1190" s="2" t="str">
        <f aca="false">IF($G1190="","",IF(COUNTIF($G$2:$G$4460,$G1190)&gt;1,"重複",""))</f>
        <v/>
      </c>
    </row>
    <row r="1191" customFormat="false" ht="16.5" hidden="false" customHeight="true" outlineLevel="0" collapsed="false">
      <c r="A1191" s="2" t="s">
        <v>385</v>
      </c>
      <c r="B1191" s="2" t="s">
        <v>409</v>
      </c>
      <c r="C1191" s="2" t="s">
        <v>13</v>
      </c>
      <c r="D1191" s="2" t="str">
        <f aca="false">IF(2キー同時!$B$305="","",2キー同時!$B$305)</f>
        <v/>
      </c>
      <c r="E1191" s="2" t="str">
        <f aca="false">""</f>
        <v/>
      </c>
      <c r="F1191" s="2" t="str">
        <f aca="false">""</f>
        <v/>
      </c>
      <c r="G1191" s="2" t="str">
        <f aca="false">IF(2キー同時!$B$305="","",IF(2キー同時!L309="","",SUBSTITUTE(SUBSTITUTE(2キー同時!L309," ",""),"　","")))</f>
        <v/>
      </c>
      <c r="H1191" s="2" t="str">
        <f aca="false">IF($G1191="","",2キー同時!$B$305)</f>
        <v/>
      </c>
      <c r="I1191" s="2" t="str">
        <f aca="false">IF($G1191="","","w")</f>
        <v/>
      </c>
      <c r="J1191" s="2" t="str">
        <f aca="false">""</f>
        <v/>
      </c>
      <c r="K1191" s="2" t="str">
        <f aca="false">""</f>
        <v/>
      </c>
      <c r="L1191" s="2" t="str">
        <f aca="false">IF($G1191="","","同時")</f>
        <v/>
      </c>
      <c r="M1191" s="2" t="str">
        <f aca="false">IF($G1191="","",IF(ISNA(MATCH($G1191,個別指定!$A:$A,0)),"行なし",""))</f>
        <v/>
      </c>
      <c r="N1191" s="2" t="str">
        <f aca="false">IF($G1191="","",IF(COUNTIF($G$2:$G$4460,$G1191)&gt;1,"重複",""))</f>
        <v/>
      </c>
    </row>
    <row r="1192" customFormat="false" ht="16.5" hidden="false" customHeight="true" outlineLevel="0" collapsed="false">
      <c r="A1192" s="2" t="s">
        <v>385</v>
      </c>
      <c r="B1192" s="2" t="s">
        <v>409</v>
      </c>
      <c r="C1192" s="2" t="s">
        <v>14</v>
      </c>
      <c r="D1192" s="2" t="str">
        <f aca="false">IF(2キー同時!$B$305="","",2キー同時!$B$305)</f>
        <v/>
      </c>
      <c r="E1192" s="2" t="str">
        <f aca="false">""</f>
        <v/>
      </c>
      <c r="F1192" s="2" t="str">
        <f aca="false">""</f>
        <v/>
      </c>
      <c r="G1192" s="2" t="str">
        <f aca="false">IF(2キー同時!$B$305="","",IF(2キー同時!P309="","",SUBSTITUTE(SUBSTITUTE(2キー同時!P309," ",""),"　","")))</f>
        <v/>
      </c>
      <c r="H1192" s="2" t="str">
        <f aca="false">IF($G1192="","",2キー同時!$B$305)</f>
        <v/>
      </c>
      <c r="I1192" s="2" t="str">
        <f aca="false">IF($G1192="","","e")</f>
        <v/>
      </c>
      <c r="J1192" s="2" t="str">
        <f aca="false">""</f>
        <v/>
      </c>
      <c r="K1192" s="2" t="str">
        <f aca="false">""</f>
        <v/>
      </c>
      <c r="L1192" s="2" t="str">
        <f aca="false">IF($G1192="","","同時")</f>
        <v/>
      </c>
      <c r="M1192" s="2" t="str">
        <f aca="false">IF($G1192="","",IF(ISNA(MATCH($G1192,個別指定!$A:$A,0)),"行なし",""))</f>
        <v/>
      </c>
      <c r="N1192" s="2" t="str">
        <f aca="false">IF($G1192="","",IF(COUNTIF($G$2:$G$4460,$G1192)&gt;1,"重複",""))</f>
        <v/>
      </c>
    </row>
    <row r="1193" customFormat="false" ht="16.5" hidden="false" customHeight="true" outlineLevel="0" collapsed="false">
      <c r="A1193" s="2" t="s">
        <v>385</v>
      </c>
      <c r="B1193" s="2" t="s">
        <v>409</v>
      </c>
      <c r="C1193" s="2" t="s">
        <v>15</v>
      </c>
      <c r="D1193" s="2" t="str">
        <f aca="false">IF(2キー同時!$B$305="","",2キー同時!$B$305)</f>
        <v/>
      </c>
      <c r="E1193" s="2" t="str">
        <f aca="false">""</f>
        <v/>
      </c>
      <c r="F1193" s="2" t="str">
        <f aca="false">""</f>
        <v/>
      </c>
      <c r="G1193" s="2" t="str">
        <f aca="false">IF(2キー同時!$B$305="","",IF(2キー同時!T309="","",SUBSTITUTE(SUBSTITUTE(2キー同時!T309," ",""),"　","")))</f>
        <v/>
      </c>
      <c r="H1193" s="2" t="str">
        <f aca="false">IF($G1193="","",2キー同時!$B$305)</f>
        <v/>
      </c>
      <c r="I1193" s="2" t="str">
        <f aca="false">IF($G1193="","","r")</f>
        <v/>
      </c>
      <c r="J1193" s="2" t="str">
        <f aca="false">""</f>
        <v/>
      </c>
      <c r="K1193" s="2" t="str">
        <f aca="false">""</f>
        <v/>
      </c>
      <c r="L1193" s="2" t="str">
        <f aca="false">IF($G1193="","","同時")</f>
        <v/>
      </c>
      <c r="M1193" s="2" t="str">
        <f aca="false">IF($G1193="","",IF(ISNA(MATCH($G1193,個別指定!$A:$A,0)),"行なし",""))</f>
        <v/>
      </c>
      <c r="N1193" s="2" t="str">
        <f aca="false">IF($G1193="","",IF(COUNTIF($G$2:$G$4460,$G1193)&gt;1,"重複",""))</f>
        <v/>
      </c>
    </row>
    <row r="1194" customFormat="false" ht="16.5" hidden="false" customHeight="true" outlineLevel="0" collapsed="false">
      <c r="A1194" s="2" t="s">
        <v>385</v>
      </c>
      <c r="B1194" s="2" t="s">
        <v>409</v>
      </c>
      <c r="C1194" s="2" t="s">
        <v>16</v>
      </c>
      <c r="D1194" s="2" t="str">
        <f aca="false">IF(2キー同時!$B$305="","",2キー同時!$B$305)</f>
        <v/>
      </c>
      <c r="E1194" s="2" t="str">
        <f aca="false">""</f>
        <v/>
      </c>
      <c r="F1194" s="2" t="str">
        <f aca="false">""</f>
        <v/>
      </c>
      <c r="G1194" s="2" t="str">
        <f aca="false">IF(2キー同時!$B$305="","",IF(2キー同時!X309="","",SUBSTITUTE(SUBSTITUTE(2キー同時!X309," ",""),"　","")))</f>
        <v/>
      </c>
      <c r="H1194" s="2" t="str">
        <f aca="false">IF($G1194="","",2キー同時!$B$305)</f>
        <v/>
      </c>
      <c r="I1194" s="2" t="str">
        <f aca="false">IF($G1194="","","t")</f>
        <v/>
      </c>
      <c r="J1194" s="2" t="str">
        <f aca="false">""</f>
        <v/>
      </c>
      <c r="K1194" s="2" t="str">
        <f aca="false">""</f>
        <v/>
      </c>
      <c r="L1194" s="2" t="str">
        <f aca="false">IF($G1194="","","同時")</f>
        <v/>
      </c>
      <c r="M1194" s="2" t="str">
        <f aca="false">IF($G1194="","",IF(ISNA(MATCH($G1194,個別指定!$A:$A,0)),"行なし",""))</f>
        <v/>
      </c>
      <c r="N1194" s="2" t="str">
        <f aca="false">IF($G1194="","",IF(COUNTIF($G$2:$G$4460,$G1194)&gt;1,"重複",""))</f>
        <v/>
      </c>
    </row>
    <row r="1195" customFormat="false" ht="16.5" hidden="false" customHeight="true" outlineLevel="0" collapsed="false">
      <c r="A1195" s="2" t="s">
        <v>385</v>
      </c>
      <c r="B1195" s="2" t="s">
        <v>409</v>
      </c>
      <c r="C1195" s="2" t="s">
        <v>17</v>
      </c>
      <c r="D1195" s="2" t="str">
        <f aca="false">IF(2キー同時!$B$305="","",2キー同時!$B$305)</f>
        <v/>
      </c>
      <c r="E1195" s="2" t="str">
        <f aca="false">""</f>
        <v/>
      </c>
      <c r="F1195" s="2" t="str">
        <f aca="false">""</f>
        <v/>
      </c>
      <c r="G1195" s="2" t="str">
        <f aca="false">IF(2キー同時!$B$305="","",IF(2キー同時!AB309="","",SUBSTITUTE(SUBSTITUTE(2キー同時!AB309," ",""),"　","")))</f>
        <v/>
      </c>
      <c r="H1195" s="2" t="str">
        <f aca="false">IF($G1195="","",2キー同時!$B$305)</f>
        <v/>
      </c>
      <c r="I1195" s="2" t="str">
        <f aca="false">IF($G1195="","","y")</f>
        <v/>
      </c>
      <c r="J1195" s="2" t="str">
        <f aca="false">""</f>
        <v/>
      </c>
      <c r="K1195" s="2" t="str">
        <f aca="false">""</f>
        <v/>
      </c>
      <c r="L1195" s="2" t="str">
        <f aca="false">IF($G1195="","","同時")</f>
        <v/>
      </c>
      <c r="M1195" s="2" t="str">
        <f aca="false">IF($G1195="","",IF(ISNA(MATCH($G1195,個別指定!$A:$A,0)),"行なし",""))</f>
        <v/>
      </c>
      <c r="N1195" s="2" t="str">
        <f aca="false">IF($G1195="","",IF(COUNTIF($G$2:$G$4460,$G1195)&gt;1,"重複",""))</f>
        <v/>
      </c>
    </row>
    <row r="1196" customFormat="false" ht="16.5" hidden="false" customHeight="true" outlineLevel="0" collapsed="false">
      <c r="A1196" s="2" t="s">
        <v>385</v>
      </c>
      <c r="B1196" s="2" t="s">
        <v>409</v>
      </c>
      <c r="C1196" s="2" t="s">
        <v>18</v>
      </c>
      <c r="D1196" s="2" t="str">
        <f aca="false">IF(2キー同時!$B$305="","",2キー同時!$B$305)</f>
        <v/>
      </c>
      <c r="E1196" s="2" t="str">
        <f aca="false">""</f>
        <v/>
      </c>
      <c r="F1196" s="2" t="str">
        <f aca="false">""</f>
        <v/>
      </c>
      <c r="G1196" s="2" t="str">
        <f aca="false">IF(2キー同時!$B$305="","",IF(2キー同時!AF309="","",SUBSTITUTE(SUBSTITUTE(2キー同時!AF309," ",""),"　","")))</f>
        <v/>
      </c>
      <c r="H1196" s="2" t="str">
        <f aca="false">IF($G1196="","",2キー同時!$B$305)</f>
        <v/>
      </c>
      <c r="I1196" s="2" t="str">
        <f aca="false">IF($G1196="","","u")</f>
        <v/>
      </c>
      <c r="J1196" s="2" t="str">
        <f aca="false">""</f>
        <v/>
      </c>
      <c r="K1196" s="2" t="str">
        <f aca="false">""</f>
        <v/>
      </c>
      <c r="L1196" s="2" t="str">
        <f aca="false">IF($G1196="","","同時")</f>
        <v/>
      </c>
      <c r="M1196" s="2" t="str">
        <f aca="false">IF($G1196="","",IF(ISNA(MATCH($G1196,個別指定!$A:$A,0)),"行なし",""))</f>
        <v/>
      </c>
      <c r="N1196" s="2" t="str">
        <f aca="false">IF($G1196="","",IF(COUNTIF($G$2:$G$4460,$G1196)&gt;1,"重複",""))</f>
        <v/>
      </c>
    </row>
    <row r="1197" customFormat="false" ht="16.5" hidden="false" customHeight="true" outlineLevel="0" collapsed="false">
      <c r="A1197" s="2" t="s">
        <v>385</v>
      </c>
      <c r="B1197" s="2" t="s">
        <v>409</v>
      </c>
      <c r="C1197" s="2" t="s">
        <v>19</v>
      </c>
      <c r="D1197" s="2" t="str">
        <f aca="false">IF(2キー同時!$B$305="","",2キー同時!$B$305)</f>
        <v/>
      </c>
      <c r="E1197" s="2" t="str">
        <f aca="false">""</f>
        <v/>
      </c>
      <c r="F1197" s="2" t="str">
        <f aca="false">""</f>
        <v/>
      </c>
      <c r="G1197" s="2" t="str">
        <f aca="false">IF(2キー同時!$B$305="","",IF(2キー同時!AJ309="","",SUBSTITUTE(SUBSTITUTE(2キー同時!AJ309," ",""),"　","")))</f>
        <v/>
      </c>
      <c r="H1197" s="2" t="str">
        <f aca="false">IF($G1197="","",2キー同時!$B$305)</f>
        <v/>
      </c>
      <c r="I1197" s="2" t="str">
        <f aca="false">IF($G1197="","","i")</f>
        <v/>
      </c>
      <c r="J1197" s="2" t="str">
        <f aca="false">""</f>
        <v/>
      </c>
      <c r="K1197" s="2" t="str">
        <f aca="false">""</f>
        <v/>
      </c>
      <c r="L1197" s="2" t="str">
        <f aca="false">IF($G1197="","","同時")</f>
        <v/>
      </c>
      <c r="M1197" s="2" t="str">
        <f aca="false">IF($G1197="","",IF(ISNA(MATCH($G1197,個別指定!$A:$A,0)),"行なし",""))</f>
        <v/>
      </c>
      <c r="N1197" s="2" t="str">
        <f aca="false">IF($G1197="","",IF(COUNTIF($G$2:$G$4460,$G1197)&gt;1,"重複",""))</f>
        <v/>
      </c>
    </row>
    <row r="1198" customFormat="false" ht="16.5" hidden="false" customHeight="true" outlineLevel="0" collapsed="false">
      <c r="A1198" s="2" t="s">
        <v>385</v>
      </c>
      <c r="B1198" s="2" t="s">
        <v>409</v>
      </c>
      <c r="C1198" s="2" t="s">
        <v>20</v>
      </c>
      <c r="D1198" s="2" t="str">
        <f aca="false">IF(2キー同時!$B$305="","",2キー同時!$B$305)</f>
        <v/>
      </c>
      <c r="E1198" s="2" t="str">
        <f aca="false">""</f>
        <v/>
      </c>
      <c r="F1198" s="2" t="str">
        <f aca="false">""</f>
        <v/>
      </c>
      <c r="G1198" s="2" t="str">
        <f aca="false">IF(2キー同時!$B$305="","",IF(2キー同時!AN309="","",SUBSTITUTE(SUBSTITUTE(2キー同時!AN309," ",""),"　","")))</f>
        <v/>
      </c>
      <c r="H1198" s="2" t="str">
        <f aca="false">IF($G1198="","",2キー同時!$B$305)</f>
        <v/>
      </c>
      <c r="I1198" s="2" t="str">
        <f aca="false">IF($G1198="","","o")</f>
        <v/>
      </c>
      <c r="J1198" s="2" t="str">
        <f aca="false">""</f>
        <v/>
      </c>
      <c r="K1198" s="2" t="str">
        <f aca="false">""</f>
        <v/>
      </c>
      <c r="L1198" s="2" t="str">
        <f aca="false">IF($G1198="","","同時")</f>
        <v/>
      </c>
      <c r="M1198" s="2" t="str">
        <f aca="false">IF($G1198="","",IF(ISNA(MATCH($G1198,個別指定!$A:$A,0)),"行なし",""))</f>
        <v/>
      </c>
      <c r="N1198" s="2" t="str">
        <f aca="false">IF($G1198="","",IF(COUNTIF($G$2:$G$4460,$G1198)&gt;1,"重複",""))</f>
        <v/>
      </c>
    </row>
    <row r="1199" customFormat="false" ht="16.5" hidden="false" customHeight="true" outlineLevel="0" collapsed="false">
      <c r="A1199" s="2" t="s">
        <v>385</v>
      </c>
      <c r="B1199" s="2" t="s">
        <v>409</v>
      </c>
      <c r="C1199" s="2" t="s">
        <v>21</v>
      </c>
      <c r="D1199" s="2" t="str">
        <f aca="false">IF(2キー同時!$B$305="","",2キー同時!$B$305)</f>
        <v/>
      </c>
      <c r="E1199" s="2" t="str">
        <f aca="false">""</f>
        <v/>
      </c>
      <c r="F1199" s="2" t="str">
        <f aca="false">""</f>
        <v/>
      </c>
      <c r="G1199" s="2" t="str">
        <f aca="false">IF(2キー同時!$B$305="","",IF(2キー同時!AR309="","",SUBSTITUTE(SUBSTITUTE(2キー同時!AR309," ",""),"　","")))</f>
        <v/>
      </c>
      <c r="H1199" s="2" t="str">
        <f aca="false">IF($G1199="","",2キー同時!$B$305)</f>
        <v/>
      </c>
      <c r="I1199" s="2" t="str">
        <f aca="false">IF($G1199="","","p")</f>
        <v/>
      </c>
      <c r="J1199" s="2" t="str">
        <f aca="false">""</f>
        <v/>
      </c>
      <c r="K1199" s="2" t="str">
        <f aca="false">""</f>
        <v/>
      </c>
      <c r="L1199" s="2" t="str">
        <f aca="false">IF($G1199="","","同時")</f>
        <v/>
      </c>
      <c r="M1199" s="2" t="str">
        <f aca="false">IF($G1199="","",IF(ISNA(MATCH($G1199,個別指定!$A:$A,0)),"行なし",""))</f>
        <v/>
      </c>
      <c r="N1199" s="2" t="str">
        <f aca="false">IF($G1199="","",IF(COUNTIF($G$2:$G$4460,$G1199)&gt;1,"重複",""))</f>
        <v/>
      </c>
    </row>
    <row r="1200" customFormat="false" ht="16.5" hidden="false" customHeight="true" outlineLevel="0" collapsed="false">
      <c r="A1200" s="2" t="s">
        <v>385</v>
      </c>
      <c r="B1200" s="2" t="s">
        <v>409</v>
      </c>
      <c r="C1200" s="2" t="s">
        <v>22</v>
      </c>
      <c r="D1200" s="2" t="str">
        <f aca="false">IF(2キー同時!$B$305="","",2キー同時!$B$305)</f>
        <v/>
      </c>
      <c r="E1200" s="2" t="str">
        <f aca="false">""</f>
        <v/>
      </c>
      <c r="F1200" s="2" t="str">
        <f aca="false">""</f>
        <v/>
      </c>
      <c r="G1200" s="2" t="str">
        <f aca="false">IF(2キー同時!$B$305="","",IF(2キー同時!AV309="","",SUBSTITUTE(SUBSTITUTE(2キー同時!AV309," ",""),"　","")))</f>
        <v/>
      </c>
      <c r="H1200" s="2" t="str">
        <f aca="false">IF($G1200="","",2キー同時!$B$305)</f>
        <v/>
      </c>
      <c r="I1200" s="2" t="str">
        <f aca="false">IF($G1200="","","[")</f>
        <v/>
      </c>
      <c r="J1200" s="2" t="str">
        <f aca="false">""</f>
        <v/>
      </c>
      <c r="K1200" s="2" t="str">
        <f aca="false">""</f>
        <v/>
      </c>
      <c r="L1200" s="2" t="str">
        <f aca="false">IF($G1200="","","同時")</f>
        <v/>
      </c>
      <c r="M1200" s="2" t="str">
        <f aca="false">IF($G1200="","",IF(ISNA(MATCH($G1200,個別指定!$A:$A,0)),"行なし",""))</f>
        <v/>
      </c>
      <c r="N1200" s="2" t="str">
        <f aca="false">IF($G1200="","",IF(COUNTIF($G$2:$G$4460,$G1200)&gt;1,"重複",""))</f>
        <v/>
      </c>
    </row>
    <row r="1201" customFormat="false" ht="16.5" hidden="false" customHeight="true" outlineLevel="0" collapsed="false">
      <c r="A1201" s="2" t="s">
        <v>385</v>
      </c>
      <c r="B1201" s="2" t="s">
        <v>409</v>
      </c>
      <c r="C1201" s="2" t="s">
        <v>23</v>
      </c>
      <c r="D1201" s="2" t="str">
        <f aca="false">IF(2キー同時!$B$305="","",2キー同時!$B$305)</f>
        <v/>
      </c>
      <c r="E1201" s="2" t="str">
        <f aca="false">""</f>
        <v/>
      </c>
      <c r="F1201" s="2" t="str">
        <f aca="false">""</f>
        <v/>
      </c>
      <c r="G1201" s="2" t="str">
        <f aca="false">IF(2キー同時!$B$305="","",IF(2キー同時!AZ309="","",SUBSTITUTE(SUBSTITUTE(2キー同時!AZ309," ",""),"　","")))</f>
        <v/>
      </c>
      <c r="H1201" s="2" t="str">
        <f aca="false">IF($G1201="","",2キー同時!$B$305)</f>
        <v/>
      </c>
      <c r="I1201" s="2" t="str">
        <f aca="false">IF($G1201="","","]")</f>
        <v/>
      </c>
      <c r="J1201" s="2" t="str">
        <f aca="false">""</f>
        <v/>
      </c>
      <c r="K1201" s="2" t="str">
        <f aca="false">""</f>
        <v/>
      </c>
      <c r="L1201" s="2" t="str">
        <f aca="false">IF($G1201="","","同時")</f>
        <v/>
      </c>
      <c r="M1201" s="2" t="str">
        <f aca="false">IF($G1201="","",IF(ISNA(MATCH($G1201,個別指定!$A:$A,0)),"行なし",""))</f>
        <v/>
      </c>
      <c r="N1201" s="2" t="str">
        <f aca="false">IF($G1201="","",IF(COUNTIF($G$2:$G$4460,$G1201)&gt;1,"重複",""))</f>
        <v/>
      </c>
    </row>
    <row r="1202" customFormat="false" ht="16.5" hidden="false" customHeight="true" outlineLevel="0" collapsed="false">
      <c r="A1202" s="2" t="s">
        <v>385</v>
      </c>
      <c r="B1202" s="2" t="s">
        <v>409</v>
      </c>
      <c r="C1202" s="2" t="s">
        <v>24</v>
      </c>
      <c r="D1202" s="2" t="str">
        <f aca="false">IF(2キー同時!$B$305="","",2キー同時!$B$305)</f>
        <v/>
      </c>
      <c r="E1202" s="2" t="str">
        <f aca="false">""</f>
        <v/>
      </c>
      <c r="F1202" s="2" t="str">
        <f aca="false">""</f>
        <v/>
      </c>
      <c r="G1202" s="2" t="str">
        <f aca="false">IF(2キー同時!$B$305="","",IF(2キー同時!I311="","",SUBSTITUTE(SUBSTITUTE(2キー同時!I311," ",""),"　","")))</f>
        <v/>
      </c>
      <c r="H1202" s="2" t="str">
        <f aca="false">IF($G1202="","",2キー同時!$B$305)</f>
        <v/>
      </c>
      <c r="I1202" s="2" t="str">
        <f aca="false">IF($G1202="","","a")</f>
        <v/>
      </c>
      <c r="J1202" s="2" t="str">
        <f aca="false">""</f>
        <v/>
      </c>
      <c r="K1202" s="2" t="str">
        <f aca="false">""</f>
        <v/>
      </c>
      <c r="L1202" s="2" t="str">
        <f aca="false">IF($G1202="","","同時")</f>
        <v/>
      </c>
      <c r="M1202" s="2" t="str">
        <f aca="false">IF($G1202="","",IF(ISNA(MATCH($G1202,個別指定!$A:$A,0)),"行なし",""))</f>
        <v/>
      </c>
      <c r="N1202" s="2" t="str">
        <f aca="false">IF($G1202="","",IF(COUNTIF($G$2:$G$4460,$G1202)&gt;1,"重複",""))</f>
        <v/>
      </c>
    </row>
    <row r="1203" customFormat="false" ht="16.5" hidden="false" customHeight="true" outlineLevel="0" collapsed="false">
      <c r="A1203" s="2" t="s">
        <v>385</v>
      </c>
      <c r="B1203" s="2" t="s">
        <v>409</v>
      </c>
      <c r="C1203" s="2" t="s">
        <v>25</v>
      </c>
      <c r="D1203" s="2" t="str">
        <f aca="false">IF(2キー同時!$B$305="","",2キー同時!$B$305)</f>
        <v/>
      </c>
      <c r="E1203" s="2" t="str">
        <f aca="false">""</f>
        <v/>
      </c>
      <c r="F1203" s="2" t="str">
        <f aca="false">""</f>
        <v/>
      </c>
      <c r="G1203" s="2" t="str">
        <f aca="false">IF(2キー同時!$B$305="","",IF(2キー同時!M311="","",SUBSTITUTE(SUBSTITUTE(2キー同時!M311," ",""),"　","")))</f>
        <v/>
      </c>
      <c r="H1203" s="2" t="str">
        <f aca="false">IF($G1203="","",2キー同時!$B$305)</f>
        <v/>
      </c>
      <c r="I1203" s="2" t="str">
        <f aca="false">IF($G1203="","","s")</f>
        <v/>
      </c>
      <c r="J1203" s="2" t="str">
        <f aca="false">""</f>
        <v/>
      </c>
      <c r="K1203" s="2" t="str">
        <f aca="false">""</f>
        <v/>
      </c>
      <c r="L1203" s="2" t="str">
        <f aca="false">IF($G1203="","","同時")</f>
        <v/>
      </c>
      <c r="M1203" s="2" t="str">
        <f aca="false">IF($G1203="","",IF(ISNA(MATCH($G1203,個別指定!$A:$A,0)),"行なし",""))</f>
        <v/>
      </c>
      <c r="N1203" s="2" t="str">
        <f aca="false">IF($G1203="","",IF(COUNTIF($G$2:$G$4460,$G1203)&gt;1,"重複",""))</f>
        <v/>
      </c>
    </row>
    <row r="1204" customFormat="false" ht="16.5" hidden="false" customHeight="true" outlineLevel="0" collapsed="false">
      <c r="A1204" s="2" t="s">
        <v>385</v>
      </c>
      <c r="B1204" s="2" t="s">
        <v>409</v>
      </c>
      <c r="C1204" s="2" t="s">
        <v>26</v>
      </c>
      <c r="D1204" s="2" t="str">
        <f aca="false">IF(2キー同時!$B$305="","",2キー同時!$B$305)</f>
        <v/>
      </c>
      <c r="E1204" s="2" t="str">
        <f aca="false">""</f>
        <v/>
      </c>
      <c r="F1204" s="2" t="str">
        <f aca="false">""</f>
        <v/>
      </c>
      <c r="G1204" s="2" t="str">
        <f aca="false">IF(2キー同時!$B$305="","",IF(2キー同時!Q311="","",SUBSTITUTE(SUBSTITUTE(2キー同時!Q311," ",""),"　","")))</f>
        <v/>
      </c>
      <c r="H1204" s="2" t="str">
        <f aca="false">IF($G1204="","",2キー同時!$B$305)</f>
        <v/>
      </c>
      <c r="I1204" s="2" t="str">
        <f aca="false">IF($G1204="","","d")</f>
        <v/>
      </c>
      <c r="J1204" s="2" t="str">
        <f aca="false">""</f>
        <v/>
      </c>
      <c r="K1204" s="2" t="str">
        <f aca="false">""</f>
        <v/>
      </c>
      <c r="L1204" s="2" t="str">
        <f aca="false">IF($G1204="","","同時")</f>
        <v/>
      </c>
      <c r="M1204" s="2" t="str">
        <f aca="false">IF($G1204="","",IF(ISNA(MATCH($G1204,個別指定!$A:$A,0)),"行なし",""))</f>
        <v/>
      </c>
      <c r="N1204" s="2" t="str">
        <f aca="false">IF($G1204="","",IF(COUNTIF($G$2:$G$4460,$G1204)&gt;1,"重複",""))</f>
        <v/>
      </c>
    </row>
    <row r="1205" customFormat="false" ht="16.5" hidden="false" customHeight="true" outlineLevel="0" collapsed="false">
      <c r="A1205" s="2" t="s">
        <v>385</v>
      </c>
      <c r="B1205" s="2" t="s">
        <v>409</v>
      </c>
      <c r="C1205" s="2" t="s">
        <v>27</v>
      </c>
      <c r="D1205" s="2" t="str">
        <f aca="false">IF(2キー同時!$B$305="","",2キー同時!$B$305)</f>
        <v/>
      </c>
      <c r="E1205" s="2" t="str">
        <f aca="false">""</f>
        <v/>
      </c>
      <c r="F1205" s="2" t="str">
        <f aca="false">""</f>
        <v/>
      </c>
      <c r="G1205" s="2" t="str">
        <f aca="false">IF(2キー同時!$B$305="","",IF(2キー同時!U311="","",SUBSTITUTE(SUBSTITUTE(2キー同時!U311," ",""),"　","")))</f>
        <v/>
      </c>
      <c r="H1205" s="2" t="str">
        <f aca="false">IF($G1205="","",2キー同時!$B$305)</f>
        <v/>
      </c>
      <c r="I1205" s="2" t="str">
        <f aca="false">IF($G1205="","","f")</f>
        <v/>
      </c>
      <c r="J1205" s="2" t="str">
        <f aca="false">""</f>
        <v/>
      </c>
      <c r="K1205" s="2" t="str">
        <f aca="false">""</f>
        <v/>
      </c>
      <c r="L1205" s="2" t="str">
        <f aca="false">IF($G1205="","","同時")</f>
        <v/>
      </c>
      <c r="M1205" s="2" t="str">
        <f aca="false">IF($G1205="","",IF(ISNA(MATCH($G1205,個別指定!$A:$A,0)),"行なし",""))</f>
        <v/>
      </c>
      <c r="N1205" s="2" t="str">
        <f aca="false">IF($G1205="","",IF(COUNTIF($G$2:$G$4460,$G1205)&gt;1,"重複",""))</f>
        <v/>
      </c>
    </row>
    <row r="1206" customFormat="false" ht="16.5" hidden="false" customHeight="true" outlineLevel="0" collapsed="false">
      <c r="A1206" s="2" t="s">
        <v>385</v>
      </c>
      <c r="B1206" s="2" t="s">
        <v>409</v>
      </c>
      <c r="C1206" s="2" t="s">
        <v>28</v>
      </c>
      <c r="D1206" s="2" t="str">
        <f aca="false">IF(2キー同時!$B$305="","",2キー同時!$B$305)</f>
        <v/>
      </c>
      <c r="E1206" s="2" t="str">
        <f aca="false">""</f>
        <v/>
      </c>
      <c r="F1206" s="2" t="str">
        <f aca="false">""</f>
        <v/>
      </c>
      <c r="G1206" s="2" t="str">
        <f aca="false">IF(2キー同時!$B$305="","",IF(2キー同時!Y311="","",SUBSTITUTE(SUBSTITUTE(2キー同時!Y311," ",""),"　","")))</f>
        <v/>
      </c>
      <c r="H1206" s="2" t="str">
        <f aca="false">IF($G1206="","",2キー同時!$B$305)</f>
        <v/>
      </c>
      <c r="I1206" s="2" t="str">
        <f aca="false">IF($G1206="","","g")</f>
        <v/>
      </c>
      <c r="J1206" s="2" t="str">
        <f aca="false">""</f>
        <v/>
      </c>
      <c r="K1206" s="2" t="str">
        <f aca="false">""</f>
        <v/>
      </c>
      <c r="L1206" s="2" t="str">
        <f aca="false">IF($G1206="","","同時")</f>
        <v/>
      </c>
      <c r="M1206" s="2" t="str">
        <f aca="false">IF($G1206="","",IF(ISNA(MATCH($G1206,個別指定!$A:$A,0)),"行なし",""))</f>
        <v/>
      </c>
      <c r="N1206" s="2" t="str">
        <f aca="false">IF($G1206="","",IF(COUNTIF($G$2:$G$4460,$G1206)&gt;1,"重複",""))</f>
        <v/>
      </c>
    </row>
    <row r="1207" customFormat="false" ht="16.5" hidden="false" customHeight="true" outlineLevel="0" collapsed="false">
      <c r="A1207" s="2" t="s">
        <v>385</v>
      </c>
      <c r="B1207" s="2" t="s">
        <v>409</v>
      </c>
      <c r="C1207" s="2" t="s">
        <v>29</v>
      </c>
      <c r="D1207" s="2" t="str">
        <f aca="false">IF(2キー同時!$B$305="","",2キー同時!$B$305)</f>
        <v/>
      </c>
      <c r="E1207" s="2" t="str">
        <f aca="false">""</f>
        <v/>
      </c>
      <c r="F1207" s="2" t="str">
        <f aca="false">""</f>
        <v/>
      </c>
      <c r="G1207" s="2" t="str">
        <f aca="false">IF(2キー同時!$B$305="","",IF(2キー同時!AC311="","",SUBSTITUTE(SUBSTITUTE(2キー同時!AC311," ",""),"　","")))</f>
        <v/>
      </c>
      <c r="H1207" s="2" t="str">
        <f aca="false">IF($G1207="","",2キー同時!$B$305)</f>
        <v/>
      </c>
      <c r="I1207" s="2" t="str">
        <f aca="false">IF($G1207="","","h")</f>
        <v/>
      </c>
      <c r="J1207" s="2" t="str">
        <f aca="false">""</f>
        <v/>
      </c>
      <c r="K1207" s="2" t="str">
        <f aca="false">""</f>
        <v/>
      </c>
      <c r="L1207" s="2" t="str">
        <f aca="false">IF($G1207="","","同時")</f>
        <v/>
      </c>
      <c r="M1207" s="2" t="str">
        <f aca="false">IF($G1207="","",IF(ISNA(MATCH($G1207,個別指定!$A:$A,0)),"行なし",""))</f>
        <v/>
      </c>
      <c r="N1207" s="2" t="str">
        <f aca="false">IF($G1207="","",IF(COUNTIF($G$2:$G$4460,$G1207)&gt;1,"重複",""))</f>
        <v/>
      </c>
    </row>
    <row r="1208" customFormat="false" ht="16.5" hidden="false" customHeight="true" outlineLevel="0" collapsed="false">
      <c r="A1208" s="2" t="s">
        <v>385</v>
      </c>
      <c r="B1208" s="2" t="s">
        <v>409</v>
      </c>
      <c r="C1208" s="2" t="s">
        <v>30</v>
      </c>
      <c r="D1208" s="2" t="str">
        <f aca="false">IF(2キー同時!$B$305="","",2キー同時!$B$305)</f>
        <v/>
      </c>
      <c r="E1208" s="2" t="str">
        <f aca="false">""</f>
        <v/>
      </c>
      <c r="F1208" s="2" t="str">
        <f aca="false">""</f>
        <v/>
      </c>
      <c r="G1208" s="2" t="str">
        <f aca="false">IF(2キー同時!$B$305="","",IF(2キー同時!AG311="","",SUBSTITUTE(SUBSTITUTE(2キー同時!AG311," ",""),"　","")))</f>
        <v/>
      </c>
      <c r="H1208" s="2" t="str">
        <f aca="false">IF($G1208="","",2キー同時!$B$305)</f>
        <v/>
      </c>
      <c r="I1208" s="2" t="str">
        <f aca="false">IF($G1208="","","j")</f>
        <v/>
      </c>
      <c r="J1208" s="2" t="str">
        <f aca="false">""</f>
        <v/>
      </c>
      <c r="K1208" s="2" t="str">
        <f aca="false">""</f>
        <v/>
      </c>
      <c r="L1208" s="2" t="str">
        <f aca="false">IF($G1208="","","同時")</f>
        <v/>
      </c>
      <c r="M1208" s="2" t="str">
        <f aca="false">IF($G1208="","",IF(ISNA(MATCH($G1208,個別指定!$A:$A,0)),"行なし",""))</f>
        <v/>
      </c>
      <c r="N1208" s="2" t="str">
        <f aca="false">IF($G1208="","",IF(COUNTIF($G$2:$G$4460,$G1208)&gt;1,"重複",""))</f>
        <v/>
      </c>
    </row>
    <row r="1209" customFormat="false" ht="16.5" hidden="false" customHeight="true" outlineLevel="0" collapsed="false">
      <c r="A1209" s="2" t="s">
        <v>385</v>
      </c>
      <c r="B1209" s="2" t="s">
        <v>409</v>
      </c>
      <c r="C1209" s="2" t="s">
        <v>31</v>
      </c>
      <c r="D1209" s="2" t="str">
        <f aca="false">IF(2キー同時!$B$305="","",2キー同時!$B$305)</f>
        <v/>
      </c>
      <c r="E1209" s="2" t="str">
        <f aca="false">""</f>
        <v/>
      </c>
      <c r="F1209" s="2" t="str">
        <f aca="false">""</f>
        <v/>
      </c>
      <c r="G1209" s="2" t="str">
        <f aca="false">IF(2キー同時!$B$305="","",IF(2キー同時!AK311="","",SUBSTITUTE(SUBSTITUTE(2キー同時!AK311," ",""),"　","")))</f>
        <v/>
      </c>
      <c r="H1209" s="2" t="str">
        <f aca="false">IF($G1209="","",2キー同時!$B$305)</f>
        <v/>
      </c>
      <c r="I1209" s="2" t="str">
        <f aca="false">IF($G1209="","","k")</f>
        <v/>
      </c>
      <c r="J1209" s="2" t="str">
        <f aca="false">""</f>
        <v/>
      </c>
      <c r="K1209" s="2" t="str">
        <f aca="false">""</f>
        <v/>
      </c>
      <c r="L1209" s="2" t="str">
        <f aca="false">IF($G1209="","","同時")</f>
        <v/>
      </c>
      <c r="M1209" s="2" t="str">
        <f aca="false">IF($G1209="","",IF(ISNA(MATCH($G1209,個別指定!$A:$A,0)),"行なし",""))</f>
        <v/>
      </c>
      <c r="N1209" s="2" t="str">
        <f aca="false">IF($G1209="","",IF(COUNTIF($G$2:$G$4460,$G1209)&gt;1,"重複",""))</f>
        <v/>
      </c>
    </row>
    <row r="1210" customFormat="false" ht="16.5" hidden="false" customHeight="true" outlineLevel="0" collapsed="false">
      <c r="A1210" s="2" t="s">
        <v>385</v>
      </c>
      <c r="B1210" s="2" t="s">
        <v>409</v>
      </c>
      <c r="C1210" s="2" t="s">
        <v>32</v>
      </c>
      <c r="D1210" s="2" t="str">
        <f aca="false">IF(2キー同時!$B$305="","",2キー同時!$B$305)</f>
        <v/>
      </c>
      <c r="E1210" s="2" t="str">
        <f aca="false">""</f>
        <v/>
      </c>
      <c r="F1210" s="2" t="str">
        <f aca="false">""</f>
        <v/>
      </c>
      <c r="G1210" s="2" t="str">
        <f aca="false">IF(2キー同時!$B$305="","",IF(2キー同時!AO311="","",SUBSTITUTE(SUBSTITUTE(2キー同時!AO311," ",""),"　","")))</f>
        <v/>
      </c>
      <c r="H1210" s="2" t="str">
        <f aca="false">IF($G1210="","",2キー同時!$B$305)</f>
        <v/>
      </c>
      <c r="I1210" s="2" t="str">
        <f aca="false">IF($G1210="","","l")</f>
        <v/>
      </c>
      <c r="J1210" s="2" t="str">
        <f aca="false">""</f>
        <v/>
      </c>
      <c r="K1210" s="2" t="str">
        <f aca="false">""</f>
        <v/>
      </c>
      <c r="L1210" s="2" t="str">
        <f aca="false">IF($G1210="","","同時")</f>
        <v/>
      </c>
      <c r="M1210" s="2" t="str">
        <f aca="false">IF($G1210="","",IF(ISNA(MATCH($G1210,個別指定!$A:$A,0)),"行なし",""))</f>
        <v/>
      </c>
      <c r="N1210" s="2" t="str">
        <f aca="false">IF($G1210="","",IF(COUNTIF($G$2:$G$4460,$G1210)&gt;1,"重複",""))</f>
        <v/>
      </c>
    </row>
    <row r="1211" customFormat="false" ht="16.5" hidden="false" customHeight="true" outlineLevel="0" collapsed="false">
      <c r="A1211" s="2" t="s">
        <v>385</v>
      </c>
      <c r="B1211" s="2" t="s">
        <v>409</v>
      </c>
      <c r="C1211" s="2" t="s">
        <v>33</v>
      </c>
      <c r="D1211" s="2" t="str">
        <f aca="false">IF(2キー同時!$B$305="","",2キー同時!$B$305)</f>
        <v/>
      </c>
      <c r="E1211" s="2" t="str">
        <f aca="false">""</f>
        <v/>
      </c>
      <c r="F1211" s="2" t="str">
        <f aca="false">""</f>
        <v/>
      </c>
      <c r="G1211" s="2" t="str">
        <f aca="false">IF(2キー同時!$B$305="","",IF(2キー同時!AS311="","",SUBSTITUTE(SUBSTITUTE(2キー同時!AS311," ",""),"　","")))</f>
        <v/>
      </c>
      <c r="H1211" s="2" t="str">
        <f aca="false">IF($G1211="","",2キー同時!$B$305)</f>
        <v/>
      </c>
      <c r="I1211" s="2" t="str">
        <f aca="false">IF($G1211="","",";")</f>
        <v/>
      </c>
      <c r="J1211" s="2" t="str">
        <f aca="false">""</f>
        <v/>
      </c>
      <c r="K1211" s="2" t="str">
        <f aca="false">""</f>
        <v/>
      </c>
      <c r="L1211" s="2" t="str">
        <f aca="false">IF($G1211="","","同時")</f>
        <v/>
      </c>
      <c r="M1211" s="2" t="str">
        <f aca="false">IF($G1211="","",IF(ISNA(MATCH($G1211,個別指定!$A:$A,0)),"行なし",""))</f>
        <v/>
      </c>
      <c r="N1211" s="2" t="str">
        <f aca="false">IF($G1211="","",IF(COUNTIF($G$2:$G$4460,$G1211)&gt;1,"重複",""))</f>
        <v/>
      </c>
    </row>
    <row r="1212" customFormat="false" ht="16.5" hidden="false" customHeight="true" outlineLevel="0" collapsed="false">
      <c r="A1212" s="2" t="s">
        <v>385</v>
      </c>
      <c r="B1212" s="2" t="s">
        <v>409</v>
      </c>
      <c r="C1212" s="2" t="s">
        <v>34</v>
      </c>
      <c r="D1212" s="2" t="str">
        <f aca="false">IF(2キー同時!$B$305="","",2キー同時!$B$305)</f>
        <v/>
      </c>
      <c r="E1212" s="2" t="str">
        <f aca="false">""</f>
        <v/>
      </c>
      <c r="F1212" s="2" t="str">
        <f aca="false">""</f>
        <v/>
      </c>
      <c r="G1212" s="2" t="str">
        <f aca="false">IF(2キー同時!$B$305="","",IF(2キー同時!AW311="","",SUBSTITUTE(SUBSTITUTE(2キー同時!AW311," ",""),"　","")))</f>
        <v/>
      </c>
      <c r="H1212" s="2" t="str">
        <f aca="false">IF($G1212="","",2キー同時!$B$305)</f>
        <v/>
      </c>
      <c r="I1212" s="2" t="str">
        <f aca="false">IF($G1212="","","'")</f>
        <v/>
      </c>
      <c r="J1212" s="2" t="str">
        <f aca="false">""</f>
        <v/>
      </c>
      <c r="K1212" s="2" t="str">
        <f aca="false">""</f>
        <v/>
      </c>
      <c r="L1212" s="2" t="str">
        <f aca="false">IF($G1212="","","同時")</f>
        <v/>
      </c>
      <c r="M1212" s="2" t="str">
        <f aca="false">IF($G1212="","",IF(ISNA(MATCH($G1212,個別指定!$A:$A,0)),"行なし",""))</f>
        <v/>
      </c>
      <c r="N1212" s="2" t="str">
        <f aca="false">IF($G1212="","",IF(COUNTIF($G$2:$G$4460,$G1212)&gt;1,"重複",""))</f>
        <v/>
      </c>
    </row>
    <row r="1213" customFormat="false" ht="16.5" hidden="false" customHeight="true" outlineLevel="0" collapsed="false">
      <c r="A1213" s="2" t="s">
        <v>385</v>
      </c>
      <c r="B1213" s="2" t="s">
        <v>409</v>
      </c>
      <c r="C1213" s="2" t="s">
        <v>35</v>
      </c>
      <c r="D1213" s="2" t="str">
        <f aca="false">IF(2キー同時!$B$305="","",2キー同時!$B$305)</f>
        <v/>
      </c>
      <c r="E1213" s="2" t="str">
        <f aca="false">""</f>
        <v/>
      </c>
      <c r="F1213" s="2" t="str">
        <f aca="false">""</f>
        <v/>
      </c>
      <c r="G1213" s="2" t="str">
        <f aca="false">IF(2キー同時!$B$305="","",IF(2キー同時!K313="","",SUBSTITUTE(SUBSTITUTE(2キー同時!K313," ",""),"　","")))</f>
        <v/>
      </c>
      <c r="H1213" s="2" t="str">
        <f aca="false">IF($G1213="","",2キー同時!$B$305)</f>
        <v/>
      </c>
      <c r="I1213" s="2" t="str">
        <f aca="false">IF($G1213="","","z")</f>
        <v/>
      </c>
      <c r="J1213" s="2" t="str">
        <f aca="false">""</f>
        <v/>
      </c>
      <c r="K1213" s="2" t="str">
        <f aca="false">""</f>
        <v/>
      </c>
      <c r="L1213" s="2" t="str">
        <f aca="false">IF($G1213="","","同時")</f>
        <v/>
      </c>
      <c r="M1213" s="2" t="str">
        <f aca="false">IF($G1213="","",IF(ISNA(MATCH($G1213,個別指定!$A:$A,0)),"行なし",""))</f>
        <v/>
      </c>
      <c r="N1213" s="2" t="str">
        <f aca="false">IF($G1213="","",IF(COUNTIF($G$2:$G$4460,$G1213)&gt;1,"重複",""))</f>
        <v/>
      </c>
    </row>
    <row r="1214" customFormat="false" ht="16.5" hidden="false" customHeight="true" outlineLevel="0" collapsed="false">
      <c r="A1214" s="2" t="s">
        <v>385</v>
      </c>
      <c r="B1214" s="2" t="s">
        <v>409</v>
      </c>
      <c r="C1214" s="2" t="s">
        <v>36</v>
      </c>
      <c r="D1214" s="2" t="str">
        <f aca="false">IF(2キー同時!$B$305="","",2キー同時!$B$305)</f>
        <v/>
      </c>
      <c r="E1214" s="2" t="str">
        <f aca="false">""</f>
        <v/>
      </c>
      <c r="F1214" s="2" t="str">
        <f aca="false">""</f>
        <v/>
      </c>
      <c r="G1214" s="2" t="str">
        <f aca="false">IF(2キー同時!$B$305="","",IF(2キー同時!O313="","",SUBSTITUTE(SUBSTITUTE(2キー同時!O313," ",""),"　","")))</f>
        <v/>
      </c>
      <c r="H1214" s="2" t="str">
        <f aca="false">IF($G1214="","",2キー同時!$B$305)</f>
        <v/>
      </c>
      <c r="I1214" s="2" t="str">
        <f aca="false">IF($G1214="","","x")</f>
        <v/>
      </c>
      <c r="J1214" s="2" t="str">
        <f aca="false">""</f>
        <v/>
      </c>
      <c r="K1214" s="2" t="str">
        <f aca="false">""</f>
        <v/>
      </c>
      <c r="L1214" s="2" t="str">
        <f aca="false">IF($G1214="","","同時")</f>
        <v/>
      </c>
      <c r="M1214" s="2" t="str">
        <f aca="false">IF($G1214="","",IF(ISNA(MATCH($G1214,個別指定!$A:$A,0)),"行なし",""))</f>
        <v/>
      </c>
      <c r="N1214" s="2" t="str">
        <f aca="false">IF($G1214="","",IF(COUNTIF($G$2:$G$4460,$G1214)&gt;1,"重複",""))</f>
        <v/>
      </c>
    </row>
    <row r="1215" customFormat="false" ht="16.5" hidden="false" customHeight="true" outlineLevel="0" collapsed="false">
      <c r="A1215" s="2" t="s">
        <v>385</v>
      </c>
      <c r="B1215" s="2" t="s">
        <v>409</v>
      </c>
      <c r="C1215" s="2" t="s">
        <v>37</v>
      </c>
      <c r="D1215" s="2" t="str">
        <f aca="false">IF(2キー同時!$B$305="","",2キー同時!$B$305)</f>
        <v/>
      </c>
      <c r="E1215" s="2" t="str">
        <f aca="false">""</f>
        <v/>
      </c>
      <c r="F1215" s="2" t="str">
        <f aca="false">""</f>
        <v/>
      </c>
      <c r="G1215" s="2" t="str">
        <f aca="false">IF(2キー同時!$B$305="","",IF(2キー同時!S313="","",SUBSTITUTE(SUBSTITUTE(2キー同時!S313," ",""),"　","")))</f>
        <v/>
      </c>
      <c r="H1215" s="2" t="str">
        <f aca="false">IF($G1215="","",2キー同時!$B$305)</f>
        <v/>
      </c>
      <c r="I1215" s="2" t="str">
        <f aca="false">IF($G1215="","","c")</f>
        <v/>
      </c>
      <c r="J1215" s="2" t="str">
        <f aca="false">""</f>
        <v/>
      </c>
      <c r="K1215" s="2" t="str">
        <f aca="false">""</f>
        <v/>
      </c>
      <c r="L1215" s="2" t="str">
        <f aca="false">IF($G1215="","","同時")</f>
        <v/>
      </c>
      <c r="M1215" s="2" t="str">
        <f aca="false">IF($G1215="","",IF(ISNA(MATCH($G1215,個別指定!$A:$A,0)),"行なし",""))</f>
        <v/>
      </c>
      <c r="N1215" s="2" t="str">
        <f aca="false">IF($G1215="","",IF(COUNTIF($G$2:$G$4460,$G1215)&gt;1,"重複",""))</f>
        <v/>
      </c>
    </row>
    <row r="1216" customFormat="false" ht="16.5" hidden="false" customHeight="true" outlineLevel="0" collapsed="false">
      <c r="A1216" s="2" t="s">
        <v>385</v>
      </c>
      <c r="B1216" s="2" t="s">
        <v>409</v>
      </c>
      <c r="C1216" s="2" t="s">
        <v>38</v>
      </c>
      <c r="D1216" s="2" t="str">
        <f aca="false">IF(2キー同時!$B$305="","",2キー同時!$B$305)</f>
        <v/>
      </c>
      <c r="E1216" s="2" t="str">
        <f aca="false">""</f>
        <v/>
      </c>
      <c r="F1216" s="2" t="str">
        <f aca="false">""</f>
        <v/>
      </c>
      <c r="G1216" s="2" t="str">
        <f aca="false">IF(2キー同時!$B$305="","",IF(2キー同時!W313="","",SUBSTITUTE(SUBSTITUTE(2キー同時!W313," ",""),"　","")))</f>
        <v/>
      </c>
      <c r="H1216" s="2" t="str">
        <f aca="false">IF($G1216="","",2キー同時!$B$305)</f>
        <v/>
      </c>
      <c r="I1216" s="2" t="str">
        <f aca="false">IF($G1216="","","v")</f>
        <v/>
      </c>
      <c r="J1216" s="2" t="str">
        <f aca="false">""</f>
        <v/>
      </c>
      <c r="K1216" s="2" t="str">
        <f aca="false">""</f>
        <v/>
      </c>
      <c r="L1216" s="2" t="str">
        <f aca="false">IF($G1216="","","同時")</f>
        <v/>
      </c>
      <c r="M1216" s="2" t="str">
        <f aca="false">IF($G1216="","",IF(ISNA(MATCH($G1216,個別指定!$A:$A,0)),"行なし",""))</f>
        <v/>
      </c>
      <c r="N1216" s="2" t="str">
        <f aca="false">IF($G1216="","",IF(COUNTIF($G$2:$G$4460,$G1216)&gt;1,"重複",""))</f>
        <v/>
      </c>
    </row>
    <row r="1217" customFormat="false" ht="16.5" hidden="false" customHeight="true" outlineLevel="0" collapsed="false">
      <c r="A1217" s="2" t="s">
        <v>385</v>
      </c>
      <c r="B1217" s="2" t="s">
        <v>409</v>
      </c>
      <c r="C1217" s="2" t="s">
        <v>39</v>
      </c>
      <c r="D1217" s="2" t="str">
        <f aca="false">IF(2キー同時!$B$305="","",2キー同時!$B$305)</f>
        <v/>
      </c>
      <c r="E1217" s="2" t="str">
        <f aca="false">""</f>
        <v/>
      </c>
      <c r="F1217" s="2" t="str">
        <f aca="false">""</f>
        <v/>
      </c>
      <c r="G1217" s="2" t="str">
        <f aca="false">IF(2キー同時!$B$305="","",IF(2キー同時!AA313="","",SUBSTITUTE(SUBSTITUTE(2キー同時!AA313," ",""),"　","")))</f>
        <v/>
      </c>
      <c r="H1217" s="2" t="str">
        <f aca="false">IF($G1217="","",2キー同時!$B$305)</f>
        <v/>
      </c>
      <c r="I1217" s="2" t="str">
        <f aca="false">IF($G1217="","","b")</f>
        <v/>
      </c>
      <c r="J1217" s="2" t="str">
        <f aca="false">""</f>
        <v/>
      </c>
      <c r="K1217" s="2" t="str">
        <f aca="false">""</f>
        <v/>
      </c>
      <c r="L1217" s="2" t="str">
        <f aca="false">IF($G1217="","","同時")</f>
        <v/>
      </c>
      <c r="M1217" s="2" t="str">
        <f aca="false">IF($G1217="","",IF(ISNA(MATCH($G1217,個別指定!$A:$A,0)),"行なし",""))</f>
        <v/>
      </c>
      <c r="N1217" s="2" t="str">
        <f aca="false">IF($G1217="","",IF(COUNTIF($G$2:$G$4460,$G1217)&gt;1,"重複",""))</f>
        <v/>
      </c>
    </row>
    <row r="1218" customFormat="false" ht="16.5" hidden="false" customHeight="true" outlineLevel="0" collapsed="false">
      <c r="A1218" s="2" t="s">
        <v>385</v>
      </c>
      <c r="B1218" s="2" t="s">
        <v>409</v>
      </c>
      <c r="C1218" s="2" t="s">
        <v>40</v>
      </c>
      <c r="D1218" s="2" t="str">
        <f aca="false">IF(2キー同時!$B$305="","",2キー同時!$B$305)</f>
        <v/>
      </c>
      <c r="E1218" s="2" t="str">
        <f aca="false">""</f>
        <v/>
      </c>
      <c r="F1218" s="2" t="str">
        <f aca="false">""</f>
        <v/>
      </c>
      <c r="G1218" s="2" t="str">
        <f aca="false">IF(2キー同時!$B$305="","",IF(2キー同時!AE313="","",SUBSTITUTE(SUBSTITUTE(2キー同時!AE313," ",""),"　","")))</f>
        <v/>
      </c>
      <c r="H1218" s="2" t="str">
        <f aca="false">IF($G1218="","",2キー同時!$B$305)</f>
        <v/>
      </c>
      <c r="I1218" s="2" t="str">
        <f aca="false">IF($G1218="","","n")</f>
        <v/>
      </c>
      <c r="J1218" s="2" t="str">
        <f aca="false">""</f>
        <v/>
      </c>
      <c r="K1218" s="2" t="str">
        <f aca="false">""</f>
        <v/>
      </c>
      <c r="L1218" s="2" t="str">
        <f aca="false">IF($G1218="","","同時")</f>
        <v/>
      </c>
      <c r="M1218" s="2" t="str">
        <f aca="false">IF($G1218="","",IF(ISNA(MATCH($G1218,個別指定!$A:$A,0)),"行なし",""))</f>
        <v/>
      </c>
      <c r="N1218" s="2" t="str">
        <f aca="false">IF($G1218="","",IF(COUNTIF($G$2:$G$4460,$G1218)&gt;1,"重複",""))</f>
        <v/>
      </c>
    </row>
    <row r="1219" customFormat="false" ht="16.5" hidden="false" customHeight="true" outlineLevel="0" collapsed="false">
      <c r="A1219" s="2" t="s">
        <v>385</v>
      </c>
      <c r="B1219" s="2" t="s">
        <v>409</v>
      </c>
      <c r="C1219" s="2" t="s">
        <v>41</v>
      </c>
      <c r="D1219" s="2" t="str">
        <f aca="false">IF(2キー同時!$B$305="","",2キー同時!$B$305)</f>
        <v/>
      </c>
      <c r="E1219" s="2" t="str">
        <f aca="false">""</f>
        <v/>
      </c>
      <c r="F1219" s="2" t="str">
        <f aca="false">""</f>
        <v/>
      </c>
      <c r="G1219" s="2" t="str">
        <f aca="false">IF(2キー同時!$B$305="","",IF(2キー同時!AI313="","",SUBSTITUTE(SUBSTITUTE(2キー同時!AI313," ",""),"　","")))</f>
        <v/>
      </c>
      <c r="H1219" s="2" t="str">
        <f aca="false">IF($G1219="","",2キー同時!$B$305)</f>
        <v/>
      </c>
      <c r="I1219" s="2" t="str">
        <f aca="false">IF($G1219="","","m")</f>
        <v/>
      </c>
      <c r="J1219" s="2" t="str">
        <f aca="false">""</f>
        <v/>
      </c>
      <c r="K1219" s="2" t="str">
        <f aca="false">""</f>
        <v/>
      </c>
      <c r="L1219" s="2" t="str">
        <f aca="false">IF($G1219="","","同時")</f>
        <v/>
      </c>
      <c r="M1219" s="2" t="str">
        <f aca="false">IF($G1219="","",IF(ISNA(MATCH($G1219,個別指定!$A:$A,0)),"行なし",""))</f>
        <v/>
      </c>
      <c r="N1219" s="2" t="str">
        <f aca="false">IF($G1219="","",IF(COUNTIF($G$2:$G$4460,$G1219)&gt;1,"重複",""))</f>
        <v/>
      </c>
    </row>
    <row r="1220" customFormat="false" ht="16.5" hidden="false" customHeight="true" outlineLevel="0" collapsed="false">
      <c r="A1220" s="2" t="s">
        <v>385</v>
      </c>
      <c r="B1220" s="2" t="s">
        <v>409</v>
      </c>
      <c r="C1220" s="2" t="s">
        <v>42</v>
      </c>
      <c r="D1220" s="2" t="str">
        <f aca="false">IF(2キー同時!$B$305="","",2キー同時!$B$305)</f>
        <v/>
      </c>
      <c r="E1220" s="2" t="str">
        <f aca="false">""</f>
        <v/>
      </c>
      <c r="F1220" s="2" t="str">
        <f aca="false">""</f>
        <v/>
      </c>
      <c r="G1220" s="2" t="str">
        <f aca="false">IF(2キー同時!$B$305="","",IF(2キー同時!AM313="","",SUBSTITUTE(SUBSTITUTE(2キー同時!AM313," ",""),"　","")))</f>
        <v/>
      </c>
      <c r="H1220" s="2" t="str">
        <f aca="false">IF($G1220="","",2キー同時!$B$305)</f>
        <v/>
      </c>
      <c r="I1220" s="2" t="str">
        <f aca="false">IF($G1220="","",",")</f>
        <v/>
      </c>
      <c r="J1220" s="2" t="str">
        <f aca="false">""</f>
        <v/>
      </c>
      <c r="K1220" s="2" t="str">
        <f aca="false">""</f>
        <v/>
      </c>
      <c r="L1220" s="2" t="str">
        <f aca="false">IF($G1220="","","同時")</f>
        <v/>
      </c>
      <c r="M1220" s="2" t="str">
        <f aca="false">IF($G1220="","",IF(ISNA(MATCH($G1220,個別指定!$A:$A,0)),"行なし",""))</f>
        <v/>
      </c>
      <c r="N1220" s="2" t="str">
        <f aca="false">IF($G1220="","",IF(COUNTIF($G$2:$G$4460,$G1220)&gt;1,"重複",""))</f>
        <v/>
      </c>
    </row>
    <row r="1221" customFormat="false" ht="16.5" hidden="false" customHeight="true" outlineLevel="0" collapsed="false">
      <c r="A1221" s="2" t="s">
        <v>385</v>
      </c>
      <c r="B1221" s="2" t="s">
        <v>409</v>
      </c>
      <c r="C1221" s="2" t="s">
        <v>43</v>
      </c>
      <c r="D1221" s="2" t="str">
        <f aca="false">IF(2キー同時!$B$305="","",2キー同時!$B$305)</f>
        <v/>
      </c>
      <c r="E1221" s="2" t="str">
        <f aca="false">""</f>
        <v/>
      </c>
      <c r="F1221" s="2" t="str">
        <f aca="false">""</f>
        <v/>
      </c>
      <c r="G1221" s="2" t="str">
        <f aca="false">IF(2キー同時!$B$305="","",IF(2キー同時!AQ313="","",SUBSTITUTE(SUBSTITUTE(2キー同時!AQ313," ",""),"　","")))</f>
        <v/>
      </c>
      <c r="H1221" s="2" t="str">
        <f aca="false">IF($G1221="","",2キー同時!$B$305)</f>
        <v/>
      </c>
      <c r="I1221" s="2" t="str">
        <f aca="false">IF($G1221="","",".")</f>
        <v/>
      </c>
      <c r="J1221" s="2" t="str">
        <f aca="false">""</f>
        <v/>
      </c>
      <c r="K1221" s="2" t="str">
        <f aca="false">""</f>
        <v/>
      </c>
      <c r="L1221" s="2" t="str">
        <f aca="false">IF($G1221="","","同時")</f>
        <v/>
      </c>
      <c r="M1221" s="2" t="str">
        <f aca="false">IF($G1221="","",IF(ISNA(MATCH($G1221,個別指定!$A:$A,0)),"行なし",""))</f>
        <v/>
      </c>
      <c r="N1221" s="2" t="str">
        <f aca="false">IF($G1221="","",IF(COUNTIF($G$2:$G$4460,$G1221)&gt;1,"重複",""))</f>
        <v/>
      </c>
    </row>
    <row r="1222" customFormat="false" ht="16.5" hidden="false" customHeight="true" outlineLevel="0" collapsed="false">
      <c r="A1222" s="2" t="s">
        <v>385</v>
      </c>
      <c r="B1222" s="2" t="s">
        <v>409</v>
      </c>
      <c r="C1222" s="2" t="s">
        <v>44</v>
      </c>
      <c r="D1222" s="2" t="str">
        <f aca="false">IF(2キー同時!$B$305="","",2キー同時!$B$305)</f>
        <v/>
      </c>
      <c r="E1222" s="2" t="str">
        <f aca="false">""</f>
        <v/>
      </c>
      <c r="F1222" s="2" t="str">
        <f aca="false">""</f>
        <v/>
      </c>
      <c r="G1222" s="2" t="str">
        <f aca="false">IF(2キー同時!$B$305="","",IF(2キー同時!AU313="","",SUBSTITUTE(SUBSTITUTE(2キー同時!AU313," ",""),"　","")))</f>
        <v/>
      </c>
      <c r="H1222" s="2" t="str">
        <f aca="false">IF($G1222="","",2キー同時!$B$305)</f>
        <v/>
      </c>
      <c r="I1222" s="2" t="str">
        <f aca="false">IF($G1222="","","/")</f>
        <v/>
      </c>
      <c r="J1222" s="2" t="str">
        <f aca="false">""</f>
        <v/>
      </c>
      <c r="K1222" s="2" t="str">
        <f aca="false">""</f>
        <v/>
      </c>
      <c r="L1222" s="2" t="str">
        <f aca="false">IF($G1222="","","同時")</f>
        <v/>
      </c>
      <c r="M1222" s="2" t="str">
        <f aca="false">IF($G1222="","",IF(ISNA(MATCH($G1222,個別指定!$A:$A,0)),"行なし",""))</f>
        <v/>
      </c>
      <c r="N1222" s="2" t="str">
        <f aca="false">IF($G1222="","",IF(COUNTIF($G$2:$G$4460,$G1222)&gt;1,"重複",""))</f>
        <v/>
      </c>
    </row>
    <row r="1223" customFormat="false" ht="16.5" hidden="false" customHeight="true" outlineLevel="0" collapsed="false">
      <c r="A1223" s="2" t="s">
        <v>385</v>
      </c>
      <c r="B1223" s="2" t="s">
        <v>409</v>
      </c>
      <c r="C1223" s="2" t="s">
        <v>48</v>
      </c>
      <c r="D1223" s="2" t="str">
        <f aca="false">IF(2キー同時!$B$305="","",2キー同時!$B$305)</f>
        <v/>
      </c>
      <c r="E1223" s="2" t="str">
        <f aca="false">""</f>
        <v/>
      </c>
      <c r="F1223" s="2" t="str">
        <f aca="false">""</f>
        <v/>
      </c>
      <c r="G1223" s="2" t="str">
        <f aca="false">IF(2キー同時!$B$305="","",IF(2キー同時!P315="","",SUBSTITUTE(SUBSTITUTE(2キー同時!P315," ",""),"　","")))</f>
        <v/>
      </c>
      <c r="H1223" s="2" t="str">
        <f aca="false">IF($G1223="","",2キー同時!$B$305)</f>
        <v/>
      </c>
      <c r="I1223" s="2" t="str">
        <f aca="false">IF($G1223="","","muhenkan")</f>
        <v/>
      </c>
      <c r="J1223" s="2" t="str">
        <f aca="false">""</f>
        <v/>
      </c>
      <c r="K1223" s="2" t="str">
        <f aca="false">""</f>
        <v/>
      </c>
      <c r="L1223" s="2" t="str">
        <f aca="false">IF($G1223="","","同時")</f>
        <v/>
      </c>
      <c r="M1223" s="2" t="str">
        <f aca="false">IF($G1223="","",IF(ISNA(MATCH($G1223,個別指定!$A:$A,0)),"行なし",""))</f>
        <v/>
      </c>
      <c r="N1223" s="2" t="str">
        <f aca="false">IF($G1223="","",IF(COUNTIF($G$2:$G$4460,$G1223)&gt;1,"重複",""))</f>
        <v/>
      </c>
    </row>
    <row r="1224" customFormat="false" ht="16.5" hidden="false" customHeight="true" outlineLevel="0" collapsed="false">
      <c r="A1224" s="2" t="s">
        <v>385</v>
      </c>
      <c r="B1224" s="2" t="s">
        <v>409</v>
      </c>
      <c r="C1224" s="2" t="s">
        <v>50</v>
      </c>
      <c r="D1224" s="2" t="str">
        <f aca="false">IF(2キー同時!$B$305="","",2キー同時!$B$305)</f>
        <v/>
      </c>
      <c r="E1224" s="2" t="str">
        <f aca="false">""</f>
        <v/>
      </c>
      <c r="F1224" s="2" t="str">
        <f aca="false">""</f>
        <v/>
      </c>
      <c r="G1224" s="2" t="str">
        <f aca="false">IF(2キー同時!$B$305="","",IF(2キー同時!T315="","",SUBSTITUTE(SUBSTITUTE(2キー同時!T315," ",""),"　","")))</f>
        <v/>
      </c>
      <c r="H1224" s="2" t="str">
        <f aca="false">IF($G1224="","",2キー同時!$B$305)</f>
        <v/>
      </c>
      <c r="I1224" s="2" t="str">
        <f aca="false">IF($G1224="","","space")</f>
        <v/>
      </c>
      <c r="J1224" s="2" t="str">
        <f aca="false">""</f>
        <v/>
      </c>
      <c r="K1224" s="2" t="str">
        <f aca="false">""</f>
        <v/>
      </c>
      <c r="L1224" s="2" t="str">
        <f aca="false">IF($G1224="","","同時")</f>
        <v/>
      </c>
      <c r="M1224" s="2" t="str">
        <f aca="false">IF($G1224="","",IF(ISNA(MATCH($G1224,個別指定!$A:$A,0)),"行なし",""))</f>
        <v/>
      </c>
      <c r="N1224" s="2" t="str">
        <f aca="false">IF($G1224="","",IF(COUNTIF($G$2:$G$4460,$G1224)&gt;1,"重複",""))</f>
        <v/>
      </c>
    </row>
    <row r="1225" customFormat="false" ht="16.5" hidden="false" customHeight="true" outlineLevel="0" collapsed="false">
      <c r="A1225" s="2" t="s">
        <v>385</v>
      </c>
      <c r="B1225" s="2" t="s">
        <v>409</v>
      </c>
      <c r="C1225" s="2" t="s">
        <v>45</v>
      </c>
      <c r="D1225" s="2" t="str">
        <f aca="false">IF(2キー同時!$B$305="","",2キー同時!$B$305)</f>
        <v/>
      </c>
      <c r="E1225" s="2" t="str">
        <f aca="false">""</f>
        <v/>
      </c>
      <c r="F1225" s="2" t="str">
        <f aca="false">""</f>
        <v/>
      </c>
      <c r="G1225" s="2" t="str">
        <f aca="false">IF(2キー同時!$B$305="","",IF(2キー同時!AL315="","",SUBSTITUTE(SUBSTITUTE(2キー同時!AL315," ",""),"　","")))</f>
        <v/>
      </c>
      <c r="H1225" s="2" t="str">
        <f aca="false">IF($G1225="","",2キー同時!$B$305)</f>
        <v/>
      </c>
      <c r="I1225" s="2" t="str">
        <f aca="false">IF($G1225="","","henkan")</f>
        <v/>
      </c>
      <c r="J1225" s="2" t="str">
        <f aca="false">""</f>
        <v/>
      </c>
      <c r="K1225" s="2" t="str">
        <f aca="false">""</f>
        <v/>
      </c>
      <c r="L1225" s="2" t="str">
        <f aca="false">IF($G1225="","","同時")</f>
        <v/>
      </c>
      <c r="M1225" s="2" t="str">
        <f aca="false">IF($G1225="","",IF(ISNA(MATCH($G1225,個別指定!$A:$A,0)),"行なし",""))</f>
        <v/>
      </c>
      <c r="N1225" s="2" t="str">
        <f aca="false">IF($G1225="","",IF(COUNTIF($G$2:$G$4460,$G1225)&gt;1,"重複",""))</f>
        <v/>
      </c>
    </row>
    <row r="1226" customFormat="false" ht="16.5" hidden="false" customHeight="true" outlineLevel="0" collapsed="false">
      <c r="A1226" s="2" t="s">
        <v>385</v>
      </c>
      <c r="B1226" s="2" t="s">
        <v>409</v>
      </c>
      <c r="C1226" s="2" t="s">
        <v>46</v>
      </c>
      <c r="D1226" s="2" t="str">
        <f aca="false">IF(2キー同時!$B$305="","",2キー同時!$B$305)</f>
        <v/>
      </c>
      <c r="E1226" s="2" t="str">
        <f aca="false">""</f>
        <v/>
      </c>
      <c r="F1226" s="2" t="str">
        <f aca="false">""</f>
        <v/>
      </c>
      <c r="G1226" s="2" t="str">
        <f aca="false">IF(2キー同時!$B$305="","",IF(2キー同時!AP315="","",SUBSTITUTE(SUBSTITUTE(2キー同時!AP315," ",""),"　","")))</f>
        <v/>
      </c>
      <c r="H1226" s="2" t="str">
        <f aca="false">IF($G1226="","",2キー同時!$B$305)</f>
        <v/>
      </c>
      <c r="I1226" s="2" t="str">
        <f aca="false">IF($G1226="","","kana")</f>
        <v/>
      </c>
      <c r="J1226" s="2" t="str">
        <f aca="false">""</f>
        <v/>
      </c>
      <c r="K1226" s="2" t="str">
        <f aca="false">""</f>
        <v/>
      </c>
      <c r="L1226" s="2" t="str">
        <f aca="false">IF($G1226="","","同時")</f>
        <v/>
      </c>
      <c r="M1226" s="2" t="str">
        <f aca="false">IF($G1226="","",IF(ISNA(MATCH($G1226,個別指定!$A:$A,0)),"行なし",""))</f>
        <v/>
      </c>
      <c r="N1226" s="2" t="str">
        <f aca="false">IF($G1226="","",IF(COUNTIF($G$2:$G$4460,$G1226)&gt;1,"重複",""))</f>
        <v/>
      </c>
    </row>
    <row r="1227" customFormat="false" ht="16.5" hidden="false" customHeight="true" outlineLevel="0" collapsed="false">
      <c r="A1227" s="2" t="s">
        <v>385</v>
      </c>
      <c r="B1227" s="2" t="s">
        <v>410</v>
      </c>
      <c r="C1227" s="2" t="s">
        <v>0</v>
      </c>
      <c r="D1227" s="2" t="str">
        <f aca="false">IF(2キー同時!$B$318="","",2キー同時!$B$318)</f>
        <v/>
      </c>
      <c r="E1227" s="2" t="str">
        <f aca="false">""</f>
        <v/>
      </c>
      <c r="F1227" s="2" t="str">
        <f aca="false">""</f>
        <v/>
      </c>
      <c r="G1227" s="2" t="str">
        <f aca="false">IF(2キー同時!$B$318="","",IF(2キー同時!F320="","",SUBSTITUTE(SUBSTITUTE(2キー同時!F320," ",""),"　","")))</f>
        <v/>
      </c>
      <c r="H1227" s="2" t="str">
        <f aca="false">IF($G1227="","",2キー同時!$B$318)</f>
        <v/>
      </c>
      <c r="I1227" s="2" t="str">
        <f aca="false">IF($G1227="","","1")</f>
        <v/>
      </c>
      <c r="J1227" s="2" t="str">
        <f aca="false">""</f>
        <v/>
      </c>
      <c r="K1227" s="2" t="str">
        <f aca="false">""</f>
        <v/>
      </c>
      <c r="L1227" s="2" t="str">
        <f aca="false">IF($G1227="","","同時")</f>
        <v/>
      </c>
      <c r="M1227" s="2" t="str">
        <f aca="false">IF($G1227="","",IF(ISNA(MATCH($G1227,個別指定!$A:$A,0)),"行なし",""))</f>
        <v/>
      </c>
      <c r="N1227" s="2" t="str">
        <f aca="false">IF($G1227="","",IF(COUNTIF($G$2:$G$4460,$G1227)&gt;1,"重複",""))</f>
        <v/>
      </c>
    </row>
    <row r="1228" customFormat="false" ht="16.5" hidden="false" customHeight="true" outlineLevel="0" collapsed="false">
      <c r="A1228" s="2" t="s">
        <v>385</v>
      </c>
      <c r="B1228" s="2" t="s">
        <v>410</v>
      </c>
      <c r="C1228" s="2" t="s">
        <v>1</v>
      </c>
      <c r="D1228" s="2" t="str">
        <f aca="false">IF(2キー同時!$B$318="","",2キー同時!$B$318)</f>
        <v/>
      </c>
      <c r="E1228" s="2" t="str">
        <f aca="false">""</f>
        <v/>
      </c>
      <c r="F1228" s="2" t="str">
        <f aca="false">""</f>
        <v/>
      </c>
      <c r="G1228" s="2" t="str">
        <f aca="false">IF(2キー同時!$B$318="","",IF(2キー同時!J320="","",SUBSTITUTE(SUBSTITUTE(2キー同時!J320," ",""),"　","")))</f>
        <v/>
      </c>
      <c r="H1228" s="2" t="str">
        <f aca="false">IF($G1228="","",2キー同時!$B$318)</f>
        <v/>
      </c>
      <c r="I1228" s="2" t="str">
        <f aca="false">IF($G1228="","","2")</f>
        <v/>
      </c>
      <c r="J1228" s="2" t="str">
        <f aca="false">""</f>
        <v/>
      </c>
      <c r="K1228" s="2" t="str">
        <f aca="false">""</f>
        <v/>
      </c>
      <c r="L1228" s="2" t="str">
        <f aca="false">IF($G1228="","","同時")</f>
        <v/>
      </c>
      <c r="M1228" s="2" t="str">
        <f aca="false">IF($G1228="","",IF(ISNA(MATCH($G1228,個別指定!$A:$A,0)),"行なし",""))</f>
        <v/>
      </c>
      <c r="N1228" s="2" t="str">
        <f aca="false">IF($G1228="","",IF(COUNTIF($G$2:$G$4460,$G1228)&gt;1,"重複",""))</f>
        <v/>
      </c>
    </row>
    <row r="1229" customFormat="false" ht="16.5" hidden="false" customHeight="true" outlineLevel="0" collapsed="false">
      <c r="A1229" s="2" t="s">
        <v>385</v>
      </c>
      <c r="B1229" s="2" t="s">
        <v>410</v>
      </c>
      <c r="C1229" s="2" t="s">
        <v>2</v>
      </c>
      <c r="D1229" s="2" t="str">
        <f aca="false">IF(2キー同時!$B$318="","",2キー同時!$B$318)</f>
        <v/>
      </c>
      <c r="E1229" s="2" t="str">
        <f aca="false">""</f>
        <v/>
      </c>
      <c r="F1229" s="2" t="str">
        <f aca="false">""</f>
        <v/>
      </c>
      <c r="G1229" s="2" t="str">
        <f aca="false">IF(2キー同時!$B$318="","",IF(2キー同時!N320="","",SUBSTITUTE(SUBSTITUTE(2キー同時!N320," ",""),"　","")))</f>
        <v/>
      </c>
      <c r="H1229" s="2" t="str">
        <f aca="false">IF($G1229="","",2キー同時!$B$318)</f>
        <v/>
      </c>
      <c r="I1229" s="2" t="str">
        <f aca="false">IF($G1229="","","3")</f>
        <v/>
      </c>
      <c r="J1229" s="2" t="str">
        <f aca="false">""</f>
        <v/>
      </c>
      <c r="K1229" s="2" t="str">
        <f aca="false">""</f>
        <v/>
      </c>
      <c r="L1229" s="2" t="str">
        <f aca="false">IF($G1229="","","同時")</f>
        <v/>
      </c>
      <c r="M1229" s="2" t="str">
        <f aca="false">IF($G1229="","",IF(ISNA(MATCH($G1229,個別指定!$A:$A,0)),"行なし",""))</f>
        <v/>
      </c>
      <c r="N1229" s="2" t="str">
        <f aca="false">IF($G1229="","",IF(COUNTIF($G$2:$G$4460,$G1229)&gt;1,"重複",""))</f>
        <v/>
      </c>
    </row>
    <row r="1230" customFormat="false" ht="16.5" hidden="false" customHeight="true" outlineLevel="0" collapsed="false">
      <c r="A1230" s="2" t="s">
        <v>385</v>
      </c>
      <c r="B1230" s="2" t="s">
        <v>410</v>
      </c>
      <c r="C1230" s="2" t="s">
        <v>3</v>
      </c>
      <c r="D1230" s="2" t="str">
        <f aca="false">IF(2キー同時!$B$318="","",2キー同時!$B$318)</f>
        <v/>
      </c>
      <c r="E1230" s="2" t="str">
        <f aca="false">""</f>
        <v/>
      </c>
      <c r="F1230" s="2" t="str">
        <f aca="false">""</f>
        <v/>
      </c>
      <c r="G1230" s="2" t="str">
        <f aca="false">IF(2キー同時!$B$318="","",IF(2キー同時!R320="","",SUBSTITUTE(SUBSTITUTE(2キー同時!R320," ",""),"　","")))</f>
        <v/>
      </c>
      <c r="H1230" s="2" t="str">
        <f aca="false">IF($G1230="","",2キー同時!$B$318)</f>
        <v/>
      </c>
      <c r="I1230" s="2" t="str">
        <f aca="false">IF($G1230="","","4")</f>
        <v/>
      </c>
      <c r="J1230" s="2" t="str">
        <f aca="false">""</f>
        <v/>
      </c>
      <c r="K1230" s="2" t="str">
        <f aca="false">""</f>
        <v/>
      </c>
      <c r="L1230" s="2" t="str">
        <f aca="false">IF($G1230="","","同時")</f>
        <v/>
      </c>
      <c r="M1230" s="2" t="str">
        <f aca="false">IF($G1230="","",IF(ISNA(MATCH($G1230,個別指定!$A:$A,0)),"行なし",""))</f>
        <v/>
      </c>
      <c r="N1230" s="2" t="str">
        <f aca="false">IF($G1230="","",IF(COUNTIF($G$2:$G$4460,$G1230)&gt;1,"重複",""))</f>
        <v/>
      </c>
    </row>
    <row r="1231" customFormat="false" ht="16.5" hidden="false" customHeight="true" outlineLevel="0" collapsed="false">
      <c r="A1231" s="2" t="s">
        <v>385</v>
      </c>
      <c r="B1231" s="2" t="s">
        <v>410</v>
      </c>
      <c r="C1231" s="2" t="s">
        <v>4</v>
      </c>
      <c r="D1231" s="2" t="str">
        <f aca="false">IF(2キー同時!$B$318="","",2キー同時!$B$318)</f>
        <v/>
      </c>
      <c r="E1231" s="2" t="str">
        <f aca="false">""</f>
        <v/>
      </c>
      <c r="F1231" s="2" t="str">
        <f aca="false">""</f>
        <v/>
      </c>
      <c r="G1231" s="2" t="str">
        <f aca="false">IF(2キー同時!$B$318="","",IF(2キー同時!V320="","",SUBSTITUTE(SUBSTITUTE(2キー同時!V320," ",""),"　","")))</f>
        <v/>
      </c>
      <c r="H1231" s="2" t="str">
        <f aca="false">IF($G1231="","",2キー同時!$B$318)</f>
        <v/>
      </c>
      <c r="I1231" s="2" t="str">
        <f aca="false">IF($G1231="","","5")</f>
        <v/>
      </c>
      <c r="J1231" s="2" t="str">
        <f aca="false">""</f>
        <v/>
      </c>
      <c r="K1231" s="2" t="str">
        <f aca="false">""</f>
        <v/>
      </c>
      <c r="L1231" s="2" t="str">
        <f aca="false">IF($G1231="","","同時")</f>
        <v/>
      </c>
      <c r="M1231" s="2" t="str">
        <f aca="false">IF($G1231="","",IF(ISNA(MATCH($G1231,個別指定!$A:$A,0)),"行なし",""))</f>
        <v/>
      </c>
      <c r="N1231" s="2" t="str">
        <f aca="false">IF($G1231="","",IF(COUNTIF($G$2:$G$4460,$G1231)&gt;1,"重複",""))</f>
        <v/>
      </c>
    </row>
    <row r="1232" customFormat="false" ht="16.5" hidden="false" customHeight="true" outlineLevel="0" collapsed="false">
      <c r="A1232" s="2" t="s">
        <v>385</v>
      </c>
      <c r="B1232" s="2" t="s">
        <v>410</v>
      </c>
      <c r="C1232" s="2" t="s">
        <v>5</v>
      </c>
      <c r="D1232" s="2" t="str">
        <f aca="false">IF(2キー同時!$B$318="","",2キー同時!$B$318)</f>
        <v/>
      </c>
      <c r="E1232" s="2" t="str">
        <f aca="false">""</f>
        <v/>
      </c>
      <c r="F1232" s="2" t="str">
        <f aca="false">""</f>
        <v/>
      </c>
      <c r="G1232" s="2" t="str">
        <f aca="false">IF(2キー同時!$B$318="","",IF(2キー同時!Z320="","",SUBSTITUTE(SUBSTITUTE(2キー同時!Z320," ",""),"　","")))</f>
        <v/>
      </c>
      <c r="H1232" s="2" t="str">
        <f aca="false">IF($G1232="","",2キー同時!$B$318)</f>
        <v/>
      </c>
      <c r="I1232" s="2" t="str">
        <f aca="false">IF($G1232="","","6")</f>
        <v/>
      </c>
      <c r="J1232" s="2" t="str">
        <f aca="false">""</f>
        <v/>
      </c>
      <c r="K1232" s="2" t="str">
        <f aca="false">""</f>
        <v/>
      </c>
      <c r="L1232" s="2" t="str">
        <f aca="false">IF($G1232="","","同時")</f>
        <v/>
      </c>
      <c r="M1232" s="2" t="str">
        <f aca="false">IF($G1232="","",IF(ISNA(MATCH($G1232,個別指定!$A:$A,0)),"行なし",""))</f>
        <v/>
      </c>
      <c r="N1232" s="2" t="str">
        <f aca="false">IF($G1232="","",IF(COUNTIF($G$2:$G$4460,$G1232)&gt;1,"重複",""))</f>
        <v/>
      </c>
    </row>
    <row r="1233" customFormat="false" ht="16.5" hidden="false" customHeight="true" outlineLevel="0" collapsed="false">
      <c r="A1233" s="2" t="s">
        <v>385</v>
      </c>
      <c r="B1233" s="2" t="s">
        <v>410</v>
      </c>
      <c r="C1233" s="2" t="s">
        <v>6</v>
      </c>
      <c r="D1233" s="2" t="str">
        <f aca="false">IF(2キー同時!$B$318="","",2キー同時!$B$318)</f>
        <v/>
      </c>
      <c r="E1233" s="2" t="str">
        <f aca="false">""</f>
        <v/>
      </c>
      <c r="F1233" s="2" t="str">
        <f aca="false">""</f>
        <v/>
      </c>
      <c r="G1233" s="2" t="str">
        <f aca="false">IF(2キー同時!$B$318="","",IF(2キー同時!AD320="","",SUBSTITUTE(SUBSTITUTE(2キー同時!AD320," ",""),"　","")))</f>
        <v/>
      </c>
      <c r="H1233" s="2" t="str">
        <f aca="false">IF($G1233="","",2キー同時!$B$318)</f>
        <v/>
      </c>
      <c r="I1233" s="2" t="str">
        <f aca="false">IF($G1233="","","7")</f>
        <v/>
      </c>
      <c r="J1233" s="2" t="str">
        <f aca="false">""</f>
        <v/>
      </c>
      <c r="K1233" s="2" t="str">
        <f aca="false">""</f>
        <v/>
      </c>
      <c r="L1233" s="2" t="str">
        <f aca="false">IF($G1233="","","同時")</f>
        <v/>
      </c>
      <c r="M1233" s="2" t="str">
        <f aca="false">IF($G1233="","",IF(ISNA(MATCH($G1233,個別指定!$A:$A,0)),"行なし",""))</f>
        <v/>
      </c>
      <c r="N1233" s="2" t="str">
        <f aca="false">IF($G1233="","",IF(COUNTIF($G$2:$G$4460,$G1233)&gt;1,"重複",""))</f>
        <v/>
      </c>
    </row>
    <row r="1234" customFormat="false" ht="16.5" hidden="false" customHeight="true" outlineLevel="0" collapsed="false">
      <c r="A1234" s="2" t="s">
        <v>385</v>
      </c>
      <c r="B1234" s="2" t="s">
        <v>410</v>
      </c>
      <c r="C1234" s="2" t="s">
        <v>7</v>
      </c>
      <c r="D1234" s="2" t="str">
        <f aca="false">IF(2キー同時!$B$318="","",2キー同時!$B$318)</f>
        <v/>
      </c>
      <c r="E1234" s="2" t="str">
        <f aca="false">""</f>
        <v/>
      </c>
      <c r="F1234" s="2" t="str">
        <f aca="false">""</f>
        <v/>
      </c>
      <c r="G1234" s="2" t="str">
        <f aca="false">IF(2キー同時!$B$318="","",IF(2キー同時!AH320="","",SUBSTITUTE(SUBSTITUTE(2キー同時!AH320," ",""),"　","")))</f>
        <v/>
      </c>
      <c r="H1234" s="2" t="str">
        <f aca="false">IF($G1234="","",2キー同時!$B$318)</f>
        <v/>
      </c>
      <c r="I1234" s="2" t="str">
        <f aca="false">IF($G1234="","","8")</f>
        <v/>
      </c>
      <c r="J1234" s="2" t="str">
        <f aca="false">""</f>
        <v/>
      </c>
      <c r="K1234" s="2" t="str">
        <f aca="false">""</f>
        <v/>
      </c>
      <c r="L1234" s="2" t="str">
        <f aca="false">IF($G1234="","","同時")</f>
        <v/>
      </c>
      <c r="M1234" s="2" t="str">
        <f aca="false">IF($G1234="","",IF(ISNA(MATCH($G1234,個別指定!$A:$A,0)),"行なし",""))</f>
        <v/>
      </c>
      <c r="N1234" s="2" t="str">
        <f aca="false">IF($G1234="","",IF(COUNTIF($G$2:$G$4460,$G1234)&gt;1,"重複",""))</f>
        <v/>
      </c>
    </row>
    <row r="1235" customFormat="false" ht="16.5" hidden="false" customHeight="true" outlineLevel="0" collapsed="false">
      <c r="A1235" s="2" t="s">
        <v>385</v>
      </c>
      <c r="B1235" s="2" t="s">
        <v>410</v>
      </c>
      <c r="C1235" s="2" t="s">
        <v>8</v>
      </c>
      <c r="D1235" s="2" t="str">
        <f aca="false">IF(2キー同時!$B$318="","",2キー同時!$B$318)</f>
        <v/>
      </c>
      <c r="E1235" s="2" t="str">
        <f aca="false">""</f>
        <v/>
      </c>
      <c r="F1235" s="2" t="str">
        <f aca="false">""</f>
        <v/>
      </c>
      <c r="G1235" s="2" t="str">
        <f aca="false">IF(2キー同時!$B$318="","",IF(2キー同時!AL320="","",SUBSTITUTE(SUBSTITUTE(2キー同時!AL320," ",""),"　","")))</f>
        <v/>
      </c>
      <c r="H1235" s="2" t="str">
        <f aca="false">IF($G1235="","",2キー同時!$B$318)</f>
        <v/>
      </c>
      <c r="I1235" s="2" t="str">
        <f aca="false">IF($G1235="","","9")</f>
        <v/>
      </c>
      <c r="J1235" s="2" t="str">
        <f aca="false">""</f>
        <v/>
      </c>
      <c r="K1235" s="2" t="str">
        <f aca="false">""</f>
        <v/>
      </c>
      <c r="L1235" s="2" t="str">
        <f aca="false">IF($G1235="","","同時")</f>
        <v/>
      </c>
      <c r="M1235" s="2" t="str">
        <f aca="false">IF($G1235="","",IF(ISNA(MATCH($G1235,個別指定!$A:$A,0)),"行なし",""))</f>
        <v/>
      </c>
      <c r="N1235" s="2" t="str">
        <f aca="false">IF($G1235="","",IF(COUNTIF($G$2:$G$4460,$G1235)&gt;1,"重複",""))</f>
        <v/>
      </c>
    </row>
    <row r="1236" customFormat="false" ht="16.5" hidden="false" customHeight="true" outlineLevel="0" collapsed="false">
      <c r="A1236" s="2" t="s">
        <v>385</v>
      </c>
      <c r="B1236" s="2" t="s">
        <v>410</v>
      </c>
      <c r="C1236" s="2" t="s">
        <v>9</v>
      </c>
      <c r="D1236" s="2" t="str">
        <f aca="false">IF(2キー同時!$B$318="","",2キー同時!$B$318)</f>
        <v/>
      </c>
      <c r="E1236" s="2" t="str">
        <f aca="false">""</f>
        <v/>
      </c>
      <c r="F1236" s="2" t="str">
        <f aca="false">""</f>
        <v/>
      </c>
      <c r="G1236" s="2" t="str">
        <f aca="false">IF(2キー同時!$B$318="","",IF(2キー同時!AP320="","",SUBSTITUTE(SUBSTITUTE(2キー同時!AP320," ",""),"　","")))</f>
        <v/>
      </c>
      <c r="H1236" s="2" t="str">
        <f aca="false">IF($G1236="","",2キー同時!$B$318)</f>
        <v/>
      </c>
      <c r="I1236" s="2" t="str">
        <f aca="false">IF($G1236="","","0")</f>
        <v/>
      </c>
      <c r="J1236" s="2" t="str">
        <f aca="false">""</f>
        <v/>
      </c>
      <c r="K1236" s="2" t="str">
        <f aca="false">""</f>
        <v/>
      </c>
      <c r="L1236" s="2" t="str">
        <f aca="false">IF($G1236="","","同時")</f>
        <v/>
      </c>
      <c r="M1236" s="2" t="str">
        <f aca="false">IF($G1236="","",IF(ISNA(MATCH($G1236,個別指定!$A:$A,0)),"行なし",""))</f>
        <v/>
      </c>
      <c r="N1236" s="2" t="str">
        <f aca="false">IF($G1236="","",IF(COUNTIF($G$2:$G$4460,$G1236)&gt;1,"重複",""))</f>
        <v/>
      </c>
    </row>
    <row r="1237" customFormat="false" ht="16.5" hidden="false" customHeight="true" outlineLevel="0" collapsed="false">
      <c r="A1237" s="2" t="s">
        <v>385</v>
      </c>
      <c r="B1237" s="2" t="s">
        <v>410</v>
      </c>
      <c r="C1237" s="2" t="s">
        <v>10</v>
      </c>
      <c r="D1237" s="2" t="str">
        <f aca="false">IF(2キー同時!$B$318="","",2キー同時!$B$318)</f>
        <v/>
      </c>
      <c r="E1237" s="2" t="str">
        <f aca="false">""</f>
        <v/>
      </c>
      <c r="F1237" s="2" t="str">
        <f aca="false">""</f>
        <v/>
      </c>
      <c r="G1237" s="2" t="str">
        <f aca="false">IF(2キー同時!$B$318="","",IF(2キー同時!AT320="","",SUBSTITUTE(SUBSTITUTE(2キー同時!AT320," ",""),"　","")))</f>
        <v/>
      </c>
      <c r="H1237" s="2" t="str">
        <f aca="false">IF($G1237="","",2キー同時!$B$318)</f>
        <v/>
      </c>
      <c r="I1237" s="2" t="str">
        <f aca="false">IF($G1237="","","-")</f>
        <v/>
      </c>
      <c r="J1237" s="2" t="str">
        <f aca="false">""</f>
        <v/>
      </c>
      <c r="K1237" s="2" t="str">
        <f aca="false">""</f>
        <v/>
      </c>
      <c r="L1237" s="2" t="str">
        <f aca="false">IF($G1237="","","同時")</f>
        <v/>
      </c>
      <c r="M1237" s="2" t="str">
        <f aca="false">IF($G1237="","",IF(ISNA(MATCH($G1237,個別指定!$A:$A,0)),"行なし",""))</f>
        <v/>
      </c>
      <c r="N1237" s="2" t="str">
        <f aca="false">IF($G1237="","",IF(COUNTIF($G$2:$G$4460,$G1237)&gt;1,"重複",""))</f>
        <v/>
      </c>
    </row>
    <row r="1238" customFormat="false" ht="16.5" hidden="false" customHeight="true" outlineLevel="0" collapsed="false">
      <c r="A1238" s="2" t="s">
        <v>385</v>
      </c>
      <c r="B1238" s="2" t="s">
        <v>410</v>
      </c>
      <c r="C1238" s="2" t="s">
        <v>11</v>
      </c>
      <c r="D1238" s="2" t="str">
        <f aca="false">IF(2キー同時!$B$318="","",2キー同時!$B$318)</f>
        <v/>
      </c>
      <c r="E1238" s="2" t="str">
        <f aca="false">""</f>
        <v/>
      </c>
      <c r="F1238" s="2" t="str">
        <f aca="false">""</f>
        <v/>
      </c>
      <c r="G1238" s="2" t="str">
        <f aca="false">IF(2キー同時!$B$318="","",IF(2キー同時!AX320="","",SUBSTITUTE(SUBSTITUTE(2キー同時!AX320," ",""),"　","")))</f>
        <v/>
      </c>
      <c r="H1238" s="2" t="str">
        <f aca="false">IF($G1238="","",2キー同時!$B$318)</f>
        <v/>
      </c>
      <c r="I1238" s="2" t="str">
        <f aca="false">IF($G1238="","","=")</f>
        <v/>
      </c>
      <c r="J1238" s="2" t="str">
        <f aca="false">""</f>
        <v/>
      </c>
      <c r="K1238" s="2" t="str">
        <f aca="false">""</f>
        <v/>
      </c>
      <c r="L1238" s="2" t="str">
        <f aca="false">IF($G1238="","","同時")</f>
        <v/>
      </c>
      <c r="M1238" s="2" t="str">
        <f aca="false">IF($G1238="","",IF(ISNA(MATCH($G1238,個別指定!$A:$A,0)),"行なし",""))</f>
        <v/>
      </c>
      <c r="N1238" s="2" t="str">
        <f aca="false">IF($G1238="","",IF(COUNTIF($G$2:$G$4460,$G1238)&gt;1,"重複",""))</f>
        <v/>
      </c>
    </row>
    <row r="1239" customFormat="false" ht="16.5" hidden="false" customHeight="true" outlineLevel="0" collapsed="false">
      <c r="A1239" s="2" t="s">
        <v>385</v>
      </c>
      <c r="B1239" s="2" t="s">
        <v>410</v>
      </c>
      <c r="C1239" s="2" t="s">
        <v>12</v>
      </c>
      <c r="D1239" s="2" t="str">
        <f aca="false">IF(2キー同時!$B$318="","",2キー同時!$B$318)</f>
        <v/>
      </c>
      <c r="E1239" s="2" t="str">
        <f aca="false">""</f>
        <v/>
      </c>
      <c r="F1239" s="2" t="str">
        <f aca="false">""</f>
        <v/>
      </c>
      <c r="G1239" s="2" t="str">
        <f aca="false">IF(2キー同時!$B$318="","",IF(2キー同時!H322="","",SUBSTITUTE(SUBSTITUTE(2キー同時!H322," ",""),"　","")))</f>
        <v/>
      </c>
      <c r="H1239" s="2" t="str">
        <f aca="false">IF($G1239="","",2キー同時!$B$318)</f>
        <v/>
      </c>
      <c r="I1239" s="2" t="str">
        <f aca="false">IF($G1239="","","q")</f>
        <v/>
      </c>
      <c r="J1239" s="2" t="str">
        <f aca="false">""</f>
        <v/>
      </c>
      <c r="K1239" s="2" t="str">
        <f aca="false">""</f>
        <v/>
      </c>
      <c r="L1239" s="2" t="str">
        <f aca="false">IF($G1239="","","同時")</f>
        <v/>
      </c>
      <c r="M1239" s="2" t="str">
        <f aca="false">IF($G1239="","",IF(ISNA(MATCH($G1239,個別指定!$A:$A,0)),"行なし",""))</f>
        <v/>
      </c>
      <c r="N1239" s="2" t="str">
        <f aca="false">IF($G1239="","",IF(COUNTIF($G$2:$G$4460,$G1239)&gt;1,"重複",""))</f>
        <v/>
      </c>
    </row>
    <row r="1240" customFormat="false" ht="16.5" hidden="false" customHeight="true" outlineLevel="0" collapsed="false">
      <c r="A1240" s="2" t="s">
        <v>385</v>
      </c>
      <c r="B1240" s="2" t="s">
        <v>410</v>
      </c>
      <c r="C1240" s="2" t="s">
        <v>13</v>
      </c>
      <c r="D1240" s="2" t="str">
        <f aca="false">IF(2キー同時!$B$318="","",2キー同時!$B$318)</f>
        <v/>
      </c>
      <c r="E1240" s="2" t="str">
        <f aca="false">""</f>
        <v/>
      </c>
      <c r="F1240" s="2" t="str">
        <f aca="false">""</f>
        <v/>
      </c>
      <c r="G1240" s="2" t="str">
        <f aca="false">IF(2キー同時!$B$318="","",IF(2キー同時!L322="","",SUBSTITUTE(SUBSTITUTE(2キー同時!L322," ",""),"　","")))</f>
        <v/>
      </c>
      <c r="H1240" s="2" t="str">
        <f aca="false">IF($G1240="","",2キー同時!$B$318)</f>
        <v/>
      </c>
      <c r="I1240" s="2" t="str">
        <f aca="false">IF($G1240="","","w")</f>
        <v/>
      </c>
      <c r="J1240" s="2" t="str">
        <f aca="false">""</f>
        <v/>
      </c>
      <c r="K1240" s="2" t="str">
        <f aca="false">""</f>
        <v/>
      </c>
      <c r="L1240" s="2" t="str">
        <f aca="false">IF($G1240="","","同時")</f>
        <v/>
      </c>
      <c r="M1240" s="2" t="str">
        <f aca="false">IF($G1240="","",IF(ISNA(MATCH($G1240,個別指定!$A:$A,0)),"行なし",""))</f>
        <v/>
      </c>
      <c r="N1240" s="2" t="str">
        <f aca="false">IF($G1240="","",IF(COUNTIF($G$2:$G$4460,$G1240)&gt;1,"重複",""))</f>
        <v/>
      </c>
    </row>
    <row r="1241" customFormat="false" ht="16.5" hidden="false" customHeight="true" outlineLevel="0" collapsed="false">
      <c r="A1241" s="2" t="s">
        <v>385</v>
      </c>
      <c r="B1241" s="2" t="s">
        <v>410</v>
      </c>
      <c r="C1241" s="2" t="s">
        <v>14</v>
      </c>
      <c r="D1241" s="2" t="str">
        <f aca="false">IF(2キー同時!$B$318="","",2キー同時!$B$318)</f>
        <v/>
      </c>
      <c r="E1241" s="2" t="str">
        <f aca="false">""</f>
        <v/>
      </c>
      <c r="F1241" s="2" t="str">
        <f aca="false">""</f>
        <v/>
      </c>
      <c r="G1241" s="2" t="str">
        <f aca="false">IF(2キー同時!$B$318="","",IF(2キー同時!P322="","",SUBSTITUTE(SUBSTITUTE(2キー同時!P322," ",""),"　","")))</f>
        <v/>
      </c>
      <c r="H1241" s="2" t="str">
        <f aca="false">IF($G1241="","",2キー同時!$B$318)</f>
        <v/>
      </c>
      <c r="I1241" s="2" t="str">
        <f aca="false">IF($G1241="","","e")</f>
        <v/>
      </c>
      <c r="J1241" s="2" t="str">
        <f aca="false">""</f>
        <v/>
      </c>
      <c r="K1241" s="2" t="str">
        <f aca="false">""</f>
        <v/>
      </c>
      <c r="L1241" s="2" t="str">
        <f aca="false">IF($G1241="","","同時")</f>
        <v/>
      </c>
      <c r="M1241" s="2" t="str">
        <f aca="false">IF($G1241="","",IF(ISNA(MATCH($G1241,個別指定!$A:$A,0)),"行なし",""))</f>
        <v/>
      </c>
      <c r="N1241" s="2" t="str">
        <f aca="false">IF($G1241="","",IF(COUNTIF($G$2:$G$4460,$G1241)&gt;1,"重複",""))</f>
        <v/>
      </c>
    </row>
    <row r="1242" customFormat="false" ht="16.5" hidden="false" customHeight="true" outlineLevel="0" collapsed="false">
      <c r="A1242" s="2" t="s">
        <v>385</v>
      </c>
      <c r="B1242" s="2" t="s">
        <v>410</v>
      </c>
      <c r="C1242" s="2" t="s">
        <v>15</v>
      </c>
      <c r="D1242" s="2" t="str">
        <f aca="false">IF(2キー同時!$B$318="","",2キー同時!$B$318)</f>
        <v/>
      </c>
      <c r="E1242" s="2" t="str">
        <f aca="false">""</f>
        <v/>
      </c>
      <c r="F1242" s="2" t="str">
        <f aca="false">""</f>
        <v/>
      </c>
      <c r="G1242" s="2" t="str">
        <f aca="false">IF(2キー同時!$B$318="","",IF(2キー同時!T322="","",SUBSTITUTE(SUBSTITUTE(2キー同時!T322," ",""),"　","")))</f>
        <v/>
      </c>
      <c r="H1242" s="2" t="str">
        <f aca="false">IF($G1242="","",2キー同時!$B$318)</f>
        <v/>
      </c>
      <c r="I1242" s="2" t="str">
        <f aca="false">IF($G1242="","","r")</f>
        <v/>
      </c>
      <c r="J1242" s="2" t="str">
        <f aca="false">""</f>
        <v/>
      </c>
      <c r="K1242" s="2" t="str">
        <f aca="false">""</f>
        <v/>
      </c>
      <c r="L1242" s="2" t="str">
        <f aca="false">IF($G1242="","","同時")</f>
        <v/>
      </c>
      <c r="M1242" s="2" t="str">
        <f aca="false">IF($G1242="","",IF(ISNA(MATCH($G1242,個別指定!$A:$A,0)),"行なし",""))</f>
        <v/>
      </c>
      <c r="N1242" s="2" t="str">
        <f aca="false">IF($G1242="","",IF(COUNTIF($G$2:$G$4460,$G1242)&gt;1,"重複",""))</f>
        <v/>
      </c>
    </row>
    <row r="1243" customFormat="false" ht="16.5" hidden="false" customHeight="true" outlineLevel="0" collapsed="false">
      <c r="A1243" s="2" t="s">
        <v>385</v>
      </c>
      <c r="B1243" s="2" t="s">
        <v>410</v>
      </c>
      <c r="C1243" s="2" t="s">
        <v>16</v>
      </c>
      <c r="D1243" s="2" t="str">
        <f aca="false">IF(2キー同時!$B$318="","",2キー同時!$B$318)</f>
        <v/>
      </c>
      <c r="E1243" s="2" t="str">
        <f aca="false">""</f>
        <v/>
      </c>
      <c r="F1243" s="2" t="str">
        <f aca="false">""</f>
        <v/>
      </c>
      <c r="G1243" s="2" t="str">
        <f aca="false">IF(2キー同時!$B$318="","",IF(2キー同時!X322="","",SUBSTITUTE(SUBSTITUTE(2キー同時!X322," ",""),"　","")))</f>
        <v/>
      </c>
      <c r="H1243" s="2" t="str">
        <f aca="false">IF($G1243="","",2キー同時!$B$318)</f>
        <v/>
      </c>
      <c r="I1243" s="2" t="str">
        <f aca="false">IF($G1243="","","t")</f>
        <v/>
      </c>
      <c r="J1243" s="2" t="str">
        <f aca="false">""</f>
        <v/>
      </c>
      <c r="K1243" s="2" t="str">
        <f aca="false">""</f>
        <v/>
      </c>
      <c r="L1243" s="2" t="str">
        <f aca="false">IF($G1243="","","同時")</f>
        <v/>
      </c>
      <c r="M1243" s="2" t="str">
        <f aca="false">IF($G1243="","",IF(ISNA(MATCH($G1243,個別指定!$A:$A,0)),"行なし",""))</f>
        <v/>
      </c>
      <c r="N1243" s="2" t="str">
        <f aca="false">IF($G1243="","",IF(COUNTIF($G$2:$G$4460,$G1243)&gt;1,"重複",""))</f>
        <v/>
      </c>
    </row>
    <row r="1244" customFormat="false" ht="16.5" hidden="false" customHeight="true" outlineLevel="0" collapsed="false">
      <c r="A1244" s="2" t="s">
        <v>385</v>
      </c>
      <c r="B1244" s="2" t="s">
        <v>410</v>
      </c>
      <c r="C1244" s="2" t="s">
        <v>17</v>
      </c>
      <c r="D1244" s="2" t="str">
        <f aca="false">IF(2キー同時!$B$318="","",2キー同時!$B$318)</f>
        <v/>
      </c>
      <c r="E1244" s="2" t="str">
        <f aca="false">""</f>
        <v/>
      </c>
      <c r="F1244" s="2" t="str">
        <f aca="false">""</f>
        <v/>
      </c>
      <c r="G1244" s="2" t="str">
        <f aca="false">IF(2キー同時!$B$318="","",IF(2キー同時!AB322="","",SUBSTITUTE(SUBSTITUTE(2キー同時!AB322," ",""),"　","")))</f>
        <v/>
      </c>
      <c r="H1244" s="2" t="str">
        <f aca="false">IF($G1244="","",2キー同時!$B$318)</f>
        <v/>
      </c>
      <c r="I1244" s="2" t="str">
        <f aca="false">IF($G1244="","","y")</f>
        <v/>
      </c>
      <c r="J1244" s="2" t="str">
        <f aca="false">""</f>
        <v/>
      </c>
      <c r="K1244" s="2" t="str">
        <f aca="false">""</f>
        <v/>
      </c>
      <c r="L1244" s="2" t="str">
        <f aca="false">IF($G1244="","","同時")</f>
        <v/>
      </c>
      <c r="M1244" s="2" t="str">
        <f aca="false">IF($G1244="","",IF(ISNA(MATCH($G1244,個別指定!$A:$A,0)),"行なし",""))</f>
        <v/>
      </c>
      <c r="N1244" s="2" t="str">
        <f aca="false">IF($G1244="","",IF(COUNTIF($G$2:$G$4460,$G1244)&gt;1,"重複",""))</f>
        <v/>
      </c>
    </row>
    <row r="1245" customFormat="false" ht="16.5" hidden="false" customHeight="true" outlineLevel="0" collapsed="false">
      <c r="A1245" s="2" t="s">
        <v>385</v>
      </c>
      <c r="B1245" s="2" t="s">
        <v>410</v>
      </c>
      <c r="C1245" s="2" t="s">
        <v>18</v>
      </c>
      <c r="D1245" s="2" t="str">
        <f aca="false">IF(2キー同時!$B$318="","",2キー同時!$B$318)</f>
        <v/>
      </c>
      <c r="E1245" s="2" t="str">
        <f aca="false">""</f>
        <v/>
      </c>
      <c r="F1245" s="2" t="str">
        <f aca="false">""</f>
        <v/>
      </c>
      <c r="G1245" s="2" t="str">
        <f aca="false">IF(2キー同時!$B$318="","",IF(2キー同時!AF322="","",SUBSTITUTE(SUBSTITUTE(2キー同時!AF322," ",""),"　","")))</f>
        <v/>
      </c>
      <c r="H1245" s="2" t="str">
        <f aca="false">IF($G1245="","",2キー同時!$B$318)</f>
        <v/>
      </c>
      <c r="I1245" s="2" t="str">
        <f aca="false">IF($G1245="","","u")</f>
        <v/>
      </c>
      <c r="J1245" s="2" t="str">
        <f aca="false">""</f>
        <v/>
      </c>
      <c r="K1245" s="2" t="str">
        <f aca="false">""</f>
        <v/>
      </c>
      <c r="L1245" s="2" t="str">
        <f aca="false">IF($G1245="","","同時")</f>
        <v/>
      </c>
      <c r="M1245" s="2" t="str">
        <f aca="false">IF($G1245="","",IF(ISNA(MATCH($G1245,個別指定!$A:$A,0)),"行なし",""))</f>
        <v/>
      </c>
      <c r="N1245" s="2" t="str">
        <f aca="false">IF($G1245="","",IF(COUNTIF($G$2:$G$4460,$G1245)&gt;1,"重複",""))</f>
        <v/>
      </c>
    </row>
    <row r="1246" customFormat="false" ht="16.5" hidden="false" customHeight="true" outlineLevel="0" collapsed="false">
      <c r="A1246" s="2" t="s">
        <v>385</v>
      </c>
      <c r="B1246" s="2" t="s">
        <v>410</v>
      </c>
      <c r="C1246" s="2" t="s">
        <v>19</v>
      </c>
      <c r="D1246" s="2" t="str">
        <f aca="false">IF(2キー同時!$B$318="","",2キー同時!$B$318)</f>
        <v/>
      </c>
      <c r="E1246" s="2" t="str">
        <f aca="false">""</f>
        <v/>
      </c>
      <c r="F1246" s="2" t="str">
        <f aca="false">""</f>
        <v/>
      </c>
      <c r="G1246" s="2" t="str">
        <f aca="false">IF(2キー同時!$B$318="","",IF(2キー同時!AJ322="","",SUBSTITUTE(SUBSTITUTE(2キー同時!AJ322," ",""),"　","")))</f>
        <v/>
      </c>
      <c r="H1246" s="2" t="str">
        <f aca="false">IF($G1246="","",2キー同時!$B$318)</f>
        <v/>
      </c>
      <c r="I1246" s="2" t="str">
        <f aca="false">IF($G1246="","","i")</f>
        <v/>
      </c>
      <c r="J1246" s="2" t="str">
        <f aca="false">""</f>
        <v/>
      </c>
      <c r="K1246" s="2" t="str">
        <f aca="false">""</f>
        <v/>
      </c>
      <c r="L1246" s="2" t="str">
        <f aca="false">IF($G1246="","","同時")</f>
        <v/>
      </c>
      <c r="M1246" s="2" t="str">
        <f aca="false">IF($G1246="","",IF(ISNA(MATCH($G1246,個別指定!$A:$A,0)),"行なし",""))</f>
        <v/>
      </c>
      <c r="N1246" s="2" t="str">
        <f aca="false">IF($G1246="","",IF(COUNTIF($G$2:$G$4460,$G1246)&gt;1,"重複",""))</f>
        <v/>
      </c>
    </row>
    <row r="1247" customFormat="false" ht="16.5" hidden="false" customHeight="true" outlineLevel="0" collapsed="false">
      <c r="A1247" s="2" t="s">
        <v>385</v>
      </c>
      <c r="B1247" s="2" t="s">
        <v>410</v>
      </c>
      <c r="C1247" s="2" t="s">
        <v>20</v>
      </c>
      <c r="D1247" s="2" t="str">
        <f aca="false">IF(2キー同時!$B$318="","",2キー同時!$B$318)</f>
        <v/>
      </c>
      <c r="E1247" s="2" t="str">
        <f aca="false">""</f>
        <v/>
      </c>
      <c r="F1247" s="2" t="str">
        <f aca="false">""</f>
        <v/>
      </c>
      <c r="G1247" s="2" t="str">
        <f aca="false">IF(2キー同時!$B$318="","",IF(2キー同時!AN322="","",SUBSTITUTE(SUBSTITUTE(2キー同時!AN322," ",""),"　","")))</f>
        <v/>
      </c>
      <c r="H1247" s="2" t="str">
        <f aca="false">IF($G1247="","",2キー同時!$B$318)</f>
        <v/>
      </c>
      <c r="I1247" s="2" t="str">
        <f aca="false">IF($G1247="","","o")</f>
        <v/>
      </c>
      <c r="J1247" s="2" t="str">
        <f aca="false">""</f>
        <v/>
      </c>
      <c r="K1247" s="2" t="str">
        <f aca="false">""</f>
        <v/>
      </c>
      <c r="L1247" s="2" t="str">
        <f aca="false">IF($G1247="","","同時")</f>
        <v/>
      </c>
      <c r="M1247" s="2" t="str">
        <f aca="false">IF($G1247="","",IF(ISNA(MATCH($G1247,個別指定!$A:$A,0)),"行なし",""))</f>
        <v/>
      </c>
      <c r="N1247" s="2" t="str">
        <f aca="false">IF($G1247="","",IF(COUNTIF($G$2:$G$4460,$G1247)&gt;1,"重複",""))</f>
        <v/>
      </c>
    </row>
    <row r="1248" customFormat="false" ht="16.5" hidden="false" customHeight="true" outlineLevel="0" collapsed="false">
      <c r="A1248" s="2" t="s">
        <v>385</v>
      </c>
      <c r="B1248" s="2" t="s">
        <v>410</v>
      </c>
      <c r="C1248" s="2" t="s">
        <v>21</v>
      </c>
      <c r="D1248" s="2" t="str">
        <f aca="false">IF(2キー同時!$B$318="","",2キー同時!$B$318)</f>
        <v/>
      </c>
      <c r="E1248" s="2" t="str">
        <f aca="false">""</f>
        <v/>
      </c>
      <c r="F1248" s="2" t="str">
        <f aca="false">""</f>
        <v/>
      </c>
      <c r="G1248" s="2" t="str">
        <f aca="false">IF(2キー同時!$B$318="","",IF(2キー同時!AR322="","",SUBSTITUTE(SUBSTITUTE(2キー同時!AR322," ",""),"　","")))</f>
        <v/>
      </c>
      <c r="H1248" s="2" t="str">
        <f aca="false">IF($G1248="","",2キー同時!$B$318)</f>
        <v/>
      </c>
      <c r="I1248" s="2" t="str">
        <f aca="false">IF($G1248="","","p")</f>
        <v/>
      </c>
      <c r="J1248" s="2" t="str">
        <f aca="false">""</f>
        <v/>
      </c>
      <c r="K1248" s="2" t="str">
        <f aca="false">""</f>
        <v/>
      </c>
      <c r="L1248" s="2" t="str">
        <f aca="false">IF($G1248="","","同時")</f>
        <v/>
      </c>
      <c r="M1248" s="2" t="str">
        <f aca="false">IF($G1248="","",IF(ISNA(MATCH($G1248,個別指定!$A:$A,0)),"行なし",""))</f>
        <v/>
      </c>
      <c r="N1248" s="2" t="str">
        <f aca="false">IF($G1248="","",IF(COUNTIF($G$2:$G$4460,$G1248)&gt;1,"重複",""))</f>
        <v/>
      </c>
    </row>
    <row r="1249" customFormat="false" ht="16.5" hidden="false" customHeight="true" outlineLevel="0" collapsed="false">
      <c r="A1249" s="2" t="s">
        <v>385</v>
      </c>
      <c r="B1249" s="2" t="s">
        <v>410</v>
      </c>
      <c r="C1249" s="2" t="s">
        <v>22</v>
      </c>
      <c r="D1249" s="2" t="str">
        <f aca="false">IF(2キー同時!$B$318="","",2キー同時!$B$318)</f>
        <v/>
      </c>
      <c r="E1249" s="2" t="str">
        <f aca="false">""</f>
        <v/>
      </c>
      <c r="F1249" s="2" t="str">
        <f aca="false">""</f>
        <v/>
      </c>
      <c r="G1249" s="2" t="str">
        <f aca="false">IF(2キー同時!$B$318="","",IF(2キー同時!AV322="","",SUBSTITUTE(SUBSTITUTE(2キー同時!AV322," ",""),"　","")))</f>
        <v/>
      </c>
      <c r="H1249" s="2" t="str">
        <f aca="false">IF($G1249="","",2キー同時!$B$318)</f>
        <v/>
      </c>
      <c r="I1249" s="2" t="str">
        <f aca="false">IF($G1249="","","[")</f>
        <v/>
      </c>
      <c r="J1249" s="2" t="str">
        <f aca="false">""</f>
        <v/>
      </c>
      <c r="K1249" s="2" t="str">
        <f aca="false">""</f>
        <v/>
      </c>
      <c r="L1249" s="2" t="str">
        <f aca="false">IF($G1249="","","同時")</f>
        <v/>
      </c>
      <c r="M1249" s="2" t="str">
        <f aca="false">IF($G1249="","",IF(ISNA(MATCH($G1249,個別指定!$A:$A,0)),"行なし",""))</f>
        <v/>
      </c>
      <c r="N1249" s="2" t="str">
        <f aca="false">IF($G1249="","",IF(COUNTIF($G$2:$G$4460,$G1249)&gt;1,"重複",""))</f>
        <v/>
      </c>
    </row>
    <row r="1250" customFormat="false" ht="16.5" hidden="false" customHeight="true" outlineLevel="0" collapsed="false">
      <c r="A1250" s="2" t="s">
        <v>385</v>
      </c>
      <c r="B1250" s="2" t="s">
        <v>410</v>
      </c>
      <c r="C1250" s="2" t="s">
        <v>23</v>
      </c>
      <c r="D1250" s="2" t="str">
        <f aca="false">IF(2キー同時!$B$318="","",2キー同時!$B$318)</f>
        <v/>
      </c>
      <c r="E1250" s="2" t="str">
        <f aca="false">""</f>
        <v/>
      </c>
      <c r="F1250" s="2" t="str">
        <f aca="false">""</f>
        <v/>
      </c>
      <c r="G1250" s="2" t="str">
        <f aca="false">IF(2キー同時!$B$318="","",IF(2キー同時!AZ322="","",SUBSTITUTE(SUBSTITUTE(2キー同時!AZ322," ",""),"　","")))</f>
        <v/>
      </c>
      <c r="H1250" s="2" t="str">
        <f aca="false">IF($G1250="","",2キー同時!$B$318)</f>
        <v/>
      </c>
      <c r="I1250" s="2" t="str">
        <f aca="false">IF($G1250="","","]")</f>
        <v/>
      </c>
      <c r="J1250" s="2" t="str">
        <f aca="false">""</f>
        <v/>
      </c>
      <c r="K1250" s="2" t="str">
        <f aca="false">""</f>
        <v/>
      </c>
      <c r="L1250" s="2" t="str">
        <f aca="false">IF($G1250="","","同時")</f>
        <v/>
      </c>
      <c r="M1250" s="2" t="str">
        <f aca="false">IF($G1250="","",IF(ISNA(MATCH($G1250,個別指定!$A:$A,0)),"行なし",""))</f>
        <v/>
      </c>
      <c r="N1250" s="2" t="str">
        <f aca="false">IF($G1250="","",IF(COUNTIF($G$2:$G$4460,$G1250)&gt;1,"重複",""))</f>
        <v/>
      </c>
    </row>
    <row r="1251" customFormat="false" ht="16.5" hidden="false" customHeight="true" outlineLevel="0" collapsed="false">
      <c r="A1251" s="2" t="s">
        <v>385</v>
      </c>
      <c r="B1251" s="2" t="s">
        <v>410</v>
      </c>
      <c r="C1251" s="2" t="s">
        <v>24</v>
      </c>
      <c r="D1251" s="2" t="str">
        <f aca="false">IF(2キー同時!$B$318="","",2キー同時!$B$318)</f>
        <v/>
      </c>
      <c r="E1251" s="2" t="str">
        <f aca="false">""</f>
        <v/>
      </c>
      <c r="F1251" s="2" t="str">
        <f aca="false">""</f>
        <v/>
      </c>
      <c r="G1251" s="2" t="str">
        <f aca="false">IF(2キー同時!$B$318="","",IF(2キー同時!I324="","",SUBSTITUTE(SUBSTITUTE(2キー同時!I324," ",""),"　","")))</f>
        <v/>
      </c>
      <c r="H1251" s="2" t="str">
        <f aca="false">IF($G1251="","",2キー同時!$B$318)</f>
        <v/>
      </c>
      <c r="I1251" s="2" t="str">
        <f aca="false">IF($G1251="","","a")</f>
        <v/>
      </c>
      <c r="J1251" s="2" t="str">
        <f aca="false">""</f>
        <v/>
      </c>
      <c r="K1251" s="2" t="str">
        <f aca="false">""</f>
        <v/>
      </c>
      <c r="L1251" s="2" t="str">
        <f aca="false">IF($G1251="","","同時")</f>
        <v/>
      </c>
      <c r="M1251" s="2" t="str">
        <f aca="false">IF($G1251="","",IF(ISNA(MATCH($G1251,個別指定!$A:$A,0)),"行なし",""))</f>
        <v/>
      </c>
      <c r="N1251" s="2" t="str">
        <f aca="false">IF($G1251="","",IF(COUNTIF($G$2:$G$4460,$G1251)&gt;1,"重複",""))</f>
        <v/>
      </c>
    </row>
    <row r="1252" customFormat="false" ht="16.5" hidden="false" customHeight="true" outlineLevel="0" collapsed="false">
      <c r="A1252" s="2" t="s">
        <v>385</v>
      </c>
      <c r="B1252" s="2" t="s">
        <v>410</v>
      </c>
      <c r="C1252" s="2" t="s">
        <v>25</v>
      </c>
      <c r="D1252" s="2" t="str">
        <f aca="false">IF(2キー同時!$B$318="","",2キー同時!$B$318)</f>
        <v/>
      </c>
      <c r="E1252" s="2" t="str">
        <f aca="false">""</f>
        <v/>
      </c>
      <c r="F1252" s="2" t="str">
        <f aca="false">""</f>
        <v/>
      </c>
      <c r="G1252" s="2" t="str">
        <f aca="false">IF(2キー同時!$B$318="","",IF(2キー同時!M324="","",SUBSTITUTE(SUBSTITUTE(2キー同時!M324," ",""),"　","")))</f>
        <v/>
      </c>
      <c r="H1252" s="2" t="str">
        <f aca="false">IF($G1252="","",2キー同時!$B$318)</f>
        <v/>
      </c>
      <c r="I1252" s="2" t="str">
        <f aca="false">IF($G1252="","","s")</f>
        <v/>
      </c>
      <c r="J1252" s="2" t="str">
        <f aca="false">""</f>
        <v/>
      </c>
      <c r="K1252" s="2" t="str">
        <f aca="false">""</f>
        <v/>
      </c>
      <c r="L1252" s="2" t="str">
        <f aca="false">IF($G1252="","","同時")</f>
        <v/>
      </c>
      <c r="M1252" s="2" t="str">
        <f aca="false">IF($G1252="","",IF(ISNA(MATCH($G1252,個別指定!$A:$A,0)),"行なし",""))</f>
        <v/>
      </c>
      <c r="N1252" s="2" t="str">
        <f aca="false">IF($G1252="","",IF(COUNTIF($G$2:$G$4460,$G1252)&gt;1,"重複",""))</f>
        <v/>
      </c>
    </row>
    <row r="1253" customFormat="false" ht="16.5" hidden="false" customHeight="true" outlineLevel="0" collapsed="false">
      <c r="A1253" s="2" t="s">
        <v>385</v>
      </c>
      <c r="B1253" s="2" t="s">
        <v>410</v>
      </c>
      <c r="C1253" s="2" t="s">
        <v>26</v>
      </c>
      <c r="D1253" s="2" t="str">
        <f aca="false">IF(2キー同時!$B$318="","",2キー同時!$B$318)</f>
        <v/>
      </c>
      <c r="E1253" s="2" t="str">
        <f aca="false">""</f>
        <v/>
      </c>
      <c r="F1253" s="2" t="str">
        <f aca="false">""</f>
        <v/>
      </c>
      <c r="G1253" s="2" t="str">
        <f aca="false">IF(2キー同時!$B$318="","",IF(2キー同時!Q324="","",SUBSTITUTE(SUBSTITUTE(2キー同時!Q324," ",""),"　","")))</f>
        <v/>
      </c>
      <c r="H1253" s="2" t="str">
        <f aca="false">IF($G1253="","",2キー同時!$B$318)</f>
        <v/>
      </c>
      <c r="I1253" s="2" t="str">
        <f aca="false">IF($G1253="","","d")</f>
        <v/>
      </c>
      <c r="J1253" s="2" t="str">
        <f aca="false">""</f>
        <v/>
      </c>
      <c r="K1253" s="2" t="str">
        <f aca="false">""</f>
        <v/>
      </c>
      <c r="L1253" s="2" t="str">
        <f aca="false">IF($G1253="","","同時")</f>
        <v/>
      </c>
      <c r="M1253" s="2" t="str">
        <f aca="false">IF($G1253="","",IF(ISNA(MATCH($G1253,個別指定!$A:$A,0)),"行なし",""))</f>
        <v/>
      </c>
      <c r="N1253" s="2" t="str">
        <f aca="false">IF($G1253="","",IF(COUNTIF($G$2:$G$4460,$G1253)&gt;1,"重複",""))</f>
        <v/>
      </c>
    </row>
    <row r="1254" customFormat="false" ht="16.5" hidden="false" customHeight="true" outlineLevel="0" collapsed="false">
      <c r="A1254" s="2" t="s">
        <v>385</v>
      </c>
      <c r="B1254" s="2" t="s">
        <v>410</v>
      </c>
      <c r="C1254" s="2" t="s">
        <v>27</v>
      </c>
      <c r="D1254" s="2" t="str">
        <f aca="false">IF(2キー同時!$B$318="","",2キー同時!$B$318)</f>
        <v/>
      </c>
      <c r="E1254" s="2" t="str">
        <f aca="false">""</f>
        <v/>
      </c>
      <c r="F1254" s="2" t="str">
        <f aca="false">""</f>
        <v/>
      </c>
      <c r="G1254" s="2" t="str">
        <f aca="false">IF(2キー同時!$B$318="","",IF(2キー同時!U324="","",SUBSTITUTE(SUBSTITUTE(2キー同時!U324," ",""),"　","")))</f>
        <v/>
      </c>
      <c r="H1254" s="2" t="str">
        <f aca="false">IF($G1254="","",2キー同時!$B$318)</f>
        <v/>
      </c>
      <c r="I1254" s="2" t="str">
        <f aca="false">IF($G1254="","","f")</f>
        <v/>
      </c>
      <c r="J1254" s="2" t="str">
        <f aca="false">""</f>
        <v/>
      </c>
      <c r="K1254" s="2" t="str">
        <f aca="false">""</f>
        <v/>
      </c>
      <c r="L1254" s="2" t="str">
        <f aca="false">IF($G1254="","","同時")</f>
        <v/>
      </c>
      <c r="M1254" s="2" t="str">
        <f aca="false">IF($G1254="","",IF(ISNA(MATCH($G1254,個別指定!$A:$A,0)),"行なし",""))</f>
        <v/>
      </c>
      <c r="N1254" s="2" t="str">
        <f aca="false">IF($G1254="","",IF(COUNTIF($G$2:$G$4460,$G1254)&gt;1,"重複",""))</f>
        <v/>
      </c>
    </row>
    <row r="1255" customFormat="false" ht="16.5" hidden="false" customHeight="true" outlineLevel="0" collapsed="false">
      <c r="A1255" s="2" t="s">
        <v>385</v>
      </c>
      <c r="B1255" s="2" t="s">
        <v>410</v>
      </c>
      <c r="C1255" s="2" t="s">
        <v>28</v>
      </c>
      <c r="D1255" s="2" t="str">
        <f aca="false">IF(2キー同時!$B$318="","",2キー同時!$B$318)</f>
        <v/>
      </c>
      <c r="E1255" s="2" t="str">
        <f aca="false">""</f>
        <v/>
      </c>
      <c r="F1255" s="2" t="str">
        <f aca="false">""</f>
        <v/>
      </c>
      <c r="G1255" s="2" t="str">
        <f aca="false">IF(2キー同時!$B$318="","",IF(2キー同時!Y324="","",SUBSTITUTE(SUBSTITUTE(2キー同時!Y324," ",""),"　","")))</f>
        <v/>
      </c>
      <c r="H1255" s="2" t="str">
        <f aca="false">IF($G1255="","",2キー同時!$B$318)</f>
        <v/>
      </c>
      <c r="I1255" s="2" t="str">
        <f aca="false">IF($G1255="","","g")</f>
        <v/>
      </c>
      <c r="J1255" s="2" t="str">
        <f aca="false">""</f>
        <v/>
      </c>
      <c r="K1255" s="2" t="str">
        <f aca="false">""</f>
        <v/>
      </c>
      <c r="L1255" s="2" t="str">
        <f aca="false">IF($G1255="","","同時")</f>
        <v/>
      </c>
      <c r="M1255" s="2" t="str">
        <f aca="false">IF($G1255="","",IF(ISNA(MATCH($G1255,個別指定!$A:$A,0)),"行なし",""))</f>
        <v/>
      </c>
      <c r="N1255" s="2" t="str">
        <f aca="false">IF($G1255="","",IF(COUNTIF($G$2:$G$4460,$G1255)&gt;1,"重複",""))</f>
        <v/>
      </c>
    </row>
    <row r="1256" customFormat="false" ht="16.5" hidden="false" customHeight="true" outlineLevel="0" collapsed="false">
      <c r="A1256" s="2" t="s">
        <v>385</v>
      </c>
      <c r="B1256" s="2" t="s">
        <v>410</v>
      </c>
      <c r="C1256" s="2" t="s">
        <v>29</v>
      </c>
      <c r="D1256" s="2" t="str">
        <f aca="false">IF(2キー同時!$B$318="","",2キー同時!$B$318)</f>
        <v/>
      </c>
      <c r="E1256" s="2" t="str">
        <f aca="false">""</f>
        <v/>
      </c>
      <c r="F1256" s="2" t="str">
        <f aca="false">""</f>
        <v/>
      </c>
      <c r="G1256" s="2" t="str">
        <f aca="false">IF(2キー同時!$B$318="","",IF(2キー同時!AC324="","",SUBSTITUTE(SUBSTITUTE(2キー同時!AC324," ",""),"　","")))</f>
        <v/>
      </c>
      <c r="H1256" s="2" t="str">
        <f aca="false">IF($G1256="","",2キー同時!$B$318)</f>
        <v/>
      </c>
      <c r="I1256" s="2" t="str">
        <f aca="false">IF($G1256="","","h")</f>
        <v/>
      </c>
      <c r="J1256" s="2" t="str">
        <f aca="false">""</f>
        <v/>
      </c>
      <c r="K1256" s="2" t="str">
        <f aca="false">""</f>
        <v/>
      </c>
      <c r="L1256" s="2" t="str">
        <f aca="false">IF($G1256="","","同時")</f>
        <v/>
      </c>
      <c r="M1256" s="2" t="str">
        <f aca="false">IF($G1256="","",IF(ISNA(MATCH($G1256,個別指定!$A:$A,0)),"行なし",""))</f>
        <v/>
      </c>
      <c r="N1256" s="2" t="str">
        <f aca="false">IF($G1256="","",IF(COUNTIF($G$2:$G$4460,$G1256)&gt;1,"重複",""))</f>
        <v/>
      </c>
    </row>
    <row r="1257" customFormat="false" ht="16.5" hidden="false" customHeight="true" outlineLevel="0" collapsed="false">
      <c r="A1257" s="2" t="s">
        <v>385</v>
      </c>
      <c r="B1257" s="2" t="s">
        <v>410</v>
      </c>
      <c r="C1257" s="2" t="s">
        <v>30</v>
      </c>
      <c r="D1257" s="2" t="str">
        <f aca="false">IF(2キー同時!$B$318="","",2キー同時!$B$318)</f>
        <v/>
      </c>
      <c r="E1257" s="2" t="str">
        <f aca="false">""</f>
        <v/>
      </c>
      <c r="F1257" s="2" t="str">
        <f aca="false">""</f>
        <v/>
      </c>
      <c r="G1257" s="2" t="str">
        <f aca="false">IF(2キー同時!$B$318="","",IF(2キー同時!AG324="","",SUBSTITUTE(SUBSTITUTE(2キー同時!AG324," ",""),"　","")))</f>
        <v/>
      </c>
      <c r="H1257" s="2" t="str">
        <f aca="false">IF($G1257="","",2キー同時!$B$318)</f>
        <v/>
      </c>
      <c r="I1257" s="2" t="str">
        <f aca="false">IF($G1257="","","j")</f>
        <v/>
      </c>
      <c r="J1257" s="2" t="str">
        <f aca="false">""</f>
        <v/>
      </c>
      <c r="K1257" s="2" t="str">
        <f aca="false">""</f>
        <v/>
      </c>
      <c r="L1257" s="2" t="str">
        <f aca="false">IF($G1257="","","同時")</f>
        <v/>
      </c>
      <c r="M1257" s="2" t="str">
        <f aca="false">IF($G1257="","",IF(ISNA(MATCH($G1257,個別指定!$A:$A,0)),"行なし",""))</f>
        <v/>
      </c>
      <c r="N1257" s="2" t="str">
        <f aca="false">IF($G1257="","",IF(COUNTIF($G$2:$G$4460,$G1257)&gt;1,"重複",""))</f>
        <v/>
      </c>
    </row>
    <row r="1258" customFormat="false" ht="16.5" hidden="false" customHeight="true" outlineLevel="0" collapsed="false">
      <c r="A1258" s="2" t="s">
        <v>385</v>
      </c>
      <c r="B1258" s="2" t="s">
        <v>410</v>
      </c>
      <c r="C1258" s="2" t="s">
        <v>31</v>
      </c>
      <c r="D1258" s="2" t="str">
        <f aca="false">IF(2キー同時!$B$318="","",2キー同時!$B$318)</f>
        <v/>
      </c>
      <c r="E1258" s="2" t="str">
        <f aca="false">""</f>
        <v/>
      </c>
      <c r="F1258" s="2" t="str">
        <f aca="false">""</f>
        <v/>
      </c>
      <c r="G1258" s="2" t="str">
        <f aca="false">IF(2キー同時!$B$318="","",IF(2キー同時!AK324="","",SUBSTITUTE(SUBSTITUTE(2キー同時!AK324," ",""),"　","")))</f>
        <v/>
      </c>
      <c r="H1258" s="2" t="str">
        <f aca="false">IF($G1258="","",2キー同時!$B$318)</f>
        <v/>
      </c>
      <c r="I1258" s="2" t="str">
        <f aca="false">IF($G1258="","","k")</f>
        <v/>
      </c>
      <c r="J1258" s="2" t="str">
        <f aca="false">""</f>
        <v/>
      </c>
      <c r="K1258" s="2" t="str">
        <f aca="false">""</f>
        <v/>
      </c>
      <c r="L1258" s="2" t="str">
        <f aca="false">IF($G1258="","","同時")</f>
        <v/>
      </c>
      <c r="M1258" s="2" t="str">
        <f aca="false">IF($G1258="","",IF(ISNA(MATCH($G1258,個別指定!$A:$A,0)),"行なし",""))</f>
        <v/>
      </c>
      <c r="N1258" s="2" t="str">
        <f aca="false">IF($G1258="","",IF(COUNTIF($G$2:$G$4460,$G1258)&gt;1,"重複",""))</f>
        <v/>
      </c>
    </row>
    <row r="1259" customFormat="false" ht="16.5" hidden="false" customHeight="true" outlineLevel="0" collapsed="false">
      <c r="A1259" s="2" t="s">
        <v>385</v>
      </c>
      <c r="B1259" s="2" t="s">
        <v>410</v>
      </c>
      <c r="C1259" s="2" t="s">
        <v>32</v>
      </c>
      <c r="D1259" s="2" t="str">
        <f aca="false">IF(2キー同時!$B$318="","",2キー同時!$B$318)</f>
        <v/>
      </c>
      <c r="E1259" s="2" t="str">
        <f aca="false">""</f>
        <v/>
      </c>
      <c r="F1259" s="2" t="str">
        <f aca="false">""</f>
        <v/>
      </c>
      <c r="G1259" s="2" t="str">
        <f aca="false">IF(2キー同時!$B$318="","",IF(2キー同時!AO324="","",SUBSTITUTE(SUBSTITUTE(2キー同時!AO324," ",""),"　","")))</f>
        <v/>
      </c>
      <c r="H1259" s="2" t="str">
        <f aca="false">IF($G1259="","",2キー同時!$B$318)</f>
        <v/>
      </c>
      <c r="I1259" s="2" t="str">
        <f aca="false">IF($G1259="","","l")</f>
        <v/>
      </c>
      <c r="J1259" s="2" t="str">
        <f aca="false">""</f>
        <v/>
      </c>
      <c r="K1259" s="2" t="str">
        <f aca="false">""</f>
        <v/>
      </c>
      <c r="L1259" s="2" t="str">
        <f aca="false">IF($G1259="","","同時")</f>
        <v/>
      </c>
      <c r="M1259" s="2" t="str">
        <f aca="false">IF($G1259="","",IF(ISNA(MATCH($G1259,個別指定!$A:$A,0)),"行なし",""))</f>
        <v/>
      </c>
      <c r="N1259" s="2" t="str">
        <f aca="false">IF($G1259="","",IF(COUNTIF($G$2:$G$4460,$G1259)&gt;1,"重複",""))</f>
        <v/>
      </c>
    </row>
    <row r="1260" customFormat="false" ht="16.5" hidden="false" customHeight="true" outlineLevel="0" collapsed="false">
      <c r="A1260" s="2" t="s">
        <v>385</v>
      </c>
      <c r="B1260" s="2" t="s">
        <v>410</v>
      </c>
      <c r="C1260" s="2" t="s">
        <v>33</v>
      </c>
      <c r="D1260" s="2" t="str">
        <f aca="false">IF(2キー同時!$B$318="","",2キー同時!$B$318)</f>
        <v/>
      </c>
      <c r="E1260" s="2" t="str">
        <f aca="false">""</f>
        <v/>
      </c>
      <c r="F1260" s="2" t="str">
        <f aca="false">""</f>
        <v/>
      </c>
      <c r="G1260" s="2" t="str">
        <f aca="false">IF(2キー同時!$B$318="","",IF(2キー同時!AS324="","",SUBSTITUTE(SUBSTITUTE(2キー同時!AS324," ",""),"　","")))</f>
        <v/>
      </c>
      <c r="H1260" s="2" t="str">
        <f aca="false">IF($G1260="","",2キー同時!$B$318)</f>
        <v/>
      </c>
      <c r="I1260" s="2" t="str">
        <f aca="false">IF($G1260="","",";")</f>
        <v/>
      </c>
      <c r="J1260" s="2" t="str">
        <f aca="false">""</f>
        <v/>
      </c>
      <c r="K1260" s="2" t="str">
        <f aca="false">""</f>
        <v/>
      </c>
      <c r="L1260" s="2" t="str">
        <f aca="false">IF($G1260="","","同時")</f>
        <v/>
      </c>
      <c r="M1260" s="2" t="str">
        <f aca="false">IF($G1260="","",IF(ISNA(MATCH($G1260,個別指定!$A:$A,0)),"行なし",""))</f>
        <v/>
      </c>
      <c r="N1260" s="2" t="str">
        <f aca="false">IF($G1260="","",IF(COUNTIF($G$2:$G$4460,$G1260)&gt;1,"重複",""))</f>
        <v/>
      </c>
    </row>
    <row r="1261" customFormat="false" ht="16.5" hidden="false" customHeight="true" outlineLevel="0" collapsed="false">
      <c r="A1261" s="2" t="s">
        <v>385</v>
      </c>
      <c r="B1261" s="2" t="s">
        <v>410</v>
      </c>
      <c r="C1261" s="2" t="s">
        <v>34</v>
      </c>
      <c r="D1261" s="2" t="str">
        <f aca="false">IF(2キー同時!$B$318="","",2キー同時!$B$318)</f>
        <v/>
      </c>
      <c r="E1261" s="2" t="str">
        <f aca="false">""</f>
        <v/>
      </c>
      <c r="F1261" s="2" t="str">
        <f aca="false">""</f>
        <v/>
      </c>
      <c r="G1261" s="2" t="str">
        <f aca="false">IF(2キー同時!$B$318="","",IF(2キー同時!AW324="","",SUBSTITUTE(SUBSTITUTE(2キー同時!AW324," ",""),"　","")))</f>
        <v/>
      </c>
      <c r="H1261" s="2" t="str">
        <f aca="false">IF($G1261="","",2キー同時!$B$318)</f>
        <v/>
      </c>
      <c r="I1261" s="2" t="str">
        <f aca="false">IF($G1261="","","'")</f>
        <v/>
      </c>
      <c r="J1261" s="2" t="str">
        <f aca="false">""</f>
        <v/>
      </c>
      <c r="K1261" s="2" t="str">
        <f aca="false">""</f>
        <v/>
      </c>
      <c r="L1261" s="2" t="str">
        <f aca="false">IF($G1261="","","同時")</f>
        <v/>
      </c>
      <c r="M1261" s="2" t="str">
        <f aca="false">IF($G1261="","",IF(ISNA(MATCH($G1261,個別指定!$A:$A,0)),"行なし",""))</f>
        <v/>
      </c>
      <c r="N1261" s="2" t="str">
        <f aca="false">IF($G1261="","",IF(COUNTIF($G$2:$G$4460,$G1261)&gt;1,"重複",""))</f>
        <v/>
      </c>
    </row>
    <row r="1262" customFormat="false" ht="16.5" hidden="false" customHeight="true" outlineLevel="0" collapsed="false">
      <c r="A1262" s="2" t="s">
        <v>385</v>
      </c>
      <c r="B1262" s="2" t="s">
        <v>410</v>
      </c>
      <c r="C1262" s="2" t="s">
        <v>35</v>
      </c>
      <c r="D1262" s="2" t="str">
        <f aca="false">IF(2キー同時!$B$318="","",2キー同時!$B$318)</f>
        <v/>
      </c>
      <c r="E1262" s="2" t="str">
        <f aca="false">""</f>
        <v/>
      </c>
      <c r="F1262" s="2" t="str">
        <f aca="false">""</f>
        <v/>
      </c>
      <c r="G1262" s="2" t="str">
        <f aca="false">IF(2キー同時!$B$318="","",IF(2キー同時!K326="","",SUBSTITUTE(SUBSTITUTE(2キー同時!K326," ",""),"　","")))</f>
        <v/>
      </c>
      <c r="H1262" s="2" t="str">
        <f aca="false">IF($G1262="","",2キー同時!$B$318)</f>
        <v/>
      </c>
      <c r="I1262" s="2" t="str">
        <f aca="false">IF($G1262="","","z")</f>
        <v/>
      </c>
      <c r="J1262" s="2" t="str">
        <f aca="false">""</f>
        <v/>
      </c>
      <c r="K1262" s="2" t="str">
        <f aca="false">""</f>
        <v/>
      </c>
      <c r="L1262" s="2" t="str">
        <f aca="false">IF($G1262="","","同時")</f>
        <v/>
      </c>
      <c r="M1262" s="2" t="str">
        <f aca="false">IF($G1262="","",IF(ISNA(MATCH($G1262,個別指定!$A:$A,0)),"行なし",""))</f>
        <v/>
      </c>
      <c r="N1262" s="2" t="str">
        <f aca="false">IF($G1262="","",IF(COUNTIF($G$2:$G$4460,$G1262)&gt;1,"重複",""))</f>
        <v/>
      </c>
    </row>
    <row r="1263" customFormat="false" ht="16.5" hidden="false" customHeight="true" outlineLevel="0" collapsed="false">
      <c r="A1263" s="2" t="s">
        <v>385</v>
      </c>
      <c r="B1263" s="2" t="s">
        <v>410</v>
      </c>
      <c r="C1263" s="2" t="s">
        <v>36</v>
      </c>
      <c r="D1263" s="2" t="str">
        <f aca="false">IF(2キー同時!$B$318="","",2キー同時!$B$318)</f>
        <v/>
      </c>
      <c r="E1263" s="2" t="str">
        <f aca="false">""</f>
        <v/>
      </c>
      <c r="F1263" s="2" t="str">
        <f aca="false">""</f>
        <v/>
      </c>
      <c r="G1263" s="2" t="str">
        <f aca="false">IF(2キー同時!$B$318="","",IF(2キー同時!O326="","",SUBSTITUTE(SUBSTITUTE(2キー同時!O326," ",""),"　","")))</f>
        <v/>
      </c>
      <c r="H1263" s="2" t="str">
        <f aca="false">IF($G1263="","",2キー同時!$B$318)</f>
        <v/>
      </c>
      <c r="I1263" s="2" t="str">
        <f aca="false">IF($G1263="","","x")</f>
        <v/>
      </c>
      <c r="J1263" s="2" t="str">
        <f aca="false">""</f>
        <v/>
      </c>
      <c r="K1263" s="2" t="str">
        <f aca="false">""</f>
        <v/>
      </c>
      <c r="L1263" s="2" t="str">
        <f aca="false">IF($G1263="","","同時")</f>
        <v/>
      </c>
      <c r="M1263" s="2" t="str">
        <f aca="false">IF($G1263="","",IF(ISNA(MATCH($G1263,個別指定!$A:$A,0)),"行なし",""))</f>
        <v/>
      </c>
      <c r="N1263" s="2" t="str">
        <f aca="false">IF($G1263="","",IF(COUNTIF($G$2:$G$4460,$G1263)&gt;1,"重複",""))</f>
        <v/>
      </c>
    </row>
    <row r="1264" customFormat="false" ht="16.5" hidden="false" customHeight="true" outlineLevel="0" collapsed="false">
      <c r="A1264" s="2" t="s">
        <v>385</v>
      </c>
      <c r="B1264" s="2" t="s">
        <v>410</v>
      </c>
      <c r="C1264" s="2" t="s">
        <v>37</v>
      </c>
      <c r="D1264" s="2" t="str">
        <f aca="false">IF(2キー同時!$B$318="","",2キー同時!$B$318)</f>
        <v/>
      </c>
      <c r="E1264" s="2" t="str">
        <f aca="false">""</f>
        <v/>
      </c>
      <c r="F1264" s="2" t="str">
        <f aca="false">""</f>
        <v/>
      </c>
      <c r="G1264" s="2" t="str">
        <f aca="false">IF(2キー同時!$B$318="","",IF(2キー同時!S326="","",SUBSTITUTE(SUBSTITUTE(2キー同時!S326," ",""),"　","")))</f>
        <v/>
      </c>
      <c r="H1264" s="2" t="str">
        <f aca="false">IF($G1264="","",2キー同時!$B$318)</f>
        <v/>
      </c>
      <c r="I1264" s="2" t="str">
        <f aca="false">IF($G1264="","","c")</f>
        <v/>
      </c>
      <c r="J1264" s="2" t="str">
        <f aca="false">""</f>
        <v/>
      </c>
      <c r="K1264" s="2" t="str">
        <f aca="false">""</f>
        <v/>
      </c>
      <c r="L1264" s="2" t="str">
        <f aca="false">IF($G1264="","","同時")</f>
        <v/>
      </c>
      <c r="M1264" s="2" t="str">
        <f aca="false">IF($G1264="","",IF(ISNA(MATCH($G1264,個別指定!$A:$A,0)),"行なし",""))</f>
        <v/>
      </c>
      <c r="N1264" s="2" t="str">
        <f aca="false">IF($G1264="","",IF(COUNTIF($G$2:$G$4460,$G1264)&gt;1,"重複",""))</f>
        <v/>
      </c>
    </row>
    <row r="1265" customFormat="false" ht="16.5" hidden="false" customHeight="true" outlineLevel="0" collapsed="false">
      <c r="A1265" s="2" t="s">
        <v>385</v>
      </c>
      <c r="B1265" s="2" t="s">
        <v>410</v>
      </c>
      <c r="C1265" s="2" t="s">
        <v>38</v>
      </c>
      <c r="D1265" s="2" t="str">
        <f aca="false">IF(2キー同時!$B$318="","",2キー同時!$B$318)</f>
        <v/>
      </c>
      <c r="E1265" s="2" t="str">
        <f aca="false">""</f>
        <v/>
      </c>
      <c r="F1265" s="2" t="str">
        <f aca="false">""</f>
        <v/>
      </c>
      <c r="G1265" s="2" t="str">
        <f aca="false">IF(2キー同時!$B$318="","",IF(2キー同時!W326="","",SUBSTITUTE(SUBSTITUTE(2キー同時!W326," ",""),"　","")))</f>
        <v/>
      </c>
      <c r="H1265" s="2" t="str">
        <f aca="false">IF($G1265="","",2キー同時!$B$318)</f>
        <v/>
      </c>
      <c r="I1265" s="2" t="str">
        <f aca="false">IF($G1265="","","v")</f>
        <v/>
      </c>
      <c r="J1265" s="2" t="str">
        <f aca="false">""</f>
        <v/>
      </c>
      <c r="K1265" s="2" t="str">
        <f aca="false">""</f>
        <v/>
      </c>
      <c r="L1265" s="2" t="str">
        <f aca="false">IF($G1265="","","同時")</f>
        <v/>
      </c>
      <c r="M1265" s="2" t="str">
        <f aca="false">IF($G1265="","",IF(ISNA(MATCH($G1265,個別指定!$A:$A,0)),"行なし",""))</f>
        <v/>
      </c>
      <c r="N1265" s="2" t="str">
        <f aca="false">IF($G1265="","",IF(COUNTIF($G$2:$G$4460,$G1265)&gt;1,"重複",""))</f>
        <v/>
      </c>
    </row>
    <row r="1266" customFormat="false" ht="16.5" hidden="false" customHeight="true" outlineLevel="0" collapsed="false">
      <c r="A1266" s="2" t="s">
        <v>385</v>
      </c>
      <c r="B1266" s="2" t="s">
        <v>410</v>
      </c>
      <c r="C1266" s="2" t="s">
        <v>39</v>
      </c>
      <c r="D1266" s="2" t="str">
        <f aca="false">IF(2キー同時!$B$318="","",2キー同時!$B$318)</f>
        <v/>
      </c>
      <c r="E1266" s="2" t="str">
        <f aca="false">""</f>
        <v/>
      </c>
      <c r="F1266" s="2" t="str">
        <f aca="false">""</f>
        <v/>
      </c>
      <c r="G1266" s="2" t="str">
        <f aca="false">IF(2キー同時!$B$318="","",IF(2キー同時!AA326="","",SUBSTITUTE(SUBSTITUTE(2キー同時!AA326," ",""),"　","")))</f>
        <v/>
      </c>
      <c r="H1266" s="2" t="str">
        <f aca="false">IF($G1266="","",2キー同時!$B$318)</f>
        <v/>
      </c>
      <c r="I1266" s="2" t="str">
        <f aca="false">IF($G1266="","","b")</f>
        <v/>
      </c>
      <c r="J1266" s="2" t="str">
        <f aca="false">""</f>
        <v/>
      </c>
      <c r="K1266" s="2" t="str">
        <f aca="false">""</f>
        <v/>
      </c>
      <c r="L1266" s="2" t="str">
        <f aca="false">IF($G1266="","","同時")</f>
        <v/>
      </c>
      <c r="M1266" s="2" t="str">
        <f aca="false">IF($G1266="","",IF(ISNA(MATCH($G1266,個別指定!$A:$A,0)),"行なし",""))</f>
        <v/>
      </c>
      <c r="N1266" s="2" t="str">
        <f aca="false">IF($G1266="","",IF(COUNTIF($G$2:$G$4460,$G1266)&gt;1,"重複",""))</f>
        <v/>
      </c>
    </row>
    <row r="1267" customFormat="false" ht="16.5" hidden="false" customHeight="true" outlineLevel="0" collapsed="false">
      <c r="A1267" s="2" t="s">
        <v>385</v>
      </c>
      <c r="B1267" s="2" t="s">
        <v>410</v>
      </c>
      <c r="C1267" s="2" t="s">
        <v>40</v>
      </c>
      <c r="D1267" s="2" t="str">
        <f aca="false">IF(2キー同時!$B$318="","",2キー同時!$B$318)</f>
        <v/>
      </c>
      <c r="E1267" s="2" t="str">
        <f aca="false">""</f>
        <v/>
      </c>
      <c r="F1267" s="2" t="str">
        <f aca="false">""</f>
        <v/>
      </c>
      <c r="G1267" s="2" t="str">
        <f aca="false">IF(2キー同時!$B$318="","",IF(2キー同時!AE326="","",SUBSTITUTE(SUBSTITUTE(2キー同時!AE326," ",""),"　","")))</f>
        <v/>
      </c>
      <c r="H1267" s="2" t="str">
        <f aca="false">IF($G1267="","",2キー同時!$B$318)</f>
        <v/>
      </c>
      <c r="I1267" s="2" t="str">
        <f aca="false">IF($G1267="","","n")</f>
        <v/>
      </c>
      <c r="J1267" s="2" t="str">
        <f aca="false">""</f>
        <v/>
      </c>
      <c r="K1267" s="2" t="str">
        <f aca="false">""</f>
        <v/>
      </c>
      <c r="L1267" s="2" t="str">
        <f aca="false">IF($G1267="","","同時")</f>
        <v/>
      </c>
      <c r="M1267" s="2" t="str">
        <f aca="false">IF($G1267="","",IF(ISNA(MATCH($G1267,個別指定!$A:$A,0)),"行なし",""))</f>
        <v/>
      </c>
      <c r="N1267" s="2" t="str">
        <f aca="false">IF($G1267="","",IF(COUNTIF($G$2:$G$4460,$G1267)&gt;1,"重複",""))</f>
        <v/>
      </c>
    </row>
    <row r="1268" customFormat="false" ht="16.5" hidden="false" customHeight="true" outlineLevel="0" collapsed="false">
      <c r="A1268" s="2" t="s">
        <v>385</v>
      </c>
      <c r="B1268" s="2" t="s">
        <v>410</v>
      </c>
      <c r="C1268" s="2" t="s">
        <v>41</v>
      </c>
      <c r="D1268" s="2" t="str">
        <f aca="false">IF(2キー同時!$B$318="","",2キー同時!$B$318)</f>
        <v/>
      </c>
      <c r="E1268" s="2" t="str">
        <f aca="false">""</f>
        <v/>
      </c>
      <c r="F1268" s="2" t="str">
        <f aca="false">""</f>
        <v/>
      </c>
      <c r="G1268" s="2" t="str">
        <f aca="false">IF(2キー同時!$B$318="","",IF(2キー同時!AI326="","",SUBSTITUTE(SUBSTITUTE(2キー同時!AI326," ",""),"　","")))</f>
        <v/>
      </c>
      <c r="H1268" s="2" t="str">
        <f aca="false">IF($G1268="","",2キー同時!$B$318)</f>
        <v/>
      </c>
      <c r="I1268" s="2" t="str">
        <f aca="false">IF($G1268="","","m")</f>
        <v/>
      </c>
      <c r="J1268" s="2" t="str">
        <f aca="false">""</f>
        <v/>
      </c>
      <c r="K1268" s="2" t="str">
        <f aca="false">""</f>
        <v/>
      </c>
      <c r="L1268" s="2" t="str">
        <f aca="false">IF($G1268="","","同時")</f>
        <v/>
      </c>
      <c r="M1268" s="2" t="str">
        <f aca="false">IF($G1268="","",IF(ISNA(MATCH($G1268,個別指定!$A:$A,0)),"行なし",""))</f>
        <v/>
      </c>
      <c r="N1268" s="2" t="str">
        <f aca="false">IF($G1268="","",IF(COUNTIF($G$2:$G$4460,$G1268)&gt;1,"重複",""))</f>
        <v/>
      </c>
    </row>
    <row r="1269" customFormat="false" ht="16.5" hidden="false" customHeight="true" outlineLevel="0" collapsed="false">
      <c r="A1269" s="2" t="s">
        <v>385</v>
      </c>
      <c r="B1269" s="2" t="s">
        <v>410</v>
      </c>
      <c r="C1269" s="2" t="s">
        <v>42</v>
      </c>
      <c r="D1269" s="2" t="str">
        <f aca="false">IF(2キー同時!$B$318="","",2キー同時!$B$318)</f>
        <v/>
      </c>
      <c r="E1269" s="2" t="str">
        <f aca="false">""</f>
        <v/>
      </c>
      <c r="F1269" s="2" t="str">
        <f aca="false">""</f>
        <v/>
      </c>
      <c r="G1269" s="2" t="str">
        <f aca="false">IF(2キー同時!$B$318="","",IF(2キー同時!AM326="","",SUBSTITUTE(SUBSTITUTE(2キー同時!AM326," ",""),"　","")))</f>
        <v/>
      </c>
      <c r="H1269" s="2" t="str">
        <f aca="false">IF($G1269="","",2キー同時!$B$318)</f>
        <v/>
      </c>
      <c r="I1269" s="2" t="str">
        <f aca="false">IF($G1269="","",",")</f>
        <v/>
      </c>
      <c r="J1269" s="2" t="str">
        <f aca="false">""</f>
        <v/>
      </c>
      <c r="K1269" s="2" t="str">
        <f aca="false">""</f>
        <v/>
      </c>
      <c r="L1269" s="2" t="str">
        <f aca="false">IF($G1269="","","同時")</f>
        <v/>
      </c>
      <c r="M1269" s="2" t="str">
        <f aca="false">IF($G1269="","",IF(ISNA(MATCH($G1269,個別指定!$A:$A,0)),"行なし",""))</f>
        <v/>
      </c>
      <c r="N1269" s="2" t="str">
        <f aca="false">IF($G1269="","",IF(COUNTIF($G$2:$G$4460,$G1269)&gt;1,"重複",""))</f>
        <v/>
      </c>
    </row>
    <row r="1270" customFormat="false" ht="16.5" hidden="false" customHeight="true" outlineLevel="0" collapsed="false">
      <c r="A1270" s="2" t="s">
        <v>385</v>
      </c>
      <c r="B1270" s="2" t="s">
        <v>410</v>
      </c>
      <c r="C1270" s="2" t="s">
        <v>43</v>
      </c>
      <c r="D1270" s="2" t="str">
        <f aca="false">IF(2キー同時!$B$318="","",2キー同時!$B$318)</f>
        <v/>
      </c>
      <c r="E1270" s="2" t="str">
        <f aca="false">""</f>
        <v/>
      </c>
      <c r="F1270" s="2" t="str">
        <f aca="false">""</f>
        <v/>
      </c>
      <c r="G1270" s="2" t="str">
        <f aca="false">IF(2キー同時!$B$318="","",IF(2キー同時!AQ326="","",SUBSTITUTE(SUBSTITUTE(2キー同時!AQ326," ",""),"　","")))</f>
        <v/>
      </c>
      <c r="H1270" s="2" t="str">
        <f aca="false">IF($G1270="","",2キー同時!$B$318)</f>
        <v/>
      </c>
      <c r="I1270" s="2" t="str">
        <f aca="false">IF($G1270="","",".")</f>
        <v/>
      </c>
      <c r="J1270" s="2" t="str">
        <f aca="false">""</f>
        <v/>
      </c>
      <c r="K1270" s="2" t="str">
        <f aca="false">""</f>
        <v/>
      </c>
      <c r="L1270" s="2" t="str">
        <f aca="false">IF($G1270="","","同時")</f>
        <v/>
      </c>
      <c r="M1270" s="2" t="str">
        <f aca="false">IF($G1270="","",IF(ISNA(MATCH($G1270,個別指定!$A:$A,0)),"行なし",""))</f>
        <v/>
      </c>
      <c r="N1270" s="2" t="str">
        <f aca="false">IF($G1270="","",IF(COUNTIF($G$2:$G$4460,$G1270)&gt;1,"重複",""))</f>
        <v/>
      </c>
    </row>
    <row r="1271" customFormat="false" ht="16.5" hidden="false" customHeight="true" outlineLevel="0" collapsed="false">
      <c r="A1271" s="2" t="s">
        <v>385</v>
      </c>
      <c r="B1271" s="2" t="s">
        <v>410</v>
      </c>
      <c r="C1271" s="2" t="s">
        <v>44</v>
      </c>
      <c r="D1271" s="2" t="str">
        <f aca="false">IF(2キー同時!$B$318="","",2キー同時!$B$318)</f>
        <v/>
      </c>
      <c r="E1271" s="2" t="str">
        <f aca="false">""</f>
        <v/>
      </c>
      <c r="F1271" s="2" t="str">
        <f aca="false">""</f>
        <v/>
      </c>
      <c r="G1271" s="2" t="str">
        <f aca="false">IF(2キー同時!$B$318="","",IF(2キー同時!AU326="","",SUBSTITUTE(SUBSTITUTE(2キー同時!AU326," ",""),"　","")))</f>
        <v/>
      </c>
      <c r="H1271" s="2" t="str">
        <f aca="false">IF($G1271="","",2キー同時!$B$318)</f>
        <v/>
      </c>
      <c r="I1271" s="2" t="str">
        <f aca="false">IF($G1271="","","/")</f>
        <v/>
      </c>
      <c r="J1271" s="2" t="str">
        <f aca="false">""</f>
        <v/>
      </c>
      <c r="K1271" s="2" t="str">
        <f aca="false">""</f>
        <v/>
      </c>
      <c r="L1271" s="2" t="str">
        <f aca="false">IF($G1271="","","同時")</f>
        <v/>
      </c>
      <c r="M1271" s="2" t="str">
        <f aca="false">IF($G1271="","",IF(ISNA(MATCH($G1271,個別指定!$A:$A,0)),"行なし",""))</f>
        <v/>
      </c>
      <c r="N1271" s="2" t="str">
        <f aca="false">IF($G1271="","",IF(COUNTIF($G$2:$G$4460,$G1271)&gt;1,"重複",""))</f>
        <v/>
      </c>
    </row>
    <row r="1272" customFormat="false" ht="16.5" hidden="false" customHeight="true" outlineLevel="0" collapsed="false">
      <c r="A1272" s="2" t="s">
        <v>385</v>
      </c>
      <c r="B1272" s="2" t="s">
        <v>410</v>
      </c>
      <c r="C1272" s="2" t="s">
        <v>48</v>
      </c>
      <c r="D1272" s="2" t="str">
        <f aca="false">IF(2キー同時!$B$318="","",2キー同時!$B$318)</f>
        <v/>
      </c>
      <c r="E1272" s="2" t="str">
        <f aca="false">""</f>
        <v/>
      </c>
      <c r="F1272" s="2" t="str">
        <f aca="false">""</f>
        <v/>
      </c>
      <c r="G1272" s="2" t="str">
        <f aca="false">IF(2キー同時!$B$318="","",IF(2キー同時!P328="","",SUBSTITUTE(SUBSTITUTE(2キー同時!P328," ",""),"　","")))</f>
        <v/>
      </c>
      <c r="H1272" s="2" t="str">
        <f aca="false">IF($G1272="","",2キー同時!$B$318)</f>
        <v/>
      </c>
      <c r="I1272" s="2" t="str">
        <f aca="false">IF($G1272="","","muhenkan")</f>
        <v/>
      </c>
      <c r="J1272" s="2" t="str">
        <f aca="false">""</f>
        <v/>
      </c>
      <c r="K1272" s="2" t="str">
        <f aca="false">""</f>
        <v/>
      </c>
      <c r="L1272" s="2" t="str">
        <f aca="false">IF($G1272="","","同時")</f>
        <v/>
      </c>
      <c r="M1272" s="2" t="str">
        <f aca="false">IF($G1272="","",IF(ISNA(MATCH($G1272,個別指定!$A:$A,0)),"行なし",""))</f>
        <v/>
      </c>
      <c r="N1272" s="2" t="str">
        <f aca="false">IF($G1272="","",IF(COUNTIF($G$2:$G$4460,$G1272)&gt;1,"重複",""))</f>
        <v/>
      </c>
    </row>
    <row r="1273" customFormat="false" ht="16.5" hidden="false" customHeight="true" outlineLevel="0" collapsed="false">
      <c r="A1273" s="2" t="s">
        <v>385</v>
      </c>
      <c r="B1273" s="2" t="s">
        <v>410</v>
      </c>
      <c r="C1273" s="2" t="s">
        <v>50</v>
      </c>
      <c r="D1273" s="2" t="str">
        <f aca="false">IF(2キー同時!$B$318="","",2キー同時!$B$318)</f>
        <v/>
      </c>
      <c r="E1273" s="2" t="str">
        <f aca="false">""</f>
        <v/>
      </c>
      <c r="F1273" s="2" t="str">
        <f aca="false">""</f>
        <v/>
      </c>
      <c r="G1273" s="2" t="str">
        <f aca="false">IF(2キー同時!$B$318="","",IF(2キー同時!T328="","",SUBSTITUTE(SUBSTITUTE(2キー同時!T328," ",""),"　","")))</f>
        <v/>
      </c>
      <c r="H1273" s="2" t="str">
        <f aca="false">IF($G1273="","",2キー同時!$B$318)</f>
        <v/>
      </c>
      <c r="I1273" s="2" t="str">
        <f aca="false">IF($G1273="","","space")</f>
        <v/>
      </c>
      <c r="J1273" s="2" t="str">
        <f aca="false">""</f>
        <v/>
      </c>
      <c r="K1273" s="2" t="str">
        <f aca="false">""</f>
        <v/>
      </c>
      <c r="L1273" s="2" t="str">
        <f aca="false">IF($G1273="","","同時")</f>
        <v/>
      </c>
      <c r="M1273" s="2" t="str">
        <f aca="false">IF($G1273="","",IF(ISNA(MATCH($G1273,個別指定!$A:$A,0)),"行なし",""))</f>
        <v/>
      </c>
      <c r="N1273" s="2" t="str">
        <f aca="false">IF($G1273="","",IF(COUNTIF($G$2:$G$4460,$G1273)&gt;1,"重複",""))</f>
        <v/>
      </c>
    </row>
    <row r="1274" customFormat="false" ht="16.5" hidden="false" customHeight="true" outlineLevel="0" collapsed="false">
      <c r="A1274" s="2" t="s">
        <v>385</v>
      </c>
      <c r="B1274" s="2" t="s">
        <v>410</v>
      </c>
      <c r="C1274" s="2" t="s">
        <v>45</v>
      </c>
      <c r="D1274" s="2" t="str">
        <f aca="false">IF(2キー同時!$B$318="","",2キー同時!$B$318)</f>
        <v/>
      </c>
      <c r="E1274" s="2" t="str">
        <f aca="false">""</f>
        <v/>
      </c>
      <c r="F1274" s="2" t="str">
        <f aca="false">""</f>
        <v/>
      </c>
      <c r="G1274" s="2" t="str">
        <f aca="false">IF(2キー同時!$B$318="","",IF(2キー同時!AL328="","",SUBSTITUTE(SUBSTITUTE(2キー同時!AL328," ",""),"　","")))</f>
        <v/>
      </c>
      <c r="H1274" s="2" t="str">
        <f aca="false">IF($G1274="","",2キー同時!$B$318)</f>
        <v/>
      </c>
      <c r="I1274" s="2" t="str">
        <f aca="false">IF($G1274="","","henkan")</f>
        <v/>
      </c>
      <c r="J1274" s="2" t="str">
        <f aca="false">""</f>
        <v/>
      </c>
      <c r="K1274" s="2" t="str">
        <f aca="false">""</f>
        <v/>
      </c>
      <c r="L1274" s="2" t="str">
        <f aca="false">IF($G1274="","","同時")</f>
        <v/>
      </c>
      <c r="M1274" s="2" t="str">
        <f aca="false">IF($G1274="","",IF(ISNA(MATCH($G1274,個別指定!$A:$A,0)),"行なし",""))</f>
        <v/>
      </c>
      <c r="N1274" s="2" t="str">
        <f aca="false">IF($G1274="","",IF(COUNTIF($G$2:$G$4460,$G1274)&gt;1,"重複",""))</f>
        <v/>
      </c>
    </row>
    <row r="1275" customFormat="false" ht="16.5" hidden="false" customHeight="true" outlineLevel="0" collapsed="false">
      <c r="A1275" s="2" t="s">
        <v>385</v>
      </c>
      <c r="B1275" s="2" t="s">
        <v>410</v>
      </c>
      <c r="C1275" s="2" t="s">
        <v>46</v>
      </c>
      <c r="D1275" s="2" t="str">
        <f aca="false">IF(2キー同時!$B$318="","",2キー同時!$B$318)</f>
        <v/>
      </c>
      <c r="E1275" s="2" t="str">
        <f aca="false">""</f>
        <v/>
      </c>
      <c r="F1275" s="2" t="str">
        <f aca="false">""</f>
        <v/>
      </c>
      <c r="G1275" s="2" t="str">
        <f aca="false">IF(2キー同時!$B$318="","",IF(2キー同時!AP328="","",SUBSTITUTE(SUBSTITUTE(2キー同時!AP328," ",""),"　","")))</f>
        <v/>
      </c>
      <c r="H1275" s="2" t="str">
        <f aca="false">IF($G1275="","",2キー同時!$B$318)</f>
        <v/>
      </c>
      <c r="I1275" s="2" t="str">
        <f aca="false">IF($G1275="","","kana")</f>
        <v/>
      </c>
      <c r="J1275" s="2" t="str">
        <f aca="false">""</f>
        <v/>
      </c>
      <c r="K1275" s="2" t="str">
        <f aca="false">""</f>
        <v/>
      </c>
      <c r="L1275" s="2" t="str">
        <f aca="false">IF($G1275="","","同時")</f>
        <v/>
      </c>
      <c r="M1275" s="2" t="str">
        <f aca="false">IF($G1275="","",IF(ISNA(MATCH($G1275,個別指定!$A:$A,0)),"行なし",""))</f>
        <v/>
      </c>
      <c r="N1275" s="2" t="str">
        <f aca="false">IF($G1275="","",IF(COUNTIF($G$2:$G$4460,$G1275)&gt;1,"重複",""))</f>
        <v/>
      </c>
    </row>
    <row r="1276" customFormat="false" ht="16.5" hidden="false" customHeight="true" outlineLevel="0" collapsed="false">
      <c r="A1276" s="2" t="s">
        <v>385</v>
      </c>
      <c r="B1276" s="2" t="s">
        <v>411</v>
      </c>
      <c r="C1276" s="2" t="s">
        <v>0</v>
      </c>
      <c r="D1276" s="2" t="str">
        <f aca="false">IF(2キー同時!$B$331="","",2キー同時!$B$331)</f>
        <v/>
      </c>
      <c r="E1276" s="2" t="str">
        <f aca="false">""</f>
        <v/>
      </c>
      <c r="F1276" s="2" t="str">
        <f aca="false">""</f>
        <v/>
      </c>
      <c r="G1276" s="2" t="str">
        <f aca="false">IF(2キー同時!$B$331="","",IF(2キー同時!F333="","",SUBSTITUTE(SUBSTITUTE(2キー同時!F333," ",""),"　","")))</f>
        <v/>
      </c>
      <c r="H1276" s="2" t="str">
        <f aca="false">IF($G1276="","",2キー同時!$B$331)</f>
        <v/>
      </c>
      <c r="I1276" s="2" t="str">
        <f aca="false">IF($G1276="","","1")</f>
        <v/>
      </c>
      <c r="J1276" s="2" t="str">
        <f aca="false">""</f>
        <v/>
      </c>
      <c r="K1276" s="2" t="str">
        <f aca="false">""</f>
        <v/>
      </c>
      <c r="L1276" s="2" t="str">
        <f aca="false">IF($G1276="","","同時")</f>
        <v/>
      </c>
      <c r="M1276" s="2" t="str">
        <f aca="false">IF($G1276="","",IF(ISNA(MATCH($G1276,個別指定!$A:$A,0)),"行なし",""))</f>
        <v/>
      </c>
      <c r="N1276" s="2" t="str">
        <f aca="false">IF($G1276="","",IF(COUNTIF($G$2:$G$4460,$G1276)&gt;1,"重複",""))</f>
        <v/>
      </c>
    </row>
    <row r="1277" customFormat="false" ht="16.5" hidden="false" customHeight="true" outlineLevel="0" collapsed="false">
      <c r="A1277" s="2" t="s">
        <v>385</v>
      </c>
      <c r="B1277" s="2" t="s">
        <v>411</v>
      </c>
      <c r="C1277" s="2" t="s">
        <v>1</v>
      </c>
      <c r="D1277" s="2" t="str">
        <f aca="false">IF(2キー同時!$B$331="","",2キー同時!$B$331)</f>
        <v/>
      </c>
      <c r="E1277" s="2" t="str">
        <f aca="false">""</f>
        <v/>
      </c>
      <c r="F1277" s="2" t="str">
        <f aca="false">""</f>
        <v/>
      </c>
      <c r="G1277" s="2" t="str">
        <f aca="false">IF(2キー同時!$B$331="","",IF(2キー同時!J333="","",SUBSTITUTE(SUBSTITUTE(2キー同時!J333," ",""),"　","")))</f>
        <v/>
      </c>
      <c r="H1277" s="2" t="str">
        <f aca="false">IF($G1277="","",2キー同時!$B$331)</f>
        <v/>
      </c>
      <c r="I1277" s="2" t="str">
        <f aca="false">IF($G1277="","","2")</f>
        <v/>
      </c>
      <c r="J1277" s="2" t="str">
        <f aca="false">""</f>
        <v/>
      </c>
      <c r="K1277" s="2" t="str">
        <f aca="false">""</f>
        <v/>
      </c>
      <c r="L1277" s="2" t="str">
        <f aca="false">IF($G1277="","","同時")</f>
        <v/>
      </c>
      <c r="M1277" s="2" t="str">
        <f aca="false">IF($G1277="","",IF(ISNA(MATCH($G1277,個別指定!$A:$A,0)),"行なし",""))</f>
        <v/>
      </c>
      <c r="N1277" s="2" t="str">
        <f aca="false">IF($G1277="","",IF(COUNTIF($G$2:$G$4460,$G1277)&gt;1,"重複",""))</f>
        <v/>
      </c>
    </row>
    <row r="1278" customFormat="false" ht="16.5" hidden="false" customHeight="true" outlineLevel="0" collapsed="false">
      <c r="A1278" s="2" t="s">
        <v>385</v>
      </c>
      <c r="B1278" s="2" t="s">
        <v>411</v>
      </c>
      <c r="C1278" s="2" t="s">
        <v>2</v>
      </c>
      <c r="D1278" s="2" t="str">
        <f aca="false">IF(2キー同時!$B$331="","",2キー同時!$B$331)</f>
        <v/>
      </c>
      <c r="E1278" s="2" t="str">
        <f aca="false">""</f>
        <v/>
      </c>
      <c r="F1278" s="2" t="str">
        <f aca="false">""</f>
        <v/>
      </c>
      <c r="G1278" s="2" t="str">
        <f aca="false">IF(2キー同時!$B$331="","",IF(2キー同時!N333="","",SUBSTITUTE(SUBSTITUTE(2キー同時!N333," ",""),"　","")))</f>
        <v/>
      </c>
      <c r="H1278" s="2" t="str">
        <f aca="false">IF($G1278="","",2キー同時!$B$331)</f>
        <v/>
      </c>
      <c r="I1278" s="2" t="str">
        <f aca="false">IF($G1278="","","3")</f>
        <v/>
      </c>
      <c r="J1278" s="2" t="str">
        <f aca="false">""</f>
        <v/>
      </c>
      <c r="K1278" s="2" t="str">
        <f aca="false">""</f>
        <v/>
      </c>
      <c r="L1278" s="2" t="str">
        <f aca="false">IF($G1278="","","同時")</f>
        <v/>
      </c>
      <c r="M1278" s="2" t="str">
        <f aca="false">IF($G1278="","",IF(ISNA(MATCH($G1278,個別指定!$A:$A,0)),"行なし",""))</f>
        <v/>
      </c>
      <c r="N1278" s="2" t="str">
        <f aca="false">IF($G1278="","",IF(COUNTIF($G$2:$G$4460,$G1278)&gt;1,"重複",""))</f>
        <v/>
      </c>
    </row>
    <row r="1279" customFormat="false" ht="16.5" hidden="false" customHeight="true" outlineLevel="0" collapsed="false">
      <c r="A1279" s="2" t="s">
        <v>385</v>
      </c>
      <c r="B1279" s="2" t="s">
        <v>411</v>
      </c>
      <c r="C1279" s="2" t="s">
        <v>3</v>
      </c>
      <c r="D1279" s="2" t="str">
        <f aca="false">IF(2キー同時!$B$331="","",2キー同時!$B$331)</f>
        <v/>
      </c>
      <c r="E1279" s="2" t="str">
        <f aca="false">""</f>
        <v/>
      </c>
      <c r="F1279" s="2" t="str">
        <f aca="false">""</f>
        <v/>
      </c>
      <c r="G1279" s="2" t="str">
        <f aca="false">IF(2キー同時!$B$331="","",IF(2キー同時!R333="","",SUBSTITUTE(SUBSTITUTE(2キー同時!R333," ",""),"　","")))</f>
        <v/>
      </c>
      <c r="H1279" s="2" t="str">
        <f aca="false">IF($G1279="","",2キー同時!$B$331)</f>
        <v/>
      </c>
      <c r="I1279" s="2" t="str">
        <f aca="false">IF($G1279="","","4")</f>
        <v/>
      </c>
      <c r="J1279" s="2" t="str">
        <f aca="false">""</f>
        <v/>
      </c>
      <c r="K1279" s="2" t="str">
        <f aca="false">""</f>
        <v/>
      </c>
      <c r="L1279" s="2" t="str">
        <f aca="false">IF($G1279="","","同時")</f>
        <v/>
      </c>
      <c r="M1279" s="2" t="str">
        <f aca="false">IF($G1279="","",IF(ISNA(MATCH($G1279,個別指定!$A:$A,0)),"行なし",""))</f>
        <v/>
      </c>
      <c r="N1279" s="2" t="str">
        <f aca="false">IF($G1279="","",IF(COUNTIF($G$2:$G$4460,$G1279)&gt;1,"重複",""))</f>
        <v/>
      </c>
    </row>
    <row r="1280" customFormat="false" ht="16.5" hidden="false" customHeight="true" outlineLevel="0" collapsed="false">
      <c r="A1280" s="2" t="s">
        <v>385</v>
      </c>
      <c r="B1280" s="2" t="s">
        <v>411</v>
      </c>
      <c r="C1280" s="2" t="s">
        <v>4</v>
      </c>
      <c r="D1280" s="2" t="str">
        <f aca="false">IF(2キー同時!$B$331="","",2キー同時!$B$331)</f>
        <v/>
      </c>
      <c r="E1280" s="2" t="str">
        <f aca="false">""</f>
        <v/>
      </c>
      <c r="F1280" s="2" t="str">
        <f aca="false">""</f>
        <v/>
      </c>
      <c r="G1280" s="2" t="str">
        <f aca="false">IF(2キー同時!$B$331="","",IF(2キー同時!V333="","",SUBSTITUTE(SUBSTITUTE(2キー同時!V333," ",""),"　","")))</f>
        <v/>
      </c>
      <c r="H1280" s="2" t="str">
        <f aca="false">IF($G1280="","",2キー同時!$B$331)</f>
        <v/>
      </c>
      <c r="I1280" s="2" t="str">
        <f aca="false">IF($G1280="","","5")</f>
        <v/>
      </c>
      <c r="J1280" s="2" t="str">
        <f aca="false">""</f>
        <v/>
      </c>
      <c r="K1280" s="2" t="str">
        <f aca="false">""</f>
        <v/>
      </c>
      <c r="L1280" s="2" t="str">
        <f aca="false">IF($G1280="","","同時")</f>
        <v/>
      </c>
      <c r="M1280" s="2" t="str">
        <f aca="false">IF($G1280="","",IF(ISNA(MATCH($G1280,個別指定!$A:$A,0)),"行なし",""))</f>
        <v/>
      </c>
      <c r="N1280" s="2" t="str">
        <f aca="false">IF($G1280="","",IF(COUNTIF($G$2:$G$4460,$G1280)&gt;1,"重複",""))</f>
        <v/>
      </c>
    </row>
    <row r="1281" customFormat="false" ht="16.5" hidden="false" customHeight="true" outlineLevel="0" collapsed="false">
      <c r="A1281" s="2" t="s">
        <v>385</v>
      </c>
      <c r="B1281" s="2" t="s">
        <v>411</v>
      </c>
      <c r="C1281" s="2" t="s">
        <v>5</v>
      </c>
      <c r="D1281" s="2" t="str">
        <f aca="false">IF(2キー同時!$B$331="","",2キー同時!$B$331)</f>
        <v/>
      </c>
      <c r="E1281" s="2" t="str">
        <f aca="false">""</f>
        <v/>
      </c>
      <c r="F1281" s="2" t="str">
        <f aca="false">""</f>
        <v/>
      </c>
      <c r="G1281" s="2" t="str">
        <f aca="false">IF(2キー同時!$B$331="","",IF(2キー同時!Z333="","",SUBSTITUTE(SUBSTITUTE(2キー同時!Z333," ",""),"　","")))</f>
        <v/>
      </c>
      <c r="H1281" s="2" t="str">
        <f aca="false">IF($G1281="","",2キー同時!$B$331)</f>
        <v/>
      </c>
      <c r="I1281" s="2" t="str">
        <f aca="false">IF($G1281="","","6")</f>
        <v/>
      </c>
      <c r="J1281" s="2" t="str">
        <f aca="false">""</f>
        <v/>
      </c>
      <c r="K1281" s="2" t="str">
        <f aca="false">""</f>
        <v/>
      </c>
      <c r="L1281" s="2" t="str">
        <f aca="false">IF($G1281="","","同時")</f>
        <v/>
      </c>
      <c r="M1281" s="2" t="str">
        <f aca="false">IF($G1281="","",IF(ISNA(MATCH($G1281,個別指定!$A:$A,0)),"行なし",""))</f>
        <v/>
      </c>
      <c r="N1281" s="2" t="str">
        <f aca="false">IF($G1281="","",IF(COUNTIF($G$2:$G$4460,$G1281)&gt;1,"重複",""))</f>
        <v/>
      </c>
    </row>
    <row r="1282" customFormat="false" ht="16.5" hidden="false" customHeight="true" outlineLevel="0" collapsed="false">
      <c r="A1282" s="2" t="s">
        <v>385</v>
      </c>
      <c r="B1282" s="2" t="s">
        <v>411</v>
      </c>
      <c r="C1282" s="2" t="s">
        <v>6</v>
      </c>
      <c r="D1282" s="2" t="str">
        <f aca="false">IF(2キー同時!$B$331="","",2キー同時!$B$331)</f>
        <v/>
      </c>
      <c r="E1282" s="2" t="str">
        <f aca="false">""</f>
        <v/>
      </c>
      <c r="F1282" s="2" t="str">
        <f aca="false">""</f>
        <v/>
      </c>
      <c r="G1282" s="2" t="str">
        <f aca="false">IF(2キー同時!$B$331="","",IF(2キー同時!AD333="","",SUBSTITUTE(SUBSTITUTE(2キー同時!AD333," ",""),"　","")))</f>
        <v/>
      </c>
      <c r="H1282" s="2" t="str">
        <f aca="false">IF($G1282="","",2キー同時!$B$331)</f>
        <v/>
      </c>
      <c r="I1282" s="2" t="str">
        <f aca="false">IF($G1282="","","7")</f>
        <v/>
      </c>
      <c r="J1282" s="2" t="str">
        <f aca="false">""</f>
        <v/>
      </c>
      <c r="K1282" s="2" t="str">
        <f aca="false">""</f>
        <v/>
      </c>
      <c r="L1282" s="2" t="str">
        <f aca="false">IF($G1282="","","同時")</f>
        <v/>
      </c>
      <c r="M1282" s="2" t="str">
        <f aca="false">IF($G1282="","",IF(ISNA(MATCH($G1282,個別指定!$A:$A,0)),"行なし",""))</f>
        <v/>
      </c>
      <c r="N1282" s="2" t="str">
        <f aca="false">IF($G1282="","",IF(COUNTIF($G$2:$G$4460,$G1282)&gt;1,"重複",""))</f>
        <v/>
      </c>
    </row>
    <row r="1283" customFormat="false" ht="16.5" hidden="false" customHeight="true" outlineLevel="0" collapsed="false">
      <c r="A1283" s="2" t="s">
        <v>385</v>
      </c>
      <c r="B1283" s="2" t="s">
        <v>411</v>
      </c>
      <c r="C1283" s="2" t="s">
        <v>7</v>
      </c>
      <c r="D1283" s="2" t="str">
        <f aca="false">IF(2キー同時!$B$331="","",2キー同時!$B$331)</f>
        <v/>
      </c>
      <c r="E1283" s="2" t="str">
        <f aca="false">""</f>
        <v/>
      </c>
      <c r="F1283" s="2" t="str">
        <f aca="false">""</f>
        <v/>
      </c>
      <c r="G1283" s="2" t="str">
        <f aca="false">IF(2キー同時!$B$331="","",IF(2キー同時!AH333="","",SUBSTITUTE(SUBSTITUTE(2キー同時!AH333," ",""),"　","")))</f>
        <v/>
      </c>
      <c r="H1283" s="2" t="str">
        <f aca="false">IF($G1283="","",2キー同時!$B$331)</f>
        <v/>
      </c>
      <c r="I1283" s="2" t="str">
        <f aca="false">IF($G1283="","","8")</f>
        <v/>
      </c>
      <c r="J1283" s="2" t="str">
        <f aca="false">""</f>
        <v/>
      </c>
      <c r="K1283" s="2" t="str">
        <f aca="false">""</f>
        <v/>
      </c>
      <c r="L1283" s="2" t="str">
        <f aca="false">IF($G1283="","","同時")</f>
        <v/>
      </c>
      <c r="M1283" s="2" t="str">
        <f aca="false">IF($G1283="","",IF(ISNA(MATCH($G1283,個別指定!$A:$A,0)),"行なし",""))</f>
        <v/>
      </c>
      <c r="N1283" s="2" t="str">
        <f aca="false">IF($G1283="","",IF(COUNTIF($G$2:$G$4460,$G1283)&gt;1,"重複",""))</f>
        <v/>
      </c>
    </row>
    <row r="1284" customFormat="false" ht="16.5" hidden="false" customHeight="true" outlineLevel="0" collapsed="false">
      <c r="A1284" s="2" t="s">
        <v>385</v>
      </c>
      <c r="B1284" s="2" t="s">
        <v>411</v>
      </c>
      <c r="C1284" s="2" t="s">
        <v>8</v>
      </c>
      <c r="D1284" s="2" t="str">
        <f aca="false">IF(2キー同時!$B$331="","",2キー同時!$B$331)</f>
        <v/>
      </c>
      <c r="E1284" s="2" t="str">
        <f aca="false">""</f>
        <v/>
      </c>
      <c r="F1284" s="2" t="str">
        <f aca="false">""</f>
        <v/>
      </c>
      <c r="G1284" s="2" t="str">
        <f aca="false">IF(2キー同時!$B$331="","",IF(2キー同時!AL333="","",SUBSTITUTE(SUBSTITUTE(2キー同時!AL333," ",""),"　","")))</f>
        <v/>
      </c>
      <c r="H1284" s="2" t="str">
        <f aca="false">IF($G1284="","",2キー同時!$B$331)</f>
        <v/>
      </c>
      <c r="I1284" s="2" t="str">
        <f aca="false">IF($G1284="","","9")</f>
        <v/>
      </c>
      <c r="J1284" s="2" t="str">
        <f aca="false">""</f>
        <v/>
      </c>
      <c r="K1284" s="2" t="str">
        <f aca="false">""</f>
        <v/>
      </c>
      <c r="L1284" s="2" t="str">
        <f aca="false">IF($G1284="","","同時")</f>
        <v/>
      </c>
      <c r="M1284" s="2" t="str">
        <f aca="false">IF($G1284="","",IF(ISNA(MATCH($G1284,個別指定!$A:$A,0)),"行なし",""))</f>
        <v/>
      </c>
      <c r="N1284" s="2" t="str">
        <f aca="false">IF($G1284="","",IF(COUNTIF($G$2:$G$4460,$G1284)&gt;1,"重複",""))</f>
        <v/>
      </c>
    </row>
    <row r="1285" customFormat="false" ht="16.5" hidden="false" customHeight="true" outlineLevel="0" collapsed="false">
      <c r="A1285" s="2" t="s">
        <v>385</v>
      </c>
      <c r="B1285" s="2" t="s">
        <v>411</v>
      </c>
      <c r="C1285" s="2" t="s">
        <v>9</v>
      </c>
      <c r="D1285" s="2" t="str">
        <f aca="false">IF(2キー同時!$B$331="","",2キー同時!$B$331)</f>
        <v/>
      </c>
      <c r="E1285" s="2" t="str">
        <f aca="false">""</f>
        <v/>
      </c>
      <c r="F1285" s="2" t="str">
        <f aca="false">""</f>
        <v/>
      </c>
      <c r="G1285" s="2" t="str">
        <f aca="false">IF(2キー同時!$B$331="","",IF(2キー同時!AP333="","",SUBSTITUTE(SUBSTITUTE(2キー同時!AP333," ",""),"　","")))</f>
        <v/>
      </c>
      <c r="H1285" s="2" t="str">
        <f aca="false">IF($G1285="","",2キー同時!$B$331)</f>
        <v/>
      </c>
      <c r="I1285" s="2" t="str">
        <f aca="false">IF($G1285="","","0")</f>
        <v/>
      </c>
      <c r="J1285" s="2" t="str">
        <f aca="false">""</f>
        <v/>
      </c>
      <c r="K1285" s="2" t="str">
        <f aca="false">""</f>
        <v/>
      </c>
      <c r="L1285" s="2" t="str">
        <f aca="false">IF($G1285="","","同時")</f>
        <v/>
      </c>
      <c r="M1285" s="2" t="str">
        <f aca="false">IF($G1285="","",IF(ISNA(MATCH($G1285,個別指定!$A:$A,0)),"行なし",""))</f>
        <v/>
      </c>
      <c r="N1285" s="2" t="str">
        <f aca="false">IF($G1285="","",IF(COUNTIF($G$2:$G$4460,$G1285)&gt;1,"重複",""))</f>
        <v/>
      </c>
    </row>
    <row r="1286" customFormat="false" ht="16.5" hidden="false" customHeight="true" outlineLevel="0" collapsed="false">
      <c r="A1286" s="2" t="s">
        <v>385</v>
      </c>
      <c r="B1286" s="2" t="s">
        <v>411</v>
      </c>
      <c r="C1286" s="2" t="s">
        <v>10</v>
      </c>
      <c r="D1286" s="2" t="str">
        <f aca="false">IF(2キー同時!$B$331="","",2キー同時!$B$331)</f>
        <v/>
      </c>
      <c r="E1286" s="2" t="str">
        <f aca="false">""</f>
        <v/>
      </c>
      <c r="F1286" s="2" t="str">
        <f aca="false">""</f>
        <v/>
      </c>
      <c r="G1286" s="2" t="str">
        <f aca="false">IF(2キー同時!$B$331="","",IF(2キー同時!AT333="","",SUBSTITUTE(SUBSTITUTE(2キー同時!AT333," ",""),"　","")))</f>
        <v/>
      </c>
      <c r="H1286" s="2" t="str">
        <f aca="false">IF($G1286="","",2キー同時!$B$331)</f>
        <v/>
      </c>
      <c r="I1286" s="2" t="str">
        <f aca="false">IF($G1286="","","-")</f>
        <v/>
      </c>
      <c r="J1286" s="2" t="str">
        <f aca="false">""</f>
        <v/>
      </c>
      <c r="K1286" s="2" t="str">
        <f aca="false">""</f>
        <v/>
      </c>
      <c r="L1286" s="2" t="str">
        <f aca="false">IF($G1286="","","同時")</f>
        <v/>
      </c>
      <c r="M1286" s="2" t="str">
        <f aca="false">IF($G1286="","",IF(ISNA(MATCH($G1286,個別指定!$A:$A,0)),"行なし",""))</f>
        <v/>
      </c>
      <c r="N1286" s="2" t="str">
        <f aca="false">IF($G1286="","",IF(COUNTIF($G$2:$G$4460,$G1286)&gt;1,"重複",""))</f>
        <v/>
      </c>
    </row>
    <row r="1287" customFormat="false" ht="16.5" hidden="false" customHeight="true" outlineLevel="0" collapsed="false">
      <c r="A1287" s="2" t="s">
        <v>385</v>
      </c>
      <c r="B1287" s="2" t="s">
        <v>411</v>
      </c>
      <c r="C1287" s="2" t="s">
        <v>11</v>
      </c>
      <c r="D1287" s="2" t="str">
        <f aca="false">IF(2キー同時!$B$331="","",2キー同時!$B$331)</f>
        <v/>
      </c>
      <c r="E1287" s="2" t="str">
        <f aca="false">""</f>
        <v/>
      </c>
      <c r="F1287" s="2" t="str">
        <f aca="false">""</f>
        <v/>
      </c>
      <c r="G1287" s="2" t="str">
        <f aca="false">IF(2キー同時!$B$331="","",IF(2キー同時!AX333="","",SUBSTITUTE(SUBSTITUTE(2キー同時!AX333," ",""),"　","")))</f>
        <v/>
      </c>
      <c r="H1287" s="2" t="str">
        <f aca="false">IF($G1287="","",2キー同時!$B$331)</f>
        <v/>
      </c>
      <c r="I1287" s="2" t="str">
        <f aca="false">IF($G1287="","","=")</f>
        <v/>
      </c>
      <c r="J1287" s="2" t="str">
        <f aca="false">""</f>
        <v/>
      </c>
      <c r="K1287" s="2" t="str">
        <f aca="false">""</f>
        <v/>
      </c>
      <c r="L1287" s="2" t="str">
        <f aca="false">IF($G1287="","","同時")</f>
        <v/>
      </c>
      <c r="M1287" s="2" t="str">
        <f aca="false">IF($G1287="","",IF(ISNA(MATCH($G1287,個別指定!$A:$A,0)),"行なし",""))</f>
        <v/>
      </c>
      <c r="N1287" s="2" t="str">
        <f aca="false">IF($G1287="","",IF(COUNTIF($G$2:$G$4460,$G1287)&gt;1,"重複",""))</f>
        <v/>
      </c>
    </row>
    <row r="1288" customFormat="false" ht="16.5" hidden="false" customHeight="true" outlineLevel="0" collapsed="false">
      <c r="A1288" s="2" t="s">
        <v>385</v>
      </c>
      <c r="B1288" s="2" t="s">
        <v>411</v>
      </c>
      <c r="C1288" s="2" t="s">
        <v>12</v>
      </c>
      <c r="D1288" s="2" t="str">
        <f aca="false">IF(2キー同時!$B$331="","",2キー同時!$B$331)</f>
        <v/>
      </c>
      <c r="E1288" s="2" t="str">
        <f aca="false">""</f>
        <v/>
      </c>
      <c r="F1288" s="2" t="str">
        <f aca="false">""</f>
        <v/>
      </c>
      <c r="G1288" s="2" t="str">
        <f aca="false">IF(2キー同時!$B$331="","",IF(2キー同時!H335="","",SUBSTITUTE(SUBSTITUTE(2キー同時!H335," ",""),"　","")))</f>
        <v/>
      </c>
      <c r="H1288" s="2" t="str">
        <f aca="false">IF($G1288="","",2キー同時!$B$331)</f>
        <v/>
      </c>
      <c r="I1288" s="2" t="str">
        <f aca="false">IF($G1288="","","q")</f>
        <v/>
      </c>
      <c r="J1288" s="2" t="str">
        <f aca="false">""</f>
        <v/>
      </c>
      <c r="K1288" s="2" t="str">
        <f aca="false">""</f>
        <v/>
      </c>
      <c r="L1288" s="2" t="str">
        <f aca="false">IF($G1288="","","同時")</f>
        <v/>
      </c>
      <c r="M1288" s="2" t="str">
        <f aca="false">IF($G1288="","",IF(ISNA(MATCH($G1288,個別指定!$A:$A,0)),"行なし",""))</f>
        <v/>
      </c>
      <c r="N1288" s="2" t="str">
        <f aca="false">IF($G1288="","",IF(COUNTIF($G$2:$G$4460,$G1288)&gt;1,"重複",""))</f>
        <v/>
      </c>
    </row>
    <row r="1289" customFormat="false" ht="16.5" hidden="false" customHeight="true" outlineLevel="0" collapsed="false">
      <c r="A1289" s="2" t="s">
        <v>385</v>
      </c>
      <c r="B1289" s="2" t="s">
        <v>411</v>
      </c>
      <c r="C1289" s="2" t="s">
        <v>13</v>
      </c>
      <c r="D1289" s="2" t="str">
        <f aca="false">IF(2キー同時!$B$331="","",2キー同時!$B$331)</f>
        <v/>
      </c>
      <c r="E1289" s="2" t="str">
        <f aca="false">""</f>
        <v/>
      </c>
      <c r="F1289" s="2" t="str">
        <f aca="false">""</f>
        <v/>
      </c>
      <c r="G1289" s="2" t="str">
        <f aca="false">IF(2キー同時!$B$331="","",IF(2キー同時!L335="","",SUBSTITUTE(SUBSTITUTE(2キー同時!L335," ",""),"　","")))</f>
        <v/>
      </c>
      <c r="H1289" s="2" t="str">
        <f aca="false">IF($G1289="","",2キー同時!$B$331)</f>
        <v/>
      </c>
      <c r="I1289" s="2" t="str">
        <f aca="false">IF($G1289="","","w")</f>
        <v/>
      </c>
      <c r="J1289" s="2" t="str">
        <f aca="false">""</f>
        <v/>
      </c>
      <c r="K1289" s="2" t="str">
        <f aca="false">""</f>
        <v/>
      </c>
      <c r="L1289" s="2" t="str">
        <f aca="false">IF($G1289="","","同時")</f>
        <v/>
      </c>
      <c r="M1289" s="2" t="str">
        <f aca="false">IF($G1289="","",IF(ISNA(MATCH($G1289,個別指定!$A:$A,0)),"行なし",""))</f>
        <v/>
      </c>
      <c r="N1289" s="2" t="str">
        <f aca="false">IF($G1289="","",IF(COUNTIF($G$2:$G$4460,$G1289)&gt;1,"重複",""))</f>
        <v/>
      </c>
    </row>
    <row r="1290" customFormat="false" ht="16.5" hidden="false" customHeight="true" outlineLevel="0" collapsed="false">
      <c r="A1290" s="2" t="s">
        <v>385</v>
      </c>
      <c r="B1290" s="2" t="s">
        <v>411</v>
      </c>
      <c r="C1290" s="2" t="s">
        <v>14</v>
      </c>
      <c r="D1290" s="2" t="str">
        <f aca="false">IF(2キー同時!$B$331="","",2キー同時!$B$331)</f>
        <v/>
      </c>
      <c r="E1290" s="2" t="str">
        <f aca="false">""</f>
        <v/>
      </c>
      <c r="F1290" s="2" t="str">
        <f aca="false">""</f>
        <v/>
      </c>
      <c r="G1290" s="2" t="str">
        <f aca="false">IF(2キー同時!$B$331="","",IF(2キー同時!P335="","",SUBSTITUTE(SUBSTITUTE(2キー同時!P335," ",""),"　","")))</f>
        <v/>
      </c>
      <c r="H1290" s="2" t="str">
        <f aca="false">IF($G1290="","",2キー同時!$B$331)</f>
        <v/>
      </c>
      <c r="I1290" s="2" t="str">
        <f aca="false">IF($G1290="","","e")</f>
        <v/>
      </c>
      <c r="J1290" s="2" t="str">
        <f aca="false">""</f>
        <v/>
      </c>
      <c r="K1290" s="2" t="str">
        <f aca="false">""</f>
        <v/>
      </c>
      <c r="L1290" s="2" t="str">
        <f aca="false">IF($G1290="","","同時")</f>
        <v/>
      </c>
      <c r="M1290" s="2" t="str">
        <f aca="false">IF($G1290="","",IF(ISNA(MATCH($G1290,個別指定!$A:$A,0)),"行なし",""))</f>
        <v/>
      </c>
      <c r="N1290" s="2" t="str">
        <f aca="false">IF($G1290="","",IF(COUNTIF($G$2:$G$4460,$G1290)&gt;1,"重複",""))</f>
        <v/>
      </c>
    </row>
    <row r="1291" customFormat="false" ht="16.5" hidden="false" customHeight="true" outlineLevel="0" collapsed="false">
      <c r="A1291" s="2" t="s">
        <v>385</v>
      </c>
      <c r="B1291" s="2" t="s">
        <v>411</v>
      </c>
      <c r="C1291" s="2" t="s">
        <v>15</v>
      </c>
      <c r="D1291" s="2" t="str">
        <f aca="false">IF(2キー同時!$B$331="","",2キー同時!$B$331)</f>
        <v/>
      </c>
      <c r="E1291" s="2" t="str">
        <f aca="false">""</f>
        <v/>
      </c>
      <c r="F1291" s="2" t="str">
        <f aca="false">""</f>
        <v/>
      </c>
      <c r="G1291" s="2" t="str">
        <f aca="false">IF(2キー同時!$B$331="","",IF(2キー同時!T335="","",SUBSTITUTE(SUBSTITUTE(2キー同時!T335," ",""),"　","")))</f>
        <v/>
      </c>
      <c r="H1291" s="2" t="str">
        <f aca="false">IF($G1291="","",2キー同時!$B$331)</f>
        <v/>
      </c>
      <c r="I1291" s="2" t="str">
        <f aca="false">IF($G1291="","","r")</f>
        <v/>
      </c>
      <c r="J1291" s="2" t="str">
        <f aca="false">""</f>
        <v/>
      </c>
      <c r="K1291" s="2" t="str">
        <f aca="false">""</f>
        <v/>
      </c>
      <c r="L1291" s="2" t="str">
        <f aca="false">IF($G1291="","","同時")</f>
        <v/>
      </c>
      <c r="M1291" s="2" t="str">
        <f aca="false">IF($G1291="","",IF(ISNA(MATCH($G1291,個別指定!$A:$A,0)),"行なし",""))</f>
        <v/>
      </c>
      <c r="N1291" s="2" t="str">
        <f aca="false">IF($G1291="","",IF(COUNTIF($G$2:$G$4460,$G1291)&gt;1,"重複",""))</f>
        <v/>
      </c>
    </row>
    <row r="1292" customFormat="false" ht="16.5" hidden="false" customHeight="true" outlineLevel="0" collapsed="false">
      <c r="A1292" s="2" t="s">
        <v>385</v>
      </c>
      <c r="B1292" s="2" t="s">
        <v>411</v>
      </c>
      <c r="C1292" s="2" t="s">
        <v>16</v>
      </c>
      <c r="D1292" s="2" t="str">
        <f aca="false">IF(2キー同時!$B$331="","",2キー同時!$B$331)</f>
        <v/>
      </c>
      <c r="E1292" s="2" t="str">
        <f aca="false">""</f>
        <v/>
      </c>
      <c r="F1292" s="2" t="str">
        <f aca="false">""</f>
        <v/>
      </c>
      <c r="G1292" s="2" t="str">
        <f aca="false">IF(2キー同時!$B$331="","",IF(2キー同時!X335="","",SUBSTITUTE(SUBSTITUTE(2キー同時!X335," ",""),"　","")))</f>
        <v/>
      </c>
      <c r="H1292" s="2" t="str">
        <f aca="false">IF($G1292="","",2キー同時!$B$331)</f>
        <v/>
      </c>
      <c r="I1292" s="2" t="str">
        <f aca="false">IF($G1292="","","t")</f>
        <v/>
      </c>
      <c r="J1292" s="2" t="str">
        <f aca="false">""</f>
        <v/>
      </c>
      <c r="K1292" s="2" t="str">
        <f aca="false">""</f>
        <v/>
      </c>
      <c r="L1292" s="2" t="str">
        <f aca="false">IF($G1292="","","同時")</f>
        <v/>
      </c>
      <c r="M1292" s="2" t="str">
        <f aca="false">IF($G1292="","",IF(ISNA(MATCH($G1292,個別指定!$A:$A,0)),"行なし",""))</f>
        <v/>
      </c>
      <c r="N1292" s="2" t="str">
        <f aca="false">IF($G1292="","",IF(COUNTIF($G$2:$G$4460,$G1292)&gt;1,"重複",""))</f>
        <v/>
      </c>
    </row>
    <row r="1293" customFormat="false" ht="16.5" hidden="false" customHeight="true" outlineLevel="0" collapsed="false">
      <c r="A1293" s="2" t="s">
        <v>385</v>
      </c>
      <c r="B1293" s="2" t="s">
        <v>411</v>
      </c>
      <c r="C1293" s="2" t="s">
        <v>17</v>
      </c>
      <c r="D1293" s="2" t="str">
        <f aca="false">IF(2キー同時!$B$331="","",2キー同時!$B$331)</f>
        <v/>
      </c>
      <c r="E1293" s="2" t="str">
        <f aca="false">""</f>
        <v/>
      </c>
      <c r="F1293" s="2" t="str">
        <f aca="false">""</f>
        <v/>
      </c>
      <c r="G1293" s="2" t="str">
        <f aca="false">IF(2キー同時!$B$331="","",IF(2キー同時!AB335="","",SUBSTITUTE(SUBSTITUTE(2キー同時!AB335," ",""),"　","")))</f>
        <v/>
      </c>
      <c r="H1293" s="2" t="str">
        <f aca="false">IF($G1293="","",2キー同時!$B$331)</f>
        <v/>
      </c>
      <c r="I1293" s="2" t="str">
        <f aca="false">IF($G1293="","","y")</f>
        <v/>
      </c>
      <c r="J1293" s="2" t="str">
        <f aca="false">""</f>
        <v/>
      </c>
      <c r="K1293" s="2" t="str">
        <f aca="false">""</f>
        <v/>
      </c>
      <c r="L1293" s="2" t="str">
        <f aca="false">IF($G1293="","","同時")</f>
        <v/>
      </c>
      <c r="M1293" s="2" t="str">
        <f aca="false">IF($G1293="","",IF(ISNA(MATCH($G1293,個別指定!$A:$A,0)),"行なし",""))</f>
        <v/>
      </c>
      <c r="N1293" s="2" t="str">
        <f aca="false">IF($G1293="","",IF(COUNTIF($G$2:$G$4460,$G1293)&gt;1,"重複",""))</f>
        <v/>
      </c>
    </row>
    <row r="1294" customFormat="false" ht="16.5" hidden="false" customHeight="true" outlineLevel="0" collapsed="false">
      <c r="A1294" s="2" t="s">
        <v>385</v>
      </c>
      <c r="B1294" s="2" t="s">
        <v>411</v>
      </c>
      <c r="C1294" s="2" t="s">
        <v>18</v>
      </c>
      <c r="D1294" s="2" t="str">
        <f aca="false">IF(2キー同時!$B$331="","",2キー同時!$B$331)</f>
        <v/>
      </c>
      <c r="E1294" s="2" t="str">
        <f aca="false">""</f>
        <v/>
      </c>
      <c r="F1294" s="2" t="str">
        <f aca="false">""</f>
        <v/>
      </c>
      <c r="G1294" s="2" t="str">
        <f aca="false">IF(2キー同時!$B$331="","",IF(2キー同時!AF335="","",SUBSTITUTE(SUBSTITUTE(2キー同時!AF335," ",""),"　","")))</f>
        <v/>
      </c>
      <c r="H1294" s="2" t="str">
        <f aca="false">IF($G1294="","",2キー同時!$B$331)</f>
        <v/>
      </c>
      <c r="I1294" s="2" t="str">
        <f aca="false">IF($G1294="","","u")</f>
        <v/>
      </c>
      <c r="J1294" s="2" t="str">
        <f aca="false">""</f>
        <v/>
      </c>
      <c r="K1294" s="2" t="str">
        <f aca="false">""</f>
        <v/>
      </c>
      <c r="L1294" s="2" t="str">
        <f aca="false">IF($G1294="","","同時")</f>
        <v/>
      </c>
      <c r="M1294" s="2" t="str">
        <f aca="false">IF($G1294="","",IF(ISNA(MATCH($G1294,個別指定!$A:$A,0)),"行なし",""))</f>
        <v/>
      </c>
      <c r="N1294" s="2" t="str">
        <f aca="false">IF($G1294="","",IF(COUNTIF($G$2:$G$4460,$G1294)&gt;1,"重複",""))</f>
        <v/>
      </c>
    </row>
    <row r="1295" customFormat="false" ht="16.5" hidden="false" customHeight="true" outlineLevel="0" collapsed="false">
      <c r="A1295" s="2" t="s">
        <v>385</v>
      </c>
      <c r="B1295" s="2" t="s">
        <v>411</v>
      </c>
      <c r="C1295" s="2" t="s">
        <v>19</v>
      </c>
      <c r="D1295" s="2" t="str">
        <f aca="false">IF(2キー同時!$B$331="","",2キー同時!$B$331)</f>
        <v/>
      </c>
      <c r="E1295" s="2" t="str">
        <f aca="false">""</f>
        <v/>
      </c>
      <c r="F1295" s="2" t="str">
        <f aca="false">""</f>
        <v/>
      </c>
      <c r="G1295" s="2" t="str">
        <f aca="false">IF(2キー同時!$B$331="","",IF(2キー同時!AJ335="","",SUBSTITUTE(SUBSTITUTE(2キー同時!AJ335," ",""),"　","")))</f>
        <v/>
      </c>
      <c r="H1295" s="2" t="str">
        <f aca="false">IF($G1295="","",2キー同時!$B$331)</f>
        <v/>
      </c>
      <c r="I1295" s="2" t="str">
        <f aca="false">IF($G1295="","","i")</f>
        <v/>
      </c>
      <c r="J1295" s="2" t="str">
        <f aca="false">""</f>
        <v/>
      </c>
      <c r="K1295" s="2" t="str">
        <f aca="false">""</f>
        <v/>
      </c>
      <c r="L1295" s="2" t="str">
        <f aca="false">IF($G1295="","","同時")</f>
        <v/>
      </c>
      <c r="M1295" s="2" t="str">
        <f aca="false">IF($G1295="","",IF(ISNA(MATCH($G1295,個別指定!$A:$A,0)),"行なし",""))</f>
        <v/>
      </c>
      <c r="N1295" s="2" t="str">
        <f aca="false">IF($G1295="","",IF(COUNTIF($G$2:$G$4460,$G1295)&gt;1,"重複",""))</f>
        <v/>
      </c>
    </row>
    <row r="1296" customFormat="false" ht="16.5" hidden="false" customHeight="true" outlineLevel="0" collapsed="false">
      <c r="A1296" s="2" t="s">
        <v>385</v>
      </c>
      <c r="B1296" s="2" t="s">
        <v>411</v>
      </c>
      <c r="C1296" s="2" t="s">
        <v>20</v>
      </c>
      <c r="D1296" s="2" t="str">
        <f aca="false">IF(2キー同時!$B$331="","",2キー同時!$B$331)</f>
        <v/>
      </c>
      <c r="E1296" s="2" t="str">
        <f aca="false">""</f>
        <v/>
      </c>
      <c r="F1296" s="2" t="str">
        <f aca="false">""</f>
        <v/>
      </c>
      <c r="G1296" s="2" t="str">
        <f aca="false">IF(2キー同時!$B$331="","",IF(2キー同時!AN335="","",SUBSTITUTE(SUBSTITUTE(2キー同時!AN335," ",""),"　","")))</f>
        <v/>
      </c>
      <c r="H1296" s="2" t="str">
        <f aca="false">IF($G1296="","",2キー同時!$B$331)</f>
        <v/>
      </c>
      <c r="I1296" s="2" t="str">
        <f aca="false">IF($G1296="","","o")</f>
        <v/>
      </c>
      <c r="J1296" s="2" t="str">
        <f aca="false">""</f>
        <v/>
      </c>
      <c r="K1296" s="2" t="str">
        <f aca="false">""</f>
        <v/>
      </c>
      <c r="L1296" s="2" t="str">
        <f aca="false">IF($G1296="","","同時")</f>
        <v/>
      </c>
      <c r="M1296" s="2" t="str">
        <f aca="false">IF($G1296="","",IF(ISNA(MATCH($G1296,個別指定!$A:$A,0)),"行なし",""))</f>
        <v/>
      </c>
      <c r="N1296" s="2" t="str">
        <f aca="false">IF($G1296="","",IF(COUNTIF($G$2:$G$4460,$G1296)&gt;1,"重複",""))</f>
        <v/>
      </c>
    </row>
    <row r="1297" customFormat="false" ht="16.5" hidden="false" customHeight="true" outlineLevel="0" collapsed="false">
      <c r="A1297" s="2" t="s">
        <v>385</v>
      </c>
      <c r="B1297" s="2" t="s">
        <v>411</v>
      </c>
      <c r="C1297" s="2" t="s">
        <v>21</v>
      </c>
      <c r="D1297" s="2" t="str">
        <f aca="false">IF(2キー同時!$B$331="","",2キー同時!$B$331)</f>
        <v/>
      </c>
      <c r="E1297" s="2" t="str">
        <f aca="false">""</f>
        <v/>
      </c>
      <c r="F1297" s="2" t="str">
        <f aca="false">""</f>
        <v/>
      </c>
      <c r="G1297" s="2" t="str">
        <f aca="false">IF(2キー同時!$B$331="","",IF(2キー同時!AR335="","",SUBSTITUTE(SUBSTITUTE(2キー同時!AR335," ",""),"　","")))</f>
        <v/>
      </c>
      <c r="H1297" s="2" t="str">
        <f aca="false">IF($G1297="","",2キー同時!$B$331)</f>
        <v/>
      </c>
      <c r="I1297" s="2" t="str">
        <f aca="false">IF($G1297="","","p")</f>
        <v/>
      </c>
      <c r="J1297" s="2" t="str">
        <f aca="false">""</f>
        <v/>
      </c>
      <c r="K1297" s="2" t="str">
        <f aca="false">""</f>
        <v/>
      </c>
      <c r="L1297" s="2" t="str">
        <f aca="false">IF($G1297="","","同時")</f>
        <v/>
      </c>
      <c r="M1297" s="2" t="str">
        <f aca="false">IF($G1297="","",IF(ISNA(MATCH($G1297,個別指定!$A:$A,0)),"行なし",""))</f>
        <v/>
      </c>
      <c r="N1297" s="2" t="str">
        <f aca="false">IF($G1297="","",IF(COUNTIF($G$2:$G$4460,$G1297)&gt;1,"重複",""))</f>
        <v/>
      </c>
    </row>
    <row r="1298" customFormat="false" ht="16.5" hidden="false" customHeight="true" outlineLevel="0" collapsed="false">
      <c r="A1298" s="2" t="s">
        <v>385</v>
      </c>
      <c r="B1298" s="2" t="s">
        <v>411</v>
      </c>
      <c r="C1298" s="2" t="s">
        <v>22</v>
      </c>
      <c r="D1298" s="2" t="str">
        <f aca="false">IF(2キー同時!$B$331="","",2キー同時!$B$331)</f>
        <v/>
      </c>
      <c r="E1298" s="2" t="str">
        <f aca="false">""</f>
        <v/>
      </c>
      <c r="F1298" s="2" t="str">
        <f aca="false">""</f>
        <v/>
      </c>
      <c r="G1298" s="2" t="str">
        <f aca="false">IF(2キー同時!$B$331="","",IF(2キー同時!AV335="","",SUBSTITUTE(SUBSTITUTE(2キー同時!AV335," ",""),"　","")))</f>
        <v/>
      </c>
      <c r="H1298" s="2" t="str">
        <f aca="false">IF($G1298="","",2キー同時!$B$331)</f>
        <v/>
      </c>
      <c r="I1298" s="2" t="str">
        <f aca="false">IF($G1298="","","[")</f>
        <v/>
      </c>
      <c r="J1298" s="2" t="str">
        <f aca="false">""</f>
        <v/>
      </c>
      <c r="K1298" s="2" t="str">
        <f aca="false">""</f>
        <v/>
      </c>
      <c r="L1298" s="2" t="str">
        <f aca="false">IF($G1298="","","同時")</f>
        <v/>
      </c>
      <c r="M1298" s="2" t="str">
        <f aca="false">IF($G1298="","",IF(ISNA(MATCH($G1298,個別指定!$A:$A,0)),"行なし",""))</f>
        <v/>
      </c>
      <c r="N1298" s="2" t="str">
        <f aca="false">IF($G1298="","",IF(COUNTIF($G$2:$G$4460,$G1298)&gt;1,"重複",""))</f>
        <v/>
      </c>
    </row>
    <row r="1299" customFormat="false" ht="16.5" hidden="false" customHeight="true" outlineLevel="0" collapsed="false">
      <c r="A1299" s="2" t="s">
        <v>385</v>
      </c>
      <c r="B1299" s="2" t="s">
        <v>411</v>
      </c>
      <c r="C1299" s="2" t="s">
        <v>23</v>
      </c>
      <c r="D1299" s="2" t="str">
        <f aca="false">IF(2キー同時!$B$331="","",2キー同時!$B$331)</f>
        <v/>
      </c>
      <c r="E1299" s="2" t="str">
        <f aca="false">""</f>
        <v/>
      </c>
      <c r="F1299" s="2" t="str">
        <f aca="false">""</f>
        <v/>
      </c>
      <c r="G1299" s="2" t="str">
        <f aca="false">IF(2キー同時!$B$331="","",IF(2キー同時!AZ335="","",SUBSTITUTE(SUBSTITUTE(2キー同時!AZ335," ",""),"　","")))</f>
        <v/>
      </c>
      <c r="H1299" s="2" t="str">
        <f aca="false">IF($G1299="","",2キー同時!$B$331)</f>
        <v/>
      </c>
      <c r="I1299" s="2" t="str">
        <f aca="false">IF($G1299="","","]")</f>
        <v/>
      </c>
      <c r="J1299" s="2" t="str">
        <f aca="false">""</f>
        <v/>
      </c>
      <c r="K1299" s="2" t="str">
        <f aca="false">""</f>
        <v/>
      </c>
      <c r="L1299" s="2" t="str">
        <f aca="false">IF($G1299="","","同時")</f>
        <v/>
      </c>
      <c r="M1299" s="2" t="str">
        <f aca="false">IF($G1299="","",IF(ISNA(MATCH($G1299,個別指定!$A:$A,0)),"行なし",""))</f>
        <v/>
      </c>
      <c r="N1299" s="2" t="str">
        <f aca="false">IF($G1299="","",IF(COUNTIF($G$2:$G$4460,$G1299)&gt;1,"重複",""))</f>
        <v/>
      </c>
    </row>
    <row r="1300" customFormat="false" ht="16.5" hidden="false" customHeight="true" outlineLevel="0" collapsed="false">
      <c r="A1300" s="2" t="s">
        <v>385</v>
      </c>
      <c r="B1300" s="2" t="s">
        <v>411</v>
      </c>
      <c r="C1300" s="2" t="s">
        <v>24</v>
      </c>
      <c r="D1300" s="2" t="str">
        <f aca="false">IF(2キー同時!$B$331="","",2キー同時!$B$331)</f>
        <v/>
      </c>
      <c r="E1300" s="2" t="str">
        <f aca="false">""</f>
        <v/>
      </c>
      <c r="F1300" s="2" t="str">
        <f aca="false">""</f>
        <v/>
      </c>
      <c r="G1300" s="2" t="str">
        <f aca="false">IF(2キー同時!$B$331="","",IF(2キー同時!I337="","",SUBSTITUTE(SUBSTITUTE(2キー同時!I337," ",""),"　","")))</f>
        <v/>
      </c>
      <c r="H1300" s="2" t="str">
        <f aca="false">IF($G1300="","",2キー同時!$B$331)</f>
        <v/>
      </c>
      <c r="I1300" s="2" t="str">
        <f aca="false">IF($G1300="","","a")</f>
        <v/>
      </c>
      <c r="J1300" s="2" t="str">
        <f aca="false">""</f>
        <v/>
      </c>
      <c r="K1300" s="2" t="str">
        <f aca="false">""</f>
        <v/>
      </c>
      <c r="L1300" s="2" t="str">
        <f aca="false">IF($G1300="","","同時")</f>
        <v/>
      </c>
      <c r="M1300" s="2" t="str">
        <f aca="false">IF($G1300="","",IF(ISNA(MATCH($G1300,個別指定!$A:$A,0)),"行なし",""))</f>
        <v/>
      </c>
      <c r="N1300" s="2" t="str">
        <f aca="false">IF($G1300="","",IF(COUNTIF($G$2:$G$4460,$G1300)&gt;1,"重複",""))</f>
        <v/>
      </c>
    </row>
    <row r="1301" customFormat="false" ht="16.5" hidden="false" customHeight="true" outlineLevel="0" collapsed="false">
      <c r="A1301" s="2" t="s">
        <v>385</v>
      </c>
      <c r="B1301" s="2" t="s">
        <v>411</v>
      </c>
      <c r="C1301" s="2" t="s">
        <v>25</v>
      </c>
      <c r="D1301" s="2" t="str">
        <f aca="false">IF(2キー同時!$B$331="","",2キー同時!$B$331)</f>
        <v/>
      </c>
      <c r="E1301" s="2" t="str">
        <f aca="false">""</f>
        <v/>
      </c>
      <c r="F1301" s="2" t="str">
        <f aca="false">""</f>
        <v/>
      </c>
      <c r="G1301" s="2" t="str">
        <f aca="false">IF(2キー同時!$B$331="","",IF(2キー同時!M337="","",SUBSTITUTE(SUBSTITUTE(2キー同時!M337," ",""),"　","")))</f>
        <v/>
      </c>
      <c r="H1301" s="2" t="str">
        <f aca="false">IF($G1301="","",2キー同時!$B$331)</f>
        <v/>
      </c>
      <c r="I1301" s="2" t="str">
        <f aca="false">IF($G1301="","","s")</f>
        <v/>
      </c>
      <c r="J1301" s="2" t="str">
        <f aca="false">""</f>
        <v/>
      </c>
      <c r="K1301" s="2" t="str">
        <f aca="false">""</f>
        <v/>
      </c>
      <c r="L1301" s="2" t="str">
        <f aca="false">IF($G1301="","","同時")</f>
        <v/>
      </c>
      <c r="M1301" s="2" t="str">
        <f aca="false">IF($G1301="","",IF(ISNA(MATCH($G1301,個別指定!$A:$A,0)),"行なし",""))</f>
        <v/>
      </c>
      <c r="N1301" s="2" t="str">
        <f aca="false">IF($G1301="","",IF(COUNTIF($G$2:$G$4460,$G1301)&gt;1,"重複",""))</f>
        <v/>
      </c>
    </row>
    <row r="1302" customFormat="false" ht="16.5" hidden="false" customHeight="true" outlineLevel="0" collapsed="false">
      <c r="A1302" s="2" t="s">
        <v>385</v>
      </c>
      <c r="B1302" s="2" t="s">
        <v>411</v>
      </c>
      <c r="C1302" s="2" t="s">
        <v>26</v>
      </c>
      <c r="D1302" s="2" t="str">
        <f aca="false">IF(2キー同時!$B$331="","",2キー同時!$B$331)</f>
        <v/>
      </c>
      <c r="E1302" s="2" t="str">
        <f aca="false">""</f>
        <v/>
      </c>
      <c r="F1302" s="2" t="str">
        <f aca="false">""</f>
        <v/>
      </c>
      <c r="G1302" s="2" t="str">
        <f aca="false">IF(2キー同時!$B$331="","",IF(2キー同時!Q337="","",SUBSTITUTE(SUBSTITUTE(2キー同時!Q337," ",""),"　","")))</f>
        <v/>
      </c>
      <c r="H1302" s="2" t="str">
        <f aca="false">IF($G1302="","",2キー同時!$B$331)</f>
        <v/>
      </c>
      <c r="I1302" s="2" t="str">
        <f aca="false">IF($G1302="","","d")</f>
        <v/>
      </c>
      <c r="J1302" s="2" t="str">
        <f aca="false">""</f>
        <v/>
      </c>
      <c r="K1302" s="2" t="str">
        <f aca="false">""</f>
        <v/>
      </c>
      <c r="L1302" s="2" t="str">
        <f aca="false">IF($G1302="","","同時")</f>
        <v/>
      </c>
      <c r="M1302" s="2" t="str">
        <f aca="false">IF($G1302="","",IF(ISNA(MATCH($G1302,個別指定!$A:$A,0)),"行なし",""))</f>
        <v/>
      </c>
      <c r="N1302" s="2" t="str">
        <f aca="false">IF($G1302="","",IF(COUNTIF($G$2:$G$4460,$G1302)&gt;1,"重複",""))</f>
        <v/>
      </c>
    </row>
    <row r="1303" customFormat="false" ht="16.5" hidden="false" customHeight="true" outlineLevel="0" collapsed="false">
      <c r="A1303" s="2" t="s">
        <v>385</v>
      </c>
      <c r="B1303" s="2" t="s">
        <v>411</v>
      </c>
      <c r="C1303" s="2" t="s">
        <v>27</v>
      </c>
      <c r="D1303" s="2" t="str">
        <f aca="false">IF(2キー同時!$B$331="","",2キー同時!$B$331)</f>
        <v/>
      </c>
      <c r="E1303" s="2" t="str">
        <f aca="false">""</f>
        <v/>
      </c>
      <c r="F1303" s="2" t="str">
        <f aca="false">""</f>
        <v/>
      </c>
      <c r="G1303" s="2" t="str">
        <f aca="false">IF(2キー同時!$B$331="","",IF(2キー同時!U337="","",SUBSTITUTE(SUBSTITUTE(2キー同時!U337," ",""),"　","")))</f>
        <v/>
      </c>
      <c r="H1303" s="2" t="str">
        <f aca="false">IF($G1303="","",2キー同時!$B$331)</f>
        <v/>
      </c>
      <c r="I1303" s="2" t="str">
        <f aca="false">IF($G1303="","","f")</f>
        <v/>
      </c>
      <c r="J1303" s="2" t="str">
        <f aca="false">""</f>
        <v/>
      </c>
      <c r="K1303" s="2" t="str">
        <f aca="false">""</f>
        <v/>
      </c>
      <c r="L1303" s="2" t="str">
        <f aca="false">IF($G1303="","","同時")</f>
        <v/>
      </c>
      <c r="M1303" s="2" t="str">
        <f aca="false">IF($G1303="","",IF(ISNA(MATCH($G1303,個別指定!$A:$A,0)),"行なし",""))</f>
        <v/>
      </c>
      <c r="N1303" s="2" t="str">
        <f aca="false">IF($G1303="","",IF(COUNTIF($G$2:$G$4460,$G1303)&gt;1,"重複",""))</f>
        <v/>
      </c>
    </row>
    <row r="1304" customFormat="false" ht="16.5" hidden="false" customHeight="true" outlineLevel="0" collapsed="false">
      <c r="A1304" s="2" t="s">
        <v>385</v>
      </c>
      <c r="B1304" s="2" t="s">
        <v>411</v>
      </c>
      <c r="C1304" s="2" t="s">
        <v>28</v>
      </c>
      <c r="D1304" s="2" t="str">
        <f aca="false">IF(2キー同時!$B$331="","",2キー同時!$B$331)</f>
        <v/>
      </c>
      <c r="E1304" s="2" t="str">
        <f aca="false">""</f>
        <v/>
      </c>
      <c r="F1304" s="2" t="str">
        <f aca="false">""</f>
        <v/>
      </c>
      <c r="G1304" s="2" t="str">
        <f aca="false">IF(2キー同時!$B$331="","",IF(2キー同時!Y337="","",SUBSTITUTE(SUBSTITUTE(2キー同時!Y337," ",""),"　","")))</f>
        <v/>
      </c>
      <c r="H1304" s="2" t="str">
        <f aca="false">IF($G1304="","",2キー同時!$B$331)</f>
        <v/>
      </c>
      <c r="I1304" s="2" t="str">
        <f aca="false">IF($G1304="","","g")</f>
        <v/>
      </c>
      <c r="J1304" s="2" t="str">
        <f aca="false">""</f>
        <v/>
      </c>
      <c r="K1304" s="2" t="str">
        <f aca="false">""</f>
        <v/>
      </c>
      <c r="L1304" s="2" t="str">
        <f aca="false">IF($G1304="","","同時")</f>
        <v/>
      </c>
      <c r="M1304" s="2" t="str">
        <f aca="false">IF($G1304="","",IF(ISNA(MATCH($G1304,個別指定!$A:$A,0)),"行なし",""))</f>
        <v/>
      </c>
      <c r="N1304" s="2" t="str">
        <f aca="false">IF($G1304="","",IF(COUNTIF($G$2:$G$4460,$G1304)&gt;1,"重複",""))</f>
        <v/>
      </c>
    </row>
    <row r="1305" customFormat="false" ht="16.5" hidden="false" customHeight="true" outlineLevel="0" collapsed="false">
      <c r="A1305" s="2" t="s">
        <v>385</v>
      </c>
      <c r="B1305" s="2" t="s">
        <v>411</v>
      </c>
      <c r="C1305" s="2" t="s">
        <v>29</v>
      </c>
      <c r="D1305" s="2" t="str">
        <f aca="false">IF(2キー同時!$B$331="","",2キー同時!$B$331)</f>
        <v/>
      </c>
      <c r="E1305" s="2" t="str">
        <f aca="false">""</f>
        <v/>
      </c>
      <c r="F1305" s="2" t="str">
        <f aca="false">""</f>
        <v/>
      </c>
      <c r="G1305" s="2" t="str">
        <f aca="false">IF(2キー同時!$B$331="","",IF(2キー同時!AC337="","",SUBSTITUTE(SUBSTITUTE(2キー同時!AC337," ",""),"　","")))</f>
        <v/>
      </c>
      <c r="H1305" s="2" t="str">
        <f aca="false">IF($G1305="","",2キー同時!$B$331)</f>
        <v/>
      </c>
      <c r="I1305" s="2" t="str">
        <f aca="false">IF($G1305="","","h")</f>
        <v/>
      </c>
      <c r="J1305" s="2" t="str">
        <f aca="false">""</f>
        <v/>
      </c>
      <c r="K1305" s="2" t="str">
        <f aca="false">""</f>
        <v/>
      </c>
      <c r="L1305" s="2" t="str">
        <f aca="false">IF($G1305="","","同時")</f>
        <v/>
      </c>
      <c r="M1305" s="2" t="str">
        <f aca="false">IF($G1305="","",IF(ISNA(MATCH($G1305,個別指定!$A:$A,0)),"行なし",""))</f>
        <v/>
      </c>
      <c r="N1305" s="2" t="str">
        <f aca="false">IF($G1305="","",IF(COUNTIF($G$2:$G$4460,$G1305)&gt;1,"重複",""))</f>
        <v/>
      </c>
    </row>
    <row r="1306" customFormat="false" ht="16.5" hidden="false" customHeight="true" outlineLevel="0" collapsed="false">
      <c r="A1306" s="2" t="s">
        <v>385</v>
      </c>
      <c r="B1306" s="2" t="s">
        <v>411</v>
      </c>
      <c r="C1306" s="2" t="s">
        <v>30</v>
      </c>
      <c r="D1306" s="2" t="str">
        <f aca="false">IF(2キー同時!$B$331="","",2キー同時!$B$331)</f>
        <v/>
      </c>
      <c r="E1306" s="2" t="str">
        <f aca="false">""</f>
        <v/>
      </c>
      <c r="F1306" s="2" t="str">
        <f aca="false">""</f>
        <v/>
      </c>
      <c r="G1306" s="2" t="str">
        <f aca="false">IF(2キー同時!$B$331="","",IF(2キー同時!AG337="","",SUBSTITUTE(SUBSTITUTE(2キー同時!AG337," ",""),"　","")))</f>
        <v/>
      </c>
      <c r="H1306" s="2" t="str">
        <f aca="false">IF($G1306="","",2キー同時!$B$331)</f>
        <v/>
      </c>
      <c r="I1306" s="2" t="str">
        <f aca="false">IF($G1306="","","j")</f>
        <v/>
      </c>
      <c r="J1306" s="2" t="str">
        <f aca="false">""</f>
        <v/>
      </c>
      <c r="K1306" s="2" t="str">
        <f aca="false">""</f>
        <v/>
      </c>
      <c r="L1306" s="2" t="str">
        <f aca="false">IF($G1306="","","同時")</f>
        <v/>
      </c>
      <c r="M1306" s="2" t="str">
        <f aca="false">IF($G1306="","",IF(ISNA(MATCH($G1306,個別指定!$A:$A,0)),"行なし",""))</f>
        <v/>
      </c>
      <c r="N1306" s="2" t="str">
        <f aca="false">IF($G1306="","",IF(COUNTIF($G$2:$G$4460,$G1306)&gt;1,"重複",""))</f>
        <v/>
      </c>
    </row>
    <row r="1307" customFormat="false" ht="16.5" hidden="false" customHeight="true" outlineLevel="0" collapsed="false">
      <c r="A1307" s="2" t="s">
        <v>385</v>
      </c>
      <c r="B1307" s="2" t="s">
        <v>411</v>
      </c>
      <c r="C1307" s="2" t="s">
        <v>31</v>
      </c>
      <c r="D1307" s="2" t="str">
        <f aca="false">IF(2キー同時!$B$331="","",2キー同時!$B$331)</f>
        <v/>
      </c>
      <c r="E1307" s="2" t="str">
        <f aca="false">""</f>
        <v/>
      </c>
      <c r="F1307" s="2" t="str">
        <f aca="false">""</f>
        <v/>
      </c>
      <c r="G1307" s="2" t="str">
        <f aca="false">IF(2キー同時!$B$331="","",IF(2キー同時!AK337="","",SUBSTITUTE(SUBSTITUTE(2キー同時!AK337," ",""),"　","")))</f>
        <v/>
      </c>
      <c r="H1307" s="2" t="str">
        <f aca="false">IF($G1307="","",2キー同時!$B$331)</f>
        <v/>
      </c>
      <c r="I1307" s="2" t="str">
        <f aca="false">IF($G1307="","","k")</f>
        <v/>
      </c>
      <c r="J1307" s="2" t="str">
        <f aca="false">""</f>
        <v/>
      </c>
      <c r="K1307" s="2" t="str">
        <f aca="false">""</f>
        <v/>
      </c>
      <c r="L1307" s="2" t="str">
        <f aca="false">IF($G1307="","","同時")</f>
        <v/>
      </c>
      <c r="M1307" s="2" t="str">
        <f aca="false">IF($G1307="","",IF(ISNA(MATCH($G1307,個別指定!$A:$A,0)),"行なし",""))</f>
        <v/>
      </c>
      <c r="N1307" s="2" t="str">
        <f aca="false">IF($G1307="","",IF(COUNTIF($G$2:$G$4460,$G1307)&gt;1,"重複",""))</f>
        <v/>
      </c>
    </row>
    <row r="1308" customFormat="false" ht="16.5" hidden="false" customHeight="true" outlineLevel="0" collapsed="false">
      <c r="A1308" s="2" t="s">
        <v>385</v>
      </c>
      <c r="B1308" s="2" t="s">
        <v>411</v>
      </c>
      <c r="C1308" s="2" t="s">
        <v>32</v>
      </c>
      <c r="D1308" s="2" t="str">
        <f aca="false">IF(2キー同時!$B$331="","",2キー同時!$B$331)</f>
        <v/>
      </c>
      <c r="E1308" s="2" t="str">
        <f aca="false">""</f>
        <v/>
      </c>
      <c r="F1308" s="2" t="str">
        <f aca="false">""</f>
        <v/>
      </c>
      <c r="G1308" s="2" t="str">
        <f aca="false">IF(2キー同時!$B$331="","",IF(2キー同時!AO337="","",SUBSTITUTE(SUBSTITUTE(2キー同時!AO337," ",""),"　","")))</f>
        <v/>
      </c>
      <c r="H1308" s="2" t="str">
        <f aca="false">IF($G1308="","",2キー同時!$B$331)</f>
        <v/>
      </c>
      <c r="I1308" s="2" t="str">
        <f aca="false">IF($G1308="","","l")</f>
        <v/>
      </c>
      <c r="J1308" s="2" t="str">
        <f aca="false">""</f>
        <v/>
      </c>
      <c r="K1308" s="2" t="str">
        <f aca="false">""</f>
        <v/>
      </c>
      <c r="L1308" s="2" t="str">
        <f aca="false">IF($G1308="","","同時")</f>
        <v/>
      </c>
      <c r="M1308" s="2" t="str">
        <f aca="false">IF($G1308="","",IF(ISNA(MATCH($G1308,個別指定!$A:$A,0)),"行なし",""))</f>
        <v/>
      </c>
      <c r="N1308" s="2" t="str">
        <f aca="false">IF($G1308="","",IF(COUNTIF($G$2:$G$4460,$G1308)&gt;1,"重複",""))</f>
        <v/>
      </c>
    </row>
    <row r="1309" customFormat="false" ht="16.5" hidden="false" customHeight="true" outlineLevel="0" collapsed="false">
      <c r="A1309" s="2" t="s">
        <v>385</v>
      </c>
      <c r="B1309" s="2" t="s">
        <v>411</v>
      </c>
      <c r="C1309" s="2" t="s">
        <v>33</v>
      </c>
      <c r="D1309" s="2" t="str">
        <f aca="false">IF(2キー同時!$B$331="","",2キー同時!$B$331)</f>
        <v/>
      </c>
      <c r="E1309" s="2" t="str">
        <f aca="false">""</f>
        <v/>
      </c>
      <c r="F1309" s="2" t="str">
        <f aca="false">""</f>
        <v/>
      </c>
      <c r="G1309" s="2" t="str">
        <f aca="false">IF(2キー同時!$B$331="","",IF(2キー同時!AS337="","",SUBSTITUTE(SUBSTITUTE(2キー同時!AS337," ",""),"　","")))</f>
        <v/>
      </c>
      <c r="H1309" s="2" t="str">
        <f aca="false">IF($G1309="","",2キー同時!$B$331)</f>
        <v/>
      </c>
      <c r="I1309" s="2" t="str">
        <f aca="false">IF($G1309="","",";")</f>
        <v/>
      </c>
      <c r="J1309" s="2" t="str">
        <f aca="false">""</f>
        <v/>
      </c>
      <c r="K1309" s="2" t="str">
        <f aca="false">""</f>
        <v/>
      </c>
      <c r="L1309" s="2" t="str">
        <f aca="false">IF($G1309="","","同時")</f>
        <v/>
      </c>
      <c r="M1309" s="2" t="str">
        <f aca="false">IF($G1309="","",IF(ISNA(MATCH($G1309,個別指定!$A:$A,0)),"行なし",""))</f>
        <v/>
      </c>
      <c r="N1309" s="2" t="str">
        <f aca="false">IF($G1309="","",IF(COUNTIF($G$2:$G$4460,$G1309)&gt;1,"重複",""))</f>
        <v/>
      </c>
    </row>
    <row r="1310" customFormat="false" ht="16.5" hidden="false" customHeight="true" outlineLevel="0" collapsed="false">
      <c r="A1310" s="2" t="s">
        <v>385</v>
      </c>
      <c r="B1310" s="2" t="s">
        <v>411</v>
      </c>
      <c r="C1310" s="2" t="s">
        <v>34</v>
      </c>
      <c r="D1310" s="2" t="str">
        <f aca="false">IF(2キー同時!$B$331="","",2キー同時!$B$331)</f>
        <v/>
      </c>
      <c r="E1310" s="2" t="str">
        <f aca="false">""</f>
        <v/>
      </c>
      <c r="F1310" s="2" t="str">
        <f aca="false">""</f>
        <v/>
      </c>
      <c r="G1310" s="2" t="str">
        <f aca="false">IF(2キー同時!$B$331="","",IF(2キー同時!AW337="","",SUBSTITUTE(SUBSTITUTE(2キー同時!AW337," ",""),"　","")))</f>
        <v/>
      </c>
      <c r="H1310" s="2" t="str">
        <f aca="false">IF($G1310="","",2キー同時!$B$331)</f>
        <v/>
      </c>
      <c r="I1310" s="2" t="str">
        <f aca="false">IF($G1310="","","'")</f>
        <v/>
      </c>
      <c r="J1310" s="2" t="str">
        <f aca="false">""</f>
        <v/>
      </c>
      <c r="K1310" s="2" t="str">
        <f aca="false">""</f>
        <v/>
      </c>
      <c r="L1310" s="2" t="str">
        <f aca="false">IF($G1310="","","同時")</f>
        <v/>
      </c>
      <c r="M1310" s="2" t="str">
        <f aca="false">IF($G1310="","",IF(ISNA(MATCH($G1310,個別指定!$A:$A,0)),"行なし",""))</f>
        <v/>
      </c>
      <c r="N1310" s="2" t="str">
        <f aca="false">IF($G1310="","",IF(COUNTIF($G$2:$G$4460,$G1310)&gt;1,"重複",""))</f>
        <v/>
      </c>
    </row>
    <row r="1311" customFormat="false" ht="16.5" hidden="false" customHeight="true" outlineLevel="0" collapsed="false">
      <c r="A1311" s="2" t="s">
        <v>385</v>
      </c>
      <c r="B1311" s="2" t="s">
        <v>411</v>
      </c>
      <c r="C1311" s="2" t="s">
        <v>35</v>
      </c>
      <c r="D1311" s="2" t="str">
        <f aca="false">IF(2キー同時!$B$331="","",2キー同時!$B$331)</f>
        <v/>
      </c>
      <c r="E1311" s="2" t="str">
        <f aca="false">""</f>
        <v/>
      </c>
      <c r="F1311" s="2" t="str">
        <f aca="false">""</f>
        <v/>
      </c>
      <c r="G1311" s="2" t="str">
        <f aca="false">IF(2キー同時!$B$331="","",IF(2キー同時!K339="","",SUBSTITUTE(SUBSTITUTE(2キー同時!K339," ",""),"　","")))</f>
        <v/>
      </c>
      <c r="H1311" s="2" t="str">
        <f aca="false">IF($G1311="","",2キー同時!$B$331)</f>
        <v/>
      </c>
      <c r="I1311" s="2" t="str">
        <f aca="false">IF($G1311="","","z")</f>
        <v/>
      </c>
      <c r="J1311" s="2" t="str">
        <f aca="false">""</f>
        <v/>
      </c>
      <c r="K1311" s="2" t="str">
        <f aca="false">""</f>
        <v/>
      </c>
      <c r="L1311" s="2" t="str">
        <f aca="false">IF($G1311="","","同時")</f>
        <v/>
      </c>
      <c r="M1311" s="2" t="str">
        <f aca="false">IF($G1311="","",IF(ISNA(MATCH($G1311,個別指定!$A:$A,0)),"行なし",""))</f>
        <v/>
      </c>
      <c r="N1311" s="2" t="str">
        <f aca="false">IF($G1311="","",IF(COUNTIF($G$2:$G$4460,$G1311)&gt;1,"重複",""))</f>
        <v/>
      </c>
    </row>
    <row r="1312" customFormat="false" ht="16.5" hidden="false" customHeight="true" outlineLevel="0" collapsed="false">
      <c r="A1312" s="2" t="s">
        <v>385</v>
      </c>
      <c r="B1312" s="2" t="s">
        <v>411</v>
      </c>
      <c r="C1312" s="2" t="s">
        <v>36</v>
      </c>
      <c r="D1312" s="2" t="str">
        <f aca="false">IF(2キー同時!$B$331="","",2キー同時!$B$331)</f>
        <v/>
      </c>
      <c r="E1312" s="2" t="str">
        <f aca="false">""</f>
        <v/>
      </c>
      <c r="F1312" s="2" t="str">
        <f aca="false">""</f>
        <v/>
      </c>
      <c r="G1312" s="2" t="str">
        <f aca="false">IF(2キー同時!$B$331="","",IF(2キー同時!O339="","",SUBSTITUTE(SUBSTITUTE(2キー同時!O339," ",""),"　","")))</f>
        <v/>
      </c>
      <c r="H1312" s="2" t="str">
        <f aca="false">IF($G1312="","",2キー同時!$B$331)</f>
        <v/>
      </c>
      <c r="I1312" s="2" t="str">
        <f aca="false">IF($G1312="","","x")</f>
        <v/>
      </c>
      <c r="J1312" s="2" t="str">
        <f aca="false">""</f>
        <v/>
      </c>
      <c r="K1312" s="2" t="str">
        <f aca="false">""</f>
        <v/>
      </c>
      <c r="L1312" s="2" t="str">
        <f aca="false">IF($G1312="","","同時")</f>
        <v/>
      </c>
      <c r="M1312" s="2" t="str">
        <f aca="false">IF($G1312="","",IF(ISNA(MATCH($G1312,個別指定!$A:$A,0)),"行なし",""))</f>
        <v/>
      </c>
      <c r="N1312" s="2" t="str">
        <f aca="false">IF($G1312="","",IF(COUNTIF($G$2:$G$4460,$G1312)&gt;1,"重複",""))</f>
        <v/>
      </c>
    </row>
    <row r="1313" customFormat="false" ht="16.5" hidden="false" customHeight="true" outlineLevel="0" collapsed="false">
      <c r="A1313" s="2" t="s">
        <v>385</v>
      </c>
      <c r="B1313" s="2" t="s">
        <v>411</v>
      </c>
      <c r="C1313" s="2" t="s">
        <v>37</v>
      </c>
      <c r="D1313" s="2" t="str">
        <f aca="false">IF(2キー同時!$B$331="","",2キー同時!$B$331)</f>
        <v/>
      </c>
      <c r="E1313" s="2" t="str">
        <f aca="false">""</f>
        <v/>
      </c>
      <c r="F1313" s="2" t="str">
        <f aca="false">""</f>
        <v/>
      </c>
      <c r="G1313" s="2" t="str">
        <f aca="false">IF(2キー同時!$B$331="","",IF(2キー同時!S339="","",SUBSTITUTE(SUBSTITUTE(2キー同時!S339," ",""),"　","")))</f>
        <v/>
      </c>
      <c r="H1313" s="2" t="str">
        <f aca="false">IF($G1313="","",2キー同時!$B$331)</f>
        <v/>
      </c>
      <c r="I1313" s="2" t="str">
        <f aca="false">IF($G1313="","","c")</f>
        <v/>
      </c>
      <c r="J1313" s="2" t="str">
        <f aca="false">""</f>
        <v/>
      </c>
      <c r="K1313" s="2" t="str">
        <f aca="false">""</f>
        <v/>
      </c>
      <c r="L1313" s="2" t="str">
        <f aca="false">IF($G1313="","","同時")</f>
        <v/>
      </c>
      <c r="M1313" s="2" t="str">
        <f aca="false">IF($G1313="","",IF(ISNA(MATCH($G1313,個別指定!$A:$A,0)),"行なし",""))</f>
        <v/>
      </c>
      <c r="N1313" s="2" t="str">
        <f aca="false">IF($G1313="","",IF(COUNTIF($G$2:$G$4460,$G1313)&gt;1,"重複",""))</f>
        <v/>
      </c>
    </row>
    <row r="1314" customFormat="false" ht="16.5" hidden="false" customHeight="true" outlineLevel="0" collapsed="false">
      <c r="A1314" s="2" t="s">
        <v>385</v>
      </c>
      <c r="B1314" s="2" t="s">
        <v>411</v>
      </c>
      <c r="C1314" s="2" t="s">
        <v>38</v>
      </c>
      <c r="D1314" s="2" t="str">
        <f aca="false">IF(2キー同時!$B$331="","",2キー同時!$B$331)</f>
        <v/>
      </c>
      <c r="E1314" s="2" t="str">
        <f aca="false">""</f>
        <v/>
      </c>
      <c r="F1314" s="2" t="str">
        <f aca="false">""</f>
        <v/>
      </c>
      <c r="G1314" s="2" t="str">
        <f aca="false">IF(2キー同時!$B$331="","",IF(2キー同時!W339="","",SUBSTITUTE(SUBSTITUTE(2キー同時!W339," ",""),"　","")))</f>
        <v/>
      </c>
      <c r="H1314" s="2" t="str">
        <f aca="false">IF($G1314="","",2キー同時!$B$331)</f>
        <v/>
      </c>
      <c r="I1314" s="2" t="str">
        <f aca="false">IF($G1314="","","v")</f>
        <v/>
      </c>
      <c r="J1314" s="2" t="str">
        <f aca="false">""</f>
        <v/>
      </c>
      <c r="K1314" s="2" t="str">
        <f aca="false">""</f>
        <v/>
      </c>
      <c r="L1314" s="2" t="str">
        <f aca="false">IF($G1314="","","同時")</f>
        <v/>
      </c>
      <c r="M1314" s="2" t="str">
        <f aca="false">IF($G1314="","",IF(ISNA(MATCH($G1314,個別指定!$A:$A,0)),"行なし",""))</f>
        <v/>
      </c>
      <c r="N1314" s="2" t="str">
        <f aca="false">IF($G1314="","",IF(COUNTIF($G$2:$G$4460,$G1314)&gt;1,"重複",""))</f>
        <v/>
      </c>
    </row>
    <row r="1315" customFormat="false" ht="16.5" hidden="false" customHeight="true" outlineLevel="0" collapsed="false">
      <c r="A1315" s="2" t="s">
        <v>385</v>
      </c>
      <c r="B1315" s="2" t="s">
        <v>411</v>
      </c>
      <c r="C1315" s="2" t="s">
        <v>39</v>
      </c>
      <c r="D1315" s="2" t="str">
        <f aca="false">IF(2キー同時!$B$331="","",2キー同時!$B$331)</f>
        <v/>
      </c>
      <c r="E1315" s="2" t="str">
        <f aca="false">""</f>
        <v/>
      </c>
      <c r="F1315" s="2" t="str">
        <f aca="false">""</f>
        <v/>
      </c>
      <c r="G1315" s="2" t="str">
        <f aca="false">IF(2キー同時!$B$331="","",IF(2キー同時!AA339="","",SUBSTITUTE(SUBSTITUTE(2キー同時!AA339," ",""),"　","")))</f>
        <v/>
      </c>
      <c r="H1315" s="2" t="str">
        <f aca="false">IF($G1315="","",2キー同時!$B$331)</f>
        <v/>
      </c>
      <c r="I1315" s="2" t="str">
        <f aca="false">IF($G1315="","","b")</f>
        <v/>
      </c>
      <c r="J1315" s="2" t="str">
        <f aca="false">""</f>
        <v/>
      </c>
      <c r="K1315" s="2" t="str">
        <f aca="false">""</f>
        <v/>
      </c>
      <c r="L1315" s="2" t="str">
        <f aca="false">IF($G1315="","","同時")</f>
        <v/>
      </c>
      <c r="M1315" s="2" t="str">
        <f aca="false">IF($G1315="","",IF(ISNA(MATCH($G1315,個別指定!$A:$A,0)),"行なし",""))</f>
        <v/>
      </c>
      <c r="N1315" s="2" t="str">
        <f aca="false">IF($G1315="","",IF(COUNTIF($G$2:$G$4460,$G1315)&gt;1,"重複",""))</f>
        <v/>
      </c>
    </row>
    <row r="1316" customFormat="false" ht="16.5" hidden="false" customHeight="true" outlineLevel="0" collapsed="false">
      <c r="A1316" s="2" t="s">
        <v>385</v>
      </c>
      <c r="B1316" s="2" t="s">
        <v>411</v>
      </c>
      <c r="C1316" s="2" t="s">
        <v>40</v>
      </c>
      <c r="D1316" s="2" t="str">
        <f aca="false">IF(2キー同時!$B$331="","",2キー同時!$B$331)</f>
        <v/>
      </c>
      <c r="E1316" s="2" t="str">
        <f aca="false">""</f>
        <v/>
      </c>
      <c r="F1316" s="2" t="str">
        <f aca="false">""</f>
        <v/>
      </c>
      <c r="G1316" s="2" t="str">
        <f aca="false">IF(2キー同時!$B$331="","",IF(2キー同時!AE339="","",SUBSTITUTE(SUBSTITUTE(2キー同時!AE339," ",""),"　","")))</f>
        <v/>
      </c>
      <c r="H1316" s="2" t="str">
        <f aca="false">IF($G1316="","",2キー同時!$B$331)</f>
        <v/>
      </c>
      <c r="I1316" s="2" t="str">
        <f aca="false">IF($G1316="","","n")</f>
        <v/>
      </c>
      <c r="J1316" s="2" t="str">
        <f aca="false">""</f>
        <v/>
      </c>
      <c r="K1316" s="2" t="str">
        <f aca="false">""</f>
        <v/>
      </c>
      <c r="L1316" s="2" t="str">
        <f aca="false">IF($G1316="","","同時")</f>
        <v/>
      </c>
      <c r="M1316" s="2" t="str">
        <f aca="false">IF($G1316="","",IF(ISNA(MATCH($G1316,個別指定!$A:$A,0)),"行なし",""))</f>
        <v/>
      </c>
      <c r="N1316" s="2" t="str">
        <f aca="false">IF($G1316="","",IF(COUNTIF($G$2:$G$4460,$G1316)&gt;1,"重複",""))</f>
        <v/>
      </c>
    </row>
    <row r="1317" customFormat="false" ht="16.5" hidden="false" customHeight="true" outlineLevel="0" collapsed="false">
      <c r="A1317" s="2" t="s">
        <v>385</v>
      </c>
      <c r="B1317" s="2" t="s">
        <v>411</v>
      </c>
      <c r="C1317" s="2" t="s">
        <v>41</v>
      </c>
      <c r="D1317" s="2" t="str">
        <f aca="false">IF(2キー同時!$B$331="","",2キー同時!$B$331)</f>
        <v/>
      </c>
      <c r="E1317" s="2" t="str">
        <f aca="false">""</f>
        <v/>
      </c>
      <c r="F1317" s="2" t="str">
        <f aca="false">""</f>
        <v/>
      </c>
      <c r="G1317" s="2" t="str">
        <f aca="false">IF(2キー同時!$B$331="","",IF(2キー同時!AI339="","",SUBSTITUTE(SUBSTITUTE(2キー同時!AI339," ",""),"　","")))</f>
        <v/>
      </c>
      <c r="H1317" s="2" t="str">
        <f aca="false">IF($G1317="","",2キー同時!$B$331)</f>
        <v/>
      </c>
      <c r="I1317" s="2" t="str">
        <f aca="false">IF($G1317="","","m")</f>
        <v/>
      </c>
      <c r="J1317" s="2" t="str">
        <f aca="false">""</f>
        <v/>
      </c>
      <c r="K1317" s="2" t="str">
        <f aca="false">""</f>
        <v/>
      </c>
      <c r="L1317" s="2" t="str">
        <f aca="false">IF($G1317="","","同時")</f>
        <v/>
      </c>
      <c r="M1317" s="2" t="str">
        <f aca="false">IF($G1317="","",IF(ISNA(MATCH($G1317,個別指定!$A:$A,0)),"行なし",""))</f>
        <v/>
      </c>
      <c r="N1317" s="2" t="str">
        <f aca="false">IF($G1317="","",IF(COUNTIF($G$2:$G$4460,$G1317)&gt;1,"重複",""))</f>
        <v/>
      </c>
    </row>
    <row r="1318" customFormat="false" ht="16.5" hidden="false" customHeight="true" outlineLevel="0" collapsed="false">
      <c r="A1318" s="2" t="s">
        <v>385</v>
      </c>
      <c r="B1318" s="2" t="s">
        <v>411</v>
      </c>
      <c r="C1318" s="2" t="s">
        <v>42</v>
      </c>
      <c r="D1318" s="2" t="str">
        <f aca="false">IF(2キー同時!$B$331="","",2キー同時!$B$331)</f>
        <v/>
      </c>
      <c r="E1318" s="2" t="str">
        <f aca="false">""</f>
        <v/>
      </c>
      <c r="F1318" s="2" t="str">
        <f aca="false">""</f>
        <v/>
      </c>
      <c r="G1318" s="2" t="str">
        <f aca="false">IF(2キー同時!$B$331="","",IF(2キー同時!AM339="","",SUBSTITUTE(SUBSTITUTE(2キー同時!AM339," ",""),"　","")))</f>
        <v/>
      </c>
      <c r="H1318" s="2" t="str">
        <f aca="false">IF($G1318="","",2キー同時!$B$331)</f>
        <v/>
      </c>
      <c r="I1318" s="2" t="str">
        <f aca="false">IF($G1318="","",",")</f>
        <v/>
      </c>
      <c r="J1318" s="2" t="str">
        <f aca="false">""</f>
        <v/>
      </c>
      <c r="K1318" s="2" t="str">
        <f aca="false">""</f>
        <v/>
      </c>
      <c r="L1318" s="2" t="str">
        <f aca="false">IF($G1318="","","同時")</f>
        <v/>
      </c>
      <c r="M1318" s="2" t="str">
        <f aca="false">IF($G1318="","",IF(ISNA(MATCH($G1318,個別指定!$A:$A,0)),"行なし",""))</f>
        <v/>
      </c>
      <c r="N1318" s="2" t="str">
        <f aca="false">IF($G1318="","",IF(COUNTIF($G$2:$G$4460,$G1318)&gt;1,"重複",""))</f>
        <v/>
      </c>
    </row>
    <row r="1319" customFormat="false" ht="16.5" hidden="false" customHeight="true" outlineLevel="0" collapsed="false">
      <c r="A1319" s="2" t="s">
        <v>385</v>
      </c>
      <c r="B1319" s="2" t="s">
        <v>411</v>
      </c>
      <c r="C1319" s="2" t="s">
        <v>43</v>
      </c>
      <c r="D1319" s="2" t="str">
        <f aca="false">IF(2キー同時!$B$331="","",2キー同時!$B$331)</f>
        <v/>
      </c>
      <c r="E1319" s="2" t="str">
        <f aca="false">""</f>
        <v/>
      </c>
      <c r="F1319" s="2" t="str">
        <f aca="false">""</f>
        <v/>
      </c>
      <c r="G1319" s="2" t="str">
        <f aca="false">IF(2キー同時!$B$331="","",IF(2キー同時!AQ339="","",SUBSTITUTE(SUBSTITUTE(2キー同時!AQ339," ",""),"　","")))</f>
        <v/>
      </c>
      <c r="H1319" s="2" t="str">
        <f aca="false">IF($G1319="","",2キー同時!$B$331)</f>
        <v/>
      </c>
      <c r="I1319" s="2" t="str">
        <f aca="false">IF($G1319="","",".")</f>
        <v/>
      </c>
      <c r="J1319" s="2" t="str">
        <f aca="false">""</f>
        <v/>
      </c>
      <c r="K1319" s="2" t="str">
        <f aca="false">""</f>
        <v/>
      </c>
      <c r="L1319" s="2" t="str">
        <f aca="false">IF($G1319="","","同時")</f>
        <v/>
      </c>
      <c r="M1319" s="2" t="str">
        <f aca="false">IF($G1319="","",IF(ISNA(MATCH($G1319,個別指定!$A:$A,0)),"行なし",""))</f>
        <v/>
      </c>
      <c r="N1319" s="2" t="str">
        <f aca="false">IF($G1319="","",IF(COUNTIF($G$2:$G$4460,$G1319)&gt;1,"重複",""))</f>
        <v/>
      </c>
    </row>
    <row r="1320" customFormat="false" ht="16.5" hidden="false" customHeight="true" outlineLevel="0" collapsed="false">
      <c r="A1320" s="2" t="s">
        <v>385</v>
      </c>
      <c r="B1320" s="2" t="s">
        <v>411</v>
      </c>
      <c r="C1320" s="2" t="s">
        <v>44</v>
      </c>
      <c r="D1320" s="2" t="str">
        <f aca="false">IF(2キー同時!$B$331="","",2キー同時!$B$331)</f>
        <v/>
      </c>
      <c r="E1320" s="2" t="str">
        <f aca="false">""</f>
        <v/>
      </c>
      <c r="F1320" s="2" t="str">
        <f aca="false">""</f>
        <v/>
      </c>
      <c r="G1320" s="2" t="str">
        <f aca="false">IF(2キー同時!$B$331="","",IF(2キー同時!AU339="","",SUBSTITUTE(SUBSTITUTE(2キー同時!AU339," ",""),"　","")))</f>
        <v/>
      </c>
      <c r="H1320" s="2" t="str">
        <f aca="false">IF($G1320="","",2キー同時!$B$331)</f>
        <v/>
      </c>
      <c r="I1320" s="2" t="str">
        <f aca="false">IF($G1320="","","/")</f>
        <v/>
      </c>
      <c r="J1320" s="2" t="str">
        <f aca="false">""</f>
        <v/>
      </c>
      <c r="K1320" s="2" t="str">
        <f aca="false">""</f>
        <v/>
      </c>
      <c r="L1320" s="2" t="str">
        <f aca="false">IF($G1320="","","同時")</f>
        <v/>
      </c>
      <c r="M1320" s="2" t="str">
        <f aca="false">IF($G1320="","",IF(ISNA(MATCH($G1320,個別指定!$A:$A,0)),"行なし",""))</f>
        <v/>
      </c>
      <c r="N1320" s="2" t="str">
        <f aca="false">IF($G1320="","",IF(COUNTIF($G$2:$G$4460,$G1320)&gt;1,"重複",""))</f>
        <v/>
      </c>
    </row>
    <row r="1321" customFormat="false" ht="16.5" hidden="false" customHeight="true" outlineLevel="0" collapsed="false">
      <c r="A1321" s="2" t="s">
        <v>385</v>
      </c>
      <c r="B1321" s="2" t="s">
        <v>411</v>
      </c>
      <c r="C1321" s="2" t="s">
        <v>48</v>
      </c>
      <c r="D1321" s="2" t="str">
        <f aca="false">IF(2キー同時!$B$331="","",2キー同時!$B$331)</f>
        <v/>
      </c>
      <c r="E1321" s="2" t="str">
        <f aca="false">""</f>
        <v/>
      </c>
      <c r="F1321" s="2" t="str">
        <f aca="false">""</f>
        <v/>
      </c>
      <c r="G1321" s="2" t="str">
        <f aca="false">IF(2キー同時!$B$331="","",IF(2キー同時!P341="","",SUBSTITUTE(SUBSTITUTE(2キー同時!P341," ",""),"　","")))</f>
        <v/>
      </c>
      <c r="H1321" s="2" t="str">
        <f aca="false">IF($G1321="","",2キー同時!$B$331)</f>
        <v/>
      </c>
      <c r="I1321" s="2" t="str">
        <f aca="false">IF($G1321="","","muhenkan")</f>
        <v/>
      </c>
      <c r="J1321" s="2" t="str">
        <f aca="false">""</f>
        <v/>
      </c>
      <c r="K1321" s="2" t="str">
        <f aca="false">""</f>
        <v/>
      </c>
      <c r="L1321" s="2" t="str">
        <f aca="false">IF($G1321="","","同時")</f>
        <v/>
      </c>
      <c r="M1321" s="2" t="str">
        <f aca="false">IF($G1321="","",IF(ISNA(MATCH($G1321,個別指定!$A:$A,0)),"行なし",""))</f>
        <v/>
      </c>
      <c r="N1321" s="2" t="str">
        <f aca="false">IF($G1321="","",IF(COUNTIF($G$2:$G$4460,$G1321)&gt;1,"重複",""))</f>
        <v/>
      </c>
    </row>
    <row r="1322" customFormat="false" ht="16.5" hidden="false" customHeight="true" outlineLevel="0" collapsed="false">
      <c r="A1322" s="2" t="s">
        <v>385</v>
      </c>
      <c r="B1322" s="2" t="s">
        <v>411</v>
      </c>
      <c r="C1322" s="2" t="s">
        <v>50</v>
      </c>
      <c r="D1322" s="2" t="str">
        <f aca="false">IF(2キー同時!$B$331="","",2キー同時!$B$331)</f>
        <v/>
      </c>
      <c r="E1322" s="2" t="str">
        <f aca="false">""</f>
        <v/>
      </c>
      <c r="F1322" s="2" t="str">
        <f aca="false">""</f>
        <v/>
      </c>
      <c r="G1322" s="2" t="str">
        <f aca="false">IF(2キー同時!$B$331="","",IF(2キー同時!T341="","",SUBSTITUTE(SUBSTITUTE(2キー同時!T341," ",""),"　","")))</f>
        <v/>
      </c>
      <c r="H1322" s="2" t="str">
        <f aca="false">IF($G1322="","",2キー同時!$B$331)</f>
        <v/>
      </c>
      <c r="I1322" s="2" t="str">
        <f aca="false">IF($G1322="","","space")</f>
        <v/>
      </c>
      <c r="J1322" s="2" t="str">
        <f aca="false">""</f>
        <v/>
      </c>
      <c r="K1322" s="2" t="str">
        <f aca="false">""</f>
        <v/>
      </c>
      <c r="L1322" s="2" t="str">
        <f aca="false">IF($G1322="","","同時")</f>
        <v/>
      </c>
      <c r="M1322" s="2" t="str">
        <f aca="false">IF($G1322="","",IF(ISNA(MATCH($G1322,個別指定!$A:$A,0)),"行なし",""))</f>
        <v/>
      </c>
      <c r="N1322" s="2" t="str">
        <f aca="false">IF($G1322="","",IF(COUNTIF($G$2:$G$4460,$G1322)&gt;1,"重複",""))</f>
        <v/>
      </c>
    </row>
    <row r="1323" customFormat="false" ht="16.5" hidden="false" customHeight="true" outlineLevel="0" collapsed="false">
      <c r="A1323" s="2" t="s">
        <v>385</v>
      </c>
      <c r="B1323" s="2" t="s">
        <v>411</v>
      </c>
      <c r="C1323" s="2" t="s">
        <v>45</v>
      </c>
      <c r="D1323" s="2" t="str">
        <f aca="false">IF(2キー同時!$B$331="","",2キー同時!$B$331)</f>
        <v/>
      </c>
      <c r="E1323" s="2" t="str">
        <f aca="false">""</f>
        <v/>
      </c>
      <c r="F1323" s="2" t="str">
        <f aca="false">""</f>
        <v/>
      </c>
      <c r="G1323" s="2" t="str">
        <f aca="false">IF(2キー同時!$B$331="","",IF(2キー同時!AL341="","",SUBSTITUTE(SUBSTITUTE(2キー同時!AL341," ",""),"　","")))</f>
        <v/>
      </c>
      <c r="H1323" s="2" t="str">
        <f aca="false">IF($G1323="","",2キー同時!$B$331)</f>
        <v/>
      </c>
      <c r="I1323" s="2" t="str">
        <f aca="false">IF($G1323="","","henkan")</f>
        <v/>
      </c>
      <c r="J1323" s="2" t="str">
        <f aca="false">""</f>
        <v/>
      </c>
      <c r="K1323" s="2" t="str">
        <f aca="false">""</f>
        <v/>
      </c>
      <c r="L1323" s="2" t="str">
        <f aca="false">IF($G1323="","","同時")</f>
        <v/>
      </c>
      <c r="M1323" s="2" t="str">
        <f aca="false">IF($G1323="","",IF(ISNA(MATCH($G1323,個別指定!$A:$A,0)),"行なし",""))</f>
        <v/>
      </c>
      <c r="N1323" s="2" t="str">
        <f aca="false">IF($G1323="","",IF(COUNTIF($G$2:$G$4460,$G1323)&gt;1,"重複",""))</f>
        <v/>
      </c>
    </row>
    <row r="1324" customFormat="false" ht="16.5" hidden="false" customHeight="true" outlineLevel="0" collapsed="false">
      <c r="A1324" s="2" t="s">
        <v>385</v>
      </c>
      <c r="B1324" s="2" t="s">
        <v>411</v>
      </c>
      <c r="C1324" s="2" t="s">
        <v>46</v>
      </c>
      <c r="D1324" s="2" t="str">
        <f aca="false">IF(2キー同時!$B$331="","",2キー同時!$B$331)</f>
        <v/>
      </c>
      <c r="E1324" s="2" t="str">
        <f aca="false">""</f>
        <v/>
      </c>
      <c r="F1324" s="2" t="str">
        <f aca="false">""</f>
        <v/>
      </c>
      <c r="G1324" s="2" t="str">
        <f aca="false">IF(2キー同時!$B$331="","",IF(2キー同時!AP341="","",SUBSTITUTE(SUBSTITUTE(2キー同時!AP341," ",""),"　","")))</f>
        <v/>
      </c>
      <c r="H1324" s="2" t="str">
        <f aca="false">IF($G1324="","",2キー同時!$B$331)</f>
        <v/>
      </c>
      <c r="I1324" s="2" t="str">
        <f aca="false">IF($G1324="","","kana")</f>
        <v/>
      </c>
      <c r="J1324" s="2" t="str">
        <f aca="false">""</f>
        <v/>
      </c>
      <c r="K1324" s="2" t="str">
        <f aca="false">""</f>
        <v/>
      </c>
      <c r="L1324" s="2" t="str">
        <f aca="false">IF($G1324="","","同時")</f>
        <v/>
      </c>
      <c r="M1324" s="2" t="str">
        <f aca="false">IF($G1324="","",IF(ISNA(MATCH($G1324,個別指定!$A:$A,0)),"行なし",""))</f>
        <v/>
      </c>
      <c r="N1324" s="2" t="str">
        <f aca="false">IF($G1324="","",IF(COUNTIF($G$2:$G$4460,$G1324)&gt;1,"重複",""))</f>
        <v/>
      </c>
    </row>
    <row r="1325" customFormat="false" ht="16.5" hidden="false" customHeight="true" outlineLevel="0" collapsed="false">
      <c r="A1325" s="2" t="s">
        <v>385</v>
      </c>
      <c r="B1325" s="2" t="s">
        <v>412</v>
      </c>
      <c r="C1325" s="2" t="s">
        <v>0</v>
      </c>
      <c r="D1325" s="2" t="str">
        <f aca="false">IF(2キー同時!$B$344="","",2キー同時!$B$344)</f>
        <v/>
      </c>
      <c r="E1325" s="2" t="str">
        <f aca="false">""</f>
        <v/>
      </c>
      <c r="F1325" s="2" t="str">
        <f aca="false">""</f>
        <v/>
      </c>
      <c r="G1325" s="2" t="str">
        <f aca="false">IF(2キー同時!$B$344="","",IF(2キー同時!F346="","",SUBSTITUTE(SUBSTITUTE(2キー同時!F346," ",""),"　","")))</f>
        <v/>
      </c>
      <c r="H1325" s="2" t="str">
        <f aca="false">IF($G1325="","",2キー同時!$B$344)</f>
        <v/>
      </c>
      <c r="I1325" s="2" t="str">
        <f aca="false">IF($G1325="","","1")</f>
        <v/>
      </c>
      <c r="J1325" s="2" t="str">
        <f aca="false">""</f>
        <v/>
      </c>
      <c r="K1325" s="2" t="str">
        <f aca="false">""</f>
        <v/>
      </c>
      <c r="L1325" s="2" t="str">
        <f aca="false">IF($G1325="","","同時")</f>
        <v/>
      </c>
      <c r="M1325" s="2" t="str">
        <f aca="false">IF($G1325="","",IF(ISNA(MATCH($G1325,個別指定!$A:$A,0)),"行なし",""))</f>
        <v/>
      </c>
      <c r="N1325" s="2" t="str">
        <f aca="false">IF($G1325="","",IF(COUNTIF($G$2:$G$4460,$G1325)&gt;1,"重複",""))</f>
        <v/>
      </c>
    </row>
    <row r="1326" customFormat="false" ht="16.5" hidden="false" customHeight="true" outlineLevel="0" collapsed="false">
      <c r="A1326" s="2" t="s">
        <v>385</v>
      </c>
      <c r="B1326" s="2" t="s">
        <v>412</v>
      </c>
      <c r="C1326" s="2" t="s">
        <v>1</v>
      </c>
      <c r="D1326" s="2" t="str">
        <f aca="false">IF(2キー同時!$B$344="","",2キー同時!$B$344)</f>
        <v/>
      </c>
      <c r="E1326" s="2" t="str">
        <f aca="false">""</f>
        <v/>
      </c>
      <c r="F1326" s="2" t="str">
        <f aca="false">""</f>
        <v/>
      </c>
      <c r="G1326" s="2" t="str">
        <f aca="false">IF(2キー同時!$B$344="","",IF(2キー同時!J346="","",SUBSTITUTE(SUBSTITUTE(2キー同時!J346," ",""),"　","")))</f>
        <v/>
      </c>
      <c r="H1326" s="2" t="str">
        <f aca="false">IF($G1326="","",2キー同時!$B$344)</f>
        <v/>
      </c>
      <c r="I1326" s="2" t="str">
        <f aca="false">IF($G1326="","","2")</f>
        <v/>
      </c>
      <c r="J1326" s="2" t="str">
        <f aca="false">""</f>
        <v/>
      </c>
      <c r="K1326" s="2" t="str">
        <f aca="false">""</f>
        <v/>
      </c>
      <c r="L1326" s="2" t="str">
        <f aca="false">IF($G1326="","","同時")</f>
        <v/>
      </c>
      <c r="M1326" s="2" t="str">
        <f aca="false">IF($G1326="","",IF(ISNA(MATCH($G1326,個別指定!$A:$A,0)),"行なし",""))</f>
        <v/>
      </c>
      <c r="N1326" s="2" t="str">
        <f aca="false">IF($G1326="","",IF(COUNTIF($G$2:$G$4460,$G1326)&gt;1,"重複",""))</f>
        <v/>
      </c>
    </row>
    <row r="1327" customFormat="false" ht="16.5" hidden="false" customHeight="true" outlineLevel="0" collapsed="false">
      <c r="A1327" s="2" t="s">
        <v>385</v>
      </c>
      <c r="B1327" s="2" t="s">
        <v>412</v>
      </c>
      <c r="C1327" s="2" t="s">
        <v>2</v>
      </c>
      <c r="D1327" s="2" t="str">
        <f aca="false">IF(2キー同時!$B$344="","",2キー同時!$B$344)</f>
        <v/>
      </c>
      <c r="E1327" s="2" t="str">
        <f aca="false">""</f>
        <v/>
      </c>
      <c r="F1327" s="2" t="str">
        <f aca="false">""</f>
        <v/>
      </c>
      <c r="G1327" s="2" t="str">
        <f aca="false">IF(2キー同時!$B$344="","",IF(2キー同時!N346="","",SUBSTITUTE(SUBSTITUTE(2キー同時!N346," ",""),"　","")))</f>
        <v/>
      </c>
      <c r="H1327" s="2" t="str">
        <f aca="false">IF($G1327="","",2キー同時!$B$344)</f>
        <v/>
      </c>
      <c r="I1327" s="2" t="str">
        <f aca="false">IF($G1327="","","3")</f>
        <v/>
      </c>
      <c r="J1327" s="2" t="str">
        <f aca="false">""</f>
        <v/>
      </c>
      <c r="K1327" s="2" t="str">
        <f aca="false">""</f>
        <v/>
      </c>
      <c r="L1327" s="2" t="str">
        <f aca="false">IF($G1327="","","同時")</f>
        <v/>
      </c>
      <c r="M1327" s="2" t="str">
        <f aca="false">IF($G1327="","",IF(ISNA(MATCH($G1327,個別指定!$A:$A,0)),"行なし",""))</f>
        <v/>
      </c>
      <c r="N1327" s="2" t="str">
        <f aca="false">IF($G1327="","",IF(COUNTIF($G$2:$G$4460,$G1327)&gt;1,"重複",""))</f>
        <v/>
      </c>
    </row>
    <row r="1328" customFormat="false" ht="16.5" hidden="false" customHeight="true" outlineLevel="0" collapsed="false">
      <c r="A1328" s="2" t="s">
        <v>385</v>
      </c>
      <c r="B1328" s="2" t="s">
        <v>412</v>
      </c>
      <c r="C1328" s="2" t="s">
        <v>3</v>
      </c>
      <c r="D1328" s="2" t="str">
        <f aca="false">IF(2キー同時!$B$344="","",2キー同時!$B$344)</f>
        <v/>
      </c>
      <c r="E1328" s="2" t="str">
        <f aca="false">""</f>
        <v/>
      </c>
      <c r="F1328" s="2" t="str">
        <f aca="false">""</f>
        <v/>
      </c>
      <c r="G1328" s="2" t="str">
        <f aca="false">IF(2キー同時!$B$344="","",IF(2キー同時!R346="","",SUBSTITUTE(SUBSTITUTE(2キー同時!R346," ",""),"　","")))</f>
        <v/>
      </c>
      <c r="H1328" s="2" t="str">
        <f aca="false">IF($G1328="","",2キー同時!$B$344)</f>
        <v/>
      </c>
      <c r="I1328" s="2" t="str">
        <f aca="false">IF($G1328="","","4")</f>
        <v/>
      </c>
      <c r="J1328" s="2" t="str">
        <f aca="false">""</f>
        <v/>
      </c>
      <c r="K1328" s="2" t="str">
        <f aca="false">""</f>
        <v/>
      </c>
      <c r="L1328" s="2" t="str">
        <f aca="false">IF($G1328="","","同時")</f>
        <v/>
      </c>
      <c r="M1328" s="2" t="str">
        <f aca="false">IF($G1328="","",IF(ISNA(MATCH($G1328,個別指定!$A:$A,0)),"行なし",""))</f>
        <v/>
      </c>
      <c r="N1328" s="2" t="str">
        <f aca="false">IF($G1328="","",IF(COUNTIF($G$2:$G$4460,$G1328)&gt;1,"重複",""))</f>
        <v/>
      </c>
    </row>
    <row r="1329" customFormat="false" ht="16.5" hidden="false" customHeight="true" outlineLevel="0" collapsed="false">
      <c r="A1329" s="2" t="s">
        <v>385</v>
      </c>
      <c r="B1329" s="2" t="s">
        <v>412</v>
      </c>
      <c r="C1329" s="2" t="s">
        <v>4</v>
      </c>
      <c r="D1329" s="2" t="str">
        <f aca="false">IF(2キー同時!$B$344="","",2キー同時!$B$344)</f>
        <v/>
      </c>
      <c r="E1329" s="2" t="str">
        <f aca="false">""</f>
        <v/>
      </c>
      <c r="F1329" s="2" t="str">
        <f aca="false">""</f>
        <v/>
      </c>
      <c r="G1329" s="2" t="str">
        <f aca="false">IF(2キー同時!$B$344="","",IF(2キー同時!V346="","",SUBSTITUTE(SUBSTITUTE(2キー同時!V346," ",""),"　","")))</f>
        <v/>
      </c>
      <c r="H1329" s="2" t="str">
        <f aca="false">IF($G1329="","",2キー同時!$B$344)</f>
        <v/>
      </c>
      <c r="I1329" s="2" t="str">
        <f aca="false">IF($G1329="","","5")</f>
        <v/>
      </c>
      <c r="J1329" s="2" t="str">
        <f aca="false">""</f>
        <v/>
      </c>
      <c r="K1329" s="2" t="str">
        <f aca="false">""</f>
        <v/>
      </c>
      <c r="L1329" s="2" t="str">
        <f aca="false">IF($G1329="","","同時")</f>
        <v/>
      </c>
      <c r="M1329" s="2" t="str">
        <f aca="false">IF($G1329="","",IF(ISNA(MATCH($G1329,個別指定!$A:$A,0)),"行なし",""))</f>
        <v/>
      </c>
      <c r="N1329" s="2" t="str">
        <f aca="false">IF($G1329="","",IF(COUNTIF($G$2:$G$4460,$G1329)&gt;1,"重複",""))</f>
        <v/>
      </c>
    </row>
    <row r="1330" customFormat="false" ht="16.5" hidden="false" customHeight="true" outlineLevel="0" collapsed="false">
      <c r="A1330" s="2" t="s">
        <v>385</v>
      </c>
      <c r="B1330" s="2" t="s">
        <v>412</v>
      </c>
      <c r="C1330" s="2" t="s">
        <v>5</v>
      </c>
      <c r="D1330" s="2" t="str">
        <f aca="false">IF(2キー同時!$B$344="","",2キー同時!$B$344)</f>
        <v/>
      </c>
      <c r="E1330" s="2" t="str">
        <f aca="false">""</f>
        <v/>
      </c>
      <c r="F1330" s="2" t="str">
        <f aca="false">""</f>
        <v/>
      </c>
      <c r="G1330" s="2" t="str">
        <f aca="false">IF(2キー同時!$B$344="","",IF(2キー同時!Z346="","",SUBSTITUTE(SUBSTITUTE(2キー同時!Z346," ",""),"　","")))</f>
        <v/>
      </c>
      <c r="H1330" s="2" t="str">
        <f aca="false">IF($G1330="","",2キー同時!$B$344)</f>
        <v/>
      </c>
      <c r="I1330" s="2" t="str">
        <f aca="false">IF($G1330="","","6")</f>
        <v/>
      </c>
      <c r="J1330" s="2" t="str">
        <f aca="false">""</f>
        <v/>
      </c>
      <c r="K1330" s="2" t="str">
        <f aca="false">""</f>
        <v/>
      </c>
      <c r="L1330" s="2" t="str">
        <f aca="false">IF($G1330="","","同時")</f>
        <v/>
      </c>
      <c r="M1330" s="2" t="str">
        <f aca="false">IF($G1330="","",IF(ISNA(MATCH($G1330,個別指定!$A:$A,0)),"行なし",""))</f>
        <v/>
      </c>
      <c r="N1330" s="2" t="str">
        <f aca="false">IF($G1330="","",IF(COUNTIF($G$2:$G$4460,$G1330)&gt;1,"重複",""))</f>
        <v/>
      </c>
    </row>
    <row r="1331" customFormat="false" ht="16.5" hidden="false" customHeight="true" outlineLevel="0" collapsed="false">
      <c r="A1331" s="2" t="s">
        <v>385</v>
      </c>
      <c r="B1331" s="2" t="s">
        <v>412</v>
      </c>
      <c r="C1331" s="2" t="s">
        <v>6</v>
      </c>
      <c r="D1331" s="2" t="str">
        <f aca="false">IF(2キー同時!$B$344="","",2キー同時!$B$344)</f>
        <v/>
      </c>
      <c r="E1331" s="2" t="str">
        <f aca="false">""</f>
        <v/>
      </c>
      <c r="F1331" s="2" t="str">
        <f aca="false">""</f>
        <v/>
      </c>
      <c r="G1331" s="2" t="str">
        <f aca="false">IF(2キー同時!$B$344="","",IF(2キー同時!AD346="","",SUBSTITUTE(SUBSTITUTE(2キー同時!AD346," ",""),"　","")))</f>
        <v/>
      </c>
      <c r="H1331" s="2" t="str">
        <f aca="false">IF($G1331="","",2キー同時!$B$344)</f>
        <v/>
      </c>
      <c r="I1331" s="2" t="str">
        <f aca="false">IF($G1331="","","7")</f>
        <v/>
      </c>
      <c r="J1331" s="2" t="str">
        <f aca="false">""</f>
        <v/>
      </c>
      <c r="K1331" s="2" t="str">
        <f aca="false">""</f>
        <v/>
      </c>
      <c r="L1331" s="2" t="str">
        <f aca="false">IF($G1331="","","同時")</f>
        <v/>
      </c>
      <c r="M1331" s="2" t="str">
        <f aca="false">IF($G1331="","",IF(ISNA(MATCH($G1331,個別指定!$A:$A,0)),"行なし",""))</f>
        <v/>
      </c>
      <c r="N1331" s="2" t="str">
        <f aca="false">IF($G1331="","",IF(COUNTIF($G$2:$G$4460,$G1331)&gt;1,"重複",""))</f>
        <v/>
      </c>
    </row>
    <row r="1332" customFormat="false" ht="16.5" hidden="false" customHeight="true" outlineLevel="0" collapsed="false">
      <c r="A1332" s="2" t="s">
        <v>385</v>
      </c>
      <c r="B1332" s="2" t="s">
        <v>412</v>
      </c>
      <c r="C1332" s="2" t="s">
        <v>7</v>
      </c>
      <c r="D1332" s="2" t="str">
        <f aca="false">IF(2キー同時!$B$344="","",2キー同時!$B$344)</f>
        <v/>
      </c>
      <c r="E1332" s="2" t="str">
        <f aca="false">""</f>
        <v/>
      </c>
      <c r="F1332" s="2" t="str">
        <f aca="false">""</f>
        <v/>
      </c>
      <c r="G1332" s="2" t="str">
        <f aca="false">IF(2キー同時!$B$344="","",IF(2キー同時!AH346="","",SUBSTITUTE(SUBSTITUTE(2キー同時!AH346," ",""),"　","")))</f>
        <v/>
      </c>
      <c r="H1332" s="2" t="str">
        <f aca="false">IF($G1332="","",2キー同時!$B$344)</f>
        <v/>
      </c>
      <c r="I1332" s="2" t="str">
        <f aca="false">IF($G1332="","","8")</f>
        <v/>
      </c>
      <c r="J1332" s="2" t="str">
        <f aca="false">""</f>
        <v/>
      </c>
      <c r="K1332" s="2" t="str">
        <f aca="false">""</f>
        <v/>
      </c>
      <c r="L1332" s="2" t="str">
        <f aca="false">IF($G1332="","","同時")</f>
        <v/>
      </c>
      <c r="M1332" s="2" t="str">
        <f aca="false">IF($G1332="","",IF(ISNA(MATCH($G1332,個別指定!$A:$A,0)),"行なし",""))</f>
        <v/>
      </c>
      <c r="N1332" s="2" t="str">
        <f aca="false">IF($G1332="","",IF(COUNTIF($G$2:$G$4460,$G1332)&gt;1,"重複",""))</f>
        <v/>
      </c>
    </row>
    <row r="1333" customFormat="false" ht="16.5" hidden="false" customHeight="true" outlineLevel="0" collapsed="false">
      <c r="A1333" s="2" t="s">
        <v>385</v>
      </c>
      <c r="B1333" s="2" t="s">
        <v>412</v>
      </c>
      <c r="C1333" s="2" t="s">
        <v>8</v>
      </c>
      <c r="D1333" s="2" t="str">
        <f aca="false">IF(2キー同時!$B$344="","",2キー同時!$B$344)</f>
        <v/>
      </c>
      <c r="E1333" s="2" t="str">
        <f aca="false">""</f>
        <v/>
      </c>
      <c r="F1333" s="2" t="str">
        <f aca="false">""</f>
        <v/>
      </c>
      <c r="G1333" s="2" t="str">
        <f aca="false">IF(2キー同時!$B$344="","",IF(2キー同時!AL346="","",SUBSTITUTE(SUBSTITUTE(2キー同時!AL346," ",""),"　","")))</f>
        <v/>
      </c>
      <c r="H1333" s="2" t="str">
        <f aca="false">IF($G1333="","",2キー同時!$B$344)</f>
        <v/>
      </c>
      <c r="I1333" s="2" t="str">
        <f aca="false">IF($G1333="","","9")</f>
        <v/>
      </c>
      <c r="J1333" s="2" t="str">
        <f aca="false">""</f>
        <v/>
      </c>
      <c r="K1333" s="2" t="str">
        <f aca="false">""</f>
        <v/>
      </c>
      <c r="L1333" s="2" t="str">
        <f aca="false">IF($G1333="","","同時")</f>
        <v/>
      </c>
      <c r="M1333" s="2" t="str">
        <f aca="false">IF($G1333="","",IF(ISNA(MATCH($G1333,個別指定!$A:$A,0)),"行なし",""))</f>
        <v/>
      </c>
      <c r="N1333" s="2" t="str">
        <f aca="false">IF($G1333="","",IF(COUNTIF($G$2:$G$4460,$G1333)&gt;1,"重複",""))</f>
        <v/>
      </c>
    </row>
    <row r="1334" customFormat="false" ht="16.5" hidden="false" customHeight="true" outlineLevel="0" collapsed="false">
      <c r="A1334" s="2" t="s">
        <v>385</v>
      </c>
      <c r="B1334" s="2" t="s">
        <v>412</v>
      </c>
      <c r="C1334" s="2" t="s">
        <v>9</v>
      </c>
      <c r="D1334" s="2" t="str">
        <f aca="false">IF(2キー同時!$B$344="","",2キー同時!$B$344)</f>
        <v/>
      </c>
      <c r="E1334" s="2" t="str">
        <f aca="false">""</f>
        <v/>
      </c>
      <c r="F1334" s="2" t="str">
        <f aca="false">""</f>
        <v/>
      </c>
      <c r="G1334" s="2" t="str">
        <f aca="false">IF(2キー同時!$B$344="","",IF(2キー同時!AP346="","",SUBSTITUTE(SUBSTITUTE(2キー同時!AP346," ",""),"　","")))</f>
        <v/>
      </c>
      <c r="H1334" s="2" t="str">
        <f aca="false">IF($G1334="","",2キー同時!$B$344)</f>
        <v/>
      </c>
      <c r="I1334" s="2" t="str">
        <f aca="false">IF($G1334="","","0")</f>
        <v/>
      </c>
      <c r="J1334" s="2" t="str">
        <f aca="false">""</f>
        <v/>
      </c>
      <c r="K1334" s="2" t="str">
        <f aca="false">""</f>
        <v/>
      </c>
      <c r="L1334" s="2" t="str">
        <f aca="false">IF($G1334="","","同時")</f>
        <v/>
      </c>
      <c r="M1334" s="2" t="str">
        <f aca="false">IF($G1334="","",IF(ISNA(MATCH($G1334,個別指定!$A:$A,0)),"行なし",""))</f>
        <v/>
      </c>
      <c r="N1334" s="2" t="str">
        <f aca="false">IF($G1334="","",IF(COUNTIF($G$2:$G$4460,$G1334)&gt;1,"重複",""))</f>
        <v/>
      </c>
    </row>
    <row r="1335" customFormat="false" ht="16.5" hidden="false" customHeight="true" outlineLevel="0" collapsed="false">
      <c r="A1335" s="2" t="s">
        <v>385</v>
      </c>
      <c r="B1335" s="2" t="s">
        <v>412</v>
      </c>
      <c r="C1335" s="2" t="s">
        <v>10</v>
      </c>
      <c r="D1335" s="2" t="str">
        <f aca="false">IF(2キー同時!$B$344="","",2キー同時!$B$344)</f>
        <v/>
      </c>
      <c r="E1335" s="2" t="str">
        <f aca="false">""</f>
        <v/>
      </c>
      <c r="F1335" s="2" t="str">
        <f aca="false">""</f>
        <v/>
      </c>
      <c r="G1335" s="2" t="str">
        <f aca="false">IF(2キー同時!$B$344="","",IF(2キー同時!AT346="","",SUBSTITUTE(SUBSTITUTE(2キー同時!AT346," ",""),"　","")))</f>
        <v/>
      </c>
      <c r="H1335" s="2" t="str">
        <f aca="false">IF($G1335="","",2キー同時!$B$344)</f>
        <v/>
      </c>
      <c r="I1335" s="2" t="str">
        <f aca="false">IF($G1335="","","-")</f>
        <v/>
      </c>
      <c r="J1335" s="2" t="str">
        <f aca="false">""</f>
        <v/>
      </c>
      <c r="K1335" s="2" t="str">
        <f aca="false">""</f>
        <v/>
      </c>
      <c r="L1335" s="2" t="str">
        <f aca="false">IF($G1335="","","同時")</f>
        <v/>
      </c>
      <c r="M1335" s="2" t="str">
        <f aca="false">IF($G1335="","",IF(ISNA(MATCH($G1335,個別指定!$A:$A,0)),"行なし",""))</f>
        <v/>
      </c>
      <c r="N1335" s="2" t="str">
        <f aca="false">IF($G1335="","",IF(COUNTIF($G$2:$G$4460,$G1335)&gt;1,"重複",""))</f>
        <v/>
      </c>
    </row>
    <row r="1336" customFormat="false" ht="16.5" hidden="false" customHeight="true" outlineLevel="0" collapsed="false">
      <c r="A1336" s="2" t="s">
        <v>385</v>
      </c>
      <c r="B1336" s="2" t="s">
        <v>412</v>
      </c>
      <c r="C1336" s="2" t="s">
        <v>11</v>
      </c>
      <c r="D1336" s="2" t="str">
        <f aca="false">IF(2キー同時!$B$344="","",2キー同時!$B$344)</f>
        <v/>
      </c>
      <c r="E1336" s="2" t="str">
        <f aca="false">""</f>
        <v/>
      </c>
      <c r="F1336" s="2" t="str">
        <f aca="false">""</f>
        <v/>
      </c>
      <c r="G1336" s="2" t="str">
        <f aca="false">IF(2キー同時!$B$344="","",IF(2キー同時!AX346="","",SUBSTITUTE(SUBSTITUTE(2キー同時!AX346," ",""),"　","")))</f>
        <v/>
      </c>
      <c r="H1336" s="2" t="str">
        <f aca="false">IF($G1336="","",2キー同時!$B$344)</f>
        <v/>
      </c>
      <c r="I1336" s="2" t="str">
        <f aca="false">IF($G1336="","","=")</f>
        <v/>
      </c>
      <c r="J1336" s="2" t="str">
        <f aca="false">""</f>
        <v/>
      </c>
      <c r="K1336" s="2" t="str">
        <f aca="false">""</f>
        <v/>
      </c>
      <c r="L1336" s="2" t="str">
        <f aca="false">IF($G1336="","","同時")</f>
        <v/>
      </c>
      <c r="M1336" s="2" t="str">
        <f aca="false">IF($G1336="","",IF(ISNA(MATCH($G1336,個別指定!$A:$A,0)),"行なし",""))</f>
        <v/>
      </c>
      <c r="N1336" s="2" t="str">
        <f aca="false">IF($G1336="","",IF(COUNTIF($G$2:$G$4460,$G1336)&gt;1,"重複",""))</f>
        <v/>
      </c>
    </row>
    <row r="1337" customFormat="false" ht="16.5" hidden="false" customHeight="true" outlineLevel="0" collapsed="false">
      <c r="A1337" s="2" t="s">
        <v>385</v>
      </c>
      <c r="B1337" s="2" t="s">
        <v>412</v>
      </c>
      <c r="C1337" s="2" t="s">
        <v>12</v>
      </c>
      <c r="D1337" s="2" t="str">
        <f aca="false">IF(2キー同時!$B$344="","",2キー同時!$B$344)</f>
        <v/>
      </c>
      <c r="E1337" s="2" t="str">
        <f aca="false">""</f>
        <v/>
      </c>
      <c r="F1337" s="2" t="str">
        <f aca="false">""</f>
        <v/>
      </c>
      <c r="G1337" s="2" t="str">
        <f aca="false">IF(2キー同時!$B$344="","",IF(2キー同時!H348="","",SUBSTITUTE(SUBSTITUTE(2キー同時!H348," ",""),"　","")))</f>
        <v/>
      </c>
      <c r="H1337" s="2" t="str">
        <f aca="false">IF($G1337="","",2キー同時!$B$344)</f>
        <v/>
      </c>
      <c r="I1337" s="2" t="str">
        <f aca="false">IF($G1337="","","q")</f>
        <v/>
      </c>
      <c r="J1337" s="2" t="str">
        <f aca="false">""</f>
        <v/>
      </c>
      <c r="K1337" s="2" t="str">
        <f aca="false">""</f>
        <v/>
      </c>
      <c r="L1337" s="2" t="str">
        <f aca="false">IF($G1337="","","同時")</f>
        <v/>
      </c>
      <c r="M1337" s="2" t="str">
        <f aca="false">IF($G1337="","",IF(ISNA(MATCH($G1337,個別指定!$A:$A,0)),"行なし",""))</f>
        <v/>
      </c>
      <c r="N1337" s="2" t="str">
        <f aca="false">IF($G1337="","",IF(COUNTIF($G$2:$G$4460,$G1337)&gt;1,"重複",""))</f>
        <v/>
      </c>
    </row>
    <row r="1338" customFormat="false" ht="16.5" hidden="false" customHeight="true" outlineLevel="0" collapsed="false">
      <c r="A1338" s="2" t="s">
        <v>385</v>
      </c>
      <c r="B1338" s="2" t="s">
        <v>412</v>
      </c>
      <c r="C1338" s="2" t="s">
        <v>13</v>
      </c>
      <c r="D1338" s="2" t="str">
        <f aca="false">IF(2キー同時!$B$344="","",2キー同時!$B$344)</f>
        <v/>
      </c>
      <c r="E1338" s="2" t="str">
        <f aca="false">""</f>
        <v/>
      </c>
      <c r="F1338" s="2" t="str">
        <f aca="false">""</f>
        <v/>
      </c>
      <c r="G1338" s="2" t="str">
        <f aca="false">IF(2キー同時!$B$344="","",IF(2キー同時!L348="","",SUBSTITUTE(SUBSTITUTE(2キー同時!L348," ",""),"　","")))</f>
        <v/>
      </c>
      <c r="H1338" s="2" t="str">
        <f aca="false">IF($G1338="","",2キー同時!$B$344)</f>
        <v/>
      </c>
      <c r="I1338" s="2" t="str">
        <f aca="false">IF($G1338="","","w")</f>
        <v/>
      </c>
      <c r="J1338" s="2" t="str">
        <f aca="false">""</f>
        <v/>
      </c>
      <c r="K1338" s="2" t="str">
        <f aca="false">""</f>
        <v/>
      </c>
      <c r="L1338" s="2" t="str">
        <f aca="false">IF($G1338="","","同時")</f>
        <v/>
      </c>
      <c r="M1338" s="2" t="str">
        <f aca="false">IF($G1338="","",IF(ISNA(MATCH($G1338,個別指定!$A:$A,0)),"行なし",""))</f>
        <v/>
      </c>
      <c r="N1338" s="2" t="str">
        <f aca="false">IF($G1338="","",IF(COUNTIF($G$2:$G$4460,$G1338)&gt;1,"重複",""))</f>
        <v/>
      </c>
    </row>
    <row r="1339" customFormat="false" ht="16.5" hidden="false" customHeight="true" outlineLevel="0" collapsed="false">
      <c r="A1339" s="2" t="s">
        <v>385</v>
      </c>
      <c r="B1339" s="2" t="s">
        <v>412</v>
      </c>
      <c r="C1339" s="2" t="s">
        <v>14</v>
      </c>
      <c r="D1339" s="2" t="str">
        <f aca="false">IF(2キー同時!$B$344="","",2キー同時!$B$344)</f>
        <v/>
      </c>
      <c r="E1339" s="2" t="str">
        <f aca="false">""</f>
        <v/>
      </c>
      <c r="F1339" s="2" t="str">
        <f aca="false">""</f>
        <v/>
      </c>
      <c r="G1339" s="2" t="str">
        <f aca="false">IF(2キー同時!$B$344="","",IF(2キー同時!P348="","",SUBSTITUTE(SUBSTITUTE(2キー同時!P348," ",""),"　","")))</f>
        <v/>
      </c>
      <c r="H1339" s="2" t="str">
        <f aca="false">IF($G1339="","",2キー同時!$B$344)</f>
        <v/>
      </c>
      <c r="I1339" s="2" t="str">
        <f aca="false">IF($G1339="","","e")</f>
        <v/>
      </c>
      <c r="J1339" s="2" t="str">
        <f aca="false">""</f>
        <v/>
      </c>
      <c r="K1339" s="2" t="str">
        <f aca="false">""</f>
        <v/>
      </c>
      <c r="L1339" s="2" t="str">
        <f aca="false">IF($G1339="","","同時")</f>
        <v/>
      </c>
      <c r="M1339" s="2" t="str">
        <f aca="false">IF($G1339="","",IF(ISNA(MATCH($G1339,個別指定!$A:$A,0)),"行なし",""))</f>
        <v/>
      </c>
      <c r="N1339" s="2" t="str">
        <f aca="false">IF($G1339="","",IF(COUNTIF($G$2:$G$4460,$G1339)&gt;1,"重複",""))</f>
        <v/>
      </c>
    </row>
    <row r="1340" customFormat="false" ht="16.5" hidden="false" customHeight="true" outlineLevel="0" collapsed="false">
      <c r="A1340" s="2" t="s">
        <v>385</v>
      </c>
      <c r="B1340" s="2" t="s">
        <v>412</v>
      </c>
      <c r="C1340" s="2" t="s">
        <v>15</v>
      </c>
      <c r="D1340" s="2" t="str">
        <f aca="false">IF(2キー同時!$B$344="","",2キー同時!$B$344)</f>
        <v/>
      </c>
      <c r="E1340" s="2" t="str">
        <f aca="false">""</f>
        <v/>
      </c>
      <c r="F1340" s="2" t="str">
        <f aca="false">""</f>
        <v/>
      </c>
      <c r="G1340" s="2" t="str">
        <f aca="false">IF(2キー同時!$B$344="","",IF(2キー同時!T348="","",SUBSTITUTE(SUBSTITUTE(2キー同時!T348," ",""),"　","")))</f>
        <v/>
      </c>
      <c r="H1340" s="2" t="str">
        <f aca="false">IF($G1340="","",2キー同時!$B$344)</f>
        <v/>
      </c>
      <c r="I1340" s="2" t="str">
        <f aca="false">IF($G1340="","","r")</f>
        <v/>
      </c>
      <c r="J1340" s="2" t="str">
        <f aca="false">""</f>
        <v/>
      </c>
      <c r="K1340" s="2" t="str">
        <f aca="false">""</f>
        <v/>
      </c>
      <c r="L1340" s="2" t="str">
        <f aca="false">IF($G1340="","","同時")</f>
        <v/>
      </c>
      <c r="M1340" s="2" t="str">
        <f aca="false">IF($G1340="","",IF(ISNA(MATCH($G1340,個別指定!$A:$A,0)),"行なし",""))</f>
        <v/>
      </c>
      <c r="N1340" s="2" t="str">
        <f aca="false">IF($G1340="","",IF(COUNTIF($G$2:$G$4460,$G1340)&gt;1,"重複",""))</f>
        <v/>
      </c>
    </row>
    <row r="1341" customFormat="false" ht="16.5" hidden="false" customHeight="true" outlineLevel="0" collapsed="false">
      <c r="A1341" s="2" t="s">
        <v>385</v>
      </c>
      <c r="B1341" s="2" t="s">
        <v>412</v>
      </c>
      <c r="C1341" s="2" t="s">
        <v>16</v>
      </c>
      <c r="D1341" s="2" t="str">
        <f aca="false">IF(2キー同時!$B$344="","",2キー同時!$B$344)</f>
        <v/>
      </c>
      <c r="E1341" s="2" t="str">
        <f aca="false">""</f>
        <v/>
      </c>
      <c r="F1341" s="2" t="str">
        <f aca="false">""</f>
        <v/>
      </c>
      <c r="G1341" s="2" t="str">
        <f aca="false">IF(2キー同時!$B$344="","",IF(2キー同時!X348="","",SUBSTITUTE(SUBSTITUTE(2キー同時!X348," ",""),"　","")))</f>
        <v/>
      </c>
      <c r="H1341" s="2" t="str">
        <f aca="false">IF($G1341="","",2キー同時!$B$344)</f>
        <v/>
      </c>
      <c r="I1341" s="2" t="str">
        <f aca="false">IF($G1341="","","t")</f>
        <v/>
      </c>
      <c r="J1341" s="2" t="str">
        <f aca="false">""</f>
        <v/>
      </c>
      <c r="K1341" s="2" t="str">
        <f aca="false">""</f>
        <v/>
      </c>
      <c r="L1341" s="2" t="str">
        <f aca="false">IF($G1341="","","同時")</f>
        <v/>
      </c>
      <c r="M1341" s="2" t="str">
        <f aca="false">IF($G1341="","",IF(ISNA(MATCH($G1341,個別指定!$A:$A,0)),"行なし",""))</f>
        <v/>
      </c>
      <c r="N1341" s="2" t="str">
        <f aca="false">IF($G1341="","",IF(COUNTIF($G$2:$G$4460,$G1341)&gt;1,"重複",""))</f>
        <v/>
      </c>
    </row>
    <row r="1342" customFormat="false" ht="16.5" hidden="false" customHeight="true" outlineLevel="0" collapsed="false">
      <c r="A1342" s="2" t="s">
        <v>385</v>
      </c>
      <c r="B1342" s="2" t="s">
        <v>412</v>
      </c>
      <c r="C1342" s="2" t="s">
        <v>17</v>
      </c>
      <c r="D1342" s="2" t="str">
        <f aca="false">IF(2キー同時!$B$344="","",2キー同時!$B$344)</f>
        <v/>
      </c>
      <c r="E1342" s="2" t="str">
        <f aca="false">""</f>
        <v/>
      </c>
      <c r="F1342" s="2" t="str">
        <f aca="false">""</f>
        <v/>
      </c>
      <c r="G1342" s="2" t="str">
        <f aca="false">IF(2キー同時!$B$344="","",IF(2キー同時!AB348="","",SUBSTITUTE(SUBSTITUTE(2キー同時!AB348," ",""),"　","")))</f>
        <v/>
      </c>
      <c r="H1342" s="2" t="str">
        <f aca="false">IF($G1342="","",2キー同時!$B$344)</f>
        <v/>
      </c>
      <c r="I1342" s="2" t="str">
        <f aca="false">IF($G1342="","","y")</f>
        <v/>
      </c>
      <c r="J1342" s="2" t="str">
        <f aca="false">""</f>
        <v/>
      </c>
      <c r="K1342" s="2" t="str">
        <f aca="false">""</f>
        <v/>
      </c>
      <c r="L1342" s="2" t="str">
        <f aca="false">IF($G1342="","","同時")</f>
        <v/>
      </c>
      <c r="M1342" s="2" t="str">
        <f aca="false">IF($G1342="","",IF(ISNA(MATCH($G1342,個別指定!$A:$A,0)),"行なし",""))</f>
        <v/>
      </c>
      <c r="N1342" s="2" t="str">
        <f aca="false">IF($G1342="","",IF(COUNTIF($G$2:$G$4460,$G1342)&gt;1,"重複",""))</f>
        <v/>
      </c>
    </row>
    <row r="1343" customFormat="false" ht="16.5" hidden="false" customHeight="true" outlineLevel="0" collapsed="false">
      <c r="A1343" s="2" t="s">
        <v>385</v>
      </c>
      <c r="B1343" s="2" t="s">
        <v>412</v>
      </c>
      <c r="C1343" s="2" t="s">
        <v>18</v>
      </c>
      <c r="D1343" s="2" t="str">
        <f aca="false">IF(2キー同時!$B$344="","",2キー同時!$B$344)</f>
        <v/>
      </c>
      <c r="E1343" s="2" t="str">
        <f aca="false">""</f>
        <v/>
      </c>
      <c r="F1343" s="2" t="str">
        <f aca="false">""</f>
        <v/>
      </c>
      <c r="G1343" s="2" t="str">
        <f aca="false">IF(2キー同時!$B$344="","",IF(2キー同時!AF348="","",SUBSTITUTE(SUBSTITUTE(2キー同時!AF348," ",""),"　","")))</f>
        <v/>
      </c>
      <c r="H1343" s="2" t="str">
        <f aca="false">IF($G1343="","",2キー同時!$B$344)</f>
        <v/>
      </c>
      <c r="I1343" s="2" t="str">
        <f aca="false">IF($G1343="","","u")</f>
        <v/>
      </c>
      <c r="J1343" s="2" t="str">
        <f aca="false">""</f>
        <v/>
      </c>
      <c r="K1343" s="2" t="str">
        <f aca="false">""</f>
        <v/>
      </c>
      <c r="L1343" s="2" t="str">
        <f aca="false">IF($G1343="","","同時")</f>
        <v/>
      </c>
      <c r="M1343" s="2" t="str">
        <f aca="false">IF($G1343="","",IF(ISNA(MATCH($G1343,個別指定!$A:$A,0)),"行なし",""))</f>
        <v/>
      </c>
      <c r="N1343" s="2" t="str">
        <f aca="false">IF($G1343="","",IF(COUNTIF($G$2:$G$4460,$G1343)&gt;1,"重複",""))</f>
        <v/>
      </c>
    </row>
    <row r="1344" customFormat="false" ht="16.5" hidden="false" customHeight="true" outlineLevel="0" collapsed="false">
      <c r="A1344" s="2" t="s">
        <v>385</v>
      </c>
      <c r="B1344" s="2" t="s">
        <v>412</v>
      </c>
      <c r="C1344" s="2" t="s">
        <v>19</v>
      </c>
      <c r="D1344" s="2" t="str">
        <f aca="false">IF(2キー同時!$B$344="","",2キー同時!$B$344)</f>
        <v/>
      </c>
      <c r="E1344" s="2" t="str">
        <f aca="false">""</f>
        <v/>
      </c>
      <c r="F1344" s="2" t="str">
        <f aca="false">""</f>
        <v/>
      </c>
      <c r="G1344" s="2" t="str">
        <f aca="false">IF(2キー同時!$B$344="","",IF(2キー同時!AJ348="","",SUBSTITUTE(SUBSTITUTE(2キー同時!AJ348," ",""),"　","")))</f>
        <v/>
      </c>
      <c r="H1344" s="2" t="str">
        <f aca="false">IF($G1344="","",2キー同時!$B$344)</f>
        <v/>
      </c>
      <c r="I1344" s="2" t="str">
        <f aca="false">IF($G1344="","","i")</f>
        <v/>
      </c>
      <c r="J1344" s="2" t="str">
        <f aca="false">""</f>
        <v/>
      </c>
      <c r="K1344" s="2" t="str">
        <f aca="false">""</f>
        <v/>
      </c>
      <c r="L1344" s="2" t="str">
        <f aca="false">IF($G1344="","","同時")</f>
        <v/>
      </c>
      <c r="M1344" s="2" t="str">
        <f aca="false">IF($G1344="","",IF(ISNA(MATCH($G1344,個別指定!$A:$A,0)),"行なし",""))</f>
        <v/>
      </c>
      <c r="N1344" s="2" t="str">
        <f aca="false">IF($G1344="","",IF(COUNTIF($G$2:$G$4460,$G1344)&gt;1,"重複",""))</f>
        <v/>
      </c>
    </row>
    <row r="1345" customFormat="false" ht="16.5" hidden="false" customHeight="true" outlineLevel="0" collapsed="false">
      <c r="A1345" s="2" t="s">
        <v>385</v>
      </c>
      <c r="B1345" s="2" t="s">
        <v>412</v>
      </c>
      <c r="C1345" s="2" t="s">
        <v>20</v>
      </c>
      <c r="D1345" s="2" t="str">
        <f aca="false">IF(2キー同時!$B$344="","",2キー同時!$B$344)</f>
        <v/>
      </c>
      <c r="E1345" s="2" t="str">
        <f aca="false">""</f>
        <v/>
      </c>
      <c r="F1345" s="2" t="str">
        <f aca="false">""</f>
        <v/>
      </c>
      <c r="G1345" s="2" t="str">
        <f aca="false">IF(2キー同時!$B$344="","",IF(2キー同時!AN348="","",SUBSTITUTE(SUBSTITUTE(2キー同時!AN348," ",""),"　","")))</f>
        <v/>
      </c>
      <c r="H1345" s="2" t="str">
        <f aca="false">IF($G1345="","",2キー同時!$B$344)</f>
        <v/>
      </c>
      <c r="I1345" s="2" t="str">
        <f aca="false">IF($G1345="","","o")</f>
        <v/>
      </c>
      <c r="J1345" s="2" t="str">
        <f aca="false">""</f>
        <v/>
      </c>
      <c r="K1345" s="2" t="str">
        <f aca="false">""</f>
        <v/>
      </c>
      <c r="L1345" s="2" t="str">
        <f aca="false">IF($G1345="","","同時")</f>
        <v/>
      </c>
      <c r="M1345" s="2" t="str">
        <f aca="false">IF($G1345="","",IF(ISNA(MATCH($G1345,個別指定!$A:$A,0)),"行なし",""))</f>
        <v/>
      </c>
      <c r="N1345" s="2" t="str">
        <f aca="false">IF($G1345="","",IF(COUNTIF($G$2:$G$4460,$G1345)&gt;1,"重複",""))</f>
        <v/>
      </c>
    </row>
    <row r="1346" customFormat="false" ht="16.5" hidden="false" customHeight="true" outlineLevel="0" collapsed="false">
      <c r="A1346" s="2" t="s">
        <v>385</v>
      </c>
      <c r="B1346" s="2" t="s">
        <v>412</v>
      </c>
      <c r="C1346" s="2" t="s">
        <v>21</v>
      </c>
      <c r="D1346" s="2" t="str">
        <f aca="false">IF(2キー同時!$B$344="","",2キー同時!$B$344)</f>
        <v/>
      </c>
      <c r="E1346" s="2" t="str">
        <f aca="false">""</f>
        <v/>
      </c>
      <c r="F1346" s="2" t="str">
        <f aca="false">""</f>
        <v/>
      </c>
      <c r="G1346" s="2" t="str">
        <f aca="false">IF(2キー同時!$B$344="","",IF(2キー同時!AR348="","",SUBSTITUTE(SUBSTITUTE(2キー同時!AR348," ",""),"　","")))</f>
        <v/>
      </c>
      <c r="H1346" s="2" t="str">
        <f aca="false">IF($G1346="","",2キー同時!$B$344)</f>
        <v/>
      </c>
      <c r="I1346" s="2" t="str">
        <f aca="false">IF($G1346="","","p")</f>
        <v/>
      </c>
      <c r="J1346" s="2" t="str">
        <f aca="false">""</f>
        <v/>
      </c>
      <c r="K1346" s="2" t="str">
        <f aca="false">""</f>
        <v/>
      </c>
      <c r="L1346" s="2" t="str">
        <f aca="false">IF($G1346="","","同時")</f>
        <v/>
      </c>
      <c r="M1346" s="2" t="str">
        <f aca="false">IF($G1346="","",IF(ISNA(MATCH($G1346,個別指定!$A:$A,0)),"行なし",""))</f>
        <v/>
      </c>
      <c r="N1346" s="2" t="str">
        <f aca="false">IF($G1346="","",IF(COUNTIF($G$2:$G$4460,$G1346)&gt;1,"重複",""))</f>
        <v/>
      </c>
    </row>
    <row r="1347" customFormat="false" ht="16.5" hidden="false" customHeight="true" outlineLevel="0" collapsed="false">
      <c r="A1347" s="2" t="s">
        <v>385</v>
      </c>
      <c r="B1347" s="2" t="s">
        <v>412</v>
      </c>
      <c r="C1347" s="2" t="s">
        <v>22</v>
      </c>
      <c r="D1347" s="2" t="str">
        <f aca="false">IF(2キー同時!$B$344="","",2キー同時!$B$344)</f>
        <v/>
      </c>
      <c r="E1347" s="2" t="str">
        <f aca="false">""</f>
        <v/>
      </c>
      <c r="F1347" s="2" t="str">
        <f aca="false">""</f>
        <v/>
      </c>
      <c r="G1347" s="2" t="str">
        <f aca="false">IF(2キー同時!$B$344="","",IF(2キー同時!AV348="","",SUBSTITUTE(SUBSTITUTE(2キー同時!AV348," ",""),"　","")))</f>
        <v/>
      </c>
      <c r="H1347" s="2" t="str">
        <f aca="false">IF($G1347="","",2キー同時!$B$344)</f>
        <v/>
      </c>
      <c r="I1347" s="2" t="str">
        <f aca="false">IF($G1347="","","[")</f>
        <v/>
      </c>
      <c r="J1347" s="2" t="str">
        <f aca="false">""</f>
        <v/>
      </c>
      <c r="K1347" s="2" t="str">
        <f aca="false">""</f>
        <v/>
      </c>
      <c r="L1347" s="2" t="str">
        <f aca="false">IF($G1347="","","同時")</f>
        <v/>
      </c>
      <c r="M1347" s="2" t="str">
        <f aca="false">IF($G1347="","",IF(ISNA(MATCH($G1347,個別指定!$A:$A,0)),"行なし",""))</f>
        <v/>
      </c>
      <c r="N1347" s="2" t="str">
        <f aca="false">IF($G1347="","",IF(COUNTIF($G$2:$G$4460,$G1347)&gt;1,"重複",""))</f>
        <v/>
      </c>
    </row>
    <row r="1348" customFormat="false" ht="16.5" hidden="false" customHeight="true" outlineLevel="0" collapsed="false">
      <c r="A1348" s="2" t="s">
        <v>385</v>
      </c>
      <c r="B1348" s="2" t="s">
        <v>412</v>
      </c>
      <c r="C1348" s="2" t="s">
        <v>23</v>
      </c>
      <c r="D1348" s="2" t="str">
        <f aca="false">IF(2キー同時!$B$344="","",2キー同時!$B$344)</f>
        <v/>
      </c>
      <c r="E1348" s="2" t="str">
        <f aca="false">""</f>
        <v/>
      </c>
      <c r="F1348" s="2" t="str">
        <f aca="false">""</f>
        <v/>
      </c>
      <c r="G1348" s="2" t="str">
        <f aca="false">IF(2キー同時!$B$344="","",IF(2キー同時!AZ348="","",SUBSTITUTE(SUBSTITUTE(2キー同時!AZ348," ",""),"　","")))</f>
        <v/>
      </c>
      <c r="H1348" s="2" t="str">
        <f aca="false">IF($G1348="","",2キー同時!$B$344)</f>
        <v/>
      </c>
      <c r="I1348" s="2" t="str">
        <f aca="false">IF($G1348="","","]")</f>
        <v/>
      </c>
      <c r="J1348" s="2" t="str">
        <f aca="false">""</f>
        <v/>
      </c>
      <c r="K1348" s="2" t="str">
        <f aca="false">""</f>
        <v/>
      </c>
      <c r="L1348" s="2" t="str">
        <f aca="false">IF($G1348="","","同時")</f>
        <v/>
      </c>
      <c r="M1348" s="2" t="str">
        <f aca="false">IF($G1348="","",IF(ISNA(MATCH($G1348,個別指定!$A:$A,0)),"行なし",""))</f>
        <v/>
      </c>
      <c r="N1348" s="2" t="str">
        <f aca="false">IF($G1348="","",IF(COUNTIF($G$2:$G$4460,$G1348)&gt;1,"重複",""))</f>
        <v/>
      </c>
    </row>
    <row r="1349" customFormat="false" ht="16.5" hidden="false" customHeight="true" outlineLevel="0" collapsed="false">
      <c r="A1349" s="2" t="s">
        <v>385</v>
      </c>
      <c r="B1349" s="2" t="s">
        <v>412</v>
      </c>
      <c r="C1349" s="2" t="s">
        <v>24</v>
      </c>
      <c r="D1349" s="2" t="str">
        <f aca="false">IF(2キー同時!$B$344="","",2キー同時!$B$344)</f>
        <v/>
      </c>
      <c r="E1349" s="2" t="str">
        <f aca="false">""</f>
        <v/>
      </c>
      <c r="F1349" s="2" t="str">
        <f aca="false">""</f>
        <v/>
      </c>
      <c r="G1349" s="2" t="str">
        <f aca="false">IF(2キー同時!$B$344="","",IF(2キー同時!I350="","",SUBSTITUTE(SUBSTITUTE(2キー同時!I350," ",""),"　","")))</f>
        <v/>
      </c>
      <c r="H1349" s="2" t="str">
        <f aca="false">IF($G1349="","",2キー同時!$B$344)</f>
        <v/>
      </c>
      <c r="I1349" s="2" t="str">
        <f aca="false">IF($G1349="","","a")</f>
        <v/>
      </c>
      <c r="J1349" s="2" t="str">
        <f aca="false">""</f>
        <v/>
      </c>
      <c r="K1349" s="2" t="str">
        <f aca="false">""</f>
        <v/>
      </c>
      <c r="L1349" s="2" t="str">
        <f aca="false">IF($G1349="","","同時")</f>
        <v/>
      </c>
      <c r="M1349" s="2" t="str">
        <f aca="false">IF($G1349="","",IF(ISNA(MATCH($G1349,個別指定!$A:$A,0)),"行なし",""))</f>
        <v/>
      </c>
      <c r="N1349" s="2" t="str">
        <f aca="false">IF($G1349="","",IF(COUNTIF($G$2:$G$4460,$G1349)&gt;1,"重複",""))</f>
        <v/>
      </c>
    </row>
    <row r="1350" customFormat="false" ht="16.5" hidden="false" customHeight="true" outlineLevel="0" collapsed="false">
      <c r="A1350" s="2" t="s">
        <v>385</v>
      </c>
      <c r="B1350" s="2" t="s">
        <v>412</v>
      </c>
      <c r="C1350" s="2" t="s">
        <v>25</v>
      </c>
      <c r="D1350" s="2" t="str">
        <f aca="false">IF(2キー同時!$B$344="","",2キー同時!$B$344)</f>
        <v/>
      </c>
      <c r="E1350" s="2" t="str">
        <f aca="false">""</f>
        <v/>
      </c>
      <c r="F1350" s="2" t="str">
        <f aca="false">""</f>
        <v/>
      </c>
      <c r="G1350" s="2" t="str">
        <f aca="false">IF(2キー同時!$B$344="","",IF(2キー同時!M350="","",SUBSTITUTE(SUBSTITUTE(2キー同時!M350," ",""),"　","")))</f>
        <v/>
      </c>
      <c r="H1350" s="2" t="str">
        <f aca="false">IF($G1350="","",2キー同時!$B$344)</f>
        <v/>
      </c>
      <c r="I1350" s="2" t="str">
        <f aca="false">IF($G1350="","","s")</f>
        <v/>
      </c>
      <c r="J1350" s="2" t="str">
        <f aca="false">""</f>
        <v/>
      </c>
      <c r="K1350" s="2" t="str">
        <f aca="false">""</f>
        <v/>
      </c>
      <c r="L1350" s="2" t="str">
        <f aca="false">IF($G1350="","","同時")</f>
        <v/>
      </c>
      <c r="M1350" s="2" t="str">
        <f aca="false">IF($G1350="","",IF(ISNA(MATCH($G1350,個別指定!$A:$A,0)),"行なし",""))</f>
        <v/>
      </c>
      <c r="N1350" s="2" t="str">
        <f aca="false">IF($G1350="","",IF(COUNTIF($G$2:$G$4460,$G1350)&gt;1,"重複",""))</f>
        <v/>
      </c>
    </row>
    <row r="1351" customFormat="false" ht="16.5" hidden="false" customHeight="true" outlineLevel="0" collapsed="false">
      <c r="A1351" s="2" t="s">
        <v>385</v>
      </c>
      <c r="B1351" s="2" t="s">
        <v>412</v>
      </c>
      <c r="C1351" s="2" t="s">
        <v>26</v>
      </c>
      <c r="D1351" s="2" t="str">
        <f aca="false">IF(2キー同時!$B$344="","",2キー同時!$B$344)</f>
        <v/>
      </c>
      <c r="E1351" s="2" t="str">
        <f aca="false">""</f>
        <v/>
      </c>
      <c r="F1351" s="2" t="str">
        <f aca="false">""</f>
        <v/>
      </c>
      <c r="G1351" s="2" t="str">
        <f aca="false">IF(2キー同時!$B$344="","",IF(2キー同時!Q350="","",SUBSTITUTE(SUBSTITUTE(2キー同時!Q350," ",""),"　","")))</f>
        <v/>
      </c>
      <c r="H1351" s="2" t="str">
        <f aca="false">IF($G1351="","",2キー同時!$B$344)</f>
        <v/>
      </c>
      <c r="I1351" s="2" t="str">
        <f aca="false">IF($G1351="","","d")</f>
        <v/>
      </c>
      <c r="J1351" s="2" t="str">
        <f aca="false">""</f>
        <v/>
      </c>
      <c r="K1351" s="2" t="str">
        <f aca="false">""</f>
        <v/>
      </c>
      <c r="L1351" s="2" t="str">
        <f aca="false">IF($G1351="","","同時")</f>
        <v/>
      </c>
      <c r="M1351" s="2" t="str">
        <f aca="false">IF($G1351="","",IF(ISNA(MATCH($G1351,個別指定!$A:$A,0)),"行なし",""))</f>
        <v/>
      </c>
      <c r="N1351" s="2" t="str">
        <f aca="false">IF($G1351="","",IF(COUNTIF($G$2:$G$4460,$G1351)&gt;1,"重複",""))</f>
        <v/>
      </c>
    </row>
    <row r="1352" customFormat="false" ht="16.5" hidden="false" customHeight="true" outlineLevel="0" collapsed="false">
      <c r="A1352" s="2" t="s">
        <v>385</v>
      </c>
      <c r="B1352" s="2" t="s">
        <v>412</v>
      </c>
      <c r="C1352" s="2" t="s">
        <v>27</v>
      </c>
      <c r="D1352" s="2" t="str">
        <f aca="false">IF(2キー同時!$B$344="","",2キー同時!$B$344)</f>
        <v/>
      </c>
      <c r="E1352" s="2" t="str">
        <f aca="false">""</f>
        <v/>
      </c>
      <c r="F1352" s="2" t="str">
        <f aca="false">""</f>
        <v/>
      </c>
      <c r="G1352" s="2" t="str">
        <f aca="false">IF(2キー同時!$B$344="","",IF(2キー同時!U350="","",SUBSTITUTE(SUBSTITUTE(2キー同時!U350," ",""),"　","")))</f>
        <v/>
      </c>
      <c r="H1352" s="2" t="str">
        <f aca="false">IF($G1352="","",2キー同時!$B$344)</f>
        <v/>
      </c>
      <c r="I1352" s="2" t="str">
        <f aca="false">IF($G1352="","","f")</f>
        <v/>
      </c>
      <c r="J1352" s="2" t="str">
        <f aca="false">""</f>
        <v/>
      </c>
      <c r="K1352" s="2" t="str">
        <f aca="false">""</f>
        <v/>
      </c>
      <c r="L1352" s="2" t="str">
        <f aca="false">IF($G1352="","","同時")</f>
        <v/>
      </c>
      <c r="M1352" s="2" t="str">
        <f aca="false">IF($G1352="","",IF(ISNA(MATCH($G1352,個別指定!$A:$A,0)),"行なし",""))</f>
        <v/>
      </c>
      <c r="N1352" s="2" t="str">
        <f aca="false">IF($G1352="","",IF(COUNTIF($G$2:$G$4460,$G1352)&gt;1,"重複",""))</f>
        <v/>
      </c>
    </row>
    <row r="1353" customFormat="false" ht="16.5" hidden="false" customHeight="true" outlineLevel="0" collapsed="false">
      <c r="A1353" s="2" t="s">
        <v>385</v>
      </c>
      <c r="B1353" s="2" t="s">
        <v>412</v>
      </c>
      <c r="C1353" s="2" t="s">
        <v>28</v>
      </c>
      <c r="D1353" s="2" t="str">
        <f aca="false">IF(2キー同時!$B$344="","",2キー同時!$B$344)</f>
        <v/>
      </c>
      <c r="E1353" s="2" t="str">
        <f aca="false">""</f>
        <v/>
      </c>
      <c r="F1353" s="2" t="str">
        <f aca="false">""</f>
        <v/>
      </c>
      <c r="G1353" s="2" t="str">
        <f aca="false">IF(2キー同時!$B$344="","",IF(2キー同時!Y350="","",SUBSTITUTE(SUBSTITUTE(2キー同時!Y350," ",""),"　","")))</f>
        <v/>
      </c>
      <c r="H1353" s="2" t="str">
        <f aca="false">IF($G1353="","",2キー同時!$B$344)</f>
        <v/>
      </c>
      <c r="I1353" s="2" t="str">
        <f aca="false">IF($G1353="","","g")</f>
        <v/>
      </c>
      <c r="J1353" s="2" t="str">
        <f aca="false">""</f>
        <v/>
      </c>
      <c r="K1353" s="2" t="str">
        <f aca="false">""</f>
        <v/>
      </c>
      <c r="L1353" s="2" t="str">
        <f aca="false">IF($G1353="","","同時")</f>
        <v/>
      </c>
      <c r="M1353" s="2" t="str">
        <f aca="false">IF($G1353="","",IF(ISNA(MATCH($G1353,個別指定!$A:$A,0)),"行なし",""))</f>
        <v/>
      </c>
      <c r="N1353" s="2" t="str">
        <f aca="false">IF($G1353="","",IF(COUNTIF($G$2:$G$4460,$G1353)&gt;1,"重複",""))</f>
        <v/>
      </c>
    </row>
    <row r="1354" customFormat="false" ht="16.5" hidden="false" customHeight="true" outlineLevel="0" collapsed="false">
      <c r="A1354" s="2" t="s">
        <v>385</v>
      </c>
      <c r="B1354" s="2" t="s">
        <v>412</v>
      </c>
      <c r="C1354" s="2" t="s">
        <v>29</v>
      </c>
      <c r="D1354" s="2" t="str">
        <f aca="false">IF(2キー同時!$B$344="","",2キー同時!$B$344)</f>
        <v/>
      </c>
      <c r="E1354" s="2" t="str">
        <f aca="false">""</f>
        <v/>
      </c>
      <c r="F1354" s="2" t="str">
        <f aca="false">""</f>
        <v/>
      </c>
      <c r="G1354" s="2" t="str">
        <f aca="false">IF(2キー同時!$B$344="","",IF(2キー同時!AC350="","",SUBSTITUTE(SUBSTITUTE(2キー同時!AC350," ",""),"　","")))</f>
        <v/>
      </c>
      <c r="H1354" s="2" t="str">
        <f aca="false">IF($G1354="","",2キー同時!$B$344)</f>
        <v/>
      </c>
      <c r="I1354" s="2" t="str">
        <f aca="false">IF($G1354="","","h")</f>
        <v/>
      </c>
      <c r="J1354" s="2" t="str">
        <f aca="false">""</f>
        <v/>
      </c>
      <c r="K1354" s="2" t="str">
        <f aca="false">""</f>
        <v/>
      </c>
      <c r="L1354" s="2" t="str">
        <f aca="false">IF($G1354="","","同時")</f>
        <v/>
      </c>
      <c r="M1354" s="2" t="str">
        <f aca="false">IF($G1354="","",IF(ISNA(MATCH($G1354,個別指定!$A:$A,0)),"行なし",""))</f>
        <v/>
      </c>
      <c r="N1354" s="2" t="str">
        <f aca="false">IF($G1354="","",IF(COUNTIF($G$2:$G$4460,$G1354)&gt;1,"重複",""))</f>
        <v/>
      </c>
    </row>
    <row r="1355" customFormat="false" ht="16.5" hidden="false" customHeight="true" outlineLevel="0" collapsed="false">
      <c r="A1355" s="2" t="s">
        <v>385</v>
      </c>
      <c r="B1355" s="2" t="s">
        <v>412</v>
      </c>
      <c r="C1355" s="2" t="s">
        <v>30</v>
      </c>
      <c r="D1355" s="2" t="str">
        <f aca="false">IF(2キー同時!$B$344="","",2キー同時!$B$344)</f>
        <v/>
      </c>
      <c r="E1355" s="2" t="str">
        <f aca="false">""</f>
        <v/>
      </c>
      <c r="F1355" s="2" t="str">
        <f aca="false">""</f>
        <v/>
      </c>
      <c r="G1355" s="2" t="str">
        <f aca="false">IF(2キー同時!$B$344="","",IF(2キー同時!AG350="","",SUBSTITUTE(SUBSTITUTE(2キー同時!AG350," ",""),"　","")))</f>
        <v/>
      </c>
      <c r="H1355" s="2" t="str">
        <f aca="false">IF($G1355="","",2キー同時!$B$344)</f>
        <v/>
      </c>
      <c r="I1355" s="2" t="str">
        <f aca="false">IF($G1355="","","j")</f>
        <v/>
      </c>
      <c r="J1355" s="2" t="str">
        <f aca="false">""</f>
        <v/>
      </c>
      <c r="K1355" s="2" t="str">
        <f aca="false">""</f>
        <v/>
      </c>
      <c r="L1355" s="2" t="str">
        <f aca="false">IF($G1355="","","同時")</f>
        <v/>
      </c>
      <c r="M1355" s="2" t="str">
        <f aca="false">IF($G1355="","",IF(ISNA(MATCH($G1355,個別指定!$A:$A,0)),"行なし",""))</f>
        <v/>
      </c>
      <c r="N1355" s="2" t="str">
        <f aca="false">IF($G1355="","",IF(COUNTIF($G$2:$G$4460,$G1355)&gt;1,"重複",""))</f>
        <v/>
      </c>
    </row>
    <row r="1356" customFormat="false" ht="16.5" hidden="false" customHeight="true" outlineLevel="0" collapsed="false">
      <c r="A1356" s="2" t="s">
        <v>385</v>
      </c>
      <c r="B1356" s="2" t="s">
        <v>412</v>
      </c>
      <c r="C1356" s="2" t="s">
        <v>31</v>
      </c>
      <c r="D1356" s="2" t="str">
        <f aca="false">IF(2キー同時!$B$344="","",2キー同時!$B$344)</f>
        <v/>
      </c>
      <c r="E1356" s="2" t="str">
        <f aca="false">""</f>
        <v/>
      </c>
      <c r="F1356" s="2" t="str">
        <f aca="false">""</f>
        <v/>
      </c>
      <c r="G1356" s="2" t="str">
        <f aca="false">IF(2キー同時!$B$344="","",IF(2キー同時!AK350="","",SUBSTITUTE(SUBSTITUTE(2キー同時!AK350," ",""),"　","")))</f>
        <v/>
      </c>
      <c r="H1356" s="2" t="str">
        <f aca="false">IF($G1356="","",2キー同時!$B$344)</f>
        <v/>
      </c>
      <c r="I1356" s="2" t="str">
        <f aca="false">IF($G1356="","","k")</f>
        <v/>
      </c>
      <c r="J1356" s="2" t="str">
        <f aca="false">""</f>
        <v/>
      </c>
      <c r="K1356" s="2" t="str">
        <f aca="false">""</f>
        <v/>
      </c>
      <c r="L1356" s="2" t="str">
        <f aca="false">IF($G1356="","","同時")</f>
        <v/>
      </c>
      <c r="M1356" s="2" t="str">
        <f aca="false">IF($G1356="","",IF(ISNA(MATCH($G1356,個別指定!$A:$A,0)),"行なし",""))</f>
        <v/>
      </c>
      <c r="N1356" s="2" t="str">
        <f aca="false">IF($G1356="","",IF(COUNTIF($G$2:$G$4460,$G1356)&gt;1,"重複",""))</f>
        <v/>
      </c>
    </row>
    <row r="1357" customFormat="false" ht="16.5" hidden="false" customHeight="true" outlineLevel="0" collapsed="false">
      <c r="A1357" s="2" t="s">
        <v>385</v>
      </c>
      <c r="B1357" s="2" t="s">
        <v>412</v>
      </c>
      <c r="C1357" s="2" t="s">
        <v>32</v>
      </c>
      <c r="D1357" s="2" t="str">
        <f aca="false">IF(2キー同時!$B$344="","",2キー同時!$B$344)</f>
        <v/>
      </c>
      <c r="E1357" s="2" t="str">
        <f aca="false">""</f>
        <v/>
      </c>
      <c r="F1357" s="2" t="str">
        <f aca="false">""</f>
        <v/>
      </c>
      <c r="G1357" s="2" t="str">
        <f aca="false">IF(2キー同時!$B$344="","",IF(2キー同時!AO350="","",SUBSTITUTE(SUBSTITUTE(2キー同時!AO350," ",""),"　","")))</f>
        <v/>
      </c>
      <c r="H1357" s="2" t="str">
        <f aca="false">IF($G1357="","",2キー同時!$B$344)</f>
        <v/>
      </c>
      <c r="I1357" s="2" t="str">
        <f aca="false">IF($G1357="","","l")</f>
        <v/>
      </c>
      <c r="J1357" s="2" t="str">
        <f aca="false">""</f>
        <v/>
      </c>
      <c r="K1357" s="2" t="str">
        <f aca="false">""</f>
        <v/>
      </c>
      <c r="L1357" s="2" t="str">
        <f aca="false">IF($G1357="","","同時")</f>
        <v/>
      </c>
      <c r="M1357" s="2" t="str">
        <f aca="false">IF($G1357="","",IF(ISNA(MATCH($G1357,個別指定!$A:$A,0)),"行なし",""))</f>
        <v/>
      </c>
      <c r="N1357" s="2" t="str">
        <f aca="false">IF($G1357="","",IF(COUNTIF($G$2:$G$4460,$G1357)&gt;1,"重複",""))</f>
        <v/>
      </c>
    </row>
    <row r="1358" customFormat="false" ht="16.5" hidden="false" customHeight="true" outlineLevel="0" collapsed="false">
      <c r="A1358" s="2" t="s">
        <v>385</v>
      </c>
      <c r="B1358" s="2" t="s">
        <v>412</v>
      </c>
      <c r="C1358" s="2" t="s">
        <v>33</v>
      </c>
      <c r="D1358" s="2" t="str">
        <f aca="false">IF(2キー同時!$B$344="","",2キー同時!$B$344)</f>
        <v/>
      </c>
      <c r="E1358" s="2" t="str">
        <f aca="false">""</f>
        <v/>
      </c>
      <c r="F1358" s="2" t="str">
        <f aca="false">""</f>
        <v/>
      </c>
      <c r="G1358" s="2" t="str">
        <f aca="false">IF(2キー同時!$B$344="","",IF(2キー同時!AS350="","",SUBSTITUTE(SUBSTITUTE(2キー同時!AS350," ",""),"　","")))</f>
        <v/>
      </c>
      <c r="H1358" s="2" t="str">
        <f aca="false">IF($G1358="","",2キー同時!$B$344)</f>
        <v/>
      </c>
      <c r="I1358" s="2" t="str">
        <f aca="false">IF($G1358="","",";")</f>
        <v/>
      </c>
      <c r="J1358" s="2" t="str">
        <f aca="false">""</f>
        <v/>
      </c>
      <c r="K1358" s="2" t="str">
        <f aca="false">""</f>
        <v/>
      </c>
      <c r="L1358" s="2" t="str">
        <f aca="false">IF($G1358="","","同時")</f>
        <v/>
      </c>
      <c r="M1358" s="2" t="str">
        <f aca="false">IF($G1358="","",IF(ISNA(MATCH($G1358,個別指定!$A:$A,0)),"行なし",""))</f>
        <v/>
      </c>
      <c r="N1358" s="2" t="str">
        <f aca="false">IF($G1358="","",IF(COUNTIF($G$2:$G$4460,$G1358)&gt;1,"重複",""))</f>
        <v/>
      </c>
    </row>
    <row r="1359" customFormat="false" ht="16.5" hidden="false" customHeight="true" outlineLevel="0" collapsed="false">
      <c r="A1359" s="2" t="s">
        <v>385</v>
      </c>
      <c r="B1359" s="2" t="s">
        <v>412</v>
      </c>
      <c r="C1359" s="2" t="s">
        <v>34</v>
      </c>
      <c r="D1359" s="2" t="str">
        <f aca="false">IF(2キー同時!$B$344="","",2キー同時!$B$344)</f>
        <v/>
      </c>
      <c r="E1359" s="2" t="str">
        <f aca="false">""</f>
        <v/>
      </c>
      <c r="F1359" s="2" t="str">
        <f aca="false">""</f>
        <v/>
      </c>
      <c r="G1359" s="2" t="str">
        <f aca="false">IF(2キー同時!$B$344="","",IF(2キー同時!AW350="","",SUBSTITUTE(SUBSTITUTE(2キー同時!AW350," ",""),"　","")))</f>
        <v/>
      </c>
      <c r="H1359" s="2" t="str">
        <f aca="false">IF($G1359="","",2キー同時!$B$344)</f>
        <v/>
      </c>
      <c r="I1359" s="2" t="str">
        <f aca="false">IF($G1359="","","'")</f>
        <v/>
      </c>
      <c r="J1359" s="2" t="str">
        <f aca="false">""</f>
        <v/>
      </c>
      <c r="K1359" s="2" t="str">
        <f aca="false">""</f>
        <v/>
      </c>
      <c r="L1359" s="2" t="str">
        <f aca="false">IF($G1359="","","同時")</f>
        <v/>
      </c>
      <c r="M1359" s="2" t="str">
        <f aca="false">IF($G1359="","",IF(ISNA(MATCH($G1359,個別指定!$A:$A,0)),"行なし",""))</f>
        <v/>
      </c>
      <c r="N1359" s="2" t="str">
        <f aca="false">IF($G1359="","",IF(COUNTIF($G$2:$G$4460,$G1359)&gt;1,"重複",""))</f>
        <v/>
      </c>
    </row>
    <row r="1360" customFormat="false" ht="16.5" hidden="false" customHeight="true" outlineLevel="0" collapsed="false">
      <c r="A1360" s="2" t="s">
        <v>385</v>
      </c>
      <c r="B1360" s="2" t="s">
        <v>412</v>
      </c>
      <c r="C1360" s="2" t="s">
        <v>35</v>
      </c>
      <c r="D1360" s="2" t="str">
        <f aca="false">IF(2キー同時!$B$344="","",2キー同時!$B$344)</f>
        <v/>
      </c>
      <c r="E1360" s="2" t="str">
        <f aca="false">""</f>
        <v/>
      </c>
      <c r="F1360" s="2" t="str">
        <f aca="false">""</f>
        <v/>
      </c>
      <c r="G1360" s="2" t="str">
        <f aca="false">IF(2キー同時!$B$344="","",IF(2キー同時!K352="","",SUBSTITUTE(SUBSTITUTE(2キー同時!K352," ",""),"　","")))</f>
        <v/>
      </c>
      <c r="H1360" s="2" t="str">
        <f aca="false">IF($G1360="","",2キー同時!$B$344)</f>
        <v/>
      </c>
      <c r="I1360" s="2" t="str">
        <f aca="false">IF($G1360="","","z")</f>
        <v/>
      </c>
      <c r="J1360" s="2" t="str">
        <f aca="false">""</f>
        <v/>
      </c>
      <c r="K1360" s="2" t="str">
        <f aca="false">""</f>
        <v/>
      </c>
      <c r="L1360" s="2" t="str">
        <f aca="false">IF($G1360="","","同時")</f>
        <v/>
      </c>
      <c r="M1360" s="2" t="str">
        <f aca="false">IF($G1360="","",IF(ISNA(MATCH($G1360,個別指定!$A:$A,0)),"行なし",""))</f>
        <v/>
      </c>
      <c r="N1360" s="2" t="str">
        <f aca="false">IF($G1360="","",IF(COUNTIF($G$2:$G$4460,$G1360)&gt;1,"重複",""))</f>
        <v/>
      </c>
    </row>
    <row r="1361" customFormat="false" ht="16.5" hidden="false" customHeight="true" outlineLevel="0" collapsed="false">
      <c r="A1361" s="2" t="s">
        <v>385</v>
      </c>
      <c r="B1361" s="2" t="s">
        <v>412</v>
      </c>
      <c r="C1361" s="2" t="s">
        <v>36</v>
      </c>
      <c r="D1361" s="2" t="str">
        <f aca="false">IF(2キー同時!$B$344="","",2キー同時!$B$344)</f>
        <v/>
      </c>
      <c r="E1361" s="2" t="str">
        <f aca="false">""</f>
        <v/>
      </c>
      <c r="F1361" s="2" t="str">
        <f aca="false">""</f>
        <v/>
      </c>
      <c r="G1361" s="2" t="str">
        <f aca="false">IF(2キー同時!$B$344="","",IF(2キー同時!O352="","",SUBSTITUTE(SUBSTITUTE(2キー同時!O352," ",""),"　","")))</f>
        <v/>
      </c>
      <c r="H1361" s="2" t="str">
        <f aca="false">IF($G1361="","",2キー同時!$B$344)</f>
        <v/>
      </c>
      <c r="I1361" s="2" t="str">
        <f aca="false">IF($G1361="","","x")</f>
        <v/>
      </c>
      <c r="J1361" s="2" t="str">
        <f aca="false">""</f>
        <v/>
      </c>
      <c r="K1361" s="2" t="str">
        <f aca="false">""</f>
        <v/>
      </c>
      <c r="L1361" s="2" t="str">
        <f aca="false">IF($G1361="","","同時")</f>
        <v/>
      </c>
      <c r="M1361" s="2" t="str">
        <f aca="false">IF($G1361="","",IF(ISNA(MATCH($G1361,個別指定!$A:$A,0)),"行なし",""))</f>
        <v/>
      </c>
      <c r="N1361" s="2" t="str">
        <f aca="false">IF($G1361="","",IF(COUNTIF($G$2:$G$4460,$G1361)&gt;1,"重複",""))</f>
        <v/>
      </c>
    </row>
    <row r="1362" customFormat="false" ht="16.5" hidden="false" customHeight="true" outlineLevel="0" collapsed="false">
      <c r="A1362" s="2" t="s">
        <v>385</v>
      </c>
      <c r="B1362" s="2" t="s">
        <v>412</v>
      </c>
      <c r="C1362" s="2" t="s">
        <v>37</v>
      </c>
      <c r="D1362" s="2" t="str">
        <f aca="false">IF(2キー同時!$B$344="","",2キー同時!$B$344)</f>
        <v/>
      </c>
      <c r="E1362" s="2" t="str">
        <f aca="false">""</f>
        <v/>
      </c>
      <c r="F1362" s="2" t="str">
        <f aca="false">""</f>
        <v/>
      </c>
      <c r="G1362" s="2" t="str">
        <f aca="false">IF(2キー同時!$B$344="","",IF(2キー同時!S352="","",SUBSTITUTE(SUBSTITUTE(2キー同時!S352," ",""),"　","")))</f>
        <v/>
      </c>
      <c r="H1362" s="2" t="str">
        <f aca="false">IF($G1362="","",2キー同時!$B$344)</f>
        <v/>
      </c>
      <c r="I1362" s="2" t="str">
        <f aca="false">IF($G1362="","","c")</f>
        <v/>
      </c>
      <c r="J1362" s="2" t="str">
        <f aca="false">""</f>
        <v/>
      </c>
      <c r="K1362" s="2" t="str">
        <f aca="false">""</f>
        <v/>
      </c>
      <c r="L1362" s="2" t="str">
        <f aca="false">IF($G1362="","","同時")</f>
        <v/>
      </c>
      <c r="M1362" s="2" t="str">
        <f aca="false">IF($G1362="","",IF(ISNA(MATCH($G1362,個別指定!$A:$A,0)),"行なし",""))</f>
        <v/>
      </c>
      <c r="N1362" s="2" t="str">
        <f aca="false">IF($G1362="","",IF(COUNTIF($G$2:$G$4460,$G1362)&gt;1,"重複",""))</f>
        <v/>
      </c>
    </row>
    <row r="1363" customFormat="false" ht="16.5" hidden="false" customHeight="true" outlineLevel="0" collapsed="false">
      <c r="A1363" s="2" t="s">
        <v>385</v>
      </c>
      <c r="B1363" s="2" t="s">
        <v>412</v>
      </c>
      <c r="C1363" s="2" t="s">
        <v>38</v>
      </c>
      <c r="D1363" s="2" t="str">
        <f aca="false">IF(2キー同時!$B$344="","",2キー同時!$B$344)</f>
        <v/>
      </c>
      <c r="E1363" s="2" t="str">
        <f aca="false">""</f>
        <v/>
      </c>
      <c r="F1363" s="2" t="str">
        <f aca="false">""</f>
        <v/>
      </c>
      <c r="G1363" s="2" t="str">
        <f aca="false">IF(2キー同時!$B$344="","",IF(2キー同時!W352="","",SUBSTITUTE(SUBSTITUTE(2キー同時!W352," ",""),"　","")))</f>
        <v/>
      </c>
      <c r="H1363" s="2" t="str">
        <f aca="false">IF($G1363="","",2キー同時!$B$344)</f>
        <v/>
      </c>
      <c r="I1363" s="2" t="str">
        <f aca="false">IF($G1363="","","v")</f>
        <v/>
      </c>
      <c r="J1363" s="2" t="str">
        <f aca="false">""</f>
        <v/>
      </c>
      <c r="K1363" s="2" t="str">
        <f aca="false">""</f>
        <v/>
      </c>
      <c r="L1363" s="2" t="str">
        <f aca="false">IF($G1363="","","同時")</f>
        <v/>
      </c>
      <c r="M1363" s="2" t="str">
        <f aca="false">IF($G1363="","",IF(ISNA(MATCH($G1363,個別指定!$A:$A,0)),"行なし",""))</f>
        <v/>
      </c>
      <c r="N1363" s="2" t="str">
        <f aca="false">IF($G1363="","",IF(COUNTIF($G$2:$G$4460,$G1363)&gt;1,"重複",""))</f>
        <v/>
      </c>
    </row>
    <row r="1364" customFormat="false" ht="16.5" hidden="false" customHeight="true" outlineLevel="0" collapsed="false">
      <c r="A1364" s="2" t="s">
        <v>385</v>
      </c>
      <c r="B1364" s="2" t="s">
        <v>412</v>
      </c>
      <c r="C1364" s="2" t="s">
        <v>39</v>
      </c>
      <c r="D1364" s="2" t="str">
        <f aca="false">IF(2キー同時!$B$344="","",2キー同時!$B$344)</f>
        <v/>
      </c>
      <c r="E1364" s="2" t="str">
        <f aca="false">""</f>
        <v/>
      </c>
      <c r="F1364" s="2" t="str">
        <f aca="false">""</f>
        <v/>
      </c>
      <c r="G1364" s="2" t="str">
        <f aca="false">IF(2キー同時!$B$344="","",IF(2キー同時!AA352="","",SUBSTITUTE(SUBSTITUTE(2キー同時!AA352," ",""),"　","")))</f>
        <v/>
      </c>
      <c r="H1364" s="2" t="str">
        <f aca="false">IF($G1364="","",2キー同時!$B$344)</f>
        <v/>
      </c>
      <c r="I1364" s="2" t="str">
        <f aca="false">IF($G1364="","","b")</f>
        <v/>
      </c>
      <c r="J1364" s="2" t="str">
        <f aca="false">""</f>
        <v/>
      </c>
      <c r="K1364" s="2" t="str">
        <f aca="false">""</f>
        <v/>
      </c>
      <c r="L1364" s="2" t="str">
        <f aca="false">IF($G1364="","","同時")</f>
        <v/>
      </c>
      <c r="M1364" s="2" t="str">
        <f aca="false">IF($G1364="","",IF(ISNA(MATCH($G1364,個別指定!$A:$A,0)),"行なし",""))</f>
        <v/>
      </c>
      <c r="N1364" s="2" t="str">
        <f aca="false">IF($G1364="","",IF(COUNTIF($G$2:$G$4460,$G1364)&gt;1,"重複",""))</f>
        <v/>
      </c>
    </row>
    <row r="1365" customFormat="false" ht="16.5" hidden="false" customHeight="true" outlineLevel="0" collapsed="false">
      <c r="A1365" s="2" t="s">
        <v>385</v>
      </c>
      <c r="B1365" s="2" t="s">
        <v>412</v>
      </c>
      <c r="C1365" s="2" t="s">
        <v>40</v>
      </c>
      <c r="D1365" s="2" t="str">
        <f aca="false">IF(2キー同時!$B$344="","",2キー同時!$B$344)</f>
        <v/>
      </c>
      <c r="E1365" s="2" t="str">
        <f aca="false">""</f>
        <v/>
      </c>
      <c r="F1365" s="2" t="str">
        <f aca="false">""</f>
        <v/>
      </c>
      <c r="G1365" s="2" t="str">
        <f aca="false">IF(2キー同時!$B$344="","",IF(2キー同時!AE352="","",SUBSTITUTE(SUBSTITUTE(2キー同時!AE352," ",""),"　","")))</f>
        <v/>
      </c>
      <c r="H1365" s="2" t="str">
        <f aca="false">IF($G1365="","",2キー同時!$B$344)</f>
        <v/>
      </c>
      <c r="I1365" s="2" t="str">
        <f aca="false">IF($G1365="","","n")</f>
        <v/>
      </c>
      <c r="J1365" s="2" t="str">
        <f aca="false">""</f>
        <v/>
      </c>
      <c r="K1365" s="2" t="str">
        <f aca="false">""</f>
        <v/>
      </c>
      <c r="L1365" s="2" t="str">
        <f aca="false">IF($G1365="","","同時")</f>
        <v/>
      </c>
      <c r="M1365" s="2" t="str">
        <f aca="false">IF($G1365="","",IF(ISNA(MATCH($G1365,個別指定!$A:$A,0)),"行なし",""))</f>
        <v/>
      </c>
      <c r="N1365" s="2" t="str">
        <f aca="false">IF($G1365="","",IF(COUNTIF($G$2:$G$4460,$G1365)&gt;1,"重複",""))</f>
        <v/>
      </c>
    </row>
    <row r="1366" customFormat="false" ht="16.5" hidden="false" customHeight="true" outlineLevel="0" collapsed="false">
      <c r="A1366" s="2" t="s">
        <v>385</v>
      </c>
      <c r="B1366" s="2" t="s">
        <v>412</v>
      </c>
      <c r="C1366" s="2" t="s">
        <v>41</v>
      </c>
      <c r="D1366" s="2" t="str">
        <f aca="false">IF(2キー同時!$B$344="","",2キー同時!$B$344)</f>
        <v/>
      </c>
      <c r="E1366" s="2" t="str">
        <f aca="false">""</f>
        <v/>
      </c>
      <c r="F1366" s="2" t="str">
        <f aca="false">""</f>
        <v/>
      </c>
      <c r="G1366" s="2" t="str">
        <f aca="false">IF(2キー同時!$B$344="","",IF(2キー同時!AI352="","",SUBSTITUTE(SUBSTITUTE(2キー同時!AI352," ",""),"　","")))</f>
        <v/>
      </c>
      <c r="H1366" s="2" t="str">
        <f aca="false">IF($G1366="","",2キー同時!$B$344)</f>
        <v/>
      </c>
      <c r="I1366" s="2" t="str">
        <f aca="false">IF($G1366="","","m")</f>
        <v/>
      </c>
      <c r="J1366" s="2" t="str">
        <f aca="false">""</f>
        <v/>
      </c>
      <c r="K1366" s="2" t="str">
        <f aca="false">""</f>
        <v/>
      </c>
      <c r="L1366" s="2" t="str">
        <f aca="false">IF($G1366="","","同時")</f>
        <v/>
      </c>
      <c r="M1366" s="2" t="str">
        <f aca="false">IF($G1366="","",IF(ISNA(MATCH($G1366,個別指定!$A:$A,0)),"行なし",""))</f>
        <v/>
      </c>
      <c r="N1366" s="2" t="str">
        <f aca="false">IF($G1366="","",IF(COUNTIF($G$2:$G$4460,$G1366)&gt;1,"重複",""))</f>
        <v/>
      </c>
    </row>
    <row r="1367" customFormat="false" ht="16.5" hidden="false" customHeight="true" outlineLevel="0" collapsed="false">
      <c r="A1367" s="2" t="s">
        <v>385</v>
      </c>
      <c r="B1367" s="2" t="s">
        <v>412</v>
      </c>
      <c r="C1367" s="2" t="s">
        <v>42</v>
      </c>
      <c r="D1367" s="2" t="str">
        <f aca="false">IF(2キー同時!$B$344="","",2キー同時!$B$344)</f>
        <v/>
      </c>
      <c r="E1367" s="2" t="str">
        <f aca="false">""</f>
        <v/>
      </c>
      <c r="F1367" s="2" t="str">
        <f aca="false">""</f>
        <v/>
      </c>
      <c r="G1367" s="2" t="str">
        <f aca="false">IF(2キー同時!$B$344="","",IF(2キー同時!AM352="","",SUBSTITUTE(SUBSTITUTE(2キー同時!AM352," ",""),"　","")))</f>
        <v/>
      </c>
      <c r="H1367" s="2" t="str">
        <f aca="false">IF($G1367="","",2キー同時!$B$344)</f>
        <v/>
      </c>
      <c r="I1367" s="2" t="str">
        <f aca="false">IF($G1367="","",",")</f>
        <v/>
      </c>
      <c r="J1367" s="2" t="str">
        <f aca="false">""</f>
        <v/>
      </c>
      <c r="K1367" s="2" t="str">
        <f aca="false">""</f>
        <v/>
      </c>
      <c r="L1367" s="2" t="str">
        <f aca="false">IF($G1367="","","同時")</f>
        <v/>
      </c>
      <c r="M1367" s="2" t="str">
        <f aca="false">IF($G1367="","",IF(ISNA(MATCH($G1367,個別指定!$A:$A,0)),"行なし",""))</f>
        <v/>
      </c>
      <c r="N1367" s="2" t="str">
        <f aca="false">IF($G1367="","",IF(COUNTIF($G$2:$G$4460,$G1367)&gt;1,"重複",""))</f>
        <v/>
      </c>
    </row>
    <row r="1368" customFormat="false" ht="16.5" hidden="false" customHeight="true" outlineLevel="0" collapsed="false">
      <c r="A1368" s="2" t="s">
        <v>385</v>
      </c>
      <c r="B1368" s="2" t="s">
        <v>412</v>
      </c>
      <c r="C1368" s="2" t="s">
        <v>43</v>
      </c>
      <c r="D1368" s="2" t="str">
        <f aca="false">IF(2キー同時!$B$344="","",2キー同時!$B$344)</f>
        <v/>
      </c>
      <c r="E1368" s="2" t="str">
        <f aca="false">""</f>
        <v/>
      </c>
      <c r="F1368" s="2" t="str">
        <f aca="false">""</f>
        <v/>
      </c>
      <c r="G1368" s="2" t="str">
        <f aca="false">IF(2キー同時!$B$344="","",IF(2キー同時!AQ352="","",SUBSTITUTE(SUBSTITUTE(2キー同時!AQ352," ",""),"　","")))</f>
        <v/>
      </c>
      <c r="H1368" s="2" t="str">
        <f aca="false">IF($G1368="","",2キー同時!$B$344)</f>
        <v/>
      </c>
      <c r="I1368" s="2" t="str">
        <f aca="false">IF($G1368="","",".")</f>
        <v/>
      </c>
      <c r="J1368" s="2" t="str">
        <f aca="false">""</f>
        <v/>
      </c>
      <c r="K1368" s="2" t="str">
        <f aca="false">""</f>
        <v/>
      </c>
      <c r="L1368" s="2" t="str">
        <f aca="false">IF($G1368="","","同時")</f>
        <v/>
      </c>
      <c r="M1368" s="2" t="str">
        <f aca="false">IF($G1368="","",IF(ISNA(MATCH($G1368,個別指定!$A:$A,0)),"行なし",""))</f>
        <v/>
      </c>
      <c r="N1368" s="2" t="str">
        <f aca="false">IF($G1368="","",IF(COUNTIF($G$2:$G$4460,$G1368)&gt;1,"重複",""))</f>
        <v/>
      </c>
    </row>
    <row r="1369" customFormat="false" ht="16.5" hidden="false" customHeight="true" outlineLevel="0" collapsed="false">
      <c r="A1369" s="2" t="s">
        <v>385</v>
      </c>
      <c r="B1369" s="2" t="s">
        <v>412</v>
      </c>
      <c r="C1369" s="2" t="s">
        <v>44</v>
      </c>
      <c r="D1369" s="2" t="str">
        <f aca="false">IF(2キー同時!$B$344="","",2キー同時!$B$344)</f>
        <v/>
      </c>
      <c r="E1369" s="2" t="str">
        <f aca="false">""</f>
        <v/>
      </c>
      <c r="F1369" s="2" t="str">
        <f aca="false">""</f>
        <v/>
      </c>
      <c r="G1369" s="2" t="str">
        <f aca="false">IF(2キー同時!$B$344="","",IF(2キー同時!AU352="","",SUBSTITUTE(SUBSTITUTE(2キー同時!AU352," ",""),"　","")))</f>
        <v/>
      </c>
      <c r="H1369" s="2" t="str">
        <f aca="false">IF($G1369="","",2キー同時!$B$344)</f>
        <v/>
      </c>
      <c r="I1369" s="2" t="str">
        <f aca="false">IF($G1369="","","/")</f>
        <v/>
      </c>
      <c r="J1369" s="2" t="str">
        <f aca="false">""</f>
        <v/>
      </c>
      <c r="K1369" s="2" t="str">
        <f aca="false">""</f>
        <v/>
      </c>
      <c r="L1369" s="2" t="str">
        <f aca="false">IF($G1369="","","同時")</f>
        <v/>
      </c>
      <c r="M1369" s="2" t="str">
        <f aca="false">IF($G1369="","",IF(ISNA(MATCH($G1369,個別指定!$A:$A,0)),"行なし",""))</f>
        <v/>
      </c>
      <c r="N1369" s="2" t="str">
        <f aca="false">IF($G1369="","",IF(COUNTIF($G$2:$G$4460,$G1369)&gt;1,"重複",""))</f>
        <v/>
      </c>
    </row>
    <row r="1370" customFormat="false" ht="16.5" hidden="false" customHeight="true" outlineLevel="0" collapsed="false">
      <c r="A1370" s="2" t="s">
        <v>385</v>
      </c>
      <c r="B1370" s="2" t="s">
        <v>412</v>
      </c>
      <c r="C1370" s="2" t="s">
        <v>48</v>
      </c>
      <c r="D1370" s="2" t="str">
        <f aca="false">IF(2キー同時!$B$344="","",2キー同時!$B$344)</f>
        <v/>
      </c>
      <c r="E1370" s="2" t="str">
        <f aca="false">""</f>
        <v/>
      </c>
      <c r="F1370" s="2" t="str">
        <f aca="false">""</f>
        <v/>
      </c>
      <c r="G1370" s="2" t="str">
        <f aca="false">IF(2キー同時!$B$344="","",IF(2キー同時!P354="","",SUBSTITUTE(SUBSTITUTE(2キー同時!P354," ",""),"　","")))</f>
        <v/>
      </c>
      <c r="H1370" s="2" t="str">
        <f aca="false">IF($G1370="","",2キー同時!$B$344)</f>
        <v/>
      </c>
      <c r="I1370" s="2" t="str">
        <f aca="false">IF($G1370="","","muhenkan")</f>
        <v/>
      </c>
      <c r="J1370" s="2" t="str">
        <f aca="false">""</f>
        <v/>
      </c>
      <c r="K1370" s="2" t="str">
        <f aca="false">""</f>
        <v/>
      </c>
      <c r="L1370" s="2" t="str">
        <f aca="false">IF($G1370="","","同時")</f>
        <v/>
      </c>
      <c r="M1370" s="2" t="str">
        <f aca="false">IF($G1370="","",IF(ISNA(MATCH($G1370,個別指定!$A:$A,0)),"行なし",""))</f>
        <v/>
      </c>
      <c r="N1370" s="2" t="str">
        <f aca="false">IF($G1370="","",IF(COUNTIF($G$2:$G$4460,$G1370)&gt;1,"重複",""))</f>
        <v/>
      </c>
    </row>
    <row r="1371" customFormat="false" ht="16.5" hidden="false" customHeight="true" outlineLevel="0" collapsed="false">
      <c r="A1371" s="2" t="s">
        <v>385</v>
      </c>
      <c r="B1371" s="2" t="s">
        <v>412</v>
      </c>
      <c r="C1371" s="2" t="s">
        <v>50</v>
      </c>
      <c r="D1371" s="2" t="str">
        <f aca="false">IF(2キー同時!$B$344="","",2キー同時!$B$344)</f>
        <v/>
      </c>
      <c r="E1371" s="2" t="str">
        <f aca="false">""</f>
        <v/>
      </c>
      <c r="F1371" s="2" t="str">
        <f aca="false">""</f>
        <v/>
      </c>
      <c r="G1371" s="2" t="str">
        <f aca="false">IF(2キー同時!$B$344="","",IF(2キー同時!T354="","",SUBSTITUTE(SUBSTITUTE(2キー同時!T354," ",""),"　","")))</f>
        <v/>
      </c>
      <c r="H1371" s="2" t="str">
        <f aca="false">IF($G1371="","",2キー同時!$B$344)</f>
        <v/>
      </c>
      <c r="I1371" s="2" t="str">
        <f aca="false">IF($G1371="","","space")</f>
        <v/>
      </c>
      <c r="J1371" s="2" t="str">
        <f aca="false">""</f>
        <v/>
      </c>
      <c r="K1371" s="2" t="str">
        <f aca="false">""</f>
        <v/>
      </c>
      <c r="L1371" s="2" t="str">
        <f aca="false">IF($G1371="","","同時")</f>
        <v/>
      </c>
      <c r="M1371" s="2" t="str">
        <f aca="false">IF($G1371="","",IF(ISNA(MATCH($G1371,個別指定!$A:$A,0)),"行なし",""))</f>
        <v/>
      </c>
      <c r="N1371" s="2" t="str">
        <f aca="false">IF($G1371="","",IF(COUNTIF($G$2:$G$4460,$G1371)&gt;1,"重複",""))</f>
        <v/>
      </c>
    </row>
    <row r="1372" customFormat="false" ht="16.5" hidden="false" customHeight="true" outlineLevel="0" collapsed="false">
      <c r="A1372" s="2" t="s">
        <v>385</v>
      </c>
      <c r="B1372" s="2" t="s">
        <v>412</v>
      </c>
      <c r="C1372" s="2" t="s">
        <v>45</v>
      </c>
      <c r="D1372" s="2" t="str">
        <f aca="false">IF(2キー同時!$B$344="","",2キー同時!$B$344)</f>
        <v/>
      </c>
      <c r="E1372" s="2" t="str">
        <f aca="false">""</f>
        <v/>
      </c>
      <c r="F1372" s="2" t="str">
        <f aca="false">""</f>
        <v/>
      </c>
      <c r="G1372" s="2" t="str">
        <f aca="false">IF(2キー同時!$B$344="","",IF(2キー同時!AL354="","",SUBSTITUTE(SUBSTITUTE(2キー同時!AL354," ",""),"　","")))</f>
        <v/>
      </c>
      <c r="H1372" s="2" t="str">
        <f aca="false">IF($G1372="","",2キー同時!$B$344)</f>
        <v/>
      </c>
      <c r="I1372" s="2" t="str">
        <f aca="false">IF($G1372="","","henkan")</f>
        <v/>
      </c>
      <c r="J1372" s="2" t="str">
        <f aca="false">""</f>
        <v/>
      </c>
      <c r="K1372" s="2" t="str">
        <f aca="false">""</f>
        <v/>
      </c>
      <c r="L1372" s="2" t="str">
        <f aca="false">IF($G1372="","","同時")</f>
        <v/>
      </c>
      <c r="M1372" s="2" t="str">
        <f aca="false">IF($G1372="","",IF(ISNA(MATCH($G1372,個別指定!$A:$A,0)),"行なし",""))</f>
        <v/>
      </c>
      <c r="N1372" s="2" t="str">
        <f aca="false">IF($G1372="","",IF(COUNTIF($G$2:$G$4460,$G1372)&gt;1,"重複",""))</f>
        <v/>
      </c>
    </row>
    <row r="1373" customFormat="false" ht="16.5" hidden="false" customHeight="true" outlineLevel="0" collapsed="false">
      <c r="A1373" s="2" t="s">
        <v>385</v>
      </c>
      <c r="B1373" s="2" t="s">
        <v>412</v>
      </c>
      <c r="C1373" s="2" t="s">
        <v>46</v>
      </c>
      <c r="D1373" s="2" t="str">
        <f aca="false">IF(2キー同時!$B$344="","",2キー同時!$B$344)</f>
        <v/>
      </c>
      <c r="E1373" s="2" t="str">
        <f aca="false">""</f>
        <v/>
      </c>
      <c r="F1373" s="2" t="str">
        <f aca="false">""</f>
        <v/>
      </c>
      <c r="G1373" s="2" t="str">
        <f aca="false">IF(2キー同時!$B$344="","",IF(2キー同時!AP354="","",SUBSTITUTE(SUBSTITUTE(2キー同時!AP354," ",""),"　","")))</f>
        <v/>
      </c>
      <c r="H1373" s="2" t="str">
        <f aca="false">IF($G1373="","",2キー同時!$B$344)</f>
        <v/>
      </c>
      <c r="I1373" s="2" t="str">
        <f aca="false">IF($G1373="","","kana")</f>
        <v/>
      </c>
      <c r="J1373" s="2" t="str">
        <f aca="false">""</f>
        <v/>
      </c>
      <c r="K1373" s="2" t="str">
        <f aca="false">""</f>
        <v/>
      </c>
      <c r="L1373" s="2" t="str">
        <f aca="false">IF($G1373="","","同時")</f>
        <v/>
      </c>
      <c r="M1373" s="2" t="str">
        <f aca="false">IF($G1373="","",IF(ISNA(MATCH($G1373,個別指定!$A:$A,0)),"行なし",""))</f>
        <v/>
      </c>
      <c r="N1373" s="2" t="str">
        <f aca="false">IF($G1373="","",IF(COUNTIF($G$2:$G$4460,$G1373)&gt;1,"重複",""))</f>
        <v/>
      </c>
    </row>
    <row r="1374" customFormat="false" ht="16.5" hidden="false" customHeight="true" outlineLevel="0" collapsed="false">
      <c r="A1374" s="2" t="s">
        <v>385</v>
      </c>
      <c r="B1374" s="2" t="s">
        <v>413</v>
      </c>
      <c r="C1374" s="2" t="s">
        <v>0</v>
      </c>
      <c r="D1374" s="2" t="str">
        <f aca="false">IF(2キー同時!$B$357="","",2キー同時!$B$357)</f>
        <v/>
      </c>
      <c r="E1374" s="2" t="str">
        <f aca="false">""</f>
        <v/>
      </c>
      <c r="F1374" s="2" t="str">
        <f aca="false">""</f>
        <v/>
      </c>
      <c r="G1374" s="2" t="str">
        <f aca="false">IF(2キー同時!$B$357="","",IF(2キー同時!F359="","",SUBSTITUTE(SUBSTITUTE(2キー同時!F359," ",""),"　","")))</f>
        <v/>
      </c>
      <c r="H1374" s="2" t="str">
        <f aca="false">IF($G1374="","",2キー同時!$B$357)</f>
        <v/>
      </c>
      <c r="I1374" s="2" t="str">
        <f aca="false">IF($G1374="","","1")</f>
        <v/>
      </c>
      <c r="J1374" s="2" t="str">
        <f aca="false">""</f>
        <v/>
      </c>
      <c r="K1374" s="2" t="str">
        <f aca="false">""</f>
        <v/>
      </c>
      <c r="L1374" s="2" t="str">
        <f aca="false">IF($G1374="","","同時")</f>
        <v/>
      </c>
      <c r="M1374" s="2" t="str">
        <f aca="false">IF($G1374="","",IF(ISNA(MATCH($G1374,個別指定!$A:$A,0)),"行なし",""))</f>
        <v/>
      </c>
      <c r="N1374" s="2" t="str">
        <f aca="false">IF($G1374="","",IF(COUNTIF($G$2:$G$4460,$G1374)&gt;1,"重複",""))</f>
        <v/>
      </c>
    </row>
    <row r="1375" customFormat="false" ht="16.5" hidden="false" customHeight="true" outlineLevel="0" collapsed="false">
      <c r="A1375" s="2" t="s">
        <v>385</v>
      </c>
      <c r="B1375" s="2" t="s">
        <v>413</v>
      </c>
      <c r="C1375" s="2" t="s">
        <v>1</v>
      </c>
      <c r="D1375" s="2" t="str">
        <f aca="false">IF(2キー同時!$B$357="","",2キー同時!$B$357)</f>
        <v/>
      </c>
      <c r="E1375" s="2" t="str">
        <f aca="false">""</f>
        <v/>
      </c>
      <c r="F1375" s="2" t="str">
        <f aca="false">""</f>
        <v/>
      </c>
      <c r="G1375" s="2" t="str">
        <f aca="false">IF(2キー同時!$B$357="","",IF(2キー同時!J359="","",SUBSTITUTE(SUBSTITUTE(2キー同時!J359," ",""),"　","")))</f>
        <v/>
      </c>
      <c r="H1375" s="2" t="str">
        <f aca="false">IF($G1375="","",2キー同時!$B$357)</f>
        <v/>
      </c>
      <c r="I1375" s="2" t="str">
        <f aca="false">IF($G1375="","","2")</f>
        <v/>
      </c>
      <c r="J1375" s="2" t="str">
        <f aca="false">""</f>
        <v/>
      </c>
      <c r="K1375" s="2" t="str">
        <f aca="false">""</f>
        <v/>
      </c>
      <c r="L1375" s="2" t="str">
        <f aca="false">IF($G1375="","","同時")</f>
        <v/>
      </c>
      <c r="M1375" s="2" t="str">
        <f aca="false">IF($G1375="","",IF(ISNA(MATCH($G1375,個別指定!$A:$A,0)),"行なし",""))</f>
        <v/>
      </c>
      <c r="N1375" s="2" t="str">
        <f aca="false">IF($G1375="","",IF(COUNTIF($G$2:$G$4460,$G1375)&gt;1,"重複",""))</f>
        <v/>
      </c>
    </row>
    <row r="1376" customFormat="false" ht="16.5" hidden="false" customHeight="true" outlineLevel="0" collapsed="false">
      <c r="A1376" s="2" t="s">
        <v>385</v>
      </c>
      <c r="B1376" s="2" t="s">
        <v>413</v>
      </c>
      <c r="C1376" s="2" t="s">
        <v>2</v>
      </c>
      <c r="D1376" s="2" t="str">
        <f aca="false">IF(2キー同時!$B$357="","",2キー同時!$B$357)</f>
        <v/>
      </c>
      <c r="E1376" s="2" t="str">
        <f aca="false">""</f>
        <v/>
      </c>
      <c r="F1376" s="2" t="str">
        <f aca="false">""</f>
        <v/>
      </c>
      <c r="G1376" s="2" t="str">
        <f aca="false">IF(2キー同時!$B$357="","",IF(2キー同時!N359="","",SUBSTITUTE(SUBSTITUTE(2キー同時!N359," ",""),"　","")))</f>
        <v/>
      </c>
      <c r="H1376" s="2" t="str">
        <f aca="false">IF($G1376="","",2キー同時!$B$357)</f>
        <v/>
      </c>
      <c r="I1376" s="2" t="str">
        <f aca="false">IF($G1376="","","3")</f>
        <v/>
      </c>
      <c r="J1376" s="2" t="str">
        <f aca="false">""</f>
        <v/>
      </c>
      <c r="K1376" s="2" t="str">
        <f aca="false">""</f>
        <v/>
      </c>
      <c r="L1376" s="2" t="str">
        <f aca="false">IF($G1376="","","同時")</f>
        <v/>
      </c>
      <c r="M1376" s="2" t="str">
        <f aca="false">IF($G1376="","",IF(ISNA(MATCH($G1376,個別指定!$A:$A,0)),"行なし",""))</f>
        <v/>
      </c>
      <c r="N1376" s="2" t="str">
        <f aca="false">IF($G1376="","",IF(COUNTIF($G$2:$G$4460,$G1376)&gt;1,"重複",""))</f>
        <v/>
      </c>
    </row>
    <row r="1377" customFormat="false" ht="16.5" hidden="false" customHeight="true" outlineLevel="0" collapsed="false">
      <c r="A1377" s="2" t="s">
        <v>385</v>
      </c>
      <c r="B1377" s="2" t="s">
        <v>413</v>
      </c>
      <c r="C1377" s="2" t="s">
        <v>3</v>
      </c>
      <c r="D1377" s="2" t="str">
        <f aca="false">IF(2キー同時!$B$357="","",2キー同時!$B$357)</f>
        <v/>
      </c>
      <c r="E1377" s="2" t="str">
        <f aca="false">""</f>
        <v/>
      </c>
      <c r="F1377" s="2" t="str">
        <f aca="false">""</f>
        <v/>
      </c>
      <c r="G1377" s="2" t="str">
        <f aca="false">IF(2キー同時!$B$357="","",IF(2キー同時!R359="","",SUBSTITUTE(SUBSTITUTE(2キー同時!R359," ",""),"　","")))</f>
        <v/>
      </c>
      <c r="H1377" s="2" t="str">
        <f aca="false">IF($G1377="","",2キー同時!$B$357)</f>
        <v/>
      </c>
      <c r="I1377" s="2" t="str">
        <f aca="false">IF($G1377="","","4")</f>
        <v/>
      </c>
      <c r="J1377" s="2" t="str">
        <f aca="false">""</f>
        <v/>
      </c>
      <c r="K1377" s="2" t="str">
        <f aca="false">""</f>
        <v/>
      </c>
      <c r="L1377" s="2" t="str">
        <f aca="false">IF($G1377="","","同時")</f>
        <v/>
      </c>
      <c r="M1377" s="2" t="str">
        <f aca="false">IF($G1377="","",IF(ISNA(MATCH($G1377,個別指定!$A:$A,0)),"行なし",""))</f>
        <v/>
      </c>
      <c r="N1377" s="2" t="str">
        <f aca="false">IF($G1377="","",IF(COUNTIF($G$2:$G$4460,$G1377)&gt;1,"重複",""))</f>
        <v/>
      </c>
    </row>
    <row r="1378" customFormat="false" ht="16.5" hidden="false" customHeight="true" outlineLevel="0" collapsed="false">
      <c r="A1378" s="2" t="s">
        <v>385</v>
      </c>
      <c r="B1378" s="2" t="s">
        <v>413</v>
      </c>
      <c r="C1378" s="2" t="s">
        <v>4</v>
      </c>
      <c r="D1378" s="2" t="str">
        <f aca="false">IF(2キー同時!$B$357="","",2キー同時!$B$357)</f>
        <v/>
      </c>
      <c r="E1378" s="2" t="str">
        <f aca="false">""</f>
        <v/>
      </c>
      <c r="F1378" s="2" t="str">
        <f aca="false">""</f>
        <v/>
      </c>
      <c r="G1378" s="2" t="str">
        <f aca="false">IF(2キー同時!$B$357="","",IF(2キー同時!V359="","",SUBSTITUTE(SUBSTITUTE(2キー同時!V359," ",""),"　","")))</f>
        <v/>
      </c>
      <c r="H1378" s="2" t="str">
        <f aca="false">IF($G1378="","",2キー同時!$B$357)</f>
        <v/>
      </c>
      <c r="I1378" s="2" t="str">
        <f aca="false">IF($G1378="","","5")</f>
        <v/>
      </c>
      <c r="J1378" s="2" t="str">
        <f aca="false">""</f>
        <v/>
      </c>
      <c r="K1378" s="2" t="str">
        <f aca="false">""</f>
        <v/>
      </c>
      <c r="L1378" s="2" t="str">
        <f aca="false">IF($G1378="","","同時")</f>
        <v/>
      </c>
      <c r="M1378" s="2" t="str">
        <f aca="false">IF($G1378="","",IF(ISNA(MATCH($G1378,個別指定!$A:$A,0)),"行なし",""))</f>
        <v/>
      </c>
      <c r="N1378" s="2" t="str">
        <f aca="false">IF($G1378="","",IF(COUNTIF($G$2:$G$4460,$G1378)&gt;1,"重複",""))</f>
        <v/>
      </c>
    </row>
    <row r="1379" customFormat="false" ht="16.5" hidden="false" customHeight="true" outlineLevel="0" collapsed="false">
      <c r="A1379" s="2" t="s">
        <v>385</v>
      </c>
      <c r="B1379" s="2" t="s">
        <v>413</v>
      </c>
      <c r="C1379" s="2" t="s">
        <v>5</v>
      </c>
      <c r="D1379" s="2" t="str">
        <f aca="false">IF(2キー同時!$B$357="","",2キー同時!$B$357)</f>
        <v/>
      </c>
      <c r="E1379" s="2" t="str">
        <f aca="false">""</f>
        <v/>
      </c>
      <c r="F1379" s="2" t="str">
        <f aca="false">""</f>
        <v/>
      </c>
      <c r="G1379" s="2" t="str">
        <f aca="false">IF(2キー同時!$B$357="","",IF(2キー同時!Z359="","",SUBSTITUTE(SUBSTITUTE(2キー同時!Z359," ",""),"　","")))</f>
        <v/>
      </c>
      <c r="H1379" s="2" t="str">
        <f aca="false">IF($G1379="","",2キー同時!$B$357)</f>
        <v/>
      </c>
      <c r="I1379" s="2" t="str">
        <f aca="false">IF($G1379="","","6")</f>
        <v/>
      </c>
      <c r="J1379" s="2" t="str">
        <f aca="false">""</f>
        <v/>
      </c>
      <c r="K1379" s="2" t="str">
        <f aca="false">""</f>
        <v/>
      </c>
      <c r="L1379" s="2" t="str">
        <f aca="false">IF($G1379="","","同時")</f>
        <v/>
      </c>
      <c r="M1379" s="2" t="str">
        <f aca="false">IF($G1379="","",IF(ISNA(MATCH($G1379,個別指定!$A:$A,0)),"行なし",""))</f>
        <v/>
      </c>
      <c r="N1379" s="2" t="str">
        <f aca="false">IF($G1379="","",IF(COUNTIF($G$2:$G$4460,$G1379)&gt;1,"重複",""))</f>
        <v/>
      </c>
    </row>
    <row r="1380" customFormat="false" ht="16.5" hidden="false" customHeight="true" outlineLevel="0" collapsed="false">
      <c r="A1380" s="2" t="s">
        <v>385</v>
      </c>
      <c r="B1380" s="2" t="s">
        <v>413</v>
      </c>
      <c r="C1380" s="2" t="s">
        <v>6</v>
      </c>
      <c r="D1380" s="2" t="str">
        <f aca="false">IF(2キー同時!$B$357="","",2キー同時!$B$357)</f>
        <v/>
      </c>
      <c r="E1380" s="2" t="str">
        <f aca="false">""</f>
        <v/>
      </c>
      <c r="F1380" s="2" t="str">
        <f aca="false">""</f>
        <v/>
      </c>
      <c r="G1380" s="2" t="str">
        <f aca="false">IF(2キー同時!$B$357="","",IF(2キー同時!AD359="","",SUBSTITUTE(SUBSTITUTE(2キー同時!AD359," ",""),"　","")))</f>
        <v/>
      </c>
      <c r="H1380" s="2" t="str">
        <f aca="false">IF($G1380="","",2キー同時!$B$357)</f>
        <v/>
      </c>
      <c r="I1380" s="2" t="str">
        <f aca="false">IF($G1380="","","7")</f>
        <v/>
      </c>
      <c r="J1380" s="2" t="str">
        <f aca="false">""</f>
        <v/>
      </c>
      <c r="K1380" s="2" t="str">
        <f aca="false">""</f>
        <v/>
      </c>
      <c r="L1380" s="2" t="str">
        <f aca="false">IF($G1380="","","同時")</f>
        <v/>
      </c>
      <c r="M1380" s="2" t="str">
        <f aca="false">IF($G1380="","",IF(ISNA(MATCH($G1380,個別指定!$A:$A,0)),"行なし",""))</f>
        <v/>
      </c>
      <c r="N1380" s="2" t="str">
        <f aca="false">IF($G1380="","",IF(COUNTIF($G$2:$G$4460,$G1380)&gt;1,"重複",""))</f>
        <v/>
      </c>
    </row>
    <row r="1381" customFormat="false" ht="16.5" hidden="false" customHeight="true" outlineLevel="0" collapsed="false">
      <c r="A1381" s="2" t="s">
        <v>385</v>
      </c>
      <c r="B1381" s="2" t="s">
        <v>413</v>
      </c>
      <c r="C1381" s="2" t="s">
        <v>7</v>
      </c>
      <c r="D1381" s="2" t="str">
        <f aca="false">IF(2キー同時!$B$357="","",2キー同時!$B$357)</f>
        <v/>
      </c>
      <c r="E1381" s="2" t="str">
        <f aca="false">""</f>
        <v/>
      </c>
      <c r="F1381" s="2" t="str">
        <f aca="false">""</f>
        <v/>
      </c>
      <c r="G1381" s="2" t="str">
        <f aca="false">IF(2キー同時!$B$357="","",IF(2キー同時!AH359="","",SUBSTITUTE(SUBSTITUTE(2キー同時!AH359," ",""),"　","")))</f>
        <v/>
      </c>
      <c r="H1381" s="2" t="str">
        <f aca="false">IF($G1381="","",2キー同時!$B$357)</f>
        <v/>
      </c>
      <c r="I1381" s="2" t="str">
        <f aca="false">IF($G1381="","","8")</f>
        <v/>
      </c>
      <c r="J1381" s="2" t="str">
        <f aca="false">""</f>
        <v/>
      </c>
      <c r="K1381" s="2" t="str">
        <f aca="false">""</f>
        <v/>
      </c>
      <c r="L1381" s="2" t="str">
        <f aca="false">IF($G1381="","","同時")</f>
        <v/>
      </c>
      <c r="M1381" s="2" t="str">
        <f aca="false">IF($G1381="","",IF(ISNA(MATCH($G1381,個別指定!$A:$A,0)),"行なし",""))</f>
        <v/>
      </c>
      <c r="N1381" s="2" t="str">
        <f aca="false">IF($G1381="","",IF(COUNTIF($G$2:$G$4460,$G1381)&gt;1,"重複",""))</f>
        <v/>
      </c>
    </row>
    <row r="1382" customFormat="false" ht="16.5" hidden="false" customHeight="true" outlineLevel="0" collapsed="false">
      <c r="A1382" s="2" t="s">
        <v>385</v>
      </c>
      <c r="B1382" s="2" t="s">
        <v>413</v>
      </c>
      <c r="C1382" s="2" t="s">
        <v>8</v>
      </c>
      <c r="D1382" s="2" t="str">
        <f aca="false">IF(2キー同時!$B$357="","",2キー同時!$B$357)</f>
        <v/>
      </c>
      <c r="E1382" s="2" t="str">
        <f aca="false">""</f>
        <v/>
      </c>
      <c r="F1382" s="2" t="str">
        <f aca="false">""</f>
        <v/>
      </c>
      <c r="G1382" s="2" t="str">
        <f aca="false">IF(2キー同時!$B$357="","",IF(2キー同時!AL359="","",SUBSTITUTE(SUBSTITUTE(2キー同時!AL359," ",""),"　","")))</f>
        <v/>
      </c>
      <c r="H1382" s="2" t="str">
        <f aca="false">IF($G1382="","",2キー同時!$B$357)</f>
        <v/>
      </c>
      <c r="I1382" s="2" t="str">
        <f aca="false">IF($G1382="","","9")</f>
        <v/>
      </c>
      <c r="J1382" s="2" t="str">
        <f aca="false">""</f>
        <v/>
      </c>
      <c r="K1382" s="2" t="str">
        <f aca="false">""</f>
        <v/>
      </c>
      <c r="L1382" s="2" t="str">
        <f aca="false">IF($G1382="","","同時")</f>
        <v/>
      </c>
      <c r="M1382" s="2" t="str">
        <f aca="false">IF($G1382="","",IF(ISNA(MATCH($G1382,個別指定!$A:$A,0)),"行なし",""))</f>
        <v/>
      </c>
      <c r="N1382" s="2" t="str">
        <f aca="false">IF($G1382="","",IF(COUNTIF($G$2:$G$4460,$G1382)&gt;1,"重複",""))</f>
        <v/>
      </c>
    </row>
    <row r="1383" customFormat="false" ht="16.5" hidden="false" customHeight="true" outlineLevel="0" collapsed="false">
      <c r="A1383" s="2" t="s">
        <v>385</v>
      </c>
      <c r="B1383" s="2" t="s">
        <v>413</v>
      </c>
      <c r="C1383" s="2" t="s">
        <v>9</v>
      </c>
      <c r="D1383" s="2" t="str">
        <f aca="false">IF(2キー同時!$B$357="","",2キー同時!$B$357)</f>
        <v/>
      </c>
      <c r="E1383" s="2" t="str">
        <f aca="false">""</f>
        <v/>
      </c>
      <c r="F1383" s="2" t="str">
        <f aca="false">""</f>
        <v/>
      </c>
      <c r="G1383" s="2" t="str">
        <f aca="false">IF(2キー同時!$B$357="","",IF(2キー同時!AP359="","",SUBSTITUTE(SUBSTITUTE(2キー同時!AP359," ",""),"　","")))</f>
        <v/>
      </c>
      <c r="H1383" s="2" t="str">
        <f aca="false">IF($G1383="","",2キー同時!$B$357)</f>
        <v/>
      </c>
      <c r="I1383" s="2" t="str">
        <f aca="false">IF($G1383="","","0")</f>
        <v/>
      </c>
      <c r="J1383" s="2" t="str">
        <f aca="false">""</f>
        <v/>
      </c>
      <c r="K1383" s="2" t="str">
        <f aca="false">""</f>
        <v/>
      </c>
      <c r="L1383" s="2" t="str">
        <f aca="false">IF($G1383="","","同時")</f>
        <v/>
      </c>
      <c r="M1383" s="2" t="str">
        <f aca="false">IF($G1383="","",IF(ISNA(MATCH($G1383,個別指定!$A:$A,0)),"行なし",""))</f>
        <v/>
      </c>
      <c r="N1383" s="2" t="str">
        <f aca="false">IF($G1383="","",IF(COUNTIF($G$2:$G$4460,$G1383)&gt;1,"重複",""))</f>
        <v/>
      </c>
    </row>
    <row r="1384" customFormat="false" ht="16.5" hidden="false" customHeight="true" outlineLevel="0" collapsed="false">
      <c r="A1384" s="2" t="s">
        <v>385</v>
      </c>
      <c r="B1384" s="2" t="s">
        <v>413</v>
      </c>
      <c r="C1384" s="2" t="s">
        <v>10</v>
      </c>
      <c r="D1384" s="2" t="str">
        <f aca="false">IF(2キー同時!$B$357="","",2キー同時!$B$357)</f>
        <v/>
      </c>
      <c r="E1384" s="2" t="str">
        <f aca="false">""</f>
        <v/>
      </c>
      <c r="F1384" s="2" t="str">
        <f aca="false">""</f>
        <v/>
      </c>
      <c r="G1384" s="2" t="str">
        <f aca="false">IF(2キー同時!$B$357="","",IF(2キー同時!AT359="","",SUBSTITUTE(SUBSTITUTE(2キー同時!AT359," ",""),"　","")))</f>
        <v/>
      </c>
      <c r="H1384" s="2" t="str">
        <f aca="false">IF($G1384="","",2キー同時!$B$357)</f>
        <v/>
      </c>
      <c r="I1384" s="2" t="str">
        <f aca="false">IF($G1384="","","-")</f>
        <v/>
      </c>
      <c r="J1384" s="2" t="str">
        <f aca="false">""</f>
        <v/>
      </c>
      <c r="K1384" s="2" t="str">
        <f aca="false">""</f>
        <v/>
      </c>
      <c r="L1384" s="2" t="str">
        <f aca="false">IF($G1384="","","同時")</f>
        <v/>
      </c>
      <c r="M1384" s="2" t="str">
        <f aca="false">IF($G1384="","",IF(ISNA(MATCH($G1384,個別指定!$A:$A,0)),"行なし",""))</f>
        <v/>
      </c>
      <c r="N1384" s="2" t="str">
        <f aca="false">IF($G1384="","",IF(COUNTIF($G$2:$G$4460,$G1384)&gt;1,"重複",""))</f>
        <v/>
      </c>
    </row>
    <row r="1385" customFormat="false" ht="16.5" hidden="false" customHeight="true" outlineLevel="0" collapsed="false">
      <c r="A1385" s="2" t="s">
        <v>385</v>
      </c>
      <c r="B1385" s="2" t="s">
        <v>413</v>
      </c>
      <c r="C1385" s="2" t="s">
        <v>11</v>
      </c>
      <c r="D1385" s="2" t="str">
        <f aca="false">IF(2キー同時!$B$357="","",2キー同時!$B$357)</f>
        <v/>
      </c>
      <c r="E1385" s="2" t="str">
        <f aca="false">""</f>
        <v/>
      </c>
      <c r="F1385" s="2" t="str">
        <f aca="false">""</f>
        <v/>
      </c>
      <c r="G1385" s="2" t="str">
        <f aca="false">IF(2キー同時!$B$357="","",IF(2キー同時!AX359="","",SUBSTITUTE(SUBSTITUTE(2キー同時!AX359," ",""),"　","")))</f>
        <v/>
      </c>
      <c r="H1385" s="2" t="str">
        <f aca="false">IF($G1385="","",2キー同時!$B$357)</f>
        <v/>
      </c>
      <c r="I1385" s="2" t="str">
        <f aca="false">IF($G1385="","","=")</f>
        <v/>
      </c>
      <c r="J1385" s="2" t="str">
        <f aca="false">""</f>
        <v/>
      </c>
      <c r="K1385" s="2" t="str">
        <f aca="false">""</f>
        <v/>
      </c>
      <c r="L1385" s="2" t="str">
        <f aca="false">IF($G1385="","","同時")</f>
        <v/>
      </c>
      <c r="M1385" s="2" t="str">
        <f aca="false">IF($G1385="","",IF(ISNA(MATCH($G1385,個別指定!$A:$A,0)),"行なし",""))</f>
        <v/>
      </c>
      <c r="N1385" s="2" t="str">
        <f aca="false">IF($G1385="","",IF(COUNTIF($G$2:$G$4460,$G1385)&gt;1,"重複",""))</f>
        <v/>
      </c>
    </row>
    <row r="1386" customFormat="false" ht="16.5" hidden="false" customHeight="true" outlineLevel="0" collapsed="false">
      <c r="A1386" s="2" t="s">
        <v>385</v>
      </c>
      <c r="B1386" s="2" t="s">
        <v>413</v>
      </c>
      <c r="C1386" s="2" t="s">
        <v>12</v>
      </c>
      <c r="D1386" s="2" t="str">
        <f aca="false">IF(2キー同時!$B$357="","",2キー同時!$B$357)</f>
        <v/>
      </c>
      <c r="E1386" s="2" t="str">
        <f aca="false">""</f>
        <v/>
      </c>
      <c r="F1386" s="2" t="str">
        <f aca="false">""</f>
        <v/>
      </c>
      <c r="G1386" s="2" t="str">
        <f aca="false">IF(2キー同時!$B$357="","",IF(2キー同時!H361="","",SUBSTITUTE(SUBSTITUTE(2キー同時!H361," ",""),"　","")))</f>
        <v/>
      </c>
      <c r="H1386" s="2" t="str">
        <f aca="false">IF($G1386="","",2キー同時!$B$357)</f>
        <v/>
      </c>
      <c r="I1386" s="2" t="str">
        <f aca="false">IF($G1386="","","q")</f>
        <v/>
      </c>
      <c r="J1386" s="2" t="str">
        <f aca="false">""</f>
        <v/>
      </c>
      <c r="K1386" s="2" t="str">
        <f aca="false">""</f>
        <v/>
      </c>
      <c r="L1386" s="2" t="str">
        <f aca="false">IF($G1386="","","同時")</f>
        <v/>
      </c>
      <c r="M1386" s="2" t="str">
        <f aca="false">IF($G1386="","",IF(ISNA(MATCH($G1386,個別指定!$A:$A,0)),"行なし",""))</f>
        <v/>
      </c>
      <c r="N1386" s="2" t="str">
        <f aca="false">IF($G1386="","",IF(COUNTIF($G$2:$G$4460,$G1386)&gt;1,"重複",""))</f>
        <v/>
      </c>
    </row>
    <row r="1387" customFormat="false" ht="16.5" hidden="false" customHeight="true" outlineLevel="0" collapsed="false">
      <c r="A1387" s="2" t="s">
        <v>385</v>
      </c>
      <c r="B1387" s="2" t="s">
        <v>413</v>
      </c>
      <c r="C1387" s="2" t="s">
        <v>13</v>
      </c>
      <c r="D1387" s="2" t="str">
        <f aca="false">IF(2キー同時!$B$357="","",2キー同時!$B$357)</f>
        <v/>
      </c>
      <c r="E1387" s="2" t="str">
        <f aca="false">""</f>
        <v/>
      </c>
      <c r="F1387" s="2" t="str">
        <f aca="false">""</f>
        <v/>
      </c>
      <c r="G1387" s="2" t="str">
        <f aca="false">IF(2キー同時!$B$357="","",IF(2キー同時!L361="","",SUBSTITUTE(SUBSTITUTE(2キー同時!L361," ",""),"　","")))</f>
        <v/>
      </c>
      <c r="H1387" s="2" t="str">
        <f aca="false">IF($G1387="","",2キー同時!$B$357)</f>
        <v/>
      </c>
      <c r="I1387" s="2" t="str">
        <f aca="false">IF($G1387="","","w")</f>
        <v/>
      </c>
      <c r="J1387" s="2" t="str">
        <f aca="false">""</f>
        <v/>
      </c>
      <c r="K1387" s="2" t="str">
        <f aca="false">""</f>
        <v/>
      </c>
      <c r="L1387" s="2" t="str">
        <f aca="false">IF($G1387="","","同時")</f>
        <v/>
      </c>
      <c r="M1387" s="2" t="str">
        <f aca="false">IF($G1387="","",IF(ISNA(MATCH($G1387,個別指定!$A:$A,0)),"行なし",""))</f>
        <v/>
      </c>
      <c r="N1387" s="2" t="str">
        <f aca="false">IF($G1387="","",IF(COUNTIF($G$2:$G$4460,$G1387)&gt;1,"重複",""))</f>
        <v/>
      </c>
    </row>
    <row r="1388" customFormat="false" ht="16.5" hidden="false" customHeight="true" outlineLevel="0" collapsed="false">
      <c r="A1388" s="2" t="s">
        <v>385</v>
      </c>
      <c r="B1388" s="2" t="s">
        <v>413</v>
      </c>
      <c r="C1388" s="2" t="s">
        <v>14</v>
      </c>
      <c r="D1388" s="2" t="str">
        <f aca="false">IF(2キー同時!$B$357="","",2キー同時!$B$357)</f>
        <v/>
      </c>
      <c r="E1388" s="2" t="str">
        <f aca="false">""</f>
        <v/>
      </c>
      <c r="F1388" s="2" t="str">
        <f aca="false">""</f>
        <v/>
      </c>
      <c r="G1388" s="2" t="str">
        <f aca="false">IF(2キー同時!$B$357="","",IF(2キー同時!P361="","",SUBSTITUTE(SUBSTITUTE(2キー同時!P361," ",""),"　","")))</f>
        <v/>
      </c>
      <c r="H1388" s="2" t="str">
        <f aca="false">IF($G1388="","",2キー同時!$B$357)</f>
        <v/>
      </c>
      <c r="I1388" s="2" t="str">
        <f aca="false">IF($G1388="","","e")</f>
        <v/>
      </c>
      <c r="J1388" s="2" t="str">
        <f aca="false">""</f>
        <v/>
      </c>
      <c r="K1388" s="2" t="str">
        <f aca="false">""</f>
        <v/>
      </c>
      <c r="L1388" s="2" t="str">
        <f aca="false">IF($G1388="","","同時")</f>
        <v/>
      </c>
      <c r="M1388" s="2" t="str">
        <f aca="false">IF($G1388="","",IF(ISNA(MATCH($G1388,個別指定!$A:$A,0)),"行なし",""))</f>
        <v/>
      </c>
      <c r="N1388" s="2" t="str">
        <f aca="false">IF($G1388="","",IF(COUNTIF($G$2:$G$4460,$G1388)&gt;1,"重複",""))</f>
        <v/>
      </c>
    </row>
    <row r="1389" customFormat="false" ht="16.5" hidden="false" customHeight="true" outlineLevel="0" collapsed="false">
      <c r="A1389" s="2" t="s">
        <v>385</v>
      </c>
      <c r="B1389" s="2" t="s">
        <v>413</v>
      </c>
      <c r="C1389" s="2" t="s">
        <v>15</v>
      </c>
      <c r="D1389" s="2" t="str">
        <f aca="false">IF(2キー同時!$B$357="","",2キー同時!$B$357)</f>
        <v/>
      </c>
      <c r="E1389" s="2" t="str">
        <f aca="false">""</f>
        <v/>
      </c>
      <c r="F1389" s="2" t="str">
        <f aca="false">""</f>
        <v/>
      </c>
      <c r="G1389" s="2" t="str">
        <f aca="false">IF(2キー同時!$B$357="","",IF(2キー同時!T361="","",SUBSTITUTE(SUBSTITUTE(2キー同時!T361," ",""),"　","")))</f>
        <v/>
      </c>
      <c r="H1389" s="2" t="str">
        <f aca="false">IF($G1389="","",2キー同時!$B$357)</f>
        <v/>
      </c>
      <c r="I1389" s="2" t="str">
        <f aca="false">IF($G1389="","","r")</f>
        <v/>
      </c>
      <c r="J1389" s="2" t="str">
        <f aca="false">""</f>
        <v/>
      </c>
      <c r="K1389" s="2" t="str">
        <f aca="false">""</f>
        <v/>
      </c>
      <c r="L1389" s="2" t="str">
        <f aca="false">IF($G1389="","","同時")</f>
        <v/>
      </c>
      <c r="M1389" s="2" t="str">
        <f aca="false">IF($G1389="","",IF(ISNA(MATCH($G1389,個別指定!$A:$A,0)),"行なし",""))</f>
        <v/>
      </c>
      <c r="N1389" s="2" t="str">
        <f aca="false">IF($G1389="","",IF(COUNTIF($G$2:$G$4460,$G1389)&gt;1,"重複",""))</f>
        <v/>
      </c>
    </row>
    <row r="1390" customFormat="false" ht="16.5" hidden="false" customHeight="true" outlineLevel="0" collapsed="false">
      <c r="A1390" s="2" t="s">
        <v>385</v>
      </c>
      <c r="B1390" s="2" t="s">
        <v>413</v>
      </c>
      <c r="C1390" s="2" t="s">
        <v>16</v>
      </c>
      <c r="D1390" s="2" t="str">
        <f aca="false">IF(2キー同時!$B$357="","",2キー同時!$B$357)</f>
        <v/>
      </c>
      <c r="E1390" s="2" t="str">
        <f aca="false">""</f>
        <v/>
      </c>
      <c r="F1390" s="2" t="str">
        <f aca="false">""</f>
        <v/>
      </c>
      <c r="G1390" s="2" t="str">
        <f aca="false">IF(2キー同時!$B$357="","",IF(2キー同時!X361="","",SUBSTITUTE(SUBSTITUTE(2キー同時!X361," ",""),"　","")))</f>
        <v/>
      </c>
      <c r="H1390" s="2" t="str">
        <f aca="false">IF($G1390="","",2キー同時!$B$357)</f>
        <v/>
      </c>
      <c r="I1390" s="2" t="str">
        <f aca="false">IF($G1390="","","t")</f>
        <v/>
      </c>
      <c r="J1390" s="2" t="str">
        <f aca="false">""</f>
        <v/>
      </c>
      <c r="K1390" s="2" t="str">
        <f aca="false">""</f>
        <v/>
      </c>
      <c r="L1390" s="2" t="str">
        <f aca="false">IF($G1390="","","同時")</f>
        <v/>
      </c>
      <c r="M1390" s="2" t="str">
        <f aca="false">IF($G1390="","",IF(ISNA(MATCH($G1390,個別指定!$A:$A,0)),"行なし",""))</f>
        <v/>
      </c>
      <c r="N1390" s="2" t="str">
        <f aca="false">IF($G1390="","",IF(COUNTIF($G$2:$G$4460,$G1390)&gt;1,"重複",""))</f>
        <v/>
      </c>
    </row>
    <row r="1391" customFormat="false" ht="16.5" hidden="false" customHeight="true" outlineLevel="0" collapsed="false">
      <c r="A1391" s="2" t="s">
        <v>385</v>
      </c>
      <c r="B1391" s="2" t="s">
        <v>413</v>
      </c>
      <c r="C1391" s="2" t="s">
        <v>17</v>
      </c>
      <c r="D1391" s="2" t="str">
        <f aca="false">IF(2キー同時!$B$357="","",2キー同時!$B$357)</f>
        <v/>
      </c>
      <c r="E1391" s="2" t="str">
        <f aca="false">""</f>
        <v/>
      </c>
      <c r="F1391" s="2" t="str">
        <f aca="false">""</f>
        <v/>
      </c>
      <c r="G1391" s="2" t="str">
        <f aca="false">IF(2キー同時!$B$357="","",IF(2キー同時!AB361="","",SUBSTITUTE(SUBSTITUTE(2キー同時!AB361," ",""),"　","")))</f>
        <v/>
      </c>
      <c r="H1391" s="2" t="str">
        <f aca="false">IF($G1391="","",2キー同時!$B$357)</f>
        <v/>
      </c>
      <c r="I1391" s="2" t="str">
        <f aca="false">IF($G1391="","","y")</f>
        <v/>
      </c>
      <c r="J1391" s="2" t="str">
        <f aca="false">""</f>
        <v/>
      </c>
      <c r="K1391" s="2" t="str">
        <f aca="false">""</f>
        <v/>
      </c>
      <c r="L1391" s="2" t="str">
        <f aca="false">IF($G1391="","","同時")</f>
        <v/>
      </c>
      <c r="M1391" s="2" t="str">
        <f aca="false">IF($G1391="","",IF(ISNA(MATCH($G1391,個別指定!$A:$A,0)),"行なし",""))</f>
        <v/>
      </c>
      <c r="N1391" s="2" t="str">
        <f aca="false">IF($G1391="","",IF(COUNTIF($G$2:$G$4460,$G1391)&gt;1,"重複",""))</f>
        <v/>
      </c>
    </row>
    <row r="1392" customFormat="false" ht="16.5" hidden="false" customHeight="true" outlineLevel="0" collapsed="false">
      <c r="A1392" s="2" t="s">
        <v>385</v>
      </c>
      <c r="B1392" s="2" t="s">
        <v>413</v>
      </c>
      <c r="C1392" s="2" t="s">
        <v>18</v>
      </c>
      <c r="D1392" s="2" t="str">
        <f aca="false">IF(2キー同時!$B$357="","",2キー同時!$B$357)</f>
        <v/>
      </c>
      <c r="E1392" s="2" t="str">
        <f aca="false">""</f>
        <v/>
      </c>
      <c r="F1392" s="2" t="str">
        <f aca="false">""</f>
        <v/>
      </c>
      <c r="G1392" s="2" t="str">
        <f aca="false">IF(2キー同時!$B$357="","",IF(2キー同時!AF361="","",SUBSTITUTE(SUBSTITUTE(2キー同時!AF361," ",""),"　","")))</f>
        <v/>
      </c>
      <c r="H1392" s="2" t="str">
        <f aca="false">IF($G1392="","",2キー同時!$B$357)</f>
        <v/>
      </c>
      <c r="I1392" s="2" t="str">
        <f aca="false">IF($G1392="","","u")</f>
        <v/>
      </c>
      <c r="J1392" s="2" t="str">
        <f aca="false">""</f>
        <v/>
      </c>
      <c r="K1392" s="2" t="str">
        <f aca="false">""</f>
        <v/>
      </c>
      <c r="L1392" s="2" t="str">
        <f aca="false">IF($G1392="","","同時")</f>
        <v/>
      </c>
      <c r="M1392" s="2" t="str">
        <f aca="false">IF($G1392="","",IF(ISNA(MATCH($G1392,個別指定!$A:$A,0)),"行なし",""))</f>
        <v/>
      </c>
      <c r="N1392" s="2" t="str">
        <f aca="false">IF($G1392="","",IF(COUNTIF($G$2:$G$4460,$G1392)&gt;1,"重複",""))</f>
        <v/>
      </c>
    </row>
    <row r="1393" customFormat="false" ht="16.5" hidden="false" customHeight="true" outlineLevel="0" collapsed="false">
      <c r="A1393" s="2" t="s">
        <v>385</v>
      </c>
      <c r="B1393" s="2" t="s">
        <v>413</v>
      </c>
      <c r="C1393" s="2" t="s">
        <v>19</v>
      </c>
      <c r="D1393" s="2" t="str">
        <f aca="false">IF(2キー同時!$B$357="","",2キー同時!$B$357)</f>
        <v/>
      </c>
      <c r="E1393" s="2" t="str">
        <f aca="false">""</f>
        <v/>
      </c>
      <c r="F1393" s="2" t="str">
        <f aca="false">""</f>
        <v/>
      </c>
      <c r="G1393" s="2" t="str">
        <f aca="false">IF(2キー同時!$B$357="","",IF(2キー同時!AJ361="","",SUBSTITUTE(SUBSTITUTE(2キー同時!AJ361," ",""),"　","")))</f>
        <v/>
      </c>
      <c r="H1393" s="2" t="str">
        <f aca="false">IF($G1393="","",2キー同時!$B$357)</f>
        <v/>
      </c>
      <c r="I1393" s="2" t="str">
        <f aca="false">IF($G1393="","","i")</f>
        <v/>
      </c>
      <c r="J1393" s="2" t="str">
        <f aca="false">""</f>
        <v/>
      </c>
      <c r="K1393" s="2" t="str">
        <f aca="false">""</f>
        <v/>
      </c>
      <c r="L1393" s="2" t="str">
        <f aca="false">IF($G1393="","","同時")</f>
        <v/>
      </c>
      <c r="M1393" s="2" t="str">
        <f aca="false">IF($G1393="","",IF(ISNA(MATCH($G1393,個別指定!$A:$A,0)),"行なし",""))</f>
        <v/>
      </c>
      <c r="N1393" s="2" t="str">
        <f aca="false">IF($G1393="","",IF(COUNTIF($G$2:$G$4460,$G1393)&gt;1,"重複",""))</f>
        <v/>
      </c>
    </row>
    <row r="1394" customFormat="false" ht="16.5" hidden="false" customHeight="true" outlineLevel="0" collapsed="false">
      <c r="A1394" s="2" t="s">
        <v>385</v>
      </c>
      <c r="B1394" s="2" t="s">
        <v>413</v>
      </c>
      <c r="C1394" s="2" t="s">
        <v>20</v>
      </c>
      <c r="D1394" s="2" t="str">
        <f aca="false">IF(2キー同時!$B$357="","",2キー同時!$B$357)</f>
        <v/>
      </c>
      <c r="E1394" s="2" t="str">
        <f aca="false">""</f>
        <v/>
      </c>
      <c r="F1394" s="2" t="str">
        <f aca="false">""</f>
        <v/>
      </c>
      <c r="G1394" s="2" t="str">
        <f aca="false">IF(2キー同時!$B$357="","",IF(2キー同時!AN361="","",SUBSTITUTE(SUBSTITUTE(2キー同時!AN361," ",""),"　","")))</f>
        <v/>
      </c>
      <c r="H1394" s="2" t="str">
        <f aca="false">IF($G1394="","",2キー同時!$B$357)</f>
        <v/>
      </c>
      <c r="I1394" s="2" t="str">
        <f aca="false">IF($G1394="","","o")</f>
        <v/>
      </c>
      <c r="J1394" s="2" t="str">
        <f aca="false">""</f>
        <v/>
      </c>
      <c r="K1394" s="2" t="str">
        <f aca="false">""</f>
        <v/>
      </c>
      <c r="L1394" s="2" t="str">
        <f aca="false">IF($G1394="","","同時")</f>
        <v/>
      </c>
      <c r="M1394" s="2" t="str">
        <f aca="false">IF($G1394="","",IF(ISNA(MATCH($G1394,個別指定!$A:$A,0)),"行なし",""))</f>
        <v/>
      </c>
      <c r="N1394" s="2" t="str">
        <f aca="false">IF($G1394="","",IF(COUNTIF($G$2:$G$4460,$G1394)&gt;1,"重複",""))</f>
        <v/>
      </c>
    </row>
    <row r="1395" customFormat="false" ht="16.5" hidden="false" customHeight="true" outlineLevel="0" collapsed="false">
      <c r="A1395" s="2" t="s">
        <v>385</v>
      </c>
      <c r="B1395" s="2" t="s">
        <v>413</v>
      </c>
      <c r="C1395" s="2" t="s">
        <v>21</v>
      </c>
      <c r="D1395" s="2" t="str">
        <f aca="false">IF(2キー同時!$B$357="","",2キー同時!$B$357)</f>
        <v/>
      </c>
      <c r="E1395" s="2" t="str">
        <f aca="false">""</f>
        <v/>
      </c>
      <c r="F1395" s="2" t="str">
        <f aca="false">""</f>
        <v/>
      </c>
      <c r="G1395" s="2" t="str">
        <f aca="false">IF(2キー同時!$B$357="","",IF(2キー同時!AR361="","",SUBSTITUTE(SUBSTITUTE(2キー同時!AR361," ",""),"　","")))</f>
        <v/>
      </c>
      <c r="H1395" s="2" t="str">
        <f aca="false">IF($G1395="","",2キー同時!$B$357)</f>
        <v/>
      </c>
      <c r="I1395" s="2" t="str">
        <f aca="false">IF($G1395="","","p")</f>
        <v/>
      </c>
      <c r="J1395" s="2" t="str">
        <f aca="false">""</f>
        <v/>
      </c>
      <c r="K1395" s="2" t="str">
        <f aca="false">""</f>
        <v/>
      </c>
      <c r="L1395" s="2" t="str">
        <f aca="false">IF($G1395="","","同時")</f>
        <v/>
      </c>
      <c r="M1395" s="2" t="str">
        <f aca="false">IF($G1395="","",IF(ISNA(MATCH($G1395,個別指定!$A:$A,0)),"行なし",""))</f>
        <v/>
      </c>
      <c r="N1395" s="2" t="str">
        <f aca="false">IF($G1395="","",IF(COUNTIF($G$2:$G$4460,$G1395)&gt;1,"重複",""))</f>
        <v/>
      </c>
    </row>
    <row r="1396" customFormat="false" ht="16.5" hidden="false" customHeight="true" outlineLevel="0" collapsed="false">
      <c r="A1396" s="2" t="s">
        <v>385</v>
      </c>
      <c r="B1396" s="2" t="s">
        <v>413</v>
      </c>
      <c r="C1396" s="2" t="s">
        <v>22</v>
      </c>
      <c r="D1396" s="2" t="str">
        <f aca="false">IF(2キー同時!$B$357="","",2キー同時!$B$357)</f>
        <v/>
      </c>
      <c r="E1396" s="2" t="str">
        <f aca="false">""</f>
        <v/>
      </c>
      <c r="F1396" s="2" t="str">
        <f aca="false">""</f>
        <v/>
      </c>
      <c r="G1396" s="2" t="str">
        <f aca="false">IF(2キー同時!$B$357="","",IF(2キー同時!AV361="","",SUBSTITUTE(SUBSTITUTE(2キー同時!AV361," ",""),"　","")))</f>
        <v/>
      </c>
      <c r="H1396" s="2" t="str">
        <f aca="false">IF($G1396="","",2キー同時!$B$357)</f>
        <v/>
      </c>
      <c r="I1396" s="2" t="str">
        <f aca="false">IF($G1396="","","[")</f>
        <v/>
      </c>
      <c r="J1396" s="2" t="str">
        <f aca="false">""</f>
        <v/>
      </c>
      <c r="K1396" s="2" t="str">
        <f aca="false">""</f>
        <v/>
      </c>
      <c r="L1396" s="2" t="str">
        <f aca="false">IF($G1396="","","同時")</f>
        <v/>
      </c>
      <c r="M1396" s="2" t="str">
        <f aca="false">IF($G1396="","",IF(ISNA(MATCH($G1396,個別指定!$A:$A,0)),"行なし",""))</f>
        <v/>
      </c>
      <c r="N1396" s="2" t="str">
        <f aca="false">IF($G1396="","",IF(COUNTIF($G$2:$G$4460,$G1396)&gt;1,"重複",""))</f>
        <v/>
      </c>
    </row>
    <row r="1397" customFormat="false" ht="16.5" hidden="false" customHeight="true" outlineLevel="0" collapsed="false">
      <c r="A1397" s="2" t="s">
        <v>385</v>
      </c>
      <c r="B1397" s="2" t="s">
        <v>413</v>
      </c>
      <c r="C1397" s="2" t="s">
        <v>23</v>
      </c>
      <c r="D1397" s="2" t="str">
        <f aca="false">IF(2キー同時!$B$357="","",2キー同時!$B$357)</f>
        <v/>
      </c>
      <c r="E1397" s="2" t="str">
        <f aca="false">""</f>
        <v/>
      </c>
      <c r="F1397" s="2" t="str">
        <f aca="false">""</f>
        <v/>
      </c>
      <c r="G1397" s="2" t="str">
        <f aca="false">IF(2キー同時!$B$357="","",IF(2キー同時!AZ361="","",SUBSTITUTE(SUBSTITUTE(2キー同時!AZ361," ",""),"　","")))</f>
        <v/>
      </c>
      <c r="H1397" s="2" t="str">
        <f aca="false">IF($G1397="","",2キー同時!$B$357)</f>
        <v/>
      </c>
      <c r="I1397" s="2" t="str">
        <f aca="false">IF($G1397="","","]")</f>
        <v/>
      </c>
      <c r="J1397" s="2" t="str">
        <f aca="false">""</f>
        <v/>
      </c>
      <c r="K1397" s="2" t="str">
        <f aca="false">""</f>
        <v/>
      </c>
      <c r="L1397" s="2" t="str">
        <f aca="false">IF($G1397="","","同時")</f>
        <v/>
      </c>
      <c r="M1397" s="2" t="str">
        <f aca="false">IF($G1397="","",IF(ISNA(MATCH($G1397,個別指定!$A:$A,0)),"行なし",""))</f>
        <v/>
      </c>
      <c r="N1397" s="2" t="str">
        <f aca="false">IF($G1397="","",IF(COUNTIF($G$2:$G$4460,$G1397)&gt;1,"重複",""))</f>
        <v/>
      </c>
    </row>
    <row r="1398" customFormat="false" ht="16.5" hidden="false" customHeight="true" outlineLevel="0" collapsed="false">
      <c r="A1398" s="2" t="s">
        <v>385</v>
      </c>
      <c r="B1398" s="2" t="s">
        <v>413</v>
      </c>
      <c r="C1398" s="2" t="s">
        <v>24</v>
      </c>
      <c r="D1398" s="2" t="str">
        <f aca="false">IF(2キー同時!$B$357="","",2キー同時!$B$357)</f>
        <v/>
      </c>
      <c r="E1398" s="2" t="str">
        <f aca="false">""</f>
        <v/>
      </c>
      <c r="F1398" s="2" t="str">
        <f aca="false">""</f>
        <v/>
      </c>
      <c r="G1398" s="2" t="str">
        <f aca="false">IF(2キー同時!$B$357="","",IF(2キー同時!I363="","",SUBSTITUTE(SUBSTITUTE(2キー同時!I363," ",""),"　","")))</f>
        <v/>
      </c>
      <c r="H1398" s="2" t="str">
        <f aca="false">IF($G1398="","",2キー同時!$B$357)</f>
        <v/>
      </c>
      <c r="I1398" s="2" t="str">
        <f aca="false">IF($G1398="","","a")</f>
        <v/>
      </c>
      <c r="J1398" s="2" t="str">
        <f aca="false">""</f>
        <v/>
      </c>
      <c r="K1398" s="2" t="str">
        <f aca="false">""</f>
        <v/>
      </c>
      <c r="L1398" s="2" t="str">
        <f aca="false">IF($G1398="","","同時")</f>
        <v/>
      </c>
      <c r="M1398" s="2" t="str">
        <f aca="false">IF($G1398="","",IF(ISNA(MATCH($G1398,個別指定!$A:$A,0)),"行なし",""))</f>
        <v/>
      </c>
      <c r="N1398" s="2" t="str">
        <f aca="false">IF($G1398="","",IF(COUNTIF($G$2:$G$4460,$G1398)&gt;1,"重複",""))</f>
        <v/>
      </c>
    </row>
    <row r="1399" customFormat="false" ht="16.5" hidden="false" customHeight="true" outlineLevel="0" collapsed="false">
      <c r="A1399" s="2" t="s">
        <v>385</v>
      </c>
      <c r="B1399" s="2" t="s">
        <v>413</v>
      </c>
      <c r="C1399" s="2" t="s">
        <v>25</v>
      </c>
      <c r="D1399" s="2" t="str">
        <f aca="false">IF(2キー同時!$B$357="","",2キー同時!$B$357)</f>
        <v/>
      </c>
      <c r="E1399" s="2" t="str">
        <f aca="false">""</f>
        <v/>
      </c>
      <c r="F1399" s="2" t="str">
        <f aca="false">""</f>
        <v/>
      </c>
      <c r="G1399" s="2" t="str">
        <f aca="false">IF(2キー同時!$B$357="","",IF(2キー同時!M363="","",SUBSTITUTE(SUBSTITUTE(2キー同時!M363," ",""),"　","")))</f>
        <v/>
      </c>
      <c r="H1399" s="2" t="str">
        <f aca="false">IF($G1399="","",2キー同時!$B$357)</f>
        <v/>
      </c>
      <c r="I1399" s="2" t="str">
        <f aca="false">IF($G1399="","","s")</f>
        <v/>
      </c>
      <c r="J1399" s="2" t="str">
        <f aca="false">""</f>
        <v/>
      </c>
      <c r="K1399" s="2" t="str">
        <f aca="false">""</f>
        <v/>
      </c>
      <c r="L1399" s="2" t="str">
        <f aca="false">IF($G1399="","","同時")</f>
        <v/>
      </c>
      <c r="M1399" s="2" t="str">
        <f aca="false">IF($G1399="","",IF(ISNA(MATCH($G1399,個別指定!$A:$A,0)),"行なし",""))</f>
        <v/>
      </c>
      <c r="N1399" s="2" t="str">
        <f aca="false">IF($G1399="","",IF(COUNTIF($G$2:$G$4460,$G1399)&gt;1,"重複",""))</f>
        <v/>
      </c>
    </row>
    <row r="1400" customFormat="false" ht="16.5" hidden="false" customHeight="true" outlineLevel="0" collapsed="false">
      <c r="A1400" s="2" t="s">
        <v>385</v>
      </c>
      <c r="B1400" s="2" t="s">
        <v>413</v>
      </c>
      <c r="C1400" s="2" t="s">
        <v>26</v>
      </c>
      <c r="D1400" s="2" t="str">
        <f aca="false">IF(2キー同時!$B$357="","",2キー同時!$B$357)</f>
        <v/>
      </c>
      <c r="E1400" s="2" t="str">
        <f aca="false">""</f>
        <v/>
      </c>
      <c r="F1400" s="2" t="str">
        <f aca="false">""</f>
        <v/>
      </c>
      <c r="G1400" s="2" t="str">
        <f aca="false">IF(2キー同時!$B$357="","",IF(2キー同時!Q363="","",SUBSTITUTE(SUBSTITUTE(2キー同時!Q363," ",""),"　","")))</f>
        <v/>
      </c>
      <c r="H1400" s="2" t="str">
        <f aca="false">IF($G1400="","",2キー同時!$B$357)</f>
        <v/>
      </c>
      <c r="I1400" s="2" t="str">
        <f aca="false">IF($G1400="","","d")</f>
        <v/>
      </c>
      <c r="J1400" s="2" t="str">
        <f aca="false">""</f>
        <v/>
      </c>
      <c r="K1400" s="2" t="str">
        <f aca="false">""</f>
        <v/>
      </c>
      <c r="L1400" s="2" t="str">
        <f aca="false">IF($G1400="","","同時")</f>
        <v/>
      </c>
      <c r="M1400" s="2" t="str">
        <f aca="false">IF($G1400="","",IF(ISNA(MATCH($G1400,個別指定!$A:$A,0)),"行なし",""))</f>
        <v/>
      </c>
      <c r="N1400" s="2" t="str">
        <f aca="false">IF($G1400="","",IF(COUNTIF($G$2:$G$4460,$G1400)&gt;1,"重複",""))</f>
        <v/>
      </c>
    </row>
    <row r="1401" customFormat="false" ht="16.5" hidden="false" customHeight="true" outlineLevel="0" collapsed="false">
      <c r="A1401" s="2" t="s">
        <v>385</v>
      </c>
      <c r="B1401" s="2" t="s">
        <v>413</v>
      </c>
      <c r="C1401" s="2" t="s">
        <v>27</v>
      </c>
      <c r="D1401" s="2" t="str">
        <f aca="false">IF(2キー同時!$B$357="","",2キー同時!$B$357)</f>
        <v/>
      </c>
      <c r="E1401" s="2" t="str">
        <f aca="false">""</f>
        <v/>
      </c>
      <c r="F1401" s="2" t="str">
        <f aca="false">""</f>
        <v/>
      </c>
      <c r="G1401" s="2" t="str">
        <f aca="false">IF(2キー同時!$B$357="","",IF(2キー同時!U363="","",SUBSTITUTE(SUBSTITUTE(2キー同時!U363," ",""),"　","")))</f>
        <v/>
      </c>
      <c r="H1401" s="2" t="str">
        <f aca="false">IF($G1401="","",2キー同時!$B$357)</f>
        <v/>
      </c>
      <c r="I1401" s="2" t="str">
        <f aca="false">IF($G1401="","","f")</f>
        <v/>
      </c>
      <c r="J1401" s="2" t="str">
        <f aca="false">""</f>
        <v/>
      </c>
      <c r="K1401" s="2" t="str">
        <f aca="false">""</f>
        <v/>
      </c>
      <c r="L1401" s="2" t="str">
        <f aca="false">IF($G1401="","","同時")</f>
        <v/>
      </c>
      <c r="M1401" s="2" t="str">
        <f aca="false">IF($G1401="","",IF(ISNA(MATCH($G1401,個別指定!$A:$A,0)),"行なし",""))</f>
        <v/>
      </c>
      <c r="N1401" s="2" t="str">
        <f aca="false">IF($G1401="","",IF(COUNTIF($G$2:$G$4460,$G1401)&gt;1,"重複",""))</f>
        <v/>
      </c>
    </row>
    <row r="1402" customFormat="false" ht="16.5" hidden="false" customHeight="true" outlineLevel="0" collapsed="false">
      <c r="A1402" s="2" t="s">
        <v>385</v>
      </c>
      <c r="B1402" s="2" t="s">
        <v>413</v>
      </c>
      <c r="C1402" s="2" t="s">
        <v>28</v>
      </c>
      <c r="D1402" s="2" t="str">
        <f aca="false">IF(2キー同時!$B$357="","",2キー同時!$B$357)</f>
        <v/>
      </c>
      <c r="E1402" s="2" t="str">
        <f aca="false">""</f>
        <v/>
      </c>
      <c r="F1402" s="2" t="str">
        <f aca="false">""</f>
        <v/>
      </c>
      <c r="G1402" s="2" t="str">
        <f aca="false">IF(2キー同時!$B$357="","",IF(2キー同時!Y363="","",SUBSTITUTE(SUBSTITUTE(2キー同時!Y363," ",""),"　","")))</f>
        <v/>
      </c>
      <c r="H1402" s="2" t="str">
        <f aca="false">IF($G1402="","",2キー同時!$B$357)</f>
        <v/>
      </c>
      <c r="I1402" s="2" t="str">
        <f aca="false">IF($G1402="","","g")</f>
        <v/>
      </c>
      <c r="J1402" s="2" t="str">
        <f aca="false">""</f>
        <v/>
      </c>
      <c r="K1402" s="2" t="str">
        <f aca="false">""</f>
        <v/>
      </c>
      <c r="L1402" s="2" t="str">
        <f aca="false">IF($G1402="","","同時")</f>
        <v/>
      </c>
      <c r="M1402" s="2" t="str">
        <f aca="false">IF($G1402="","",IF(ISNA(MATCH($G1402,個別指定!$A:$A,0)),"行なし",""))</f>
        <v/>
      </c>
      <c r="N1402" s="2" t="str">
        <f aca="false">IF($G1402="","",IF(COUNTIF($G$2:$G$4460,$G1402)&gt;1,"重複",""))</f>
        <v/>
      </c>
    </row>
    <row r="1403" customFormat="false" ht="16.5" hidden="false" customHeight="true" outlineLevel="0" collapsed="false">
      <c r="A1403" s="2" t="s">
        <v>385</v>
      </c>
      <c r="B1403" s="2" t="s">
        <v>413</v>
      </c>
      <c r="C1403" s="2" t="s">
        <v>29</v>
      </c>
      <c r="D1403" s="2" t="str">
        <f aca="false">IF(2キー同時!$B$357="","",2キー同時!$B$357)</f>
        <v/>
      </c>
      <c r="E1403" s="2" t="str">
        <f aca="false">""</f>
        <v/>
      </c>
      <c r="F1403" s="2" t="str">
        <f aca="false">""</f>
        <v/>
      </c>
      <c r="G1403" s="2" t="str">
        <f aca="false">IF(2キー同時!$B$357="","",IF(2キー同時!AC363="","",SUBSTITUTE(SUBSTITUTE(2キー同時!AC363," ",""),"　","")))</f>
        <v/>
      </c>
      <c r="H1403" s="2" t="str">
        <f aca="false">IF($G1403="","",2キー同時!$B$357)</f>
        <v/>
      </c>
      <c r="I1403" s="2" t="str">
        <f aca="false">IF($G1403="","","h")</f>
        <v/>
      </c>
      <c r="J1403" s="2" t="str">
        <f aca="false">""</f>
        <v/>
      </c>
      <c r="K1403" s="2" t="str">
        <f aca="false">""</f>
        <v/>
      </c>
      <c r="L1403" s="2" t="str">
        <f aca="false">IF($G1403="","","同時")</f>
        <v/>
      </c>
      <c r="M1403" s="2" t="str">
        <f aca="false">IF($G1403="","",IF(ISNA(MATCH($G1403,個別指定!$A:$A,0)),"行なし",""))</f>
        <v/>
      </c>
      <c r="N1403" s="2" t="str">
        <f aca="false">IF($G1403="","",IF(COUNTIF($G$2:$G$4460,$G1403)&gt;1,"重複",""))</f>
        <v/>
      </c>
    </row>
    <row r="1404" customFormat="false" ht="16.5" hidden="false" customHeight="true" outlineLevel="0" collapsed="false">
      <c r="A1404" s="2" t="s">
        <v>385</v>
      </c>
      <c r="B1404" s="2" t="s">
        <v>413</v>
      </c>
      <c r="C1404" s="2" t="s">
        <v>30</v>
      </c>
      <c r="D1404" s="2" t="str">
        <f aca="false">IF(2キー同時!$B$357="","",2キー同時!$B$357)</f>
        <v/>
      </c>
      <c r="E1404" s="2" t="str">
        <f aca="false">""</f>
        <v/>
      </c>
      <c r="F1404" s="2" t="str">
        <f aca="false">""</f>
        <v/>
      </c>
      <c r="G1404" s="2" t="str">
        <f aca="false">IF(2キー同時!$B$357="","",IF(2キー同時!AG363="","",SUBSTITUTE(SUBSTITUTE(2キー同時!AG363," ",""),"　","")))</f>
        <v/>
      </c>
      <c r="H1404" s="2" t="str">
        <f aca="false">IF($G1404="","",2キー同時!$B$357)</f>
        <v/>
      </c>
      <c r="I1404" s="2" t="str">
        <f aca="false">IF($G1404="","","j")</f>
        <v/>
      </c>
      <c r="J1404" s="2" t="str">
        <f aca="false">""</f>
        <v/>
      </c>
      <c r="K1404" s="2" t="str">
        <f aca="false">""</f>
        <v/>
      </c>
      <c r="L1404" s="2" t="str">
        <f aca="false">IF($G1404="","","同時")</f>
        <v/>
      </c>
      <c r="M1404" s="2" t="str">
        <f aca="false">IF($G1404="","",IF(ISNA(MATCH($G1404,個別指定!$A:$A,0)),"行なし",""))</f>
        <v/>
      </c>
      <c r="N1404" s="2" t="str">
        <f aca="false">IF($G1404="","",IF(COUNTIF($G$2:$G$4460,$G1404)&gt;1,"重複",""))</f>
        <v/>
      </c>
    </row>
    <row r="1405" customFormat="false" ht="16.5" hidden="false" customHeight="true" outlineLevel="0" collapsed="false">
      <c r="A1405" s="2" t="s">
        <v>385</v>
      </c>
      <c r="B1405" s="2" t="s">
        <v>413</v>
      </c>
      <c r="C1405" s="2" t="s">
        <v>31</v>
      </c>
      <c r="D1405" s="2" t="str">
        <f aca="false">IF(2キー同時!$B$357="","",2キー同時!$B$357)</f>
        <v/>
      </c>
      <c r="E1405" s="2" t="str">
        <f aca="false">""</f>
        <v/>
      </c>
      <c r="F1405" s="2" t="str">
        <f aca="false">""</f>
        <v/>
      </c>
      <c r="G1405" s="2" t="str">
        <f aca="false">IF(2キー同時!$B$357="","",IF(2キー同時!AK363="","",SUBSTITUTE(SUBSTITUTE(2キー同時!AK363," ",""),"　","")))</f>
        <v/>
      </c>
      <c r="H1405" s="2" t="str">
        <f aca="false">IF($G1405="","",2キー同時!$B$357)</f>
        <v/>
      </c>
      <c r="I1405" s="2" t="str">
        <f aca="false">IF($G1405="","","k")</f>
        <v/>
      </c>
      <c r="J1405" s="2" t="str">
        <f aca="false">""</f>
        <v/>
      </c>
      <c r="K1405" s="2" t="str">
        <f aca="false">""</f>
        <v/>
      </c>
      <c r="L1405" s="2" t="str">
        <f aca="false">IF($G1405="","","同時")</f>
        <v/>
      </c>
      <c r="M1405" s="2" t="str">
        <f aca="false">IF($G1405="","",IF(ISNA(MATCH($G1405,個別指定!$A:$A,0)),"行なし",""))</f>
        <v/>
      </c>
      <c r="N1405" s="2" t="str">
        <f aca="false">IF($G1405="","",IF(COUNTIF($G$2:$G$4460,$G1405)&gt;1,"重複",""))</f>
        <v/>
      </c>
    </row>
    <row r="1406" customFormat="false" ht="16.5" hidden="false" customHeight="true" outlineLevel="0" collapsed="false">
      <c r="A1406" s="2" t="s">
        <v>385</v>
      </c>
      <c r="B1406" s="2" t="s">
        <v>413</v>
      </c>
      <c r="C1406" s="2" t="s">
        <v>32</v>
      </c>
      <c r="D1406" s="2" t="str">
        <f aca="false">IF(2キー同時!$B$357="","",2キー同時!$B$357)</f>
        <v/>
      </c>
      <c r="E1406" s="2" t="str">
        <f aca="false">""</f>
        <v/>
      </c>
      <c r="F1406" s="2" t="str">
        <f aca="false">""</f>
        <v/>
      </c>
      <c r="G1406" s="2" t="str">
        <f aca="false">IF(2キー同時!$B$357="","",IF(2キー同時!AO363="","",SUBSTITUTE(SUBSTITUTE(2キー同時!AO363," ",""),"　","")))</f>
        <v/>
      </c>
      <c r="H1406" s="2" t="str">
        <f aca="false">IF($G1406="","",2キー同時!$B$357)</f>
        <v/>
      </c>
      <c r="I1406" s="2" t="str">
        <f aca="false">IF($G1406="","","l")</f>
        <v/>
      </c>
      <c r="J1406" s="2" t="str">
        <f aca="false">""</f>
        <v/>
      </c>
      <c r="K1406" s="2" t="str">
        <f aca="false">""</f>
        <v/>
      </c>
      <c r="L1406" s="2" t="str">
        <f aca="false">IF($G1406="","","同時")</f>
        <v/>
      </c>
      <c r="M1406" s="2" t="str">
        <f aca="false">IF($G1406="","",IF(ISNA(MATCH($G1406,個別指定!$A:$A,0)),"行なし",""))</f>
        <v/>
      </c>
      <c r="N1406" s="2" t="str">
        <f aca="false">IF($G1406="","",IF(COUNTIF($G$2:$G$4460,$G1406)&gt;1,"重複",""))</f>
        <v/>
      </c>
    </row>
    <row r="1407" customFormat="false" ht="16.5" hidden="false" customHeight="true" outlineLevel="0" collapsed="false">
      <c r="A1407" s="2" t="s">
        <v>385</v>
      </c>
      <c r="B1407" s="2" t="s">
        <v>413</v>
      </c>
      <c r="C1407" s="2" t="s">
        <v>33</v>
      </c>
      <c r="D1407" s="2" t="str">
        <f aca="false">IF(2キー同時!$B$357="","",2キー同時!$B$357)</f>
        <v/>
      </c>
      <c r="E1407" s="2" t="str">
        <f aca="false">""</f>
        <v/>
      </c>
      <c r="F1407" s="2" t="str">
        <f aca="false">""</f>
        <v/>
      </c>
      <c r="G1407" s="2" t="str">
        <f aca="false">IF(2キー同時!$B$357="","",IF(2キー同時!AS363="","",SUBSTITUTE(SUBSTITUTE(2キー同時!AS363," ",""),"　","")))</f>
        <v/>
      </c>
      <c r="H1407" s="2" t="str">
        <f aca="false">IF($G1407="","",2キー同時!$B$357)</f>
        <v/>
      </c>
      <c r="I1407" s="2" t="str">
        <f aca="false">IF($G1407="","",";")</f>
        <v/>
      </c>
      <c r="J1407" s="2" t="str">
        <f aca="false">""</f>
        <v/>
      </c>
      <c r="K1407" s="2" t="str">
        <f aca="false">""</f>
        <v/>
      </c>
      <c r="L1407" s="2" t="str">
        <f aca="false">IF($G1407="","","同時")</f>
        <v/>
      </c>
      <c r="M1407" s="2" t="str">
        <f aca="false">IF($G1407="","",IF(ISNA(MATCH($G1407,個別指定!$A:$A,0)),"行なし",""))</f>
        <v/>
      </c>
      <c r="N1407" s="2" t="str">
        <f aca="false">IF($G1407="","",IF(COUNTIF($G$2:$G$4460,$G1407)&gt;1,"重複",""))</f>
        <v/>
      </c>
    </row>
    <row r="1408" customFormat="false" ht="16.5" hidden="false" customHeight="true" outlineLevel="0" collapsed="false">
      <c r="A1408" s="2" t="s">
        <v>385</v>
      </c>
      <c r="B1408" s="2" t="s">
        <v>413</v>
      </c>
      <c r="C1408" s="2" t="s">
        <v>34</v>
      </c>
      <c r="D1408" s="2" t="str">
        <f aca="false">IF(2キー同時!$B$357="","",2キー同時!$B$357)</f>
        <v/>
      </c>
      <c r="E1408" s="2" t="str">
        <f aca="false">""</f>
        <v/>
      </c>
      <c r="F1408" s="2" t="str">
        <f aca="false">""</f>
        <v/>
      </c>
      <c r="G1408" s="2" t="str">
        <f aca="false">IF(2キー同時!$B$357="","",IF(2キー同時!AW363="","",SUBSTITUTE(SUBSTITUTE(2キー同時!AW363," ",""),"　","")))</f>
        <v/>
      </c>
      <c r="H1408" s="2" t="str">
        <f aca="false">IF($G1408="","",2キー同時!$B$357)</f>
        <v/>
      </c>
      <c r="I1408" s="2" t="str">
        <f aca="false">IF($G1408="","","'")</f>
        <v/>
      </c>
      <c r="J1408" s="2" t="str">
        <f aca="false">""</f>
        <v/>
      </c>
      <c r="K1408" s="2" t="str">
        <f aca="false">""</f>
        <v/>
      </c>
      <c r="L1408" s="2" t="str">
        <f aca="false">IF($G1408="","","同時")</f>
        <v/>
      </c>
      <c r="M1408" s="2" t="str">
        <f aca="false">IF($G1408="","",IF(ISNA(MATCH($G1408,個別指定!$A:$A,0)),"行なし",""))</f>
        <v/>
      </c>
      <c r="N1408" s="2" t="str">
        <f aca="false">IF($G1408="","",IF(COUNTIF($G$2:$G$4460,$G1408)&gt;1,"重複",""))</f>
        <v/>
      </c>
    </row>
    <row r="1409" customFormat="false" ht="16.5" hidden="false" customHeight="true" outlineLevel="0" collapsed="false">
      <c r="A1409" s="2" t="s">
        <v>385</v>
      </c>
      <c r="B1409" s="2" t="s">
        <v>413</v>
      </c>
      <c r="C1409" s="2" t="s">
        <v>35</v>
      </c>
      <c r="D1409" s="2" t="str">
        <f aca="false">IF(2キー同時!$B$357="","",2キー同時!$B$357)</f>
        <v/>
      </c>
      <c r="E1409" s="2" t="str">
        <f aca="false">""</f>
        <v/>
      </c>
      <c r="F1409" s="2" t="str">
        <f aca="false">""</f>
        <v/>
      </c>
      <c r="G1409" s="2" t="str">
        <f aca="false">IF(2キー同時!$B$357="","",IF(2キー同時!K365="","",SUBSTITUTE(SUBSTITUTE(2キー同時!K365," ",""),"　","")))</f>
        <v/>
      </c>
      <c r="H1409" s="2" t="str">
        <f aca="false">IF($G1409="","",2キー同時!$B$357)</f>
        <v/>
      </c>
      <c r="I1409" s="2" t="str">
        <f aca="false">IF($G1409="","","z")</f>
        <v/>
      </c>
      <c r="J1409" s="2" t="str">
        <f aca="false">""</f>
        <v/>
      </c>
      <c r="K1409" s="2" t="str">
        <f aca="false">""</f>
        <v/>
      </c>
      <c r="L1409" s="2" t="str">
        <f aca="false">IF($G1409="","","同時")</f>
        <v/>
      </c>
      <c r="M1409" s="2" t="str">
        <f aca="false">IF($G1409="","",IF(ISNA(MATCH($G1409,個別指定!$A:$A,0)),"行なし",""))</f>
        <v/>
      </c>
      <c r="N1409" s="2" t="str">
        <f aca="false">IF($G1409="","",IF(COUNTIF($G$2:$G$4460,$G1409)&gt;1,"重複",""))</f>
        <v/>
      </c>
    </row>
    <row r="1410" customFormat="false" ht="16.5" hidden="false" customHeight="true" outlineLevel="0" collapsed="false">
      <c r="A1410" s="2" t="s">
        <v>385</v>
      </c>
      <c r="B1410" s="2" t="s">
        <v>413</v>
      </c>
      <c r="C1410" s="2" t="s">
        <v>36</v>
      </c>
      <c r="D1410" s="2" t="str">
        <f aca="false">IF(2キー同時!$B$357="","",2キー同時!$B$357)</f>
        <v/>
      </c>
      <c r="E1410" s="2" t="str">
        <f aca="false">""</f>
        <v/>
      </c>
      <c r="F1410" s="2" t="str">
        <f aca="false">""</f>
        <v/>
      </c>
      <c r="G1410" s="2" t="str">
        <f aca="false">IF(2キー同時!$B$357="","",IF(2キー同時!O365="","",SUBSTITUTE(SUBSTITUTE(2キー同時!O365," ",""),"　","")))</f>
        <v/>
      </c>
      <c r="H1410" s="2" t="str">
        <f aca="false">IF($G1410="","",2キー同時!$B$357)</f>
        <v/>
      </c>
      <c r="I1410" s="2" t="str">
        <f aca="false">IF($G1410="","","x")</f>
        <v/>
      </c>
      <c r="J1410" s="2" t="str">
        <f aca="false">""</f>
        <v/>
      </c>
      <c r="K1410" s="2" t="str">
        <f aca="false">""</f>
        <v/>
      </c>
      <c r="L1410" s="2" t="str">
        <f aca="false">IF($G1410="","","同時")</f>
        <v/>
      </c>
      <c r="M1410" s="2" t="str">
        <f aca="false">IF($G1410="","",IF(ISNA(MATCH($G1410,個別指定!$A:$A,0)),"行なし",""))</f>
        <v/>
      </c>
      <c r="N1410" s="2" t="str">
        <f aca="false">IF($G1410="","",IF(COUNTIF($G$2:$G$4460,$G1410)&gt;1,"重複",""))</f>
        <v/>
      </c>
    </row>
    <row r="1411" customFormat="false" ht="16.5" hidden="false" customHeight="true" outlineLevel="0" collapsed="false">
      <c r="A1411" s="2" t="s">
        <v>385</v>
      </c>
      <c r="B1411" s="2" t="s">
        <v>413</v>
      </c>
      <c r="C1411" s="2" t="s">
        <v>37</v>
      </c>
      <c r="D1411" s="2" t="str">
        <f aca="false">IF(2キー同時!$B$357="","",2キー同時!$B$357)</f>
        <v/>
      </c>
      <c r="E1411" s="2" t="str">
        <f aca="false">""</f>
        <v/>
      </c>
      <c r="F1411" s="2" t="str">
        <f aca="false">""</f>
        <v/>
      </c>
      <c r="G1411" s="2" t="str">
        <f aca="false">IF(2キー同時!$B$357="","",IF(2キー同時!S365="","",SUBSTITUTE(SUBSTITUTE(2キー同時!S365," ",""),"　","")))</f>
        <v/>
      </c>
      <c r="H1411" s="2" t="str">
        <f aca="false">IF($G1411="","",2キー同時!$B$357)</f>
        <v/>
      </c>
      <c r="I1411" s="2" t="str">
        <f aca="false">IF($G1411="","","c")</f>
        <v/>
      </c>
      <c r="J1411" s="2" t="str">
        <f aca="false">""</f>
        <v/>
      </c>
      <c r="K1411" s="2" t="str">
        <f aca="false">""</f>
        <v/>
      </c>
      <c r="L1411" s="2" t="str">
        <f aca="false">IF($G1411="","","同時")</f>
        <v/>
      </c>
      <c r="M1411" s="2" t="str">
        <f aca="false">IF($G1411="","",IF(ISNA(MATCH($G1411,個別指定!$A:$A,0)),"行なし",""))</f>
        <v/>
      </c>
      <c r="N1411" s="2" t="str">
        <f aca="false">IF($G1411="","",IF(COUNTIF($G$2:$G$4460,$G1411)&gt;1,"重複",""))</f>
        <v/>
      </c>
    </row>
    <row r="1412" customFormat="false" ht="16.5" hidden="false" customHeight="true" outlineLevel="0" collapsed="false">
      <c r="A1412" s="2" t="s">
        <v>385</v>
      </c>
      <c r="B1412" s="2" t="s">
        <v>413</v>
      </c>
      <c r="C1412" s="2" t="s">
        <v>38</v>
      </c>
      <c r="D1412" s="2" t="str">
        <f aca="false">IF(2キー同時!$B$357="","",2キー同時!$B$357)</f>
        <v/>
      </c>
      <c r="E1412" s="2" t="str">
        <f aca="false">""</f>
        <v/>
      </c>
      <c r="F1412" s="2" t="str">
        <f aca="false">""</f>
        <v/>
      </c>
      <c r="G1412" s="2" t="str">
        <f aca="false">IF(2キー同時!$B$357="","",IF(2キー同時!W365="","",SUBSTITUTE(SUBSTITUTE(2キー同時!W365," ",""),"　","")))</f>
        <v/>
      </c>
      <c r="H1412" s="2" t="str">
        <f aca="false">IF($G1412="","",2キー同時!$B$357)</f>
        <v/>
      </c>
      <c r="I1412" s="2" t="str">
        <f aca="false">IF($G1412="","","v")</f>
        <v/>
      </c>
      <c r="J1412" s="2" t="str">
        <f aca="false">""</f>
        <v/>
      </c>
      <c r="K1412" s="2" t="str">
        <f aca="false">""</f>
        <v/>
      </c>
      <c r="L1412" s="2" t="str">
        <f aca="false">IF($G1412="","","同時")</f>
        <v/>
      </c>
      <c r="M1412" s="2" t="str">
        <f aca="false">IF($G1412="","",IF(ISNA(MATCH($G1412,個別指定!$A:$A,0)),"行なし",""))</f>
        <v/>
      </c>
      <c r="N1412" s="2" t="str">
        <f aca="false">IF($G1412="","",IF(COUNTIF($G$2:$G$4460,$G1412)&gt;1,"重複",""))</f>
        <v/>
      </c>
    </row>
    <row r="1413" customFormat="false" ht="16.5" hidden="false" customHeight="true" outlineLevel="0" collapsed="false">
      <c r="A1413" s="2" t="s">
        <v>385</v>
      </c>
      <c r="B1413" s="2" t="s">
        <v>413</v>
      </c>
      <c r="C1413" s="2" t="s">
        <v>39</v>
      </c>
      <c r="D1413" s="2" t="str">
        <f aca="false">IF(2キー同時!$B$357="","",2キー同時!$B$357)</f>
        <v/>
      </c>
      <c r="E1413" s="2" t="str">
        <f aca="false">""</f>
        <v/>
      </c>
      <c r="F1413" s="2" t="str">
        <f aca="false">""</f>
        <v/>
      </c>
      <c r="G1413" s="2" t="str">
        <f aca="false">IF(2キー同時!$B$357="","",IF(2キー同時!AA365="","",SUBSTITUTE(SUBSTITUTE(2キー同時!AA365," ",""),"　","")))</f>
        <v/>
      </c>
      <c r="H1413" s="2" t="str">
        <f aca="false">IF($G1413="","",2キー同時!$B$357)</f>
        <v/>
      </c>
      <c r="I1413" s="2" t="str">
        <f aca="false">IF($G1413="","","b")</f>
        <v/>
      </c>
      <c r="J1413" s="2" t="str">
        <f aca="false">""</f>
        <v/>
      </c>
      <c r="K1413" s="2" t="str">
        <f aca="false">""</f>
        <v/>
      </c>
      <c r="L1413" s="2" t="str">
        <f aca="false">IF($G1413="","","同時")</f>
        <v/>
      </c>
      <c r="M1413" s="2" t="str">
        <f aca="false">IF($G1413="","",IF(ISNA(MATCH($G1413,個別指定!$A:$A,0)),"行なし",""))</f>
        <v/>
      </c>
      <c r="N1413" s="2" t="str">
        <f aca="false">IF($G1413="","",IF(COUNTIF($G$2:$G$4460,$G1413)&gt;1,"重複",""))</f>
        <v/>
      </c>
    </row>
    <row r="1414" customFormat="false" ht="16.5" hidden="false" customHeight="true" outlineLevel="0" collapsed="false">
      <c r="A1414" s="2" t="s">
        <v>385</v>
      </c>
      <c r="B1414" s="2" t="s">
        <v>413</v>
      </c>
      <c r="C1414" s="2" t="s">
        <v>40</v>
      </c>
      <c r="D1414" s="2" t="str">
        <f aca="false">IF(2キー同時!$B$357="","",2キー同時!$B$357)</f>
        <v/>
      </c>
      <c r="E1414" s="2" t="str">
        <f aca="false">""</f>
        <v/>
      </c>
      <c r="F1414" s="2" t="str">
        <f aca="false">""</f>
        <v/>
      </c>
      <c r="G1414" s="2" t="str">
        <f aca="false">IF(2キー同時!$B$357="","",IF(2キー同時!AE365="","",SUBSTITUTE(SUBSTITUTE(2キー同時!AE365," ",""),"　","")))</f>
        <v/>
      </c>
      <c r="H1414" s="2" t="str">
        <f aca="false">IF($G1414="","",2キー同時!$B$357)</f>
        <v/>
      </c>
      <c r="I1414" s="2" t="str">
        <f aca="false">IF($G1414="","","n")</f>
        <v/>
      </c>
      <c r="J1414" s="2" t="str">
        <f aca="false">""</f>
        <v/>
      </c>
      <c r="K1414" s="2" t="str">
        <f aca="false">""</f>
        <v/>
      </c>
      <c r="L1414" s="2" t="str">
        <f aca="false">IF($G1414="","","同時")</f>
        <v/>
      </c>
      <c r="M1414" s="2" t="str">
        <f aca="false">IF($G1414="","",IF(ISNA(MATCH($G1414,個別指定!$A:$A,0)),"行なし",""))</f>
        <v/>
      </c>
      <c r="N1414" s="2" t="str">
        <f aca="false">IF($G1414="","",IF(COUNTIF($G$2:$G$4460,$G1414)&gt;1,"重複",""))</f>
        <v/>
      </c>
    </row>
    <row r="1415" customFormat="false" ht="16.5" hidden="false" customHeight="true" outlineLevel="0" collapsed="false">
      <c r="A1415" s="2" t="s">
        <v>385</v>
      </c>
      <c r="B1415" s="2" t="s">
        <v>413</v>
      </c>
      <c r="C1415" s="2" t="s">
        <v>41</v>
      </c>
      <c r="D1415" s="2" t="str">
        <f aca="false">IF(2キー同時!$B$357="","",2キー同時!$B$357)</f>
        <v/>
      </c>
      <c r="E1415" s="2" t="str">
        <f aca="false">""</f>
        <v/>
      </c>
      <c r="F1415" s="2" t="str">
        <f aca="false">""</f>
        <v/>
      </c>
      <c r="G1415" s="2" t="str">
        <f aca="false">IF(2キー同時!$B$357="","",IF(2キー同時!AI365="","",SUBSTITUTE(SUBSTITUTE(2キー同時!AI365," ",""),"　","")))</f>
        <v/>
      </c>
      <c r="H1415" s="2" t="str">
        <f aca="false">IF($G1415="","",2キー同時!$B$357)</f>
        <v/>
      </c>
      <c r="I1415" s="2" t="str">
        <f aca="false">IF($G1415="","","m")</f>
        <v/>
      </c>
      <c r="J1415" s="2" t="str">
        <f aca="false">""</f>
        <v/>
      </c>
      <c r="K1415" s="2" t="str">
        <f aca="false">""</f>
        <v/>
      </c>
      <c r="L1415" s="2" t="str">
        <f aca="false">IF($G1415="","","同時")</f>
        <v/>
      </c>
      <c r="M1415" s="2" t="str">
        <f aca="false">IF($G1415="","",IF(ISNA(MATCH($G1415,個別指定!$A:$A,0)),"行なし",""))</f>
        <v/>
      </c>
      <c r="N1415" s="2" t="str">
        <f aca="false">IF($G1415="","",IF(COUNTIF($G$2:$G$4460,$G1415)&gt;1,"重複",""))</f>
        <v/>
      </c>
    </row>
    <row r="1416" customFormat="false" ht="16.5" hidden="false" customHeight="true" outlineLevel="0" collapsed="false">
      <c r="A1416" s="2" t="s">
        <v>385</v>
      </c>
      <c r="B1416" s="2" t="s">
        <v>413</v>
      </c>
      <c r="C1416" s="2" t="s">
        <v>42</v>
      </c>
      <c r="D1416" s="2" t="str">
        <f aca="false">IF(2キー同時!$B$357="","",2キー同時!$B$357)</f>
        <v/>
      </c>
      <c r="E1416" s="2" t="str">
        <f aca="false">""</f>
        <v/>
      </c>
      <c r="F1416" s="2" t="str">
        <f aca="false">""</f>
        <v/>
      </c>
      <c r="G1416" s="2" t="str">
        <f aca="false">IF(2キー同時!$B$357="","",IF(2キー同時!AM365="","",SUBSTITUTE(SUBSTITUTE(2キー同時!AM365," ",""),"　","")))</f>
        <v/>
      </c>
      <c r="H1416" s="2" t="str">
        <f aca="false">IF($G1416="","",2キー同時!$B$357)</f>
        <v/>
      </c>
      <c r="I1416" s="2" t="str">
        <f aca="false">IF($G1416="","",",")</f>
        <v/>
      </c>
      <c r="J1416" s="2" t="str">
        <f aca="false">""</f>
        <v/>
      </c>
      <c r="K1416" s="2" t="str">
        <f aca="false">""</f>
        <v/>
      </c>
      <c r="L1416" s="2" t="str">
        <f aca="false">IF($G1416="","","同時")</f>
        <v/>
      </c>
      <c r="M1416" s="2" t="str">
        <f aca="false">IF($G1416="","",IF(ISNA(MATCH($G1416,個別指定!$A:$A,0)),"行なし",""))</f>
        <v/>
      </c>
      <c r="N1416" s="2" t="str">
        <f aca="false">IF($G1416="","",IF(COUNTIF($G$2:$G$4460,$G1416)&gt;1,"重複",""))</f>
        <v/>
      </c>
    </row>
    <row r="1417" customFormat="false" ht="16.5" hidden="false" customHeight="true" outlineLevel="0" collapsed="false">
      <c r="A1417" s="2" t="s">
        <v>385</v>
      </c>
      <c r="B1417" s="2" t="s">
        <v>413</v>
      </c>
      <c r="C1417" s="2" t="s">
        <v>43</v>
      </c>
      <c r="D1417" s="2" t="str">
        <f aca="false">IF(2キー同時!$B$357="","",2キー同時!$B$357)</f>
        <v/>
      </c>
      <c r="E1417" s="2" t="str">
        <f aca="false">""</f>
        <v/>
      </c>
      <c r="F1417" s="2" t="str">
        <f aca="false">""</f>
        <v/>
      </c>
      <c r="G1417" s="2" t="str">
        <f aca="false">IF(2キー同時!$B$357="","",IF(2キー同時!AQ365="","",SUBSTITUTE(SUBSTITUTE(2キー同時!AQ365," ",""),"　","")))</f>
        <v/>
      </c>
      <c r="H1417" s="2" t="str">
        <f aca="false">IF($G1417="","",2キー同時!$B$357)</f>
        <v/>
      </c>
      <c r="I1417" s="2" t="str">
        <f aca="false">IF($G1417="","",".")</f>
        <v/>
      </c>
      <c r="J1417" s="2" t="str">
        <f aca="false">""</f>
        <v/>
      </c>
      <c r="K1417" s="2" t="str">
        <f aca="false">""</f>
        <v/>
      </c>
      <c r="L1417" s="2" t="str">
        <f aca="false">IF($G1417="","","同時")</f>
        <v/>
      </c>
      <c r="M1417" s="2" t="str">
        <f aca="false">IF($G1417="","",IF(ISNA(MATCH($G1417,個別指定!$A:$A,0)),"行なし",""))</f>
        <v/>
      </c>
      <c r="N1417" s="2" t="str">
        <f aca="false">IF($G1417="","",IF(COUNTIF($G$2:$G$4460,$G1417)&gt;1,"重複",""))</f>
        <v/>
      </c>
    </row>
    <row r="1418" customFormat="false" ht="16.5" hidden="false" customHeight="true" outlineLevel="0" collapsed="false">
      <c r="A1418" s="2" t="s">
        <v>385</v>
      </c>
      <c r="B1418" s="2" t="s">
        <v>413</v>
      </c>
      <c r="C1418" s="2" t="s">
        <v>44</v>
      </c>
      <c r="D1418" s="2" t="str">
        <f aca="false">IF(2キー同時!$B$357="","",2キー同時!$B$357)</f>
        <v/>
      </c>
      <c r="E1418" s="2" t="str">
        <f aca="false">""</f>
        <v/>
      </c>
      <c r="F1418" s="2" t="str">
        <f aca="false">""</f>
        <v/>
      </c>
      <c r="G1418" s="2" t="str">
        <f aca="false">IF(2キー同時!$B$357="","",IF(2キー同時!AU365="","",SUBSTITUTE(SUBSTITUTE(2キー同時!AU365," ",""),"　","")))</f>
        <v/>
      </c>
      <c r="H1418" s="2" t="str">
        <f aca="false">IF($G1418="","",2キー同時!$B$357)</f>
        <v/>
      </c>
      <c r="I1418" s="2" t="str">
        <f aca="false">IF($G1418="","","/")</f>
        <v/>
      </c>
      <c r="J1418" s="2" t="str">
        <f aca="false">""</f>
        <v/>
      </c>
      <c r="K1418" s="2" t="str">
        <f aca="false">""</f>
        <v/>
      </c>
      <c r="L1418" s="2" t="str">
        <f aca="false">IF($G1418="","","同時")</f>
        <v/>
      </c>
      <c r="M1418" s="2" t="str">
        <f aca="false">IF($G1418="","",IF(ISNA(MATCH($G1418,個別指定!$A:$A,0)),"行なし",""))</f>
        <v/>
      </c>
      <c r="N1418" s="2" t="str">
        <f aca="false">IF($G1418="","",IF(COUNTIF($G$2:$G$4460,$G1418)&gt;1,"重複",""))</f>
        <v/>
      </c>
    </row>
    <row r="1419" customFormat="false" ht="16.5" hidden="false" customHeight="true" outlineLevel="0" collapsed="false">
      <c r="A1419" s="2" t="s">
        <v>385</v>
      </c>
      <c r="B1419" s="2" t="s">
        <v>413</v>
      </c>
      <c r="C1419" s="2" t="s">
        <v>48</v>
      </c>
      <c r="D1419" s="2" t="str">
        <f aca="false">IF(2キー同時!$B$357="","",2キー同時!$B$357)</f>
        <v/>
      </c>
      <c r="E1419" s="2" t="str">
        <f aca="false">""</f>
        <v/>
      </c>
      <c r="F1419" s="2" t="str">
        <f aca="false">""</f>
        <v/>
      </c>
      <c r="G1419" s="2" t="str">
        <f aca="false">IF(2キー同時!$B$357="","",IF(2キー同時!P367="","",SUBSTITUTE(SUBSTITUTE(2キー同時!P367," ",""),"　","")))</f>
        <v/>
      </c>
      <c r="H1419" s="2" t="str">
        <f aca="false">IF($G1419="","",2キー同時!$B$357)</f>
        <v/>
      </c>
      <c r="I1419" s="2" t="str">
        <f aca="false">IF($G1419="","","muhenkan")</f>
        <v/>
      </c>
      <c r="J1419" s="2" t="str">
        <f aca="false">""</f>
        <v/>
      </c>
      <c r="K1419" s="2" t="str">
        <f aca="false">""</f>
        <v/>
      </c>
      <c r="L1419" s="2" t="str">
        <f aca="false">IF($G1419="","","同時")</f>
        <v/>
      </c>
      <c r="M1419" s="2" t="str">
        <f aca="false">IF($G1419="","",IF(ISNA(MATCH($G1419,個別指定!$A:$A,0)),"行なし",""))</f>
        <v/>
      </c>
      <c r="N1419" s="2" t="str">
        <f aca="false">IF($G1419="","",IF(COUNTIF($G$2:$G$4460,$G1419)&gt;1,"重複",""))</f>
        <v/>
      </c>
    </row>
    <row r="1420" customFormat="false" ht="16.5" hidden="false" customHeight="true" outlineLevel="0" collapsed="false">
      <c r="A1420" s="2" t="s">
        <v>385</v>
      </c>
      <c r="B1420" s="2" t="s">
        <v>413</v>
      </c>
      <c r="C1420" s="2" t="s">
        <v>50</v>
      </c>
      <c r="D1420" s="2" t="str">
        <f aca="false">IF(2キー同時!$B$357="","",2キー同時!$B$357)</f>
        <v/>
      </c>
      <c r="E1420" s="2" t="str">
        <f aca="false">""</f>
        <v/>
      </c>
      <c r="F1420" s="2" t="str">
        <f aca="false">""</f>
        <v/>
      </c>
      <c r="G1420" s="2" t="str">
        <f aca="false">IF(2キー同時!$B$357="","",IF(2キー同時!T367="","",SUBSTITUTE(SUBSTITUTE(2キー同時!T367," ",""),"　","")))</f>
        <v/>
      </c>
      <c r="H1420" s="2" t="str">
        <f aca="false">IF($G1420="","",2キー同時!$B$357)</f>
        <v/>
      </c>
      <c r="I1420" s="2" t="str">
        <f aca="false">IF($G1420="","","space")</f>
        <v/>
      </c>
      <c r="J1420" s="2" t="str">
        <f aca="false">""</f>
        <v/>
      </c>
      <c r="K1420" s="2" t="str">
        <f aca="false">""</f>
        <v/>
      </c>
      <c r="L1420" s="2" t="str">
        <f aca="false">IF($G1420="","","同時")</f>
        <v/>
      </c>
      <c r="M1420" s="2" t="str">
        <f aca="false">IF($G1420="","",IF(ISNA(MATCH($G1420,個別指定!$A:$A,0)),"行なし",""))</f>
        <v/>
      </c>
      <c r="N1420" s="2" t="str">
        <f aca="false">IF($G1420="","",IF(COUNTIF($G$2:$G$4460,$G1420)&gt;1,"重複",""))</f>
        <v/>
      </c>
    </row>
    <row r="1421" customFormat="false" ht="16.5" hidden="false" customHeight="true" outlineLevel="0" collapsed="false">
      <c r="A1421" s="2" t="s">
        <v>385</v>
      </c>
      <c r="B1421" s="2" t="s">
        <v>413</v>
      </c>
      <c r="C1421" s="2" t="s">
        <v>45</v>
      </c>
      <c r="D1421" s="2" t="str">
        <f aca="false">IF(2キー同時!$B$357="","",2キー同時!$B$357)</f>
        <v/>
      </c>
      <c r="E1421" s="2" t="str">
        <f aca="false">""</f>
        <v/>
      </c>
      <c r="F1421" s="2" t="str">
        <f aca="false">""</f>
        <v/>
      </c>
      <c r="G1421" s="2" t="str">
        <f aca="false">IF(2キー同時!$B$357="","",IF(2キー同時!AL367="","",SUBSTITUTE(SUBSTITUTE(2キー同時!AL367," ",""),"　","")))</f>
        <v/>
      </c>
      <c r="H1421" s="2" t="str">
        <f aca="false">IF($G1421="","",2キー同時!$B$357)</f>
        <v/>
      </c>
      <c r="I1421" s="2" t="str">
        <f aca="false">IF($G1421="","","henkan")</f>
        <v/>
      </c>
      <c r="J1421" s="2" t="str">
        <f aca="false">""</f>
        <v/>
      </c>
      <c r="K1421" s="2" t="str">
        <f aca="false">""</f>
        <v/>
      </c>
      <c r="L1421" s="2" t="str">
        <f aca="false">IF($G1421="","","同時")</f>
        <v/>
      </c>
      <c r="M1421" s="2" t="str">
        <f aca="false">IF($G1421="","",IF(ISNA(MATCH($G1421,個別指定!$A:$A,0)),"行なし",""))</f>
        <v/>
      </c>
      <c r="N1421" s="2" t="str">
        <f aca="false">IF($G1421="","",IF(COUNTIF($G$2:$G$4460,$G1421)&gt;1,"重複",""))</f>
        <v/>
      </c>
    </row>
    <row r="1422" customFormat="false" ht="16.5" hidden="false" customHeight="true" outlineLevel="0" collapsed="false">
      <c r="A1422" s="2" t="s">
        <v>385</v>
      </c>
      <c r="B1422" s="2" t="s">
        <v>413</v>
      </c>
      <c r="C1422" s="2" t="s">
        <v>46</v>
      </c>
      <c r="D1422" s="2" t="str">
        <f aca="false">IF(2キー同時!$B$357="","",2キー同時!$B$357)</f>
        <v/>
      </c>
      <c r="E1422" s="2" t="str">
        <f aca="false">""</f>
        <v/>
      </c>
      <c r="F1422" s="2" t="str">
        <f aca="false">""</f>
        <v/>
      </c>
      <c r="G1422" s="2" t="str">
        <f aca="false">IF(2キー同時!$B$357="","",IF(2キー同時!AP367="","",SUBSTITUTE(SUBSTITUTE(2キー同時!AP367," ",""),"　","")))</f>
        <v/>
      </c>
      <c r="H1422" s="2" t="str">
        <f aca="false">IF($G1422="","",2キー同時!$B$357)</f>
        <v/>
      </c>
      <c r="I1422" s="2" t="str">
        <f aca="false">IF($G1422="","","kana")</f>
        <v/>
      </c>
      <c r="J1422" s="2" t="str">
        <f aca="false">""</f>
        <v/>
      </c>
      <c r="K1422" s="2" t="str">
        <f aca="false">""</f>
        <v/>
      </c>
      <c r="L1422" s="2" t="str">
        <f aca="false">IF($G1422="","","同時")</f>
        <v/>
      </c>
      <c r="M1422" s="2" t="str">
        <f aca="false">IF($G1422="","",IF(ISNA(MATCH($G1422,個別指定!$A:$A,0)),"行なし",""))</f>
        <v/>
      </c>
      <c r="N1422" s="2" t="str">
        <f aca="false">IF($G1422="","",IF(COUNTIF($G$2:$G$4460,$G1422)&gt;1,"重複",""))</f>
        <v/>
      </c>
    </row>
    <row r="1423" customFormat="false" ht="16.5" hidden="false" customHeight="true" outlineLevel="0" collapsed="false">
      <c r="A1423" s="2" t="s">
        <v>385</v>
      </c>
      <c r="B1423" s="2" t="s">
        <v>414</v>
      </c>
      <c r="C1423" s="2" t="s">
        <v>0</v>
      </c>
      <c r="D1423" s="2" t="str">
        <f aca="false">IF(2キー同時!$B$370="","",2キー同時!$B$370)</f>
        <v/>
      </c>
      <c r="E1423" s="2" t="str">
        <f aca="false">""</f>
        <v/>
      </c>
      <c r="F1423" s="2" t="str">
        <f aca="false">""</f>
        <v/>
      </c>
      <c r="G1423" s="2" t="str">
        <f aca="false">IF(2キー同時!$B$370="","",IF(2キー同時!F372="","",SUBSTITUTE(SUBSTITUTE(2キー同時!F372," ",""),"　","")))</f>
        <v/>
      </c>
      <c r="H1423" s="2" t="str">
        <f aca="false">IF($G1423="","",2キー同時!$B$370)</f>
        <v/>
      </c>
      <c r="I1423" s="2" t="str">
        <f aca="false">IF($G1423="","","1")</f>
        <v/>
      </c>
      <c r="J1423" s="2" t="str">
        <f aca="false">""</f>
        <v/>
      </c>
      <c r="K1423" s="2" t="str">
        <f aca="false">""</f>
        <v/>
      </c>
      <c r="L1423" s="2" t="str">
        <f aca="false">IF($G1423="","","同時")</f>
        <v/>
      </c>
      <c r="M1423" s="2" t="str">
        <f aca="false">IF($G1423="","",IF(ISNA(MATCH($G1423,個別指定!$A:$A,0)),"行なし",""))</f>
        <v/>
      </c>
      <c r="N1423" s="2" t="str">
        <f aca="false">IF($G1423="","",IF(COUNTIF($G$2:$G$4460,$G1423)&gt;1,"重複",""))</f>
        <v/>
      </c>
    </row>
    <row r="1424" customFormat="false" ht="16.5" hidden="false" customHeight="true" outlineLevel="0" collapsed="false">
      <c r="A1424" s="2" t="s">
        <v>385</v>
      </c>
      <c r="B1424" s="2" t="s">
        <v>414</v>
      </c>
      <c r="C1424" s="2" t="s">
        <v>1</v>
      </c>
      <c r="D1424" s="2" t="str">
        <f aca="false">IF(2キー同時!$B$370="","",2キー同時!$B$370)</f>
        <v/>
      </c>
      <c r="E1424" s="2" t="str">
        <f aca="false">""</f>
        <v/>
      </c>
      <c r="F1424" s="2" t="str">
        <f aca="false">""</f>
        <v/>
      </c>
      <c r="G1424" s="2" t="str">
        <f aca="false">IF(2キー同時!$B$370="","",IF(2キー同時!J372="","",SUBSTITUTE(SUBSTITUTE(2キー同時!J372," ",""),"　","")))</f>
        <v/>
      </c>
      <c r="H1424" s="2" t="str">
        <f aca="false">IF($G1424="","",2キー同時!$B$370)</f>
        <v/>
      </c>
      <c r="I1424" s="2" t="str">
        <f aca="false">IF($G1424="","","2")</f>
        <v/>
      </c>
      <c r="J1424" s="2" t="str">
        <f aca="false">""</f>
        <v/>
      </c>
      <c r="K1424" s="2" t="str">
        <f aca="false">""</f>
        <v/>
      </c>
      <c r="L1424" s="2" t="str">
        <f aca="false">IF($G1424="","","同時")</f>
        <v/>
      </c>
      <c r="M1424" s="2" t="str">
        <f aca="false">IF($G1424="","",IF(ISNA(MATCH($G1424,個別指定!$A:$A,0)),"行なし",""))</f>
        <v/>
      </c>
      <c r="N1424" s="2" t="str">
        <f aca="false">IF($G1424="","",IF(COUNTIF($G$2:$G$4460,$G1424)&gt;1,"重複",""))</f>
        <v/>
      </c>
    </row>
    <row r="1425" customFormat="false" ht="16.5" hidden="false" customHeight="true" outlineLevel="0" collapsed="false">
      <c r="A1425" s="2" t="s">
        <v>385</v>
      </c>
      <c r="B1425" s="2" t="s">
        <v>414</v>
      </c>
      <c r="C1425" s="2" t="s">
        <v>2</v>
      </c>
      <c r="D1425" s="2" t="str">
        <f aca="false">IF(2キー同時!$B$370="","",2キー同時!$B$370)</f>
        <v/>
      </c>
      <c r="E1425" s="2" t="str">
        <f aca="false">""</f>
        <v/>
      </c>
      <c r="F1425" s="2" t="str">
        <f aca="false">""</f>
        <v/>
      </c>
      <c r="G1425" s="2" t="str">
        <f aca="false">IF(2キー同時!$B$370="","",IF(2キー同時!N372="","",SUBSTITUTE(SUBSTITUTE(2キー同時!N372," ",""),"　","")))</f>
        <v/>
      </c>
      <c r="H1425" s="2" t="str">
        <f aca="false">IF($G1425="","",2キー同時!$B$370)</f>
        <v/>
      </c>
      <c r="I1425" s="2" t="str">
        <f aca="false">IF($G1425="","","3")</f>
        <v/>
      </c>
      <c r="J1425" s="2" t="str">
        <f aca="false">""</f>
        <v/>
      </c>
      <c r="K1425" s="2" t="str">
        <f aca="false">""</f>
        <v/>
      </c>
      <c r="L1425" s="2" t="str">
        <f aca="false">IF($G1425="","","同時")</f>
        <v/>
      </c>
      <c r="M1425" s="2" t="str">
        <f aca="false">IF($G1425="","",IF(ISNA(MATCH($G1425,個別指定!$A:$A,0)),"行なし",""))</f>
        <v/>
      </c>
      <c r="N1425" s="2" t="str">
        <f aca="false">IF($G1425="","",IF(COUNTIF($G$2:$G$4460,$G1425)&gt;1,"重複",""))</f>
        <v/>
      </c>
    </row>
    <row r="1426" customFormat="false" ht="16.5" hidden="false" customHeight="true" outlineLevel="0" collapsed="false">
      <c r="A1426" s="2" t="s">
        <v>385</v>
      </c>
      <c r="B1426" s="2" t="s">
        <v>414</v>
      </c>
      <c r="C1426" s="2" t="s">
        <v>3</v>
      </c>
      <c r="D1426" s="2" t="str">
        <f aca="false">IF(2キー同時!$B$370="","",2キー同時!$B$370)</f>
        <v/>
      </c>
      <c r="E1426" s="2" t="str">
        <f aca="false">""</f>
        <v/>
      </c>
      <c r="F1426" s="2" t="str">
        <f aca="false">""</f>
        <v/>
      </c>
      <c r="G1426" s="2" t="str">
        <f aca="false">IF(2キー同時!$B$370="","",IF(2キー同時!R372="","",SUBSTITUTE(SUBSTITUTE(2キー同時!R372," ",""),"　","")))</f>
        <v/>
      </c>
      <c r="H1426" s="2" t="str">
        <f aca="false">IF($G1426="","",2キー同時!$B$370)</f>
        <v/>
      </c>
      <c r="I1426" s="2" t="str">
        <f aca="false">IF($G1426="","","4")</f>
        <v/>
      </c>
      <c r="J1426" s="2" t="str">
        <f aca="false">""</f>
        <v/>
      </c>
      <c r="K1426" s="2" t="str">
        <f aca="false">""</f>
        <v/>
      </c>
      <c r="L1426" s="2" t="str">
        <f aca="false">IF($G1426="","","同時")</f>
        <v/>
      </c>
      <c r="M1426" s="2" t="str">
        <f aca="false">IF($G1426="","",IF(ISNA(MATCH($G1426,個別指定!$A:$A,0)),"行なし",""))</f>
        <v/>
      </c>
      <c r="N1426" s="2" t="str">
        <f aca="false">IF($G1426="","",IF(COUNTIF($G$2:$G$4460,$G1426)&gt;1,"重複",""))</f>
        <v/>
      </c>
    </row>
    <row r="1427" customFormat="false" ht="16.5" hidden="false" customHeight="true" outlineLevel="0" collapsed="false">
      <c r="A1427" s="2" t="s">
        <v>385</v>
      </c>
      <c r="B1427" s="2" t="s">
        <v>414</v>
      </c>
      <c r="C1427" s="2" t="s">
        <v>4</v>
      </c>
      <c r="D1427" s="2" t="str">
        <f aca="false">IF(2キー同時!$B$370="","",2キー同時!$B$370)</f>
        <v/>
      </c>
      <c r="E1427" s="2" t="str">
        <f aca="false">""</f>
        <v/>
      </c>
      <c r="F1427" s="2" t="str">
        <f aca="false">""</f>
        <v/>
      </c>
      <c r="G1427" s="2" t="str">
        <f aca="false">IF(2キー同時!$B$370="","",IF(2キー同時!V372="","",SUBSTITUTE(SUBSTITUTE(2キー同時!V372," ",""),"　","")))</f>
        <v/>
      </c>
      <c r="H1427" s="2" t="str">
        <f aca="false">IF($G1427="","",2キー同時!$B$370)</f>
        <v/>
      </c>
      <c r="I1427" s="2" t="str">
        <f aca="false">IF($G1427="","","5")</f>
        <v/>
      </c>
      <c r="J1427" s="2" t="str">
        <f aca="false">""</f>
        <v/>
      </c>
      <c r="K1427" s="2" t="str">
        <f aca="false">""</f>
        <v/>
      </c>
      <c r="L1427" s="2" t="str">
        <f aca="false">IF($G1427="","","同時")</f>
        <v/>
      </c>
      <c r="M1427" s="2" t="str">
        <f aca="false">IF($G1427="","",IF(ISNA(MATCH($G1427,個別指定!$A:$A,0)),"行なし",""))</f>
        <v/>
      </c>
      <c r="N1427" s="2" t="str">
        <f aca="false">IF($G1427="","",IF(COUNTIF($G$2:$G$4460,$G1427)&gt;1,"重複",""))</f>
        <v/>
      </c>
    </row>
    <row r="1428" customFormat="false" ht="16.5" hidden="false" customHeight="true" outlineLevel="0" collapsed="false">
      <c r="A1428" s="2" t="s">
        <v>385</v>
      </c>
      <c r="B1428" s="2" t="s">
        <v>414</v>
      </c>
      <c r="C1428" s="2" t="s">
        <v>5</v>
      </c>
      <c r="D1428" s="2" t="str">
        <f aca="false">IF(2キー同時!$B$370="","",2キー同時!$B$370)</f>
        <v/>
      </c>
      <c r="E1428" s="2" t="str">
        <f aca="false">""</f>
        <v/>
      </c>
      <c r="F1428" s="2" t="str">
        <f aca="false">""</f>
        <v/>
      </c>
      <c r="G1428" s="2" t="str">
        <f aca="false">IF(2キー同時!$B$370="","",IF(2キー同時!Z372="","",SUBSTITUTE(SUBSTITUTE(2キー同時!Z372," ",""),"　","")))</f>
        <v/>
      </c>
      <c r="H1428" s="2" t="str">
        <f aca="false">IF($G1428="","",2キー同時!$B$370)</f>
        <v/>
      </c>
      <c r="I1428" s="2" t="str">
        <f aca="false">IF($G1428="","","6")</f>
        <v/>
      </c>
      <c r="J1428" s="2" t="str">
        <f aca="false">""</f>
        <v/>
      </c>
      <c r="K1428" s="2" t="str">
        <f aca="false">""</f>
        <v/>
      </c>
      <c r="L1428" s="2" t="str">
        <f aca="false">IF($G1428="","","同時")</f>
        <v/>
      </c>
      <c r="M1428" s="2" t="str">
        <f aca="false">IF($G1428="","",IF(ISNA(MATCH($G1428,個別指定!$A:$A,0)),"行なし",""))</f>
        <v/>
      </c>
      <c r="N1428" s="2" t="str">
        <f aca="false">IF($G1428="","",IF(COUNTIF($G$2:$G$4460,$G1428)&gt;1,"重複",""))</f>
        <v/>
      </c>
    </row>
    <row r="1429" customFormat="false" ht="16.5" hidden="false" customHeight="true" outlineLevel="0" collapsed="false">
      <c r="A1429" s="2" t="s">
        <v>385</v>
      </c>
      <c r="B1429" s="2" t="s">
        <v>414</v>
      </c>
      <c r="C1429" s="2" t="s">
        <v>6</v>
      </c>
      <c r="D1429" s="2" t="str">
        <f aca="false">IF(2キー同時!$B$370="","",2キー同時!$B$370)</f>
        <v/>
      </c>
      <c r="E1429" s="2" t="str">
        <f aca="false">""</f>
        <v/>
      </c>
      <c r="F1429" s="2" t="str">
        <f aca="false">""</f>
        <v/>
      </c>
      <c r="G1429" s="2" t="str">
        <f aca="false">IF(2キー同時!$B$370="","",IF(2キー同時!AD372="","",SUBSTITUTE(SUBSTITUTE(2キー同時!AD372," ",""),"　","")))</f>
        <v/>
      </c>
      <c r="H1429" s="2" t="str">
        <f aca="false">IF($G1429="","",2キー同時!$B$370)</f>
        <v/>
      </c>
      <c r="I1429" s="2" t="str">
        <f aca="false">IF($G1429="","","7")</f>
        <v/>
      </c>
      <c r="J1429" s="2" t="str">
        <f aca="false">""</f>
        <v/>
      </c>
      <c r="K1429" s="2" t="str">
        <f aca="false">""</f>
        <v/>
      </c>
      <c r="L1429" s="2" t="str">
        <f aca="false">IF($G1429="","","同時")</f>
        <v/>
      </c>
      <c r="M1429" s="2" t="str">
        <f aca="false">IF($G1429="","",IF(ISNA(MATCH($G1429,個別指定!$A:$A,0)),"行なし",""))</f>
        <v/>
      </c>
      <c r="N1429" s="2" t="str">
        <f aca="false">IF($G1429="","",IF(COUNTIF($G$2:$G$4460,$G1429)&gt;1,"重複",""))</f>
        <v/>
      </c>
    </row>
    <row r="1430" customFormat="false" ht="16.5" hidden="false" customHeight="true" outlineLevel="0" collapsed="false">
      <c r="A1430" s="2" t="s">
        <v>385</v>
      </c>
      <c r="B1430" s="2" t="s">
        <v>414</v>
      </c>
      <c r="C1430" s="2" t="s">
        <v>7</v>
      </c>
      <c r="D1430" s="2" t="str">
        <f aca="false">IF(2キー同時!$B$370="","",2キー同時!$B$370)</f>
        <v/>
      </c>
      <c r="E1430" s="2" t="str">
        <f aca="false">""</f>
        <v/>
      </c>
      <c r="F1430" s="2" t="str">
        <f aca="false">""</f>
        <v/>
      </c>
      <c r="G1430" s="2" t="str">
        <f aca="false">IF(2キー同時!$B$370="","",IF(2キー同時!AH372="","",SUBSTITUTE(SUBSTITUTE(2キー同時!AH372," ",""),"　","")))</f>
        <v/>
      </c>
      <c r="H1430" s="2" t="str">
        <f aca="false">IF($G1430="","",2キー同時!$B$370)</f>
        <v/>
      </c>
      <c r="I1430" s="2" t="str">
        <f aca="false">IF($G1430="","","8")</f>
        <v/>
      </c>
      <c r="J1430" s="2" t="str">
        <f aca="false">""</f>
        <v/>
      </c>
      <c r="K1430" s="2" t="str">
        <f aca="false">""</f>
        <v/>
      </c>
      <c r="L1430" s="2" t="str">
        <f aca="false">IF($G1430="","","同時")</f>
        <v/>
      </c>
      <c r="M1430" s="2" t="str">
        <f aca="false">IF($G1430="","",IF(ISNA(MATCH($G1430,個別指定!$A:$A,0)),"行なし",""))</f>
        <v/>
      </c>
      <c r="N1430" s="2" t="str">
        <f aca="false">IF($G1430="","",IF(COUNTIF($G$2:$G$4460,$G1430)&gt;1,"重複",""))</f>
        <v/>
      </c>
    </row>
    <row r="1431" customFormat="false" ht="16.5" hidden="false" customHeight="true" outlineLevel="0" collapsed="false">
      <c r="A1431" s="2" t="s">
        <v>385</v>
      </c>
      <c r="B1431" s="2" t="s">
        <v>414</v>
      </c>
      <c r="C1431" s="2" t="s">
        <v>8</v>
      </c>
      <c r="D1431" s="2" t="str">
        <f aca="false">IF(2キー同時!$B$370="","",2キー同時!$B$370)</f>
        <v/>
      </c>
      <c r="E1431" s="2" t="str">
        <f aca="false">""</f>
        <v/>
      </c>
      <c r="F1431" s="2" t="str">
        <f aca="false">""</f>
        <v/>
      </c>
      <c r="G1431" s="2" t="str">
        <f aca="false">IF(2キー同時!$B$370="","",IF(2キー同時!AL372="","",SUBSTITUTE(SUBSTITUTE(2キー同時!AL372," ",""),"　","")))</f>
        <v/>
      </c>
      <c r="H1431" s="2" t="str">
        <f aca="false">IF($G1431="","",2キー同時!$B$370)</f>
        <v/>
      </c>
      <c r="I1431" s="2" t="str">
        <f aca="false">IF($G1431="","","9")</f>
        <v/>
      </c>
      <c r="J1431" s="2" t="str">
        <f aca="false">""</f>
        <v/>
      </c>
      <c r="K1431" s="2" t="str">
        <f aca="false">""</f>
        <v/>
      </c>
      <c r="L1431" s="2" t="str">
        <f aca="false">IF($G1431="","","同時")</f>
        <v/>
      </c>
      <c r="M1431" s="2" t="str">
        <f aca="false">IF($G1431="","",IF(ISNA(MATCH($G1431,個別指定!$A:$A,0)),"行なし",""))</f>
        <v/>
      </c>
      <c r="N1431" s="2" t="str">
        <f aca="false">IF($G1431="","",IF(COUNTIF($G$2:$G$4460,$G1431)&gt;1,"重複",""))</f>
        <v/>
      </c>
    </row>
    <row r="1432" customFormat="false" ht="16.5" hidden="false" customHeight="true" outlineLevel="0" collapsed="false">
      <c r="A1432" s="2" t="s">
        <v>385</v>
      </c>
      <c r="B1432" s="2" t="s">
        <v>414</v>
      </c>
      <c r="C1432" s="2" t="s">
        <v>9</v>
      </c>
      <c r="D1432" s="2" t="str">
        <f aca="false">IF(2キー同時!$B$370="","",2キー同時!$B$370)</f>
        <v/>
      </c>
      <c r="E1432" s="2" t="str">
        <f aca="false">""</f>
        <v/>
      </c>
      <c r="F1432" s="2" t="str">
        <f aca="false">""</f>
        <v/>
      </c>
      <c r="G1432" s="2" t="str">
        <f aca="false">IF(2キー同時!$B$370="","",IF(2キー同時!AP372="","",SUBSTITUTE(SUBSTITUTE(2キー同時!AP372," ",""),"　","")))</f>
        <v/>
      </c>
      <c r="H1432" s="2" t="str">
        <f aca="false">IF($G1432="","",2キー同時!$B$370)</f>
        <v/>
      </c>
      <c r="I1432" s="2" t="str">
        <f aca="false">IF($G1432="","","0")</f>
        <v/>
      </c>
      <c r="J1432" s="2" t="str">
        <f aca="false">""</f>
        <v/>
      </c>
      <c r="K1432" s="2" t="str">
        <f aca="false">""</f>
        <v/>
      </c>
      <c r="L1432" s="2" t="str">
        <f aca="false">IF($G1432="","","同時")</f>
        <v/>
      </c>
      <c r="M1432" s="2" t="str">
        <f aca="false">IF($G1432="","",IF(ISNA(MATCH($G1432,個別指定!$A:$A,0)),"行なし",""))</f>
        <v/>
      </c>
      <c r="N1432" s="2" t="str">
        <f aca="false">IF($G1432="","",IF(COUNTIF($G$2:$G$4460,$G1432)&gt;1,"重複",""))</f>
        <v/>
      </c>
    </row>
    <row r="1433" customFormat="false" ht="16.5" hidden="false" customHeight="true" outlineLevel="0" collapsed="false">
      <c r="A1433" s="2" t="s">
        <v>385</v>
      </c>
      <c r="B1433" s="2" t="s">
        <v>414</v>
      </c>
      <c r="C1433" s="2" t="s">
        <v>10</v>
      </c>
      <c r="D1433" s="2" t="str">
        <f aca="false">IF(2キー同時!$B$370="","",2キー同時!$B$370)</f>
        <v/>
      </c>
      <c r="E1433" s="2" t="str">
        <f aca="false">""</f>
        <v/>
      </c>
      <c r="F1433" s="2" t="str">
        <f aca="false">""</f>
        <v/>
      </c>
      <c r="G1433" s="2" t="str">
        <f aca="false">IF(2キー同時!$B$370="","",IF(2キー同時!AT372="","",SUBSTITUTE(SUBSTITUTE(2キー同時!AT372," ",""),"　","")))</f>
        <v/>
      </c>
      <c r="H1433" s="2" t="str">
        <f aca="false">IF($G1433="","",2キー同時!$B$370)</f>
        <v/>
      </c>
      <c r="I1433" s="2" t="str">
        <f aca="false">IF($G1433="","","-")</f>
        <v/>
      </c>
      <c r="J1433" s="2" t="str">
        <f aca="false">""</f>
        <v/>
      </c>
      <c r="K1433" s="2" t="str">
        <f aca="false">""</f>
        <v/>
      </c>
      <c r="L1433" s="2" t="str">
        <f aca="false">IF($G1433="","","同時")</f>
        <v/>
      </c>
      <c r="M1433" s="2" t="str">
        <f aca="false">IF($G1433="","",IF(ISNA(MATCH($G1433,個別指定!$A:$A,0)),"行なし",""))</f>
        <v/>
      </c>
      <c r="N1433" s="2" t="str">
        <f aca="false">IF($G1433="","",IF(COUNTIF($G$2:$G$4460,$G1433)&gt;1,"重複",""))</f>
        <v/>
      </c>
    </row>
    <row r="1434" customFormat="false" ht="16.5" hidden="false" customHeight="true" outlineLevel="0" collapsed="false">
      <c r="A1434" s="2" t="s">
        <v>385</v>
      </c>
      <c r="B1434" s="2" t="s">
        <v>414</v>
      </c>
      <c r="C1434" s="2" t="s">
        <v>11</v>
      </c>
      <c r="D1434" s="2" t="str">
        <f aca="false">IF(2キー同時!$B$370="","",2キー同時!$B$370)</f>
        <v/>
      </c>
      <c r="E1434" s="2" t="str">
        <f aca="false">""</f>
        <v/>
      </c>
      <c r="F1434" s="2" t="str">
        <f aca="false">""</f>
        <v/>
      </c>
      <c r="G1434" s="2" t="str">
        <f aca="false">IF(2キー同時!$B$370="","",IF(2キー同時!AX372="","",SUBSTITUTE(SUBSTITUTE(2キー同時!AX372," ",""),"　","")))</f>
        <v/>
      </c>
      <c r="H1434" s="2" t="str">
        <f aca="false">IF($G1434="","",2キー同時!$B$370)</f>
        <v/>
      </c>
      <c r="I1434" s="2" t="str">
        <f aca="false">IF($G1434="","","=")</f>
        <v/>
      </c>
      <c r="J1434" s="2" t="str">
        <f aca="false">""</f>
        <v/>
      </c>
      <c r="K1434" s="2" t="str">
        <f aca="false">""</f>
        <v/>
      </c>
      <c r="L1434" s="2" t="str">
        <f aca="false">IF($G1434="","","同時")</f>
        <v/>
      </c>
      <c r="M1434" s="2" t="str">
        <f aca="false">IF($G1434="","",IF(ISNA(MATCH($G1434,個別指定!$A:$A,0)),"行なし",""))</f>
        <v/>
      </c>
      <c r="N1434" s="2" t="str">
        <f aca="false">IF($G1434="","",IF(COUNTIF($G$2:$G$4460,$G1434)&gt;1,"重複",""))</f>
        <v/>
      </c>
    </row>
    <row r="1435" customFormat="false" ht="16.5" hidden="false" customHeight="true" outlineLevel="0" collapsed="false">
      <c r="A1435" s="2" t="s">
        <v>385</v>
      </c>
      <c r="B1435" s="2" t="s">
        <v>414</v>
      </c>
      <c r="C1435" s="2" t="s">
        <v>12</v>
      </c>
      <c r="D1435" s="2" t="str">
        <f aca="false">IF(2キー同時!$B$370="","",2キー同時!$B$370)</f>
        <v/>
      </c>
      <c r="E1435" s="2" t="str">
        <f aca="false">""</f>
        <v/>
      </c>
      <c r="F1435" s="2" t="str">
        <f aca="false">""</f>
        <v/>
      </c>
      <c r="G1435" s="2" t="str">
        <f aca="false">IF(2キー同時!$B$370="","",IF(2キー同時!H374="","",SUBSTITUTE(SUBSTITUTE(2キー同時!H374," ",""),"　","")))</f>
        <v/>
      </c>
      <c r="H1435" s="2" t="str">
        <f aca="false">IF($G1435="","",2キー同時!$B$370)</f>
        <v/>
      </c>
      <c r="I1435" s="2" t="str">
        <f aca="false">IF($G1435="","","q")</f>
        <v/>
      </c>
      <c r="J1435" s="2" t="str">
        <f aca="false">""</f>
        <v/>
      </c>
      <c r="K1435" s="2" t="str">
        <f aca="false">""</f>
        <v/>
      </c>
      <c r="L1435" s="2" t="str">
        <f aca="false">IF($G1435="","","同時")</f>
        <v/>
      </c>
      <c r="M1435" s="2" t="str">
        <f aca="false">IF($G1435="","",IF(ISNA(MATCH($G1435,個別指定!$A:$A,0)),"行なし",""))</f>
        <v/>
      </c>
      <c r="N1435" s="2" t="str">
        <f aca="false">IF($G1435="","",IF(COUNTIF($G$2:$G$4460,$G1435)&gt;1,"重複",""))</f>
        <v/>
      </c>
    </row>
    <row r="1436" customFormat="false" ht="16.5" hidden="false" customHeight="true" outlineLevel="0" collapsed="false">
      <c r="A1436" s="2" t="s">
        <v>385</v>
      </c>
      <c r="B1436" s="2" t="s">
        <v>414</v>
      </c>
      <c r="C1436" s="2" t="s">
        <v>13</v>
      </c>
      <c r="D1436" s="2" t="str">
        <f aca="false">IF(2キー同時!$B$370="","",2キー同時!$B$370)</f>
        <v/>
      </c>
      <c r="E1436" s="2" t="str">
        <f aca="false">""</f>
        <v/>
      </c>
      <c r="F1436" s="2" t="str">
        <f aca="false">""</f>
        <v/>
      </c>
      <c r="G1436" s="2" t="str">
        <f aca="false">IF(2キー同時!$B$370="","",IF(2キー同時!L374="","",SUBSTITUTE(SUBSTITUTE(2キー同時!L374," ",""),"　","")))</f>
        <v/>
      </c>
      <c r="H1436" s="2" t="str">
        <f aca="false">IF($G1436="","",2キー同時!$B$370)</f>
        <v/>
      </c>
      <c r="I1436" s="2" t="str">
        <f aca="false">IF($G1436="","","w")</f>
        <v/>
      </c>
      <c r="J1436" s="2" t="str">
        <f aca="false">""</f>
        <v/>
      </c>
      <c r="K1436" s="2" t="str">
        <f aca="false">""</f>
        <v/>
      </c>
      <c r="L1436" s="2" t="str">
        <f aca="false">IF($G1436="","","同時")</f>
        <v/>
      </c>
      <c r="M1436" s="2" t="str">
        <f aca="false">IF($G1436="","",IF(ISNA(MATCH($G1436,個別指定!$A:$A,0)),"行なし",""))</f>
        <v/>
      </c>
      <c r="N1436" s="2" t="str">
        <f aca="false">IF($G1436="","",IF(COUNTIF($G$2:$G$4460,$G1436)&gt;1,"重複",""))</f>
        <v/>
      </c>
    </row>
    <row r="1437" customFormat="false" ht="16.5" hidden="false" customHeight="true" outlineLevel="0" collapsed="false">
      <c r="A1437" s="2" t="s">
        <v>385</v>
      </c>
      <c r="B1437" s="2" t="s">
        <v>414</v>
      </c>
      <c r="C1437" s="2" t="s">
        <v>14</v>
      </c>
      <c r="D1437" s="2" t="str">
        <f aca="false">IF(2キー同時!$B$370="","",2キー同時!$B$370)</f>
        <v/>
      </c>
      <c r="E1437" s="2" t="str">
        <f aca="false">""</f>
        <v/>
      </c>
      <c r="F1437" s="2" t="str">
        <f aca="false">""</f>
        <v/>
      </c>
      <c r="G1437" s="2" t="str">
        <f aca="false">IF(2キー同時!$B$370="","",IF(2キー同時!P374="","",SUBSTITUTE(SUBSTITUTE(2キー同時!P374," ",""),"　","")))</f>
        <v/>
      </c>
      <c r="H1437" s="2" t="str">
        <f aca="false">IF($G1437="","",2キー同時!$B$370)</f>
        <v/>
      </c>
      <c r="I1437" s="2" t="str">
        <f aca="false">IF($G1437="","","e")</f>
        <v/>
      </c>
      <c r="J1437" s="2" t="str">
        <f aca="false">""</f>
        <v/>
      </c>
      <c r="K1437" s="2" t="str">
        <f aca="false">""</f>
        <v/>
      </c>
      <c r="L1437" s="2" t="str">
        <f aca="false">IF($G1437="","","同時")</f>
        <v/>
      </c>
      <c r="M1437" s="2" t="str">
        <f aca="false">IF($G1437="","",IF(ISNA(MATCH($G1437,個別指定!$A:$A,0)),"行なし",""))</f>
        <v/>
      </c>
      <c r="N1437" s="2" t="str">
        <f aca="false">IF($G1437="","",IF(COUNTIF($G$2:$G$4460,$G1437)&gt;1,"重複",""))</f>
        <v/>
      </c>
    </row>
    <row r="1438" customFormat="false" ht="16.5" hidden="false" customHeight="true" outlineLevel="0" collapsed="false">
      <c r="A1438" s="2" t="s">
        <v>385</v>
      </c>
      <c r="B1438" s="2" t="s">
        <v>414</v>
      </c>
      <c r="C1438" s="2" t="s">
        <v>15</v>
      </c>
      <c r="D1438" s="2" t="str">
        <f aca="false">IF(2キー同時!$B$370="","",2キー同時!$B$370)</f>
        <v/>
      </c>
      <c r="E1438" s="2" t="str">
        <f aca="false">""</f>
        <v/>
      </c>
      <c r="F1438" s="2" t="str">
        <f aca="false">""</f>
        <v/>
      </c>
      <c r="G1438" s="2" t="str">
        <f aca="false">IF(2キー同時!$B$370="","",IF(2キー同時!T374="","",SUBSTITUTE(SUBSTITUTE(2キー同時!T374," ",""),"　","")))</f>
        <v/>
      </c>
      <c r="H1438" s="2" t="str">
        <f aca="false">IF($G1438="","",2キー同時!$B$370)</f>
        <v/>
      </c>
      <c r="I1438" s="2" t="str">
        <f aca="false">IF($G1438="","","r")</f>
        <v/>
      </c>
      <c r="J1438" s="2" t="str">
        <f aca="false">""</f>
        <v/>
      </c>
      <c r="K1438" s="2" t="str">
        <f aca="false">""</f>
        <v/>
      </c>
      <c r="L1438" s="2" t="str">
        <f aca="false">IF($G1438="","","同時")</f>
        <v/>
      </c>
      <c r="M1438" s="2" t="str">
        <f aca="false">IF($G1438="","",IF(ISNA(MATCH($G1438,個別指定!$A:$A,0)),"行なし",""))</f>
        <v/>
      </c>
      <c r="N1438" s="2" t="str">
        <f aca="false">IF($G1438="","",IF(COUNTIF($G$2:$G$4460,$G1438)&gt;1,"重複",""))</f>
        <v/>
      </c>
    </row>
    <row r="1439" customFormat="false" ht="16.5" hidden="false" customHeight="true" outlineLevel="0" collapsed="false">
      <c r="A1439" s="2" t="s">
        <v>385</v>
      </c>
      <c r="B1439" s="2" t="s">
        <v>414</v>
      </c>
      <c r="C1439" s="2" t="s">
        <v>16</v>
      </c>
      <c r="D1439" s="2" t="str">
        <f aca="false">IF(2キー同時!$B$370="","",2キー同時!$B$370)</f>
        <v/>
      </c>
      <c r="E1439" s="2" t="str">
        <f aca="false">""</f>
        <v/>
      </c>
      <c r="F1439" s="2" t="str">
        <f aca="false">""</f>
        <v/>
      </c>
      <c r="G1439" s="2" t="str">
        <f aca="false">IF(2キー同時!$B$370="","",IF(2キー同時!X374="","",SUBSTITUTE(SUBSTITUTE(2キー同時!X374," ",""),"　","")))</f>
        <v/>
      </c>
      <c r="H1439" s="2" t="str">
        <f aca="false">IF($G1439="","",2キー同時!$B$370)</f>
        <v/>
      </c>
      <c r="I1439" s="2" t="str">
        <f aca="false">IF($G1439="","","t")</f>
        <v/>
      </c>
      <c r="J1439" s="2" t="str">
        <f aca="false">""</f>
        <v/>
      </c>
      <c r="K1439" s="2" t="str">
        <f aca="false">""</f>
        <v/>
      </c>
      <c r="L1439" s="2" t="str">
        <f aca="false">IF($G1439="","","同時")</f>
        <v/>
      </c>
      <c r="M1439" s="2" t="str">
        <f aca="false">IF($G1439="","",IF(ISNA(MATCH($G1439,個別指定!$A:$A,0)),"行なし",""))</f>
        <v/>
      </c>
      <c r="N1439" s="2" t="str">
        <f aca="false">IF($G1439="","",IF(COUNTIF($G$2:$G$4460,$G1439)&gt;1,"重複",""))</f>
        <v/>
      </c>
    </row>
    <row r="1440" customFormat="false" ht="16.5" hidden="false" customHeight="true" outlineLevel="0" collapsed="false">
      <c r="A1440" s="2" t="s">
        <v>385</v>
      </c>
      <c r="B1440" s="2" t="s">
        <v>414</v>
      </c>
      <c r="C1440" s="2" t="s">
        <v>17</v>
      </c>
      <c r="D1440" s="2" t="str">
        <f aca="false">IF(2キー同時!$B$370="","",2キー同時!$B$370)</f>
        <v/>
      </c>
      <c r="E1440" s="2" t="str">
        <f aca="false">""</f>
        <v/>
      </c>
      <c r="F1440" s="2" t="str">
        <f aca="false">""</f>
        <v/>
      </c>
      <c r="G1440" s="2" t="str">
        <f aca="false">IF(2キー同時!$B$370="","",IF(2キー同時!AB374="","",SUBSTITUTE(SUBSTITUTE(2キー同時!AB374," ",""),"　","")))</f>
        <v/>
      </c>
      <c r="H1440" s="2" t="str">
        <f aca="false">IF($G1440="","",2キー同時!$B$370)</f>
        <v/>
      </c>
      <c r="I1440" s="2" t="str">
        <f aca="false">IF($G1440="","","y")</f>
        <v/>
      </c>
      <c r="J1440" s="2" t="str">
        <f aca="false">""</f>
        <v/>
      </c>
      <c r="K1440" s="2" t="str">
        <f aca="false">""</f>
        <v/>
      </c>
      <c r="L1440" s="2" t="str">
        <f aca="false">IF($G1440="","","同時")</f>
        <v/>
      </c>
      <c r="M1440" s="2" t="str">
        <f aca="false">IF($G1440="","",IF(ISNA(MATCH($G1440,個別指定!$A:$A,0)),"行なし",""))</f>
        <v/>
      </c>
      <c r="N1440" s="2" t="str">
        <f aca="false">IF($G1440="","",IF(COUNTIF($G$2:$G$4460,$G1440)&gt;1,"重複",""))</f>
        <v/>
      </c>
    </row>
    <row r="1441" customFormat="false" ht="16.5" hidden="false" customHeight="true" outlineLevel="0" collapsed="false">
      <c r="A1441" s="2" t="s">
        <v>385</v>
      </c>
      <c r="B1441" s="2" t="s">
        <v>414</v>
      </c>
      <c r="C1441" s="2" t="s">
        <v>18</v>
      </c>
      <c r="D1441" s="2" t="str">
        <f aca="false">IF(2キー同時!$B$370="","",2キー同時!$B$370)</f>
        <v/>
      </c>
      <c r="E1441" s="2" t="str">
        <f aca="false">""</f>
        <v/>
      </c>
      <c r="F1441" s="2" t="str">
        <f aca="false">""</f>
        <v/>
      </c>
      <c r="G1441" s="2" t="str">
        <f aca="false">IF(2キー同時!$B$370="","",IF(2キー同時!AF374="","",SUBSTITUTE(SUBSTITUTE(2キー同時!AF374," ",""),"　","")))</f>
        <v/>
      </c>
      <c r="H1441" s="2" t="str">
        <f aca="false">IF($G1441="","",2キー同時!$B$370)</f>
        <v/>
      </c>
      <c r="I1441" s="2" t="str">
        <f aca="false">IF($G1441="","","u")</f>
        <v/>
      </c>
      <c r="J1441" s="2" t="str">
        <f aca="false">""</f>
        <v/>
      </c>
      <c r="K1441" s="2" t="str">
        <f aca="false">""</f>
        <v/>
      </c>
      <c r="L1441" s="2" t="str">
        <f aca="false">IF($G1441="","","同時")</f>
        <v/>
      </c>
      <c r="M1441" s="2" t="str">
        <f aca="false">IF($G1441="","",IF(ISNA(MATCH($G1441,個別指定!$A:$A,0)),"行なし",""))</f>
        <v/>
      </c>
      <c r="N1441" s="2" t="str">
        <f aca="false">IF($G1441="","",IF(COUNTIF($G$2:$G$4460,$G1441)&gt;1,"重複",""))</f>
        <v/>
      </c>
    </row>
    <row r="1442" customFormat="false" ht="16.5" hidden="false" customHeight="true" outlineLevel="0" collapsed="false">
      <c r="A1442" s="2" t="s">
        <v>385</v>
      </c>
      <c r="B1442" s="2" t="s">
        <v>414</v>
      </c>
      <c r="C1442" s="2" t="s">
        <v>19</v>
      </c>
      <c r="D1442" s="2" t="str">
        <f aca="false">IF(2キー同時!$B$370="","",2キー同時!$B$370)</f>
        <v/>
      </c>
      <c r="E1442" s="2" t="str">
        <f aca="false">""</f>
        <v/>
      </c>
      <c r="F1442" s="2" t="str">
        <f aca="false">""</f>
        <v/>
      </c>
      <c r="G1442" s="2" t="str">
        <f aca="false">IF(2キー同時!$B$370="","",IF(2キー同時!AJ374="","",SUBSTITUTE(SUBSTITUTE(2キー同時!AJ374," ",""),"　","")))</f>
        <v/>
      </c>
      <c r="H1442" s="2" t="str">
        <f aca="false">IF($G1442="","",2キー同時!$B$370)</f>
        <v/>
      </c>
      <c r="I1442" s="2" t="str">
        <f aca="false">IF($G1442="","","i")</f>
        <v/>
      </c>
      <c r="J1442" s="2" t="str">
        <f aca="false">""</f>
        <v/>
      </c>
      <c r="K1442" s="2" t="str">
        <f aca="false">""</f>
        <v/>
      </c>
      <c r="L1442" s="2" t="str">
        <f aca="false">IF($G1442="","","同時")</f>
        <v/>
      </c>
      <c r="M1442" s="2" t="str">
        <f aca="false">IF($G1442="","",IF(ISNA(MATCH($G1442,個別指定!$A:$A,0)),"行なし",""))</f>
        <v/>
      </c>
      <c r="N1442" s="2" t="str">
        <f aca="false">IF($G1442="","",IF(COUNTIF($G$2:$G$4460,$G1442)&gt;1,"重複",""))</f>
        <v/>
      </c>
    </row>
    <row r="1443" customFormat="false" ht="16.5" hidden="false" customHeight="true" outlineLevel="0" collapsed="false">
      <c r="A1443" s="2" t="s">
        <v>385</v>
      </c>
      <c r="B1443" s="2" t="s">
        <v>414</v>
      </c>
      <c r="C1443" s="2" t="s">
        <v>20</v>
      </c>
      <c r="D1443" s="2" t="str">
        <f aca="false">IF(2キー同時!$B$370="","",2キー同時!$B$370)</f>
        <v/>
      </c>
      <c r="E1443" s="2" t="str">
        <f aca="false">""</f>
        <v/>
      </c>
      <c r="F1443" s="2" t="str">
        <f aca="false">""</f>
        <v/>
      </c>
      <c r="G1443" s="2" t="str">
        <f aca="false">IF(2キー同時!$B$370="","",IF(2キー同時!AN374="","",SUBSTITUTE(SUBSTITUTE(2キー同時!AN374," ",""),"　","")))</f>
        <v/>
      </c>
      <c r="H1443" s="2" t="str">
        <f aca="false">IF($G1443="","",2キー同時!$B$370)</f>
        <v/>
      </c>
      <c r="I1443" s="2" t="str">
        <f aca="false">IF($G1443="","","o")</f>
        <v/>
      </c>
      <c r="J1443" s="2" t="str">
        <f aca="false">""</f>
        <v/>
      </c>
      <c r="K1443" s="2" t="str">
        <f aca="false">""</f>
        <v/>
      </c>
      <c r="L1443" s="2" t="str">
        <f aca="false">IF($G1443="","","同時")</f>
        <v/>
      </c>
      <c r="M1443" s="2" t="str">
        <f aca="false">IF($G1443="","",IF(ISNA(MATCH($G1443,個別指定!$A:$A,0)),"行なし",""))</f>
        <v/>
      </c>
      <c r="N1443" s="2" t="str">
        <f aca="false">IF($G1443="","",IF(COUNTIF($G$2:$G$4460,$G1443)&gt;1,"重複",""))</f>
        <v/>
      </c>
    </row>
    <row r="1444" customFormat="false" ht="16.5" hidden="false" customHeight="true" outlineLevel="0" collapsed="false">
      <c r="A1444" s="2" t="s">
        <v>385</v>
      </c>
      <c r="B1444" s="2" t="s">
        <v>414</v>
      </c>
      <c r="C1444" s="2" t="s">
        <v>21</v>
      </c>
      <c r="D1444" s="2" t="str">
        <f aca="false">IF(2キー同時!$B$370="","",2キー同時!$B$370)</f>
        <v/>
      </c>
      <c r="E1444" s="2" t="str">
        <f aca="false">""</f>
        <v/>
      </c>
      <c r="F1444" s="2" t="str">
        <f aca="false">""</f>
        <v/>
      </c>
      <c r="G1444" s="2" t="str">
        <f aca="false">IF(2キー同時!$B$370="","",IF(2キー同時!AR374="","",SUBSTITUTE(SUBSTITUTE(2キー同時!AR374," ",""),"　","")))</f>
        <v/>
      </c>
      <c r="H1444" s="2" t="str">
        <f aca="false">IF($G1444="","",2キー同時!$B$370)</f>
        <v/>
      </c>
      <c r="I1444" s="2" t="str">
        <f aca="false">IF($G1444="","","p")</f>
        <v/>
      </c>
      <c r="J1444" s="2" t="str">
        <f aca="false">""</f>
        <v/>
      </c>
      <c r="K1444" s="2" t="str">
        <f aca="false">""</f>
        <v/>
      </c>
      <c r="L1444" s="2" t="str">
        <f aca="false">IF($G1444="","","同時")</f>
        <v/>
      </c>
      <c r="M1444" s="2" t="str">
        <f aca="false">IF($G1444="","",IF(ISNA(MATCH($G1444,個別指定!$A:$A,0)),"行なし",""))</f>
        <v/>
      </c>
      <c r="N1444" s="2" t="str">
        <f aca="false">IF($G1444="","",IF(COUNTIF($G$2:$G$4460,$G1444)&gt;1,"重複",""))</f>
        <v/>
      </c>
    </row>
    <row r="1445" customFormat="false" ht="16.5" hidden="false" customHeight="true" outlineLevel="0" collapsed="false">
      <c r="A1445" s="2" t="s">
        <v>385</v>
      </c>
      <c r="B1445" s="2" t="s">
        <v>414</v>
      </c>
      <c r="C1445" s="2" t="s">
        <v>22</v>
      </c>
      <c r="D1445" s="2" t="str">
        <f aca="false">IF(2キー同時!$B$370="","",2キー同時!$B$370)</f>
        <v/>
      </c>
      <c r="E1445" s="2" t="str">
        <f aca="false">""</f>
        <v/>
      </c>
      <c r="F1445" s="2" t="str">
        <f aca="false">""</f>
        <v/>
      </c>
      <c r="G1445" s="2" t="str">
        <f aca="false">IF(2キー同時!$B$370="","",IF(2キー同時!AV374="","",SUBSTITUTE(SUBSTITUTE(2キー同時!AV374," ",""),"　","")))</f>
        <v/>
      </c>
      <c r="H1445" s="2" t="str">
        <f aca="false">IF($G1445="","",2キー同時!$B$370)</f>
        <v/>
      </c>
      <c r="I1445" s="2" t="str">
        <f aca="false">IF($G1445="","","[")</f>
        <v/>
      </c>
      <c r="J1445" s="2" t="str">
        <f aca="false">""</f>
        <v/>
      </c>
      <c r="K1445" s="2" t="str">
        <f aca="false">""</f>
        <v/>
      </c>
      <c r="L1445" s="2" t="str">
        <f aca="false">IF($G1445="","","同時")</f>
        <v/>
      </c>
      <c r="M1445" s="2" t="str">
        <f aca="false">IF($G1445="","",IF(ISNA(MATCH($G1445,個別指定!$A:$A,0)),"行なし",""))</f>
        <v/>
      </c>
      <c r="N1445" s="2" t="str">
        <f aca="false">IF($G1445="","",IF(COUNTIF($G$2:$G$4460,$G1445)&gt;1,"重複",""))</f>
        <v/>
      </c>
    </row>
    <row r="1446" customFormat="false" ht="16.5" hidden="false" customHeight="true" outlineLevel="0" collapsed="false">
      <c r="A1446" s="2" t="s">
        <v>385</v>
      </c>
      <c r="B1446" s="2" t="s">
        <v>414</v>
      </c>
      <c r="C1446" s="2" t="s">
        <v>23</v>
      </c>
      <c r="D1446" s="2" t="str">
        <f aca="false">IF(2キー同時!$B$370="","",2キー同時!$B$370)</f>
        <v/>
      </c>
      <c r="E1446" s="2" t="str">
        <f aca="false">""</f>
        <v/>
      </c>
      <c r="F1446" s="2" t="str">
        <f aca="false">""</f>
        <v/>
      </c>
      <c r="G1446" s="2" t="str">
        <f aca="false">IF(2キー同時!$B$370="","",IF(2キー同時!AZ374="","",SUBSTITUTE(SUBSTITUTE(2キー同時!AZ374," ",""),"　","")))</f>
        <v/>
      </c>
      <c r="H1446" s="2" t="str">
        <f aca="false">IF($G1446="","",2キー同時!$B$370)</f>
        <v/>
      </c>
      <c r="I1446" s="2" t="str">
        <f aca="false">IF($G1446="","","]")</f>
        <v/>
      </c>
      <c r="J1446" s="2" t="str">
        <f aca="false">""</f>
        <v/>
      </c>
      <c r="K1446" s="2" t="str">
        <f aca="false">""</f>
        <v/>
      </c>
      <c r="L1446" s="2" t="str">
        <f aca="false">IF($G1446="","","同時")</f>
        <v/>
      </c>
      <c r="M1446" s="2" t="str">
        <f aca="false">IF($G1446="","",IF(ISNA(MATCH($G1446,個別指定!$A:$A,0)),"行なし",""))</f>
        <v/>
      </c>
      <c r="N1446" s="2" t="str">
        <f aca="false">IF($G1446="","",IF(COUNTIF($G$2:$G$4460,$G1446)&gt;1,"重複",""))</f>
        <v/>
      </c>
    </row>
    <row r="1447" customFormat="false" ht="16.5" hidden="false" customHeight="true" outlineLevel="0" collapsed="false">
      <c r="A1447" s="2" t="s">
        <v>385</v>
      </c>
      <c r="B1447" s="2" t="s">
        <v>414</v>
      </c>
      <c r="C1447" s="2" t="s">
        <v>24</v>
      </c>
      <c r="D1447" s="2" t="str">
        <f aca="false">IF(2キー同時!$B$370="","",2キー同時!$B$370)</f>
        <v/>
      </c>
      <c r="E1447" s="2" t="str">
        <f aca="false">""</f>
        <v/>
      </c>
      <c r="F1447" s="2" t="str">
        <f aca="false">""</f>
        <v/>
      </c>
      <c r="G1447" s="2" t="str">
        <f aca="false">IF(2キー同時!$B$370="","",IF(2キー同時!I376="","",SUBSTITUTE(SUBSTITUTE(2キー同時!I376," ",""),"　","")))</f>
        <v/>
      </c>
      <c r="H1447" s="2" t="str">
        <f aca="false">IF($G1447="","",2キー同時!$B$370)</f>
        <v/>
      </c>
      <c r="I1447" s="2" t="str">
        <f aca="false">IF($G1447="","","a")</f>
        <v/>
      </c>
      <c r="J1447" s="2" t="str">
        <f aca="false">""</f>
        <v/>
      </c>
      <c r="K1447" s="2" t="str">
        <f aca="false">""</f>
        <v/>
      </c>
      <c r="L1447" s="2" t="str">
        <f aca="false">IF($G1447="","","同時")</f>
        <v/>
      </c>
      <c r="M1447" s="2" t="str">
        <f aca="false">IF($G1447="","",IF(ISNA(MATCH($G1447,個別指定!$A:$A,0)),"行なし",""))</f>
        <v/>
      </c>
      <c r="N1447" s="2" t="str">
        <f aca="false">IF($G1447="","",IF(COUNTIF($G$2:$G$4460,$G1447)&gt;1,"重複",""))</f>
        <v/>
      </c>
    </row>
    <row r="1448" customFormat="false" ht="16.5" hidden="false" customHeight="true" outlineLevel="0" collapsed="false">
      <c r="A1448" s="2" t="s">
        <v>385</v>
      </c>
      <c r="B1448" s="2" t="s">
        <v>414</v>
      </c>
      <c r="C1448" s="2" t="s">
        <v>25</v>
      </c>
      <c r="D1448" s="2" t="str">
        <f aca="false">IF(2キー同時!$B$370="","",2キー同時!$B$370)</f>
        <v/>
      </c>
      <c r="E1448" s="2" t="str">
        <f aca="false">""</f>
        <v/>
      </c>
      <c r="F1448" s="2" t="str">
        <f aca="false">""</f>
        <v/>
      </c>
      <c r="G1448" s="2" t="str">
        <f aca="false">IF(2キー同時!$B$370="","",IF(2キー同時!M376="","",SUBSTITUTE(SUBSTITUTE(2キー同時!M376," ",""),"　","")))</f>
        <v/>
      </c>
      <c r="H1448" s="2" t="str">
        <f aca="false">IF($G1448="","",2キー同時!$B$370)</f>
        <v/>
      </c>
      <c r="I1448" s="2" t="str">
        <f aca="false">IF($G1448="","","s")</f>
        <v/>
      </c>
      <c r="J1448" s="2" t="str">
        <f aca="false">""</f>
        <v/>
      </c>
      <c r="K1448" s="2" t="str">
        <f aca="false">""</f>
        <v/>
      </c>
      <c r="L1448" s="2" t="str">
        <f aca="false">IF($G1448="","","同時")</f>
        <v/>
      </c>
      <c r="M1448" s="2" t="str">
        <f aca="false">IF($G1448="","",IF(ISNA(MATCH($G1448,個別指定!$A:$A,0)),"行なし",""))</f>
        <v/>
      </c>
      <c r="N1448" s="2" t="str">
        <f aca="false">IF($G1448="","",IF(COUNTIF($G$2:$G$4460,$G1448)&gt;1,"重複",""))</f>
        <v/>
      </c>
    </row>
    <row r="1449" customFormat="false" ht="16.5" hidden="false" customHeight="true" outlineLevel="0" collapsed="false">
      <c r="A1449" s="2" t="s">
        <v>385</v>
      </c>
      <c r="B1449" s="2" t="s">
        <v>414</v>
      </c>
      <c r="C1449" s="2" t="s">
        <v>26</v>
      </c>
      <c r="D1449" s="2" t="str">
        <f aca="false">IF(2キー同時!$B$370="","",2キー同時!$B$370)</f>
        <v/>
      </c>
      <c r="E1449" s="2" t="str">
        <f aca="false">""</f>
        <v/>
      </c>
      <c r="F1449" s="2" t="str">
        <f aca="false">""</f>
        <v/>
      </c>
      <c r="G1449" s="2" t="str">
        <f aca="false">IF(2キー同時!$B$370="","",IF(2キー同時!Q376="","",SUBSTITUTE(SUBSTITUTE(2キー同時!Q376," ",""),"　","")))</f>
        <v/>
      </c>
      <c r="H1449" s="2" t="str">
        <f aca="false">IF($G1449="","",2キー同時!$B$370)</f>
        <v/>
      </c>
      <c r="I1449" s="2" t="str">
        <f aca="false">IF($G1449="","","d")</f>
        <v/>
      </c>
      <c r="J1449" s="2" t="str">
        <f aca="false">""</f>
        <v/>
      </c>
      <c r="K1449" s="2" t="str">
        <f aca="false">""</f>
        <v/>
      </c>
      <c r="L1449" s="2" t="str">
        <f aca="false">IF($G1449="","","同時")</f>
        <v/>
      </c>
      <c r="M1449" s="2" t="str">
        <f aca="false">IF($G1449="","",IF(ISNA(MATCH($G1449,個別指定!$A:$A,0)),"行なし",""))</f>
        <v/>
      </c>
      <c r="N1449" s="2" t="str">
        <f aca="false">IF($G1449="","",IF(COUNTIF($G$2:$G$4460,$G1449)&gt;1,"重複",""))</f>
        <v/>
      </c>
    </row>
    <row r="1450" customFormat="false" ht="16.5" hidden="false" customHeight="true" outlineLevel="0" collapsed="false">
      <c r="A1450" s="2" t="s">
        <v>385</v>
      </c>
      <c r="B1450" s="2" t="s">
        <v>414</v>
      </c>
      <c r="C1450" s="2" t="s">
        <v>27</v>
      </c>
      <c r="D1450" s="2" t="str">
        <f aca="false">IF(2キー同時!$B$370="","",2キー同時!$B$370)</f>
        <v/>
      </c>
      <c r="E1450" s="2" t="str">
        <f aca="false">""</f>
        <v/>
      </c>
      <c r="F1450" s="2" t="str">
        <f aca="false">""</f>
        <v/>
      </c>
      <c r="G1450" s="2" t="str">
        <f aca="false">IF(2キー同時!$B$370="","",IF(2キー同時!U376="","",SUBSTITUTE(SUBSTITUTE(2キー同時!U376," ",""),"　","")))</f>
        <v/>
      </c>
      <c r="H1450" s="2" t="str">
        <f aca="false">IF($G1450="","",2キー同時!$B$370)</f>
        <v/>
      </c>
      <c r="I1450" s="2" t="str">
        <f aca="false">IF($G1450="","","f")</f>
        <v/>
      </c>
      <c r="J1450" s="2" t="str">
        <f aca="false">""</f>
        <v/>
      </c>
      <c r="K1450" s="2" t="str">
        <f aca="false">""</f>
        <v/>
      </c>
      <c r="L1450" s="2" t="str">
        <f aca="false">IF($G1450="","","同時")</f>
        <v/>
      </c>
      <c r="M1450" s="2" t="str">
        <f aca="false">IF($G1450="","",IF(ISNA(MATCH($G1450,個別指定!$A:$A,0)),"行なし",""))</f>
        <v/>
      </c>
      <c r="N1450" s="2" t="str">
        <f aca="false">IF($G1450="","",IF(COUNTIF($G$2:$G$4460,$G1450)&gt;1,"重複",""))</f>
        <v/>
      </c>
    </row>
    <row r="1451" customFormat="false" ht="16.5" hidden="false" customHeight="true" outlineLevel="0" collapsed="false">
      <c r="A1451" s="2" t="s">
        <v>385</v>
      </c>
      <c r="B1451" s="2" t="s">
        <v>414</v>
      </c>
      <c r="C1451" s="2" t="s">
        <v>28</v>
      </c>
      <c r="D1451" s="2" t="str">
        <f aca="false">IF(2キー同時!$B$370="","",2キー同時!$B$370)</f>
        <v/>
      </c>
      <c r="E1451" s="2" t="str">
        <f aca="false">""</f>
        <v/>
      </c>
      <c r="F1451" s="2" t="str">
        <f aca="false">""</f>
        <v/>
      </c>
      <c r="G1451" s="2" t="str">
        <f aca="false">IF(2キー同時!$B$370="","",IF(2キー同時!Y376="","",SUBSTITUTE(SUBSTITUTE(2キー同時!Y376," ",""),"　","")))</f>
        <v/>
      </c>
      <c r="H1451" s="2" t="str">
        <f aca="false">IF($G1451="","",2キー同時!$B$370)</f>
        <v/>
      </c>
      <c r="I1451" s="2" t="str">
        <f aca="false">IF($G1451="","","g")</f>
        <v/>
      </c>
      <c r="J1451" s="2" t="str">
        <f aca="false">""</f>
        <v/>
      </c>
      <c r="K1451" s="2" t="str">
        <f aca="false">""</f>
        <v/>
      </c>
      <c r="L1451" s="2" t="str">
        <f aca="false">IF($G1451="","","同時")</f>
        <v/>
      </c>
      <c r="M1451" s="2" t="str">
        <f aca="false">IF($G1451="","",IF(ISNA(MATCH($G1451,個別指定!$A:$A,0)),"行なし",""))</f>
        <v/>
      </c>
      <c r="N1451" s="2" t="str">
        <f aca="false">IF($G1451="","",IF(COUNTIF($G$2:$G$4460,$G1451)&gt;1,"重複",""))</f>
        <v/>
      </c>
    </row>
    <row r="1452" customFormat="false" ht="16.5" hidden="false" customHeight="true" outlineLevel="0" collapsed="false">
      <c r="A1452" s="2" t="s">
        <v>385</v>
      </c>
      <c r="B1452" s="2" t="s">
        <v>414</v>
      </c>
      <c r="C1452" s="2" t="s">
        <v>29</v>
      </c>
      <c r="D1452" s="2" t="str">
        <f aca="false">IF(2キー同時!$B$370="","",2キー同時!$B$370)</f>
        <v/>
      </c>
      <c r="E1452" s="2" t="str">
        <f aca="false">""</f>
        <v/>
      </c>
      <c r="F1452" s="2" t="str">
        <f aca="false">""</f>
        <v/>
      </c>
      <c r="G1452" s="2" t="str">
        <f aca="false">IF(2キー同時!$B$370="","",IF(2キー同時!AC376="","",SUBSTITUTE(SUBSTITUTE(2キー同時!AC376," ",""),"　","")))</f>
        <v/>
      </c>
      <c r="H1452" s="2" t="str">
        <f aca="false">IF($G1452="","",2キー同時!$B$370)</f>
        <v/>
      </c>
      <c r="I1452" s="2" t="str">
        <f aca="false">IF($G1452="","","h")</f>
        <v/>
      </c>
      <c r="J1452" s="2" t="str">
        <f aca="false">""</f>
        <v/>
      </c>
      <c r="K1452" s="2" t="str">
        <f aca="false">""</f>
        <v/>
      </c>
      <c r="L1452" s="2" t="str">
        <f aca="false">IF($G1452="","","同時")</f>
        <v/>
      </c>
      <c r="M1452" s="2" t="str">
        <f aca="false">IF($G1452="","",IF(ISNA(MATCH($G1452,個別指定!$A:$A,0)),"行なし",""))</f>
        <v/>
      </c>
      <c r="N1452" s="2" t="str">
        <f aca="false">IF($G1452="","",IF(COUNTIF($G$2:$G$4460,$G1452)&gt;1,"重複",""))</f>
        <v/>
      </c>
    </row>
    <row r="1453" customFormat="false" ht="16.5" hidden="false" customHeight="true" outlineLevel="0" collapsed="false">
      <c r="A1453" s="2" t="s">
        <v>385</v>
      </c>
      <c r="B1453" s="2" t="s">
        <v>414</v>
      </c>
      <c r="C1453" s="2" t="s">
        <v>30</v>
      </c>
      <c r="D1453" s="2" t="str">
        <f aca="false">IF(2キー同時!$B$370="","",2キー同時!$B$370)</f>
        <v/>
      </c>
      <c r="E1453" s="2" t="str">
        <f aca="false">""</f>
        <v/>
      </c>
      <c r="F1453" s="2" t="str">
        <f aca="false">""</f>
        <v/>
      </c>
      <c r="G1453" s="2" t="str">
        <f aca="false">IF(2キー同時!$B$370="","",IF(2キー同時!AG376="","",SUBSTITUTE(SUBSTITUTE(2キー同時!AG376," ",""),"　","")))</f>
        <v/>
      </c>
      <c r="H1453" s="2" t="str">
        <f aca="false">IF($G1453="","",2キー同時!$B$370)</f>
        <v/>
      </c>
      <c r="I1453" s="2" t="str">
        <f aca="false">IF($G1453="","","j")</f>
        <v/>
      </c>
      <c r="J1453" s="2" t="str">
        <f aca="false">""</f>
        <v/>
      </c>
      <c r="K1453" s="2" t="str">
        <f aca="false">""</f>
        <v/>
      </c>
      <c r="L1453" s="2" t="str">
        <f aca="false">IF($G1453="","","同時")</f>
        <v/>
      </c>
      <c r="M1453" s="2" t="str">
        <f aca="false">IF($G1453="","",IF(ISNA(MATCH($G1453,個別指定!$A:$A,0)),"行なし",""))</f>
        <v/>
      </c>
      <c r="N1453" s="2" t="str">
        <f aca="false">IF($G1453="","",IF(COUNTIF($G$2:$G$4460,$G1453)&gt;1,"重複",""))</f>
        <v/>
      </c>
    </row>
    <row r="1454" customFormat="false" ht="16.5" hidden="false" customHeight="true" outlineLevel="0" collapsed="false">
      <c r="A1454" s="2" t="s">
        <v>385</v>
      </c>
      <c r="B1454" s="2" t="s">
        <v>414</v>
      </c>
      <c r="C1454" s="2" t="s">
        <v>31</v>
      </c>
      <c r="D1454" s="2" t="str">
        <f aca="false">IF(2キー同時!$B$370="","",2キー同時!$B$370)</f>
        <v/>
      </c>
      <c r="E1454" s="2" t="str">
        <f aca="false">""</f>
        <v/>
      </c>
      <c r="F1454" s="2" t="str">
        <f aca="false">""</f>
        <v/>
      </c>
      <c r="G1454" s="2" t="str">
        <f aca="false">IF(2キー同時!$B$370="","",IF(2キー同時!AK376="","",SUBSTITUTE(SUBSTITUTE(2キー同時!AK376," ",""),"　","")))</f>
        <v/>
      </c>
      <c r="H1454" s="2" t="str">
        <f aca="false">IF($G1454="","",2キー同時!$B$370)</f>
        <v/>
      </c>
      <c r="I1454" s="2" t="str">
        <f aca="false">IF($G1454="","","k")</f>
        <v/>
      </c>
      <c r="J1454" s="2" t="str">
        <f aca="false">""</f>
        <v/>
      </c>
      <c r="K1454" s="2" t="str">
        <f aca="false">""</f>
        <v/>
      </c>
      <c r="L1454" s="2" t="str">
        <f aca="false">IF($G1454="","","同時")</f>
        <v/>
      </c>
      <c r="M1454" s="2" t="str">
        <f aca="false">IF($G1454="","",IF(ISNA(MATCH($G1454,個別指定!$A:$A,0)),"行なし",""))</f>
        <v/>
      </c>
      <c r="N1454" s="2" t="str">
        <f aca="false">IF($G1454="","",IF(COUNTIF($G$2:$G$4460,$G1454)&gt;1,"重複",""))</f>
        <v/>
      </c>
    </row>
    <row r="1455" customFormat="false" ht="16.5" hidden="false" customHeight="true" outlineLevel="0" collapsed="false">
      <c r="A1455" s="2" t="s">
        <v>385</v>
      </c>
      <c r="B1455" s="2" t="s">
        <v>414</v>
      </c>
      <c r="C1455" s="2" t="s">
        <v>32</v>
      </c>
      <c r="D1455" s="2" t="str">
        <f aca="false">IF(2キー同時!$B$370="","",2キー同時!$B$370)</f>
        <v/>
      </c>
      <c r="E1455" s="2" t="str">
        <f aca="false">""</f>
        <v/>
      </c>
      <c r="F1455" s="2" t="str">
        <f aca="false">""</f>
        <v/>
      </c>
      <c r="G1455" s="2" t="str">
        <f aca="false">IF(2キー同時!$B$370="","",IF(2キー同時!AO376="","",SUBSTITUTE(SUBSTITUTE(2キー同時!AO376," ",""),"　","")))</f>
        <v/>
      </c>
      <c r="H1455" s="2" t="str">
        <f aca="false">IF($G1455="","",2キー同時!$B$370)</f>
        <v/>
      </c>
      <c r="I1455" s="2" t="str">
        <f aca="false">IF($G1455="","","l")</f>
        <v/>
      </c>
      <c r="J1455" s="2" t="str">
        <f aca="false">""</f>
        <v/>
      </c>
      <c r="K1455" s="2" t="str">
        <f aca="false">""</f>
        <v/>
      </c>
      <c r="L1455" s="2" t="str">
        <f aca="false">IF($G1455="","","同時")</f>
        <v/>
      </c>
      <c r="M1455" s="2" t="str">
        <f aca="false">IF($G1455="","",IF(ISNA(MATCH($G1455,個別指定!$A:$A,0)),"行なし",""))</f>
        <v/>
      </c>
      <c r="N1455" s="2" t="str">
        <f aca="false">IF($G1455="","",IF(COUNTIF($G$2:$G$4460,$G1455)&gt;1,"重複",""))</f>
        <v/>
      </c>
    </row>
    <row r="1456" customFormat="false" ht="16.5" hidden="false" customHeight="true" outlineLevel="0" collapsed="false">
      <c r="A1456" s="2" t="s">
        <v>385</v>
      </c>
      <c r="B1456" s="2" t="s">
        <v>414</v>
      </c>
      <c r="C1456" s="2" t="s">
        <v>33</v>
      </c>
      <c r="D1456" s="2" t="str">
        <f aca="false">IF(2キー同時!$B$370="","",2キー同時!$B$370)</f>
        <v/>
      </c>
      <c r="E1456" s="2" t="str">
        <f aca="false">""</f>
        <v/>
      </c>
      <c r="F1456" s="2" t="str">
        <f aca="false">""</f>
        <v/>
      </c>
      <c r="G1456" s="2" t="str">
        <f aca="false">IF(2キー同時!$B$370="","",IF(2キー同時!AS376="","",SUBSTITUTE(SUBSTITUTE(2キー同時!AS376," ",""),"　","")))</f>
        <v/>
      </c>
      <c r="H1456" s="2" t="str">
        <f aca="false">IF($G1456="","",2キー同時!$B$370)</f>
        <v/>
      </c>
      <c r="I1456" s="2" t="str">
        <f aca="false">IF($G1456="","",";")</f>
        <v/>
      </c>
      <c r="J1456" s="2" t="str">
        <f aca="false">""</f>
        <v/>
      </c>
      <c r="K1456" s="2" t="str">
        <f aca="false">""</f>
        <v/>
      </c>
      <c r="L1456" s="2" t="str">
        <f aca="false">IF($G1456="","","同時")</f>
        <v/>
      </c>
      <c r="M1456" s="2" t="str">
        <f aca="false">IF($G1456="","",IF(ISNA(MATCH($G1456,個別指定!$A:$A,0)),"行なし",""))</f>
        <v/>
      </c>
      <c r="N1456" s="2" t="str">
        <f aca="false">IF($G1456="","",IF(COUNTIF($G$2:$G$4460,$G1456)&gt;1,"重複",""))</f>
        <v/>
      </c>
    </row>
    <row r="1457" customFormat="false" ht="16.5" hidden="false" customHeight="true" outlineLevel="0" collapsed="false">
      <c r="A1457" s="2" t="s">
        <v>385</v>
      </c>
      <c r="B1457" s="2" t="s">
        <v>414</v>
      </c>
      <c r="C1457" s="2" t="s">
        <v>34</v>
      </c>
      <c r="D1457" s="2" t="str">
        <f aca="false">IF(2キー同時!$B$370="","",2キー同時!$B$370)</f>
        <v/>
      </c>
      <c r="E1457" s="2" t="str">
        <f aca="false">""</f>
        <v/>
      </c>
      <c r="F1457" s="2" t="str">
        <f aca="false">""</f>
        <v/>
      </c>
      <c r="G1457" s="2" t="str">
        <f aca="false">IF(2キー同時!$B$370="","",IF(2キー同時!AW376="","",SUBSTITUTE(SUBSTITUTE(2キー同時!AW376," ",""),"　","")))</f>
        <v/>
      </c>
      <c r="H1457" s="2" t="str">
        <f aca="false">IF($G1457="","",2キー同時!$B$370)</f>
        <v/>
      </c>
      <c r="I1457" s="2" t="str">
        <f aca="false">IF($G1457="","","'")</f>
        <v/>
      </c>
      <c r="J1457" s="2" t="str">
        <f aca="false">""</f>
        <v/>
      </c>
      <c r="K1457" s="2" t="str">
        <f aca="false">""</f>
        <v/>
      </c>
      <c r="L1457" s="2" t="str">
        <f aca="false">IF($G1457="","","同時")</f>
        <v/>
      </c>
      <c r="M1457" s="2" t="str">
        <f aca="false">IF($G1457="","",IF(ISNA(MATCH($G1457,個別指定!$A:$A,0)),"行なし",""))</f>
        <v/>
      </c>
      <c r="N1457" s="2" t="str">
        <f aca="false">IF($G1457="","",IF(COUNTIF($G$2:$G$4460,$G1457)&gt;1,"重複",""))</f>
        <v/>
      </c>
    </row>
    <row r="1458" customFormat="false" ht="16.5" hidden="false" customHeight="true" outlineLevel="0" collapsed="false">
      <c r="A1458" s="2" t="s">
        <v>385</v>
      </c>
      <c r="B1458" s="2" t="s">
        <v>414</v>
      </c>
      <c r="C1458" s="2" t="s">
        <v>35</v>
      </c>
      <c r="D1458" s="2" t="str">
        <f aca="false">IF(2キー同時!$B$370="","",2キー同時!$B$370)</f>
        <v/>
      </c>
      <c r="E1458" s="2" t="str">
        <f aca="false">""</f>
        <v/>
      </c>
      <c r="F1458" s="2" t="str">
        <f aca="false">""</f>
        <v/>
      </c>
      <c r="G1458" s="2" t="str">
        <f aca="false">IF(2キー同時!$B$370="","",IF(2キー同時!K378="","",SUBSTITUTE(SUBSTITUTE(2キー同時!K378," ",""),"　","")))</f>
        <v/>
      </c>
      <c r="H1458" s="2" t="str">
        <f aca="false">IF($G1458="","",2キー同時!$B$370)</f>
        <v/>
      </c>
      <c r="I1458" s="2" t="str">
        <f aca="false">IF($G1458="","","z")</f>
        <v/>
      </c>
      <c r="J1458" s="2" t="str">
        <f aca="false">""</f>
        <v/>
      </c>
      <c r="K1458" s="2" t="str">
        <f aca="false">""</f>
        <v/>
      </c>
      <c r="L1458" s="2" t="str">
        <f aca="false">IF($G1458="","","同時")</f>
        <v/>
      </c>
      <c r="M1458" s="2" t="str">
        <f aca="false">IF($G1458="","",IF(ISNA(MATCH($G1458,個別指定!$A:$A,0)),"行なし",""))</f>
        <v/>
      </c>
      <c r="N1458" s="2" t="str">
        <f aca="false">IF($G1458="","",IF(COUNTIF($G$2:$G$4460,$G1458)&gt;1,"重複",""))</f>
        <v/>
      </c>
    </row>
    <row r="1459" customFormat="false" ht="16.5" hidden="false" customHeight="true" outlineLevel="0" collapsed="false">
      <c r="A1459" s="2" t="s">
        <v>385</v>
      </c>
      <c r="B1459" s="2" t="s">
        <v>414</v>
      </c>
      <c r="C1459" s="2" t="s">
        <v>36</v>
      </c>
      <c r="D1459" s="2" t="str">
        <f aca="false">IF(2キー同時!$B$370="","",2キー同時!$B$370)</f>
        <v/>
      </c>
      <c r="E1459" s="2" t="str">
        <f aca="false">""</f>
        <v/>
      </c>
      <c r="F1459" s="2" t="str">
        <f aca="false">""</f>
        <v/>
      </c>
      <c r="G1459" s="2" t="str">
        <f aca="false">IF(2キー同時!$B$370="","",IF(2キー同時!O378="","",SUBSTITUTE(SUBSTITUTE(2キー同時!O378," ",""),"　","")))</f>
        <v/>
      </c>
      <c r="H1459" s="2" t="str">
        <f aca="false">IF($G1459="","",2キー同時!$B$370)</f>
        <v/>
      </c>
      <c r="I1459" s="2" t="str">
        <f aca="false">IF($G1459="","","x")</f>
        <v/>
      </c>
      <c r="J1459" s="2" t="str">
        <f aca="false">""</f>
        <v/>
      </c>
      <c r="K1459" s="2" t="str">
        <f aca="false">""</f>
        <v/>
      </c>
      <c r="L1459" s="2" t="str">
        <f aca="false">IF($G1459="","","同時")</f>
        <v/>
      </c>
      <c r="M1459" s="2" t="str">
        <f aca="false">IF($G1459="","",IF(ISNA(MATCH($G1459,個別指定!$A:$A,0)),"行なし",""))</f>
        <v/>
      </c>
      <c r="N1459" s="2" t="str">
        <f aca="false">IF($G1459="","",IF(COUNTIF($G$2:$G$4460,$G1459)&gt;1,"重複",""))</f>
        <v/>
      </c>
    </row>
    <row r="1460" customFormat="false" ht="16.5" hidden="false" customHeight="true" outlineLevel="0" collapsed="false">
      <c r="A1460" s="2" t="s">
        <v>385</v>
      </c>
      <c r="B1460" s="2" t="s">
        <v>414</v>
      </c>
      <c r="C1460" s="2" t="s">
        <v>37</v>
      </c>
      <c r="D1460" s="2" t="str">
        <f aca="false">IF(2キー同時!$B$370="","",2キー同時!$B$370)</f>
        <v/>
      </c>
      <c r="E1460" s="2" t="str">
        <f aca="false">""</f>
        <v/>
      </c>
      <c r="F1460" s="2" t="str">
        <f aca="false">""</f>
        <v/>
      </c>
      <c r="G1460" s="2" t="str">
        <f aca="false">IF(2キー同時!$B$370="","",IF(2キー同時!S378="","",SUBSTITUTE(SUBSTITUTE(2キー同時!S378," ",""),"　","")))</f>
        <v/>
      </c>
      <c r="H1460" s="2" t="str">
        <f aca="false">IF($G1460="","",2キー同時!$B$370)</f>
        <v/>
      </c>
      <c r="I1460" s="2" t="str">
        <f aca="false">IF($G1460="","","c")</f>
        <v/>
      </c>
      <c r="J1460" s="2" t="str">
        <f aca="false">""</f>
        <v/>
      </c>
      <c r="K1460" s="2" t="str">
        <f aca="false">""</f>
        <v/>
      </c>
      <c r="L1460" s="2" t="str">
        <f aca="false">IF($G1460="","","同時")</f>
        <v/>
      </c>
      <c r="M1460" s="2" t="str">
        <f aca="false">IF($G1460="","",IF(ISNA(MATCH($G1460,個別指定!$A:$A,0)),"行なし",""))</f>
        <v/>
      </c>
      <c r="N1460" s="2" t="str">
        <f aca="false">IF($G1460="","",IF(COUNTIF($G$2:$G$4460,$G1460)&gt;1,"重複",""))</f>
        <v/>
      </c>
    </row>
    <row r="1461" customFormat="false" ht="16.5" hidden="false" customHeight="true" outlineLevel="0" collapsed="false">
      <c r="A1461" s="2" t="s">
        <v>385</v>
      </c>
      <c r="B1461" s="2" t="s">
        <v>414</v>
      </c>
      <c r="C1461" s="2" t="s">
        <v>38</v>
      </c>
      <c r="D1461" s="2" t="str">
        <f aca="false">IF(2キー同時!$B$370="","",2キー同時!$B$370)</f>
        <v/>
      </c>
      <c r="E1461" s="2" t="str">
        <f aca="false">""</f>
        <v/>
      </c>
      <c r="F1461" s="2" t="str">
        <f aca="false">""</f>
        <v/>
      </c>
      <c r="G1461" s="2" t="str">
        <f aca="false">IF(2キー同時!$B$370="","",IF(2キー同時!W378="","",SUBSTITUTE(SUBSTITUTE(2キー同時!W378," ",""),"　","")))</f>
        <v/>
      </c>
      <c r="H1461" s="2" t="str">
        <f aca="false">IF($G1461="","",2キー同時!$B$370)</f>
        <v/>
      </c>
      <c r="I1461" s="2" t="str">
        <f aca="false">IF($G1461="","","v")</f>
        <v/>
      </c>
      <c r="J1461" s="2" t="str">
        <f aca="false">""</f>
        <v/>
      </c>
      <c r="K1461" s="2" t="str">
        <f aca="false">""</f>
        <v/>
      </c>
      <c r="L1461" s="2" t="str">
        <f aca="false">IF($G1461="","","同時")</f>
        <v/>
      </c>
      <c r="M1461" s="2" t="str">
        <f aca="false">IF($G1461="","",IF(ISNA(MATCH($G1461,個別指定!$A:$A,0)),"行なし",""))</f>
        <v/>
      </c>
      <c r="N1461" s="2" t="str">
        <f aca="false">IF($G1461="","",IF(COUNTIF($G$2:$G$4460,$G1461)&gt;1,"重複",""))</f>
        <v/>
      </c>
    </row>
    <row r="1462" customFormat="false" ht="16.5" hidden="false" customHeight="true" outlineLevel="0" collapsed="false">
      <c r="A1462" s="2" t="s">
        <v>385</v>
      </c>
      <c r="B1462" s="2" t="s">
        <v>414</v>
      </c>
      <c r="C1462" s="2" t="s">
        <v>39</v>
      </c>
      <c r="D1462" s="2" t="str">
        <f aca="false">IF(2キー同時!$B$370="","",2キー同時!$B$370)</f>
        <v/>
      </c>
      <c r="E1462" s="2" t="str">
        <f aca="false">""</f>
        <v/>
      </c>
      <c r="F1462" s="2" t="str">
        <f aca="false">""</f>
        <v/>
      </c>
      <c r="G1462" s="2" t="str">
        <f aca="false">IF(2キー同時!$B$370="","",IF(2キー同時!AA378="","",SUBSTITUTE(SUBSTITUTE(2キー同時!AA378," ",""),"　","")))</f>
        <v/>
      </c>
      <c r="H1462" s="2" t="str">
        <f aca="false">IF($G1462="","",2キー同時!$B$370)</f>
        <v/>
      </c>
      <c r="I1462" s="2" t="str">
        <f aca="false">IF($G1462="","","b")</f>
        <v/>
      </c>
      <c r="J1462" s="2" t="str">
        <f aca="false">""</f>
        <v/>
      </c>
      <c r="K1462" s="2" t="str">
        <f aca="false">""</f>
        <v/>
      </c>
      <c r="L1462" s="2" t="str">
        <f aca="false">IF($G1462="","","同時")</f>
        <v/>
      </c>
      <c r="M1462" s="2" t="str">
        <f aca="false">IF($G1462="","",IF(ISNA(MATCH($G1462,個別指定!$A:$A,0)),"行なし",""))</f>
        <v/>
      </c>
      <c r="N1462" s="2" t="str">
        <f aca="false">IF($G1462="","",IF(COUNTIF($G$2:$G$4460,$G1462)&gt;1,"重複",""))</f>
        <v/>
      </c>
    </row>
    <row r="1463" customFormat="false" ht="16.5" hidden="false" customHeight="true" outlineLevel="0" collapsed="false">
      <c r="A1463" s="2" t="s">
        <v>385</v>
      </c>
      <c r="B1463" s="2" t="s">
        <v>414</v>
      </c>
      <c r="C1463" s="2" t="s">
        <v>40</v>
      </c>
      <c r="D1463" s="2" t="str">
        <f aca="false">IF(2キー同時!$B$370="","",2キー同時!$B$370)</f>
        <v/>
      </c>
      <c r="E1463" s="2" t="str">
        <f aca="false">""</f>
        <v/>
      </c>
      <c r="F1463" s="2" t="str">
        <f aca="false">""</f>
        <v/>
      </c>
      <c r="G1463" s="2" t="str">
        <f aca="false">IF(2キー同時!$B$370="","",IF(2キー同時!AE378="","",SUBSTITUTE(SUBSTITUTE(2キー同時!AE378," ",""),"　","")))</f>
        <v/>
      </c>
      <c r="H1463" s="2" t="str">
        <f aca="false">IF($G1463="","",2キー同時!$B$370)</f>
        <v/>
      </c>
      <c r="I1463" s="2" t="str">
        <f aca="false">IF($G1463="","","n")</f>
        <v/>
      </c>
      <c r="J1463" s="2" t="str">
        <f aca="false">""</f>
        <v/>
      </c>
      <c r="K1463" s="2" t="str">
        <f aca="false">""</f>
        <v/>
      </c>
      <c r="L1463" s="2" t="str">
        <f aca="false">IF($G1463="","","同時")</f>
        <v/>
      </c>
      <c r="M1463" s="2" t="str">
        <f aca="false">IF($G1463="","",IF(ISNA(MATCH($G1463,個別指定!$A:$A,0)),"行なし",""))</f>
        <v/>
      </c>
      <c r="N1463" s="2" t="str">
        <f aca="false">IF($G1463="","",IF(COUNTIF($G$2:$G$4460,$G1463)&gt;1,"重複",""))</f>
        <v/>
      </c>
    </row>
    <row r="1464" customFormat="false" ht="16.5" hidden="false" customHeight="true" outlineLevel="0" collapsed="false">
      <c r="A1464" s="2" t="s">
        <v>385</v>
      </c>
      <c r="B1464" s="2" t="s">
        <v>414</v>
      </c>
      <c r="C1464" s="2" t="s">
        <v>41</v>
      </c>
      <c r="D1464" s="2" t="str">
        <f aca="false">IF(2キー同時!$B$370="","",2キー同時!$B$370)</f>
        <v/>
      </c>
      <c r="E1464" s="2" t="str">
        <f aca="false">""</f>
        <v/>
      </c>
      <c r="F1464" s="2" t="str">
        <f aca="false">""</f>
        <v/>
      </c>
      <c r="G1464" s="2" t="str">
        <f aca="false">IF(2キー同時!$B$370="","",IF(2キー同時!AI378="","",SUBSTITUTE(SUBSTITUTE(2キー同時!AI378," ",""),"　","")))</f>
        <v/>
      </c>
      <c r="H1464" s="2" t="str">
        <f aca="false">IF($G1464="","",2キー同時!$B$370)</f>
        <v/>
      </c>
      <c r="I1464" s="2" t="str">
        <f aca="false">IF($G1464="","","m")</f>
        <v/>
      </c>
      <c r="J1464" s="2" t="str">
        <f aca="false">""</f>
        <v/>
      </c>
      <c r="K1464" s="2" t="str">
        <f aca="false">""</f>
        <v/>
      </c>
      <c r="L1464" s="2" t="str">
        <f aca="false">IF($G1464="","","同時")</f>
        <v/>
      </c>
      <c r="M1464" s="2" t="str">
        <f aca="false">IF($G1464="","",IF(ISNA(MATCH($G1464,個別指定!$A:$A,0)),"行なし",""))</f>
        <v/>
      </c>
      <c r="N1464" s="2" t="str">
        <f aca="false">IF($G1464="","",IF(COUNTIF($G$2:$G$4460,$G1464)&gt;1,"重複",""))</f>
        <v/>
      </c>
    </row>
    <row r="1465" customFormat="false" ht="16.5" hidden="false" customHeight="true" outlineLevel="0" collapsed="false">
      <c r="A1465" s="2" t="s">
        <v>385</v>
      </c>
      <c r="B1465" s="2" t="s">
        <v>414</v>
      </c>
      <c r="C1465" s="2" t="s">
        <v>42</v>
      </c>
      <c r="D1465" s="2" t="str">
        <f aca="false">IF(2キー同時!$B$370="","",2キー同時!$B$370)</f>
        <v/>
      </c>
      <c r="E1465" s="2" t="str">
        <f aca="false">""</f>
        <v/>
      </c>
      <c r="F1465" s="2" t="str">
        <f aca="false">""</f>
        <v/>
      </c>
      <c r="G1465" s="2" t="str">
        <f aca="false">IF(2キー同時!$B$370="","",IF(2キー同時!AM378="","",SUBSTITUTE(SUBSTITUTE(2キー同時!AM378," ",""),"　","")))</f>
        <v/>
      </c>
      <c r="H1465" s="2" t="str">
        <f aca="false">IF($G1465="","",2キー同時!$B$370)</f>
        <v/>
      </c>
      <c r="I1465" s="2" t="str">
        <f aca="false">IF($G1465="","",",")</f>
        <v/>
      </c>
      <c r="J1465" s="2" t="str">
        <f aca="false">""</f>
        <v/>
      </c>
      <c r="K1465" s="2" t="str">
        <f aca="false">""</f>
        <v/>
      </c>
      <c r="L1465" s="2" t="str">
        <f aca="false">IF($G1465="","","同時")</f>
        <v/>
      </c>
      <c r="M1465" s="2" t="str">
        <f aca="false">IF($G1465="","",IF(ISNA(MATCH($G1465,個別指定!$A:$A,0)),"行なし",""))</f>
        <v/>
      </c>
      <c r="N1465" s="2" t="str">
        <f aca="false">IF($G1465="","",IF(COUNTIF($G$2:$G$4460,$G1465)&gt;1,"重複",""))</f>
        <v/>
      </c>
    </row>
    <row r="1466" customFormat="false" ht="16.5" hidden="false" customHeight="true" outlineLevel="0" collapsed="false">
      <c r="A1466" s="2" t="s">
        <v>385</v>
      </c>
      <c r="B1466" s="2" t="s">
        <v>414</v>
      </c>
      <c r="C1466" s="2" t="s">
        <v>43</v>
      </c>
      <c r="D1466" s="2" t="str">
        <f aca="false">IF(2キー同時!$B$370="","",2キー同時!$B$370)</f>
        <v/>
      </c>
      <c r="E1466" s="2" t="str">
        <f aca="false">""</f>
        <v/>
      </c>
      <c r="F1466" s="2" t="str">
        <f aca="false">""</f>
        <v/>
      </c>
      <c r="G1466" s="2" t="str">
        <f aca="false">IF(2キー同時!$B$370="","",IF(2キー同時!AQ378="","",SUBSTITUTE(SUBSTITUTE(2キー同時!AQ378," ",""),"　","")))</f>
        <v/>
      </c>
      <c r="H1466" s="2" t="str">
        <f aca="false">IF($G1466="","",2キー同時!$B$370)</f>
        <v/>
      </c>
      <c r="I1466" s="2" t="str">
        <f aca="false">IF($G1466="","",".")</f>
        <v/>
      </c>
      <c r="J1466" s="2" t="str">
        <f aca="false">""</f>
        <v/>
      </c>
      <c r="K1466" s="2" t="str">
        <f aca="false">""</f>
        <v/>
      </c>
      <c r="L1466" s="2" t="str">
        <f aca="false">IF($G1466="","","同時")</f>
        <v/>
      </c>
      <c r="M1466" s="2" t="str">
        <f aca="false">IF($G1466="","",IF(ISNA(MATCH($G1466,個別指定!$A:$A,0)),"行なし",""))</f>
        <v/>
      </c>
      <c r="N1466" s="2" t="str">
        <f aca="false">IF($G1466="","",IF(COUNTIF($G$2:$G$4460,$G1466)&gt;1,"重複",""))</f>
        <v/>
      </c>
    </row>
    <row r="1467" customFormat="false" ht="16.5" hidden="false" customHeight="true" outlineLevel="0" collapsed="false">
      <c r="A1467" s="2" t="s">
        <v>385</v>
      </c>
      <c r="B1467" s="2" t="s">
        <v>414</v>
      </c>
      <c r="C1467" s="2" t="s">
        <v>44</v>
      </c>
      <c r="D1467" s="2" t="str">
        <f aca="false">IF(2キー同時!$B$370="","",2キー同時!$B$370)</f>
        <v/>
      </c>
      <c r="E1467" s="2" t="str">
        <f aca="false">""</f>
        <v/>
      </c>
      <c r="F1467" s="2" t="str">
        <f aca="false">""</f>
        <v/>
      </c>
      <c r="G1467" s="2" t="str">
        <f aca="false">IF(2キー同時!$B$370="","",IF(2キー同時!AU378="","",SUBSTITUTE(SUBSTITUTE(2キー同時!AU378," ",""),"　","")))</f>
        <v/>
      </c>
      <c r="H1467" s="2" t="str">
        <f aca="false">IF($G1467="","",2キー同時!$B$370)</f>
        <v/>
      </c>
      <c r="I1467" s="2" t="str">
        <f aca="false">IF($G1467="","","/")</f>
        <v/>
      </c>
      <c r="J1467" s="2" t="str">
        <f aca="false">""</f>
        <v/>
      </c>
      <c r="K1467" s="2" t="str">
        <f aca="false">""</f>
        <v/>
      </c>
      <c r="L1467" s="2" t="str">
        <f aca="false">IF($G1467="","","同時")</f>
        <v/>
      </c>
      <c r="M1467" s="2" t="str">
        <f aca="false">IF($G1467="","",IF(ISNA(MATCH($G1467,個別指定!$A:$A,0)),"行なし",""))</f>
        <v/>
      </c>
      <c r="N1467" s="2" t="str">
        <f aca="false">IF($G1467="","",IF(COUNTIF($G$2:$G$4460,$G1467)&gt;1,"重複",""))</f>
        <v/>
      </c>
    </row>
    <row r="1468" customFormat="false" ht="16.5" hidden="false" customHeight="true" outlineLevel="0" collapsed="false">
      <c r="A1468" s="2" t="s">
        <v>385</v>
      </c>
      <c r="B1468" s="2" t="s">
        <v>414</v>
      </c>
      <c r="C1468" s="2" t="s">
        <v>48</v>
      </c>
      <c r="D1468" s="2" t="str">
        <f aca="false">IF(2キー同時!$B$370="","",2キー同時!$B$370)</f>
        <v/>
      </c>
      <c r="E1468" s="2" t="str">
        <f aca="false">""</f>
        <v/>
      </c>
      <c r="F1468" s="2" t="str">
        <f aca="false">""</f>
        <v/>
      </c>
      <c r="G1468" s="2" t="str">
        <f aca="false">IF(2キー同時!$B$370="","",IF(2キー同時!P380="","",SUBSTITUTE(SUBSTITUTE(2キー同時!P380," ",""),"　","")))</f>
        <v/>
      </c>
      <c r="H1468" s="2" t="str">
        <f aca="false">IF($G1468="","",2キー同時!$B$370)</f>
        <v/>
      </c>
      <c r="I1468" s="2" t="str">
        <f aca="false">IF($G1468="","","muhenkan")</f>
        <v/>
      </c>
      <c r="J1468" s="2" t="str">
        <f aca="false">""</f>
        <v/>
      </c>
      <c r="K1468" s="2" t="str">
        <f aca="false">""</f>
        <v/>
      </c>
      <c r="L1468" s="2" t="str">
        <f aca="false">IF($G1468="","","同時")</f>
        <v/>
      </c>
      <c r="M1468" s="2" t="str">
        <f aca="false">IF($G1468="","",IF(ISNA(MATCH($G1468,個別指定!$A:$A,0)),"行なし",""))</f>
        <v/>
      </c>
      <c r="N1468" s="2" t="str">
        <f aca="false">IF($G1468="","",IF(COUNTIF($G$2:$G$4460,$G1468)&gt;1,"重複",""))</f>
        <v/>
      </c>
    </row>
    <row r="1469" customFormat="false" ht="16.5" hidden="false" customHeight="true" outlineLevel="0" collapsed="false">
      <c r="A1469" s="2" t="s">
        <v>385</v>
      </c>
      <c r="B1469" s="2" t="s">
        <v>414</v>
      </c>
      <c r="C1469" s="2" t="s">
        <v>50</v>
      </c>
      <c r="D1469" s="2" t="str">
        <f aca="false">IF(2キー同時!$B$370="","",2キー同時!$B$370)</f>
        <v/>
      </c>
      <c r="E1469" s="2" t="str">
        <f aca="false">""</f>
        <v/>
      </c>
      <c r="F1469" s="2" t="str">
        <f aca="false">""</f>
        <v/>
      </c>
      <c r="G1469" s="2" t="str">
        <f aca="false">IF(2キー同時!$B$370="","",IF(2キー同時!T380="","",SUBSTITUTE(SUBSTITUTE(2キー同時!T380," ",""),"　","")))</f>
        <v/>
      </c>
      <c r="H1469" s="2" t="str">
        <f aca="false">IF($G1469="","",2キー同時!$B$370)</f>
        <v/>
      </c>
      <c r="I1469" s="2" t="str">
        <f aca="false">IF($G1469="","","space")</f>
        <v/>
      </c>
      <c r="J1469" s="2" t="str">
        <f aca="false">""</f>
        <v/>
      </c>
      <c r="K1469" s="2" t="str">
        <f aca="false">""</f>
        <v/>
      </c>
      <c r="L1469" s="2" t="str">
        <f aca="false">IF($G1469="","","同時")</f>
        <v/>
      </c>
      <c r="M1469" s="2" t="str">
        <f aca="false">IF($G1469="","",IF(ISNA(MATCH($G1469,個別指定!$A:$A,0)),"行なし",""))</f>
        <v/>
      </c>
      <c r="N1469" s="2" t="str">
        <f aca="false">IF($G1469="","",IF(COUNTIF($G$2:$G$4460,$G1469)&gt;1,"重複",""))</f>
        <v/>
      </c>
    </row>
    <row r="1470" customFormat="false" ht="16.5" hidden="false" customHeight="true" outlineLevel="0" collapsed="false">
      <c r="A1470" s="2" t="s">
        <v>385</v>
      </c>
      <c r="B1470" s="2" t="s">
        <v>414</v>
      </c>
      <c r="C1470" s="2" t="s">
        <v>45</v>
      </c>
      <c r="D1470" s="2" t="str">
        <f aca="false">IF(2キー同時!$B$370="","",2キー同時!$B$370)</f>
        <v/>
      </c>
      <c r="E1470" s="2" t="str">
        <f aca="false">""</f>
        <v/>
      </c>
      <c r="F1470" s="2" t="str">
        <f aca="false">""</f>
        <v/>
      </c>
      <c r="G1470" s="2" t="str">
        <f aca="false">IF(2キー同時!$B$370="","",IF(2キー同時!AL380="","",SUBSTITUTE(SUBSTITUTE(2キー同時!AL380," ",""),"　","")))</f>
        <v/>
      </c>
      <c r="H1470" s="2" t="str">
        <f aca="false">IF($G1470="","",2キー同時!$B$370)</f>
        <v/>
      </c>
      <c r="I1470" s="2" t="str">
        <f aca="false">IF($G1470="","","henkan")</f>
        <v/>
      </c>
      <c r="J1470" s="2" t="str">
        <f aca="false">""</f>
        <v/>
      </c>
      <c r="K1470" s="2" t="str">
        <f aca="false">""</f>
        <v/>
      </c>
      <c r="L1470" s="2" t="str">
        <f aca="false">IF($G1470="","","同時")</f>
        <v/>
      </c>
      <c r="M1470" s="2" t="str">
        <f aca="false">IF($G1470="","",IF(ISNA(MATCH($G1470,個別指定!$A:$A,0)),"行なし",""))</f>
        <v/>
      </c>
      <c r="N1470" s="2" t="str">
        <f aca="false">IF($G1470="","",IF(COUNTIF($G$2:$G$4460,$G1470)&gt;1,"重複",""))</f>
        <v/>
      </c>
    </row>
    <row r="1471" customFormat="false" ht="16.5" hidden="false" customHeight="true" outlineLevel="0" collapsed="false">
      <c r="A1471" s="2" t="s">
        <v>385</v>
      </c>
      <c r="B1471" s="2" t="s">
        <v>414</v>
      </c>
      <c r="C1471" s="2" t="s">
        <v>46</v>
      </c>
      <c r="D1471" s="2" t="str">
        <f aca="false">IF(2キー同時!$B$370="","",2キー同時!$B$370)</f>
        <v/>
      </c>
      <c r="E1471" s="2" t="str">
        <f aca="false">""</f>
        <v/>
      </c>
      <c r="F1471" s="2" t="str">
        <f aca="false">""</f>
        <v/>
      </c>
      <c r="G1471" s="2" t="str">
        <f aca="false">IF(2キー同時!$B$370="","",IF(2キー同時!AP380="","",SUBSTITUTE(SUBSTITUTE(2キー同時!AP380," ",""),"　","")))</f>
        <v/>
      </c>
      <c r="H1471" s="2" t="str">
        <f aca="false">IF($G1471="","",2キー同時!$B$370)</f>
        <v/>
      </c>
      <c r="I1471" s="2" t="str">
        <f aca="false">IF($G1471="","","kana")</f>
        <v/>
      </c>
      <c r="J1471" s="2" t="str">
        <f aca="false">""</f>
        <v/>
      </c>
      <c r="K1471" s="2" t="str">
        <f aca="false">""</f>
        <v/>
      </c>
      <c r="L1471" s="2" t="str">
        <f aca="false">IF($G1471="","","同時")</f>
        <v/>
      </c>
      <c r="M1471" s="2" t="str">
        <f aca="false">IF($G1471="","",IF(ISNA(MATCH($G1471,個別指定!$A:$A,0)),"行なし",""))</f>
        <v/>
      </c>
      <c r="N1471" s="2" t="str">
        <f aca="false">IF($G1471="","",IF(COUNTIF($G$2:$G$4460,$G1471)&gt;1,"重複",""))</f>
        <v/>
      </c>
    </row>
    <row r="1472" customFormat="false" ht="16.5" hidden="false" customHeight="true" outlineLevel="0" collapsed="false">
      <c r="A1472" s="2" t="s">
        <v>385</v>
      </c>
      <c r="B1472" s="2" t="s">
        <v>415</v>
      </c>
      <c r="C1472" s="2" t="s">
        <v>0</v>
      </c>
      <c r="D1472" s="2" t="str">
        <f aca="false">IF(2キー同時!$B$383="","",2キー同時!$B$383)</f>
        <v/>
      </c>
      <c r="E1472" s="2" t="str">
        <f aca="false">""</f>
        <v/>
      </c>
      <c r="F1472" s="2" t="str">
        <f aca="false">""</f>
        <v/>
      </c>
      <c r="G1472" s="2" t="str">
        <f aca="false">IF(2キー同時!$B$383="","",IF(2キー同時!F385="","",SUBSTITUTE(SUBSTITUTE(2キー同時!F385," ",""),"　","")))</f>
        <v/>
      </c>
      <c r="H1472" s="2" t="str">
        <f aca="false">IF($G1472="","",2キー同時!$B$383)</f>
        <v/>
      </c>
      <c r="I1472" s="2" t="str">
        <f aca="false">IF($G1472="","","1")</f>
        <v/>
      </c>
      <c r="J1472" s="2" t="str">
        <f aca="false">""</f>
        <v/>
      </c>
      <c r="K1472" s="2" t="str">
        <f aca="false">""</f>
        <v/>
      </c>
      <c r="L1472" s="2" t="str">
        <f aca="false">IF($G1472="","","同時")</f>
        <v/>
      </c>
      <c r="M1472" s="2" t="str">
        <f aca="false">IF($G1472="","",IF(ISNA(MATCH($G1472,個別指定!$A:$A,0)),"行なし",""))</f>
        <v/>
      </c>
      <c r="N1472" s="2" t="str">
        <f aca="false">IF($G1472="","",IF(COUNTIF($G$2:$G$4460,$G1472)&gt;1,"重複",""))</f>
        <v/>
      </c>
    </row>
    <row r="1473" customFormat="false" ht="16.5" hidden="false" customHeight="true" outlineLevel="0" collapsed="false">
      <c r="A1473" s="2" t="s">
        <v>385</v>
      </c>
      <c r="B1473" s="2" t="s">
        <v>415</v>
      </c>
      <c r="C1473" s="2" t="s">
        <v>1</v>
      </c>
      <c r="D1473" s="2" t="str">
        <f aca="false">IF(2キー同時!$B$383="","",2キー同時!$B$383)</f>
        <v/>
      </c>
      <c r="E1473" s="2" t="str">
        <f aca="false">""</f>
        <v/>
      </c>
      <c r="F1473" s="2" t="str">
        <f aca="false">""</f>
        <v/>
      </c>
      <c r="G1473" s="2" t="str">
        <f aca="false">IF(2キー同時!$B$383="","",IF(2キー同時!J385="","",SUBSTITUTE(SUBSTITUTE(2キー同時!J385," ",""),"　","")))</f>
        <v/>
      </c>
      <c r="H1473" s="2" t="str">
        <f aca="false">IF($G1473="","",2キー同時!$B$383)</f>
        <v/>
      </c>
      <c r="I1473" s="2" t="str">
        <f aca="false">IF($G1473="","","2")</f>
        <v/>
      </c>
      <c r="J1473" s="2" t="str">
        <f aca="false">""</f>
        <v/>
      </c>
      <c r="K1473" s="2" t="str">
        <f aca="false">""</f>
        <v/>
      </c>
      <c r="L1473" s="2" t="str">
        <f aca="false">IF($G1473="","","同時")</f>
        <v/>
      </c>
      <c r="M1473" s="2" t="str">
        <f aca="false">IF($G1473="","",IF(ISNA(MATCH($G1473,個別指定!$A:$A,0)),"行なし",""))</f>
        <v/>
      </c>
      <c r="N1473" s="2" t="str">
        <f aca="false">IF($G1473="","",IF(COUNTIF($G$2:$G$4460,$G1473)&gt;1,"重複",""))</f>
        <v/>
      </c>
    </row>
    <row r="1474" customFormat="false" ht="16.5" hidden="false" customHeight="true" outlineLevel="0" collapsed="false">
      <c r="A1474" s="2" t="s">
        <v>385</v>
      </c>
      <c r="B1474" s="2" t="s">
        <v>415</v>
      </c>
      <c r="C1474" s="2" t="s">
        <v>2</v>
      </c>
      <c r="D1474" s="2" t="str">
        <f aca="false">IF(2キー同時!$B$383="","",2キー同時!$B$383)</f>
        <v/>
      </c>
      <c r="E1474" s="2" t="str">
        <f aca="false">""</f>
        <v/>
      </c>
      <c r="F1474" s="2" t="str">
        <f aca="false">""</f>
        <v/>
      </c>
      <c r="G1474" s="2" t="str">
        <f aca="false">IF(2キー同時!$B$383="","",IF(2キー同時!N385="","",SUBSTITUTE(SUBSTITUTE(2キー同時!N385," ",""),"　","")))</f>
        <v/>
      </c>
      <c r="H1474" s="2" t="str">
        <f aca="false">IF($G1474="","",2キー同時!$B$383)</f>
        <v/>
      </c>
      <c r="I1474" s="2" t="str">
        <f aca="false">IF($G1474="","","3")</f>
        <v/>
      </c>
      <c r="J1474" s="2" t="str">
        <f aca="false">""</f>
        <v/>
      </c>
      <c r="K1474" s="2" t="str">
        <f aca="false">""</f>
        <v/>
      </c>
      <c r="L1474" s="2" t="str">
        <f aca="false">IF($G1474="","","同時")</f>
        <v/>
      </c>
      <c r="M1474" s="2" t="str">
        <f aca="false">IF($G1474="","",IF(ISNA(MATCH($G1474,個別指定!$A:$A,0)),"行なし",""))</f>
        <v/>
      </c>
      <c r="N1474" s="2" t="str">
        <f aca="false">IF($G1474="","",IF(COUNTIF($G$2:$G$4460,$G1474)&gt;1,"重複",""))</f>
        <v/>
      </c>
    </row>
    <row r="1475" customFormat="false" ht="16.5" hidden="false" customHeight="true" outlineLevel="0" collapsed="false">
      <c r="A1475" s="2" t="s">
        <v>385</v>
      </c>
      <c r="B1475" s="2" t="s">
        <v>415</v>
      </c>
      <c r="C1475" s="2" t="s">
        <v>3</v>
      </c>
      <c r="D1475" s="2" t="str">
        <f aca="false">IF(2キー同時!$B$383="","",2キー同時!$B$383)</f>
        <v/>
      </c>
      <c r="E1475" s="2" t="str">
        <f aca="false">""</f>
        <v/>
      </c>
      <c r="F1475" s="2" t="str">
        <f aca="false">""</f>
        <v/>
      </c>
      <c r="G1475" s="2" t="str">
        <f aca="false">IF(2キー同時!$B$383="","",IF(2キー同時!R385="","",SUBSTITUTE(SUBSTITUTE(2キー同時!R385," ",""),"　","")))</f>
        <v/>
      </c>
      <c r="H1475" s="2" t="str">
        <f aca="false">IF($G1475="","",2キー同時!$B$383)</f>
        <v/>
      </c>
      <c r="I1475" s="2" t="str">
        <f aca="false">IF($G1475="","","4")</f>
        <v/>
      </c>
      <c r="J1475" s="2" t="str">
        <f aca="false">""</f>
        <v/>
      </c>
      <c r="K1475" s="2" t="str">
        <f aca="false">""</f>
        <v/>
      </c>
      <c r="L1475" s="2" t="str">
        <f aca="false">IF($G1475="","","同時")</f>
        <v/>
      </c>
      <c r="M1475" s="2" t="str">
        <f aca="false">IF($G1475="","",IF(ISNA(MATCH($G1475,個別指定!$A:$A,0)),"行なし",""))</f>
        <v/>
      </c>
      <c r="N1475" s="2" t="str">
        <f aca="false">IF($G1475="","",IF(COUNTIF($G$2:$G$4460,$G1475)&gt;1,"重複",""))</f>
        <v/>
      </c>
    </row>
    <row r="1476" customFormat="false" ht="16.5" hidden="false" customHeight="true" outlineLevel="0" collapsed="false">
      <c r="A1476" s="2" t="s">
        <v>385</v>
      </c>
      <c r="B1476" s="2" t="s">
        <v>415</v>
      </c>
      <c r="C1476" s="2" t="s">
        <v>4</v>
      </c>
      <c r="D1476" s="2" t="str">
        <f aca="false">IF(2キー同時!$B$383="","",2キー同時!$B$383)</f>
        <v/>
      </c>
      <c r="E1476" s="2" t="str">
        <f aca="false">""</f>
        <v/>
      </c>
      <c r="F1476" s="2" t="str">
        <f aca="false">""</f>
        <v/>
      </c>
      <c r="G1476" s="2" t="str">
        <f aca="false">IF(2キー同時!$B$383="","",IF(2キー同時!V385="","",SUBSTITUTE(SUBSTITUTE(2キー同時!V385," ",""),"　","")))</f>
        <v/>
      </c>
      <c r="H1476" s="2" t="str">
        <f aca="false">IF($G1476="","",2キー同時!$B$383)</f>
        <v/>
      </c>
      <c r="I1476" s="2" t="str">
        <f aca="false">IF($G1476="","","5")</f>
        <v/>
      </c>
      <c r="J1476" s="2" t="str">
        <f aca="false">""</f>
        <v/>
      </c>
      <c r="K1476" s="2" t="str">
        <f aca="false">""</f>
        <v/>
      </c>
      <c r="L1476" s="2" t="str">
        <f aca="false">IF($G1476="","","同時")</f>
        <v/>
      </c>
      <c r="M1476" s="2" t="str">
        <f aca="false">IF($G1476="","",IF(ISNA(MATCH($G1476,個別指定!$A:$A,0)),"行なし",""))</f>
        <v/>
      </c>
      <c r="N1476" s="2" t="str">
        <f aca="false">IF($G1476="","",IF(COUNTIF($G$2:$G$4460,$G1476)&gt;1,"重複",""))</f>
        <v/>
      </c>
    </row>
    <row r="1477" customFormat="false" ht="16.5" hidden="false" customHeight="true" outlineLevel="0" collapsed="false">
      <c r="A1477" s="2" t="s">
        <v>385</v>
      </c>
      <c r="B1477" s="2" t="s">
        <v>415</v>
      </c>
      <c r="C1477" s="2" t="s">
        <v>5</v>
      </c>
      <c r="D1477" s="2" t="str">
        <f aca="false">IF(2キー同時!$B$383="","",2キー同時!$B$383)</f>
        <v/>
      </c>
      <c r="E1477" s="2" t="str">
        <f aca="false">""</f>
        <v/>
      </c>
      <c r="F1477" s="2" t="str">
        <f aca="false">""</f>
        <v/>
      </c>
      <c r="G1477" s="2" t="str">
        <f aca="false">IF(2キー同時!$B$383="","",IF(2キー同時!Z385="","",SUBSTITUTE(SUBSTITUTE(2キー同時!Z385," ",""),"　","")))</f>
        <v/>
      </c>
      <c r="H1477" s="2" t="str">
        <f aca="false">IF($G1477="","",2キー同時!$B$383)</f>
        <v/>
      </c>
      <c r="I1477" s="2" t="str">
        <f aca="false">IF($G1477="","","6")</f>
        <v/>
      </c>
      <c r="J1477" s="2" t="str">
        <f aca="false">""</f>
        <v/>
      </c>
      <c r="K1477" s="2" t="str">
        <f aca="false">""</f>
        <v/>
      </c>
      <c r="L1477" s="2" t="str">
        <f aca="false">IF($G1477="","","同時")</f>
        <v/>
      </c>
      <c r="M1477" s="2" t="str">
        <f aca="false">IF($G1477="","",IF(ISNA(MATCH($G1477,個別指定!$A:$A,0)),"行なし",""))</f>
        <v/>
      </c>
      <c r="N1477" s="2" t="str">
        <f aca="false">IF($G1477="","",IF(COUNTIF($G$2:$G$4460,$G1477)&gt;1,"重複",""))</f>
        <v/>
      </c>
    </row>
    <row r="1478" customFormat="false" ht="16.5" hidden="false" customHeight="true" outlineLevel="0" collapsed="false">
      <c r="A1478" s="2" t="s">
        <v>385</v>
      </c>
      <c r="B1478" s="2" t="s">
        <v>415</v>
      </c>
      <c r="C1478" s="2" t="s">
        <v>6</v>
      </c>
      <c r="D1478" s="2" t="str">
        <f aca="false">IF(2キー同時!$B$383="","",2キー同時!$B$383)</f>
        <v/>
      </c>
      <c r="E1478" s="2" t="str">
        <f aca="false">""</f>
        <v/>
      </c>
      <c r="F1478" s="2" t="str">
        <f aca="false">""</f>
        <v/>
      </c>
      <c r="G1478" s="2" t="str">
        <f aca="false">IF(2キー同時!$B$383="","",IF(2キー同時!AD385="","",SUBSTITUTE(SUBSTITUTE(2キー同時!AD385," ",""),"　","")))</f>
        <v/>
      </c>
      <c r="H1478" s="2" t="str">
        <f aca="false">IF($G1478="","",2キー同時!$B$383)</f>
        <v/>
      </c>
      <c r="I1478" s="2" t="str">
        <f aca="false">IF($G1478="","","7")</f>
        <v/>
      </c>
      <c r="J1478" s="2" t="str">
        <f aca="false">""</f>
        <v/>
      </c>
      <c r="K1478" s="2" t="str">
        <f aca="false">""</f>
        <v/>
      </c>
      <c r="L1478" s="2" t="str">
        <f aca="false">IF($G1478="","","同時")</f>
        <v/>
      </c>
      <c r="M1478" s="2" t="str">
        <f aca="false">IF($G1478="","",IF(ISNA(MATCH($G1478,個別指定!$A:$A,0)),"行なし",""))</f>
        <v/>
      </c>
      <c r="N1478" s="2" t="str">
        <f aca="false">IF($G1478="","",IF(COUNTIF($G$2:$G$4460,$G1478)&gt;1,"重複",""))</f>
        <v/>
      </c>
    </row>
    <row r="1479" customFormat="false" ht="16.5" hidden="false" customHeight="true" outlineLevel="0" collapsed="false">
      <c r="A1479" s="2" t="s">
        <v>385</v>
      </c>
      <c r="B1479" s="2" t="s">
        <v>415</v>
      </c>
      <c r="C1479" s="2" t="s">
        <v>7</v>
      </c>
      <c r="D1479" s="2" t="str">
        <f aca="false">IF(2キー同時!$B$383="","",2キー同時!$B$383)</f>
        <v/>
      </c>
      <c r="E1479" s="2" t="str">
        <f aca="false">""</f>
        <v/>
      </c>
      <c r="F1479" s="2" t="str">
        <f aca="false">""</f>
        <v/>
      </c>
      <c r="G1479" s="2" t="str">
        <f aca="false">IF(2キー同時!$B$383="","",IF(2キー同時!AH385="","",SUBSTITUTE(SUBSTITUTE(2キー同時!AH385," ",""),"　","")))</f>
        <v/>
      </c>
      <c r="H1479" s="2" t="str">
        <f aca="false">IF($G1479="","",2キー同時!$B$383)</f>
        <v/>
      </c>
      <c r="I1479" s="2" t="str">
        <f aca="false">IF($G1479="","","8")</f>
        <v/>
      </c>
      <c r="J1479" s="2" t="str">
        <f aca="false">""</f>
        <v/>
      </c>
      <c r="K1479" s="2" t="str">
        <f aca="false">""</f>
        <v/>
      </c>
      <c r="L1479" s="2" t="str">
        <f aca="false">IF($G1479="","","同時")</f>
        <v/>
      </c>
      <c r="M1479" s="2" t="str">
        <f aca="false">IF($G1479="","",IF(ISNA(MATCH($G1479,個別指定!$A:$A,0)),"行なし",""))</f>
        <v/>
      </c>
      <c r="N1479" s="2" t="str">
        <f aca="false">IF($G1479="","",IF(COUNTIF($G$2:$G$4460,$G1479)&gt;1,"重複",""))</f>
        <v/>
      </c>
    </row>
    <row r="1480" customFormat="false" ht="16.5" hidden="false" customHeight="true" outlineLevel="0" collapsed="false">
      <c r="A1480" s="2" t="s">
        <v>385</v>
      </c>
      <c r="B1480" s="2" t="s">
        <v>415</v>
      </c>
      <c r="C1480" s="2" t="s">
        <v>8</v>
      </c>
      <c r="D1480" s="2" t="str">
        <f aca="false">IF(2キー同時!$B$383="","",2キー同時!$B$383)</f>
        <v/>
      </c>
      <c r="E1480" s="2" t="str">
        <f aca="false">""</f>
        <v/>
      </c>
      <c r="F1480" s="2" t="str">
        <f aca="false">""</f>
        <v/>
      </c>
      <c r="G1480" s="2" t="str">
        <f aca="false">IF(2キー同時!$B$383="","",IF(2キー同時!AL385="","",SUBSTITUTE(SUBSTITUTE(2キー同時!AL385," ",""),"　","")))</f>
        <v/>
      </c>
      <c r="H1480" s="2" t="str">
        <f aca="false">IF($G1480="","",2キー同時!$B$383)</f>
        <v/>
      </c>
      <c r="I1480" s="2" t="str">
        <f aca="false">IF($G1480="","","9")</f>
        <v/>
      </c>
      <c r="J1480" s="2" t="str">
        <f aca="false">""</f>
        <v/>
      </c>
      <c r="K1480" s="2" t="str">
        <f aca="false">""</f>
        <v/>
      </c>
      <c r="L1480" s="2" t="str">
        <f aca="false">IF($G1480="","","同時")</f>
        <v/>
      </c>
      <c r="M1480" s="2" t="str">
        <f aca="false">IF($G1480="","",IF(ISNA(MATCH($G1480,個別指定!$A:$A,0)),"行なし",""))</f>
        <v/>
      </c>
      <c r="N1480" s="2" t="str">
        <f aca="false">IF($G1480="","",IF(COUNTIF($G$2:$G$4460,$G1480)&gt;1,"重複",""))</f>
        <v/>
      </c>
    </row>
    <row r="1481" customFormat="false" ht="16.5" hidden="false" customHeight="true" outlineLevel="0" collapsed="false">
      <c r="A1481" s="2" t="s">
        <v>385</v>
      </c>
      <c r="B1481" s="2" t="s">
        <v>415</v>
      </c>
      <c r="C1481" s="2" t="s">
        <v>9</v>
      </c>
      <c r="D1481" s="2" t="str">
        <f aca="false">IF(2キー同時!$B$383="","",2キー同時!$B$383)</f>
        <v/>
      </c>
      <c r="E1481" s="2" t="str">
        <f aca="false">""</f>
        <v/>
      </c>
      <c r="F1481" s="2" t="str">
        <f aca="false">""</f>
        <v/>
      </c>
      <c r="G1481" s="2" t="str">
        <f aca="false">IF(2キー同時!$B$383="","",IF(2キー同時!AP385="","",SUBSTITUTE(SUBSTITUTE(2キー同時!AP385," ",""),"　","")))</f>
        <v/>
      </c>
      <c r="H1481" s="2" t="str">
        <f aca="false">IF($G1481="","",2キー同時!$B$383)</f>
        <v/>
      </c>
      <c r="I1481" s="2" t="str">
        <f aca="false">IF($G1481="","","0")</f>
        <v/>
      </c>
      <c r="J1481" s="2" t="str">
        <f aca="false">""</f>
        <v/>
      </c>
      <c r="K1481" s="2" t="str">
        <f aca="false">""</f>
        <v/>
      </c>
      <c r="L1481" s="2" t="str">
        <f aca="false">IF($G1481="","","同時")</f>
        <v/>
      </c>
      <c r="M1481" s="2" t="str">
        <f aca="false">IF($G1481="","",IF(ISNA(MATCH($G1481,個別指定!$A:$A,0)),"行なし",""))</f>
        <v/>
      </c>
      <c r="N1481" s="2" t="str">
        <f aca="false">IF($G1481="","",IF(COUNTIF($G$2:$G$4460,$G1481)&gt;1,"重複",""))</f>
        <v/>
      </c>
    </row>
    <row r="1482" customFormat="false" ht="16.5" hidden="false" customHeight="true" outlineLevel="0" collapsed="false">
      <c r="A1482" s="2" t="s">
        <v>385</v>
      </c>
      <c r="B1482" s="2" t="s">
        <v>415</v>
      </c>
      <c r="C1482" s="2" t="s">
        <v>10</v>
      </c>
      <c r="D1482" s="2" t="str">
        <f aca="false">IF(2キー同時!$B$383="","",2キー同時!$B$383)</f>
        <v/>
      </c>
      <c r="E1482" s="2" t="str">
        <f aca="false">""</f>
        <v/>
      </c>
      <c r="F1482" s="2" t="str">
        <f aca="false">""</f>
        <v/>
      </c>
      <c r="G1482" s="2" t="str">
        <f aca="false">IF(2キー同時!$B$383="","",IF(2キー同時!AT385="","",SUBSTITUTE(SUBSTITUTE(2キー同時!AT385," ",""),"　","")))</f>
        <v/>
      </c>
      <c r="H1482" s="2" t="str">
        <f aca="false">IF($G1482="","",2キー同時!$B$383)</f>
        <v/>
      </c>
      <c r="I1482" s="2" t="str">
        <f aca="false">IF($G1482="","","-")</f>
        <v/>
      </c>
      <c r="J1482" s="2" t="str">
        <f aca="false">""</f>
        <v/>
      </c>
      <c r="K1482" s="2" t="str">
        <f aca="false">""</f>
        <v/>
      </c>
      <c r="L1482" s="2" t="str">
        <f aca="false">IF($G1482="","","同時")</f>
        <v/>
      </c>
      <c r="M1482" s="2" t="str">
        <f aca="false">IF($G1482="","",IF(ISNA(MATCH($G1482,個別指定!$A:$A,0)),"行なし",""))</f>
        <v/>
      </c>
      <c r="N1482" s="2" t="str">
        <f aca="false">IF($G1482="","",IF(COUNTIF($G$2:$G$4460,$G1482)&gt;1,"重複",""))</f>
        <v/>
      </c>
    </row>
    <row r="1483" customFormat="false" ht="16.5" hidden="false" customHeight="true" outlineLevel="0" collapsed="false">
      <c r="A1483" s="2" t="s">
        <v>385</v>
      </c>
      <c r="B1483" s="2" t="s">
        <v>415</v>
      </c>
      <c r="C1483" s="2" t="s">
        <v>11</v>
      </c>
      <c r="D1483" s="2" t="str">
        <f aca="false">IF(2キー同時!$B$383="","",2キー同時!$B$383)</f>
        <v/>
      </c>
      <c r="E1483" s="2" t="str">
        <f aca="false">""</f>
        <v/>
      </c>
      <c r="F1483" s="2" t="str">
        <f aca="false">""</f>
        <v/>
      </c>
      <c r="G1483" s="2" t="str">
        <f aca="false">IF(2キー同時!$B$383="","",IF(2キー同時!AX385="","",SUBSTITUTE(SUBSTITUTE(2キー同時!AX385," ",""),"　","")))</f>
        <v/>
      </c>
      <c r="H1483" s="2" t="str">
        <f aca="false">IF($G1483="","",2キー同時!$B$383)</f>
        <v/>
      </c>
      <c r="I1483" s="2" t="str">
        <f aca="false">IF($G1483="","","=")</f>
        <v/>
      </c>
      <c r="J1483" s="2" t="str">
        <f aca="false">""</f>
        <v/>
      </c>
      <c r="K1483" s="2" t="str">
        <f aca="false">""</f>
        <v/>
      </c>
      <c r="L1483" s="2" t="str">
        <f aca="false">IF($G1483="","","同時")</f>
        <v/>
      </c>
      <c r="M1483" s="2" t="str">
        <f aca="false">IF($G1483="","",IF(ISNA(MATCH($G1483,個別指定!$A:$A,0)),"行なし",""))</f>
        <v/>
      </c>
      <c r="N1483" s="2" t="str">
        <f aca="false">IF($G1483="","",IF(COUNTIF($G$2:$G$4460,$G1483)&gt;1,"重複",""))</f>
        <v/>
      </c>
    </row>
    <row r="1484" customFormat="false" ht="16.5" hidden="false" customHeight="true" outlineLevel="0" collapsed="false">
      <c r="A1484" s="2" t="s">
        <v>385</v>
      </c>
      <c r="B1484" s="2" t="s">
        <v>415</v>
      </c>
      <c r="C1484" s="2" t="s">
        <v>12</v>
      </c>
      <c r="D1484" s="2" t="str">
        <f aca="false">IF(2キー同時!$B$383="","",2キー同時!$B$383)</f>
        <v/>
      </c>
      <c r="E1484" s="2" t="str">
        <f aca="false">""</f>
        <v/>
      </c>
      <c r="F1484" s="2" t="str">
        <f aca="false">""</f>
        <v/>
      </c>
      <c r="G1484" s="2" t="str">
        <f aca="false">IF(2キー同時!$B$383="","",IF(2キー同時!H387="","",SUBSTITUTE(SUBSTITUTE(2キー同時!H387," ",""),"　","")))</f>
        <v/>
      </c>
      <c r="H1484" s="2" t="str">
        <f aca="false">IF($G1484="","",2キー同時!$B$383)</f>
        <v/>
      </c>
      <c r="I1484" s="2" t="str">
        <f aca="false">IF($G1484="","","q")</f>
        <v/>
      </c>
      <c r="J1484" s="2" t="str">
        <f aca="false">""</f>
        <v/>
      </c>
      <c r="K1484" s="2" t="str">
        <f aca="false">""</f>
        <v/>
      </c>
      <c r="L1484" s="2" t="str">
        <f aca="false">IF($G1484="","","同時")</f>
        <v/>
      </c>
      <c r="M1484" s="2" t="str">
        <f aca="false">IF($G1484="","",IF(ISNA(MATCH($G1484,個別指定!$A:$A,0)),"行なし",""))</f>
        <v/>
      </c>
      <c r="N1484" s="2" t="str">
        <f aca="false">IF($G1484="","",IF(COUNTIF($G$2:$G$4460,$G1484)&gt;1,"重複",""))</f>
        <v/>
      </c>
    </row>
    <row r="1485" customFormat="false" ht="16.5" hidden="false" customHeight="true" outlineLevel="0" collapsed="false">
      <c r="A1485" s="2" t="s">
        <v>385</v>
      </c>
      <c r="B1485" s="2" t="s">
        <v>415</v>
      </c>
      <c r="C1485" s="2" t="s">
        <v>13</v>
      </c>
      <c r="D1485" s="2" t="str">
        <f aca="false">IF(2キー同時!$B$383="","",2キー同時!$B$383)</f>
        <v/>
      </c>
      <c r="E1485" s="2" t="str">
        <f aca="false">""</f>
        <v/>
      </c>
      <c r="F1485" s="2" t="str">
        <f aca="false">""</f>
        <v/>
      </c>
      <c r="G1485" s="2" t="str">
        <f aca="false">IF(2キー同時!$B$383="","",IF(2キー同時!L387="","",SUBSTITUTE(SUBSTITUTE(2キー同時!L387," ",""),"　","")))</f>
        <v/>
      </c>
      <c r="H1485" s="2" t="str">
        <f aca="false">IF($G1485="","",2キー同時!$B$383)</f>
        <v/>
      </c>
      <c r="I1485" s="2" t="str">
        <f aca="false">IF($G1485="","","w")</f>
        <v/>
      </c>
      <c r="J1485" s="2" t="str">
        <f aca="false">""</f>
        <v/>
      </c>
      <c r="K1485" s="2" t="str">
        <f aca="false">""</f>
        <v/>
      </c>
      <c r="L1485" s="2" t="str">
        <f aca="false">IF($G1485="","","同時")</f>
        <v/>
      </c>
      <c r="M1485" s="2" t="str">
        <f aca="false">IF($G1485="","",IF(ISNA(MATCH($G1485,個別指定!$A:$A,0)),"行なし",""))</f>
        <v/>
      </c>
      <c r="N1485" s="2" t="str">
        <f aca="false">IF($G1485="","",IF(COUNTIF($G$2:$G$4460,$G1485)&gt;1,"重複",""))</f>
        <v/>
      </c>
    </row>
    <row r="1486" customFormat="false" ht="16.5" hidden="false" customHeight="true" outlineLevel="0" collapsed="false">
      <c r="A1486" s="2" t="s">
        <v>385</v>
      </c>
      <c r="B1486" s="2" t="s">
        <v>415</v>
      </c>
      <c r="C1486" s="2" t="s">
        <v>14</v>
      </c>
      <c r="D1486" s="2" t="str">
        <f aca="false">IF(2キー同時!$B$383="","",2キー同時!$B$383)</f>
        <v/>
      </c>
      <c r="E1486" s="2" t="str">
        <f aca="false">""</f>
        <v/>
      </c>
      <c r="F1486" s="2" t="str">
        <f aca="false">""</f>
        <v/>
      </c>
      <c r="G1486" s="2" t="str">
        <f aca="false">IF(2キー同時!$B$383="","",IF(2キー同時!P387="","",SUBSTITUTE(SUBSTITUTE(2キー同時!P387," ",""),"　","")))</f>
        <v/>
      </c>
      <c r="H1486" s="2" t="str">
        <f aca="false">IF($G1486="","",2キー同時!$B$383)</f>
        <v/>
      </c>
      <c r="I1486" s="2" t="str">
        <f aca="false">IF($G1486="","","e")</f>
        <v/>
      </c>
      <c r="J1486" s="2" t="str">
        <f aca="false">""</f>
        <v/>
      </c>
      <c r="K1486" s="2" t="str">
        <f aca="false">""</f>
        <v/>
      </c>
      <c r="L1486" s="2" t="str">
        <f aca="false">IF($G1486="","","同時")</f>
        <v/>
      </c>
      <c r="M1486" s="2" t="str">
        <f aca="false">IF($G1486="","",IF(ISNA(MATCH($G1486,個別指定!$A:$A,0)),"行なし",""))</f>
        <v/>
      </c>
      <c r="N1486" s="2" t="str">
        <f aca="false">IF($G1486="","",IF(COUNTIF($G$2:$G$4460,$G1486)&gt;1,"重複",""))</f>
        <v/>
      </c>
    </row>
    <row r="1487" customFormat="false" ht="16.5" hidden="false" customHeight="true" outlineLevel="0" collapsed="false">
      <c r="A1487" s="2" t="s">
        <v>385</v>
      </c>
      <c r="B1487" s="2" t="s">
        <v>415</v>
      </c>
      <c r="C1487" s="2" t="s">
        <v>15</v>
      </c>
      <c r="D1487" s="2" t="str">
        <f aca="false">IF(2キー同時!$B$383="","",2キー同時!$B$383)</f>
        <v/>
      </c>
      <c r="E1487" s="2" t="str">
        <f aca="false">""</f>
        <v/>
      </c>
      <c r="F1487" s="2" t="str">
        <f aca="false">""</f>
        <v/>
      </c>
      <c r="G1487" s="2" t="str">
        <f aca="false">IF(2キー同時!$B$383="","",IF(2キー同時!T387="","",SUBSTITUTE(SUBSTITUTE(2キー同時!T387," ",""),"　","")))</f>
        <v/>
      </c>
      <c r="H1487" s="2" t="str">
        <f aca="false">IF($G1487="","",2キー同時!$B$383)</f>
        <v/>
      </c>
      <c r="I1487" s="2" t="str">
        <f aca="false">IF($G1487="","","r")</f>
        <v/>
      </c>
      <c r="J1487" s="2" t="str">
        <f aca="false">""</f>
        <v/>
      </c>
      <c r="K1487" s="2" t="str">
        <f aca="false">""</f>
        <v/>
      </c>
      <c r="L1487" s="2" t="str">
        <f aca="false">IF($G1487="","","同時")</f>
        <v/>
      </c>
      <c r="M1487" s="2" t="str">
        <f aca="false">IF($G1487="","",IF(ISNA(MATCH($G1487,個別指定!$A:$A,0)),"行なし",""))</f>
        <v/>
      </c>
      <c r="N1487" s="2" t="str">
        <f aca="false">IF($G1487="","",IF(COUNTIF($G$2:$G$4460,$G1487)&gt;1,"重複",""))</f>
        <v/>
      </c>
    </row>
    <row r="1488" customFormat="false" ht="16.5" hidden="false" customHeight="true" outlineLevel="0" collapsed="false">
      <c r="A1488" s="2" t="s">
        <v>385</v>
      </c>
      <c r="B1488" s="2" t="s">
        <v>415</v>
      </c>
      <c r="C1488" s="2" t="s">
        <v>16</v>
      </c>
      <c r="D1488" s="2" t="str">
        <f aca="false">IF(2キー同時!$B$383="","",2キー同時!$B$383)</f>
        <v/>
      </c>
      <c r="E1488" s="2" t="str">
        <f aca="false">""</f>
        <v/>
      </c>
      <c r="F1488" s="2" t="str">
        <f aca="false">""</f>
        <v/>
      </c>
      <c r="G1488" s="2" t="str">
        <f aca="false">IF(2キー同時!$B$383="","",IF(2キー同時!X387="","",SUBSTITUTE(SUBSTITUTE(2キー同時!X387," ",""),"　","")))</f>
        <v/>
      </c>
      <c r="H1488" s="2" t="str">
        <f aca="false">IF($G1488="","",2キー同時!$B$383)</f>
        <v/>
      </c>
      <c r="I1488" s="2" t="str">
        <f aca="false">IF($G1488="","","t")</f>
        <v/>
      </c>
      <c r="J1488" s="2" t="str">
        <f aca="false">""</f>
        <v/>
      </c>
      <c r="K1488" s="2" t="str">
        <f aca="false">""</f>
        <v/>
      </c>
      <c r="L1488" s="2" t="str">
        <f aca="false">IF($G1488="","","同時")</f>
        <v/>
      </c>
      <c r="M1488" s="2" t="str">
        <f aca="false">IF($G1488="","",IF(ISNA(MATCH($G1488,個別指定!$A:$A,0)),"行なし",""))</f>
        <v/>
      </c>
      <c r="N1488" s="2" t="str">
        <f aca="false">IF($G1488="","",IF(COUNTIF($G$2:$G$4460,$G1488)&gt;1,"重複",""))</f>
        <v/>
      </c>
    </row>
    <row r="1489" customFormat="false" ht="16.5" hidden="false" customHeight="true" outlineLevel="0" collapsed="false">
      <c r="A1489" s="2" t="s">
        <v>385</v>
      </c>
      <c r="B1489" s="2" t="s">
        <v>415</v>
      </c>
      <c r="C1489" s="2" t="s">
        <v>17</v>
      </c>
      <c r="D1489" s="2" t="str">
        <f aca="false">IF(2キー同時!$B$383="","",2キー同時!$B$383)</f>
        <v/>
      </c>
      <c r="E1489" s="2" t="str">
        <f aca="false">""</f>
        <v/>
      </c>
      <c r="F1489" s="2" t="str">
        <f aca="false">""</f>
        <v/>
      </c>
      <c r="G1489" s="2" t="str">
        <f aca="false">IF(2キー同時!$B$383="","",IF(2キー同時!AB387="","",SUBSTITUTE(SUBSTITUTE(2キー同時!AB387," ",""),"　","")))</f>
        <v/>
      </c>
      <c r="H1489" s="2" t="str">
        <f aca="false">IF($G1489="","",2キー同時!$B$383)</f>
        <v/>
      </c>
      <c r="I1489" s="2" t="str">
        <f aca="false">IF($G1489="","","y")</f>
        <v/>
      </c>
      <c r="J1489" s="2" t="str">
        <f aca="false">""</f>
        <v/>
      </c>
      <c r="K1489" s="2" t="str">
        <f aca="false">""</f>
        <v/>
      </c>
      <c r="L1489" s="2" t="str">
        <f aca="false">IF($G1489="","","同時")</f>
        <v/>
      </c>
      <c r="M1489" s="2" t="str">
        <f aca="false">IF($G1489="","",IF(ISNA(MATCH($G1489,個別指定!$A:$A,0)),"行なし",""))</f>
        <v/>
      </c>
      <c r="N1489" s="2" t="str">
        <f aca="false">IF($G1489="","",IF(COUNTIF($G$2:$G$4460,$G1489)&gt;1,"重複",""))</f>
        <v/>
      </c>
    </row>
    <row r="1490" customFormat="false" ht="16.5" hidden="false" customHeight="true" outlineLevel="0" collapsed="false">
      <c r="A1490" s="2" t="s">
        <v>385</v>
      </c>
      <c r="B1490" s="2" t="s">
        <v>415</v>
      </c>
      <c r="C1490" s="2" t="s">
        <v>18</v>
      </c>
      <c r="D1490" s="2" t="str">
        <f aca="false">IF(2キー同時!$B$383="","",2キー同時!$B$383)</f>
        <v/>
      </c>
      <c r="E1490" s="2" t="str">
        <f aca="false">""</f>
        <v/>
      </c>
      <c r="F1490" s="2" t="str">
        <f aca="false">""</f>
        <v/>
      </c>
      <c r="G1490" s="2" t="str">
        <f aca="false">IF(2キー同時!$B$383="","",IF(2キー同時!AF387="","",SUBSTITUTE(SUBSTITUTE(2キー同時!AF387," ",""),"　","")))</f>
        <v/>
      </c>
      <c r="H1490" s="2" t="str">
        <f aca="false">IF($G1490="","",2キー同時!$B$383)</f>
        <v/>
      </c>
      <c r="I1490" s="2" t="str">
        <f aca="false">IF($G1490="","","u")</f>
        <v/>
      </c>
      <c r="J1490" s="2" t="str">
        <f aca="false">""</f>
        <v/>
      </c>
      <c r="K1490" s="2" t="str">
        <f aca="false">""</f>
        <v/>
      </c>
      <c r="L1490" s="2" t="str">
        <f aca="false">IF($G1490="","","同時")</f>
        <v/>
      </c>
      <c r="M1490" s="2" t="str">
        <f aca="false">IF($G1490="","",IF(ISNA(MATCH($G1490,個別指定!$A:$A,0)),"行なし",""))</f>
        <v/>
      </c>
      <c r="N1490" s="2" t="str">
        <f aca="false">IF($G1490="","",IF(COUNTIF($G$2:$G$4460,$G1490)&gt;1,"重複",""))</f>
        <v/>
      </c>
    </row>
    <row r="1491" customFormat="false" ht="16.5" hidden="false" customHeight="true" outlineLevel="0" collapsed="false">
      <c r="A1491" s="2" t="s">
        <v>385</v>
      </c>
      <c r="B1491" s="2" t="s">
        <v>415</v>
      </c>
      <c r="C1491" s="2" t="s">
        <v>19</v>
      </c>
      <c r="D1491" s="2" t="str">
        <f aca="false">IF(2キー同時!$B$383="","",2キー同時!$B$383)</f>
        <v/>
      </c>
      <c r="E1491" s="2" t="str">
        <f aca="false">""</f>
        <v/>
      </c>
      <c r="F1491" s="2" t="str">
        <f aca="false">""</f>
        <v/>
      </c>
      <c r="G1491" s="2" t="str">
        <f aca="false">IF(2キー同時!$B$383="","",IF(2キー同時!AJ387="","",SUBSTITUTE(SUBSTITUTE(2キー同時!AJ387," ",""),"　","")))</f>
        <v/>
      </c>
      <c r="H1491" s="2" t="str">
        <f aca="false">IF($G1491="","",2キー同時!$B$383)</f>
        <v/>
      </c>
      <c r="I1491" s="2" t="str">
        <f aca="false">IF($G1491="","","i")</f>
        <v/>
      </c>
      <c r="J1491" s="2" t="str">
        <f aca="false">""</f>
        <v/>
      </c>
      <c r="K1491" s="2" t="str">
        <f aca="false">""</f>
        <v/>
      </c>
      <c r="L1491" s="2" t="str">
        <f aca="false">IF($G1491="","","同時")</f>
        <v/>
      </c>
      <c r="M1491" s="2" t="str">
        <f aca="false">IF($G1491="","",IF(ISNA(MATCH($G1491,個別指定!$A:$A,0)),"行なし",""))</f>
        <v/>
      </c>
      <c r="N1491" s="2" t="str">
        <f aca="false">IF($G1491="","",IF(COUNTIF($G$2:$G$4460,$G1491)&gt;1,"重複",""))</f>
        <v/>
      </c>
    </row>
    <row r="1492" customFormat="false" ht="16.5" hidden="false" customHeight="true" outlineLevel="0" collapsed="false">
      <c r="A1492" s="2" t="s">
        <v>385</v>
      </c>
      <c r="B1492" s="2" t="s">
        <v>415</v>
      </c>
      <c r="C1492" s="2" t="s">
        <v>20</v>
      </c>
      <c r="D1492" s="2" t="str">
        <f aca="false">IF(2キー同時!$B$383="","",2キー同時!$B$383)</f>
        <v/>
      </c>
      <c r="E1492" s="2" t="str">
        <f aca="false">""</f>
        <v/>
      </c>
      <c r="F1492" s="2" t="str">
        <f aca="false">""</f>
        <v/>
      </c>
      <c r="G1492" s="2" t="str">
        <f aca="false">IF(2キー同時!$B$383="","",IF(2キー同時!AN387="","",SUBSTITUTE(SUBSTITUTE(2キー同時!AN387," ",""),"　","")))</f>
        <v/>
      </c>
      <c r="H1492" s="2" t="str">
        <f aca="false">IF($G1492="","",2キー同時!$B$383)</f>
        <v/>
      </c>
      <c r="I1492" s="2" t="str">
        <f aca="false">IF($G1492="","","o")</f>
        <v/>
      </c>
      <c r="J1492" s="2" t="str">
        <f aca="false">""</f>
        <v/>
      </c>
      <c r="K1492" s="2" t="str">
        <f aca="false">""</f>
        <v/>
      </c>
      <c r="L1492" s="2" t="str">
        <f aca="false">IF($G1492="","","同時")</f>
        <v/>
      </c>
      <c r="M1492" s="2" t="str">
        <f aca="false">IF($G1492="","",IF(ISNA(MATCH($G1492,個別指定!$A:$A,0)),"行なし",""))</f>
        <v/>
      </c>
      <c r="N1492" s="2" t="str">
        <f aca="false">IF($G1492="","",IF(COUNTIF($G$2:$G$4460,$G1492)&gt;1,"重複",""))</f>
        <v/>
      </c>
    </row>
    <row r="1493" customFormat="false" ht="16.5" hidden="false" customHeight="true" outlineLevel="0" collapsed="false">
      <c r="A1493" s="2" t="s">
        <v>385</v>
      </c>
      <c r="B1493" s="2" t="s">
        <v>415</v>
      </c>
      <c r="C1493" s="2" t="s">
        <v>21</v>
      </c>
      <c r="D1493" s="2" t="str">
        <f aca="false">IF(2キー同時!$B$383="","",2キー同時!$B$383)</f>
        <v/>
      </c>
      <c r="E1493" s="2" t="str">
        <f aca="false">""</f>
        <v/>
      </c>
      <c r="F1493" s="2" t="str">
        <f aca="false">""</f>
        <v/>
      </c>
      <c r="G1493" s="2" t="str">
        <f aca="false">IF(2キー同時!$B$383="","",IF(2キー同時!AR387="","",SUBSTITUTE(SUBSTITUTE(2キー同時!AR387," ",""),"　","")))</f>
        <v/>
      </c>
      <c r="H1493" s="2" t="str">
        <f aca="false">IF($G1493="","",2キー同時!$B$383)</f>
        <v/>
      </c>
      <c r="I1493" s="2" t="str">
        <f aca="false">IF($G1493="","","p")</f>
        <v/>
      </c>
      <c r="J1493" s="2" t="str">
        <f aca="false">""</f>
        <v/>
      </c>
      <c r="K1493" s="2" t="str">
        <f aca="false">""</f>
        <v/>
      </c>
      <c r="L1493" s="2" t="str">
        <f aca="false">IF($G1493="","","同時")</f>
        <v/>
      </c>
      <c r="M1493" s="2" t="str">
        <f aca="false">IF($G1493="","",IF(ISNA(MATCH($G1493,個別指定!$A:$A,0)),"行なし",""))</f>
        <v/>
      </c>
      <c r="N1493" s="2" t="str">
        <f aca="false">IF($G1493="","",IF(COUNTIF($G$2:$G$4460,$G1493)&gt;1,"重複",""))</f>
        <v/>
      </c>
    </row>
    <row r="1494" customFormat="false" ht="16.5" hidden="false" customHeight="true" outlineLevel="0" collapsed="false">
      <c r="A1494" s="2" t="s">
        <v>385</v>
      </c>
      <c r="B1494" s="2" t="s">
        <v>415</v>
      </c>
      <c r="C1494" s="2" t="s">
        <v>22</v>
      </c>
      <c r="D1494" s="2" t="str">
        <f aca="false">IF(2キー同時!$B$383="","",2キー同時!$B$383)</f>
        <v/>
      </c>
      <c r="E1494" s="2" t="str">
        <f aca="false">""</f>
        <v/>
      </c>
      <c r="F1494" s="2" t="str">
        <f aca="false">""</f>
        <v/>
      </c>
      <c r="G1494" s="2" t="str">
        <f aca="false">IF(2キー同時!$B$383="","",IF(2キー同時!AV387="","",SUBSTITUTE(SUBSTITUTE(2キー同時!AV387," ",""),"　","")))</f>
        <v/>
      </c>
      <c r="H1494" s="2" t="str">
        <f aca="false">IF($G1494="","",2キー同時!$B$383)</f>
        <v/>
      </c>
      <c r="I1494" s="2" t="str">
        <f aca="false">IF($G1494="","","[")</f>
        <v/>
      </c>
      <c r="J1494" s="2" t="str">
        <f aca="false">""</f>
        <v/>
      </c>
      <c r="K1494" s="2" t="str">
        <f aca="false">""</f>
        <v/>
      </c>
      <c r="L1494" s="2" t="str">
        <f aca="false">IF($G1494="","","同時")</f>
        <v/>
      </c>
      <c r="M1494" s="2" t="str">
        <f aca="false">IF($G1494="","",IF(ISNA(MATCH($G1494,個別指定!$A:$A,0)),"行なし",""))</f>
        <v/>
      </c>
      <c r="N1494" s="2" t="str">
        <f aca="false">IF($G1494="","",IF(COUNTIF($G$2:$G$4460,$G1494)&gt;1,"重複",""))</f>
        <v/>
      </c>
    </row>
    <row r="1495" customFormat="false" ht="16.5" hidden="false" customHeight="true" outlineLevel="0" collapsed="false">
      <c r="A1495" s="2" t="s">
        <v>385</v>
      </c>
      <c r="B1495" s="2" t="s">
        <v>415</v>
      </c>
      <c r="C1495" s="2" t="s">
        <v>23</v>
      </c>
      <c r="D1495" s="2" t="str">
        <f aca="false">IF(2キー同時!$B$383="","",2キー同時!$B$383)</f>
        <v/>
      </c>
      <c r="E1495" s="2" t="str">
        <f aca="false">""</f>
        <v/>
      </c>
      <c r="F1495" s="2" t="str">
        <f aca="false">""</f>
        <v/>
      </c>
      <c r="G1495" s="2" t="str">
        <f aca="false">IF(2キー同時!$B$383="","",IF(2キー同時!AZ387="","",SUBSTITUTE(SUBSTITUTE(2キー同時!AZ387," ",""),"　","")))</f>
        <v/>
      </c>
      <c r="H1495" s="2" t="str">
        <f aca="false">IF($G1495="","",2キー同時!$B$383)</f>
        <v/>
      </c>
      <c r="I1495" s="2" t="str">
        <f aca="false">IF($G1495="","","]")</f>
        <v/>
      </c>
      <c r="J1495" s="2" t="str">
        <f aca="false">""</f>
        <v/>
      </c>
      <c r="K1495" s="2" t="str">
        <f aca="false">""</f>
        <v/>
      </c>
      <c r="L1495" s="2" t="str">
        <f aca="false">IF($G1495="","","同時")</f>
        <v/>
      </c>
      <c r="M1495" s="2" t="str">
        <f aca="false">IF($G1495="","",IF(ISNA(MATCH($G1495,個別指定!$A:$A,0)),"行なし",""))</f>
        <v/>
      </c>
      <c r="N1495" s="2" t="str">
        <f aca="false">IF($G1495="","",IF(COUNTIF($G$2:$G$4460,$G1495)&gt;1,"重複",""))</f>
        <v/>
      </c>
    </row>
    <row r="1496" customFormat="false" ht="16.5" hidden="false" customHeight="true" outlineLevel="0" collapsed="false">
      <c r="A1496" s="2" t="s">
        <v>385</v>
      </c>
      <c r="B1496" s="2" t="s">
        <v>415</v>
      </c>
      <c r="C1496" s="2" t="s">
        <v>24</v>
      </c>
      <c r="D1496" s="2" t="str">
        <f aca="false">IF(2キー同時!$B$383="","",2キー同時!$B$383)</f>
        <v/>
      </c>
      <c r="E1496" s="2" t="str">
        <f aca="false">""</f>
        <v/>
      </c>
      <c r="F1496" s="2" t="str">
        <f aca="false">""</f>
        <v/>
      </c>
      <c r="G1496" s="2" t="str">
        <f aca="false">IF(2キー同時!$B$383="","",IF(2キー同時!I389="","",SUBSTITUTE(SUBSTITUTE(2キー同時!I389," ",""),"　","")))</f>
        <v/>
      </c>
      <c r="H1496" s="2" t="str">
        <f aca="false">IF($G1496="","",2キー同時!$B$383)</f>
        <v/>
      </c>
      <c r="I1496" s="2" t="str">
        <f aca="false">IF($G1496="","","a")</f>
        <v/>
      </c>
      <c r="J1496" s="2" t="str">
        <f aca="false">""</f>
        <v/>
      </c>
      <c r="K1496" s="2" t="str">
        <f aca="false">""</f>
        <v/>
      </c>
      <c r="L1496" s="2" t="str">
        <f aca="false">IF($G1496="","","同時")</f>
        <v/>
      </c>
      <c r="M1496" s="2" t="str">
        <f aca="false">IF($G1496="","",IF(ISNA(MATCH($G1496,個別指定!$A:$A,0)),"行なし",""))</f>
        <v/>
      </c>
      <c r="N1496" s="2" t="str">
        <f aca="false">IF($G1496="","",IF(COUNTIF($G$2:$G$4460,$G1496)&gt;1,"重複",""))</f>
        <v/>
      </c>
    </row>
    <row r="1497" customFormat="false" ht="16.5" hidden="false" customHeight="true" outlineLevel="0" collapsed="false">
      <c r="A1497" s="2" t="s">
        <v>385</v>
      </c>
      <c r="B1497" s="2" t="s">
        <v>415</v>
      </c>
      <c r="C1497" s="2" t="s">
        <v>25</v>
      </c>
      <c r="D1497" s="2" t="str">
        <f aca="false">IF(2キー同時!$B$383="","",2キー同時!$B$383)</f>
        <v/>
      </c>
      <c r="E1497" s="2" t="str">
        <f aca="false">""</f>
        <v/>
      </c>
      <c r="F1497" s="2" t="str">
        <f aca="false">""</f>
        <v/>
      </c>
      <c r="G1497" s="2" t="str">
        <f aca="false">IF(2キー同時!$B$383="","",IF(2キー同時!M389="","",SUBSTITUTE(SUBSTITUTE(2キー同時!M389," ",""),"　","")))</f>
        <v/>
      </c>
      <c r="H1497" s="2" t="str">
        <f aca="false">IF($G1497="","",2キー同時!$B$383)</f>
        <v/>
      </c>
      <c r="I1497" s="2" t="str">
        <f aca="false">IF($G1497="","","s")</f>
        <v/>
      </c>
      <c r="J1497" s="2" t="str">
        <f aca="false">""</f>
        <v/>
      </c>
      <c r="K1497" s="2" t="str">
        <f aca="false">""</f>
        <v/>
      </c>
      <c r="L1497" s="2" t="str">
        <f aca="false">IF($G1497="","","同時")</f>
        <v/>
      </c>
      <c r="M1497" s="2" t="str">
        <f aca="false">IF($G1497="","",IF(ISNA(MATCH($G1497,個別指定!$A:$A,0)),"行なし",""))</f>
        <v/>
      </c>
      <c r="N1497" s="2" t="str">
        <f aca="false">IF($G1497="","",IF(COUNTIF($G$2:$G$4460,$G1497)&gt;1,"重複",""))</f>
        <v/>
      </c>
    </row>
    <row r="1498" customFormat="false" ht="16.5" hidden="false" customHeight="true" outlineLevel="0" collapsed="false">
      <c r="A1498" s="2" t="s">
        <v>385</v>
      </c>
      <c r="B1498" s="2" t="s">
        <v>415</v>
      </c>
      <c r="C1498" s="2" t="s">
        <v>26</v>
      </c>
      <c r="D1498" s="2" t="str">
        <f aca="false">IF(2キー同時!$B$383="","",2キー同時!$B$383)</f>
        <v/>
      </c>
      <c r="E1498" s="2" t="str">
        <f aca="false">""</f>
        <v/>
      </c>
      <c r="F1498" s="2" t="str">
        <f aca="false">""</f>
        <v/>
      </c>
      <c r="G1498" s="2" t="str">
        <f aca="false">IF(2キー同時!$B$383="","",IF(2キー同時!Q389="","",SUBSTITUTE(SUBSTITUTE(2キー同時!Q389," ",""),"　","")))</f>
        <v/>
      </c>
      <c r="H1498" s="2" t="str">
        <f aca="false">IF($G1498="","",2キー同時!$B$383)</f>
        <v/>
      </c>
      <c r="I1498" s="2" t="str">
        <f aca="false">IF($G1498="","","d")</f>
        <v/>
      </c>
      <c r="J1498" s="2" t="str">
        <f aca="false">""</f>
        <v/>
      </c>
      <c r="K1498" s="2" t="str">
        <f aca="false">""</f>
        <v/>
      </c>
      <c r="L1498" s="2" t="str">
        <f aca="false">IF($G1498="","","同時")</f>
        <v/>
      </c>
      <c r="M1498" s="2" t="str">
        <f aca="false">IF($G1498="","",IF(ISNA(MATCH($G1498,個別指定!$A:$A,0)),"行なし",""))</f>
        <v/>
      </c>
      <c r="N1498" s="2" t="str">
        <f aca="false">IF($G1498="","",IF(COUNTIF($G$2:$G$4460,$G1498)&gt;1,"重複",""))</f>
        <v/>
      </c>
    </row>
    <row r="1499" customFormat="false" ht="16.5" hidden="false" customHeight="true" outlineLevel="0" collapsed="false">
      <c r="A1499" s="2" t="s">
        <v>385</v>
      </c>
      <c r="B1499" s="2" t="s">
        <v>415</v>
      </c>
      <c r="C1499" s="2" t="s">
        <v>27</v>
      </c>
      <c r="D1499" s="2" t="str">
        <f aca="false">IF(2キー同時!$B$383="","",2キー同時!$B$383)</f>
        <v/>
      </c>
      <c r="E1499" s="2" t="str">
        <f aca="false">""</f>
        <v/>
      </c>
      <c r="F1499" s="2" t="str">
        <f aca="false">""</f>
        <v/>
      </c>
      <c r="G1499" s="2" t="str">
        <f aca="false">IF(2キー同時!$B$383="","",IF(2キー同時!U389="","",SUBSTITUTE(SUBSTITUTE(2キー同時!U389," ",""),"　","")))</f>
        <v/>
      </c>
      <c r="H1499" s="2" t="str">
        <f aca="false">IF($G1499="","",2キー同時!$B$383)</f>
        <v/>
      </c>
      <c r="I1499" s="2" t="str">
        <f aca="false">IF($G1499="","","f")</f>
        <v/>
      </c>
      <c r="J1499" s="2" t="str">
        <f aca="false">""</f>
        <v/>
      </c>
      <c r="K1499" s="2" t="str">
        <f aca="false">""</f>
        <v/>
      </c>
      <c r="L1499" s="2" t="str">
        <f aca="false">IF($G1499="","","同時")</f>
        <v/>
      </c>
      <c r="M1499" s="2" t="str">
        <f aca="false">IF($G1499="","",IF(ISNA(MATCH($G1499,個別指定!$A:$A,0)),"行なし",""))</f>
        <v/>
      </c>
      <c r="N1499" s="2" t="str">
        <f aca="false">IF($G1499="","",IF(COUNTIF($G$2:$G$4460,$G1499)&gt;1,"重複",""))</f>
        <v/>
      </c>
    </row>
    <row r="1500" customFormat="false" ht="16.5" hidden="false" customHeight="true" outlineLevel="0" collapsed="false">
      <c r="A1500" s="2" t="s">
        <v>385</v>
      </c>
      <c r="B1500" s="2" t="s">
        <v>415</v>
      </c>
      <c r="C1500" s="2" t="s">
        <v>28</v>
      </c>
      <c r="D1500" s="2" t="str">
        <f aca="false">IF(2キー同時!$B$383="","",2キー同時!$B$383)</f>
        <v/>
      </c>
      <c r="E1500" s="2" t="str">
        <f aca="false">""</f>
        <v/>
      </c>
      <c r="F1500" s="2" t="str">
        <f aca="false">""</f>
        <v/>
      </c>
      <c r="G1500" s="2" t="str">
        <f aca="false">IF(2キー同時!$B$383="","",IF(2キー同時!Y389="","",SUBSTITUTE(SUBSTITUTE(2キー同時!Y389," ",""),"　","")))</f>
        <v/>
      </c>
      <c r="H1500" s="2" t="str">
        <f aca="false">IF($G1500="","",2キー同時!$B$383)</f>
        <v/>
      </c>
      <c r="I1500" s="2" t="str">
        <f aca="false">IF($G1500="","","g")</f>
        <v/>
      </c>
      <c r="J1500" s="2" t="str">
        <f aca="false">""</f>
        <v/>
      </c>
      <c r="K1500" s="2" t="str">
        <f aca="false">""</f>
        <v/>
      </c>
      <c r="L1500" s="2" t="str">
        <f aca="false">IF($G1500="","","同時")</f>
        <v/>
      </c>
      <c r="M1500" s="2" t="str">
        <f aca="false">IF($G1500="","",IF(ISNA(MATCH($G1500,個別指定!$A:$A,0)),"行なし",""))</f>
        <v/>
      </c>
      <c r="N1500" s="2" t="str">
        <f aca="false">IF($G1500="","",IF(COUNTIF($G$2:$G$4460,$G1500)&gt;1,"重複",""))</f>
        <v/>
      </c>
    </row>
    <row r="1501" customFormat="false" ht="16.5" hidden="false" customHeight="true" outlineLevel="0" collapsed="false">
      <c r="A1501" s="2" t="s">
        <v>385</v>
      </c>
      <c r="B1501" s="2" t="s">
        <v>415</v>
      </c>
      <c r="C1501" s="2" t="s">
        <v>29</v>
      </c>
      <c r="D1501" s="2" t="str">
        <f aca="false">IF(2キー同時!$B$383="","",2キー同時!$B$383)</f>
        <v/>
      </c>
      <c r="E1501" s="2" t="str">
        <f aca="false">""</f>
        <v/>
      </c>
      <c r="F1501" s="2" t="str">
        <f aca="false">""</f>
        <v/>
      </c>
      <c r="G1501" s="2" t="str">
        <f aca="false">IF(2キー同時!$B$383="","",IF(2キー同時!AC389="","",SUBSTITUTE(SUBSTITUTE(2キー同時!AC389," ",""),"　","")))</f>
        <v/>
      </c>
      <c r="H1501" s="2" t="str">
        <f aca="false">IF($G1501="","",2キー同時!$B$383)</f>
        <v/>
      </c>
      <c r="I1501" s="2" t="str">
        <f aca="false">IF($G1501="","","h")</f>
        <v/>
      </c>
      <c r="J1501" s="2" t="str">
        <f aca="false">""</f>
        <v/>
      </c>
      <c r="K1501" s="2" t="str">
        <f aca="false">""</f>
        <v/>
      </c>
      <c r="L1501" s="2" t="str">
        <f aca="false">IF($G1501="","","同時")</f>
        <v/>
      </c>
      <c r="M1501" s="2" t="str">
        <f aca="false">IF($G1501="","",IF(ISNA(MATCH($G1501,個別指定!$A:$A,0)),"行なし",""))</f>
        <v/>
      </c>
      <c r="N1501" s="2" t="str">
        <f aca="false">IF($G1501="","",IF(COUNTIF($G$2:$G$4460,$G1501)&gt;1,"重複",""))</f>
        <v/>
      </c>
    </row>
    <row r="1502" customFormat="false" ht="16.5" hidden="false" customHeight="true" outlineLevel="0" collapsed="false">
      <c r="A1502" s="2" t="s">
        <v>385</v>
      </c>
      <c r="B1502" s="2" t="s">
        <v>415</v>
      </c>
      <c r="C1502" s="2" t="s">
        <v>30</v>
      </c>
      <c r="D1502" s="2" t="str">
        <f aca="false">IF(2キー同時!$B$383="","",2キー同時!$B$383)</f>
        <v/>
      </c>
      <c r="E1502" s="2" t="str">
        <f aca="false">""</f>
        <v/>
      </c>
      <c r="F1502" s="2" t="str">
        <f aca="false">""</f>
        <v/>
      </c>
      <c r="G1502" s="2" t="str">
        <f aca="false">IF(2キー同時!$B$383="","",IF(2キー同時!AG389="","",SUBSTITUTE(SUBSTITUTE(2キー同時!AG389," ",""),"　","")))</f>
        <v/>
      </c>
      <c r="H1502" s="2" t="str">
        <f aca="false">IF($G1502="","",2キー同時!$B$383)</f>
        <v/>
      </c>
      <c r="I1502" s="2" t="str">
        <f aca="false">IF($G1502="","","j")</f>
        <v/>
      </c>
      <c r="J1502" s="2" t="str">
        <f aca="false">""</f>
        <v/>
      </c>
      <c r="K1502" s="2" t="str">
        <f aca="false">""</f>
        <v/>
      </c>
      <c r="L1502" s="2" t="str">
        <f aca="false">IF($G1502="","","同時")</f>
        <v/>
      </c>
      <c r="M1502" s="2" t="str">
        <f aca="false">IF($G1502="","",IF(ISNA(MATCH($G1502,個別指定!$A:$A,0)),"行なし",""))</f>
        <v/>
      </c>
      <c r="N1502" s="2" t="str">
        <f aca="false">IF($G1502="","",IF(COUNTIF($G$2:$G$4460,$G1502)&gt;1,"重複",""))</f>
        <v/>
      </c>
    </row>
    <row r="1503" customFormat="false" ht="16.5" hidden="false" customHeight="true" outlineLevel="0" collapsed="false">
      <c r="A1503" s="2" t="s">
        <v>385</v>
      </c>
      <c r="B1503" s="2" t="s">
        <v>415</v>
      </c>
      <c r="C1503" s="2" t="s">
        <v>31</v>
      </c>
      <c r="D1503" s="2" t="str">
        <f aca="false">IF(2キー同時!$B$383="","",2キー同時!$B$383)</f>
        <v/>
      </c>
      <c r="E1503" s="2" t="str">
        <f aca="false">""</f>
        <v/>
      </c>
      <c r="F1503" s="2" t="str">
        <f aca="false">""</f>
        <v/>
      </c>
      <c r="G1503" s="2" t="str">
        <f aca="false">IF(2キー同時!$B$383="","",IF(2キー同時!AK389="","",SUBSTITUTE(SUBSTITUTE(2キー同時!AK389," ",""),"　","")))</f>
        <v/>
      </c>
      <c r="H1503" s="2" t="str">
        <f aca="false">IF($G1503="","",2キー同時!$B$383)</f>
        <v/>
      </c>
      <c r="I1503" s="2" t="str">
        <f aca="false">IF($G1503="","","k")</f>
        <v/>
      </c>
      <c r="J1503" s="2" t="str">
        <f aca="false">""</f>
        <v/>
      </c>
      <c r="K1503" s="2" t="str">
        <f aca="false">""</f>
        <v/>
      </c>
      <c r="L1503" s="2" t="str">
        <f aca="false">IF($G1503="","","同時")</f>
        <v/>
      </c>
      <c r="M1503" s="2" t="str">
        <f aca="false">IF($G1503="","",IF(ISNA(MATCH($G1503,個別指定!$A:$A,0)),"行なし",""))</f>
        <v/>
      </c>
      <c r="N1503" s="2" t="str">
        <f aca="false">IF($G1503="","",IF(COUNTIF($G$2:$G$4460,$G1503)&gt;1,"重複",""))</f>
        <v/>
      </c>
    </row>
    <row r="1504" customFormat="false" ht="16.5" hidden="false" customHeight="true" outlineLevel="0" collapsed="false">
      <c r="A1504" s="2" t="s">
        <v>385</v>
      </c>
      <c r="B1504" s="2" t="s">
        <v>415</v>
      </c>
      <c r="C1504" s="2" t="s">
        <v>32</v>
      </c>
      <c r="D1504" s="2" t="str">
        <f aca="false">IF(2キー同時!$B$383="","",2キー同時!$B$383)</f>
        <v/>
      </c>
      <c r="E1504" s="2" t="str">
        <f aca="false">""</f>
        <v/>
      </c>
      <c r="F1504" s="2" t="str">
        <f aca="false">""</f>
        <v/>
      </c>
      <c r="G1504" s="2" t="str">
        <f aca="false">IF(2キー同時!$B$383="","",IF(2キー同時!AO389="","",SUBSTITUTE(SUBSTITUTE(2キー同時!AO389," ",""),"　","")))</f>
        <v/>
      </c>
      <c r="H1504" s="2" t="str">
        <f aca="false">IF($G1504="","",2キー同時!$B$383)</f>
        <v/>
      </c>
      <c r="I1504" s="2" t="str">
        <f aca="false">IF($G1504="","","l")</f>
        <v/>
      </c>
      <c r="J1504" s="2" t="str">
        <f aca="false">""</f>
        <v/>
      </c>
      <c r="K1504" s="2" t="str">
        <f aca="false">""</f>
        <v/>
      </c>
      <c r="L1504" s="2" t="str">
        <f aca="false">IF($G1504="","","同時")</f>
        <v/>
      </c>
      <c r="M1504" s="2" t="str">
        <f aca="false">IF($G1504="","",IF(ISNA(MATCH($G1504,個別指定!$A:$A,0)),"行なし",""))</f>
        <v/>
      </c>
      <c r="N1504" s="2" t="str">
        <f aca="false">IF($G1504="","",IF(COUNTIF($G$2:$G$4460,$G1504)&gt;1,"重複",""))</f>
        <v/>
      </c>
    </row>
    <row r="1505" customFormat="false" ht="16.5" hidden="false" customHeight="true" outlineLevel="0" collapsed="false">
      <c r="A1505" s="2" t="s">
        <v>385</v>
      </c>
      <c r="B1505" s="2" t="s">
        <v>415</v>
      </c>
      <c r="C1505" s="2" t="s">
        <v>33</v>
      </c>
      <c r="D1505" s="2" t="str">
        <f aca="false">IF(2キー同時!$B$383="","",2キー同時!$B$383)</f>
        <v/>
      </c>
      <c r="E1505" s="2" t="str">
        <f aca="false">""</f>
        <v/>
      </c>
      <c r="F1505" s="2" t="str">
        <f aca="false">""</f>
        <v/>
      </c>
      <c r="G1505" s="2" t="str">
        <f aca="false">IF(2キー同時!$B$383="","",IF(2キー同時!AS389="","",SUBSTITUTE(SUBSTITUTE(2キー同時!AS389," ",""),"　","")))</f>
        <v/>
      </c>
      <c r="H1505" s="2" t="str">
        <f aca="false">IF($G1505="","",2キー同時!$B$383)</f>
        <v/>
      </c>
      <c r="I1505" s="2" t="str">
        <f aca="false">IF($G1505="","",";")</f>
        <v/>
      </c>
      <c r="J1505" s="2" t="str">
        <f aca="false">""</f>
        <v/>
      </c>
      <c r="K1505" s="2" t="str">
        <f aca="false">""</f>
        <v/>
      </c>
      <c r="L1505" s="2" t="str">
        <f aca="false">IF($G1505="","","同時")</f>
        <v/>
      </c>
      <c r="M1505" s="2" t="str">
        <f aca="false">IF($G1505="","",IF(ISNA(MATCH($G1505,個別指定!$A:$A,0)),"行なし",""))</f>
        <v/>
      </c>
      <c r="N1505" s="2" t="str">
        <f aca="false">IF($G1505="","",IF(COUNTIF($G$2:$G$4460,$G1505)&gt;1,"重複",""))</f>
        <v/>
      </c>
    </row>
    <row r="1506" customFormat="false" ht="16.5" hidden="false" customHeight="true" outlineLevel="0" collapsed="false">
      <c r="A1506" s="2" t="s">
        <v>385</v>
      </c>
      <c r="B1506" s="2" t="s">
        <v>415</v>
      </c>
      <c r="C1506" s="2" t="s">
        <v>34</v>
      </c>
      <c r="D1506" s="2" t="str">
        <f aca="false">IF(2キー同時!$B$383="","",2キー同時!$B$383)</f>
        <v/>
      </c>
      <c r="E1506" s="2" t="str">
        <f aca="false">""</f>
        <v/>
      </c>
      <c r="F1506" s="2" t="str">
        <f aca="false">""</f>
        <v/>
      </c>
      <c r="G1506" s="2" t="str">
        <f aca="false">IF(2キー同時!$B$383="","",IF(2キー同時!AW389="","",SUBSTITUTE(SUBSTITUTE(2キー同時!AW389," ",""),"　","")))</f>
        <v/>
      </c>
      <c r="H1506" s="2" t="str">
        <f aca="false">IF($G1506="","",2キー同時!$B$383)</f>
        <v/>
      </c>
      <c r="I1506" s="2" t="str">
        <f aca="false">IF($G1506="","","'")</f>
        <v/>
      </c>
      <c r="J1506" s="2" t="str">
        <f aca="false">""</f>
        <v/>
      </c>
      <c r="K1506" s="2" t="str">
        <f aca="false">""</f>
        <v/>
      </c>
      <c r="L1506" s="2" t="str">
        <f aca="false">IF($G1506="","","同時")</f>
        <v/>
      </c>
      <c r="M1506" s="2" t="str">
        <f aca="false">IF($G1506="","",IF(ISNA(MATCH($G1506,個別指定!$A:$A,0)),"行なし",""))</f>
        <v/>
      </c>
      <c r="N1506" s="2" t="str">
        <f aca="false">IF($G1506="","",IF(COUNTIF($G$2:$G$4460,$G1506)&gt;1,"重複",""))</f>
        <v/>
      </c>
    </row>
    <row r="1507" customFormat="false" ht="16.5" hidden="false" customHeight="true" outlineLevel="0" collapsed="false">
      <c r="A1507" s="2" t="s">
        <v>385</v>
      </c>
      <c r="B1507" s="2" t="s">
        <v>415</v>
      </c>
      <c r="C1507" s="2" t="s">
        <v>35</v>
      </c>
      <c r="D1507" s="2" t="str">
        <f aca="false">IF(2キー同時!$B$383="","",2キー同時!$B$383)</f>
        <v/>
      </c>
      <c r="E1507" s="2" t="str">
        <f aca="false">""</f>
        <v/>
      </c>
      <c r="F1507" s="2" t="str">
        <f aca="false">""</f>
        <v/>
      </c>
      <c r="G1507" s="2" t="str">
        <f aca="false">IF(2キー同時!$B$383="","",IF(2キー同時!K391="","",SUBSTITUTE(SUBSTITUTE(2キー同時!K391," ",""),"　","")))</f>
        <v/>
      </c>
      <c r="H1507" s="2" t="str">
        <f aca="false">IF($G1507="","",2キー同時!$B$383)</f>
        <v/>
      </c>
      <c r="I1507" s="2" t="str">
        <f aca="false">IF($G1507="","","z")</f>
        <v/>
      </c>
      <c r="J1507" s="2" t="str">
        <f aca="false">""</f>
        <v/>
      </c>
      <c r="K1507" s="2" t="str">
        <f aca="false">""</f>
        <v/>
      </c>
      <c r="L1507" s="2" t="str">
        <f aca="false">IF($G1507="","","同時")</f>
        <v/>
      </c>
      <c r="M1507" s="2" t="str">
        <f aca="false">IF($G1507="","",IF(ISNA(MATCH($G1507,個別指定!$A:$A,0)),"行なし",""))</f>
        <v/>
      </c>
      <c r="N1507" s="2" t="str">
        <f aca="false">IF($G1507="","",IF(COUNTIF($G$2:$G$4460,$G1507)&gt;1,"重複",""))</f>
        <v/>
      </c>
    </row>
    <row r="1508" customFormat="false" ht="16.5" hidden="false" customHeight="true" outlineLevel="0" collapsed="false">
      <c r="A1508" s="2" t="s">
        <v>385</v>
      </c>
      <c r="B1508" s="2" t="s">
        <v>415</v>
      </c>
      <c r="C1508" s="2" t="s">
        <v>36</v>
      </c>
      <c r="D1508" s="2" t="str">
        <f aca="false">IF(2キー同時!$B$383="","",2キー同時!$B$383)</f>
        <v/>
      </c>
      <c r="E1508" s="2" t="str">
        <f aca="false">""</f>
        <v/>
      </c>
      <c r="F1508" s="2" t="str">
        <f aca="false">""</f>
        <v/>
      </c>
      <c r="G1508" s="2" t="str">
        <f aca="false">IF(2キー同時!$B$383="","",IF(2キー同時!O391="","",SUBSTITUTE(SUBSTITUTE(2キー同時!O391," ",""),"　","")))</f>
        <v/>
      </c>
      <c r="H1508" s="2" t="str">
        <f aca="false">IF($G1508="","",2キー同時!$B$383)</f>
        <v/>
      </c>
      <c r="I1508" s="2" t="str">
        <f aca="false">IF($G1508="","","x")</f>
        <v/>
      </c>
      <c r="J1508" s="2" t="str">
        <f aca="false">""</f>
        <v/>
      </c>
      <c r="K1508" s="2" t="str">
        <f aca="false">""</f>
        <v/>
      </c>
      <c r="L1508" s="2" t="str">
        <f aca="false">IF($G1508="","","同時")</f>
        <v/>
      </c>
      <c r="M1508" s="2" t="str">
        <f aca="false">IF($G1508="","",IF(ISNA(MATCH($G1508,個別指定!$A:$A,0)),"行なし",""))</f>
        <v/>
      </c>
      <c r="N1508" s="2" t="str">
        <f aca="false">IF($G1508="","",IF(COUNTIF($G$2:$G$4460,$G1508)&gt;1,"重複",""))</f>
        <v/>
      </c>
    </row>
    <row r="1509" customFormat="false" ht="16.5" hidden="false" customHeight="true" outlineLevel="0" collapsed="false">
      <c r="A1509" s="2" t="s">
        <v>385</v>
      </c>
      <c r="B1509" s="2" t="s">
        <v>415</v>
      </c>
      <c r="C1509" s="2" t="s">
        <v>37</v>
      </c>
      <c r="D1509" s="2" t="str">
        <f aca="false">IF(2キー同時!$B$383="","",2キー同時!$B$383)</f>
        <v/>
      </c>
      <c r="E1509" s="2" t="str">
        <f aca="false">""</f>
        <v/>
      </c>
      <c r="F1509" s="2" t="str">
        <f aca="false">""</f>
        <v/>
      </c>
      <c r="G1509" s="2" t="str">
        <f aca="false">IF(2キー同時!$B$383="","",IF(2キー同時!S391="","",SUBSTITUTE(SUBSTITUTE(2キー同時!S391," ",""),"　","")))</f>
        <v/>
      </c>
      <c r="H1509" s="2" t="str">
        <f aca="false">IF($G1509="","",2キー同時!$B$383)</f>
        <v/>
      </c>
      <c r="I1509" s="2" t="str">
        <f aca="false">IF($G1509="","","c")</f>
        <v/>
      </c>
      <c r="J1509" s="2" t="str">
        <f aca="false">""</f>
        <v/>
      </c>
      <c r="K1509" s="2" t="str">
        <f aca="false">""</f>
        <v/>
      </c>
      <c r="L1509" s="2" t="str">
        <f aca="false">IF($G1509="","","同時")</f>
        <v/>
      </c>
      <c r="M1509" s="2" t="str">
        <f aca="false">IF($G1509="","",IF(ISNA(MATCH($G1509,個別指定!$A:$A,0)),"行なし",""))</f>
        <v/>
      </c>
      <c r="N1509" s="2" t="str">
        <f aca="false">IF($G1509="","",IF(COUNTIF($G$2:$G$4460,$G1509)&gt;1,"重複",""))</f>
        <v/>
      </c>
    </row>
    <row r="1510" customFormat="false" ht="16.5" hidden="false" customHeight="true" outlineLevel="0" collapsed="false">
      <c r="A1510" s="2" t="s">
        <v>385</v>
      </c>
      <c r="B1510" s="2" t="s">
        <v>415</v>
      </c>
      <c r="C1510" s="2" t="s">
        <v>38</v>
      </c>
      <c r="D1510" s="2" t="str">
        <f aca="false">IF(2キー同時!$B$383="","",2キー同時!$B$383)</f>
        <v/>
      </c>
      <c r="E1510" s="2" t="str">
        <f aca="false">""</f>
        <v/>
      </c>
      <c r="F1510" s="2" t="str">
        <f aca="false">""</f>
        <v/>
      </c>
      <c r="G1510" s="2" t="str">
        <f aca="false">IF(2キー同時!$B$383="","",IF(2キー同時!W391="","",SUBSTITUTE(SUBSTITUTE(2キー同時!W391," ",""),"　","")))</f>
        <v/>
      </c>
      <c r="H1510" s="2" t="str">
        <f aca="false">IF($G1510="","",2キー同時!$B$383)</f>
        <v/>
      </c>
      <c r="I1510" s="2" t="str">
        <f aca="false">IF($G1510="","","v")</f>
        <v/>
      </c>
      <c r="J1510" s="2" t="str">
        <f aca="false">""</f>
        <v/>
      </c>
      <c r="K1510" s="2" t="str">
        <f aca="false">""</f>
        <v/>
      </c>
      <c r="L1510" s="2" t="str">
        <f aca="false">IF($G1510="","","同時")</f>
        <v/>
      </c>
      <c r="M1510" s="2" t="str">
        <f aca="false">IF($G1510="","",IF(ISNA(MATCH($G1510,個別指定!$A:$A,0)),"行なし",""))</f>
        <v/>
      </c>
      <c r="N1510" s="2" t="str">
        <f aca="false">IF($G1510="","",IF(COUNTIF($G$2:$G$4460,$G1510)&gt;1,"重複",""))</f>
        <v/>
      </c>
    </row>
    <row r="1511" customFormat="false" ht="16.5" hidden="false" customHeight="true" outlineLevel="0" collapsed="false">
      <c r="A1511" s="2" t="s">
        <v>385</v>
      </c>
      <c r="B1511" s="2" t="s">
        <v>415</v>
      </c>
      <c r="C1511" s="2" t="s">
        <v>39</v>
      </c>
      <c r="D1511" s="2" t="str">
        <f aca="false">IF(2キー同時!$B$383="","",2キー同時!$B$383)</f>
        <v/>
      </c>
      <c r="E1511" s="2" t="str">
        <f aca="false">""</f>
        <v/>
      </c>
      <c r="F1511" s="2" t="str">
        <f aca="false">""</f>
        <v/>
      </c>
      <c r="G1511" s="2" t="str">
        <f aca="false">IF(2キー同時!$B$383="","",IF(2キー同時!AA391="","",SUBSTITUTE(SUBSTITUTE(2キー同時!AA391," ",""),"　","")))</f>
        <v/>
      </c>
      <c r="H1511" s="2" t="str">
        <f aca="false">IF($G1511="","",2キー同時!$B$383)</f>
        <v/>
      </c>
      <c r="I1511" s="2" t="str">
        <f aca="false">IF($G1511="","","b")</f>
        <v/>
      </c>
      <c r="J1511" s="2" t="str">
        <f aca="false">""</f>
        <v/>
      </c>
      <c r="K1511" s="2" t="str">
        <f aca="false">""</f>
        <v/>
      </c>
      <c r="L1511" s="2" t="str">
        <f aca="false">IF($G1511="","","同時")</f>
        <v/>
      </c>
      <c r="M1511" s="2" t="str">
        <f aca="false">IF($G1511="","",IF(ISNA(MATCH($G1511,個別指定!$A:$A,0)),"行なし",""))</f>
        <v/>
      </c>
      <c r="N1511" s="2" t="str">
        <f aca="false">IF($G1511="","",IF(COUNTIF($G$2:$G$4460,$G1511)&gt;1,"重複",""))</f>
        <v/>
      </c>
    </row>
    <row r="1512" customFormat="false" ht="16.5" hidden="false" customHeight="true" outlineLevel="0" collapsed="false">
      <c r="A1512" s="2" t="s">
        <v>385</v>
      </c>
      <c r="B1512" s="2" t="s">
        <v>415</v>
      </c>
      <c r="C1512" s="2" t="s">
        <v>40</v>
      </c>
      <c r="D1512" s="2" t="str">
        <f aca="false">IF(2キー同時!$B$383="","",2キー同時!$B$383)</f>
        <v/>
      </c>
      <c r="E1512" s="2" t="str">
        <f aca="false">""</f>
        <v/>
      </c>
      <c r="F1512" s="2" t="str">
        <f aca="false">""</f>
        <v/>
      </c>
      <c r="G1512" s="2" t="str">
        <f aca="false">IF(2キー同時!$B$383="","",IF(2キー同時!AE391="","",SUBSTITUTE(SUBSTITUTE(2キー同時!AE391," ",""),"　","")))</f>
        <v/>
      </c>
      <c r="H1512" s="2" t="str">
        <f aca="false">IF($G1512="","",2キー同時!$B$383)</f>
        <v/>
      </c>
      <c r="I1512" s="2" t="str">
        <f aca="false">IF($G1512="","","n")</f>
        <v/>
      </c>
      <c r="J1512" s="2" t="str">
        <f aca="false">""</f>
        <v/>
      </c>
      <c r="K1512" s="2" t="str">
        <f aca="false">""</f>
        <v/>
      </c>
      <c r="L1512" s="2" t="str">
        <f aca="false">IF($G1512="","","同時")</f>
        <v/>
      </c>
      <c r="M1512" s="2" t="str">
        <f aca="false">IF($G1512="","",IF(ISNA(MATCH($G1512,個別指定!$A:$A,0)),"行なし",""))</f>
        <v/>
      </c>
      <c r="N1512" s="2" t="str">
        <f aca="false">IF($G1512="","",IF(COUNTIF($G$2:$G$4460,$G1512)&gt;1,"重複",""))</f>
        <v/>
      </c>
    </row>
    <row r="1513" customFormat="false" ht="16.5" hidden="false" customHeight="true" outlineLevel="0" collapsed="false">
      <c r="A1513" s="2" t="s">
        <v>385</v>
      </c>
      <c r="B1513" s="2" t="s">
        <v>415</v>
      </c>
      <c r="C1513" s="2" t="s">
        <v>41</v>
      </c>
      <c r="D1513" s="2" t="str">
        <f aca="false">IF(2キー同時!$B$383="","",2キー同時!$B$383)</f>
        <v/>
      </c>
      <c r="E1513" s="2" t="str">
        <f aca="false">""</f>
        <v/>
      </c>
      <c r="F1513" s="2" t="str">
        <f aca="false">""</f>
        <v/>
      </c>
      <c r="G1513" s="2" t="str">
        <f aca="false">IF(2キー同時!$B$383="","",IF(2キー同時!AI391="","",SUBSTITUTE(SUBSTITUTE(2キー同時!AI391," ",""),"　","")))</f>
        <v/>
      </c>
      <c r="H1513" s="2" t="str">
        <f aca="false">IF($G1513="","",2キー同時!$B$383)</f>
        <v/>
      </c>
      <c r="I1513" s="2" t="str">
        <f aca="false">IF($G1513="","","m")</f>
        <v/>
      </c>
      <c r="J1513" s="2" t="str">
        <f aca="false">""</f>
        <v/>
      </c>
      <c r="K1513" s="2" t="str">
        <f aca="false">""</f>
        <v/>
      </c>
      <c r="L1513" s="2" t="str">
        <f aca="false">IF($G1513="","","同時")</f>
        <v/>
      </c>
      <c r="M1513" s="2" t="str">
        <f aca="false">IF($G1513="","",IF(ISNA(MATCH($G1513,個別指定!$A:$A,0)),"行なし",""))</f>
        <v/>
      </c>
      <c r="N1513" s="2" t="str">
        <f aca="false">IF($G1513="","",IF(COUNTIF($G$2:$G$4460,$G1513)&gt;1,"重複",""))</f>
        <v/>
      </c>
    </row>
    <row r="1514" customFormat="false" ht="16.5" hidden="false" customHeight="true" outlineLevel="0" collapsed="false">
      <c r="A1514" s="2" t="s">
        <v>385</v>
      </c>
      <c r="B1514" s="2" t="s">
        <v>415</v>
      </c>
      <c r="C1514" s="2" t="s">
        <v>42</v>
      </c>
      <c r="D1514" s="2" t="str">
        <f aca="false">IF(2キー同時!$B$383="","",2キー同時!$B$383)</f>
        <v/>
      </c>
      <c r="E1514" s="2" t="str">
        <f aca="false">""</f>
        <v/>
      </c>
      <c r="F1514" s="2" t="str">
        <f aca="false">""</f>
        <v/>
      </c>
      <c r="G1514" s="2" t="str">
        <f aca="false">IF(2キー同時!$B$383="","",IF(2キー同時!AM391="","",SUBSTITUTE(SUBSTITUTE(2キー同時!AM391," ",""),"　","")))</f>
        <v/>
      </c>
      <c r="H1514" s="2" t="str">
        <f aca="false">IF($G1514="","",2キー同時!$B$383)</f>
        <v/>
      </c>
      <c r="I1514" s="2" t="str">
        <f aca="false">IF($G1514="","",",")</f>
        <v/>
      </c>
      <c r="J1514" s="2" t="str">
        <f aca="false">""</f>
        <v/>
      </c>
      <c r="K1514" s="2" t="str">
        <f aca="false">""</f>
        <v/>
      </c>
      <c r="L1514" s="2" t="str">
        <f aca="false">IF($G1514="","","同時")</f>
        <v/>
      </c>
      <c r="M1514" s="2" t="str">
        <f aca="false">IF($G1514="","",IF(ISNA(MATCH($G1514,個別指定!$A:$A,0)),"行なし",""))</f>
        <v/>
      </c>
      <c r="N1514" s="2" t="str">
        <f aca="false">IF($G1514="","",IF(COUNTIF($G$2:$G$4460,$G1514)&gt;1,"重複",""))</f>
        <v/>
      </c>
    </row>
    <row r="1515" customFormat="false" ht="16.5" hidden="false" customHeight="true" outlineLevel="0" collapsed="false">
      <c r="A1515" s="2" t="s">
        <v>385</v>
      </c>
      <c r="B1515" s="2" t="s">
        <v>415</v>
      </c>
      <c r="C1515" s="2" t="s">
        <v>43</v>
      </c>
      <c r="D1515" s="2" t="str">
        <f aca="false">IF(2キー同時!$B$383="","",2キー同時!$B$383)</f>
        <v/>
      </c>
      <c r="E1515" s="2" t="str">
        <f aca="false">""</f>
        <v/>
      </c>
      <c r="F1515" s="2" t="str">
        <f aca="false">""</f>
        <v/>
      </c>
      <c r="G1515" s="2" t="str">
        <f aca="false">IF(2キー同時!$B$383="","",IF(2キー同時!AQ391="","",SUBSTITUTE(SUBSTITUTE(2キー同時!AQ391," ",""),"　","")))</f>
        <v/>
      </c>
      <c r="H1515" s="2" t="str">
        <f aca="false">IF($G1515="","",2キー同時!$B$383)</f>
        <v/>
      </c>
      <c r="I1515" s="2" t="str">
        <f aca="false">IF($G1515="","",".")</f>
        <v/>
      </c>
      <c r="J1515" s="2" t="str">
        <f aca="false">""</f>
        <v/>
      </c>
      <c r="K1515" s="2" t="str">
        <f aca="false">""</f>
        <v/>
      </c>
      <c r="L1515" s="2" t="str">
        <f aca="false">IF($G1515="","","同時")</f>
        <v/>
      </c>
      <c r="M1515" s="2" t="str">
        <f aca="false">IF($G1515="","",IF(ISNA(MATCH($G1515,個別指定!$A:$A,0)),"行なし",""))</f>
        <v/>
      </c>
      <c r="N1515" s="2" t="str">
        <f aca="false">IF($G1515="","",IF(COUNTIF($G$2:$G$4460,$G1515)&gt;1,"重複",""))</f>
        <v/>
      </c>
    </row>
    <row r="1516" customFormat="false" ht="16.5" hidden="false" customHeight="true" outlineLevel="0" collapsed="false">
      <c r="A1516" s="2" t="s">
        <v>385</v>
      </c>
      <c r="B1516" s="2" t="s">
        <v>415</v>
      </c>
      <c r="C1516" s="2" t="s">
        <v>44</v>
      </c>
      <c r="D1516" s="2" t="str">
        <f aca="false">IF(2キー同時!$B$383="","",2キー同時!$B$383)</f>
        <v/>
      </c>
      <c r="E1516" s="2" t="str">
        <f aca="false">""</f>
        <v/>
      </c>
      <c r="F1516" s="2" t="str">
        <f aca="false">""</f>
        <v/>
      </c>
      <c r="G1516" s="2" t="str">
        <f aca="false">IF(2キー同時!$B$383="","",IF(2キー同時!AU391="","",SUBSTITUTE(SUBSTITUTE(2キー同時!AU391," ",""),"　","")))</f>
        <v/>
      </c>
      <c r="H1516" s="2" t="str">
        <f aca="false">IF($G1516="","",2キー同時!$B$383)</f>
        <v/>
      </c>
      <c r="I1516" s="2" t="str">
        <f aca="false">IF($G1516="","","/")</f>
        <v/>
      </c>
      <c r="J1516" s="2" t="str">
        <f aca="false">""</f>
        <v/>
      </c>
      <c r="K1516" s="2" t="str">
        <f aca="false">""</f>
        <v/>
      </c>
      <c r="L1516" s="2" t="str">
        <f aca="false">IF($G1516="","","同時")</f>
        <v/>
      </c>
      <c r="M1516" s="2" t="str">
        <f aca="false">IF($G1516="","",IF(ISNA(MATCH($G1516,個別指定!$A:$A,0)),"行なし",""))</f>
        <v/>
      </c>
      <c r="N1516" s="2" t="str">
        <f aca="false">IF($G1516="","",IF(COUNTIF($G$2:$G$4460,$G1516)&gt;1,"重複",""))</f>
        <v/>
      </c>
    </row>
    <row r="1517" customFormat="false" ht="16.5" hidden="false" customHeight="true" outlineLevel="0" collapsed="false">
      <c r="A1517" s="2" t="s">
        <v>385</v>
      </c>
      <c r="B1517" s="2" t="s">
        <v>415</v>
      </c>
      <c r="C1517" s="2" t="s">
        <v>48</v>
      </c>
      <c r="D1517" s="2" t="str">
        <f aca="false">IF(2キー同時!$B$383="","",2キー同時!$B$383)</f>
        <v/>
      </c>
      <c r="E1517" s="2" t="str">
        <f aca="false">""</f>
        <v/>
      </c>
      <c r="F1517" s="2" t="str">
        <f aca="false">""</f>
        <v/>
      </c>
      <c r="G1517" s="2" t="str">
        <f aca="false">IF(2キー同時!$B$383="","",IF(2キー同時!P393="","",SUBSTITUTE(SUBSTITUTE(2キー同時!P393," ",""),"　","")))</f>
        <v/>
      </c>
      <c r="H1517" s="2" t="str">
        <f aca="false">IF($G1517="","",2キー同時!$B$383)</f>
        <v/>
      </c>
      <c r="I1517" s="2" t="str">
        <f aca="false">IF($G1517="","","muhenkan")</f>
        <v/>
      </c>
      <c r="J1517" s="2" t="str">
        <f aca="false">""</f>
        <v/>
      </c>
      <c r="K1517" s="2" t="str">
        <f aca="false">""</f>
        <v/>
      </c>
      <c r="L1517" s="2" t="str">
        <f aca="false">IF($G1517="","","同時")</f>
        <v/>
      </c>
      <c r="M1517" s="2" t="str">
        <f aca="false">IF($G1517="","",IF(ISNA(MATCH($G1517,個別指定!$A:$A,0)),"行なし",""))</f>
        <v/>
      </c>
      <c r="N1517" s="2" t="str">
        <f aca="false">IF($G1517="","",IF(COUNTIF($G$2:$G$4460,$G1517)&gt;1,"重複",""))</f>
        <v/>
      </c>
    </row>
    <row r="1518" customFormat="false" ht="16.5" hidden="false" customHeight="true" outlineLevel="0" collapsed="false">
      <c r="A1518" s="2" t="s">
        <v>385</v>
      </c>
      <c r="B1518" s="2" t="s">
        <v>415</v>
      </c>
      <c r="C1518" s="2" t="s">
        <v>50</v>
      </c>
      <c r="D1518" s="2" t="str">
        <f aca="false">IF(2キー同時!$B$383="","",2キー同時!$B$383)</f>
        <v/>
      </c>
      <c r="E1518" s="2" t="str">
        <f aca="false">""</f>
        <v/>
      </c>
      <c r="F1518" s="2" t="str">
        <f aca="false">""</f>
        <v/>
      </c>
      <c r="G1518" s="2" t="str">
        <f aca="false">IF(2キー同時!$B$383="","",IF(2キー同時!T393="","",SUBSTITUTE(SUBSTITUTE(2キー同時!T393," ",""),"　","")))</f>
        <v/>
      </c>
      <c r="H1518" s="2" t="str">
        <f aca="false">IF($G1518="","",2キー同時!$B$383)</f>
        <v/>
      </c>
      <c r="I1518" s="2" t="str">
        <f aca="false">IF($G1518="","","space")</f>
        <v/>
      </c>
      <c r="J1518" s="2" t="str">
        <f aca="false">""</f>
        <v/>
      </c>
      <c r="K1518" s="2" t="str">
        <f aca="false">""</f>
        <v/>
      </c>
      <c r="L1518" s="2" t="str">
        <f aca="false">IF($G1518="","","同時")</f>
        <v/>
      </c>
      <c r="M1518" s="2" t="str">
        <f aca="false">IF($G1518="","",IF(ISNA(MATCH($G1518,個別指定!$A:$A,0)),"行なし",""))</f>
        <v/>
      </c>
      <c r="N1518" s="2" t="str">
        <f aca="false">IF($G1518="","",IF(COUNTIF($G$2:$G$4460,$G1518)&gt;1,"重複",""))</f>
        <v/>
      </c>
    </row>
    <row r="1519" customFormat="false" ht="16.5" hidden="false" customHeight="true" outlineLevel="0" collapsed="false">
      <c r="A1519" s="2" t="s">
        <v>385</v>
      </c>
      <c r="B1519" s="2" t="s">
        <v>415</v>
      </c>
      <c r="C1519" s="2" t="s">
        <v>45</v>
      </c>
      <c r="D1519" s="2" t="str">
        <f aca="false">IF(2キー同時!$B$383="","",2キー同時!$B$383)</f>
        <v/>
      </c>
      <c r="E1519" s="2" t="str">
        <f aca="false">""</f>
        <v/>
      </c>
      <c r="F1519" s="2" t="str">
        <f aca="false">""</f>
        <v/>
      </c>
      <c r="G1519" s="2" t="str">
        <f aca="false">IF(2キー同時!$B$383="","",IF(2キー同時!AL393="","",SUBSTITUTE(SUBSTITUTE(2キー同時!AL393," ",""),"　","")))</f>
        <v/>
      </c>
      <c r="H1519" s="2" t="str">
        <f aca="false">IF($G1519="","",2キー同時!$B$383)</f>
        <v/>
      </c>
      <c r="I1519" s="2" t="str">
        <f aca="false">IF($G1519="","","henkan")</f>
        <v/>
      </c>
      <c r="J1519" s="2" t="str">
        <f aca="false">""</f>
        <v/>
      </c>
      <c r="K1519" s="2" t="str">
        <f aca="false">""</f>
        <v/>
      </c>
      <c r="L1519" s="2" t="str">
        <f aca="false">IF($G1519="","","同時")</f>
        <v/>
      </c>
      <c r="M1519" s="2" t="str">
        <f aca="false">IF($G1519="","",IF(ISNA(MATCH($G1519,個別指定!$A:$A,0)),"行なし",""))</f>
        <v/>
      </c>
      <c r="N1519" s="2" t="str">
        <f aca="false">IF($G1519="","",IF(COUNTIF($G$2:$G$4460,$G1519)&gt;1,"重複",""))</f>
        <v/>
      </c>
    </row>
    <row r="1520" customFormat="false" ht="16.5" hidden="false" customHeight="true" outlineLevel="0" collapsed="false">
      <c r="A1520" s="2" t="s">
        <v>385</v>
      </c>
      <c r="B1520" s="2" t="s">
        <v>415</v>
      </c>
      <c r="C1520" s="2" t="s">
        <v>46</v>
      </c>
      <c r="D1520" s="2" t="str">
        <f aca="false">IF(2キー同時!$B$383="","",2キー同時!$B$383)</f>
        <v/>
      </c>
      <c r="E1520" s="2" t="str">
        <f aca="false">""</f>
        <v/>
      </c>
      <c r="F1520" s="2" t="str">
        <f aca="false">""</f>
        <v/>
      </c>
      <c r="G1520" s="2" t="str">
        <f aca="false">IF(2キー同時!$B$383="","",IF(2キー同時!AP393="","",SUBSTITUTE(SUBSTITUTE(2キー同時!AP393," ",""),"　","")))</f>
        <v/>
      </c>
      <c r="H1520" s="2" t="str">
        <f aca="false">IF($G1520="","",2キー同時!$B$383)</f>
        <v/>
      </c>
      <c r="I1520" s="2" t="str">
        <f aca="false">IF($G1520="","","kana")</f>
        <v/>
      </c>
      <c r="J1520" s="2" t="str">
        <f aca="false">""</f>
        <v/>
      </c>
      <c r="K1520" s="2" t="str">
        <f aca="false">""</f>
        <v/>
      </c>
      <c r="L1520" s="2" t="str">
        <f aca="false">IF($G1520="","","同時")</f>
        <v/>
      </c>
      <c r="M1520" s="2" t="str">
        <f aca="false">IF($G1520="","",IF(ISNA(MATCH($G1520,個別指定!$A:$A,0)),"行なし",""))</f>
        <v/>
      </c>
      <c r="N1520" s="2" t="str">
        <f aca="false">IF($G1520="","",IF(COUNTIF($G$2:$G$4460,$G1520)&gt;1,"重複",""))</f>
        <v/>
      </c>
    </row>
    <row r="1521" customFormat="false" ht="16.5" hidden="false" customHeight="true" outlineLevel="0" collapsed="false">
      <c r="A1521" s="2" t="s">
        <v>416</v>
      </c>
      <c r="B1521" s="2" t="s">
        <v>417</v>
      </c>
      <c r="C1521" s="2" t="s">
        <v>0</v>
      </c>
      <c r="D1521" s="2" t="str">
        <f aca="false">IF(3キー同時!$B$6="","",3キー同時!$B$6)</f>
        <v>h</v>
      </c>
      <c r="E1521" s="2" t="str">
        <f aca="false">IF(3キー同時!$G$6="","",3キー同時!$G$6)</f>
        <v>m</v>
      </c>
      <c r="F1521" s="2" t="str">
        <f aca="false">""</f>
        <v/>
      </c>
      <c r="G1521" s="2" t="str">
        <f aca="false">IF(OR(3キー同時!$B$6="",3キー同時!$G$6=""),"",IF(3キー同時!F8="","",SUBSTITUTE(SUBSTITUTE(3キー同時!F8," ",""),"　","")))</f>
        <v/>
      </c>
      <c r="H1521" s="2" t="str">
        <f aca="false">IF($G1521="","",3キー同時!$B$6)</f>
        <v/>
      </c>
      <c r="I1521" s="2" t="str">
        <f aca="false">IF($G1521="","",3キー同時!$G$6)</f>
        <v/>
      </c>
      <c r="J1521" s="2" t="str">
        <f aca="false">IF($G1521="","","1")</f>
        <v/>
      </c>
      <c r="K1521" s="2" t="str">
        <f aca="false">""</f>
        <v/>
      </c>
      <c r="L1521" s="2" t="str">
        <f aca="false">IF($G1521="","","同時")</f>
        <v/>
      </c>
      <c r="M1521" s="2" t="str">
        <f aca="false">IF($G1521="","",IF(ISNA(MATCH($G1521,個別指定!$A:$A,0)),"行なし",""))</f>
        <v/>
      </c>
      <c r="N1521" s="2" t="str">
        <f aca="false">IF($G1521="","",IF(COUNTIF($G$2:$G$4460,$G1521)&gt;1,"重複",""))</f>
        <v/>
      </c>
    </row>
    <row r="1522" customFormat="false" ht="16.5" hidden="false" customHeight="true" outlineLevel="0" collapsed="false">
      <c r="A1522" s="2" t="s">
        <v>416</v>
      </c>
      <c r="B1522" s="2" t="s">
        <v>417</v>
      </c>
      <c r="C1522" s="2" t="s">
        <v>1</v>
      </c>
      <c r="D1522" s="2" t="str">
        <f aca="false">IF(3キー同時!$B$6="","",3キー同時!$B$6)</f>
        <v>h</v>
      </c>
      <c r="E1522" s="2" t="str">
        <f aca="false">IF(3キー同時!$G$6="","",3キー同時!$G$6)</f>
        <v>m</v>
      </c>
      <c r="F1522" s="2" t="str">
        <f aca="false">""</f>
        <v/>
      </c>
      <c r="G1522" s="2" t="str">
        <f aca="false">IF(OR(3キー同時!$B$6="",3キー同時!$G$6=""),"",IF(3キー同時!J8="","",SUBSTITUTE(SUBSTITUTE(3キー同時!J8," ",""),"　","")))</f>
        <v/>
      </c>
      <c r="H1522" s="2" t="str">
        <f aca="false">IF($G1522="","",3キー同時!$B$6)</f>
        <v/>
      </c>
      <c r="I1522" s="2" t="str">
        <f aca="false">IF($G1522="","",3キー同時!$G$6)</f>
        <v/>
      </c>
      <c r="J1522" s="2" t="str">
        <f aca="false">IF($G1522="","","2")</f>
        <v/>
      </c>
      <c r="K1522" s="2" t="str">
        <f aca="false">""</f>
        <v/>
      </c>
      <c r="L1522" s="2" t="str">
        <f aca="false">IF($G1522="","","同時")</f>
        <v/>
      </c>
      <c r="M1522" s="2" t="str">
        <f aca="false">IF($G1522="","",IF(ISNA(MATCH($G1522,個別指定!$A:$A,0)),"行なし",""))</f>
        <v/>
      </c>
      <c r="N1522" s="2" t="str">
        <f aca="false">IF($G1522="","",IF(COUNTIF($G$2:$G$4460,$G1522)&gt;1,"重複",""))</f>
        <v/>
      </c>
    </row>
    <row r="1523" customFormat="false" ht="16.5" hidden="false" customHeight="true" outlineLevel="0" collapsed="false">
      <c r="A1523" s="2" t="s">
        <v>416</v>
      </c>
      <c r="B1523" s="2" t="s">
        <v>417</v>
      </c>
      <c r="C1523" s="2" t="s">
        <v>2</v>
      </c>
      <c r="D1523" s="2" t="str">
        <f aca="false">IF(3キー同時!$B$6="","",3キー同時!$B$6)</f>
        <v>h</v>
      </c>
      <c r="E1523" s="2" t="str">
        <f aca="false">IF(3キー同時!$G$6="","",3キー同時!$G$6)</f>
        <v>m</v>
      </c>
      <c r="F1523" s="2" t="str">
        <f aca="false">""</f>
        <v/>
      </c>
      <c r="G1523" s="2" t="str">
        <f aca="false">IF(OR(3キー同時!$B$6="",3キー同時!$G$6=""),"",IF(3キー同時!N8="","",SUBSTITUTE(SUBSTITUTE(3キー同時!N8," ",""),"　","")))</f>
        <v/>
      </c>
      <c r="H1523" s="2" t="str">
        <f aca="false">IF($G1523="","",3キー同時!$B$6)</f>
        <v/>
      </c>
      <c r="I1523" s="2" t="str">
        <f aca="false">IF($G1523="","",3キー同時!$G$6)</f>
        <v/>
      </c>
      <c r="J1523" s="2" t="str">
        <f aca="false">IF($G1523="","","3")</f>
        <v/>
      </c>
      <c r="K1523" s="2" t="str">
        <f aca="false">""</f>
        <v/>
      </c>
      <c r="L1523" s="2" t="str">
        <f aca="false">IF($G1523="","","同時")</f>
        <v/>
      </c>
      <c r="M1523" s="2" t="str">
        <f aca="false">IF($G1523="","",IF(ISNA(MATCH($G1523,個別指定!$A:$A,0)),"行なし",""))</f>
        <v/>
      </c>
      <c r="N1523" s="2" t="str">
        <f aca="false">IF($G1523="","",IF(COUNTIF($G$2:$G$4460,$G1523)&gt;1,"重複",""))</f>
        <v/>
      </c>
    </row>
    <row r="1524" customFormat="false" ht="16.5" hidden="false" customHeight="true" outlineLevel="0" collapsed="false">
      <c r="A1524" s="2" t="s">
        <v>416</v>
      </c>
      <c r="B1524" s="2" t="s">
        <v>417</v>
      </c>
      <c r="C1524" s="2" t="s">
        <v>3</v>
      </c>
      <c r="D1524" s="2" t="str">
        <f aca="false">IF(3キー同時!$B$6="","",3キー同時!$B$6)</f>
        <v>h</v>
      </c>
      <c r="E1524" s="2" t="str">
        <f aca="false">IF(3キー同時!$G$6="","",3キー同時!$G$6)</f>
        <v>m</v>
      </c>
      <c r="F1524" s="2" t="str">
        <f aca="false">""</f>
        <v/>
      </c>
      <c r="G1524" s="2" t="str">
        <f aca="false">IF(OR(3キー同時!$B$6="",3キー同時!$G$6=""),"",IF(3キー同時!R8="","",SUBSTITUTE(SUBSTITUTE(3キー同時!R8," ",""),"　","")))</f>
        <v/>
      </c>
      <c r="H1524" s="2" t="str">
        <f aca="false">IF($G1524="","",3キー同時!$B$6)</f>
        <v/>
      </c>
      <c r="I1524" s="2" t="str">
        <f aca="false">IF($G1524="","",3キー同時!$G$6)</f>
        <v/>
      </c>
      <c r="J1524" s="2" t="str">
        <f aca="false">IF($G1524="","","4")</f>
        <v/>
      </c>
      <c r="K1524" s="2" t="str">
        <f aca="false">""</f>
        <v/>
      </c>
      <c r="L1524" s="2" t="str">
        <f aca="false">IF($G1524="","","同時")</f>
        <v/>
      </c>
      <c r="M1524" s="2" t="str">
        <f aca="false">IF($G1524="","",IF(ISNA(MATCH($G1524,個別指定!$A:$A,0)),"行なし",""))</f>
        <v/>
      </c>
      <c r="N1524" s="2" t="str">
        <f aca="false">IF($G1524="","",IF(COUNTIF($G$2:$G$4460,$G1524)&gt;1,"重複",""))</f>
        <v/>
      </c>
    </row>
    <row r="1525" customFormat="false" ht="16.5" hidden="false" customHeight="true" outlineLevel="0" collapsed="false">
      <c r="A1525" s="2" t="s">
        <v>416</v>
      </c>
      <c r="B1525" s="2" t="s">
        <v>417</v>
      </c>
      <c r="C1525" s="2" t="s">
        <v>4</v>
      </c>
      <c r="D1525" s="2" t="str">
        <f aca="false">IF(3キー同時!$B$6="","",3キー同時!$B$6)</f>
        <v>h</v>
      </c>
      <c r="E1525" s="2" t="str">
        <f aca="false">IF(3キー同時!$G$6="","",3キー同時!$G$6)</f>
        <v>m</v>
      </c>
      <c r="F1525" s="2" t="str">
        <f aca="false">""</f>
        <v/>
      </c>
      <c r="G1525" s="2" t="str">
        <f aca="false">IF(OR(3キー同時!$B$6="",3キー同時!$G$6=""),"",IF(3キー同時!V8="","",SUBSTITUTE(SUBSTITUTE(3キー同時!V8," ",""),"　","")))</f>
        <v/>
      </c>
      <c r="H1525" s="2" t="str">
        <f aca="false">IF($G1525="","",3キー同時!$B$6)</f>
        <v/>
      </c>
      <c r="I1525" s="2" t="str">
        <f aca="false">IF($G1525="","",3キー同時!$G$6)</f>
        <v/>
      </c>
      <c r="J1525" s="2" t="str">
        <f aca="false">IF($G1525="","","5")</f>
        <v/>
      </c>
      <c r="K1525" s="2" t="str">
        <f aca="false">""</f>
        <v/>
      </c>
      <c r="L1525" s="2" t="str">
        <f aca="false">IF($G1525="","","同時")</f>
        <v/>
      </c>
      <c r="M1525" s="2" t="str">
        <f aca="false">IF($G1525="","",IF(ISNA(MATCH($G1525,個別指定!$A:$A,0)),"行なし",""))</f>
        <v/>
      </c>
      <c r="N1525" s="2" t="str">
        <f aca="false">IF($G1525="","",IF(COUNTIF($G$2:$G$4460,$G1525)&gt;1,"重複",""))</f>
        <v/>
      </c>
    </row>
    <row r="1526" customFormat="false" ht="16.5" hidden="false" customHeight="true" outlineLevel="0" collapsed="false">
      <c r="A1526" s="2" t="s">
        <v>416</v>
      </c>
      <c r="B1526" s="2" t="s">
        <v>417</v>
      </c>
      <c r="C1526" s="2" t="s">
        <v>5</v>
      </c>
      <c r="D1526" s="2" t="str">
        <f aca="false">IF(3キー同時!$B$6="","",3キー同時!$B$6)</f>
        <v>h</v>
      </c>
      <c r="E1526" s="2" t="str">
        <f aca="false">IF(3キー同時!$G$6="","",3キー同時!$G$6)</f>
        <v>m</v>
      </c>
      <c r="F1526" s="2" t="str">
        <f aca="false">""</f>
        <v/>
      </c>
      <c r="G1526" s="2" t="str">
        <f aca="false">IF(OR(3キー同時!$B$6="",3キー同時!$G$6=""),"",IF(3キー同時!Z8="","",SUBSTITUTE(SUBSTITUTE(3キー同時!Z8," ",""),"　","")))</f>
        <v/>
      </c>
      <c r="H1526" s="2" t="str">
        <f aca="false">IF($G1526="","",3キー同時!$B$6)</f>
        <v/>
      </c>
      <c r="I1526" s="2" t="str">
        <f aca="false">IF($G1526="","",3キー同時!$G$6)</f>
        <v/>
      </c>
      <c r="J1526" s="2" t="str">
        <f aca="false">IF($G1526="","","6")</f>
        <v/>
      </c>
      <c r="K1526" s="2" t="str">
        <f aca="false">""</f>
        <v/>
      </c>
      <c r="L1526" s="2" t="str">
        <f aca="false">IF($G1526="","","同時")</f>
        <v/>
      </c>
      <c r="M1526" s="2" t="str">
        <f aca="false">IF($G1526="","",IF(ISNA(MATCH($G1526,個別指定!$A:$A,0)),"行なし",""))</f>
        <v/>
      </c>
      <c r="N1526" s="2" t="str">
        <f aca="false">IF($G1526="","",IF(COUNTIF($G$2:$G$4460,$G1526)&gt;1,"重複",""))</f>
        <v/>
      </c>
    </row>
    <row r="1527" customFormat="false" ht="16.5" hidden="false" customHeight="true" outlineLevel="0" collapsed="false">
      <c r="A1527" s="2" t="s">
        <v>416</v>
      </c>
      <c r="B1527" s="2" t="s">
        <v>417</v>
      </c>
      <c r="C1527" s="2" t="s">
        <v>6</v>
      </c>
      <c r="D1527" s="2" t="str">
        <f aca="false">IF(3キー同時!$B$6="","",3キー同時!$B$6)</f>
        <v>h</v>
      </c>
      <c r="E1527" s="2" t="str">
        <f aca="false">IF(3キー同時!$G$6="","",3キー同時!$G$6)</f>
        <v>m</v>
      </c>
      <c r="F1527" s="2" t="str">
        <f aca="false">""</f>
        <v/>
      </c>
      <c r="G1527" s="2" t="str">
        <f aca="false">IF(OR(3キー同時!$B$6="",3キー同時!$G$6=""),"",IF(3キー同時!AD8="","",SUBSTITUTE(SUBSTITUTE(3キー同時!AD8," ",""),"　","")))</f>
        <v/>
      </c>
      <c r="H1527" s="2" t="str">
        <f aca="false">IF($G1527="","",3キー同時!$B$6)</f>
        <v/>
      </c>
      <c r="I1527" s="2" t="str">
        <f aca="false">IF($G1527="","",3キー同時!$G$6)</f>
        <v/>
      </c>
      <c r="J1527" s="2" t="str">
        <f aca="false">IF($G1527="","","7")</f>
        <v/>
      </c>
      <c r="K1527" s="2" t="str">
        <f aca="false">""</f>
        <v/>
      </c>
      <c r="L1527" s="2" t="str">
        <f aca="false">IF($G1527="","","同時")</f>
        <v/>
      </c>
      <c r="M1527" s="2" t="str">
        <f aca="false">IF($G1527="","",IF(ISNA(MATCH($G1527,個別指定!$A:$A,0)),"行なし",""))</f>
        <v/>
      </c>
      <c r="N1527" s="2" t="str">
        <f aca="false">IF($G1527="","",IF(COUNTIF($G$2:$G$4460,$G1527)&gt;1,"重複",""))</f>
        <v/>
      </c>
    </row>
    <row r="1528" customFormat="false" ht="16.5" hidden="false" customHeight="true" outlineLevel="0" collapsed="false">
      <c r="A1528" s="2" t="s">
        <v>416</v>
      </c>
      <c r="B1528" s="2" t="s">
        <v>417</v>
      </c>
      <c r="C1528" s="2" t="s">
        <v>7</v>
      </c>
      <c r="D1528" s="2" t="str">
        <f aca="false">IF(3キー同時!$B$6="","",3キー同時!$B$6)</f>
        <v>h</v>
      </c>
      <c r="E1528" s="2" t="str">
        <f aca="false">IF(3キー同時!$G$6="","",3キー同時!$G$6)</f>
        <v>m</v>
      </c>
      <c r="F1528" s="2" t="str">
        <f aca="false">""</f>
        <v/>
      </c>
      <c r="G1528" s="2" t="str">
        <f aca="false">IF(OR(3キー同時!$B$6="",3キー同時!$G$6=""),"",IF(3キー同時!AH8="","",SUBSTITUTE(SUBSTITUTE(3キー同時!AH8," ",""),"　","")))</f>
        <v/>
      </c>
      <c r="H1528" s="2" t="str">
        <f aca="false">IF($G1528="","",3キー同時!$B$6)</f>
        <v/>
      </c>
      <c r="I1528" s="2" t="str">
        <f aca="false">IF($G1528="","",3キー同時!$G$6)</f>
        <v/>
      </c>
      <c r="J1528" s="2" t="str">
        <f aca="false">IF($G1528="","","8")</f>
        <v/>
      </c>
      <c r="K1528" s="2" t="str">
        <f aca="false">""</f>
        <v/>
      </c>
      <c r="L1528" s="2" t="str">
        <f aca="false">IF($G1528="","","同時")</f>
        <v/>
      </c>
      <c r="M1528" s="2" t="str">
        <f aca="false">IF($G1528="","",IF(ISNA(MATCH($G1528,個別指定!$A:$A,0)),"行なし",""))</f>
        <v/>
      </c>
      <c r="N1528" s="2" t="str">
        <f aca="false">IF($G1528="","",IF(COUNTIF($G$2:$G$4460,$G1528)&gt;1,"重複",""))</f>
        <v/>
      </c>
    </row>
    <row r="1529" customFormat="false" ht="16.5" hidden="false" customHeight="true" outlineLevel="0" collapsed="false">
      <c r="A1529" s="2" t="s">
        <v>416</v>
      </c>
      <c r="B1529" s="2" t="s">
        <v>417</v>
      </c>
      <c r="C1529" s="2" t="s">
        <v>8</v>
      </c>
      <c r="D1529" s="2" t="str">
        <f aca="false">IF(3キー同時!$B$6="","",3キー同時!$B$6)</f>
        <v>h</v>
      </c>
      <c r="E1529" s="2" t="str">
        <f aca="false">IF(3キー同時!$G$6="","",3キー同時!$G$6)</f>
        <v>m</v>
      </c>
      <c r="F1529" s="2" t="str">
        <f aca="false">""</f>
        <v/>
      </c>
      <c r="G1529" s="2" t="str">
        <f aca="false">IF(OR(3キー同時!$B$6="",3キー同時!$G$6=""),"",IF(3キー同時!AL8="","",SUBSTITUTE(SUBSTITUTE(3キー同時!AL8," ",""),"　","")))</f>
        <v/>
      </c>
      <c r="H1529" s="2" t="str">
        <f aca="false">IF($G1529="","",3キー同時!$B$6)</f>
        <v/>
      </c>
      <c r="I1529" s="2" t="str">
        <f aca="false">IF($G1529="","",3キー同時!$G$6)</f>
        <v/>
      </c>
      <c r="J1529" s="2" t="str">
        <f aca="false">IF($G1529="","","9")</f>
        <v/>
      </c>
      <c r="K1529" s="2" t="str">
        <f aca="false">""</f>
        <v/>
      </c>
      <c r="L1529" s="2" t="str">
        <f aca="false">IF($G1529="","","同時")</f>
        <v/>
      </c>
      <c r="M1529" s="2" t="str">
        <f aca="false">IF($G1529="","",IF(ISNA(MATCH($G1529,個別指定!$A:$A,0)),"行なし",""))</f>
        <v/>
      </c>
      <c r="N1529" s="2" t="str">
        <f aca="false">IF($G1529="","",IF(COUNTIF($G$2:$G$4460,$G1529)&gt;1,"重複",""))</f>
        <v/>
      </c>
    </row>
    <row r="1530" customFormat="false" ht="16.5" hidden="false" customHeight="true" outlineLevel="0" collapsed="false">
      <c r="A1530" s="2" t="s">
        <v>416</v>
      </c>
      <c r="B1530" s="2" t="s">
        <v>417</v>
      </c>
      <c r="C1530" s="2" t="s">
        <v>9</v>
      </c>
      <c r="D1530" s="2" t="str">
        <f aca="false">IF(3キー同時!$B$6="","",3キー同時!$B$6)</f>
        <v>h</v>
      </c>
      <c r="E1530" s="2" t="str">
        <f aca="false">IF(3キー同時!$G$6="","",3キー同時!$G$6)</f>
        <v>m</v>
      </c>
      <c r="F1530" s="2" t="str">
        <f aca="false">""</f>
        <v/>
      </c>
      <c r="G1530" s="2" t="str">
        <f aca="false">IF(OR(3キー同時!$B$6="",3キー同時!$G$6=""),"",IF(3キー同時!AP8="","",SUBSTITUTE(SUBSTITUTE(3キー同時!AP8," ",""),"　","")))</f>
        <v/>
      </c>
      <c r="H1530" s="2" t="str">
        <f aca="false">IF($G1530="","",3キー同時!$B$6)</f>
        <v/>
      </c>
      <c r="I1530" s="2" t="str">
        <f aca="false">IF($G1530="","",3キー同時!$G$6)</f>
        <v/>
      </c>
      <c r="J1530" s="2" t="str">
        <f aca="false">IF($G1530="","","0")</f>
        <v/>
      </c>
      <c r="K1530" s="2" t="str">
        <f aca="false">""</f>
        <v/>
      </c>
      <c r="L1530" s="2" t="str">
        <f aca="false">IF($G1530="","","同時")</f>
        <v/>
      </c>
      <c r="M1530" s="2" t="str">
        <f aca="false">IF($G1530="","",IF(ISNA(MATCH($G1530,個別指定!$A:$A,0)),"行なし",""))</f>
        <v/>
      </c>
      <c r="N1530" s="2" t="str">
        <f aca="false">IF($G1530="","",IF(COUNTIF($G$2:$G$4460,$G1530)&gt;1,"重複",""))</f>
        <v/>
      </c>
    </row>
    <row r="1531" customFormat="false" ht="16.5" hidden="false" customHeight="true" outlineLevel="0" collapsed="false">
      <c r="A1531" s="2" t="s">
        <v>416</v>
      </c>
      <c r="B1531" s="2" t="s">
        <v>417</v>
      </c>
      <c r="C1531" s="2" t="s">
        <v>10</v>
      </c>
      <c r="D1531" s="2" t="str">
        <f aca="false">IF(3キー同時!$B$6="","",3キー同時!$B$6)</f>
        <v>h</v>
      </c>
      <c r="E1531" s="2" t="str">
        <f aca="false">IF(3キー同時!$G$6="","",3キー同時!$G$6)</f>
        <v>m</v>
      </c>
      <c r="F1531" s="2" t="str">
        <f aca="false">""</f>
        <v/>
      </c>
      <c r="G1531" s="2" t="str">
        <f aca="false">IF(OR(3キー同時!$B$6="",3キー同時!$G$6=""),"",IF(3キー同時!AT8="","",SUBSTITUTE(SUBSTITUTE(3キー同時!AT8," ",""),"　","")))</f>
        <v/>
      </c>
      <c r="H1531" s="2" t="str">
        <f aca="false">IF($G1531="","",3キー同時!$B$6)</f>
        <v/>
      </c>
      <c r="I1531" s="2" t="str">
        <f aca="false">IF($G1531="","",3キー同時!$G$6)</f>
        <v/>
      </c>
      <c r="J1531" s="2" t="str">
        <f aca="false">IF($G1531="","","-")</f>
        <v/>
      </c>
      <c r="K1531" s="2" t="str">
        <f aca="false">""</f>
        <v/>
      </c>
      <c r="L1531" s="2" t="str">
        <f aca="false">IF($G1531="","","同時")</f>
        <v/>
      </c>
      <c r="M1531" s="2" t="str">
        <f aca="false">IF($G1531="","",IF(ISNA(MATCH($G1531,個別指定!$A:$A,0)),"行なし",""))</f>
        <v/>
      </c>
      <c r="N1531" s="2" t="str">
        <f aca="false">IF($G1531="","",IF(COUNTIF($G$2:$G$4460,$G1531)&gt;1,"重複",""))</f>
        <v/>
      </c>
    </row>
    <row r="1532" customFormat="false" ht="16.5" hidden="false" customHeight="true" outlineLevel="0" collapsed="false">
      <c r="A1532" s="2" t="s">
        <v>416</v>
      </c>
      <c r="B1532" s="2" t="s">
        <v>417</v>
      </c>
      <c r="C1532" s="2" t="s">
        <v>11</v>
      </c>
      <c r="D1532" s="2" t="str">
        <f aca="false">IF(3キー同時!$B$6="","",3キー同時!$B$6)</f>
        <v>h</v>
      </c>
      <c r="E1532" s="2" t="str">
        <f aca="false">IF(3キー同時!$G$6="","",3キー同時!$G$6)</f>
        <v>m</v>
      </c>
      <c r="F1532" s="2" t="str">
        <f aca="false">""</f>
        <v/>
      </c>
      <c r="G1532" s="2" t="str">
        <f aca="false">IF(OR(3キー同時!$B$6="",3キー同時!$G$6=""),"",IF(3キー同時!AX8="","",SUBSTITUTE(SUBSTITUTE(3キー同時!AX8," ",""),"　","")))</f>
        <v/>
      </c>
      <c r="H1532" s="2" t="str">
        <f aca="false">IF($G1532="","",3キー同時!$B$6)</f>
        <v/>
      </c>
      <c r="I1532" s="2" t="str">
        <f aca="false">IF($G1532="","",3キー同時!$G$6)</f>
        <v/>
      </c>
      <c r="J1532" s="2" t="str">
        <f aca="false">IF($G1532="","","=")</f>
        <v/>
      </c>
      <c r="K1532" s="2" t="str">
        <f aca="false">""</f>
        <v/>
      </c>
      <c r="L1532" s="2" t="str">
        <f aca="false">IF($G1532="","","同時")</f>
        <v/>
      </c>
      <c r="M1532" s="2" t="str">
        <f aca="false">IF($G1532="","",IF(ISNA(MATCH($G1532,個別指定!$A:$A,0)),"行なし",""))</f>
        <v/>
      </c>
      <c r="N1532" s="2" t="str">
        <f aca="false">IF($G1532="","",IF(COUNTIF($G$2:$G$4460,$G1532)&gt;1,"重複",""))</f>
        <v/>
      </c>
    </row>
    <row r="1533" customFormat="false" ht="16.5" hidden="false" customHeight="true" outlineLevel="0" collapsed="false">
      <c r="A1533" s="2" t="s">
        <v>416</v>
      </c>
      <c r="B1533" s="2" t="s">
        <v>417</v>
      </c>
      <c r="C1533" s="2" t="s">
        <v>12</v>
      </c>
      <c r="D1533" s="2" t="str">
        <f aca="false">IF(3キー同時!$B$6="","",3キー同時!$B$6)</f>
        <v>h</v>
      </c>
      <c r="E1533" s="2" t="str">
        <f aca="false">IF(3キー同時!$G$6="","",3キー同時!$G$6)</f>
        <v>m</v>
      </c>
      <c r="F1533" s="2" t="str">
        <f aca="false">""</f>
        <v/>
      </c>
      <c r="G1533" s="2" t="str">
        <f aca="false">IF(OR(3キー同時!$B$6="",3キー同時!$G$6=""),"",IF(3キー同時!H10="","",SUBSTITUTE(SUBSTITUTE(3キー同時!H10," ",""),"　","")))</f>
        <v/>
      </c>
      <c r="H1533" s="2" t="str">
        <f aca="false">IF($G1533="","",3キー同時!$B$6)</f>
        <v/>
      </c>
      <c r="I1533" s="2" t="str">
        <f aca="false">IF($G1533="","",3キー同時!$G$6)</f>
        <v/>
      </c>
      <c r="J1533" s="2" t="str">
        <f aca="false">IF($G1533="","","q")</f>
        <v/>
      </c>
      <c r="K1533" s="2" t="str">
        <f aca="false">""</f>
        <v/>
      </c>
      <c r="L1533" s="2" t="str">
        <f aca="false">IF($G1533="","","同時")</f>
        <v/>
      </c>
      <c r="M1533" s="2" t="str">
        <f aca="false">IF($G1533="","",IF(ISNA(MATCH($G1533,個別指定!$A:$A,0)),"行なし",""))</f>
        <v/>
      </c>
      <c r="N1533" s="2" t="str">
        <f aca="false">IF($G1533="","",IF(COUNTIF($G$2:$G$4460,$G1533)&gt;1,"重複",""))</f>
        <v/>
      </c>
    </row>
    <row r="1534" customFormat="false" ht="16.5" hidden="false" customHeight="true" outlineLevel="0" collapsed="false">
      <c r="A1534" s="2" t="s">
        <v>416</v>
      </c>
      <c r="B1534" s="2" t="s">
        <v>417</v>
      </c>
      <c r="C1534" s="2" t="s">
        <v>13</v>
      </c>
      <c r="D1534" s="2" t="str">
        <f aca="false">IF(3キー同時!$B$6="","",3キー同時!$B$6)</f>
        <v>h</v>
      </c>
      <c r="E1534" s="2" t="str">
        <f aca="false">IF(3キー同時!$G$6="","",3キー同時!$G$6)</f>
        <v>m</v>
      </c>
      <c r="F1534" s="2" t="str">
        <f aca="false">""</f>
        <v/>
      </c>
      <c r="G1534" s="2" t="str">
        <f aca="false">IF(OR(3キー同時!$B$6="",3キー同時!$G$6=""),"",IF(3キー同時!L10="","",SUBSTITUTE(SUBSTITUTE(3キー同時!L10," ",""),"　","")))</f>
        <v/>
      </c>
      <c r="H1534" s="2" t="str">
        <f aca="false">IF($G1534="","",3キー同時!$B$6)</f>
        <v/>
      </c>
      <c r="I1534" s="2" t="str">
        <f aca="false">IF($G1534="","",3キー同時!$G$6)</f>
        <v/>
      </c>
      <c r="J1534" s="2" t="str">
        <f aca="false">IF($G1534="","","w")</f>
        <v/>
      </c>
      <c r="K1534" s="2" t="str">
        <f aca="false">""</f>
        <v/>
      </c>
      <c r="L1534" s="2" t="str">
        <f aca="false">IF($G1534="","","同時")</f>
        <v/>
      </c>
      <c r="M1534" s="2" t="str">
        <f aca="false">IF($G1534="","",IF(ISNA(MATCH($G1534,個別指定!$A:$A,0)),"行なし",""))</f>
        <v/>
      </c>
      <c r="N1534" s="2" t="str">
        <f aca="false">IF($G1534="","",IF(COUNTIF($G$2:$G$4460,$G1534)&gt;1,"重複",""))</f>
        <v/>
      </c>
    </row>
    <row r="1535" customFormat="false" ht="16.5" hidden="false" customHeight="true" outlineLevel="0" collapsed="false">
      <c r="A1535" s="2" t="s">
        <v>416</v>
      </c>
      <c r="B1535" s="2" t="s">
        <v>417</v>
      </c>
      <c r="C1535" s="2" t="s">
        <v>14</v>
      </c>
      <c r="D1535" s="2" t="str">
        <f aca="false">IF(3キー同時!$B$6="","",3キー同時!$B$6)</f>
        <v>h</v>
      </c>
      <c r="E1535" s="2" t="str">
        <f aca="false">IF(3キー同時!$G$6="","",3キー同時!$G$6)</f>
        <v>m</v>
      </c>
      <c r="F1535" s="2" t="str">
        <f aca="false">""</f>
        <v/>
      </c>
      <c r="G1535" s="2" t="str">
        <f aca="false">IF(OR(3キー同時!$B$6="",3キー同時!$G$6=""),"",IF(3キー同時!P10="","",SUBSTITUTE(SUBSTITUTE(3キー同時!P10," ",""),"　","")))</f>
        <v/>
      </c>
      <c r="H1535" s="2" t="str">
        <f aca="false">IF($G1535="","",3キー同時!$B$6)</f>
        <v/>
      </c>
      <c r="I1535" s="2" t="str">
        <f aca="false">IF($G1535="","",3キー同時!$G$6)</f>
        <v/>
      </c>
      <c r="J1535" s="2" t="str">
        <f aca="false">IF($G1535="","","e")</f>
        <v/>
      </c>
      <c r="K1535" s="2" t="str">
        <f aca="false">""</f>
        <v/>
      </c>
      <c r="L1535" s="2" t="str">
        <f aca="false">IF($G1535="","","同時")</f>
        <v/>
      </c>
      <c r="M1535" s="2" t="str">
        <f aca="false">IF($G1535="","",IF(ISNA(MATCH($G1535,個別指定!$A:$A,0)),"行なし",""))</f>
        <v/>
      </c>
      <c r="N1535" s="2" t="str">
        <f aca="false">IF($G1535="","",IF(COUNTIF($G$2:$G$4460,$G1535)&gt;1,"重複",""))</f>
        <v/>
      </c>
    </row>
    <row r="1536" customFormat="false" ht="16.5" hidden="false" customHeight="true" outlineLevel="0" collapsed="false">
      <c r="A1536" s="2" t="s">
        <v>416</v>
      </c>
      <c r="B1536" s="2" t="s">
        <v>417</v>
      </c>
      <c r="C1536" s="2" t="s">
        <v>15</v>
      </c>
      <c r="D1536" s="2" t="str">
        <f aca="false">IF(3キー同時!$B$6="","",3キー同時!$B$6)</f>
        <v>h</v>
      </c>
      <c r="E1536" s="2" t="str">
        <f aca="false">IF(3キー同時!$G$6="","",3キー同時!$G$6)</f>
        <v>m</v>
      </c>
      <c r="F1536" s="2" t="str">
        <f aca="false">""</f>
        <v/>
      </c>
      <c r="G1536" s="2" t="str">
        <f aca="false">IF(OR(3キー同時!$B$6="",3キー同時!$G$6=""),"",IF(3キー同時!T10="","",SUBSTITUTE(SUBSTITUTE(3キー同時!T10," ",""),"　","")))</f>
        <v/>
      </c>
      <c r="H1536" s="2" t="str">
        <f aca="false">IF($G1536="","",3キー同時!$B$6)</f>
        <v/>
      </c>
      <c r="I1536" s="2" t="str">
        <f aca="false">IF($G1536="","",3キー同時!$G$6)</f>
        <v/>
      </c>
      <c r="J1536" s="2" t="str">
        <f aca="false">IF($G1536="","","r")</f>
        <v/>
      </c>
      <c r="K1536" s="2" t="str">
        <f aca="false">""</f>
        <v/>
      </c>
      <c r="L1536" s="2" t="str">
        <f aca="false">IF($G1536="","","同時")</f>
        <v/>
      </c>
      <c r="M1536" s="2" t="str">
        <f aca="false">IF($G1536="","",IF(ISNA(MATCH($G1536,個別指定!$A:$A,0)),"行なし",""))</f>
        <v/>
      </c>
      <c r="N1536" s="2" t="str">
        <f aca="false">IF($G1536="","",IF(COUNTIF($G$2:$G$4460,$G1536)&gt;1,"重複",""))</f>
        <v/>
      </c>
    </row>
    <row r="1537" customFormat="false" ht="16.5" hidden="false" customHeight="true" outlineLevel="0" collapsed="false">
      <c r="A1537" s="2" t="s">
        <v>416</v>
      </c>
      <c r="B1537" s="2" t="s">
        <v>417</v>
      </c>
      <c r="C1537" s="2" t="s">
        <v>16</v>
      </c>
      <c r="D1537" s="2" t="str">
        <f aca="false">IF(3キー同時!$B$6="","",3キー同時!$B$6)</f>
        <v>h</v>
      </c>
      <c r="E1537" s="2" t="str">
        <f aca="false">IF(3キー同時!$G$6="","",3キー同時!$G$6)</f>
        <v>m</v>
      </c>
      <c r="F1537" s="2" t="str">
        <f aca="false">""</f>
        <v/>
      </c>
      <c r="G1537" s="2" t="str">
        <f aca="false">IF(OR(3キー同時!$B$6="",3キー同時!$G$6=""),"",IF(3キー同時!X10="","",SUBSTITUTE(SUBSTITUTE(3キー同時!X10," ",""),"　","")))</f>
        <v/>
      </c>
      <c r="H1537" s="2" t="str">
        <f aca="false">IF($G1537="","",3キー同時!$B$6)</f>
        <v/>
      </c>
      <c r="I1537" s="2" t="str">
        <f aca="false">IF($G1537="","",3キー同時!$G$6)</f>
        <v/>
      </c>
      <c r="J1537" s="2" t="str">
        <f aca="false">IF($G1537="","","t")</f>
        <v/>
      </c>
      <c r="K1537" s="2" t="str">
        <f aca="false">""</f>
        <v/>
      </c>
      <c r="L1537" s="2" t="str">
        <f aca="false">IF($G1537="","","同時")</f>
        <v/>
      </c>
      <c r="M1537" s="2" t="str">
        <f aca="false">IF($G1537="","",IF(ISNA(MATCH($G1537,個別指定!$A:$A,0)),"行なし",""))</f>
        <v/>
      </c>
      <c r="N1537" s="2" t="str">
        <f aca="false">IF($G1537="","",IF(COUNTIF($G$2:$G$4460,$G1537)&gt;1,"重複",""))</f>
        <v/>
      </c>
    </row>
    <row r="1538" customFormat="false" ht="16.5" hidden="false" customHeight="true" outlineLevel="0" collapsed="false">
      <c r="A1538" s="2" t="s">
        <v>416</v>
      </c>
      <c r="B1538" s="2" t="s">
        <v>417</v>
      </c>
      <c r="C1538" s="2" t="s">
        <v>17</v>
      </c>
      <c r="D1538" s="2" t="str">
        <f aca="false">IF(3キー同時!$B$6="","",3キー同時!$B$6)</f>
        <v>h</v>
      </c>
      <c r="E1538" s="2" t="str">
        <f aca="false">IF(3キー同時!$G$6="","",3キー同時!$G$6)</f>
        <v>m</v>
      </c>
      <c r="F1538" s="2" t="str">
        <f aca="false">""</f>
        <v/>
      </c>
      <c r="G1538" s="2" t="str">
        <f aca="false">IF(OR(3キー同時!$B$6="",3キー同時!$G$6=""),"",IF(3キー同時!AB10="","",SUBSTITUTE(SUBSTITUTE(3キー同時!AB10," ",""),"　","")))</f>
        <v/>
      </c>
      <c r="H1538" s="2" t="str">
        <f aca="false">IF($G1538="","",3キー同時!$B$6)</f>
        <v/>
      </c>
      <c r="I1538" s="2" t="str">
        <f aca="false">IF($G1538="","",3キー同時!$G$6)</f>
        <v/>
      </c>
      <c r="J1538" s="2" t="str">
        <f aca="false">IF($G1538="","","y")</f>
        <v/>
      </c>
      <c r="K1538" s="2" t="str">
        <f aca="false">""</f>
        <v/>
      </c>
      <c r="L1538" s="2" t="str">
        <f aca="false">IF($G1538="","","同時")</f>
        <v/>
      </c>
      <c r="M1538" s="2" t="str">
        <f aca="false">IF($G1538="","",IF(ISNA(MATCH($G1538,個別指定!$A:$A,0)),"行なし",""))</f>
        <v/>
      </c>
      <c r="N1538" s="2" t="str">
        <f aca="false">IF($G1538="","",IF(COUNTIF($G$2:$G$4460,$G1538)&gt;1,"重複",""))</f>
        <v/>
      </c>
    </row>
    <row r="1539" customFormat="false" ht="16.5" hidden="false" customHeight="true" outlineLevel="0" collapsed="false">
      <c r="A1539" s="2" t="s">
        <v>416</v>
      </c>
      <c r="B1539" s="2" t="s">
        <v>417</v>
      </c>
      <c r="C1539" s="2" t="s">
        <v>18</v>
      </c>
      <c r="D1539" s="2" t="str">
        <f aca="false">IF(3キー同時!$B$6="","",3キー同時!$B$6)</f>
        <v>h</v>
      </c>
      <c r="E1539" s="2" t="str">
        <f aca="false">IF(3キー同時!$G$6="","",3キー同時!$G$6)</f>
        <v>m</v>
      </c>
      <c r="F1539" s="2" t="str">
        <f aca="false">""</f>
        <v/>
      </c>
      <c r="G1539" s="2" t="str">
        <f aca="false">IF(OR(3キー同時!$B$6="",3キー同時!$G$6=""),"",IF(3キー同時!AF10="","",SUBSTITUTE(SUBSTITUTE(3キー同時!AF10," ",""),"　","")))</f>
        <v/>
      </c>
      <c r="H1539" s="2" t="str">
        <f aca="false">IF($G1539="","",3キー同時!$B$6)</f>
        <v/>
      </c>
      <c r="I1539" s="2" t="str">
        <f aca="false">IF($G1539="","",3キー同時!$G$6)</f>
        <v/>
      </c>
      <c r="J1539" s="2" t="str">
        <f aca="false">IF($G1539="","","u")</f>
        <v/>
      </c>
      <c r="K1539" s="2" t="str">
        <f aca="false">""</f>
        <v/>
      </c>
      <c r="L1539" s="2" t="str">
        <f aca="false">IF($G1539="","","同時")</f>
        <v/>
      </c>
      <c r="M1539" s="2" t="str">
        <f aca="false">IF($G1539="","",IF(ISNA(MATCH($G1539,個別指定!$A:$A,0)),"行なし",""))</f>
        <v/>
      </c>
      <c r="N1539" s="2" t="str">
        <f aca="false">IF($G1539="","",IF(COUNTIF($G$2:$G$4460,$G1539)&gt;1,"重複",""))</f>
        <v/>
      </c>
    </row>
    <row r="1540" customFormat="false" ht="16.5" hidden="false" customHeight="true" outlineLevel="0" collapsed="false">
      <c r="A1540" s="2" t="s">
        <v>416</v>
      </c>
      <c r="B1540" s="2" t="s">
        <v>417</v>
      </c>
      <c r="C1540" s="2" t="s">
        <v>19</v>
      </c>
      <c r="D1540" s="2" t="str">
        <f aca="false">IF(3キー同時!$B$6="","",3キー同時!$B$6)</f>
        <v>h</v>
      </c>
      <c r="E1540" s="2" t="str">
        <f aca="false">IF(3キー同時!$G$6="","",3キー同時!$G$6)</f>
        <v>m</v>
      </c>
      <c r="F1540" s="2" t="str">
        <f aca="false">""</f>
        <v/>
      </c>
      <c r="G1540" s="2" t="str">
        <f aca="false">IF(OR(3キー同時!$B$6="",3キー同時!$G$6=""),"",IF(3キー同時!AJ10="","",SUBSTITUTE(SUBSTITUTE(3キー同時!AJ10," ",""),"　","")))</f>
        <v/>
      </c>
      <c r="H1540" s="2" t="str">
        <f aca="false">IF($G1540="","",3キー同時!$B$6)</f>
        <v/>
      </c>
      <c r="I1540" s="2" t="str">
        <f aca="false">IF($G1540="","",3キー同時!$G$6)</f>
        <v/>
      </c>
      <c r="J1540" s="2" t="str">
        <f aca="false">IF($G1540="","","i")</f>
        <v/>
      </c>
      <c r="K1540" s="2" t="str">
        <f aca="false">""</f>
        <v/>
      </c>
      <c r="L1540" s="2" t="str">
        <f aca="false">IF($G1540="","","同時")</f>
        <v/>
      </c>
      <c r="M1540" s="2" t="str">
        <f aca="false">IF($G1540="","",IF(ISNA(MATCH($G1540,個別指定!$A:$A,0)),"行なし",""))</f>
        <v/>
      </c>
      <c r="N1540" s="2" t="str">
        <f aca="false">IF($G1540="","",IF(COUNTIF($G$2:$G$4460,$G1540)&gt;1,"重複",""))</f>
        <v/>
      </c>
    </row>
    <row r="1541" customFormat="false" ht="16.5" hidden="false" customHeight="true" outlineLevel="0" collapsed="false">
      <c r="A1541" s="2" t="s">
        <v>416</v>
      </c>
      <c r="B1541" s="2" t="s">
        <v>417</v>
      </c>
      <c r="C1541" s="2" t="s">
        <v>20</v>
      </c>
      <c r="D1541" s="2" t="str">
        <f aca="false">IF(3キー同時!$B$6="","",3キー同時!$B$6)</f>
        <v>h</v>
      </c>
      <c r="E1541" s="2" t="str">
        <f aca="false">IF(3キー同時!$G$6="","",3キー同時!$G$6)</f>
        <v>m</v>
      </c>
      <c r="F1541" s="2" t="str">
        <f aca="false">""</f>
        <v/>
      </c>
      <c r="G1541" s="2" t="str">
        <f aca="false">IF(OR(3キー同時!$B$6="",3キー同時!$G$6=""),"",IF(3キー同時!AN10="","",SUBSTITUTE(SUBSTITUTE(3キー同時!AN10," ",""),"　","")))</f>
        <v/>
      </c>
      <c r="H1541" s="2" t="str">
        <f aca="false">IF($G1541="","",3キー同時!$B$6)</f>
        <v/>
      </c>
      <c r="I1541" s="2" t="str">
        <f aca="false">IF($G1541="","",3キー同時!$G$6)</f>
        <v/>
      </c>
      <c r="J1541" s="2" t="str">
        <f aca="false">IF($G1541="","","o")</f>
        <v/>
      </c>
      <c r="K1541" s="2" t="str">
        <f aca="false">""</f>
        <v/>
      </c>
      <c r="L1541" s="2" t="str">
        <f aca="false">IF($G1541="","","同時")</f>
        <v/>
      </c>
      <c r="M1541" s="2" t="str">
        <f aca="false">IF($G1541="","",IF(ISNA(MATCH($G1541,個別指定!$A:$A,0)),"行なし",""))</f>
        <v/>
      </c>
      <c r="N1541" s="2" t="str">
        <f aca="false">IF($G1541="","",IF(COUNTIF($G$2:$G$4460,$G1541)&gt;1,"重複",""))</f>
        <v/>
      </c>
    </row>
    <row r="1542" customFormat="false" ht="16.5" hidden="false" customHeight="true" outlineLevel="0" collapsed="false">
      <c r="A1542" s="2" t="s">
        <v>416</v>
      </c>
      <c r="B1542" s="2" t="s">
        <v>417</v>
      </c>
      <c r="C1542" s="2" t="s">
        <v>21</v>
      </c>
      <c r="D1542" s="2" t="str">
        <f aca="false">IF(3キー同時!$B$6="","",3キー同時!$B$6)</f>
        <v>h</v>
      </c>
      <c r="E1542" s="2" t="str">
        <f aca="false">IF(3キー同時!$G$6="","",3キー同時!$G$6)</f>
        <v>m</v>
      </c>
      <c r="F1542" s="2" t="str">
        <f aca="false">""</f>
        <v/>
      </c>
      <c r="G1542" s="2" t="str">
        <f aca="false">IF(OR(3キー同時!$B$6="",3キー同時!$G$6=""),"",IF(3キー同時!AR10="","",SUBSTITUTE(SUBSTITUTE(3キー同時!AR10," ",""),"　","")))</f>
        <v/>
      </c>
      <c r="H1542" s="2" t="str">
        <f aca="false">IF($G1542="","",3キー同時!$B$6)</f>
        <v/>
      </c>
      <c r="I1542" s="2" t="str">
        <f aca="false">IF($G1542="","",3キー同時!$G$6)</f>
        <v/>
      </c>
      <c r="J1542" s="2" t="str">
        <f aca="false">IF($G1542="","","p")</f>
        <v/>
      </c>
      <c r="K1542" s="2" t="str">
        <f aca="false">""</f>
        <v/>
      </c>
      <c r="L1542" s="2" t="str">
        <f aca="false">IF($G1542="","","同時")</f>
        <v/>
      </c>
      <c r="M1542" s="2" t="str">
        <f aca="false">IF($G1542="","",IF(ISNA(MATCH($G1542,個別指定!$A:$A,0)),"行なし",""))</f>
        <v/>
      </c>
      <c r="N1542" s="2" t="str">
        <f aca="false">IF($G1542="","",IF(COUNTIF($G$2:$G$4460,$G1542)&gt;1,"重複",""))</f>
        <v/>
      </c>
    </row>
    <row r="1543" customFormat="false" ht="16.5" hidden="false" customHeight="true" outlineLevel="0" collapsed="false">
      <c r="A1543" s="2" t="s">
        <v>416</v>
      </c>
      <c r="B1543" s="2" t="s">
        <v>417</v>
      </c>
      <c r="C1543" s="2" t="s">
        <v>22</v>
      </c>
      <c r="D1543" s="2" t="str">
        <f aca="false">IF(3キー同時!$B$6="","",3キー同時!$B$6)</f>
        <v>h</v>
      </c>
      <c r="E1543" s="2" t="str">
        <f aca="false">IF(3キー同時!$G$6="","",3キー同時!$G$6)</f>
        <v>m</v>
      </c>
      <c r="F1543" s="2" t="str">
        <f aca="false">""</f>
        <v/>
      </c>
      <c r="G1543" s="2" t="str">
        <f aca="false">IF(OR(3キー同時!$B$6="",3キー同時!$G$6=""),"",IF(3キー同時!AV10="","",SUBSTITUTE(SUBSTITUTE(3キー同時!AV10," ",""),"　","")))</f>
        <v/>
      </c>
      <c r="H1543" s="2" t="str">
        <f aca="false">IF($G1543="","",3キー同時!$B$6)</f>
        <v/>
      </c>
      <c r="I1543" s="2" t="str">
        <f aca="false">IF($G1543="","",3キー同時!$G$6)</f>
        <v/>
      </c>
      <c r="J1543" s="2" t="str">
        <f aca="false">IF($G1543="","","[")</f>
        <v/>
      </c>
      <c r="K1543" s="2" t="str">
        <f aca="false">""</f>
        <v/>
      </c>
      <c r="L1543" s="2" t="str">
        <f aca="false">IF($G1543="","","同時")</f>
        <v/>
      </c>
      <c r="M1543" s="2" t="str">
        <f aca="false">IF($G1543="","",IF(ISNA(MATCH($G1543,個別指定!$A:$A,0)),"行なし",""))</f>
        <v/>
      </c>
      <c r="N1543" s="2" t="str">
        <f aca="false">IF($G1543="","",IF(COUNTIF($G$2:$G$4460,$G1543)&gt;1,"重複",""))</f>
        <v/>
      </c>
    </row>
    <row r="1544" customFormat="false" ht="16.5" hidden="false" customHeight="true" outlineLevel="0" collapsed="false">
      <c r="A1544" s="2" t="s">
        <v>416</v>
      </c>
      <c r="B1544" s="2" t="s">
        <v>417</v>
      </c>
      <c r="C1544" s="2" t="s">
        <v>23</v>
      </c>
      <c r="D1544" s="2" t="str">
        <f aca="false">IF(3キー同時!$B$6="","",3キー同時!$B$6)</f>
        <v>h</v>
      </c>
      <c r="E1544" s="2" t="str">
        <f aca="false">IF(3キー同時!$G$6="","",3キー同時!$G$6)</f>
        <v>m</v>
      </c>
      <c r="F1544" s="2" t="str">
        <f aca="false">""</f>
        <v/>
      </c>
      <c r="G1544" s="2" t="str">
        <f aca="false">IF(OR(3キー同時!$B$6="",3キー同時!$G$6=""),"",IF(3キー同時!AZ10="","",SUBSTITUTE(SUBSTITUTE(3キー同時!AZ10," ",""),"　","")))</f>
        <v/>
      </c>
      <c r="H1544" s="2" t="str">
        <f aca="false">IF($G1544="","",3キー同時!$B$6)</f>
        <v/>
      </c>
      <c r="I1544" s="2" t="str">
        <f aca="false">IF($G1544="","",3キー同時!$G$6)</f>
        <v/>
      </c>
      <c r="J1544" s="2" t="str">
        <f aca="false">IF($G1544="","","]")</f>
        <v/>
      </c>
      <c r="K1544" s="2" t="str">
        <f aca="false">""</f>
        <v/>
      </c>
      <c r="L1544" s="2" t="str">
        <f aca="false">IF($G1544="","","同時")</f>
        <v/>
      </c>
      <c r="M1544" s="2" t="str">
        <f aca="false">IF($G1544="","",IF(ISNA(MATCH($G1544,個別指定!$A:$A,0)),"行なし",""))</f>
        <v/>
      </c>
      <c r="N1544" s="2" t="str">
        <f aca="false">IF($G1544="","",IF(COUNTIF($G$2:$G$4460,$G1544)&gt;1,"重複",""))</f>
        <v/>
      </c>
    </row>
    <row r="1545" customFormat="false" ht="16.5" hidden="false" customHeight="true" outlineLevel="0" collapsed="false">
      <c r="A1545" s="2" t="s">
        <v>416</v>
      </c>
      <c r="B1545" s="2" t="s">
        <v>417</v>
      </c>
      <c r="C1545" s="2" t="s">
        <v>24</v>
      </c>
      <c r="D1545" s="2" t="str">
        <f aca="false">IF(3キー同時!$B$6="","",3キー同時!$B$6)</f>
        <v>h</v>
      </c>
      <c r="E1545" s="2" t="str">
        <f aca="false">IF(3キー同時!$G$6="","",3キー同時!$G$6)</f>
        <v>m</v>
      </c>
      <c r="F1545" s="2" t="str">
        <f aca="false">""</f>
        <v/>
      </c>
      <c r="G1545" s="2" t="str">
        <f aca="false">IF(OR(3キー同時!$B$6="",3キー同時!$G$6=""),"",IF(3キー同時!I12="","",SUBSTITUTE(SUBSTITUTE(3キー同時!I12," ",""),"　","")))</f>
        <v/>
      </c>
      <c r="H1545" s="2" t="str">
        <f aca="false">IF($G1545="","",3キー同時!$B$6)</f>
        <v/>
      </c>
      <c r="I1545" s="2" t="str">
        <f aca="false">IF($G1545="","",3キー同時!$G$6)</f>
        <v/>
      </c>
      <c r="J1545" s="2" t="str">
        <f aca="false">IF($G1545="","","a")</f>
        <v/>
      </c>
      <c r="K1545" s="2" t="str">
        <f aca="false">""</f>
        <v/>
      </c>
      <c r="L1545" s="2" t="str">
        <f aca="false">IF($G1545="","","同時")</f>
        <v/>
      </c>
      <c r="M1545" s="2" t="str">
        <f aca="false">IF($G1545="","",IF(ISNA(MATCH($G1545,個別指定!$A:$A,0)),"行なし",""))</f>
        <v/>
      </c>
      <c r="N1545" s="2" t="str">
        <f aca="false">IF($G1545="","",IF(COUNTIF($G$2:$G$4460,$G1545)&gt;1,"重複",""))</f>
        <v/>
      </c>
    </row>
    <row r="1546" customFormat="false" ht="16.5" hidden="false" customHeight="true" outlineLevel="0" collapsed="false">
      <c r="A1546" s="2" t="s">
        <v>416</v>
      </c>
      <c r="B1546" s="2" t="s">
        <v>417</v>
      </c>
      <c r="C1546" s="2" t="s">
        <v>25</v>
      </c>
      <c r="D1546" s="2" t="str">
        <f aca="false">IF(3キー同時!$B$6="","",3キー同時!$B$6)</f>
        <v>h</v>
      </c>
      <c r="E1546" s="2" t="str">
        <f aca="false">IF(3キー同時!$G$6="","",3キー同時!$G$6)</f>
        <v>m</v>
      </c>
      <c r="F1546" s="2" t="str">
        <f aca="false">""</f>
        <v/>
      </c>
      <c r="G1546" s="2" t="str">
        <f aca="false">IF(OR(3キー同時!$B$6="",3キー同時!$G$6=""),"",IF(3キー同時!M12="","",SUBSTITUTE(SUBSTITUTE(3キー同時!M12," ",""),"　","")))</f>
        <v/>
      </c>
      <c r="H1546" s="2" t="str">
        <f aca="false">IF($G1546="","",3キー同時!$B$6)</f>
        <v/>
      </c>
      <c r="I1546" s="2" t="str">
        <f aca="false">IF($G1546="","",3キー同時!$G$6)</f>
        <v/>
      </c>
      <c r="J1546" s="2" t="str">
        <f aca="false">IF($G1546="","","s")</f>
        <v/>
      </c>
      <c r="K1546" s="2" t="str">
        <f aca="false">""</f>
        <v/>
      </c>
      <c r="L1546" s="2" t="str">
        <f aca="false">IF($G1546="","","同時")</f>
        <v/>
      </c>
      <c r="M1546" s="2" t="str">
        <f aca="false">IF($G1546="","",IF(ISNA(MATCH($G1546,個別指定!$A:$A,0)),"行なし",""))</f>
        <v/>
      </c>
      <c r="N1546" s="2" t="str">
        <f aca="false">IF($G1546="","",IF(COUNTIF($G$2:$G$4460,$G1546)&gt;1,"重複",""))</f>
        <v/>
      </c>
    </row>
    <row r="1547" customFormat="false" ht="16.5" hidden="false" customHeight="true" outlineLevel="0" collapsed="false">
      <c r="A1547" s="2" t="s">
        <v>416</v>
      </c>
      <c r="B1547" s="2" t="s">
        <v>417</v>
      </c>
      <c r="C1547" s="2" t="s">
        <v>26</v>
      </c>
      <c r="D1547" s="2" t="str">
        <f aca="false">IF(3キー同時!$B$6="","",3キー同時!$B$6)</f>
        <v>h</v>
      </c>
      <c r="E1547" s="2" t="str">
        <f aca="false">IF(3キー同時!$G$6="","",3キー同時!$G$6)</f>
        <v>m</v>
      </c>
      <c r="F1547" s="2" t="str">
        <f aca="false">""</f>
        <v/>
      </c>
      <c r="G1547" s="2" t="str">
        <f aca="false">IF(OR(3キー同時!$B$6="",3キー同時!$G$6=""),"",IF(3キー同時!Q12="","",SUBSTITUTE(SUBSTITUTE(3キー同時!Q12," ",""),"　","")))</f>
        <v/>
      </c>
      <c r="H1547" s="2" t="str">
        <f aca="false">IF($G1547="","",3キー同時!$B$6)</f>
        <v/>
      </c>
      <c r="I1547" s="2" t="str">
        <f aca="false">IF($G1547="","",3キー同時!$G$6)</f>
        <v/>
      </c>
      <c r="J1547" s="2" t="str">
        <f aca="false">IF($G1547="","","d")</f>
        <v/>
      </c>
      <c r="K1547" s="2" t="str">
        <f aca="false">""</f>
        <v/>
      </c>
      <c r="L1547" s="2" t="str">
        <f aca="false">IF($G1547="","","同時")</f>
        <v/>
      </c>
      <c r="M1547" s="2" t="str">
        <f aca="false">IF($G1547="","",IF(ISNA(MATCH($G1547,個別指定!$A:$A,0)),"行なし",""))</f>
        <v/>
      </c>
      <c r="N1547" s="2" t="str">
        <f aca="false">IF($G1547="","",IF(COUNTIF($G$2:$G$4460,$G1547)&gt;1,"重複",""))</f>
        <v/>
      </c>
    </row>
    <row r="1548" customFormat="false" ht="16.5" hidden="false" customHeight="true" outlineLevel="0" collapsed="false">
      <c r="A1548" s="2" t="s">
        <v>416</v>
      </c>
      <c r="B1548" s="2" t="s">
        <v>417</v>
      </c>
      <c r="C1548" s="2" t="s">
        <v>27</v>
      </c>
      <c r="D1548" s="2" t="str">
        <f aca="false">IF(3キー同時!$B$6="","",3キー同時!$B$6)</f>
        <v>h</v>
      </c>
      <c r="E1548" s="2" t="str">
        <f aca="false">IF(3キー同時!$G$6="","",3キー同時!$G$6)</f>
        <v>m</v>
      </c>
      <c r="F1548" s="2" t="str">
        <f aca="false">""</f>
        <v/>
      </c>
      <c r="G1548" s="2" t="str">
        <f aca="false">IF(OR(3キー同時!$B$6="",3キー同時!$G$6=""),"",IF(3キー同時!U12="","",SUBSTITUTE(SUBSTITUTE(3キー同時!U12," ",""),"　","")))</f>
        <v/>
      </c>
      <c r="H1548" s="2" t="str">
        <f aca="false">IF($G1548="","",3キー同時!$B$6)</f>
        <v/>
      </c>
      <c r="I1548" s="2" t="str">
        <f aca="false">IF($G1548="","",3キー同時!$G$6)</f>
        <v/>
      </c>
      <c r="J1548" s="2" t="str">
        <f aca="false">IF($G1548="","","f")</f>
        <v/>
      </c>
      <c r="K1548" s="2" t="str">
        <f aca="false">""</f>
        <v/>
      </c>
      <c r="L1548" s="2" t="str">
        <f aca="false">IF($G1548="","","同時")</f>
        <v/>
      </c>
      <c r="M1548" s="2" t="str">
        <f aca="false">IF($G1548="","",IF(ISNA(MATCH($G1548,個別指定!$A:$A,0)),"行なし",""))</f>
        <v/>
      </c>
      <c r="N1548" s="2" t="str">
        <f aca="false">IF($G1548="","",IF(COUNTIF($G$2:$G$4460,$G1548)&gt;1,"重複",""))</f>
        <v/>
      </c>
    </row>
    <row r="1549" customFormat="false" ht="16.5" hidden="false" customHeight="true" outlineLevel="0" collapsed="false">
      <c r="A1549" s="2" t="s">
        <v>416</v>
      </c>
      <c r="B1549" s="2" t="s">
        <v>417</v>
      </c>
      <c r="C1549" s="2" t="s">
        <v>28</v>
      </c>
      <c r="D1549" s="2" t="str">
        <f aca="false">IF(3キー同時!$B$6="","",3キー同時!$B$6)</f>
        <v>h</v>
      </c>
      <c r="E1549" s="2" t="str">
        <f aca="false">IF(3キー同時!$G$6="","",3キー同時!$G$6)</f>
        <v>m</v>
      </c>
      <c r="F1549" s="2" t="str">
        <f aca="false">""</f>
        <v/>
      </c>
      <c r="G1549" s="2" t="str">
        <f aca="false">IF(OR(3キー同時!$B$6="",3キー同時!$G$6=""),"",IF(3キー同時!Y12="","",SUBSTITUTE(SUBSTITUTE(3キー同時!Y12," ",""),"　","")))</f>
        <v/>
      </c>
      <c r="H1549" s="2" t="str">
        <f aca="false">IF($G1549="","",3キー同時!$B$6)</f>
        <v/>
      </c>
      <c r="I1549" s="2" t="str">
        <f aca="false">IF($G1549="","",3キー同時!$G$6)</f>
        <v/>
      </c>
      <c r="J1549" s="2" t="str">
        <f aca="false">IF($G1549="","","g")</f>
        <v/>
      </c>
      <c r="K1549" s="2" t="str">
        <f aca="false">""</f>
        <v/>
      </c>
      <c r="L1549" s="2" t="str">
        <f aca="false">IF($G1549="","","同時")</f>
        <v/>
      </c>
      <c r="M1549" s="2" t="str">
        <f aca="false">IF($G1549="","",IF(ISNA(MATCH($G1549,個別指定!$A:$A,0)),"行なし",""))</f>
        <v/>
      </c>
      <c r="N1549" s="2" t="str">
        <f aca="false">IF($G1549="","",IF(COUNTIF($G$2:$G$4460,$G1549)&gt;1,"重複",""))</f>
        <v/>
      </c>
    </row>
    <row r="1550" customFormat="false" ht="16.5" hidden="false" customHeight="true" outlineLevel="0" collapsed="false">
      <c r="A1550" s="2" t="s">
        <v>416</v>
      </c>
      <c r="B1550" s="2" t="s">
        <v>417</v>
      </c>
      <c r="C1550" s="2" t="s">
        <v>29</v>
      </c>
      <c r="D1550" s="2" t="str">
        <f aca="false">IF(3キー同時!$B$6="","",3キー同時!$B$6)</f>
        <v>h</v>
      </c>
      <c r="E1550" s="2" t="str">
        <f aca="false">IF(3キー同時!$G$6="","",3キー同時!$G$6)</f>
        <v>m</v>
      </c>
      <c r="F1550" s="2" t="str">
        <f aca="false">""</f>
        <v/>
      </c>
      <c r="G1550" s="2" t="str">
        <f aca="false">IF(OR(3キー同時!$B$6="",3キー同時!$G$6=""),"",IF(3キー同時!AC12="","",SUBSTITUTE(SUBSTITUTE(3キー同時!AC12," ",""),"　","")))</f>
        <v/>
      </c>
      <c r="H1550" s="2" t="str">
        <f aca="false">IF($G1550="","",3キー同時!$B$6)</f>
        <v/>
      </c>
      <c r="I1550" s="2" t="str">
        <f aca="false">IF($G1550="","",3キー同時!$G$6)</f>
        <v/>
      </c>
      <c r="J1550" s="2" t="str">
        <f aca="false">IF($G1550="","","h")</f>
        <v/>
      </c>
      <c r="K1550" s="2" t="str">
        <f aca="false">""</f>
        <v/>
      </c>
      <c r="L1550" s="2" t="str">
        <f aca="false">IF($G1550="","","同時")</f>
        <v/>
      </c>
      <c r="M1550" s="2" t="str">
        <f aca="false">IF($G1550="","",IF(ISNA(MATCH($G1550,個別指定!$A:$A,0)),"行なし",""))</f>
        <v/>
      </c>
      <c r="N1550" s="2" t="str">
        <f aca="false">IF($G1550="","",IF(COUNTIF($G$2:$G$4460,$G1550)&gt;1,"重複",""))</f>
        <v/>
      </c>
    </row>
    <row r="1551" customFormat="false" ht="16.5" hidden="false" customHeight="true" outlineLevel="0" collapsed="false">
      <c r="A1551" s="2" t="s">
        <v>416</v>
      </c>
      <c r="B1551" s="2" t="s">
        <v>417</v>
      </c>
      <c r="C1551" s="2" t="s">
        <v>30</v>
      </c>
      <c r="D1551" s="2" t="str">
        <f aca="false">IF(3キー同時!$B$6="","",3キー同時!$B$6)</f>
        <v>h</v>
      </c>
      <c r="E1551" s="2" t="str">
        <f aca="false">IF(3キー同時!$G$6="","",3キー同時!$G$6)</f>
        <v>m</v>
      </c>
      <c r="F1551" s="2" t="str">
        <f aca="false">""</f>
        <v/>
      </c>
      <c r="G1551" s="2" t="str">
        <f aca="false">IF(OR(3キー同時!$B$6="",3キー同時!$G$6=""),"",IF(3キー同時!AG12="","",SUBSTITUTE(SUBSTITUTE(3キー同時!AG12," ",""),"　","")))</f>
        <v/>
      </c>
      <c r="H1551" s="2" t="str">
        <f aca="false">IF($G1551="","",3キー同時!$B$6)</f>
        <v/>
      </c>
      <c r="I1551" s="2" t="str">
        <f aca="false">IF($G1551="","",3キー同時!$G$6)</f>
        <v/>
      </c>
      <c r="J1551" s="2" t="str">
        <f aca="false">IF($G1551="","","j")</f>
        <v/>
      </c>
      <c r="K1551" s="2" t="str">
        <f aca="false">""</f>
        <v/>
      </c>
      <c r="L1551" s="2" t="str">
        <f aca="false">IF($G1551="","","同時")</f>
        <v/>
      </c>
      <c r="M1551" s="2" t="str">
        <f aca="false">IF($G1551="","",IF(ISNA(MATCH($G1551,個別指定!$A:$A,0)),"行なし",""))</f>
        <v/>
      </c>
      <c r="N1551" s="2" t="str">
        <f aca="false">IF($G1551="","",IF(COUNTIF($G$2:$G$4460,$G1551)&gt;1,"重複",""))</f>
        <v/>
      </c>
    </row>
    <row r="1552" customFormat="false" ht="16.5" hidden="false" customHeight="true" outlineLevel="0" collapsed="false">
      <c r="A1552" s="2" t="s">
        <v>416</v>
      </c>
      <c r="B1552" s="2" t="s">
        <v>417</v>
      </c>
      <c r="C1552" s="2" t="s">
        <v>31</v>
      </c>
      <c r="D1552" s="2" t="str">
        <f aca="false">IF(3キー同時!$B$6="","",3キー同時!$B$6)</f>
        <v>h</v>
      </c>
      <c r="E1552" s="2" t="str">
        <f aca="false">IF(3キー同時!$G$6="","",3キー同時!$G$6)</f>
        <v>m</v>
      </c>
      <c r="F1552" s="2" t="str">
        <f aca="false">""</f>
        <v/>
      </c>
      <c r="G1552" s="2" t="str">
        <f aca="false">IF(OR(3キー同時!$B$6="",3キー同時!$G$6=""),"",IF(3キー同時!AK12="","",SUBSTITUTE(SUBSTITUTE(3キー同時!AK12," ",""),"　","")))</f>
        <v/>
      </c>
      <c r="H1552" s="2" t="str">
        <f aca="false">IF($G1552="","",3キー同時!$B$6)</f>
        <v/>
      </c>
      <c r="I1552" s="2" t="str">
        <f aca="false">IF($G1552="","",3キー同時!$G$6)</f>
        <v/>
      </c>
      <c r="J1552" s="2" t="str">
        <f aca="false">IF($G1552="","","k")</f>
        <v/>
      </c>
      <c r="K1552" s="2" t="str">
        <f aca="false">""</f>
        <v/>
      </c>
      <c r="L1552" s="2" t="str">
        <f aca="false">IF($G1552="","","同時")</f>
        <v/>
      </c>
      <c r="M1552" s="2" t="str">
        <f aca="false">IF($G1552="","",IF(ISNA(MATCH($G1552,個別指定!$A:$A,0)),"行なし",""))</f>
        <v/>
      </c>
      <c r="N1552" s="2" t="str">
        <f aca="false">IF($G1552="","",IF(COUNTIF($G$2:$G$4460,$G1552)&gt;1,"重複",""))</f>
        <v/>
      </c>
    </row>
    <row r="1553" customFormat="false" ht="16.5" hidden="false" customHeight="true" outlineLevel="0" collapsed="false">
      <c r="A1553" s="2" t="s">
        <v>416</v>
      </c>
      <c r="B1553" s="2" t="s">
        <v>417</v>
      </c>
      <c r="C1553" s="2" t="s">
        <v>32</v>
      </c>
      <c r="D1553" s="2" t="str">
        <f aca="false">IF(3キー同時!$B$6="","",3キー同時!$B$6)</f>
        <v>h</v>
      </c>
      <c r="E1553" s="2" t="str">
        <f aca="false">IF(3キー同時!$G$6="","",3キー同時!$G$6)</f>
        <v>m</v>
      </c>
      <c r="F1553" s="2" t="str">
        <f aca="false">""</f>
        <v/>
      </c>
      <c r="G1553" s="2" t="str">
        <f aca="false">IF(OR(3キー同時!$B$6="",3キー同時!$G$6=""),"",IF(3キー同時!AO12="","",SUBSTITUTE(SUBSTITUTE(3キー同時!AO12," ",""),"　","")))</f>
        <v/>
      </c>
      <c r="H1553" s="2" t="str">
        <f aca="false">IF($G1553="","",3キー同時!$B$6)</f>
        <v/>
      </c>
      <c r="I1553" s="2" t="str">
        <f aca="false">IF($G1553="","",3キー同時!$G$6)</f>
        <v/>
      </c>
      <c r="J1553" s="2" t="str">
        <f aca="false">IF($G1553="","","l")</f>
        <v/>
      </c>
      <c r="K1553" s="2" t="str">
        <f aca="false">""</f>
        <v/>
      </c>
      <c r="L1553" s="2" t="str">
        <f aca="false">IF($G1553="","","同時")</f>
        <v/>
      </c>
      <c r="M1553" s="2" t="str">
        <f aca="false">IF($G1553="","",IF(ISNA(MATCH($G1553,個別指定!$A:$A,0)),"行なし",""))</f>
        <v/>
      </c>
      <c r="N1553" s="2" t="str">
        <f aca="false">IF($G1553="","",IF(COUNTIF($G$2:$G$4460,$G1553)&gt;1,"重複",""))</f>
        <v/>
      </c>
    </row>
    <row r="1554" customFormat="false" ht="16.5" hidden="false" customHeight="true" outlineLevel="0" collapsed="false">
      <c r="A1554" s="2" t="s">
        <v>416</v>
      </c>
      <c r="B1554" s="2" t="s">
        <v>417</v>
      </c>
      <c r="C1554" s="2" t="s">
        <v>33</v>
      </c>
      <c r="D1554" s="2" t="str">
        <f aca="false">IF(3キー同時!$B$6="","",3キー同時!$B$6)</f>
        <v>h</v>
      </c>
      <c r="E1554" s="2" t="str">
        <f aca="false">IF(3キー同時!$G$6="","",3キー同時!$G$6)</f>
        <v>m</v>
      </c>
      <c r="F1554" s="2" t="str">
        <f aca="false">""</f>
        <v/>
      </c>
      <c r="G1554" s="2" t="str">
        <f aca="false">IF(OR(3キー同時!$B$6="",3キー同時!$G$6=""),"",IF(3キー同時!AS12="","",SUBSTITUTE(SUBSTITUTE(3キー同時!AS12," ",""),"　","")))</f>
        <v/>
      </c>
      <c r="H1554" s="2" t="str">
        <f aca="false">IF($G1554="","",3キー同時!$B$6)</f>
        <v/>
      </c>
      <c r="I1554" s="2" t="str">
        <f aca="false">IF($G1554="","",3キー同時!$G$6)</f>
        <v/>
      </c>
      <c r="J1554" s="2" t="str">
        <f aca="false">IF($G1554="","",";")</f>
        <v/>
      </c>
      <c r="K1554" s="2" t="str">
        <f aca="false">""</f>
        <v/>
      </c>
      <c r="L1554" s="2" t="str">
        <f aca="false">IF($G1554="","","同時")</f>
        <v/>
      </c>
      <c r="M1554" s="2" t="str">
        <f aca="false">IF($G1554="","",IF(ISNA(MATCH($G1554,個別指定!$A:$A,0)),"行なし",""))</f>
        <v/>
      </c>
      <c r="N1554" s="2" t="str">
        <f aca="false">IF($G1554="","",IF(COUNTIF($G$2:$G$4460,$G1554)&gt;1,"重複",""))</f>
        <v/>
      </c>
    </row>
    <row r="1555" customFormat="false" ht="16.5" hidden="false" customHeight="true" outlineLevel="0" collapsed="false">
      <c r="A1555" s="2" t="s">
        <v>416</v>
      </c>
      <c r="B1555" s="2" t="s">
        <v>417</v>
      </c>
      <c r="C1555" s="2" t="s">
        <v>34</v>
      </c>
      <c r="D1555" s="2" t="str">
        <f aca="false">IF(3キー同時!$B$6="","",3キー同時!$B$6)</f>
        <v>h</v>
      </c>
      <c r="E1555" s="2" t="str">
        <f aca="false">IF(3キー同時!$G$6="","",3キー同時!$G$6)</f>
        <v>m</v>
      </c>
      <c r="F1555" s="2" t="str">
        <f aca="false">""</f>
        <v/>
      </c>
      <c r="G1555" s="2" t="str">
        <f aca="false">IF(OR(3キー同時!$B$6="",3キー同時!$G$6=""),"",IF(3キー同時!AW12="","",SUBSTITUTE(SUBSTITUTE(3キー同時!AW12," ",""),"　","")))</f>
        <v/>
      </c>
      <c r="H1555" s="2" t="str">
        <f aca="false">IF($G1555="","",3キー同時!$B$6)</f>
        <v/>
      </c>
      <c r="I1555" s="2" t="str">
        <f aca="false">IF($G1555="","",3キー同時!$G$6)</f>
        <v/>
      </c>
      <c r="J1555" s="2" t="str">
        <f aca="false">IF($G1555="","","'")</f>
        <v/>
      </c>
      <c r="K1555" s="2" t="str">
        <f aca="false">""</f>
        <v/>
      </c>
      <c r="L1555" s="2" t="str">
        <f aca="false">IF($G1555="","","同時")</f>
        <v/>
      </c>
      <c r="M1555" s="2" t="str">
        <f aca="false">IF($G1555="","",IF(ISNA(MATCH($G1555,個別指定!$A:$A,0)),"行なし",""))</f>
        <v/>
      </c>
      <c r="N1555" s="2" t="str">
        <f aca="false">IF($G1555="","",IF(COUNTIF($G$2:$G$4460,$G1555)&gt;1,"重複",""))</f>
        <v/>
      </c>
    </row>
    <row r="1556" customFormat="false" ht="16.5" hidden="false" customHeight="true" outlineLevel="0" collapsed="false">
      <c r="A1556" s="2" t="s">
        <v>416</v>
      </c>
      <c r="B1556" s="2" t="s">
        <v>417</v>
      </c>
      <c r="C1556" s="2" t="s">
        <v>35</v>
      </c>
      <c r="D1556" s="2" t="str">
        <f aca="false">IF(3キー同時!$B$6="","",3キー同時!$B$6)</f>
        <v>h</v>
      </c>
      <c r="E1556" s="2" t="str">
        <f aca="false">IF(3キー同時!$G$6="","",3キー同時!$G$6)</f>
        <v>m</v>
      </c>
      <c r="F1556" s="2" t="str">
        <f aca="false">""</f>
        <v/>
      </c>
      <c r="G1556" s="2" t="str">
        <f aca="false">IF(OR(3キー同時!$B$6="",3キー同時!$G$6=""),"",IF(3キー同時!K14="","",SUBSTITUTE(SUBSTITUTE(3キー同時!K14," ",""),"　","")))</f>
        <v/>
      </c>
      <c r="H1556" s="2" t="str">
        <f aca="false">IF($G1556="","",3キー同時!$B$6)</f>
        <v/>
      </c>
      <c r="I1556" s="2" t="str">
        <f aca="false">IF($G1556="","",3キー同時!$G$6)</f>
        <v/>
      </c>
      <c r="J1556" s="2" t="str">
        <f aca="false">IF($G1556="","","z")</f>
        <v/>
      </c>
      <c r="K1556" s="2" t="str">
        <f aca="false">""</f>
        <v/>
      </c>
      <c r="L1556" s="2" t="str">
        <f aca="false">IF($G1556="","","同時")</f>
        <v/>
      </c>
      <c r="M1556" s="2" t="str">
        <f aca="false">IF($G1556="","",IF(ISNA(MATCH($G1556,個別指定!$A:$A,0)),"行なし",""))</f>
        <v/>
      </c>
      <c r="N1556" s="2" t="str">
        <f aca="false">IF($G1556="","",IF(COUNTIF($G$2:$G$4460,$G1556)&gt;1,"重複",""))</f>
        <v/>
      </c>
    </row>
    <row r="1557" customFormat="false" ht="16.5" hidden="false" customHeight="true" outlineLevel="0" collapsed="false">
      <c r="A1557" s="2" t="s">
        <v>416</v>
      </c>
      <c r="B1557" s="2" t="s">
        <v>417</v>
      </c>
      <c r="C1557" s="2" t="s">
        <v>36</v>
      </c>
      <c r="D1557" s="2" t="str">
        <f aca="false">IF(3キー同時!$B$6="","",3キー同時!$B$6)</f>
        <v>h</v>
      </c>
      <c r="E1557" s="2" t="str">
        <f aca="false">IF(3キー同時!$G$6="","",3キー同時!$G$6)</f>
        <v>m</v>
      </c>
      <c r="F1557" s="2" t="str">
        <f aca="false">""</f>
        <v/>
      </c>
      <c r="G1557" s="2" t="str">
        <f aca="false">IF(OR(3キー同時!$B$6="",3キー同時!$G$6=""),"",IF(3キー同時!O14="","",SUBSTITUTE(SUBSTITUTE(3キー同時!O14," ",""),"　","")))</f>
        <v>ぴゃ</v>
      </c>
      <c r="H1557" s="2" t="str">
        <f aca="false">IF($G1557="","",3キー同時!$B$6)</f>
        <v>h</v>
      </c>
      <c r="I1557" s="2" t="str">
        <f aca="false">IF($G1557="","",3キー同時!$G$6)</f>
        <v>m</v>
      </c>
      <c r="J1557" s="2" t="str">
        <f aca="false">IF($G1557="","","x")</f>
        <v>x</v>
      </c>
      <c r="K1557" s="2" t="str">
        <f aca="false">""</f>
        <v/>
      </c>
      <c r="L1557" s="2" t="str">
        <f aca="false">IF($G1557="","","同時")</f>
        <v>同時</v>
      </c>
      <c r="M1557" s="2" t="str">
        <f aca="false">IF($G1557="","",IF(ISNA(MATCH($G1557,個別指定!$A:$A,0)),"行なし",""))</f>
        <v/>
      </c>
      <c r="N1557" s="2" t="str">
        <f aca="false">IF($G1557="","",IF(COUNTIF($G$2:$G$4460,$G1557)&gt;1,"重複",""))</f>
        <v/>
      </c>
    </row>
    <row r="1558" customFormat="false" ht="16.5" hidden="false" customHeight="true" outlineLevel="0" collapsed="false">
      <c r="A1558" s="2" t="s">
        <v>416</v>
      </c>
      <c r="B1558" s="2" t="s">
        <v>417</v>
      </c>
      <c r="C1558" s="2" t="s">
        <v>37</v>
      </c>
      <c r="D1558" s="2" t="str">
        <f aca="false">IF(3キー同時!$B$6="","",3キー同時!$B$6)</f>
        <v>h</v>
      </c>
      <c r="E1558" s="2" t="str">
        <f aca="false">IF(3キー同時!$G$6="","",3キー同時!$G$6)</f>
        <v>m</v>
      </c>
      <c r="F1558" s="2" t="str">
        <f aca="false">""</f>
        <v/>
      </c>
      <c r="G1558" s="2" t="str">
        <f aca="false">IF(OR(3キー同時!$B$6="",3キー同時!$G$6=""),"",IF(3キー同時!S14="","",SUBSTITUTE(SUBSTITUTE(3キー同時!S14," ",""),"　","")))</f>
        <v/>
      </c>
      <c r="H1558" s="2" t="str">
        <f aca="false">IF($G1558="","",3キー同時!$B$6)</f>
        <v/>
      </c>
      <c r="I1558" s="2" t="str">
        <f aca="false">IF($G1558="","",3キー同時!$G$6)</f>
        <v/>
      </c>
      <c r="J1558" s="2" t="str">
        <f aca="false">IF($G1558="","","c")</f>
        <v/>
      </c>
      <c r="K1558" s="2" t="str">
        <f aca="false">""</f>
        <v/>
      </c>
      <c r="L1558" s="2" t="str">
        <f aca="false">IF($G1558="","","同時")</f>
        <v/>
      </c>
      <c r="M1558" s="2" t="str">
        <f aca="false">IF($G1558="","",IF(ISNA(MATCH($G1558,個別指定!$A:$A,0)),"行なし",""))</f>
        <v/>
      </c>
      <c r="N1558" s="2" t="str">
        <f aca="false">IF($G1558="","",IF(COUNTIF($G$2:$G$4460,$G1558)&gt;1,"重複",""))</f>
        <v/>
      </c>
    </row>
    <row r="1559" customFormat="false" ht="16.5" hidden="false" customHeight="true" outlineLevel="0" collapsed="false">
      <c r="A1559" s="2" t="s">
        <v>416</v>
      </c>
      <c r="B1559" s="2" t="s">
        <v>417</v>
      </c>
      <c r="C1559" s="2" t="s">
        <v>38</v>
      </c>
      <c r="D1559" s="2" t="str">
        <f aca="false">IF(3キー同時!$B$6="","",3キー同時!$B$6)</f>
        <v>h</v>
      </c>
      <c r="E1559" s="2" t="str">
        <f aca="false">IF(3キー同時!$G$6="","",3キー同時!$G$6)</f>
        <v>m</v>
      </c>
      <c r="F1559" s="2" t="str">
        <f aca="false">""</f>
        <v/>
      </c>
      <c r="G1559" s="2" t="str">
        <f aca="false">IF(OR(3キー同時!$B$6="",3キー同時!$G$6=""),"",IF(3キー同時!W14="","",SUBSTITUTE(SUBSTITUTE(3キー同時!W14," ",""),"　","")))</f>
        <v/>
      </c>
      <c r="H1559" s="2" t="str">
        <f aca="false">IF($G1559="","",3キー同時!$B$6)</f>
        <v/>
      </c>
      <c r="I1559" s="2" t="str">
        <f aca="false">IF($G1559="","",3キー同時!$G$6)</f>
        <v/>
      </c>
      <c r="J1559" s="2" t="str">
        <f aca="false">IF($G1559="","","v")</f>
        <v/>
      </c>
      <c r="K1559" s="2" t="str">
        <f aca="false">""</f>
        <v/>
      </c>
      <c r="L1559" s="2" t="str">
        <f aca="false">IF($G1559="","","同時")</f>
        <v/>
      </c>
      <c r="M1559" s="2" t="str">
        <f aca="false">IF($G1559="","",IF(ISNA(MATCH($G1559,個別指定!$A:$A,0)),"行なし",""))</f>
        <v/>
      </c>
      <c r="N1559" s="2" t="str">
        <f aca="false">IF($G1559="","",IF(COUNTIF($G$2:$G$4460,$G1559)&gt;1,"重複",""))</f>
        <v/>
      </c>
    </row>
    <row r="1560" customFormat="false" ht="16.5" hidden="false" customHeight="true" outlineLevel="0" collapsed="false">
      <c r="A1560" s="2" t="s">
        <v>416</v>
      </c>
      <c r="B1560" s="2" t="s">
        <v>417</v>
      </c>
      <c r="C1560" s="2" t="s">
        <v>39</v>
      </c>
      <c r="D1560" s="2" t="str">
        <f aca="false">IF(3キー同時!$B$6="","",3キー同時!$B$6)</f>
        <v>h</v>
      </c>
      <c r="E1560" s="2" t="str">
        <f aca="false">IF(3キー同時!$G$6="","",3キー同時!$G$6)</f>
        <v>m</v>
      </c>
      <c r="F1560" s="2" t="str">
        <f aca="false">""</f>
        <v/>
      </c>
      <c r="G1560" s="2" t="str">
        <f aca="false">IF(OR(3キー同時!$B$6="",3キー同時!$G$6=""),"",IF(3キー同時!AA14="","",SUBSTITUTE(SUBSTITUTE(3キー同時!AA14," ",""),"　","")))</f>
        <v/>
      </c>
      <c r="H1560" s="2" t="str">
        <f aca="false">IF($G1560="","",3キー同時!$B$6)</f>
        <v/>
      </c>
      <c r="I1560" s="2" t="str">
        <f aca="false">IF($G1560="","",3キー同時!$G$6)</f>
        <v/>
      </c>
      <c r="J1560" s="2" t="str">
        <f aca="false">IF($G1560="","","b")</f>
        <v/>
      </c>
      <c r="K1560" s="2" t="str">
        <f aca="false">""</f>
        <v/>
      </c>
      <c r="L1560" s="2" t="str">
        <f aca="false">IF($G1560="","","同時")</f>
        <v/>
      </c>
      <c r="M1560" s="2" t="str">
        <f aca="false">IF($G1560="","",IF(ISNA(MATCH($G1560,個別指定!$A:$A,0)),"行なし",""))</f>
        <v/>
      </c>
      <c r="N1560" s="2" t="str">
        <f aca="false">IF($G1560="","",IF(COUNTIF($G$2:$G$4460,$G1560)&gt;1,"重複",""))</f>
        <v/>
      </c>
    </row>
    <row r="1561" customFormat="false" ht="16.5" hidden="false" customHeight="true" outlineLevel="0" collapsed="false">
      <c r="A1561" s="2" t="s">
        <v>416</v>
      </c>
      <c r="B1561" s="2" t="s">
        <v>417</v>
      </c>
      <c r="C1561" s="2" t="s">
        <v>40</v>
      </c>
      <c r="D1561" s="2" t="str">
        <f aca="false">IF(3キー同時!$B$6="","",3キー同時!$B$6)</f>
        <v>h</v>
      </c>
      <c r="E1561" s="2" t="str">
        <f aca="false">IF(3キー同時!$G$6="","",3キー同時!$G$6)</f>
        <v>m</v>
      </c>
      <c r="F1561" s="2" t="str">
        <f aca="false">""</f>
        <v/>
      </c>
      <c r="G1561" s="2" t="str">
        <f aca="false">IF(OR(3キー同時!$B$6="",3キー同時!$G$6=""),"",IF(3キー同時!AE14="","",SUBSTITUTE(SUBSTITUTE(3キー同時!AE14," ",""),"　","")))</f>
        <v/>
      </c>
      <c r="H1561" s="2" t="str">
        <f aca="false">IF($G1561="","",3キー同時!$B$6)</f>
        <v/>
      </c>
      <c r="I1561" s="2" t="str">
        <f aca="false">IF($G1561="","",3キー同時!$G$6)</f>
        <v/>
      </c>
      <c r="J1561" s="2" t="str">
        <f aca="false">IF($G1561="","","n")</f>
        <v/>
      </c>
      <c r="K1561" s="2" t="str">
        <f aca="false">""</f>
        <v/>
      </c>
      <c r="L1561" s="2" t="str">
        <f aca="false">IF($G1561="","","同時")</f>
        <v/>
      </c>
      <c r="M1561" s="2" t="str">
        <f aca="false">IF($G1561="","",IF(ISNA(MATCH($G1561,個別指定!$A:$A,0)),"行なし",""))</f>
        <v/>
      </c>
      <c r="N1561" s="2" t="str">
        <f aca="false">IF($G1561="","",IF(COUNTIF($G$2:$G$4460,$G1561)&gt;1,"重複",""))</f>
        <v/>
      </c>
    </row>
    <row r="1562" customFormat="false" ht="16.5" hidden="false" customHeight="true" outlineLevel="0" collapsed="false">
      <c r="A1562" s="2" t="s">
        <v>416</v>
      </c>
      <c r="B1562" s="2" t="s">
        <v>417</v>
      </c>
      <c r="C1562" s="2" t="s">
        <v>41</v>
      </c>
      <c r="D1562" s="2" t="str">
        <f aca="false">IF(3キー同時!$B$6="","",3キー同時!$B$6)</f>
        <v>h</v>
      </c>
      <c r="E1562" s="2" t="str">
        <f aca="false">IF(3キー同時!$G$6="","",3キー同時!$G$6)</f>
        <v>m</v>
      </c>
      <c r="F1562" s="2" t="str">
        <f aca="false">""</f>
        <v/>
      </c>
      <c r="G1562" s="2" t="str">
        <f aca="false">IF(OR(3キー同時!$B$6="",3キー同時!$G$6=""),"",IF(3キー同時!AI14="","",SUBSTITUTE(SUBSTITUTE(3キー同時!AI14," ",""),"　","")))</f>
        <v/>
      </c>
      <c r="H1562" s="2" t="str">
        <f aca="false">IF($G1562="","",3キー同時!$B$6)</f>
        <v/>
      </c>
      <c r="I1562" s="2" t="str">
        <f aca="false">IF($G1562="","",3キー同時!$G$6)</f>
        <v/>
      </c>
      <c r="J1562" s="2" t="str">
        <f aca="false">IF($G1562="","","m")</f>
        <v/>
      </c>
      <c r="K1562" s="2" t="str">
        <f aca="false">""</f>
        <v/>
      </c>
      <c r="L1562" s="2" t="str">
        <f aca="false">IF($G1562="","","同時")</f>
        <v/>
      </c>
      <c r="M1562" s="2" t="str">
        <f aca="false">IF($G1562="","",IF(ISNA(MATCH($G1562,個別指定!$A:$A,0)),"行なし",""))</f>
        <v/>
      </c>
      <c r="N1562" s="2" t="str">
        <f aca="false">IF($G1562="","",IF(COUNTIF($G$2:$G$4460,$G1562)&gt;1,"重複",""))</f>
        <v/>
      </c>
    </row>
    <row r="1563" customFormat="false" ht="16.5" hidden="false" customHeight="true" outlineLevel="0" collapsed="false">
      <c r="A1563" s="2" t="s">
        <v>416</v>
      </c>
      <c r="B1563" s="2" t="s">
        <v>417</v>
      </c>
      <c r="C1563" s="2" t="s">
        <v>42</v>
      </c>
      <c r="D1563" s="2" t="str">
        <f aca="false">IF(3キー同時!$B$6="","",3キー同時!$B$6)</f>
        <v>h</v>
      </c>
      <c r="E1563" s="2" t="str">
        <f aca="false">IF(3キー同時!$G$6="","",3キー同時!$G$6)</f>
        <v>m</v>
      </c>
      <c r="F1563" s="2" t="str">
        <f aca="false">""</f>
        <v/>
      </c>
      <c r="G1563" s="2" t="str">
        <f aca="false">IF(OR(3キー同時!$B$6="",3キー同時!$G$6=""),"",IF(3キー同時!AM14="","",SUBSTITUTE(SUBSTITUTE(3キー同時!AM14," ",""),"　","")))</f>
        <v/>
      </c>
      <c r="H1563" s="2" t="str">
        <f aca="false">IF($G1563="","",3キー同時!$B$6)</f>
        <v/>
      </c>
      <c r="I1563" s="2" t="str">
        <f aca="false">IF($G1563="","",3キー同時!$G$6)</f>
        <v/>
      </c>
      <c r="J1563" s="2" t="str">
        <f aca="false">IF($G1563="","",",")</f>
        <v/>
      </c>
      <c r="K1563" s="2" t="str">
        <f aca="false">""</f>
        <v/>
      </c>
      <c r="L1563" s="2" t="str">
        <f aca="false">IF($G1563="","","同時")</f>
        <v/>
      </c>
      <c r="M1563" s="2" t="str">
        <f aca="false">IF($G1563="","",IF(ISNA(MATCH($G1563,個別指定!$A:$A,0)),"行なし",""))</f>
        <v/>
      </c>
      <c r="N1563" s="2" t="str">
        <f aca="false">IF($G1563="","",IF(COUNTIF($G$2:$G$4460,$G1563)&gt;1,"重複",""))</f>
        <v/>
      </c>
    </row>
    <row r="1564" customFormat="false" ht="16.5" hidden="false" customHeight="true" outlineLevel="0" collapsed="false">
      <c r="A1564" s="2" t="s">
        <v>416</v>
      </c>
      <c r="B1564" s="2" t="s">
        <v>417</v>
      </c>
      <c r="C1564" s="2" t="s">
        <v>43</v>
      </c>
      <c r="D1564" s="2" t="str">
        <f aca="false">IF(3キー同時!$B$6="","",3キー同時!$B$6)</f>
        <v>h</v>
      </c>
      <c r="E1564" s="2" t="str">
        <f aca="false">IF(3キー同時!$G$6="","",3キー同時!$G$6)</f>
        <v>m</v>
      </c>
      <c r="F1564" s="2" t="str">
        <f aca="false">""</f>
        <v/>
      </c>
      <c r="G1564" s="2" t="str">
        <f aca="false">IF(OR(3キー同時!$B$6="",3キー同時!$G$6=""),"",IF(3キー同時!AQ14="","",SUBSTITUTE(SUBSTITUTE(3キー同時!AQ14," ",""),"　","")))</f>
        <v/>
      </c>
      <c r="H1564" s="2" t="str">
        <f aca="false">IF($G1564="","",3キー同時!$B$6)</f>
        <v/>
      </c>
      <c r="I1564" s="2" t="str">
        <f aca="false">IF($G1564="","",3キー同時!$G$6)</f>
        <v/>
      </c>
      <c r="J1564" s="2" t="str">
        <f aca="false">IF($G1564="","",".")</f>
        <v/>
      </c>
      <c r="K1564" s="2" t="str">
        <f aca="false">""</f>
        <v/>
      </c>
      <c r="L1564" s="2" t="str">
        <f aca="false">IF($G1564="","","同時")</f>
        <v/>
      </c>
      <c r="M1564" s="2" t="str">
        <f aca="false">IF($G1564="","",IF(ISNA(MATCH($G1564,個別指定!$A:$A,0)),"行なし",""))</f>
        <v/>
      </c>
      <c r="N1564" s="2" t="str">
        <f aca="false">IF($G1564="","",IF(COUNTIF($G$2:$G$4460,$G1564)&gt;1,"重複",""))</f>
        <v/>
      </c>
    </row>
    <row r="1565" customFormat="false" ht="16.5" hidden="false" customHeight="true" outlineLevel="0" collapsed="false">
      <c r="A1565" s="2" t="s">
        <v>416</v>
      </c>
      <c r="B1565" s="2" t="s">
        <v>417</v>
      </c>
      <c r="C1565" s="2" t="s">
        <v>44</v>
      </c>
      <c r="D1565" s="2" t="str">
        <f aca="false">IF(3キー同時!$B$6="","",3キー同時!$B$6)</f>
        <v>h</v>
      </c>
      <c r="E1565" s="2" t="str">
        <f aca="false">IF(3キー同時!$G$6="","",3キー同時!$G$6)</f>
        <v>m</v>
      </c>
      <c r="F1565" s="2" t="str">
        <f aca="false">""</f>
        <v/>
      </c>
      <c r="G1565" s="2" t="str">
        <f aca="false">IF(OR(3キー同時!$B$6="",3キー同時!$G$6=""),"",IF(3キー同時!AU14="","",SUBSTITUTE(SUBSTITUTE(3キー同時!AU14," ",""),"　","")))</f>
        <v/>
      </c>
      <c r="H1565" s="2" t="str">
        <f aca="false">IF($G1565="","",3キー同時!$B$6)</f>
        <v/>
      </c>
      <c r="I1565" s="2" t="str">
        <f aca="false">IF($G1565="","",3キー同時!$G$6)</f>
        <v/>
      </c>
      <c r="J1565" s="2" t="str">
        <f aca="false">IF($G1565="","","/")</f>
        <v/>
      </c>
      <c r="K1565" s="2" t="str">
        <f aca="false">""</f>
        <v/>
      </c>
      <c r="L1565" s="2" t="str">
        <f aca="false">IF($G1565="","","同時")</f>
        <v/>
      </c>
      <c r="M1565" s="2" t="str">
        <f aca="false">IF($G1565="","",IF(ISNA(MATCH($G1565,個別指定!$A:$A,0)),"行なし",""))</f>
        <v/>
      </c>
      <c r="N1565" s="2" t="str">
        <f aca="false">IF($G1565="","",IF(COUNTIF($G$2:$G$4460,$G1565)&gt;1,"重複",""))</f>
        <v/>
      </c>
    </row>
    <row r="1566" customFormat="false" ht="16.5" hidden="false" customHeight="true" outlineLevel="0" collapsed="false">
      <c r="A1566" s="2" t="s">
        <v>416</v>
      </c>
      <c r="B1566" s="2" t="s">
        <v>417</v>
      </c>
      <c r="C1566" s="2" t="s">
        <v>48</v>
      </c>
      <c r="D1566" s="2" t="str">
        <f aca="false">IF(3キー同時!$B$6="","",3キー同時!$B$6)</f>
        <v>h</v>
      </c>
      <c r="E1566" s="2" t="str">
        <f aca="false">IF(3キー同時!$G$6="","",3キー同時!$G$6)</f>
        <v>m</v>
      </c>
      <c r="F1566" s="2" t="str">
        <f aca="false">""</f>
        <v/>
      </c>
      <c r="G1566" s="2" t="str">
        <f aca="false">IF(OR(3キー同時!$B$6="",3キー同時!$G$6=""),"",IF(3キー同時!P16="","",SUBSTITUTE(SUBSTITUTE(3キー同時!P16," ",""),"　","")))</f>
        <v/>
      </c>
      <c r="H1566" s="2" t="str">
        <f aca="false">IF($G1566="","",3キー同時!$B$6)</f>
        <v/>
      </c>
      <c r="I1566" s="2" t="str">
        <f aca="false">IF($G1566="","",3キー同時!$G$6)</f>
        <v/>
      </c>
      <c r="J1566" s="2" t="str">
        <f aca="false">IF($G1566="","","muhenkan")</f>
        <v/>
      </c>
      <c r="K1566" s="2" t="str">
        <f aca="false">""</f>
        <v/>
      </c>
      <c r="L1566" s="2" t="str">
        <f aca="false">IF($G1566="","","同時")</f>
        <v/>
      </c>
      <c r="M1566" s="2" t="str">
        <f aca="false">IF($G1566="","",IF(ISNA(MATCH($G1566,個別指定!$A:$A,0)),"行なし",""))</f>
        <v/>
      </c>
      <c r="N1566" s="2" t="str">
        <f aca="false">IF($G1566="","",IF(COUNTIF($G$2:$G$4460,$G1566)&gt;1,"重複",""))</f>
        <v/>
      </c>
    </row>
    <row r="1567" customFormat="false" ht="16.5" hidden="false" customHeight="true" outlineLevel="0" collapsed="false">
      <c r="A1567" s="2" t="s">
        <v>416</v>
      </c>
      <c r="B1567" s="2" t="s">
        <v>417</v>
      </c>
      <c r="C1567" s="2" t="s">
        <v>50</v>
      </c>
      <c r="D1567" s="2" t="str">
        <f aca="false">IF(3キー同時!$B$6="","",3キー同時!$B$6)</f>
        <v>h</v>
      </c>
      <c r="E1567" s="2" t="str">
        <f aca="false">IF(3キー同時!$G$6="","",3キー同時!$G$6)</f>
        <v>m</v>
      </c>
      <c r="F1567" s="2" t="str">
        <f aca="false">""</f>
        <v/>
      </c>
      <c r="G1567" s="2" t="str">
        <f aca="false">IF(OR(3キー同時!$B$6="",3キー同時!$G$6=""),"",IF(3キー同時!T16="","",SUBSTITUTE(SUBSTITUTE(3キー同時!T16," ",""),"　","")))</f>
        <v/>
      </c>
      <c r="H1567" s="2" t="str">
        <f aca="false">IF($G1567="","",3キー同時!$B$6)</f>
        <v/>
      </c>
      <c r="I1567" s="2" t="str">
        <f aca="false">IF($G1567="","",3キー同時!$G$6)</f>
        <v/>
      </c>
      <c r="J1567" s="2" t="str">
        <f aca="false">IF($G1567="","","space")</f>
        <v/>
      </c>
      <c r="K1567" s="2" t="str">
        <f aca="false">""</f>
        <v/>
      </c>
      <c r="L1567" s="2" t="str">
        <f aca="false">IF($G1567="","","同時")</f>
        <v/>
      </c>
      <c r="M1567" s="2" t="str">
        <f aca="false">IF($G1567="","",IF(ISNA(MATCH($G1567,個別指定!$A:$A,0)),"行なし",""))</f>
        <v/>
      </c>
      <c r="N1567" s="2" t="str">
        <f aca="false">IF($G1567="","",IF(COUNTIF($G$2:$G$4460,$G1567)&gt;1,"重複",""))</f>
        <v/>
      </c>
    </row>
    <row r="1568" customFormat="false" ht="16.5" hidden="false" customHeight="true" outlineLevel="0" collapsed="false">
      <c r="A1568" s="2" t="s">
        <v>416</v>
      </c>
      <c r="B1568" s="2" t="s">
        <v>417</v>
      </c>
      <c r="C1568" s="2" t="s">
        <v>45</v>
      </c>
      <c r="D1568" s="2" t="str">
        <f aca="false">IF(3キー同時!$B$6="","",3キー同時!$B$6)</f>
        <v>h</v>
      </c>
      <c r="E1568" s="2" t="str">
        <f aca="false">IF(3キー同時!$G$6="","",3キー同時!$G$6)</f>
        <v>m</v>
      </c>
      <c r="F1568" s="2" t="str">
        <f aca="false">""</f>
        <v/>
      </c>
      <c r="G1568" s="2" t="str">
        <f aca="false">IF(OR(3キー同時!$B$6="",3キー同時!$G$6=""),"",IF(3キー同時!AL16="","",SUBSTITUTE(SUBSTITUTE(3キー同時!AL16," ",""),"　","")))</f>
        <v/>
      </c>
      <c r="H1568" s="2" t="str">
        <f aca="false">IF($G1568="","",3キー同時!$B$6)</f>
        <v/>
      </c>
      <c r="I1568" s="2" t="str">
        <f aca="false">IF($G1568="","",3キー同時!$G$6)</f>
        <v/>
      </c>
      <c r="J1568" s="2" t="str">
        <f aca="false">IF($G1568="","","henkan")</f>
        <v/>
      </c>
      <c r="K1568" s="2" t="str">
        <f aca="false">""</f>
        <v/>
      </c>
      <c r="L1568" s="2" t="str">
        <f aca="false">IF($G1568="","","同時")</f>
        <v/>
      </c>
      <c r="M1568" s="2" t="str">
        <f aca="false">IF($G1568="","",IF(ISNA(MATCH($G1568,個別指定!$A:$A,0)),"行なし",""))</f>
        <v/>
      </c>
      <c r="N1568" s="2" t="str">
        <f aca="false">IF($G1568="","",IF(COUNTIF($G$2:$G$4460,$G1568)&gt;1,"重複",""))</f>
        <v/>
      </c>
    </row>
    <row r="1569" customFormat="false" ht="16.5" hidden="false" customHeight="true" outlineLevel="0" collapsed="false">
      <c r="A1569" s="2" t="s">
        <v>416</v>
      </c>
      <c r="B1569" s="2" t="s">
        <v>417</v>
      </c>
      <c r="C1569" s="2" t="s">
        <v>46</v>
      </c>
      <c r="D1569" s="2" t="str">
        <f aca="false">IF(3キー同時!$B$6="","",3キー同時!$B$6)</f>
        <v>h</v>
      </c>
      <c r="E1569" s="2" t="str">
        <f aca="false">IF(3キー同時!$G$6="","",3キー同時!$G$6)</f>
        <v>m</v>
      </c>
      <c r="F1569" s="2" t="str">
        <f aca="false">""</f>
        <v/>
      </c>
      <c r="G1569" s="2" t="str">
        <f aca="false">IF(OR(3キー同時!$B$6="",3キー同時!$G$6=""),"",IF(3キー同時!AP16="","",SUBSTITUTE(SUBSTITUTE(3キー同時!AP16," ",""),"　","")))</f>
        <v/>
      </c>
      <c r="H1569" s="2" t="str">
        <f aca="false">IF($G1569="","",3キー同時!$B$6)</f>
        <v/>
      </c>
      <c r="I1569" s="2" t="str">
        <f aca="false">IF($G1569="","",3キー同時!$G$6)</f>
        <v/>
      </c>
      <c r="J1569" s="2" t="str">
        <f aca="false">IF($G1569="","","kana")</f>
        <v/>
      </c>
      <c r="K1569" s="2" t="str">
        <f aca="false">""</f>
        <v/>
      </c>
      <c r="L1569" s="2" t="str">
        <f aca="false">IF($G1569="","","同時")</f>
        <v/>
      </c>
      <c r="M1569" s="2" t="str">
        <f aca="false">IF($G1569="","",IF(ISNA(MATCH($G1569,個別指定!$A:$A,0)),"行なし",""))</f>
        <v/>
      </c>
      <c r="N1569" s="2" t="str">
        <f aca="false">IF($G1569="","",IF(COUNTIF($G$2:$G$4460,$G1569)&gt;1,"重複",""))</f>
        <v/>
      </c>
    </row>
    <row r="1570" customFormat="false" ht="16.5" hidden="false" customHeight="true" outlineLevel="0" collapsed="false">
      <c r="A1570" s="2" t="s">
        <v>416</v>
      </c>
      <c r="B1570" s="2" t="s">
        <v>418</v>
      </c>
      <c r="C1570" s="2" t="s">
        <v>0</v>
      </c>
      <c r="D1570" s="2" t="str">
        <f aca="false">IF(3キー同時!$B$19="","",3キー同時!$B$19)</f>
        <v>m</v>
      </c>
      <c r="E1570" s="2" t="str">
        <f aca="false">IF(3キー同時!$G$19="","",3キー同時!$G$19)</f>
        <v>p</v>
      </c>
      <c r="F1570" s="2" t="str">
        <f aca="false">""</f>
        <v/>
      </c>
      <c r="G1570" s="2" t="str">
        <f aca="false">IF(OR(3キー同時!$B$19="",3キー同時!$G$19=""),"",IF(3キー同時!F21="","",SUBSTITUTE(SUBSTITUTE(3キー同時!F21," ",""),"　","")))</f>
        <v/>
      </c>
      <c r="H1570" s="2" t="str">
        <f aca="false">IF($G1570="","",3キー同時!$B$19)</f>
        <v/>
      </c>
      <c r="I1570" s="2" t="str">
        <f aca="false">IF($G1570="","",3キー同時!$G$19)</f>
        <v/>
      </c>
      <c r="J1570" s="2" t="str">
        <f aca="false">IF($G1570="","","1")</f>
        <v/>
      </c>
      <c r="K1570" s="2" t="str">
        <f aca="false">""</f>
        <v/>
      </c>
      <c r="L1570" s="2" t="str">
        <f aca="false">IF($G1570="","","同時")</f>
        <v/>
      </c>
      <c r="M1570" s="2" t="str">
        <f aca="false">IF($G1570="","",IF(ISNA(MATCH($G1570,個別指定!$A:$A,0)),"行なし",""))</f>
        <v/>
      </c>
      <c r="N1570" s="2" t="str">
        <f aca="false">IF($G1570="","",IF(COUNTIF($G$2:$G$4460,$G1570)&gt;1,"重複",""))</f>
        <v/>
      </c>
    </row>
    <row r="1571" customFormat="false" ht="16.5" hidden="false" customHeight="true" outlineLevel="0" collapsed="false">
      <c r="A1571" s="2" t="s">
        <v>416</v>
      </c>
      <c r="B1571" s="2" t="s">
        <v>418</v>
      </c>
      <c r="C1571" s="2" t="s">
        <v>1</v>
      </c>
      <c r="D1571" s="2" t="str">
        <f aca="false">IF(3キー同時!$B$19="","",3キー同時!$B$19)</f>
        <v>m</v>
      </c>
      <c r="E1571" s="2" t="str">
        <f aca="false">IF(3キー同時!$G$19="","",3キー同時!$G$19)</f>
        <v>p</v>
      </c>
      <c r="F1571" s="2" t="str">
        <f aca="false">""</f>
        <v/>
      </c>
      <c r="G1571" s="2" t="str">
        <f aca="false">IF(OR(3キー同時!$B$19="",3キー同時!$G$19=""),"",IF(3キー同時!J21="","",SUBSTITUTE(SUBSTITUTE(3キー同時!J21," ",""),"　","")))</f>
        <v/>
      </c>
      <c r="H1571" s="2" t="str">
        <f aca="false">IF($G1571="","",3キー同時!$B$19)</f>
        <v/>
      </c>
      <c r="I1571" s="2" t="str">
        <f aca="false">IF($G1571="","",3キー同時!$G$19)</f>
        <v/>
      </c>
      <c r="J1571" s="2" t="str">
        <f aca="false">IF($G1571="","","2")</f>
        <v/>
      </c>
      <c r="K1571" s="2" t="str">
        <f aca="false">""</f>
        <v/>
      </c>
      <c r="L1571" s="2" t="str">
        <f aca="false">IF($G1571="","","同時")</f>
        <v/>
      </c>
      <c r="M1571" s="2" t="str">
        <f aca="false">IF($G1571="","",IF(ISNA(MATCH($G1571,個別指定!$A:$A,0)),"行なし",""))</f>
        <v/>
      </c>
      <c r="N1571" s="2" t="str">
        <f aca="false">IF($G1571="","",IF(COUNTIF($G$2:$G$4460,$G1571)&gt;1,"重複",""))</f>
        <v/>
      </c>
    </row>
    <row r="1572" customFormat="false" ht="16.5" hidden="false" customHeight="true" outlineLevel="0" collapsed="false">
      <c r="A1572" s="2" t="s">
        <v>416</v>
      </c>
      <c r="B1572" s="2" t="s">
        <v>418</v>
      </c>
      <c r="C1572" s="2" t="s">
        <v>2</v>
      </c>
      <c r="D1572" s="2" t="str">
        <f aca="false">IF(3キー同時!$B$19="","",3キー同時!$B$19)</f>
        <v>m</v>
      </c>
      <c r="E1572" s="2" t="str">
        <f aca="false">IF(3キー同時!$G$19="","",3キー同時!$G$19)</f>
        <v>p</v>
      </c>
      <c r="F1572" s="2" t="str">
        <f aca="false">""</f>
        <v/>
      </c>
      <c r="G1572" s="2" t="str">
        <f aca="false">IF(OR(3キー同時!$B$19="",3キー同時!$G$19=""),"",IF(3キー同時!N21="","",SUBSTITUTE(SUBSTITUTE(3キー同時!N21," ",""),"　","")))</f>
        <v/>
      </c>
      <c r="H1572" s="2" t="str">
        <f aca="false">IF($G1572="","",3キー同時!$B$19)</f>
        <v/>
      </c>
      <c r="I1572" s="2" t="str">
        <f aca="false">IF($G1572="","",3キー同時!$G$19)</f>
        <v/>
      </c>
      <c r="J1572" s="2" t="str">
        <f aca="false">IF($G1572="","","3")</f>
        <v/>
      </c>
      <c r="K1572" s="2" t="str">
        <f aca="false">""</f>
        <v/>
      </c>
      <c r="L1572" s="2" t="str">
        <f aca="false">IF($G1572="","","同時")</f>
        <v/>
      </c>
      <c r="M1572" s="2" t="str">
        <f aca="false">IF($G1572="","",IF(ISNA(MATCH($G1572,個別指定!$A:$A,0)),"行なし",""))</f>
        <v/>
      </c>
      <c r="N1572" s="2" t="str">
        <f aca="false">IF($G1572="","",IF(COUNTIF($G$2:$G$4460,$G1572)&gt;1,"重複",""))</f>
        <v/>
      </c>
    </row>
    <row r="1573" customFormat="false" ht="16.5" hidden="false" customHeight="true" outlineLevel="0" collapsed="false">
      <c r="A1573" s="2" t="s">
        <v>416</v>
      </c>
      <c r="B1573" s="2" t="s">
        <v>418</v>
      </c>
      <c r="C1573" s="2" t="s">
        <v>3</v>
      </c>
      <c r="D1573" s="2" t="str">
        <f aca="false">IF(3キー同時!$B$19="","",3キー同時!$B$19)</f>
        <v>m</v>
      </c>
      <c r="E1573" s="2" t="str">
        <f aca="false">IF(3キー同時!$G$19="","",3キー同時!$G$19)</f>
        <v>p</v>
      </c>
      <c r="F1573" s="2" t="str">
        <f aca="false">""</f>
        <v/>
      </c>
      <c r="G1573" s="2" t="str">
        <f aca="false">IF(OR(3キー同時!$B$19="",3キー同時!$G$19=""),"",IF(3キー同時!R21="","",SUBSTITUTE(SUBSTITUTE(3キー同時!R21," ",""),"　","")))</f>
        <v/>
      </c>
      <c r="H1573" s="2" t="str">
        <f aca="false">IF($G1573="","",3キー同時!$B$19)</f>
        <v/>
      </c>
      <c r="I1573" s="2" t="str">
        <f aca="false">IF($G1573="","",3キー同時!$G$19)</f>
        <v/>
      </c>
      <c r="J1573" s="2" t="str">
        <f aca="false">IF($G1573="","","4")</f>
        <v/>
      </c>
      <c r="K1573" s="2" t="str">
        <f aca="false">""</f>
        <v/>
      </c>
      <c r="L1573" s="2" t="str">
        <f aca="false">IF($G1573="","","同時")</f>
        <v/>
      </c>
      <c r="M1573" s="2" t="str">
        <f aca="false">IF($G1573="","",IF(ISNA(MATCH($G1573,個別指定!$A:$A,0)),"行なし",""))</f>
        <v/>
      </c>
      <c r="N1573" s="2" t="str">
        <f aca="false">IF($G1573="","",IF(COUNTIF($G$2:$G$4460,$G1573)&gt;1,"重複",""))</f>
        <v/>
      </c>
    </row>
    <row r="1574" customFormat="false" ht="16.5" hidden="false" customHeight="true" outlineLevel="0" collapsed="false">
      <c r="A1574" s="2" t="s">
        <v>416</v>
      </c>
      <c r="B1574" s="2" t="s">
        <v>418</v>
      </c>
      <c r="C1574" s="2" t="s">
        <v>4</v>
      </c>
      <c r="D1574" s="2" t="str">
        <f aca="false">IF(3キー同時!$B$19="","",3キー同時!$B$19)</f>
        <v>m</v>
      </c>
      <c r="E1574" s="2" t="str">
        <f aca="false">IF(3キー同時!$G$19="","",3キー同時!$G$19)</f>
        <v>p</v>
      </c>
      <c r="F1574" s="2" t="str">
        <f aca="false">""</f>
        <v/>
      </c>
      <c r="G1574" s="2" t="str">
        <f aca="false">IF(OR(3キー同時!$B$19="",3キー同時!$G$19=""),"",IF(3キー同時!V21="","",SUBSTITUTE(SUBSTITUTE(3キー同時!V21," ",""),"　","")))</f>
        <v/>
      </c>
      <c r="H1574" s="2" t="str">
        <f aca="false">IF($G1574="","",3キー同時!$B$19)</f>
        <v/>
      </c>
      <c r="I1574" s="2" t="str">
        <f aca="false">IF($G1574="","",3キー同時!$G$19)</f>
        <v/>
      </c>
      <c r="J1574" s="2" t="str">
        <f aca="false">IF($G1574="","","5")</f>
        <v/>
      </c>
      <c r="K1574" s="2" t="str">
        <f aca="false">""</f>
        <v/>
      </c>
      <c r="L1574" s="2" t="str">
        <f aca="false">IF($G1574="","","同時")</f>
        <v/>
      </c>
      <c r="M1574" s="2" t="str">
        <f aca="false">IF($G1574="","",IF(ISNA(MATCH($G1574,個別指定!$A:$A,0)),"行なし",""))</f>
        <v/>
      </c>
      <c r="N1574" s="2" t="str">
        <f aca="false">IF($G1574="","",IF(COUNTIF($G$2:$G$4460,$G1574)&gt;1,"重複",""))</f>
        <v/>
      </c>
    </row>
    <row r="1575" customFormat="false" ht="16.5" hidden="false" customHeight="true" outlineLevel="0" collapsed="false">
      <c r="A1575" s="2" t="s">
        <v>416</v>
      </c>
      <c r="B1575" s="2" t="s">
        <v>418</v>
      </c>
      <c r="C1575" s="2" t="s">
        <v>5</v>
      </c>
      <c r="D1575" s="2" t="str">
        <f aca="false">IF(3キー同時!$B$19="","",3キー同時!$B$19)</f>
        <v>m</v>
      </c>
      <c r="E1575" s="2" t="str">
        <f aca="false">IF(3キー同時!$G$19="","",3キー同時!$G$19)</f>
        <v>p</v>
      </c>
      <c r="F1575" s="2" t="str">
        <f aca="false">""</f>
        <v/>
      </c>
      <c r="G1575" s="2" t="str">
        <f aca="false">IF(OR(3キー同時!$B$19="",3キー同時!$G$19=""),"",IF(3キー同時!Z21="","",SUBSTITUTE(SUBSTITUTE(3キー同時!Z21," ",""),"　","")))</f>
        <v/>
      </c>
      <c r="H1575" s="2" t="str">
        <f aca="false">IF($G1575="","",3キー同時!$B$19)</f>
        <v/>
      </c>
      <c r="I1575" s="2" t="str">
        <f aca="false">IF($G1575="","",3キー同時!$G$19)</f>
        <v/>
      </c>
      <c r="J1575" s="2" t="str">
        <f aca="false">IF($G1575="","","6")</f>
        <v/>
      </c>
      <c r="K1575" s="2" t="str">
        <f aca="false">""</f>
        <v/>
      </c>
      <c r="L1575" s="2" t="str">
        <f aca="false">IF($G1575="","","同時")</f>
        <v/>
      </c>
      <c r="M1575" s="2" t="str">
        <f aca="false">IF($G1575="","",IF(ISNA(MATCH($G1575,個別指定!$A:$A,0)),"行なし",""))</f>
        <v/>
      </c>
      <c r="N1575" s="2" t="str">
        <f aca="false">IF($G1575="","",IF(COUNTIF($G$2:$G$4460,$G1575)&gt;1,"重複",""))</f>
        <v/>
      </c>
    </row>
    <row r="1576" customFormat="false" ht="16.5" hidden="false" customHeight="true" outlineLevel="0" collapsed="false">
      <c r="A1576" s="2" t="s">
        <v>416</v>
      </c>
      <c r="B1576" s="2" t="s">
        <v>418</v>
      </c>
      <c r="C1576" s="2" t="s">
        <v>6</v>
      </c>
      <c r="D1576" s="2" t="str">
        <f aca="false">IF(3キー同時!$B$19="","",3キー同時!$B$19)</f>
        <v>m</v>
      </c>
      <c r="E1576" s="2" t="str">
        <f aca="false">IF(3キー同時!$G$19="","",3キー同時!$G$19)</f>
        <v>p</v>
      </c>
      <c r="F1576" s="2" t="str">
        <f aca="false">""</f>
        <v/>
      </c>
      <c r="G1576" s="2" t="str">
        <f aca="false">IF(OR(3キー同時!$B$19="",3キー同時!$G$19=""),"",IF(3キー同時!AD21="","",SUBSTITUTE(SUBSTITUTE(3キー同時!AD21," ",""),"　","")))</f>
        <v/>
      </c>
      <c r="H1576" s="2" t="str">
        <f aca="false">IF($G1576="","",3キー同時!$B$19)</f>
        <v/>
      </c>
      <c r="I1576" s="2" t="str">
        <f aca="false">IF($G1576="","",3キー同時!$G$19)</f>
        <v/>
      </c>
      <c r="J1576" s="2" t="str">
        <f aca="false">IF($G1576="","","7")</f>
        <v/>
      </c>
      <c r="K1576" s="2" t="str">
        <f aca="false">""</f>
        <v/>
      </c>
      <c r="L1576" s="2" t="str">
        <f aca="false">IF($G1576="","","同時")</f>
        <v/>
      </c>
      <c r="M1576" s="2" t="str">
        <f aca="false">IF($G1576="","",IF(ISNA(MATCH($G1576,個別指定!$A:$A,0)),"行なし",""))</f>
        <v/>
      </c>
      <c r="N1576" s="2" t="str">
        <f aca="false">IF($G1576="","",IF(COUNTIF($G$2:$G$4460,$G1576)&gt;1,"重複",""))</f>
        <v/>
      </c>
    </row>
    <row r="1577" customFormat="false" ht="16.5" hidden="false" customHeight="true" outlineLevel="0" collapsed="false">
      <c r="A1577" s="2" t="s">
        <v>416</v>
      </c>
      <c r="B1577" s="2" t="s">
        <v>418</v>
      </c>
      <c r="C1577" s="2" t="s">
        <v>7</v>
      </c>
      <c r="D1577" s="2" t="str">
        <f aca="false">IF(3キー同時!$B$19="","",3キー同時!$B$19)</f>
        <v>m</v>
      </c>
      <c r="E1577" s="2" t="str">
        <f aca="false">IF(3キー同時!$G$19="","",3キー同時!$G$19)</f>
        <v>p</v>
      </c>
      <c r="F1577" s="2" t="str">
        <f aca="false">""</f>
        <v/>
      </c>
      <c r="G1577" s="2" t="str">
        <f aca="false">IF(OR(3キー同時!$B$19="",3キー同時!$G$19=""),"",IF(3キー同時!AH21="","",SUBSTITUTE(SUBSTITUTE(3キー同時!AH21," ",""),"　","")))</f>
        <v/>
      </c>
      <c r="H1577" s="2" t="str">
        <f aca="false">IF($G1577="","",3キー同時!$B$19)</f>
        <v/>
      </c>
      <c r="I1577" s="2" t="str">
        <f aca="false">IF($G1577="","",3キー同時!$G$19)</f>
        <v/>
      </c>
      <c r="J1577" s="2" t="str">
        <f aca="false">IF($G1577="","","8")</f>
        <v/>
      </c>
      <c r="K1577" s="2" t="str">
        <f aca="false">""</f>
        <v/>
      </c>
      <c r="L1577" s="2" t="str">
        <f aca="false">IF($G1577="","","同時")</f>
        <v/>
      </c>
      <c r="M1577" s="2" t="str">
        <f aca="false">IF($G1577="","",IF(ISNA(MATCH($G1577,個別指定!$A:$A,0)),"行なし",""))</f>
        <v/>
      </c>
      <c r="N1577" s="2" t="str">
        <f aca="false">IF($G1577="","",IF(COUNTIF($G$2:$G$4460,$G1577)&gt;1,"重複",""))</f>
        <v/>
      </c>
    </row>
    <row r="1578" customFormat="false" ht="16.5" hidden="false" customHeight="true" outlineLevel="0" collapsed="false">
      <c r="A1578" s="2" t="s">
        <v>416</v>
      </c>
      <c r="B1578" s="2" t="s">
        <v>418</v>
      </c>
      <c r="C1578" s="2" t="s">
        <v>8</v>
      </c>
      <c r="D1578" s="2" t="str">
        <f aca="false">IF(3キー同時!$B$19="","",3キー同時!$B$19)</f>
        <v>m</v>
      </c>
      <c r="E1578" s="2" t="str">
        <f aca="false">IF(3キー同時!$G$19="","",3キー同時!$G$19)</f>
        <v>p</v>
      </c>
      <c r="F1578" s="2" t="str">
        <f aca="false">""</f>
        <v/>
      </c>
      <c r="G1578" s="2" t="str">
        <f aca="false">IF(OR(3キー同時!$B$19="",3キー同時!$G$19=""),"",IF(3キー同時!AL21="","",SUBSTITUTE(SUBSTITUTE(3キー同時!AL21," ",""),"　","")))</f>
        <v/>
      </c>
      <c r="H1578" s="2" t="str">
        <f aca="false">IF($G1578="","",3キー同時!$B$19)</f>
        <v/>
      </c>
      <c r="I1578" s="2" t="str">
        <f aca="false">IF($G1578="","",3キー同時!$G$19)</f>
        <v/>
      </c>
      <c r="J1578" s="2" t="str">
        <f aca="false">IF($G1578="","","9")</f>
        <v/>
      </c>
      <c r="K1578" s="2" t="str">
        <f aca="false">""</f>
        <v/>
      </c>
      <c r="L1578" s="2" t="str">
        <f aca="false">IF($G1578="","","同時")</f>
        <v/>
      </c>
      <c r="M1578" s="2" t="str">
        <f aca="false">IF($G1578="","",IF(ISNA(MATCH($G1578,個別指定!$A:$A,0)),"行なし",""))</f>
        <v/>
      </c>
      <c r="N1578" s="2" t="str">
        <f aca="false">IF($G1578="","",IF(COUNTIF($G$2:$G$4460,$G1578)&gt;1,"重複",""))</f>
        <v/>
      </c>
    </row>
    <row r="1579" customFormat="false" ht="16.5" hidden="false" customHeight="true" outlineLevel="0" collapsed="false">
      <c r="A1579" s="2" t="s">
        <v>416</v>
      </c>
      <c r="B1579" s="2" t="s">
        <v>418</v>
      </c>
      <c r="C1579" s="2" t="s">
        <v>9</v>
      </c>
      <c r="D1579" s="2" t="str">
        <f aca="false">IF(3キー同時!$B$19="","",3キー同時!$B$19)</f>
        <v>m</v>
      </c>
      <c r="E1579" s="2" t="str">
        <f aca="false">IF(3キー同時!$G$19="","",3キー同時!$G$19)</f>
        <v>p</v>
      </c>
      <c r="F1579" s="2" t="str">
        <f aca="false">""</f>
        <v/>
      </c>
      <c r="G1579" s="2" t="str">
        <f aca="false">IF(OR(3キー同時!$B$19="",3キー同時!$G$19=""),"",IF(3キー同時!AP21="","",SUBSTITUTE(SUBSTITUTE(3キー同時!AP21," ",""),"　","")))</f>
        <v/>
      </c>
      <c r="H1579" s="2" t="str">
        <f aca="false">IF($G1579="","",3キー同時!$B$19)</f>
        <v/>
      </c>
      <c r="I1579" s="2" t="str">
        <f aca="false">IF($G1579="","",3キー同時!$G$19)</f>
        <v/>
      </c>
      <c r="J1579" s="2" t="str">
        <f aca="false">IF($G1579="","","0")</f>
        <v/>
      </c>
      <c r="K1579" s="2" t="str">
        <f aca="false">""</f>
        <v/>
      </c>
      <c r="L1579" s="2" t="str">
        <f aca="false">IF($G1579="","","同時")</f>
        <v/>
      </c>
      <c r="M1579" s="2" t="str">
        <f aca="false">IF($G1579="","",IF(ISNA(MATCH($G1579,個別指定!$A:$A,0)),"行なし",""))</f>
        <v/>
      </c>
      <c r="N1579" s="2" t="str">
        <f aca="false">IF($G1579="","",IF(COUNTIF($G$2:$G$4460,$G1579)&gt;1,"重複",""))</f>
        <v/>
      </c>
    </row>
    <row r="1580" customFormat="false" ht="16.5" hidden="false" customHeight="true" outlineLevel="0" collapsed="false">
      <c r="A1580" s="2" t="s">
        <v>416</v>
      </c>
      <c r="B1580" s="2" t="s">
        <v>418</v>
      </c>
      <c r="C1580" s="2" t="s">
        <v>10</v>
      </c>
      <c r="D1580" s="2" t="str">
        <f aca="false">IF(3キー同時!$B$19="","",3キー同時!$B$19)</f>
        <v>m</v>
      </c>
      <c r="E1580" s="2" t="str">
        <f aca="false">IF(3キー同時!$G$19="","",3キー同時!$G$19)</f>
        <v>p</v>
      </c>
      <c r="F1580" s="2" t="str">
        <f aca="false">""</f>
        <v/>
      </c>
      <c r="G1580" s="2" t="str">
        <f aca="false">IF(OR(3キー同時!$B$19="",3キー同時!$G$19=""),"",IF(3キー同時!AT21="","",SUBSTITUTE(SUBSTITUTE(3キー同時!AT21," ",""),"　","")))</f>
        <v/>
      </c>
      <c r="H1580" s="2" t="str">
        <f aca="false">IF($G1580="","",3キー同時!$B$19)</f>
        <v/>
      </c>
      <c r="I1580" s="2" t="str">
        <f aca="false">IF($G1580="","",3キー同時!$G$19)</f>
        <v/>
      </c>
      <c r="J1580" s="2" t="str">
        <f aca="false">IF($G1580="","","-")</f>
        <v/>
      </c>
      <c r="K1580" s="2" t="str">
        <f aca="false">""</f>
        <v/>
      </c>
      <c r="L1580" s="2" t="str">
        <f aca="false">IF($G1580="","","同時")</f>
        <v/>
      </c>
      <c r="M1580" s="2" t="str">
        <f aca="false">IF($G1580="","",IF(ISNA(MATCH($G1580,個別指定!$A:$A,0)),"行なし",""))</f>
        <v/>
      </c>
      <c r="N1580" s="2" t="str">
        <f aca="false">IF($G1580="","",IF(COUNTIF($G$2:$G$4460,$G1580)&gt;1,"重複",""))</f>
        <v/>
      </c>
    </row>
    <row r="1581" customFormat="false" ht="16.5" hidden="false" customHeight="true" outlineLevel="0" collapsed="false">
      <c r="A1581" s="2" t="s">
        <v>416</v>
      </c>
      <c r="B1581" s="2" t="s">
        <v>418</v>
      </c>
      <c r="C1581" s="2" t="s">
        <v>11</v>
      </c>
      <c r="D1581" s="2" t="str">
        <f aca="false">IF(3キー同時!$B$19="","",3キー同時!$B$19)</f>
        <v>m</v>
      </c>
      <c r="E1581" s="2" t="str">
        <f aca="false">IF(3キー同時!$G$19="","",3キー同時!$G$19)</f>
        <v>p</v>
      </c>
      <c r="F1581" s="2" t="str">
        <f aca="false">""</f>
        <v/>
      </c>
      <c r="G1581" s="2" t="str">
        <f aca="false">IF(OR(3キー同時!$B$19="",3キー同時!$G$19=""),"",IF(3キー同時!AX21="","",SUBSTITUTE(SUBSTITUTE(3キー同時!AX21," ",""),"　","")))</f>
        <v/>
      </c>
      <c r="H1581" s="2" t="str">
        <f aca="false">IF($G1581="","",3キー同時!$B$19)</f>
        <v/>
      </c>
      <c r="I1581" s="2" t="str">
        <f aca="false">IF($G1581="","",3キー同時!$G$19)</f>
        <v/>
      </c>
      <c r="J1581" s="2" t="str">
        <f aca="false">IF($G1581="","","=")</f>
        <v/>
      </c>
      <c r="K1581" s="2" t="str">
        <f aca="false">""</f>
        <v/>
      </c>
      <c r="L1581" s="2" t="str">
        <f aca="false">IF($G1581="","","同時")</f>
        <v/>
      </c>
      <c r="M1581" s="2" t="str">
        <f aca="false">IF($G1581="","",IF(ISNA(MATCH($G1581,個別指定!$A:$A,0)),"行なし",""))</f>
        <v/>
      </c>
      <c r="N1581" s="2" t="str">
        <f aca="false">IF($G1581="","",IF(COUNTIF($G$2:$G$4460,$G1581)&gt;1,"重複",""))</f>
        <v/>
      </c>
    </row>
    <row r="1582" customFormat="false" ht="16.5" hidden="false" customHeight="true" outlineLevel="0" collapsed="false">
      <c r="A1582" s="2" t="s">
        <v>416</v>
      </c>
      <c r="B1582" s="2" t="s">
        <v>418</v>
      </c>
      <c r="C1582" s="2" t="s">
        <v>12</v>
      </c>
      <c r="D1582" s="2" t="str">
        <f aca="false">IF(3キー同時!$B$19="","",3キー同時!$B$19)</f>
        <v>m</v>
      </c>
      <c r="E1582" s="2" t="str">
        <f aca="false">IF(3キー同時!$G$19="","",3キー同時!$G$19)</f>
        <v>p</v>
      </c>
      <c r="F1582" s="2" t="str">
        <f aca="false">""</f>
        <v/>
      </c>
      <c r="G1582" s="2" t="str">
        <f aca="false">IF(OR(3キー同時!$B$19="",3キー同時!$G$19=""),"",IF(3キー同時!H23="","",SUBSTITUTE(SUBSTITUTE(3キー同時!H23," ",""),"　","")))</f>
        <v/>
      </c>
      <c r="H1582" s="2" t="str">
        <f aca="false">IF($G1582="","",3キー同時!$B$19)</f>
        <v/>
      </c>
      <c r="I1582" s="2" t="str">
        <f aca="false">IF($G1582="","",3キー同時!$G$19)</f>
        <v/>
      </c>
      <c r="J1582" s="2" t="str">
        <f aca="false">IF($G1582="","","q")</f>
        <v/>
      </c>
      <c r="K1582" s="2" t="str">
        <f aca="false">""</f>
        <v/>
      </c>
      <c r="L1582" s="2" t="str">
        <f aca="false">IF($G1582="","","同時")</f>
        <v/>
      </c>
      <c r="M1582" s="2" t="str">
        <f aca="false">IF($G1582="","",IF(ISNA(MATCH($G1582,個別指定!$A:$A,0)),"行なし",""))</f>
        <v/>
      </c>
      <c r="N1582" s="2" t="str">
        <f aca="false">IF($G1582="","",IF(COUNTIF($G$2:$G$4460,$G1582)&gt;1,"重複",""))</f>
        <v/>
      </c>
    </row>
    <row r="1583" customFormat="false" ht="16.5" hidden="false" customHeight="true" outlineLevel="0" collapsed="false">
      <c r="A1583" s="2" t="s">
        <v>416</v>
      </c>
      <c r="B1583" s="2" t="s">
        <v>418</v>
      </c>
      <c r="C1583" s="2" t="s">
        <v>13</v>
      </c>
      <c r="D1583" s="2" t="str">
        <f aca="false">IF(3キー同時!$B$19="","",3キー同時!$B$19)</f>
        <v>m</v>
      </c>
      <c r="E1583" s="2" t="str">
        <f aca="false">IF(3キー同時!$G$19="","",3キー同時!$G$19)</f>
        <v>p</v>
      </c>
      <c r="F1583" s="2" t="str">
        <f aca="false">""</f>
        <v/>
      </c>
      <c r="G1583" s="2" t="str">
        <f aca="false">IF(OR(3キー同時!$B$19="",3キー同時!$G$19=""),"",IF(3キー同時!L23="","",SUBSTITUTE(SUBSTITUTE(3キー同時!L23," ",""),"　","")))</f>
        <v/>
      </c>
      <c r="H1583" s="2" t="str">
        <f aca="false">IF($G1583="","",3キー同時!$B$19)</f>
        <v/>
      </c>
      <c r="I1583" s="2" t="str">
        <f aca="false">IF($G1583="","",3キー同時!$G$19)</f>
        <v/>
      </c>
      <c r="J1583" s="2" t="str">
        <f aca="false">IF($G1583="","","w")</f>
        <v/>
      </c>
      <c r="K1583" s="2" t="str">
        <f aca="false">""</f>
        <v/>
      </c>
      <c r="L1583" s="2" t="str">
        <f aca="false">IF($G1583="","","同時")</f>
        <v/>
      </c>
      <c r="M1583" s="2" t="str">
        <f aca="false">IF($G1583="","",IF(ISNA(MATCH($G1583,個別指定!$A:$A,0)),"行なし",""))</f>
        <v/>
      </c>
      <c r="N1583" s="2" t="str">
        <f aca="false">IF($G1583="","",IF(COUNTIF($G$2:$G$4460,$G1583)&gt;1,"重複",""))</f>
        <v/>
      </c>
    </row>
    <row r="1584" customFormat="false" ht="16.5" hidden="false" customHeight="true" outlineLevel="0" collapsed="false">
      <c r="A1584" s="2" t="s">
        <v>416</v>
      </c>
      <c r="B1584" s="2" t="s">
        <v>418</v>
      </c>
      <c r="C1584" s="2" t="s">
        <v>14</v>
      </c>
      <c r="D1584" s="2" t="str">
        <f aca="false">IF(3キー同時!$B$19="","",3キー同時!$B$19)</f>
        <v>m</v>
      </c>
      <c r="E1584" s="2" t="str">
        <f aca="false">IF(3キー同時!$G$19="","",3キー同時!$G$19)</f>
        <v>p</v>
      </c>
      <c r="F1584" s="2" t="str">
        <f aca="false">""</f>
        <v/>
      </c>
      <c r="G1584" s="2" t="str">
        <f aca="false">IF(OR(3キー同時!$B$19="",3キー同時!$G$19=""),"",IF(3キー同時!P23="","",SUBSTITUTE(SUBSTITUTE(3キー同時!P23," ",""),"　","")))</f>
        <v>てゅ</v>
      </c>
      <c r="H1584" s="2" t="str">
        <f aca="false">IF($G1584="","",3キー同時!$B$19)</f>
        <v>m</v>
      </c>
      <c r="I1584" s="2" t="str">
        <f aca="false">IF($G1584="","",3キー同時!$G$19)</f>
        <v>p</v>
      </c>
      <c r="J1584" s="2" t="str">
        <f aca="false">IF($G1584="","","e")</f>
        <v>e</v>
      </c>
      <c r="K1584" s="2" t="str">
        <f aca="false">""</f>
        <v/>
      </c>
      <c r="L1584" s="2" t="str">
        <f aca="false">IF($G1584="","","同時")</f>
        <v>同時</v>
      </c>
      <c r="M1584" s="2" t="str">
        <f aca="false">IF($G1584="","",IF(ISNA(MATCH($G1584,個別指定!$A:$A,0)),"行なし",""))</f>
        <v/>
      </c>
      <c r="N1584" s="2" t="str">
        <f aca="false">IF($G1584="","",IF(COUNTIF($G$2:$G$4460,$G1584)&gt;1,"重複",""))</f>
        <v/>
      </c>
    </row>
    <row r="1585" customFormat="false" ht="16.5" hidden="false" customHeight="true" outlineLevel="0" collapsed="false">
      <c r="A1585" s="2" t="s">
        <v>416</v>
      </c>
      <c r="B1585" s="2" t="s">
        <v>418</v>
      </c>
      <c r="C1585" s="2" t="s">
        <v>15</v>
      </c>
      <c r="D1585" s="2" t="str">
        <f aca="false">IF(3キー同時!$B$19="","",3キー同時!$B$19)</f>
        <v>m</v>
      </c>
      <c r="E1585" s="2" t="str">
        <f aca="false">IF(3キー同時!$G$19="","",3キー同時!$G$19)</f>
        <v>p</v>
      </c>
      <c r="F1585" s="2" t="str">
        <f aca="false">""</f>
        <v/>
      </c>
      <c r="G1585" s="2" t="str">
        <f aca="false">IF(OR(3キー同時!$B$19="",3キー同時!$G$19=""),"",IF(3キー同時!T23="","",SUBSTITUTE(SUBSTITUTE(3キー同時!T23," ",""),"　","")))</f>
        <v/>
      </c>
      <c r="H1585" s="2" t="str">
        <f aca="false">IF($G1585="","",3キー同時!$B$19)</f>
        <v/>
      </c>
      <c r="I1585" s="2" t="str">
        <f aca="false">IF($G1585="","",3キー同時!$G$19)</f>
        <v/>
      </c>
      <c r="J1585" s="2" t="str">
        <f aca="false">IF($G1585="","","r")</f>
        <v/>
      </c>
      <c r="K1585" s="2" t="str">
        <f aca="false">""</f>
        <v/>
      </c>
      <c r="L1585" s="2" t="str">
        <f aca="false">IF($G1585="","","同時")</f>
        <v/>
      </c>
      <c r="M1585" s="2" t="str">
        <f aca="false">IF($G1585="","",IF(ISNA(MATCH($G1585,個別指定!$A:$A,0)),"行なし",""))</f>
        <v/>
      </c>
      <c r="N1585" s="2" t="str">
        <f aca="false">IF($G1585="","",IF(COUNTIF($G$2:$G$4460,$G1585)&gt;1,"重複",""))</f>
        <v/>
      </c>
    </row>
    <row r="1586" customFormat="false" ht="16.5" hidden="false" customHeight="true" outlineLevel="0" collapsed="false">
      <c r="A1586" s="2" t="s">
        <v>416</v>
      </c>
      <c r="B1586" s="2" t="s">
        <v>418</v>
      </c>
      <c r="C1586" s="2" t="s">
        <v>16</v>
      </c>
      <c r="D1586" s="2" t="str">
        <f aca="false">IF(3キー同時!$B$19="","",3キー同時!$B$19)</f>
        <v>m</v>
      </c>
      <c r="E1586" s="2" t="str">
        <f aca="false">IF(3キー同時!$G$19="","",3キー同時!$G$19)</f>
        <v>p</v>
      </c>
      <c r="F1586" s="2" t="str">
        <f aca="false">""</f>
        <v/>
      </c>
      <c r="G1586" s="2" t="str">
        <f aca="false">IF(OR(3キー同時!$B$19="",3キー同時!$G$19=""),"",IF(3キー同時!X23="","",SUBSTITUTE(SUBSTITUTE(3キー同時!X23," ",""),"　","")))</f>
        <v/>
      </c>
      <c r="H1586" s="2" t="str">
        <f aca="false">IF($G1586="","",3キー同時!$B$19)</f>
        <v/>
      </c>
      <c r="I1586" s="2" t="str">
        <f aca="false">IF($G1586="","",3キー同時!$G$19)</f>
        <v/>
      </c>
      <c r="J1586" s="2" t="str">
        <f aca="false">IF($G1586="","","t")</f>
        <v/>
      </c>
      <c r="K1586" s="2" t="str">
        <f aca="false">""</f>
        <v/>
      </c>
      <c r="L1586" s="2" t="str">
        <f aca="false">IF($G1586="","","同時")</f>
        <v/>
      </c>
      <c r="M1586" s="2" t="str">
        <f aca="false">IF($G1586="","",IF(ISNA(MATCH($G1586,個別指定!$A:$A,0)),"行なし",""))</f>
        <v/>
      </c>
      <c r="N1586" s="2" t="str">
        <f aca="false">IF($G1586="","",IF(COUNTIF($G$2:$G$4460,$G1586)&gt;1,"重複",""))</f>
        <v/>
      </c>
    </row>
    <row r="1587" customFormat="false" ht="16.5" hidden="false" customHeight="true" outlineLevel="0" collapsed="false">
      <c r="A1587" s="2" t="s">
        <v>416</v>
      </c>
      <c r="B1587" s="2" t="s">
        <v>418</v>
      </c>
      <c r="C1587" s="2" t="s">
        <v>17</v>
      </c>
      <c r="D1587" s="2" t="str">
        <f aca="false">IF(3キー同時!$B$19="","",3キー同時!$B$19)</f>
        <v>m</v>
      </c>
      <c r="E1587" s="2" t="str">
        <f aca="false">IF(3キー同時!$G$19="","",3キー同時!$G$19)</f>
        <v>p</v>
      </c>
      <c r="F1587" s="2" t="str">
        <f aca="false">""</f>
        <v/>
      </c>
      <c r="G1587" s="2" t="str">
        <f aca="false">IF(OR(3キー同時!$B$19="",3キー同時!$G$19=""),"",IF(3キー同時!AB23="","",SUBSTITUTE(SUBSTITUTE(3キー同時!AB23," ",""),"　","")))</f>
        <v/>
      </c>
      <c r="H1587" s="2" t="str">
        <f aca="false">IF($G1587="","",3キー同時!$B$19)</f>
        <v/>
      </c>
      <c r="I1587" s="2" t="str">
        <f aca="false">IF($G1587="","",3キー同時!$G$19)</f>
        <v/>
      </c>
      <c r="J1587" s="2" t="str">
        <f aca="false">IF($G1587="","","y")</f>
        <v/>
      </c>
      <c r="K1587" s="2" t="str">
        <f aca="false">""</f>
        <v/>
      </c>
      <c r="L1587" s="2" t="str">
        <f aca="false">IF($G1587="","","同時")</f>
        <v/>
      </c>
      <c r="M1587" s="2" t="str">
        <f aca="false">IF($G1587="","",IF(ISNA(MATCH($G1587,個別指定!$A:$A,0)),"行なし",""))</f>
        <v/>
      </c>
      <c r="N1587" s="2" t="str">
        <f aca="false">IF($G1587="","",IF(COUNTIF($G$2:$G$4460,$G1587)&gt;1,"重複",""))</f>
        <v/>
      </c>
    </row>
    <row r="1588" customFormat="false" ht="16.5" hidden="false" customHeight="true" outlineLevel="0" collapsed="false">
      <c r="A1588" s="2" t="s">
        <v>416</v>
      </c>
      <c r="B1588" s="2" t="s">
        <v>418</v>
      </c>
      <c r="C1588" s="2" t="s">
        <v>18</v>
      </c>
      <c r="D1588" s="2" t="str">
        <f aca="false">IF(3キー同時!$B$19="","",3キー同時!$B$19)</f>
        <v>m</v>
      </c>
      <c r="E1588" s="2" t="str">
        <f aca="false">IF(3キー同時!$G$19="","",3キー同時!$G$19)</f>
        <v>p</v>
      </c>
      <c r="F1588" s="2" t="str">
        <f aca="false">""</f>
        <v/>
      </c>
      <c r="G1588" s="2" t="str">
        <f aca="false">IF(OR(3キー同時!$B$19="",3キー同時!$G$19=""),"",IF(3キー同時!AF23="","",SUBSTITUTE(SUBSTITUTE(3キー同時!AF23," ",""),"　","")))</f>
        <v/>
      </c>
      <c r="H1588" s="2" t="str">
        <f aca="false">IF($G1588="","",3キー同時!$B$19)</f>
        <v/>
      </c>
      <c r="I1588" s="2" t="str">
        <f aca="false">IF($G1588="","",3キー同時!$G$19)</f>
        <v/>
      </c>
      <c r="J1588" s="2" t="str">
        <f aca="false">IF($G1588="","","u")</f>
        <v/>
      </c>
      <c r="K1588" s="2" t="str">
        <f aca="false">""</f>
        <v/>
      </c>
      <c r="L1588" s="2" t="str">
        <f aca="false">IF($G1588="","","同時")</f>
        <v/>
      </c>
      <c r="M1588" s="2" t="str">
        <f aca="false">IF($G1588="","",IF(ISNA(MATCH($G1588,個別指定!$A:$A,0)),"行なし",""))</f>
        <v/>
      </c>
      <c r="N1588" s="2" t="str">
        <f aca="false">IF($G1588="","",IF(COUNTIF($G$2:$G$4460,$G1588)&gt;1,"重複",""))</f>
        <v/>
      </c>
    </row>
    <row r="1589" customFormat="false" ht="16.5" hidden="false" customHeight="true" outlineLevel="0" collapsed="false">
      <c r="A1589" s="2" t="s">
        <v>416</v>
      </c>
      <c r="B1589" s="2" t="s">
        <v>418</v>
      </c>
      <c r="C1589" s="2" t="s">
        <v>19</v>
      </c>
      <c r="D1589" s="2" t="str">
        <f aca="false">IF(3キー同時!$B$19="","",3キー同時!$B$19)</f>
        <v>m</v>
      </c>
      <c r="E1589" s="2" t="str">
        <f aca="false">IF(3キー同時!$G$19="","",3キー同時!$G$19)</f>
        <v>p</v>
      </c>
      <c r="F1589" s="2" t="str">
        <f aca="false">""</f>
        <v/>
      </c>
      <c r="G1589" s="2" t="str">
        <f aca="false">IF(OR(3キー同時!$B$19="",3キー同時!$G$19=""),"",IF(3キー同時!AJ23="","",SUBSTITUTE(SUBSTITUTE(3キー同時!AJ23," ",""),"　","")))</f>
        <v/>
      </c>
      <c r="H1589" s="2" t="str">
        <f aca="false">IF($G1589="","",3キー同時!$B$19)</f>
        <v/>
      </c>
      <c r="I1589" s="2" t="str">
        <f aca="false">IF($G1589="","",3キー同時!$G$19)</f>
        <v/>
      </c>
      <c r="J1589" s="2" t="str">
        <f aca="false">IF($G1589="","","i")</f>
        <v/>
      </c>
      <c r="K1589" s="2" t="str">
        <f aca="false">""</f>
        <v/>
      </c>
      <c r="L1589" s="2" t="str">
        <f aca="false">IF($G1589="","","同時")</f>
        <v/>
      </c>
      <c r="M1589" s="2" t="str">
        <f aca="false">IF($G1589="","",IF(ISNA(MATCH($G1589,個別指定!$A:$A,0)),"行なし",""))</f>
        <v/>
      </c>
      <c r="N1589" s="2" t="str">
        <f aca="false">IF($G1589="","",IF(COUNTIF($G$2:$G$4460,$G1589)&gt;1,"重複",""))</f>
        <v/>
      </c>
    </row>
    <row r="1590" customFormat="false" ht="16.5" hidden="false" customHeight="true" outlineLevel="0" collapsed="false">
      <c r="A1590" s="2" t="s">
        <v>416</v>
      </c>
      <c r="B1590" s="2" t="s">
        <v>418</v>
      </c>
      <c r="C1590" s="2" t="s">
        <v>20</v>
      </c>
      <c r="D1590" s="2" t="str">
        <f aca="false">IF(3キー同時!$B$19="","",3キー同時!$B$19)</f>
        <v>m</v>
      </c>
      <c r="E1590" s="2" t="str">
        <f aca="false">IF(3キー同時!$G$19="","",3キー同時!$G$19)</f>
        <v>p</v>
      </c>
      <c r="F1590" s="2" t="str">
        <f aca="false">""</f>
        <v/>
      </c>
      <c r="G1590" s="2" t="str">
        <f aca="false">IF(OR(3キー同時!$B$19="",3キー同時!$G$19=""),"",IF(3キー同時!AN23="","",SUBSTITUTE(SUBSTITUTE(3キー同時!AN23," ",""),"　","")))</f>
        <v/>
      </c>
      <c r="H1590" s="2" t="str">
        <f aca="false">IF($G1590="","",3キー同時!$B$19)</f>
        <v/>
      </c>
      <c r="I1590" s="2" t="str">
        <f aca="false">IF($G1590="","",3キー同時!$G$19)</f>
        <v/>
      </c>
      <c r="J1590" s="2" t="str">
        <f aca="false">IF($G1590="","","o")</f>
        <v/>
      </c>
      <c r="K1590" s="2" t="str">
        <f aca="false">""</f>
        <v/>
      </c>
      <c r="L1590" s="2" t="str">
        <f aca="false">IF($G1590="","","同時")</f>
        <v/>
      </c>
      <c r="M1590" s="2" t="str">
        <f aca="false">IF($G1590="","",IF(ISNA(MATCH($G1590,個別指定!$A:$A,0)),"行なし",""))</f>
        <v/>
      </c>
      <c r="N1590" s="2" t="str">
        <f aca="false">IF($G1590="","",IF(COUNTIF($G$2:$G$4460,$G1590)&gt;1,"重複",""))</f>
        <v/>
      </c>
    </row>
    <row r="1591" customFormat="false" ht="16.5" hidden="false" customHeight="true" outlineLevel="0" collapsed="false">
      <c r="A1591" s="2" t="s">
        <v>416</v>
      </c>
      <c r="B1591" s="2" t="s">
        <v>418</v>
      </c>
      <c r="C1591" s="2" t="s">
        <v>21</v>
      </c>
      <c r="D1591" s="2" t="str">
        <f aca="false">IF(3キー同時!$B$19="","",3キー同時!$B$19)</f>
        <v>m</v>
      </c>
      <c r="E1591" s="2" t="str">
        <f aca="false">IF(3キー同時!$G$19="","",3キー同時!$G$19)</f>
        <v>p</v>
      </c>
      <c r="F1591" s="2" t="str">
        <f aca="false">""</f>
        <v/>
      </c>
      <c r="G1591" s="2" t="str">
        <f aca="false">IF(OR(3キー同時!$B$19="",3キー同時!$G$19=""),"",IF(3キー同時!AR23="","",SUBSTITUTE(SUBSTITUTE(3キー同時!AR23," ",""),"　","")))</f>
        <v/>
      </c>
      <c r="H1591" s="2" t="str">
        <f aca="false">IF($G1591="","",3キー同時!$B$19)</f>
        <v/>
      </c>
      <c r="I1591" s="2" t="str">
        <f aca="false">IF($G1591="","",3キー同時!$G$19)</f>
        <v/>
      </c>
      <c r="J1591" s="2" t="str">
        <f aca="false">IF($G1591="","","p")</f>
        <v/>
      </c>
      <c r="K1591" s="2" t="str">
        <f aca="false">""</f>
        <v/>
      </c>
      <c r="L1591" s="2" t="str">
        <f aca="false">IF($G1591="","","同時")</f>
        <v/>
      </c>
      <c r="M1591" s="2" t="str">
        <f aca="false">IF($G1591="","",IF(ISNA(MATCH($G1591,個別指定!$A:$A,0)),"行なし",""))</f>
        <v/>
      </c>
      <c r="N1591" s="2" t="str">
        <f aca="false">IF($G1591="","",IF(COUNTIF($G$2:$G$4460,$G1591)&gt;1,"重複",""))</f>
        <v/>
      </c>
    </row>
    <row r="1592" customFormat="false" ht="16.5" hidden="false" customHeight="true" outlineLevel="0" collapsed="false">
      <c r="A1592" s="2" t="s">
        <v>416</v>
      </c>
      <c r="B1592" s="2" t="s">
        <v>418</v>
      </c>
      <c r="C1592" s="2" t="s">
        <v>22</v>
      </c>
      <c r="D1592" s="2" t="str">
        <f aca="false">IF(3キー同時!$B$19="","",3キー同時!$B$19)</f>
        <v>m</v>
      </c>
      <c r="E1592" s="2" t="str">
        <f aca="false">IF(3キー同時!$G$19="","",3キー同時!$G$19)</f>
        <v>p</v>
      </c>
      <c r="F1592" s="2" t="str">
        <f aca="false">""</f>
        <v/>
      </c>
      <c r="G1592" s="2" t="str">
        <f aca="false">IF(OR(3キー同時!$B$19="",3キー同時!$G$19=""),"",IF(3キー同時!AV23="","",SUBSTITUTE(SUBSTITUTE(3キー同時!AV23," ",""),"　","")))</f>
        <v/>
      </c>
      <c r="H1592" s="2" t="str">
        <f aca="false">IF($G1592="","",3キー同時!$B$19)</f>
        <v/>
      </c>
      <c r="I1592" s="2" t="str">
        <f aca="false">IF($G1592="","",3キー同時!$G$19)</f>
        <v/>
      </c>
      <c r="J1592" s="2" t="str">
        <f aca="false">IF($G1592="","","[")</f>
        <v/>
      </c>
      <c r="K1592" s="2" t="str">
        <f aca="false">""</f>
        <v/>
      </c>
      <c r="L1592" s="2" t="str">
        <f aca="false">IF($G1592="","","同時")</f>
        <v/>
      </c>
      <c r="M1592" s="2" t="str">
        <f aca="false">IF($G1592="","",IF(ISNA(MATCH($G1592,個別指定!$A:$A,0)),"行なし",""))</f>
        <v/>
      </c>
      <c r="N1592" s="2" t="str">
        <f aca="false">IF($G1592="","",IF(COUNTIF($G$2:$G$4460,$G1592)&gt;1,"重複",""))</f>
        <v/>
      </c>
    </row>
    <row r="1593" customFormat="false" ht="16.5" hidden="false" customHeight="true" outlineLevel="0" collapsed="false">
      <c r="A1593" s="2" t="s">
        <v>416</v>
      </c>
      <c r="B1593" s="2" t="s">
        <v>418</v>
      </c>
      <c r="C1593" s="2" t="s">
        <v>23</v>
      </c>
      <c r="D1593" s="2" t="str">
        <f aca="false">IF(3キー同時!$B$19="","",3キー同時!$B$19)</f>
        <v>m</v>
      </c>
      <c r="E1593" s="2" t="str">
        <f aca="false">IF(3キー同時!$G$19="","",3キー同時!$G$19)</f>
        <v>p</v>
      </c>
      <c r="F1593" s="2" t="str">
        <f aca="false">""</f>
        <v/>
      </c>
      <c r="G1593" s="2" t="str">
        <f aca="false">IF(OR(3キー同時!$B$19="",3キー同時!$G$19=""),"",IF(3キー同時!AZ23="","",SUBSTITUTE(SUBSTITUTE(3キー同時!AZ23," ",""),"　","")))</f>
        <v/>
      </c>
      <c r="H1593" s="2" t="str">
        <f aca="false">IF($G1593="","",3キー同時!$B$19)</f>
        <v/>
      </c>
      <c r="I1593" s="2" t="str">
        <f aca="false">IF($G1593="","",3キー同時!$G$19)</f>
        <v/>
      </c>
      <c r="J1593" s="2" t="str">
        <f aca="false">IF($G1593="","","]")</f>
        <v/>
      </c>
      <c r="K1593" s="2" t="str">
        <f aca="false">""</f>
        <v/>
      </c>
      <c r="L1593" s="2" t="str">
        <f aca="false">IF($G1593="","","同時")</f>
        <v/>
      </c>
      <c r="M1593" s="2" t="str">
        <f aca="false">IF($G1593="","",IF(ISNA(MATCH($G1593,個別指定!$A:$A,0)),"行なし",""))</f>
        <v/>
      </c>
      <c r="N1593" s="2" t="str">
        <f aca="false">IF($G1593="","",IF(COUNTIF($G$2:$G$4460,$G1593)&gt;1,"重複",""))</f>
        <v/>
      </c>
    </row>
    <row r="1594" customFormat="false" ht="16.5" hidden="false" customHeight="true" outlineLevel="0" collapsed="false">
      <c r="A1594" s="2" t="s">
        <v>416</v>
      </c>
      <c r="B1594" s="2" t="s">
        <v>418</v>
      </c>
      <c r="C1594" s="2" t="s">
        <v>24</v>
      </c>
      <c r="D1594" s="2" t="str">
        <f aca="false">IF(3キー同時!$B$19="","",3キー同時!$B$19)</f>
        <v>m</v>
      </c>
      <c r="E1594" s="2" t="str">
        <f aca="false">IF(3キー同時!$G$19="","",3キー同時!$G$19)</f>
        <v>p</v>
      </c>
      <c r="F1594" s="2" t="str">
        <f aca="false">""</f>
        <v/>
      </c>
      <c r="G1594" s="2" t="str">
        <f aca="false">IF(OR(3キー同時!$B$19="",3キー同時!$G$19=""),"",IF(3キー同時!I25="","",SUBSTITUTE(SUBSTITUTE(3キー同時!I25," ",""),"　","")))</f>
        <v/>
      </c>
      <c r="H1594" s="2" t="str">
        <f aca="false">IF($G1594="","",3キー同時!$B$19)</f>
        <v/>
      </c>
      <c r="I1594" s="2" t="str">
        <f aca="false">IF($G1594="","",3キー同時!$G$19)</f>
        <v/>
      </c>
      <c r="J1594" s="2" t="str">
        <f aca="false">IF($G1594="","","a")</f>
        <v/>
      </c>
      <c r="K1594" s="2" t="str">
        <f aca="false">""</f>
        <v/>
      </c>
      <c r="L1594" s="2" t="str">
        <f aca="false">IF($G1594="","","同時")</f>
        <v/>
      </c>
      <c r="M1594" s="2" t="str">
        <f aca="false">IF($G1594="","",IF(ISNA(MATCH($G1594,個別指定!$A:$A,0)),"行なし",""))</f>
        <v/>
      </c>
      <c r="N1594" s="2" t="str">
        <f aca="false">IF($G1594="","",IF(COUNTIF($G$2:$G$4460,$G1594)&gt;1,"重複",""))</f>
        <v/>
      </c>
    </row>
    <row r="1595" customFormat="false" ht="16.5" hidden="false" customHeight="true" outlineLevel="0" collapsed="false">
      <c r="A1595" s="2" t="s">
        <v>416</v>
      </c>
      <c r="B1595" s="2" t="s">
        <v>418</v>
      </c>
      <c r="C1595" s="2" t="s">
        <v>25</v>
      </c>
      <c r="D1595" s="2" t="str">
        <f aca="false">IF(3キー同時!$B$19="","",3キー同時!$B$19)</f>
        <v>m</v>
      </c>
      <c r="E1595" s="2" t="str">
        <f aca="false">IF(3キー同時!$G$19="","",3キー同時!$G$19)</f>
        <v>p</v>
      </c>
      <c r="F1595" s="2" t="str">
        <f aca="false">""</f>
        <v/>
      </c>
      <c r="G1595" s="2" t="str">
        <f aca="false">IF(OR(3キー同時!$B$19="",3キー同時!$G$19=""),"",IF(3キー同時!M25="","",SUBSTITUTE(SUBSTITUTE(3キー同時!M25," ",""),"　","")))</f>
        <v/>
      </c>
      <c r="H1595" s="2" t="str">
        <f aca="false">IF($G1595="","",3キー同時!$B$19)</f>
        <v/>
      </c>
      <c r="I1595" s="2" t="str">
        <f aca="false">IF($G1595="","",3キー同時!$G$19)</f>
        <v/>
      </c>
      <c r="J1595" s="2" t="str">
        <f aca="false">IF($G1595="","","s")</f>
        <v/>
      </c>
      <c r="K1595" s="2" t="str">
        <f aca="false">""</f>
        <v/>
      </c>
      <c r="L1595" s="2" t="str">
        <f aca="false">IF($G1595="","","同時")</f>
        <v/>
      </c>
      <c r="M1595" s="2" t="str">
        <f aca="false">IF($G1595="","",IF(ISNA(MATCH($G1595,個別指定!$A:$A,0)),"行なし",""))</f>
        <v/>
      </c>
      <c r="N1595" s="2" t="str">
        <f aca="false">IF($G1595="","",IF(COUNTIF($G$2:$G$4460,$G1595)&gt;1,"重複",""))</f>
        <v/>
      </c>
    </row>
    <row r="1596" customFormat="false" ht="16.5" hidden="false" customHeight="true" outlineLevel="0" collapsed="false">
      <c r="A1596" s="2" t="s">
        <v>416</v>
      </c>
      <c r="B1596" s="2" t="s">
        <v>418</v>
      </c>
      <c r="C1596" s="2" t="s">
        <v>26</v>
      </c>
      <c r="D1596" s="2" t="str">
        <f aca="false">IF(3キー同時!$B$19="","",3キー同時!$B$19)</f>
        <v>m</v>
      </c>
      <c r="E1596" s="2" t="str">
        <f aca="false">IF(3キー同時!$G$19="","",3キー同時!$G$19)</f>
        <v>p</v>
      </c>
      <c r="F1596" s="2" t="str">
        <f aca="false">""</f>
        <v/>
      </c>
      <c r="G1596" s="2" t="str">
        <f aca="false">IF(OR(3キー同時!$B$19="",3キー同時!$G$19=""),"",IF(3キー同時!Q25="","",SUBSTITUTE(SUBSTITUTE(3キー同時!Q25," ",""),"　","")))</f>
        <v/>
      </c>
      <c r="H1596" s="2" t="str">
        <f aca="false">IF($G1596="","",3キー同時!$B$19)</f>
        <v/>
      </c>
      <c r="I1596" s="2" t="str">
        <f aca="false">IF($G1596="","",3キー同時!$G$19)</f>
        <v/>
      </c>
      <c r="J1596" s="2" t="str">
        <f aca="false">IF($G1596="","","d")</f>
        <v/>
      </c>
      <c r="K1596" s="2" t="str">
        <f aca="false">""</f>
        <v/>
      </c>
      <c r="L1596" s="2" t="str">
        <f aca="false">IF($G1596="","","同時")</f>
        <v/>
      </c>
      <c r="M1596" s="2" t="str">
        <f aca="false">IF($G1596="","",IF(ISNA(MATCH($G1596,個別指定!$A:$A,0)),"行なし",""))</f>
        <v/>
      </c>
      <c r="N1596" s="2" t="str">
        <f aca="false">IF($G1596="","",IF(COUNTIF($G$2:$G$4460,$G1596)&gt;1,"重複",""))</f>
        <v/>
      </c>
    </row>
    <row r="1597" customFormat="false" ht="16.5" hidden="false" customHeight="true" outlineLevel="0" collapsed="false">
      <c r="A1597" s="2" t="s">
        <v>416</v>
      </c>
      <c r="B1597" s="2" t="s">
        <v>418</v>
      </c>
      <c r="C1597" s="2" t="s">
        <v>27</v>
      </c>
      <c r="D1597" s="2" t="str">
        <f aca="false">IF(3キー同時!$B$19="","",3キー同時!$B$19)</f>
        <v>m</v>
      </c>
      <c r="E1597" s="2" t="str">
        <f aca="false">IF(3キー同時!$G$19="","",3キー同時!$G$19)</f>
        <v>p</v>
      </c>
      <c r="F1597" s="2" t="str">
        <f aca="false">""</f>
        <v/>
      </c>
      <c r="G1597" s="2" t="str">
        <f aca="false">IF(OR(3キー同時!$B$19="",3キー同時!$G$19=""),"",IF(3キー同時!U25="","",SUBSTITUTE(SUBSTITUTE(3キー同時!U25," ",""),"　","")))</f>
        <v/>
      </c>
      <c r="H1597" s="2" t="str">
        <f aca="false">IF($G1597="","",3キー同時!$B$19)</f>
        <v/>
      </c>
      <c r="I1597" s="2" t="str">
        <f aca="false">IF($G1597="","",3キー同時!$G$19)</f>
        <v/>
      </c>
      <c r="J1597" s="2" t="str">
        <f aca="false">IF($G1597="","","f")</f>
        <v/>
      </c>
      <c r="K1597" s="2" t="str">
        <f aca="false">""</f>
        <v/>
      </c>
      <c r="L1597" s="2" t="str">
        <f aca="false">IF($G1597="","","同時")</f>
        <v/>
      </c>
      <c r="M1597" s="2" t="str">
        <f aca="false">IF($G1597="","",IF(ISNA(MATCH($G1597,個別指定!$A:$A,0)),"行なし",""))</f>
        <v/>
      </c>
      <c r="N1597" s="2" t="str">
        <f aca="false">IF($G1597="","",IF(COUNTIF($G$2:$G$4460,$G1597)&gt;1,"重複",""))</f>
        <v/>
      </c>
    </row>
    <row r="1598" customFormat="false" ht="16.5" hidden="false" customHeight="true" outlineLevel="0" collapsed="false">
      <c r="A1598" s="2" t="s">
        <v>416</v>
      </c>
      <c r="B1598" s="2" t="s">
        <v>418</v>
      </c>
      <c r="C1598" s="2" t="s">
        <v>28</v>
      </c>
      <c r="D1598" s="2" t="str">
        <f aca="false">IF(3キー同時!$B$19="","",3キー同時!$B$19)</f>
        <v>m</v>
      </c>
      <c r="E1598" s="2" t="str">
        <f aca="false">IF(3キー同時!$G$19="","",3キー同時!$G$19)</f>
        <v>p</v>
      </c>
      <c r="F1598" s="2" t="str">
        <f aca="false">""</f>
        <v/>
      </c>
      <c r="G1598" s="2" t="str">
        <f aca="false">IF(OR(3キー同時!$B$19="",3キー同時!$G$19=""),"",IF(3キー同時!Y25="","",SUBSTITUTE(SUBSTITUTE(3キー同時!Y25," ",""),"　","")))</f>
        <v/>
      </c>
      <c r="H1598" s="2" t="str">
        <f aca="false">IF($G1598="","",3キー同時!$B$19)</f>
        <v/>
      </c>
      <c r="I1598" s="2" t="str">
        <f aca="false">IF($G1598="","",3キー同時!$G$19)</f>
        <v/>
      </c>
      <c r="J1598" s="2" t="str">
        <f aca="false">IF($G1598="","","g")</f>
        <v/>
      </c>
      <c r="K1598" s="2" t="str">
        <f aca="false">""</f>
        <v/>
      </c>
      <c r="L1598" s="2" t="str">
        <f aca="false">IF($G1598="","","同時")</f>
        <v/>
      </c>
      <c r="M1598" s="2" t="str">
        <f aca="false">IF($G1598="","",IF(ISNA(MATCH($G1598,個別指定!$A:$A,0)),"行なし",""))</f>
        <v/>
      </c>
      <c r="N1598" s="2" t="str">
        <f aca="false">IF($G1598="","",IF(COUNTIF($G$2:$G$4460,$G1598)&gt;1,"重複",""))</f>
        <v/>
      </c>
    </row>
    <row r="1599" customFormat="false" ht="16.5" hidden="false" customHeight="true" outlineLevel="0" collapsed="false">
      <c r="A1599" s="2" t="s">
        <v>416</v>
      </c>
      <c r="B1599" s="2" t="s">
        <v>418</v>
      </c>
      <c r="C1599" s="2" t="s">
        <v>29</v>
      </c>
      <c r="D1599" s="2" t="str">
        <f aca="false">IF(3キー同時!$B$19="","",3キー同時!$B$19)</f>
        <v>m</v>
      </c>
      <c r="E1599" s="2" t="str">
        <f aca="false">IF(3キー同時!$G$19="","",3キー同時!$G$19)</f>
        <v>p</v>
      </c>
      <c r="F1599" s="2" t="str">
        <f aca="false">""</f>
        <v/>
      </c>
      <c r="G1599" s="2" t="str">
        <f aca="false">IF(OR(3キー同時!$B$19="",3キー同時!$G$19=""),"",IF(3キー同時!AC25="","",SUBSTITUTE(SUBSTITUTE(3キー同時!AC25," ",""),"　","")))</f>
        <v/>
      </c>
      <c r="H1599" s="2" t="str">
        <f aca="false">IF($G1599="","",3キー同時!$B$19)</f>
        <v/>
      </c>
      <c r="I1599" s="2" t="str">
        <f aca="false">IF($G1599="","",3キー同時!$G$19)</f>
        <v/>
      </c>
      <c r="J1599" s="2" t="str">
        <f aca="false">IF($G1599="","","h")</f>
        <v/>
      </c>
      <c r="K1599" s="2" t="str">
        <f aca="false">""</f>
        <v/>
      </c>
      <c r="L1599" s="2" t="str">
        <f aca="false">IF($G1599="","","同時")</f>
        <v/>
      </c>
      <c r="M1599" s="2" t="str">
        <f aca="false">IF($G1599="","",IF(ISNA(MATCH($G1599,個別指定!$A:$A,0)),"行なし",""))</f>
        <v/>
      </c>
      <c r="N1599" s="2" t="str">
        <f aca="false">IF($G1599="","",IF(COUNTIF($G$2:$G$4460,$G1599)&gt;1,"重複",""))</f>
        <v/>
      </c>
    </row>
    <row r="1600" customFormat="false" ht="16.5" hidden="false" customHeight="true" outlineLevel="0" collapsed="false">
      <c r="A1600" s="2" t="s">
        <v>416</v>
      </c>
      <c r="B1600" s="2" t="s">
        <v>418</v>
      </c>
      <c r="C1600" s="2" t="s">
        <v>30</v>
      </c>
      <c r="D1600" s="2" t="str">
        <f aca="false">IF(3キー同時!$B$19="","",3キー同時!$B$19)</f>
        <v>m</v>
      </c>
      <c r="E1600" s="2" t="str">
        <f aca="false">IF(3キー同時!$G$19="","",3キー同時!$G$19)</f>
        <v>p</v>
      </c>
      <c r="F1600" s="2" t="str">
        <f aca="false">""</f>
        <v/>
      </c>
      <c r="G1600" s="2" t="str">
        <f aca="false">IF(OR(3キー同時!$B$19="",3キー同時!$G$19=""),"",IF(3キー同時!AG25="","",SUBSTITUTE(SUBSTITUTE(3キー同時!AG25," ",""),"　","")))</f>
        <v/>
      </c>
      <c r="H1600" s="2" t="str">
        <f aca="false">IF($G1600="","",3キー同時!$B$19)</f>
        <v/>
      </c>
      <c r="I1600" s="2" t="str">
        <f aca="false">IF($G1600="","",3キー同時!$G$19)</f>
        <v/>
      </c>
      <c r="J1600" s="2" t="str">
        <f aca="false">IF($G1600="","","j")</f>
        <v/>
      </c>
      <c r="K1600" s="2" t="str">
        <f aca="false">""</f>
        <v/>
      </c>
      <c r="L1600" s="2" t="str">
        <f aca="false">IF($G1600="","","同時")</f>
        <v/>
      </c>
      <c r="M1600" s="2" t="str">
        <f aca="false">IF($G1600="","",IF(ISNA(MATCH($G1600,個別指定!$A:$A,0)),"行なし",""))</f>
        <v/>
      </c>
      <c r="N1600" s="2" t="str">
        <f aca="false">IF($G1600="","",IF(COUNTIF($G$2:$G$4460,$G1600)&gt;1,"重複",""))</f>
        <v/>
      </c>
    </row>
    <row r="1601" customFormat="false" ht="16.5" hidden="false" customHeight="true" outlineLevel="0" collapsed="false">
      <c r="A1601" s="2" t="s">
        <v>416</v>
      </c>
      <c r="B1601" s="2" t="s">
        <v>418</v>
      </c>
      <c r="C1601" s="2" t="s">
        <v>31</v>
      </c>
      <c r="D1601" s="2" t="str">
        <f aca="false">IF(3キー同時!$B$19="","",3キー同時!$B$19)</f>
        <v>m</v>
      </c>
      <c r="E1601" s="2" t="str">
        <f aca="false">IF(3キー同時!$G$19="","",3キー同時!$G$19)</f>
        <v>p</v>
      </c>
      <c r="F1601" s="2" t="str">
        <f aca="false">""</f>
        <v/>
      </c>
      <c r="G1601" s="2" t="str">
        <f aca="false">IF(OR(3キー同時!$B$19="",3キー同時!$G$19=""),"",IF(3キー同時!AK25="","",SUBSTITUTE(SUBSTITUTE(3キー同時!AK25," ",""),"　","")))</f>
        <v/>
      </c>
      <c r="H1601" s="2" t="str">
        <f aca="false">IF($G1601="","",3キー同時!$B$19)</f>
        <v/>
      </c>
      <c r="I1601" s="2" t="str">
        <f aca="false">IF($G1601="","",3キー同時!$G$19)</f>
        <v/>
      </c>
      <c r="J1601" s="2" t="str">
        <f aca="false">IF($G1601="","","k")</f>
        <v/>
      </c>
      <c r="K1601" s="2" t="str">
        <f aca="false">""</f>
        <v/>
      </c>
      <c r="L1601" s="2" t="str">
        <f aca="false">IF($G1601="","","同時")</f>
        <v/>
      </c>
      <c r="M1601" s="2" t="str">
        <f aca="false">IF($G1601="","",IF(ISNA(MATCH($G1601,個別指定!$A:$A,0)),"行なし",""))</f>
        <v/>
      </c>
      <c r="N1601" s="2" t="str">
        <f aca="false">IF($G1601="","",IF(COUNTIF($G$2:$G$4460,$G1601)&gt;1,"重複",""))</f>
        <v/>
      </c>
    </row>
    <row r="1602" customFormat="false" ht="16.5" hidden="false" customHeight="true" outlineLevel="0" collapsed="false">
      <c r="A1602" s="2" t="s">
        <v>416</v>
      </c>
      <c r="B1602" s="2" t="s">
        <v>418</v>
      </c>
      <c r="C1602" s="2" t="s">
        <v>32</v>
      </c>
      <c r="D1602" s="2" t="str">
        <f aca="false">IF(3キー同時!$B$19="","",3キー同時!$B$19)</f>
        <v>m</v>
      </c>
      <c r="E1602" s="2" t="str">
        <f aca="false">IF(3キー同時!$G$19="","",3キー同時!$G$19)</f>
        <v>p</v>
      </c>
      <c r="F1602" s="2" t="str">
        <f aca="false">""</f>
        <v/>
      </c>
      <c r="G1602" s="2" t="str">
        <f aca="false">IF(OR(3キー同時!$B$19="",3キー同時!$G$19=""),"",IF(3キー同時!AO25="","",SUBSTITUTE(SUBSTITUTE(3キー同時!AO25," ",""),"　","")))</f>
        <v/>
      </c>
      <c r="H1602" s="2" t="str">
        <f aca="false">IF($G1602="","",3キー同時!$B$19)</f>
        <v/>
      </c>
      <c r="I1602" s="2" t="str">
        <f aca="false">IF($G1602="","",3キー同時!$G$19)</f>
        <v/>
      </c>
      <c r="J1602" s="2" t="str">
        <f aca="false">IF($G1602="","","l")</f>
        <v/>
      </c>
      <c r="K1602" s="2" t="str">
        <f aca="false">""</f>
        <v/>
      </c>
      <c r="L1602" s="2" t="str">
        <f aca="false">IF($G1602="","","同時")</f>
        <v/>
      </c>
      <c r="M1602" s="2" t="str">
        <f aca="false">IF($G1602="","",IF(ISNA(MATCH($G1602,個別指定!$A:$A,0)),"行なし",""))</f>
        <v/>
      </c>
      <c r="N1602" s="2" t="str">
        <f aca="false">IF($G1602="","",IF(COUNTIF($G$2:$G$4460,$G1602)&gt;1,"重複",""))</f>
        <v/>
      </c>
    </row>
    <row r="1603" customFormat="false" ht="16.5" hidden="false" customHeight="true" outlineLevel="0" collapsed="false">
      <c r="A1603" s="2" t="s">
        <v>416</v>
      </c>
      <c r="B1603" s="2" t="s">
        <v>418</v>
      </c>
      <c r="C1603" s="2" t="s">
        <v>33</v>
      </c>
      <c r="D1603" s="2" t="str">
        <f aca="false">IF(3キー同時!$B$19="","",3キー同時!$B$19)</f>
        <v>m</v>
      </c>
      <c r="E1603" s="2" t="str">
        <f aca="false">IF(3キー同時!$G$19="","",3キー同時!$G$19)</f>
        <v>p</v>
      </c>
      <c r="F1603" s="2" t="str">
        <f aca="false">""</f>
        <v/>
      </c>
      <c r="G1603" s="2" t="str">
        <f aca="false">IF(OR(3キー同時!$B$19="",3キー同時!$G$19=""),"",IF(3キー同時!AS25="","",SUBSTITUTE(SUBSTITUTE(3キー同時!AS25," ",""),"　","")))</f>
        <v/>
      </c>
      <c r="H1603" s="2" t="str">
        <f aca="false">IF($G1603="","",3キー同時!$B$19)</f>
        <v/>
      </c>
      <c r="I1603" s="2" t="str">
        <f aca="false">IF($G1603="","",3キー同時!$G$19)</f>
        <v/>
      </c>
      <c r="J1603" s="2" t="str">
        <f aca="false">IF($G1603="","",";")</f>
        <v/>
      </c>
      <c r="K1603" s="2" t="str">
        <f aca="false">""</f>
        <v/>
      </c>
      <c r="L1603" s="2" t="str">
        <f aca="false">IF($G1603="","","同時")</f>
        <v/>
      </c>
      <c r="M1603" s="2" t="str">
        <f aca="false">IF($G1603="","",IF(ISNA(MATCH($G1603,個別指定!$A:$A,0)),"行なし",""))</f>
        <v/>
      </c>
      <c r="N1603" s="2" t="str">
        <f aca="false">IF($G1603="","",IF(COUNTIF($G$2:$G$4460,$G1603)&gt;1,"重複",""))</f>
        <v/>
      </c>
    </row>
    <row r="1604" customFormat="false" ht="16.5" hidden="false" customHeight="true" outlineLevel="0" collapsed="false">
      <c r="A1604" s="2" t="s">
        <v>416</v>
      </c>
      <c r="B1604" s="2" t="s">
        <v>418</v>
      </c>
      <c r="C1604" s="2" t="s">
        <v>34</v>
      </c>
      <c r="D1604" s="2" t="str">
        <f aca="false">IF(3キー同時!$B$19="","",3キー同時!$B$19)</f>
        <v>m</v>
      </c>
      <c r="E1604" s="2" t="str">
        <f aca="false">IF(3キー同時!$G$19="","",3キー同時!$G$19)</f>
        <v>p</v>
      </c>
      <c r="F1604" s="2" t="str">
        <f aca="false">""</f>
        <v/>
      </c>
      <c r="G1604" s="2" t="str">
        <f aca="false">IF(OR(3キー同時!$B$19="",3キー同時!$G$19=""),"",IF(3キー同時!AW25="","",SUBSTITUTE(SUBSTITUTE(3キー同時!AW25," ",""),"　","")))</f>
        <v/>
      </c>
      <c r="H1604" s="2" t="str">
        <f aca="false">IF($G1604="","",3キー同時!$B$19)</f>
        <v/>
      </c>
      <c r="I1604" s="2" t="str">
        <f aca="false">IF($G1604="","",3キー同時!$G$19)</f>
        <v/>
      </c>
      <c r="J1604" s="2" t="str">
        <f aca="false">IF($G1604="","","'")</f>
        <v/>
      </c>
      <c r="K1604" s="2" t="str">
        <f aca="false">""</f>
        <v/>
      </c>
      <c r="L1604" s="2" t="str">
        <f aca="false">IF($G1604="","","同時")</f>
        <v/>
      </c>
      <c r="M1604" s="2" t="str">
        <f aca="false">IF($G1604="","",IF(ISNA(MATCH($G1604,個別指定!$A:$A,0)),"行なし",""))</f>
        <v/>
      </c>
      <c r="N1604" s="2" t="str">
        <f aca="false">IF($G1604="","",IF(COUNTIF($G$2:$G$4460,$G1604)&gt;1,"重複",""))</f>
        <v/>
      </c>
    </row>
    <row r="1605" customFormat="false" ht="16.5" hidden="false" customHeight="true" outlineLevel="0" collapsed="false">
      <c r="A1605" s="2" t="s">
        <v>416</v>
      </c>
      <c r="B1605" s="2" t="s">
        <v>418</v>
      </c>
      <c r="C1605" s="2" t="s">
        <v>35</v>
      </c>
      <c r="D1605" s="2" t="str">
        <f aca="false">IF(3キー同時!$B$19="","",3キー同時!$B$19)</f>
        <v>m</v>
      </c>
      <c r="E1605" s="2" t="str">
        <f aca="false">IF(3キー同時!$G$19="","",3キー同時!$G$19)</f>
        <v>p</v>
      </c>
      <c r="F1605" s="2" t="str">
        <f aca="false">""</f>
        <v/>
      </c>
      <c r="G1605" s="2" t="str">
        <f aca="false">IF(OR(3キー同時!$B$19="",3キー同時!$G$19=""),"",IF(3キー同時!K27="","",SUBSTITUTE(SUBSTITUTE(3キー同時!K27," ",""),"　","")))</f>
        <v/>
      </c>
      <c r="H1605" s="2" t="str">
        <f aca="false">IF($G1605="","",3キー同時!$B$19)</f>
        <v/>
      </c>
      <c r="I1605" s="2" t="str">
        <f aca="false">IF($G1605="","",3キー同時!$G$19)</f>
        <v/>
      </c>
      <c r="J1605" s="2" t="str">
        <f aca="false">IF($G1605="","","z")</f>
        <v/>
      </c>
      <c r="K1605" s="2" t="str">
        <f aca="false">""</f>
        <v/>
      </c>
      <c r="L1605" s="2" t="str">
        <f aca="false">IF($G1605="","","同時")</f>
        <v/>
      </c>
      <c r="M1605" s="2" t="str">
        <f aca="false">IF($G1605="","",IF(ISNA(MATCH($G1605,個別指定!$A:$A,0)),"行なし",""))</f>
        <v/>
      </c>
      <c r="N1605" s="2" t="str">
        <f aca="false">IF($G1605="","",IF(COUNTIF($G$2:$G$4460,$G1605)&gt;1,"重複",""))</f>
        <v/>
      </c>
    </row>
    <row r="1606" customFormat="false" ht="16.5" hidden="false" customHeight="true" outlineLevel="0" collapsed="false">
      <c r="A1606" s="2" t="s">
        <v>416</v>
      </c>
      <c r="B1606" s="2" t="s">
        <v>418</v>
      </c>
      <c r="C1606" s="2" t="s">
        <v>36</v>
      </c>
      <c r="D1606" s="2" t="str">
        <f aca="false">IF(3キー同時!$B$19="","",3キー同時!$B$19)</f>
        <v>m</v>
      </c>
      <c r="E1606" s="2" t="str">
        <f aca="false">IF(3キー同時!$G$19="","",3キー同時!$G$19)</f>
        <v>p</v>
      </c>
      <c r="F1606" s="2" t="str">
        <f aca="false">""</f>
        <v/>
      </c>
      <c r="G1606" s="2" t="str">
        <f aca="false">IF(OR(3キー同時!$B$19="",3キー同時!$G$19=""),"",IF(3キー同時!O27="","",SUBSTITUTE(SUBSTITUTE(3キー同時!O27," ",""),"　","")))</f>
        <v>ぴゅ</v>
      </c>
      <c r="H1606" s="2" t="str">
        <f aca="false">IF($G1606="","",3キー同時!$B$19)</f>
        <v>m</v>
      </c>
      <c r="I1606" s="2" t="str">
        <f aca="false">IF($G1606="","",3キー同時!$G$19)</f>
        <v>p</v>
      </c>
      <c r="J1606" s="2" t="str">
        <f aca="false">IF($G1606="","","x")</f>
        <v>x</v>
      </c>
      <c r="K1606" s="2" t="str">
        <f aca="false">""</f>
        <v/>
      </c>
      <c r="L1606" s="2" t="str">
        <f aca="false">IF($G1606="","","同時")</f>
        <v>同時</v>
      </c>
      <c r="M1606" s="2" t="str">
        <f aca="false">IF($G1606="","",IF(ISNA(MATCH($G1606,個別指定!$A:$A,0)),"行なし",""))</f>
        <v/>
      </c>
      <c r="N1606" s="2" t="str">
        <f aca="false">IF($G1606="","",IF(COUNTIF($G$2:$G$4460,$G1606)&gt;1,"重複",""))</f>
        <v/>
      </c>
    </row>
    <row r="1607" customFormat="false" ht="16.5" hidden="false" customHeight="true" outlineLevel="0" collapsed="false">
      <c r="A1607" s="2" t="s">
        <v>416</v>
      </c>
      <c r="B1607" s="2" t="s">
        <v>418</v>
      </c>
      <c r="C1607" s="2" t="s">
        <v>37</v>
      </c>
      <c r="D1607" s="2" t="str">
        <f aca="false">IF(3キー同時!$B$19="","",3キー同時!$B$19)</f>
        <v>m</v>
      </c>
      <c r="E1607" s="2" t="str">
        <f aca="false">IF(3キー同時!$G$19="","",3キー同時!$G$19)</f>
        <v>p</v>
      </c>
      <c r="F1607" s="2" t="str">
        <f aca="false">""</f>
        <v/>
      </c>
      <c r="G1607" s="2" t="str">
        <f aca="false">IF(OR(3キー同時!$B$19="",3キー同時!$G$19=""),"",IF(3キー同時!S27="","",SUBSTITUTE(SUBSTITUTE(3キー同時!S27," ",""),"　","")))</f>
        <v/>
      </c>
      <c r="H1607" s="2" t="str">
        <f aca="false">IF($G1607="","",3キー同時!$B$19)</f>
        <v/>
      </c>
      <c r="I1607" s="2" t="str">
        <f aca="false">IF($G1607="","",3キー同時!$G$19)</f>
        <v/>
      </c>
      <c r="J1607" s="2" t="str">
        <f aca="false">IF($G1607="","","c")</f>
        <v/>
      </c>
      <c r="K1607" s="2" t="str">
        <f aca="false">""</f>
        <v/>
      </c>
      <c r="L1607" s="2" t="str">
        <f aca="false">IF($G1607="","","同時")</f>
        <v/>
      </c>
      <c r="M1607" s="2" t="str">
        <f aca="false">IF($G1607="","",IF(ISNA(MATCH($G1607,個別指定!$A:$A,0)),"行なし",""))</f>
        <v/>
      </c>
      <c r="N1607" s="2" t="str">
        <f aca="false">IF($G1607="","",IF(COUNTIF($G$2:$G$4460,$G1607)&gt;1,"重複",""))</f>
        <v/>
      </c>
    </row>
    <row r="1608" customFormat="false" ht="16.5" hidden="false" customHeight="true" outlineLevel="0" collapsed="false">
      <c r="A1608" s="2" t="s">
        <v>416</v>
      </c>
      <c r="B1608" s="2" t="s">
        <v>418</v>
      </c>
      <c r="C1608" s="2" t="s">
        <v>38</v>
      </c>
      <c r="D1608" s="2" t="str">
        <f aca="false">IF(3キー同時!$B$19="","",3キー同時!$B$19)</f>
        <v>m</v>
      </c>
      <c r="E1608" s="2" t="str">
        <f aca="false">IF(3キー同時!$G$19="","",3キー同時!$G$19)</f>
        <v>p</v>
      </c>
      <c r="F1608" s="2" t="str">
        <f aca="false">""</f>
        <v/>
      </c>
      <c r="G1608" s="2" t="str">
        <f aca="false">IF(OR(3キー同時!$B$19="",3キー同時!$G$19=""),"",IF(3キー同時!W27="","",SUBSTITUTE(SUBSTITUTE(3キー同時!W27," ",""),"　","")))</f>
        <v/>
      </c>
      <c r="H1608" s="2" t="str">
        <f aca="false">IF($G1608="","",3キー同時!$B$19)</f>
        <v/>
      </c>
      <c r="I1608" s="2" t="str">
        <f aca="false">IF($G1608="","",3キー同時!$G$19)</f>
        <v/>
      </c>
      <c r="J1608" s="2" t="str">
        <f aca="false">IF($G1608="","","v")</f>
        <v/>
      </c>
      <c r="K1608" s="2" t="str">
        <f aca="false">""</f>
        <v/>
      </c>
      <c r="L1608" s="2" t="str">
        <f aca="false">IF($G1608="","","同時")</f>
        <v/>
      </c>
      <c r="M1608" s="2" t="str">
        <f aca="false">IF($G1608="","",IF(ISNA(MATCH($G1608,個別指定!$A:$A,0)),"行なし",""))</f>
        <v/>
      </c>
      <c r="N1608" s="2" t="str">
        <f aca="false">IF($G1608="","",IF(COUNTIF($G$2:$G$4460,$G1608)&gt;1,"重複",""))</f>
        <v/>
      </c>
    </row>
    <row r="1609" customFormat="false" ht="16.5" hidden="false" customHeight="true" outlineLevel="0" collapsed="false">
      <c r="A1609" s="2" t="s">
        <v>416</v>
      </c>
      <c r="B1609" s="2" t="s">
        <v>418</v>
      </c>
      <c r="C1609" s="2" t="s">
        <v>39</v>
      </c>
      <c r="D1609" s="2" t="str">
        <f aca="false">IF(3キー同時!$B$19="","",3キー同時!$B$19)</f>
        <v>m</v>
      </c>
      <c r="E1609" s="2" t="str">
        <f aca="false">IF(3キー同時!$G$19="","",3キー同時!$G$19)</f>
        <v>p</v>
      </c>
      <c r="F1609" s="2" t="str">
        <f aca="false">""</f>
        <v/>
      </c>
      <c r="G1609" s="2" t="str">
        <f aca="false">IF(OR(3キー同時!$B$19="",3キー同時!$G$19=""),"",IF(3キー同時!AA27="","",SUBSTITUTE(SUBSTITUTE(3キー同時!AA27," ",""),"　","")))</f>
        <v/>
      </c>
      <c r="H1609" s="2" t="str">
        <f aca="false">IF($G1609="","",3キー同時!$B$19)</f>
        <v/>
      </c>
      <c r="I1609" s="2" t="str">
        <f aca="false">IF($G1609="","",3キー同時!$G$19)</f>
        <v/>
      </c>
      <c r="J1609" s="2" t="str">
        <f aca="false">IF($G1609="","","b")</f>
        <v/>
      </c>
      <c r="K1609" s="2" t="str">
        <f aca="false">""</f>
        <v/>
      </c>
      <c r="L1609" s="2" t="str">
        <f aca="false">IF($G1609="","","同時")</f>
        <v/>
      </c>
      <c r="M1609" s="2" t="str">
        <f aca="false">IF($G1609="","",IF(ISNA(MATCH($G1609,個別指定!$A:$A,0)),"行なし",""))</f>
        <v/>
      </c>
      <c r="N1609" s="2" t="str">
        <f aca="false">IF($G1609="","",IF(COUNTIF($G$2:$G$4460,$G1609)&gt;1,"重複",""))</f>
        <v/>
      </c>
    </row>
    <row r="1610" customFormat="false" ht="16.5" hidden="false" customHeight="true" outlineLevel="0" collapsed="false">
      <c r="A1610" s="2" t="s">
        <v>416</v>
      </c>
      <c r="B1610" s="2" t="s">
        <v>418</v>
      </c>
      <c r="C1610" s="2" t="s">
        <v>40</v>
      </c>
      <c r="D1610" s="2" t="str">
        <f aca="false">IF(3キー同時!$B$19="","",3キー同時!$B$19)</f>
        <v>m</v>
      </c>
      <c r="E1610" s="2" t="str">
        <f aca="false">IF(3キー同時!$G$19="","",3キー同時!$G$19)</f>
        <v>p</v>
      </c>
      <c r="F1610" s="2" t="str">
        <f aca="false">""</f>
        <v/>
      </c>
      <c r="G1610" s="2" t="str">
        <f aca="false">IF(OR(3キー同時!$B$19="",3キー同時!$G$19=""),"",IF(3キー同時!AE27="","",SUBSTITUTE(SUBSTITUTE(3キー同時!AE27," ",""),"　","")))</f>
        <v/>
      </c>
      <c r="H1610" s="2" t="str">
        <f aca="false">IF($G1610="","",3キー同時!$B$19)</f>
        <v/>
      </c>
      <c r="I1610" s="2" t="str">
        <f aca="false">IF($G1610="","",3キー同時!$G$19)</f>
        <v/>
      </c>
      <c r="J1610" s="2" t="str">
        <f aca="false">IF($G1610="","","n")</f>
        <v/>
      </c>
      <c r="K1610" s="2" t="str">
        <f aca="false">""</f>
        <v/>
      </c>
      <c r="L1610" s="2" t="str">
        <f aca="false">IF($G1610="","","同時")</f>
        <v/>
      </c>
      <c r="M1610" s="2" t="str">
        <f aca="false">IF($G1610="","",IF(ISNA(MATCH($G1610,個別指定!$A:$A,0)),"行なし",""))</f>
        <v/>
      </c>
      <c r="N1610" s="2" t="str">
        <f aca="false">IF($G1610="","",IF(COUNTIF($G$2:$G$4460,$G1610)&gt;1,"重複",""))</f>
        <v/>
      </c>
    </row>
    <row r="1611" customFormat="false" ht="16.5" hidden="false" customHeight="true" outlineLevel="0" collapsed="false">
      <c r="A1611" s="2" t="s">
        <v>416</v>
      </c>
      <c r="B1611" s="2" t="s">
        <v>418</v>
      </c>
      <c r="C1611" s="2" t="s">
        <v>41</v>
      </c>
      <c r="D1611" s="2" t="str">
        <f aca="false">IF(3キー同時!$B$19="","",3キー同時!$B$19)</f>
        <v>m</v>
      </c>
      <c r="E1611" s="2" t="str">
        <f aca="false">IF(3キー同時!$G$19="","",3キー同時!$G$19)</f>
        <v>p</v>
      </c>
      <c r="F1611" s="2" t="str">
        <f aca="false">""</f>
        <v/>
      </c>
      <c r="G1611" s="2" t="str">
        <f aca="false">IF(OR(3キー同時!$B$19="",3キー同時!$G$19=""),"",IF(3キー同時!AI27="","",SUBSTITUTE(SUBSTITUTE(3キー同時!AI27," ",""),"　","")))</f>
        <v/>
      </c>
      <c r="H1611" s="2" t="str">
        <f aca="false">IF($G1611="","",3キー同時!$B$19)</f>
        <v/>
      </c>
      <c r="I1611" s="2" t="str">
        <f aca="false">IF($G1611="","",3キー同時!$G$19)</f>
        <v/>
      </c>
      <c r="J1611" s="2" t="str">
        <f aca="false">IF($G1611="","","m")</f>
        <v/>
      </c>
      <c r="K1611" s="2" t="str">
        <f aca="false">""</f>
        <v/>
      </c>
      <c r="L1611" s="2" t="str">
        <f aca="false">IF($G1611="","","同時")</f>
        <v/>
      </c>
      <c r="M1611" s="2" t="str">
        <f aca="false">IF($G1611="","",IF(ISNA(MATCH($G1611,個別指定!$A:$A,0)),"行なし",""))</f>
        <v/>
      </c>
      <c r="N1611" s="2" t="str">
        <f aca="false">IF($G1611="","",IF(COUNTIF($G$2:$G$4460,$G1611)&gt;1,"重複",""))</f>
        <v/>
      </c>
    </row>
    <row r="1612" customFormat="false" ht="16.5" hidden="false" customHeight="true" outlineLevel="0" collapsed="false">
      <c r="A1612" s="2" t="s">
        <v>416</v>
      </c>
      <c r="B1612" s="2" t="s">
        <v>418</v>
      </c>
      <c r="C1612" s="2" t="s">
        <v>42</v>
      </c>
      <c r="D1612" s="2" t="str">
        <f aca="false">IF(3キー同時!$B$19="","",3キー同時!$B$19)</f>
        <v>m</v>
      </c>
      <c r="E1612" s="2" t="str">
        <f aca="false">IF(3キー同時!$G$19="","",3キー同時!$G$19)</f>
        <v>p</v>
      </c>
      <c r="F1612" s="2" t="str">
        <f aca="false">""</f>
        <v/>
      </c>
      <c r="G1612" s="2" t="str">
        <f aca="false">IF(OR(3キー同時!$B$19="",3キー同時!$G$19=""),"",IF(3キー同時!AM27="","",SUBSTITUTE(SUBSTITUTE(3キー同時!AM27," ",""),"　","")))</f>
        <v/>
      </c>
      <c r="H1612" s="2" t="str">
        <f aca="false">IF($G1612="","",3キー同時!$B$19)</f>
        <v/>
      </c>
      <c r="I1612" s="2" t="str">
        <f aca="false">IF($G1612="","",3キー同時!$G$19)</f>
        <v/>
      </c>
      <c r="J1612" s="2" t="str">
        <f aca="false">IF($G1612="","",",")</f>
        <v/>
      </c>
      <c r="K1612" s="2" t="str">
        <f aca="false">""</f>
        <v/>
      </c>
      <c r="L1612" s="2" t="str">
        <f aca="false">IF($G1612="","","同時")</f>
        <v/>
      </c>
      <c r="M1612" s="2" t="str">
        <f aca="false">IF($G1612="","",IF(ISNA(MATCH($G1612,個別指定!$A:$A,0)),"行なし",""))</f>
        <v/>
      </c>
      <c r="N1612" s="2" t="str">
        <f aca="false">IF($G1612="","",IF(COUNTIF($G$2:$G$4460,$G1612)&gt;1,"重複",""))</f>
        <v/>
      </c>
    </row>
    <row r="1613" customFormat="false" ht="16.5" hidden="false" customHeight="true" outlineLevel="0" collapsed="false">
      <c r="A1613" s="2" t="s">
        <v>416</v>
      </c>
      <c r="B1613" s="2" t="s">
        <v>418</v>
      </c>
      <c r="C1613" s="2" t="s">
        <v>43</v>
      </c>
      <c r="D1613" s="2" t="str">
        <f aca="false">IF(3キー同時!$B$19="","",3キー同時!$B$19)</f>
        <v>m</v>
      </c>
      <c r="E1613" s="2" t="str">
        <f aca="false">IF(3キー同時!$G$19="","",3キー同時!$G$19)</f>
        <v>p</v>
      </c>
      <c r="F1613" s="2" t="str">
        <f aca="false">""</f>
        <v/>
      </c>
      <c r="G1613" s="2" t="str">
        <f aca="false">IF(OR(3キー同時!$B$19="",3キー同時!$G$19=""),"",IF(3キー同時!AQ27="","",SUBSTITUTE(SUBSTITUTE(3キー同時!AQ27," ",""),"　","")))</f>
        <v/>
      </c>
      <c r="H1613" s="2" t="str">
        <f aca="false">IF($G1613="","",3キー同時!$B$19)</f>
        <v/>
      </c>
      <c r="I1613" s="2" t="str">
        <f aca="false">IF($G1613="","",3キー同時!$G$19)</f>
        <v/>
      </c>
      <c r="J1613" s="2" t="str">
        <f aca="false">IF($G1613="","",".")</f>
        <v/>
      </c>
      <c r="K1613" s="2" t="str">
        <f aca="false">""</f>
        <v/>
      </c>
      <c r="L1613" s="2" t="str">
        <f aca="false">IF($G1613="","","同時")</f>
        <v/>
      </c>
      <c r="M1613" s="2" t="str">
        <f aca="false">IF($G1613="","",IF(ISNA(MATCH($G1613,個別指定!$A:$A,0)),"行なし",""))</f>
        <v/>
      </c>
      <c r="N1613" s="2" t="str">
        <f aca="false">IF($G1613="","",IF(COUNTIF($G$2:$G$4460,$G1613)&gt;1,"重複",""))</f>
        <v/>
      </c>
    </row>
    <row r="1614" customFormat="false" ht="16.5" hidden="false" customHeight="true" outlineLevel="0" collapsed="false">
      <c r="A1614" s="2" t="s">
        <v>416</v>
      </c>
      <c r="B1614" s="2" t="s">
        <v>418</v>
      </c>
      <c r="C1614" s="2" t="s">
        <v>44</v>
      </c>
      <c r="D1614" s="2" t="str">
        <f aca="false">IF(3キー同時!$B$19="","",3キー同時!$B$19)</f>
        <v>m</v>
      </c>
      <c r="E1614" s="2" t="str">
        <f aca="false">IF(3キー同時!$G$19="","",3キー同時!$G$19)</f>
        <v>p</v>
      </c>
      <c r="F1614" s="2" t="str">
        <f aca="false">""</f>
        <v/>
      </c>
      <c r="G1614" s="2" t="str">
        <f aca="false">IF(OR(3キー同時!$B$19="",3キー同時!$G$19=""),"",IF(3キー同時!AU27="","",SUBSTITUTE(SUBSTITUTE(3キー同時!AU27," ",""),"　","")))</f>
        <v/>
      </c>
      <c r="H1614" s="2" t="str">
        <f aca="false">IF($G1614="","",3キー同時!$B$19)</f>
        <v/>
      </c>
      <c r="I1614" s="2" t="str">
        <f aca="false">IF($G1614="","",3キー同時!$G$19)</f>
        <v/>
      </c>
      <c r="J1614" s="2" t="str">
        <f aca="false">IF($G1614="","","/")</f>
        <v/>
      </c>
      <c r="K1614" s="2" t="str">
        <f aca="false">""</f>
        <v/>
      </c>
      <c r="L1614" s="2" t="str">
        <f aca="false">IF($G1614="","","同時")</f>
        <v/>
      </c>
      <c r="M1614" s="2" t="str">
        <f aca="false">IF($G1614="","",IF(ISNA(MATCH($G1614,個別指定!$A:$A,0)),"行なし",""))</f>
        <v/>
      </c>
      <c r="N1614" s="2" t="str">
        <f aca="false">IF($G1614="","",IF(COUNTIF($G$2:$G$4460,$G1614)&gt;1,"重複",""))</f>
        <v/>
      </c>
    </row>
    <row r="1615" customFormat="false" ht="16.5" hidden="false" customHeight="true" outlineLevel="0" collapsed="false">
      <c r="A1615" s="2" t="s">
        <v>416</v>
      </c>
      <c r="B1615" s="2" t="s">
        <v>418</v>
      </c>
      <c r="C1615" s="2" t="s">
        <v>48</v>
      </c>
      <c r="D1615" s="2" t="str">
        <f aca="false">IF(3キー同時!$B$19="","",3キー同時!$B$19)</f>
        <v>m</v>
      </c>
      <c r="E1615" s="2" t="str">
        <f aca="false">IF(3キー同時!$G$19="","",3キー同時!$G$19)</f>
        <v>p</v>
      </c>
      <c r="F1615" s="2" t="str">
        <f aca="false">""</f>
        <v/>
      </c>
      <c r="G1615" s="2" t="str">
        <f aca="false">IF(OR(3キー同時!$B$19="",3キー同時!$G$19=""),"",IF(3キー同時!P29="","",SUBSTITUTE(SUBSTITUTE(3キー同時!P29," ",""),"　","")))</f>
        <v/>
      </c>
      <c r="H1615" s="2" t="str">
        <f aca="false">IF($G1615="","",3キー同時!$B$19)</f>
        <v/>
      </c>
      <c r="I1615" s="2" t="str">
        <f aca="false">IF($G1615="","",3キー同時!$G$19)</f>
        <v/>
      </c>
      <c r="J1615" s="2" t="str">
        <f aca="false">IF($G1615="","","muhenkan")</f>
        <v/>
      </c>
      <c r="K1615" s="2" t="str">
        <f aca="false">""</f>
        <v/>
      </c>
      <c r="L1615" s="2" t="str">
        <f aca="false">IF($G1615="","","同時")</f>
        <v/>
      </c>
      <c r="M1615" s="2" t="str">
        <f aca="false">IF($G1615="","",IF(ISNA(MATCH($G1615,個別指定!$A:$A,0)),"行なし",""))</f>
        <v/>
      </c>
      <c r="N1615" s="2" t="str">
        <f aca="false">IF($G1615="","",IF(COUNTIF($G$2:$G$4460,$G1615)&gt;1,"重複",""))</f>
        <v/>
      </c>
    </row>
    <row r="1616" customFormat="false" ht="16.5" hidden="false" customHeight="true" outlineLevel="0" collapsed="false">
      <c r="A1616" s="2" t="s">
        <v>416</v>
      </c>
      <c r="B1616" s="2" t="s">
        <v>418</v>
      </c>
      <c r="C1616" s="2" t="s">
        <v>50</v>
      </c>
      <c r="D1616" s="2" t="str">
        <f aca="false">IF(3キー同時!$B$19="","",3キー同時!$B$19)</f>
        <v>m</v>
      </c>
      <c r="E1616" s="2" t="str">
        <f aca="false">IF(3キー同時!$G$19="","",3キー同時!$G$19)</f>
        <v>p</v>
      </c>
      <c r="F1616" s="2" t="str">
        <f aca="false">""</f>
        <v/>
      </c>
      <c r="G1616" s="2" t="str">
        <f aca="false">IF(OR(3キー同時!$B$19="",3キー同時!$G$19=""),"",IF(3キー同時!T29="","",SUBSTITUTE(SUBSTITUTE(3キー同時!T29," ",""),"　","")))</f>
        <v/>
      </c>
      <c r="H1616" s="2" t="str">
        <f aca="false">IF($G1616="","",3キー同時!$B$19)</f>
        <v/>
      </c>
      <c r="I1616" s="2" t="str">
        <f aca="false">IF($G1616="","",3キー同時!$G$19)</f>
        <v/>
      </c>
      <c r="J1616" s="2" t="str">
        <f aca="false">IF($G1616="","","space")</f>
        <v/>
      </c>
      <c r="K1616" s="2" t="str">
        <f aca="false">""</f>
        <v/>
      </c>
      <c r="L1616" s="2" t="str">
        <f aca="false">IF($G1616="","","同時")</f>
        <v/>
      </c>
      <c r="M1616" s="2" t="str">
        <f aca="false">IF($G1616="","",IF(ISNA(MATCH($G1616,個別指定!$A:$A,0)),"行なし",""))</f>
        <v/>
      </c>
      <c r="N1616" s="2" t="str">
        <f aca="false">IF($G1616="","",IF(COUNTIF($G$2:$G$4460,$G1616)&gt;1,"重複",""))</f>
        <v/>
      </c>
    </row>
    <row r="1617" customFormat="false" ht="16.5" hidden="false" customHeight="true" outlineLevel="0" collapsed="false">
      <c r="A1617" s="2" t="s">
        <v>416</v>
      </c>
      <c r="B1617" s="2" t="s">
        <v>418</v>
      </c>
      <c r="C1617" s="2" t="s">
        <v>45</v>
      </c>
      <c r="D1617" s="2" t="str">
        <f aca="false">IF(3キー同時!$B$19="","",3キー同時!$B$19)</f>
        <v>m</v>
      </c>
      <c r="E1617" s="2" t="str">
        <f aca="false">IF(3キー同時!$G$19="","",3キー同時!$G$19)</f>
        <v>p</v>
      </c>
      <c r="F1617" s="2" t="str">
        <f aca="false">""</f>
        <v/>
      </c>
      <c r="G1617" s="2" t="str">
        <f aca="false">IF(OR(3キー同時!$B$19="",3キー同時!$G$19=""),"",IF(3キー同時!AL29="","",SUBSTITUTE(SUBSTITUTE(3キー同時!AL29," ",""),"　","")))</f>
        <v/>
      </c>
      <c r="H1617" s="2" t="str">
        <f aca="false">IF($G1617="","",3キー同時!$B$19)</f>
        <v/>
      </c>
      <c r="I1617" s="2" t="str">
        <f aca="false">IF($G1617="","",3キー同時!$G$19)</f>
        <v/>
      </c>
      <c r="J1617" s="2" t="str">
        <f aca="false">IF($G1617="","","henkan")</f>
        <v/>
      </c>
      <c r="K1617" s="2" t="str">
        <f aca="false">""</f>
        <v/>
      </c>
      <c r="L1617" s="2" t="str">
        <f aca="false">IF($G1617="","","同時")</f>
        <v/>
      </c>
      <c r="M1617" s="2" t="str">
        <f aca="false">IF($G1617="","",IF(ISNA(MATCH($G1617,個別指定!$A:$A,0)),"行なし",""))</f>
        <v/>
      </c>
      <c r="N1617" s="2" t="str">
        <f aca="false">IF($G1617="","",IF(COUNTIF($G$2:$G$4460,$G1617)&gt;1,"重複",""))</f>
        <v/>
      </c>
    </row>
    <row r="1618" customFormat="false" ht="16.5" hidden="false" customHeight="true" outlineLevel="0" collapsed="false">
      <c r="A1618" s="2" t="s">
        <v>416</v>
      </c>
      <c r="B1618" s="2" t="s">
        <v>418</v>
      </c>
      <c r="C1618" s="2" t="s">
        <v>46</v>
      </c>
      <c r="D1618" s="2" t="str">
        <f aca="false">IF(3キー同時!$B$19="","",3キー同時!$B$19)</f>
        <v>m</v>
      </c>
      <c r="E1618" s="2" t="str">
        <f aca="false">IF(3キー同時!$G$19="","",3キー同時!$G$19)</f>
        <v>p</v>
      </c>
      <c r="F1618" s="2" t="str">
        <f aca="false">""</f>
        <v/>
      </c>
      <c r="G1618" s="2" t="str">
        <f aca="false">IF(OR(3キー同時!$B$19="",3キー同時!$G$19=""),"",IF(3キー同時!AP29="","",SUBSTITUTE(SUBSTITUTE(3キー同時!AP29," ",""),"　","")))</f>
        <v/>
      </c>
      <c r="H1618" s="2" t="str">
        <f aca="false">IF($G1618="","",3キー同時!$B$19)</f>
        <v/>
      </c>
      <c r="I1618" s="2" t="str">
        <f aca="false">IF($G1618="","",3キー同時!$G$19)</f>
        <v/>
      </c>
      <c r="J1618" s="2" t="str">
        <f aca="false">IF($G1618="","","kana")</f>
        <v/>
      </c>
      <c r="K1618" s="2" t="str">
        <f aca="false">""</f>
        <v/>
      </c>
      <c r="L1618" s="2" t="str">
        <f aca="false">IF($G1618="","","同時")</f>
        <v/>
      </c>
      <c r="M1618" s="2" t="str">
        <f aca="false">IF($G1618="","",IF(ISNA(MATCH($G1618,個別指定!$A:$A,0)),"行なし",""))</f>
        <v/>
      </c>
      <c r="N1618" s="2" t="str">
        <f aca="false">IF($G1618="","",IF(COUNTIF($G$2:$G$4460,$G1618)&gt;1,"重複",""))</f>
        <v/>
      </c>
    </row>
    <row r="1619" customFormat="false" ht="16.5" hidden="false" customHeight="true" outlineLevel="0" collapsed="false">
      <c r="A1619" s="2" t="s">
        <v>416</v>
      </c>
      <c r="B1619" s="2" t="s">
        <v>419</v>
      </c>
      <c r="C1619" s="2" t="s">
        <v>0</v>
      </c>
      <c r="D1619" s="2" t="str">
        <f aca="false">IF(3キー同時!$B$32="","",3キー同時!$B$32)</f>
        <v>j</v>
      </c>
      <c r="E1619" s="2" t="str">
        <f aca="false">IF(3キー同時!$G$32="","",3キー同時!$G$32)</f>
        <v>h</v>
      </c>
      <c r="F1619" s="2" t="str">
        <f aca="false">""</f>
        <v/>
      </c>
      <c r="G1619" s="2" t="str">
        <f aca="false">IF(OR(3キー同時!$B$32="",3キー同時!$G$32=""),"",IF(3キー同時!F34="","",SUBSTITUTE(SUBSTITUTE(3キー同時!F34," ",""),"　","")))</f>
        <v/>
      </c>
      <c r="H1619" s="2" t="str">
        <f aca="false">IF($G1619="","",3キー同時!$B$32)</f>
        <v/>
      </c>
      <c r="I1619" s="2" t="str">
        <f aca="false">IF($G1619="","",3キー同時!$G$32)</f>
        <v/>
      </c>
      <c r="J1619" s="2" t="str">
        <f aca="false">IF($G1619="","","1")</f>
        <v/>
      </c>
      <c r="K1619" s="2" t="str">
        <f aca="false">""</f>
        <v/>
      </c>
      <c r="L1619" s="2" t="str">
        <f aca="false">IF($G1619="","","同時")</f>
        <v/>
      </c>
      <c r="M1619" s="2" t="str">
        <f aca="false">IF($G1619="","",IF(ISNA(MATCH($G1619,個別指定!$A:$A,0)),"行なし",""))</f>
        <v/>
      </c>
      <c r="N1619" s="2" t="str">
        <f aca="false">IF($G1619="","",IF(COUNTIF($G$2:$G$4460,$G1619)&gt;1,"重複",""))</f>
        <v/>
      </c>
    </row>
    <row r="1620" customFormat="false" ht="16.5" hidden="false" customHeight="true" outlineLevel="0" collapsed="false">
      <c r="A1620" s="2" t="s">
        <v>416</v>
      </c>
      <c r="B1620" s="2" t="s">
        <v>419</v>
      </c>
      <c r="C1620" s="2" t="s">
        <v>1</v>
      </c>
      <c r="D1620" s="2" t="str">
        <f aca="false">IF(3キー同時!$B$32="","",3キー同時!$B$32)</f>
        <v>j</v>
      </c>
      <c r="E1620" s="2" t="str">
        <f aca="false">IF(3キー同時!$G$32="","",3キー同時!$G$32)</f>
        <v>h</v>
      </c>
      <c r="F1620" s="2" t="str">
        <f aca="false">""</f>
        <v/>
      </c>
      <c r="G1620" s="2" t="str">
        <f aca="false">IF(OR(3キー同時!$B$32="",3キー同時!$G$32=""),"",IF(3キー同時!J34="","",SUBSTITUTE(SUBSTITUTE(3キー同時!J34," ",""),"　","")))</f>
        <v/>
      </c>
      <c r="H1620" s="2" t="str">
        <f aca="false">IF($G1620="","",3キー同時!$B$32)</f>
        <v/>
      </c>
      <c r="I1620" s="2" t="str">
        <f aca="false">IF($G1620="","",3キー同時!$G$32)</f>
        <v/>
      </c>
      <c r="J1620" s="2" t="str">
        <f aca="false">IF($G1620="","","2")</f>
        <v/>
      </c>
      <c r="K1620" s="2" t="str">
        <f aca="false">""</f>
        <v/>
      </c>
      <c r="L1620" s="2" t="str">
        <f aca="false">IF($G1620="","","同時")</f>
        <v/>
      </c>
      <c r="M1620" s="2" t="str">
        <f aca="false">IF($G1620="","",IF(ISNA(MATCH($G1620,個別指定!$A:$A,0)),"行なし",""))</f>
        <v/>
      </c>
      <c r="N1620" s="2" t="str">
        <f aca="false">IF($G1620="","",IF(COUNTIF($G$2:$G$4460,$G1620)&gt;1,"重複",""))</f>
        <v/>
      </c>
    </row>
    <row r="1621" customFormat="false" ht="16.5" hidden="false" customHeight="true" outlineLevel="0" collapsed="false">
      <c r="A1621" s="2" t="s">
        <v>416</v>
      </c>
      <c r="B1621" s="2" t="s">
        <v>419</v>
      </c>
      <c r="C1621" s="2" t="s">
        <v>2</v>
      </c>
      <c r="D1621" s="2" t="str">
        <f aca="false">IF(3キー同時!$B$32="","",3キー同時!$B$32)</f>
        <v>j</v>
      </c>
      <c r="E1621" s="2" t="str">
        <f aca="false">IF(3キー同時!$G$32="","",3キー同時!$G$32)</f>
        <v>h</v>
      </c>
      <c r="F1621" s="2" t="str">
        <f aca="false">""</f>
        <v/>
      </c>
      <c r="G1621" s="2" t="str">
        <f aca="false">IF(OR(3キー同時!$B$32="",3キー同時!$G$32=""),"",IF(3キー同時!N34="","",SUBSTITUTE(SUBSTITUTE(3キー同時!N34," ",""),"　","")))</f>
        <v/>
      </c>
      <c r="H1621" s="2" t="str">
        <f aca="false">IF($G1621="","",3キー同時!$B$32)</f>
        <v/>
      </c>
      <c r="I1621" s="2" t="str">
        <f aca="false">IF($G1621="","",3キー同時!$G$32)</f>
        <v/>
      </c>
      <c r="J1621" s="2" t="str">
        <f aca="false">IF($G1621="","","3")</f>
        <v/>
      </c>
      <c r="K1621" s="2" t="str">
        <f aca="false">""</f>
        <v/>
      </c>
      <c r="L1621" s="2" t="str">
        <f aca="false">IF($G1621="","","同時")</f>
        <v/>
      </c>
      <c r="M1621" s="2" t="str">
        <f aca="false">IF($G1621="","",IF(ISNA(MATCH($G1621,個別指定!$A:$A,0)),"行なし",""))</f>
        <v/>
      </c>
      <c r="N1621" s="2" t="str">
        <f aca="false">IF($G1621="","",IF(COUNTIF($G$2:$G$4460,$G1621)&gt;1,"重複",""))</f>
        <v/>
      </c>
    </row>
    <row r="1622" customFormat="false" ht="16.5" hidden="false" customHeight="true" outlineLevel="0" collapsed="false">
      <c r="A1622" s="2" t="s">
        <v>416</v>
      </c>
      <c r="B1622" s="2" t="s">
        <v>419</v>
      </c>
      <c r="C1622" s="2" t="s">
        <v>3</v>
      </c>
      <c r="D1622" s="2" t="str">
        <f aca="false">IF(3キー同時!$B$32="","",3キー同時!$B$32)</f>
        <v>j</v>
      </c>
      <c r="E1622" s="2" t="str">
        <f aca="false">IF(3キー同時!$G$32="","",3キー同時!$G$32)</f>
        <v>h</v>
      </c>
      <c r="F1622" s="2" t="str">
        <f aca="false">""</f>
        <v/>
      </c>
      <c r="G1622" s="2" t="str">
        <f aca="false">IF(OR(3キー同時!$B$32="",3キー同時!$G$32=""),"",IF(3キー同時!R34="","",SUBSTITUTE(SUBSTITUTE(3キー同時!R34," ",""),"　","")))</f>
        <v/>
      </c>
      <c r="H1622" s="2" t="str">
        <f aca="false">IF($G1622="","",3キー同時!$B$32)</f>
        <v/>
      </c>
      <c r="I1622" s="2" t="str">
        <f aca="false">IF($G1622="","",3キー同時!$G$32)</f>
        <v/>
      </c>
      <c r="J1622" s="2" t="str">
        <f aca="false">IF($G1622="","","4")</f>
        <v/>
      </c>
      <c r="K1622" s="2" t="str">
        <f aca="false">""</f>
        <v/>
      </c>
      <c r="L1622" s="2" t="str">
        <f aca="false">IF($G1622="","","同時")</f>
        <v/>
      </c>
      <c r="M1622" s="2" t="str">
        <f aca="false">IF($G1622="","",IF(ISNA(MATCH($G1622,個別指定!$A:$A,0)),"行なし",""))</f>
        <v/>
      </c>
      <c r="N1622" s="2" t="str">
        <f aca="false">IF($G1622="","",IF(COUNTIF($G$2:$G$4460,$G1622)&gt;1,"重複",""))</f>
        <v/>
      </c>
    </row>
    <row r="1623" customFormat="false" ht="16.5" hidden="false" customHeight="true" outlineLevel="0" collapsed="false">
      <c r="A1623" s="2" t="s">
        <v>416</v>
      </c>
      <c r="B1623" s="2" t="s">
        <v>419</v>
      </c>
      <c r="C1623" s="2" t="s">
        <v>4</v>
      </c>
      <c r="D1623" s="2" t="str">
        <f aca="false">IF(3キー同時!$B$32="","",3キー同時!$B$32)</f>
        <v>j</v>
      </c>
      <c r="E1623" s="2" t="str">
        <f aca="false">IF(3キー同時!$G$32="","",3キー同時!$G$32)</f>
        <v>h</v>
      </c>
      <c r="F1623" s="2" t="str">
        <f aca="false">""</f>
        <v/>
      </c>
      <c r="G1623" s="2" t="str">
        <f aca="false">IF(OR(3キー同時!$B$32="",3キー同時!$G$32=""),"",IF(3キー同時!V34="","",SUBSTITUTE(SUBSTITUTE(3キー同時!V34," ",""),"　","")))</f>
        <v/>
      </c>
      <c r="H1623" s="2" t="str">
        <f aca="false">IF($G1623="","",3キー同時!$B$32)</f>
        <v/>
      </c>
      <c r="I1623" s="2" t="str">
        <f aca="false">IF($G1623="","",3キー同時!$G$32)</f>
        <v/>
      </c>
      <c r="J1623" s="2" t="str">
        <f aca="false">IF($G1623="","","5")</f>
        <v/>
      </c>
      <c r="K1623" s="2" t="str">
        <f aca="false">""</f>
        <v/>
      </c>
      <c r="L1623" s="2" t="str">
        <f aca="false">IF($G1623="","","同時")</f>
        <v/>
      </c>
      <c r="M1623" s="2" t="str">
        <f aca="false">IF($G1623="","",IF(ISNA(MATCH($G1623,個別指定!$A:$A,0)),"行なし",""))</f>
        <v/>
      </c>
      <c r="N1623" s="2" t="str">
        <f aca="false">IF($G1623="","",IF(COUNTIF($G$2:$G$4460,$G1623)&gt;1,"重複",""))</f>
        <v/>
      </c>
    </row>
    <row r="1624" customFormat="false" ht="16.5" hidden="false" customHeight="true" outlineLevel="0" collapsed="false">
      <c r="A1624" s="2" t="s">
        <v>416</v>
      </c>
      <c r="B1624" s="2" t="s">
        <v>419</v>
      </c>
      <c r="C1624" s="2" t="s">
        <v>5</v>
      </c>
      <c r="D1624" s="2" t="str">
        <f aca="false">IF(3キー同時!$B$32="","",3キー同時!$B$32)</f>
        <v>j</v>
      </c>
      <c r="E1624" s="2" t="str">
        <f aca="false">IF(3キー同時!$G$32="","",3キー同時!$G$32)</f>
        <v>h</v>
      </c>
      <c r="F1624" s="2" t="str">
        <f aca="false">""</f>
        <v/>
      </c>
      <c r="G1624" s="2" t="str">
        <f aca="false">IF(OR(3キー同時!$B$32="",3キー同時!$G$32=""),"",IF(3キー同時!Z34="","",SUBSTITUTE(SUBSTITUTE(3キー同時!Z34," ",""),"　","")))</f>
        <v/>
      </c>
      <c r="H1624" s="2" t="str">
        <f aca="false">IF($G1624="","",3キー同時!$B$32)</f>
        <v/>
      </c>
      <c r="I1624" s="2" t="str">
        <f aca="false">IF($G1624="","",3キー同時!$G$32)</f>
        <v/>
      </c>
      <c r="J1624" s="2" t="str">
        <f aca="false">IF($G1624="","","6")</f>
        <v/>
      </c>
      <c r="K1624" s="2" t="str">
        <f aca="false">""</f>
        <v/>
      </c>
      <c r="L1624" s="2" t="str">
        <f aca="false">IF($G1624="","","同時")</f>
        <v/>
      </c>
      <c r="M1624" s="2" t="str">
        <f aca="false">IF($G1624="","",IF(ISNA(MATCH($G1624,個別指定!$A:$A,0)),"行なし",""))</f>
        <v/>
      </c>
      <c r="N1624" s="2" t="str">
        <f aca="false">IF($G1624="","",IF(COUNTIF($G$2:$G$4460,$G1624)&gt;1,"重複",""))</f>
        <v/>
      </c>
    </row>
    <row r="1625" customFormat="false" ht="16.5" hidden="false" customHeight="true" outlineLevel="0" collapsed="false">
      <c r="A1625" s="2" t="s">
        <v>416</v>
      </c>
      <c r="B1625" s="2" t="s">
        <v>419</v>
      </c>
      <c r="C1625" s="2" t="s">
        <v>6</v>
      </c>
      <c r="D1625" s="2" t="str">
        <f aca="false">IF(3キー同時!$B$32="","",3キー同時!$B$32)</f>
        <v>j</v>
      </c>
      <c r="E1625" s="2" t="str">
        <f aca="false">IF(3キー同時!$G$32="","",3キー同時!$G$32)</f>
        <v>h</v>
      </c>
      <c r="F1625" s="2" t="str">
        <f aca="false">""</f>
        <v/>
      </c>
      <c r="G1625" s="2" t="str">
        <f aca="false">IF(OR(3キー同時!$B$32="",3キー同時!$G$32=""),"",IF(3キー同時!AD34="","",SUBSTITUTE(SUBSTITUTE(3キー同時!AD34," ",""),"　","")))</f>
        <v/>
      </c>
      <c r="H1625" s="2" t="str">
        <f aca="false">IF($G1625="","",3キー同時!$B$32)</f>
        <v/>
      </c>
      <c r="I1625" s="2" t="str">
        <f aca="false">IF($G1625="","",3キー同時!$G$32)</f>
        <v/>
      </c>
      <c r="J1625" s="2" t="str">
        <f aca="false">IF($G1625="","","7")</f>
        <v/>
      </c>
      <c r="K1625" s="2" t="str">
        <f aca="false">""</f>
        <v/>
      </c>
      <c r="L1625" s="2" t="str">
        <f aca="false">IF($G1625="","","同時")</f>
        <v/>
      </c>
      <c r="M1625" s="2" t="str">
        <f aca="false">IF($G1625="","",IF(ISNA(MATCH($G1625,個別指定!$A:$A,0)),"行なし",""))</f>
        <v/>
      </c>
      <c r="N1625" s="2" t="str">
        <f aca="false">IF($G1625="","",IF(COUNTIF($G$2:$G$4460,$G1625)&gt;1,"重複",""))</f>
        <v/>
      </c>
    </row>
    <row r="1626" customFormat="false" ht="16.5" hidden="false" customHeight="true" outlineLevel="0" collapsed="false">
      <c r="A1626" s="2" t="s">
        <v>416</v>
      </c>
      <c r="B1626" s="2" t="s">
        <v>419</v>
      </c>
      <c r="C1626" s="2" t="s">
        <v>7</v>
      </c>
      <c r="D1626" s="2" t="str">
        <f aca="false">IF(3キー同時!$B$32="","",3キー同時!$B$32)</f>
        <v>j</v>
      </c>
      <c r="E1626" s="2" t="str">
        <f aca="false">IF(3キー同時!$G$32="","",3キー同時!$G$32)</f>
        <v>h</v>
      </c>
      <c r="F1626" s="2" t="str">
        <f aca="false">""</f>
        <v/>
      </c>
      <c r="G1626" s="2" t="str">
        <f aca="false">IF(OR(3キー同時!$B$32="",3キー同時!$G$32=""),"",IF(3キー同時!AH34="","",SUBSTITUTE(SUBSTITUTE(3キー同時!AH34," ",""),"　","")))</f>
        <v/>
      </c>
      <c r="H1626" s="2" t="str">
        <f aca="false">IF($G1626="","",3キー同時!$B$32)</f>
        <v/>
      </c>
      <c r="I1626" s="2" t="str">
        <f aca="false">IF($G1626="","",3キー同時!$G$32)</f>
        <v/>
      </c>
      <c r="J1626" s="2" t="str">
        <f aca="false">IF($G1626="","","8")</f>
        <v/>
      </c>
      <c r="K1626" s="2" t="str">
        <f aca="false">""</f>
        <v/>
      </c>
      <c r="L1626" s="2" t="str">
        <f aca="false">IF($G1626="","","同時")</f>
        <v/>
      </c>
      <c r="M1626" s="2" t="str">
        <f aca="false">IF($G1626="","",IF(ISNA(MATCH($G1626,個別指定!$A:$A,0)),"行なし",""))</f>
        <v/>
      </c>
      <c r="N1626" s="2" t="str">
        <f aca="false">IF($G1626="","",IF(COUNTIF($G$2:$G$4460,$G1626)&gt;1,"重複",""))</f>
        <v/>
      </c>
    </row>
    <row r="1627" customFormat="false" ht="16.5" hidden="false" customHeight="true" outlineLevel="0" collapsed="false">
      <c r="A1627" s="2" t="s">
        <v>416</v>
      </c>
      <c r="B1627" s="2" t="s">
        <v>419</v>
      </c>
      <c r="C1627" s="2" t="s">
        <v>8</v>
      </c>
      <c r="D1627" s="2" t="str">
        <f aca="false">IF(3キー同時!$B$32="","",3キー同時!$B$32)</f>
        <v>j</v>
      </c>
      <c r="E1627" s="2" t="str">
        <f aca="false">IF(3キー同時!$G$32="","",3キー同時!$G$32)</f>
        <v>h</v>
      </c>
      <c r="F1627" s="2" t="str">
        <f aca="false">""</f>
        <v/>
      </c>
      <c r="G1627" s="2" t="str">
        <f aca="false">IF(OR(3キー同時!$B$32="",3キー同時!$G$32=""),"",IF(3キー同時!AL34="","",SUBSTITUTE(SUBSTITUTE(3キー同時!AL34," ",""),"　","")))</f>
        <v/>
      </c>
      <c r="H1627" s="2" t="str">
        <f aca="false">IF($G1627="","",3キー同時!$B$32)</f>
        <v/>
      </c>
      <c r="I1627" s="2" t="str">
        <f aca="false">IF($G1627="","",3キー同時!$G$32)</f>
        <v/>
      </c>
      <c r="J1627" s="2" t="str">
        <f aca="false">IF($G1627="","","9")</f>
        <v/>
      </c>
      <c r="K1627" s="2" t="str">
        <f aca="false">""</f>
        <v/>
      </c>
      <c r="L1627" s="2" t="str">
        <f aca="false">IF($G1627="","","同時")</f>
        <v/>
      </c>
      <c r="M1627" s="2" t="str">
        <f aca="false">IF($G1627="","",IF(ISNA(MATCH($G1627,個別指定!$A:$A,0)),"行なし",""))</f>
        <v/>
      </c>
      <c r="N1627" s="2" t="str">
        <f aca="false">IF($G1627="","",IF(COUNTIF($G$2:$G$4460,$G1627)&gt;1,"重複",""))</f>
        <v/>
      </c>
    </row>
    <row r="1628" customFormat="false" ht="16.5" hidden="false" customHeight="true" outlineLevel="0" collapsed="false">
      <c r="A1628" s="2" t="s">
        <v>416</v>
      </c>
      <c r="B1628" s="2" t="s">
        <v>419</v>
      </c>
      <c r="C1628" s="2" t="s">
        <v>9</v>
      </c>
      <c r="D1628" s="2" t="str">
        <f aca="false">IF(3キー同時!$B$32="","",3キー同時!$B$32)</f>
        <v>j</v>
      </c>
      <c r="E1628" s="2" t="str">
        <f aca="false">IF(3キー同時!$G$32="","",3キー同時!$G$32)</f>
        <v>h</v>
      </c>
      <c r="F1628" s="2" t="str">
        <f aca="false">""</f>
        <v/>
      </c>
      <c r="G1628" s="2" t="str">
        <f aca="false">IF(OR(3キー同時!$B$32="",3キー同時!$G$32=""),"",IF(3キー同時!AP34="","",SUBSTITUTE(SUBSTITUTE(3キー同時!AP34," ",""),"　","")))</f>
        <v/>
      </c>
      <c r="H1628" s="2" t="str">
        <f aca="false">IF($G1628="","",3キー同時!$B$32)</f>
        <v/>
      </c>
      <c r="I1628" s="2" t="str">
        <f aca="false">IF($G1628="","",3キー同時!$G$32)</f>
        <v/>
      </c>
      <c r="J1628" s="2" t="str">
        <f aca="false">IF($G1628="","","0")</f>
        <v/>
      </c>
      <c r="K1628" s="2" t="str">
        <f aca="false">""</f>
        <v/>
      </c>
      <c r="L1628" s="2" t="str">
        <f aca="false">IF($G1628="","","同時")</f>
        <v/>
      </c>
      <c r="M1628" s="2" t="str">
        <f aca="false">IF($G1628="","",IF(ISNA(MATCH($G1628,個別指定!$A:$A,0)),"行なし",""))</f>
        <v/>
      </c>
      <c r="N1628" s="2" t="str">
        <f aca="false">IF($G1628="","",IF(COUNTIF($G$2:$G$4460,$G1628)&gt;1,"重複",""))</f>
        <v/>
      </c>
    </row>
    <row r="1629" customFormat="false" ht="16.5" hidden="false" customHeight="true" outlineLevel="0" collapsed="false">
      <c r="A1629" s="2" t="s">
        <v>416</v>
      </c>
      <c r="B1629" s="2" t="s">
        <v>419</v>
      </c>
      <c r="C1629" s="2" t="s">
        <v>10</v>
      </c>
      <c r="D1629" s="2" t="str">
        <f aca="false">IF(3キー同時!$B$32="","",3キー同時!$B$32)</f>
        <v>j</v>
      </c>
      <c r="E1629" s="2" t="str">
        <f aca="false">IF(3キー同時!$G$32="","",3キー同時!$G$32)</f>
        <v>h</v>
      </c>
      <c r="F1629" s="2" t="str">
        <f aca="false">""</f>
        <v/>
      </c>
      <c r="G1629" s="2" t="str">
        <f aca="false">IF(OR(3キー同時!$B$32="",3キー同時!$G$32=""),"",IF(3キー同時!AT34="","",SUBSTITUTE(SUBSTITUTE(3キー同時!AT34," ",""),"　","")))</f>
        <v/>
      </c>
      <c r="H1629" s="2" t="str">
        <f aca="false">IF($G1629="","",3キー同時!$B$32)</f>
        <v/>
      </c>
      <c r="I1629" s="2" t="str">
        <f aca="false">IF($G1629="","",3キー同時!$G$32)</f>
        <v/>
      </c>
      <c r="J1629" s="2" t="str">
        <f aca="false">IF($G1629="","","-")</f>
        <v/>
      </c>
      <c r="K1629" s="2" t="str">
        <f aca="false">""</f>
        <v/>
      </c>
      <c r="L1629" s="2" t="str">
        <f aca="false">IF($G1629="","","同時")</f>
        <v/>
      </c>
      <c r="M1629" s="2" t="str">
        <f aca="false">IF($G1629="","",IF(ISNA(MATCH($G1629,個別指定!$A:$A,0)),"行なし",""))</f>
        <v/>
      </c>
      <c r="N1629" s="2" t="str">
        <f aca="false">IF($G1629="","",IF(COUNTIF($G$2:$G$4460,$G1629)&gt;1,"重複",""))</f>
        <v/>
      </c>
    </row>
    <row r="1630" customFormat="false" ht="16.5" hidden="false" customHeight="true" outlineLevel="0" collapsed="false">
      <c r="A1630" s="2" t="s">
        <v>416</v>
      </c>
      <c r="B1630" s="2" t="s">
        <v>419</v>
      </c>
      <c r="C1630" s="2" t="s">
        <v>11</v>
      </c>
      <c r="D1630" s="2" t="str">
        <f aca="false">IF(3キー同時!$B$32="","",3キー同時!$B$32)</f>
        <v>j</v>
      </c>
      <c r="E1630" s="2" t="str">
        <f aca="false">IF(3キー同時!$G$32="","",3キー同時!$G$32)</f>
        <v>h</v>
      </c>
      <c r="F1630" s="2" t="str">
        <f aca="false">""</f>
        <v/>
      </c>
      <c r="G1630" s="2" t="str">
        <f aca="false">IF(OR(3キー同時!$B$32="",3キー同時!$G$32=""),"",IF(3キー同時!AX34="","",SUBSTITUTE(SUBSTITUTE(3キー同時!AX34," ",""),"　","")))</f>
        <v/>
      </c>
      <c r="H1630" s="2" t="str">
        <f aca="false">IF($G1630="","",3キー同時!$B$32)</f>
        <v/>
      </c>
      <c r="I1630" s="2" t="str">
        <f aca="false">IF($G1630="","",3キー同時!$G$32)</f>
        <v/>
      </c>
      <c r="J1630" s="2" t="str">
        <f aca="false">IF($G1630="","","=")</f>
        <v/>
      </c>
      <c r="K1630" s="2" t="str">
        <f aca="false">""</f>
        <v/>
      </c>
      <c r="L1630" s="2" t="str">
        <f aca="false">IF($G1630="","","同時")</f>
        <v/>
      </c>
      <c r="M1630" s="2" t="str">
        <f aca="false">IF($G1630="","",IF(ISNA(MATCH($G1630,個別指定!$A:$A,0)),"行なし",""))</f>
        <v/>
      </c>
      <c r="N1630" s="2" t="str">
        <f aca="false">IF($G1630="","",IF(COUNTIF($G$2:$G$4460,$G1630)&gt;1,"重複",""))</f>
        <v/>
      </c>
    </row>
    <row r="1631" customFormat="false" ht="16.5" hidden="false" customHeight="true" outlineLevel="0" collapsed="false">
      <c r="A1631" s="2" t="s">
        <v>416</v>
      </c>
      <c r="B1631" s="2" t="s">
        <v>419</v>
      </c>
      <c r="C1631" s="2" t="s">
        <v>12</v>
      </c>
      <c r="D1631" s="2" t="str">
        <f aca="false">IF(3キー同時!$B$32="","",3キー同時!$B$32)</f>
        <v>j</v>
      </c>
      <c r="E1631" s="2" t="str">
        <f aca="false">IF(3キー同時!$G$32="","",3キー同時!$G$32)</f>
        <v>h</v>
      </c>
      <c r="F1631" s="2" t="str">
        <f aca="false">""</f>
        <v/>
      </c>
      <c r="G1631" s="2" t="str">
        <f aca="false">IF(OR(3キー同時!$B$32="",3キー同時!$G$32=""),"",IF(3キー同時!H36="","",SUBSTITUTE(SUBSTITUTE(3キー同時!H36," ",""),"　","")))</f>
        <v/>
      </c>
      <c r="H1631" s="2" t="str">
        <f aca="false">IF($G1631="","",3キー同時!$B$32)</f>
        <v/>
      </c>
      <c r="I1631" s="2" t="str">
        <f aca="false">IF($G1631="","",3キー同時!$G$32)</f>
        <v/>
      </c>
      <c r="J1631" s="2" t="str">
        <f aca="false">IF($G1631="","","q")</f>
        <v/>
      </c>
      <c r="K1631" s="2" t="str">
        <f aca="false">""</f>
        <v/>
      </c>
      <c r="L1631" s="2" t="str">
        <f aca="false">IF($G1631="","","同時")</f>
        <v/>
      </c>
      <c r="M1631" s="2" t="str">
        <f aca="false">IF($G1631="","",IF(ISNA(MATCH($G1631,個別指定!$A:$A,0)),"行なし",""))</f>
        <v/>
      </c>
      <c r="N1631" s="2" t="str">
        <f aca="false">IF($G1631="","",IF(COUNTIF($G$2:$G$4460,$G1631)&gt;1,"重複",""))</f>
        <v/>
      </c>
    </row>
    <row r="1632" customFormat="false" ht="16.5" hidden="false" customHeight="true" outlineLevel="0" collapsed="false">
      <c r="A1632" s="2" t="s">
        <v>416</v>
      </c>
      <c r="B1632" s="2" t="s">
        <v>419</v>
      </c>
      <c r="C1632" s="2" t="s">
        <v>13</v>
      </c>
      <c r="D1632" s="2" t="str">
        <f aca="false">IF(3キー同時!$B$32="","",3キー同時!$B$32)</f>
        <v>j</v>
      </c>
      <c r="E1632" s="2" t="str">
        <f aca="false">IF(3キー同時!$G$32="","",3キー同時!$G$32)</f>
        <v>h</v>
      </c>
      <c r="F1632" s="2" t="str">
        <f aca="false">""</f>
        <v/>
      </c>
      <c r="G1632" s="2" t="str">
        <f aca="false">IF(OR(3キー同時!$B$32="",3キー同時!$G$32=""),"",IF(3キー同時!L36="","",SUBSTITUTE(SUBSTITUTE(3キー同時!L36," ",""),"　","")))</f>
        <v>ぎゃ</v>
      </c>
      <c r="H1632" s="2" t="str">
        <f aca="false">IF($G1632="","",3キー同時!$B$32)</f>
        <v>j</v>
      </c>
      <c r="I1632" s="2" t="str">
        <f aca="false">IF($G1632="","",3キー同時!$G$32)</f>
        <v>h</v>
      </c>
      <c r="J1632" s="2" t="str">
        <f aca="false">IF($G1632="","","w")</f>
        <v>w</v>
      </c>
      <c r="K1632" s="2" t="str">
        <f aca="false">""</f>
        <v/>
      </c>
      <c r="L1632" s="2" t="str">
        <f aca="false">IF($G1632="","","同時")</f>
        <v>同時</v>
      </c>
      <c r="M1632" s="2" t="str">
        <f aca="false">IF($G1632="","",IF(ISNA(MATCH($G1632,個別指定!$A:$A,0)),"行なし",""))</f>
        <v/>
      </c>
      <c r="N1632" s="2" t="str">
        <f aca="false">IF($G1632="","",IF(COUNTIF($G$2:$G$4460,$G1632)&gt;1,"重複",""))</f>
        <v/>
      </c>
    </row>
    <row r="1633" customFormat="false" ht="16.5" hidden="false" customHeight="true" outlineLevel="0" collapsed="false">
      <c r="A1633" s="2" t="s">
        <v>416</v>
      </c>
      <c r="B1633" s="2" t="s">
        <v>419</v>
      </c>
      <c r="C1633" s="2" t="s">
        <v>14</v>
      </c>
      <c r="D1633" s="2" t="str">
        <f aca="false">IF(3キー同時!$B$32="","",3キー同時!$B$32)</f>
        <v>j</v>
      </c>
      <c r="E1633" s="2" t="str">
        <f aca="false">IF(3キー同時!$G$32="","",3キー同時!$G$32)</f>
        <v>h</v>
      </c>
      <c r="F1633" s="2" t="str">
        <f aca="false">""</f>
        <v/>
      </c>
      <c r="G1633" s="2" t="str">
        <f aca="false">IF(OR(3キー同時!$B$32="",3キー同時!$G$32=""),"",IF(3キー同時!P36="","",SUBSTITUTE(SUBSTITUTE(3キー同時!P36," ",""),"　","")))</f>
        <v/>
      </c>
      <c r="H1633" s="2" t="str">
        <f aca="false">IF($G1633="","",3キー同時!$B$32)</f>
        <v/>
      </c>
      <c r="I1633" s="2" t="str">
        <f aca="false">IF($G1633="","",3キー同時!$G$32)</f>
        <v/>
      </c>
      <c r="J1633" s="2" t="str">
        <f aca="false">IF($G1633="","","e")</f>
        <v/>
      </c>
      <c r="K1633" s="2" t="str">
        <f aca="false">""</f>
        <v/>
      </c>
      <c r="L1633" s="2" t="str">
        <f aca="false">IF($G1633="","","同時")</f>
        <v/>
      </c>
      <c r="M1633" s="2" t="str">
        <f aca="false">IF($G1633="","",IF(ISNA(MATCH($G1633,個別指定!$A:$A,0)),"行なし",""))</f>
        <v/>
      </c>
      <c r="N1633" s="2" t="str">
        <f aca="false">IF($G1633="","",IF(COUNTIF($G$2:$G$4460,$G1633)&gt;1,"重複",""))</f>
        <v/>
      </c>
    </row>
    <row r="1634" customFormat="false" ht="16.5" hidden="false" customHeight="true" outlineLevel="0" collapsed="false">
      <c r="A1634" s="2" t="s">
        <v>416</v>
      </c>
      <c r="B1634" s="2" t="s">
        <v>419</v>
      </c>
      <c r="C1634" s="2" t="s">
        <v>15</v>
      </c>
      <c r="D1634" s="2" t="str">
        <f aca="false">IF(3キー同時!$B$32="","",3キー同時!$B$32)</f>
        <v>j</v>
      </c>
      <c r="E1634" s="2" t="str">
        <f aca="false">IF(3キー同時!$G$32="","",3キー同時!$G$32)</f>
        <v>h</v>
      </c>
      <c r="F1634" s="2" t="str">
        <f aca="false">""</f>
        <v/>
      </c>
      <c r="G1634" s="2" t="str">
        <f aca="false">IF(OR(3キー同時!$B$32="",3キー同時!$G$32=""),"",IF(3キー同時!T36="","",SUBSTITUTE(SUBSTITUTE(3キー同時!T36," ",""),"　","")))</f>
        <v>じゃ</v>
      </c>
      <c r="H1634" s="2" t="str">
        <f aca="false">IF($G1634="","",3キー同時!$B$32)</f>
        <v>j</v>
      </c>
      <c r="I1634" s="2" t="str">
        <f aca="false">IF($G1634="","",3キー同時!$G$32)</f>
        <v>h</v>
      </c>
      <c r="J1634" s="2" t="str">
        <f aca="false">IF($G1634="","","r")</f>
        <v>r</v>
      </c>
      <c r="K1634" s="2" t="str">
        <f aca="false">""</f>
        <v/>
      </c>
      <c r="L1634" s="2" t="str">
        <f aca="false">IF($G1634="","","同時")</f>
        <v>同時</v>
      </c>
      <c r="M1634" s="2" t="str">
        <f aca="false">IF($G1634="","",IF(ISNA(MATCH($G1634,個別指定!$A:$A,0)),"行なし",""))</f>
        <v/>
      </c>
      <c r="N1634" s="2" t="str">
        <f aca="false">IF($G1634="","",IF(COUNTIF($G$2:$G$4460,$G1634)&gt;1,"重複",""))</f>
        <v/>
      </c>
    </row>
    <row r="1635" customFormat="false" ht="16.5" hidden="false" customHeight="true" outlineLevel="0" collapsed="false">
      <c r="A1635" s="2" t="s">
        <v>416</v>
      </c>
      <c r="B1635" s="2" t="s">
        <v>419</v>
      </c>
      <c r="C1635" s="2" t="s">
        <v>16</v>
      </c>
      <c r="D1635" s="2" t="str">
        <f aca="false">IF(3キー同時!$B$32="","",3キー同時!$B$32)</f>
        <v>j</v>
      </c>
      <c r="E1635" s="2" t="str">
        <f aca="false">IF(3キー同時!$G$32="","",3キー同時!$G$32)</f>
        <v>h</v>
      </c>
      <c r="F1635" s="2" t="str">
        <f aca="false">""</f>
        <v/>
      </c>
      <c r="G1635" s="2" t="str">
        <f aca="false">IF(OR(3キー同時!$B$32="",3キー同時!$G$32=""),"",IF(3キー同時!X36="","",SUBSTITUTE(SUBSTITUTE(3キー同時!X36," ",""),"　","")))</f>
        <v/>
      </c>
      <c r="H1635" s="2" t="str">
        <f aca="false">IF($G1635="","",3キー同時!$B$32)</f>
        <v/>
      </c>
      <c r="I1635" s="2" t="str">
        <f aca="false">IF($G1635="","",3キー同時!$G$32)</f>
        <v/>
      </c>
      <c r="J1635" s="2" t="str">
        <f aca="false">IF($G1635="","","t")</f>
        <v/>
      </c>
      <c r="K1635" s="2" t="str">
        <f aca="false">""</f>
        <v/>
      </c>
      <c r="L1635" s="2" t="str">
        <f aca="false">IF($G1635="","","同時")</f>
        <v/>
      </c>
      <c r="M1635" s="2" t="str">
        <f aca="false">IF($G1635="","",IF(ISNA(MATCH($G1635,個別指定!$A:$A,0)),"行なし",""))</f>
        <v/>
      </c>
      <c r="N1635" s="2" t="str">
        <f aca="false">IF($G1635="","",IF(COUNTIF($G$2:$G$4460,$G1635)&gt;1,"重複",""))</f>
        <v/>
      </c>
    </row>
    <row r="1636" customFormat="false" ht="16.5" hidden="false" customHeight="true" outlineLevel="0" collapsed="false">
      <c r="A1636" s="2" t="s">
        <v>416</v>
      </c>
      <c r="B1636" s="2" t="s">
        <v>419</v>
      </c>
      <c r="C1636" s="2" t="s">
        <v>17</v>
      </c>
      <c r="D1636" s="2" t="str">
        <f aca="false">IF(3キー同時!$B$32="","",3キー同時!$B$32)</f>
        <v>j</v>
      </c>
      <c r="E1636" s="2" t="str">
        <f aca="false">IF(3キー同時!$G$32="","",3キー同時!$G$32)</f>
        <v>h</v>
      </c>
      <c r="F1636" s="2" t="str">
        <f aca="false">""</f>
        <v/>
      </c>
      <c r="G1636" s="2" t="str">
        <f aca="false">IF(OR(3キー同時!$B$32="",3キー同時!$G$32=""),"",IF(3キー同時!AB36="","",SUBSTITUTE(SUBSTITUTE(3キー同時!AB36," ",""),"　","")))</f>
        <v/>
      </c>
      <c r="H1636" s="2" t="str">
        <f aca="false">IF($G1636="","",3キー同時!$B$32)</f>
        <v/>
      </c>
      <c r="I1636" s="2" t="str">
        <f aca="false">IF($G1636="","",3キー同時!$G$32)</f>
        <v/>
      </c>
      <c r="J1636" s="2" t="str">
        <f aca="false">IF($G1636="","","y")</f>
        <v/>
      </c>
      <c r="K1636" s="2" t="str">
        <f aca="false">""</f>
        <v/>
      </c>
      <c r="L1636" s="2" t="str">
        <f aca="false">IF($G1636="","","同時")</f>
        <v/>
      </c>
      <c r="M1636" s="2" t="str">
        <f aca="false">IF($G1636="","",IF(ISNA(MATCH($G1636,個別指定!$A:$A,0)),"行なし",""))</f>
        <v/>
      </c>
      <c r="N1636" s="2" t="str">
        <f aca="false">IF($G1636="","",IF(COUNTIF($G$2:$G$4460,$G1636)&gt;1,"重複",""))</f>
        <v/>
      </c>
    </row>
    <row r="1637" customFormat="false" ht="16.5" hidden="false" customHeight="true" outlineLevel="0" collapsed="false">
      <c r="A1637" s="2" t="s">
        <v>416</v>
      </c>
      <c r="B1637" s="2" t="s">
        <v>419</v>
      </c>
      <c r="C1637" s="2" t="s">
        <v>18</v>
      </c>
      <c r="D1637" s="2" t="str">
        <f aca="false">IF(3キー同時!$B$32="","",3キー同時!$B$32)</f>
        <v>j</v>
      </c>
      <c r="E1637" s="2" t="str">
        <f aca="false">IF(3キー同時!$G$32="","",3キー同時!$G$32)</f>
        <v>h</v>
      </c>
      <c r="F1637" s="2" t="str">
        <f aca="false">""</f>
        <v/>
      </c>
      <c r="G1637" s="2" t="str">
        <f aca="false">IF(OR(3キー同時!$B$32="",3キー同時!$G$32=""),"",IF(3キー同時!AF36="","",SUBSTITUTE(SUBSTITUTE(3キー同時!AF36," ",""),"　","")))</f>
        <v/>
      </c>
      <c r="H1637" s="2" t="str">
        <f aca="false">IF($G1637="","",3キー同時!$B$32)</f>
        <v/>
      </c>
      <c r="I1637" s="2" t="str">
        <f aca="false">IF($G1637="","",3キー同時!$G$32)</f>
        <v/>
      </c>
      <c r="J1637" s="2" t="str">
        <f aca="false">IF($G1637="","","u")</f>
        <v/>
      </c>
      <c r="K1637" s="2" t="str">
        <f aca="false">""</f>
        <v/>
      </c>
      <c r="L1637" s="2" t="str">
        <f aca="false">IF($G1637="","","同時")</f>
        <v/>
      </c>
      <c r="M1637" s="2" t="str">
        <f aca="false">IF($G1637="","",IF(ISNA(MATCH($G1637,個別指定!$A:$A,0)),"行なし",""))</f>
        <v/>
      </c>
      <c r="N1637" s="2" t="str">
        <f aca="false">IF($G1637="","",IF(COUNTIF($G$2:$G$4460,$G1637)&gt;1,"重複",""))</f>
        <v/>
      </c>
    </row>
    <row r="1638" customFormat="false" ht="16.5" hidden="false" customHeight="true" outlineLevel="0" collapsed="false">
      <c r="A1638" s="2" t="s">
        <v>416</v>
      </c>
      <c r="B1638" s="2" t="s">
        <v>419</v>
      </c>
      <c r="C1638" s="2" t="s">
        <v>19</v>
      </c>
      <c r="D1638" s="2" t="str">
        <f aca="false">IF(3キー同時!$B$32="","",3キー同時!$B$32)</f>
        <v>j</v>
      </c>
      <c r="E1638" s="2" t="str">
        <f aca="false">IF(3キー同時!$G$32="","",3キー同時!$G$32)</f>
        <v>h</v>
      </c>
      <c r="F1638" s="2" t="str">
        <f aca="false">""</f>
        <v/>
      </c>
      <c r="G1638" s="2" t="str">
        <f aca="false">IF(OR(3キー同時!$B$32="",3キー同時!$G$32=""),"",IF(3キー同時!AJ36="","",SUBSTITUTE(SUBSTITUTE(3キー同時!AJ36," ",""),"　","")))</f>
        <v/>
      </c>
      <c r="H1638" s="2" t="str">
        <f aca="false">IF($G1638="","",3キー同時!$B$32)</f>
        <v/>
      </c>
      <c r="I1638" s="2" t="str">
        <f aca="false">IF($G1638="","",3キー同時!$G$32)</f>
        <v/>
      </c>
      <c r="J1638" s="2" t="str">
        <f aca="false">IF($G1638="","","i")</f>
        <v/>
      </c>
      <c r="K1638" s="2" t="str">
        <f aca="false">""</f>
        <v/>
      </c>
      <c r="L1638" s="2" t="str">
        <f aca="false">IF($G1638="","","同時")</f>
        <v/>
      </c>
      <c r="M1638" s="2" t="str">
        <f aca="false">IF($G1638="","",IF(ISNA(MATCH($G1638,個別指定!$A:$A,0)),"行なし",""))</f>
        <v/>
      </c>
      <c r="N1638" s="2" t="str">
        <f aca="false">IF($G1638="","",IF(COUNTIF($G$2:$G$4460,$G1638)&gt;1,"重複",""))</f>
        <v/>
      </c>
    </row>
    <row r="1639" customFormat="false" ht="16.5" hidden="false" customHeight="true" outlineLevel="0" collapsed="false">
      <c r="A1639" s="2" t="s">
        <v>416</v>
      </c>
      <c r="B1639" s="2" t="s">
        <v>419</v>
      </c>
      <c r="C1639" s="2" t="s">
        <v>20</v>
      </c>
      <c r="D1639" s="2" t="str">
        <f aca="false">IF(3キー同時!$B$32="","",3キー同時!$B$32)</f>
        <v>j</v>
      </c>
      <c r="E1639" s="2" t="str">
        <f aca="false">IF(3キー同時!$G$32="","",3キー同時!$G$32)</f>
        <v>h</v>
      </c>
      <c r="F1639" s="2" t="str">
        <f aca="false">""</f>
        <v/>
      </c>
      <c r="G1639" s="2" t="str">
        <f aca="false">IF(OR(3キー同時!$B$32="",3キー同時!$G$32=""),"",IF(3キー同時!AN36="","",SUBSTITUTE(SUBSTITUTE(3キー同時!AN36," ",""),"　","")))</f>
        <v/>
      </c>
      <c r="H1639" s="2" t="str">
        <f aca="false">IF($G1639="","",3キー同時!$B$32)</f>
        <v/>
      </c>
      <c r="I1639" s="2" t="str">
        <f aca="false">IF($G1639="","",3キー同時!$G$32)</f>
        <v/>
      </c>
      <c r="J1639" s="2" t="str">
        <f aca="false">IF($G1639="","","o")</f>
        <v/>
      </c>
      <c r="K1639" s="2" t="str">
        <f aca="false">""</f>
        <v/>
      </c>
      <c r="L1639" s="2" t="str">
        <f aca="false">IF($G1639="","","同時")</f>
        <v/>
      </c>
      <c r="M1639" s="2" t="str">
        <f aca="false">IF($G1639="","",IF(ISNA(MATCH($G1639,個別指定!$A:$A,0)),"行なし",""))</f>
        <v/>
      </c>
      <c r="N1639" s="2" t="str">
        <f aca="false">IF($G1639="","",IF(COUNTIF($G$2:$G$4460,$G1639)&gt;1,"重複",""))</f>
        <v/>
      </c>
    </row>
    <row r="1640" customFormat="false" ht="16.5" hidden="false" customHeight="true" outlineLevel="0" collapsed="false">
      <c r="A1640" s="2" t="s">
        <v>416</v>
      </c>
      <c r="B1640" s="2" t="s">
        <v>419</v>
      </c>
      <c r="C1640" s="2" t="s">
        <v>21</v>
      </c>
      <c r="D1640" s="2" t="str">
        <f aca="false">IF(3キー同時!$B$32="","",3キー同時!$B$32)</f>
        <v>j</v>
      </c>
      <c r="E1640" s="2" t="str">
        <f aca="false">IF(3キー同時!$G$32="","",3キー同時!$G$32)</f>
        <v>h</v>
      </c>
      <c r="F1640" s="2" t="str">
        <f aca="false">""</f>
        <v/>
      </c>
      <c r="G1640" s="2" t="str">
        <f aca="false">IF(OR(3キー同時!$B$32="",3キー同時!$G$32=""),"",IF(3キー同時!AR36="","",SUBSTITUTE(SUBSTITUTE(3キー同時!AR36," ",""),"　","")))</f>
        <v/>
      </c>
      <c r="H1640" s="2" t="str">
        <f aca="false">IF($G1640="","",3キー同時!$B$32)</f>
        <v/>
      </c>
      <c r="I1640" s="2" t="str">
        <f aca="false">IF($G1640="","",3キー同時!$G$32)</f>
        <v/>
      </c>
      <c r="J1640" s="2" t="str">
        <f aca="false">IF($G1640="","","p")</f>
        <v/>
      </c>
      <c r="K1640" s="2" t="str">
        <f aca="false">""</f>
        <v/>
      </c>
      <c r="L1640" s="2" t="str">
        <f aca="false">IF($G1640="","","同時")</f>
        <v/>
      </c>
      <c r="M1640" s="2" t="str">
        <f aca="false">IF($G1640="","",IF(ISNA(MATCH($G1640,個別指定!$A:$A,0)),"行なし",""))</f>
        <v/>
      </c>
      <c r="N1640" s="2" t="str">
        <f aca="false">IF($G1640="","",IF(COUNTIF($G$2:$G$4460,$G1640)&gt;1,"重複",""))</f>
        <v/>
      </c>
    </row>
    <row r="1641" customFormat="false" ht="16.5" hidden="false" customHeight="true" outlineLevel="0" collapsed="false">
      <c r="A1641" s="2" t="s">
        <v>416</v>
      </c>
      <c r="B1641" s="2" t="s">
        <v>419</v>
      </c>
      <c r="C1641" s="2" t="s">
        <v>22</v>
      </c>
      <c r="D1641" s="2" t="str">
        <f aca="false">IF(3キー同時!$B$32="","",3キー同時!$B$32)</f>
        <v>j</v>
      </c>
      <c r="E1641" s="2" t="str">
        <f aca="false">IF(3キー同時!$G$32="","",3キー同時!$G$32)</f>
        <v>h</v>
      </c>
      <c r="F1641" s="2" t="str">
        <f aca="false">""</f>
        <v/>
      </c>
      <c r="G1641" s="2" t="str">
        <f aca="false">IF(OR(3キー同時!$B$32="",3キー同時!$G$32=""),"",IF(3キー同時!AV36="","",SUBSTITUTE(SUBSTITUTE(3キー同時!AV36," ",""),"　","")))</f>
        <v/>
      </c>
      <c r="H1641" s="2" t="str">
        <f aca="false">IF($G1641="","",3キー同時!$B$32)</f>
        <v/>
      </c>
      <c r="I1641" s="2" t="str">
        <f aca="false">IF($G1641="","",3キー同時!$G$32)</f>
        <v/>
      </c>
      <c r="J1641" s="2" t="str">
        <f aca="false">IF($G1641="","","[")</f>
        <v/>
      </c>
      <c r="K1641" s="2" t="str">
        <f aca="false">""</f>
        <v/>
      </c>
      <c r="L1641" s="2" t="str">
        <f aca="false">IF($G1641="","","同時")</f>
        <v/>
      </c>
      <c r="M1641" s="2" t="str">
        <f aca="false">IF($G1641="","",IF(ISNA(MATCH($G1641,個別指定!$A:$A,0)),"行なし",""))</f>
        <v/>
      </c>
      <c r="N1641" s="2" t="str">
        <f aca="false">IF($G1641="","",IF(COUNTIF($G$2:$G$4460,$G1641)&gt;1,"重複",""))</f>
        <v/>
      </c>
    </row>
    <row r="1642" customFormat="false" ht="16.5" hidden="false" customHeight="true" outlineLevel="0" collapsed="false">
      <c r="A1642" s="2" t="s">
        <v>416</v>
      </c>
      <c r="B1642" s="2" t="s">
        <v>419</v>
      </c>
      <c r="C1642" s="2" t="s">
        <v>23</v>
      </c>
      <c r="D1642" s="2" t="str">
        <f aca="false">IF(3キー同時!$B$32="","",3キー同時!$B$32)</f>
        <v>j</v>
      </c>
      <c r="E1642" s="2" t="str">
        <f aca="false">IF(3キー同時!$G$32="","",3キー同時!$G$32)</f>
        <v>h</v>
      </c>
      <c r="F1642" s="2" t="str">
        <f aca="false">""</f>
        <v/>
      </c>
      <c r="G1642" s="2" t="str">
        <f aca="false">IF(OR(3キー同時!$B$32="",3キー同時!$G$32=""),"",IF(3キー同時!AZ36="","",SUBSTITUTE(SUBSTITUTE(3キー同時!AZ36," ",""),"　","")))</f>
        <v/>
      </c>
      <c r="H1642" s="2" t="str">
        <f aca="false">IF($G1642="","",3キー同時!$B$32)</f>
        <v/>
      </c>
      <c r="I1642" s="2" t="str">
        <f aca="false">IF($G1642="","",3キー同時!$G$32)</f>
        <v/>
      </c>
      <c r="J1642" s="2" t="str">
        <f aca="false">IF($G1642="","","]")</f>
        <v/>
      </c>
      <c r="K1642" s="2" t="str">
        <f aca="false">""</f>
        <v/>
      </c>
      <c r="L1642" s="2" t="str">
        <f aca="false">IF($G1642="","","同時")</f>
        <v/>
      </c>
      <c r="M1642" s="2" t="str">
        <f aca="false">IF($G1642="","",IF(ISNA(MATCH($G1642,個別指定!$A:$A,0)),"行なし",""))</f>
        <v/>
      </c>
      <c r="N1642" s="2" t="str">
        <f aca="false">IF($G1642="","",IF(COUNTIF($G$2:$G$4460,$G1642)&gt;1,"重複",""))</f>
        <v/>
      </c>
    </row>
    <row r="1643" customFormat="false" ht="16.5" hidden="false" customHeight="true" outlineLevel="0" collapsed="false">
      <c r="A1643" s="2" t="s">
        <v>416</v>
      </c>
      <c r="B1643" s="2" t="s">
        <v>419</v>
      </c>
      <c r="C1643" s="2" t="s">
        <v>24</v>
      </c>
      <c r="D1643" s="2" t="str">
        <f aca="false">IF(3キー同時!$B$32="","",3キー同時!$B$32)</f>
        <v>j</v>
      </c>
      <c r="E1643" s="2" t="str">
        <f aca="false">IF(3キー同時!$G$32="","",3キー同時!$G$32)</f>
        <v>h</v>
      </c>
      <c r="F1643" s="2" t="str">
        <f aca="false">""</f>
        <v/>
      </c>
      <c r="G1643" s="2" t="str">
        <f aca="false">IF(OR(3キー同時!$B$32="",3キー同時!$G$32=""),"",IF(3キー同時!I38="","",SUBSTITUTE(SUBSTITUTE(3キー同時!I38," ",""),"　","")))</f>
        <v/>
      </c>
      <c r="H1643" s="2" t="str">
        <f aca="false">IF($G1643="","",3キー同時!$B$32)</f>
        <v/>
      </c>
      <c r="I1643" s="2" t="str">
        <f aca="false">IF($G1643="","",3キー同時!$G$32)</f>
        <v/>
      </c>
      <c r="J1643" s="2" t="str">
        <f aca="false">IF($G1643="","","a")</f>
        <v/>
      </c>
      <c r="K1643" s="2" t="str">
        <f aca="false">""</f>
        <v/>
      </c>
      <c r="L1643" s="2" t="str">
        <f aca="false">IF($G1643="","","同時")</f>
        <v/>
      </c>
      <c r="M1643" s="2" t="str">
        <f aca="false">IF($G1643="","",IF(ISNA(MATCH($G1643,個別指定!$A:$A,0)),"行なし",""))</f>
        <v/>
      </c>
      <c r="N1643" s="2" t="str">
        <f aca="false">IF($G1643="","",IF(COUNTIF($G$2:$G$4460,$G1643)&gt;1,"重複",""))</f>
        <v/>
      </c>
    </row>
    <row r="1644" customFormat="false" ht="16.5" hidden="false" customHeight="true" outlineLevel="0" collapsed="false">
      <c r="A1644" s="2" t="s">
        <v>416</v>
      </c>
      <c r="B1644" s="2" t="s">
        <v>419</v>
      </c>
      <c r="C1644" s="2" t="s">
        <v>25</v>
      </c>
      <c r="D1644" s="2" t="str">
        <f aca="false">IF(3キー同時!$B$32="","",3キー同時!$B$32)</f>
        <v>j</v>
      </c>
      <c r="E1644" s="2" t="str">
        <f aca="false">IF(3キー同時!$G$32="","",3キー同時!$G$32)</f>
        <v>h</v>
      </c>
      <c r="F1644" s="2" t="str">
        <f aca="false">""</f>
        <v/>
      </c>
      <c r="G1644" s="2" t="str">
        <f aca="false">IF(OR(3キー同時!$B$32="",3キー同時!$G$32=""),"",IF(3キー同時!M38="","",SUBSTITUTE(SUBSTITUTE(3キー同時!M38," ",""),"　","")))</f>
        <v/>
      </c>
      <c r="H1644" s="2" t="str">
        <f aca="false">IF($G1644="","",3キー同時!$B$32)</f>
        <v/>
      </c>
      <c r="I1644" s="2" t="str">
        <f aca="false">IF($G1644="","",3キー同時!$G$32)</f>
        <v/>
      </c>
      <c r="J1644" s="2" t="str">
        <f aca="false">IF($G1644="","","s")</f>
        <v/>
      </c>
      <c r="K1644" s="2" t="str">
        <f aca="false">""</f>
        <v/>
      </c>
      <c r="L1644" s="2" t="str">
        <f aca="false">IF($G1644="","","同時")</f>
        <v/>
      </c>
      <c r="M1644" s="2" t="str">
        <f aca="false">IF($G1644="","",IF(ISNA(MATCH($G1644,個別指定!$A:$A,0)),"行なし",""))</f>
        <v/>
      </c>
      <c r="N1644" s="2" t="str">
        <f aca="false">IF($G1644="","",IF(COUNTIF($G$2:$G$4460,$G1644)&gt;1,"重複",""))</f>
        <v/>
      </c>
    </row>
    <row r="1645" customFormat="false" ht="16.5" hidden="false" customHeight="true" outlineLevel="0" collapsed="false">
      <c r="A1645" s="2" t="s">
        <v>416</v>
      </c>
      <c r="B1645" s="2" t="s">
        <v>419</v>
      </c>
      <c r="C1645" s="2" t="s">
        <v>26</v>
      </c>
      <c r="D1645" s="2" t="str">
        <f aca="false">IF(3キー同時!$B$32="","",3キー同時!$B$32)</f>
        <v>j</v>
      </c>
      <c r="E1645" s="2" t="str">
        <f aca="false">IF(3キー同時!$G$32="","",3キー同時!$G$32)</f>
        <v>h</v>
      </c>
      <c r="F1645" s="2" t="str">
        <f aca="false">""</f>
        <v/>
      </c>
      <c r="G1645" s="2" t="str">
        <f aca="false">IF(OR(3キー同時!$B$32="",3キー同時!$G$32=""),"",IF(3キー同時!Q38="","",SUBSTITUTE(SUBSTITUTE(3キー同時!Q38," ",""),"　","")))</f>
        <v/>
      </c>
      <c r="H1645" s="2" t="str">
        <f aca="false">IF($G1645="","",3キー同時!$B$32)</f>
        <v/>
      </c>
      <c r="I1645" s="2" t="str">
        <f aca="false">IF($G1645="","",3キー同時!$G$32)</f>
        <v/>
      </c>
      <c r="J1645" s="2" t="str">
        <f aca="false">IF($G1645="","","d")</f>
        <v/>
      </c>
      <c r="K1645" s="2" t="str">
        <f aca="false">""</f>
        <v/>
      </c>
      <c r="L1645" s="2" t="str">
        <f aca="false">IF($G1645="","","同時")</f>
        <v/>
      </c>
      <c r="M1645" s="2" t="str">
        <f aca="false">IF($G1645="","",IF(ISNA(MATCH($G1645,個別指定!$A:$A,0)),"行なし",""))</f>
        <v/>
      </c>
      <c r="N1645" s="2" t="str">
        <f aca="false">IF($G1645="","",IF(COUNTIF($G$2:$G$4460,$G1645)&gt;1,"重複",""))</f>
        <v/>
      </c>
    </row>
    <row r="1646" customFormat="false" ht="16.5" hidden="false" customHeight="true" outlineLevel="0" collapsed="false">
      <c r="A1646" s="2" t="s">
        <v>416</v>
      </c>
      <c r="B1646" s="2" t="s">
        <v>419</v>
      </c>
      <c r="C1646" s="2" t="s">
        <v>27</v>
      </c>
      <c r="D1646" s="2" t="str">
        <f aca="false">IF(3キー同時!$B$32="","",3キー同時!$B$32)</f>
        <v>j</v>
      </c>
      <c r="E1646" s="2" t="str">
        <f aca="false">IF(3キー同時!$G$32="","",3キー同時!$G$32)</f>
        <v>h</v>
      </c>
      <c r="F1646" s="2" t="str">
        <f aca="false">""</f>
        <v/>
      </c>
      <c r="G1646" s="2" t="str">
        <f aca="false">IF(OR(3キー同時!$B$32="",3キー同時!$G$32=""),"",IF(3キー同時!U38="","",SUBSTITUTE(SUBSTITUTE(3キー同時!U38," ",""),"　","")))</f>
        <v/>
      </c>
      <c r="H1646" s="2" t="str">
        <f aca="false">IF($G1646="","",3キー同時!$B$32)</f>
        <v/>
      </c>
      <c r="I1646" s="2" t="str">
        <f aca="false">IF($G1646="","",3キー同時!$G$32)</f>
        <v/>
      </c>
      <c r="J1646" s="2" t="str">
        <f aca="false">IF($G1646="","","f")</f>
        <v/>
      </c>
      <c r="K1646" s="2" t="str">
        <f aca="false">""</f>
        <v/>
      </c>
      <c r="L1646" s="2" t="str">
        <f aca="false">IF($G1646="","","同時")</f>
        <v/>
      </c>
      <c r="M1646" s="2" t="str">
        <f aca="false">IF($G1646="","",IF(ISNA(MATCH($G1646,個別指定!$A:$A,0)),"行なし",""))</f>
        <v/>
      </c>
      <c r="N1646" s="2" t="str">
        <f aca="false">IF($G1646="","",IF(COUNTIF($G$2:$G$4460,$G1646)&gt;1,"重複",""))</f>
        <v/>
      </c>
    </row>
    <row r="1647" customFormat="false" ht="16.5" hidden="false" customHeight="true" outlineLevel="0" collapsed="false">
      <c r="A1647" s="2" t="s">
        <v>416</v>
      </c>
      <c r="B1647" s="2" t="s">
        <v>419</v>
      </c>
      <c r="C1647" s="2" t="s">
        <v>28</v>
      </c>
      <c r="D1647" s="2" t="str">
        <f aca="false">IF(3キー同時!$B$32="","",3キー同時!$B$32)</f>
        <v>j</v>
      </c>
      <c r="E1647" s="2" t="str">
        <f aca="false">IF(3キー同時!$G$32="","",3キー同時!$G$32)</f>
        <v>h</v>
      </c>
      <c r="F1647" s="2" t="str">
        <f aca="false">""</f>
        <v/>
      </c>
      <c r="G1647" s="2" t="str">
        <f aca="false">IF(OR(3キー同時!$B$32="",3キー同時!$G$32=""),"",IF(3キー同時!Y38="","",SUBSTITUTE(SUBSTITUTE(3キー同時!Y38," ",""),"　","")))</f>
        <v>ぢゃ</v>
      </c>
      <c r="H1647" s="2" t="str">
        <f aca="false">IF($G1647="","",3キー同時!$B$32)</f>
        <v>j</v>
      </c>
      <c r="I1647" s="2" t="str">
        <f aca="false">IF($G1647="","",3キー同時!$G$32)</f>
        <v>h</v>
      </c>
      <c r="J1647" s="2" t="str">
        <f aca="false">IF($G1647="","","g")</f>
        <v>g</v>
      </c>
      <c r="K1647" s="2" t="str">
        <f aca="false">""</f>
        <v/>
      </c>
      <c r="L1647" s="2" t="str">
        <f aca="false">IF($G1647="","","同時")</f>
        <v>同時</v>
      </c>
      <c r="M1647" s="2" t="str">
        <f aca="false">IF($G1647="","",IF(ISNA(MATCH($G1647,個別指定!$A:$A,0)),"行なし",""))</f>
        <v/>
      </c>
      <c r="N1647" s="2" t="str">
        <f aca="false">IF($G1647="","",IF(COUNTIF($G$2:$G$4460,$G1647)&gt;1,"重複",""))</f>
        <v/>
      </c>
    </row>
    <row r="1648" customFormat="false" ht="16.5" hidden="false" customHeight="true" outlineLevel="0" collapsed="false">
      <c r="A1648" s="2" t="s">
        <v>416</v>
      </c>
      <c r="B1648" s="2" t="s">
        <v>419</v>
      </c>
      <c r="C1648" s="2" t="s">
        <v>29</v>
      </c>
      <c r="D1648" s="2" t="str">
        <f aca="false">IF(3キー同時!$B$32="","",3キー同時!$B$32)</f>
        <v>j</v>
      </c>
      <c r="E1648" s="2" t="str">
        <f aca="false">IF(3キー同時!$G$32="","",3キー同時!$G$32)</f>
        <v>h</v>
      </c>
      <c r="F1648" s="2" t="str">
        <f aca="false">""</f>
        <v/>
      </c>
      <c r="G1648" s="2" t="str">
        <f aca="false">IF(OR(3キー同時!$B$32="",3キー同時!$G$32=""),"",IF(3キー同時!AC38="","",SUBSTITUTE(SUBSTITUTE(3キー同時!AC38," ",""),"　","")))</f>
        <v/>
      </c>
      <c r="H1648" s="2" t="str">
        <f aca="false">IF($G1648="","",3キー同時!$B$32)</f>
        <v/>
      </c>
      <c r="I1648" s="2" t="str">
        <f aca="false">IF($G1648="","",3キー同時!$G$32)</f>
        <v/>
      </c>
      <c r="J1648" s="2" t="str">
        <f aca="false">IF($G1648="","","h")</f>
        <v/>
      </c>
      <c r="K1648" s="2" t="str">
        <f aca="false">""</f>
        <v/>
      </c>
      <c r="L1648" s="2" t="str">
        <f aca="false">IF($G1648="","","同時")</f>
        <v/>
      </c>
      <c r="M1648" s="2" t="str">
        <f aca="false">IF($G1648="","",IF(ISNA(MATCH($G1648,個別指定!$A:$A,0)),"行なし",""))</f>
        <v/>
      </c>
      <c r="N1648" s="2" t="str">
        <f aca="false">IF($G1648="","",IF(COUNTIF($G$2:$G$4460,$G1648)&gt;1,"重複",""))</f>
        <v/>
      </c>
    </row>
    <row r="1649" customFormat="false" ht="16.5" hidden="false" customHeight="true" outlineLevel="0" collapsed="false">
      <c r="A1649" s="2" t="s">
        <v>416</v>
      </c>
      <c r="B1649" s="2" t="s">
        <v>419</v>
      </c>
      <c r="C1649" s="2" t="s">
        <v>30</v>
      </c>
      <c r="D1649" s="2" t="str">
        <f aca="false">IF(3キー同時!$B$32="","",3キー同時!$B$32)</f>
        <v>j</v>
      </c>
      <c r="E1649" s="2" t="str">
        <f aca="false">IF(3キー同時!$G$32="","",3キー同時!$G$32)</f>
        <v>h</v>
      </c>
      <c r="F1649" s="2" t="str">
        <f aca="false">""</f>
        <v/>
      </c>
      <c r="G1649" s="2" t="str">
        <f aca="false">IF(OR(3キー同時!$B$32="",3キー同時!$G$32=""),"",IF(3キー同時!AG38="","",SUBSTITUTE(SUBSTITUTE(3キー同時!AG38," ",""),"　","")))</f>
        <v/>
      </c>
      <c r="H1649" s="2" t="str">
        <f aca="false">IF($G1649="","",3キー同時!$B$32)</f>
        <v/>
      </c>
      <c r="I1649" s="2" t="str">
        <f aca="false">IF($G1649="","",3キー同時!$G$32)</f>
        <v/>
      </c>
      <c r="J1649" s="2" t="str">
        <f aca="false">IF($G1649="","","j")</f>
        <v/>
      </c>
      <c r="K1649" s="2" t="str">
        <f aca="false">""</f>
        <v/>
      </c>
      <c r="L1649" s="2" t="str">
        <f aca="false">IF($G1649="","","同時")</f>
        <v/>
      </c>
      <c r="M1649" s="2" t="str">
        <f aca="false">IF($G1649="","",IF(ISNA(MATCH($G1649,個別指定!$A:$A,0)),"行なし",""))</f>
        <v/>
      </c>
      <c r="N1649" s="2" t="str">
        <f aca="false">IF($G1649="","",IF(COUNTIF($G$2:$G$4460,$G1649)&gt;1,"重複",""))</f>
        <v/>
      </c>
    </row>
    <row r="1650" customFormat="false" ht="16.5" hidden="false" customHeight="true" outlineLevel="0" collapsed="false">
      <c r="A1650" s="2" t="s">
        <v>416</v>
      </c>
      <c r="B1650" s="2" t="s">
        <v>419</v>
      </c>
      <c r="C1650" s="2" t="s">
        <v>31</v>
      </c>
      <c r="D1650" s="2" t="str">
        <f aca="false">IF(3キー同時!$B$32="","",3キー同時!$B$32)</f>
        <v>j</v>
      </c>
      <c r="E1650" s="2" t="str">
        <f aca="false">IF(3キー同時!$G$32="","",3キー同時!$G$32)</f>
        <v>h</v>
      </c>
      <c r="F1650" s="2" t="str">
        <f aca="false">""</f>
        <v/>
      </c>
      <c r="G1650" s="2" t="str">
        <f aca="false">IF(OR(3キー同時!$B$32="",3キー同時!$G$32=""),"",IF(3キー同時!AK38="","",SUBSTITUTE(SUBSTITUTE(3キー同時!AK38," ",""),"　","")))</f>
        <v/>
      </c>
      <c r="H1650" s="2" t="str">
        <f aca="false">IF($G1650="","",3キー同時!$B$32)</f>
        <v/>
      </c>
      <c r="I1650" s="2" t="str">
        <f aca="false">IF($G1650="","",3キー同時!$G$32)</f>
        <v/>
      </c>
      <c r="J1650" s="2" t="str">
        <f aca="false">IF($G1650="","","k")</f>
        <v/>
      </c>
      <c r="K1650" s="2" t="str">
        <f aca="false">""</f>
        <v/>
      </c>
      <c r="L1650" s="2" t="str">
        <f aca="false">IF($G1650="","","同時")</f>
        <v/>
      </c>
      <c r="M1650" s="2" t="str">
        <f aca="false">IF($G1650="","",IF(ISNA(MATCH($G1650,個別指定!$A:$A,0)),"行なし",""))</f>
        <v/>
      </c>
      <c r="N1650" s="2" t="str">
        <f aca="false">IF($G1650="","",IF(COUNTIF($G$2:$G$4460,$G1650)&gt;1,"重複",""))</f>
        <v/>
      </c>
    </row>
    <row r="1651" customFormat="false" ht="16.5" hidden="false" customHeight="true" outlineLevel="0" collapsed="false">
      <c r="A1651" s="2" t="s">
        <v>416</v>
      </c>
      <c r="B1651" s="2" t="s">
        <v>419</v>
      </c>
      <c r="C1651" s="2" t="s">
        <v>32</v>
      </c>
      <c r="D1651" s="2" t="str">
        <f aca="false">IF(3キー同時!$B$32="","",3キー同時!$B$32)</f>
        <v>j</v>
      </c>
      <c r="E1651" s="2" t="str">
        <f aca="false">IF(3キー同時!$G$32="","",3キー同時!$G$32)</f>
        <v>h</v>
      </c>
      <c r="F1651" s="2" t="str">
        <f aca="false">""</f>
        <v/>
      </c>
      <c r="G1651" s="2" t="str">
        <f aca="false">IF(OR(3キー同時!$B$32="",3キー同時!$G$32=""),"",IF(3キー同時!AO38="","",SUBSTITUTE(SUBSTITUTE(3キー同時!AO38," ",""),"　","")))</f>
        <v/>
      </c>
      <c r="H1651" s="2" t="str">
        <f aca="false">IF($G1651="","",3キー同時!$B$32)</f>
        <v/>
      </c>
      <c r="I1651" s="2" t="str">
        <f aca="false">IF($G1651="","",3キー同時!$G$32)</f>
        <v/>
      </c>
      <c r="J1651" s="2" t="str">
        <f aca="false">IF($G1651="","","l")</f>
        <v/>
      </c>
      <c r="K1651" s="2" t="str">
        <f aca="false">""</f>
        <v/>
      </c>
      <c r="L1651" s="2" t="str">
        <f aca="false">IF($G1651="","","同時")</f>
        <v/>
      </c>
      <c r="M1651" s="2" t="str">
        <f aca="false">IF($G1651="","",IF(ISNA(MATCH($G1651,個別指定!$A:$A,0)),"行なし",""))</f>
        <v/>
      </c>
      <c r="N1651" s="2" t="str">
        <f aca="false">IF($G1651="","",IF(COUNTIF($G$2:$G$4460,$G1651)&gt;1,"重複",""))</f>
        <v/>
      </c>
    </row>
    <row r="1652" customFormat="false" ht="16.5" hidden="false" customHeight="true" outlineLevel="0" collapsed="false">
      <c r="A1652" s="2" t="s">
        <v>416</v>
      </c>
      <c r="B1652" s="2" t="s">
        <v>419</v>
      </c>
      <c r="C1652" s="2" t="s">
        <v>33</v>
      </c>
      <c r="D1652" s="2" t="str">
        <f aca="false">IF(3キー同時!$B$32="","",3キー同時!$B$32)</f>
        <v>j</v>
      </c>
      <c r="E1652" s="2" t="str">
        <f aca="false">IF(3キー同時!$G$32="","",3キー同時!$G$32)</f>
        <v>h</v>
      </c>
      <c r="F1652" s="2" t="str">
        <f aca="false">""</f>
        <v/>
      </c>
      <c r="G1652" s="2" t="str">
        <f aca="false">IF(OR(3キー同時!$B$32="",3キー同時!$G$32=""),"",IF(3キー同時!AS38="","",SUBSTITUTE(SUBSTITUTE(3キー同時!AS38," ",""),"　","")))</f>
        <v/>
      </c>
      <c r="H1652" s="2" t="str">
        <f aca="false">IF($G1652="","",3キー同時!$B$32)</f>
        <v/>
      </c>
      <c r="I1652" s="2" t="str">
        <f aca="false">IF($G1652="","",3キー同時!$G$32)</f>
        <v/>
      </c>
      <c r="J1652" s="2" t="str">
        <f aca="false">IF($G1652="","",";")</f>
        <v/>
      </c>
      <c r="K1652" s="2" t="str">
        <f aca="false">""</f>
        <v/>
      </c>
      <c r="L1652" s="2" t="str">
        <f aca="false">IF($G1652="","","同時")</f>
        <v/>
      </c>
      <c r="M1652" s="2" t="str">
        <f aca="false">IF($G1652="","",IF(ISNA(MATCH($G1652,個別指定!$A:$A,0)),"行なし",""))</f>
        <v/>
      </c>
      <c r="N1652" s="2" t="str">
        <f aca="false">IF($G1652="","",IF(COUNTIF($G$2:$G$4460,$G1652)&gt;1,"重複",""))</f>
        <v/>
      </c>
    </row>
    <row r="1653" customFormat="false" ht="16.5" hidden="false" customHeight="true" outlineLevel="0" collapsed="false">
      <c r="A1653" s="2" t="s">
        <v>416</v>
      </c>
      <c r="B1653" s="2" t="s">
        <v>419</v>
      </c>
      <c r="C1653" s="2" t="s">
        <v>34</v>
      </c>
      <c r="D1653" s="2" t="str">
        <f aca="false">IF(3キー同時!$B$32="","",3キー同時!$B$32)</f>
        <v>j</v>
      </c>
      <c r="E1653" s="2" t="str">
        <f aca="false">IF(3キー同時!$G$32="","",3キー同時!$G$32)</f>
        <v>h</v>
      </c>
      <c r="F1653" s="2" t="str">
        <f aca="false">""</f>
        <v/>
      </c>
      <c r="G1653" s="2" t="str">
        <f aca="false">IF(OR(3キー同時!$B$32="",3キー同時!$G$32=""),"",IF(3キー同時!AW38="","",SUBSTITUTE(SUBSTITUTE(3キー同時!AW38," ",""),"　","")))</f>
        <v/>
      </c>
      <c r="H1653" s="2" t="str">
        <f aca="false">IF($G1653="","",3キー同時!$B$32)</f>
        <v/>
      </c>
      <c r="I1653" s="2" t="str">
        <f aca="false">IF($G1653="","",3キー同時!$G$32)</f>
        <v/>
      </c>
      <c r="J1653" s="2" t="str">
        <f aca="false">IF($G1653="","","'")</f>
        <v/>
      </c>
      <c r="K1653" s="2" t="str">
        <f aca="false">""</f>
        <v/>
      </c>
      <c r="L1653" s="2" t="str">
        <f aca="false">IF($G1653="","","同時")</f>
        <v/>
      </c>
      <c r="M1653" s="2" t="str">
        <f aca="false">IF($G1653="","",IF(ISNA(MATCH($G1653,個別指定!$A:$A,0)),"行なし",""))</f>
        <v/>
      </c>
      <c r="N1653" s="2" t="str">
        <f aca="false">IF($G1653="","",IF(COUNTIF($G$2:$G$4460,$G1653)&gt;1,"重複",""))</f>
        <v/>
      </c>
    </row>
    <row r="1654" customFormat="false" ht="16.5" hidden="false" customHeight="true" outlineLevel="0" collapsed="false">
      <c r="A1654" s="2" t="s">
        <v>416</v>
      </c>
      <c r="B1654" s="2" t="s">
        <v>419</v>
      </c>
      <c r="C1654" s="2" t="s">
        <v>35</v>
      </c>
      <c r="D1654" s="2" t="str">
        <f aca="false">IF(3キー同時!$B$32="","",3キー同時!$B$32)</f>
        <v>j</v>
      </c>
      <c r="E1654" s="2" t="str">
        <f aca="false">IF(3キー同時!$G$32="","",3キー同時!$G$32)</f>
        <v>h</v>
      </c>
      <c r="F1654" s="2" t="str">
        <f aca="false">""</f>
        <v/>
      </c>
      <c r="G1654" s="2" t="str">
        <f aca="false">IF(OR(3キー同時!$B$32="",3キー同時!$G$32=""),"",IF(3キー同時!K40="","",SUBSTITUTE(SUBSTITUTE(3キー同時!K40," ",""),"　","")))</f>
        <v/>
      </c>
      <c r="H1654" s="2" t="str">
        <f aca="false">IF($G1654="","",3キー同時!$B$32)</f>
        <v/>
      </c>
      <c r="I1654" s="2" t="str">
        <f aca="false">IF($G1654="","",3キー同時!$G$32)</f>
        <v/>
      </c>
      <c r="J1654" s="2" t="str">
        <f aca="false">IF($G1654="","","z")</f>
        <v/>
      </c>
      <c r="K1654" s="2" t="str">
        <f aca="false">""</f>
        <v/>
      </c>
      <c r="L1654" s="2" t="str">
        <f aca="false">IF($G1654="","","同時")</f>
        <v/>
      </c>
      <c r="M1654" s="2" t="str">
        <f aca="false">IF($G1654="","",IF(ISNA(MATCH($G1654,個別指定!$A:$A,0)),"行なし",""))</f>
        <v/>
      </c>
      <c r="N1654" s="2" t="str">
        <f aca="false">IF($G1654="","",IF(COUNTIF($G$2:$G$4460,$G1654)&gt;1,"重複",""))</f>
        <v/>
      </c>
    </row>
    <row r="1655" customFormat="false" ht="16.5" hidden="false" customHeight="true" outlineLevel="0" collapsed="false">
      <c r="A1655" s="2" t="s">
        <v>416</v>
      </c>
      <c r="B1655" s="2" t="s">
        <v>419</v>
      </c>
      <c r="C1655" s="2" t="s">
        <v>36</v>
      </c>
      <c r="D1655" s="2" t="str">
        <f aca="false">IF(3キー同時!$B$32="","",3キー同時!$B$32)</f>
        <v>j</v>
      </c>
      <c r="E1655" s="2" t="str">
        <f aca="false">IF(3キー同時!$G$32="","",3キー同時!$G$32)</f>
        <v>h</v>
      </c>
      <c r="F1655" s="2" t="str">
        <f aca="false">""</f>
        <v/>
      </c>
      <c r="G1655" s="2" t="str">
        <f aca="false">IF(OR(3キー同時!$B$32="",3キー同時!$G$32=""),"",IF(3キー同時!O40="","",SUBSTITUTE(SUBSTITUTE(3キー同時!O40," ",""),"　","")))</f>
        <v>びゃ</v>
      </c>
      <c r="H1655" s="2" t="str">
        <f aca="false">IF($G1655="","",3キー同時!$B$32)</f>
        <v>j</v>
      </c>
      <c r="I1655" s="2" t="str">
        <f aca="false">IF($G1655="","",3キー同時!$G$32)</f>
        <v>h</v>
      </c>
      <c r="J1655" s="2" t="str">
        <f aca="false">IF($G1655="","","x")</f>
        <v>x</v>
      </c>
      <c r="K1655" s="2" t="str">
        <f aca="false">""</f>
        <v/>
      </c>
      <c r="L1655" s="2" t="str">
        <f aca="false">IF($G1655="","","同時")</f>
        <v>同時</v>
      </c>
      <c r="M1655" s="2" t="str">
        <f aca="false">IF($G1655="","",IF(ISNA(MATCH($G1655,個別指定!$A:$A,0)),"行なし",""))</f>
        <v/>
      </c>
      <c r="N1655" s="2" t="str">
        <f aca="false">IF($G1655="","",IF(COUNTIF($G$2:$G$4460,$G1655)&gt;1,"重複",""))</f>
        <v/>
      </c>
    </row>
    <row r="1656" customFormat="false" ht="16.5" hidden="false" customHeight="true" outlineLevel="0" collapsed="false">
      <c r="A1656" s="2" t="s">
        <v>416</v>
      </c>
      <c r="B1656" s="2" t="s">
        <v>419</v>
      </c>
      <c r="C1656" s="2" t="s">
        <v>37</v>
      </c>
      <c r="D1656" s="2" t="str">
        <f aca="false">IF(3キー同時!$B$32="","",3キー同時!$B$32)</f>
        <v>j</v>
      </c>
      <c r="E1656" s="2" t="str">
        <f aca="false">IF(3キー同時!$G$32="","",3キー同時!$G$32)</f>
        <v>h</v>
      </c>
      <c r="F1656" s="2" t="str">
        <f aca="false">""</f>
        <v/>
      </c>
      <c r="G1656" s="2" t="str">
        <f aca="false">IF(OR(3キー同時!$B$32="",3キー同時!$G$32=""),"",IF(3キー同時!S40="","",SUBSTITUTE(SUBSTITUTE(3キー同時!S40," ",""),"　","")))</f>
        <v/>
      </c>
      <c r="H1656" s="2" t="str">
        <f aca="false">IF($G1656="","",3キー同時!$B$32)</f>
        <v/>
      </c>
      <c r="I1656" s="2" t="str">
        <f aca="false">IF($G1656="","",3キー同時!$G$32)</f>
        <v/>
      </c>
      <c r="J1656" s="2" t="str">
        <f aca="false">IF($G1656="","","c")</f>
        <v/>
      </c>
      <c r="K1656" s="2" t="str">
        <f aca="false">""</f>
        <v/>
      </c>
      <c r="L1656" s="2" t="str">
        <f aca="false">IF($G1656="","","同時")</f>
        <v/>
      </c>
      <c r="M1656" s="2" t="str">
        <f aca="false">IF($G1656="","",IF(ISNA(MATCH($G1656,個別指定!$A:$A,0)),"行なし",""))</f>
        <v/>
      </c>
      <c r="N1656" s="2" t="str">
        <f aca="false">IF($G1656="","",IF(COUNTIF($G$2:$G$4460,$G1656)&gt;1,"重複",""))</f>
        <v/>
      </c>
    </row>
    <row r="1657" customFormat="false" ht="16.5" hidden="false" customHeight="true" outlineLevel="0" collapsed="false">
      <c r="A1657" s="2" t="s">
        <v>416</v>
      </c>
      <c r="B1657" s="2" t="s">
        <v>419</v>
      </c>
      <c r="C1657" s="2" t="s">
        <v>38</v>
      </c>
      <c r="D1657" s="2" t="str">
        <f aca="false">IF(3キー同時!$B$32="","",3キー同時!$B$32)</f>
        <v>j</v>
      </c>
      <c r="E1657" s="2" t="str">
        <f aca="false">IF(3キー同時!$G$32="","",3キー同時!$G$32)</f>
        <v>h</v>
      </c>
      <c r="F1657" s="2" t="str">
        <f aca="false">""</f>
        <v/>
      </c>
      <c r="G1657" s="2" t="str">
        <f aca="false">IF(OR(3キー同時!$B$32="",3キー同時!$G$32=""),"",IF(3キー同時!W40="","",SUBSTITUTE(SUBSTITUTE(3キー同時!W40," ",""),"　","")))</f>
        <v/>
      </c>
      <c r="H1657" s="2" t="str">
        <f aca="false">IF($G1657="","",3キー同時!$B$32)</f>
        <v/>
      </c>
      <c r="I1657" s="2" t="str">
        <f aca="false">IF($G1657="","",3キー同時!$G$32)</f>
        <v/>
      </c>
      <c r="J1657" s="2" t="str">
        <f aca="false">IF($G1657="","","v")</f>
        <v/>
      </c>
      <c r="K1657" s="2" t="str">
        <f aca="false">""</f>
        <v/>
      </c>
      <c r="L1657" s="2" t="str">
        <f aca="false">IF($G1657="","","同時")</f>
        <v/>
      </c>
      <c r="M1657" s="2" t="str">
        <f aca="false">IF($G1657="","",IF(ISNA(MATCH($G1657,個別指定!$A:$A,0)),"行なし",""))</f>
        <v/>
      </c>
      <c r="N1657" s="2" t="str">
        <f aca="false">IF($G1657="","",IF(COUNTIF($G$2:$G$4460,$G1657)&gt;1,"重複",""))</f>
        <v/>
      </c>
    </row>
    <row r="1658" customFormat="false" ht="16.5" hidden="false" customHeight="true" outlineLevel="0" collapsed="false">
      <c r="A1658" s="2" t="s">
        <v>416</v>
      </c>
      <c r="B1658" s="2" t="s">
        <v>419</v>
      </c>
      <c r="C1658" s="2" t="s">
        <v>39</v>
      </c>
      <c r="D1658" s="2" t="str">
        <f aca="false">IF(3キー同時!$B$32="","",3キー同時!$B$32)</f>
        <v>j</v>
      </c>
      <c r="E1658" s="2" t="str">
        <f aca="false">IF(3キー同時!$G$32="","",3キー同時!$G$32)</f>
        <v>h</v>
      </c>
      <c r="F1658" s="2" t="str">
        <f aca="false">""</f>
        <v/>
      </c>
      <c r="G1658" s="2" t="str">
        <f aca="false">IF(OR(3キー同時!$B$32="",3キー同時!$G$32=""),"",IF(3キー同時!AA40="","",SUBSTITUTE(SUBSTITUTE(3キー同時!AA40," ",""),"　","")))</f>
        <v/>
      </c>
      <c r="H1658" s="2" t="str">
        <f aca="false">IF($G1658="","",3キー同時!$B$32)</f>
        <v/>
      </c>
      <c r="I1658" s="2" t="str">
        <f aca="false">IF($G1658="","",3キー同時!$G$32)</f>
        <v/>
      </c>
      <c r="J1658" s="2" t="str">
        <f aca="false">IF($G1658="","","b")</f>
        <v/>
      </c>
      <c r="K1658" s="2" t="str">
        <f aca="false">""</f>
        <v/>
      </c>
      <c r="L1658" s="2" t="str">
        <f aca="false">IF($G1658="","","同時")</f>
        <v/>
      </c>
      <c r="M1658" s="2" t="str">
        <f aca="false">IF($G1658="","",IF(ISNA(MATCH($G1658,個別指定!$A:$A,0)),"行なし",""))</f>
        <v/>
      </c>
      <c r="N1658" s="2" t="str">
        <f aca="false">IF($G1658="","",IF(COUNTIF($G$2:$G$4460,$G1658)&gt;1,"重複",""))</f>
        <v/>
      </c>
    </row>
    <row r="1659" customFormat="false" ht="16.5" hidden="false" customHeight="true" outlineLevel="0" collapsed="false">
      <c r="A1659" s="2" t="s">
        <v>416</v>
      </c>
      <c r="B1659" s="2" t="s">
        <v>419</v>
      </c>
      <c r="C1659" s="2" t="s">
        <v>40</v>
      </c>
      <c r="D1659" s="2" t="str">
        <f aca="false">IF(3キー同時!$B$32="","",3キー同時!$B$32)</f>
        <v>j</v>
      </c>
      <c r="E1659" s="2" t="str">
        <f aca="false">IF(3キー同時!$G$32="","",3キー同時!$G$32)</f>
        <v>h</v>
      </c>
      <c r="F1659" s="2" t="str">
        <f aca="false">""</f>
        <v/>
      </c>
      <c r="G1659" s="2" t="str">
        <f aca="false">IF(OR(3キー同時!$B$32="",3キー同時!$G$32=""),"",IF(3キー同時!AE40="","",SUBSTITUTE(SUBSTITUTE(3キー同時!AE40," ",""),"　","")))</f>
        <v/>
      </c>
      <c r="H1659" s="2" t="str">
        <f aca="false">IF($G1659="","",3キー同時!$B$32)</f>
        <v/>
      </c>
      <c r="I1659" s="2" t="str">
        <f aca="false">IF($G1659="","",3キー同時!$G$32)</f>
        <v/>
      </c>
      <c r="J1659" s="2" t="str">
        <f aca="false">IF($G1659="","","n")</f>
        <v/>
      </c>
      <c r="K1659" s="2" t="str">
        <f aca="false">""</f>
        <v/>
      </c>
      <c r="L1659" s="2" t="str">
        <f aca="false">IF($G1659="","","同時")</f>
        <v/>
      </c>
      <c r="M1659" s="2" t="str">
        <f aca="false">IF($G1659="","",IF(ISNA(MATCH($G1659,個別指定!$A:$A,0)),"行なし",""))</f>
        <v/>
      </c>
      <c r="N1659" s="2" t="str">
        <f aca="false">IF($G1659="","",IF(COUNTIF($G$2:$G$4460,$G1659)&gt;1,"重複",""))</f>
        <v/>
      </c>
    </row>
    <row r="1660" customFormat="false" ht="16.5" hidden="false" customHeight="true" outlineLevel="0" collapsed="false">
      <c r="A1660" s="2" t="s">
        <v>416</v>
      </c>
      <c r="B1660" s="2" t="s">
        <v>419</v>
      </c>
      <c r="C1660" s="2" t="s">
        <v>41</v>
      </c>
      <c r="D1660" s="2" t="str">
        <f aca="false">IF(3キー同時!$B$32="","",3キー同時!$B$32)</f>
        <v>j</v>
      </c>
      <c r="E1660" s="2" t="str">
        <f aca="false">IF(3キー同時!$G$32="","",3キー同時!$G$32)</f>
        <v>h</v>
      </c>
      <c r="F1660" s="2" t="str">
        <f aca="false">""</f>
        <v/>
      </c>
      <c r="G1660" s="2" t="str">
        <f aca="false">IF(OR(3キー同時!$B$32="",3キー同時!$G$32=""),"",IF(3キー同時!AI40="","",SUBSTITUTE(SUBSTITUTE(3キー同時!AI40," ",""),"　","")))</f>
        <v/>
      </c>
      <c r="H1660" s="2" t="str">
        <f aca="false">IF($G1660="","",3キー同時!$B$32)</f>
        <v/>
      </c>
      <c r="I1660" s="2" t="str">
        <f aca="false">IF($G1660="","",3キー同時!$G$32)</f>
        <v/>
      </c>
      <c r="J1660" s="2" t="str">
        <f aca="false">IF($G1660="","","m")</f>
        <v/>
      </c>
      <c r="K1660" s="2" t="str">
        <f aca="false">""</f>
        <v/>
      </c>
      <c r="L1660" s="2" t="str">
        <f aca="false">IF($G1660="","","同時")</f>
        <v/>
      </c>
      <c r="M1660" s="2" t="str">
        <f aca="false">IF($G1660="","",IF(ISNA(MATCH($G1660,個別指定!$A:$A,0)),"行なし",""))</f>
        <v/>
      </c>
      <c r="N1660" s="2" t="str">
        <f aca="false">IF($G1660="","",IF(COUNTIF($G$2:$G$4460,$G1660)&gt;1,"重複",""))</f>
        <v/>
      </c>
    </row>
    <row r="1661" customFormat="false" ht="16.5" hidden="false" customHeight="true" outlineLevel="0" collapsed="false">
      <c r="A1661" s="2" t="s">
        <v>416</v>
      </c>
      <c r="B1661" s="2" t="s">
        <v>419</v>
      </c>
      <c r="C1661" s="2" t="s">
        <v>42</v>
      </c>
      <c r="D1661" s="2" t="str">
        <f aca="false">IF(3キー同時!$B$32="","",3キー同時!$B$32)</f>
        <v>j</v>
      </c>
      <c r="E1661" s="2" t="str">
        <f aca="false">IF(3キー同時!$G$32="","",3キー同時!$G$32)</f>
        <v>h</v>
      </c>
      <c r="F1661" s="2" t="str">
        <f aca="false">""</f>
        <v/>
      </c>
      <c r="G1661" s="2" t="str">
        <f aca="false">IF(OR(3キー同時!$B$32="",3キー同時!$G$32=""),"",IF(3キー同時!AM40="","",SUBSTITUTE(SUBSTITUTE(3キー同時!AM40," ",""),"　","")))</f>
        <v/>
      </c>
      <c r="H1661" s="2" t="str">
        <f aca="false">IF($G1661="","",3キー同時!$B$32)</f>
        <v/>
      </c>
      <c r="I1661" s="2" t="str">
        <f aca="false">IF($G1661="","",3キー同時!$G$32)</f>
        <v/>
      </c>
      <c r="J1661" s="2" t="str">
        <f aca="false">IF($G1661="","",",")</f>
        <v/>
      </c>
      <c r="K1661" s="2" t="str">
        <f aca="false">""</f>
        <v/>
      </c>
      <c r="L1661" s="2" t="str">
        <f aca="false">IF($G1661="","","同時")</f>
        <v/>
      </c>
      <c r="M1661" s="2" t="str">
        <f aca="false">IF($G1661="","",IF(ISNA(MATCH($G1661,個別指定!$A:$A,0)),"行なし",""))</f>
        <v/>
      </c>
      <c r="N1661" s="2" t="str">
        <f aca="false">IF($G1661="","",IF(COUNTIF($G$2:$G$4460,$G1661)&gt;1,"重複",""))</f>
        <v/>
      </c>
    </row>
    <row r="1662" customFormat="false" ht="16.5" hidden="false" customHeight="true" outlineLevel="0" collapsed="false">
      <c r="A1662" s="2" t="s">
        <v>416</v>
      </c>
      <c r="B1662" s="2" t="s">
        <v>419</v>
      </c>
      <c r="C1662" s="2" t="s">
        <v>43</v>
      </c>
      <c r="D1662" s="2" t="str">
        <f aca="false">IF(3キー同時!$B$32="","",3キー同時!$B$32)</f>
        <v>j</v>
      </c>
      <c r="E1662" s="2" t="str">
        <f aca="false">IF(3キー同時!$G$32="","",3キー同時!$G$32)</f>
        <v>h</v>
      </c>
      <c r="F1662" s="2" t="str">
        <f aca="false">""</f>
        <v/>
      </c>
      <c r="G1662" s="2" t="str">
        <f aca="false">IF(OR(3キー同時!$B$32="",3キー同時!$G$32=""),"",IF(3キー同時!AQ40="","",SUBSTITUTE(SUBSTITUTE(3キー同時!AQ40," ",""),"　","")))</f>
        <v/>
      </c>
      <c r="H1662" s="2" t="str">
        <f aca="false">IF($G1662="","",3キー同時!$B$32)</f>
        <v/>
      </c>
      <c r="I1662" s="2" t="str">
        <f aca="false">IF($G1662="","",3キー同時!$G$32)</f>
        <v/>
      </c>
      <c r="J1662" s="2" t="str">
        <f aca="false">IF($G1662="","",".")</f>
        <v/>
      </c>
      <c r="K1662" s="2" t="str">
        <f aca="false">""</f>
        <v/>
      </c>
      <c r="L1662" s="2" t="str">
        <f aca="false">IF($G1662="","","同時")</f>
        <v/>
      </c>
      <c r="M1662" s="2" t="str">
        <f aca="false">IF($G1662="","",IF(ISNA(MATCH($G1662,個別指定!$A:$A,0)),"行なし",""))</f>
        <v/>
      </c>
      <c r="N1662" s="2" t="str">
        <f aca="false">IF($G1662="","",IF(COUNTIF($G$2:$G$4460,$G1662)&gt;1,"重複",""))</f>
        <v/>
      </c>
    </row>
    <row r="1663" customFormat="false" ht="16.5" hidden="false" customHeight="true" outlineLevel="0" collapsed="false">
      <c r="A1663" s="2" t="s">
        <v>416</v>
      </c>
      <c r="B1663" s="2" t="s">
        <v>419</v>
      </c>
      <c r="C1663" s="2" t="s">
        <v>44</v>
      </c>
      <c r="D1663" s="2" t="str">
        <f aca="false">IF(3キー同時!$B$32="","",3キー同時!$B$32)</f>
        <v>j</v>
      </c>
      <c r="E1663" s="2" t="str">
        <f aca="false">IF(3キー同時!$G$32="","",3キー同時!$G$32)</f>
        <v>h</v>
      </c>
      <c r="F1663" s="2" t="str">
        <f aca="false">""</f>
        <v/>
      </c>
      <c r="G1663" s="2" t="str">
        <f aca="false">IF(OR(3キー同時!$B$32="",3キー同時!$G$32=""),"",IF(3キー同時!AU40="","",SUBSTITUTE(SUBSTITUTE(3キー同時!AU40," ",""),"　","")))</f>
        <v/>
      </c>
      <c r="H1663" s="2" t="str">
        <f aca="false">IF($G1663="","",3キー同時!$B$32)</f>
        <v/>
      </c>
      <c r="I1663" s="2" t="str">
        <f aca="false">IF($G1663="","",3キー同時!$G$32)</f>
        <v/>
      </c>
      <c r="J1663" s="2" t="str">
        <f aca="false">IF($G1663="","","/")</f>
        <v/>
      </c>
      <c r="K1663" s="2" t="str">
        <f aca="false">""</f>
        <v/>
      </c>
      <c r="L1663" s="2" t="str">
        <f aca="false">IF($G1663="","","同時")</f>
        <v/>
      </c>
      <c r="M1663" s="2" t="str">
        <f aca="false">IF($G1663="","",IF(ISNA(MATCH($G1663,個別指定!$A:$A,0)),"行なし",""))</f>
        <v/>
      </c>
      <c r="N1663" s="2" t="str">
        <f aca="false">IF($G1663="","",IF(COUNTIF($G$2:$G$4460,$G1663)&gt;1,"重複",""))</f>
        <v/>
      </c>
    </row>
    <row r="1664" customFormat="false" ht="16.5" hidden="false" customHeight="true" outlineLevel="0" collapsed="false">
      <c r="A1664" s="2" t="s">
        <v>416</v>
      </c>
      <c r="B1664" s="2" t="s">
        <v>419</v>
      </c>
      <c r="C1664" s="2" t="s">
        <v>48</v>
      </c>
      <c r="D1664" s="2" t="str">
        <f aca="false">IF(3キー同時!$B$32="","",3キー同時!$B$32)</f>
        <v>j</v>
      </c>
      <c r="E1664" s="2" t="str">
        <f aca="false">IF(3キー同時!$G$32="","",3キー同時!$G$32)</f>
        <v>h</v>
      </c>
      <c r="F1664" s="2" t="str">
        <f aca="false">""</f>
        <v/>
      </c>
      <c r="G1664" s="2" t="str">
        <f aca="false">IF(OR(3キー同時!$B$32="",3キー同時!$G$32=""),"",IF(3キー同時!P42="","",SUBSTITUTE(SUBSTITUTE(3キー同時!P42," ",""),"　","")))</f>
        <v/>
      </c>
      <c r="H1664" s="2" t="str">
        <f aca="false">IF($G1664="","",3キー同時!$B$32)</f>
        <v/>
      </c>
      <c r="I1664" s="2" t="str">
        <f aca="false">IF($G1664="","",3キー同時!$G$32)</f>
        <v/>
      </c>
      <c r="J1664" s="2" t="str">
        <f aca="false">IF($G1664="","","muhenkan")</f>
        <v/>
      </c>
      <c r="K1664" s="2" t="str">
        <f aca="false">""</f>
        <v/>
      </c>
      <c r="L1664" s="2" t="str">
        <f aca="false">IF($G1664="","","同時")</f>
        <v/>
      </c>
      <c r="M1664" s="2" t="str">
        <f aca="false">IF($G1664="","",IF(ISNA(MATCH($G1664,個別指定!$A:$A,0)),"行なし",""))</f>
        <v/>
      </c>
      <c r="N1664" s="2" t="str">
        <f aca="false">IF($G1664="","",IF(COUNTIF($G$2:$G$4460,$G1664)&gt;1,"重複",""))</f>
        <v/>
      </c>
    </row>
    <row r="1665" customFormat="false" ht="16.5" hidden="false" customHeight="true" outlineLevel="0" collapsed="false">
      <c r="A1665" s="2" t="s">
        <v>416</v>
      </c>
      <c r="B1665" s="2" t="s">
        <v>419</v>
      </c>
      <c r="C1665" s="2" t="s">
        <v>50</v>
      </c>
      <c r="D1665" s="2" t="str">
        <f aca="false">IF(3キー同時!$B$32="","",3キー同時!$B$32)</f>
        <v>j</v>
      </c>
      <c r="E1665" s="2" t="str">
        <f aca="false">IF(3キー同時!$G$32="","",3キー同時!$G$32)</f>
        <v>h</v>
      </c>
      <c r="F1665" s="2" t="str">
        <f aca="false">""</f>
        <v/>
      </c>
      <c r="G1665" s="2" t="str">
        <f aca="false">IF(OR(3キー同時!$B$32="",3キー同時!$G$32=""),"",IF(3キー同時!T42="","",SUBSTITUTE(SUBSTITUTE(3キー同時!T42," ",""),"　","")))</f>
        <v/>
      </c>
      <c r="H1665" s="2" t="str">
        <f aca="false">IF($G1665="","",3キー同時!$B$32)</f>
        <v/>
      </c>
      <c r="I1665" s="2" t="str">
        <f aca="false">IF($G1665="","",3キー同時!$G$32)</f>
        <v/>
      </c>
      <c r="J1665" s="2" t="str">
        <f aca="false">IF($G1665="","","space")</f>
        <v/>
      </c>
      <c r="K1665" s="2" t="str">
        <f aca="false">""</f>
        <v/>
      </c>
      <c r="L1665" s="2" t="str">
        <f aca="false">IF($G1665="","","同時")</f>
        <v/>
      </c>
      <c r="M1665" s="2" t="str">
        <f aca="false">IF($G1665="","",IF(ISNA(MATCH($G1665,個別指定!$A:$A,0)),"行なし",""))</f>
        <v/>
      </c>
      <c r="N1665" s="2" t="str">
        <f aca="false">IF($G1665="","",IF(COUNTIF($G$2:$G$4460,$G1665)&gt;1,"重複",""))</f>
        <v/>
      </c>
    </row>
    <row r="1666" customFormat="false" ht="16.5" hidden="false" customHeight="true" outlineLevel="0" collapsed="false">
      <c r="A1666" s="2" t="s">
        <v>416</v>
      </c>
      <c r="B1666" s="2" t="s">
        <v>419</v>
      </c>
      <c r="C1666" s="2" t="s">
        <v>45</v>
      </c>
      <c r="D1666" s="2" t="str">
        <f aca="false">IF(3キー同時!$B$32="","",3キー同時!$B$32)</f>
        <v>j</v>
      </c>
      <c r="E1666" s="2" t="str">
        <f aca="false">IF(3キー同時!$G$32="","",3キー同時!$G$32)</f>
        <v>h</v>
      </c>
      <c r="F1666" s="2" t="str">
        <f aca="false">""</f>
        <v/>
      </c>
      <c r="G1666" s="2" t="str">
        <f aca="false">IF(OR(3キー同時!$B$32="",3キー同時!$G$32=""),"",IF(3キー同時!AL42="","",SUBSTITUTE(SUBSTITUTE(3キー同時!AL42," ",""),"　","")))</f>
        <v/>
      </c>
      <c r="H1666" s="2" t="str">
        <f aca="false">IF($G1666="","",3キー同時!$B$32)</f>
        <v/>
      </c>
      <c r="I1666" s="2" t="str">
        <f aca="false">IF($G1666="","",3キー同時!$G$32)</f>
        <v/>
      </c>
      <c r="J1666" s="2" t="str">
        <f aca="false">IF($G1666="","","henkan")</f>
        <v/>
      </c>
      <c r="K1666" s="2" t="str">
        <f aca="false">""</f>
        <v/>
      </c>
      <c r="L1666" s="2" t="str">
        <f aca="false">IF($G1666="","","同時")</f>
        <v/>
      </c>
      <c r="M1666" s="2" t="str">
        <f aca="false">IF($G1666="","",IF(ISNA(MATCH($G1666,個別指定!$A:$A,0)),"行なし",""))</f>
        <v/>
      </c>
      <c r="N1666" s="2" t="str">
        <f aca="false">IF($G1666="","",IF(COUNTIF($G$2:$G$4460,$G1666)&gt;1,"重複",""))</f>
        <v/>
      </c>
    </row>
    <row r="1667" customFormat="false" ht="16.5" hidden="false" customHeight="true" outlineLevel="0" collapsed="false">
      <c r="A1667" s="2" t="s">
        <v>416</v>
      </c>
      <c r="B1667" s="2" t="s">
        <v>419</v>
      </c>
      <c r="C1667" s="2" t="s">
        <v>46</v>
      </c>
      <c r="D1667" s="2" t="str">
        <f aca="false">IF(3キー同時!$B$32="","",3キー同時!$B$32)</f>
        <v>j</v>
      </c>
      <c r="E1667" s="2" t="str">
        <f aca="false">IF(3キー同時!$G$32="","",3キー同時!$G$32)</f>
        <v>h</v>
      </c>
      <c r="F1667" s="2" t="str">
        <f aca="false">""</f>
        <v/>
      </c>
      <c r="G1667" s="2" t="str">
        <f aca="false">IF(OR(3キー同時!$B$32="",3キー同時!$G$32=""),"",IF(3キー同時!AP42="","",SUBSTITUTE(SUBSTITUTE(3キー同時!AP42," ",""),"　","")))</f>
        <v/>
      </c>
      <c r="H1667" s="2" t="str">
        <f aca="false">IF($G1667="","",3キー同時!$B$32)</f>
        <v/>
      </c>
      <c r="I1667" s="2" t="str">
        <f aca="false">IF($G1667="","",3キー同時!$G$32)</f>
        <v/>
      </c>
      <c r="J1667" s="2" t="str">
        <f aca="false">IF($G1667="","","kana")</f>
        <v/>
      </c>
      <c r="K1667" s="2" t="str">
        <f aca="false">""</f>
        <v/>
      </c>
      <c r="L1667" s="2" t="str">
        <f aca="false">IF($G1667="","","同時")</f>
        <v/>
      </c>
      <c r="M1667" s="2" t="str">
        <f aca="false">IF($G1667="","",IF(ISNA(MATCH($G1667,個別指定!$A:$A,0)),"行なし",""))</f>
        <v/>
      </c>
      <c r="N1667" s="2" t="str">
        <f aca="false">IF($G1667="","",IF(COUNTIF($G$2:$G$4460,$G1667)&gt;1,"重複",""))</f>
        <v/>
      </c>
    </row>
    <row r="1668" customFormat="false" ht="16.5" hidden="false" customHeight="true" outlineLevel="0" collapsed="false">
      <c r="A1668" s="2" t="s">
        <v>416</v>
      </c>
      <c r="B1668" s="2" t="s">
        <v>420</v>
      </c>
      <c r="C1668" s="2" t="s">
        <v>0</v>
      </c>
      <c r="D1668" s="2" t="str">
        <f aca="false">IF(3キー同時!$B$45="","",3キー同時!$B$45)</f>
        <v>j</v>
      </c>
      <c r="E1668" s="2" t="str">
        <f aca="false">IF(3キー同時!$G$45="","",3キー同時!$G$45)</f>
        <v>i</v>
      </c>
      <c r="F1668" s="2" t="str">
        <f aca="false">""</f>
        <v/>
      </c>
      <c r="G1668" s="2" t="str">
        <f aca="false">IF(OR(3キー同時!$B$45="",3キー同時!$G$45=""),"",IF(3キー同時!F47="","",SUBSTITUTE(SUBSTITUTE(3キー同時!F47," ",""),"　","")))</f>
        <v/>
      </c>
      <c r="H1668" s="2" t="str">
        <f aca="false">IF($G1668="","",3キー同時!$B$45)</f>
        <v/>
      </c>
      <c r="I1668" s="2" t="str">
        <f aca="false">IF($G1668="","",3キー同時!$G$45)</f>
        <v/>
      </c>
      <c r="J1668" s="2" t="str">
        <f aca="false">IF($G1668="","","1")</f>
        <v/>
      </c>
      <c r="K1668" s="2" t="str">
        <f aca="false">""</f>
        <v/>
      </c>
      <c r="L1668" s="2" t="str">
        <f aca="false">IF($G1668="","","同時")</f>
        <v/>
      </c>
      <c r="M1668" s="2" t="str">
        <f aca="false">IF($G1668="","",IF(ISNA(MATCH($G1668,個別指定!$A:$A,0)),"行なし",""))</f>
        <v/>
      </c>
      <c r="N1668" s="2" t="str">
        <f aca="false">IF($G1668="","",IF(COUNTIF($G$2:$G$4460,$G1668)&gt;1,"重複",""))</f>
        <v/>
      </c>
    </row>
    <row r="1669" customFormat="false" ht="16.5" hidden="false" customHeight="true" outlineLevel="0" collapsed="false">
      <c r="A1669" s="2" t="s">
        <v>416</v>
      </c>
      <c r="B1669" s="2" t="s">
        <v>420</v>
      </c>
      <c r="C1669" s="2" t="s">
        <v>1</v>
      </c>
      <c r="D1669" s="2" t="str">
        <f aca="false">IF(3キー同時!$B$45="","",3キー同時!$B$45)</f>
        <v>j</v>
      </c>
      <c r="E1669" s="2" t="str">
        <f aca="false">IF(3キー同時!$G$45="","",3キー同時!$G$45)</f>
        <v>i</v>
      </c>
      <c r="F1669" s="2" t="str">
        <f aca="false">""</f>
        <v/>
      </c>
      <c r="G1669" s="2" t="str">
        <f aca="false">IF(OR(3キー同時!$B$45="",3キー同時!$G$45=""),"",IF(3キー同時!J47="","",SUBSTITUTE(SUBSTITUTE(3キー同時!J47," ",""),"　","")))</f>
        <v/>
      </c>
      <c r="H1669" s="2" t="str">
        <f aca="false">IF($G1669="","",3キー同時!$B$45)</f>
        <v/>
      </c>
      <c r="I1669" s="2" t="str">
        <f aca="false">IF($G1669="","",3キー同時!$G$45)</f>
        <v/>
      </c>
      <c r="J1669" s="2" t="str">
        <f aca="false">IF($G1669="","","2")</f>
        <v/>
      </c>
      <c r="K1669" s="2" t="str">
        <f aca="false">""</f>
        <v/>
      </c>
      <c r="L1669" s="2" t="str">
        <f aca="false">IF($G1669="","","同時")</f>
        <v/>
      </c>
      <c r="M1669" s="2" t="str">
        <f aca="false">IF($G1669="","",IF(ISNA(MATCH($G1669,個別指定!$A:$A,0)),"行なし",""))</f>
        <v/>
      </c>
      <c r="N1669" s="2" t="str">
        <f aca="false">IF($G1669="","",IF(COUNTIF($G$2:$G$4460,$G1669)&gt;1,"重複",""))</f>
        <v/>
      </c>
    </row>
    <row r="1670" customFormat="false" ht="16.5" hidden="false" customHeight="true" outlineLevel="0" collapsed="false">
      <c r="A1670" s="2" t="s">
        <v>416</v>
      </c>
      <c r="B1670" s="2" t="s">
        <v>420</v>
      </c>
      <c r="C1670" s="2" t="s">
        <v>2</v>
      </c>
      <c r="D1670" s="2" t="str">
        <f aca="false">IF(3キー同時!$B$45="","",3キー同時!$B$45)</f>
        <v>j</v>
      </c>
      <c r="E1670" s="2" t="str">
        <f aca="false">IF(3キー同時!$G$45="","",3キー同時!$G$45)</f>
        <v>i</v>
      </c>
      <c r="F1670" s="2" t="str">
        <f aca="false">""</f>
        <v/>
      </c>
      <c r="G1670" s="2" t="str">
        <f aca="false">IF(OR(3キー同時!$B$45="",3キー同時!$G$45=""),"",IF(3キー同時!N47="","",SUBSTITUTE(SUBSTITUTE(3キー同時!N47," ",""),"　","")))</f>
        <v/>
      </c>
      <c r="H1670" s="2" t="str">
        <f aca="false">IF($G1670="","",3キー同時!$B$45)</f>
        <v/>
      </c>
      <c r="I1670" s="2" t="str">
        <f aca="false">IF($G1670="","",3キー同時!$G$45)</f>
        <v/>
      </c>
      <c r="J1670" s="2" t="str">
        <f aca="false">IF($G1670="","","3")</f>
        <v/>
      </c>
      <c r="K1670" s="2" t="str">
        <f aca="false">""</f>
        <v/>
      </c>
      <c r="L1670" s="2" t="str">
        <f aca="false">IF($G1670="","","同時")</f>
        <v/>
      </c>
      <c r="M1670" s="2" t="str">
        <f aca="false">IF($G1670="","",IF(ISNA(MATCH($G1670,個別指定!$A:$A,0)),"行なし",""))</f>
        <v/>
      </c>
      <c r="N1670" s="2" t="str">
        <f aca="false">IF($G1670="","",IF(COUNTIF($G$2:$G$4460,$G1670)&gt;1,"重複",""))</f>
        <v/>
      </c>
    </row>
    <row r="1671" customFormat="false" ht="16.5" hidden="false" customHeight="true" outlineLevel="0" collapsed="false">
      <c r="A1671" s="2" t="s">
        <v>416</v>
      </c>
      <c r="B1671" s="2" t="s">
        <v>420</v>
      </c>
      <c r="C1671" s="2" t="s">
        <v>3</v>
      </c>
      <c r="D1671" s="2" t="str">
        <f aca="false">IF(3キー同時!$B$45="","",3キー同時!$B$45)</f>
        <v>j</v>
      </c>
      <c r="E1671" s="2" t="str">
        <f aca="false">IF(3キー同時!$G$45="","",3キー同時!$G$45)</f>
        <v>i</v>
      </c>
      <c r="F1671" s="2" t="str">
        <f aca="false">""</f>
        <v/>
      </c>
      <c r="G1671" s="2" t="str">
        <f aca="false">IF(OR(3キー同時!$B$45="",3キー同時!$G$45=""),"",IF(3キー同時!R47="","",SUBSTITUTE(SUBSTITUTE(3キー同時!R47," ",""),"　","")))</f>
        <v/>
      </c>
      <c r="H1671" s="2" t="str">
        <f aca="false">IF($G1671="","",3キー同時!$B$45)</f>
        <v/>
      </c>
      <c r="I1671" s="2" t="str">
        <f aca="false">IF($G1671="","",3キー同時!$G$45)</f>
        <v/>
      </c>
      <c r="J1671" s="2" t="str">
        <f aca="false">IF($G1671="","","4")</f>
        <v/>
      </c>
      <c r="K1671" s="2" t="str">
        <f aca="false">""</f>
        <v/>
      </c>
      <c r="L1671" s="2" t="str">
        <f aca="false">IF($G1671="","","同時")</f>
        <v/>
      </c>
      <c r="M1671" s="2" t="str">
        <f aca="false">IF($G1671="","",IF(ISNA(MATCH($G1671,個別指定!$A:$A,0)),"行なし",""))</f>
        <v/>
      </c>
      <c r="N1671" s="2" t="str">
        <f aca="false">IF($G1671="","",IF(COUNTIF($G$2:$G$4460,$G1671)&gt;1,"重複",""))</f>
        <v/>
      </c>
    </row>
    <row r="1672" customFormat="false" ht="16.5" hidden="false" customHeight="true" outlineLevel="0" collapsed="false">
      <c r="A1672" s="2" t="s">
        <v>416</v>
      </c>
      <c r="B1672" s="2" t="s">
        <v>420</v>
      </c>
      <c r="C1672" s="2" t="s">
        <v>4</v>
      </c>
      <c r="D1672" s="2" t="str">
        <f aca="false">IF(3キー同時!$B$45="","",3キー同時!$B$45)</f>
        <v>j</v>
      </c>
      <c r="E1672" s="2" t="str">
        <f aca="false">IF(3キー同時!$G$45="","",3キー同時!$G$45)</f>
        <v>i</v>
      </c>
      <c r="F1672" s="2" t="str">
        <f aca="false">""</f>
        <v/>
      </c>
      <c r="G1672" s="2" t="str">
        <f aca="false">IF(OR(3キー同時!$B$45="",3キー同時!$G$45=""),"",IF(3キー同時!V47="","",SUBSTITUTE(SUBSTITUTE(3キー同時!V47," ",""),"　","")))</f>
        <v/>
      </c>
      <c r="H1672" s="2" t="str">
        <f aca="false">IF($G1672="","",3キー同時!$B$45)</f>
        <v/>
      </c>
      <c r="I1672" s="2" t="str">
        <f aca="false">IF($G1672="","",3キー同時!$G$45)</f>
        <v/>
      </c>
      <c r="J1672" s="2" t="str">
        <f aca="false">IF($G1672="","","5")</f>
        <v/>
      </c>
      <c r="K1672" s="2" t="str">
        <f aca="false">""</f>
        <v/>
      </c>
      <c r="L1672" s="2" t="str">
        <f aca="false">IF($G1672="","","同時")</f>
        <v/>
      </c>
      <c r="M1672" s="2" t="str">
        <f aca="false">IF($G1672="","",IF(ISNA(MATCH($G1672,個別指定!$A:$A,0)),"行なし",""))</f>
        <v/>
      </c>
      <c r="N1672" s="2" t="str">
        <f aca="false">IF($G1672="","",IF(COUNTIF($G$2:$G$4460,$G1672)&gt;1,"重複",""))</f>
        <v/>
      </c>
    </row>
    <row r="1673" customFormat="false" ht="16.5" hidden="false" customHeight="true" outlineLevel="0" collapsed="false">
      <c r="A1673" s="2" t="s">
        <v>416</v>
      </c>
      <c r="B1673" s="2" t="s">
        <v>420</v>
      </c>
      <c r="C1673" s="2" t="s">
        <v>5</v>
      </c>
      <c r="D1673" s="2" t="str">
        <f aca="false">IF(3キー同時!$B$45="","",3キー同時!$B$45)</f>
        <v>j</v>
      </c>
      <c r="E1673" s="2" t="str">
        <f aca="false">IF(3キー同時!$G$45="","",3キー同時!$G$45)</f>
        <v>i</v>
      </c>
      <c r="F1673" s="2" t="str">
        <f aca="false">""</f>
        <v/>
      </c>
      <c r="G1673" s="2" t="str">
        <f aca="false">IF(OR(3キー同時!$B$45="",3キー同時!$G$45=""),"",IF(3キー同時!Z47="","",SUBSTITUTE(SUBSTITUTE(3キー同時!Z47," ",""),"　","")))</f>
        <v/>
      </c>
      <c r="H1673" s="2" t="str">
        <f aca="false">IF($G1673="","",3キー同時!$B$45)</f>
        <v/>
      </c>
      <c r="I1673" s="2" t="str">
        <f aca="false">IF($G1673="","",3キー同時!$G$45)</f>
        <v/>
      </c>
      <c r="J1673" s="2" t="str">
        <f aca="false">IF($G1673="","","6")</f>
        <v/>
      </c>
      <c r="K1673" s="2" t="str">
        <f aca="false">""</f>
        <v/>
      </c>
      <c r="L1673" s="2" t="str">
        <f aca="false">IF($G1673="","","同時")</f>
        <v/>
      </c>
      <c r="M1673" s="2" t="str">
        <f aca="false">IF($G1673="","",IF(ISNA(MATCH($G1673,個別指定!$A:$A,0)),"行なし",""))</f>
        <v/>
      </c>
      <c r="N1673" s="2" t="str">
        <f aca="false">IF($G1673="","",IF(COUNTIF($G$2:$G$4460,$G1673)&gt;1,"重複",""))</f>
        <v/>
      </c>
    </row>
    <row r="1674" customFormat="false" ht="16.5" hidden="false" customHeight="true" outlineLevel="0" collapsed="false">
      <c r="A1674" s="2" t="s">
        <v>416</v>
      </c>
      <c r="B1674" s="2" t="s">
        <v>420</v>
      </c>
      <c r="C1674" s="2" t="s">
        <v>6</v>
      </c>
      <c r="D1674" s="2" t="str">
        <f aca="false">IF(3キー同時!$B$45="","",3キー同時!$B$45)</f>
        <v>j</v>
      </c>
      <c r="E1674" s="2" t="str">
        <f aca="false">IF(3キー同時!$G$45="","",3キー同時!$G$45)</f>
        <v>i</v>
      </c>
      <c r="F1674" s="2" t="str">
        <f aca="false">""</f>
        <v/>
      </c>
      <c r="G1674" s="2" t="str">
        <f aca="false">IF(OR(3キー同時!$B$45="",3キー同時!$G$45=""),"",IF(3キー同時!AD47="","",SUBSTITUTE(SUBSTITUTE(3キー同時!AD47," ",""),"　","")))</f>
        <v/>
      </c>
      <c r="H1674" s="2" t="str">
        <f aca="false">IF($G1674="","",3キー同時!$B$45)</f>
        <v/>
      </c>
      <c r="I1674" s="2" t="str">
        <f aca="false">IF($G1674="","",3キー同時!$G$45)</f>
        <v/>
      </c>
      <c r="J1674" s="2" t="str">
        <f aca="false">IF($G1674="","","7")</f>
        <v/>
      </c>
      <c r="K1674" s="2" t="str">
        <f aca="false">""</f>
        <v/>
      </c>
      <c r="L1674" s="2" t="str">
        <f aca="false">IF($G1674="","","同時")</f>
        <v/>
      </c>
      <c r="M1674" s="2" t="str">
        <f aca="false">IF($G1674="","",IF(ISNA(MATCH($G1674,個別指定!$A:$A,0)),"行なし",""))</f>
        <v/>
      </c>
      <c r="N1674" s="2" t="str">
        <f aca="false">IF($G1674="","",IF(COUNTIF($G$2:$G$4460,$G1674)&gt;1,"重複",""))</f>
        <v/>
      </c>
    </row>
    <row r="1675" customFormat="false" ht="16.5" hidden="false" customHeight="true" outlineLevel="0" collapsed="false">
      <c r="A1675" s="2" t="s">
        <v>416</v>
      </c>
      <c r="B1675" s="2" t="s">
        <v>420</v>
      </c>
      <c r="C1675" s="2" t="s">
        <v>7</v>
      </c>
      <c r="D1675" s="2" t="str">
        <f aca="false">IF(3キー同時!$B$45="","",3キー同時!$B$45)</f>
        <v>j</v>
      </c>
      <c r="E1675" s="2" t="str">
        <f aca="false">IF(3キー同時!$G$45="","",3キー同時!$G$45)</f>
        <v>i</v>
      </c>
      <c r="F1675" s="2" t="str">
        <f aca="false">""</f>
        <v/>
      </c>
      <c r="G1675" s="2" t="str">
        <f aca="false">IF(OR(3キー同時!$B$45="",3キー同時!$G$45=""),"",IF(3キー同時!AH47="","",SUBSTITUTE(SUBSTITUTE(3キー同時!AH47," ",""),"　","")))</f>
        <v/>
      </c>
      <c r="H1675" s="2" t="str">
        <f aca="false">IF($G1675="","",3キー同時!$B$45)</f>
        <v/>
      </c>
      <c r="I1675" s="2" t="str">
        <f aca="false">IF($G1675="","",3キー同時!$G$45)</f>
        <v/>
      </c>
      <c r="J1675" s="2" t="str">
        <f aca="false">IF($G1675="","","8")</f>
        <v/>
      </c>
      <c r="K1675" s="2" t="str">
        <f aca="false">""</f>
        <v/>
      </c>
      <c r="L1675" s="2" t="str">
        <f aca="false">IF($G1675="","","同時")</f>
        <v/>
      </c>
      <c r="M1675" s="2" t="str">
        <f aca="false">IF($G1675="","",IF(ISNA(MATCH($G1675,個別指定!$A:$A,0)),"行なし",""))</f>
        <v/>
      </c>
      <c r="N1675" s="2" t="str">
        <f aca="false">IF($G1675="","",IF(COUNTIF($G$2:$G$4460,$G1675)&gt;1,"重複",""))</f>
        <v/>
      </c>
    </row>
    <row r="1676" customFormat="false" ht="16.5" hidden="false" customHeight="true" outlineLevel="0" collapsed="false">
      <c r="A1676" s="2" t="s">
        <v>416</v>
      </c>
      <c r="B1676" s="2" t="s">
        <v>420</v>
      </c>
      <c r="C1676" s="2" t="s">
        <v>8</v>
      </c>
      <c r="D1676" s="2" t="str">
        <f aca="false">IF(3キー同時!$B$45="","",3キー同時!$B$45)</f>
        <v>j</v>
      </c>
      <c r="E1676" s="2" t="str">
        <f aca="false">IF(3キー同時!$G$45="","",3キー同時!$G$45)</f>
        <v>i</v>
      </c>
      <c r="F1676" s="2" t="str">
        <f aca="false">""</f>
        <v/>
      </c>
      <c r="G1676" s="2" t="str">
        <f aca="false">IF(OR(3キー同時!$B$45="",3キー同時!$G$45=""),"",IF(3キー同時!AL47="","",SUBSTITUTE(SUBSTITUTE(3キー同時!AL47," ",""),"　","")))</f>
        <v/>
      </c>
      <c r="H1676" s="2" t="str">
        <f aca="false">IF($G1676="","",3キー同時!$B$45)</f>
        <v/>
      </c>
      <c r="I1676" s="2" t="str">
        <f aca="false">IF($G1676="","",3キー同時!$G$45)</f>
        <v/>
      </c>
      <c r="J1676" s="2" t="str">
        <f aca="false">IF($G1676="","","9")</f>
        <v/>
      </c>
      <c r="K1676" s="2" t="str">
        <f aca="false">""</f>
        <v/>
      </c>
      <c r="L1676" s="2" t="str">
        <f aca="false">IF($G1676="","","同時")</f>
        <v/>
      </c>
      <c r="M1676" s="2" t="str">
        <f aca="false">IF($G1676="","",IF(ISNA(MATCH($G1676,個別指定!$A:$A,0)),"行なし",""))</f>
        <v/>
      </c>
      <c r="N1676" s="2" t="str">
        <f aca="false">IF($G1676="","",IF(COUNTIF($G$2:$G$4460,$G1676)&gt;1,"重複",""))</f>
        <v/>
      </c>
    </row>
    <row r="1677" customFormat="false" ht="16.5" hidden="false" customHeight="true" outlineLevel="0" collapsed="false">
      <c r="A1677" s="2" t="s">
        <v>416</v>
      </c>
      <c r="B1677" s="2" t="s">
        <v>420</v>
      </c>
      <c r="C1677" s="2" t="s">
        <v>9</v>
      </c>
      <c r="D1677" s="2" t="str">
        <f aca="false">IF(3キー同時!$B$45="","",3キー同時!$B$45)</f>
        <v>j</v>
      </c>
      <c r="E1677" s="2" t="str">
        <f aca="false">IF(3キー同時!$G$45="","",3キー同時!$G$45)</f>
        <v>i</v>
      </c>
      <c r="F1677" s="2" t="str">
        <f aca="false">""</f>
        <v/>
      </c>
      <c r="G1677" s="2" t="str">
        <f aca="false">IF(OR(3キー同時!$B$45="",3キー同時!$G$45=""),"",IF(3キー同時!AP47="","",SUBSTITUTE(SUBSTITUTE(3キー同時!AP47," ",""),"　","")))</f>
        <v/>
      </c>
      <c r="H1677" s="2" t="str">
        <f aca="false">IF($G1677="","",3キー同時!$B$45)</f>
        <v/>
      </c>
      <c r="I1677" s="2" t="str">
        <f aca="false">IF($G1677="","",3キー同時!$G$45)</f>
        <v/>
      </c>
      <c r="J1677" s="2" t="str">
        <f aca="false">IF($G1677="","","0")</f>
        <v/>
      </c>
      <c r="K1677" s="2" t="str">
        <f aca="false">""</f>
        <v/>
      </c>
      <c r="L1677" s="2" t="str">
        <f aca="false">IF($G1677="","","同時")</f>
        <v/>
      </c>
      <c r="M1677" s="2" t="str">
        <f aca="false">IF($G1677="","",IF(ISNA(MATCH($G1677,個別指定!$A:$A,0)),"行なし",""))</f>
        <v/>
      </c>
      <c r="N1677" s="2" t="str">
        <f aca="false">IF($G1677="","",IF(COUNTIF($G$2:$G$4460,$G1677)&gt;1,"重複",""))</f>
        <v/>
      </c>
    </row>
    <row r="1678" customFormat="false" ht="16.5" hidden="false" customHeight="true" outlineLevel="0" collapsed="false">
      <c r="A1678" s="2" t="s">
        <v>416</v>
      </c>
      <c r="B1678" s="2" t="s">
        <v>420</v>
      </c>
      <c r="C1678" s="2" t="s">
        <v>10</v>
      </c>
      <c r="D1678" s="2" t="str">
        <f aca="false">IF(3キー同時!$B$45="","",3キー同時!$B$45)</f>
        <v>j</v>
      </c>
      <c r="E1678" s="2" t="str">
        <f aca="false">IF(3キー同時!$G$45="","",3キー同時!$G$45)</f>
        <v>i</v>
      </c>
      <c r="F1678" s="2" t="str">
        <f aca="false">""</f>
        <v/>
      </c>
      <c r="G1678" s="2" t="str">
        <f aca="false">IF(OR(3キー同時!$B$45="",3キー同時!$G$45=""),"",IF(3キー同時!AT47="","",SUBSTITUTE(SUBSTITUTE(3キー同時!AT47," ",""),"　","")))</f>
        <v/>
      </c>
      <c r="H1678" s="2" t="str">
        <f aca="false">IF($G1678="","",3キー同時!$B$45)</f>
        <v/>
      </c>
      <c r="I1678" s="2" t="str">
        <f aca="false">IF($G1678="","",3キー同時!$G$45)</f>
        <v/>
      </c>
      <c r="J1678" s="2" t="str">
        <f aca="false">IF($G1678="","","-")</f>
        <v/>
      </c>
      <c r="K1678" s="2" t="str">
        <f aca="false">""</f>
        <v/>
      </c>
      <c r="L1678" s="2" t="str">
        <f aca="false">IF($G1678="","","同時")</f>
        <v/>
      </c>
      <c r="M1678" s="2" t="str">
        <f aca="false">IF($G1678="","",IF(ISNA(MATCH($G1678,個別指定!$A:$A,0)),"行なし",""))</f>
        <v/>
      </c>
      <c r="N1678" s="2" t="str">
        <f aca="false">IF($G1678="","",IF(COUNTIF($G$2:$G$4460,$G1678)&gt;1,"重複",""))</f>
        <v/>
      </c>
    </row>
    <row r="1679" customFormat="false" ht="16.5" hidden="false" customHeight="true" outlineLevel="0" collapsed="false">
      <c r="A1679" s="2" t="s">
        <v>416</v>
      </c>
      <c r="B1679" s="2" t="s">
        <v>420</v>
      </c>
      <c r="C1679" s="2" t="s">
        <v>11</v>
      </c>
      <c r="D1679" s="2" t="str">
        <f aca="false">IF(3キー同時!$B$45="","",3キー同時!$B$45)</f>
        <v>j</v>
      </c>
      <c r="E1679" s="2" t="str">
        <f aca="false">IF(3キー同時!$G$45="","",3キー同時!$G$45)</f>
        <v>i</v>
      </c>
      <c r="F1679" s="2" t="str">
        <f aca="false">""</f>
        <v/>
      </c>
      <c r="G1679" s="2" t="str">
        <f aca="false">IF(OR(3キー同時!$B$45="",3キー同時!$G$45=""),"",IF(3キー同時!AX47="","",SUBSTITUTE(SUBSTITUTE(3キー同時!AX47," ",""),"　","")))</f>
        <v/>
      </c>
      <c r="H1679" s="2" t="str">
        <f aca="false">IF($G1679="","",3キー同時!$B$45)</f>
        <v/>
      </c>
      <c r="I1679" s="2" t="str">
        <f aca="false">IF($G1679="","",3キー同時!$G$45)</f>
        <v/>
      </c>
      <c r="J1679" s="2" t="str">
        <f aca="false">IF($G1679="","","=")</f>
        <v/>
      </c>
      <c r="K1679" s="2" t="str">
        <f aca="false">""</f>
        <v/>
      </c>
      <c r="L1679" s="2" t="str">
        <f aca="false">IF($G1679="","","同時")</f>
        <v/>
      </c>
      <c r="M1679" s="2" t="str">
        <f aca="false">IF($G1679="","",IF(ISNA(MATCH($G1679,個別指定!$A:$A,0)),"行なし",""))</f>
        <v/>
      </c>
      <c r="N1679" s="2" t="str">
        <f aca="false">IF($G1679="","",IF(COUNTIF($G$2:$G$4460,$G1679)&gt;1,"重複",""))</f>
        <v/>
      </c>
    </row>
    <row r="1680" customFormat="false" ht="16.5" hidden="false" customHeight="true" outlineLevel="0" collapsed="false">
      <c r="A1680" s="2" t="s">
        <v>416</v>
      </c>
      <c r="B1680" s="2" t="s">
        <v>420</v>
      </c>
      <c r="C1680" s="2" t="s">
        <v>12</v>
      </c>
      <c r="D1680" s="2" t="str">
        <f aca="false">IF(3キー同時!$B$45="","",3キー同時!$B$45)</f>
        <v>j</v>
      </c>
      <c r="E1680" s="2" t="str">
        <f aca="false">IF(3キー同時!$G$45="","",3キー同時!$G$45)</f>
        <v>i</v>
      </c>
      <c r="F1680" s="2" t="str">
        <f aca="false">""</f>
        <v/>
      </c>
      <c r="G1680" s="2" t="str">
        <f aca="false">IF(OR(3キー同時!$B$45="",3キー同時!$G$45=""),"",IF(3キー同時!H49="","",SUBSTITUTE(SUBSTITUTE(3キー同時!H49," ",""),"　","")))</f>
        <v/>
      </c>
      <c r="H1680" s="2" t="str">
        <f aca="false">IF($G1680="","",3キー同時!$B$45)</f>
        <v/>
      </c>
      <c r="I1680" s="2" t="str">
        <f aca="false">IF($G1680="","",3キー同時!$G$45)</f>
        <v/>
      </c>
      <c r="J1680" s="2" t="str">
        <f aca="false">IF($G1680="","","q")</f>
        <v/>
      </c>
      <c r="K1680" s="2" t="str">
        <f aca="false">""</f>
        <v/>
      </c>
      <c r="L1680" s="2" t="str">
        <f aca="false">IF($G1680="","","同時")</f>
        <v/>
      </c>
      <c r="M1680" s="2" t="str">
        <f aca="false">IF($G1680="","",IF(ISNA(MATCH($G1680,個別指定!$A:$A,0)),"行なし",""))</f>
        <v/>
      </c>
      <c r="N1680" s="2" t="str">
        <f aca="false">IF($G1680="","",IF(COUNTIF($G$2:$G$4460,$G1680)&gt;1,"重複",""))</f>
        <v/>
      </c>
    </row>
    <row r="1681" customFormat="false" ht="16.5" hidden="false" customHeight="true" outlineLevel="0" collapsed="false">
      <c r="A1681" s="2" t="s">
        <v>416</v>
      </c>
      <c r="B1681" s="2" t="s">
        <v>420</v>
      </c>
      <c r="C1681" s="2" t="s">
        <v>13</v>
      </c>
      <c r="D1681" s="2" t="str">
        <f aca="false">IF(3キー同時!$B$45="","",3キー同時!$B$45)</f>
        <v>j</v>
      </c>
      <c r="E1681" s="2" t="str">
        <f aca="false">IF(3キー同時!$G$45="","",3キー同時!$G$45)</f>
        <v>i</v>
      </c>
      <c r="F1681" s="2" t="str">
        <f aca="false">""</f>
        <v/>
      </c>
      <c r="G1681" s="2" t="str">
        <f aca="false">IF(OR(3キー同時!$B$45="",3キー同時!$G$45=""),"",IF(3キー同時!L49="","",SUBSTITUTE(SUBSTITUTE(3キー同時!L49," ",""),"　","")))</f>
        <v>ぎょ</v>
      </c>
      <c r="H1681" s="2" t="str">
        <f aca="false">IF($G1681="","",3キー同時!$B$45)</f>
        <v>j</v>
      </c>
      <c r="I1681" s="2" t="str">
        <f aca="false">IF($G1681="","",3キー同時!$G$45)</f>
        <v>i</v>
      </c>
      <c r="J1681" s="2" t="str">
        <f aca="false">IF($G1681="","","w")</f>
        <v>w</v>
      </c>
      <c r="K1681" s="2" t="str">
        <f aca="false">""</f>
        <v/>
      </c>
      <c r="L1681" s="2" t="str">
        <f aca="false">IF($G1681="","","同時")</f>
        <v>同時</v>
      </c>
      <c r="M1681" s="2" t="str">
        <f aca="false">IF($G1681="","",IF(ISNA(MATCH($G1681,個別指定!$A:$A,0)),"行なし",""))</f>
        <v/>
      </c>
      <c r="N1681" s="2" t="str">
        <f aca="false">IF($G1681="","",IF(COUNTIF($G$2:$G$4460,$G1681)&gt;1,"重複",""))</f>
        <v/>
      </c>
    </row>
    <row r="1682" customFormat="false" ht="16.5" hidden="false" customHeight="true" outlineLevel="0" collapsed="false">
      <c r="A1682" s="2" t="s">
        <v>416</v>
      </c>
      <c r="B1682" s="2" t="s">
        <v>420</v>
      </c>
      <c r="C1682" s="2" t="s">
        <v>14</v>
      </c>
      <c r="D1682" s="2" t="str">
        <f aca="false">IF(3キー同時!$B$45="","",3キー同時!$B$45)</f>
        <v>j</v>
      </c>
      <c r="E1682" s="2" t="str">
        <f aca="false">IF(3キー同時!$G$45="","",3キー同時!$G$45)</f>
        <v>i</v>
      </c>
      <c r="F1682" s="2" t="str">
        <f aca="false">""</f>
        <v/>
      </c>
      <c r="G1682" s="2" t="str">
        <f aca="false">IF(OR(3キー同時!$B$45="",3キー同時!$G$45=""),"",IF(3キー同時!P49="","",SUBSTITUTE(SUBSTITUTE(3キー同時!P49," ",""),"　","")))</f>
        <v/>
      </c>
      <c r="H1682" s="2" t="str">
        <f aca="false">IF($G1682="","",3キー同時!$B$45)</f>
        <v/>
      </c>
      <c r="I1682" s="2" t="str">
        <f aca="false">IF($G1682="","",3キー同時!$G$45)</f>
        <v/>
      </c>
      <c r="J1682" s="2" t="str">
        <f aca="false">IF($G1682="","","e")</f>
        <v/>
      </c>
      <c r="K1682" s="2" t="str">
        <f aca="false">""</f>
        <v/>
      </c>
      <c r="L1682" s="2" t="str">
        <f aca="false">IF($G1682="","","同時")</f>
        <v/>
      </c>
      <c r="M1682" s="2" t="str">
        <f aca="false">IF($G1682="","",IF(ISNA(MATCH($G1682,個別指定!$A:$A,0)),"行なし",""))</f>
        <v/>
      </c>
      <c r="N1682" s="2" t="str">
        <f aca="false">IF($G1682="","",IF(COUNTIF($G$2:$G$4460,$G1682)&gt;1,"重複",""))</f>
        <v/>
      </c>
    </row>
    <row r="1683" customFormat="false" ht="16.5" hidden="false" customHeight="true" outlineLevel="0" collapsed="false">
      <c r="A1683" s="2" t="s">
        <v>416</v>
      </c>
      <c r="B1683" s="2" t="s">
        <v>420</v>
      </c>
      <c r="C1683" s="2" t="s">
        <v>15</v>
      </c>
      <c r="D1683" s="2" t="str">
        <f aca="false">IF(3キー同時!$B$45="","",3キー同時!$B$45)</f>
        <v>j</v>
      </c>
      <c r="E1683" s="2" t="str">
        <f aca="false">IF(3キー同時!$G$45="","",3キー同時!$G$45)</f>
        <v>i</v>
      </c>
      <c r="F1683" s="2" t="str">
        <f aca="false">""</f>
        <v/>
      </c>
      <c r="G1683" s="2" t="str">
        <f aca="false">IF(OR(3キー同時!$B$45="",3キー同時!$G$45=""),"",IF(3キー同時!T49="","",SUBSTITUTE(SUBSTITUTE(3キー同時!T49," ",""),"　","")))</f>
        <v>じょ</v>
      </c>
      <c r="H1683" s="2" t="str">
        <f aca="false">IF($G1683="","",3キー同時!$B$45)</f>
        <v>j</v>
      </c>
      <c r="I1683" s="2" t="str">
        <f aca="false">IF($G1683="","",3キー同時!$G$45)</f>
        <v>i</v>
      </c>
      <c r="J1683" s="2" t="str">
        <f aca="false">IF($G1683="","","r")</f>
        <v>r</v>
      </c>
      <c r="K1683" s="2" t="str">
        <f aca="false">""</f>
        <v/>
      </c>
      <c r="L1683" s="2" t="str">
        <f aca="false">IF($G1683="","","同時")</f>
        <v>同時</v>
      </c>
      <c r="M1683" s="2" t="str">
        <f aca="false">IF($G1683="","",IF(ISNA(MATCH($G1683,個別指定!$A:$A,0)),"行なし",""))</f>
        <v/>
      </c>
      <c r="N1683" s="2" t="str">
        <f aca="false">IF($G1683="","",IF(COUNTIF($G$2:$G$4460,$G1683)&gt;1,"重複",""))</f>
        <v/>
      </c>
    </row>
    <row r="1684" customFormat="false" ht="16.5" hidden="false" customHeight="true" outlineLevel="0" collapsed="false">
      <c r="A1684" s="2" t="s">
        <v>416</v>
      </c>
      <c r="B1684" s="2" t="s">
        <v>420</v>
      </c>
      <c r="C1684" s="2" t="s">
        <v>16</v>
      </c>
      <c r="D1684" s="2" t="str">
        <f aca="false">IF(3キー同時!$B$45="","",3キー同時!$B$45)</f>
        <v>j</v>
      </c>
      <c r="E1684" s="2" t="str">
        <f aca="false">IF(3キー同時!$G$45="","",3キー同時!$G$45)</f>
        <v>i</v>
      </c>
      <c r="F1684" s="2" t="str">
        <f aca="false">""</f>
        <v/>
      </c>
      <c r="G1684" s="2" t="str">
        <f aca="false">IF(OR(3キー同時!$B$45="",3キー同時!$G$45=""),"",IF(3キー同時!X49="","",SUBSTITUTE(SUBSTITUTE(3キー同時!X49," ",""),"　","")))</f>
        <v/>
      </c>
      <c r="H1684" s="2" t="str">
        <f aca="false">IF($G1684="","",3キー同時!$B$45)</f>
        <v/>
      </c>
      <c r="I1684" s="2" t="str">
        <f aca="false">IF($G1684="","",3キー同時!$G$45)</f>
        <v/>
      </c>
      <c r="J1684" s="2" t="str">
        <f aca="false">IF($G1684="","","t")</f>
        <v/>
      </c>
      <c r="K1684" s="2" t="str">
        <f aca="false">""</f>
        <v/>
      </c>
      <c r="L1684" s="2" t="str">
        <f aca="false">IF($G1684="","","同時")</f>
        <v/>
      </c>
      <c r="M1684" s="2" t="str">
        <f aca="false">IF($G1684="","",IF(ISNA(MATCH($G1684,個別指定!$A:$A,0)),"行なし",""))</f>
        <v/>
      </c>
      <c r="N1684" s="2" t="str">
        <f aca="false">IF($G1684="","",IF(COUNTIF($G$2:$G$4460,$G1684)&gt;1,"重複",""))</f>
        <v/>
      </c>
    </row>
    <row r="1685" customFormat="false" ht="16.5" hidden="false" customHeight="true" outlineLevel="0" collapsed="false">
      <c r="A1685" s="2" t="s">
        <v>416</v>
      </c>
      <c r="B1685" s="2" t="s">
        <v>420</v>
      </c>
      <c r="C1685" s="2" t="s">
        <v>17</v>
      </c>
      <c r="D1685" s="2" t="str">
        <f aca="false">IF(3キー同時!$B$45="","",3キー同時!$B$45)</f>
        <v>j</v>
      </c>
      <c r="E1685" s="2" t="str">
        <f aca="false">IF(3キー同時!$G$45="","",3キー同時!$G$45)</f>
        <v>i</v>
      </c>
      <c r="F1685" s="2" t="str">
        <f aca="false">""</f>
        <v/>
      </c>
      <c r="G1685" s="2" t="str">
        <f aca="false">IF(OR(3キー同時!$B$45="",3キー同時!$G$45=""),"",IF(3キー同時!AB49="","",SUBSTITUTE(SUBSTITUTE(3キー同時!AB49," ",""),"　","")))</f>
        <v/>
      </c>
      <c r="H1685" s="2" t="str">
        <f aca="false">IF($G1685="","",3キー同時!$B$45)</f>
        <v/>
      </c>
      <c r="I1685" s="2" t="str">
        <f aca="false">IF($G1685="","",3キー同時!$G$45)</f>
        <v/>
      </c>
      <c r="J1685" s="2" t="str">
        <f aca="false">IF($G1685="","","y")</f>
        <v/>
      </c>
      <c r="K1685" s="2" t="str">
        <f aca="false">""</f>
        <v/>
      </c>
      <c r="L1685" s="2" t="str">
        <f aca="false">IF($G1685="","","同時")</f>
        <v/>
      </c>
      <c r="M1685" s="2" t="str">
        <f aca="false">IF($G1685="","",IF(ISNA(MATCH($G1685,個別指定!$A:$A,0)),"行なし",""))</f>
        <v/>
      </c>
      <c r="N1685" s="2" t="str">
        <f aca="false">IF($G1685="","",IF(COUNTIF($G$2:$G$4460,$G1685)&gt;1,"重複",""))</f>
        <v/>
      </c>
    </row>
    <row r="1686" customFormat="false" ht="16.5" hidden="false" customHeight="true" outlineLevel="0" collapsed="false">
      <c r="A1686" s="2" t="s">
        <v>416</v>
      </c>
      <c r="B1686" s="2" t="s">
        <v>420</v>
      </c>
      <c r="C1686" s="2" t="s">
        <v>18</v>
      </c>
      <c r="D1686" s="2" t="str">
        <f aca="false">IF(3キー同時!$B$45="","",3キー同時!$B$45)</f>
        <v>j</v>
      </c>
      <c r="E1686" s="2" t="str">
        <f aca="false">IF(3キー同時!$G$45="","",3キー同時!$G$45)</f>
        <v>i</v>
      </c>
      <c r="F1686" s="2" t="str">
        <f aca="false">""</f>
        <v/>
      </c>
      <c r="G1686" s="2" t="str">
        <f aca="false">IF(OR(3キー同時!$B$45="",3キー同時!$G$45=""),"",IF(3キー同時!AF49="","",SUBSTITUTE(SUBSTITUTE(3キー同時!AF49," ",""),"　","")))</f>
        <v/>
      </c>
      <c r="H1686" s="2" t="str">
        <f aca="false">IF($G1686="","",3キー同時!$B$45)</f>
        <v/>
      </c>
      <c r="I1686" s="2" t="str">
        <f aca="false">IF($G1686="","",3キー同時!$G$45)</f>
        <v/>
      </c>
      <c r="J1686" s="2" t="str">
        <f aca="false">IF($G1686="","","u")</f>
        <v/>
      </c>
      <c r="K1686" s="2" t="str">
        <f aca="false">""</f>
        <v/>
      </c>
      <c r="L1686" s="2" t="str">
        <f aca="false">IF($G1686="","","同時")</f>
        <v/>
      </c>
      <c r="M1686" s="2" t="str">
        <f aca="false">IF($G1686="","",IF(ISNA(MATCH($G1686,個別指定!$A:$A,0)),"行なし",""))</f>
        <v/>
      </c>
      <c r="N1686" s="2" t="str">
        <f aca="false">IF($G1686="","",IF(COUNTIF($G$2:$G$4460,$G1686)&gt;1,"重複",""))</f>
        <v/>
      </c>
    </row>
    <row r="1687" customFormat="false" ht="16.5" hidden="false" customHeight="true" outlineLevel="0" collapsed="false">
      <c r="A1687" s="2" t="s">
        <v>416</v>
      </c>
      <c r="B1687" s="2" t="s">
        <v>420</v>
      </c>
      <c r="C1687" s="2" t="s">
        <v>19</v>
      </c>
      <c r="D1687" s="2" t="str">
        <f aca="false">IF(3キー同時!$B$45="","",3キー同時!$B$45)</f>
        <v>j</v>
      </c>
      <c r="E1687" s="2" t="str">
        <f aca="false">IF(3キー同時!$G$45="","",3キー同時!$G$45)</f>
        <v>i</v>
      </c>
      <c r="F1687" s="2" t="str">
        <f aca="false">""</f>
        <v/>
      </c>
      <c r="G1687" s="2" t="str">
        <f aca="false">IF(OR(3キー同時!$B$45="",3キー同時!$G$45=""),"",IF(3キー同時!AJ49="","",SUBSTITUTE(SUBSTITUTE(3キー同時!AJ49," ",""),"　","")))</f>
        <v/>
      </c>
      <c r="H1687" s="2" t="str">
        <f aca="false">IF($G1687="","",3キー同時!$B$45)</f>
        <v/>
      </c>
      <c r="I1687" s="2" t="str">
        <f aca="false">IF($G1687="","",3キー同時!$G$45)</f>
        <v/>
      </c>
      <c r="J1687" s="2" t="str">
        <f aca="false">IF($G1687="","","i")</f>
        <v/>
      </c>
      <c r="K1687" s="2" t="str">
        <f aca="false">""</f>
        <v/>
      </c>
      <c r="L1687" s="2" t="str">
        <f aca="false">IF($G1687="","","同時")</f>
        <v/>
      </c>
      <c r="M1687" s="2" t="str">
        <f aca="false">IF($G1687="","",IF(ISNA(MATCH($G1687,個別指定!$A:$A,0)),"行なし",""))</f>
        <v/>
      </c>
      <c r="N1687" s="2" t="str">
        <f aca="false">IF($G1687="","",IF(COUNTIF($G$2:$G$4460,$G1687)&gt;1,"重複",""))</f>
        <v/>
      </c>
    </row>
    <row r="1688" customFormat="false" ht="16.5" hidden="false" customHeight="true" outlineLevel="0" collapsed="false">
      <c r="A1688" s="2" t="s">
        <v>416</v>
      </c>
      <c r="B1688" s="2" t="s">
        <v>420</v>
      </c>
      <c r="C1688" s="2" t="s">
        <v>20</v>
      </c>
      <c r="D1688" s="2" t="str">
        <f aca="false">IF(3キー同時!$B$45="","",3キー同時!$B$45)</f>
        <v>j</v>
      </c>
      <c r="E1688" s="2" t="str">
        <f aca="false">IF(3キー同時!$G$45="","",3キー同時!$G$45)</f>
        <v>i</v>
      </c>
      <c r="F1688" s="2" t="str">
        <f aca="false">""</f>
        <v/>
      </c>
      <c r="G1688" s="2" t="str">
        <f aca="false">IF(OR(3キー同時!$B$45="",3キー同時!$G$45=""),"",IF(3キー同時!AN49="","",SUBSTITUTE(SUBSTITUTE(3キー同時!AN49," ",""),"　","")))</f>
        <v/>
      </c>
      <c r="H1688" s="2" t="str">
        <f aca="false">IF($G1688="","",3キー同時!$B$45)</f>
        <v/>
      </c>
      <c r="I1688" s="2" t="str">
        <f aca="false">IF($G1688="","",3キー同時!$G$45)</f>
        <v/>
      </c>
      <c r="J1688" s="2" t="str">
        <f aca="false">IF($G1688="","","o")</f>
        <v/>
      </c>
      <c r="K1688" s="2" t="str">
        <f aca="false">""</f>
        <v/>
      </c>
      <c r="L1688" s="2" t="str">
        <f aca="false">IF($G1688="","","同時")</f>
        <v/>
      </c>
      <c r="M1688" s="2" t="str">
        <f aca="false">IF($G1688="","",IF(ISNA(MATCH($G1688,個別指定!$A:$A,0)),"行なし",""))</f>
        <v/>
      </c>
      <c r="N1688" s="2" t="str">
        <f aca="false">IF($G1688="","",IF(COUNTIF($G$2:$G$4460,$G1688)&gt;1,"重複",""))</f>
        <v/>
      </c>
    </row>
    <row r="1689" customFormat="false" ht="16.5" hidden="false" customHeight="true" outlineLevel="0" collapsed="false">
      <c r="A1689" s="2" t="s">
        <v>416</v>
      </c>
      <c r="B1689" s="2" t="s">
        <v>420</v>
      </c>
      <c r="C1689" s="2" t="s">
        <v>21</v>
      </c>
      <c r="D1689" s="2" t="str">
        <f aca="false">IF(3キー同時!$B$45="","",3キー同時!$B$45)</f>
        <v>j</v>
      </c>
      <c r="E1689" s="2" t="str">
        <f aca="false">IF(3キー同時!$G$45="","",3キー同時!$G$45)</f>
        <v>i</v>
      </c>
      <c r="F1689" s="2" t="str">
        <f aca="false">""</f>
        <v/>
      </c>
      <c r="G1689" s="2" t="str">
        <f aca="false">IF(OR(3キー同時!$B$45="",3キー同時!$G$45=""),"",IF(3キー同時!AR49="","",SUBSTITUTE(SUBSTITUTE(3キー同時!AR49," ",""),"　","")))</f>
        <v/>
      </c>
      <c r="H1689" s="2" t="str">
        <f aca="false">IF($G1689="","",3キー同時!$B$45)</f>
        <v/>
      </c>
      <c r="I1689" s="2" t="str">
        <f aca="false">IF($G1689="","",3キー同時!$G$45)</f>
        <v/>
      </c>
      <c r="J1689" s="2" t="str">
        <f aca="false">IF($G1689="","","p")</f>
        <v/>
      </c>
      <c r="K1689" s="2" t="str">
        <f aca="false">""</f>
        <v/>
      </c>
      <c r="L1689" s="2" t="str">
        <f aca="false">IF($G1689="","","同時")</f>
        <v/>
      </c>
      <c r="M1689" s="2" t="str">
        <f aca="false">IF($G1689="","",IF(ISNA(MATCH($G1689,個別指定!$A:$A,0)),"行なし",""))</f>
        <v/>
      </c>
      <c r="N1689" s="2" t="str">
        <f aca="false">IF($G1689="","",IF(COUNTIF($G$2:$G$4460,$G1689)&gt;1,"重複",""))</f>
        <v/>
      </c>
    </row>
    <row r="1690" customFormat="false" ht="16.5" hidden="false" customHeight="true" outlineLevel="0" collapsed="false">
      <c r="A1690" s="2" t="s">
        <v>416</v>
      </c>
      <c r="B1690" s="2" t="s">
        <v>420</v>
      </c>
      <c r="C1690" s="2" t="s">
        <v>22</v>
      </c>
      <c r="D1690" s="2" t="str">
        <f aca="false">IF(3キー同時!$B$45="","",3キー同時!$B$45)</f>
        <v>j</v>
      </c>
      <c r="E1690" s="2" t="str">
        <f aca="false">IF(3キー同時!$G$45="","",3キー同時!$G$45)</f>
        <v>i</v>
      </c>
      <c r="F1690" s="2" t="str">
        <f aca="false">""</f>
        <v/>
      </c>
      <c r="G1690" s="2" t="str">
        <f aca="false">IF(OR(3キー同時!$B$45="",3キー同時!$G$45=""),"",IF(3キー同時!AV49="","",SUBSTITUTE(SUBSTITUTE(3キー同時!AV49," ",""),"　","")))</f>
        <v/>
      </c>
      <c r="H1690" s="2" t="str">
        <f aca="false">IF($G1690="","",3キー同時!$B$45)</f>
        <v/>
      </c>
      <c r="I1690" s="2" t="str">
        <f aca="false">IF($G1690="","",3キー同時!$G$45)</f>
        <v/>
      </c>
      <c r="J1690" s="2" t="str">
        <f aca="false">IF($G1690="","","[")</f>
        <v/>
      </c>
      <c r="K1690" s="2" t="str">
        <f aca="false">""</f>
        <v/>
      </c>
      <c r="L1690" s="2" t="str">
        <f aca="false">IF($G1690="","","同時")</f>
        <v/>
      </c>
      <c r="M1690" s="2" t="str">
        <f aca="false">IF($G1690="","",IF(ISNA(MATCH($G1690,個別指定!$A:$A,0)),"行なし",""))</f>
        <v/>
      </c>
      <c r="N1690" s="2" t="str">
        <f aca="false">IF($G1690="","",IF(COUNTIF($G$2:$G$4460,$G1690)&gt;1,"重複",""))</f>
        <v/>
      </c>
    </row>
    <row r="1691" customFormat="false" ht="16.5" hidden="false" customHeight="true" outlineLevel="0" collapsed="false">
      <c r="A1691" s="2" t="s">
        <v>416</v>
      </c>
      <c r="B1691" s="2" t="s">
        <v>420</v>
      </c>
      <c r="C1691" s="2" t="s">
        <v>23</v>
      </c>
      <c r="D1691" s="2" t="str">
        <f aca="false">IF(3キー同時!$B$45="","",3キー同時!$B$45)</f>
        <v>j</v>
      </c>
      <c r="E1691" s="2" t="str">
        <f aca="false">IF(3キー同時!$G$45="","",3キー同時!$G$45)</f>
        <v>i</v>
      </c>
      <c r="F1691" s="2" t="str">
        <f aca="false">""</f>
        <v/>
      </c>
      <c r="G1691" s="2" t="str">
        <f aca="false">IF(OR(3キー同時!$B$45="",3キー同時!$G$45=""),"",IF(3キー同時!AZ49="","",SUBSTITUTE(SUBSTITUTE(3キー同時!AZ49," ",""),"　","")))</f>
        <v/>
      </c>
      <c r="H1691" s="2" t="str">
        <f aca="false">IF($G1691="","",3キー同時!$B$45)</f>
        <v/>
      </c>
      <c r="I1691" s="2" t="str">
        <f aca="false">IF($G1691="","",3キー同時!$G$45)</f>
        <v/>
      </c>
      <c r="J1691" s="2" t="str">
        <f aca="false">IF($G1691="","","]")</f>
        <v/>
      </c>
      <c r="K1691" s="2" t="str">
        <f aca="false">""</f>
        <v/>
      </c>
      <c r="L1691" s="2" t="str">
        <f aca="false">IF($G1691="","","同時")</f>
        <v/>
      </c>
      <c r="M1691" s="2" t="str">
        <f aca="false">IF($G1691="","",IF(ISNA(MATCH($G1691,個別指定!$A:$A,0)),"行なし",""))</f>
        <v/>
      </c>
      <c r="N1691" s="2" t="str">
        <f aca="false">IF($G1691="","",IF(COUNTIF($G$2:$G$4460,$G1691)&gt;1,"重複",""))</f>
        <v/>
      </c>
    </row>
    <row r="1692" customFormat="false" ht="16.5" hidden="false" customHeight="true" outlineLevel="0" collapsed="false">
      <c r="A1692" s="2" t="s">
        <v>416</v>
      </c>
      <c r="B1692" s="2" t="s">
        <v>420</v>
      </c>
      <c r="C1692" s="2" t="s">
        <v>24</v>
      </c>
      <c r="D1692" s="2" t="str">
        <f aca="false">IF(3キー同時!$B$45="","",3キー同時!$B$45)</f>
        <v>j</v>
      </c>
      <c r="E1692" s="2" t="str">
        <f aca="false">IF(3キー同時!$G$45="","",3キー同時!$G$45)</f>
        <v>i</v>
      </c>
      <c r="F1692" s="2" t="str">
        <f aca="false">""</f>
        <v/>
      </c>
      <c r="G1692" s="2" t="str">
        <f aca="false">IF(OR(3キー同時!$B$45="",3キー同時!$G$45=""),"",IF(3キー同時!I51="","",SUBSTITUTE(SUBSTITUTE(3キー同時!I51," ",""),"　","")))</f>
        <v/>
      </c>
      <c r="H1692" s="2" t="str">
        <f aca="false">IF($G1692="","",3キー同時!$B$45)</f>
        <v/>
      </c>
      <c r="I1692" s="2" t="str">
        <f aca="false">IF($G1692="","",3キー同時!$G$45)</f>
        <v/>
      </c>
      <c r="J1692" s="2" t="str">
        <f aca="false">IF($G1692="","","a")</f>
        <v/>
      </c>
      <c r="K1692" s="2" t="str">
        <f aca="false">""</f>
        <v/>
      </c>
      <c r="L1692" s="2" t="str">
        <f aca="false">IF($G1692="","","同時")</f>
        <v/>
      </c>
      <c r="M1692" s="2" t="str">
        <f aca="false">IF($G1692="","",IF(ISNA(MATCH($G1692,個別指定!$A:$A,0)),"行なし",""))</f>
        <v/>
      </c>
      <c r="N1692" s="2" t="str">
        <f aca="false">IF($G1692="","",IF(COUNTIF($G$2:$G$4460,$G1692)&gt;1,"重複",""))</f>
        <v/>
      </c>
    </row>
    <row r="1693" customFormat="false" ht="16.5" hidden="false" customHeight="true" outlineLevel="0" collapsed="false">
      <c r="A1693" s="2" t="s">
        <v>416</v>
      </c>
      <c r="B1693" s="2" t="s">
        <v>420</v>
      </c>
      <c r="C1693" s="2" t="s">
        <v>25</v>
      </c>
      <c r="D1693" s="2" t="str">
        <f aca="false">IF(3キー同時!$B$45="","",3キー同時!$B$45)</f>
        <v>j</v>
      </c>
      <c r="E1693" s="2" t="str">
        <f aca="false">IF(3キー同時!$G$45="","",3キー同時!$G$45)</f>
        <v>i</v>
      </c>
      <c r="F1693" s="2" t="str">
        <f aca="false">""</f>
        <v/>
      </c>
      <c r="G1693" s="2" t="str">
        <f aca="false">IF(OR(3キー同時!$B$45="",3キー同時!$G$45=""),"",IF(3キー同時!M51="","",SUBSTITUTE(SUBSTITUTE(3キー同時!M51," ",""),"　","")))</f>
        <v/>
      </c>
      <c r="H1693" s="2" t="str">
        <f aca="false">IF($G1693="","",3キー同時!$B$45)</f>
        <v/>
      </c>
      <c r="I1693" s="2" t="str">
        <f aca="false">IF($G1693="","",3キー同時!$G$45)</f>
        <v/>
      </c>
      <c r="J1693" s="2" t="str">
        <f aca="false">IF($G1693="","","s")</f>
        <v/>
      </c>
      <c r="K1693" s="2" t="str">
        <f aca="false">""</f>
        <v/>
      </c>
      <c r="L1693" s="2" t="str">
        <f aca="false">IF($G1693="","","同時")</f>
        <v/>
      </c>
      <c r="M1693" s="2" t="str">
        <f aca="false">IF($G1693="","",IF(ISNA(MATCH($G1693,個別指定!$A:$A,0)),"行なし",""))</f>
        <v/>
      </c>
      <c r="N1693" s="2" t="str">
        <f aca="false">IF($G1693="","",IF(COUNTIF($G$2:$G$4460,$G1693)&gt;1,"重複",""))</f>
        <v/>
      </c>
    </row>
    <row r="1694" customFormat="false" ht="16.5" hidden="false" customHeight="true" outlineLevel="0" collapsed="false">
      <c r="A1694" s="2" t="s">
        <v>416</v>
      </c>
      <c r="B1694" s="2" t="s">
        <v>420</v>
      </c>
      <c r="C1694" s="2" t="s">
        <v>26</v>
      </c>
      <c r="D1694" s="2" t="str">
        <f aca="false">IF(3キー同時!$B$45="","",3キー同時!$B$45)</f>
        <v>j</v>
      </c>
      <c r="E1694" s="2" t="str">
        <f aca="false">IF(3キー同時!$G$45="","",3キー同時!$G$45)</f>
        <v>i</v>
      </c>
      <c r="F1694" s="2" t="str">
        <f aca="false">""</f>
        <v/>
      </c>
      <c r="G1694" s="2" t="str">
        <f aca="false">IF(OR(3キー同時!$B$45="",3キー同時!$G$45=""),"",IF(3キー同時!Q51="","",SUBSTITUTE(SUBSTITUTE(3キー同時!Q51," ",""),"　","")))</f>
        <v/>
      </c>
      <c r="H1694" s="2" t="str">
        <f aca="false">IF($G1694="","",3キー同時!$B$45)</f>
        <v/>
      </c>
      <c r="I1694" s="2" t="str">
        <f aca="false">IF($G1694="","",3キー同時!$G$45)</f>
        <v/>
      </c>
      <c r="J1694" s="2" t="str">
        <f aca="false">IF($G1694="","","d")</f>
        <v/>
      </c>
      <c r="K1694" s="2" t="str">
        <f aca="false">""</f>
        <v/>
      </c>
      <c r="L1694" s="2" t="str">
        <f aca="false">IF($G1694="","","同時")</f>
        <v/>
      </c>
      <c r="M1694" s="2" t="str">
        <f aca="false">IF($G1694="","",IF(ISNA(MATCH($G1694,個別指定!$A:$A,0)),"行なし",""))</f>
        <v/>
      </c>
      <c r="N1694" s="2" t="str">
        <f aca="false">IF($G1694="","",IF(COUNTIF($G$2:$G$4460,$G1694)&gt;1,"重複",""))</f>
        <v/>
      </c>
    </row>
    <row r="1695" customFormat="false" ht="16.5" hidden="false" customHeight="true" outlineLevel="0" collapsed="false">
      <c r="A1695" s="2" t="s">
        <v>416</v>
      </c>
      <c r="B1695" s="2" t="s">
        <v>420</v>
      </c>
      <c r="C1695" s="2" t="s">
        <v>27</v>
      </c>
      <c r="D1695" s="2" t="str">
        <f aca="false">IF(3キー同時!$B$45="","",3キー同時!$B$45)</f>
        <v>j</v>
      </c>
      <c r="E1695" s="2" t="str">
        <f aca="false">IF(3キー同時!$G$45="","",3キー同時!$G$45)</f>
        <v>i</v>
      </c>
      <c r="F1695" s="2" t="str">
        <f aca="false">""</f>
        <v/>
      </c>
      <c r="G1695" s="2" t="str">
        <f aca="false">IF(OR(3キー同時!$B$45="",3キー同時!$G$45=""),"",IF(3キー同時!U51="","",SUBSTITUTE(SUBSTITUTE(3キー同時!U51," ",""),"　","")))</f>
        <v/>
      </c>
      <c r="H1695" s="2" t="str">
        <f aca="false">IF($G1695="","",3キー同時!$B$45)</f>
        <v/>
      </c>
      <c r="I1695" s="2" t="str">
        <f aca="false">IF($G1695="","",3キー同時!$G$45)</f>
        <v/>
      </c>
      <c r="J1695" s="2" t="str">
        <f aca="false">IF($G1695="","","f")</f>
        <v/>
      </c>
      <c r="K1695" s="2" t="str">
        <f aca="false">""</f>
        <v/>
      </c>
      <c r="L1695" s="2" t="str">
        <f aca="false">IF($G1695="","","同時")</f>
        <v/>
      </c>
      <c r="M1695" s="2" t="str">
        <f aca="false">IF($G1695="","",IF(ISNA(MATCH($G1695,個別指定!$A:$A,0)),"行なし",""))</f>
        <v/>
      </c>
      <c r="N1695" s="2" t="str">
        <f aca="false">IF($G1695="","",IF(COUNTIF($G$2:$G$4460,$G1695)&gt;1,"重複",""))</f>
        <v/>
      </c>
    </row>
    <row r="1696" customFormat="false" ht="16.5" hidden="false" customHeight="true" outlineLevel="0" collapsed="false">
      <c r="A1696" s="2" t="s">
        <v>416</v>
      </c>
      <c r="B1696" s="2" t="s">
        <v>420</v>
      </c>
      <c r="C1696" s="2" t="s">
        <v>28</v>
      </c>
      <c r="D1696" s="2" t="str">
        <f aca="false">IF(3キー同時!$B$45="","",3キー同時!$B$45)</f>
        <v>j</v>
      </c>
      <c r="E1696" s="2" t="str">
        <f aca="false">IF(3キー同時!$G$45="","",3キー同時!$G$45)</f>
        <v>i</v>
      </c>
      <c r="F1696" s="2" t="str">
        <f aca="false">""</f>
        <v/>
      </c>
      <c r="G1696" s="2" t="str">
        <f aca="false">IF(OR(3キー同時!$B$45="",3キー同時!$G$45=""),"",IF(3キー同時!Y51="","",SUBSTITUTE(SUBSTITUTE(3キー同時!Y51," ",""),"　","")))</f>
        <v>ぢょ</v>
      </c>
      <c r="H1696" s="2" t="str">
        <f aca="false">IF($G1696="","",3キー同時!$B$45)</f>
        <v>j</v>
      </c>
      <c r="I1696" s="2" t="str">
        <f aca="false">IF($G1696="","",3キー同時!$G$45)</f>
        <v>i</v>
      </c>
      <c r="J1696" s="2" t="str">
        <f aca="false">IF($G1696="","","g")</f>
        <v>g</v>
      </c>
      <c r="K1696" s="2" t="str">
        <f aca="false">""</f>
        <v/>
      </c>
      <c r="L1696" s="2" t="str">
        <f aca="false">IF($G1696="","","同時")</f>
        <v>同時</v>
      </c>
      <c r="M1696" s="2" t="str">
        <f aca="false">IF($G1696="","",IF(ISNA(MATCH($G1696,個別指定!$A:$A,0)),"行なし",""))</f>
        <v/>
      </c>
      <c r="N1696" s="2" t="str">
        <f aca="false">IF($G1696="","",IF(COUNTIF($G$2:$G$4460,$G1696)&gt;1,"重複",""))</f>
        <v/>
      </c>
    </row>
    <row r="1697" customFormat="false" ht="16.5" hidden="false" customHeight="true" outlineLevel="0" collapsed="false">
      <c r="A1697" s="2" t="s">
        <v>416</v>
      </c>
      <c r="B1697" s="2" t="s">
        <v>420</v>
      </c>
      <c r="C1697" s="2" t="s">
        <v>29</v>
      </c>
      <c r="D1697" s="2" t="str">
        <f aca="false">IF(3キー同時!$B$45="","",3キー同時!$B$45)</f>
        <v>j</v>
      </c>
      <c r="E1697" s="2" t="str">
        <f aca="false">IF(3キー同時!$G$45="","",3キー同時!$G$45)</f>
        <v>i</v>
      </c>
      <c r="F1697" s="2" t="str">
        <f aca="false">""</f>
        <v/>
      </c>
      <c r="G1697" s="2" t="str">
        <f aca="false">IF(OR(3キー同時!$B$45="",3キー同時!$G$45=""),"",IF(3キー同時!AC51="","",SUBSTITUTE(SUBSTITUTE(3キー同時!AC51," ",""),"　","")))</f>
        <v/>
      </c>
      <c r="H1697" s="2" t="str">
        <f aca="false">IF($G1697="","",3キー同時!$B$45)</f>
        <v/>
      </c>
      <c r="I1697" s="2" t="str">
        <f aca="false">IF($G1697="","",3キー同時!$G$45)</f>
        <v/>
      </c>
      <c r="J1697" s="2" t="str">
        <f aca="false">IF($G1697="","","h")</f>
        <v/>
      </c>
      <c r="K1697" s="2" t="str">
        <f aca="false">""</f>
        <v/>
      </c>
      <c r="L1697" s="2" t="str">
        <f aca="false">IF($G1697="","","同時")</f>
        <v/>
      </c>
      <c r="M1697" s="2" t="str">
        <f aca="false">IF($G1697="","",IF(ISNA(MATCH($G1697,個別指定!$A:$A,0)),"行なし",""))</f>
        <v/>
      </c>
      <c r="N1697" s="2" t="str">
        <f aca="false">IF($G1697="","",IF(COUNTIF($G$2:$G$4460,$G1697)&gt;1,"重複",""))</f>
        <v/>
      </c>
    </row>
    <row r="1698" customFormat="false" ht="16.5" hidden="false" customHeight="true" outlineLevel="0" collapsed="false">
      <c r="A1698" s="2" t="s">
        <v>416</v>
      </c>
      <c r="B1698" s="2" t="s">
        <v>420</v>
      </c>
      <c r="C1698" s="2" t="s">
        <v>30</v>
      </c>
      <c r="D1698" s="2" t="str">
        <f aca="false">IF(3キー同時!$B$45="","",3キー同時!$B$45)</f>
        <v>j</v>
      </c>
      <c r="E1698" s="2" t="str">
        <f aca="false">IF(3キー同時!$G$45="","",3キー同時!$G$45)</f>
        <v>i</v>
      </c>
      <c r="F1698" s="2" t="str">
        <f aca="false">""</f>
        <v/>
      </c>
      <c r="G1698" s="2" t="str">
        <f aca="false">IF(OR(3キー同時!$B$45="",3キー同時!$G$45=""),"",IF(3キー同時!AG51="","",SUBSTITUTE(SUBSTITUTE(3キー同時!AG51," ",""),"　","")))</f>
        <v/>
      </c>
      <c r="H1698" s="2" t="str">
        <f aca="false">IF($G1698="","",3キー同時!$B$45)</f>
        <v/>
      </c>
      <c r="I1698" s="2" t="str">
        <f aca="false">IF($G1698="","",3キー同時!$G$45)</f>
        <v/>
      </c>
      <c r="J1698" s="2" t="str">
        <f aca="false">IF($G1698="","","j")</f>
        <v/>
      </c>
      <c r="K1698" s="2" t="str">
        <f aca="false">""</f>
        <v/>
      </c>
      <c r="L1698" s="2" t="str">
        <f aca="false">IF($G1698="","","同時")</f>
        <v/>
      </c>
      <c r="M1698" s="2" t="str">
        <f aca="false">IF($G1698="","",IF(ISNA(MATCH($G1698,個別指定!$A:$A,0)),"行なし",""))</f>
        <v/>
      </c>
      <c r="N1698" s="2" t="str">
        <f aca="false">IF($G1698="","",IF(COUNTIF($G$2:$G$4460,$G1698)&gt;1,"重複",""))</f>
        <v/>
      </c>
    </row>
    <row r="1699" customFormat="false" ht="16.5" hidden="false" customHeight="true" outlineLevel="0" collapsed="false">
      <c r="A1699" s="2" t="s">
        <v>416</v>
      </c>
      <c r="B1699" s="2" t="s">
        <v>420</v>
      </c>
      <c r="C1699" s="2" t="s">
        <v>31</v>
      </c>
      <c r="D1699" s="2" t="str">
        <f aca="false">IF(3キー同時!$B$45="","",3キー同時!$B$45)</f>
        <v>j</v>
      </c>
      <c r="E1699" s="2" t="str">
        <f aca="false">IF(3キー同時!$G$45="","",3キー同時!$G$45)</f>
        <v>i</v>
      </c>
      <c r="F1699" s="2" t="str">
        <f aca="false">""</f>
        <v/>
      </c>
      <c r="G1699" s="2" t="str">
        <f aca="false">IF(OR(3キー同時!$B$45="",3キー同時!$G$45=""),"",IF(3キー同時!AK51="","",SUBSTITUTE(SUBSTITUTE(3キー同時!AK51," ",""),"　","")))</f>
        <v/>
      </c>
      <c r="H1699" s="2" t="str">
        <f aca="false">IF($G1699="","",3キー同時!$B$45)</f>
        <v/>
      </c>
      <c r="I1699" s="2" t="str">
        <f aca="false">IF($G1699="","",3キー同時!$G$45)</f>
        <v/>
      </c>
      <c r="J1699" s="2" t="str">
        <f aca="false">IF($G1699="","","k")</f>
        <v/>
      </c>
      <c r="K1699" s="2" t="str">
        <f aca="false">""</f>
        <v/>
      </c>
      <c r="L1699" s="2" t="str">
        <f aca="false">IF($G1699="","","同時")</f>
        <v/>
      </c>
      <c r="M1699" s="2" t="str">
        <f aca="false">IF($G1699="","",IF(ISNA(MATCH($G1699,個別指定!$A:$A,0)),"行なし",""))</f>
        <v/>
      </c>
      <c r="N1699" s="2" t="str">
        <f aca="false">IF($G1699="","",IF(COUNTIF($G$2:$G$4460,$G1699)&gt;1,"重複",""))</f>
        <v/>
      </c>
    </row>
    <row r="1700" customFormat="false" ht="16.5" hidden="false" customHeight="true" outlineLevel="0" collapsed="false">
      <c r="A1700" s="2" t="s">
        <v>416</v>
      </c>
      <c r="B1700" s="2" t="s">
        <v>420</v>
      </c>
      <c r="C1700" s="2" t="s">
        <v>32</v>
      </c>
      <c r="D1700" s="2" t="str">
        <f aca="false">IF(3キー同時!$B$45="","",3キー同時!$B$45)</f>
        <v>j</v>
      </c>
      <c r="E1700" s="2" t="str">
        <f aca="false">IF(3キー同時!$G$45="","",3キー同時!$G$45)</f>
        <v>i</v>
      </c>
      <c r="F1700" s="2" t="str">
        <f aca="false">""</f>
        <v/>
      </c>
      <c r="G1700" s="2" t="str">
        <f aca="false">IF(OR(3キー同時!$B$45="",3キー同時!$G$45=""),"",IF(3キー同時!AO51="","",SUBSTITUTE(SUBSTITUTE(3キー同時!AO51," ",""),"　","")))</f>
        <v/>
      </c>
      <c r="H1700" s="2" t="str">
        <f aca="false">IF($G1700="","",3キー同時!$B$45)</f>
        <v/>
      </c>
      <c r="I1700" s="2" t="str">
        <f aca="false">IF($G1700="","",3キー同時!$G$45)</f>
        <v/>
      </c>
      <c r="J1700" s="2" t="str">
        <f aca="false">IF($G1700="","","l")</f>
        <v/>
      </c>
      <c r="K1700" s="2" t="str">
        <f aca="false">""</f>
        <v/>
      </c>
      <c r="L1700" s="2" t="str">
        <f aca="false">IF($G1700="","","同時")</f>
        <v/>
      </c>
      <c r="M1700" s="2" t="str">
        <f aca="false">IF($G1700="","",IF(ISNA(MATCH($G1700,個別指定!$A:$A,0)),"行なし",""))</f>
        <v/>
      </c>
      <c r="N1700" s="2" t="str">
        <f aca="false">IF($G1700="","",IF(COUNTIF($G$2:$G$4460,$G1700)&gt;1,"重複",""))</f>
        <v/>
      </c>
    </row>
    <row r="1701" customFormat="false" ht="16.5" hidden="false" customHeight="true" outlineLevel="0" collapsed="false">
      <c r="A1701" s="2" t="s">
        <v>416</v>
      </c>
      <c r="B1701" s="2" t="s">
        <v>420</v>
      </c>
      <c r="C1701" s="2" t="s">
        <v>33</v>
      </c>
      <c r="D1701" s="2" t="str">
        <f aca="false">IF(3キー同時!$B$45="","",3キー同時!$B$45)</f>
        <v>j</v>
      </c>
      <c r="E1701" s="2" t="str">
        <f aca="false">IF(3キー同時!$G$45="","",3キー同時!$G$45)</f>
        <v>i</v>
      </c>
      <c r="F1701" s="2" t="str">
        <f aca="false">""</f>
        <v/>
      </c>
      <c r="G1701" s="2" t="str">
        <f aca="false">IF(OR(3キー同時!$B$45="",3キー同時!$G$45=""),"",IF(3キー同時!AS51="","",SUBSTITUTE(SUBSTITUTE(3キー同時!AS51," ",""),"　","")))</f>
        <v/>
      </c>
      <c r="H1701" s="2" t="str">
        <f aca="false">IF($G1701="","",3キー同時!$B$45)</f>
        <v/>
      </c>
      <c r="I1701" s="2" t="str">
        <f aca="false">IF($G1701="","",3キー同時!$G$45)</f>
        <v/>
      </c>
      <c r="J1701" s="2" t="str">
        <f aca="false">IF($G1701="","",";")</f>
        <v/>
      </c>
      <c r="K1701" s="2" t="str">
        <f aca="false">""</f>
        <v/>
      </c>
      <c r="L1701" s="2" t="str">
        <f aca="false">IF($G1701="","","同時")</f>
        <v/>
      </c>
      <c r="M1701" s="2" t="str">
        <f aca="false">IF($G1701="","",IF(ISNA(MATCH($G1701,個別指定!$A:$A,0)),"行なし",""))</f>
        <v/>
      </c>
      <c r="N1701" s="2" t="str">
        <f aca="false">IF($G1701="","",IF(COUNTIF($G$2:$G$4460,$G1701)&gt;1,"重複",""))</f>
        <v/>
      </c>
    </row>
    <row r="1702" customFormat="false" ht="16.5" hidden="false" customHeight="true" outlineLevel="0" collapsed="false">
      <c r="A1702" s="2" t="s">
        <v>416</v>
      </c>
      <c r="B1702" s="2" t="s">
        <v>420</v>
      </c>
      <c r="C1702" s="2" t="s">
        <v>34</v>
      </c>
      <c r="D1702" s="2" t="str">
        <f aca="false">IF(3キー同時!$B$45="","",3キー同時!$B$45)</f>
        <v>j</v>
      </c>
      <c r="E1702" s="2" t="str">
        <f aca="false">IF(3キー同時!$G$45="","",3キー同時!$G$45)</f>
        <v>i</v>
      </c>
      <c r="F1702" s="2" t="str">
        <f aca="false">""</f>
        <v/>
      </c>
      <c r="G1702" s="2" t="str">
        <f aca="false">IF(OR(3キー同時!$B$45="",3キー同時!$G$45=""),"",IF(3キー同時!AW51="","",SUBSTITUTE(SUBSTITUTE(3キー同時!AW51," ",""),"　","")))</f>
        <v/>
      </c>
      <c r="H1702" s="2" t="str">
        <f aca="false">IF($G1702="","",3キー同時!$B$45)</f>
        <v/>
      </c>
      <c r="I1702" s="2" t="str">
        <f aca="false">IF($G1702="","",3キー同時!$G$45)</f>
        <v/>
      </c>
      <c r="J1702" s="2" t="str">
        <f aca="false">IF($G1702="","","'")</f>
        <v/>
      </c>
      <c r="K1702" s="2" t="str">
        <f aca="false">""</f>
        <v/>
      </c>
      <c r="L1702" s="2" t="str">
        <f aca="false">IF($G1702="","","同時")</f>
        <v/>
      </c>
      <c r="M1702" s="2" t="str">
        <f aca="false">IF($G1702="","",IF(ISNA(MATCH($G1702,個別指定!$A:$A,0)),"行なし",""))</f>
        <v/>
      </c>
      <c r="N1702" s="2" t="str">
        <f aca="false">IF($G1702="","",IF(COUNTIF($G$2:$G$4460,$G1702)&gt;1,"重複",""))</f>
        <v/>
      </c>
    </row>
    <row r="1703" customFormat="false" ht="16.5" hidden="false" customHeight="true" outlineLevel="0" collapsed="false">
      <c r="A1703" s="2" t="s">
        <v>416</v>
      </c>
      <c r="B1703" s="2" t="s">
        <v>420</v>
      </c>
      <c r="C1703" s="2" t="s">
        <v>35</v>
      </c>
      <c r="D1703" s="2" t="str">
        <f aca="false">IF(3キー同時!$B$45="","",3キー同時!$B$45)</f>
        <v>j</v>
      </c>
      <c r="E1703" s="2" t="str">
        <f aca="false">IF(3キー同時!$G$45="","",3キー同時!$G$45)</f>
        <v>i</v>
      </c>
      <c r="F1703" s="2" t="str">
        <f aca="false">""</f>
        <v/>
      </c>
      <c r="G1703" s="2" t="str">
        <f aca="false">IF(OR(3キー同時!$B$45="",3キー同時!$G$45=""),"",IF(3キー同時!K53="","",SUBSTITUTE(SUBSTITUTE(3キー同時!K53," ",""),"　","")))</f>
        <v/>
      </c>
      <c r="H1703" s="2" t="str">
        <f aca="false">IF($G1703="","",3キー同時!$B$45)</f>
        <v/>
      </c>
      <c r="I1703" s="2" t="str">
        <f aca="false">IF($G1703="","",3キー同時!$G$45)</f>
        <v/>
      </c>
      <c r="J1703" s="2" t="str">
        <f aca="false">IF($G1703="","","z")</f>
        <v/>
      </c>
      <c r="K1703" s="2" t="str">
        <f aca="false">""</f>
        <v/>
      </c>
      <c r="L1703" s="2" t="str">
        <f aca="false">IF($G1703="","","同時")</f>
        <v/>
      </c>
      <c r="M1703" s="2" t="str">
        <f aca="false">IF($G1703="","",IF(ISNA(MATCH($G1703,個別指定!$A:$A,0)),"行なし",""))</f>
        <v/>
      </c>
      <c r="N1703" s="2" t="str">
        <f aca="false">IF($G1703="","",IF(COUNTIF($G$2:$G$4460,$G1703)&gt;1,"重複",""))</f>
        <v/>
      </c>
    </row>
    <row r="1704" customFormat="false" ht="16.5" hidden="false" customHeight="true" outlineLevel="0" collapsed="false">
      <c r="A1704" s="2" t="s">
        <v>416</v>
      </c>
      <c r="B1704" s="2" t="s">
        <v>420</v>
      </c>
      <c r="C1704" s="2" t="s">
        <v>36</v>
      </c>
      <c r="D1704" s="2" t="str">
        <f aca="false">IF(3キー同時!$B$45="","",3キー同時!$B$45)</f>
        <v>j</v>
      </c>
      <c r="E1704" s="2" t="str">
        <f aca="false">IF(3キー同時!$G$45="","",3キー同時!$G$45)</f>
        <v>i</v>
      </c>
      <c r="F1704" s="2" t="str">
        <f aca="false">""</f>
        <v/>
      </c>
      <c r="G1704" s="2" t="str">
        <f aca="false">IF(OR(3キー同時!$B$45="",3キー同時!$G$45=""),"",IF(3キー同時!O53="","",SUBSTITUTE(SUBSTITUTE(3キー同時!O53," ",""),"　","")))</f>
        <v>びょ</v>
      </c>
      <c r="H1704" s="2" t="str">
        <f aca="false">IF($G1704="","",3キー同時!$B$45)</f>
        <v>j</v>
      </c>
      <c r="I1704" s="2" t="str">
        <f aca="false">IF($G1704="","",3キー同時!$G$45)</f>
        <v>i</v>
      </c>
      <c r="J1704" s="2" t="str">
        <f aca="false">IF($G1704="","","x")</f>
        <v>x</v>
      </c>
      <c r="K1704" s="2" t="str">
        <f aca="false">""</f>
        <v/>
      </c>
      <c r="L1704" s="2" t="str">
        <f aca="false">IF($G1704="","","同時")</f>
        <v>同時</v>
      </c>
      <c r="M1704" s="2" t="str">
        <f aca="false">IF($G1704="","",IF(ISNA(MATCH($G1704,個別指定!$A:$A,0)),"行なし",""))</f>
        <v/>
      </c>
      <c r="N1704" s="2" t="str">
        <f aca="false">IF($G1704="","",IF(COUNTIF($G$2:$G$4460,$G1704)&gt;1,"重複",""))</f>
        <v/>
      </c>
    </row>
    <row r="1705" customFormat="false" ht="16.5" hidden="false" customHeight="true" outlineLevel="0" collapsed="false">
      <c r="A1705" s="2" t="s">
        <v>416</v>
      </c>
      <c r="B1705" s="2" t="s">
        <v>420</v>
      </c>
      <c r="C1705" s="2" t="s">
        <v>37</v>
      </c>
      <c r="D1705" s="2" t="str">
        <f aca="false">IF(3キー同時!$B$45="","",3キー同時!$B$45)</f>
        <v>j</v>
      </c>
      <c r="E1705" s="2" t="str">
        <f aca="false">IF(3キー同時!$G$45="","",3キー同時!$G$45)</f>
        <v>i</v>
      </c>
      <c r="F1705" s="2" t="str">
        <f aca="false">""</f>
        <v/>
      </c>
      <c r="G1705" s="2" t="str">
        <f aca="false">IF(OR(3キー同時!$B$45="",3キー同時!$G$45=""),"",IF(3キー同時!S53="","",SUBSTITUTE(SUBSTITUTE(3キー同時!S53," ",""),"　","")))</f>
        <v/>
      </c>
      <c r="H1705" s="2" t="str">
        <f aca="false">IF($G1705="","",3キー同時!$B$45)</f>
        <v/>
      </c>
      <c r="I1705" s="2" t="str">
        <f aca="false">IF($G1705="","",3キー同時!$G$45)</f>
        <v/>
      </c>
      <c r="J1705" s="2" t="str">
        <f aca="false">IF($G1705="","","c")</f>
        <v/>
      </c>
      <c r="K1705" s="2" t="str">
        <f aca="false">""</f>
        <v/>
      </c>
      <c r="L1705" s="2" t="str">
        <f aca="false">IF($G1705="","","同時")</f>
        <v/>
      </c>
      <c r="M1705" s="2" t="str">
        <f aca="false">IF($G1705="","",IF(ISNA(MATCH($G1705,個別指定!$A:$A,0)),"行なし",""))</f>
        <v/>
      </c>
      <c r="N1705" s="2" t="str">
        <f aca="false">IF($G1705="","",IF(COUNTIF($G$2:$G$4460,$G1705)&gt;1,"重複",""))</f>
        <v/>
      </c>
    </row>
    <row r="1706" customFormat="false" ht="16.5" hidden="false" customHeight="true" outlineLevel="0" collapsed="false">
      <c r="A1706" s="2" t="s">
        <v>416</v>
      </c>
      <c r="B1706" s="2" t="s">
        <v>420</v>
      </c>
      <c r="C1706" s="2" t="s">
        <v>38</v>
      </c>
      <c r="D1706" s="2" t="str">
        <f aca="false">IF(3キー同時!$B$45="","",3キー同時!$B$45)</f>
        <v>j</v>
      </c>
      <c r="E1706" s="2" t="str">
        <f aca="false">IF(3キー同時!$G$45="","",3キー同時!$G$45)</f>
        <v>i</v>
      </c>
      <c r="F1706" s="2" t="str">
        <f aca="false">""</f>
        <v/>
      </c>
      <c r="G1706" s="2" t="str">
        <f aca="false">IF(OR(3キー同時!$B$45="",3キー同時!$G$45=""),"",IF(3キー同時!W53="","",SUBSTITUTE(SUBSTITUTE(3キー同時!W53," ",""),"　","")))</f>
        <v/>
      </c>
      <c r="H1706" s="2" t="str">
        <f aca="false">IF($G1706="","",3キー同時!$B$45)</f>
        <v/>
      </c>
      <c r="I1706" s="2" t="str">
        <f aca="false">IF($G1706="","",3キー同時!$G$45)</f>
        <v/>
      </c>
      <c r="J1706" s="2" t="str">
        <f aca="false">IF($G1706="","","v")</f>
        <v/>
      </c>
      <c r="K1706" s="2" t="str">
        <f aca="false">""</f>
        <v/>
      </c>
      <c r="L1706" s="2" t="str">
        <f aca="false">IF($G1706="","","同時")</f>
        <v/>
      </c>
      <c r="M1706" s="2" t="str">
        <f aca="false">IF($G1706="","",IF(ISNA(MATCH($G1706,個別指定!$A:$A,0)),"行なし",""))</f>
        <v/>
      </c>
      <c r="N1706" s="2" t="str">
        <f aca="false">IF($G1706="","",IF(COUNTIF($G$2:$G$4460,$G1706)&gt;1,"重複",""))</f>
        <v/>
      </c>
    </row>
    <row r="1707" customFormat="false" ht="16.5" hidden="false" customHeight="true" outlineLevel="0" collapsed="false">
      <c r="A1707" s="2" t="s">
        <v>416</v>
      </c>
      <c r="B1707" s="2" t="s">
        <v>420</v>
      </c>
      <c r="C1707" s="2" t="s">
        <v>39</v>
      </c>
      <c r="D1707" s="2" t="str">
        <f aca="false">IF(3キー同時!$B$45="","",3キー同時!$B$45)</f>
        <v>j</v>
      </c>
      <c r="E1707" s="2" t="str">
        <f aca="false">IF(3キー同時!$G$45="","",3キー同時!$G$45)</f>
        <v>i</v>
      </c>
      <c r="F1707" s="2" t="str">
        <f aca="false">""</f>
        <v/>
      </c>
      <c r="G1707" s="2" t="str">
        <f aca="false">IF(OR(3キー同時!$B$45="",3キー同時!$G$45=""),"",IF(3キー同時!AA53="","",SUBSTITUTE(SUBSTITUTE(3キー同時!AA53," ",""),"　","")))</f>
        <v/>
      </c>
      <c r="H1707" s="2" t="str">
        <f aca="false">IF($G1707="","",3キー同時!$B$45)</f>
        <v/>
      </c>
      <c r="I1707" s="2" t="str">
        <f aca="false">IF($G1707="","",3キー同時!$G$45)</f>
        <v/>
      </c>
      <c r="J1707" s="2" t="str">
        <f aca="false">IF($G1707="","","b")</f>
        <v/>
      </c>
      <c r="K1707" s="2" t="str">
        <f aca="false">""</f>
        <v/>
      </c>
      <c r="L1707" s="2" t="str">
        <f aca="false">IF($G1707="","","同時")</f>
        <v/>
      </c>
      <c r="M1707" s="2" t="str">
        <f aca="false">IF($G1707="","",IF(ISNA(MATCH($G1707,個別指定!$A:$A,0)),"行なし",""))</f>
        <v/>
      </c>
      <c r="N1707" s="2" t="str">
        <f aca="false">IF($G1707="","",IF(COUNTIF($G$2:$G$4460,$G1707)&gt;1,"重複",""))</f>
        <v/>
      </c>
    </row>
    <row r="1708" customFormat="false" ht="16.5" hidden="false" customHeight="true" outlineLevel="0" collapsed="false">
      <c r="A1708" s="2" t="s">
        <v>416</v>
      </c>
      <c r="B1708" s="2" t="s">
        <v>420</v>
      </c>
      <c r="C1708" s="2" t="s">
        <v>40</v>
      </c>
      <c r="D1708" s="2" t="str">
        <f aca="false">IF(3キー同時!$B$45="","",3キー同時!$B$45)</f>
        <v>j</v>
      </c>
      <c r="E1708" s="2" t="str">
        <f aca="false">IF(3キー同時!$G$45="","",3キー同時!$G$45)</f>
        <v>i</v>
      </c>
      <c r="F1708" s="2" t="str">
        <f aca="false">""</f>
        <v/>
      </c>
      <c r="G1708" s="2" t="str">
        <f aca="false">IF(OR(3キー同時!$B$45="",3キー同時!$G$45=""),"",IF(3キー同時!AE53="","",SUBSTITUTE(SUBSTITUTE(3キー同時!AE53," ",""),"　","")))</f>
        <v/>
      </c>
      <c r="H1708" s="2" t="str">
        <f aca="false">IF($G1708="","",3キー同時!$B$45)</f>
        <v/>
      </c>
      <c r="I1708" s="2" t="str">
        <f aca="false">IF($G1708="","",3キー同時!$G$45)</f>
        <v/>
      </c>
      <c r="J1708" s="2" t="str">
        <f aca="false">IF($G1708="","","n")</f>
        <v/>
      </c>
      <c r="K1708" s="2" t="str">
        <f aca="false">""</f>
        <v/>
      </c>
      <c r="L1708" s="2" t="str">
        <f aca="false">IF($G1708="","","同時")</f>
        <v/>
      </c>
      <c r="M1708" s="2" t="str">
        <f aca="false">IF($G1708="","",IF(ISNA(MATCH($G1708,個別指定!$A:$A,0)),"行なし",""))</f>
        <v/>
      </c>
      <c r="N1708" s="2" t="str">
        <f aca="false">IF($G1708="","",IF(COUNTIF($G$2:$G$4460,$G1708)&gt;1,"重複",""))</f>
        <v/>
      </c>
    </row>
    <row r="1709" customFormat="false" ht="16.5" hidden="false" customHeight="true" outlineLevel="0" collapsed="false">
      <c r="A1709" s="2" t="s">
        <v>416</v>
      </c>
      <c r="B1709" s="2" t="s">
        <v>420</v>
      </c>
      <c r="C1709" s="2" t="s">
        <v>41</v>
      </c>
      <c r="D1709" s="2" t="str">
        <f aca="false">IF(3キー同時!$B$45="","",3キー同時!$B$45)</f>
        <v>j</v>
      </c>
      <c r="E1709" s="2" t="str">
        <f aca="false">IF(3キー同時!$G$45="","",3キー同時!$G$45)</f>
        <v>i</v>
      </c>
      <c r="F1709" s="2" t="str">
        <f aca="false">""</f>
        <v/>
      </c>
      <c r="G1709" s="2" t="str">
        <f aca="false">IF(OR(3キー同時!$B$45="",3キー同時!$G$45=""),"",IF(3キー同時!AI53="","",SUBSTITUTE(SUBSTITUTE(3キー同時!AI53," ",""),"　","")))</f>
        <v/>
      </c>
      <c r="H1709" s="2" t="str">
        <f aca="false">IF($G1709="","",3キー同時!$B$45)</f>
        <v/>
      </c>
      <c r="I1709" s="2" t="str">
        <f aca="false">IF($G1709="","",3キー同時!$G$45)</f>
        <v/>
      </c>
      <c r="J1709" s="2" t="str">
        <f aca="false">IF($G1709="","","m")</f>
        <v/>
      </c>
      <c r="K1709" s="2" t="str">
        <f aca="false">""</f>
        <v/>
      </c>
      <c r="L1709" s="2" t="str">
        <f aca="false">IF($G1709="","","同時")</f>
        <v/>
      </c>
      <c r="M1709" s="2" t="str">
        <f aca="false">IF($G1709="","",IF(ISNA(MATCH($G1709,個別指定!$A:$A,0)),"行なし",""))</f>
        <v/>
      </c>
      <c r="N1709" s="2" t="str">
        <f aca="false">IF($G1709="","",IF(COUNTIF($G$2:$G$4460,$G1709)&gt;1,"重複",""))</f>
        <v/>
      </c>
    </row>
    <row r="1710" customFormat="false" ht="16.5" hidden="false" customHeight="true" outlineLevel="0" collapsed="false">
      <c r="A1710" s="2" t="s">
        <v>416</v>
      </c>
      <c r="B1710" s="2" t="s">
        <v>420</v>
      </c>
      <c r="C1710" s="2" t="s">
        <v>42</v>
      </c>
      <c r="D1710" s="2" t="str">
        <f aca="false">IF(3キー同時!$B$45="","",3キー同時!$B$45)</f>
        <v>j</v>
      </c>
      <c r="E1710" s="2" t="str">
        <f aca="false">IF(3キー同時!$G$45="","",3キー同時!$G$45)</f>
        <v>i</v>
      </c>
      <c r="F1710" s="2" t="str">
        <f aca="false">""</f>
        <v/>
      </c>
      <c r="G1710" s="2" t="str">
        <f aca="false">IF(OR(3キー同時!$B$45="",3キー同時!$G$45=""),"",IF(3キー同時!AM53="","",SUBSTITUTE(SUBSTITUTE(3キー同時!AM53," ",""),"　","")))</f>
        <v/>
      </c>
      <c r="H1710" s="2" t="str">
        <f aca="false">IF($G1710="","",3キー同時!$B$45)</f>
        <v/>
      </c>
      <c r="I1710" s="2" t="str">
        <f aca="false">IF($G1710="","",3キー同時!$G$45)</f>
        <v/>
      </c>
      <c r="J1710" s="2" t="str">
        <f aca="false">IF($G1710="","",",")</f>
        <v/>
      </c>
      <c r="K1710" s="2" t="str">
        <f aca="false">""</f>
        <v/>
      </c>
      <c r="L1710" s="2" t="str">
        <f aca="false">IF($G1710="","","同時")</f>
        <v/>
      </c>
      <c r="M1710" s="2" t="str">
        <f aca="false">IF($G1710="","",IF(ISNA(MATCH($G1710,個別指定!$A:$A,0)),"行なし",""))</f>
        <v/>
      </c>
      <c r="N1710" s="2" t="str">
        <f aca="false">IF($G1710="","",IF(COUNTIF($G$2:$G$4460,$G1710)&gt;1,"重複",""))</f>
        <v/>
      </c>
    </row>
    <row r="1711" customFormat="false" ht="16.5" hidden="false" customHeight="true" outlineLevel="0" collapsed="false">
      <c r="A1711" s="2" t="s">
        <v>416</v>
      </c>
      <c r="B1711" s="2" t="s">
        <v>420</v>
      </c>
      <c r="C1711" s="2" t="s">
        <v>43</v>
      </c>
      <c r="D1711" s="2" t="str">
        <f aca="false">IF(3キー同時!$B$45="","",3キー同時!$B$45)</f>
        <v>j</v>
      </c>
      <c r="E1711" s="2" t="str">
        <f aca="false">IF(3キー同時!$G$45="","",3キー同時!$G$45)</f>
        <v>i</v>
      </c>
      <c r="F1711" s="2" t="str">
        <f aca="false">""</f>
        <v/>
      </c>
      <c r="G1711" s="2" t="str">
        <f aca="false">IF(OR(3キー同時!$B$45="",3キー同時!$G$45=""),"",IF(3キー同時!AQ53="","",SUBSTITUTE(SUBSTITUTE(3キー同時!AQ53," ",""),"　","")))</f>
        <v/>
      </c>
      <c r="H1711" s="2" t="str">
        <f aca="false">IF($G1711="","",3キー同時!$B$45)</f>
        <v/>
      </c>
      <c r="I1711" s="2" t="str">
        <f aca="false">IF($G1711="","",3キー同時!$G$45)</f>
        <v/>
      </c>
      <c r="J1711" s="2" t="str">
        <f aca="false">IF($G1711="","",".")</f>
        <v/>
      </c>
      <c r="K1711" s="2" t="str">
        <f aca="false">""</f>
        <v/>
      </c>
      <c r="L1711" s="2" t="str">
        <f aca="false">IF($G1711="","","同時")</f>
        <v/>
      </c>
      <c r="M1711" s="2" t="str">
        <f aca="false">IF($G1711="","",IF(ISNA(MATCH($G1711,個別指定!$A:$A,0)),"行なし",""))</f>
        <v/>
      </c>
      <c r="N1711" s="2" t="str">
        <f aca="false">IF($G1711="","",IF(COUNTIF($G$2:$G$4460,$G1711)&gt;1,"重複",""))</f>
        <v/>
      </c>
    </row>
    <row r="1712" customFormat="false" ht="16.5" hidden="false" customHeight="true" outlineLevel="0" collapsed="false">
      <c r="A1712" s="2" t="s">
        <v>416</v>
      </c>
      <c r="B1712" s="2" t="s">
        <v>420</v>
      </c>
      <c r="C1712" s="2" t="s">
        <v>44</v>
      </c>
      <c r="D1712" s="2" t="str">
        <f aca="false">IF(3キー同時!$B$45="","",3キー同時!$B$45)</f>
        <v>j</v>
      </c>
      <c r="E1712" s="2" t="str">
        <f aca="false">IF(3キー同時!$G$45="","",3キー同時!$G$45)</f>
        <v>i</v>
      </c>
      <c r="F1712" s="2" t="str">
        <f aca="false">""</f>
        <v/>
      </c>
      <c r="G1712" s="2" t="str">
        <f aca="false">IF(OR(3キー同時!$B$45="",3キー同時!$G$45=""),"",IF(3キー同時!AU53="","",SUBSTITUTE(SUBSTITUTE(3キー同時!AU53," ",""),"　","")))</f>
        <v/>
      </c>
      <c r="H1712" s="2" t="str">
        <f aca="false">IF($G1712="","",3キー同時!$B$45)</f>
        <v/>
      </c>
      <c r="I1712" s="2" t="str">
        <f aca="false">IF($G1712="","",3キー同時!$G$45)</f>
        <v/>
      </c>
      <c r="J1712" s="2" t="str">
        <f aca="false">IF($G1712="","","/")</f>
        <v/>
      </c>
      <c r="K1712" s="2" t="str">
        <f aca="false">""</f>
        <v/>
      </c>
      <c r="L1712" s="2" t="str">
        <f aca="false">IF($G1712="","","同時")</f>
        <v/>
      </c>
      <c r="M1712" s="2" t="str">
        <f aca="false">IF($G1712="","",IF(ISNA(MATCH($G1712,個別指定!$A:$A,0)),"行なし",""))</f>
        <v/>
      </c>
      <c r="N1712" s="2" t="str">
        <f aca="false">IF($G1712="","",IF(COUNTIF($G$2:$G$4460,$G1712)&gt;1,"重複",""))</f>
        <v/>
      </c>
    </row>
    <row r="1713" customFormat="false" ht="16.5" hidden="false" customHeight="true" outlineLevel="0" collapsed="false">
      <c r="A1713" s="2" t="s">
        <v>416</v>
      </c>
      <c r="B1713" s="2" t="s">
        <v>420</v>
      </c>
      <c r="C1713" s="2" t="s">
        <v>48</v>
      </c>
      <c r="D1713" s="2" t="str">
        <f aca="false">IF(3キー同時!$B$45="","",3キー同時!$B$45)</f>
        <v>j</v>
      </c>
      <c r="E1713" s="2" t="str">
        <f aca="false">IF(3キー同時!$G$45="","",3キー同時!$G$45)</f>
        <v>i</v>
      </c>
      <c r="F1713" s="2" t="str">
        <f aca="false">""</f>
        <v/>
      </c>
      <c r="G1713" s="2" t="str">
        <f aca="false">IF(OR(3キー同時!$B$45="",3キー同時!$G$45=""),"",IF(3キー同時!P55="","",SUBSTITUTE(SUBSTITUTE(3キー同時!P55," ",""),"　","")))</f>
        <v/>
      </c>
      <c r="H1713" s="2" t="str">
        <f aca="false">IF($G1713="","",3キー同時!$B$45)</f>
        <v/>
      </c>
      <c r="I1713" s="2" t="str">
        <f aca="false">IF($G1713="","",3キー同時!$G$45)</f>
        <v/>
      </c>
      <c r="J1713" s="2" t="str">
        <f aca="false">IF($G1713="","","muhenkan")</f>
        <v/>
      </c>
      <c r="K1713" s="2" t="str">
        <f aca="false">""</f>
        <v/>
      </c>
      <c r="L1713" s="2" t="str">
        <f aca="false">IF($G1713="","","同時")</f>
        <v/>
      </c>
      <c r="M1713" s="2" t="str">
        <f aca="false">IF($G1713="","",IF(ISNA(MATCH($G1713,個別指定!$A:$A,0)),"行なし",""))</f>
        <v/>
      </c>
      <c r="N1713" s="2" t="str">
        <f aca="false">IF($G1713="","",IF(COUNTIF($G$2:$G$4460,$G1713)&gt;1,"重複",""))</f>
        <v/>
      </c>
    </row>
    <row r="1714" customFormat="false" ht="16.5" hidden="false" customHeight="true" outlineLevel="0" collapsed="false">
      <c r="A1714" s="2" t="s">
        <v>416</v>
      </c>
      <c r="B1714" s="2" t="s">
        <v>420</v>
      </c>
      <c r="C1714" s="2" t="s">
        <v>50</v>
      </c>
      <c r="D1714" s="2" t="str">
        <f aca="false">IF(3キー同時!$B$45="","",3キー同時!$B$45)</f>
        <v>j</v>
      </c>
      <c r="E1714" s="2" t="str">
        <f aca="false">IF(3キー同時!$G$45="","",3キー同時!$G$45)</f>
        <v>i</v>
      </c>
      <c r="F1714" s="2" t="str">
        <f aca="false">""</f>
        <v/>
      </c>
      <c r="G1714" s="2" t="str">
        <f aca="false">IF(OR(3キー同時!$B$45="",3キー同時!$G$45=""),"",IF(3キー同時!T55="","",SUBSTITUTE(SUBSTITUTE(3キー同時!T55," ",""),"　","")))</f>
        <v/>
      </c>
      <c r="H1714" s="2" t="str">
        <f aca="false">IF($G1714="","",3キー同時!$B$45)</f>
        <v/>
      </c>
      <c r="I1714" s="2" t="str">
        <f aca="false">IF($G1714="","",3キー同時!$G$45)</f>
        <v/>
      </c>
      <c r="J1714" s="2" t="str">
        <f aca="false">IF($G1714="","","space")</f>
        <v/>
      </c>
      <c r="K1714" s="2" t="str">
        <f aca="false">""</f>
        <v/>
      </c>
      <c r="L1714" s="2" t="str">
        <f aca="false">IF($G1714="","","同時")</f>
        <v/>
      </c>
      <c r="M1714" s="2" t="str">
        <f aca="false">IF($G1714="","",IF(ISNA(MATCH($G1714,個別指定!$A:$A,0)),"行なし",""))</f>
        <v/>
      </c>
      <c r="N1714" s="2" t="str">
        <f aca="false">IF($G1714="","",IF(COUNTIF($G$2:$G$4460,$G1714)&gt;1,"重複",""))</f>
        <v/>
      </c>
    </row>
    <row r="1715" customFormat="false" ht="16.5" hidden="false" customHeight="true" outlineLevel="0" collapsed="false">
      <c r="A1715" s="2" t="s">
        <v>416</v>
      </c>
      <c r="B1715" s="2" t="s">
        <v>420</v>
      </c>
      <c r="C1715" s="2" t="s">
        <v>45</v>
      </c>
      <c r="D1715" s="2" t="str">
        <f aca="false">IF(3キー同時!$B$45="","",3キー同時!$B$45)</f>
        <v>j</v>
      </c>
      <c r="E1715" s="2" t="str">
        <f aca="false">IF(3キー同時!$G$45="","",3キー同時!$G$45)</f>
        <v>i</v>
      </c>
      <c r="F1715" s="2" t="str">
        <f aca="false">""</f>
        <v/>
      </c>
      <c r="G1715" s="2" t="str">
        <f aca="false">IF(OR(3キー同時!$B$45="",3キー同時!$G$45=""),"",IF(3キー同時!AL55="","",SUBSTITUTE(SUBSTITUTE(3キー同時!AL55," ",""),"　","")))</f>
        <v/>
      </c>
      <c r="H1715" s="2" t="str">
        <f aca="false">IF($G1715="","",3キー同時!$B$45)</f>
        <v/>
      </c>
      <c r="I1715" s="2" t="str">
        <f aca="false">IF($G1715="","",3キー同時!$G$45)</f>
        <v/>
      </c>
      <c r="J1715" s="2" t="str">
        <f aca="false">IF($G1715="","","henkan")</f>
        <v/>
      </c>
      <c r="K1715" s="2" t="str">
        <f aca="false">""</f>
        <v/>
      </c>
      <c r="L1715" s="2" t="str">
        <f aca="false">IF($G1715="","","同時")</f>
        <v/>
      </c>
      <c r="M1715" s="2" t="str">
        <f aca="false">IF($G1715="","",IF(ISNA(MATCH($G1715,個別指定!$A:$A,0)),"行なし",""))</f>
        <v/>
      </c>
      <c r="N1715" s="2" t="str">
        <f aca="false">IF($G1715="","",IF(COUNTIF($G$2:$G$4460,$G1715)&gt;1,"重複",""))</f>
        <v/>
      </c>
    </row>
    <row r="1716" customFormat="false" ht="16.5" hidden="false" customHeight="true" outlineLevel="0" collapsed="false">
      <c r="A1716" s="2" t="s">
        <v>416</v>
      </c>
      <c r="B1716" s="2" t="s">
        <v>420</v>
      </c>
      <c r="C1716" s="2" t="s">
        <v>46</v>
      </c>
      <c r="D1716" s="2" t="str">
        <f aca="false">IF(3キー同時!$B$45="","",3キー同時!$B$45)</f>
        <v>j</v>
      </c>
      <c r="E1716" s="2" t="str">
        <f aca="false">IF(3キー同時!$G$45="","",3キー同時!$G$45)</f>
        <v>i</v>
      </c>
      <c r="F1716" s="2" t="str">
        <f aca="false">""</f>
        <v/>
      </c>
      <c r="G1716" s="2" t="str">
        <f aca="false">IF(OR(3キー同時!$B$45="",3キー同時!$G$45=""),"",IF(3キー同時!AP55="","",SUBSTITUTE(SUBSTITUTE(3キー同時!AP55," ",""),"　","")))</f>
        <v/>
      </c>
      <c r="H1716" s="2" t="str">
        <f aca="false">IF($G1716="","",3キー同時!$B$45)</f>
        <v/>
      </c>
      <c r="I1716" s="2" t="str">
        <f aca="false">IF($G1716="","",3キー同時!$G$45)</f>
        <v/>
      </c>
      <c r="J1716" s="2" t="str">
        <f aca="false">IF($G1716="","","kana")</f>
        <v/>
      </c>
      <c r="K1716" s="2" t="str">
        <f aca="false">""</f>
        <v/>
      </c>
      <c r="L1716" s="2" t="str">
        <f aca="false">IF($G1716="","","同時")</f>
        <v/>
      </c>
      <c r="M1716" s="2" t="str">
        <f aca="false">IF($G1716="","",IF(ISNA(MATCH($G1716,個別指定!$A:$A,0)),"行なし",""))</f>
        <v/>
      </c>
      <c r="N1716" s="2" t="str">
        <f aca="false">IF($G1716="","",IF(COUNTIF($G$2:$G$4460,$G1716)&gt;1,"重複",""))</f>
        <v/>
      </c>
    </row>
    <row r="1717" customFormat="false" ht="16.5" hidden="false" customHeight="true" outlineLevel="0" collapsed="false">
      <c r="A1717" s="2" t="s">
        <v>416</v>
      </c>
      <c r="B1717" s="2" t="s">
        <v>421</v>
      </c>
      <c r="C1717" s="2" t="s">
        <v>0</v>
      </c>
      <c r="D1717" s="2" t="str">
        <f aca="false">IF(3キー同時!$B$58="","",3キー同時!$B$58)</f>
        <v>j</v>
      </c>
      <c r="E1717" s="2" t="str">
        <f aca="false">IF(3キー同時!$G$58="","",3キー同時!$G$58)</f>
        <v>p</v>
      </c>
      <c r="F1717" s="2" t="str">
        <f aca="false">""</f>
        <v/>
      </c>
      <c r="G1717" s="2" t="str">
        <f aca="false">IF(OR(3キー同時!$B$58="",3キー同時!$G$58=""),"",IF(3キー同時!F60="","",SUBSTITUTE(SUBSTITUTE(3キー同時!F60," ",""),"　","")))</f>
        <v/>
      </c>
      <c r="H1717" s="2" t="str">
        <f aca="false">IF($G1717="","",3キー同時!$B$58)</f>
        <v/>
      </c>
      <c r="I1717" s="2" t="str">
        <f aca="false">IF($G1717="","",3キー同時!$G$58)</f>
        <v/>
      </c>
      <c r="J1717" s="2" t="str">
        <f aca="false">IF($G1717="","","1")</f>
        <v/>
      </c>
      <c r="K1717" s="2" t="str">
        <f aca="false">""</f>
        <v/>
      </c>
      <c r="L1717" s="2" t="str">
        <f aca="false">IF($G1717="","","同時")</f>
        <v/>
      </c>
      <c r="M1717" s="2" t="str">
        <f aca="false">IF($G1717="","",IF(ISNA(MATCH($G1717,個別指定!$A:$A,0)),"行なし",""))</f>
        <v/>
      </c>
      <c r="N1717" s="2" t="str">
        <f aca="false">IF($G1717="","",IF(COUNTIF($G$2:$G$4460,$G1717)&gt;1,"重複",""))</f>
        <v/>
      </c>
    </row>
    <row r="1718" customFormat="false" ht="16.5" hidden="false" customHeight="true" outlineLevel="0" collapsed="false">
      <c r="A1718" s="2" t="s">
        <v>416</v>
      </c>
      <c r="B1718" s="2" t="s">
        <v>421</v>
      </c>
      <c r="C1718" s="2" t="s">
        <v>1</v>
      </c>
      <c r="D1718" s="2" t="str">
        <f aca="false">IF(3キー同時!$B$58="","",3キー同時!$B$58)</f>
        <v>j</v>
      </c>
      <c r="E1718" s="2" t="str">
        <f aca="false">IF(3キー同時!$G$58="","",3キー同時!$G$58)</f>
        <v>p</v>
      </c>
      <c r="F1718" s="2" t="str">
        <f aca="false">""</f>
        <v/>
      </c>
      <c r="G1718" s="2" t="str">
        <f aca="false">IF(OR(3キー同時!$B$58="",3キー同時!$G$58=""),"",IF(3キー同時!J60="","",SUBSTITUTE(SUBSTITUTE(3キー同時!J60," ",""),"　","")))</f>
        <v/>
      </c>
      <c r="H1718" s="2" t="str">
        <f aca="false">IF($G1718="","",3キー同時!$B$58)</f>
        <v/>
      </c>
      <c r="I1718" s="2" t="str">
        <f aca="false">IF($G1718="","",3キー同時!$G$58)</f>
        <v/>
      </c>
      <c r="J1718" s="2" t="str">
        <f aca="false">IF($G1718="","","2")</f>
        <v/>
      </c>
      <c r="K1718" s="2" t="str">
        <f aca="false">""</f>
        <v/>
      </c>
      <c r="L1718" s="2" t="str">
        <f aca="false">IF($G1718="","","同時")</f>
        <v/>
      </c>
      <c r="M1718" s="2" t="str">
        <f aca="false">IF($G1718="","",IF(ISNA(MATCH($G1718,個別指定!$A:$A,0)),"行なし",""))</f>
        <v/>
      </c>
      <c r="N1718" s="2" t="str">
        <f aca="false">IF($G1718="","",IF(COUNTIF($G$2:$G$4460,$G1718)&gt;1,"重複",""))</f>
        <v/>
      </c>
    </row>
    <row r="1719" customFormat="false" ht="16.5" hidden="false" customHeight="true" outlineLevel="0" collapsed="false">
      <c r="A1719" s="2" t="s">
        <v>416</v>
      </c>
      <c r="B1719" s="2" t="s">
        <v>421</v>
      </c>
      <c r="C1719" s="2" t="s">
        <v>2</v>
      </c>
      <c r="D1719" s="2" t="str">
        <f aca="false">IF(3キー同時!$B$58="","",3キー同時!$B$58)</f>
        <v>j</v>
      </c>
      <c r="E1719" s="2" t="str">
        <f aca="false">IF(3キー同時!$G$58="","",3キー同時!$G$58)</f>
        <v>p</v>
      </c>
      <c r="F1719" s="2" t="str">
        <f aca="false">""</f>
        <v/>
      </c>
      <c r="G1719" s="2" t="str">
        <f aca="false">IF(OR(3キー同時!$B$58="",3キー同時!$G$58=""),"",IF(3キー同時!N60="","",SUBSTITUTE(SUBSTITUTE(3キー同時!N60," ",""),"　","")))</f>
        <v/>
      </c>
      <c r="H1719" s="2" t="str">
        <f aca="false">IF($G1719="","",3キー同時!$B$58)</f>
        <v/>
      </c>
      <c r="I1719" s="2" t="str">
        <f aca="false">IF($G1719="","",3キー同時!$G$58)</f>
        <v/>
      </c>
      <c r="J1719" s="2" t="str">
        <f aca="false">IF($G1719="","","3")</f>
        <v/>
      </c>
      <c r="K1719" s="2" t="str">
        <f aca="false">""</f>
        <v/>
      </c>
      <c r="L1719" s="2" t="str">
        <f aca="false">IF($G1719="","","同時")</f>
        <v/>
      </c>
      <c r="M1719" s="2" t="str">
        <f aca="false">IF($G1719="","",IF(ISNA(MATCH($G1719,個別指定!$A:$A,0)),"行なし",""))</f>
        <v/>
      </c>
      <c r="N1719" s="2" t="str">
        <f aca="false">IF($G1719="","",IF(COUNTIF($G$2:$G$4460,$G1719)&gt;1,"重複",""))</f>
        <v/>
      </c>
    </row>
    <row r="1720" customFormat="false" ht="16.5" hidden="false" customHeight="true" outlineLevel="0" collapsed="false">
      <c r="A1720" s="2" t="s">
        <v>416</v>
      </c>
      <c r="B1720" s="2" t="s">
        <v>421</v>
      </c>
      <c r="C1720" s="2" t="s">
        <v>3</v>
      </c>
      <c r="D1720" s="2" t="str">
        <f aca="false">IF(3キー同時!$B$58="","",3キー同時!$B$58)</f>
        <v>j</v>
      </c>
      <c r="E1720" s="2" t="str">
        <f aca="false">IF(3キー同時!$G$58="","",3キー同時!$G$58)</f>
        <v>p</v>
      </c>
      <c r="F1720" s="2" t="str">
        <f aca="false">""</f>
        <v/>
      </c>
      <c r="G1720" s="2" t="str">
        <f aca="false">IF(OR(3キー同時!$B$58="",3キー同時!$G$58=""),"",IF(3キー同時!R60="","",SUBSTITUTE(SUBSTITUTE(3キー同時!R60," ",""),"　","")))</f>
        <v/>
      </c>
      <c r="H1720" s="2" t="str">
        <f aca="false">IF($G1720="","",3キー同時!$B$58)</f>
        <v/>
      </c>
      <c r="I1720" s="2" t="str">
        <f aca="false">IF($G1720="","",3キー同時!$G$58)</f>
        <v/>
      </c>
      <c r="J1720" s="2" t="str">
        <f aca="false">IF($G1720="","","4")</f>
        <v/>
      </c>
      <c r="K1720" s="2" t="str">
        <f aca="false">""</f>
        <v/>
      </c>
      <c r="L1720" s="2" t="str">
        <f aca="false">IF($G1720="","","同時")</f>
        <v/>
      </c>
      <c r="M1720" s="2" t="str">
        <f aca="false">IF($G1720="","",IF(ISNA(MATCH($G1720,個別指定!$A:$A,0)),"行なし",""))</f>
        <v/>
      </c>
      <c r="N1720" s="2" t="str">
        <f aca="false">IF($G1720="","",IF(COUNTIF($G$2:$G$4460,$G1720)&gt;1,"重複",""))</f>
        <v/>
      </c>
    </row>
    <row r="1721" customFormat="false" ht="16.5" hidden="false" customHeight="true" outlineLevel="0" collapsed="false">
      <c r="A1721" s="2" t="s">
        <v>416</v>
      </c>
      <c r="B1721" s="2" t="s">
        <v>421</v>
      </c>
      <c r="C1721" s="2" t="s">
        <v>4</v>
      </c>
      <c r="D1721" s="2" t="str">
        <f aca="false">IF(3キー同時!$B$58="","",3キー同時!$B$58)</f>
        <v>j</v>
      </c>
      <c r="E1721" s="2" t="str">
        <f aca="false">IF(3キー同時!$G$58="","",3キー同時!$G$58)</f>
        <v>p</v>
      </c>
      <c r="F1721" s="2" t="str">
        <f aca="false">""</f>
        <v/>
      </c>
      <c r="G1721" s="2" t="str">
        <f aca="false">IF(OR(3キー同時!$B$58="",3キー同時!$G$58=""),"",IF(3キー同時!V60="","",SUBSTITUTE(SUBSTITUTE(3キー同時!V60," ",""),"　","")))</f>
        <v/>
      </c>
      <c r="H1721" s="2" t="str">
        <f aca="false">IF($G1721="","",3キー同時!$B$58)</f>
        <v/>
      </c>
      <c r="I1721" s="2" t="str">
        <f aca="false">IF($G1721="","",3キー同時!$G$58)</f>
        <v/>
      </c>
      <c r="J1721" s="2" t="str">
        <f aca="false">IF($G1721="","","5")</f>
        <v/>
      </c>
      <c r="K1721" s="2" t="str">
        <f aca="false">""</f>
        <v/>
      </c>
      <c r="L1721" s="2" t="str">
        <f aca="false">IF($G1721="","","同時")</f>
        <v/>
      </c>
      <c r="M1721" s="2" t="str">
        <f aca="false">IF($G1721="","",IF(ISNA(MATCH($G1721,個別指定!$A:$A,0)),"行なし",""))</f>
        <v/>
      </c>
      <c r="N1721" s="2" t="str">
        <f aca="false">IF($G1721="","",IF(COUNTIF($G$2:$G$4460,$G1721)&gt;1,"重複",""))</f>
        <v/>
      </c>
    </row>
    <row r="1722" customFormat="false" ht="16.5" hidden="false" customHeight="true" outlineLevel="0" collapsed="false">
      <c r="A1722" s="2" t="s">
        <v>416</v>
      </c>
      <c r="B1722" s="2" t="s">
        <v>421</v>
      </c>
      <c r="C1722" s="2" t="s">
        <v>5</v>
      </c>
      <c r="D1722" s="2" t="str">
        <f aca="false">IF(3キー同時!$B$58="","",3キー同時!$B$58)</f>
        <v>j</v>
      </c>
      <c r="E1722" s="2" t="str">
        <f aca="false">IF(3キー同時!$G$58="","",3キー同時!$G$58)</f>
        <v>p</v>
      </c>
      <c r="F1722" s="2" t="str">
        <f aca="false">""</f>
        <v/>
      </c>
      <c r="G1722" s="2" t="str">
        <f aca="false">IF(OR(3キー同時!$B$58="",3キー同時!$G$58=""),"",IF(3キー同時!Z60="","",SUBSTITUTE(SUBSTITUTE(3キー同時!Z60," ",""),"　","")))</f>
        <v/>
      </c>
      <c r="H1722" s="2" t="str">
        <f aca="false">IF($G1722="","",3キー同時!$B$58)</f>
        <v/>
      </c>
      <c r="I1722" s="2" t="str">
        <f aca="false">IF($G1722="","",3キー同時!$G$58)</f>
        <v/>
      </c>
      <c r="J1722" s="2" t="str">
        <f aca="false">IF($G1722="","","6")</f>
        <v/>
      </c>
      <c r="K1722" s="2" t="str">
        <f aca="false">""</f>
        <v/>
      </c>
      <c r="L1722" s="2" t="str">
        <f aca="false">IF($G1722="","","同時")</f>
        <v/>
      </c>
      <c r="M1722" s="2" t="str">
        <f aca="false">IF($G1722="","",IF(ISNA(MATCH($G1722,個別指定!$A:$A,0)),"行なし",""))</f>
        <v/>
      </c>
      <c r="N1722" s="2" t="str">
        <f aca="false">IF($G1722="","",IF(COUNTIF($G$2:$G$4460,$G1722)&gt;1,"重複",""))</f>
        <v/>
      </c>
    </row>
    <row r="1723" customFormat="false" ht="16.5" hidden="false" customHeight="true" outlineLevel="0" collapsed="false">
      <c r="A1723" s="2" t="s">
        <v>416</v>
      </c>
      <c r="B1723" s="2" t="s">
        <v>421</v>
      </c>
      <c r="C1723" s="2" t="s">
        <v>6</v>
      </c>
      <c r="D1723" s="2" t="str">
        <f aca="false">IF(3キー同時!$B$58="","",3キー同時!$B$58)</f>
        <v>j</v>
      </c>
      <c r="E1723" s="2" t="str">
        <f aca="false">IF(3キー同時!$G$58="","",3キー同時!$G$58)</f>
        <v>p</v>
      </c>
      <c r="F1723" s="2" t="str">
        <f aca="false">""</f>
        <v/>
      </c>
      <c r="G1723" s="2" t="str">
        <f aca="false">IF(OR(3キー同時!$B$58="",3キー同時!$G$58=""),"",IF(3キー同時!AD60="","",SUBSTITUTE(SUBSTITUTE(3キー同時!AD60," ",""),"　","")))</f>
        <v/>
      </c>
      <c r="H1723" s="2" t="str">
        <f aca="false">IF($G1723="","",3キー同時!$B$58)</f>
        <v/>
      </c>
      <c r="I1723" s="2" t="str">
        <f aca="false">IF($G1723="","",3キー同時!$G$58)</f>
        <v/>
      </c>
      <c r="J1723" s="2" t="str">
        <f aca="false">IF($G1723="","","7")</f>
        <v/>
      </c>
      <c r="K1723" s="2" t="str">
        <f aca="false">""</f>
        <v/>
      </c>
      <c r="L1723" s="2" t="str">
        <f aca="false">IF($G1723="","","同時")</f>
        <v/>
      </c>
      <c r="M1723" s="2" t="str">
        <f aca="false">IF($G1723="","",IF(ISNA(MATCH($G1723,個別指定!$A:$A,0)),"行なし",""))</f>
        <v/>
      </c>
      <c r="N1723" s="2" t="str">
        <f aca="false">IF($G1723="","",IF(COUNTIF($G$2:$G$4460,$G1723)&gt;1,"重複",""))</f>
        <v/>
      </c>
    </row>
    <row r="1724" customFormat="false" ht="16.5" hidden="false" customHeight="true" outlineLevel="0" collapsed="false">
      <c r="A1724" s="2" t="s">
        <v>416</v>
      </c>
      <c r="B1724" s="2" t="s">
        <v>421</v>
      </c>
      <c r="C1724" s="2" t="s">
        <v>7</v>
      </c>
      <c r="D1724" s="2" t="str">
        <f aca="false">IF(3キー同時!$B$58="","",3キー同時!$B$58)</f>
        <v>j</v>
      </c>
      <c r="E1724" s="2" t="str">
        <f aca="false">IF(3キー同時!$G$58="","",3キー同時!$G$58)</f>
        <v>p</v>
      </c>
      <c r="F1724" s="2" t="str">
        <f aca="false">""</f>
        <v/>
      </c>
      <c r="G1724" s="2" t="str">
        <f aca="false">IF(OR(3キー同時!$B$58="",3キー同時!$G$58=""),"",IF(3キー同時!AH60="","",SUBSTITUTE(SUBSTITUTE(3キー同時!AH60," ",""),"　","")))</f>
        <v/>
      </c>
      <c r="H1724" s="2" t="str">
        <f aca="false">IF($G1724="","",3キー同時!$B$58)</f>
        <v/>
      </c>
      <c r="I1724" s="2" t="str">
        <f aca="false">IF($G1724="","",3キー同時!$G$58)</f>
        <v/>
      </c>
      <c r="J1724" s="2" t="str">
        <f aca="false">IF($G1724="","","8")</f>
        <v/>
      </c>
      <c r="K1724" s="2" t="str">
        <f aca="false">""</f>
        <v/>
      </c>
      <c r="L1724" s="2" t="str">
        <f aca="false">IF($G1724="","","同時")</f>
        <v/>
      </c>
      <c r="M1724" s="2" t="str">
        <f aca="false">IF($G1724="","",IF(ISNA(MATCH($G1724,個別指定!$A:$A,0)),"行なし",""))</f>
        <v/>
      </c>
      <c r="N1724" s="2" t="str">
        <f aca="false">IF($G1724="","",IF(COUNTIF($G$2:$G$4460,$G1724)&gt;1,"重複",""))</f>
        <v/>
      </c>
    </row>
    <row r="1725" customFormat="false" ht="16.5" hidden="false" customHeight="true" outlineLevel="0" collapsed="false">
      <c r="A1725" s="2" t="s">
        <v>416</v>
      </c>
      <c r="B1725" s="2" t="s">
        <v>421</v>
      </c>
      <c r="C1725" s="2" t="s">
        <v>8</v>
      </c>
      <c r="D1725" s="2" t="str">
        <f aca="false">IF(3キー同時!$B$58="","",3キー同時!$B$58)</f>
        <v>j</v>
      </c>
      <c r="E1725" s="2" t="str">
        <f aca="false">IF(3キー同時!$G$58="","",3キー同時!$G$58)</f>
        <v>p</v>
      </c>
      <c r="F1725" s="2" t="str">
        <f aca="false">""</f>
        <v/>
      </c>
      <c r="G1725" s="2" t="str">
        <f aca="false">IF(OR(3キー同時!$B$58="",3キー同時!$G$58=""),"",IF(3キー同時!AL60="","",SUBSTITUTE(SUBSTITUTE(3キー同時!AL60," ",""),"　","")))</f>
        <v/>
      </c>
      <c r="H1725" s="2" t="str">
        <f aca="false">IF($G1725="","",3キー同時!$B$58)</f>
        <v/>
      </c>
      <c r="I1725" s="2" t="str">
        <f aca="false">IF($G1725="","",3キー同時!$G$58)</f>
        <v/>
      </c>
      <c r="J1725" s="2" t="str">
        <f aca="false">IF($G1725="","","9")</f>
        <v/>
      </c>
      <c r="K1725" s="2" t="str">
        <f aca="false">""</f>
        <v/>
      </c>
      <c r="L1725" s="2" t="str">
        <f aca="false">IF($G1725="","","同時")</f>
        <v/>
      </c>
      <c r="M1725" s="2" t="str">
        <f aca="false">IF($G1725="","",IF(ISNA(MATCH($G1725,個別指定!$A:$A,0)),"行なし",""))</f>
        <v/>
      </c>
      <c r="N1725" s="2" t="str">
        <f aca="false">IF($G1725="","",IF(COUNTIF($G$2:$G$4460,$G1725)&gt;1,"重複",""))</f>
        <v/>
      </c>
    </row>
    <row r="1726" customFormat="false" ht="16.5" hidden="false" customHeight="true" outlineLevel="0" collapsed="false">
      <c r="A1726" s="2" t="s">
        <v>416</v>
      </c>
      <c r="B1726" s="2" t="s">
        <v>421</v>
      </c>
      <c r="C1726" s="2" t="s">
        <v>9</v>
      </c>
      <c r="D1726" s="2" t="str">
        <f aca="false">IF(3キー同時!$B$58="","",3キー同時!$B$58)</f>
        <v>j</v>
      </c>
      <c r="E1726" s="2" t="str">
        <f aca="false">IF(3キー同時!$G$58="","",3キー同時!$G$58)</f>
        <v>p</v>
      </c>
      <c r="F1726" s="2" t="str">
        <f aca="false">""</f>
        <v/>
      </c>
      <c r="G1726" s="2" t="str">
        <f aca="false">IF(OR(3キー同時!$B$58="",3キー同時!$G$58=""),"",IF(3キー同時!AP60="","",SUBSTITUTE(SUBSTITUTE(3キー同時!AP60," ",""),"　","")))</f>
        <v/>
      </c>
      <c r="H1726" s="2" t="str">
        <f aca="false">IF($G1726="","",3キー同時!$B$58)</f>
        <v/>
      </c>
      <c r="I1726" s="2" t="str">
        <f aca="false">IF($G1726="","",3キー同時!$G$58)</f>
        <v/>
      </c>
      <c r="J1726" s="2" t="str">
        <f aca="false">IF($G1726="","","0")</f>
        <v/>
      </c>
      <c r="K1726" s="2" t="str">
        <f aca="false">""</f>
        <v/>
      </c>
      <c r="L1726" s="2" t="str">
        <f aca="false">IF($G1726="","","同時")</f>
        <v/>
      </c>
      <c r="M1726" s="2" t="str">
        <f aca="false">IF($G1726="","",IF(ISNA(MATCH($G1726,個別指定!$A:$A,0)),"行なし",""))</f>
        <v/>
      </c>
      <c r="N1726" s="2" t="str">
        <f aca="false">IF($G1726="","",IF(COUNTIF($G$2:$G$4460,$G1726)&gt;1,"重複",""))</f>
        <v/>
      </c>
    </row>
    <row r="1727" customFormat="false" ht="16.5" hidden="false" customHeight="true" outlineLevel="0" collapsed="false">
      <c r="A1727" s="2" t="s">
        <v>416</v>
      </c>
      <c r="B1727" s="2" t="s">
        <v>421</v>
      </c>
      <c r="C1727" s="2" t="s">
        <v>10</v>
      </c>
      <c r="D1727" s="2" t="str">
        <f aca="false">IF(3キー同時!$B$58="","",3キー同時!$B$58)</f>
        <v>j</v>
      </c>
      <c r="E1727" s="2" t="str">
        <f aca="false">IF(3キー同時!$G$58="","",3キー同時!$G$58)</f>
        <v>p</v>
      </c>
      <c r="F1727" s="2" t="str">
        <f aca="false">""</f>
        <v/>
      </c>
      <c r="G1727" s="2" t="str">
        <f aca="false">IF(OR(3キー同時!$B$58="",3キー同時!$G$58=""),"",IF(3キー同時!AT60="","",SUBSTITUTE(SUBSTITUTE(3キー同時!AT60," ",""),"　","")))</f>
        <v/>
      </c>
      <c r="H1727" s="2" t="str">
        <f aca="false">IF($G1727="","",3キー同時!$B$58)</f>
        <v/>
      </c>
      <c r="I1727" s="2" t="str">
        <f aca="false">IF($G1727="","",3キー同時!$G$58)</f>
        <v/>
      </c>
      <c r="J1727" s="2" t="str">
        <f aca="false">IF($G1727="","","-")</f>
        <v/>
      </c>
      <c r="K1727" s="2" t="str">
        <f aca="false">""</f>
        <v/>
      </c>
      <c r="L1727" s="2" t="str">
        <f aca="false">IF($G1727="","","同時")</f>
        <v/>
      </c>
      <c r="M1727" s="2" t="str">
        <f aca="false">IF($G1727="","",IF(ISNA(MATCH($G1727,個別指定!$A:$A,0)),"行なし",""))</f>
        <v/>
      </c>
      <c r="N1727" s="2" t="str">
        <f aca="false">IF($G1727="","",IF(COUNTIF($G$2:$G$4460,$G1727)&gt;1,"重複",""))</f>
        <v/>
      </c>
    </row>
    <row r="1728" customFormat="false" ht="16.5" hidden="false" customHeight="true" outlineLevel="0" collapsed="false">
      <c r="A1728" s="2" t="s">
        <v>416</v>
      </c>
      <c r="B1728" s="2" t="s">
        <v>421</v>
      </c>
      <c r="C1728" s="2" t="s">
        <v>11</v>
      </c>
      <c r="D1728" s="2" t="str">
        <f aca="false">IF(3キー同時!$B$58="","",3キー同時!$B$58)</f>
        <v>j</v>
      </c>
      <c r="E1728" s="2" t="str">
        <f aca="false">IF(3キー同時!$G$58="","",3キー同時!$G$58)</f>
        <v>p</v>
      </c>
      <c r="F1728" s="2" t="str">
        <f aca="false">""</f>
        <v/>
      </c>
      <c r="G1728" s="2" t="str">
        <f aca="false">IF(OR(3キー同時!$B$58="",3キー同時!$G$58=""),"",IF(3キー同時!AX60="","",SUBSTITUTE(SUBSTITUTE(3キー同時!AX60," ",""),"　","")))</f>
        <v/>
      </c>
      <c r="H1728" s="2" t="str">
        <f aca="false">IF($G1728="","",3キー同時!$B$58)</f>
        <v/>
      </c>
      <c r="I1728" s="2" t="str">
        <f aca="false">IF($G1728="","",3キー同時!$G$58)</f>
        <v/>
      </c>
      <c r="J1728" s="2" t="str">
        <f aca="false">IF($G1728="","","=")</f>
        <v/>
      </c>
      <c r="K1728" s="2" t="str">
        <f aca="false">""</f>
        <v/>
      </c>
      <c r="L1728" s="2" t="str">
        <f aca="false">IF($G1728="","","同時")</f>
        <v/>
      </c>
      <c r="M1728" s="2" t="str">
        <f aca="false">IF($G1728="","",IF(ISNA(MATCH($G1728,個別指定!$A:$A,0)),"行なし",""))</f>
        <v/>
      </c>
      <c r="N1728" s="2" t="str">
        <f aca="false">IF($G1728="","",IF(COUNTIF($G$2:$G$4460,$G1728)&gt;1,"重複",""))</f>
        <v/>
      </c>
    </row>
    <row r="1729" customFormat="false" ht="16.5" hidden="false" customHeight="true" outlineLevel="0" collapsed="false">
      <c r="A1729" s="2" t="s">
        <v>416</v>
      </c>
      <c r="B1729" s="2" t="s">
        <v>421</v>
      </c>
      <c r="C1729" s="2" t="s">
        <v>12</v>
      </c>
      <c r="D1729" s="2" t="str">
        <f aca="false">IF(3キー同時!$B$58="","",3キー同時!$B$58)</f>
        <v>j</v>
      </c>
      <c r="E1729" s="2" t="str">
        <f aca="false">IF(3キー同時!$G$58="","",3キー同時!$G$58)</f>
        <v>p</v>
      </c>
      <c r="F1729" s="2" t="str">
        <f aca="false">""</f>
        <v/>
      </c>
      <c r="G1729" s="2" t="str">
        <f aca="false">IF(OR(3キー同時!$B$58="",3キー同時!$G$58=""),"",IF(3キー同時!H62="","",SUBSTITUTE(SUBSTITUTE(3キー同時!H62," ",""),"　","")))</f>
        <v/>
      </c>
      <c r="H1729" s="2" t="str">
        <f aca="false">IF($G1729="","",3キー同時!$B$58)</f>
        <v/>
      </c>
      <c r="I1729" s="2" t="str">
        <f aca="false">IF($G1729="","",3キー同時!$G$58)</f>
        <v/>
      </c>
      <c r="J1729" s="2" t="str">
        <f aca="false">IF($G1729="","","q")</f>
        <v/>
      </c>
      <c r="K1729" s="2" t="str">
        <f aca="false">""</f>
        <v/>
      </c>
      <c r="L1729" s="2" t="str">
        <f aca="false">IF($G1729="","","同時")</f>
        <v/>
      </c>
      <c r="M1729" s="2" t="str">
        <f aca="false">IF($G1729="","",IF(ISNA(MATCH($G1729,個別指定!$A:$A,0)),"行なし",""))</f>
        <v/>
      </c>
      <c r="N1729" s="2" t="str">
        <f aca="false">IF($G1729="","",IF(COUNTIF($G$2:$G$4460,$G1729)&gt;1,"重複",""))</f>
        <v/>
      </c>
    </row>
    <row r="1730" customFormat="false" ht="16.5" hidden="false" customHeight="true" outlineLevel="0" collapsed="false">
      <c r="A1730" s="2" t="s">
        <v>416</v>
      </c>
      <c r="B1730" s="2" t="s">
        <v>421</v>
      </c>
      <c r="C1730" s="2" t="s">
        <v>13</v>
      </c>
      <c r="D1730" s="2" t="str">
        <f aca="false">IF(3キー同時!$B$58="","",3キー同時!$B$58)</f>
        <v>j</v>
      </c>
      <c r="E1730" s="2" t="str">
        <f aca="false">IF(3キー同時!$G$58="","",3キー同時!$G$58)</f>
        <v>p</v>
      </c>
      <c r="F1730" s="2" t="str">
        <f aca="false">""</f>
        <v/>
      </c>
      <c r="G1730" s="2" t="str">
        <f aca="false">IF(OR(3キー同時!$B$58="",3キー同時!$G$58=""),"",IF(3キー同時!L62="","",SUBSTITUTE(SUBSTITUTE(3キー同時!L62," ",""),"　","")))</f>
        <v>ぎゅ</v>
      </c>
      <c r="H1730" s="2" t="str">
        <f aca="false">IF($G1730="","",3キー同時!$B$58)</f>
        <v>j</v>
      </c>
      <c r="I1730" s="2" t="str">
        <f aca="false">IF($G1730="","",3キー同時!$G$58)</f>
        <v>p</v>
      </c>
      <c r="J1730" s="2" t="str">
        <f aca="false">IF($G1730="","","w")</f>
        <v>w</v>
      </c>
      <c r="K1730" s="2" t="str">
        <f aca="false">""</f>
        <v/>
      </c>
      <c r="L1730" s="2" t="str">
        <f aca="false">IF($G1730="","","同時")</f>
        <v>同時</v>
      </c>
      <c r="M1730" s="2" t="str">
        <f aca="false">IF($G1730="","",IF(ISNA(MATCH($G1730,個別指定!$A:$A,0)),"行なし",""))</f>
        <v/>
      </c>
      <c r="N1730" s="2" t="str">
        <f aca="false">IF($G1730="","",IF(COUNTIF($G$2:$G$4460,$G1730)&gt;1,"重複",""))</f>
        <v/>
      </c>
    </row>
    <row r="1731" customFormat="false" ht="16.5" hidden="false" customHeight="true" outlineLevel="0" collapsed="false">
      <c r="A1731" s="2" t="s">
        <v>416</v>
      </c>
      <c r="B1731" s="2" t="s">
        <v>421</v>
      </c>
      <c r="C1731" s="2" t="s">
        <v>14</v>
      </c>
      <c r="D1731" s="2" t="str">
        <f aca="false">IF(3キー同時!$B$58="","",3キー同時!$B$58)</f>
        <v>j</v>
      </c>
      <c r="E1731" s="2" t="str">
        <f aca="false">IF(3キー同時!$G$58="","",3キー同時!$G$58)</f>
        <v>p</v>
      </c>
      <c r="F1731" s="2" t="str">
        <f aca="false">""</f>
        <v/>
      </c>
      <c r="G1731" s="2" t="str">
        <f aca="false">IF(OR(3キー同時!$B$58="",3キー同時!$G$58=""),"",IF(3キー同時!P62="","",SUBSTITUTE(SUBSTITUTE(3キー同時!P62," ",""),"　","")))</f>
        <v/>
      </c>
      <c r="H1731" s="2" t="str">
        <f aca="false">IF($G1731="","",3キー同時!$B$58)</f>
        <v/>
      </c>
      <c r="I1731" s="2" t="str">
        <f aca="false">IF($G1731="","",3キー同時!$G$58)</f>
        <v/>
      </c>
      <c r="J1731" s="2" t="str">
        <f aca="false">IF($G1731="","","e")</f>
        <v/>
      </c>
      <c r="K1731" s="2" t="str">
        <f aca="false">""</f>
        <v/>
      </c>
      <c r="L1731" s="2" t="str">
        <f aca="false">IF($G1731="","","同時")</f>
        <v/>
      </c>
      <c r="M1731" s="2" t="str">
        <f aca="false">IF($G1731="","",IF(ISNA(MATCH($G1731,個別指定!$A:$A,0)),"行なし",""))</f>
        <v/>
      </c>
      <c r="N1731" s="2" t="str">
        <f aca="false">IF($G1731="","",IF(COUNTIF($G$2:$G$4460,$G1731)&gt;1,"重複",""))</f>
        <v/>
      </c>
    </row>
    <row r="1732" customFormat="false" ht="16.5" hidden="false" customHeight="true" outlineLevel="0" collapsed="false">
      <c r="A1732" s="2" t="s">
        <v>416</v>
      </c>
      <c r="B1732" s="2" t="s">
        <v>421</v>
      </c>
      <c r="C1732" s="2" t="s">
        <v>15</v>
      </c>
      <c r="D1732" s="2" t="str">
        <f aca="false">IF(3キー同時!$B$58="","",3キー同時!$B$58)</f>
        <v>j</v>
      </c>
      <c r="E1732" s="2" t="str">
        <f aca="false">IF(3キー同時!$G$58="","",3キー同時!$G$58)</f>
        <v>p</v>
      </c>
      <c r="F1732" s="2" t="str">
        <f aca="false">""</f>
        <v/>
      </c>
      <c r="G1732" s="2" t="str">
        <f aca="false">IF(OR(3キー同時!$B$58="",3キー同時!$G$58=""),"",IF(3キー同時!T62="","",SUBSTITUTE(SUBSTITUTE(3キー同時!T62," ",""),"　","")))</f>
        <v>じゅ</v>
      </c>
      <c r="H1732" s="2" t="str">
        <f aca="false">IF($G1732="","",3キー同時!$B$58)</f>
        <v>j</v>
      </c>
      <c r="I1732" s="2" t="str">
        <f aca="false">IF($G1732="","",3キー同時!$G$58)</f>
        <v>p</v>
      </c>
      <c r="J1732" s="2" t="str">
        <f aca="false">IF($G1732="","","r")</f>
        <v>r</v>
      </c>
      <c r="K1732" s="2" t="str">
        <f aca="false">""</f>
        <v/>
      </c>
      <c r="L1732" s="2" t="str">
        <f aca="false">IF($G1732="","","同時")</f>
        <v>同時</v>
      </c>
      <c r="M1732" s="2" t="str">
        <f aca="false">IF($G1732="","",IF(ISNA(MATCH($G1732,個別指定!$A:$A,0)),"行なし",""))</f>
        <v/>
      </c>
      <c r="N1732" s="2" t="str">
        <f aca="false">IF($G1732="","",IF(COUNTIF($G$2:$G$4460,$G1732)&gt;1,"重複",""))</f>
        <v/>
      </c>
    </row>
    <row r="1733" customFormat="false" ht="16.5" hidden="false" customHeight="true" outlineLevel="0" collapsed="false">
      <c r="A1733" s="2" t="s">
        <v>416</v>
      </c>
      <c r="B1733" s="2" t="s">
        <v>421</v>
      </c>
      <c r="C1733" s="2" t="s">
        <v>16</v>
      </c>
      <c r="D1733" s="2" t="str">
        <f aca="false">IF(3キー同時!$B$58="","",3キー同時!$B$58)</f>
        <v>j</v>
      </c>
      <c r="E1733" s="2" t="str">
        <f aca="false">IF(3キー同時!$G$58="","",3キー同時!$G$58)</f>
        <v>p</v>
      </c>
      <c r="F1733" s="2" t="str">
        <f aca="false">""</f>
        <v/>
      </c>
      <c r="G1733" s="2" t="str">
        <f aca="false">IF(OR(3キー同時!$B$58="",3キー同時!$G$58=""),"",IF(3キー同時!X62="","",SUBSTITUTE(SUBSTITUTE(3キー同時!X62," ",""),"　","")))</f>
        <v/>
      </c>
      <c r="H1733" s="2" t="str">
        <f aca="false">IF($G1733="","",3キー同時!$B$58)</f>
        <v/>
      </c>
      <c r="I1733" s="2" t="str">
        <f aca="false">IF($G1733="","",3キー同時!$G$58)</f>
        <v/>
      </c>
      <c r="J1733" s="2" t="str">
        <f aca="false">IF($G1733="","","t")</f>
        <v/>
      </c>
      <c r="K1733" s="2" t="str">
        <f aca="false">""</f>
        <v/>
      </c>
      <c r="L1733" s="2" t="str">
        <f aca="false">IF($G1733="","","同時")</f>
        <v/>
      </c>
      <c r="M1733" s="2" t="str">
        <f aca="false">IF($G1733="","",IF(ISNA(MATCH($G1733,個別指定!$A:$A,0)),"行なし",""))</f>
        <v/>
      </c>
      <c r="N1733" s="2" t="str">
        <f aca="false">IF($G1733="","",IF(COUNTIF($G$2:$G$4460,$G1733)&gt;1,"重複",""))</f>
        <v/>
      </c>
    </row>
    <row r="1734" customFormat="false" ht="16.5" hidden="false" customHeight="true" outlineLevel="0" collapsed="false">
      <c r="A1734" s="2" t="s">
        <v>416</v>
      </c>
      <c r="B1734" s="2" t="s">
        <v>421</v>
      </c>
      <c r="C1734" s="2" t="s">
        <v>17</v>
      </c>
      <c r="D1734" s="2" t="str">
        <f aca="false">IF(3キー同時!$B$58="","",3キー同時!$B$58)</f>
        <v>j</v>
      </c>
      <c r="E1734" s="2" t="str">
        <f aca="false">IF(3キー同時!$G$58="","",3キー同時!$G$58)</f>
        <v>p</v>
      </c>
      <c r="F1734" s="2" t="str">
        <f aca="false">""</f>
        <v/>
      </c>
      <c r="G1734" s="2" t="str">
        <f aca="false">IF(OR(3キー同時!$B$58="",3キー同時!$G$58=""),"",IF(3キー同時!AB62="","",SUBSTITUTE(SUBSTITUTE(3キー同時!AB62," ",""),"　","")))</f>
        <v/>
      </c>
      <c r="H1734" s="2" t="str">
        <f aca="false">IF($G1734="","",3キー同時!$B$58)</f>
        <v/>
      </c>
      <c r="I1734" s="2" t="str">
        <f aca="false">IF($G1734="","",3キー同時!$G$58)</f>
        <v/>
      </c>
      <c r="J1734" s="2" t="str">
        <f aca="false">IF($G1734="","","y")</f>
        <v/>
      </c>
      <c r="K1734" s="2" t="str">
        <f aca="false">""</f>
        <v/>
      </c>
      <c r="L1734" s="2" t="str">
        <f aca="false">IF($G1734="","","同時")</f>
        <v/>
      </c>
      <c r="M1734" s="2" t="str">
        <f aca="false">IF($G1734="","",IF(ISNA(MATCH($G1734,個別指定!$A:$A,0)),"行なし",""))</f>
        <v/>
      </c>
      <c r="N1734" s="2" t="str">
        <f aca="false">IF($G1734="","",IF(COUNTIF($G$2:$G$4460,$G1734)&gt;1,"重複",""))</f>
        <v/>
      </c>
    </row>
    <row r="1735" customFormat="false" ht="16.5" hidden="false" customHeight="true" outlineLevel="0" collapsed="false">
      <c r="A1735" s="2" t="s">
        <v>416</v>
      </c>
      <c r="B1735" s="2" t="s">
        <v>421</v>
      </c>
      <c r="C1735" s="2" t="s">
        <v>18</v>
      </c>
      <c r="D1735" s="2" t="str">
        <f aca="false">IF(3キー同時!$B$58="","",3キー同時!$B$58)</f>
        <v>j</v>
      </c>
      <c r="E1735" s="2" t="str">
        <f aca="false">IF(3キー同時!$G$58="","",3キー同時!$G$58)</f>
        <v>p</v>
      </c>
      <c r="F1735" s="2" t="str">
        <f aca="false">""</f>
        <v/>
      </c>
      <c r="G1735" s="2" t="str">
        <f aca="false">IF(OR(3キー同時!$B$58="",3キー同時!$G$58=""),"",IF(3キー同時!AF62="","",SUBSTITUTE(SUBSTITUTE(3キー同時!AF62," ",""),"　","")))</f>
        <v/>
      </c>
      <c r="H1735" s="2" t="str">
        <f aca="false">IF($G1735="","",3キー同時!$B$58)</f>
        <v/>
      </c>
      <c r="I1735" s="2" t="str">
        <f aca="false">IF($G1735="","",3キー同時!$G$58)</f>
        <v/>
      </c>
      <c r="J1735" s="2" t="str">
        <f aca="false">IF($G1735="","","u")</f>
        <v/>
      </c>
      <c r="K1735" s="2" t="str">
        <f aca="false">""</f>
        <v/>
      </c>
      <c r="L1735" s="2" t="str">
        <f aca="false">IF($G1735="","","同時")</f>
        <v/>
      </c>
      <c r="M1735" s="2" t="str">
        <f aca="false">IF($G1735="","",IF(ISNA(MATCH($G1735,個別指定!$A:$A,0)),"行なし",""))</f>
        <v/>
      </c>
      <c r="N1735" s="2" t="str">
        <f aca="false">IF($G1735="","",IF(COUNTIF($G$2:$G$4460,$G1735)&gt;1,"重複",""))</f>
        <v/>
      </c>
    </row>
    <row r="1736" customFormat="false" ht="16.5" hidden="false" customHeight="true" outlineLevel="0" collapsed="false">
      <c r="A1736" s="2" t="s">
        <v>416</v>
      </c>
      <c r="B1736" s="2" t="s">
        <v>421</v>
      </c>
      <c r="C1736" s="2" t="s">
        <v>19</v>
      </c>
      <c r="D1736" s="2" t="str">
        <f aca="false">IF(3キー同時!$B$58="","",3キー同時!$B$58)</f>
        <v>j</v>
      </c>
      <c r="E1736" s="2" t="str">
        <f aca="false">IF(3キー同時!$G$58="","",3キー同時!$G$58)</f>
        <v>p</v>
      </c>
      <c r="F1736" s="2" t="str">
        <f aca="false">""</f>
        <v/>
      </c>
      <c r="G1736" s="2" t="str">
        <f aca="false">IF(OR(3キー同時!$B$58="",3キー同時!$G$58=""),"",IF(3キー同時!AJ62="","",SUBSTITUTE(SUBSTITUTE(3キー同時!AJ62," ",""),"　","")))</f>
        <v/>
      </c>
      <c r="H1736" s="2" t="str">
        <f aca="false">IF($G1736="","",3キー同時!$B$58)</f>
        <v/>
      </c>
      <c r="I1736" s="2" t="str">
        <f aca="false">IF($G1736="","",3キー同時!$G$58)</f>
        <v/>
      </c>
      <c r="J1736" s="2" t="str">
        <f aca="false">IF($G1736="","","i")</f>
        <v/>
      </c>
      <c r="K1736" s="2" t="str">
        <f aca="false">""</f>
        <v/>
      </c>
      <c r="L1736" s="2" t="str">
        <f aca="false">IF($G1736="","","同時")</f>
        <v/>
      </c>
      <c r="M1736" s="2" t="str">
        <f aca="false">IF($G1736="","",IF(ISNA(MATCH($G1736,個別指定!$A:$A,0)),"行なし",""))</f>
        <v/>
      </c>
      <c r="N1736" s="2" t="str">
        <f aca="false">IF($G1736="","",IF(COUNTIF($G$2:$G$4460,$G1736)&gt;1,"重複",""))</f>
        <v/>
      </c>
    </row>
    <row r="1737" customFormat="false" ht="16.5" hidden="false" customHeight="true" outlineLevel="0" collapsed="false">
      <c r="A1737" s="2" t="s">
        <v>416</v>
      </c>
      <c r="B1737" s="2" t="s">
        <v>421</v>
      </c>
      <c r="C1737" s="2" t="s">
        <v>20</v>
      </c>
      <c r="D1737" s="2" t="str">
        <f aca="false">IF(3キー同時!$B$58="","",3キー同時!$B$58)</f>
        <v>j</v>
      </c>
      <c r="E1737" s="2" t="str">
        <f aca="false">IF(3キー同時!$G$58="","",3キー同時!$G$58)</f>
        <v>p</v>
      </c>
      <c r="F1737" s="2" t="str">
        <f aca="false">""</f>
        <v/>
      </c>
      <c r="G1737" s="2" t="str">
        <f aca="false">IF(OR(3キー同時!$B$58="",3キー同時!$G$58=""),"",IF(3キー同時!AN62="","",SUBSTITUTE(SUBSTITUTE(3キー同時!AN62," ",""),"　","")))</f>
        <v/>
      </c>
      <c r="H1737" s="2" t="str">
        <f aca="false">IF($G1737="","",3キー同時!$B$58)</f>
        <v/>
      </c>
      <c r="I1737" s="2" t="str">
        <f aca="false">IF($G1737="","",3キー同時!$G$58)</f>
        <v/>
      </c>
      <c r="J1737" s="2" t="str">
        <f aca="false">IF($G1737="","","o")</f>
        <v/>
      </c>
      <c r="K1737" s="2" t="str">
        <f aca="false">""</f>
        <v/>
      </c>
      <c r="L1737" s="2" t="str">
        <f aca="false">IF($G1737="","","同時")</f>
        <v/>
      </c>
      <c r="M1737" s="2" t="str">
        <f aca="false">IF($G1737="","",IF(ISNA(MATCH($G1737,個別指定!$A:$A,0)),"行なし",""))</f>
        <v/>
      </c>
      <c r="N1737" s="2" t="str">
        <f aca="false">IF($G1737="","",IF(COUNTIF($G$2:$G$4460,$G1737)&gt;1,"重複",""))</f>
        <v/>
      </c>
    </row>
    <row r="1738" customFormat="false" ht="16.5" hidden="false" customHeight="true" outlineLevel="0" collapsed="false">
      <c r="A1738" s="2" t="s">
        <v>416</v>
      </c>
      <c r="B1738" s="2" t="s">
        <v>421</v>
      </c>
      <c r="C1738" s="2" t="s">
        <v>21</v>
      </c>
      <c r="D1738" s="2" t="str">
        <f aca="false">IF(3キー同時!$B$58="","",3キー同時!$B$58)</f>
        <v>j</v>
      </c>
      <c r="E1738" s="2" t="str">
        <f aca="false">IF(3キー同時!$G$58="","",3キー同時!$G$58)</f>
        <v>p</v>
      </c>
      <c r="F1738" s="2" t="str">
        <f aca="false">""</f>
        <v/>
      </c>
      <c r="G1738" s="2" t="str">
        <f aca="false">IF(OR(3キー同時!$B$58="",3キー同時!$G$58=""),"",IF(3キー同時!AR62="","",SUBSTITUTE(SUBSTITUTE(3キー同時!AR62," ",""),"　","")))</f>
        <v/>
      </c>
      <c r="H1738" s="2" t="str">
        <f aca="false">IF($G1738="","",3キー同時!$B$58)</f>
        <v/>
      </c>
      <c r="I1738" s="2" t="str">
        <f aca="false">IF($G1738="","",3キー同時!$G$58)</f>
        <v/>
      </c>
      <c r="J1738" s="2" t="str">
        <f aca="false">IF($G1738="","","p")</f>
        <v/>
      </c>
      <c r="K1738" s="2" t="str">
        <f aca="false">""</f>
        <v/>
      </c>
      <c r="L1738" s="2" t="str">
        <f aca="false">IF($G1738="","","同時")</f>
        <v/>
      </c>
      <c r="M1738" s="2" t="str">
        <f aca="false">IF($G1738="","",IF(ISNA(MATCH($G1738,個別指定!$A:$A,0)),"行なし",""))</f>
        <v/>
      </c>
      <c r="N1738" s="2" t="str">
        <f aca="false">IF($G1738="","",IF(COUNTIF($G$2:$G$4460,$G1738)&gt;1,"重複",""))</f>
        <v/>
      </c>
    </row>
    <row r="1739" customFormat="false" ht="16.5" hidden="false" customHeight="true" outlineLevel="0" collapsed="false">
      <c r="A1739" s="2" t="s">
        <v>416</v>
      </c>
      <c r="B1739" s="2" t="s">
        <v>421</v>
      </c>
      <c r="C1739" s="2" t="s">
        <v>22</v>
      </c>
      <c r="D1739" s="2" t="str">
        <f aca="false">IF(3キー同時!$B$58="","",3キー同時!$B$58)</f>
        <v>j</v>
      </c>
      <c r="E1739" s="2" t="str">
        <f aca="false">IF(3キー同時!$G$58="","",3キー同時!$G$58)</f>
        <v>p</v>
      </c>
      <c r="F1739" s="2" t="str">
        <f aca="false">""</f>
        <v/>
      </c>
      <c r="G1739" s="2" t="str">
        <f aca="false">IF(OR(3キー同時!$B$58="",3キー同時!$G$58=""),"",IF(3キー同時!AV62="","",SUBSTITUTE(SUBSTITUTE(3キー同時!AV62," ",""),"　","")))</f>
        <v/>
      </c>
      <c r="H1739" s="2" t="str">
        <f aca="false">IF($G1739="","",3キー同時!$B$58)</f>
        <v/>
      </c>
      <c r="I1739" s="2" t="str">
        <f aca="false">IF($G1739="","",3キー同時!$G$58)</f>
        <v/>
      </c>
      <c r="J1739" s="2" t="str">
        <f aca="false">IF($G1739="","","[")</f>
        <v/>
      </c>
      <c r="K1739" s="2" t="str">
        <f aca="false">""</f>
        <v/>
      </c>
      <c r="L1739" s="2" t="str">
        <f aca="false">IF($G1739="","","同時")</f>
        <v/>
      </c>
      <c r="M1739" s="2" t="str">
        <f aca="false">IF($G1739="","",IF(ISNA(MATCH($G1739,個別指定!$A:$A,0)),"行なし",""))</f>
        <v/>
      </c>
      <c r="N1739" s="2" t="str">
        <f aca="false">IF($G1739="","",IF(COUNTIF($G$2:$G$4460,$G1739)&gt;1,"重複",""))</f>
        <v/>
      </c>
    </row>
    <row r="1740" customFormat="false" ht="16.5" hidden="false" customHeight="true" outlineLevel="0" collapsed="false">
      <c r="A1740" s="2" t="s">
        <v>416</v>
      </c>
      <c r="B1740" s="2" t="s">
        <v>421</v>
      </c>
      <c r="C1740" s="2" t="s">
        <v>23</v>
      </c>
      <c r="D1740" s="2" t="str">
        <f aca="false">IF(3キー同時!$B$58="","",3キー同時!$B$58)</f>
        <v>j</v>
      </c>
      <c r="E1740" s="2" t="str">
        <f aca="false">IF(3キー同時!$G$58="","",3キー同時!$G$58)</f>
        <v>p</v>
      </c>
      <c r="F1740" s="2" t="str">
        <f aca="false">""</f>
        <v/>
      </c>
      <c r="G1740" s="2" t="str">
        <f aca="false">IF(OR(3キー同時!$B$58="",3キー同時!$G$58=""),"",IF(3キー同時!AZ62="","",SUBSTITUTE(SUBSTITUTE(3キー同時!AZ62," ",""),"　","")))</f>
        <v/>
      </c>
      <c r="H1740" s="2" t="str">
        <f aca="false">IF($G1740="","",3キー同時!$B$58)</f>
        <v/>
      </c>
      <c r="I1740" s="2" t="str">
        <f aca="false">IF($G1740="","",3キー同時!$G$58)</f>
        <v/>
      </c>
      <c r="J1740" s="2" t="str">
        <f aca="false">IF($G1740="","","]")</f>
        <v/>
      </c>
      <c r="K1740" s="2" t="str">
        <f aca="false">""</f>
        <v/>
      </c>
      <c r="L1740" s="2" t="str">
        <f aca="false">IF($G1740="","","同時")</f>
        <v/>
      </c>
      <c r="M1740" s="2" t="str">
        <f aca="false">IF($G1740="","",IF(ISNA(MATCH($G1740,個別指定!$A:$A,0)),"行なし",""))</f>
        <v/>
      </c>
      <c r="N1740" s="2" t="str">
        <f aca="false">IF($G1740="","",IF(COUNTIF($G$2:$G$4460,$G1740)&gt;1,"重複",""))</f>
        <v/>
      </c>
    </row>
    <row r="1741" customFormat="false" ht="16.5" hidden="false" customHeight="true" outlineLevel="0" collapsed="false">
      <c r="A1741" s="2" t="s">
        <v>416</v>
      </c>
      <c r="B1741" s="2" t="s">
        <v>421</v>
      </c>
      <c r="C1741" s="2" t="s">
        <v>24</v>
      </c>
      <c r="D1741" s="2" t="str">
        <f aca="false">IF(3キー同時!$B$58="","",3キー同時!$B$58)</f>
        <v>j</v>
      </c>
      <c r="E1741" s="2" t="str">
        <f aca="false">IF(3キー同時!$G$58="","",3キー同時!$G$58)</f>
        <v>p</v>
      </c>
      <c r="F1741" s="2" t="str">
        <f aca="false">""</f>
        <v/>
      </c>
      <c r="G1741" s="2" t="str">
        <f aca="false">IF(OR(3キー同時!$B$58="",3キー同時!$G$58=""),"",IF(3キー同時!I64="","",SUBSTITUTE(SUBSTITUTE(3キー同時!I64," ",""),"　","")))</f>
        <v/>
      </c>
      <c r="H1741" s="2" t="str">
        <f aca="false">IF($G1741="","",3キー同時!$B$58)</f>
        <v/>
      </c>
      <c r="I1741" s="2" t="str">
        <f aca="false">IF($G1741="","",3キー同時!$G$58)</f>
        <v/>
      </c>
      <c r="J1741" s="2" t="str">
        <f aca="false">IF($G1741="","","a")</f>
        <v/>
      </c>
      <c r="K1741" s="2" t="str">
        <f aca="false">""</f>
        <v/>
      </c>
      <c r="L1741" s="2" t="str">
        <f aca="false">IF($G1741="","","同時")</f>
        <v/>
      </c>
      <c r="M1741" s="2" t="str">
        <f aca="false">IF($G1741="","",IF(ISNA(MATCH($G1741,個別指定!$A:$A,0)),"行なし",""))</f>
        <v/>
      </c>
      <c r="N1741" s="2" t="str">
        <f aca="false">IF($G1741="","",IF(COUNTIF($G$2:$G$4460,$G1741)&gt;1,"重複",""))</f>
        <v/>
      </c>
    </row>
    <row r="1742" customFormat="false" ht="16.5" hidden="false" customHeight="true" outlineLevel="0" collapsed="false">
      <c r="A1742" s="2" t="s">
        <v>416</v>
      </c>
      <c r="B1742" s="2" t="s">
        <v>421</v>
      </c>
      <c r="C1742" s="2" t="s">
        <v>25</v>
      </c>
      <c r="D1742" s="2" t="str">
        <f aca="false">IF(3キー同時!$B$58="","",3キー同時!$B$58)</f>
        <v>j</v>
      </c>
      <c r="E1742" s="2" t="str">
        <f aca="false">IF(3キー同時!$G$58="","",3キー同時!$G$58)</f>
        <v>p</v>
      </c>
      <c r="F1742" s="2" t="str">
        <f aca="false">""</f>
        <v/>
      </c>
      <c r="G1742" s="2" t="str">
        <f aca="false">IF(OR(3キー同時!$B$58="",3キー同時!$G$58=""),"",IF(3キー同時!M64="","",SUBSTITUTE(SUBSTITUTE(3キー同時!M64," ",""),"　","")))</f>
        <v/>
      </c>
      <c r="H1742" s="2" t="str">
        <f aca="false">IF($G1742="","",3キー同時!$B$58)</f>
        <v/>
      </c>
      <c r="I1742" s="2" t="str">
        <f aca="false">IF($G1742="","",3キー同時!$G$58)</f>
        <v/>
      </c>
      <c r="J1742" s="2" t="str">
        <f aca="false">IF($G1742="","","s")</f>
        <v/>
      </c>
      <c r="K1742" s="2" t="str">
        <f aca="false">""</f>
        <v/>
      </c>
      <c r="L1742" s="2" t="str">
        <f aca="false">IF($G1742="","","同時")</f>
        <v/>
      </c>
      <c r="M1742" s="2" t="str">
        <f aca="false">IF($G1742="","",IF(ISNA(MATCH($G1742,個別指定!$A:$A,0)),"行なし",""))</f>
        <v/>
      </c>
      <c r="N1742" s="2" t="str">
        <f aca="false">IF($G1742="","",IF(COUNTIF($G$2:$G$4460,$G1742)&gt;1,"重複",""))</f>
        <v/>
      </c>
    </row>
    <row r="1743" customFormat="false" ht="16.5" hidden="false" customHeight="true" outlineLevel="0" collapsed="false">
      <c r="A1743" s="2" t="s">
        <v>416</v>
      </c>
      <c r="B1743" s="2" t="s">
        <v>421</v>
      </c>
      <c r="C1743" s="2" t="s">
        <v>26</v>
      </c>
      <c r="D1743" s="2" t="str">
        <f aca="false">IF(3キー同時!$B$58="","",3キー同時!$B$58)</f>
        <v>j</v>
      </c>
      <c r="E1743" s="2" t="str">
        <f aca="false">IF(3キー同時!$G$58="","",3キー同時!$G$58)</f>
        <v>p</v>
      </c>
      <c r="F1743" s="2" t="str">
        <f aca="false">""</f>
        <v/>
      </c>
      <c r="G1743" s="2" t="str">
        <f aca="false">IF(OR(3キー同時!$B$58="",3キー同時!$G$58=""),"",IF(3キー同時!Q64="","",SUBSTITUTE(SUBSTITUTE(3キー同時!Q64," ",""),"　","")))</f>
        <v/>
      </c>
      <c r="H1743" s="2" t="str">
        <f aca="false">IF($G1743="","",3キー同時!$B$58)</f>
        <v/>
      </c>
      <c r="I1743" s="2" t="str">
        <f aca="false">IF($G1743="","",3キー同時!$G$58)</f>
        <v/>
      </c>
      <c r="J1743" s="2" t="str">
        <f aca="false">IF($G1743="","","d")</f>
        <v/>
      </c>
      <c r="K1743" s="2" t="str">
        <f aca="false">""</f>
        <v/>
      </c>
      <c r="L1743" s="2" t="str">
        <f aca="false">IF($G1743="","","同時")</f>
        <v/>
      </c>
      <c r="M1743" s="2" t="str">
        <f aca="false">IF($G1743="","",IF(ISNA(MATCH($G1743,個別指定!$A:$A,0)),"行なし",""))</f>
        <v/>
      </c>
      <c r="N1743" s="2" t="str">
        <f aca="false">IF($G1743="","",IF(COUNTIF($G$2:$G$4460,$G1743)&gt;1,"重複",""))</f>
        <v/>
      </c>
    </row>
    <row r="1744" customFormat="false" ht="16.5" hidden="false" customHeight="true" outlineLevel="0" collapsed="false">
      <c r="A1744" s="2" t="s">
        <v>416</v>
      </c>
      <c r="B1744" s="2" t="s">
        <v>421</v>
      </c>
      <c r="C1744" s="2" t="s">
        <v>27</v>
      </c>
      <c r="D1744" s="2" t="str">
        <f aca="false">IF(3キー同時!$B$58="","",3キー同時!$B$58)</f>
        <v>j</v>
      </c>
      <c r="E1744" s="2" t="str">
        <f aca="false">IF(3キー同時!$G$58="","",3キー同時!$G$58)</f>
        <v>p</v>
      </c>
      <c r="F1744" s="2" t="str">
        <f aca="false">""</f>
        <v/>
      </c>
      <c r="G1744" s="2" t="str">
        <f aca="false">IF(OR(3キー同時!$B$58="",3キー同時!$G$58=""),"",IF(3キー同時!U64="","",SUBSTITUTE(SUBSTITUTE(3キー同時!U64," ",""),"　","")))</f>
        <v/>
      </c>
      <c r="H1744" s="2" t="str">
        <f aca="false">IF($G1744="","",3キー同時!$B$58)</f>
        <v/>
      </c>
      <c r="I1744" s="2" t="str">
        <f aca="false">IF($G1744="","",3キー同時!$G$58)</f>
        <v/>
      </c>
      <c r="J1744" s="2" t="str">
        <f aca="false">IF($G1744="","","f")</f>
        <v/>
      </c>
      <c r="K1744" s="2" t="str">
        <f aca="false">""</f>
        <v/>
      </c>
      <c r="L1744" s="2" t="str">
        <f aca="false">IF($G1744="","","同時")</f>
        <v/>
      </c>
      <c r="M1744" s="2" t="str">
        <f aca="false">IF($G1744="","",IF(ISNA(MATCH($G1744,個別指定!$A:$A,0)),"行なし",""))</f>
        <v/>
      </c>
      <c r="N1744" s="2" t="str">
        <f aca="false">IF($G1744="","",IF(COUNTIF($G$2:$G$4460,$G1744)&gt;1,"重複",""))</f>
        <v/>
      </c>
    </row>
    <row r="1745" customFormat="false" ht="16.5" hidden="false" customHeight="true" outlineLevel="0" collapsed="false">
      <c r="A1745" s="2" t="s">
        <v>416</v>
      </c>
      <c r="B1745" s="2" t="s">
        <v>421</v>
      </c>
      <c r="C1745" s="2" t="s">
        <v>28</v>
      </c>
      <c r="D1745" s="2" t="str">
        <f aca="false">IF(3キー同時!$B$58="","",3キー同時!$B$58)</f>
        <v>j</v>
      </c>
      <c r="E1745" s="2" t="str">
        <f aca="false">IF(3キー同時!$G$58="","",3キー同時!$G$58)</f>
        <v>p</v>
      </c>
      <c r="F1745" s="2" t="str">
        <f aca="false">""</f>
        <v/>
      </c>
      <c r="G1745" s="2" t="str">
        <f aca="false">IF(OR(3キー同時!$B$58="",3キー同時!$G$58=""),"",IF(3キー同時!Y64="","",SUBSTITUTE(SUBSTITUTE(3キー同時!Y64," ",""),"　","")))</f>
        <v>ぢゅ</v>
      </c>
      <c r="H1745" s="2" t="str">
        <f aca="false">IF($G1745="","",3キー同時!$B$58)</f>
        <v>j</v>
      </c>
      <c r="I1745" s="2" t="str">
        <f aca="false">IF($G1745="","",3キー同時!$G$58)</f>
        <v>p</v>
      </c>
      <c r="J1745" s="2" t="str">
        <f aca="false">IF($G1745="","","g")</f>
        <v>g</v>
      </c>
      <c r="K1745" s="2" t="str">
        <f aca="false">""</f>
        <v/>
      </c>
      <c r="L1745" s="2" t="str">
        <f aca="false">IF($G1745="","","同時")</f>
        <v>同時</v>
      </c>
      <c r="M1745" s="2" t="str">
        <f aca="false">IF($G1745="","",IF(ISNA(MATCH($G1745,個別指定!$A:$A,0)),"行なし",""))</f>
        <v/>
      </c>
      <c r="N1745" s="2" t="str">
        <f aca="false">IF($G1745="","",IF(COUNTIF($G$2:$G$4460,$G1745)&gt;1,"重複",""))</f>
        <v/>
      </c>
    </row>
    <row r="1746" customFormat="false" ht="16.5" hidden="false" customHeight="true" outlineLevel="0" collapsed="false">
      <c r="A1746" s="2" t="s">
        <v>416</v>
      </c>
      <c r="B1746" s="2" t="s">
        <v>421</v>
      </c>
      <c r="C1746" s="2" t="s">
        <v>29</v>
      </c>
      <c r="D1746" s="2" t="str">
        <f aca="false">IF(3キー同時!$B$58="","",3キー同時!$B$58)</f>
        <v>j</v>
      </c>
      <c r="E1746" s="2" t="str">
        <f aca="false">IF(3キー同時!$G$58="","",3キー同時!$G$58)</f>
        <v>p</v>
      </c>
      <c r="F1746" s="2" t="str">
        <f aca="false">""</f>
        <v/>
      </c>
      <c r="G1746" s="2" t="str">
        <f aca="false">IF(OR(3キー同時!$B$58="",3キー同時!$G$58=""),"",IF(3キー同時!AC64="","",SUBSTITUTE(SUBSTITUTE(3キー同時!AC64," ",""),"　","")))</f>
        <v/>
      </c>
      <c r="H1746" s="2" t="str">
        <f aca="false">IF($G1746="","",3キー同時!$B$58)</f>
        <v/>
      </c>
      <c r="I1746" s="2" t="str">
        <f aca="false">IF($G1746="","",3キー同時!$G$58)</f>
        <v/>
      </c>
      <c r="J1746" s="2" t="str">
        <f aca="false">IF($G1746="","","h")</f>
        <v/>
      </c>
      <c r="K1746" s="2" t="str">
        <f aca="false">""</f>
        <v/>
      </c>
      <c r="L1746" s="2" t="str">
        <f aca="false">IF($G1746="","","同時")</f>
        <v/>
      </c>
      <c r="M1746" s="2" t="str">
        <f aca="false">IF($G1746="","",IF(ISNA(MATCH($G1746,個別指定!$A:$A,0)),"行なし",""))</f>
        <v/>
      </c>
      <c r="N1746" s="2" t="str">
        <f aca="false">IF($G1746="","",IF(COUNTIF($G$2:$G$4460,$G1746)&gt;1,"重複",""))</f>
        <v/>
      </c>
    </row>
    <row r="1747" customFormat="false" ht="16.5" hidden="false" customHeight="true" outlineLevel="0" collapsed="false">
      <c r="A1747" s="2" t="s">
        <v>416</v>
      </c>
      <c r="B1747" s="2" t="s">
        <v>421</v>
      </c>
      <c r="C1747" s="2" t="s">
        <v>30</v>
      </c>
      <c r="D1747" s="2" t="str">
        <f aca="false">IF(3キー同時!$B$58="","",3キー同時!$B$58)</f>
        <v>j</v>
      </c>
      <c r="E1747" s="2" t="str">
        <f aca="false">IF(3キー同時!$G$58="","",3キー同時!$G$58)</f>
        <v>p</v>
      </c>
      <c r="F1747" s="2" t="str">
        <f aca="false">""</f>
        <v/>
      </c>
      <c r="G1747" s="2" t="str">
        <f aca="false">IF(OR(3キー同時!$B$58="",3キー同時!$G$58=""),"",IF(3キー同時!AG64="","",SUBSTITUTE(SUBSTITUTE(3キー同時!AG64," ",""),"　","")))</f>
        <v/>
      </c>
      <c r="H1747" s="2" t="str">
        <f aca="false">IF($G1747="","",3キー同時!$B$58)</f>
        <v/>
      </c>
      <c r="I1747" s="2" t="str">
        <f aca="false">IF($G1747="","",3キー同時!$G$58)</f>
        <v/>
      </c>
      <c r="J1747" s="2" t="str">
        <f aca="false">IF($G1747="","","j")</f>
        <v/>
      </c>
      <c r="K1747" s="2" t="str">
        <f aca="false">""</f>
        <v/>
      </c>
      <c r="L1747" s="2" t="str">
        <f aca="false">IF($G1747="","","同時")</f>
        <v/>
      </c>
      <c r="M1747" s="2" t="str">
        <f aca="false">IF($G1747="","",IF(ISNA(MATCH($G1747,個別指定!$A:$A,0)),"行なし",""))</f>
        <v/>
      </c>
      <c r="N1747" s="2" t="str">
        <f aca="false">IF($G1747="","",IF(COUNTIF($G$2:$G$4460,$G1747)&gt;1,"重複",""))</f>
        <v/>
      </c>
    </row>
    <row r="1748" customFormat="false" ht="16.5" hidden="false" customHeight="true" outlineLevel="0" collapsed="false">
      <c r="A1748" s="2" t="s">
        <v>416</v>
      </c>
      <c r="B1748" s="2" t="s">
        <v>421</v>
      </c>
      <c r="C1748" s="2" t="s">
        <v>31</v>
      </c>
      <c r="D1748" s="2" t="str">
        <f aca="false">IF(3キー同時!$B$58="","",3キー同時!$B$58)</f>
        <v>j</v>
      </c>
      <c r="E1748" s="2" t="str">
        <f aca="false">IF(3キー同時!$G$58="","",3キー同時!$G$58)</f>
        <v>p</v>
      </c>
      <c r="F1748" s="2" t="str">
        <f aca="false">""</f>
        <v/>
      </c>
      <c r="G1748" s="2" t="str">
        <f aca="false">IF(OR(3キー同時!$B$58="",3キー同時!$G$58=""),"",IF(3キー同時!AK64="","",SUBSTITUTE(SUBSTITUTE(3キー同時!AK64," ",""),"　","")))</f>
        <v/>
      </c>
      <c r="H1748" s="2" t="str">
        <f aca="false">IF($G1748="","",3キー同時!$B$58)</f>
        <v/>
      </c>
      <c r="I1748" s="2" t="str">
        <f aca="false">IF($G1748="","",3キー同時!$G$58)</f>
        <v/>
      </c>
      <c r="J1748" s="2" t="str">
        <f aca="false">IF($G1748="","","k")</f>
        <v/>
      </c>
      <c r="K1748" s="2" t="str">
        <f aca="false">""</f>
        <v/>
      </c>
      <c r="L1748" s="2" t="str">
        <f aca="false">IF($G1748="","","同時")</f>
        <v/>
      </c>
      <c r="M1748" s="2" t="str">
        <f aca="false">IF($G1748="","",IF(ISNA(MATCH($G1748,個別指定!$A:$A,0)),"行なし",""))</f>
        <v/>
      </c>
      <c r="N1748" s="2" t="str">
        <f aca="false">IF($G1748="","",IF(COUNTIF($G$2:$G$4460,$G1748)&gt;1,"重複",""))</f>
        <v/>
      </c>
    </row>
    <row r="1749" customFormat="false" ht="16.5" hidden="false" customHeight="true" outlineLevel="0" collapsed="false">
      <c r="A1749" s="2" t="s">
        <v>416</v>
      </c>
      <c r="B1749" s="2" t="s">
        <v>421</v>
      </c>
      <c r="C1749" s="2" t="s">
        <v>32</v>
      </c>
      <c r="D1749" s="2" t="str">
        <f aca="false">IF(3キー同時!$B$58="","",3キー同時!$B$58)</f>
        <v>j</v>
      </c>
      <c r="E1749" s="2" t="str">
        <f aca="false">IF(3キー同時!$G$58="","",3キー同時!$G$58)</f>
        <v>p</v>
      </c>
      <c r="F1749" s="2" t="str">
        <f aca="false">""</f>
        <v/>
      </c>
      <c r="G1749" s="2" t="str">
        <f aca="false">IF(OR(3キー同時!$B$58="",3キー同時!$G$58=""),"",IF(3キー同時!AO64="","",SUBSTITUTE(SUBSTITUTE(3キー同時!AO64," ",""),"　","")))</f>
        <v/>
      </c>
      <c r="H1749" s="2" t="str">
        <f aca="false">IF($G1749="","",3キー同時!$B$58)</f>
        <v/>
      </c>
      <c r="I1749" s="2" t="str">
        <f aca="false">IF($G1749="","",3キー同時!$G$58)</f>
        <v/>
      </c>
      <c r="J1749" s="2" t="str">
        <f aca="false">IF($G1749="","","l")</f>
        <v/>
      </c>
      <c r="K1749" s="2" t="str">
        <f aca="false">""</f>
        <v/>
      </c>
      <c r="L1749" s="2" t="str">
        <f aca="false">IF($G1749="","","同時")</f>
        <v/>
      </c>
      <c r="M1749" s="2" t="str">
        <f aca="false">IF($G1749="","",IF(ISNA(MATCH($G1749,個別指定!$A:$A,0)),"行なし",""))</f>
        <v/>
      </c>
      <c r="N1749" s="2" t="str">
        <f aca="false">IF($G1749="","",IF(COUNTIF($G$2:$G$4460,$G1749)&gt;1,"重複",""))</f>
        <v/>
      </c>
    </row>
    <row r="1750" customFormat="false" ht="16.5" hidden="false" customHeight="true" outlineLevel="0" collapsed="false">
      <c r="A1750" s="2" t="s">
        <v>416</v>
      </c>
      <c r="B1750" s="2" t="s">
        <v>421</v>
      </c>
      <c r="C1750" s="2" t="s">
        <v>33</v>
      </c>
      <c r="D1750" s="2" t="str">
        <f aca="false">IF(3キー同時!$B$58="","",3キー同時!$B$58)</f>
        <v>j</v>
      </c>
      <c r="E1750" s="2" t="str">
        <f aca="false">IF(3キー同時!$G$58="","",3キー同時!$G$58)</f>
        <v>p</v>
      </c>
      <c r="F1750" s="2" t="str">
        <f aca="false">""</f>
        <v/>
      </c>
      <c r="G1750" s="2" t="str">
        <f aca="false">IF(OR(3キー同時!$B$58="",3キー同時!$G$58=""),"",IF(3キー同時!AS64="","",SUBSTITUTE(SUBSTITUTE(3キー同時!AS64," ",""),"　","")))</f>
        <v/>
      </c>
      <c r="H1750" s="2" t="str">
        <f aca="false">IF($G1750="","",3キー同時!$B$58)</f>
        <v/>
      </c>
      <c r="I1750" s="2" t="str">
        <f aca="false">IF($G1750="","",3キー同時!$G$58)</f>
        <v/>
      </c>
      <c r="J1750" s="2" t="str">
        <f aca="false">IF($G1750="","",";")</f>
        <v/>
      </c>
      <c r="K1750" s="2" t="str">
        <f aca="false">""</f>
        <v/>
      </c>
      <c r="L1750" s="2" t="str">
        <f aca="false">IF($G1750="","","同時")</f>
        <v/>
      </c>
      <c r="M1750" s="2" t="str">
        <f aca="false">IF($G1750="","",IF(ISNA(MATCH($G1750,個別指定!$A:$A,0)),"行なし",""))</f>
        <v/>
      </c>
      <c r="N1750" s="2" t="str">
        <f aca="false">IF($G1750="","",IF(COUNTIF($G$2:$G$4460,$G1750)&gt;1,"重複",""))</f>
        <v/>
      </c>
    </row>
    <row r="1751" customFormat="false" ht="16.5" hidden="false" customHeight="true" outlineLevel="0" collapsed="false">
      <c r="A1751" s="2" t="s">
        <v>416</v>
      </c>
      <c r="B1751" s="2" t="s">
        <v>421</v>
      </c>
      <c r="C1751" s="2" t="s">
        <v>34</v>
      </c>
      <c r="D1751" s="2" t="str">
        <f aca="false">IF(3キー同時!$B$58="","",3キー同時!$B$58)</f>
        <v>j</v>
      </c>
      <c r="E1751" s="2" t="str">
        <f aca="false">IF(3キー同時!$G$58="","",3キー同時!$G$58)</f>
        <v>p</v>
      </c>
      <c r="F1751" s="2" t="str">
        <f aca="false">""</f>
        <v/>
      </c>
      <c r="G1751" s="2" t="str">
        <f aca="false">IF(OR(3キー同時!$B$58="",3キー同時!$G$58=""),"",IF(3キー同時!AW64="","",SUBSTITUTE(SUBSTITUTE(3キー同時!AW64," ",""),"　","")))</f>
        <v/>
      </c>
      <c r="H1751" s="2" t="str">
        <f aca="false">IF($G1751="","",3キー同時!$B$58)</f>
        <v/>
      </c>
      <c r="I1751" s="2" t="str">
        <f aca="false">IF($G1751="","",3キー同時!$G$58)</f>
        <v/>
      </c>
      <c r="J1751" s="2" t="str">
        <f aca="false">IF($G1751="","","'")</f>
        <v/>
      </c>
      <c r="K1751" s="2" t="str">
        <f aca="false">""</f>
        <v/>
      </c>
      <c r="L1751" s="2" t="str">
        <f aca="false">IF($G1751="","","同時")</f>
        <v/>
      </c>
      <c r="M1751" s="2" t="str">
        <f aca="false">IF($G1751="","",IF(ISNA(MATCH($G1751,個別指定!$A:$A,0)),"行なし",""))</f>
        <v/>
      </c>
      <c r="N1751" s="2" t="str">
        <f aca="false">IF($G1751="","",IF(COUNTIF($G$2:$G$4460,$G1751)&gt;1,"重複",""))</f>
        <v/>
      </c>
    </row>
    <row r="1752" customFormat="false" ht="16.5" hidden="false" customHeight="true" outlineLevel="0" collapsed="false">
      <c r="A1752" s="2" t="s">
        <v>416</v>
      </c>
      <c r="B1752" s="2" t="s">
        <v>421</v>
      </c>
      <c r="C1752" s="2" t="s">
        <v>35</v>
      </c>
      <c r="D1752" s="2" t="str">
        <f aca="false">IF(3キー同時!$B$58="","",3キー同時!$B$58)</f>
        <v>j</v>
      </c>
      <c r="E1752" s="2" t="str">
        <f aca="false">IF(3キー同時!$G$58="","",3キー同時!$G$58)</f>
        <v>p</v>
      </c>
      <c r="F1752" s="2" t="str">
        <f aca="false">""</f>
        <v/>
      </c>
      <c r="G1752" s="2" t="str">
        <f aca="false">IF(OR(3キー同時!$B$58="",3キー同時!$G$58=""),"",IF(3キー同時!K66="","",SUBSTITUTE(SUBSTITUTE(3キー同時!K66," ",""),"　","")))</f>
        <v/>
      </c>
      <c r="H1752" s="2" t="str">
        <f aca="false">IF($G1752="","",3キー同時!$B$58)</f>
        <v/>
      </c>
      <c r="I1752" s="2" t="str">
        <f aca="false">IF($G1752="","",3キー同時!$G$58)</f>
        <v/>
      </c>
      <c r="J1752" s="2" t="str">
        <f aca="false">IF($G1752="","","z")</f>
        <v/>
      </c>
      <c r="K1752" s="2" t="str">
        <f aca="false">""</f>
        <v/>
      </c>
      <c r="L1752" s="2" t="str">
        <f aca="false">IF($G1752="","","同時")</f>
        <v/>
      </c>
      <c r="M1752" s="2" t="str">
        <f aca="false">IF($G1752="","",IF(ISNA(MATCH($G1752,個別指定!$A:$A,0)),"行なし",""))</f>
        <v/>
      </c>
      <c r="N1752" s="2" t="str">
        <f aca="false">IF($G1752="","",IF(COUNTIF($G$2:$G$4460,$G1752)&gt;1,"重複",""))</f>
        <v/>
      </c>
    </row>
    <row r="1753" customFormat="false" ht="16.5" hidden="false" customHeight="true" outlineLevel="0" collapsed="false">
      <c r="A1753" s="2" t="s">
        <v>416</v>
      </c>
      <c r="B1753" s="2" t="s">
        <v>421</v>
      </c>
      <c r="C1753" s="2" t="s">
        <v>36</v>
      </c>
      <c r="D1753" s="2" t="str">
        <f aca="false">IF(3キー同時!$B$58="","",3キー同時!$B$58)</f>
        <v>j</v>
      </c>
      <c r="E1753" s="2" t="str">
        <f aca="false">IF(3キー同時!$G$58="","",3キー同時!$G$58)</f>
        <v>p</v>
      </c>
      <c r="F1753" s="2" t="str">
        <f aca="false">""</f>
        <v/>
      </c>
      <c r="G1753" s="2" t="str">
        <f aca="false">IF(OR(3キー同時!$B$58="",3キー同時!$G$58=""),"",IF(3キー同時!O66="","",SUBSTITUTE(SUBSTITUTE(3キー同時!O66," ",""),"　","")))</f>
        <v>びゅ</v>
      </c>
      <c r="H1753" s="2" t="str">
        <f aca="false">IF($G1753="","",3キー同時!$B$58)</f>
        <v>j</v>
      </c>
      <c r="I1753" s="2" t="str">
        <f aca="false">IF($G1753="","",3キー同時!$G$58)</f>
        <v>p</v>
      </c>
      <c r="J1753" s="2" t="str">
        <f aca="false">IF($G1753="","","x")</f>
        <v>x</v>
      </c>
      <c r="K1753" s="2" t="str">
        <f aca="false">""</f>
        <v/>
      </c>
      <c r="L1753" s="2" t="str">
        <f aca="false">IF($G1753="","","同時")</f>
        <v>同時</v>
      </c>
      <c r="M1753" s="2" t="str">
        <f aca="false">IF($G1753="","",IF(ISNA(MATCH($G1753,個別指定!$A:$A,0)),"行なし",""))</f>
        <v/>
      </c>
      <c r="N1753" s="2" t="str">
        <f aca="false">IF($G1753="","",IF(COUNTIF($G$2:$G$4460,$G1753)&gt;1,"重複",""))</f>
        <v/>
      </c>
    </row>
    <row r="1754" customFormat="false" ht="16.5" hidden="false" customHeight="true" outlineLevel="0" collapsed="false">
      <c r="A1754" s="2" t="s">
        <v>416</v>
      </c>
      <c r="B1754" s="2" t="s">
        <v>421</v>
      </c>
      <c r="C1754" s="2" t="s">
        <v>37</v>
      </c>
      <c r="D1754" s="2" t="str">
        <f aca="false">IF(3キー同時!$B$58="","",3キー同時!$B$58)</f>
        <v>j</v>
      </c>
      <c r="E1754" s="2" t="str">
        <f aca="false">IF(3キー同時!$G$58="","",3キー同時!$G$58)</f>
        <v>p</v>
      </c>
      <c r="F1754" s="2" t="str">
        <f aca="false">""</f>
        <v/>
      </c>
      <c r="G1754" s="2" t="str">
        <f aca="false">IF(OR(3キー同時!$B$58="",3キー同時!$G$58=""),"",IF(3キー同時!S66="","",SUBSTITUTE(SUBSTITUTE(3キー同時!S66," ",""),"　","")))</f>
        <v/>
      </c>
      <c r="H1754" s="2" t="str">
        <f aca="false">IF($G1754="","",3キー同時!$B$58)</f>
        <v/>
      </c>
      <c r="I1754" s="2" t="str">
        <f aca="false">IF($G1754="","",3キー同時!$G$58)</f>
        <v/>
      </c>
      <c r="J1754" s="2" t="str">
        <f aca="false">IF($G1754="","","c")</f>
        <v/>
      </c>
      <c r="K1754" s="2" t="str">
        <f aca="false">""</f>
        <v/>
      </c>
      <c r="L1754" s="2" t="str">
        <f aca="false">IF($G1754="","","同時")</f>
        <v/>
      </c>
      <c r="M1754" s="2" t="str">
        <f aca="false">IF($G1754="","",IF(ISNA(MATCH($G1754,個別指定!$A:$A,0)),"行なし",""))</f>
        <v/>
      </c>
      <c r="N1754" s="2" t="str">
        <f aca="false">IF($G1754="","",IF(COUNTIF($G$2:$G$4460,$G1754)&gt;1,"重複",""))</f>
        <v/>
      </c>
    </row>
    <row r="1755" customFormat="false" ht="16.5" hidden="false" customHeight="true" outlineLevel="0" collapsed="false">
      <c r="A1755" s="2" t="s">
        <v>416</v>
      </c>
      <c r="B1755" s="2" t="s">
        <v>421</v>
      </c>
      <c r="C1755" s="2" t="s">
        <v>38</v>
      </c>
      <c r="D1755" s="2" t="str">
        <f aca="false">IF(3キー同時!$B$58="","",3キー同時!$B$58)</f>
        <v>j</v>
      </c>
      <c r="E1755" s="2" t="str">
        <f aca="false">IF(3キー同時!$G$58="","",3キー同時!$G$58)</f>
        <v>p</v>
      </c>
      <c r="F1755" s="2" t="str">
        <f aca="false">""</f>
        <v/>
      </c>
      <c r="G1755" s="2" t="str">
        <f aca="false">IF(OR(3キー同時!$B$58="",3キー同時!$G$58=""),"",IF(3キー同時!W66="","",SUBSTITUTE(SUBSTITUTE(3キー同時!W66," ",""),"　","")))</f>
        <v/>
      </c>
      <c r="H1755" s="2" t="str">
        <f aca="false">IF($G1755="","",3キー同時!$B$58)</f>
        <v/>
      </c>
      <c r="I1755" s="2" t="str">
        <f aca="false">IF($G1755="","",3キー同時!$G$58)</f>
        <v/>
      </c>
      <c r="J1755" s="2" t="str">
        <f aca="false">IF($G1755="","","v")</f>
        <v/>
      </c>
      <c r="K1755" s="2" t="str">
        <f aca="false">""</f>
        <v/>
      </c>
      <c r="L1755" s="2" t="str">
        <f aca="false">IF($G1755="","","同時")</f>
        <v/>
      </c>
      <c r="M1755" s="2" t="str">
        <f aca="false">IF($G1755="","",IF(ISNA(MATCH($G1755,個別指定!$A:$A,0)),"行なし",""))</f>
        <v/>
      </c>
      <c r="N1755" s="2" t="str">
        <f aca="false">IF($G1755="","",IF(COUNTIF($G$2:$G$4460,$G1755)&gt;1,"重複",""))</f>
        <v/>
      </c>
    </row>
    <row r="1756" customFormat="false" ht="16.5" hidden="false" customHeight="true" outlineLevel="0" collapsed="false">
      <c r="A1756" s="2" t="s">
        <v>416</v>
      </c>
      <c r="B1756" s="2" t="s">
        <v>421</v>
      </c>
      <c r="C1756" s="2" t="s">
        <v>39</v>
      </c>
      <c r="D1756" s="2" t="str">
        <f aca="false">IF(3キー同時!$B$58="","",3キー同時!$B$58)</f>
        <v>j</v>
      </c>
      <c r="E1756" s="2" t="str">
        <f aca="false">IF(3キー同時!$G$58="","",3キー同時!$G$58)</f>
        <v>p</v>
      </c>
      <c r="F1756" s="2" t="str">
        <f aca="false">""</f>
        <v/>
      </c>
      <c r="G1756" s="2" t="str">
        <f aca="false">IF(OR(3キー同時!$B$58="",3キー同時!$G$58=""),"",IF(3キー同時!AA66="","",SUBSTITUTE(SUBSTITUTE(3キー同時!AA66," ",""),"　","")))</f>
        <v/>
      </c>
      <c r="H1756" s="2" t="str">
        <f aca="false">IF($G1756="","",3キー同時!$B$58)</f>
        <v/>
      </c>
      <c r="I1756" s="2" t="str">
        <f aca="false">IF($G1756="","",3キー同時!$G$58)</f>
        <v/>
      </c>
      <c r="J1756" s="2" t="str">
        <f aca="false">IF($G1756="","","b")</f>
        <v/>
      </c>
      <c r="K1756" s="2" t="str">
        <f aca="false">""</f>
        <v/>
      </c>
      <c r="L1756" s="2" t="str">
        <f aca="false">IF($G1756="","","同時")</f>
        <v/>
      </c>
      <c r="M1756" s="2" t="str">
        <f aca="false">IF($G1756="","",IF(ISNA(MATCH($G1756,個別指定!$A:$A,0)),"行なし",""))</f>
        <v/>
      </c>
      <c r="N1756" s="2" t="str">
        <f aca="false">IF($G1756="","",IF(COUNTIF($G$2:$G$4460,$G1756)&gt;1,"重複",""))</f>
        <v/>
      </c>
    </row>
    <row r="1757" customFormat="false" ht="16.5" hidden="false" customHeight="true" outlineLevel="0" collapsed="false">
      <c r="A1757" s="2" t="s">
        <v>416</v>
      </c>
      <c r="B1757" s="2" t="s">
        <v>421</v>
      </c>
      <c r="C1757" s="2" t="s">
        <v>40</v>
      </c>
      <c r="D1757" s="2" t="str">
        <f aca="false">IF(3キー同時!$B$58="","",3キー同時!$B$58)</f>
        <v>j</v>
      </c>
      <c r="E1757" s="2" t="str">
        <f aca="false">IF(3キー同時!$G$58="","",3キー同時!$G$58)</f>
        <v>p</v>
      </c>
      <c r="F1757" s="2" t="str">
        <f aca="false">""</f>
        <v/>
      </c>
      <c r="G1757" s="2" t="str">
        <f aca="false">IF(OR(3キー同時!$B$58="",3キー同時!$G$58=""),"",IF(3キー同時!AE66="","",SUBSTITUTE(SUBSTITUTE(3キー同時!AE66," ",""),"　","")))</f>
        <v/>
      </c>
      <c r="H1757" s="2" t="str">
        <f aca="false">IF($G1757="","",3キー同時!$B$58)</f>
        <v/>
      </c>
      <c r="I1757" s="2" t="str">
        <f aca="false">IF($G1757="","",3キー同時!$G$58)</f>
        <v/>
      </c>
      <c r="J1757" s="2" t="str">
        <f aca="false">IF($G1757="","","n")</f>
        <v/>
      </c>
      <c r="K1757" s="2" t="str">
        <f aca="false">""</f>
        <v/>
      </c>
      <c r="L1757" s="2" t="str">
        <f aca="false">IF($G1757="","","同時")</f>
        <v/>
      </c>
      <c r="M1757" s="2" t="str">
        <f aca="false">IF($G1757="","",IF(ISNA(MATCH($G1757,個別指定!$A:$A,0)),"行なし",""))</f>
        <v/>
      </c>
      <c r="N1757" s="2" t="str">
        <f aca="false">IF($G1757="","",IF(COUNTIF($G$2:$G$4460,$G1757)&gt;1,"重複",""))</f>
        <v/>
      </c>
    </row>
    <row r="1758" customFormat="false" ht="16.5" hidden="false" customHeight="true" outlineLevel="0" collapsed="false">
      <c r="A1758" s="2" t="s">
        <v>416</v>
      </c>
      <c r="B1758" s="2" t="s">
        <v>421</v>
      </c>
      <c r="C1758" s="2" t="s">
        <v>41</v>
      </c>
      <c r="D1758" s="2" t="str">
        <f aca="false">IF(3キー同時!$B$58="","",3キー同時!$B$58)</f>
        <v>j</v>
      </c>
      <c r="E1758" s="2" t="str">
        <f aca="false">IF(3キー同時!$G$58="","",3キー同時!$G$58)</f>
        <v>p</v>
      </c>
      <c r="F1758" s="2" t="str">
        <f aca="false">""</f>
        <v/>
      </c>
      <c r="G1758" s="2" t="str">
        <f aca="false">IF(OR(3キー同時!$B$58="",3キー同時!$G$58=""),"",IF(3キー同時!AI66="","",SUBSTITUTE(SUBSTITUTE(3キー同時!AI66," ",""),"　","")))</f>
        <v/>
      </c>
      <c r="H1758" s="2" t="str">
        <f aca="false">IF($G1758="","",3キー同時!$B$58)</f>
        <v/>
      </c>
      <c r="I1758" s="2" t="str">
        <f aca="false">IF($G1758="","",3キー同時!$G$58)</f>
        <v/>
      </c>
      <c r="J1758" s="2" t="str">
        <f aca="false">IF($G1758="","","m")</f>
        <v/>
      </c>
      <c r="K1758" s="2" t="str">
        <f aca="false">""</f>
        <v/>
      </c>
      <c r="L1758" s="2" t="str">
        <f aca="false">IF($G1758="","","同時")</f>
        <v/>
      </c>
      <c r="M1758" s="2" t="str">
        <f aca="false">IF($G1758="","",IF(ISNA(MATCH($G1758,個別指定!$A:$A,0)),"行なし",""))</f>
        <v/>
      </c>
      <c r="N1758" s="2" t="str">
        <f aca="false">IF($G1758="","",IF(COUNTIF($G$2:$G$4460,$G1758)&gt;1,"重複",""))</f>
        <v/>
      </c>
    </row>
    <row r="1759" customFormat="false" ht="16.5" hidden="false" customHeight="true" outlineLevel="0" collapsed="false">
      <c r="A1759" s="2" t="s">
        <v>416</v>
      </c>
      <c r="B1759" s="2" t="s">
        <v>421</v>
      </c>
      <c r="C1759" s="2" t="s">
        <v>42</v>
      </c>
      <c r="D1759" s="2" t="str">
        <f aca="false">IF(3キー同時!$B$58="","",3キー同時!$B$58)</f>
        <v>j</v>
      </c>
      <c r="E1759" s="2" t="str">
        <f aca="false">IF(3キー同時!$G$58="","",3キー同時!$G$58)</f>
        <v>p</v>
      </c>
      <c r="F1759" s="2" t="str">
        <f aca="false">""</f>
        <v/>
      </c>
      <c r="G1759" s="2" t="str">
        <f aca="false">IF(OR(3キー同時!$B$58="",3キー同時!$G$58=""),"",IF(3キー同時!AM66="","",SUBSTITUTE(SUBSTITUTE(3キー同時!AM66," ",""),"　","")))</f>
        <v/>
      </c>
      <c r="H1759" s="2" t="str">
        <f aca="false">IF($G1759="","",3キー同時!$B$58)</f>
        <v/>
      </c>
      <c r="I1759" s="2" t="str">
        <f aca="false">IF($G1759="","",3キー同時!$G$58)</f>
        <v/>
      </c>
      <c r="J1759" s="2" t="str">
        <f aca="false">IF($G1759="","",",")</f>
        <v/>
      </c>
      <c r="K1759" s="2" t="str">
        <f aca="false">""</f>
        <v/>
      </c>
      <c r="L1759" s="2" t="str">
        <f aca="false">IF($G1759="","","同時")</f>
        <v/>
      </c>
      <c r="M1759" s="2" t="str">
        <f aca="false">IF($G1759="","",IF(ISNA(MATCH($G1759,個別指定!$A:$A,0)),"行なし",""))</f>
        <v/>
      </c>
      <c r="N1759" s="2" t="str">
        <f aca="false">IF($G1759="","",IF(COUNTIF($G$2:$G$4460,$G1759)&gt;1,"重複",""))</f>
        <v/>
      </c>
    </row>
    <row r="1760" customFormat="false" ht="16.5" hidden="false" customHeight="true" outlineLevel="0" collapsed="false">
      <c r="A1760" s="2" t="s">
        <v>416</v>
      </c>
      <c r="B1760" s="2" t="s">
        <v>421</v>
      </c>
      <c r="C1760" s="2" t="s">
        <v>43</v>
      </c>
      <c r="D1760" s="2" t="str">
        <f aca="false">IF(3キー同時!$B$58="","",3キー同時!$B$58)</f>
        <v>j</v>
      </c>
      <c r="E1760" s="2" t="str">
        <f aca="false">IF(3キー同時!$G$58="","",3キー同時!$G$58)</f>
        <v>p</v>
      </c>
      <c r="F1760" s="2" t="str">
        <f aca="false">""</f>
        <v/>
      </c>
      <c r="G1760" s="2" t="str">
        <f aca="false">IF(OR(3キー同時!$B$58="",3キー同時!$G$58=""),"",IF(3キー同時!AQ66="","",SUBSTITUTE(SUBSTITUTE(3キー同時!AQ66," ",""),"　","")))</f>
        <v/>
      </c>
      <c r="H1760" s="2" t="str">
        <f aca="false">IF($G1760="","",3キー同時!$B$58)</f>
        <v/>
      </c>
      <c r="I1760" s="2" t="str">
        <f aca="false">IF($G1760="","",3キー同時!$G$58)</f>
        <v/>
      </c>
      <c r="J1760" s="2" t="str">
        <f aca="false">IF($G1760="","",".")</f>
        <v/>
      </c>
      <c r="K1760" s="2" t="str">
        <f aca="false">""</f>
        <v/>
      </c>
      <c r="L1760" s="2" t="str">
        <f aca="false">IF($G1760="","","同時")</f>
        <v/>
      </c>
      <c r="M1760" s="2" t="str">
        <f aca="false">IF($G1760="","",IF(ISNA(MATCH($G1760,個別指定!$A:$A,0)),"行なし",""))</f>
        <v/>
      </c>
      <c r="N1760" s="2" t="str">
        <f aca="false">IF($G1760="","",IF(COUNTIF($G$2:$G$4460,$G1760)&gt;1,"重複",""))</f>
        <v/>
      </c>
    </row>
    <row r="1761" customFormat="false" ht="16.5" hidden="false" customHeight="true" outlineLevel="0" collapsed="false">
      <c r="A1761" s="2" t="s">
        <v>416</v>
      </c>
      <c r="B1761" s="2" t="s">
        <v>421</v>
      </c>
      <c r="C1761" s="2" t="s">
        <v>44</v>
      </c>
      <c r="D1761" s="2" t="str">
        <f aca="false">IF(3キー同時!$B$58="","",3キー同時!$B$58)</f>
        <v>j</v>
      </c>
      <c r="E1761" s="2" t="str">
        <f aca="false">IF(3キー同時!$G$58="","",3キー同時!$G$58)</f>
        <v>p</v>
      </c>
      <c r="F1761" s="2" t="str">
        <f aca="false">""</f>
        <v/>
      </c>
      <c r="G1761" s="2" t="str">
        <f aca="false">IF(OR(3キー同時!$B$58="",3キー同時!$G$58=""),"",IF(3キー同時!AU66="","",SUBSTITUTE(SUBSTITUTE(3キー同時!AU66," ",""),"　","")))</f>
        <v/>
      </c>
      <c r="H1761" s="2" t="str">
        <f aca="false">IF($G1761="","",3キー同時!$B$58)</f>
        <v/>
      </c>
      <c r="I1761" s="2" t="str">
        <f aca="false">IF($G1761="","",3キー同時!$G$58)</f>
        <v/>
      </c>
      <c r="J1761" s="2" t="str">
        <f aca="false">IF($G1761="","","/")</f>
        <v/>
      </c>
      <c r="K1761" s="2" t="str">
        <f aca="false">""</f>
        <v/>
      </c>
      <c r="L1761" s="2" t="str">
        <f aca="false">IF($G1761="","","同時")</f>
        <v/>
      </c>
      <c r="M1761" s="2" t="str">
        <f aca="false">IF($G1761="","",IF(ISNA(MATCH($G1761,個別指定!$A:$A,0)),"行なし",""))</f>
        <v/>
      </c>
      <c r="N1761" s="2" t="str">
        <f aca="false">IF($G1761="","",IF(COUNTIF($G$2:$G$4460,$G1761)&gt;1,"重複",""))</f>
        <v/>
      </c>
    </row>
    <row r="1762" customFormat="false" ht="16.5" hidden="false" customHeight="true" outlineLevel="0" collapsed="false">
      <c r="A1762" s="2" t="s">
        <v>416</v>
      </c>
      <c r="B1762" s="2" t="s">
        <v>421</v>
      </c>
      <c r="C1762" s="2" t="s">
        <v>48</v>
      </c>
      <c r="D1762" s="2" t="str">
        <f aca="false">IF(3キー同時!$B$58="","",3キー同時!$B$58)</f>
        <v>j</v>
      </c>
      <c r="E1762" s="2" t="str">
        <f aca="false">IF(3キー同時!$G$58="","",3キー同時!$G$58)</f>
        <v>p</v>
      </c>
      <c r="F1762" s="2" t="str">
        <f aca="false">""</f>
        <v/>
      </c>
      <c r="G1762" s="2" t="str">
        <f aca="false">IF(OR(3キー同時!$B$58="",3キー同時!$G$58=""),"",IF(3キー同時!P68="","",SUBSTITUTE(SUBSTITUTE(3キー同時!P68," ",""),"　","")))</f>
        <v/>
      </c>
      <c r="H1762" s="2" t="str">
        <f aca="false">IF($G1762="","",3キー同時!$B$58)</f>
        <v/>
      </c>
      <c r="I1762" s="2" t="str">
        <f aca="false">IF($G1762="","",3キー同時!$G$58)</f>
        <v/>
      </c>
      <c r="J1762" s="2" t="str">
        <f aca="false">IF($G1762="","","muhenkan")</f>
        <v/>
      </c>
      <c r="K1762" s="2" t="str">
        <f aca="false">""</f>
        <v/>
      </c>
      <c r="L1762" s="2" t="str">
        <f aca="false">IF($G1762="","","同時")</f>
        <v/>
      </c>
      <c r="M1762" s="2" t="str">
        <f aca="false">IF($G1762="","",IF(ISNA(MATCH($G1762,個別指定!$A:$A,0)),"行なし",""))</f>
        <v/>
      </c>
      <c r="N1762" s="2" t="str">
        <f aca="false">IF($G1762="","",IF(COUNTIF($G$2:$G$4460,$G1762)&gt;1,"重複",""))</f>
        <v/>
      </c>
    </row>
    <row r="1763" customFormat="false" ht="16.5" hidden="false" customHeight="true" outlineLevel="0" collapsed="false">
      <c r="A1763" s="2" t="s">
        <v>416</v>
      </c>
      <c r="B1763" s="2" t="s">
        <v>421</v>
      </c>
      <c r="C1763" s="2" t="s">
        <v>50</v>
      </c>
      <c r="D1763" s="2" t="str">
        <f aca="false">IF(3キー同時!$B$58="","",3キー同時!$B$58)</f>
        <v>j</v>
      </c>
      <c r="E1763" s="2" t="str">
        <f aca="false">IF(3キー同時!$G$58="","",3キー同時!$G$58)</f>
        <v>p</v>
      </c>
      <c r="F1763" s="2" t="str">
        <f aca="false">""</f>
        <v/>
      </c>
      <c r="G1763" s="2" t="str">
        <f aca="false">IF(OR(3キー同時!$B$58="",3キー同時!$G$58=""),"",IF(3キー同時!T68="","",SUBSTITUTE(SUBSTITUTE(3キー同時!T68," ",""),"　","")))</f>
        <v/>
      </c>
      <c r="H1763" s="2" t="str">
        <f aca="false">IF($G1763="","",3キー同時!$B$58)</f>
        <v/>
      </c>
      <c r="I1763" s="2" t="str">
        <f aca="false">IF($G1763="","",3キー同時!$G$58)</f>
        <v/>
      </c>
      <c r="J1763" s="2" t="str">
        <f aca="false">IF($G1763="","","space")</f>
        <v/>
      </c>
      <c r="K1763" s="2" t="str">
        <f aca="false">""</f>
        <v/>
      </c>
      <c r="L1763" s="2" t="str">
        <f aca="false">IF($G1763="","","同時")</f>
        <v/>
      </c>
      <c r="M1763" s="2" t="str">
        <f aca="false">IF($G1763="","",IF(ISNA(MATCH($G1763,個別指定!$A:$A,0)),"行なし",""))</f>
        <v/>
      </c>
      <c r="N1763" s="2" t="str">
        <f aca="false">IF($G1763="","",IF(COUNTIF($G$2:$G$4460,$G1763)&gt;1,"重複",""))</f>
        <v/>
      </c>
    </row>
    <row r="1764" customFormat="false" ht="16.5" hidden="false" customHeight="true" outlineLevel="0" collapsed="false">
      <c r="A1764" s="2" t="s">
        <v>416</v>
      </c>
      <c r="B1764" s="2" t="s">
        <v>421</v>
      </c>
      <c r="C1764" s="2" t="s">
        <v>45</v>
      </c>
      <c r="D1764" s="2" t="str">
        <f aca="false">IF(3キー同時!$B$58="","",3キー同時!$B$58)</f>
        <v>j</v>
      </c>
      <c r="E1764" s="2" t="str">
        <f aca="false">IF(3キー同時!$G$58="","",3キー同時!$G$58)</f>
        <v>p</v>
      </c>
      <c r="F1764" s="2" t="str">
        <f aca="false">""</f>
        <v/>
      </c>
      <c r="G1764" s="2" t="str">
        <f aca="false">IF(OR(3キー同時!$B$58="",3キー同時!$G$58=""),"",IF(3キー同時!AL68="","",SUBSTITUTE(SUBSTITUTE(3キー同時!AL68," ",""),"　","")))</f>
        <v/>
      </c>
      <c r="H1764" s="2" t="str">
        <f aca="false">IF($G1764="","",3キー同時!$B$58)</f>
        <v/>
      </c>
      <c r="I1764" s="2" t="str">
        <f aca="false">IF($G1764="","",3キー同時!$G$58)</f>
        <v/>
      </c>
      <c r="J1764" s="2" t="str">
        <f aca="false">IF($G1764="","","henkan")</f>
        <v/>
      </c>
      <c r="K1764" s="2" t="str">
        <f aca="false">""</f>
        <v/>
      </c>
      <c r="L1764" s="2" t="str">
        <f aca="false">IF($G1764="","","同時")</f>
        <v/>
      </c>
      <c r="M1764" s="2" t="str">
        <f aca="false">IF($G1764="","",IF(ISNA(MATCH($G1764,個別指定!$A:$A,0)),"行なし",""))</f>
        <v/>
      </c>
      <c r="N1764" s="2" t="str">
        <f aca="false">IF($G1764="","",IF(COUNTIF($G$2:$G$4460,$G1764)&gt;1,"重複",""))</f>
        <v/>
      </c>
    </row>
    <row r="1765" customFormat="false" ht="16.5" hidden="false" customHeight="true" outlineLevel="0" collapsed="false">
      <c r="A1765" s="2" t="s">
        <v>416</v>
      </c>
      <c r="B1765" s="2" t="s">
        <v>421</v>
      </c>
      <c r="C1765" s="2" t="s">
        <v>46</v>
      </c>
      <c r="D1765" s="2" t="str">
        <f aca="false">IF(3キー同時!$B$58="","",3キー同時!$B$58)</f>
        <v>j</v>
      </c>
      <c r="E1765" s="2" t="str">
        <f aca="false">IF(3キー同時!$G$58="","",3キー同時!$G$58)</f>
        <v>p</v>
      </c>
      <c r="F1765" s="2" t="str">
        <f aca="false">""</f>
        <v/>
      </c>
      <c r="G1765" s="2" t="str">
        <f aca="false">IF(OR(3キー同時!$B$58="",3キー同時!$G$58=""),"",IF(3キー同時!AP68="","",SUBSTITUTE(SUBSTITUTE(3キー同時!AP68," ",""),"　","")))</f>
        <v/>
      </c>
      <c r="H1765" s="2" t="str">
        <f aca="false">IF($G1765="","",3キー同時!$B$58)</f>
        <v/>
      </c>
      <c r="I1765" s="2" t="str">
        <f aca="false">IF($G1765="","",3キー同時!$G$58)</f>
        <v/>
      </c>
      <c r="J1765" s="2" t="str">
        <f aca="false">IF($G1765="","","kana")</f>
        <v/>
      </c>
      <c r="K1765" s="2" t="str">
        <f aca="false">""</f>
        <v/>
      </c>
      <c r="L1765" s="2" t="str">
        <f aca="false">IF($G1765="","","同時")</f>
        <v/>
      </c>
      <c r="M1765" s="2" t="str">
        <f aca="false">IF($G1765="","",IF(ISNA(MATCH($G1765,個別指定!$A:$A,0)),"行なし",""))</f>
        <v/>
      </c>
      <c r="N1765" s="2" t="str">
        <f aca="false">IF($G1765="","",IF(COUNTIF($G$2:$G$4460,$G1765)&gt;1,"重複",""))</f>
        <v/>
      </c>
    </row>
    <row r="1766" customFormat="false" ht="16.5" hidden="false" customHeight="true" outlineLevel="0" collapsed="false">
      <c r="A1766" s="2" t="s">
        <v>416</v>
      </c>
      <c r="B1766" s="2" t="s">
        <v>422</v>
      </c>
      <c r="C1766" s="2" t="s">
        <v>0</v>
      </c>
      <c r="D1766" s="2" t="str">
        <f aca="false">IF(3キー同時!$B$71="","",3キー同時!$B$71)</f>
        <v>m</v>
      </c>
      <c r="E1766" s="2" t="str">
        <f aca="false">IF(3キー同時!$G$71="","",3キー同時!$G$71)</f>
        <v>i</v>
      </c>
      <c r="F1766" s="2" t="str">
        <f aca="false">""</f>
        <v/>
      </c>
      <c r="G1766" s="2" t="str">
        <f aca="false">IF(OR(3キー同時!$B$71="",3キー同時!$G$71=""),"",IF(3キー同時!F73="","",SUBSTITUTE(SUBSTITUTE(3キー同時!F73," ",""),"　","")))</f>
        <v/>
      </c>
      <c r="H1766" s="2" t="str">
        <f aca="false">IF($G1766="","",3キー同時!$B$71)</f>
        <v/>
      </c>
      <c r="I1766" s="2" t="str">
        <f aca="false">IF($G1766="","",3キー同時!$G$71)</f>
        <v/>
      </c>
      <c r="J1766" s="2" t="str">
        <f aca="false">IF($G1766="","","1")</f>
        <v/>
      </c>
      <c r="K1766" s="2" t="str">
        <f aca="false">""</f>
        <v/>
      </c>
      <c r="L1766" s="2" t="str">
        <f aca="false">IF($G1766="","","同時")</f>
        <v/>
      </c>
      <c r="M1766" s="2" t="str">
        <f aca="false">IF($G1766="","",IF(ISNA(MATCH($G1766,個別指定!$A:$A,0)),"行なし",""))</f>
        <v/>
      </c>
      <c r="N1766" s="2" t="str">
        <f aca="false">IF($G1766="","",IF(COUNTIF($G$2:$G$4460,$G1766)&gt;1,"重複",""))</f>
        <v/>
      </c>
    </row>
    <row r="1767" customFormat="false" ht="16.5" hidden="false" customHeight="true" outlineLevel="0" collapsed="false">
      <c r="A1767" s="2" t="s">
        <v>416</v>
      </c>
      <c r="B1767" s="2" t="s">
        <v>422</v>
      </c>
      <c r="C1767" s="2" t="s">
        <v>1</v>
      </c>
      <c r="D1767" s="2" t="str">
        <f aca="false">IF(3キー同時!$B$71="","",3キー同時!$B$71)</f>
        <v>m</v>
      </c>
      <c r="E1767" s="2" t="str">
        <f aca="false">IF(3キー同時!$G$71="","",3キー同時!$G$71)</f>
        <v>i</v>
      </c>
      <c r="F1767" s="2" t="str">
        <f aca="false">""</f>
        <v/>
      </c>
      <c r="G1767" s="2" t="str">
        <f aca="false">IF(OR(3キー同時!$B$71="",3キー同時!$G$71=""),"",IF(3キー同時!J73="","",SUBSTITUTE(SUBSTITUTE(3キー同時!J73," ",""),"　","")))</f>
        <v/>
      </c>
      <c r="H1767" s="2" t="str">
        <f aca="false">IF($G1767="","",3キー同時!$B$71)</f>
        <v/>
      </c>
      <c r="I1767" s="2" t="str">
        <f aca="false">IF($G1767="","",3キー同時!$G$71)</f>
        <v/>
      </c>
      <c r="J1767" s="2" t="str">
        <f aca="false">IF($G1767="","","2")</f>
        <v/>
      </c>
      <c r="K1767" s="2" t="str">
        <f aca="false">""</f>
        <v/>
      </c>
      <c r="L1767" s="2" t="str">
        <f aca="false">IF($G1767="","","同時")</f>
        <v/>
      </c>
      <c r="M1767" s="2" t="str">
        <f aca="false">IF($G1767="","",IF(ISNA(MATCH($G1767,個別指定!$A:$A,0)),"行なし",""))</f>
        <v/>
      </c>
      <c r="N1767" s="2" t="str">
        <f aca="false">IF($G1767="","",IF(COUNTIF($G$2:$G$4460,$G1767)&gt;1,"重複",""))</f>
        <v/>
      </c>
    </row>
    <row r="1768" customFormat="false" ht="16.5" hidden="false" customHeight="true" outlineLevel="0" collapsed="false">
      <c r="A1768" s="2" t="s">
        <v>416</v>
      </c>
      <c r="B1768" s="2" t="s">
        <v>422</v>
      </c>
      <c r="C1768" s="2" t="s">
        <v>2</v>
      </c>
      <c r="D1768" s="2" t="str">
        <f aca="false">IF(3キー同時!$B$71="","",3キー同時!$B$71)</f>
        <v>m</v>
      </c>
      <c r="E1768" s="2" t="str">
        <f aca="false">IF(3キー同時!$G$71="","",3キー同時!$G$71)</f>
        <v>i</v>
      </c>
      <c r="F1768" s="2" t="str">
        <f aca="false">""</f>
        <v/>
      </c>
      <c r="G1768" s="2" t="str">
        <f aca="false">IF(OR(3キー同時!$B$71="",3キー同時!$G$71=""),"",IF(3キー同時!N73="","",SUBSTITUTE(SUBSTITUTE(3キー同時!N73," ",""),"　","")))</f>
        <v/>
      </c>
      <c r="H1768" s="2" t="str">
        <f aca="false">IF($G1768="","",3キー同時!$B$71)</f>
        <v/>
      </c>
      <c r="I1768" s="2" t="str">
        <f aca="false">IF($G1768="","",3キー同時!$G$71)</f>
        <v/>
      </c>
      <c r="J1768" s="2" t="str">
        <f aca="false">IF($G1768="","","3")</f>
        <v/>
      </c>
      <c r="K1768" s="2" t="str">
        <f aca="false">""</f>
        <v/>
      </c>
      <c r="L1768" s="2" t="str">
        <f aca="false">IF($G1768="","","同時")</f>
        <v/>
      </c>
      <c r="M1768" s="2" t="str">
        <f aca="false">IF($G1768="","",IF(ISNA(MATCH($G1768,個別指定!$A:$A,0)),"行なし",""))</f>
        <v/>
      </c>
      <c r="N1768" s="2" t="str">
        <f aca="false">IF($G1768="","",IF(COUNTIF($G$2:$G$4460,$G1768)&gt;1,"重複",""))</f>
        <v/>
      </c>
    </row>
    <row r="1769" customFormat="false" ht="16.5" hidden="false" customHeight="true" outlineLevel="0" collapsed="false">
      <c r="A1769" s="2" t="s">
        <v>416</v>
      </c>
      <c r="B1769" s="2" t="s">
        <v>422</v>
      </c>
      <c r="C1769" s="2" t="s">
        <v>3</v>
      </c>
      <c r="D1769" s="2" t="str">
        <f aca="false">IF(3キー同時!$B$71="","",3キー同時!$B$71)</f>
        <v>m</v>
      </c>
      <c r="E1769" s="2" t="str">
        <f aca="false">IF(3キー同時!$G$71="","",3キー同時!$G$71)</f>
        <v>i</v>
      </c>
      <c r="F1769" s="2" t="str">
        <f aca="false">""</f>
        <v/>
      </c>
      <c r="G1769" s="2" t="str">
        <f aca="false">IF(OR(3キー同時!$B$71="",3キー同時!$G$71=""),"",IF(3キー同時!R73="","",SUBSTITUTE(SUBSTITUTE(3キー同時!R73," ",""),"　","")))</f>
        <v/>
      </c>
      <c r="H1769" s="2" t="str">
        <f aca="false">IF($G1769="","",3キー同時!$B$71)</f>
        <v/>
      </c>
      <c r="I1769" s="2" t="str">
        <f aca="false">IF($G1769="","",3キー同時!$G$71)</f>
        <v/>
      </c>
      <c r="J1769" s="2" t="str">
        <f aca="false">IF($G1769="","","4")</f>
        <v/>
      </c>
      <c r="K1769" s="2" t="str">
        <f aca="false">""</f>
        <v/>
      </c>
      <c r="L1769" s="2" t="str">
        <f aca="false">IF($G1769="","","同時")</f>
        <v/>
      </c>
      <c r="M1769" s="2" t="str">
        <f aca="false">IF($G1769="","",IF(ISNA(MATCH($G1769,個別指定!$A:$A,0)),"行なし",""))</f>
        <v/>
      </c>
      <c r="N1769" s="2" t="str">
        <f aca="false">IF($G1769="","",IF(COUNTIF($G$2:$G$4460,$G1769)&gt;1,"重複",""))</f>
        <v/>
      </c>
    </row>
    <row r="1770" customFormat="false" ht="16.5" hidden="false" customHeight="true" outlineLevel="0" collapsed="false">
      <c r="A1770" s="2" t="s">
        <v>416</v>
      </c>
      <c r="B1770" s="2" t="s">
        <v>422</v>
      </c>
      <c r="C1770" s="2" t="s">
        <v>4</v>
      </c>
      <c r="D1770" s="2" t="str">
        <f aca="false">IF(3キー同時!$B$71="","",3キー同時!$B$71)</f>
        <v>m</v>
      </c>
      <c r="E1770" s="2" t="str">
        <f aca="false">IF(3キー同時!$G$71="","",3キー同時!$G$71)</f>
        <v>i</v>
      </c>
      <c r="F1770" s="2" t="str">
        <f aca="false">""</f>
        <v/>
      </c>
      <c r="G1770" s="2" t="str">
        <f aca="false">IF(OR(3キー同時!$B$71="",3キー同時!$G$71=""),"",IF(3キー同時!V73="","",SUBSTITUTE(SUBSTITUTE(3キー同時!V73," ",""),"　","")))</f>
        <v/>
      </c>
      <c r="H1770" s="2" t="str">
        <f aca="false">IF($G1770="","",3キー同時!$B$71)</f>
        <v/>
      </c>
      <c r="I1770" s="2" t="str">
        <f aca="false">IF($G1770="","",3キー同時!$G$71)</f>
        <v/>
      </c>
      <c r="J1770" s="2" t="str">
        <f aca="false">IF($G1770="","","5")</f>
        <v/>
      </c>
      <c r="K1770" s="2" t="str">
        <f aca="false">""</f>
        <v/>
      </c>
      <c r="L1770" s="2" t="str">
        <f aca="false">IF($G1770="","","同時")</f>
        <v/>
      </c>
      <c r="M1770" s="2" t="str">
        <f aca="false">IF($G1770="","",IF(ISNA(MATCH($G1770,個別指定!$A:$A,0)),"行なし",""))</f>
        <v/>
      </c>
      <c r="N1770" s="2" t="str">
        <f aca="false">IF($G1770="","",IF(COUNTIF($G$2:$G$4460,$G1770)&gt;1,"重複",""))</f>
        <v/>
      </c>
    </row>
    <row r="1771" customFormat="false" ht="16.5" hidden="false" customHeight="true" outlineLevel="0" collapsed="false">
      <c r="A1771" s="2" t="s">
        <v>416</v>
      </c>
      <c r="B1771" s="2" t="s">
        <v>422</v>
      </c>
      <c r="C1771" s="2" t="s">
        <v>5</v>
      </c>
      <c r="D1771" s="2" t="str">
        <f aca="false">IF(3キー同時!$B$71="","",3キー同時!$B$71)</f>
        <v>m</v>
      </c>
      <c r="E1771" s="2" t="str">
        <f aca="false">IF(3キー同時!$G$71="","",3キー同時!$G$71)</f>
        <v>i</v>
      </c>
      <c r="F1771" s="2" t="str">
        <f aca="false">""</f>
        <v/>
      </c>
      <c r="G1771" s="2" t="str">
        <f aca="false">IF(OR(3キー同時!$B$71="",3キー同時!$G$71=""),"",IF(3キー同時!Z73="","",SUBSTITUTE(SUBSTITUTE(3キー同時!Z73," ",""),"　","")))</f>
        <v/>
      </c>
      <c r="H1771" s="2" t="str">
        <f aca="false">IF($G1771="","",3キー同時!$B$71)</f>
        <v/>
      </c>
      <c r="I1771" s="2" t="str">
        <f aca="false">IF($G1771="","",3キー同時!$G$71)</f>
        <v/>
      </c>
      <c r="J1771" s="2" t="str">
        <f aca="false">IF($G1771="","","6")</f>
        <v/>
      </c>
      <c r="K1771" s="2" t="str">
        <f aca="false">""</f>
        <v/>
      </c>
      <c r="L1771" s="2" t="str">
        <f aca="false">IF($G1771="","","同時")</f>
        <v/>
      </c>
      <c r="M1771" s="2" t="str">
        <f aca="false">IF($G1771="","",IF(ISNA(MATCH($G1771,個別指定!$A:$A,0)),"行なし",""))</f>
        <v/>
      </c>
      <c r="N1771" s="2" t="str">
        <f aca="false">IF($G1771="","",IF(COUNTIF($G$2:$G$4460,$G1771)&gt;1,"重複",""))</f>
        <v/>
      </c>
    </row>
    <row r="1772" customFormat="false" ht="16.5" hidden="false" customHeight="true" outlineLevel="0" collapsed="false">
      <c r="A1772" s="2" t="s">
        <v>416</v>
      </c>
      <c r="B1772" s="2" t="s">
        <v>422</v>
      </c>
      <c r="C1772" s="2" t="s">
        <v>6</v>
      </c>
      <c r="D1772" s="2" t="str">
        <f aca="false">IF(3キー同時!$B$71="","",3キー同時!$B$71)</f>
        <v>m</v>
      </c>
      <c r="E1772" s="2" t="str">
        <f aca="false">IF(3キー同時!$G$71="","",3キー同時!$G$71)</f>
        <v>i</v>
      </c>
      <c r="F1772" s="2" t="str">
        <f aca="false">""</f>
        <v/>
      </c>
      <c r="G1772" s="2" t="str">
        <f aca="false">IF(OR(3キー同時!$B$71="",3キー同時!$G$71=""),"",IF(3キー同時!AD73="","",SUBSTITUTE(SUBSTITUTE(3キー同時!AD73," ",""),"　","")))</f>
        <v/>
      </c>
      <c r="H1772" s="2" t="str">
        <f aca="false">IF($G1772="","",3キー同時!$B$71)</f>
        <v/>
      </c>
      <c r="I1772" s="2" t="str">
        <f aca="false">IF($G1772="","",3キー同時!$G$71)</f>
        <v/>
      </c>
      <c r="J1772" s="2" t="str">
        <f aca="false">IF($G1772="","","7")</f>
        <v/>
      </c>
      <c r="K1772" s="2" t="str">
        <f aca="false">""</f>
        <v/>
      </c>
      <c r="L1772" s="2" t="str">
        <f aca="false">IF($G1772="","","同時")</f>
        <v/>
      </c>
      <c r="M1772" s="2" t="str">
        <f aca="false">IF($G1772="","",IF(ISNA(MATCH($G1772,個別指定!$A:$A,0)),"行なし",""))</f>
        <v/>
      </c>
      <c r="N1772" s="2" t="str">
        <f aca="false">IF($G1772="","",IF(COUNTIF($G$2:$G$4460,$G1772)&gt;1,"重複",""))</f>
        <v/>
      </c>
    </row>
    <row r="1773" customFormat="false" ht="16.5" hidden="false" customHeight="true" outlineLevel="0" collapsed="false">
      <c r="A1773" s="2" t="s">
        <v>416</v>
      </c>
      <c r="B1773" s="2" t="s">
        <v>422</v>
      </c>
      <c r="C1773" s="2" t="s">
        <v>7</v>
      </c>
      <c r="D1773" s="2" t="str">
        <f aca="false">IF(3キー同時!$B$71="","",3キー同時!$B$71)</f>
        <v>m</v>
      </c>
      <c r="E1773" s="2" t="str">
        <f aca="false">IF(3キー同時!$G$71="","",3キー同時!$G$71)</f>
        <v>i</v>
      </c>
      <c r="F1773" s="2" t="str">
        <f aca="false">""</f>
        <v/>
      </c>
      <c r="G1773" s="2" t="str">
        <f aca="false">IF(OR(3キー同時!$B$71="",3キー同時!$G$71=""),"",IF(3キー同時!AH73="","",SUBSTITUTE(SUBSTITUTE(3キー同時!AH73," ",""),"　","")))</f>
        <v/>
      </c>
      <c r="H1773" s="2" t="str">
        <f aca="false">IF($G1773="","",3キー同時!$B$71)</f>
        <v/>
      </c>
      <c r="I1773" s="2" t="str">
        <f aca="false">IF($G1773="","",3キー同時!$G$71)</f>
        <v/>
      </c>
      <c r="J1773" s="2" t="str">
        <f aca="false">IF($G1773="","","8")</f>
        <v/>
      </c>
      <c r="K1773" s="2" t="str">
        <f aca="false">""</f>
        <v/>
      </c>
      <c r="L1773" s="2" t="str">
        <f aca="false">IF($G1773="","","同時")</f>
        <v/>
      </c>
      <c r="M1773" s="2" t="str">
        <f aca="false">IF($G1773="","",IF(ISNA(MATCH($G1773,個別指定!$A:$A,0)),"行なし",""))</f>
        <v/>
      </c>
      <c r="N1773" s="2" t="str">
        <f aca="false">IF($G1773="","",IF(COUNTIF($G$2:$G$4460,$G1773)&gt;1,"重複",""))</f>
        <v/>
      </c>
    </row>
    <row r="1774" customFormat="false" ht="16.5" hidden="false" customHeight="true" outlineLevel="0" collapsed="false">
      <c r="A1774" s="2" t="s">
        <v>416</v>
      </c>
      <c r="B1774" s="2" t="s">
        <v>422</v>
      </c>
      <c r="C1774" s="2" t="s">
        <v>8</v>
      </c>
      <c r="D1774" s="2" t="str">
        <f aca="false">IF(3キー同時!$B$71="","",3キー同時!$B$71)</f>
        <v>m</v>
      </c>
      <c r="E1774" s="2" t="str">
        <f aca="false">IF(3キー同時!$G$71="","",3キー同時!$G$71)</f>
        <v>i</v>
      </c>
      <c r="F1774" s="2" t="str">
        <f aca="false">""</f>
        <v/>
      </c>
      <c r="G1774" s="2" t="str">
        <f aca="false">IF(OR(3キー同時!$B$71="",3キー同時!$G$71=""),"",IF(3キー同時!AL73="","",SUBSTITUTE(SUBSTITUTE(3キー同時!AL73," ",""),"　","")))</f>
        <v/>
      </c>
      <c r="H1774" s="2" t="str">
        <f aca="false">IF($G1774="","",3キー同時!$B$71)</f>
        <v/>
      </c>
      <c r="I1774" s="2" t="str">
        <f aca="false">IF($G1774="","",3キー同時!$G$71)</f>
        <v/>
      </c>
      <c r="J1774" s="2" t="str">
        <f aca="false">IF($G1774="","","9")</f>
        <v/>
      </c>
      <c r="K1774" s="2" t="str">
        <f aca="false">""</f>
        <v/>
      </c>
      <c r="L1774" s="2" t="str">
        <f aca="false">IF($G1774="","","同時")</f>
        <v/>
      </c>
      <c r="M1774" s="2" t="str">
        <f aca="false">IF($G1774="","",IF(ISNA(MATCH($G1774,個別指定!$A:$A,0)),"行なし",""))</f>
        <v/>
      </c>
      <c r="N1774" s="2" t="str">
        <f aca="false">IF($G1774="","",IF(COUNTIF($G$2:$G$4460,$G1774)&gt;1,"重複",""))</f>
        <v/>
      </c>
    </row>
    <row r="1775" customFormat="false" ht="16.5" hidden="false" customHeight="true" outlineLevel="0" collapsed="false">
      <c r="A1775" s="2" t="s">
        <v>416</v>
      </c>
      <c r="B1775" s="2" t="s">
        <v>422</v>
      </c>
      <c r="C1775" s="2" t="s">
        <v>9</v>
      </c>
      <c r="D1775" s="2" t="str">
        <f aca="false">IF(3キー同時!$B$71="","",3キー同時!$B$71)</f>
        <v>m</v>
      </c>
      <c r="E1775" s="2" t="str">
        <f aca="false">IF(3キー同時!$G$71="","",3キー同時!$G$71)</f>
        <v>i</v>
      </c>
      <c r="F1775" s="2" t="str">
        <f aca="false">""</f>
        <v/>
      </c>
      <c r="G1775" s="2" t="str">
        <f aca="false">IF(OR(3キー同時!$B$71="",3キー同時!$G$71=""),"",IF(3キー同時!AP73="","",SUBSTITUTE(SUBSTITUTE(3キー同時!AP73," ",""),"　","")))</f>
        <v/>
      </c>
      <c r="H1775" s="2" t="str">
        <f aca="false">IF($G1775="","",3キー同時!$B$71)</f>
        <v/>
      </c>
      <c r="I1775" s="2" t="str">
        <f aca="false">IF($G1775="","",3キー同時!$G$71)</f>
        <v/>
      </c>
      <c r="J1775" s="2" t="str">
        <f aca="false">IF($G1775="","","0")</f>
        <v/>
      </c>
      <c r="K1775" s="2" t="str">
        <f aca="false">""</f>
        <v/>
      </c>
      <c r="L1775" s="2" t="str">
        <f aca="false">IF($G1775="","","同時")</f>
        <v/>
      </c>
      <c r="M1775" s="2" t="str">
        <f aca="false">IF($G1775="","",IF(ISNA(MATCH($G1775,個別指定!$A:$A,0)),"行なし",""))</f>
        <v/>
      </c>
      <c r="N1775" s="2" t="str">
        <f aca="false">IF($G1775="","",IF(COUNTIF($G$2:$G$4460,$G1775)&gt;1,"重複",""))</f>
        <v/>
      </c>
    </row>
    <row r="1776" customFormat="false" ht="16.5" hidden="false" customHeight="true" outlineLevel="0" collapsed="false">
      <c r="A1776" s="2" t="s">
        <v>416</v>
      </c>
      <c r="B1776" s="2" t="s">
        <v>422</v>
      </c>
      <c r="C1776" s="2" t="s">
        <v>10</v>
      </c>
      <c r="D1776" s="2" t="str">
        <f aca="false">IF(3キー同時!$B$71="","",3キー同時!$B$71)</f>
        <v>m</v>
      </c>
      <c r="E1776" s="2" t="str">
        <f aca="false">IF(3キー同時!$G$71="","",3キー同時!$G$71)</f>
        <v>i</v>
      </c>
      <c r="F1776" s="2" t="str">
        <f aca="false">""</f>
        <v/>
      </c>
      <c r="G1776" s="2" t="str">
        <f aca="false">IF(OR(3キー同時!$B$71="",3キー同時!$G$71=""),"",IF(3キー同時!AT73="","",SUBSTITUTE(SUBSTITUTE(3キー同時!AT73," ",""),"　","")))</f>
        <v/>
      </c>
      <c r="H1776" s="2" t="str">
        <f aca="false">IF($G1776="","",3キー同時!$B$71)</f>
        <v/>
      </c>
      <c r="I1776" s="2" t="str">
        <f aca="false">IF($G1776="","",3キー同時!$G$71)</f>
        <v/>
      </c>
      <c r="J1776" s="2" t="str">
        <f aca="false">IF($G1776="","","-")</f>
        <v/>
      </c>
      <c r="K1776" s="2" t="str">
        <f aca="false">""</f>
        <v/>
      </c>
      <c r="L1776" s="2" t="str">
        <f aca="false">IF($G1776="","","同時")</f>
        <v/>
      </c>
      <c r="M1776" s="2" t="str">
        <f aca="false">IF($G1776="","",IF(ISNA(MATCH($G1776,個別指定!$A:$A,0)),"行なし",""))</f>
        <v/>
      </c>
      <c r="N1776" s="2" t="str">
        <f aca="false">IF($G1776="","",IF(COUNTIF($G$2:$G$4460,$G1776)&gt;1,"重複",""))</f>
        <v/>
      </c>
    </row>
    <row r="1777" customFormat="false" ht="16.5" hidden="false" customHeight="true" outlineLevel="0" collapsed="false">
      <c r="A1777" s="2" t="s">
        <v>416</v>
      </c>
      <c r="B1777" s="2" t="s">
        <v>422</v>
      </c>
      <c r="C1777" s="2" t="s">
        <v>11</v>
      </c>
      <c r="D1777" s="2" t="str">
        <f aca="false">IF(3キー同時!$B$71="","",3キー同時!$B$71)</f>
        <v>m</v>
      </c>
      <c r="E1777" s="2" t="str">
        <f aca="false">IF(3キー同時!$G$71="","",3キー同時!$G$71)</f>
        <v>i</v>
      </c>
      <c r="F1777" s="2" t="str">
        <f aca="false">""</f>
        <v/>
      </c>
      <c r="G1777" s="2" t="str">
        <f aca="false">IF(OR(3キー同時!$B$71="",3キー同時!$G$71=""),"",IF(3キー同時!AX73="","",SUBSTITUTE(SUBSTITUTE(3キー同時!AX73," ",""),"　","")))</f>
        <v/>
      </c>
      <c r="H1777" s="2" t="str">
        <f aca="false">IF($G1777="","",3キー同時!$B$71)</f>
        <v/>
      </c>
      <c r="I1777" s="2" t="str">
        <f aca="false">IF($G1777="","",3キー同時!$G$71)</f>
        <v/>
      </c>
      <c r="J1777" s="2" t="str">
        <f aca="false">IF($G1777="","","=")</f>
        <v/>
      </c>
      <c r="K1777" s="2" t="str">
        <f aca="false">""</f>
        <v/>
      </c>
      <c r="L1777" s="2" t="str">
        <f aca="false">IF($G1777="","","同時")</f>
        <v/>
      </c>
      <c r="M1777" s="2" t="str">
        <f aca="false">IF($G1777="","",IF(ISNA(MATCH($G1777,個別指定!$A:$A,0)),"行なし",""))</f>
        <v/>
      </c>
      <c r="N1777" s="2" t="str">
        <f aca="false">IF($G1777="","",IF(COUNTIF($G$2:$G$4460,$G1777)&gt;1,"重複",""))</f>
        <v/>
      </c>
    </row>
    <row r="1778" customFormat="false" ht="16.5" hidden="false" customHeight="true" outlineLevel="0" collapsed="false">
      <c r="A1778" s="2" t="s">
        <v>416</v>
      </c>
      <c r="B1778" s="2" t="s">
        <v>422</v>
      </c>
      <c r="C1778" s="2" t="s">
        <v>12</v>
      </c>
      <c r="D1778" s="2" t="str">
        <f aca="false">IF(3キー同時!$B$71="","",3キー同時!$B$71)</f>
        <v>m</v>
      </c>
      <c r="E1778" s="2" t="str">
        <f aca="false">IF(3キー同時!$G$71="","",3キー同時!$G$71)</f>
        <v>i</v>
      </c>
      <c r="F1778" s="2" t="str">
        <f aca="false">""</f>
        <v/>
      </c>
      <c r="G1778" s="2" t="str">
        <f aca="false">IF(OR(3キー同時!$B$71="",3キー同時!$G$71=""),"",IF(3キー同時!H75="","",SUBSTITUTE(SUBSTITUTE(3キー同時!H75," ",""),"　","")))</f>
        <v/>
      </c>
      <c r="H1778" s="2" t="str">
        <f aca="false">IF($G1778="","",3キー同時!$B$71)</f>
        <v/>
      </c>
      <c r="I1778" s="2" t="str">
        <f aca="false">IF($G1778="","",3キー同時!$G$71)</f>
        <v/>
      </c>
      <c r="J1778" s="2" t="str">
        <f aca="false">IF($G1778="","","q")</f>
        <v/>
      </c>
      <c r="K1778" s="2" t="str">
        <f aca="false">""</f>
        <v/>
      </c>
      <c r="L1778" s="2" t="str">
        <f aca="false">IF($G1778="","","同時")</f>
        <v/>
      </c>
      <c r="M1778" s="2" t="str">
        <f aca="false">IF($G1778="","",IF(ISNA(MATCH($G1778,個別指定!$A:$A,0)),"行なし",""))</f>
        <v/>
      </c>
      <c r="N1778" s="2" t="str">
        <f aca="false">IF($G1778="","",IF(COUNTIF($G$2:$G$4460,$G1778)&gt;1,"重複",""))</f>
        <v/>
      </c>
    </row>
    <row r="1779" customFormat="false" ht="16.5" hidden="false" customHeight="true" outlineLevel="0" collapsed="false">
      <c r="A1779" s="2" t="s">
        <v>416</v>
      </c>
      <c r="B1779" s="2" t="s">
        <v>422</v>
      </c>
      <c r="C1779" s="2" t="s">
        <v>13</v>
      </c>
      <c r="D1779" s="2" t="str">
        <f aca="false">IF(3キー同時!$B$71="","",3キー同時!$B$71)</f>
        <v>m</v>
      </c>
      <c r="E1779" s="2" t="str">
        <f aca="false">IF(3キー同時!$G$71="","",3キー同時!$G$71)</f>
        <v>i</v>
      </c>
      <c r="F1779" s="2" t="str">
        <f aca="false">""</f>
        <v/>
      </c>
      <c r="G1779" s="2" t="str">
        <f aca="false">IF(OR(3キー同時!$B$71="",3キー同時!$G$71=""),"",IF(3キー同時!L75="","",SUBSTITUTE(SUBSTITUTE(3キー同時!L75," ",""),"　","")))</f>
        <v/>
      </c>
      <c r="H1779" s="2" t="str">
        <f aca="false">IF($G1779="","",3キー同時!$B$71)</f>
        <v/>
      </c>
      <c r="I1779" s="2" t="str">
        <f aca="false">IF($G1779="","",3キー同時!$G$71)</f>
        <v/>
      </c>
      <c r="J1779" s="2" t="str">
        <f aca="false">IF($G1779="","","w")</f>
        <v/>
      </c>
      <c r="K1779" s="2" t="str">
        <f aca="false">""</f>
        <v/>
      </c>
      <c r="L1779" s="2" t="str">
        <f aca="false">IF($G1779="","","同時")</f>
        <v/>
      </c>
      <c r="M1779" s="2" t="str">
        <f aca="false">IF($G1779="","",IF(ISNA(MATCH($G1779,個別指定!$A:$A,0)),"行なし",""))</f>
        <v/>
      </c>
      <c r="N1779" s="2" t="str">
        <f aca="false">IF($G1779="","",IF(COUNTIF($G$2:$G$4460,$G1779)&gt;1,"重複",""))</f>
        <v/>
      </c>
    </row>
    <row r="1780" customFormat="false" ht="16.5" hidden="false" customHeight="true" outlineLevel="0" collapsed="false">
      <c r="A1780" s="2" t="s">
        <v>416</v>
      </c>
      <c r="B1780" s="2" t="s">
        <v>422</v>
      </c>
      <c r="C1780" s="2" t="s">
        <v>14</v>
      </c>
      <c r="D1780" s="2" t="str">
        <f aca="false">IF(3キー同時!$B$71="","",3キー同時!$B$71)</f>
        <v>m</v>
      </c>
      <c r="E1780" s="2" t="str">
        <f aca="false">IF(3キー同時!$G$71="","",3キー同時!$G$71)</f>
        <v>i</v>
      </c>
      <c r="F1780" s="2" t="str">
        <f aca="false">""</f>
        <v/>
      </c>
      <c r="G1780" s="2" t="str">
        <f aca="false">IF(OR(3キー同時!$B$71="",3キー同時!$G$71=""),"",IF(3キー同時!P75="","",SUBSTITUTE(SUBSTITUTE(3キー同時!P75," ",""),"　","")))</f>
        <v/>
      </c>
      <c r="H1780" s="2" t="str">
        <f aca="false">IF($G1780="","",3キー同時!$B$71)</f>
        <v/>
      </c>
      <c r="I1780" s="2" t="str">
        <f aca="false">IF($G1780="","",3キー同時!$G$71)</f>
        <v/>
      </c>
      <c r="J1780" s="2" t="str">
        <f aca="false">IF($G1780="","","e")</f>
        <v/>
      </c>
      <c r="K1780" s="2" t="str">
        <f aca="false">""</f>
        <v/>
      </c>
      <c r="L1780" s="2" t="str">
        <f aca="false">IF($G1780="","","同時")</f>
        <v/>
      </c>
      <c r="M1780" s="2" t="str">
        <f aca="false">IF($G1780="","",IF(ISNA(MATCH($G1780,個別指定!$A:$A,0)),"行なし",""))</f>
        <v/>
      </c>
      <c r="N1780" s="2" t="str">
        <f aca="false">IF($G1780="","",IF(COUNTIF($G$2:$G$4460,$G1780)&gt;1,"重複",""))</f>
        <v/>
      </c>
    </row>
    <row r="1781" customFormat="false" ht="16.5" hidden="false" customHeight="true" outlineLevel="0" collapsed="false">
      <c r="A1781" s="2" t="s">
        <v>416</v>
      </c>
      <c r="B1781" s="2" t="s">
        <v>422</v>
      </c>
      <c r="C1781" s="2" t="s">
        <v>15</v>
      </c>
      <c r="D1781" s="2" t="str">
        <f aca="false">IF(3キー同時!$B$71="","",3キー同時!$B$71)</f>
        <v>m</v>
      </c>
      <c r="E1781" s="2" t="str">
        <f aca="false">IF(3キー同時!$G$71="","",3キー同時!$G$71)</f>
        <v>i</v>
      </c>
      <c r="F1781" s="2" t="str">
        <f aca="false">""</f>
        <v/>
      </c>
      <c r="G1781" s="2" t="str">
        <f aca="false">IF(OR(3キー同時!$B$71="",3キー同時!$G$71=""),"",IF(3キー同時!T75="","",SUBSTITUTE(SUBSTITUTE(3キー同時!T75," ",""),"　","")))</f>
        <v/>
      </c>
      <c r="H1781" s="2" t="str">
        <f aca="false">IF($G1781="","",3キー同時!$B$71)</f>
        <v/>
      </c>
      <c r="I1781" s="2" t="str">
        <f aca="false">IF($G1781="","",3キー同時!$G$71)</f>
        <v/>
      </c>
      <c r="J1781" s="2" t="str">
        <f aca="false">IF($G1781="","","r")</f>
        <v/>
      </c>
      <c r="K1781" s="2" t="str">
        <f aca="false">""</f>
        <v/>
      </c>
      <c r="L1781" s="2" t="str">
        <f aca="false">IF($G1781="","","同時")</f>
        <v/>
      </c>
      <c r="M1781" s="2" t="str">
        <f aca="false">IF($G1781="","",IF(ISNA(MATCH($G1781,個別指定!$A:$A,0)),"行なし",""))</f>
        <v/>
      </c>
      <c r="N1781" s="2" t="str">
        <f aca="false">IF($G1781="","",IF(COUNTIF($G$2:$G$4460,$G1781)&gt;1,"重複",""))</f>
        <v/>
      </c>
    </row>
    <row r="1782" customFormat="false" ht="16.5" hidden="false" customHeight="true" outlineLevel="0" collapsed="false">
      <c r="A1782" s="2" t="s">
        <v>416</v>
      </c>
      <c r="B1782" s="2" t="s">
        <v>422</v>
      </c>
      <c r="C1782" s="2" t="s">
        <v>16</v>
      </c>
      <c r="D1782" s="2" t="str">
        <f aca="false">IF(3キー同時!$B$71="","",3キー同時!$B$71)</f>
        <v>m</v>
      </c>
      <c r="E1782" s="2" t="str">
        <f aca="false">IF(3キー同時!$G$71="","",3キー同時!$G$71)</f>
        <v>i</v>
      </c>
      <c r="F1782" s="2" t="str">
        <f aca="false">""</f>
        <v/>
      </c>
      <c r="G1782" s="2" t="str">
        <f aca="false">IF(OR(3キー同時!$B$71="",3キー同時!$G$71=""),"",IF(3キー同時!X75="","",SUBSTITUTE(SUBSTITUTE(3キー同時!X75," ",""),"　","")))</f>
        <v/>
      </c>
      <c r="H1782" s="2" t="str">
        <f aca="false">IF($G1782="","",3キー同時!$B$71)</f>
        <v/>
      </c>
      <c r="I1782" s="2" t="str">
        <f aca="false">IF($G1782="","",3キー同時!$G$71)</f>
        <v/>
      </c>
      <c r="J1782" s="2" t="str">
        <f aca="false">IF($G1782="","","t")</f>
        <v/>
      </c>
      <c r="K1782" s="2" t="str">
        <f aca="false">""</f>
        <v/>
      </c>
      <c r="L1782" s="2" t="str">
        <f aca="false">IF($G1782="","","同時")</f>
        <v/>
      </c>
      <c r="M1782" s="2" t="str">
        <f aca="false">IF($G1782="","",IF(ISNA(MATCH($G1782,個別指定!$A:$A,0)),"行なし",""))</f>
        <v/>
      </c>
      <c r="N1782" s="2" t="str">
        <f aca="false">IF($G1782="","",IF(COUNTIF($G$2:$G$4460,$G1782)&gt;1,"重複",""))</f>
        <v/>
      </c>
    </row>
    <row r="1783" customFormat="false" ht="16.5" hidden="false" customHeight="true" outlineLevel="0" collapsed="false">
      <c r="A1783" s="2" t="s">
        <v>416</v>
      </c>
      <c r="B1783" s="2" t="s">
        <v>422</v>
      </c>
      <c r="C1783" s="2" t="s">
        <v>17</v>
      </c>
      <c r="D1783" s="2" t="str">
        <f aca="false">IF(3キー同時!$B$71="","",3キー同時!$B$71)</f>
        <v>m</v>
      </c>
      <c r="E1783" s="2" t="str">
        <f aca="false">IF(3キー同時!$G$71="","",3キー同時!$G$71)</f>
        <v>i</v>
      </c>
      <c r="F1783" s="2" t="str">
        <f aca="false">""</f>
        <v/>
      </c>
      <c r="G1783" s="2" t="str">
        <f aca="false">IF(OR(3キー同時!$B$71="",3キー同時!$G$71=""),"",IF(3キー同時!AB75="","",SUBSTITUTE(SUBSTITUTE(3キー同時!AB75," ",""),"　","")))</f>
        <v/>
      </c>
      <c r="H1783" s="2" t="str">
        <f aca="false">IF($G1783="","",3キー同時!$B$71)</f>
        <v/>
      </c>
      <c r="I1783" s="2" t="str">
        <f aca="false">IF($G1783="","",3キー同時!$G$71)</f>
        <v/>
      </c>
      <c r="J1783" s="2" t="str">
        <f aca="false">IF($G1783="","","y")</f>
        <v/>
      </c>
      <c r="K1783" s="2" t="str">
        <f aca="false">""</f>
        <v/>
      </c>
      <c r="L1783" s="2" t="str">
        <f aca="false">IF($G1783="","","同時")</f>
        <v/>
      </c>
      <c r="M1783" s="2" t="str">
        <f aca="false">IF($G1783="","",IF(ISNA(MATCH($G1783,個別指定!$A:$A,0)),"行なし",""))</f>
        <v/>
      </c>
      <c r="N1783" s="2" t="str">
        <f aca="false">IF($G1783="","",IF(COUNTIF($G$2:$G$4460,$G1783)&gt;1,"重複",""))</f>
        <v/>
      </c>
    </row>
    <row r="1784" customFormat="false" ht="16.5" hidden="false" customHeight="true" outlineLevel="0" collapsed="false">
      <c r="A1784" s="2" t="s">
        <v>416</v>
      </c>
      <c r="B1784" s="2" t="s">
        <v>422</v>
      </c>
      <c r="C1784" s="2" t="s">
        <v>18</v>
      </c>
      <c r="D1784" s="2" t="str">
        <f aca="false">IF(3キー同時!$B$71="","",3キー同時!$B$71)</f>
        <v>m</v>
      </c>
      <c r="E1784" s="2" t="str">
        <f aca="false">IF(3キー同時!$G$71="","",3キー同時!$G$71)</f>
        <v>i</v>
      </c>
      <c r="F1784" s="2" t="str">
        <f aca="false">""</f>
        <v/>
      </c>
      <c r="G1784" s="2" t="str">
        <f aca="false">IF(OR(3キー同時!$B$71="",3キー同時!$G$71=""),"",IF(3キー同時!AF75="","",SUBSTITUTE(SUBSTITUTE(3キー同時!AF75," ",""),"　","")))</f>
        <v/>
      </c>
      <c r="H1784" s="2" t="str">
        <f aca="false">IF($G1784="","",3キー同時!$B$71)</f>
        <v/>
      </c>
      <c r="I1784" s="2" t="str">
        <f aca="false">IF($G1784="","",3キー同時!$G$71)</f>
        <v/>
      </c>
      <c r="J1784" s="2" t="str">
        <f aca="false">IF($G1784="","","u")</f>
        <v/>
      </c>
      <c r="K1784" s="2" t="str">
        <f aca="false">""</f>
        <v/>
      </c>
      <c r="L1784" s="2" t="str">
        <f aca="false">IF($G1784="","","同時")</f>
        <v/>
      </c>
      <c r="M1784" s="2" t="str">
        <f aca="false">IF($G1784="","",IF(ISNA(MATCH($G1784,個別指定!$A:$A,0)),"行なし",""))</f>
        <v/>
      </c>
      <c r="N1784" s="2" t="str">
        <f aca="false">IF($G1784="","",IF(COUNTIF($G$2:$G$4460,$G1784)&gt;1,"重複",""))</f>
        <v/>
      </c>
    </row>
    <row r="1785" customFormat="false" ht="16.5" hidden="false" customHeight="true" outlineLevel="0" collapsed="false">
      <c r="A1785" s="2" t="s">
        <v>416</v>
      </c>
      <c r="B1785" s="2" t="s">
        <v>422</v>
      </c>
      <c r="C1785" s="2" t="s">
        <v>19</v>
      </c>
      <c r="D1785" s="2" t="str">
        <f aca="false">IF(3キー同時!$B$71="","",3キー同時!$B$71)</f>
        <v>m</v>
      </c>
      <c r="E1785" s="2" t="str">
        <f aca="false">IF(3キー同時!$G$71="","",3キー同時!$G$71)</f>
        <v>i</v>
      </c>
      <c r="F1785" s="2" t="str">
        <f aca="false">""</f>
        <v/>
      </c>
      <c r="G1785" s="2" t="str">
        <f aca="false">IF(OR(3キー同時!$B$71="",3キー同時!$G$71=""),"",IF(3キー同時!AJ75="","",SUBSTITUTE(SUBSTITUTE(3キー同時!AJ75," ",""),"　","")))</f>
        <v/>
      </c>
      <c r="H1785" s="2" t="str">
        <f aca="false">IF($G1785="","",3キー同時!$B$71)</f>
        <v/>
      </c>
      <c r="I1785" s="2" t="str">
        <f aca="false">IF($G1785="","",3キー同時!$G$71)</f>
        <v/>
      </c>
      <c r="J1785" s="2" t="str">
        <f aca="false">IF($G1785="","","i")</f>
        <v/>
      </c>
      <c r="K1785" s="2" t="str">
        <f aca="false">""</f>
        <v/>
      </c>
      <c r="L1785" s="2" t="str">
        <f aca="false">IF($G1785="","","同時")</f>
        <v/>
      </c>
      <c r="M1785" s="2" t="str">
        <f aca="false">IF($G1785="","",IF(ISNA(MATCH($G1785,個別指定!$A:$A,0)),"行なし",""))</f>
        <v/>
      </c>
      <c r="N1785" s="2" t="str">
        <f aca="false">IF($G1785="","",IF(COUNTIF($G$2:$G$4460,$G1785)&gt;1,"重複",""))</f>
        <v/>
      </c>
    </row>
    <row r="1786" customFormat="false" ht="16.5" hidden="false" customHeight="true" outlineLevel="0" collapsed="false">
      <c r="A1786" s="2" t="s">
        <v>416</v>
      </c>
      <c r="B1786" s="2" t="s">
        <v>422</v>
      </c>
      <c r="C1786" s="2" t="s">
        <v>20</v>
      </c>
      <c r="D1786" s="2" t="str">
        <f aca="false">IF(3キー同時!$B$71="","",3キー同時!$B$71)</f>
        <v>m</v>
      </c>
      <c r="E1786" s="2" t="str">
        <f aca="false">IF(3キー同時!$G$71="","",3キー同時!$G$71)</f>
        <v>i</v>
      </c>
      <c r="F1786" s="2" t="str">
        <f aca="false">""</f>
        <v/>
      </c>
      <c r="G1786" s="2" t="str">
        <f aca="false">IF(OR(3キー同時!$B$71="",3キー同時!$G$71=""),"",IF(3キー同時!AN75="","",SUBSTITUTE(SUBSTITUTE(3キー同時!AN75," ",""),"　","")))</f>
        <v/>
      </c>
      <c r="H1786" s="2" t="str">
        <f aca="false">IF($G1786="","",3キー同時!$B$71)</f>
        <v/>
      </c>
      <c r="I1786" s="2" t="str">
        <f aca="false">IF($G1786="","",3キー同時!$G$71)</f>
        <v/>
      </c>
      <c r="J1786" s="2" t="str">
        <f aca="false">IF($G1786="","","o")</f>
        <v/>
      </c>
      <c r="K1786" s="2" t="str">
        <f aca="false">""</f>
        <v/>
      </c>
      <c r="L1786" s="2" t="str">
        <f aca="false">IF($G1786="","","同時")</f>
        <v/>
      </c>
      <c r="M1786" s="2" t="str">
        <f aca="false">IF($G1786="","",IF(ISNA(MATCH($G1786,個別指定!$A:$A,0)),"行なし",""))</f>
        <v/>
      </c>
      <c r="N1786" s="2" t="str">
        <f aca="false">IF($G1786="","",IF(COUNTIF($G$2:$G$4460,$G1786)&gt;1,"重複",""))</f>
        <v/>
      </c>
    </row>
    <row r="1787" customFormat="false" ht="16.5" hidden="false" customHeight="true" outlineLevel="0" collapsed="false">
      <c r="A1787" s="2" t="s">
        <v>416</v>
      </c>
      <c r="B1787" s="2" t="s">
        <v>422</v>
      </c>
      <c r="C1787" s="2" t="s">
        <v>21</v>
      </c>
      <c r="D1787" s="2" t="str">
        <f aca="false">IF(3キー同時!$B$71="","",3キー同時!$B$71)</f>
        <v>m</v>
      </c>
      <c r="E1787" s="2" t="str">
        <f aca="false">IF(3キー同時!$G$71="","",3キー同時!$G$71)</f>
        <v>i</v>
      </c>
      <c r="F1787" s="2" t="str">
        <f aca="false">""</f>
        <v/>
      </c>
      <c r="G1787" s="2" t="str">
        <f aca="false">IF(OR(3キー同時!$B$71="",3キー同時!$G$71=""),"",IF(3キー同時!AR75="","",SUBSTITUTE(SUBSTITUTE(3キー同時!AR75," ",""),"　","")))</f>
        <v/>
      </c>
      <c r="H1787" s="2" t="str">
        <f aca="false">IF($G1787="","",3キー同時!$B$71)</f>
        <v/>
      </c>
      <c r="I1787" s="2" t="str">
        <f aca="false">IF($G1787="","",3キー同時!$G$71)</f>
        <v/>
      </c>
      <c r="J1787" s="2" t="str">
        <f aca="false">IF($G1787="","","p")</f>
        <v/>
      </c>
      <c r="K1787" s="2" t="str">
        <f aca="false">""</f>
        <v/>
      </c>
      <c r="L1787" s="2" t="str">
        <f aca="false">IF($G1787="","","同時")</f>
        <v/>
      </c>
      <c r="M1787" s="2" t="str">
        <f aca="false">IF($G1787="","",IF(ISNA(MATCH($G1787,個別指定!$A:$A,0)),"行なし",""))</f>
        <v/>
      </c>
      <c r="N1787" s="2" t="str">
        <f aca="false">IF($G1787="","",IF(COUNTIF($G$2:$G$4460,$G1787)&gt;1,"重複",""))</f>
        <v/>
      </c>
    </row>
    <row r="1788" customFormat="false" ht="16.5" hidden="false" customHeight="true" outlineLevel="0" collapsed="false">
      <c r="A1788" s="2" t="s">
        <v>416</v>
      </c>
      <c r="B1788" s="2" t="s">
        <v>422</v>
      </c>
      <c r="C1788" s="2" t="s">
        <v>22</v>
      </c>
      <c r="D1788" s="2" t="str">
        <f aca="false">IF(3キー同時!$B$71="","",3キー同時!$B$71)</f>
        <v>m</v>
      </c>
      <c r="E1788" s="2" t="str">
        <f aca="false">IF(3キー同時!$G$71="","",3キー同時!$G$71)</f>
        <v>i</v>
      </c>
      <c r="F1788" s="2" t="str">
        <f aca="false">""</f>
        <v/>
      </c>
      <c r="G1788" s="2" t="str">
        <f aca="false">IF(OR(3キー同時!$B$71="",3キー同時!$G$71=""),"",IF(3キー同時!AV75="","",SUBSTITUTE(SUBSTITUTE(3キー同時!AV75," ",""),"　","")))</f>
        <v/>
      </c>
      <c r="H1788" s="2" t="str">
        <f aca="false">IF($G1788="","",3キー同時!$B$71)</f>
        <v/>
      </c>
      <c r="I1788" s="2" t="str">
        <f aca="false">IF($G1788="","",3キー同時!$G$71)</f>
        <v/>
      </c>
      <c r="J1788" s="2" t="str">
        <f aca="false">IF($G1788="","","[")</f>
        <v/>
      </c>
      <c r="K1788" s="2" t="str">
        <f aca="false">""</f>
        <v/>
      </c>
      <c r="L1788" s="2" t="str">
        <f aca="false">IF($G1788="","","同時")</f>
        <v/>
      </c>
      <c r="M1788" s="2" t="str">
        <f aca="false">IF($G1788="","",IF(ISNA(MATCH($G1788,個別指定!$A:$A,0)),"行なし",""))</f>
        <v/>
      </c>
      <c r="N1788" s="2" t="str">
        <f aca="false">IF($G1788="","",IF(COUNTIF($G$2:$G$4460,$G1788)&gt;1,"重複",""))</f>
        <v/>
      </c>
    </row>
    <row r="1789" customFormat="false" ht="16.5" hidden="false" customHeight="true" outlineLevel="0" collapsed="false">
      <c r="A1789" s="2" t="s">
        <v>416</v>
      </c>
      <c r="B1789" s="2" t="s">
        <v>422</v>
      </c>
      <c r="C1789" s="2" t="s">
        <v>23</v>
      </c>
      <c r="D1789" s="2" t="str">
        <f aca="false">IF(3キー同時!$B$71="","",3キー同時!$B$71)</f>
        <v>m</v>
      </c>
      <c r="E1789" s="2" t="str">
        <f aca="false">IF(3キー同時!$G$71="","",3キー同時!$G$71)</f>
        <v>i</v>
      </c>
      <c r="F1789" s="2" t="str">
        <f aca="false">""</f>
        <v/>
      </c>
      <c r="G1789" s="2" t="str">
        <f aca="false">IF(OR(3キー同時!$B$71="",3キー同時!$G$71=""),"",IF(3キー同時!AZ75="","",SUBSTITUTE(SUBSTITUTE(3キー同時!AZ75," ",""),"　","")))</f>
        <v/>
      </c>
      <c r="H1789" s="2" t="str">
        <f aca="false">IF($G1789="","",3キー同時!$B$71)</f>
        <v/>
      </c>
      <c r="I1789" s="2" t="str">
        <f aca="false">IF($G1789="","",3キー同時!$G$71)</f>
        <v/>
      </c>
      <c r="J1789" s="2" t="str">
        <f aca="false">IF($G1789="","","]")</f>
        <v/>
      </c>
      <c r="K1789" s="2" t="str">
        <f aca="false">""</f>
        <v/>
      </c>
      <c r="L1789" s="2" t="str">
        <f aca="false">IF($G1789="","","同時")</f>
        <v/>
      </c>
      <c r="M1789" s="2" t="str">
        <f aca="false">IF($G1789="","",IF(ISNA(MATCH($G1789,個別指定!$A:$A,0)),"行なし",""))</f>
        <v/>
      </c>
      <c r="N1789" s="2" t="str">
        <f aca="false">IF($G1789="","",IF(COUNTIF($G$2:$G$4460,$G1789)&gt;1,"重複",""))</f>
        <v/>
      </c>
    </row>
    <row r="1790" customFormat="false" ht="16.5" hidden="false" customHeight="true" outlineLevel="0" collapsed="false">
      <c r="A1790" s="2" t="s">
        <v>416</v>
      </c>
      <c r="B1790" s="2" t="s">
        <v>422</v>
      </c>
      <c r="C1790" s="2" t="s">
        <v>24</v>
      </c>
      <c r="D1790" s="2" t="str">
        <f aca="false">IF(3キー同時!$B$71="","",3キー同時!$B$71)</f>
        <v>m</v>
      </c>
      <c r="E1790" s="2" t="str">
        <f aca="false">IF(3キー同時!$G$71="","",3キー同時!$G$71)</f>
        <v>i</v>
      </c>
      <c r="F1790" s="2" t="str">
        <f aca="false">""</f>
        <v/>
      </c>
      <c r="G1790" s="2" t="str">
        <f aca="false">IF(OR(3キー同時!$B$71="",3キー同時!$G$71=""),"",IF(3キー同時!I77="","",SUBSTITUTE(SUBSTITUTE(3キー同時!I77," ",""),"　","")))</f>
        <v/>
      </c>
      <c r="H1790" s="2" t="str">
        <f aca="false">IF($G1790="","",3キー同時!$B$71)</f>
        <v/>
      </c>
      <c r="I1790" s="2" t="str">
        <f aca="false">IF($G1790="","",3キー同時!$G$71)</f>
        <v/>
      </c>
      <c r="J1790" s="2" t="str">
        <f aca="false">IF($G1790="","","a")</f>
        <v/>
      </c>
      <c r="K1790" s="2" t="str">
        <f aca="false">""</f>
        <v/>
      </c>
      <c r="L1790" s="2" t="str">
        <f aca="false">IF($G1790="","","同時")</f>
        <v/>
      </c>
      <c r="M1790" s="2" t="str">
        <f aca="false">IF($G1790="","",IF(ISNA(MATCH($G1790,個別指定!$A:$A,0)),"行なし",""))</f>
        <v/>
      </c>
      <c r="N1790" s="2" t="str">
        <f aca="false">IF($G1790="","",IF(COUNTIF($G$2:$G$4460,$G1790)&gt;1,"重複",""))</f>
        <v/>
      </c>
    </row>
    <row r="1791" customFormat="false" ht="16.5" hidden="false" customHeight="true" outlineLevel="0" collapsed="false">
      <c r="A1791" s="2" t="s">
        <v>416</v>
      </c>
      <c r="B1791" s="2" t="s">
        <v>422</v>
      </c>
      <c r="C1791" s="2" t="s">
        <v>25</v>
      </c>
      <c r="D1791" s="2" t="str">
        <f aca="false">IF(3キー同時!$B$71="","",3キー同時!$B$71)</f>
        <v>m</v>
      </c>
      <c r="E1791" s="2" t="str">
        <f aca="false">IF(3キー同時!$G$71="","",3キー同時!$G$71)</f>
        <v>i</v>
      </c>
      <c r="F1791" s="2" t="str">
        <f aca="false">""</f>
        <v/>
      </c>
      <c r="G1791" s="2" t="str">
        <f aca="false">IF(OR(3キー同時!$B$71="",3キー同時!$G$71=""),"",IF(3キー同時!M77="","",SUBSTITUTE(SUBSTITUTE(3キー同時!M77," ",""),"　","")))</f>
        <v/>
      </c>
      <c r="H1791" s="2" t="str">
        <f aca="false">IF($G1791="","",3キー同時!$B$71)</f>
        <v/>
      </c>
      <c r="I1791" s="2" t="str">
        <f aca="false">IF($G1791="","",3キー同時!$G$71)</f>
        <v/>
      </c>
      <c r="J1791" s="2" t="str">
        <f aca="false">IF($G1791="","","s")</f>
        <v/>
      </c>
      <c r="K1791" s="2" t="str">
        <f aca="false">""</f>
        <v/>
      </c>
      <c r="L1791" s="2" t="str">
        <f aca="false">IF($G1791="","","同時")</f>
        <v/>
      </c>
      <c r="M1791" s="2" t="str">
        <f aca="false">IF($G1791="","",IF(ISNA(MATCH($G1791,個別指定!$A:$A,0)),"行なし",""))</f>
        <v/>
      </c>
      <c r="N1791" s="2" t="str">
        <f aca="false">IF($G1791="","",IF(COUNTIF($G$2:$G$4460,$G1791)&gt;1,"重複",""))</f>
        <v/>
      </c>
    </row>
    <row r="1792" customFormat="false" ht="16.5" hidden="false" customHeight="true" outlineLevel="0" collapsed="false">
      <c r="A1792" s="2" t="s">
        <v>416</v>
      </c>
      <c r="B1792" s="2" t="s">
        <v>422</v>
      </c>
      <c r="C1792" s="2" t="s">
        <v>26</v>
      </c>
      <c r="D1792" s="2" t="str">
        <f aca="false">IF(3キー同時!$B$71="","",3キー同時!$B$71)</f>
        <v>m</v>
      </c>
      <c r="E1792" s="2" t="str">
        <f aca="false">IF(3キー同時!$G$71="","",3キー同時!$G$71)</f>
        <v>i</v>
      </c>
      <c r="F1792" s="2" t="str">
        <f aca="false">""</f>
        <v/>
      </c>
      <c r="G1792" s="2" t="str">
        <f aca="false">IF(OR(3キー同時!$B$71="",3キー同時!$G$71=""),"",IF(3キー同時!Q77="","",SUBSTITUTE(SUBSTITUTE(3キー同時!Q77," ",""),"　","")))</f>
        <v/>
      </c>
      <c r="H1792" s="2" t="str">
        <f aca="false">IF($G1792="","",3キー同時!$B$71)</f>
        <v/>
      </c>
      <c r="I1792" s="2" t="str">
        <f aca="false">IF($G1792="","",3キー同時!$G$71)</f>
        <v/>
      </c>
      <c r="J1792" s="2" t="str">
        <f aca="false">IF($G1792="","","d")</f>
        <v/>
      </c>
      <c r="K1792" s="2" t="str">
        <f aca="false">""</f>
        <v/>
      </c>
      <c r="L1792" s="2" t="str">
        <f aca="false">IF($G1792="","","同時")</f>
        <v/>
      </c>
      <c r="M1792" s="2" t="str">
        <f aca="false">IF($G1792="","",IF(ISNA(MATCH($G1792,個別指定!$A:$A,0)),"行なし",""))</f>
        <v/>
      </c>
      <c r="N1792" s="2" t="str">
        <f aca="false">IF($G1792="","",IF(COUNTIF($G$2:$G$4460,$G1792)&gt;1,"重複",""))</f>
        <v/>
      </c>
    </row>
    <row r="1793" customFormat="false" ht="16.5" hidden="false" customHeight="true" outlineLevel="0" collapsed="false">
      <c r="A1793" s="2" t="s">
        <v>416</v>
      </c>
      <c r="B1793" s="2" t="s">
        <v>422</v>
      </c>
      <c r="C1793" s="2" t="s">
        <v>27</v>
      </c>
      <c r="D1793" s="2" t="str">
        <f aca="false">IF(3キー同時!$B$71="","",3キー同時!$B$71)</f>
        <v>m</v>
      </c>
      <c r="E1793" s="2" t="str">
        <f aca="false">IF(3キー同時!$G$71="","",3キー同時!$G$71)</f>
        <v>i</v>
      </c>
      <c r="F1793" s="2" t="str">
        <f aca="false">""</f>
        <v/>
      </c>
      <c r="G1793" s="2" t="str">
        <f aca="false">IF(OR(3キー同時!$B$71="",3キー同時!$G$71=""),"",IF(3キー同時!U77="","",SUBSTITUTE(SUBSTITUTE(3キー同時!U77," ",""),"　","")))</f>
        <v/>
      </c>
      <c r="H1793" s="2" t="str">
        <f aca="false">IF($G1793="","",3キー同時!$B$71)</f>
        <v/>
      </c>
      <c r="I1793" s="2" t="str">
        <f aca="false">IF($G1793="","",3キー同時!$G$71)</f>
        <v/>
      </c>
      <c r="J1793" s="2" t="str">
        <f aca="false">IF($G1793="","","f")</f>
        <v/>
      </c>
      <c r="K1793" s="2" t="str">
        <f aca="false">""</f>
        <v/>
      </c>
      <c r="L1793" s="2" t="str">
        <f aca="false">IF($G1793="","","同時")</f>
        <v/>
      </c>
      <c r="M1793" s="2" t="str">
        <f aca="false">IF($G1793="","",IF(ISNA(MATCH($G1793,個別指定!$A:$A,0)),"行なし",""))</f>
        <v/>
      </c>
      <c r="N1793" s="2" t="str">
        <f aca="false">IF($G1793="","",IF(COUNTIF($G$2:$G$4460,$G1793)&gt;1,"重複",""))</f>
        <v/>
      </c>
    </row>
    <row r="1794" customFormat="false" ht="16.5" hidden="false" customHeight="true" outlineLevel="0" collapsed="false">
      <c r="A1794" s="2" t="s">
        <v>416</v>
      </c>
      <c r="B1794" s="2" t="s">
        <v>422</v>
      </c>
      <c r="C1794" s="2" t="s">
        <v>28</v>
      </c>
      <c r="D1794" s="2" t="str">
        <f aca="false">IF(3キー同時!$B$71="","",3キー同時!$B$71)</f>
        <v>m</v>
      </c>
      <c r="E1794" s="2" t="str">
        <f aca="false">IF(3キー同時!$G$71="","",3キー同時!$G$71)</f>
        <v>i</v>
      </c>
      <c r="F1794" s="2" t="str">
        <f aca="false">""</f>
        <v/>
      </c>
      <c r="G1794" s="2" t="str">
        <f aca="false">IF(OR(3キー同時!$B$71="",3キー同時!$G$71=""),"",IF(3キー同時!Y77="","",SUBSTITUTE(SUBSTITUTE(3キー同時!Y77," ",""),"　","")))</f>
        <v/>
      </c>
      <c r="H1794" s="2" t="str">
        <f aca="false">IF($G1794="","",3キー同時!$B$71)</f>
        <v/>
      </c>
      <c r="I1794" s="2" t="str">
        <f aca="false">IF($G1794="","",3キー同時!$G$71)</f>
        <v/>
      </c>
      <c r="J1794" s="2" t="str">
        <f aca="false">IF($G1794="","","g")</f>
        <v/>
      </c>
      <c r="K1794" s="2" t="str">
        <f aca="false">""</f>
        <v/>
      </c>
      <c r="L1794" s="2" t="str">
        <f aca="false">IF($G1794="","","同時")</f>
        <v/>
      </c>
      <c r="M1794" s="2" t="str">
        <f aca="false">IF($G1794="","",IF(ISNA(MATCH($G1794,個別指定!$A:$A,0)),"行なし",""))</f>
        <v/>
      </c>
      <c r="N1794" s="2" t="str">
        <f aca="false">IF($G1794="","",IF(COUNTIF($G$2:$G$4460,$G1794)&gt;1,"重複",""))</f>
        <v/>
      </c>
    </row>
    <row r="1795" customFormat="false" ht="16.5" hidden="false" customHeight="true" outlineLevel="0" collapsed="false">
      <c r="A1795" s="2" t="s">
        <v>416</v>
      </c>
      <c r="B1795" s="2" t="s">
        <v>422</v>
      </c>
      <c r="C1795" s="2" t="s">
        <v>29</v>
      </c>
      <c r="D1795" s="2" t="str">
        <f aca="false">IF(3キー同時!$B$71="","",3キー同時!$B$71)</f>
        <v>m</v>
      </c>
      <c r="E1795" s="2" t="str">
        <f aca="false">IF(3キー同時!$G$71="","",3キー同時!$G$71)</f>
        <v>i</v>
      </c>
      <c r="F1795" s="2" t="str">
        <f aca="false">""</f>
        <v/>
      </c>
      <c r="G1795" s="2" t="str">
        <f aca="false">IF(OR(3キー同時!$B$71="",3キー同時!$G$71=""),"",IF(3キー同時!AC77="","",SUBSTITUTE(SUBSTITUTE(3キー同時!AC77," ",""),"　","")))</f>
        <v/>
      </c>
      <c r="H1795" s="2" t="str">
        <f aca="false">IF($G1795="","",3キー同時!$B$71)</f>
        <v/>
      </c>
      <c r="I1795" s="2" t="str">
        <f aca="false">IF($G1795="","",3キー同時!$G$71)</f>
        <v/>
      </c>
      <c r="J1795" s="2" t="str">
        <f aca="false">IF($G1795="","","h")</f>
        <v/>
      </c>
      <c r="K1795" s="2" t="str">
        <f aca="false">""</f>
        <v/>
      </c>
      <c r="L1795" s="2" t="str">
        <f aca="false">IF($G1795="","","同時")</f>
        <v/>
      </c>
      <c r="M1795" s="2" t="str">
        <f aca="false">IF($G1795="","",IF(ISNA(MATCH($G1795,個別指定!$A:$A,0)),"行なし",""))</f>
        <v/>
      </c>
      <c r="N1795" s="2" t="str">
        <f aca="false">IF($G1795="","",IF(COUNTIF($G$2:$G$4460,$G1795)&gt;1,"重複",""))</f>
        <v/>
      </c>
    </row>
    <row r="1796" customFormat="false" ht="16.5" hidden="false" customHeight="true" outlineLevel="0" collapsed="false">
      <c r="A1796" s="2" t="s">
        <v>416</v>
      </c>
      <c r="B1796" s="2" t="s">
        <v>422</v>
      </c>
      <c r="C1796" s="2" t="s">
        <v>30</v>
      </c>
      <c r="D1796" s="2" t="str">
        <f aca="false">IF(3キー同時!$B$71="","",3キー同時!$B$71)</f>
        <v>m</v>
      </c>
      <c r="E1796" s="2" t="str">
        <f aca="false">IF(3キー同時!$G$71="","",3キー同時!$G$71)</f>
        <v>i</v>
      </c>
      <c r="F1796" s="2" t="str">
        <f aca="false">""</f>
        <v/>
      </c>
      <c r="G1796" s="2" t="str">
        <f aca="false">IF(OR(3キー同時!$B$71="",3キー同時!$G$71=""),"",IF(3キー同時!AG77="","",SUBSTITUTE(SUBSTITUTE(3キー同時!AG77," ",""),"　","")))</f>
        <v/>
      </c>
      <c r="H1796" s="2" t="str">
        <f aca="false">IF($G1796="","",3キー同時!$B$71)</f>
        <v/>
      </c>
      <c r="I1796" s="2" t="str">
        <f aca="false">IF($G1796="","",3キー同時!$G$71)</f>
        <v/>
      </c>
      <c r="J1796" s="2" t="str">
        <f aca="false">IF($G1796="","","j")</f>
        <v/>
      </c>
      <c r="K1796" s="2" t="str">
        <f aca="false">""</f>
        <v/>
      </c>
      <c r="L1796" s="2" t="str">
        <f aca="false">IF($G1796="","","同時")</f>
        <v/>
      </c>
      <c r="M1796" s="2" t="str">
        <f aca="false">IF($G1796="","",IF(ISNA(MATCH($G1796,個別指定!$A:$A,0)),"行なし",""))</f>
        <v/>
      </c>
      <c r="N1796" s="2" t="str">
        <f aca="false">IF($G1796="","",IF(COUNTIF($G$2:$G$4460,$G1796)&gt;1,"重複",""))</f>
        <v/>
      </c>
    </row>
    <row r="1797" customFormat="false" ht="16.5" hidden="false" customHeight="true" outlineLevel="0" collapsed="false">
      <c r="A1797" s="2" t="s">
        <v>416</v>
      </c>
      <c r="B1797" s="2" t="s">
        <v>422</v>
      </c>
      <c r="C1797" s="2" t="s">
        <v>31</v>
      </c>
      <c r="D1797" s="2" t="str">
        <f aca="false">IF(3キー同時!$B$71="","",3キー同時!$B$71)</f>
        <v>m</v>
      </c>
      <c r="E1797" s="2" t="str">
        <f aca="false">IF(3キー同時!$G$71="","",3キー同時!$G$71)</f>
        <v>i</v>
      </c>
      <c r="F1797" s="2" t="str">
        <f aca="false">""</f>
        <v/>
      </c>
      <c r="G1797" s="2" t="str">
        <f aca="false">IF(OR(3キー同時!$B$71="",3キー同時!$G$71=""),"",IF(3キー同時!AK77="","",SUBSTITUTE(SUBSTITUTE(3キー同時!AK77," ",""),"　","")))</f>
        <v/>
      </c>
      <c r="H1797" s="2" t="str">
        <f aca="false">IF($G1797="","",3キー同時!$B$71)</f>
        <v/>
      </c>
      <c r="I1797" s="2" t="str">
        <f aca="false">IF($G1797="","",3キー同時!$G$71)</f>
        <v/>
      </c>
      <c r="J1797" s="2" t="str">
        <f aca="false">IF($G1797="","","k")</f>
        <v/>
      </c>
      <c r="K1797" s="2" t="str">
        <f aca="false">""</f>
        <v/>
      </c>
      <c r="L1797" s="2" t="str">
        <f aca="false">IF($G1797="","","同時")</f>
        <v/>
      </c>
      <c r="M1797" s="2" t="str">
        <f aca="false">IF($G1797="","",IF(ISNA(MATCH($G1797,個別指定!$A:$A,0)),"行なし",""))</f>
        <v/>
      </c>
      <c r="N1797" s="2" t="str">
        <f aca="false">IF($G1797="","",IF(COUNTIF($G$2:$G$4460,$G1797)&gt;1,"重複",""))</f>
        <v/>
      </c>
    </row>
    <row r="1798" customFormat="false" ht="16.5" hidden="false" customHeight="true" outlineLevel="0" collapsed="false">
      <c r="A1798" s="2" t="s">
        <v>416</v>
      </c>
      <c r="B1798" s="2" t="s">
        <v>422</v>
      </c>
      <c r="C1798" s="2" t="s">
        <v>32</v>
      </c>
      <c r="D1798" s="2" t="str">
        <f aca="false">IF(3キー同時!$B$71="","",3キー同時!$B$71)</f>
        <v>m</v>
      </c>
      <c r="E1798" s="2" t="str">
        <f aca="false">IF(3キー同時!$G$71="","",3キー同時!$G$71)</f>
        <v>i</v>
      </c>
      <c r="F1798" s="2" t="str">
        <f aca="false">""</f>
        <v/>
      </c>
      <c r="G1798" s="2" t="str">
        <f aca="false">IF(OR(3キー同時!$B$71="",3キー同時!$G$71=""),"",IF(3キー同時!AO77="","",SUBSTITUTE(SUBSTITUTE(3キー同時!AO77," ",""),"　","")))</f>
        <v/>
      </c>
      <c r="H1798" s="2" t="str">
        <f aca="false">IF($G1798="","",3キー同時!$B$71)</f>
        <v/>
      </c>
      <c r="I1798" s="2" t="str">
        <f aca="false">IF($G1798="","",3キー同時!$G$71)</f>
        <v/>
      </c>
      <c r="J1798" s="2" t="str">
        <f aca="false">IF($G1798="","","l")</f>
        <v/>
      </c>
      <c r="K1798" s="2" t="str">
        <f aca="false">""</f>
        <v/>
      </c>
      <c r="L1798" s="2" t="str">
        <f aca="false">IF($G1798="","","同時")</f>
        <v/>
      </c>
      <c r="M1798" s="2" t="str">
        <f aca="false">IF($G1798="","",IF(ISNA(MATCH($G1798,個別指定!$A:$A,0)),"行なし",""))</f>
        <v/>
      </c>
      <c r="N1798" s="2" t="str">
        <f aca="false">IF($G1798="","",IF(COUNTIF($G$2:$G$4460,$G1798)&gt;1,"重複",""))</f>
        <v/>
      </c>
    </row>
    <row r="1799" customFormat="false" ht="16.5" hidden="false" customHeight="true" outlineLevel="0" collapsed="false">
      <c r="A1799" s="2" t="s">
        <v>416</v>
      </c>
      <c r="B1799" s="2" t="s">
        <v>422</v>
      </c>
      <c r="C1799" s="2" t="s">
        <v>33</v>
      </c>
      <c r="D1799" s="2" t="str">
        <f aca="false">IF(3キー同時!$B$71="","",3キー同時!$B$71)</f>
        <v>m</v>
      </c>
      <c r="E1799" s="2" t="str">
        <f aca="false">IF(3キー同時!$G$71="","",3キー同時!$G$71)</f>
        <v>i</v>
      </c>
      <c r="F1799" s="2" t="str">
        <f aca="false">""</f>
        <v/>
      </c>
      <c r="G1799" s="2" t="str">
        <f aca="false">IF(OR(3キー同時!$B$71="",3キー同時!$G$71=""),"",IF(3キー同時!AS77="","",SUBSTITUTE(SUBSTITUTE(3キー同時!AS77," ",""),"　","")))</f>
        <v/>
      </c>
      <c r="H1799" s="2" t="str">
        <f aca="false">IF($G1799="","",3キー同時!$B$71)</f>
        <v/>
      </c>
      <c r="I1799" s="2" t="str">
        <f aca="false">IF($G1799="","",3キー同時!$G$71)</f>
        <v/>
      </c>
      <c r="J1799" s="2" t="str">
        <f aca="false">IF($G1799="","",";")</f>
        <v/>
      </c>
      <c r="K1799" s="2" t="str">
        <f aca="false">""</f>
        <v/>
      </c>
      <c r="L1799" s="2" t="str">
        <f aca="false">IF($G1799="","","同時")</f>
        <v/>
      </c>
      <c r="M1799" s="2" t="str">
        <f aca="false">IF($G1799="","",IF(ISNA(MATCH($G1799,個別指定!$A:$A,0)),"行なし",""))</f>
        <v/>
      </c>
      <c r="N1799" s="2" t="str">
        <f aca="false">IF($G1799="","",IF(COUNTIF($G$2:$G$4460,$G1799)&gt;1,"重複",""))</f>
        <v/>
      </c>
    </row>
    <row r="1800" customFormat="false" ht="16.5" hidden="false" customHeight="true" outlineLevel="0" collapsed="false">
      <c r="A1800" s="2" t="s">
        <v>416</v>
      </c>
      <c r="B1800" s="2" t="s">
        <v>422</v>
      </c>
      <c r="C1800" s="2" t="s">
        <v>34</v>
      </c>
      <c r="D1800" s="2" t="str">
        <f aca="false">IF(3キー同時!$B$71="","",3キー同時!$B$71)</f>
        <v>m</v>
      </c>
      <c r="E1800" s="2" t="str">
        <f aca="false">IF(3キー同時!$G$71="","",3キー同時!$G$71)</f>
        <v>i</v>
      </c>
      <c r="F1800" s="2" t="str">
        <f aca="false">""</f>
        <v/>
      </c>
      <c r="G1800" s="2" t="str">
        <f aca="false">IF(OR(3キー同時!$B$71="",3キー同時!$G$71=""),"",IF(3キー同時!AW77="","",SUBSTITUTE(SUBSTITUTE(3キー同時!AW77," ",""),"　","")))</f>
        <v/>
      </c>
      <c r="H1800" s="2" t="str">
        <f aca="false">IF($G1800="","",3キー同時!$B$71)</f>
        <v/>
      </c>
      <c r="I1800" s="2" t="str">
        <f aca="false">IF($G1800="","",3キー同時!$G$71)</f>
        <v/>
      </c>
      <c r="J1800" s="2" t="str">
        <f aca="false">IF($G1800="","","'")</f>
        <v/>
      </c>
      <c r="K1800" s="2" t="str">
        <f aca="false">""</f>
        <v/>
      </c>
      <c r="L1800" s="2" t="str">
        <f aca="false">IF($G1800="","","同時")</f>
        <v/>
      </c>
      <c r="M1800" s="2" t="str">
        <f aca="false">IF($G1800="","",IF(ISNA(MATCH($G1800,個別指定!$A:$A,0)),"行なし",""))</f>
        <v/>
      </c>
      <c r="N1800" s="2" t="str">
        <f aca="false">IF($G1800="","",IF(COUNTIF($G$2:$G$4460,$G1800)&gt;1,"重複",""))</f>
        <v/>
      </c>
    </row>
    <row r="1801" customFormat="false" ht="16.5" hidden="false" customHeight="true" outlineLevel="0" collapsed="false">
      <c r="A1801" s="2" t="s">
        <v>416</v>
      </c>
      <c r="B1801" s="2" t="s">
        <v>422</v>
      </c>
      <c r="C1801" s="2" t="s">
        <v>35</v>
      </c>
      <c r="D1801" s="2" t="str">
        <f aca="false">IF(3キー同時!$B$71="","",3キー同時!$B$71)</f>
        <v>m</v>
      </c>
      <c r="E1801" s="2" t="str">
        <f aca="false">IF(3キー同時!$G$71="","",3キー同時!$G$71)</f>
        <v>i</v>
      </c>
      <c r="F1801" s="2" t="str">
        <f aca="false">""</f>
        <v/>
      </c>
      <c r="G1801" s="2" t="str">
        <f aca="false">IF(OR(3キー同時!$B$71="",3キー同時!$G$71=""),"",IF(3キー同時!K79="","",SUBSTITUTE(SUBSTITUTE(3キー同時!K79," ",""),"　","")))</f>
        <v/>
      </c>
      <c r="H1801" s="2" t="str">
        <f aca="false">IF($G1801="","",3キー同時!$B$71)</f>
        <v/>
      </c>
      <c r="I1801" s="2" t="str">
        <f aca="false">IF($G1801="","",3キー同時!$G$71)</f>
        <v/>
      </c>
      <c r="J1801" s="2" t="str">
        <f aca="false">IF($G1801="","","z")</f>
        <v/>
      </c>
      <c r="K1801" s="2" t="str">
        <f aca="false">""</f>
        <v/>
      </c>
      <c r="L1801" s="2" t="str">
        <f aca="false">IF($G1801="","","同時")</f>
        <v/>
      </c>
      <c r="M1801" s="2" t="str">
        <f aca="false">IF($G1801="","",IF(ISNA(MATCH($G1801,個別指定!$A:$A,0)),"行なし",""))</f>
        <v/>
      </c>
      <c r="N1801" s="2" t="str">
        <f aca="false">IF($G1801="","",IF(COUNTIF($G$2:$G$4460,$G1801)&gt;1,"重複",""))</f>
        <v/>
      </c>
    </row>
    <row r="1802" customFormat="false" ht="16.5" hidden="false" customHeight="true" outlineLevel="0" collapsed="false">
      <c r="A1802" s="2" t="s">
        <v>416</v>
      </c>
      <c r="B1802" s="2" t="s">
        <v>422</v>
      </c>
      <c r="C1802" s="2" t="s">
        <v>36</v>
      </c>
      <c r="D1802" s="2" t="str">
        <f aca="false">IF(3キー同時!$B$71="","",3キー同時!$B$71)</f>
        <v>m</v>
      </c>
      <c r="E1802" s="2" t="str">
        <f aca="false">IF(3キー同時!$G$71="","",3キー同時!$G$71)</f>
        <v>i</v>
      </c>
      <c r="F1802" s="2" t="str">
        <f aca="false">""</f>
        <v/>
      </c>
      <c r="G1802" s="2" t="str">
        <f aca="false">IF(OR(3キー同時!$B$71="",3キー同時!$G$71=""),"",IF(3キー同時!O79="","",SUBSTITUTE(SUBSTITUTE(3キー同時!O79," ",""),"　","")))</f>
        <v>ぴょ</v>
      </c>
      <c r="H1802" s="2" t="str">
        <f aca="false">IF($G1802="","",3キー同時!$B$71)</f>
        <v>m</v>
      </c>
      <c r="I1802" s="2" t="str">
        <f aca="false">IF($G1802="","",3キー同時!$G$71)</f>
        <v>i</v>
      </c>
      <c r="J1802" s="2" t="str">
        <f aca="false">IF($G1802="","","x")</f>
        <v>x</v>
      </c>
      <c r="K1802" s="2" t="str">
        <f aca="false">""</f>
        <v/>
      </c>
      <c r="L1802" s="2" t="str">
        <f aca="false">IF($G1802="","","同時")</f>
        <v>同時</v>
      </c>
      <c r="M1802" s="2" t="str">
        <f aca="false">IF($G1802="","",IF(ISNA(MATCH($G1802,個別指定!$A:$A,0)),"行なし",""))</f>
        <v/>
      </c>
      <c r="N1802" s="2" t="str">
        <f aca="false">IF($G1802="","",IF(COUNTIF($G$2:$G$4460,$G1802)&gt;1,"重複",""))</f>
        <v/>
      </c>
    </row>
    <row r="1803" customFormat="false" ht="16.5" hidden="false" customHeight="true" outlineLevel="0" collapsed="false">
      <c r="A1803" s="2" t="s">
        <v>416</v>
      </c>
      <c r="B1803" s="2" t="s">
        <v>422</v>
      </c>
      <c r="C1803" s="2" t="s">
        <v>37</v>
      </c>
      <c r="D1803" s="2" t="str">
        <f aca="false">IF(3キー同時!$B$71="","",3キー同時!$B$71)</f>
        <v>m</v>
      </c>
      <c r="E1803" s="2" t="str">
        <f aca="false">IF(3キー同時!$G$71="","",3キー同時!$G$71)</f>
        <v>i</v>
      </c>
      <c r="F1803" s="2" t="str">
        <f aca="false">""</f>
        <v/>
      </c>
      <c r="G1803" s="2" t="str">
        <f aca="false">IF(OR(3キー同時!$B$71="",3キー同時!$G$71=""),"",IF(3キー同時!S79="","",SUBSTITUTE(SUBSTITUTE(3キー同時!S79," ",""),"　","")))</f>
        <v/>
      </c>
      <c r="H1803" s="2" t="str">
        <f aca="false">IF($G1803="","",3キー同時!$B$71)</f>
        <v/>
      </c>
      <c r="I1803" s="2" t="str">
        <f aca="false">IF($G1803="","",3キー同時!$G$71)</f>
        <v/>
      </c>
      <c r="J1803" s="2" t="str">
        <f aca="false">IF($G1803="","","c")</f>
        <v/>
      </c>
      <c r="K1803" s="2" t="str">
        <f aca="false">""</f>
        <v/>
      </c>
      <c r="L1803" s="2" t="str">
        <f aca="false">IF($G1803="","","同時")</f>
        <v/>
      </c>
      <c r="M1803" s="2" t="str">
        <f aca="false">IF($G1803="","",IF(ISNA(MATCH($G1803,個別指定!$A:$A,0)),"行なし",""))</f>
        <v/>
      </c>
      <c r="N1803" s="2" t="str">
        <f aca="false">IF($G1803="","",IF(COUNTIF($G$2:$G$4460,$G1803)&gt;1,"重複",""))</f>
        <v/>
      </c>
    </row>
    <row r="1804" customFormat="false" ht="16.5" hidden="false" customHeight="true" outlineLevel="0" collapsed="false">
      <c r="A1804" s="2" t="s">
        <v>416</v>
      </c>
      <c r="B1804" s="2" t="s">
        <v>422</v>
      </c>
      <c r="C1804" s="2" t="s">
        <v>38</v>
      </c>
      <c r="D1804" s="2" t="str">
        <f aca="false">IF(3キー同時!$B$71="","",3キー同時!$B$71)</f>
        <v>m</v>
      </c>
      <c r="E1804" s="2" t="str">
        <f aca="false">IF(3キー同時!$G$71="","",3キー同時!$G$71)</f>
        <v>i</v>
      </c>
      <c r="F1804" s="2" t="str">
        <f aca="false">""</f>
        <v/>
      </c>
      <c r="G1804" s="2" t="str">
        <f aca="false">IF(OR(3キー同時!$B$71="",3キー同時!$G$71=""),"",IF(3キー同時!W79="","",SUBSTITUTE(SUBSTITUTE(3キー同時!W79," ",""),"　","")))</f>
        <v/>
      </c>
      <c r="H1804" s="2" t="str">
        <f aca="false">IF($G1804="","",3キー同時!$B$71)</f>
        <v/>
      </c>
      <c r="I1804" s="2" t="str">
        <f aca="false">IF($G1804="","",3キー同時!$G$71)</f>
        <v/>
      </c>
      <c r="J1804" s="2" t="str">
        <f aca="false">IF($G1804="","","v")</f>
        <v/>
      </c>
      <c r="K1804" s="2" t="str">
        <f aca="false">""</f>
        <v/>
      </c>
      <c r="L1804" s="2" t="str">
        <f aca="false">IF($G1804="","","同時")</f>
        <v/>
      </c>
      <c r="M1804" s="2" t="str">
        <f aca="false">IF($G1804="","",IF(ISNA(MATCH($G1804,個別指定!$A:$A,0)),"行なし",""))</f>
        <v/>
      </c>
      <c r="N1804" s="2" t="str">
        <f aca="false">IF($G1804="","",IF(COUNTIF($G$2:$G$4460,$G1804)&gt;1,"重複",""))</f>
        <v/>
      </c>
    </row>
    <row r="1805" customFormat="false" ht="16.5" hidden="false" customHeight="true" outlineLevel="0" collapsed="false">
      <c r="A1805" s="2" t="s">
        <v>416</v>
      </c>
      <c r="B1805" s="2" t="s">
        <v>422</v>
      </c>
      <c r="C1805" s="2" t="s">
        <v>39</v>
      </c>
      <c r="D1805" s="2" t="str">
        <f aca="false">IF(3キー同時!$B$71="","",3キー同時!$B$71)</f>
        <v>m</v>
      </c>
      <c r="E1805" s="2" t="str">
        <f aca="false">IF(3キー同時!$G$71="","",3キー同時!$G$71)</f>
        <v>i</v>
      </c>
      <c r="F1805" s="2" t="str">
        <f aca="false">""</f>
        <v/>
      </c>
      <c r="G1805" s="2" t="str">
        <f aca="false">IF(OR(3キー同時!$B$71="",3キー同時!$G$71=""),"",IF(3キー同時!AA79="","",SUBSTITUTE(SUBSTITUTE(3キー同時!AA79," ",""),"　","")))</f>
        <v/>
      </c>
      <c r="H1805" s="2" t="str">
        <f aca="false">IF($G1805="","",3キー同時!$B$71)</f>
        <v/>
      </c>
      <c r="I1805" s="2" t="str">
        <f aca="false">IF($G1805="","",3キー同時!$G$71)</f>
        <v/>
      </c>
      <c r="J1805" s="2" t="str">
        <f aca="false">IF($G1805="","","b")</f>
        <v/>
      </c>
      <c r="K1805" s="2" t="str">
        <f aca="false">""</f>
        <v/>
      </c>
      <c r="L1805" s="2" t="str">
        <f aca="false">IF($G1805="","","同時")</f>
        <v/>
      </c>
      <c r="M1805" s="2" t="str">
        <f aca="false">IF($G1805="","",IF(ISNA(MATCH($G1805,個別指定!$A:$A,0)),"行なし",""))</f>
        <v/>
      </c>
      <c r="N1805" s="2" t="str">
        <f aca="false">IF($G1805="","",IF(COUNTIF($G$2:$G$4460,$G1805)&gt;1,"重複",""))</f>
        <v/>
      </c>
    </row>
    <row r="1806" customFormat="false" ht="16.5" hidden="false" customHeight="true" outlineLevel="0" collapsed="false">
      <c r="A1806" s="2" t="s">
        <v>416</v>
      </c>
      <c r="B1806" s="2" t="s">
        <v>422</v>
      </c>
      <c r="C1806" s="2" t="s">
        <v>40</v>
      </c>
      <c r="D1806" s="2" t="str">
        <f aca="false">IF(3キー同時!$B$71="","",3キー同時!$B$71)</f>
        <v>m</v>
      </c>
      <c r="E1806" s="2" t="str">
        <f aca="false">IF(3キー同時!$G$71="","",3キー同時!$G$71)</f>
        <v>i</v>
      </c>
      <c r="F1806" s="2" t="str">
        <f aca="false">""</f>
        <v/>
      </c>
      <c r="G1806" s="2" t="str">
        <f aca="false">IF(OR(3キー同時!$B$71="",3キー同時!$G$71=""),"",IF(3キー同時!AE79="","",SUBSTITUTE(SUBSTITUTE(3キー同時!AE79," ",""),"　","")))</f>
        <v/>
      </c>
      <c r="H1806" s="2" t="str">
        <f aca="false">IF($G1806="","",3キー同時!$B$71)</f>
        <v/>
      </c>
      <c r="I1806" s="2" t="str">
        <f aca="false">IF($G1806="","",3キー同時!$G$71)</f>
        <v/>
      </c>
      <c r="J1806" s="2" t="str">
        <f aca="false">IF($G1806="","","n")</f>
        <v/>
      </c>
      <c r="K1806" s="2" t="str">
        <f aca="false">""</f>
        <v/>
      </c>
      <c r="L1806" s="2" t="str">
        <f aca="false">IF($G1806="","","同時")</f>
        <v/>
      </c>
      <c r="M1806" s="2" t="str">
        <f aca="false">IF($G1806="","",IF(ISNA(MATCH($G1806,個別指定!$A:$A,0)),"行なし",""))</f>
        <v/>
      </c>
      <c r="N1806" s="2" t="str">
        <f aca="false">IF($G1806="","",IF(COUNTIF($G$2:$G$4460,$G1806)&gt;1,"重複",""))</f>
        <v/>
      </c>
    </row>
    <row r="1807" customFormat="false" ht="16.5" hidden="false" customHeight="true" outlineLevel="0" collapsed="false">
      <c r="A1807" s="2" t="s">
        <v>416</v>
      </c>
      <c r="B1807" s="2" t="s">
        <v>422</v>
      </c>
      <c r="C1807" s="2" t="s">
        <v>41</v>
      </c>
      <c r="D1807" s="2" t="str">
        <f aca="false">IF(3キー同時!$B$71="","",3キー同時!$B$71)</f>
        <v>m</v>
      </c>
      <c r="E1807" s="2" t="str">
        <f aca="false">IF(3キー同時!$G$71="","",3キー同時!$G$71)</f>
        <v>i</v>
      </c>
      <c r="F1807" s="2" t="str">
        <f aca="false">""</f>
        <v/>
      </c>
      <c r="G1807" s="2" t="str">
        <f aca="false">IF(OR(3キー同時!$B$71="",3キー同時!$G$71=""),"",IF(3キー同時!AI79="","",SUBSTITUTE(SUBSTITUTE(3キー同時!AI79," ",""),"　","")))</f>
        <v/>
      </c>
      <c r="H1807" s="2" t="str">
        <f aca="false">IF($G1807="","",3キー同時!$B$71)</f>
        <v/>
      </c>
      <c r="I1807" s="2" t="str">
        <f aca="false">IF($G1807="","",3キー同時!$G$71)</f>
        <v/>
      </c>
      <c r="J1807" s="2" t="str">
        <f aca="false">IF($G1807="","","m")</f>
        <v/>
      </c>
      <c r="K1807" s="2" t="str">
        <f aca="false">""</f>
        <v/>
      </c>
      <c r="L1807" s="2" t="str">
        <f aca="false">IF($G1807="","","同時")</f>
        <v/>
      </c>
      <c r="M1807" s="2" t="str">
        <f aca="false">IF($G1807="","",IF(ISNA(MATCH($G1807,個別指定!$A:$A,0)),"行なし",""))</f>
        <v/>
      </c>
      <c r="N1807" s="2" t="str">
        <f aca="false">IF($G1807="","",IF(COUNTIF($G$2:$G$4460,$G1807)&gt;1,"重複",""))</f>
        <v/>
      </c>
    </row>
    <row r="1808" customFormat="false" ht="16.5" hidden="false" customHeight="true" outlineLevel="0" collapsed="false">
      <c r="A1808" s="2" t="s">
        <v>416</v>
      </c>
      <c r="B1808" s="2" t="s">
        <v>422</v>
      </c>
      <c r="C1808" s="2" t="s">
        <v>42</v>
      </c>
      <c r="D1808" s="2" t="str">
        <f aca="false">IF(3キー同時!$B$71="","",3キー同時!$B$71)</f>
        <v>m</v>
      </c>
      <c r="E1808" s="2" t="str">
        <f aca="false">IF(3キー同時!$G$71="","",3キー同時!$G$71)</f>
        <v>i</v>
      </c>
      <c r="F1808" s="2" t="str">
        <f aca="false">""</f>
        <v/>
      </c>
      <c r="G1808" s="2" t="str">
        <f aca="false">IF(OR(3キー同時!$B$71="",3キー同時!$G$71=""),"",IF(3キー同時!AM79="","",SUBSTITUTE(SUBSTITUTE(3キー同時!AM79," ",""),"　","")))</f>
        <v/>
      </c>
      <c r="H1808" s="2" t="str">
        <f aca="false">IF($G1808="","",3キー同時!$B$71)</f>
        <v/>
      </c>
      <c r="I1808" s="2" t="str">
        <f aca="false">IF($G1808="","",3キー同時!$G$71)</f>
        <v/>
      </c>
      <c r="J1808" s="2" t="str">
        <f aca="false">IF($G1808="","",",")</f>
        <v/>
      </c>
      <c r="K1808" s="2" t="str">
        <f aca="false">""</f>
        <v/>
      </c>
      <c r="L1808" s="2" t="str">
        <f aca="false">IF($G1808="","","同時")</f>
        <v/>
      </c>
      <c r="M1808" s="2" t="str">
        <f aca="false">IF($G1808="","",IF(ISNA(MATCH($G1808,個別指定!$A:$A,0)),"行なし",""))</f>
        <v/>
      </c>
      <c r="N1808" s="2" t="str">
        <f aca="false">IF($G1808="","",IF(COUNTIF($G$2:$G$4460,$G1808)&gt;1,"重複",""))</f>
        <v/>
      </c>
    </row>
    <row r="1809" customFormat="false" ht="16.5" hidden="false" customHeight="true" outlineLevel="0" collapsed="false">
      <c r="A1809" s="2" t="s">
        <v>416</v>
      </c>
      <c r="B1809" s="2" t="s">
        <v>422</v>
      </c>
      <c r="C1809" s="2" t="s">
        <v>43</v>
      </c>
      <c r="D1809" s="2" t="str">
        <f aca="false">IF(3キー同時!$B$71="","",3キー同時!$B$71)</f>
        <v>m</v>
      </c>
      <c r="E1809" s="2" t="str">
        <f aca="false">IF(3キー同時!$G$71="","",3キー同時!$G$71)</f>
        <v>i</v>
      </c>
      <c r="F1809" s="2" t="str">
        <f aca="false">""</f>
        <v/>
      </c>
      <c r="G1809" s="2" t="str">
        <f aca="false">IF(OR(3キー同時!$B$71="",3キー同時!$G$71=""),"",IF(3キー同時!AQ79="","",SUBSTITUTE(SUBSTITUTE(3キー同時!AQ79," ",""),"　","")))</f>
        <v/>
      </c>
      <c r="H1809" s="2" t="str">
        <f aca="false">IF($G1809="","",3キー同時!$B$71)</f>
        <v/>
      </c>
      <c r="I1809" s="2" t="str">
        <f aca="false">IF($G1809="","",3キー同時!$G$71)</f>
        <v/>
      </c>
      <c r="J1809" s="2" t="str">
        <f aca="false">IF($G1809="","",".")</f>
        <v/>
      </c>
      <c r="K1809" s="2" t="str">
        <f aca="false">""</f>
        <v/>
      </c>
      <c r="L1809" s="2" t="str">
        <f aca="false">IF($G1809="","","同時")</f>
        <v/>
      </c>
      <c r="M1809" s="2" t="str">
        <f aca="false">IF($G1809="","",IF(ISNA(MATCH($G1809,個別指定!$A:$A,0)),"行なし",""))</f>
        <v/>
      </c>
      <c r="N1809" s="2" t="str">
        <f aca="false">IF($G1809="","",IF(COUNTIF($G$2:$G$4460,$G1809)&gt;1,"重複",""))</f>
        <v/>
      </c>
    </row>
    <row r="1810" customFormat="false" ht="16.5" hidden="false" customHeight="true" outlineLevel="0" collapsed="false">
      <c r="A1810" s="2" t="s">
        <v>416</v>
      </c>
      <c r="B1810" s="2" t="s">
        <v>422</v>
      </c>
      <c r="C1810" s="2" t="s">
        <v>44</v>
      </c>
      <c r="D1810" s="2" t="str">
        <f aca="false">IF(3キー同時!$B$71="","",3キー同時!$B$71)</f>
        <v>m</v>
      </c>
      <c r="E1810" s="2" t="str">
        <f aca="false">IF(3キー同時!$G$71="","",3キー同時!$G$71)</f>
        <v>i</v>
      </c>
      <c r="F1810" s="2" t="str">
        <f aca="false">""</f>
        <v/>
      </c>
      <c r="G1810" s="2" t="str">
        <f aca="false">IF(OR(3キー同時!$B$71="",3キー同時!$G$71=""),"",IF(3キー同時!AU79="","",SUBSTITUTE(SUBSTITUTE(3キー同時!AU79," ",""),"　","")))</f>
        <v/>
      </c>
      <c r="H1810" s="2" t="str">
        <f aca="false">IF($G1810="","",3キー同時!$B$71)</f>
        <v/>
      </c>
      <c r="I1810" s="2" t="str">
        <f aca="false">IF($G1810="","",3キー同時!$G$71)</f>
        <v/>
      </c>
      <c r="J1810" s="2" t="str">
        <f aca="false">IF($G1810="","","/")</f>
        <v/>
      </c>
      <c r="K1810" s="2" t="str">
        <f aca="false">""</f>
        <v/>
      </c>
      <c r="L1810" s="2" t="str">
        <f aca="false">IF($G1810="","","同時")</f>
        <v/>
      </c>
      <c r="M1810" s="2" t="str">
        <f aca="false">IF($G1810="","",IF(ISNA(MATCH($G1810,個別指定!$A:$A,0)),"行なし",""))</f>
        <v/>
      </c>
      <c r="N1810" s="2" t="str">
        <f aca="false">IF($G1810="","",IF(COUNTIF($G$2:$G$4460,$G1810)&gt;1,"重複",""))</f>
        <v/>
      </c>
    </row>
    <row r="1811" customFormat="false" ht="16.5" hidden="false" customHeight="true" outlineLevel="0" collapsed="false">
      <c r="A1811" s="2" t="s">
        <v>416</v>
      </c>
      <c r="B1811" s="2" t="s">
        <v>422</v>
      </c>
      <c r="C1811" s="2" t="s">
        <v>48</v>
      </c>
      <c r="D1811" s="2" t="str">
        <f aca="false">IF(3キー同時!$B$71="","",3キー同時!$B$71)</f>
        <v>m</v>
      </c>
      <c r="E1811" s="2" t="str">
        <f aca="false">IF(3キー同時!$G$71="","",3キー同時!$G$71)</f>
        <v>i</v>
      </c>
      <c r="F1811" s="2" t="str">
        <f aca="false">""</f>
        <v/>
      </c>
      <c r="G1811" s="2" t="str">
        <f aca="false">IF(OR(3キー同時!$B$71="",3キー同時!$G$71=""),"",IF(3キー同時!P81="","",SUBSTITUTE(SUBSTITUTE(3キー同時!P81," ",""),"　","")))</f>
        <v/>
      </c>
      <c r="H1811" s="2" t="str">
        <f aca="false">IF($G1811="","",3キー同時!$B$71)</f>
        <v/>
      </c>
      <c r="I1811" s="2" t="str">
        <f aca="false">IF($G1811="","",3キー同時!$G$71)</f>
        <v/>
      </c>
      <c r="J1811" s="2" t="str">
        <f aca="false">IF($G1811="","","muhenkan")</f>
        <v/>
      </c>
      <c r="K1811" s="2" t="str">
        <f aca="false">""</f>
        <v/>
      </c>
      <c r="L1811" s="2" t="str">
        <f aca="false">IF($G1811="","","同時")</f>
        <v/>
      </c>
      <c r="M1811" s="2" t="str">
        <f aca="false">IF($G1811="","",IF(ISNA(MATCH($G1811,個別指定!$A:$A,0)),"行なし",""))</f>
        <v/>
      </c>
      <c r="N1811" s="2" t="str">
        <f aca="false">IF($G1811="","",IF(COUNTIF($G$2:$G$4460,$G1811)&gt;1,"重複",""))</f>
        <v/>
      </c>
    </row>
    <row r="1812" customFormat="false" ht="16.5" hidden="false" customHeight="true" outlineLevel="0" collapsed="false">
      <c r="A1812" s="2" t="s">
        <v>416</v>
      </c>
      <c r="B1812" s="2" t="s">
        <v>422</v>
      </c>
      <c r="C1812" s="2" t="s">
        <v>50</v>
      </c>
      <c r="D1812" s="2" t="str">
        <f aca="false">IF(3キー同時!$B$71="","",3キー同時!$B$71)</f>
        <v>m</v>
      </c>
      <c r="E1812" s="2" t="str">
        <f aca="false">IF(3キー同時!$G$71="","",3キー同時!$G$71)</f>
        <v>i</v>
      </c>
      <c r="F1812" s="2" t="str">
        <f aca="false">""</f>
        <v/>
      </c>
      <c r="G1812" s="2" t="str">
        <f aca="false">IF(OR(3キー同時!$B$71="",3キー同時!$G$71=""),"",IF(3キー同時!T81="","",SUBSTITUTE(SUBSTITUTE(3キー同時!T81," ",""),"　","")))</f>
        <v/>
      </c>
      <c r="H1812" s="2" t="str">
        <f aca="false">IF($G1812="","",3キー同時!$B$71)</f>
        <v/>
      </c>
      <c r="I1812" s="2" t="str">
        <f aca="false">IF($G1812="","",3キー同時!$G$71)</f>
        <v/>
      </c>
      <c r="J1812" s="2" t="str">
        <f aca="false">IF($G1812="","","space")</f>
        <v/>
      </c>
      <c r="K1812" s="2" t="str">
        <f aca="false">""</f>
        <v/>
      </c>
      <c r="L1812" s="2" t="str">
        <f aca="false">IF($G1812="","","同時")</f>
        <v/>
      </c>
      <c r="M1812" s="2" t="str">
        <f aca="false">IF($G1812="","",IF(ISNA(MATCH($G1812,個別指定!$A:$A,0)),"行なし",""))</f>
        <v/>
      </c>
      <c r="N1812" s="2" t="str">
        <f aca="false">IF($G1812="","",IF(COUNTIF($G$2:$G$4460,$G1812)&gt;1,"重複",""))</f>
        <v/>
      </c>
    </row>
    <row r="1813" customFormat="false" ht="16.5" hidden="false" customHeight="true" outlineLevel="0" collapsed="false">
      <c r="A1813" s="2" t="s">
        <v>416</v>
      </c>
      <c r="B1813" s="2" t="s">
        <v>422</v>
      </c>
      <c r="C1813" s="2" t="s">
        <v>45</v>
      </c>
      <c r="D1813" s="2" t="str">
        <f aca="false">IF(3キー同時!$B$71="","",3キー同時!$B$71)</f>
        <v>m</v>
      </c>
      <c r="E1813" s="2" t="str">
        <f aca="false">IF(3キー同時!$G$71="","",3キー同時!$G$71)</f>
        <v>i</v>
      </c>
      <c r="F1813" s="2" t="str">
        <f aca="false">""</f>
        <v/>
      </c>
      <c r="G1813" s="2" t="str">
        <f aca="false">IF(OR(3キー同時!$B$71="",3キー同時!$G$71=""),"",IF(3キー同時!AL81="","",SUBSTITUTE(SUBSTITUTE(3キー同時!AL81," ",""),"　","")))</f>
        <v/>
      </c>
      <c r="H1813" s="2" t="str">
        <f aca="false">IF($G1813="","",3キー同時!$B$71)</f>
        <v/>
      </c>
      <c r="I1813" s="2" t="str">
        <f aca="false">IF($G1813="","",3キー同時!$G$71)</f>
        <v/>
      </c>
      <c r="J1813" s="2" t="str">
        <f aca="false">IF($G1813="","","henkan")</f>
        <v/>
      </c>
      <c r="K1813" s="2" t="str">
        <f aca="false">""</f>
        <v/>
      </c>
      <c r="L1813" s="2" t="str">
        <f aca="false">IF($G1813="","","同時")</f>
        <v/>
      </c>
      <c r="M1813" s="2" t="str">
        <f aca="false">IF($G1813="","",IF(ISNA(MATCH($G1813,個別指定!$A:$A,0)),"行なし",""))</f>
        <v/>
      </c>
      <c r="N1813" s="2" t="str">
        <f aca="false">IF($G1813="","",IF(COUNTIF($G$2:$G$4460,$G1813)&gt;1,"重複",""))</f>
        <v/>
      </c>
    </row>
    <row r="1814" customFormat="false" ht="16.5" hidden="false" customHeight="true" outlineLevel="0" collapsed="false">
      <c r="A1814" s="2" t="s">
        <v>416</v>
      </c>
      <c r="B1814" s="2" t="s">
        <v>422</v>
      </c>
      <c r="C1814" s="2" t="s">
        <v>46</v>
      </c>
      <c r="D1814" s="2" t="str">
        <f aca="false">IF(3キー同時!$B$71="","",3キー同時!$B$71)</f>
        <v>m</v>
      </c>
      <c r="E1814" s="2" t="str">
        <f aca="false">IF(3キー同時!$G$71="","",3キー同時!$G$71)</f>
        <v>i</v>
      </c>
      <c r="F1814" s="2" t="str">
        <f aca="false">""</f>
        <v/>
      </c>
      <c r="G1814" s="2" t="str">
        <f aca="false">IF(OR(3キー同時!$B$71="",3キー同時!$G$71=""),"",IF(3キー同時!AP81="","",SUBSTITUTE(SUBSTITUTE(3キー同時!AP81," ",""),"　","")))</f>
        <v/>
      </c>
      <c r="H1814" s="2" t="str">
        <f aca="false">IF($G1814="","",3キー同時!$B$71)</f>
        <v/>
      </c>
      <c r="I1814" s="2" t="str">
        <f aca="false">IF($G1814="","",3キー同時!$G$71)</f>
        <v/>
      </c>
      <c r="J1814" s="2" t="str">
        <f aca="false">IF($G1814="","","kana")</f>
        <v/>
      </c>
      <c r="K1814" s="2" t="str">
        <f aca="false">""</f>
        <v/>
      </c>
      <c r="L1814" s="2" t="str">
        <f aca="false">IF($G1814="","","同時")</f>
        <v/>
      </c>
      <c r="M1814" s="2" t="str">
        <f aca="false">IF($G1814="","",IF(ISNA(MATCH($G1814,個別指定!$A:$A,0)),"行なし",""))</f>
        <v/>
      </c>
      <c r="N1814" s="2" t="str">
        <f aca="false">IF($G1814="","",IF(COUNTIF($G$2:$G$4460,$G1814)&gt;1,"重複",""))</f>
        <v/>
      </c>
    </row>
    <row r="1815" customFormat="false" ht="16.5" hidden="false" customHeight="true" outlineLevel="0" collapsed="false">
      <c r="A1815" s="2" t="s">
        <v>416</v>
      </c>
      <c r="B1815" s="2" t="s">
        <v>423</v>
      </c>
      <c r="C1815" s="2" t="s">
        <v>0</v>
      </c>
      <c r="D1815" s="2" t="str">
        <f aca="false">IF(3キー同時!$B$84="","",3キー同時!$B$84)</f>
        <v>v</v>
      </c>
      <c r="E1815" s="2" t="str">
        <f aca="false">IF(3キー同時!$G$84="","",3キー同時!$G$84)</f>
        <v>l</v>
      </c>
      <c r="F1815" s="2" t="str">
        <f aca="false">""</f>
        <v/>
      </c>
      <c r="G1815" s="2" t="str">
        <f aca="false">IF(OR(3キー同時!$B$84="",3キー同時!$G$84=""),"",IF(3キー同時!F86="","",SUBSTITUTE(SUBSTITUTE(3キー同時!F86," ",""),"　","")))</f>
        <v/>
      </c>
      <c r="H1815" s="2" t="str">
        <f aca="false">IF($G1815="","",3キー同時!$B$84)</f>
        <v/>
      </c>
      <c r="I1815" s="2" t="str">
        <f aca="false">IF($G1815="","",3キー同時!$G$84)</f>
        <v/>
      </c>
      <c r="J1815" s="2" t="str">
        <f aca="false">IF($G1815="","","1")</f>
        <v/>
      </c>
      <c r="K1815" s="2" t="str">
        <f aca="false">""</f>
        <v/>
      </c>
      <c r="L1815" s="2" t="str">
        <f aca="false">IF($G1815="","","同時")</f>
        <v/>
      </c>
      <c r="M1815" s="2" t="str">
        <f aca="false">IF($G1815="","",IF(ISNA(MATCH($G1815,個別指定!$A:$A,0)),"行なし",""))</f>
        <v/>
      </c>
      <c r="N1815" s="2" t="str">
        <f aca="false">IF($G1815="","",IF(COUNTIF($G$2:$G$4460,$G1815)&gt;1,"重複",""))</f>
        <v/>
      </c>
    </row>
    <row r="1816" customFormat="false" ht="16.5" hidden="false" customHeight="true" outlineLevel="0" collapsed="false">
      <c r="A1816" s="2" t="s">
        <v>416</v>
      </c>
      <c r="B1816" s="2" t="s">
        <v>423</v>
      </c>
      <c r="C1816" s="2" t="s">
        <v>1</v>
      </c>
      <c r="D1816" s="2" t="str">
        <f aca="false">IF(3キー同時!$B$84="","",3キー同時!$B$84)</f>
        <v>v</v>
      </c>
      <c r="E1816" s="2" t="str">
        <f aca="false">IF(3キー同時!$G$84="","",3キー同時!$G$84)</f>
        <v>l</v>
      </c>
      <c r="F1816" s="2" t="str">
        <f aca="false">""</f>
        <v/>
      </c>
      <c r="G1816" s="2" t="str">
        <f aca="false">IF(OR(3キー同時!$B$84="",3キー同時!$G$84=""),"",IF(3キー同時!J86="","",SUBSTITUTE(SUBSTITUTE(3キー同時!J86," ",""),"　","")))</f>
        <v/>
      </c>
      <c r="H1816" s="2" t="str">
        <f aca="false">IF($G1816="","",3キー同時!$B$84)</f>
        <v/>
      </c>
      <c r="I1816" s="2" t="str">
        <f aca="false">IF($G1816="","",3キー同時!$G$84)</f>
        <v/>
      </c>
      <c r="J1816" s="2" t="str">
        <f aca="false">IF($G1816="","","2")</f>
        <v/>
      </c>
      <c r="K1816" s="2" t="str">
        <f aca="false">""</f>
        <v/>
      </c>
      <c r="L1816" s="2" t="str">
        <f aca="false">IF($G1816="","","同時")</f>
        <v/>
      </c>
      <c r="M1816" s="2" t="str">
        <f aca="false">IF($G1816="","",IF(ISNA(MATCH($G1816,個別指定!$A:$A,0)),"行なし",""))</f>
        <v/>
      </c>
      <c r="N1816" s="2" t="str">
        <f aca="false">IF($G1816="","",IF(COUNTIF($G$2:$G$4460,$G1816)&gt;1,"重複",""))</f>
        <v/>
      </c>
    </row>
    <row r="1817" customFormat="false" ht="16.5" hidden="false" customHeight="true" outlineLevel="0" collapsed="false">
      <c r="A1817" s="2" t="s">
        <v>416</v>
      </c>
      <c r="B1817" s="2" t="s">
        <v>423</v>
      </c>
      <c r="C1817" s="2" t="s">
        <v>2</v>
      </c>
      <c r="D1817" s="2" t="str">
        <f aca="false">IF(3キー同時!$B$84="","",3キー同時!$B$84)</f>
        <v>v</v>
      </c>
      <c r="E1817" s="2" t="str">
        <f aca="false">IF(3キー同時!$G$84="","",3キー同時!$G$84)</f>
        <v>l</v>
      </c>
      <c r="F1817" s="2" t="str">
        <f aca="false">""</f>
        <v/>
      </c>
      <c r="G1817" s="2" t="str">
        <f aca="false">IF(OR(3キー同時!$B$84="",3キー同時!$G$84=""),"",IF(3キー同時!N86="","",SUBSTITUTE(SUBSTITUTE(3キー同時!N86," ",""),"　","")))</f>
        <v/>
      </c>
      <c r="H1817" s="2" t="str">
        <f aca="false">IF($G1817="","",3キー同時!$B$84)</f>
        <v/>
      </c>
      <c r="I1817" s="2" t="str">
        <f aca="false">IF($G1817="","",3キー同時!$G$84)</f>
        <v/>
      </c>
      <c r="J1817" s="2" t="str">
        <f aca="false">IF($G1817="","","3")</f>
        <v/>
      </c>
      <c r="K1817" s="2" t="str">
        <f aca="false">""</f>
        <v/>
      </c>
      <c r="L1817" s="2" t="str">
        <f aca="false">IF($G1817="","","同時")</f>
        <v/>
      </c>
      <c r="M1817" s="2" t="str">
        <f aca="false">IF($G1817="","",IF(ISNA(MATCH($G1817,個別指定!$A:$A,0)),"行なし",""))</f>
        <v/>
      </c>
      <c r="N1817" s="2" t="str">
        <f aca="false">IF($G1817="","",IF(COUNTIF($G$2:$G$4460,$G1817)&gt;1,"重複",""))</f>
        <v/>
      </c>
    </row>
    <row r="1818" customFormat="false" ht="16.5" hidden="false" customHeight="true" outlineLevel="0" collapsed="false">
      <c r="A1818" s="2" t="s">
        <v>416</v>
      </c>
      <c r="B1818" s="2" t="s">
        <v>423</v>
      </c>
      <c r="C1818" s="2" t="s">
        <v>3</v>
      </c>
      <c r="D1818" s="2" t="str">
        <f aca="false">IF(3キー同時!$B$84="","",3キー同時!$B$84)</f>
        <v>v</v>
      </c>
      <c r="E1818" s="2" t="str">
        <f aca="false">IF(3キー同時!$G$84="","",3キー同時!$G$84)</f>
        <v>l</v>
      </c>
      <c r="F1818" s="2" t="str">
        <f aca="false">""</f>
        <v/>
      </c>
      <c r="G1818" s="2" t="str">
        <f aca="false">IF(OR(3キー同時!$B$84="",3キー同時!$G$84=""),"",IF(3キー同時!R86="","",SUBSTITUTE(SUBSTITUTE(3キー同時!R86," ",""),"　","")))</f>
        <v/>
      </c>
      <c r="H1818" s="2" t="str">
        <f aca="false">IF($G1818="","",3キー同時!$B$84)</f>
        <v/>
      </c>
      <c r="I1818" s="2" t="str">
        <f aca="false">IF($G1818="","",3キー同時!$G$84)</f>
        <v/>
      </c>
      <c r="J1818" s="2" t="str">
        <f aca="false">IF($G1818="","","4")</f>
        <v/>
      </c>
      <c r="K1818" s="2" t="str">
        <f aca="false">""</f>
        <v/>
      </c>
      <c r="L1818" s="2" t="str">
        <f aca="false">IF($G1818="","","同時")</f>
        <v/>
      </c>
      <c r="M1818" s="2" t="str">
        <f aca="false">IF($G1818="","",IF(ISNA(MATCH($G1818,個別指定!$A:$A,0)),"行なし",""))</f>
        <v/>
      </c>
      <c r="N1818" s="2" t="str">
        <f aca="false">IF($G1818="","",IF(COUNTIF($G$2:$G$4460,$G1818)&gt;1,"重複",""))</f>
        <v/>
      </c>
    </row>
    <row r="1819" customFormat="false" ht="16.5" hidden="false" customHeight="true" outlineLevel="0" collapsed="false">
      <c r="A1819" s="2" t="s">
        <v>416</v>
      </c>
      <c r="B1819" s="2" t="s">
        <v>423</v>
      </c>
      <c r="C1819" s="2" t="s">
        <v>4</v>
      </c>
      <c r="D1819" s="2" t="str">
        <f aca="false">IF(3キー同時!$B$84="","",3キー同時!$B$84)</f>
        <v>v</v>
      </c>
      <c r="E1819" s="2" t="str">
        <f aca="false">IF(3キー同時!$G$84="","",3キー同時!$G$84)</f>
        <v>l</v>
      </c>
      <c r="F1819" s="2" t="str">
        <f aca="false">""</f>
        <v/>
      </c>
      <c r="G1819" s="2" t="str">
        <f aca="false">IF(OR(3キー同時!$B$84="",3キー同時!$G$84=""),"",IF(3キー同時!V86="","",SUBSTITUTE(SUBSTITUTE(3キー同時!V86," ",""),"　","")))</f>
        <v/>
      </c>
      <c r="H1819" s="2" t="str">
        <f aca="false">IF($G1819="","",3キー同時!$B$84)</f>
        <v/>
      </c>
      <c r="I1819" s="2" t="str">
        <f aca="false">IF($G1819="","",3キー同時!$G$84)</f>
        <v/>
      </c>
      <c r="J1819" s="2" t="str">
        <f aca="false">IF($G1819="","","5")</f>
        <v/>
      </c>
      <c r="K1819" s="2" t="str">
        <f aca="false">""</f>
        <v/>
      </c>
      <c r="L1819" s="2" t="str">
        <f aca="false">IF($G1819="","","同時")</f>
        <v/>
      </c>
      <c r="M1819" s="2" t="str">
        <f aca="false">IF($G1819="","",IF(ISNA(MATCH($G1819,個別指定!$A:$A,0)),"行なし",""))</f>
        <v/>
      </c>
      <c r="N1819" s="2" t="str">
        <f aca="false">IF($G1819="","",IF(COUNTIF($G$2:$G$4460,$G1819)&gt;1,"重複",""))</f>
        <v/>
      </c>
    </row>
    <row r="1820" customFormat="false" ht="16.5" hidden="false" customHeight="true" outlineLevel="0" collapsed="false">
      <c r="A1820" s="2" t="s">
        <v>416</v>
      </c>
      <c r="B1820" s="2" t="s">
        <v>423</v>
      </c>
      <c r="C1820" s="2" t="s">
        <v>5</v>
      </c>
      <c r="D1820" s="2" t="str">
        <f aca="false">IF(3キー同時!$B$84="","",3キー同時!$B$84)</f>
        <v>v</v>
      </c>
      <c r="E1820" s="2" t="str">
        <f aca="false">IF(3キー同時!$G$84="","",3キー同時!$G$84)</f>
        <v>l</v>
      </c>
      <c r="F1820" s="2" t="str">
        <f aca="false">""</f>
        <v/>
      </c>
      <c r="G1820" s="2" t="str">
        <f aca="false">IF(OR(3キー同時!$B$84="",3キー同時!$G$84=""),"",IF(3キー同時!Z86="","",SUBSTITUTE(SUBSTITUTE(3キー同時!Z86," ",""),"　","")))</f>
        <v/>
      </c>
      <c r="H1820" s="2" t="str">
        <f aca="false">IF($G1820="","",3キー同時!$B$84)</f>
        <v/>
      </c>
      <c r="I1820" s="2" t="str">
        <f aca="false">IF($G1820="","",3キー同時!$G$84)</f>
        <v/>
      </c>
      <c r="J1820" s="2" t="str">
        <f aca="false">IF($G1820="","","6")</f>
        <v/>
      </c>
      <c r="K1820" s="2" t="str">
        <f aca="false">""</f>
        <v/>
      </c>
      <c r="L1820" s="2" t="str">
        <f aca="false">IF($G1820="","","同時")</f>
        <v/>
      </c>
      <c r="M1820" s="2" t="str">
        <f aca="false">IF($G1820="","",IF(ISNA(MATCH($G1820,個別指定!$A:$A,0)),"行なし",""))</f>
        <v/>
      </c>
      <c r="N1820" s="2" t="str">
        <f aca="false">IF($G1820="","",IF(COUNTIF($G$2:$G$4460,$G1820)&gt;1,"重複",""))</f>
        <v/>
      </c>
    </row>
    <row r="1821" customFormat="false" ht="16.5" hidden="false" customHeight="true" outlineLevel="0" collapsed="false">
      <c r="A1821" s="2" t="s">
        <v>416</v>
      </c>
      <c r="B1821" s="2" t="s">
        <v>423</v>
      </c>
      <c r="C1821" s="2" t="s">
        <v>6</v>
      </c>
      <c r="D1821" s="2" t="str">
        <f aca="false">IF(3キー同時!$B$84="","",3キー同時!$B$84)</f>
        <v>v</v>
      </c>
      <c r="E1821" s="2" t="str">
        <f aca="false">IF(3キー同時!$G$84="","",3キー同時!$G$84)</f>
        <v>l</v>
      </c>
      <c r="F1821" s="2" t="str">
        <f aca="false">""</f>
        <v/>
      </c>
      <c r="G1821" s="2" t="str">
        <f aca="false">IF(OR(3キー同時!$B$84="",3キー同時!$G$84=""),"",IF(3キー同時!AD86="","",SUBSTITUTE(SUBSTITUTE(3キー同時!AD86," ",""),"　","")))</f>
        <v/>
      </c>
      <c r="H1821" s="2" t="str">
        <f aca="false">IF($G1821="","",3キー同時!$B$84)</f>
        <v/>
      </c>
      <c r="I1821" s="2" t="str">
        <f aca="false">IF($G1821="","",3キー同時!$G$84)</f>
        <v/>
      </c>
      <c r="J1821" s="2" t="str">
        <f aca="false">IF($G1821="","","7")</f>
        <v/>
      </c>
      <c r="K1821" s="2" t="str">
        <f aca="false">""</f>
        <v/>
      </c>
      <c r="L1821" s="2" t="str">
        <f aca="false">IF($G1821="","","同時")</f>
        <v/>
      </c>
      <c r="M1821" s="2" t="str">
        <f aca="false">IF($G1821="","",IF(ISNA(MATCH($G1821,個別指定!$A:$A,0)),"行なし",""))</f>
        <v/>
      </c>
      <c r="N1821" s="2" t="str">
        <f aca="false">IF($G1821="","",IF(COUNTIF($G$2:$G$4460,$G1821)&gt;1,"重複",""))</f>
        <v/>
      </c>
    </row>
    <row r="1822" customFormat="false" ht="16.5" hidden="false" customHeight="true" outlineLevel="0" collapsed="false">
      <c r="A1822" s="2" t="s">
        <v>416</v>
      </c>
      <c r="B1822" s="2" t="s">
        <v>423</v>
      </c>
      <c r="C1822" s="2" t="s">
        <v>7</v>
      </c>
      <c r="D1822" s="2" t="str">
        <f aca="false">IF(3キー同時!$B$84="","",3キー同時!$B$84)</f>
        <v>v</v>
      </c>
      <c r="E1822" s="2" t="str">
        <f aca="false">IF(3キー同時!$G$84="","",3キー同時!$G$84)</f>
        <v>l</v>
      </c>
      <c r="F1822" s="2" t="str">
        <f aca="false">""</f>
        <v/>
      </c>
      <c r="G1822" s="2" t="str">
        <f aca="false">IF(OR(3キー同時!$B$84="",3キー同時!$G$84=""),"",IF(3キー同時!AH86="","",SUBSTITUTE(SUBSTITUTE(3キー同時!AH86," ",""),"　","")))</f>
        <v/>
      </c>
      <c r="H1822" s="2" t="str">
        <f aca="false">IF($G1822="","",3キー同時!$B$84)</f>
        <v/>
      </c>
      <c r="I1822" s="2" t="str">
        <f aca="false">IF($G1822="","",3キー同時!$G$84)</f>
        <v/>
      </c>
      <c r="J1822" s="2" t="str">
        <f aca="false">IF($G1822="","","8")</f>
        <v/>
      </c>
      <c r="K1822" s="2" t="str">
        <f aca="false">""</f>
        <v/>
      </c>
      <c r="L1822" s="2" t="str">
        <f aca="false">IF($G1822="","","同時")</f>
        <v/>
      </c>
      <c r="M1822" s="2" t="str">
        <f aca="false">IF($G1822="","",IF(ISNA(MATCH($G1822,個別指定!$A:$A,0)),"行なし",""))</f>
        <v/>
      </c>
      <c r="N1822" s="2" t="str">
        <f aca="false">IF($G1822="","",IF(COUNTIF($G$2:$G$4460,$G1822)&gt;1,"重複",""))</f>
        <v/>
      </c>
    </row>
    <row r="1823" customFormat="false" ht="16.5" hidden="false" customHeight="true" outlineLevel="0" collapsed="false">
      <c r="A1823" s="2" t="s">
        <v>416</v>
      </c>
      <c r="B1823" s="2" t="s">
        <v>423</v>
      </c>
      <c r="C1823" s="2" t="s">
        <v>8</v>
      </c>
      <c r="D1823" s="2" t="str">
        <f aca="false">IF(3キー同時!$B$84="","",3キー同時!$B$84)</f>
        <v>v</v>
      </c>
      <c r="E1823" s="2" t="str">
        <f aca="false">IF(3キー同時!$G$84="","",3キー同時!$G$84)</f>
        <v>l</v>
      </c>
      <c r="F1823" s="2" t="str">
        <f aca="false">""</f>
        <v/>
      </c>
      <c r="G1823" s="2" t="str">
        <f aca="false">IF(OR(3キー同時!$B$84="",3キー同時!$G$84=""),"",IF(3キー同時!AL86="","",SUBSTITUTE(SUBSTITUTE(3キー同時!AL86," ",""),"　","")))</f>
        <v/>
      </c>
      <c r="H1823" s="2" t="str">
        <f aca="false">IF($G1823="","",3キー同時!$B$84)</f>
        <v/>
      </c>
      <c r="I1823" s="2" t="str">
        <f aca="false">IF($G1823="","",3キー同時!$G$84)</f>
        <v/>
      </c>
      <c r="J1823" s="2" t="str">
        <f aca="false">IF($G1823="","","9")</f>
        <v/>
      </c>
      <c r="K1823" s="2" t="str">
        <f aca="false">""</f>
        <v/>
      </c>
      <c r="L1823" s="2" t="str">
        <f aca="false">IF($G1823="","","同時")</f>
        <v/>
      </c>
      <c r="M1823" s="2" t="str">
        <f aca="false">IF($G1823="","",IF(ISNA(MATCH($G1823,個別指定!$A:$A,0)),"行なし",""))</f>
        <v/>
      </c>
      <c r="N1823" s="2" t="str">
        <f aca="false">IF($G1823="","",IF(COUNTIF($G$2:$G$4460,$G1823)&gt;1,"重複",""))</f>
        <v/>
      </c>
    </row>
    <row r="1824" customFormat="false" ht="16.5" hidden="false" customHeight="true" outlineLevel="0" collapsed="false">
      <c r="A1824" s="2" t="s">
        <v>416</v>
      </c>
      <c r="B1824" s="2" t="s">
        <v>423</v>
      </c>
      <c r="C1824" s="2" t="s">
        <v>9</v>
      </c>
      <c r="D1824" s="2" t="str">
        <f aca="false">IF(3キー同時!$B$84="","",3キー同時!$B$84)</f>
        <v>v</v>
      </c>
      <c r="E1824" s="2" t="str">
        <f aca="false">IF(3キー同時!$G$84="","",3キー同時!$G$84)</f>
        <v>l</v>
      </c>
      <c r="F1824" s="2" t="str">
        <f aca="false">""</f>
        <v/>
      </c>
      <c r="G1824" s="2" t="str">
        <f aca="false">IF(OR(3キー同時!$B$84="",3キー同時!$G$84=""),"",IF(3キー同時!AP86="","",SUBSTITUTE(SUBSTITUTE(3キー同時!AP86," ",""),"　","")))</f>
        <v/>
      </c>
      <c r="H1824" s="2" t="str">
        <f aca="false">IF($G1824="","",3キー同時!$B$84)</f>
        <v/>
      </c>
      <c r="I1824" s="2" t="str">
        <f aca="false">IF($G1824="","",3キー同時!$G$84)</f>
        <v/>
      </c>
      <c r="J1824" s="2" t="str">
        <f aca="false">IF($G1824="","","0")</f>
        <v/>
      </c>
      <c r="K1824" s="2" t="str">
        <f aca="false">""</f>
        <v/>
      </c>
      <c r="L1824" s="2" t="str">
        <f aca="false">IF($G1824="","","同時")</f>
        <v/>
      </c>
      <c r="M1824" s="2" t="str">
        <f aca="false">IF($G1824="","",IF(ISNA(MATCH($G1824,個別指定!$A:$A,0)),"行なし",""))</f>
        <v/>
      </c>
      <c r="N1824" s="2" t="str">
        <f aca="false">IF($G1824="","",IF(COUNTIF($G$2:$G$4460,$G1824)&gt;1,"重複",""))</f>
        <v/>
      </c>
    </row>
    <row r="1825" customFormat="false" ht="16.5" hidden="false" customHeight="true" outlineLevel="0" collapsed="false">
      <c r="A1825" s="2" t="s">
        <v>416</v>
      </c>
      <c r="B1825" s="2" t="s">
        <v>423</v>
      </c>
      <c r="C1825" s="2" t="s">
        <v>10</v>
      </c>
      <c r="D1825" s="2" t="str">
        <f aca="false">IF(3キー同時!$B$84="","",3キー同時!$B$84)</f>
        <v>v</v>
      </c>
      <c r="E1825" s="2" t="str">
        <f aca="false">IF(3キー同時!$G$84="","",3キー同時!$G$84)</f>
        <v>l</v>
      </c>
      <c r="F1825" s="2" t="str">
        <f aca="false">""</f>
        <v/>
      </c>
      <c r="G1825" s="2" t="str">
        <f aca="false">IF(OR(3キー同時!$B$84="",3キー同時!$G$84=""),"",IF(3キー同時!AT86="","",SUBSTITUTE(SUBSTITUTE(3キー同時!AT86," ",""),"　","")))</f>
        <v/>
      </c>
      <c r="H1825" s="2" t="str">
        <f aca="false">IF($G1825="","",3キー同時!$B$84)</f>
        <v/>
      </c>
      <c r="I1825" s="2" t="str">
        <f aca="false">IF($G1825="","",3キー同時!$G$84)</f>
        <v/>
      </c>
      <c r="J1825" s="2" t="str">
        <f aca="false">IF($G1825="","","-")</f>
        <v/>
      </c>
      <c r="K1825" s="2" t="str">
        <f aca="false">""</f>
        <v/>
      </c>
      <c r="L1825" s="2" t="str">
        <f aca="false">IF($G1825="","","同時")</f>
        <v/>
      </c>
      <c r="M1825" s="2" t="str">
        <f aca="false">IF($G1825="","",IF(ISNA(MATCH($G1825,個別指定!$A:$A,0)),"行なし",""))</f>
        <v/>
      </c>
      <c r="N1825" s="2" t="str">
        <f aca="false">IF($G1825="","",IF(COUNTIF($G$2:$G$4460,$G1825)&gt;1,"重複",""))</f>
        <v/>
      </c>
    </row>
    <row r="1826" customFormat="false" ht="16.5" hidden="false" customHeight="true" outlineLevel="0" collapsed="false">
      <c r="A1826" s="2" t="s">
        <v>416</v>
      </c>
      <c r="B1826" s="2" t="s">
        <v>423</v>
      </c>
      <c r="C1826" s="2" t="s">
        <v>11</v>
      </c>
      <c r="D1826" s="2" t="str">
        <f aca="false">IF(3キー同時!$B$84="","",3キー同時!$B$84)</f>
        <v>v</v>
      </c>
      <c r="E1826" s="2" t="str">
        <f aca="false">IF(3キー同時!$G$84="","",3キー同時!$G$84)</f>
        <v>l</v>
      </c>
      <c r="F1826" s="2" t="str">
        <f aca="false">""</f>
        <v/>
      </c>
      <c r="G1826" s="2" t="str">
        <f aca="false">IF(OR(3キー同時!$B$84="",3キー同時!$G$84=""),"",IF(3キー同時!AX86="","",SUBSTITUTE(SUBSTITUTE(3キー同時!AX86," ",""),"　","")))</f>
        <v/>
      </c>
      <c r="H1826" s="2" t="str">
        <f aca="false">IF($G1826="","",3キー同時!$B$84)</f>
        <v/>
      </c>
      <c r="I1826" s="2" t="str">
        <f aca="false">IF($G1826="","",3キー同時!$G$84)</f>
        <v/>
      </c>
      <c r="J1826" s="2" t="str">
        <f aca="false">IF($G1826="","","=")</f>
        <v/>
      </c>
      <c r="K1826" s="2" t="str">
        <f aca="false">""</f>
        <v/>
      </c>
      <c r="L1826" s="2" t="str">
        <f aca="false">IF($G1826="","","同時")</f>
        <v/>
      </c>
      <c r="M1826" s="2" t="str">
        <f aca="false">IF($G1826="","",IF(ISNA(MATCH($G1826,個別指定!$A:$A,0)),"行なし",""))</f>
        <v/>
      </c>
      <c r="N1826" s="2" t="str">
        <f aca="false">IF($G1826="","",IF(COUNTIF($G$2:$G$4460,$G1826)&gt;1,"重複",""))</f>
        <v/>
      </c>
    </row>
    <row r="1827" customFormat="false" ht="16.5" hidden="false" customHeight="true" outlineLevel="0" collapsed="false">
      <c r="A1827" s="2" t="s">
        <v>416</v>
      </c>
      <c r="B1827" s="2" t="s">
        <v>423</v>
      </c>
      <c r="C1827" s="2" t="s">
        <v>12</v>
      </c>
      <c r="D1827" s="2" t="str">
        <f aca="false">IF(3キー同時!$B$84="","",3キー同時!$B$84)</f>
        <v>v</v>
      </c>
      <c r="E1827" s="2" t="str">
        <f aca="false">IF(3キー同時!$G$84="","",3キー同時!$G$84)</f>
        <v>l</v>
      </c>
      <c r="F1827" s="2" t="str">
        <f aca="false">""</f>
        <v/>
      </c>
      <c r="G1827" s="2" t="str">
        <f aca="false">IF(OR(3キー同時!$B$84="",3キー同時!$G$84=""),"",IF(3キー同時!H88="","",SUBSTITUTE(SUBSTITUTE(3キー同時!H88," ",""),"　","")))</f>
        <v/>
      </c>
      <c r="H1827" s="2" t="str">
        <f aca="false">IF($G1827="","",3キー同時!$B$84)</f>
        <v/>
      </c>
      <c r="I1827" s="2" t="str">
        <f aca="false">IF($G1827="","",3キー同時!$G$84)</f>
        <v/>
      </c>
      <c r="J1827" s="2" t="str">
        <f aca="false">IF($G1827="","","q")</f>
        <v/>
      </c>
      <c r="K1827" s="2" t="str">
        <f aca="false">""</f>
        <v/>
      </c>
      <c r="L1827" s="2" t="str">
        <f aca="false">IF($G1827="","","同時")</f>
        <v/>
      </c>
      <c r="M1827" s="2" t="str">
        <f aca="false">IF($G1827="","",IF(ISNA(MATCH($G1827,個別指定!$A:$A,0)),"行なし",""))</f>
        <v/>
      </c>
      <c r="N1827" s="2" t="str">
        <f aca="false">IF($G1827="","",IF(COUNTIF($G$2:$G$4460,$G1827)&gt;1,"重複",""))</f>
        <v/>
      </c>
    </row>
    <row r="1828" customFormat="false" ht="16.5" hidden="false" customHeight="true" outlineLevel="0" collapsed="false">
      <c r="A1828" s="2" t="s">
        <v>416</v>
      </c>
      <c r="B1828" s="2" t="s">
        <v>423</v>
      </c>
      <c r="C1828" s="2" t="s">
        <v>13</v>
      </c>
      <c r="D1828" s="2" t="str">
        <f aca="false">IF(3キー同時!$B$84="","",3キー同時!$B$84)</f>
        <v>v</v>
      </c>
      <c r="E1828" s="2" t="str">
        <f aca="false">IF(3キー同時!$G$84="","",3キー同時!$G$84)</f>
        <v>l</v>
      </c>
      <c r="F1828" s="2" t="str">
        <f aca="false">""</f>
        <v/>
      </c>
      <c r="G1828" s="2" t="str">
        <f aca="false">IF(OR(3キー同時!$B$84="",3キー同時!$G$84=""),"",IF(3キー同時!L88="","",SUBSTITUTE(SUBSTITUTE(3キー同時!L88," ",""),"　","")))</f>
        <v/>
      </c>
      <c r="H1828" s="2" t="str">
        <f aca="false">IF($G1828="","",3キー同時!$B$84)</f>
        <v/>
      </c>
      <c r="I1828" s="2" t="str">
        <f aca="false">IF($G1828="","",3キー同時!$G$84)</f>
        <v/>
      </c>
      <c r="J1828" s="2" t="str">
        <f aca="false">IF($G1828="","","w")</f>
        <v/>
      </c>
      <c r="K1828" s="2" t="str">
        <f aca="false">""</f>
        <v/>
      </c>
      <c r="L1828" s="2" t="str">
        <f aca="false">IF($G1828="","","同時")</f>
        <v/>
      </c>
      <c r="M1828" s="2" t="str">
        <f aca="false">IF($G1828="","",IF(ISNA(MATCH($G1828,個別指定!$A:$A,0)),"行なし",""))</f>
        <v/>
      </c>
      <c r="N1828" s="2" t="str">
        <f aca="false">IF($G1828="","",IF(COUNTIF($G$2:$G$4460,$G1828)&gt;1,"重複",""))</f>
        <v/>
      </c>
    </row>
    <row r="1829" customFormat="false" ht="16.5" hidden="false" customHeight="true" outlineLevel="0" collapsed="false">
      <c r="A1829" s="2" t="s">
        <v>416</v>
      </c>
      <c r="B1829" s="2" t="s">
        <v>423</v>
      </c>
      <c r="C1829" s="2" t="s">
        <v>14</v>
      </c>
      <c r="D1829" s="2" t="str">
        <f aca="false">IF(3キー同時!$B$84="","",3キー同時!$B$84)</f>
        <v>v</v>
      </c>
      <c r="E1829" s="2" t="str">
        <f aca="false">IF(3キー同時!$G$84="","",3キー同時!$G$84)</f>
        <v>l</v>
      </c>
      <c r="F1829" s="2" t="str">
        <f aca="false">""</f>
        <v/>
      </c>
      <c r="G1829" s="2" t="str">
        <f aca="false">IF(OR(3キー同時!$B$84="",3キー同時!$G$84=""),"",IF(3キー同時!P88="","",SUBSTITUTE(SUBSTITUTE(3キー同時!P88," ",""),"　","")))</f>
        <v/>
      </c>
      <c r="H1829" s="2" t="str">
        <f aca="false">IF($G1829="","",3キー同時!$B$84)</f>
        <v/>
      </c>
      <c r="I1829" s="2" t="str">
        <f aca="false">IF($G1829="","",3キー同時!$G$84)</f>
        <v/>
      </c>
      <c r="J1829" s="2" t="str">
        <f aca="false">IF($G1829="","","e")</f>
        <v/>
      </c>
      <c r="K1829" s="2" t="str">
        <f aca="false">""</f>
        <v/>
      </c>
      <c r="L1829" s="2" t="str">
        <f aca="false">IF($G1829="","","同時")</f>
        <v/>
      </c>
      <c r="M1829" s="2" t="str">
        <f aca="false">IF($G1829="","",IF(ISNA(MATCH($G1829,個別指定!$A:$A,0)),"行なし",""))</f>
        <v/>
      </c>
      <c r="N1829" s="2" t="str">
        <f aca="false">IF($G1829="","",IF(COUNTIF($G$2:$G$4460,$G1829)&gt;1,"重複",""))</f>
        <v/>
      </c>
    </row>
    <row r="1830" customFormat="false" ht="16.5" hidden="false" customHeight="true" outlineLevel="0" collapsed="false">
      <c r="A1830" s="2" t="s">
        <v>416</v>
      </c>
      <c r="B1830" s="2" t="s">
        <v>423</v>
      </c>
      <c r="C1830" s="2" t="s">
        <v>15</v>
      </c>
      <c r="D1830" s="2" t="str">
        <f aca="false">IF(3キー同時!$B$84="","",3キー同時!$B$84)</f>
        <v>v</v>
      </c>
      <c r="E1830" s="2" t="str">
        <f aca="false">IF(3キー同時!$G$84="","",3キー同時!$G$84)</f>
        <v>l</v>
      </c>
      <c r="F1830" s="2" t="str">
        <f aca="false">""</f>
        <v/>
      </c>
      <c r="G1830" s="2" t="str">
        <f aca="false">IF(OR(3キー同時!$B$84="",3キー同時!$G$84=""),"",IF(3キー同時!T88="","",SUBSTITUTE(SUBSTITUTE(3キー同時!T88," ",""),"　","")))</f>
        <v/>
      </c>
      <c r="H1830" s="2" t="str">
        <f aca="false">IF($G1830="","",3キー同時!$B$84)</f>
        <v/>
      </c>
      <c r="I1830" s="2" t="str">
        <f aca="false">IF($G1830="","",3キー同時!$G$84)</f>
        <v/>
      </c>
      <c r="J1830" s="2" t="str">
        <f aca="false">IF($G1830="","","r")</f>
        <v/>
      </c>
      <c r="K1830" s="2" t="str">
        <f aca="false">""</f>
        <v/>
      </c>
      <c r="L1830" s="2" t="str">
        <f aca="false">IF($G1830="","","同時")</f>
        <v/>
      </c>
      <c r="M1830" s="2" t="str">
        <f aca="false">IF($G1830="","",IF(ISNA(MATCH($G1830,個別指定!$A:$A,0)),"行なし",""))</f>
        <v/>
      </c>
      <c r="N1830" s="2" t="str">
        <f aca="false">IF($G1830="","",IF(COUNTIF($G$2:$G$4460,$G1830)&gt;1,"重複",""))</f>
        <v/>
      </c>
    </row>
    <row r="1831" customFormat="false" ht="16.5" hidden="false" customHeight="true" outlineLevel="0" collapsed="false">
      <c r="A1831" s="2" t="s">
        <v>416</v>
      </c>
      <c r="B1831" s="2" t="s">
        <v>423</v>
      </c>
      <c r="C1831" s="2" t="s">
        <v>16</v>
      </c>
      <c r="D1831" s="2" t="str">
        <f aca="false">IF(3キー同時!$B$84="","",3キー同時!$B$84)</f>
        <v>v</v>
      </c>
      <c r="E1831" s="2" t="str">
        <f aca="false">IF(3キー同時!$G$84="","",3キー同時!$G$84)</f>
        <v>l</v>
      </c>
      <c r="F1831" s="2" t="str">
        <f aca="false">""</f>
        <v/>
      </c>
      <c r="G1831" s="2" t="str">
        <f aca="false">IF(OR(3キー同時!$B$84="",3キー同時!$G$84=""),"",IF(3キー同時!X88="","",SUBSTITUTE(SUBSTITUTE(3キー同時!X88," ",""),"　","")))</f>
        <v/>
      </c>
      <c r="H1831" s="2" t="str">
        <f aca="false">IF($G1831="","",3キー同時!$B$84)</f>
        <v/>
      </c>
      <c r="I1831" s="2" t="str">
        <f aca="false">IF($G1831="","",3キー同時!$G$84)</f>
        <v/>
      </c>
      <c r="J1831" s="2" t="str">
        <f aca="false">IF($G1831="","","t")</f>
        <v/>
      </c>
      <c r="K1831" s="2" t="str">
        <f aca="false">""</f>
        <v/>
      </c>
      <c r="L1831" s="2" t="str">
        <f aca="false">IF($G1831="","","同時")</f>
        <v/>
      </c>
      <c r="M1831" s="2" t="str">
        <f aca="false">IF($G1831="","",IF(ISNA(MATCH($G1831,個別指定!$A:$A,0)),"行なし",""))</f>
        <v/>
      </c>
      <c r="N1831" s="2" t="str">
        <f aca="false">IF($G1831="","",IF(COUNTIF($G$2:$G$4460,$G1831)&gt;1,"重複",""))</f>
        <v/>
      </c>
    </row>
    <row r="1832" customFormat="false" ht="16.5" hidden="false" customHeight="true" outlineLevel="0" collapsed="false">
      <c r="A1832" s="2" t="s">
        <v>416</v>
      </c>
      <c r="B1832" s="2" t="s">
        <v>423</v>
      </c>
      <c r="C1832" s="2" t="s">
        <v>17</v>
      </c>
      <c r="D1832" s="2" t="str">
        <f aca="false">IF(3キー同時!$B$84="","",3キー同時!$B$84)</f>
        <v>v</v>
      </c>
      <c r="E1832" s="2" t="str">
        <f aca="false">IF(3キー同時!$G$84="","",3キー同時!$G$84)</f>
        <v>l</v>
      </c>
      <c r="F1832" s="2" t="str">
        <f aca="false">""</f>
        <v/>
      </c>
      <c r="G1832" s="2" t="str">
        <f aca="false">IF(OR(3キー同時!$B$84="",3キー同時!$G$84=""),"",IF(3キー同時!AB88="","",SUBSTITUTE(SUBSTITUTE(3キー同時!AB88," ",""),"　","")))</f>
        <v/>
      </c>
      <c r="H1832" s="2" t="str">
        <f aca="false">IF($G1832="","",3キー同時!$B$84)</f>
        <v/>
      </c>
      <c r="I1832" s="2" t="str">
        <f aca="false">IF($G1832="","",3キー同時!$G$84)</f>
        <v/>
      </c>
      <c r="J1832" s="2" t="str">
        <f aca="false">IF($G1832="","","y")</f>
        <v/>
      </c>
      <c r="K1832" s="2" t="str">
        <f aca="false">""</f>
        <v/>
      </c>
      <c r="L1832" s="2" t="str">
        <f aca="false">IF($G1832="","","同時")</f>
        <v/>
      </c>
      <c r="M1832" s="2" t="str">
        <f aca="false">IF($G1832="","",IF(ISNA(MATCH($G1832,個別指定!$A:$A,0)),"行なし",""))</f>
        <v/>
      </c>
      <c r="N1832" s="2" t="str">
        <f aca="false">IF($G1832="","",IF(COUNTIF($G$2:$G$4460,$G1832)&gt;1,"重複",""))</f>
        <v/>
      </c>
    </row>
    <row r="1833" customFormat="false" ht="16.5" hidden="false" customHeight="true" outlineLevel="0" collapsed="false">
      <c r="A1833" s="2" t="s">
        <v>416</v>
      </c>
      <c r="B1833" s="2" t="s">
        <v>423</v>
      </c>
      <c r="C1833" s="2" t="s">
        <v>18</v>
      </c>
      <c r="D1833" s="2" t="str">
        <f aca="false">IF(3キー同時!$B$84="","",3キー同時!$B$84)</f>
        <v>v</v>
      </c>
      <c r="E1833" s="2" t="str">
        <f aca="false">IF(3キー同時!$G$84="","",3キー同時!$G$84)</f>
        <v>l</v>
      </c>
      <c r="F1833" s="2" t="str">
        <f aca="false">""</f>
        <v/>
      </c>
      <c r="G1833" s="2" t="str">
        <f aca="false">IF(OR(3キー同時!$B$84="",3キー同時!$G$84=""),"",IF(3キー同時!AF88="","",SUBSTITUTE(SUBSTITUTE(3キー同時!AF88," ",""),"　","")))</f>
        <v/>
      </c>
      <c r="H1833" s="2" t="str">
        <f aca="false">IF($G1833="","",3キー同時!$B$84)</f>
        <v/>
      </c>
      <c r="I1833" s="2" t="str">
        <f aca="false">IF($G1833="","",3キー同時!$G$84)</f>
        <v/>
      </c>
      <c r="J1833" s="2" t="str">
        <f aca="false">IF($G1833="","","u")</f>
        <v/>
      </c>
      <c r="K1833" s="2" t="str">
        <f aca="false">""</f>
        <v/>
      </c>
      <c r="L1833" s="2" t="str">
        <f aca="false">IF($G1833="","","同時")</f>
        <v/>
      </c>
      <c r="M1833" s="2" t="str">
        <f aca="false">IF($G1833="","",IF(ISNA(MATCH($G1833,個別指定!$A:$A,0)),"行なし",""))</f>
        <v/>
      </c>
      <c r="N1833" s="2" t="str">
        <f aca="false">IF($G1833="","",IF(COUNTIF($G$2:$G$4460,$G1833)&gt;1,"重複",""))</f>
        <v/>
      </c>
    </row>
    <row r="1834" customFormat="false" ht="16.5" hidden="false" customHeight="true" outlineLevel="0" collapsed="false">
      <c r="A1834" s="2" t="s">
        <v>416</v>
      </c>
      <c r="B1834" s="2" t="s">
        <v>423</v>
      </c>
      <c r="C1834" s="2" t="s">
        <v>19</v>
      </c>
      <c r="D1834" s="2" t="str">
        <f aca="false">IF(3キー同時!$B$84="","",3キー同時!$B$84)</f>
        <v>v</v>
      </c>
      <c r="E1834" s="2" t="str">
        <f aca="false">IF(3キー同時!$G$84="","",3キー同時!$G$84)</f>
        <v>l</v>
      </c>
      <c r="F1834" s="2" t="str">
        <f aca="false">""</f>
        <v/>
      </c>
      <c r="G1834" s="2" t="str">
        <f aca="false">IF(OR(3キー同時!$B$84="",3キー同時!$G$84=""),"",IF(3キー同時!AJ88="","",SUBSTITUTE(SUBSTITUTE(3キー同時!AJ88," ",""),"　","")))</f>
        <v/>
      </c>
      <c r="H1834" s="2" t="str">
        <f aca="false">IF($G1834="","",3キー同時!$B$84)</f>
        <v/>
      </c>
      <c r="I1834" s="2" t="str">
        <f aca="false">IF($G1834="","",3キー同時!$G$84)</f>
        <v/>
      </c>
      <c r="J1834" s="2" t="str">
        <f aca="false">IF($G1834="","","i")</f>
        <v/>
      </c>
      <c r="K1834" s="2" t="str">
        <f aca="false">""</f>
        <v/>
      </c>
      <c r="L1834" s="2" t="str">
        <f aca="false">IF($G1834="","","同時")</f>
        <v/>
      </c>
      <c r="M1834" s="2" t="str">
        <f aca="false">IF($G1834="","",IF(ISNA(MATCH($G1834,個別指定!$A:$A,0)),"行なし",""))</f>
        <v/>
      </c>
      <c r="N1834" s="2" t="str">
        <f aca="false">IF($G1834="","",IF(COUNTIF($G$2:$G$4460,$G1834)&gt;1,"重複",""))</f>
        <v/>
      </c>
    </row>
    <row r="1835" customFormat="false" ht="16.5" hidden="false" customHeight="true" outlineLevel="0" collapsed="false">
      <c r="A1835" s="2" t="s">
        <v>416</v>
      </c>
      <c r="B1835" s="2" t="s">
        <v>423</v>
      </c>
      <c r="C1835" s="2" t="s">
        <v>20</v>
      </c>
      <c r="D1835" s="2" t="str">
        <f aca="false">IF(3キー同時!$B$84="","",3キー同時!$B$84)</f>
        <v>v</v>
      </c>
      <c r="E1835" s="2" t="str">
        <f aca="false">IF(3キー同時!$G$84="","",3キー同時!$G$84)</f>
        <v>l</v>
      </c>
      <c r="F1835" s="2" t="str">
        <f aca="false">""</f>
        <v/>
      </c>
      <c r="G1835" s="2" t="str">
        <f aca="false">IF(OR(3キー同時!$B$84="",3キー同時!$G$84=""),"",IF(3キー同時!AN88="","",SUBSTITUTE(SUBSTITUTE(3キー同時!AN88," ",""),"　","")))</f>
        <v>うぇ</v>
      </c>
      <c r="H1835" s="2" t="str">
        <f aca="false">IF($G1835="","",3キー同時!$B$84)</f>
        <v>v</v>
      </c>
      <c r="I1835" s="2" t="str">
        <f aca="false">IF($G1835="","",3キー同時!$G$84)</f>
        <v>l</v>
      </c>
      <c r="J1835" s="2" t="str">
        <f aca="false">IF($G1835="","","o")</f>
        <v>o</v>
      </c>
      <c r="K1835" s="2" t="str">
        <f aca="false">""</f>
        <v/>
      </c>
      <c r="L1835" s="2" t="str">
        <f aca="false">IF($G1835="","","同時")</f>
        <v>同時</v>
      </c>
      <c r="M1835" s="2" t="str">
        <f aca="false">IF($G1835="","",IF(ISNA(MATCH($G1835,個別指定!$A:$A,0)),"行なし",""))</f>
        <v/>
      </c>
      <c r="N1835" s="2" t="str">
        <f aca="false">IF($G1835="","",IF(COUNTIF($G$2:$G$4460,$G1835)&gt;1,"重複",""))</f>
        <v/>
      </c>
    </row>
    <row r="1836" customFormat="false" ht="16.5" hidden="false" customHeight="true" outlineLevel="0" collapsed="false">
      <c r="A1836" s="2" t="s">
        <v>416</v>
      </c>
      <c r="B1836" s="2" t="s">
        <v>423</v>
      </c>
      <c r="C1836" s="2" t="s">
        <v>21</v>
      </c>
      <c r="D1836" s="2" t="str">
        <f aca="false">IF(3キー同時!$B$84="","",3キー同時!$B$84)</f>
        <v>v</v>
      </c>
      <c r="E1836" s="2" t="str">
        <f aca="false">IF(3キー同時!$G$84="","",3キー同時!$G$84)</f>
        <v>l</v>
      </c>
      <c r="F1836" s="2" t="str">
        <f aca="false">""</f>
        <v/>
      </c>
      <c r="G1836" s="2" t="str">
        <f aca="false">IF(OR(3キー同時!$B$84="",3キー同時!$G$84=""),"",IF(3キー同時!AR88="","",SUBSTITUTE(SUBSTITUTE(3キー同時!AR88," ",""),"　","")))</f>
        <v/>
      </c>
      <c r="H1836" s="2" t="str">
        <f aca="false">IF($G1836="","",3キー同時!$B$84)</f>
        <v/>
      </c>
      <c r="I1836" s="2" t="str">
        <f aca="false">IF($G1836="","",3キー同時!$G$84)</f>
        <v/>
      </c>
      <c r="J1836" s="2" t="str">
        <f aca="false">IF($G1836="","","p")</f>
        <v/>
      </c>
      <c r="K1836" s="2" t="str">
        <f aca="false">""</f>
        <v/>
      </c>
      <c r="L1836" s="2" t="str">
        <f aca="false">IF($G1836="","","同時")</f>
        <v/>
      </c>
      <c r="M1836" s="2" t="str">
        <f aca="false">IF($G1836="","",IF(ISNA(MATCH($G1836,個別指定!$A:$A,0)),"行なし",""))</f>
        <v/>
      </c>
      <c r="N1836" s="2" t="str">
        <f aca="false">IF($G1836="","",IF(COUNTIF($G$2:$G$4460,$G1836)&gt;1,"重複",""))</f>
        <v/>
      </c>
    </row>
    <row r="1837" customFormat="false" ht="16.5" hidden="false" customHeight="true" outlineLevel="0" collapsed="false">
      <c r="A1837" s="2" t="s">
        <v>416</v>
      </c>
      <c r="B1837" s="2" t="s">
        <v>423</v>
      </c>
      <c r="C1837" s="2" t="s">
        <v>22</v>
      </c>
      <c r="D1837" s="2" t="str">
        <f aca="false">IF(3キー同時!$B$84="","",3キー同時!$B$84)</f>
        <v>v</v>
      </c>
      <c r="E1837" s="2" t="str">
        <f aca="false">IF(3キー同時!$G$84="","",3キー同時!$G$84)</f>
        <v>l</v>
      </c>
      <c r="F1837" s="2" t="str">
        <f aca="false">""</f>
        <v/>
      </c>
      <c r="G1837" s="2" t="str">
        <f aca="false">IF(OR(3キー同時!$B$84="",3キー同時!$G$84=""),"",IF(3キー同時!AV88="","",SUBSTITUTE(SUBSTITUTE(3キー同時!AV88," ",""),"　","")))</f>
        <v/>
      </c>
      <c r="H1837" s="2" t="str">
        <f aca="false">IF($G1837="","",3キー同時!$B$84)</f>
        <v/>
      </c>
      <c r="I1837" s="2" t="str">
        <f aca="false">IF($G1837="","",3キー同時!$G$84)</f>
        <v/>
      </c>
      <c r="J1837" s="2" t="str">
        <f aca="false">IF($G1837="","","[")</f>
        <v/>
      </c>
      <c r="K1837" s="2" t="str">
        <f aca="false">""</f>
        <v/>
      </c>
      <c r="L1837" s="2" t="str">
        <f aca="false">IF($G1837="","","同時")</f>
        <v/>
      </c>
      <c r="M1837" s="2" t="str">
        <f aca="false">IF($G1837="","",IF(ISNA(MATCH($G1837,個別指定!$A:$A,0)),"行なし",""))</f>
        <v/>
      </c>
      <c r="N1837" s="2" t="str">
        <f aca="false">IF($G1837="","",IF(COUNTIF($G$2:$G$4460,$G1837)&gt;1,"重複",""))</f>
        <v/>
      </c>
    </row>
    <row r="1838" customFormat="false" ht="16.5" hidden="false" customHeight="true" outlineLevel="0" collapsed="false">
      <c r="A1838" s="2" t="s">
        <v>416</v>
      </c>
      <c r="B1838" s="2" t="s">
        <v>423</v>
      </c>
      <c r="C1838" s="2" t="s">
        <v>23</v>
      </c>
      <c r="D1838" s="2" t="str">
        <f aca="false">IF(3キー同時!$B$84="","",3キー同時!$B$84)</f>
        <v>v</v>
      </c>
      <c r="E1838" s="2" t="str">
        <f aca="false">IF(3キー同時!$G$84="","",3キー同時!$G$84)</f>
        <v>l</v>
      </c>
      <c r="F1838" s="2" t="str">
        <f aca="false">""</f>
        <v/>
      </c>
      <c r="G1838" s="2" t="str">
        <f aca="false">IF(OR(3キー同時!$B$84="",3キー同時!$G$84=""),"",IF(3キー同時!AZ88="","",SUBSTITUTE(SUBSTITUTE(3キー同時!AZ88," ",""),"　","")))</f>
        <v/>
      </c>
      <c r="H1838" s="2" t="str">
        <f aca="false">IF($G1838="","",3キー同時!$B$84)</f>
        <v/>
      </c>
      <c r="I1838" s="2" t="str">
        <f aca="false">IF($G1838="","",3キー同時!$G$84)</f>
        <v/>
      </c>
      <c r="J1838" s="2" t="str">
        <f aca="false">IF($G1838="","","]")</f>
        <v/>
      </c>
      <c r="K1838" s="2" t="str">
        <f aca="false">""</f>
        <v/>
      </c>
      <c r="L1838" s="2" t="str">
        <f aca="false">IF($G1838="","","同時")</f>
        <v/>
      </c>
      <c r="M1838" s="2" t="str">
        <f aca="false">IF($G1838="","",IF(ISNA(MATCH($G1838,個別指定!$A:$A,0)),"行なし",""))</f>
        <v/>
      </c>
      <c r="N1838" s="2" t="str">
        <f aca="false">IF($G1838="","",IF(COUNTIF($G$2:$G$4460,$G1838)&gt;1,"重複",""))</f>
        <v/>
      </c>
    </row>
    <row r="1839" customFormat="false" ht="16.5" hidden="false" customHeight="true" outlineLevel="0" collapsed="false">
      <c r="A1839" s="2" t="s">
        <v>416</v>
      </c>
      <c r="B1839" s="2" t="s">
        <v>423</v>
      </c>
      <c r="C1839" s="2" t="s">
        <v>24</v>
      </c>
      <c r="D1839" s="2" t="str">
        <f aca="false">IF(3キー同時!$B$84="","",3キー同時!$B$84)</f>
        <v>v</v>
      </c>
      <c r="E1839" s="2" t="str">
        <f aca="false">IF(3キー同時!$G$84="","",3キー同時!$G$84)</f>
        <v>l</v>
      </c>
      <c r="F1839" s="2" t="str">
        <f aca="false">""</f>
        <v/>
      </c>
      <c r="G1839" s="2" t="str">
        <f aca="false">IF(OR(3キー同時!$B$84="",3キー同時!$G$84=""),"",IF(3キー同時!I90="","",SUBSTITUTE(SUBSTITUTE(3キー同時!I90," ",""),"　","")))</f>
        <v/>
      </c>
      <c r="H1839" s="2" t="str">
        <f aca="false">IF($G1839="","",3キー同時!$B$84)</f>
        <v/>
      </c>
      <c r="I1839" s="2" t="str">
        <f aca="false">IF($G1839="","",3キー同時!$G$84)</f>
        <v/>
      </c>
      <c r="J1839" s="2" t="str">
        <f aca="false">IF($G1839="","","a")</f>
        <v/>
      </c>
      <c r="K1839" s="2" t="str">
        <f aca="false">""</f>
        <v/>
      </c>
      <c r="L1839" s="2" t="str">
        <f aca="false">IF($G1839="","","同時")</f>
        <v/>
      </c>
      <c r="M1839" s="2" t="str">
        <f aca="false">IF($G1839="","",IF(ISNA(MATCH($G1839,個別指定!$A:$A,0)),"行なし",""))</f>
        <v/>
      </c>
      <c r="N1839" s="2" t="str">
        <f aca="false">IF($G1839="","",IF(COUNTIF($G$2:$G$4460,$G1839)&gt;1,"重複",""))</f>
        <v/>
      </c>
    </row>
    <row r="1840" customFormat="false" ht="16.5" hidden="false" customHeight="true" outlineLevel="0" collapsed="false">
      <c r="A1840" s="2" t="s">
        <v>416</v>
      </c>
      <c r="B1840" s="2" t="s">
        <v>423</v>
      </c>
      <c r="C1840" s="2" t="s">
        <v>25</v>
      </c>
      <c r="D1840" s="2" t="str">
        <f aca="false">IF(3キー同時!$B$84="","",3キー同時!$B$84)</f>
        <v>v</v>
      </c>
      <c r="E1840" s="2" t="str">
        <f aca="false">IF(3キー同時!$G$84="","",3キー同時!$G$84)</f>
        <v>l</v>
      </c>
      <c r="F1840" s="2" t="str">
        <f aca="false">""</f>
        <v/>
      </c>
      <c r="G1840" s="2" t="str">
        <f aca="false">IF(OR(3キー同時!$B$84="",3キー同時!$G$84=""),"",IF(3キー同時!M90="","",SUBSTITUTE(SUBSTITUTE(3キー同時!M90," ",""),"　","")))</f>
        <v/>
      </c>
      <c r="H1840" s="2" t="str">
        <f aca="false">IF($G1840="","",3キー同時!$B$84)</f>
        <v/>
      </c>
      <c r="I1840" s="2" t="str">
        <f aca="false">IF($G1840="","",3キー同時!$G$84)</f>
        <v/>
      </c>
      <c r="J1840" s="2" t="str">
        <f aca="false">IF($G1840="","","s")</f>
        <v/>
      </c>
      <c r="K1840" s="2" t="str">
        <f aca="false">""</f>
        <v/>
      </c>
      <c r="L1840" s="2" t="str">
        <f aca="false">IF($G1840="","","同時")</f>
        <v/>
      </c>
      <c r="M1840" s="2" t="str">
        <f aca="false">IF($G1840="","",IF(ISNA(MATCH($G1840,個別指定!$A:$A,0)),"行なし",""))</f>
        <v/>
      </c>
      <c r="N1840" s="2" t="str">
        <f aca="false">IF($G1840="","",IF(COUNTIF($G$2:$G$4460,$G1840)&gt;1,"重複",""))</f>
        <v/>
      </c>
    </row>
    <row r="1841" customFormat="false" ht="16.5" hidden="false" customHeight="true" outlineLevel="0" collapsed="false">
      <c r="A1841" s="2" t="s">
        <v>416</v>
      </c>
      <c r="B1841" s="2" t="s">
        <v>423</v>
      </c>
      <c r="C1841" s="2" t="s">
        <v>26</v>
      </c>
      <c r="D1841" s="2" t="str">
        <f aca="false">IF(3キー同時!$B$84="","",3キー同時!$B$84)</f>
        <v>v</v>
      </c>
      <c r="E1841" s="2" t="str">
        <f aca="false">IF(3キー同時!$G$84="","",3キー同時!$G$84)</f>
        <v>l</v>
      </c>
      <c r="F1841" s="2" t="str">
        <f aca="false">""</f>
        <v/>
      </c>
      <c r="G1841" s="2" t="str">
        <f aca="false">IF(OR(3キー同時!$B$84="",3キー同時!$G$84=""),"",IF(3キー同時!Q90="","",SUBSTITUTE(SUBSTITUTE(3キー同時!Q90," ",""),"　","")))</f>
        <v/>
      </c>
      <c r="H1841" s="2" t="str">
        <f aca="false">IF($G1841="","",3キー同時!$B$84)</f>
        <v/>
      </c>
      <c r="I1841" s="2" t="str">
        <f aca="false">IF($G1841="","",3キー同時!$G$84)</f>
        <v/>
      </c>
      <c r="J1841" s="2" t="str">
        <f aca="false">IF($G1841="","","d")</f>
        <v/>
      </c>
      <c r="K1841" s="2" t="str">
        <f aca="false">""</f>
        <v/>
      </c>
      <c r="L1841" s="2" t="str">
        <f aca="false">IF($G1841="","","同時")</f>
        <v/>
      </c>
      <c r="M1841" s="2" t="str">
        <f aca="false">IF($G1841="","",IF(ISNA(MATCH($G1841,個別指定!$A:$A,0)),"行なし",""))</f>
        <v/>
      </c>
      <c r="N1841" s="2" t="str">
        <f aca="false">IF($G1841="","",IF(COUNTIF($G$2:$G$4460,$G1841)&gt;1,"重複",""))</f>
        <v/>
      </c>
    </row>
    <row r="1842" customFormat="false" ht="16.5" hidden="false" customHeight="true" outlineLevel="0" collapsed="false">
      <c r="A1842" s="2" t="s">
        <v>416</v>
      </c>
      <c r="B1842" s="2" t="s">
        <v>423</v>
      </c>
      <c r="C1842" s="2" t="s">
        <v>27</v>
      </c>
      <c r="D1842" s="2" t="str">
        <f aca="false">IF(3キー同時!$B$84="","",3キー同時!$B$84)</f>
        <v>v</v>
      </c>
      <c r="E1842" s="2" t="str">
        <f aca="false">IF(3キー同時!$G$84="","",3キー同時!$G$84)</f>
        <v>l</v>
      </c>
      <c r="F1842" s="2" t="str">
        <f aca="false">""</f>
        <v/>
      </c>
      <c r="G1842" s="2" t="str">
        <f aca="false">IF(OR(3キー同時!$B$84="",3キー同時!$G$84=""),"",IF(3キー同時!U90="","",SUBSTITUTE(SUBSTITUTE(3キー同時!U90," ",""),"　","")))</f>
        <v/>
      </c>
      <c r="H1842" s="2" t="str">
        <f aca="false">IF($G1842="","",3キー同時!$B$84)</f>
        <v/>
      </c>
      <c r="I1842" s="2" t="str">
        <f aca="false">IF($G1842="","",3キー同時!$G$84)</f>
        <v/>
      </c>
      <c r="J1842" s="2" t="str">
        <f aca="false">IF($G1842="","","f")</f>
        <v/>
      </c>
      <c r="K1842" s="2" t="str">
        <f aca="false">""</f>
        <v/>
      </c>
      <c r="L1842" s="2" t="str">
        <f aca="false">IF($G1842="","","同時")</f>
        <v/>
      </c>
      <c r="M1842" s="2" t="str">
        <f aca="false">IF($G1842="","",IF(ISNA(MATCH($G1842,個別指定!$A:$A,0)),"行なし",""))</f>
        <v/>
      </c>
      <c r="N1842" s="2" t="str">
        <f aca="false">IF($G1842="","",IF(COUNTIF($G$2:$G$4460,$G1842)&gt;1,"重複",""))</f>
        <v/>
      </c>
    </row>
    <row r="1843" customFormat="false" ht="16.5" hidden="false" customHeight="true" outlineLevel="0" collapsed="false">
      <c r="A1843" s="2" t="s">
        <v>416</v>
      </c>
      <c r="B1843" s="2" t="s">
        <v>423</v>
      </c>
      <c r="C1843" s="2" t="s">
        <v>28</v>
      </c>
      <c r="D1843" s="2" t="str">
        <f aca="false">IF(3キー同時!$B$84="","",3キー同時!$B$84)</f>
        <v>v</v>
      </c>
      <c r="E1843" s="2" t="str">
        <f aca="false">IF(3キー同時!$G$84="","",3キー同時!$G$84)</f>
        <v>l</v>
      </c>
      <c r="F1843" s="2" t="str">
        <f aca="false">""</f>
        <v/>
      </c>
      <c r="G1843" s="2" t="str">
        <f aca="false">IF(OR(3キー同時!$B$84="",3キー同時!$G$84=""),"",IF(3キー同時!Y90="","",SUBSTITUTE(SUBSTITUTE(3キー同時!Y90," ",""),"　","")))</f>
        <v/>
      </c>
      <c r="H1843" s="2" t="str">
        <f aca="false">IF($G1843="","",3キー同時!$B$84)</f>
        <v/>
      </c>
      <c r="I1843" s="2" t="str">
        <f aca="false">IF($G1843="","",3キー同時!$G$84)</f>
        <v/>
      </c>
      <c r="J1843" s="2" t="str">
        <f aca="false">IF($G1843="","","g")</f>
        <v/>
      </c>
      <c r="K1843" s="2" t="str">
        <f aca="false">""</f>
        <v/>
      </c>
      <c r="L1843" s="2" t="str">
        <f aca="false">IF($G1843="","","同時")</f>
        <v/>
      </c>
      <c r="M1843" s="2" t="str">
        <f aca="false">IF($G1843="","",IF(ISNA(MATCH($G1843,個別指定!$A:$A,0)),"行なし",""))</f>
        <v/>
      </c>
      <c r="N1843" s="2" t="str">
        <f aca="false">IF($G1843="","",IF(COUNTIF($G$2:$G$4460,$G1843)&gt;1,"重複",""))</f>
        <v/>
      </c>
    </row>
    <row r="1844" customFormat="false" ht="16.5" hidden="false" customHeight="true" outlineLevel="0" collapsed="false">
      <c r="A1844" s="2" t="s">
        <v>416</v>
      </c>
      <c r="B1844" s="2" t="s">
        <v>423</v>
      </c>
      <c r="C1844" s="2" t="s">
        <v>29</v>
      </c>
      <c r="D1844" s="2" t="str">
        <f aca="false">IF(3キー同時!$B$84="","",3キー同時!$B$84)</f>
        <v>v</v>
      </c>
      <c r="E1844" s="2" t="str">
        <f aca="false">IF(3キー同時!$G$84="","",3キー同時!$G$84)</f>
        <v>l</v>
      </c>
      <c r="F1844" s="2" t="str">
        <f aca="false">""</f>
        <v/>
      </c>
      <c r="G1844" s="2" t="str">
        <f aca="false">IF(OR(3キー同時!$B$84="",3キー同時!$G$84=""),"",IF(3キー同時!AC90="","",SUBSTITUTE(SUBSTITUTE(3キー同時!AC90," ",""),"　","")))</f>
        <v/>
      </c>
      <c r="H1844" s="2" t="str">
        <f aca="false">IF($G1844="","",3キー同時!$B$84)</f>
        <v/>
      </c>
      <c r="I1844" s="2" t="str">
        <f aca="false">IF($G1844="","",3キー同時!$G$84)</f>
        <v/>
      </c>
      <c r="J1844" s="2" t="str">
        <f aca="false">IF($G1844="","","h")</f>
        <v/>
      </c>
      <c r="K1844" s="2" t="str">
        <f aca="false">""</f>
        <v/>
      </c>
      <c r="L1844" s="2" t="str">
        <f aca="false">IF($G1844="","","同時")</f>
        <v/>
      </c>
      <c r="M1844" s="2" t="str">
        <f aca="false">IF($G1844="","",IF(ISNA(MATCH($G1844,個別指定!$A:$A,0)),"行なし",""))</f>
        <v/>
      </c>
      <c r="N1844" s="2" t="str">
        <f aca="false">IF($G1844="","",IF(COUNTIF($G$2:$G$4460,$G1844)&gt;1,"重複",""))</f>
        <v/>
      </c>
    </row>
    <row r="1845" customFormat="false" ht="16.5" hidden="false" customHeight="true" outlineLevel="0" collapsed="false">
      <c r="A1845" s="2" t="s">
        <v>416</v>
      </c>
      <c r="B1845" s="2" t="s">
        <v>423</v>
      </c>
      <c r="C1845" s="2" t="s">
        <v>30</v>
      </c>
      <c r="D1845" s="2" t="str">
        <f aca="false">IF(3キー同時!$B$84="","",3キー同時!$B$84)</f>
        <v>v</v>
      </c>
      <c r="E1845" s="2" t="str">
        <f aca="false">IF(3キー同時!$G$84="","",3キー同時!$G$84)</f>
        <v>l</v>
      </c>
      <c r="F1845" s="2" t="str">
        <f aca="false">""</f>
        <v/>
      </c>
      <c r="G1845" s="2" t="str">
        <f aca="false">IF(OR(3キー同時!$B$84="",3キー同時!$G$84=""),"",IF(3キー同時!AG90="","",SUBSTITUTE(SUBSTITUTE(3キー同時!AG90," ",""),"　","")))</f>
        <v>つぁ</v>
      </c>
      <c r="H1845" s="2" t="str">
        <f aca="false">IF($G1845="","",3キー同時!$B$84)</f>
        <v>v</v>
      </c>
      <c r="I1845" s="2" t="str">
        <f aca="false">IF($G1845="","",3キー同時!$G$84)</f>
        <v>l</v>
      </c>
      <c r="J1845" s="2" t="str">
        <f aca="false">IF($G1845="","","j")</f>
        <v>j</v>
      </c>
      <c r="K1845" s="2" t="str">
        <f aca="false">""</f>
        <v/>
      </c>
      <c r="L1845" s="2" t="str">
        <f aca="false">IF($G1845="","","同時")</f>
        <v>同時</v>
      </c>
      <c r="M1845" s="2" t="str">
        <f aca="false">IF($G1845="","",IF(ISNA(MATCH($G1845,個別指定!$A:$A,0)),"行なし",""))</f>
        <v/>
      </c>
      <c r="N1845" s="2" t="str">
        <f aca="false">IF($G1845="","",IF(COUNTIF($G$2:$G$4460,$G1845)&gt;1,"重複",""))</f>
        <v/>
      </c>
    </row>
    <row r="1846" customFormat="false" ht="16.5" hidden="false" customHeight="true" outlineLevel="0" collapsed="false">
      <c r="A1846" s="2" t="s">
        <v>416</v>
      </c>
      <c r="B1846" s="2" t="s">
        <v>423</v>
      </c>
      <c r="C1846" s="2" t="s">
        <v>31</v>
      </c>
      <c r="D1846" s="2" t="str">
        <f aca="false">IF(3キー同時!$B$84="","",3キー同時!$B$84)</f>
        <v>v</v>
      </c>
      <c r="E1846" s="2" t="str">
        <f aca="false">IF(3キー同時!$G$84="","",3キー同時!$G$84)</f>
        <v>l</v>
      </c>
      <c r="F1846" s="2" t="str">
        <f aca="false">""</f>
        <v/>
      </c>
      <c r="G1846" s="2" t="str">
        <f aca="false">IF(OR(3キー同時!$B$84="",3キー同時!$G$84=""),"",IF(3キー同時!AK90="","",SUBSTITUTE(SUBSTITUTE(3キー同時!AK90," ",""),"　","")))</f>
        <v>うぃ</v>
      </c>
      <c r="H1846" s="2" t="str">
        <f aca="false">IF($G1846="","",3キー同時!$B$84)</f>
        <v>v</v>
      </c>
      <c r="I1846" s="2" t="str">
        <f aca="false">IF($G1846="","",3キー同時!$G$84)</f>
        <v>l</v>
      </c>
      <c r="J1846" s="2" t="str">
        <f aca="false">IF($G1846="","","k")</f>
        <v>k</v>
      </c>
      <c r="K1846" s="2" t="str">
        <f aca="false">""</f>
        <v/>
      </c>
      <c r="L1846" s="2" t="str">
        <f aca="false">IF($G1846="","","同時")</f>
        <v>同時</v>
      </c>
      <c r="M1846" s="2" t="str">
        <f aca="false">IF($G1846="","",IF(ISNA(MATCH($G1846,個別指定!$A:$A,0)),"行なし",""))</f>
        <v/>
      </c>
      <c r="N1846" s="2" t="str">
        <f aca="false">IF($G1846="","",IF(COUNTIF($G$2:$G$4460,$G1846)&gt;1,"重複",""))</f>
        <v/>
      </c>
    </row>
    <row r="1847" customFormat="false" ht="16.5" hidden="false" customHeight="true" outlineLevel="0" collapsed="false">
      <c r="A1847" s="2" t="s">
        <v>416</v>
      </c>
      <c r="B1847" s="2" t="s">
        <v>423</v>
      </c>
      <c r="C1847" s="2" t="s">
        <v>32</v>
      </c>
      <c r="D1847" s="2" t="str">
        <f aca="false">IF(3キー同時!$B$84="","",3キー同時!$B$84)</f>
        <v>v</v>
      </c>
      <c r="E1847" s="2" t="str">
        <f aca="false">IF(3キー同時!$G$84="","",3キー同時!$G$84)</f>
        <v>l</v>
      </c>
      <c r="F1847" s="2" t="str">
        <f aca="false">""</f>
        <v/>
      </c>
      <c r="G1847" s="2" t="str">
        <f aca="false">IF(OR(3キー同時!$B$84="",3キー同時!$G$84=""),"",IF(3キー同時!AO90="","",SUBSTITUTE(SUBSTITUTE(3キー同時!AO90," ",""),"　","")))</f>
        <v/>
      </c>
      <c r="H1847" s="2" t="str">
        <f aca="false">IF($G1847="","",3キー同時!$B$84)</f>
        <v/>
      </c>
      <c r="I1847" s="2" t="str">
        <f aca="false">IF($G1847="","",3キー同時!$G$84)</f>
        <v/>
      </c>
      <c r="J1847" s="2" t="str">
        <f aca="false">IF($G1847="","","l")</f>
        <v/>
      </c>
      <c r="K1847" s="2" t="str">
        <f aca="false">""</f>
        <v/>
      </c>
      <c r="L1847" s="2" t="str">
        <f aca="false">IF($G1847="","","同時")</f>
        <v/>
      </c>
      <c r="M1847" s="2" t="str">
        <f aca="false">IF($G1847="","",IF(ISNA(MATCH($G1847,個別指定!$A:$A,0)),"行なし",""))</f>
        <v/>
      </c>
      <c r="N1847" s="2" t="str">
        <f aca="false">IF($G1847="","",IF(COUNTIF($G$2:$G$4460,$G1847)&gt;1,"重複",""))</f>
        <v/>
      </c>
    </row>
    <row r="1848" customFormat="false" ht="16.5" hidden="false" customHeight="true" outlineLevel="0" collapsed="false">
      <c r="A1848" s="2" t="s">
        <v>416</v>
      </c>
      <c r="B1848" s="2" t="s">
        <v>423</v>
      </c>
      <c r="C1848" s="2" t="s">
        <v>33</v>
      </c>
      <c r="D1848" s="2" t="str">
        <f aca="false">IF(3キー同時!$B$84="","",3キー同時!$B$84)</f>
        <v>v</v>
      </c>
      <c r="E1848" s="2" t="str">
        <f aca="false">IF(3キー同時!$G$84="","",3キー同時!$G$84)</f>
        <v>l</v>
      </c>
      <c r="F1848" s="2" t="str">
        <f aca="false">""</f>
        <v/>
      </c>
      <c r="G1848" s="2" t="str">
        <f aca="false">IF(OR(3キー同時!$B$84="",3キー同時!$G$84=""),"",IF(3キー同時!AS90="","",SUBSTITUTE(SUBSTITUTE(3キー同時!AS90," ",""),"　","")))</f>
        <v/>
      </c>
      <c r="H1848" s="2" t="str">
        <f aca="false">IF($G1848="","",3キー同時!$B$84)</f>
        <v/>
      </c>
      <c r="I1848" s="2" t="str">
        <f aca="false">IF($G1848="","",3キー同時!$G$84)</f>
        <v/>
      </c>
      <c r="J1848" s="2" t="str">
        <f aca="false">IF($G1848="","",";")</f>
        <v/>
      </c>
      <c r="K1848" s="2" t="str">
        <f aca="false">""</f>
        <v/>
      </c>
      <c r="L1848" s="2" t="str">
        <f aca="false">IF($G1848="","","同時")</f>
        <v/>
      </c>
      <c r="M1848" s="2" t="str">
        <f aca="false">IF($G1848="","",IF(ISNA(MATCH($G1848,個別指定!$A:$A,0)),"行なし",""))</f>
        <v/>
      </c>
      <c r="N1848" s="2" t="str">
        <f aca="false">IF($G1848="","",IF(COUNTIF($G$2:$G$4460,$G1848)&gt;1,"重複",""))</f>
        <v/>
      </c>
    </row>
    <row r="1849" customFormat="false" ht="16.5" hidden="false" customHeight="true" outlineLevel="0" collapsed="false">
      <c r="A1849" s="2" t="s">
        <v>416</v>
      </c>
      <c r="B1849" s="2" t="s">
        <v>423</v>
      </c>
      <c r="C1849" s="2" t="s">
        <v>34</v>
      </c>
      <c r="D1849" s="2" t="str">
        <f aca="false">IF(3キー同時!$B$84="","",3キー同時!$B$84)</f>
        <v>v</v>
      </c>
      <c r="E1849" s="2" t="str">
        <f aca="false">IF(3キー同時!$G$84="","",3キー同時!$G$84)</f>
        <v>l</v>
      </c>
      <c r="F1849" s="2" t="str">
        <f aca="false">""</f>
        <v/>
      </c>
      <c r="G1849" s="2" t="str">
        <f aca="false">IF(OR(3キー同時!$B$84="",3キー同時!$G$84=""),"",IF(3キー同時!AW90="","",SUBSTITUTE(SUBSTITUTE(3キー同時!AW90," ",""),"　","")))</f>
        <v/>
      </c>
      <c r="H1849" s="2" t="str">
        <f aca="false">IF($G1849="","",3キー同時!$B$84)</f>
        <v/>
      </c>
      <c r="I1849" s="2" t="str">
        <f aca="false">IF($G1849="","",3キー同時!$G$84)</f>
        <v/>
      </c>
      <c r="J1849" s="2" t="str">
        <f aca="false">IF($G1849="","","'")</f>
        <v/>
      </c>
      <c r="K1849" s="2" t="str">
        <f aca="false">""</f>
        <v/>
      </c>
      <c r="L1849" s="2" t="str">
        <f aca="false">IF($G1849="","","同時")</f>
        <v/>
      </c>
      <c r="M1849" s="2" t="str">
        <f aca="false">IF($G1849="","",IF(ISNA(MATCH($G1849,個別指定!$A:$A,0)),"行なし",""))</f>
        <v/>
      </c>
      <c r="N1849" s="2" t="str">
        <f aca="false">IF($G1849="","",IF(COUNTIF($G$2:$G$4460,$G1849)&gt;1,"重複",""))</f>
        <v/>
      </c>
    </row>
    <row r="1850" customFormat="false" ht="16.5" hidden="false" customHeight="true" outlineLevel="0" collapsed="false">
      <c r="A1850" s="2" t="s">
        <v>416</v>
      </c>
      <c r="B1850" s="2" t="s">
        <v>423</v>
      </c>
      <c r="C1850" s="2" t="s">
        <v>35</v>
      </c>
      <c r="D1850" s="2" t="str">
        <f aca="false">IF(3キー同時!$B$84="","",3キー同時!$B$84)</f>
        <v>v</v>
      </c>
      <c r="E1850" s="2" t="str">
        <f aca="false">IF(3キー同時!$G$84="","",3キー同時!$G$84)</f>
        <v>l</v>
      </c>
      <c r="F1850" s="2" t="str">
        <f aca="false">""</f>
        <v/>
      </c>
      <c r="G1850" s="2" t="str">
        <f aca="false">IF(OR(3キー同時!$B$84="",3キー同時!$G$84=""),"",IF(3キー同時!K92="","",SUBSTITUTE(SUBSTITUTE(3キー同時!K92," ",""),"　","")))</f>
        <v/>
      </c>
      <c r="H1850" s="2" t="str">
        <f aca="false">IF($G1850="","",3キー同時!$B$84)</f>
        <v/>
      </c>
      <c r="I1850" s="2" t="str">
        <f aca="false">IF($G1850="","",3キー同時!$G$84)</f>
        <v/>
      </c>
      <c r="J1850" s="2" t="str">
        <f aca="false">IF($G1850="","","z")</f>
        <v/>
      </c>
      <c r="K1850" s="2" t="str">
        <f aca="false">""</f>
        <v/>
      </c>
      <c r="L1850" s="2" t="str">
        <f aca="false">IF($G1850="","","同時")</f>
        <v/>
      </c>
      <c r="M1850" s="2" t="str">
        <f aca="false">IF($G1850="","",IF(ISNA(MATCH($G1850,個別指定!$A:$A,0)),"行なし",""))</f>
        <v/>
      </c>
      <c r="N1850" s="2" t="str">
        <f aca="false">IF($G1850="","",IF(COUNTIF($G$2:$G$4460,$G1850)&gt;1,"重複",""))</f>
        <v/>
      </c>
    </row>
    <row r="1851" customFormat="false" ht="16.5" hidden="false" customHeight="true" outlineLevel="0" collapsed="false">
      <c r="A1851" s="2" t="s">
        <v>416</v>
      </c>
      <c r="B1851" s="2" t="s">
        <v>423</v>
      </c>
      <c r="C1851" s="2" t="s">
        <v>36</v>
      </c>
      <c r="D1851" s="2" t="str">
        <f aca="false">IF(3キー同時!$B$84="","",3キー同時!$B$84)</f>
        <v>v</v>
      </c>
      <c r="E1851" s="2" t="str">
        <f aca="false">IF(3キー同時!$G$84="","",3キー同時!$G$84)</f>
        <v>l</v>
      </c>
      <c r="F1851" s="2" t="str">
        <f aca="false">""</f>
        <v/>
      </c>
      <c r="G1851" s="2" t="str">
        <f aca="false">IF(OR(3キー同時!$B$84="",3キー同時!$G$84=""),"",IF(3キー同時!O92="","",SUBSTITUTE(SUBSTITUTE(3キー同時!O92," ",""),"　","")))</f>
        <v/>
      </c>
      <c r="H1851" s="2" t="str">
        <f aca="false">IF($G1851="","",3キー同時!$B$84)</f>
        <v/>
      </c>
      <c r="I1851" s="2" t="str">
        <f aca="false">IF($G1851="","",3キー同時!$G$84)</f>
        <v/>
      </c>
      <c r="J1851" s="2" t="str">
        <f aca="false">IF($G1851="","","x")</f>
        <v/>
      </c>
      <c r="K1851" s="2" t="str">
        <f aca="false">""</f>
        <v/>
      </c>
      <c r="L1851" s="2" t="str">
        <f aca="false">IF($G1851="","","同時")</f>
        <v/>
      </c>
      <c r="M1851" s="2" t="str">
        <f aca="false">IF($G1851="","",IF(ISNA(MATCH($G1851,個別指定!$A:$A,0)),"行なし",""))</f>
        <v/>
      </c>
      <c r="N1851" s="2" t="str">
        <f aca="false">IF($G1851="","",IF(COUNTIF($G$2:$G$4460,$G1851)&gt;1,"重複",""))</f>
        <v/>
      </c>
    </row>
    <row r="1852" customFormat="false" ht="16.5" hidden="false" customHeight="true" outlineLevel="0" collapsed="false">
      <c r="A1852" s="2" t="s">
        <v>416</v>
      </c>
      <c r="B1852" s="2" t="s">
        <v>423</v>
      </c>
      <c r="C1852" s="2" t="s">
        <v>37</v>
      </c>
      <c r="D1852" s="2" t="str">
        <f aca="false">IF(3キー同時!$B$84="","",3キー同時!$B$84)</f>
        <v>v</v>
      </c>
      <c r="E1852" s="2" t="str">
        <f aca="false">IF(3キー同時!$G$84="","",3キー同時!$G$84)</f>
        <v>l</v>
      </c>
      <c r="F1852" s="2" t="str">
        <f aca="false">""</f>
        <v/>
      </c>
      <c r="G1852" s="2" t="str">
        <f aca="false">IF(OR(3キー同時!$B$84="",3キー同時!$G$84=""),"",IF(3キー同時!S92="","",SUBSTITUTE(SUBSTITUTE(3キー同時!S92," ",""),"　","")))</f>
        <v/>
      </c>
      <c r="H1852" s="2" t="str">
        <f aca="false">IF($G1852="","",3キー同時!$B$84)</f>
        <v/>
      </c>
      <c r="I1852" s="2" t="str">
        <f aca="false">IF($G1852="","",3キー同時!$G$84)</f>
        <v/>
      </c>
      <c r="J1852" s="2" t="str">
        <f aca="false">IF($G1852="","","c")</f>
        <v/>
      </c>
      <c r="K1852" s="2" t="str">
        <f aca="false">""</f>
        <v/>
      </c>
      <c r="L1852" s="2" t="str">
        <f aca="false">IF($G1852="","","同時")</f>
        <v/>
      </c>
      <c r="M1852" s="2" t="str">
        <f aca="false">IF($G1852="","",IF(ISNA(MATCH($G1852,個別指定!$A:$A,0)),"行なし",""))</f>
        <v/>
      </c>
      <c r="N1852" s="2" t="str">
        <f aca="false">IF($G1852="","",IF(COUNTIF($G$2:$G$4460,$G1852)&gt;1,"重複",""))</f>
        <v/>
      </c>
    </row>
    <row r="1853" customFormat="false" ht="16.5" hidden="false" customHeight="true" outlineLevel="0" collapsed="false">
      <c r="A1853" s="2" t="s">
        <v>416</v>
      </c>
      <c r="B1853" s="2" t="s">
        <v>423</v>
      </c>
      <c r="C1853" s="2" t="s">
        <v>38</v>
      </c>
      <c r="D1853" s="2" t="str">
        <f aca="false">IF(3キー同時!$B$84="","",3キー同時!$B$84)</f>
        <v>v</v>
      </c>
      <c r="E1853" s="2" t="str">
        <f aca="false">IF(3キー同時!$G$84="","",3キー同時!$G$84)</f>
        <v>l</v>
      </c>
      <c r="F1853" s="2" t="str">
        <f aca="false">""</f>
        <v/>
      </c>
      <c r="G1853" s="2" t="str">
        <f aca="false">IF(OR(3キー同時!$B$84="",3キー同時!$G$84=""),"",IF(3キー同時!W92="","",SUBSTITUTE(SUBSTITUTE(3キー同時!W92," ",""),"　","")))</f>
        <v/>
      </c>
      <c r="H1853" s="2" t="str">
        <f aca="false">IF($G1853="","",3キー同時!$B$84)</f>
        <v/>
      </c>
      <c r="I1853" s="2" t="str">
        <f aca="false">IF($G1853="","",3キー同時!$G$84)</f>
        <v/>
      </c>
      <c r="J1853" s="2" t="str">
        <f aca="false">IF($G1853="","","v")</f>
        <v/>
      </c>
      <c r="K1853" s="2" t="str">
        <f aca="false">""</f>
        <v/>
      </c>
      <c r="L1853" s="2" t="str">
        <f aca="false">IF($G1853="","","同時")</f>
        <v/>
      </c>
      <c r="M1853" s="2" t="str">
        <f aca="false">IF($G1853="","",IF(ISNA(MATCH($G1853,個別指定!$A:$A,0)),"行なし",""))</f>
        <v/>
      </c>
      <c r="N1853" s="2" t="str">
        <f aca="false">IF($G1853="","",IF(COUNTIF($G$2:$G$4460,$G1853)&gt;1,"重複",""))</f>
        <v/>
      </c>
    </row>
    <row r="1854" customFormat="false" ht="16.5" hidden="false" customHeight="true" outlineLevel="0" collapsed="false">
      <c r="A1854" s="2" t="s">
        <v>416</v>
      </c>
      <c r="B1854" s="2" t="s">
        <v>423</v>
      </c>
      <c r="C1854" s="2" t="s">
        <v>39</v>
      </c>
      <c r="D1854" s="2" t="str">
        <f aca="false">IF(3キー同時!$B$84="","",3キー同時!$B$84)</f>
        <v>v</v>
      </c>
      <c r="E1854" s="2" t="str">
        <f aca="false">IF(3キー同時!$G$84="","",3キー同時!$G$84)</f>
        <v>l</v>
      </c>
      <c r="F1854" s="2" t="str">
        <f aca="false">""</f>
        <v/>
      </c>
      <c r="G1854" s="2" t="str">
        <f aca="false">IF(OR(3キー同時!$B$84="",3キー同時!$G$84=""),"",IF(3キー同時!AA92="","",SUBSTITUTE(SUBSTITUTE(3キー同時!AA92," ",""),"　","")))</f>
        <v/>
      </c>
      <c r="H1854" s="2" t="str">
        <f aca="false">IF($G1854="","",3キー同時!$B$84)</f>
        <v/>
      </c>
      <c r="I1854" s="2" t="str">
        <f aca="false">IF($G1854="","",3キー同時!$G$84)</f>
        <v/>
      </c>
      <c r="J1854" s="2" t="str">
        <f aca="false">IF($G1854="","","b")</f>
        <v/>
      </c>
      <c r="K1854" s="2" t="str">
        <f aca="false">""</f>
        <v/>
      </c>
      <c r="L1854" s="2" t="str">
        <f aca="false">IF($G1854="","","同時")</f>
        <v/>
      </c>
      <c r="M1854" s="2" t="str">
        <f aca="false">IF($G1854="","",IF(ISNA(MATCH($G1854,個別指定!$A:$A,0)),"行なし",""))</f>
        <v/>
      </c>
      <c r="N1854" s="2" t="str">
        <f aca="false">IF($G1854="","",IF(COUNTIF($G$2:$G$4460,$G1854)&gt;1,"重複",""))</f>
        <v/>
      </c>
    </row>
    <row r="1855" customFormat="false" ht="16.5" hidden="false" customHeight="true" outlineLevel="0" collapsed="false">
      <c r="A1855" s="2" t="s">
        <v>416</v>
      </c>
      <c r="B1855" s="2" t="s">
        <v>423</v>
      </c>
      <c r="C1855" s="2" t="s">
        <v>40</v>
      </c>
      <c r="D1855" s="2" t="str">
        <f aca="false">IF(3キー同時!$B$84="","",3キー同時!$B$84)</f>
        <v>v</v>
      </c>
      <c r="E1855" s="2" t="str">
        <f aca="false">IF(3キー同時!$G$84="","",3キー同時!$G$84)</f>
        <v>l</v>
      </c>
      <c r="F1855" s="2" t="str">
        <f aca="false">""</f>
        <v/>
      </c>
      <c r="G1855" s="2" t="str">
        <f aca="false">IF(OR(3キー同時!$B$84="",3キー同時!$G$84=""),"",IF(3キー同時!AE92="","",SUBSTITUTE(SUBSTITUTE(3キー同時!AE92," ",""),"　","")))</f>
        <v>うぉ</v>
      </c>
      <c r="H1855" s="2" t="str">
        <f aca="false">IF($G1855="","",3キー同時!$B$84)</f>
        <v>v</v>
      </c>
      <c r="I1855" s="2" t="str">
        <f aca="false">IF($G1855="","",3キー同時!$G$84)</f>
        <v>l</v>
      </c>
      <c r="J1855" s="2" t="str">
        <f aca="false">IF($G1855="","","n")</f>
        <v>n</v>
      </c>
      <c r="K1855" s="2" t="str">
        <f aca="false">""</f>
        <v/>
      </c>
      <c r="L1855" s="2" t="str">
        <f aca="false">IF($G1855="","","同時")</f>
        <v>同時</v>
      </c>
      <c r="M1855" s="2" t="str">
        <f aca="false">IF($G1855="","",IF(ISNA(MATCH($G1855,個別指定!$A:$A,0)),"行なし",""))</f>
        <v/>
      </c>
      <c r="N1855" s="2" t="str">
        <f aca="false">IF($G1855="","",IF(COUNTIF($G$2:$G$4460,$G1855)&gt;1,"重複",""))</f>
        <v/>
      </c>
    </row>
    <row r="1856" customFormat="false" ht="16.5" hidden="false" customHeight="true" outlineLevel="0" collapsed="false">
      <c r="A1856" s="2" t="s">
        <v>416</v>
      </c>
      <c r="B1856" s="2" t="s">
        <v>423</v>
      </c>
      <c r="C1856" s="2" t="s">
        <v>41</v>
      </c>
      <c r="D1856" s="2" t="str">
        <f aca="false">IF(3キー同時!$B$84="","",3キー同時!$B$84)</f>
        <v>v</v>
      </c>
      <c r="E1856" s="2" t="str">
        <f aca="false">IF(3キー同時!$G$84="","",3キー同時!$G$84)</f>
        <v>l</v>
      </c>
      <c r="F1856" s="2" t="str">
        <f aca="false">""</f>
        <v/>
      </c>
      <c r="G1856" s="2" t="str">
        <f aca="false">IF(OR(3キー同時!$B$84="",3キー同時!$G$84=""),"",IF(3キー同時!AI92="","",SUBSTITUTE(SUBSTITUTE(3キー同時!AI92," ",""),"　","")))</f>
        <v/>
      </c>
      <c r="H1856" s="2" t="str">
        <f aca="false">IF($G1856="","",3キー同時!$B$84)</f>
        <v/>
      </c>
      <c r="I1856" s="2" t="str">
        <f aca="false">IF($G1856="","",3キー同時!$G$84)</f>
        <v/>
      </c>
      <c r="J1856" s="2" t="str">
        <f aca="false">IF($G1856="","","m")</f>
        <v/>
      </c>
      <c r="K1856" s="2" t="str">
        <f aca="false">""</f>
        <v/>
      </c>
      <c r="L1856" s="2" t="str">
        <f aca="false">IF($G1856="","","同時")</f>
        <v/>
      </c>
      <c r="M1856" s="2" t="str">
        <f aca="false">IF($G1856="","",IF(ISNA(MATCH($G1856,個別指定!$A:$A,0)),"行なし",""))</f>
        <v/>
      </c>
      <c r="N1856" s="2" t="str">
        <f aca="false">IF($G1856="","",IF(COUNTIF($G$2:$G$4460,$G1856)&gt;1,"重複",""))</f>
        <v/>
      </c>
    </row>
    <row r="1857" customFormat="false" ht="16.5" hidden="false" customHeight="true" outlineLevel="0" collapsed="false">
      <c r="A1857" s="2" t="s">
        <v>416</v>
      </c>
      <c r="B1857" s="2" t="s">
        <v>423</v>
      </c>
      <c r="C1857" s="2" t="s">
        <v>42</v>
      </c>
      <c r="D1857" s="2" t="str">
        <f aca="false">IF(3キー同時!$B$84="","",3キー同時!$B$84)</f>
        <v>v</v>
      </c>
      <c r="E1857" s="2" t="str">
        <f aca="false">IF(3キー同時!$G$84="","",3キー同時!$G$84)</f>
        <v>l</v>
      </c>
      <c r="F1857" s="2" t="str">
        <f aca="false">""</f>
        <v/>
      </c>
      <c r="G1857" s="2" t="str">
        <f aca="false">IF(OR(3キー同時!$B$84="",3キー同時!$G$84=""),"",IF(3キー同時!AM92="","",SUBSTITUTE(SUBSTITUTE(3キー同時!AM92," ",""),"　","")))</f>
        <v/>
      </c>
      <c r="H1857" s="2" t="str">
        <f aca="false">IF($G1857="","",3キー同時!$B$84)</f>
        <v/>
      </c>
      <c r="I1857" s="2" t="str">
        <f aca="false">IF($G1857="","",3キー同時!$G$84)</f>
        <v/>
      </c>
      <c r="J1857" s="2" t="str">
        <f aca="false">IF($G1857="","",",")</f>
        <v/>
      </c>
      <c r="K1857" s="2" t="str">
        <f aca="false">""</f>
        <v/>
      </c>
      <c r="L1857" s="2" t="str">
        <f aca="false">IF($G1857="","","同時")</f>
        <v/>
      </c>
      <c r="M1857" s="2" t="str">
        <f aca="false">IF($G1857="","",IF(ISNA(MATCH($G1857,個別指定!$A:$A,0)),"行なし",""))</f>
        <v/>
      </c>
      <c r="N1857" s="2" t="str">
        <f aca="false">IF($G1857="","",IF(COUNTIF($G$2:$G$4460,$G1857)&gt;1,"重複",""))</f>
        <v/>
      </c>
    </row>
    <row r="1858" customFormat="false" ht="16.5" hidden="false" customHeight="true" outlineLevel="0" collapsed="false">
      <c r="A1858" s="2" t="s">
        <v>416</v>
      </c>
      <c r="B1858" s="2" t="s">
        <v>423</v>
      </c>
      <c r="C1858" s="2" t="s">
        <v>43</v>
      </c>
      <c r="D1858" s="2" t="str">
        <f aca="false">IF(3キー同時!$B$84="","",3キー同時!$B$84)</f>
        <v>v</v>
      </c>
      <c r="E1858" s="2" t="str">
        <f aca="false">IF(3キー同時!$G$84="","",3キー同時!$G$84)</f>
        <v>l</v>
      </c>
      <c r="F1858" s="2" t="str">
        <f aca="false">""</f>
        <v/>
      </c>
      <c r="G1858" s="2" t="str">
        <f aca="false">IF(OR(3キー同時!$B$84="",3キー同時!$G$84=""),"",IF(3キー同時!AQ92="","",SUBSTITUTE(SUBSTITUTE(3キー同時!AQ92," ",""),"　","")))</f>
        <v/>
      </c>
      <c r="H1858" s="2" t="str">
        <f aca="false">IF($G1858="","",3キー同時!$B$84)</f>
        <v/>
      </c>
      <c r="I1858" s="2" t="str">
        <f aca="false">IF($G1858="","",3キー同時!$G$84)</f>
        <v/>
      </c>
      <c r="J1858" s="2" t="str">
        <f aca="false">IF($G1858="","",".")</f>
        <v/>
      </c>
      <c r="K1858" s="2" t="str">
        <f aca="false">""</f>
        <v/>
      </c>
      <c r="L1858" s="2" t="str">
        <f aca="false">IF($G1858="","","同時")</f>
        <v/>
      </c>
      <c r="M1858" s="2" t="str">
        <f aca="false">IF($G1858="","",IF(ISNA(MATCH($G1858,個別指定!$A:$A,0)),"行なし",""))</f>
        <v/>
      </c>
      <c r="N1858" s="2" t="str">
        <f aca="false">IF($G1858="","",IF(COUNTIF($G$2:$G$4460,$G1858)&gt;1,"重複",""))</f>
        <v/>
      </c>
    </row>
    <row r="1859" customFormat="false" ht="16.5" hidden="false" customHeight="true" outlineLevel="0" collapsed="false">
      <c r="A1859" s="2" t="s">
        <v>416</v>
      </c>
      <c r="B1859" s="2" t="s">
        <v>423</v>
      </c>
      <c r="C1859" s="2" t="s">
        <v>44</v>
      </c>
      <c r="D1859" s="2" t="str">
        <f aca="false">IF(3キー同時!$B$84="","",3キー同時!$B$84)</f>
        <v>v</v>
      </c>
      <c r="E1859" s="2" t="str">
        <f aca="false">IF(3キー同時!$G$84="","",3キー同時!$G$84)</f>
        <v>l</v>
      </c>
      <c r="F1859" s="2" t="str">
        <f aca="false">""</f>
        <v/>
      </c>
      <c r="G1859" s="2" t="str">
        <f aca="false">IF(OR(3キー同時!$B$84="",3キー同時!$G$84=""),"",IF(3キー同時!AU92="","",SUBSTITUTE(SUBSTITUTE(3キー同時!AU92," ",""),"　","")))</f>
        <v/>
      </c>
      <c r="H1859" s="2" t="str">
        <f aca="false">IF($G1859="","",3キー同時!$B$84)</f>
        <v/>
      </c>
      <c r="I1859" s="2" t="str">
        <f aca="false">IF($G1859="","",3キー同時!$G$84)</f>
        <v/>
      </c>
      <c r="J1859" s="2" t="str">
        <f aca="false">IF($G1859="","","/")</f>
        <v/>
      </c>
      <c r="K1859" s="2" t="str">
        <f aca="false">""</f>
        <v/>
      </c>
      <c r="L1859" s="2" t="str">
        <f aca="false">IF($G1859="","","同時")</f>
        <v/>
      </c>
      <c r="M1859" s="2" t="str">
        <f aca="false">IF($G1859="","",IF(ISNA(MATCH($G1859,個別指定!$A:$A,0)),"行なし",""))</f>
        <v/>
      </c>
      <c r="N1859" s="2" t="str">
        <f aca="false">IF($G1859="","",IF(COUNTIF($G$2:$G$4460,$G1859)&gt;1,"重複",""))</f>
        <v/>
      </c>
    </row>
    <row r="1860" customFormat="false" ht="16.5" hidden="false" customHeight="true" outlineLevel="0" collapsed="false">
      <c r="A1860" s="2" t="s">
        <v>416</v>
      </c>
      <c r="B1860" s="2" t="s">
        <v>423</v>
      </c>
      <c r="C1860" s="2" t="s">
        <v>48</v>
      </c>
      <c r="D1860" s="2" t="str">
        <f aca="false">IF(3キー同時!$B$84="","",3キー同時!$B$84)</f>
        <v>v</v>
      </c>
      <c r="E1860" s="2" t="str">
        <f aca="false">IF(3キー同時!$G$84="","",3キー同時!$G$84)</f>
        <v>l</v>
      </c>
      <c r="F1860" s="2" t="str">
        <f aca="false">""</f>
        <v/>
      </c>
      <c r="G1860" s="2" t="str">
        <f aca="false">IF(OR(3キー同時!$B$84="",3キー同時!$G$84=""),"",IF(3キー同時!P94="","",SUBSTITUTE(SUBSTITUTE(3キー同時!P94," ",""),"　","")))</f>
        <v/>
      </c>
      <c r="H1860" s="2" t="str">
        <f aca="false">IF($G1860="","",3キー同時!$B$84)</f>
        <v/>
      </c>
      <c r="I1860" s="2" t="str">
        <f aca="false">IF($G1860="","",3キー同時!$G$84)</f>
        <v/>
      </c>
      <c r="J1860" s="2" t="str">
        <f aca="false">IF($G1860="","","muhenkan")</f>
        <v/>
      </c>
      <c r="K1860" s="2" t="str">
        <f aca="false">""</f>
        <v/>
      </c>
      <c r="L1860" s="2" t="str">
        <f aca="false">IF($G1860="","","同時")</f>
        <v/>
      </c>
      <c r="M1860" s="2" t="str">
        <f aca="false">IF($G1860="","",IF(ISNA(MATCH($G1860,個別指定!$A:$A,0)),"行なし",""))</f>
        <v/>
      </c>
      <c r="N1860" s="2" t="str">
        <f aca="false">IF($G1860="","",IF(COUNTIF($G$2:$G$4460,$G1860)&gt;1,"重複",""))</f>
        <v/>
      </c>
    </row>
    <row r="1861" customFormat="false" ht="16.5" hidden="false" customHeight="true" outlineLevel="0" collapsed="false">
      <c r="A1861" s="2" t="s">
        <v>416</v>
      </c>
      <c r="B1861" s="2" t="s">
        <v>423</v>
      </c>
      <c r="C1861" s="2" t="s">
        <v>50</v>
      </c>
      <c r="D1861" s="2" t="str">
        <f aca="false">IF(3キー同時!$B$84="","",3キー同時!$B$84)</f>
        <v>v</v>
      </c>
      <c r="E1861" s="2" t="str">
        <f aca="false">IF(3キー同時!$G$84="","",3キー同時!$G$84)</f>
        <v>l</v>
      </c>
      <c r="F1861" s="2" t="str">
        <f aca="false">""</f>
        <v/>
      </c>
      <c r="G1861" s="2" t="str">
        <f aca="false">IF(OR(3キー同時!$B$84="",3キー同時!$G$84=""),"",IF(3キー同時!T94="","",SUBSTITUTE(SUBSTITUTE(3キー同時!T94," ",""),"　","")))</f>
        <v/>
      </c>
      <c r="H1861" s="2" t="str">
        <f aca="false">IF($G1861="","",3キー同時!$B$84)</f>
        <v/>
      </c>
      <c r="I1861" s="2" t="str">
        <f aca="false">IF($G1861="","",3キー同時!$G$84)</f>
        <v/>
      </c>
      <c r="J1861" s="2" t="str">
        <f aca="false">IF($G1861="","","space")</f>
        <v/>
      </c>
      <c r="K1861" s="2" t="str">
        <f aca="false">""</f>
        <v/>
      </c>
      <c r="L1861" s="2" t="str">
        <f aca="false">IF($G1861="","","同時")</f>
        <v/>
      </c>
      <c r="M1861" s="2" t="str">
        <f aca="false">IF($G1861="","",IF(ISNA(MATCH($G1861,個別指定!$A:$A,0)),"行なし",""))</f>
        <v/>
      </c>
      <c r="N1861" s="2" t="str">
        <f aca="false">IF($G1861="","",IF(COUNTIF($G$2:$G$4460,$G1861)&gt;1,"重複",""))</f>
        <v/>
      </c>
    </row>
    <row r="1862" customFormat="false" ht="16.5" hidden="false" customHeight="true" outlineLevel="0" collapsed="false">
      <c r="A1862" s="2" t="s">
        <v>416</v>
      </c>
      <c r="B1862" s="2" t="s">
        <v>423</v>
      </c>
      <c r="C1862" s="2" t="s">
        <v>45</v>
      </c>
      <c r="D1862" s="2" t="str">
        <f aca="false">IF(3キー同時!$B$84="","",3キー同時!$B$84)</f>
        <v>v</v>
      </c>
      <c r="E1862" s="2" t="str">
        <f aca="false">IF(3キー同時!$G$84="","",3キー同時!$G$84)</f>
        <v>l</v>
      </c>
      <c r="F1862" s="2" t="str">
        <f aca="false">""</f>
        <v/>
      </c>
      <c r="G1862" s="2" t="str">
        <f aca="false">IF(OR(3キー同時!$B$84="",3キー同時!$G$84=""),"",IF(3キー同時!AL94="","",SUBSTITUTE(SUBSTITUTE(3キー同時!AL94," ",""),"　","")))</f>
        <v/>
      </c>
      <c r="H1862" s="2" t="str">
        <f aca="false">IF($G1862="","",3キー同時!$B$84)</f>
        <v/>
      </c>
      <c r="I1862" s="2" t="str">
        <f aca="false">IF($G1862="","",3キー同時!$G$84)</f>
        <v/>
      </c>
      <c r="J1862" s="2" t="str">
        <f aca="false">IF($G1862="","","henkan")</f>
        <v/>
      </c>
      <c r="K1862" s="2" t="str">
        <f aca="false">""</f>
        <v/>
      </c>
      <c r="L1862" s="2" t="str">
        <f aca="false">IF($G1862="","","同時")</f>
        <v/>
      </c>
      <c r="M1862" s="2" t="str">
        <f aca="false">IF($G1862="","",IF(ISNA(MATCH($G1862,個別指定!$A:$A,0)),"行なし",""))</f>
        <v/>
      </c>
      <c r="N1862" s="2" t="str">
        <f aca="false">IF($G1862="","",IF(COUNTIF($G$2:$G$4460,$G1862)&gt;1,"重複",""))</f>
        <v/>
      </c>
    </row>
    <row r="1863" customFormat="false" ht="16.5" hidden="false" customHeight="true" outlineLevel="0" collapsed="false">
      <c r="A1863" s="2" t="s">
        <v>416</v>
      </c>
      <c r="B1863" s="2" t="s">
        <v>423</v>
      </c>
      <c r="C1863" s="2" t="s">
        <v>46</v>
      </c>
      <c r="D1863" s="2" t="str">
        <f aca="false">IF(3キー同時!$B$84="","",3キー同時!$B$84)</f>
        <v>v</v>
      </c>
      <c r="E1863" s="2" t="str">
        <f aca="false">IF(3キー同時!$G$84="","",3キー同時!$G$84)</f>
        <v>l</v>
      </c>
      <c r="F1863" s="2" t="str">
        <f aca="false">""</f>
        <v/>
      </c>
      <c r="G1863" s="2" t="str">
        <f aca="false">IF(OR(3キー同時!$B$84="",3キー同時!$G$84=""),"",IF(3キー同時!AP94="","",SUBSTITUTE(SUBSTITUTE(3キー同時!AP94," ",""),"　","")))</f>
        <v/>
      </c>
      <c r="H1863" s="2" t="str">
        <f aca="false">IF($G1863="","",3キー同時!$B$84)</f>
        <v/>
      </c>
      <c r="I1863" s="2" t="str">
        <f aca="false">IF($G1863="","",3キー同時!$G$84)</f>
        <v/>
      </c>
      <c r="J1863" s="2" t="str">
        <f aca="false">IF($G1863="","","kana")</f>
        <v/>
      </c>
      <c r="K1863" s="2" t="str">
        <f aca="false">""</f>
        <v/>
      </c>
      <c r="L1863" s="2" t="str">
        <f aca="false">IF($G1863="","","同時")</f>
        <v/>
      </c>
      <c r="M1863" s="2" t="str">
        <f aca="false">IF($G1863="","",IF(ISNA(MATCH($G1863,個別指定!$A:$A,0)),"行なし",""))</f>
        <v/>
      </c>
      <c r="N1863" s="2" t="str">
        <f aca="false">IF($G1863="","",IF(COUNTIF($G$2:$G$4460,$G1863)&gt;1,"重複",""))</f>
        <v/>
      </c>
    </row>
    <row r="1864" customFormat="false" ht="16.5" hidden="false" customHeight="true" outlineLevel="0" collapsed="false">
      <c r="A1864" s="2" t="s">
        <v>416</v>
      </c>
      <c r="B1864" s="2" t="s">
        <v>424</v>
      </c>
      <c r="C1864" s="2" t="s">
        <v>0</v>
      </c>
      <c r="D1864" s="2" t="str">
        <f aca="false">IF(3キー同時!$B$97="","",3キー同時!$B$97)</f>
        <v>f</v>
      </c>
      <c r="E1864" s="2" t="str">
        <f aca="false">IF(3キー同時!$G$97="","",3キー同時!$G$97)</f>
        <v>l</v>
      </c>
      <c r="F1864" s="2" t="str">
        <f aca="false">""</f>
        <v/>
      </c>
      <c r="G1864" s="2" t="str">
        <f aca="false">IF(OR(3キー同時!$B$97="",3キー同時!$G$97=""),"",IF(3キー同時!F99="","",SUBSTITUTE(SUBSTITUTE(3キー同時!F99," ",""),"　","")))</f>
        <v/>
      </c>
      <c r="H1864" s="2" t="str">
        <f aca="false">IF($G1864="","",3キー同時!$B$97)</f>
        <v/>
      </c>
      <c r="I1864" s="2" t="str">
        <f aca="false">IF($G1864="","",3キー同時!$G$97)</f>
        <v/>
      </c>
      <c r="J1864" s="2" t="str">
        <f aca="false">IF($G1864="","","1")</f>
        <v/>
      </c>
      <c r="K1864" s="2" t="str">
        <f aca="false">""</f>
        <v/>
      </c>
      <c r="L1864" s="2" t="str">
        <f aca="false">IF($G1864="","","同時")</f>
        <v/>
      </c>
      <c r="M1864" s="2" t="str">
        <f aca="false">IF($G1864="","",IF(ISNA(MATCH($G1864,個別指定!$A:$A,0)),"行なし",""))</f>
        <v/>
      </c>
      <c r="N1864" s="2" t="str">
        <f aca="false">IF($G1864="","",IF(COUNTIF($G$2:$G$4460,$G1864)&gt;1,"重複",""))</f>
        <v/>
      </c>
    </row>
    <row r="1865" customFormat="false" ht="16.5" hidden="false" customHeight="true" outlineLevel="0" collapsed="false">
      <c r="A1865" s="2" t="s">
        <v>416</v>
      </c>
      <c r="B1865" s="2" t="s">
        <v>424</v>
      </c>
      <c r="C1865" s="2" t="s">
        <v>1</v>
      </c>
      <c r="D1865" s="2" t="str">
        <f aca="false">IF(3キー同時!$B$97="","",3キー同時!$B$97)</f>
        <v>f</v>
      </c>
      <c r="E1865" s="2" t="str">
        <f aca="false">IF(3キー同時!$G$97="","",3キー同時!$G$97)</f>
        <v>l</v>
      </c>
      <c r="F1865" s="2" t="str">
        <f aca="false">""</f>
        <v/>
      </c>
      <c r="G1865" s="2" t="str">
        <f aca="false">IF(OR(3キー同時!$B$97="",3キー同時!$G$97=""),"",IF(3キー同時!J99="","",SUBSTITUTE(SUBSTITUTE(3キー同時!J99," ",""),"　","")))</f>
        <v/>
      </c>
      <c r="H1865" s="2" t="str">
        <f aca="false">IF($G1865="","",3キー同時!$B$97)</f>
        <v/>
      </c>
      <c r="I1865" s="2" t="str">
        <f aca="false">IF($G1865="","",3キー同時!$G$97)</f>
        <v/>
      </c>
      <c r="J1865" s="2" t="str">
        <f aca="false">IF($G1865="","","2")</f>
        <v/>
      </c>
      <c r="K1865" s="2" t="str">
        <f aca="false">""</f>
        <v/>
      </c>
      <c r="L1865" s="2" t="str">
        <f aca="false">IF($G1865="","","同時")</f>
        <v/>
      </c>
      <c r="M1865" s="2" t="str">
        <f aca="false">IF($G1865="","",IF(ISNA(MATCH($G1865,個別指定!$A:$A,0)),"行なし",""))</f>
        <v/>
      </c>
      <c r="N1865" s="2" t="str">
        <f aca="false">IF($G1865="","",IF(COUNTIF($G$2:$G$4460,$G1865)&gt;1,"重複",""))</f>
        <v/>
      </c>
    </row>
    <row r="1866" customFormat="false" ht="16.5" hidden="false" customHeight="true" outlineLevel="0" collapsed="false">
      <c r="A1866" s="2" t="s">
        <v>416</v>
      </c>
      <c r="B1866" s="2" t="s">
        <v>424</v>
      </c>
      <c r="C1866" s="2" t="s">
        <v>2</v>
      </c>
      <c r="D1866" s="2" t="str">
        <f aca="false">IF(3キー同時!$B$97="","",3キー同時!$B$97)</f>
        <v>f</v>
      </c>
      <c r="E1866" s="2" t="str">
        <f aca="false">IF(3キー同時!$G$97="","",3キー同時!$G$97)</f>
        <v>l</v>
      </c>
      <c r="F1866" s="2" t="str">
        <f aca="false">""</f>
        <v/>
      </c>
      <c r="G1866" s="2" t="str">
        <f aca="false">IF(OR(3キー同時!$B$97="",3キー同時!$G$97=""),"",IF(3キー同時!N99="","",SUBSTITUTE(SUBSTITUTE(3キー同時!N99," ",""),"　","")))</f>
        <v/>
      </c>
      <c r="H1866" s="2" t="str">
        <f aca="false">IF($G1866="","",3キー同時!$B$97)</f>
        <v/>
      </c>
      <c r="I1866" s="2" t="str">
        <f aca="false">IF($G1866="","",3キー同時!$G$97)</f>
        <v/>
      </c>
      <c r="J1866" s="2" t="str">
        <f aca="false">IF($G1866="","","3")</f>
        <v/>
      </c>
      <c r="K1866" s="2" t="str">
        <f aca="false">""</f>
        <v/>
      </c>
      <c r="L1866" s="2" t="str">
        <f aca="false">IF($G1866="","","同時")</f>
        <v/>
      </c>
      <c r="M1866" s="2" t="str">
        <f aca="false">IF($G1866="","",IF(ISNA(MATCH($G1866,個別指定!$A:$A,0)),"行なし",""))</f>
        <v/>
      </c>
      <c r="N1866" s="2" t="str">
        <f aca="false">IF($G1866="","",IF(COUNTIF($G$2:$G$4460,$G1866)&gt;1,"重複",""))</f>
        <v/>
      </c>
    </row>
    <row r="1867" customFormat="false" ht="16.5" hidden="false" customHeight="true" outlineLevel="0" collapsed="false">
      <c r="A1867" s="2" t="s">
        <v>416</v>
      </c>
      <c r="B1867" s="2" t="s">
        <v>424</v>
      </c>
      <c r="C1867" s="2" t="s">
        <v>3</v>
      </c>
      <c r="D1867" s="2" t="str">
        <f aca="false">IF(3キー同時!$B$97="","",3キー同時!$B$97)</f>
        <v>f</v>
      </c>
      <c r="E1867" s="2" t="str">
        <f aca="false">IF(3キー同時!$G$97="","",3キー同時!$G$97)</f>
        <v>l</v>
      </c>
      <c r="F1867" s="2" t="str">
        <f aca="false">""</f>
        <v/>
      </c>
      <c r="G1867" s="2" t="str">
        <f aca="false">IF(OR(3キー同時!$B$97="",3キー同時!$G$97=""),"",IF(3キー同時!R99="","",SUBSTITUTE(SUBSTITUTE(3キー同時!R99," ",""),"　","")))</f>
        <v/>
      </c>
      <c r="H1867" s="2" t="str">
        <f aca="false">IF($G1867="","",3キー同時!$B$97)</f>
        <v/>
      </c>
      <c r="I1867" s="2" t="str">
        <f aca="false">IF($G1867="","",3キー同時!$G$97)</f>
        <v/>
      </c>
      <c r="J1867" s="2" t="str">
        <f aca="false">IF($G1867="","","4")</f>
        <v/>
      </c>
      <c r="K1867" s="2" t="str">
        <f aca="false">""</f>
        <v/>
      </c>
      <c r="L1867" s="2" t="str">
        <f aca="false">IF($G1867="","","同時")</f>
        <v/>
      </c>
      <c r="M1867" s="2" t="str">
        <f aca="false">IF($G1867="","",IF(ISNA(MATCH($G1867,個別指定!$A:$A,0)),"行なし",""))</f>
        <v/>
      </c>
      <c r="N1867" s="2" t="str">
        <f aca="false">IF($G1867="","",IF(COUNTIF($G$2:$G$4460,$G1867)&gt;1,"重複",""))</f>
        <v/>
      </c>
    </row>
    <row r="1868" customFormat="false" ht="16.5" hidden="false" customHeight="true" outlineLevel="0" collapsed="false">
      <c r="A1868" s="2" t="s">
        <v>416</v>
      </c>
      <c r="B1868" s="2" t="s">
        <v>424</v>
      </c>
      <c r="C1868" s="2" t="s">
        <v>4</v>
      </c>
      <c r="D1868" s="2" t="str">
        <f aca="false">IF(3キー同時!$B$97="","",3キー同時!$B$97)</f>
        <v>f</v>
      </c>
      <c r="E1868" s="2" t="str">
        <f aca="false">IF(3キー同時!$G$97="","",3キー同時!$G$97)</f>
        <v>l</v>
      </c>
      <c r="F1868" s="2" t="str">
        <f aca="false">""</f>
        <v/>
      </c>
      <c r="G1868" s="2" t="str">
        <f aca="false">IF(OR(3キー同時!$B$97="",3キー同時!$G$97=""),"",IF(3キー同時!V99="","",SUBSTITUTE(SUBSTITUTE(3キー同時!V99," ",""),"　","")))</f>
        <v/>
      </c>
      <c r="H1868" s="2" t="str">
        <f aca="false">IF($G1868="","",3キー同時!$B$97)</f>
        <v/>
      </c>
      <c r="I1868" s="2" t="str">
        <f aca="false">IF($G1868="","",3キー同時!$G$97)</f>
        <v/>
      </c>
      <c r="J1868" s="2" t="str">
        <f aca="false">IF($G1868="","","5")</f>
        <v/>
      </c>
      <c r="K1868" s="2" t="str">
        <f aca="false">""</f>
        <v/>
      </c>
      <c r="L1868" s="2" t="str">
        <f aca="false">IF($G1868="","","同時")</f>
        <v/>
      </c>
      <c r="M1868" s="2" t="str">
        <f aca="false">IF($G1868="","",IF(ISNA(MATCH($G1868,個別指定!$A:$A,0)),"行なし",""))</f>
        <v/>
      </c>
      <c r="N1868" s="2" t="str">
        <f aca="false">IF($G1868="","",IF(COUNTIF($G$2:$G$4460,$G1868)&gt;1,"重複",""))</f>
        <v/>
      </c>
    </row>
    <row r="1869" customFormat="false" ht="16.5" hidden="false" customHeight="true" outlineLevel="0" collapsed="false">
      <c r="A1869" s="2" t="s">
        <v>416</v>
      </c>
      <c r="B1869" s="2" t="s">
        <v>424</v>
      </c>
      <c r="C1869" s="2" t="s">
        <v>5</v>
      </c>
      <c r="D1869" s="2" t="str">
        <f aca="false">IF(3キー同時!$B$97="","",3キー同時!$B$97)</f>
        <v>f</v>
      </c>
      <c r="E1869" s="2" t="str">
        <f aca="false">IF(3キー同時!$G$97="","",3キー同時!$G$97)</f>
        <v>l</v>
      </c>
      <c r="F1869" s="2" t="str">
        <f aca="false">""</f>
        <v/>
      </c>
      <c r="G1869" s="2" t="str">
        <f aca="false">IF(OR(3キー同時!$B$97="",3キー同時!$G$97=""),"",IF(3キー同時!Z99="","",SUBSTITUTE(SUBSTITUTE(3キー同時!Z99," ",""),"　","")))</f>
        <v/>
      </c>
      <c r="H1869" s="2" t="str">
        <f aca="false">IF($G1869="","",3キー同時!$B$97)</f>
        <v/>
      </c>
      <c r="I1869" s="2" t="str">
        <f aca="false">IF($G1869="","",3キー同時!$G$97)</f>
        <v/>
      </c>
      <c r="J1869" s="2" t="str">
        <f aca="false">IF($G1869="","","6")</f>
        <v/>
      </c>
      <c r="K1869" s="2" t="str">
        <f aca="false">""</f>
        <v/>
      </c>
      <c r="L1869" s="2" t="str">
        <f aca="false">IF($G1869="","","同時")</f>
        <v/>
      </c>
      <c r="M1869" s="2" t="str">
        <f aca="false">IF($G1869="","",IF(ISNA(MATCH($G1869,個別指定!$A:$A,0)),"行なし",""))</f>
        <v/>
      </c>
      <c r="N1869" s="2" t="str">
        <f aca="false">IF($G1869="","",IF(COUNTIF($G$2:$G$4460,$G1869)&gt;1,"重複",""))</f>
        <v/>
      </c>
    </row>
    <row r="1870" customFormat="false" ht="16.5" hidden="false" customHeight="true" outlineLevel="0" collapsed="false">
      <c r="A1870" s="2" t="s">
        <v>416</v>
      </c>
      <c r="B1870" s="2" t="s">
        <v>424</v>
      </c>
      <c r="C1870" s="2" t="s">
        <v>6</v>
      </c>
      <c r="D1870" s="2" t="str">
        <f aca="false">IF(3キー同時!$B$97="","",3キー同時!$B$97)</f>
        <v>f</v>
      </c>
      <c r="E1870" s="2" t="str">
        <f aca="false">IF(3キー同時!$G$97="","",3キー同時!$G$97)</f>
        <v>l</v>
      </c>
      <c r="F1870" s="2" t="str">
        <f aca="false">""</f>
        <v/>
      </c>
      <c r="G1870" s="2" t="str">
        <f aca="false">IF(OR(3キー同時!$B$97="",3キー同時!$G$97=""),"",IF(3キー同時!AD99="","",SUBSTITUTE(SUBSTITUTE(3キー同時!AD99," ",""),"　","")))</f>
        <v/>
      </c>
      <c r="H1870" s="2" t="str">
        <f aca="false">IF($G1870="","",3キー同時!$B$97)</f>
        <v/>
      </c>
      <c r="I1870" s="2" t="str">
        <f aca="false">IF($G1870="","",3キー同時!$G$97)</f>
        <v/>
      </c>
      <c r="J1870" s="2" t="str">
        <f aca="false">IF($G1870="","","7")</f>
        <v/>
      </c>
      <c r="K1870" s="2" t="str">
        <f aca="false">""</f>
        <v/>
      </c>
      <c r="L1870" s="2" t="str">
        <f aca="false">IF($G1870="","","同時")</f>
        <v/>
      </c>
      <c r="M1870" s="2" t="str">
        <f aca="false">IF($G1870="","",IF(ISNA(MATCH($G1870,個別指定!$A:$A,0)),"行なし",""))</f>
        <v/>
      </c>
      <c r="N1870" s="2" t="str">
        <f aca="false">IF($G1870="","",IF(COUNTIF($G$2:$G$4460,$G1870)&gt;1,"重複",""))</f>
        <v/>
      </c>
    </row>
    <row r="1871" customFormat="false" ht="16.5" hidden="false" customHeight="true" outlineLevel="0" collapsed="false">
      <c r="A1871" s="2" t="s">
        <v>416</v>
      </c>
      <c r="B1871" s="2" t="s">
        <v>424</v>
      </c>
      <c r="C1871" s="2" t="s">
        <v>7</v>
      </c>
      <c r="D1871" s="2" t="str">
        <f aca="false">IF(3キー同時!$B$97="","",3キー同時!$B$97)</f>
        <v>f</v>
      </c>
      <c r="E1871" s="2" t="str">
        <f aca="false">IF(3キー同時!$G$97="","",3キー同時!$G$97)</f>
        <v>l</v>
      </c>
      <c r="F1871" s="2" t="str">
        <f aca="false">""</f>
        <v/>
      </c>
      <c r="G1871" s="2" t="str">
        <f aca="false">IF(OR(3キー同時!$B$97="",3キー同時!$G$97=""),"",IF(3キー同時!AH99="","",SUBSTITUTE(SUBSTITUTE(3キー同時!AH99," ",""),"　","")))</f>
        <v/>
      </c>
      <c r="H1871" s="2" t="str">
        <f aca="false">IF($G1871="","",3キー同時!$B$97)</f>
        <v/>
      </c>
      <c r="I1871" s="2" t="str">
        <f aca="false">IF($G1871="","",3キー同時!$G$97)</f>
        <v/>
      </c>
      <c r="J1871" s="2" t="str">
        <f aca="false">IF($G1871="","","8")</f>
        <v/>
      </c>
      <c r="K1871" s="2" t="str">
        <f aca="false">""</f>
        <v/>
      </c>
      <c r="L1871" s="2" t="str">
        <f aca="false">IF($G1871="","","同時")</f>
        <v/>
      </c>
      <c r="M1871" s="2" t="str">
        <f aca="false">IF($G1871="","",IF(ISNA(MATCH($G1871,個別指定!$A:$A,0)),"行なし",""))</f>
        <v/>
      </c>
      <c r="N1871" s="2" t="str">
        <f aca="false">IF($G1871="","",IF(COUNTIF($G$2:$G$4460,$G1871)&gt;1,"重複",""))</f>
        <v/>
      </c>
    </row>
    <row r="1872" customFormat="false" ht="16.5" hidden="false" customHeight="true" outlineLevel="0" collapsed="false">
      <c r="A1872" s="2" t="s">
        <v>416</v>
      </c>
      <c r="B1872" s="2" t="s">
        <v>424</v>
      </c>
      <c r="C1872" s="2" t="s">
        <v>8</v>
      </c>
      <c r="D1872" s="2" t="str">
        <f aca="false">IF(3キー同時!$B$97="","",3キー同時!$B$97)</f>
        <v>f</v>
      </c>
      <c r="E1872" s="2" t="str">
        <f aca="false">IF(3キー同時!$G$97="","",3キー同時!$G$97)</f>
        <v>l</v>
      </c>
      <c r="F1872" s="2" t="str">
        <f aca="false">""</f>
        <v/>
      </c>
      <c r="G1872" s="2" t="str">
        <f aca="false">IF(OR(3キー同時!$B$97="",3キー同時!$G$97=""),"",IF(3キー同時!AL99="","",SUBSTITUTE(SUBSTITUTE(3キー同時!AL99," ",""),"　","")))</f>
        <v/>
      </c>
      <c r="H1872" s="2" t="str">
        <f aca="false">IF($G1872="","",3キー同時!$B$97)</f>
        <v/>
      </c>
      <c r="I1872" s="2" t="str">
        <f aca="false">IF($G1872="","",3キー同時!$G$97)</f>
        <v/>
      </c>
      <c r="J1872" s="2" t="str">
        <f aca="false">IF($G1872="","","9")</f>
        <v/>
      </c>
      <c r="K1872" s="2" t="str">
        <f aca="false">""</f>
        <v/>
      </c>
      <c r="L1872" s="2" t="str">
        <f aca="false">IF($G1872="","","同時")</f>
        <v/>
      </c>
      <c r="M1872" s="2" t="str">
        <f aca="false">IF($G1872="","",IF(ISNA(MATCH($G1872,個別指定!$A:$A,0)),"行なし",""))</f>
        <v/>
      </c>
      <c r="N1872" s="2" t="str">
        <f aca="false">IF($G1872="","",IF(COUNTIF($G$2:$G$4460,$G1872)&gt;1,"重複",""))</f>
        <v/>
      </c>
    </row>
    <row r="1873" customFormat="false" ht="16.5" hidden="false" customHeight="true" outlineLevel="0" collapsed="false">
      <c r="A1873" s="2" t="s">
        <v>416</v>
      </c>
      <c r="B1873" s="2" t="s">
        <v>424</v>
      </c>
      <c r="C1873" s="2" t="s">
        <v>9</v>
      </c>
      <c r="D1873" s="2" t="str">
        <f aca="false">IF(3キー同時!$B$97="","",3キー同時!$B$97)</f>
        <v>f</v>
      </c>
      <c r="E1873" s="2" t="str">
        <f aca="false">IF(3キー同時!$G$97="","",3キー同時!$G$97)</f>
        <v>l</v>
      </c>
      <c r="F1873" s="2" t="str">
        <f aca="false">""</f>
        <v/>
      </c>
      <c r="G1873" s="2" t="str">
        <f aca="false">IF(OR(3キー同時!$B$97="",3キー同時!$G$97=""),"",IF(3キー同時!AP99="","",SUBSTITUTE(SUBSTITUTE(3キー同時!AP99," ",""),"　","")))</f>
        <v/>
      </c>
      <c r="H1873" s="2" t="str">
        <f aca="false">IF($G1873="","",3キー同時!$B$97)</f>
        <v/>
      </c>
      <c r="I1873" s="2" t="str">
        <f aca="false">IF($G1873="","",3キー同時!$G$97)</f>
        <v/>
      </c>
      <c r="J1873" s="2" t="str">
        <f aca="false">IF($G1873="","","0")</f>
        <v/>
      </c>
      <c r="K1873" s="2" t="str">
        <f aca="false">""</f>
        <v/>
      </c>
      <c r="L1873" s="2" t="str">
        <f aca="false">IF($G1873="","","同時")</f>
        <v/>
      </c>
      <c r="M1873" s="2" t="str">
        <f aca="false">IF($G1873="","",IF(ISNA(MATCH($G1873,個別指定!$A:$A,0)),"行なし",""))</f>
        <v/>
      </c>
      <c r="N1873" s="2" t="str">
        <f aca="false">IF($G1873="","",IF(COUNTIF($G$2:$G$4460,$G1873)&gt;1,"重複",""))</f>
        <v/>
      </c>
    </row>
    <row r="1874" customFormat="false" ht="16.5" hidden="false" customHeight="true" outlineLevel="0" collapsed="false">
      <c r="A1874" s="2" t="s">
        <v>416</v>
      </c>
      <c r="B1874" s="2" t="s">
        <v>424</v>
      </c>
      <c r="C1874" s="2" t="s">
        <v>10</v>
      </c>
      <c r="D1874" s="2" t="str">
        <f aca="false">IF(3キー同時!$B$97="","",3キー同時!$B$97)</f>
        <v>f</v>
      </c>
      <c r="E1874" s="2" t="str">
        <f aca="false">IF(3キー同時!$G$97="","",3キー同時!$G$97)</f>
        <v>l</v>
      </c>
      <c r="F1874" s="2" t="str">
        <f aca="false">""</f>
        <v/>
      </c>
      <c r="G1874" s="2" t="str">
        <f aca="false">IF(OR(3キー同時!$B$97="",3キー同時!$G$97=""),"",IF(3キー同時!AT99="","",SUBSTITUTE(SUBSTITUTE(3キー同時!AT99," ",""),"　","")))</f>
        <v/>
      </c>
      <c r="H1874" s="2" t="str">
        <f aca="false">IF($G1874="","",3キー同時!$B$97)</f>
        <v/>
      </c>
      <c r="I1874" s="2" t="str">
        <f aca="false">IF($G1874="","",3キー同時!$G$97)</f>
        <v/>
      </c>
      <c r="J1874" s="2" t="str">
        <f aca="false">IF($G1874="","","-")</f>
        <v/>
      </c>
      <c r="K1874" s="2" t="str">
        <f aca="false">""</f>
        <v/>
      </c>
      <c r="L1874" s="2" t="str">
        <f aca="false">IF($G1874="","","同時")</f>
        <v/>
      </c>
      <c r="M1874" s="2" t="str">
        <f aca="false">IF($G1874="","",IF(ISNA(MATCH($G1874,個別指定!$A:$A,0)),"行なし",""))</f>
        <v/>
      </c>
      <c r="N1874" s="2" t="str">
        <f aca="false">IF($G1874="","",IF(COUNTIF($G$2:$G$4460,$G1874)&gt;1,"重複",""))</f>
        <v/>
      </c>
    </row>
    <row r="1875" customFormat="false" ht="16.5" hidden="false" customHeight="true" outlineLevel="0" collapsed="false">
      <c r="A1875" s="2" t="s">
        <v>416</v>
      </c>
      <c r="B1875" s="2" t="s">
        <v>424</v>
      </c>
      <c r="C1875" s="2" t="s">
        <v>11</v>
      </c>
      <c r="D1875" s="2" t="str">
        <f aca="false">IF(3キー同時!$B$97="","",3キー同時!$B$97)</f>
        <v>f</v>
      </c>
      <c r="E1875" s="2" t="str">
        <f aca="false">IF(3キー同時!$G$97="","",3キー同時!$G$97)</f>
        <v>l</v>
      </c>
      <c r="F1875" s="2" t="str">
        <f aca="false">""</f>
        <v/>
      </c>
      <c r="G1875" s="2" t="str">
        <f aca="false">IF(OR(3キー同時!$B$97="",3キー同時!$G$97=""),"",IF(3キー同時!AX99="","",SUBSTITUTE(SUBSTITUTE(3キー同時!AX99," ",""),"　","")))</f>
        <v/>
      </c>
      <c r="H1875" s="2" t="str">
        <f aca="false">IF($G1875="","",3キー同時!$B$97)</f>
        <v/>
      </c>
      <c r="I1875" s="2" t="str">
        <f aca="false">IF($G1875="","",3キー同時!$G$97)</f>
        <v/>
      </c>
      <c r="J1875" s="2" t="str">
        <f aca="false">IF($G1875="","","=")</f>
        <v/>
      </c>
      <c r="K1875" s="2" t="str">
        <f aca="false">""</f>
        <v/>
      </c>
      <c r="L1875" s="2" t="str">
        <f aca="false">IF($G1875="","","同時")</f>
        <v/>
      </c>
      <c r="M1875" s="2" t="str">
        <f aca="false">IF($G1875="","",IF(ISNA(MATCH($G1875,個別指定!$A:$A,0)),"行なし",""))</f>
        <v/>
      </c>
      <c r="N1875" s="2" t="str">
        <f aca="false">IF($G1875="","",IF(COUNTIF($G$2:$G$4460,$G1875)&gt;1,"重複",""))</f>
        <v/>
      </c>
    </row>
    <row r="1876" customFormat="false" ht="16.5" hidden="false" customHeight="true" outlineLevel="0" collapsed="false">
      <c r="A1876" s="2" t="s">
        <v>416</v>
      </c>
      <c r="B1876" s="2" t="s">
        <v>424</v>
      </c>
      <c r="C1876" s="2" t="s">
        <v>12</v>
      </c>
      <c r="D1876" s="2" t="str">
        <f aca="false">IF(3キー同時!$B$97="","",3キー同時!$B$97)</f>
        <v>f</v>
      </c>
      <c r="E1876" s="2" t="str">
        <f aca="false">IF(3キー同時!$G$97="","",3キー同時!$G$97)</f>
        <v>l</v>
      </c>
      <c r="F1876" s="2" t="str">
        <f aca="false">""</f>
        <v/>
      </c>
      <c r="G1876" s="2" t="str">
        <f aca="false">IF(OR(3キー同時!$B$97="",3キー同時!$G$97=""),"",IF(3キー同時!H101="","",SUBSTITUTE(SUBSTITUTE(3キー同時!H101," ",""),"　","")))</f>
        <v/>
      </c>
      <c r="H1876" s="2" t="str">
        <f aca="false">IF($G1876="","",3キー同時!$B$97)</f>
        <v/>
      </c>
      <c r="I1876" s="2" t="str">
        <f aca="false">IF($G1876="","",3キー同時!$G$97)</f>
        <v/>
      </c>
      <c r="J1876" s="2" t="str">
        <f aca="false">IF($G1876="","","q")</f>
        <v/>
      </c>
      <c r="K1876" s="2" t="str">
        <f aca="false">""</f>
        <v/>
      </c>
      <c r="L1876" s="2" t="str">
        <f aca="false">IF($G1876="","","同時")</f>
        <v/>
      </c>
      <c r="M1876" s="2" t="str">
        <f aca="false">IF($G1876="","",IF(ISNA(MATCH($G1876,個別指定!$A:$A,0)),"行なし",""))</f>
        <v/>
      </c>
      <c r="N1876" s="2" t="str">
        <f aca="false">IF($G1876="","",IF(COUNTIF($G$2:$G$4460,$G1876)&gt;1,"重複",""))</f>
        <v/>
      </c>
    </row>
    <row r="1877" customFormat="false" ht="16.5" hidden="false" customHeight="true" outlineLevel="0" collapsed="false">
      <c r="A1877" s="2" t="s">
        <v>416</v>
      </c>
      <c r="B1877" s="2" t="s">
        <v>424</v>
      </c>
      <c r="C1877" s="2" t="s">
        <v>13</v>
      </c>
      <c r="D1877" s="2" t="str">
        <f aca="false">IF(3キー同時!$B$97="","",3キー同時!$B$97)</f>
        <v>f</v>
      </c>
      <c r="E1877" s="2" t="str">
        <f aca="false">IF(3キー同時!$G$97="","",3キー同時!$G$97)</f>
        <v>l</v>
      </c>
      <c r="F1877" s="2" t="str">
        <f aca="false">""</f>
        <v/>
      </c>
      <c r="G1877" s="2" t="str">
        <f aca="false">IF(OR(3キー同時!$B$97="",3キー同時!$G$97=""),"",IF(3キー同時!L101="","",SUBSTITUTE(SUBSTITUTE(3キー同時!L101," ",""),"　","")))</f>
        <v/>
      </c>
      <c r="H1877" s="2" t="str">
        <f aca="false">IF($G1877="","",3キー同時!$B$97)</f>
        <v/>
      </c>
      <c r="I1877" s="2" t="str">
        <f aca="false">IF($G1877="","",3キー同時!$G$97)</f>
        <v/>
      </c>
      <c r="J1877" s="2" t="str">
        <f aca="false">IF($G1877="","","w")</f>
        <v/>
      </c>
      <c r="K1877" s="2" t="str">
        <f aca="false">""</f>
        <v/>
      </c>
      <c r="L1877" s="2" t="str">
        <f aca="false">IF($G1877="","","同時")</f>
        <v/>
      </c>
      <c r="M1877" s="2" t="str">
        <f aca="false">IF($G1877="","",IF(ISNA(MATCH($G1877,個別指定!$A:$A,0)),"行なし",""))</f>
        <v/>
      </c>
      <c r="N1877" s="2" t="str">
        <f aca="false">IF($G1877="","",IF(COUNTIF($G$2:$G$4460,$G1877)&gt;1,"重複",""))</f>
        <v/>
      </c>
    </row>
    <row r="1878" customFormat="false" ht="16.5" hidden="false" customHeight="true" outlineLevel="0" collapsed="false">
      <c r="A1878" s="2" t="s">
        <v>416</v>
      </c>
      <c r="B1878" s="2" t="s">
        <v>424</v>
      </c>
      <c r="C1878" s="2" t="s">
        <v>14</v>
      </c>
      <c r="D1878" s="2" t="str">
        <f aca="false">IF(3キー同時!$B$97="","",3キー同時!$B$97)</f>
        <v>f</v>
      </c>
      <c r="E1878" s="2" t="str">
        <f aca="false">IF(3キー同時!$G$97="","",3キー同時!$G$97)</f>
        <v>l</v>
      </c>
      <c r="F1878" s="2" t="str">
        <f aca="false">""</f>
        <v/>
      </c>
      <c r="G1878" s="2" t="str">
        <f aca="false">IF(OR(3キー同時!$B$97="",3キー同時!$G$97=""),"",IF(3キー同時!P101="","",SUBSTITUTE(SUBSTITUTE(3キー同時!P101," ",""),"　","")))</f>
        <v/>
      </c>
      <c r="H1878" s="2" t="str">
        <f aca="false">IF($G1878="","",3キー同時!$B$97)</f>
        <v/>
      </c>
      <c r="I1878" s="2" t="str">
        <f aca="false">IF($G1878="","",3キー同時!$G$97)</f>
        <v/>
      </c>
      <c r="J1878" s="2" t="str">
        <f aca="false">IF($G1878="","","e")</f>
        <v/>
      </c>
      <c r="K1878" s="2" t="str">
        <f aca="false">""</f>
        <v/>
      </c>
      <c r="L1878" s="2" t="str">
        <f aca="false">IF($G1878="","","同時")</f>
        <v/>
      </c>
      <c r="M1878" s="2" t="str">
        <f aca="false">IF($G1878="","",IF(ISNA(MATCH($G1878,個別指定!$A:$A,0)),"行なし",""))</f>
        <v/>
      </c>
      <c r="N1878" s="2" t="str">
        <f aca="false">IF($G1878="","",IF(COUNTIF($G$2:$G$4460,$G1878)&gt;1,"重複",""))</f>
        <v/>
      </c>
    </row>
    <row r="1879" customFormat="false" ht="16.5" hidden="false" customHeight="true" outlineLevel="0" collapsed="false">
      <c r="A1879" s="2" t="s">
        <v>416</v>
      </c>
      <c r="B1879" s="2" t="s">
        <v>424</v>
      </c>
      <c r="C1879" s="2" t="s">
        <v>15</v>
      </c>
      <c r="D1879" s="2" t="str">
        <f aca="false">IF(3キー同時!$B$97="","",3キー同時!$B$97)</f>
        <v>f</v>
      </c>
      <c r="E1879" s="2" t="str">
        <f aca="false">IF(3キー同時!$G$97="","",3キー同時!$G$97)</f>
        <v>l</v>
      </c>
      <c r="F1879" s="2" t="str">
        <f aca="false">""</f>
        <v/>
      </c>
      <c r="G1879" s="2" t="str">
        <f aca="false">IF(OR(3キー同時!$B$97="",3キー同時!$G$97=""),"",IF(3キー同時!T101="","",SUBSTITUTE(SUBSTITUTE(3キー同時!T101," ",""),"　","")))</f>
        <v/>
      </c>
      <c r="H1879" s="2" t="str">
        <f aca="false">IF($G1879="","",3キー同時!$B$97)</f>
        <v/>
      </c>
      <c r="I1879" s="2" t="str">
        <f aca="false">IF($G1879="","",3キー同時!$G$97)</f>
        <v/>
      </c>
      <c r="J1879" s="2" t="str">
        <f aca="false">IF($G1879="","","r")</f>
        <v/>
      </c>
      <c r="K1879" s="2" t="str">
        <f aca="false">""</f>
        <v/>
      </c>
      <c r="L1879" s="2" t="str">
        <f aca="false">IF($G1879="","","同時")</f>
        <v/>
      </c>
      <c r="M1879" s="2" t="str">
        <f aca="false">IF($G1879="","",IF(ISNA(MATCH($G1879,個別指定!$A:$A,0)),"行なし",""))</f>
        <v/>
      </c>
      <c r="N1879" s="2" t="str">
        <f aca="false">IF($G1879="","",IF(COUNTIF($G$2:$G$4460,$G1879)&gt;1,"重複",""))</f>
        <v/>
      </c>
    </row>
    <row r="1880" customFormat="false" ht="16.5" hidden="false" customHeight="true" outlineLevel="0" collapsed="false">
      <c r="A1880" s="2" t="s">
        <v>416</v>
      </c>
      <c r="B1880" s="2" t="s">
        <v>424</v>
      </c>
      <c r="C1880" s="2" t="s">
        <v>16</v>
      </c>
      <c r="D1880" s="2" t="str">
        <f aca="false">IF(3キー同時!$B$97="","",3キー同時!$B$97)</f>
        <v>f</v>
      </c>
      <c r="E1880" s="2" t="str">
        <f aca="false">IF(3キー同時!$G$97="","",3キー同時!$G$97)</f>
        <v>l</v>
      </c>
      <c r="F1880" s="2" t="str">
        <f aca="false">""</f>
        <v/>
      </c>
      <c r="G1880" s="2" t="str">
        <f aca="false">IF(OR(3キー同時!$B$97="",3キー同時!$G$97=""),"",IF(3キー同時!X101="","",SUBSTITUTE(SUBSTITUTE(3キー同時!X101," ",""),"　","")))</f>
        <v/>
      </c>
      <c r="H1880" s="2" t="str">
        <f aca="false">IF($G1880="","",3キー同時!$B$97)</f>
        <v/>
      </c>
      <c r="I1880" s="2" t="str">
        <f aca="false">IF($G1880="","",3キー同時!$G$97)</f>
        <v/>
      </c>
      <c r="J1880" s="2" t="str">
        <f aca="false">IF($G1880="","","t")</f>
        <v/>
      </c>
      <c r="K1880" s="2" t="str">
        <f aca="false">""</f>
        <v/>
      </c>
      <c r="L1880" s="2" t="str">
        <f aca="false">IF($G1880="","","同時")</f>
        <v/>
      </c>
      <c r="M1880" s="2" t="str">
        <f aca="false">IF($G1880="","",IF(ISNA(MATCH($G1880,個別指定!$A:$A,0)),"行なし",""))</f>
        <v/>
      </c>
      <c r="N1880" s="2" t="str">
        <f aca="false">IF($G1880="","",IF(COUNTIF($G$2:$G$4460,$G1880)&gt;1,"重複",""))</f>
        <v/>
      </c>
    </row>
    <row r="1881" customFormat="false" ht="16.5" hidden="false" customHeight="true" outlineLevel="0" collapsed="false">
      <c r="A1881" s="2" t="s">
        <v>416</v>
      </c>
      <c r="B1881" s="2" t="s">
        <v>424</v>
      </c>
      <c r="C1881" s="2" t="s">
        <v>17</v>
      </c>
      <c r="D1881" s="2" t="str">
        <f aca="false">IF(3キー同時!$B$97="","",3キー同時!$B$97)</f>
        <v>f</v>
      </c>
      <c r="E1881" s="2" t="str">
        <f aca="false">IF(3キー同時!$G$97="","",3キー同時!$G$97)</f>
        <v>l</v>
      </c>
      <c r="F1881" s="2" t="str">
        <f aca="false">""</f>
        <v/>
      </c>
      <c r="G1881" s="2" t="str">
        <f aca="false">IF(OR(3キー同時!$B$97="",3キー同時!$G$97=""),"",IF(3キー同時!AB101="","",SUBSTITUTE(SUBSTITUTE(3キー同時!AB101," ",""),"　","")))</f>
        <v/>
      </c>
      <c r="H1881" s="2" t="str">
        <f aca="false">IF($G1881="","",3キー同時!$B$97)</f>
        <v/>
      </c>
      <c r="I1881" s="2" t="str">
        <f aca="false">IF($G1881="","",3キー同時!$G$97)</f>
        <v/>
      </c>
      <c r="J1881" s="2" t="str">
        <f aca="false">IF($G1881="","","y")</f>
        <v/>
      </c>
      <c r="K1881" s="2" t="str">
        <f aca="false">""</f>
        <v/>
      </c>
      <c r="L1881" s="2" t="str">
        <f aca="false">IF($G1881="","","同時")</f>
        <v/>
      </c>
      <c r="M1881" s="2" t="str">
        <f aca="false">IF($G1881="","",IF(ISNA(MATCH($G1881,個別指定!$A:$A,0)),"行なし",""))</f>
        <v/>
      </c>
      <c r="N1881" s="2" t="str">
        <f aca="false">IF($G1881="","",IF(COUNTIF($G$2:$G$4460,$G1881)&gt;1,"重複",""))</f>
        <v/>
      </c>
    </row>
    <row r="1882" customFormat="false" ht="16.5" hidden="false" customHeight="true" outlineLevel="0" collapsed="false">
      <c r="A1882" s="2" t="s">
        <v>416</v>
      </c>
      <c r="B1882" s="2" t="s">
        <v>424</v>
      </c>
      <c r="C1882" s="2" t="s">
        <v>18</v>
      </c>
      <c r="D1882" s="2" t="str">
        <f aca="false">IF(3キー同時!$B$97="","",3キー同時!$B$97)</f>
        <v>f</v>
      </c>
      <c r="E1882" s="2" t="str">
        <f aca="false">IF(3キー同時!$G$97="","",3キー同時!$G$97)</f>
        <v>l</v>
      </c>
      <c r="F1882" s="2" t="str">
        <f aca="false">""</f>
        <v/>
      </c>
      <c r="G1882" s="2" t="str">
        <f aca="false">IF(OR(3キー同時!$B$97="",3キー同時!$G$97=""),"",IF(3キー同時!AF101="","",SUBSTITUTE(SUBSTITUTE(3キー同時!AF101," ",""),"　","")))</f>
        <v/>
      </c>
      <c r="H1882" s="2" t="str">
        <f aca="false">IF($G1882="","",3キー同時!$B$97)</f>
        <v/>
      </c>
      <c r="I1882" s="2" t="str">
        <f aca="false">IF($G1882="","",3キー同時!$G$97)</f>
        <v/>
      </c>
      <c r="J1882" s="2" t="str">
        <f aca="false">IF($G1882="","","u")</f>
        <v/>
      </c>
      <c r="K1882" s="2" t="str">
        <f aca="false">""</f>
        <v/>
      </c>
      <c r="L1882" s="2" t="str">
        <f aca="false">IF($G1882="","","同時")</f>
        <v/>
      </c>
      <c r="M1882" s="2" t="str">
        <f aca="false">IF($G1882="","",IF(ISNA(MATCH($G1882,個別指定!$A:$A,0)),"行なし",""))</f>
        <v/>
      </c>
      <c r="N1882" s="2" t="str">
        <f aca="false">IF($G1882="","",IF(COUNTIF($G$2:$G$4460,$G1882)&gt;1,"重複",""))</f>
        <v/>
      </c>
    </row>
    <row r="1883" customFormat="false" ht="16.5" hidden="false" customHeight="true" outlineLevel="0" collapsed="false">
      <c r="A1883" s="2" t="s">
        <v>416</v>
      </c>
      <c r="B1883" s="2" t="s">
        <v>424</v>
      </c>
      <c r="C1883" s="2" t="s">
        <v>19</v>
      </c>
      <c r="D1883" s="2" t="str">
        <f aca="false">IF(3キー同時!$B$97="","",3キー同時!$B$97)</f>
        <v>f</v>
      </c>
      <c r="E1883" s="2" t="str">
        <f aca="false">IF(3キー同時!$G$97="","",3キー同時!$G$97)</f>
        <v>l</v>
      </c>
      <c r="F1883" s="2" t="str">
        <f aca="false">""</f>
        <v/>
      </c>
      <c r="G1883" s="2" t="str">
        <f aca="false">IF(OR(3キー同時!$B$97="",3キー同時!$G$97=""),"",IF(3キー同時!AJ101="","",SUBSTITUTE(SUBSTITUTE(3キー同時!AJ101," ",""),"　","")))</f>
        <v/>
      </c>
      <c r="H1883" s="2" t="str">
        <f aca="false">IF($G1883="","",3キー同時!$B$97)</f>
        <v/>
      </c>
      <c r="I1883" s="2" t="str">
        <f aca="false">IF($G1883="","",3キー同時!$G$97)</f>
        <v/>
      </c>
      <c r="J1883" s="2" t="str">
        <f aca="false">IF($G1883="","","i")</f>
        <v/>
      </c>
      <c r="K1883" s="2" t="str">
        <f aca="false">""</f>
        <v/>
      </c>
      <c r="L1883" s="2" t="str">
        <f aca="false">IF($G1883="","","同時")</f>
        <v/>
      </c>
      <c r="M1883" s="2" t="str">
        <f aca="false">IF($G1883="","",IF(ISNA(MATCH($G1883,個別指定!$A:$A,0)),"行なし",""))</f>
        <v/>
      </c>
      <c r="N1883" s="2" t="str">
        <f aca="false">IF($G1883="","",IF(COUNTIF($G$2:$G$4460,$G1883)&gt;1,"重複",""))</f>
        <v/>
      </c>
    </row>
    <row r="1884" customFormat="false" ht="16.5" hidden="false" customHeight="true" outlineLevel="0" collapsed="false">
      <c r="A1884" s="2" t="s">
        <v>416</v>
      </c>
      <c r="B1884" s="2" t="s">
        <v>424</v>
      </c>
      <c r="C1884" s="2" t="s">
        <v>20</v>
      </c>
      <c r="D1884" s="2" t="str">
        <f aca="false">IF(3キー同時!$B$97="","",3キー同時!$B$97)</f>
        <v>f</v>
      </c>
      <c r="E1884" s="2" t="str">
        <f aca="false">IF(3キー同時!$G$97="","",3キー同時!$G$97)</f>
        <v>l</v>
      </c>
      <c r="F1884" s="2" t="str">
        <f aca="false">""</f>
        <v/>
      </c>
      <c r="G1884" s="2" t="str">
        <f aca="false">IF(OR(3キー同時!$B$97="",3キー同時!$G$97=""),"",IF(3キー同時!AN101="","",SUBSTITUTE(SUBSTITUTE(3キー同時!AN101," ",""),"　","")))</f>
        <v>ゔぇ</v>
      </c>
      <c r="H1884" s="2" t="str">
        <f aca="false">IF($G1884="","",3キー同時!$B$97)</f>
        <v>f</v>
      </c>
      <c r="I1884" s="2" t="str">
        <f aca="false">IF($G1884="","",3キー同時!$G$97)</f>
        <v>l</v>
      </c>
      <c r="J1884" s="2" t="str">
        <f aca="false">IF($G1884="","","o")</f>
        <v>o</v>
      </c>
      <c r="K1884" s="2" t="str">
        <f aca="false">""</f>
        <v/>
      </c>
      <c r="L1884" s="2" t="str">
        <f aca="false">IF($G1884="","","同時")</f>
        <v>同時</v>
      </c>
      <c r="M1884" s="2" t="str">
        <f aca="false">IF($G1884="","",IF(ISNA(MATCH($G1884,個別指定!$A:$A,0)),"行なし",""))</f>
        <v/>
      </c>
      <c r="N1884" s="2" t="str">
        <f aca="false">IF($G1884="","",IF(COUNTIF($G$2:$G$4460,$G1884)&gt;1,"重複",""))</f>
        <v/>
      </c>
    </row>
    <row r="1885" customFormat="false" ht="16.5" hidden="false" customHeight="true" outlineLevel="0" collapsed="false">
      <c r="A1885" s="2" t="s">
        <v>416</v>
      </c>
      <c r="B1885" s="2" t="s">
        <v>424</v>
      </c>
      <c r="C1885" s="2" t="s">
        <v>21</v>
      </c>
      <c r="D1885" s="2" t="str">
        <f aca="false">IF(3キー同時!$B$97="","",3キー同時!$B$97)</f>
        <v>f</v>
      </c>
      <c r="E1885" s="2" t="str">
        <f aca="false">IF(3キー同時!$G$97="","",3キー同時!$G$97)</f>
        <v>l</v>
      </c>
      <c r="F1885" s="2" t="str">
        <f aca="false">""</f>
        <v/>
      </c>
      <c r="G1885" s="2" t="str">
        <f aca="false">IF(OR(3キー同時!$B$97="",3キー同時!$G$97=""),"",IF(3キー同時!AR101="","",SUBSTITUTE(SUBSTITUTE(3キー同時!AR101," ",""),"　","")))</f>
        <v>ゔゅ</v>
      </c>
      <c r="H1885" s="2" t="str">
        <f aca="false">IF($G1885="","",3キー同時!$B$97)</f>
        <v>f</v>
      </c>
      <c r="I1885" s="2" t="str">
        <f aca="false">IF($G1885="","",3キー同時!$G$97)</f>
        <v>l</v>
      </c>
      <c r="J1885" s="2" t="str">
        <f aca="false">IF($G1885="","","p")</f>
        <v>p</v>
      </c>
      <c r="K1885" s="2" t="str">
        <f aca="false">""</f>
        <v/>
      </c>
      <c r="L1885" s="2" t="str">
        <f aca="false">IF($G1885="","","同時")</f>
        <v>同時</v>
      </c>
      <c r="M1885" s="2" t="str">
        <f aca="false">IF($G1885="","",IF(ISNA(MATCH($G1885,個別指定!$A:$A,0)),"行なし",""))</f>
        <v/>
      </c>
      <c r="N1885" s="2" t="str">
        <f aca="false">IF($G1885="","",IF(COUNTIF($G$2:$G$4460,$G1885)&gt;1,"重複",""))</f>
        <v/>
      </c>
    </row>
    <row r="1886" customFormat="false" ht="16.5" hidden="false" customHeight="true" outlineLevel="0" collapsed="false">
      <c r="A1886" s="2" t="s">
        <v>416</v>
      </c>
      <c r="B1886" s="2" t="s">
        <v>424</v>
      </c>
      <c r="C1886" s="2" t="s">
        <v>22</v>
      </c>
      <c r="D1886" s="2" t="str">
        <f aca="false">IF(3キー同時!$B$97="","",3キー同時!$B$97)</f>
        <v>f</v>
      </c>
      <c r="E1886" s="2" t="str">
        <f aca="false">IF(3キー同時!$G$97="","",3キー同時!$G$97)</f>
        <v>l</v>
      </c>
      <c r="F1886" s="2" t="str">
        <f aca="false">""</f>
        <v/>
      </c>
      <c r="G1886" s="2" t="str">
        <f aca="false">IF(OR(3キー同時!$B$97="",3キー同時!$G$97=""),"",IF(3キー同時!AV101="","",SUBSTITUTE(SUBSTITUTE(3キー同時!AV101," ",""),"　","")))</f>
        <v/>
      </c>
      <c r="H1886" s="2" t="str">
        <f aca="false">IF($G1886="","",3キー同時!$B$97)</f>
        <v/>
      </c>
      <c r="I1886" s="2" t="str">
        <f aca="false">IF($G1886="","",3キー同時!$G$97)</f>
        <v/>
      </c>
      <c r="J1886" s="2" t="str">
        <f aca="false">IF($G1886="","","[")</f>
        <v/>
      </c>
      <c r="K1886" s="2" t="str">
        <f aca="false">""</f>
        <v/>
      </c>
      <c r="L1886" s="2" t="str">
        <f aca="false">IF($G1886="","","同時")</f>
        <v/>
      </c>
      <c r="M1886" s="2" t="str">
        <f aca="false">IF($G1886="","",IF(ISNA(MATCH($G1886,個別指定!$A:$A,0)),"行なし",""))</f>
        <v/>
      </c>
      <c r="N1886" s="2" t="str">
        <f aca="false">IF($G1886="","",IF(COUNTIF($G$2:$G$4460,$G1886)&gt;1,"重複",""))</f>
        <v/>
      </c>
    </row>
    <row r="1887" customFormat="false" ht="16.5" hidden="false" customHeight="true" outlineLevel="0" collapsed="false">
      <c r="A1887" s="2" t="s">
        <v>416</v>
      </c>
      <c r="B1887" s="2" t="s">
        <v>424</v>
      </c>
      <c r="C1887" s="2" t="s">
        <v>23</v>
      </c>
      <c r="D1887" s="2" t="str">
        <f aca="false">IF(3キー同時!$B$97="","",3キー同時!$B$97)</f>
        <v>f</v>
      </c>
      <c r="E1887" s="2" t="str">
        <f aca="false">IF(3キー同時!$G$97="","",3キー同時!$G$97)</f>
        <v>l</v>
      </c>
      <c r="F1887" s="2" t="str">
        <f aca="false">""</f>
        <v/>
      </c>
      <c r="G1887" s="2" t="str">
        <f aca="false">IF(OR(3キー同時!$B$97="",3キー同時!$G$97=""),"",IF(3キー同時!AZ101="","",SUBSTITUTE(SUBSTITUTE(3キー同時!AZ101," ",""),"　","")))</f>
        <v/>
      </c>
      <c r="H1887" s="2" t="str">
        <f aca="false">IF($G1887="","",3キー同時!$B$97)</f>
        <v/>
      </c>
      <c r="I1887" s="2" t="str">
        <f aca="false">IF($G1887="","",3キー同時!$G$97)</f>
        <v/>
      </c>
      <c r="J1887" s="2" t="str">
        <f aca="false">IF($G1887="","","]")</f>
        <v/>
      </c>
      <c r="K1887" s="2" t="str">
        <f aca="false">""</f>
        <v/>
      </c>
      <c r="L1887" s="2" t="str">
        <f aca="false">IF($G1887="","","同時")</f>
        <v/>
      </c>
      <c r="M1887" s="2" t="str">
        <f aca="false">IF($G1887="","",IF(ISNA(MATCH($G1887,個別指定!$A:$A,0)),"行なし",""))</f>
        <v/>
      </c>
      <c r="N1887" s="2" t="str">
        <f aca="false">IF($G1887="","",IF(COUNTIF($G$2:$G$4460,$G1887)&gt;1,"重複",""))</f>
        <v/>
      </c>
    </row>
    <row r="1888" customFormat="false" ht="16.5" hidden="false" customHeight="true" outlineLevel="0" collapsed="false">
      <c r="A1888" s="2" t="s">
        <v>416</v>
      </c>
      <c r="B1888" s="2" t="s">
        <v>424</v>
      </c>
      <c r="C1888" s="2" t="s">
        <v>24</v>
      </c>
      <c r="D1888" s="2" t="str">
        <f aca="false">IF(3キー同時!$B$97="","",3キー同時!$B$97)</f>
        <v>f</v>
      </c>
      <c r="E1888" s="2" t="str">
        <f aca="false">IF(3キー同時!$G$97="","",3キー同時!$G$97)</f>
        <v>l</v>
      </c>
      <c r="F1888" s="2" t="str">
        <f aca="false">""</f>
        <v/>
      </c>
      <c r="G1888" s="2" t="str">
        <f aca="false">IF(OR(3キー同時!$B$97="",3キー同時!$G$97=""),"",IF(3キー同時!I103="","",SUBSTITUTE(SUBSTITUTE(3キー同時!I103," ",""),"　","")))</f>
        <v/>
      </c>
      <c r="H1888" s="2" t="str">
        <f aca="false">IF($G1888="","",3キー同時!$B$97)</f>
        <v/>
      </c>
      <c r="I1888" s="2" t="str">
        <f aca="false">IF($G1888="","",3キー同時!$G$97)</f>
        <v/>
      </c>
      <c r="J1888" s="2" t="str">
        <f aca="false">IF($G1888="","","a")</f>
        <v/>
      </c>
      <c r="K1888" s="2" t="str">
        <f aca="false">""</f>
        <v/>
      </c>
      <c r="L1888" s="2" t="str">
        <f aca="false">IF($G1888="","","同時")</f>
        <v/>
      </c>
      <c r="M1888" s="2" t="str">
        <f aca="false">IF($G1888="","",IF(ISNA(MATCH($G1888,個別指定!$A:$A,0)),"行なし",""))</f>
        <v/>
      </c>
      <c r="N1888" s="2" t="str">
        <f aca="false">IF($G1888="","",IF(COUNTIF($G$2:$G$4460,$G1888)&gt;1,"重複",""))</f>
        <v/>
      </c>
    </row>
    <row r="1889" customFormat="false" ht="16.5" hidden="false" customHeight="true" outlineLevel="0" collapsed="false">
      <c r="A1889" s="2" t="s">
        <v>416</v>
      </c>
      <c r="B1889" s="2" t="s">
        <v>424</v>
      </c>
      <c r="C1889" s="2" t="s">
        <v>25</v>
      </c>
      <c r="D1889" s="2" t="str">
        <f aca="false">IF(3キー同時!$B$97="","",3キー同時!$B$97)</f>
        <v>f</v>
      </c>
      <c r="E1889" s="2" t="str">
        <f aca="false">IF(3キー同時!$G$97="","",3キー同時!$G$97)</f>
        <v>l</v>
      </c>
      <c r="F1889" s="2" t="str">
        <f aca="false">""</f>
        <v/>
      </c>
      <c r="G1889" s="2" t="str">
        <f aca="false">IF(OR(3キー同時!$B$97="",3キー同時!$G$97=""),"",IF(3キー同時!M103="","",SUBSTITUTE(SUBSTITUTE(3キー同時!M103," ",""),"　","")))</f>
        <v/>
      </c>
      <c r="H1889" s="2" t="str">
        <f aca="false">IF($G1889="","",3キー同時!$B$97)</f>
        <v/>
      </c>
      <c r="I1889" s="2" t="str">
        <f aca="false">IF($G1889="","",3キー同時!$G$97)</f>
        <v/>
      </c>
      <c r="J1889" s="2" t="str">
        <f aca="false">IF($G1889="","","s")</f>
        <v/>
      </c>
      <c r="K1889" s="2" t="str">
        <f aca="false">""</f>
        <v/>
      </c>
      <c r="L1889" s="2" t="str">
        <f aca="false">IF($G1889="","","同時")</f>
        <v/>
      </c>
      <c r="M1889" s="2" t="str">
        <f aca="false">IF($G1889="","",IF(ISNA(MATCH($G1889,個別指定!$A:$A,0)),"行なし",""))</f>
        <v/>
      </c>
      <c r="N1889" s="2" t="str">
        <f aca="false">IF($G1889="","",IF(COUNTIF($G$2:$G$4460,$G1889)&gt;1,"重複",""))</f>
        <v/>
      </c>
    </row>
    <row r="1890" customFormat="false" ht="16.5" hidden="false" customHeight="true" outlineLevel="0" collapsed="false">
      <c r="A1890" s="2" t="s">
        <v>416</v>
      </c>
      <c r="B1890" s="2" t="s">
        <v>424</v>
      </c>
      <c r="C1890" s="2" t="s">
        <v>26</v>
      </c>
      <c r="D1890" s="2" t="str">
        <f aca="false">IF(3キー同時!$B$97="","",3キー同時!$B$97)</f>
        <v>f</v>
      </c>
      <c r="E1890" s="2" t="str">
        <f aca="false">IF(3キー同時!$G$97="","",3キー同時!$G$97)</f>
        <v>l</v>
      </c>
      <c r="F1890" s="2" t="str">
        <f aca="false">""</f>
        <v/>
      </c>
      <c r="G1890" s="2" t="str">
        <f aca="false">IF(OR(3キー同時!$B$97="",3キー同時!$G$97=""),"",IF(3キー同時!Q103="","",SUBSTITUTE(SUBSTITUTE(3キー同時!Q103," ",""),"　","")))</f>
        <v/>
      </c>
      <c r="H1890" s="2" t="str">
        <f aca="false">IF($G1890="","",3キー同時!$B$97)</f>
        <v/>
      </c>
      <c r="I1890" s="2" t="str">
        <f aca="false">IF($G1890="","",3キー同時!$G$97)</f>
        <v/>
      </c>
      <c r="J1890" s="2" t="str">
        <f aca="false">IF($G1890="","","d")</f>
        <v/>
      </c>
      <c r="K1890" s="2" t="str">
        <f aca="false">""</f>
        <v/>
      </c>
      <c r="L1890" s="2" t="str">
        <f aca="false">IF($G1890="","","同時")</f>
        <v/>
      </c>
      <c r="M1890" s="2" t="str">
        <f aca="false">IF($G1890="","",IF(ISNA(MATCH($G1890,個別指定!$A:$A,0)),"行なし",""))</f>
        <v/>
      </c>
      <c r="N1890" s="2" t="str">
        <f aca="false">IF($G1890="","",IF(COUNTIF($G$2:$G$4460,$G1890)&gt;1,"重複",""))</f>
        <v/>
      </c>
    </row>
    <row r="1891" customFormat="false" ht="16.5" hidden="false" customHeight="true" outlineLevel="0" collapsed="false">
      <c r="A1891" s="2" t="s">
        <v>416</v>
      </c>
      <c r="B1891" s="2" t="s">
        <v>424</v>
      </c>
      <c r="C1891" s="2" t="s">
        <v>27</v>
      </c>
      <c r="D1891" s="2" t="str">
        <f aca="false">IF(3キー同時!$B$97="","",3キー同時!$B$97)</f>
        <v>f</v>
      </c>
      <c r="E1891" s="2" t="str">
        <f aca="false">IF(3キー同時!$G$97="","",3キー同時!$G$97)</f>
        <v>l</v>
      </c>
      <c r="F1891" s="2" t="str">
        <f aca="false">""</f>
        <v/>
      </c>
      <c r="G1891" s="2" t="str">
        <f aca="false">IF(OR(3キー同時!$B$97="",3キー同時!$G$97=""),"",IF(3キー同時!U103="","",SUBSTITUTE(SUBSTITUTE(3キー同時!U103," ",""),"　","")))</f>
        <v/>
      </c>
      <c r="H1891" s="2" t="str">
        <f aca="false">IF($G1891="","",3キー同時!$B$97)</f>
        <v/>
      </c>
      <c r="I1891" s="2" t="str">
        <f aca="false">IF($G1891="","",3キー同時!$G$97)</f>
        <v/>
      </c>
      <c r="J1891" s="2" t="str">
        <f aca="false">IF($G1891="","","f")</f>
        <v/>
      </c>
      <c r="K1891" s="2" t="str">
        <f aca="false">""</f>
        <v/>
      </c>
      <c r="L1891" s="2" t="str">
        <f aca="false">IF($G1891="","","同時")</f>
        <v/>
      </c>
      <c r="M1891" s="2" t="str">
        <f aca="false">IF($G1891="","",IF(ISNA(MATCH($G1891,個別指定!$A:$A,0)),"行なし",""))</f>
        <v/>
      </c>
      <c r="N1891" s="2" t="str">
        <f aca="false">IF($G1891="","",IF(COUNTIF($G$2:$G$4460,$G1891)&gt;1,"重複",""))</f>
        <v/>
      </c>
    </row>
    <row r="1892" customFormat="false" ht="16.5" hidden="false" customHeight="true" outlineLevel="0" collapsed="false">
      <c r="A1892" s="2" t="s">
        <v>416</v>
      </c>
      <c r="B1892" s="2" t="s">
        <v>424</v>
      </c>
      <c r="C1892" s="2" t="s">
        <v>28</v>
      </c>
      <c r="D1892" s="2" t="str">
        <f aca="false">IF(3キー同時!$B$97="","",3キー同時!$B$97)</f>
        <v>f</v>
      </c>
      <c r="E1892" s="2" t="str">
        <f aca="false">IF(3キー同時!$G$97="","",3キー同時!$G$97)</f>
        <v>l</v>
      </c>
      <c r="F1892" s="2" t="str">
        <f aca="false">""</f>
        <v/>
      </c>
      <c r="G1892" s="2" t="str">
        <f aca="false">IF(OR(3キー同時!$B$97="",3キー同時!$G$97=""),"",IF(3キー同時!Y103="","",SUBSTITUTE(SUBSTITUTE(3キー同時!Y103," ",""),"　","")))</f>
        <v/>
      </c>
      <c r="H1892" s="2" t="str">
        <f aca="false">IF($G1892="","",3キー同時!$B$97)</f>
        <v/>
      </c>
      <c r="I1892" s="2" t="str">
        <f aca="false">IF($G1892="","",3キー同時!$G$97)</f>
        <v/>
      </c>
      <c r="J1892" s="2" t="str">
        <f aca="false">IF($G1892="","","g")</f>
        <v/>
      </c>
      <c r="K1892" s="2" t="str">
        <f aca="false">""</f>
        <v/>
      </c>
      <c r="L1892" s="2" t="str">
        <f aca="false">IF($G1892="","","同時")</f>
        <v/>
      </c>
      <c r="M1892" s="2" t="str">
        <f aca="false">IF($G1892="","",IF(ISNA(MATCH($G1892,個別指定!$A:$A,0)),"行なし",""))</f>
        <v/>
      </c>
      <c r="N1892" s="2" t="str">
        <f aca="false">IF($G1892="","",IF(COUNTIF($G$2:$G$4460,$G1892)&gt;1,"重複",""))</f>
        <v/>
      </c>
    </row>
    <row r="1893" customFormat="false" ht="16.5" hidden="false" customHeight="true" outlineLevel="0" collapsed="false">
      <c r="A1893" s="2" t="s">
        <v>416</v>
      </c>
      <c r="B1893" s="2" t="s">
        <v>424</v>
      </c>
      <c r="C1893" s="2" t="s">
        <v>29</v>
      </c>
      <c r="D1893" s="2" t="str">
        <f aca="false">IF(3キー同時!$B$97="","",3キー同時!$B$97)</f>
        <v>f</v>
      </c>
      <c r="E1893" s="2" t="str">
        <f aca="false">IF(3キー同時!$G$97="","",3キー同時!$G$97)</f>
        <v>l</v>
      </c>
      <c r="F1893" s="2" t="str">
        <f aca="false">""</f>
        <v/>
      </c>
      <c r="G1893" s="2" t="str">
        <f aca="false">IF(OR(3キー同時!$B$97="",3キー同時!$G$97=""),"",IF(3キー同時!AC103="","",SUBSTITUTE(SUBSTITUTE(3キー同時!AC103," ",""),"　","")))</f>
        <v/>
      </c>
      <c r="H1893" s="2" t="str">
        <f aca="false">IF($G1893="","",3キー同時!$B$97)</f>
        <v/>
      </c>
      <c r="I1893" s="2" t="str">
        <f aca="false">IF($G1893="","",3キー同時!$G$97)</f>
        <v/>
      </c>
      <c r="J1893" s="2" t="str">
        <f aca="false">IF($G1893="","","h")</f>
        <v/>
      </c>
      <c r="K1893" s="2" t="str">
        <f aca="false">""</f>
        <v/>
      </c>
      <c r="L1893" s="2" t="str">
        <f aca="false">IF($G1893="","","同時")</f>
        <v/>
      </c>
      <c r="M1893" s="2" t="str">
        <f aca="false">IF($G1893="","",IF(ISNA(MATCH($G1893,個別指定!$A:$A,0)),"行なし",""))</f>
        <v/>
      </c>
      <c r="N1893" s="2" t="str">
        <f aca="false">IF($G1893="","",IF(COUNTIF($G$2:$G$4460,$G1893)&gt;1,"重複",""))</f>
        <v/>
      </c>
    </row>
    <row r="1894" customFormat="false" ht="16.5" hidden="false" customHeight="true" outlineLevel="0" collapsed="false">
      <c r="A1894" s="2" t="s">
        <v>416</v>
      </c>
      <c r="B1894" s="2" t="s">
        <v>424</v>
      </c>
      <c r="C1894" s="2" t="s">
        <v>30</v>
      </c>
      <c r="D1894" s="2" t="str">
        <f aca="false">IF(3キー同時!$B$97="","",3キー同時!$B$97)</f>
        <v>f</v>
      </c>
      <c r="E1894" s="2" t="str">
        <f aca="false">IF(3キー同時!$G$97="","",3キー同時!$G$97)</f>
        <v>l</v>
      </c>
      <c r="F1894" s="2" t="str">
        <f aca="false">""</f>
        <v/>
      </c>
      <c r="G1894" s="2" t="str">
        <f aca="false">IF(OR(3キー同時!$B$97="",3キー同時!$G$97=""),"",IF(3キー同時!AG103="","",SUBSTITUTE(SUBSTITUTE(3キー同時!AG103," ",""),"　","")))</f>
        <v>ゔぁ</v>
      </c>
      <c r="H1894" s="2" t="str">
        <f aca="false">IF($G1894="","",3キー同時!$B$97)</f>
        <v>f</v>
      </c>
      <c r="I1894" s="2" t="str">
        <f aca="false">IF($G1894="","",3キー同時!$G$97)</f>
        <v>l</v>
      </c>
      <c r="J1894" s="2" t="str">
        <f aca="false">IF($G1894="","","j")</f>
        <v>j</v>
      </c>
      <c r="K1894" s="2" t="str">
        <f aca="false">""</f>
        <v/>
      </c>
      <c r="L1894" s="2" t="str">
        <f aca="false">IF($G1894="","","同時")</f>
        <v>同時</v>
      </c>
      <c r="M1894" s="2" t="str">
        <f aca="false">IF($G1894="","",IF(ISNA(MATCH($G1894,個別指定!$A:$A,0)),"行なし",""))</f>
        <v/>
      </c>
      <c r="N1894" s="2" t="str">
        <f aca="false">IF($G1894="","",IF(COUNTIF($G$2:$G$4460,$G1894)&gt;1,"重複",""))</f>
        <v/>
      </c>
    </row>
    <row r="1895" customFormat="false" ht="16.5" hidden="false" customHeight="true" outlineLevel="0" collapsed="false">
      <c r="A1895" s="2" t="s">
        <v>416</v>
      </c>
      <c r="B1895" s="2" t="s">
        <v>424</v>
      </c>
      <c r="C1895" s="2" t="s">
        <v>31</v>
      </c>
      <c r="D1895" s="2" t="str">
        <f aca="false">IF(3キー同時!$B$97="","",3キー同時!$B$97)</f>
        <v>f</v>
      </c>
      <c r="E1895" s="2" t="str">
        <f aca="false">IF(3キー同時!$G$97="","",3キー同時!$G$97)</f>
        <v>l</v>
      </c>
      <c r="F1895" s="2" t="str">
        <f aca="false">""</f>
        <v/>
      </c>
      <c r="G1895" s="2" t="str">
        <f aca="false">IF(OR(3キー同時!$B$97="",3キー同時!$G$97=""),"",IF(3キー同時!AK103="","",SUBSTITUTE(SUBSTITUTE(3キー同時!AK103," ",""),"　","")))</f>
        <v>ゔぃ</v>
      </c>
      <c r="H1895" s="2" t="str">
        <f aca="false">IF($G1895="","",3キー同時!$B$97)</f>
        <v>f</v>
      </c>
      <c r="I1895" s="2" t="str">
        <f aca="false">IF($G1895="","",3キー同時!$G$97)</f>
        <v>l</v>
      </c>
      <c r="J1895" s="2" t="str">
        <f aca="false">IF($G1895="","","k")</f>
        <v>k</v>
      </c>
      <c r="K1895" s="2" t="str">
        <f aca="false">""</f>
        <v/>
      </c>
      <c r="L1895" s="2" t="str">
        <f aca="false">IF($G1895="","","同時")</f>
        <v>同時</v>
      </c>
      <c r="M1895" s="2" t="str">
        <f aca="false">IF($G1895="","",IF(ISNA(MATCH($G1895,個別指定!$A:$A,0)),"行なし",""))</f>
        <v/>
      </c>
      <c r="N1895" s="2" t="str">
        <f aca="false">IF($G1895="","",IF(COUNTIF($G$2:$G$4460,$G1895)&gt;1,"重複",""))</f>
        <v/>
      </c>
    </row>
    <row r="1896" customFormat="false" ht="16.5" hidden="false" customHeight="true" outlineLevel="0" collapsed="false">
      <c r="A1896" s="2" t="s">
        <v>416</v>
      </c>
      <c r="B1896" s="2" t="s">
        <v>424</v>
      </c>
      <c r="C1896" s="2" t="s">
        <v>32</v>
      </c>
      <c r="D1896" s="2" t="str">
        <f aca="false">IF(3キー同時!$B$97="","",3キー同時!$B$97)</f>
        <v>f</v>
      </c>
      <c r="E1896" s="2" t="str">
        <f aca="false">IF(3キー同時!$G$97="","",3キー同時!$G$97)</f>
        <v>l</v>
      </c>
      <c r="F1896" s="2" t="str">
        <f aca="false">""</f>
        <v/>
      </c>
      <c r="G1896" s="2" t="str">
        <f aca="false">IF(OR(3キー同時!$B$97="",3キー同時!$G$97=""),"",IF(3キー同時!AO103="","",SUBSTITUTE(SUBSTITUTE(3キー同時!AO103," ",""),"　","")))</f>
        <v/>
      </c>
      <c r="H1896" s="2" t="str">
        <f aca="false">IF($G1896="","",3キー同時!$B$97)</f>
        <v/>
      </c>
      <c r="I1896" s="2" t="str">
        <f aca="false">IF($G1896="","",3キー同時!$G$97)</f>
        <v/>
      </c>
      <c r="J1896" s="2" t="str">
        <f aca="false">IF($G1896="","","l")</f>
        <v/>
      </c>
      <c r="K1896" s="2" t="str">
        <f aca="false">""</f>
        <v/>
      </c>
      <c r="L1896" s="2" t="str">
        <f aca="false">IF($G1896="","","同時")</f>
        <v/>
      </c>
      <c r="M1896" s="2" t="str">
        <f aca="false">IF($G1896="","",IF(ISNA(MATCH($G1896,個別指定!$A:$A,0)),"行なし",""))</f>
        <v/>
      </c>
      <c r="N1896" s="2" t="str">
        <f aca="false">IF($G1896="","",IF(COUNTIF($G$2:$G$4460,$G1896)&gt;1,"重複",""))</f>
        <v/>
      </c>
    </row>
    <row r="1897" customFormat="false" ht="16.5" hidden="false" customHeight="true" outlineLevel="0" collapsed="false">
      <c r="A1897" s="2" t="s">
        <v>416</v>
      </c>
      <c r="B1897" s="2" t="s">
        <v>424</v>
      </c>
      <c r="C1897" s="2" t="s">
        <v>33</v>
      </c>
      <c r="D1897" s="2" t="str">
        <f aca="false">IF(3キー同時!$B$97="","",3キー同時!$B$97)</f>
        <v>f</v>
      </c>
      <c r="E1897" s="2" t="str">
        <f aca="false">IF(3キー同時!$G$97="","",3キー同時!$G$97)</f>
        <v>l</v>
      </c>
      <c r="F1897" s="2" t="str">
        <f aca="false">""</f>
        <v/>
      </c>
      <c r="G1897" s="2" t="str">
        <f aca="false">IF(OR(3キー同時!$B$97="",3キー同時!$G$97=""),"",IF(3キー同時!AS103="","",SUBSTITUTE(SUBSTITUTE(3キー同時!AS103," ",""),"　","")))</f>
        <v/>
      </c>
      <c r="H1897" s="2" t="str">
        <f aca="false">IF($G1897="","",3キー同時!$B$97)</f>
        <v/>
      </c>
      <c r="I1897" s="2" t="str">
        <f aca="false">IF($G1897="","",3キー同時!$G$97)</f>
        <v/>
      </c>
      <c r="J1897" s="2" t="str">
        <f aca="false">IF($G1897="","",";")</f>
        <v/>
      </c>
      <c r="K1897" s="2" t="str">
        <f aca="false">""</f>
        <v/>
      </c>
      <c r="L1897" s="2" t="str">
        <f aca="false">IF($G1897="","","同時")</f>
        <v/>
      </c>
      <c r="M1897" s="2" t="str">
        <f aca="false">IF($G1897="","",IF(ISNA(MATCH($G1897,個別指定!$A:$A,0)),"行なし",""))</f>
        <v/>
      </c>
      <c r="N1897" s="2" t="str">
        <f aca="false">IF($G1897="","",IF(COUNTIF($G$2:$G$4460,$G1897)&gt;1,"重複",""))</f>
        <v/>
      </c>
    </row>
    <row r="1898" customFormat="false" ht="16.5" hidden="false" customHeight="true" outlineLevel="0" collapsed="false">
      <c r="A1898" s="2" t="s">
        <v>416</v>
      </c>
      <c r="B1898" s="2" t="s">
        <v>424</v>
      </c>
      <c r="C1898" s="2" t="s">
        <v>34</v>
      </c>
      <c r="D1898" s="2" t="str">
        <f aca="false">IF(3キー同時!$B$97="","",3キー同時!$B$97)</f>
        <v>f</v>
      </c>
      <c r="E1898" s="2" t="str">
        <f aca="false">IF(3キー同時!$G$97="","",3キー同時!$G$97)</f>
        <v>l</v>
      </c>
      <c r="F1898" s="2" t="str">
        <f aca="false">""</f>
        <v/>
      </c>
      <c r="G1898" s="2" t="str">
        <f aca="false">IF(OR(3キー同時!$B$97="",3キー同時!$G$97=""),"",IF(3キー同時!AW103="","",SUBSTITUTE(SUBSTITUTE(3キー同時!AW103," ",""),"　","")))</f>
        <v/>
      </c>
      <c r="H1898" s="2" t="str">
        <f aca="false">IF($G1898="","",3キー同時!$B$97)</f>
        <v/>
      </c>
      <c r="I1898" s="2" t="str">
        <f aca="false">IF($G1898="","",3キー同時!$G$97)</f>
        <v/>
      </c>
      <c r="J1898" s="2" t="str">
        <f aca="false">IF($G1898="","","'")</f>
        <v/>
      </c>
      <c r="K1898" s="2" t="str">
        <f aca="false">""</f>
        <v/>
      </c>
      <c r="L1898" s="2" t="str">
        <f aca="false">IF($G1898="","","同時")</f>
        <v/>
      </c>
      <c r="M1898" s="2" t="str">
        <f aca="false">IF($G1898="","",IF(ISNA(MATCH($G1898,個別指定!$A:$A,0)),"行なし",""))</f>
        <v/>
      </c>
      <c r="N1898" s="2" t="str">
        <f aca="false">IF($G1898="","",IF(COUNTIF($G$2:$G$4460,$G1898)&gt;1,"重複",""))</f>
        <v/>
      </c>
    </row>
    <row r="1899" customFormat="false" ht="16.5" hidden="false" customHeight="true" outlineLevel="0" collapsed="false">
      <c r="A1899" s="2" t="s">
        <v>416</v>
      </c>
      <c r="B1899" s="2" t="s">
        <v>424</v>
      </c>
      <c r="C1899" s="2" t="s">
        <v>35</v>
      </c>
      <c r="D1899" s="2" t="str">
        <f aca="false">IF(3キー同時!$B$97="","",3キー同時!$B$97)</f>
        <v>f</v>
      </c>
      <c r="E1899" s="2" t="str">
        <f aca="false">IF(3キー同時!$G$97="","",3キー同時!$G$97)</f>
        <v>l</v>
      </c>
      <c r="F1899" s="2" t="str">
        <f aca="false">""</f>
        <v/>
      </c>
      <c r="G1899" s="2" t="str">
        <f aca="false">IF(OR(3キー同時!$B$97="",3キー同時!$G$97=""),"",IF(3キー同時!K105="","",SUBSTITUTE(SUBSTITUTE(3キー同時!K105," ",""),"　","")))</f>
        <v/>
      </c>
      <c r="H1899" s="2" t="str">
        <f aca="false">IF($G1899="","",3キー同時!$B$97)</f>
        <v/>
      </c>
      <c r="I1899" s="2" t="str">
        <f aca="false">IF($G1899="","",3キー同時!$G$97)</f>
        <v/>
      </c>
      <c r="J1899" s="2" t="str">
        <f aca="false">IF($G1899="","","z")</f>
        <v/>
      </c>
      <c r="K1899" s="2" t="str">
        <f aca="false">""</f>
        <v/>
      </c>
      <c r="L1899" s="2" t="str">
        <f aca="false">IF($G1899="","","同時")</f>
        <v/>
      </c>
      <c r="M1899" s="2" t="str">
        <f aca="false">IF($G1899="","",IF(ISNA(MATCH($G1899,個別指定!$A:$A,0)),"行なし",""))</f>
        <v/>
      </c>
      <c r="N1899" s="2" t="str">
        <f aca="false">IF($G1899="","",IF(COUNTIF($G$2:$G$4460,$G1899)&gt;1,"重複",""))</f>
        <v/>
      </c>
    </row>
    <row r="1900" customFormat="false" ht="16.5" hidden="false" customHeight="true" outlineLevel="0" collapsed="false">
      <c r="A1900" s="2" t="s">
        <v>416</v>
      </c>
      <c r="B1900" s="2" t="s">
        <v>424</v>
      </c>
      <c r="C1900" s="2" t="s">
        <v>36</v>
      </c>
      <c r="D1900" s="2" t="str">
        <f aca="false">IF(3キー同時!$B$97="","",3キー同時!$B$97)</f>
        <v>f</v>
      </c>
      <c r="E1900" s="2" t="str">
        <f aca="false">IF(3キー同時!$G$97="","",3キー同時!$G$97)</f>
        <v>l</v>
      </c>
      <c r="F1900" s="2" t="str">
        <f aca="false">""</f>
        <v/>
      </c>
      <c r="G1900" s="2" t="str">
        <f aca="false">IF(OR(3キー同時!$B$97="",3キー同時!$G$97=""),"",IF(3キー同時!O105="","",SUBSTITUTE(SUBSTITUTE(3キー同時!O105," ",""),"　","")))</f>
        <v/>
      </c>
      <c r="H1900" s="2" t="str">
        <f aca="false">IF($G1900="","",3キー同時!$B$97)</f>
        <v/>
      </c>
      <c r="I1900" s="2" t="str">
        <f aca="false">IF($G1900="","",3キー同時!$G$97)</f>
        <v/>
      </c>
      <c r="J1900" s="2" t="str">
        <f aca="false">IF($G1900="","","x")</f>
        <v/>
      </c>
      <c r="K1900" s="2" t="str">
        <f aca="false">""</f>
        <v/>
      </c>
      <c r="L1900" s="2" t="str">
        <f aca="false">IF($G1900="","","同時")</f>
        <v/>
      </c>
      <c r="M1900" s="2" t="str">
        <f aca="false">IF($G1900="","",IF(ISNA(MATCH($G1900,個別指定!$A:$A,0)),"行なし",""))</f>
        <v/>
      </c>
      <c r="N1900" s="2" t="str">
        <f aca="false">IF($G1900="","",IF(COUNTIF($G$2:$G$4460,$G1900)&gt;1,"重複",""))</f>
        <v/>
      </c>
    </row>
    <row r="1901" customFormat="false" ht="16.5" hidden="false" customHeight="true" outlineLevel="0" collapsed="false">
      <c r="A1901" s="2" t="s">
        <v>416</v>
      </c>
      <c r="B1901" s="2" t="s">
        <v>424</v>
      </c>
      <c r="C1901" s="2" t="s">
        <v>37</v>
      </c>
      <c r="D1901" s="2" t="str">
        <f aca="false">IF(3キー同時!$B$97="","",3キー同時!$B$97)</f>
        <v>f</v>
      </c>
      <c r="E1901" s="2" t="str">
        <f aca="false">IF(3キー同時!$G$97="","",3キー同時!$G$97)</f>
        <v>l</v>
      </c>
      <c r="F1901" s="2" t="str">
        <f aca="false">""</f>
        <v/>
      </c>
      <c r="G1901" s="2" t="str">
        <f aca="false">IF(OR(3キー同時!$B$97="",3キー同時!$G$97=""),"",IF(3キー同時!S105="","",SUBSTITUTE(SUBSTITUTE(3キー同時!S105," ",""),"　","")))</f>
        <v/>
      </c>
      <c r="H1901" s="2" t="str">
        <f aca="false">IF($G1901="","",3キー同時!$B$97)</f>
        <v/>
      </c>
      <c r="I1901" s="2" t="str">
        <f aca="false">IF($G1901="","",3キー同時!$G$97)</f>
        <v/>
      </c>
      <c r="J1901" s="2" t="str">
        <f aca="false">IF($G1901="","","c")</f>
        <v/>
      </c>
      <c r="K1901" s="2" t="str">
        <f aca="false">""</f>
        <v/>
      </c>
      <c r="L1901" s="2" t="str">
        <f aca="false">IF($G1901="","","同時")</f>
        <v/>
      </c>
      <c r="M1901" s="2" t="str">
        <f aca="false">IF($G1901="","",IF(ISNA(MATCH($G1901,個別指定!$A:$A,0)),"行なし",""))</f>
        <v/>
      </c>
      <c r="N1901" s="2" t="str">
        <f aca="false">IF($G1901="","",IF(COUNTIF($G$2:$G$4460,$G1901)&gt;1,"重複",""))</f>
        <v/>
      </c>
    </row>
    <row r="1902" customFormat="false" ht="16.5" hidden="false" customHeight="true" outlineLevel="0" collapsed="false">
      <c r="A1902" s="2" t="s">
        <v>416</v>
      </c>
      <c r="B1902" s="2" t="s">
        <v>424</v>
      </c>
      <c r="C1902" s="2" t="s">
        <v>38</v>
      </c>
      <c r="D1902" s="2" t="str">
        <f aca="false">IF(3キー同時!$B$97="","",3キー同時!$B$97)</f>
        <v>f</v>
      </c>
      <c r="E1902" s="2" t="str">
        <f aca="false">IF(3キー同時!$G$97="","",3キー同時!$G$97)</f>
        <v>l</v>
      </c>
      <c r="F1902" s="2" t="str">
        <f aca="false">""</f>
        <v/>
      </c>
      <c r="G1902" s="2" t="str">
        <f aca="false">IF(OR(3キー同時!$B$97="",3キー同時!$G$97=""),"",IF(3キー同時!W105="","",SUBSTITUTE(SUBSTITUTE(3キー同時!W105," ",""),"　","")))</f>
        <v/>
      </c>
      <c r="H1902" s="2" t="str">
        <f aca="false">IF($G1902="","",3キー同時!$B$97)</f>
        <v/>
      </c>
      <c r="I1902" s="2" t="str">
        <f aca="false">IF($G1902="","",3キー同時!$G$97)</f>
        <v/>
      </c>
      <c r="J1902" s="2" t="str">
        <f aca="false">IF($G1902="","","v")</f>
        <v/>
      </c>
      <c r="K1902" s="2" t="str">
        <f aca="false">""</f>
        <v/>
      </c>
      <c r="L1902" s="2" t="str">
        <f aca="false">IF($G1902="","","同時")</f>
        <v/>
      </c>
      <c r="M1902" s="2" t="str">
        <f aca="false">IF($G1902="","",IF(ISNA(MATCH($G1902,個別指定!$A:$A,0)),"行なし",""))</f>
        <v/>
      </c>
      <c r="N1902" s="2" t="str">
        <f aca="false">IF($G1902="","",IF(COUNTIF($G$2:$G$4460,$G1902)&gt;1,"重複",""))</f>
        <v/>
      </c>
    </row>
    <row r="1903" customFormat="false" ht="16.5" hidden="false" customHeight="true" outlineLevel="0" collapsed="false">
      <c r="A1903" s="2" t="s">
        <v>416</v>
      </c>
      <c r="B1903" s="2" t="s">
        <v>424</v>
      </c>
      <c r="C1903" s="2" t="s">
        <v>39</v>
      </c>
      <c r="D1903" s="2" t="str">
        <f aca="false">IF(3キー同時!$B$97="","",3キー同時!$B$97)</f>
        <v>f</v>
      </c>
      <c r="E1903" s="2" t="str">
        <f aca="false">IF(3キー同時!$G$97="","",3キー同時!$G$97)</f>
        <v>l</v>
      </c>
      <c r="F1903" s="2" t="str">
        <f aca="false">""</f>
        <v/>
      </c>
      <c r="G1903" s="2" t="str">
        <f aca="false">IF(OR(3キー同時!$B$97="",3キー同時!$G$97=""),"",IF(3キー同時!AA105="","",SUBSTITUTE(SUBSTITUTE(3キー同時!AA105," ",""),"　","")))</f>
        <v/>
      </c>
      <c r="H1903" s="2" t="str">
        <f aca="false">IF($G1903="","",3キー同時!$B$97)</f>
        <v/>
      </c>
      <c r="I1903" s="2" t="str">
        <f aca="false">IF($G1903="","",3キー同時!$G$97)</f>
        <v/>
      </c>
      <c r="J1903" s="2" t="str">
        <f aca="false">IF($G1903="","","b")</f>
        <v/>
      </c>
      <c r="K1903" s="2" t="str">
        <f aca="false">""</f>
        <v/>
      </c>
      <c r="L1903" s="2" t="str">
        <f aca="false">IF($G1903="","","同時")</f>
        <v/>
      </c>
      <c r="M1903" s="2" t="str">
        <f aca="false">IF($G1903="","",IF(ISNA(MATCH($G1903,個別指定!$A:$A,0)),"行なし",""))</f>
        <v/>
      </c>
      <c r="N1903" s="2" t="str">
        <f aca="false">IF($G1903="","",IF(COUNTIF($G$2:$G$4460,$G1903)&gt;1,"重複",""))</f>
        <v/>
      </c>
    </row>
    <row r="1904" customFormat="false" ht="16.5" hidden="false" customHeight="true" outlineLevel="0" collapsed="false">
      <c r="A1904" s="2" t="s">
        <v>416</v>
      </c>
      <c r="B1904" s="2" t="s">
        <v>424</v>
      </c>
      <c r="C1904" s="2" t="s">
        <v>40</v>
      </c>
      <c r="D1904" s="2" t="str">
        <f aca="false">IF(3キー同時!$B$97="","",3キー同時!$B$97)</f>
        <v>f</v>
      </c>
      <c r="E1904" s="2" t="str">
        <f aca="false">IF(3キー同時!$G$97="","",3キー同時!$G$97)</f>
        <v>l</v>
      </c>
      <c r="F1904" s="2" t="str">
        <f aca="false">""</f>
        <v/>
      </c>
      <c r="G1904" s="2" t="str">
        <f aca="false">IF(OR(3キー同時!$B$97="",3キー同時!$G$97=""),"",IF(3キー同時!AE105="","",SUBSTITUTE(SUBSTITUTE(3キー同時!AE105," ",""),"　","")))</f>
        <v>ゔぉ</v>
      </c>
      <c r="H1904" s="2" t="str">
        <f aca="false">IF($G1904="","",3キー同時!$B$97)</f>
        <v>f</v>
      </c>
      <c r="I1904" s="2" t="str">
        <f aca="false">IF($G1904="","",3キー同時!$G$97)</f>
        <v>l</v>
      </c>
      <c r="J1904" s="2" t="str">
        <f aca="false">IF($G1904="","","n")</f>
        <v>n</v>
      </c>
      <c r="K1904" s="2" t="str">
        <f aca="false">""</f>
        <v/>
      </c>
      <c r="L1904" s="2" t="str">
        <f aca="false">IF($G1904="","","同時")</f>
        <v>同時</v>
      </c>
      <c r="M1904" s="2" t="str">
        <f aca="false">IF($G1904="","",IF(ISNA(MATCH($G1904,個別指定!$A:$A,0)),"行なし",""))</f>
        <v/>
      </c>
      <c r="N1904" s="2" t="str">
        <f aca="false">IF($G1904="","",IF(COUNTIF($G$2:$G$4460,$G1904)&gt;1,"重複",""))</f>
        <v/>
      </c>
    </row>
    <row r="1905" customFormat="false" ht="16.5" hidden="false" customHeight="true" outlineLevel="0" collapsed="false">
      <c r="A1905" s="2" t="s">
        <v>416</v>
      </c>
      <c r="B1905" s="2" t="s">
        <v>424</v>
      </c>
      <c r="C1905" s="2" t="s">
        <v>41</v>
      </c>
      <c r="D1905" s="2" t="str">
        <f aca="false">IF(3キー同時!$B$97="","",3キー同時!$B$97)</f>
        <v>f</v>
      </c>
      <c r="E1905" s="2" t="str">
        <f aca="false">IF(3キー同時!$G$97="","",3キー同時!$G$97)</f>
        <v>l</v>
      </c>
      <c r="F1905" s="2" t="str">
        <f aca="false">""</f>
        <v/>
      </c>
      <c r="G1905" s="2" t="str">
        <f aca="false">IF(OR(3キー同時!$B$97="",3キー同時!$G$97=""),"",IF(3キー同時!AI105="","",SUBSTITUTE(SUBSTITUTE(3キー同時!AI105," ",""),"　","")))</f>
        <v/>
      </c>
      <c r="H1905" s="2" t="str">
        <f aca="false">IF($G1905="","",3キー同時!$B$97)</f>
        <v/>
      </c>
      <c r="I1905" s="2" t="str">
        <f aca="false">IF($G1905="","",3キー同時!$G$97)</f>
        <v/>
      </c>
      <c r="J1905" s="2" t="str">
        <f aca="false">IF($G1905="","","m")</f>
        <v/>
      </c>
      <c r="K1905" s="2" t="str">
        <f aca="false">""</f>
        <v/>
      </c>
      <c r="L1905" s="2" t="str">
        <f aca="false">IF($G1905="","","同時")</f>
        <v/>
      </c>
      <c r="M1905" s="2" t="str">
        <f aca="false">IF($G1905="","",IF(ISNA(MATCH($G1905,個別指定!$A:$A,0)),"行なし",""))</f>
        <v/>
      </c>
      <c r="N1905" s="2" t="str">
        <f aca="false">IF($G1905="","",IF(COUNTIF($G$2:$G$4460,$G1905)&gt;1,"重複",""))</f>
        <v/>
      </c>
    </row>
    <row r="1906" customFormat="false" ht="16.5" hidden="false" customHeight="true" outlineLevel="0" collapsed="false">
      <c r="A1906" s="2" t="s">
        <v>416</v>
      </c>
      <c r="B1906" s="2" t="s">
        <v>424</v>
      </c>
      <c r="C1906" s="2" t="s">
        <v>42</v>
      </c>
      <c r="D1906" s="2" t="str">
        <f aca="false">IF(3キー同時!$B$97="","",3キー同時!$B$97)</f>
        <v>f</v>
      </c>
      <c r="E1906" s="2" t="str">
        <f aca="false">IF(3キー同時!$G$97="","",3キー同時!$G$97)</f>
        <v>l</v>
      </c>
      <c r="F1906" s="2" t="str">
        <f aca="false">""</f>
        <v/>
      </c>
      <c r="G1906" s="2" t="str">
        <f aca="false">IF(OR(3キー同時!$B$97="",3キー同時!$G$97=""),"",IF(3キー同時!AM105="","",SUBSTITUTE(SUBSTITUTE(3キー同時!AM105," ",""),"　","")))</f>
        <v/>
      </c>
      <c r="H1906" s="2" t="str">
        <f aca="false">IF($G1906="","",3キー同時!$B$97)</f>
        <v/>
      </c>
      <c r="I1906" s="2" t="str">
        <f aca="false">IF($G1906="","",3キー同時!$G$97)</f>
        <v/>
      </c>
      <c r="J1906" s="2" t="str">
        <f aca="false">IF($G1906="","",",")</f>
        <v/>
      </c>
      <c r="K1906" s="2" t="str">
        <f aca="false">""</f>
        <v/>
      </c>
      <c r="L1906" s="2" t="str">
        <f aca="false">IF($G1906="","","同時")</f>
        <v/>
      </c>
      <c r="M1906" s="2" t="str">
        <f aca="false">IF($G1906="","",IF(ISNA(MATCH($G1906,個別指定!$A:$A,0)),"行なし",""))</f>
        <v/>
      </c>
      <c r="N1906" s="2" t="str">
        <f aca="false">IF($G1906="","",IF(COUNTIF($G$2:$G$4460,$G1906)&gt;1,"重複",""))</f>
        <v/>
      </c>
    </row>
    <row r="1907" customFormat="false" ht="16.5" hidden="false" customHeight="true" outlineLevel="0" collapsed="false">
      <c r="A1907" s="2" t="s">
        <v>416</v>
      </c>
      <c r="B1907" s="2" t="s">
        <v>424</v>
      </c>
      <c r="C1907" s="2" t="s">
        <v>43</v>
      </c>
      <c r="D1907" s="2" t="str">
        <f aca="false">IF(3キー同時!$B$97="","",3キー同時!$B$97)</f>
        <v>f</v>
      </c>
      <c r="E1907" s="2" t="str">
        <f aca="false">IF(3キー同時!$G$97="","",3キー同時!$G$97)</f>
        <v>l</v>
      </c>
      <c r="F1907" s="2" t="str">
        <f aca="false">""</f>
        <v/>
      </c>
      <c r="G1907" s="2" t="str">
        <f aca="false">IF(OR(3キー同時!$B$97="",3キー同時!$G$97=""),"",IF(3キー同時!AQ105="","",SUBSTITUTE(SUBSTITUTE(3キー同時!AQ105," ",""),"　","")))</f>
        <v/>
      </c>
      <c r="H1907" s="2" t="str">
        <f aca="false">IF($G1907="","",3キー同時!$B$97)</f>
        <v/>
      </c>
      <c r="I1907" s="2" t="str">
        <f aca="false">IF($G1907="","",3キー同時!$G$97)</f>
        <v/>
      </c>
      <c r="J1907" s="2" t="str">
        <f aca="false">IF($G1907="","",".")</f>
        <v/>
      </c>
      <c r="K1907" s="2" t="str">
        <f aca="false">""</f>
        <v/>
      </c>
      <c r="L1907" s="2" t="str">
        <f aca="false">IF($G1907="","","同時")</f>
        <v/>
      </c>
      <c r="M1907" s="2" t="str">
        <f aca="false">IF($G1907="","",IF(ISNA(MATCH($G1907,個別指定!$A:$A,0)),"行なし",""))</f>
        <v/>
      </c>
      <c r="N1907" s="2" t="str">
        <f aca="false">IF($G1907="","",IF(COUNTIF($G$2:$G$4460,$G1907)&gt;1,"重複",""))</f>
        <v/>
      </c>
    </row>
    <row r="1908" customFormat="false" ht="16.5" hidden="false" customHeight="true" outlineLevel="0" collapsed="false">
      <c r="A1908" s="2" t="s">
        <v>416</v>
      </c>
      <c r="B1908" s="2" t="s">
        <v>424</v>
      </c>
      <c r="C1908" s="2" t="s">
        <v>44</v>
      </c>
      <c r="D1908" s="2" t="str">
        <f aca="false">IF(3キー同時!$B$97="","",3キー同時!$B$97)</f>
        <v>f</v>
      </c>
      <c r="E1908" s="2" t="str">
        <f aca="false">IF(3キー同時!$G$97="","",3キー同時!$G$97)</f>
        <v>l</v>
      </c>
      <c r="F1908" s="2" t="str">
        <f aca="false">""</f>
        <v/>
      </c>
      <c r="G1908" s="2" t="str">
        <f aca="false">IF(OR(3キー同時!$B$97="",3キー同時!$G$97=""),"",IF(3キー同時!AU105="","",SUBSTITUTE(SUBSTITUTE(3キー同時!AU105," ",""),"　","")))</f>
        <v/>
      </c>
      <c r="H1908" s="2" t="str">
        <f aca="false">IF($G1908="","",3キー同時!$B$97)</f>
        <v/>
      </c>
      <c r="I1908" s="2" t="str">
        <f aca="false">IF($G1908="","",3キー同時!$G$97)</f>
        <v/>
      </c>
      <c r="J1908" s="2" t="str">
        <f aca="false">IF($G1908="","","/")</f>
        <v/>
      </c>
      <c r="K1908" s="2" t="str">
        <f aca="false">""</f>
        <v/>
      </c>
      <c r="L1908" s="2" t="str">
        <f aca="false">IF($G1908="","","同時")</f>
        <v/>
      </c>
      <c r="M1908" s="2" t="str">
        <f aca="false">IF($G1908="","",IF(ISNA(MATCH($G1908,個別指定!$A:$A,0)),"行なし",""))</f>
        <v/>
      </c>
      <c r="N1908" s="2" t="str">
        <f aca="false">IF($G1908="","",IF(COUNTIF($G$2:$G$4460,$G1908)&gt;1,"重複",""))</f>
        <v/>
      </c>
    </row>
    <row r="1909" customFormat="false" ht="16.5" hidden="false" customHeight="true" outlineLevel="0" collapsed="false">
      <c r="A1909" s="2" t="s">
        <v>416</v>
      </c>
      <c r="B1909" s="2" t="s">
        <v>424</v>
      </c>
      <c r="C1909" s="2" t="s">
        <v>48</v>
      </c>
      <c r="D1909" s="2" t="str">
        <f aca="false">IF(3キー同時!$B$97="","",3キー同時!$B$97)</f>
        <v>f</v>
      </c>
      <c r="E1909" s="2" t="str">
        <f aca="false">IF(3キー同時!$G$97="","",3キー同時!$G$97)</f>
        <v>l</v>
      </c>
      <c r="F1909" s="2" t="str">
        <f aca="false">""</f>
        <v/>
      </c>
      <c r="G1909" s="2" t="str">
        <f aca="false">IF(OR(3キー同時!$B$97="",3キー同時!$G$97=""),"",IF(3キー同時!P107="","",SUBSTITUTE(SUBSTITUTE(3キー同時!P107," ",""),"　","")))</f>
        <v/>
      </c>
      <c r="H1909" s="2" t="str">
        <f aca="false">IF($G1909="","",3キー同時!$B$97)</f>
        <v/>
      </c>
      <c r="I1909" s="2" t="str">
        <f aca="false">IF($G1909="","",3キー同時!$G$97)</f>
        <v/>
      </c>
      <c r="J1909" s="2" t="str">
        <f aca="false">IF($G1909="","","muhenkan")</f>
        <v/>
      </c>
      <c r="K1909" s="2" t="str">
        <f aca="false">""</f>
        <v/>
      </c>
      <c r="L1909" s="2" t="str">
        <f aca="false">IF($G1909="","","同時")</f>
        <v/>
      </c>
      <c r="M1909" s="2" t="str">
        <f aca="false">IF($G1909="","",IF(ISNA(MATCH($G1909,個別指定!$A:$A,0)),"行なし",""))</f>
        <v/>
      </c>
      <c r="N1909" s="2" t="str">
        <f aca="false">IF($G1909="","",IF(COUNTIF($G$2:$G$4460,$G1909)&gt;1,"重複",""))</f>
        <v/>
      </c>
    </row>
    <row r="1910" customFormat="false" ht="16.5" hidden="false" customHeight="true" outlineLevel="0" collapsed="false">
      <c r="A1910" s="2" t="s">
        <v>416</v>
      </c>
      <c r="B1910" s="2" t="s">
        <v>424</v>
      </c>
      <c r="C1910" s="2" t="s">
        <v>50</v>
      </c>
      <c r="D1910" s="2" t="str">
        <f aca="false">IF(3キー同時!$B$97="","",3キー同時!$B$97)</f>
        <v>f</v>
      </c>
      <c r="E1910" s="2" t="str">
        <f aca="false">IF(3キー同時!$G$97="","",3キー同時!$G$97)</f>
        <v>l</v>
      </c>
      <c r="F1910" s="2" t="str">
        <f aca="false">""</f>
        <v/>
      </c>
      <c r="G1910" s="2" t="str">
        <f aca="false">IF(OR(3キー同時!$B$97="",3キー同時!$G$97=""),"",IF(3キー同時!T107="","",SUBSTITUTE(SUBSTITUTE(3キー同時!T107," ",""),"　","")))</f>
        <v/>
      </c>
      <c r="H1910" s="2" t="str">
        <f aca="false">IF($G1910="","",3キー同時!$B$97)</f>
        <v/>
      </c>
      <c r="I1910" s="2" t="str">
        <f aca="false">IF($G1910="","",3キー同時!$G$97)</f>
        <v/>
      </c>
      <c r="J1910" s="2" t="str">
        <f aca="false">IF($G1910="","","space")</f>
        <v/>
      </c>
      <c r="K1910" s="2" t="str">
        <f aca="false">""</f>
        <v/>
      </c>
      <c r="L1910" s="2" t="str">
        <f aca="false">IF($G1910="","","同時")</f>
        <v/>
      </c>
      <c r="M1910" s="2" t="str">
        <f aca="false">IF($G1910="","",IF(ISNA(MATCH($G1910,個別指定!$A:$A,0)),"行なし",""))</f>
        <v/>
      </c>
      <c r="N1910" s="2" t="str">
        <f aca="false">IF($G1910="","",IF(COUNTIF($G$2:$G$4460,$G1910)&gt;1,"重複",""))</f>
        <v/>
      </c>
    </row>
    <row r="1911" customFormat="false" ht="16.5" hidden="false" customHeight="true" outlineLevel="0" collapsed="false">
      <c r="A1911" s="2" t="s">
        <v>416</v>
      </c>
      <c r="B1911" s="2" t="s">
        <v>424</v>
      </c>
      <c r="C1911" s="2" t="s">
        <v>45</v>
      </c>
      <c r="D1911" s="2" t="str">
        <f aca="false">IF(3キー同時!$B$97="","",3キー同時!$B$97)</f>
        <v>f</v>
      </c>
      <c r="E1911" s="2" t="str">
        <f aca="false">IF(3キー同時!$G$97="","",3キー同時!$G$97)</f>
        <v>l</v>
      </c>
      <c r="F1911" s="2" t="str">
        <f aca="false">""</f>
        <v/>
      </c>
      <c r="G1911" s="2" t="str">
        <f aca="false">IF(OR(3キー同時!$B$97="",3キー同時!$G$97=""),"",IF(3キー同時!AL107="","",SUBSTITUTE(SUBSTITUTE(3キー同時!AL107," ",""),"　","")))</f>
        <v/>
      </c>
      <c r="H1911" s="2" t="str">
        <f aca="false">IF($G1911="","",3キー同時!$B$97)</f>
        <v/>
      </c>
      <c r="I1911" s="2" t="str">
        <f aca="false">IF($G1911="","",3キー同時!$G$97)</f>
        <v/>
      </c>
      <c r="J1911" s="2" t="str">
        <f aca="false">IF($G1911="","","henkan")</f>
        <v/>
      </c>
      <c r="K1911" s="2" t="str">
        <f aca="false">""</f>
        <v/>
      </c>
      <c r="L1911" s="2" t="str">
        <f aca="false">IF($G1911="","","同時")</f>
        <v/>
      </c>
      <c r="M1911" s="2" t="str">
        <f aca="false">IF($G1911="","",IF(ISNA(MATCH($G1911,個別指定!$A:$A,0)),"行なし",""))</f>
        <v/>
      </c>
      <c r="N1911" s="2" t="str">
        <f aca="false">IF($G1911="","",IF(COUNTIF($G$2:$G$4460,$G1911)&gt;1,"重複",""))</f>
        <v/>
      </c>
    </row>
    <row r="1912" customFormat="false" ht="16.5" hidden="false" customHeight="true" outlineLevel="0" collapsed="false">
      <c r="A1912" s="2" t="s">
        <v>416</v>
      </c>
      <c r="B1912" s="2" t="s">
        <v>424</v>
      </c>
      <c r="C1912" s="2" t="s">
        <v>46</v>
      </c>
      <c r="D1912" s="2" t="str">
        <f aca="false">IF(3キー同時!$B$97="","",3キー同時!$B$97)</f>
        <v>f</v>
      </c>
      <c r="E1912" s="2" t="str">
        <f aca="false">IF(3キー同時!$G$97="","",3キー同時!$G$97)</f>
        <v>l</v>
      </c>
      <c r="F1912" s="2" t="str">
        <f aca="false">""</f>
        <v/>
      </c>
      <c r="G1912" s="2" t="str">
        <f aca="false">IF(OR(3キー同時!$B$97="",3キー同時!$G$97=""),"",IF(3キー同時!AP107="","",SUBSTITUTE(SUBSTITUTE(3キー同時!AP107," ",""),"　","")))</f>
        <v/>
      </c>
      <c r="H1912" s="2" t="str">
        <f aca="false">IF($G1912="","",3キー同時!$B$97)</f>
        <v/>
      </c>
      <c r="I1912" s="2" t="str">
        <f aca="false">IF($G1912="","",3キー同時!$G$97)</f>
        <v/>
      </c>
      <c r="J1912" s="2" t="str">
        <f aca="false">IF($G1912="","","kana")</f>
        <v/>
      </c>
      <c r="K1912" s="2" t="str">
        <f aca="false">""</f>
        <v/>
      </c>
      <c r="L1912" s="2" t="str">
        <f aca="false">IF($G1912="","","同時")</f>
        <v/>
      </c>
      <c r="M1912" s="2" t="str">
        <f aca="false">IF($G1912="","",IF(ISNA(MATCH($G1912,個別指定!$A:$A,0)),"行なし",""))</f>
        <v/>
      </c>
      <c r="N1912" s="2" t="str">
        <f aca="false">IF($G1912="","",IF(COUNTIF($G$2:$G$4460,$G1912)&gt;1,"重複",""))</f>
        <v/>
      </c>
    </row>
    <row r="1913" customFormat="false" ht="16.5" hidden="false" customHeight="true" outlineLevel="0" collapsed="false">
      <c r="A1913" s="2" t="s">
        <v>416</v>
      </c>
      <c r="B1913" s="2" t="s">
        <v>425</v>
      </c>
      <c r="C1913" s="2" t="s">
        <v>0</v>
      </c>
      <c r="D1913" s="2" t="str">
        <f aca="false">IF(3キー同時!$B$110="","",3キー同時!$B$110)</f>
        <v>f</v>
      </c>
      <c r="E1913" s="2" t="str">
        <f aca="false">IF(3キー同時!$G$110="","",3キー同時!$G$110)</f>
        <v>;</v>
      </c>
      <c r="F1913" s="2" t="str">
        <f aca="false">""</f>
        <v/>
      </c>
      <c r="G1913" s="2" t="str">
        <f aca="false">IF(OR(3キー同時!$B$110="",3キー同時!$G$110=""),"",IF(3キー同時!F112="","",SUBSTITUTE(SUBSTITUTE(3キー同時!F112," ",""),"　","")))</f>
        <v/>
      </c>
      <c r="H1913" s="2" t="str">
        <f aca="false">IF($G1913="","",3キー同時!$B$110)</f>
        <v/>
      </c>
      <c r="I1913" s="2" t="str">
        <f aca="false">IF($G1913="","",3キー同時!$G$110)</f>
        <v/>
      </c>
      <c r="J1913" s="2" t="str">
        <f aca="false">IF($G1913="","","1")</f>
        <v/>
      </c>
      <c r="K1913" s="2" t="str">
        <f aca="false">""</f>
        <v/>
      </c>
      <c r="L1913" s="2" t="str">
        <f aca="false">IF($G1913="","","同時")</f>
        <v/>
      </c>
      <c r="M1913" s="2" t="str">
        <f aca="false">IF($G1913="","",IF(ISNA(MATCH($G1913,個別指定!$A:$A,0)),"行なし",""))</f>
        <v/>
      </c>
      <c r="N1913" s="2" t="str">
        <f aca="false">IF($G1913="","",IF(COUNTIF($G$2:$G$4460,$G1913)&gt;1,"重複",""))</f>
        <v/>
      </c>
    </row>
    <row r="1914" customFormat="false" ht="16.5" hidden="false" customHeight="true" outlineLevel="0" collapsed="false">
      <c r="A1914" s="2" t="s">
        <v>416</v>
      </c>
      <c r="B1914" s="2" t="s">
        <v>425</v>
      </c>
      <c r="C1914" s="2" t="s">
        <v>1</v>
      </c>
      <c r="D1914" s="2" t="str">
        <f aca="false">IF(3キー同時!$B$110="","",3キー同時!$B$110)</f>
        <v>f</v>
      </c>
      <c r="E1914" s="2" t="str">
        <f aca="false">IF(3キー同時!$G$110="","",3キー同時!$G$110)</f>
        <v>;</v>
      </c>
      <c r="F1914" s="2" t="str">
        <f aca="false">""</f>
        <v/>
      </c>
      <c r="G1914" s="2" t="str">
        <f aca="false">IF(OR(3キー同時!$B$110="",3キー同時!$G$110=""),"",IF(3キー同時!J112="","",SUBSTITUTE(SUBSTITUTE(3キー同時!J112," ",""),"　","")))</f>
        <v/>
      </c>
      <c r="H1914" s="2" t="str">
        <f aca="false">IF($G1914="","",3キー同時!$B$110)</f>
        <v/>
      </c>
      <c r="I1914" s="2" t="str">
        <f aca="false">IF($G1914="","",3キー同時!$G$110)</f>
        <v/>
      </c>
      <c r="J1914" s="2" t="str">
        <f aca="false">IF($G1914="","","2")</f>
        <v/>
      </c>
      <c r="K1914" s="2" t="str">
        <f aca="false">""</f>
        <v/>
      </c>
      <c r="L1914" s="2" t="str">
        <f aca="false">IF($G1914="","","同時")</f>
        <v/>
      </c>
      <c r="M1914" s="2" t="str">
        <f aca="false">IF($G1914="","",IF(ISNA(MATCH($G1914,個別指定!$A:$A,0)),"行なし",""))</f>
        <v/>
      </c>
      <c r="N1914" s="2" t="str">
        <f aca="false">IF($G1914="","",IF(COUNTIF($G$2:$G$4460,$G1914)&gt;1,"重複",""))</f>
        <v/>
      </c>
    </row>
    <row r="1915" customFormat="false" ht="16.5" hidden="false" customHeight="true" outlineLevel="0" collapsed="false">
      <c r="A1915" s="2" t="s">
        <v>416</v>
      </c>
      <c r="B1915" s="2" t="s">
        <v>425</v>
      </c>
      <c r="C1915" s="2" t="s">
        <v>2</v>
      </c>
      <c r="D1915" s="2" t="str">
        <f aca="false">IF(3キー同時!$B$110="","",3キー同時!$B$110)</f>
        <v>f</v>
      </c>
      <c r="E1915" s="2" t="str">
        <f aca="false">IF(3キー同時!$G$110="","",3キー同時!$G$110)</f>
        <v>;</v>
      </c>
      <c r="F1915" s="2" t="str">
        <f aca="false">""</f>
        <v/>
      </c>
      <c r="G1915" s="2" t="str">
        <f aca="false">IF(OR(3キー同時!$B$110="",3キー同時!$G$110=""),"",IF(3キー同時!N112="","",SUBSTITUTE(SUBSTITUTE(3キー同時!N112," ",""),"　","")))</f>
        <v/>
      </c>
      <c r="H1915" s="2" t="str">
        <f aca="false">IF($G1915="","",3キー同時!$B$110)</f>
        <v/>
      </c>
      <c r="I1915" s="2" t="str">
        <f aca="false">IF($G1915="","",3キー同時!$G$110)</f>
        <v/>
      </c>
      <c r="J1915" s="2" t="str">
        <f aca="false">IF($G1915="","","3")</f>
        <v/>
      </c>
      <c r="K1915" s="2" t="str">
        <f aca="false">""</f>
        <v/>
      </c>
      <c r="L1915" s="2" t="str">
        <f aca="false">IF($G1915="","","同時")</f>
        <v/>
      </c>
      <c r="M1915" s="2" t="str">
        <f aca="false">IF($G1915="","",IF(ISNA(MATCH($G1915,個別指定!$A:$A,0)),"行なし",""))</f>
        <v/>
      </c>
      <c r="N1915" s="2" t="str">
        <f aca="false">IF($G1915="","",IF(COUNTIF($G$2:$G$4460,$G1915)&gt;1,"重複",""))</f>
        <v/>
      </c>
    </row>
    <row r="1916" customFormat="false" ht="16.5" hidden="false" customHeight="true" outlineLevel="0" collapsed="false">
      <c r="A1916" s="2" t="s">
        <v>416</v>
      </c>
      <c r="B1916" s="2" t="s">
        <v>425</v>
      </c>
      <c r="C1916" s="2" t="s">
        <v>3</v>
      </c>
      <c r="D1916" s="2" t="str">
        <f aca="false">IF(3キー同時!$B$110="","",3キー同時!$B$110)</f>
        <v>f</v>
      </c>
      <c r="E1916" s="2" t="str">
        <f aca="false">IF(3キー同時!$G$110="","",3キー同時!$G$110)</f>
        <v>;</v>
      </c>
      <c r="F1916" s="2" t="str">
        <f aca="false">""</f>
        <v/>
      </c>
      <c r="G1916" s="2" t="str">
        <f aca="false">IF(OR(3キー同時!$B$110="",3キー同時!$G$110=""),"",IF(3キー同時!R112="","",SUBSTITUTE(SUBSTITUTE(3キー同時!R112," ",""),"　","")))</f>
        <v/>
      </c>
      <c r="H1916" s="2" t="str">
        <f aca="false">IF($G1916="","",3キー同時!$B$110)</f>
        <v/>
      </c>
      <c r="I1916" s="2" t="str">
        <f aca="false">IF($G1916="","",3キー同時!$G$110)</f>
        <v/>
      </c>
      <c r="J1916" s="2" t="str">
        <f aca="false">IF($G1916="","","4")</f>
        <v/>
      </c>
      <c r="K1916" s="2" t="str">
        <f aca="false">""</f>
        <v/>
      </c>
      <c r="L1916" s="2" t="str">
        <f aca="false">IF($G1916="","","同時")</f>
        <v/>
      </c>
      <c r="M1916" s="2" t="str">
        <f aca="false">IF($G1916="","",IF(ISNA(MATCH($G1916,個別指定!$A:$A,0)),"行なし",""))</f>
        <v/>
      </c>
      <c r="N1916" s="2" t="str">
        <f aca="false">IF($G1916="","",IF(COUNTIF($G$2:$G$4460,$G1916)&gt;1,"重複",""))</f>
        <v/>
      </c>
    </row>
    <row r="1917" customFormat="false" ht="16.5" hidden="false" customHeight="true" outlineLevel="0" collapsed="false">
      <c r="A1917" s="2" t="s">
        <v>416</v>
      </c>
      <c r="B1917" s="2" t="s">
        <v>425</v>
      </c>
      <c r="C1917" s="2" t="s">
        <v>4</v>
      </c>
      <c r="D1917" s="2" t="str">
        <f aca="false">IF(3キー同時!$B$110="","",3キー同時!$B$110)</f>
        <v>f</v>
      </c>
      <c r="E1917" s="2" t="str">
        <f aca="false">IF(3キー同時!$G$110="","",3キー同時!$G$110)</f>
        <v>;</v>
      </c>
      <c r="F1917" s="2" t="str">
        <f aca="false">""</f>
        <v/>
      </c>
      <c r="G1917" s="2" t="str">
        <f aca="false">IF(OR(3キー同時!$B$110="",3キー同時!$G$110=""),"",IF(3キー同時!V112="","",SUBSTITUTE(SUBSTITUTE(3キー同時!V112," ",""),"　","")))</f>
        <v/>
      </c>
      <c r="H1917" s="2" t="str">
        <f aca="false">IF($G1917="","",3キー同時!$B$110)</f>
        <v/>
      </c>
      <c r="I1917" s="2" t="str">
        <f aca="false">IF($G1917="","",3キー同時!$G$110)</f>
        <v/>
      </c>
      <c r="J1917" s="2" t="str">
        <f aca="false">IF($G1917="","","5")</f>
        <v/>
      </c>
      <c r="K1917" s="2" t="str">
        <f aca="false">""</f>
        <v/>
      </c>
      <c r="L1917" s="2" t="str">
        <f aca="false">IF($G1917="","","同時")</f>
        <v/>
      </c>
      <c r="M1917" s="2" t="str">
        <f aca="false">IF($G1917="","",IF(ISNA(MATCH($G1917,個別指定!$A:$A,0)),"行なし",""))</f>
        <v/>
      </c>
      <c r="N1917" s="2" t="str">
        <f aca="false">IF($G1917="","",IF(COUNTIF($G$2:$G$4460,$G1917)&gt;1,"重複",""))</f>
        <v/>
      </c>
    </row>
    <row r="1918" customFormat="false" ht="16.5" hidden="false" customHeight="true" outlineLevel="0" collapsed="false">
      <c r="A1918" s="2" t="s">
        <v>416</v>
      </c>
      <c r="B1918" s="2" t="s">
        <v>425</v>
      </c>
      <c r="C1918" s="2" t="s">
        <v>5</v>
      </c>
      <c r="D1918" s="2" t="str">
        <f aca="false">IF(3キー同時!$B$110="","",3キー同時!$B$110)</f>
        <v>f</v>
      </c>
      <c r="E1918" s="2" t="str">
        <f aca="false">IF(3キー同時!$G$110="","",3キー同時!$G$110)</f>
        <v>;</v>
      </c>
      <c r="F1918" s="2" t="str">
        <f aca="false">""</f>
        <v/>
      </c>
      <c r="G1918" s="2" t="str">
        <f aca="false">IF(OR(3キー同時!$B$110="",3キー同時!$G$110=""),"",IF(3キー同時!Z112="","",SUBSTITUTE(SUBSTITUTE(3キー同時!Z112," ",""),"　","")))</f>
        <v/>
      </c>
      <c r="H1918" s="2" t="str">
        <f aca="false">IF($G1918="","",3キー同時!$B$110)</f>
        <v/>
      </c>
      <c r="I1918" s="2" t="str">
        <f aca="false">IF($G1918="","",3キー同時!$G$110)</f>
        <v/>
      </c>
      <c r="J1918" s="2" t="str">
        <f aca="false">IF($G1918="","","6")</f>
        <v/>
      </c>
      <c r="K1918" s="2" t="str">
        <f aca="false">""</f>
        <v/>
      </c>
      <c r="L1918" s="2" t="str">
        <f aca="false">IF($G1918="","","同時")</f>
        <v/>
      </c>
      <c r="M1918" s="2" t="str">
        <f aca="false">IF($G1918="","",IF(ISNA(MATCH($G1918,個別指定!$A:$A,0)),"行なし",""))</f>
        <v/>
      </c>
      <c r="N1918" s="2" t="str">
        <f aca="false">IF($G1918="","",IF(COUNTIF($G$2:$G$4460,$G1918)&gt;1,"重複",""))</f>
        <v/>
      </c>
    </row>
    <row r="1919" customFormat="false" ht="16.5" hidden="false" customHeight="true" outlineLevel="0" collapsed="false">
      <c r="A1919" s="2" t="s">
        <v>416</v>
      </c>
      <c r="B1919" s="2" t="s">
        <v>425</v>
      </c>
      <c r="C1919" s="2" t="s">
        <v>6</v>
      </c>
      <c r="D1919" s="2" t="str">
        <f aca="false">IF(3キー同時!$B$110="","",3キー同時!$B$110)</f>
        <v>f</v>
      </c>
      <c r="E1919" s="2" t="str">
        <f aca="false">IF(3キー同時!$G$110="","",3キー同時!$G$110)</f>
        <v>;</v>
      </c>
      <c r="F1919" s="2" t="str">
        <f aca="false">""</f>
        <v/>
      </c>
      <c r="G1919" s="2" t="str">
        <f aca="false">IF(OR(3キー同時!$B$110="",3キー同時!$G$110=""),"",IF(3キー同時!AD112="","",SUBSTITUTE(SUBSTITUTE(3キー同時!AD112," ",""),"　","")))</f>
        <v/>
      </c>
      <c r="H1919" s="2" t="str">
        <f aca="false">IF($G1919="","",3キー同時!$B$110)</f>
        <v/>
      </c>
      <c r="I1919" s="2" t="str">
        <f aca="false">IF($G1919="","",3キー同時!$G$110)</f>
        <v/>
      </c>
      <c r="J1919" s="2" t="str">
        <f aca="false">IF($G1919="","","7")</f>
        <v/>
      </c>
      <c r="K1919" s="2" t="str">
        <f aca="false">""</f>
        <v/>
      </c>
      <c r="L1919" s="2" t="str">
        <f aca="false">IF($G1919="","","同時")</f>
        <v/>
      </c>
      <c r="M1919" s="2" t="str">
        <f aca="false">IF($G1919="","",IF(ISNA(MATCH($G1919,個別指定!$A:$A,0)),"行なし",""))</f>
        <v/>
      </c>
      <c r="N1919" s="2" t="str">
        <f aca="false">IF($G1919="","",IF(COUNTIF($G$2:$G$4460,$G1919)&gt;1,"重複",""))</f>
        <v/>
      </c>
    </row>
    <row r="1920" customFormat="false" ht="16.5" hidden="false" customHeight="true" outlineLevel="0" collapsed="false">
      <c r="A1920" s="2" t="s">
        <v>416</v>
      </c>
      <c r="B1920" s="2" t="s">
        <v>425</v>
      </c>
      <c r="C1920" s="2" t="s">
        <v>7</v>
      </c>
      <c r="D1920" s="2" t="str">
        <f aca="false">IF(3キー同時!$B$110="","",3キー同時!$B$110)</f>
        <v>f</v>
      </c>
      <c r="E1920" s="2" t="str">
        <f aca="false">IF(3キー同時!$G$110="","",3キー同時!$G$110)</f>
        <v>;</v>
      </c>
      <c r="F1920" s="2" t="str">
        <f aca="false">""</f>
        <v/>
      </c>
      <c r="G1920" s="2" t="str">
        <f aca="false">IF(OR(3キー同時!$B$110="",3キー同時!$G$110=""),"",IF(3キー同時!AH112="","",SUBSTITUTE(SUBSTITUTE(3キー同時!AH112," ",""),"　","")))</f>
        <v/>
      </c>
      <c r="H1920" s="2" t="str">
        <f aca="false">IF($G1920="","",3キー同時!$B$110)</f>
        <v/>
      </c>
      <c r="I1920" s="2" t="str">
        <f aca="false">IF($G1920="","",3キー同時!$G$110)</f>
        <v/>
      </c>
      <c r="J1920" s="2" t="str">
        <f aca="false">IF($G1920="","","8")</f>
        <v/>
      </c>
      <c r="K1920" s="2" t="str">
        <f aca="false">""</f>
        <v/>
      </c>
      <c r="L1920" s="2" t="str">
        <f aca="false">IF($G1920="","","同時")</f>
        <v/>
      </c>
      <c r="M1920" s="2" t="str">
        <f aca="false">IF($G1920="","",IF(ISNA(MATCH($G1920,個別指定!$A:$A,0)),"行なし",""))</f>
        <v/>
      </c>
      <c r="N1920" s="2" t="str">
        <f aca="false">IF($G1920="","",IF(COUNTIF($G$2:$G$4460,$G1920)&gt;1,"重複",""))</f>
        <v/>
      </c>
    </row>
    <row r="1921" customFormat="false" ht="16.5" hidden="false" customHeight="true" outlineLevel="0" collapsed="false">
      <c r="A1921" s="2" t="s">
        <v>416</v>
      </c>
      <c r="B1921" s="2" t="s">
        <v>425</v>
      </c>
      <c r="C1921" s="2" t="s">
        <v>8</v>
      </c>
      <c r="D1921" s="2" t="str">
        <f aca="false">IF(3キー同時!$B$110="","",3キー同時!$B$110)</f>
        <v>f</v>
      </c>
      <c r="E1921" s="2" t="str">
        <f aca="false">IF(3キー同時!$G$110="","",3キー同時!$G$110)</f>
        <v>;</v>
      </c>
      <c r="F1921" s="2" t="str">
        <f aca="false">""</f>
        <v/>
      </c>
      <c r="G1921" s="2" t="str">
        <f aca="false">IF(OR(3キー同時!$B$110="",3キー同時!$G$110=""),"",IF(3キー同時!AL112="","",SUBSTITUTE(SUBSTITUTE(3キー同時!AL112," ",""),"　","")))</f>
        <v/>
      </c>
      <c r="H1921" s="2" t="str">
        <f aca="false">IF($G1921="","",3キー同時!$B$110)</f>
        <v/>
      </c>
      <c r="I1921" s="2" t="str">
        <f aca="false">IF($G1921="","",3キー同時!$G$110)</f>
        <v/>
      </c>
      <c r="J1921" s="2" t="str">
        <f aca="false">IF($G1921="","","9")</f>
        <v/>
      </c>
      <c r="K1921" s="2" t="str">
        <f aca="false">""</f>
        <v/>
      </c>
      <c r="L1921" s="2" t="str">
        <f aca="false">IF($G1921="","","同時")</f>
        <v/>
      </c>
      <c r="M1921" s="2" t="str">
        <f aca="false">IF($G1921="","",IF(ISNA(MATCH($G1921,個別指定!$A:$A,0)),"行なし",""))</f>
        <v/>
      </c>
      <c r="N1921" s="2" t="str">
        <f aca="false">IF($G1921="","",IF(COUNTIF($G$2:$G$4460,$G1921)&gt;1,"重複",""))</f>
        <v/>
      </c>
    </row>
    <row r="1922" customFormat="false" ht="16.5" hidden="false" customHeight="true" outlineLevel="0" collapsed="false">
      <c r="A1922" s="2" t="s">
        <v>416</v>
      </c>
      <c r="B1922" s="2" t="s">
        <v>425</v>
      </c>
      <c r="C1922" s="2" t="s">
        <v>9</v>
      </c>
      <c r="D1922" s="2" t="str">
        <f aca="false">IF(3キー同時!$B$110="","",3キー同時!$B$110)</f>
        <v>f</v>
      </c>
      <c r="E1922" s="2" t="str">
        <f aca="false">IF(3キー同時!$G$110="","",3キー同時!$G$110)</f>
        <v>;</v>
      </c>
      <c r="F1922" s="2" t="str">
        <f aca="false">""</f>
        <v/>
      </c>
      <c r="G1922" s="2" t="str">
        <f aca="false">IF(OR(3キー同時!$B$110="",3キー同時!$G$110=""),"",IF(3キー同時!AP112="","",SUBSTITUTE(SUBSTITUTE(3キー同時!AP112," ",""),"　","")))</f>
        <v/>
      </c>
      <c r="H1922" s="2" t="str">
        <f aca="false">IF($G1922="","",3キー同時!$B$110)</f>
        <v/>
      </c>
      <c r="I1922" s="2" t="str">
        <f aca="false">IF($G1922="","",3キー同時!$G$110)</f>
        <v/>
      </c>
      <c r="J1922" s="2" t="str">
        <f aca="false">IF($G1922="","","0")</f>
        <v/>
      </c>
      <c r="K1922" s="2" t="str">
        <f aca="false">""</f>
        <v/>
      </c>
      <c r="L1922" s="2" t="str">
        <f aca="false">IF($G1922="","","同時")</f>
        <v/>
      </c>
      <c r="M1922" s="2" t="str">
        <f aca="false">IF($G1922="","",IF(ISNA(MATCH($G1922,個別指定!$A:$A,0)),"行なし",""))</f>
        <v/>
      </c>
      <c r="N1922" s="2" t="str">
        <f aca="false">IF($G1922="","",IF(COUNTIF($G$2:$G$4460,$G1922)&gt;1,"重複",""))</f>
        <v/>
      </c>
    </row>
    <row r="1923" customFormat="false" ht="16.5" hidden="false" customHeight="true" outlineLevel="0" collapsed="false">
      <c r="A1923" s="2" t="s">
        <v>416</v>
      </c>
      <c r="B1923" s="2" t="s">
        <v>425</v>
      </c>
      <c r="C1923" s="2" t="s">
        <v>10</v>
      </c>
      <c r="D1923" s="2" t="str">
        <f aca="false">IF(3キー同時!$B$110="","",3キー同時!$B$110)</f>
        <v>f</v>
      </c>
      <c r="E1923" s="2" t="str">
        <f aca="false">IF(3キー同時!$G$110="","",3キー同時!$G$110)</f>
        <v>;</v>
      </c>
      <c r="F1923" s="2" t="str">
        <f aca="false">""</f>
        <v/>
      </c>
      <c r="G1923" s="2" t="str">
        <f aca="false">IF(OR(3キー同時!$B$110="",3キー同時!$G$110=""),"",IF(3キー同時!AT112="","",SUBSTITUTE(SUBSTITUTE(3キー同時!AT112," ",""),"　","")))</f>
        <v/>
      </c>
      <c r="H1923" s="2" t="str">
        <f aca="false">IF($G1923="","",3キー同時!$B$110)</f>
        <v/>
      </c>
      <c r="I1923" s="2" t="str">
        <f aca="false">IF($G1923="","",3キー同時!$G$110)</f>
        <v/>
      </c>
      <c r="J1923" s="2" t="str">
        <f aca="false">IF($G1923="","","-")</f>
        <v/>
      </c>
      <c r="K1923" s="2" t="str">
        <f aca="false">""</f>
        <v/>
      </c>
      <c r="L1923" s="2" t="str">
        <f aca="false">IF($G1923="","","同時")</f>
        <v/>
      </c>
      <c r="M1923" s="2" t="str">
        <f aca="false">IF($G1923="","",IF(ISNA(MATCH($G1923,個別指定!$A:$A,0)),"行なし",""))</f>
        <v/>
      </c>
      <c r="N1923" s="2" t="str">
        <f aca="false">IF($G1923="","",IF(COUNTIF($G$2:$G$4460,$G1923)&gt;1,"重複",""))</f>
        <v/>
      </c>
    </row>
    <row r="1924" customFormat="false" ht="16.5" hidden="false" customHeight="true" outlineLevel="0" collapsed="false">
      <c r="A1924" s="2" t="s">
        <v>416</v>
      </c>
      <c r="B1924" s="2" t="s">
        <v>425</v>
      </c>
      <c r="C1924" s="2" t="s">
        <v>11</v>
      </c>
      <c r="D1924" s="2" t="str">
        <f aca="false">IF(3キー同時!$B$110="","",3キー同時!$B$110)</f>
        <v>f</v>
      </c>
      <c r="E1924" s="2" t="str">
        <f aca="false">IF(3キー同時!$G$110="","",3キー同時!$G$110)</f>
        <v>;</v>
      </c>
      <c r="F1924" s="2" t="str">
        <f aca="false">""</f>
        <v/>
      </c>
      <c r="G1924" s="2" t="str">
        <f aca="false">IF(OR(3キー同時!$B$110="",3キー同時!$G$110=""),"",IF(3キー同時!AX112="","",SUBSTITUTE(SUBSTITUTE(3キー同時!AX112," ",""),"　","")))</f>
        <v/>
      </c>
      <c r="H1924" s="2" t="str">
        <f aca="false">IF($G1924="","",3キー同時!$B$110)</f>
        <v/>
      </c>
      <c r="I1924" s="2" t="str">
        <f aca="false">IF($G1924="","",3キー同時!$G$110)</f>
        <v/>
      </c>
      <c r="J1924" s="2" t="str">
        <f aca="false">IF($G1924="","","=")</f>
        <v/>
      </c>
      <c r="K1924" s="2" t="str">
        <f aca="false">""</f>
        <v/>
      </c>
      <c r="L1924" s="2" t="str">
        <f aca="false">IF($G1924="","","同時")</f>
        <v/>
      </c>
      <c r="M1924" s="2" t="str">
        <f aca="false">IF($G1924="","",IF(ISNA(MATCH($G1924,個別指定!$A:$A,0)),"行なし",""))</f>
        <v/>
      </c>
      <c r="N1924" s="2" t="str">
        <f aca="false">IF($G1924="","",IF(COUNTIF($G$2:$G$4460,$G1924)&gt;1,"重複",""))</f>
        <v/>
      </c>
    </row>
    <row r="1925" customFormat="false" ht="16.5" hidden="false" customHeight="true" outlineLevel="0" collapsed="false">
      <c r="A1925" s="2" t="s">
        <v>416</v>
      </c>
      <c r="B1925" s="2" t="s">
        <v>425</v>
      </c>
      <c r="C1925" s="2" t="s">
        <v>12</v>
      </c>
      <c r="D1925" s="2" t="str">
        <f aca="false">IF(3キー同時!$B$110="","",3キー同時!$B$110)</f>
        <v>f</v>
      </c>
      <c r="E1925" s="2" t="str">
        <f aca="false">IF(3キー同時!$G$110="","",3キー同時!$G$110)</f>
        <v>;</v>
      </c>
      <c r="F1925" s="2" t="str">
        <f aca="false">""</f>
        <v/>
      </c>
      <c r="G1925" s="2" t="str">
        <f aca="false">IF(OR(3キー同時!$B$110="",3キー同時!$G$110=""),"",IF(3キー同時!H114="","",SUBSTITUTE(SUBSTITUTE(3キー同時!H114," ",""),"　","")))</f>
        <v/>
      </c>
      <c r="H1925" s="2" t="str">
        <f aca="false">IF($G1925="","",3キー同時!$B$110)</f>
        <v/>
      </c>
      <c r="I1925" s="2" t="str">
        <f aca="false">IF($G1925="","",3キー同時!$G$110)</f>
        <v/>
      </c>
      <c r="J1925" s="2" t="str">
        <f aca="false">IF($G1925="","","q")</f>
        <v/>
      </c>
      <c r="K1925" s="2" t="str">
        <f aca="false">""</f>
        <v/>
      </c>
      <c r="L1925" s="2" t="str">
        <f aca="false">IF($G1925="","","同時")</f>
        <v/>
      </c>
      <c r="M1925" s="2" t="str">
        <f aca="false">IF($G1925="","",IF(ISNA(MATCH($G1925,個別指定!$A:$A,0)),"行なし",""))</f>
        <v/>
      </c>
      <c r="N1925" s="2" t="str">
        <f aca="false">IF($G1925="","",IF(COUNTIF($G$2:$G$4460,$G1925)&gt;1,"重複",""))</f>
        <v/>
      </c>
    </row>
    <row r="1926" customFormat="false" ht="16.5" hidden="false" customHeight="true" outlineLevel="0" collapsed="false">
      <c r="A1926" s="2" t="s">
        <v>416</v>
      </c>
      <c r="B1926" s="2" t="s">
        <v>425</v>
      </c>
      <c r="C1926" s="2" t="s">
        <v>13</v>
      </c>
      <c r="D1926" s="2" t="str">
        <f aca="false">IF(3キー同時!$B$110="","",3キー同時!$B$110)</f>
        <v>f</v>
      </c>
      <c r="E1926" s="2" t="str">
        <f aca="false">IF(3キー同時!$G$110="","",3キー同時!$G$110)</f>
        <v>;</v>
      </c>
      <c r="F1926" s="2" t="str">
        <f aca="false">""</f>
        <v/>
      </c>
      <c r="G1926" s="2" t="str">
        <f aca="false">IF(OR(3キー同時!$B$110="",3キー同時!$G$110=""),"",IF(3キー同時!L114="","",SUBSTITUTE(SUBSTITUTE(3キー同時!L114," ",""),"　","")))</f>
        <v/>
      </c>
      <c r="H1926" s="2" t="str">
        <f aca="false">IF($G1926="","",3キー同時!$B$110)</f>
        <v/>
      </c>
      <c r="I1926" s="2" t="str">
        <f aca="false">IF($G1926="","",3キー同時!$G$110)</f>
        <v/>
      </c>
      <c r="J1926" s="2" t="str">
        <f aca="false">IF($G1926="","","w")</f>
        <v/>
      </c>
      <c r="K1926" s="2" t="str">
        <f aca="false">""</f>
        <v/>
      </c>
      <c r="L1926" s="2" t="str">
        <f aca="false">IF($G1926="","","同時")</f>
        <v/>
      </c>
      <c r="M1926" s="2" t="str">
        <f aca="false">IF($G1926="","",IF(ISNA(MATCH($G1926,個別指定!$A:$A,0)),"行なし",""))</f>
        <v/>
      </c>
      <c r="N1926" s="2" t="str">
        <f aca="false">IF($G1926="","",IF(COUNTIF($G$2:$G$4460,$G1926)&gt;1,"重複",""))</f>
        <v/>
      </c>
    </row>
    <row r="1927" customFormat="false" ht="16.5" hidden="false" customHeight="true" outlineLevel="0" collapsed="false">
      <c r="A1927" s="2" t="s">
        <v>416</v>
      </c>
      <c r="B1927" s="2" t="s">
        <v>425</v>
      </c>
      <c r="C1927" s="2" t="s">
        <v>14</v>
      </c>
      <c r="D1927" s="2" t="str">
        <f aca="false">IF(3キー同時!$B$110="","",3キー同時!$B$110)</f>
        <v>f</v>
      </c>
      <c r="E1927" s="2" t="str">
        <f aca="false">IF(3キー同時!$G$110="","",3キー同時!$G$110)</f>
        <v>;</v>
      </c>
      <c r="F1927" s="2" t="str">
        <f aca="false">""</f>
        <v/>
      </c>
      <c r="G1927" s="2" t="str">
        <f aca="false">IF(OR(3キー同時!$B$110="",3キー同時!$G$110=""),"",IF(3キー同時!P114="","",SUBSTITUTE(SUBSTITUTE(3キー同時!P114," ",""),"　","")))</f>
        <v/>
      </c>
      <c r="H1927" s="2" t="str">
        <f aca="false">IF($G1927="","",3キー同時!$B$110)</f>
        <v/>
      </c>
      <c r="I1927" s="2" t="str">
        <f aca="false">IF($G1927="","",3キー同時!$G$110)</f>
        <v/>
      </c>
      <c r="J1927" s="2" t="str">
        <f aca="false">IF($G1927="","","e")</f>
        <v/>
      </c>
      <c r="K1927" s="2" t="str">
        <f aca="false">""</f>
        <v/>
      </c>
      <c r="L1927" s="2" t="str">
        <f aca="false">IF($G1927="","","同時")</f>
        <v/>
      </c>
      <c r="M1927" s="2" t="str">
        <f aca="false">IF($G1927="","",IF(ISNA(MATCH($G1927,個別指定!$A:$A,0)),"行なし",""))</f>
        <v/>
      </c>
      <c r="N1927" s="2" t="str">
        <f aca="false">IF($G1927="","",IF(COUNTIF($G$2:$G$4460,$G1927)&gt;1,"重複",""))</f>
        <v/>
      </c>
    </row>
    <row r="1928" customFormat="false" ht="16.5" hidden="false" customHeight="true" outlineLevel="0" collapsed="false">
      <c r="A1928" s="2" t="s">
        <v>416</v>
      </c>
      <c r="B1928" s="2" t="s">
        <v>425</v>
      </c>
      <c r="C1928" s="2" t="s">
        <v>15</v>
      </c>
      <c r="D1928" s="2" t="str">
        <f aca="false">IF(3キー同時!$B$110="","",3キー同時!$B$110)</f>
        <v>f</v>
      </c>
      <c r="E1928" s="2" t="str">
        <f aca="false">IF(3キー同時!$G$110="","",3キー同時!$G$110)</f>
        <v>;</v>
      </c>
      <c r="F1928" s="2" t="str">
        <f aca="false">""</f>
        <v/>
      </c>
      <c r="G1928" s="2" t="str">
        <f aca="false">IF(OR(3キー同時!$B$110="",3キー同時!$G$110=""),"",IF(3キー同時!T114="","",SUBSTITUTE(SUBSTITUTE(3キー同時!T114," ",""),"　","")))</f>
        <v/>
      </c>
      <c r="H1928" s="2" t="str">
        <f aca="false">IF($G1928="","",3キー同時!$B$110)</f>
        <v/>
      </c>
      <c r="I1928" s="2" t="str">
        <f aca="false">IF($G1928="","",3キー同時!$G$110)</f>
        <v/>
      </c>
      <c r="J1928" s="2" t="str">
        <f aca="false">IF($G1928="","","r")</f>
        <v/>
      </c>
      <c r="K1928" s="2" t="str">
        <f aca="false">""</f>
        <v/>
      </c>
      <c r="L1928" s="2" t="str">
        <f aca="false">IF($G1928="","","同時")</f>
        <v/>
      </c>
      <c r="M1928" s="2" t="str">
        <f aca="false">IF($G1928="","",IF(ISNA(MATCH($G1928,個別指定!$A:$A,0)),"行なし",""))</f>
        <v/>
      </c>
      <c r="N1928" s="2" t="str">
        <f aca="false">IF($G1928="","",IF(COUNTIF($G$2:$G$4460,$G1928)&gt;1,"重複",""))</f>
        <v/>
      </c>
    </row>
    <row r="1929" customFormat="false" ht="16.5" hidden="false" customHeight="true" outlineLevel="0" collapsed="false">
      <c r="A1929" s="2" t="s">
        <v>416</v>
      </c>
      <c r="B1929" s="2" t="s">
        <v>425</v>
      </c>
      <c r="C1929" s="2" t="s">
        <v>16</v>
      </c>
      <c r="D1929" s="2" t="str">
        <f aca="false">IF(3キー同時!$B$110="","",3キー同時!$B$110)</f>
        <v>f</v>
      </c>
      <c r="E1929" s="2" t="str">
        <f aca="false">IF(3キー同時!$G$110="","",3キー同時!$G$110)</f>
        <v>;</v>
      </c>
      <c r="F1929" s="2" t="str">
        <f aca="false">""</f>
        <v/>
      </c>
      <c r="G1929" s="2" t="str">
        <f aca="false">IF(OR(3キー同時!$B$110="",3キー同時!$G$110=""),"",IF(3キー同時!X114="","",SUBSTITUTE(SUBSTITUTE(3キー同時!X114," ",""),"　","")))</f>
        <v/>
      </c>
      <c r="H1929" s="2" t="str">
        <f aca="false">IF($G1929="","",3キー同時!$B$110)</f>
        <v/>
      </c>
      <c r="I1929" s="2" t="str">
        <f aca="false">IF($G1929="","",3キー同時!$G$110)</f>
        <v/>
      </c>
      <c r="J1929" s="2" t="str">
        <f aca="false">IF($G1929="","","t")</f>
        <v/>
      </c>
      <c r="K1929" s="2" t="str">
        <f aca="false">""</f>
        <v/>
      </c>
      <c r="L1929" s="2" t="str">
        <f aca="false">IF($G1929="","","同時")</f>
        <v/>
      </c>
      <c r="M1929" s="2" t="str">
        <f aca="false">IF($G1929="","",IF(ISNA(MATCH($G1929,個別指定!$A:$A,0)),"行なし",""))</f>
        <v/>
      </c>
      <c r="N1929" s="2" t="str">
        <f aca="false">IF($G1929="","",IF(COUNTIF($G$2:$G$4460,$G1929)&gt;1,"重複",""))</f>
        <v/>
      </c>
    </row>
    <row r="1930" customFormat="false" ht="16.5" hidden="false" customHeight="true" outlineLevel="0" collapsed="false">
      <c r="A1930" s="2" t="s">
        <v>416</v>
      </c>
      <c r="B1930" s="2" t="s">
        <v>425</v>
      </c>
      <c r="C1930" s="2" t="s">
        <v>17</v>
      </c>
      <c r="D1930" s="2" t="str">
        <f aca="false">IF(3キー同時!$B$110="","",3キー同時!$B$110)</f>
        <v>f</v>
      </c>
      <c r="E1930" s="2" t="str">
        <f aca="false">IF(3キー同時!$G$110="","",3キー同時!$G$110)</f>
        <v>;</v>
      </c>
      <c r="F1930" s="2" t="str">
        <f aca="false">""</f>
        <v/>
      </c>
      <c r="G1930" s="2" t="str">
        <f aca="false">IF(OR(3キー同時!$B$110="",3キー同時!$G$110=""),"",IF(3キー同時!AB114="","",SUBSTITUTE(SUBSTITUTE(3キー同時!AB114," ",""),"　","")))</f>
        <v/>
      </c>
      <c r="H1930" s="2" t="str">
        <f aca="false">IF($G1930="","",3キー同時!$B$110)</f>
        <v/>
      </c>
      <c r="I1930" s="2" t="str">
        <f aca="false">IF($G1930="","",3キー同時!$G$110)</f>
        <v/>
      </c>
      <c r="J1930" s="2" t="str">
        <f aca="false">IF($G1930="","","y")</f>
        <v/>
      </c>
      <c r="K1930" s="2" t="str">
        <f aca="false">""</f>
        <v/>
      </c>
      <c r="L1930" s="2" t="str">
        <f aca="false">IF($G1930="","","同時")</f>
        <v/>
      </c>
      <c r="M1930" s="2" t="str">
        <f aca="false">IF($G1930="","",IF(ISNA(MATCH($G1930,個別指定!$A:$A,0)),"行なし",""))</f>
        <v/>
      </c>
      <c r="N1930" s="2" t="str">
        <f aca="false">IF($G1930="","",IF(COUNTIF($G$2:$G$4460,$G1930)&gt;1,"重複",""))</f>
        <v/>
      </c>
    </row>
    <row r="1931" customFormat="false" ht="16.5" hidden="false" customHeight="true" outlineLevel="0" collapsed="false">
      <c r="A1931" s="2" t="s">
        <v>416</v>
      </c>
      <c r="B1931" s="2" t="s">
        <v>425</v>
      </c>
      <c r="C1931" s="2" t="s">
        <v>18</v>
      </c>
      <c r="D1931" s="2" t="str">
        <f aca="false">IF(3キー同時!$B$110="","",3キー同時!$B$110)</f>
        <v>f</v>
      </c>
      <c r="E1931" s="2" t="str">
        <f aca="false">IF(3キー同時!$G$110="","",3キー同時!$G$110)</f>
        <v>;</v>
      </c>
      <c r="F1931" s="2" t="str">
        <f aca="false">""</f>
        <v/>
      </c>
      <c r="G1931" s="2" t="str">
        <f aca="false">IF(OR(3キー同時!$B$110="",3キー同時!$G$110=""),"",IF(3キー同時!AF114="","",SUBSTITUTE(SUBSTITUTE(3キー同時!AF114," ",""),"　","")))</f>
        <v/>
      </c>
      <c r="H1931" s="2" t="str">
        <f aca="false">IF($G1931="","",3キー同時!$B$110)</f>
        <v/>
      </c>
      <c r="I1931" s="2" t="str">
        <f aca="false">IF($G1931="","",3キー同時!$G$110)</f>
        <v/>
      </c>
      <c r="J1931" s="2" t="str">
        <f aca="false">IF($G1931="","","u")</f>
        <v/>
      </c>
      <c r="K1931" s="2" t="str">
        <f aca="false">""</f>
        <v/>
      </c>
      <c r="L1931" s="2" t="str">
        <f aca="false">IF($G1931="","","同時")</f>
        <v/>
      </c>
      <c r="M1931" s="2" t="str">
        <f aca="false">IF($G1931="","",IF(ISNA(MATCH($G1931,個別指定!$A:$A,0)),"行なし",""))</f>
        <v/>
      </c>
      <c r="N1931" s="2" t="str">
        <f aca="false">IF($G1931="","",IF(COUNTIF($G$2:$G$4460,$G1931)&gt;1,"重複",""))</f>
        <v/>
      </c>
    </row>
    <row r="1932" customFormat="false" ht="16.5" hidden="false" customHeight="true" outlineLevel="0" collapsed="false">
      <c r="A1932" s="2" t="s">
        <v>416</v>
      </c>
      <c r="B1932" s="2" t="s">
        <v>425</v>
      </c>
      <c r="C1932" s="2" t="s">
        <v>19</v>
      </c>
      <c r="D1932" s="2" t="str">
        <f aca="false">IF(3キー同時!$B$110="","",3キー同時!$B$110)</f>
        <v>f</v>
      </c>
      <c r="E1932" s="2" t="str">
        <f aca="false">IF(3キー同時!$G$110="","",3キー同時!$G$110)</f>
        <v>;</v>
      </c>
      <c r="F1932" s="2" t="str">
        <f aca="false">""</f>
        <v/>
      </c>
      <c r="G1932" s="2" t="str">
        <f aca="false">IF(OR(3キー同時!$B$110="",3キー同時!$G$110=""),"",IF(3キー同時!AJ114="","",SUBSTITUTE(SUBSTITUTE(3キー同時!AJ114," ",""),"　","")))</f>
        <v/>
      </c>
      <c r="H1932" s="2" t="str">
        <f aca="false">IF($G1932="","",3キー同時!$B$110)</f>
        <v/>
      </c>
      <c r="I1932" s="2" t="str">
        <f aca="false">IF($G1932="","",3キー同時!$G$110)</f>
        <v/>
      </c>
      <c r="J1932" s="2" t="str">
        <f aca="false">IF($G1932="","","i")</f>
        <v/>
      </c>
      <c r="K1932" s="2" t="str">
        <f aca="false">""</f>
        <v/>
      </c>
      <c r="L1932" s="2" t="str">
        <f aca="false">IF($G1932="","","同時")</f>
        <v/>
      </c>
      <c r="M1932" s="2" t="str">
        <f aca="false">IF($G1932="","",IF(ISNA(MATCH($G1932,個別指定!$A:$A,0)),"行なし",""))</f>
        <v/>
      </c>
      <c r="N1932" s="2" t="str">
        <f aca="false">IF($G1932="","",IF(COUNTIF($G$2:$G$4460,$G1932)&gt;1,"重複",""))</f>
        <v/>
      </c>
    </row>
    <row r="1933" customFormat="false" ht="16.5" hidden="false" customHeight="true" outlineLevel="0" collapsed="false">
      <c r="A1933" s="2" t="s">
        <v>416</v>
      </c>
      <c r="B1933" s="2" t="s">
        <v>425</v>
      </c>
      <c r="C1933" s="2" t="s">
        <v>20</v>
      </c>
      <c r="D1933" s="2" t="str">
        <f aca="false">IF(3キー同時!$B$110="","",3キー同時!$B$110)</f>
        <v>f</v>
      </c>
      <c r="E1933" s="2" t="str">
        <f aca="false">IF(3キー同時!$G$110="","",3キー同時!$G$110)</f>
        <v>;</v>
      </c>
      <c r="F1933" s="2" t="str">
        <f aca="false">""</f>
        <v/>
      </c>
      <c r="G1933" s="2" t="str">
        <f aca="false">IF(OR(3キー同時!$B$110="",3キー同時!$G$110=""),"",IF(3キー同時!AN114="","",SUBSTITUTE(SUBSTITUTE(3キー同時!AN114," ",""),"　","")))</f>
        <v/>
      </c>
      <c r="H1933" s="2" t="str">
        <f aca="false">IF($G1933="","",3キー同時!$B$110)</f>
        <v/>
      </c>
      <c r="I1933" s="2" t="str">
        <f aca="false">IF($G1933="","",3キー同時!$G$110)</f>
        <v/>
      </c>
      <c r="J1933" s="2" t="str">
        <f aca="false">IF($G1933="","","o")</f>
        <v/>
      </c>
      <c r="K1933" s="2" t="str">
        <f aca="false">""</f>
        <v/>
      </c>
      <c r="L1933" s="2" t="str">
        <f aca="false">IF($G1933="","","同時")</f>
        <v/>
      </c>
      <c r="M1933" s="2" t="str">
        <f aca="false">IF($G1933="","",IF(ISNA(MATCH($G1933,個別指定!$A:$A,0)),"行なし",""))</f>
        <v/>
      </c>
      <c r="N1933" s="2" t="str">
        <f aca="false">IF($G1933="","",IF(COUNTIF($G$2:$G$4460,$G1933)&gt;1,"重複",""))</f>
        <v/>
      </c>
    </row>
    <row r="1934" customFormat="false" ht="16.5" hidden="false" customHeight="true" outlineLevel="0" collapsed="false">
      <c r="A1934" s="2" t="s">
        <v>416</v>
      </c>
      <c r="B1934" s="2" t="s">
        <v>425</v>
      </c>
      <c r="C1934" s="2" t="s">
        <v>21</v>
      </c>
      <c r="D1934" s="2" t="str">
        <f aca="false">IF(3キー同時!$B$110="","",3キー同時!$B$110)</f>
        <v>f</v>
      </c>
      <c r="E1934" s="2" t="str">
        <f aca="false">IF(3キー同時!$G$110="","",3キー同時!$G$110)</f>
        <v>;</v>
      </c>
      <c r="F1934" s="2" t="str">
        <f aca="false">""</f>
        <v/>
      </c>
      <c r="G1934" s="2" t="str">
        <f aca="false">IF(OR(3キー同時!$B$110="",3キー同時!$G$110=""),"",IF(3キー同時!AR114="","",SUBSTITUTE(SUBSTITUTE(3キー同時!AR114," ",""),"　","")))</f>
        <v/>
      </c>
      <c r="H1934" s="2" t="str">
        <f aca="false">IF($G1934="","",3キー同時!$B$110)</f>
        <v/>
      </c>
      <c r="I1934" s="2" t="str">
        <f aca="false">IF($G1934="","",3キー同時!$G$110)</f>
        <v/>
      </c>
      <c r="J1934" s="2" t="str">
        <f aca="false">IF($G1934="","","p")</f>
        <v/>
      </c>
      <c r="K1934" s="2" t="str">
        <f aca="false">""</f>
        <v/>
      </c>
      <c r="L1934" s="2" t="str">
        <f aca="false">IF($G1934="","","同時")</f>
        <v/>
      </c>
      <c r="M1934" s="2" t="str">
        <f aca="false">IF($G1934="","",IF(ISNA(MATCH($G1934,個別指定!$A:$A,0)),"行なし",""))</f>
        <v/>
      </c>
      <c r="N1934" s="2" t="str">
        <f aca="false">IF($G1934="","",IF(COUNTIF($G$2:$G$4460,$G1934)&gt;1,"重複",""))</f>
        <v/>
      </c>
    </row>
    <row r="1935" customFormat="false" ht="16.5" hidden="false" customHeight="true" outlineLevel="0" collapsed="false">
      <c r="A1935" s="2" t="s">
        <v>416</v>
      </c>
      <c r="B1935" s="2" t="s">
        <v>425</v>
      </c>
      <c r="C1935" s="2" t="s">
        <v>22</v>
      </c>
      <c r="D1935" s="2" t="str">
        <f aca="false">IF(3キー同時!$B$110="","",3キー同時!$B$110)</f>
        <v>f</v>
      </c>
      <c r="E1935" s="2" t="str">
        <f aca="false">IF(3キー同時!$G$110="","",3キー同時!$G$110)</f>
        <v>;</v>
      </c>
      <c r="F1935" s="2" t="str">
        <f aca="false">""</f>
        <v/>
      </c>
      <c r="G1935" s="2" t="str">
        <f aca="false">IF(OR(3キー同時!$B$110="",3キー同時!$G$110=""),"",IF(3キー同時!AV114="","",SUBSTITUTE(SUBSTITUTE(3キー同時!AV114," ",""),"　","")))</f>
        <v/>
      </c>
      <c r="H1935" s="2" t="str">
        <f aca="false">IF($G1935="","",3キー同時!$B$110)</f>
        <v/>
      </c>
      <c r="I1935" s="2" t="str">
        <f aca="false">IF($G1935="","",3キー同時!$G$110)</f>
        <v/>
      </c>
      <c r="J1935" s="2" t="str">
        <f aca="false">IF($G1935="","","[")</f>
        <v/>
      </c>
      <c r="K1935" s="2" t="str">
        <f aca="false">""</f>
        <v/>
      </c>
      <c r="L1935" s="2" t="str">
        <f aca="false">IF($G1935="","","同時")</f>
        <v/>
      </c>
      <c r="M1935" s="2" t="str">
        <f aca="false">IF($G1935="","",IF(ISNA(MATCH($G1935,個別指定!$A:$A,0)),"行なし",""))</f>
        <v/>
      </c>
      <c r="N1935" s="2" t="str">
        <f aca="false">IF($G1935="","",IF(COUNTIF($G$2:$G$4460,$G1935)&gt;1,"重複",""))</f>
        <v/>
      </c>
    </row>
    <row r="1936" customFormat="false" ht="16.5" hidden="false" customHeight="true" outlineLevel="0" collapsed="false">
      <c r="A1936" s="2" t="s">
        <v>416</v>
      </c>
      <c r="B1936" s="2" t="s">
        <v>425</v>
      </c>
      <c r="C1936" s="2" t="s">
        <v>23</v>
      </c>
      <c r="D1936" s="2" t="str">
        <f aca="false">IF(3キー同時!$B$110="","",3キー同時!$B$110)</f>
        <v>f</v>
      </c>
      <c r="E1936" s="2" t="str">
        <f aca="false">IF(3キー同時!$G$110="","",3キー同時!$G$110)</f>
        <v>;</v>
      </c>
      <c r="F1936" s="2" t="str">
        <f aca="false">""</f>
        <v/>
      </c>
      <c r="G1936" s="2" t="str">
        <f aca="false">IF(OR(3キー同時!$B$110="",3キー同時!$G$110=""),"",IF(3キー同時!AZ114="","",SUBSTITUTE(SUBSTITUTE(3キー同時!AZ114," ",""),"　","")))</f>
        <v/>
      </c>
      <c r="H1936" s="2" t="str">
        <f aca="false">IF($G1936="","",3キー同時!$B$110)</f>
        <v/>
      </c>
      <c r="I1936" s="2" t="str">
        <f aca="false">IF($G1936="","",3キー同時!$G$110)</f>
        <v/>
      </c>
      <c r="J1936" s="2" t="str">
        <f aca="false">IF($G1936="","","]")</f>
        <v/>
      </c>
      <c r="K1936" s="2" t="str">
        <f aca="false">""</f>
        <v/>
      </c>
      <c r="L1936" s="2" t="str">
        <f aca="false">IF($G1936="","","同時")</f>
        <v/>
      </c>
      <c r="M1936" s="2" t="str">
        <f aca="false">IF($G1936="","",IF(ISNA(MATCH($G1936,個別指定!$A:$A,0)),"行なし",""))</f>
        <v/>
      </c>
      <c r="N1936" s="2" t="str">
        <f aca="false">IF($G1936="","",IF(COUNTIF($G$2:$G$4460,$G1936)&gt;1,"重複",""))</f>
        <v/>
      </c>
    </row>
    <row r="1937" customFormat="false" ht="16.5" hidden="false" customHeight="true" outlineLevel="0" collapsed="false">
      <c r="A1937" s="2" t="s">
        <v>416</v>
      </c>
      <c r="B1937" s="2" t="s">
        <v>425</v>
      </c>
      <c r="C1937" s="2" t="s">
        <v>24</v>
      </c>
      <c r="D1937" s="2" t="str">
        <f aca="false">IF(3キー同時!$B$110="","",3キー同時!$B$110)</f>
        <v>f</v>
      </c>
      <c r="E1937" s="2" t="str">
        <f aca="false">IF(3キー同時!$G$110="","",3キー同時!$G$110)</f>
        <v>;</v>
      </c>
      <c r="F1937" s="2" t="str">
        <f aca="false">""</f>
        <v/>
      </c>
      <c r="G1937" s="2" t="str">
        <f aca="false">IF(OR(3キー同時!$B$110="",3キー同時!$G$110=""),"",IF(3キー同時!I116="","",SUBSTITUTE(SUBSTITUTE(3キー同時!I116," ",""),"　","")))</f>
        <v/>
      </c>
      <c r="H1937" s="2" t="str">
        <f aca="false">IF($G1937="","",3キー同時!$B$110)</f>
        <v/>
      </c>
      <c r="I1937" s="2" t="str">
        <f aca="false">IF($G1937="","",3キー同時!$G$110)</f>
        <v/>
      </c>
      <c r="J1937" s="2" t="str">
        <f aca="false">IF($G1937="","","a")</f>
        <v/>
      </c>
      <c r="K1937" s="2" t="str">
        <f aca="false">""</f>
        <v/>
      </c>
      <c r="L1937" s="2" t="str">
        <f aca="false">IF($G1937="","","同時")</f>
        <v/>
      </c>
      <c r="M1937" s="2" t="str">
        <f aca="false">IF($G1937="","",IF(ISNA(MATCH($G1937,個別指定!$A:$A,0)),"行なし",""))</f>
        <v/>
      </c>
      <c r="N1937" s="2" t="str">
        <f aca="false">IF($G1937="","",IF(COUNTIF($G$2:$G$4460,$G1937)&gt;1,"重複",""))</f>
        <v/>
      </c>
    </row>
    <row r="1938" customFormat="false" ht="16.5" hidden="false" customHeight="true" outlineLevel="0" collapsed="false">
      <c r="A1938" s="2" t="s">
        <v>416</v>
      </c>
      <c r="B1938" s="2" t="s">
        <v>425</v>
      </c>
      <c r="C1938" s="2" t="s">
        <v>25</v>
      </c>
      <c r="D1938" s="2" t="str">
        <f aca="false">IF(3キー同時!$B$110="","",3キー同時!$B$110)</f>
        <v>f</v>
      </c>
      <c r="E1938" s="2" t="str">
        <f aca="false">IF(3キー同時!$G$110="","",3キー同時!$G$110)</f>
        <v>;</v>
      </c>
      <c r="F1938" s="2" t="str">
        <f aca="false">""</f>
        <v/>
      </c>
      <c r="G1938" s="2" t="str">
        <f aca="false">IF(OR(3キー同時!$B$110="",3キー同時!$G$110=""),"",IF(3キー同時!M116="","",SUBSTITUTE(SUBSTITUTE(3キー同時!M116," ",""),"　","")))</f>
        <v/>
      </c>
      <c r="H1938" s="2" t="str">
        <f aca="false">IF($G1938="","",3キー同時!$B$110)</f>
        <v/>
      </c>
      <c r="I1938" s="2" t="str">
        <f aca="false">IF($G1938="","",3キー同時!$G$110)</f>
        <v/>
      </c>
      <c r="J1938" s="2" t="str">
        <f aca="false">IF($G1938="","","s")</f>
        <v/>
      </c>
      <c r="K1938" s="2" t="str">
        <f aca="false">""</f>
        <v/>
      </c>
      <c r="L1938" s="2" t="str">
        <f aca="false">IF($G1938="","","同時")</f>
        <v/>
      </c>
      <c r="M1938" s="2" t="str">
        <f aca="false">IF($G1938="","",IF(ISNA(MATCH($G1938,個別指定!$A:$A,0)),"行なし",""))</f>
        <v/>
      </c>
      <c r="N1938" s="2" t="str">
        <f aca="false">IF($G1938="","",IF(COUNTIF($G$2:$G$4460,$G1938)&gt;1,"重複",""))</f>
        <v/>
      </c>
    </row>
    <row r="1939" customFormat="false" ht="16.5" hidden="false" customHeight="true" outlineLevel="0" collapsed="false">
      <c r="A1939" s="2" t="s">
        <v>416</v>
      </c>
      <c r="B1939" s="2" t="s">
        <v>425</v>
      </c>
      <c r="C1939" s="2" t="s">
        <v>26</v>
      </c>
      <c r="D1939" s="2" t="str">
        <f aca="false">IF(3キー同時!$B$110="","",3キー同時!$B$110)</f>
        <v>f</v>
      </c>
      <c r="E1939" s="2" t="str">
        <f aca="false">IF(3キー同時!$G$110="","",3キー同時!$G$110)</f>
        <v>;</v>
      </c>
      <c r="F1939" s="2" t="str">
        <f aca="false">""</f>
        <v/>
      </c>
      <c r="G1939" s="2" t="str">
        <f aca="false">IF(OR(3キー同時!$B$110="",3キー同時!$G$110=""),"",IF(3キー同時!Q116="","",SUBSTITUTE(SUBSTITUTE(3キー同時!Q116," ",""),"　","")))</f>
        <v/>
      </c>
      <c r="H1939" s="2" t="str">
        <f aca="false">IF($G1939="","",3キー同時!$B$110)</f>
        <v/>
      </c>
      <c r="I1939" s="2" t="str">
        <f aca="false">IF($G1939="","",3キー同時!$G$110)</f>
        <v/>
      </c>
      <c r="J1939" s="2" t="str">
        <f aca="false">IF($G1939="","","d")</f>
        <v/>
      </c>
      <c r="K1939" s="2" t="str">
        <f aca="false">""</f>
        <v/>
      </c>
      <c r="L1939" s="2" t="str">
        <f aca="false">IF($G1939="","","同時")</f>
        <v/>
      </c>
      <c r="M1939" s="2" t="str">
        <f aca="false">IF($G1939="","",IF(ISNA(MATCH($G1939,個別指定!$A:$A,0)),"行なし",""))</f>
        <v/>
      </c>
      <c r="N1939" s="2" t="str">
        <f aca="false">IF($G1939="","",IF(COUNTIF($G$2:$G$4460,$G1939)&gt;1,"重複",""))</f>
        <v/>
      </c>
    </row>
    <row r="1940" customFormat="false" ht="16.5" hidden="false" customHeight="true" outlineLevel="0" collapsed="false">
      <c r="A1940" s="2" t="s">
        <v>416</v>
      </c>
      <c r="B1940" s="2" t="s">
        <v>425</v>
      </c>
      <c r="C1940" s="2" t="s">
        <v>27</v>
      </c>
      <c r="D1940" s="2" t="str">
        <f aca="false">IF(3キー同時!$B$110="","",3キー同時!$B$110)</f>
        <v>f</v>
      </c>
      <c r="E1940" s="2" t="str">
        <f aca="false">IF(3キー同時!$G$110="","",3キー同時!$G$110)</f>
        <v>;</v>
      </c>
      <c r="F1940" s="2" t="str">
        <f aca="false">""</f>
        <v/>
      </c>
      <c r="G1940" s="2" t="str">
        <f aca="false">IF(OR(3キー同時!$B$110="",3キー同時!$G$110=""),"",IF(3キー同時!U116="","",SUBSTITUTE(SUBSTITUTE(3キー同時!U116," ",""),"　","")))</f>
        <v/>
      </c>
      <c r="H1940" s="2" t="str">
        <f aca="false">IF($G1940="","",3キー同時!$B$110)</f>
        <v/>
      </c>
      <c r="I1940" s="2" t="str">
        <f aca="false">IF($G1940="","",3キー同時!$G$110)</f>
        <v/>
      </c>
      <c r="J1940" s="2" t="str">
        <f aca="false">IF($G1940="","","f")</f>
        <v/>
      </c>
      <c r="K1940" s="2" t="str">
        <f aca="false">""</f>
        <v/>
      </c>
      <c r="L1940" s="2" t="str">
        <f aca="false">IF($G1940="","","同時")</f>
        <v/>
      </c>
      <c r="M1940" s="2" t="str">
        <f aca="false">IF($G1940="","",IF(ISNA(MATCH($G1940,個別指定!$A:$A,0)),"行なし",""))</f>
        <v/>
      </c>
      <c r="N1940" s="2" t="str">
        <f aca="false">IF($G1940="","",IF(COUNTIF($G$2:$G$4460,$G1940)&gt;1,"重複",""))</f>
        <v/>
      </c>
    </row>
    <row r="1941" customFormat="false" ht="16.5" hidden="false" customHeight="true" outlineLevel="0" collapsed="false">
      <c r="A1941" s="2" t="s">
        <v>416</v>
      </c>
      <c r="B1941" s="2" t="s">
        <v>425</v>
      </c>
      <c r="C1941" s="2" t="s">
        <v>28</v>
      </c>
      <c r="D1941" s="2" t="str">
        <f aca="false">IF(3キー同時!$B$110="","",3キー同時!$B$110)</f>
        <v>f</v>
      </c>
      <c r="E1941" s="2" t="str">
        <f aca="false">IF(3キー同時!$G$110="","",3キー同時!$G$110)</f>
        <v>;</v>
      </c>
      <c r="F1941" s="2" t="str">
        <f aca="false">""</f>
        <v/>
      </c>
      <c r="G1941" s="2" t="str">
        <f aca="false">IF(OR(3キー同時!$B$110="",3キー同時!$G$110=""),"",IF(3キー同時!Y116="","",SUBSTITUTE(SUBSTITUTE(3キー同時!Y116," ",""),"　","")))</f>
        <v/>
      </c>
      <c r="H1941" s="2" t="str">
        <f aca="false">IF($G1941="","",3キー同時!$B$110)</f>
        <v/>
      </c>
      <c r="I1941" s="2" t="str">
        <f aca="false">IF($G1941="","",3キー同時!$G$110)</f>
        <v/>
      </c>
      <c r="J1941" s="2" t="str">
        <f aca="false">IF($G1941="","","g")</f>
        <v/>
      </c>
      <c r="K1941" s="2" t="str">
        <f aca="false">""</f>
        <v/>
      </c>
      <c r="L1941" s="2" t="str">
        <f aca="false">IF($G1941="","","同時")</f>
        <v/>
      </c>
      <c r="M1941" s="2" t="str">
        <f aca="false">IF($G1941="","",IF(ISNA(MATCH($G1941,個別指定!$A:$A,0)),"行なし",""))</f>
        <v/>
      </c>
      <c r="N1941" s="2" t="str">
        <f aca="false">IF($G1941="","",IF(COUNTIF($G$2:$G$4460,$G1941)&gt;1,"重複",""))</f>
        <v/>
      </c>
    </row>
    <row r="1942" customFormat="false" ht="16.5" hidden="false" customHeight="true" outlineLevel="0" collapsed="false">
      <c r="A1942" s="2" t="s">
        <v>416</v>
      </c>
      <c r="B1942" s="2" t="s">
        <v>425</v>
      </c>
      <c r="C1942" s="2" t="s">
        <v>29</v>
      </c>
      <c r="D1942" s="2" t="str">
        <f aca="false">IF(3キー同時!$B$110="","",3キー同時!$B$110)</f>
        <v>f</v>
      </c>
      <c r="E1942" s="2" t="str">
        <f aca="false">IF(3キー同時!$G$110="","",3キー同時!$G$110)</f>
        <v>;</v>
      </c>
      <c r="F1942" s="2" t="str">
        <f aca="false">""</f>
        <v/>
      </c>
      <c r="G1942" s="2" t="str">
        <f aca="false">IF(OR(3キー同時!$B$110="",3キー同時!$G$110=""),"",IF(3キー同時!AC116="","",SUBSTITUTE(SUBSTITUTE(3キー同時!AC116," ",""),"　","")))</f>
        <v/>
      </c>
      <c r="H1942" s="2" t="str">
        <f aca="false">IF($G1942="","",3キー同時!$B$110)</f>
        <v/>
      </c>
      <c r="I1942" s="2" t="str">
        <f aca="false">IF($G1942="","",3キー同時!$G$110)</f>
        <v/>
      </c>
      <c r="J1942" s="2" t="str">
        <f aca="false">IF($G1942="","","h")</f>
        <v/>
      </c>
      <c r="K1942" s="2" t="str">
        <f aca="false">""</f>
        <v/>
      </c>
      <c r="L1942" s="2" t="str">
        <f aca="false">IF($G1942="","","同時")</f>
        <v/>
      </c>
      <c r="M1942" s="2" t="str">
        <f aca="false">IF($G1942="","",IF(ISNA(MATCH($G1942,個別指定!$A:$A,0)),"行なし",""))</f>
        <v/>
      </c>
      <c r="N1942" s="2" t="str">
        <f aca="false">IF($G1942="","",IF(COUNTIF($G$2:$G$4460,$G1942)&gt;1,"重複",""))</f>
        <v/>
      </c>
    </row>
    <row r="1943" customFormat="false" ht="16.5" hidden="false" customHeight="true" outlineLevel="0" collapsed="false">
      <c r="A1943" s="2" t="s">
        <v>416</v>
      </c>
      <c r="B1943" s="2" t="s">
        <v>425</v>
      </c>
      <c r="C1943" s="2" t="s">
        <v>30</v>
      </c>
      <c r="D1943" s="2" t="str">
        <f aca="false">IF(3キー同時!$B$110="","",3キー同時!$B$110)</f>
        <v>f</v>
      </c>
      <c r="E1943" s="2" t="str">
        <f aca="false">IF(3キー同時!$G$110="","",3キー同時!$G$110)</f>
        <v>;</v>
      </c>
      <c r="F1943" s="2" t="str">
        <f aca="false">""</f>
        <v/>
      </c>
      <c r="G1943" s="2" t="str">
        <f aca="false">IF(OR(3キー同時!$B$110="",3キー同時!$G$110=""),"",IF(3キー同時!AG116="","",SUBSTITUTE(SUBSTITUTE(3キー同時!AG116," ",""),"　","")))</f>
        <v/>
      </c>
      <c r="H1943" s="2" t="str">
        <f aca="false">IF($G1943="","",3キー同時!$B$110)</f>
        <v/>
      </c>
      <c r="I1943" s="2" t="str">
        <f aca="false">IF($G1943="","",3キー同時!$G$110)</f>
        <v/>
      </c>
      <c r="J1943" s="2" t="str">
        <f aca="false">IF($G1943="","","j")</f>
        <v/>
      </c>
      <c r="K1943" s="2" t="str">
        <f aca="false">""</f>
        <v/>
      </c>
      <c r="L1943" s="2" t="str">
        <f aca="false">IF($G1943="","","同時")</f>
        <v/>
      </c>
      <c r="M1943" s="2" t="str">
        <f aca="false">IF($G1943="","",IF(ISNA(MATCH($G1943,個別指定!$A:$A,0)),"行なし",""))</f>
        <v/>
      </c>
      <c r="N1943" s="2" t="str">
        <f aca="false">IF($G1943="","",IF(COUNTIF($G$2:$G$4460,$G1943)&gt;1,"重複",""))</f>
        <v/>
      </c>
    </row>
    <row r="1944" customFormat="false" ht="16.5" hidden="false" customHeight="true" outlineLevel="0" collapsed="false">
      <c r="A1944" s="2" t="s">
        <v>416</v>
      </c>
      <c r="B1944" s="2" t="s">
        <v>425</v>
      </c>
      <c r="C1944" s="2" t="s">
        <v>31</v>
      </c>
      <c r="D1944" s="2" t="str">
        <f aca="false">IF(3キー同時!$B$110="","",3キー同時!$B$110)</f>
        <v>f</v>
      </c>
      <c r="E1944" s="2" t="str">
        <f aca="false">IF(3キー同時!$G$110="","",3キー同時!$G$110)</f>
        <v>;</v>
      </c>
      <c r="F1944" s="2" t="str">
        <f aca="false">""</f>
        <v/>
      </c>
      <c r="G1944" s="2" t="str">
        <f aca="false">IF(OR(3キー同時!$B$110="",3キー同時!$G$110=""),"",IF(3キー同時!AK116="","",SUBSTITUTE(SUBSTITUTE(3キー同時!AK116," ",""),"　","")))</f>
        <v/>
      </c>
      <c r="H1944" s="2" t="str">
        <f aca="false">IF($G1944="","",3キー同時!$B$110)</f>
        <v/>
      </c>
      <c r="I1944" s="2" t="str">
        <f aca="false">IF($G1944="","",3キー同時!$G$110)</f>
        <v/>
      </c>
      <c r="J1944" s="2" t="str">
        <f aca="false">IF($G1944="","","k")</f>
        <v/>
      </c>
      <c r="K1944" s="2" t="str">
        <f aca="false">""</f>
        <v/>
      </c>
      <c r="L1944" s="2" t="str">
        <f aca="false">IF($G1944="","","同時")</f>
        <v/>
      </c>
      <c r="M1944" s="2" t="str">
        <f aca="false">IF($G1944="","",IF(ISNA(MATCH($G1944,個別指定!$A:$A,0)),"行なし",""))</f>
        <v/>
      </c>
      <c r="N1944" s="2" t="str">
        <f aca="false">IF($G1944="","",IF(COUNTIF($G$2:$G$4460,$G1944)&gt;1,"重複",""))</f>
        <v/>
      </c>
    </row>
    <row r="1945" customFormat="false" ht="16.5" hidden="false" customHeight="true" outlineLevel="0" collapsed="false">
      <c r="A1945" s="2" t="s">
        <v>416</v>
      </c>
      <c r="B1945" s="2" t="s">
        <v>425</v>
      </c>
      <c r="C1945" s="2" t="s">
        <v>32</v>
      </c>
      <c r="D1945" s="2" t="str">
        <f aca="false">IF(3キー同時!$B$110="","",3キー同時!$B$110)</f>
        <v>f</v>
      </c>
      <c r="E1945" s="2" t="str">
        <f aca="false">IF(3キー同時!$G$110="","",3キー同時!$G$110)</f>
        <v>;</v>
      </c>
      <c r="F1945" s="2" t="str">
        <f aca="false">""</f>
        <v/>
      </c>
      <c r="G1945" s="2" t="str">
        <f aca="false">IF(OR(3キー同時!$B$110="",3キー同時!$G$110=""),"",IF(3キー同時!AO116="","",SUBSTITUTE(SUBSTITUTE(3キー同時!AO116," ",""),"　","")))</f>
        <v>ゔ</v>
      </c>
      <c r="H1945" s="2" t="str">
        <f aca="false">IF($G1945="","",3キー同時!$B$110)</f>
        <v>f</v>
      </c>
      <c r="I1945" s="2" t="str">
        <f aca="false">IF($G1945="","",3キー同時!$G$110)</f>
        <v>;</v>
      </c>
      <c r="J1945" s="2" t="str">
        <f aca="false">IF($G1945="","","l")</f>
        <v>l</v>
      </c>
      <c r="K1945" s="2" t="str">
        <f aca="false">""</f>
        <v/>
      </c>
      <c r="L1945" s="2" t="str">
        <f aca="false">IF($G1945="","","同時")</f>
        <v>同時</v>
      </c>
      <c r="M1945" s="2" t="str">
        <f aca="false">IF($G1945="","",IF(ISNA(MATCH($G1945,個別指定!$A:$A,0)),"行なし",""))</f>
        <v/>
      </c>
      <c r="N1945" s="2" t="str">
        <f aca="false">IF($G1945="","",IF(COUNTIF($G$2:$G$4460,$G1945)&gt;1,"重複",""))</f>
        <v/>
      </c>
    </row>
    <row r="1946" customFormat="false" ht="16.5" hidden="false" customHeight="true" outlineLevel="0" collapsed="false">
      <c r="A1946" s="2" t="s">
        <v>416</v>
      </c>
      <c r="B1946" s="2" t="s">
        <v>425</v>
      </c>
      <c r="C1946" s="2" t="s">
        <v>33</v>
      </c>
      <c r="D1946" s="2" t="str">
        <f aca="false">IF(3キー同時!$B$110="","",3キー同時!$B$110)</f>
        <v>f</v>
      </c>
      <c r="E1946" s="2" t="str">
        <f aca="false">IF(3キー同時!$G$110="","",3キー同時!$G$110)</f>
        <v>;</v>
      </c>
      <c r="F1946" s="2" t="str">
        <f aca="false">""</f>
        <v/>
      </c>
      <c r="G1946" s="2" t="str">
        <f aca="false">IF(OR(3キー同時!$B$110="",3キー同時!$G$110=""),"",IF(3キー同時!AS116="","",SUBSTITUTE(SUBSTITUTE(3キー同時!AS116," ",""),"　","")))</f>
        <v/>
      </c>
      <c r="H1946" s="2" t="str">
        <f aca="false">IF($G1946="","",3キー同時!$B$110)</f>
        <v/>
      </c>
      <c r="I1946" s="2" t="str">
        <f aca="false">IF($G1946="","",3キー同時!$G$110)</f>
        <v/>
      </c>
      <c r="J1946" s="2" t="str">
        <f aca="false">IF($G1946="","",";")</f>
        <v/>
      </c>
      <c r="K1946" s="2" t="str">
        <f aca="false">""</f>
        <v/>
      </c>
      <c r="L1946" s="2" t="str">
        <f aca="false">IF($G1946="","","同時")</f>
        <v/>
      </c>
      <c r="M1946" s="2" t="str">
        <f aca="false">IF($G1946="","",IF(ISNA(MATCH($G1946,個別指定!$A:$A,0)),"行なし",""))</f>
        <v/>
      </c>
      <c r="N1946" s="2" t="str">
        <f aca="false">IF($G1946="","",IF(COUNTIF($G$2:$G$4460,$G1946)&gt;1,"重複",""))</f>
        <v/>
      </c>
    </row>
    <row r="1947" customFormat="false" ht="16.5" hidden="false" customHeight="true" outlineLevel="0" collapsed="false">
      <c r="A1947" s="2" t="s">
        <v>416</v>
      </c>
      <c r="B1947" s="2" t="s">
        <v>425</v>
      </c>
      <c r="C1947" s="2" t="s">
        <v>34</v>
      </c>
      <c r="D1947" s="2" t="str">
        <f aca="false">IF(3キー同時!$B$110="","",3キー同時!$B$110)</f>
        <v>f</v>
      </c>
      <c r="E1947" s="2" t="str">
        <f aca="false">IF(3キー同時!$G$110="","",3キー同時!$G$110)</f>
        <v>;</v>
      </c>
      <c r="F1947" s="2" t="str">
        <f aca="false">""</f>
        <v/>
      </c>
      <c r="G1947" s="2" t="str">
        <f aca="false">IF(OR(3キー同時!$B$110="",3キー同時!$G$110=""),"",IF(3キー同時!AW116="","",SUBSTITUTE(SUBSTITUTE(3キー同時!AW116," ",""),"　","")))</f>
        <v/>
      </c>
      <c r="H1947" s="2" t="str">
        <f aca="false">IF($G1947="","",3キー同時!$B$110)</f>
        <v/>
      </c>
      <c r="I1947" s="2" t="str">
        <f aca="false">IF($G1947="","",3キー同時!$G$110)</f>
        <v/>
      </c>
      <c r="J1947" s="2" t="str">
        <f aca="false">IF($G1947="","","'")</f>
        <v/>
      </c>
      <c r="K1947" s="2" t="str">
        <f aca="false">""</f>
        <v/>
      </c>
      <c r="L1947" s="2" t="str">
        <f aca="false">IF($G1947="","","同時")</f>
        <v/>
      </c>
      <c r="M1947" s="2" t="str">
        <f aca="false">IF($G1947="","",IF(ISNA(MATCH($G1947,個別指定!$A:$A,0)),"行なし",""))</f>
        <v/>
      </c>
      <c r="N1947" s="2" t="str">
        <f aca="false">IF($G1947="","",IF(COUNTIF($G$2:$G$4460,$G1947)&gt;1,"重複",""))</f>
        <v/>
      </c>
    </row>
    <row r="1948" customFormat="false" ht="16.5" hidden="false" customHeight="true" outlineLevel="0" collapsed="false">
      <c r="A1948" s="2" t="s">
        <v>416</v>
      </c>
      <c r="B1948" s="2" t="s">
        <v>425</v>
      </c>
      <c r="C1948" s="2" t="s">
        <v>35</v>
      </c>
      <c r="D1948" s="2" t="str">
        <f aca="false">IF(3キー同時!$B$110="","",3キー同時!$B$110)</f>
        <v>f</v>
      </c>
      <c r="E1948" s="2" t="str">
        <f aca="false">IF(3キー同時!$G$110="","",3キー同時!$G$110)</f>
        <v>;</v>
      </c>
      <c r="F1948" s="2" t="str">
        <f aca="false">""</f>
        <v/>
      </c>
      <c r="G1948" s="2" t="str">
        <f aca="false">IF(OR(3キー同時!$B$110="",3キー同時!$G$110=""),"",IF(3キー同時!K118="","",SUBSTITUTE(SUBSTITUTE(3キー同時!K118," ",""),"　","")))</f>
        <v/>
      </c>
      <c r="H1948" s="2" t="str">
        <f aca="false">IF($G1948="","",3キー同時!$B$110)</f>
        <v/>
      </c>
      <c r="I1948" s="2" t="str">
        <f aca="false">IF($G1948="","",3キー同時!$G$110)</f>
        <v/>
      </c>
      <c r="J1948" s="2" t="str">
        <f aca="false">IF($G1948="","","z")</f>
        <v/>
      </c>
      <c r="K1948" s="2" t="str">
        <f aca="false">""</f>
        <v/>
      </c>
      <c r="L1948" s="2" t="str">
        <f aca="false">IF($G1948="","","同時")</f>
        <v/>
      </c>
      <c r="M1948" s="2" t="str">
        <f aca="false">IF($G1948="","",IF(ISNA(MATCH($G1948,個別指定!$A:$A,0)),"行なし",""))</f>
        <v/>
      </c>
      <c r="N1948" s="2" t="str">
        <f aca="false">IF($G1948="","",IF(COUNTIF($G$2:$G$4460,$G1948)&gt;1,"重複",""))</f>
        <v/>
      </c>
    </row>
    <row r="1949" customFormat="false" ht="16.5" hidden="false" customHeight="true" outlineLevel="0" collapsed="false">
      <c r="A1949" s="2" t="s">
        <v>416</v>
      </c>
      <c r="B1949" s="2" t="s">
        <v>425</v>
      </c>
      <c r="C1949" s="2" t="s">
        <v>36</v>
      </c>
      <c r="D1949" s="2" t="str">
        <f aca="false">IF(3キー同時!$B$110="","",3キー同時!$B$110)</f>
        <v>f</v>
      </c>
      <c r="E1949" s="2" t="str">
        <f aca="false">IF(3キー同時!$G$110="","",3キー同時!$G$110)</f>
        <v>;</v>
      </c>
      <c r="F1949" s="2" t="str">
        <f aca="false">""</f>
        <v/>
      </c>
      <c r="G1949" s="2" t="str">
        <f aca="false">IF(OR(3キー同時!$B$110="",3キー同時!$G$110=""),"",IF(3キー同時!O118="","",SUBSTITUTE(SUBSTITUTE(3キー同時!O118," ",""),"　","")))</f>
        <v/>
      </c>
      <c r="H1949" s="2" t="str">
        <f aca="false">IF($G1949="","",3キー同時!$B$110)</f>
        <v/>
      </c>
      <c r="I1949" s="2" t="str">
        <f aca="false">IF($G1949="","",3キー同時!$G$110)</f>
        <v/>
      </c>
      <c r="J1949" s="2" t="str">
        <f aca="false">IF($G1949="","","x")</f>
        <v/>
      </c>
      <c r="K1949" s="2" t="str">
        <f aca="false">""</f>
        <v/>
      </c>
      <c r="L1949" s="2" t="str">
        <f aca="false">IF($G1949="","","同時")</f>
        <v/>
      </c>
      <c r="M1949" s="2" t="str">
        <f aca="false">IF($G1949="","",IF(ISNA(MATCH($G1949,個別指定!$A:$A,0)),"行なし",""))</f>
        <v/>
      </c>
      <c r="N1949" s="2" t="str">
        <f aca="false">IF($G1949="","",IF(COUNTIF($G$2:$G$4460,$G1949)&gt;1,"重複",""))</f>
        <v/>
      </c>
    </row>
    <row r="1950" customFormat="false" ht="16.5" hidden="false" customHeight="true" outlineLevel="0" collapsed="false">
      <c r="A1950" s="2" t="s">
        <v>416</v>
      </c>
      <c r="B1950" s="2" t="s">
        <v>425</v>
      </c>
      <c r="C1950" s="2" t="s">
        <v>37</v>
      </c>
      <c r="D1950" s="2" t="str">
        <f aca="false">IF(3キー同時!$B$110="","",3キー同時!$B$110)</f>
        <v>f</v>
      </c>
      <c r="E1950" s="2" t="str">
        <f aca="false">IF(3キー同時!$G$110="","",3キー同時!$G$110)</f>
        <v>;</v>
      </c>
      <c r="F1950" s="2" t="str">
        <f aca="false">""</f>
        <v/>
      </c>
      <c r="G1950" s="2" t="str">
        <f aca="false">IF(OR(3キー同時!$B$110="",3キー同時!$G$110=""),"",IF(3キー同時!S118="","",SUBSTITUTE(SUBSTITUTE(3キー同時!S118," ",""),"　","")))</f>
        <v/>
      </c>
      <c r="H1950" s="2" t="str">
        <f aca="false">IF($G1950="","",3キー同時!$B$110)</f>
        <v/>
      </c>
      <c r="I1950" s="2" t="str">
        <f aca="false">IF($G1950="","",3キー同時!$G$110)</f>
        <v/>
      </c>
      <c r="J1950" s="2" t="str">
        <f aca="false">IF($G1950="","","c")</f>
        <v/>
      </c>
      <c r="K1950" s="2" t="str">
        <f aca="false">""</f>
        <v/>
      </c>
      <c r="L1950" s="2" t="str">
        <f aca="false">IF($G1950="","","同時")</f>
        <v/>
      </c>
      <c r="M1950" s="2" t="str">
        <f aca="false">IF($G1950="","",IF(ISNA(MATCH($G1950,個別指定!$A:$A,0)),"行なし",""))</f>
        <v/>
      </c>
      <c r="N1950" s="2" t="str">
        <f aca="false">IF($G1950="","",IF(COUNTIF($G$2:$G$4460,$G1950)&gt;1,"重複",""))</f>
        <v/>
      </c>
    </row>
    <row r="1951" customFormat="false" ht="16.5" hidden="false" customHeight="true" outlineLevel="0" collapsed="false">
      <c r="A1951" s="2" t="s">
        <v>416</v>
      </c>
      <c r="B1951" s="2" t="s">
        <v>425</v>
      </c>
      <c r="C1951" s="2" t="s">
        <v>38</v>
      </c>
      <c r="D1951" s="2" t="str">
        <f aca="false">IF(3キー同時!$B$110="","",3キー同時!$B$110)</f>
        <v>f</v>
      </c>
      <c r="E1951" s="2" t="str">
        <f aca="false">IF(3キー同時!$G$110="","",3キー同時!$G$110)</f>
        <v>;</v>
      </c>
      <c r="F1951" s="2" t="str">
        <f aca="false">""</f>
        <v/>
      </c>
      <c r="G1951" s="2" t="str">
        <f aca="false">IF(OR(3キー同時!$B$110="",3キー同時!$G$110=""),"",IF(3キー同時!W118="","",SUBSTITUTE(SUBSTITUTE(3キー同時!W118," ",""),"　","")))</f>
        <v/>
      </c>
      <c r="H1951" s="2" t="str">
        <f aca="false">IF($G1951="","",3キー同時!$B$110)</f>
        <v/>
      </c>
      <c r="I1951" s="2" t="str">
        <f aca="false">IF($G1951="","",3キー同時!$G$110)</f>
        <v/>
      </c>
      <c r="J1951" s="2" t="str">
        <f aca="false">IF($G1951="","","v")</f>
        <v/>
      </c>
      <c r="K1951" s="2" t="str">
        <f aca="false">""</f>
        <v/>
      </c>
      <c r="L1951" s="2" t="str">
        <f aca="false">IF($G1951="","","同時")</f>
        <v/>
      </c>
      <c r="M1951" s="2" t="str">
        <f aca="false">IF($G1951="","",IF(ISNA(MATCH($G1951,個別指定!$A:$A,0)),"行なし",""))</f>
        <v/>
      </c>
      <c r="N1951" s="2" t="str">
        <f aca="false">IF($G1951="","",IF(COUNTIF($G$2:$G$4460,$G1951)&gt;1,"重複",""))</f>
        <v/>
      </c>
    </row>
    <row r="1952" customFormat="false" ht="16.5" hidden="false" customHeight="true" outlineLevel="0" collapsed="false">
      <c r="A1952" s="2" t="s">
        <v>416</v>
      </c>
      <c r="B1952" s="2" t="s">
        <v>425</v>
      </c>
      <c r="C1952" s="2" t="s">
        <v>39</v>
      </c>
      <c r="D1952" s="2" t="str">
        <f aca="false">IF(3キー同時!$B$110="","",3キー同時!$B$110)</f>
        <v>f</v>
      </c>
      <c r="E1952" s="2" t="str">
        <f aca="false">IF(3キー同時!$G$110="","",3キー同時!$G$110)</f>
        <v>;</v>
      </c>
      <c r="F1952" s="2" t="str">
        <f aca="false">""</f>
        <v/>
      </c>
      <c r="G1952" s="2" t="str">
        <f aca="false">IF(OR(3キー同時!$B$110="",3キー同時!$G$110=""),"",IF(3キー同時!AA118="","",SUBSTITUTE(SUBSTITUTE(3キー同時!AA118," ",""),"　","")))</f>
        <v/>
      </c>
      <c r="H1952" s="2" t="str">
        <f aca="false">IF($G1952="","",3キー同時!$B$110)</f>
        <v/>
      </c>
      <c r="I1952" s="2" t="str">
        <f aca="false">IF($G1952="","",3キー同時!$G$110)</f>
        <v/>
      </c>
      <c r="J1952" s="2" t="str">
        <f aca="false">IF($G1952="","","b")</f>
        <v/>
      </c>
      <c r="K1952" s="2" t="str">
        <f aca="false">""</f>
        <v/>
      </c>
      <c r="L1952" s="2" t="str">
        <f aca="false">IF($G1952="","","同時")</f>
        <v/>
      </c>
      <c r="M1952" s="2" t="str">
        <f aca="false">IF($G1952="","",IF(ISNA(MATCH($G1952,個別指定!$A:$A,0)),"行なし",""))</f>
        <v/>
      </c>
      <c r="N1952" s="2" t="str">
        <f aca="false">IF($G1952="","",IF(COUNTIF($G$2:$G$4460,$G1952)&gt;1,"重複",""))</f>
        <v/>
      </c>
    </row>
    <row r="1953" customFormat="false" ht="16.5" hidden="false" customHeight="true" outlineLevel="0" collapsed="false">
      <c r="A1953" s="2" t="s">
        <v>416</v>
      </c>
      <c r="B1953" s="2" t="s">
        <v>425</v>
      </c>
      <c r="C1953" s="2" t="s">
        <v>40</v>
      </c>
      <c r="D1953" s="2" t="str">
        <f aca="false">IF(3キー同時!$B$110="","",3キー同時!$B$110)</f>
        <v>f</v>
      </c>
      <c r="E1953" s="2" t="str">
        <f aca="false">IF(3キー同時!$G$110="","",3キー同時!$G$110)</f>
        <v>;</v>
      </c>
      <c r="F1953" s="2" t="str">
        <f aca="false">""</f>
        <v/>
      </c>
      <c r="G1953" s="2" t="str">
        <f aca="false">IF(OR(3キー同時!$B$110="",3キー同時!$G$110=""),"",IF(3キー同時!AE118="","",SUBSTITUTE(SUBSTITUTE(3キー同時!AE118," ",""),"　","")))</f>
        <v/>
      </c>
      <c r="H1953" s="2" t="str">
        <f aca="false">IF($G1953="","",3キー同時!$B$110)</f>
        <v/>
      </c>
      <c r="I1953" s="2" t="str">
        <f aca="false">IF($G1953="","",3キー同時!$G$110)</f>
        <v/>
      </c>
      <c r="J1953" s="2" t="str">
        <f aca="false">IF($G1953="","","n")</f>
        <v/>
      </c>
      <c r="K1953" s="2" t="str">
        <f aca="false">""</f>
        <v/>
      </c>
      <c r="L1953" s="2" t="str">
        <f aca="false">IF($G1953="","","同時")</f>
        <v/>
      </c>
      <c r="M1953" s="2" t="str">
        <f aca="false">IF($G1953="","",IF(ISNA(MATCH($G1953,個別指定!$A:$A,0)),"行なし",""))</f>
        <v/>
      </c>
      <c r="N1953" s="2" t="str">
        <f aca="false">IF($G1953="","",IF(COUNTIF($G$2:$G$4460,$G1953)&gt;1,"重複",""))</f>
        <v/>
      </c>
    </row>
    <row r="1954" customFormat="false" ht="16.5" hidden="false" customHeight="true" outlineLevel="0" collapsed="false">
      <c r="A1954" s="2" t="s">
        <v>416</v>
      </c>
      <c r="B1954" s="2" t="s">
        <v>425</v>
      </c>
      <c r="C1954" s="2" t="s">
        <v>41</v>
      </c>
      <c r="D1954" s="2" t="str">
        <f aca="false">IF(3キー同時!$B$110="","",3キー同時!$B$110)</f>
        <v>f</v>
      </c>
      <c r="E1954" s="2" t="str">
        <f aca="false">IF(3キー同時!$G$110="","",3キー同時!$G$110)</f>
        <v>;</v>
      </c>
      <c r="F1954" s="2" t="str">
        <f aca="false">""</f>
        <v/>
      </c>
      <c r="G1954" s="2" t="str">
        <f aca="false">IF(OR(3キー同時!$B$110="",3キー同時!$G$110=""),"",IF(3キー同時!AI118="","",SUBSTITUTE(SUBSTITUTE(3キー同時!AI118," ",""),"　","")))</f>
        <v/>
      </c>
      <c r="H1954" s="2" t="str">
        <f aca="false">IF($G1954="","",3キー同時!$B$110)</f>
        <v/>
      </c>
      <c r="I1954" s="2" t="str">
        <f aca="false">IF($G1954="","",3キー同時!$G$110)</f>
        <v/>
      </c>
      <c r="J1954" s="2" t="str">
        <f aca="false">IF($G1954="","","m")</f>
        <v/>
      </c>
      <c r="K1954" s="2" t="str">
        <f aca="false">""</f>
        <v/>
      </c>
      <c r="L1954" s="2" t="str">
        <f aca="false">IF($G1954="","","同時")</f>
        <v/>
      </c>
      <c r="M1954" s="2" t="str">
        <f aca="false">IF($G1954="","",IF(ISNA(MATCH($G1954,個別指定!$A:$A,0)),"行なし",""))</f>
        <v/>
      </c>
      <c r="N1954" s="2" t="str">
        <f aca="false">IF($G1954="","",IF(COUNTIF($G$2:$G$4460,$G1954)&gt;1,"重複",""))</f>
        <v/>
      </c>
    </row>
    <row r="1955" customFormat="false" ht="16.5" hidden="false" customHeight="true" outlineLevel="0" collapsed="false">
      <c r="A1955" s="2" t="s">
        <v>416</v>
      </c>
      <c r="B1955" s="2" t="s">
        <v>425</v>
      </c>
      <c r="C1955" s="2" t="s">
        <v>42</v>
      </c>
      <c r="D1955" s="2" t="str">
        <f aca="false">IF(3キー同時!$B$110="","",3キー同時!$B$110)</f>
        <v>f</v>
      </c>
      <c r="E1955" s="2" t="str">
        <f aca="false">IF(3キー同時!$G$110="","",3キー同時!$G$110)</f>
        <v>;</v>
      </c>
      <c r="F1955" s="2" t="str">
        <f aca="false">""</f>
        <v/>
      </c>
      <c r="G1955" s="2" t="str">
        <f aca="false">IF(OR(3キー同時!$B$110="",3キー同時!$G$110=""),"",IF(3キー同時!AM118="","",SUBSTITUTE(SUBSTITUTE(3キー同時!AM118," ",""),"　","")))</f>
        <v/>
      </c>
      <c r="H1955" s="2" t="str">
        <f aca="false">IF($G1955="","",3キー同時!$B$110)</f>
        <v/>
      </c>
      <c r="I1955" s="2" t="str">
        <f aca="false">IF($G1955="","",3キー同時!$G$110)</f>
        <v/>
      </c>
      <c r="J1955" s="2" t="str">
        <f aca="false">IF($G1955="","",",")</f>
        <v/>
      </c>
      <c r="K1955" s="2" t="str">
        <f aca="false">""</f>
        <v/>
      </c>
      <c r="L1955" s="2" t="str">
        <f aca="false">IF($G1955="","","同時")</f>
        <v/>
      </c>
      <c r="M1955" s="2" t="str">
        <f aca="false">IF($G1955="","",IF(ISNA(MATCH($G1955,個別指定!$A:$A,0)),"行なし",""))</f>
        <v/>
      </c>
      <c r="N1955" s="2" t="str">
        <f aca="false">IF($G1955="","",IF(COUNTIF($G$2:$G$4460,$G1955)&gt;1,"重複",""))</f>
        <v/>
      </c>
    </row>
    <row r="1956" customFormat="false" ht="16.5" hidden="false" customHeight="true" outlineLevel="0" collapsed="false">
      <c r="A1956" s="2" t="s">
        <v>416</v>
      </c>
      <c r="B1956" s="2" t="s">
        <v>425</v>
      </c>
      <c r="C1956" s="2" t="s">
        <v>43</v>
      </c>
      <c r="D1956" s="2" t="str">
        <f aca="false">IF(3キー同時!$B$110="","",3キー同時!$B$110)</f>
        <v>f</v>
      </c>
      <c r="E1956" s="2" t="str">
        <f aca="false">IF(3キー同時!$G$110="","",3キー同時!$G$110)</f>
        <v>;</v>
      </c>
      <c r="F1956" s="2" t="str">
        <f aca="false">""</f>
        <v/>
      </c>
      <c r="G1956" s="2" t="str">
        <f aca="false">IF(OR(3キー同時!$B$110="",3キー同時!$G$110=""),"",IF(3キー同時!AQ118="","",SUBSTITUTE(SUBSTITUTE(3キー同時!AQ118," ",""),"　","")))</f>
        <v/>
      </c>
      <c r="H1956" s="2" t="str">
        <f aca="false">IF($G1956="","",3キー同時!$B$110)</f>
        <v/>
      </c>
      <c r="I1956" s="2" t="str">
        <f aca="false">IF($G1956="","",3キー同時!$G$110)</f>
        <v/>
      </c>
      <c r="J1956" s="2" t="str">
        <f aca="false">IF($G1956="","",".")</f>
        <v/>
      </c>
      <c r="K1956" s="2" t="str">
        <f aca="false">""</f>
        <v/>
      </c>
      <c r="L1956" s="2" t="str">
        <f aca="false">IF($G1956="","","同時")</f>
        <v/>
      </c>
      <c r="M1956" s="2" t="str">
        <f aca="false">IF($G1956="","",IF(ISNA(MATCH($G1956,個別指定!$A:$A,0)),"行なし",""))</f>
        <v/>
      </c>
      <c r="N1956" s="2" t="str">
        <f aca="false">IF($G1956="","",IF(COUNTIF($G$2:$G$4460,$G1956)&gt;1,"重複",""))</f>
        <v/>
      </c>
    </row>
    <row r="1957" customFormat="false" ht="16.5" hidden="false" customHeight="true" outlineLevel="0" collapsed="false">
      <c r="A1957" s="2" t="s">
        <v>416</v>
      </c>
      <c r="B1957" s="2" t="s">
        <v>425</v>
      </c>
      <c r="C1957" s="2" t="s">
        <v>44</v>
      </c>
      <c r="D1957" s="2" t="str">
        <f aca="false">IF(3キー同時!$B$110="","",3キー同時!$B$110)</f>
        <v>f</v>
      </c>
      <c r="E1957" s="2" t="str">
        <f aca="false">IF(3キー同時!$G$110="","",3キー同時!$G$110)</f>
        <v>;</v>
      </c>
      <c r="F1957" s="2" t="str">
        <f aca="false">""</f>
        <v/>
      </c>
      <c r="G1957" s="2" t="str">
        <f aca="false">IF(OR(3キー同時!$B$110="",3キー同時!$G$110=""),"",IF(3キー同時!AU118="","",SUBSTITUTE(SUBSTITUTE(3キー同時!AU118," ",""),"　","")))</f>
        <v/>
      </c>
      <c r="H1957" s="2" t="str">
        <f aca="false">IF($G1957="","",3キー同時!$B$110)</f>
        <v/>
      </c>
      <c r="I1957" s="2" t="str">
        <f aca="false">IF($G1957="","",3キー同時!$G$110)</f>
        <v/>
      </c>
      <c r="J1957" s="2" t="str">
        <f aca="false">IF($G1957="","","/")</f>
        <v/>
      </c>
      <c r="K1957" s="2" t="str">
        <f aca="false">""</f>
        <v/>
      </c>
      <c r="L1957" s="2" t="str">
        <f aca="false">IF($G1957="","","同時")</f>
        <v/>
      </c>
      <c r="M1957" s="2" t="str">
        <f aca="false">IF($G1957="","",IF(ISNA(MATCH($G1957,個別指定!$A:$A,0)),"行なし",""))</f>
        <v/>
      </c>
      <c r="N1957" s="2" t="str">
        <f aca="false">IF($G1957="","",IF(COUNTIF($G$2:$G$4460,$G1957)&gt;1,"重複",""))</f>
        <v/>
      </c>
    </row>
    <row r="1958" customFormat="false" ht="16.5" hidden="false" customHeight="true" outlineLevel="0" collapsed="false">
      <c r="A1958" s="2" t="s">
        <v>416</v>
      </c>
      <c r="B1958" s="2" t="s">
        <v>425</v>
      </c>
      <c r="C1958" s="2" t="s">
        <v>48</v>
      </c>
      <c r="D1958" s="2" t="str">
        <f aca="false">IF(3キー同時!$B$110="","",3キー同時!$B$110)</f>
        <v>f</v>
      </c>
      <c r="E1958" s="2" t="str">
        <f aca="false">IF(3キー同時!$G$110="","",3キー同時!$G$110)</f>
        <v>;</v>
      </c>
      <c r="F1958" s="2" t="str">
        <f aca="false">""</f>
        <v/>
      </c>
      <c r="G1958" s="2" t="str">
        <f aca="false">IF(OR(3キー同時!$B$110="",3キー同時!$G$110=""),"",IF(3キー同時!P120="","",SUBSTITUTE(SUBSTITUTE(3キー同時!P120," ",""),"　","")))</f>
        <v/>
      </c>
      <c r="H1958" s="2" t="str">
        <f aca="false">IF($G1958="","",3キー同時!$B$110)</f>
        <v/>
      </c>
      <c r="I1958" s="2" t="str">
        <f aca="false">IF($G1958="","",3キー同時!$G$110)</f>
        <v/>
      </c>
      <c r="J1958" s="2" t="str">
        <f aca="false">IF($G1958="","","muhenkan")</f>
        <v/>
      </c>
      <c r="K1958" s="2" t="str">
        <f aca="false">""</f>
        <v/>
      </c>
      <c r="L1958" s="2" t="str">
        <f aca="false">IF($G1958="","","同時")</f>
        <v/>
      </c>
      <c r="M1958" s="2" t="str">
        <f aca="false">IF($G1958="","",IF(ISNA(MATCH($G1958,個別指定!$A:$A,0)),"行なし",""))</f>
        <v/>
      </c>
      <c r="N1958" s="2" t="str">
        <f aca="false">IF($G1958="","",IF(COUNTIF($G$2:$G$4460,$G1958)&gt;1,"重複",""))</f>
        <v/>
      </c>
    </row>
    <row r="1959" customFormat="false" ht="16.5" hidden="false" customHeight="true" outlineLevel="0" collapsed="false">
      <c r="A1959" s="2" t="s">
        <v>416</v>
      </c>
      <c r="B1959" s="2" t="s">
        <v>425</v>
      </c>
      <c r="C1959" s="2" t="s">
        <v>50</v>
      </c>
      <c r="D1959" s="2" t="str">
        <f aca="false">IF(3キー同時!$B$110="","",3キー同時!$B$110)</f>
        <v>f</v>
      </c>
      <c r="E1959" s="2" t="str">
        <f aca="false">IF(3キー同時!$G$110="","",3キー同時!$G$110)</f>
        <v>;</v>
      </c>
      <c r="F1959" s="2" t="str">
        <f aca="false">""</f>
        <v/>
      </c>
      <c r="G1959" s="2" t="str">
        <f aca="false">IF(OR(3キー同時!$B$110="",3キー同時!$G$110=""),"",IF(3キー同時!T120="","",SUBSTITUTE(SUBSTITUTE(3キー同時!T120," ",""),"　","")))</f>
        <v/>
      </c>
      <c r="H1959" s="2" t="str">
        <f aca="false">IF($G1959="","",3キー同時!$B$110)</f>
        <v/>
      </c>
      <c r="I1959" s="2" t="str">
        <f aca="false">IF($G1959="","",3キー同時!$G$110)</f>
        <v/>
      </c>
      <c r="J1959" s="2" t="str">
        <f aca="false">IF($G1959="","","space")</f>
        <v/>
      </c>
      <c r="K1959" s="2" t="str">
        <f aca="false">""</f>
        <v/>
      </c>
      <c r="L1959" s="2" t="str">
        <f aca="false">IF($G1959="","","同時")</f>
        <v/>
      </c>
      <c r="M1959" s="2" t="str">
        <f aca="false">IF($G1959="","",IF(ISNA(MATCH($G1959,個別指定!$A:$A,0)),"行なし",""))</f>
        <v/>
      </c>
      <c r="N1959" s="2" t="str">
        <f aca="false">IF($G1959="","",IF(COUNTIF($G$2:$G$4460,$G1959)&gt;1,"重複",""))</f>
        <v/>
      </c>
    </row>
    <row r="1960" customFormat="false" ht="16.5" hidden="false" customHeight="true" outlineLevel="0" collapsed="false">
      <c r="A1960" s="2" t="s">
        <v>416</v>
      </c>
      <c r="B1960" s="2" t="s">
        <v>425</v>
      </c>
      <c r="C1960" s="2" t="s">
        <v>45</v>
      </c>
      <c r="D1960" s="2" t="str">
        <f aca="false">IF(3キー同時!$B$110="","",3キー同時!$B$110)</f>
        <v>f</v>
      </c>
      <c r="E1960" s="2" t="str">
        <f aca="false">IF(3キー同時!$G$110="","",3キー同時!$G$110)</f>
        <v>;</v>
      </c>
      <c r="F1960" s="2" t="str">
        <f aca="false">""</f>
        <v/>
      </c>
      <c r="G1960" s="2" t="str">
        <f aca="false">IF(OR(3キー同時!$B$110="",3キー同時!$G$110=""),"",IF(3キー同時!AL120="","",SUBSTITUTE(SUBSTITUTE(3キー同時!AL120," ",""),"　","")))</f>
        <v/>
      </c>
      <c r="H1960" s="2" t="str">
        <f aca="false">IF($G1960="","",3キー同時!$B$110)</f>
        <v/>
      </c>
      <c r="I1960" s="2" t="str">
        <f aca="false">IF($G1960="","",3キー同時!$G$110)</f>
        <v/>
      </c>
      <c r="J1960" s="2" t="str">
        <f aca="false">IF($G1960="","","henkan")</f>
        <v/>
      </c>
      <c r="K1960" s="2" t="str">
        <f aca="false">""</f>
        <v/>
      </c>
      <c r="L1960" s="2" t="str">
        <f aca="false">IF($G1960="","","同時")</f>
        <v/>
      </c>
      <c r="M1960" s="2" t="str">
        <f aca="false">IF($G1960="","",IF(ISNA(MATCH($G1960,個別指定!$A:$A,0)),"行なし",""))</f>
        <v/>
      </c>
      <c r="N1960" s="2" t="str">
        <f aca="false">IF($G1960="","",IF(COUNTIF($G$2:$G$4460,$G1960)&gt;1,"重複",""))</f>
        <v/>
      </c>
    </row>
    <row r="1961" customFormat="false" ht="16.5" hidden="false" customHeight="true" outlineLevel="0" collapsed="false">
      <c r="A1961" s="2" t="s">
        <v>416</v>
      </c>
      <c r="B1961" s="2" t="s">
        <v>425</v>
      </c>
      <c r="C1961" s="2" t="s">
        <v>46</v>
      </c>
      <c r="D1961" s="2" t="str">
        <f aca="false">IF(3キー同時!$B$110="","",3キー同時!$B$110)</f>
        <v>f</v>
      </c>
      <c r="E1961" s="2" t="str">
        <f aca="false">IF(3キー同時!$G$110="","",3キー同時!$G$110)</f>
        <v>;</v>
      </c>
      <c r="F1961" s="2" t="str">
        <f aca="false">""</f>
        <v/>
      </c>
      <c r="G1961" s="2" t="str">
        <f aca="false">IF(OR(3キー同時!$B$110="",3キー同時!$G$110=""),"",IF(3キー同時!AP120="","",SUBSTITUTE(SUBSTITUTE(3キー同時!AP120," ",""),"　","")))</f>
        <v/>
      </c>
      <c r="H1961" s="2" t="str">
        <f aca="false">IF($G1961="","",3キー同時!$B$110)</f>
        <v/>
      </c>
      <c r="I1961" s="2" t="str">
        <f aca="false">IF($G1961="","",3キー同時!$G$110)</f>
        <v/>
      </c>
      <c r="J1961" s="2" t="str">
        <f aca="false">IF($G1961="","","kana")</f>
        <v/>
      </c>
      <c r="K1961" s="2" t="str">
        <f aca="false">""</f>
        <v/>
      </c>
      <c r="L1961" s="2" t="str">
        <f aca="false">IF($G1961="","","同時")</f>
        <v/>
      </c>
      <c r="M1961" s="2" t="str">
        <f aca="false">IF($G1961="","",IF(ISNA(MATCH($G1961,個別指定!$A:$A,0)),"行なし",""))</f>
        <v/>
      </c>
      <c r="N1961" s="2" t="str">
        <f aca="false">IF($G1961="","",IF(COUNTIF($G$2:$G$4460,$G1961)&gt;1,"重複",""))</f>
        <v/>
      </c>
    </row>
    <row r="1962" customFormat="false" ht="16.5" hidden="false" customHeight="true" outlineLevel="0" collapsed="false">
      <c r="A1962" s="2" t="s">
        <v>416</v>
      </c>
      <c r="B1962" s="2" t="s">
        <v>426</v>
      </c>
      <c r="C1962" s="2" t="s">
        <v>0</v>
      </c>
      <c r="D1962" s="2" t="str">
        <f aca="false">IF(3キー同時!$B$123="","",3キー同時!$B$123)</f>
        <v>m</v>
      </c>
      <c r="E1962" s="2" t="str">
        <f aca="false">IF(3キー同時!$G$123="","",3キー同時!$G$123)</f>
        <v>o</v>
      </c>
      <c r="F1962" s="2" t="str">
        <f aca="false">""</f>
        <v/>
      </c>
      <c r="G1962" s="2" t="str">
        <f aca="false">IF(OR(3キー同時!$B$123="",3キー同時!$G$123=""),"",IF(3キー同時!F125="","",SUBSTITUTE(SUBSTITUTE(3キー同時!F125," ",""),"　","")))</f>
        <v/>
      </c>
      <c r="H1962" s="2" t="str">
        <f aca="false">IF($G1962="","",3キー同時!$B$123)</f>
        <v/>
      </c>
      <c r="I1962" s="2" t="str">
        <f aca="false">IF($G1962="","",3キー同時!$G$123)</f>
        <v/>
      </c>
      <c r="J1962" s="2" t="str">
        <f aca="false">IF($G1962="","","1")</f>
        <v/>
      </c>
      <c r="K1962" s="2" t="str">
        <f aca="false">""</f>
        <v/>
      </c>
      <c r="L1962" s="2" t="str">
        <f aca="false">IF($G1962="","","同時")</f>
        <v/>
      </c>
      <c r="M1962" s="2" t="str">
        <f aca="false">IF($G1962="","",IF(ISNA(MATCH($G1962,個別指定!$A:$A,0)),"行なし",""))</f>
        <v/>
      </c>
      <c r="N1962" s="2" t="str">
        <f aca="false">IF($G1962="","",IF(COUNTIF($G$2:$G$4460,$G1962)&gt;1,"重複",""))</f>
        <v/>
      </c>
    </row>
    <row r="1963" customFormat="false" ht="16.5" hidden="false" customHeight="true" outlineLevel="0" collapsed="false">
      <c r="A1963" s="2" t="s">
        <v>416</v>
      </c>
      <c r="B1963" s="2" t="s">
        <v>426</v>
      </c>
      <c r="C1963" s="2" t="s">
        <v>1</v>
      </c>
      <c r="D1963" s="2" t="str">
        <f aca="false">IF(3キー同時!$B$123="","",3キー同時!$B$123)</f>
        <v>m</v>
      </c>
      <c r="E1963" s="2" t="str">
        <f aca="false">IF(3キー同時!$G$123="","",3キー同時!$G$123)</f>
        <v>o</v>
      </c>
      <c r="F1963" s="2" t="str">
        <f aca="false">""</f>
        <v/>
      </c>
      <c r="G1963" s="2" t="str">
        <f aca="false">IF(OR(3キー同時!$B$123="",3キー同時!$G$123=""),"",IF(3キー同時!J125="","",SUBSTITUTE(SUBSTITUTE(3キー同時!J125," ",""),"　","")))</f>
        <v/>
      </c>
      <c r="H1963" s="2" t="str">
        <f aca="false">IF($G1963="","",3キー同時!$B$123)</f>
        <v/>
      </c>
      <c r="I1963" s="2" t="str">
        <f aca="false">IF($G1963="","",3キー同時!$G$123)</f>
        <v/>
      </c>
      <c r="J1963" s="2" t="str">
        <f aca="false">IF($G1963="","","2")</f>
        <v/>
      </c>
      <c r="K1963" s="2" t="str">
        <f aca="false">""</f>
        <v/>
      </c>
      <c r="L1963" s="2" t="str">
        <f aca="false">IF($G1963="","","同時")</f>
        <v/>
      </c>
      <c r="M1963" s="2" t="str">
        <f aca="false">IF($G1963="","",IF(ISNA(MATCH($G1963,個別指定!$A:$A,0)),"行なし",""))</f>
        <v/>
      </c>
      <c r="N1963" s="2" t="str">
        <f aca="false">IF($G1963="","",IF(COUNTIF($G$2:$G$4460,$G1963)&gt;1,"重複",""))</f>
        <v/>
      </c>
    </row>
    <row r="1964" customFormat="false" ht="16.5" hidden="false" customHeight="true" outlineLevel="0" collapsed="false">
      <c r="A1964" s="2" t="s">
        <v>416</v>
      </c>
      <c r="B1964" s="2" t="s">
        <v>426</v>
      </c>
      <c r="C1964" s="2" t="s">
        <v>2</v>
      </c>
      <c r="D1964" s="2" t="str">
        <f aca="false">IF(3キー同時!$B$123="","",3キー同時!$B$123)</f>
        <v>m</v>
      </c>
      <c r="E1964" s="2" t="str">
        <f aca="false">IF(3キー同時!$G$123="","",3キー同時!$G$123)</f>
        <v>o</v>
      </c>
      <c r="F1964" s="2" t="str">
        <f aca="false">""</f>
        <v/>
      </c>
      <c r="G1964" s="2" t="str">
        <f aca="false">IF(OR(3キー同時!$B$123="",3キー同時!$G$123=""),"",IF(3キー同時!N125="","",SUBSTITUTE(SUBSTITUTE(3キー同時!N125," ",""),"　","")))</f>
        <v/>
      </c>
      <c r="H1964" s="2" t="str">
        <f aca="false">IF($G1964="","",3キー同時!$B$123)</f>
        <v/>
      </c>
      <c r="I1964" s="2" t="str">
        <f aca="false">IF($G1964="","",3キー同時!$G$123)</f>
        <v/>
      </c>
      <c r="J1964" s="2" t="str">
        <f aca="false">IF($G1964="","","3")</f>
        <v/>
      </c>
      <c r="K1964" s="2" t="str">
        <f aca="false">""</f>
        <v/>
      </c>
      <c r="L1964" s="2" t="str">
        <f aca="false">IF($G1964="","","同時")</f>
        <v/>
      </c>
      <c r="M1964" s="2" t="str">
        <f aca="false">IF($G1964="","",IF(ISNA(MATCH($G1964,個別指定!$A:$A,0)),"行なし",""))</f>
        <v/>
      </c>
      <c r="N1964" s="2" t="str">
        <f aca="false">IF($G1964="","",IF(COUNTIF($G$2:$G$4460,$G1964)&gt;1,"重複",""))</f>
        <v/>
      </c>
    </row>
    <row r="1965" customFormat="false" ht="16.5" hidden="false" customHeight="true" outlineLevel="0" collapsed="false">
      <c r="A1965" s="2" t="s">
        <v>416</v>
      </c>
      <c r="B1965" s="2" t="s">
        <v>426</v>
      </c>
      <c r="C1965" s="2" t="s">
        <v>3</v>
      </c>
      <c r="D1965" s="2" t="str">
        <f aca="false">IF(3キー同時!$B$123="","",3キー同時!$B$123)</f>
        <v>m</v>
      </c>
      <c r="E1965" s="2" t="str">
        <f aca="false">IF(3キー同時!$G$123="","",3キー同時!$G$123)</f>
        <v>o</v>
      </c>
      <c r="F1965" s="2" t="str">
        <f aca="false">""</f>
        <v/>
      </c>
      <c r="G1965" s="2" t="str">
        <f aca="false">IF(OR(3キー同時!$B$123="",3キー同時!$G$123=""),"",IF(3キー同時!R125="","",SUBSTITUTE(SUBSTITUTE(3キー同時!R125," ",""),"　","")))</f>
        <v/>
      </c>
      <c r="H1965" s="2" t="str">
        <f aca="false">IF($G1965="","",3キー同時!$B$123)</f>
        <v/>
      </c>
      <c r="I1965" s="2" t="str">
        <f aca="false">IF($G1965="","",3キー同時!$G$123)</f>
        <v/>
      </c>
      <c r="J1965" s="2" t="str">
        <f aca="false">IF($G1965="","","4")</f>
        <v/>
      </c>
      <c r="K1965" s="2" t="str">
        <f aca="false">""</f>
        <v/>
      </c>
      <c r="L1965" s="2" t="str">
        <f aca="false">IF($G1965="","","同時")</f>
        <v/>
      </c>
      <c r="M1965" s="2" t="str">
        <f aca="false">IF($G1965="","",IF(ISNA(MATCH($G1965,個別指定!$A:$A,0)),"行なし",""))</f>
        <v/>
      </c>
      <c r="N1965" s="2" t="str">
        <f aca="false">IF($G1965="","",IF(COUNTIF($G$2:$G$4460,$G1965)&gt;1,"重複",""))</f>
        <v/>
      </c>
    </row>
    <row r="1966" customFormat="false" ht="16.5" hidden="false" customHeight="true" outlineLevel="0" collapsed="false">
      <c r="A1966" s="2" t="s">
        <v>416</v>
      </c>
      <c r="B1966" s="2" t="s">
        <v>426</v>
      </c>
      <c r="C1966" s="2" t="s">
        <v>4</v>
      </c>
      <c r="D1966" s="2" t="str">
        <f aca="false">IF(3キー同時!$B$123="","",3キー同時!$B$123)</f>
        <v>m</v>
      </c>
      <c r="E1966" s="2" t="str">
        <f aca="false">IF(3キー同時!$G$123="","",3キー同時!$G$123)</f>
        <v>o</v>
      </c>
      <c r="F1966" s="2" t="str">
        <f aca="false">""</f>
        <v/>
      </c>
      <c r="G1966" s="2" t="str">
        <f aca="false">IF(OR(3キー同時!$B$123="",3キー同時!$G$123=""),"",IF(3キー同時!V125="","",SUBSTITUTE(SUBSTITUTE(3キー同時!V125," ",""),"　","")))</f>
        <v/>
      </c>
      <c r="H1966" s="2" t="str">
        <f aca="false">IF($G1966="","",3キー同時!$B$123)</f>
        <v/>
      </c>
      <c r="I1966" s="2" t="str">
        <f aca="false">IF($G1966="","",3キー同時!$G$123)</f>
        <v/>
      </c>
      <c r="J1966" s="2" t="str">
        <f aca="false">IF($G1966="","","5")</f>
        <v/>
      </c>
      <c r="K1966" s="2" t="str">
        <f aca="false">""</f>
        <v/>
      </c>
      <c r="L1966" s="2" t="str">
        <f aca="false">IF($G1966="","","同時")</f>
        <v/>
      </c>
      <c r="M1966" s="2" t="str">
        <f aca="false">IF($G1966="","",IF(ISNA(MATCH($G1966,個別指定!$A:$A,0)),"行なし",""))</f>
        <v/>
      </c>
      <c r="N1966" s="2" t="str">
        <f aca="false">IF($G1966="","",IF(COUNTIF($G$2:$G$4460,$G1966)&gt;1,"重複",""))</f>
        <v/>
      </c>
    </row>
    <row r="1967" customFormat="false" ht="16.5" hidden="false" customHeight="true" outlineLevel="0" collapsed="false">
      <c r="A1967" s="2" t="s">
        <v>416</v>
      </c>
      <c r="B1967" s="2" t="s">
        <v>426</v>
      </c>
      <c r="C1967" s="2" t="s">
        <v>5</v>
      </c>
      <c r="D1967" s="2" t="str">
        <f aca="false">IF(3キー同時!$B$123="","",3キー同時!$B$123)</f>
        <v>m</v>
      </c>
      <c r="E1967" s="2" t="str">
        <f aca="false">IF(3キー同時!$G$123="","",3キー同時!$G$123)</f>
        <v>o</v>
      </c>
      <c r="F1967" s="2" t="str">
        <f aca="false">""</f>
        <v/>
      </c>
      <c r="G1967" s="2" t="str">
        <f aca="false">IF(OR(3キー同時!$B$123="",3キー同時!$G$123=""),"",IF(3キー同時!Z125="","",SUBSTITUTE(SUBSTITUTE(3キー同時!Z125," ",""),"　","")))</f>
        <v/>
      </c>
      <c r="H1967" s="2" t="str">
        <f aca="false">IF($G1967="","",3キー同時!$B$123)</f>
        <v/>
      </c>
      <c r="I1967" s="2" t="str">
        <f aca="false">IF($G1967="","",3キー同時!$G$123)</f>
        <v/>
      </c>
      <c r="J1967" s="2" t="str">
        <f aca="false">IF($G1967="","","6")</f>
        <v/>
      </c>
      <c r="K1967" s="2" t="str">
        <f aca="false">""</f>
        <v/>
      </c>
      <c r="L1967" s="2" t="str">
        <f aca="false">IF($G1967="","","同時")</f>
        <v/>
      </c>
      <c r="M1967" s="2" t="str">
        <f aca="false">IF($G1967="","",IF(ISNA(MATCH($G1967,個別指定!$A:$A,0)),"行なし",""))</f>
        <v/>
      </c>
      <c r="N1967" s="2" t="str">
        <f aca="false">IF($G1967="","",IF(COUNTIF($G$2:$G$4460,$G1967)&gt;1,"重複",""))</f>
        <v/>
      </c>
    </row>
    <row r="1968" customFormat="false" ht="16.5" hidden="false" customHeight="true" outlineLevel="0" collapsed="false">
      <c r="A1968" s="2" t="s">
        <v>416</v>
      </c>
      <c r="B1968" s="2" t="s">
        <v>426</v>
      </c>
      <c r="C1968" s="2" t="s">
        <v>6</v>
      </c>
      <c r="D1968" s="2" t="str">
        <f aca="false">IF(3キー同時!$B$123="","",3キー同時!$B$123)</f>
        <v>m</v>
      </c>
      <c r="E1968" s="2" t="str">
        <f aca="false">IF(3キー同時!$G$123="","",3キー同時!$G$123)</f>
        <v>o</v>
      </c>
      <c r="F1968" s="2" t="str">
        <f aca="false">""</f>
        <v/>
      </c>
      <c r="G1968" s="2" t="str">
        <f aca="false">IF(OR(3キー同時!$B$123="",3キー同時!$G$123=""),"",IF(3キー同時!AD125="","",SUBSTITUTE(SUBSTITUTE(3キー同時!AD125," ",""),"　","")))</f>
        <v/>
      </c>
      <c r="H1968" s="2" t="str">
        <f aca="false">IF($G1968="","",3キー同時!$B$123)</f>
        <v/>
      </c>
      <c r="I1968" s="2" t="str">
        <f aca="false">IF($G1968="","",3キー同時!$G$123)</f>
        <v/>
      </c>
      <c r="J1968" s="2" t="str">
        <f aca="false">IF($G1968="","","7")</f>
        <v/>
      </c>
      <c r="K1968" s="2" t="str">
        <f aca="false">""</f>
        <v/>
      </c>
      <c r="L1968" s="2" t="str">
        <f aca="false">IF($G1968="","","同時")</f>
        <v/>
      </c>
      <c r="M1968" s="2" t="str">
        <f aca="false">IF($G1968="","",IF(ISNA(MATCH($G1968,個別指定!$A:$A,0)),"行なし",""))</f>
        <v/>
      </c>
      <c r="N1968" s="2" t="str">
        <f aca="false">IF($G1968="","",IF(COUNTIF($G$2:$G$4460,$G1968)&gt;1,"重複",""))</f>
        <v/>
      </c>
    </row>
    <row r="1969" customFormat="false" ht="16.5" hidden="false" customHeight="true" outlineLevel="0" collapsed="false">
      <c r="A1969" s="2" t="s">
        <v>416</v>
      </c>
      <c r="B1969" s="2" t="s">
        <v>426</v>
      </c>
      <c r="C1969" s="2" t="s">
        <v>7</v>
      </c>
      <c r="D1969" s="2" t="str">
        <f aca="false">IF(3キー同時!$B$123="","",3キー同時!$B$123)</f>
        <v>m</v>
      </c>
      <c r="E1969" s="2" t="str">
        <f aca="false">IF(3キー同時!$G$123="","",3キー同時!$G$123)</f>
        <v>o</v>
      </c>
      <c r="F1969" s="2" t="str">
        <f aca="false">""</f>
        <v/>
      </c>
      <c r="G1969" s="2" t="str">
        <f aca="false">IF(OR(3キー同時!$B$123="",3キー同時!$G$123=""),"",IF(3キー同時!AH125="","",SUBSTITUTE(SUBSTITUTE(3キー同時!AH125," ",""),"　","")))</f>
        <v/>
      </c>
      <c r="H1969" s="2" t="str">
        <f aca="false">IF($G1969="","",3キー同時!$B$123)</f>
        <v/>
      </c>
      <c r="I1969" s="2" t="str">
        <f aca="false">IF($G1969="","",3キー同時!$G$123)</f>
        <v/>
      </c>
      <c r="J1969" s="2" t="str">
        <f aca="false">IF($G1969="","","8")</f>
        <v/>
      </c>
      <c r="K1969" s="2" t="str">
        <f aca="false">""</f>
        <v/>
      </c>
      <c r="L1969" s="2" t="str">
        <f aca="false">IF($G1969="","","同時")</f>
        <v/>
      </c>
      <c r="M1969" s="2" t="str">
        <f aca="false">IF($G1969="","",IF(ISNA(MATCH($G1969,個別指定!$A:$A,0)),"行なし",""))</f>
        <v/>
      </c>
      <c r="N1969" s="2" t="str">
        <f aca="false">IF($G1969="","",IF(COUNTIF($G$2:$G$4460,$G1969)&gt;1,"重複",""))</f>
        <v/>
      </c>
    </row>
    <row r="1970" customFormat="false" ht="16.5" hidden="false" customHeight="true" outlineLevel="0" collapsed="false">
      <c r="A1970" s="2" t="s">
        <v>416</v>
      </c>
      <c r="B1970" s="2" t="s">
        <v>426</v>
      </c>
      <c r="C1970" s="2" t="s">
        <v>8</v>
      </c>
      <c r="D1970" s="2" t="str">
        <f aca="false">IF(3キー同時!$B$123="","",3キー同時!$B$123)</f>
        <v>m</v>
      </c>
      <c r="E1970" s="2" t="str">
        <f aca="false">IF(3キー同時!$G$123="","",3キー同時!$G$123)</f>
        <v>o</v>
      </c>
      <c r="F1970" s="2" t="str">
        <f aca="false">""</f>
        <v/>
      </c>
      <c r="G1970" s="2" t="str">
        <f aca="false">IF(OR(3キー同時!$B$123="",3キー同時!$G$123=""),"",IF(3キー同時!AL125="","",SUBSTITUTE(SUBSTITUTE(3キー同時!AL125," ",""),"　","")))</f>
        <v/>
      </c>
      <c r="H1970" s="2" t="str">
        <f aca="false">IF($G1970="","",3キー同時!$B$123)</f>
        <v/>
      </c>
      <c r="I1970" s="2" t="str">
        <f aca="false">IF($G1970="","",3キー同時!$G$123)</f>
        <v/>
      </c>
      <c r="J1970" s="2" t="str">
        <f aca="false">IF($G1970="","","9")</f>
        <v/>
      </c>
      <c r="K1970" s="2" t="str">
        <f aca="false">""</f>
        <v/>
      </c>
      <c r="L1970" s="2" t="str">
        <f aca="false">IF($G1970="","","同時")</f>
        <v/>
      </c>
      <c r="M1970" s="2" t="str">
        <f aca="false">IF($G1970="","",IF(ISNA(MATCH($G1970,個別指定!$A:$A,0)),"行なし",""))</f>
        <v/>
      </c>
      <c r="N1970" s="2" t="str">
        <f aca="false">IF($G1970="","",IF(COUNTIF($G$2:$G$4460,$G1970)&gt;1,"重複",""))</f>
        <v/>
      </c>
    </row>
    <row r="1971" customFormat="false" ht="16.5" hidden="false" customHeight="true" outlineLevel="0" collapsed="false">
      <c r="A1971" s="2" t="s">
        <v>416</v>
      </c>
      <c r="B1971" s="2" t="s">
        <v>426</v>
      </c>
      <c r="C1971" s="2" t="s">
        <v>9</v>
      </c>
      <c r="D1971" s="2" t="str">
        <f aca="false">IF(3キー同時!$B$123="","",3キー同時!$B$123)</f>
        <v>m</v>
      </c>
      <c r="E1971" s="2" t="str">
        <f aca="false">IF(3キー同時!$G$123="","",3キー同時!$G$123)</f>
        <v>o</v>
      </c>
      <c r="F1971" s="2" t="str">
        <f aca="false">""</f>
        <v/>
      </c>
      <c r="G1971" s="2" t="str">
        <f aca="false">IF(OR(3キー同時!$B$123="",3キー同時!$G$123=""),"",IF(3キー同時!AP125="","",SUBSTITUTE(SUBSTITUTE(3キー同時!AP125," ",""),"　","")))</f>
        <v/>
      </c>
      <c r="H1971" s="2" t="str">
        <f aca="false">IF($G1971="","",3キー同時!$B$123)</f>
        <v/>
      </c>
      <c r="I1971" s="2" t="str">
        <f aca="false">IF($G1971="","",3キー同時!$G$123)</f>
        <v/>
      </c>
      <c r="J1971" s="2" t="str">
        <f aca="false">IF($G1971="","","0")</f>
        <v/>
      </c>
      <c r="K1971" s="2" t="str">
        <f aca="false">""</f>
        <v/>
      </c>
      <c r="L1971" s="2" t="str">
        <f aca="false">IF($G1971="","","同時")</f>
        <v/>
      </c>
      <c r="M1971" s="2" t="str">
        <f aca="false">IF($G1971="","",IF(ISNA(MATCH($G1971,個別指定!$A:$A,0)),"行なし",""))</f>
        <v/>
      </c>
      <c r="N1971" s="2" t="str">
        <f aca="false">IF($G1971="","",IF(COUNTIF($G$2:$G$4460,$G1971)&gt;1,"重複",""))</f>
        <v/>
      </c>
    </row>
    <row r="1972" customFormat="false" ht="16.5" hidden="false" customHeight="true" outlineLevel="0" collapsed="false">
      <c r="A1972" s="2" t="s">
        <v>416</v>
      </c>
      <c r="B1972" s="2" t="s">
        <v>426</v>
      </c>
      <c r="C1972" s="2" t="s">
        <v>10</v>
      </c>
      <c r="D1972" s="2" t="str">
        <f aca="false">IF(3キー同時!$B$123="","",3キー同時!$B$123)</f>
        <v>m</v>
      </c>
      <c r="E1972" s="2" t="str">
        <f aca="false">IF(3キー同時!$G$123="","",3キー同時!$G$123)</f>
        <v>o</v>
      </c>
      <c r="F1972" s="2" t="str">
        <f aca="false">""</f>
        <v/>
      </c>
      <c r="G1972" s="2" t="str">
        <f aca="false">IF(OR(3キー同時!$B$123="",3キー同時!$G$123=""),"",IF(3キー同時!AT125="","",SUBSTITUTE(SUBSTITUTE(3キー同時!AT125," ",""),"　","")))</f>
        <v/>
      </c>
      <c r="H1972" s="2" t="str">
        <f aca="false">IF($G1972="","",3キー同時!$B$123)</f>
        <v/>
      </c>
      <c r="I1972" s="2" t="str">
        <f aca="false">IF($G1972="","",3キー同時!$G$123)</f>
        <v/>
      </c>
      <c r="J1972" s="2" t="str">
        <f aca="false">IF($G1972="","","-")</f>
        <v/>
      </c>
      <c r="K1972" s="2" t="str">
        <f aca="false">""</f>
        <v/>
      </c>
      <c r="L1972" s="2" t="str">
        <f aca="false">IF($G1972="","","同時")</f>
        <v/>
      </c>
      <c r="M1972" s="2" t="str">
        <f aca="false">IF($G1972="","",IF(ISNA(MATCH($G1972,個別指定!$A:$A,0)),"行なし",""))</f>
        <v/>
      </c>
      <c r="N1972" s="2" t="str">
        <f aca="false">IF($G1972="","",IF(COUNTIF($G$2:$G$4460,$G1972)&gt;1,"重複",""))</f>
        <v/>
      </c>
    </row>
    <row r="1973" customFormat="false" ht="16.5" hidden="false" customHeight="true" outlineLevel="0" collapsed="false">
      <c r="A1973" s="2" t="s">
        <v>416</v>
      </c>
      <c r="B1973" s="2" t="s">
        <v>426</v>
      </c>
      <c r="C1973" s="2" t="s">
        <v>11</v>
      </c>
      <c r="D1973" s="2" t="str">
        <f aca="false">IF(3キー同時!$B$123="","",3キー同時!$B$123)</f>
        <v>m</v>
      </c>
      <c r="E1973" s="2" t="str">
        <f aca="false">IF(3キー同時!$G$123="","",3キー同時!$G$123)</f>
        <v>o</v>
      </c>
      <c r="F1973" s="2" t="str">
        <f aca="false">""</f>
        <v/>
      </c>
      <c r="G1973" s="2" t="str">
        <f aca="false">IF(OR(3キー同時!$B$123="",3キー同時!$G$123=""),"",IF(3キー同時!AX125="","",SUBSTITUTE(SUBSTITUTE(3キー同時!AX125," ",""),"　","")))</f>
        <v/>
      </c>
      <c r="H1973" s="2" t="str">
        <f aca="false">IF($G1973="","",3キー同時!$B$123)</f>
        <v/>
      </c>
      <c r="I1973" s="2" t="str">
        <f aca="false">IF($G1973="","",3キー同時!$G$123)</f>
        <v/>
      </c>
      <c r="J1973" s="2" t="str">
        <f aca="false">IF($G1973="","","=")</f>
        <v/>
      </c>
      <c r="K1973" s="2" t="str">
        <f aca="false">""</f>
        <v/>
      </c>
      <c r="L1973" s="2" t="str">
        <f aca="false">IF($G1973="","","同時")</f>
        <v/>
      </c>
      <c r="M1973" s="2" t="str">
        <f aca="false">IF($G1973="","",IF(ISNA(MATCH($G1973,個別指定!$A:$A,0)),"行なし",""))</f>
        <v/>
      </c>
      <c r="N1973" s="2" t="str">
        <f aca="false">IF($G1973="","",IF(COUNTIF($G$2:$G$4460,$G1973)&gt;1,"重複",""))</f>
        <v/>
      </c>
    </row>
    <row r="1974" customFormat="false" ht="16.5" hidden="false" customHeight="true" outlineLevel="0" collapsed="false">
      <c r="A1974" s="2" t="s">
        <v>416</v>
      </c>
      <c r="B1974" s="2" t="s">
        <v>426</v>
      </c>
      <c r="C1974" s="2" t="s">
        <v>12</v>
      </c>
      <c r="D1974" s="2" t="str">
        <f aca="false">IF(3キー同時!$B$123="","",3キー同時!$B$123)</f>
        <v>m</v>
      </c>
      <c r="E1974" s="2" t="str">
        <f aca="false">IF(3キー同時!$G$123="","",3キー同時!$G$123)</f>
        <v>o</v>
      </c>
      <c r="F1974" s="2" t="str">
        <f aca="false">""</f>
        <v/>
      </c>
      <c r="G1974" s="2" t="str">
        <f aca="false">IF(OR(3キー同時!$B$123="",3キー同時!$G$123=""),"",IF(3キー同時!H127="","",SUBSTITUTE(SUBSTITUTE(3キー同時!H127," ",""),"　","")))</f>
        <v/>
      </c>
      <c r="H1974" s="2" t="str">
        <f aca="false">IF($G1974="","",3キー同時!$B$123)</f>
        <v/>
      </c>
      <c r="I1974" s="2" t="str">
        <f aca="false">IF($G1974="","",3キー同時!$G$123)</f>
        <v/>
      </c>
      <c r="J1974" s="2" t="str">
        <f aca="false">IF($G1974="","","q")</f>
        <v/>
      </c>
      <c r="K1974" s="2" t="str">
        <f aca="false">""</f>
        <v/>
      </c>
      <c r="L1974" s="2" t="str">
        <f aca="false">IF($G1974="","","同時")</f>
        <v/>
      </c>
      <c r="M1974" s="2" t="str">
        <f aca="false">IF($G1974="","",IF(ISNA(MATCH($G1974,個別指定!$A:$A,0)),"行なし",""))</f>
        <v/>
      </c>
      <c r="N1974" s="2" t="str">
        <f aca="false">IF($G1974="","",IF(COUNTIF($G$2:$G$4460,$G1974)&gt;1,"重複",""))</f>
        <v/>
      </c>
    </row>
    <row r="1975" customFormat="false" ht="16.5" hidden="false" customHeight="true" outlineLevel="0" collapsed="false">
      <c r="A1975" s="2" t="s">
        <v>416</v>
      </c>
      <c r="B1975" s="2" t="s">
        <v>426</v>
      </c>
      <c r="C1975" s="2" t="s">
        <v>13</v>
      </c>
      <c r="D1975" s="2" t="str">
        <f aca="false">IF(3キー同時!$B$123="","",3キー同時!$B$123)</f>
        <v>m</v>
      </c>
      <c r="E1975" s="2" t="str">
        <f aca="false">IF(3キー同時!$G$123="","",3キー同時!$G$123)</f>
        <v>o</v>
      </c>
      <c r="F1975" s="2" t="str">
        <f aca="false">""</f>
        <v/>
      </c>
      <c r="G1975" s="2" t="str">
        <f aca="false">IF(OR(3キー同時!$B$123="",3キー同時!$G$123=""),"",IF(3キー同時!L127="","",SUBSTITUTE(SUBSTITUTE(3キー同時!L127," ",""),"　","")))</f>
        <v/>
      </c>
      <c r="H1975" s="2" t="str">
        <f aca="false">IF($G1975="","",3キー同時!$B$123)</f>
        <v/>
      </c>
      <c r="I1975" s="2" t="str">
        <f aca="false">IF($G1975="","",3キー同時!$G$123)</f>
        <v/>
      </c>
      <c r="J1975" s="2" t="str">
        <f aca="false">IF($G1975="","","w")</f>
        <v/>
      </c>
      <c r="K1975" s="2" t="str">
        <f aca="false">""</f>
        <v/>
      </c>
      <c r="L1975" s="2" t="str">
        <f aca="false">IF($G1975="","","同時")</f>
        <v/>
      </c>
      <c r="M1975" s="2" t="str">
        <f aca="false">IF($G1975="","",IF(ISNA(MATCH($G1975,個別指定!$A:$A,0)),"行なし",""))</f>
        <v/>
      </c>
      <c r="N1975" s="2" t="str">
        <f aca="false">IF($G1975="","",IF(COUNTIF($G$2:$G$4460,$G1975)&gt;1,"重複",""))</f>
        <v/>
      </c>
    </row>
    <row r="1976" customFormat="false" ht="16.5" hidden="false" customHeight="true" outlineLevel="0" collapsed="false">
      <c r="A1976" s="2" t="s">
        <v>416</v>
      </c>
      <c r="B1976" s="2" t="s">
        <v>426</v>
      </c>
      <c r="C1976" s="2" t="s">
        <v>14</v>
      </c>
      <c r="D1976" s="2" t="str">
        <f aca="false">IF(3キー同時!$B$123="","",3キー同時!$B$123)</f>
        <v>m</v>
      </c>
      <c r="E1976" s="2" t="str">
        <f aca="false">IF(3キー同時!$G$123="","",3キー同時!$G$123)</f>
        <v>o</v>
      </c>
      <c r="F1976" s="2" t="str">
        <f aca="false">""</f>
        <v/>
      </c>
      <c r="G1976" s="2" t="str">
        <f aca="false">IF(OR(3キー同時!$B$123="",3キー同時!$G$123=""),"",IF(3キー同時!P127="","",SUBSTITUTE(SUBSTITUTE(3キー同時!P127," ",""),"　","")))</f>
        <v/>
      </c>
      <c r="H1976" s="2" t="str">
        <f aca="false">IF($G1976="","",3キー同時!$B$123)</f>
        <v/>
      </c>
      <c r="I1976" s="2" t="str">
        <f aca="false">IF($G1976="","",3キー同時!$G$123)</f>
        <v/>
      </c>
      <c r="J1976" s="2" t="str">
        <f aca="false">IF($G1976="","","e")</f>
        <v/>
      </c>
      <c r="K1976" s="2" t="str">
        <f aca="false">""</f>
        <v/>
      </c>
      <c r="L1976" s="2" t="str">
        <f aca="false">IF($G1976="","","同時")</f>
        <v/>
      </c>
      <c r="M1976" s="2" t="str">
        <f aca="false">IF($G1976="","",IF(ISNA(MATCH($G1976,個別指定!$A:$A,0)),"行なし",""))</f>
        <v/>
      </c>
      <c r="N1976" s="2" t="str">
        <f aca="false">IF($G1976="","",IF(COUNTIF($G$2:$G$4460,$G1976)&gt;1,"重複",""))</f>
        <v/>
      </c>
    </row>
    <row r="1977" customFormat="false" ht="16.5" hidden="false" customHeight="true" outlineLevel="0" collapsed="false">
      <c r="A1977" s="2" t="s">
        <v>416</v>
      </c>
      <c r="B1977" s="2" t="s">
        <v>426</v>
      </c>
      <c r="C1977" s="2" t="s">
        <v>15</v>
      </c>
      <c r="D1977" s="2" t="str">
        <f aca="false">IF(3キー同時!$B$123="","",3キー同時!$B$123)</f>
        <v>m</v>
      </c>
      <c r="E1977" s="2" t="str">
        <f aca="false">IF(3キー同時!$G$123="","",3キー同時!$G$123)</f>
        <v>o</v>
      </c>
      <c r="F1977" s="2" t="str">
        <f aca="false">""</f>
        <v/>
      </c>
      <c r="G1977" s="2" t="str">
        <f aca="false">IF(OR(3キー同時!$B$123="",3キー同時!$G$123=""),"",IF(3キー同時!T127="","",SUBSTITUTE(SUBSTITUTE(3キー同時!T127," ",""),"　","")))</f>
        <v>しぇ</v>
      </c>
      <c r="H1977" s="2" t="str">
        <f aca="false">IF($G1977="","",3キー同時!$B$123)</f>
        <v>m</v>
      </c>
      <c r="I1977" s="2" t="str">
        <f aca="false">IF($G1977="","",3キー同時!$G$123)</f>
        <v>o</v>
      </c>
      <c r="J1977" s="2" t="str">
        <f aca="false">IF($G1977="","","r")</f>
        <v>r</v>
      </c>
      <c r="K1977" s="2" t="str">
        <f aca="false">""</f>
        <v/>
      </c>
      <c r="L1977" s="2" t="str">
        <f aca="false">IF($G1977="","","同時")</f>
        <v>同時</v>
      </c>
      <c r="M1977" s="2" t="str">
        <f aca="false">IF($G1977="","",IF(ISNA(MATCH($G1977,個別指定!$A:$A,0)),"行なし",""))</f>
        <v/>
      </c>
      <c r="N1977" s="2" t="str">
        <f aca="false">IF($G1977="","",IF(COUNTIF($G$2:$G$4460,$G1977)&gt;1,"重複",""))</f>
        <v/>
      </c>
    </row>
    <row r="1978" customFormat="false" ht="16.5" hidden="false" customHeight="true" outlineLevel="0" collapsed="false">
      <c r="A1978" s="2" t="s">
        <v>416</v>
      </c>
      <c r="B1978" s="2" t="s">
        <v>426</v>
      </c>
      <c r="C1978" s="2" t="s">
        <v>16</v>
      </c>
      <c r="D1978" s="2" t="str">
        <f aca="false">IF(3キー同時!$B$123="","",3キー同時!$B$123)</f>
        <v>m</v>
      </c>
      <c r="E1978" s="2" t="str">
        <f aca="false">IF(3キー同時!$G$123="","",3キー同時!$G$123)</f>
        <v>o</v>
      </c>
      <c r="F1978" s="2" t="str">
        <f aca="false">""</f>
        <v/>
      </c>
      <c r="G1978" s="2" t="str">
        <f aca="false">IF(OR(3キー同時!$B$123="",3キー同時!$G$123=""),"",IF(3キー同時!X127="","",SUBSTITUTE(SUBSTITUTE(3キー同時!X127," ",""),"　","")))</f>
        <v/>
      </c>
      <c r="H1978" s="2" t="str">
        <f aca="false">IF($G1978="","",3キー同時!$B$123)</f>
        <v/>
      </c>
      <c r="I1978" s="2" t="str">
        <f aca="false">IF($G1978="","",3キー同時!$G$123)</f>
        <v/>
      </c>
      <c r="J1978" s="2" t="str">
        <f aca="false">IF($G1978="","","t")</f>
        <v/>
      </c>
      <c r="K1978" s="2" t="str">
        <f aca="false">""</f>
        <v/>
      </c>
      <c r="L1978" s="2" t="str">
        <f aca="false">IF($G1978="","","同時")</f>
        <v/>
      </c>
      <c r="M1978" s="2" t="str">
        <f aca="false">IF($G1978="","",IF(ISNA(MATCH($G1978,個別指定!$A:$A,0)),"行なし",""))</f>
        <v/>
      </c>
      <c r="N1978" s="2" t="str">
        <f aca="false">IF($G1978="","",IF(COUNTIF($G$2:$G$4460,$G1978)&gt;1,"重複",""))</f>
        <v/>
      </c>
    </row>
    <row r="1979" customFormat="false" ht="16.5" hidden="false" customHeight="true" outlineLevel="0" collapsed="false">
      <c r="A1979" s="2" t="s">
        <v>416</v>
      </c>
      <c r="B1979" s="2" t="s">
        <v>426</v>
      </c>
      <c r="C1979" s="2" t="s">
        <v>17</v>
      </c>
      <c r="D1979" s="2" t="str">
        <f aca="false">IF(3キー同時!$B$123="","",3キー同時!$B$123)</f>
        <v>m</v>
      </c>
      <c r="E1979" s="2" t="str">
        <f aca="false">IF(3キー同時!$G$123="","",3キー同時!$G$123)</f>
        <v>o</v>
      </c>
      <c r="F1979" s="2" t="str">
        <f aca="false">""</f>
        <v/>
      </c>
      <c r="G1979" s="2" t="str">
        <f aca="false">IF(OR(3キー同時!$B$123="",3キー同時!$G$123=""),"",IF(3キー同時!AB127="","",SUBSTITUTE(SUBSTITUTE(3キー同時!AB127," ",""),"　","")))</f>
        <v/>
      </c>
      <c r="H1979" s="2" t="str">
        <f aca="false">IF($G1979="","",3キー同時!$B$123)</f>
        <v/>
      </c>
      <c r="I1979" s="2" t="str">
        <f aca="false">IF($G1979="","",3キー同時!$G$123)</f>
        <v/>
      </c>
      <c r="J1979" s="2" t="str">
        <f aca="false">IF($G1979="","","y")</f>
        <v/>
      </c>
      <c r="K1979" s="2" t="str">
        <f aca="false">""</f>
        <v/>
      </c>
      <c r="L1979" s="2" t="str">
        <f aca="false">IF($G1979="","","同時")</f>
        <v/>
      </c>
      <c r="M1979" s="2" t="str">
        <f aca="false">IF($G1979="","",IF(ISNA(MATCH($G1979,個別指定!$A:$A,0)),"行なし",""))</f>
        <v/>
      </c>
      <c r="N1979" s="2" t="str">
        <f aca="false">IF($G1979="","",IF(COUNTIF($G$2:$G$4460,$G1979)&gt;1,"重複",""))</f>
        <v/>
      </c>
    </row>
    <row r="1980" customFormat="false" ht="16.5" hidden="false" customHeight="true" outlineLevel="0" collapsed="false">
      <c r="A1980" s="2" t="s">
        <v>416</v>
      </c>
      <c r="B1980" s="2" t="s">
        <v>426</v>
      </c>
      <c r="C1980" s="2" t="s">
        <v>18</v>
      </c>
      <c r="D1980" s="2" t="str">
        <f aca="false">IF(3キー同時!$B$123="","",3キー同時!$B$123)</f>
        <v>m</v>
      </c>
      <c r="E1980" s="2" t="str">
        <f aca="false">IF(3キー同時!$G$123="","",3キー同時!$G$123)</f>
        <v>o</v>
      </c>
      <c r="F1980" s="2" t="str">
        <f aca="false">""</f>
        <v/>
      </c>
      <c r="G1980" s="2" t="str">
        <f aca="false">IF(OR(3キー同時!$B$123="",3キー同時!$G$123=""),"",IF(3キー同時!AF127="","",SUBSTITUTE(SUBSTITUTE(3キー同時!AF127," ",""),"　","")))</f>
        <v/>
      </c>
      <c r="H1980" s="2" t="str">
        <f aca="false">IF($G1980="","",3キー同時!$B$123)</f>
        <v/>
      </c>
      <c r="I1980" s="2" t="str">
        <f aca="false">IF($G1980="","",3キー同時!$G$123)</f>
        <v/>
      </c>
      <c r="J1980" s="2" t="str">
        <f aca="false">IF($G1980="","","u")</f>
        <v/>
      </c>
      <c r="K1980" s="2" t="str">
        <f aca="false">""</f>
        <v/>
      </c>
      <c r="L1980" s="2" t="str">
        <f aca="false">IF($G1980="","","同時")</f>
        <v/>
      </c>
      <c r="M1980" s="2" t="str">
        <f aca="false">IF($G1980="","",IF(ISNA(MATCH($G1980,個別指定!$A:$A,0)),"行なし",""))</f>
        <v/>
      </c>
      <c r="N1980" s="2" t="str">
        <f aca="false">IF($G1980="","",IF(COUNTIF($G$2:$G$4460,$G1980)&gt;1,"重複",""))</f>
        <v/>
      </c>
    </row>
    <row r="1981" customFormat="false" ht="16.5" hidden="false" customHeight="true" outlineLevel="0" collapsed="false">
      <c r="A1981" s="2" t="s">
        <v>416</v>
      </c>
      <c r="B1981" s="2" t="s">
        <v>426</v>
      </c>
      <c r="C1981" s="2" t="s">
        <v>19</v>
      </c>
      <c r="D1981" s="2" t="str">
        <f aca="false">IF(3キー同時!$B$123="","",3キー同時!$B$123)</f>
        <v>m</v>
      </c>
      <c r="E1981" s="2" t="str">
        <f aca="false">IF(3キー同時!$G$123="","",3キー同時!$G$123)</f>
        <v>o</v>
      </c>
      <c r="F1981" s="2" t="str">
        <f aca="false">""</f>
        <v/>
      </c>
      <c r="G1981" s="2" t="str">
        <f aca="false">IF(OR(3キー同時!$B$123="",3キー同時!$G$123=""),"",IF(3キー同時!AJ127="","",SUBSTITUTE(SUBSTITUTE(3キー同時!AJ127," ",""),"　","")))</f>
        <v/>
      </c>
      <c r="H1981" s="2" t="str">
        <f aca="false">IF($G1981="","",3キー同時!$B$123)</f>
        <v/>
      </c>
      <c r="I1981" s="2" t="str">
        <f aca="false">IF($G1981="","",3キー同時!$G$123)</f>
        <v/>
      </c>
      <c r="J1981" s="2" t="str">
        <f aca="false">IF($G1981="","","i")</f>
        <v/>
      </c>
      <c r="K1981" s="2" t="str">
        <f aca="false">""</f>
        <v/>
      </c>
      <c r="L1981" s="2" t="str">
        <f aca="false">IF($G1981="","","同時")</f>
        <v/>
      </c>
      <c r="M1981" s="2" t="str">
        <f aca="false">IF($G1981="","",IF(ISNA(MATCH($G1981,個別指定!$A:$A,0)),"行なし",""))</f>
        <v/>
      </c>
      <c r="N1981" s="2" t="str">
        <f aca="false">IF($G1981="","",IF(COUNTIF($G$2:$G$4460,$G1981)&gt;1,"重複",""))</f>
        <v/>
      </c>
    </row>
    <row r="1982" customFormat="false" ht="16.5" hidden="false" customHeight="true" outlineLevel="0" collapsed="false">
      <c r="A1982" s="2" t="s">
        <v>416</v>
      </c>
      <c r="B1982" s="2" t="s">
        <v>426</v>
      </c>
      <c r="C1982" s="2" t="s">
        <v>20</v>
      </c>
      <c r="D1982" s="2" t="str">
        <f aca="false">IF(3キー同時!$B$123="","",3キー同時!$B$123)</f>
        <v>m</v>
      </c>
      <c r="E1982" s="2" t="str">
        <f aca="false">IF(3キー同時!$G$123="","",3キー同時!$G$123)</f>
        <v>o</v>
      </c>
      <c r="F1982" s="2" t="str">
        <f aca="false">""</f>
        <v/>
      </c>
      <c r="G1982" s="2" t="str">
        <f aca="false">IF(OR(3キー同時!$B$123="",3キー同時!$G$123=""),"",IF(3キー同時!AN127="","",SUBSTITUTE(SUBSTITUTE(3キー同時!AN127," ",""),"　","")))</f>
        <v/>
      </c>
      <c r="H1982" s="2" t="str">
        <f aca="false">IF($G1982="","",3キー同時!$B$123)</f>
        <v/>
      </c>
      <c r="I1982" s="2" t="str">
        <f aca="false">IF($G1982="","",3キー同時!$G$123)</f>
        <v/>
      </c>
      <c r="J1982" s="2" t="str">
        <f aca="false">IF($G1982="","","o")</f>
        <v/>
      </c>
      <c r="K1982" s="2" t="str">
        <f aca="false">""</f>
        <v/>
      </c>
      <c r="L1982" s="2" t="str">
        <f aca="false">IF($G1982="","","同時")</f>
        <v/>
      </c>
      <c r="M1982" s="2" t="str">
        <f aca="false">IF($G1982="","",IF(ISNA(MATCH($G1982,個別指定!$A:$A,0)),"行なし",""))</f>
        <v/>
      </c>
      <c r="N1982" s="2" t="str">
        <f aca="false">IF($G1982="","",IF(COUNTIF($G$2:$G$4460,$G1982)&gt;1,"重複",""))</f>
        <v/>
      </c>
    </row>
    <row r="1983" customFormat="false" ht="16.5" hidden="false" customHeight="true" outlineLevel="0" collapsed="false">
      <c r="A1983" s="2" t="s">
        <v>416</v>
      </c>
      <c r="B1983" s="2" t="s">
        <v>426</v>
      </c>
      <c r="C1983" s="2" t="s">
        <v>21</v>
      </c>
      <c r="D1983" s="2" t="str">
        <f aca="false">IF(3キー同時!$B$123="","",3キー同時!$B$123)</f>
        <v>m</v>
      </c>
      <c r="E1983" s="2" t="str">
        <f aca="false">IF(3キー同時!$G$123="","",3キー同時!$G$123)</f>
        <v>o</v>
      </c>
      <c r="F1983" s="2" t="str">
        <f aca="false">""</f>
        <v/>
      </c>
      <c r="G1983" s="2" t="str">
        <f aca="false">IF(OR(3キー同時!$B$123="",3キー同時!$G$123=""),"",IF(3キー同時!AR127="","",SUBSTITUTE(SUBSTITUTE(3キー同時!AR127," ",""),"　","")))</f>
        <v/>
      </c>
      <c r="H1983" s="2" t="str">
        <f aca="false">IF($G1983="","",3キー同時!$B$123)</f>
        <v/>
      </c>
      <c r="I1983" s="2" t="str">
        <f aca="false">IF($G1983="","",3キー同時!$G$123)</f>
        <v/>
      </c>
      <c r="J1983" s="2" t="str">
        <f aca="false">IF($G1983="","","p")</f>
        <v/>
      </c>
      <c r="K1983" s="2" t="str">
        <f aca="false">""</f>
        <v/>
      </c>
      <c r="L1983" s="2" t="str">
        <f aca="false">IF($G1983="","","同時")</f>
        <v/>
      </c>
      <c r="M1983" s="2" t="str">
        <f aca="false">IF($G1983="","",IF(ISNA(MATCH($G1983,個別指定!$A:$A,0)),"行なし",""))</f>
        <v/>
      </c>
      <c r="N1983" s="2" t="str">
        <f aca="false">IF($G1983="","",IF(COUNTIF($G$2:$G$4460,$G1983)&gt;1,"重複",""))</f>
        <v/>
      </c>
    </row>
    <row r="1984" customFormat="false" ht="16.5" hidden="false" customHeight="true" outlineLevel="0" collapsed="false">
      <c r="A1984" s="2" t="s">
        <v>416</v>
      </c>
      <c r="B1984" s="2" t="s">
        <v>426</v>
      </c>
      <c r="C1984" s="2" t="s">
        <v>22</v>
      </c>
      <c r="D1984" s="2" t="str">
        <f aca="false">IF(3キー同時!$B$123="","",3キー同時!$B$123)</f>
        <v>m</v>
      </c>
      <c r="E1984" s="2" t="str">
        <f aca="false">IF(3キー同時!$G$123="","",3キー同時!$G$123)</f>
        <v>o</v>
      </c>
      <c r="F1984" s="2" t="str">
        <f aca="false">""</f>
        <v/>
      </c>
      <c r="G1984" s="2" t="str">
        <f aca="false">IF(OR(3キー同時!$B$123="",3キー同時!$G$123=""),"",IF(3キー同時!AV127="","",SUBSTITUTE(SUBSTITUTE(3キー同時!AV127," ",""),"　","")))</f>
        <v/>
      </c>
      <c r="H1984" s="2" t="str">
        <f aca="false">IF($G1984="","",3キー同時!$B$123)</f>
        <v/>
      </c>
      <c r="I1984" s="2" t="str">
        <f aca="false">IF($G1984="","",3キー同時!$G$123)</f>
        <v/>
      </c>
      <c r="J1984" s="2" t="str">
        <f aca="false">IF($G1984="","","[")</f>
        <v/>
      </c>
      <c r="K1984" s="2" t="str">
        <f aca="false">""</f>
        <v/>
      </c>
      <c r="L1984" s="2" t="str">
        <f aca="false">IF($G1984="","","同時")</f>
        <v/>
      </c>
      <c r="M1984" s="2" t="str">
        <f aca="false">IF($G1984="","",IF(ISNA(MATCH($G1984,個別指定!$A:$A,0)),"行なし",""))</f>
        <v/>
      </c>
      <c r="N1984" s="2" t="str">
        <f aca="false">IF($G1984="","",IF(COUNTIF($G$2:$G$4460,$G1984)&gt;1,"重複",""))</f>
        <v/>
      </c>
    </row>
    <row r="1985" customFormat="false" ht="16.5" hidden="false" customHeight="true" outlineLevel="0" collapsed="false">
      <c r="A1985" s="2" t="s">
        <v>416</v>
      </c>
      <c r="B1985" s="2" t="s">
        <v>426</v>
      </c>
      <c r="C1985" s="2" t="s">
        <v>23</v>
      </c>
      <c r="D1985" s="2" t="str">
        <f aca="false">IF(3キー同時!$B$123="","",3キー同時!$B$123)</f>
        <v>m</v>
      </c>
      <c r="E1985" s="2" t="str">
        <f aca="false">IF(3キー同時!$G$123="","",3キー同時!$G$123)</f>
        <v>o</v>
      </c>
      <c r="F1985" s="2" t="str">
        <f aca="false">""</f>
        <v/>
      </c>
      <c r="G1985" s="2" t="str">
        <f aca="false">IF(OR(3キー同時!$B$123="",3キー同時!$G$123=""),"",IF(3キー同時!AZ127="","",SUBSTITUTE(SUBSTITUTE(3キー同時!AZ127," ",""),"　","")))</f>
        <v/>
      </c>
      <c r="H1985" s="2" t="str">
        <f aca="false">IF($G1985="","",3キー同時!$B$123)</f>
        <v/>
      </c>
      <c r="I1985" s="2" t="str">
        <f aca="false">IF($G1985="","",3キー同時!$G$123)</f>
        <v/>
      </c>
      <c r="J1985" s="2" t="str">
        <f aca="false">IF($G1985="","","]")</f>
        <v/>
      </c>
      <c r="K1985" s="2" t="str">
        <f aca="false">""</f>
        <v/>
      </c>
      <c r="L1985" s="2" t="str">
        <f aca="false">IF($G1985="","","同時")</f>
        <v/>
      </c>
      <c r="M1985" s="2" t="str">
        <f aca="false">IF($G1985="","",IF(ISNA(MATCH($G1985,個別指定!$A:$A,0)),"行なし",""))</f>
        <v/>
      </c>
      <c r="N1985" s="2" t="str">
        <f aca="false">IF($G1985="","",IF(COUNTIF($G$2:$G$4460,$G1985)&gt;1,"重複",""))</f>
        <v/>
      </c>
    </row>
    <row r="1986" customFormat="false" ht="16.5" hidden="false" customHeight="true" outlineLevel="0" collapsed="false">
      <c r="A1986" s="2" t="s">
        <v>416</v>
      </c>
      <c r="B1986" s="2" t="s">
        <v>426</v>
      </c>
      <c r="C1986" s="2" t="s">
        <v>24</v>
      </c>
      <c r="D1986" s="2" t="str">
        <f aca="false">IF(3キー同時!$B$123="","",3キー同時!$B$123)</f>
        <v>m</v>
      </c>
      <c r="E1986" s="2" t="str">
        <f aca="false">IF(3キー同時!$G$123="","",3キー同時!$G$123)</f>
        <v>o</v>
      </c>
      <c r="F1986" s="2" t="str">
        <f aca="false">""</f>
        <v/>
      </c>
      <c r="G1986" s="2" t="str">
        <f aca="false">IF(OR(3キー同時!$B$123="",3キー同時!$G$123=""),"",IF(3キー同時!I129="","",SUBSTITUTE(SUBSTITUTE(3キー同時!I129," ",""),"　","")))</f>
        <v/>
      </c>
      <c r="H1986" s="2" t="str">
        <f aca="false">IF($G1986="","",3キー同時!$B$123)</f>
        <v/>
      </c>
      <c r="I1986" s="2" t="str">
        <f aca="false">IF($G1986="","",3キー同時!$G$123)</f>
        <v/>
      </c>
      <c r="J1986" s="2" t="str">
        <f aca="false">IF($G1986="","","a")</f>
        <v/>
      </c>
      <c r="K1986" s="2" t="str">
        <f aca="false">""</f>
        <v/>
      </c>
      <c r="L1986" s="2" t="str">
        <f aca="false">IF($G1986="","","同時")</f>
        <v/>
      </c>
      <c r="M1986" s="2" t="str">
        <f aca="false">IF($G1986="","",IF(ISNA(MATCH($G1986,個別指定!$A:$A,0)),"行なし",""))</f>
        <v/>
      </c>
      <c r="N1986" s="2" t="str">
        <f aca="false">IF($G1986="","",IF(COUNTIF($G$2:$G$4460,$G1986)&gt;1,"重複",""))</f>
        <v/>
      </c>
    </row>
    <row r="1987" customFormat="false" ht="16.5" hidden="false" customHeight="true" outlineLevel="0" collapsed="false">
      <c r="A1987" s="2" t="s">
        <v>416</v>
      </c>
      <c r="B1987" s="2" t="s">
        <v>426</v>
      </c>
      <c r="C1987" s="2" t="s">
        <v>25</v>
      </c>
      <c r="D1987" s="2" t="str">
        <f aca="false">IF(3キー同時!$B$123="","",3キー同時!$B$123)</f>
        <v>m</v>
      </c>
      <c r="E1987" s="2" t="str">
        <f aca="false">IF(3キー同時!$G$123="","",3キー同時!$G$123)</f>
        <v>o</v>
      </c>
      <c r="F1987" s="2" t="str">
        <f aca="false">""</f>
        <v/>
      </c>
      <c r="G1987" s="2" t="str">
        <f aca="false">IF(OR(3キー同時!$B$123="",3キー同時!$G$123=""),"",IF(3キー同時!M129="","",SUBSTITUTE(SUBSTITUTE(3キー同時!M129," ",""),"　","")))</f>
        <v/>
      </c>
      <c r="H1987" s="2" t="str">
        <f aca="false">IF($G1987="","",3キー同時!$B$123)</f>
        <v/>
      </c>
      <c r="I1987" s="2" t="str">
        <f aca="false">IF($G1987="","",3キー同時!$G$123)</f>
        <v/>
      </c>
      <c r="J1987" s="2" t="str">
        <f aca="false">IF($G1987="","","s")</f>
        <v/>
      </c>
      <c r="K1987" s="2" t="str">
        <f aca="false">""</f>
        <v/>
      </c>
      <c r="L1987" s="2" t="str">
        <f aca="false">IF($G1987="","","同時")</f>
        <v/>
      </c>
      <c r="M1987" s="2" t="str">
        <f aca="false">IF($G1987="","",IF(ISNA(MATCH($G1987,個別指定!$A:$A,0)),"行なし",""))</f>
        <v/>
      </c>
      <c r="N1987" s="2" t="str">
        <f aca="false">IF($G1987="","",IF(COUNTIF($G$2:$G$4460,$G1987)&gt;1,"重複",""))</f>
        <v/>
      </c>
    </row>
    <row r="1988" customFormat="false" ht="16.5" hidden="false" customHeight="true" outlineLevel="0" collapsed="false">
      <c r="A1988" s="2" t="s">
        <v>416</v>
      </c>
      <c r="B1988" s="2" t="s">
        <v>426</v>
      </c>
      <c r="C1988" s="2" t="s">
        <v>26</v>
      </c>
      <c r="D1988" s="2" t="str">
        <f aca="false">IF(3キー同時!$B$123="","",3キー同時!$B$123)</f>
        <v>m</v>
      </c>
      <c r="E1988" s="2" t="str">
        <f aca="false">IF(3キー同時!$G$123="","",3キー同時!$G$123)</f>
        <v>o</v>
      </c>
      <c r="F1988" s="2" t="str">
        <f aca="false">""</f>
        <v/>
      </c>
      <c r="G1988" s="2" t="str">
        <f aca="false">IF(OR(3キー同時!$B$123="",3キー同時!$G$123=""),"",IF(3キー同時!Q129="","",SUBSTITUTE(SUBSTITUTE(3キー同時!Q129," ",""),"　","")))</f>
        <v/>
      </c>
      <c r="H1988" s="2" t="str">
        <f aca="false">IF($G1988="","",3キー同時!$B$123)</f>
        <v/>
      </c>
      <c r="I1988" s="2" t="str">
        <f aca="false">IF($G1988="","",3キー同時!$G$123)</f>
        <v/>
      </c>
      <c r="J1988" s="2" t="str">
        <f aca="false">IF($G1988="","","d")</f>
        <v/>
      </c>
      <c r="K1988" s="2" t="str">
        <f aca="false">""</f>
        <v/>
      </c>
      <c r="L1988" s="2" t="str">
        <f aca="false">IF($G1988="","","同時")</f>
        <v/>
      </c>
      <c r="M1988" s="2" t="str">
        <f aca="false">IF($G1988="","",IF(ISNA(MATCH($G1988,個別指定!$A:$A,0)),"行なし",""))</f>
        <v/>
      </c>
      <c r="N1988" s="2" t="str">
        <f aca="false">IF($G1988="","",IF(COUNTIF($G$2:$G$4460,$G1988)&gt;1,"重複",""))</f>
        <v/>
      </c>
    </row>
    <row r="1989" customFormat="false" ht="16.5" hidden="false" customHeight="true" outlineLevel="0" collapsed="false">
      <c r="A1989" s="2" t="s">
        <v>416</v>
      </c>
      <c r="B1989" s="2" t="s">
        <v>426</v>
      </c>
      <c r="C1989" s="2" t="s">
        <v>27</v>
      </c>
      <c r="D1989" s="2" t="str">
        <f aca="false">IF(3キー同時!$B$123="","",3キー同時!$B$123)</f>
        <v>m</v>
      </c>
      <c r="E1989" s="2" t="str">
        <f aca="false">IF(3キー同時!$G$123="","",3キー同時!$G$123)</f>
        <v>o</v>
      </c>
      <c r="F1989" s="2" t="str">
        <f aca="false">""</f>
        <v/>
      </c>
      <c r="G1989" s="2" t="str">
        <f aca="false">IF(OR(3キー同時!$B$123="",3キー同時!$G$123=""),"",IF(3キー同時!U129="","",SUBSTITUTE(SUBSTITUTE(3キー同時!U129," ",""),"　","")))</f>
        <v/>
      </c>
      <c r="H1989" s="2" t="str">
        <f aca="false">IF($G1989="","",3キー同時!$B$123)</f>
        <v/>
      </c>
      <c r="I1989" s="2" t="str">
        <f aca="false">IF($G1989="","",3キー同時!$G$123)</f>
        <v/>
      </c>
      <c r="J1989" s="2" t="str">
        <f aca="false">IF($G1989="","","f")</f>
        <v/>
      </c>
      <c r="K1989" s="2" t="str">
        <f aca="false">""</f>
        <v/>
      </c>
      <c r="L1989" s="2" t="str">
        <f aca="false">IF($G1989="","","同時")</f>
        <v/>
      </c>
      <c r="M1989" s="2" t="str">
        <f aca="false">IF($G1989="","",IF(ISNA(MATCH($G1989,個別指定!$A:$A,0)),"行なし",""))</f>
        <v/>
      </c>
      <c r="N1989" s="2" t="str">
        <f aca="false">IF($G1989="","",IF(COUNTIF($G$2:$G$4460,$G1989)&gt;1,"重複",""))</f>
        <v/>
      </c>
    </row>
    <row r="1990" customFormat="false" ht="16.5" hidden="false" customHeight="true" outlineLevel="0" collapsed="false">
      <c r="A1990" s="2" t="s">
        <v>416</v>
      </c>
      <c r="B1990" s="2" t="s">
        <v>426</v>
      </c>
      <c r="C1990" s="2" t="s">
        <v>28</v>
      </c>
      <c r="D1990" s="2" t="str">
        <f aca="false">IF(3キー同時!$B$123="","",3キー同時!$B$123)</f>
        <v>m</v>
      </c>
      <c r="E1990" s="2" t="str">
        <f aca="false">IF(3キー同時!$G$123="","",3キー同時!$G$123)</f>
        <v>o</v>
      </c>
      <c r="F1990" s="2" t="str">
        <f aca="false">""</f>
        <v/>
      </c>
      <c r="G1990" s="2" t="str">
        <f aca="false">IF(OR(3キー同時!$B$123="",3キー同時!$G$123=""),"",IF(3キー同時!Y129="","",SUBSTITUTE(SUBSTITUTE(3キー同時!Y129," ",""),"　","")))</f>
        <v>ちぇ</v>
      </c>
      <c r="H1990" s="2" t="str">
        <f aca="false">IF($G1990="","",3キー同時!$B$123)</f>
        <v>m</v>
      </c>
      <c r="I1990" s="2" t="str">
        <f aca="false">IF($G1990="","",3キー同時!$G$123)</f>
        <v>o</v>
      </c>
      <c r="J1990" s="2" t="str">
        <f aca="false">IF($G1990="","","g")</f>
        <v>g</v>
      </c>
      <c r="K1990" s="2" t="str">
        <f aca="false">""</f>
        <v/>
      </c>
      <c r="L1990" s="2" t="str">
        <f aca="false">IF($G1990="","","同時")</f>
        <v>同時</v>
      </c>
      <c r="M1990" s="2" t="str">
        <f aca="false">IF($G1990="","",IF(ISNA(MATCH($G1990,個別指定!$A:$A,0)),"行なし",""))</f>
        <v/>
      </c>
      <c r="N1990" s="2" t="str">
        <f aca="false">IF($G1990="","",IF(COUNTIF($G$2:$G$4460,$G1990)&gt;1,"重複",""))</f>
        <v/>
      </c>
    </row>
    <row r="1991" customFormat="false" ht="16.5" hidden="false" customHeight="true" outlineLevel="0" collapsed="false">
      <c r="A1991" s="2" t="s">
        <v>416</v>
      </c>
      <c r="B1991" s="2" t="s">
        <v>426</v>
      </c>
      <c r="C1991" s="2" t="s">
        <v>29</v>
      </c>
      <c r="D1991" s="2" t="str">
        <f aca="false">IF(3キー同時!$B$123="","",3キー同時!$B$123)</f>
        <v>m</v>
      </c>
      <c r="E1991" s="2" t="str">
        <f aca="false">IF(3キー同時!$G$123="","",3キー同時!$G$123)</f>
        <v>o</v>
      </c>
      <c r="F1991" s="2" t="str">
        <f aca="false">""</f>
        <v/>
      </c>
      <c r="G1991" s="2" t="str">
        <f aca="false">IF(OR(3キー同時!$B$123="",3キー同時!$G$123=""),"",IF(3キー同時!AC129="","",SUBSTITUTE(SUBSTITUTE(3キー同時!AC129," ",""),"　","")))</f>
        <v/>
      </c>
      <c r="H1991" s="2" t="str">
        <f aca="false">IF($G1991="","",3キー同時!$B$123)</f>
        <v/>
      </c>
      <c r="I1991" s="2" t="str">
        <f aca="false">IF($G1991="","",3キー同時!$G$123)</f>
        <v/>
      </c>
      <c r="J1991" s="2" t="str">
        <f aca="false">IF($G1991="","","h")</f>
        <v/>
      </c>
      <c r="K1991" s="2" t="str">
        <f aca="false">""</f>
        <v/>
      </c>
      <c r="L1991" s="2" t="str">
        <f aca="false">IF($G1991="","","同時")</f>
        <v/>
      </c>
      <c r="M1991" s="2" t="str">
        <f aca="false">IF($G1991="","",IF(ISNA(MATCH($G1991,個別指定!$A:$A,0)),"行なし",""))</f>
        <v/>
      </c>
      <c r="N1991" s="2" t="str">
        <f aca="false">IF($G1991="","",IF(COUNTIF($G$2:$G$4460,$G1991)&gt;1,"重複",""))</f>
        <v/>
      </c>
    </row>
    <row r="1992" customFormat="false" ht="16.5" hidden="false" customHeight="true" outlineLevel="0" collapsed="false">
      <c r="A1992" s="2" t="s">
        <v>416</v>
      </c>
      <c r="B1992" s="2" t="s">
        <v>426</v>
      </c>
      <c r="C1992" s="2" t="s">
        <v>30</v>
      </c>
      <c r="D1992" s="2" t="str">
        <f aca="false">IF(3キー同時!$B$123="","",3キー同時!$B$123)</f>
        <v>m</v>
      </c>
      <c r="E1992" s="2" t="str">
        <f aca="false">IF(3キー同時!$G$123="","",3キー同時!$G$123)</f>
        <v>o</v>
      </c>
      <c r="F1992" s="2" t="str">
        <f aca="false">""</f>
        <v/>
      </c>
      <c r="G1992" s="2" t="str">
        <f aca="false">IF(OR(3キー同時!$B$123="",3キー同時!$G$123=""),"",IF(3キー同時!AG129="","",SUBSTITUTE(SUBSTITUTE(3キー同時!AG129," ",""),"　","")))</f>
        <v/>
      </c>
      <c r="H1992" s="2" t="str">
        <f aca="false">IF($G1992="","",3キー同時!$B$123)</f>
        <v/>
      </c>
      <c r="I1992" s="2" t="str">
        <f aca="false">IF($G1992="","",3キー同時!$G$123)</f>
        <v/>
      </c>
      <c r="J1992" s="2" t="str">
        <f aca="false">IF($G1992="","","j")</f>
        <v/>
      </c>
      <c r="K1992" s="2" t="str">
        <f aca="false">""</f>
        <v/>
      </c>
      <c r="L1992" s="2" t="str">
        <f aca="false">IF($G1992="","","同時")</f>
        <v/>
      </c>
      <c r="M1992" s="2" t="str">
        <f aca="false">IF($G1992="","",IF(ISNA(MATCH($G1992,個別指定!$A:$A,0)),"行なし",""))</f>
        <v/>
      </c>
      <c r="N1992" s="2" t="str">
        <f aca="false">IF($G1992="","",IF(COUNTIF($G$2:$G$4460,$G1992)&gt;1,"重複",""))</f>
        <v/>
      </c>
    </row>
    <row r="1993" customFormat="false" ht="16.5" hidden="false" customHeight="true" outlineLevel="0" collapsed="false">
      <c r="A1993" s="2" t="s">
        <v>416</v>
      </c>
      <c r="B1993" s="2" t="s">
        <v>426</v>
      </c>
      <c r="C1993" s="2" t="s">
        <v>31</v>
      </c>
      <c r="D1993" s="2" t="str">
        <f aca="false">IF(3キー同時!$B$123="","",3キー同時!$B$123)</f>
        <v>m</v>
      </c>
      <c r="E1993" s="2" t="str">
        <f aca="false">IF(3キー同時!$G$123="","",3キー同時!$G$123)</f>
        <v>o</v>
      </c>
      <c r="F1993" s="2" t="str">
        <f aca="false">""</f>
        <v/>
      </c>
      <c r="G1993" s="2" t="str">
        <f aca="false">IF(OR(3キー同時!$B$123="",3キー同時!$G$123=""),"",IF(3キー同時!AK129="","",SUBSTITUTE(SUBSTITUTE(3キー同時!AK129," ",""),"　","")))</f>
        <v/>
      </c>
      <c r="H1993" s="2" t="str">
        <f aca="false">IF($G1993="","",3キー同時!$B$123)</f>
        <v/>
      </c>
      <c r="I1993" s="2" t="str">
        <f aca="false">IF($G1993="","",3キー同時!$G$123)</f>
        <v/>
      </c>
      <c r="J1993" s="2" t="str">
        <f aca="false">IF($G1993="","","k")</f>
        <v/>
      </c>
      <c r="K1993" s="2" t="str">
        <f aca="false">""</f>
        <v/>
      </c>
      <c r="L1993" s="2" t="str">
        <f aca="false">IF($G1993="","","同時")</f>
        <v/>
      </c>
      <c r="M1993" s="2" t="str">
        <f aca="false">IF($G1993="","",IF(ISNA(MATCH($G1993,個別指定!$A:$A,0)),"行なし",""))</f>
        <v/>
      </c>
      <c r="N1993" s="2" t="str">
        <f aca="false">IF($G1993="","",IF(COUNTIF($G$2:$G$4460,$G1993)&gt;1,"重複",""))</f>
        <v/>
      </c>
    </row>
    <row r="1994" customFormat="false" ht="16.5" hidden="false" customHeight="true" outlineLevel="0" collapsed="false">
      <c r="A1994" s="2" t="s">
        <v>416</v>
      </c>
      <c r="B1994" s="2" t="s">
        <v>426</v>
      </c>
      <c r="C1994" s="2" t="s">
        <v>32</v>
      </c>
      <c r="D1994" s="2" t="str">
        <f aca="false">IF(3キー同時!$B$123="","",3キー同時!$B$123)</f>
        <v>m</v>
      </c>
      <c r="E1994" s="2" t="str">
        <f aca="false">IF(3キー同時!$G$123="","",3キー同時!$G$123)</f>
        <v>o</v>
      </c>
      <c r="F1994" s="2" t="str">
        <f aca="false">""</f>
        <v/>
      </c>
      <c r="G1994" s="2" t="str">
        <f aca="false">IF(OR(3キー同時!$B$123="",3キー同時!$G$123=""),"",IF(3キー同時!AO129="","",SUBSTITUTE(SUBSTITUTE(3キー同時!AO129," ",""),"　","")))</f>
        <v/>
      </c>
      <c r="H1994" s="2" t="str">
        <f aca="false">IF($G1994="","",3キー同時!$B$123)</f>
        <v/>
      </c>
      <c r="I1994" s="2" t="str">
        <f aca="false">IF($G1994="","",3キー同時!$G$123)</f>
        <v/>
      </c>
      <c r="J1994" s="2" t="str">
        <f aca="false">IF($G1994="","","l")</f>
        <v/>
      </c>
      <c r="K1994" s="2" t="str">
        <f aca="false">""</f>
        <v/>
      </c>
      <c r="L1994" s="2" t="str">
        <f aca="false">IF($G1994="","","同時")</f>
        <v/>
      </c>
      <c r="M1994" s="2" t="str">
        <f aca="false">IF($G1994="","",IF(ISNA(MATCH($G1994,個別指定!$A:$A,0)),"行なし",""))</f>
        <v/>
      </c>
      <c r="N1994" s="2" t="str">
        <f aca="false">IF($G1994="","",IF(COUNTIF($G$2:$G$4460,$G1994)&gt;1,"重複",""))</f>
        <v/>
      </c>
    </row>
    <row r="1995" customFormat="false" ht="16.5" hidden="false" customHeight="true" outlineLevel="0" collapsed="false">
      <c r="A1995" s="2" t="s">
        <v>416</v>
      </c>
      <c r="B1995" s="2" t="s">
        <v>426</v>
      </c>
      <c r="C1995" s="2" t="s">
        <v>33</v>
      </c>
      <c r="D1995" s="2" t="str">
        <f aca="false">IF(3キー同時!$B$123="","",3キー同時!$B$123)</f>
        <v>m</v>
      </c>
      <c r="E1995" s="2" t="str">
        <f aca="false">IF(3キー同時!$G$123="","",3キー同時!$G$123)</f>
        <v>o</v>
      </c>
      <c r="F1995" s="2" t="str">
        <f aca="false">""</f>
        <v/>
      </c>
      <c r="G1995" s="2" t="str">
        <f aca="false">IF(OR(3キー同時!$B$123="",3キー同時!$G$123=""),"",IF(3キー同時!AS129="","",SUBSTITUTE(SUBSTITUTE(3キー同時!AS129," ",""),"　","")))</f>
        <v/>
      </c>
      <c r="H1995" s="2" t="str">
        <f aca="false">IF($G1995="","",3キー同時!$B$123)</f>
        <v/>
      </c>
      <c r="I1995" s="2" t="str">
        <f aca="false">IF($G1995="","",3キー同時!$G$123)</f>
        <v/>
      </c>
      <c r="J1995" s="2" t="str">
        <f aca="false">IF($G1995="","",";")</f>
        <v/>
      </c>
      <c r="K1995" s="2" t="str">
        <f aca="false">""</f>
        <v/>
      </c>
      <c r="L1995" s="2" t="str">
        <f aca="false">IF($G1995="","","同時")</f>
        <v/>
      </c>
      <c r="M1995" s="2" t="str">
        <f aca="false">IF($G1995="","",IF(ISNA(MATCH($G1995,個別指定!$A:$A,0)),"行なし",""))</f>
        <v/>
      </c>
      <c r="N1995" s="2" t="str">
        <f aca="false">IF($G1995="","",IF(COUNTIF($G$2:$G$4460,$G1995)&gt;1,"重複",""))</f>
        <v/>
      </c>
    </row>
    <row r="1996" customFormat="false" ht="16.5" hidden="false" customHeight="true" outlineLevel="0" collapsed="false">
      <c r="A1996" s="2" t="s">
        <v>416</v>
      </c>
      <c r="B1996" s="2" t="s">
        <v>426</v>
      </c>
      <c r="C1996" s="2" t="s">
        <v>34</v>
      </c>
      <c r="D1996" s="2" t="str">
        <f aca="false">IF(3キー同時!$B$123="","",3キー同時!$B$123)</f>
        <v>m</v>
      </c>
      <c r="E1996" s="2" t="str">
        <f aca="false">IF(3キー同時!$G$123="","",3キー同時!$G$123)</f>
        <v>o</v>
      </c>
      <c r="F1996" s="2" t="str">
        <f aca="false">""</f>
        <v/>
      </c>
      <c r="G1996" s="2" t="str">
        <f aca="false">IF(OR(3キー同時!$B$123="",3キー同時!$G$123=""),"",IF(3キー同時!AW129="","",SUBSTITUTE(SUBSTITUTE(3キー同時!AW129," ",""),"　","")))</f>
        <v/>
      </c>
      <c r="H1996" s="2" t="str">
        <f aca="false">IF($G1996="","",3キー同時!$B$123)</f>
        <v/>
      </c>
      <c r="I1996" s="2" t="str">
        <f aca="false">IF($G1996="","",3キー同時!$G$123)</f>
        <v/>
      </c>
      <c r="J1996" s="2" t="str">
        <f aca="false">IF($G1996="","","'")</f>
        <v/>
      </c>
      <c r="K1996" s="2" t="str">
        <f aca="false">""</f>
        <v/>
      </c>
      <c r="L1996" s="2" t="str">
        <f aca="false">IF($G1996="","","同時")</f>
        <v/>
      </c>
      <c r="M1996" s="2" t="str">
        <f aca="false">IF($G1996="","",IF(ISNA(MATCH($G1996,個別指定!$A:$A,0)),"行なし",""))</f>
        <v/>
      </c>
      <c r="N1996" s="2" t="str">
        <f aca="false">IF($G1996="","",IF(COUNTIF($G$2:$G$4460,$G1996)&gt;1,"重複",""))</f>
        <v/>
      </c>
    </row>
    <row r="1997" customFormat="false" ht="16.5" hidden="false" customHeight="true" outlineLevel="0" collapsed="false">
      <c r="A1997" s="2" t="s">
        <v>416</v>
      </c>
      <c r="B1997" s="2" t="s">
        <v>426</v>
      </c>
      <c r="C1997" s="2" t="s">
        <v>35</v>
      </c>
      <c r="D1997" s="2" t="str">
        <f aca="false">IF(3キー同時!$B$123="","",3キー同時!$B$123)</f>
        <v>m</v>
      </c>
      <c r="E1997" s="2" t="str">
        <f aca="false">IF(3キー同時!$G$123="","",3キー同時!$G$123)</f>
        <v>o</v>
      </c>
      <c r="F1997" s="2" t="str">
        <f aca="false">""</f>
        <v/>
      </c>
      <c r="G1997" s="2" t="str">
        <f aca="false">IF(OR(3キー同時!$B$123="",3キー同時!$G$123=""),"",IF(3キー同時!K131="","",SUBSTITUTE(SUBSTITUTE(3キー同時!K131," ",""),"　","")))</f>
        <v/>
      </c>
      <c r="H1997" s="2" t="str">
        <f aca="false">IF($G1997="","",3キー同時!$B$123)</f>
        <v/>
      </c>
      <c r="I1997" s="2" t="str">
        <f aca="false">IF($G1997="","",3キー同時!$G$123)</f>
        <v/>
      </c>
      <c r="J1997" s="2" t="str">
        <f aca="false">IF($G1997="","","z")</f>
        <v/>
      </c>
      <c r="K1997" s="2" t="str">
        <f aca="false">""</f>
        <v/>
      </c>
      <c r="L1997" s="2" t="str">
        <f aca="false">IF($G1997="","","同時")</f>
        <v/>
      </c>
      <c r="M1997" s="2" t="str">
        <f aca="false">IF($G1997="","",IF(ISNA(MATCH($G1997,個別指定!$A:$A,0)),"行なし",""))</f>
        <v/>
      </c>
      <c r="N1997" s="2" t="str">
        <f aca="false">IF($G1997="","",IF(COUNTIF($G$2:$G$4460,$G1997)&gt;1,"重複",""))</f>
        <v/>
      </c>
    </row>
    <row r="1998" customFormat="false" ht="16.5" hidden="false" customHeight="true" outlineLevel="0" collapsed="false">
      <c r="A1998" s="2" t="s">
        <v>416</v>
      </c>
      <c r="B1998" s="2" t="s">
        <v>426</v>
      </c>
      <c r="C1998" s="2" t="s">
        <v>36</v>
      </c>
      <c r="D1998" s="2" t="str">
        <f aca="false">IF(3キー同時!$B$123="","",3キー同時!$B$123)</f>
        <v>m</v>
      </c>
      <c r="E1998" s="2" t="str">
        <f aca="false">IF(3キー同時!$G$123="","",3キー同時!$G$123)</f>
        <v>o</v>
      </c>
      <c r="F1998" s="2" t="str">
        <f aca="false">""</f>
        <v/>
      </c>
      <c r="G1998" s="2" t="str">
        <f aca="false">IF(OR(3キー同時!$B$123="",3キー同時!$G$123=""),"",IF(3キー同時!O131="","",SUBSTITUTE(SUBSTITUTE(3キー同時!O131," ",""),"　","")))</f>
        <v/>
      </c>
      <c r="H1998" s="2" t="str">
        <f aca="false">IF($G1998="","",3キー同時!$B$123)</f>
        <v/>
      </c>
      <c r="I1998" s="2" t="str">
        <f aca="false">IF($G1998="","",3キー同時!$G$123)</f>
        <v/>
      </c>
      <c r="J1998" s="2" t="str">
        <f aca="false">IF($G1998="","","x")</f>
        <v/>
      </c>
      <c r="K1998" s="2" t="str">
        <f aca="false">""</f>
        <v/>
      </c>
      <c r="L1998" s="2" t="str">
        <f aca="false">IF($G1998="","","同時")</f>
        <v/>
      </c>
      <c r="M1998" s="2" t="str">
        <f aca="false">IF($G1998="","",IF(ISNA(MATCH($G1998,個別指定!$A:$A,0)),"行なし",""))</f>
        <v/>
      </c>
      <c r="N1998" s="2" t="str">
        <f aca="false">IF($G1998="","",IF(COUNTIF($G$2:$G$4460,$G1998)&gt;1,"重複",""))</f>
        <v/>
      </c>
    </row>
    <row r="1999" customFormat="false" ht="16.5" hidden="false" customHeight="true" outlineLevel="0" collapsed="false">
      <c r="A1999" s="2" t="s">
        <v>416</v>
      </c>
      <c r="B1999" s="2" t="s">
        <v>426</v>
      </c>
      <c r="C1999" s="2" t="s">
        <v>37</v>
      </c>
      <c r="D1999" s="2" t="str">
        <f aca="false">IF(3キー同時!$B$123="","",3キー同時!$B$123)</f>
        <v>m</v>
      </c>
      <c r="E1999" s="2" t="str">
        <f aca="false">IF(3キー同時!$G$123="","",3キー同時!$G$123)</f>
        <v>o</v>
      </c>
      <c r="F1999" s="2" t="str">
        <f aca="false">""</f>
        <v/>
      </c>
      <c r="G1999" s="2" t="str">
        <f aca="false">IF(OR(3キー同時!$B$123="",3キー同時!$G$123=""),"",IF(3キー同時!S131="","",SUBSTITUTE(SUBSTITUTE(3キー同時!S131," ",""),"　","")))</f>
        <v/>
      </c>
      <c r="H1999" s="2" t="str">
        <f aca="false">IF($G1999="","",3キー同時!$B$123)</f>
        <v/>
      </c>
      <c r="I1999" s="2" t="str">
        <f aca="false">IF($G1999="","",3キー同時!$G$123)</f>
        <v/>
      </c>
      <c r="J1999" s="2" t="str">
        <f aca="false">IF($G1999="","","c")</f>
        <v/>
      </c>
      <c r="K1999" s="2" t="str">
        <f aca="false">""</f>
        <v/>
      </c>
      <c r="L1999" s="2" t="str">
        <f aca="false">IF($G1999="","","同時")</f>
        <v/>
      </c>
      <c r="M1999" s="2" t="str">
        <f aca="false">IF($G1999="","",IF(ISNA(MATCH($G1999,個別指定!$A:$A,0)),"行なし",""))</f>
        <v/>
      </c>
      <c r="N1999" s="2" t="str">
        <f aca="false">IF($G1999="","",IF(COUNTIF($G$2:$G$4460,$G1999)&gt;1,"重複",""))</f>
        <v/>
      </c>
    </row>
    <row r="2000" customFormat="false" ht="16.5" hidden="false" customHeight="true" outlineLevel="0" collapsed="false">
      <c r="A2000" s="2" t="s">
        <v>416</v>
      </c>
      <c r="B2000" s="2" t="s">
        <v>426</v>
      </c>
      <c r="C2000" s="2" t="s">
        <v>38</v>
      </c>
      <c r="D2000" s="2" t="str">
        <f aca="false">IF(3キー同時!$B$123="","",3キー同時!$B$123)</f>
        <v>m</v>
      </c>
      <c r="E2000" s="2" t="str">
        <f aca="false">IF(3キー同時!$G$123="","",3キー同時!$G$123)</f>
        <v>o</v>
      </c>
      <c r="F2000" s="2" t="str">
        <f aca="false">""</f>
        <v/>
      </c>
      <c r="G2000" s="2" t="str">
        <f aca="false">IF(OR(3キー同時!$B$123="",3キー同時!$G$123=""),"",IF(3キー同時!W131="","",SUBSTITUTE(SUBSTITUTE(3キー同時!W131," ",""),"　","")))</f>
        <v/>
      </c>
      <c r="H2000" s="2" t="str">
        <f aca="false">IF($G2000="","",3キー同時!$B$123)</f>
        <v/>
      </c>
      <c r="I2000" s="2" t="str">
        <f aca="false">IF($G2000="","",3キー同時!$G$123)</f>
        <v/>
      </c>
      <c r="J2000" s="2" t="str">
        <f aca="false">IF($G2000="","","v")</f>
        <v/>
      </c>
      <c r="K2000" s="2" t="str">
        <f aca="false">""</f>
        <v/>
      </c>
      <c r="L2000" s="2" t="str">
        <f aca="false">IF($G2000="","","同時")</f>
        <v/>
      </c>
      <c r="M2000" s="2" t="str">
        <f aca="false">IF($G2000="","",IF(ISNA(MATCH($G2000,個別指定!$A:$A,0)),"行なし",""))</f>
        <v/>
      </c>
      <c r="N2000" s="2" t="str">
        <f aca="false">IF($G2000="","",IF(COUNTIF($G$2:$G$4460,$G2000)&gt;1,"重複",""))</f>
        <v/>
      </c>
    </row>
    <row r="2001" customFormat="false" ht="16.5" hidden="false" customHeight="true" outlineLevel="0" collapsed="false">
      <c r="A2001" s="2" t="s">
        <v>416</v>
      </c>
      <c r="B2001" s="2" t="s">
        <v>426</v>
      </c>
      <c r="C2001" s="2" t="s">
        <v>39</v>
      </c>
      <c r="D2001" s="2" t="str">
        <f aca="false">IF(3キー同時!$B$123="","",3キー同時!$B$123)</f>
        <v>m</v>
      </c>
      <c r="E2001" s="2" t="str">
        <f aca="false">IF(3キー同時!$G$123="","",3キー同時!$G$123)</f>
        <v>o</v>
      </c>
      <c r="F2001" s="2" t="str">
        <f aca="false">""</f>
        <v/>
      </c>
      <c r="G2001" s="2" t="str">
        <f aca="false">IF(OR(3キー同時!$B$123="",3キー同時!$G$123=""),"",IF(3キー同時!AA131="","",SUBSTITUTE(SUBSTITUTE(3キー同時!AA131," ",""),"　","")))</f>
        <v/>
      </c>
      <c r="H2001" s="2" t="str">
        <f aca="false">IF($G2001="","",3キー同時!$B$123)</f>
        <v/>
      </c>
      <c r="I2001" s="2" t="str">
        <f aca="false">IF($G2001="","",3キー同時!$G$123)</f>
        <v/>
      </c>
      <c r="J2001" s="2" t="str">
        <f aca="false">IF($G2001="","","b")</f>
        <v/>
      </c>
      <c r="K2001" s="2" t="str">
        <f aca="false">""</f>
        <v/>
      </c>
      <c r="L2001" s="2" t="str">
        <f aca="false">IF($G2001="","","同時")</f>
        <v/>
      </c>
      <c r="M2001" s="2" t="str">
        <f aca="false">IF($G2001="","",IF(ISNA(MATCH($G2001,個別指定!$A:$A,0)),"行なし",""))</f>
        <v/>
      </c>
      <c r="N2001" s="2" t="str">
        <f aca="false">IF($G2001="","",IF(COUNTIF($G$2:$G$4460,$G2001)&gt;1,"重複",""))</f>
        <v/>
      </c>
    </row>
    <row r="2002" customFormat="false" ht="16.5" hidden="false" customHeight="true" outlineLevel="0" collapsed="false">
      <c r="A2002" s="2" t="s">
        <v>416</v>
      </c>
      <c r="B2002" s="2" t="s">
        <v>426</v>
      </c>
      <c r="C2002" s="2" t="s">
        <v>40</v>
      </c>
      <c r="D2002" s="2" t="str">
        <f aca="false">IF(3キー同時!$B$123="","",3キー同時!$B$123)</f>
        <v>m</v>
      </c>
      <c r="E2002" s="2" t="str">
        <f aca="false">IF(3キー同時!$G$123="","",3キー同時!$G$123)</f>
        <v>o</v>
      </c>
      <c r="F2002" s="2" t="str">
        <f aca="false">""</f>
        <v/>
      </c>
      <c r="G2002" s="2" t="str">
        <f aca="false">IF(OR(3キー同時!$B$123="",3キー同時!$G$123=""),"",IF(3キー同時!AE131="","",SUBSTITUTE(SUBSTITUTE(3キー同時!AE131," ",""),"　","")))</f>
        <v/>
      </c>
      <c r="H2002" s="2" t="str">
        <f aca="false">IF($G2002="","",3キー同時!$B$123)</f>
        <v/>
      </c>
      <c r="I2002" s="2" t="str">
        <f aca="false">IF($G2002="","",3キー同時!$G$123)</f>
        <v/>
      </c>
      <c r="J2002" s="2" t="str">
        <f aca="false">IF($G2002="","","n")</f>
        <v/>
      </c>
      <c r="K2002" s="2" t="str">
        <f aca="false">""</f>
        <v/>
      </c>
      <c r="L2002" s="2" t="str">
        <f aca="false">IF($G2002="","","同時")</f>
        <v/>
      </c>
      <c r="M2002" s="2" t="str">
        <f aca="false">IF($G2002="","",IF(ISNA(MATCH($G2002,個別指定!$A:$A,0)),"行なし",""))</f>
        <v/>
      </c>
      <c r="N2002" s="2" t="str">
        <f aca="false">IF($G2002="","",IF(COUNTIF($G$2:$G$4460,$G2002)&gt;1,"重複",""))</f>
        <v/>
      </c>
    </row>
    <row r="2003" customFormat="false" ht="16.5" hidden="false" customHeight="true" outlineLevel="0" collapsed="false">
      <c r="A2003" s="2" t="s">
        <v>416</v>
      </c>
      <c r="B2003" s="2" t="s">
        <v>426</v>
      </c>
      <c r="C2003" s="2" t="s">
        <v>41</v>
      </c>
      <c r="D2003" s="2" t="str">
        <f aca="false">IF(3キー同時!$B$123="","",3キー同時!$B$123)</f>
        <v>m</v>
      </c>
      <c r="E2003" s="2" t="str">
        <f aca="false">IF(3キー同時!$G$123="","",3キー同時!$G$123)</f>
        <v>o</v>
      </c>
      <c r="F2003" s="2" t="str">
        <f aca="false">""</f>
        <v/>
      </c>
      <c r="G2003" s="2" t="str">
        <f aca="false">IF(OR(3キー同時!$B$123="",3キー同時!$G$123=""),"",IF(3キー同時!AI131="","",SUBSTITUTE(SUBSTITUTE(3キー同時!AI131," ",""),"　","")))</f>
        <v/>
      </c>
      <c r="H2003" s="2" t="str">
        <f aca="false">IF($G2003="","",3キー同時!$B$123)</f>
        <v/>
      </c>
      <c r="I2003" s="2" t="str">
        <f aca="false">IF($G2003="","",3キー同時!$G$123)</f>
        <v/>
      </c>
      <c r="J2003" s="2" t="str">
        <f aca="false">IF($G2003="","","m")</f>
        <v/>
      </c>
      <c r="K2003" s="2" t="str">
        <f aca="false">""</f>
        <v/>
      </c>
      <c r="L2003" s="2" t="str">
        <f aca="false">IF($G2003="","","同時")</f>
        <v/>
      </c>
      <c r="M2003" s="2" t="str">
        <f aca="false">IF($G2003="","",IF(ISNA(MATCH($G2003,個別指定!$A:$A,0)),"行なし",""))</f>
        <v/>
      </c>
      <c r="N2003" s="2" t="str">
        <f aca="false">IF($G2003="","",IF(COUNTIF($G$2:$G$4460,$G2003)&gt;1,"重複",""))</f>
        <v/>
      </c>
    </row>
    <row r="2004" customFormat="false" ht="16.5" hidden="false" customHeight="true" outlineLevel="0" collapsed="false">
      <c r="A2004" s="2" t="s">
        <v>416</v>
      </c>
      <c r="B2004" s="2" t="s">
        <v>426</v>
      </c>
      <c r="C2004" s="2" t="s">
        <v>42</v>
      </c>
      <c r="D2004" s="2" t="str">
        <f aca="false">IF(3キー同時!$B$123="","",3キー同時!$B$123)</f>
        <v>m</v>
      </c>
      <c r="E2004" s="2" t="str">
        <f aca="false">IF(3キー同時!$G$123="","",3キー同時!$G$123)</f>
        <v>o</v>
      </c>
      <c r="F2004" s="2" t="str">
        <f aca="false">""</f>
        <v/>
      </c>
      <c r="G2004" s="2" t="str">
        <f aca="false">IF(OR(3キー同時!$B$123="",3キー同時!$G$123=""),"",IF(3キー同時!AM131="","",SUBSTITUTE(SUBSTITUTE(3キー同時!AM131," ",""),"　","")))</f>
        <v/>
      </c>
      <c r="H2004" s="2" t="str">
        <f aca="false">IF($G2004="","",3キー同時!$B$123)</f>
        <v/>
      </c>
      <c r="I2004" s="2" t="str">
        <f aca="false">IF($G2004="","",3キー同時!$G$123)</f>
        <v/>
      </c>
      <c r="J2004" s="2" t="str">
        <f aca="false">IF($G2004="","",",")</f>
        <v/>
      </c>
      <c r="K2004" s="2" t="str">
        <f aca="false">""</f>
        <v/>
      </c>
      <c r="L2004" s="2" t="str">
        <f aca="false">IF($G2004="","","同時")</f>
        <v/>
      </c>
      <c r="M2004" s="2" t="str">
        <f aca="false">IF($G2004="","",IF(ISNA(MATCH($G2004,個別指定!$A:$A,0)),"行なし",""))</f>
        <v/>
      </c>
      <c r="N2004" s="2" t="str">
        <f aca="false">IF($G2004="","",IF(COUNTIF($G$2:$G$4460,$G2004)&gt;1,"重複",""))</f>
        <v/>
      </c>
    </row>
    <row r="2005" customFormat="false" ht="16.5" hidden="false" customHeight="true" outlineLevel="0" collapsed="false">
      <c r="A2005" s="2" t="s">
        <v>416</v>
      </c>
      <c r="B2005" s="2" t="s">
        <v>426</v>
      </c>
      <c r="C2005" s="2" t="s">
        <v>43</v>
      </c>
      <c r="D2005" s="2" t="str">
        <f aca="false">IF(3キー同時!$B$123="","",3キー同時!$B$123)</f>
        <v>m</v>
      </c>
      <c r="E2005" s="2" t="str">
        <f aca="false">IF(3キー同時!$G$123="","",3キー同時!$G$123)</f>
        <v>o</v>
      </c>
      <c r="F2005" s="2" t="str">
        <f aca="false">""</f>
        <v/>
      </c>
      <c r="G2005" s="2" t="str">
        <f aca="false">IF(OR(3キー同時!$B$123="",3キー同時!$G$123=""),"",IF(3キー同時!AQ131="","",SUBSTITUTE(SUBSTITUTE(3キー同時!AQ131," ",""),"　","")))</f>
        <v/>
      </c>
      <c r="H2005" s="2" t="str">
        <f aca="false">IF($G2005="","",3キー同時!$B$123)</f>
        <v/>
      </c>
      <c r="I2005" s="2" t="str">
        <f aca="false">IF($G2005="","",3キー同時!$G$123)</f>
        <v/>
      </c>
      <c r="J2005" s="2" t="str">
        <f aca="false">IF($G2005="","",".")</f>
        <v/>
      </c>
      <c r="K2005" s="2" t="str">
        <f aca="false">""</f>
        <v/>
      </c>
      <c r="L2005" s="2" t="str">
        <f aca="false">IF($G2005="","","同時")</f>
        <v/>
      </c>
      <c r="M2005" s="2" t="str">
        <f aca="false">IF($G2005="","",IF(ISNA(MATCH($G2005,個別指定!$A:$A,0)),"行なし",""))</f>
        <v/>
      </c>
      <c r="N2005" s="2" t="str">
        <f aca="false">IF($G2005="","",IF(COUNTIF($G$2:$G$4460,$G2005)&gt;1,"重複",""))</f>
        <v/>
      </c>
    </row>
    <row r="2006" customFormat="false" ht="16.5" hidden="false" customHeight="true" outlineLevel="0" collapsed="false">
      <c r="A2006" s="2" t="s">
        <v>416</v>
      </c>
      <c r="B2006" s="2" t="s">
        <v>426</v>
      </c>
      <c r="C2006" s="2" t="s">
        <v>44</v>
      </c>
      <c r="D2006" s="2" t="str">
        <f aca="false">IF(3キー同時!$B$123="","",3キー同時!$B$123)</f>
        <v>m</v>
      </c>
      <c r="E2006" s="2" t="str">
        <f aca="false">IF(3キー同時!$G$123="","",3キー同時!$G$123)</f>
        <v>o</v>
      </c>
      <c r="F2006" s="2" t="str">
        <f aca="false">""</f>
        <v/>
      </c>
      <c r="G2006" s="2" t="str">
        <f aca="false">IF(OR(3キー同時!$B$123="",3キー同時!$G$123=""),"",IF(3キー同時!AU131="","",SUBSTITUTE(SUBSTITUTE(3キー同時!AU131," ",""),"　","")))</f>
        <v/>
      </c>
      <c r="H2006" s="2" t="str">
        <f aca="false">IF($G2006="","",3キー同時!$B$123)</f>
        <v/>
      </c>
      <c r="I2006" s="2" t="str">
        <f aca="false">IF($G2006="","",3キー同時!$G$123)</f>
        <v/>
      </c>
      <c r="J2006" s="2" t="str">
        <f aca="false">IF($G2006="","","/")</f>
        <v/>
      </c>
      <c r="K2006" s="2" t="str">
        <f aca="false">""</f>
        <v/>
      </c>
      <c r="L2006" s="2" t="str">
        <f aca="false">IF($G2006="","","同時")</f>
        <v/>
      </c>
      <c r="M2006" s="2" t="str">
        <f aca="false">IF($G2006="","",IF(ISNA(MATCH($G2006,個別指定!$A:$A,0)),"行なし",""))</f>
        <v/>
      </c>
      <c r="N2006" s="2" t="str">
        <f aca="false">IF($G2006="","",IF(COUNTIF($G$2:$G$4460,$G2006)&gt;1,"重複",""))</f>
        <v/>
      </c>
    </row>
    <row r="2007" customFormat="false" ht="16.5" hidden="false" customHeight="true" outlineLevel="0" collapsed="false">
      <c r="A2007" s="2" t="s">
        <v>416</v>
      </c>
      <c r="B2007" s="2" t="s">
        <v>426</v>
      </c>
      <c r="C2007" s="2" t="s">
        <v>48</v>
      </c>
      <c r="D2007" s="2" t="str">
        <f aca="false">IF(3キー同時!$B$123="","",3キー同時!$B$123)</f>
        <v>m</v>
      </c>
      <c r="E2007" s="2" t="str">
        <f aca="false">IF(3キー同時!$G$123="","",3キー同時!$G$123)</f>
        <v>o</v>
      </c>
      <c r="F2007" s="2" t="str">
        <f aca="false">""</f>
        <v/>
      </c>
      <c r="G2007" s="2" t="str">
        <f aca="false">IF(OR(3キー同時!$B$123="",3キー同時!$G$123=""),"",IF(3キー同時!P133="","",SUBSTITUTE(SUBSTITUTE(3キー同時!P133," ",""),"　","")))</f>
        <v/>
      </c>
      <c r="H2007" s="2" t="str">
        <f aca="false">IF($G2007="","",3キー同時!$B$123)</f>
        <v/>
      </c>
      <c r="I2007" s="2" t="str">
        <f aca="false">IF($G2007="","",3キー同時!$G$123)</f>
        <v/>
      </c>
      <c r="J2007" s="2" t="str">
        <f aca="false">IF($G2007="","","muhenkan")</f>
        <v/>
      </c>
      <c r="K2007" s="2" t="str">
        <f aca="false">""</f>
        <v/>
      </c>
      <c r="L2007" s="2" t="str">
        <f aca="false">IF($G2007="","","同時")</f>
        <v/>
      </c>
      <c r="M2007" s="2" t="str">
        <f aca="false">IF($G2007="","",IF(ISNA(MATCH($G2007,個別指定!$A:$A,0)),"行なし",""))</f>
        <v/>
      </c>
      <c r="N2007" s="2" t="str">
        <f aca="false">IF($G2007="","",IF(COUNTIF($G$2:$G$4460,$G2007)&gt;1,"重複",""))</f>
        <v/>
      </c>
    </row>
    <row r="2008" customFormat="false" ht="16.5" hidden="false" customHeight="true" outlineLevel="0" collapsed="false">
      <c r="A2008" s="2" t="s">
        <v>416</v>
      </c>
      <c r="B2008" s="2" t="s">
        <v>426</v>
      </c>
      <c r="C2008" s="2" t="s">
        <v>50</v>
      </c>
      <c r="D2008" s="2" t="str">
        <f aca="false">IF(3キー同時!$B$123="","",3キー同時!$B$123)</f>
        <v>m</v>
      </c>
      <c r="E2008" s="2" t="str">
        <f aca="false">IF(3キー同時!$G$123="","",3キー同時!$G$123)</f>
        <v>o</v>
      </c>
      <c r="F2008" s="2" t="str">
        <f aca="false">""</f>
        <v/>
      </c>
      <c r="G2008" s="2" t="str">
        <f aca="false">IF(OR(3キー同時!$B$123="",3キー同時!$G$123=""),"",IF(3キー同時!T133="","",SUBSTITUTE(SUBSTITUTE(3キー同時!T133," ",""),"　","")))</f>
        <v/>
      </c>
      <c r="H2008" s="2" t="str">
        <f aca="false">IF($G2008="","",3キー同時!$B$123)</f>
        <v/>
      </c>
      <c r="I2008" s="2" t="str">
        <f aca="false">IF($G2008="","",3キー同時!$G$123)</f>
        <v/>
      </c>
      <c r="J2008" s="2" t="str">
        <f aca="false">IF($G2008="","","space")</f>
        <v/>
      </c>
      <c r="K2008" s="2" t="str">
        <f aca="false">""</f>
        <v/>
      </c>
      <c r="L2008" s="2" t="str">
        <f aca="false">IF($G2008="","","同時")</f>
        <v/>
      </c>
      <c r="M2008" s="2" t="str">
        <f aca="false">IF($G2008="","",IF(ISNA(MATCH($G2008,個別指定!$A:$A,0)),"行なし",""))</f>
        <v/>
      </c>
      <c r="N2008" s="2" t="str">
        <f aca="false">IF($G2008="","",IF(COUNTIF($G$2:$G$4460,$G2008)&gt;1,"重複",""))</f>
        <v/>
      </c>
    </row>
    <row r="2009" customFormat="false" ht="16.5" hidden="false" customHeight="true" outlineLevel="0" collapsed="false">
      <c r="A2009" s="2" t="s">
        <v>416</v>
      </c>
      <c r="B2009" s="2" t="s">
        <v>426</v>
      </c>
      <c r="C2009" s="2" t="s">
        <v>45</v>
      </c>
      <c r="D2009" s="2" t="str">
        <f aca="false">IF(3キー同時!$B$123="","",3キー同時!$B$123)</f>
        <v>m</v>
      </c>
      <c r="E2009" s="2" t="str">
        <f aca="false">IF(3キー同時!$G$123="","",3キー同時!$G$123)</f>
        <v>o</v>
      </c>
      <c r="F2009" s="2" t="str">
        <f aca="false">""</f>
        <v/>
      </c>
      <c r="G2009" s="2" t="str">
        <f aca="false">IF(OR(3キー同時!$B$123="",3キー同時!$G$123=""),"",IF(3キー同時!AL133="","",SUBSTITUTE(SUBSTITUTE(3キー同時!AL133," ",""),"　","")))</f>
        <v/>
      </c>
      <c r="H2009" s="2" t="str">
        <f aca="false">IF($G2009="","",3キー同時!$B$123)</f>
        <v/>
      </c>
      <c r="I2009" s="2" t="str">
        <f aca="false">IF($G2009="","",3キー同時!$G$123)</f>
        <v/>
      </c>
      <c r="J2009" s="2" t="str">
        <f aca="false">IF($G2009="","","henkan")</f>
        <v/>
      </c>
      <c r="K2009" s="2" t="str">
        <f aca="false">""</f>
        <v/>
      </c>
      <c r="L2009" s="2" t="str">
        <f aca="false">IF($G2009="","","同時")</f>
        <v/>
      </c>
      <c r="M2009" s="2" t="str">
        <f aca="false">IF($G2009="","",IF(ISNA(MATCH($G2009,個別指定!$A:$A,0)),"行なし",""))</f>
        <v/>
      </c>
      <c r="N2009" s="2" t="str">
        <f aca="false">IF($G2009="","",IF(COUNTIF($G$2:$G$4460,$G2009)&gt;1,"重複",""))</f>
        <v/>
      </c>
    </row>
    <row r="2010" customFormat="false" ht="16.5" hidden="false" customHeight="true" outlineLevel="0" collapsed="false">
      <c r="A2010" s="2" t="s">
        <v>416</v>
      </c>
      <c r="B2010" s="2" t="s">
        <v>426</v>
      </c>
      <c r="C2010" s="2" t="s">
        <v>46</v>
      </c>
      <c r="D2010" s="2" t="str">
        <f aca="false">IF(3キー同時!$B$123="","",3キー同時!$B$123)</f>
        <v>m</v>
      </c>
      <c r="E2010" s="2" t="str">
        <f aca="false">IF(3キー同時!$G$123="","",3キー同時!$G$123)</f>
        <v>o</v>
      </c>
      <c r="F2010" s="2" t="str">
        <f aca="false">""</f>
        <v/>
      </c>
      <c r="G2010" s="2" t="str">
        <f aca="false">IF(OR(3キー同時!$B$123="",3キー同時!$G$123=""),"",IF(3キー同時!AP133="","",SUBSTITUTE(SUBSTITUTE(3キー同時!AP133," ",""),"　","")))</f>
        <v/>
      </c>
      <c r="H2010" s="2" t="str">
        <f aca="false">IF($G2010="","",3キー同時!$B$123)</f>
        <v/>
      </c>
      <c r="I2010" s="2" t="str">
        <f aca="false">IF($G2010="","",3キー同時!$G$123)</f>
        <v/>
      </c>
      <c r="J2010" s="2" t="str">
        <f aca="false">IF($G2010="","","kana")</f>
        <v/>
      </c>
      <c r="K2010" s="2" t="str">
        <f aca="false">""</f>
        <v/>
      </c>
      <c r="L2010" s="2" t="str">
        <f aca="false">IF($G2010="","","同時")</f>
        <v/>
      </c>
      <c r="M2010" s="2" t="str">
        <f aca="false">IF($G2010="","",IF(ISNA(MATCH($G2010,個別指定!$A:$A,0)),"行なし",""))</f>
        <v/>
      </c>
      <c r="N2010" s="2" t="str">
        <f aca="false">IF($G2010="","",IF(COUNTIF($G$2:$G$4460,$G2010)&gt;1,"重複",""))</f>
        <v/>
      </c>
    </row>
    <row r="2011" customFormat="false" ht="16.5" hidden="false" customHeight="true" outlineLevel="0" collapsed="false">
      <c r="A2011" s="2" t="s">
        <v>416</v>
      </c>
      <c r="B2011" s="2" t="s">
        <v>427</v>
      </c>
      <c r="C2011" s="2" t="s">
        <v>0</v>
      </c>
      <c r="D2011" s="2" t="str">
        <f aca="false">IF(3キー同時!$B$136="","",3キー同時!$B$136)</f>
        <v>v</v>
      </c>
      <c r="E2011" s="2" t="str">
        <f aca="false">IF(3キー同時!$G$136="","",3キー同時!$G$136)</f>
        <v>o</v>
      </c>
      <c r="F2011" s="2" t="str">
        <f aca="false">""</f>
        <v/>
      </c>
      <c r="G2011" s="2" t="str">
        <f aca="false">IF(OR(3キー同時!$B$136="",3キー同時!$G$136=""),"",IF(3キー同時!F138="","",SUBSTITUTE(SUBSTITUTE(3キー同時!F138," ",""),"　","")))</f>
        <v/>
      </c>
      <c r="H2011" s="2" t="str">
        <f aca="false">IF($G2011="","",3キー同時!$B$136)</f>
        <v/>
      </c>
      <c r="I2011" s="2" t="str">
        <f aca="false">IF($G2011="","",3キー同時!$G$136)</f>
        <v/>
      </c>
      <c r="J2011" s="2" t="str">
        <f aca="false">IF($G2011="","","1")</f>
        <v/>
      </c>
      <c r="K2011" s="2" t="str">
        <f aca="false">""</f>
        <v/>
      </c>
      <c r="L2011" s="2" t="str">
        <f aca="false">IF($G2011="","","同時")</f>
        <v/>
      </c>
      <c r="M2011" s="2" t="str">
        <f aca="false">IF($G2011="","",IF(ISNA(MATCH($G2011,個別指定!$A:$A,0)),"行なし",""))</f>
        <v/>
      </c>
      <c r="N2011" s="2" t="str">
        <f aca="false">IF($G2011="","",IF(COUNTIF($G$2:$G$4460,$G2011)&gt;1,"重複",""))</f>
        <v/>
      </c>
    </row>
    <row r="2012" customFormat="false" ht="16.5" hidden="false" customHeight="true" outlineLevel="0" collapsed="false">
      <c r="A2012" s="2" t="s">
        <v>416</v>
      </c>
      <c r="B2012" s="2" t="s">
        <v>427</v>
      </c>
      <c r="C2012" s="2" t="s">
        <v>1</v>
      </c>
      <c r="D2012" s="2" t="str">
        <f aca="false">IF(3キー同時!$B$136="","",3キー同時!$B$136)</f>
        <v>v</v>
      </c>
      <c r="E2012" s="2" t="str">
        <f aca="false">IF(3キー同時!$G$136="","",3キー同時!$G$136)</f>
        <v>o</v>
      </c>
      <c r="F2012" s="2" t="str">
        <f aca="false">""</f>
        <v/>
      </c>
      <c r="G2012" s="2" t="str">
        <f aca="false">IF(OR(3キー同時!$B$136="",3キー同時!$G$136=""),"",IF(3キー同時!J138="","",SUBSTITUTE(SUBSTITUTE(3キー同時!J138," ",""),"　","")))</f>
        <v/>
      </c>
      <c r="H2012" s="2" t="str">
        <f aca="false">IF($G2012="","",3キー同時!$B$136)</f>
        <v/>
      </c>
      <c r="I2012" s="2" t="str">
        <f aca="false">IF($G2012="","",3キー同時!$G$136)</f>
        <v/>
      </c>
      <c r="J2012" s="2" t="str">
        <f aca="false">IF($G2012="","","2")</f>
        <v/>
      </c>
      <c r="K2012" s="2" t="str">
        <f aca="false">""</f>
        <v/>
      </c>
      <c r="L2012" s="2" t="str">
        <f aca="false">IF($G2012="","","同時")</f>
        <v/>
      </c>
      <c r="M2012" s="2" t="str">
        <f aca="false">IF($G2012="","",IF(ISNA(MATCH($G2012,個別指定!$A:$A,0)),"行なし",""))</f>
        <v/>
      </c>
      <c r="N2012" s="2" t="str">
        <f aca="false">IF($G2012="","",IF(COUNTIF($G$2:$G$4460,$G2012)&gt;1,"重複",""))</f>
        <v/>
      </c>
    </row>
    <row r="2013" customFormat="false" ht="16.5" hidden="false" customHeight="true" outlineLevel="0" collapsed="false">
      <c r="A2013" s="2" t="s">
        <v>416</v>
      </c>
      <c r="B2013" s="2" t="s">
        <v>427</v>
      </c>
      <c r="C2013" s="2" t="s">
        <v>2</v>
      </c>
      <c r="D2013" s="2" t="str">
        <f aca="false">IF(3キー同時!$B$136="","",3キー同時!$B$136)</f>
        <v>v</v>
      </c>
      <c r="E2013" s="2" t="str">
        <f aca="false">IF(3キー同時!$G$136="","",3キー同時!$G$136)</f>
        <v>o</v>
      </c>
      <c r="F2013" s="2" t="str">
        <f aca="false">""</f>
        <v/>
      </c>
      <c r="G2013" s="2" t="str">
        <f aca="false">IF(OR(3キー同時!$B$136="",3キー同時!$G$136=""),"",IF(3キー同時!N138="","",SUBSTITUTE(SUBSTITUTE(3キー同時!N138," ",""),"　","")))</f>
        <v/>
      </c>
      <c r="H2013" s="2" t="str">
        <f aca="false">IF($G2013="","",3キー同時!$B$136)</f>
        <v/>
      </c>
      <c r="I2013" s="2" t="str">
        <f aca="false">IF($G2013="","",3キー同時!$G$136)</f>
        <v/>
      </c>
      <c r="J2013" s="2" t="str">
        <f aca="false">IF($G2013="","","3")</f>
        <v/>
      </c>
      <c r="K2013" s="2" t="str">
        <f aca="false">""</f>
        <v/>
      </c>
      <c r="L2013" s="2" t="str">
        <f aca="false">IF($G2013="","","同時")</f>
        <v/>
      </c>
      <c r="M2013" s="2" t="str">
        <f aca="false">IF($G2013="","",IF(ISNA(MATCH($G2013,個別指定!$A:$A,0)),"行なし",""))</f>
        <v/>
      </c>
      <c r="N2013" s="2" t="str">
        <f aca="false">IF($G2013="","",IF(COUNTIF($G$2:$G$4460,$G2013)&gt;1,"重複",""))</f>
        <v/>
      </c>
    </row>
    <row r="2014" customFormat="false" ht="16.5" hidden="false" customHeight="true" outlineLevel="0" collapsed="false">
      <c r="A2014" s="2" t="s">
        <v>416</v>
      </c>
      <c r="B2014" s="2" t="s">
        <v>427</v>
      </c>
      <c r="C2014" s="2" t="s">
        <v>3</v>
      </c>
      <c r="D2014" s="2" t="str">
        <f aca="false">IF(3キー同時!$B$136="","",3キー同時!$B$136)</f>
        <v>v</v>
      </c>
      <c r="E2014" s="2" t="str">
        <f aca="false">IF(3キー同時!$G$136="","",3キー同時!$G$136)</f>
        <v>o</v>
      </c>
      <c r="F2014" s="2" t="str">
        <f aca="false">""</f>
        <v/>
      </c>
      <c r="G2014" s="2" t="str">
        <f aca="false">IF(OR(3キー同時!$B$136="",3キー同時!$G$136=""),"",IF(3キー同時!R138="","",SUBSTITUTE(SUBSTITUTE(3キー同時!R138," ",""),"　","")))</f>
        <v/>
      </c>
      <c r="H2014" s="2" t="str">
        <f aca="false">IF($G2014="","",3キー同時!$B$136)</f>
        <v/>
      </c>
      <c r="I2014" s="2" t="str">
        <f aca="false">IF($G2014="","",3キー同時!$G$136)</f>
        <v/>
      </c>
      <c r="J2014" s="2" t="str">
        <f aca="false">IF($G2014="","","4")</f>
        <v/>
      </c>
      <c r="K2014" s="2" t="str">
        <f aca="false">""</f>
        <v/>
      </c>
      <c r="L2014" s="2" t="str">
        <f aca="false">IF($G2014="","","同時")</f>
        <v/>
      </c>
      <c r="M2014" s="2" t="str">
        <f aca="false">IF($G2014="","",IF(ISNA(MATCH($G2014,個別指定!$A:$A,0)),"行なし",""))</f>
        <v/>
      </c>
      <c r="N2014" s="2" t="str">
        <f aca="false">IF($G2014="","",IF(COUNTIF($G$2:$G$4460,$G2014)&gt;1,"重複",""))</f>
        <v/>
      </c>
    </row>
    <row r="2015" customFormat="false" ht="16.5" hidden="false" customHeight="true" outlineLevel="0" collapsed="false">
      <c r="A2015" s="2" t="s">
        <v>416</v>
      </c>
      <c r="B2015" s="2" t="s">
        <v>427</v>
      </c>
      <c r="C2015" s="2" t="s">
        <v>4</v>
      </c>
      <c r="D2015" s="2" t="str">
        <f aca="false">IF(3キー同時!$B$136="","",3キー同時!$B$136)</f>
        <v>v</v>
      </c>
      <c r="E2015" s="2" t="str">
        <f aca="false">IF(3キー同時!$G$136="","",3キー同時!$G$136)</f>
        <v>o</v>
      </c>
      <c r="F2015" s="2" t="str">
        <f aca="false">""</f>
        <v/>
      </c>
      <c r="G2015" s="2" t="str">
        <f aca="false">IF(OR(3キー同時!$B$136="",3キー同時!$G$136=""),"",IF(3キー同時!V138="","",SUBSTITUTE(SUBSTITUTE(3キー同時!V138," ",""),"　","")))</f>
        <v/>
      </c>
      <c r="H2015" s="2" t="str">
        <f aca="false">IF($G2015="","",3キー同時!$B$136)</f>
        <v/>
      </c>
      <c r="I2015" s="2" t="str">
        <f aca="false">IF($G2015="","",3キー同時!$G$136)</f>
        <v/>
      </c>
      <c r="J2015" s="2" t="str">
        <f aca="false">IF($G2015="","","5")</f>
        <v/>
      </c>
      <c r="K2015" s="2" t="str">
        <f aca="false">""</f>
        <v/>
      </c>
      <c r="L2015" s="2" t="str">
        <f aca="false">IF($G2015="","","同時")</f>
        <v/>
      </c>
      <c r="M2015" s="2" t="str">
        <f aca="false">IF($G2015="","",IF(ISNA(MATCH($G2015,個別指定!$A:$A,0)),"行なし",""))</f>
        <v/>
      </c>
      <c r="N2015" s="2" t="str">
        <f aca="false">IF($G2015="","",IF(COUNTIF($G$2:$G$4460,$G2015)&gt;1,"重複",""))</f>
        <v/>
      </c>
    </row>
    <row r="2016" customFormat="false" ht="16.5" hidden="false" customHeight="true" outlineLevel="0" collapsed="false">
      <c r="A2016" s="2" t="s">
        <v>416</v>
      </c>
      <c r="B2016" s="2" t="s">
        <v>427</v>
      </c>
      <c r="C2016" s="2" t="s">
        <v>5</v>
      </c>
      <c r="D2016" s="2" t="str">
        <f aca="false">IF(3キー同時!$B$136="","",3キー同時!$B$136)</f>
        <v>v</v>
      </c>
      <c r="E2016" s="2" t="str">
        <f aca="false">IF(3キー同時!$G$136="","",3キー同時!$G$136)</f>
        <v>o</v>
      </c>
      <c r="F2016" s="2" t="str">
        <f aca="false">""</f>
        <v/>
      </c>
      <c r="G2016" s="2" t="str">
        <f aca="false">IF(OR(3キー同時!$B$136="",3キー同時!$G$136=""),"",IF(3キー同時!Z138="","",SUBSTITUTE(SUBSTITUTE(3キー同時!Z138," ",""),"　","")))</f>
        <v/>
      </c>
      <c r="H2016" s="2" t="str">
        <f aca="false">IF($G2016="","",3キー同時!$B$136)</f>
        <v/>
      </c>
      <c r="I2016" s="2" t="str">
        <f aca="false">IF($G2016="","",3キー同時!$G$136)</f>
        <v/>
      </c>
      <c r="J2016" s="2" t="str">
        <f aca="false">IF($G2016="","","6")</f>
        <v/>
      </c>
      <c r="K2016" s="2" t="str">
        <f aca="false">""</f>
        <v/>
      </c>
      <c r="L2016" s="2" t="str">
        <f aca="false">IF($G2016="","","同時")</f>
        <v/>
      </c>
      <c r="M2016" s="2" t="str">
        <f aca="false">IF($G2016="","",IF(ISNA(MATCH($G2016,個別指定!$A:$A,0)),"行なし",""))</f>
        <v/>
      </c>
      <c r="N2016" s="2" t="str">
        <f aca="false">IF($G2016="","",IF(COUNTIF($G$2:$G$4460,$G2016)&gt;1,"重複",""))</f>
        <v/>
      </c>
    </row>
    <row r="2017" customFormat="false" ht="16.5" hidden="false" customHeight="true" outlineLevel="0" collapsed="false">
      <c r="A2017" s="2" t="s">
        <v>416</v>
      </c>
      <c r="B2017" s="2" t="s">
        <v>427</v>
      </c>
      <c r="C2017" s="2" t="s">
        <v>6</v>
      </c>
      <c r="D2017" s="2" t="str">
        <f aca="false">IF(3キー同時!$B$136="","",3キー同時!$B$136)</f>
        <v>v</v>
      </c>
      <c r="E2017" s="2" t="str">
        <f aca="false">IF(3キー同時!$G$136="","",3キー同時!$G$136)</f>
        <v>o</v>
      </c>
      <c r="F2017" s="2" t="str">
        <f aca="false">""</f>
        <v/>
      </c>
      <c r="G2017" s="2" t="str">
        <f aca="false">IF(OR(3キー同時!$B$136="",3キー同時!$G$136=""),"",IF(3キー同時!AD138="","",SUBSTITUTE(SUBSTITUTE(3キー同時!AD138," ",""),"　","")))</f>
        <v/>
      </c>
      <c r="H2017" s="2" t="str">
        <f aca="false">IF($G2017="","",3キー同時!$B$136)</f>
        <v/>
      </c>
      <c r="I2017" s="2" t="str">
        <f aca="false">IF($G2017="","",3キー同時!$G$136)</f>
        <v/>
      </c>
      <c r="J2017" s="2" t="str">
        <f aca="false">IF($G2017="","","7")</f>
        <v/>
      </c>
      <c r="K2017" s="2" t="str">
        <f aca="false">""</f>
        <v/>
      </c>
      <c r="L2017" s="2" t="str">
        <f aca="false">IF($G2017="","","同時")</f>
        <v/>
      </c>
      <c r="M2017" s="2" t="str">
        <f aca="false">IF($G2017="","",IF(ISNA(MATCH($G2017,個別指定!$A:$A,0)),"行なし",""))</f>
        <v/>
      </c>
      <c r="N2017" s="2" t="str">
        <f aca="false">IF($G2017="","",IF(COUNTIF($G$2:$G$4460,$G2017)&gt;1,"重複",""))</f>
        <v/>
      </c>
    </row>
    <row r="2018" customFormat="false" ht="16.5" hidden="false" customHeight="true" outlineLevel="0" collapsed="false">
      <c r="A2018" s="2" t="s">
        <v>416</v>
      </c>
      <c r="B2018" s="2" t="s">
        <v>427</v>
      </c>
      <c r="C2018" s="2" t="s">
        <v>7</v>
      </c>
      <c r="D2018" s="2" t="str">
        <f aca="false">IF(3キー同時!$B$136="","",3キー同時!$B$136)</f>
        <v>v</v>
      </c>
      <c r="E2018" s="2" t="str">
        <f aca="false">IF(3キー同時!$G$136="","",3キー同時!$G$136)</f>
        <v>o</v>
      </c>
      <c r="F2018" s="2" t="str">
        <f aca="false">""</f>
        <v/>
      </c>
      <c r="G2018" s="2" t="str">
        <f aca="false">IF(OR(3キー同時!$B$136="",3キー同時!$G$136=""),"",IF(3キー同時!AH138="","",SUBSTITUTE(SUBSTITUTE(3キー同時!AH138," ",""),"　","")))</f>
        <v/>
      </c>
      <c r="H2018" s="2" t="str">
        <f aca="false">IF($G2018="","",3キー同時!$B$136)</f>
        <v/>
      </c>
      <c r="I2018" s="2" t="str">
        <f aca="false">IF($G2018="","",3キー同時!$G$136)</f>
        <v/>
      </c>
      <c r="J2018" s="2" t="str">
        <f aca="false">IF($G2018="","","8")</f>
        <v/>
      </c>
      <c r="K2018" s="2" t="str">
        <f aca="false">""</f>
        <v/>
      </c>
      <c r="L2018" s="2" t="str">
        <f aca="false">IF($G2018="","","同時")</f>
        <v/>
      </c>
      <c r="M2018" s="2" t="str">
        <f aca="false">IF($G2018="","",IF(ISNA(MATCH($G2018,個別指定!$A:$A,0)),"行なし",""))</f>
        <v/>
      </c>
      <c r="N2018" s="2" t="str">
        <f aca="false">IF($G2018="","",IF(COUNTIF($G$2:$G$4460,$G2018)&gt;1,"重複",""))</f>
        <v/>
      </c>
    </row>
    <row r="2019" customFormat="false" ht="16.5" hidden="false" customHeight="true" outlineLevel="0" collapsed="false">
      <c r="A2019" s="2" t="s">
        <v>416</v>
      </c>
      <c r="B2019" s="2" t="s">
        <v>427</v>
      </c>
      <c r="C2019" s="2" t="s">
        <v>8</v>
      </c>
      <c r="D2019" s="2" t="str">
        <f aca="false">IF(3キー同時!$B$136="","",3キー同時!$B$136)</f>
        <v>v</v>
      </c>
      <c r="E2019" s="2" t="str">
        <f aca="false">IF(3キー同時!$G$136="","",3キー同時!$G$136)</f>
        <v>o</v>
      </c>
      <c r="F2019" s="2" t="str">
        <f aca="false">""</f>
        <v/>
      </c>
      <c r="G2019" s="2" t="str">
        <f aca="false">IF(OR(3キー同時!$B$136="",3キー同時!$G$136=""),"",IF(3キー同時!AL138="","",SUBSTITUTE(SUBSTITUTE(3キー同時!AL138," ",""),"　","")))</f>
        <v/>
      </c>
      <c r="H2019" s="2" t="str">
        <f aca="false">IF($G2019="","",3キー同時!$B$136)</f>
        <v/>
      </c>
      <c r="I2019" s="2" t="str">
        <f aca="false">IF($G2019="","",3キー同時!$G$136)</f>
        <v/>
      </c>
      <c r="J2019" s="2" t="str">
        <f aca="false">IF($G2019="","","9")</f>
        <v/>
      </c>
      <c r="K2019" s="2" t="str">
        <f aca="false">""</f>
        <v/>
      </c>
      <c r="L2019" s="2" t="str">
        <f aca="false">IF($G2019="","","同時")</f>
        <v/>
      </c>
      <c r="M2019" s="2" t="str">
        <f aca="false">IF($G2019="","",IF(ISNA(MATCH($G2019,個別指定!$A:$A,0)),"行なし",""))</f>
        <v/>
      </c>
      <c r="N2019" s="2" t="str">
        <f aca="false">IF($G2019="","",IF(COUNTIF($G$2:$G$4460,$G2019)&gt;1,"重複",""))</f>
        <v/>
      </c>
    </row>
    <row r="2020" customFormat="false" ht="16.5" hidden="false" customHeight="true" outlineLevel="0" collapsed="false">
      <c r="A2020" s="2" t="s">
        <v>416</v>
      </c>
      <c r="B2020" s="2" t="s">
        <v>427</v>
      </c>
      <c r="C2020" s="2" t="s">
        <v>9</v>
      </c>
      <c r="D2020" s="2" t="str">
        <f aca="false">IF(3キー同時!$B$136="","",3キー同時!$B$136)</f>
        <v>v</v>
      </c>
      <c r="E2020" s="2" t="str">
        <f aca="false">IF(3キー同時!$G$136="","",3キー同時!$G$136)</f>
        <v>o</v>
      </c>
      <c r="F2020" s="2" t="str">
        <f aca="false">""</f>
        <v/>
      </c>
      <c r="G2020" s="2" t="str">
        <f aca="false">IF(OR(3キー同時!$B$136="",3キー同時!$G$136=""),"",IF(3キー同時!AP138="","",SUBSTITUTE(SUBSTITUTE(3キー同時!AP138," ",""),"　","")))</f>
        <v/>
      </c>
      <c r="H2020" s="2" t="str">
        <f aca="false">IF($G2020="","",3キー同時!$B$136)</f>
        <v/>
      </c>
      <c r="I2020" s="2" t="str">
        <f aca="false">IF($G2020="","",3キー同時!$G$136)</f>
        <v/>
      </c>
      <c r="J2020" s="2" t="str">
        <f aca="false">IF($G2020="","","0")</f>
        <v/>
      </c>
      <c r="K2020" s="2" t="str">
        <f aca="false">""</f>
        <v/>
      </c>
      <c r="L2020" s="2" t="str">
        <f aca="false">IF($G2020="","","同時")</f>
        <v/>
      </c>
      <c r="M2020" s="2" t="str">
        <f aca="false">IF($G2020="","",IF(ISNA(MATCH($G2020,個別指定!$A:$A,0)),"行なし",""))</f>
        <v/>
      </c>
      <c r="N2020" s="2" t="str">
        <f aca="false">IF($G2020="","",IF(COUNTIF($G$2:$G$4460,$G2020)&gt;1,"重複",""))</f>
        <v/>
      </c>
    </row>
    <row r="2021" customFormat="false" ht="16.5" hidden="false" customHeight="true" outlineLevel="0" collapsed="false">
      <c r="A2021" s="2" t="s">
        <v>416</v>
      </c>
      <c r="B2021" s="2" t="s">
        <v>427</v>
      </c>
      <c r="C2021" s="2" t="s">
        <v>10</v>
      </c>
      <c r="D2021" s="2" t="str">
        <f aca="false">IF(3キー同時!$B$136="","",3キー同時!$B$136)</f>
        <v>v</v>
      </c>
      <c r="E2021" s="2" t="str">
        <f aca="false">IF(3キー同時!$G$136="","",3キー同時!$G$136)</f>
        <v>o</v>
      </c>
      <c r="F2021" s="2" t="str">
        <f aca="false">""</f>
        <v/>
      </c>
      <c r="G2021" s="2" t="str">
        <f aca="false">IF(OR(3キー同時!$B$136="",3キー同時!$G$136=""),"",IF(3キー同時!AT138="","",SUBSTITUTE(SUBSTITUTE(3キー同時!AT138," ",""),"　","")))</f>
        <v/>
      </c>
      <c r="H2021" s="2" t="str">
        <f aca="false">IF($G2021="","",3キー同時!$B$136)</f>
        <v/>
      </c>
      <c r="I2021" s="2" t="str">
        <f aca="false">IF($G2021="","",3キー同時!$G$136)</f>
        <v/>
      </c>
      <c r="J2021" s="2" t="str">
        <f aca="false">IF($G2021="","","-")</f>
        <v/>
      </c>
      <c r="K2021" s="2" t="str">
        <f aca="false">""</f>
        <v/>
      </c>
      <c r="L2021" s="2" t="str">
        <f aca="false">IF($G2021="","","同時")</f>
        <v/>
      </c>
      <c r="M2021" s="2" t="str">
        <f aca="false">IF($G2021="","",IF(ISNA(MATCH($G2021,個別指定!$A:$A,0)),"行なし",""))</f>
        <v/>
      </c>
      <c r="N2021" s="2" t="str">
        <f aca="false">IF($G2021="","",IF(COUNTIF($G$2:$G$4460,$G2021)&gt;1,"重複",""))</f>
        <v/>
      </c>
    </row>
    <row r="2022" customFormat="false" ht="16.5" hidden="false" customHeight="true" outlineLevel="0" collapsed="false">
      <c r="A2022" s="2" t="s">
        <v>416</v>
      </c>
      <c r="B2022" s="2" t="s">
        <v>427</v>
      </c>
      <c r="C2022" s="2" t="s">
        <v>11</v>
      </c>
      <c r="D2022" s="2" t="str">
        <f aca="false">IF(3キー同時!$B$136="","",3キー同時!$B$136)</f>
        <v>v</v>
      </c>
      <c r="E2022" s="2" t="str">
        <f aca="false">IF(3キー同時!$G$136="","",3キー同時!$G$136)</f>
        <v>o</v>
      </c>
      <c r="F2022" s="2" t="str">
        <f aca="false">""</f>
        <v/>
      </c>
      <c r="G2022" s="2" t="str">
        <f aca="false">IF(OR(3キー同時!$B$136="",3キー同時!$G$136=""),"",IF(3キー同時!AX138="","",SUBSTITUTE(SUBSTITUTE(3キー同時!AX138," ",""),"　","")))</f>
        <v/>
      </c>
      <c r="H2022" s="2" t="str">
        <f aca="false">IF($G2022="","",3キー同時!$B$136)</f>
        <v/>
      </c>
      <c r="I2022" s="2" t="str">
        <f aca="false">IF($G2022="","",3キー同時!$G$136)</f>
        <v/>
      </c>
      <c r="J2022" s="2" t="str">
        <f aca="false">IF($G2022="","","=")</f>
        <v/>
      </c>
      <c r="K2022" s="2" t="str">
        <f aca="false">""</f>
        <v/>
      </c>
      <c r="L2022" s="2" t="str">
        <f aca="false">IF($G2022="","","同時")</f>
        <v/>
      </c>
      <c r="M2022" s="2" t="str">
        <f aca="false">IF($G2022="","",IF(ISNA(MATCH($G2022,個別指定!$A:$A,0)),"行なし",""))</f>
        <v/>
      </c>
      <c r="N2022" s="2" t="str">
        <f aca="false">IF($G2022="","",IF(COUNTIF($G$2:$G$4460,$G2022)&gt;1,"重複",""))</f>
        <v/>
      </c>
    </row>
    <row r="2023" customFormat="false" ht="16.5" hidden="false" customHeight="true" outlineLevel="0" collapsed="false">
      <c r="A2023" s="2" t="s">
        <v>416</v>
      </c>
      <c r="B2023" s="2" t="s">
        <v>427</v>
      </c>
      <c r="C2023" s="2" t="s">
        <v>12</v>
      </c>
      <c r="D2023" s="2" t="str">
        <f aca="false">IF(3キー同時!$B$136="","",3キー同時!$B$136)</f>
        <v>v</v>
      </c>
      <c r="E2023" s="2" t="str">
        <f aca="false">IF(3キー同時!$G$136="","",3キー同時!$G$136)</f>
        <v>o</v>
      </c>
      <c r="F2023" s="2" t="str">
        <f aca="false">""</f>
        <v/>
      </c>
      <c r="G2023" s="2" t="str">
        <f aca="false">IF(OR(3キー同時!$B$136="",3キー同時!$G$136=""),"",IF(3キー同時!H140="","",SUBSTITUTE(SUBSTITUTE(3キー同時!H140," ",""),"　","")))</f>
        <v/>
      </c>
      <c r="H2023" s="2" t="str">
        <f aca="false">IF($G2023="","",3キー同時!$B$136)</f>
        <v/>
      </c>
      <c r="I2023" s="2" t="str">
        <f aca="false">IF($G2023="","",3キー同時!$G$136)</f>
        <v/>
      </c>
      <c r="J2023" s="2" t="str">
        <f aca="false">IF($G2023="","","q")</f>
        <v/>
      </c>
      <c r="K2023" s="2" t="str">
        <f aca="false">""</f>
        <v/>
      </c>
      <c r="L2023" s="2" t="str">
        <f aca="false">IF($G2023="","","同時")</f>
        <v/>
      </c>
      <c r="M2023" s="2" t="str">
        <f aca="false">IF($G2023="","",IF(ISNA(MATCH($G2023,個別指定!$A:$A,0)),"行なし",""))</f>
        <v/>
      </c>
      <c r="N2023" s="2" t="str">
        <f aca="false">IF($G2023="","",IF(COUNTIF($G$2:$G$4460,$G2023)&gt;1,"重複",""))</f>
        <v/>
      </c>
    </row>
    <row r="2024" customFormat="false" ht="16.5" hidden="false" customHeight="true" outlineLevel="0" collapsed="false">
      <c r="A2024" s="2" t="s">
        <v>416</v>
      </c>
      <c r="B2024" s="2" t="s">
        <v>427</v>
      </c>
      <c r="C2024" s="2" t="s">
        <v>13</v>
      </c>
      <c r="D2024" s="2" t="str">
        <f aca="false">IF(3キー同時!$B$136="","",3キー同時!$B$136)</f>
        <v>v</v>
      </c>
      <c r="E2024" s="2" t="str">
        <f aca="false">IF(3キー同時!$G$136="","",3キー同時!$G$136)</f>
        <v>o</v>
      </c>
      <c r="F2024" s="2" t="str">
        <f aca="false">""</f>
        <v/>
      </c>
      <c r="G2024" s="2" t="str">
        <f aca="false">IF(OR(3キー同時!$B$136="",3キー同時!$G$136=""),"",IF(3キー同時!L140="","",SUBSTITUTE(SUBSTITUTE(3キー同時!L140," ",""),"　","")))</f>
        <v/>
      </c>
      <c r="H2024" s="2" t="str">
        <f aca="false">IF($G2024="","",3キー同時!$B$136)</f>
        <v/>
      </c>
      <c r="I2024" s="2" t="str">
        <f aca="false">IF($G2024="","",3キー同時!$G$136)</f>
        <v/>
      </c>
      <c r="J2024" s="2" t="str">
        <f aca="false">IF($G2024="","","w")</f>
        <v/>
      </c>
      <c r="K2024" s="2" t="str">
        <f aca="false">""</f>
        <v/>
      </c>
      <c r="L2024" s="2" t="str">
        <f aca="false">IF($G2024="","","同時")</f>
        <v/>
      </c>
      <c r="M2024" s="2" t="str">
        <f aca="false">IF($G2024="","",IF(ISNA(MATCH($G2024,個別指定!$A:$A,0)),"行なし",""))</f>
        <v/>
      </c>
      <c r="N2024" s="2" t="str">
        <f aca="false">IF($G2024="","",IF(COUNTIF($G$2:$G$4460,$G2024)&gt;1,"重複",""))</f>
        <v/>
      </c>
    </row>
    <row r="2025" customFormat="false" ht="16.5" hidden="false" customHeight="true" outlineLevel="0" collapsed="false">
      <c r="A2025" s="2" t="s">
        <v>416</v>
      </c>
      <c r="B2025" s="2" t="s">
        <v>427</v>
      </c>
      <c r="C2025" s="2" t="s">
        <v>14</v>
      </c>
      <c r="D2025" s="2" t="str">
        <f aca="false">IF(3キー同時!$B$136="","",3キー同時!$B$136)</f>
        <v>v</v>
      </c>
      <c r="E2025" s="2" t="str">
        <f aca="false">IF(3キー同時!$G$136="","",3キー同時!$G$136)</f>
        <v>o</v>
      </c>
      <c r="F2025" s="2" t="str">
        <f aca="false">""</f>
        <v/>
      </c>
      <c r="G2025" s="2" t="str">
        <f aca="false">IF(OR(3キー同時!$B$136="",3キー同時!$G$136=""),"",IF(3キー同時!P140="","",SUBSTITUTE(SUBSTITUTE(3キー同時!P140," ",""),"　","")))</f>
        <v/>
      </c>
      <c r="H2025" s="2" t="str">
        <f aca="false">IF($G2025="","",3キー同時!$B$136)</f>
        <v/>
      </c>
      <c r="I2025" s="2" t="str">
        <f aca="false">IF($G2025="","",3キー同時!$G$136)</f>
        <v/>
      </c>
      <c r="J2025" s="2" t="str">
        <f aca="false">IF($G2025="","","e")</f>
        <v/>
      </c>
      <c r="K2025" s="2" t="str">
        <f aca="false">""</f>
        <v/>
      </c>
      <c r="L2025" s="2" t="str">
        <f aca="false">IF($G2025="","","同時")</f>
        <v/>
      </c>
      <c r="M2025" s="2" t="str">
        <f aca="false">IF($G2025="","",IF(ISNA(MATCH($G2025,個別指定!$A:$A,0)),"行なし",""))</f>
        <v/>
      </c>
      <c r="N2025" s="2" t="str">
        <f aca="false">IF($G2025="","",IF(COUNTIF($G$2:$G$4460,$G2025)&gt;1,"重複",""))</f>
        <v/>
      </c>
    </row>
    <row r="2026" customFormat="false" ht="16.5" hidden="false" customHeight="true" outlineLevel="0" collapsed="false">
      <c r="A2026" s="2" t="s">
        <v>416</v>
      </c>
      <c r="B2026" s="2" t="s">
        <v>427</v>
      </c>
      <c r="C2026" s="2" t="s">
        <v>15</v>
      </c>
      <c r="D2026" s="2" t="str">
        <f aca="false">IF(3キー同時!$B$136="","",3キー同時!$B$136)</f>
        <v>v</v>
      </c>
      <c r="E2026" s="2" t="str">
        <f aca="false">IF(3キー同時!$G$136="","",3キー同時!$G$136)</f>
        <v>o</v>
      </c>
      <c r="F2026" s="2" t="str">
        <f aca="false">""</f>
        <v/>
      </c>
      <c r="G2026" s="2" t="str">
        <f aca="false">IF(OR(3キー同時!$B$136="",3キー同時!$G$136=""),"",IF(3キー同時!T140="","",SUBSTITUTE(SUBSTITUTE(3キー同時!T140," ",""),"　","")))</f>
        <v/>
      </c>
      <c r="H2026" s="2" t="str">
        <f aca="false">IF($G2026="","",3キー同時!$B$136)</f>
        <v/>
      </c>
      <c r="I2026" s="2" t="str">
        <f aca="false">IF($G2026="","",3キー同時!$G$136)</f>
        <v/>
      </c>
      <c r="J2026" s="2" t="str">
        <f aca="false">IF($G2026="","","r")</f>
        <v/>
      </c>
      <c r="K2026" s="2" t="str">
        <f aca="false">""</f>
        <v/>
      </c>
      <c r="L2026" s="2" t="str">
        <f aca="false">IF($G2026="","","同時")</f>
        <v/>
      </c>
      <c r="M2026" s="2" t="str">
        <f aca="false">IF($G2026="","",IF(ISNA(MATCH($G2026,個別指定!$A:$A,0)),"行なし",""))</f>
        <v/>
      </c>
      <c r="N2026" s="2" t="str">
        <f aca="false">IF($G2026="","",IF(COUNTIF($G$2:$G$4460,$G2026)&gt;1,"重複",""))</f>
        <v/>
      </c>
    </row>
    <row r="2027" customFormat="false" ht="16.5" hidden="false" customHeight="true" outlineLevel="0" collapsed="false">
      <c r="A2027" s="2" t="s">
        <v>416</v>
      </c>
      <c r="B2027" s="2" t="s">
        <v>427</v>
      </c>
      <c r="C2027" s="2" t="s">
        <v>16</v>
      </c>
      <c r="D2027" s="2" t="str">
        <f aca="false">IF(3キー同時!$B$136="","",3キー同時!$B$136)</f>
        <v>v</v>
      </c>
      <c r="E2027" s="2" t="str">
        <f aca="false">IF(3キー同時!$G$136="","",3キー同時!$G$136)</f>
        <v>o</v>
      </c>
      <c r="F2027" s="2" t="str">
        <f aca="false">""</f>
        <v/>
      </c>
      <c r="G2027" s="2" t="str">
        <f aca="false">IF(OR(3キー同時!$B$136="",3キー同時!$G$136=""),"",IF(3キー同時!X140="","",SUBSTITUTE(SUBSTITUTE(3キー同時!X140," ",""),"　","")))</f>
        <v/>
      </c>
      <c r="H2027" s="2" t="str">
        <f aca="false">IF($G2027="","",3キー同時!$B$136)</f>
        <v/>
      </c>
      <c r="I2027" s="2" t="str">
        <f aca="false">IF($G2027="","",3キー同時!$G$136)</f>
        <v/>
      </c>
      <c r="J2027" s="2" t="str">
        <f aca="false">IF($G2027="","","t")</f>
        <v/>
      </c>
      <c r="K2027" s="2" t="str">
        <f aca="false">""</f>
        <v/>
      </c>
      <c r="L2027" s="2" t="str">
        <f aca="false">IF($G2027="","","同時")</f>
        <v/>
      </c>
      <c r="M2027" s="2" t="str">
        <f aca="false">IF($G2027="","",IF(ISNA(MATCH($G2027,個別指定!$A:$A,0)),"行なし",""))</f>
        <v/>
      </c>
      <c r="N2027" s="2" t="str">
        <f aca="false">IF($G2027="","",IF(COUNTIF($G$2:$G$4460,$G2027)&gt;1,"重複",""))</f>
        <v/>
      </c>
    </row>
    <row r="2028" customFormat="false" ht="16.5" hidden="false" customHeight="true" outlineLevel="0" collapsed="false">
      <c r="A2028" s="2" t="s">
        <v>416</v>
      </c>
      <c r="B2028" s="2" t="s">
        <v>427</v>
      </c>
      <c r="C2028" s="2" t="s">
        <v>17</v>
      </c>
      <c r="D2028" s="2" t="str">
        <f aca="false">IF(3キー同時!$B$136="","",3キー同時!$B$136)</f>
        <v>v</v>
      </c>
      <c r="E2028" s="2" t="str">
        <f aca="false">IF(3キー同時!$G$136="","",3キー同時!$G$136)</f>
        <v>o</v>
      </c>
      <c r="F2028" s="2" t="str">
        <f aca="false">""</f>
        <v/>
      </c>
      <c r="G2028" s="2" t="str">
        <f aca="false">IF(OR(3キー同時!$B$136="",3キー同時!$G$136=""),"",IF(3キー同時!AB140="","",SUBSTITUTE(SUBSTITUTE(3キー同時!AB140," ",""),"　","")))</f>
        <v/>
      </c>
      <c r="H2028" s="2" t="str">
        <f aca="false">IF($G2028="","",3キー同時!$B$136)</f>
        <v/>
      </c>
      <c r="I2028" s="2" t="str">
        <f aca="false">IF($G2028="","",3キー同時!$G$136)</f>
        <v/>
      </c>
      <c r="J2028" s="2" t="str">
        <f aca="false">IF($G2028="","","y")</f>
        <v/>
      </c>
      <c r="K2028" s="2" t="str">
        <f aca="false">""</f>
        <v/>
      </c>
      <c r="L2028" s="2" t="str">
        <f aca="false">IF($G2028="","","同時")</f>
        <v/>
      </c>
      <c r="M2028" s="2" t="str">
        <f aca="false">IF($G2028="","",IF(ISNA(MATCH($G2028,個別指定!$A:$A,0)),"行なし",""))</f>
        <v/>
      </c>
      <c r="N2028" s="2" t="str">
        <f aca="false">IF($G2028="","",IF(COUNTIF($G$2:$G$4460,$G2028)&gt;1,"重複",""))</f>
        <v/>
      </c>
    </row>
    <row r="2029" customFormat="false" ht="16.5" hidden="false" customHeight="true" outlineLevel="0" collapsed="false">
      <c r="A2029" s="2" t="s">
        <v>416</v>
      </c>
      <c r="B2029" s="2" t="s">
        <v>427</v>
      </c>
      <c r="C2029" s="2" t="s">
        <v>18</v>
      </c>
      <c r="D2029" s="2" t="str">
        <f aca="false">IF(3キー同時!$B$136="","",3キー同時!$B$136)</f>
        <v>v</v>
      </c>
      <c r="E2029" s="2" t="str">
        <f aca="false">IF(3キー同時!$G$136="","",3キー同時!$G$136)</f>
        <v>o</v>
      </c>
      <c r="F2029" s="2" t="str">
        <f aca="false">""</f>
        <v/>
      </c>
      <c r="G2029" s="2" t="str">
        <f aca="false">IF(OR(3キー同時!$B$136="",3キー同時!$G$136=""),"",IF(3キー同時!AF140="","",SUBSTITUTE(SUBSTITUTE(3キー同時!AF140," ",""),"　","")))</f>
        <v/>
      </c>
      <c r="H2029" s="2" t="str">
        <f aca="false">IF($G2029="","",3キー同時!$B$136)</f>
        <v/>
      </c>
      <c r="I2029" s="2" t="str">
        <f aca="false">IF($G2029="","",3キー同時!$G$136)</f>
        <v/>
      </c>
      <c r="J2029" s="2" t="str">
        <f aca="false">IF($G2029="","","u")</f>
        <v/>
      </c>
      <c r="K2029" s="2" t="str">
        <f aca="false">""</f>
        <v/>
      </c>
      <c r="L2029" s="2" t="str">
        <f aca="false">IF($G2029="","","同時")</f>
        <v/>
      </c>
      <c r="M2029" s="2" t="str">
        <f aca="false">IF($G2029="","",IF(ISNA(MATCH($G2029,個別指定!$A:$A,0)),"行なし",""))</f>
        <v/>
      </c>
      <c r="N2029" s="2" t="str">
        <f aca="false">IF($G2029="","",IF(COUNTIF($G$2:$G$4460,$G2029)&gt;1,"重複",""))</f>
        <v/>
      </c>
    </row>
    <row r="2030" customFormat="false" ht="16.5" hidden="false" customHeight="true" outlineLevel="0" collapsed="false">
      <c r="A2030" s="2" t="s">
        <v>416</v>
      </c>
      <c r="B2030" s="2" t="s">
        <v>427</v>
      </c>
      <c r="C2030" s="2" t="s">
        <v>19</v>
      </c>
      <c r="D2030" s="2" t="str">
        <f aca="false">IF(3キー同時!$B$136="","",3キー同時!$B$136)</f>
        <v>v</v>
      </c>
      <c r="E2030" s="2" t="str">
        <f aca="false">IF(3キー同時!$G$136="","",3キー同時!$G$136)</f>
        <v>o</v>
      </c>
      <c r="F2030" s="2" t="str">
        <f aca="false">""</f>
        <v/>
      </c>
      <c r="G2030" s="2" t="str">
        <f aca="false">IF(OR(3キー同時!$B$136="",3キー同時!$G$136=""),"",IF(3キー同時!AJ140="","",SUBSTITUTE(SUBSTITUTE(3キー同時!AJ140," ",""),"　","")))</f>
        <v/>
      </c>
      <c r="H2030" s="2" t="str">
        <f aca="false">IF($G2030="","",3キー同時!$B$136)</f>
        <v/>
      </c>
      <c r="I2030" s="2" t="str">
        <f aca="false">IF($G2030="","",3キー同時!$G$136)</f>
        <v/>
      </c>
      <c r="J2030" s="2" t="str">
        <f aca="false">IF($G2030="","","i")</f>
        <v/>
      </c>
      <c r="K2030" s="2" t="str">
        <f aca="false">""</f>
        <v/>
      </c>
      <c r="L2030" s="2" t="str">
        <f aca="false">IF($G2030="","","同時")</f>
        <v/>
      </c>
      <c r="M2030" s="2" t="str">
        <f aca="false">IF($G2030="","",IF(ISNA(MATCH($G2030,個別指定!$A:$A,0)),"行なし",""))</f>
        <v/>
      </c>
      <c r="N2030" s="2" t="str">
        <f aca="false">IF($G2030="","",IF(COUNTIF($G$2:$G$4460,$G2030)&gt;1,"重複",""))</f>
        <v/>
      </c>
    </row>
    <row r="2031" customFormat="false" ht="16.5" hidden="false" customHeight="true" outlineLevel="0" collapsed="false">
      <c r="A2031" s="2" t="s">
        <v>416</v>
      </c>
      <c r="B2031" s="2" t="s">
        <v>427</v>
      </c>
      <c r="C2031" s="2" t="s">
        <v>20</v>
      </c>
      <c r="D2031" s="2" t="str">
        <f aca="false">IF(3キー同時!$B$136="","",3キー同時!$B$136)</f>
        <v>v</v>
      </c>
      <c r="E2031" s="2" t="str">
        <f aca="false">IF(3キー同時!$G$136="","",3キー同時!$G$136)</f>
        <v>o</v>
      </c>
      <c r="F2031" s="2" t="str">
        <f aca="false">""</f>
        <v/>
      </c>
      <c r="G2031" s="2" t="str">
        <f aca="false">IF(OR(3キー同時!$B$136="",3キー同時!$G$136=""),"",IF(3キー同時!AN140="","",SUBSTITUTE(SUBSTITUTE(3キー同時!AN140," ",""),"　","")))</f>
        <v/>
      </c>
      <c r="H2031" s="2" t="str">
        <f aca="false">IF($G2031="","",3キー同時!$B$136)</f>
        <v/>
      </c>
      <c r="I2031" s="2" t="str">
        <f aca="false">IF($G2031="","",3キー同時!$G$136)</f>
        <v/>
      </c>
      <c r="J2031" s="2" t="str">
        <f aca="false">IF($G2031="","","o")</f>
        <v/>
      </c>
      <c r="K2031" s="2" t="str">
        <f aca="false">""</f>
        <v/>
      </c>
      <c r="L2031" s="2" t="str">
        <f aca="false">IF($G2031="","","同時")</f>
        <v/>
      </c>
      <c r="M2031" s="2" t="str">
        <f aca="false">IF($G2031="","",IF(ISNA(MATCH($G2031,個別指定!$A:$A,0)),"行なし",""))</f>
        <v/>
      </c>
      <c r="N2031" s="2" t="str">
        <f aca="false">IF($G2031="","",IF(COUNTIF($G$2:$G$4460,$G2031)&gt;1,"重複",""))</f>
        <v/>
      </c>
    </row>
    <row r="2032" customFormat="false" ht="16.5" hidden="false" customHeight="true" outlineLevel="0" collapsed="false">
      <c r="A2032" s="2" t="s">
        <v>416</v>
      </c>
      <c r="B2032" s="2" t="s">
        <v>427</v>
      </c>
      <c r="C2032" s="2" t="s">
        <v>21</v>
      </c>
      <c r="D2032" s="2" t="str">
        <f aca="false">IF(3キー同時!$B$136="","",3キー同時!$B$136)</f>
        <v>v</v>
      </c>
      <c r="E2032" s="2" t="str">
        <f aca="false">IF(3キー同時!$G$136="","",3キー同時!$G$136)</f>
        <v>o</v>
      </c>
      <c r="F2032" s="2" t="str">
        <f aca="false">""</f>
        <v/>
      </c>
      <c r="G2032" s="2" t="str">
        <f aca="false">IF(OR(3キー同時!$B$136="",3キー同時!$G$136=""),"",IF(3キー同時!AR140="","",SUBSTITUTE(SUBSTITUTE(3キー同時!AR140," ",""),"　","")))</f>
        <v/>
      </c>
      <c r="H2032" s="2" t="str">
        <f aca="false">IF($G2032="","",3キー同時!$B$136)</f>
        <v/>
      </c>
      <c r="I2032" s="2" t="str">
        <f aca="false">IF($G2032="","",3キー同時!$G$136)</f>
        <v/>
      </c>
      <c r="J2032" s="2" t="str">
        <f aca="false">IF($G2032="","","p")</f>
        <v/>
      </c>
      <c r="K2032" s="2" t="str">
        <f aca="false">""</f>
        <v/>
      </c>
      <c r="L2032" s="2" t="str">
        <f aca="false">IF($G2032="","","同時")</f>
        <v/>
      </c>
      <c r="M2032" s="2" t="str">
        <f aca="false">IF($G2032="","",IF(ISNA(MATCH($G2032,個別指定!$A:$A,0)),"行なし",""))</f>
        <v/>
      </c>
      <c r="N2032" s="2" t="str">
        <f aca="false">IF($G2032="","",IF(COUNTIF($G$2:$G$4460,$G2032)&gt;1,"重複",""))</f>
        <v/>
      </c>
    </row>
    <row r="2033" customFormat="false" ht="16.5" hidden="false" customHeight="true" outlineLevel="0" collapsed="false">
      <c r="A2033" s="2" t="s">
        <v>416</v>
      </c>
      <c r="B2033" s="2" t="s">
        <v>427</v>
      </c>
      <c r="C2033" s="2" t="s">
        <v>22</v>
      </c>
      <c r="D2033" s="2" t="str">
        <f aca="false">IF(3キー同時!$B$136="","",3キー同時!$B$136)</f>
        <v>v</v>
      </c>
      <c r="E2033" s="2" t="str">
        <f aca="false">IF(3キー同時!$G$136="","",3キー同時!$G$136)</f>
        <v>o</v>
      </c>
      <c r="F2033" s="2" t="str">
        <f aca="false">""</f>
        <v/>
      </c>
      <c r="G2033" s="2" t="str">
        <f aca="false">IF(OR(3キー同時!$B$136="",3キー同時!$G$136=""),"",IF(3キー同時!AV140="","",SUBSTITUTE(SUBSTITUTE(3キー同時!AV140," ",""),"　","")))</f>
        <v/>
      </c>
      <c r="H2033" s="2" t="str">
        <f aca="false">IF($G2033="","",3キー同時!$B$136)</f>
        <v/>
      </c>
      <c r="I2033" s="2" t="str">
        <f aca="false">IF($G2033="","",3キー同時!$G$136)</f>
        <v/>
      </c>
      <c r="J2033" s="2" t="str">
        <f aca="false">IF($G2033="","","[")</f>
        <v/>
      </c>
      <c r="K2033" s="2" t="str">
        <f aca="false">""</f>
        <v/>
      </c>
      <c r="L2033" s="2" t="str">
        <f aca="false">IF($G2033="","","同時")</f>
        <v/>
      </c>
      <c r="M2033" s="2" t="str">
        <f aca="false">IF($G2033="","",IF(ISNA(MATCH($G2033,個別指定!$A:$A,0)),"行なし",""))</f>
        <v/>
      </c>
      <c r="N2033" s="2" t="str">
        <f aca="false">IF($G2033="","",IF(COUNTIF($G$2:$G$4460,$G2033)&gt;1,"重複",""))</f>
        <v/>
      </c>
    </row>
    <row r="2034" customFormat="false" ht="16.5" hidden="false" customHeight="true" outlineLevel="0" collapsed="false">
      <c r="A2034" s="2" t="s">
        <v>416</v>
      </c>
      <c r="B2034" s="2" t="s">
        <v>427</v>
      </c>
      <c r="C2034" s="2" t="s">
        <v>23</v>
      </c>
      <c r="D2034" s="2" t="str">
        <f aca="false">IF(3キー同時!$B$136="","",3キー同時!$B$136)</f>
        <v>v</v>
      </c>
      <c r="E2034" s="2" t="str">
        <f aca="false">IF(3キー同時!$G$136="","",3キー同時!$G$136)</f>
        <v>o</v>
      </c>
      <c r="F2034" s="2" t="str">
        <f aca="false">""</f>
        <v/>
      </c>
      <c r="G2034" s="2" t="str">
        <f aca="false">IF(OR(3キー同時!$B$136="",3キー同時!$G$136=""),"",IF(3キー同時!AZ140="","",SUBSTITUTE(SUBSTITUTE(3キー同時!AZ140," ",""),"　","")))</f>
        <v/>
      </c>
      <c r="H2034" s="2" t="str">
        <f aca="false">IF($G2034="","",3キー同時!$B$136)</f>
        <v/>
      </c>
      <c r="I2034" s="2" t="str">
        <f aca="false">IF($G2034="","",3キー同時!$G$136)</f>
        <v/>
      </c>
      <c r="J2034" s="2" t="str">
        <f aca="false">IF($G2034="","","]")</f>
        <v/>
      </c>
      <c r="K2034" s="2" t="str">
        <f aca="false">""</f>
        <v/>
      </c>
      <c r="L2034" s="2" t="str">
        <f aca="false">IF($G2034="","","同時")</f>
        <v/>
      </c>
      <c r="M2034" s="2" t="str">
        <f aca="false">IF($G2034="","",IF(ISNA(MATCH($G2034,個別指定!$A:$A,0)),"行なし",""))</f>
        <v/>
      </c>
      <c r="N2034" s="2" t="str">
        <f aca="false">IF($G2034="","",IF(COUNTIF($G$2:$G$4460,$G2034)&gt;1,"重複",""))</f>
        <v/>
      </c>
    </row>
    <row r="2035" customFormat="false" ht="16.5" hidden="false" customHeight="true" outlineLevel="0" collapsed="false">
      <c r="A2035" s="2" t="s">
        <v>416</v>
      </c>
      <c r="B2035" s="2" t="s">
        <v>427</v>
      </c>
      <c r="C2035" s="2" t="s">
        <v>24</v>
      </c>
      <c r="D2035" s="2" t="str">
        <f aca="false">IF(3キー同時!$B$136="","",3キー同時!$B$136)</f>
        <v>v</v>
      </c>
      <c r="E2035" s="2" t="str">
        <f aca="false">IF(3キー同時!$G$136="","",3キー同時!$G$136)</f>
        <v>o</v>
      </c>
      <c r="F2035" s="2" t="str">
        <f aca="false">""</f>
        <v/>
      </c>
      <c r="G2035" s="2" t="str">
        <f aca="false">IF(OR(3キー同時!$B$136="",3キー同時!$G$136=""),"",IF(3キー同時!I142="","",SUBSTITUTE(SUBSTITUTE(3キー同時!I142," ",""),"　","")))</f>
        <v/>
      </c>
      <c r="H2035" s="2" t="str">
        <f aca="false">IF($G2035="","",3キー同時!$B$136)</f>
        <v/>
      </c>
      <c r="I2035" s="2" t="str">
        <f aca="false">IF($G2035="","",3キー同時!$G$136)</f>
        <v/>
      </c>
      <c r="J2035" s="2" t="str">
        <f aca="false">IF($G2035="","","a")</f>
        <v/>
      </c>
      <c r="K2035" s="2" t="str">
        <f aca="false">""</f>
        <v/>
      </c>
      <c r="L2035" s="2" t="str">
        <f aca="false">IF($G2035="","","同時")</f>
        <v/>
      </c>
      <c r="M2035" s="2" t="str">
        <f aca="false">IF($G2035="","",IF(ISNA(MATCH($G2035,個別指定!$A:$A,0)),"行なし",""))</f>
        <v/>
      </c>
      <c r="N2035" s="2" t="str">
        <f aca="false">IF($G2035="","",IF(COUNTIF($G$2:$G$4460,$G2035)&gt;1,"重複",""))</f>
        <v/>
      </c>
    </row>
    <row r="2036" customFormat="false" ht="16.5" hidden="false" customHeight="true" outlineLevel="0" collapsed="false">
      <c r="A2036" s="2" t="s">
        <v>416</v>
      </c>
      <c r="B2036" s="2" t="s">
        <v>427</v>
      </c>
      <c r="C2036" s="2" t="s">
        <v>25</v>
      </c>
      <c r="D2036" s="2" t="str">
        <f aca="false">IF(3キー同時!$B$136="","",3キー同時!$B$136)</f>
        <v>v</v>
      </c>
      <c r="E2036" s="2" t="str">
        <f aca="false">IF(3キー同時!$G$136="","",3キー同時!$G$136)</f>
        <v>o</v>
      </c>
      <c r="F2036" s="2" t="str">
        <f aca="false">""</f>
        <v/>
      </c>
      <c r="G2036" s="2" t="str">
        <f aca="false">IF(OR(3キー同時!$B$136="",3キー同時!$G$136=""),"",IF(3キー同時!M142="","",SUBSTITUTE(SUBSTITUTE(3キー同時!M142," ",""),"　","")))</f>
        <v/>
      </c>
      <c r="H2036" s="2" t="str">
        <f aca="false">IF($G2036="","",3キー同時!$B$136)</f>
        <v/>
      </c>
      <c r="I2036" s="2" t="str">
        <f aca="false">IF($G2036="","",3キー同時!$G$136)</f>
        <v/>
      </c>
      <c r="J2036" s="2" t="str">
        <f aca="false">IF($G2036="","","s")</f>
        <v/>
      </c>
      <c r="K2036" s="2" t="str">
        <f aca="false">""</f>
        <v/>
      </c>
      <c r="L2036" s="2" t="str">
        <f aca="false">IF($G2036="","","同時")</f>
        <v/>
      </c>
      <c r="M2036" s="2" t="str">
        <f aca="false">IF($G2036="","",IF(ISNA(MATCH($G2036,個別指定!$A:$A,0)),"行なし",""))</f>
        <v/>
      </c>
      <c r="N2036" s="2" t="str">
        <f aca="false">IF($G2036="","",IF(COUNTIF($G$2:$G$4460,$G2036)&gt;1,"重複",""))</f>
        <v/>
      </c>
    </row>
    <row r="2037" customFormat="false" ht="16.5" hidden="false" customHeight="true" outlineLevel="0" collapsed="false">
      <c r="A2037" s="2" t="s">
        <v>416</v>
      </c>
      <c r="B2037" s="2" t="s">
        <v>427</v>
      </c>
      <c r="C2037" s="2" t="s">
        <v>26</v>
      </c>
      <c r="D2037" s="2" t="str">
        <f aca="false">IF(3キー同時!$B$136="","",3キー同時!$B$136)</f>
        <v>v</v>
      </c>
      <c r="E2037" s="2" t="str">
        <f aca="false">IF(3キー同時!$G$136="","",3キー同時!$G$136)</f>
        <v>o</v>
      </c>
      <c r="F2037" s="2" t="str">
        <f aca="false">""</f>
        <v/>
      </c>
      <c r="G2037" s="2" t="str">
        <f aca="false">IF(OR(3キー同時!$B$136="",3キー同時!$G$136=""),"",IF(3キー同時!Q142="","",SUBSTITUTE(SUBSTITUTE(3キー同時!Q142," ",""),"　","")))</f>
        <v/>
      </c>
      <c r="H2037" s="2" t="str">
        <f aca="false">IF($G2037="","",3キー同時!$B$136)</f>
        <v/>
      </c>
      <c r="I2037" s="2" t="str">
        <f aca="false">IF($G2037="","",3キー同時!$G$136)</f>
        <v/>
      </c>
      <c r="J2037" s="2" t="str">
        <f aca="false">IF($G2037="","","d")</f>
        <v/>
      </c>
      <c r="K2037" s="2" t="str">
        <f aca="false">""</f>
        <v/>
      </c>
      <c r="L2037" s="2" t="str">
        <f aca="false">IF($G2037="","","同時")</f>
        <v/>
      </c>
      <c r="M2037" s="2" t="str">
        <f aca="false">IF($G2037="","",IF(ISNA(MATCH($G2037,個別指定!$A:$A,0)),"行なし",""))</f>
        <v/>
      </c>
      <c r="N2037" s="2" t="str">
        <f aca="false">IF($G2037="","",IF(COUNTIF($G$2:$G$4460,$G2037)&gt;1,"重複",""))</f>
        <v/>
      </c>
    </row>
    <row r="2038" customFormat="false" ht="16.5" hidden="false" customHeight="true" outlineLevel="0" collapsed="false">
      <c r="A2038" s="2" t="s">
        <v>416</v>
      </c>
      <c r="B2038" s="2" t="s">
        <v>427</v>
      </c>
      <c r="C2038" s="2" t="s">
        <v>27</v>
      </c>
      <c r="D2038" s="2" t="str">
        <f aca="false">IF(3キー同時!$B$136="","",3キー同時!$B$136)</f>
        <v>v</v>
      </c>
      <c r="E2038" s="2" t="str">
        <f aca="false">IF(3キー同時!$G$136="","",3キー同時!$G$136)</f>
        <v>o</v>
      </c>
      <c r="F2038" s="2" t="str">
        <f aca="false">""</f>
        <v/>
      </c>
      <c r="G2038" s="2" t="str">
        <f aca="false">IF(OR(3キー同時!$B$136="",3キー同時!$G$136=""),"",IF(3キー同時!U142="","",SUBSTITUTE(SUBSTITUTE(3キー同時!U142," ",""),"　","")))</f>
        <v/>
      </c>
      <c r="H2038" s="2" t="str">
        <f aca="false">IF($G2038="","",3キー同時!$B$136)</f>
        <v/>
      </c>
      <c r="I2038" s="2" t="str">
        <f aca="false">IF($G2038="","",3キー同時!$G$136)</f>
        <v/>
      </c>
      <c r="J2038" s="2" t="str">
        <f aca="false">IF($G2038="","","f")</f>
        <v/>
      </c>
      <c r="K2038" s="2" t="str">
        <f aca="false">""</f>
        <v/>
      </c>
      <c r="L2038" s="2" t="str">
        <f aca="false">IF($G2038="","","同時")</f>
        <v/>
      </c>
      <c r="M2038" s="2" t="str">
        <f aca="false">IF($G2038="","",IF(ISNA(MATCH($G2038,個別指定!$A:$A,0)),"行なし",""))</f>
        <v/>
      </c>
      <c r="N2038" s="2" t="str">
        <f aca="false">IF($G2038="","",IF(COUNTIF($G$2:$G$4460,$G2038)&gt;1,"重複",""))</f>
        <v/>
      </c>
    </row>
    <row r="2039" customFormat="false" ht="16.5" hidden="false" customHeight="true" outlineLevel="0" collapsed="false">
      <c r="A2039" s="2" t="s">
        <v>416</v>
      </c>
      <c r="B2039" s="2" t="s">
        <v>427</v>
      </c>
      <c r="C2039" s="2" t="s">
        <v>28</v>
      </c>
      <c r="D2039" s="2" t="str">
        <f aca="false">IF(3キー同時!$B$136="","",3キー同時!$B$136)</f>
        <v>v</v>
      </c>
      <c r="E2039" s="2" t="str">
        <f aca="false">IF(3キー同時!$G$136="","",3キー同時!$G$136)</f>
        <v>o</v>
      </c>
      <c r="F2039" s="2" t="str">
        <f aca="false">""</f>
        <v/>
      </c>
      <c r="G2039" s="2" t="str">
        <f aca="false">IF(OR(3キー同時!$B$136="",3キー同時!$G$136=""),"",IF(3キー同時!Y142="","",SUBSTITUTE(SUBSTITUTE(3キー同時!Y142," ",""),"　","")))</f>
        <v/>
      </c>
      <c r="H2039" s="2" t="str">
        <f aca="false">IF($G2039="","",3キー同時!$B$136)</f>
        <v/>
      </c>
      <c r="I2039" s="2" t="str">
        <f aca="false">IF($G2039="","",3キー同時!$G$136)</f>
        <v/>
      </c>
      <c r="J2039" s="2" t="str">
        <f aca="false">IF($G2039="","","g")</f>
        <v/>
      </c>
      <c r="K2039" s="2" t="str">
        <f aca="false">""</f>
        <v/>
      </c>
      <c r="L2039" s="2" t="str">
        <f aca="false">IF($G2039="","","同時")</f>
        <v/>
      </c>
      <c r="M2039" s="2" t="str">
        <f aca="false">IF($G2039="","",IF(ISNA(MATCH($G2039,個別指定!$A:$A,0)),"行なし",""))</f>
        <v/>
      </c>
      <c r="N2039" s="2" t="str">
        <f aca="false">IF($G2039="","",IF(COUNTIF($G$2:$G$4460,$G2039)&gt;1,"重複",""))</f>
        <v/>
      </c>
    </row>
    <row r="2040" customFormat="false" ht="16.5" hidden="false" customHeight="true" outlineLevel="0" collapsed="false">
      <c r="A2040" s="2" t="s">
        <v>416</v>
      </c>
      <c r="B2040" s="2" t="s">
        <v>427</v>
      </c>
      <c r="C2040" s="2" t="s">
        <v>29</v>
      </c>
      <c r="D2040" s="2" t="str">
        <f aca="false">IF(3キー同時!$B$136="","",3キー同時!$B$136)</f>
        <v>v</v>
      </c>
      <c r="E2040" s="2" t="str">
        <f aca="false">IF(3キー同時!$G$136="","",3キー同時!$G$136)</f>
        <v>o</v>
      </c>
      <c r="F2040" s="2" t="str">
        <f aca="false">""</f>
        <v/>
      </c>
      <c r="G2040" s="2" t="str">
        <f aca="false">IF(OR(3キー同時!$B$136="",3キー同時!$G$136=""),"",IF(3キー同時!AC142="","",SUBSTITUTE(SUBSTITUTE(3キー同時!AC142," ",""),"　","")))</f>
        <v>くぇ</v>
      </c>
      <c r="H2040" s="2" t="str">
        <f aca="false">IF($G2040="","",3キー同時!$B$136)</f>
        <v>v</v>
      </c>
      <c r="I2040" s="2" t="str">
        <f aca="false">IF($G2040="","",3キー同時!$G$136)</f>
        <v>o</v>
      </c>
      <c r="J2040" s="2" t="str">
        <f aca="false">IF($G2040="","","h")</f>
        <v>h</v>
      </c>
      <c r="K2040" s="2" t="str">
        <f aca="false">""</f>
        <v/>
      </c>
      <c r="L2040" s="2" t="str">
        <f aca="false">IF($G2040="","","同時")</f>
        <v>同時</v>
      </c>
      <c r="M2040" s="2" t="str">
        <f aca="false">IF($G2040="","",IF(ISNA(MATCH($G2040,個別指定!$A:$A,0)),"行なし",""))</f>
        <v/>
      </c>
      <c r="N2040" s="2" t="str">
        <f aca="false">IF($G2040="","",IF(COUNTIF($G$2:$G$4460,$G2040)&gt;1,"重複",""))</f>
        <v/>
      </c>
    </row>
    <row r="2041" customFormat="false" ht="16.5" hidden="false" customHeight="true" outlineLevel="0" collapsed="false">
      <c r="A2041" s="2" t="s">
        <v>416</v>
      </c>
      <c r="B2041" s="2" t="s">
        <v>427</v>
      </c>
      <c r="C2041" s="2" t="s">
        <v>30</v>
      </c>
      <c r="D2041" s="2" t="str">
        <f aca="false">IF(3キー同時!$B$136="","",3キー同時!$B$136)</f>
        <v>v</v>
      </c>
      <c r="E2041" s="2" t="str">
        <f aca="false">IF(3キー同時!$G$136="","",3キー同時!$G$136)</f>
        <v>o</v>
      </c>
      <c r="F2041" s="2" t="str">
        <f aca="false">""</f>
        <v/>
      </c>
      <c r="G2041" s="2" t="str">
        <f aca="false">IF(OR(3キー同時!$B$136="",3キー同時!$G$136=""),"",IF(3キー同時!AG142="","",SUBSTITUTE(SUBSTITUTE(3キー同時!AG142," ",""),"　","")))</f>
        <v/>
      </c>
      <c r="H2041" s="2" t="str">
        <f aca="false">IF($G2041="","",3キー同時!$B$136)</f>
        <v/>
      </c>
      <c r="I2041" s="2" t="str">
        <f aca="false">IF($G2041="","",3キー同時!$G$136)</f>
        <v/>
      </c>
      <c r="J2041" s="2" t="str">
        <f aca="false">IF($G2041="","","j")</f>
        <v/>
      </c>
      <c r="K2041" s="2" t="str">
        <f aca="false">""</f>
        <v/>
      </c>
      <c r="L2041" s="2" t="str">
        <f aca="false">IF($G2041="","","同時")</f>
        <v/>
      </c>
      <c r="M2041" s="2" t="str">
        <f aca="false">IF($G2041="","",IF(ISNA(MATCH($G2041,個別指定!$A:$A,0)),"行なし",""))</f>
        <v/>
      </c>
      <c r="N2041" s="2" t="str">
        <f aca="false">IF($G2041="","",IF(COUNTIF($G$2:$G$4460,$G2041)&gt;1,"重複",""))</f>
        <v/>
      </c>
    </row>
    <row r="2042" customFormat="false" ht="16.5" hidden="false" customHeight="true" outlineLevel="0" collapsed="false">
      <c r="A2042" s="2" t="s">
        <v>416</v>
      </c>
      <c r="B2042" s="2" t="s">
        <v>427</v>
      </c>
      <c r="C2042" s="2" t="s">
        <v>31</v>
      </c>
      <c r="D2042" s="2" t="str">
        <f aca="false">IF(3キー同時!$B$136="","",3キー同時!$B$136)</f>
        <v>v</v>
      </c>
      <c r="E2042" s="2" t="str">
        <f aca="false">IF(3キー同時!$G$136="","",3キー同時!$G$136)</f>
        <v>o</v>
      </c>
      <c r="F2042" s="2" t="str">
        <f aca="false">""</f>
        <v/>
      </c>
      <c r="G2042" s="2" t="str">
        <f aca="false">IF(OR(3キー同時!$B$136="",3キー同時!$G$136=""),"",IF(3キー同時!AK142="","",SUBSTITUTE(SUBSTITUTE(3キー同時!AK142," ",""),"　","")))</f>
        <v>いぇ</v>
      </c>
      <c r="H2042" s="2" t="str">
        <f aca="false">IF($G2042="","",3キー同時!$B$136)</f>
        <v>v</v>
      </c>
      <c r="I2042" s="2" t="str">
        <f aca="false">IF($G2042="","",3キー同時!$G$136)</f>
        <v>o</v>
      </c>
      <c r="J2042" s="2" t="str">
        <f aca="false">IF($G2042="","","k")</f>
        <v>k</v>
      </c>
      <c r="K2042" s="2" t="str">
        <f aca="false">""</f>
        <v/>
      </c>
      <c r="L2042" s="2" t="str">
        <f aca="false">IF($G2042="","","同時")</f>
        <v>同時</v>
      </c>
      <c r="M2042" s="2" t="str">
        <f aca="false">IF($G2042="","",IF(ISNA(MATCH($G2042,個別指定!$A:$A,0)),"行なし",""))</f>
        <v/>
      </c>
      <c r="N2042" s="2" t="str">
        <f aca="false">IF($G2042="","",IF(COUNTIF($G$2:$G$4460,$G2042)&gt;1,"重複",""))</f>
        <v/>
      </c>
    </row>
    <row r="2043" customFormat="false" ht="16.5" hidden="false" customHeight="true" outlineLevel="0" collapsed="false">
      <c r="A2043" s="2" t="s">
        <v>416</v>
      </c>
      <c r="B2043" s="2" t="s">
        <v>427</v>
      </c>
      <c r="C2043" s="2" t="s">
        <v>32</v>
      </c>
      <c r="D2043" s="2" t="str">
        <f aca="false">IF(3キー同時!$B$136="","",3キー同時!$B$136)</f>
        <v>v</v>
      </c>
      <c r="E2043" s="2" t="str">
        <f aca="false">IF(3キー同時!$G$136="","",3キー同時!$G$136)</f>
        <v>o</v>
      </c>
      <c r="F2043" s="2" t="str">
        <f aca="false">""</f>
        <v/>
      </c>
      <c r="G2043" s="2" t="str">
        <f aca="false">IF(OR(3キー同時!$B$136="",3キー同時!$G$136=""),"",IF(3キー同時!AO142="","",SUBSTITUTE(SUBSTITUTE(3キー同時!AO142," ",""),"　","")))</f>
        <v/>
      </c>
      <c r="H2043" s="2" t="str">
        <f aca="false">IF($G2043="","",3キー同時!$B$136)</f>
        <v/>
      </c>
      <c r="I2043" s="2" t="str">
        <f aca="false">IF($G2043="","",3キー同時!$G$136)</f>
        <v/>
      </c>
      <c r="J2043" s="2" t="str">
        <f aca="false">IF($G2043="","","l")</f>
        <v/>
      </c>
      <c r="K2043" s="2" t="str">
        <f aca="false">""</f>
        <v/>
      </c>
      <c r="L2043" s="2" t="str">
        <f aca="false">IF($G2043="","","同時")</f>
        <v/>
      </c>
      <c r="M2043" s="2" t="str">
        <f aca="false">IF($G2043="","",IF(ISNA(MATCH($G2043,個別指定!$A:$A,0)),"行なし",""))</f>
        <v/>
      </c>
      <c r="N2043" s="2" t="str">
        <f aca="false">IF($G2043="","",IF(COUNTIF($G$2:$G$4460,$G2043)&gt;1,"重複",""))</f>
        <v/>
      </c>
    </row>
    <row r="2044" customFormat="false" ht="16.5" hidden="false" customHeight="true" outlineLevel="0" collapsed="false">
      <c r="A2044" s="2" t="s">
        <v>416</v>
      </c>
      <c r="B2044" s="2" t="s">
        <v>427</v>
      </c>
      <c r="C2044" s="2" t="s">
        <v>33</v>
      </c>
      <c r="D2044" s="2" t="str">
        <f aca="false">IF(3キー同時!$B$136="","",3キー同時!$B$136)</f>
        <v>v</v>
      </c>
      <c r="E2044" s="2" t="str">
        <f aca="false">IF(3キー同時!$G$136="","",3キー同時!$G$136)</f>
        <v>o</v>
      </c>
      <c r="F2044" s="2" t="str">
        <f aca="false">""</f>
        <v/>
      </c>
      <c r="G2044" s="2" t="str">
        <f aca="false">IF(OR(3キー同時!$B$136="",3キー同時!$G$136=""),"",IF(3キー同時!AS142="","",SUBSTITUTE(SUBSTITUTE(3キー同時!AS142," ",""),"　","")))</f>
        <v>ふぇ</v>
      </c>
      <c r="H2044" s="2" t="str">
        <f aca="false">IF($G2044="","",3キー同時!$B$136)</f>
        <v>v</v>
      </c>
      <c r="I2044" s="2" t="str">
        <f aca="false">IF($G2044="","",3キー同時!$G$136)</f>
        <v>o</v>
      </c>
      <c r="J2044" s="2" t="str">
        <f aca="false">IF($G2044="","",";")</f>
        <v>;</v>
      </c>
      <c r="K2044" s="2" t="str">
        <f aca="false">""</f>
        <v/>
      </c>
      <c r="L2044" s="2" t="str">
        <f aca="false">IF($G2044="","","同時")</f>
        <v>同時</v>
      </c>
      <c r="M2044" s="2" t="str">
        <f aca="false">IF($G2044="","",IF(ISNA(MATCH($G2044,個別指定!$A:$A,0)),"行なし",""))</f>
        <v/>
      </c>
      <c r="N2044" s="2" t="str">
        <f aca="false">IF($G2044="","",IF(COUNTIF($G$2:$G$4460,$G2044)&gt;1,"重複",""))</f>
        <v/>
      </c>
    </row>
    <row r="2045" customFormat="false" ht="16.5" hidden="false" customHeight="true" outlineLevel="0" collapsed="false">
      <c r="A2045" s="2" t="s">
        <v>416</v>
      </c>
      <c r="B2045" s="2" t="s">
        <v>427</v>
      </c>
      <c r="C2045" s="2" t="s">
        <v>34</v>
      </c>
      <c r="D2045" s="2" t="str">
        <f aca="false">IF(3キー同時!$B$136="","",3キー同時!$B$136)</f>
        <v>v</v>
      </c>
      <c r="E2045" s="2" t="str">
        <f aca="false">IF(3キー同時!$G$136="","",3キー同時!$G$136)</f>
        <v>o</v>
      </c>
      <c r="F2045" s="2" t="str">
        <f aca="false">""</f>
        <v/>
      </c>
      <c r="G2045" s="2" t="str">
        <f aca="false">IF(OR(3キー同時!$B$136="",3キー同時!$G$136=""),"",IF(3キー同時!AW142="","",SUBSTITUTE(SUBSTITUTE(3キー同時!AW142," ",""),"　","")))</f>
        <v/>
      </c>
      <c r="H2045" s="2" t="str">
        <f aca="false">IF($G2045="","",3キー同時!$B$136)</f>
        <v/>
      </c>
      <c r="I2045" s="2" t="str">
        <f aca="false">IF($G2045="","",3キー同時!$G$136)</f>
        <v/>
      </c>
      <c r="J2045" s="2" t="str">
        <f aca="false">IF($G2045="","","'")</f>
        <v/>
      </c>
      <c r="K2045" s="2" t="str">
        <f aca="false">""</f>
        <v/>
      </c>
      <c r="L2045" s="2" t="str">
        <f aca="false">IF($G2045="","","同時")</f>
        <v/>
      </c>
      <c r="M2045" s="2" t="str">
        <f aca="false">IF($G2045="","",IF(ISNA(MATCH($G2045,個別指定!$A:$A,0)),"行なし",""))</f>
        <v/>
      </c>
      <c r="N2045" s="2" t="str">
        <f aca="false">IF($G2045="","",IF(COUNTIF($G$2:$G$4460,$G2045)&gt;1,"重複",""))</f>
        <v/>
      </c>
    </row>
    <row r="2046" customFormat="false" ht="16.5" hidden="false" customHeight="true" outlineLevel="0" collapsed="false">
      <c r="A2046" s="2" t="s">
        <v>416</v>
      </c>
      <c r="B2046" s="2" t="s">
        <v>427</v>
      </c>
      <c r="C2046" s="2" t="s">
        <v>35</v>
      </c>
      <c r="D2046" s="2" t="str">
        <f aca="false">IF(3キー同時!$B$136="","",3キー同時!$B$136)</f>
        <v>v</v>
      </c>
      <c r="E2046" s="2" t="str">
        <f aca="false">IF(3キー同時!$G$136="","",3キー同時!$G$136)</f>
        <v>o</v>
      </c>
      <c r="F2046" s="2" t="str">
        <f aca="false">""</f>
        <v/>
      </c>
      <c r="G2046" s="2" t="str">
        <f aca="false">IF(OR(3キー同時!$B$136="",3キー同時!$G$136=""),"",IF(3キー同時!K144="","",SUBSTITUTE(SUBSTITUTE(3キー同時!K144," ",""),"　","")))</f>
        <v/>
      </c>
      <c r="H2046" s="2" t="str">
        <f aca="false">IF($G2046="","",3キー同時!$B$136)</f>
        <v/>
      </c>
      <c r="I2046" s="2" t="str">
        <f aca="false">IF($G2046="","",3キー同時!$G$136)</f>
        <v/>
      </c>
      <c r="J2046" s="2" t="str">
        <f aca="false">IF($G2046="","","z")</f>
        <v/>
      </c>
      <c r="K2046" s="2" t="str">
        <f aca="false">""</f>
        <v/>
      </c>
      <c r="L2046" s="2" t="str">
        <f aca="false">IF($G2046="","","同時")</f>
        <v/>
      </c>
      <c r="M2046" s="2" t="str">
        <f aca="false">IF($G2046="","",IF(ISNA(MATCH($G2046,個別指定!$A:$A,0)),"行なし",""))</f>
        <v/>
      </c>
      <c r="N2046" s="2" t="str">
        <f aca="false">IF($G2046="","",IF(COUNTIF($G$2:$G$4460,$G2046)&gt;1,"重複",""))</f>
        <v/>
      </c>
    </row>
    <row r="2047" customFormat="false" ht="16.5" hidden="false" customHeight="true" outlineLevel="0" collapsed="false">
      <c r="A2047" s="2" t="s">
        <v>416</v>
      </c>
      <c r="B2047" s="2" t="s">
        <v>427</v>
      </c>
      <c r="C2047" s="2" t="s">
        <v>36</v>
      </c>
      <c r="D2047" s="2" t="str">
        <f aca="false">IF(3キー同時!$B$136="","",3キー同時!$B$136)</f>
        <v>v</v>
      </c>
      <c r="E2047" s="2" t="str">
        <f aca="false">IF(3キー同時!$G$136="","",3キー同時!$G$136)</f>
        <v>o</v>
      </c>
      <c r="F2047" s="2" t="str">
        <f aca="false">""</f>
        <v/>
      </c>
      <c r="G2047" s="2" t="str">
        <f aca="false">IF(OR(3キー同時!$B$136="",3キー同時!$G$136=""),"",IF(3キー同時!O144="","",SUBSTITUTE(SUBSTITUTE(3キー同時!O144," ",""),"　","")))</f>
        <v/>
      </c>
      <c r="H2047" s="2" t="str">
        <f aca="false">IF($G2047="","",3キー同時!$B$136)</f>
        <v/>
      </c>
      <c r="I2047" s="2" t="str">
        <f aca="false">IF($G2047="","",3キー同時!$G$136)</f>
        <v/>
      </c>
      <c r="J2047" s="2" t="str">
        <f aca="false">IF($G2047="","","x")</f>
        <v/>
      </c>
      <c r="K2047" s="2" t="str">
        <f aca="false">""</f>
        <v/>
      </c>
      <c r="L2047" s="2" t="str">
        <f aca="false">IF($G2047="","","同時")</f>
        <v/>
      </c>
      <c r="M2047" s="2" t="str">
        <f aca="false">IF($G2047="","",IF(ISNA(MATCH($G2047,個別指定!$A:$A,0)),"行なし",""))</f>
        <v/>
      </c>
      <c r="N2047" s="2" t="str">
        <f aca="false">IF($G2047="","",IF(COUNTIF($G$2:$G$4460,$G2047)&gt;1,"重複",""))</f>
        <v/>
      </c>
    </row>
    <row r="2048" customFormat="false" ht="16.5" hidden="false" customHeight="true" outlineLevel="0" collapsed="false">
      <c r="A2048" s="2" t="s">
        <v>416</v>
      </c>
      <c r="B2048" s="2" t="s">
        <v>427</v>
      </c>
      <c r="C2048" s="2" t="s">
        <v>37</v>
      </c>
      <c r="D2048" s="2" t="str">
        <f aca="false">IF(3キー同時!$B$136="","",3キー同時!$B$136)</f>
        <v>v</v>
      </c>
      <c r="E2048" s="2" t="str">
        <f aca="false">IF(3キー同時!$G$136="","",3キー同時!$G$136)</f>
        <v>o</v>
      </c>
      <c r="F2048" s="2" t="str">
        <f aca="false">""</f>
        <v/>
      </c>
      <c r="G2048" s="2" t="str">
        <f aca="false">IF(OR(3キー同時!$B$136="",3キー同時!$G$136=""),"",IF(3キー同時!S144="","",SUBSTITUTE(SUBSTITUTE(3キー同時!S144," ",""),"　","")))</f>
        <v/>
      </c>
      <c r="H2048" s="2" t="str">
        <f aca="false">IF($G2048="","",3キー同時!$B$136)</f>
        <v/>
      </c>
      <c r="I2048" s="2" t="str">
        <f aca="false">IF($G2048="","",3キー同時!$G$136)</f>
        <v/>
      </c>
      <c r="J2048" s="2" t="str">
        <f aca="false">IF($G2048="","","c")</f>
        <v/>
      </c>
      <c r="K2048" s="2" t="str">
        <f aca="false">""</f>
        <v/>
      </c>
      <c r="L2048" s="2" t="str">
        <f aca="false">IF($G2048="","","同時")</f>
        <v/>
      </c>
      <c r="M2048" s="2" t="str">
        <f aca="false">IF($G2048="","",IF(ISNA(MATCH($G2048,個別指定!$A:$A,0)),"行なし",""))</f>
        <v/>
      </c>
      <c r="N2048" s="2" t="str">
        <f aca="false">IF($G2048="","",IF(COUNTIF($G$2:$G$4460,$G2048)&gt;1,"重複",""))</f>
        <v/>
      </c>
    </row>
    <row r="2049" customFormat="false" ht="16.5" hidden="false" customHeight="true" outlineLevel="0" collapsed="false">
      <c r="A2049" s="2" t="s">
        <v>416</v>
      </c>
      <c r="B2049" s="2" t="s">
        <v>427</v>
      </c>
      <c r="C2049" s="2" t="s">
        <v>38</v>
      </c>
      <c r="D2049" s="2" t="str">
        <f aca="false">IF(3キー同時!$B$136="","",3キー同時!$B$136)</f>
        <v>v</v>
      </c>
      <c r="E2049" s="2" t="str">
        <f aca="false">IF(3キー同時!$G$136="","",3キー同時!$G$136)</f>
        <v>o</v>
      </c>
      <c r="F2049" s="2" t="str">
        <f aca="false">""</f>
        <v/>
      </c>
      <c r="G2049" s="2" t="str">
        <f aca="false">IF(OR(3キー同時!$B$136="",3キー同時!$G$136=""),"",IF(3キー同時!W144="","",SUBSTITUTE(SUBSTITUTE(3キー同時!W144," ",""),"　","")))</f>
        <v/>
      </c>
      <c r="H2049" s="2" t="str">
        <f aca="false">IF($G2049="","",3キー同時!$B$136)</f>
        <v/>
      </c>
      <c r="I2049" s="2" t="str">
        <f aca="false">IF($G2049="","",3キー同時!$G$136)</f>
        <v/>
      </c>
      <c r="J2049" s="2" t="str">
        <f aca="false">IF($G2049="","","v")</f>
        <v/>
      </c>
      <c r="K2049" s="2" t="str">
        <f aca="false">""</f>
        <v/>
      </c>
      <c r="L2049" s="2" t="str">
        <f aca="false">IF($G2049="","","同時")</f>
        <v/>
      </c>
      <c r="M2049" s="2" t="str">
        <f aca="false">IF($G2049="","",IF(ISNA(MATCH($G2049,個別指定!$A:$A,0)),"行なし",""))</f>
        <v/>
      </c>
      <c r="N2049" s="2" t="str">
        <f aca="false">IF($G2049="","",IF(COUNTIF($G$2:$G$4460,$G2049)&gt;1,"重複",""))</f>
        <v/>
      </c>
    </row>
    <row r="2050" customFormat="false" ht="16.5" hidden="false" customHeight="true" outlineLevel="0" collapsed="false">
      <c r="A2050" s="2" t="s">
        <v>416</v>
      </c>
      <c r="B2050" s="2" t="s">
        <v>427</v>
      </c>
      <c r="C2050" s="2" t="s">
        <v>39</v>
      </c>
      <c r="D2050" s="2" t="str">
        <f aca="false">IF(3キー同時!$B$136="","",3キー同時!$B$136)</f>
        <v>v</v>
      </c>
      <c r="E2050" s="2" t="str">
        <f aca="false">IF(3キー同時!$G$136="","",3キー同時!$G$136)</f>
        <v>o</v>
      </c>
      <c r="F2050" s="2" t="str">
        <f aca="false">""</f>
        <v/>
      </c>
      <c r="G2050" s="2" t="str">
        <f aca="false">IF(OR(3キー同時!$B$136="",3キー同時!$G$136=""),"",IF(3キー同時!AA144="","",SUBSTITUTE(SUBSTITUTE(3キー同時!AA144," ",""),"　","")))</f>
        <v/>
      </c>
      <c r="H2050" s="2" t="str">
        <f aca="false">IF($G2050="","",3キー同時!$B$136)</f>
        <v/>
      </c>
      <c r="I2050" s="2" t="str">
        <f aca="false">IF($G2050="","",3キー同時!$G$136)</f>
        <v/>
      </c>
      <c r="J2050" s="2" t="str">
        <f aca="false">IF($G2050="","","b")</f>
        <v/>
      </c>
      <c r="K2050" s="2" t="str">
        <f aca="false">""</f>
        <v/>
      </c>
      <c r="L2050" s="2" t="str">
        <f aca="false">IF($G2050="","","同時")</f>
        <v/>
      </c>
      <c r="M2050" s="2" t="str">
        <f aca="false">IF($G2050="","",IF(ISNA(MATCH($G2050,個別指定!$A:$A,0)),"行なし",""))</f>
        <v/>
      </c>
      <c r="N2050" s="2" t="str">
        <f aca="false">IF($G2050="","",IF(COUNTIF($G$2:$G$4460,$G2050)&gt;1,"重複",""))</f>
        <v/>
      </c>
    </row>
    <row r="2051" customFormat="false" ht="16.5" hidden="false" customHeight="true" outlineLevel="0" collapsed="false">
      <c r="A2051" s="2" t="s">
        <v>416</v>
      </c>
      <c r="B2051" s="2" t="s">
        <v>427</v>
      </c>
      <c r="C2051" s="2" t="s">
        <v>40</v>
      </c>
      <c r="D2051" s="2" t="str">
        <f aca="false">IF(3キー同時!$B$136="","",3キー同時!$B$136)</f>
        <v>v</v>
      </c>
      <c r="E2051" s="2" t="str">
        <f aca="false">IF(3キー同時!$G$136="","",3キー同時!$G$136)</f>
        <v>o</v>
      </c>
      <c r="F2051" s="2" t="str">
        <f aca="false">""</f>
        <v/>
      </c>
      <c r="G2051" s="2" t="str">
        <f aca="false">IF(OR(3キー同時!$B$136="",3キー同時!$G$136=""),"",IF(3キー同時!AE144="","",SUBSTITUTE(SUBSTITUTE(3キー同時!AE144," ",""),"　","")))</f>
        <v/>
      </c>
      <c r="H2051" s="2" t="str">
        <f aca="false">IF($G2051="","",3キー同時!$B$136)</f>
        <v/>
      </c>
      <c r="I2051" s="2" t="str">
        <f aca="false">IF($G2051="","",3キー同時!$G$136)</f>
        <v/>
      </c>
      <c r="J2051" s="2" t="str">
        <f aca="false">IF($G2051="","","n")</f>
        <v/>
      </c>
      <c r="K2051" s="2" t="str">
        <f aca="false">""</f>
        <v/>
      </c>
      <c r="L2051" s="2" t="str">
        <f aca="false">IF($G2051="","","同時")</f>
        <v/>
      </c>
      <c r="M2051" s="2" t="str">
        <f aca="false">IF($G2051="","",IF(ISNA(MATCH($G2051,個別指定!$A:$A,0)),"行なし",""))</f>
        <v/>
      </c>
      <c r="N2051" s="2" t="str">
        <f aca="false">IF($G2051="","",IF(COUNTIF($G$2:$G$4460,$G2051)&gt;1,"重複",""))</f>
        <v/>
      </c>
    </row>
    <row r="2052" customFormat="false" ht="16.5" hidden="false" customHeight="true" outlineLevel="0" collapsed="false">
      <c r="A2052" s="2" t="s">
        <v>416</v>
      </c>
      <c r="B2052" s="2" t="s">
        <v>427</v>
      </c>
      <c r="C2052" s="2" t="s">
        <v>41</v>
      </c>
      <c r="D2052" s="2" t="str">
        <f aca="false">IF(3キー同時!$B$136="","",3キー同時!$B$136)</f>
        <v>v</v>
      </c>
      <c r="E2052" s="2" t="str">
        <f aca="false">IF(3キー同時!$G$136="","",3キー同時!$G$136)</f>
        <v>o</v>
      </c>
      <c r="F2052" s="2" t="str">
        <f aca="false">""</f>
        <v/>
      </c>
      <c r="G2052" s="2" t="str">
        <f aca="false">IF(OR(3キー同時!$B$136="",3キー同時!$G$136=""),"",IF(3キー同時!AI144="","",SUBSTITUTE(SUBSTITUTE(3キー同時!AI144," ",""),"　","")))</f>
        <v/>
      </c>
      <c r="H2052" s="2" t="str">
        <f aca="false">IF($G2052="","",3キー同時!$B$136)</f>
        <v/>
      </c>
      <c r="I2052" s="2" t="str">
        <f aca="false">IF($G2052="","",3キー同時!$G$136)</f>
        <v/>
      </c>
      <c r="J2052" s="2" t="str">
        <f aca="false">IF($G2052="","","m")</f>
        <v/>
      </c>
      <c r="K2052" s="2" t="str">
        <f aca="false">""</f>
        <v/>
      </c>
      <c r="L2052" s="2" t="str">
        <f aca="false">IF($G2052="","","同時")</f>
        <v/>
      </c>
      <c r="M2052" s="2" t="str">
        <f aca="false">IF($G2052="","",IF(ISNA(MATCH($G2052,個別指定!$A:$A,0)),"行なし",""))</f>
        <v/>
      </c>
      <c r="N2052" s="2" t="str">
        <f aca="false">IF($G2052="","",IF(COUNTIF($G$2:$G$4460,$G2052)&gt;1,"重複",""))</f>
        <v/>
      </c>
    </row>
    <row r="2053" customFormat="false" ht="16.5" hidden="false" customHeight="true" outlineLevel="0" collapsed="false">
      <c r="A2053" s="2" t="s">
        <v>416</v>
      </c>
      <c r="B2053" s="2" t="s">
        <v>427</v>
      </c>
      <c r="C2053" s="2" t="s">
        <v>42</v>
      </c>
      <c r="D2053" s="2" t="str">
        <f aca="false">IF(3キー同時!$B$136="","",3キー同時!$B$136)</f>
        <v>v</v>
      </c>
      <c r="E2053" s="2" t="str">
        <f aca="false">IF(3キー同時!$G$136="","",3キー同時!$G$136)</f>
        <v>o</v>
      </c>
      <c r="F2053" s="2" t="str">
        <f aca="false">""</f>
        <v/>
      </c>
      <c r="G2053" s="2" t="str">
        <f aca="false">IF(OR(3キー同時!$B$136="",3キー同時!$G$136=""),"",IF(3キー同時!AM144="","",SUBSTITUTE(SUBSTITUTE(3キー同時!AM144," ",""),"　","")))</f>
        <v/>
      </c>
      <c r="H2053" s="2" t="str">
        <f aca="false">IF($G2053="","",3キー同時!$B$136)</f>
        <v/>
      </c>
      <c r="I2053" s="2" t="str">
        <f aca="false">IF($G2053="","",3キー同時!$G$136)</f>
        <v/>
      </c>
      <c r="J2053" s="2" t="str">
        <f aca="false">IF($G2053="","",",")</f>
        <v/>
      </c>
      <c r="K2053" s="2" t="str">
        <f aca="false">""</f>
        <v/>
      </c>
      <c r="L2053" s="2" t="str">
        <f aca="false">IF($G2053="","","同時")</f>
        <v/>
      </c>
      <c r="M2053" s="2" t="str">
        <f aca="false">IF($G2053="","",IF(ISNA(MATCH($G2053,個別指定!$A:$A,0)),"行なし",""))</f>
        <v/>
      </c>
      <c r="N2053" s="2" t="str">
        <f aca="false">IF($G2053="","",IF(COUNTIF($G$2:$G$4460,$G2053)&gt;1,"重複",""))</f>
        <v/>
      </c>
    </row>
    <row r="2054" customFormat="false" ht="16.5" hidden="false" customHeight="true" outlineLevel="0" collapsed="false">
      <c r="A2054" s="2" t="s">
        <v>416</v>
      </c>
      <c r="B2054" s="2" t="s">
        <v>427</v>
      </c>
      <c r="C2054" s="2" t="s">
        <v>43</v>
      </c>
      <c r="D2054" s="2" t="str">
        <f aca="false">IF(3キー同時!$B$136="","",3キー同時!$B$136)</f>
        <v>v</v>
      </c>
      <c r="E2054" s="2" t="str">
        <f aca="false">IF(3キー同時!$G$136="","",3キー同時!$G$136)</f>
        <v>o</v>
      </c>
      <c r="F2054" s="2" t="str">
        <f aca="false">""</f>
        <v/>
      </c>
      <c r="G2054" s="2" t="str">
        <f aca="false">IF(OR(3キー同時!$B$136="",3キー同時!$G$136=""),"",IF(3キー同時!AQ144="","",SUBSTITUTE(SUBSTITUTE(3キー同時!AQ144," ",""),"　","")))</f>
        <v/>
      </c>
      <c r="H2054" s="2" t="str">
        <f aca="false">IF($G2054="","",3キー同時!$B$136)</f>
        <v/>
      </c>
      <c r="I2054" s="2" t="str">
        <f aca="false">IF($G2054="","",3キー同時!$G$136)</f>
        <v/>
      </c>
      <c r="J2054" s="2" t="str">
        <f aca="false">IF($G2054="","",".")</f>
        <v/>
      </c>
      <c r="K2054" s="2" t="str">
        <f aca="false">""</f>
        <v/>
      </c>
      <c r="L2054" s="2" t="str">
        <f aca="false">IF($G2054="","","同時")</f>
        <v/>
      </c>
      <c r="M2054" s="2" t="str">
        <f aca="false">IF($G2054="","",IF(ISNA(MATCH($G2054,個別指定!$A:$A,0)),"行なし",""))</f>
        <v/>
      </c>
      <c r="N2054" s="2" t="str">
        <f aca="false">IF($G2054="","",IF(COUNTIF($G$2:$G$4460,$G2054)&gt;1,"重複",""))</f>
        <v/>
      </c>
    </row>
    <row r="2055" customFormat="false" ht="16.5" hidden="false" customHeight="true" outlineLevel="0" collapsed="false">
      <c r="A2055" s="2" t="s">
        <v>416</v>
      </c>
      <c r="B2055" s="2" t="s">
        <v>427</v>
      </c>
      <c r="C2055" s="2" t="s">
        <v>44</v>
      </c>
      <c r="D2055" s="2" t="str">
        <f aca="false">IF(3キー同時!$B$136="","",3キー同時!$B$136)</f>
        <v>v</v>
      </c>
      <c r="E2055" s="2" t="str">
        <f aca="false">IF(3キー同時!$G$136="","",3キー同時!$G$136)</f>
        <v>o</v>
      </c>
      <c r="F2055" s="2" t="str">
        <f aca="false">""</f>
        <v/>
      </c>
      <c r="G2055" s="2" t="str">
        <f aca="false">IF(OR(3キー同時!$B$136="",3キー同時!$G$136=""),"",IF(3キー同時!AU144="","",SUBSTITUTE(SUBSTITUTE(3キー同時!AU144," ",""),"　","")))</f>
        <v/>
      </c>
      <c r="H2055" s="2" t="str">
        <f aca="false">IF($G2055="","",3キー同時!$B$136)</f>
        <v/>
      </c>
      <c r="I2055" s="2" t="str">
        <f aca="false">IF($G2055="","",3キー同時!$G$136)</f>
        <v/>
      </c>
      <c r="J2055" s="2" t="str">
        <f aca="false">IF($G2055="","","/")</f>
        <v/>
      </c>
      <c r="K2055" s="2" t="str">
        <f aca="false">""</f>
        <v/>
      </c>
      <c r="L2055" s="2" t="str">
        <f aca="false">IF($G2055="","","同時")</f>
        <v/>
      </c>
      <c r="M2055" s="2" t="str">
        <f aca="false">IF($G2055="","",IF(ISNA(MATCH($G2055,個別指定!$A:$A,0)),"行なし",""))</f>
        <v/>
      </c>
      <c r="N2055" s="2" t="str">
        <f aca="false">IF($G2055="","",IF(COUNTIF($G$2:$G$4460,$G2055)&gt;1,"重複",""))</f>
        <v/>
      </c>
    </row>
    <row r="2056" customFormat="false" ht="16.5" hidden="false" customHeight="true" outlineLevel="0" collapsed="false">
      <c r="A2056" s="2" t="s">
        <v>416</v>
      </c>
      <c r="B2056" s="2" t="s">
        <v>427</v>
      </c>
      <c r="C2056" s="2" t="s">
        <v>48</v>
      </c>
      <c r="D2056" s="2" t="str">
        <f aca="false">IF(3キー同時!$B$136="","",3キー同時!$B$136)</f>
        <v>v</v>
      </c>
      <c r="E2056" s="2" t="str">
        <f aca="false">IF(3キー同時!$G$136="","",3キー同時!$G$136)</f>
        <v>o</v>
      </c>
      <c r="F2056" s="2" t="str">
        <f aca="false">""</f>
        <v/>
      </c>
      <c r="G2056" s="2" t="str">
        <f aca="false">IF(OR(3キー同時!$B$136="",3キー同時!$G$136=""),"",IF(3キー同時!P146="","",SUBSTITUTE(SUBSTITUTE(3キー同時!P146," ",""),"　","")))</f>
        <v/>
      </c>
      <c r="H2056" s="2" t="str">
        <f aca="false">IF($G2056="","",3キー同時!$B$136)</f>
        <v/>
      </c>
      <c r="I2056" s="2" t="str">
        <f aca="false">IF($G2056="","",3キー同時!$G$136)</f>
        <v/>
      </c>
      <c r="J2056" s="2" t="str">
        <f aca="false">IF($G2056="","","muhenkan")</f>
        <v/>
      </c>
      <c r="K2056" s="2" t="str">
        <f aca="false">""</f>
        <v/>
      </c>
      <c r="L2056" s="2" t="str">
        <f aca="false">IF($G2056="","","同時")</f>
        <v/>
      </c>
      <c r="M2056" s="2" t="str">
        <f aca="false">IF($G2056="","",IF(ISNA(MATCH($G2056,個別指定!$A:$A,0)),"行なし",""))</f>
        <v/>
      </c>
      <c r="N2056" s="2" t="str">
        <f aca="false">IF($G2056="","",IF(COUNTIF($G$2:$G$4460,$G2056)&gt;1,"重複",""))</f>
        <v/>
      </c>
    </row>
    <row r="2057" customFormat="false" ht="16.5" hidden="false" customHeight="true" outlineLevel="0" collapsed="false">
      <c r="A2057" s="2" t="s">
        <v>416</v>
      </c>
      <c r="B2057" s="2" t="s">
        <v>427</v>
      </c>
      <c r="C2057" s="2" t="s">
        <v>50</v>
      </c>
      <c r="D2057" s="2" t="str">
        <f aca="false">IF(3キー同時!$B$136="","",3キー同時!$B$136)</f>
        <v>v</v>
      </c>
      <c r="E2057" s="2" t="str">
        <f aca="false">IF(3キー同時!$G$136="","",3キー同時!$G$136)</f>
        <v>o</v>
      </c>
      <c r="F2057" s="2" t="str">
        <f aca="false">""</f>
        <v/>
      </c>
      <c r="G2057" s="2" t="str">
        <f aca="false">IF(OR(3キー同時!$B$136="",3キー同時!$G$136=""),"",IF(3キー同時!T146="","",SUBSTITUTE(SUBSTITUTE(3キー同時!T146," ",""),"　","")))</f>
        <v/>
      </c>
      <c r="H2057" s="2" t="str">
        <f aca="false">IF($G2057="","",3キー同時!$B$136)</f>
        <v/>
      </c>
      <c r="I2057" s="2" t="str">
        <f aca="false">IF($G2057="","",3キー同時!$G$136)</f>
        <v/>
      </c>
      <c r="J2057" s="2" t="str">
        <f aca="false">IF($G2057="","","space")</f>
        <v/>
      </c>
      <c r="K2057" s="2" t="str">
        <f aca="false">""</f>
        <v/>
      </c>
      <c r="L2057" s="2" t="str">
        <f aca="false">IF($G2057="","","同時")</f>
        <v/>
      </c>
      <c r="M2057" s="2" t="str">
        <f aca="false">IF($G2057="","",IF(ISNA(MATCH($G2057,個別指定!$A:$A,0)),"行なし",""))</f>
        <v/>
      </c>
      <c r="N2057" s="2" t="str">
        <f aca="false">IF($G2057="","",IF(COUNTIF($G$2:$G$4460,$G2057)&gt;1,"重複",""))</f>
        <v/>
      </c>
    </row>
    <row r="2058" customFormat="false" ht="16.5" hidden="false" customHeight="true" outlineLevel="0" collapsed="false">
      <c r="A2058" s="2" t="s">
        <v>416</v>
      </c>
      <c r="B2058" s="2" t="s">
        <v>427</v>
      </c>
      <c r="C2058" s="2" t="s">
        <v>45</v>
      </c>
      <c r="D2058" s="2" t="str">
        <f aca="false">IF(3キー同時!$B$136="","",3キー同時!$B$136)</f>
        <v>v</v>
      </c>
      <c r="E2058" s="2" t="str">
        <f aca="false">IF(3キー同時!$G$136="","",3キー同時!$G$136)</f>
        <v>o</v>
      </c>
      <c r="F2058" s="2" t="str">
        <f aca="false">""</f>
        <v/>
      </c>
      <c r="G2058" s="2" t="str">
        <f aca="false">IF(OR(3キー同時!$B$136="",3キー同時!$G$136=""),"",IF(3キー同時!AL146="","",SUBSTITUTE(SUBSTITUTE(3キー同時!AL146," ",""),"　","")))</f>
        <v/>
      </c>
      <c r="H2058" s="2" t="str">
        <f aca="false">IF($G2058="","",3キー同時!$B$136)</f>
        <v/>
      </c>
      <c r="I2058" s="2" t="str">
        <f aca="false">IF($G2058="","",3キー同時!$G$136)</f>
        <v/>
      </c>
      <c r="J2058" s="2" t="str">
        <f aca="false">IF($G2058="","","henkan")</f>
        <v/>
      </c>
      <c r="K2058" s="2" t="str">
        <f aca="false">""</f>
        <v/>
      </c>
      <c r="L2058" s="2" t="str">
        <f aca="false">IF($G2058="","","同時")</f>
        <v/>
      </c>
      <c r="M2058" s="2" t="str">
        <f aca="false">IF($G2058="","",IF(ISNA(MATCH($G2058,個別指定!$A:$A,0)),"行なし",""))</f>
        <v/>
      </c>
      <c r="N2058" s="2" t="str">
        <f aca="false">IF($G2058="","",IF(COUNTIF($G$2:$G$4460,$G2058)&gt;1,"重複",""))</f>
        <v/>
      </c>
    </row>
    <row r="2059" customFormat="false" ht="16.5" hidden="false" customHeight="true" outlineLevel="0" collapsed="false">
      <c r="A2059" s="2" t="s">
        <v>416</v>
      </c>
      <c r="B2059" s="2" t="s">
        <v>427</v>
      </c>
      <c r="C2059" s="2" t="s">
        <v>46</v>
      </c>
      <c r="D2059" s="2" t="str">
        <f aca="false">IF(3キー同時!$B$136="","",3キー同時!$B$136)</f>
        <v>v</v>
      </c>
      <c r="E2059" s="2" t="str">
        <f aca="false">IF(3キー同時!$G$136="","",3キー同時!$G$136)</f>
        <v>o</v>
      </c>
      <c r="F2059" s="2" t="str">
        <f aca="false">""</f>
        <v/>
      </c>
      <c r="G2059" s="2" t="str">
        <f aca="false">IF(OR(3キー同時!$B$136="",3キー同時!$G$136=""),"",IF(3キー同時!AP146="","",SUBSTITUTE(SUBSTITUTE(3キー同時!AP146," ",""),"　","")))</f>
        <v/>
      </c>
      <c r="H2059" s="2" t="str">
        <f aca="false">IF($G2059="","",3キー同時!$B$136)</f>
        <v/>
      </c>
      <c r="I2059" s="2" t="str">
        <f aca="false">IF($G2059="","",3キー同時!$G$136)</f>
        <v/>
      </c>
      <c r="J2059" s="2" t="str">
        <f aca="false">IF($G2059="","","kana")</f>
        <v/>
      </c>
      <c r="K2059" s="2" t="str">
        <f aca="false">""</f>
        <v/>
      </c>
      <c r="L2059" s="2" t="str">
        <f aca="false">IF($G2059="","","同時")</f>
        <v/>
      </c>
      <c r="M2059" s="2" t="str">
        <f aca="false">IF($G2059="","",IF(ISNA(MATCH($G2059,個別指定!$A:$A,0)),"行なし",""))</f>
        <v/>
      </c>
      <c r="N2059" s="2" t="str">
        <f aca="false">IF($G2059="","",IF(COUNTIF($G$2:$G$4460,$G2059)&gt;1,"重複",""))</f>
        <v/>
      </c>
    </row>
    <row r="2060" customFormat="false" ht="16.5" hidden="false" customHeight="true" outlineLevel="0" collapsed="false">
      <c r="A2060" s="2" t="s">
        <v>416</v>
      </c>
      <c r="B2060" s="2" t="s">
        <v>428</v>
      </c>
      <c r="C2060" s="2" t="s">
        <v>0</v>
      </c>
      <c r="D2060" s="2" t="str">
        <f aca="false">IF(3キー同時!$B$149="","",3キー同時!$B$149)</f>
        <v>v</v>
      </c>
      <c r="E2060" s="2" t="str">
        <f aca="false">IF(3キー同時!$G$149="","",3キー同時!$G$149)</f>
        <v>k</v>
      </c>
      <c r="F2060" s="2" t="str">
        <f aca="false">""</f>
        <v/>
      </c>
      <c r="G2060" s="2" t="str">
        <f aca="false">IF(OR(3キー同時!$B$149="",3キー同時!$G$149=""),"",IF(3キー同時!F151="","",SUBSTITUTE(SUBSTITUTE(3キー同時!F151," ",""),"　","")))</f>
        <v/>
      </c>
      <c r="H2060" s="2" t="str">
        <f aca="false">IF($G2060="","",3キー同時!$B$149)</f>
        <v/>
      </c>
      <c r="I2060" s="2" t="str">
        <f aca="false">IF($G2060="","",3キー同時!$G$149)</f>
        <v/>
      </c>
      <c r="J2060" s="2" t="str">
        <f aca="false">IF($G2060="","","1")</f>
        <v/>
      </c>
      <c r="K2060" s="2" t="str">
        <f aca="false">""</f>
        <v/>
      </c>
      <c r="L2060" s="2" t="str">
        <f aca="false">IF($G2060="","","同時")</f>
        <v/>
      </c>
      <c r="M2060" s="2" t="str">
        <f aca="false">IF($G2060="","",IF(ISNA(MATCH($G2060,個別指定!$A:$A,0)),"行なし",""))</f>
        <v/>
      </c>
      <c r="N2060" s="2" t="str">
        <f aca="false">IF($G2060="","",IF(COUNTIF($G$2:$G$4460,$G2060)&gt;1,"重複",""))</f>
        <v/>
      </c>
    </row>
    <row r="2061" customFormat="false" ht="16.5" hidden="false" customHeight="true" outlineLevel="0" collapsed="false">
      <c r="A2061" s="2" t="s">
        <v>416</v>
      </c>
      <c r="B2061" s="2" t="s">
        <v>428</v>
      </c>
      <c r="C2061" s="2" t="s">
        <v>1</v>
      </c>
      <c r="D2061" s="2" t="str">
        <f aca="false">IF(3キー同時!$B$149="","",3キー同時!$B$149)</f>
        <v>v</v>
      </c>
      <c r="E2061" s="2" t="str">
        <f aca="false">IF(3キー同時!$G$149="","",3キー同時!$G$149)</f>
        <v>k</v>
      </c>
      <c r="F2061" s="2" t="str">
        <f aca="false">""</f>
        <v/>
      </c>
      <c r="G2061" s="2" t="str">
        <f aca="false">IF(OR(3キー同時!$B$149="",3キー同時!$G$149=""),"",IF(3キー同時!J151="","",SUBSTITUTE(SUBSTITUTE(3キー同時!J151," ",""),"　","")))</f>
        <v/>
      </c>
      <c r="H2061" s="2" t="str">
        <f aca="false">IF($G2061="","",3キー同時!$B$149)</f>
        <v/>
      </c>
      <c r="I2061" s="2" t="str">
        <f aca="false">IF($G2061="","",3キー同時!$G$149)</f>
        <v/>
      </c>
      <c r="J2061" s="2" t="str">
        <f aca="false">IF($G2061="","","2")</f>
        <v/>
      </c>
      <c r="K2061" s="2" t="str">
        <f aca="false">""</f>
        <v/>
      </c>
      <c r="L2061" s="2" t="str">
        <f aca="false">IF($G2061="","","同時")</f>
        <v/>
      </c>
      <c r="M2061" s="2" t="str">
        <f aca="false">IF($G2061="","",IF(ISNA(MATCH($G2061,個別指定!$A:$A,0)),"行なし",""))</f>
        <v/>
      </c>
      <c r="N2061" s="2" t="str">
        <f aca="false">IF($G2061="","",IF(COUNTIF($G$2:$G$4460,$G2061)&gt;1,"重複",""))</f>
        <v/>
      </c>
    </row>
    <row r="2062" customFormat="false" ht="16.5" hidden="false" customHeight="true" outlineLevel="0" collapsed="false">
      <c r="A2062" s="2" t="s">
        <v>416</v>
      </c>
      <c r="B2062" s="2" t="s">
        <v>428</v>
      </c>
      <c r="C2062" s="2" t="s">
        <v>2</v>
      </c>
      <c r="D2062" s="2" t="str">
        <f aca="false">IF(3キー同時!$B$149="","",3キー同時!$B$149)</f>
        <v>v</v>
      </c>
      <c r="E2062" s="2" t="str">
        <f aca="false">IF(3キー同時!$G$149="","",3キー同時!$G$149)</f>
        <v>k</v>
      </c>
      <c r="F2062" s="2" t="str">
        <f aca="false">""</f>
        <v/>
      </c>
      <c r="G2062" s="2" t="str">
        <f aca="false">IF(OR(3キー同時!$B$149="",3キー同時!$G$149=""),"",IF(3キー同時!N151="","",SUBSTITUTE(SUBSTITUTE(3キー同時!N151," ",""),"　","")))</f>
        <v/>
      </c>
      <c r="H2062" s="2" t="str">
        <f aca="false">IF($G2062="","",3キー同時!$B$149)</f>
        <v/>
      </c>
      <c r="I2062" s="2" t="str">
        <f aca="false">IF($G2062="","",3キー同時!$G$149)</f>
        <v/>
      </c>
      <c r="J2062" s="2" t="str">
        <f aca="false">IF($G2062="","","3")</f>
        <v/>
      </c>
      <c r="K2062" s="2" t="str">
        <f aca="false">""</f>
        <v/>
      </c>
      <c r="L2062" s="2" t="str">
        <f aca="false">IF($G2062="","","同時")</f>
        <v/>
      </c>
      <c r="M2062" s="2" t="str">
        <f aca="false">IF($G2062="","",IF(ISNA(MATCH($G2062,個別指定!$A:$A,0)),"行なし",""))</f>
        <v/>
      </c>
      <c r="N2062" s="2" t="str">
        <f aca="false">IF($G2062="","",IF(COUNTIF($G$2:$G$4460,$G2062)&gt;1,"重複",""))</f>
        <v/>
      </c>
    </row>
    <row r="2063" customFormat="false" ht="16.5" hidden="false" customHeight="true" outlineLevel="0" collapsed="false">
      <c r="A2063" s="2" t="s">
        <v>416</v>
      </c>
      <c r="B2063" s="2" t="s">
        <v>428</v>
      </c>
      <c r="C2063" s="2" t="s">
        <v>3</v>
      </c>
      <c r="D2063" s="2" t="str">
        <f aca="false">IF(3キー同時!$B$149="","",3キー同時!$B$149)</f>
        <v>v</v>
      </c>
      <c r="E2063" s="2" t="str">
        <f aca="false">IF(3キー同時!$G$149="","",3キー同時!$G$149)</f>
        <v>k</v>
      </c>
      <c r="F2063" s="2" t="str">
        <f aca="false">""</f>
        <v/>
      </c>
      <c r="G2063" s="2" t="str">
        <f aca="false">IF(OR(3キー同時!$B$149="",3キー同時!$G$149=""),"",IF(3キー同時!R151="","",SUBSTITUTE(SUBSTITUTE(3キー同時!R151," ",""),"　","")))</f>
        <v/>
      </c>
      <c r="H2063" s="2" t="str">
        <f aca="false">IF($G2063="","",3キー同時!$B$149)</f>
        <v/>
      </c>
      <c r="I2063" s="2" t="str">
        <f aca="false">IF($G2063="","",3キー同時!$G$149)</f>
        <v/>
      </c>
      <c r="J2063" s="2" t="str">
        <f aca="false">IF($G2063="","","4")</f>
        <v/>
      </c>
      <c r="K2063" s="2" t="str">
        <f aca="false">""</f>
        <v/>
      </c>
      <c r="L2063" s="2" t="str">
        <f aca="false">IF($G2063="","","同時")</f>
        <v/>
      </c>
      <c r="M2063" s="2" t="str">
        <f aca="false">IF($G2063="","",IF(ISNA(MATCH($G2063,個別指定!$A:$A,0)),"行なし",""))</f>
        <v/>
      </c>
      <c r="N2063" s="2" t="str">
        <f aca="false">IF($G2063="","",IF(COUNTIF($G$2:$G$4460,$G2063)&gt;1,"重複",""))</f>
        <v/>
      </c>
    </row>
    <row r="2064" customFormat="false" ht="16.5" hidden="false" customHeight="true" outlineLevel="0" collapsed="false">
      <c r="A2064" s="2" t="s">
        <v>416</v>
      </c>
      <c r="B2064" s="2" t="s">
        <v>428</v>
      </c>
      <c r="C2064" s="2" t="s">
        <v>4</v>
      </c>
      <c r="D2064" s="2" t="str">
        <f aca="false">IF(3キー同時!$B$149="","",3キー同時!$B$149)</f>
        <v>v</v>
      </c>
      <c r="E2064" s="2" t="str">
        <f aca="false">IF(3キー同時!$G$149="","",3キー同時!$G$149)</f>
        <v>k</v>
      </c>
      <c r="F2064" s="2" t="str">
        <f aca="false">""</f>
        <v/>
      </c>
      <c r="G2064" s="2" t="str">
        <f aca="false">IF(OR(3キー同時!$B$149="",3キー同時!$G$149=""),"",IF(3キー同時!V151="","",SUBSTITUTE(SUBSTITUTE(3キー同時!V151," ",""),"　","")))</f>
        <v/>
      </c>
      <c r="H2064" s="2" t="str">
        <f aca="false">IF($G2064="","",3キー同時!$B$149)</f>
        <v/>
      </c>
      <c r="I2064" s="2" t="str">
        <f aca="false">IF($G2064="","",3キー同時!$G$149)</f>
        <v/>
      </c>
      <c r="J2064" s="2" t="str">
        <f aca="false">IF($G2064="","","5")</f>
        <v/>
      </c>
      <c r="K2064" s="2" t="str">
        <f aca="false">""</f>
        <v/>
      </c>
      <c r="L2064" s="2" t="str">
        <f aca="false">IF($G2064="","","同時")</f>
        <v/>
      </c>
      <c r="M2064" s="2" t="str">
        <f aca="false">IF($G2064="","",IF(ISNA(MATCH($G2064,個別指定!$A:$A,0)),"行なし",""))</f>
        <v/>
      </c>
      <c r="N2064" s="2" t="str">
        <f aca="false">IF($G2064="","",IF(COUNTIF($G$2:$G$4460,$G2064)&gt;1,"重複",""))</f>
        <v/>
      </c>
    </row>
    <row r="2065" customFormat="false" ht="16.5" hidden="false" customHeight="true" outlineLevel="0" collapsed="false">
      <c r="A2065" s="2" t="s">
        <v>416</v>
      </c>
      <c r="B2065" s="2" t="s">
        <v>428</v>
      </c>
      <c r="C2065" s="2" t="s">
        <v>5</v>
      </c>
      <c r="D2065" s="2" t="str">
        <f aca="false">IF(3キー同時!$B$149="","",3キー同時!$B$149)</f>
        <v>v</v>
      </c>
      <c r="E2065" s="2" t="str">
        <f aca="false">IF(3キー同時!$G$149="","",3キー同時!$G$149)</f>
        <v>k</v>
      </c>
      <c r="F2065" s="2" t="str">
        <f aca="false">""</f>
        <v/>
      </c>
      <c r="G2065" s="2" t="str">
        <f aca="false">IF(OR(3キー同時!$B$149="",3キー同時!$G$149=""),"",IF(3キー同時!Z151="","",SUBSTITUTE(SUBSTITUTE(3キー同時!Z151," ",""),"　","")))</f>
        <v/>
      </c>
      <c r="H2065" s="2" t="str">
        <f aca="false">IF($G2065="","",3キー同時!$B$149)</f>
        <v/>
      </c>
      <c r="I2065" s="2" t="str">
        <f aca="false">IF($G2065="","",3キー同時!$G$149)</f>
        <v/>
      </c>
      <c r="J2065" s="2" t="str">
        <f aca="false">IF($G2065="","","6")</f>
        <v/>
      </c>
      <c r="K2065" s="2" t="str">
        <f aca="false">""</f>
        <v/>
      </c>
      <c r="L2065" s="2" t="str">
        <f aca="false">IF($G2065="","","同時")</f>
        <v/>
      </c>
      <c r="M2065" s="2" t="str">
        <f aca="false">IF($G2065="","",IF(ISNA(MATCH($G2065,個別指定!$A:$A,0)),"行なし",""))</f>
        <v/>
      </c>
      <c r="N2065" s="2" t="str">
        <f aca="false">IF($G2065="","",IF(COUNTIF($G$2:$G$4460,$G2065)&gt;1,"重複",""))</f>
        <v/>
      </c>
    </row>
    <row r="2066" customFormat="false" ht="16.5" hidden="false" customHeight="true" outlineLevel="0" collapsed="false">
      <c r="A2066" s="2" t="s">
        <v>416</v>
      </c>
      <c r="B2066" s="2" t="s">
        <v>428</v>
      </c>
      <c r="C2066" s="2" t="s">
        <v>6</v>
      </c>
      <c r="D2066" s="2" t="str">
        <f aca="false">IF(3キー同時!$B$149="","",3キー同時!$B$149)</f>
        <v>v</v>
      </c>
      <c r="E2066" s="2" t="str">
        <f aca="false">IF(3キー同時!$G$149="","",3キー同時!$G$149)</f>
        <v>k</v>
      </c>
      <c r="F2066" s="2" t="str">
        <f aca="false">""</f>
        <v/>
      </c>
      <c r="G2066" s="2" t="str">
        <f aca="false">IF(OR(3キー同時!$B$149="",3キー同時!$G$149=""),"",IF(3キー同時!AD151="","",SUBSTITUTE(SUBSTITUTE(3キー同時!AD151," ",""),"　","")))</f>
        <v/>
      </c>
      <c r="H2066" s="2" t="str">
        <f aca="false">IF($G2066="","",3キー同時!$B$149)</f>
        <v/>
      </c>
      <c r="I2066" s="2" t="str">
        <f aca="false">IF($G2066="","",3キー同時!$G$149)</f>
        <v/>
      </c>
      <c r="J2066" s="2" t="str">
        <f aca="false">IF($G2066="","","7")</f>
        <v/>
      </c>
      <c r="K2066" s="2" t="str">
        <f aca="false">""</f>
        <v/>
      </c>
      <c r="L2066" s="2" t="str">
        <f aca="false">IF($G2066="","","同時")</f>
        <v/>
      </c>
      <c r="M2066" s="2" t="str">
        <f aca="false">IF($G2066="","",IF(ISNA(MATCH($G2066,個別指定!$A:$A,0)),"行なし",""))</f>
        <v/>
      </c>
      <c r="N2066" s="2" t="str">
        <f aca="false">IF($G2066="","",IF(COUNTIF($G$2:$G$4460,$G2066)&gt;1,"重複",""))</f>
        <v/>
      </c>
    </row>
    <row r="2067" customFormat="false" ht="16.5" hidden="false" customHeight="true" outlineLevel="0" collapsed="false">
      <c r="A2067" s="2" t="s">
        <v>416</v>
      </c>
      <c r="B2067" s="2" t="s">
        <v>428</v>
      </c>
      <c r="C2067" s="2" t="s">
        <v>7</v>
      </c>
      <c r="D2067" s="2" t="str">
        <f aca="false">IF(3キー同時!$B$149="","",3キー同時!$B$149)</f>
        <v>v</v>
      </c>
      <c r="E2067" s="2" t="str">
        <f aca="false">IF(3キー同時!$G$149="","",3キー同時!$G$149)</f>
        <v>k</v>
      </c>
      <c r="F2067" s="2" t="str">
        <f aca="false">""</f>
        <v/>
      </c>
      <c r="G2067" s="2" t="str">
        <f aca="false">IF(OR(3キー同時!$B$149="",3キー同時!$G$149=""),"",IF(3キー同時!AH151="","",SUBSTITUTE(SUBSTITUTE(3キー同時!AH151," ",""),"　","")))</f>
        <v/>
      </c>
      <c r="H2067" s="2" t="str">
        <f aca="false">IF($G2067="","",3キー同時!$B$149)</f>
        <v/>
      </c>
      <c r="I2067" s="2" t="str">
        <f aca="false">IF($G2067="","",3キー同時!$G$149)</f>
        <v/>
      </c>
      <c r="J2067" s="2" t="str">
        <f aca="false">IF($G2067="","","8")</f>
        <v/>
      </c>
      <c r="K2067" s="2" t="str">
        <f aca="false">""</f>
        <v/>
      </c>
      <c r="L2067" s="2" t="str">
        <f aca="false">IF($G2067="","","同時")</f>
        <v/>
      </c>
      <c r="M2067" s="2" t="str">
        <f aca="false">IF($G2067="","",IF(ISNA(MATCH($G2067,個別指定!$A:$A,0)),"行なし",""))</f>
        <v/>
      </c>
      <c r="N2067" s="2" t="str">
        <f aca="false">IF($G2067="","",IF(COUNTIF($G$2:$G$4460,$G2067)&gt;1,"重複",""))</f>
        <v/>
      </c>
    </row>
    <row r="2068" customFormat="false" ht="16.5" hidden="false" customHeight="true" outlineLevel="0" collapsed="false">
      <c r="A2068" s="2" t="s">
        <v>416</v>
      </c>
      <c r="B2068" s="2" t="s">
        <v>428</v>
      </c>
      <c r="C2068" s="2" t="s">
        <v>8</v>
      </c>
      <c r="D2068" s="2" t="str">
        <f aca="false">IF(3キー同時!$B$149="","",3キー同時!$B$149)</f>
        <v>v</v>
      </c>
      <c r="E2068" s="2" t="str">
        <f aca="false">IF(3キー同時!$G$149="","",3キー同時!$G$149)</f>
        <v>k</v>
      </c>
      <c r="F2068" s="2" t="str">
        <f aca="false">""</f>
        <v/>
      </c>
      <c r="G2068" s="2" t="str">
        <f aca="false">IF(OR(3キー同時!$B$149="",3キー同時!$G$149=""),"",IF(3キー同時!AL151="","",SUBSTITUTE(SUBSTITUTE(3キー同時!AL151," ",""),"　","")))</f>
        <v/>
      </c>
      <c r="H2068" s="2" t="str">
        <f aca="false">IF($G2068="","",3キー同時!$B$149)</f>
        <v/>
      </c>
      <c r="I2068" s="2" t="str">
        <f aca="false">IF($G2068="","",3キー同時!$G$149)</f>
        <v/>
      </c>
      <c r="J2068" s="2" t="str">
        <f aca="false">IF($G2068="","","9")</f>
        <v/>
      </c>
      <c r="K2068" s="2" t="str">
        <f aca="false">""</f>
        <v/>
      </c>
      <c r="L2068" s="2" t="str">
        <f aca="false">IF($G2068="","","同時")</f>
        <v/>
      </c>
      <c r="M2068" s="2" t="str">
        <f aca="false">IF($G2068="","",IF(ISNA(MATCH($G2068,個別指定!$A:$A,0)),"行なし",""))</f>
        <v/>
      </c>
      <c r="N2068" s="2" t="str">
        <f aca="false">IF($G2068="","",IF(COUNTIF($G$2:$G$4460,$G2068)&gt;1,"重複",""))</f>
        <v/>
      </c>
    </row>
    <row r="2069" customFormat="false" ht="16.5" hidden="false" customHeight="true" outlineLevel="0" collapsed="false">
      <c r="A2069" s="2" t="s">
        <v>416</v>
      </c>
      <c r="B2069" s="2" t="s">
        <v>428</v>
      </c>
      <c r="C2069" s="2" t="s">
        <v>9</v>
      </c>
      <c r="D2069" s="2" t="str">
        <f aca="false">IF(3キー同時!$B$149="","",3キー同時!$B$149)</f>
        <v>v</v>
      </c>
      <c r="E2069" s="2" t="str">
        <f aca="false">IF(3キー同時!$G$149="","",3キー同時!$G$149)</f>
        <v>k</v>
      </c>
      <c r="F2069" s="2" t="str">
        <f aca="false">""</f>
        <v/>
      </c>
      <c r="G2069" s="2" t="str">
        <f aca="false">IF(OR(3キー同時!$B$149="",3キー同時!$G$149=""),"",IF(3キー同時!AP151="","",SUBSTITUTE(SUBSTITUTE(3キー同時!AP151," ",""),"　","")))</f>
        <v/>
      </c>
      <c r="H2069" s="2" t="str">
        <f aca="false">IF($G2069="","",3キー同時!$B$149)</f>
        <v/>
      </c>
      <c r="I2069" s="2" t="str">
        <f aca="false">IF($G2069="","",3キー同時!$G$149)</f>
        <v/>
      </c>
      <c r="J2069" s="2" t="str">
        <f aca="false">IF($G2069="","","0")</f>
        <v/>
      </c>
      <c r="K2069" s="2" t="str">
        <f aca="false">""</f>
        <v/>
      </c>
      <c r="L2069" s="2" t="str">
        <f aca="false">IF($G2069="","","同時")</f>
        <v/>
      </c>
      <c r="M2069" s="2" t="str">
        <f aca="false">IF($G2069="","",IF(ISNA(MATCH($G2069,個別指定!$A:$A,0)),"行なし",""))</f>
        <v/>
      </c>
      <c r="N2069" s="2" t="str">
        <f aca="false">IF($G2069="","",IF(COUNTIF($G$2:$G$4460,$G2069)&gt;1,"重複",""))</f>
        <v/>
      </c>
    </row>
    <row r="2070" customFormat="false" ht="16.5" hidden="false" customHeight="true" outlineLevel="0" collapsed="false">
      <c r="A2070" s="2" t="s">
        <v>416</v>
      </c>
      <c r="B2070" s="2" t="s">
        <v>428</v>
      </c>
      <c r="C2070" s="2" t="s">
        <v>10</v>
      </c>
      <c r="D2070" s="2" t="str">
        <f aca="false">IF(3キー同時!$B$149="","",3キー同時!$B$149)</f>
        <v>v</v>
      </c>
      <c r="E2070" s="2" t="str">
        <f aca="false">IF(3キー同時!$G$149="","",3キー同時!$G$149)</f>
        <v>k</v>
      </c>
      <c r="F2070" s="2" t="str">
        <f aca="false">""</f>
        <v/>
      </c>
      <c r="G2070" s="2" t="str">
        <f aca="false">IF(OR(3キー同時!$B$149="",3キー同時!$G$149=""),"",IF(3キー同時!AT151="","",SUBSTITUTE(SUBSTITUTE(3キー同時!AT151," ",""),"　","")))</f>
        <v/>
      </c>
      <c r="H2070" s="2" t="str">
        <f aca="false">IF($G2070="","",3キー同時!$B$149)</f>
        <v/>
      </c>
      <c r="I2070" s="2" t="str">
        <f aca="false">IF($G2070="","",3キー同時!$G$149)</f>
        <v/>
      </c>
      <c r="J2070" s="2" t="str">
        <f aca="false">IF($G2070="","","-")</f>
        <v/>
      </c>
      <c r="K2070" s="2" t="str">
        <f aca="false">""</f>
        <v/>
      </c>
      <c r="L2070" s="2" t="str">
        <f aca="false">IF($G2070="","","同時")</f>
        <v/>
      </c>
      <c r="M2070" s="2" t="str">
        <f aca="false">IF($G2070="","",IF(ISNA(MATCH($G2070,個別指定!$A:$A,0)),"行なし",""))</f>
        <v/>
      </c>
      <c r="N2070" s="2" t="str">
        <f aca="false">IF($G2070="","",IF(COUNTIF($G$2:$G$4460,$G2070)&gt;1,"重複",""))</f>
        <v/>
      </c>
    </row>
    <row r="2071" customFormat="false" ht="16.5" hidden="false" customHeight="true" outlineLevel="0" collapsed="false">
      <c r="A2071" s="2" t="s">
        <v>416</v>
      </c>
      <c r="B2071" s="2" t="s">
        <v>428</v>
      </c>
      <c r="C2071" s="2" t="s">
        <v>11</v>
      </c>
      <c r="D2071" s="2" t="str">
        <f aca="false">IF(3キー同時!$B$149="","",3キー同時!$B$149)</f>
        <v>v</v>
      </c>
      <c r="E2071" s="2" t="str">
        <f aca="false">IF(3キー同時!$G$149="","",3キー同時!$G$149)</f>
        <v>k</v>
      </c>
      <c r="F2071" s="2" t="str">
        <f aca="false">""</f>
        <v/>
      </c>
      <c r="G2071" s="2" t="str">
        <f aca="false">IF(OR(3キー同時!$B$149="",3キー同時!$G$149=""),"",IF(3キー同時!AX151="","",SUBSTITUTE(SUBSTITUTE(3キー同時!AX151," ",""),"　","")))</f>
        <v/>
      </c>
      <c r="H2071" s="2" t="str">
        <f aca="false">IF($G2071="","",3キー同時!$B$149)</f>
        <v/>
      </c>
      <c r="I2071" s="2" t="str">
        <f aca="false">IF($G2071="","",3キー同時!$G$149)</f>
        <v/>
      </c>
      <c r="J2071" s="2" t="str">
        <f aca="false">IF($G2071="","","=")</f>
        <v/>
      </c>
      <c r="K2071" s="2" t="str">
        <f aca="false">""</f>
        <v/>
      </c>
      <c r="L2071" s="2" t="str">
        <f aca="false">IF($G2071="","","同時")</f>
        <v/>
      </c>
      <c r="M2071" s="2" t="str">
        <f aca="false">IF($G2071="","",IF(ISNA(MATCH($G2071,個別指定!$A:$A,0)),"行なし",""))</f>
        <v/>
      </c>
      <c r="N2071" s="2" t="str">
        <f aca="false">IF($G2071="","",IF(COUNTIF($G$2:$G$4460,$G2071)&gt;1,"重複",""))</f>
        <v/>
      </c>
    </row>
    <row r="2072" customFormat="false" ht="16.5" hidden="false" customHeight="true" outlineLevel="0" collapsed="false">
      <c r="A2072" s="2" t="s">
        <v>416</v>
      </c>
      <c r="B2072" s="2" t="s">
        <v>428</v>
      </c>
      <c r="C2072" s="2" t="s">
        <v>12</v>
      </c>
      <c r="D2072" s="2" t="str">
        <f aca="false">IF(3キー同時!$B$149="","",3キー同時!$B$149)</f>
        <v>v</v>
      </c>
      <c r="E2072" s="2" t="str">
        <f aca="false">IF(3キー同時!$G$149="","",3キー同時!$G$149)</f>
        <v>k</v>
      </c>
      <c r="F2072" s="2" t="str">
        <f aca="false">""</f>
        <v/>
      </c>
      <c r="G2072" s="2" t="str">
        <f aca="false">IF(OR(3キー同時!$B$149="",3キー同時!$G$149=""),"",IF(3キー同時!H153="","",SUBSTITUTE(SUBSTITUTE(3キー同時!H153," ",""),"　","")))</f>
        <v/>
      </c>
      <c r="H2072" s="2" t="str">
        <f aca="false">IF($G2072="","",3キー同時!$B$149)</f>
        <v/>
      </c>
      <c r="I2072" s="2" t="str">
        <f aca="false">IF($G2072="","",3キー同時!$G$149)</f>
        <v/>
      </c>
      <c r="J2072" s="2" t="str">
        <f aca="false">IF($G2072="","","q")</f>
        <v/>
      </c>
      <c r="K2072" s="2" t="str">
        <f aca="false">""</f>
        <v/>
      </c>
      <c r="L2072" s="2" t="str">
        <f aca="false">IF($G2072="","","同時")</f>
        <v/>
      </c>
      <c r="M2072" s="2" t="str">
        <f aca="false">IF($G2072="","",IF(ISNA(MATCH($G2072,個別指定!$A:$A,0)),"行なし",""))</f>
        <v/>
      </c>
      <c r="N2072" s="2" t="str">
        <f aca="false">IF($G2072="","",IF(COUNTIF($G$2:$G$4460,$G2072)&gt;1,"重複",""))</f>
        <v/>
      </c>
    </row>
    <row r="2073" customFormat="false" ht="16.5" hidden="false" customHeight="true" outlineLevel="0" collapsed="false">
      <c r="A2073" s="2" t="s">
        <v>416</v>
      </c>
      <c r="B2073" s="2" t="s">
        <v>428</v>
      </c>
      <c r="C2073" s="2" t="s">
        <v>13</v>
      </c>
      <c r="D2073" s="2" t="str">
        <f aca="false">IF(3キー同時!$B$149="","",3キー同時!$B$149)</f>
        <v>v</v>
      </c>
      <c r="E2073" s="2" t="str">
        <f aca="false">IF(3キー同時!$G$149="","",3キー同時!$G$149)</f>
        <v>k</v>
      </c>
      <c r="F2073" s="2" t="str">
        <f aca="false">""</f>
        <v/>
      </c>
      <c r="G2073" s="2" t="str">
        <f aca="false">IF(OR(3キー同時!$B$149="",3キー同時!$G$149=""),"",IF(3キー同時!L153="","",SUBSTITUTE(SUBSTITUTE(3キー同時!L153," ",""),"　","")))</f>
        <v/>
      </c>
      <c r="H2073" s="2" t="str">
        <f aca="false">IF($G2073="","",3キー同時!$B$149)</f>
        <v/>
      </c>
      <c r="I2073" s="2" t="str">
        <f aca="false">IF($G2073="","",3キー同時!$G$149)</f>
        <v/>
      </c>
      <c r="J2073" s="2" t="str">
        <f aca="false">IF($G2073="","","w")</f>
        <v/>
      </c>
      <c r="K2073" s="2" t="str">
        <f aca="false">""</f>
        <v/>
      </c>
      <c r="L2073" s="2" t="str">
        <f aca="false">IF($G2073="","","同時")</f>
        <v/>
      </c>
      <c r="M2073" s="2" t="str">
        <f aca="false">IF($G2073="","",IF(ISNA(MATCH($G2073,個別指定!$A:$A,0)),"行なし",""))</f>
        <v/>
      </c>
      <c r="N2073" s="2" t="str">
        <f aca="false">IF($G2073="","",IF(COUNTIF($G$2:$G$4460,$G2073)&gt;1,"重複",""))</f>
        <v/>
      </c>
    </row>
    <row r="2074" customFormat="false" ht="16.5" hidden="false" customHeight="true" outlineLevel="0" collapsed="false">
      <c r="A2074" s="2" t="s">
        <v>416</v>
      </c>
      <c r="B2074" s="2" t="s">
        <v>428</v>
      </c>
      <c r="C2074" s="2" t="s">
        <v>14</v>
      </c>
      <c r="D2074" s="2" t="str">
        <f aca="false">IF(3キー同時!$B$149="","",3キー同時!$B$149)</f>
        <v>v</v>
      </c>
      <c r="E2074" s="2" t="str">
        <f aca="false">IF(3キー同時!$G$149="","",3キー同時!$G$149)</f>
        <v>k</v>
      </c>
      <c r="F2074" s="2" t="str">
        <f aca="false">""</f>
        <v/>
      </c>
      <c r="G2074" s="2" t="str">
        <f aca="false">IF(OR(3キー同時!$B$149="",3キー同時!$G$149=""),"",IF(3キー同時!P153="","",SUBSTITUTE(SUBSTITUTE(3キー同時!P153," ",""),"　","")))</f>
        <v/>
      </c>
      <c r="H2074" s="2" t="str">
        <f aca="false">IF($G2074="","",3キー同時!$B$149)</f>
        <v/>
      </c>
      <c r="I2074" s="2" t="str">
        <f aca="false">IF($G2074="","",3キー同時!$G$149)</f>
        <v/>
      </c>
      <c r="J2074" s="2" t="str">
        <f aca="false">IF($G2074="","","e")</f>
        <v/>
      </c>
      <c r="K2074" s="2" t="str">
        <f aca="false">""</f>
        <v/>
      </c>
      <c r="L2074" s="2" t="str">
        <f aca="false">IF($G2074="","","同時")</f>
        <v/>
      </c>
      <c r="M2074" s="2" t="str">
        <f aca="false">IF($G2074="","",IF(ISNA(MATCH($G2074,個別指定!$A:$A,0)),"行なし",""))</f>
        <v/>
      </c>
      <c r="N2074" s="2" t="str">
        <f aca="false">IF($G2074="","",IF(COUNTIF($G$2:$G$4460,$G2074)&gt;1,"重複",""))</f>
        <v/>
      </c>
    </row>
    <row r="2075" customFormat="false" ht="16.5" hidden="false" customHeight="true" outlineLevel="0" collapsed="false">
      <c r="A2075" s="2" t="s">
        <v>416</v>
      </c>
      <c r="B2075" s="2" t="s">
        <v>428</v>
      </c>
      <c r="C2075" s="2" t="s">
        <v>15</v>
      </c>
      <c r="D2075" s="2" t="str">
        <f aca="false">IF(3キー同時!$B$149="","",3キー同時!$B$149)</f>
        <v>v</v>
      </c>
      <c r="E2075" s="2" t="str">
        <f aca="false">IF(3キー同時!$G$149="","",3キー同時!$G$149)</f>
        <v>k</v>
      </c>
      <c r="F2075" s="2" t="str">
        <f aca="false">""</f>
        <v/>
      </c>
      <c r="G2075" s="2" t="str">
        <f aca="false">IF(OR(3キー同時!$B$149="",3キー同時!$G$149=""),"",IF(3キー同時!T153="","",SUBSTITUTE(SUBSTITUTE(3キー同時!T153," ",""),"　","")))</f>
        <v/>
      </c>
      <c r="H2075" s="2" t="str">
        <f aca="false">IF($G2075="","",3キー同時!$B$149)</f>
        <v/>
      </c>
      <c r="I2075" s="2" t="str">
        <f aca="false">IF($G2075="","",3キー同時!$G$149)</f>
        <v/>
      </c>
      <c r="J2075" s="2" t="str">
        <f aca="false">IF($G2075="","","r")</f>
        <v/>
      </c>
      <c r="K2075" s="2" t="str">
        <f aca="false">""</f>
        <v/>
      </c>
      <c r="L2075" s="2" t="str">
        <f aca="false">IF($G2075="","","同時")</f>
        <v/>
      </c>
      <c r="M2075" s="2" t="str">
        <f aca="false">IF($G2075="","",IF(ISNA(MATCH($G2075,個別指定!$A:$A,0)),"行なし",""))</f>
        <v/>
      </c>
      <c r="N2075" s="2" t="str">
        <f aca="false">IF($G2075="","",IF(COUNTIF($G$2:$G$4460,$G2075)&gt;1,"重複",""))</f>
        <v/>
      </c>
    </row>
    <row r="2076" customFormat="false" ht="16.5" hidden="false" customHeight="true" outlineLevel="0" collapsed="false">
      <c r="A2076" s="2" t="s">
        <v>416</v>
      </c>
      <c r="B2076" s="2" t="s">
        <v>428</v>
      </c>
      <c r="C2076" s="2" t="s">
        <v>16</v>
      </c>
      <c r="D2076" s="2" t="str">
        <f aca="false">IF(3キー同時!$B$149="","",3キー同時!$B$149)</f>
        <v>v</v>
      </c>
      <c r="E2076" s="2" t="str">
        <f aca="false">IF(3キー同時!$G$149="","",3キー同時!$G$149)</f>
        <v>k</v>
      </c>
      <c r="F2076" s="2" t="str">
        <f aca="false">""</f>
        <v/>
      </c>
      <c r="G2076" s="2" t="str">
        <f aca="false">IF(OR(3キー同時!$B$149="",3キー同時!$G$149=""),"",IF(3キー同時!X153="","",SUBSTITUTE(SUBSTITUTE(3キー同時!X153," ",""),"　","")))</f>
        <v/>
      </c>
      <c r="H2076" s="2" t="str">
        <f aca="false">IF($G2076="","",3キー同時!$B$149)</f>
        <v/>
      </c>
      <c r="I2076" s="2" t="str">
        <f aca="false">IF($G2076="","",3キー同時!$G$149)</f>
        <v/>
      </c>
      <c r="J2076" s="2" t="str">
        <f aca="false">IF($G2076="","","t")</f>
        <v/>
      </c>
      <c r="K2076" s="2" t="str">
        <f aca="false">""</f>
        <v/>
      </c>
      <c r="L2076" s="2" t="str">
        <f aca="false">IF($G2076="","","同時")</f>
        <v/>
      </c>
      <c r="M2076" s="2" t="str">
        <f aca="false">IF($G2076="","",IF(ISNA(MATCH($G2076,個別指定!$A:$A,0)),"行なし",""))</f>
        <v/>
      </c>
      <c r="N2076" s="2" t="str">
        <f aca="false">IF($G2076="","",IF(COUNTIF($G$2:$G$4460,$G2076)&gt;1,"重複",""))</f>
        <v/>
      </c>
    </row>
    <row r="2077" customFormat="false" ht="16.5" hidden="false" customHeight="true" outlineLevel="0" collapsed="false">
      <c r="A2077" s="2" t="s">
        <v>416</v>
      </c>
      <c r="B2077" s="2" t="s">
        <v>428</v>
      </c>
      <c r="C2077" s="2" t="s">
        <v>17</v>
      </c>
      <c r="D2077" s="2" t="str">
        <f aca="false">IF(3キー同時!$B$149="","",3キー同時!$B$149)</f>
        <v>v</v>
      </c>
      <c r="E2077" s="2" t="str">
        <f aca="false">IF(3キー同時!$G$149="","",3キー同時!$G$149)</f>
        <v>k</v>
      </c>
      <c r="F2077" s="2" t="str">
        <f aca="false">""</f>
        <v/>
      </c>
      <c r="G2077" s="2" t="str">
        <f aca="false">IF(OR(3キー同時!$B$149="",3キー同時!$G$149=""),"",IF(3キー同時!AB153="","",SUBSTITUTE(SUBSTITUTE(3キー同時!AB153," ",""),"　","")))</f>
        <v/>
      </c>
      <c r="H2077" s="2" t="str">
        <f aca="false">IF($G2077="","",3キー同時!$B$149)</f>
        <v/>
      </c>
      <c r="I2077" s="2" t="str">
        <f aca="false">IF($G2077="","",3キー同時!$G$149)</f>
        <v/>
      </c>
      <c r="J2077" s="2" t="str">
        <f aca="false">IF($G2077="","","y")</f>
        <v/>
      </c>
      <c r="K2077" s="2" t="str">
        <f aca="false">""</f>
        <v/>
      </c>
      <c r="L2077" s="2" t="str">
        <f aca="false">IF($G2077="","","同時")</f>
        <v/>
      </c>
      <c r="M2077" s="2" t="str">
        <f aca="false">IF($G2077="","",IF(ISNA(MATCH($G2077,個別指定!$A:$A,0)),"行なし",""))</f>
        <v/>
      </c>
      <c r="N2077" s="2" t="str">
        <f aca="false">IF($G2077="","",IF(COUNTIF($G$2:$G$4460,$G2077)&gt;1,"重複",""))</f>
        <v/>
      </c>
    </row>
    <row r="2078" customFormat="false" ht="16.5" hidden="false" customHeight="true" outlineLevel="0" collapsed="false">
      <c r="A2078" s="2" t="s">
        <v>416</v>
      </c>
      <c r="B2078" s="2" t="s">
        <v>428</v>
      </c>
      <c r="C2078" s="2" t="s">
        <v>18</v>
      </c>
      <c r="D2078" s="2" t="str">
        <f aca="false">IF(3キー同時!$B$149="","",3キー同時!$B$149)</f>
        <v>v</v>
      </c>
      <c r="E2078" s="2" t="str">
        <f aca="false">IF(3キー同時!$G$149="","",3キー同時!$G$149)</f>
        <v>k</v>
      </c>
      <c r="F2078" s="2" t="str">
        <f aca="false">""</f>
        <v/>
      </c>
      <c r="G2078" s="2" t="str">
        <f aca="false">IF(OR(3キー同時!$B$149="",3キー同時!$G$149=""),"",IF(3キー同時!AF153="","",SUBSTITUTE(SUBSTITUTE(3キー同時!AF153," ",""),"　","")))</f>
        <v/>
      </c>
      <c r="H2078" s="2" t="str">
        <f aca="false">IF($G2078="","",3キー同時!$B$149)</f>
        <v/>
      </c>
      <c r="I2078" s="2" t="str">
        <f aca="false">IF($G2078="","",3キー同時!$G$149)</f>
        <v/>
      </c>
      <c r="J2078" s="2" t="str">
        <f aca="false">IF($G2078="","","u")</f>
        <v/>
      </c>
      <c r="K2078" s="2" t="str">
        <f aca="false">""</f>
        <v/>
      </c>
      <c r="L2078" s="2" t="str">
        <f aca="false">IF($G2078="","","同時")</f>
        <v/>
      </c>
      <c r="M2078" s="2" t="str">
        <f aca="false">IF($G2078="","",IF(ISNA(MATCH($G2078,個別指定!$A:$A,0)),"行なし",""))</f>
        <v/>
      </c>
      <c r="N2078" s="2" t="str">
        <f aca="false">IF($G2078="","",IF(COUNTIF($G$2:$G$4460,$G2078)&gt;1,"重複",""))</f>
        <v/>
      </c>
    </row>
    <row r="2079" customFormat="false" ht="16.5" hidden="false" customHeight="true" outlineLevel="0" collapsed="false">
      <c r="A2079" s="2" t="s">
        <v>416</v>
      </c>
      <c r="B2079" s="2" t="s">
        <v>428</v>
      </c>
      <c r="C2079" s="2" t="s">
        <v>19</v>
      </c>
      <c r="D2079" s="2" t="str">
        <f aca="false">IF(3キー同時!$B$149="","",3キー同時!$B$149)</f>
        <v>v</v>
      </c>
      <c r="E2079" s="2" t="str">
        <f aca="false">IF(3キー同時!$G$149="","",3キー同時!$G$149)</f>
        <v>k</v>
      </c>
      <c r="F2079" s="2" t="str">
        <f aca="false">""</f>
        <v/>
      </c>
      <c r="G2079" s="2" t="str">
        <f aca="false">IF(OR(3キー同時!$B$149="",3キー同時!$G$149=""),"",IF(3キー同時!AJ153="","",SUBSTITUTE(SUBSTITUTE(3キー同時!AJ153," ",""),"　","")))</f>
        <v/>
      </c>
      <c r="H2079" s="2" t="str">
        <f aca="false">IF($G2079="","",3キー同時!$B$149)</f>
        <v/>
      </c>
      <c r="I2079" s="2" t="str">
        <f aca="false">IF($G2079="","",3キー同時!$G$149)</f>
        <v/>
      </c>
      <c r="J2079" s="2" t="str">
        <f aca="false">IF($G2079="","","i")</f>
        <v/>
      </c>
      <c r="K2079" s="2" t="str">
        <f aca="false">""</f>
        <v/>
      </c>
      <c r="L2079" s="2" t="str">
        <f aca="false">IF($G2079="","","同時")</f>
        <v/>
      </c>
      <c r="M2079" s="2" t="str">
        <f aca="false">IF($G2079="","",IF(ISNA(MATCH($G2079,個別指定!$A:$A,0)),"行なし",""))</f>
        <v/>
      </c>
      <c r="N2079" s="2" t="str">
        <f aca="false">IF($G2079="","",IF(COUNTIF($G$2:$G$4460,$G2079)&gt;1,"重複",""))</f>
        <v/>
      </c>
    </row>
    <row r="2080" customFormat="false" ht="16.5" hidden="false" customHeight="true" outlineLevel="0" collapsed="false">
      <c r="A2080" s="2" t="s">
        <v>416</v>
      </c>
      <c r="B2080" s="2" t="s">
        <v>428</v>
      </c>
      <c r="C2080" s="2" t="s">
        <v>20</v>
      </c>
      <c r="D2080" s="2" t="str">
        <f aca="false">IF(3キー同時!$B$149="","",3キー同時!$B$149)</f>
        <v>v</v>
      </c>
      <c r="E2080" s="2" t="str">
        <f aca="false">IF(3キー同時!$G$149="","",3キー同時!$G$149)</f>
        <v>k</v>
      </c>
      <c r="F2080" s="2" t="str">
        <f aca="false">""</f>
        <v/>
      </c>
      <c r="G2080" s="2" t="str">
        <f aca="false">IF(OR(3キー同時!$B$149="",3キー同時!$G$149=""),"",IF(3キー同時!AN153="","",SUBSTITUTE(SUBSTITUTE(3キー同時!AN153," ",""),"　","")))</f>
        <v/>
      </c>
      <c r="H2080" s="2" t="str">
        <f aca="false">IF($G2080="","",3キー同時!$B$149)</f>
        <v/>
      </c>
      <c r="I2080" s="2" t="str">
        <f aca="false">IF($G2080="","",3キー同時!$G$149)</f>
        <v/>
      </c>
      <c r="J2080" s="2" t="str">
        <f aca="false">IF($G2080="","","o")</f>
        <v/>
      </c>
      <c r="K2080" s="2" t="str">
        <f aca="false">""</f>
        <v/>
      </c>
      <c r="L2080" s="2" t="str">
        <f aca="false">IF($G2080="","","同時")</f>
        <v/>
      </c>
      <c r="M2080" s="2" t="str">
        <f aca="false">IF($G2080="","",IF(ISNA(MATCH($G2080,個別指定!$A:$A,0)),"行なし",""))</f>
        <v/>
      </c>
      <c r="N2080" s="2" t="str">
        <f aca="false">IF($G2080="","",IF(COUNTIF($G$2:$G$4460,$G2080)&gt;1,"重複",""))</f>
        <v/>
      </c>
    </row>
    <row r="2081" customFormat="false" ht="16.5" hidden="false" customHeight="true" outlineLevel="0" collapsed="false">
      <c r="A2081" s="2" t="s">
        <v>416</v>
      </c>
      <c r="B2081" s="2" t="s">
        <v>428</v>
      </c>
      <c r="C2081" s="2" t="s">
        <v>21</v>
      </c>
      <c r="D2081" s="2" t="str">
        <f aca="false">IF(3キー同時!$B$149="","",3キー同時!$B$149)</f>
        <v>v</v>
      </c>
      <c r="E2081" s="2" t="str">
        <f aca="false">IF(3キー同時!$G$149="","",3キー同時!$G$149)</f>
        <v>k</v>
      </c>
      <c r="F2081" s="2" t="str">
        <f aca="false">""</f>
        <v/>
      </c>
      <c r="G2081" s="2" t="str">
        <f aca="false">IF(OR(3キー同時!$B$149="",3キー同時!$G$149=""),"",IF(3キー同時!AR153="","",SUBSTITUTE(SUBSTITUTE(3キー同時!AR153," ",""),"　","")))</f>
        <v/>
      </c>
      <c r="H2081" s="2" t="str">
        <f aca="false">IF($G2081="","",3キー同時!$B$149)</f>
        <v/>
      </c>
      <c r="I2081" s="2" t="str">
        <f aca="false">IF($G2081="","",3キー同時!$G$149)</f>
        <v/>
      </c>
      <c r="J2081" s="2" t="str">
        <f aca="false">IF($G2081="","","p")</f>
        <v/>
      </c>
      <c r="K2081" s="2" t="str">
        <f aca="false">""</f>
        <v/>
      </c>
      <c r="L2081" s="2" t="str">
        <f aca="false">IF($G2081="","","同時")</f>
        <v/>
      </c>
      <c r="M2081" s="2" t="str">
        <f aca="false">IF($G2081="","",IF(ISNA(MATCH($G2081,個別指定!$A:$A,0)),"行なし",""))</f>
        <v/>
      </c>
      <c r="N2081" s="2" t="str">
        <f aca="false">IF($G2081="","",IF(COUNTIF($G$2:$G$4460,$G2081)&gt;1,"重複",""))</f>
        <v/>
      </c>
    </row>
    <row r="2082" customFormat="false" ht="16.5" hidden="false" customHeight="true" outlineLevel="0" collapsed="false">
      <c r="A2082" s="2" t="s">
        <v>416</v>
      </c>
      <c r="B2082" s="2" t="s">
        <v>428</v>
      </c>
      <c r="C2082" s="2" t="s">
        <v>22</v>
      </c>
      <c r="D2082" s="2" t="str">
        <f aca="false">IF(3キー同時!$B$149="","",3キー同時!$B$149)</f>
        <v>v</v>
      </c>
      <c r="E2082" s="2" t="str">
        <f aca="false">IF(3キー同時!$G$149="","",3キー同時!$G$149)</f>
        <v>k</v>
      </c>
      <c r="F2082" s="2" t="str">
        <f aca="false">""</f>
        <v/>
      </c>
      <c r="G2082" s="2" t="str">
        <f aca="false">IF(OR(3キー同時!$B$149="",3キー同時!$G$149=""),"",IF(3キー同時!AV153="","",SUBSTITUTE(SUBSTITUTE(3キー同時!AV153," ",""),"　","")))</f>
        <v/>
      </c>
      <c r="H2082" s="2" t="str">
        <f aca="false">IF($G2082="","",3キー同時!$B$149)</f>
        <v/>
      </c>
      <c r="I2082" s="2" t="str">
        <f aca="false">IF($G2082="","",3キー同時!$G$149)</f>
        <v/>
      </c>
      <c r="J2082" s="2" t="str">
        <f aca="false">IF($G2082="","","[")</f>
        <v/>
      </c>
      <c r="K2082" s="2" t="str">
        <f aca="false">""</f>
        <v/>
      </c>
      <c r="L2082" s="2" t="str">
        <f aca="false">IF($G2082="","","同時")</f>
        <v/>
      </c>
      <c r="M2082" s="2" t="str">
        <f aca="false">IF($G2082="","",IF(ISNA(MATCH($G2082,個別指定!$A:$A,0)),"行なし",""))</f>
        <v/>
      </c>
      <c r="N2082" s="2" t="str">
        <f aca="false">IF($G2082="","",IF(COUNTIF($G$2:$G$4460,$G2082)&gt;1,"重複",""))</f>
        <v/>
      </c>
    </row>
    <row r="2083" customFormat="false" ht="16.5" hidden="false" customHeight="true" outlineLevel="0" collapsed="false">
      <c r="A2083" s="2" t="s">
        <v>416</v>
      </c>
      <c r="B2083" s="2" t="s">
        <v>428</v>
      </c>
      <c r="C2083" s="2" t="s">
        <v>23</v>
      </c>
      <c r="D2083" s="2" t="str">
        <f aca="false">IF(3キー同時!$B$149="","",3キー同時!$B$149)</f>
        <v>v</v>
      </c>
      <c r="E2083" s="2" t="str">
        <f aca="false">IF(3キー同時!$G$149="","",3キー同時!$G$149)</f>
        <v>k</v>
      </c>
      <c r="F2083" s="2" t="str">
        <f aca="false">""</f>
        <v/>
      </c>
      <c r="G2083" s="2" t="str">
        <f aca="false">IF(OR(3キー同時!$B$149="",3キー同時!$G$149=""),"",IF(3キー同時!AZ153="","",SUBSTITUTE(SUBSTITUTE(3キー同時!AZ153," ",""),"　","")))</f>
        <v/>
      </c>
      <c r="H2083" s="2" t="str">
        <f aca="false">IF($G2083="","",3キー同時!$B$149)</f>
        <v/>
      </c>
      <c r="I2083" s="2" t="str">
        <f aca="false">IF($G2083="","",3キー同時!$G$149)</f>
        <v/>
      </c>
      <c r="J2083" s="2" t="str">
        <f aca="false">IF($G2083="","","]")</f>
        <v/>
      </c>
      <c r="K2083" s="2" t="str">
        <f aca="false">""</f>
        <v/>
      </c>
      <c r="L2083" s="2" t="str">
        <f aca="false">IF($G2083="","","同時")</f>
        <v/>
      </c>
      <c r="M2083" s="2" t="str">
        <f aca="false">IF($G2083="","",IF(ISNA(MATCH($G2083,個別指定!$A:$A,0)),"行なし",""))</f>
        <v/>
      </c>
      <c r="N2083" s="2" t="str">
        <f aca="false">IF($G2083="","",IF(COUNTIF($G$2:$G$4460,$G2083)&gt;1,"重複",""))</f>
        <v/>
      </c>
    </row>
    <row r="2084" customFormat="false" ht="16.5" hidden="false" customHeight="true" outlineLevel="0" collapsed="false">
      <c r="A2084" s="2" t="s">
        <v>416</v>
      </c>
      <c r="B2084" s="2" t="s">
        <v>428</v>
      </c>
      <c r="C2084" s="2" t="s">
        <v>24</v>
      </c>
      <c r="D2084" s="2" t="str">
        <f aca="false">IF(3キー同時!$B$149="","",3キー同時!$B$149)</f>
        <v>v</v>
      </c>
      <c r="E2084" s="2" t="str">
        <f aca="false">IF(3キー同時!$G$149="","",3キー同時!$G$149)</f>
        <v>k</v>
      </c>
      <c r="F2084" s="2" t="str">
        <f aca="false">""</f>
        <v/>
      </c>
      <c r="G2084" s="2" t="str">
        <f aca="false">IF(OR(3キー同時!$B$149="",3キー同時!$G$149=""),"",IF(3キー同時!I155="","",SUBSTITUTE(SUBSTITUTE(3キー同時!I155," ",""),"　","")))</f>
        <v/>
      </c>
      <c r="H2084" s="2" t="str">
        <f aca="false">IF($G2084="","",3キー同時!$B$149)</f>
        <v/>
      </c>
      <c r="I2084" s="2" t="str">
        <f aca="false">IF($G2084="","",3キー同時!$G$149)</f>
        <v/>
      </c>
      <c r="J2084" s="2" t="str">
        <f aca="false">IF($G2084="","","a")</f>
        <v/>
      </c>
      <c r="K2084" s="2" t="str">
        <f aca="false">""</f>
        <v/>
      </c>
      <c r="L2084" s="2" t="str">
        <f aca="false">IF($G2084="","","同時")</f>
        <v/>
      </c>
      <c r="M2084" s="2" t="str">
        <f aca="false">IF($G2084="","",IF(ISNA(MATCH($G2084,個別指定!$A:$A,0)),"行なし",""))</f>
        <v/>
      </c>
      <c r="N2084" s="2" t="str">
        <f aca="false">IF($G2084="","",IF(COUNTIF($G$2:$G$4460,$G2084)&gt;1,"重複",""))</f>
        <v/>
      </c>
    </row>
    <row r="2085" customFormat="false" ht="16.5" hidden="false" customHeight="true" outlineLevel="0" collapsed="false">
      <c r="A2085" s="2" t="s">
        <v>416</v>
      </c>
      <c r="B2085" s="2" t="s">
        <v>428</v>
      </c>
      <c r="C2085" s="2" t="s">
        <v>25</v>
      </c>
      <c r="D2085" s="2" t="str">
        <f aca="false">IF(3キー同時!$B$149="","",3キー同時!$B$149)</f>
        <v>v</v>
      </c>
      <c r="E2085" s="2" t="str">
        <f aca="false">IF(3キー同時!$G$149="","",3キー同時!$G$149)</f>
        <v>k</v>
      </c>
      <c r="F2085" s="2" t="str">
        <f aca="false">""</f>
        <v/>
      </c>
      <c r="G2085" s="2" t="str">
        <f aca="false">IF(OR(3キー同時!$B$149="",3キー同時!$G$149=""),"",IF(3キー同時!M155="","",SUBSTITUTE(SUBSTITUTE(3キー同時!M155," ",""),"　","")))</f>
        <v/>
      </c>
      <c r="H2085" s="2" t="str">
        <f aca="false">IF($G2085="","",3キー同時!$B$149)</f>
        <v/>
      </c>
      <c r="I2085" s="2" t="str">
        <f aca="false">IF($G2085="","",3キー同時!$G$149)</f>
        <v/>
      </c>
      <c r="J2085" s="2" t="str">
        <f aca="false">IF($G2085="","","s")</f>
        <v/>
      </c>
      <c r="K2085" s="2" t="str">
        <f aca="false">""</f>
        <v/>
      </c>
      <c r="L2085" s="2" t="str">
        <f aca="false">IF($G2085="","","同時")</f>
        <v/>
      </c>
      <c r="M2085" s="2" t="str">
        <f aca="false">IF($G2085="","",IF(ISNA(MATCH($G2085,個別指定!$A:$A,0)),"行なし",""))</f>
        <v/>
      </c>
      <c r="N2085" s="2" t="str">
        <f aca="false">IF($G2085="","",IF(COUNTIF($G$2:$G$4460,$G2085)&gt;1,"重複",""))</f>
        <v/>
      </c>
    </row>
    <row r="2086" customFormat="false" ht="16.5" hidden="false" customHeight="true" outlineLevel="0" collapsed="false">
      <c r="A2086" s="2" t="s">
        <v>416</v>
      </c>
      <c r="B2086" s="2" t="s">
        <v>428</v>
      </c>
      <c r="C2086" s="2" t="s">
        <v>26</v>
      </c>
      <c r="D2086" s="2" t="str">
        <f aca="false">IF(3キー同時!$B$149="","",3キー同時!$B$149)</f>
        <v>v</v>
      </c>
      <c r="E2086" s="2" t="str">
        <f aca="false">IF(3キー同時!$G$149="","",3キー同時!$G$149)</f>
        <v>k</v>
      </c>
      <c r="F2086" s="2" t="str">
        <f aca="false">""</f>
        <v/>
      </c>
      <c r="G2086" s="2" t="str">
        <f aca="false">IF(OR(3キー同時!$B$149="",3キー同時!$G$149=""),"",IF(3キー同時!Q155="","",SUBSTITUTE(SUBSTITUTE(3キー同時!Q155," ",""),"　","")))</f>
        <v/>
      </c>
      <c r="H2086" s="2" t="str">
        <f aca="false">IF($G2086="","",3キー同時!$B$149)</f>
        <v/>
      </c>
      <c r="I2086" s="2" t="str">
        <f aca="false">IF($G2086="","",3キー同時!$G$149)</f>
        <v/>
      </c>
      <c r="J2086" s="2" t="str">
        <f aca="false">IF($G2086="","","d")</f>
        <v/>
      </c>
      <c r="K2086" s="2" t="str">
        <f aca="false">""</f>
        <v/>
      </c>
      <c r="L2086" s="2" t="str">
        <f aca="false">IF($G2086="","","同時")</f>
        <v/>
      </c>
      <c r="M2086" s="2" t="str">
        <f aca="false">IF($G2086="","",IF(ISNA(MATCH($G2086,個別指定!$A:$A,0)),"行なし",""))</f>
        <v/>
      </c>
      <c r="N2086" s="2" t="str">
        <f aca="false">IF($G2086="","",IF(COUNTIF($G$2:$G$4460,$G2086)&gt;1,"重複",""))</f>
        <v/>
      </c>
    </row>
    <row r="2087" customFormat="false" ht="16.5" hidden="false" customHeight="true" outlineLevel="0" collapsed="false">
      <c r="A2087" s="2" t="s">
        <v>416</v>
      </c>
      <c r="B2087" s="2" t="s">
        <v>428</v>
      </c>
      <c r="C2087" s="2" t="s">
        <v>27</v>
      </c>
      <c r="D2087" s="2" t="str">
        <f aca="false">IF(3キー同時!$B$149="","",3キー同時!$B$149)</f>
        <v>v</v>
      </c>
      <c r="E2087" s="2" t="str">
        <f aca="false">IF(3キー同時!$G$149="","",3キー同時!$G$149)</f>
        <v>k</v>
      </c>
      <c r="F2087" s="2" t="str">
        <f aca="false">""</f>
        <v/>
      </c>
      <c r="G2087" s="2" t="str">
        <f aca="false">IF(OR(3キー同時!$B$149="",3キー同時!$G$149=""),"",IF(3キー同時!U155="","",SUBSTITUTE(SUBSTITUTE(3キー同時!U155," ",""),"　","")))</f>
        <v/>
      </c>
      <c r="H2087" s="2" t="str">
        <f aca="false">IF($G2087="","",3キー同時!$B$149)</f>
        <v/>
      </c>
      <c r="I2087" s="2" t="str">
        <f aca="false">IF($G2087="","",3キー同時!$G$149)</f>
        <v/>
      </c>
      <c r="J2087" s="2" t="str">
        <f aca="false">IF($G2087="","","f")</f>
        <v/>
      </c>
      <c r="K2087" s="2" t="str">
        <f aca="false">""</f>
        <v/>
      </c>
      <c r="L2087" s="2" t="str">
        <f aca="false">IF($G2087="","","同時")</f>
        <v/>
      </c>
      <c r="M2087" s="2" t="str">
        <f aca="false">IF($G2087="","",IF(ISNA(MATCH($G2087,個別指定!$A:$A,0)),"行なし",""))</f>
        <v/>
      </c>
      <c r="N2087" s="2" t="str">
        <f aca="false">IF($G2087="","",IF(COUNTIF($G$2:$G$4460,$G2087)&gt;1,"重複",""))</f>
        <v/>
      </c>
    </row>
    <row r="2088" customFormat="false" ht="16.5" hidden="false" customHeight="true" outlineLevel="0" collapsed="false">
      <c r="A2088" s="2" t="s">
        <v>416</v>
      </c>
      <c r="B2088" s="2" t="s">
        <v>428</v>
      </c>
      <c r="C2088" s="2" t="s">
        <v>28</v>
      </c>
      <c r="D2088" s="2" t="str">
        <f aca="false">IF(3キー同時!$B$149="","",3キー同時!$B$149)</f>
        <v>v</v>
      </c>
      <c r="E2088" s="2" t="str">
        <f aca="false">IF(3キー同時!$G$149="","",3キー同時!$G$149)</f>
        <v>k</v>
      </c>
      <c r="F2088" s="2" t="str">
        <f aca="false">""</f>
        <v/>
      </c>
      <c r="G2088" s="2" t="str">
        <f aca="false">IF(OR(3キー同時!$B$149="",3キー同時!$G$149=""),"",IF(3キー同時!Y155="","",SUBSTITUTE(SUBSTITUTE(3キー同時!Y155," ",""),"　","")))</f>
        <v/>
      </c>
      <c r="H2088" s="2" t="str">
        <f aca="false">IF($G2088="","",3キー同時!$B$149)</f>
        <v/>
      </c>
      <c r="I2088" s="2" t="str">
        <f aca="false">IF($G2088="","",3キー同時!$G$149)</f>
        <v/>
      </c>
      <c r="J2088" s="2" t="str">
        <f aca="false">IF($G2088="","","g")</f>
        <v/>
      </c>
      <c r="K2088" s="2" t="str">
        <f aca="false">""</f>
        <v/>
      </c>
      <c r="L2088" s="2" t="str">
        <f aca="false">IF($G2088="","","同時")</f>
        <v/>
      </c>
      <c r="M2088" s="2" t="str">
        <f aca="false">IF($G2088="","",IF(ISNA(MATCH($G2088,個別指定!$A:$A,0)),"行なし",""))</f>
        <v/>
      </c>
      <c r="N2088" s="2" t="str">
        <f aca="false">IF($G2088="","",IF(COUNTIF($G$2:$G$4460,$G2088)&gt;1,"重複",""))</f>
        <v/>
      </c>
    </row>
    <row r="2089" customFormat="false" ht="16.5" hidden="false" customHeight="true" outlineLevel="0" collapsed="false">
      <c r="A2089" s="2" t="s">
        <v>416</v>
      </c>
      <c r="B2089" s="2" t="s">
        <v>428</v>
      </c>
      <c r="C2089" s="2" t="s">
        <v>29</v>
      </c>
      <c r="D2089" s="2" t="str">
        <f aca="false">IF(3キー同時!$B$149="","",3キー同時!$B$149)</f>
        <v>v</v>
      </c>
      <c r="E2089" s="2" t="str">
        <f aca="false">IF(3キー同時!$G$149="","",3キー同時!$G$149)</f>
        <v>k</v>
      </c>
      <c r="F2089" s="2" t="str">
        <f aca="false">""</f>
        <v/>
      </c>
      <c r="G2089" s="2" t="str">
        <f aca="false">IF(OR(3キー同時!$B$149="",3キー同時!$G$149=""),"",IF(3キー同時!AC155="","",SUBSTITUTE(SUBSTITUTE(3キー同時!AC155," ",""),"　","")))</f>
        <v>くぃ</v>
      </c>
      <c r="H2089" s="2" t="str">
        <f aca="false">IF($G2089="","",3キー同時!$B$149)</f>
        <v>v</v>
      </c>
      <c r="I2089" s="2" t="str">
        <f aca="false">IF($G2089="","",3キー同時!$G$149)</f>
        <v>k</v>
      </c>
      <c r="J2089" s="2" t="str">
        <f aca="false">IF($G2089="","","h")</f>
        <v>h</v>
      </c>
      <c r="K2089" s="2" t="str">
        <f aca="false">""</f>
        <v/>
      </c>
      <c r="L2089" s="2" t="str">
        <f aca="false">IF($G2089="","","同時")</f>
        <v>同時</v>
      </c>
      <c r="M2089" s="2" t="str">
        <f aca="false">IF($G2089="","",IF(ISNA(MATCH($G2089,個別指定!$A:$A,0)),"行なし",""))</f>
        <v/>
      </c>
      <c r="N2089" s="2" t="str">
        <f aca="false">IF($G2089="","",IF(COUNTIF($G$2:$G$4460,$G2089)&gt;1,"重複",""))</f>
        <v/>
      </c>
    </row>
    <row r="2090" customFormat="false" ht="16.5" hidden="false" customHeight="true" outlineLevel="0" collapsed="false">
      <c r="A2090" s="2" t="s">
        <v>416</v>
      </c>
      <c r="B2090" s="2" t="s">
        <v>428</v>
      </c>
      <c r="C2090" s="2" t="s">
        <v>30</v>
      </c>
      <c r="D2090" s="2" t="str">
        <f aca="false">IF(3キー同時!$B$149="","",3キー同時!$B$149)</f>
        <v>v</v>
      </c>
      <c r="E2090" s="2" t="str">
        <f aca="false">IF(3キー同時!$G$149="","",3キー同時!$G$149)</f>
        <v>k</v>
      </c>
      <c r="F2090" s="2" t="str">
        <f aca="false">""</f>
        <v/>
      </c>
      <c r="G2090" s="2" t="str">
        <f aca="false">IF(OR(3キー同時!$B$149="",3キー同時!$G$149=""),"",IF(3キー同時!AG155="","",SUBSTITUTE(SUBSTITUTE(3キー同時!AG155," ",""),"　","")))</f>
        <v/>
      </c>
      <c r="H2090" s="2" t="str">
        <f aca="false">IF($G2090="","",3キー同時!$B$149)</f>
        <v/>
      </c>
      <c r="I2090" s="2" t="str">
        <f aca="false">IF($G2090="","",3キー同時!$G$149)</f>
        <v/>
      </c>
      <c r="J2090" s="2" t="str">
        <f aca="false">IF($G2090="","","j")</f>
        <v/>
      </c>
      <c r="K2090" s="2" t="str">
        <f aca="false">""</f>
        <v/>
      </c>
      <c r="L2090" s="2" t="str">
        <f aca="false">IF($G2090="","","同時")</f>
        <v/>
      </c>
      <c r="M2090" s="2" t="str">
        <f aca="false">IF($G2090="","",IF(ISNA(MATCH($G2090,個別指定!$A:$A,0)),"行なし",""))</f>
        <v/>
      </c>
      <c r="N2090" s="2" t="str">
        <f aca="false">IF($G2090="","",IF(COUNTIF($G$2:$G$4460,$G2090)&gt;1,"重複",""))</f>
        <v/>
      </c>
    </row>
    <row r="2091" customFormat="false" ht="16.5" hidden="false" customHeight="true" outlineLevel="0" collapsed="false">
      <c r="A2091" s="2" t="s">
        <v>416</v>
      </c>
      <c r="B2091" s="2" t="s">
        <v>428</v>
      </c>
      <c r="C2091" s="2" t="s">
        <v>31</v>
      </c>
      <c r="D2091" s="2" t="str">
        <f aca="false">IF(3キー同時!$B$149="","",3キー同時!$B$149)</f>
        <v>v</v>
      </c>
      <c r="E2091" s="2" t="str">
        <f aca="false">IF(3キー同時!$G$149="","",3キー同時!$G$149)</f>
        <v>k</v>
      </c>
      <c r="F2091" s="2" t="str">
        <f aca="false">""</f>
        <v/>
      </c>
      <c r="G2091" s="2" t="str">
        <f aca="false">IF(OR(3キー同時!$B$149="",3キー同時!$G$149=""),"",IF(3キー同時!AK155="","",SUBSTITUTE(SUBSTITUTE(3キー同時!AK155," ",""),"　","")))</f>
        <v/>
      </c>
      <c r="H2091" s="2" t="str">
        <f aca="false">IF($G2091="","",3キー同時!$B$149)</f>
        <v/>
      </c>
      <c r="I2091" s="2" t="str">
        <f aca="false">IF($G2091="","",3キー同時!$G$149)</f>
        <v/>
      </c>
      <c r="J2091" s="2" t="str">
        <f aca="false">IF($G2091="","","k")</f>
        <v/>
      </c>
      <c r="K2091" s="2" t="str">
        <f aca="false">""</f>
        <v/>
      </c>
      <c r="L2091" s="2" t="str">
        <f aca="false">IF($G2091="","","同時")</f>
        <v/>
      </c>
      <c r="M2091" s="2" t="str">
        <f aca="false">IF($G2091="","",IF(ISNA(MATCH($G2091,個別指定!$A:$A,0)),"行なし",""))</f>
        <v/>
      </c>
      <c r="N2091" s="2" t="str">
        <f aca="false">IF($G2091="","",IF(COUNTIF($G$2:$G$4460,$G2091)&gt;1,"重複",""))</f>
        <v/>
      </c>
    </row>
    <row r="2092" customFormat="false" ht="16.5" hidden="false" customHeight="true" outlineLevel="0" collapsed="false">
      <c r="A2092" s="2" t="s">
        <v>416</v>
      </c>
      <c r="B2092" s="2" t="s">
        <v>428</v>
      </c>
      <c r="C2092" s="2" t="s">
        <v>32</v>
      </c>
      <c r="D2092" s="2" t="str">
        <f aca="false">IF(3キー同時!$B$149="","",3キー同時!$B$149)</f>
        <v>v</v>
      </c>
      <c r="E2092" s="2" t="str">
        <f aca="false">IF(3キー同時!$G$149="","",3キー同時!$G$149)</f>
        <v>k</v>
      </c>
      <c r="F2092" s="2" t="str">
        <f aca="false">""</f>
        <v/>
      </c>
      <c r="G2092" s="2" t="str">
        <f aca="false">IF(OR(3キー同時!$B$149="",3キー同時!$G$149=""),"",IF(3キー同時!AO155="","",SUBSTITUTE(SUBSTITUTE(3キー同時!AO155," ",""),"　","")))</f>
        <v/>
      </c>
      <c r="H2092" s="2" t="str">
        <f aca="false">IF($G2092="","",3キー同時!$B$149)</f>
        <v/>
      </c>
      <c r="I2092" s="2" t="str">
        <f aca="false">IF($G2092="","",3キー同時!$G$149)</f>
        <v/>
      </c>
      <c r="J2092" s="2" t="str">
        <f aca="false">IF($G2092="","","l")</f>
        <v/>
      </c>
      <c r="K2092" s="2" t="str">
        <f aca="false">""</f>
        <v/>
      </c>
      <c r="L2092" s="2" t="str">
        <f aca="false">IF($G2092="","","同時")</f>
        <v/>
      </c>
      <c r="M2092" s="2" t="str">
        <f aca="false">IF($G2092="","",IF(ISNA(MATCH($G2092,個別指定!$A:$A,0)),"行なし",""))</f>
        <v/>
      </c>
      <c r="N2092" s="2" t="str">
        <f aca="false">IF($G2092="","",IF(COUNTIF($G$2:$G$4460,$G2092)&gt;1,"重複",""))</f>
        <v/>
      </c>
    </row>
    <row r="2093" customFormat="false" ht="16.5" hidden="false" customHeight="true" outlineLevel="0" collapsed="false">
      <c r="A2093" s="2" t="s">
        <v>416</v>
      </c>
      <c r="B2093" s="2" t="s">
        <v>428</v>
      </c>
      <c r="C2093" s="2" t="s">
        <v>33</v>
      </c>
      <c r="D2093" s="2" t="str">
        <f aca="false">IF(3キー同時!$B$149="","",3キー同時!$B$149)</f>
        <v>v</v>
      </c>
      <c r="E2093" s="2" t="str">
        <f aca="false">IF(3キー同時!$G$149="","",3キー同時!$G$149)</f>
        <v>k</v>
      </c>
      <c r="F2093" s="2" t="str">
        <f aca="false">""</f>
        <v/>
      </c>
      <c r="G2093" s="2" t="str">
        <f aca="false">IF(OR(3キー同時!$B$149="",3キー同時!$G$149=""),"",IF(3キー同時!AS155="","",SUBSTITUTE(SUBSTITUTE(3キー同時!AS155," ",""),"　","")))</f>
        <v>ふぃ</v>
      </c>
      <c r="H2093" s="2" t="str">
        <f aca="false">IF($G2093="","",3キー同時!$B$149)</f>
        <v>v</v>
      </c>
      <c r="I2093" s="2" t="str">
        <f aca="false">IF($G2093="","",3キー同時!$G$149)</f>
        <v>k</v>
      </c>
      <c r="J2093" s="2" t="str">
        <f aca="false">IF($G2093="","",";")</f>
        <v>;</v>
      </c>
      <c r="K2093" s="2" t="str">
        <f aca="false">""</f>
        <v/>
      </c>
      <c r="L2093" s="2" t="str">
        <f aca="false">IF($G2093="","","同時")</f>
        <v>同時</v>
      </c>
      <c r="M2093" s="2" t="str">
        <f aca="false">IF($G2093="","",IF(ISNA(MATCH($G2093,個別指定!$A:$A,0)),"行なし",""))</f>
        <v/>
      </c>
      <c r="N2093" s="2" t="str">
        <f aca="false">IF($G2093="","",IF(COUNTIF($G$2:$G$4460,$G2093)&gt;1,"重複",""))</f>
        <v/>
      </c>
    </row>
    <row r="2094" customFormat="false" ht="16.5" hidden="false" customHeight="true" outlineLevel="0" collapsed="false">
      <c r="A2094" s="2" t="s">
        <v>416</v>
      </c>
      <c r="B2094" s="2" t="s">
        <v>428</v>
      </c>
      <c r="C2094" s="2" t="s">
        <v>34</v>
      </c>
      <c r="D2094" s="2" t="str">
        <f aca="false">IF(3キー同時!$B$149="","",3キー同時!$B$149)</f>
        <v>v</v>
      </c>
      <c r="E2094" s="2" t="str">
        <f aca="false">IF(3キー同時!$G$149="","",3キー同時!$G$149)</f>
        <v>k</v>
      </c>
      <c r="F2094" s="2" t="str">
        <f aca="false">""</f>
        <v/>
      </c>
      <c r="G2094" s="2" t="str">
        <f aca="false">IF(OR(3キー同時!$B$149="",3キー同時!$G$149=""),"",IF(3キー同時!AW155="","",SUBSTITUTE(SUBSTITUTE(3キー同時!AW155," ",""),"　","")))</f>
        <v/>
      </c>
      <c r="H2094" s="2" t="str">
        <f aca="false">IF($G2094="","",3キー同時!$B$149)</f>
        <v/>
      </c>
      <c r="I2094" s="2" t="str">
        <f aca="false">IF($G2094="","",3キー同時!$G$149)</f>
        <v/>
      </c>
      <c r="J2094" s="2" t="str">
        <f aca="false">IF($G2094="","","'")</f>
        <v/>
      </c>
      <c r="K2094" s="2" t="str">
        <f aca="false">""</f>
        <v/>
      </c>
      <c r="L2094" s="2" t="str">
        <f aca="false">IF($G2094="","","同時")</f>
        <v/>
      </c>
      <c r="M2094" s="2" t="str">
        <f aca="false">IF($G2094="","",IF(ISNA(MATCH($G2094,個別指定!$A:$A,0)),"行なし",""))</f>
        <v/>
      </c>
      <c r="N2094" s="2" t="str">
        <f aca="false">IF($G2094="","",IF(COUNTIF($G$2:$G$4460,$G2094)&gt;1,"重複",""))</f>
        <v/>
      </c>
    </row>
    <row r="2095" customFormat="false" ht="16.5" hidden="false" customHeight="true" outlineLevel="0" collapsed="false">
      <c r="A2095" s="2" t="s">
        <v>416</v>
      </c>
      <c r="B2095" s="2" t="s">
        <v>428</v>
      </c>
      <c r="C2095" s="2" t="s">
        <v>35</v>
      </c>
      <c r="D2095" s="2" t="str">
        <f aca="false">IF(3キー同時!$B$149="","",3キー同時!$B$149)</f>
        <v>v</v>
      </c>
      <c r="E2095" s="2" t="str">
        <f aca="false">IF(3キー同時!$G$149="","",3キー同時!$G$149)</f>
        <v>k</v>
      </c>
      <c r="F2095" s="2" t="str">
        <f aca="false">""</f>
        <v/>
      </c>
      <c r="G2095" s="2" t="str">
        <f aca="false">IF(OR(3キー同時!$B$149="",3キー同時!$G$149=""),"",IF(3キー同時!K157="","",SUBSTITUTE(SUBSTITUTE(3キー同時!K157," ",""),"　","")))</f>
        <v/>
      </c>
      <c r="H2095" s="2" t="str">
        <f aca="false">IF($G2095="","",3キー同時!$B$149)</f>
        <v/>
      </c>
      <c r="I2095" s="2" t="str">
        <f aca="false">IF($G2095="","",3キー同時!$G$149)</f>
        <v/>
      </c>
      <c r="J2095" s="2" t="str">
        <f aca="false">IF($G2095="","","z")</f>
        <v/>
      </c>
      <c r="K2095" s="2" t="str">
        <f aca="false">""</f>
        <v/>
      </c>
      <c r="L2095" s="2" t="str">
        <f aca="false">IF($G2095="","","同時")</f>
        <v/>
      </c>
      <c r="M2095" s="2" t="str">
        <f aca="false">IF($G2095="","",IF(ISNA(MATCH($G2095,個別指定!$A:$A,0)),"行なし",""))</f>
        <v/>
      </c>
      <c r="N2095" s="2" t="str">
        <f aca="false">IF($G2095="","",IF(COUNTIF($G$2:$G$4460,$G2095)&gt;1,"重複",""))</f>
        <v/>
      </c>
    </row>
    <row r="2096" customFormat="false" ht="16.5" hidden="false" customHeight="true" outlineLevel="0" collapsed="false">
      <c r="A2096" s="2" t="s">
        <v>416</v>
      </c>
      <c r="B2096" s="2" t="s">
        <v>428</v>
      </c>
      <c r="C2096" s="2" t="s">
        <v>36</v>
      </c>
      <c r="D2096" s="2" t="str">
        <f aca="false">IF(3キー同時!$B$149="","",3キー同時!$B$149)</f>
        <v>v</v>
      </c>
      <c r="E2096" s="2" t="str">
        <f aca="false">IF(3キー同時!$G$149="","",3キー同時!$G$149)</f>
        <v>k</v>
      </c>
      <c r="F2096" s="2" t="str">
        <f aca="false">""</f>
        <v/>
      </c>
      <c r="G2096" s="2" t="str">
        <f aca="false">IF(OR(3キー同時!$B$149="",3キー同時!$G$149=""),"",IF(3キー同時!O157="","",SUBSTITUTE(SUBSTITUTE(3キー同時!O157," ",""),"　","")))</f>
        <v/>
      </c>
      <c r="H2096" s="2" t="str">
        <f aca="false">IF($G2096="","",3キー同時!$B$149)</f>
        <v/>
      </c>
      <c r="I2096" s="2" t="str">
        <f aca="false">IF($G2096="","",3キー同時!$G$149)</f>
        <v/>
      </c>
      <c r="J2096" s="2" t="str">
        <f aca="false">IF($G2096="","","x")</f>
        <v/>
      </c>
      <c r="K2096" s="2" t="str">
        <f aca="false">""</f>
        <v/>
      </c>
      <c r="L2096" s="2" t="str">
        <f aca="false">IF($G2096="","","同時")</f>
        <v/>
      </c>
      <c r="M2096" s="2" t="str">
        <f aca="false">IF($G2096="","",IF(ISNA(MATCH($G2096,個別指定!$A:$A,0)),"行なし",""))</f>
        <v/>
      </c>
      <c r="N2096" s="2" t="str">
        <f aca="false">IF($G2096="","",IF(COUNTIF($G$2:$G$4460,$G2096)&gt;1,"重複",""))</f>
        <v/>
      </c>
    </row>
    <row r="2097" customFormat="false" ht="16.5" hidden="false" customHeight="true" outlineLevel="0" collapsed="false">
      <c r="A2097" s="2" t="s">
        <v>416</v>
      </c>
      <c r="B2097" s="2" t="s">
        <v>428</v>
      </c>
      <c r="C2097" s="2" t="s">
        <v>37</v>
      </c>
      <c r="D2097" s="2" t="str">
        <f aca="false">IF(3キー同時!$B$149="","",3キー同時!$B$149)</f>
        <v>v</v>
      </c>
      <c r="E2097" s="2" t="str">
        <f aca="false">IF(3キー同時!$G$149="","",3キー同時!$G$149)</f>
        <v>k</v>
      </c>
      <c r="F2097" s="2" t="str">
        <f aca="false">""</f>
        <v/>
      </c>
      <c r="G2097" s="2" t="str">
        <f aca="false">IF(OR(3キー同時!$B$149="",3キー同時!$G$149=""),"",IF(3キー同時!S157="","",SUBSTITUTE(SUBSTITUTE(3キー同時!S157," ",""),"　","")))</f>
        <v/>
      </c>
      <c r="H2097" s="2" t="str">
        <f aca="false">IF($G2097="","",3キー同時!$B$149)</f>
        <v/>
      </c>
      <c r="I2097" s="2" t="str">
        <f aca="false">IF($G2097="","",3キー同時!$G$149)</f>
        <v/>
      </c>
      <c r="J2097" s="2" t="str">
        <f aca="false">IF($G2097="","","c")</f>
        <v/>
      </c>
      <c r="K2097" s="2" t="str">
        <f aca="false">""</f>
        <v/>
      </c>
      <c r="L2097" s="2" t="str">
        <f aca="false">IF($G2097="","","同時")</f>
        <v/>
      </c>
      <c r="M2097" s="2" t="str">
        <f aca="false">IF($G2097="","",IF(ISNA(MATCH($G2097,個別指定!$A:$A,0)),"行なし",""))</f>
        <v/>
      </c>
      <c r="N2097" s="2" t="str">
        <f aca="false">IF($G2097="","",IF(COUNTIF($G$2:$G$4460,$G2097)&gt;1,"重複",""))</f>
        <v/>
      </c>
    </row>
    <row r="2098" customFormat="false" ht="16.5" hidden="false" customHeight="true" outlineLevel="0" collapsed="false">
      <c r="A2098" s="2" t="s">
        <v>416</v>
      </c>
      <c r="B2098" s="2" t="s">
        <v>428</v>
      </c>
      <c r="C2098" s="2" t="s">
        <v>38</v>
      </c>
      <c r="D2098" s="2" t="str">
        <f aca="false">IF(3キー同時!$B$149="","",3キー同時!$B$149)</f>
        <v>v</v>
      </c>
      <c r="E2098" s="2" t="str">
        <f aca="false">IF(3キー同時!$G$149="","",3キー同時!$G$149)</f>
        <v>k</v>
      </c>
      <c r="F2098" s="2" t="str">
        <f aca="false">""</f>
        <v/>
      </c>
      <c r="G2098" s="2" t="str">
        <f aca="false">IF(OR(3キー同時!$B$149="",3キー同時!$G$149=""),"",IF(3キー同時!W157="","",SUBSTITUTE(SUBSTITUTE(3キー同時!W157," ",""),"　","")))</f>
        <v/>
      </c>
      <c r="H2098" s="2" t="str">
        <f aca="false">IF($G2098="","",3キー同時!$B$149)</f>
        <v/>
      </c>
      <c r="I2098" s="2" t="str">
        <f aca="false">IF($G2098="","",3キー同時!$G$149)</f>
        <v/>
      </c>
      <c r="J2098" s="2" t="str">
        <f aca="false">IF($G2098="","","v")</f>
        <v/>
      </c>
      <c r="K2098" s="2" t="str">
        <f aca="false">""</f>
        <v/>
      </c>
      <c r="L2098" s="2" t="str">
        <f aca="false">IF($G2098="","","同時")</f>
        <v/>
      </c>
      <c r="M2098" s="2" t="str">
        <f aca="false">IF($G2098="","",IF(ISNA(MATCH($G2098,個別指定!$A:$A,0)),"行なし",""))</f>
        <v/>
      </c>
      <c r="N2098" s="2" t="str">
        <f aca="false">IF($G2098="","",IF(COUNTIF($G$2:$G$4460,$G2098)&gt;1,"重複",""))</f>
        <v/>
      </c>
    </row>
    <row r="2099" customFormat="false" ht="16.5" hidden="false" customHeight="true" outlineLevel="0" collapsed="false">
      <c r="A2099" s="2" t="s">
        <v>416</v>
      </c>
      <c r="B2099" s="2" t="s">
        <v>428</v>
      </c>
      <c r="C2099" s="2" t="s">
        <v>39</v>
      </c>
      <c r="D2099" s="2" t="str">
        <f aca="false">IF(3キー同時!$B$149="","",3キー同時!$B$149)</f>
        <v>v</v>
      </c>
      <c r="E2099" s="2" t="str">
        <f aca="false">IF(3キー同時!$G$149="","",3キー同時!$G$149)</f>
        <v>k</v>
      </c>
      <c r="F2099" s="2" t="str">
        <f aca="false">""</f>
        <v/>
      </c>
      <c r="G2099" s="2" t="str">
        <f aca="false">IF(OR(3キー同時!$B$149="",3キー同時!$G$149=""),"",IF(3キー同時!AA157="","",SUBSTITUTE(SUBSTITUTE(3キー同時!AA157," ",""),"　","")))</f>
        <v/>
      </c>
      <c r="H2099" s="2" t="str">
        <f aca="false">IF($G2099="","",3キー同時!$B$149)</f>
        <v/>
      </c>
      <c r="I2099" s="2" t="str">
        <f aca="false">IF($G2099="","",3キー同時!$G$149)</f>
        <v/>
      </c>
      <c r="J2099" s="2" t="str">
        <f aca="false">IF($G2099="","","b")</f>
        <v/>
      </c>
      <c r="K2099" s="2" t="str">
        <f aca="false">""</f>
        <v/>
      </c>
      <c r="L2099" s="2" t="str">
        <f aca="false">IF($G2099="","","同時")</f>
        <v/>
      </c>
      <c r="M2099" s="2" t="str">
        <f aca="false">IF($G2099="","",IF(ISNA(MATCH($G2099,個別指定!$A:$A,0)),"行なし",""))</f>
        <v/>
      </c>
      <c r="N2099" s="2" t="str">
        <f aca="false">IF($G2099="","",IF(COUNTIF($G$2:$G$4460,$G2099)&gt;1,"重複",""))</f>
        <v/>
      </c>
    </row>
    <row r="2100" customFormat="false" ht="16.5" hidden="false" customHeight="true" outlineLevel="0" collapsed="false">
      <c r="A2100" s="2" t="s">
        <v>416</v>
      </c>
      <c r="B2100" s="2" t="s">
        <v>428</v>
      </c>
      <c r="C2100" s="2" t="s">
        <v>40</v>
      </c>
      <c r="D2100" s="2" t="str">
        <f aca="false">IF(3キー同時!$B$149="","",3キー同時!$B$149)</f>
        <v>v</v>
      </c>
      <c r="E2100" s="2" t="str">
        <f aca="false">IF(3キー同時!$G$149="","",3キー同時!$G$149)</f>
        <v>k</v>
      </c>
      <c r="F2100" s="2" t="str">
        <f aca="false">""</f>
        <v/>
      </c>
      <c r="G2100" s="2" t="str">
        <f aca="false">IF(OR(3キー同時!$B$149="",3キー同時!$G$149=""),"",IF(3キー同時!AE157="","",SUBSTITUTE(SUBSTITUTE(3キー同時!AE157," ",""),"　","")))</f>
        <v/>
      </c>
      <c r="H2100" s="2" t="str">
        <f aca="false">IF($G2100="","",3キー同時!$B$149)</f>
        <v/>
      </c>
      <c r="I2100" s="2" t="str">
        <f aca="false">IF($G2100="","",3キー同時!$G$149)</f>
        <v/>
      </c>
      <c r="J2100" s="2" t="str">
        <f aca="false">IF($G2100="","","n")</f>
        <v/>
      </c>
      <c r="K2100" s="2" t="str">
        <f aca="false">""</f>
        <v/>
      </c>
      <c r="L2100" s="2" t="str">
        <f aca="false">IF($G2100="","","同時")</f>
        <v/>
      </c>
      <c r="M2100" s="2" t="str">
        <f aca="false">IF($G2100="","",IF(ISNA(MATCH($G2100,個別指定!$A:$A,0)),"行なし",""))</f>
        <v/>
      </c>
      <c r="N2100" s="2" t="str">
        <f aca="false">IF($G2100="","",IF(COUNTIF($G$2:$G$4460,$G2100)&gt;1,"重複",""))</f>
        <v/>
      </c>
    </row>
    <row r="2101" customFormat="false" ht="16.5" hidden="false" customHeight="true" outlineLevel="0" collapsed="false">
      <c r="A2101" s="2" t="s">
        <v>416</v>
      </c>
      <c r="B2101" s="2" t="s">
        <v>428</v>
      </c>
      <c r="C2101" s="2" t="s">
        <v>41</v>
      </c>
      <c r="D2101" s="2" t="str">
        <f aca="false">IF(3キー同時!$B$149="","",3キー同時!$B$149)</f>
        <v>v</v>
      </c>
      <c r="E2101" s="2" t="str">
        <f aca="false">IF(3キー同時!$G$149="","",3キー同時!$G$149)</f>
        <v>k</v>
      </c>
      <c r="F2101" s="2" t="str">
        <f aca="false">""</f>
        <v/>
      </c>
      <c r="G2101" s="2" t="str">
        <f aca="false">IF(OR(3キー同時!$B$149="",3キー同時!$G$149=""),"",IF(3キー同時!AI157="","",SUBSTITUTE(SUBSTITUTE(3キー同時!AI157," ",""),"　","")))</f>
        <v/>
      </c>
      <c r="H2101" s="2" t="str">
        <f aca="false">IF($G2101="","",3キー同時!$B$149)</f>
        <v/>
      </c>
      <c r="I2101" s="2" t="str">
        <f aca="false">IF($G2101="","",3キー同時!$G$149)</f>
        <v/>
      </c>
      <c r="J2101" s="2" t="str">
        <f aca="false">IF($G2101="","","m")</f>
        <v/>
      </c>
      <c r="K2101" s="2" t="str">
        <f aca="false">""</f>
        <v/>
      </c>
      <c r="L2101" s="2" t="str">
        <f aca="false">IF($G2101="","","同時")</f>
        <v/>
      </c>
      <c r="M2101" s="2" t="str">
        <f aca="false">IF($G2101="","",IF(ISNA(MATCH($G2101,個別指定!$A:$A,0)),"行なし",""))</f>
        <v/>
      </c>
      <c r="N2101" s="2" t="str">
        <f aca="false">IF($G2101="","",IF(COUNTIF($G$2:$G$4460,$G2101)&gt;1,"重複",""))</f>
        <v/>
      </c>
    </row>
    <row r="2102" customFormat="false" ht="16.5" hidden="false" customHeight="true" outlineLevel="0" collapsed="false">
      <c r="A2102" s="2" t="s">
        <v>416</v>
      </c>
      <c r="B2102" s="2" t="s">
        <v>428</v>
      </c>
      <c r="C2102" s="2" t="s">
        <v>42</v>
      </c>
      <c r="D2102" s="2" t="str">
        <f aca="false">IF(3キー同時!$B$149="","",3キー同時!$B$149)</f>
        <v>v</v>
      </c>
      <c r="E2102" s="2" t="str">
        <f aca="false">IF(3キー同時!$G$149="","",3キー同時!$G$149)</f>
        <v>k</v>
      </c>
      <c r="F2102" s="2" t="str">
        <f aca="false">""</f>
        <v/>
      </c>
      <c r="G2102" s="2" t="str">
        <f aca="false">IF(OR(3キー同時!$B$149="",3キー同時!$G$149=""),"",IF(3キー同時!AM157="","",SUBSTITUTE(SUBSTITUTE(3キー同時!AM157," ",""),"　","")))</f>
        <v/>
      </c>
      <c r="H2102" s="2" t="str">
        <f aca="false">IF($G2102="","",3キー同時!$B$149)</f>
        <v/>
      </c>
      <c r="I2102" s="2" t="str">
        <f aca="false">IF($G2102="","",3キー同時!$G$149)</f>
        <v/>
      </c>
      <c r="J2102" s="2" t="str">
        <f aca="false">IF($G2102="","",",")</f>
        <v/>
      </c>
      <c r="K2102" s="2" t="str">
        <f aca="false">""</f>
        <v/>
      </c>
      <c r="L2102" s="2" t="str">
        <f aca="false">IF($G2102="","","同時")</f>
        <v/>
      </c>
      <c r="M2102" s="2" t="str">
        <f aca="false">IF($G2102="","",IF(ISNA(MATCH($G2102,個別指定!$A:$A,0)),"行なし",""))</f>
        <v/>
      </c>
      <c r="N2102" s="2" t="str">
        <f aca="false">IF($G2102="","",IF(COUNTIF($G$2:$G$4460,$G2102)&gt;1,"重複",""))</f>
        <v/>
      </c>
    </row>
    <row r="2103" customFormat="false" ht="16.5" hidden="false" customHeight="true" outlineLevel="0" collapsed="false">
      <c r="A2103" s="2" t="s">
        <v>416</v>
      </c>
      <c r="B2103" s="2" t="s">
        <v>428</v>
      </c>
      <c r="C2103" s="2" t="s">
        <v>43</v>
      </c>
      <c r="D2103" s="2" t="str">
        <f aca="false">IF(3キー同時!$B$149="","",3キー同時!$B$149)</f>
        <v>v</v>
      </c>
      <c r="E2103" s="2" t="str">
        <f aca="false">IF(3キー同時!$G$149="","",3キー同時!$G$149)</f>
        <v>k</v>
      </c>
      <c r="F2103" s="2" t="str">
        <f aca="false">""</f>
        <v/>
      </c>
      <c r="G2103" s="2" t="str">
        <f aca="false">IF(OR(3キー同時!$B$149="",3キー同時!$G$149=""),"",IF(3キー同時!AQ157="","",SUBSTITUTE(SUBSTITUTE(3キー同時!AQ157," ",""),"　","")))</f>
        <v/>
      </c>
      <c r="H2103" s="2" t="str">
        <f aca="false">IF($G2103="","",3キー同時!$B$149)</f>
        <v/>
      </c>
      <c r="I2103" s="2" t="str">
        <f aca="false">IF($G2103="","",3キー同時!$G$149)</f>
        <v/>
      </c>
      <c r="J2103" s="2" t="str">
        <f aca="false">IF($G2103="","",".")</f>
        <v/>
      </c>
      <c r="K2103" s="2" t="str">
        <f aca="false">""</f>
        <v/>
      </c>
      <c r="L2103" s="2" t="str">
        <f aca="false">IF($G2103="","","同時")</f>
        <v/>
      </c>
      <c r="M2103" s="2" t="str">
        <f aca="false">IF($G2103="","",IF(ISNA(MATCH($G2103,個別指定!$A:$A,0)),"行なし",""))</f>
        <v/>
      </c>
      <c r="N2103" s="2" t="str">
        <f aca="false">IF($G2103="","",IF(COUNTIF($G$2:$G$4460,$G2103)&gt;1,"重複",""))</f>
        <v/>
      </c>
    </row>
    <row r="2104" customFormat="false" ht="16.5" hidden="false" customHeight="true" outlineLevel="0" collapsed="false">
      <c r="A2104" s="2" t="s">
        <v>416</v>
      </c>
      <c r="B2104" s="2" t="s">
        <v>428</v>
      </c>
      <c r="C2104" s="2" t="s">
        <v>44</v>
      </c>
      <c r="D2104" s="2" t="str">
        <f aca="false">IF(3キー同時!$B$149="","",3キー同時!$B$149)</f>
        <v>v</v>
      </c>
      <c r="E2104" s="2" t="str">
        <f aca="false">IF(3キー同時!$G$149="","",3キー同時!$G$149)</f>
        <v>k</v>
      </c>
      <c r="F2104" s="2" t="str">
        <f aca="false">""</f>
        <v/>
      </c>
      <c r="G2104" s="2" t="str">
        <f aca="false">IF(OR(3キー同時!$B$149="",3キー同時!$G$149=""),"",IF(3キー同時!AU157="","",SUBSTITUTE(SUBSTITUTE(3キー同時!AU157," ",""),"　","")))</f>
        <v/>
      </c>
      <c r="H2104" s="2" t="str">
        <f aca="false">IF($G2104="","",3キー同時!$B$149)</f>
        <v/>
      </c>
      <c r="I2104" s="2" t="str">
        <f aca="false">IF($G2104="","",3キー同時!$G$149)</f>
        <v/>
      </c>
      <c r="J2104" s="2" t="str">
        <f aca="false">IF($G2104="","","/")</f>
        <v/>
      </c>
      <c r="K2104" s="2" t="str">
        <f aca="false">""</f>
        <v/>
      </c>
      <c r="L2104" s="2" t="str">
        <f aca="false">IF($G2104="","","同時")</f>
        <v/>
      </c>
      <c r="M2104" s="2" t="str">
        <f aca="false">IF($G2104="","",IF(ISNA(MATCH($G2104,個別指定!$A:$A,0)),"行なし",""))</f>
        <v/>
      </c>
      <c r="N2104" s="2" t="str">
        <f aca="false">IF($G2104="","",IF(COUNTIF($G$2:$G$4460,$G2104)&gt;1,"重複",""))</f>
        <v/>
      </c>
    </row>
    <row r="2105" customFormat="false" ht="16.5" hidden="false" customHeight="true" outlineLevel="0" collapsed="false">
      <c r="A2105" s="2" t="s">
        <v>416</v>
      </c>
      <c r="B2105" s="2" t="s">
        <v>428</v>
      </c>
      <c r="C2105" s="2" t="s">
        <v>48</v>
      </c>
      <c r="D2105" s="2" t="str">
        <f aca="false">IF(3キー同時!$B$149="","",3キー同時!$B$149)</f>
        <v>v</v>
      </c>
      <c r="E2105" s="2" t="str">
        <f aca="false">IF(3キー同時!$G$149="","",3キー同時!$G$149)</f>
        <v>k</v>
      </c>
      <c r="F2105" s="2" t="str">
        <f aca="false">""</f>
        <v/>
      </c>
      <c r="G2105" s="2" t="str">
        <f aca="false">IF(OR(3キー同時!$B$149="",3キー同時!$G$149=""),"",IF(3キー同時!P159="","",SUBSTITUTE(SUBSTITUTE(3キー同時!P159," ",""),"　","")))</f>
        <v/>
      </c>
      <c r="H2105" s="2" t="str">
        <f aca="false">IF($G2105="","",3キー同時!$B$149)</f>
        <v/>
      </c>
      <c r="I2105" s="2" t="str">
        <f aca="false">IF($G2105="","",3キー同時!$G$149)</f>
        <v/>
      </c>
      <c r="J2105" s="2" t="str">
        <f aca="false">IF($G2105="","","muhenkan")</f>
        <v/>
      </c>
      <c r="K2105" s="2" t="str">
        <f aca="false">""</f>
        <v/>
      </c>
      <c r="L2105" s="2" t="str">
        <f aca="false">IF($G2105="","","同時")</f>
        <v/>
      </c>
      <c r="M2105" s="2" t="str">
        <f aca="false">IF($G2105="","",IF(ISNA(MATCH($G2105,個別指定!$A:$A,0)),"行なし",""))</f>
        <v/>
      </c>
      <c r="N2105" s="2" t="str">
        <f aca="false">IF($G2105="","",IF(COUNTIF($G$2:$G$4460,$G2105)&gt;1,"重複",""))</f>
        <v/>
      </c>
    </row>
    <row r="2106" customFormat="false" ht="16.5" hidden="false" customHeight="true" outlineLevel="0" collapsed="false">
      <c r="A2106" s="2" t="s">
        <v>416</v>
      </c>
      <c r="B2106" s="2" t="s">
        <v>428</v>
      </c>
      <c r="C2106" s="2" t="s">
        <v>50</v>
      </c>
      <c r="D2106" s="2" t="str">
        <f aca="false">IF(3キー同時!$B$149="","",3キー同時!$B$149)</f>
        <v>v</v>
      </c>
      <c r="E2106" s="2" t="str">
        <f aca="false">IF(3キー同時!$G$149="","",3キー同時!$G$149)</f>
        <v>k</v>
      </c>
      <c r="F2106" s="2" t="str">
        <f aca="false">""</f>
        <v/>
      </c>
      <c r="G2106" s="2" t="str">
        <f aca="false">IF(OR(3キー同時!$B$149="",3キー同時!$G$149=""),"",IF(3キー同時!T159="","",SUBSTITUTE(SUBSTITUTE(3キー同時!T159," ",""),"　","")))</f>
        <v/>
      </c>
      <c r="H2106" s="2" t="str">
        <f aca="false">IF($G2106="","",3キー同時!$B$149)</f>
        <v/>
      </c>
      <c r="I2106" s="2" t="str">
        <f aca="false">IF($G2106="","",3キー同時!$G$149)</f>
        <v/>
      </c>
      <c r="J2106" s="2" t="str">
        <f aca="false">IF($G2106="","","space")</f>
        <v/>
      </c>
      <c r="K2106" s="2" t="str">
        <f aca="false">""</f>
        <v/>
      </c>
      <c r="L2106" s="2" t="str">
        <f aca="false">IF($G2106="","","同時")</f>
        <v/>
      </c>
      <c r="M2106" s="2" t="str">
        <f aca="false">IF($G2106="","",IF(ISNA(MATCH($G2106,個別指定!$A:$A,0)),"行なし",""))</f>
        <v/>
      </c>
      <c r="N2106" s="2" t="str">
        <f aca="false">IF($G2106="","",IF(COUNTIF($G$2:$G$4460,$G2106)&gt;1,"重複",""))</f>
        <v/>
      </c>
    </row>
    <row r="2107" customFormat="false" ht="16.5" hidden="false" customHeight="true" outlineLevel="0" collapsed="false">
      <c r="A2107" s="2" t="s">
        <v>416</v>
      </c>
      <c r="B2107" s="2" t="s">
        <v>428</v>
      </c>
      <c r="C2107" s="2" t="s">
        <v>45</v>
      </c>
      <c r="D2107" s="2" t="str">
        <f aca="false">IF(3キー同時!$B$149="","",3キー同時!$B$149)</f>
        <v>v</v>
      </c>
      <c r="E2107" s="2" t="str">
        <f aca="false">IF(3キー同時!$G$149="","",3キー同時!$G$149)</f>
        <v>k</v>
      </c>
      <c r="F2107" s="2" t="str">
        <f aca="false">""</f>
        <v/>
      </c>
      <c r="G2107" s="2" t="str">
        <f aca="false">IF(OR(3キー同時!$B$149="",3キー同時!$G$149=""),"",IF(3キー同時!AL159="","",SUBSTITUTE(SUBSTITUTE(3キー同時!AL159," ",""),"　","")))</f>
        <v/>
      </c>
      <c r="H2107" s="2" t="str">
        <f aca="false">IF($G2107="","",3キー同時!$B$149)</f>
        <v/>
      </c>
      <c r="I2107" s="2" t="str">
        <f aca="false">IF($G2107="","",3キー同時!$G$149)</f>
        <v/>
      </c>
      <c r="J2107" s="2" t="str">
        <f aca="false">IF($G2107="","","henkan")</f>
        <v/>
      </c>
      <c r="K2107" s="2" t="str">
        <f aca="false">""</f>
        <v/>
      </c>
      <c r="L2107" s="2" t="str">
        <f aca="false">IF($G2107="","","同時")</f>
        <v/>
      </c>
      <c r="M2107" s="2" t="str">
        <f aca="false">IF($G2107="","",IF(ISNA(MATCH($G2107,個別指定!$A:$A,0)),"行なし",""))</f>
        <v/>
      </c>
      <c r="N2107" s="2" t="str">
        <f aca="false">IF($G2107="","",IF(COUNTIF($G$2:$G$4460,$G2107)&gt;1,"重複",""))</f>
        <v/>
      </c>
    </row>
    <row r="2108" customFormat="false" ht="16.5" hidden="false" customHeight="true" outlineLevel="0" collapsed="false">
      <c r="A2108" s="2" t="s">
        <v>416</v>
      </c>
      <c r="B2108" s="2" t="s">
        <v>428</v>
      </c>
      <c r="C2108" s="2" t="s">
        <v>46</v>
      </c>
      <c r="D2108" s="2" t="str">
        <f aca="false">IF(3キー同時!$B$149="","",3キー同時!$B$149)</f>
        <v>v</v>
      </c>
      <c r="E2108" s="2" t="str">
        <f aca="false">IF(3キー同時!$G$149="","",3キー同時!$G$149)</f>
        <v>k</v>
      </c>
      <c r="F2108" s="2" t="str">
        <f aca="false">""</f>
        <v/>
      </c>
      <c r="G2108" s="2" t="str">
        <f aca="false">IF(OR(3キー同時!$B$149="",3キー同時!$G$149=""),"",IF(3キー同時!AP159="","",SUBSTITUTE(SUBSTITUTE(3キー同時!AP159," ",""),"　","")))</f>
        <v/>
      </c>
      <c r="H2108" s="2" t="str">
        <f aca="false">IF($G2108="","",3キー同時!$B$149)</f>
        <v/>
      </c>
      <c r="I2108" s="2" t="str">
        <f aca="false">IF($G2108="","",3キー同時!$G$149)</f>
        <v/>
      </c>
      <c r="J2108" s="2" t="str">
        <f aca="false">IF($G2108="","","kana")</f>
        <v/>
      </c>
      <c r="K2108" s="2" t="str">
        <f aca="false">""</f>
        <v/>
      </c>
      <c r="L2108" s="2" t="str">
        <f aca="false">IF($G2108="","","同時")</f>
        <v/>
      </c>
      <c r="M2108" s="2" t="str">
        <f aca="false">IF($G2108="","",IF(ISNA(MATCH($G2108,個別指定!$A:$A,0)),"行なし",""))</f>
        <v/>
      </c>
      <c r="N2108" s="2" t="str">
        <f aca="false">IF($G2108="","",IF(COUNTIF($G$2:$G$4460,$G2108)&gt;1,"重複",""))</f>
        <v/>
      </c>
    </row>
    <row r="2109" customFormat="false" ht="16.5" hidden="false" customHeight="true" outlineLevel="0" collapsed="false">
      <c r="A2109" s="2" t="s">
        <v>416</v>
      </c>
      <c r="B2109" s="2" t="s">
        <v>429</v>
      </c>
      <c r="C2109" s="2" t="s">
        <v>0</v>
      </c>
      <c r="D2109" s="2" t="str">
        <f aca="false">IF(3キー同時!$B$162="","",3キー同時!$B$162)</f>
        <v>m</v>
      </c>
      <c r="E2109" s="2" t="str">
        <f aca="false">IF(3キー同時!$G$162="","",3キー同時!$G$162)</f>
        <v>k</v>
      </c>
      <c r="F2109" s="2" t="str">
        <f aca="false">""</f>
        <v/>
      </c>
      <c r="G2109" s="2" t="str">
        <f aca="false">IF(OR(3キー同時!$B$162="",3キー同時!$G$162=""),"",IF(3キー同時!F164="","",SUBSTITUTE(SUBSTITUTE(3キー同時!F164," ",""),"　","")))</f>
        <v/>
      </c>
      <c r="H2109" s="2" t="str">
        <f aca="false">IF($G2109="","",3キー同時!$B$162)</f>
        <v/>
      </c>
      <c r="I2109" s="2" t="str">
        <f aca="false">IF($G2109="","",3キー同時!$G$162)</f>
        <v/>
      </c>
      <c r="J2109" s="2" t="str">
        <f aca="false">IF($G2109="","","1")</f>
        <v/>
      </c>
      <c r="K2109" s="2" t="str">
        <f aca="false">""</f>
        <v/>
      </c>
      <c r="L2109" s="2" t="str">
        <f aca="false">IF($G2109="","","同時")</f>
        <v/>
      </c>
      <c r="M2109" s="2" t="str">
        <f aca="false">IF($G2109="","",IF(ISNA(MATCH($G2109,個別指定!$A:$A,0)),"行なし",""))</f>
        <v/>
      </c>
      <c r="N2109" s="2" t="str">
        <f aca="false">IF($G2109="","",IF(COUNTIF($G$2:$G$4460,$G2109)&gt;1,"重複",""))</f>
        <v/>
      </c>
    </row>
    <row r="2110" customFormat="false" ht="16.5" hidden="false" customHeight="true" outlineLevel="0" collapsed="false">
      <c r="A2110" s="2" t="s">
        <v>416</v>
      </c>
      <c r="B2110" s="2" t="s">
        <v>429</v>
      </c>
      <c r="C2110" s="2" t="s">
        <v>1</v>
      </c>
      <c r="D2110" s="2" t="str">
        <f aca="false">IF(3キー同時!$B$162="","",3キー同時!$B$162)</f>
        <v>m</v>
      </c>
      <c r="E2110" s="2" t="str">
        <f aca="false">IF(3キー同時!$G$162="","",3キー同時!$G$162)</f>
        <v>k</v>
      </c>
      <c r="F2110" s="2" t="str">
        <f aca="false">""</f>
        <v/>
      </c>
      <c r="G2110" s="2" t="str">
        <f aca="false">IF(OR(3キー同時!$B$162="",3キー同時!$G$162=""),"",IF(3キー同時!J164="","",SUBSTITUTE(SUBSTITUTE(3キー同時!J164," ",""),"　","")))</f>
        <v/>
      </c>
      <c r="H2110" s="2" t="str">
        <f aca="false">IF($G2110="","",3キー同時!$B$162)</f>
        <v/>
      </c>
      <c r="I2110" s="2" t="str">
        <f aca="false">IF($G2110="","",3キー同時!$G$162)</f>
        <v/>
      </c>
      <c r="J2110" s="2" t="str">
        <f aca="false">IF($G2110="","","2")</f>
        <v/>
      </c>
      <c r="K2110" s="2" t="str">
        <f aca="false">""</f>
        <v/>
      </c>
      <c r="L2110" s="2" t="str">
        <f aca="false">IF($G2110="","","同時")</f>
        <v/>
      </c>
      <c r="M2110" s="2" t="str">
        <f aca="false">IF($G2110="","",IF(ISNA(MATCH($G2110,個別指定!$A:$A,0)),"行なし",""))</f>
        <v/>
      </c>
      <c r="N2110" s="2" t="str">
        <f aca="false">IF($G2110="","",IF(COUNTIF($G$2:$G$4460,$G2110)&gt;1,"重複",""))</f>
        <v/>
      </c>
    </row>
    <row r="2111" customFormat="false" ht="16.5" hidden="false" customHeight="true" outlineLevel="0" collapsed="false">
      <c r="A2111" s="2" t="s">
        <v>416</v>
      </c>
      <c r="B2111" s="2" t="s">
        <v>429</v>
      </c>
      <c r="C2111" s="2" t="s">
        <v>2</v>
      </c>
      <c r="D2111" s="2" t="str">
        <f aca="false">IF(3キー同時!$B$162="","",3キー同時!$B$162)</f>
        <v>m</v>
      </c>
      <c r="E2111" s="2" t="str">
        <f aca="false">IF(3キー同時!$G$162="","",3キー同時!$G$162)</f>
        <v>k</v>
      </c>
      <c r="F2111" s="2" t="str">
        <f aca="false">""</f>
        <v/>
      </c>
      <c r="G2111" s="2" t="str">
        <f aca="false">IF(OR(3キー同時!$B$162="",3キー同時!$G$162=""),"",IF(3キー同時!N164="","",SUBSTITUTE(SUBSTITUTE(3キー同時!N164," ",""),"　","")))</f>
        <v/>
      </c>
      <c r="H2111" s="2" t="str">
        <f aca="false">IF($G2111="","",3キー同時!$B$162)</f>
        <v/>
      </c>
      <c r="I2111" s="2" t="str">
        <f aca="false">IF($G2111="","",3キー同時!$G$162)</f>
        <v/>
      </c>
      <c r="J2111" s="2" t="str">
        <f aca="false">IF($G2111="","","3")</f>
        <v/>
      </c>
      <c r="K2111" s="2" t="str">
        <f aca="false">""</f>
        <v/>
      </c>
      <c r="L2111" s="2" t="str">
        <f aca="false">IF($G2111="","","同時")</f>
        <v/>
      </c>
      <c r="M2111" s="2" t="str">
        <f aca="false">IF($G2111="","",IF(ISNA(MATCH($G2111,個別指定!$A:$A,0)),"行なし",""))</f>
        <v/>
      </c>
      <c r="N2111" s="2" t="str">
        <f aca="false">IF($G2111="","",IF(COUNTIF($G$2:$G$4460,$G2111)&gt;1,"重複",""))</f>
        <v/>
      </c>
    </row>
    <row r="2112" customFormat="false" ht="16.5" hidden="false" customHeight="true" outlineLevel="0" collapsed="false">
      <c r="A2112" s="2" t="s">
        <v>416</v>
      </c>
      <c r="B2112" s="2" t="s">
        <v>429</v>
      </c>
      <c r="C2112" s="2" t="s">
        <v>3</v>
      </c>
      <c r="D2112" s="2" t="str">
        <f aca="false">IF(3キー同時!$B$162="","",3キー同時!$B$162)</f>
        <v>m</v>
      </c>
      <c r="E2112" s="2" t="str">
        <f aca="false">IF(3キー同時!$G$162="","",3キー同時!$G$162)</f>
        <v>k</v>
      </c>
      <c r="F2112" s="2" t="str">
        <f aca="false">""</f>
        <v/>
      </c>
      <c r="G2112" s="2" t="str">
        <f aca="false">IF(OR(3キー同時!$B$162="",3キー同時!$G$162=""),"",IF(3キー同時!R164="","",SUBSTITUTE(SUBSTITUTE(3キー同時!R164," ",""),"　","")))</f>
        <v/>
      </c>
      <c r="H2112" s="2" t="str">
        <f aca="false">IF($G2112="","",3キー同時!$B$162)</f>
        <v/>
      </c>
      <c r="I2112" s="2" t="str">
        <f aca="false">IF($G2112="","",3キー同時!$G$162)</f>
        <v/>
      </c>
      <c r="J2112" s="2" t="str">
        <f aca="false">IF($G2112="","","4")</f>
        <v/>
      </c>
      <c r="K2112" s="2" t="str">
        <f aca="false">""</f>
        <v/>
      </c>
      <c r="L2112" s="2" t="str">
        <f aca="false">IF($G2112="","","同時")</f>
        <v/>
      </c>
      <c r="M2112" s="2" t="str">
        <f aca="false">IF($G2112="","",IF(ISNA(MATCH($G2112,個別指定!$A:$A,0)),"行なし",""))</f>
        <v/>
      </c>
      <c r="N2112" s="2" t="str">
        <f aca="false">IF($G2112="","",IF(COUNTIF($G$2:$G$4460,$G2112)&gt;1,"重複",""))</f>
        <v/>
      </c>
    </row>
    <row r="2113" customFormat="false" ht="16.5" hidden="false" customHeight="true" outlineLevel="0" collapsed="false">
      <c r="A2113" s="2" t="s">
        <v>416</v>
      </c>
      <c r="B2113" s="2" t="s">
        <v>429</v>
      </c>
      <c r="C2113" s="2" t="s">
        <v>4</v>
      </c>
      <c r="D2113" s="2" t="str">
        <f aca="false">IF(3キー同時!$B$162="","",3キー同時!$B$162)</f>
        <v>m</v>
      </c>
      <c r="E2113" s="2" t="str">
        <f aca="false">IF(3キー同時!$G$162="","",3キー同時!$G$162)</f>
        <v>k</v>
      </c>
      <c r="F2113" s="2" t="str">
        <f aca="false">""</f>
        <v/>
      </c>
      <c r="G2113" s="2" t="str">
        <f aca="false">IF(OR(3キー同時!$B$162="",3キー同時!$G$162=""),"",IF(3キー同時!V164="","",SUBSTITUTE(SUBSTITUTE(3キー同時!V164," ",""),"　","")))</f>
        <v/>
      </c>
      <c r="H2113" s="2" t="str">
        <f aca="false">IF($G2113="","",3キー同時!$B$162)</f>
        <v/>
      </c>
      <c r="I2113" s="2" t="str">
        <f aca="false">IF($G2113="","",3キー同時!$G$162)</f>
        <v/>
      </c>
      <c r="J2113" s="2" t="str">
        <f aca="false">IF($G2113="","","5")</f>
        <v/>
      </c>
      <c r="K2113" s="2" t="str">
        <f aca="false">""</f>
        <v/>
      </c>
      <c r="L2113" s="2" t="str">
        <f aca="false">IF($G2113="","","同時")</f>
        <v/>
      </c>
      <c r="M2113" s="2" t="str">
        <f aca="false">IF($G2113="","",IF(ISNA(MATCH($G2113,個別指定!$A:$A,0)),"行なし",""))</f>
        <v/>
      </c>
      <c r="N2113" s="2" t="str">
        <f aca="false">IF($G2113="","",IF(COUNTIF($G$2:$G$4460,$G2113)&gt;1,"重複",""))</f>
        <v/>
      </c>
    </row>
    <row r="2114" customFormat="false" ht="16.5" hidden="false" customHeight="true" outlineLevel="0" collapsed="false">
      <c r="A2114" s="2" t="s">
        <v>416</v>
      </c>
      <c r="B2114" s="2" t="s">
        <v>429</v>
      </c>
      <c r="C2114" s="2" t="s">
        <v>5</v>
      </c>
      <c r="D2114" s="2" t="str">
        <f aca="false">IF(3キー同時!$B$162="","",3キー同時!$B$162)</f>
        <v>m</v>
      </c>
      <c r="E2114" s="2" t="str">
        <f aca="false">IF(3キー同時!$G$162="","",3キー同時!$G$162)</f>
        <v>k</v>
      </c>
      <c r="F2114" s="2" t="str">
        <f aca="false">""</f>
        <v/>
      </c>
      <c r="G2114" s="2" t="str">
        <f aca="false">IF(OR(3キー同時!$B$162="",3キー同時!$G$162=""),"",IF(3キー同時!Z164="","",SUBSTITUTE(SUBSTITUTE(3キー同時!Z164," ",""),"　","")))</f>
        <v/>
      </c>
      <c r="H2114" s="2" t="str">
        <f aca="false">IF($G2114="","",3キー同時!$B$162)</f>
        <v/>
      </c>
      <c r="I2114" s="2" t="str">
        <f aca="false">IF($G2114="","",3キー同時!$G$162)</f>
        <v/>
      </c>
      <c r="J2114" s="2" t="str">
        <f aca="false">IF($G2114="","","6")</f>
        <v/>
      </c>
      <c r="K2114" s="2" t="str">
        <f aca="false">""</f>
        <v/>
      </c>
      <c r="L2114" s="2" t="str">
        <f aca="false">IF($G2114="","","同時")</f>
        <v/>
      </c>
      <c r="M2114" s="2" t="str">
        <f aca="false">IF($G2114="","",IF(ISNA(MATCH($G2114,個別指定!$A:$A,0)),"行なし",""))</f>
        <v/>
      </c>
      <c r="N2114" s="2" t="str">
        <f aca="false">IF($G2114="","",IF(COUNTIF($G$2:$G$4460,$G2114)&gt;1,"重複",""))</f>
        <v/>
      </c>
    </row>
    <row r="2115" customFormat="false" ht="16.5" hidden="false" customHeight="true" outlineLevel="0" collapsed="false">
      <c r="A2115" s="2" t="s">
        <v>416</v>
      </c>
      <c r="B2115" s="2" t="s">
        <v>429</v>
      </c>
      <c r="C2115" s="2" t="s">
        <v>6</v>
      </c>
      <c r="D2115" s="2" t="str">
        <f aca="false">IF(3キー同時!$B$162="","",3キー同時!$B$162)</f>
        <v>m</v>
      </c>
      <c r="E2115" s="2" t="str">
        <f aca="false">IF(3キー同時!$G$162="","",3キー同時!$G$162)</f>
        <v>k</v>
      </c>
      <c r="F2115" s="2" t="str">
        <f aca="false">""</f>
        <v/>
      </c>
      <c r="G2115" s="2" t="str">
        <f aca="false">IF(OR(3キー同時!$B$162="",3キー同時!$G$162=""),"",IF(3キー同時!AD164="","",SUBSTITUTE(SUBSTITUTE(3キー同時!AD164," ",""),"　","")))</f>
        <v/>
      </c>
      <c r="H2115" s="2" t="str">
        <f aca="false">IF($G2115="","",3キー同時!$B$162)</f>
        <v/>
      </c>
      <c r="I2115" s="2" t="str">
        <f aca="false">IF($G2115="","",3キー同時!$G$162)</f>
        <v/>
      </c>
      <c r="J2115" s="2" t="str">
        <f aca="false">IF($G2115="","","7")</f>
        <v/>
      </c>
      <c r="K2115" s="2" t="str">
        <f aca="false">""</f>
        <v/>
      </c>
      <c r="L2115" s="2" t="str">
        <f aca="false">IF($G2115="","","同時")</f>
        <v/>
      </c>
      <c r="M2115" s="2" t="str">
        <f aca="false">IF($G2115="","",IF(ISNA(MATCH($G2115,個別指定!$A:$A,0)),"行なし",""))</f>
        <v/>
      </c>
      <c r="N2115" s="2" t="str">
        <f aca="false">IF($G2115="","",IF(COUNTIF($G$2:$G$4460,$G2115)&gt;1,"重複",""))</f>
        <v/>
      </c>
    </row>
    <row r="2116" customFormat="false" ht="16.5" hidden="false" customHeight="true" outlineLevel="0" collapsed="false">
      <c r="A2116" s="2" t="s">
        <v>416</v>
      </c>
      <c r="B2116" s="2" t="s">
        <v>429</v>
      </c>
      <c r="C2116" s="2" t="s">
        <v>7</v>
      </c>
      <c r="D2116" s="2" t="str">
        <f aca="false">IF(3キー同時!$B$162="","",3キー同時!$B$162)</f>
        <v>m</v>
      </c>
      <c r="E2116" s="2" t="str">
        <f aca="false">IF(3キー同時!$G$162="","",3キー同時!$G$162)</f>
        <v>k</v>
      </c>
      <c r="F2116" s="2" t="str">
        <f aca="false">""</f>
        <v/>
      </c>
      <c r="G2116" s="2" t="str">
        <f aca="false">IF(OR(3キー同時!$B$162="",3キー同時!$G$162=""),"",IF(3キー同時!AH164="","",SUBSTITUTE(SUBSTITUTE(3キー同時!AH164," ",""),"　","")))</f>
        <v/>
      </c>
      <c r="H2116" s="2" t="str">
        <f aca="false">IF($G2116="","",3キー同時!$B$162)</f>
        <v/>
      </c>
      <c r="I2116" s="2" t="str">
        <f aca="false">IF($G2116="","",3キー同時!$G$162)</f>
        <v/>
      </c>
      <c r="J2116" s="2" t="str">
        <f aca="false">IF($G2116="","","8")</f>
        <v/>
      </c>
      <c r="K2116" s="2" t="str">
        <f aca="false">""</f>
        <v/>
      </c>
      <c r="L2116" s="2" t="str">
        <f aca="false">IF($G2116="","","同時")</f>
        <v/>
      </c>
      <c r="M2116" s="2" t="str">
        <f aca="false">IF($G2116="","",IF(ISNA(MATCH($G2116,個別指定!$A:$A,0)),"行なし",""))</f>
        <v/>
      </c>
      <c r="N2116" s="2" t="str">
        <f aca="false">IF($G2116="","",IF(COUNTIF($G$2:$G$4460,$G2116)&gt;1,"重複",""))</f>
        <v/>
      </c>
    </row>
    <row r="2117" customFormat="false" ht="16.5" hidden="false" customHeight="true" outlineLevel="0" collapsed="false">
      <c r="A2117" s="2" t="s">
        <v>416</v>
      </c>
      <c r="B2117" s="2" t="s">
        <v>429</v>
      </c>
      <c r="C2117" s="2" t="s">
        <v>8</v>
      </c>
      <c r="D2117" s="2" t="str">
        <f aca="false">IF(3キー同時!$B$162="","",3キー同時!$B$162)</f>
        <v>m</v>
      </c>
      <c r="E2117" s="2" t="str">
        <f aca="false">IF(3キー同時!$G$162="","",3キー同時!$G$162)</f>
        <v>k</v>
      </c>
      <c r="F2117" s="2" t="str">
        <f aca="false">""</f>
        <v/>
      </c>
      <c r="G2117" s="2" t="str">
        <f aca="false">IF(OR(3キー同時!$B$162="",3キー同時!$G$162=""),"",IF(3キー同時!AL164="","",SUBSTITUTE(SUBSTITUTE(3キー同時!AL164," ",""),"　","")))</f>
        <v/>
      </c>
      <c r="H2117" s="2" t="str">
        <f aca="false">IF($G2117="","",3キー同時!$B$162)</f>
        <v/>
      </c>
      <c r="I2117" s="2" t="str">
        <f aca="false">IF($G2117="","",3キー同時!$G$162)</f>
        <v/>
      </c>
      <c r="J2117" s="2" t="str">
        <f aca="false">IF($G2117="","","9")</f>
        <v/>
      </c>
      <c r="K2117" s="2" t="str">
        <f aca="false">""</f>
        <v/>
      </c>
      <c r="L2117" s="2" t="str">
        <f aca="false">IF($G2117="","","同時")</f>
        <v/>
      </c>
      <c r="M2117" s="2" t="str">
        <f aca="false">IF($G2117="","",IF(ISNA(MATCH($G2117,個別指定!$A:$A,0)),"行なし",""))</f>
        <v/>
      </c>
      <c r="N2117" s="2" t="str">
        <f aca="false">IF($G2117="","",IF(COUNTIF($G$2:$G$4460,$G2117)&gt;1,"重複",""))</f>
        <v/>
      </c>
    </row>
    <row r="2118" customFormat="false" ht="16.5" hidden="false" customHeight="true" outlineLevel="0" collapsed="false">
      <c r="A2118" s="2" t="s">
        <v>416</v>
      </c>
      <c r="B2118" s="2" t="s">
        <v>429</v>
      </c>
      <c r="C2118" s="2" t="s">
        <v>9</v>
      </c>
      <c r="D2118" s="2" t="str">
        <f aca="false">IF(3キー同時!$B$162="","",3キー同時!$B$162)</f>
        <v>m</v>
      </c>
      <c r="E2118" s="2" t="str">
        <f aca="false">IF(3キー同時!$G$162="","",3キー同時!$G$162)</f>
        <v>k</v>
      </c>
      <c r="F2118" s="2" t="str">
        <f aca="false">""</f>
        <v/>
      </c>
      <c r="G2118" s="2" t="str">
        <f aca="false">IF(OR(3キー同時!$B$162="",3キー同時!$G$162=""),"",IF(3キー同時!AP164="","",SUBSTITUTE(SUBSTITUTE(3キー同時!AP164," ",""),"　","")))</f>
        <v/>
      </c>
      <c r="H2118" s="2" t="str">
        <f aca="false">IF($G2118="","",3キー同時!$B$162)</f>
        <v/>
      </c>
      <c r="I2118" s="2" t="str">
        <f aca="false">IF($G2118="","",3キー同時!$G$162)</f>
        <v/>
      </c>
      <c r="J2118" s="2" t="str">
        <f aca="false">IF($G2118="","","0")</f>
        <v/>
      </c>
      <c r="K2118" s="2" t="str">
        <f aca="false">""</f>
        <v/>
      </c>
      <c r="L2118" s="2" t="str">
        <f aca="false">IF($G2118="","","同時")</f>
        <v/>
      </c>
      <c r="M2118" s="2" t="str">
        <f aca="false">IF($G2118="","",IF(ISNA(MATCH($G2118,個別指定!$A:$A,0)),"行なし",""))</f>
        <v/>
      </c>
      <c r="N2118" s="2" t="str">
        <f aca="false">IF($G2118="","",IF(COUNTIF($G$2:$G$4460,$G2118)&gt;1,"重複",""))</f>
        <v/>
      </c>
    </row>
    <row r="2119" customFormat="false" ht="16.5" hidden="false" customHeight="true" outlineLevel="0" collapsed="false">
      <c r="A2119" s="2" t="s">
        <v>416</v>
      </c>
      <c r="B2119" s="2" t="s">
        <v>429</v>
      </c>
      <c r="C2119" s="2" t="s">
        <v>10</v>
      </c>
      <c r="D2119" s="2" t="str">
        <f aca="false">IF(3キー同時!$B$162="","",3キー同時!$B$162)</f>
        <v>m</v>
      </c>
      <c r="E2119" s="2" t="str">
        <f aca="false">IF(3キー同時!$G$162="","",3キー同時!$G$162)</f>
        <v>k</v>
      </c>
      <c r="F2119" s="2" t="str">
        <f aca="false">""</f>
        <v/>
      </c>
      <c r="G2119" s="2" t="str">
        <f aca="false">IF(OR(3キー同時!$B$162="",3キー同時!$G$162=""),"",IF(3キー同時!AT164="","",SUBSTITUTE(SUBSTITUTE(3キー同時!AT164," ",""),"　","")))</f>
        <v/>
      </c>
      <c r="H2119" s="2" t="str">
        <f aca="false">IF($G2119="","",3キー同時!$B$162)</f>
        <v/>
      </c>
      <c r="I2119" s="2" t="str">
        <f aca="false">IF($G2119="","",3キー同時!$G$162)</f>
        <v/>
      </c>
      <c r="J2119" s="2" t="str">
        <f aca="false">IF($G2119="","","-")</f>
        <v/>
      </c>
      <c r="K2119" s="2" t="str">
        <f aca="false">""</f>
        <v/>
      </c>
      <c r="L2119" s="2" t="str">
        <f aca="false">IF($G2119="","","同時")</f>
        <v/>
      </c>
      <c r="M2119" s="2" t="str">
        <f aca="false">IF($G2119="","",IF(ISNA(MATCH($G2119,個別指定!$A:$A,0)),"行なし",""))</f>
        <v/>
      </c>
      <c r="N2119" s="2" t="str">
        <f aca="false">IF($G2119="","",IF(COUNTIF($G$2:$G$4460,$G2119)&gt;1,"重複",""))</f>
        <v/>
      </c>
    </row>
    <row r="2120" customFormat="false" ht="16.5" hidden="false" customHeight="true" outlineLevel="0" collapsed="false">
      <c r="A2120" s="2" t="s">
        <v>416</v>
      </c>
      <c r="B2120" s="2" t="s">
        <v>429</v>
      </c>
      <c r="C2120" s="2" t="s">
        <v>11</v>
      </c>
      <c r="D2120" s="2" t="str">
        <f aca="false">IF(3キー同時!$B$162="","",3キー同時!$B$162)</f>
        <v>m</v>
      </c>
      <c r="E2120" s="2" t="str">
        <f aca="false">IF(3キー同時!$G$162="","",3キー同時!$G$162)</f>
        <v>k</v>
      </c>
      <c r="F2120" s="2" t="str">
        <f aca="false">""</f>
        <v/>
      </c>
      <c r="G2120" s="2" t="str">
        <f aca="false">IF(OR(3キー同時!$B$162="",3キー同時!$G$162=""),"",IF(3キー同時!AX164="","",SUBSTITUTE(SUBSTITUTE(3キー同時!AX164," ",""),"　","")))</f>
        <v/>
      </c>
      <c r="H2120" s="2" t="str">
        <f aca="false">IF($G2120="","",3キー同時!$B$162)</f>
        <v/>
      </c>
      <c r="I2120" s="2" t="str">
        <f aca="false">IF($G2120="","",3キー同時!$G$162)</f>
        <v/>
      </c>
      <c r="J2120" s="2" t="str">
        <f aca="false">IF($G2120="","","=")</f>
        <v/>
      </c>
      <c r="K2120" s="2" t="str">
        <f aca="false">""</f>
        <v/>
      </c>
      <c r="L2120" s="2" t="str">
        <f aca="false">IF($G2120="","","同時")</f>
        <v/>
      </c>
      <c r="M2120" s="2" t="str">
        <f aca="false">IF($G2120="","",IF(ISNA(MATCH($G2120,個別指定!$A:$A,0)),"行なし",""))</f>
        <v/>
      </c>
      <c r="N2120" s="2" t="str">
        <f aca="false">IF($G2120="","",IF(COUNTIF($G$2:$G$4460,$G2120)&gt;1,"重複",""))</f>
        <v/>
      </c>
    </row>
    <row r="2121" customFormat="false" ht="16.5" hidden="false" customHeight="true" outlineLevel="0" collapsed="false">
      <c r="A2121" s="2" t="s">
        <v>416</v>
      </c>
      <c r="B2121" s="2" t="s">
        <v>429</v>
      </c>
      <c r="C2121" s="2" t="s">
        <v>12</v>
      </c>
      <c r="D2121" s="2" t="str">
        <f aca="false">IF(3キー同時!$B$162="","",3キー同時!$B$162)</f>
        <v>m</v>
      </c>
      <c r="E2121" s="2" t="str">
        <f aca="false">IF(3キー同時!$G$162="","",3キー同時!$G$162)</f>
        <v>k</v>
      </c>
      <c r="F2121" s="2" t="str">
        <f aca="false">""</f>
        <v/>
      </c>
      <c r="G2121" s="2" t="str">
        <f aca="false">IF(OR(3キー同時!$B$162="",3キー同時!$G$162=""),"",IF(3キー同時!H166="","",SUBSTITUTE(SUBSTITUTE(3キー同時!H166," ",""),"　","")))</f>
        <v/>
      </c>
      <c r="H2121" s="2" t="str">
        <f aca="false">IF($G2121="","",3キー同時!$B$162)</f>
        <v/>
      </c>
      <c r="I2121" s="2" t="str">
        <f aca="false">IF($G2121="","",3キー同時!$G$162)</f>
        <v/>
      </c>
      <c r="J2121" s="2" t="str">
        <f aca="false">IF($G2121="","","q")</f>
        <v/>
      </c>
      <c r="K2121" s="2" t="str">
        <f aca="false">""</f>
        <v/>
      </c>
      <c r="L2121" s="2" t="str">
        <f aca="false">IF($G2121="","","同時")</f>
        <v/>
      </c>
      <c r="M2121" s="2" t="str">
        <f aca="false">IF($G2121="","",IF(ISNA(MATCH($G2121,個別指定!$A:$A,0)),"行なし",""))</f>
        <v/>
      </c>
      <c r="N2121" s="2" t="str">
        <f aca="false">IF($G2121="","",IF(COUNTIF($G$2:$G$4460,$G2121)&gt;1,"重複",""))</f>
        <v/>
      </c>
    </row>
    <row r="2122" customFormat="false" ht="16.5" hidden="false" customHeight="true" outlineLevel="0" collapsed="false">
      <c r="A2122" s="2" t="s">
        <v>416</v>
      </c>
      <c r="B2122" s="2" t="s">
        <v>429</v>
      </c>
      <c r="C2122" s="2" t="s">
        <v>13</v>
      </c>
      <c r="D2122" s="2" t="str">
        <f aca="false">IF(3キー同時!$B$162="","",3キー同時!$B$162)</f>
        <v>m</v>
      </c>
      <c r="E2122" s="2" t="str">
        <f aca="false">IF(3キー同時!$G$162="","",3キー同時!$G$162)</f>
        <v>k</v>
      </c>
      <c r="F2122" s="2" t="str">
        <f aca="false">""</f>
        <v/>
      </c>
      <c r="G2122" s="2" t="str">
        <f aca="false">IF(OR(3キー同時!$B$162="",3キー同時!$G$162=""),"",IF(3キー同時!L166="","",SUBSTITUTE(SUBSTITUTE(3キー同時!L166," ",""),"　","")))</f>
        <v/>
      </c>
      <c r="H2122" s="2" t="str">
        <f aca="false">IF($G2122="","",3キー同時!$B$162)</f>
        <v/>
      </c>
      <c r="I2122" s="2" t="str">
        <f aca="false">IF($G2122="","",3キー同時!$G$162)</f>
        <v/>
      </c>
      <c r="J2122" s="2" t="str">
        <f aca="false">IF($G2122="","","w")</f>
        <v/>
      </c>
      <c r="K2122" s="2" t="str">
        <f aca="false">""</f>
        <v/>
      </c>
      <c r="L2122" s="2" t="str">
        <f aca="false">IF($G2122="","","同時")</f>
        <v/>
      </c>
      <c r="M2122" s="2" t="str">
        <f aca="false">IF($G2122="","",IF(ISNA(MATCH($G2122,個別指定!$A:$A,0)),"行なし",""))</f>
        <v/>
      </c>
      <c r="N2122" s="2" t="str">
        <f aca="false">IF($G2122="","",IF(COUNTIF($G$2:$G$4460,$G2122)&gt;1,"重複",""))</f>
        <v/>
      </c>
    </row>
    <row r="2123" customFormat="false" ht="16.5" hidden="false" customHeight="true" outlineLevel="0" collapsed="false">
      <c r="A2123" s="2" t="s">
        <v>416</v>
      </c>
      <c r="B2123" s="2" t="s">
        <v>429</v>
      </c>
      <c r="C2123" s="2" t="s">
        <v>14</v>
      </c>
      <c r="D2123" s="2" t="str">
        <f aca="false">IF(3キー同時!$B$162="","",3キー同時!$B$162)</f>
        <v>m</v>
      </c>
      <c r="E2123" s="2" t="str">
        <f aca="false">IF(3キー同時!$G$162="","",3キー同時!$G$162)</f>
        <v>k</v>
      </c>
      <c r="F2123" s="2" t="str">
        <f aca="false">""</f>
        <v/>
      </c>
      <c r="G2123" s="2" t="str">
        <f aca="false">IF(OR(3キー同時!$B$162="",3キー同時!$G$162=""),"",IF(3キー同時!P166="","",SUBSTITUTE(SUBSTITUTE(3キー同時!P166," ",""),"　","")))</f>
        <v>てぃ</v>
      </c>
      <c r="H2123" s="2" t="str">
        <f aca="false">IF($G2123="","",3キー同時!$B$162)</f>
        <v>m</v>
      </c>
      <c r="I2123" s="2" t="str">
        <f aca="false">IF($G2123="","",3キー同時!$G$162)</f>
        <v>k</v>
      </c>
      <c r="J2123" s="2" t="str">
        <f aca="false">IF($G2123="","","e")</f>
        <v>e</v>
      </c>
      <c r="K2123" s="2" t="str">
        <f aca="false">""</f>
        <v/>
      </c>
      <c r="L2123" s="2" t="str">
        <f aca="false">IF($G2123="","","同時")</f>
        <v>同時</v>
      </c>
      <c r="M2123" s="2" t="str">
        <f aca="false">IF($G2123="","",IF(ISNA(MATCH($G2123,個別指定!$A:$A,0)),"行なし",""))</f>
        <v/>
      </c>
      <c r="N2123" s="2" t="str">
        <f aca="false">IF($G2123="","",IF(COUNTIF($G$2:$G$4460,$G2123)&gt;1,"重複",""))</f>
        <v/>
      </c>
    </row>
    <row r="2124" customFormat="false" ht="16.5" hidden="false" customHeight="true" outlineLevel="0" collapsed="false">
      <c r="A2124" s="2" t="s">
        <v>416</v>
      </c>
      <c r="B2124" s="2" t="s">
        <v>429</v>
      </c>
      <c r="C2124" s="2" t="s">
        <v>15</v>
      </c>
      <c r="D2124" s="2" t="str">
        <f aca="false">IF(3キー同時!$B$162="","",3キー同時!$B$162)</f>
        <v>m</v>
      </c>
      <c r="E2124" s="2" t="str">
        <f aca="false">IF(3キー同時!$G$162="","",3キー同時!$G$162)</f>
        <v>k</v>
      </c>
      <c r="F2124" s="2" t="str">
        <f aca="false">""</f>
        <v/>
      </c>
      <c r="G2124" s="2" t="str">
        <f aca="false">IF(OR(3キー同時!$B$162="",3キー同時!$G$162=""),"",IF(3キー同時!T166="","",SUBSTITUTE(SUBSTITUTE(3キー同時!T166," ",""),"　","")))</f>
        <v/>
      </c>
      <c r="H2124" s="2" t="str">
        <f aca="false">IF($G2124="","",3キー同時!$B$162)</f>
        <v/>
      </c>
      <c r="I2124" s="2" t="str">
        <f aca="false">IF($G2124="","",3キー同時!$G$162)</f>
        <v/>
      </c>
      <c r="J2124" s="2" t="str">
        <f aca="false">IF($G2124="","","r")</f>
        <v/>
      </c>
      <c r="K2124" s="2" t="str">
        <f aca="false">""</f>
        <v/>
      </c>
      <c r="L2124" s="2" t="str">
        <f aca="false">IF($G2124="","","同時")</f>
        <v/>
      </c>
      <c r="M2124" s="2" t="str">
        <f aca="false">IF($G2124="","",IF(ISNA(MATCH($G2124,個別指定!$A:$A,0)),"行なし",""))</f>
        <v/>
      </c>
      <c r="N2124" s="2" t="str">
        <f aca="false">IF($G2124="","",IF(COUNTIF($G$2:$G$4460,$G2124)&gt;1,"重複",""))</f>
        <v/>
      </c>
    </row>
    <row r="2125" customFormat="false" ht="16.5" hidden="false" customHeight="true" outlineLevel="0" collapsed="false">
      <c r="A2125" s="2" t="s">
        <v>416</v>
      </c>
      <c r="B2125" s="2" t="s">
        <v>429</v>
      </c>
      <c r="C2125" s="2" t="s">
        <v>16</v>
      </c>
      <c r="D2125" s="2" t="str">
        <f aca="false">IF(3キー同時!$B$162="","",3キー同時!$B$162)</f>
        <v>m</v>
      </c>
      <c r="E2125" s="2" t="str">
        <f aca="false">IF(3キー同時!$G$162="","",3キー同時!$G$162)</f>
        <v>k</v>
      </c>
      <c r="F2125" s="2" t="str">
        <f aca="false">""</f>
        <v/>
      </c>
      <c r="G2125" s="2" t="str">
        <f aca="false">IF(OR(3キー同時!$B$162="",3キー同時!$G$162=""),"",IF(3キー同時!X166="","",SUBSTITUTE(SUBSTITUTE(3キー同時!X166," ",""),"　","")))</f>
        <v/>
      </c>
      <c r="H2125" s="2" t="str">
        <f aca="false">IF($G2125="","",3キー同時!$B$162)</f>
        <v/>
      </c>
      <c r="I2125" s="2" t="str">
        <f aca="false">IF($G2125="","",3キー同時!$G$162)</f>
        <v/>
      </c>
      <c r="J2125" s="2" t="str">
        <f aca="false">IF($G2125="","","t")</f>
        <v/>
      </c>
      <c r="K2125" s="2" t="str">
        <f aca="false">""</f>
        <v/>
      </c>
      <c r="L2125" s="2" t="str">
        <f aca="false">IF($G2125="","","同時")</f>
        <v/>
      </c>
      <c r="M2125" s="2" t="str">
        <f aca="false">IF($G2125="","",IF(ISNA(MATCH($G2125,個別指定!$A:$A,0)),"行なし",""))</f>
        <v/>
      </c>
      <c r="N2125" s="2" t="str">
        <f aca="false">IF($G2125="","",IF(COUNTIF($G$2:$G$4460,$G2125)&gt;1,"重複",""))</f>
        <v/>
      </c>
    </row>
    <row r="2126" customFormat="false" ht="16.5" hidden="false" customHeight="true" outlineLevel="0" collapsed="false">
      <c r="A2126" s="2" t="s">
        <v>416</v>
      </c>
      <c r="B2126" s="2" t="s">
        <v>429</v>
      </c>
      <c r="C2126" s="2" t="s">
        <v>17</v>
      </c>
      <c r="D2126" s="2" t="str">
        <f aca="false">IF(3キー同時!$B$162="","",3キー同時!$B$162)</f>
        <v>m</v>
      </c>
      <c r="E2126" s="2" t="str">
        <f aca="false">IF(3キー同時!$G$162="","",3キー同時!$G$162)</f>
        <v>k</v>
      </c>
      <c r="F2126" s="2" t="str">
        <f aca="false">""</f>
        <v/>
      </c>
      <c r="G2126" s="2" t="str">
        <f aca="false">IF(OR(3キー同時!$B$162="",3キー同時!$G$162=""),"",IF(3キー同時!AB166="","",SUBSTITUTE(SUBSTITUTE(3キー同時!AB166," ",""),"　","")))</f>
        <v/>
      </c>
      <c r="H2126" s="2" t="str">
        <f aca="false">IF($G2126="","",3キー同時!$B$162)</f>
        <v/>
      </c>
      <c r="I2126" s="2" t="str">
        <f aca="false">IF($G2126="","",3キー同時!$G$162)</f>
        <v/>
      </c>
      <c r="J2126" s="2" t="str">
        <f aca="false">IF($G2126="","","y")</f>
        <v/>
      </c>
      <c r="K2126" s="2" t="str">
        <f aca="false">""</f>
        <v/>
      </c>
      <c r="L2126" s="2" t="str">
        <f aca="false">IF($G2126="","","同時")</f>
        <v/>
      </c>
      <c r="M2126" s="2" t="str">
        <f aca="false">IF($G2126="","",IF(ISNA(MATCH($G2126,個別指定!$A:$A,0)),"行なし",""))</f>
        <v/>
      </c>
      <c r="N2126" s="2" t="str">
        <f aca="false">IF($G2126="","",IF(COUNTIF($G$2:$G$4460,$G2126)&gt;1,"重複",""))</f>
        <v/>
      </c>
    </row>
    <row r="2127" customFormat="false" ht="16.5" hidden="false" customHeight="true" outlineLevel="0" collapsed="false">
      <c r="A2127" s="2" t="s">
        <v>416</v>
      </c>
      <c r="B2127" s="2" t="s">
        <v>429</v>
      </c>
      <c r="C2127" s="2" t="s">
        <v>18</v>
      </c>
      <c r="D2127" s="2" t="str">
        <f aca="false">IF(3キー同時!$B$162="","",3キー同時!$B$162)</f>
        <v>m</v>
      </c>
      <c r="E2127" s="2" t="str">
        <f aca="false">IF(3キー同時!$G$162="","",3キー同時!$G$162)</f>
        <v>k</v>
      </c>
      <c r="F2127" s="2" t="str">
        <f aca="false">""</f>
        <v/>
      </c>
      <c r="G2127" s="2" t="str">
        <f aca="false">IF(OR(3キー同時!$B$162="",3キー同時!$G$162=""),"",IF(3キー同時!AF166="","",SUBSTITUTE(SUBSTITUTE(3キー同時!AF166," ",""),"　","")))</f>
        <v/>
      </c>
      <c r="H2127" s="2" t="str">
        <f aca="false">IF($G2127="","",3キー同時!$B$162)</f>
        <v/>
      </c>
      <c r="I2127" s="2" t="str">
        <f aca="false">IF($G2127="","",3キー同時!$G$162)</f>
        <v/>
      </c>
      <c r="J2127" s="2" t="str">
        <f aca="false">IF($G2127="","","u")</f>
        <v/>
      </c>
      <c r="K2127" s="2" t="str">
        <f aca="false">""</f>
        <v/>
      </c>
      <c r="L2127" s="2" t="str">
        <f aca="false">IF($G2127="","","同時")</f>
        <v/>
      </c>
      <c r="M2127" s="2" t="str">
        <f aca="false">IF($G2127="","",IF(ISNA(MATCH($G2127,個別指定!$A:$A,0)),"行なし",""))</f>
        <v/>
      </c>
      <c r="N2127" s="2" t="str">
        <f aca="false">IF($G2127="","",IF(COUNTIF($G$2:$G$4460,$G2127)&gt;1,"重複",""))</f>
        <v/>
      </c>
    </row>
    <row r="2128" customFormat="false" ht="16.5" hidden="false" customHeight="true" outlineLevel="0" collapsed="false">
      <c r="A2128" s="2" t="s">
        <v>416</v>
      </c>
      <c r="B2128" s="2" t="s">
        <v>429</v>
      </c>
      <c r="C2128" s="2" t="s">
        <v>19</v>
      </c>
      <c r="D2128" s="2" t="str">
        <f aca="false">IF(3キー同時!$B$162="","",3キー同時!$B$162)</f>
        <v>m</v>
      </c>
      <c r="E2128" s="2" t="str">
        <f aca="false">IF(3キー同時!$G$162="","",3キー同時!$G$162)</f>
        <v>k</v>
      </c>
      <c r="F2128" s="2" t="str">
        <f aca="false">""</f>
        <v/>
      </c>
      <c r="G2128" s="2" t="str">
        <f aca="false">IF(OR(3キー同時!$B$162="",3キー同時!$G$162=""),"",IF(3キー同時!AJ166="","",SUBSTITUTE(SUBSTITUTE(3キー同時!AJ166," ",""),"　","")))</f>
        <v/>
      </c>
      <c r="H2128" s="2" t="str">
        <f aca="false">IF($G2128="","",3キー同時!$B$162)</f>
        <v/>
      </c>
      <c r="I2128" s="2" t="str">
        <f aca="false">IF($G2128="","",3キー同時!$G$162)</f>
        <v/>
      </c>
      <c r="J2128" s="2" t="str">
        <f aca="false">IF($G2128="","","i")</f>
        <v/>
      </c>
      <c r="K2128" s="2" t="str">
        <f aca="false">""</f>
        <v/>
      </c>
      <c r="L2128" s="2" t="str">
        <f aca="false">IF($G2128="","","同時")</f>
        <v/>
      </c>
      <c r="M2128" s="2" t="str">
        <f aca="false">IF($G2128="","",IF(ISNA(MATCH($G2128,個別指定!$A:$A,0)),"行なし",""))</f>
        <v/>
      </c>
      <c r="N2128" s="2" t="str">
        <f aca="false">IF($G2128="","",IF(COUNTIF($G$2:$G$4460,$G2128)&gt;1,"重複",""))</f>
        <v/>
      </c>
    </row>
    <row r="2129" customFormat="false" ht="16.5" hidden="false" customHeight="true" outlineLevel="0" collapsed="false">
      <c r="A2129" s="2" t="s">
        <v>416</v>
      </c>
      <c r="B2129" s="2" t="s">
        <v>429</v>
      </c>
      <c r="C2129" s="2" t="s">
        <v>20</v>
      </c>
      <c r="D2129" s="2" t="str">
        <f aca="false">IF(3キー同時!$B$162="","",3キー同時!$B$162)</f>
        <v>m</v>
      </c>
      <c r="E2129" s="2" t="str">
        <f aca="false">IF(3キー同時!$G$162="","",3キー同時!$G$162)</f>
        <v>k</v>
      </c>
      <c r="F2129" s="2" t="str">
        <f aca="false">""</f>
        <v/>
      </c>
      <c r="G2129" s="2" t="str">
        <f aca="false">IF(OR(3キー同時!$B$162="",3キー同時!$G$162=""),"",IF(3キー同時!AN166="","",SUBSTITUTE(SUBSTITUTE(3キー同時!AN166," ",""),"　","")))</f>
        <v/>
      </c>
      <c r="H2129" s="2" t="str">
        <f aca="false">IF($G2129="","",3キー同時!$B$162)</f>
        <v/>
      </c>
      <c r="I2129" s="2" t="str">
        <f aca="false">IF($G2129="","",3キー同時!$G$162)</f>
        <v/>
      </c>
      <c r="J2129" s="2" t="str">
        <f aca="false">IF($G2129="","","o")</f>
        <v/>
      </c>
      <c r="K2129" s="2" t="str">
        <f aca="false">""</f>
        <v/>
      </c>
      <c r="L2129" s="2" t="str">
        <f aca="false">IF($G2129="","","同時")</f>
        <v/>
      </c>
      <c r="M2129" s="2" t="str">
        <f aca="false">IF($G2129="","",IF(ISNA(MATCH($G2129,個別指定!$A:$A,0)),"行なし",""))</f>
        <v/>
      </c>
      <c r="N2129" s="2" t="str">
        <f aca="false">IF($G2129="","",IF(COUNTIF($G$2:$G$4460,$G2129)&gt;1,"重複",""))</f>
        <v/>
      </c>
    </row>
    <row r="2130" customFormat="false" ht="16.5" hidden="false" customHeight="true" outlineLevel="0" collapsed="false">
      <c r="A2130" s="2" t="s">
        <v>416</v>
      </c>
      <c r="B2130" s="2" t="s">
        <v>429</v>
      </c>
      <c r="C2130" s="2" t="s">
        <v>21</v>
      </c>
      <c r="D2130" s="2" t="str">
        <f aca="false">IF(3キー同時!$B$162="","",3キー同時!$B$162)</f>
        <v>m</v>
      </c>
      <c r="E2130" s="2" t="str">
        <f aca="false">IF(3キー同時!$G$162="","",3キー同時!$G$162)</f>
        <v>k</v>
      </c>
      <c r="F2130" s="2" t="str">
        <f aca="false">""</f>
        <v/>
      </c>
      <c r="G2130" s="2" t="str">
        <f aca="false">IF(OR(3キー同時!$B$162="",3キー同時!$G$162=""),"",IF(3キー同時!AR166="","",SUBSTITUTE(SUBSTITUTE(3キー同時!AR166," ",""),"　","")))</f>
        <v/>
      </c>
      <c r="H2130" s="2" t="str">
        <f aca="false">IF($G2130="","",3キー同時!$B$162)</f>
        <v/>
      </c>
      <c r="I2130" s="2" t="str">
        <f aca="false">IF($G2130="","",3キー同時!$G$162)</f>
        <v/>
      </c>
      <c r="J2130" s="2" t="str">
        <f aca="false">IF($G2130="","","p")</f>
        <v/>
      </c>
      <c r="K2130" s="2" t="str">
        <f aca="false">""</f>
        <v/>
      </c>
      <c r="L2130" s="2" t="str">
        <f aca="false">IF($G2130="","","同時")</f>
        <v/>
      </c>
      <c r="M2130" s="2" t="str">
        <f aca="false">IF($G2130="","",IF(ISNA(MATCH($G2130,個別指定!$A:$A,0)),"行なし",""))</f>
        <v/>
      </c>
      <c r="N2130" s="2" t="str">
        <f aca="false">IF($G2130="","",IF(COUNTIF($G$2:$G$4460,$G2130)&gt;1,"重複",""))</f>
        <v/>
      </c>
    </row>
    <row r="2131" customFormat="false" ht="16.5" hidden="false" customHeight="true" outlineLevel="0" collapsed="false">
      <c r="A2131" s="2" t="s">
        <v>416</v>
      </c>
      <c r="B2131" s="2" t="s">
        <v>429</v>
      </c>
      <c r="C2131" s="2" t="s">
        <v>22</v>
      </c>
      <c r="D2131" s="2" t="str">
        <f aca="false">IF(3キー同時!$B$162="","",3キー同時!$B$162)</f>
        <v>m</v>
      </c>
      <c r="E2131" s="2" t="str">
        <f aca="false">IF(3キー同時!$G$162="","",3キー同時!$G$162)</f>
        <v>k</v>
      </c>
      <c r="F2131" s="2" t="str">
        <f aca="false">""</f>
        <v/>
      </c>
      <c r="G2131" s="2" t="str">
        <f aca="false">IF(OR(3キー同時!$B$162="",3キー同時!$G$162=""),"",IF(3キー同時!AV166="","",SUBSTITUTE(SUBSTITUTE(3キー同時!AV166," ",""),"　","")))</f>
        <v/>
      </c>
      <c r="H2131" s="2" t="str">
        <f aca="false">IF($G2131="","",3キー同時!$B$162)</f>
        <v/>
      </c>
      <c r="I2131" s="2" t="str">
        <f aca="false">IF($G2131="","",3キー同時!$G$162)</f>
        <v/>
      </c>
      <c r="J2131" s="2" t="str">
        <f aca="false">IF($G2131="","","[")</f>
        <v/>
      </c>
      <c r="K2131" s="2" t="str">
        <f aca="false">""</f>
        <v/>
      </c>
      <c r="L2131" s="2" t="str">
        <f aca="false">IF($G2131="","","同時")</f>
        <v/>
      </c>
      <c r="M2131" s="2" t="str">
        <f aca="false">IF($G2131="","",IF(ISNA(MATCH($G2131,個別指定!$A:$A,0)),"行なし",""))</f>
        <v/>
      </c>
      <c r="N2131" s="2" t="str">
        <f aca="false">IF($G2131="","",IF(COUNTIF($G$2:$G$4460,$G2131)&gt;1,"重複",""))</f>
        <v/>
      </c>
    </row>
    <row r="2132" customFormat="false" ht="16.5" hidden="false" customHeight="true" outlineLevel="0" collapsed="false">
      <c r="A2132" s="2" t="s">
        <v>416</v>
      </c>
      <c r="B2132" s="2" t="s">
        <v>429</v>
      </c>
      <c r="C2132" s="2" t="s">
        <v>23</v>
      </c>
      <c r="D2132" s="2" t="str">
        <f aca="false">IF(3キー同時!$B$162="","",3キー同時!$B$162)</f>
        <v>m</v>
      </c>
      <c r="E2132" s="2" t="str">
        <f aca="false">IF(3キー同時!$G$162="","",3キー同時!$G$162)</f>
        <v>k</v>
      </c>
      <c r="F2132" s="2" t="str">
        <f aca="false">""</f>
        <v/>
      </c>
      <c r="G2132" s="2" t="str">
        <f aca="false">IF(OR(3キー同時!$B$162="",3キー同時!$G$162=""),"",IF(3キー同時!AZ166="","",SUBSTITUTE(SUBSTITUTE(3キー同時!AZ166," ",""),"　","")))</f>
        <v/>
      </c>
      <c r="H2132" s="2" t="str">
        <f aca="false">IF($G2132="","",3キー同時!$B$162)</f>
        <v/>
      </c>
      <c r="I2132" s="2" t="str">
        <f aca="false">IF($G2132="","",3キー同時!$G$162)</f>
        <v/>
      </c>
      <c r="J2132" s="2" t="str">
        <f aca="false">IF($G2132="","","]")</f>
        <v/>
      </c>
      <c r="K2132" s="2" t="str">
        <f aca="false">""</f>
        <v/>
      </c>
      <c r="L2132" s="2" t="str">
        <f aca="false">IF($G2132="","","同時")</f>
        <v/>
      </c>
      <c r="M2132" s="2" t="str">
        <f aca="false">IF($G2132="","",IF(ISNA(MATCH($G2132,個別指定!$A:$A,0)),"行なし",""))</f>
        <v/>
      </c>
      <c r="N2132" s="2" t="str">
        <f aca="false">IF($G2132="","",IF(COUNTIF($G$2:$G$4460,$G2132)&gt;1,"重複",""))</f>
        <v/>
      </c>
    </row>
    <row r="2133" customFormat="false" ht="16.5" hidden="false" customHeight="true" outlineLevel="0" collapsed="false">
      <c r="A2133" s="2" t="s">
        <v>416</v>
      </c>
      <c r="B2133" s="2" t="s">
        <v>429</v>
      </c>
      <c r="C2133" s="2" t="s">
        <v>24</v>
      </c>
      <c r="D2133" s="2" t="str">
        <f aca="false">IF(3キー同時!$B$162="","",3キー同時!$B$162)</f>
        <v>m</v>
      </c>
      <c r="E2133" s="2" t="str">
        <f aca="false">IF(3キー同時!$G$162="","",3キー同時!$G$162)</f>
        <v>k</v>
      </c>
      <c r="F2133" s="2" t="str">
        <f aca="false">""</f>
        <v/>
      </c>
      <c r="G2133" s="2" t="str">
        <f aca="false">IF(OR(3キー同時!$B$162="",3キー同時!$G$162=""),"",IF(3キー同時!I168="","",SUBSTITUTE(SUBSTITUTE(3キー同時!I168," ",""),"　","")))</f>
        <v/>
      </c>
      <c r="H2133" s="2" t="str">
        <f aca="false">IF($G2133="","",3キー同時!$B$162)</f>
        <v/>
      </c>
      <c r="I2133" s="2" t="str">
        <f aca="false">IF($G2133="","",3キー同時!$G$162)</f>
        <v/>
      </c>
      <c r="J2133" s="2" t="str">
        <f aca="false">IF($G2133="","","a")</f>
        <v/>
      </c>
      <c r="K2133" s="2" t="str">
        <f aca="false">""</f>
        <v/>
      </c>
      <c r="L2133" s="2" t="str">
        <f aca="false">IF($G2133="","","同時")</f>
        <v/>
      </c>
      <c r="M2133" s="2" t="str">
        <f aca="false">IF($G2133="","",IF(ISNA(MATCH($G2133,個別指定!$A:$A,0)),"行なし",""))</f>
        <v/>
      </c>
      <c r="N2133" s="2" t="str">
        <f aca="false">IF($G2133="","",IF(COUNTIF($G$2:$G$4460,$G2133)&gt;1,"重複",""))</f>
        <v/>
      </c>
    </row>
    <row r="2134" customFormat="false" ht="16.5" hidden="false" customHeight="true" outlineLevel="0" collapsed="false">
      <c r="A2134" s="2" t="s">
        <v>416</v>
      </c>
      <c r="B2134" s="2" t="s">
        <v>429</v>
      </c>
      <c r="C2134" s="2" t="s">
        <v>25</v>
      </c>
      <c r="D2134" s="2" t="str">
        <f aca="false">IF(3キー同時!$B$162="","",3キー同時!$B$162)</f>
        <v>m</v>
      </c>
      <c r="E2134" s="2" t="str">
        <f aca="false">IF(3キー同時!$G$162="","",3キー同時!$G$162)</f>
        <v>k</v>
      </c>
      <c r="F2134" s="2" t="str">
        <f aca="false">""</f>
        <v/>
      </c>
      <c r="G2134" s="2" t="str">
        <f aca="false">IF(OR(3キー同時!$B$162="",3キー同時!$G$162=""),"",IF(3キー同時!M168="","",SUBSTITUTE(SUBSTITUTE(3キー同時!M168," ",""),"　","")))</f>
        <v/>
      </c>
      <c r="H2134" s="2" t="str">
        <f aca="false">IF($G2134="","",3キー同時!$B$162)</f>
        <v/>
      </c>
      <c r="I2134" s="2" t="str">
        <f aca="false">IF($G2134="","",3キー同時!$G$162)</f>
        <v/>
      </c>
      <c r="J2134" s="2" t="str">
        <f aca="false">IF($G2134="","","s")</f>
        <v/>
      </c>
      <c r="K2134" s="2" t="str">
        <f aca="false">""</f>
        <v/>
      </c>
      <c r="L2134" s="2" t="str">
        <f aca="false">IF($G2134="","","同時")</f>
        <v/>
      </c>
      <c r="M2134" s="2" t="str">
        <f aca="false">IF($G2134="","",IF(ISNA(MATCH($G2134,個別指定!$A:$A,0)),"行なし",""))</f>
        <v/>
      </c>
      <c r="N2134" s="2" t="str">
        <f aca="false">IF($G2134="","",IF(COUNTIF($G$2:$G$4460,$G2134)&gt;1,"重複",""))</f>
        <v/>
      </c>
    </row>
    <row r="2135" customFormat="false" ht="16.5" hidden="false" customHeight="true" outlineLevel="0" collapsed="false">
      <c r="A2135" s="2" t="s">
        <v>416</v>
      </c>
      <c r="B2135" s="2" t="s">
        <v>429</v>
      </c>
      <c r="C2135" s="2" t="s">
        <v>26</v>
      </c>
      <c r="D2135" s="2" t="str">
        <f aca="false">IF(3キー同時!$B$162="","",3キー同時!$B$162)</f>
        <v>m</v>
      </c>
      <c r="E2135" s="2" t="str">
        <f aca="false">IF(3キー同時!$G$162="","",3キー同時!$G$162)</f>
        <v>k</v>
      </c>
      <c r="F2135" s="2" t="str">
        <f aca="false">""</f>
        <v/>
      </c>
      <c r="G2135" s="2" t="str">
        <f aca="false">IF(OR(3キー同時!$B$162="",3キー同時!$G$162=""),"",IF(3キー同時!Q168="","",SUBSTITUTE(SUBSTITUTE(3キー同時!Q168," ",""),"　","")))</f>
        <v/>
      </c>
      <c r="H2135" s="2" t="str">
        <f aca="false">IF($G2135="","",3キー同時!$B$162)</f>
        <v/>
      </c>
      <c r="I2135" s="2" t="str">
        <f aca="false">IF($G2135="","",3キー同時!$G$162)</f>
        <v/>
      </c>
      <c r="J2135" s="2" t="str">
        <f aca="false">IF($G2135="","","d")</f>
        <v/>
      </c>
      <c r="K2135" s="2" t="str">
        <f aca="false">""</f>
        <v/>
      </c>
      <c r="L2135" s="2" t="str">
        <f aca="false">IF($G2135="","","同時")</f>
        <v/>
      </c>
      <c r="M2135" s="2" t="str">
        <f aca="false">IF($G2135="","",IF(ISNA(MATCH($G2135,個別指定!$A:$A,0)),"行なし",""))</f>
        <v/>
      </c>
      <c r="N2135" s="2" t="str">
        <f aca="false">IF($G2135="","",IF(COUNTIF($G$2:$G$4460,$G2135)&gt;1,"重複",""))</f>
        <v/>
      </c>
    </row>
    <row r="2136" customFormat="false" ht="16.5" hidden="false" customHeight="true" outlineLevel="0" collapsed="false">
      <c r="A2136" s="2" t="s">
        <v>416</v>
      </c>
      <c r="B2136" s="2" t="s">
        <v>429</v>
      </c>
      <c r="C2136" s="2" t="s">
        <v>27</v>
      </c>
      <c r="D2136" s="2" t="str">
        <f aca="false">IF(3キー同時!$B$162="","",3キー同時!$B$162)</f>
        <v>m</v>
      </c>
      <c r="E2136" s="2" t="str">
        <f aca="false">IF(3キー同時!$G$162="","",3キー同時!$G$162)</f>
        <v>k</v>
      </c>
      <c r="F2136" s="2" t="str">
        <f aca="false">""</f>
        <v/>
      </c>
      <c r="G2136" s="2" t="str">
        <f aca="false">IF(OR(3キー同時!$B$162="",3キー同時!$G$162=""),"",IF(3キー同時!U168="","",SUBSTITUTE(SUBSTITUTE(3キー同時!U168," ",""),"　","")))</f>
        <v/>
      </c>
      <c r="H2136" s="2" t="str">
        <f aca="false">IF($G2136="","",3キー同時!$B$162)</f>
        <v/>
      </c>
      <c r="I2136" s="2" t="str">
        <f aca="false">IF($G2136="","",3キー同時!$G$162)</f>
        <v/>
      </c>
      <c r="J2136" s="2" t="str">
        <f aca="false">IF($G2136="","","f")</f>
        <v/>
      </c>
      <c r="K2136" s="2" t="str">
        <f aca="false">""</f>
        <v/>
      </c>
      <c r="L2136" s="2" t="str">
        <f aca="false">IF($G2136="","","同時")</f>
        <v/>
      </c>
      <c r="M2136" s="2" t="str">
        <f aca="false">IF($G2136="","",IF(ISNA(MATCH($G2136,個別指定!$A:$A,0)),"行なし",""))</f>
        <v/>
      </c>
      <c r="N2136" s="2" t="str">
        <f aca="false">IF($G2136="","",IF(COUNTIF($G$2:$G$4460,$G2136)&gt;1,"重複",""))</f>
        <v/>
      </c>
    </row>
    <row r="2137" customFormat="false" ht="16.5" hidden="false" customHeight="true" outlineLevel="0" collapsed="false">
      <c r="A2137" s="2" t="s">
        <v>416</v>
      </c>
      <c r="B2137" s="2" t="s">
        <v>429</v>
      </c>
      <c r="C2137" s="2" t="s">
        <v>28</v>
      </c>
      <c r="D2137" s="2" t="str">
        <f aca="false">IF(3キー同時!$B$162="","",3キー同時!$B$162)</f>
        <v>m</v>
      </c>
      <c r="E2137" s="2" t="str">
        <f aca="false">IF(3キー同時!$G$162="","",3キー同時!$G$162)</f>
        <v>k</v>
      </c>
      <c r="F2137" s="2" t="str">
        <f aca="false">""</f>
        <v/>
      </c>
      <c r="G2137" s="2" t="str">
        <f aca="false">IF(OR(3キー同時!$B$162="",3キー同時!$G$162=""),"",IF(3キー同時!Y168="","",SUBSTITUTE(SUBSTITUTE(3キー同時!Y168," ",""),"　","")))</f>
        <v/>
      </c>
      <c r="H2137" s="2" t="str">
        <f aca="false">IF($G2137="","",3キー同時!$B$162)</f>
        <v/>
      </c>
      <c r="I2137" s="2" t="str">
        <f aca="false">IF($G2137="","",3キー同時!$G$162)</f>
        <v/>
      </c>
      <c r="J2137" s="2" t="str">
        <f aca="false">IF($G2137="","","g")</f>
        <v/>
      </c>
      <c r="K2137" s="2" t="str">
        <f aca="false">""</f>
        <v/>
      </c>
      <c r="L2137" s="2" t="str">
        <f aca="false">IF($G2137="","","同時")</f>
        <v/>
      </c>
      <c r="M2137" s="2" t="str">
        <f aca="false">IF($G2137="","",IF(ISNA(MATCH($G2137,個別指定!$A:$A,0)),"行なし",""))</f>
        <v/>
      </c>
      <c r="N2137" s="2" t="str">
        <f aca="false">IF($G2137="","",IF(COUNTIF($G$2:$G$4460,$G2137)&gt;1,"重複",""))</f>
        <v/>
      </c>
    </row>
    <row r="2138" customFormat="false" ht="16.5" hidden="false" customHeight="true" outlineLevel="0" collapsed="false">
      <c r="A2138" s="2" t="s">
        <v>416</v>
      </c>
      <c r="B2138" s="2" t="s">
        <v>429</v>
      </c>
      <c r="C2138" s="2" t="s">
        <v>29</v>
      </c>
      <c r="D2138" s="2" t="str">
        <f aca="false">IF(3キー同時!$B$162="","",3キー同時!$B$162)</f>
        <v>m</v>
      </c>
      <c r="E2138" s="2" t="str">
        <f aca="false">IF(3キー同時!$G$162="","",3キー同時!$G$162)</f>
        <v>k</v>
      </c>
      <c r="F2138" s="2" t="str">
        <f aca="false">""</f>
        <v/>
      </c>
      <c r="G2138" s="2" t="str">
        <f aca="false">IF(OR(3キー同時!$B$162="",3キー同時!$G$162=""),"",IF(3キー同時!AC168="","",SUBSTITUTE(SUBSTITUTE(3キー同時!AC168," ",""),"　","")))</f>
        <v/>
      </c>
      <c r="H2138" s="2" t="str">
        <f aca="false">IF($G2138="","",3キー同時!$B$162)</f>
        <v/>
      </c>
      <c r="I2138" s="2" t="str">
        <f aca="false">IF($G2138="","",3キー同時!$G$162)</f>
        <v/>
      </c>
      <c r="J2138" s="2" t="str">
        <f aca="false">IF($G2138="","","h")</f>
        <v/>
      </c>
      <c r="K2138" s="2" t="str">
        <f aca="false">""</f>
        <v/>
      </c>
      <c r="L2138" s="2" t="str">
        <f aca="false">IF($G2138="","","同時")</f>
        <v/>
      </c>
      <c r="M2138" s="2" t="str">
        <f aca="false">IF($G2138="","",IF(ISNA(MATCH($G2138,個別指定!$A:$A,0)),"行なし",""))</f>
        <v/>
      </c>
      <c r="N2138" s="2" t="str">
        <f aca="false">IF($G2138="","",IF(COUNTIF($G$2:$G$4460,$G2138)&gt;1,"重複",""))</f>
        <v/>
      </c>
    </row>
    <row r="2139" customFormat="false" ht="16.5" hidden="false" customHeight="true" outlineLevel="0" collapsed="false">
      <c r="A2139" s="2" t="s">
        <v>416</v>
      </c>
      <c r="B2139" s="2" t="s">
        <v>429</v>
      </c>
      <c r="C2139" s="2" t="s">
        <v>30</v>
      </c>
      <c r="D2139" s="2" t="str">
        <f aca="false">IF(3キー同時!$B$162="","",3キー同時!$B$162)</f>
        <v>m</v>
      </c>
      <c r="E2139" s="2" t="str">
        <f aca="false">IF(3キー同時!$G$162="","",3キー同時!$G$162)</f>
        <v>k</v>
      </c>
      <c r="F2139" s="2" t="str">
        <f aca="false">""</f>
        <v/>
      </c>
      <c r="G2139" s="2" t="str">
        <f aca="false">IF(OR(3キー同時!$B$162="",3キー同時!$G$162=""),"",IF(3キー同時!AG168="","",SUBSTITUTE(SUBSTITUTE(3キー同時!AG168," ",""),"　","")))</f>
        <v/>
      </c>
      <c r="H2139" s="2" t="str">
        <f aca="false">IF($G2139="","",3キー同時!$B$162)</f>
        <v/>
      </c>
      <c r="I2139" s="2" t="str">
        <f aca="false">IF($G2139="","",3キー同時!$G$162)</f>
        <v/>
      </c>
      <c r="J2139" s="2" t="str">
        <f aca="false">IF($G2139="","","j")</f>
        <v/>
      </c>
      <c r="K2139" s="2" t="str">
        <f aca="false">""</f>
        <v/>
      </c>
      <c r="L2139" s="2" t="str">
        <f aca="false">IF($G2139="","","同時")</f>
        <v/>
      </c>
      <c r="M2139" s="2" t="str">
        <f aca="false">IF($G2139="","",IF(ISNA(MATCH($G2139,個別指定!$A:$A,0)),"行なし",""))</f>
        <v/>
      </c>
      <c r="N2139" s="2" t="str">
        <f aca="false">IF($G2139="","",IF(COUNTIF($G$2:$G$4460,$G2139)&gt;1,"重複",""))</f>
        <v/>
      </c>
    </row>
    <row r="2140" customFormat="false" ht="16.5" hidden="false" customHeight="true" outlineLevel="0" collapsed="false">
      <c r="A2140" s="2" t="s">
        <v>416</v>
      </c>
      <c r="B2140" s="2" t="s">
        <v>429</v>
      </c>
      <c r="C2140" s="2" t="s">
        <v>31</v>
      </c>
      <c r="D2140" s="2" t="str">
        <f aca="false">IF(3キー同時!$B$162="","",3キー同時!$B$162)</f>
        <v>m</v>
      </c>
      <c r="E2140" s="2" t="str">
        <f aca="false">IF(3キー同時!$G$162="","",3キー同時!$G$162)</f>
        <v>k</v>
      </c>
      <c r="F2140" s="2" t="str">
        <f aca="false">""</f>
        <v/>
      </c>
      <c r="G2140" s="2" t="str">
        <f aca="false">IF(OR(3キー同時!$B$162="",3キー同時!$G$162=""),"",IF(3キー同時!AK168="","",SUBSTITUTE(SUBSTITUTE(3キー同時!AK168," ",""),"　","")))</f>
        <v/>
      </c>
      <c r="H2140" s="2" t="str">
        <f aca="false">IF($G2140="","",3キー同時!$B$162)</f>
        <v/>
      </c>
      <c r="I2140" s="2" t="str">
        <f aca="false">IF($G2140="","",3キー同時!$G$162)</f>
        <v/>
      </c>
      <c r="J2140" s="2" t="str">
        <f aca="false">IF($G2140="","","k")</f>
        <v/>
      </c>
      <c r="K2140" s="2" t="str">
        <f aca="false">""</f>
        <v/>
      </c>
      <c r="L2140" s="2" t="str">
        <f aca="false">IF($G2140="","","同時")</f>
        <v/>
      </c>
      <c r="M2140" s="2" t="str">
        <f aca="false">IF($G2140="","",IF(ISNA(MATCH($G2140,個別指定!$A:$A,0)),"行なし",""))</f>
        <v/>
      </c>
      <c r="N2140" s="2" t="str">
        <f aca="false">IF($G2140="","",IF(COUNTIF($G$2:$G$4460,$G2140)&gt;1,"重複",""))</f>
        <v/>
      </c>
    </row>
    <row r="2141" customFormat="false" ht="16.5" hidden="false" customHeight="true" outlineLevel="0" collapsed="false">
      <c r="A2141" s="2" t="s">
        <v>416</v>
      </c>
      <c r="B2141" s="2" t="s">
        <v>429</v>
      </c>
      <c r="C2141" s="2" t="s">
        <v>32</v>
      </c>
      <c r="D2141" s="2" t="str">
        <f aca="false">IF(3キー同時!$B$162="","",3キー同時!$B$162)</f>
        <v>m</v>
      </c>
      <c r="E2141" s="2" t="str">
        <f aca="false">IF(3キー同時!$G$162="","",3キー同時!$G$162)</f>
        <v>k</v>
      </c>
      <c r="F2141" s="2" t="str">
        <f aca="false">""</f>
        <v/>
      </c>
      <c r="G2141" s="2" t="str">
        <f aca="false">IF(OR(3キー同時!$B$162="",3キー同時!$G$162=""),"",IF(3キー同時!AO168="","",SUBSTITUTE(SUBSTITUTE(3キー同時!AO168," ",""),"　","")))</f>
        <v/>
      </c>
      <c r="H2141" s="2" t="str">
        <f aca="false">IF($G2141="","",3キー同時!$B$162)</f>
        <v/>
      </c>
      <c r="I2141" s="2" t="str">
        <f aca="false">IF($G2141="","",3キー同時!$G$162)</f>
        <v/>
      </c>
      <c r="J2141" s="2" t="str">
        <f aca="false">IF($G2141="","","l")</f>
        <v/>
      </c>
      <c r="K2141" s="2" t="str">
        <f aca="false">""</f>
        <v/>
      </c>
      <c r="L2141" s="2" t="str">
        <f aca="false">IF($G2141="","","同時")</f>
        <v/>
      </c>
      <c r="M2141" s="2" t="str">
        <f aca="false">IF($G2141="","",IF(ISNA(MATCH($G2141,個別指定!$A:$A,0)),"行なし",""))</f>
        <v/>
      </c>
      <c r="N2141" s="2" t="str">
        <f aca="false">IF($G2141="","",IF(COUNTIF($G$2:$G$4460,$G2141)&gt;1,"重複",""))</f>
        <v/>
      </c>
    </row>
    <row r="2142" customFormat="false" ht="16.5" hidden="false" customHeight="true" outlineLevel="0" collapsed="false">
      <c r="A2142" s="2" t="s">
        <v>416</v>
      </c>
      <c r="B2142" s="2" t="s">
        <v>429</v>
      </c>
      <c r="C2142" s="2" t="s">
        <v>33</v>
      </c>
      <c r="D2142" s="2" t="str">
        <f aca="false">IF(3キー同時!$B$162="","",3キー同時!$B$162)</f>
        <v>m</v>
      </c>
      <c r="E2142" s="2" t="str">
        <f aca="false">IF(3キー同時!$G$162="","",3キー同時!$G$162)</f>
        <v>k</v>
      </c>
      <c r="F2142" s="2" t="str">
        <f aca="false">""</f>
        <v/>
      </c>
      <c r="G2142" s="2" t="str">
        <f aca="false">IF(OR(3キー同時!$B$162="",3キー同時!$G$162=""),"",IF(3キー同時!AS168="","",SUBSTITUTE(SUBSTITUTE(3キー同時!AS168," ",""),"　","")))</f>
        <v/>
      </c>
      <c r="H2142" s="2" t="str">
        <f aca="false">IF($G2142="","",3キー同時!$B$162)</f>
        <v/>
      </c>
      <c r="I2142" s="2" t="str">
        <f aca="false">IF($G2142="","",3キー同時!$G$162)</f>
        <v/>
      </c>
      <c r="J2142" s="2" t="str">
        <f aca="false">IF($G2142="","",";")</f>
        <v/>
      </c>
      <c r="K2142" s="2" t="str">
        <f aca="false">""</f>
        <v/>
      </c>
      <c r="L2142" s="2" t="str">
        <f aca="false">IF($G2142="","","同時")</f>
        <v/>
      </c>
      <c r="M2142" s="2" t="str">
        <f aca="false">IF($G2142="","",IF(ISNA(MATCH($G2142,個別指定!$A:$A,0)),"行なし",""))</f>
        <v/>
      </c>
      <c r="N2142" s="2" t="str">
        <f aca="false">IF($G2142="","",IF(COUNTIF($G$2:$G$4460,$G2142)&gt;1,"重複",""))</f>
        <v/>
      </c>
    </row>
    <row r="2143" customFormat="false" ht="16.5" hidden="false" customHeight="true" outlineLevel="0" collapsed="false">
      <c r="A2143" s="2" t="s">
        <v>416</v>
      </c>
      <c r="B2143" s="2" t="s">
        <v>429</v>
      </c>
      <c r="C2143" s="2" t="s">
        <v>34</v>
      </c>
      <c r="D2143" s="2" t="str">
        <f aca="false">IF(3キー同時!$B$162="","",3キー同時!$B$162)</f>
        <v>m</v>
      </c>
      <c r="E2143" s="2" t="str">
        <f aca="false">IF(3キー同時!$G$162="","",3キー同時!$G$162)</f>
        <v>k</v>
      </c>
      <c r="F2143" s="2" t="str">
        <f aca="false">""</f>
        <v/>
      </c>
      <c r="G2143" s="2" t="str">
        <f aca="false">IF(OR(3キー同時!$B$162="",3キー同時!$G$162=""),"",IF(3キー同時!AW168="","",SUBSTITUTE(SUBSTITUTE(3キー同時!AW168," ",""),"　","")))</f>
        <v/>
      </c>
      <c r="H2143" s="2" t="str">
        <f aca="false">IF($G2143="","",3キー同時!$B$162)</f>
        <v/>
      </c>
      <c r="I2143" s="2" t="str">
        <f aca="false">IF($G2143="","",3キー同時!$G$162)</f>
        <v/>
      </c>
      <c r="J2143" s="2" t="str">
        <f aca="false">IF($G2143="","","'")</f>
        <v/>
      </c>
      <c r="K2143" s="2" t="str">
        <f aca="false">""</f>
        <v/>
      </c>
      <c r="L2143" s="2" t="str">
        <f aca="false">IF($G2143="","","同時")</f>
        <v/>
      </c>
      <c r="M2143" s="2" t="str">
        <f aca="false">IF($G2143="","",IF(ISNA(MATCH($G2143,個別指定!$A:$A,0)),"行なし",""))</f>
        <v/>
      </c>
      <c r="N2143" s="2" t="str">
        <f aca="false">IF($G2143="","",IF(COUNTIF($G$2:$G$4460,$G2143)&gt;1,"重複",""))</f>
        <v/>
      </c>
    </row>
    <row r="2144" customFormat="false" ht="16.5" hidden="false" customHeight="true" outlineLevel="0" collapsed="false">
      <c r="A2144" s="2" t="s">
        <v>416</v>
      </c>
      <c r="B2144" s="2" t="s">
        <v>429</v>
      </c>
      <c r="C2144" s="2" t="s">
        <v>35</v>
      </c>
      <c r="D2144" s="2" t="str">
        <f aca="false">IF(3キー同時!$B$162="","",3キー同時!$B$162)</f>
        <v>m</v>
      </c>
      <c r="E2144" s="2" t="str">
        <f aca="false">IF(3キー同時!$G$162="","",3キー同時!$G$162)</f>
        <v>k</v>
      </c>
      <c r="F2144" s="2" t="str">
        <f aca="false">""</f>
        <v/>
      </c>
      <c r="G2144" s="2" t="str">
        <f aca="false">IF(OR(3キー同時!$B$162="",3キー同時!$G$162=""),"",IF(3キー同時!K170="","",SUBSTITUTE(SUBSTITUTE(3キー同時!K170," ",""),"　","")))</f>
        <v/>
      </c>
      <c r="H2144" s="2" t="str">
        <f aca="false">IF($G2144="","",3キー同時!$B$162)</f>
        <v/>
      </c>
      <c r="I2144" s="2" t="str">
        <f aca="false">IF($G2144="","",3キー同時!$G$162)</f>
        <v/>
      </c>
      <c r="J2144" s="2" t="str">
        <f aca="false">IF($G2144="","","z")</f>
        <v/>
      </c>
      <c r="K2144" s="2" t="str">
        <f aca="false">""</f>
        <v/>
      </c>
      <c r="L2144" s="2" t="str">
        <f aca="false">IF($G2144="","","同時")</f>
        <v/>
      </c>
      <c r="M2144" s="2" t="str">
        <f aca="false">IF($G2144="","",IF(ISNA(MATCH($G2144,個別指定!$A:$A,0)),"行なし",""))</f>
        <v/>
      </c>
      <c r="N2144" s="2" t="str">
        <f aca="false">IF($G2144="","",IF(COUNTIF($G$2:$G$4460,$G2144)&gt;1,"重複",""))</f>
        <v/>
      </c>
    </row>
    <row r="2145" customFormat="false" ht="16.5" hidden="false" customHeight="true" outlineLevel="0" collapsed="false">
      <c r="A2145" s="2" t="s">
        <v>416</v>
      </c>
      <c r="B2145" s="2" t="s">
        <v>429</v>
      </c>
      <c r="C2145" s="2" t="s">
        <v>36</v>
      </c>
      <c r="D2145" s="2" t="str">
        <f aca="false">IF(3キー同時!$B$162="","",3キー同時!$B$162)</f>
        <v>m</v>
      </c>
      <c r="E2145" s="2" t="str">
        <f aca="false">IF(3キー同時!$G$162="","",3キー同時!$G$162)</f>
        <v>k</v>
      </c>
      <c r="F2145" s="2" t="str">
        <f aca="false">""</f>
        <v/>
      </c>
      <c r="G2145" s="2" t="str">
        <f aca="false">IF(OR(3キー同時!$B$162="",3キー同時!$G$162=""),"",IF(3キー同時!O170="","",SUBSTITUTE(SUBSTITUTE(3キー同時!O170," ",""),"　","")))</f>
        <v/>
      </c>
      <c r="H2145" s="2" t="str">
        <f aca="false">IF($G2145="","",3キー同時!$B$162)</f>
        <v/>
      </c>
      <c r="I2145" s="2" t="str">
        <f aca="false">IF($G2145="","",3キー同時!$G$162)</f>
        <v/>
      </c>
      <c r="J2145" s="2" t="str">
        <f aca="false">IF($G2145="","","x")</f>
        <v/>
      </c>
      <c r="K2145" s="2" t="str">
        <f aca="false">""</f>
        <v/>
      </c>
      <c r="L2145" s="2" t="str">
        <f aca="false">IF($G2145="","","同時")</f>
        <v/>
      </c>
      <c r="M2145" s="2" t="str">
        <f aca="false">IF($G2145="","",IF(ISNA(MATCH($G2145,個別指定!$A:$A,0)),"行なし",""))</f>
        <v/>
      </c>
      <c r="N2145" s="2" t="str">
        <f aca="false">IF($G2145="","",IF(COUNTIF($G$2:$G$4460,$G2145)&gt;1,"重複",""))</f>
        <v/>
      </c>
    </row>
    <row r="2146" customFormat="false" ht="16.5" hidden="false" customHeight="true" outlineLevel="0" collapsed="false">
      <c r="A2146" s="2" t="s">
        <v>416</v>
      </c>
      <c r="B2146" s="2" t="s">
        <v>429</v>
      </c>
      <c r="C2146" s="2" t="s">
        <v>37</v>
      </c>
      <c r="D2146" s="2" t="str">
        <f aca="false">IF(3キー同時!$B$162="","",3キー同時!$B$162)</f>
        <v>m</v>
      </c>
      <c r="E2146" s="2" t="str">
        <f aca="false">IF(3キー同時!$G$162="","",3キー同時!$G$162)</f>
        <v>k</v>
      </c>
      <c r="F2146" s="2" t="str">
        <f aca="false">""</f>
        <v/>
      </c>
      <c r="G2146" s="2" t="str">
        <f aca="false">IF(OR(3キー同時!$B$162="",3キー同時!$G$162=""),"",IF(3キー同時!S170="","",SUBSTITUTE(SUBSTITUTE(3キー同時!S170," ",""),"　","")))</f>
        <v/>
      </c>
      <c r="H2146" s="2" t="str">
        <f aca="false">IF($G2146="","",3キー同時!$B$162)</f>
        <v/>
      </c>
      <c r="I2146" s="2" t="str">
        <f aca="false">IF($G2146="","",3キー同時!$G$162)</f>
        <v/>
      </c>
      <c r="J2146" s="2" t="str">
        <f aca="false">IF($G2146="","","c")</f>
        <v/>
      </c>
      <c r="K2146" s="2" t="str">
        <f aca="false">""</f>
        <v/>
      </c>
      <c r="L2146" s="2" t="str">
        <f aca="false">IF($G2146="","","同時")</f>
        <v/>
      </c>
      <c r="M2146" s="2" t="str">
        <f aca="false">IF($G2146="","",IF(ISNA(MATCH($G2146,個別指定!$A:$A,0)),"行なし",""))</f>
        <v/>
      </c>
      <c r="N2146" s="2" t="str">
        <f aca="false">IF($G2146="","",IF(COUNTIF($G$2:$G$4460,$G2146)&gt;1,"重複",""))</f>
        <v/>
      </c>
    </row>
    <row r="2147" customFormat="false" ht="16.5" hidden="false" customHeight="true" outlineLevel="0" collapsed="false">
      <c r="A2147" s="2" t="s">
        <v>416</v>
      </c>
      <c r="B2147" s="2" t="s">
        <v>429</v>
      </c>
      <c r="C2147" s="2" t="s">
        <v>38</v>
      </c>
      <c r="D2147" s="2" t="str">
        <f aca="false">IF(3キー同時!$B$162="","",3キー同時!$B$162)</f>
        <v>m</v>
      </c>
      <c r="E2147" s="2" t="str">
        <f aca="false">IF(3キー同時!$G$162="","",3キー同時!$G$162)</f>
        <v>k</v>
      </c>
      <c r="F2147" s="2" t="str">
        <f aca="false">""</f>
        <v/>
      </c>
      <c r="G2147" s="2" t="str">
        <f aca="false">IF(OR(3キー同時!$B$162="",3キー同時!$G$162=""),"",IF(3キー同時!W170="","",SUBSTITUTE(SUBSTITUTE(3キー同時!W170," ",""),"　","")))</f>
        <v/>
      </c>
      <c r="H2147" s="2" t="str">
        <f aca="false">IF($G2147="","",3キー同時!$B$162)</f>
        <v/>
      </c>
      <c r="I2147" s="2" t="str">
        <f aca="false">IF($G2147="","",3キー同時!$G$162)</f>
        <v/>
      </c>
      <c r="J2147" s="2" t="str">
        <f aca="false">IF($G2147="","","v")</f>
        <v/>
      </c>
      <c r="K2147" s="2" t="str">
        <f aca="false">""</f>
        <v/>
      </c>
      <c r="L2147" s="2" t="str">
        <f aca="false">IF($G2147="","","同時")</f>
        <v/>
      </c>
      <c r="M2147" s="2" t="str">
        <f aca="false">IF($G2147="","",IF(ISNA(MATCH($G2147,個別指定!$A:$A,0)),"行なし",""))</f>
        <v/>
      </c>
      <c r="N2147" s="2" t="str">
        <f aca="false">IF($G2147="","",IF(COUNTIF($G$2:$G$4460,$G2147)&gt;1,"重複",""))</f>
        <v/>
      </c>
    </row>
    <row r="2148" customFormat="false" ht="16.5" hidden="false" customHeight="true" outlineLevel="0" collapsed="false">
      <c r="A2148" s="2" t="s">
        <v>416</v>
      </c>
      <c r="B2148" s="2" t="s">
        <v>429</v>
      </c>
      <c r="C2148" s="2" t="s">
        <v>39</v>
      </c>
      <c r="D2148" s="2" t="str">
        <f aca="false">IF(3キー同時!$B$162="","",3キー同時!$B$162)</f>
        <v>m</v>
      </c>
      <c r="E2148" s="2" t="str">
        <f aca="false">IF(3キー同時!$G$162="","",3キー同時!$G$162)</f>
        <v>k</v>
      </c>
      <c r="F2148" s="2" t="str">
        <f aca="false">""</f>
        <v/>
      </c>
      <c r="G2148" s="2" t="str">
        <f aca="false">IF(OR(3キー同時!$B$162="",3キー同時!$G$162=""),"",IF(3キー同時!AA170="","",SUBSTITUTE(SUBSTITUTE(3キー同時!AA170," ",""),"　","")))</f>
        <v/>
      </c>
      <c r="H2148" s="2" t="str">
        <f aca="false">IF($G2148="","",3キー同時!$B$162)</f>
        <v/>
      </c>
      <c r="I2148" s="2" t="str">
        <f aca="false">IF($G2148="","",3キー同時!$G$162)</f>
        <v/>
      </c>
      <c r="J2148" s="2" t="str">
        <f aca="false">IF($G2148="","","b")</f>
        <v/>
      </c>
      <c r="K2148" s="2" t="str">
        <f aca="false">""</f>
        <v/>
      </c>
      <c r="L2148" s="2" t="str">
        <f aca="false">IF($G2148="","","同時")</f>
        <v/>
      </c>
      <c r="M2148" s="2" t="str">
        <f aca="false">IF($G2148="","",IF(ISNA(MATCH($G2148,個別指定!$A:$A,0)),"行なし",""))</f>
        <v/>
      </c>
      <c r="N2148" s="2" t="str">
        <f aca="false">IF($G2148="","",IF(COUNTIF($G$2:$G$4460,$G2148)&gt;1,"重複",""))</f>
        <v/>
      </c>
    </row>
    <row r="2149" customFormat="false" ht="16.5" hidden="false" customHeight="true" outlineLevel="0" collapsed="false">
      <c r="A2149" s="2" t="s">
        <v>416</v>
      </c>
      <c r="B2149" s="2" t="s">
        <v>429</v>
      </c>
      <c r="C2149" s="2" t="s">
        <v>40</v>
      </c>
      <c r="D2149" s="2" t="str">
        <f aca="false">IF(3キー同時!$B$162="","",3キー同時!$B$162)</f>
        <v>m</v>
      </c>
      <c r="E2149" s="2" t="str">
        <f aca="false">IF(3キー同時!$G$162="","",3キー同時!$G$162)</f>
        <v>k</v>
      </c>
      <c r="F2149" s="2" t="str">
        <f aca="false">""</f>
        <v/>
      </c>
      <c r="G2149" s="2" t="str">
        <f aca="false">IF(OR(3キー同時!$B$162="",3キー同時!$G$162=""),"",IF(3キー同時!AE170="","",SUBSTITUTE(SUBSTITUTE(3キー同時!AE170," ",""),"　","")))</f>
        <v/>
      </c>
      <c r="H2149" s="2" t="str">
        <f aca="false">IF($G2149="","",3キー同時!$B$162)</f>
        <v/>
      </c>
      <c r="I2149" s="2" t="str">
        <f aca="false">IF($G2149="","",3キー同時!$G$162)</f>
        <v/>
      </c>
      <c r="J2149" s="2" t="str">
        <f aca="false">IF($G2149="","","n")</f>
        <v/>
      </c>
      <c r="K2149" s="2" t="str">
        <f aca="false">""</f>
        <v/>
      </c>
      <c r="L2149" s="2" t="str">
        <f aca="false">IF($G2149="","","同時")</f>
        <v/>
      </c>
      <c r="M2149" s="2" t="str">
        <f aca="false">IF($G2149="","",IF(ISNA(MATCH($G2149,個別指定!$A:$A,0)),"行なし",""))</f>
        <v/>
      </c>
      <c r="N2149" s="2" t="str">
        <f aca="false">IF($G2149="","",IF(COUNTIF($G$2:$G$4460,$G2149)&gt;1,"重複",""))</f>
        <v/>
      </c>
    </row>
    <row r="2150" customFormat="false" ht="16.5" hidden="false" customHeight="true" outlineLevel="0" collapsed="false">
      <c r="A2150" s="2" t="s">
        <v>416</v>
      </c>
      <c r="B2150" s="2" t="s">
        <v>429</v>
      </c>
      <c r="C2150" s="2" t="s">
        <v>41</v>
      </c>
      <c r="D2150" s="2" t="str">
        <f aca="false">IF(3キー同時!$B$162="","",3キー同時!$B$162)</f>
        <v>m</v>
      </c>
      <c r="E2150" s="2" t="str">
        <f aca="false">IF(3キー同時!$G$162="","",3キー同時!$G$162)</f>
        <v>k</v>
      </c>
      <c r="F2150" s="2" t="str">
        <f aca="false">""</f>
        <v/>
      </c>
      <c r="G2150" s="2" t="str">
        <f aca="false">IF(OR(3キー同時!$B$162="",3キー同時!$G$162=""),"",IF(3キー同時!AI170="","",SUBSTITUTE(SUBSTITUTE(3キー同時!AI170," ",""),"　","")))</f>
        <v/>
      </c>
      <c r="H2150" s="2" t="str">
        <f aca="false">IF($G2150="","",3キー同時!$B$162)</f>
        <v/>
      </c>
      <c r="I2150" s="2" t="str">
        <f aca="false">IF($G2150="","",3キー同時!$G$162)</f>
        <v/>
      </c>
      <c r="J2150" s="2" t="str">
        <f aca="false">IF($G2150="","","m")</f>
        <v/>
      </c>
      <c r="K2150" s="2" t="str">
        <f aca="false">""</f>
        <v/>
      </c>
      <c r="L2150" s="2" t="str">
        <f aca="false">IF($G2150="","","同時")</f>
        <v/>
      </c>
      <c r="M2150" s="2" t="str">
        <f aca="false">IF($G2150="","",IF(ISNA(MATCH($G2150,個別指定!$A:$A,0)),"行なし",""))</f>
        <v/>
      </c>
      <c r="N2150" s="2" t="str">
        <f aca="false">IF($G2150="","",IF(COUNTIF($G$2:$G$4460,$G2150)&gt;1,"重複",""))</f>
        <v/>
      </c>
    </row>
    <row r="2151" customFormat="false" ht="16.5" hidden="false" customHeight="true" outlineLevel="0" collapsed="false">
      <c r="A2151" s="2" t="s">
        <v>416</v>
      </c>
      <c r="B2151" s="2" t="s">
        <v>429</v>
      </c>
      <c r="C2151" s="2" t="s">
        <v>42</v>
      </c>
      <c r="D2151" s="2" t="str">
        <f aca="false">IF(3キー同時!$B$162="","",3キー同時!$B$162)</f>
        <v>m</v>
      </c>
      <c r="E2151" s="2" t="str">
        <f aca="false">IF(3キー同時!$G$162="","",3キー同時!$G$162)</f>
        <v>k</v>
      </c>
      <c r="F2151" s="2" t="str">
        <f aca="false">""</f>
        <v/>
      </c>
      <c r="G2151" s="2" t="str">
        <f aca="false">IF(OR(3キー同時!$B$162="",3キー同時!$G$162=""),"",IF(3キー同時!AM170="","",SUBSTITUTE(SUBSTITUTE(3キー同時!AM170," ",""),"　","")))</f>
        <v/>
      </c>
      <c r="H2151" s="2" t="str">
        <f aca="false">IF($G2151="","",3キー同時!$B$162)</f>
        <v/>
      </c>
      <c r="I2151" s="2" t="str">
        <f aca="false">IF($G2151="","",3キー同時!$G$162)</f>
        <v/>
      </c>
      <c r="J2151" s="2" t="str">
        <f aca="false">IF($G2151="","",",")</f>
        <v/>
      </c>
      <c r="K2151" s="2" t="str">
        <f aca="false">""</f>
        <v/>
      </c>
      <c r="L2151" s="2" t="str">
        <f aca="false">IF($G2151="","","同時")</f>
        <v/>
      </c>
      <c r="M2151" s="2" t="str">
        <f aca="false">IF($G2151="","",IF(ISNA(MATCH($G2151,個別指定!$A:$A,0)),"行なし",""))</f>
        <v/>
      </c>
      <c r="N2151" s="2" t="str">
        <f aca="false">IF($G2151="","",IF(COUNTIF($G$2:$G$4460,$G2151)&gt;1,"重複",""))</f>
        <v/>
      </c>
    </row>
    <row r="2152" customFormat="false" ht="16.5" hidden="false" customHeight="true" outlineLevel="0" collapsed="false">
      <c r="A2152" s="2" t="s">
        <v>416</v>
      </c>
      <c r="B2152" s="2" t="s">
        <v>429</v>
      </c>
      <c r="C2152" s="2" t="s">
        <v>43</v>
      </c>
      <c r="D2152" s="2" t="str">
        <f aca="false">IF(3キー同時!$B$162="","",3キー同時!$B$162)</f>
        <v>m</v>
      </c>
      <c r="E2152" s="2" t="str">
        <f aca="false">IF(3キー同時!$G$162="","",3キー同時!$G$162)</f>
        <v>k</v>
      </c>
      <c r="F2152" s="2" t="str">
        <f aca="false">""</f>
        <v/>
      </c>
      <c r="G2152" s="2" t="str">
        <f aca="false">IF(OR(3キー同時!$B$162="",3キー同時!$G$162=""),"",IF(3キー同時!AQ170="","",SUBSTITUTE(SUBSTITUTE(3キー同時!AQ170," ",""),"　","")))</f>
        <v/>
      </c>
      <c r="H2152" s="2" t="str">
        <f aca="false">IF($G2152="","",3キー同時!$B$162)</f>
        <v/>
      </c>
      <c r="I2152" s="2" t="str">
        <f aca="false">IF($G2152="","",3キー同時!$G$162)</f>
        <v/>
      </c>
      <c r="J2152" s="2" t="str">
        <f aca="false">IF($G2152="","",".")</f>
        <v/>
      </c>
      <c r="K2152" s="2" t="str">
        <f aca="false">""</f>
        <v/>
      </c>
      <c r="L2152" s="2" t="str">
        <f aca="false">IF($G2152="","","同時")</f>
        <v/>
      </c>
      <c r="M2152" s="2" t="str">
        <f aca="false">IF($G2152="","",IF(ISNA(MATCH($G2152,個別指定!$A:$A,0)),"行なし",""))</f>
        <v/>
      </c>
      <c r="N2152" s="2" t="str">
        <f aca="false">IF($G2152="","",IF(COUNTIF($G$2:$G$4460,$G2152)&gt;1,"重複",""))</f>
        <v/>
      </c>
    </row>
    <row r="2153" customFormat="false" ht="16.5" hidden="false" customHeight="true" outlineLevel="0" collapsed="false">
      <c r="A2153" s="2" t="s">
        <v>416</v>
      </c>
      <c r="B2153" s="2" t="s">
        <v>429</v>
      </c>
      <c r="C2153" s="2" t="s">
        <v>44</v>
      </c>
      <c r="D2153" s="2" t="str">
        <f aca="false">IF(3キー同時!$B$162="","",3キー同時!$B$162)</f>
        <v>m</v>
      </c>
      <c r="E2153" s="2" t="str">
        <f aca="false">IF(3キー同時!$G$162="","",3キー同時!$G$162)</f>
        <v>k</v>
      </c>
      <c r="F2153" s="2" t="str">
        <f aca="false">""</f>
        <v/>
      </c>
      <c r="G2153" s="2" t="str">
        <f aca="false">IF(OR(3キー同時!$B$162="",3キー同時!$G$162=""),"",IF(3キー同時!AU170="","",SUBSTITUTE(SUBSTITUTE(3キー同時!AU170," ",""),"　","")))</f>
        <v/>
      </c>
      <c r="H2153" s="2" t="str">
        <f aca="false">IF($G2153="","",3キー同時!$B$162)</f>
        <v/>
      </c>
      <c r="I2153" s="2" t="str">
        <f aca="false">IF($G2153="","",3キー同時!$G$162)</f>
        <v/>
      </c>
      <c r="J2153" s="2" t="str">
        <f aca="false">IF($G2153="","","/")</f>
        <v/>
      </c>
      <c r="K2153" s="2" t="str">
        <f aca="false">""</f>
        <v/>
      </c>
      <c r="L2153" s="2" t="str">
        <f aca="false">IF($G2153="","","同時")</f>
        <v/>
      </c>
      <c r="M2153" s="2" t="str">
        <f aca="false">IF($G2153="","",IF(ISNA(MATCH($G2153,個別指定!$A:$A,0)),"行なし",""))</f>
        <v/>
      </c>
      <c r="N2153" s="2" t="str">
        <f aca="false">IF($G2153="","",IF(COUNTIF($G$2:$G$4460,$G2153)&gt;1,"重複",""))</f>
        <v/>
      </c>
    </row>
    <row r="2154" customFormat="false" ht="16.5" hidden="false" customHeight="true" outlineLevel="0" collapsed="false">
      <c r="A2154" s="2" t="s">
        <v>416</v>
      </c>
      <c r="B2154" s="2" t="s">
        <v>429</v>
      </c>
      <c r="C2154" s="2" t="s">
        <v>48</v>
      </c>
      <c r="D2154" s="2" t="str">
        <f aca="false">IF(3キー同時!$B$162="","",3キー同時!$B$162)</f>
        <v>m</v>
      </c>
      <c r="E2154" s="2" t="str">
        <f aca="false">IF(3キー同時!$G$162="","",3キー同時!$G$162)</f>
        <v>k</v>
      </c>
      <c r="F2154" s="2" t="str">
        <f aca="false">""</f>
        <v/>
      </c>
      <c r="G2154" s="2" t="str">
        <f aca="false">IF(OR(3キー同時!$B$162="",3キー同時!$G$162=""),"",IF(3キー同時!P172="","",SUBSTITUTE(SUBSTITUTE(3キー同時!P172," ",""),"　","")))</f>
        <v/>
      </c>
      <c r="H2154" s="2" t="str">
        <f aca="false">IF($G2154="","",3キー同時!$B$162)</f>
        <v/>
      </c>
      <c r="I2154" s="2" t="str">
        <f aca="false">IF($G2154="","",3キー同時!$G$162)</f>
        <v/>
      </c>
      <c r="J2154" s="2" t="str">
        <f aca="false">IF($G2154="","","muhenkan")</f>
        <v/>
      </c>
      <c r="K2154" s="2" t="str">
        <f aca="false">""</f>
        <v/>
      </c>
      <c r="L2154" s="2" t="str">
        <f aca="false">IF($G2154="","","同時")</f>
        <v/>
      </c>
      <c r="M2154" s="2" t="str">
        <f aca="false">IF($G2154="","",IF(ISNA(MATCH($G2154,個別指定!$A:$A,0)),"行なし",""))</f>
        <v/>
      </c>
      <c r="N2154" s="2" t="str">
        <f aca="false">IF($G2154="","",IF(COUNTIF($G$2:$G$4460,$G2154)&gt;1,"重複",""))</f>
        <v/>
      </c>
    </row>
    <row r="2155" customFormat="false" ht="16.5" hidden="false" customHeight="true" outlineLevel="0" collapsed="false">
      <c r="A2155" s="2" t="s">
        <v>416</v>
      </c>
      <c r="B2155" s="2" t="s">
        <v>429</v>
      </c>
      <c r="C2155" s="2" t="s">
        <v>50</v>
      </c>
      <c r="D2155" s="2" t="str">
        <f aca="false">IF(3キー同時!$B$162="","",3キー同時!$B$162)</f>
        <v>m</v>
      </c>
      <c r="E2155" s="2" t="str">
        <f aca="false">IF(3キー同時!$G$162="","",3キー同時!$G$162)</f>
        <v>k</v>
      </c>
      <c r="F2155" s="2" t="str">
        <f aca="false">""</f>
        <v/>
      </c>
      <c r="G2155" s="2" t="str">
        <f aca="false">IF(OR(3キー同時!$B$162="",3キー同時!$G$162=""),"",IF(3キー同時!T172="","",SUBSTITUTE(SUBSTITUTE(3キー同時!T172," ",""),"　","")))</f>
        <v/>
      </c>
      <c r="H2155" s="2" t="str">
        <f aca="false">IF($G2155="","",3キー同時!$B$162)</f>
        <v/>
      </c>
      <c r="I2155" s="2" t="str">
        <f aca="false">IF($G2155="","",3キー同時!$G$162)</f>
        <v/>
      </c>
      <c r="J2155" s="2" t="str">
        <f aca="false">IF($G2155="","","space")</f>
        <v/>
      </c>
      <c r="K2155" s="2" t="str">
        <f aca="false">""</f>
        <v/>
      </c>
      <c r="L2155" s="2" t="str">
        <f aca="false">IF($G2155="","","同時")</f>
        <v/>
      </c>
      <c r="M2155" s="2" t="str">
        <f aca="false">IF($G2155="","",IF(ISNA(MATCH($G2155,個別指定!$A:$A,0)),"行なし",""))</f>
        <v/>
      </c>
      <c r="N2155" s="2" t="str">
        <f aca="false">IF($G2155="","",IF(COUNTIF($G$2:$G$4460,$G2155)&gt;1,"重複",""))</f>
        <v/>
      </c>
    </row>
    <row r="2156" customFormat="false" ht="16.5" hidden="false" customHeight="true" outlineLevel="0" collapsed="false">
      <c r="A2156" s="2" t="s">
        <v>416</v>
      </c>
      <c r="B2156" s="2" t="s">
        <v>429</v>
      </c>
      <c r="C2156" s="2" t="s">
        <v>45</v>
      </c>
      <c r="D2156" s="2" t="str">
        <f aca="false">IF(3キー同時!$B$162="","",3キー同時!$B$162)</f>
        <v>m</v>
      </c>
      <c r="E2156" s="2" t="str">
        <f aca="false">IF(3キー同時!$G$162="","",3キー同時!$G$162)</f>
        <v>k</v>
      </c>
      <c r="F2156" s="2" t="str">
        <f aca="false">""</f>
        <v/>
      </c>
      <c r="G2156" s="2" t="str">
        <f aca="false">IF(OR(3キー同時!$B$162="",3キー同時!$G$162=""),"",IF(3キー同時!AL172="","",SUBSTITUTE(SUBSTITUTE(3キー同時!AL172," ",""),"　","")))</f>
        <v/>
      </c>
      <c r="H2156" s="2" t="str">
        <f aca="false">IF($G2156="","",3キー同時!$B$162)</f>
        <v/>
      </c>
      <c r="I2156" s="2" t="str">
        <f aca="false">IF($G2156="","",3キー同時!$G$162)</f>
        <v/>
      </c>
      <c r="J2156" s="2" t="str">
        <f aca="false">IF($G2156="","","henkan")</f>
        <v/>
      </c>
      <c r="K2156" s="2" t="str">
        <f aca="false">""</f>
        <v/>
      </c>
      <c r="L2156" s="2" t="str">
        <f aca="false">IF($G2156="","","同時")</f>
        <v/>
      </c>
      <c r="M2156" s="2" t="str">
        <f aca="false">IF($G2156="","",IF(ISNA(MATCH($G2156,個別指定!$A:$A,0)),"行なし",""))</f>
        <v/>
      </c>
      <c r="N2156" s="2" t="str">
        <f aca="false">IF($G2156="","",IF(COUNTIF($G$2:$G$4460,$G2156)&gt;1,"重複",""))</f>
        <v/>
      </c>
    </row>
    <row r="2157" customFormat="false" ht="16.5" hidden="false" customHeight="true" outlineLevel="0" collapsed="false">
      <c r="A2157" s="2" t="s">
        <v>416</v>
      </c>
      <c r="B2157" s="2" t="s">
        <v>429</v>
      </c>
      <c r="C2157" s="2" t="s">
        <v>46</v>
      </c>
      <c r="D2157" s="2" t="str">
        <f aca="false">IF(3キー同時!$B$162="","",3キー同時!$B$162)</f>
        <v>m</v>
      </c>
      <c r="E2157" s="2" t="str">
        <f aca="false">IF(3キー同時!$G$162="","",3キー同時!$G$162)</f>
        <v>k</v>
      </c>
      <c r="F2157" s="2" t="str">
        <f aca="false">""</f>
        <v/>
      </c>
      <c r="G2157" s="2" t="str">
        <f aca="false">IF(OR(3キー同時!$B$162="",3キー同時!$G$162=""),"",IF(3キー同時!AP172="","",SUBSTITUTE(SUBSTITUTE(3キー同時!AP172," ",""),"　","")))</f>
        <v/>
      </c>
      <c r="H2157" s="2" t="str">
        <f aca="false">IF($G2157="","",3キー同時!$B$162)</f>
        <v/>
      </c>
      <c r="I2157" s="2" t="str">
        <f aca="false">IF($G2157="","",3キー同時!$G$162)</f>
        <v/>
      </c>
      <c r="J2157" s="2" t="str">
        <f aca="false">IF($G2157="","","kana")</f>
        <v/>
      </c>
      <c r="K2157" s="2" t="str">
        <f aca="false">""</f>
        <v/>
      </c>
      <c r="L2157" s="2" t="str">
        <f aca="false">IF($G2157="","","同時")</f>
        <v/>
      </c>
      <c r="M2157" s="2" t="str">
        <f aca="false">IF($G2157="","",IF(ISNA(MATCH($G2157,個別指定!$A:$A,0)),"行なし",""))</f>
        <v/>
      </c>
      <c r="N2157" s="2" t="str">
        <f aca="false">IF($G2157="","",IF(COUNTIF($G$2:$G$4460,$G2157)&gt;1,"重複",""))</f>
        <v/>
      </c>
    </row>
    <row r="2158" customFormat="false" ht="16.5" hidden="false" customHeight="true" outlineLevel="0" collapsed="false">
      <c r="A2158" s="2" t="s">
        <v>416</v>
      </c>
      <c r="B2158" s="2" t="s">
        <v>430</v>
      </c>
      <c r="C2158" s="2" t="s">
        <v>0</v>
      </c>
      <c r="D2158" s="2" t="str">
        <f aca="false">IF(3キー同時!$B$175="","",3キー同時!$B$175)</f>
        <v>v</v>
      </c>
      <c r="E2158" s="2" t="str">
        <f aca="false">IF(3キー同時!$G$175="","",3キー同時!$G$175)</f>
        <v>j</v>
      </c>
      <c r="F2158" s="2" t="str">
        <f aca="false">""</f>
        <v/>
      </c>
      <c r="G2158" s="2" t="str">
        <f aca="false">IF(OR(3キー同時!$B$175="",3キー同時!$G$175=""),"",IF(3キー同時!F177="","",SUBSTITUTE(SUBSTITUTE(3キー同時!F177," ",""),"　","")))</f>
        <v/>
      </c>
      <c r="H2158" s="2" t="str">
        <f aca="false">IF($G2158="","",3キー同時!$B$175)</f>
        <v/>
      </c>
      <c r="I2158" s="2" t="str">
        <f aca="false">IF($G2158="","",3キー同時!$G$175)</f>
        <v/>
      </c>
      <c r="J2158" s="2" t="str">
        <f aca="false">IF($G2158="","","1")</f>
        <v/>
      </c>
      <c r="K2158" s="2" t="str">
        <f aca="false">""</f>
        <v/>
      </c>
      <c r="L2158" s="2" t="str">
        <f aca="false">IF($G2158="","","同時")</f>
        <v/>
      </c>
      <c r="M2158" s="2" t="str">
        <f aca="false">IF($G2158="","",IF(ISNA(MATCH($G2158,個別指定!$A:$A,0)),"行なし",""))</f>
        <v/>
      </c>
      <c r="N2158" s="2" t="str">
        <f aca="false">IF($G2158="","",IF(COUNTIF($G$2:$G$4460,$G2158)&gt;1,"重複",""))</f>
        <v/>
      </c>
    </row>
    <row r="2159" customFormat="false" ht="16.5" hidden="false" customHeight="true" outlineLevel="0" collapsed="false">
      <c r="A2159" s="2" t="s">
        <v>416</v>
      </c>
      <c r="B2159" s="2" t="s">
        <v>430</v>
      </c>
      <c r="C2159" s="2" t="s">
        <v>1</v>
      </c>
      <c r="D2159" s="2" t="str">
        <f aca="false">IF(3キー同時!$B$175="","",3キー同時!$B$175)</f>
        <v>v</v>
      </c>
      <c r="E2159" s="2" t="str">
        <f aca="false">IF(3キー同時!$G$175="","",3キー同時!$G$175)</f>
        <v>j</v>
      </c>
      <c r="F2159" s="2" t="str">
        <f aca="false">""</f>
        <v/>
      </c>
      <c r="G2159" s="2" t="str">
        <f aca="false">IF(OR(3キー同時!$B$175="",3キー同時!$G$175=""),"",IF(3キー同時!J177="","",SUBSTITUTE(SUBSTITUTE(3キー同時!J177," ",""),"　","")))</f>
        <v/>
      </c>
      <c r="H2159" s="2" t="str">
        <f aca="false">IF($G2159="","",3キー同時!$B$175)</f>
        <v/>
      </c>
      <c r="I2159" s="2" t="str">
        <f aca="false">IF($G2159="","",3キー同時!$G$175)</f>
        <v/>
      </c>
      <c r="J2159" s="2" t="str">
        <f aca="false">IF($G2159="","","2")</f>
        <v/>
      </c>
      <c r="K2159" s="2" t="str">
        <f aca="false">""</f>
        <v/>
      </c>
      <c r="L2159" s="2" t="str">
        <f aca="false">IF($G2159="","","同時")</f>
        <v/>
      </c>
      <c r="M2159" s="2" t="str">
        <f aca="false">IF($G2159="","",IF(ISNA(MATCH($G2159,個別指定!$A:$A,0)),"行なし",""))</f>
        <v/>
      </c>
      <c r="N2159" s="2" t="str">
        <f aca="false">IF($G2159="","",IF(COUNTIF($G$2:$G$4460,$G2159)&gt;1,"重複",""))</f>
        <v/>
      </c>
    </row>
    <row r="2160" customFormat="false" ht="16.5" hidden="false" customHeight="true" outlineLevel="0" collapsed="false">
      <c r="A2160" s="2" t="s">
        <v>416</v>
      </c>
      <c r="B2160" s="2" t="s">
        <v>430</v>
      </c>
      <c r="C2160" s="2" t="s">
        <v>2</v>
      </c>
      <c r="D2160" s="2" t="str">
        <f aca="false">IF(3キー同時!$B$175="","",3キー同時!$B$175)</f>
        <v>v</v>
      </c>
      <c r="E2160" s="2" t="str">
        <f aca="false">IF(3キー同時!$G$175="","",3キー同時!$G$175)</f>
        <v>j</v>
      </c>
      <c r="F2160" s="2" t="str">
        <f aca="false">""</f>
        <v/>
      </c>
      <c r="G2160" s="2" t="str">
        <f aca="false">IF(OR(3キー同時!$B$175="",3キー同時!$G$175=""),"",IF(3キー同時!N177="","",SUBSTITUTE(SUBSTITUTE(3キー同時!N177," ",""),"　","")))</f>
        <v/>
      </c>
      <c r="H2160" s="2" t="str">
        <f aca="false">IF($G2160="","",3キー同時!$B$175)</f>
        <v/>
      </c>
      <c r="I2160" s="2" t="str">
        <f aca="false">IF($G2160="","",3キー同時!$G$175)</f>
        <v/>
      </c>
      <c r="J2160" s="2" t="str">
        <f aca="false">IF($G2160="","","3")</f>
        <v/>
      </c>
      <c r="K2160" s="2" t="str">
        <f aca="false">""</f>
        <v/>
      </c>
      <c r="L2160" s="2" t="str">
        <f aca="false">IF($G2160="","","同時")</f>
        <v/>
      </c>
      <c r="M2160" s="2" t="str">
        <f aca="false">IF($G2160="","",IF(ISNA(MATCH($G2160,個別指定!$A:$A,0)),"行なし",""))</f>
        <v/>
      </c>
      <c r="N2160" s="2" t="str">
        <f aca="false">IF($G2160="","",IF(COUNTIF($G$2:$G$4460,$G2160)&gt;1,"重複",""))</f>
        <v/>
      </c>
    </row>
    <row r="2161" customFormat="false" ht="16.5" hidden="false" customHeight="true" outlineLevel="0" collapsed="false">
      <c r="A2161" s="2" t="s">
        <v>416</v>
      </c>
      <c r="B2161" s="2" t="s">
        <v>430</v>
      </c>
      <c r="C2161" s="2" t="s">
        <v>3</v>
      </c>
      <c r="D2161" s="2" t="str">
        <f aca="false">IF(3キー同時!$B$175="","",3キー同時!$B$175)</f>
        <v>v</v>
      </c>
      <c r="E2161" s="2" t="str">
        <f aca="false">IF(3キー同時!$G$175="","",3キー同時!$G$175)</f>
        <v>j</v>
      </c>
      <c r="F2161" s="2" t="str">
        <f aca="false">""</f>
        <v/>
      </c>
      <c r="G2161" s="2" t="str">
        <f aca="false">IF(OR(3キー同時!$B$175="",3キー同時!$G$175=""),"",IF(3キー同時!R177="","",SUBSTITUTE(SUBSTITUTE(3キー同時!R177," ",""),"　","")))</f>
        <v/>
      </c>
      <c r="H2161" s="2" t="str">
        <f aca="false">IF($G2161="","",3キー同時!$B$175)</f>
        <v/>
      </c>
      <c r="I2161" s="2" t="str">
        <f aca="false">IF($G2161="","",3キー同時!$G$175)</f>
        <v/>
      </c>
      <c r="J2161" s="2" t="str">
        <f aca="false">IF($G2161="","","4")</f>
        <v/>
      </c>
      <c r="K2161" s="2" t="str">
        <f aca="false">""</f>
        <v/>
      </c>
      <c r="L2161" s="2" t="str">
        <f aca="false">IF($G2161="","","同時")</f>
        <v/>
      </c>
      <c r="M2161" s="2" t="str">
        <f aca="false">IF($G2161="","",IF(ISNA(MATCH($G2161,個別指定!$A:$A,0)),"行なし",""))</f>
        <v/>
      </c>
      <c r="N2161" s="2" t="str">
        <f aca="false">IF($G2161="","",IF(COUNTIF($G$2:$G$4460,$G2161)&gt;1,"重複",""))</f>
        <v/>
      </c>
    </row>
    <row r="2162" customFormat="false" ht="16.5" hidden="false" customHeight="true" outlineLevel="0" collapsed="false">
      <c r="A2162" s="2" t="s">
        <v>416</v>
      </c>
      <c r="B2162" s="2" t="s">
        <v>430</v>
      </c>
      <c r="C2162" s="2" t="s">
        <v>4</v>
      </c>
      <c r="D2162" s="2" t="str">
        <f aca="false">IF(3キー同時!$B$175="","",3キー同時!$B$175)</f>
        <v>v</v>
      </c>
      <c r="E2162" s="2" t="str">
        <f aca="false">IF(3キー同時!$G$175="","",3キー同時!$G$175)</f>
        <v>j</v>
      </c>
      <c r="F2162" s="2" t="str">
        <f aca="false">""</f>
        <v/>
      </c>
      <c r="G2162" s="2" t="str">
        <f aca="false">IF(OR(3キー同時!$B$175="",3キー同時!$G$175=""),"",IF(3キー同時!V177="","",SUBSTITUTE(SUBSTITUTE(3キー同時!V177," ",""),"　","")))</f>
        <v/>
      </c>
      <c r="H2162" s="2" t="str">
        <f aca="false">IF($G2162="","",3キー同時!$B$175)</f>
        <v/>
      </c>
      <c r="I2162" s="2" t="str">
        <f aca="false">IF($G2162="","",3キー同時!$G$175)</f>
        <v/>
      </c>
      <c r="J2162" s="2" t="str">
        <f aca="false">IF($G2162="","","5")</f>
        <v/>
      </c>
      <c r="K2162" s="2" t="str">
        <f aca="false">""</f>
        <v/>
      </c>
      <c r="L2162" s="2" t="str">
        <f aca="false">IF($G2162="","","同時")</f>
        <v/>
      </c>
      <c r="M2162" s="2" t="str">
        <f aca="false">IF($G2162="","",IF(ISNA(MATCH($G2162,個別指定!$A:$A,0)),"行なし",""))</f>
        <v/>
      </c>
      <c r="N2162" s="2" t="str">
        <f aca="false">IF($G2162="","",IF(COUNTIF($G$2:$G$4460,$G2162)&gt;1,"重複",""))</f>
        <v/>
      </c>
    </row>
    <row r="2163" customFormat="false" ht="16.5" hidden="false" customHeight="true" outlineLevel="0" collapsed="false">
      <c r="A2163" s="2" t="s">
        <v>416</v>
      </c>
      <c r="B2163" s="2" t="s">
        <v>430</v>
      </c>
      <c r="C2163" s="2" t="s">
        <v>5</v>
      </c>
      <c r="D2163" s="2" t="str">
        <f aca="false">IF(3キー同時!$B$175="","",3キー同時!$B$175)</f>
        <v>v</v>
      </c>
      <c r="E2163" s="2" t="str">
        <f aca="false">IF(3キー同時!$G$175="","",3キー同時!$G$175)</f>
        <v>j</v>
      </c>
      <c r="F2163" s="2" t="str">
        <f aca="false">""</f>
        <v/>
      </c>
      <c r="G2163" s="2" t="str">
        <f aca="false">IF(OR(3キー同時!$B$175="",3キー同時!$G$175=""),"",IF(3キー同時!Z177="","",SUBSTITUTE(SUBSTITUTE(3キー同時!Z177," ",""),"　","")))</f>
        <v/>
      </c>
      <c r="H2163" s="2" t="str">
        <f aca="false">IF($G2163="","",3キー同時!$B$175)</f>
        <v/>
      </c>
      <c r="I2163" s="2" t="str">
        <f aca="false">IF($G2163="","",3キー同時!$G$175)</f>
        <v/>
      </c>
      <c r="J2163" s="2" t="str">
        <f aca="false">IF($G2163="","","6")</f>
        <v/>
      </c>
      <c r="K2163" s="2" t="str">
        <f aca="false">""</f>
        <v/>
      </c>
      <c r="L2163" s="2" t="str">
        <f aca="false">IF($G2163="","","同時")</f>
        <v/>
      </c>
      <c r="M2163" s="2" t="str">
        <f aca="false">IF($G2163="","",IF(ISNA(MATCH($G2163,個別指定!$A:$A,0)),"行なし",""))</f>
        <v/>
      </c>
      <c r="N2163" s="2" t="str">
        <f aca="false">IF($G2163="","",IF(COUNTIF($G$2:$G$4460,$G2163)&gt;1,"重複",""))</f>
        <v/>
      </c>
    </row>
    <row r="2164" customFormat="false" ht="16.5" hidden="false" customHeight="true" outlineLevel="0" collapsed="false">
      <c r="A2164" s="2" t="s">
        <v>416</v>
      </c>
      <c r="B2164" s="2" t="s">
        <v>430</v>
      </c>
      <c r="C2164" s="2" t="s">
        <v>6</v>
      </c>
      <c r="D2164" s="2" t="str">
        <f aca="false">IF(3キー同時!$B$175="","",3キー同時!$B$175)</f>
        <v>v</v>
      </c>
      <c r="E2164" s="2" t="str">
        <f aca="false">IF(3キー同時!$G$175="","",3キー同時!$G$175)</f>
        <v>j</v>
      </c>
      <c r="F2164" s="2" t="str">
        <f aca="false">""</f>
        <v/>
      </c>
      <c r="G2164" s="2" t="str">
        <f aca="false">IF(OR(3キー同時!$B$175="",3キー同時!$G$175=""),"",IF(3キー同時!AD177="","",SUBSTITUTE(SUBSTITUTE(3キー同時!AD177," ",""),"　","")))</f>
        <v/>
      </c>
      <c r="H2164" s="2" t="str">
        <f aca="false">IF($G2164="","",3キー同時!$B$175)</f>
        <v/>
      </c>
      <c r="I2164" s="2" t="str">
        <f aca="false">IF($G2164="","",3キー同時!$G$175)</f>
        <v/>
      </c>
      <c r="J2164" s="2" t="str">
        <f aca="false">IF($G2164="","","7")</f>
        <v/>
      </c>
      <c r="K2164" s="2" t="str">
        <f aca="false">""</f>
        <v/>
      </c>
      <c r="L2164" s="2" t="str">
        <f aca="false">IF($G2164="","","同時")</f>
        <v/>
      </c>
      <c r="M2164" s="2" t="str">
        <f aca="false">IF($G2164="","",IF(ISNA(MATCH($G2164,個別指定!$A:$A,0)),"行なし",""))</f>
        <v/>
      </c>
      <c r="N2164" s="2" t="str">
        <f aca="false">IF($G2164="","",IF(COUNTIF($G$2:$G$4460,$G2164)&gt;1,"重複",""))</f>
        <v/>
      </c>
    </row>
    <row r="2165" customFormat="false" ht="16.5" hidden="false" customHeight="true" outlineLevel="0" collapsed="false">
      <c r="A2165" s="2" t="s">
        <v>416</v>
      </c>
      <c r="B2165" s="2" t="s">
        <v>430</v>
      </c>
      <c r="C2165" s="2" t="s">
        <v>7</v>
      </c>
      <c r="D2165" s="2" t="str">
        <f aca="false">IF(3キー同時!$B$175="","",3キー同時!$B$175)</f>
        <v>v</v>
      </c>
      <c r="E2165" s="2" t="str">
        <f aca="false">IF(3キー同時!$G$175="","",3キー同時!$G$175)</f>
        <v>j</v>
      </c>
      <c r="F2165" s="2" t="str">
        <f aca="false">""</f>
        <v/>
      </c>
      <c r="G2165" s="2" t="str">
        <f aca="false">IF(OR(3キー同時!$B$175="",3キー同時!$G$175=""),"",IF(3キー同時!AH177="","",SUBSTITUTE(SUBSTITUTE(3キー同時!AH177," ",""),"　","")))</f>
        <v/>
      </c>
      <c r="H2165" s="2" t="str">
        <f aca="false">IF($G2165="","",3キー同時!$B$175)</f>
        <v/>
      </c>
      <c r="I2165" s="2" t="str">
        <f aca="false">IF($G2165="","",3キー同時!$G$175)</f>
        <v/>
      </c>
      <c r="J2165" s="2" t="str">
        <f aca="false">IF($G2165="","","8")</f>
        <v/>
      </c>
      <c r="K2165" s="2" t="str">
        <f aca="false">""</f>
        <v/>
      </c>
      <c r="L2165" s="2" t="str">
        <f aca="false">IF($G2165="","","同時")</f>
        <v/>
      </c>
      <c r="M2165" s="2" t="str">
        <f aca="false">IF($G2165="","",IF(ISNA(MATCH($G2165,個別指定!$A:$A,0)),"行なし",""))</f>
        <v/>
      </c>
      <c r="N2165" s="2" t="str">
        <f aca="false">IF($G2165="","",IF(COUNTIF($G$2:$G$4460,$G2165)&gt;1,"重複",""))</f>
        <v/>
      </c>
    </row>
    <row r="2166" customFormat="false" ht="16.5" hidden="false" customHeight="true" outlineLevel="0" collapsed="false">
      <c r="A2166" s="2" t="s">
        <v>416</v>
      </c>
      <c r="B2166" s="2" t="s">
        <v>430</v>
      </c>
      <c r="C2166" s="2" t="s">
        <v>8</v>
      </c>
      <c r="D2166" s="2" t="str">
        <f aca="false">IF(3キー同時!$B$175="","",3キー同時!$B$175)</f>
        <v>v</v>
      </c>
      <c r="E2166" s="2" t="str">
        <f aca="false">IF(3キー同時!$G$175="","",3キー同時!$G$175)</f>
        <v>j</v>
      </c>
      <c r="F2166" s="2" t="str">
        <f aca="false">""</f>
        <v/>
      </c>
      <c r="G2166" s="2" t="str">
        <f aca="false">IF(OR(3キー同時!$B$175="",3キー同時!$G$175=""),"",IF(3キー同時!AL177="","",SUBSTITUTE(SUBSTITUTE(3キー同時!AL177," ",""),"　","")))</f>
        <v/>
      </c>
      <c r="H2166" s="2" t="str">
        <f aca="false">IF($G2166="","",3キー同時!$B$175)</f>
        <v/>
      </c>
      <c r="I2166" s="2" t="str">
        <f aca="false">IF($G2166="","",3キー同時!$G$175)</f>
        <v/>
      </c>
      <c r="J2166" s="2" t="str">
        <f aca="false">IF($G2166="","","9")</f>
        <v/>
      </c>
      <c r="K2166" s="2" t="str">
        <f aca="false">""</f>
        <v/>
      </c>
      <c r="L2166" s="2" t="str">
        <f aca="false">IF($G2166="","","同時")</f>
        <v/>
      </c>
      <c r="M2166" s="2" t="str">
        <f aca="false">IF($G2166="","",IF(ISNA(MATCH($G2166,個別指定!$A:$A,0)),"行なし",""))</f>
        <v/>
      </c>
      <c r="N2166" s="2" t="str">
        <f aca="false">IF($G2166="","",IF(COUNTIF($G$2:$G$4460,$G2166)&gt;1,"重複",""))</f>
        <v/>
      </c>
    </row>
    <row r="2167" customFormat="false" ht="16.5" hidden="false" customHeight="true" outlineLevel="0" collapsed="false">
      <c r="A2167" s="2" t="s">
        <v>416</v>
      </c>
      <c r="B2167" s="2" t="s">
        <v>430</v>
      </c>
      <c r="C2167" s="2" t="s">
        <v>9</v>
      </c>
      <c r="D2167" s="2" t="str">
        <f aca="false">IF(3キー同時!$B$175="","",3キー同時!$B$175)</f>
        <v>v</v>
      </c>
      <c r="E2167" s="2" t="str">
        <f aca="false">IF(3キー同時!$G$175="","",3キー同時!$G$175)</f>
        <v>j</v>
      </c>
      <c r="F2167" s="2" t="str">
        <f aca="false">""</f>
        <v/>
      </c>
      <c r="G2167" s="2" t="str">
        <f aca="false">IF(OR(3キー同時!$B$175="",3キー同時!$G$175=""),"",IF(3キー同時!AP177="","",SUBSTITUTE(SUBSTITUTE(3キー同時!AP177," ",""),"　","")))</f>
        <v/>
      </c>
      <c r="H2167" s="2" t="str">
        <f aca="false">IF($G2167="","",3キー同時!$B$175)</f>
        <v/>
      </c>
      <c r="I2167" s="2" t="str">
        <f aca="false">IF($G2167="","",3キー同時!$G$175)</f>
        <v/>
      </c>
      <c r="J2167" s="2" t="str">
        <f aca="false">IF($G2167="","","0")</f>
        <v/>
      </c>
      <c r="K2167" s="2" t="str">
        <f aca="false">""</f>
        <v/>
      </c>
      <c r="L2167" s="2" t="str">
        <f aca="false">IF($G2167="","","同時")</f>
        <v/>
      </c>
      <c r="M2167" s="2" t="str">
        <f aca="false">IF($G2167="","",IF(ISNA(MATCH($G2167,個別指定!$A:$A,0)),"行なし",""))</f>
        <v/>
      </c>
      <c r="N2167" s="2" t="str">
        <f aca="false">IF($G2167="","",IF(COUNTIF($G$2:$G$4460,$G2167)&gt;1,"重複",""))</f>
        <v/>
      </c>
    </row>
    <row r="2168" customFormat="false" ht="16.5" hidden="false" customHeight="true" outlineLevel="0" collapsed="false">
      <c r="A2168" s="2" t="s">
        <v>416</v>
      </c>
      <c r="B2168" s="2" t="s">
        <v>430</v>
      </c>
      <c r="C2168" s="2" t="s">
        <v>10</v>
      </c>
      <c r="D2168" s="2" t="str">
        <f aca="false">IF(3キー同時!$B$175="","",3キー同時!$B$175)</f>
        <v>v</v>
      </c>
      <c r="E2168" s="2" t="str">
        <f aca="false">IF(3キー同時!$G$175="","",3キー同時!$G$175)</f>
        <v>j</v>
      </c>
      <c r="F2168" s="2" t="str">
        <f aca="false">""</f>
        <v/>
      </c>
      <c r="G2168" s="2" t="str">
        <f aca="false">IF(OR(3キー同時!$B$175="",3キー同時!$G$175=""),"",IF(3キー同時!AT177="","",SUBSTITUTE(SUBSTITUTE(3キー同時!AT177," ",""),"　","")))</f>
        <v/>
      </c>
      <c r="H2168" s="2" t="str">
        <f aca="false">IF($G2168="","",3キー同時!$B$175)</f>
        <v/>
      </c>
      <c r="I2168" s="2" t="str">
        <f aca="false">IF($G2168="","",3キー同時!$G$175)</f>
        <v/>
      </c>
      <c r="J2168" s="2" t="str">
        <f aca="false">IF($G2168="","","-")</f>
        <v/>
      </c>
      <c r="K2168" s="2" t="str">
        <f aca="false">""</f>
        <v/>
      </c>
      <c r="L2168" s="2" t="str">
        <f aca="false">IF($G2168="","","同時")</f>
        <v/>
      </c>
      <c r="M2168" s="2" t="str">
        <f aca="false">IF($G2168="","",IF(ISNA(MATCH($G2168,個別指定!$A:$A,0)),"行なし",""))</f>
        <v/>
      </c>
      <c r="N2168" s="2" t="str">
        <f aca="false">IF($G2168="","",IF(COUNTIF($G$2:$G$4460,$G2168)&gt;1,"重複",""))</f>
        <v/>
      </c>
    </row>
    <row r="2169" customFormat="false" ht="16.5" hidden="false" customHeight="true" outlineLevel="0" collapsed="false">
      <c r="A2169" s="2" t="s">
        <v>416</v>
      </c>
      <c r="B2169" s="2" t="s">
        <v>430</v>
      </c>
      <c r="C2169" s="2" t="s">
        <v>11</v>
      </c>
      <c r="D2169" s="2" t="str">
        <f aca="false">IF(3キー同時!$B$175="","",3キー同時!$B$175)</f>
        <v>v</v>
      </c>
      <c r="E2169" s="2" t="str">
        <f aca="false">IF(3キー同時!$G$175="","",3キー同時!$G$175)</f>
        <v>j</v>
      </c>
      <c r="F2169" s="2" t="str">
        <f aca="false">""</f>
        <v/>
      </c>
      <c r="G2169" s="2" t="str">
        <f aca="false">IF(OR(3キー同時!$B$175="",3キー同時!$G$175=""),"",IF(3キー同時!AX177="","",SUBSTITUTE(SUBSTITUTE(3キー同時!AX177," ",""),"　","")))</f>
        <v/>
      </c>
      <c r="H2169" s="2" t="str">
        <f aca="false">IF($G2169="","",3キー同時!$B$175)</f>
        <v/>
      </c>
      <c r="I2169" s="2" t="str">
        <f aca="false">IF($G2169="","",3キー同時!$G$175)</f>
        <v/>
      </c>
      <c r="J2169" s="2" t="str">
        <f aca="false">IF($G2169="","","=")</f>
        <v/>
      </c>
      <c r="K2169" s="2" t="str">
        <f aca="false">""</f>
        <v/>
      </c>
      <c r="L2169" s="2" t="str">
        <f aca="false">IF($G2169="","","同時")</f>
        <v/>
      </c>
      <c r="M2169" s="2" t="str">
        <f aca="false">IF($G2169="","",IF(ISNA(MATCH($G2169,個別指定!$A:$A,0)),"行なし",""))</f>
        <v/>
      </c>
      <c r="N2169" s="2" t="str">
        <f aca="false">IF($G2169="","",IF(COUNTIF($G$2:$G$4460,$G2169)&gt;1,"重複",""))</f>
        <v/>
      </c>
    </row>
    <row r="2170" customFormat="false" ht="16.5" hidden="false" customHeight="true" outlineLevel="0" collapsed="false">
      <c r="A2170" s="2" t="s">
        <v>416</v>
      </c>
      <c r="B2170" s="2" t="s">
        <v>430</v>
      </c>
      <c r="C2170" s="2" t="s">
        <v>12</v>
      </c>
      <c r="D2170" s="2" t="str">
        <f aca="false">IF(3キー同時!$B$175="","",3キー同時!$B$175)</f>
        <v>v</v>
      </c>
      <c r="E2170" s="2" t="str">
        <f aca="false">IF(3キー同時!$G$175="","",3キー同時!$G$175)</f>
        <v>j</v>
      </c>
      <c r="F2170" s="2" t="str">
        <f aca="false">""</f>
        <v/>
      </c>
      <c r="G2170" s="2" t="str">
        <f aca="false">IF(OR(3キー同時!$B$175="",3キー同時!$G$175=""),"",IF(3キー同時!H179="","",SUBSTITUTE(SUBSTITUTE(3キー同時!H179," ",""),"　","")))</f>
        <v/>
      </c>
      <c r="H2170" s="2" t="str">
        <f aca="false">IF($G2170="","",3キー同時!$B$175)</f>
        <v/>
      </c>
      <c r="I2170" s="2" t="str">
        <f aca="false">IF($G2170="","",3キー同時!$G$175)</f>
        <v/>
      </c>
      <c r="J2170" s="2" t="str">
        <f aca="false">IF($G2170="","","q")</f>
        <v/>
      </c>
      <c r="K2170" s="2" t="str">
        <f aca="false">""</f>
        <v/>
      </c>
      <c r="L2170" s="2" t="str">
        <f aca="false">IF($G2170="","","同時")</f>
        <v/>
      </c>
      <c r="M2170" s="2" t="str">
        <f aca="false">IF($G2170="","",IF(ISNA(MATCH($G2170,個別指定!$A:$A,0)),"行なし",""))</f>
        <v/>
      </c>
      <c r="N2170" s="2" t="str">
        <f aca="false">IF($G2170="","",IF(COUNTIF($G$2:$G$4460,$G2170)&gt;1,"重複",""))</f>
        <v/>
      </c>
    </row>
    <row r="2171" customFormat="false" ht="16.5" hidden="false" customHeight="true" outlineLevel="0" collapsed="false">
      <c r="A2171" s="2" t="s">
        <v>416</v>
      </c>
      <c r="B2171" s="2" t="s">
        <v>430</v>
      </c>
      <c r="C2171" s="2" t="s">
        <v>13</v>
      </c>
      <c r="D2171" s="2" t="str">
        <f aca="false">IF(3キー同時!$B$175="","",3キー同時!$B$175)</f>
        <v>v</v>
      </c>
      <c r="E2171" s="2" t="str">
        <f aca="false">IF(3キー同時!$G$175="","",3キー同時!$G$175)</f>
        <v>j</v>
      </c>
      <c r="F2171" s="2" t="str">
        <f aca="false">""</f>
        <v/>
      </c>
      <c r="G2171" s="2" t="str">
        <f aca="false">IF(OR(3キー同時!$B$175="",3キー同時!$G$175=""),"",IF(3キー同時!L179="","",SUBSTITUTE(SUBSTITUTE(3キー同時!L179," ",""),"　","")))</f>
        <v/>
      </c>
      <c r="H2171" s="2" t="str">
        <f aca="false">IF($G2171="","",3キー同時!$B$175)</f>
        <v/>
      </c>
      <c r="I2171" s="2" t="str">
        <f aca="false">IF($G2171="","",3キー同時!$G$175)</f>
        <v/>
      </c>
      <c r="J2171" s="2" t="str">
        <f aca="false">IF($G2171="","","w")</f>
        <v/>
      </c>
      <c r="K2171" s="2" t="str">
        <f aca="false">""</f>
        <v/>
      </c>
      <c r="L2171" s="2" t="str">
        <f aca="false">IF($G2171="","","同時")</f>
        <v/>
      </c>
      <c r="M2171" s="2" t="str">
        <f aca="false">IF($G2171="","",IF(ISNA(MATCH($G2171,個別指定!$A:$A,0)),"行なし",""))</f>
        <v/>
      </c>
      <c r="N2171" s="2" t="str">
        <f aca="false">IF($G2171="","",IF(COUNTIF($G$2:$G$4460,$G2171)&gt;1,"重複",""))</f>
        <v/>
      </c>
    </row>
    <row r="2172" customFormat="false" ht="16.5" hidden="false" customHeight="true" outlineLevel="0" collapsed="false">
      <c r="A2172" s="2" t="s">
        <v>416</v>
      </c>
      <c r="B2172" s="2" t="s">
        <v>430</v>
      </c>
      <c r="C2172" s="2" t="s">
        <v>14</v>
      </c>
      <c r="D2172" s="2" t="str">
        <f aca="false">IF(3キー同時!$B$175="","",3キー同時!$B$175)</f>
        <v>v</v>
      </c>
      <c r="E2172" s="2" t="str">
        <f aca="false">IF(3キー同時!$G$175="","",3キー同時!$G$175)</f>
        <v>j</v>
      </c>
      <c r="F2172" s="2" t="str">
        <f aca="false">""</f>
        <v/>
      </c>
      <c r="G2172" s="2" t="str">
        <f aca="false">IF(OR(3キー同時!$B$175="",3キー同時!$G$175=""),"",IF(3キー同時!P179="","",SUBSTITUTE(SUBSTITUTE(3キー同時!P179," ",""),"　","")))</f>
        <v/>
      </c>
      <c r="H2172" s="2" t="str">
        <f aca="false">IF($G2172="","",3キー同時!$B$175)</f>
        <v/>
      </c>
      <c r="I2172" s="2" t="str">
        <f aca="false">IF($G2172="","",3キー同時!$G$175)</f>
        <v/>
      </c>
      <c r="J2172" s="2" t="str">
        <f aca="false">IF($G2172="","","e")</f>
        <v/>
      </c>
      <c r="K2172" s="2" t="str">
        <f aca="false">""</f>
        <v/>
      </c>
      <c r="L2172" s="2" t="str">
        <f aca="false">IF($G2172="","","同時")</f>
        <v/>
      </c>
      <c r="M2172" s="2" t="str">
        <f aca="false">IF($G2172="","",IF(ISNA(MATCH($G2172,個別指定!$A:$A,0)),"行なし",""))</f>
        <v/>
      </c>
      <c r="N2172" s="2" t="str">
        <f aca="false">IF($G2172="","",IF(COUNTIF($G$2:$G$4460,$G2172)&gt;1,"重複",""))</f>
        <v/>
      </c>
    </row>
    <row r="2173" customFormat="false" ht="16.5" hidden="false" customHeight="true" outlineLevel="0" collapsed="false">
      <c r="A2173" s="2" t="s">
        <v>416</v>
      </c>
      <c r="B2173" s="2" t="s">
        <v>430</v>
      </c>
      <c r="C2173" s="2" t="s">
        <v>15</v>
      </c>
      <c r="D2173" s="2" t="str">
        <f aca="false">IF(3キー同時!$B$175="","",3キー同時!$B$175)</f>
        <v>v</v>
      </c>
      <c r="E2173" s="2" t="str">
        <f aca="false">IF(3キー同時!$G$175="","",3キー同時!$G$175)</f>
        <v>j</v>
      </c>
      <c r="F2173" s="2" t="str">
        <f aca="false">""</f>
        <v/>
      </c>
      <c r="G2173" s="2" t="str">
        <f aca="false">IF(OR(3キー同時!$B$175="",3キー同時!$G$175=""),"",IF(3キー同時!T179="","",SUBSTITUTE(SUBSTITUTE(3キー同時!T179," ",""),"　","")))</f>
        <v/>
      </c>
      <c r="H2173" s="2" t="str">
        <f aca="false">IF($G2173="","",3キー同時!$B$175)</f>
        <v/>
      </c>
      <c r="I2173" s="2" t="str">
        <f aca="false">IF($G2173="","",3キー同時!$G$175)</f>
        <v/>
      </c>
      <c r="J2173" s="2" t="str">
        <f aca="false">IF($G2173="","","r")</f>
        <v/>
      </c>
      <c r="K2173" s="2" t="str">
        <f aca="false">""</f>
        <v/>
      </c>
      <c r="L2173" s="2" t="str">
        <f aca="false">IF($G2173="","","同時")</f>
        <v/>
      </c>
      <c r="M2173" s="2" t="str">
        <f aca="false">IF($G2173="","",IF(ISNA(MATCH($G2173,個別指定!$A:$A,0)),"行なし",""))</f>
        <v/>
      </c>
      <c r="N2173" s="2" t="str">
        <f aca="false">IF($G2173="","",IF(COUNTIF($G$2:$G$4460,$G2173)&gt;1,"重複",""))</f>
        <v/>
      </c>
    </row>
    <row r="2174" customFormat="false" ht="16.5" hidden="false" customHeight="true" outlineLevel="0" collapsed="false">
      <c r="A2174" s="2" t="s">
        <v>416</v>
      </c>
      <c r="B2174" s="2" t="s">
        <v>430</v>
      </c>
      <c r="C2174" s="2" t="s">
        <v>16</v>
      </c>
      <c r="D2174" s="2" t="str">
        <f aca="false">IF(3キー同時!$B$175="","",3キー同時!$B$175)</f>
        <v>v</v>
      </c>
      <c r="E2174" s="2" t="str">
        <f aca="false">IF(3キー同時!$G$175="","",3キー同時!$G$175)</f>
        <v>j</v>
      </c>
      <c r="F2174" s="2" t="str">
        <f aca="false">""</f>
        <v/>
      </c>
      <c r="G2174" s="2" t="str">
        <f aca="false">IF(OR(3キー同時!$B$175="",3キー同時!$G$175=""),"",IF(3キー同時!X179="","",SUBSTITUTE(SUBSTITUTE(3キー同時!X179," ",""),"　","")))</f>
        <v/>
      </c>
      <c r="H2174" s="2" t="str">
        <f aca="false">IF($G2174="","",3キー同時!$B$175)</f>
        <v/>
      </c>
      <c r="I2174" s="2" t="str">
        <f aca="false">IF($G2174="","",3キー同時!$G$175)</f>
        <v/>
      </c>
      <c r="J2174" s="2" t="str">
        <f aca="false">IF($G2174="","","t")</f>
        <v/>
      </c>
      <c r="K2174" s="2" t="str">
        <f aca="false">""</f>
        <v/>
      </c>
      <c r="L2174" s="2" t="str">
        <f aca="false">IF($G2174="","","同時")</f>
        <v/>
      </c>
      <c r="M2174" s="2" t="str">
        <f aca="false">IF($G2174="","",IF(ISNA(MATCH($G2174,個別指定!$A:$A,0)),"行なし",""))</f>
        <v/>
      </c>
      <c r="N2174" s="2" t="str">
        <f aca="false">IF($G2174="","",IF(COUNTIF($G$2:$G$4460,$G2174)&gt;1,"重複",""))</f>
        <v/>
      </c>
    </row>
    <row r="2175" customFormat="false" ht="16.5" hidden="false" customHeight="true" outlineLevel="0" collapsed="false">
      <c r="A2175" s="2" t="s">
        <v>416</v>
      </c>
      <c r="B2175" s="2" t="s">
        <v>430</v>
      </c>
      <c r="C2175" s="2" t="s">
        <v>17</v>
      </c>
      <c r="D2175" s="2" t="str">
        <f aca="false">IF(3キー同時!$B$175="","",3キー同時!$B$175)</f>
        <v>v</v>
      </c>
      <c r="E2175" s="2" t="str">
        <f aca="false">IF(3キー同時!$G$175="","",3キー同時!$G$175)</f>
        <v>j</v>
      </c>
      <c r="F2175" s="2" t="str">
        <f aca="false">""</f>
        <v/>
      </c>
      <c r="G2175" s="2" t="str">
        <f aca="false">IF(OR(3キー同時!$B$175="",3キー同時!$G$175=""),"",IF(3キー同時!AB179="","",SUBSTITUTE(SUBSTITUTE(3キー同時!AB179," ",""),"　","")))</f>
        <v/>
      </c>
      <c r="H2175" s="2" t="str">
        <f aca="false">IF($G2175="","",3キー同時!$B$175)</f>
        <v/>
      </c>
      <c r="I2175" s="2" t="str">
        <f aca="false">IF($G2175="","",3キー同時!$G$175)</f>
        <v/>
      </c>
      <c r="J2175" s="2" t="str">
        <f aca="false">IF($G2175="","","y")</f>
        <v/>
      </c>
      <c r="K2175" s="2" t="str">
        <f aca="false">""</f>
        <v/>
      </c>
      <c r="L2175" s="2" t="str">
        <f aca="false">IF($G2175="","","同時")</f>
        <v/>
      </c>
      <c r="M2175" s="2" t="str">
        <f aca="false">IF($G2175="","",IF(ISNA(MATCH($G2175,個別指定!$A:$A,0)),"行なし",""))</f>
        <v/>
      </c>
      <c r="N2175" s="2" t="str">
        <f aca="false">IF($G2175="","",IF(COUNTIF($G$2:$G$4460,$G2175)&gt;1,"重複",""))</f>
        <v/>
      </c>
    </row>
    <row r="2176" customFormat="false" ht="16.5" hidden="false" customHeight="true" outlineLevel="0" collapsed="false">
      <c r="A2176" s="2" t="s">
        <v>416</v>
      </c>
      <c r="B2176" s="2" t="s">
        <v>430</v>
      </c>
      <c r="C2176" s="2" t="s">
        <v>18</v>
      </c>
      <c r="D2176" s="2" t="str">
        <f aca="false">IF(3キー同時!$B$175="","",3キー同時!$B$175)</f>
        <v>v</v>
      </c>
      <c r="E2176" s="2" t="str">
        <f aca="false">IF(3キー同時!$G$175="","",3キー同時!$G$175)</f>
        <v>j</v>
      </c>
      <c r="F2176" s="2" t="str">
        <f aca="false">""</f>
        <v/>
      </c>
      <c r="G2176" s="2" t="str">
        <f aca="false">IF(OR(3キー同時!$B$175="",3キー同時!$G$175=""),"",IF(3キー同時!AF179="","",SUBSTITUTE(SUBSTITUTE(3キー同時!AF179," ",""),"　","")))</f>
        <v/>
      </c>
      <c r="H2176" s="2" t="str">
        <f aca="false">IF($G2176="","",3キー同時!$B$175)</f>
        <v/>
      </c>
      <c r="I2176" s="2" t="str">
        <f aca="false">IF($G2176="","",3キー同時!$G$175)</f>
        <v/>
      </c>
      <c r="J2176" s="2" t="str">
        <f aca="false">IF($G2176="","","u")</f>
        <v/>
      </c>
      <c r="K2176" s="2" t="str">
        <f aca="false">""</f>
        <v/>
      </c>
      <c r="L2176" s="2" t="str">
        <f aca="false">IF($G2176="","","同時")</f>
        <v/>
      </c>
      <c r="M2176" s="2" t="str">
        <f aca="false">IF($G2176="","",IF(ISNA(MATCH($G2176,個別指定!$A:$A,0)),"行なし",""))</f>
        <v/>
      </c>
      <c r="N2176" s="2" t="str">
        <f aca="false">IF($G2176="","",IF(COUNTIF($G$2:$G$4460,$G2176)&gt;1,"重複",""))</f>
        <v/>
      </c>
    </row>
    <row r="2177" customFormat="false" ht="16.5" hidden="false" customHeight="true" outlineLevel="0" collapsed="false">
      <c r="A2177" s="2" t="s">
        <v>416</v>
      </c>
      <c r="B2177" s="2" t="s">
        <v>430</v>
      </c>
      <c r="C2177" s="2" t="s">
        <v>19</v>
      </c>
      <c r="D2177" s="2" t="str">
        <f aca="false">IF(3キー同時!$B$175="","",3キー同時!$B$175)</f>
        <v>v</v>
      </c>
      <c r="E2177" s="2" t="str">
        <f aca="false">IF(3キー同時!$G$175="","",3キー同時!$G$175)</f>
        <v>j</v>
      </c>
      <c r="F2177" s="2" t="str">
        <f aca="false">""</f>
        <v/>
      </c>
      <c r="G2177" s="2" t="str">
        <f aca="false">IF(OR(3キー同時!$B$175="",3キー同時!$G$175=""),"",IF(3キー同時!AJ179="","",SUBSTITUTE(SUBSTITUTE(3キー同時!AJ179," ",""),"　","")))</f>
        <v/>
      </c>
      <c r="H2177" s="2" t="str">
        <f aca="false">IF($G2177="","",3キー同時!$B$175)</f>
        <v/>
      </c>
      <c r="I2177" s="2" t="str">
        <f aca="false">IF($G2177="","",3キー同時!$G$175)</f>
        <v/>
      </c>
      <c r="J2177" s="2" t="str">
        <f aca="false">IF($G2177="","","i")</f>
        <v/>
      </c>
      <c r="K2177" s="2" t="str">
        <f aca="false">""</f>
        <v/>
      </c>
      <c r="L2177" s="2" t="str">
        <f aca="false">IF($G2177="","","同時")</f>
        <v/>
      </c>
      <c r="M2177" s="2" t="str">
        <f aca="false">IF($G2177="","",IF(ISNA(MATCH($G2177,個別指定!$A:$A,0)),"行なし",""))</f>
        <v/>
      </c>
      <c r="N2177" s="2" t="str">
        <f aca="false">IF($G2177="","",IF(COUNTIF($G$2:$G$4460,$G2177)&gt;1,"重複",""))</f>
        <v/>
      </c>
    </row>
    <row r="2178" customFormat="false" ht="16.5" hidden="false" customHeight="true" outlineLevel="0" collapsed="false">
      <c r="A2178" s="2" t="s">
        <v>416</v>
      </c>
      <c r="B2178" s="2" t="s">
        <v>430</v>
      </c>
      <c r="C2178" s="2" t="s">
        <v>20</v>
      </c>
      <c r="D2178" s="2" t="str">
        <f aca="false">IF(3キー同時!$B$175="","",3キー同時!$B$175)</f>
        <v>v</v>
      </c>
      <c r="E2178" s="2" t="str">
        <f aca="false">IF(3キー同時!$G$175="","",3キー同時!$G$175)</f>
        <v>j</v>
      </c>
      <c r="F2178" s="2" t="str">
        <f aca="false">""</f>
        <v/>
      </c>
      <c r="G2178" s="2" t="str">
        <f aca="false">IF(OR(3キー同時!$B$175="",3キー同時!$G$175=""),"",IF(3キー同時!AN179="","",SUBSTITUTE(SUBSTITUTE(3キー同時!AN179," ",""),"　","")))</f>
        <v/>
      </c>
      <c r="H2178" s="2" t="str">
        <f aca="false">IF($G2178="","",3キー同時!$B$175)</f>
        <v/>
      </c>
      <c r="I2178" s="2" t="str">
        <f aca="false">IF($G2178="","",3キー同時!$G$175)</f>
        <v/>
      </c>
      <c r="J2178" s="2" t="str">
        <f aca="false">IF($G2178="","","o")</f>
        <v/>
      </c>
      <c r="K2178" s="2" t="str">
        <f aca="false">""</f>
        <v/>
      </c>
      <c r="L2178" s="2" t="str">
        <f aca="false">IF($G2178="","","同時")</f>
        <v/>
      </c>
      <c r="M2178" s="2" t="str">
        <f aca="false">IF($G2178="","",IF(ISNA(MATCH($G2178,個別指定!$A:$A,0)),"行なし",""))</f>
        <v/>
      </c>
      <c r="N2178" s="2" t="str">
        <f aca="false">IF($G2178="","",IF(COUNTIF($G$2:$G$4460,$G2178)&gt;1,"重複",""))</f>
        <v/>
      </c>
    </row>
    <row r="2179" customFormat="false" ht="16.5" hidden="false" customHeight="true" outlineLevel="0" collapsed="false">
      <c r="A2179" s="2" t="s">
        <v>416</v>
      </c>
      <c r="B2179" s="2" t="s">
        <v>430</v>
      </c>
      <c r="C2179" s="2" t="s">
        <v>21</v>
      </c>
      <c r="D2179" s="2" t="str">
        <f aca="false">IF(3キー同時!$B$175="","",3キー同時!$B$175)</f>
        <v>v</v>
      </c>
      <c r="E2179" s="2" t="str">
        <f aca="false">IF(3キー同時!$G$175="","",3キー同時!$G$175)</f>
        <v>j</v>
      </c>
      <c r="F2179" s="2" t="str">
        <f aca="false">""</f>
        <v/>
      </c>
      <c r="G2179" s="2" t="str">
        <f aca="false">IF(OR(3キー同時!$B$175="",3キー同時!$G$175=""),"",IF(3キー同時!AR179="","",SUBSTITUTE(SUBSTITUTE(3キー同時!AR179," ",""),"　","")))</f>
        <v/>
      </c>
      <c r="H2179" s="2" t="str">
        <f aca="false">IF($G2179="","",3キー同時!$B$175)</f>
        <v/>
      </c>
      <c r="I2179" s="2" t="str">
        <f aca="false">IF($G2179="","",3キー同時!$G$175)</f>
        <v/>
      </c>
      <c r="J2179" s="2" t="str">
        <f aca="false">IF($G2179="","","p")</f>
        <v/>
      </c>
      <c r="K2179" s="2" t="str">
        <f aca="false">""</f>
        <v/>
      </c>
      <c r="L2179" s="2" t="str">
        <f aca="false">IF($G2179="","","同時")</f>
        <v/>
      </c>
      <c r="M2179" s="2" t="str">
        <f aca="false">IF($G2179="","",IF(ISNA(MATCH($G2179,個別指定!$A:$A,0)),"行なし",""))</f>
        <v/>
      </c>
      <c r="N2179" s="2" t="str">
        <f aca="false">IF($G2179="","",IF(COUNTIF($G$2:$G$4460,$G2179)&gt;1,"重複",""))</f>
        <v/>
      </c>
    </row>
    <row r="2180" customFormat="false" ht="16.5" hidden="false" customHeight="true" outlineLevel="0" collapsed="false">
      <c r="A2180" s="2" t="s">
        <v>416</v>
      </c>
      <c r="B2180" s="2" t="s">
        <v>430</v>
      </c>
      <c r="C2180" s="2" t="s">
        <v>22</v>
      </c>
      <c r="D2180" s="2" t="str">
        <f aca="false">IF(3キー同時!$B$175="","",3キー同時!$B$175)</f>
        <v>v</v>
      </c>
      <c r="E2180" s="2" t="str">
        <f aca="false">IF(3キー同時!$G$175="","",3キー同時!$G$175)</f>
        <v>j</v>
      </c>
      <c r="F2180" s="2" t="str">
        <f aca="false">""</f>
        <v/>
      </c>
      <c r="G2180" s="2" t="str">
        <f aca="false">IF(OR(3キー同時!$B$175="",3キー同時!$G$175=""),"",IF(3キー同時!AV179="","",SUBSTITUTE(SUBSTITUTE(3キー同時!AV179," ",""),"　","")))</f>
        <v/>
      </c>
      <c r="H2180" s="2" t="str">
        <f aca="false">IF($G2180="","",3キー同時!$B$175)</f>
        <v/>
      </c>
      <c r="I2180" s="2" t="str">
        <f aca="false">IF($G2180="","",3キー同時!$G$175)</f>
        <v/>
      </c>
      <c r="J2180" s="2" t="str">
        <f aca="false">IF($G2180="","","[")</f>
        <v/>
      </c>
      <c r="K2180" s="2" t="str">
        <f aca="false">""</f>
        <v/>
      </c>
      <c r="L2180" s="2" t="str">
        <f aca="false">IF($G2180="","","同時")</f>
        <v/>
      </c>
      <c r="M2180" s="2" t="str">
        <f aca="false">IF($G2180="","",IF(ISNA(MATCH($G2180,個別指定!$A:$A,0)),"行なし",""))</f>
        <v/>
      </c>
      <c r="N2180" s="2" t="str">
        <f aca="false">IF($G2180="","",IF(COUNTIF($G$2:$G$4460,$G2180)&gt;1,"重複",""))</f>
        <v/>
      </c>
    </row>
    <row r="2181" customFormat="false" ht="16.5" hidden="false" customHeight="true" outlineLevel="0" collapsed="false">
      <c r="A2181" s="2" t="s">
        <v>416</v>
      </c>
      <c r="B2181" s="2" t="s">
        <v>430</v>
      </c>
      <c r="C2181" s="2" t="s">
        <v>23</v>
      </c>
      <c r="D2181" s="2" t="str">
        <f aca="false">IF(3キー同時!$B$175="","",3キー同時!$B$175)</f>
        <v>v</v>
      </c>
      <c r="E2181" s="2" t="str">
        <f aca="false">IF(3キー同時!$G$175="","",3キー同時!$G$175)</f>
        <v>j</v>
      </c>
      <c r="F2181" s="2" t="str">
        <f aca="false">""</f>
        <v/>
      </c>
      <c r="G2181" s="2" t="str">
        <f aca="false">IF(OR(3キー同時!$B$175="",3キー同時!$G$175=""),"",IF(3キー同時!AZ179="","",SUBSTITUTE(SUBSTITUTE(3キー同時!AZ179," ",""),"　","")))</f>
        <v/>
      </c>
      <c r="H2181" s="2" t="str">
        <f aca="false">IF($G2181="","",3キー同時!$B$175)</f>
        <v/>
      </c>
      <c r="I2181" s="2" t="str">
        <f aca="false">IF($G2181="","",3キー同時!$G$175)</f>
        <v/>
      </c>
      <c r="J2181" s="2" t="str">
        <f aca="false">IF($G2181="","","]")</f>
        <v/>
      </c>
      <c r="K2181" s="2" t="str">
        <f aca="false">""</f>
        <v/>
      </c>
      <c r="L2181" s="2" t="str">
        <f aca="false">IF($G2181="","","同時")</f>
        <v/>
      </c>
      <c r="M2181" s="2" t="str">
        <f aca="false">IF($G2181="","",IF(ISNA(MATCH($G2181,個別指定!$A:$A,0)),"行なし",""))</f>
        <v/>
      </c>
      <c r="N2181" s="2" t="str">
        <f aca="false">IF($G2181="","",IF(COUNTIF($G$2:$G$4460,$G2181)&gt;1,"重複",""))</f>
        <v/>
      </c>
    </row>
    <row r="2182" customFormat="false" ht="16.5" hidden="false" customHeight="true" outlineLevel="0" collapsed="false">
      <c r="A2182" s="2" t="s">
        <v>416</v>
      </c>
      <c r="B2182" s="2" t="s">
        <v>430</v>
      </c>
      <c r="C2182" s="2" t="s">
        <v>24</v>
      </c>
      <c r="D2182" s="2" t="str">
        <f aca="false">IF(3キー同時!$B$175="","",3キー同時!$B$175)</f>
        <v>v</v>
      </c>
      <c r="E2182" s="2" t="str">
        <f aca="false">IF(3キー同時!$G$175="","",3キー同時!$G$175)</f>
        <v>j</v>
      </c>
      <c r="F2182" s="2" t="str">
        <f aca="false">""</f>
        <v/>
      </c>
      <c r="G2182" s="2" t="str">
        <f aca="false">IF(OR(3キー同時!$B$175="",3キー同時!$G$175=""),"",IF(3キー同時!I181="","",SUBSTITUTE(SUBSTITUTE(3キー同時!I181," ",""),"　","")))</f>
        <v/>
      </c>
      <c r="H2182" s="2" t="str">
        <f aca="false">IF($G2182="","",3キー同時!$B$175)</f>
        <v/>
      </c>
      <c r="I2182" s="2" t="str">
        <f aca="false">IF($G2182="","",3キー同時!$G$175)</f>
        <v/>
      </c>
      <c r="J2182" s="2" t="str">
        <f aca="false">IF($G2182="","","a")</f>
        <v/>
      </c>
      <c r="K2182" s="2" t="str">
        <f aca="false">""</f>
        <v/>
      </c>
      <c r="L2182" s="2" t="str">
        <f aca="false">IF($G2182="","","同時")</f>
        <v/>
      </c>
      <c r="M2182" s="2" t="str">
        <f aca="false">IF($G2182="","",IF(ISNA(MATCH($G2182,個別指定!$A:$A,0)),"行なし",""))</f>
        <v/>
      </c>
      <c r="N2182" s="2" t="str">
        <f aca="false">IF($G2182="","",IF(COUNTIF($G$2:$G$4460,$G2182)&gt;1,"重複",""))</f>
        <v/>
      </c>
    </row>
    <row r="2183" customFormat="false" ht="16.5" hidden="false" customHeight="true" outlineLevel="0" collapsed="false">
      <c r="A2183" s="2" t="s">
        <v>416</v>
      </c>
      <c r="B2183" s="2" t="s">
        <v>430</v>
      </c>
      <c r="C2183" s="2" t="s">
        <v>25</v>
      </c>
      <c r="D2183" s="2" t="str">
        <f aca="false">IF(3キー同時!$B$175="","",3キー同時!$B$175)</f>
        <v>v</v>
      </c>
      <c r="E2183" s="2" t="str">
        <f aca="false">IF(3キー同時!$G$175="","",3キー同時!$G$175)</f>
        <v>j</v>
      </c>
      <c r="F2183" s="2" t="str">
        <f aca="false">""</f>
        <v/>
      </c>
      <c r="G2183" s="2" t="str">
        <f aca="false">IF(OR(3キー同時!$B$175="",3キー同時!$G$175=""),"",IF(3キー同時!M181="","",SUBSTITUTE(SUBSTITUTE(3キー同時!M181," ",""),"　","")))</f>
        <v/>
      </c>
      <c r="H2183" s="2" t="str">
        <f aca="false">IF($G2183="","",3キー同時!$B$175)</f>
        <v/>
      </c>
      <c r="I2183" s="2" t="str">
        <f aca="false">IF($G2183="","",3キー同時!$G$175)</f>
        <v/>
      </c>
      <c r="J2183" s="2" t="str">
        <f aca="false">IF($G2183="","","s")</f>
        <v/>
      </c>
      <c r="K2183" s="2" t="str">
        <f aca="false">""</f>
        <v/>
      </c>
      <c r="L2183" s="2" t="str">
        <f aca="false">IF($G2183="","","同時")</f>
        <v/>
      </c>
      <c r="M2183" s="2" t="str">
        <f aca="false">IF($G2183="","",IF(ISNA(MATCH($G2183,個別指定!$A:$A,0)),"行なし",""))</f>
        <v/>
      </c>
      <c r="N2183" s="2" t="str">
        <f aca="false">IF($G2183="","",IF(COUNTIF($G$2:$G$4460,$G2183)&gt;1,"重複",""))</f>
        <v/>
      </c>
    </row>
    <row r="2184" customFormat="false" ht="16.5" hidden="false" customHeight="true" outlineLevel="0" collapsed="false">
      <c r="A2184" s="2" t="s">
        <v>416</v>
      </c>
      <c r="B2184" s="2" t="s">
        <v>430</v>
      </c>
      <c r="C2184" s="2" t="s">
        <v>26</v>
      </c>
      <c r="D2184" s="2" t="str">
        <f aca="false">IF(3キー同時!$B$175="","",3キー同時!$B$175)</f>
        <v>v</v>
      </c>
      <c r="E2184" s="2" t="str">
        <f aca="false">IF(3キー同時!$G$175="","",3キー同時!$G$175)</f>
        <v>j</v>
      </c>
      <c r="F2184" s="2" t="str">
        <f aca="false">""</f>
        <v/>
      </c>
      <c r="G2184" s="2" t="str">
        <f aca="false">IF(OR(3キー同時!$B$175="",3キー同時!$G$175=""),"",IF(3キー同時!Q181="","",SUBSTITUTE(SUBSTITUTE(3キー同時!Q181," ",""),"　","")))</f>
        <v/>
      </c>
      <c r="H2184" s="2" t="str">
        <f aca="false">IF($G2184="","",3キー同時!$B$175)</f>
        <v/>
      </c>
      <c r="I2184" s="2" t="str">
        <f aca="false">IF($G2184="","",3キー同時!$G$175)</f>
        <v/>
      </c>
      <c r="J2184" s="2" t="str">
        <f aca="false">IF($G2184="","","d")</f>
        <v/>
      </c>
      <c r="K2184" s="2" t="str">
        <f aca="false">""</f>
        <v/>
      </c>
      <c r="L2184" s="2" t="str">
        <f aca="false">IF($G2184="","","同時")</f>
        <v/>
      </c>
      <c r="M2184" s="2" t="str">
        <f aca="false">IF($G2184="","",IF(ISNA(MATCH($G2184,個別指定!$A:$A,0)),"行なし",""))</f>
        <v/>
      </c>
      <c r="N2184" s="2" t="str">
        <f aca="false">IF($G2184="","",IF(COUNTIF($G$2:$G$4460,$G2184)&gt;1,"重複",""))</f>
        <v/>
      </c>
    </row>
    <row r="2185" customFormat="false" ht="16.5" hidden="false" customHeight="true" outlineLevel="0" collapsed="false">
      <c r="A2185" s="2" t="s">
        <v>416</v>
      </c>
      <c r="B2185" s="2" t="s">
        <v>430</v>
      </c>
      <c r="C2185" s="2" t="s">
        <v>27</v>
      </c>
      <c r="D2185" s="2" t="str">
        <f aca="false">IF(3キー同時!$B$175="","",3キー同時!$B$175)</f>
        <v>v</v>
      </c>
      <c r="E2185" s="2" t="str">
        <f aca="false">IF(3キー同時!$G$175="","",3キー同時!$G$175)</f>
        <v>j</v>
      </c>
      <c r="F2185" s="2" t="str">
        <f aca="false">""</f>
        <v/>
      </c>
      <c r="G2185" s="2" t="str">
        <f aca="false">IF(OR(3キー同時!$B$175="",3キー同時!$G$175=""),"",IF(3キー同時!U181="","",SUBSTITUTE(SUBSTITUTE(3キー同時!U181," ",""),"　","")))</f>
        <v/>
      </c>
      <c r="H2185" s="2" t="str">
        <f aca="false">IF($G2185="","",3キー同時!$B$175)</f>
        <v/>
      </c>
      <c r="I2185" s="2" t="str">
        <f aca="false">IF($G2185="","",3キー同時!$G$175)</f>
        <v/>
      </c>
      <c r="J2185" s="2" t="str">
        <f aca="false">IF($G2185="","","f")</f>
        <v/>
      </c>
      <c r="K2185" s="2" t="str">
        <f aca="false">""</f>
        <v/>
      </c>
      <c r="L2185" s="2" t="str">
        <f aca="false">IF($G2185="","","同時")</f>
        <v/>
      </c>
      <c r="M2185" s="2" t="str">
        <f aca="false">IF($G2185="","",IF(ISNA(MATCH($G2185,個別指定!$A:$A,0)),"行なし",""))</f>
        <v/>
      </c>
      <c r="N2185" s="2" t="str">
        <f aca="false">IF($G2185="","",IF(COUNTIF($G$2:$G$4460,$G2185)&gt;1,"重複",""))</f>
        <v/>
      </c>
    </row>
    <row r="2186" customFormat="false" ht="16.5" hidden="false" customHeight="true" outlineLevel="0" collapsed="false">
      <c r="A2186" s="2" t="s">
        <v>416</v>
      </c>
      <c r="B2186" s="2" t="s">
        <v>430</v>
      </c>
      <c r="C2186" s="2" t="s">
        <v>28</v>
      </c>
      <c r="D2186" s="2" t="str">
        <f aca="false">IF(3キー同時!$B$175="","",3キー同時!$B$175)</f>
        <v>v</v>
      </c>
      <c r="E2186" s="2" t="str">
        <f aca="false">IF(3キー同時!$G$175="","",3キー同時!$G$175)</f>
        <v>j</v>
      </c>
      <c r="F2186" s="2" t="str">
        <f aca="false">""</f>
        <v/>
      </c>
      <c r="G2186" s="2" t="str">
        <f aca="false">IF(OR(3キー同時!$B$175="",3キー同時!$G$175=""),"",IF(3キー同時!Y181="","",SUBSTITUTE(SUBSTITUTE(3キー同時!Y181," ",""),"　","")))</f>
        <v/>
      </c>
      <c r="H2186" s="2" t="str">
        <f aca="false">IF($G2186="","",3キー同時!$B$175)</f>
        <v/>
      </c>
      <c r="I2186" s="2" t="str">
        <f aca="false">IF($G2186="","",3キー同時!$G$175)</f>
        <v/>
      </c>
      <c r="J2186" s="2" t="str">
        <f aca="false">IF($G2186="","","g")</f>
        <v/>
      </c>
      <c r="K2186" s="2" t="str">
        <f aca="false">""</f>
        <v/>
      </c>
      <c r="L2186" s="2" t="str">
        <f aca="false">IF($G2186="","","同時")</f>
        <v/>
      </c>
      <c r="M2186" s="2" t="str">
        <f aca="false">IF($G2186="","",IF(ISNA(MATCH($G2186,個別指定!$A:$A,0)),"行なし",""))</f>
        <v/>
      </c>
      <c r="N2186" s="2" t="str">
        <f aca="false">IF($G2186="","",IF(COUNTIF($G$2:$G$4460,$G2186)&gt;1,"重複",""))</f>
        <v/>
      </c>
    </row>
    <row r="2187" customFormat="false" ht="16.5" hidden="false" customHeight="true" outlineLevel="0" collapsed="false">
      <c r="A2187" s="2" t="s">
        <v>416</v>
      </c>
      <c r="B2187" s="2" t="s">
        <v>430</v>
      </c>
      <c r="C2187" s="2" t="s">
        <v>29</v>
      </c>
      <c r="D2187" s="2" t="str">
        <f aca="false">IF(3キー同時!$B$175="","",3キー同時!$B$175)</f>
        <v>v</v>
      </c>
      <c r="E2187" s="2" t="str">
        <f aca="false">IF(3キー同時!$G$175="","",3キー同時!$G$175)</f>
        <v>j</v>
      </c>
      <c r="F2187" s="2" t="str">
        <f aca="false">""</f>
        <v/>
      </c>
      <c r="G2187" s="2" t="str">
        <f aca="false">IF(OR(3キー同時!$B$175="",3キー同時!$G$175=""),"",IF(3キー同時!AC181="","",SUBSTITUTE(SUBSTITUTE(3キー同時!AC181," ",""),"　","")))</f>
        <v>くぁ</v>
      </c>
      <c r="H2187" s="2" t="str">
        <f aca="false">IF($G2187="","",3キー同時!$B$175)</f>
        <v>v</v>
      </c>
      <c r="I2187" s="2" t="str">
        <f aca="false">IF($G2187="","",3キー同時!$G$175)</f>
        <v>j</v>
      </c>
      <c r="J2187" s="2" t="str">
        <f aca="false">IF($G2187="","","h")</f>
        <v>h</v>
      </c>
      <c r="K2187" s="2" t="str">
        <f aca="false">""</f>
        <v/>
      </c>
      <c r="L2187" s="2" t="str">
        <f aca="false">IF($G2187="","","同時")</f>
        <v>同時</v>
      </c>
      <c r="M2187" s="2" t="str">
        <f aca="false">IF($G2187="","",IF(ISNA(MATCH($G2187,個別指定!$A:$A,0)),"行なし",""))</f>
        <v/>
      </c>
      <c r="N2187" s="2" t="str">
        <f aca="false">IF($G2187="","",IF(COUNTIF($G$2:$G$4460,$G2187)&gt;1,"重複",""))</f>
        <v/>
      </c>
    </row>
    <row r="2188" customFormat="false" ht="16.5" hidden="false" customHeight="true" outlineLevel="0" collapsed="false">
      <c r="A2188" s="2" t="s">
        <v>416</v>
      </c>
      <c r="B2188" s="2" t="s">
        <v>430</v>
      </c>
      <c r="C2188" s="2" t="s">
        <v>30</v>
      </c>
      <c r="D2188" s="2" t="str">
        <f aca="false">IF(3キー同時!$B$175="","",3キー同時!$B$175)</f>
        <v>v</v>
      </c>
      <c r="E2188" s="2" t="str">
        <f aca="false">IF(3キー同時!$G$175="","",3キー同時!$G$175)</f>
        <v>j</v>
      </c>
      <c r="F2188" s="2" t="str">
        <f aca="false">""</f>
        <v/>
      </c>
      <c r="G2188" s="2" t="str">
        <f aca="false">IF(OR(3キー同時!$B$175="",3キー同時!$G$175=""),"",IF(3キー同時!AG181="","",SUBSTITUTE(SUBSTITUTE(3キー同時!AG181," ",""),"　","")))</f>
        <v/>
      </c>
      <c r="H2188" s="2" t="str">
        <f aca="false">IF($G2188="","",3キー同時!$B$175)</f>
        <v/>
      </c>
      <c r="I2188" s="2" t="str">
        <f aca="false">IF($G2188="","",3キー同時!$G$175)</f>
        <v/>
      </c>
      <c r="J2188" s="2" t="str">
        <f aca="false">IF($G2188="","","j")</f>
        <v/>
      </c>
      <c r="K2188" s="2" t="str">
        <f aca="false">""</f>
        <v/>
      </c>
      <c r="L2188" s="2" t="str">
        <f aca="false">IF($G2188="","","同時")</f>
        <v/>
      </c>
      <c r="M2188" s="2" t="str">
        <f aca="false">IF($G2188="","",IF(ISNA(MATCH($G2188,個別指定!$A:$A,0)),"行なし",""))</f>
        <v/>
      </c>
      <c r="N2188" s="2" t="str">
        <f aca="false">IF($G2188="","",IF(COUNTIF($G$2:$G$4460,$G2188)&gt;1,"重複",""))</f>
        <v/>
      </c>
    </row>
    <row r="2189" customFormat="false" ht="16.5" hidden="false" customHeight="true" outlineLevel="0" collapsed="false">
      <c r="A2189" s="2" t="s">
        <v>416</v>
      </c>
      <c r="B2189" s="2" t="s">
        <v>430</v>
      </c>
      <c r="C2189" s="2" t="s">
        <v>31</v>
      </c>
      <c r="D2189" s="2" t="str">
        <f aca="false">IF(3キー同時!$B$175="","",3キー同時!$B$175)</f>
        <v>v</v>
      </c>
      <c r="E2189" s="2" t="str">
        <f aca="false">IF(3キー同時!$G$175="","",3キー同時!$G$175)</f>
        <v>j</v>
      </c>
      <c r="F2189" s="2" t="str">
        <f aca="false">""</f>
        <v/>
      </c>
      <c r="G2189" s="2" t="str">
        <f aca="false">IF(OR(3キー同時!$B$175="",3キー同時!$G$175=""),"",IF(3キー同時!AK181="","",SUBSTITUTE(SUBSTITUTE(3キー同時!AK181," ",""),"　","")))</f>
        <v/>
      </c>
      <c r="H2189" s="2" t="str">
        <f aca="false">IF($G2189="","",3キー同時!$B$175)</f>
        <v/>
      </c>
      <c r="I2189" s="2" t="str">
        <f aca="false">IF($G2189="","",3キー同時!$G$175)</f>
        <v/>
      </c>
      <c r="J2189" s="2" t="str">
        <f aca="false">IF($G2189="","","k")</f>
        <v/>
      </c>
      <c r="K2189" s="2" t="str">
        <f aca="false">""</f>
        <v/>
      </c>
      <c r="L2189" s="2" t="str">
        <f aca="false">IF($G2189="","","同時")</f>
        <v/>
      </c>
      <c r="M2189" s="2" t="str">
        <f aca="false">IF($G2189="","",IF(ISNA(MATCH($G2189,個別指定!$A:$A,0)),"行なし",""))</f>
        <v/>
      </c>
      <c r="N2189" s="2" t="str">
        <f aca="false">IF($G2189="","",IF(COUNTIF($G$2:$G$4460,$G2189)&gt;1,"重複",""))</f>
        <v/>
      </c>
    </row>
    <row r="2190" customFormat="false" ht="16.5" hidden="false" customHeight="true" outlineLevel="0" collapsed="false">
      <c r="A2190" s="2" t="s">
        <v>416</v>
      </c>
      <c r="B2190" s="2" t="s">
        <v>430</v>
      </c>
      <c r="C2190" s="2" t="s">
        <v>32</v>
      </c>
      <c r="D2190" s="2" t="str">
        <f aca="false">IF(3キー同時!$B$175="","",3キー同時!$B$175)</f>
        <v>v</v>
      </c>
      <c r="E2190" s="2" t="str">
        <f aca="false">IF(3キー同時!$G$175="","",3キー同時!$G$175)</f>
        <v>j</v>
      </c>
      <c r="F2190" s="2" t="str">
        <f aca="false">""</f>
        <v/>
      </c>
      <c r="G2190" s="2" t="str">
        <f aca="false">IF(OR(3キー同時!$B$175="",3キー同時!$G$175=""),"",IF(3キー同時!AO181="","",SUBSTITUTE(SUBSTITUTE(3キー同時!AO181," ",""),"　","")))</f>
        <v/>
      </c>
      <c r="H2190" s="2" t="str">
        <f aca="false">IF($G2190="","",3キー同時!$B$175)</f>
        <v/>
      </c>
      <c r="I2190" s="2" t="str">
        <f aca="false">IF($G2190="","",3キー同時!$G$175)</f>
        <v/>
      </c>
      <c r="J2190" s="2" t="str">
        <f aca="false">IF($G2190="","","l")</f>
        <v/>
      </c>
      <c r="K2190" s="2" t="str">
        <f aca="false">""</f>
        <v/>
      </c>
      <c r="L2190" s="2" t="str">
        <f aca="false">IF($G2190="","","同時")</f>
        <v/>
      </c>
      <c r="M2190" s="2" t="str">
        <f aca="false">IF($G2190="","",IF(ISNA(MATCH($G2190,個別指定!$A:$A,0)),"行なし",""))</f>
        <v/>
      </c>
      <c r="N2190" s="2" t="str">
        <f aca="false">IF($G2190="","",IF(COUNTIF($G$2:$G$4460,$G2190)&gt;1,"重複",""))</f>
        <v/>
      </c>
    </row>
    <row r="2191" customFormat="false" ht="16.5" hidden="false" customHeight="true" outlineLevel="0" collapsed="false">
      <c r="A2191" s="2" t="s">
        <v>416</v>
      </c>
      <c r="B2191" s="2" t="s">
        <v>430</v>
      </c>
      <c r="C2191" s="2" t="s">
        <v>33</v>
      </c>
      <c r="D2191" s="2" t="str">
        <f aca="false">IF(3キー同時!$B$175="","",3キー同時!$B$175)</f>
        <v>v</v>
      </c>
      <c r="E2191" s="2" t="str">
        <f aca="false">IF(3キー同時!$G$175="","",3キー同時!$G$175)</f>
        <v>j</v>
      </c>
      <c r="F2191" s="2" t="str">
        <f aca="false">""</f>
        <v/>
      </c>
      <c r="G2191" s="2" t="str">
        <f aca="false">IF(OR(3キー同時!$B$175="",3キー同時!$G$175=""),"",IF(3キー同時!AS181="","",SUBSTITUTE(SUBSTITUTE(3キー同時!AS181," ",""),"　","")))</f>
        <v>ふぁ</v>
      </c>
      <c r="H2191" s="2" t="str">
        <f aca="false">IF($G2191="","",3キー同時!$B$175)</f>
        <v>v</v>
      </c>
      <c r="I2191" s="2" t="str">
        <f aca="false">IF($G2191="","",3キー同時!$G$175)</f>
        <v>j</v>
      </c>
      <c r="J2191" s="2" t="str">
        <f aca="false">IF($G2191="","",";")</f>
        <v>;</v>
      </c>
      <c r="K2191" s="2" t="str">
        <f aca="false">""</f>
        <v/>
      </c>
      <c r="L2191" s="2" t="str">
        <f aca="false">IF($G2191="","","同時")</f>
        <v>同時</v>
      </c>
      <c r="M2191" s="2" t="str">
        <f aca="false">IF($G2191="","",IF(ISNA(MATCH($G2191,個別指定!$A:$A,0)),"行なし",""))</f>
        <v/>
      </c>
      <c r="N2191" s="2" t="str">
        <f aca="false">IF($G2191="","",IF(COUNTIF($G$2:$G$4460,$G2191)&gt;1,"重複",""))</f>
        <v/>
      </c>
    </row>
    <row r="2192" customFormat="false" ht="16.5" hidden="false" customHeight="true" outlineLevel="0" collapsed="false">
      <c r="A2192" s="2" t="s">
        <v>416</v>
      </c>
      <c r="B2192" s="2" t="s">
        <v>430</v>
      </c>
      <c r="C2192" s="2" t="s">
        <v>34</v>
      </c>
      <c r="D2192" s="2" t="str">
        <f aca="false">IF(3キー同時!$B$175="","",3キー同時!$B$175)</f>
        <v>v</v>
      </c>
      <c r="E2192" s="2" t="str">
        <f aca="false">IF(3キー同時!$G$175="","",3キー同時!$G$175)</f>
        <v>j</v>
      </c>
      <c r="F2192" s="2" t="str">
        <f aca="false">""</f>
        <v/>
      </c>
      <c r="G2192" s="2" t="str">
        <f aca="false">IF(OR(3キー同時!$B$175="",3キー同時!$G$175=""),"",IF(3キー同時!AW181="","",SUBSTITUTE(SUBSTITUTE(3キー同時!AW181," ",""),"　","")))</f>
        <v/>
      </c>
      <c r="H2192" s="2" t="str">
        <f aca="false">IF($G2192="","",3キー同時!$B$175)</f>
        <v/>
      </c>
      <c r="I2192" s="2" t="str">
        <f aca="false">IF($G2192="","",3キー同時!$G$175)</f>
        <v/>
      </c>
      <c r="J2192" s="2" t="str">
        <f aca="false">IF($G2192="","","'")</f>
        <v/>
      </c>
      <c r="K2192" s="2" t="str">
        <f aca="false">""</f>
        <v/>
      </c>
      <c r="L2192" s="2" t="str">
        <f aca="false">IF($G2192="","","同時")</f>
        <v/>
      </c>
      <c r="M2192" s="2" t="str">
        <f aca="false">IF($G2192="","",IF(ISNA(MATCH($G2192,個別指定!$A:$A,0)),"行なし",""))</f>
        <v/>
      </c>
      <c r="N2192" s="2" t="str">
        <f aca="false">IF($G2192="","",IF(COUNTIF($G$2:$G$4460,$G2192)&gt;1,"重複",""))</f>
        <v/>
      </c>
    </row>
    <row r="2193" customFormat="false" ht="16.5" hidden="false" customHeight="true" outlineLevel="0" collapsed="false">
      <c r="A2193" s="2" t="s">
        <v>416</v>
      </c>
      <c r="B2193" s="2" t="s">
        <v>430</v>
      </c>
      <c r="C2193" s="2" t="s">
        <v>35</v>
      </c>
      <c r="D2193" s="2" t="str">
        <f aca="false">IF(3キー同時!$B$175="","",3キー同時!$B$175)</f>
        <v>v</v>
      </c>
      <c r="E2193" s="2" t="str">
        <f aca="false">IF(3キー同時!$G$175="","",3キー同時!$G$175)</f>
        <v>j</v>
      </c>
      <c r="F2193" s="2" t="str">
        <f aca="false">""</f>
        <v/>
      </c>
      <c r="G2193" s="2" t="str">
        <f aca="false">IF(OR(3キー同時!$B$175="",3キー同時!$G$175=""),"",IF(3キー同時!K183="","",SUBSTITUTE(SUBSTITUTE(3キー同時!K183," ",""),"　","")))</f>
        <v/>
      </c>
      <c r="H2193" s="2" t="str">
        <f aca="false">IF($G2193="","",3キー同時!$B$175)</f>
        <v/>
      </c>
      <c r="I2193" s="2" t="str">
        <f aca="false">IF($G2193="","",3キー同時!$G$175)</f>
        <v/>
      </c>
      <c r="J2193" s="2" t="str">
        <f aca="false">IF($G2193="","","z")</f>
        <v/>
      </c>
      <c r="K2193" s="2" t="str">
        <f aca="false">""</f>
        <v/>
      </c>
      <c r="L2193" s="2" t="str">
        <f aca="false">IF($G2193="","","同時")</f>
        <v/>
      </c>
      <c r="M2193" s="2" t="str">
        <f aca="false">IF($G2193="","",IF(ISNA(MATCH($G2193,個別指定!$A:$A,0)),"行なし",""))</f>
        <v/>
      </c>
      <c r="N2193" s="2" t="str">
        <f aca="false">IF($G2193="","",IF(COUNTIF($G$2:$G$4460,$G2193)&gt;1,"重複",""))</f>
        <v/>
      </c>
    </row>
    <row r="2194" customFormat="false" ht="16.5" hidden="false" customHeight="true" outlineLevel="0" collapsed="false">
      <c r="A2194" s="2" t="s">
        <v>416</v>
      </c>
      <c r="B2194" s="2" t="s">
        <v>430</v>
      </c>
      <c r="C2194" s="2" t="s">
        <v>36</v>
      </c>
      <c r="D2194" s="2" t="str">
        <f aca="false">IF(3キー同時!$B$175="","",3キー同時!$B$175)</f>
        <v>v</v>
      </c>
      <c r="E2194" s="2" t="str">
        <f aca="false">IF(3キー同時!$G$175="","",3キー同時!$G$175)</f>
        <v>j</v>
      </c>
      <c r="F2194" s="2" t="str">
        <f aca="false">""</f>
        <v/>
      </c>
      <c r="G2194" s="2" t="str">
        <f aca="false">IF(OR(3キー同時!$B$175="",3キー同時!$G$175=""),"",IF(3キー同時!O183="","",SUBSTITUTE(SUBSTITUTE(3キー同時!O183," ",""),"　","")))</f>
        <v/>
      </c>
      <c r="H2194" s="2" t="str">
        <f aca="false">IF($G2194="","",3キー同時!$B$175)</f>
        <v/>
      </c>
      <c r="I2194" s="2" t="str">
        <f aca="false">IF($G2194="","",3キー同時!$G$175)</f>
        <v/>
      </c>
      <c r="J2194" s="2" t="str">
        <f aca="false">IF($G2194="","","x")</f>
        <v/>
      </c>
      <c r="K2194" s="2" t="str">
        <f aca="false">""</f>
        <v/>
      </c>
      <c r="L2194" s="2" t="str">
        <f aca="false">IF($G2194="","","同時")</f>
        <v/>
      </c>
      <c r="M2194" s="2" t="str">
        <f aca="false">IF($G2194="","",IF(ISNA(MATCH($G2194,個別指定!$A:$A,0)),"行なし",""))</f>
        <v/>
      </c>
      <c r="N2194" s="2" t="str">
        <f aca="false">IF($G2194="","",IF(COUNTIF($G$2:$G$4460,$G2194)&gt;1,"重複",""))</f>
        <v/>
      </c>
    </row>
    <row r="2195" customFormat="false" ht="16.5" hidden="false" customHeight="true" outlineLevel="0" collapsed="false">
      <c r="A2195" s="2" t="s">
        <v>416</v>
      </c>
      <c r="B2195" s="2" t="s">
        <v>430</v>
      </c>
      <c r="C2195" s="2" t="s">
        <v>37</v>
      </c>
      <c r="D2195" s="2" t="str">
        <f aca="false">IF(3キー同時!$B$175="","",3キー同時!$B$175)</f>
        <v>v</v>
      </c>
      <c r="E2195" s="2" t="str">
        <f aca="false">IF(3キー同時!$G$175="","",3キー同時!$G$175)</f>
        <v>j</v>
      </c>
      <c r="F2195" s="2" t="str">
        <f aca="false">""</f>
        <v/>
      </c>
      <c r="G2195" s="2" t="str">
        <f aca="false">IF(OR(3キー同時!$B$175="",3キー同時!$G$175=""),"",IF(3キー同時!S183="","",SUBSTITUTE(SUBSTITUTE(3キー同時!S183," ",""),"　","")))</f>
        <v/>
      </c>
      <c r="H2195" s="2" t="str">
        <f aca="false">IF($G2195="","",3キー同時!$B$175)</f>
        <v/>
      </c>
      <c r="I2195" s="2" t="str">
        <f aca="false">IF($G2195="","",3キー同時!$G$175)</f>
        <v/>
      </c>
      <c r="J2195" s="2" t="str">
        <f aca="false">IF($G2195="","","c")</f>
        <v/>
      </c>
      <c r="K2195" s="2" t="str">
        <f aca="false">""</f>
        <v/>
      </c>
      <c r="L2195" s="2" t="str">
        <f aca="false">IF($G2195="","","同時")</f>
        <v/>
      </c>
      <c r="M2195" s="2" t="str">
        <f aca="false">IF($G2195="","",IF(ISNA(MATCH($G2195,個別指定!$A:$A,0)),"行なし",""))</f>
        <v/>
      </c>
      <c r="N2195" s="2" t="str">
        <f aca="false">IF($G2195="","",IF(COUNTIF($G$2:$G$4460,$G2195)&gt;1,"重複",""))</f>
        <v/>
      </c>
    </row>
    <row r="2196" customFormat="false" ht="16.5" hidden="false" customHeight="true" outlineLevel="0" collapsed="false">
      <c r="A2196" s="2" t="s">
        <v>416</v>
      </c>
      <c r="B2196" s="2" t="s">
        <v>430</v>
      </c>
      <c r="C2196" s="2" t="s">
        <v>38</v>
      </c>
      <c r="D2196" s="2" t="str">
        <f aca="false">IF(3キー同時!$B$175="","",3キー同時!$B$175)</f>
        <v>v</v>
      </c>
      <c r="E2196" s="2" t="str">
        <f aca="false">IF(3キー同時!$G$175="","",3キー同時!$G$175)</f>
        <v>j</v>
      </c>
      <c r="F2196" s="2" t="str">
        <f aca="false">""</f>
        <v/>
      </c>
      <c r="G2196" s="2" t="str">
        <f aca="false">IF(OR(3キー同時!$B$175="",3キー同時!$G$175=""),"",IF(3キー同時!W183="","",SUBSTITUTE(SUBSTITUTE(3キー同時!W183," ",""),"　","")))</f>
        <v/>
      </c>
      <c r="H2196" s="2" t="str">
        <f aca="false">IF($G2196="","",3キー同時!$B$175)</f>
        <v/>
      </c>
      <c r="I2196" s="2" t="str">
        <f aca="false">IF($G2196="","",3キー同時!$G$175)</f>
        <v/>
      </c>
      <c r="J2196" s="2" t="str">
        <f aca="false">IF($G2196="","","v")</f>
        <v/>
      </c>
      <c r="K2196" s="2" t="str">
        <f aca="false">""</f>
        <v/>
      </c>
      <c r="L2196" s="2" t="str">
        <f aca="false">IF($G2196="","","同時")</f>
        <v/>
      </c>
      <c r="M2196" s="2" t="str">
        <f aca="false">IF($G2196="","",IF(ISNA(MATCH($G2196,個別指定!$A:$A,0)),"行なし",""))</f>
        <v/>
      </c>
      <c r="N2196" s="2" t="str">
        <f aca="false">IF($G2196="","",IF(COUNTIF($G$2:$G$4460,$G2196)&gt;1,"重複",""))</f>
        <v/>
      </c>
    </row>
    <row r="2197" customFormat="false" ht="16.5" hidden="false" customHeight="true" outlineLevel="0" collapsed="false">
      <c r="A2197" s="2" t="s">
        <v>416</v>
      </c>
      <c r="B2197" s="2" t="s">
        <v>430</v>
      </c>
      <c r="C2197" s="2" t="s">
        <v>39</v>
      </c>
      <c r="D2197" s="2" t="str">
        <f aca="false">IF(3キー同時!$B$175="","",3キー同時!$B$175)</f>
        <v>v</v>
      </c>
      <c r="E2197" s="2" t="str">
        <f aca="false">IF(3キー同時!$G$175="","",3キー同時!$G$175)</f>
        <v>j</v>
      </c>
      <c r="F2197" s="2" t="str">
        <f aca="false">""</f>
        <v/>
      </c>
      <c r="G2197" s="2" t="str">
        <f aca="false">IF(OR(3キー同時!$B$175="",3キー同時!$G$175=""),"",IF(3キー同時!AA183="","",SUBSTITUTE(SUBSTITUTE(3キー同時!AA183," ",""),"　","")))</f>
        <v/>
      </c>
      <c r="H2197" s="2" t="str">
        <f aca="false">IF($G2197="","",3キー同時!$B$175)</f>
        <v/>
      </c>
      <c r="I2197" s="2" t="str">
        <f aca="false">IF($G2197="","",3キー同時!$G$175)</f>
        <v/>
      </c>
      <c r="J2197" s="2" t="str">
        <f aca="false">IF($G2197="","","b")</f>
        <v/>
      </c>
      <c r="K2197" s="2" t="str">
        <f aca="false">""</f>
        <v/>
      </c>
      <c r="L2197" s="2" t="str">
        <f aca="false">IF($G2197="","","同時")</f>
        <v/>
      </c>
      <c r="M2197" s="2" t="str">
        <f aca="false">IF($G2197="","",IF(ISNA(MATCH($G2197,個別指定!$A:$A,0)),"行なし",""))</f>
        <v/>
      </c>
      <c r="N2197" s="2" t="str">
        <f aca="false">IF($G2197="","",IF(COUNTIF($G$2:$G$4460,$G2197)&gt;1,"重複",""))</f>
        <v/>
      </c>
    </row>
    <row r="2198" customFormat="false" ht="16.5" hidden="false" customHeight="true" outlineLevel="0" collapsed="false">
      <c r="A2198" s="2" t="s">
        <v>416</v>
      </c>
      <c r="B2198" s="2" t="s">
        <v>430</v>
      </c>
      <c r="C2198" s="2" t="s">
        <v>40</v>
      </c>
      <c r="D2198" s="2" t="str">
        <f aca="false">IF(3キー同時!$B$175="","",3キー同時!$B$175)</f>
        <v>v</v>
      </c>
      <c r="E2198" s="2" t="str">
        <f aca="false">IF(3キー同時!$G$175="","",3キー同時!$G$175)</f>
        <v>j</v>
      </c>
      <c r="F2198" s="2" t="str">
        <f aca="false">""</f>
        <v/>
      </c>
      <c r="G2198" s="2" t="str">
        <f aca="false">IF(OR(3キー同時!$B$175="",3キー同時!$G$175=""),"",IF(3キー同時!AE183="","",SUBSTITUTE(SUBSTITUTE(3キー同時!AE183," ",""),"　","")))</f>
        <v/>
      </c>
      <c r="H2198" s="2" t="str">
        <f aca="false">IF($G2198="","",3キー同時!$B$175)</f>
        <v/>
      </c>
      <c r="I2198" s="2" t="str">
        <f aca="false">IF($G2198="","",3キー同時!$G$175)</f>
        <v/>
      </c>
      <c r="J2198" s="2" t="str">
        <f aca="false">IF($G2198="","","n")</f>
        <v/>
      </c>
      <c r="K2198" s="2" t="str">
        <f aca="false">""</f>
        <v/>
      </c>
      <c r="L2198" s="2" t="str">
        <f aca="false">IF($G2198="","","同時")</f>
        <v/>
      </c>
      <c r="M2198" s="2" t="str">
        <f aca="false">IF($G2198="","",IF(ISNA(MATCH($G2198,個別指定!$A:$A,0)),"行なし",""))</f>
        <v/>
      </c>
      <c r="N2198" s="2" t="str">
        <f aca="false">IF($G2198="","",IF(COUNTIF($G$2:$G$4460,$G2198)&gt;1,"重複",""))</f>
        <v/>
      </c>
    </row>
    <row r="2199" customFormat="false" ht="16.5" hidden="false" customHeight="true" outlineLevel="0" collapsed="false">
      <c r="A2199" s="2" t="s">
        <v>416</v>
      </c>
      <c r="B2199" s="2" t="s">
        <v>430</v>
      </c>
      <c r="C2199" s="2" t="s">
        <v>41</v>
      </c>
      <c r="D2199" s="2" t="str">
        <f aca="false">IF(3キー同時!$B$175="","",3キー同時!$B$175)</f>
        <v>v</v>
      </c>
      <c r="E2199" s="2" t="str">
        <f aca="false">IF(3キー同時!$G$175="","",3キー同時!$G$175)</f>
        <v>j</v>
      </c>
      <c r="F2199" s="2" t="str">
        <f aca="false">""</f>
        <v/>
      </c>
      <c r="G2199" s="2" t="str">
        <f aca="false">IF(OR(3キー同時!$B$175="",3キー同時!$G$175=""),"",IF(3キー同時!AI183="","",SUBSTITUTE(SUBSTITUTE(3キー同時!AI183," ",""),"　","")))</f>
        <v/>
      </c>
      <c r="H2199" s="2" t="str">
        <f aca="false">IF($G2199="","",3キー同時!$B$175)</f>
        <v/>
      </c>
      <c r="I2199" s="2" t="str">
        <f aca="false">IF($G2199="","",3キー同時!$G$175)</f>
        <v/>
      </c>
      <c r="J2199" s="2" t="str">
        <f aca="false">IF($G2199="","","m")</f>
        <v/>
      </c>
      <c r="K2199" s="2" t="str">
        <f aca="false">""</f>
        <v/>
      </c>
      <c r="L2199" s="2" t="str">
        <f aca="false">IF($G2199="","","同時")</f>
        <v/>
      </c>
      <c r="M2199" s="2" t="str">
        <f aca="false">IF($G2199="","",IF(ISNA(MATCH($G2199,個別指定!$A:$A,0)),"行なし",""))</f>
        <v/>
      </c>
      <c r="N2199" s="2" t="str">
        <f aca="false">IF($G2199="","",IF(COUNTIF($G$2:$G$4460,$G2199)&gt;1,"重複",""))</f>
        <v/>
      </c>
    </row>
    <row r="2200" customFormat="false" ht="16.5" hidden="false" customHeight="true" outlineLevel="0" collapsed="false">
      <c r="A2200" s="2" t="s">
        <v>416</v>
      </c>
      <c r="B2200" s="2" t="s">
        <v>430</v>
      </c>
      <c r="C2200" s="2" t="s">
        <v>42</v>
      </c>
      <c r="D2200" s="2" t="str">
        <f aca="false">IF(3キー同時!$B$175="","",3キー同時!$B$175)</f>
        <v>v</v>
      </c>
      <c r="E2200" s="2" t="str">
        <f aca="false">IF(3キー同時!$G$175="","",3キー同時!$G$175)</f>
        <v>j</v>
      </c>
      <c r="F2200" s="2" t="str">
        <f aca="false">""</f>
        <v/>
      </c>
      <c r="G2200" s="2" t="str">
        <f aca="false">IF(OR(3キー同時!$B$175="",3キー同時!$G$175=""),"",IF(3キー同時!AM183="","",SUBSTITUTE(SUBSTITUTE(3キー同時!AM183," ",""),"　","")))</f>
        <v/>
      </c>
      <c r="H2200" s="2" t="str">
        <f aca="false">IF($G2200="","",3キー同時!$B$175)</f>
        <v/>
      </c>
      <c r="I2200" s="2" t="str">
        <f aca="false">IF($G2200="","",3キー同時!$G$175)</f>
        <v/>
      </c>
      <c r="J2200" s="2" t="str">
        <f aca="false">IF($G2200="","",",")</f>
        <v/>
      </c>
      <c r="K2200" s="2" t="str">
        <f aca="false">""</f>
        <v/>
      </c>
      <c r="L2200" s="2" t="str">
        <f aca="false">IF($G2200="","","同時")</f>
        <v/>
      </c>
      <c r="M2200" s="2" t="str">
        <f aca="false">IF($G2200="","",IF(ISNA(MATCH($G2200,個別指定!$A:$A,0)),"行なし",""))</f>
        <v/>
      </c>
      <c r="N2200" s="2" t="str">
        <f aca="false">IF($G2200="","",IF(COUNTIF($G$2:$G$4460,$G2200)&gt;1,"重複",""))</f>
        <v/>
      </c>
    </row>
    <row r="2201" customFormat="false" ht="16.5" hidden="false" customHeight="true" outlineLevel="0" collapsed="false">
      <c r="A2201" s="2" t="s">
        <v>416</v>
      </c>
      <c r="B2201" s="2" t="s">
        <v>430</v>
      </c>
      <c r="C2201" s="2" t="s">
        <v>43</v>
      </c>
      <c r="D2201" s="2" t="str">
        <f aca="false">IF(3キー同時!$B$175="","",3キー同時!$B$175)</f>
        <v>v</v>
      </c>
      <c r="E2201" s="2" t="str">
        <f aca="false">IF(3キー同時!$G$175="","",3キー同時!$G$175)</f>
        <v>j</v>
      </c>
      <c r="F2201" s="2" t="str">
        <f aca="false">""</f>
        <v/>
      </c>
      <c r="G2201" s="2" t="str">
        <f aca="false">IF(OR(3キー同時!$B$175="",3キー同時!$G$175=""),"",IF(3キー同時!AQ183="","",SUBSTITUTE(SUBSTITUTE(3キー同時!AQ183," ",""),"　","")))</f>
        <v/>
      </c>
      <c r="H2201" s="2" t="str">
        <f aca="false">IF($G2201="","",3キー同時!$B$175)</f>
        <v/>
      </c>
      <c r="I2201" s="2" t="str">
        <f aca="false">IF($G2201="","",3キー同時!$G$175)</f>
        <v/>
      </c>
      <c r="J2201" s="2" t="str">
        <f aca="false">IF($G2201="","",".")</f>
        <v/>
      </c>
      <c r="K2201" s="2" t="str">
        <f aca="false">""</f>
        <v/>
      </c>
      <c r="L2201" s="2" t="str">
        <f aca="false">IF($G2201="","","同時")</f>
        <v/>
      </c>
      <c r="M2201" s="2" t="str">
        <f aca="false">IF($G2201="","",IF(ISNA(MATCH($G2201,個別指定!$A:$A,0)),"行なし",""))</f>
        <v/>
      </c>
      <c r="N2201" s="2" t="str">
        <f aca="false">IF($G2201="","",IF(COUNTIF($G$2:$G$4460,$G2201)&gt;1,"重複",""))</f>
        <v/>
      </c>
    </row>
    <row r="2202" customFormat="false" ht="16.5" hidden="false" customHeight="true" outlineLevel="0" collapsed="false">
      <c r="A2202" s="2" t="s">
        <v>416</v>
      </c>
      <c r="B2202" s="2" t="s">
        <v>430</v>
      </c>
      <c r="C2202" s="2" t="s">
        <v>44</v>
      </c>
      <c r="D2202" s="2" t="str">
        <f aca="false">IF(3キー同時!$B$175="","",3キー同時!$B$175)</f>
        <v>v</v>
      </c>
      <c r="E2202" s="2" t="str">
        <f aca="false">IF(3キー同時!$G$175="","",3キー同時!$G$175)</f>
        <v>j</v>
      </c>
      <c r="F2202" s="2" t="str">
        <f aca="false">""</f>
        <v/>
      </c>
      <c r="G2202" s="2" t="str">
        <f aca="false">IF(OR(3キー同時!$B$175="",3キー同時!$G$175=""),"",IF(3キー同時!AU183="","",SUBSTITUTE(SUBSTITUTE(3キー同時!AU183," ",""),"　","")))</f>
        <v/>
      </c>
      <c r="H2202" s="2" t="str">
        <f aca="false">IF($G2202="","",3キー同時!$B$175)</f>
        <v/>
      </c>
      <c r="I2202" s="2" t="str">
        <f aca="false">IF($G2202="","",3キー同時!$G$175)</f>
        <v/>
      </c>
      <c r="J2202" s="2" t="str">
        <f aca="false">IF($G2202="","","/")</f>
        <v/>
      </c>
      <c r="K2202" s="2" t="str">
        <f aca="false">""</f>
        <v/>
      </c>
      <c r="L2202" s="2" t="str">
        <f aca="false">IF($G2202="","","同時")</f>
        <v/>
      </c>
      <c r="M2202" s="2" t="str">
        <f aca="false">IF($G2202="","",IF(ISNA(MATCH($G2202,個別指定!$A:$A,0)),"行なし",""))</f>
        <v/>
      </c>
      <c r="N2202" s="2" t="str">
        <f aca="false">IF($G2202="","",IF(COUNTIF($G$2:$G$4460,$G2202)&gt;1,"重複",""))</f>
        <v/>
      </c>
    </row>
    <row r="2203" customFormat="false" ht="16.5" hidden="false" customHeight="true" outlineLevel="0" collapsed="false">
      <c r="A2203" s="2" t="s">
        <v>416</v>
      </c>
      <c r="B2203" s="2" t="s">
        <v>430</v>
      </c>
      <c r="C2203" s="2" t="s">
        <v>48</v>
      </c>
      <c r="D2203" s="2" t="str">
        <f aca="false">IF(3キー同時!$B$175="","",3キー同時!$B$175)</f>
        <v>v</v>
      </c>
      <c r="E2203" s="2" t="str">
        <f aca="false">IF(3キー同時!$G$175="","",3キー同時!$G$175)</f>
        <v>j</v>
      </c>
      <c r="F2203" s="2" t="str">
        <f aca="false">""</f>
        <v/>
      </c>
      <c r="G2203" s="2" t="str">
        <f aca="false">IF(OR(3キー同時!$B$175="",3キー同時!$G$175=""),"",IF(3キー同時!P185="","",SUBSTITUTE(SUBSTITUTE(3キー同時!P185," ",""),"　","")))</f>
        <v/>
      </c>
      <c r="H2203" s="2" t="str">
        <f aca="false">IF($G2203="","",3キー同時!$B$175)</f>
        <v/>
      </c>
      <c r="I2203" s="2" t="str">
        <f aca="false">IF($G2203="","",3キー同時!$G$175)</f>
        <v/>
      </c>
      <c r="J2203" s="2" t="str">
        <f aca="false">IF($G2203="","","muhenkan")</f>
        <v/>
      </c>
      <c r="K2203" s="2" t="str">
        <f aca="false">""</f>
        <v/>
      </c>
      <c r="L2203" s="2" t="str">
        <f aca="false">IF($G2203="","","同時")</f>
        <v/>
      </c>
      <c r="M2203" s="2" t="str">
        <f aca="false">IF($G2203="","",IF(ISNA(MATCH($G2203,個別指定!$A:$A,0)),"行なし",""))</f>
        <v/>
      </c>
      <c r="N2203" s="2" t="str">
        <f aca="false">IF($G2203="","",IF(COUNTIF($G$2:$G$4460,$G2203)&gt;1,"重複",""))</f>
        <v/>
      </c>
    </row>
    <row r="2204" customFormat="false" ht="16.5" hidden="false" customHeight="true" outlineLevel="0" collapsed="false">
      <c r="A2204" s="2" t="s">
        <v>416</v>
      </c>
      <c r="B2204" s="2" t="s">
        <v>430</v>
      </c>
      <c r="C2204" s="2" t="s">
        <v>50</v>
      </c>
      <c r="D2204" s="2" t="str">
        <f aca="false">IF(3キー同時!$B$175="","",3キー同時!$B$175)</f>
        <v>v</v>
      </c>
      <c r="E2204" s="2" t="str">
        <f aca="false">IF(3キー同時!$G$175="","",3キー同時!$G$175)</f>
        <v>j</v>
      </c>
      <c r="F2204" s="2" t="str">
        <f aca="false">""</f>
        <v/>
      </c>
      <c r="G2204" s="2" t="str">
        <f aca="false">IF(OR(3キー同時!$B$175="",3キー同時!$G$175=""),"",IF(3キー同時!T185="","",SUBSTITUTE(SUBSTITUTE(3キー同時!T185," ",""),"　","")))</f>
        <v/>
      </c>
      <c r="H2204" s="2" t="str">
        <f aca="false">IF($G2204="","",3キー同時!$B$175)</f>
        <v/>
      </c>
      <c r="I2204" s="2" t="str">
        <f aca="false">IF($G2204="","",3キー同時!$G$175)</f>
        <v/>
      </c>
      <c r="J2204" s="2" t="str">
        <f aca="false">IF($G2204="","","space")</f>
        <v/>
      </c>
      <c r="K2204" s="2" t="str">
        <f aca="false">""</f>
        <v/>
      </c>
      <c r="L2204" s="2" t="str">
        <f aca="false">IF($G2204="","","同時")</f>
        <v/>
      </c>
      <c r="M2204" s="2" t="str">
        <f aca="false">IF($G2204="","",IF(ISNA(MATCH($G2204,個別指定!$A:$A,0)),"行なし",""))</f>
        <v/>
      </c>
      <c r="N2204" s="2" t="str">
        <f aca="false">IF($G2204="","",IF(COUNTIF($G$2:$G$4460,$G2204)&gt;1,"重複",""))</f>
        <v/>
      </c>
    </row>
    <row r="2205" customFormat="false" ht="16.5" hidden="false" customHeight="true" outlineLevel="0" collapsed="false">
      <c r="A2205" s="2" t="s">
        <v>416</v>
      </c>
      <c r="B2205" s="2" t="s">
        <v>430</v>
      </c>
      <c r="C2205" s="2" t="s">
        <v>45</v>
      </c>
      <c r="D2205" s="2" t="str">
        <f aca="false">IF(3キー同時!$B$175="","",3キー同時!$B$175)</f>
        <v>v</v>
      </c>
      <c r="E2205" s="2" t="str">
        <f aca="false">IF(3キー同時!$G$175="","",3キー同時!$G$175)</f>
        <v>j</v>
      </c>
      <c r="F2205" s="2" t="str">
        <f aca="false">""</f>
        <v/>
      </c>
      <c r="G2205" s="2" t="str">
        <f aca="false">IF(OR(3キー同時!$B$175="",3キー同時!$G$175=""),"",IF(3キー同時!AL185="","",SUBSTITUTE(SUBSTITUTE(3キー同時!AL185," ",""),"　","")))</f>
        <v/>
      </c>
      <c r="H2205" s="2" t="str">
        <f aca="false">IF($G2205="","",3キー同時!$B$175)</f>
        <v/>
      </c>
      <c r="I2205" s="2" t="str">
        <f aca="false">IF($G2205="","",3キー同時!$G$175)</f>
        <v/>
      </c>
      <c r="J2205" s="2" t="str">
        <f aca="false">IF($G2205="","","henkan")</f>
        <v/>
      </c>
      <c r="K2205" s="2" t="str">
        <f aca="false">""</f>
        <v/>
      </c>
      <c r="L2205" s="2" t="str">
        <f aca="false">IF($G2205="","","同時")</f>
        <v/>
      </c>
      <c r="M2205" s="2" t="str">
        <f aca="false">IF($G2205="","",IF(ISNA(MATCH($G2205,個別指定!$A:$A,0)),"行なし",""))</f>
        <v/>
      </c>
      <c r="N2205" s="2" t="str">
        <f aca="false">IF($G2205="","",IF(COUNTIF($G$2:$G$4460,$G2205)&gt;1,"重複",""))</f>
        <v/>
      </c>
    </row>
    <row r="2206" customFormat="false" ht="16.5" hidden="false" customHeight="true" outlineLevel="0" collapsed="false">
      <c r="A2206" s="2" t="s">
        <v>416</v>
      </c>
      <c r="B2206" s="2" t="s">
        <v>430</v>
      </c>
      <c r="C2206" s="2" t="s">
        <v>46</v>
      </c>
      <c r="D2206" s="2" t="str">
        <f aca="false">IF(3キー同時!$B$175="","",3キー同時!$B$175)</f>
        <v>v</v>
      </c>
      <c r="E2206" s="2" t="str">
        <f aca="false">IF(3キー同時!$G$175="","",3キー同時!$G$175)</f>
        <v>j</v>
      </c>
      <c r="F2206" s="2" t="str">
        <f aca="false">""</f>
        <v/>
      </c>
      <c r="G2206" s="2" t="str">
        <f aca="false">IF(OR(3キー同時!$B$175="",3キー同時!$G$175=""),"",IF(3キー同時!AP185="","",SUBSTITUTE(SUBSTITUTE(3キー同時!AP185," ",""),"　","")))</f>
        <v/>
      </c>
      <c r="H2206" s="2" t="str">
        <f aca="false">IF($G2206="","",3キー同時!$B$175)</f>
        <v/>
      </c>
      <c r="I2206" s="2" t="str">
        <f aca="false">IF($G2206="","",3キー同時!$G$175)</f>
        <v/>
      </c>
      <c r="J2206" s="2" t="str">
        <f aca="false">IF($G2206="","","kana")</f>
        <v/>
      </c>
      <c r="K2206" s="2" t="str">
        <f aca="false">""</f>
        <v/>
      </c>
      <c r="L2206" s="2" t="str">
        <f aca="false">IF($G2206="","","同時")</f>
        <v/>
      </c>
      <c r="M2206" s="2" t="str">
        <f aca="false">IF($G2206="","",IF(ISNA(MATCH($G2206,個別指定!$A:$A,0)),"行なし",""))</f>
        <v/>
      </c>
      <c r="N2206" s="2" t="str">
        <f aca="false">IF($G2206="","",IF(COUNTIF($G$2:$G$4460,$G2206)&gt;1,"重複",""))</f>
        <v/>
      </c>
    </row>
    <row r="2207" customFormat="false" ht="16.5" hidden="false" customHeight="true" outlineLevel="0" collapsed="false">
      <c r="A2207" s="2" t="s">
        <v>416</v>
      </c>
      <c r="B2207" s="2" t="s">
        <v>431</v>
      </c>
      <c r="C2207" s="2" t="s">
        <v>0</v>
      </c>
      <c r="D2207" s="2" t="str">
        <f aca="false">IF(3キー同時!$B$188="","",3キー同時!$B$188)</f>
        <v>m</v>
      </c>
      <c r="E2207" s="2" t="str">
        <f aca="false">IF(3キー同時!$G$188="","",3キー同時!$G$188)</f>
        <v>l</v>
      </c>
      <c r="F2207" s="2" t="str">
        <f aca="false">""</f>
        <v/>
      </c>
      <c r="G2207" s="2" t="str">
        <f aca="false">IF(OR(3キー同時!$B$188="",3キー同時!$G$188=""),"",IF(3キー同時!F190="","",SUBSTITUTE(SUBSTITUTE(3キー同時!F190," ",""),"　","")))</f>
        <v/>
      </c>
      <c r="H2207" s="2" t="str">
        <f aca="false">IF($G2207="","",3キー同時!$B$188)</f>
        <v/>
      </c>
      <c r="I2207" s="2" t="str">
        <f aca="false">IF($G2207="","",3キー同時!$G$188)</f>
        <v/>
      </c>
      <c r="J2207" s="2" t="str">
        <f aca="false">IF($G2207="","","1")</f>
        <v/>
      </c>
      <c r="K2207" s="2" t="str">
        <f aca="false">""</f>
        <v/>
      </c>
      <c r="L2207" s="2" t="str">
        <f aca="false">IF($G2207="","","同時")</f>
        <v/>
      </c>
      <c r="M2207" s="2" t="str">
        <f aca="false">IF($G2207="","",IF(ISNA(MATCH($G2207,個別指定!$A:$A,0)),"行なし",""))</f>
        <v/>
      </c>
      <c r="N2207" s="2" t="str">
        <f aca="false">IF($G2207="","",IF(COUNTIF($G$2:$G$4460,$G2207)&gt;1,"重複",""))</f>
        <v/>
      </c>
    </row>
    <row r="2208" customFormat="false" ht="16.5" hidden="false" customHeight="true" outlineLevel="0" collapsed="false">
      <c r="A2208" s="2" t="s">
        <v>416</v>
      </c>
      <c r="B2208" s="2" t="s">
        <v>431</v>
      </c>
      <c r="C2208" s="2" t="s">
        <v>1</v>
      </c>
      <c r="D2208" s="2" t="str">
        <f aca="false">IF(3キー同時!$B$188="","",3キー同時!$B$188)</f>
        <v>m</v>
      </c>
      <c r="E2208" s="2" t="str">
        <f aca="false">IF(3キー同時!$G$188="","",3キー同時!$G$188)</f>
        <v>l</v>
      </c>
      <c r="F2208" s="2" t="str">
        <f aca="false">""</f>
        <v/>
      </c>
      <c r="G2208" s="2" t="str">
        <f aca="false">IF(OR(3キー同時!$B$188="",3キー同時!$G$188=""),"",IF(3キー同時!J190="","",SUBSTITUTE(SUBSTITUTE(3キー同時!J190," ",""),"　","")))</f>
        <v/>
      </c>
      <c r="H2208" s="2" t="str">
        <f aca="false">IF($G2208="","",3キー同時!$B$188)</f>
        <v/>
      </c>
      <c r="I2208" s="2" t="str">
        <f aca="false">IF($G2208="","",3キー同時!$G$188)</f>
        <v/>
      </c>
      <c r="J2208" s="2" t="str">
        <f aca="false">IF($G2208="","","2")</f>
        <v/>
      </c>
      <c r="K2208" s="2" t="str">
        <f aca="false">""</f>
        <v/>
      </c>
      <c r="L2208" s="2" t="str">
        <f aca="false">IF($G2208="","","同時")</f>
        <v/>
      </c>
      <c r="M2208" s="2" t="str">
        <f aca="false">IF($G2208="","",IF(ISNA(MATCH($G2208,個別指定!$A:$A,0)),"行なし",""))</f>
        <v/>
      </c>
      <c r="N2208" s="2" t="str">
        <f aca="false">IF($G2208="","",IF(COUNTIF($G$2:$G$4460,$G2208)&gt;1,"重複",""))</f>
        <v/>
      </c>
    </row>
    <row r="2209" customFormat="false" ht="16.5" hidden="false" customHeight="true" outlineLevel="0" collapsed="false">
      <c r="A2209" s="2" t="s">
        <v>416</v>
      </c>
      <c r="B2209" s="2" t="s">
        <v>431</v>
      </c>
      <c r="C2209" s="2" t="s">
        <v>2</v>
      </c>
      <c r="D2209" s="2" t="str">
        <f aca="false">IF(3キー同時!$B$188="","",3キー同時!$B$188)</f>
        <v>m</v>
      </c>
      <c r="E2209" s="2" t="str">
        <f aca="false">IF(3キー同時!$G$188="","",3キー同時!$G$188)</f>
        <v>l</v>
      </c>
      <c r="F2209" s="2" t="str">
        <f aca="false">""</f>
        <v/>
      </c>
      <c r="G2209" s="2" t="str">
        <f aca="false">IF(OR(3キー同時!$B$188="",3キー同時!$G$188=""),"",IF(3キー同時!N190="","",SUBSTITUTE(SUBSTITUTE(3キー同時!N190," ",""),"　","")))</f>
        <v/>
      </c>
      <c r="H2209" s="2" t="str">
        <f aca="false">IF($G2209="","",3キー同時!$B$188)</f>
        <v/>
      </c>
      <c r="I2209" s="2" t="str">
        <f aca="false">IF($G2209="","",3キー同時!$G$188)</f>
        <v/>
      </c>
      <c r="J2209" s="2" t="str">
        <f aca="false">IF($G2209="","","3")</f>
        <v/>
      </c>
      <c r="K2209" s="2" t="str">
        <f aca="false">""</f>
        <v/>
      </c>
      <c r="L2209" s="2" t="str">
        <f aca="false">IF($G2209="","","同時")</f>
        <v/>
      </c>
      <c r="M2209" s="2" t="str">
        <f aca="false">IF($G2209="","",IF(ISNA(MATCH($G2209,個別指定!$A:$A,0)),"行なし",""))</f>
        <v/>
      </c>
      <c r="N2209" s="2" t="str">
        <f aca="false">IF($G2209="","",IF(COUNTIF($G$2:$G$4460,$G2209)&gt;1,"重複",""))</f>
        <v/>
      </c>
    </row>
    <row r="2210" customFormat="false" ht="16.5" hidden="false" customHeight="true" outlineLevel="0" collapsed="false">
      <c r="A2210" s="2" t="s">
        <v>416</v>
      </c>
      <c r="B2210" s="2" t="s">
        <v>431</v>
      </c>
      <c r="C2210" s="2" t="s">
        <v>3</v>
      </c>
      <c r="D2210" s="2" t="str">
        <f aca="false">IF(3キー同時!$B$188="","",3キー同時!$B$188)</f>
        <v>m</v>
      </c>
      <c r="E2210" s="2" t="str">
        <f aca="false">IF(3キー同時!$G$188="","",3キー同時!$G$188)</f>
        <v>l</v>
      </c>
      <c r="F2210" s="2" t="str">
        <f aca="false">""</f>
        <v/>
      </c>
      <c r="G2210" s="2" t="str">
        <f aca="false">IF(OR(3キー同時!$B$188="",3キー同時!$G$188=""),"",IF(3キー同時!R190="","",SUBSTITUTE(SUBSTITUTE(3キー同時!R190," ",""),"　","")))</f>
        <v/>
      </c>
      <c r="H2210" s="2" t="str">
        <f aca="false">IF($G2210="","",3キー同時!$B$188)</f>
        <v/>
      </c>
      <c r="I2210" s="2" t="str">
        <f aca="false">IF($G2210="","",3キー同時!$G$188)</f>
        <v/>
      </c>
      <c r="J2210" s="2" t="str">
        <f aca="false">IF($G2210="","","4")</f>
        <v/>
      </c>
      <c r="K2210" s="2" t="str">
        <f aca="false">""</f>
        <v/>
      </c>
      <c r="L2210" s="2" t="str">
        <f aca="false">IF($G2210="","","同時")</f>
        <v/>
      </c>
      <c r="M2210" s="2" t="str">
        <f aca="false">IF($G2210="","",IF(ISNA(MATCH($G2210,個別指定!$A:$A,0)),"行なし",""))</f>
        <v/>
      </c>
      <c r="N2210" s="2" t="str">
        <f aca="false">IF($G2210="","",IF(COUNTIF($G$2:$G$4460,$G2210)&gt;1,"重複",""))</f>
        <v/>
      </c>
    </row>
    <row r="2211" customFormat="false" ht="16.5" hidden="false" customHeight="true" outlineLevel="0" collapsed="false">
      <c r="A2211" s="2" t="s">
        <v>416</v>
      </c>
      <c r="B2211" s="2" t="s">
        <v>431</v>
      </c>
      <c r="C2211" s="2" t="s">
        <v>4</v>
      </c>
      <c r="D2211" s="2" t="str">
        <f aca="false">IF(3キー同時!$B$188="","",3キー同時!$B$188)</f>
        <v>m</v>
      </c>
      <c r="E2211" s="2" t="str">
        <f aca="false">IF(3キー同時!$G$188="","",3キー同時!$G$188)</f>
        <v>l</v>
      </c>
      <c r="F2211" s="2" t="str">
        <f aca="false">""</f>
        <v/>
      </c>
      <c r="G2211" s="2" t="str">
        <f aca="false">IF(OR(3キー同時!$B$188="",3キー同時!$G$188=""),"",IF(3キー同時!V190="","",SUBSTITUTE(SUBSTITUTE(3キー同時!V190," ",""),"　","")))</f>
        <v/>
      </c>
      <c r="H2211" s="2" t="str">
        <f aca="false">IF($G2211="","",3キー同時!$B$188)</f>
        <v/>
      </c>
      <c r="I2211" s="2" t="str">
        <f aca="false">IF($G2211="","",3キー同時!$G$188)</f>
        <v/>
      </c>
      <c r="J2211" s="2" t="str">
        <f aca="false">IF($G2211="","","5")</f>
        <v/>
      </c>
      <c r="K2211" s="2" t="str">
        <f aca="false">""</f>
        <v/>
      </c>
      <c r="L2211" s="2" t="str">
        <f aca="false">IF($G2211="","","同時")</f>
        <v/>
      </c>
      <c r="M2211" s="2" t="str">
        <f aca="false">IF($G2211="","",IF(ISNA(MATCH($G2211,個別指定!$A:$A,0)),"行なし",""))</f>
        <v/>
      </c>
      <c r="N2211" s="2" t="str">
        <f aca="false">IF($G2211="","",IF(COUNTIF($G$2:$G$4460,$G2211)&gt;1,"重複",""))</f>
        <v/>
      </c>
    </row>
    <row r="2212" customFormat="false" ht="16.5" hidden="false" customHeight="true" outlineLevel="0" collapsed="false">
      <c r="A2212" s="2" t="s">
        <v>416</v>
      </c>
      <c r="B2212" s="2" t="s">
        <v>431</v>
      </c>
      <c r="C2212" s="2" t="s">
        <v>5</v>
      </c>
      <c r="D2212" s="2" t="str">
        <f aca="false">IF(3キー同時!$B$188="","",3キー同時!$B$188)</f>
        <v>m</v>
      </c>
      <c r="E2212" s="2" t="str">
        <f aca="false">IF(3キー同時!$G$188="","",3キー同時!$G$188)</f>
        <v>l</v>
      </c>
      <c r="F2212" s="2" t="str">
        <f aca="false">""</f>
        <v/>
      </c>
      <c r="G2212" s="2" t="str">
        <f aca="false">IF(OR(3キー同時!$B$188="",3キー同時!$G$188=""),"",IF(3キー同時!Z190="","",SUBSTITUTE(SUBSTITUTE(3キー同時!Z190," ",""),"　","")))</f>
        <v/>
      </c>
      <c r="H2212" s="2" t="str">
        <f aca="false">IF($G2212="","",3キー同時!$B$188)</f>
        <v/>
      </c>
      <c r="I2212" s="2" t="str">
        <f aca="false">IF($G2212="","",3キー同時!$G$188)</f>
        <v/>
      </c>
      <c r="J2212" s="2" t="str">
        <f aca="false">IF($G2212="","","6")</f>
        <v/>
      </c>
      <c r="K2212" s="2" t="str">
        <f aca="false">""</f>
        <v/>
      </c>
      <c r="L2212" s="2" t="str">
        <f aca="false">IF($G2212="","","同時")</f>
        <v/>
      </c>
      <c r="M2212" s="2" t="str">
        <f aca="false">IF($G2212="","",IF(ISNA(MATCH($G2212,個別指定!$A:$A,0)),"行なし",""))</f>
        <v/>
      </c>
      <c r="N2212" s="2" t="str">
        <f aca="false">IF($G2212="","",IF(COUNTIF($G$2:$G$4460,$G2212)&gt;1,"重複",""))</f>
        <v/>
      </c>
    </row>
    <row r="2213" customFormat="false" ht="16.5" hidden="false" customHeight="true" outlineLevel="0" collapsed="false">
      <c r="A2213" s="2" t="s">
        <v>416</v>
      </c>
      <c r="B2213" s="2" t="s">
        <v>431</v>
      </c>
      <c r="C2213" s="2" t="s">
        <v>6</v>
      </c>
      <c r="D2213" s="2" t="str">
        <f aca="false">IF(3キー同時!$B$188="","",3キー同時!$B$188)</f>
        <v>m</v>
      </c>
      <c r="E2213" s="2" t="str">
        <f aca="false">IF(3キー同時!$G$188="","",3キー同時!$G$188)</f>
        <v>l</v>
      </c>
      <c r="F2213" s="2" t="str">
        <f aca="false">""</f>
        <v/>
      </c>
      <c r="G2213" s="2" t="str">
        <f aca="false">IF(OR(3キー同時!$B$188="",3キー同時!$G$188=""),"",IF(3キー同時!AD190="","",SUBSTITUTE(SUBSTITUTE(3キー同時!AD190," ",""),"　","")))</f>
        <v/>
      </c>
      <c r="H2213" s="2" t="str">
        <f aca="false">IF($G2213="","",3キー同時!$B$188)</f>
        <v/>
      </c>
      <c r="I2213" s="2" t="str">
        <f aca="false">IF($G2213="","",3キー同時!$G$188)</f>
        <v/>
      </c>
      <c r="J2213" s="2" t="str">
        <f aca="false">IF($G2213="","","7")</f>
        <v/>
      </c>
      <c r="K2213" s="2" t="str">
        <f aca="false">""</f>
        <v/>
      </c>
      <c r="L2213" s="2" t="str">
        <f aca="false">IF($G2213="","","同時")</f>
        <v/>
      </c>
      <c r="M2213" s="2" t="str">
        <f aca="false">IF($G2213="","",IF(ISNA(MATCH($G2213,個別指定!$A:$A,0)),"行なし",""))</f>
        <v/>
      </c>
      <c r="N2213" s="2" t="str">
        <f aca="false">IF($G2213="","",IF(COUNTIF($G$2:$G$4460,$G2213)&gt;1,"重複",""))</f>
        <v/>
      </c>
    </row>
    <row r="2214" customFormat="false" ht="16.5" hidden="false" customHeight="true" outlineLevel="0" collapsed="false">
      <c r="A2214" s="2" t="s">
        <v>416</v>
      </c>
      <c r="B2214" s="2" t="s">
        <v>431</v>
      </c>
      <c r="C2214" s="2" t="s">
        <v>7</v>
      </c>
      <c r="D2214" s="2" t="str">
        <f aca="false">IF(3キー同時!$B$188="","",3キー同時!$B$188)</f>
        <v>m</v>
      </c>
      <c r="E2214" s="2" t="str">
        <f aca="false">IF(3キー同時!$G$188="","",3キー同時!$G$188)</f>
        <v>l</v>
      </c>
      <c r="F2214" s="2" t="str">
        <f aca="false">""</f>
        <v/>
      </c>
      <c r="G2214" s="2" t="str">
        <f aca="false">IF(OR(3キー同時!$B$188="",3キー同時!$G$188=""),"",IF(3キー同時!AH190="","",SUBSTITUTE(SUBSTITUTE(3キー同時!AH190," ",""),"　","")))</f>
        <v/>
      </c>
      <c r="H2214" s="2" t="str">
        <f aca="false">IF($G2214="","",3キー同時!$B$188)</f>
        <v/>
      </c>
      <c r="I2214" s="2" t="str">
        <f aca="false">IF($G2214="","",3キー同時!$G$188)</f>
        <v/>
      </c>
      <c r="J2214" s="2" t="str">
        <f aca="false">IF($G2214="","","8")</f>
        <v/>
      </c>
      <c r="K2214" s="2" t="str">
        <f aca="false">""</f>
        <v/>
      </c>
      <c r="L2214" s="2" t="str">
        <f aca="false">IF($G2214="","","同時")</f>
        <v/>
      </c>
      <c r="M2214" s="2" t="str">
        <f aca="false">IF($G2214="","",IF(ISNA(MATCH($G2214,個別指定!$A:$A,0)),"行なし",""))</f>
        <v/>
      </c>
      <c r="N2214" s="2" t="str">
        <f aca="false">IF($G2214="","",IF(COUNTIF($G$2:$G$4460,$G2214)&gt;1,"重複",""))</f>
        <v/>
      </c>
    </row>
    <row r="2215" customFormat="false" ht="16.5" hidden="false" customHeight="true" outlineLevel="0" collapsed="false">
      <c r="A2215" s="2" t="s">
        <v>416</v>
      </c>
      <c r="B2215" s="2" t="s">
        <v>431</v>
      </c>
      <c r="C2215" s="2" t="s">
        <v>8</v>
      </c>
      <c r="D2215" s="2" t="str">
        <f aca="false">IF(3キー同時!$B$188="","",3キー同時!$B$188)</f>
        <v>m</v>
      </c>
      <c r="E2215" s="2" t="str">
        <f aca="false">IF(3キー同時!$G$188="","",3キー同時!$G$188)</f>
        <v>l</v>
      </c>
      <c r="F2215" s="2" t="str">
        <f aca="false">""</f>
        <v/>
      </c>
      <c r="G2215" s="2" t="str">
        <f aca="false">IF(OR(3キー同時!$B$188="",3キー同時!$G$188=""),"",IF(3キー同時!AL190="","",SUBSTITUTE(SUBSTITUTE(3キー同時!AL190," ",""),"　","")))</f>
        <v/>
      </c>
      <c r="H2215" s="2" t="str">
        <f aca="false">IF($G2215="","",3キー同時!$B$188)</f>
        <v/>
      </c>
      <c r="I2215" s="2" t="str">
        <f aca="false">IF($G2215="","",3キー同時!$G$188)</f>
        <v/>
      </c>
      <c r="J2215" s="2" t="str">
        <f aca="false">IF($G2215="","","9")</f>
        <v/>
      </c>
      <c r="K2215" s="2" t="str">
        <f aca="false">""</f>
        <v/>
      </c>
      <c r="L2215" s="2" t="str">
        <f aca="false">IF($G2215="","","同時")</f>
        <v/>
      </c>
      <c r="M2215" s="2" t="str">
        <f aca="false">IF($G2215="","",IF(ISNA(MATCH($G2215,個別指定!$A:$A,0)),"行なし",""))</f>
        <v/>
      </c>
      <c r="N2215" s="2" t="str">
        <f aca="false">IF($G2215="","",IF(COUNTIF($G$2:$G$4460,$G2215)&gt;1,"重複",""))</f>
        <v/>
      </c>
    </row>
    <row r="2216" customFormat="false" ht="16.5" hidden="false" customHeight="true" outlineLevel="0" collapsed="false">
      <c r="A2216" s="2" t="s">
        <v>416</v>
      </c>
      <c r="B2216" s="2" t="s">
        <v>431</v>
      </c>
      <c r="C2216" s="2" t="s">
        <v>9</v>
      </c>
      <c r="D2216" s="2" t="str">
        <f aca="false">IF(3キー同時!$B$188="","",3キー同時!$B$188)</f>
        <v>m</v>
      </c>
      <c r="E2216" s="2" t="str">
        <f aca="false">IF(3キー同時!$G$188="","",3キー同時!$G$188)</f>
        <v>l</v>
      </c>
      <c r="F2216" s="2" t="str">
        <f aca="false">""</f>
        <v/>
      </c>
      <c r="G2216" s="2" t="str">
        <f aca="false">IF(OR(3キー同時!$B$188="",3キー同時!$G$188=""),"",IF(3キー同時!AP190="","",SUBSTITUTE(SUBSTITUTE(3キー同時!AP190," ",""),"　","")))</f>
        <v/>
      </c>
      <c r="H2216" s="2" t="str">
        <f aca="false">IF($G2216="","",3キー同時!$B$188)</f>
        <v/>
      </c>
      <c r="I2216" s="2" t="str">
        <f aca="false">IF($G2216="","",3キー同時!$G$188)</f>
        <v/>
      </c>
      <c r="J2216" s="2" t="str">
        <f aca="false">IF($G2216="","","0")</f>
        <v/>
      </c>
      <c r="K2216" s="2" t="str">
        <f aca="false">""</f>
        <v/>
      </c>
      <c r="L2216" s="2" t="str">
        <f aca="false">IF($G2216="","","同時")</f>
        <v/>
      </c>
      <c r="M2216" s="2" t="str">
        <f aca="false">IF($G2216="","",IF(ISNA(MATCH($G2216,個別指定!$A:$A,0)),"行なし",""))</f>
        <v/>
      </c>
      <c r="N2216" s="2" t="str">
        <f aca="false">IF($G2216="","",IF(COUNTIF($G$2:$G$4460,$G2216)&gt;1,"重複",""))</f>
        <v/>
      </c>
    </row>
    <row r="2217" customFormat="false" ht="16.5" hidden="false" customHeight="true" outlineLevel="0" collapsed="false">
      <c r="A2217" s="2" t="s">
        <v>416</v>
      </c>
      <c r="B2217" s="2" t="s">
        <v>431</v>
      </c>
      <c r="C2217" s="2" t="s">
        <v>10</v>
      </c>
      <c r="D2217" s="2" t="str">
        <f aca="false">IF(3キー同時!$B$188="","",3キー同時!$B$188)</f>
        <v>m</v>
      </c>
      <c r="E2217" s="2" t="str">
        <f aca="false">IF(3キー同時!$G$188="","",3キー同時!$G$188)</f>
        <v>l</v>
      </c>
      <c r="F2217" s="2" t="str">
        <f aca="false">""</f>
        <v/>
      </c>
      <c r="G2217" s="2" t="str">
        <f aca="false">IF(OR(3キー同時!$B$188="",3キー同時!$G$188=""),"",IF(3キー同時!AT190="","",SUBSTITUTE(SUBSTITUTE(3キー同時!AT190," ",""),"　","")))</f>
        <v/>
      </c>
      <c r="H2217" s="2" t="str">
        <f aca="false">IF($G2217="","",3キー同時!$B$188)</f>
        <v/>
      </c>
      <c r="I2217" s="2" t="str">
        <f aca="false">IF($G2217="","",3キー同時!$G$188)</f>
        <v/>
      </c>
      <c r="J2217" s="2" t="str">
        <f aca="false">IF($G2217="","","-")</f>
        <v/>
      </c>
      <c r="K2217" s="2" t="str">
        <f aca="false">""</f>
        <v/>
      </c>
      <c r="L2217" s="2" t="str">
        <f aca="false">IF($G2217="","","同時")</f>
        <v/>
      </c>
      <c r="M2217" s="2" t="str">
        <f aca="false">IF($G2217="","",IF(ISNA(MATCH($G2217,個別指定!$A:$A,0)),"行なし",""))</f>
        <v/>
      </c>
      <c r="N2217" s="2" t="str">
        <f aca="false">IF($G2217="","",IF(COUNTIF($G$2:$G$4460,$G2217)&gt;1,"重複",""))</f>
        <v/>
      </c>
    </row>
    <row r="2218" customFormat="false" ht="16.5" hidden="false" customHeight="true" outlineLevel="0" collapsed="false">
      <c r="A2218" s="2" t="s">
        <v>416</v>
      </c>
      <c r="B2218" s="2" t="s">
        <v>431</v>
      </c>
      <c r="C2218" s="2" t="s">
        <v>11</v>
      </c>
      <c r="D2218" s="2" t="str">
        <f aca="false">IF(3キー同時!$B$188="","",3キー同時!$B$188)</f>
        <v>m</v>
      </c>
      <c r="E2218" s="2" t="str">
        <f aca="false">IF(3キー同時!$G$188="","",3キー同時!$G$188)</f>
        <v>l</v>
      </c>
      <c r="F2218" s="2" t="str">
        <f aca="false">""</f>
        <v/>
      </c>
      <c r="G2218" s="2" t="str">
        <f aca="false">IF(OR(3キー同時!$B$188="",3キー同時!$G$188=""),"",IF(3キー同時!AX190="","",SUBSTITUTE(SUBSTITUTE(3キー同時!AX190," ",""),"　","")))</f>
        <v/>
      </c>
      <c r="H2218" s="2" t="str">
        <f aca="false">IF($G2218="","",3キー同時!$B$188)</f>
        <v/>
      </c>
      <c r="I2218" s="2" t="str">
        <f aca="false">IF($G2218="","",3キー同時!$G$188)</f>
        <v/>
      </c>
      <c r="J2218" s="2" t="str">
        <f aca="false">IF($G2218="","","=")</f>
        <v/>
      </c>
      <c r="K2218" s="2" t="str">
        <f aca="false">""</f>
        <v/>
      </c>
      <c r="L2218" s="2" t="str">
        <f aca="false">IF($G2218="","","同時")</f>
        <v/>
      </c>
      <c r="M2218" s="2" t="str">
        <f aca="false">IF($G2218="","",IF(ISNA(MATCH($G2218,個別指定!$A:$A,0)),"行なし",""))</f>
        <v/>
      </c>
      <c r="N2218" s="2" t="str">
        <f aca="false">IF($G2218="","",IF(COUNTIF($G$2:$G$4460,$G2218)&gt;1,"重複",""))</f>
        <v/>
      </c>
    </row>
    <row r="2219" customFormat="false" ht="16.5" hidden="false" customHeight="true" outlineLevel="0" collapsed="false">
      <c r="A2219" s="2" t="s">
        <v>416</v>
      </c>
      <c r="B2219" s="2" t="s">
        <v>431</v>
      </c>
      <c r="C2219" s="2" t="s">
        <v>12</v>
      </c>
      <c r="D2219" s="2" t="str">
        <f aca="false">IF(3キー同時!$B$188="","",3キー同時!$B$188)</f>
        <v>m</v>
      </c>
      <c r="E2219" s="2" t="str">
        <f aca="false">IF(3キー同時!$G$188="","",3キー同時!$G$188)</f>
        <v>l</v>
      </c>
      <c r="F2219" s="2" t="str">
        <f aca="false">""</f>
        <v/>
      </c>
      <c r="G2219" s="2" t="str">
        <f aca="false">IF(OR(3キー同時!$B$188="",3キー同時!$G$188=""),"",IF(3キー同時!H192="","",SUBSTITUTE(SUBSTITUTE(3キー同時!H192," ",""),"　","")))</f>
        <v/>
      </c>
      <c r="H2219" s="2" t="str">
        <f aca="false">IF($G2219="","",3キー同時!$B$188)</f>
        <v/>
      </c>
      <c r="I2219" s="2" t="str">
        <f aca="false">IF($G2219="","",3キー同時!$G$188)</f>
        <v/>
      </c>
      <c r="J2219" s="2" t="str">
        <f aca="false">IF($G2219="","","q")</f>
        <v/>
      </c>
      <c r="K2219" s="2" t="str">
        <f aca="false">""</f>
        <v/>
      </c>
      <c r="L2219" s="2" t="str">
        <f aca="false">IF($G2219="","","同時")</f>
        <v/>
      </c>
      <c r="M2219" s="2" t="str">
        <f aca="false">IF($G2219="","",IF(ISNA(MATCH($G2219,個別指定!$A:$A,0)),"行なし",""))</f>
        <v/>
      </c>
      <c r="N2219" s="2" t="str">
        <f aca="false">IF($G2219="","",IF(COUNTIF($G$2:$G$4460,$G2219)&gt;1,"重複",""))</f>
        <v/>
      </c>
    </row>
    <row r="2220" customFormat="false" ht="16.5" hidden="false" customHeight="true" outlineLevel="0" collapsed="false">
      <c r="A2220" s="2" t="s">
        <v>416</v>
      </c>
      <c r="B2220" s="2" t="s">
        <v>431</v>
      </c>
      <c r="C2220" s="2" t="s">
        <v>13</v>
      </c>
      <c r="D2220" s="2" t="str">
        <f aca="false">IF(3キー同時!$B$188="","",3キー同時!$B$188)</f>
        <v>m</v>
      </c>
      <c r="E2220" s="2" t="str">
        <f aca="false">IF(3キー同時!$G$188="","",3キー同時!$G$188)</f>
        <v>l</v>
      </c>
      <c r="F2220" s="2" t="str">
        <f aca="false">""</f>
        <v/>
      </c>
      <c r="G2220" s="2" t="str">
        <f aca="false">IF(OR(3キー同時!$B$188="",3キー同時!$G$188=""),"",IF(3キー同時!L192="","",SUBSTITUTE(SUBSTITUTE(3キー同時!L192," ",""),"　","")))</f>
        <v/>
      </c>
      <c r="H2220" s="2" t="str">
        <f aca="false">IF($G2220="","",3キー同時!$B$188)</f>
        <v/>
      </c>
      <c r="I2220" s="2" t="str">
        <f aca="false">IF($G2220="","",3キー同時!$G$188)</f>
        <v/>
      </c>
      <c r="J2220" s="2" t="str">
        <f aca="false">IF($G2220="","","w")</f>
        <v/>
      </c>
      <c r="K2220" s="2" t="str">
        <f aca="false">""</f>
        <v/>
      </c>
      <c r="L2220" s="2" t="str">
        <f aca="false">IF($G2220="","","同時")</f>
        <v/>
      </c>
      <c r="M2220" s="2" t="str">
        <f aca="false">IF($G2220="","",IF(ISNA(MATCH($G2220,個別指定!$A:$A,0)),"行なし",""))</f>
        <v/>
      </c>
      <c r="N2220" s="2" t="str">
        <f aca="false">IF($G2220="","",IF(COUNTIF($G$2:$G$4460,$G2220)&gt;1,"重複",""))</f>
        <v/>
      </c>
    </row>
    <row r="2221" customFormat="false" ht="16.5" hidden="false" customHeight="true" outlineLevel="0" collapsed="false">
      <c r="A2221" s="2" t="s">
        <v>416</v>
      </c>
      <c r="B2221" s="2" t="s">
        <v>431</v>
      </c>
      <c r="C2221" s="2" t="s">
        <v>14</v>
      </c>
      <c r="D2221" s="2" t="str">
        <f aca="false">IF(3キー同時!$B$188="","",3キー同時!$B$188)</f>
        <v>m</v>
      </c>
      <c r="E2221" s="2" t="str">
        <f aca="false">IF(3キー同時!$G$188="","",3キー同時!$G$188)</f>
        <v>l</v>
      </c>
      <c r="F2221" s="2" t="str">
        <f aca="false">""</f>
        <v/>
      </c>
      <c r="G2221" s="2" t="str">
        <f aca="false">IF(OR(3キー同時!$B$188="",3キー同時!$G$188=""),"",IF(3キー同時!P192="","",SUBSTITUTE(SUBSTITUTE(3キー同時!P192," ",""),"　","")))</f>
        <v/>
      </c>
      <c r="H2221" s="2" t="str">
        <f aca="false">IF($G2221="","",3キー同時!$B$188)</f>
        <v/>
      </c>
      <c r="I2221" s="2" t="str">
        <f aca="false">IF($G2221="","",3キー同時!$G$188)</f>
        <v/>
      </c>
      <c r="J2221" s="2" t="str">
        <f aca="false">IF($G2221="","","e")</f>
        <v/>
      </c>
      <c r="K2221" s="2" t="str">
        <f aca="false">""</f>
        <v/>
      </c>
      <c r="L2221" s="2" t="str">
        <f aca="false">IF($G2221="","","同時")</f>
        <v/>
      </c>
      <c r="M2221" s="2" t="str">
        <f aca="false">IF($G2221="","",IF(ISNA(MATCH($G2221,個別指定!$A:$A,0)),"行なし",""))</f>
        <v/>
      </c>
      <c r="N2221" s="2" t="str">
        <f aca="false">IF($G2221="","",IF(COUNTIF($G$2:$G$4460,$G2221)&gt;1,"重複",""))</f>
        <v/>
      </c>
    </row>
    <row r="2222" customFormat="false" ht="16.5" hidden="false" customHeight="true" outlineLevel="0" collapsed="false">
      <c r="A2222" s="2" t="s">
        <v>416</v>
      </c>
      <c r="B2222" s="2" t="s">
        <v>431</v>
      </c>
      <c r="C2222" s="2" t="s">
        <v>15</v>
      </c>
      <c r="D2222" s="2" t="str">
        <f aca="false">IF(3キー同時!$B$188="","",3キー同時!$B$188)</f>
        <v>m</v>
      </c>
      <c r="E2222" s="2" t="str">
        <f aca="false">IF(3キー同時!$G$188="","",3キー同時!$G$188)</f>
        <v>l</v>
      </c>
      <c r="F2222" s="2" t="str">
        <f aca="false">""</f>
        <v/>
      </c>
      <c r="G2222" s="2" t="str">
        <f aca="false">IF(OR(3キー同時!$B$188="",3キー同時!$G$188=""),"",IF(3キー同時!T192="","",SUBSTITUTE(SUBSTITUTE(3キー同時!T192," ",""),"　","")))</f>
        <v/>
      </c>
      <c r="H2222" s="2" t="str">
        <f aca="false">IF($G2222="","",3キー同時!$B$188)</f>
        <v/>
      </c>
      <c r="I2222" s="2" t="str">
        <f aca="false">IF($G2222="","",3キー同時!$G$188)</f>
        <v/>
      </c>
      <c r="J2222" s="2" t="str">
        <f aca="false">IF($G2222="","","r")</f>
        <v/>
      </c>
      <c r="K2222" s="2" t="str">
        <f aca="false">""</f>
        <v/>
      </c>
      <c r="L2222" s="2" t="str">
        <f aca="false">IF($G2222="","","同時")</f>
        <v/>
      </c>
      <c r="M2222" s="2" t="str">
        <f aca="false">IF($G2222="","",IF(ISNA(MATCH($G2222,個別指定!$A:$A,0)),"行なし",""))</f>
        <v/>
      </c>
      <c r="N2222" s="2" t="str">
        <f aca="false">IF($G2222="","",IF(COUNTIF($G$2:$G$4460,$G2222)&gt;1,"重複",""))</f>
        <v/>
      </c>
    </row>
    <row r="2223" customFormat="false" ht="16.5" hidden="false" customHeight="true" outlineLevel="0" collapsed="false">
      <c r="A2223" s="2" t="s">
        <v>416</v>
      </c>
      <c r="B2223" s="2" t="s">
        <v>431</v>
      </c>
      <c r="C2223" s="2" t="s">
        <v>16</v>
      </c>
      <c r="D2223" s="2" t="str">
        <f aca="false">IF(3キー同時!$B$188="","",3キー同時!$B$188)</f>
        <v>m</v>
      </c>
      <c r="E2223" s="2" t="str">
        <f aca="false">IF(3キー同時!$G$188="","",3キー同時!$G$188)</f>
        <v>l</v>
      </c>
      <c r="F2223" s="2" t="str">
        <f aca="false">""</f>
        <v/>
      </c>
      <c r="G2223" s="2" t="str">
        <f aca="false">IF(OR(3キー同時!$B$188="",3キー同時!$G$188=""),"",IF(3キー同時!X192="","",SUBSTITUTE(SUBSTITUTE(3キー同時!X192," ",""),"　","")))</f>
        <v/>
      </c>
      <c r="H2223" s="2" t="str">
        <f aca="false">IF($G2223="","",3キー同時!$B$188)</f>
        <v/>
      </c>
      <c r="I2223" s="2" t="str">
        <f aca="false">IF($G2223="","",3キー同時!$G$188)</f>
        <v/>
      </c>
      <c r="J2223" s="2" t="str">
        <f aca="false">IF($G2223="","","t")</f>
        <v/>
      </c>
      <c r="K2223" s="2" t="str">
        <f aca="false">""</f>
        <v/>
      </c>
      <c r="L2223" s="2" t="str">
        <f aca="false">IF($G2223="","","同時")</f>
        <v/>
      </c>
      <c r="M2223" s="2" t="str">
        <f aca="false">IF($G2223="","",IF(ISNA(MATCH($G2223,個別指定!$A:$A,0)),"行なし",""))</f>
        <v/>
      </c>
      <c r="N2223" s="2" t="str">
        <f aca="false">IF($G2223="","",IF(COUNTIF($G$2:$G$4460,$G2223)&gt;1,"重複",""))</f>
        <v/>
      </c>
    </row>
    <row r="2224" customFormat="false" ht="16.5" hidden="false" customHeight="true" outlineLevel="0" collapsed="false">
      <c r="A2224" s="2" t="s">
        <v>416</v>
      </c>
      <c r="B2224" s="2" t="s">
        <v>431</v>
      </c>
      <c r="C2224" s="2" t="s">
        <v>17</v>
      </c>
      <c r="D2224" s="2" t="str">
        <f aca="false">IF(3キー同時!$B$188="","",3キー同時!$B$188)</f>
        <v>m</v>
      </c>
      <c r="E2224" s="2" t="str">
        <f aca="false">IF(3キー同時!$G$188="","",3キー同時!$G$188)</f>
        <v>l</v>
      </c>
      <c r="F2224" s="2" t="str">
        <f aca="false">""</f>
        <v/>
      </c>
      <c r="G2224" s="2" t="str">
        <f aca="false">IF(OR(3キー同時!$B$188="",3キー同時!$G$188=""),"",IF(3キー同時!AB192="","",SUBSTITUTE(SUBSTITUTE(3キー同時!AB192," ",""),"　","")))</f>
        <v/>
      </c>
      <c r="H2224" s="2" t="str">
        <f aca="false">IF($G2224="","",3キー同時!$B$188)</f>
        <v/>
      </c>
      <c r="I2224" s="2" t="str">
        <f aca="false">IF($G2224="","",3キー同時!$G$188)</f>
        <v/>
      </c>
      <c r="J2224" s="2" t="str">
        <f aca="false">IF($G2224="","","y")</f>
        <v/>
      </c>
      <c r="K2224" s="2" t="str">
        <f aca="false">""</f>
        <v/>
      </c>
      <c r="L2224" s="2" t="str">
        <f aca="false">IF($G2224="","","同時")</f>
        <v/>
      </c>
      <c r="M2224" s="2" t="str">
        <f aca="false">IF($G2224="","",IF(ISNA(MATCH($G2224,個別指定!$A:$A,0)),"行なし",""))</f>
        <v/>
      </c>
      <c r="N2224" s="2" t="str">
        <f aca="false">IF($G2224="","",IF(COUNTIF($G$2:$G$4460,$G2224)&gt;1,"重複",""))</f>
        <v/>
      </c>
    </row>
    <row r="2225" customFormat="false" ht="16.5" hidden="false" customHeight="true" outlineLevel="0" collapsed="false">
      <c r="A2225" s="2" t="s">
        <v>416</v>
      </c>
      <c r="B2225" s="2" t="s">
        <v>431</v>
      </c>
      <c r="C2225" s="2" t="s">
        <v>18</v>
      </c>
      <c r="D2225" s="2" t="str">
        <f aca="false">IF(3キー同時!$B$188="","",3キー同時!$B$188)</f>
        <v>m</v>
      </c>
      <c r="E2225" s="2" t="str">
        <f aca="false">IF(3キー同時!$G$188="","",3キー同時!$G$188)</f>
        <v>l</v>
      </c>
      <c r="F2225" s="2" t="str">
        <f aca="false">""</f>
        <v/>
      </c>
      <c r="G2225" s="2" t="str">
        <f aca="false">IF(OR(3キー同時!$B$188="",3キー同時!$G$188=""),"",IF(3キー同時!AF192="","",SUBSTITUTE(SUBSTITUTE(3キー同時!AF192," ",""),"　","")))</f>
        <v/>
      </c>
      <c r="H2225" s="2" t="str">
        <f aca="false">IF($G2225="","",3キー同時!$B$188)</f>
        <v/>
      </c>
      <c r="I2225" s="2" t="str">
        <f aca="false">IF($G2225="","",3キー同時!$G$188)</f>
        <v/>
      </c>
      <c r="J2225" s="2" t="str">
        <f aca="false">IF($G2225="","","u")</f>
        <v/>
      </c>
      <c r="K2225" s="2" t="str">
        <f aca="false">""</f>
        <v/>
      </c>
      <c r="L2225" s="2" t="str">
        <f aca="false">IF($G2225="","","同時")</f>
        <v/>
      </c>
      <c r="M2225" s="2" t="str">
        <f aca="false">IF($G2225="","",IF(ISNA(MATCH($G2225,個別指定!$A:$A,0)),"行なし",""))</f>
        <v/>
      </c>
      <c r="N2225" s="2" t="str">
        <f aca="false">IF($G2225="","",IF(COUNTIF($G$2:$G$4460,$G2225)&gt;1,"重複",""))</f>
        <v/>
      </c>
    </row>
    <row r="2226" customFormat="false" ht="16.5" hidden="false" customHeight="true" outlineLevel="0" collapsed="false">
      <c r="A2226" s="2" t="s">
        <v>416</v>
      </c>
      <c r="B2226" s="2" t="s">
        <v>431</v>
      </c>
      <c r="C2226" s="2" t="s">
        <v>19</v>
      </c>
      <c r="D2226" s="2" t="str">
        <f aca="false">IF(3キー同時!$B$188="","",3キー同時!$B$188)</f>
        <v>m</v>
      </c>
      <c r="E2226" s="2" t="str">
        <f aca="false">IF(3キー同時!$G$188="","",3キー同時!$G$188)</f>
        <v>l</v>
      </c>
      <c r="F2226" s="2" t="str">
        <f aca="false">""</f>
        <v/>
      </c>
      <c r="G2226" s="2" t="str">
        <f aca="false">IF(OR(3キー同時!$B$188="",3キー同時!$G$188=""),"",IF(3キー同時!AJ192="","",SUBSTITUTE(SUBSTITUTE(3キー同時!AJ192," ",""),"　","")))</f>
        <v/>
      </c>
      <c r="H2226" s="2" t="str">
        <f aca="false">IF($G2226="","",3キー同時!$B$188)</f>
        <v/>
      </c>
      <c r="I2226" s="2" t="str">
        <f aca="false">IF($G2226="","",3キー同時!$G$188)</f>
        <v/>
      </c>
      <c r="J2226" s="2" t="str">
        <f aca="false">IF($G2226="","","i")</f>
        <v/>
      </c>
      <c r="K2226" s="2" t="str">
        <f aca="false">""</f>
        <v/>
      </c>
      <c r="L2226" s="2" t="str">
        <f aca="false">IF($G2226="","","同時")</f>
        <v/>
      </c>
      <c r="M2226" s="2" t="str">
        <f aca="false">IF($G2226="","",IF(ISNA(MATCH($G2226,個別指定!$A:$A,0)),"行なし",""))</f>
        <v/>
      </c>
      <c r="N2226" s="2" t="str">
        <f aca="false">IF($G2226="","",IF(COUNTIF($G$2:$G$4460,$G2226)&gt;1,"重複",""))</f>
        <v/>
      </c>
    </row>
    <row r="2227" customFormat="false" ht="16.5" hidden="false" customHeight="true" outlineLevel="0" collapsed="false">
      <c r="A2227" s="2" t="s">
        <v>416</v>
      </c>
      <c r="B2227" s="2" t="s">
        <v>431</v>
      </c>
      <c r="C2227" s="2" t="s">
        <v>20</v>
      </c>
      <c r="D2227" s="2" t="str">
        <f aca="false">IF(3キー同時!$B$188="","",3キー同時!$B$188)</f>
        <v>m</v>
      </c>
      <c r="E2227" s="2" t="str">
        <f aca="false">IF(3キー同時!$G$188="","",3キー同時!$G$188)</f>
        <v>l</v>
      </c>
      <c r="F2227" s="2" t="str">
        <f aca="false">""</f>
        <v/>
      </c>
      <c r="G2227" s="2" t="str">
        <f aca="false">IF(OR(3キー同時!$B$188="",3キー同時!$G$188=""),"",IF(3キー同時!AN192="","",SUBSTITUTE(SUBSTITUTE(3キー同時!AN192," ",""),"　","")))</f>
        <v/>
      </c>
      <c r="H2227" s="2" t="str">
        <f aca="false">IF($G2227="","",3キー同時!$B$188)</f>
        <v/>
      </c>
      <c r="I2227" s="2" t="str">
        <f aca="false">IF($G2227="","",3キー同時!$G$188)</f>
        <v/>
      </c>
      <c r="J2227" s="2" t="str">
        <f aca="false">IF($G2227="","","o")</f>
        <v/>
      </c>
      <c r="K2227" s="2" t="str">
        <f aca="false">""</f>
        <v/>
      </c>
      <c r="L2227" s="2" t="str">
        <f aca="false">IF($G2227="","","同時")</f>
        <v/>
      </c>
      <c r="M2227" s="2" t="str">
        <f aca="false">IF($G2227="","",IF(ISNA(MATCH($G2227,個別指定!$A:$A,0)),"行なし",""))</f>
        <v/>
      </c>
      <c r="N2227" s="2" t="str">
        <f aca="false">IF($G2227="","",IF(COUNTIF($G$2:$G$4460,$G2227)&gt;1,"重複",""))</f>
        <v/>
      </c>
    </row>
    <row r="2228" customFormat="false" ht="16.5" hidden="false" customHeight="true" outlineLevel="0" collapsed="false">
      <c r="A2228" s="2" t="s">
        <v>416</v>
      </c>
      <c r="B2228" s="2" t="s">
        <v>431</v>
      </c>
      <c r="C2228" s="2" t="s">
        <v>21</v>
      </c>
      <c r="D2228" s="2" t="str">
        <f aca="false">IF(3キー同時!$B$188="","",3キー同時!$B$188)</f>
        <v>m</v>
      </c>
      <c r="E2228" s="2" t="str">
        <f aca="false">IF(3キー同時!$G$188="","",3キー同時!$G$188)</f>
        <v>l</v>
      </c>
      <c r="F2228" s="2" t="str">
        <f aca="false">""</f>
        <v/>
      </c>
      <c r="G2228" s="2" t="str">
        <f aca="false">IF(OR(3キー同時!$B$188="",3キー同時!$G$188=""),"",IF(3キー同時!AR192="","",SUBSTITUTE(SUBSTITUTE(3キー同時!AR192," ",""),"　","")))</f>
        <v/>
      </c>
      <c r="H2228" s="2" t="str">
        <f aca="false">IF($G2228="","",3キー同時!$B$188)</f>
        <v/>
      </c>
      <c r="I2228" s="2" t="str">
        <f aca="false">IF($G2228="","",3キー同時!$G$188)</f>
        <v/>
      </c>
      <c r="J2228" s="2" t="str">
        <f aca="false">IF($G2228="","","p")</f>
        <v/>
      </c>
      <c r="K2228" s="2" t="str">
        <f aca="false">""</f>
        <v/>
      </c>
      <c r="L2228" s="2" t="str">
        <f aca="false">IF($G2228="","","同時")</f>
        <v/>
      </c>
      <c r="M2228" s="2" t="str">
        <f aca="false">IF($G2228="","",IF(ISNA(MATCH($G2228,個別指定!$A:$A,0)),"行なし",""))</f>
        <v/>
      </c>
      <c r="N2228" s="2" t="str">
        <f aca="false">IF($G2228="","",IF(COUNTIF($G$2:$G$4460,$G2228)&gt;1,"重複",""))</f>
        <v/>
      </c>
    </row>
    <row r="2229" customFormat="false" ht="16.5" hidden="false" customHeight="true" outlineLevel="0" collapsed="false">
      <c r="A2229" s="2" t="s">
        <v>416</v>
      </c>
      <c r="B2229" s="2" t="s">
        <v>431</v>
      </c>
      <c r="C2229" s="2" t="s">
        <v>22</v>
      </c>
      <c r="D2229" s="2" t="str">
        <f aca="false">IF(3キー同時!$B$188="","",3キー同時!$B$188)</f>
        <v>m</v>
      </c>
      <c r="E2229" s="2" t="str">
        <f aca="false">IF(3キー同時!$G$188="","",3キー同時!$G$188)</f>
        <v>l</v>
      </c>
      <c r="F2229" s="2" t="str">
        <f aca="false">""</f>
        <v/>
      </c>
      <c r="G2229" s="2" t="str">
        <f aca="false">IF(OR(3キー同時!$B$188="",3キー同時!$G$188=""),"",IF(3キー同時!AV192="","",SUBSTITUTE(SUBSTITUTE(3キー同時!AV192," ",""),"　","")))</f>
        <v/>
      </c>
      <c r="H2229" s="2" t="str">
        <f aca="false">IF($G2229="","",3キー同時!$B$188)</f>
        <v/>
      </c>
      <c r="I2229" s="2" t="str">
        <f aca="false">IF($G2229="","",3キー同時!$G$188)</f>
        <v/>
      </c>
      <c r="J2229" s="2" t="str">
        <f aca="false">IF($G2229="","","[")</f>
        <v/>
      </c>
      <c r="K2229" s="2" t="str">
        <f aca="false">""</f>
        <v/>
      </c>
      <c r="L2229" s="2" t="str">
        <f aca="false">IF($G2229="","","同時")</f>
        <v/>
      </c>
      <c r="M2229" s="2" t="str">
        <f aca="false">IF($G2229="","",IF(ISNA(MATCH($G2229,個別指定!$A:$A,0)),"行なし",""))</f>
        <v/>
      </c>
      <c r="N2229" s="2" t="str">
        <f aca="false">IF($G2229="","",IF(COUNTIF($G$2:$G$4460,$G2229)&gt;1,"重複",""))</f>
        <v/>
      </c>
    </row>
    <row r="2230" customFormat="false" ht="16.5" hidden="false" customHeight="true" outlineLevel="0" collapsed="false">
      <c r="A2230" s="2" t="s">
        <v>416</v>
      </c>
      <c r="B2230" s="2" t="s">
        <v>431</v>
      </c>
      <c r="C2230" s="2" t="s">
        <v>23</v>
      </c>
      <c r="D2230" s="2" t="str">
        <f aca="false">IF(3キー同時!$B$188="","",3キー同時!$B$188)</f>
        <v>m</v>
      </c>
      <c r="E2230" s="2" t="str">
        <f aca="false">IF(3キー同時!$G$188="","",3キー同時!$G$188)</f>
        <v>l</v>
      </c>
      <c r="F2230" s="2" t="str">
        <f aca="false">""</f>
        <v/>
      </c>
      <c r="G2230" s="2" t="str">
        <f aca="false">IF(OR(3キー同時!$B$188="",3キー同時!$G$188=""),"",IF(3キー同時!AZ192="","",SUBSTITUTE(SUBSTITUTE(3キー同時!AZ192," ",""),"　","")))</f>
        <v/>
      </c>
      <c r="H2230" s="2" t="str">
        <f aca="false">IF($G2230="","",3キー同時!$B$188)</f>
        <v/>
      </c>
      <c r="I2230" s="2" t="str">
        <f aca="false">IF($G2230="","",3キー同時!$G$188)</f>
        <v/>
      </c>
      <c r="J2230" s="2" t="str">
        <f aca="false">IF($G2230="","","]")</f>
        <v/>
      </c>
      <c r="K2230" s="2" t="str">
        <f aca="false">""</f>
        <v/>
      </c>
      <c r="L2230" s="2" t="str">
        <f aca="false">IF($G2230="","","同時")</f>
        <v/>
      </c>
      <c r="M2230" s="2" t="str">
        <f aca="false">IF($G2230="","",IF(ISNA(MATCH($G2230,個別指定!$A:$A,0)),"行なし",""))</f>
        <v/>
      </c>
      <c r="N2230" s="2" t="str">
        <f aca="false">IF($G2230="","",IF(COUNTIF($G$2:$G$4460,$G2230)&gt;1,"重複",""))</f>
        <v/>
      </c>
    </row>
    <row r="2231" customFormat="false" ht="16.5" hidden="false" customHeight="true" outlineLevel="0" collapsed="false">
      <c r="A2231" s="2" t="s">
        <v>416</v>
      </c>
      <c r="B2231" s="2" t="s">
        <v>431</v>
      </c>
      <c r="C2231" s="2" t="s">
        <v>24</v>
      </c>
      <c r="D2231" s="2" t="str">
        <f aca="false">IF(3キー同時!$B$188="","",3キー同時!$B$188)</f>
        <v>m</v>
      </c>
      <c r="E2231" s="2" t="str">
        <f aca="false">IF(3キー同時!$G$188="","",3キー同時!$G$188)</f>
        <v>l</v>
      </c>
      <c r="F2231" s="2" t="str">
        <f aca="false">""</f>
        <v/>
      </c>
      <c r="G2231" s="2" t="str">
        <f aca="false">IF(OR(3キー同時!$B$188="",3キー同時!$G$188=""),"",IF(3キー同時!I194="","",SUBSTITUTE(SUBSTITUTE(3キー同時!I194," ",""),"　","")))</f>
        <v/>
      </c>
      <c r="H2231" s="2" t="str">
        <f aca="false">IF($G2231="","",3キー同時!$B$188)</f>
        <v/>
      </c>
      <c r="I2231" s="2" t="str">
        <f aca="false">IF($G2231="","",3キー同時!$G$188)</f>
        <v/>
      </c>
      <c r="J2231" s="2" t="str">
        <f aca="false">IF($G2231="","","a")</f>
        <v/>
      </c>
      <c r="K2231" s="2" t="str">
        <f aca="false">""</f>
        <v/>
      </c>
      <c r="L2231" s="2" t="str">
        <f aca="false">IF($G2231="","","同時")</f>
        <v/>
      </c>
      <c r="M2231" s="2" t="str">
        <f aca="false">IF($G2231="","",IF(ISNA(MATCH($G2231,個別指定!$A:$A,0)),"行なし",""))</f>
        <v/>
      </c>
      <c r="N2231" s="2" t="str">
        <f aca="false">IF($G2231="","",IF(COUNTIF($G$2:$G$4460,$G2231)&gt;1,"重複",""))</f>
        <v/>
      </c>
    </row>
    <row r="2232" customFormat="false" ht="16.5" hidden="false" customHeight="true" outlineLevel="0" collapsed="false">
      <c r="A2232" s="2" t="s">
        <v>416</v>
      </c>
      <c r="B2232" s="2" t="s">
        <v>431</v>
      </c>
      <c r="C2232" s="2" t="s">
        <v>25</v>
      </c>
      <c r="D2232" s="2" t="str">
        <f aca="false">IF(3キー同時!$B$188="","",3キー同時!$B$188)</f>
        <v>m</v>
      </c>
      <c r="E2232" s="2" t="str">
        <f aca="false">IF(3キー同時!$G$188="","",3キー同時!$G$188)</f>
        <v>l</v>
      </c>
      <c r="F2232" s="2" t="str">
        <f aca="false">""</f>
        <v/>
      </c>
      <c r="G2232" s="2" t="str">
        <f aca="false">IF(OR(3キー同時!$B$188="",3キー同時!$G$188=""),"",IF(3キー同時!M194="","",SUBSTITUTE(SUBSTITUTE(3キー同時!M194," ",""),"　","")))</f>
        <v/>
      </c>
      <c r="H2232" s="2" t="str">
        <f aca="false">IF($G2232="","",3キー同時!$B$188)</f>
        <v/>
      </c>
      <c r="I2232" s="2" t="str">
        <f aca="false">IF($G2232="","",3キー同時!$G$188)</f>
        <v/>
      </c>
      <c r="J2232" s="2" t="str">
        <f aca="false">IF($G2232="","","s")</f>
        <v/>
      </c>
      <c r="K2232" s="2" t="str">
        <f aca="false">""</f>
        <v/>
      </c>
      <c r="L2232" s="2" t="str">
        <f aca="false">IF($G2232="","","同時")</f>
        <v/>
      </c>
      <c r="M2232" s="2" t="str">
        <f aca="false">IF($G2232="","",IF(ISNA(MATCH($G2232,個別指定!$A:$A,0)),"行なし",""))</f>
        <v/>
      </c>
      <c r="N2232" s="2" t="str">
        <f aca="false">IF($G2232="","",IF(COUNTIF($G$2:$G$4460,$G2232)&gt;1,"重複",""))</f>
        <v/>
      </c>
    </row>
    <row r="2233" customFormat="false" ht="16.5" hidden="false" customHeight="true" outlineLevel="0" collapsed="false">
      <c r="A2233" s="2" t="s">
        <v>416</v>
      </c>
      <c r="B2233" s="2" t="s">
        <v>431</v>
      </c>
      <c r="C2233" s="2" t="s">
        <v>26</v>
      </c>
      <c r="D2233" s="2" t="str">
        <f aca="false">IF(3キー同時!$B$188="","",3キー同時!$B$188)</f>
        <v>m</v>
      </c>
      <c r="E2233" s="2" t="str">
        <f aca="false">IF(3キー同時!$G$188="","",3キー同時!$G$188)</f>
        <v>l</v>
      </c>
      <c r="F2233" s="2" t="str">
        <f aca="false">""</f>
        <v/>
      </c>
      <c r="G2233" s="2" t="str">
        <f aca="false">IF(OR(3キー同時!$B$188="",3キー同時!$G$188=""),"",IF(3キー同時!Q194="","",SUBSTITUTE(SUBSTITUTE(3キー同時!Q194," ",""),"　","")))</f>
        <v>とぅ</v>
      </c>
      <c r="H2233" s="2" t="str">
        <f aca="false">IF($G2233="","",3キー同時!$B$188)</f>
        <v>m</v>
      </c>
      <c r="I2233" s="2" t="str">
        <f aca="false">IF($G2233="","",3キー同時!$G$188)</f>
        <v>l</v>
      </c>
      <c r="J2233" s="2" t="str">
        <f aca="false">IF($G2233="","","d")</f>
        <v>d</v>
      </c>
      <c r="K2233" s="2" t="str">
        <f aca="false">""</f>
        <v/>
      </c>
      <c r="L2233" s="2" t="str">
        <f aca="false">IF($G2233="","","同時")</f>
        <v>同時</v>
      </c>
      <c r="M2233" s="2" t="str">
        <f aca="false">IF($G2233="","",IF(ISNA(MATCH($G2233,個別指定!$A:$A,0)),"行なし",""))</f>
        <v/>
      </c>
      <c r="N2233" s="2" t="str">
        <f aca="false">IF($G2233="","",IF(COUNTIF($G$2:$G$4460,$G2233)&gt;1,"重複",""))</f>
        <v/>
      </c>
    </row>
    <row r="2234" customFormat="false" ht="16.5" hidden="false" customHeight="true" outlineLevel="0" collapsed="false">
      <c r="A2234" s="2" t="s">
        <v>416</v>
      </c>
      <c r="B2234" s="2" t="s">
        <v>431</v>
      </c>
      <c r="C2234" s="2" t="s">
        <v>27</v>
      </c>
      <c r="D2234" s="2" t="str">
        <f aca="false">IF(3キー同時!$B$188="","",3キー同時!$B$188)</f>
        <v>m</v>
      </c>
      <c r="E2234" s="2" t="str">
        <f aca="false">IF(3キー同時!$G$188="","",3キー同時!$G$188)</f>
        <v>l</v>
      </c>
      <c r="F2234" s="2" t="str">
        <f aca="false">""</f>
        <v/>
      </c>
      <c r="G2234" s="2" t="str">
        <f aca="false">IF(OR(3キー同時!$B$188="",3キー同時!$G$188=""),"",IF(3キー同時!U194="","",SUBSTITUTE(SUBSTITUTE(3キー同時!U194," ",""),"　","")))</f>
        <v/>
      </c>
      <c r="H2234" s="2" t="str">
        <f aca="false">IF($G2234="","",3キー同時!$B$188)</f>
        <v/>
      </c>
      <c r="I2234" s="2" t="str">
        <f aca="false">IF($G2234="","",3キー同時!$G$188)</f>
        <v/>
      </c>
      <c r="J2234" s="2" t="str">
        <f aca="false">IF($G2234="","","f")</f>
        <v/>
      </c>
      <c r="K2234" s="2" t="str">
        <f aca="false">""</f>
        <v/>
      </c>
      <c r="L2234" s="2" t="str">
        <f aca="false">IF($G2234="","","同時")</f>
        <v/>
      </c>
      <c r="M2234" s="2" t="str">
        <f aca="false">IF($G2234="","",IF(ISNA(MATCH($G2234,個別指定!$A:$A,0)),"行なし",""))</f>
        <v/>
      </c>
      <c r="N2234" s="2" t="str">
        <f aca="false">IF($G2234="","",IF(COUNTIF($G$2:$G$4460,$G2234)&gt;1,"重複",""))</f>
        <v/>
      </c>
    </row>
    <row r="2235" customFormat="false" ht="16.5" hidden="false" customHeight="true" outlineLevel="0" collapsed="false">
      <c r="A2235" s="2" t="s">
        <v>416</v>
      </c>
      <c r="B2235" s="2" t="s">
        <v>431</v>
      </c>
      <c r="C2235" s="2" t="s">
        <v>28</v>
      </c>
      <c r="D2235" s="2" t="str">
        <f aca="false">IF(3キー同時!$B$188="","",3キー同時!$B$188)</f>
        <v>m</v>
      </c>
      <c r="E2235" s="2" t="str">
        <f aca="false">IF(3キー同時!$G$188="","",3キー同時!$G$188)</f>
        <v>l</v>
      </c>
      <c r="F2235" s="2" t="str">
        <f aca="false">""</f>
        <v/>
      </c>
      <c r="G2235" s="2" t="str">
        <f aca="false">IF(OR(3キー同時!$B$188="",3キー同時!$G$188=""),"",IF(3キー同時!Y194="","",SUBSTITUTE(SUBSTITUTE(3キー同時!Y194," ",""),"　","")))</f>
        <v/>
      </c>
      <c r="H2235" s="2" t="str">
        <f aca="false">IF($G2235="","",3キー同時!$B$188)</f>
        <v/>
      </c>
      <c r="I2235" s="2" t="str">
        <f aca="false">IF($G2235="","",3キー同時!$G$188)</f>
        <v/>
      </c>
      <c r="J2235" s="2" t="str">
        <f aca="false">IF($G2235="","","g")</f>
        <v/>
      </c>
      <c r="K2235" s="2" t="str">
        <f aca="false">""</f>
        <v/>
      </c>
      <c r="L2235" s="2" t="str">
        <f aca="false">IF($G2235="","","同時")</f>
        <v/>
      </c>
      <c r="M2235" s="2" t="str">
        <f aca="false">IF($G2235="","",IF(ISNA(MATCH($G2235,個別指定!$A:$A,0)),"行なし",""))</f>
        <v/>
      </c>
      <c r="N2235" s="2" t="str">
        <f aca="false">IF($G2235="","",IF(COUNTIF($G$2:$G$4460,$G2235)&gt;1,"重複",""))</f>
        <v/>
      </c>
    </row>
    <row r="2236" customFormat="false" ht="16.5" hidden="false" customHeight="true" outlineLevel="0" collapsed="false">
      <c r="A2236" s="2" t="s">
        <v>416</v>
      </c>
      <c r="B2236" s="2" t="s">
        <v>431</v>
      </c>
      <c r="C2236" s="2" t="s">
        <v>29</v>
      </c>
      <c r="D2236" s="2" t="str">
        <f aca="false">IF(3キー同時!$B$188="","",3キー同時!$B$188)</f>
        <v>m</v>
      </c>
      <c r="E2236" s="2" t="str">
        <f aca="false">IF(3キー同時!$G$188="","",3キー同時!$G$188)</f>
        <v>l</v>
      </c>
      <c r="F2236" s="2" t="str">
        <f aca="false">""</f>
        <v/>
      </c>
      <c r="G2236" s="2" t="str">
        <f aca="false">IF(OR(3キー同時!$B$188="",3キー同時!$G$188=""),"",IF(3キー同時!AC194="","",SUBSTITUTE(SUBSTITUTE(3キー同時!AC194," ",""),"　","")))</f>
        <v/>
      </c>
      <c r="H2236" s="2" t="str">
        <f aca="false">IF($G2236="","",3キー同時!$B$188)</f>
        <v/>
      </c>
      <c r="I2236" s="2" t="str">
        <f aca="false">IF($G2236="","",3キー同時!$G$188)</f>
        <v/>
      </c>
      <c r="J2236" s="2" t="str">
        <f aca="false">IF($G2236="","","h")</f>
        <v/>
      </c>
      <c r="K2236" s="2" t="str">
        <f aca="false">""</f>
        <v/>
      </c>
      <c r="L2236" s="2" t="str">
        <f aca="false">IF($G2236="","","同時")</f>
        <v/>
      </c>
      <c r="M2236" s="2" t="str">
        <f aca="false">IF($G2236="","",IF(ISNA(MATCH($G2236,個別指定!$A:$A,0)),"行なし",""))</f>
        <v/>
      </c>
      <c r="N2236" s="2" t="str">
        <f aca="false">IF($G2236="","",IF(COUNTIF($G$2:$G$4460,$G2236)&gt;1,"重複",""))</f>
        <v/>
      </c>
    </row>
    <row r="2237" customFormat="false" ht="16.5" hidden="false" customHeight="true" outlineLevel="0" collapsed="false">
      <c r="A2237" s="2" t="s">
        <v>416</v>
      </c>
      <c r="B2237" s="2" t="s">
        <v>431</v>
      </c>
      <c r="C2237" s="2" t="s">
        <v>30</v>
      </c>
      <c r="D2237" s="2" t="str">
        <f aca="false">IF(3キー同時!$B$188="","",3キー同時!$B$188)</f>
        <v>m</v>
      </c>
      <c r="E2237" s="2" t="str">
        <f aca="false">IF(3キー同時!$G$188="","",3キー同時!$G$188)</f>
        <v>l</v>
      </c>
      <c r="F2237" s="2" t="str">
        <f aca="false">""</f>
        <v/>
      </c>
      <c r="G2237" s="2" t="str">
        <f aca="false">IF(OR(3キー同時!$B$188="",3キー同時!$G$188=""),"",IF(3キー同時!AG194="","",SUBSTITUTE(SUBSTITUTE(3キー同時!AG194," ",""),"　","")))</f>
        <v/>
      </c>
      <c r="H2237" s="2" t="str">
        <f aca="false">IF($G2237="","",3キー同時!$B$188)</f>
        <v/>
      </c>
      <c r="I2237" s="2" t="str">
        <f aca="false">IF($G2237="","",3キー同時!$G$188)</f>
        <v/>
      </c>
      <c r="J2237" s="2" t="str">
        <f aca="false">IF($G2237="","","j")</f>
        <v/>
      </c>
      <c r="K2237" s="2" t="str">
        <f aca="false">""</f>
        <v/>
      </c>
      <c r="L2237" s="2" t="str">
        <f aca="false">IF($G2237="","","同時")</f>
        <v/>
      </c>
      <c r="M2237" s="2" t="str">
        <f aca="false">IF($G2237="","",IF(ISNA(MATCH($G2237,個別指定!$A:$A,0)),"行なし",""))</f>
        <v/>
      </c>
      <c r="N2237" s="2" t="str">
        <f aca="false">IF($G2237="","",IF(COUNTIF($G$2:$G$4460,$G2237)&gt;1,"重複",""))</f>
        <v/>
      </c>
    </row>
    <row r="2238" customFormat="false" ht="16.5" hidden="false" customHeight="true" outlineLevel="0" collapsed="false">
      <c r="A2238" s="2" t="s">
        <v>416</v>
      </c>
      <c r="B2238" s="2" t="s">
        <v>431</v>
      </c>
      <c r="C2238" s="2" t="s">
        <v>31</v>
      </c>
      <c r="D2238" s="2" t="str">
        <f aca="false">IF(3キー同時!$B$188="","",3キー同時!$B$188)</f>
        <v>m</v>
      </c>
      <c r="E2238" s="2" t="str">
        <f aca="false">IF(3キー同時!$G$188="","",3キー同時!$G$188)</f>
        <v>l</v>
      </c>
      <c r="F2238" s="2" t="str">
        <f aca="false">""</f>
        <v/>
      </c>
      <c r="G2238" s="2" t="str">
        <f aca="false">IF(OR(3キー同時!$B$188="",3キー同時!$G$188=""),"",IF(3キー同時!AK194="","",SUBSTITUTE(SUBSTITUTE(3キー同時!AK194," ",""),"　","")))</f>
        <v/>
      </c>
      <c r="H2238" s="2" t="str">
        <f aca="false">IF($G2238="","",3キー同時!$B$188)</f>
        <v/>
      </c>
      <c r="I2238" s="2" t="str">
        <f aca="false">IF($G2238="","",3キー同時!$G$188)</f>
        <v/>
      </c>
      <c r="J2238" s="2" t="str">
        <f aca="false">IF($G2238="","","k")</f>
        <v/>
      </c>
      <c r="K2238" s="2" t="str">
        <f aca="false">""</f>
        <v/>
      </c>
      <c r="L2238" s="2" t="str">
        <f aca="false">IF($G2238="","","同時")</f>
        <v/>
      </c>
      <c r="M2238" s="2" t="str">
        <f aca="false">IF($G2238="","",IF(ISNA(MATCH($G2238,個別指定!$A:$A,0)),"行なし",""))</f>
        <v/>
      </c>
      <c r="N2238" s="2" t="str">
        <f aca="false">IF($G2238="","",IF(COUNTIF($G$2:$G$4460,$G2238)&gt;1,"重複",""))</f>
        <v/>
      </c>
    </row>
    <row r="2239" customFormat="false" ht="16.5" hidden="false" customHeight="true" outlineLevel="0" collapsed="false">
      <c r="A2239" s="2" t="s">
        <v>416</v>
      </c>
      <c r="B2239" s="2" t="s">
        <v>431</v>
      </c>
      <c r="C2239" s="2" t="s">
        <v>32</v>
      </c>
      <c r="D2239" s="2" t="str">
        <f aca="false">IF(3キー同時!$B$188="","",3キー同時!$B$188)</f>
        <v>m</v>
      </c>
      <c r="E2239" s="2" t="str">
        <f aca="false">IF(3キー同時!$G$188="","",3キー同時!$G$188)</f>
        <v>l</v>
      </c>
      <c r="F2239" s="2" t="str">
        <f aca="false">""</f>
        <v/>
      </c>
      <c r="G2239" s="2" t="str">
        <f aca="false">IF(OR(3キー同時!$B$188="",3キー同時!$G$188=""),"",IF(3キー同時!AO194="","",SUBSTITUTE(SUBSTITUTE(3キー同時!AO194," ",""),"　","")))</f>
        <v/>
      </c>
      <c r="H2239" s="2" t="str">
        <f aca="false">IF($G2239="","",3キー同時!$B$188)</f>
        <v/>
      </c>
      <c r="I2239" s="2" t="str">
        <f aca="false">IF($G2239="","",3キー同時!$G$188)</f>
        <v/>
      </c>
      <c r="J2239" s="2" t="str">
        <f aca="false">IF($G2239="","","l")</f>
        <v/>
      </c>
      <c r="K2239" s="2" t="str">
        <f aca="false">""</f>
        <v/>
      </c>
      <c r="L2239" s="2" t="str">
        <f aca="false">IF($G2239="","","同時")</f>
        <v/>
      </c>
      <c r="M2239" s="2" t="str">
        <f aca="false">IF($G2239="","",IF(ISNA(MATCH($G2239,個別指定!$A:$A,0)),"行なし",""))</f>
        <v/>
      </c>
      <c r="N2239" s="2" t="str">
        <f aca="false">IF($G2239="","",IF(COUNTIF($G$2:$G$4460,$G2239)&gt;1,"重複",""))</f>
        <v/>
      </c>
    </row>
    <row r="2240" customFormat="false" ht="16.5" hidden="false" customHeight="true" outlineLevel="0" collapsed="false">
      <c r="A2240" s="2" t="s">
        <v>416</v>
      </c>
      <c r="B2240" s="2" t="s">
        <v>431</v>
      </c>
      <c r="C2240" s="2" t="s">
        <v>33</v>
      </c>
      <c r="D2240" s="2" t="str">
        <f aca="false">IF(3キー同時!$B$188="","",3キー同時!$B$188)</f>
        <v>m</v>
      </c>
      <c r="E2240" s="2" t="str">
        <f aca="false">IF(3キー同時!$G$188="","",3キー同時!$G$188)</f>
        <v>l</v>
      </c>
      <c r="F2240" s="2" t="str">
        <f aca="false">""</f>
        <v/>
      </c>
      <c r="G2240" s="2" t="str">
        <f aca="false">IF(OR(3キー同時!$B$188="",3キー同時!$G$188=""),"",IF(3キー同時!AS194="","",SUBSTITUTE(SUBSTITUTE(3キー同時!AS194," ",""),"　","")))</f>
        <v/>
      </c>
      <c r="H2240" s="2" t="str">
        <f aca="false">IF($G2240="","",3キー同時!$B$188)</f>
        <v/>
      </c>
      <c r="I2240" s="2" t="str">
        <f aca="false">IF($G2240="","",3キー同時!$G$188)</f>
        <v/>
      </c>
      <c r="J2240" s="2" t="str">
        <f aca="false">IF($G2240="","",";")</f>
        <v/>
      </c>
      <c r="K2240" s="2" t="str">
        <f aca="false">""</f>
        <v/>
      </c>
      <c r="L2240" s="2" t="str">
        <f aca="false">IF($G2240="","","同時")</f>
        <v/>
      </c>
      <c r="M2240" s="2" t="str">
        <f aca="false">IF($G2240="","",IF(ISNA(MATCH($G2240,個別指定!$A:$A,0)),"行なし",""))</f>
        <v/>
      </c>
      <c r="N2240" s="2" t="str">
        <f aca="false">IF($G2240="","",IF(COUNTIF($G$2:$G$4460,$G2240)&gt;1,"重複",""))</f>
        <v/>
      </c>
    </row>
    <row r="2241" customFormat="false" ht="16.5" hidden="false" customHeight="true" outlineLevel="0" collapsed="false">
      <c r="A2241" s="2" t="s">
        <v>416</v>
      </c>
      <c r="B2241" s="2" t="s">
        <v>431</v>
      </c>
      <c r="C2241" s="2" t="s">
        <v>34</v>
      </c>
      <c r="D2241" s="2" t="str">
        <f aca="false">IF(3キー同時!$B$188="","",3キー同時!$B$188)</f>
        <v>m</v>
      </c>
      <c r="E2241" s="2" t="str">
        <f aca="false">IF(3キー同時!$G$188="","",3キー同時!$G$188)</f>
        <v>l</v>
      </c>
      <c r="F2241" s="2" t="str">
        <f aca="false">""</f>
        <v/>
      </c>
      <c r="G2241" s="2" t="str">
        <f aca="false">IF(OR(3キー同時!$B$188="",3キー同時!$G$188=""),"",IF(3キー同時!AW194="","",SUBSTITUTE(SUBSTITUTE(3キー同時!AW194," ",""),"　","")))</f>
        <v/>
      </c>
      <c r="H2241" s="2" t="str">
        <f aca="false">IF($G2241="","",3キー同時!$B$188)</f>
        <v/>
      </c>
      <c r="I2241" s="2" t="str">
        <f aca="false">IF($G2241="","",3キー同時!$G$188)</f>
        <v/>
      </c>
      <c r="J2241" s="2" t="str">
        <f aca="false">IF($G2241="","","'")</f>
        <v/>
      </c>
      <c r="K2241" s="2" t="str">
        <f aca="false">""</f>
        <v/>
      </c>
      <c r="L2241" s="2" t="str">
        <f aca="false">IF($G2241="","","同時")</f>
        <v/>
      </c>
      <c r="M2241" s="2" t="str">
        <f aca="false">IF($G2241="","",IF(ISNA(MATCH($G2241,個別指定!$A:$A,0)),"行なし",""))</f>
        <v/>
      </c>
      <c r="N2241" s="2" t="str">
        <f aca="false">IF($G2241="","",IF(COUNTIF($G$2:$G$4460,$G2241)&gt;1,"重複",""))</f>
        <v/>
      </c>
    </row>
    <row r="2242" customFormat="false" ht="16.5" hidden="false" customHeight="true" outlineLevel="0" collapsed="false">
      <c r="A2242" s="2" t="s">
        <v>416</v>
      </c>
      <c r="B2242" s="2" t="s">
        <v>431</v>
      </c>
      <c r="C2242" s="2" t="s">
        <v>35</v>
      </c>
      <c r="D2242" s="2" t="str">
        <f aca="false">IF(3キー同時!$B$188="","",3キー同時!$B$188)</f>
        <v>m</v>
      </c>
      <c r="E2242" s="2" t="str">
        <f aca="false">IF(3キー同時!$G$188="","",3キー同時!$G$188)</f>
        <v>l</v>
      </c>
      <c r="F2242" s="2" t="str">
        <f aca="false">""</f>
        <v/>
      </c>
      <c r="G2242" s="2" t="str">
        <f aca="false">IF(OR(3キー同時!$B$188="",3キー同時!$G$188=""),"",IF(3キー同時!K196="","",SUBSTITUTE(SUBSTITUTE(3キー同時!K196," ",""),"　","")))</f>
        <v/>
      </c>
      <c r="H2242" s="2" t="str">
        <f aca="false">IF($G2242="","",3キー同時!$B$188)</f>
        <v/>
      </c>
      <c r="I2242" s="2" t="str">
        <f aca="false">IF($G2242="","",3キー同時!$G$188)</f>
        <v/>
      </c>
      <c r="J2242" s="2" t="str">
        <f aca="false">IF($G2242="","","z")</f>
        <v/>
      </c>
      <c r="K2242" s="2" t="str">
        <f aca="false">""</f>
        <v/>
      </c>
      <c r="L2242" s="2" t="str">
        <f aca="false">IF($G2242="","","同時")</f>
        <v/>
      </c>
      <c r="M2242" s="2" t="str">
        <f aca="false">IF($G2242="","",IF(ISNA(MATCH($G2242,個別指定!$A:$A,0)),"行なし",""))</f>
        <v/>
      </c>
      <c r="N2242" s="2" t="str">
        <f aca="false">IF($G2242="","",IF(COUNTIF($G$2:$G$4460,$G2242)&gt;1,"重複",""))</f>
        <v/>
      </c>
    </row>
    <row r="2243" customFormat="false" ht="16.5" hidden="false" customHeight="true" outlineLevel="0" collapsed="false">
      <c r="A2243" s="2" t="s">
        <v>416</v>
      </c>
      <c r="B2243" s="2" t="s">
        <v>431</v>
      </c>
      <c r="C2243" s="2" t="s">
        <v>36</v>
      </c>
      <c r="D2243" s="2" t="str">
        <f aca="false">IF(3キー同時!$B$188="","",3キー同時!$B$188)</f>
        <v>m</v>
      </c>
      <c r="E2243" s="2" t="str">
        <f aca="false">IF(3キー同時!$G$188="","",3キー同時!$G$188)</f>
        <v>l</v>
      </c>
      <c r="F2243" s="2" t="str">
        <f aca="false">""</f>
        <v/>
      </c>
      <c r="G2243" s="2" t="str">
        <f aca="false">IF(OR(3キー同時!$B$188="",3キー同時!$G$188=""),"",IF(3キー同時!O196="","",SUBSTITUTE(SUBSTITUTE(3キー同時!O196," ",""),"　","")))</f>
        <v/>
      </c>
      <c r="H2243" s="2" t="str">
        <f aca="false">IF($G2243="","",3キー同時!$B$188)</f>
        <v/>
      </c>
      <c r="I2243" s="2" t="str">
        <f aca="false">IF($G2243="","",3キー同時!$G$188)</f>
        <v/>
      </c>
      <c r="J2243" s="2" t="str">
        <f aca="false">IF($G2243="","","x")</f>
        <v/>
      </c>
      <c r="K2243" s="2" t="str">
        <f aca="false">""</f>
        <v/>
      </c>
      <c r="L2243" s="2" t="str">
        <f aca="false">IF($G2243="","","同時")</f>
        <v/>
      </c>
      <c r="M2243" s="2" t="str">
        <f aca="false">IF($G2243="","",IF(ISNA(MATCH($G2243,個別指定!$A:$A,0)),"行なし",""))</f>
        <v/>
      </c>
      <c r="N2243" s="2" t="str">
        <f aca="false">IF($G2243="","",IF(COUNTIF($G$2:$G$4460,$G2243)&gt;1,"重複",""))</f>
        <v/>
      </c>
    </row>
    <row r="2244" customFormat="false" ht="16.5" hidden="false" customHeight="true" outlineLevel="0" collapsed="false">
      <c r="A2244" s="2" t="s">
        <v>416</v>
      </c>
      <c r="B2244" s="2" t="s">
        <v>431</v>
      </c>
      <c r="C2244" s="2" t="s">
        <v>37</v>
      </c>
      <c r="D2244" s="2" t="str">
        <f aca="false">IF(3キー同時!$B$188="","",3キー同時!$B$188)</f>
        <v>m</v>
      </c>
      <c r="E2244" s="2" t="str">
        <f aca="false">IF(3キー同時!$G$188="","",3キー同時!$G$188)</f>
        <v>l</v>
      </c>
      <c r="F2244" s="2" t="str">
        <f aca="false">""</f>
        <v/>
      </c>
      <c r="G2244" s="2" t="str">
        <f aca="false">IF(OR(3キー同時!$B$188="",3キー同時!$G$188=""),"",IF(3キー同時!S196="","",SUBSTITUTE(SUBSTITUTE(3キー同時!S196," ",""),"　","")))</f>
        <v/>
      </c>
      <c r="H2244" s="2" t="str">
        <f aca="false">IF($G2244="","",3キー同時!$B$188)</f>
        <v/>
      </c>
      <c r="I2244" s="2" t="str">
        <f aca="false">IF($G2244="","",3キー同時!$G$188)</f>
        <v/>
      </c>
      <c r="J2244" s="2" t="str">
        <f aca="false">IF($G2244="","","c")</f>
        <v/>
      </c>
      <c r="K2244" s="2" t="str">
        <f aca="false">""</f>
        <v/>
      </c>
      <c r="L2244" s="2" t="str">
        <f aca="false">IF($G2244="","","同時")</f>
        <v/>
      </c>
      <c r="M2244" s="2" t="str">
        <f aca="false">IF($G2244="","",IF(ISNA(MATCH($G2244,個別指定!$A:$A,0)),"行なし",""))</f>
        <v/>
      </c>
      <c r="N2244" s="2" t="str">
        <f aca="false">IF($G2244="","",IF(COUNTIF($G$2:$G$4460,$G2244)&gt;1,"重複",""))</f>
        <v/>
      </c>
    </row>
    <row r="2245" customFormat="false" ht="16.5" hidden="false" customHeight="true" outlineLevel="0" collapsed="false">
      <c r="A2245" s="2" t="s">
        <v>416</v>
      </c>
      <c r="B2245" s="2" t="s">
        <v>431</v>
      </c>
      <c r="C2245" s="2" t="s">
        <v>38</v>
      </c>
      <c r="D2245" s="2" t="str">
        <f aca="false">IF(3キー同時!$B$188="","",3キー同時!$B$188)</f>
        <v>m</v>
      </c>
      <c r="E2245" s="2" t="str">
        <f aca="false">IF(3キー同時!$G$188="","",3キー同時!$G$188)</f>
        <v>l</v>
      </c>
      <c r="F2245" s="2" t="str">
        <f aca="false">""</f>
        <v/>
      </c>
      <c r="G2245" s="2" t="str">
        <f aca="false">IF(OR(3キー同時!$B$188="",3キー同時!$G$188=""),"",IF(3キー同時!W196="","",SUBSTITUTE(SUBSTITUTE(3キー同時!W196," ",""),"　","")))</f>
        <v/>
      </c>
      <c r="H2245" s="2" t="str">
        <f aca="false">IF($G2245="","",3キー同時!$B$188)</f>
        <v/>
      </c>
      <c r="I2245" s="2" t="str">
        <f aca="false">IF($G2245="","",3キー同時!$G$188)</f>
        <v/>
      </c>
      <c r="J2245" s="2" t="str">
        <f aca="false">IF($G2245="","","v")</f>
        <v/>
      </c>
      <c r="K2245" s="2" t="str">
        <f aca="false">""</f>
        <v/>
      </c>
      <c r="L2245" s="2" t="str">
        <f aca="false">IF($G2245="","","同時")</f>
        <v/>
      </c>
      <c r="M2245" s="2" t="str">
        <f aca="false">IF($G2245="","",IF(ISNA(MATCH($G2245,個別指定!$A:$A,0)),"行なし",""))</f>
        <v/>
      </c>
      <c r="N2245" s="2" t="str">
        <f aca="false">IF($G2245="","",IF(COUNTIF($G$2:$G$4460,$G2245)&gt;1,"重複",""))</f>
        <v/>
      </c>
    </row>
    <row r="2246" customFormat="false" ht="16.5" hidden="false" customHeight="true" outlineLevel="0" collapsed="false">
      <c r="A2246" s="2" t="s">
        <v>416</v>
      </c>
      <c r="B2246" s="2" t="s">
        <v>431</v>
      </c>
      <c r="C2246" s="2" t="s">
        <v>39</v>
      </c>
      <c r="D2246" s="2" t="str">
        <f aca="false">IF(3キー同時!$B$188="","",3キー同時!$B$188)</f>
        <v>m</v>
      </c>
      <c r="E2246" s="2" t="str">
        <f aca="false">IF(3キー同時!$G$188="","",3キー同時!$G$188)</f>
        <v>l</v>
      </c>
      <c r="F2246" s="2" t="str">
        <f aca="false">""</f>
        <v/>
      </c>
      <c r="G2246" s="2" t="str">
        <f aca="false">IF(OR(3キー同時!$B$188="",3キー同時!$G$188=""),"",IF(3キー同時!AA196="","",SUBSTITUTE(SUBSTITUTE(3キー同時!AA196," ",""),"　","")))</f>
        <v/>
      </c>
      <c r="H2246" s="2" t="str">
        <f aca="false">IF($G2246="","",3キー同時!$B$188)</f>
        <v/>
      </c>
      <c r="I2246" s="2" t="str">
        <f aca="false">IF($G2246="","",3キー同時!$G$188)</f>
        <v/>
      </c>
      <c r="J2246" s="2" t="str">
        <f aca="false">IF($G2246="","","b")</f>
        <v/>
      </c>
      <c r="K2246" s="2" t="str">
        <f aca="false">""</f>
        <v/>
      </c>
      <c r="L2246" s="2" t="str">
        <f aca="false">IF($G2246="","","同時")</f>
        <v/>
      </c>
      <c r="M2246" s="2" t="str">
        <f aca="false">IF($G2246="","",IF(ISNA(MATCH($G2246,個別指定!$A:$A,0)),"行なし",""))</f>
        <v/>
      </c>
      <c r="N2246" s="2" t="str">
        <f aca="false">IF($G2246="","",IF(COUNTIF($G$2:$G$4460,$G2246)&gt;1,"重複",""))</f>
        <v/>
      </c>
    </row>
    <row r="2247" customFormat="false" ht="16.5" hidden="false" customHeight="true" outlineLevel="0" collapsed="false">
      <c r="A2247" s="2" t="s">
        <v>416</v>
      </c>
      <c r="B2247" s="2" t="s">
        <v>431</v>
      </c>
      <c r="C2247" s="2" t="s">
        <v>40</v>
      </c>
      <c r="D2247" s="2" t="str">
        <f aca="false">IF(3キー同時!$B$188="","",3キー同時!$B$188)</f>
        <v>m</v>
      </c>
      <c r="E2247" s="2" t="str">
        <f aca="false">IF(3キー同時!$G$188="","",3キー同時!$G$188)</f>
        <v>l</v>
      </c>
      <c r="F2247" s="2" t="str">
        <f aca="false">""</f>
        <v/>
      </c>
      <c r="G2247" s="2" t="str">
        <f aca="false">IF(OR(3キー同時!$B$188="",3キー同時!$G$188=""),"",IF(3キー同時!AE196="","",SUBSTITUTE(SUBSTITUTE(3キー同時!AE196," ",""),"　","")))</f>
        <v/>
      </c>
      <c r="H2247" s="2" t="str">
        <f aca="false">IF($G2247="","",3キー同時!$B$188)</f>
        <v/>
      </c>
      <c r="I2247" s="2" t="str">
        <f aca="false">IF($G2247="","",3キー同時!$G$188)</f>
        <v/>
      </c>
      <c r="J2247" s="2" t="str">
        <f aca="false">IF($G2247="","","n")</f>
        <v/>
      </c>
      <c r="K2247" s="2" t="str">
        <f aca="false">""</f>
        <v/>
      </c>
      <c r="L2247" s="2" t="str">
        <f aca="false">IF($G2247="","","同時")</f>
        <v/>
      </c>
      <c r="M2247" s="2" t="str">
        <f aca="false">IF($G2247="","",IF(ISNA(MATCH($G2247,個別指定!$A:$A,0)),"行なし",""))</f>
        <v/>
      </c>
      <c r="N2247" s="2" t="str">
        <f aca="false">IF($G2247="","",IF(COUNTIF($G$2:$G$4460,$G2247)&gt;1,"重複",""))</f>
        <v/>
      </c>
    </row>
    <row r="2248" customFormat="false" ht="16.5" hidden="false" customHeight="true" outlineLevel="0" collapsed="false">
      <c r="A2248" s="2" t="s">
        <v>416</v>
      </c>
      <c r="B2248" s="2" t="s">
        <v>431</v>
      </c>
      <c r="C2248" s="2" t="s">
        <v>41</v>
      </c>
      <c r="D2248" s="2" t="str">
        <f aca="false">IF(3キー同時!$B$188="","",3キー同時!$B$188)</f>
        <v>m</v>
      </c>
      <c r="E2248" s="2" t="str">
        <f aca="false">IF(3キー同時!$G$188="","",3キー同時!$G$188)</f>
        <v>l</v>
      </c>
      <c r="F2248" s="2" t="str">
        <f aca="false">""</f>
        <v/>
      </c>
      <c r="G2248" s="2" t="str">
        <f aca="false">IF(OR(3キー同時!$B$188="",3キー同時!$G$188=""),"",IF(3キー同時!AI196="","",SUBSTITUTE(SUBSTITUTE(3キー同時!AI196," ",""),"　","")))</f>
        <v/>
      </c>
      <c r="H2248" s="2" t="str">
        <f aca="false">IF($G2248="","",3キー同時!$B$188)</f>
        <v/>
      </c>
      <c r="I2248" s="2" t="str">
        <f aca="false">IF($G2248="","",3キー同時!$G$188)</f>
        <v/>
      </c>
      <c r="J2248" s="2" t="str">
        <f aca="false">IF($G2248="","","m")</f>
        <v/>
      </c>
      <c r="K2248" s="2" t="str">
        <f aca="false">""</f>
        <v/>
      </c>
      <c r="L2248" s="2" t="str">
        <f aca="false">IF($G2248="","","同時")</f>
        <v/>
      </c>
      <c r="M2248" s="2" t="str">
        <f aca="false">IF($G2248="","",IF(ISNA(MATCH($G2248,個別指定!$A:$A,0)),"行なし",""))</f>
        <v/>
      </c>
      <c r="N2248" s="2" t="str">
        <f aca="false">IF($G2248="","",IF(COUNTIF($G$2:$G$4460,$G2248)&gt;1,"重複",""))</f>
        <v/>
      </c>
    </row>
    <row r="2249" customFormat="false" ht="16.5" hidden="false" customHeight="true" outlineLevel="0" collapsed="false">
      <c r="A2249" s="2" t="s">
        <v>416</v>
      </c>
      <c r="B2249" s="2" t="s">
        <v>431</v>
      </c>
      <c r="C2249" s="2" t="s">
        <v>42</v>
      </c>
      <c r="D2249" s="2" t="str">
        <f aca="false">IF(3キー同時!$B$188="","",3キー同時!$B$188)</f>
        <v>m</v>
      </c>
      <c r="E2249" s="2" t="str">
        <f aca="false">IF(3キー同時!$G$188="","",3キー同時!$G$188)</f>
        <v>l</v>
      </c>
      <c r="F2249" s="2" t="str">
        <f aca="false">""</f>
        <v/>
      </c>
      <c r="G2249" s="2" t="str">
        <f aca="false">IF(OR(3キー同時!$B$188="",3キー同時!$G$188=""),"",IF(3キー同時!AM196="","",SUBSTITUTE(SUBSTITUTE(3キー同時!AM196," ",""),"　","")))</f>
        <v/>
      </c>
      <c r="H2249" s="2" t="str">
        <f aca="false">IF($G2249="","",3キー同時!$B$188)</f>
        <v/>
      </c>
      <c r="I2249" s="2" t="str">
        <f aca="false">IF($G2249="","",3キー同時!$G$188)</f>
        <v/>
      </c>
      <c r="J2249" s="2" t="str">
        <f aca="false">IF($G2249="","",",")</f>
        <v/>
      </c>
      <c r="K2249" s="2" t="str">
        <f aca="false">""</f>
        <v/>
      </c>
      <c r="L2249" s="2" t="str">
        <f aca="false">IF($G2249="","","同時")</f>
        <v/>
      </c>
      <c r="M2249" s="2" t="str">
        <f aca="false">IF($G2249="","",IF(ISNA(MATCH($G2249,個別指定!$A:$A,0)),"行なし",""))</f>
        <v/>
      </c>
      <c r="N2249" s="2" t="str">
        <f aca="false">IF($G2249="","",IF(COUNTIF($G$2:$G$4460,$G2249)&gt;1,"重複",""))</f>
        <v/>
      </c>
    </row>
    <row r="2250" customFormat="false" ht="16.5" hidden="false" customHeight="true" outlineLevel="0" collapsed="false">
      <c r="A2250" s="2" t="s">
        <v>416</v>
      </c>
      <c r="B2250" s="2" t="s">
        <v>431</v>
      </c>
      <c r="C2250" s="2" t="s">
        <v>43</v>
      </c>
      <c r="D2250" s="2" t="str">
        <f aca="false">IF(3キー同時!$B$188="","",3キー同時!$B$188)</f>
        <v>m</v>
      </c>
      <c r="E2250" s="2" t="str">
        <f aca="false">IF(3キー同時!$G$188="","",3キー同時!$G$188)</f>
        <v>l</v>
      </c>
      <c r="F2250" s="2" t="str">
        <f aca="false">""</f>
        <v/>
      </c>
      <c r="G2250" s="2" t="str">
        <f aca="false">IF(OR(3キー同時!$B$188="",3キー同時!$G$188=""),"",IF(3キー同時!AQ196="","",SUBSTITUTE(SUBSTITUTE(3キー同時!AQ196," ",""),"　","")))</f>
        <v/>
      </c>
      <c r="H2250" s="2" t="str">
        <f aca="false">IF($G2250="","",3キー同時!$B$188)</f>
        <v/>
      </c>
      <c r="I2250" s="2" t="str">
        <f aca="false">IF($G2250="","",3キー同時!$G$188)</f>
        <v/>
      </c>
      <c r="J2250" s="2" t="str">
        <f aca="false">IF($G2250="","",".")</f>
        <v/>
      </c>
      <c r="K2250" s="2" t="str">
        <f aca="false">""</f>
        <v/>
      </c>
      <c r="L2250" s="2" t="str">
        <f aca="false">IF($G2250="","","同時")</f>
        <v/>
      </c>
      <c r="M2250" s="2" t="str">
        <f aca="false">IF($G2250="","",IF(ISNA(MATCH($G2250,個別指定!$A:$A,0)),"行なし",""))</f>
        <v/>
      </c>
      <c r="N2250" s="2" t="str">
        <f aca="false">IF($G2250="","",IF(COUNTIF($G$2:$G$4460,$G2250)&gt;1,"重複",""))</f>
        <v/>
      </c>
    </row>
    <row r="2251" customFormat="false" ht="16.5" hidden="false" customHeight="true" outlineLevel="0" collapsed="false">
      <c r="A2251" s="2" t="s">
        <v>416</v>
      </c>
      <c r="B2251" s="2" t="s">
        <v>431</v>
      </c>
      <c r="C2251" s="2" t="s">
        <v>44</v>
      </c>
      <c r="D2251" s="2" t="str">
        <f aca="false">IF(3キー同時!$B$188="","",3キー同時!$B$188)</f>
        <v>m</v>
      </c>
      <c r="E2251" s="2" t="str">
        <f aca="false">IF(3キー同時!$G$188="","",3キー同時!$G$188)</f>
        <v>l</v>
      </c>
      <c r="F2251" s="2" t="str">
        <f aca="false">""</f>
        <v/>
      </c>
      <c r="G2251" s="2" t="str">
        <f aca="false">IF(OR(3キー同時!$B$188="",3キー同時!$G$188=""),"",IF(3キー同時!AU196="","",SUBSTITUTE(SUBSTITUTE(3キー同時!AU196," ",""),"　","")))</f>
        <v/>
      </c>
      <c r="H2251" s="2" t="str">
        <f aca="false">IF($G2251="","",3キー同時!$B$188)</f>
        <v/>
      </c>
      <c r="I2251" s="2" t="str">
        <f aca="false">IF($G2251="","",3キー同時!$G$188)</f>
        <v/>
      </c>
      <c r="J2251" s="2" t="str">
        <f aca="false">IF($G2251="","","/")</f>
        <v/>
      </c>
      <c r="K2251" s="2" t="str">
        <f aca="false">""</f>
        <v/>
      </c>
      <c r="L2251" s="2" t="str">
        <f aca="false">IF($G2251="","","同時")</f>
        <v/>
      </c>
      <c r="M2251" s="2" t="str">
        <f aca="false">IF($G2251="","",IF(ISNA(MATCH($G2251,個別指定!$A:$A,0)),"行なし",""))</f>
        <v/>
      </c>
      <c r="N2251" s="2" t="str">
        <f aca="false">IF($G2251="","",IF(COUNTIF($G$2:$G$4460,$G2251)&gt;1,"重複",""))</f>
        <v/>
      </c>
    </row>
    <row r="2252" customFormat="false" ht="16.5" hidden="false" customHeight="true" outlineLevel="0" collapsed="false">
      <c r="A2252" s="2" t="s">
        <v>416</v>
      </c>
      <c r="B2252" s="2" t="s">
        <v>431</v>
      </c>
      <c r="C2252" s="2" t="s">
        <v>48</v>
      </c>
      <c r="D2252" s="2" t="str">
        <f aca="false">IF(3キー同時!$B$188="","",3キー同時!$B$188)</f>
        <v>m</v>
      </c>
      <c r="E2252" s="2" t="str">
        <f aca="false">IF(3キー同時!$G$188="","",3キー同時!$G$188)</f>
        <v>l</v>
      </c>
      <c r="F2252" s="2" t="str">
        <f aca="false">""</f>
        <v/>
      </c>
      <c r="G2252" s="2" t="str">
        <f aca="false">IF(OR(3キー同時!$B$188="",3キー同時!$G$188=""),"",IF(3キー同時!P198="","",SUBSTITUTE(SUBSTITUTE(3キー同時!P198," ",""),"　","")))</f>
        <v/>
      </c>
      <c r="H2252" s="2" t="str">
        <f aca="false">IF($G2252="","",3キー同時!$B$188)</f>
        <v/>
      </c>
      <c r="I2252" s="2" t="str">
        <f aca="false">IF($G2252="","",3キー同時!$G$188)</f>
        <v/>
      </c>
      <c r="J2252" s="2" t="str">
        <f aca="false">IF($G2252="","","muhenkan")</f>
        <v/>
      </c>
      <c r="K2252" s="2" t="str">
        <f aca="false">""</f>
        <v/>
      </c>
      <c r="L2252" s="2" t="str">
        <f aca="false">IF($G2252="","","同時")</f>
        <v/>
      </c>
      <c r="M2252" s="2" t="str">
        <f aca="false">IF($G2252="","",IF(ISNA(MATCH($G2252,個別指定!$A:$A,0)),"行なし",""))</f>
        <v/>
      </c>
      <c r="N2252" s="2" t="str">
        <f aca="false">IF($G2252="","",IF(COUNTIF($G$2:$G$4460,$G2252)&gt;1,"重複",""))</f>
        <v/>
      </c>
    </row>
    <row r="2253" customFormat="false" ht="16.5" hidden="false" customHeight="true" outlineLevel="0" collapsed="false">
      <c r="A2253" s="2" t="s">
        <v>416</v>
      </c>
      <c r="B2253" s="2" t="s">
        <v>431</v>
      </c>
      <c r="C2253" s="2" t="s">
        <v>50</v>
      </c>
      <c r="D2253" s="2" t="str">
        <f aca="false">IF(3キー同時!$B$188="","",3キー同時!$B$188)</f>
        <v>m</v>
      </c>
      <c r="E2253" s="2" t="str">
        <f aca="false">IF(3キー同時!$G$188="","",3キー同時!$G$188)</f>
        <v>l</v>
      </c>
      <c r="F2253" s="2" t="str">
        <f aca="false">""</f>
        <v/>
      </c>
      <c r="G2253" s="2" t="str">
        <f aca="false">IF(OR(3キー同時!$B$188="",3キー同時!$G$188=""),"",IF(3キー同時!T198="","",SUBSTITUTE(SUBSTITUTE(3キー同時!T198," ",""),"　","")))</f>
        <v/>
      </c>
      <c r="H2253" s="2" t="str">
        <f aca="false">IF($G2253="","",3キー同時!$B$188)</f>
        <v/>
      </c>
      <c r="I2253" s="2" t="str">
        <f aca="false">IF($G2253="","",3キー同時!$G$188)</f>
        <v/>
      </c>
      <c r="J2253" s="2" t="str">
        <f aca="false">IF($G2253="","","space")</f>
        <v/>
      </c>
      <c r="K2253" s="2" t="str">
        <f aca="false">""</f>
        <v/>
      </c>
      <c r="L2253" s="2" t="str">
        <f aca="false">IF($G2253="","","同時")</f>
        <v/>
      </c>
      <c r="M2253" s="2" t="str">
        <f aca="false">IF($G2253="","",IF(ISNA(MATCH($G2253,個別指定!$A:$A,0)),"行なし",""))</f>
        <v/>
      </c>
      <c r="N2253" s="2" t="str">
        <f aca="false">IF($G2253="","",IF(COUNTIF($G$2:$G$4460,$G2253)&gt;1,"重複",""))</f>
        <v/>
      </c>
    </row>
    <row r="2254" customFormat="false" ht="16.5" hidden="false" customHeight="true" outlineLevel="0" collapsed="false">
      <c r="A2254" s="2" t="s">
        <v>416</v>
      </c>
      <c r="B2254" s="2" t="s">
        <v>431</v>
      </c>
      <c r="C2254" s="2" t="s">
        <v>45</v>
      </c>
      <c r="D2254" s="2" t="str">
        <f aca="false">IF(3キー同時!$B$188="","",3キー同時!$B$188)</f>
        <v>m</v>
      </c>
      <c r="E2254" s="2" t="str">
        <f aca="false">IF(3キー同時!$G$188="","",3キー同時!$G$188)</f>
        <v>l</v>
      </c>
      <c r="F2254" s="2" t="str">
        <f aca="false">""</f>
        <v/>
      </c>
      <c r="G2254" s="2" t="str">
        <f aca="false">IF(OR(3キー同時!$B$188="",3キー同時!$G$188=""),"",IF(3キー同時!AL198="","",SUBSTITUTE(SUBSTITUTE(3キー同時!AL198," ",""),"　","")))</f>
        <v/>
      </c>
      <c r="H2254" s="2" t="str">
        <f aca="false">IF($G2254="","",3キー同時!$B$188)</f>
        <v/>
      </c>
      <c r="I2254" s="2" t="str">
        <f aca="false">IF($G2254="","",3キー同時!$G$188)</f>
        <v/>
      </c>
      <c r="J2254" s="2" t="str">
        <f aca="false">IF($G2254="","","henkan")</f>
        <v/>
      </c>
      <c r="K2254" s="2" t="str">
        <f aca="false">""</f>
        <v/>
      </c>
      <c r="L2254" s="2" t="str">
        <f aca="false">IF($G2254="","","同時")</f>
        <v/>
      </c>
      <c r="M2254" s="2" t="str">
        <f aca="false">IF($G2254="","",IF(ISNA(MATCH($G2254,個別指定!$A:$A,0)),"行なし",""))</f>
        <v/>
      </c>
      <c r="N2254" s="2" t="str">
        <f aca="false">IF($G2254="","",IF(COUNTIF($G$2:$G$4460,$G2254)&gt;1,"重複",""))</f>
        <v/>
      </c>
    </row>
    <row r="2255" customFormat="false" ht="16.5" hidden="false" customHeight="true" outlineLevel="0" collapsed="false">
      <c r="A2255" s="2" t="s">
        <v>416</v>
      </c>
      <c r="B2255" s="2" t="s">
        <v>431</v>
      </c>
      <c r="C2255" s="2" t="s">
        <v>46</v>
      </c>
      <c r="D2255" s="2" t="str">
        <f aca="false">IF(3キー同時!$B$188="","",3キー同時!$B$188)</f>
        <v>m</v>
      </c>
      <c r="E2255" s="2" t="str">
        <f aca="false">IF(3キー同時!$G$188="","",3キー同時!$G$188)</f>
        <v>l</v>
      </c>
      <c r="F2255" s="2" t="str">
        <f aca="false">""</f>
        <v/>
      </c>
      <c r="G2255" s="2" t="str">
        <f aca="false">IF(OR(3キー同時!$B$188="",3キー同時!$G$188=""),"",IF(3キー同時!AP198="","",SUBSTITUTE(SUBSTITUTE(3キー同時!AP198," ",""),"　","")))</f>
        <v/>
      </c>
      <c r="H2255" s="2" t="str">
        <f aca="false">IF($G2255="","",3キー同時!$B$188)</f>
        <v/>
      </c>
      <c r="I2255" s="2" t="str">
        <f aca="false">IF($G2255="","",3キー同時!$G$188)</f>
        <v/>
      </c>
      <c r="J2255" s="2" t="str">
        <f aca="false">IF($G2255="","","kana")</f>
        <v/>
      </c>
      <c r="K2255" s="2" t="str">
        <f aca="false">""</f>
        <v/>
      </c>
      <c r="L2255" s="2" t="str">
        <f aca="false">IF($G2255="","","同時")</f>
        <v/>
      </c>
      <c r="M2255" s="2" t="str">
        <f aca="false">IF($G2255="","",IF(ISNA(MATCH($G2255,個別指定!$A:$A,0)),"行なし",""))</f>
        <v/>
      </c>
      <c r="N2255" s="2" t="str">
        <f aca="false">IF($G2255="","",IF(COUNTIF($G$2:$G$4460,$G2255)&gt;1,"重複",""))</f>
        <v/>
      </c>
    </row>
    <row r="2256" customFormat="false" ht="16.5" hidden="false" customHeight="true" outlineLevel="0" collapsed="false">
      <c r="A2256" s="2" t="s">
        <v>416</v>
      </c>
      <c r="B2256" s="2" t="s">
        <v>432</v>
      </c>
      <c r="C2256" s="2" t="s">
        <v>0</v>
      </c>
      <c r="D2256" s="2" t="str">
        <f aca="false">IF(3キー同時!$B$201="","",3キー同時!$B$201)</f>
        <v>v</v>
      </c>
      <c r="E2256" s="2" t="str">
        <f aca="false">IF(3キー同時!$G$201="","",3キー同時!$G$201)</f>
        <v>n</v>
      </c>
      <c r="F2256" s="2" t="str">
        <f aca="false">""</f>
        <v/>
      </c>
      <c r="G2256" s="2" t="str">
        <f aca="false">IF(OR(3キー同時!$B$201="",3キー同時!$G$201=""),"",IF(3キー同時!F203="","",SUBSTITUTE(SUBSTITUTE(3キー同時!F203," ",""),"　","")))</f>
        <v/>
      </c>
      <c r="H2256" s="2" t="str">
        <f aca="false">IF($G2256="","",3キー同時!$B$201)</f>
        <v/>
      </c>
      <c r="I2256" s="2" t="str">
        <f aca="false">IF($G2256="","",3キー同時!$G$201)</f>
        <v/>
      </c>
      <c r="J2256" s="2" t="str">
        <f aca="false">IF($G2256="","","1")</f>
        <v/>
      </c>
      <c r="K2256" s="2" t="str">
        <f aca="false">""</f>
        <v/>
      </c>
      <c r="L2256" s="2" t="str">
        <f aca="false">IF($G2256="","","同時")</f>
        <v/>
      </c>
      <c r="M2256" s="2" t="str">
        <f aca="false">IF($G2256="","",IF(ISNA(MATCH($G2256,個別指定!$A:$A,0)),"行なし",""))</f>
        <v/>
      </c>
      <c r="N2256" s="2" t="str">
        <f aca="false">IF($G2256="","",IF(COUNTIF($G$2:$G$4460,$G2256)&gt;1,"重複",""))</f>
        <v/>
      </c>
    </row>
    <row r="2257" customFormat="false" ht="16.5" hidden="false" customHeight="true" outlineLevel="0" collapsed="false">
      <c r="A2257" s="2" t="s">
        <v>416</v>
      </c>
      <c r="B2257" s="2" t="s">
        <v>432</v>
      </c>
      <c r="C2257" s="2" t="s">
        <v>1</v>
      </c>
      <c r="D2257" s="2" t="str">
        <f aca="false">IF(3キー同時!$B$201="","",3キー同時!$B$201)</f>
        <v>v</v>
      </c>
      <c r="E2257" s="2" t="str">
        <f aca="false">IF(3キー同時!$G$201="","",3キー同時!$G$201)</f>
        <v>n</v>
      </c>
      <c r="F2257" s="2" t="str">
        <f aca="false">""</f>
        <v/>
      </c>
      <c r="G2257" s="2" t="str">
        <f aca="false">IF(OR(3キー同時!$B$201="",3キー同時!$G$201=""),"",IF(3キー同時!J203="","",SUBSTITUTE(SUBSTITUTE(3キー同時!J203," ",""),"　","")))</f>
        <v/>
      </c>
      <c r="H2257" s="2" t="str">
        <f aca="false">IF($G2257="","",3キー同時!$B$201)</f>
        <v/>
      </c>
      <c r="I2257" s="2" t="str">
        <f aca="false">IF($G2257="","",3キー同時!$G$201)</f>
        <v/>
      </c>
      <c r="J2257" s="2" t="str">
        <f aca="false">IF($G2257="","","2")</f>
        <v/>
      </c>
      <c r="K2257" s="2" t="str">
        <f aca="false">""</f>
        <v/>
      </c>
      <c r="L2257" s="2" t="str">
        <f aca="false">IF($G2257="","","同時")</f>
        <v/>
      </c>
      <c r="M2257" s="2" t="str">
        <f aca="false">IF($G2257="","",IF(ISNA(MATCH($G2257,個別指定!$A:$A,0)),"行なし",""))</f>
        <v/>
      </c>
      <c r="N2257" s="2" t="str">
        <f aca="false">IF($G2257="","",IF(COUNTIF($G$2:$G$4460,$G2257)&gt;1,"重複",""))</f>
        <v/>
      </c>
    </row>
    <row r="2258" customFormat="false" ht="16.5" hidden="false" customHeight="true" outlineLevel="0" collapsed="false">
      <c r="A2258" s="2" t="s">
        <v>416</v>
      </c>
      <c r="B2258" s="2" t="s">
        <v>432</v>
      </c>
      <c r="C2258" s="2" t="s">
        <v>2</v>
      </c>
      <c r="D2258" s="2" t="str">
        <f aca="false">IF(3キー同時!$B$201="","",3キー同時!$B$201)</f>
        <v>v</v>
      </c>
      <c r="E2258" s="2" t="str">
        <f aca="false">IF(3キー同時!$G$201="","",3キー同時!$G$201)</f>
        <v>n</v>
      </c>
      <c r="F2258" s="2" t="str">
        <f aca="false">""</f>
        <v/>
      </c>
      <c r="G2258" s="2" t="str">
        <f aca="false">IF(OR(3キー同時!$B$201="",3キー同時!$G$201=""),"",IF(3キー同時!N203="","",SUBSTITUTE(SUBSTITUTE(3キー同時!N203," ",""),"　","")))</f>
        <v/>
      </c>
      <c r="H2258" s="2" t="str">
        <f aca="false">IF($G2258="","",3キー同時!$B$201)</f>
        <v/>
      </c>
      <c r="I2258" s="2" t="str">
        <f aca="false">IF($G2258="","",3キー同時!$G$201)</f>
        <v/>
      </c>
      <c r="J2258" s="2" t="str">
        <f aca="false">IF($G2258="","","3")</f>
        <v/>
      </c>
      <c r="K2258" s="2" t="str">
        <f aca="false">""</f>
        <v/>
      </c>
      <c r="L2258" s="2" t="str">
        <f aca="false">IF($G2258="","","同時")</f>
        <v/>
      </c>
      <c r="M2258" s="2" t="str">
        <f aca="false">IF($G2258="","",IF(ISNA(MATCH($G2258,個別指定!$A:$A,0)),"行なし",""))</f>
        <v/>
      </c>
      <c r="N2258" s="2" t="str">
        <f aca="false">IF($G2258="","",IF(COUNTIF($G$2:$G$4460,$G2258)&gt;1,"重複",""))</f>
        <v/>
      </c>
    </row>
    <row r="2259" customFormat="false" ht="16.5" hidden="false" customHeight="true" outlineLevel="0" collapsed="false">
      <c r="A2259" s="2" t="s">
        <v>416</v>
      </c>
      <c r="B2259" s="2" t="s">
        <v>432</v>
      </c>
      <c r="C2259" s="2" t="s">
        <v>3</v>
      </c>
      <c r="D2259" s="2" t="str">
        <f aca="false">IF(3キー同時!$B$201="","",3キー同時!$B$201)</f>
        <v>v</v>
      </c>
      <c r="E2259" s="2" t="str">
        <f aca="false">IF(3キー同時!$G$201="","",3キー同時!$G$201)</f>
        <v>n</v>
      </c>
      <c r="F2259" s="2" t="str">
        <f aca="false">""</f>
        <v/>
      </c>
      <c r="G2259" s="2" t="str">
        <f aca="false">IF(OR(3キー同時!$B$201="",3キー同時!$G$201=""),"",IF(3キー同時!R203="","",SUBSTITUTE(SUBSTITUTE(3キー同時!R203," ",""),"　","")))</f>
        <v/>
      </c>
      <c r="H2259" s="2" t="str">
        <f aca="false">IF($G2259="","",3キー同時!$B$201)</f>
        <v/>
      </c>
      <c r="I2259" s="2" t="str">
        <f aca="false">IF($G2259="","",3キー同時!$G$201)</f>
        <v/>
      </c>
      <c r="J2259" s="2" t="str">
        <f aca="false">IF($G2259="","","4")</f>
        <v/>
      </c>
      <c r="K2259" s="2" t="str">
        <f aca="false">""</f>
        <v/>
      </c>
      <c r="L2259" s="2" t="str">
        <f aca="false">IF($G2259="","","同時")</f>
        <v/>
      </c>
      <c r="M2259" s="2" t="str">
        <f aca="false">IF($G2259="","",IF(ISNA(MATCH($G2259,個別指定!$A:$A,0)),"行なし",""))</f>
        <v/>
      </c>
      <c r="N2259" s="2" t="str">
        <f aca="false">IF($G2259="","",IF(COUNTIF($G$2:$G$4460,$G2259)&gt;1,"重複",""))</f>
        <v/>
      </c>
    </row>
    <row r="2260" customFormat="false" ht="16.5" hidden="false" customHeight="true" outlineLevel="0" collapsed="false">
      <c r="A2260" s="2" t="s">
        <v>416</v>
      </c>
      <c r="B2260" s="2" t="s">
        <v>432</v>
      </c>
      <c r="C2260" s="2" t="s">
        <v>4</v>
      </c>
      <c r="D2260" s="2" t="str">
        <f aca="false">IF(3キー同時!$B$201="","",3キー同時!$B$201)</f>
        <v>v</v>
      </c>
      <c r="E2260" s="2" t="str">
        <f aca="false">IF(3キー同時!$G$201="","",3キー同時!$G$201)</f>
        <v>n</v>
      </c>
      <c r="F2260" s="2" t="str">
        <f aca="false">""</f>
        <v/>
      </c>
      <c r="G2260" s="2" t="str">
        <f aca="false">IF(OR(3キー同時!$B$201="",3キー同時!$G$201=""),"",IF(3キー同時!V203="","",SUBSTITUTE(SUBSTITUTE(3キー同時!V203," ",""),"　","")))</f>
        <v/>
      </c>
      <c r="H2260" s="2" t="str">
        <f aca="false">IF($G2260="","",3キー同時!$B$201)</f>
        <v/>
      </c>
      <c r="I2260" s="2" t="str">
        <f aca="false">IF($G2260="","",3キー同時!$G$201)</f>
        <v/>
      </c>
      <c r="J2260" s="2" t="str">
        <f aca="false">IF($G2260="","","5")</f>
        <v/>
      </c>
      <c r="K2260" s="2" t="str">
        <f aca="false">""</f>
        <v/>
      </c>
      <c r="L2260" s="2" t="str">
        <f aca="false">IF($G2260="","","同時")</f>
        <v/>
      </c>
      <c r="M2260" s="2" t="str">
        <f aca="false">IF($G2260="","",IF(ISNA(MATCH($G2260,個別指定!$A:$A,0)),"行なし",""))</f>
        <v/>
      </c>
      <c r="N2260" s="2" t="str">
        <f aca="false">IF($G2260="","",IF(COUNTIF($G$2:$G$4460,$G2260)&gt;1,"重複",""))</f>
        <v/>
      </c>
    </row>
    <row r="2261" customFormat="false" ht="16.5" hidden="false" customHeight="true" outlineLevel="0" collapsed="false">
      <c r="A2261" s="2" t="s">
        <v>416</v>
      </c>
      <c r="B2261" s="2" t="s">
        <v>432</v>
      </c>
      <c r="C2261" s="2" t="s">
        <v>5</v>
      </c>
      <c r="D2261" s="2" t="str">
        <f aca="false">IF(3キー同時!$B$201="","",3キー同時!$B$201)</f>
        <v>v</v>
      </c>
      <c r="E2261" s="2" t="str">
        <f aca="false">IF(3キー同時!$G$201="","",3キー同時!$G$201)</f>
        <v>n</v>
      </c>
      <c r="F2261" s="2" t="str">
        <f aca="false">""</f>
        <v/>
      </c>
      <c r="G2261" s="2" t="str">
        <f aca="false">IF(OR(3キー同時!$B$201="",3キー同時!$G$201=""),"",IF(3キー同時!Z203="","",SUBSTITUTE(SUBSTITUTE(3キー同時!Z203," ",""),"　","")))</f>
        <v/>
      </c>
      <c r="H2261" s="2" t="str">
        <f aca="false">IF($G2261="","",3キー同時!$B$201)</f>
        <v/>
      </c>
      <c r="I2261" s="2" t="str">
        <f aca="false">IF($G2261="","",3キー同時!$G$201)</f>
        <v/>
      </c>
      <c r="J2261" s="2" t="str">
        <f aca="false">IF($G2261="","","6")</f>
        <v/>
      </c>
      <c r="K2261" s="2" t="str">
        <f aca="false">""</f>
        <v/>
      </c>
      <c r="L2261" s="2" t="str">
        <f aca="false">IF($G2261="","","同時")</f>
        <v/>
      </c>
      <c r="M2261" s="2" t="str">
        <f aca="false">IF($G2261="","",IF(ISNA(MATCH($G2261,個別指定!$A:$A,0)),"行なし",""))</f>
        <v/>
      </c>
      <c r="N2261" s="2" t="str">
        <f aca="false">IF($G2261="","",IF(COUNTIF($G$2:$G$4460,$G2261)&gt;1,"重複",""))</f>
        <v/>
      </c>
    </row>
    <row r="2262" customFormat="false" ht="16.5" hidden="false" customHeight="true" outlineLevel="0" collapsed="false">
      <c r="A2262" s="2" t="s">
        <v>416</v>
      </c>
      <c r="B2262" s="2" t="s">
        <v>432</v>
      </c>
      <c r="C2262" s="2" t="s">
        <v>6</v>
      </c>
      <c r="D2262" s="2" t="str">
        <f aca="false">IF(3キー同時!$B$201="","",3キー同時!$B$201)</f>
        <v>v</v>
      </c>
      <c r="E2262" s="2" t="str">
        <f aca="false">IF(3キー同時!$G$201="","",3キー同時!$G$201)</f>
        <v>n</v>
      </c>
      <c r="F2262" s="2" t="str">
        <f aca="false">""</f>
        <v/>
      </c>
      <c r="G2262" s="2" t="str">
        <f aca="false">IF(OR(3キー同時!$B$201="",3キー同時!$G$201=""),"",IF(3キー同時!AD203="","",SUBSTITUTE(SUBSTITUTE(3キー同時!AD203," ",""),"　","")))</f>
        <v/>
      </c>
      <c r="H2262" s="2" t="str">
        <f aca="false">IF($G2262="","",3キー同時!$B$201)</f>
        <v/>
      </c>
      <c r="I2262" s="2" t="str">
        <f aca="false">IF($G2262="","",3キー同時!$G$201)</f>
        <v/>
      </c>
      <c r="J2262" s="2" t="str">
        <f aca="false">IF($G2262="","","7")</f>
        <v/>
      </c>
      <c r="K2262" s="2" t="str">
        <f aca="false">""</f>
        <v/>
      </c>
      <c r="L2262" s="2" t="str">
        <f aca="false">IF($G2262="","","同時")</f>
        <v/>
      </c>
      <c r="M2262" s="2" t="str">
        <f aca="false">IF($G2262="","",IF(ISNA(MATCH($G2262,個別指定!$A:$A,0)),"行なし",""))</f>
        <v/>
      </c>
      <c r="N2262" s="2" t="str">
        <f aca="false">IF($G2262="","",IF(COUNTIF($G$2:$G$4460,$G2262)&gt;1,"重複",""))</f>
        <v/>
      </c>
    </row>
    <row r="2263" customFormat="false" ht="16.5" hidden="false" customHeight="true" outlineLevel="0" collapsed="false">
      <c r="A2263" s="2" t="s">
        <v>416</v>
      </c>
      <c r="B2263" s="2" t="s">
        <v>432</v>
      </c>
      <c r="C2263" s="2" t="s">
        <v>7</v>
      </c>
      <c r="D2263" s="2" t="str">
        <f aca="false">IF(3キー同時!$B$201="","",3キー同時!$B$201)</f>
        <v>v</v>
      </c>
      <c r="E2263" s="2" t="str">
        <f aca="false">IF(3キー同時!$G$201="","",3キー同時!$G$201)</f>
        <v>n</v>
      </c>
      <c r="F2263" s="2" t="str">
        <f aca="false">""</f>
        <v/>
      </c>
      <c r="G2263" s="2" t="str">
        <f aca="false">IF(OR(3キー同時!$B$201="",3キー同時!$G$201=""),"",IF(3キー同時!AH203="","",SUBSTITUTE(SUBSTITUTE(3キー同時!AH203," ",""),"　","")))</f>
        <v/>
      </c>
      <c r="H2263" s="2" t="str">
        <f aca="false">IF($G2263="","",3キー同時!$B$201)</f>
        <v/>
      </c>
      <c r="I2263" s="2" t="str">
        <f aca="false">IF($G2263="","",3キー同時!$G$201)</f>
        <v/>
      </c>
      <c r="J2263" s="2" t="str">
        <f aca="false">IF($G2263="","","8")</f>
        <v/>
      </c>
      <c r="K2263" s="2" t="str">
        <f aca="false">""</f>
        <v/>
      </c>
      <c r="L2263" s="2" t="str">
        <f aca="false">IF($G2263="","","同時")</f>
        <v/>
      </c>
      <c r="M2263" s="2" t="str">
        <f aca="false">IF($G2263="","",IF(ISNA(MATCH($G2263,個別指定!$A:$A,0)),"行なし",""))</f>
        <v/>
      </c>
      <c r="N2263" s="2" t="str">
        <f aca="false">IF($G2263="","",IF(COUNTIF($G$2:$G$4460,$G2263)&gt;1,"重複",""))</f>
        <v/>
      </c>
    </row>
    <row r="2264" customFormat="false" ht="16.5" hidden="false" customHeight="true" outlineLevel="0" collapsed="false">
      <c r="A2264" s="2" t="s">
        <v>416</v>
      </c>
      <c r="B2264" s="2" t="s">
        <v>432</v>
      </c>
      <c r="C2264" s="2" t="s">
        <v>8</v>
      </c>
      <c r="D2264" s="2" t="str">
        <f aca="false">IF(3キー同時!$B$201="","",3キー同時!$B$201)</f>
        <v>v</v>
      </c>
      <c r="E2264" s="2" t="str">
        <f aca="false">IF(3キー同時!$G$201="","",3キー同時!$G$201)</f>
        <v>n</v>
      </c>
      <c r="F2264" s="2" t="str">
        <f aca="false">""</f>
        <v/>
      </c>
      <c r="G2264" s="2" t="str">
        <f aca="false">IF(OR(3キー同時!$B$201="",3キー同時!$G$201=""),"",IF(3キー同時!AL203="","",SUBSTITUTE(SUBSTITUTE(3キー同時!AL203," ",""),"　","")))</f>
        <v/>
      </c>
      <c r="H2264" s="2" t="str">
        <f aca="false">IF($G2264="","",3キー同時!$B$201)</f>
        <v/>
      </c>
      <c r="I2264" s="2" t="str">
        <f aca="false">IF($G2264="","",3キー同時!$G$201)</f>
        <v/>
      </c>
      <c r="J2264" s="2" t="str">
        <f aca="false">IF($G2264="","","9")</f>
        <v/>
      </c>
      <c r="K2264" s="2" t="str">
        <f aca="false">""</f>
        <v/>
      </c>
      <c r="L2264" s="2" t="str">
        <f aca="false">IF($G2264="","","同時")</f>
        <v/>
      </c>
      <c r="M2264" s="2" t="str">
        <f aca="false">IF($G2264="","",IF(ISNA(MATCH($G2264,個別指定!$A:$A,0)),"行なし",""))</f>
        <v/>
      </c>
      <c r="N2264" s="2" t="str">
        <f aca="false">IF($G2264="","",IF(COUNTIF($G$2:$G$4460,$G2264)&gt;1,"重複",""))</f>
        <v/>
      </c>
    </row>
    <row r="2265" customFormat="false" ht="16.5" hidden="false" customHeight="true" outlineLevel="0" collapsed="false">
      <c r="A2265" s="2" t="s">
        <v>416</v>
      </c>
      <c r="B2265" s="2" t="s">
        <v>432</v>
      </c>
      <c r="C2265" s="2" t="s">
        <v>9</v>
      </c>
      <c r="D2265" s="2" t="str">
        <f aca="false">IF(3キー同時!$B$201="","",3キー同時!$B$201)</f>
        <v>v</v>
      </c>
      <c r="E2265" s="2" t="str">
        <f aca="false">IF(3キー同時!$G$201="","",3キー同時!$G$201)</f>
        <v>n</v>
      </c>
      <c r="F2265" s="2" t="str">
        <f aca="false">""</f>
        <v/>
      </c>
      <c r="G2265" s="2" t="str">
        <f aca="false">IF(OR(3キー同時!$B$201="",3キー同時!$G$201=""),"",IF(3キー同時!AP203="","",SUBSTITUTE(SUBSTITUTE(3キー同時!AP203," ",""),"　","")))</f>
        <v/>
      </c>
      <c r="H2265" s="2" t="str">
        <f aca="false">IF($G2265="","",3キー同時!$B$201)</f>
        <v/>
      </c>
      <c r="I2265" s="2" t="str">
        <f aca="false">IF($G2265="","",3キー同時!$G$201)</f>
        <v/>
      </c>
      <c r="J2265" s="2" t="str">
        <f aca="false">IF($G2265="","","0")</f>
        <v/>
      </c>
      <c r="K2265" s="2" t="str">
        <f aca="false">""</f>
        <v/>
      </c>
      <c r="L2265" s="2" t="str">
        <f aca="false">IF($G2265="","","同時")</f>
        <v/>
      </c>
      <c r="M2265" s="2" t="str">
        <f aca="false">IF($G2265="","",IF(ISNA(MATCH($G2265,個別指定!$A:$A,0)),"行なし",""))</f>
        <v/>
      </c>
      <c r="N2265" s="2" t="str">
        <f aca="false">IF($G2265="","",IF(COUNTIF($G$2:$G$4460,$G2265)&gt;1,"重複",""))</f>
        <v/>
      </c>
    </row>
    <row r="2266" customFormat="false" ht="16.5" hidden="false" customHeight="true" outlineLevel="0" collapsed="false">
      <c r="A2266" s="2" t="s">
        <v>416</v>
      </c>
      <c r="B2266" s="2" t="s">
        <v>432</v>
      </c>
      <c r="C2266" s="2" t="s">
        <v>10</v>
      </c>
      <c r="D2266" s="2" t="str">
        <f aca="false">IF(3キー同時!$B$201="","",3キー同時!$B$201)</f>
        <v>v</v>
      </c>
      <c r="E2266" s="2" t="str">
        <f aca="false">IF(3キー同時!$G$201="","",3キー同時!$G$201)</f>
        <v>n</v>
      </c>
      <c r="F2266" s="2" t="str">
        <f aca="false">""</f>
        <v/>
      </c>
      <c r="G2266" s="2" t="str">
        <f aca="false">IF(OR(3キー同時!$B$201="",3キー同時!$G$201=""),"",IF(3キー同時!AT203="","",SUBSTITUTE(SUBSTITUTE(3キー同時!AT203," ",""),"　","")))</f>
        <v/>
      </c>
      <c r="H2266" s="2" t="str">
        <f aca="false">IF($G2266="","",3キー同時!$B$201)</f>
        <v/>
      </c>
      <c r="I2266" s="2" t="str">
        <f aca="false">IF($G2266="","",3キー同時!$G$201)</f>
        <v/>
      </c>
      <c r="J2266" s="2" t="str">
        <f aca="false">IF($G2266="","","-")</f>
        <v/>
      </c>
      <c r="K2266" s="2" t="str">
        <f aca="false">""</f>
        <v/>
      </c>
      <c r="L2266" s="2" t="str">
        <f aca="false">IF($G2266="","","同時")</f>
        <v/>
      </c>
      <c r="M2266" s="2" t="str">
        <f aca="false">IF($G2266="","",IF(ISNA(MATCH($G2266,個別指定!$A:$A,0)),"行なし",""))</f>
        <v/>
      </c>
      <c r="N2266" s="2" t="str">
        <f aca="false">IF($G2266="","",IF(COUNTIF($G$2:$G$4460,$G2266)&gt;1,"重複",""))</f>
        <v/>
      </c>
    </row>
    <row r="2267" customFormat="false" ht="16.5" hidden="false" customHeight="true" outlineLevel="0" collapsed="false">
      <c r="A2267" s="2" t="s">
        <v>416</v>
      </c>
      <c r="B2267" s="2" t="s">
        <v>432</v>
      </c>
      <c r="C2267" s="2" t="s">
        <v>11</v>
      </c>
      <c r="D2267" s="2" t="str">
        <f aca="false">IF(3キー同時!$B$201="","",3キー同時!$B$201)</f>
        <v>v</v>
      </c>
      <c r="E2267" s="2" t="str">
        <f aca="false">IF(3キー同時!$G$201="","",3キー同時!$G$201)</f>
        <v>n</v>
      </c>
      <c r="F2267" s="2" t="str">
        <f aca="false">""</f>
        <v/>
      </c>
      <c r="G2267" s="2" t="str">
        <f aca="false">IF(OR(3キー同時!$B$201="",3キー同時!$G$201=""),"",IF(3キー同時!AX203="","",SUBSTITUTE(SUBSTITUTE(3キー同時!AX203," ",""),"　","")))</f>
        <v/>
      </c>
      <c r="H2267" s="2" t="str">
        <f aca="false">IF($G2267="","",3キー同時!$B$201)</f>
        <v/>
      </c>
      <c r="I2267" s="2" t="str">
        <f aca="false">IF($G2267="","",3キー同時!$G$201)</f>
        <v/>
      </c>
      <c r="J2267" s="2" t="str">
        <f aca="false">IF($G2267="","","=")</f>
        <v/>
      </c>
      <c r="K2267" s="2" t="str">
        <f aca="false">""</f>
        <v/>
      </c>
      <c r="L2267" s="2" t="str">
        <f aca="false">IF($G2267="","","同時")</f>
        <v/>
      </c>
      <c r="M2267" s="2" t="str">
        <f aca="false">IF($G2267="","",IF(ISNA(MATCH($G2267,個別指定!$A:$A,0)),"行なし",""))</f>
        <v/>
      </c>
      <c r="N2267" s="2" t="str">
        <f aca="false">IF($G2267="","",IF(COUNTIF($G$2:$G$4460,$G2267)&gt;1,"重複",""))</f>
        <v/>
      </c>
    </row>
    <row r="2268" customFormat="false" ht="16.5" hidden="false" customHeight="true" outlineLevel="0" collapsed="false">
      <c r="A2268" s="2" t="s">
        <v>416</v>
      </c>
      <c r="B2268" s="2" t="s">
        <v>432</v>
      </c>
      <c r="C2268" s="2" t="s">
        <v>12</v>
      </c>
      <c r="D2268" s="2" t="str">
        <f aca="false">IF(3キー同時!$B$201="","",3キー同時!$B$201)</f>
        <v>v</v>
      </c>
      <c r="E2268" s="2" t="str">
        <f aca="false">IF(3キー同時!$G$201="","",3キー同時!$G$201)</f>
        <v>n</v>
      </c>
      <c r="F2268" s="2" t="str">
        <f aca="false">""</f>
        <v/>
      </c>
      <c r="G2268" s="2" t="str">
        <f aca="false">IF(OR(3キー同時!$B$201="",3キー同時!$G$201=""),"",IF(3キー同時!H205="","",SUBSTITUTE(SUBSTITUTE(3キー同時!H205," ",""),"　","")))</f>
        <v/>
      </c>
      <c r="H2268" s="2" t="str">
        <f aca="false">IF($G2268="","",3キー同時!$B$201)</f>
        <v/>
      </c>
      <c r="I2268" s="2" t="str">
        <f aca="false">IF($G2268="","",3キー同時!$G$201)</f>
        <v/>
      </c>
      <c r="J2268" s="2" t="str">
        <f aca="false">IF($G2268="","","q")</f>
        <v/>
      </c>
      <c r="K2268" s="2" t="str">
        <f aca="false">""</f>
        <v/>
      </c>
      <c r="L2268" s="2" t="str">
        <f aca="false">IF($G2268="","","同時")</f>
        <v/>
      </c>
      <c r="M2268" s="2" t="str">
        <f aca="false">IF($G2268="","",IF(ISNA(MATCH($G2268,個別指定!$A:$A,0)),"行なし",""))</f>
        <v/>
      </c>
      <c r="N2268" s="2" t="str">
        <f aca="false">IF($G2268="","",IF(COUNTIF($G$2:$G$4460,$G2268)&gt;1,"重複",""))</f>
        <v/>
      </c>
    </row>
    <row r="2269" customFormat="false" ht="16.5" hidden="false" customHeight="true" outlineLevel="0" collapsed="false">
      <c r="A2269" s="2" t="s">
        <v>416</v>
      </c>
      <c r="B2269" s="2" t="s">
        <v>432</v>
      </c>
      <c r="C2269" s="2" t="s">
        <v>13</v>
      </c>
      <c r="D2269" s="2" t="str">
        <f aca="false">IF(3キー同時!$B$201="","",3キー同時!$B$201)</f>
        <v>v</v>
      </c>
      <c r="E2269" s="2" t="str">
        <f aca="false">IF(3キー同時!$G$201="","",3キー同時!$G$201)</f>
        <v>n</v>
      </c>
      <c r="F2269" s="2" t="str">
        <f aca="false">""</f>
        <v/>
      </c>
      <c r="G2269" s="2" t="str">
        <f aca="false">IF(OR(3キー同時!$B$201="",3キー同時!$G$201=""),"",IF(3キー同時!L205="","",SUBSTITUTE(SUBSTITUTE(3キー同時!L205," ",""),"　","")))</f>
        <v/>
      </c>
      <c r="H2269" s="2" t="str">
        <f aca="false">IF($G2269="","",3キー同時!$B$201)</f>
        <v/>
      </c>
      <c r="I2269" s="2" t="str">
        <f aca="false">IF($G2269="","",3キー同時!$G$201)</f>
        <v/>
      </c>
      <c r="J2269" s="2" t="str">
        <f aca="false">IF($G2269="","","w")</f>
        <v/>
      </c>
      <c r="K2269" s="2" t="str">
        <f aca="false">""</f>
        <v/>
      </c>
      <c r="L2269" s="2" t="str">
        <f aca="false">IF($G2269="","","同時")</f>
        <v/>
      </c>
      <c r="M2269" s="2" t="str">
        <f aca="false">IF($G2269="","",IF(ISNA(MATCH($G2269,個別指定!$A:$A,0)),"行なし",""))</f>
        <v/>
      </c>
      <c r="N2269" s="2" t="str">
        <f aca="false">IF($G2269="","",IF(COUNTIF($G$2:$G$4460,$G2269)&gt;1,"重複",""))</f>
        <v/>
      </c>
    </row>
    <row r="2270" customFormat="false" ht="16.5" hidden="false" customHeight="true" outlineLevel="0" collapsed="false">
      <c r="A2270" s="2" t="s">
        <v>416</v>
      </c>
      <c r="B2270" s="2" t="s">
        <v>432</v>
      </c>
      <c r="C2270" s="2" t="s">
        <v>14</v>
      </c>
      <c r="D2270" s="2" t="str">
        <f aca="false">IF(3キー同時!$B$201="","",3キー同時!$B$201)</f>
        <v>v</v>
      </c>
      <c r="E2270" s="2" t="str">
        <f aca="false">IF(3キー同時!$G$201="","",3キー同時!$G$201)</f>
        <v>n</v>
      </c>
      <c r="F2270" s="2" t="str">
        <f aca="false">""</f>
        <v/>
      </c>
      <c r="G2270" s="2" t="str">
        <f aca="false">IF(OR(3キー同時!$B$201="",3キー同時!$G$201=""),"",IF(3キー同時!P205="","",SUBSTITUTE(SUBSTITUTE(3キー同時!P205," ",""),"　","")))</f>
        <v/>
      </c>
      <c r="H2270" s="2" t="str">
        <f aca="false">IF($G2270="","",3キー同時!$B$201)</f>
        <v/>
      </c>
      <c r="I2270" s="2" t="str">
        <f aca="false">IF($G2270="","",3キー同時!$G$201)</f>
        <v/>
      </c>
      <c r="J2270" s="2" t="str">
        <f aca="false">IF($G2270="","","e")</f>
        <v/>
      </c>
      <c r="K2270" s="2" t="str">
        <f aca="false">""</f>
        <v/>
      </c>
      <c r="L2270" s="2" t="str">
        <f aca="false">IF($G2270="","","同時")</f>
        <v/>
      </c>
      <c r="M2270" s="2" t="str">
        <f aca="false">IF($G2270="","",IF(ISNA(MATCH($G2270,個別指定!$A:$A,0)),"行なし",""))</f>
        <v/>
      </c>
      <c r="N2270" s="2" t="str">
        <f aca="false">IF($G2270="","",IF(COUNTIF($G$2:$G$4460,$G2270)&gt;1,"重複",""))</f>
        <v/>
      </c>
    </row>
    <row r="2271" customFormat="false" ht="16.5" hidden="false" customHeight="true" outlineLevel="0" collapsed="false">
      <c r="A2271" s="2" t="s">
        <v>416</v>
      </c>
      <c r="B2271" s="2" t="s">
        <v>432</v>
      </c>
      <c r="C2271" s="2" t="s">
        <v>15</v>
      </c>
      <c r="D2271" s="2" t="str">
        <f aca="false">IF(3キー同時!$B$201="","",3キー同時!$B$201)</f>
        <v>v</v>
      </c>
      <c r="E2271" s="2" t="str">
        <f aca="false">IF(3キー同時!$G$201="","",3キー同時!$G$201)</f>
        <v>n</v>
      </c>
      <c r="F2271" s="2" t="str">
        <f aca="false">""</f>
        <v/>
      </c>
      <c r="G2271" s="2" t="str">
        <f aca="false">IF(OR(3キー同時!$B$201="",3キー同時!$G$201=""),"",IF(3キー同時!T205="","",SUBSTITUTE(SUBSTITUTE(3キー同時!T205," ",""),"　","")))</f>
        <v/>
      </c>
      <c r="H2271" s="2" t="str">
        <f aca="false">IF($G2271="","",3キー同時!$B$201)</f>
        <v/>
      </c>
      <c r="I2271" s="2" t="str">
        <f aca="false">IF($G2271="","",3キー同時!$G$201)</f>
        <v/>
      </c>
      <c r="J2271" s="2" t="str">
        <f aca="false">IF($G2271="","","r")</f>
        <v/>
      </c>
      <c r="K2271" s="2" t="str">
        <f aca="false">""</f>
        <v/>
      </c>
      <c r="L2271" s="2" t="str">
        <f aca="false">IF($G2271="","","同時")</f>
        <v/>
      </c>
      <c r="M2271" s="2" t="str">
        <f aca="false">IF($G2271="","",IF(ISNA(MATCH($G2271,個別指定!$A:$A,0)),"行なし",""))</f>
        <v/>
      </c>
      <c r="N2271" s="2" t="str">
        <f aca="false">IF($G2271="","",IF(COUNTIF($G$2:$G$4460,$G2271)&gt;1,"重複",""))</f>
        <v/>
      </c>
    </row>
    <row r="2272" customFormat="false" ht="16.5" hidden="false" customHeight="true" outlineLevel="0" collapsed="false">
      <c r="A2272" s="2" t="s">
        <v>416</v>
      </c>
      <c r="B2272" s="2" t="s">
        <v>432</v>
      </c>
      <c r="C2272" s="2" t="s">
        <v>16</v>
      </c>
      <c r="D2272" s="2" t="str">
        <f aca="false">IF(3キー同時!$B$201="","",3キー同時!$B$201)</f>
        <v>v</v>
      </c>
      <c r="E2272" s="2" t="str">
        <f aca="false">IF(3キー同時!$G$201="","",3キー同時!$G$201)</f>
        <v>n</v>
      </c>
      <c r="F2272" s="2" t="str">
        <f aca="false">""</f>
        <v/>
      </c>
      <c r="G2272" s="2" t="str">
        <f aca="false">IF(OR(3キー同時!$B$201="",3キー同時!$G$201=""),"",IF(3キー同時!X205="","",SUBSTITUTE(SUBSTITUTE(3キー同時!X205," ",""),"　","")))</f>
        <v/>
      </c>
      <c r="H2272" s="2" t="str">
        <f aca="false">IF($G2272="","",3キー同時!$B$201)</f>
        <v/>
      </c>
      <c r="I2272" s="2" t="str">
        <f aca="false">IF($G2272="","",3キー同時!$G$201)</f>
        <v/>
      </c>
      <c r="J2272" s="2" t="str">
        <f aca="false">IF($G2272="","","t")</f>
        <v/>
      </c>
      <c r="K2272" s="2" t="str">
        <f aca="false">""</f>
        <v/>
      </c>
      <c r="L2272" s="2" t="str">
        <f aca="false">IF($G2272="","","同時")</f>
        <v/>
      </c>
      <c r="M2272" s="2" t="str">
        <f aca="false">IF($G2272="","",IF(ISNA(MATCH($G2272,個別指定!$A:$A,0)),"行なし",""))</f>
        <v/>
      </c>
      <c r="N2272" s="2" t="str">
        <f aca="false">IF($G2272="","",IF(COUNTIF($G$2:$G$4460,$G2272)&gt;1,"重複",""))</f>
        <v/>
      </c>
    </row>
    <row r="2273" customFormat="false" ht="16.5" hidden="false" customHeight="true" outlineLevel="0" collapsed="false">
      <c r="A2273" s="2" t="s">
        <v>416</v>
      </c>
      <c r="B2273" s="2" t="s">
        <v>432</v>
      </c>
      <c r="C2273" s="2" t="s">
        <v>17</v>
      </c>
      <c r="D2273" s="2" t="str">
        <f aca="false">IF(3キー同時!$B$201="","",3キー同時!$B$201)</f>
        <v>v</v>
      </c>
      <c r="E2273" s="2" t="str">
        <f aca="false">IF(3キー同時!$G$201="","",3キー同時!$G$201)</f>
        <v>n</v>
      </c>
      <c r="F2273" s="2" t="str">
        <f aca="false">""</f>
        <v/>
      </c>
      <c r="G2273" s="2" t="str">
        <f aca="false">IF(OR(3キー同時!$B$201="",3キー同時!$G$201=""),"",IF(3キー同時!AB205="","",SUBSTITUTE(SUBSTITUTE(3キー同時!AB205," ",""),"　","")))</f>
        <v/>
      </c>
      <c r="H2273" s="2" t="str">
        <f aca="false">IF($G2273="","",3キー同時!$B$201)</f>
        <v/>
      </c>
      <c r="I2273" s="2" t="str">
        <f aca="false">IF($G2273="","",3キー同時!$G$201)</f>
        <v/>
      </c>
      <c r="J2273" s="2" t="str">
        <f aca="false">IF($G2273="","","y")</f>
        <v/>
      </c>
      <c r="K2273" s="2" t="str">
        <f aca="false">""</f>
        <v/>
      </c>
      <c r="L2273" s="2" t="str">
        <f aca="false">IF($G2273="","","同時")</f>
        <v/>
      </c>
      <c r="M2273" s="2" t="str">
        <f aca="false">IF($G2273="","",IF(ISNA(MATCH($G2273,個別指定!$A:$A,0)),"行なし",""))</f>
        <v/>
      </c>
      <c r="N2273" s="2" t="str">
        <f aca="false">IF($G2273="","",IF(COUNTIF($G$2:$G$4460,$G2273)&gt;1,"重複",""))</f>
        <v/>
      </c>
    </row>
    <row r="2274" customFormat="false" ht="16.5" hidden="false" customHeight="true" outlineLevel="0" collapsed="false">
      <c r="A2274" s="2" t="s">
        <v>416</v>
      </c>
      <c r="B2274" s="2" t="s">
        <v>432</v>
      </c>
      <c r="C2274" s="2" t="s">
        <v>18</v>
      </c>
      <c r="D2274" s="2" t="str">
        <f aca="false">IF(3キー同時!$B$201="","",3キー同時!$B$201)</f>
        <v>v</v>
      </c>
      <c r="E2274" s="2" t="str">
        <f aca="false">IF(3キー同時!$G$201="","",3キー同時!$G$201)</f>
        <v>n</v>
      </c>
      <c r="F2274" s="2" t="str">
        <f aca="false">""</f>
        <v/>
      </c>
      <c r="G2274" s="2" t="str">
        <f aca="false">IF(OR(3キー同時!$B$201="",3キー同時!$G$201=""),"",IF(3キー同時!AF205="","",SUBSTITUTE(SUBSTITUTE(3キー同時!AF205," ",""),"　","")))</f>
        <v/>
      </c>
      <c r="H2274" s="2" t="str">
        <f aca="false">IF($G2274="","",3キー同時!$B$201)</f>
        <v/>
      </c>
      <c r="I2274" s="2" t="str">
        <f aca="false">IF($G2274="","",3キー同時!$G$201)</f>
        <v/>
      </c>
      <c r="J2274" s="2" t="str">
        <f aca="false">IF($G2274="","","u")</f>
        <v/>
      </c>
      <c r="K2274" s="2" t="str">
        <f aca="false">""</f>
        <v/>
      </c>
      <c r="L2274" s="2" t="str">
        <f aca="false">IF($G2274="","","同時")</f>
        <v/>
      </c>
      <c r="M2274" s="2" t="str">
        <f aca="false">IF($G2274="","",IF(ISNA(MATCH($G2274,個別指定!$A:$A,0)),"行なし",""))</f>
        <v/>
      </c>
      <c r="N2274" s="2" t="str">
        <f aca="false">IF($G2274="","",IF(COUNTIF($G$2:$G$4460,$G2274)&gt;1,"重複",""))</f>
        <v/>
      </c>
    </row>
    <row r="2275" customFormat="false" ht="16.5" hidden="false" customHeight="true" outlineLevel="0" collapsed="false">
      <c r="A2275" s="2" t="s">
        <v>416</v>
      </c>
      <c r="B2275" s="2" t="s">
        <v>432</v>
      </c>
      <c r="C2275" s="2" t="s">
        <v>19</v>
      </c>
      <c r="D2275" s="2" t="str">
        <f aca="false">IF(3キー同時!$B$201="","",3キー同時!$B$201)</f>
        <v>v</v>
      </c>
      <c r="E2275" s="2" t="str">
        <f aca="false">IF(3キー同時!$G$201="","",3キー同時!$G$201)</f>
        <v>n</v>
      </c>
      <c r="F2275" s="2" t="str">
        <f aca="false">""</f>
        <v/>
      </c>
      <c r="G2275" s="2" t="str">
        <f aca="false">IF(OR(3キー同時!$B$201="",3キー同時!$G$201=""),"",IF(3キー同時!AJ205="","",SUBSTITUTE(SUBSTITUTE(3キー同時!AJ205," ",""),"　","")))</f>
        <v/>
      </c>
      <c r="H2275" s="2" t="str">
        <f aca="false">IF($G2275="","",3キー同時!$B$201)</f>
        <v/>
      </c>
      <c r="I2275" s="2" t="str">
        <f aca="false">IF($G2275="","",3キー同時!$G$201)</f>
        <v/>
      </c>
      <c r="J2275" s="2" t="str">
        <f aca="false">IF($G2275="","","i")</f>
        <v/>
      </c>
      <c r="K2275" s="2" t="str">
        <f aca="false">""</f>
        <v/>
      </c>
      <c r="L2275" s="2" t="str">
        <f aca="false">IF($G2275="","","同時")</f>
        <v/>
      </c>
      <c r="M2275" s="2" t="str">
        <f aca="false">IF($G2275="","",IF(ISNA(MATCH($G2275,個別指定!$A:$A,0)),"行なし",""))</f>
        <v/>
      </c>
      <c r="N2275" s="2" t="str">
        <f aca="false">IF($G2275="","",IF(COUNTIF($G$2:$G$4460,$G2275)&gt;1,"重複",""))</f>
        <v/>
      </c>
    </row>
    <row r="2276" customFormat="false" ht="16.5" hidden="false" customHeight="true" outlineLevel="0" collapsed="false">
      <c r="A2276" s="2" t="s">
        <v>416</v>
      </c>
      <c r="B2276" s="2" t="s">
        <v>432</v>
      </c>
      <c r="C2276" s="2" t="s">
        <v>20</v>
      </c>
      <c r="D2276" s="2" t="str">
        <f aca="false">IF(3キー同時!$B$201="","",3キー同時!$B$201)</f>
        <v>v</v>
      </c>
      <c r="E2276" s="2" t="str">
        <f aca="false">IF(3キー同時!$G$201="","",3キー同時!$G$201)</f>
        <v>n</v>
      </c>
      <c r="F2276" s="2" t="str">
        <f aca="false">""</f>
        <v/>
      </c>
      <c r="G2276" s="2" t="str">
        <f aca="false">IF(OR(3キー同時!$B$201="",3キー同時!$G$201=""),"",IF(3キー同時!AN205="","",SUBSTITUTE(SUBSTITUTE(3キー同時!AN205," ",""),"　","")))</f>
        <v/>
      </c>
      <c r="H2276" s="2" t="str">
        <f aca="false">IF($G2276="","",3キー同時!$B$201)</f>
        <v/>
      </c>
      <c r="I2276" s="2" t="str">
        <f aca="false">IF($G2276="","",3キー同時!$G$201)</f>
        <v/>
      </c>
      <c r="J2276" s="2" t="str">
        <f aca="false">IF($G2276="","","o")</f>
        <v/>
      </c>
      <c r="K2276" s="2" t="str">
        <f aca="false">""</f>
        <v/>
      </c>
      <c r="L2276" s="2" t="str">
        <f aca="false">IF($G2276="","","同時")</f>
        <v/>
      </c>
      <c r="M2276" s="2" t="str">
        <f aca="false">IF($G2276="","",IF(ISNA(MATCH($G2276,個別指定!$A:$A,0)),"行なし",""))</f>
        <v/>
      </c>
      <c r="N2276" s="2" t="str">
        <f aca="false">IF($G2276="","",IF(COUNTIF($G$2:$G$4460,$G2276)&gt;1,"重複",""))</f>
        <v/>
      </c>
    </row>
    <row r="2277" customFormat="false" ht="16.5" hidden="false" customHeight="true" outlineLevel="0" collapsed="false">
      <c r="A2277" s="2" t="s">
        <v>416</v>
      </c>
      <c r="B2277" s="2" t="s">
        <v>432</v>
      </c>
      <c r="C2277" s="2" t="s">
        <v>21</v>
      </c>
      <c r="D2277" s="2" t="str">
        <f aca="false">IF(3キー同時!$B$201="","",3キー同時!$B$201)</f>
        <v>v</v>
      </c>
      <c r="E2277" s="2" t="str">
        <f aca="false">IF(3キー同時!$G$201="","",3キー同時!$G$201)</f>
        <v>n</v>
      </c>
      <c r="F2277" s="2" t="str">
        <f aca="false">""</f>
        <v/>
      </c>
      <c r="G2277" s="2" t="str">
        <f aca="false">IF(OR(3キー同時!$B$201="",3キー同時!$G$201=""),"",IF(3キー同時!AR205="","",SUBSTITUTE(SUBSTITUTE(3キー同時!AR205," ",""),"　","")))</f>
        <v/>
      </c>
      <c r="H2277" s="2" t="str">
        <f aca="false">IF($G2277="","",3キー同時!$B$201)</f>
        <v/>
      </c>
      <c r="I2277" s="2" t="str">
        <f aca="false">IF($G2277="","",3キー同時!$G$201)</f>
        <v/>
      </c>
      <c r="J2277" s="2" t="str">
        <f aca="false">IF($G2277="","","p")</f>
        <v/>
      </c>
      <c r="K2277" s="2" t="str">
        <f aca="false">""</f>
        <v/>
      </c>
      <c r="L2277" s="2" t="str">
        <f aca="false">IF($G2277="","","同時")</f>
        <v/>
      </c>
      <c r="M2277" s="2" t="str">
        <f aca="false">IF($G2277="","",IF(ISNA(MATCH($G2277,個別指定!$A:$A,0)),"行なし",""))</f>
        <v/>
      </c>
      <c r="N2277" s="2" t="str">
        <f aca="false">IF($G2277="","",IF(COUNTIF($G$2:$G$4460,$G2277)&gt;1,"重複",""))</f>
        <v/>
      </c>
    </row>
    <row r="2278" customFormat="false" ht="16.5" hidden="false" customHeight="true" outlineLevel="0" collapsed="false">
      <c r="A2278" s="2" t="s">
        <v>416</v>
      </c>
      <c r="B2278" s="2" t="s">
        <v>432</v>
      </c>
      <c r="C2278" s="2" t="s">
        <v>22</v>
      </c>
      <c r="D2278" s="2" t="str">
        <f aca="false">IF(3キー同時!$B$201="","",3キー同時!$B$201)</f>
        <v>v</v>
      </c>
      <c r="E2278" s="2" t="str">
        <f aca="false">IF(3キー同時!$G$201="","",3キー同時!$G$201)</f>
        <v>n</v>
      </c>
      <c r="F2278" s="2" t="str">
        <f aca="false">""</f>
        <v/>
      </c>
      <c r="G2278" s="2" t="str">
        <f aca="false">IF(OR(3キー同時!$B$201="",3キー同時!$G$201=""),"",IF(3キー同時!AV205="","",SUBSTITUTE(SUBSTITUTE(3キー同時!AV205," ",""),"　","")))</f>
        <v/>
      </c>
      <c r="H2278" s="2" t="str">
        <f aca="false">IF($G2278="","",3キー同時!$B$201)</f>
        <v/>
      </c>
      <c r="I2278" s="2" t="str">
        <f aca="false">IF($G2278="","",3キー同時!$G$201)</f>
        <v/>
      </c>
      <c r="J2278" s="2" t="str">
        <f aca="false">IF($G2278="","","[")</f>
        <v/>
      </c>
      <c r="K2278" s="2" t="str">
        <f aca="false">""</f>
        <v/>
      </c>
      <c r="L2278" s="2" t="str">
        <f aca="false">IF($G2278="","","同時")</f>
        <v/>
      </c>
      <c r="M2278" s="2" t="str">
        <f aca="false">IF($G2278="","",IF(ISNA(MATCH($G2278,個別指定!$A:$A,0)),"行なし",""))</f>
        <v/>
      </c>
      <c r="N2278" s="2" t="str">
        <f aca="false">IF($G2278="","",IF(COUNTIF($G$2:$G$4460,$G2278)&gt;1,"重複",""))</f>
        <v/>
      </c>
    </row>
    <row r="2279" customFormat="false" ht="16.5" hidden="false" customHeight="true" outlineLevel="0" collapsed="false">
      <c r="A2279" s="2" t="s">
        <v>416</v>
      </c>
      <c r="B2279" s="2" t="s">
        <v>432</v>
      </c>
      <c r="C2279" s="2" t="s">
        <v>23</v>
      </c>
      <c r="D2279" s="2" t="str">
        <f aca="false">IF(3キー同時!$B$201="","",3キー同時!$B$201)</f>
        <v>v</v>
      </c>
      <c r="E2279" s="2" t="str">
        <f aca="false">IF(3キー同時!$G$201="","",3キー同時!$G$201)</f>
        <v>n</v>
      </c>
      <c r="F2279" s="2" t="str">
        <f aca="false">""</f>
        <v/>
      </c>
      <c r="G2279" s="2" t="str">
        <f aca="false">IF(OR(3キー同時!$B$201="",3キー同時!$G$201=""),"",IF(3キー同時!AZ205="","",SUBSTITUTE(SUBSTITUTE(3キー同時!AZ205," ",""),"　","")))</f>
        <v/>
      </c>
      <c r="H2279" s="2" t="str">
        <f aca="false">IF($G2279="","",3キー同時!$B$201)</f>
        <v/>
      </c>
      <c r="I2279" s="2" t="str">
        <f aca="false">IF($G2279="","",3キー同時!$G$201)</f>
        <v/>
      </c>
      <c r="J2279" s="2" t="str">
        <f aca="false">IF($G2279="","","]")</f>
        <v/>
      </c>
      <c r="K2279" s="2" t="str">
        <f aca="false">""</f>
        <v/>
      </c>
      <c r="L2279" s="2" t="str">
        <f aca="false">IF($G2279="","","同時")</f>
        <v/>
      </c>
      <c r="M2279" s="2" t="str">
        <f aca="false">IF($G2279="","",IF(ISNA(MATCH($G2279,個別指定!$A:$A,0)),"行なし",""))</f>
        <v/>
      </c>
      <c r="N2279" s="2" t="str">
        <f aca="false">IF($G2279="","",IF(COUNTIF($G$2:$G$4460,$G2279)&gt;1,"重複",""))</f>
        <v/>
      </c>
    </row>
    <row r="2280" customFormat="false" ht="16.5" hidden="false" customHeight="true" outlineLevel="0" collapsed="false">
      <c r="A2280" s="2" t="s">
        <v>416</v>
      </c>
      <c r="B2280" s="2" t="s">
        <v>432</v>
      </c>
      <c r="C2280" s="2" t="s">
        <v>24</v>
      </c>
      <c r="D2280" s="2" t="str">
        <f aca="false">IF(3キー同時!$B$201="","",3キー同時!$B$201)</f>
        <v>v</v>
      </c>
      <c r="E2280" s="2" t="str">
        <f aca="false">IF(3キー同時!$G$201="","",3キー同時!$G$201)</f>
        <v>n</v>
      </c>
      <c r="F2280" s="2" t="str">
        <f aca="false">""</f>
        <v/>
      </c>
      <c r="G2280" s="2" t="str">
        <f aca="false">IF(OR(3キー同時!$B$201="",3キー同時!$G$201=""),"",IF(3キー同時!I207="","",SUBSTITUTE(SUBSTITUTE(3キー同時!I207," ",""),"　","")))</f>
        <v/>
      </c>
      <c r="H2280" s="2" t="str">
        <f aca="false">IF($G2280="","",3キー同時!$B$201)</f>
        <v/>
      </c>
      <c r="I2280" s="2" t="str">
        <f aca="false">IF($G2280="","",3キー同時!$G$201)</f>
        <v/>
      </c>
      <c r="J2280" s="2" t="str">
        <f aca="false">IF($G2280="","","a")</f>
        <v/>
      </c>
      <c r="K2280" s="2" t="str">
        <f aca="false">""</f>
        <v/>
      </c>
      <c r="L2280" s="2" t="str">
        <f aca="false">IF($G2280="","","同時")</f>
        <v/>
      </c>
      <c r="M2280" s="2" t="str">
        <f aca="false">IF($G2280="","",IF(ISNA(MATCH($G2280,個別指定!$A:$A,0)),"行なし",""))</f>
        <v/>
      </c>
      <c r="N2280" s="2" t="str">
        <f aca="false">IF($G2280="","",IF(COUNTIF($G$2:$G$4460,$G2280)&gt;1,"重複",""))</f>
        <v/>
      </c>
    </row>
    <row r="2281" customFormat="false" ht="16.5" hidden="false" customHeight="true" outlineLevel="0" collapsed="false">
      <c r="A2281" s="2" t="s">
        <v>416</v>
      </c>
      <c r="B2281" s="2" t="s">
        <v>432</v>
      </c>
      <c r="C2281" s="2" t="s">
        <v>25</v>
      </c>
      <c r="D2281" s="2" t="str">
        <f aca="false">IF(3キー同時!$B$201="","",3キー同時!$B$201)</f>
        <v>v</v>
      </c>
      <c r="E2281" s="2" t="str">
        <f aca="false">IF(3キー同時!$G$201="","",3キー同時!$G$201)</f>
        <v>n</v>
      </c>
      <c r="F2281" s="2" t="str">
        <f aca="false">""</f>
        <v/>
      </c>
      <c r="G2281" s="2" t="str">
        <f aca="false">IF(OR(3キー同時!$B$201="",3キー同時!$G$201=""),"",IF(3キー同時!M207="","",SUBSTITUTE(SUBSTITUTE(3キー同時!M207," ",""),"　","")))</f>
        <v/>
      </c>
      <c r="H2281" s="2" t="str">
        <f aca="false">IF($G2281="","",3キー同時!$B$201)</f>
        <v/>
      </c>
      <c r="I2281" s="2" t="str">
        <f aca="false">IF($G2281="","",3キー同時!$G$201)</f>
        <v/>
      </c>
      <c r="J2281" s="2" t="str">
        <f aca="false">IF($G2281="","","s")</f>
        <v/>
      </c>
      <c r="K2281" s="2" t="str">
        <f aca="false">""</f>
        <v/>
      </c>
      <c r="L2281" s="2" t="str">
        <f aca="false">IF($G2281="","","同時")</f>
        <v/>
      </c>
      <c r="M2281" s="2" t="str">
        <f aca="false">IF($G2281="","",IF(ISNA(MATCH($G2281,個別指定!$A:$A,0)),"行なし",""))</f>
        <v/>
      </c>
      <c r="N2281" s="2" t="str">
        <f aca="false">IF($G2281="","",IF(COUNTIF($G$2:$G$4460,$G2281)&gt;1,"重複",""))</f>
        <v/>
      </c>
    </row>
    <row r="2282" customFormat="false" ht="16.5" hidden="false" customHeight="true" outlineLevel="0" collapsed="false">
      <c r="A2282" s="2" t="s">
        <v>416</v>
      </c>
      <c r="B2282" s="2" t="s">
        <v>432</v>
      </c>
      <c r="C2282" s="2" t="s">
        <v>26</v>
      </c>
      <c r="D2282" s="2" t="str">
        <f aca="false">IF(3キー同時!$B$201="","",3キー同時!$B$201)</f>
        <v>v</v>
      </c>
      <c r="E2282" s="2" t="str">
        <f aca="false">IF(3キー同時!$G$201="","",3キー同時!$G$201)</f>
        <v>n</v>
      </c>
      <c r="F2282" s="2" t="str">
        <f aca="false">""</f>
        <v/>
      </c>
      <c r="G2282" s="2" t="str">
        <f aca="false">IF(OR(3キー同時!$B$201="",3キー同時!$G$201=""),"",IF(3キー同時!Q207="","",SUBSTITUTE(SUBSTITUTE(3キー同時!Q207," ",""),"　","")))</f>
        <v/>
      </c>
      <c r="H2282" s="2" t="str">
        <f aca="false">IF($G2282="","",3キー同時!$B$201)</f>
        <v/>
      </c>
      <c r="I2282" s="2" t="str">
        <f aca="false">IF($G2282="","",3キー同時!$G$201)</f>
        <v/>
      </c>
      <c r="J2282" s="2" t="str">
        <f aca="false">IF($G2282="","","d")</f>
        <v/>
      </c>
      <c r="K2282" s="2" t="str">
        <f aca="false">""</f>
        <v/>
      </c>
      <c r="L2282" s="2" t="str">
        <f aca="false">IF($G2282="","","同時")</f>
        <v/>
      </c>
      <c r="M2282" s="2" t="str">
        <f aca="false">IF($G2282="","",IF(ISNA(MATCH($G2282,個別指定!$A:$A,0)),"行なし",""))</f>
        <v/>
      </c>
      <c r="N2282" s="2" t="str">
        <f aca="false">IF($G2282="","",IF(COUNTIF($G$2:$G$4460,$G2282)&gt;1,"重複",""))</f>
        <v/>
      </c>
    </row>
    <row r="2283" customFormat="false" ht="16.5" hidden="false" customHeight="true" outlineLevel="0" collapsed="false">
      <c r="A2283" s="2" t="s">
        <v>416</v>
      </c>
      <c r="B2283" s="2" t="s">
        <v>432</v>
      </c>
      <c r="C2283" s="2" t="s">
        <v>27</v>
      </c>
      <c r="D2283" s="2" t="str">
        <f aca="false">IF(3キー同時!$B$201="","",3キー同時!$B$201)</f>
        <v>v</v>
      </c>
      <c r="E2283" s="2" t="str">
        <f aca="false">IF(3キー同時!$G$201="","",3キー同時!$G$201)</f>
        <v>n</v>
      </c>
      <c r="F2283" s="2" t="str">
        <f aca="false">""</f>
        <v/>
      </c>
      <c r="G2283" s="2" t="str">
        <f aca="false">IF(OR(3キー同時!$B$201="",3キー同時!$G$201=""),"",IF(3キー同時!U207="","",SUBSTITUTE(SUBSTITUTE(3キー同時!U207," ",""),"　","")))</f>
        <v/>
      </c>
      <c r="H2283" s="2" t="str">
        <f aca="false">IF($G2283="","",3キー同時!$B$201)</f>
        <v/>
      </c>
      <c r="I2283" s="2" t="str">
        <f aca="false">IF($G2283="","",3キー同時!$G$201)</f>
        <v/>
      </c>
      <c r="J2283" s="2" t="str">
        <f aca="false">IF($G2283="","","f")</f>
        <v/>
      </c>
      <c r="K2283" s="2" t="str">
        <f aca="false">""</f>
        <v/>
      </c>
      <c r="L2283" s="2" t="str">
        <f aca="false">IF($G2283="","","同時")</f>
        <v/>
      </c>
      <c r="M2283" s="2" t="str">
        <f aca="false">IF($G2283="","",IF(ISNA(MATCH($G2283,個別指定!$A:$A,0)),"行なし",""))</f>
        <v/>
      </c>
      <c r="N2283" s="2" t="str">
        <f aca="false">IF($G2283="","",IF(COUNTIF($G$2:$G$4460,$G2283)&gt;1,"重複",""))</f>
        <v/>
      </c>
    </row>
    <row r="2284" customFormat="false" ht="16.5" hidden="false" customHeight="true" outlineLevel="0" collapsed="false">
      <c r="A2284" s="2" t="s">
        <v>416</v>
      </c>
      <c r="B2284" s="2" t="s">
        <v>432</v>
      </c>
      <c r="C2284" s="2" t="s">
        <v>28</v>
      </c>
      <c r="D2284" s="2" t="str">
        <f aca="false">IF(3キー同時!$B$201="","",3キー同時!$B$201)</f>
        <v>v</v>
      </c>
      <c r="E2284" s="2" t="str">
        <f aca="false">IF(3キー同時!$G$201="","",3キー同時!$G$201)</f>
        <v>n</v>
      </c>
      <c r="F2284" s="2" t="str">
        <f aca="false">""</f>
        <v/>
      </c>
      <c r="G2284" s="2" t="str">
        <f aca="false">IF(OR(3キー同時!$B$201="",3キー同時!$G$201=""),"",IF(3キー同時!Y207="","",SUBSTITUTE(SUBSTITUTE(3キー同時!Y207," ",""),"　","")))</f>
        <v/>
      </c>
      <c r="H2284" s="2" t="str">
        <f aca="false">IF($G2284="","",3キー同時!$B$201)</f>
        <v/>
      </c>
      <c r="I2284" s="2" t="str">
        <f aca="false">IF($G2284="","",3キー同時!$G$201)</f>
        <v/>
      </c>
      <c r="J2284" s="2" t="str">
        <f aca="false">IF($G2284="","","g")</f>
        <v/>
      </c>
      <c r="K2284" s="2" t="str">
        <f aca="false">""</f>
        <v/>
      </c>
      <c r="L2284" s="2" t="str">
        <f aca="false">IF($G2284="","","同時")</f>
        <v/>
      </c>
      <c r="M2284" s="2" t="str">
        <f aca="false">IF($G2284="","",IF(ISNA(MATCH($G2284,個別指定!$A:$A,0)),"行なし",""))</f>
        <v/>
      </c>
      <c r="N2284" s="2" t="str">
        <f aca="false">IF($G2284="","",IF(COUNTIF($G$2:$G$4460,$G2284)&gt;1,"重複",""))</f>
        <v/>
      </c>
    </row>
    <row r="2285" customFormat="false" ht="16.5" hidden="false" customHeight="true" outlineLevel="0" collapsed="false">
      <c r="A2285" s="2" t="s">
        <v>416</v>
      </c>
      <c r="B2285" s="2" t="s">
        <v>432</v>
      </c>
      <c r="C2285" s="2" t="s">
        <v>29</v>
      </c>
      <c r="D2285" s="2" t="str">
        <f aca="false">IF(3キー同時!$B$201="","",3キー同時!$B$201)</f>
        <v>v</v>
      </c>
      <c r="E2285" s="2" t="str">
        <f aca="false">IF(3キー同時!$G$201="","",3キー同時!$G$201)</f>
        <v>n</v>
      </c>
      <c r="F2285" s="2" t="str">
        <f aca="false">""</f>
        <v/>
      </c>
      <c r="G2285" s="2" t="str">
        <f aca="false">IF(OR(3キー同時!$B$201="",3キー同時!$G$201=""),"",IF(3キー同時!AC207="","",SUBSTITUTE(SUBSTITUTE(3キー同時!AC207," ",""),"　","")))</f>
        <v>くぉ</v>
      </c>
      <c r="H2285" s="2" t="str">
        <f aca="false">IF($G2285="","",3キー同時!$B$201)</f>
        <v>v</v>
      </c>
      <c r="I2285" s="2" t="str">
        <f aca="false">IF($G2285="","",3キー同時!$G$201)</f>
        <v>n</v>
      </c>
      <c r="J2285" s="2" t="str">
        <f aca="false">IF($G2285="","","h")</f>
        <v>h</v>
      </c>
      <c r="K2285" s="2" t="str">
        <f aca="false">""</f>
        <v/>
      </c>
      <c r="L2285" s="2" t="str">
        <f aca="false">IF($G2285="","","同時")</f>
        <v>同時</v>
      </c>
      <c r="M2285" s="2" t="str">
        <f aca="false">IF($G2285="","",IF(ISNA(MATCH($G2285,個別指定!$A:$A,0)),"行なし",""))</f>
        <v/>
      </c>
      <c r="N2285" s="2" t="str">
        <f aca="false">IF($G2285="","",IF(COUNTIF($G$2:$G$4460,$G2285)&gt;1,"重複",""))</f>
        <v/>
      </c>
    </row>
    <row r="2286" customFormat="false" ht="16.5" hidden="false" customHeight="true" outlineLevel="0" collapsed="false">
      <c r="A2286" s="2" t="s">
        <v>416</v>
      </c>
      <c r="B2286" s="2" t="s">
        <v>432</v>
      </c>
      <c r="C2286" s="2" t="s">
        <v>30</v>
      </c>
      <c r="D2286" s="2" t="str">
        <f aca="false">IF(3キー同時!$B$201="","",3キー同時!$B$201)</f>
        <v>v</v>
      </c>
      <c r="E2286" s="2" t="str">
        <f aca="false">IF(3キー同時!$G$201="","",3キー同時!$G$201)</f>
        <v>n</v>
      </c>
      <c r="F2286" s="2" t="str">
        <f aca="false">""</f>
        <v/>
      </c>
      <c r="G2286" s="2" t="str">
        <f aca="false">IF(OR(3キー同時!$B$201="",3キー同時!$G$201=""),"",IF(3キー同時!AG207="","",SUBSTITUTE(SUBSTITUTE(3キー同時!AG207," ",""),"　","")))</f>
        <v/>
      </c>
      <c r="H2286" s="2" t="str">
        <f aca="false">IF($G2286="","",3キー同時!$B$201)</f>
        <v/>
      </c>
      <c r="I2286" s="2" t="str">
        <f aca="false">IF($G2286="","",3キー同時!$G$201)</f>
        <v/>
      </c>
      <c r="J2286" s="2" t="str">
        <f aca="false">IF($G2286="","","j")</f>
        <v/>
      </c>
      <c r="K2286" s="2" t="str">
        <f aca="false">""</f>
        <v/>
      </c>
      <c r="L2286" s="2" t="str">
        <f aca="false">IF($G2286="","","同時")</f>
        <v/>
      </c>
      <c r="M2286" s="2" t="str">
        <f aca="false">IF($G2286="","",IF(ISNA(MATCH($G2286,個別指定!$A:$A,0)),"行なし",""))</f>
        <v/>
      </c>
      <c r="N2286" s="2" t="str">
        <f aca="false">IF($G2286="","",IF(COUNTIF($G$2:$G$4460,$G2286)&gt;1,"重複",""))</f>
        <v/>
      </c>
    </row>
    <row r="2287" customFormat="false" ht="16.5" hidden="false" customHeight="true" outlineLevel="0" collapsed="false">
      <c r="A2287" s="2" t="s">
        <v>416</v>
      </c>
      <c r="B2287" s="2" t="s">
        <v>432</v>
      </c>
      <c r="C2287" s="2" t="s">
        <v>31</v>
      </c>
      <c r="D2287" s="2" t="str">
        <f aca="false">IF(3キー同時!$B$201="","",3キー同時!$B$201)</f>
        <v>v</v>
      </c>
      <c r="E2287" s="2" t="str">
        <f aca="false">IF(3キー同時!$G$201="","",3キー同時!$G$201)</f>
        <v>n</v>
      </c>
      <c r="F2287" s="2" t="str">
        <f aca="false">""</f>
        <v/>
      </c>
      <c r="G2287" s="2" t="str">
        <f aca="false">IF(OR(3キー同時!$B$201="",3キー同時!$G$201=""),"",IF(3キー同時!AK207="","",SUBSTITUTE(SUBSTITUTE(3キー同時!AK207," ",""),"　","")))</f>
        <v/>
      </c>
      <c r="H2287" s="2" t="str">
        <f aca="false">IF($G2287="","",3キー同時!$B$201)</f>
        <v/>
      </c>
      <c r="I2287" s="2" t="str">
        <f aca="false">IF($G2287="","",3キー同時!$G$201)</f>
        <v/>
      </c>
      <c r="J2287" s="2" t="str">
        <f aca="false">IF($G2287="","","k")</f>
        <v/>
      </c>
      <c r="K2287" s="2" t="str">
        <f aca="false">""</f>
        <v/>
      </c>
      <c r="L2287" s="2" t="str">
        <f aca="false">IF($G2287="","","同時")</f>
        <v/>
      </c>
      <c r="M2287" s="2" t="str">
        <f aca="false">IF($G2287="","",IF(ISNA(MATCH($G2287,個別指定!$A:$A,0)),"行なし",""))</f>
        <v/>
      </c>
      <c r="N2287" s="2" t="str">
        <f aca="false">IF($G2287="","",IF(COUNTIF($G$2:$G$4460,$G2287)&gt;1,"重複",""))</f>
        <v/>
      </c>
    </row>
    <row r="2288" customFormat="false" ht="16.5" hidden="false" customHeight="true" outlineLevel="0" collapsed="false">
      <c r="A2288" s="2" t="s">
        <v>416</v>
      </c>
      <c r="B2288" s="2" t="s">
        <v>432</v>
      </c>
      <c r="C2288" s="2" t="s">
        <v>32</v>
      </c>
      <c r="D2288" s="2" t="str">
        <f aca="false">IF(3キー同時!$B$201="","",3キー同時!$B$201)</f>
        <v>v</v>
      </c>
      <c r="E2288" s="2" t="str">
        <f aca="false">IF(3キー同時!$G$201="","",3キー同時!$G$201)</f>
        <v>n</v>
      </c>
      <c r="F2288" s="2" t="str">
        <f aca="false">""</f>
        <v/>
      </c>
      <c r="G2288" s="2" t="str">
        <f aca="false">IF(OR(3キー同時!$B$201="",3キー同時!$G$201=""),"",IF(3キー同時!AO207="","",SUBSTITUTE(SUBSTITUTE(3キー同時!AO207," ",""),"　","")))</f>
        <v/>
      </c>
      <c r="H2288" s="2" t="str">
        <f aca="false">IF($G2288="","",3キー同時!$B$201)</f>
        <v/>
      </c>
      <c r="I2288" s="2" t="str">
        <f aca="false">IF($G2288="","",3キー同時!$G$201)</f>
        <v/>
      </c>
      <c r="J2288" s="2" t="str">
        <f aca="false">IF($G2288="","","l")</f>
        <v/>
      </c>
      <c r="K2288" s="2" t="str">
        <f aca="false">""</f>
        <v/>
      </c>
      <c r="L2288" s="2" t="str">
        <f aca="false">IF($G2288="","","同時")</f>
        <v/>
      </c>
      <c r="M2288" s="2" t="str">
        <f aca="false">IF($G2288="","",IF(ISNA(MATCH($G2288,個別指定!$A:$A,0)),"行なし",""))</f>
        <v/>
      </c>
      <c r="N2288" s="2" t="str">
        <f aca="false">IF($G2288="","",IF(COUNTIF($G$2:$G$4460,$G2288)&gt;1,"重複",""))</f>
        <v/>
      </c>
    </row>
    <row r="2289" customFormat="false" ht="16.5" hidden="false" customHeight="true" outlineLevel="0" collapsed="false">
      <c r="A2289" s="2" t="s">
        <v>416</v>
      </c>
      <c r="B2289" s="2" t="s">
        <v>432</v>
      </c>
      <c r="C2289" s="2" t="s">
        <v>33</v>
      </c>
      <c r="D2289" s="2" t="str">
        <f aca="false">IF(3キー同時!$B$201="","",3キー同時!$B$201)</f>
        <v>v</v>
      </c>
      <c r="E2289" s="2" t="str">
        <f aca="false">IF(3キー同時!$G$201="","",3キー同時!$G$201)</f>
        <v>n</v>
      </c>
      <c r="F2289" s="2" t="str">
        <f aca="false">""</f>
        <v/>
      </c>
      <c r="G2289" s="2" t="str">
        <f aca="false">IF(OR(3キー同時!$B$201="",3キー同時!$G$201=""),"",IF(3キー同時!AS207="","",SUBSTITUTE(SUBSTITUTE(3キー同時!AS207," ",""),"　","")))</f>
        <v>ふぉ</v>
      </c>
      <c r="H2289" s="2" t="str">
        <f aca="false">IF($G2289="","",3キー同時!$B$201)</f>
        <v>v</v>
      </c>
      <c r="I2289" s="2" t="str">
        <f aca="false">IF($G2289="","",3キー同時!$G$201)</f>
        <v>n</v>
      </c>
      <c r="J2289" s="2" t="str">
        <f aca="false">IF($G2289="","",";")</f>
        <v>;</v>
      </c>
      <c r="K2289" s="2" t="str">
        <f aca="false">""</f>
        <v/>
      </c>
      <c r="L2289" s="2" t="str">
        <f aca="false">IF($G2289="","","同時")</f>
        <v>同時</v>
      </c>
      <c r="M2289" s="2" t="str">
        <f aca="false">IF($G2289="","",IF(ISNA(MATCH($G2289,個別指定!$A:$A,0)),"行なし",""))</f>
        <v/>
      </c>
      <c r="N2289" s="2" t="str">
        <f aca="false">IF($G2289="","",IF(COUNTIF($G$2:$G$4460,$G2289)&gt;1,"重複",""))</f>
        <v/>
      </c>
    </row>
    <row r="2290" customFormat="false" ht="16.5" hidden="false" customHeight="true" outlineLevel="0" collapsed="false">
      <c r="A2290" s="2" t="s">
        <v>416</v>
      </c>
      <c r="B2290" s="2" t="s">
        <v>432</v>
      </c>
      <c r="C2290" s="2" t="s">
        <v>34</v>
      </c>
      <c r="D2290" s="2" t="str">
        <f aca="false">IF(3キー同時!$B$201="","",3キー同時!$B$201)</f>
        <v>v</v>
      </c>
      <c r="E2290" s="2" t="str">
        <f aca="false">IF(3キー同時!$G$201="","",3キー同時!$G$201)</f>
        <v>n</v>
      </c>
      <c r="F2290" s="2" t="str">
        <f aca="false">""</f>
        <v/>
      </c>
      <c r="G2290" s="2" t="str">
        <f aca="false">IF(OR(3キー同時!$B$201="",3キー同時!$G$201=""),"",IF(3キー同時!AW207="","",SUBSTITUTE(SUBSTITUTE(3キー同時!AW207," ",""),"　","")))</f>
        <v/>
      </c>
      <c r="H2290" s="2" t="str">
        <f aca="false">IF($G2290="","",3キー同時!$B$201)</f>
        <v/>
      </c>
      <c r="I2290" s="2" t="str">
        <f aca="false">IF($G2290="","",3キー同時!$G$201)</f>
        <v/>
      </c>
      <c r="J2290" s="2" t="str">
        <f aca="false">IF($G2290="","","'")</f>
        <v/>
      </c>
      <c r="K2290" s="2" t="str">
        <f aca="false">""</f>
        <v/>
      </c>
      <c r="L2290" s="2" t="str">
        <f aca="false">IF($G2290="","","同時")</f>
        <v/>
      </c>
      <c r="M2290" s="2" t="str">
        <f aca="false">IF($G2290="","",IF(ISNA(MATCH($G2290,個別指定!$A:$A,0)),"行なし",""))</f>
        <v/>
      </c>
      <c r="N2290" s="2" t="str">
        <f aca="false">IF($G2290="","",IF(COUNTIF($G$2:$G$4460,$G2290)&gt;1,"重複",""))</f>
        <v/>
      </c>
    </row>
    <row r="2291" customFormat="false" ht="16.5" hidden="false" customHeight="true" outlineLevel="0" collapsed="false">
      <c r="A2291" s="2" t="s">
        <v>416</v>
      </c>
      <c r="B2291" s="2" t="s">
        <v>432</v>
      </c>
      <c r="C2291" s="2" t="s">
        <v>35</v>
      </c>
      <c r="D2291" s="2" t="str">
        <f aca="false">IF(3キー同時!$B$201="","",3キー同時!$B$201)</f>
        <v>v</v>
      </c>
      <c r="E2291" s="2" t="str">
        <f aca="false">IF(3キー同時!$G$201="","",3キー同時!$G$201)</f>
        <v>n</v>
      </c>
      <c r="F2291" s="2" t="str">
        <f aca="false">""</f>
        <v/>
      </c>
      <c r="G2291" s="2" t="str">
        <f aca="false">IF(OR(3キー同時!$B$201="",3キー同時!$G$201=""),"",IF(3キー同時!K209="","",SUBSTITUTE(SUBSTITUTE(3キー同時!K209," ",""),"　","")))</f>
        <v/>
      </c>
      <c r="H2291" s="2" t="str">
        <f aca="false">IF($G2291="","",3キー同時!$B$201)</f>
        <v/>
      </c>
      <c r="I2291" s="2" t="str">
        <f aca="false">IF($G2291="","",3キー同時!$G$201)</f>
        <v/>
      </c>
      <c r="J2291" s="2" t="str">
        <f aca="false">IF($G2291="","","z")</f>
        <v/>
      </c>
      <c r="K2291" s="2" t="str">
        <f aca="false">""</f>
        <v/>
      </c>
      <c r="L2291" s="2" t="str">
        <f aca="false">IF($G2291="","","同時")</f>
        <v/>
      </c>
      <c r="M2291" s="2" t="str">
        <f aca="false">IF($G2291="","",IF(ISNA(MATCH($G2291,個別指定!$A:$A,0)),"行なし",""))</f>
        <v/>
      </c>
      <c r="N2291" s="2" t="str">
        <f aca="false">IF($G2291="","",IF(COUNTIF($G$2:$G$4460,$G2291)&gt;1,"重複",""))</f>
        <v/>
      </c>
    </row>
    <row r="2292" customFormat="false" ht="16.5" hidden="false" customHeight="true" outlineLevel="0" collapsed="false">
      <c r="A2292" s="2" t="s">
        <v>416</v>
      </c>
      <c r="B2292" s="2" t="s">
        <v>432</v>
      </c>
      <c r="C2292" s="2" t="s">
        <v>36</v>
      </c>
      <c r="D2292" s="2" t="str">
        <f aca="false">IF(3キー同時!$B$201="","",3キー同時!$B$201)</f>
        <v>v</v>
      </c>
      <c r="E2292" s="2" t="str">
        <f aca="false">IF(3キー同時!$G$201="","",3キー同時!$G$201)</f>
        <v>n</v>
      </c>
      <c r="F2292" s="2" t="str">
        <f aca="false">""</f>
        <v/>
      </c>
      <c r="G2292" s="2" t="str">
        <f aca="false">IF(OR(3キー同時!$B$201="",3キー同時!$G$201=""),"",IF(3キー同時!O209="","",SUBSTITUTE(SUBSTITUTE(3キー同時!O209," ",""),"　","")))</f>
        <v/>
      </c>
      <c r="H2292" s="2" t="str">
        <f aca="false">IF($G2292="","",3キー同時!$B$201)</f>
        <v/>
      </c>
      <c r="I2292" s="2" t="str">
        <f aca="false">IF($G2292="","",3キー同時!$G$201)</f>
        <v/>
      </c>
      <c r="J2292" s="2" t="str">
        <f aca="false">IF($G2292="","","x")</f>
        <v/>
      </c>
      <c r="K2292" s="2" t="str">
        <f aca="false">""</f>
        <v/>
      </c>
      <c r="L2292" s="2" t="str">
        <f aca="false">IF($G2292="","","同時")</f>
        <v/>
      </c>
      <c r="M2292" s="2" t="str">
        <f aca="false">IF($G2292="","",IF(ISNA(MATCH($G2292,個別指定!$A:$A,0)),"行なし",""))</f>
        <v/>
      </c>
      <c r="N2292" s="2" t="str">
        <f aca="false">IF($G2292="","",IF(COUNTIF($G$2:$G$4460,$G2292)&gt;1,"重複",""))</f>
        <v/>
      </c>
    </row>
    <row r="2293" customFormat="false" ht="16.5" hidden="false" customHeight="true" outlineLevel="0" collapsed="false">
      <c r="A2293" s="2" t="s">
        <v>416</v>
      </c>
      <c r="B2293" s="2" t="s">
        <v>432</v>
      </c>
      <c r="C2293" s="2" t="s">
        <v>37</v>
      </c>
      <c r="D2293" s="2" t="str">
        <f aca="false">IF(3キー同時!$B$201="","",3キー同時!$B$201)</f>
        <v>v</v>
      </c>
      <c r="E2293" s="2" t="str">
        <f aca="false">IF(3キー同時!$G$201="","",3キー同時!$G$201)</f>
        <v>n</v>
      </c>
      <c r="F2293" s="2" t="str">
        <f aca="false">""</f>
        <v/>
      </c>
      <c r="G2293" s="2" t="str">
        <f aca="false">IF(OR(3キー同時!$B$201="",3キー同時!$G$201=""),"",IF(3キー同時!S209="","",SUBSTITUTE(SUBSTITUTE(3キー同時!S209," ",""),"　","")))</f>
        <v/>
      </c>
      <c r="H2293" s="2" t="str">
        <f aca="false">IF($G2293="","",3キー同時!$B$201)</f>
        <v/>
      </c>
      <c r="I2293" s="2" t="str">
        <f aca="false">IF($G2293="","",3キー同時!$G$201)</f>
        <v/>
      </c>
      <c r="J2293" s="2" t="str">
        <f aca="false">IF($G2293="","","c")</f>
        <v/>
      </c>
      <c r="K2293" s="2" t="str">
        <f aca="false">""</f>
        <v/>
      </c>
      <c r="L2293" s="2" t="str">
        <f aca="false">IF($G2293="","","同時")</f>
        <v/>
      </c>
      <c r="M2293" s="2" t="str">
        <f aca="false">IF($G2293="","",IF(ISNA(MATCH($G2293,個別指定!$A:$A,0)),"行なし",""))</f>
        <v/>
      </c>
      <c r="N2293" s="2" t="str">
        <f aca="false">IF($G2293="","",IF(COUNTIF($G$2:$G$4460,$G2293)&gt;1,"重複",""))</f>
        <v/>
      </c>
    </row>
    <row r="2294" customFormat="false" ht="16.5" hidden="false" customHeight="true" outlineLevel="0" collapsed="false">
      <c r="A2294" s="2" t="s">
        <v>416</v>
      </c>
      <c r="B2294" s="2" t="s">
        <v>432</v>
      </c>
      <c r="C2294" s="2" t="s">
        <v>38</v>
      </c>
      <c r="D2294" s="2" t="str">
        <f aca="false">IF(3キー同時!$B$201="","",3キー同時!$B$201)</f>
        <v>v</v>
      </c>
      <c r="E2294" s="2" t="str">
        <f aca="false">IF(3キー同時!$G$201="","",3キー同時!$G$201)</f>
        <v>n</v>
      </c>
      <c r="F2294" s="2" t="str">
        <f aca="false">""</f>
        <v/>
      </c>
      <c r="G2294" s="2" t="str">
        <f aca="false">IF(OR(3キー同時!$B$201="",3キー同時!$G$201=""),"",IF(3キー同時!W209="","",SUBSTITUTE(SUBSTITUTE(3キー同時!W209," ",""),"　","")))</f>
        <v/>
      </c>
      <c r="H2294" s="2" t="str">
        <f aca="false">IF($G2294="","",3キー同時!$B$201)</f>
        <v/>
      </c>
      <c r="I2294" s="2" t="str">
        <f aca="false">IF($G2294="","",3キー同時!$G$201)</f>
        <v/>
      </c>
      <c r="J2294" s="2" t="str">
        <f aca="false">IF($G2294="","","v")</f>
        <v/>
      </c>
      <c r="K2294" s="2" t="str">
        <f aca="false">""</f>
        <v/>
      </c>
      <c r="L2294" s="2" t="str">
        <f aca="false">IF($G2294="","","同時")</f>
        <v/>
      </c>
      <c r="M2294" s="2" t="str">
        <f aca="false">IF($G2294="","",IF(ISNA(MATCH($G2294,個別指定!$A:$A,0)),"行なし",""))</f>
        <v/>
      </c>
      <c r="N2294" s="2" t="str">
        <f aca="false">IF($G2294="","",IF(COUNTIF($G$2:$G$4460,$G2294)&gt;1,"重複",""))</f>
        <v/>
      </c>
    </row>
    <row r="2295" customFormat="false" ht="16.5" hidden="false" customHeight="true" outlineLevel="0" collapsed="false">
      <c r="A2295" s="2" t="s">
        <v>416</v>
      </c>
      <c r="B2295" s="2" t="s">
        <v>432</v>
      </c>
      <c r="C2295" s="2" t="s">
        <v>39</v>
      </c>
      <c r="D2295" s="2" t="str">
        <f aca="false">IF(3キー同時!$B$201="","",3キー同時!$B$201)</f>
        <v>v</v>
      </c>
      <c r="E2295" s="2" t="str">
        <f aca="false">IF(3キー同時!$G$201="","",3キー同時!$G$201)</f>
        <v>n</v>
      </c>
      <c r="F2295" s="2" t="str">
        <f aca="false">""</f>
        <v/>
      </c>
      <c r="G2295" s="2" t="str">
        <f aca="false">IF(OR(3キー同時!$B$201="",3キー同時!$G$201=""),"",IF(3キー同時!AA209="","",SUBSTITUTE(SUBSTITUTE(3キー同時!AA209," ",""),"　","")))</f>
        <v/>
      </c>
      <c r="H2295" s="2" t="str">
        <f aca="false">IF($G2295="","",3キー同時!$B$201)</f>
        <v/>
      </c>
      <c r="I2295" s="2" t="str">
        <f aca="false">IF($G2295="","",3キー同時!$G$201)</f>
        <v/>
      </c>
      <c r="J2295" s="2" t="str">
        <f aca="false">IF($G2295="","","b")</f>
        <v/>
      </c>
      <c r="K2295" s="2" t="str">
        <f aca="false">""</f>
        <v/>
      </c>
      <c r="L2295" s="2" t="str">
        <f aca="false">IF($G2295="","","同時")</f>
        <v/>
      </c>
      <c r="M2295" s="2" t="str">
        <f aca="false">IF($G2295="","",IF(ISNA(MATCH($G2295,個別指定!$A:$A,0)),"行なし",""))</f>
        <v/>
      </c>
      <c r="N2295" s="2" t="str">
        <f aca="false">IF($G2295="","",IF(COUNTIF($G$2:$G$4460,$G2295)&gt;1,"重複",""))</f>
        <v/>
      </c>
    </row>
    <row r="2296" customFormat="false" ht="16.5" hidden="false" customHeight="true" outlineLevel="0" collapsed="false">
      <c r="A2296" s="2" t="s">
        <v>416</v>
      </c>
      <c r="B2296" s="2" t="s">
        <v>432</v>
      </c>
      <c r="C2296" s="2" t="s">
        <v>40</v>
      </c>
      <c r="D2296" s="2" t="str">
        <f aca="false">IF(3キー同時!$B$201="","",3キー同時!$B$201)</f>
        <v>v</v>
      </c>
      <c r="E2296" s="2" t="str">
        <f aca="false">IF(3キー同時!$G$201="","",3キー同時!$G$201)</f>
        <v>n</v>
      </c>
      <c r="F2296" s="2" t="str">
        <f aca="false">""</f>
        <v/>
      </c>
      <c r="G2296" s="2" t="str">
        <f aca="false">IF(OR(3キー同時!$B$201="",3キー同時!$G$201=""),"",IF(3キー同時!AE209="","",SUBSTITUTE(SUBSTITUTE(3キー同時!AE209," ",""),"　","")))</f>
        <v/>
      </c>
      <c r="H2296" s="2" t="str">
        <f aca="false">IF($G2296="","",3キー同時!$B$201)</f>
        <v/>
      </c>
      <c r="I2296" s="2" t="str">
        <f aca="false">IF($G2296="","",3キー同時!$G$201)</f>
        <v/>
      </c>
      <c r="J2296" s="2" t="str">
        <f aca="false">IF($G2296="","","n")</f>
        <v/>
      </c>
      <c r="K2296" s="2" t="str">
        <f aca="false">""</f>
        <v/>
      </c>
      <c r="L2296" s="2" t="str">
        <f aca="false">IF($G2296="","","同時")</f>
        <v/>
      </c>
      <c r="M2296" s="2" t="str">
        <f aca="false">IF($G2296="","",IF(ISNA(MATCH($G2296,個別指定!$A:$A,0)),"行なし",""))</f>
        <v/>
      </c>
      <c r="N2296" s="2" t="str">
        <f aca="false">IF($G2296="","",IF(COUNTIF($G$2:$G$4460,$G2296)&gt;1,"重複",""))</f>
        <v/>
      </c>
    </row>
    <row r="2297" customFormat="false" ht="16.5" hidden="false" customHeight="true" outlineLevel="0" collapsed="false">
      <c r="A2297" s="2" t="s">
        <v>416</v>
      </c>
      <c r="B2297" s="2" t="s">
        <v>432</v>
      </c>
      <c r="C2297" s="2" t="s">
        <v>41</v>
      </c>
      <c r="D2297" s="2" t="str">
        <f aca="false">IF(3キー同時!$B$201="","",3キー同時!$B$201)</f>
        <v>v</v>
      </c>
      <c r="E2297" s="2" t="str">
        <f aca="false">IF(3キー同時!$G$201="","",3キー同時!$G$201)</f>
        <v>n</v>
      </c>
      <c r="F2297" s="2" t="str">
        <f aca="false">""</f>
        <v/>
      </c>
      <c r="G2297" s="2" t="str">
        <f aca="false">IF(OR(3キー同時!$B$201="",3キー同時!$G$201=""),"",IF(3キー同時!AI209="","",SUBSTITUTE(SUBSTITUTE(3キー同時!AI209," ",""),"　","")))</f>
        <v/>
      </c>
      <c r="H2297" s="2" t="str">
        <f aca="false">IF($G2297="","",3キー同時!$B$201)</f>
        <v/>
      </c>
      <c r="I2297" s="2" t="str">
        <f aca="false">IF($G2297="","",3キー同時!$G$201)</f>
        <v/>
      </c>
      <c r="J2297" s="2" t="str">
        <f aca="false">IF($G2297="","","m")</f>
        <v/>
      </c>
      <c r="K2297" s="2" t="str">
        <f aca="false">""</f>
        <v/>
      </c>
      <c r="L2297" s="2" t="str">
        <f aca="false">IF($G2297="","","同時")</f>
        <v/>
      </c>
      <c r="M2297" s="2" t="str">
        <f aca="false">IF($G2297="","",IF(ISNA(MATCH($G2297,個別指定!$A:$A,0)),"行なし",""))</f>
        <v/>
      </c>
      <c r="N2297" s="2" t="str">
        <f aca="false">IF($G2297="","",IF(COUNTIF($G$2:$G$4460,$G2297)&gt;1,"重複",""))</f>
        <v/>
      </c>
    </row>
    <row r="2298" customFormat="false" ht="16.5" hidden="false" customHeight="true" outlineLevel="0" collapsed="false">
      <c r="A2298" s="2" t="s">
        <v>416</v>
      </c>
      <c r="B2298" s="2" t="s">
        <v>432</v>
      </c>
      <c r="C2298" s="2" t="s">
        <v>42</v>
      </c>
      <c r="D2298" s="2" t="str">
        <f aca="false">IF(3キー同時!$B$201="","",3キー同時!$B$201)</f>
        <v>v</v>
      </c>
      <c r="E2298" s="2" t="str">
        <f aca="false">IF(3キー同時!$G$201="","",3キー同時!$G$201)</f>
        <v>n</v>
      </c>
      <c r="F2298" s="2" t="str">
        <f aca="false">""</f>
        <v/>
      </c>
      <c r="G2298" s="2" t="str">
        <f aca="false">IF(OR(3キー同時!$B$201="",3キー同時!$G$201=""),"",IF(3キー同時!AM209="","",SUBSTITUTE(SUBSTITUTE(3キー同時!AM209," ",""),"　","")))</f>
        <v/>
      </c>
      <c r="H2298" s="2" t="str">
        <f aca="false">IF($G2298="","",3キー同時!$B$201)</f>
        <v/>
      </c>
      <c r="I2298" s="2" t="str">
        <f aca="false">IF($G2298="","",3キー同時!$G$201)</f>
        <v/>
      </c>
      <c r="J2298" s="2" t="str">
        <f aca="false">IF($G2298="","",",")</f>
        <v/>
      </c>
      <c r="K2298" s="2" t="str">
        <f aca="false">""</f>
        <v/>
      </c>
      <c r="L2298" s="2" t="str">
        <f aca="false">IF($G2298="","","同時")</f>
        <v/>
      </c>
      <c r="M2298" s="2" t="str">
        <f aca="false">IF($G2298="","",IF(ISNA(MATCH($G2298,個別指定!$A:$A,0)),"行なし",""))</f>
        <v/>
      </c>
      <c r="N2298" s="2" t="str">
        <f aca="false">IF($G2298="","",IF(COUNTIF($G$2:$G$4460,$G2298)&gt;1,"重複",""))</f>
        <v/>
      </c>
    </row>
    <row r="2299" customFormat="false" ht="16.5" hidden="false" customHeight="true" outlineLevel="0" collapsed="false">
      <c r="A2299" s="2" t="s">
        <v>416</v>
      </c>
      <c r="B2299" s="2" t="s">
        <v>432</v>
      </c>
      <c r="C2299" s="2" t="s">
        <v>43</v>
      </c>
      <c r="D2299" s="2" t="str">
        <f aca="false">IF(3キー同時!$B$201="","",3キー同時!$B$201)</f>
        <v>v</v>
      </c>
      <c r="E2299" s="2" t="str">
        <f aca="false">IF(3キー同時!$G$201="","",3キー同時!$G$201)</f>
        <v>n</v>
      </c>
      <c r="F2299" s="2" t="str">
        <f aca="false">""</f>
        <v/>
      </c>
      <c r="G2299" s="2" t="str">
        <f aca="false">IF(OR(3キー同時!$B$201="",3キー同時!$G$201=""),"",IF(3キー同時!AQ209="","",SUBSTITUTE(SUBSTITUTE(3キー同時!AQ209," ",""),"　","")))</f>
        <v/>
      </c>
      <c r="H2299" s="2" t="str">
        <f aca="false">IF($G2299="","",3キー同時!$B$201)</f>
        <v/>
      </c>
      <c r="I2299" s="2" t="str">
        <f aca="false">IF($G2299="","",3キー同時!$G$201)</f>
        <v/>
      </c>
      <c r="J2299" s="2" t="str">
        <f aca="false">IF($G2299="","",".")</f>
        <v/>
      </c>
      <c r="K2299" s="2" t="str">
        <f aca="false">""</f>
        <v/>
      </c>
      <c r="L2299" s="2" t="str">
        <f aca="false">IF($G2299="","","同時")</f>
        <v/>
      </c>
      <c r="M2299" s="2" t="str">
        <f aca="false">IF($G2299="","",IF(ISNA(MATCH($G2299,個別指定!$A:$A,0)),"行なし",""))</f>
        <v/>
      </c>
      <c r="N2299" s="2" t="str">
        <f aca="false">IF($G2299="","",IF(COUNTIF($G$2:$G$4460,$G2299)&gt;1,"重複",""))</f>
        <v/>
      </c>
    </row>
    <row r="2300" customFormat="false" ht="16.5" hidden="false" customHeight="true" outlineLevel="0" collapsed="false">
      <c r="A2300" s="2" t="s">
        <v>416</v>
      </c>
      <c r="B2300" s="2" t="s">
        <v>432</v>
      </c>
      <c r="C2300" s="2" t="s">
        <v>44</v>
      </c>
      <c r="D2300" s="2" t="str">
        <f aca="false">IF(3キー同時!$B$201="","",3キー同時!$B$201)</f>
        <v>v</v>
      </c>
      <c r="E2300" s="2" t="str">
        <f aca="false">IF(3キー同時!$G$201="","",3キー同時!$G$201)</f>
        <v>n</v>
      </c>
      <c r="F2300" s="2" t="str">
        <f aca="false">""</f>
        <v/>
      </c>
      <c r="G2300" s="2" t="str">
        <f aca="false">IF(OR(3キー同時!$B$201="",3キー同時!$G$201=""),"",IF(3キー同時!AU209="","",SUBSTITUTE(SUBSTITUTE(3キー同時!AU209," ",""),"　","")))</f>
        <v/>
      </c>
      <c r="H2300" s="2" t="str">
        <f aca="false">IF($G2300="","",3キー同時!$B$201)</f>
        <v/>
      </c>
      <c r="I2300" s="2" t="str">
        <f aca="false">IF($G2300="","",3キー同時!$G$201)</f>
        <v/>
      </c>
      <c r="J2300" s="2" t="str">
        <f aca="false">IF($G2300="","","/")</f>
        <v/>
      </c>
      <c r="K2300" s="2" t="str">
        <f aca="false">""</f>
        <v/>
      </c>
      <c r="L2300" s="2" t="str">
        <f aca="false">IF($G2300="","","同時")</f>
        <v/>
      </c>
      <c r="M2300" s="2" t="str">
        <f aca="false">IF($G2300="","",IF(ISNA(MATCH($G2300,個別指定!$A:$A,0)),"行なし",""))</f>
        <v/>
      </c>
      <c r="N2300" s="2" t="str">
        <f aca="false">IF($G2300="","",IF(COUNTIF($G$2:$G$4460,$G2300)&gt;1,"重複",""))</f>
        <v/>
      </c>
    </row>
    <row r="2301" customFormat="false" ht="16.5" hidden="false" customHeight="true" outlineLevel="0" collapsed="false">
      <c r="A2301" s="2" t="s">
        <v>416</v>
      </c>
      <c r="B2301" s="2" t="s">
        <v>432</v>
      </c>
      <c r="C2301" s="2" t="s">
        <v>48</v>
      </c>
      <c r="D2301" s="2" t="str">
        <f aca="false">IF(3キー同時!$B$201="","",3キー同時!$B$201)</f>
        <v>v</v>
      </c>
      <c r="E2301" s="2" t="str">
        <f aca="false">IF(3キー同時!$G$201="","",3キー同時!$G$201)</f>
        <v>n</v>
      </c>
      <c r="F2301" s="2" t="str">
        <f aca="false">""</f>
        <v/>
      </c>
      <c r="G2301" s="2" t="str">
        <f aca="false">IF(OR(3キー同時!$B$201="",3キー同時!$G$201=""),"",IF(3キー同時!P211="","",SUBSTITUTE(SUBSTITUTE(3キー同時!P211," ",""),"　","")))</f>
        <v/>
      </c>
      <c r="H2301" s="2" t="str">
        <f aca="false">IF($G2301="","",3キー同時!$B$201)</f>
        <v/>
      </c>
      <c r="I2301" s="2" t="str">
        <f aca="false">IF($G2301="","",3キー同時!$G$201)</f>
        <v/>
      </c>
      <c r="J2301" s="2" t="str">
        <f aca="false">IF($G2301="","","muhenkan")</f>
        <v/>
      </c>
      <c r="K2301" s="2" t="str">
        <f aca="false">""</f>
        <v/>
      </c>
      <c r="L2301" s="2" t="str">
        <f aca="false">IF($G2301="","","同時")</f>
        <v/>
      </c>
      <c r="M2301" s="2" t="str">
        <f aca="false">IF($G2301="","",IF(ISNA(MATCH($G2301,個別指定!$A:$A,0)),"行なし",""))</f>
        <v/>
      </c>
      <c r="N2301" s="2" t="str">
        <f aca="false">IF($G2301="","",IF(COUNTIF($G$2:$G$4460,$G2301)&gt;1,"重複",""))</f>
        <v/>
      </c>
    </row>
    <row r="2302" customFormat="false" ht="16.5" hidden="false" customHeight="true" outlineLevel="0" collapsed="false">
      <c r="A2302" s="2" t="s">
        <v>416</v>
      </c>
      <c r="B2302" s="2" t="s">
        <v>432</v>
      </c>
      <c r="C2302" s="2" t="s">
        <v>50</v>
      </c>
      <c r="D2302" s="2" t="str">
        <f aca="false">IF(3キー同時!$B$201="","",3キー同時!$B$201)</f>
        <v>v</v>
      </c>
      <c r="E2302" s="2" t="str">
        <f aca="false">IF(3キー同時!$G$201="","",3キー同時!$G$201)</f>
        <v>n</v>
      </c>
      <c r="F2302" s="2" t="str">
        <f aca="false">""</f>
        <v/>
      </c>
      <c r="G2302" s="2" t="str">
        <f aca="false">IF(OR(3キー同時!$B$201="",3キー同時!$G$201=""),"",IF(3キー同時!T211="","",SUBSTITUTE(SUBSTITUTE(3キー同時!T211," ",""),"　","")))</f>
        <v/>
      </c>
      <c r="H2302" s="2" t="str">
        <f aca="false">IF($G2302="","",3キー同時!$B$201)</f>
        <v/>
      </c>
      <c r="I2302" s="2" t="str">
        <f aca="false">IF($G2302="","",3キー同時!$G$201)</f>
        <v/>
      </c>
      <c r="J2302" s="2" t="str">
        <f aca="false">IF($G2302="","","space")</f>
        <v/>
      </c>
      <c r="K2302" s="2" t="str">
        <f aca="false">""</f>
        <v/>
      </c>
      <c r="L2302" s="2" t="str">
        <f aca="false">IF($G2302="","","同時")</f>
        <v/>
      </c>
      <c r="M2302" s="2" t="str">
        <f aca="false">IF($G2302="","",IF(ISNA(MATCH($G2302,個別指定!$A:$A,0)),"行なし",""))</f>
        <v/>
      </c>
      <c r="N2302" s="2" t="str">
        <f aca="false">IF($G2302="","",IF(COUNTIF($G$2:$G$4460,$G2302)&gt;1,"重複",""))</f>
        <v/>
      </c>
    </row>
    <row r="2303" customFormat="false" ht="16.5" hidden="false" customHeight="true" outlineLevel="0" collapsed="false">
      <c r="A2303" s="2" t="s">
        <v>416</v>
      </c>
      <c r="B2303" s="2" t="s">
        <v>432</v>
      </c>
      <c r="C2303" s="2" t="s">
        <v>45</v>
      </c>
      <c r="D2303" s="2" t="str">
        <f aca="false">IF(3キー同時!$B$201="","",3キー同時!$B$201)</f>
        <v>v</v>
      </c>
      <c r="E2303" s="2" t="str">
        <f aca="false">IF(3キー同時!$G$201="","",3キー同時!$G$201)</f>
        <v>n</v>
      </c>
      <c r="F2303" s="2" t="str">
        <f aca="false">""</f>
        <v/>
      </c>
      <c r="G2303" s="2" t="str">
        <f aca="false">IF(OR(3キー同時!$B$201="",3キー同時!$G$201=""),"",IF(3キー同時!AL211="","",SUBSTITUTE(SUBSTITUTE(3キー同時!AL211," ",""),"　","")))</f>
        <v/>
      </c>
      <c r="H2303" s="2" t="str">
        <f aca="false">IF($G2303="","",3キー同時!$B$201)</f>
        <v/>
      </c>
      <c r="I2303" s="2" t="str">
        <f aca="false">IF($G2303="","",3キー同時!$G$201)</f>
        <v/>
      </c>
      <c r="J2303" s="2" t="str">
        <f aca="false">IF($G2303="","","henkan")</f>
        <v/>
      </c>
      <c r="K2303" s="2" t="str">
        <f aca="false">""</f>
        <v/>
      </c>
      <c r="L2303" s="2" t="str">
        <f aca="false">IF($G2303="","","同時")</f>
        <v/>
      </c>
      <c r="M2303" s="2" t="str">
        <f aca="false">IF($G2303="","",IF(ISNA(MATCH($G2303,個別指定!$A:$A,0)),"行なし",""))</f>
        <v/>
      </c>
      <c r="N2303" s="2" t="str">
        <f aca="false">IF($G2303="","",IF(COUNTIF($G$2:$G$4460,$G2303)&gt;1,"重複",""))</f>
        <v/>
      </c>
    </row>
    <row r="2304" customFormat="false" ht="16.5" hidden="false" customHeight="true" outlineLevel="0" collapsed="false">
      <c r="A2304" s="2" t="s">
        <v>416</v>
      </c>
      <c r="B2304" s="2" t="s">
        <v>432</v>
      </c>
      <c r="C2304" s="2" t="s">
        <v>46</v>
      </c>
      <c r="D2304" s="2" t="str">
        <f aca="false">IF(3キー同時!$B$201="","",3キー同時!$B$201)</f>
        <v>v</v>
      </c>
      <c r="E2304" s="2" t="str">
        <f aca="false">IF(3キー同時!$G$201="","",3キー同時!$G$201)</f>
        <v>n</v>
      </c>
      <c r="F2304" s="2" t="str">
        <f aca="false">""</f>
        <v/>
      </c>
      <c r="G2304" s="2" t="str">
        <f aca="false">IF(OR(3キー同時!$B$201="",3キー同時!$G$201=""),"",IF(3キー同時!AP211="","",SUBSTITUTE(SUBSTITUTE(3キー同時!AP211," ",""),"　","")))</f>
        <v/>
      </c>
      <c r="H2304" s="2" t="str">
        <f aca="false">IF($G2304="","",3キー同時!$B$201)</f>
        <v/>
      </c>
      <c r="I2304" s="2" t="str">
        <f aca="false">IF($G2304="","",3キー同時!$G$201)</f>
        <v/>
      </c>
      <c r="J2304" s="2" t="str">
        <f aca="false">IF($G2304="","","kana")</f>
        <v/>
      </c>
      <c r="K2304" s="2" t="str">
        <f aca="false">""</f>
        <v/>
      </c>
      <c r="L2304" s="2" t="str">
        <f aca="false">IF($G2304="","","同時")</f>
        <v/>
      </c>
      <c r="M2304" s="2" t="str">
        <f aca="false">IF($G2304="","",IF(ISNA(MATCH($G2304,個別指定!$A:$A,0)),"行なし",""))</f>
        <v/>
      </c>
      <c r="N2304" s="2" t="str">
        <f aca="false">IF($G2304="","",IF(COUNTIF($G$2:$G$4460,$G2304)&gt;1,"重複",""))</f>
        <v/>
      </c>
    </row>
    <row r="2305" customFormat="false" ht="16.5" hidden="false" customHeight="true" outlineLevel="0" collapsed="false">
      <c r="A2305" s="2" t="s">
        <v>416</v>
      </c>
      <c r="B2305" s="2" t="s">
        <v>433</v>
      </c>
      <c r="C2305" s="2" t="s">
        <v>0</v>
      </c>
      <c r="D2305" s="2" t="str">
        <f aca="false">IF(3キー同時!$B$214="","",3キー同時!$B$214)</f>
        <v>v</v>
      </c>
      <c r="E2305" s="2" t="str">
        <f aca="false">IF(3キー同時!$G$214="","",3キー同時!$G$214)</f>
        <v>p</v>
      </c>
      <c r="F2305" s="2" t="str">
        <f aca="false">""</f>
        <v/>
      </c>
      <c r="G2305" s="2" t="str">
        <f aca="false">IF(OR(3キー同時!$B$214="",3キー同時!$G$214=""),"",IF(3キー同時!F216="","",SUBSTITUTE(SUBSTITUTE(3キー同時!F216," ",""),"　","")))</f>
        <v/>
      </c>
      <c r="H2305" s="2" t="str">
        <f aca="false">IF($G2305="","",3キー同時!$B$214)</f>
        <v/>
      </c>
      <c r="I2305" s="2" t="str">
        <f aca="false">IF($G2305="","",3キー同時!$G$214)</f>
        <v/>
      </c>
      <c r="J2305" s="2" t="str">
        <f aca="false">IF($G2305="","","1")</f>
        <v/>
      </c>
      <c r="K2305" s="2" t="str">
        <f aca="false">""</f>
        <v/>
      </c>
      <c r="L2305" s="2" t="str">
        <f aca="false">IF($G2305="","","同時")</f>
        <v/>
      </c>
      <c r="M2305" s="2" t="str">
        <f aca="false">IF($G2305="","",IF(ISNA(MATCH($G2305,個別指定!$A:$A,0)),"行なし",""))</f>
        <v/>
      </c>
      <c r="N2305" s="2" t="str">
        <f aca="false">IF($G2305="","",IF(COUNTIF($G$2:$G$4460,$G2305)&gt;1,"重複",""))</f>
        <v/>
      </c>
    </row>
    <row r="2306" customFormat="false" ht="16.5" hidden="false" customHeight="true" outlineLevel="0" collapsed="false">
      <c r="A2306" s="2" t="s">
        <v>416</v>
      </c>
      <c r="B2306" s="2" t="s">
        <v>433</v>
      </c>
      <c r="C2306" s="2" t="s">
        <v>1</v>
      </c>
      <c r="D2306" s="2" t="str">
        <f aca="false">IF(3キー同時!$B$214="","",3キー同時!$B$214)</f>
        <v>v</v>
      </c>
      <c r="E2306" s="2" t="str">
        <f aca="false">IF(3キー同時!$G$214="","",3キー同時!$G$214)</f>
        <v>p</v>
      </c>
      <c r="F2306" s="2" t="str">
        <f aca="false">""</f>
        <v/>
      </c>
      <c r="G2306" s="2" t="str">
        <f aca="false">IF(OR(3キー同時!$B$214="",3キー同時!$G$214=""),"",IF(3キー同時!J216="","",SUBSTITUTE(SUBSTITUTE(3キー同時!J216," ",""),"　","")))</f>
        <v/>
      </c>
      <c r="H2306" s="2" t="str">
        <f aca="false">IF($G2306="","",3キー同時!$B$214)</f>
        <v/>
      </c>
      <c r="I2306" s="2" t="str">
        <f aca="false">IF($G2306="","",3キー同時!$G$214)</f>
        <v/>
      </c>
      <c r="J2306" s="2" t="str">
        <f aca="false">IF($G2306="","","2")</f>
        <v/>
      </c>
      <c r="K2306" s="2" t="str">
        <f aca="false">""</f>
        <v/>
      </c>
      <c r="L2306" s="2" t="str">
        <f aca="false">IF($G2306="","","同時")</f>
        <v/>
      </c>
      <c r="M2306" s="2" t="str">
        <f aca="false">IF($G2306="","",IF(ISNA(MATCH($G2306,個別指定!$A:$A,0)),"行なし",""))</f>
        <v/>
      </c>
      <c r="N2306" s="2" t="str">
        <f aca="false">IF($G2306="","",IF(COUNTIF($G$2:$G$4460,$G2306)&gt;1,"重複",""))</f>
        <v/>
      </c>
    </row>
    <row r="2307" customFormat="false" ht="16.5" hidden="false" customHeight="true" outlineLevel="0" collapsed="false">
      <c r="A2307" s="2" t="s">
        <v>416</v>
      </c>
      <c r="B2307" s="2" t="s">
        <v>433</v>
      </c>
      <c r="C2307" s="2" t="s">
        <v>2</v>
      </c>
      <c r="D2307" s="2" t="str">
        <f aca="false">IF(3キー同時!$B$214="","",3キー同時!$B$214)</f>
        <v>v</v>
      </c>
      <c r="E2307" s="2" t="str">
        <f aca="false">IF(3キー同時!$G$214="","",3キー同時!$G$214)</f>
        <v>p</v>
      </c>
      <c r="F2307" s="2" t="str">
        <f aca="false">""</f>
        <v/>
      </c>
      <c r="G2307" s="2" t="str">
        <f aca="false">IF(OR(3キー同時!$B$214="",3キー同時!$G$214=""),"",IF(3キー同時!N216="","",SUBSTITUTE(SUBSTITUTE(3キー同時!N216," ",""),"　","")))</f>
        <v/>
      </c>
      <c r="H2307" s="2" t="str">
        <f aca="false">IF($G2307="","",3キー同時!$B$214)</f>
        <v/>
      </c>
      <c r="I2307" s="2" t="str">
        <f aca="false">IF($G2307="","",3キー同時!$G$214)</f>
        <v/>
      </c>
      <c r="J2307" s="2" t="str">
        <f aca="false">IF($G2307="","","3")</f>
        <v/>
      </c>
      <c r="K2307" s="2" t="str">
        <f aca="false">""</f>
        <v/>
      </c>
      <c r="L2307" s="2" t="str">
        <f aca="false">IF($G2307="","","同時")</f>
        <v/>
      </c>
      <c r="M2307" s="2" t="str">
        <f aca="false">IF($G2307="","",IF(ISNA(MATCH($G2307,個別指定!$A:$A,0)),"行なし",""))</f>
        <v/>
      </c>
      <c r="N2307" s="2" t="str">
        <f aca="false">IF($G2307="","",IF(COUNTIF($G$2:$G$4460,$G2307)&gt;1,"重複",""))</f>
        <v/>
      </c>
    </row>
    <row r="2308" customFormat="false" ht="16.5" hidden="false" customHeight="true" outlineLevel="0" collapsed="false">
      <c r="A2308" s="2" t="s">
        <v>416</v>
      </c>
      <c r="B2308" s="2" t="s">
        <v>433</v>
      </c>
      <c r="C2308" s="2" t="s">
        <v>3</v>
      </c>
      <c r="D2308" s="2" t="str">
        <f aca="false">IF(3キー同時!$B$214="","",3キー同時!$B$214)</f>
        <v>v</v>
      </c>
      <c r="E2308" s="2" t="str">
        <f aca="false">IF(3キー同時!$G$214="","",3キー同時!$G$214)</f>
        <v>p</v>
      </c>
      <c r="F2308" s="2" t="str">
        <f aca="false">""</f>
        <v/>
      </c>
      <c r="G2308" s="2" t="str">
        <f aca="false">IF(OR(3キー同時!$B$214="",3キー同時!$G$214=""),"",IF(3キー同時!R216="","",SUBSTITUTE(SUBSTITUTE(3キー同時!R216," ",""),"　","")))</f>
        <v/>
      </c>
      <c r="H2308" s="2" t="str">
        <f aca="false">IF($G2308="","",3キー同時!$B$214)</f>
        <v/>
      </c>
      <c r="I2308" s="2" t="str">
        <f aca="false">IF($G2308="","",3キー同時!$G$214)</f>
        <v/>
      </c>
      <c r="J2308" s="2" t="str">
        <f aca="false">IF($G2308="","","4")</f>
        <v/>
      </c>
      <c r="K2308" s="2" t="str">
        <f aca="false">""</f>
        <v/>
      </c>
      <c r="L2308" s="2" t="str">
        <f aca="false">IF($G2308="","","同時")</f>
        <v/>
      </c>
      <c r="M2308" s="2" t="str">
        <f aca="false">IF($G2308="","",IF(ISNA(MATCH($G2308,個別指定!$A:$A,0)),"行なし",""))</f>
        <v/>
      </c>
      <c r="N2308" s="2" t="str">
        <f aca="false">IF($G2308="","",IF(COUNTIF($G$2:$G$4460,$G2308)&gt;1,"重複",""))</f>
        <v/>
      </c>
    </row>
    <row r="2309" customFormat="false" ht="16.5" hidden="false" customHeight="true" outlineLevel="0" collapsed="false">
      <c r="A2309" s="2" t="s">
        <v>416</v>
      </c>
      <c r="B2309" s="2" t="s">
        <v>433</v>
      </c>
      <c r="C2309" s="2" t="s">
        <v>4</v>
      </c>
      <c r="D2309" s="2" t="str">
        <f aca="false">IF(3キー同時!$B$214="","",3キー同時!$B$214)</f>
        <v>v</v>
      </c>
      <c r="E2309" s="2" t="str">
        <f aca="false">IF(3キー同時!$G$214="","",3キー同時!$G$214)</f>
        <v>p</v>
      </c>
      <c r="F2309" s="2" t="str">
        <f aca="false">""</f>
        <v/>
      </c>
      <c r="G2309" s="2" t="str">
        <f aca="false">IF(OR(3キー同時!$B$214="",3キー同時!$G$214=""),"",IF(3キー同時!V216="","",SUBSTITUTE(SUBSTITUTE(3キー同時!V216," ",""),"　","")))</f>
        <v/>
      </c>
      <c r="H2309" s="2" t="str">
        <f aca="false">IF($G2309="","",3キー同時!$B$214)</f>
        <v/>
      </c>
      <c r="I2309" s="2" t="str">
        <f aca="false">IF($G2309="","",3キー同時!$G$214)</f>
        <v/>
      </c>
      <c r="J2309" s="2" t="str">
        <f aca="false">IF($G2309="","","5")</f>
        <v/>
      </c>
      <c r="K2309" s="2" t="str">
        <f aca="false">""</f>
        <v/>
      </c>
      <c r="L2309" s="2" t="str">
        <f aca="false">IF($G2309="","","同時")</f>
        <v/>
      </c>
      <c r="M2309" s="2" t="str">
        <f aca="false">IF($G2309="","",IF(ISNA(MATCH($G2309,個別指定!$A:$A,0)),"行なし",""))</f>
        <v/>
      </c>
      <c r="N2309" s="2" t="str">
        <f aca="false">IF($G2309="","",IF(COUNTIF($G$2:$G$4460,$G2309)&gt;1,"重複",""))</f>
        <v/>
      </c>
    </row>
    <row r="2310" customFormat="false" ht="16.5" hidden="false" customHeight="true" outlineLevel="0" collapsed="false">
      <c r="A2310" s="2" t="s">
        <v>416</v>
      </c>
      <c r="B2310" s="2" t="s">
        <v>433</v>
      </c>
      <c r="C2310" s="2" t="s">
        <v>5</v>
      </c>
      <c r="D2310" s="2" t="str">
        <f aca="false">IF(3キー同時!$B$214="","",3キー同時!$B$214)</f>
        <v>v</v>
      </c>
      <c r="E2310" s="2" t="str">
        <f aca="false">IF(3キー同時!$G$214="","",3キー同時!$G$214)</f>
        <v>p</v>
      </c>
      <c r="F2310" s="2" t="str">
        <f aca="false">""</f>
        <v/>
      </c>
      <c r="G2310" s="2" t="str">
        <f aca="false">IF(OR(3キー同時!$B$214="",3キー同時!$G$214=""),"",IF(3キー同時!Z216="","",SUBSTITUTE(SUBSTITUTE(3キー同時!Z216," ",""),"　","")))</f>
        <v/>
      </c>
      <c r="H2310" s="2" t="str">
        <f aca="false">IF($G2310="","",3キー同時!$B$214)</f>
        <v/>
      </c>
      <c r="I2310" s="2" t="str">
        <f aca="false">IF($G2310="","",3キー同時!$G$214)</f>
        <v/>
      </c>
      <c r="J2310" s="2" t="str">
        <f aca="false">IF($G2310="","","6")</f>
        <v/>
      </c>
      <c r="K2310" s="2" t="str">
        <f aca="false">""</f>
        <v/>
      </c>
      <c r="L2310" s="2" t="str">
        <f aca="false">IF($G2310="","","同時")</f>
        <v/>
      </c>
      <c r="M2310" s="2" t="str">
        <f aca="false">IF($G2310="","",IF(ISNA(MATCH($G2310,個別指定!$A:$A,0)),"行なし",""))</f>
        <v/>
      </c>
      <c r="N2310" s="2" t="str">
        <f aca="false">IF($G2310="","",IF(COUNTIF($G$2:$G$4460,$G2310)&gt;1,"重複",""))</f>
        <v/>
      </c>
    </row>
    <row r="2311" customFormat="false" ht="16.5" hidden="false" customHeight="true" outlineLevel="0" collapsed="false">
      <c r="A2311" s="2" t="s">
        <v>416</v>
      </c>
      <c r="B2311" s="2" t="s">
        <v>433</v>
      </c>
      <c r="C2311" s="2" t="s">
        <v>6</v>
      </c>
      <c r="D2311" s="2" t="str">
        <f aca="false">IF(3キー同時!$B$214="","",3キー同時!$B$214)</f>
        <v>v</v>
      </c>
      <c r="E2311" s="2" t="str">
        <f aca="false">IF(3キー同時!$G$214="","",3キー同時!$G$214)</f>
        <v>p</v>
      </c>
      <c r="F2311" s="2" t="str">
        <f aca="false">""</f>
        <v/>
      </c>
      <c r="G2311" s="2" t="str">
        <f aca="false">IF(OR(3キー同時!$B$214="",3キー同時!$G$214=""),"",IF(3キー同時!AD216="","",SUBSTITUTE(SUBSTITUTE(3キー同時!AD216," ",""),"　","")))</f>
        <v/>
      </c>
      <c r="H2311" s="2" t="str">
        <f aca="false">IF($G2311="","",3キー同時!$B$214)</f>
        <v/>
      </c>
      <c r="I2311" s="2" t="str">
        <f aca="false">IF($G2311="","",3キー同時!$G$214)</f>
        <v/>
      </c>
      <c r="J2311" s="2" t="str">
        <f aca="false">IF($G2311="","","7")</f>
        <v/>
      </c>
      <c r="K2311" s="2" t="str">
        <f aca="false">""</f>
        <v/>
      </c>
      <c r="L2311" s="2" t="str">
        <f aca="false">IF($G2311="","","同時")</f>
        <v/>
      </c>
      <c r="M2311" s="2" t="str">
        <f aca="false">IF($G2311="","",IF(ISNA(MATCH($G2311,個別指定!$A:$A,0)),"行なし",""))</f>
        <v/>
      </c>
      <c r="N2311" s="2" t="str">
        <f aca="false">IF($G2311="","",IF(COUNTIF($G$2:$G$4460,$G2311)&gt;1,"重複",""))</f>
        <v/>
      </c>
    </row>
    <row r="2312" customFormat="false" ht="16.5" hidden="false" customHeight="true" outlineLevel="0" collapsed="false">
      <c r="A2312" s="2" t="s">
        <v>416</v>
      </c>
      <c r="B2312" s="2" t="s">
        <v>433</v>
      </c>
      <c r="C2312" s="2" t="s">
        <v>7</v>
      </c>
      <c r="D2312" s="2" t="str">
        <f aca="false">IF(3キー同時!$B$214="","",3キー同時!$B$214)</f>
        <v>v</v>
      </c>
      <c r="E2312" s="2" t="str">
        <f aca="false">IF(3キー同時!$G$214="","",3キー同時!$G$214)</f>
        <v>p</v>
      </c>
      <c r="F2312" s="2" t="str">
        <f aca="false">""</f>
        <v/>
      </c>
      <c r="G2312" s="2" t="str">
        <f aca="false">IF(OR(3キー同時!$B$214="",3キー同時!$G$214=""),"",IF(3キー同時!AH216="","",SUBSTITUTE(SUBSTITUTE(3キー同時!AH216," ",""),"　","")))</f>
        <v/>
      </c>
      <c r="H2312" s="2" t="str">
        <f aca="false">IF($G2312="","",3キー同時!$B$214)</f>
        <v/>
      </c>
      <c r="I2312" s="2" t="str">
        <f aca="false">IF($G2312="","",3キー同時!$G$214)</f>
        <v/>
      </c>
      <c r="J2312" s="2" t="str">
        <f aca="false">IF($G2312="","","8")</f>
        <v/>
      </c>
      <c r="K2312" s="2" t="str">
        <f aca="false">""</f>
        <v/>
      </c>
      <c r="L2312" s="2" t="str">
        <f aca="false">IF($G2312="","","同時")</f>
        <v/>
      </c>
      <c r="M2312" s="2" t="str">
        <f aca="false">IF($G2312="","",IF(ISNA(MATCH($G2312,個別指定!$A:$A,0)),"行なし",""))</f>
        <v/>
      </c>
      <c r="N2312" s="2" t="str">
        <f aca="false">IF($G2312="","",IF(COUNTIF($G$2:$G$4460,$G2312)&gt;1,"重複",""))</f>
        <v/>
      </c>
    </row>
    <row r="2313" customFormat="false" ht="16.5" hidden="false" customHeight="true" outlineLevel="0" collapsed="false">
      <c r="A2313" s="2" t="s">
        <v>416</v>
      </c>
      <c r="B2313" s="2" t="s">
        <v>433</v>
      </c>
      <c r="C2313" s="2" t="s">
        <v>8</v>
      </c>
      <c r="D2313" s="2" t="str">
        <f aca="false">IF(3キー同時!$B$214="","",3キー同時!$B$214)</f>
        <v>v</v>
      </c>
      <c r="E2313" s="2" t="str">
        <f aca="false">IF(3キー同時!$G$214="","",3キー同時!$G$214)</f>
        <v>p</v>
      </c>
      <c r="F2313" s="2" t="str">
        <f aca="false">""</f>
        <v/>
      </c>
      <c r="G2313" s="2" t="str">
        <f aca="false">IF(OR(3キー同時!$B$214="",3キー同時!$G$214=""),"",IF(3キー同時!AL216="","",SUBSTITUTE(SUBSTITUTE(3キー同時!AL216," ",""),"　","")))</f>
        <v/>
      </c>
      <c r="H2313" s="2" t="str">
        <f aca="false">IF($G2313="","",3キー同時!$B$214)</f>
        <v/>
      </c>
      <c r="I2313" s="2" t="str">
        <f aca="false">IF($G2313="","",3キー同時!$G$214)</f>
        <v/>
      </c>
      <c r="J2313" s="2" t="str">
        <f aca="false">IF($G2313="","","9")</f>
        <v/>
      </c>
      <c r="K2313" s="2" t="str">
        <f aca="false">""</f>
        <v/>
      </c>
      <c r="L2313" s="2" t="str">
        <f aca="false">IF($G2313="","","同時")</f>
        <v/>
      </c>
      <c r="M2313" s="2" t="str">
        <f aca="false">IF($G2313="","",IF(ISNA(MATCH($G2313,個別指定!$A:$A,0)),"行なし",""))</f>
        <v/>
      </c>
      <c r="N2313" s="2" t="str">
        <f aca="false">IF($G2313="","",IF(COUNTIF($G$2:$G$4460,$G2313)&gt;1,"重複",""))</f>
        <v/>
      </c>
    </row>
    <row r="2314" customFormat="false" ht="16.5" hidden="false" customHeight="true" outlineLevel="0" collapsed="false">
      <c r="A2314" s="2" t="s">
        <v>416</v>
      </c>
      <c r="B2314" s="2" t="s">
        <v>433</v>
      </c>
      <c r="C2314" s="2" t="s">
        <v>9</v>
      </c>
      <c r="D2314" s="2" t="str">
        <f aca="false">IF(3キー同時!$B$214="","",3キー同時!$B$214)</f>
        <v>v</v>
      </c>
      <c r="E2314" s="2" t="str">
        <f aca="false">IF(3キー同時!$G$214="","",3キー同時!$G$214)</f>
        <v>p</v>
      </c>
      <c r="F2314" s="2" t="str">
        <f aca="false">""</f>
        <v/>
      </c>
      <c r="G2314" s="2" t="str">
        <f aca="false">IF(OR(3キー同時!$B$214="",3キー同時!$G$214=""),"",IF(3キー同時!AP216="","",SUBSTITUTE(SUBSTITUTE(3キー同時!AP216," ",""),"　","")))</f>
        <v/>
      </c>
      <c r="H2314" s="2" t="str">
        <f aca="false">IF($G2314="","",3キー同時!$B$214)</f>
        <v/>
      </c>
      <c r="I2314" s="2" t="str">
        <f aca="false">IF($G2314="","",3キー同時!$G$214)</f>
        <v/>
      </c>
      <c r="J2314" s="2" t="str">
        <f aca="false">IF($G2314="","","0")</f>
        <v/>
      </c>
      <c r="K2314" s="2" t="str">
        <f aca="false">""</f>
        <v/>
      </c>
      <c r="L2314" s="2" t="str">
        <f aca="false">IF($G2314="","","同時")</f>
        <v/>
      </c>
      <c r="M2314" s="2" t="str">
        <f aca="false">IF($G2314="","",IF(ISNA(MATCH($G2314,個別指定!$A:$A,0)),"行なし",""))</f>
        <v/>
      </c>
      <c r="N2314" s="2" t="str">
        <f aca="false">IF($G2314="","",IF(COUNTIF($G$2:$G$4460,$G2314)&gt;1,"重複",""))</f>
        <v/>
      </c>
    </row>
    <row r="2315" customFormat="false" ht="16.5" hidden="false" customHeight="true" outlineLevel="0" collapsed="false">
      <c r="A2315" s="2" t="s">
        <v>416</v>
      </c>
      <c r="B2315" s="2" t="s">
        <v>433</v>
      </c>
      <c r="C2315" s="2" t="s">
        <v>10</v>
      </c>
      <c r="D2315" s="2" t="str">
        <f aca="false">IF(3キー同時!$B$214="","",3キー同時!$B$214)</f>
        <v>v</v>
      </c>
      <c r="E2315" s="2" t="str">
        <f aca="false">IF(3キー同時!$G$214="","",3キー同時!$G$214)</f>
        <v>p</v>
      </c>
      <c r="F2315" s="2" t="str">
        <f aca="false">""</f>
        <v/>
      </c>
      <c r="G2315" s="2" t="str">
        <f aca="false">IF(OR(3キー同時!$B$214="",3キー同時!$G$214=""),"",IF(3キー同時!AT216="","",SUBSTITUTE(SUBSTITUTE(3キー同時!AT216," ",""),"　","")))</f>
        <v/>
      </c>
      <c r="H2315" s="2" t="str">
        <f aca="false">IF($G2315="","",3キー同時!$B$214)</f>
        <v/>
      </c>
      <c r="I2315" s="2" t="str">
        <f aca="false">IF($G2315="","",3キー同時!$G$214)</f>
        <v/>
      </c>
      <c r="J2315" s="2" t="str">
        <f aca="false">IF($G2315="","","-")</f>
        <v/>
      </c>
      <c r="K2315" s="2" t="str">
        <f aca="false">""</f>
        <v/>
      </c>
      <c r="L2315" s="2" t="str">
        <f aca="false">IF($G2315="","","同時")</f>
        <v/>
      </c>
      <c r="M2315" s="2" t="str">
        <f aca="false">IF($G2315="","",IF(ISNA(MATCH($G2315,個別指定!$A:$A,0)),"行なし",""))</f>
        <v/>
      </c>
      <c r="N2315" s="2" t="str">
        <f aca="false">IF($G2315="","",IF(COUNTIF($G$2:$G$4460,$G2315)&gt;1,"重複",""))</f>
        <v/>
      </c>
    </row>
    <row r="2316" customFormat="false" ht="16.5" hidden="false" customHeight="true" outlineLevel="0" collapsed="false">
      <c r="A2316" s="2" t="s">
        <v>416</v>
      </c>
      <c r="B2316" s="2" t="s">
        <v>433</v>
      </c>
      <c r="C2316" s="2" t="s">
        <v>11</v>
      </c>
      <c r="D2316" s="2" t="str">
        <f aca="false">IF(3キー同時!$B$214="","",3キー同時!$B$214)</f>
        <v>v</v>
      </c>
      <c r="E2316" s="2" t="str">
        <f aca="false">IF(3キー同時!$G$214="","",3キー同時!$G$214)</f>
        <v>p</v>
      </c>
      <c r="F2316" s="2" t="str">
        <f aca="false">""</f>
        <v/>
      </c>
      <c r="G2316" s="2" t="str">
        <f aca="false">IF(OR(3キー同時!$B$214="",3キー同時!$G$214=""),"",IF(3キー同時!AX216="","",SUBSTITUTE(SUBSTITUTE(3キー同時!AX216," ",""),"　","")))</f>
        <v/>
      </c>
      <c r="H2316" s="2" t="str">
        <f aca="false">IF($G2316="","",3キー同時!$B$214)</f>
        <v/>
      </c>
      <c r="I2316" s="2" t="str">
        <f aca="false">IF($G2316="","",3キー同時!$G$214)</f>
        <v/>
      </c>
      <c r="J2316" s="2" t="str">
        <f aca="false">IF($G2316="","","=")</f>
        <v/>
      </c>
      <c r="K2316" s="2" t="str">
        <f aca="false">""</f>
        <v/>
      </c>
      <c r="L2316" s="2" t="str">
        <f aca="false">IF($G2316="","","同時")</f>
        <v/>
      </c>
      <c r="M2316" s="2" t="str">
        <f aca="false">IF($G2316="","",IF(ISNA(MATCH($G2316,個別指定!$A:$A,0)),"行なし",""))</f>
        <v/>
      </c>
      <c r="N2316" s="2" t="str">
        <f aca="false">IF($G2316="","",IF(COUNTIF($G$2:$G$4460,$G2316)&gt;1,"重複",""))</f>
        <v/>
      </c>
    </row>
    <row r="2317" customFormat="false" ht="16.5" hidden="false" customHeight="true" outlineLevel="0" collapsed="false">
      <c r="A2317" s="2" t="s">
        <v>416</v>
      </c>
      <c r="B2317" s="2" t="s">
        <v>433</v>
      </c>
      <c r="C2317" s="2" t="s">
        <v>12</v>
      </c>
      <c r="D2317" s="2" t="str">
        <f aca="false">IF(3キー同時!$B$214="","",3キー同時!$B$214)</f>
        <v>v</v>
      </c>
      <c r="E2317" s="2" t="str">
        <f aca="false">IF(3キー同時!$G$214="","",3キー同時!$G$214)</f>
        <v>p</v>
      </c>
      <c r="F2317" s="2" t="str">
        <f aca="false">""</f>
        <v/>
      </c>
      <c r="G2317" s="2" t="str">
        <f aca="false">IF(OR(3キー同時!$B$214="",3キー同時!$G$214=""),"",IF(3キー同時!H218="","",SUBSTITUTE(SUBSTITUTE(3キー同時!H218," ",""),"　","")))</f>
        <v/>
      </c>
      <c r="H2317" s="2" t="str">
        <f aca="false">IF($G2317="","",3キー同時!$B$214)</f>
        <v/>
      </c>
      <c r="I2317" s="2" t="str">
        <f aca="false">IF($G2317="","",3キー同時!$G$214)</f>
        <v/>
      </c>
      <c r="J2317" s="2" t="str">
        <f aca="false">IF($G2317="","","q")</f>
        <v/>
      </c>
      <c r="K2317" s="2" t="str">
        <f aca="false">""</f>
        <v/>
      </c>
      <c r="L2317" s="2" t="str">
        <f aca="false">IF($G2317="","","同時")</f>
        <v/>
      </c>
      <c r="M2317" s="2" t="str">
        <f aca="false">IF($G2317="","",IF(ISNA(MATCH($G2317,個別指定!$A:$A,0)),"行なし",""))</f>
        <v/>
      </c>
      <c r="N2317" s="2" t="str">
        <f aca="false">IF($G2317="","",IF(COUNTIF($G$2:$G$4460,$G2317)&gt;1,"重複",""))</f>
        <v/>
      </c>
    </row>
    <row r="2318" customFormat="false" ht="16.5" hidden="false" customHeight="true" outlineLevel="0" collapsed="false">
      <c r="A2318" s="2" t="s">
        <v>416</v>
      </c>
      <c r="B2318" s="2" t="s">
        <v>433</v>
      </c>
      <c r="C2318" s="2" t="s">
        <v>13</v>
      </c>
      <c r="D2318" s="2" t="str">
        <f aca="false">IF(3キー同時!$B$214="","",3キー同時!$B$214)</f>
        <v>v</v>
      </c>
      <c r="E2318" s="2" t="str">
        <f aca="false">IF(3キー同時!$G$214="","",3キー同時!$G$214)</f>
        <v>p</v>
      </c>
      <c r="F2318" s="2" t="str">
        <f aca="false">""</f>
        <v/>
      </c>
      <c r="G2318" s="2" t="str">
        <f aca="false">IF(OR(3キー同時!$B$214="",3キー同時!$G$214=""),"",IF(3キー同時!L218="","",SUBSTITUTE(SUBSTITUTE(3キー同時!L218," ",""),"　","")))</f>
        <v/>
      </c>
      <c r="H2318" s="2" t="str">
        <f aca="false">IF($G2318="","",3キー同時!$B$214)</f>
        <v/>
      </c>
      <c r="I2318" s="2" t="str">
        <f aca="false">IF($G2318="","",3キー同時!$G$214)</f>
        <v/>
      </c>
      <c r="J2318" s="2" t="str">
        <f aca="false">IF($G2318="","","w")</f>
        <v/>
      </c>
      <c r="K2318" s="2" t="str">
        <f aca="false">""</f>
        <v/>
      </c>
      <c r="L2318" s="2" t="str">
        <f aca="false">IF($G2318="","","同時")</f>
        <v/>
      </c>
      <c r="M2318" s="2" t="str">
        <f aca="false">IF($G2318="","",IF(ISNA(MATCH($G2318,個別指定!$A:$A,0)),"行なし",""))</f>
        <v/>
      </c>
      <c r="N2318" s="2" t="str">
        <f aca="false">IF($G2318="","",IF(COUNTIF($G$2:$G$4460,$G2318)&gt;1,"重複",""))</f>
        <v/>
      </c>
    </row>
    <row r="2319" customFormat="false" ht="16.5" hidden="false" customHeight="true" outlineLevel="0" collapsed="false">
      <c r="A2319" s="2" t="s">
        <v>416</v>
      </c>
      <c r="B2319" s="2" t="s">
        <v>433</v>
      </c>
      <c r="C2319" s="2" t="s">
        <v>14</v>
      </c>
      <c r="D2319" s="2" t="str">
        <f aca="false">IF(3キー同時!$B$214="","",3キー同時!$B$214)</f>
        <v>v</v>
      </c>
      <c r="E2319" s="2" t="str">
        <f aca="false">IF(3キー同時!$G$214="","",3キー同時!$G$214)</f>
        <v>p</v>
      </c>
      <c r="F2319" s="2" t="str">
        <f aca="false">""</f>
        <v/>
      </c>
      <c r="G2319" s="2" t="str">
        <f aca="false">IF(OR(3キー同時!$B$214="",3キー同時!$G$214=""),"",IF(3キー同時!P218="","",SUBSTITUTE(SUBSTITUTE(3キー同時!P218," ",""),"　","")))</f>
        <v/>
      </c>
      <c r="H2319" s="2" t="str">
        <f aca="false">IF($G2319="","",3キー同時!$B$214)</f>
        <v/>
      </c>
      <c r="I2319" s="2" t="str">
        <f aca="false">IF($G2319="","",3キー同時!$G$214)</f>
        <v/>
      </c>
      <c r="J2319" s="2" t="str">
        <f aca="false">IF($G2319="","","e")</f>
        <v/>
      </c>
      <c r="K2319" s="2" t="str">
        <f aca="false">""</f>
        <v/>
      </c>
      <c r="L2319" s="2" t="str">
        <f aca="false">IF($G2319="","","同時")</f>
        <v/>
      </c>
      <c r="M2319" s="2" t="str">
        <f aca="false">IF($G2319="","",IF(ISNA(MATCH($G2319,個別指定!$A:$A,0)),"行なし",""))</f>
        <v/>
      </c>
      <c r="N2319" s="2" t="str">
        <f aca="false">IF($G2319="","",IF(COUNTIF($G$2:$G$4460,$G2319)&gt;1,"重複",""))</f>
        <v/>
      </c>
    </row>
    <row r="2320" customFormat="false" ht="16.5" hidden="false" customHeight="true" outlineLevel="0" collapsed="false">
      <c r="A2320" s="2" t="s">
        <v>416</v>
      </c>
      <c r="B2320" s="2" t="s">
        <v>433</v>
      </c>
      <c r="C2320" s="2" t="s">
        <v>15</v>
      </c>
      <c r="D2320" s="2" t="str">
        <f aca="false">IF(3キー同時!$B$214="","",3キー同時!$B$214)</f>
        <v>v</v>
      </c>
      <c r="E2320" s="2" t="str">
        <f aca="false">IF(3キー同時!$G$214="","",3キー同時!$G$214)</f>
        <v>p</v>
      </c>
      <c r="F2320" s="2" t="str">
        <f aca="false">""</f>
        <v/>
      </c>
      <c r="G2320" s="2" t="str">
        <f aca="false">IF(OR(3キー同時!$B$214="",3キー同時!$G$214=""),"",IF(3キー同時!T218="","",SUBSTITUTE(SUBSTITUTE(3キー同時!T218," ",""),"　","")))</f>
        <v/>
      </c>
      <c r="H2320" s="2" t="str">
        <f aca="false">IF($G2320="","",3キー同時!$B$214)</f>
        <v/>
      </c>
      <c r="I2320" s="2" t="str">
        <f aca="false">IF($G2320="","",3キー同時!$G$214)</f>
        <v/>
      </c>
      <c r="J2320" s="2" t="str">
        <f aca="false">IF($G2320="","","r")</f>
        <v/>
      </c>
      <c r="K2320" s="2" t="str">
        <f aca="false">""</f>
        <v/>
      </c>
      <c r="L2320" s="2" t="str">
        <f aca="false">IF($G2320="","","同時")</f>
        <v/>
      </c>
      <c r="M2320" s="2" t="str">
        <f aca="false">IF($G2320="","",IF(ISNA(MATCH($G2320,個別指定!$A:$A,0)),"行なし",""))</f>
        <v/>
      </c>
      <c r="N2320" s="2" t="str">
        <f aca="false">IF($G2320="","",IF(COUNTIF($G$2:$G$4460,$G2320)&gt;1,"重複",""))</f>
        <v/>
      </c>
    </row>
    <row r="2321" customFormat="false" ht="16.5" hidden="false" customHeight="true" outlineLevel="0" collapsed="false">
      <c r="A2321" s="2" t="s">
        <v>416</v>
      </c>
      <c r="B2321" s="2" t="s">
        <v>433</v>
      </c>
      <c r="C2321" s="2" t="s">
        <v>16</v>
      </c>
      <c r="D2321" s="2" t="str">
        <f aca="false">IF(3キー同時!$B$214="","",3キー同時!$B$214)</f>
        <v>v</v>
      </c>
      <c r="E2321" s="2" t="str">
        <f aca="false">IF(3キー同時!$G$214="","",3キー同時!$G$214)</f>
        <v>p</v>
      </c>
      <c r="F2321" s="2" t="str">
        <f aca="false">""</f>
        <v/>
      </c>
      <c r="G2321" s="2" t="str">
        <f aca="false">IF(OR(3キー同時!$B$214="",3キー同時!$G$214=""),"",IF(3キー同時!X218="","",SUBSTITUTE(SUBSTITUTE(3キー同時!X218," ",""),"　","")))</f>
        <v/>
      </c>
      <c r="H2321" s="2" t="str">
        <f aca="false">IF($G2321="","",3キー同時!$B$214)</f>
        <v/>
      </c>
      <c r="I2321" s="2" t="str">
        <f aca="false">IF($G2321="","",3キー同時!$G$214)</f>
        <v/>
      </c>
      <c r="J2321" s="2" t="str">
        <f aca="false">IF($G2321="","","t")</f>
        <v/>
      </c>
      <c r="K2321" s="2" t="str">
        <f aca="false">""</f>
        <v/>
      </c>
      <c r="L2321" s="2" t="str">
        <f aca="false">IF($G2321="","","同時")</f>
        <v/>
      </c>
      <c r="M2321" s="2" t="str">
        <f aca="false">IF($G2321="","",IF(ISNA(MATCH($G2321,個別指定!$A:$A,0)),"行なし",""))</f>
        <v/>
      </c>
      <c r="N2321" s="2" t="str">
        <f aca="false">IF($G2321="","",IF(COUNTIF($G$2:$G$4460,$G2321)&gt;1,"重複",""))</f>
        <v/>
      </c>
    </row>
    <row r="2322" customFormat="false" ht="16.5" hidden="false" customHeight="true" outlineLevel="0" collapsed="false">
      <c r="A2322" s="2" t="s">
        <v>416</v>
      </c>
      <c r="B2322" s="2" t="s">
        <v>433</v>
      </c>
      <c r="C2322" s="2" t="s">
        <v>17</v>
      </c>
      <c r="D2322" s="2" t="str">
        <f aca="false">IF(3キー同時!$B$214="","",3キー同時!$B$214)</f>
        <v>v</v>
      </c>
      <c r="E2322" s="2" t="str">
        <f aca="false">IF(3キー同時!$G$214="","",3キー同時!$G$214)</f>
        <v>p</v>
      </c>
      <c r="F2322" s="2" t="str">
        <f aca="false">""</f>
        <v/>
      </c>
      <c r="G2322" s="2" t="str">
        <f aca="false">IF(OR(3キー同時!$B$214="",3キー同時!$G$214=""),"",IF(3キー同時!AB218="","",SUBSTITUTE(SUBSTITUTE(3キー同時!AB218," ",""),"　","")))</f>
        <v/>
      </c>
      <c r="H2322" s="2" t="str">
        <f aca="false">IF($G2322="","",3キー同時!$B$214)</f>
        <v/>
      </c>
      <c r="I2322" s="2" t="str">
        <f aca="false">IF($G2322="","",3キー同時!$G$214)</f>
        <v/>
      </c>
      <c r="J2322" s="2" t="str">
        <f aca="false">IF($G2322="","","y")</f>
        <v/>
      </c>
      <c r="K2322" s="2" t="str">
        <f aca="false">""</f>
        <v/>
      </c>
      <c r="L2322" s="2" t="str">
        <f aca="false">IF($G2322="","","同時")</f>
        <v/>
      </c>
      <c r="M2322" s="2" t="str">
        <f aca="false">IF($G2322="","",IF(ISNA(MATCH($G2322,個別指定!$A:$A,0)),"行なし",""))</f>
        <v/>
      </c>
      <c r="N2322" s="2" t="str">
        <f aca="false">IF($G2322="","",IF(COUNTIF($G$2:$G$4460,$G2322)&gt;1,"重複",""))</f>
        <v/>
      </c>
    </row>
    <row r="2323" customFormat="false" ht="16.5" hidden="false" customHeight="true" outlineLevel="0" collapsed="false">
      <c r="A2323" s="2" t="s">
        <v>416</v>
      </c>
      <c r="B2323" s="2" t="s">
        <v>433</v>
      </c>
      <c r="C2323" s="2" t="s">
        <v>18</v>
      </c>
      <c r="D2323" s="2" t="str">
        <f aca="false">IF(3キー同時!$B$214="","",3キー同時!$B$214)</f>
        <v>v</v>
      </c>
      <c r="E2323" s="2" t="str">
        <f aca="false">IF(3キー同時!$G$214="","",3キー同時!$G$214)</f>
        <v>p</v>
      </c>
      <c r="F2323" s="2" t="str">
        <f aca="false">""</f>
        <v/>
      </c>
      <c r="G2323" s="2" t="str">
        <f aca="false">IF(OR(3キー同時!$B$214="",3キー同時!$G$214=""),"",IF(3キー同時!AF218="","",SUBSTITUTE(SUBSTITUTE(3キー同時!AF218," ",""),"　","")))</f>
        <v/>
      </c>
      <c r="H2323" s="2" t="str">
        <f aca="false">IF($G2323="","",3キー同時!$B$214)</f>
        <v/>
      </c>
      <c r="I2323" s="2" t="str">
        <f aca="false">IF($G2323="","",3キー同時!$G$214)</f>
        <v/>
      </c>
      <c r="J2323" s="2" t="str">
        <f aca="false">IF($G2323="","","u")</f>
        <v/>
      </c>
      <c r="K2323" s="2" t="str">
        <f aca="false">""</f>
        <v/>
      </c>
      <c r="L2323" s="2" t="str">
        <f aca="false">IF($G2323="","","同時")</f>
        <v/>
      </c>
      <c r="M2323" s="2" t="str">
        <f aca="false">IF($G2323="","",IF(ISNA(MATCH($G2323,個別指定!$A:$A,0)),"行なし",""))</f>
        <v/>
      </c>
      <c r="N2323" s="2" t="str">
        <f aca="false">IF($G2323="","",IF(COUNTIF($G$2:$G$4460,$G2323)&gt;1,"重複",""))</f>
        <v/>
      </c>
    </row>
    <row r="2324" customFormat="false" ht="16.5" hidden="false" customHeight="true" outlineLevel="0" collapsed="false">
      <c r="A2324" s="2" t="s">
        <v>416</v>
      </c>
      <c r="B2324" s="2" t="s">
        <v>433</v>
      </c>
      <c r="C2324" s="2" t="s">
        <v>19</v>
      </c>
      <c r="D2324" s="2" t="str">
        <f aca="false">IF(3キー同時!$B$214="","",3キー同時!$B$214)</f>
        <v>v</v>
      </c>
      <c r="E2324" s="2" t="str">
        <f aca="false">IF(3キー同時!$G$214="","",3キー同時!$G$214)</f>
        <v>p</v>
      </c>
      <c r="F2324" s="2" t="str">
        <f aca="false">""</f>
        <v/>
      </c>
      <c r="G2324" s="2" t="str">
        <f aca="false">IF(OR(3キー同時!$B$214="",3キー同時!$G$214=""),"",IF(3キー同時!AJ218="","",SUBSTITUTE(SUBSTITUTE(3キー同時!AJ218," ",""),"　","")))</f>
        <v/>
      </c>
      <c r="H2324" s="2" t="str">
        <f aca="false">IF($G2324="","",3キー同時!$B$214)</f>
        <v/>
      </c>
      <c r="I2324" s="2" t="str">
        <f aca="false">IF($G2324="","",3キー同時!$G$214)</f>
        <v/>
      </c>
      <c r="J2324" s="2" t="str">
        <f aca="false">IF($G2324="","","i")</f>
        <v/>
      </c>
      <c r="K2324" s="2" t="str">
        <f aca="false">""</f>
        <v/>
      </c>
      <c r="L2324" s="2" t="str">
        <f aca="false">IF($G2324="","","同時")</f>
        <v/>
      </c>
      <c r="M2324" s="2" t="str">
        <f aca="false">IF($G2324="","",IF(ISNA(MATCH($G2324,個別指定!$A:$A,0)),"行なし",""))</f>
        <v/>
      </c>
      <c r="N2324" s="2" t="str">
        <f aca="false">IF($G2324="","",IF(COUNTIF($G$2:$G$4460,$G2324)&gt;1,"重複",""))</f>
        <v/>
      </c>
    </row>
    <row r="2325" customFormat="false" ht="16.5" hidden="false" customHeight="true" outlineLevel="0" collapsed="false">
      <c r="A2325" s="2" t="s">
        <v>416</v>
      </c>
      <c r="B2325" s="2" t="s">
        <v>433</v>
      </c>
      <c r="C2325" s="2" t="s">
        <v>20</v>
      </c>
      <c r="D2325" s="2" t="str">
        <f aca="false">IF(3キー同時!$B$214="","",3キー同時!$B$214)</f>
        <v>v</v>
      </c>
      <c r="E2325" s="2" t="str">
        <f aca="false">IF(3キー同時!$G$214="","",3キー同時!$G$214)</f>
        <v>p</v>
      </c>
      <c r="F2325" s="2" t="str">
        <f aca="false">""</f>
        <v/>
      </c>
      <c r="G2325" s="2" t="str">
        <f aca="false">IF(OR(3キー同時!$B$214="",3キー同時!$G$214=""),"",IF(3キー同時!AN218="","",SUBSTITUTE(SUBSTITUTE(3キー同時!AN218," ",""),"　","")))</f>
        <v/>
      </c>
      <c r="H2325" s="2" t="str">
        <f aca="false">IF($G2325="","",3キー同時!$B$214)</f>
        <v/>
      </c>
      <c r="I2325" s="2" t="str">
        <f aca="false">IF($G2325="","",3キー同時!$G$214)</f>
        <v/>
      </c>
      <c r="J2325" s="2" t="str">
        <f aca="false">IF($G2325="","","o")</f>
        <v/>
      </c>
      <c r="K2325" s="2" t="str">
        <f aca="false">""</f>
        <v/>
      </c>
      <c r="L2325" s="2" t="str">
        <f aca="false">IF($G2325="","","同時")</f>
        <v/>
      </c>
      <c r="M2325" s="2" t="str">
        <f aca="false">IF($G2325="","",IF(ISNA(MATCH($G2325,個別指定!$A:$A,0)),"行なし",""))</f>
        <v/>
      </c>
      <c r="N2325" s="2" t="str">
        <f aca="false">IF($G2325="","",IF(COUNTIF($G$2:$G$4460,$G2325)&gt;1,"重複",""))</f>
        <v/>
      </c>
    </row>
    <row r="2326" customFormat="false" ht="16.5" hidden="false" customHeight="true" outlineLevel="0" collapsed="false">
      <c r="A2326" s="2" t="s">
        <v>416</v>
      </c>
      <c r="B2326" s="2" t="s">
        <v>433</v>
      </c>
      <c r="C2326" s="2" t="s">
        <v>21</v>
      </c>
      <c r="D2326" s="2" t="str">
        <f aca="false">IF(3キー同時!$B$214="","",3キー同時!$B$214)</f>
        <v>v</v>
      </c>
      <c r="E2326" s="2" t="str">
        <f aca="false">IF(3キー同時!$G$214="","",3キー同時!$G$214)</f>
        <v>p</v>
      </c>
      <c r="F2326" s="2" t="str">
        <f aca="false">""</f>
        <v/>
      </c>
      <c r="G2326" s="2" t="str">
        <f aca="false">IF(OR(3キー同時!$B$214="",3キー同時!$G$214=""),"",IF(3キー同時!AR218="","",SUBSTITUTE(SUBSTITUTE(3キー同時!AR218," ",""),"　","")))</f>
        <v/>
      </c>
      <c r="H2326" s="2" t="str">
        <f aca="false">IF($G2326="","",3キー同時!$B$214)</f>
        <v/>
      </c>
      <c r="I2326" s="2" t="str">
        <f aca="false">IF($G2326="","",3キー同時!$G$214)</f>
        <v/>
      </c>
      <c r="J2326" s="2" t="str">
        <f aca="false">IF($G2326="","","p")</f>
        <v/>
      </c>
      <c r="K2326" s="2" t="str">
        <f aca="false">""</f>
        <v/>
      </c>
      <c r="L2326" s="2" t="str">
        <f aca="false">IF($G2326="","","同時")</f>
        <v/>
      </c>
      <c r="M2326" s="2" t="str">
        <f aca="false">IF($G2326="","",IF(ISNA(MATCH($G2326,個別指定!$A:$A,0)),"行なし",""))</f>
        <v/>
      </c>
      <c r="N2326" s="2" t="str">
        <f aca="false">IF($G2326="","",IF(COUNTIF($G$2:$G$4460,$G2326)&gt;1,"重複",""))</f>
        <v/>
      </c>
    </row>
    <row r="2327" customFormat="false" ht="16.5" hidden="false" customHeight="true" outlineLevel="0" collapsed="false">
      <c r="A2327" s="2" t="s">
        <v>416</v>
      </c>
      <c r="B2327" s="2" t="s">
        <v>433</v>
      </c>
      <c r="C2327" s="2" t="s">
        <v>22</v>
      </c>
      <c r="D2327" s="2" t="str">
        <f aca="false">IF(3キー同時!$B$214="","",3キー同時!$B$214)</f>
        <v>v</v>
      </c>
      <c r="E2327" s="2" t="str">
        <f aca="false">IF(3キー同時!$G$214="","",3キー同時!$G$214)</f>
        <v>p</v>
      </c>
      <c r="F2327" s="2" t="str">
        <f aca="false">""</f>
        <v/>
      </c>
      <c r="G2327" s="2" t="str">
        <f aca="false">IF(OR(3キー同時!$B$214="",3キー同時!$G$214=""),"",IF(3キー同時!AV218="","",SUBSTITUTE(SUBSTITUTE(3キー同時!AV218," ",""),"　","")))</f>
        <v/>
      </c>
      <c r="H2327" s="2" t="str">
        <f aca="false">IF($G2327="","",3キー同時!$B$214)</f>
        <v/>
      </c>
      <c r="I2327" s="2" t="str">
        <f aca="false">IF($G2327="","",3キー同時!$G$214)</f>
        <v/>
      </c>
      <c r="J2327" s="2" t="str">
        <f aca="false">IF($G2327="","","[")</f>
        <v/>
      </c>
      <c r="K2327" s="2" t="str">
        <f aca="false">""</f>
        <v/>
      </c>
      <c r="L2327" s="2" t="str">
        <f aca="false">IF($G2327="","","同時")</f>
        <v/>
      </c>
      <c r="M2327" s="2" t="str">
        <f aca="false">IF($G2327="","",IF(ISNA(MATCH($G2327,個別指定!$A:$A,0)),"行なし",""))</f>
        <v/>
      </c>
      <c r="N2327" s="2" t="str">
        <f aca="false">IF($G2327="","",IF(COUNTIF($G$2:$G$4460,$G2327)&gt;1,"重複",""))</f>
        <v/>
      </c>
    </row>
    <row r="2328" customFormat="false" ht="16.5" hidden="false" customHeight="true" outlineLevel="0" collapsed="false">
      <c r="A2328" s="2" t="s">
        <v>416</v>
      </c>
      <c r="B2328" s="2" t="s">
        <v>433</v>
      </c>
      <c r="C2328" s="2" t="s">
        <v>23</v>
      </c>
      <c r="D2328" s="2" t="str">
        <f aca="false">IF(3キー同時!$B$214="","",3キー同時!$B$214)</f>
        <v>v</v>
      </c>
      <c r="E2328" s="2" t="str">
        <f aca="false">IF(3キー同時!$G$214="","",3キー同時!$G$214)</f>
        <v>p</v>
      </c>
      <c r="F2328" s="2" t="str">
        <f aca="false">""</f>
        <v/>
      </c>
      <c r="G2328" s="2" t="str">
        <f aca="false">IF(OR(3キー同時!$B$214="",3キー同時!$G$214=""),"",IF(3キー同時!AZ218="","",SUBSTITUTE(SUBSTITUTE(3キー同時!AZ218," ",""),"　","")))</f>
        <v/>
      </c>
      <c r="H2328" s="2" t="str">
        <f aca="false">IF($G2328="","",3キー同時!$B$214)</f>
        <v/>
      </c>
      <c r="I2328" s="2" t="str">
        <f aca="false">IF($G2328="","",3キー同時!$G$214)</f>
        <v/>
      </c>
      <c r="J2328" s="2" t="str">
        <f aca="false">IF($G2328="","","]")</f>
        <v/>
      </c>
      <c r="K2328" s="2" t="str">
        <f aca="false">""</f>
        <v/>
      </c>
      <c r="L2328" s="2" t="str">
        <f aca="false">IF($G2328="","","同時")</f>
        <v/>
      </c>
      <c r="M2328" s="2" t="str">
        <f aca="false">IF($G2328="","",IF(ISNA(MATCH($G2328,個別指定!$A:$A,0)),"行なし",""))</f>
        <v/>
      </c>
      <c r="N2328" s="2" t="str">
        <f aca="false">IF($G2328="","",IF(COUNTIF($G$2:$G$4460,$G2328)&gt;1,"重複",""))</f>
        <v/>
      </c>
    </row>
    <row r="2329" customFormat="false" ht="16.5" hidden="false" customHeight="true" outlineLevel="0" collapsed="false">
      <c r="A2329" s="2" t="s">
        <v>416</v>
      </c>
      <c r="B2329" s="2" t="s">
        <v>433</v>
      </c>
      <c r="C2329" s="2" t="s">
        <v>24</v>
      </c>
      <c r="D2329" s="2" t="str">
        <f aca="false">IF(3キー同時!$B$214="","",3キー同時!$B$214)</f>
        <v>v</v>
      </c>
      <c r="E2329" s="2" t="str">
        <f aca="false">IF(3キー同時!$G$214="","",3キー同時!$G$214)</f>
        <v>p</v>
      </c>
      <c r="F2329" s="2" t="str">
        <f aca="false">""</f>
        <v/>
      </c>
      <c r="G2329" s="2" t="str">
        <f aca="false">IF(OR(3キー同時!$B$214="",3キー同時!$G$214=""),"",IF(3キー同時!I220="","",SUBSTITUTE(SUBSTITUTE(3キー同時!I220," ",""),"　","")))</f>
        <v/>
      </c>
      <c r="H2329" s="2" t="str">
        <f aca="false">IF($G2329="","",3キー同時!$B$214)</f>
        <v/>
      </c>
      <c r="I2329" s="2" t="str">
        <f aca="false">IF($G2329="","",3キー同時!$G$214)</f>
        <v/>
      </c>
      <c r="J2329" s="2" t="str">
        <f aca="false">IF($G2329="","","a")</f>
        <v/>
      </c>
      <c r="K2329" s="2" t="str">
        <f aca="false">""</f>
        <v/>
      </c>
      <c r="L2329" s="2" t="str">
        <f aca="false">IF($G2329="","","同時")</f>
        <v/>
      </c>
      <c r="M2329" s="2" t="str">
        <f aca="false">IF($G2329="","",IF(ISNA(MATCH($G2329,個別指定!$A:$A,0)),"行なし",""))</f>
        <v/>
      </c>
      <c r="N2329" s="2" t="str">
        <f aca="false">IF($G2329="","",IF(COUNTIF($G$2:$G$4460,$G2329)&gt;1,"重複",""))</f>
        <v/>
      </c>
    </row>
    <row r="2330" customFormat="false" ht="16.5" hidden="false" customHeight="true" outlineLevel="0" collapsed="false">
      <c r="A2330" s="2" t="s">
        <v>416</v>
      </c>
      <c r="B2330" s="2" t="s">
        <v>433</v>
      </c>
      <c r="C2330" s="2" t="s">
        <v>25</v>
      </c>
      <c r="D2330" s="2" t="str">
        <f aca="false">IF(3キー同時!$B$214="","",3キー同時!$B$214)</f>
        <v>v</v>
      </c>
      <c r="E2330" s="2" t="str">
        <f aca="false">IF(3キー同時!$G$214="","",3キー同時!$G$214)</f>
        <v>p</v>
      </c>
      <c r="F2330" s="2" t="str">
        <f aca="false">""</f>
        <v/>
      </c>
      <c r="G2330" s="2" t="str">
        <f aca="false">IF(OR(3キー同時!$B$214="",3キー同時!$G$214=""),"",IF(3キー同時!M220="","",SUBSTITUTE(SUBSTITUTE(3キー同時!M220," ",""),"　","")))</f>
        <v/>
      </c>
      <c r="H2330" s="2" t="str">
        <f aca="false">IF($G2330="","",3キー同時!$B$214)</f>
        <v/>
      </c>
      <c r="I2330" s="2" t="str">
        <f aca="false">IF($G2330="","",3キー同時!$G$214)</f>
        <v/>
      </c>
      <c r="J2330" s="2" t="str">
        <f aca="false">IF($G2330="","","s")</f>
        <v/>
      </c>
      <c r="K2330" s="2" t="str">
        <f aca="false">""</f>
        <v/>
      </c>
      <c r="L2330" s="2" t="str">
        <f aca="false">IF($G2330="","","同時")</f>
        <v/>
      </c>
      <c r="M2330" s="2" t="str">
        <f aca="false">IF($G2330="","",IF(ISNA(MATCH($G2330,個別指定!$A:$A,0)),"行なし",""))</f>
        <v/>
      </c>
      <c r="N2330" s="2" t="str">
        <f aca="false">IF($G2330="","",IF(COUNTIF($G$2:$G$4460,$G2330)&gt;1,"重複",""))</f>
        <v/>
      </c>
    </row>
    <row r="2331" customFormat="false" ht="16.5" hidden="false" customHeight="true" outlineLevel="0" collapsed="false">
      <c r="A2331" s="2" t="s">
        <v>416</v>
      </c>
      <c r="B2331" s="2" t="s">
        <v>433</v>
      </c>
      <c r="C2331" s="2" t="s">
        <v>26</v>
      </c>
      <c r="D2331" s="2" t="str">
        <f aca="false">IF(3キー同時!$B$214="","",3キー同時!$B$214)</f>
        <v>v</v>
      </c>
      <c r="E2331" s="2" t="str">
        <f aca="false">IF(3キー同時!$G$214="","",3キー同時!$G$214)</f>
        <v>p</v>
      </c>
      <c r="F2331" s="2" t="str">
        <f aca="false">""</f>
        <v/>
      </c>
      <c r="G2331" s="2" t="str">
        <f aca="false">IF(OR(3キー同時!$B$214="",3キー同時!$G$214=""),"",IF(3キー同時!Q220="","",SUBSTITUTE(SUBSTITUTE(3キー同時!Q220," ",""),"　","")))</f>
        <v/>
      </c>
      <c r="H2331" s="2" t="str">
        <f aca="false">IF($G2331="","",3キー同時!$B$214)</f>
        <v/>
      </c>
      <c r="I2331" s="2" t="str">
        <f aca="false">IF($G2331="","",3キー同時!$G$214)</f>
        <v/>
      </c>
      <c r="J2331" s="2" t="str">
        <f aca="false">IF($G2331="","","d")</f>
        <v/>
      </c>
      <c r="K2331" s="2" t="str">
        <f aca="false">""</f>
        <v/>
      </c>
      <c r="L2331" s="2" t="str">
        <f aca="false">IF($G2331="","","同時")</f>
        <v/>
      </c>
      <c r="M2331" s="2" t="str">
        <f aca="false">IF($G2331="","",IF(ISNA(MATCH($G2331,個別指定!$A:$A,0)),"行なし",""))</f>
        <v/>
      </c>
      <c r="N2331" s="2" t="str">
        <f aca="false">IF($G2331="","",IF(COUNTIF($G$2:$G$4460,$G2331)&gt;1,"重複",""))</f>
        <v/>
      </c>
    </row>
    <row r="2332" customFormat="false" ht="16.5" hidden="false" customHeight="true" outlineLevel="0" collapsed="false">
      <c r="A2332" s="2" t="s">
        <v>416</v>
      </c>
      <c r="B2332" s="2" t="s">
        <v>433</v>
      </c>
      <c r="C2332" s="2" t="s">
        <v>27</v>
      </c>
      <c r="D2332" s="2" t="str">
        <f aca="false">IF(3キー同時!$B$214="","",3キー同時!$B$214)</f>
        <v>v</v>
      </c>
      <c r="E2332" s="2" t="str">
        <f aca="false">IF(3キー同時!$G$214="","",3キー同時!$G$214)</f>
        <v>p</v>
      </c>
      <c r="F2332" s="2" t="str">
        <f aca="false">""</f>
        <v/>
      </c>
      <c r="G2332" s="2" t="str">
        <f aca="false">IF(OR(3キー同時!$B$214="",3キー同時!$G$214=""),"",IF(3キー同時!U220="","",SUBSTITUTE(SUBSTITUTE(3キー同時!U220," ",""),"　","")))</f>
        <v/>
      </c>
      <c r="H2332" s="2" t="str">
        <f aca="false">IF($G2332="","",3キー同時!$B$214)</f>
        <v/>
      </c>
      <c r="I2332" s="2" t="str">
        <f aca="false">IF($G2332="","",3キー同時!$G$214)</f>
        <v/>
      </c>
      <c r="J2332" s="2" t="str">
        <f aca="false">IF($G2332="","","f")</f>
        <v/>
      </c>
      <c r="K2332" s="2" t="str">
        <f aca="false">""</f>
        <v/>
      </c>
      <c r="L2332" s="2" t="str">
        <f aca="false">IF($G2332="","","同時")</f>
        <v/>
      </c>
      <c r="M2332" s="2" t="str">
        <f aca="false">IF($G2332="","",IF(ISNA(MATCH($G2332,個別指定!$A:$A,0)),"行なし",""))</f>
        <v/>
      </c>
      <c r="N2332" s="2" t="str">
        <f aca="false">IF($G2332="","",IF(COUNTIF($G$2:$G$4460,$G2332)&gt;1,"重複",""))</f>
        <v/>
      </c>
    </row>
    <row r="2333" customFormat="false" ht="16.5" hidden="false" customHeight="true" outlineLevel="0" collapsed="false">
      <c r="A2333" s="2" t="s">
        <v>416</v>
      </c>
      <c r="B2333" s="2" t="s">
        <v>433</v>
      </c>
      <c r="C2333" s="2" t="s">
        <v>28</v>
      </c>
      <c r="D2333" s="2" t="str">
        <f aca="false">IF(3キー同時!$B$214="","",3キー同時!$B$214)</f>
        <v>v</v>
      </c>
      <c r="E2333" s="2" t="str">
        <f aca="false">IF(3キー同時!$G$214="","",3キー同時!$G$214)</f>
        <v>p</v>
      </c>
      <c r="F2333" s="2" t="str">
        <f aca="false">""</f>
        <v/>
      </c>
      <c r="G2333" s="2" t="str">
        <f aca="false">IF(OR(3キー同時!$B$214="",3キー同時!$G$214=""),"",IF(3キー同時!Y220="","",SUBSTITUTE(SUBSTITUTE(3キー同時!Y220," ",""),"　","")))</f>
        <v/>
      </c>
      <c r="H2333" s="2" t="str">
        <f aca="false">IF($G2333="","",3キー同時!$B$214)</f>
        <v/>
      </c>
      <c r="I2333" s="2" t="str">
        <f aca="false">IF($G2333="","",3キー同時!$G$214)</f>
        <v/>
      </c>
      <c r="J2333" s="2" t="str">
        <f aca="false">IF($G2333="","","g")</f>
        <v/>
      </c>
      <c r="K2333" s="2" t="str">
        <f aca="false">""</f>
        <v/>
      </c>
      <c r="L2333" s="2" t="str">
        <f aca="false">IF($G2333="","","同時")</f>
        <v/>
      </c>
      <c r="M2333" s="2" t="str">
        <f aca="false">IF($G2333="","",IF(ISNA(MATCH($G2333,個別指定!$A:$A,0)),"行なし",""))</f>
        <v/>
      </c>
      <c r="N2333" s="2" t="str">
        <f aca="false">IF($G2333="","",IF(COUNTIF($G$2:$G$4460,$G2333)&gt;1,"重複",""))</f>
        <v/>
      </c>
    </row>
    <row r="2334" customFormat="false" ht="16.5" hidden="false" customHeight="true" outlineLevel="0" collapsed="false">
      <c r="A2334" s="2" t="s">
        <v>416</v>
      </c>
      <c r="B2334" s="2" t="s">
        <v>433</v>
      </c>
      <c r="C2334" s="2" t="s">
        <v>29</v>
      </c>
      <c r="D2334" s="2" t="str">
        <f aca="false">IF(3キー同時!$B$214="","",3キー同時!$B$214)</f>
        <v>v</v>
      </c>
      <c r="E2334" s="2" t="str">
        <f aca="false">IF(3キー同時!$G$214="","",3キー同時!$G$214)</f>
        <v>p</v>
      </c>
      <c r="F2334" s="2" t="str">
        <f aca="false">""</f>
        <v/>
      </c>
      <c r="G2334" s="2" t="str">
        <f aca="false">IF(OR(3キー同時!$B$214="",3キー同時!$G$214=""),"",IF(3キー同時!AC220="","",SUBSTITUTE(SUBSTITUTE(3キー同時!AC220," ",""),"　","")))</f>
        <v/>
      </c>
      <c r="H2334" s="2" t="str">
        <f aca="false">IF($G2334="","",3キー同時!$B$214)</f>
        <v/>
      </c>
      <c r="I2334" s="2" t="str">
        <f aca="false">IF($G2334="","",3キー同時!$G$214)</f>
        <v/>
      </c>
      <c r="J2334" s="2" t="str">
        <f aca="false">IF($G2334="","","h")</f>
        <v/>
      </c>
      <c r="K2334" s="2" t="str">
        <f aca="false">""</f>
        <v/>
      </c>
      <c r="L2334" s="2" t="str">
        <f aca="false">IF($G2334="","","同時")</f>
        <v/>
      </c>
      <c r="M2334" s="2" t="str">
        <f aca="false">IF($G2334="","",IF(ISNA(MATCH($G2334,個別指定!$A:$A,0)),"行なし",""))</f>
        <v/>
      </c>
      <c r="N2334" s="2" t="str">
        <f aca="false">IF($G2334="","",IF(COUNTIF($G$2:$G$4460,$G2334)&gt;1,"重複",""))</f>
        <v/>
      </c>
    </row>
    <row r="2335" customFormat="false" ht="16.5" hidden="false" customHeight="true" outlineLevel="0" collapsed="false">
      <c r="A2335" s="2" t="s">
        <v>416</v>
      </c>
      <c r="B2335" s="2" t="s">
        <v>433</v>
      </c>
      <c r="C2335" s="2" t="s">
        <v>30</v>
      </c>
      <c r="D2335" s="2" t="str">
        <f aca="false">IF(3キー同時!$B$214="","",3キー同時!$B$214)</f>
        <v>v</v>
      </c>
      <c r="E2335" s="2" t="str">
        <f aca="false">IF(3キー同時!$G$214="","",3キー同時!$G$214)</f>
        <v>p</v>
      </c>
      <c r="F2335" s="2" t="str">
        <f aca="false">""</f>
        <v/>
      </c>
      <c r="G2335" s="2" t="str">
        <f aca="false">IF(OR(3キー同時!$B$214="",3キー同時!$G$214=""),"",IF(3キー同時!AG220="","",SUBSTITUTE(SUBSTITUTE(3キー同時!AG220," ",""),"　","")))</f>
        <v/>
      </c>
      <c r="H2335" s="2" t="str">
        <f aca="false">IF($G2335="","",3キー同時!$B$214)</f>
        <v/>
      </c>
      <c r="I2335" s="2" t="str">
        <f aca="false">IF($G2335="","",3キー同時!$G$214)</f>
        <v/>
      </c>
      <c r="J2335" s="2" t="str">
        <f aca="false">IF($G2335="","","j")</f>
        <v/>
      </c>
      <c r="K2335" s="2" t="str">
        <f aca="false">""</f>
        <v/>
      </c>
      <c r="L2335" s="2" t="str">
        <f aca="false">IF($G2335="","","同時")</f>
        <v/>
      </c>
      <c r="M2335" s="2" t="str">
        <f aca="false">IF($G2335="","",IF(ISNA(MATCH($G2335,個別指定!$A:$A,0)),"行なし",""))</f>
        <v/>
      </c>
      <c r="N2335" s="2" t="str">
        <f aca="false">IF($G2335="","",IF(COUNTIF($G$2:$G$4460,$G2335)&gt;1,"重複",""))</f>
        <v/>
      </c>
    </row>
    <row r="2336" customFormat="false" ht="16.5" hidden="false" customHeight="true" outlineLevel="0" collapsed="false">
      <c r="A2336" s="2" t="s">
        <v>416</v>
      </c>
      <c r="B2336" s="2" t="s">
        <v>433</v>
      </c>
      <c r="C2336" s="2" t="s">
        <v>31</v>
      </c>
      <c r="D2336" s="2" t="str">
        <f aca="false">IF(3キー同時!$B$214="","",3キー同時!$B$214)</f>
        <v>v</v>
      </c>
      <c r="E2336" s="2" t="str">
        <f aca="false">IF(3キー同時!$G$214="","",3キー同時!$G$214)</f>
        <v>p</v>
      </c>
      <c r="F2336" s="2" t="str">
        <f aca="false">""</f>
        <v/>
      </c>
      <c r="G2336" s="2" t="str">
        <f aca="false">IF(OR(3キー同時!$B$214="",3キー同時!$G$214=""),"",IF(3キー同時!AK220="","",SUBSTITUTE(SUBSTITUTE(3キー同時!AK220," ",""),"　","")))</f>
        <v/>
      </c>
      <c r="H2336" s="2" t="str">
        <f aca="false">IF($G2336="","",3キー同時!$B$214)</f>
        <v/>
      </c>
      <c r="I2336" s="2" t="str">
        <f aca="false">IF($G2336="","",3キー同時!$G$214)</f>
        <v/>
      </c>
      <c r="J2336" s="2" t="str">
        <f aca="false">IF($G2336="","","k")</f>
        <v/>
      </c>
      <c r="K2336" s="2" t="str">
        <f aca="false">""</f>
        <v/>
      </c>
      <c r="L2336" s="2" t="str">
        <f aca="false">IF($G2336="","","同時")</f>
        <v/>
      </c>
      <c r="M2336" s="2" t="str">
        <f aca="false">IF($G2336="","",IF(ISNA(MATCH($G2336,個別指定!$A:$A,0)),"行なし",""))</f>
        <v/>
      </c>
      <c r="N2336" s="2" t="str">
        <f aca="false">IF($G2336="","",IF(COUNTIF($G$2:$G$4460,$G2336)&gt;1,"重複",""))</f>
        <v/>
      </c>
    </row>
    <row r="2337" customFormat="false" ht="16.5" hidden="false" customHeight="true" outlineLevel="0" collapsed="false">
      <c r="A2337" s="2" t="s">
        <v>416</v>
      </c>
      <c r="B2337" s="2" t="s">
        <v>433</v>
      </c>
      <c r="C2337" s="2" t="s">
        <v>32</v>
      </c>
      <c r="D2337" s="2" t="str">
        <f aca="false">IF(3キー同時!$B$214="","",3キー同時!$B$214)</f>
        <v>v</v>
      </c>
      <c r="E2337" s="2" t="str">
        <f aca="false">IF(3キー同時!$G$214="","",3キー同時!$G$214)</f>
        <v>p</v>
      </c>
      <c r="F2337" s="2" t="str">
        <f aca="false">""</f>
        <v/>
      </c>
      <c r="G2337" s="2" t="str">
        <f aca="false">IF(OR(3キー同時!$B$214="",3キー同時!$G$214=""),"",IF(3キー同時!AO220="","",SUBSTITUTE(SUBSTITUTE(3キー同時!AO220," ",""),"　","")))</f>
        <v/>
      </c>
      <c r="H2337" s="2" t="str">
        <f aca="false">IF($G2337="","",3キー同時!$B$214)</f>
        <v/>
      </c>
      <c r="I2337" s="2" t="str">
        <f aca="false">IF($G2337="","",3キー同時!$G$214)</f>
        <v/>
      </c>
      <c r="J2337" s="2" t="str">
        <f aca="false">IF($G2337="","","l")</f>
        <v/>
      </c>
      <c r="K2337" s="2" t="str">
        <f aca="false">""</f>
        <v/>
      </c>
      <c r="L2337" s="2" t="str">
        <f aca="false">IF($G2337="","","同時")</f>
        <v/>
      </c>
      <c r="M2337" s="2" t="str">
        <f aca="false">IF($G2337="","",IF(ISNA(MATCH($G2337,個別指定!$A:$A,0)),"行なし",""))</f>
        <v/>
      </c>
      <c r="N2337" s="2" t="str">
        <f aca="false">IF($G2337="","",IF(COUNTIF($G$2:$G$4460,$G2337)&gt;1,"重複",""))</f>
        <v/>
      </c>
    </row>
    <row r="2338" customFormat="false" ht="16.5" hidden="false" customHeight="true" outlineLevel="0" collapsed="false">
      <c r="A2338" s="2" t="s">
        <v>416</v>
      </c>
      <c r="B2338" s="2" t="s">
        <v>433</v>
      </c>
      <c r="C2338" s="2" t="s">
        <v>33</v>
      </c>
      <c r="D2338" s="2" t="str">
        <f aca="false">IF(3キー同時!$B$214="","",3キー同時!$B$214)</f>
        <v>v</v>
      </c>
      <c r="E2338" s="2" t="str">
        <f aca="false">IF(3キー同時!$G$214="","",3キー同時!$G$214)</f>
        <v>p</v>
      </c>
      <c r="F2338" s="2" t="str">
        <f aca="false">""</f>
        <v/>
      </c>
      <c r="G2338" s="2" t="str">
        <f aca="false">IF(OR(3キー同時!$B$214="",3キー同時!$G$214=""),"",IF(3キー同時!AS220="","",SUBSTITUTE(SUBSTITUTE(3キー同時!AS220," ",""),"　","")))</f>
        <v>ふゅ</v>
      </c>
      <c r="H2338" s="2" t="str">
        <f aca="false">IF($G2338="","",3キー同時!$B$214)</f>
        <v>v</v>
      </c>
      <c r="I2338" s="2" t="str">
        <f aca="false">IF($G2338="","",3キー同時!$G$214)</f>
        <v>p</v>
      </c>
      <c r="J2338" s="2" t="str">
        <f aca="false">IF($G2338="","",";")</f>
        <v>;</v>
      </c>
      <c r="K2338" s="2" t="str">
        <f aca="false">""</f>
        <v/>
      </c>
      <c r="L2338" s="2" t="str">
        <f aca="false">IF($G2338="","","同時")</f>
        <v>同時</v>
      </c>
      <c r="M2338" s="2" t="str">
        <f aca="false">IF($G2338="","",IF(ISNA(MATCH($G2338,個別指定!$A:$A,0)),"行なし",""))</f>
        <v/>
      </c>
      <c r="N2338" s="2" t="str">
        <f aca="false">IF($G2338="","",IF(COUNTIF($G$2:$G$4460,$G2338)&gt;1,"重複",""))</f>
        <v/>
      </c>
    </row>
    <row r="2339" customFormat="false" ht="16.5" hidden="false" customHeight="true" outlineLevel="0" collapsed="false">
      <c r="A2339" s="2" t="s">
        <v>416</v>
      </c>
      <c r="B2339" s="2" t="s">
        <v>433</v>
      </c>
      <c r="C2339" s="2" t="s">
        <v>34</v>
      </c>
      <c r="D2339" s="2" t="str">
        <f aca="false">IF(3キー同時!$B$214="","",3キー同時!$B$214)</f>
        <v>v</v>
      </c>
      <c r="E2339" s="2" t="str">
        <f aca="false">IF(3キー同時!$G$214="","",3キー同時!$G$214)</f>
        <v>p</v>
      </c>
      <c r="F2339" s="2" t="str">
        <f aca="false">""</f>
        <v/>
      </c>
      <c r="G2339" s="2" t="str">
        <f aca="false">IF(OR(3キー同時!$B$214="",3キー同時!$G$214=""),"",IF(3キー同時!AW220="","",SUBSTITUTE(SUBSTITUTE(3キー同時!AW220," ",""),"　","")))</f>
        <v/>
      </c>
      <c r="H2339" s="2" t="str">
        <f aca="false">IF($G2339="","",3キー同時!$B$214)</f>
        <v/>
      </c>
      <c r="I2339" s="2" t="str">
        <f aca="false">IF($G2339="","",3キー同時!$G$214)</f>
        <v/>
      </c>
      <c r="J2339" s="2" t="str">
        <f aca="false">IF($G2339="","","'")</f>
        <v/>
      </c>
      <c r="K2339" s="2" t="str">
        <f aca="false">""</f>
        <v/>
      </c>
      <c r="L2339" s="2" t="str">
        <f aca="false">IF($G2339="","","同時")</f>
        <v/>
      </c>
      <c r="M2339" s="2" t="str">
        <f aca="false">IF($G2339="","",IF(ISNA(MATCH($G2339,個別指定!$A:$A,0)),"行なし",""))</f>
        <v/>
      </c>
      <c r="N2339" s="2" t="str">
        <f aca="false">IF($G2339="","",IF(COUNTIF($G$2:$G$4460,$G2339)&gt;1,"重複",""))</f>
        <v/>
      </c>
    </row>
    <row r="2340" customFormat="false" ht="16.5" hidden="false" customHeight="true" outlineLevel="0" collapsed="false">
      <c r="A2340" s="2" t="s">
        <v>416</v>
      </c>
      <c r="B2340" s="2" t="s">
        <v>433</v>
      </c>
      <c r="C2340" s="2" t="s">
        <v>35</v>
      </c>
      <c r="D2340" s="2" t="str">
        <f aca="false">IF(3キー同時!$B$214="","",3キー同時!$B$214)</f>
        <v>v</v>
      </c>
      <c r="E2340" s="2" t="str">
        <f aca="false">IF(3キー同時!$G$214="","",3キー同時!$G$214)</f>
        <v>p</v>
      </c>
      <c r="F2340" s="2" t="str">
        <f aca="false">""</f>
        <v/>
      </c>
      <c r="G2340" s="2" t="str">
        <f aca="false">IF(OR(3キー同時!$B$214="",3キー同時!$G$214=""),"",IF(3キー同時!K222="","",SUBSTITUTE(SUBSTITUTE(3キー同時!K222," ",""),"　","")))</f>
        <v/>
      </c>
      <c r="H2340" s="2" t="str">
        <f aca="false">IF($G2340="","",3キー同時!$B$214)</f>
        <v/>
      </c>
      <c r="I2340" s="2" t="str">
        <f aca="false">IF($G2340="","",3キー同時!$G$214)</f>
        <v/>
      </c>
      <c r="J2340" s="2" t="str">
        <f aca="false">IF($G2340="","","z")</f>
        <v/>
      </c>
      <c r="K2340" s="2" t="str">
        <f aca="false">""</f>
        <v/>
      </c>
      <c r="L2340" s="2" t="str">
        <f aca="false">IF($G2340="","","同時")</f>
        <v/>
      </c>
      <c r="M2340" s="2" t="str">
        <f aca="false">IF($G2340="","",IF(ISNA(MATCH($G2340,個別指定!$A:$A,0)),"行なし",""))</f>
        <v/>
      </c>
      <c r="N2340" s="2" t="str">
        <f aca="false">IF($G2340="","",IF(COUNTIF($G$2:$G$4460,$G2340)&gt;1,"重複",""))</f>
        <v/>
      </c>
    </row>
    <row r="2341" customFormat="false" ht="16.5" hidden="false" customHeight="true" outlineLevel="0" collapsed="false">
      <c r="A2341" s="2" t="s">
        <v>416</v>
      </c>
      <c r="B2341" s="2" t="s">
        <v>433</v>
      </c>
      <c r="C2341" s="2" t="s">
        <v>36</v>
      </c>
      <c r="D2341" s="2" t="str">
        <f aca="false">IF(3キー同時!$B$214="","",3キー同時!$B$214)</f>
        <v>v</v>
      </c>
      <c r="E2341" s="2" t="str">
        <f aca="false">IF(3キー同時!$G$214="","",3キー同時!$G$214)</f>
        <v>p</v>
      </c>
      <c r="F2341" s="2" t="str">
        <f aca="false">""</f>
        <v/>
      </c>
      <c r="G2341" s="2" t="str">
        <f aca="false">IF(OR(3キー同時!$B$214="",3キー同時!$G$214=""),"",IF(3キー同時!O222="","",SUBSTITUTE(SUBSTITUTE(3キー同時!O222," ",""),"　","")))</f>
        <v/>
      </c>
      <c r="H2341" s="2" t="str">
        <f aca="false">IF($G2341="","",3キー同時!$B$214)</f>
        <v/>
      </c>
      <c r="I2341" s="2" t="str">
        <f aca="false">IF($G2341="","",3キー同時!$G$214)</f>
        <v/>
      </c>
      <c r="J2341" s="2" t="str">
        <f aca="false">IF($G2341="","","x")</f>
        <v/>
      </c>
      <c r="K2341" s="2" t="str">
        <f aca="false">""</f>
        <v/>
      </c>
      <c r="L2341" s="2" t="str">
        <f aca="false">IF($G2341="","","同時")</f>
        <v/>
      </c>
      <c r="M2341" s="2" t="str">
        <f aca="false">IF($G2341="","",IF(ISNA(MATCH($G2341,個別指定!$A:$A,0)),"行なし",""))</f>
        <v/>
      </c>
      <c r="N2341" s="2" t="str">
        <f aca="false">IF($G2341="","",IF(COUNTIF($G$2:$G$4460,$G2341)&gt;1,"重複",""))</f>
        <v/>
      </c>
    </row>
    <row r="2342" customFormat="false" ht="16.5" hidden="false" customHeight="true" outlineLevel="0" collapsed="false">
      <c r="A2342" s="2" t="s">
        <v>416</v>
      </c>
      <c r="B2342" s="2" t="s">
        <v>433</v>
      </c>
      <c r="C2342" s="2" t="s">
        <v>37</v>
      </c>
      <c r="D2342" s="2" t="str">
        <f aca="false">IF(3キー同時!$B$214="","",3キー同時!$B$214)</f>
        <v>v</v>
      </c>
      <c r="E2342" s="2" t="str">
        <f aca="false">IF(3キー同時!$G$214="","",3キー同時!$G$214)</f>
        <v>p</v>
      </c>
      <c r="F2342" s="2" t="str">
        <f aca="false">""</f>
        <v/>
      </c>
      <c r="G2342" s="2" t="str">
        <f aca="false">IF(OR(3キー同時!$B$214="",3キー同時!$G$214=""),"",IF(3キー同時!S222="","",SUBSTITUTE(SUBSTITUTE(3キー同時!S222," ",""),"　","")))</f>
        <v/>
      </c>
      <c r="H2342" s="2" t="str">
        <f aca="false">IF($G2342="","",3キー同時!$B$214)</f>
        <v/>
      </c>
      <c r="I2342" s="2" t="str">
        <f aca="false">IF($G2342="","",3キー同時!$G$214)</f>
        <v/>
      </c>
      <c r="J2342" s="2" t="str">
        <f aca="false">IF($G2342="","","c")</f>
        <v/>
      </c>
      <c r="K2342" s="2" t="str">
        <f aca="false">""</f>
        <v/>
      </c>
      <c r="L2342" s="2" t="str">
        <f aca="false">IF($G2342="","","同時")</f>
        <v/>
      </c>
      <c r="M2342" s="2" t="str">
        <f aca="false">IF($G2342="","",IF(ISNA(MATCH($G2342,個別指定!$A:$A,0)),"行なし",""))</f>
        <v/>
      </c>
      <c r="N2342" s="2" t="str">
        <f aca="false">IF($G2342="","",IF(COUNTIF($G$2:$G$4460,$G2342)&gt;1,"重複",""))</f>
        <v/>
      </c>
    </row>
    <row r="2343" customFormat="false" ht="16.5" hidden="false" customHeight="true" outlineLevel="0" collapsed="false">
      <c r="A2343" s="2" t="s">
        <v>416</v>
      </c>
      <c r="B2343" s="2" t="s">
        <v>433</v>
      </c>
      <c r="C2343" s="2" t="s">
        <v>38</v>
      </c>
      <c r="D2343" s="2" t="str">
        <f aca="false">IF(3キー同時!$B$214="","",3キー同時!$B$214)</f>
        <v>v</v>
      </c>
      <c r="E2343" s="2" t="str">
        <f aca="false">IF(3キー同時!$G$214="","",3キー同時!$G$214)</f>
        <v>p</v>
      </c>
      <c r="F2343" s="2" t="str">
        <f aca="false">""</f>
        <v/>
      </c>
      <c r="G2343" s="2" t="str">
        <f aca="false">IF(OR(3キー同時!$B$214="",3キー同時!$G$214=""),"",IF(3キー同時!W222="","",SUBSTITUTE(SUBSTITUTE(3キー同時!W222," ",""),"　","")))</f>
        <v/>
      </c>
      <c r="H2343" s="2" t="str">
        <f aca="false">IF($G2343="","",3キー同時!$B$214)</f>
        <v/>
      </c>
      <c r="I2343" s="2" t="str">
        <f aca="false">IF($G2343="","",3キー同時!$G$214)</f>
        <v/>
      </c>
      <c r="J2343" s="2" t="str">
        <f aca="false">IF($G2343="","","v")</f>
        <v/>
      </c>
      <c r="K2343" s="2" t="str">
        <f aca="false">""</f>
        <v/>
      </c>
      <c r="L2343" s="2" t="str">
        <f aca="false">IF($G2343="","","同時")</f>
        <v/>
      </c>
      <c r="M2343" s="2" t="str">
        <f aca="false">IF($G2343="","",IF(ISNA(MATCH($G2343,個別指定!$A:$A,0)),"行なし",""))</f>
        <v/>
      </c>
      <c r="N2343" s="2" t="str">
        <f aca="false">IF($G2343="","",IF(COUNTIF($G$2:$G$4460,$G2343)&gt;1,"重複",""))</f>
        <v/>
      </c>
    </row>
    <row r="2344" customFormat="false" ht="16.5" hidden="false" customHeight="true" outlineLevel="0" collapsed="false">
      <c r="A2344" s="2" t="s">
        <v>416</v>
      </c>
      <c r="B2344" s="2" t="s">
        <v>433</v>
      </c>
      <c r="C2344" s="2" t="s">
        <v>39</v>
      </c>
      <c r="D2344" s="2" t="str">
        <f aca="false">IF(3キー同時!$B$214="","",3キー同時!$B$214)</f>
        <v>v</v>
      </c>
      <c r="E2344" s="2" t="str">
        <f aca="false">IF(3キー同時!$G$214="","",3キー同時!$G$214)</f>
        <v>p</v>
      </c>
      <c r="F2344" s="2" t="str">
        <f aca="false">""</f>
        <v/>
      </c>
      <c r="G2344" s="2" t="str">
        <f aca="false">IF(OR(3キー同時!$B$214="",3キー同時!$G$214=""),"",IF(3キー同時!AA222="","",SUBSTITUTE(SUBSTITUTE(3キー同時!AA222," ",""),"　","")))</f>
        <v/>
      </c>
      <c r="H2344" s="2" t="str">
        <f aca="false">IF($G2344="","",3キー同時!$B$214)</f>
        <v/>
      </c>
      <c r="I2344" s="2" t="str">
        <f aca="false">IF($G2344="","",3キー同時!$G$214)</f>
        <v/>
      </c>
      <c r="J2344" s="2" t="str">
        <f aca="false">IF($G2344="","","b")</f>
        <v/>
      </c>
      <c r="K2344" s="2" t="str">
        <f aca="false">""</f>
        <v/>
      </c>
      <c r="L2344" s="2" t="str">
        <f aca="false">IF($G2344="","","同時")</f>
        <v/>
      </c>
      <c r="M2344" s="2" t="str">
        <f aca="false">IF($G2344="","",IF(ISNA(MATCH($G2344,個別指定!$A:$A,0)),"行なし",""))</f>
        <v/>
      </c>
      <c r="N2344" s="2" t="str">
        <f aca="false">IF($G2344="","",IF(COUNTIF($G$2:$G$4460,$G2344)&gt;1,"重複",""))</f>
        <v/>
      </c>
    </row>
    <row r="2345" customFormat="false" ht="16.5" hidden="false" customHeight="true" outlineLevel="0" collapsed="false">
      <c r="A2345" s="2" t="s">
        <v>416</v>
      </c>
      <c r="B2345" s="2" t="s">
        <v>433</v>
      </c>
      <c r="C2345" s="2" t="s">
        <v>40</v>
      </c>
      <c r="D2345" s="2" t="str">
        <f aca="false">IF(3キー同時!$B$214="","",3キー同時!$B$214)</f>
        <v>v</v>
      </c>
      <c r="E2345" s="2" t="str">
        <f aca="false">IF(3キー同時!$G$214="","",3キー同時!$G$214)</f>
        <v>p</v>
      </c>
      <c r="F2345" s="2" t="str">
        <f aca="false">""</f>
        <v/>
      </c>
      <c r="G2345" s="2" t="str">
        <f aca="false">IF(OR(3キー同時!$B$214="",3キー同時!$G$214=""),"",IF(3キー同時!AE222="","",SUBSTITUTE(SUBSTITUTE(3キー同時!AE222," ",""),"　","")))</f>
        <v/>
      </c>
      <c r="H2345" s="2" t="str">
        <f aca="false">IF($G2345="","",3キー同時!$B$214)</f>
        <v/>
      </c>
      <c r="I2345" s="2" t="str">
        <f aca="false">IF($G2345="","",3キー同時!$G$214)</f>
        <v/>
      </c>
      <c r="J2345" s="2" t="str">
        <f aca="false">IF($G2345="","","n")</f>
        <v/>
      </c>
      <c r="K2345" s="2" t="str">
        <f aca="false">""</f>
        <v/>
      </c>
      <c r="L2345" s="2" t="str">
        <f aca="false">IF($G2345="","","同時")</f>
        <v/>
      </c>
      <c r="M2345" s="2" t="str">
        <f aca="false">IF($G2345="","",IF(ISNA(MATCH($G2345,個別指定!$A:$A,0)),"行なし",""))</f>
        <v/>
      </c>
      <c r="N2345" s="2" t="str">
        <f aca="false">IF($G2345="","",IF(COUNTIF($G$2:$G$4460,$G2345)&gt;1,"重複",""))</f>
        <v/>
      </c>
    </row>
    <row r="2346" customFormat="false" ht="16.5" hidden="false" customHeight="true" outlineLevel="0" collapsed="false">
      <c r="A2346" s="2" t="s">
        <v>416</v>
      </c>
      <c r="B2346" s="2" t="s">
        <v>433</v>
      </c>
      <c r="C2346" s="2" t="s">
        <v>41</v>
      </c>
      <c r="D2346" s="2" t="str">
        <f aca="false">IF(3キー同時!$B$214="","",3キー同時!$B$214)</f>
        <v>v</v>
      </c>
      <c r="E2346" s="2" t="str">
        <f aca="false">IF(3キー同時!$G$214="","",3キー同時!$G$214)</f>
        <v>p</v>
      </c>
      <c r="F2346" s="2" t="str">
        <f aca="false">""</f>
        <v/>
      </c>
      <c r="G2346" s="2" t="str">
        <f aca="false">IF(OR(3キー同時!$B$214="",3キー同時!$G$214=""),"",IF(3キー同時!AI222="","",SUBSTITUTE(SUBSTITUTE(3キー同時!AI222," ",""),"　","")))</f>
        <v/>
      </c>
      <c r="H2346" s="2" t="str">
        <f aca="false">IF($G2346="","",3キー同時!$B$214)</f>
        <v/>
      </c>
      <c r="I2346" s="2" t="str">
        <f aca="false">IF($G2346="","",3キー同時!$G$214)</f>
        <v/>
      </c>
      <c r="J2346" s="2" t="str">
        <f aca="false">IF($G2346="","","m")</f>
        <v/>
      </c>
      <c r="K2346" s="2" t="str">
        <f aca="false">""</f>
        <v/>
      </c>
      <c r="L2346" s="2" t="str">
        <f aca="false">IF($G2346="","","同時")</f>
        <v/>
      </c>
      <c r="M2346" s="2" t="str">
        <f aca="false">IF($G2346="","",IF(ISNA(MATCH($G2346,個別指定!$A:$A,0)),"行なし",""))</f>
        <v/>
      </c>
      <c r="N2346" s="2" t="str">
        <f aca="false">IF($G2346="","",IF(COUNTIF($G$2:$G$4460,$G2346)&gt;1,"重複",""))</f>
        <v/>
      </c>
    </row>
    <row r="2347" customFormat="false" ht="16.5" hidden="false" customHeight="true" outlineLevel="0" collapsed="false">
      <c r="A2347" s="2" t="s">
        <v>416</v>
      </c>
      <c r="B2347" s="2" t="s">
        <v>433</v>
      </c>
      <c r="C2347" s="2" t="s">
        <v>42</v>
      </c>
      <c r="D2347" s="2" t="str">
        <f aca="false">IF(3キー同時!$B$214="","",3キー同時!$B$214)</f>
        <v>v</v>
      </c>
      <c r="E2347" s="2" t="str">
        <f aca="false">IF(3キー同時!$G$214="","",3キー同時!$G$214)</f>
        <v>p</v>
      </c>
      <c r="F2347" s="2" t="str">
        <f aca="false">""</f>
        <v/>
      </c>
      <c r="G2347" s="2" t="str">
        <f aca="false">IF(OR(3キー同時!$B$214="",3キー同時!$G$214=""),"",IF(3キー同時!AM222="","",SUBSTITUTE(SUBSTITUTE(3キー同時!AM222," ",""),"　","")))</f>
        <v/>
      </c>
      <c r="H2347" s="2" t="str">
        <f aca="false">IF($G2347="","",3キー同時!$B$214)</f>
        <v/>
      </c>
      <c r="I2347" s="2" t="str">
        <f aca="false">IF($G2347="","",3キー同時!$G$214)</f>
        <v/>
      </c>
      <c r="J2347" s="2" t="str">
        <f aca="false">IF($G2347="","",",")</f>
        <v/>
      </c>
      <c r="K2347" s="2" t="str">
        <f aca="false">""</f>
        <v/>
      </c>
      <c r="L2347" s="2" t="str">
        <f aca="false">IF($G2347="","","同時")</f>
        <v/>
      </c>
      <c r="M2347" s="2" t="str">
        <f aca="false">IF($G2347="","",IF(ISNA(MATCH($G2347,個別指定!$A:$A,0)),"行なし",""))</f>
        <v/>
      </c>
      <c r="N2347" s="2" t="str">
        <f aca="false">IF($G2347="","",IF(COUNTIF($G$2:$G$4460,$G2347)&gt;1,"重複",""))</f>
        <v/>
      </c>
    </row>
    <row r="2348" customFormat="false" ht="16.5" hidden="false" customHeight="true" outlineLevel="0" collapsed="false">
      <c r="A2348" s="2" t="s">
        <v>416</v>
      </c>
      <c r="B2348" s="2" t="s">
        <v>433</v>
      </c>
      <c r="C2348" s="2" t="s">
        <v>43</v>
      </c>
      <c r="D2348" s="2" t="str">
        <f aca="false">IF(3キー同時!$B$214="","",3キー同時!$B$214)</f>
        <v>v</v>
      </c>
      <c r="E2348" s="2" t="str">
        <f aca="false">IF(3キー同時!$G$214="","",3キー同時!$G$214)</f>
        <v>p</v>
      </c>
      <c r="F2348" s="2" t="str">
        <f aca="false">""</f>
        <v/>
      </c>
      <c r="G2348" s="2" t="str">
        <f aca="false">IF(OR(3キー同時!$B$214="",3キー同時!$G$214=""),"",IF(3キー同時!AQ222="","",SUBSTITUTE(SUBSTITUTE(3キー同時!AQ222," ",""),"　","")))</f>
        <v/>
      </c>
      <c r="H2348" s="2" t="str">
        <f aca="false">IF($G2348="","",3キー同時!$B$214)</f>
        <v/>
      </c>
      <c r="I2348" s="2" t="str">
        <f aca="false">IF($G2348="","",3キー同時!$G$214)</f>
        <v/>
      </c>
      <c r="J2348" s="2" t="str">
        <f aca="false">IF($G2348="","",".")</f>
        <v/>
      </c>
      <c r="K2348" s="2" t="str">
        <f aca="false">""</f>
        <v/>
      </c>
      <c r="L2348" s="2" t="str">
        <f aca="false">IF($G2348="","","同時")</f>
        <v/>
      </c>
      <c r="M2348" s="2" t="str">
        <f aca="false">IF($G2348="","",IF(ISNA(MATCH($G2348,個別指定!$A:$A,0)),"行なし",""))</f>
        <v/>
      </c>
      <c r="N2348" s="2" t="str">
        <f aca="false">IF($G2348="","",IF(COUNTIF($G$2:$G$4460,$G2348)&gt;1,"重複",""))</f>
        <v/>
      </c>
    </row>
    <row r="2349" customFormat="false" ht="16.5" hidden="false" customHeight="true" outlineLevel="0" collapsed="false">
      <c r="A2349" s="2" t="s">
        <v>416</v>
      </c>
      <c r="B2349" s="2" t="s">
        <v>433</v>
      </c>
      <c r="C2349" s="2" t="s">
        <v>44</v>
      </c>
      <c r="D2349" s="2" t="str">
        <f aca="false">IF(3キー同時!$B$214="","",3キー同時!$B$214)</f>
        <v>v</v>
      </c>
      <c r="E2349" s="2" t="str">
        <f aca="false">IF(3キー同時!$G$214="","",3キー同時!$G$214)</f>
        <v>p</v>
      </c>
      <c r="F2349" s="2" t="str">
        <f aca="false">""</f>
        <v/>
      </c>
      <c r="G2349" s="2" t="str">
        <f aca="false">IF(OR(3キー同時!$B$214="",3キー同時!$G$214=""),"",IF(3キー同時!AU222="","",SUBSTITUTE(SUBSTITUTE(3キー同時!AU222," ",""),"　","")))</f>
        <v/>
      </c>
      <c r="H2349" s="2" t="str">
        <f aca="false">IF($G2349="","",3キー同時!$B$214)</f>
        <v/>
      </c>
      <c r="I2349" s="2" t="str">
        <f aca="false">IF($G2349="","",3キー同時!$G$214)</f>
        <v/>
      </c>
      <c r="J2349" s="2" t="str">
        <f aca="false">IF($G2349="","","/")</f>
        <v/>
      </c>
      <c r="K2349" s="2" t="str">
        <f aca="false">""</f>
        <v/>
      </c>
      <c r="L2349" s="2" t="str">
        <f aca="false">IF($G2349="","","同時")</f>
        <v/>
      </c>
      <c r="M2349" s="2" t="str">
        <f aca="false">IF($G2349="","",IF(ISNA(MATCH($G2349,個別指定!$A:$A,0)),"行なし",""))</f>
        <v/>
      </c>
      <c r="N2349" s="2" t="str">
        <f aca="false">IF($G2349="","",IF(COUNTIF($G$2:$G$4460,$G2349)&gt;1,"重複",""))</f>
        <v/>
      </c>
    </row>
    <row r="2350" customFormat="false" ht="16.5" hidden="false" customHeight="true" outlineLevel="0" collapsed="false">
      <c r="A2350" s="2" t="s">
        <v>416</v>
      </c>
      <c r="B2350" s="2" t="s">
        <v>433</v>
      </c>
      <c r="C2350" s="2" t="s">
        <v>48</v>
      </c>
      <c r="D2350" s="2" t="str">
        <f aca="false">IF(3キー同時!$B$214="","",3キー同時!$B$214)</f>
        <v>v</v>
      </c>
      <c r="E2350" s="2" t="str">
        <f aca="false">IF(3キー同時!$G$214="","",3キー同時!$G$214)</f>
        <v>p</v>
      </c>
      <c r="F2350" s="2" t="str">
        <f aca="false">""</f>
        <v/>
      </c>
      <c r="G2350" s="2" t="str">
        <f aca="false">IF(OR(3キー同時!$B$214="",3キー同時!$G$214=""),"",IF(3キー同時!P224="","",SUBSTITUTE(SUBSTITUTE(3キー同時!P224," ",""),"　","")))</f>
        <v/>
      </c>
      <c r="H2350" s="2" t="str">
        <f aca="false">IF($G2350="","",3キー同時!$B$214)</f>
        <v/>
      </c>
      <c r="I2350" s="2" t="str">
        <f aca="false">IF($G2350="","",3キー同時!$G$214)</f>
        <v/>
      </c>
      <c r="J2350" s="2" t="str">
        <f aca="false">IF($G2350="","","muhenkan")</f>
        <v/>
      </c>
      <c r="K2350" s="2" t="str">
        <f aca="false">""</f>
        <v/>
      </c>
      <c r="L2350" s="2" t="str">
        <f aca="false">IF($G2350="","","同時")</f>
        <v/>
      </c>
      <c r="M2350" s="2" t="str">
        <f aca="false">IF($G2350="","",IF(ISNA(MATCH($G2350,個別指定!$A:$A,0)),"行なし",""))</f>
        <v/>
      </c>
      <c r="N2350" s="2" t="str">
        <f aca="false">IF($G2350="","",IF(COUNTIF($G$2:$G$4460,$G2350)&gt;1,"重複",""))</f>
        <v/>
      </c>
    </row>
    <row r="2351" customFormat="false" ht="16.5" hidden="false" customHeight="true" outlineLevel="0" collapsed="false">
      <c r="A2351" s="2" t="s">
        <v>416</v>
      </c>
      <c r="B2351" s="2" t="s">
        <v>433</v>
      </c>
      <c r="C2351" s="2" t="s">
        <v>50</v>
      </c>
      <c r="D2351" s="2" t="str">
        <f aca="false">IF(3キー同時!$B$214="","",3キー同時!$B$214)</f>
        <v>v</v>
      </c>
      <c r="E2351" s="2" t="str">
        <f aca="false">IF(3キー同時!$G$214="","",3キー同時!$G$214)</f>
        <v>p</v>
      </c>
      <c r="F2351" s="2" t="str">
        <f aca="false">""</f>
        <v/>
      </c>
      <c r="G2351" s="2" t="str">
        <f aca="false">IF(OR(3キー同時!$B$214="",3キー同時!$G$214=""),"",IF(3キー同時!T224="","",SUBSTITUTE(SUBSTITUTE(3キー同時!T224," ",""),"　","")))</f>
        <v/>
      </c>
      <c r="H2351" s="2" t="str">
        <f aca="false">IF($G2351="","",3キー同時!$B$214)</f>
        <v/>
      </c>
      <c r="I2351" s="2" t="str">
        <f aca="false">IF($G2351="","",3キー同時!$G$214)</f>
        <v/>
      </c>
      <c r="J2351" s="2" t="str">
        <f aca="false">IF($G2351="","","space")</f>
        <v/>
      </c>
      <c r="K2351" s="2" t="str">
        <f aca="false">""</f>
        <v/>
      </c>
      <c r="L2351" s="2" t="str">
        <f aca="false">IF($G2351="","","同時")</f>
        <v/>
      </c>
      <c r="M2351" s="2" t="str">
        <f aca="false">IF($G2351="","",IF(ISNA(MATCH($G2351,個別指定!$A:$A,0)),"行なし",""))</f>
        <v/>
      </c>
      <c r="N2351" s="2" t="str">
        <f aca="false">IF($G2351="","",IF(COUNTIF($G$2:$G$4460,$G2351)&gt;1,"重複",""))</f>
        <v/>
      </c>
    </row>
    <row r="2352" customFormat="false" ht="16.5" hidden="false" customHeight="true" outlineLevel="0" collapsed="false">
      <c r="A2352" s="2" t="s">
        <v>416</v>
      </c>
      <c r="B2352" s="2" t="s">
        <v>433</v>
      </c>
      <c r="C2352" s="2" t="s">
        <v>45</v>
      </c>
      <c r="D2352" s="2" t="str">
        <f aca="false">IF(3キー同時!$B$214="","",3キー同時!$B$214)</f>
        <v>v</v>
      </c>
      <c r="E2352" s="2" t="str">
        <f aca="false">IF(3キー同時!$G$214="","",3キー同時!$G$214)</f>
        <v>p</v>
      </c>
      <c r="F2352" s="2" t="str">
        <f aca="false">""</f>
        <v/>
      </c>
      <c r="G2352" s="2" t="str">
        <f aca="false">IF(OR(3キー同時!$B$214="",3キー同時!$G$214=""),"",IF(3キー同時!AL224="","",SUBSTITUTE(SUBSTITUTE(3キー同時!AL224," ",""),"　","")))</f>
        <v/>
      </c>
      <c r="H2352" s="2" t="str">
        <f aca="false">IF($G2352="","",3キー同時!$B$214)</f>
        <v/>
      </c>
      <c r="I2352" s="2" t="str">
        <f aca="false">IF($G2352="","",3キー同時!$G$214)</f>
        <v/>
      </c>
      <c r="J2352" s="2" t="str">
        <f aca="false">IF($G2352="","","henkan")</f>
        <v/>
      </c>
      <c r="K2352" s="2" t="str">
        <f aca="false">""</f>
        <v/>
      </c>
      <c r="L2352" s="2" t="str">
        <f aca="false">IF($G2352="","","同時")</f>
        <v/>
      </c>
      <c r="M2352" s="2" t="str">
        <f aca="false">IF($G2352="","",IF(ISNA(MATCH($G2352,個別指定!$A:$A,0)),"行なし",""))</f>
        <v/>
      </c>
      <c r="N2352" s="2" t="str">
        <f aca="false">IF($G2352="","",IF(COUNTIF($G$2:$G$4460,$G2352)&gt;1,"重複",""))</f>
        <v/>
      </c>
    </row>
    <row r="2353" customFormat="false" ht="16.5" hidden="false" customHeight="true" outlineLevel="0" collapsed="false">
      <c r="A2353" s="2" t="s">
        <v>416</v>
      </c>
      <c r="B2353" s="2" t="s">
        <v>433</v>
      </c>
      <c r="C2353" s="2" t="s">
        <v>46</v>
      </c>
      <c r="D2353" s="2" t="str">
        <f aca="false">IF(3キー同時!$B$214="","",3キー同時!$B$214)</f>
        <v>v</v>
      </c>
      <c r="E2353" s="2" t="str">
        <f aca="false">IF(3キー同時!$G$214="","",3キー同時!$G$214)</f>
        <v>p</v>
      </c>
      <c r="F2353" s="2" t="str">
        <f aca="false">""</f>
        <v/>
      </c>
      <c r="G2353" s="2" t="str">
        <f aca="false">IF(OR(3キー同時!$B$214="",3キー同時!$G$214=""),"",IF(3キー同時!AP224="","",SUBSTITUTE(SUBSTITUTE(3キー同時!AP224," ",""),"　","")))</f>
        <v/>
      </c>
      <c r="H2353" s="2" t="str">
        <f aca="false">IF($G2353="","",3キー同時!$B$214)</f>
        <v/>
      </c>
      <c r="I2353" s="2" t="str">
        <f aca="false">IF($G2353="","",3キー同時!$G$214)</f>
        <v/>
      </c>
      <c r="J2353" s="2" t="str">
        <f aca="false">IF($G2353="","","kana")</f>
        <v/>
      </c>
      <c r="K2353" s="2" t="str">
        <f aca="false">""</f>
        <v/>
      </c>
      <c r="L2353" s="2" t="str">
        <f aca="false">IF($G2353="","","同時")</f>
        <v/>
      </c>
      <c r="M2353" s="2" t="str">
        <f aca="false">IF($G2353="","",IF(ISNA(MATCH($G2353,個別指定!$A:$A,0)),"行なし",""))</f>
        <v/>
      </c>
      <c r="N2353" s="2" t="str">
        <f aca="false">IF($G2353="","",IF(COUNTIF($G$2:$G$4460,$G2353)&gt;1,"重複",""))</f>
        <v/>
      </c>
    </row>
    <row r="2354" customFormat="false" ht="16.5" hidden="false" customHeight="true" outlineLevel="0" collapsed="false">
      <c r="A2354" s="2" t="s">
        <v>416</v>
      </c>
      <c r="B2354" s="2" t="s">
        <v>434</v>
      </c>
      <c r="C2354" s="2" t="s">
        <v>0</v>
      </c>
      <c r="D2354" s="2" t="str">
        <f aca="false">IF(3キー同時!$B$227="","",3キー同時!$B$227)</f>
        <v>j</v>
      </c>
      <c r="E2354" s="2" t="str">
        <f aca="false">IF(3キー同時!$G$227="","",3キー同時!$G$227)</f>
        <v>o</v>
      </c>
      <c r="F2354" s="2" t="str">
        <f aca="false">""</f>
        <v/>
      </c>
      <c r="G2354" s="2" t="str">
        <f aca="false">IF(OR(3キー同時!$B$227="",3キー同時!$G$227=""),"",IF(3キー同時!F229="","",SUBSTITUTE(SUBSTITUTE(3キー同時!F229," ",""),"　","")))</f>
        <v/>
      </c>
      <c r="H2354" s="2" t="str">
        <f aca="false">IF($G2354="","",3キー同時!$B$227)</f>
        <v/>
      </c>
      <c r="I2354" s="2" t="str">
        <f aca="false">IF($G2354="","",3キー同時!$G$227)</f>
        <v/>
      </c>
      <c r="J2354" s="2" t="str">
        <f aca="false">IF($G2354="","","1")</f>
        <v/>
      </c>
      <c r="K2354" s="2" t="str">
        <f aca="false">""</f>
        <v/>
      </c>
      <c r="L2354" s="2" t="str">
        <f aca="false">IF($G2354="","","同時")</f>
        <v/>
      </c>
      <c r="M2354" s="2" t="str">
        <f aca="false">IF($G2354="","",IF(ISNA(MATCH($G2354,個別指定!$A:$A,0)),"行なし",""))</f>
        <v/>
      </c>
      <c r="N2354" s="2" t="str">
        <f aca="false">IF($G2354="","",IF(COUNTIF($G$2:$G$4460,$G2354)&gt;1,"重複",""))</f>
        <v/>
      </c>
    </row>
    <row r="2355" customFormat="false" ht="16.5" hidden="false" customHeight="true" outlineLevel="0" collapsed="false">
      <c r="A2355" s="2" t="s">
        <v>416</v>
      </c>
      <c r="B2355" s="2" t="s">
        <v>434</v>
      </c>
      <c r="C2355" s="2" t="s">
        <v>1</v>
      </c>
      <c r="D2355" s="2" t="str">
        <f aca="false">IF(3キー同時!$B$227="","",3キー同時!$B$227)</f>
        <v>j</v>
      </c>
      <c r="E2355" s="2" t="str">
        <f aca="false">IF(3キー同時!$G$227="","",3キー同時!$G$227)</f>
        <v>o</v>
      </c>
      <c r="F2355" s="2" t="str">
        <f aca="false">""</f>
        <v/>
      </c>
      <c r="G2355" s="2" t="str">
        <f aca="false">IF(OR(3キー同時!$B$227="",3キー同時!$G$227=""),"",IF(3キー同時!J229="","",SUBSTITUTE(SUBSTITUTE(3キー同時!J229," ",""),"　","")))</f>
        <v/>
      </c>
      <c r="H2355" s="2" t="str">
        <f aca="false">IF($G2355="","",3キー同時!$B$227)</f>
        <v/>
      </c>
      <c r="I2355" s="2" t="str">
        <f aca="false">IF($G2355="","",3キー同時!$G$227)</f>
        <v/>
      </c>
      <c r="J2355" s="2" t="str">
        <f aca="false">IF($G2355="","","2")</f>
        <v/>
      </c>
      <c r="K2355" s="2" t="str">
        <f aca="false">""</f>
        <v/>
      </c>
      <c r="L2355" s="2" t="str">
        <f aca="false">IF($G2355="","","同時")</f>
        <v/>
      </c>
      <c r="M2355" s="2" t="str">
        <f aca="false">IF($G2355="","",IF(ISNA(MATCH($G2355,個別指定!$A:$A,0)),"行なし",""))</f>
        <v/>
      </c>
      <c r="N2355" s="2" t="str">
        <f aca="false">IF($G2355="","",IF(COUNTIF($G$2:$G$4460,$G2355)&gt;1,"重複",""))</f>
        <v/>
      </c>
    </row>
    <row r="2356" customFormat="false" ht="16.5" hidden="false" customHeight="true" outlineLevel="0" collapsed="false">
      <c r="A2356" s="2" t="s">
        <v>416</v>
      </c>
      <c r="B2356" s="2" t="s">
        <v>434</v>
      </c>
      <c r="C2356" s="2" t="s">
        <v>2</v>
      </c>
      <c r="D2356" s="2" t="str">
        <f aca="false">IF(3キー同時!$B$227="","",3キー同時!$B$227)</f>
        <v>j</v>
      </c>
      <c r="E2356" s="2" t="str">
        <f aca="false">IF(3キー同時!$G$227="","",3キー同時!$G$227)</f>
        <v>o</v>
      </c>
      <c r="F2356" s="2" t="str">
        <f aca="false">""</f>
        <v/>
      </c>
      <c r="G2356" s="2" t="str">
        <f aca="false">IF(OR(3キー同時!$B$227="",3キー同時!$G$227=""),"",IF(3キー同時!N229="","",SUBSTITUTE(SUBSTITUTE(3キー同時!N229," ",""),"　","")))</f>
        <v/>
      </c>
      <c r="H2356" s="2" t="str">
        <f aca="false">IF($G2356="","",3キー同時!$B$227)</f>
        <v/>
      </c>
      <c r="I2356" s="2" t="str">
        <f aca="false">IF($G2356="","",3キー同時!$G$227)</f>
        <v/>
      </c>
      <c r="J2356" s="2" t="str">
        <f aca="false">IF($G2356="","","3")</f>
        <v/>
      </c>
      <c r="K2356" s="2" t="str">
        <f aca="false">""</f>
        <v/>
      </c>
      <c r="L2356" s="2" t="str">
        <f aca="false">IF($G2356="","","同時")</f>
        <v/>
      </c>
      <c r="M2356" s="2" t="str">
        <f aca="false">IF($G2356="","",IF(ISNA(MATCH($G2356,個別指定!$A:$A,0)),"行なし",""))</f>
        <v/>
      </c>
      <c r="N2356" s="2" t="str">
        <f aca="false">IF($G2356="","",IF(COUNTIF($G$2:$G$4460,$G2356)&gt;1,"重複",""))</f>
        <v/>
      </c>
    </row>
    <row r="2357" customFormat="false" ht="16.5" hidden="false" customHeight="true" outlineLevel="0" collapsed="false">
      <c r="A2357" s="2" t="s">
        <v>416</v>
      </c>
      <c r="B2357" s="2" t="s">
        <v>434</v>
      </c>
      <c r="C2357" s="2" t="s">
        <v>3</v>
      </c>
      <c r="D2357" s="2" t="str">
        <f aca="false">IF(3キー同時!$B$227="","",3キー同時!$B$227)</f>
        <v>j</v>
      </c>
      <c r="E2357" s="2" t="str">
        <f aca="false">IF(3キー同時!$G$227="","",3キー同時!$G$227)</f>
        <v>o</v>
      </c>
      <c r="F2357" s="2" t="str">
        <f aca="false">""</f>
        <v/>
      </c>
      <c r="G2357" s="2" t="str">
        <f aca="false">IF(OR(3キー同時!$B$227="",3キー同時!$G$227=""),"",IF(3キー同時!R229="","",SUBSTITUTE(SUBSTITUTE(3キー同時!R229," ",""),"　","")))</f>
        <v/>
      </c>
      <c r="H2357" s="2" t="str">
        <f aca="false">IF($G2357="","",3キー同時!$B$227)</f>
        <v/>
      </c>
      <c r="I2357" s="2" t="str">
        <f aca="false">IF($G2357="","",3キー同時!$G$227)</f>
        <v/>
      </c>
      <c r="J2357" s="2" t="str">
        <f aca="false">IF($G2357="","","4")</f>
        <v/>
      </c>
      <c r="K2357" s="2" t="str">
        <f aca="false">""</f>
        <v/>
      </c>
      <c r="L2357" s="2" t="str">
        <f aca="false">IF($G2357="","","同時")</f>
        <v/>
      </c>
      <c r="M2357" s="2" t="str">
        <f aca="false">IF($G2357="","",IF(ISNA(MATCH($G2357,個別指定!$A:$A,0)),"行なし",""))</f>
        <v/>
      </c>
      <c r="N2357" s="2" t="str">
        <f aca="false">IF($G2357="","",IF(COUNTIF($G$2:$G$4460,$G2357)&gt;1,"重複",""))</f>
        <v/>
      </c>
    </row>
    <row r="2358" customFormat="false" ht="16.5" hidden="false" customHeight="true" outlineLevel="0" collapsed="false">
      <c r="A2358" s="2" t="s">
        <v>416</v>
      </c>
      <c r="B2358" s="2" t="s">
        <v>434</v>
      </c>
      <c r="C2358" s="2" t="s">
        <v>4</v>
      </c>
      <c r="D2358" s="2" t="str">
        <f aca="false">IF(3キー同時!$B$227="","",3キー同時!$B$227)</f>
        <v>j</v>
      </c>
      <c r="E2358" s="2" t="str">
        <f aca="false">IF(3キー同時!$G$227="","",3キー同時!$G$227)</f>
        <v>o</v>
      </c>
      <c r="F2358" s="2" t="str">
        <f aca="false">""</f>
        <v/>
      </c>
      <c r="G2358" s="2" t="str">
        <f aca="false">IF(OR(3キー同時!$B$227="",3キー同時!$G$227=""),"",IF(3キー同時!V229="","",SUBSTITUTE(SUBSTITUTE(3キー同時!V229," ",""),"　","")))</f>
        <v/>
      </c>
      <c r="H2358" s="2" t="str">
        <f aca="false">IF($G2358="","",3キー同時!$B$227)</f>
        <v/>
      </c>
      <c r="I2358" s="2" t="str">
        <f aca="false">IF($G2358="","",3キー同時!$G$227)</f>
        <v/>
      </c>
      <c r="J2358" s="2" t="str">
        <f aca="false">IF($G2358="","","5")</f>
        <v/>
      </c>
      <c r="K2358" s="2" t="str">
        <f aca="false">""</f>
        <v/>
      </c>
      <c r="L2358" s="2" t="str">
        <f aca="false">IF($G2358="","","同時")</f>
        <v/>
      </c>
      <c r="M2358" s="2" t="str">
        <f aca="false">IF($G2358="","",IF(ISNA(MATCH($G2358,個別指定!$A:$A,0)),"行なし",""))</f>
        <v/>
      </c>
      <c r="N2358" s="2" t="str">
        <f aca="false">IF($G2358="","",IF(COUNTIF($G$2:$G$4460,$G2358)&gt;1,"重複",""))</f>
        <v/>
      </c>
    </row>
    <row r="2359" customFormat="false" ht="16.5" hidden="false" customHeight="true" outlineLevel="0" collapsed="false">
      <c r="A2359" s="2" t="s">
        <v>416</v>
      </c>
      <c r="B2359" s="2" t="s">
        <v>434</v>
      </c>
      <c r="C2359" s="2" t="s">
        <v>5</v>
      </c>
      <c r="D2359" s="2" t="str">
        <f aca="false">IF(3キー同時!$B$227="","",3キー同時!$B$227)</f>
        <v>j</v>
      </c>
      <c r="E2359" s="2" t="str">
        <f aca="false">IF(3キー同時!$G$227="","",3キー同時!$G$227)</f>
        <v>o</v>
      </c>
      <c r="F2359" s="2" t="str">
        <f aca="false">""</f>
        <v/>
      </c>
      <c r="G2359" s="2" t="str">
        <f aca="false">IF(OR(3キー同時!$B$227="",3キー同時!$G$227=""),"",IF(3キー同時!Z229="","",SUBSTITUTE(SUBSTITUTE(3キー同時!Z229," ",""),"　","")))</f>
        <v/>
      </c>
      <c r="H2359" s="2" t="str">
        <f aca="false">IF($G2359="","",3キー同時!$B$227)</f>
        <v/>
      </c>
      <c r="I2359" s="2" t="str">
        <f aca="false">IF($G2359="","",3キー同時!$G$227)</f>
        <v/>
      </c>
      <c r="J2359" s="2" t="str">
        <f aca="false">IF($G2359="","","6")</f>
        <v/>
      </c>
      <c r="K2359" s="2" t="str">
        <f aca="false">""</f>
        <v/>
      </c>
      <c r="L2359" s="2" t="str">
        <f aca="false">IF($G2359="","","同時")</f>
        <v/>
      </c>
      <c r="M2359" s="2" t="str">
        <f aca="false">IF($G2359="","",IF(ISNA(MATCH($G2359,個別指定!$A:$A,0)),"行なし",""))</f>
        <v/>
      </c>
      <c r="N2359" s="2" t="str">
        <f aca="false">IF($G2359="","",IF(COUNTIF($G$2:$G$4460,$G2359)&gt;1,"重複",""))</f>
        <v/>
      </c>
    </row>
    <row r="2360" customFormat="false" ht="16.5" hidden="false" customHeight="true" outlineLevel="0" collapsed="false">
      <c r="A2360" s="2" t="s">
        <v>416</v>
      </c>
      <c r="B2360" s="2" t="s">
        <v>434</v>
      </c>
      <c r="C2360" s="2" t="s">
        <v>6</v>
      </c>
      <c r="D2360" s="2" t="str">
        <f aca="false">IF(3キー同時!$B$227="","",3キー同時!$B$227)</f>
        <v>j</v>
      </c>
      <c r="E2360" s="2" t="str">
        <f aca="false">IF(3キー同時!$G$227="","",3キー同時!$G$227)</f>
        <v>o</v>
      </c>
      <c r="F2360" s="2" t="str">
        <f aca="false">""</f>
        <v/>
      </c>
      <c r="G2360" s="2" t="str">
        <f aca="false">IF(OR(3キー同時!$B$227="",3キー同時!$G$227=""),"",IF(3キー同時!AD229="","",SUBSTITUTE(SUBSTITUTE(3キー同時!AD229," ",""),"　","")))</f>
        <v/>
      </c>
      <c r="H2360" s="2" t="str">
        <f aca="false">IF($G2360="","",3キー同時!$B$227)</f>
        <v/>
      </c>
      <c r="I2360" s="2" t="str">
        <f aca="false">IF($G2360="","",3キー同時!$G$227)</f>
        <v/>
      </c>
      <c r="J2360" s="2" t="str">
        <f aca="false">IF($G2360="","","7")</f>
        <v/>
      </c>
      <c r="K2360" s="2" t="str">
        <f aca="false">""</f>
        <v/>
      </c>
      <c r="L2360" s="2" t="str">
        <f aca="false">IF($G2360="","","同時")</f>
        <v/>
      </c>
      <c r="M2360" s="2" t="str">
        <f aca="false">IF($G2360="","",IF(ISNA(MATCH($G2360,個別指定!$A:$A,0)),"行なし",""))</f>
        <v/>
      </c>
      <c r="N2360" s="2" t="str">
        <f aca="false">IF($G2360="","",IF(COUNTIF($G$2:$G$4460,$G2360)&gt;1,"重複",""))</f>
        <v/>
      </c>
    </row>
    <row r="2361" customFormat="false" ht="16.5" hidden="false" customHeight="true" outlineLevel="0" collapsed="false">
      <c r="A2361" s="2" t="s">
        <v>416</v>
      </c>
      <c r="B2361" s="2" t="s">
        <v>434</v>
      </c>
      <c r="C2361" s="2" t="s">
        <v>7</v>
      </c>
      <c r="D2361" s="2" t="str">
        <f aca="false">IF(3キー同時!$B$227="","",3キー同時!$B$227)</f>
        <v>j</v>
      </c>
      <c r="E2361" s="2" t="str">
        <f aca="false">IF(3キー同時!$G$227="","",3キー同時!$G$227)</f>
        <v>o</v>
      </c>
      <c r="F2361" s="2" t="str">
        <f aca="false">""</f>
        <v/>
      </c>
      <c r="G2361" s="2" t="str">
        <f aca="false">IF(OR(3キー同時!$B$227="",3キー同時!$G$227=""),"",IF(3キー同時!AH229="","",SUBSTITUTE(SUBSTITUTE(3キー同時!AH229," ",""),"　","")))</f>
        <v/>
      </c>
      <c r="H2361" s="2" t="str">
        <f aca="false">IF($G2361="","",3キー同時!$B$227)</f>
        <v/>
      </c>
      <c r="I2361" s="2" t="str">
        <f aca="false">IF($G2361="","",3キー同時!$G$227)</f>
        <v/>
      </c>
      <c r="J2361" s="2" t="str">
        <f aca="false">IF($G2361="","","8")</f>
        <v/>
      </c>
      <c r="K2361" s="2" t="str">
        <f aca="false">""</f>
        <v/>
      </c>
      <c r="L2361" s="2" t="str">
        <f aca="false">IF($G2361="","","同時")</f>
        <v/>
      </c>
      <c r="M2361" s="2" t="str">
        <f aca="false">IF($G2361="","",IF(ISNA(MATCH($G2361,個別指定!$A:$A,0)),"行なし",""))</f>
        <v/>
      </c>
      <c r="N2361" s="2" t="str">
        <f aca="false">IF($G2361="","",IF(COUNTIF($G$2:$G$4460,$G2361)&gt;1,"重複",""))</f>
        <v/>
      </c>
    </row>
    <row r="2362" customFormat="false" ht="16.5" hidden="false" customHeight="true" outlineLevel="0" collapsed="false">
      <c r="A2362" s="2" t="s">
        <v>416</v>
      </c>
      <c r="B2362" s="2" t="s">
        <v>434</v>
      </c>
      <c r="C2362" s="2" t="s">
        <v>8</v>
      </c>
      <c r="D2362" s="2" t="str">
        <f aca="false">IF(3キー同時!$B$227="","",3キー同時!$B$227)</f>
        <v>j</v>
      </c>
      <c r="E2362" s="2" t="str">
        <f aca="false">IF(3キー同時!$G$227="","",3キー同時!$G$227)</f>
        <v>o</v>
      </c>
      <c r="F2362" s="2" t="str">
        <f aca="false">""</f>
        <v/>
      </c>
      <c r="G2362" s="2" t="str">
        <f aca="false">IF(OR(3キー同時!$B$227="",3キー同時!$G$227=""),"",IF(3キー同時!AL229="","",SUBSTITUTE(SUBSTITUTE(3キー同時!AL229," ",""),"　","")))</f>
        <v/>
      </c>
      <c r="H2362" s="2" t="str">
        <f aca="false">IF($G2362="","",3キー同時!$B$227)</f>
        <v/>
      </c>
      <c r="I2362" s="2" t="str">
        <f aca="false">IF($G2362="","",3キー同時!$G$227)</f>
        <v/>
      </c>
      <c r="J2362" s="2" t="str">
        <f aca="false">IF($G2362="","","9")</f>
        <v/>
      </c>
      <c r="K2362" s="2" t="str">
        <f aca="false">""</f>
        <v/>
      </c>
      <c r="L2362" s="2" t="str">
        <f aca="false">IF($G2362="","","同時")</f>
        <v/>
      </c>
      <c r="M2362" s="2" t="str">
        <f aca="false">IF($G2362="","",IF(ISNA(MATCH($G2362,個別指定!$A:$A,0)),"行なし",""))</f>
        <v/>
      </c>
      <c r="N2362" s="2" t="str">
        <f aca="false">IF($G2362="","",IF(COUNTIF($G$2:$G$4460,$G2362)&gt;1,"重複",""))</f>
        <v/>
      </c>
    </row>
    <row r="2363" customFormat="false" ht="16.5" hidden="false" customHeight="true" outlineLevel="0" collapsed="false">
      <c r="A2363" s="2" t="s">
        <v>416</v>
      </c>
      <c r="B2363" s="2" t="s">
        <v>434</v>
      </c>
      <c r="C2363" s="2" t="s">
        <v>9</v>
      </c>
      <c r="D2363" s="2" t="str">
        <f aca="false">IF(3キー同時!$B$227="","",3キー同時!$B$227)</f>
        <v>j</v>
      </c>
      <c r="E2363" s="2" t="str">
        <f aca="false">IF(3キー同時!$G$227="","",3キー同時!$G$227)</f>
        <v>o</v>
      </c>
      <c r="F2363" s="2" t="str">
        <f aca="false">""</f>
        <v/>
      </c>
      <c r="G2363" s="2" t="str">
        <f aca="false">IF(OR(3キー同時!$B$227="",3キー同時!$G$227=""),"",IF(3キー同時!AP229="","",SUBSTITUTE(SUBSTITUTE(3キー同時!AP229," ",""),"　","")))</f>
        <v/>
      </c>
      <c r="H2363" s="2" t="str">
        <f aca="false">IF($G2363="","",3キー同時!$B$227)</f>
        <v/>
      </c>
      <c r="I2363" s="2" t="str">
        <f aca="false">IF($G2363="","",3キー同時!$G$227)</f>
        <v/>
      </c>
      <c r="J2363" s="2" t="str">
        <f aca="false">IF($G2363="","","0")</f>
        <v/>
      </c>
      <c r="K2363" s="2" t="str">
        <f aca="false">""</f>
        <v/>
      </c>
      <c r="L2363" s="2" t="str">
        <f aca="false">IF($G2363="","","同時")</f>
        <v/>
      </c>
      <c r="M2363" s="2" t="str">
        <f aca="false">IF($G2363="","",IF(ISNA(MATCH($G2363,個別指定!$A:$A,0)),"行なし",""))</f>
        <v/>
      </c>
      <c r="N2363" s="2" t="str">
        <f aca="false">IF($G2363="","",IF(COUNTIF($G$2:$G$4460,$G2363)&gt;1,"重複",""))</f>
        <v/>
      </c>
    </row>
    <row r="2364" customFormat="false" ht="16.5" hidden="false" customHeight="true" outlineLevel="0" collapsed="false">
      <c r="A2364" s="2" t="s">
        <v>416</v>
      </c>
      <c r="B2364" s="2" t="s">
        <v>434</v>
      </c>
      <c r="C2364" s="2" t="s">
        <v>10</v>
      </c>
      <c r="D2364" s="2" t="str">
        <f aca="false">IF(3キー同時!$B$227="","",3キー同時!$B$227)</f>
        <v>j</v>
      </c>
      <c r="E2364" s="2" t="str">
        <f aca="false">IF(3キー同時!$G$227="","",3キー同時!$G$227)</f>
        <v>o</v>
      </c>
      <c r="F2364" s="2" t="str">
        <f aca="false">""</f>
        <v/>
      </c>
      <c r="G2364" s="2" t="str">
        <f aca="false">IF(OR(3キー同時!$B$227="",3キー同時!$G$227=""),"",IF(3キー同時!AT229="","",SUBSTITUTE(SUBSTITUTE(3キー同時!AT229," ",""),"　","")))</f>
        <v/>
      </c>
      <c r="H2364" s="2" t="str">
        <f aca="false">IF($G2364="","",3キー同時!$B$227)</f>
        <v/>
      </c>
      <c r="I2364" s="2" t="str">
        <f aca="false">IF($G2364="","",3キー同時!$G$227)</f>
        <v/>
      </c>
      <c r="J2364" s="2" t="str">
        <f aca="false">IF($G2364="","","-")</f>
        <v/>
      </c>
      <c r="K2364" s="2" t="str">
        <f aca="false">""</f>
        <v/>
      </c>
      <c r="L2364" s="2" t="str">
        <f aca="false">IF($G2364="","","同時")</f>
        <v/>
      </c>
      <c r="M2364" s="2" t="str">
        <f aca="false">IF($G2364="","",IF(ISNA(MATCH($G2364,個別指定!$A:$A,0)),"行なし",""))</f>
        <v/>
      </c>
      <c r="N2364" s="2" t="str">
        <f aca="false">IF($G2364="","",IF(COUNTIF($G$2:$G$4460,$G2364)&gt;1,"重複",""))</f>
        <v/>
      </c>
    </row>
    <row r="2365" customFormat="false" ht="16.5" hidden="false" customHeight="true" outlineLevel="0" collapsed="false">
      <c r="A2365" s="2" t="s">
        <v>416</v>
      </c>
      <c r="B2365" s="2" t="s">
        <v>434</v>
      </c>
      <c r="C2365" s="2" t="s">
        <v>11</v>
      </c>
      <c r="D2365" s="2" t="str">
        <f aca="false">IF(3キー同時!$B$227="","",3キー同時!$B$227)</f>
        <v>j</v>
      </c>
      <c r="E2365" s="2" t="str">
        <f aca="false">IF(3キー同時!$G$227="","",3キー同時!$G$227)</f>
        <v>o</v>
      </c>
      <c r="F2365" s="2" t="str">
        <f aca="false">""</f>
        <v/>
      </c>
      <c r="G2365" s="2" t="str">
        <f aca="false">IF(OR(3キー同時!$B$227="",3キー同時!$G$227=""),"",IF(3キー同時!AX229="","",SUBSTITUTE(SUBSTITUTE(3キー同時!AX229," ",""),"　","")))</f>
        <v/>
      </c>
      <c r="H2365" s="2" t="str">
        <f aca="false">IF($G2365="","",3キー同時!$B$227)</f>
        <v/>
      </c>
      <c r="I2365" s="2" t="str">
        <f aca="false">IF($G2365="","",3キー同時!$G$227)</f>
        <v/>
      </c>
      <c r="J2365" s="2" t="str">
        <f aca="false">IF($G2365="","","=")</f>
        <v/>
      </c>
      <c r="K2365" s="2" t="str">
        <f aca="false">""</f>
        <v/>
      </c>
      <c r="L2365" s="2" t="str">
        <f aca="false">IF($G2365="","","同時")</f>
        <v/>
      </c>
      <c r="M2365" s="2" t="str">
        <f aca="false">IF($G2365="","",IF(ISNA(MATCH($G2365,個別指定!$A:$A,0)),"行なし",""))</f>
        <v/>
      </c>
      <c r="N2365" s="2" t="str">
        <f aca="false">IF($G2365="","",IF(COUNTIF($G$2:$G$4460,$G2365)&gt;1,"重複",""))</f>
        <v/>
      </c>
    </row>
    <row r="2366" customFormat="false" ht="16.5" hidden="false" customHeight="true" outlineLevel="0" collapsed="false">
      <c r="A2366" s="2" t="s">
        <v>416</v>
      </c>
      <c r="B2366" s="2" t="s">
        <v>434</v>
      </c>
      <c r="C2366" s="2" t="s">
        <v>12</v>
      </c>
      <c r="D2366" s="2" t="str">
        <f aca="false">IF(3キー同時!$B$227="","",3キー同時!$B$227)</f>
        <v>j</v>
      </c>
      <c r="E2366" s="2" t="str">
        <f aca="false">IF(3キー同時!$G$227="","",3キー同時!$G$227)</f>
        <v>o</v>
      </c>
      <c r="F2366" s="2" t="str">
        <f aca="false">""</f>
        <v/>
      </c>
      <c r="G2366" s="2" t="str">
        <f aca="false">IF(OR(3キー同時!$B$227="",3キー同時!$G$227=""),"",IF(3キー同時!H231="","",SUBSTITUTE(SUBSTITUTE(3キー同時!H231," ",""),"　","")))</f>
        <v/>
      </c>
      <c r="H2366" s="2" t="str">
        <f aca="false">IF($G2366="","",3キー同時!$B$227)</f>
        <v/>
      </c>
      <c r="I2366" s="2" t="str">
        <f aca="false">IF($G2366="","",3キー同時!$G$227)</f>
        <v/>
      </c>
      <c r="J2366" s="2" t="str">
        <f aca="false">IF($G2366="","","q")</f>
        <v/>
      </c>
      <c r="K2366" s="2" t="str">
        <f aca="false">""</f>
        <v/>
      </c>
      <c r="L2366" s="2" t="str">
        <f aca="false">IF($G2366="","","同時")</f>
        <v/>
      </c>
      <c r="M2366" s="2" t="str">
        <f aca="false">IF($G2366="","",IF(ISNA(MATCH($G2366,個別指定!$A:$A,0)),"行なし",""))</f>
        <v/>
      </c>
      <c r="N2366" s="2" t="str">
        <f aca="false">IF($G2366="","",IF(COUNTIF($G$2:$G$4460,$G2366)&gt;1,"重複",""))</f>
        <v/>
      </c>
    </row>
    <row r="2367" customFormat="false" ht="16.5" hidden="false" customHeight="true" outlineLevel="0" collapsed="false">
      <c r="A2367" s="2" t="s">
        <v>416</v>
      </c>
      <c r="B2367" s="2" t="s">
        <v>434</v>
      </c>
      <c r="C2367" s="2" t="s">
        <v>13</v>
      </c>
      <c r="D2367" s="2" t="str">
        <f aca="false">IF(3キー同時!$B$227="","",3キー同時!$B$227)</f>
        <v>j</v>
      </c>
      <c r="E2367" s="2" t="str">
        <f aca="false">IF(3キー同時!$G$227="","",3キー同時!$G$227)</f>
        <v>o</v>
      </c>
      <c r="F2367" s="2" t="str">
        <f aca="false">""</f>
        <v/>
      </c>
      <c r="G2367" s="2" t="str">
        <f aca="false">IF(OR(3キー同時!$B$227="",3キー同時!$G$227=""),"",IF(3キー同時!L231="","",SUBSTITUTE(SUBSTITUTE(3キー同時!L231," ",""),"　","")))</f>
        <v/>
      </c>
      <c r="H2367" s="2" t="str">
        <f aca="false">IF($G2367="","",3キー同時!$B$227)</f>
        <v/>
      </c>
      <c r="I2367" s="2" t="str">
        <f aca="false">IF($G2367="","",3キー同時!$G$227)</f>
        <v/>
      </c>
      <c r="J2367" s="2" t="str">
        <f aca="false">IF($G2367="","","w")</f>
        <v/>
      </c>
      <c r="K2367" s="2" t="str">
        <f aca="false">""</f>
        <v/>
      </c>
      <c r="L2367" s="2" t="str">
        <f aca="false">IF($G2367="","","同時")</f>
        <v/>
      </c>
      <c r="M2367" s="2" t="str">
        <f aca="false">IF($G2367="","",IF(ISNA(MATCH($G2367,個別指定!$A:$A,0)),"行なし",""))</f>
        <v/>
      </c>
      <c r="N2367" s="2" t="str">
        <f aca="false">IF($G2367="","",IF(COUNTIF($G$2:$G$4460,$G2367)&gt;1,"重複",""))</f>
        <v/>
      </c>
    </row>
    <row r="2368" customFormat="false" ht="16.5" hidden="false" customHeight="true" outlineLevel="0" collapsed="false">
      <c r="A2368" s="2" t="s">
        <v>416</v>
      </c>
      <c r="B2368" s="2" t="s">
        <v>434</v>
      </c>
      <c r="C2368" s="2" t="s">
        <v>14</v>
      </c>
      <c r="D2368" s="2" t="str">
        <f aca="false">IF(3キー同時!$B$227="","",3キー同時!$B$227)</f>
        <v>j</v>
      </c>
      <c r="E2368" s="2" t="str">
        <f aca="false">IF(3キー同時!$G$227="","",3キー同時!$G$227)</f>
        <v>o</v>
      </c>
      <c r="F2368" s="2" t="str">
        <f aca="false">""</f>
        <v/>
      </c>
      <c r="G2368" s="2" t="str">
        <f aca="false">IF(OR(3キー同時!$B$227="",3キー同時!$G$227=""),"",IF(3キー同時!P231="","",SUBSTITUTE(SUBSTITUTE(3キー同時!P231," ",""),"　","")))</f>
        <v/>
      </c>
      <c r="H2368" s="2" t="str">
        <f aca="false">IF($G2368="","",3キー同時!$B$227)</f>
        <v/>
      </c>
      <c r="I2368" s="2" t="str">
        <f aca="false">IF($G2368="","",3キー同時!$G$227)</f>
        <v/>
      </c>
      <c r="J2368" s="2" t="str">
        <f aca="false">IF($G2368="","","e")</f>
        <v/>
      </c>
      <c r="K2368" s="2" t="str">
        <f aca="false">""</f>
        <v/>
      </c>
      <c r="L2368" s="2" t="str">
        <f aca="false">IF($G2368="","","同時")</f>
        <v/>
      </c>
      <c r="M2368" s="2" t="str">
        <f aca="false">IF($G2368="","",IF(ISNA(MATCH($G2368,個別指定!$A:$A,0)),"行なし",""))</f>
        <v/>
      </c>
      <c r="N2368" s="2" t="str">
        <f aca="false">IF($G2368="","",IF(COUNTIF($G$2:$G$4460,$G2368)&gt;1,"重複",""))</f>
        <v/>
      </c>
    </row>
    <row r="2369" customFormat="false" ht="16.5" hidden="false" customHeight="true" outlineLevel="0" collapsed="false">
      <c r="A2369" s="2" t="s">
        <v>416</v>
      </c>
      <c r="B2369" s="2" t="s">
        <v>434</v>
      </c>
      <c r="C2369" s="2" t="s">
        <v>15</v>
      </c>
      <c r="D2369" s="2" t="str">
        <f aca="false">IF(3キー同時!$B$227="","",3キー同時!$B$227)</f>
        <v>j</v>
      </c>
      <c r="E2369" s="2" t="str">
        <f aca="false">IF(3キー同時!$G$227="","",3キー同時!$G$227)</f>
        <v>o</v>
      </c>
      <c r="F2369" s="2" t="str">
        <f aca="false">""</f>
        <v/>
      </c>
      <c r="G2369" s="2" t="str">
        <f aca="false">IF(OR(3キー同時!$B$227="",3キー同時!$G$227=""),"",IF(3キー同時!T231="","",SUBSTITUTE(SUBSTITUTE(3キー同時!T231," ",""),"　","")))</f>
        <v>じぇ</v>
      </c>
      <c r="H2369" s="2" t="str">
        <f aca="false">IF($G2369="","",3キー同時!$B$227)</f>
        <v>j</v>
      </c>
      <c r="I2369" s="2" t="str">
        <f aca="false">IF($G2369="","",3キー同時!$G$227)</f>
        <v>o</v>
      </c>
      <c r="J2369" s="2" t="str">
        <f aca="false">IF($G2369="","","r")</f>
        <v>r</v>
      </c>
      <c r="K2369" s="2" t="str">
        <f aca="false">""</f>
        <v/>
      </c>
      <c r="L2369" s="2" t="str">
        <f aca="false">IF($G2369="","","同時")</f>
        <v>同時</v>
      </c>
      <c r="M2369" s="2" t="str">
        <f aca="false">IF($G2369="","",IF(ISNA(MATCH($G2369,個別指定!$A:$A,0)),"行なし",""))</f>
        <v/>
      </c>
      <c r="N2369" s="2" t="str">
        <f aca="false">IF($G2369="","",IF(COUNTIF($G$2:$G$4460,$G2369)&gt;1,"重複",""))</f>
        <v/>
      </c>
    </row>
    <row r="2370" customFormat="false" ht="16.5" hidden="false" customHeight="true" outlineLevel="0" collapsed="false">
      <c r="A2370" s="2" t="s">
        <v>416</v>
      </c>
      <c r="B2370" s="2" t="s">
        <v>434</v>
      </c>
      <c r="C2370" s="2" t="s">
        <v>16</v>
      </c>
      <c r="D2370" s="2" t="str">
        <f aca="false">IF(3キー同時!$B$227="","",3キー同時!$B$227)</f>
        <v>j</v>
      </c>
      <c r="E2370" s="2" t="str">
        <f aca="false">IF(3キー同時!$G$227="","",3キー同時!$G$227)</f>
        <v>o</v>
      </c>
      <c r="F2370" s="2" t="str">
        <f aca="false">""</f>
        <v/>
      </c>
      <c r="G2370" s="2" t="str">
        <f aca="false">IF(OR(3キー同時!$B$227="",3キー同時!$G$227=""),"",IF(3キー同時!X231="","",SUBSTITUTE(SUBSTITUTE(3キー同時!X231," ",""),"　","")))</f>
        <v/>
      </c>
      <c r="H2370" s="2" t="str">
        <f aca="false">IF($G2370="","",3キー同時!$B$227)</f>
        <v/>
      </c>
      <c r="I2370" s="2" t="str">
        <f aca="false">IF($G2370="","",3キー同時!$G$227)</f>
        <v/>
      </c>
      <c r="J2370" s="2" t="str">
        <f aca="false">IF($G2370="","","t")</f>
        <v/>
      </c>
      <c r="K2370" s="2" t="str">
        <f aca="false">""</f>
        <v/>
      </c>
      <c r="L2370" s="2" t="str">
        <f aca="false">IF($G2370="","","同時")</f>
        <v/>
      </c>
      <c r="M2370" s="2" t="str">
        <f aca="false">IF($G2370="","",IF(ISNA(MATCH($G2370,個別指定!$A:$A,0)),"行なし",""))</f>
        <v/>
      </c>
      <c r="N2370" s="2" t="str">
        <f aca="false">IF($G2370="","",IF(COUNTIF($G$2:$G$4460,$G2370)&gt;1,"重複",""))</f>
        <v/>
      </c>
    </row>
    <row r="2371" customFormat="false" ht="16.5" hidden="false" customHeight="true" outlineLevel="0" collapsed="false">
      <c r="A2371" s="2" t="s">
        <v>416</v>
      </c>
      <c r="B2371" s="2" t="s">
        <v>434</v>
      </c>
      <c r="C2371" s="2" t="s">
        <v>17</v>
      </c>
      <c r="D2371" s="2" t="str">
        <f aca="false">IF(3キー同時!$B$227="","",3キー同時!$B$227)</f>
        <v>j</v>
      </c>
      <c r="E2371" s="2" t="str">
        <f aca="false">IF(3キー同時!$G$227="","",3キー同時!$G$227)</f>
        <v>o</v>
      </c>
      <c r="F2371" s="2" t="str">
        <f aca="false">""</f>
        <v/>
      </c>
      <c r="G2371" s="2" t="str">
        <f aca="false">IF(OR(3キー同時!$B$227="",3キー同時!$G$227=""),"",IF(3キー同時!AB231="","",SUBSTITUTE(SUBSTITUTE(3キー同時!AB231," ",""),"　","")))</f>
        <v/>
      </c>
      <c r="H2371" s="2" t="str">
        <f aca="false">IF($G2371="","",3キー同時!$B$227)</f>
        <v/>
      </c>
      <c r="I2371" s="2" t="str">
        <f aca="false">IF($G2371="","",3キー同時!$G$227)</f>
        <v/>
      </c>
      <c r="J2371" s="2" t="str">
        <f aca="false">IF($G2371="","","y")</f>
        <v/>
      </c>
      <c r="K2371" s="2" t="str">
        <f aca="false">""</f>
        <v/>
      </c>
      <c r="L2371" s="2" t="str">
        <f aca="false">IF($G2371="","","同時")</f>
        <v/>
      </c>
      <c r="M2371" s="2" t="str">
        <f aca="false">IF($G2371="","",IF(ISNA(MATCH($G2371,個別指定!$A:$A,0)),"行なし",""))</f>
        <v/>
      </c>
      <c r="N2371" s="2" t="str">
        <f aca="false">IF($G2371="","",IF(COUNTIF($G$2:$G$4460,$G2371)&gt;1,"重複",""))</f>
        <v/>
      </c>
    </row>
    <row r="2372" customFormat="false" ht="16.5" hidden="false" customHeight="true" outlineLevel="0" collapsed="false">
      <c r="A2372" s="2" t="s">
        <v>416</v>
      </c>
      <c r="B2372" s="2" t="s">
        <v>434</v>
      </c>
      <c r="C2372" s="2" t="s">
        <v>18</v>
      </c>
      <c r="D2372" s="2" t="str">
        <f aca="false">IF(3キー同時!$B$227="","",3キー同時!$B$227)</f>
        <v>j</v>
      </c>
      <c r="E2372" s="2" t="str">
        <f aca="false">IF(3キー同時!$G$227="","",3キー同時!$G$227)</f>
        <v>o</v>
      </c>
      <c r="F2372" s="2" t="str">
        <f aca="false">""</f>
        <v/>
      </c>
      <c r="G2372" s="2" t="str">
        <f aca="false">IF(OR(3キー同時!$B$227="",3キー同時!$G$227=""),"",IF(3キー同時!AF231="","",SUBSTITUTE(SUBSTITUTE(3キー同時!AF231," ",""),"　","")))</f>
        <v/>
      </c>
      <c r="H2372" s="2" t="str">
        <f aca="false">IF($G2372="","",3キー同時!$B$227)</f>
        <v/>
      </c>
      <c r="I2372" s="2" t="str">
        <f aca="false">IF($G2372="","",3キー同時!$G$227)</f>
        <v/>
      </c>
      <c r="J2372" s="2" t="str">
        <f aca="false">IF($G2372="","","u")</f>
        <v/>
      </c>
      <c r="K2372" s="2" t="str">
        <f aca="false">""</f>
        <v/>
      </c>
      <c r="L2372" s="2" t="str">
        <f aca="false">IF($G2372="","","同時")</f>
        <v/>
      </c>
      <c r="M2372" s="2" t="str">
        <f aca="false">IF($G2372="","",IF(ISNA(MATCH($G2372,個別指定!$A:$A,0)),"行なし",""))</f>
        <v/>
      </c>
      <c r="N2372" s="2" t="str">
        <f aca="false">IF($G2372="","",IF(COUNTIF($G$2:$G$4460,$G2372)&gt;1,"重複",""))</f>
        <v/>
      </c>
    </row>
    <row r="2373" customFormat="false" ht="16.5" hidden="false" customHeight="true" outlineLevel="0" collapsed="false">
      <c r="A2373" s="2" t="s">
        <v>416</v>
      </c>
      <c r="B2373" s="2" t="s">
        <v>434</v>
      </c>
      <c r="C2373" s="2" t="s">
        <v>19</v>
      </c>
      <c r="D2373" s="2" t="str">
        <f aca="false">IF(3キー同時!$B$227="","",3キー同時!$B$227)</f>
        <v>j</v>
      </c>
      <c r="E2373" s="2" t="str">
        <f aca="false">IF(3キー同時!$G$227="","",3キー同時!$G$227)</f>
        <v>o</v>
      </c>
      <c r="F2373" s="2" t="str">
        <f aca="false">""</f>
        <v/>
      </c>
      <c r="G2373" s="2" t="str">
        <f aca="false">IF(OR(3キー同時!$B$227="",3キー同時!$G$227=""),"",IF(3キー同時!AJ231="","",SUBSTITUTE(SUBSTITUTE(3キー同時!AJ231," ",""),"　","")))</f>
        <v/>
      </c>
      <c r="H2373" s="2" t="str">
        <f aca="false">IF($G2373="","",3キー同時!$B$227)</f>
        <v/>
      </c>
      <c r="I2373" s="2" t="str">
        <f aca="false">IF($G2373="","",3キー同時!$G$227)</f>
        <v/>
      </c>
      <c r="J2373" s="2" t="str">
        <f aca="false">IF($G2373="","","i")</f>
        <v/>
      </c>
      <c r="K2373" s="2" t="str">
        <f aca="false">""</f>
        <v/>
      </c>
      <c r="L2373" s="2" t="str">
        <f aca="false">IF($G2373="","","同時")</f>
        <v/>
      </c>
      <c r="M2373" s="2" t="str">
        <f aca="false">IF($G2373="","",IF(ISNA(MATCH($G2373,個別指定!$A:$A,0)),"行なし",""))</f>
        <v/>
      </c>
      <c r="N2373" s="2" t="str">
        <f aca="false">IF($G2373="","",IF(COUNTIF($G$2:$G$4460,$G2373)&gt;1,"重複",""))</f>
        <v/>
      </c>
    </row>
    <row r="2374" customFormat="false" ht="16.5" hidden="false" customHeight="true" outlineLevel="0" collapsed="false">
      <c r="A2374" s="2" t="s">
        <v>416</v>
      </c>
      <c r="B2374" s="2" t="s">
        <v>434</v>
      </c>
      <c r="C2374" s="2" t="s">
        <v>20</v>
      </c>
      <c r="D2374" s="2" t="str">
        <f aca="false">IF(3キー同時!$B$227="","",3キー同時!$B$227)</f>
        <v>j</v>
      </c>
      <c r="E2374" s="2" t="str">
        <f aca="false">IF(3キー同時!$G$227="","",3キー同時!$G$227)</f>
        <v>o</v>
      </c>
      <c r="F2374" s="2" t="str">
        <f aca="false">""</f>
        <v/>
      </c>
      <c r="G2374" s="2" t="str">
        <f aca="false">IF(OR(3キー同時!$B$227="",3キー同時!$G$227=""),"",IF(3キー同時!AN231="","",SUBSTITUTE(SUBSTITUTE(3キー同時!AN231," ",""),"　","")))</f>
        <v/>
      </c>
      <c r="H2374" s="2" t="str">
        <f aca="false">IF($G2374="","",3キー同時!$B$227)</f>
        <v/>
      </c>
      <c r="I2374" s="2" t="str">
        <f aca="false">IF($G2374="","",3キー同時!$G$227)</f>
        <v/>
      </c>
      <c r="J2374" s="2" t="str">
        <f aca="false">IF($G2374="","","o")</f>
        <v/>
      </c>
      <c r="K2374" s="2" t="str">
        <f aca="false">""</f>
        <v/>
      </c>
      <c r="L2374" s="2" t="str">
        <f aca="false">IF($G2374="","","同時")</f>
        <v/>
      </c>
      <c r="M2374" s="2" t="str">
        <f aca="false">IF($G2374="","",IF(ISNA(MATCH($G2374,個別指定!$A:$A,0)),"行なし",""))</f>
        <v/>
      </c>
      <c r="N2374" s="2" t="str">
        <f aca="false">IF($G2374="","",IF(COUNTIF($G$2:$G$4460,$G2374)&gt;1,"重複",""))</f>
        <v/>
      </c>
    </row>
    <row r="2375" customFormat="false" ht="16.5" hidden="false" customHeight="true" outlineLevel="0" collapsed="false">
      <c r="A2375" s="2" t="s">
        <v>416</v>
      </c>
      <c r="B2375" s="2" t="s">
        <v>434</v>
      </c>
      <c r="C2375" s="2" t="s">
        <v>21</v>
      </c>
      <c r="D2375" s="2" t="str">
        <f aca="false">IF(3キー同時!$B$227="","",3キー同時!$B$227)</f>
        <v>j</v>
      </c>
      <c r="E2375" s="2" t="str">
        <f aca="false">IF(3キー同時!$G$227="","",3キー同時!$G$227)</f>
        <v>o</v>
      </c>
      <c r="F2375" s="2" t="str">
        <f aca="false">""</f>
        <v/>
      </c>
      <c r="G2375" s="2" t="str">
        <f aca="false">IF(OR(3キー同時!$B$227="",3キー同時!$G$227=""),"",IF(3キー同時!AR231="","",SUBSTITUTE(SUBSTITUTE(3キー同時!AR231," ",""),"　","")))</f>
        <v/>
      </c>
      <c r="H2375" s="2" t="str">
        <f aca="false">IF($G2375="","",3キー同時!$B$227)</f>
        <v/>
      </c>
      <c r="I2375" s="2" t="str">
        <f aca="false">IF($G2375="","",3キー同時!$G$227)</f>
        <v/>
      </c>
      <c r="J2375" s="2" t="str">
        <f aca="false">IF($G2375="","","p")</f>
        <v/>
      </c>
      <c r="K2375" s="2" t="str">
        <f aca="false">""</f>
        <v/>
      </c>
      <c r="L2375" s="2" t="str">
        <f aca="false">IF($G2375="","","同時")</f>
        <v/>
      </c>
      <c r="M2375" s="2" t="str">
        <f aca="false">IF($G2375="","",IF(ISNA(MATCH($G2375,個別指定!$A:$A,0)),"行なし",""))</f>
        <v/>
      </c>
      <c r="N2375" s="2" t="str">
        <f aca="false">IF($G2375="","",IF(COUNTIF($G$2:$G$4460,$G2375)&gt;1,"重複",""))</f>
        <v/>
      </c>
    </row>
    <row r="2376" customFormat="false" ht="16.5" hidden="false" customHeight="true" outlineLevel="0" collapsed="false">
      <c r="A2376" s="2" t="s">
        <v>416</v>
      </c>
      <c r="B2376" s="2" t="s">
        <v>434</v>
      </c>
      <c r="C2376" s="2" t="s">
        <v>22</v>
      </c>
      <c r="D2376" s="2" t="str">
        <f aca="false">IF(3キー同時!$B$227="","",3キー同時!$B$227)</f>
        <v>j</v>
      </c>
      <c r="E2376" s="2" t="str">
        <f aca="false">IF(3キー同時!$G$227="","",3キー同時!$G$227)</f>
        <v>o</v>
      </c>
      <c r="F2376" s="2" t="str">
        <f aca="false">""</f>
        <v/>
      </c>
      <c r="G2376" s="2" t="str">
        <f aca="false">IF(OR(3キー同時!$B$227="",3キー同時!$G$227=""),"",IF(3キー同時!AV231="","",SUBSTITUTE(SUBSTITUTE(3キー同時!AV231," ",""),"　","")))</f>
        <v/>
      </c>
      <c r="H2376" s="2" t="str">
        <f aca="false">IF($G2376="","",3キー同時!$B$227)</f>
        <v/>
      </c>
      <c r="I2376" s="2" t="str">
        <f aca="false">IF($G2376="","",3キー同時!$G$227)</f>
        <v/>
      </c>
      <c r="J2376" s="2" t="str">
        <f aca="false">IF($G2376="","","[")</f>
        <v/>
      </c>
      <c r="K2376" s="2" t="str">
        <f aca="false">""</f>
        <v/>
      </c>
      <c r="L2376" s="2" t="str">
        <f aca="false">IF($G2376="","","同時")</f>
        <v/>
      </c>
      <c r="M2376" s="2" t="str">
        <f aca="false">IF($G2376="","",IF(ISNA(MATCH($G2376,個別指定!$A:$A,0)),"行なし",""))</f>
        <v/>
      </c>
      <c r="N2376" s="2" t="str">
        <f aca="false">IF($G2376="","",IF(COUNTIF($G$2:$G$4460,$G2376)&gt;1,"重複",""))</f>
        <v/>
      </c>
    </row>
    <row r="2377" customFormat="false" ht="16.5" hidden="false" customHeight="true" outlineLevel="0" collapsed="false">
      <c r="A2377" s="2" t="s">
        <v>416</v>
      </c>
      <c r="B2377" s="2" t="s">
        <v>434</v>
      </c>
      <c r="C2377" s="2" t="s">
        <v>23</v>
      </c>
      <c r="D2377" s="2" t="str">
        <f aca="false">IF(3キー同時!$B$227="","",3キー同時!$B$227)</f>
        <v>j</v>
      </c>
      <c r="E2377" s="2" t="str">
        <f aca="false">IF(3キー同時!$G$227="","",3キー同時!$G$227)</f>
        <v>o</v>
      </c>
      <c r="F2377" s="2" t="str">
        <f aca="false">""</f>
        <v/>
      </c>
      <c r="G2377" s="2" t="str">
        <f aca="false">IF(OR(3キー同時!$B$227="",3キー同時!$G$227=""),"",IF(3キー同時!AZ231="","",SUBSTITUTE(SUBSTITUTE(3キー同時!AZ231," ",""),"　","")))</f>
        <v/>
      </c>
      <c r="H2377" s="2" t="str">
        <f aca="false">IF($G2377="","",3キー同時!$B$227)</f>
        <v/>
      </c>
      <c r="I2377" s="2" t="str">
        <f aca="false">IF($G2377="","",3キー同時!$G$227)</f>
        <v/>
      </c>
      <c r="J2377" s="2" t="str">
        <f aca="false">IF($G2377="","","]")</f>
        <v/>
      </c>
      <c r="K2377" s="2" t="str">
        <f aca="false">""</f>
        <v/>
      </c>
      <c r="L2377" s="2" t="str">
        <f aca="false">IF($G2377="","","同時")</f>
        <v/>
      </c>
      <c r="M2377" s="2" t="str">
        <f aca="false">IF($G2377="","",IF(ISNA(MATCH($G2377,個別指定!$A:$A,0)),"行なし",""))</f>
        <v/>
      </c>
      <c r="N2377" s="2" t="str">
        <f aca="false">IF($G2377="","",IF(COUNTIF($G$2:$G$4460,$G2377)&gt;1,"重複",""))</f>
        <v/>
      </c>
    </row>
    <row r="2378" customFormat="false" ht="16.5" hidden="false" customHeight="true" outlineLevel="0" collapsed="false">
      <c r="A2378" s="2" t="s">
        <v>416</v>
      </c>
      <c r="B2378" s="2" t="s">
        <v>434</v>
      </c>
      <c r="C2378" s="2" t="s">
        <v>24</v>
      </c>
      <c r="D2378" s="2" t="str">
        <f aca="false">IF(3キー同時!$B$227="","",3キー同時!$B$227)</f>
        <v>j</v>
      </c>
      <c r="E2378" s="2" t="str">
        <f aca="false">IF(3キー同時!$G$227="","",3キー同時!$G$227)</f>
        <v>o</v>
      </c>
      <c r="F2378" s="2" t="str">
        <f aca="false">""</f>
        <v/>
      </c>
      <c r="G2378" s="2" t="str">
        <f aca="false">IF(OR(3キー同時!$B$227="",3キー同時!$G$227=""),"",IF(3キー同時!I233="","",SUBSTITUTE(SUBSTITUTE(3キー同時!I233," ",""),"　","")))</f>
        <v/>
      </c>
      <c r="H2378" s="2" t="str">
        <f aca="false">IF($G2378="","",3キー同時!$B$227)</f>
        <v/>
      </c>
      <c r="I2378" s="2" t="str">
        <f aca="false">IF($G2378="","",3キー同時!$G$227)</f>
        <v/>
      </c>
      <c r="J2378" s="2" t="str">
        <f aca="false">IF($G2378="","","a")</f>
        <v/>
      </c>
      <c r="K2378" s="2" t="str">
        <f aca="false">""</f>
        <v/>
      </c>
      <c r="L2378" s="2" t="str">
        <f aca="false">IF($G2378="","","同時")</f>
        <v/>
      </c>
      <c r="M2378" s="2" t="str">
        <f aca="false">IF($G2378="","",IF(ISNA(MATCH($G2378,個別指定!$A:$A,0)),"行なし",""))</f>
        <v/>
      </c>
      <c r="N2378" s="2" t="str">
        <f aca="false">IF($G2378="","",IF(COUNTIF($G$2:$G$4460,$G2378)&gt;1,"重複",""))</f>
        <v/>
      </c>
    </row>
    <row r="2379" customFormat="false" ht="16.5" hidden="false" customHeight="true" outlineLevel="0" collapsed="false">
      <c r="A2379" s="2" t="s">
        <v>416</v>
      </c>
      <c r="B2379" s="2" t="s">
        <v>434</v>
      </c>
      <c r="C2379" s="2" t="s">
        <v>25</v>
      </c>
      <c r="D2379" s="2" t="str">
        <f aca="false">IF(3キー同時!$B$227="","",3キー同時!$B$227)</f>
        <v>j</v>
      </c>
      <c r="E2379" s="2" t="str">
        <f aca="false">IF(3キー同時!$G$227="","",3キー同時!$G$227)</f>
        <v>o</v>
      </c>
      <c r="F2379" s="2" t="str">
        <f aca="false">""</f>
        <v/>
      </c>
      <c r="G2379" s="2" t="str">
        <f aca="false">IF(OR(3キー同時!$B$227="",3キー同時!$G$227=""),"",IF(3キー同時!M233="","",SUBSTITUTE(SUBSTITUTE(3キー同時!M233," ",""),"　","")))</f>
        <v/>
      </c>
      <c r="H2379" s="2" t="str">
        <f aca="false">IF($G2379="","",3キー同時!$B$227)</f>
        <v/>
      </c>
      <c r="I2379" s="2" t="str">
        <f aca="false">IF($G2379="","",3キー同時!$G$227)</f>
        <v/>
      </c>
      <c r="J2379" s="2" t="str">
        <f aca="false">IF($G2379="","","s")</f>
        <v/>
      </c>
      <c r="K2379" s="2" t="str">
        <f aca="false">""</f>
        <v/>
      </c>
      <c r="L2379" s="2" t="str">
        <f aca="false">IF($G2379="","","同時")</f>
        <v/>
      </c>
      <c r="M2379" s="2" t="str">
        <f aca="false">IF($G2379="","",IF(ISNA(MATCH($G2379,個別指定!$A:$A,0)),"行なし",""))</f>
        <v/>
      </c>
      <c r="N2379" s="2" t="str">
        <f aca="false">IF($G2379="","",IF(COUNTIF($G$2:$G$4460,$G2379)&gt;1,"重複",""))</f>
        <v/>
      </c>
    </row>
    <row r="2380" customFormat="false" ht="16.5" hidden="false" customHeight="true" outlineLevel="0" collapsed="false">
      <c r="A2380" s="2" t="s">
        <v>416</v>
      </c>
      <c r="B2380" s="2" t="s">
        <v>434</v>
      </c>
      <c r="C2380" s="2" t="s">
        <v>26</v>
      </c>
      <c r="D2380" s="2" t="str">
        <f aca="false">IF(3キー同時!$B$227="","",3キー同時!$B$227)</f>
        <v>j</v>
      </c>
      <c r="E2380" s="2" t="str">
        <f aca="false">IF(3キー同時!$G$227="","",3キー同時!$G$227)</f>
        <v>o</v>
      </c>
      <c r="F2380" s="2" t="str">
        <f aca="false">""</f>
        <v/>
      </c>
      <c r="G2380" s="2" t="str">
        <f aca="false">IF(OR(3キー同時!$B$227="",3キー同時!$G$227=""),"",IF(3キー同時!Q233="","",SUBSTITUTE(SUBSTITUTE(3キー同時!Q233," ",""),"　","")))</f>
        <v/>
      </c>
      <c r="H2380" s="2" t="str">
        <f aca="false">IF($G2380="","",3キー同時!$B$227)</f>
        <v/>
      </c>
      <c r="I2380" s="2" t="str">
        <f aca="false">IF($G2380="","",3キー同時!$G$227)</f>
        <v/>
      </c>
      <c r="J2380" s="2" t="str">
        <f aca="false">IF($G2380="","","d")</f>
        <v/>
      </c>
      <c r="K2380" s="2" t="str">
        <f aca="false">""</f>
        <v/>
      </c>
      <c r="L2380" s="2" t="str">
        <f aca="false">IF($G2380="","","同時")</f>
        <v/>
      </c>
      <c r="M2380" s="2" t="str">
        <f aca="false">IF($G2380="","",IF(ISNA(MATCH($G2380,個別指定!$A:$A,0)),"行なし",""))</f>
        <v/>
      </c>
      <c r="N2380" s="2" t="str">
        <f aca="false">IF($G2380="","",IF(COUNTIF($G$2:$G$4460,$G2380)&gt;1,"重複",""))</f>
        <v/>
      </c>
    </row>
    <row r="2381" customFormat="false" ht="16.5" hidden="false" customHeight="true" outlineLevel="0" collapsed="false">
      <c r="A2381" s="2" t="s">
        <v>416</v>
      </c>
      <c r="B2381" s="2" t="s">
        <v>434</v>
      </c>
      <c r="C2381" s="2" t="s">
        <v>27</v>
      </c>
      <c r="D2381" s="2" t="str">
        <f aca="false">IF(3キー同時!$B$227="","",3キー同時!$B$227)</f>
        <v>j</v>
      </c>
      <c r="E2381" s="2" t="str">
        <f aca="false">IF(3キー同時!$G$227="","",3キー同時!$G$227)</f>
        <v>o</v>
      </c>
      <c r="F2381" s="2" t="str">
        <f aca="false">""</f>
        <v/>
      </c>
      <c r="G2381" s="2" t="str">
        <f aca="false">IF(OR(3キー同時!$B$227="",3キー同時!$G$227=""),"",IF(3キー同時!U233="","",SUBSTITUTE(SUBSTITUTE(3キー同時!U233," ",""),"　","")))</f>
        <v/>
      </c>
      <c r="H2381" s="2" t="str">
        <f aca="false">IF($G2381="","",3キー同時!$B$227)</f>
        <v/>
      </c>
      <c r="I2381" s="2" t="str">
        <f aca="false">IF($G2381="","",3キー同時!$G$227)</f>
        <v/>
      </c>
      <c r="J2381" s="2" t="str">
        <f aca="false">IF($G2381="","","f")</f>
        <v/>
      </c>
      <c r="K2381" s="2" t="str">
        <f aca="false">""</f>
        <v/>
      </c>
      <c r="L2381" s="2" t="str">
        <f aca="false">IF($G2381="","","同時")</f>
        <v/>
      </c>
      <c r="M2381" s="2" t="str">
        <f aca="false">IF($G2381="","",IF(ISNA(MATCH($G2381,個別指定!$A:$A,0)),"行なし",""))</f>
        <v/>
      </c>
      <c r="N2381" s="2" t="str">
        <f aca="false">IF($G2381="","",IF(COUNTIF($G$2:$G$4460,$G2381)&gt;1,"重複",""))</f>
        <v/>
      </c>
    </row>
    <row r="2382" customFormat="false" ht="16.5" hidden="false" customHeight="true" outlineLevel="0" collapsed="false">
      <c r="A2382" s="2" t="s">
        <v>416</v>
      </c>
      <c r="B2382" s="2" t="s">
        <v>434</v>
      </c>
      <c r="C2382" s="2" t="s">
        <v>28</v>
      </c>
      <c r="D2382" s="2" t="str">
        <f aca="false">IF(3キー同時!$B$227="","",3キー同時!$B$227)</f>
        <v>j</v>
      </c>
      <c r="E2382" s="2" t="str">
        <f aca="false">IF(3キー同時!$G$227="","",3キー同時!$G$227)</f>
        <v>o</v>
      </c>
      <c r="F2382" s="2" t="str">
        <f aca="false">""</f>
        <v/>
      </c>
      <c r="G2382" s="2" t="str">
        <f aca="false">IF(OR(3キー同時!$B$227="",3キー同時!$G$227=""),"",IF(3キー同時!Y233="","",SUBSTITUTE(SUBSTITUTE(3キー同時!Y233," ",""),"　","")))</f>
        <v/>
      </c>
      <c r="H2382" s="2" t="str">
        <f aca="false">IF($G2382="","",3キー同時!$B$227)</f>
        <v/>
      </c>
      <c r="I2382" s="2" t="str">
        <f aca="false">IF($G2382="","",3キー同時!$G$227)</f>
        <v/>
      </c>
      <c r="J2382" s="2" t="str">
        <f aca="false">IF($G2382="","","g")</f>
        <v/>
      </c>
      <c r="K2382" s="2" t="str">
        <f aca="false">""</f>
        <v/>
      </c>
      <c r="L2382" s="2" t="str">
        <f aca="false">IF($G2382="","","同時")</f>
        <v/>
      </c>
      <c r="M2382" s="2" t="str">
        <f aca="false">IF($G2382="","",IF(ISNA(MATCH($G2382,個別指定!$A:$A,0)),"行なし",""))</f>
        <v/>
      </c>
      <c r="N2382" s="2" t="str">
        <f aca="false">IF($G2382="","",IF(COUNTIF($G$2:$G$4460,$G2382)&gt;1,"重複",""))</f>
        <v/>
      </c>
    </row>
    <row r="2383" customFormat="false" ht="16.5" hidden="false" customHeight="true" outlineLevel="0" collapsed="false">
      <c r="A2383" s="2" t="s">
        <v>416</v>
      </c>
      <c r="B2383" s="2" t="s">
        <v>434</v>
      </c>
      <c r="C2383" s="2" t="s">
        <v>29</v>
      </c>
      <c r="D2383" s="2" t="str">
        <f aca="false">IF(3キー同時!$B$227="","",3キー同時!$B$227)</f>
        <v>j</v>
      </c>
      <c r="E2383" s="2" t="str">
        <f aca="false">IF(3キー同時!$G$227="","",3キー同時!$G$227)</f>
        <v>o</v>
      </c>
      <c r="F2383" s="2" t="str">
        <f aca="false">""</f>
        <v/>
      </c>
      <c r="G2383" s="2" t="str">
        <f aca="false">IF(OR(3キー同時!$B$227="",3キー同時!$G$227=""),"",IF(3キー同時!AC233="","",SUBSTITUTE(SUBSTITUTE(3キー同時!AC233," ",""),"　","")))</f>
        <v/>
      </c>
      <c r="H2383" s="2" t="str">
        <f aca="false">IF($G2383="","",3キー同時!$B$227)</f>
        <v/>
      </c>
      <c r="I2383" s="2" t="str">
        <f aca="false">IF($G2383="","",3キー同時!$G$227)</f>
        <v/>
      </c>
      <c r="J2383" s="2" t="str">
        <f aca="false">IF($G2383="","","h")</f>
        <v/>
      </c>
      <c r="K2383" s="2" t="str">
        <f aca="false">""</f>
        <v/>
      </c>
      <c r="L2383" s="2" t="str">
        <f aca="false">IF($G2383="","","同時")</f>
        <v/>
      </c>
      <c r="M2383" s="2" t="str">
        <f aca="false">IF($G2383="","",IF(ISNA(MATCH($G2383,個別指定!$A:$A,0)),"行なし",""))</f>
        <v/>
      </c>
      <c r="N2383" s="2" t="str">
        <f aca="false">IF($G2383="","",IF(COUNTIF($G$2:$G$4460,$G2383)&gt;1,"重複",""))</f>
        <v/>
      </c>
    </row>
    <row r="2384" customFormat="false" ht="16.5" hidden="false" customHeight="true" outlineLevel="0" collapsed="false">
      <c r="A2384" s="2" t="s">
        <v>416</v>
      </c>
      <c r="B2384" s="2" t="s">
        <v>434</v>
      </c>
      <c r="C2384" s="2" t="s">
        <v>30</v>
      </c>
      <c r="D2384" s="2" t="str">
        <f aca="false">IF(3キー同時!$B$227="","",3キー同時!$B$227)</f>
        <v>j</v>
      </c>
      <c r="E2384" s="2" t="str">
        <f aca="false">IF(3キー同時!$G$227="","",3キー同時!$G$227)</f>
        <v>o</v>
      </c>
      <c r="F2384" s="2" t="str">
        <f aca="false">""</f>
        <v/>
      </c>
      <c r="G2384" s="2" t="str">
        <f aca="false">IF(OR(3キー同時!$B$227="",3キー同時!$G$227=""),"",IF(3キー同時!AG233="","",SUBSTITUTE(SUBSTITUTE(3キー同時!AG233," ",""),"　","")))</f>
        <v/>
      </c>
      <c r="H2384" s="2" t="str">
        <f aca="false">IF($G2384="","",3キー同時!$B$227)</f>
        <v/>
      </c>
      <c r="I2384" s="2" t="str">
        <f aca="false">IF($G2384="","",3キー同時!$G$227)</f>
        <v/>
      </c>
      <c r="J2384" s="2" t="str">
        <f aca="false">IF($G2384="","","j")</f>
        <v/>
      </c>
      <c r="K2384" s="2" t="str">
        <f aca="false">""</f>
        <v/>
      </c>
      <c r="L2384" s="2" t="str">
        <f aca="false">IF($G2384="","","同時")</f>
        <v/>
      </c>
      <c r="M2384" s="2" t="str">
        <f aca="false">IF($G2384="","",IF(ISNA(MATCH($G2384,個別指定!$A:$A,0)),"行なし",""))</f>
        <v/>
      </c>
      <c r="N2384" s="2" t="str">
        <f aca="false">IF($G2384="","",IF(COUNTIF($G$2:$G$4460,$G2384)&gt;1,"重複",""))</f>
        <v/>
      </c>
    </row>
    <row r="2385" customFormat="false" ht="16.5" hidden="false" customHeight="true" outlineLevel="0" collapsed="false">
      <c r="A2385" s="2" t="s">
        <v>416</v>
      </c>
      <c r="B2385" s="2" t="s">
        <v>434</v>
      </c>
      <c r="C2385" s="2" t="s">
        <v>31</v>
      </c>
      <c r="D2385" s="2" t="str">
        <f aca="false">IF(3キー同時!$B$227="","",3キー同時!$B$227)</f>
        <v>j</v>
      </c>
      <c r="E2385" s="2" t="str">
        <f aca="false">IF(3キー同時!$G$227="","",3キー同時!$G$227)</f>
        <v>o</v>
      </c>
      <c r="F2385" s="2" t="str">
        <f aca="false">""</f>
        <v/>
      </c>
      <c r="G2385" s="2" t="str">
        <f aca="false">IF(OR(3キー同時!$B$227="",3キー同時!$G$227=""),"",IF(3キー同時!AK233="","",SUBSTITUTE(SUBSTITUTE(3キー同時!AK233," ",""),"　","")))</f>
        <v/>
      </c>
      <c r="H2385" s="2" t="str">
        <f aca="false">IF($G2385="","",3キー同時!$B$227)</f>
        <v/>
      </c>
      <c r="I2385" s="2" t="str">
        <f aca="false">IF($G2385="","",3キー同時!$G$227)</f>
        <v/>
      </c>
      <c r="J2385" s="2" t="str">
        <f aca="false">IF($G2385="","","k")</f>
        <v/>
      </c>
      <c r="K2385" s="2" t="str">
        <f aca="false">""</f>
        <v/>
      </c>
      <c r="L2385" s="2" t="str">
        <f aca="false">IF($G2385="","","同時")</f>
        <v/>
      </c>
      <c r="M2385" s="2" t="str">
        <f aca="false">IF($G2385="","",IF(ISNA(MATCH($G2385,個別指定!$A:$A,0)),"行なし",""))</f>
        <v/>
      </c>
      <c r="N2385" s="2" t="str">
        <f aca="false">IF($G2385="","",IF(COUNTIF($G$2:$G$4460,$G2385)&gt;1,"重複",""))</f>
        <v/>
      </c>
    </row>
    <row r="2386" customFormat="false" ht="16.5" hidden="false" customHeight="true" outlineLevel="0" collapsed="false">
      <c r="A2386" s="2" t="s">
        <v>416</v>
      </c>
      <c r="B2386" s="2" t="s">
        <v>434</v>
      </c>
      <c r="C2386" s="2" t="s">
        <v>32</v>
      </c>
      <c r="D2386" s="2" t="str">
        <f aca="false">IF(3キー同時!$B$227="","",3キー同時!$B$227)</f>
        <v>j</v>
      </c>
      <c r="E2386" s="2" t="str">
        <f aca="false">IF(3キー同時!$G$227="","",3キー同時!$G$227)</f>
        <v>o</v>
      </c>
      <c r="F2386" s="2" t="str">
        <f aca="false">""</f>
        <v/>
      </c>
      <c r="G2386" s="2" t="str">
        <f aca="false">IF(OR(3キー同時!$B$227="",3キー同時!$G$227=""),"",IF(3キー同時!AO233="","",SUBSTITUTE(SUBSTITUTE(3キー同時!AO233," ",""),"　","")))</f>
        <v/>
      </c>
      <c r="H2386" s="2" t="str">
        <f aca="false">IF($G2386="","",3キー同時!$B$227)</f>
        <v/>
      </c>
      <c r="I2386" s="2" t="str">
        <f aca="false">IF($G2386="","",3キー同時!$G$227)</f>
        <v/>
      </c>
      <c r="J2386" s="2" t="str">
        <f aca="false">IF($G2386="","","l")</f>
        <v/>
      </c>
      <c r="K2386" s="2" t="str">
        <f aca="false">""</f>
        <v/>
      </c>
      <c r="L2386" s="2" t="str">
        <f aca="false">IF($G2386="","","同時")</f>
        <v/>
      </c>
      <c r="M2386" s="2" t="str">
        <f aca="false">IF($G2386="","",IF(ISNA(MATCH($G2386,個別指定!$A:$A,0)),"行なし",""))</f>
        <v/>
      </c>
      <c r="N2386" s="2" t="str">
        <f aca="false">IF($G2386="","",IF(COUNTIF($G$2:$G$4460,$G2386)&gt;1,"重複",""))</f>
        <v/>
      </c>
    </row>
    <row r="2387" customFormat="false" ht="16.5" hidden="false" customHeight="true" outlineLevel="0" collapsed="false">
      <c r="A2387" s="2" t="s">
        <v>416</v>
      </c>
      <c r="B2387" s="2" t="s">
        <v>434</v>
      </c>
      <c r="C2387" s="2" t="s">
        <v>33</v>
      </c>
      <c r="D2387" s="2" t="str">
        <f aca="false">IF(3キー同時!$B$227="","",3キー同時!$B$227)</f>
        <v>j</v>
      </c>
      <c r="E2387" s="2" t="str">
        <f aca="false">IF(3キー同時!$G$227="","",3キー同時!$G$227)</f>
        <v>o</v>
      </c>
      <c r="F2387" s="2" t="str">
        <f aca="false">""</f>
        <v/>
      </c>
      <c r="G2387" s="2" t="str">
        <f aca="false">IF(OR(3キー同時!$B$227="",3キー同時!$G$227=""),"",IF(3キー同時!AS233="","",SUBSTITUTE(SUBSTITUTE(3キー同時!AS233," ",""),"　","")))</f>
        <v/>
      </c>
      <c r="H2387" s="2" t="str">
        <f aca="false">IF($G2387="","",3キー同時!$B$227)</f>
        <v/>
      </c>
      <c r="I2387" s="2" t="str">
        <f aca="false">IF($G2387="","",3キー同時!$G$227)</f>
        <v/>
      </c>
      <c r="J2387" s="2" t="str">
        <f aca="false">IF($G2387="","",";")</f>
        <v/>
      </c>
      <c r="K2387" s="2" t="str">
        <f aca="false">""</f>
        <v/>
      </c>
      <c r="L2387" s="2" t="str">
        <f aca="false">IF($G2387="","","同時")</f>
        <v/>
      </c>
      <c r="M2387" s="2" t="str">
        <f aca="false">IF($G2387="","",IF(ISNA(MATCH($G2387,個別指定!$A:$A,0)),"行なし",""))</f>
        <v/>
      </c>
      <c r="N2387" s="2" t="str">
        <f aca="false">IF($G2387="","",IF(COUNTIF($G$2:$G$4460,$G2387)&gt;1,"重複",""))</f>
        <v/>
      </c>
    </row>
    <row r="2388" customFormat="false" ht="16.5" hidden="false" customHeight="true" outlineLevel="0" collapsed="false">
      <c r="A2388" s="2" t="s">
        <v>416</v>
      </c>
      <c r="B2388" s="2" t="s">
        <v>434</v>
      </c>
      <c r="C2388" s="2" t="s">
        <v>34</v>
      </c>
      <c r="D2388" s="2" t="str">
        <f aca="false">IF(3キー同時!$B$227="","",3キー同時!$B$227)</f>
        <v>j</v>
      </c>
      <c r="E2388" s="2" t="str">
        <f aca="false">IF(3キー同時!$G$227="","",3キー同時!$G$227)</f>
        <v>o</v>
      </c>
      <c r="F2388" s="2" t="str">
        <f aca="false">""</f>
        <v/>
      </c>
      <c r="G2388" s="2" t="str">
        <f aca="false">IF(OR(3キー同時!$B$227="",3キー同時!$G$227=""),"",IF(3キー同時!AW233="","",SUBSTITUTE(SUBSTITUTE(3キー同時!AW233," ",""),"　","")))</f>
        <v/>
      </c>
      <c r="H2388" s="2" t="str">
        <f aca="false">IF($G2388="","",3キー同時!$B$227)</f>
        <v/>
      </c>
      <c r="I2388" s="2" t="str">
        <f aca="false">IF($G2388="","",3キー同時!$G$227)</f>
        <v/>
      </c>
      <c r="J2388" s="2" t="str">
        <f aca="false">IF($G2388="","","'")</f>
        <v/>
      </c>
      <c r="K2388" s="2" t="str">
        <f aca="false">""</f>
        <v/>
      </c>
      <c r="L2388" s="2" t="str">
        <f aca="false">IF($G2388="","","同時")</f>
        <v/>
      </c>
      <c r="M2388" s="2" t="str">
        <f aca="false">IF($G2388="","",IF(ISNA(MATCH($G2388,個別指定!$A:$A,0)),"行なし",""))</f>
        <v/>
      </c>
      <c r="N2388" s="2" t="str">
        <f aca="false">IF($G2388="","",IF(COUNTIF($G$2:$G$4460,$G2388)&gt;1,"重複",""))</f>
        <v/>
      </c>
    </row>
    <row r="2389" customFormat="false" ht="16.5" hidden="false" customHeight="true" outlineLevel="0" collapsed="false">
      <c r="A2389" s="2" t="s">
        <v>416</v>
      </c>
      <c r="B2389" s="2" t="s">
        <v>434</v>
      </c>
      <c r="C2389" s="2" t="s">
        <v>35</v>
      </c>
      <c r="D2389" s="2" t="str">
        <f aca="false">IF(3キー同時!$B$227="","",3キー同時!$B$227)</f>
        <v>j</v>
      </c>
      <c r="E2389" s="2" t="str">
        <f aca="false">IF(3キー同時!$G$227="","",3キー同時!$G$227)</f>
        <v>o</v>
      </c>
      <c r="F2389" s="2" t="str">
        <f aca="false">""</f>
        <v/>
      </c>
      <c r="G2389" s="2" t="str">
        <f aca="false">IF(OR(3キー同時!$B$227="",3キー同時!$G$227=""),"",IF(3キー同時!K235="","",SUBSTITUTE(SUBSTITUTE(3キー同時!K235," ",""),"　","")))</f>
        <v/>
      </c>
      <c r="H2389" s="2" t="str">
        <f aca="false">IF($G2389="","",3キー同時!$B$227)</f>
        <v/>
      </c>
      <c r="I2389" s="2" t="str">
        <f aca="false">IF($G2389="","",3キー同時!$G$227)</f>
        <v/>
      </c>
      <c r="J2389" s="2" t="str">
        <f aca="false">IF($G2389="","","z")</f>
        <v/>
      </c>
      <c r="K2389" s="2" t="str">
        <f aca="false">""</f>
        <v/>
      </c>
      <c r="L2389" s="2" t="str">
        <f aca="false">IF($G2389="","","同時")</f>
        <v/>
      </c>
      <c r="M2389" s="2" t="str">
        <f aca="false">IF($G2389="","",IF(ISNA(MATCH($G2389,個別指定!$A:$A,0)),"行なし",""))</f>
        <v/>
      </c>
      <c r="N2389" s="2" t="str">
        <f aca="false">IF($G2389="","",IF(COUNTIF($G$2:$G$4460,$G2389)&gt;1,"重複",""))</f>
        <v/>
      </c>
    </row>
    <row r="2390" customFormat="false" ht="16.5" hidden="false" customHeight="true" outlineLevel="0" collapsed="false">
      <c r="A2390" s="2" t="s">
        <v>416</v>
      </c>
      <c r="B2390" s="2" t="s">
        <v>434</v>
      </c>
      <c r="C2390" s="2" t="s">
        <v>36</v>
      </c>
      <c r="D2390" s="2" t="str">
        <f aca="false">IF(3キー同時!$B$227="","",3キー同時!$B$227)</f>
        <v>j</v>
      </c>
      <c r="E2390" s="2" t="str">
        <f aca="false">IF(3キー同時!$G$227="","",3キー同時!$G$227)</f>
        <v>o</v>
      </c>
      <c r="F2390" s="2" t="str">
        <f aca="false">""</f>
        <v/>
      </c>
      <c r="G2390" s="2" t="str">
        <f aca="false">IF(OR(3キー同時!$B$227="",3キー同時!$G$227=""),"",IF(3キー同時!O235="","",SUBSTITUTE(SUBSTITUTE(3キー同時!O235," ",""),"　","")))</f>
        <v/>
      </c>
      <c r="H2390" s="2" t="str">
        <f aca="false">IF($G2390="","",3キー同時!$B$227)</f>
        <v/>
      </c>
      <c r="I2390" s="2" t="str">
        <f aca="false">IF($G2390="","",3キー同時!$G$227)</f>
        <v/>
      </c>
      <c r="J2390" s="2" t="str">
        <f aca="false">IF($G2390="","","x")</f>
        <v/>
      </c>
      <c r="K2390" s="2" t="str">
        <f aca="false">""</f>
        <v/>
      </c>
      <c r="L2390" s="2" t="str">
        <f aca="false">IF($G2390="","","同時")</f>
        <v/>
      </c>
      <c r="M2390" s="2" t="str">
        <f aca="false">IF($G2390="","",IF(ISNA(MATCH($G2390,個別指定!$A:$A,0)),"行なし",""))</f>
        <v/>
      </c>
      <c r="N2390" s="2" t="str">
        <f aca="false">IF($G2390="","",IF(COUNTIF($G$2:$G$4460,$G2390)&gt;1,"重複",""))</f>
        <v/>
      </c>
    </row>
    <row r="2391" customFormat="false" ht="16.5" hidden="false" customHeight="true" outlineLevel="0" collapsed="false">
      <c r="A2391" s="2" t="s">
        <v>416</v>
      </c>
      <c r="B2391" s="2" t="s">
        <v>434</v>
      </c>
      <c r="C2391" s="2" t="s">
        <v>37</v>
      </c>
      <c r="D2391" s="2" t="str">
        <f aca="false">IF(3キー同時!$B$227="","",3キー同時!$B$227)</f>
        <v>j</v>
      </c>
      <c r="E2391" s="2" t="str">
        <f aca="false">IF(3キー同時!$G$227="","",3キー同時!$G$227)</f>
        <v>o</v>
      </c>
      <c r="F2391" s="2" t="str">
        <f aca="false">""</f>
        <v/>
      </c>
      <c r="G2391" s="2" t="str">
        <f aca="false">IF(OR(3キー同時!$B$227="",3キー同時!$G$227=""),"",IF(3キー同時!S235="","",SUBSTITUTE(SUBSTITUTE(3キー同時!S235," ",""),"　","")))</f>
        <v/>
      </c>
      <c r="H2391" s="2" t="str">
        <f aca="false">IF($G2391="","",3キー同時!$B$227)</f>
        <v/>
      </c>
      <c r="I2391" s="2" t="str">
        <f aca="false">IF($G2391="","",3キー同時!$G$227)</f>
        <v/>
      </c>
      <c r="J2391" s="2" t="str">
        <f aca="false">IF($G2391="","","c")</f>
        <v/>
      </c>
      <c r="K2391" s="2" t="str">
        <f aca="false">""</f>
        <v/>
      </c>
      <c r="L2391" s="2" t="str">
        <f aca="false">IF($G2391="","","同時")</f>
        <v/>
      </c>
      <c r="M2391" s="2" t="str">
        <f aca="false">IF($G2391="","",IF(ISNA(MATCH($G2391,個別指定!$A:$A,0)),"行なし",""))</f>
        <v/>
      </c>
      <c r="N2391" s="2" t="str">
        <f aca="false">IF($G2391="","",IF(COUNTIF($G$2:$G$4460,$G2391)&gt;1,"重複",""))</f>
        <v/>
      </c>
    </row>
    <row r="2392" customFormat="false" ht="16.5" hidden="false" customHeight="true" outlineLevel="0" collapsed="false">
      <c r="A2392" s="2" t="s">
        <v>416</v>
      </c>
      <c r="B2392" s="2" t="s">
        <v>434</v>
      </c>
      <c r="C2392" s="2" t="s">
        <v>38</v>
      </c>
      <c r="D2392" s="2" t="str">
        <f aca="false">IF(3キー同時!$B$227="","",3キー同時!$B$227)</f>
        <v>j</v>
      </c>
      <c r="E2392" s="2" t="str">
        <f aca="false">IF(3キー同時!$G$227="","",3キー同時!$G$227)</f>
        <v>o</v>
      </c>
      <c r="F2392" s="2" t="str">
        <f aca="false">""</f>
        <v/>
      </c>
      <c r="G2392" s="2" t="str">
        <f aca="false">IF(OR(3キー同時!$B$227="",3キー同時!$G$227=""),"",IF(3キー同時!W235="","",SUBSTITUTE(SUBSTITUTE(3キー同時!W235," ",""),"　","")))</f>
        <v/>
      </c>
      <c r="H2392" s="2" t="str">
        <f aca="false">IF($G2392="","",3キー同時!$B$227)</f>
        <v/>
      </c>
      <c r="I2392" s="2" t="str">
        <f aca="false">IF($G2392="","",3キー同時!$G$227)</f>
        <v/>
      </c>
      <c r="J2392" s="2" t="str">
        <f aca="false">IF($G2392="","","v")</f>
        <v/>
      </c>
      <c r="K2392" s="2" t="str">
        <f aca="false">""</f>
        <v/>
      </c>
      <c r="L2392" s="2" t="str">
        <f aca="false">IF($G2392="","","同時")</f>
        <v/>
      </c>
      <c r="M2392" s="2" t="str">
        <f aca="false">IF($G2392="","",IF(ISNA(MATCH($G2392,個別指定!$A:$A,0)),"行なし",""))</f>
        <v/>
      </c>
      <c r="N2392" s="2" t="str">
        <f aca="false">IF($G2392="","",IF(COUNTIF($G$2:$G$4460,$G2392)&gt;1,"重複",""))</f>
        <v/>
      </c>
    </row>
    <row r="2393" customFormat="false" ht="16.5" hidden="false" customHeight="true" outlineLevel="0" collapsed="false">
      <c r="A2393" s="2" t="s">
        <v>416</v>
      </c>
      <c r="B2393" s="2" t="s">
        <v>434</v>
      </c>
      <c r="C2393" s="2" t="s">
        <v>39</v>
      </c>
      <c r="D2393" s="2" t="str">
        <f aca="false">IF(3キー同時!$B$227="","",3キー同時!$B$227)</f>
        <v>j</v>
      </c>
      <c r="E2393" s="2" t="str">
        <f aca="false">IF(3キー同時!$G$227="","",3キー同時!$G$227)</f>
        <v>o</v>
      </c>
      <c r="F2393" s="2" t="str">
        <f aca="false">""</f>
        <v/>
      </c>
      <c r="G2393" s="2" t="str">
        <f aca="false">IF(OR(3キー同時!$B$227="",3キー同時!$G$227=""),"",IF(3キー同時!AA235="","",SUBSTITUTE(SUBSTITUTE(3キー同時!AA235," ",""),"　","")))</f>
        <v/>
      </c>
      <c r="H2393" s="2" t="str">
        <f aca="false">IF($G2393="","",3キー同時!$B$227)</f>
        <v/>
      </c>
      <c r="I2393" s="2" t="str">
        <f aca="false">IF($G2393="","",3キー同時!$G$227)</f>
        <v/>
      </c>
      <c r="J2393" s="2" t="str">
        <f aca="false">IF($G2393="","","b")</f>
        <v/>
      </c>
      <c r="K2393" s="2" t="str">
        <f aca="false">""</f>
        <v/>
      </c>
      <c r="L2393" s="2" t="str">
        <f aca="false">IF($G2393="","","同時")</f>
        <v/>
      </c>
      <c r="M2393" s="2" t="str">
        <f aca="false">IF($G2393="","",IF(ISNA(MATCH($G2393,個別指定!$A:$A,0)),"行なし",""))</f>
        <v/>
      </c>
      <c r="N2393" s="2" t="str">
        <f aca="false">IF($G2393="","",IF(COUNTIF($G$2:$G$4460,$G2393)&gt;1,"重複",""))</f>
        <v/>
      </c>
    </row>
    <row r="2394" customFormat="false" ht="16.5" hidden="false" customHeight="true" outlineLevel="0" collapsed="false">
      <c r="A2394" s="2" t="s">
        <v>416</v>
      </c>
      <c r="B2394" s="2" t="s">
        <v>434</v>
      </c>
      <c r="C2394" s="2" t="s">
        <v>40</v>
      </c>
      <c r="D2394" s="2" t="str">
        <f aca="false">IF(3キー同時!$B$227="","",3キー同時!$B$227)</f>
        <v>j</v>
      </c>
      <c r="E2394" s="2" t="str">
        <f aca="false">IF(3キー同時!$G$227="","",3キー同時!$G$227)</f>
        <v>o</v>
      </c>
      <c r="F2394" s="2" t="str">
        <f aca="false">""</f>
        <v/>
      </c>
      <c r="G2394" s="2" t="str">
        <f aca="false">IF(OR(3キー同時!$B$227="",3キー同時!$G$227=""),"",IF(3キー同時!AE235="","",SUBSTITUTE(SUBSTITUTE(3キー同時!AE235," ",""),"　","")))</f>
        <v/>
      </c>
      <c r="H2394" s="2" t="str">
        <f aca="false">IF($G2394="","",3キー同時!$B$227)</f>
        <v/>
      </c>
      <c r="I2394" s="2" t="str">
        <f aca="false">IF($G2394="","",3キー同時!$G$227)</f>
        <v/>
      </c>
      <c r="J2394" s="2" t="str">
        <f aca="false">IF($G2394="","","n")</f>
        <v/>
      </c>
      <c r="K2394" s="2" t="str">
        <f aca="false">""</f>
        <v/>
      </c>
      <c r="L2394" s="2" t="str">
        <f aca="false">IF($G2394="","","同時")</f>
        <v/>
      </c>
      <c r="M2394" s="2" t="str">
        <f aca="false">IF($G2394="","",IF(ISNA(MATCH($G2394,個別指定!$A:$A,0)),"行なし",""))</f>
        <v/>
      </c>
      <c r="N2394" s="2" t="str">
        <f aca="false">IF($G2394="","",IF(COUNTIF($G$2:$G$4460,$G2394)&gt;1,"重複",""))</f>
        <v/>
      </c>
    </row>
    <row r="2395" customFormat="false" ht="16.5" hidden="false" customHeight="true" outlineLevel="0" collapsed="false">
      <c r="A2395" s="2" t="s">
        <v>416</v>
      </c>
      <c r="B2395" s="2" t="s">
        <v>434</v>
      </c>
      <c r="C2395" s="2" t="s">
        <v>41</v>
      </c>
      <c r="D2395" s="2" t="str">
        <f aca="false">IF(3キー同時!$B$227="","",3キー同時!$B$227)</f>
        <v>j</v>
      </c>
      <c r="E2395" s="2" t="str">
        <f aca="false">IF(3キー同時!$G$227="","",3キー同時!$G$227)</f>
        <v>o</v>
      </c>
      <c r="F2395" s="2" t="str">
        <f aca="false">""</f>
        <v/>
      </c>
      <c r="G2395" s="2" t="str">
        <f aca="false">IF(OR(3キー同時!$B$227="",3キー同時!$G$227=""),"",IF(3キー同時!AI235="","",SUBSTITUTE(SUBSTITUTE(3キー同時!AI235," ",""),"　","")))</f>
        <v/>
      </c>
      <c r="H2395" s="2" t="str">
        <f aca="false">IF($G2395="","",3キー同時!$B$227)</f>
        <v/>
      </c>
      <c r="I2395" s="2" t="str">
        <f aca="false">IF($G2395="","",3キー同時!$G$227)</f>
        <v/>
      </c>
      <c r="J2395" s="2" t="str">
        <f aca="false">IF($G2395="","","m")</f>
        <v/>
      </c>
      <c r="K2395" s="2" t="str">
        <f aca="false">""</f>
        <v/>
      </c>
      <c r="L2395" s="2" t="str">
        <f aca="false">IF($G2395="","","同時")</f>
        <v/>
      </c>
      <c r="M2395" s="2" t="str">
        <f aca="false">IF($G2395="","",IF(ISNA(MATCH($G2395,個別指定!$A:$A,0)),"行なし",""))</f>
        <v/>
      </c>
      <c r="N2395" s="2" t="str">
        <f aca="false">IF($G2395="","",IF(COUNTIF($G$2:$G$4460,$G2395)&gt;1,"重複",""))</f>
        <v/>
      </c>
    </row>
    <row r="2396" customFormat="false" ht="16.5" hidden="false" customHeight="true" outlineLevel="0" collapsed="false">
      <c r="A2396" s="2" t="s">
        <v>416</v>
      </c>
      <c r="B2396" s="2" t="s">
        <v>434</v>
      </c>
      <c r="C2396" s="2" t="s">
        <v>42</v>
      </c>
      <c r="D2396" s="2" t="str">
        <f aca="false">IF(3キー同時!$B$227="","",3キー同時!$B$227)</f>
        <v>j</v>
      </c>
      <c r="E2396" s="2" t="str">
        <f aca="false">IF(3キー同時!$G$227="","",3キー同時!$G$227)</f>
        <v>o</v>
      </c>
      <c r="F2396" s="2" t="str">
        <f aca="false">""</f>
        <v/>
      </c>
      <c r="G2396" s="2" t="str">
        <f aca="false">IF(OR(3キー同時!$B$227="",3キー同時!$G$227=""),"",IF(3キー同時!AM235="","",SUBSTITUTE(SUBSTITUTE(3キー同時!AM235," ",""),"　","")))</f>
        <v/>
      </c>
      <c r="H2396" s="2" t="str">
        <f aca="false">IF($G2396="","",3キー同時!$B$227)</f>
        <v/>
      </c>
      <c r="I2396" s="2" t="str">
        <f aca="false">IF($G2396="","",3キー同時!$G$227)</f>
        <v/>
      </c>
      <c r="J2396" s="2" t="str">
        <f aca="false">IF($G2396="","",",")</f>
        <v/>
      </c>
      <c r="K2396" s="2" t="str">
        <f aca="false">""</f>
        <v/>
      </c>
      <c r="L2396" s="2" t="str">
        <f aca="false">IF($G2396="","","同時")</f>
        <v/>
      </c>
      <c r="M2396" s="2" t="str">
        <f aca="false">IF($G2396="","",IF(ISNA(MATCH($G2396,個別指定!$A:$A,0)),"行なし",""))</f>
        <v/>
      </c>
      <c r="N2396" s="2" t="str">
        <f aca="false">IF($G2396="","",IF(COUNTIF($G$2:$G$4460,$G2396)&gt;1,"重複",""))</f>
        <v/>
      </c>
    </row>
    <row r="2397" customFormat="false" ht="16.5" hidden="false" customHeight="true" outlineLevel="0" collapsed="false">
      <c r="A2397" s="2" t="s">
        <v>416</v>
      </c>
      <c r="B2397" s="2" t="s">
        <v>434</v>
      </c>
      <c r="C2397" s="2" t="s">
        <v>43</v>
      </c>
      <c r="D2397" s="2" t="str">
        <f aca="false">IF(3キー同時!$B$227="","",3キー同時!$B$227)</f>
        <v>j</v>
      </c>
      <c r="E2397" s="2" t="str">
        <f aca="false">IF(3キー同時!$G$227="","",3キー同時!$G$227)</f>
        <v>o</v>
      </c>
      <c r="F2397" s="2" t="str">
        <f aca="false">""</f>
        <v/>
      </c>
      <c r="G2397" s="2" t="str">
        <f aca="false">IF(OR(3キー同時!$B$227="",3キー同時!$G$227=""),"",IF(3キー同時!AQ235="","",SUBSTITUTE(SUBSTITUTE(3キー同時!AQ235," ",""),"　","")))</f>
        <v/>
      </c>
      <c r="H2397" s="2" t="str">
        <f aca="false">IF($G2397="","",3キー同時!$B$227)</f>
        <v/>
      </c>
      <c r="I2397" s="2" t="str">
        <f aca="false">IF($G2397="","",3キー同時!$G$227)</f>
        <v/>
      </c>
      <c r="J2397" s="2" t="str">
        <f aca="false">IF($G2397="","",".")</f>
        <v/>
      </c>
      <c r="K2397" s="2" t="str">
        <f aca="false">""</f>
        <v/>
      </c>
      <c r="L2397" s="2" t="str">
        <f aca="false">IF($G2397="","","同時")</f>
        <v/>
      </c>
      <c r="M2397" s="2" t="str">
        <f aca="false">IF($G2397="","",IF(ISNA(MATCH($G2397,個別指定!$A:$A,0)),"行なし",""))</f>
        <v/>
      </c>
      <c r="N2397" s="2" t="str">
        <f aca="false">IF($G2397="","",IF(COUNTIF($G$2:$G$4460,$G2397)&gt;1,"重複",""))</f>
        <v/>
      </c>
    </row>
    <row r="2398" customFormat="false" ht="16.5" hidden="false" customHeight="true" outlineLevel="0" collapsed="false">
      <c r="A2398" s="2" t="s">
        <v>416</v>
      </c>
      <c r="B2398" s="2" t="s">
        <v>434</v>
      </c>
      <c r="C2398" s="2" t="s">
        <v>44</v>
      </c>
      <c r="D2398" s="2" t="str">
        <f aca="false">IF(3キー同時!$B$227="","",3キー同時!$B$227)</f>
        <v>j</v>
      </c>
      <c r="E2398" s="2" t="str">
        <f aca="false">IF(3キー同時!$G$227="","",3キー同時!$G$227)</f>
        <v>o</v>
      </c>
      <c r="F2398" s="2" t="str">
        <f aca="false">""</f>
        <v/>
      </c>
      <c r="G2398" s="2" t="str">
        <f aca="false">IF(OR(3キー同時!$B$227="",3キー同時!$G$227=""),"",IF(3キー同時!AU235="","",SUBSTITUTE(SUBSTITUTE(3キー同時!AU235," ",""),"　","")))</f>
        <v/>
      </c>
      <c r="H2398" s="2" t="str">
        <f aca="false">IF($G2398="","",3キー同時!$B$227)</f>
        <v/>
      </c>
      <c r="I2398" s="2" t="str">
        <f aca="false">IF($G2398="","",3キー同時!$G$227)</f>
        <v/>
      </c>
      <c r="J2398" s="2" t="str">
        <f aca="false">IF($G2398="","","/")</f>
        <v/>
      </c>
      <c r="K2398" s="2" t="str">
        <f aca="false">""</f>
        <v/>
      </c>
      <c r="L2398" s="2" t="str">
        <f aca="false">IF($G2398="","","同時")</f>
        <v/>
      </c>
      <c r="M2398" s="2" t="str">
        <f aca="false">IF($G2398="","",IF(ISNA(MATCH($G2398,個別指定!$A:$A,0)),"行なし",""))</f>
        <v/>
      </c>
      <c r="N2398" s="2" t="str">
        <f aca="false">IF($G2398="","",IF(COUNTIF($G$2:$G$4460,$G2398)&gt;1,"重複",""))</f>
        <v/>
      </c>
    </row>
    <row r="2399" customFormat="false" ht="16.5" hidden="false" customHeight="true" outlineLevel="0" collapsed="false">
      <c r="A2399" s="2" t="s">
        <v>416</v>
      </c>
      <c r="B2399" s="2" t="s">
        <v>434</v>
      </c>
      <c r="C2399" s="2" t="s">
        <v>48</v>
      </c>
      <c r="D2399" s="2" t="str">
        <f aca="false">IF(3キー同時!$B$227="","",3キー同時!$B$227)</f>
        <v>j</v>
      </c>
      <c r="E2399" s="2" t="str">
        <f aca="false">IF(3キー同時!$G$227="","",3キー同時!$G$227)</f>
        <v>o</v>
      </c>
      <c r="F2399" s="2" t="str">
        <f aca="false">""</f>
        <v/>
      </c>
      <c r="G2399" s="2" t="str">
        <f aca="false">IF(OR(3キー同時!$B$227="",3キー同時!$G$227=""),"",IF(3キー同時!P237="","",SUBSTITUTE(SUBSTITUTE(3キー同時!P237," ",""),"　","")))</f>
        <v/>
      </c>
      <c r="H2399" s="2" t="str">
        <f aca="false">IF($G2399="","",3キー同時!$B$227)</f>
        <v/>
      </c>
      <c r="I2399" s="2" t="str">
        <f aca="false">IF($G2399="","",3キー同時!$G$227)</f>
        <v/>
      </c>
      <c r="J2399" s="2" t="str">
        <f aca="false">IF($G2399="","","muhenkan")</f>
        <v/>
      </c>
      <c r="K2399" s="2" t="str">
        <f aca="false">""</f>
        <v/>
      </c>
      <c r="L2399" s="2" t="str">
        <f aca="false">IF($G2399="","","同時")</f>
        <v/>
      </c>
      <c r="M2399" s="2" t="str">
        <f aca="false">IF($G2399="","",IF(ISNA(MATCH($G2399,個別指定!$A:$A,0)),"行なし",""))</f>
        <v/>
      </c>
      <c r="N2399" s="2" t="str">
        <f aca="false">IF($G2399="","",IF(COUNTIF($G$2:$G$4460,$G2399)&gt;1,"重複",""))</f>
        <v/>
      </c>
    </row>
    <row r="2400" customFormat="false" ht="16.5" hidden="false" customHeight="true" outlineLevel="0" collapsed="false">
      <c r="A2400" s="2" t="s">
        <v>416</v>
      </c>
      <c r="B2400" s="2" t="s">
        <v>434</v>
      </c>
      <c r="C2400" s="2" t="s">
        <v>50</v>
      </c>
      <c r="D2400" s="2" t="str">
        <f aca="false">IF(3キー同時!$B$227="","",3キー同時!$B$227)</f>
        <v>j</v>
      </c>
      <c r="E2400" s="2" t="str">
        <f aca="false">IF(3キー同時!$G$227="","",3キー同時!$G$227)</f>
        <v>o</v>
      </c>
      <c r="F2400" s="2" t="str">
        <f aca="false">""</f>
        <v/>
      </c>
      <c r="G2400" s="2" t="str">
        <f aca="false">IF(OR(3キー同時!$B$227="",3キー同時!$G$227=""),"",IF(3キー同時!T237="","",SUBSTITUTE(SUBSTITUTE(3キー同時!T237," ",""),"　","")))</f>
        <v/>
      </c>
      <c r="H2400" s="2" t="str">
        <f aca="false">IF($G2400="","",3キー同時!$B$227)</f>
        <v/>
      </c>
      <c r="I2400" s="2" t="str">
        <f aca="false">IF($G2400="","",3キー同時!$G$227)</f>
        <v/>
      </c>
      <c r="J2400" s="2" t="str">
        <f aca="false">IF($G2400="","","space")</f>
        <v/>
      </c>
      <c r="K2400" s="2" t="str">
        <f aca="false">""</f>
        <v/>
      </c>
      <c r="L2400" s="2" t="str">
        <f aca="false">IF($G2400="","","同時")</f>
        <v/>
      </c>
      <c r="M2400" s="2" t="str">
        <f aca="false">IF($G2400="","",IF(ISNA(MATCH($G2400,個別指定!$A:$A,0)),"行なし",""))</f>
        <v/>
      </c>
      <c r="N2400" s="2" t="str">
        <f aca="false">IF($G2400="","",IF(COUNTIF($G$2:$G$4460,$G2400)&gt;1,"重複",""))</f>
        <v/>
      </c>
    </row>
    <row r="2401" customFormat="false" ht="16.5" hidden="false" customHeight="true" outlineLevel="0" collapsed="false">
      <c r="A2401" s="2" t="s">
        <v>416</v>
      </c>
      <c r="B2401" s="2" t="s">
        <v>434</v>
      </c>
      <c r="C2401" s="2" t="s">
        <v>45</v>
      </c>
      <c r="D2401" s="2" t="str">
        <f aca="false">IF(3キー同時!$B$227="","",3キー同時!$B$227)</f>
        <v>j</v>
      </c>
      <c r="E2401" s="2" t="str">
        <f aca="false">IF(3キー同時!$G$227="","",3キー同時!$G$227)</f>
        <v>o</v>
      </c>
      <c r="F2401" s="2" t="str">
        <f aca="false">""</f>
        <v/>
      </c>
      <c r="G2401" s="2" t="str">
        <f aca="false">IF(OR(3キー同時!$B$227="",3キー同時!$G$227=""),"",IF(3キー同時!AL237="","",SUBSTITUTE(SUBSTITUTE(3キー同時!AL237," ",""),"　","")))</f>
        <v/>
      </c>
      <c r="H2401" s="2" t="str">
        <f aca="false">IF($G2401="","",3キー同時!$B$227)</f>
        <v/>
      </c>
      <c r="I2401" s="2" t="str">
        <f aca="false">IF($G2401="","",3キー同時!$G$227)</f>
        <v/>
      </c>
      <c r="J2401" s="2" t="str">
        <f aca="false">IF($G2401="","","henkan")</f>
        <v/>
      </c>
      <c r="K2401" s="2" t="str">
        <f aca="false">""</f>
        <v/>
      </c>
      <c r="L2401" s="2" t="str">
        <f aca="false">IF($G2401="","","同時")</f>
        <v/>
      </c>
      <c r="M2401" s="2" t="str">
        <f aca="false">IF($G2401="","",IF(ISNA(MATCH($G2401,個別指定!$A:$A,0)),"行なし",""))</f>
        <v/>
      </c>
      <c r="N2401" s="2" t="str">
        <f aca="false">IF($G2401="","",IF(COUNTIF($G$2:$G$4460,$G2401)&gt;1,"重複",""))</f>
        <v/>
      </c>
    </row>
    <row r="2402" customFormat="false" ht="16.5" hidden="false" customHeight="true" outlineLevel="0" collapsed="false">
      <c r="A2402" s="2" t="s">
        <v>416</v>
      </c>
      <c r="B2402" s="2" t="s">
        <v>434</v>
      </c>
      <c r="C2402" s="2" t="s">
        <v>46</v>
      </c>
      <c r="D2402" s="2" t="str">
        <f aca="false">IF(3キー同時!$B$227="","",3キー同時!$B$227)</f>
        <v>j</v>
      </c>
      <c r="E2402" s="2" t="str">
        <f aca="false">IF(3キー同時!$G$227="","",3キー同時!$G$227)</f>
        <v>o</v>
      </c>
      <c r="F2402" s="2" t="str">
        <f aca="false">""</f>
        <v/>
      </c>
      <c r="G2402" s="2" t="str">
        <f aca="false">IF(OR(3キー同時!$B$227="",3キー同時!$G$227=""),"",IF(3キー同時!AP237="","",SUBSTITUTE(SUBSTITUTE(3キー同時!AP237," ",""),"　","")))</f>
        <v/>
      </c>
      <c r="H2402" s="2" t="str">
        <f aca="false">IF($G2402="","",3キー同時!$B$227)</f>
        <v/>
      </c>
      <c r="I2402" s="2" t="str">
        <f aca="false">IF($G2402="","",3キー同時!$G$227)</f>
        <v/>
      </c>
      <c r="J2402" s="2" t="str">
        <f aca="false">IF($G2402="","","kana")</f>
        <v/>
      </c>
      <c r="K2402" s="2" t="str">
        <f aca="false">""</f>
        <v/>
      </c>
      <c r="L2402" s="2" t="str">
        <f aca="false">IF($G2402="","","同時")</f>
        <v/>
      </c>
      <c r="M2402" s="2" t="str">
        <f aca="false">IF($G2402="","",IF(ISNA(MATCH($G2402,個別指定!$A:$A,0)),"行なし",""))</f>
        <v/>
      </c>
      <c r="N2402" s="2" t="str">
        <f aca="false">IF($G2402="","",IF(COUNTIF($G$2:$G$4460,$G2402)&gt;1,"重複",""))</f>
        <v/>
      </c>
    </row>
    <row r="2403" customFormat="false" ht="16.5" hidden="false" customHeight="true" outlineLevel="0" collapsed="false">
      <c r="A2403" s="2" t="s">
        <v>416</v>
      </c>
      <c r="B2403" s="2" t="s">
        <v>435</v>
      </c>
      <c r="C2403" s="2" t="s">
        <v>0</v>
      </c>
      <c r="D2403" s="2" t="str">
        <f aca="false">IF(3キー同時!$B$240="","",3キー同時!$B$240)</f>
        <v>j</v>
      </c>
      <c r="E2403" s="2" t="str">
        <f aca="false">IF(3キー同時!$G$240="","",3キー同時!$G$240)</f>
        <v>k</v>
      </c>
      <c r="F2403" s="2" t="str">
        <f aca="false">""</f>
        <v/>
      </c>
      <c r="G2403" s="2" t="str">
        <f aca="false">IF(OR(3キー同時!$B$240="",3キー同時!$G$240=""),"",IF(3キー同時!F242="","",SUBSTITUTE(SUBSTITUTE(3キー同時!F242," ",""),"　","")))</f>
        <v/>
      </c>
      <c r="H2403" s="2" t="str">
        <f aca="false">IF($G2403="","",3キー同時!$B$240)</f>
        <v/>
      </c>
      <c r="I2403" s="2" t="str">
        <f aca="false">IF($G2403="","",3キー同時!$G$240)</f>
        <v/>
      </c>
      <c r="J2403" s="2" t="str">
        <f aca="false">IF($G2403="","","1")</f>
        <v/>
      </c>
      <c r="K2403" s="2" t="str">
        <f aca="false">""</f>
        <v/>
      </c>
      <c r="L2403" s="2" t="str">
        <f aca="false">IF($G2403="","","同時")</f>
        <v/>
      </c>
      <c r="M2403" s="2" t="str">
        <f aca="false">IF($G2403="","",IF(ISNA(MATCH($G2403,個別指定!$A:$A,0)),"行なし",""))</f>
        <v/>
      </c>
      <c r="N2403" s="2" t="str">
        <f aca="false">IF($G2403="","",IF(COUNTIF($G$2:$G$4460,$G2403)&gt;1,"重複",""))</f>
        <v/>
      </c>
    </row>
    <row r="2404" customFormat="false" ht="16.5" hidden="false" customHeight="true" outlineLevel="0" collapsed="false">
      <c r="A2404" s="2" t="s">
        <v>416</v>
      </c>
      <c r="B2404" s="2" t="s">
        <v>435</v>
      </c>
      <c r="C2404" s="2" t="s">
        <v>1</v>
      </c>
      <c r="D2404" s="2" t="str">
        <f aca="false">IF(3キー同時!$B$240="","",3キー同時!$B$240)</f>
        <v>j</v>
      </c>
      <c r="E2404" s="2" t="str">
        <f aca="false">IF(3キー同時!$G$240="","",3キー同時!$G$240)</f>
        <v>k</v>
      </c>
      <c r="F2404" s="2" t="str">
        <f aca="false">""</f>
        <v/>
      </c>
      <c r="G2404" s="2" t="str">
        <f aca="false">IF(OR(3キー同時!$B$240="",3キー同時!$G$240=""),"",IF(3キー同時!J242="","",SUBSTITUTE(SUBSTITUTE(3キー同時!J242," ",""),"　","")))</f>
        <v/>
      </c>
      <c r="H2404" s="2" t="str">
        <f aca="false">IF($G2404="","",3キー同時!$B$240)</f>
        <v/>
      </c>
      <c r="I2404" s="2" t="str">
        <f aca="false">IF($G2404="","",3キー同時!$G$240)</f>
        <v/>
      </c>
      <c r="J2404" s="2" t="str">
        <f aca="false">IF($G2404="","","2")</f>
        <v/>
      </c>
      <c r="K2404" s="2" t="str">
        <f aca="false">""</f>
        <v/>
      </c>
      <c r="L2404" s="2" t="str">
        <f aca="false">IF($G2404="","","同時")</f>
        <v/>
      </c>
      <c r="M2404" s="2" t="str">
        <f aca="false">IF($G2404="","",IF(ISNA(MATCH($G2404,個別指定!$A:$A,0)),"行なし",""))</f>
        <v/>
      </c>
      <c r="N2404" s="2" t="str">
        <f aca="false">IF($G2404="","",IF(COUNTIF($G$2:$G$4460,$G2404)&gt;1,"重複",""))</f>
        <v/>
      </c>
    </row>
    <row r="2405" customFormat="false" ht="16.5" hidden="false" customHeight="true" outlineLevel="0" collapsed="false">
      <c r="A2405" s="2" t="s">
        <v>416</v>
      </c>
      <c r="B2405" s="2" t="s">
        <v>435</v>
      </c>
      <c r="C2405" s="2" t="s">
        <v>2</v>
      </c>
      <c r="D2405" s="2" t="str">
        <f aca="false">IF(3キー同時!$B$240="","",3キー同時!$B$240)</f>
        <v>j</v>
      </c>
      <c r="E2405" s="2" t="str">
        <f aca="false">IF(3キー同時!$G$240="","",3キー同時!$G$240)</f>
        <v>k</v>
      </c>
      <c r="F2405" s="2" t="str">
        <f aca="false">""</f>
        <v/>
      </c>
      <c r="G2405" s="2" t="str">
        <f aca="false">IF(OR(3キー同時!$B$240="",3キー同時!$G$240=""),"",IF(3キー同時!N242="","",SUBSTITUTE(SUBSTITUTE(3キー同時!N242," ",""),"　","")))</f>
        <v/>
      </c>
      <c r="H2405" s="2" t="str">
        <f aca="false">IF($G2405="","",3キー同時!$B$240)</f>
        <v/>
      </c>
      <c r="I2405" s="2" t="str">
        <f aca="false">IF($G2405="","",3キー同時!$G$240)</f>
        <v/>
      </c>
      <c r="J2405" s="2" t="str">
        <f aca="false">IF($G2405="","","3")</f>
        <v/>
      </c>
      <c r="K2405" s="2" t="str">
        <f aca="false">""</f>
        <v/>
      </c>
      <c r="L2405" s="2" t="str">
        <f aca="false">IF($G2405="","","同時")</f>
        <v/>
      </c>
      <c r="M2405" s="2" t="str">
        <f aca="false">IF($G2405="","",IF(ISNA(MATCH($G2405,個別指定!$A:$A,0)),"行なし",""))</f>
        <v/>
      </c>
      <c r="N2405" s="2" t="str">
        <f aca="false">IF($G2405="","",IF(COUNTIF($G$2:$G$4460,$G2405)&gt;1,"重複",""))</f>
        <v/>
      </c>
    </row>
    <row r="2406" customFormat="false" ht="16.5" hidden="false" customHeight="true" outlineLevel="0" collapsed="false">
      <c r="A2406" s="2" t="s">
        <v>416</v>
      </c>
      <c r="B2406" s="2" t="s">
        <v>435</v>
      </c>
      <c r="C2406" s="2" t="s">
        <v>3</v>
      </c>
      <c r="D2406" s="2" t="str">
        <f aca="false">IF(3キー同時!$B$240="","",3キー同時!$B$240)</f>
        <v>j</v>
      </c>
      <c r="E2406" s="2" t="str">
        <f aca="false">IF(3キー同時!$G$240="","",3キー同時!$G$240)</f>
        <v>k</v>
      </c>
      <c r="F2406" s="2" t="str">
        <f aca="false">""</f>
        <v/>
      </c>
      <c r="G2406" s="2" t="str">
        <f aca="false">IF(OR(3キー同時!$B$240="",3キー同時!$G$240=""),"",IF(3キー同時!R242="","",SUBSTITUTE(SUBSTITUTE(3キー同時!R242," ",""),"　","")))</f>
        <v/>
      </c>
      <c r="H2406" s="2" t="str">
        <f aca="false">IF($G2406="","",3キー同時!$B$240)</f>
        <v/>
      </c>
      <c r="I2406" s="2" t="str">
        <f aca="false">IF($G2406="","",3キー同時!$G$240)</f>
        <v/>
      </c>
      <c r="J2406" s="2" t="str">
        <f aca="false">IF($G2406="","","4")</f>
        <v/>
      </c>
      <c r="K2406" s="2" t="str">
        <f aca="false">""</f>
        <v/>
      </c>
      <c r="L2406" s="2" t="str">
        <f aca="false">IF($G2406="","","同時")</f>
        <v/>
      </c>
      <c r="M2406" s="2" t="str">
        <f aca="false">IF($G2406="","",IF(ISNA(MATCH($G2406,個別指定!$A:$A,0)),"行なし",""))</f>
        <v/>
      </c>
      <c r="N2406" s="2" t="str">
        <f aca="false">IF($G2406="","",IF(COUNTIF($G$2:$G$4460,$G2406)&gt;1,"重複",""))</f>
        <v/>
      </c>
    </row>
    <row r="2407" customFormat="false" ht="16.5" hidden="false" customHeight="true" outlineLevel="0" collapsed="false">
      <c r="A2407" s="2" t="s">
        <v>416</v>
      </c>
      <c r="B2407" s="2" t="s">
        <v>435</v>
      </c>
      <c r="C2407" s="2" t="s">
        <v>4</v>
      </c>
      <c r="D2407" s="2" t="str">
        <f aca="false">IF(3キー同時!$B$240="","",3キー同時!$B$240)</f>
        <v>j</v>
      </c>
      <c r="E2407" s="2" t="str">
        <f aca="false">IF(3キー同時!$G$240="","",3キー同時!$G$240)</f>
        <v>k</v>
      </c>
      <c r="F2407" s="2" t="str">
        <f aca="false">""</f>
        <v/>
      </c>
      <c r="G2407" s="2" t="str">
        <f aca="false">IF(OR(3キー同時!$B$240="",3キー同時!$G$240=""),"",IF(3キー同時!V242="","",SUBSTITUTE(SUBSTITUTE(3キー同時!V242," ",""),"　","")))</f>
        <v/>
      </c>
      <c r="H2407" s="2" t="str">
        <f aca="false">IF($G2407="","",3キー同時!$B$240)</f>
        <v/>
      </c>
      <c r="I2407" s="2" t="str">
        <f aca="false">IF($G2407="","",3キー同時!$G$240)</f>
        <v/>
      </c>
      <c r="J2407" s="2" t="str">
        <f aca="false">IF($G2407="","","5")</f>
        <v/>
      </c>
      <c r="K2407" s="2" t="str">
        <f aca="false">""</f>
        <v/>
      </c>
      <c r="L2407" s="2" t="str">
        <f aca="false">IF($G2407="","","同時")</f>
        <v/>
      </c>
      <c r="M2407" s="2" t="str">
        <f aca="false">IF($G2407="","",IF(ISNA(MATCH($G2407,個別指定!$A:$A,0)),"行なし",""))</f>
        <v/>
      </c>
      <c r="N2407" s="2" t="str">
        <f aca="false">IF($G2407="","",IF(COUNTIF($G$2:$G$4460,$G2407)&gt;1,"重複",""))</f>
        <v/>
      </c>
    </row>
    <row r="2408" customFormat="false" ht="16.5" hidden="false" customHeight="true" outlineLevel="0" collapsed="false">
      <c r="A2408" s="2" t="s">
        <v>416</v>
      </c>
      <c r="B2408" s="2" t="s">
        <v>435</v>
      </c>
      <c r="C2408" s="2" t="s">
        <v>5</v>
      </c>
      <c r="D2408" s="2" t="str">
        <f aca="false">IF(3キー同時!$B$240="","",3キー同時!$B$240)</f>
        <v>j</v>
      </c>
      <c r="E2408" s="2" t="str">
        <f aca="false">IF(3キー同時!$G$240="","",3キー同時!$G$240)</f>
        <v>k</v>
      </c>
      <c r="F2408" s="2" t="str">
        <f aca="false">""</f>
        <v/>
      </c>
      <c r="G2408" s="2" t="str">
        <f aca="false">IF(OR(3キー同時!$B$240="",3キー同時!$G$240=""),"",IF(3キー同時!Z242="","",SUBSTITUTE(SUBSTITUTE(3キー同時!Z242," ",""),"　","")))</f>
        <v/>
      </c>
      <c r="H2408" s="2" t="str">
        <f aca="false">IF($G2408="","",3キー同時!$B$240)</f>
        <v/>
      </c>
      <c r="I2408" s="2" t="str">
        <f aca="false">IF($G2408="","",3キー同時!$G$240)</f>
        <v/>
      </c>
      <c r="J2408" s="2" t="str">
        <f aca="false">IF($G2408="","","6")</f>
        <v/>
      </c>
      <c r="K2408" s="2" t="str">
        <f aca="false">""</f>
        <v/>
      </c>
      <c r="L2408" s="2" t="str">
        <f aca="false">IF($G2408="","","同時")</f>
        <v/>
      </c>
      <c r="M2408" s="2" t="str">
        <f aca="false">IF($G2408="","",IF(ISNA(MATCH($G2408,個別指定!$A:$A,0)),"行なし",""))</f>
        <v/>
      </c>
      <c r="N2408" s="2" t="str">
        <f aca="false">IF($G2408="","",IF(COUNTIF($G$2:$G$4460,$G2408)&gt;1,"重複",""))</f>
        <v/>
      </c>
    </row>
    <row r="2409" customFormat="false" ht="16.5" hidden="false" customHeight="true" outlineLevel="0" collapsed="false">
      <c r="A2409" s="2" t="s">
        <v>416</v>
      </c>
      <c r="B2409" s="2" t="s">
        <v>435</v>
      </c>
      <c r="C2409" s="2" t="s">
        <v>6</v>
      </c>
      <c r="D2409" s="2" t="str">
        <f aca="false">IF(3キー同時!$B$240="","",3キー同時!$B$240)</f>
        <v>j</v>
      </c>
      <c r="E2409" s="2" t="str">
        <f aca="false">IF(3キー同時!$G$240="","",3キー同時!$G$240)</f>
        <v>k</v>
      </c>
      <c r="F2409" s="2" t="str">
        <f aca="false">""</f>
        <v/>
      </c>
      <c r="G2409" s="2" t="str">
        <f aca="false">IF(OR(3キー同時!$B$240="",3キー同時!$G$240=""),"",IF(3キー同時!AD242="","",SUBSTITUTE(SUBSTITUTE(3キー同時!AD242," ",""),"　","")))</f>
        <v/>
      </c>
      <c r="H2409" s="2" t="str">
        <f aca="false">IF($G2409="","",3キー同時!$B$240)</f>
        <v/>
      </c>
      <c r="I2409" s="2" t="str">
        <f aca="false">IF($G2409="","",3キー同時!$G$240)</f>
        <v/>
      </c>
      <c r="J2409" s="2" t="str">
        <f aca="false">IF($G2409="","","7")</f>
        <v/>
      </c>
      <c r="K2409" s="2" t="str">
        <f aca="false">""</f>
        <v/>
      </c>
      <c r="L2409" s="2" t="str">
        <f aca="false">IF($G2409="","","同時")</f>
        <v/>
      </c>
      <c r="M2409" s="2" t="str">
        <f aca="false">IF($G2409="","",IF(ISNA(MATCH($G2409,個別指定!$A:$A,0)),"行なし",""))</f>
        <v/>
      </c>
      <c r="N2409" s="2" t="str">
        <f aca="false">IF($G2409="","",IF(COUNTIF($G$2:$G$4460,$G2409)&gt;1,"重複",""))</f>
        <v/>
      </c>
    </row>
    <row r="2410" customFormat="false" ht="16.5" hidden="false" customHeight="true" outlineLevel="0" collapsed="false">
      <c r="A2410" s="2" t="s">
        <v>416</v>
      </c>
      <c r="B2410" s="2" t="s">
        <v>435</v>
      </c>
      <c r="C2410" s="2" t="s">
        <v>7</v>
      </c>
      <c r="D2410" s="2" t="str">
        <f aca="false">IF(3キー同時!$B$240="","",3キー同時!$B$240)</f>
        <v>j</v>
      </c>
      <c r="E2410" s="2" t="str">
        <f aca="false">IF(3キー同時!$G$240="","",3キー同時!$G$240)</f>
        <v>k</v>
      </c>
      <c r="F2410" s="2" t="str">
        <f aca="false">""</f>
        <v/>
      </c>
      <c r="G2410" s="2" t="str">
        <f aca="false">IF(OR(3キー同時!$B$240="",3キー同時!$G$240=""),"",IF(3キー同時!AH242="","",SUBSTITUTE(SUBSTITUTE(3キー同時!AH242," ",""),"　","")))</f>
        <v/>
      </c>
      <c r="H2410" s="2" t="str">
        <f aca="false">IF($G2410="","",3キー同時!$B$240)</f>
        <v/>
      </c>
      <c r="I2410" s="2" t="str">
        <f aca="false">IF($G2410="","",3キー同時!$G$240)</f>
        <v/>
      </c>
      <c r="J2410" s="2" t="str">
        <f aca="false">IF($G2410="","","8")</f>
        <v/>
      </c>
      <c r="K2410" s="2" t="str">
        <f aca="false">""</f>
        <v/>
      </c>
      <c r="L2410" s="2" t="str">
        <f aca="false">IF($G2410="","","同時")</f>
        <v/>
      </c>
      <c r="M2410" s="2" t="str">
        <f aca="false">IF($G2410="","",IF(ISNA(MATCH($G2410,個別指定!$A:$A,0)),"行なし",""))</f>
        <v/>
      </c>
      <c r="N2410" s="2" t="str">
        <f aca="false">IF($G2410="","",IF(COUNTIF($G$2:$G$4460,$G2410)&gt;1,"重複",""))</f>
        <v/>
      </c>
    </row>
    <row r="2411" customFormat="false" ht="16.5" hidden="false" customHeight="true" outlineLevel="0" collapsed="false">
      <c r="A2411" s="2" t="s">
        <v>416</v>
      </c>
      <c r="B2411" s="2" t="s">
        <v>435</v>
      </c>
      <c r="C2411" s="2" t="s">
        <v>8</v>
      </c>
      <c r="D2411" s="2" t="str">
        <f aca="false">IF(3キー同時!$B$240="","",3キー同時!$B$240)</f>
        <v>j</v>
      </c>
      <c r="E2411" s="2" t="str">
        <f aca="false">IF(3キー同時!$G$240="","",3キー同時!$G$240)</f>
        <v>k</v>
      </c>
      <c r="F2411" s="2" t="str">
        <f aca="false">""</f>
        <v/>
      </c>
      <c r="G2411" s="2" t="str">
        <f aca="false">IF(OR(3キー同時!$B$240="",3キー同時!$G$240=""),"",IF(3キー同時!AL242="","",SUBSTITUTE(SUBSTITUTE(3キー同時!AL242," ",""),"　","")))</f>
        <v/>
      </c>
      <c r="H2411" s="2" t="str">
        <f aca="false">IF($G2411="","",3キー同時!$B$240)</f>
        <v/>
      </c>
      <c r="I2411" s="2" t="str">
        <f aca="false">IF($G2411="","",3キー同時!$G$240)</f>
        <v/>
      </c>
      <c r="J2411" s="2" t="str">
        <f aca="false">IF($G2411="","","9")</f>
        <v/>
      </c>
      <c r="K2411" s="2" t="str">
        <f aca="false">""</f>
        <v/>
      </c>
      <c r="L2411" s="2" t="str">
        <f aca="false">IF($G2411="","","同時")</f>
        <v/>
      </c>
      <c r="M2411" s="2" t="str">
        <f aca="false">IF($G2411="","",IF(ISNA(MATCH($G2411,個別指定!$A:$A,0)),"行なし",""))</f>
        <v/>
      </c>
      <c r="N2411" s="2" t="str">
        <f aca="false">IF($G2411="","",IF(COUNTIF($G$2:$G$4460,$G2411)&gt;1,"重複",""))</f>
        <v/>
      </c>
    </row>
    <row r="2412" customFormat="false" ht="16.5" hidden="false" customHeight="true" outlineLevel="0" collapsed="false">
      <c r="A2412" s="2" t="s">
        <v>416</v>
      </c>
      <c r="B2412" s="2" t="s">
        <v>435</v>
      </c>
      <c r="C2412" s="2" t="s">
        <v>9</v>
      </c>
      <c r="D2412" s="2" t="str">
        <f aca="false">IF(3キー同時!$B$240="","",3キー同時!$B$240)</f>
        <v>j</v>
      </c>
      <c r="E2412" s="2" t="str">
        <f aca="false">IF(3キー同時!$G$240="","",3キー同時!$G$240)</f>
        <v>k</v>
      </c>
      <c r="F2412" s="2" t="str">
        <f aca="false">""</f>
        <v/>
      </c>
      <c r="G2412" s="2" t="str">
        <f aca="false">IF(OR(3キー同時!$B$240="",3キー同時!$G$240=""),"",IF(3キー同時!AP242="","",SUBSTITUTE(SUBSTITUTE(3キー同時!AP242," ",""),"　","")))</f>
        <v/>
      </c>
      <c r="H2412" s="2" t="str">
        <f aca="false">IF($G2412="","",3キー同時!$B$240)</f>
        <v/>
      </c>
      <c r="I2412" s="2" t="str">
        <f aca="false">IF($G2412="","",3キー同時!$G$240)</f>
        <v/>
      </c>
      <c r="J2412" s="2" t="str">
        <f aca="false">IF($G2412="","","0")</f>
        <v/>
      </c>
      <c r="K2412" s="2" t="str">
        <f aca="false">""</f>
        <v/>
      </c>
      <c r="L2412" s="2" t="str">
        <f aca="false">IF($G2412="","","同時")</f>
        <v/>
      </c>
      <c r="M2412" s="2" t="str">
        <f aca="false">IF($G2412="","",IF(ISNA(MATCH($G2412,個別指定!$A:$A,0)),"行なし",""))</f>
        <v/>
      </c>
      <c r="N2412" s="2" t="str">
        <f aca="false">IF($G2412="","",IF(COUNTIF($G$2:$G$4460,$G2412)&gt;1,"重複",""))</f>
        <v/>
      </c>
    </row>
    <row r="2413" customFormat="false" ht="16.5" hidden="false" customHeight="true" outlineLevel="0" collapsed="false">
      <c r="A2413" s="2" t="s">
        <v>416</v>
      </c>
      <c r="B2413" s="2" t="s">
        <v>435</v>
      </c>
      <c r="C2413" s="2" t="s">
        <v>10</v>
      </c>
      <c r="D2413" s="2" t="str">
        <f aca="false">IF(3キー同時!$B$240="","",3キー同時!$B$240)</f>
        <v>j</v>
      </c>
      <c r="E2413" s="2" t="str">
        <f aca="false">IF(3キー同時!$G$240="","",3キー同時!$G$240)</f>
        <v>k</v>
      </c>
      <c r="F2413" s="2" t="str">
        <f aca="false">""</f>
        <v/>
      </c>
      <c r="G2413" s="2" t="str">
        <f aca="false">IF(OR(3キー同時!$B$240="",3キー同時!$G$240=""),"",IF(3キー同時!AT242="","",SUBSTITUTE(SUBSTITUTE(3キー同時!AT242," ",""),"　","")))</f>
        <v/>
      </c>
      <c r="H2413" s="2" t="str">
        <f aca="false">IF($G2413="","",3キー同時!$B$240)</f>
        <v/>
      </c>
      <c r="I2413" s="2" t="str">
        <f aca="false">IF($G2413="","",3キー同時!$G$240)</f>
        <v/>
      </c>
      <c r="J2413" s="2" t="str">
        <f aca="false">IF($G2413="","","-")</f>
        <v/>
      </c>
      <c r="K2413" s="2" t="str">
        <f aca="false">""</f>
        <v/>
      </c>
      <c r="L2413" s="2" t="str">
        <f aca="false">IF($G2413="","","同時")</f>
        <v/>
      </c>
      <c r="M2413" s="2" t="str">
        <f aca="false">IF($G2413="","",IF(ISNA(MATCH($G2413,個別指定!$A:$A,0)),"行なし",""))</f>
        <v/>
      </c>
      <c r="N2413" s="2" t="str">
        <f aca="false">IF($G2413="","",IF(COUNTIF($G$2:$G$4460,$G2413)&gt;1,"重複",""))</f>
        <v/>
      </c>
    </row>
    <row r="2414" customFormat="false" ht="16.5" hidden="false" customHeight="true" outlineLevel="0" collapsed="false">
      <c r="A2414" s="2" t="s">
        <v>416</v>
      </c>
      <c r="B2414" s="2" t="s">
        <v>435</v>
      </c>
      <c r="C2414" s="2" t="s">
        <v>11</v>
      </c>
      <c r="D2414" s="2" t="str">
        <f aca="false">IF(3キー同時!$B$240="","",3キー同時!$B$240)</f>
        <v>j</v>
      </c>
      <c r="E2414" s="2" t="str">
        <f aca="false">IF(3キー同時!$G$240="","",3キー同時!$G$240)</f>
        <v>k</v>
      </c>
      <c r="F2414" s="2" t="str">
        <f aca="false">""</f>
        <v/>
      </c>
      <c r="G2414" s="2" t="str">
        <f aca="false">IF(OR(3キー同時!$B$240="",3キー同時!$G$240=""),"",IF(3キー同時!AX242="","",SUBSTITUTE(SUBSTITUTE(3キー同時!AX242," ",""),"　","")))</f>
        <v/>
      </c>
      <c r="H2414" s="2" t="str">
        <f aca="false">IF($G2414="","",3キー同時!$B$240)</f>
        <v/>
      </c>
      <c r="I2414" s="2" t="str">
        <f aca="false">IF($G2414="","",3キー同時!$G$240)</f>
        <v/>
      </c>
      <c r="J2414" s="2" t="str">
        <f aca="false">IF($G2414="","","=")</f>
        <v/>
      </c>
      <c r="K2414" s="2" t="str">
        <f aca="false">""</f>
        <v/>
      </c>
      <c r="L2414" s="2" t="str">
        <f aca="false">IF($G2414="","","同時")</f>
        <v/>
      </c>
      <c r="M2414" s="2" t="str">
        <f aca="false">IF($G2414="","",IF(ISNA(MATCH($G2414,個別指定!$A:$A,0)),"行なし",""))</f>
        <v/>
      </c>
      <c r="N2414" s="2" t="str">
        <f aca="false">IF($G2414="","",IF(COUNTIF($G$2:$G$4460,$G2414)&gt;1,"重複",""))</f>
        <v/>
      </c>
    </row>
    <row r="2415" customFormat="false" ht="16.5" hidden="false" customHeight="true" outlineLevel="0" collapsed="false">
      <c r="A2415" s="2" t="s">
        <v>416</v>
      </c>
      <c r="B2415" s="2" t="s">
        <v>435</v>
      </c>
      <c r="C2415" s="2" t="s">
        <v>12</v>
      </c>
      <c r="D2415" s="2" t="str">
        <f aca="false">IF(3キー同時!$B$240="","",3キー同時!$B$240)</f>
        <v>j</v>
      </c>
      <c r="E2415" s="2" t="str">
        <f aca="false">IF(3キー同時!$G$240="","",3キー同時!$G$240)</f>
        <v>k</v>
      </c>
      <c r="F2415" s="2" t="str">
        <f aca="false">""</f>
        <v/>
      </c>
      <c r="G2415" s="2" t="str">
        <f aca="false">IF(OR(3キー同時!$B$240="",3キー同時!$G$240=""),"",IF(3キー同時!H244="","",SUBSTITUTE(SUBSTITUTE(3キー同時!H244," ",""),"　","")))</f>
        <v/>
      </c>
      <c r="H2415" s="2" t="str">
        <f aca="false">IF($G2415="","",3キー同時!$B$240)</f>
        <v/>
      </c>
      <c r="I2415" s="2" t="str">
        <f aca="false">IF($G2415="","",3キー同時!$G$240)</f>
        <v/>
      </c>
      <c r="J2415" s="2" t="str">
        <f aca="false">IF($G2415="","","q")</f>
        <v/>
      </c>
      <c r="K2415" s="2" t="str">
        <f aca="false">""</f>
        <v/>
      </c>
      <c r="L2415" s="2" t="str">
        <f aca="false">IF($G2415="","","同時")</f>
        <v/>
      </c>
      <c r="M2415" s="2" t="str">
        <f aca="false">IF($G2415="","",IF(ISNA(MATCH($G2415,個別指定!$A:$A,0)),"行なし",""))</f>
        <v/>
      </c>
      <c r="N2415" s="2" t="str">
        <f aca="false">IF($G2415="","",IF(COUNTIF($G$2:$G$4460,$G2415)&gt;1,"重複",""))</f>
        <v/>
      </c>
    </row>
    <row r="2416" customFormat="false" ht="16.5" hidden="false" customHeight="true" outlineLevel="0" collapsed="false">
      <c r="A2416" s="2" t="s">
        <v>416</v>
      </c>
      <c r="B2416" s="2" t="s">
        <v>435</v>
      </c>
      <c r="C2416" s="2" t="s">
        <v>13</v>
      </c>
      <c r="D2416" s="2" t="str">
        <f aca="false">IF(3キー同時!$B$240="","",3キー同時!$B$240)</f>
        <v>j</v>
      </c>
      <c r="E2416" s="2" t="str">
        <f aca="false">IF(3キー同時!$G$240="","",3キー同時!$G$240)</f>
        <v>k</v>
      </c>
      <c r="F2416" s="2" t="str">
        <f aca="false">""</f>
        <v/>
      </c>
      <c r="G2416" s="2" t="str">
        <f aca="false">IF(OR(3キー同時!$B$240="",3キー同時!$G$240=""),"",IF(3キー同時!L244="","",SUBSTITUTE(SUBSTITUTE(3キー同時!L244," ",""),"　","")))</f>
        <v/>
      </c>
      <c r="H2416" s="2" t="str">
        <f aca="false">IF($G2416="","",3キー同時!$B$240)</f>
        <v/>
      </c>
      <c r="I2416" s="2" t="str">
        <f aca="false">IF($G2416="","",3キー同時!$G$240)</f>
        <v/>
      </c>
      <c r="J2416" s="2" t="str">
        <f aca="false">IF($G2416="","","w")</f>
        <v/>
      </c>
      <c r="K2416" s="2" t="str">
        <f aca="false">""</f>
        <v/>
      </c>
      <c r="L2416" s="2" t="str">
        <f aca="false">IF($G2416="","","同時")</f>
        <v/>
      </c>
      <c r="M2416" s="2" t="str">
        <f aca="false">IF($G2416="","",IF(ISNA(MATCH($G2416,個別指定!$A:$A,0)),"行なし",""))</f>
        <v/>
      </c>
      <c r="N2416" s="2" t="str">
        <f aca="false">IF($G2416="","",IF(COUNTIF($G$2:$G$4460,$G2416)&gt;1,"重複",""))</f>
        <v/>
      </c>
    </row>
    <row r="2417" customFormat="false" ht="16.5" hidden="false" customHeight="true" outlineLevel="0" collapsed="false">
      <c r="A2417" s="2" t="s">
        <v>416</v>
      </c>
      <c r="B2417" s="2" t="s">
        <v>435</v>
      </c>
      <c r="C2417" s="2" t="s">
        <v>14</v>
      </c>
      <c r="D2417" s="2" t="str">
        <f aca="false">IF(3キー同時!$B$240="","",3キー同時!$B$240)</f>
        <v>j</v>
      </c>
      <c r="E2417" s="2" t="str">
        <f aca="false">IF(3キー同時!$G$240="","",3キー同時!$G$240)</f>
        <v>k</v>
      </c>
      <c r="F2417" s="2" t="str">
        <f aca="false">""</f>
        <v/>
      </c>
      <c r="G2417" s="2" t="str">
        <f aca="false">IF(OR(3キー同時!$B$240="",3キー同時!$G$240=""),"",IF(3キー同時!P244="","",SUBSTITUTE(SUBSTITUTE(3キー同時!P244," ",""),"　","")))</f>
        <v>でぃ</v>
      </c>
      <c r="H2417" s="2" t="str">
        <f aca="false">IF($G2417="","",3キー同時!$B$240)</f>
        <v>j</v>
      </c>
      <c r="I2417" s="2" t="str">
        <f aca="false">IF($G2417="","",3キー同時!$G$240)</f>
        <v>k</v>
      </c>
      <c r="J2417" s="2" t="str">
        <f aca="false">IF($G2417="","","e")</f>
        <v>e</v>
      </c>
      <c r="K2417" s="2" t="str">
        <f aca="false">""</f>
        <v/>
      </c>
      <c r="L2417" s="2" t="str">
        <f aca="false">IF($G2417="","","同時")</f>
        <v>同時</v>
      </c>
      <c r="M2417" s="2" t="str">
        <f aca="false">IF($G2417="","",IF(ISNA(MATCH($G2417,個別指定!$A:$A,0)),"行なし",""))</f>
        <v/>
      </c>
      <c r="N2417" s="2" t="str">
        <f aca="false">IF($G2417="","",IF(COUNTIF($G$2:$G$4460,$G2417)&gt;1,"重複",""))</f>
        <v/>
      </c>
    </row>
    <row r="2418" customFormat="false" ht="16.5" hidden="false" customHeight="true" outlineLevel="0" collapsed="false">
      <c r="A2418" s="2" t="s">
        <v>416</v>
      </c>
      <c r="B2418" s="2" t="s">
        <v>435</v>
      </c>
      <c r="C2418" s="2" t="s">
        <v>15</v>
      </c>
      <c r="D2418" s="2" t="str">
        <f aca="false">IF(3キー同時!$B$240="","",3キー同時!$B$240)</f>
        <v>j</v>
      </c>
      <c r="E2418" s="2" t="str">
        <f aca="false">IF(3キー同時!$G$240="","",3キー同時!$G$240)</f>
        <v>k</v>
      </c>
      <c r="F2418" s="2" t="str">
        <f aca="false">""</f>
        <v/>
      </c>
      <c r="G2418" s="2" t="str">
        <f aca="false">IF(OR(3キー同時!$B$240="",3キー同時!$G$240=""),"",IF(3キー同時!T244="","",SUBSTITUTE(SUBSTITUTE(3キー同時!T244," ",""),"　","")))</f>
        <v/>
      </c>
      <c r="H2418" s="2" t="str">
        <f aca="false">IF($G2418="","",3キー同時!$B$240)</f>
        <v/>
      </c>
      <c r="I2418" s="2" t="str">
        <f aca="false">IF($G2418="","",3キー同時!$G$240)</f>
        <v/>
      </c>
      <c r="J2418" s="2" t="str">
        <f aca="false">IF($G2418="","","r")</f>
        <v/>
      </c>
      <c r="K2418" s="2" t="str">
        <f aca="false">""</f>
        <v/>
      </c>
      <c r="L2418" s="2" t="str">
        <f aca="false">IF($G2418="","","同時")</f>
        <v/>
      </c>
      <c r="M2418" s="2" t="str">
        <f aca="false">IF($G2418="","",IF(ISNA(MATCH($G2418,個別指定!$A:$A,0)),"行なし",""))</f>
        <v/>
      </c>
      <c r="N2418" s="2" t="str">
        <f aca="false">IF($G2418="","",IF(COUNTIF($G$2:$G$4460,$G2418)&gt;1,"重複",""))</f>
        <v/>
      </c>
    </row>
    <row r="2419" customFormat="false" ht="16.5" hidden="false" customHeight="true" outlineLevel="0" collapsed="false">
      <c r="A2419" s="2" t="s">
        <v>416</v>
      </c>
      <c r="B2419" s="2" t="s">
        <v>435</v>
      </c>
      <c r="C2419" s="2" t="s">
        <v>16</v>
      </c>
      <c r="D2419" s="2" t="str">
        <f aca="false">IF(3キー同時!$B$240="","",3キー同時!$B$240)</f>
        <v>j</v>
      </c>
      <c r="E2419" s="2" t="str">
        <f aca="false">IF(3キー同時!$G$240="","",3キー同時!$G$240)</f>
        <v>k</v>
      </c>
      <c r="F2419" s="2" t="str">
        <f aca="false">""</f>
        <v/>
      </c>
      <c r="G2419" s="2" t="str">
        <f aca="false">IF(OR(3キー同時!$B$240="",3キー同時!$G$240=""),"",IF(3キー同時!X244="","",SUBSTITUTE(SUBSTITUTE(3キー同時!X244," ",""),"　","")))</f>
        <v>・</v>
      </c>
      <c r="H2419" s="2" t="str">
        <f aca="false">IF($G2419="","",3キー同時!$B$240)</f>
        <v>j</v>
      </c>
      <c r="I2419" s="2" t="str">
        <f aca="false">IF($G2419="","",3キー同時!$G$240)</f>
        <v>k</v>
      </c>
      <c r="J2419" s="2" t="str">
        <f aca="false">IF($G2419="","","t")</f>
        <v>t</v>
      </c>
      <c r="K2419" s="2" t="str">
        <f aca="false">""</f>
        <v/>
      </c>
      <c r="L2419" s="2" t="str">
        <f aca="false">IF($G2419="","","同時")</f>
        <v>同時</v>
      </c>
      <c r="M2419" s="2" t="str">
        <f aca="false">IF($G2419="","",IF(ISNA(MATCH($G2419,個別指定!$A:$A,0)),"行なし",""))</f>
        <v/>
      </c>
      <c r="N2419" s="2" t="str">
        <f aca="false">IF($G2419="","",IF(COUNTIF($G$2:$G$4460,$G2419)&gt;1,"重複",""))</f>
        <v/>
      </c>
    </row>
    <row r="2420" customFormat="false" ht="16.5" hidden="false" customHeight="true" outlineLevel="0" collapsed="false">
      <c r="A2420" s="2" t="s">
        <v>416</v>
      </c>
      <c r="B2420" s="2" t="s">
        <v>435</v>
      </c>
      <c r="C2420" s="2" t="s">
        <v>17</v>
      </c>
      <c r="D2420" s="2" t="str">
        <f aca="false">IF(3キー同時!$B$240="","",3キー同時!$B$240)</f>
        <v>j</v>
      </c>
      <c r="E2420" s="2" t="str">
        <f aca="false">IF(3キー同時!$G$240="","",3キー同時!$G$240)</f>
        <v>k</v>
      </c>
      <c r="F2420" s="2" t="str">
        <f aca="false">""</f>
        <v/>
      </c>
      <c r="G2420" s="2" t="str">
        <f aca="false">IF(OR(3キー同時!$B$240="",3キー同時!$G$240=""),"",IF(3キー同時!AB244="","",SUBSTITUTE(SUBSTITUTE(3キー同時!AB244," ",""),"　","")))</f>
        <v/>
      </c>
      <c r="H2420" s="2" t="str">
        <f aca="false">IF($G2420="","",3キー同時!$B$240)</f>
        <v/>
      </c>
      <c r="I2420" s="2" t="str">
        <f aca="false">IF($G2420="","",3キー同時!$G$240)</f>
        <v/>
      </c>
      <c r="J2420" s="2" t="str">
        <f aca="false">IF($G2420="","","y")</f>
        <v/>
      </c>
      <c r="K2420" s="2" t="str">
        <f aca="false">""</f>
        <v/>
      </c>
      <c r="L2420" s="2" t="str">
        <f aca="false">IF($G2420="","","同時")</f>
        <v/>
      </c>
      <c r="M2420" s="2" t="str">
        <f aca="false">IF($G2420="","",IF(ISNA(MATCH($G2420,個別指定!$A:$A,0)),"行なし",""))</f>
        <v/>
      </c>
      <c r="N2420" s="2" t="str">
        <f aca="false">IF($G2420="","",IF(COUNTIF($G$2:$G$4460,$G2420)&gt;1,"重複",""))</f>
        <v/>
      </c>
    </row>
    <row r="2421" customFormat="false" ht="16.5" hidden="false" customHeight="true" outlineLevel="0" collapsed="false">
      <c r="A2421" s="2" t="s">
        <v>416</v>
      </c>
      <c r="B2421" s="2" t="s">
        <v>435</v>
      </c>
      <c r="C2421" s="2" t="s">
        <v>18</v>
      </c>
      <c r="D2421" s="2" t="str">
        <f aca="false">IF(3キー同時!$B$240="","",3キー同時!$B$240)</f>
        <v>j</v>
      </c>
      <c r="E2421" s="2" t="str">
        <f aca="false">IF(3キー同時!$G$240="","",3キー同時!$G$240)</f>
        <v>k</v>
      </c>
      <c r="F2421" s="2" t="str">
        <f aca="false">""</f>
        <v/>
      </c>
      <c r="G2421" s="2" t="str">
        <f aca="false">IF(OR(3キー同時!$B$240="",3キー同時!$G$240=""),"",IF(3キー同時!AF244="","",SUBSTITUTE(SUBSTITUTE(3キー同時!AF244," ",""),"　","")))</f>
        <v/>
      </c>
      <c r="H2421" s="2" t="str">
        <f aca="false">IF($G2421="","",3キー同時!$B$240)</f>
        <v/>
      </c>
      <c r="I2421" s="2" t="str">
        <f aca="false">IF($G2421="","",3キー同時!$G$240)</f>
        <v/>
      </c>
      <c r="J2421" s="2" t="str">
        <f aca="false">IF($G2421="","","u")</f>
        <v/>
      </c>
      <c r="K2421" s="2" t="str">
        <f aca="false">""</f>
        <v/>
      </c>
      <c r="L2421" s="2" t="str">
        <f aca="false">IF($G2421="","","同時")</f>
        <v/>
      </c>
      <c r="M2421" s="2" t="str">
        <f aca="false">IF($G2421="","",IF(ISNA(MATCH($G2421,個別指定!$A:$A,0)),"行なし",""))</f>
        <v/>
      </c>
      <c r="N2421" s="2" t="str">
        <f aca="false">IF($G2421="","",IF(COUNTIF($G$2:$G$4460,$G2421)&gt;1,"重複",""))</f>
        <v/>
      </c>
    </row>
    <row r="2422" customFormat="false" ht="16.5" hidden="false" customHeight="true" outlineLevel="0" collapsed="false">
      <c r="A2422" s="2" t="s">
        <v>416</v>
      </c>
      <c r="B2422" s="2" t="s">
        <v>435</v>
      </c>
      <c r="C2422" s="2" t="s">
        <v>19</v>
      </c>
      <c r="D2422" s="2" t="str">
        <f aca="false">IF(3キー同時!$B$240="","",3キー同時!$B$240)</f>
        <v>j</v>
      </c>
      <c r="E2422" s="2" t="str">
        <f aca="false">IF(3キー同時!$G$240="","",3キー同時!$G$240)</f>
        <v>k</v>
      </c>
      <c r="F2422" s="2" t="str">
        <f aca="false">""</f>
        <v/>
      </c>
      <c r="G2422" s="2" t="str">
        <f aca="false">IF(OR(3キー同時!$B$240="",3キー同時!$G$240=""),"",IF(3キー同時!AJ244="","",SUBSTITUTE(SUBSTITUTE(3キー同時!AJ244," ",""),"　","")))</f>
        <v/>
      </c>
      <c r="H2422" s="2" t="str">
        <f aca="false">IF($G2422="","",3キー同時!$B$240)</f>
        <v/>
      </c>
      <c r="I2422" s="2" t="str">
        <f aca="false">IF($G2422="","",3キー同時!$G$240)</f>
        <v/>
      </c>
      <c r="J2422" s="2" t="str">
        <f aca="false">IF($G2422="","","i")</f>
        <v/>
      </c>
      <c r="K2422" s="2" t="str">
        <f aca="false">""</f>
        <v/>
      </c>
      <c r="L2422" s="2" t="str">
        <f aca="false">IF($G2422="","","同時")</f>
        <v/>
      </c>
      <c r="M2422" s="2" t="str">
        <f aca="false">IF($G2422="","",IF(ISNA(MATCH($G2422,個別指定!$A:$A,0)),"行なし",""))</f>
        <v/>
      </c>
      <c r="N2422" s="2" t="str">
        <f aca="false">IF($G2422="","",IF(COUNTIF($G$2:$G$4460,$G2422)&gt;1,"重複",""))</f>
        <v/>
      </c>
    </row>
    <row r="2423" customFormat="false" ht="16.5" hidden="false" customHeight="true" outlineLevel="0" collapsed="false">
      <c r="A2423" s="2" t="s">
        <v>416</v>
      </c>
      <c r="B2423" s="2" t="s">
        <v>435</v>
      </c>
      <c r="C2423" s="2" t="s">
        <v>20</v>
      </c>
      <c r="D2423" s="2" t="str">
        <f aca="false">IF(3キー同時!$B$240="","",3キー同時!$B$240)</f>
        <v>j</v>
      </c>
      <c r="E2423" s="2" t="str">
        <f aca="false">IF(3キー同時!$G$240="","",3キー同時!$G$240)</f>
        <v>k</v>
      </c>
      <c r="F2423" s="2" t="str">
        <f aca="false">""</f>
        <v/>
      </c>
      <c r="G2423" s="2" t="str">
        <f aca="false">IF(OR(3キー同時!$B$240="",3キー同時!$G$240=""),"",IF(3キー同時!AN244="","",SUBSTITUTE(SUBSTITUTE(3キー同時!AN244," ",""),"　","")))</f>
        <v/>
      </c>
      <c r="H2423" s="2" t="str">
        <f aca="false">IF($G2423="","",3キー同時!$B$240)</f>
        <v/>
      </c>
      <c r="I2423" s="2" t="str">
        <f aca="false">IF($G2423="","",3キー同時!$G$240)</f>
        <v/>
      </c>
      <c r="J2423" s="2" t="str">
        <f aca="false">IF($G2423="","","o")</f>
        <v/>
      </c>
      <c r="K2423" s="2" t="str">
        <f aca="false">""</f>
        <v/>
      </c>
      <c r="L2423" s="2" t="str">
        <f aca="false">IF($G2423="","","同時")</f>
        <v/>
      </c>
      <c r="M2423" s="2" t="str">
        <f aca="false">IF($G2423="","",IF(ISNA(MATCH($G2423,個別指定!$A:$A,0)),"行なし",""))</f>
        <v/>
      </c>
      <c r="N2423" s="2" t="str">
        <f aca="false">IF($G2423="","",IF(COUNTIF($G$2:$G$4460,$G2423)&gt;1,"重複",""))</f>
        <v/>
      </c>
    </row>
    <row r="2424" customFormat="false" ht="16.5" hidden="false" customHeight="true" outlineLevel="0" collapsed="false">
      <c r="A2424" s="2" t="s">
        <v>416</v>
      </c>
      <c r="B2424" s="2" t="s">
        <v>435</v>
      </c>
      <c r="C2424" s="2" t="s">
        <v>21</v>
      </c>
      <c r="D2424" s="2" t="str">
        <f aca="false">IF(3キー同時!$B$240="","",3キー同時!$B$240)</f>
        <v>j</v>
      </c>
      <c r="E2424" s="2" t="str">
        <f aca="false">IF(3キー同時!$G$240="","",3キー同時!$G$240)</f>
        <v>k</v>
      </c>
      <c r="F2424" s="2" t="str">
        <f aca="false">""</f>
        <v/>
      </c>
      <c r="G2424" s="2" t="str">
        <f aca="false">IF(OR(3キー同時!$B$240="",3キー同時!$G$240=""),"",IF(3キー同時!AR244="","",SUBSTITUTE(SUBSTITUTE(3キー同時!AR244," ",""),"　","")))</f>
        <v/>
      </c>
      <c r="H2424" s="2" t="str">
        <f aca="false">IF($G2424="","",3キー同時!$B$240)</f>
        <v/>
      </c>
      <c r="I2424" s="2" t="str">
        <f aca="false">IF($G2424="","",3キー同時!$G$240)</f>
        <v/>
      </c>
      <c r="J2424" s="2" t="str">
        <f aca="false">IF($G2424="","","p")</f>
        <v/>
      </c>
      <c r="K2424" s="2" t="str">
        <f aca="false">""</f>
        <v/>
      </c>
      <c r="L2424" s="2" t="str">
        <f aca="false">IF($G2424="","","同時")</f>
        <v/>
      </c>
      <c r="M2424" s="2" t="str">
        <f aca="false">IF($G2424="","",IF(ISNA(MATCH($G2424,個別指定!$A:$A,0)),"行なし",""))</f>
        <v/>
      </c>
      <c r="N2424" s="2" t="str">
        <f aca="false">IF($G2424="","",IF(COUNTIF($G$2:$G$4460,$G2424)&gt;1,"重複",""))</f>
        <v/>
      </c>
    </row>
    <row r="2425" customFormat="false" ht="16.5" hidden="false" customHeight="true" outlineLevel="0" collapsed="false">
      <c r="A2425" s="2" t="s">
        <v>416</v>
      </c>
      <c r="B2425" s="2" t="s">
        <v>435</v>
      </c>
      <c r="C2425" s="2" t="s">
        <v>22</v>
      </c>
      <c r="D2425" s="2" t="str">
        <f aca="false">IF(3キー同時!$B$240="","",3キー同時!$B$240)</f>
        <v>j</v>
      </c>
      <c r="E2425" s="2" t="str">
        <f aca="false">IF(3キー同時!$G$240="","",3キー同時!$G$240)</f>
        <v>k</v>
      </c>
      <c r="F2425" s="2" t="str">
        <f aca="false">""</f>
        <v/>
      </c>
      <c r="G2425" s="2" t="str">
        <f aca="false">IF(OR(3キー同時!$B$240="",3キー同時!$G$240=""),"",IF(3キー同時!AV244="","",SUBSTITUTE(SUBSTITUTE(3キー同時!AV244," ",""),"　","")))</f>
        <v/>
      </c>
      <c r="H2425" s="2" t="str">
        <f aca="false">IF($G2425="","",3キー同時!$B$240)</f>
        <v/>
      </c>
      <c r="I2425" s="2" t="str">
        <f aca="false">IF($G2425="","",3キー同時!$G$240)</f>
        <v/>
      </c>
      <c r="J2425" s="2" t="str">
        <f aca="false">IF($G2425="","","[")</f>
        <v/>
      </c>
      <c r="K2425" s="2" t="str">
        <f aca="false">""</f>
        <v/>
      </c>
      <c r="L2425" s="2" t="str">
        <f aca="false">IF($G2425="","","同時")</f>
        <v/>
      </c>
      <c r="M2425" s="2" t="str">
        <f aca="false">IF($G2425="","",IF(ISNA(MATCH($G2425,個別指定!$A:$A,0)),"行なし",""))</f>
        <v/>
      </c>
      <c r="N2425" s="2" t="str">
        <f aca="false">IF($G2425="","",IF(COUNTIF($G$2:$G$4460,$G2425)&gt;1,"重複",""))</f>
        <v/>
      </c>
    </row>
    <row r="2426" customFormat="false" ht="16.5" hidden="false" customHeight="true" outlineLevel="0" collapsed="false">
      <c r="A2426" s="2" t="s">
        <v>416</v>
      </c>
      <c r="B2426" s="2" t="s">
        <v>435</v>
      </c>
      <c r="C2426" s="2" t="s">
        <v>23</v>
      </c>
      <c r="D2426" s="2" t="str">
        <f aca="false">IF(3キー同時!$B$240="","",3キー同時!$B$240)</f>
        <v>j</v>
      </c>
      <c r="E2426" s="2" t="str">
        <f aca="false">IF(3キー同時!$G$240="","",3キー同時!$G$240)</f>
        <v>k</v>
      </c>
      <c r="F2426" s="2" t="str">
        <f aca="false">""</f>
        <v/>
      </c>
      <c r="G2426" s="2" t="str">
        <f aca="false">IF(OR(3キー同時!$B$240="",3キー同時!$G$240=""),"",IF(3キー同時!AZ244="","",SUBSTITUTE(SUBSTITUTE(3キー同時!AZ244," ",""),"　","")))</f>
        <v/>
      </c>
      <c r="H2426" s="2" t="str">
        <f aca="false">IF($G2426="","",3キー同時!$B$240)</f>
        <v/>
      </c>
      <c r="I2426" s="2" t="str">
        <f aca="false">IF($G2426="","",3キー同時!$G$240)</f>
        <v/>
      </c>
      <c r="J2426" s="2" t="str">
        <f aca="false">IF($G2426="","","]")</f>
        <v/>
      </c>
      <c r="K2426" s="2" t="str">
        <f aca="false">""</f>
        <v/>
      </c>
      <c r="L2426" s="2" t="str">
        <f aca="false">IF($G2426="","","同時")</f>
        <v/>
      </c>
      <c r="M2426" s="2" t="str">
        <f aca="false">IF($G2426="","",IF(ISNA(MATCH($G2426,個別指定!$A:$A,0)),"行なし",""))</f>
        <v/>
      </c>
      <c r="N2426" s="2" t="str">
        <f aca="false">IF($G2426="","",IF(COUNTIF($G$2:$G$4460,$G2426)&gt;1,"重複",""))</f>
        <v/>
      </c>
    </row>
    <row r="2427" customFormat="false" ht="16.5" hidden="false" customHeight="true" outlineLevel="0" collapsed="false">
      <c r="A2427" s="2" t="s">
        <v>416</v>
      </c>
      <c r="B2427" s="2" t="s">
        <v>435</v>
      </c>
      <c r="C2427" s="2" t="s">
        <v>24</v>
      </c>
      <c r="D2427" s="2" t="str">
        <f aca="false">IF(3キー同時!$B$240="","",3キー同時!$B$240)</f>
        <v>j</v>
      </c>
      <c r="E2427" s="2" t="str">
        <f aca="false">IF(3キー同時!$G$240="","",3キー同時!$G$240)</f>
        <v>k</v>
      </c>
      <c r="F2427" s="2" t="str">
        <f aca="false">""</f>
        <v/>
      </c>
      <c r="G2427" s="2" t="str">
        <f aca="false">IF(OR(3キー同時!$B$240="",3キー同時!$G$240=""),"",IF(3キー同時!I246="","",SUBSTITUTE(SUBSTITUTE(3キー同時!I246," ",""),"　","")))</f>
        <v/>
      </c>
      <c r="H2427" s="2" t="str">
        <f aca="false">IF($G2427="","",3キー同時!$B$240)</f>
        <v/>
      </c>
      <c r="I2427" s="2" t="str">
        <f aca="false">IF($G2427="","",3キー同時!$G$240)</f>
        <v/>
      </c>
      <c r="J2427" s="2" t="str">
        <f aca="false">IF($G2427="","","a")</f>
        <v/>
      </c>
      <c r="K2427" s="2" t="str">
        <f aca="false">""</f>
        <v/>
      </c>
      <c r="L2427" s="2" t="str">
        <f aca="false">IF($G2427="","","同時")</f>
        <v/>
      </c>
      <c r="M2427" s="2" t="str">
        <f aca="false">IF($G2427="","",IF(ISNA(MATCH($G2427,個別指定!$A:$A,0)),"行なし",""))</f>
        <v/>
      </c>
      <c r="N2427" s="2" t="str">
        <f aca="false">IF($G2427="","",IF(COUNTIF($G$2:$G$4460,$G2427)&gt;1,"重複",""))</f>
        <v/>
      </c>
    </row>
    <row r="2428" customFormat="false" ht="16.5" hidden="false" customHeight="true" outlineLevel="0" collapsed="false">
      <c r="A2428" s="2" t="s">
        <v>416</v>
      </c>
      <c r="B2428" s="2" t="s">
        <v>435</v>
      </c>
      <c r="C2428" s="2" t="s">
        <v>25</v>
      </c>
      <c r="D2428" s="2" t="str">
        <f aca="false">IF(3キー同時!$B$240="","",3キー同時!$B$240)</f>
        <v>j</v>
      </c>
      <c r="E2428" s="2" t="str">
        <f aca="false">IF(3キー同時!$G$240="","",3キー同時!$G$240)</f>
        <v>k</v>
      </c>
      <c r="F2428" s="2" t="str">
        <f aca="false">""</f>
        <v/>
      </c>
      <c r="G2428" s="2" t="str">
        <f aca="false">IF(OR(3キー同時!$B$240="",3キー同時!$G$240=""),"",IF(3キー同時!M246="","",SUBSTITUTE(SUBSTITUTE(3キー同時!M246," ",""),"　","")))</f>
        <v/>
      </c>
      <c r="H2428" s="2" t="str">
        <f aca="false">IF($G2428="","",3キー同時!$B$240)</f>
        <v/>
      </c>
      <c r="I2428" s="2" t="str">
        <f aca="false">IF($G2428="","",3キー同時!$G$240)</f>
        <v/>
      </c>
      <c r="J2428" s="2" t="str">
        <f aca="false">IF($G2428="","","s")</f>
        <v/>
      </c>
      <c r="K2428" s="2" t="str">
        <f aca="false">""</f>
        <v/>
      </c>
      <c r="L2428" s="2" t="str">
        <f aca="false">IF($G2428="","","同時")</f>
        <v/>
      </c>
      <c r="M2428" s="2" t="str">
        <f aca="false">IF($G2428="","",IF(ISNA(MATCH($G2428,個別指定!$A:$A,0)),"行なし",""))</f>
        <v/>
      </c>
      <c r="N2428" s="2" t="str">
        <f aca="false">IF($G2428="","",IF(COUNTIF($G$2:$G$4460,$G2428)&gt;1,"重複",""))</f>
        <v/>
      </c>
    </row>
    <row r="2429" customFormat="false" ht="16.5" hidden="false" customHeight="true" outlineLevel="0" collapsed="false">
      <c r="A2429" s="2" t="s">
        <v>416</v>
      </c>
      <c r="B2429" s="2" t="s">
        <v>435</v>
      </c>
      <c r="C2429" s="2" t="s">
        <v>26</v>
      </c>
      <c r="D2429" s="2" t="str">
        <f aca="false">IF(3キー同時!$B$240="","",3キー同時!$B$240)</f>
        <v>j</v>
      </c>
      <c r="E2429" s="2" t="str">
        <f aca="false">IF(3キー同時!$G$240="","",3キー同時!$G$240)</f>
        <v>k</v>
      </c>
      <c r="F2429" s="2" t="str">
        <f aca="false">""</f>
        <v/>
      </c>
      <c r="G2429" s="2" t="str">
        <f aca="false">IF(OR(3キー同時!$B$240="",3キー同時!$G$240=""),"",IF(3キー同時!Q246="","",SUBSTITUTE(SUBSTITUTE(3キー同時!Q246," ",""),"　","")))</f>
        <v>？</v>
      </c>
      <c r="H2429" s="2" t="str">
        <f aca="false">IF($G2429="","",3キー同時!$B$240)</f>
        <v>j</v>
      </c>
      <c r="I2429" s="2" t="str">
        <f aca="false">IF($G2429="","",3キー同時!$G$240)</f>
        <v>k</v>
      </c>
      <c r="J2429" s="2" t="str">
        <f aca="false">IF($G2429="","","d")</f>
        <v>d</v>
      </c>
      <c r="K2429" s="2" t="str">
        <f aca="false">""</f>
        <v/>
      </c>
      <c r="L2429" s="2" t="str">
        <f aca="false">IF($G2429="","","同時")</f>
        <v>同時</v>
      </c>
      <c r="M2429" s="2" t="str">
        <f aca="false">IF($G2429="","",IF(ISNA(MATCH($G2429,個別指定!$A:$A,0)),"行なし",""))</f>
        <v/>
      </c>
      <c r="N2429" s="2" t="str">
        <f aca="false">IF($G2429="","",IF(COUNTIF($G$2:$G$4460,$G2429)&gt;1,"重複",""))</f>
        <v/>
      </c>
    </row>
    <row r="2430" customFormat="false" ht="16.5" hidden="false" customHeight="true" outlineLevel="0" collapsed="false">
      <c r="A2430" s="2" t="s">
        <v>416</v>
      </c>
      <c r="B2430" s="2" t="s">
        <v>435</v>
      </c>
      <c r="C2430" s="2" t="s">
        <v>27</v>
      </c>
      <c r="D2430" s="2" t="str">
        <f aca="false">IF(3キー同時!$B$240="","",3キー同時!$B$240)</f>
        <v>j</v>
      </c>
      <c r="E2430" s="2" t="str">
        <f aca="false">IF(3キー同時!$G$240="","",3キー同時!$G$240)</f>
        <v>k</v>
      </c>
      <c r="F2430" s="2" t="str">
        <f aca="false">""</f>
        <v/>
      </c>
      <c r="G2430" s="2" t="str">
        <f aca="false">IF(OR(3キー同時!$B$240="",3キー同時!$G$240=""),"",IF(3キー同時!U246="","",SUBSTITUTE(SUBSTITUTE(3キー同時!U246," ",""),"　","")))</f>
        <v>「</v>
      </c>
      <c r="H2430" s="2" t="str">
        <f aca="false">IF($G2430="","",3キー同時!$B$240)</f>
        <v>j</v>
      </c>
      <c r="I2430" s="2" t="str">
        <f aca="false">IF($G2430="","",3キー同時!$G$240)</f>
        <v>k</v>
      </c>
      <c r="J2430" s="2" t="str">
        <f aca="false">IF($G2430="","","f")</f>
        <v>f</v>
      </c>
      <c r="K2430" s="2" t="str">
        <f aca="false">""</f>
        <v/>
      </c>
      <c r="L2430" s="2" t="str">
        <f aca="false">IF($G2430="","","同時")</f>
        <v>同時</v>
      </c>
      <c r="M2430" s="2" t="str">
        <f aca="false">IF($G2430="","",IF(ISNA(MATCH($G2430,個別指定!$A:$A,0)),"行なし",""))</f>
        <v/>
      </c>
      <c r="N2430" s="2" t="str">
        <f aca="false">IF($G2430="","",IF(COUNTIF($G$2:$G$4460,$G2430)&gt;1,"重複",""))</f>
        <v/>
      </c>
    </row>
    <row r="2431" customFormat="false" ht="16.5" hidden="false" customHeight="true" outlineLevel="0" collapsed="false">
      <c r="A2431" s="2" t="s">
        <v>416</v>
      </c>
      <c r="B2431" s="2" t="s">
        <v>435</v>
      </c>
      <c r="C2431" s="2" t="s">
        <v>28</v>
      </c>
      <c r="D2431" s="2" t="str">
        <f aca="false">IF(3キー同時!$B$240="","",3キー同時!$B$240)</f>
        <v>j</v>
      </c>
      <c r="E2431" s="2" t="str">
        <f aca="false">IF(3キー同時!$G$240="","",3キー同時!$G$240)</f>
        <v>k</v>
      </c>
      <c r="F2431" s="2" t="str">
        <f aca="false">""</f>
        <v/>
      </c>
      <c r="G2431" s="2" t="str">
        <f aca="false">IF(OR(3キー同時!$B$240="",3キー同時!$G$240=""),"",IF(3キー同時!Y246="","",SUBSTITUTE(SUBSTITUTE(3キー同時!Y246," ",""),"　","")))</f>
        <v/>
      </c>
      <c r="H2431" s="2" t="str">
        <f aca="false">IF($G2431="","",3キー同時!$B$240)</f>
        <v/>
      </c>
      <c r="I2431" s="2" t="str">
        <f aca="false">IF($G2431="","",3キー同時!$G$240)</f>
        <v/>
      </c>
      <c r="J2431" s="2" t="str">
        <f aca="false">IF($G2431="","","g")</f>
        <v/>
      </c>
      <c r="K2431" s="2" t="str">
        <f aca="false">""</f>
        <v/>
      </c>
      <c r="L2431" s="2" t="str">
        <f aca="false">IF($G2431="","","同時")</f>
        <v/>
      </c>
      <c r="M2431" s="2" t="str">
        <f aca="false">IF($G2431="","",IF(ISNA(MATCH($G2431,個別指定!$A:$A,0)),"行なし",""))</f>
        <v/>
      </c>
      <c r="N2431" s="2" t="str">
        <f aca="false">IF($G2431="","",IF(COUNTIF($G$2:$G$4460,$G2431)&gt;1,"重複",""))</f>
        <v/>
      </c>
    </row>
    <row r="2432" customFormat="false" ht="16.5" hidden="false" customHeight="true" outlineLevel="0" collapsed="false">
      <c r="A2432" s="2" t="s">
        <v>416</v>
      </c>
      <c r="B2432" s="2" t="s">
        <v>435</v>
      </c>
      <c r="C2432" s="2" t="s">
        <v>29</v>
      </c>
      <c r="D2432" s="2" t="str">
        <f aca="false">IF(3キー同時!$B$240="","",3キー同時!$B$240)</f>
        <v>j</v>
      </c>
      <c r="E2432" s="2" t="str">
        <f aca="false">IF(3キー同時!$G$240="","",3キー同時!$G$240)</f>
        <v>k</v>
      </c>
      <c r="F2432" s="2" t="str">
        <f aca="false">""</f>
        <v/>
      </c>
      <c r="G2432" s="2" t="str">
        <f aca="false">IF(OR(3キー同時!$B$240="",3キー同時!$G$240=""),"",IF(3キー同時!AC246="","",SUBSTITUTE(SUBSTITUTE(3キー同時!AC246," ",""),"　","")))</f>
        <v/>
      </c>
      <c r="H2432" s="2" t="str">
        <f aca="false">IF($G2432="","",3キー同時!$B$240)</f>
        <v/>
      </c>
      <c r="I2432" s="2" t="str">
        <f aca="false">IF($G2432="","",3キー同時!$G$240)</f>
        <v/>
      </c>
      <c r="J2432" s="2" t="str">
        <f aca="false">IF($G2432="","","h")</f>
        <v/>
      </c>
      <c r="K2432" s="2" t="str">
        <f aca="false">""</f>
        <v/>
      </c>
      <c r="L2432" s="2" t="str">
        <f aca="false">IF($G2432="","","同時")</f>
        <v/>
      </c>
      <c r="M2432" s="2" t="str">
        <f aca="false">IF($G2432="","",IF(ISNA(MATCH($G2432,個別指定!$A:$A,0)),"行なし",""))</f>
        <v/>
      </c>
      <c r="N2432" s="2" t="str">
        <f aca="false">IF($G2432="","",IF(COUNTIF($G$2:$G$4460,$G2432)&gt;1,"重複",""))</f>
        <v/>
      </c>
    </row>
    <row r="2433" customFormat="false" ht="16.5" hidden="false" customHeight="true" outlineLevel="0" collapsed="false">
      <c r="A2433" s="2" t="s">
        <v>416</v>
      </c>
      <c r="B2433" s="2" t="s">
        <v>435</v>
      </c>
      <c r="C2433" s="2" t="s">
        <v>30</v>
      </c>
      <c r="D2433" s="2" t="str">
        <f aca="false">IF(3キー同時!$B$240="","",3キー同時!$B$240)</f>
        <v>j</v>
      </c>
      <c r="E2433" s="2" t="str">
        <f aca="false">IF(3キー同時!$G$240="","",3キー同時!$G$240)</f>
        <v>k</v>
      </c>
      <c r="F2433" s="2" t="str">
        <f aca="false">""</f>
        <v/>
      </c>
      <c r="G2433" s="2" t="str">
        <f aca="false">IF(OR(3キー同時!$B$240="",3キー同時!$G$240=""),"",IF(3キー同時!AG246="","",SUBSTITUTE(SUBSTITUTE(3キー同時!AG246," ",""),"　","")))</f>
        <v/>
      </c>
      <c r="H2433" s="2" t="str">
        <f aca="false">IF($G2433="","",3キー同時!$B$240)</f>
        <v/>
      </c>
      <c r="I2433" s="2" t="str">
        <f aca="false">IF($G2433="","",3キー同時!$G$240)</f>
        <v/>
      </c>
      <c r="J2433" s="2" t="str">
        <f aca="false">IF($G2433="","","j")</f>
        <v/>
      </c>
      <c r="K2433" s="2" t="str">
        <f aca="false">""</f>
        <v/>
      </c>
      <c r="L2433" s="2" t="str">
        <f aca="false">IF($G2433="","","同時")</f>
        <v/>
      </c>
      <c r="M2433" s="2" t="str">
        <f aca="false">IF($G2433="","",IF(ISNA(MATCH($G2433,個別指定!$A:$A,0)),"行なし",""))</f>
        <v/>
      </c>
      <c r="N2433" s="2" t="str">
        <f aca="false">IF($G2433="","",IF(COUNTIF($G$2:$G$4460,$G2433)&gt;1,"重複",""))</f>
        <v/>
      </c>
    </row>
    <row r="2434" customFormat="false" ht="16.5" hidden="false" customHeight="true" outlineLevel="0" collapsed="false">
      <c r="A2434" s="2" t="s">
        <v>416</v>
      </c>
      <c r="B2434" s="2" t="s">
        <v>435</v>
      </c>
      <c r="C2434" s="2" t="s">
        <v>31</v>
      </c>
      <c r="D2434" s="2" t="str">
        <f aca="false">IF(3キー同時!$B$240="","",3キー同時!$B$240)</f>
        <v>j</v>
      </c>
      <c r="E2434" s="2" t="str">
        <f aca="false">IF(3キー同時!$G$240="","",3キー同時!$G$240)</f>
        <v>k</v>
      </c>
      <c r="F2434" s="2" t="str">
        <f aca="false">""</f>
        <v/>
      </c>
      <c r="G2434" s="2" t="str">
        <f aca="false">IF(OR(3キー同時!$B$240="",3キー同時!$G$240=""),"",IF(3キー同時!AK246="","",SUBSTITUTE(SUBSTITUTE(3キー同時!AK246," ",""),"　","")))</f>
        <v/>
      </c>
      <c r="H2434" s="2" t="str">
        <f aca="false">IF($G2434="","",3キー同時!$B$240)</f>
        <v/>
      </c>
      <c r="I2434" s="2" t="str">
        <f aca="false">IF($G2434="","",3キー同時!$G$240)</f>
        <v/>
      </c>
      <c r="J2434" s="2" t="str">
        <f aca="false">IF($G2434="","","k")</f>
        <v/>
      </c>
      <c r="K2434" s="2" t="str">
        <f aca="false">""</f>
        <v/>
      </c>
      <c r="L2434" s="2" t="str">
        <f aca="false">IF($G2434="","","同時")</f>
        <v/>
      </c>
      <c r="M2434" s="2" t="str">
        <f aca="false">IF($G2434="","",IF(ISNA(MATCH($G2434,個別指定!$A:$A,0)),"行なし",""))</f>
        <v/>
      </c>
      <c r="N2434" s="2" t="str">
        <f aca="false">IF($G2434="","",IF(COUNTIF($G$2:$G$4460,$G2434)&gt;1,"重複",""))</f>
        <v/>
      </c>
    </row>
    <row r="2435" customFormat="false" ht="16.5" hidden="false" customHeight="true" outlineLevel="0" collapsed="false">
      <c r="A2435" s="2" t="s">
        <v>416</v>
      </c>
      <c r="B2435" s="2" t="s">
        <v>435</v>
      </c>
      <c r="C2435" s="2" t="s">
        <v>32</v>
      </c>
      <c r="D2435" s="2" t="str">
        <f aca="false">IF(3キー同時!$B$240="","",3キー同時!$B$240)</f>
        <v>j</v>
      </c>
      <c r="E2435" s="2" t="str">
        <f aca="false">IF(3キー同時!$G$240="","",3キー同時!$G$240)</f>
        <v>k</v>
      </c>
      <c r="F2435" s="2" t="str">
        <f aca="false">""</f>
        <v/>
      </c>
      <c r="G2435" s="2" t="str">
        <f aca="false">IF(OR(3キー同時!$B$240="",3キー同時!$G$240=""),"",IF(3キー同時!AO246="","",SUBSTITUTE(SUBSTITUTE(3キー同時!AO246," ",""),"　","")))</f>
        <v/>
      </c>
      <c r="H2435" s="2" t="str">
        <f aca="false">IF($G2435="","",3キー同時!$B$240)</f>
        <v/>
      </c>
      <c r="I2435" s="2" t="str">
        <f aca="false">IF($G2435="","",3キー同時!$G$240)</f>
        <v/>
      </c>
      <c r="J2435" s="2" t="str">
        <f aca="false">IF($G2435="","","l")</f>
        <v/>
      </c>
      <c r="K2435" s="2" t="str">
        <f aca="false">""</f>
        <v/>
      </c>
      <c r="L2435" s="2" t="str">
        <f aca="false">IF($G2435="","","同時")</f>
        <v/>
      </c>
      <c r="M2435" s="2" t="str">
        <f aca="false">IF($G2435="","",IF(ISNA(MATCH($G2435,個別指定!$A:$A,0)),"行なし",""))</f>
        <v/>
      </c>
      <c r="N2435" s="2" t="str">
        <f aca="false">IF($G2435="","",IF(COUNTIF($G$2:$G$4460,$G2435)&gt;1,"重複",""))</f>
        <v/>
      </c>
    </row>
    <row r="2436" customFormat="false" ht="16.5" hidden="false" customHeight="true" outlineLevel="0" collapsed="false">
      <c r="A2436" s="2" t="s">
        <v>416</v>
      </c>
      <c r="B2436" s="2" t="s">
        <v>435</v>
      </c>
      <c r="C2436" s="2" t="s">
        <v>33</v>
      </c>
      <c r="D2436" s="2" t="str">
        <f aca="false">IF(3キー同時!$B$240="","",3キー同時!$B$240)</f>
        <v>j</v>
      </c>
      <c r="E2436" s="2" t="str">
        <f aca="false">IF(3キー同時!$G$240="","",3キー同時!$G$240)</f>
        <v>k</v>
      </c>
      <c r="F2436" s="2" t="str">
        <f aca="false">""</f>
        <v/>
      </c>
      <c r="G2436" s="2" t="str">
        <f aca="false">IF(OR(3キー同時!$B$240="",3キー同時!$G$240=""),"",IF(3キー同時!AS246="","",SUBSTITUTE(SUBSTITUTE(3キー同時!AS246," ",""),"　","")))</f>
        <v/>
      </c>
      <c r="H2436" s="2" t="str">
        <f aca="false">IF($G2436="","",3キー同時!$B$240)</f>
        <v/>
      </c>
      <c r="I2436" s="2" t="str">
        <f aca="false">IF($G2436="","",3キー同時!$G$240)</f>
        <v/>
      </c>
      <c r="J2436" s="2" t="str">
        <f aca="false">IF($G2436="","",";")</f>
        <v/>
      </c>
      <c r="K2436" s="2" t="str">
        <f aca="false">""</f>
        <v/>
      </c>
      <c r="L2436" s="2" t="str">
        <f aca="false">IF($G2436="","","同時")</f>
        <v/>
      </c>
      <c r="M2436" s="2" t="str">
        <f aca="false">IF($G2436="","",IF(ISNA(MATCH($G2436,個別指定!$A:$A,0)),"行なし",""))</f>
        <v/>
      </c>
      <c r="N2436" s="2" t="str">
        <f aca="false">IF($G2436="","",IF(COUNTIF($G$2:$G$4460,$G2436)&gt;1,"重複",""))</f>
        <v/>
      </c>
    </row>
    <row r="2437" customFormat="false" ht="16.5" hidden="false" customHeight="true" outlineLevel="0" collapsed="false">
      <c r="A2437" s="2" t="s">
        <v>416</v>
      </c>
      <c r="B2437" s="2" t="s">
        <v>435</v>
      </c>
      <c r="C2437" s="2" t="s">
        <v>34</v>
      </c>
      <c r="D2437" s="2" t="str">
        <f aca="false">IF(3キー同時!$B$240="","",3キー同時!$B$240)</f>
        <v>j</v>
      </c>
      <c r="E2437" s="2" t="str">
        <f aca="false">IF(3キー同時!$G$240="","",3キー同時!$G$240)</f>
        <v>k</v>
      </c>
      <c r="F2437" s="2" t="str">
        <f aca="false">""</f>
        <v/>
      </c>
      <c r="G2437" s="2" t="str">
        <f aca="false">IF(OR(3キー同時!$B$240="",3キー同時!$G$240=""),"",IF(3キー同時!AW246="","",SUBSTITUTE(SUBSTITUTE(3キー同時!AW246," ",""),"　","")))</f>
        <v/>
      </c>
      <c r="H2437" s="2" t="str">
        <f aca="false">IF($G2437="","",3キー同時!$B$240)</f>
        <v/>
      </c>
      <c r="I2437" s="2" t="str">
        <f aca="false">IF($G2437="","",3キー同時!$G$240)</f>
        <v/>
      </c>
      <c r="J2437" s="2" t="str">
        <f aca="false">IF($G2437="","","'")</f>
        <v/>
      </c>
      <c r="K2437" s="2" t="str">
        <f aca="false">""</f>
        <v/>
      </c>
      <c r="L2437" s="2" t="str">
        <f aca="false">IF($G2437="","","同時")</f>
        <v/>
      </c>
      <c r="M2437" s="2" t="str">
        <f aca="false">IF($G2437="","",IF(ISNA(MATCH($G2437,個別指定!$A:$A,0)),"行なし",""))</f>
        <v/>
      </c>
      <c r="N2437" s="2" t="str">
        <f aca="false">IF($G2437="","",IF(COUNTIF($G$2:$G$4460,$G2437)&gt;1,"重複",""))</f>
        <v/>
      </c>
    </row>
    <row r="2438" customFormat="false" ht="16.5" hidden="false" customHeight="true" outlineLevel="0" collapsed="false">
      <c r="A2438" s="2" t="s">
        <v>416</v>
      </c>
      <c r="B2438" s="2" t="s">
        <v>435</v>
      </c>
      <c r="C2438" s="2" t="s">
        <v>35</v>
      </c>
      <c r="D2438" s="2" t="str">
        <f aca="false">IF(3キー同時!$B$240="","",3キー同時!$B$240)</f>
        <v>j</v>
      </c>
      <c r="E2438" s="2" t="str">
        <f aca="false">IF(3キー同時!$G$240="","",3キー同時!$G$240)</f>
        <v>k</v>
      </c>
      <c r="F2438" s="2" t="str">
        <f aca="false">""</f>
        <v/>
      </c>
      <c r="G2438" s="2" t="str">
        <f aca="false">IF(OR(3キー同時!$B$240="",3キー同時!$G$240=""),"",IF(3キー同時!K248="","",SUBSTITUTE(SUBSTITUTE(3キー同時!K248," ",""),"　","")))</f>
        <v/>
      </c>
      <c r="H2438" s="2" t="str">
        <f aca="false">IF($G2438="","",3キー同時!$B$240)</f>
        <v/>
      </c>
      <c r="I2438" s="2" t="str">
        <f aca="false">IF($G2438="","",3キー同時!$G$240)</f>
        <v/>
      </c>
      <c r="J2438" s="2" t="str">
        <f aca="false">IF($G2438="","","z")</f>
        <v/>
      </c>
      <c r="K2438" s="2" t="str">
        <f aca="false">""</f>
        <v/>
      </c>
      <c r="L2438" s="2" t="str">
        <f aca="false">IF($G2438="","","同時")</f>
        <v/>
      </c>
      <c r="M2438" s="2" t="str">
        <f aca="false">IF($G2438="","",IF(ISNA(MATCH($G2438,個別指定!$A:$A,0)),"行なし",""))</f>
        <v/>
      </c>
      <c r="N2438" s="2" t="str">
        <f aca="false">IF($G2438="","",IF(COUNTIF($G$2:$G$4460,$G2438)&gt;1,"重複",""))</f>
        <v/>
      </c>
    </row>
    <row r="2439" customFormat="false" ht="16.5" hidden="false" customHeight="true" outlineLevel="0" collapsed="false">
      <c r="A2439" s="2" t="s">
        <v>416</v>
      </c>
      <c r="B2439" s="2" t="s">
        <v>435</v>
      </c>
      <c r="C2439" s="2" t="s">
        <v>36</v>
      </c>
      <c r="D2439" s="2" t="str">
        <f aca="false">IF(3キー同時!$B$240="","",3キー同時!$B$240)</f>
        <v>j</v>
      </c>
      <c r="E2439" s="2" t="str">
        <f aca="false">IF(3キー同時!$G$240="","",3キー同時!$G$240)</f>
        <v>k</v>
      </c>
      <c r="F2439" s="2" t="str">
        <f aca="false">""</f>
        <v/>
      </c>
      <c r="G2439" s="2" t="str">
        <f aca="false">IF(OR(3キー同時!$B$240="",3キー同時!$G$240=""),"",IF(3キー同時!O248="","",SUBSTITUTE(SUBSTITUTE(3キー同時!O248," ",""),"　","")))</f>
        <v/>
      </c>
      <c r="H2439" s="2" t="str">
        <f aca="false">IF($G2439="","",3キー同時!$B$240)</f>
        <v/>
      </c>
      <c r="I2439" s="2" t="str">
        <f aca="false">IF($G2439="","",3キー同時!$G$240)</f>
        <v/>
      </c>
      <c r="J2439" s="2" t="str">
        <f aca="false">IF($G2439="","","x")</f>
        <v/>
      </c>
      <c r="K2439" s="2" t="str">
        <f aca="false">""</f>
        <v/>
      </c>
      <c r="L2439" s="2" t="str">
        <f aca="false">IF($G2439="","","同時")</f>
        <v/>
      </c>
      <c r="M2439" s="2" t="str">
        <f aca="false">IF($G2439="","",IF(ISNA(MATCH($G2439,個別指定!$A:$A,0)),"行なし",""))</f>
        <v/>
      </c>
      <c r="N2439" s="2" t="str">
        <f aca="false">IF($G2439="","",IF(COUNTIF($G$2:$G$4460,$G2439)&gt;1,"重複",""))</f>
        <v/>
      </c>
    </row>
    <row r="2440" customFormat="false" ht="16.5" hidden="false" customHeight="true" outlineLevel="0" collapsed="false">
      <c r="A2440" s="2" t="s">
        <v>416</v>
      </c>
      <c r="B2440" s="2" t="s">
        <v>435</v>
      </c>
      <c r="C2440" s="2" t="s">
        <v>37</v>
      </c>
      <c r="D2440" s="2" t="str">
        <f aca="false">IF(3キー同時!$B$240="","",3キー同時!$B$240)</f>
        <v>j</v>
      </c>
      <c r="E2440" s="2" t="str">
        <f aca="false">IF(3キー同時!$G$240="","",3キー同時!$G$240)</f>
        <v>k</v>
      </c>
      <c r="F2440" s="2" t="str">
        <f aca="false">""</f>
        <v/>
      </c>
      <c r="G2440" s="2" t="str">
        <f aca="false">IF(OR(3キー同時!$B$240="",3キー同時!$G$240=""),"",IF(3キー同時!S248="","",SUBSTITUTE(SUBSTITUTE(3キー同時!S248," ",""),"　","")))</f>
        <v>！</v>
      </c>
      <c r="H2440" s="2" t="str">
        <f aca="false">IF($G2440="","",3キー同時!$B$240)</f>
        <v>j</v>
      </c>
      <c r="I2440" s="2" t="str">
        <f aca="false">IF($G2440="","",3キー同時!$G$240)</f>
        <v>k</v>
      </c>
      <c r="J2440" s="2" t="str">
        <f aca="false">IF($G2440="","","c")</f>
        <v>c</v>
      </c>
      <c r="K2440" s="2" t="str">
        <f aca="false">""</f>
        <v/>
      </c>
      <c r="L2440" s="2" t="str">
        <f aca="false">IF($G2440="","","同時")</f>
        <v>同時</v>
      </c>
      <c r="M2440" s="2" t="str">
        <f aca="false">IF($G2440="","",IF(ISNA(MATCH($G2440,個別指定!$A:$A,0)),"行なし",""))</f>
        <v/>
      </c>
      <c r="N2440" s="2" t="str">
        <f aca="false">IF($G2440="","",IF(COUNTIF($G$2:$G$4460,$G2440)&gt;1,"重複",""))</f>
        <v/>
      </c>
    </row>
    <row r="2441" customFormat="false" ht="16.5" hidden="false" customHeight="true" outlineLevel="0" collapsed="false">
      <c r="A2441" s="2" t="s">
        <v>416</v>
      </c>
      <c r="B2441" s="2" t="s">
        <v>435</v>
      </c>
      <c r="C2441" s="2" t="s">
        <v>38</v>
      </c>
      <c r="D2441" s="2" t="str">
        <f aca="false">IF(3キー同時!$B$240="","",3キー同時!$B$240)</f>
        <v>j</v>
      </c>
      <c r="E2441" s="2" t="str">
        <f aca="false">IF(3キー同時!$G$240="","",3キー同時!$G$240)</f>
        <v>k</v>
      </c>
      <c r="F2441" s="2" t="str">
        <f aca="false">""</f>
        <v/>
      </c>
      <c r="G2441" s="2" t="str">
        <f aca="false">IF(OR(3キー同時!$B$240="",3キー同時!$G$240=""),"",IF(3キー同時!W248="","",SUBSTITUTE(SUBSTITUTE(3キー同時!W248," ",""),"　","")))</f>
        <v>」</v>
      </c>
      <c r="H2441" s="2" t="str">
        <f aca="false">IF($G2441="","",3キー同時!$B$240)</f>
        <v>j</v>
      </c>
      <c r="I2441" s="2" t="str">
        <f aca="false">IF($G2441="","",3キー同時!$G$240)</f>
        <v>k</v>
      </c>
      <c r="J2441" s="2" t="str">
        <f aca="false">IF($G2441="","","v")</f>
        <v>v</v>
      </c>
      <c r="K2441" s="2" t="str">
        <f aca="false">""</f>
        <v/>
      </c>
      <c r="L2441" s="2" t="str">
        <f aca="false">IF($G2441="","","同時")</f>
        <v>同時</v>
      </c>
      <c r="M2441" s="2" t="str">
        <f aca="false">IF($G2441="","",IF(ISNA(MATCH($G2441,個別指定!$A:$A,0)),"行なし",""))</f>
        <v/>
      </c>
      <c r="N2441" s="2" t="str">
        <f aca="false">IF($G2441="","",IF(COUNTIF($G$2:$G$4460,$G2441)&gt;1,"重複",""))</f>
        <v/>
      </c>
    </row>
    <row r="2442" customFormat="false" ht="16.5" hidden="false" customHeight="true" outlineLevel="0" collapsed="false">
      <c r="A2442" s="2" t="s">
        <v>416</v>
      </c>
      <c r="B2442" s="2" t="s">
        <v>435</v>
      </c>
      <c r="C2442" s="2" t="s">
        <v>39</v>
      </c>
      <c r="D2442" s="2" t="str">
        <f aca="false">IF(3キー同時!$B$240="","",3キー同時!$B$240)</f>
        <v>j</v>
      </c>
      <c r="E2442" s="2" t="str">
        <f aca="false">IF(3キー同時!$G$240="","",3キー同時!$G$240)</f>
        <v>k</v>
      </c>
      <c r="F2442" s="2" t="str">
        <f aca="false">""</f>
        <v/>
      </c>
      <c r="G2442" s="2" t="str">
        <f aca="false">IF(OR(3キー同時!$B$240="",3キー同時!$G$240=""),"",IF(3キー同時!AA248="","",SUBSTITUTE(SUBSTITUTE(3キー同時!AA248," ",""),"　","")))</f>
        <v/>
      </c>
      <c r="H2442" s="2" t="str">
        <f aca="false">IF($G2442="","",3キー同時!$B$240)</f>
        <v/>
      </c>
      <c r="I2442" s="2" t="str">
        <f aca="false">IF($G2442="","",3キー同時!$G$240)</f>
        <v/>
      </c>
      <c r="J2442" s="2" t="str">
        <f aca="false">IF($G2442="","","b")</f>
        <v/>
      </c>
      <c r="K2442" s="2" t="str">
        <f aca="false">""</f>
        <v/>
      </c>
      <c r="L2442" s="2" t="str">
        <f aca="false">IF($G2442="","","同時")</f>
        <v/>
      </c>
      <c r="M2442" s="2" t="str">
        <f aca="false">IF($G2442="","",IF(ISNA(MATCH($G2442,個別指定!$A:$A,0)),"行なし",""))</f>
        <v/>
      </c>
      <c r="N2442" s="2" t="str">
        <f aca="false">IF($G2442="","",IF(COUNTIF($G$2:$G$4460,$G2442)&gt;1,"重複",""))</f>
        <v/>
      </c>
    </row>
    <row r="2443" customFormat="false" ht="16.5" hidden="false" customHeight="true" outlineLevel="0" collapsed="false">
      <c r="A2443" s="2" t="s">
        <v>416</v>
      </c>
      <c r="B2443" s="2" t="s">
        <v>435</v>
      </c>
      <c r="C2443" s="2" t="s">
        <v>40</v>
      </c>
      <c r="D2443" s="2" t="str">
        <f aca="false">IF(3キー同時!$B$240="","",3キー同時!$B$240)</f>
        <v>j</v>
      </c>
      <c r="E2443" s="2" t="str">
        <f aca="false">IF(3キー同時!$G$240="","",3キー同時!$G$240)</f>
        <v>k</v>
      </c>
      <c r="F2443" s="2" t="str">
        <f aca="false">""</f>
        <v/>
      </c>
      <c r="G2443" s="2" t="str">
        <f aca="false">IF(OR(3キー同時!$B$240="",3キー同時!$G$240=""),"",IF(3キー同時!AE248="","",SUBSTITUTE(SUBSTITUTE(3キー同時!AE248," ",""),"　","")))</f>
        <v/>
      </c>
      <c r="H2443" s="2" t="str">
        <f aca="false">IF($G2443="","",3キー同時!$B$240)</f>
        <v/>
      </c>
      <c r="I2443" s="2" t="str">
        <f aca="false">IF($G2443="","",3キー同時!$G$240)</f>
        <v/>
      </c>
      <c r="J2443" s="2" t="str">
        <f aca="false">IF($G2443="","","n")</f>
        <v/>
      </c>
      <c r="K2443" s="2" t="str">
        <f aca="false">""</f>
        <v/>
      </c>
      <c r="L2443" s="2" t="str">
        <f aca="false">IF($G2443="","","同時")</f>
        <v/>
      </c>
      <c r="M2443" s="2" t="str">
        <f aca="false">IF($G2443="","",IF(ISNA(MATCH($G2443,個別指定!$A:$A,0)),"行なし",""))</f>
        <v/>
      </c>
      <c r="N2443" s="2" t="str">
        <f aca="false">IF($G2443="","",IF(COUNTIF($G$2:$G$4460,$G2443)&gt;1,"重複",""))</f>
        <v/>
      </c>
    </row>
    <row r="2444" customFormat="false" ht="16.5" hidden="false" customHeight="true" outlineLevel="0" collapsed="false">
      <c r="A2444" s="2" t="s">
        <v>416</v>
      </c>
      <c r="B2444" s="2" t="s">
        <v>435</v>
      </c>
      <c r="C2444" s="2" t="s">
        <v>41</v>
      </c>
      <c r="D2444" s="2" t="str">
        <f aca="false">IF(3キー同時!$B$240="","",3キー同時!$B$240)</f>
        <v>j</v>
      </c>
      <c r="E2444" s="2" t="str">
        <f aca="false">IF(3キー同時!$G$240="","",3キー同時!$G$240)</f>
        <v>k</v>
      </c>
      <c r="F2444" s="2" t="str">
        <f aca="false">""</f>
        <v/>
      </c>
      <c r="G2444" s="2" t="str">
        <f aca="false">IF(OR(3キー同時!$B$240="",3キー同時!$G$240=""),"",IF(3キー同時!AI248="","",SUBSTITUTE(SUBSTITUTE(3キー同時!AI248," ",""),"　","")))</f>
        <v/>
      </c>
      <c r="H2444" s="2" t="str">
        <f aca="false">IF($G2444="","",3キー同時!$B$240)</f>
        <v/>
      </c>
      <c r="I2444" s="2" t="str">
        <f aca="false">IF($G2444="","",3キー同時!$G$240)</f>
        <v/>
      </c>
      <c r="J2444" s="2" t="str">
        <f aca="false">IF($G2444="","","m")</f>
        <v/>
      </c>
      <c r="K2444" s="2" t="str">
        <f aca="false">""</f>
        <v/>
      </c>
      <c r="L2444" s="2" t="str">
        <f aca="false">IF($G2444="","","同時")</f>
        <v/>
      </c>
      <c r="M2444" s="2" t="str">
        <f aca="false">IF($G2444="","",IF(ISNA(MATCH($G2444,個別指定!$A:$A,0)),"行なし",""))</f>
        <v/>
      </c>
      <c r="N2444" s="2" t="str">
        <f aca="false">IF($G2444="","",IF(COUNTIF($G$2:$G$4460,$G2444)&gt;1,"重複",""))</f>
        <v/>
      </c>
    </row>
    <row r="2445" customFormat="false" ht="16.5" hidden="false" customHeight="true" outlineLevel="0" collapsed="false">
      <c r="A2445" s="2" t="s">
        <v>416</v>
      </c>
      <c r="B2445" s="2" t="s">
        <v>435</v>
      </c>
      <c r="C2445" s="2" t="s">
        <v>42</v>
      </c>
      <c r="D2445" s="2" t="str">
        <f aca="false">IF(3キー同時!$B$240="","",3キー同時!$B$240)</f>
        <v>j</v>
      </c>
      <c r="E2445" s="2" t="str">
        <f aca="false">IF(3キー同時!$G$240="","",3キー同時!$G$240)</f>
        <v>k</v>
      </c>
      <c r="F2445" s="2" t="str">
        <f aca="false">""</f>
        <v/>
      </c>
      <c r="G2445" s="2" t="str">
        <f aca="false">IF(OR(3キー同時!$B$240="",3キー同時!$G$240=""),"",IF(3キー同時!AM248="","",SUBSTITUTE(SUBSTITUTE(3キー同時!AM248," ",""),"　","")))</f>
        <v/>
      </c>
      <c r="H2445" s="2" t="str">
        <f aca="false">IF($G2445="","",3キー同時!$B$240)</f>
        <v/>
      </c>
      <c r="I2445" s="2" t="str">
        <f aca="false">IF($G2445="","",3キー同時!$G$240)</f>
        <v/>
      </c>
      <c r="J2445" s="2" t="str">
        <f aca="false">IF($G2445="","",",")</f>
        <v/>
      </c>
      <c r="K2445" s="2" t="str">
        <f aca="false">""</f>
        <v/>
      </c>
      <c r="L2445" s="2" t="str">
        <f aca="false">IF($G2445="","","同時")</f>
        <v/>
      </c>
      <c r="M2445" s="2" t="str">
        <f aca="false">IF($G2445="","",IF(ISNA(MATCH($G2445,個別指定!$A:$A,0)),"行なし",""))</f>
        <v/>
      </c>
      <c r="N2445" s="2" t="str">
        <f aca="false">IF($G2445="","",IF(COUNTIF($G$2:$G$4460,$G2445)&gt;1,"重複",""))</f>
        <v/>
      </c>
    </row>
    <row r="2446" customFormat="false" ht="16.5" hidden="false" customHeight="true" outlineLevel="0" collapsed="false">
      <c r="A2446" s="2" t="s">
        <v>416</v>
      </c>
      <c r="B2446" s="2" t="s">
        <v>435</v>
      </c>
      <c r="C2446" s="2" t="s">
        <v>43</v>
      </c>
      <c r="D2446" s="2" t="str">
        <f aca="false">IF(3キー同時!$B$240="","",3キー同時!$B$240)</f>
        <v>j</v>
      </c>
      <c r="E2446" s="2" t="str">
        <f aca="false">IF(3キー同時!$G$240="","",3キー同時!$G$240)</f>
        <v>k</v>
      </c>
      <c r="F2446" s="2" t="str">
        <f aca="false">""</f>
        <v/>
      </c>
      <c r="G2446" s="2" t="str">
        <f aca="false">IF(OR(3キー同時!$B$240="",3キー同時!$G$240=""),"",IF(3キー同時!AQ248="","",SUBSTITUTE(SUBSTITUTE(3キー同時!AQ248," ",""),"　","")))</f>
        <v/>
      </c>
      <c r="H2446" s="2" t="str">
        <f aca="false">IF($G2446="","",3キー同時!$B$240)</f>
        <v/>
      </c>
      <c r="I2446" s="2" t="str">
        <f aca="false">IF($G2446="","",3キー同時!$G$240)</f>
        <v/>
      </c>
      <c r="J2446" s="2" t="str">
        <f aca="false">IF($G2446="","",".")</f>
        <v/>
      </c>
      <c r="K2446" s="2" t="str">
        <f aca="false">""</f>
        <v/>
      </c>
      <c r="L2446" s="2" t="str">
        <f aca="false">IF($G2446="","","同時")</f>
        <v/>
      </c>
      <c r="M2446" s="2" t="str">
        <f aca="false">IF($G2446="","",IF(ISNA(MATCH($G2446,個別指定!$A:$A,0)),"行なし",""))</f>
        <v/>
      </c>
      <c r="N2446" s="2" t="str">
        <f aca="false">IF($G2446="","",IF(COUNTIF($G$2:$G$4460,$G2446)&gt;1,"重複",""))</f>
        <v/>
      </c>
    </row>
    <row r="2447" customFormat="false" ht="16.5" hidden="false" customHeight="true" outlineLevel="0" collapsed="false">
      <c r="A2447" s="2" t="s">
        <v>416</v>
      </c>
      <c r="B2447" s="2" t="s">
        <v>435</v>
      </c>
      <c r="C2447" s="2" t="s">
        <v>44</v>
      </c>
      <c r="D2447" s="2" t="str">
        <f aca="false">IF(3キー同時!$B$240="","",3キー同時!$B$240)</f>
        <v>j</v>
      </c>
      <c r="E2447" s="2" t="str">
        <f aca="false">IF(3キー同時!$G$240="","",3キー同時!$G$240)</f>
        <v>k</v>
      </c>
      <c r="F2447" s="2" t="str">
        <f aca="false">""</f>
        <v/>
      </c>
      <c r="G2447" s="2" t="str">
        <f aca="false">IF(OR(3キー同時!$B$240="",3キー同時!$G$240=""),"",IF(3キー同時!AU248="","",SUBSTITUTE(SUBSTITUTE(3キー同時!AU248," ",""),"　","")))</f>
        <v/>
      </c>
      <c r="H2447" s="2" t="str">
        <f aca="false">IF($G2447="","",3キー同時!$B$240)</f>
        <v/>
      </c>
      <c r="I2447" s="2" t="str">
        <f aca="false">IF($G2447="","",3キー同時!$G$240)</f>
        <v/>
      </c>
      <c r="J2447" s="2" t="str">
        <f aca="false">IF($G2447="","","/")</f>
        <v/>
      </c>
      <c r="K2447" s="2" t="str">
        <f aca="false">""</f>
        <v/>
      </c>
      <c r="L2447" s="2" t="str">
        <f aca="false">IF($G2447="","","同時")</f>
        <v/>
      </c>
      <c r="M2447" s="2" t="str">
        <f aca="false">IF($G2447="","",IF(ISNA(MATCH($G2447,個別指定!$A:$A,0)),"行なし",""))</f>
        <v/>
      </c>
      <c r="N2447" s="2" t="str">
        <f aca="false">IF($G2447="","",IF(COUNTIF($G$2:$G$4460,$G2447)&gt;1,"重複",""))</f>
        <v/>
      </c>
    </row>
    <row r="2448" customFormat="false" ht="16.5" hidden="false" customHeight="true" outlineLevel="0" collapsed="false">
      <c r="A2448" s="2" t="s">
        <v>416</v>
      </c>
      <c r="B2448" s="2" t="s">
        <v>435</v>
      </c>
      <c r="C2448" s="2" t="s">
        <v>48</v>
      </c>
      <c r="D2448" s="2" t="str">
        <f aca="false">IF(3キー同時!$B$240="","",3キー同時!$B$240)</f>
        <v>j</v>
      </c>
      <c r="E2448" s="2" t="str">
        <f aca="false">IF(3キー同時!$G$240="","",3キー同時!$G$240)</f>
        <v>k</v>
      </c>
      <c r="F2448" s="2" t="str">
        <f aca="false">""</f>
        <v/>
      </c>
      <c r="G2448" s="2" t="str">
        <f aca="false">IF(OR(3キー同時!$B$240="",3キー同時!$G$240=""),"",IF(3キー同時!P250="","",SUBSTITUTE(SUBSTITUTE(3キー同時!P250," ",""),"　","")))</f>
        <v/>
      </c>
      <c r="H2448" s="2" t="str">
        <f aca="false">IF($G2448="","",3キー同時!$B$240)</f>
        <v/>
      </c>
      <c r="I2448" s="2" t="str">
        <f aca="false">IF($G2448="","",3キー同時!$G$240)</f>
        <v/>
      </c>
      <c r="J2448" s="2" t="str">
        <f aca="false">IF($G2448="","","muhenkan")</f>
        <v/>
      </c>
      <c r="K2448" s="2" t="str">
        <f aca="false">""</f>
        <v/>
      </c>
      <c r="L2448" s="2" t="str">
        <f aca="false">IF($G2448="","","同時")</f>
        <v/>
      </c>
      <c r="M2448" s="2" t="str">
        <f aca="false">IF($G2448="","",IF(ISNA(MATCH($G2448,個別指定!$A:$A,0)),"行なし",""))</f>
        <v/>
      </c>
      <c r="N2448" s="2" t="str">
        <f aca="false">IF($G2448="","",IF(COUNTIF($G$2:$G$4460,$G2448)&gt;1,"重複",""))</f>
        <v/>
      </c>
    </row>
    <row r="2449" customFormat="false" ht="16.5" hidden="false" customHeight="true" outlineLevel="0" collapsed="false">
      <c r="A2449" s="2" t="s">
        <v>416</v>
      </c>
      <c r="B2449" s="2" t="s">
        <v>435</v>
      </c>
      <c r="C2449" s="2" t="s">
        <v>50</v>
      </c>
      <c r="D2449" s="2" t="str">
        <f aca="false">IF(3キー同時!$B$240="","",3キー同時!$B$240)</f>
        <v>j</v>
      </c>
      <c r="E2449" s="2" t="str">
        <f aca="false">IF(3キー同時!$G$240="","",3キー同時!$G$240)</f>
        <v>k</v>
      </c>
      <c r="F2449" s="2" t="str">
        <f aca="false">""</f>
        <v/>
      </c>
      <c r="G2449" s="2" t="str">
        <f aca="false">IF(OR(3キー同時!$B$240="",3キー同時!$G$240=""),"",IF(3キー同時!T250="","",SUBSTITUTE(SUBSTITUTE(3キー同時!T250," ",""),"　","")))</f>
        <v/>
      </c>
      <c r="H2449" s="2" t="str">
        <f aca="false">IF($G2449="","",3キー同時!$B$240)</f>
        <v/>
      </c>
      <c r="I2449" s="2" t="str">
        <f aca="false">IF($G2449="","",3キー同時!$G$240)</f>
        <v/>
      </c>
      <c r="J2449" s="2" t="str">
        <f aca="false">IF($G2449="","","space")</f>
        <v/>
      </c>
      <c r="K2449" s="2" t="str">
        <f aca="false">""</f>
        <v/>
      </c>
      <c r="L2449" s="2" t="str">
        <f aca="false">IF($G2449="","","同時")</f>
        <v/>
      </c>
      <c r="M2449" s="2" t="str">
        <f aca="false">IF($G2449="","",IF(ISNA(MATCH($G2449,個別指定!$A:$A,0)),"行なし",""))</f>
        <v/>
      </c>
      <c r="N2449" s="2" t="str">
        <f aca="false">IF($G2449="","",IF(COUNTIF($G$2:$G$4460,$G2449)&gt;1,"重複",""))</f>
        <v/>
      </c>
    </row>
    <row r="2450" customFormat="false" ht="16.5" hidden="false" customHeight="true" outlineLevel="0" collapsed="false">
      <c r="A2450" s="2" t="s">
        <v>416</v>
      </c>
      <c r="B2450" s="2" t="s">
        <v>435</v>
      </c>
      <c r="C2450" s="2" t="s">
        <v>45</v>
      </c>
      <c r="D2450" s="2" t="str">
        <f aca="false">IF(3キー同時!$B$240="","",3キー同時!$B$240)</f>
        <v>j</v>
      </c>
      <c r="E2450" s="2" t="str">
        <f aca="false">IF(3キー同時!$G$240="","",3キー同時!$G$240)</f>
        <v>k</v>
      </c>
      <c r="F2450" s="2" t="str">
        <f aca="false">""</f>
        <v/>
      </c>
      <c r="G2450" s="2" t="str">
        <f aca="false">IF(OR(3キー同時!$B$240="",3キー同時!$G$240=""),"",IF(3キー同時!AL250="","",SUBSTITUTE(SUBSTITUTE(3キー同時!AL250," ",""),"　","")))</f>
        <v/>
      </c>
      <c r="H2450" s="2" t="str">
        <f aca="false">IF($G2450="","",3キー同時!$B$240)</f>
        <v/>
      </c>
      <c r="I2450" s="2" t="str">
        <f aca="false">IF($G2450="","",3キー同時!$G$240)</f>
        <v/>
      </c>
      <c r="J2450" s="2" t="str">
        <f aca="false">IF($G2450="","","henkan")</f>
        <v/>
      </c>
      <c r="K2450" s="2" t="str">
        <f aca="false">""</f>
        <v/>
      </c>
      <c r="L2450" s="2" t="str">
        <f aca="false">IF($G2450="","","同時")</f>
        <v/>
      </c>
      <c r="M2450" s="2" t="str">
        <f aca="false">IF($G2450="","",IF(ISNA(MATCH($G2450,個別指定!$A:$A,0)),"行なし",""))</f>
        <v/>
      </c>
      <c r="N2450" s="2" t="str">
        <f aca="false">IF($G2450="","",IF(COUNTIF($G$2:$G$4460,$G2450)&gt;1,"重複",""))</f>
        <v/>
      </c>
    </row>
    <row r="2451" customFormat="false" ht="16.5" hidden="false" customHeight="true" outlineLevel="0" collapsed="false">
      <c r="A2451" s="2" t="s">
        <v>416</v>
      </c>
      <c r="B2451" s="2" t="s">
        <v>435</v>
      </c>
      <c r="C2451" s="2" t="s">
        <v>46</v>
      </c>
      <c r="D2451" s="2" t="str">
        <f aca="false">IF(3キー同時!$B$240="","",3キー同時!$B$240)</f>
        <v>j</v>
      </c>
      <c r="E2451" s="2" t="str">
        <f aca="false">IF(3キー同時!$G$240="","",3キー同時!$G$240)</f>
        <v>k</v>
      </c>
      <c r="F2451" s="2" t="str">
        <f aca="false">""</f>
        <v/>
      </c>
      <c r="G2451" s="2" t="str">
        <f aca="false">IF(OR(3キー同時!$B$240="",3キー同時!$G$240=""),"",IF(3キー同時!AP250="","",SUBSTITUTE(SUBSTITUTE(3キー同時!AP250," ",""),"　","")))</f>
        <v/>
      </c>
      <c r="H2451" s="2" t="str">
        <f aca="false">IF($G2451="","",3キー同時!$B$240)</f>
        <v/>
      </c>
      <c r="I2451" s="2" t="str">
        <f aca="false">IF($G2451="","",3キー同時!$G$240)</f>
        <v/>
      </c>
      <c r="J2451" s="2" t="str">
        <f aca="false">IF($G2451="","","kana")</f>
        <v/>
      </c>
      <c r="K2451" s="2" t="str">
        <f aca="false">""</f>
        <v/>
      </c>
      <c r="L2451" s="2" t="str">
        <f aca="false">IF($G2451="","","同時")</f>
        <v/>
      </c>
      <c r="M2451" s="2" t="str">
        <f aca="false">IF($G2451="","",IF(ISNA(MATCH($G2451,個別指定!$A:$A,0)),"行なし",""))</f>
        <v/>
      </c>
      <c r="N2451" s="2" t="str">
        <f aca="false">IF($G2451="","",IF(COUNTIF($G$2:$G$4460,$G2451)&gt;1,"重複",""))</f>
        <v/>
      </c>
    </row>
    <row r="2452" customFormat="false" ht="16.5" hidden="false" customHeight="true" outlineLevel="0" collapsed="false">
      <c r="A2452" s="2" t="s">
        <v>416</v>
      </c>
      <c r="B2452" s="2" t="s">
        <v>436</v>
      </c>
      <c r="C2452" s="2" t="s">
        <v>0</v>
      </c>
      <c r="D2452" s="2" t="str">
        <f aca="false">IF(3キー同時!$B$253="","",3キー同時!$B$253)</f>
        <v>j</v>
      </c>
      <c r="E2452" s="2" t="str">
        <f aca="false">IF(3キー同時!$G$253="","",3キー同時!$G$253)</f>
        <v>p</v>
      </c>
      <c r="F2452" s="2" t="str">
        <f aca="false">""</f>
        <v/>
      </c>
      <c r="G2452" s="2" t="str">
        <f aca="false">IF(OR(3キー同時!$B$253="",3キー同時!$G$253=""),"",IF(3キー同時!F255="","",SUBSTITUTE(SUBSTITUTE(3キー同時!F255," ",""),"　","")))</f>
        <v/>
      </c>
      <c r="H2452" s="2" t="str">
        <f aca="false">IF($G2452="","",3キー同時!$B$253)</f>
        <v/>
      </c>
      <c r="I2452" s="2" t="str">
        <f aca="false">IF($G2452="","",3キー同時!$G$253)</f>
        <v/>
      </c>
      <c r="J2452" s="2" t="str">
        <f aca="false">IF($G2452="","","1")</f>
        <v/>
      </c>
      <c r="K2452" s="2" t="str">
        <f aca="false">""</f>
        <v/>
      </c>
      <c r="L2452" s="2" t="str">
        <f aca="false">IF($G2452="","","同時")</f>
        <v/>
      </c>
      <c r="M2452" s="2" t="str">
        <f aca="false">IF($G2452="","",IF(ISNA(MATCH($G2452,個別指定!$A:$A,0)),"行なし",""))</f>
        <v/>
      </c>
      <c r="N2452" s="2" t="str">
        <f aca="false">IF($G2452="","",IF(COUNTIF($G$2:$G$4460,$G2452)&gt;1,"重複",""))</f>
        <v/>
      </c>
    </row>
    <row r="2453" customFormat="false" ht="16.5" hidden="false" customHeight="true" outlineLevel="0" collapsed="false">
      <c r="A2453" s="2" t="s">
        <v>416</v>
      </c>
      <c r="B2453" s="2" t="s">
        <v>436</v>
      </c>
      <c r="C2453" s="2" t="s">
        <v>1</v>
      </c>
      <c r="D2453" s="2" t="str">
        <f aca="false">IF(3キー同時!$B$253="","",3キー同時!$B$253)</f>
        <v>j</v>
      </c>
      <c r="E2453" s="2" t="str">
        <f aca="false">IF(3キー同時!$G$253="","",3キー同時!$G$253)</f>
        <v>p</v>
      </c>
      <c r="F2453" s="2" t="str">
        <f aca="false">""</f>
        <v/>
      </c>
      <c r="G2453" s="2" t="str">
        <f aca="false">IF(OR(3キー同時!$B$253="",3キー同時!$G$253=""),"",IF(3キー同時!J255="","",SUBSTITUTE(SUBSTITUTE(3キー同時!J255," ",""),"　","")))</f>
        <v/>
      </c>
      <c r="H2453" s="2" t="str">
        <f aca="false">IF($G2453="","",3キー同時!$B$253)</f>
        <v/>
      </c>
      <c r="I2453" s="2" t="str">
        <f aca="false">IF($G2453="","",3キー同時!$G$253)</f>
        <v/>
      </c>
      <c r="J2453" s="2" t="str">
        <f aca="false">IF($G2453="","","2")</f>
        <v/>
      </c>
      <c r="K2453" s="2" t="str">
        <f aca="false">""</f>
        <v/>
      </c>
      <c r="L2453" s="2" t="str">
        <f aca="false">IF($G2453="","","同時")</f>
        <v/>
      </c>
      <c r="M2453" s="2" t="str">
        <f aca="false">IF($G2453="","",IF(ISNA(MATCH($G2453,個別指定!$A:$A,0)),"行なし",""))</f>
        <v/>
      </c>
      <c r="N2453" s="2" t="str">
        <f aca="false">IF($G2453="","",IF(COUNTIF($G$2:$G$4460,$G2453)&gt;1,"重複",""))</f>
        <v/>
      </c>
    </row>
    <row r="2454" customFormat="false" ht="16.5" hidden="false" customHeight="true" outlineLevel="0" collapsed="false">
      <c r="A2454" s="2" t="s">
        <v>416</v>
      </c>
      <c r="B2454" s="2" t="s">
        <v>436</v>
      </c>
      <c r="C2454" s="2" t="s">
        <v>2</v>
      </c>
      <c r="D2454" s="2" t="str">
        <f aca="false">IF(3キー同時!$B$253="","",3キー同時!$B$253)</f>
        <v>j</v>
      </c>
      <c r="E2454" s="2" t="str">
        <f aca="false">IF(3キー同時!$G$253="","",3キー同時!$G$253)</f>
        <v>p</v>
      </c>
      <c r="F2454" s="2" t="str">
        <f aca="false">""</f>
        <v/>
      </c>
      <c r="G2454" s="2" t="str">
        <f aca="false">IF(OR(3キー同時!$B$253="",3キー同時!$G$253=""),"",IF(3キー同時!N255="","",SUBSTITUTE(SUBSTITUTE(3キー同時!N255," ",""),"　","")))</f>
        <v/>
      </c>
      <c r="H2454" s="2" t="str">
        <f aca="false">IF($G2454="","",3キー同時!$B$253)</f>
        <v/>
      </c>
      <c r="I2454" s="2" t="str">
        <f aca="false">IF($G2454="","",3キー同時!$G$253)</f>
        <v/>
      </c>
      <c r="J2454" s="2" t="str">
        <f aca="false">IF($G2454="","","3")</f>
        <v/>
      </c>
      <c r="K2454" s="2" t="str">
        <f aca="false">""</f>
        <v/>
      </c>
      <c r="L2454" s="2" t="str">
        <f aca="false">IF($G2454="","","同時")</f>
        <v/>
      </c>
      <c r="M2454" s="2" t="str">
        <f aca="false">IF($G2454="","",IF(ISNA(MATCH($G2454,個別指定!$A:$A,0)),"行なし",""))</f>
        <v/>
      </c>
      <c r="N2454" s="2" t="str">
        <f aca="false">IF($G2454="","",IF(COUNTIF($G$2:$G$4460,$G2454)&gt;1,"重複",""))</f>
        <v/>
      </c>
    </row>
    <row r="2455" customFormat="false" ht="16.5" hidden="false" customHeight="true" outlineLevel="0" collapsed="false">
      <c r="A2455" s="2" t="s">
        <v>416</v>
      </c>
      <c r="B2455" s="2" t="s">
        <v>436</v>
      </c>
      <c r="C2455" s="2" t="s">
        <v>3</v>
      </c>
      <c r="D2455" s="2" t="str">
        <f aca="false">IF(3キー同時!$B$253="","",3キー同時!$B$253)</f>
        <v>j</v>
      </c>
      <c r="E2455" s="2" t="str">
        <f aca="false">IF(3キー同時!$G$253="","",3キー同時!$G$253)</f>
        <v>p</v>
      </c>
      <c r="F2455" s="2" t="str">
        <f aca="false">""</f>
        <v/>
      </c>
      <c r="G2455" s="2" t="str">
        <f aca="false">IF(OR(3キー同時!$B$253="",3キー同時!$G$253=""),"",IF(3キー同時!R255="","",SUBSTITUTE(SUBSTITUTE(3キー同時!R255," ",""),"　","")))</f>
        <v/>
      </c>
      <c r="H2455" s="2" t="str">
        <f aca="false">IF($G2455="","",3キー同時!$B$253)</f>
        <v/>
      </c>
      <c r="I2455" s="2" t="str">
        <f aca="false">IF($G2455="","",3キー同時!$G$253)</f>
        <v/>
      </c>
      <c r="J2455" s="2" t="str">
        <f aca="false">IF($G2455="","","4")</f>
        <v/>
      </c>
      <c r="K2455" s="2" t="str">
        <f aca="false">""</f>
        <v/>
      </c>
      <c r="L2455" s="2" t="str">
        <f aca="false">IF($G2455="","","同時")</f>
        <v/>
      </c>
      <c r="M2455" s="2" t="str">
        <f aca="false">IF($G2455="","",IF(ISNA(MATCH($G2455,個別指定!$A:$A,0)),"行なし",""))</f>
        <v/>
      </c>
      <c r="N2455" s="2" t="str">
        <f aca="false">IF($G2455="","",IF(COUNTIF($G$2:$G$4460,$G2455)&gt;1,"重複",""))</f>
        <v/>
      </c>
    </row>
    <row r="2456" customFormat="false" ht="16.5" hidden="false" customHeight="true" outlineLevel="0" collapsed="false">
      <c r="A2456" s="2" t="s">
        <v>416</v>
      </c>
      <c r="B2456" s="2" t="s">
        <v>436</v>
      </c>
      <c r="C2456" s="2" t="s">
        <v>4</v>
      </c>
      <c r="D2456" s="2" t="str">
        <f aca="false">IF(3キー同時!$B$253="","",3キー同時!$B$253)</f>
        <v>j</v>
      </c>
      <c r="E2456" s="2" t="str">
        <f aca="false">IF(3キー同時!$G$253="","",3キー同時!$G$253)</f>
        <v>p</v>
      </c>
      <c r="F2456" s="2" t="str">
        <f aca="false">""</f>
        <v/>
      </c>
      <c r="G2456" s="2" t="str">
        <f aca="false">IF(OR(3キー同時!$B$253="",3キー同時!$G$253=""),"",IF(3キー同時!V255="","",SUBSTITUTE(SUBSTITUTE(3キー同時!V255," ",""),"　","")))</f>
        <v/>
      </c>
      <c r="H2456" s="2" t="str">
        <f aca="false">IF($G2456="","",3キー同時!$B$253)</f>
        <v/>
      </c>
      <c r="I2456" s="2" t="str">
        <f aca="false">IF($G2456="","",3キー同時!$G$253)</f>
        <v/>
      </c>
      <c r="J2456" s="2" t="str">
        <f aca="false">IF($G2456="","","5")</f>
        <v/>
      </c>
      <c r="K2456" s="2" t="str">
        <f aca="false">""</f>
        <v/>
      </c>
      <c r="L2456" s="2" t="str">
        <f aca="false">IF($G2456="","","同時")</f>
        <v/>
      </c>
      <c r="M2456" s="2" t="str">
        <f aca="false">IF($G2456="","",IF(ISNA(MATCH($G2456,個別指定!$A:$A,0)),"行なし",""))</f>
        <v/>
      </c>
      <c r="N2456" s="2" t="str">
        <f aca="false">IF($G2456="","",IF(COUNTIF($G$2:$G$4460,$G2456)&gt;1,"重複",""))</f>
        <v/>
      </c>
    </row>
    <row r="2457" customFormat="false" ht="16.5" hidden="false" customHeight="true" outlineLevel="0" collapsed="false">
      <c r="A2457" s="2" t="s">
        <v>416</v>
      </c>
      <c r="B2457" s="2" t="s">
        <v>436</v>
      </c>
      <c r="C2457" s="2" t="s">
        <v>5</v>
      </c>
      <c r="D2457" s="2" t="str">
        <f aca="false">IF(3キー同時!$B$253="","",3キー同時!$B$253)</f>
        <v>j</v>
      </c>
      <c r="E2457" s="2" t="str">
        <f aca="false">IF(3キー同時!$G$253="","",3キー同時!$G$253)</f>
        <v>p</v>
      </c>
      <c r="F2457" s="2" t="str">
        <f aca="false">""</f>
        <v/>
      </c>
      <c r="G2457" s="2" t="str">
        <f aca="false">IF(OR(3キー同時!$B$253="",3キー同時!$G$253=""),"",IF(3キー同時!Z255="","",SUBSTITUTE(SUBSTITUTE(3キー同時!Z255," ",""),"　","")))</f>
        <v/>
      </c>
      <c r="H2457" s="2" t="str">
        <f aca="false">IF($G2457="","",3キー同時!$B$253)</f>
        <v/>
      </c>
      <c r="I2457" s="2" t="str">
        <f aca="false">IF($G2457="","",3キー同時!$G$253)</f>
        <v/>
      </c>
      <c r="J2457" s="2" t="str">
        <f aca="false">IF($G2457="","","6")</f>
        <v/>
      </c>
      <c r="K2457" s="2" t="str">
        <f aca="false">""</f>
        <v/>
      </c>
      <c r="L2457" s="2" t="str">
        <f aca="false">IF($G2457="","","同時")</f>
        <v/>
      </c>
      <c r="M2457" s="2" t="str">
        <f aca="false">IF($G2457="","",IF(ISNA(MATCH($G2457,個別指定!$A:$A,0)),"行なし",""))</f>
        <v/>
      </c>
      <c r="N2457" s="2" t="str">
        <f aca="false">IF($G2457="","",IF(COUNTIF($G$2:$G$4460,$G2457)&gt;1,"重複",""))</f>
        <v/>
      </c>
    </row>
    <row r="2458" customFormat="false" ht="16.5" hidden="false" customHeight="true" outlineLevel="0" collapsed="false">
      <c r="A2458" s="2" t="s">
        <v>416</v>
      </c>
      <c r="B2458" s="2" t="s">
        <v>436</v>
      </c>
      <c r="C2458" s="2" t="s">
        <v>6</v>
      </c>
      <c r="D2458" s="2" t="str">
        <f aca="false">IF(3キー同時!$B$253="","",3キー同時!$B$253)</f>
        <v>j</v>
      </c>
      <c r="E2458" s="2" t="str">
        <f aca="false">IF(3キー同時!$G$253="","",3キー同時!$G$253)</f>
        <v>p</v>
      </c>
      <c r="F2458" s="2" t="str">
        <f aca="false">""</f>
        <v/>
      </c>
      <c r="G2458" s="2" t="str">
        <f aca="false">IF(OR(3キー同時!$B$253="",3キー同時!$G$253=""),"",IF(3キー同時!AD255="","",SUBSTITUTE(SUBSTITUTE(3キー同時!AD255," ",""),"　","")))</f>
        <v/>
      </c>
      <c r="H2458" s="2" t="str">
        <f aca="false">IF($G2458="","",3キー同時!$B$253)</f>
        <v/>
      </c>
      <c r="I2458" s="2" t="str">
        <f aca="false">IF($G2458="","",3キー同時!$G$253)</f>
        <v/>
      </c>
      <c r="J2458" s="2" t="str">
        <f aca="false">IF($G2458="","","7")</f>
        <v/>
      </c>
      <c r="K2458" s="2" t="str">
        <f aca="false">""</f>
        <v/>
      </c>
      <c r="L2458" s="2" t="str">
        <f aca="false">IF($G2458="","","同時")</f>
        <v/>
      </c>
      <c r="M2458" s="2" t="str">
        <f aca="false">IF($G2458="","",IF(ISNA(MATCH($G2458,個別指定!$A:$A,0)),"行なし",""))</f>
        <v/>
      </c>
      <c r="N2458" s="2" t="str">
        <f aca="false">IF($G2458="","",IF(COUNTIF($G$2:$G$4460,$G2458)&gt;1,"重複",""))</f>
        <v/>
      </c>
    </row>
    <row r="2459" customFormat="false" ht="16.5" hidden="false" customHeight="true" outlineLevel="0" collapsed="false">
      <c r="A2459" s="2" t="s">
        <v>416</v>
      </c>
      <c r="B2459" s="2" t="s">
        <v>436</v>
      </c>
      <c r="C2459" s="2" t="s">
        <v>7</v>
      </c>
      <c r="D2459" s="2" t="str">
        <f aca="false">IF(3キー同時!$B$253="","",3キー同時!$B$253)</f>
        <v>j</v>
      </c>
      <c r="E2459" s="2" t="str">
        <f aca="false">IF(3キー同時!$G$253="","",3キー同時!$G$253)</f>
        <v>p</v>
      </c>
      <c r="F2459" s="2" t="str">
        <f aca="false">""</f>
        <v/>
      </c>
      <c r="G2459" s="2" t="str">
        <f aca="false">IF(OR(3キー同時!$B$253="",3キー同時!$G$253=""),"",IF(3キー同時!AH255="","",SUBSTITUTE(SUBSTITUTE(3キー同時!AH255," ",""),"　","")))</f>
        <v/>
      </c>
      <c r="H2459" s="2" t="str">
        <f aca="false">IF($G2459="","",3キー同時!$B$253)</f>
        <v/>
      </c>
      <c r="I2459" s="2" t="str">
        <f aca="false">IF($G2459="","",3キー同時!$G$253)</f>
        <v/>
      </c>
      <c r="J2459" s="2" t="str">
        <f aca="false">IF($G2459="","","8")</f>
        <v/>
      </c>
      <c r="K2459" s="2" t="str">
        <f aca="false">""</f>
        <v/>
      </c>
      <c r="L2459" s="2" t="str">
        <f aca="false">IF($G2459="","","同時")</f>
        <v/>
      </c>
      <c r="M2459" s="2" t="str">
        <f aca="false">IF($G2459="","",IF(ISNA(MATCH($G2459,個別指定!$A:$A,0)),"行なし",""))</f>
        <v/>
      </c>
      <c r="N2459" s="2" t="str">
        <f aca="false">IF($G2459="","",IF(COUNTIF($G$2:$G$4460,$G2459)&gt;1,"重複",""))</f>
        <v/>
      </c>
    </row>
    <row r="2460" customFormat="false" ht="16.5" hidden="false" customHeight="true" outlineLevel="0" collapsed="false">
      <c r="A2460" s="2" t="s">
        <v>416</v>
      </c>
      <c r="B2460" s="2" t="s">
        <v>436</v>
      </c>
      <c r="C2460" s="2" t="s">
        <v>8</v>
      </c>
      <c r="D2460" s="2" t="str">
        <f aca="false">IF(3キー同時!$B$253="","",3キー同時!$B$253)</f>
        <v>j</v>
      </c>
      <c r="E2460" s="2" t="str">
        <f aca="false">IF(3キー同時!$G$253="","",3キー同時!$G$253)</f>
        <v>p</v>
      </c>
      <c r="F2460" s="2" t="str">
        <f aca="false">""</f>
        <v/>
      </c>
      <c r="G2460" s="2" t="str">
        <f aca="false">IF(OR(3キー同時!$B$253="",3キー同時!$G$253=""),"",IF(3キー同時!AL255="","",SUBSTITUTE(SUBSTITUTE(3キー同時!AL255," ",""),"　","")))</f>
        <v/>
      </c>
      <c r="H2460" s="2" t="str">
        <f aca="false">IF($G2460="","",3キー同時!$B$253)</f>
        <v/>
      </c>
      <c r="I2460" s="2" t="str">
        <f aca="false">IF($G2460="","",3キー同時!$G$253)</f>
        <v/>
      </c>
      <c r="J2460" s="2" t="str">
        <f aca="false">IF($G2460="","","9")</f>
        <v/>
      </c>
      <c r="K2460" s="2" t="str">
        <f aca="false">""</f>
        <v/>
      </c>
      <c r="L2460" s="2" t="str">
        <f aca="false">IF($G2460="","","同時")</f>
        <v/>
      </c>
      <c r="M2460" s="2" t="str">
        <f aca="false">IF($G2460="","",IF(ISNA(MATCH($G2460,個別指定!$A:$A,0)),"行なし",""))</f>
        <v/>
      </c>
      <c r="N2460" s="2" t="str">
        <f aca="false">IF($G2460="","",IF(COUNTIF($G$2:$G$4460,$G2460)&gt;1,"重複",""))</f>
        <v/>
      </c>
    </row>
    <row r="2461" customFormat="false" ht="16.5" hidden="false" customHeight="true" outlineLevel="0" collapsed="false">
      <c r="A2461" s="2" t="s">
        <v>416</v>
      </c>
      <c r="B2461" s="2" t="s">
        <v>436</v>
      </c>
      <c r="C2461" s="2" t="s">
        <v>9</v>
      </c>
      <c r="D2461" s="2" t="str">
        <f aca="false">IF(3キー同時!$B$253="","",3キー同時!$B$253)</f>
        <v>j</v>
      </c>
      <c r="E2461" s="2" t="str">
        <f aca="false">IF(3キー同時!$G$253="","",3キー同時!$G$253)</f>
        <v>p</v>
      </c>
      <c r="F2461" s="2" t="str">
        <f aca="false">""</f>
        <v/>
      </c>
      <c r="G2461" s="2" t="str">
        <f aca="false">IF(OR(3キー同時!$B$253="",3キー同時!$G$253=""),"",IF(3キー同時!AP255="","",SUBSTITUTE(SUBSTITUTE(3キー同時!AP255," ",""),"　","")))</f>
        <v/>
      </c>
      <c r="H2461" s="2" t="str">
        <f aca="false">IF($G2461="","",3キー同時!$B$253)</f>
        <v/>
      </c>
      <c r="I2461" s="2" t="str">
        <f aca="false">IF($G2461="","",3キー同時!$G$253)</f>
        <v/>
      </c>
      <c r="J2461" s="2" t="str">
        <f aca="false">IF($G2461="","","0")</f>
        <v/>
      </c>
      <c r="K2461" s="2" t="str">
        <f aca="false">""</f>
        <v/>
      </c>
      <c r="L2461" s="2" t="str">
        <f aca="false">IF($G2461="","","同時")</f>
        <v/>
      </c>
      <c r="M2461" s="2" t="str">
        <f aca="false">IF($G2461="","",IF(ISNA(MATCH($G2461,個別指定!$A:$A,0)),"行なし",""))</f>
        <v/>
      </c>
      <c r="N2461" s="2" t="str">
        <f aca="false">IF($G2461="","",IF(COUNTIF($G$2:$G$4460,$G2461)&gt;1,"重複",""))</f>
        <v/>
      </c>
    </row>
    <row r="2462" customFormat="false" ht="16.5" hidden="false" customHeight="true" outlineLevel="0" collapsed="false">
      <c r="A2462" s="2" t="s">
        <v>416</v>
      </c>
      <c r="B2462" s="2" t="s">
        <v>436</v>
      </c>
      <c r="C2462" s="2" t="s">
        <v>10</v>
      </c>
      <c r="D2462" s="2" t="str">
        <f aca="false">IF(3キー同時!$B$253="","",3キー同時!$B$253)</f>
        <v>j</v>
      </c>
      <c r="E2462" s="2" t="str">
        <f aca="false">IF(3キー同時!$G$253="","",3キー同時!$G$253)</f>
        <v>p</v>
      </c>
      <c r="F2462" s="2" t="str">
        <f aca="false">""</f>
        <v/>
      </c>
      <c r="G2462" s="2" t="str">
        <f aca="false">IF(OR(3キー同時!$B$253="",3キー同時!$G$253=""),"",IF(3キー同時!AT255="","",SUBSTITUTE(SUBSTITUTE(3キー同時!AT255," ",""),"　","")))</f>
        <v/>
      </c>
      <c r="H2462" s="2" t="str">
        <f aca="false">IF($G2462="","",3キー同時!$B$253)</f>
        <v/>
      </c>
      <c r="I2462" s="2" t="str">
        <f aca="false">IF($G2462="","",3キー同時!$G$253)</f>
        <v/>
      </c>
      <c r="J2462" s="2" t="str">
        <f aca="false">IF($G2462="","","-")</f>
        <v/>
      </c>
      <c r="K2462" s="2" t="str">
        <f aca="false">""</f>
        <v/>
      </c>
      <c r="L2462" s="2" t="str">
        <f aca="false">IF($G2462="","","同時")</f>
        <v/>
      </c>
      <c r="M2462" s="2" t="str">
        <f aca="false">IF($G2462="","",IF(ISNA(MATCH($G2462,個別指定!$A:$A,0)),"行なし",""))</f>
        <v/>
      </c>
      <c r="N2462" s="2" t="str">
        <f aca="false">IF($G2462="","",IF(COUNTIF($G$2:$G$4460,$G2462)&gt;1,"重複",""))</f>
        <v/>
      </c>
    </row>
    <row r="2463" customFormat="false" ht="16.5" hidden="false" customHeight="true" outlineLevel="0" collapsed="false">
      <c r="A2463" s="2" t="s">
        <v>416</v>
      </c>
      <c r="B2463" s="2" t="s">
        <v>436</v>
      </c>
      <c r="C2463" s="2" t="s">
        <v>11</v>
      </c>
      <c r="D2463" s="2" t="str">
        <f aca="false">IF(3キー同時!$B$253="","",3キー同時!$B$253)</f>
        <v>j</v>
      </c>
      <c r="E2463" s="2" t="str">
        <f aca="false">IF(3キー同時!$G$253="","",3キー同時!$G$253)</f>
        <v>p</v>
      </c>
      <c r="F2463" s="2" t="str">
        <f aca="false">""</f>
        <v/>
      </c>
      <c r="G2463" s="2" t="str">
        <f aca="false">IF(OR(3キー同時!$B$253="",3キー同時!$G$253=""),"",IF(3キー同時!AX255="","",SUBSTITUTE(SUBSTITUTE(3キー同時!AX255," ",""),"　","")))</f>
        <v/>
      </c>
      <c r="H2463" s="2" t="str">
        <f aca="false">IF($G2463="","",3キー同時!$B$253)</f>
        <v/>
      </c>
      <c r="I2463" s="2" t="str">
        <f aca="false">IF($G2463="","",3キー同時!$G$253)</f>
        <v/>
      </c>
      <c r="J2463" s="2" t="str">
        <f aca="false">IF($G2463="","","=")</f>
        <v/>
      </c>
      <c r="K2463" s="2" t="str">
        <f aca="false">""</f>
        <v/>
      </c>
      <c r="L2463" s="2" t="str">
        <f aca="false">IF($G2463="","","同時")</f>
        <v/>
      </c>
      <c r="M2463" s="2" t="str">
        <f aca="false">IF($G2463="","",IF(ISNA(MATCH($G2463,個別指定!$A:$A,0)),"行なし",""))</f>
        <v/>
      </c>
      <c r="N2463" s="2" t="str">
        <f aca="false">IF($G2463="","",IF(COUNTIF($G$2:$G$4460,$G2463)&gt;1,"重複",""))</f>
        <v/>
      </c>
    </row>
    <row r="2464" customFormat="false" ht="16.5" hidden="false" customHeight="true" outlineLevel="0" collapsed="false">
      <c r="A2464" s="2" t="s">
        <v>416</v>
      </c>
      <c r="B2464" s="2" t="s">
        <v>436</v>
      </c>
      <c r="C2464" s="2" t="s">
        <v>12</v>
      </c>
      <c r="D2464" s="2" t="str">
        <f aca="false">IF(3キー同時!$B$253="","",3キー同時!$B$253)</f>
        <v>j</v>
      </c>
      <c r="E2464" s="2" t="str">
        <f aca="false">IF(3キー同時!$G$253="","",3キー同時!$G$253)</f>
        <v>p</v>
      </c>
      <c r="F2464" s="2" t="str">
        <f aca="false">""</f>
        <v/>
      </c>
      <c r="G2464" s="2" t="str">
        <f aca="false">IF(OR(3キー同時!$B$253="",3キー同時!$G$253=""),"",IF(3キー同時!H257="","",SUBSTITUTE(SUBSTITUTE(3キー同時!H257," ",""),"　","")))</f>
        <v/>
      </c>
      <c r="H2464" s="2" t="str">
        <f aca="false">IF($G2464="","",3キー同時!$B$253)</f>
        <v/>
      </c>
      <c r="I2464" s="2" t="str">
        <f aca="false">IF($G2464="","",3キー同時!$G$253)</f>
        <v/>
      </c>
      <c r="J2464" s="2" t="str">
        <f aca="false">IF($G2464="","","q")</f>
        <v/>
      </c>
      <c r="K2464" s="2" t="str">
        <f aca="false">""</f>
        <v/>
      </c>
      <c r="L2464" s="2" t="str">
        <f aca="false">IF($G2464="","","同時")</f>
        <v/>
      </c>
      <c r="M2464" s="2" t="str">
        <f aca="false">IF($G2464="","",IF(ISNA(MATCH($G2464,個別指定!$A:$A,0)),"行なし",""))</f>
        <v/>
      </c>
      <c r="N2464" s="2" t="str">
        <f aca="false">IF($G2464="","",IF(COUNTIF($G$2:$G$4460,$G2464)&gt;1,"重複",""))</f>
        <v/>
      </c>
    </row>
    <row r="2465" customFormat="false" ht="16.5" hidden="false" customHeight="true" outlineLevel="0" collapsed="false">
      <c r="A2465" s="2" t="s">
        <v>416</v>
      </c>
      <c r="B2465" s="2" t="s">
        <v>436</v>
      </c>
      <c r="C2465" s="2" t="s">
        <v>13</v>
      </c>
      <c r="D2465" s="2" t="str">
        <f aca="false">IF(3キー同時!$B$253="","",3キー同時!$B$253)</f>
        <v>j</v>
      </c>
      <c r="E2465" s="2" t="str">
        <f aca="false">IF(3キー同時!$G$253="","",3キー同時!$G$253)</f>
        <v>p</v>
      </c>
      <c r="F2465" s="2" t="str">
        <f aca="false">""</f>
        <v/>
      </c>
      <c r="G2465" s="2" t="str">
        <f aca="false">IF(OR(3キー同時!$B$253="",3キー同時!$G$253=""),"",IF(3キー同時!L257="","",SUBSTITUTE(SUBSTITUTE(3キー同時!L257," ",""),"　","")))</f>
        <v/>
      </c>
      <c r="H2465" s="2" t="str">
        <f aca="false">IF($G2465="","",3キー同時!$B$253)</f>
        <v/>
      </c>
      <c r="I2465" s="2" t="str">
        <f aca="false">IF($G2465="","",3キー同時!$G$253)</f>
        <v/>
      </c>
      <c r="J2465" s="2" t="str">
        <f aca="false">IF($G2465="","","w")</f>
        <v/>
      </c>
      <c r="K2465" s="2" t="str">
        <f aca="false">""</f>
        <v/>
      </c>
      <c r="L2465" s="2" t="str">
        <f aca="false">IF($G2465="","","同時")</f>
        <v/>
      </c>
      <c r="M2465" s="2" t="str">
        <f aca="false">IF($G2465="","",IF(ISNA(MATCH($G2465,個別指定!$A:$A,0)),"行なし",""))</f>
        <v/>
      </c>
      <c r="N2465" s="2" t="str">
        <f aca="false">IF($G2465="","",IF(COUNTIF($G$2:$G$4460,$G2465)&gt;1,"重複",""))</f>
        <v/>
      </c>
    </row>
    <row r="2466" customFormat="false" ht="16.5" hidden="false" customHeight="true" outlineLevel="0" collapsed="false">
      <c r="A2466" s="2" t="s">
        <v>416</v>
      </c>
      <c r="B2466" s="2" t="s">
        <v>436</v>
      </c>
      <c r="C2466" s="2" t="s">
        <v>14</v>
      </c>
      <c r="D2466" s="2" t="str">
        <f aca="false">IF(3キー同時!$B$253="","",3キー同時!$B$253)</f>
        <v>j</v>
      </c>
      <c r="E2466" s="2" t="str">
        <f aca="false">IF(3キー同時!$G$253="","",3キー同時!$G$253)</f>
        <v>p</v>
      </c>
      <c r="F2466" s="2" t="str">
        <f aca="false">""</f>
        <v/>
      </c>
      <c r="G2466" s="2" t="str">
        <f aca="false">IF(OR(3キー同時!$B$253="",3キー同時!$G$253=""),"",IF(3キー同時!P257="","",SUBSTITUTE(SUBSTITUTE(3キー同時!P257," ",""),"　","")))</f>
        <v>でゅ</v>
      </c>
      <c r="H2466" s="2" t="str">
        <f aca="false">IF($G2466="","",3キー同時!$B$253)</f>
        <v>j</v>
      </c>
      <c r="I2466" s="2" t="str">
        <f aca="false">IF($G2466="","",3キー同時!$G$253)</f>
        <v>p</v>
      </c>
      <c r="J2466" s="2" t="str">
        <f aca="false">IF($G2466="","","e")</f>
        <v>e</v>
      </c>
      <c r="K2466" s="2" t="str">
        <f aca="false">""</f>
        <v/>
      </c>
      <c r="L2466" s="2" t="str">
        <f aca="false">IF($G2466="","","同時")</f>
        <v>同時</v>
      </c>
      <c r="M2466" s="2" t="str">
        <f aca="false">IF($G2466="","",IF(ISNA(MATCH($G2466,個別指定!$A:$A,0)),"行なし",""))</f>
        <v/>
      </c>
      <c r="N2466" s="2" t="str">
        <f aca="false">IF($G2466="","",IF(COUNTIF($G$2:$G$4460,$G2466)&gt;1,"重複",""))</f>
        <v/>
      </c>
    </row>
    <row r="2467" customFormat="false" ht="16.5" hidden="false" customHeight="true" outlineLevel="0" collapsed="false">
      <c r="A2467" s="2" t="s">
        <v>416</v>
      </c>
      <c r="B2467" s="2" t="s">
        <v>436</v>
      </c>
      <c r="C2467" s="2" t="s">
        <v>15</v>
      </c>
      <c r="D2467" s="2" t="str">
        <f aca="false">IF(3キー同時!$B$253="","",3キー同時!$B$253)</f>
        <v>j</v>
      </c>
      <c r="E2467" s="2" t="str">
        <f aca="false">IF(3キー同時!$G$253="","",3キー同時!$G$253)</f>
        <v>p</v>
      </c>
      <c r="F2467" s="2" t="str">
        <f aca="false">""</f>
        <v/>
      </c>
      <c r="G2467" s="2" t="str">
        <f aca="false">IF(OR(3キー同時!$B$253="",3キー同時!$G$253=""),"",IF(3キー同時!T257="","",SUBSTITUTE(SUBSTITUTE(3キー同時!T257," ",""),"　","")))</f>
        <v/>
      </c>
      <c r="H2467" s="2" t="str">
        <f aca="false">IF($G2467="","",3キー同時!$B$253)</f>
        <v/>
      </c>
      <c r="I2467" s="2" t="str">
        <f aca="false">IF($G2467="","",3キー同時!$G$253)</f>
        <v/>
      </c>
      <c r="J2467" s="2" t="str">
        <f aca="false">IF($G2467="","","r")</f>
        <v/>
      </c>
      <c r="K2467" s="2" t="str">
        <f aca="false">""</f>
        <v/>
      </c>
      <c r="L2467" s="2" t="str">
        <f aca="false">IF($G2467="","","同時")</f>
        <v/>
      </c>
      <c r="M2467" s="2" t="str">
        <f aca="false">IF($G2467="","",IF(ISNA(MATCH($G2467,個別指定!$A:$A,0)),"行なし",""))</f>
        <v/>
      </c>
      <c r="N2467" s="2" t="str">
        <f aca="false">IF($G2467="","",IF(COUNTIF($G$2:$G$4460,$G2467)&gt;1,"重複",""))</f>
        <v/>
      </c>
    </row>
    <row r="2468" customFormat="false" ht="16.5" hidden="false" customHeight="true" outlineLevel="0" collapsed="false">
      <c r="A2468" s="2" t="s">
        <v>416</v>
      </c>
      <c r="B2468" s="2" t="s">
        <v>436</v>
      </c>
      <c r="C2468" s="2" t="s">
        <v>16</v>
      </c>
      <c r="D2468" s="2" t="str">
        <f aca="false">IF(3キー同時!$B$253="","",3キー同時!$B$253)</f>
        <v>j</v>
      </c>
      <c r="E2468" s="2" t="str">
        <f aca="false">IF(3キー同時!$G$253="","",3キー同時!$G$253)</f>
        <v>p</v>
      </c>
      <c r="F2468" s="2" t="str">
        <f aca="false">""</f>
        <v/>
      </c>
      <c r="G2468" s="2" t="str">
        <f aca="false">IF(OR(3キー同時!$B$253="",3キー同時!$G$253=""),"",IF(3キー同時!X257="","",SUBSTITUTE(SUBSTITUTE(3キー同時!X257," ",""),"　","")))</f>
        <v/>
      </c>
      <c r="H2468" s="2" t="str">
        <f aca="false">IF($G2468="","",3キー同時!$B$253)</f>
        <v/>
      </c>
      <c r="I2468" s="2" t="str">
        <f aca="false">IF($G2468="","",3キー同時!$G$253)</f>
        <v/>
      </c>
      <c r="J2468" s="2" t="str">
        <f aca="false">IF($G2468="","","t")</f>
        <v/>
      </c>
      <c r="K2468" s="2" t="str">
        <f aca="false">""</f>
        <v/>
      </c>
      <c r="L2468" s="2" t="str">
        <f aca="false">IF($G2468="","","同時")</f>
        <v/>
      </c>
      <c r="M2468" s="2" t="str">
        <f aca="false">IF($G2468="","",IF(ISNA(MATCH($G2468,個別指定!$A:$A,0)),"行なし",""))</f>
        <v/>
      </c>
      <c r="N2468" s="2" t="str">
        <f aca="false">IF($G2468="","",IF(COUNTIF($G$2:$G$4460,$G2468)&gt;1,"重複",""))</f>
        <v/>
      </c>
    </row>
    <row r="2469" customFormat="false" ht="16.5" hidden="false" customHeight="true" outlineLevel="0" collapsed="false">
      <c r="A2469" s="2" t="s">
        <v>416</v>
      </c>
      <c r="B2469" s="2" t="s">
        <v>436</v>
      </c>
      <c r="C2469" s="2" t="s">
        <v>17</v>
      </c>
      <c r="D2469" s="2" t="str">
        <f aca="false">IF(3キー同時!$B$253="","",3キー同時!$B$253)</f>
        <v>j</v>
      </c>
      <c r="E2469" s="2" t="str">
        <f aca="false">IF(3キー同時!$G$253="","",3キー同時!$G$253)</f>
        <v>p</v>
      </c>
      <c r="F2469" s="2" t="str">
        <f aca="false">""</f>
        <v/>
      </c>
      <c r="G2469" s="2" t="str">
        <f aca="false">IF(OR(3キー同時!$B$253="",3キー同時!$G$253=""),"",IF(3キー同時!AB257="","",SUBSTITUTE(SUBSTITUTE(3キー同時!AB257," ",""),"　","")))</f>
        <v/>
      </c>
      <c r="H2469" s="2" t="str">
        <f aca="false">IF($G2469="","",3キー同時!$B$253)</f>
        <v/>
      </c>
      <c r="I2469" s="2" t="str">
        <f aca="false">IF($G2469="","",3キー同時!$G$253)</f>
        <v/>
      </c>
      <c r="J2469" s="2" t="str">
        <f aca="false">IF($G2469="","","y")</f>
        <v/>
      </c>
      <c r="K2469" s="2" t="str">
        <f aca="false">""</f>
        <v/>
      </c>
      <c r="L2469" s="2" t="str">
        <f aca="false">IF($G2469="","","同時")</f>
        <v/>
      </c>
      <c r="M2469" s="2" t="str">
        <f aca="false">IF($G2469="","",IF(ISNA(MATCH($G2469,個別指定!$A:$A,0)),"行なし",""))</f>
        <v/>
      </c>
      <c r="N2469" s="2" t="str">
        <f aca="false">IF($G2469="","",IF(COUNTIF($G$2:$G$4460,$G2469)&gt;1,"重複",""))</f>
        <v/>
      </c>
    </row>
    <row r="2470" customFormat="false" ht="16.5" hidden="false" customHeight="true" outlineLevel="0" collapsed="false">
      <c r="A2470" s="2" t="s">
        <v>416</v>
      </c>
      <c r="B2470" s="2" t="s">
        <v>436</v>
      </c>
      <c r="C2470" s="2" t="s">
        <v>18</v>
      </c>
      <c r="D2470" s="2" t="str">
        <f aca="false">IF(3キー同時!$B$253="","",3キー同時!$B$253)</f>
        <v>j</v>
      </c>
      <c r="E2470" s="2" t="str">
        <f aca="false">IF(3キー同時!$G$253="","",3キー同時!$G$253)</f>
        <v>p</v>
      </c>
      <c r="F2470" s="2" t="str">
        <f aca="false">""</f>
        <v/>
      </c>
      <c r="G2470" s="2" t="str">
        <f aca="false">IF(OR(3キー同時!$B$253="",3キー同時!$G$253=""),"",IF(3キー同時!AF257="","",SUBSTITUTE(SUBSTITUTE(3キー同時!AF257," ",""),"　","")))</f>
        <v/>
      </c>
      <c r="H2470" s="2" t="str">
        <f aca="false">IF($G2470="","",3キー同時!$B$253)</f>
        <v/>
      </c>
      <c r="I2470" s="2" t="str">
        <f aca="false">IF($G2470="","",3キー同時!$G$253)</f>
        <v/>
      </c>
      <c r="J2470" s="2" t="str">
        <f aca="false">IF($G2470="","","u")</f>
        <v/>
      </c>
      <c r="K2470" s="2" t="str">
        <f aca="false">""</f>
        <v/>
      </c>
      <c r="L2470" s="2" t="str">
        <f aca="false">IF($G2470="","","同時")</f>
        <v/>
      </c>
      <c r="M2470" s="2" t="str">
        <f aca="false">IF($G2470="","",IF(ISNA(MATCH($G2470,個別指定!$A:$A,0)),"行なし",""))</f>
        <v/>
      </c>
      <c r="N2470" s="2" t="str">
        <f aca="false">IF($G2470="","",IF(COUNTIF($G$2:$G$4460,$G2470)&gt;1,"重複",""))</f>
        <v/>
      </c>
    </row>
    <row r="2471" customFormat="false" ht="16.5" hidden="false" customHeight="true" outlineLevel="0" collapsed="false">
      <c r="A2471" s="2" t="s">
        <v>416</v>
      </c>
      <c r="B2471" s="2" t="s">
        <v>436</v>
      </c>
      <c r="C2471" s="2" t="s">
        <v>19</v>
      </c>
      <c r="D2471" s="2" t="str">
        <f aca="false">IF(3キー同時!$B$253="","",3キー同時!$B$253)</f>
        <v>j</v>
      </c>
      <c r="E2471" s="2" t="str">
        <f aca="false">IF(3キー同時!$G$253="","",3キー同時!$G$253)</f>
        <v>p</v>
      </c>
      <c r="F2471" s="2" t="str">
        <f aca="false">""</f>
        <v/>
      </c>
      <c r="G2471" s="2" t="str">
        <f aca="false">IF(OR(3キー同時!$B$253="",3キー同時!$G$253=""),"",IF(3キー同時!AJ257="","",SUBSTITUTE(SUBSTITUTE(3キー同時!AJ257," ",""),"　","")))</f>
        <v/>
      </c>
      <c r="H2471" s="2" t="str">
        <f aca="false">IF($G2471="","",3キー同時!$B$253)</f>
        <v/>
      </c>
      <c r="I2471" s="2" t="str">
        <f aca="false">IF($G2471="","",3キー同時!$G$253)</f>
        <v/>
      </c>
      <c r="J2471" s="2" t="str">
        <f aca="false">IF($G2471="","","i")</f>
        <v/>
      </c>
      <c r="K2471" s="2" t="str">
        <f aca="false">""</f>
        <v/>
      </c>
      <c r="L2471" s="2" t="str">
        <f aca="false">IF($G2471="","","同時")</f>
        <v/>
      </c>
      <c r="M2471" s="2" t="str">
        <f aca="false">IF($G2471="","",IF(ISNA(MATCH($G2471,個別指定!$A:$A,0)),"行なし",""))</f>
        <v/>
      </c>
      <c r="N2471" s="2" t="str">
        <f aca="false">IF($G2471="","",IF(COUNTIF($G$2:$G$4460,$G2471)&gt;1,"重複",""))</f>
        <v/>
      </c>
    </row>
    <row r="2472" customFormat="false" ht="16.5" hidden="false" customHeight="true" outlineLevel="0" collapsed="false">
      <c r="A2472" s="2" t="s">
        <v>416</v>
      </c>
      <c r="B2472" s="2" t="s">
        <v>436</v>
      </c>
      <c r="C2472" s="2" t="s">
        <v>20</v>
      </c>
      <c r="D2472" s="2" t="str">
        <f aca="false">IF(3キー同時!$B$253="","",3キー同時!$B$253)</f>
        <v>j</v>
      </c>
      <c r="E2472" s="2" t="str">
        <f aca="false">IF(3キー同時!$G$253="","",3キー同時!$G$253)</f>
        <v>p</v>
      </c>
      <c r="F2472" s="2" t="str">
        <f aca="false">""</f>
        <v/>
      </c>
      <c r="G2472" s="2" t="str">
        <f aca="false">IF(OR(3キー同時!$B$253="",3キー同時!$G$253=""),"",IF(3キー同時!AN257="","",SUBSTITUTE(SUBSTITUTE(3キー同時!AN257," ",""),"　","")))</f>
        <v/>
      </c>
      <c r="H2472" s="2" t="str">
        <f aca="false">IF($G2472="","",3キー同時!$B$253)</f>
        <v/>
      </c>
      <c r="I2472" s="2" t="str">
        <f aca="false">IF($G2472="","",3キー同時!$G$253)</f>
        <v/>
      </c>
      <c r="J2472" s="2" t="str">
        <f aca="false">IF($G2472="","","o")</f>
        <v/>
      </c>
      <c r="K2472" s="2" t="str">
        <f aca="false">""</f>
        <v/>
      </c>
      <c r="L2472" s="2" t="str">
        <f aca="false">IF($G2472="","","同時")</f>
        <v/>
      </c>
      <c r="M2472" s="2" t="str">
        <f aca="false">IF($G2472="","",IF(ISNA(MATCH($G2472,個別指定!$A:$A,0)),"行なし",""))</f>
        <v/>
      </c>
      <c r="N2472" s="2" t="str">
        <f aca="false">IF($G2472="","",IF(COUNTIF($G$2:$G$4460,$G2472)&gt;1,"重複",""))</f>
        <v/>
      </c>
    </row>
    <row r="2473" customFormat="false" ht="16.5" hidden="false" customHeight="true" outlineLevel="0" collapsed="false">
      <c r="A2473" s="2" t="s">
        <v>416</v>
      </c>
      <c r="B2473" s="2" t="s">
        <v>436</v>
      </c>
      <c r="C2473" s="2" t="s">
        <v>21</v>
      </c>
      <c r="D2473" s="2" t="str">
        <f aca="false">IF(3キー同時!$B$253="","",3キー同時!$B$253)</f>
        <v>j</v>
      </c>
      <c r="E2473" s="2" t="str">
        <f aca="false">IF(3キー同時!$G$253="","",3キー同時!$G$253)</f>
        <v>p</v>
      </c>
      <c r="F2473" s="2" t="str">
        <f aca="false">""</f>
        <v/>
      </c>
      <c r="G2473" s="2" t="str">
        <f aca="false">IF(OR(3キー同時!$B$253="",3キー同時!$G$253=""),"",IF(3キー同時!AR257="","",SUBSTITUTE(SUBSTITUTE(3キー同時!AR257," ",""),"　","")))</f>
        <v/>
      </c>
      <c r="H2473" s="2" t="str">
        <f aca="false">IF($G2473="","",3キー同時!$B$253)</f>
        <v/>
      </c>
      <c r="I2473" s="2" t="str">
        <f aca="false">IF($G2473="","",3キー同時!$G$253)</f>
        <v/>
      </c>
      <c r="J2473" s="2" t="str">
        <f aca="false">IF($G2473="","","p")</f>
        <v/>
      </c>
      <c r="K2473" s="2" t="str">
        <f aca="false">""</f>
        <v/>
      </c>
      <c r="L2473" s="2" t="str">
        <f aca="false">IF($G2473="","","同時")</f>
        <v/>
      </c>
      <c r="M2473" s="2" t="str">
        <f aca="false">IF($G2473="","",IF(ISNA(MATCH($G2473,個別指定!$A:$A,0)),"行なし",""))</f>
        <v/>
      </c>
      <c r="N2473" s="2" t="str">
        <f aca="false">IF($G2473="","",IF(COUNTIF($G$2:$G$4460,$G2473)&gt;1,"重複",""))</f>
        <v/>
      </c>
    </row>
    <row r="2474" customFormat="false" ht="16.5" hidden="false" customHeight="true" outlineLevel="0" collapsed="false">
      <c r="A2474" s="2" t="s">
        <v>416</v>
      </c>
      <c r="B2474" s="2" t="s">
        <v>436</v>
      </c>
      <c r="C2474" s="2" t="s">
        <v>22</v>
      </c>
      <c r="D2474" s="2" t="str">
        <f aca="false">IF(3キー同時!$B$253="","",3キー同時!$B$253)</f>
        <v>j</v>
      </c>
      <c r="E2474" s="2" t="str">
        <f aca="false">IF(3キー同時!$G$253="","",3キー同時!$G$253)</f>
        <v>p</v>
      </c>
      <c r="F2474" s="2" t="str">
        <f aca="false">""</f>
        <v/>
      </c>
      <c r="G2474" s="2" t="str">
        <f aca="false">IF(OR(3キー同時!$B$253="",3キー同時!$G$253=""),"",IF(3キー同時!AV257="","",SUBSTITUTE(SUBSTITUTE(3キー同時!AV257," ",""),"　","")))</f>
        <v/>
      </c>
      <c r="H2474" s="2" t="str">
        <f aca="false">IF($G2474="","",3キー同時!$B$253)</f>
        <v/>
      </c>
      <c r="I2474" s="2" t="str">
        <f aca="false">IF($G2474="","",3キー同時!$G$253)</f>
        <v/>
      </c>
      <c r="J2474" s="2" t="str">
        <f aca="false">IF($G2474="","","[")</f>
        <v/>
      </c>
      <c r="K2474" s="2" t="str">
        <f aca="false">""</f>
        <v/>
      </c>
      <c r="L2474" s="2" t="str">
        <f aca="false">IF($G2474="","","同時")</f>
        <v/>
      </c>
      <c r="M2474" s="2" t="str">
        <f aca="false">IF($G2474="","",IF(ISNA(MATCH($G2474,個別指定!$A:$A,0)),"行なし",""))</f>
        <v/>
      </c>
      <c r="N2474" s="2" t="str">
        <f aca="false">IF($G2474="","",IF(COUNTIF($G$2:$G$4460,$G2474)&gt;1,"重複",""))</f>
        <v/>
      </c>
    </row>
    <row r="2475" customFormat="false" ht="16.5" hidden="false" customHeight="true" outlineLevel="0" collapsed="false">
      <c r="A2475" s="2" t="s">
        <v>416</v>
      </c>
      <c r="B2475" s="2" t="s">
        <v>436</v>
      </c>
      <c r="C2475" s="2" t="s">
        <v>23</v>
      </c>
      <c r="D2475" s="2" t="str">
        <f aca="false">IF(3キー同時!$B$253="","",3キー同時!$B$253)</f>
        <v>j</v>
      </c>
      <c r="E2475" s="2" t="str">
        <f aca="false">IF(3キー同時!$G$253="","",3キー同時!$G$253)</f>
        <v>p</v>
      </c>
      <c r="F2475" s="2" t="str">
        <f aca="false">""</f>
        <v/>
      </c>
      <c r="G2475" s="2" t="str">
        <f aca="false">IF(OR(3キー同時!$B$253="",3キー同時!$G$253=""),"",IF(3キー同時!AZ257="","",SUBSTITUTE(SUBSTITUTE(3キー同時!AZ257," ",""),"　","")))</f>
        <v/>
      </c>
      <c r="H2475" s="2" t="str">
        <f aca="false">IF($G2475="","",3キー同時!$B$253)</f>
        <v/>
      </c>
      <c r="I2475" s="2" t="str">
        <f aca="false">IF($G2475="","",3キー同時!$G$253)</f>
        <v/>
      </c>
      <c r="J2475" s="2" t="str">
        <f aca="false">IF($G2475="","","]")</f>
        <v/>
      </c>
      <c r="K2475" s="2" t="str">
        <f aca="false">""</f>
        <v/>
      </c>
      <c r="L2475" s="2" t="str">
        <f aca="false">IF($G2475="","","同時")</f>
        <v/>
      </c>
      <c r="M2475" s="2" t="str">
        <f aca="false">IF($G2475="","",IF(ISNA(MATCH($G2475,個別指定!$A:$A,0)),"行なし",""))</f>
        <v/>
      </c>
      <c r="N2475" s="2" t="str">
        <f aca="false">IF($G2475="","",IF(COUNTIF($G$2:$G$4460,$G2475)&gt;1,"重複",""))</f>
        <v/>
      </c>
    </row>
    <row r="2476" customFormat="false" ht="16.5" hidden="false" customHeight="true" outlineLevel="0" collapsed="false">
      <c r="A2476" s="2" t="s">
        <v>416</v>
      </c>
      <c r="B2476" s="2" t="s">
        <v>436</v>
      </c>
      <c r="C2476" s="2" t="s">
        <v>24</v>
      </c>
      <c r="D2476" s="2" t="str">
        <f aca="false">IF(3キー同時!$B$253="","",3キー同時!$B$253)</f>
        <v>j</v>
      </c>
      <c r="E2476" s="2" t="str">
        <f aca="false">IF(3キー同時!$G$253="","",3キー同時!$G$253)</f>
        <v>p</v>
      </c>
      <c r="F2476" s="2" t="str">
        <f aca="false">""</f>
        <v/>
      </c>
      <c r="G2476" s="2" t="str">
        <f aca="false">IF(OR(3キー同時!$B$253="",3キー同時!$G$253=""),"",IF(3キー同時!I259="","",SUBSTITUTE(SUBSTITUTE(3キー同時!I259," ",""),"　","")))</f>
        <v/>
      </c>
      <c r="H2476" s="2" t="str">
        <f aca="false">IF($G2476="","",3キー同時!$B$253)</f>
        <v/>
      </c>
      <c r="I2476" s="2" t="str">
        <f aca="false">IF($G2476="","",3キー同時!$G$253)</f>
        <v/>
      </c>
      <c r="J2476" s="2" t="str">
        <f aca="false">IF($G2476="","","a")</f>
        <v/>
      </c>
      <c r="K2476" s="2" t="str">
        <f aca="false">""</f>
        <v/>
      </c>
      <c r="L2476" s="2" t="str">
        <f aca="false">IF($G2476="","","同時")</f>
        <v/>
      </c>
      <c r="M2476" s="2" t="str">
        <f aca="false">IF($G2476="","",IF(ISNA(MATCH($G2476,個別指定!$A:$A,0)),"行なし",""))</f>
        <v/>
      </c>
      <c r="N2476" s="2" t="str">
        <f aca="false">IF($G2476="","",IF(COUNTIF($G$2:$G$4460,$G2476)&gt;1,"重複",""))</f>
        <v/>
      </c>
    </row>
    <row r="2477" customFormat="false" ht="16.5" hidden="false" customHeight="true" outlineLevel="0" collapsed="false">
      <c r="A2477" s="2" t="s">
        <v>416</v>
      </c>
      <c r="B2477" s="2" t="s">
        <v>436</v>
      </c>
      <c r="C2477" s="2" t="s">
        <v>25</v>
      </c>
      <c r="D2477" s="2" t="str">
        <f aca="false">IF(3キー同時!$B$253="","",3キー同時!$B$253)</f>
        <v>j</v>
      </c>
      <c r="E2477" s="2" t="str">
        <f aca="false">IF(3キー同時!$G$253="","",3キー同時!$G$253)</f>
        <v>p</v>
      </c>
      <c r="F2477" s="2" t="str">
        <f aca="false">""</f>
        <v/>
      </c>
      <c r="G2477" s="2" t="str">
        <f aca="false">IF(OR(3キー同時!$B$253="",3キー同時!$G$253=""),"",IF(3キー同時!M259="","",SUBSTITUTE(SUBSTITUTE(3キー同時!M259," ",""),"　","")))</f>
        <v/>
      </c>
      <c r="H2477" s="2" t="str">
        <f aca="false">IF($G2477="","",3キー同時!$B$253)</f>
        <v/>
      </c>
      <c r="I2477" s="2" t="str">
        <f aca="false">IF($G2477="","",3キー同時!$G$253)</f>
        <v/>
      </c>
      <c r="J2477" s="2" t="str">
        <f aca="false">IF($G2477="","","s")</f>
        <v/>
      </c>
      <c r="K2477" s="2" t="str">
        <f aca="false">""</f>
        <v/>
      </c>
      <c r="L2477" s="2" t="str">
        <f aca="false">IF($G2477="","","同時")</f>
        <v/>
      </c>
      <c r="M2477" s="2" t="str">
        <f aca="false">IF($G2477="","",IF(ISNA(MATCH($G2477,個別指定!$A:$A,0)),"行なし",""))</f>
        <v/>
      </c>
      <c r="N2477" s="2" t="str">
        <f aca="false">IF($G2477="","",IF(COUNTIF($G$2:$G$4460,$G2477)&gt;1,"重複",""))</f>
        <v/>
      </c>
    </row>
    <row r="2478" customFormat="false" ht="16.5" hidden="false" customHeight="true" outlineLevel="0" collapsed="false">
      <c r="A2478" s="2" t="s">
        <v>416</v>
      </c>
      <c r="B2478" s="2" t="s">
        <v>436</v>
      </c>
      <c r="C2478" s="2" t="s">
        <v>26</v>
      </c>
      <c r="D2478" s="2" t="str">
        <f aca="false">IF(3キー同時!$B$253="","",3キー同時!$B$253)</f>
        <v>j</v>
      </c>
      <c r="E2478" s="2" t="str">
        <f aca="false">IF(3キー同時!$G$253="","",3キー同時!$G$253)</f>
        <v>p</v>
      </c>
      <c r="F2478" s="2" t="str">
        <f aca="false">""</f>
        <v/>
      </c>
      <c r="G2478" s="2" t="str">
        <f aca="false">IF(OR(3キー同時!$B$253="",3キー同時!$G$253=""),"",IF(3キー同時!Q259="","",SUBSTITUTE(SUBSTITUTE(3キー同時!Q259," ",""),"　","")))</f>
        <v/>
      </c>
      <c r="H2478" s="2" t="str">
        <f aca="false">IF($G2478="","",3キー同時!$B$253)</f>
        <v/>
      </c>
      <c r="I2478" s="2" t="str">
        <f aca="false">IF($G2478="","",3キー同時!$G$253)</f>
        <v/>
      </c>
      <c r="J2478" s="2" t="str">
        <f aca="false">IF($G2478="","","d")</f>
        <v/>
      </c>
      <c r="K2478" s="2" t="str">
        <f aca="false">""</f>
        <v/>
      </c>
      <c r="L2478" s="2" t="str">
        <f aca="false">IF($G2478="","","同時")</f>
        <v/>
      </c>
      <c r="M2478" s="2" t="str">
        <f aca="false">IF($G2478="","",IF(ISNA(MATCH($G2478,個別指定!$A:$A,0)),"行なし",""))</f>
        <v/>
      </c>
      <c r="N2478" s="2" t="str">
        <f aca="false">IF($G2478="","",IF(COUNTIF($G$2:$G$4460,$G2478)&gt;1,"重複",""))</f>
        <v/>
      </c>
    </row>
    <row r="2479" customFormat="false" ht="16.5" hidden="false" customHeight="true" outlineLevel="0" collapsed="false">
      <c r="A2479" s="2" t="s">
        <v>416</v>
      </c>
      <c r="B2479" s="2" t="s">
        <v>436</v>
      </c>
      <c r="C2479" s="2" t="s">
        <v>27</v>
      </c>
      <c r="D2479" s="2" t="str">
        <f aca="false">IF(3キー同時!$B$253="","",3キー同時!$B$253)</f>
        <v>j</v>
      </c>
      <c r="E2479" s="2" t="str">
        <f aca="false">IF(3キー同時!$G$253="","",3キー同時!$G$253)</f>
        <v>p</v>
      </c>
      <c r="F2479" s="2" t="str">
        <f aca="false">""</f>
        <v/>
      </c>
      <c r="G2479" s="2" t="str">
        <f aca="false">IF(OR(3キー同時!$B$253="",3キー同時!$G$253=""),"",IF(3キー同時!U259="","",SUBSTITUTE(SUBSTITUTE(3キー同時!U259," ",""),"　","")))</f>
        <v/>
      </c>
      <c r="H2479" s="2" t="str">
        <f aca="false">IF($G2479="","",3キー同時!$B$253)</f>
        <v/>
      </c>
      <c r="I2479" s="2" t="str">
        <f aca="false">IF($G2479="","",3キー同時!$G$253)</f>
        <v/>
      </c>
      <c r="J2479" s="2" t="str">
        <f aca="false">IF($G2479="","","f")</f>
        <v/>
      </c>
      <c r="K2479" s="2" t="str">
        <f aca="false">""</f>
        <v/>
      </c>
      <c r="L2479" s="2" t="str">
        <f aca="false">IF($G2479="","","同時")</f>
        <v/>
      </c>
      <c r="M2479" s="2" t="str">
        <f aca="false">IF($G2479="","",IF(ISNA(MATCH($G2479,個別指定!$A:$A,0)),"行なし",""))</f>
        <v/>
      </c>
      <c r="N2479" s="2" t="str">
        <f aca="false">IF($G2479="","",IF(COUNTIF($G$2:$G$4460,$G2479)&gt;1,"重複",""))</f>
        <v/>
      </c>
    </row>
    <row r="2480" customFormat="false" ht="16.5" hidden="false" customHeight="true" outlineLevel="0" collapsed="false">
      <c r="A2480" s="2" t="s">
        <v>416</v>
      </c>
      <c r="B2480" s="2" t="s">
        <v>436</v>
      </c>
      <c r="C2480" s="2" t="s">
        <v>28</v>
      </c>
      <c r="D2480" s="2" t="str">
        <f aca="false">IF(3キー同時!$B$253="","",3キー同時!$B$253)</f>
        <v>j</v>
      </c>
      <c r="E2480" s="2" t="str">
        <f aca="false">IF(3キー同時!$G$253="","",3キー同時!$G$253)</f>
        <v>p</v>
      </c>
      <c r="F2480" s="2" t="str">
        <f aca="false">""</f>
        <v/>
      </c>
      <c r="G2480" s="2" t="str">
        <f aca="false">IF(OR(3キー同時!$B$253="",3キー同時!$G$253=""),"",IF(3キー同時!Y259="","",SUBSTITUTE(SUBSTITUTE(3キー同時!Y259," ",""),"　","")))</f>
        <v/>
      </c>
      <c r="H2480" s="2" t="str">
        <f aca="false">IF($G2480="","",3キー同時!$B$253)</f>
        <v/>
      </c>
      <c r="I2480" s="2" t="str">
        <f aca="false">IF($G2480="","",3キー同時!$G$253)</f>
        <v/>
      </c>
      <c r="J2480" s="2" t="str">
        <f aca="false">IF($G2480="","","g")</f>
        <v/>
      </c>
      <c r="K2480" s="2" t="str">
        <f aca="false">""</f>
        <v/>
      </c>
      <c r="L2480" s="2" t="str">
        <f aca="false">IF($G2480="","","同時")</f>
        <v/>
      </c>
      <c r="M2480" s="2" t="str">
        <f aca="false">IF($G2480="","",IF(ISNA(MATCH($G2480,個別指定!$A:$A,0)),"行なし",""))</f>
        <v/>
      </c>
      <c r="N2480" s="2" t="str">
        <f aca="false">IF($G2480="","",IF(COUNTIF($G$2:$G$4460,$G2480)&gt;1,"重複",""))</f>
        <v/>
      </c>
    </row>
    <row r="2481" customFormat="false" ht="16.5" hidden="false" customHeight="true" outlineLevel="0" collapsed="false">
      <c r="A2481" s="2" t="s">
        <v>416</v>
      </c>
      <c r="B2481" s="2" t="s">
        <v>436</v>
      </c>
      <c r="C2481" s="2" t="s">
        <v>29</v>
      </c>
      <c r="D2481" s="2" t="str">
        <f aca="false">IF(3キー同時!$B$253="","",3キー同時!$B$253)</f>
        <v>j</v>
      </c>
      <c r="E2481" s="2" t="str">
        <f aca="false">IF(3キー同時!$G$253="","",3キー同時!$G$253)</f>
        <v>p</v>
      </c>
      <c r="F2481" s="2" t="str">
        <f aca="false">""</f>
        <v/>
      </c>
      <c r="G2481" s="2" t="str">
        <f aca="false">IF(OR(3キー同時!$B$253="",3キー同時!$G$253=""),"",IF(3キー同時!AC259="","",SUBSTITUTE(SUBSTITUTE(3キー同時!AC259," ",""),"　","")))</f>
        <v/>
      </c>
      <c r="H2481" s="2" t="str">
        <f aca="false">IF($G2481="","",3キー同時!$B$253)</f>
        <v/>
      </c>
      <c r="I2481" s="2" t="str">
        <f aca="false">IF($G2481="","",3キー同時!$G$253)</f>
        <v/>
      </c>
      <c r="J2481" s="2" t="str">
        <f aca="false">IF($G2481="","","h")</f>
        <v/>
      </c>
      <c r="K2481" s="2" t="str">
        <f aca="false">""</f>
        <v/>
      </c>
      <c r="L2481" s="2" t="str">
        <f aca="false">IF($G2481="","","同時")</f>
        <v/>
      </c>
      <c r="M2481" s="2" t="str">
        <f aca="false">IF($G2481="","",IF(ISNA(MATCH($G2481,個別指定!$A:$A,0)),"行なし",""))</f>
        <v/>
      </c>
      <c r="N2481" s="2" t="str">
        <f aca="false">IF($G2481="","",IF(COUNTIF($G$2:$G$4460,$G2481)&gt;1,"重複",""))</f>
        <v/>
      </c>
    </row>
    <row r="2482" customFormat="false" ht="16.5" hidden="false" customHeight="true" outlineLevel="0" collapsed="false">
      <c r="A2482" s="2" t="s">
        <v>416</v>
      </c>
      <c r="B2482" s="2" t="s">
        <v>436</v>
      </c>
      <c r="C2482" s="2" t="s">
        <v>30</v>
      </c>
      <c r="D2482" s="2" t="str">
        <f aca="false">IF(3キー同時!$B$253="","",3キー同時!$B$253)</f>
        <v>j</v>
      </c>
      <c r="E2482" s="2" t="str">
        <f aca="false">IF(3キー同時!$G$253="","",3キー同時!$G$253)</f>
        <v>p</v>
      </c>
      <c r="F2482" s="2" t="str">
        <f aca="false">""</f>
        <v/>
      </c>
      <c r="G2482" s="2" t="str">
        <f aca="false">IF(OR(3キー同時!$B$253="",3キー同時!$G$253=""),"",IF(3キー同時!AG259="","",SUBSTITUTE(SUBSTITUTE(3キー同時!AG259," ",""),"　","")))</f>
        <v/>
      </c>
      <c r="H2482" s="2" t="str">
        <f aca="false">IF($G2482="","",3キー同時!$B$253)</f>
        <v/>
      </c>
      <c r="I2482" s="2" t="str">
        <f aca="false">IF($G2482="","",3キー同時!$G$253)</f>
        <v/>
      </c>
      <c r="J2482" s="2" t="str">
        <f aca="false">IF($G2482="","","j")</f>
        <v/>
      </c>
      <c r="K2482" s="2" t="str">
        <f aca="false">""</f>
        <v/>
      </c>
      <c r="L2482" s="2" t="str">
        <f aca="false">IF($G2482="","","同時")</f>
        <v/>
      </c>
      <c r="M2482" s="2" t="str">
        <f aca="false">IF($G2482="","",IF(ISNA(MATCH($G2482,個別指定!$A:$A,0)),"行なし",""))</f>
        <v/>
      </c>
      <c r="N2482" s="2" t="str">
        <f aca="false">IF($G2482="","",IF(COUNTIF($G$2:$G$4460,$G2482)&gt;1,"重複",""))</f>
        <v/>
      </c>
    </row>
    <row r="2483" customFormat="false" ht="16.5" hidden="false" customHeight="true" outlineLevel="0" collapsed="false">
      <c r="A2483" s="2" t="s">
        <v>416</v>
      </c>
      <c r="B2483" s="2" t="s">
        <v>436</v>
      </c>
      <c r="C2483" s="2" t="s">
        <v>31</v>
      </c>
      <c r="D2483" s="2" t="str">
        <f aca="false">IF(3キー同時!$B$253="","",3キー同時!$B$253)</f>
        <v>j</v>
      </c>
      <c r="E2483" s="2" t="str">
        <f aca="false">IF(3キー同時!$G$253="","",3キー同時!$G$253)</f>
        <v>p</v>
      </c>
      <c r="F2483" s="2" t="str">
        <f aca="false">""</f>
        <v/>
      </c>
      <c r="G2483" s="2" t="str">
        <f aca="false">IF(OR(3キー同時!$B$253="",3キー同時!$G$253=""),"",IF(3キー同時!AK259="","",SUBSTITUTE(SUBSTITUTE(3キー同時!AK259," ",""),"　","")))</f>
        <v/>
      </c>
      <c r="H2483" s="2" t="str">
        <f aca="false">IF($G2483="","",3キー同時!$B$253)</f>
        <v/>
      </c>
      <c r="I2483" s="2" t="str">
        <f aca="false">IF($G2483="","",3キー同時!$G$253)</f>
        <v/>
      </c>
      <c r="J2483" s="2" t="str">
        <f aca="false">IF($G2483="","","k")</f>
        <v/>
      </c>
      <c r="K2483" s="2" t="str">
        <f aca="false">""</f>
        <v/>
      </c>
      <c r="L2483" s="2" t="str">
        <f aca="false">IF($G2483="","","同時")</f>
        <v/>
      </c>
      <c r="M2483" s="2" t="str">
        <f aca="false">IF($G2483="","",IF(ISNA(MATCH($G2483,個別指定!$A:$A,0)),"行なし",""))</f>
        <v/>
      </c>
      <c r="N2483" s="2" t="str">
        <f aca="false">IF($G2483="","",IF(COUNTIF($G$2:$G$4460,$G2483)&gt;1,"重複",""))</f>
        <v/>
      </c>
    </row>
    <row r="2484" customFormat="false" ht="16.5" hidden="false" customHeight="true" outlineLevel="0" collapsed="false">
      <c r="A2484" s="2" t="s">
        <v>416</v>
      </c>
      <c r="B2484" s="2" t="s">
        <v>436</v>
      </c>
      <c r="C2484" s="2" t="s">
        <v>32</v>
      </c>
      <c r="D2484" s="2" t="str">
        <f aca="false">IF(3キー同時!$B$253="","",3キー同時!$B$253)</f>
        <v>j</v>
      </c>
      <c r="E2484" s="2" t="str">
        <f aca="false">IF(3キー同時!$G$253="","",3キー同時!$G$253)</f>
        <v>p</v>
      </c>
      <c r="F2484" s="2" t="str">
        <f aca="false">""</f>
        <v/>
      </c>
      <c r="G2484" s="2" t="str">
        <f aca="false">IF(OR(3キー同時!$B$253="",3キー同時!$G$253=""),"",IF(3キー同時!AO259="","",SUBSTITUTE(SUBSTITUTE(3キー同時!AO259," ",""),"　","")))</f>
        <v/>
      </c>
      <c r="H2484" s="2" t="str">
        <f aca="false">IF($G2484="","",3キー同時!$B$253)</f>
        <v/>
      </c>
      <c r="I2484" s="2" t="str">
        <f aca="false">IF($G2484="","",3キー同時!$G$253)</f>
        <v/>
      </c>
      <c r="J2484" s="2" t="str">
        <f aca="false">IF($G2484="","","l")</f>
        <v/>
      </c>
      <c r="K2484" s="2" t="str">
        <f aca="false">""</f>
        <v/>
      </c>
      <c r="L2484" s="2" t="str">
        <f aca="false">IF($G2484="","","同時")</f>
        <v/>
      </c>
      <c r="M2484" s="2" t="str">
        <f aca="false">IF($G2484="","",IF(ISNA(MATCH($G2484,個別指定!$A:$A,0)),"行なし",""))</f>
        <v/>
      </c>
      <c r="N2484" s="2" t="str">
        <f aca="false">IF($G2484="","",IF(COUNTIF($G$2:$G$4460,$G2484)&gt;1,"重複",""))</f>
        <v/>
      </c>
    </row>
    <row r="2485" customFormat="false" ht="16.5" hidden="false" customHeight="true" outlineLevel="0" collapsed="false">
      <c r="A2485" s="2" t="s">
        <v>416</v>
      </c>
      <c r="B2485" s="2" t="s">
        <v>436</v>
      </c>
      <c r="C2485" s="2" t="s">
        <v>33</v>
      </c>
      <c r="D2485" s="2" t="str">
        <f aca="false">IF(3キー同時!$B$253="","",3キー同時!$B$253)</f>
        <v>j</v>
      </c>
      <c r="E2485" s="2" t="str">
        <f aca="false">IF(3キー同時!$G$253="","",3キー同時!$G$253)</f>
        <v>p</v>
      </c>
      <c r="F2485" s="2" t="str">
        <f aca="false">""</f>
        <v/>
      </c>
      <c r="G2485" s="2" t="str">
        <f aca="false">IF(OR(3キー同時!$B$253="",3キー同時!$G$253=""),"",IF(3キー同時!AS259="","",SUBSTITUTE(SUBSTITUTE(3キー同時!AS259," ",""),"　","")))</f>
        <v/>
      </c>
      <c r="H2485" s="2" t="str">
        <f aca="false">IF($G2485="","",3キー同時!$B$253)</f>
        <v/>
      </c>
      <c r="I2485" s="2" t="str">
        <f aca="false">IF($G2485="","",3キー同時!$G$253)</f>
        <v/>
      </c>
      <c r="J2485" s="2" t="str">
        <f aca="false">IF($G2485="","",";")</f>
        <v/>
      </c>
      <c r="K2485" s="2" t="str">
        <f aca="false">""</f>
        <v/>
      </c>
      <c r="L2485" s="2" t="str">
        <f aca="false">IF($G2485="","","同時")</f>
        <v/>
      </c>
      <c r="M2485" s="2" t="str">
        <f aca="false">IF($G2485="","",IF(ISNA(MATCH($G2485,個別指定!$A:$A,0)),"行なし",""))</f>
        <v/>
      </c>
      <c r="N2485" s="2" t="str">
        <f aca="false">IF($G2485="","",IF(COUNTIF($G$2:$G$4460,$G2485)&gt;1,"重複",""))</f>
        <v/>
      </c>
    </row>
    <row r="2486" customFormat="false" ht="16.5" hidden="false" customHeight="true" outlineLevel="0" collapsed="false">
      <c r="A2486" s="2" t="s">
        <v>416</v>
      </c>
      <c r="B2486" s="2" t="s">
        <v>436</v>
      </c>
      <c r="C2486" s="2" t="s">
        <v>34</v>
      </c>
      <c r="D2486" s="2" t="str">
        <f aca="false">IF(3キー同時!$B$253="","",3キー同時!$B$253)</f>
        <v>j</v>
      </c>
      <c r="E2486" s="2" t="str">
        <f aca="false">IF(3キー同時!$G$253="","",3キー同時!$G$253)</f>
        <v>p</v>
      </c>
      <c r="F2486" s="2" t="str">
        <f aca="false">""</f>
        <v/>
      </c>
      <c r="G2486" s="2" t="str">
        <f aca="false">IF(OR(3キー同時!$B$253="",3キー同時!$G$253=""),"",IF(3キー同時!AW259="","",SUBSTITUTE(SUBSTITUTE(3キー同時!AW259," ",""),"　","")))</f>
        <v/>
      </c>
      <c r="H2486" s="2" t="str">
        <f aca="false">IF($G2486="","",3キー同時!$B$253)</f>
        <v/>
      </c>
      <c r="I2486" s="2" t="str">
        <f aca="false">IF($G2486="","",3キー同時!$G$253)</f>
        <v/>
      </c>
      <c r="J2486" s="2" t="str">
        <f aca="false">IF($G2486="","","'")</f>
        <v/>
      </c>
      <c r="K2486" s="2" t="str">
        <f aca="false">""</f>
        <v/>
      </c>
      <c r="L2486" s="2" t="str">
        <f aca="false">IF($G2486="","","同時")</f>
        <v/>
      </c>
      <c r="M2486" s="2" t="str">
        <f aca="false">IF($G2486="","",IF(ISNA(MATCH($G2486,個別指定!$A:$A,0)),"行なし",""))</f>
        <v/>
      </c>
      <c r="N2486" s="2" t="str">
        <f aca="false">IF($G2486="","",IF(COUNTIF($G$2:$G$4460,$G2486)&gt;1,"重複",""))</f>
        <v/>
      </c>
    </row>
    <row r="2487" customFormat="false" ht="16.5" hidden="false" customHeight="true" outlineLevel="0" collapsed="false">
      <c r="A2487" s="2" t="s">
        <v>416</v>
      </c>
      <c r="B2487" s="2" t="s">
        <v>436</v>
      </c>
      <c r="C2487" s="2" t="s">
        <v>35</v>
      </c>
      <c r="D2487" s="2" t="str">
        <f aca="false">IF(3キー同時!$B$253="","",3キー同時!$B$253)</f>
        <v>j</v>
      </c>
      <c r="E2487" s="2" t="str">
        <f aca="false">IF(3キー同時!$G$253="","",3キー同時!$G$253)</f>
        <v>p</v>
      </c>
      <c r="F2487" s="2" t="str">
        <f aca="false">""</f>
        <v/>
      </c>
      <c r="G2487" s="2" t="str">
        <f aca="false">IF(OR(3キー同時!$B$253="",3キー同時!$G$253=""),"",IF(3キー同時!K261="","",SUBSTITUTE(SUBSTITUTE(3キー同時!K261," ",""),"　","")))</f>
        <v/>
      </c>
      <c r="H2487" s="2" t="str">
        <f aca="false">IF($G2487="","",3キー同時!$B$253)</f>
        <v/>
      </c>
      <c r="I2487" s="2" t="str">
        <f aca="false">IF($G2487="","",3キー同時!$G$253)</f>
        <v/>
      </c>
      <c r="J2487" s="2" t="str">
        <f aca="false">IF($G2487="","","z")</f>
        <v/>
      </c>
      <c r="K2487" s="2" t="str">
        <f aca="false">""</f>
        <v/>
      </c>
      <c r="L2487" s="2" t="str">
        <f aca="false">IF($G2487="","","同時")</f>
        <v/>
      </c>
      <c r="M2487" s="2" t="str">
        <f aca="false">IF($G2487="","",IF(ISNA(MATCH($G2487,個別指定!$A:$A,0)),"行なし",""))</f>
        <v/>
      </c>
      <c r="N2487" s="2" t="str">
        <f aca="false">IF($G2487="","",IF(COUNTIF($G$2:$G$4460,$G2487)&gt;1,"重複",""))</f>
        <v/>
      </c>
    </row>
    <row r="2488" customFormat="false" ht="16.5" hidden="false" customHeight="true" outlineLevel="0" collapsed="false">
      <c r="A2488" s="2" t="s">
        <v>416</v>
      </c>
      <c r="B2488" s="2" t="s">
        <v>436</v>
      </c>
      <c r="C2488" s="2" t="s">
        <v>36</v>
      </c>
      <c r="D2488" s="2" t="str">
        <f aca="false">IF(3キー同時!$B$253="","",3キー同時!$B$253)</f>
        <v>j</v>
      </c>
      <c r="E2488" s="2" t="str">
        <f aca="false">IF(3キー同時!$G$253="","",3キー同時!$G$253)</f>
        <v>p</v>
      </c>
      <c r="F2488" s="2" t="str">
        <f aca="false">""</f>
        <v/>
      </c>
      <c r="G2488" s="2" t="str">
        <f aca="false">IF(OR(3キー同時!$B$253="",3キー同時!$G$253=""),"",IF(3キー同時!O261="","",SUBSTITUTE(SUBSTITUTE(3キー同時!O261," ",""),"　","")))</f>
        <v/>
      </c>
      <c r="H2488" s="2" t="str">
        <f aca="false">IF($G2488="","",3キー同時!$B$253)</f>
        <v/>
      </c>
      <c r="I2488" s="2" t="str">
        <f aca="false">IF($G2488="","",3キー同時!$G$253)</f>
        <v/>
      </c>
      <c r="J2488" s="2" t="str">
        <f aca="false">IF($G2488="","","x")</f>
        <v/>
      </c>
      <c r="K2488" s="2" t="str">
        <f aca="false">""</f>
        <v/>
      </c>
      <c r="L2488" s="2" t="str">
        <f aca="false">IF($G2488="","","同時")</f>
        <v/>
      </c>
      <c r="M2488" s="2" t="str">
        <f aca="false">IF($G2488="","",IF(ISNA(MATCH($G2488,個別指定!$A:$A,0)),"行なし",""))</f>
        <v/>
      </c>
      <c r="N2488" s="2" t="str">
        <f aca="false">IF($G2488="","",IF(COUNTIF($G$2:$G$4460,$G2488)&gt;1,"重複",""))</f>
        <v/>
      </c>
    </row>
    <row r="2489" customFormat="false" ht="16.5" hidden="false" customHeight="true" outlineLevel="0" collapsed="false">
      <c r="A2489" s="2" t="s">
        <v>416</v>
      </c>
      <c r="B2489" s="2" t="s">
        <v>436</v>
      </c>
      <c r="C2489" s="2" t="s">
        <v>37</v>
      </c>
      <c r="D2489" s="2" t="str">
        <f aca="false">IF(3キー同時!$B$253="","",3キー同時!$B$253)</f>
        <v>j</v>
      </c>
      <c r="E2489" s="2" t="str">
        <f aca="false">IF(3キー同時!$G$253="","",3キー同時!$G$253)</f>
        <v>p</v>
      </c>
      <c r="F2489" s="2" t="str">
        <f aca="false">""</f>
        <v/>
      </c>
      <c r="G2489" s="2" t="str">
        <f aca="false">IF(OR(3キー同時!$B$253="",3キー同時!$G$253=""),"",IF(3キー同時!S261="","",SUBSTITUTE(SUBSTITUTE(3キー同時!S261," ",""),"　","")))</f>
        <v/>
      </c>
      <c r="H2489" s="2" t="str">
        <f aca="false">IF($G2489="","",3キー同時!$B$253)</f>
        <v/>
      </c>
      <c r="I2489" s="2" t="str">
        <f aca="false">IF($G2489="","",3キー同時!$G$253)</f>
        <v/>
      </c>
      <c r="J2489" s="2" t="str">
        <f aca="false">IF($G2489="","","c")</f>
        <v/>
      </c>
      <c r="K2489" s="2" t="str">
        <f aca="false">""</f>
        <v/>
      </c>
      <c r="L2489" s="2" t="str">
        <f aca="false">IF($G2489="","","同時")</f>
        <v/>
      </c>
      <c r="M2489" s="2" t="str">
        <f aca="false">IF($G2489="","",IF(ISNA(MATCH($G2489,個別指定!$A:$A,0)),"行なし",""))</f>
        <v/>
      </c>
      <c r="N2489" s="2" t="str">
        <f aca="false">IF($G2489="","",IF(COUNTIF($G$2:$G$4460,$G2489)&gt;1,"重複",""))</f>
        <v/>
      </c>
    </row>
    <row r="2490" customFormat="false" ht="16.5" hidden="false" customHeight="true" outlineLevel="0" collapsed="false">
      <c r="A2490" s="2" t="s">
        <v>416</v>
      </c>
      <c r="B2490" s="2" t="s">
        <v>436</v>
      </c>
      <c r="C2490" s="2" t="s">
        <v>38</v>
      </c>
      <c r="D2490" s="2" t="str">
        <f aca="false">IF(3キー同時!$B$253="","",3キー同時!$B$253)</f>
        <v>j</v>
      </c>
      <c r="E2490" s="2" t="str">
        <f aca="false">IF(3キー同時!$G$253="","",3キー同時!$G$253)</f>
        <v>p</v>
      </c>
      <c r="F2490" s="2" t="str">
        <f aca="false">""</f>
        <v/>
      </c>
      <c r="G2490" s="2" t="str">
        <f aca="false">IF(OR(3キー同時!$B$253="",3キー同時!$G$253=""),"",IF(3キー同時!W261="","",SUBSTITUTE(SUBSTITUTE(3キー同時!W261," ",""),"　","")))</f>
        <v/>
      </c>
      <c r="H2490" s="2" t="str">
        <f aca="false">IF($G2490="","",3キー同時!$B$253)</f>
        <v/>
      </c>
      <c r="I2490" s="2" t="str">
        <f aca="false">IF($G2490="","",3キー同時!$G$253)</f>
        <v/>
      </c>
      <c r="J2490" s="2" t="str">
        <f aca="false">IF($G2490="","","v")</f>
        <v/>
      </c>
      <c r="K2490" s="2" t="str">
        <f aca="false">""</f>
        <v/>
      </c>
      <c r="L2490" s="2" t="str">
        <f aca="false">IF($G2490="","","同時")</f>
        <v/>
      </c>
      <c r="M2490" s="2" t="str">
        <f aca="false">IF($G2490="","",IF(ISNA(MATCH($G2490,個別指定!$A:$A,0)),"行なし",""))</f>
        <v/>
      </c>
      <c r="N2490" s="2" t="str">
        <f aca="false">IF($G2490="","",IF(COUNTIF($G$2:$G$4460,$G2490)&gt;1,"重複",""))</f>
        <v/>
      </c>
    </row>
    <row r="2491" customFormat="false" ht="16.5" hidden="false" customHeight="true" outlineLevel="0" collapsed="false">
      <c r="A2491" s="2" t="s">
        <v>416</v>
      </c>
      <c r="B2491" s="2" t="s">
        <v>436</v>
      </c>
      <c r="C2491" s="2" t="s">
        <v>39</v>
      </c>
      <c r="D2491" s="2" t="str">
        <f aca="false">IF(3キー同時!$B$253="","",3キー同時!$B$253)</f>
        <v>j</v>
      </c>
      <c r="E2491" s="2" t="str">
        <f aca="false">IF(3キー同時!$G$253="","",3キー同時!$G$253)</f>
        <v>p</v>
      </c>
      <c r="F2491" s="2" t="str">
        <f aca="false">""</f>
        <v/>
      </c>
      <c r="G2491" s="2" t="str">
        <f aca="false">IF(OR(3キー同時!$B$253="",3キー同時!$G$253=""),"",IF(3キー同時!AA261="","",SUBSTITUTE(SUBSTITUTE(3キー同時!AA261," ",""),"　","")))</f>
        <v/>
      </c>
      <c r="H2491" s="2" t="str">
        <f aca="false">IF($G2491="","",3キー同時!$B$253)</f>
        <v/>
      </c>
      <c r="I2491" s="2" t="str">
        <f aca="false">IF($G2491="","",3キー同時!$G$253)</f>
        <v/>
      </c>
      <c r="J2491" s="2" t="str">
        <f aca="false">IF($G2491="","","b")</f>
        <v/>
      </c>
      <c r="K2491" s="2" t="str">
        <f aca="false">""</f>
        <v/>
      </c>
      <c r="L2491" s="2" t="str">
        <f aca="false">IF($G2491="","","同時")</f>
        <v/>
      </c>
      <c r="M2491" s="2" t="str">
        <f aca="false">IF($G2491="","",IF(ISNA(MATCH($G2491,個別指定!$A:$A,0)),"行なし",""))</f>
        <v/>
      </c>
      <c r="N2491" s="2" t="str">
        <f aca="false">IF($G2491="","",IF(COUNTIF($G$2:$G$4460,$G2491)&gt;1,"重複",""))</f>
        <v/>
      </c>
    </row>
    <row r="2492" customFormat="false" ht="16.5" hidden="false" customHeight="true" outlineLevel="0" collapsed="false">
      <c r="A2492" s="2" t="s">
        <v>416</v>
      </c>
      <c r="B2492" s="2" t="s">
        <v>436</v>
      </c>
      <c r="C2492" s="2" t="s">
        <v>40</v>
      </c>
      <c r="D2492" s="2" t="str">
        <f aca="false">IF(3キー同時!$B$253="","",3キー同時!$B$253)</f>
        <v>j</v>
      </c>
      <c r="E2492" s="2" t="str">
        <f aca="false">IF(3キー同時!$G$253="","",3キー同時!$G$253)</f>
        <v>p</v>
      </c>
      <c r="F2492" s="2" t="str">
        <f aca="false">""</f>
        <v/>
      </c>
      <c r="G2492" s="2" t="str">
        <f aca="false">IF(OR(3キー同時!$B$253="",3キー同時!$G$253=""),"",IF(3キー同時!AE261="","",SUBSTITUTE(SUBSTITUTE(3キー同時!AE261," ",""),"　","")))</f>
        <v/>
      </c>
      <c r="H2492" s="2" t="str">
        <f aca="false">IF($G2492="","",3キー同時!$B$253)</f>
        <v/>
      </c>
      <c r="I2492" s="2" t="str">
        <f aca="false">IF($G2492="","",3キー同時!$G$253)</f>
        <v/>
      </c>
      <c r="J2492" s="2" t="str">
        <f aca="false">IF($G2492="","","n")</f>
        <v/>
      </c>
      <c r="K2492" s="2" t="str">
        <f aca="false">""</f>
        <v/>
      </c>
      <c r="L2492" s="2" t="str">
        <f aca="false">IF($G2492="","","同時")</f>
        <v/>
      </c>
      <c r="M2492" s="2" t="str">
        <f aca="false">IF($G2492="","",IF(ISNA(MATCH($G2492,個別指定!$A:$A,0)),"行なし",""))</f>
        <v/>
      </c>
      <c r="N2492" s="2" t="str">
        <f aca="false">IF($G2492="","",IF(COUNTIF($G$2:$G$4460,$G2492)&gt;1,"重複",""))</f>
        <v/>
      </c>
    </row>
    <row r="2493" customFormat="false" ht="16.5" hidden="false" customHeight="true" outlineLevel="0" collapsed="false">
      <c r="A2493" s="2" t="s">
        <v>416</v>
      </c>
      <c r="B2493" s="2" t="s">
        <v>436</v>
      </c>
      <c r="C2493" s="2" t="s">
        <v>41</v>
      </c>
      <c r="D2493" s="2" t="str">
        <f aca="false">IF(3キー同時!$B$253="","",3キー同時!$B$253)</f>
        <v>j</v>
      </c>
      <c r="E2493" s="2" t="str">
        <f aca="false">IF(3キー同時!$G$253="","",3キー同時!$G$253)</f>
        <v>p</v>
      </c>
      <c r="F2493" s="2" t="str">
        <f aca="false">""</f>
        <v/>
      </c>
      <c r="G2493" s="2" t="str">
        <f aca="false">IF(OR(3キー同時!$B$253="",3キー同時!$G$253=""),"",IF(3キー同時!AI261="","",SUBSTITUTE(SUBSTITUTE(3キー同時!AI261," ",""),"　","")))</f>
        <v/>
      </c>
      <c r="H2493" s="2" t="str">
        <f aca="false">IF($G2493="","",3キー同時!$B$253)</f>
        <v/>
      </c>
      <c r="I2493" s="2" t="str">
        <f aca="false">IF($G2493="","",3キー同時!$G$253)</f>
        <v/>
      </c>
      <c r="J2493" s="2" t="str">
        <f aca="false">IF($G2493="","","m")</f>
        <v/>
      </c>
      <c r="K2493" s="2" t="str">
        <f aca="false">""</f>
        <v/>
      </c>
      <c r="L2493" s="2" t="str">
        <f aca="false">IF($G2493="","","同時")</f>
        <v/>
      </c>
      <c r="M2493" s="2" t="str">
        <f aca="false">IF($G2493="","",IF(ISNA(MATCH($G2493,個別指定!$A:$A,0)),"行なし",""))</f>
        <v/>
      </c>
      <c r="N2493" s="2" t="str">
        <f aca="false">IF($G2493="","",IF(COUNTIF($G$2:$G$4460,$G2493)&gt;1,"重複",""))</f>
        <v/>
      </c>
    </row>
    <row r="2494" customFormat="false" ht="16.5" hidden="false" customHeight="true" outlineLevel="0" collapsed="false">
      <c r="A2494" s="2" t="s">
        <v>416</v>
      </c>
      <c r="B2494" s="2" t="s">
        <v>436</v>
      </c>
      <c r="C2494" s="2" t="s">
        <v>42</v>
      </c>
      <c r="D2494" s="2" t="str">
        <f aca="false">IF(3キー同時!$B$253="","",3キー同時!$B$253)</f>
        <v>j</v>
      </c>
      <c r="E2494" s="2" t="str">
        <f aca="false">IF(3キー同時!$G$253="","",3キー同時!$G$253)</f>
        <v>p</v>
      </c>
      <c r="F2494" s="2" t="str">
        <f aca="false">""</f>
        <v/>
      </c>
      <c r="G2494" s="2" t="str">
        <f aca="false">IF(OR(3キー同時!$B$253="",3キー同時!$G$253=""),"",IF(3キー同時!AM261="","",SUBSTITUTE(SUBSTITUTE(3キー同時!AM261," ",""),"　","")))</f>
        <v/>
      </c>
      <c r="H2494" s="2" t="str">
        <f aca="false">IF($G2494="","",3キー同時!$B$253)</f>
        <v/>
      </c>
      <c r="I2494" s="2" t="str">
        <f aca="false">IF($G2494="","",3キー同時!$G$253)</f>
        <v/>
      </c>
      <c r="J2494" s="2" t="str">
        <f aca="false">IF($G2494="","",",")</f>
        <v/>
      </c>
      <c r="K2494" s="2" t="str">
        <f aca="false">""</f>
        <v/>
      </c>
      <c r="L2494" s="2" t="str">
        <f aca="false">IF($G2494="","","同時")</f>
        <v/>
      </c>
      <c r="M2494" s="2" t="str">
        <f aca="false">IF($G2494="","",IF(ISNA(MATCH($G2494,個別指定!$A:$A,0)),"行なし",""))</f>
        <v/>
      </c>
      <c r="N2494" s="2" t="str">
        <f aca="false">IF($G2494="","",IF(COUNTIF($G$2:$G$4460,$G2494)&gt;1,"重複",""))</f>
        <v/>
      </c>
    </row>
    <row r="2495" customFormat="false" ht="16.5" hidden="false" customHeight="true" outlineLevel="0" collapsed="false">
      <c r="A2495" s="2" t="s">
        <v>416</v>
      </c>
      <c r="B2495" s="2" t="s">
        <v>436</v>
      </c>
      <c r="C2495" s="2" t="s">
        <v>43</v>
      </c>
      <c r="D2495" s="2" t="str">
        <f aca="false">IF(3キー同時!$B$253="","",3キー同時!$B$253)</f>
        <v>j</v>
      </c>
      <c r="E2495" s="2" t="str">
        <f aca="false">IF(3キー同時!$G$253="","",3キー同時!$G$253)</f>
        <v>p</v>
      </c>
      <c r="F2495" s="2" t="str">
        <f aca="false">""</f>
        <v/>
      </c>
      <c r="G2495" s="2" t="str">
        <f aca="false">IF(OR(3キー同時!$B$253="",3キー同時!$G$253=""),"",IF(3キー同時!AQ261="","",SUBSTITUTE(SUBSTITUTE(3キー同時!AQ261," ",""),"　","")))</f>
        <v/>
      </c>
      <c r="H2495" s="2" t="str">
        <f aca="false">IF($G2495="","",3キー同時!$B$253)</f>
        <v/>
      </c>
      <c r="I2495" s="2" t="str">
        <f aca="false">IF($G2495="","",3キー同時!$G$253)</f>
        <v/>
      </c>
      <c r="J2495" s="2" t="str">
        <f aca="false">IF($G2495="","",".")</f>
        <v/>
      </c>
      <c r="K2495" s="2" t="str">
        <f aca="false">""</f>
        <v/>
      </c>
      <c r="L2495" s="2" t="str">
        <f aca="false">IF($G2495="","","同時")</f>
        <v/>
      </c>
      <c r="M2495" s="2" t="str">
        <f aca="false">IF($G2495="","",IF(ISNA(MATCH($G2495,個別指定!$A:$A,0)),"行なし",""))</f>
        <v/>
      </c>
      <c r="N2495" s="2" t="str">
        <f aca="false">IF($G2495="","",IF(COUNTIF($G$2:$G$4460,$G2495)&gt;1,"重複",""))</f>
        <v/>
      </c>
    </row>
    <row r="2496" customFormat="false" ht="16.5" hidden="false" customHeight="true" outlineLevel="0" collapsed="false">
      <c r="A2496" s="2" t="s">
        <v>416</v>
      </c>
      <c r="B2496" s="2" t="s">
        <v>436</v>
      </c>
      <c r="C2496" s="2" t="s">
        <v>44</v>
      </c>
      <c r="D2496" s="2" t="str">
        <f aca="false">IF(3キー同時!$B$253="","",3キー同時!$B$253)</f>
        <v>j</v>
      </c>
      <c r="E2496" s="2" t="str">
        <f aca="false">IF(3キー同時!$G$253="","",3キー同時!$G$253)</f>
        <v>p</v>
      </c>
      <c r="F2496" s="2" t="str">
        <f aca="false">""</f>
        <v/>
      </c>
      <c r="G2496" s="2" t="str">
        <f aca="false">IF(OR(3キー同時!$B$253="",3キー同時!$G$253=""),"",IF(3キー同時!AU261="","",SUBSTITUTE(SUBSTITUTE(3キー同時!AU261," ",""),"　","")))</f>
        <v/>
      </c>
      <c r="H2496" s="2" t="str">
        <f aca="false">IF($G2496="","",3キー同時!$B$253)</f>
        <v/>
      </c>
      <c r="I2496" s="2" t="str">
        <f aca="false">IF($G2496="","",3キー同時!$G$253)</f>
        <v/>
      </c>
      <c r="J2496" s="2" t="str">
        <f aca="false">IF($G2496="","","/")</f>
        <v/>
      </c>
      <c r="K2496" s="2" t="str">
        <f aca="false">""</f>
        <v/>
      </c>
      <c r="L2496" s="2" t="str">
        <f aca="false">IF($G2496="","","同時")</f>
        <v/>
      </c>
      <c r="M2496" s="2" t="str">
        <f aca="false">IF($G2496="","",IF(ISNA(MATCH($G2496,個別指定!$A:$A,0)),"行なし",""))</f>
        <v/>
      </c>
      <c r="N2496" s="2" t="str">
        <f aca="false">IF($G2496="","",IF(COUNTIF($G$2:$G$4460,$G2496)&gt;1,"重複",""))</f>
        <v/>
      </c>
    </row>
    <row r="2497" customFormat="false" ht="16.5" hidden="false" customHeight="true" outlineLevel="0" collapsed="false">
      <c r="A2497" s="2" t="s">
        <v>416</v>
      </c>
      <c r="B2497" s="2" t="s">
        <v>436</v>
      </c>
      <c r="C2497" s="2" t="s">
        <v>48</v>
      </c>
      <c r="D2497" s="2" t="str">
        <f aca="false">IF(3キー同時!$B$253="","",3キー同時!$B$253)</f>
        <v>j</v>
      </c>
      <c r="E2497" s="2" t="str">
        <f aca="false">IF(3キー同時!$G$253="","",3キー同時!$G$253)</f>
        <v>p</v>
      </c>
      <c r="F2497" s="2" t="str">
        <f aca="false">""</f>
        <v/>
      </c>
      <c r="G2497" s="2" t="str">
        <f aca="false">IF(OR(3キー同時!$B$253="",3キー同時!$G$253=""),"",IF(3キー同時!P263="","",SUBSTITUTE(SUBSTITUTE(3キー同時!P263," ",""),"　","")))</f>
        <v/>
      </c>
      <c r="H2497" s="2" t="str">
        <f aca="false">IF($G2497="","",3キー同時!$B$253)</f>
        <v/>
      </c>
      <c r="I2497" s="2" t="str">
        <f aca="false">IF($G2497="","",3キー同時!$G$253)</f>
        <v/>
      </c>
      <c r="J2497" s="2" t="str">
        <f aca="false">IF($G2497="","","muhenkan")</f>
        <v/>
      </c>
      <c r="K2497" s="2" t="str">
        <f aca="false">""</f>
        <v/>
      </c>
      <c r="L2497" s="2" t="str">
        <f aca="false">IF($G2497="","","同時")</f>
        <v/>
      </c>
      <c r="M2497" s="2" t="str">
        <f aca="false">IF($G2497="","",IF(ISNA(MATCH($G2497,個別指定!$A:$A,0)),"行なし",""))</f>
        <v/>
      </c>
      <c r="N2497" s="2" t="str">
        <f aca="false">IF($G2497="","",IF(COUNTIF($G$2:$G$4460,$G2497)&gt;1,"重複",""))</f>
        <v/>
      </c>
    </row>
    <row r="2498" customFormat="false" ht="16.5" hidden="false" customHeight="true" outlineLevel="0" collapsed="false">
      <c r="A2498" s="2" t="s">
        <v>416</v>
      </c>
      <c r="B2498" s="2" t="s">
        <v>436</v>
      </c>
      <c r="C2498" s="2" t="s">
        <v>50</v>
      </c>
      <c r="D2498" s="2" t="str">
        <f aca="false">IF(3キー同時!$B$253="","",3キー同時!$B$253)</f>
        <v>j</v>
      </c>
      <c r="E2498" s="2" t="str">
        <f aca="false">IF(3キー同時!$G$253="","",3キー同時!$G$253)</f>
        <v>p</v>
      </c>
      <c r="F2498" s="2" t="str">
        <f aca="false">""</f>
        <v/>
      </c>
      <c r="G2498" s="2" t="str">
        <f aca="false">IF(OR(3キー同時!$B$253="",3キー同時!$G$253=""),"",IF(3キー同時!T263="","",SUBSTITUTE(SUBSTITUTE(3キー同時!T263," ",""),"　","")))</f>
        <v/>
      </c>
      <c r="H2498" s="2" t="str">
        <f aca="false">IF($G2498="","",3キー同時!$B$253)</f>
        <v/>
      </c>
      <c r="I2498" s="2" t="str">
        <f aca="false">IF($G2498="","",3キー同時!$G$253)</f>
        <v/>
      </c>
      <c r="J2498" s="2" t="str">
        <f aca="false">IF($G2498="","","space")</f>
        <v/>
      </c>
      <c r="K2498" s="2" t="str">
        <f aca="false">""</f>
        <v/>
      </c>
      <c r="L2498" s="2" t="str">
        <f aca="false">IF($G2498="","","同時")</f>
        <v/>
      </c>
      <c r="M2498" s="2" t="str">
        <f aca="false">IF($G2498="","",IF(ISNA(MATCH($G2498,個別指定!$A:$A,0)),"行なし",""))</f>
        <v/>
      </c>
      <c r="N2498" s="2" t="str">
        <f aca="false">IF($G2498="","",IF(COUNTIF($G$2:$G$4460,$G2498)&gt;1,"重複",""))</f>
        <v/>
      </c>
    </row>
    <row r="2499" customFormat="false" ht="16.5" hidden="false" customHeight="true" outlineLevel="0" collapsed="false">
      <c r="A2499" s="2" t="s">
        <v>416</v>
      </c>
      <c r="B2499" s="2" t="s">
        <v>436</v>
      </c>
      <c r="C2499" s="2" t="s">
        <v>45</v>
      </c>
      <c r="D2499" s="2" t="str">
        <f aca="false">IF(3キー同時!$B$253="","",3キー同時!$B$253)</f>
        <v>j</v>
      </c>
      <c r="E2499" s="2" t="str">
        <f aca="false">IF(3キー同時!$G$253="","",3キー同時!$G$253)</f>
        <v>p</v>
      </c>
      <c r="F2499" s="2" t="str">
        <f aca="false">""</f>
        <v/>
      </c>
      <c r="G2499" s="2" t="str">
        <f aca="false">IF(OR(3キー同時!$B$253="",3キー同時!$G$253=""),"",IF(3キー同時!AL263="","",SUBSTITUTE(SUBSTITUTE(3キー同時!AL263," ",""),"　","")))</f>
        <v/>
      </c>
      <c r="H2499" s="2" t="str">
        <f aca="false">IF($G2499="","",3キー同時!$B$253)</f>
        <v/>
      </c>
      <c r="I2499" s="2" t="str">
        <f aca="false">IF($G2499="","",3キー同時!$G$253)</f>
        <v/>
      </c>
      <c r="J2499" s="2" t="str">
        <f aca="false">IF($G2499="","","henkan")</f>
        <v/>
      </c>
      <c r="K2499" s="2" t="str">
        <f aca="false">""</f>
        <v/>
      </c>
      <c r="L2499" s="2" t="str">
        <f aca="false">IF($G2499="","","同時")</f>
        <v/>
      </c>
      <c r="M2499" s="2" t="str">
        <f aca="false">IF($G2499="","",IF(ISNA(MATCH($G2499,個別指定!$A:$A,0)),"行なし",""))</f>
        <v/>
      </c>
      <c r="N2499" s="2" t="str">
        <f aca="false">IF($G2499="","",IF(COUNTIF($G$2:$G$4460,$G2499)&gt;1,"重複",""))</f>
        <v/>
      </c>
    </row>
    <row r="2500" customFormat="false" ht="16.5" hidden="false" customHeight="true" outlineLevel="0" collapsed="false">
      <c r="A2500" s="2" t="s">
        <v>416</v>
      </c>
      <c r="B2500" s="2" t="s">
        <v>436</v>
      </c>
      <c r="C2500" s="2" t="s">
        <v>46</v>
      </c>
      <c r="D2500" s="2" t="str">
        <f aca="false">IF(3キー同時!$B$253="","",3キー同時!$B$253)</f>
        <v>j</v>
      </c>
      <c r="E2500" s="2" t="str">
        <f aca="false">IF(3キー同時!$G$253="","",3キー同時!$G$253)</f>
        <v>p</v>
      </c>
      <c r="F2500" s="2" t="str">
        <f aca="false">""</f>
        <v/>
      </c>
      <c r="G2500" s="2" t="str">
        <f aca="false">IF(OR(3キー同時!$B$253="",3キー同時!$G$253=""),"",IF(3キー同時!AP263="","",SUBSTITUTE(SUBSTITUTE(3キー同時!AP263," ",""),"　","")))</f>
        <v/>
      </c>
      <c r="H2500" s="2" t="str">
        <f aca="false">IF($G2500="","",3キー同時!$B$253)</f>
        <v/>
      </c>
      <c r="I2500" s="2" t="str">
        <f aca="false">IF($G2500="","",3キー同時!$G$253)</f>
        <v/>
      </c>
      <c r="J2500" s="2" t="str">
        <f aca="false">IF($G2500="","","kana")</f>
        <v/>
      </c>
      <c r="K2500" s="2" t="str">
        <f aca="false">""</f>
        <v/>
      </c>
      <c r="L2500" s="2" t="str">
        <f aca="false">IF($G2500="","","同時")</f>
        <v/>
      </c>
      <c r="M2500" s="2" t="str">
        <f aca="false">IF($G2500="","",IF(ISNA(MATCH($G2500,個別指定!$A:$A,0)),"行なし",""))</f>
        <v/>
      </c>
      <c r="N2500" s="2" t="str">
        <f aca="false">IF($G2500="","",IF(COUNTIF($G$2:$G$4460,$G2500)&gt;1,"重複",""))</f>
        <v/>
      </c>
    </row>
    <row r="2501" customFormat="false" ht="16.5" hidden="false" customHeight="true" outlineLevel="0" collapsed="false">
      <c r="A2501" s="2" t="s">
        <v>416</v>
      </c>
      <c r="B2501" s="2" t="s">
        <v>437</v>
      </c>
      <c r="C2501" s="2" t="s">
        <v>0</v>
      </c>
      <c r="D2501" s="2" t="str">
        <f aca="false">IF(3キー同時!$B$266="","",3キー同時!$B$266)</f>
        <v>j</v>
      </c>
      <c r="E2501" s="2" t="str">
        <f aca="false">IF(3キー同時!$G$266="","",3キー同時!$G$266)</f>
        <v>l</v>
      </c>
      <c r="F2501" s="2" t="str">
        <f aca="false">""</f>
        <v/>
      </c>
      <c r="G2501" s="2" t="str">
        <f aca="false">IF(OR(3キー同時!$B$266="",3キー同時!$G$266=""),"",IF(3キー同時!F268="","",SUBSTITUTE(SUBSTITUTE(3キー同時!F268," ",""),"　","")))</f>
        <v/>
      </c>
      <c r="H2501" s="2" t="str">
        <f aca="false">IF($G2501="","",3キー同時!$B$266)</f>
        <v/>
      </c>
      <c r="I2501" s="2" t="str">
        <f aca="false">IF($G2501="","",3キー同時!$G$266)</f>
        <v/>
      </c>
      <c r="J2501" s="2" t="str">
        <f aca="false">IF($G2501="","","1")</f>
        <v/>
      </c>
      <c r="K2501" s="2" t="str">
        <f aca="false">""</f>
        <v/>
      </c>
      <c r="L2501" s="2" t="str">
        <f aca="false">IF($G2501="","","同時")</f>
        <v/>
      </c>
      <c r="M2501" s="2" t="str">
        <f aca="false">IF($G2501="","",IF(ISNA(MATCH($G2501,個別指定!$A:$A,0)),"行なし",""))</f>
        <v/>
      </c>
      <c r="N2501" s="2" t="str">
        <f aca="false">IF($G2501="","",IF(COUNTIF($G$2:$G$4460,$G2501)&gt;1,"重複",""))</f>
        <v/>
      </c>
    </row>
    <row r="2502" customFormat="false" ht="16.5" hidden="false" customHeight="true" outlineLevel="0" collapsed="false">
      <c r="A2502" s="2" t="s">
        <v>416</v>
      </c>
      <c r="B2502" s="2" t="s">
        <v>437</v>
      </c>
      <c r="C2502" s="2" t="s">
        <v>1</v>
      </c>
      <c r="D2502" s="2" t="str">
        <f aca="false">IF(3キー同時!$B$266="","",3キー同時!$B$266)</f>
        <v>j</v>
      </c>
      <c r="E2502" s="2" t="str">
        <f aca="false">IF(3キー同時!$G$266="","",3キー同時!$G$266)</f>
        <v>l</v>
      </c>
      <c r="F2502" s="2" t="str">
        <f aca="false">""</f>
        <v/>
      </c>
      <c r="G2502" s="2" t="str">
        <f aca="false">IF(OR(3キー同時!$B$266="",3キー同時!$G$266=""),"",IF(3キー同時!J268="","",SUBSTITUTE(SUBSTITUTE(3キー同時!J268," ",""),"　","")))</f>
        <v/>
      </c>
      <c r="H2502" s="2" t="str">
        <f aca="false">IF($G2502="","",3キー同時!$B$266)</f>
        <v/>
      </c>
      <c r="I2502" s="2" t="str">
        <f aca="false">IF($G2502="","",3キー同時!$G$266)</f>
        <v/>
      </c>
      <c r="J2502" s="2" t="str">
        <f aca="false">IF($G2502="","","2")</f>
        <v/>
      </c>
      <c r="K2502" s="2" t="str">
        <f aca="false">""</f>
        <v/>
      </c>
      <c r="L2502" s="2" t="str">
        <f aca="false">IF($G2502="","","同時")</f>
        <v/>
      </c>
      <c r="M2502" s="2" t="str">
        <f aca="false">IF($G2502="","",IF(ISNA(MATCH($G2502,個別指定!$A:$A,0)),"行なし",""))</f>
        <v/>
      </c>
      <c r="N2502" s="2" t="str">
        <f aca="false">IF($G2502="","",IF(COUNTIF($G$2:$G$4460,$G2502)&gt;1,"重複",""))</f>
        <v/>
      </c>
    </row>
    <row r="2503" customFormat="false" ht="16.5" hidden="false" customHeight="true" outlineLevel="0" collapsed="false">
      <c r="A2503" s="2" t="s">
        <v>416</v>
      </c>
      <c r="B2503" s="2" t="s">
        <v>437</v>
      </c>
      <c r="C2503" s="2" t="s">
        <v>2</v>
      </c>
      <c r="D2503" s="2" t="str">
        <f aca="false">IF(3キー同時!$B$266="","",3キー同時!$B$266)</f>
        <v>j</v>
      </c>
      <c r="E2503" s="2" t="str">
        <f aca="false">IF(3キー同時!$G$266="","",3キー同時!$G$266)</f>
        <v>l</v>
      </c>
      <c r="F2503" s="2" t="str">
        <f aca="false">""</f>
        <v/>
      </c>
      <c r="G2503" s="2" t="str">
        <f aca="false">IF(OR(3キー同時!$B$266="",3キー同時!$G$266=""),"",IF(3キー同時!N268="","",SUBSTITUTE(SUBSTITUTE(3キー同時!N268," ",""),"　","")))</f>
        <v/>
      </c>
      <c r="H2503" s="2" t="str">
        <f aca="false">IF($G2503="","",3キー同時!$B$266)</f>
        <v/>
      </c>
      <c r="I2503" s="2" t="str">
        <f aca="false">IF($G2503="","",3キー同時!$G$266)</f>
        <v/>
      </c>
      <c r="J2503" s="2" t="str">
        <f aca="false">IF($G2503="","","3")</f>
        <v/>
      </c>
      <c r="K2503" s="2" t="str">
        <f aca="false">""</f>
        <v/>
      </c>
      <c r="L2503" s="2" t="str">
        <f aca="false">IF($G2503="","","同時")</f>
        <v/>
      </c>
      <c r="M2503" s="2" t="str">
        <f aca="false">IF($G2503="","",IF(ISNA(MATCH($G2503,個別指定!$A:$A,0)),"行なし",""))</f>
        <v/>
      </c>
      <c r="N2503" s="2" t="str">
        <f aca="false">IF($G2503="","",IF(COUNTIF($G$2:$G$4460,$G2503)&gt;1,"重複",""))</f>
        <v/>
      </c>
    </row>
    <row r="2504" customFormat="false" ht="16.5" hidden="false" customHeight="true" outlineLevel="0" collapsed="false">
      <c r="A2504" s="2" t="s">
        <v>416</v>
      </c>
      <c r="B2504" s="2" t="s">
        <v>437</v>
      </c>
      <c r="C2504" s="2" t="s">
        <v>3</v>
      </c>
      <c r="D2504" s="2" t="str">
        <f aca="false">IF(3キー同時!$B$266="","",3キー同時!$B$266)</f>
        <v>j</v>
      </c>
      <c r="E2504" s="2" t="str">
        <f aca="false">IF(3キー同時!$G$266="","",3キー同時!$G$266)</f>
        <v>l</v>
      </c>
      <c r="F2504" s="2" t="str">
        <f aca="false">""</f>
        <v/>
      </c>
      <c r="G2504" s="2" t="str">
        <f aca="false">IF(OR(3キー同時!$B$266="",3キー同時!$G$266=""),"",IF(3キー同時!R268="","",SUBSTITUTE(SUBSTITUTE(3キー同時!R268," ",""),"　","")))</f>
        <v/>
      </c>
      <c r="H2504" s="2" t="str">
        <f aca="false">IF($G2504="","",3キー同時!$B$266)</f>
        <v/>
      </c>
      <c r="I2504" s="2" t="str">
        <f aca="false">IF($G2504="","",3キー同時!$G$266)</f>
        <v/>
      </c>
      <c r="J2504" s="2" t="str">
        <f aca="false">IF($G2504="","","4")</f>
        <v/>
      </c>
      <c r="K2504" s="2" t="str">
        <f aca="false">""</f>
        <v/>
      </c>
      <c r="L2504" s="2" t="str">
        <f aca="false">IF($G2504="","","同時")</f>
        <v/>
      </c>
      <c r="M2504" s="2" t="str">
        <f aca="false">IF($G2504="","",IF(ISNA(MATCH($G2504,個別指定!$A:$A,0)),"行なし",""))</f>
        <v/>
      </c>
      <c r="N2504" s="2" t="str">
        <f aca="false">IF($G2504="","",IF(COUNTIF($G$2:$G$4460,$G2504)&gt;1,"重複",""))</f>
        <v/>
      </c>
    </row>
    <row r="2505" customFormat="false" ht="16.5" hidden="false" customHeight="true" outlineLevel="0" collapsed="false">
      <c r="A2505" s="2" t="s">
        <v>416</v>
      </c>
      <c r="B2505" s="2" t="s">
        <v>437</v>
      </c>
      <c r="C2505" s="2" t="s">
        <v>4</v>
      </c>
      <c r="D2505" s="2" t="str">
        <f aca="false">IF(3キー同時!$B$266="","",3キー同時!$B$266)</f>
        <v>j</v>
      </c>
      <c r="E2505" s="2" t="str">
        <f aca="false">IF(3キー同時!$G$266="","",3キー同時!$G$266)</f>
        <v>l</v>
      </c>
      <c r="F2505" s="2" t="str">
        <f aca="false">""</f>
        <v/>
      </c>
      <c r="G2505" s="2" t="str">
        <f aca="false">IF(OR(3キー同時!$B$266="",3キー同時!$G$266=""),"",IF(3キー同時!V268="","",SUBSTITUTE(SUBSTITUTE(3キー同時!V268," ",""),"　","")))</f>
        <v/>
      </c>
      <c r="H2505" s="2" t="str">
        <f aca="false">IF($G2505="","",3キー同時!$B$266)</f>
        <v/>
      </c>
      <c r="I2505" s="2" t="str">
        <f aca="false">IF($G2505="","",3キー同時!$G$266)</f>
        <v/>
      </c>
      <c r="J2505" s="2" t="str">
        <f aca="false">IF($G2505="","","5")</f>
        <v/>
      </c>
      <c r="K2505" s="2" t="str">
        <f aca="false">""</f>
        <v/>
      </c>
      <c r="L2505" s="2" t="str">
        <f aca="false">IF($G2505="","","同時")</f>
        <v/>
      </c>
      <c r="M2505" s="2" t="str">
        <f aca="false">IF($G2505="","",IF(ISNA(MATCH($G2505,個別指定!$A:$A,0)),"行なし",""))</f>
        <v/>
      </c>
      <c r="N2505" s="2" t="str">
        <f aca="false">IF($G2505="","",IF(COUNTIF($G$2:$G$4460,$G2505)&gt;1,"重複",""))</f>
        <v/>
      </c>
    </row>
    <row r="2506" customFormat="false" ht="16.5" hidden="false" customHeight="true" outlineLevel="0" collapsed="false">
      <c r="A2506" s="2" t="s">
        <v>416</v>
      </c>
      <c r="B2506" s="2" t="s">
        <v>437</v>
      </c>
      <c r="C2506" s="2" t="s">
        <v>5</v>
      </c>
      <c r="D2506" s="2" t="str">
        <f aca="false">IF(3キー同時!$B$266="","",3キー同時!$B$266)</f>
        <v>j</v>
      </c>
      <c r="E2506" s="2" t="str">
        <f aca="false">IF(3キー同時!$G$266="","",3キー同時!$G$266)</f>
        <v>l</v>
      </c>
      <c r="F2506" s="2" t="str">
        <f aca="false">""</f>
        <v/>
      </c>
      <c r="G2506" s="2" t="str">
        <f aca="false">IF(OR(3キー同時!$B$266="",3キー同時!$G$266=""),"",IF(3キー同時!Z268="","",SUBSTITUTE(SUBSTITUTE(3キー同時!Z268," ",""),"　","")))</f>
        <v/>
      </c>
      <c r="H2506" s="2" t="str">
        <f aca="false">IF($G2506="","",3キー同時!$B$266)</f>
        <v/>
      </c>
      <c r="I2506" s="2" t="str">
        <f aca="false">IF($G2506="","",3キー同時!$G$266)</f>
        <v/>
      </c>
      <c r="J2506" s="2" t="str">
        <f aca="false">IF($G2506="","","6")</f>
        <v/>
      </c>
      <c r="K2506" s="2" t="str">
        <f aca="false">""</f>
        <v/>
      </c>
      <c r="L2506" s="2" t="str">
        <f aca="false">IF($G2506="","","同時")</f>
        <v/>
      </c>
      <c r="M2506" s="2" t="str">
        <f aca="false">IF($G2506="","",IF(ISNA(MATCH($G2506,個別指定!$A:$A,0)),"行なし",""))</f>
        <v/>
      </c>
      <c r="N2506" s="2" t="str">
        <f aca="false">IF($G2506="","",IF(COUNTIF($G$2:$G$4460,$G2506)&gt;1,"重複",""))</f>
        <v/>
      </c>
    </row>
    <row r="2507" customFormat="false" ht="16.5" hidden="false" customHeight="true" outlineLevel="0" collapsed="false">
      <c r="A2507" s="2" t="s">
        <v>416</v>
      </c>
      <c r="B2507" s="2" t="s">
        <v>437</v>
      </c>
      <c r="C2507" s="2" t="s">
        <v>6</v>
      </c>
      <c r="D2507" s="2" t="str">
        <f aca="false">IF(3キー同時!$B$266="","",3キー同時!$B$266)</f>
        <v>j</v>
      </c>
      <c r="E2507" s="2" t="str">
        <f aca="false">IF(3キー同時!$G$266="","",3キー同時!$G$266)</f>
        <v>l</v>
      </c>
      <c r="F2507" s="2" t="str">
        <f aca="false">""</f>
        <v/>
      </c>
      <c r="G2507" s="2" t="str">
        <f aca="false">IF(OR(3キー同時!$B$266="",3キー同時!$G$266=""),"",IF(3キー同時!AD268="","",SUBSTITUTE(SUBSTITUTE(3キー同時!AD268," ",""),"　","")))</f>
        <v/>
      </c>
      <c r="H2507" s="2" t="str">
        <f aca="false">IF($G2507="","",3キー同時!$B$266)</f>
        <v/>
      </c>
      <c r="I2507" s="2" t="str">
        <f aca="false">IF($G2507="","",3キー同時!$G$266)</f>
        <v/>
      </c>
      <c r="J2507" s="2" t="str">
        <f aca="false">IF($G2507="","","7")</f>
        <v/>
      </c>
      <c r="K2507" s="2" t="str">
        <f aca="false">""</f>
        <v/>
      </c>
      <c r="L2507" s="2" t="str">
        <f aca="false">IF($G2507="","","同時")</f>
        <v/>
      </c>
      <c r="M2507" s="2" t="str">
        <f aca="false">IF($G2507="","",IF(ISNA(MATCH($G2507,個別指定!$A:$A,0)),"行なし",""))</f>
        <v/>
      </c>
      <c r="N2507" s="2" t="str">
        <f aca="false">IF($G2507="","",IF(COUNTIF($G$2:$G$4460,$G2507)&gt;1,"重複",""))</f>
        <v/>
      </c>
    </row>
    <row r="2508" customFormat="false" ht="16.5" hidden="false" customHeight="true" outlineLevel="0" collapsed="false">
      <c r="A2508" s="2" t="s">
        <v>416</v>
      </c>
      <c r="B2508" s="2" t="s">
        <v>437</v>
      </c>
      <c r="C2508" s="2" t="s">
        <v>7</v>
      </c>
      <c r="D2508" s="2" t="str">
        <f aca="false">IF(3キー同時!$B$266="","",3キー同時!$B$266)</f>
        <v>j</v>
      </c>
      <c r="E2508" s="2" t="str">
        <f aca="false">IF(3キー同時!$G$266="","",3キー同時!$G$266)</f>
        <v>l</v>
      </c>
      <c r="F2508" s="2" t="str">
        <f aca="false">""</f>
        <v/>
      </c>
      <c r="G2508" s="2" t="str">
        <f aca="false">IF(OR(3キー同時!$B$266="",3キー同時!$G$266=""),"",IF(3キー同時!AH268="","",SUBSTITUTE(SUBSTITUTE(3キー同時!AH268," ",""),"　","")))</f>
        <v/>
      </c>
      <c r="H2508" s="2" t="str">
        <f aca="false">IF($G2508="","",3キー同時!$B$266)</f>
        <v/>
      </c>
      <c r="I2508" s="2" t="str">
        <f aca="false">IF($G2508="","",3キー同時!$G$266)</f>
        <v/>
      </c>
      <c r="J2508" s="2" t="str">
        <f aca="false">IF($G2508="","","8")</f>
        <v/>
      </c>
      <c r="K2508" s="2" t="str">
        <f aca="false">""</f>
        <v/>
      </c>
      <c r="L2508" s="2" t="str">
        <f aca="false">IF($G2508="","","同時")</f>
        <v/>
      </c>
      <c r="M2508" s="2" t="str">
        <f aca="false">IF($G2508="","",IF(ISNA(MATCH($G2508,個別指定!$A:$A,0)),"行なし",""))</f>
        <v/>
      </c>
      <c r="N2508" s="2" t="str">
        <f aca="false">IF($G2508="","",IF(COUNTIF($G$2:$G$4460,$G2508)&gt;1,"重複",""))</f>
        <v/>
      </c>
    </row>
    <row r="2509" customFormat="false" ht="16.5" hidden="false" customHeight="true" outlineLevel="0" collapsed="false">
      <c r="A2509" s="2" t="s">
        <v>416</v>
      </c>
      <c r="B2509" s="2" t="s">
        <v>437</v>
      </c>
      <c r="C2509" s="2" t="s">
        <v>8</v>
      </c>
      <c r="D2509" s="2" t="str">
        <f aca="false">IF(3キー同時!$B$266="","",3キー同時!$B$266)</f>
        <v>j</v>
      </c>
      <c r="E2509" s="2" t="str">
        <f aca="false">IF(3キー同時!$G$266="","",3キー同時!$G$266)</f>
        <v>l</v>
      </c>
      <c r="F2509" s="2" t="str">
        <f aca="false">""</f>
        <v/>
      </c>
      <c r="G2509" s="2" t="str">
        <f aca="false">IF(OR(3キー同時!$B$266="",3キー同時!$G$266=""),"",IF(3キー同時!AL268="","",SUBSTITUTE(SUBSTITUTE(3キー同時!AL268," ",""),"　","")))</f>
        <v/>
      </c>
      <c r="H2509" s="2" t="str">
        <f aca="false">IF($G2509="","",3キー同時!$B$266)</f>
        <v/>
      </c>
      <c r="I2509" s="2" t="str">
        <f aca="false">IF($G2509="","",3キー同時!$G$266)</f>
        <v/>
      </c>
      <c r="J2509" s="2" t="str">
        <f aca="false">IF($G2509="","","9")</f>
        <v/>
      </c>
      <c r="K2509" s="2" t="str">
        <f aca="false">""</f>
        <v/>
      </c>
      <c r="L2509" s="2" t="str">
        <f aca="false">IF($G2509="","","同時")</f>
        <v/>
      </c>
      <c r="M2509" s="2" t="str">
        <f aca="false">IF($G2509="","",IF(ISNA(MATCH($G2509,個別指定!$A:$A,0)),"行なし",""))</f>
        <v/>
      </c>
      <c r="N2509" s="2" t="str">
        <f aca="false">IF($G2509="","",IF(COUNTIF($G$2:$G$4460,$G2509)&gt;1,"重複",""))</f>
        <v/>
      </c>
    </row>
    <row r="2510" customFormat="false" ht="16.5" hidden="false" customHeight="true" outlineLevel="0" collapsed="false">
      <c r="A2510" s="2" t="s">
        <v>416</v>
      </c>
      <c r="B2510" s="2" t="s">
        <v>437</v>
      </c>
      <c r="C2510" s="2" t="s">
        <v>9</v>
      </c>
      <c r="D2510" s="2" t="str">
        <f aca="false">IF(3キー同時!$B$266="","",3キー同時!$B$266)</f>
        <v>j</v>
      </c>
      <c r="E2510" s="2" t="str">
        <f aca="false">IF(3キー同時!$G$266="","",3キー同時!$G$266)</f>
        <v>l</v>
      </c>
      <c r="F2510" s="2" t="str">
        <f aca="false">""</f>
        <v/>
      </c>
      <c r="G2510" s="2" t="str">
        <f aca="false">IF(OR(3キー同時!$B$266="",3キー同時!$G$266=""),"",IF(3キー同時!AP268="","",SUBSTITUTE(SUBSTITUTE(3キー同時!AP268," ",""),"　","")))</f>
        <v/>
      </c>
      <c r="H2510" s="2" t="str">
        <f aca="false">IF($G2510="","",3キー同時!$B$266)</f>
        <v/>
      </c>
      <c r="I2510" s="2" t="str">
        <f aca="false">IF($G2510="","",3キー同時!$G$266)</f>
        <v/>
      </c>
      <c r="J2510" s="2" t="str">
        <f aca="false">IF($G2510="","","0")</f>
        <v/>
      </c>
      <c r="K2510" s="2" t="str">
        <f aca="false">""</f>
        <v/>
      </c>
      <c r="L2510" s="2" t="str">
        <f aca="false">IF($G2510="","","同時")</f>
        <v/>
      </c>
      <c r="M2510" s="2" t="str">
        <f aca="false">IF($G2510="","",IF(ISNA(MATCH($G2510,個別指定!$A:$A,0)),"行なし",""))</f>
        <v/>
      </c>
      <c r="N2510" s="2" t="str">
        <f aca="false">IF($G2510="","",IF(COUNTIF($G$2:$G$4460,$G2510)&gt;1,"重複",""))</f>
        <v/>
      </c>
    </row>
    <row r="2511" customFormat="false" ht="16.5" hidden="false" customHeight="true" outlineLevel="0" collapsed="false">
      <c r="A2511" s="2" t="s">
        <v>416</v>
      </c>
      <c r="B2511" s="2" t="s">
        <v>437</v>
      </c>
      <c r="C2511" s="2" t="s">
        <v>10</v>
      </c>
      <c r="D2511" s="2" t="str">
        <f aca="false">IF(3キー同時!$B$266="","",3キー同時!$B$266)</f>
        <v>j</v>
      </c>
      <c r="E2511" s="2" t="str">
        <f aca="false">IF(3キー同時!$G$266="","",3キー同時!$G$266)</f>
        <v>l</v>
      </c>
      <c r="F2511" s="2" t="str">
        <f aca="false">""</f>
        <v/>
      </c>
      <c r="G2511" s="2" t="str">
        <f aca="false">IF(OR(3キー同時!$B$266="",3キー同時!$G$266=""),"",IF(3キー同時!AT268="","",SUBSTITUTE(SUBSTITUTE(3キー同時!AT268," ",""),"　","")))</f>
        <v/>
      </c>
      <c r="H2511" s="2" t="str">
        <f aca="false">IF($G2511="","",3キー同時!$B$266)</f>
        <v/>
      </c>
      <c r="I2511" s="2" t="str">
        <f aca="false">IF($G2511="","",3キー同時!$G$266)</f>
        <v/>
      </c>
      <c r="J2511" s="2" t="str">
        <f aca="false">IF($G2511="","","-")</f>
        <v/>
      </c>
      <c r="K2511" s="2" t="str">
        <f aca="false">""</f>
        <v/>
      </c>
      <c r="L2511" s="2" t="str">
        <f aca="false">IF($G2511="","","同時")</f>
        <v/>
      </c>
      <c r="M2511" s="2" t="str">
        <f aca="false">IF($G2511="","",IF(ISNA(MATCH($G2511,個別指定!$A:$A,0)),"行なし",""))</f>
        <v/>
      </c>
      <c r="N2511" s="2" t="str">
        <f aca="false">IF($G2511="","",IF(COUNTIF($G$2:$G$4460,$G2511)&gt;1,"重複",""))</f>
        <v/>
      </c>
    </row>
    <row r="2512" customFormat="false" ht="16.5" hidden="false" customHeight="true" outlineLevel="0" collapsed="false">
      <c r="A2512" s="2" t="s">
        <v>416</v>
      </c>
      <c r="B2512" s="2" t="s">
        <v>437</v>
      </c>
      <c r="C2512" s="2" t="s">
        <v>11</v>
      </c>
      <c r="D2512" s="2" t="str">
        <f aca="false">IF(3キー同時!$B$266="","",3キー同時!$B$266)</f>
        <v>j</v>
      </c>
      <c r="E2512" s="2" t="str">
        <f aca="false">IF(3キー同時!$G$266="","",3キー同時!$G$266)</f>
        <v>l</v>
      </c>
      <c r="F2512" s="2" t="str">
        <f aca="false">""</f>
        <v/>
      </c>
      <c r="G2512" s="2" t="str">
        <f aca="false">IF(OR(3キー同時!$B$266="",3キー同時!$G$266=""),"",IF(3キー同時!AX268="","",SUBSTITUTE(SUBSTITUTE(3キー同時!AX268," ",""),"　","")))</f>
        <v/>
      </c>
      <c r="H2512" s="2" t="str">
        <f aca="false">IF($G2512="","",3キー同時!$B$266)</f>
        <v/>
      </c>
      <c r="I2512" s="2" t="str">
        <f aca="false">IF($G2512="","",3キー同時!$G$266)</f>
        <v/>
      </c>
      <c r="J2512" s="2" t="str">
        <f aca="false">IF($G2512="","","=")</f>
        <v/>
      </c>
      <c r="K2512" s="2" t="str">
        <f aca="false">""</f>
        <v/>
      </c>
      <c r="L2512" s="2" t="str">
        <f aca="false">IF($G2512="","","同時")</f>
        <v/>
      </c>
      <c r="M2512" s="2" t="str">
        <f aca="false">IF($G2512="","",IF(ISNA(MATCH($G2512,個別指定!$A:$A,0)),"行なし",""))</f>
        <v/>
      </c>
      <c r="N2512" s="2" t="str">
        <f aca="false">IF($G2512="","",IF(COUNTIF($G$2:$G$4460,$G2512)&gt;1,"重複",""))</f>
        <v/>
      </c>
    </row>
    <row r="2513" customFormat="false" ht="16.5" hidden="false" customHeight="true" outlineLevel="0" collapsed="false">
      <c r="A2513" s="2" t="s">
        <v>416</v>
      </c>
      <c r="B2513" s="2" t="s">
        <v>437</v>
      </c>
      <c r="C2513" s="2" t="s">
        <v>12</v>
      </c>
      <c r="D2513" s="2" t="str">
        <f aca="false">IF(3キー同時!$B$266="","",3キー同時!$B$266)</f>
        <v>j</v>
      </c>
      <c r="E2513" s="2" t="str">
        <f aca="false">IF(3キー同時!$G$266="","",3キー同時!$G$266)</f>
        <v>l</v>
      </c>
      <c r="F2513" s="2" t="str">
        <f aca="false">""</f>
        <v/>
      </c>
      <c r="G2513" s="2" t="str">
        <f aca="false">IF(OR(3キー同時!$B$266="",3キー同時!$G$266=""),"",IF(3キー同時!H270="","",SUBSTITUTE(SUBSTITUTE(3キー同時!H270," ",""),"　","")))</f>
        <v/>
      </c>
      <c r="H2513" s="2" t="str">
        <f aca="false">IF($G2513="","",3キー同時!$B$266)</f>
        <v/>
      </c>
      <c r="I2513" s="2" t="str">
        <f aca="false">IF($G2513="","",3キー同時!$G$266)</f>
        <v/>
      </c>
      <c r="J2513" s="2" t="str">
        <f aca="false">IF($G2513="","","q")</f>
        <v/>
      </c>
      <c r="K2513" s="2" t="str">
        <f aca="false">""</f>
        <v/>
      </c>
      <c r="L2513" s="2" t="str">
        <f aca="false">IF($G2513="","","同時")</f>
        <v/>
      </c>
      <c r="M2513" s="2" t="str">
        <f aca="false">IF($G2513="","",IF(ISNA(MATCH($G2513,個別指定!$A:$A,0)),"行なし",""))</f>
        <v/>
      </c>
      <c r="N2513" s="2" t="str">
        <f aca="false">IF($G2513="","",IF(COUNTIF($G$2:$G$4460,$G2513)&gt;1,"重複",""))</f>
        <v/>
      </c>
    </row>
    <row r="2514" customFormat="false" ht="16.5" hidden="false" customHeight="true" outlineLevel="0" collapsed="false">
      <c r="A2514" s="2" t="s">
        <v>416</v>
      </c>
      <c r="B2514" s="2" t="s">
        <v>437</v>
      </c>
      <c r="C2514" s="2" t="s">
        <v>13</v>
      </c>
      <c r="D2514" s="2" t="str">
        <f aca="false">IF(3キー同時!$B$266="","",3キー同時!$B$266)</f>
        <v>j</v>
      </c>
      <c r="E2514" s="2" t="str">
        <f aca="false">IF(3キー同時!$G$266="","",3キー同時!$G$266)</f>
        <v>l</v>
      </c>
      <c r="F2514" s="2" t="str">
        <f aca="false">""</f>
        <v/>
      </c>
      <c r="G2514" s="2" t="str">
        <f aca="false">IF(OR(3キー同時!$B$266="",3キー同時!$G$266=""),"",IF(3キー同時!L270="","",SUBSTITUTE(SUBSTITUTE(3キー同時!L270," ",""),"　","")))</f>
        <v/>
      </c>
      <c r="H2514" s="2" t="str">
        <f aca="false">IF($G2514="","",3キー同時!$B$266)</f>
        <v/>
      </c>
      <c r="I2514" s="2" t="str">
        <f aca="false">IF($G2514="","",3キー同時!$G$266)</f>
        <v/>
      </c>
      <c r="J2514" s="2" t="str">
        <f aca="false">IF($G2514="","","w")</f>
        <v/>
      </c>
      <c r="K2514" s="2" t="str">
        <f aca="false">""</f>
        <v/>
      </c>
      <c r="L2514" s="2" t="str">
        <f aca="false">IF($G2514="","","同時")</f>
        <v/>
      </c>
      <c r="M2514" s="2" t="str">
        <f aca="false">IF($G2514="","",IF(ISNA(MATCH($G2514,個別指定!$A:$A,0)),"行なし",""))</f>
        <v/>
      </c>
      <c r="N2514" s="2" t="str">
        <f aca="false">IF($G2514="","",IF(COUNTIF($G$2:$G$4460,$G2514)&gt;1,"重複",""))</f>
        <v/>
      </c>
    </row>
    <row r="2515" customFormat="false" ht="16.5" hidden="false" customHeight="true" outlineLevel="0" collapsed="false">
      <c r="A2515" s="2" t="s">
        <v>416</v>
      </c>
      <c r="B2515" s="2" t="s">
        <v>437</v>
      </c>
      <c r="C2515" s="2" t="s">
        <v>14</v>
      </c>
      <c r="D2515" s="2" t="str">
        <f aca="false">IF(3キー同時!$B$266="","",3キー同時!$B$266)</f>
        <v>j</v>
      </c>
      <c r="E2515" s="2" t="str">
        <f aca="false">IF(3キー同時!$G$266="","",3キー同時!$G$266)</f>
        <v>l</v>
      </c>
      <c r="F2515" s="2" t="str">
        <f aca="false">""</f>
        <v/>
      </c>
      <c r="G2515" s="2" t="str">
        <f aca="false">IF(OR(3キー同時!$B$266="",3キー同時!$G$266=""),"",IF(3キー同時!P270="","",SUBSTITUTE(SUBSTITUTE(3キー同時!P270," ",""),"　","")))</f>
        <v/>
      </c>
      <c r="H2515" s="2" t="str">
        <f aca="false">IF($G2515="","",3キー同時!$B$266)</f>
        <v/>
      </c>
      <c r="I2515" s="2" t="str">
        <f aca="false">IF($G2515="","",3キー同時!$G$266)</f>
        <v/>
      </c>
      <c r="J2515" s="2" t="str">
        <f aca="false">IF($G2515="","","e")</f>
        <v/>
      </c>
      <c r="K2515" s="2" t="str">
        <f aca="false">""</f>
        <v/>
      </c>
      <c r="L2515" s="2" t="str">
        <f aca="false">IF($G2515="","","同時")</f>
        <v/>
      </c>
      <c r="M2515" s="2" t="str">
        <f aca="false">IF($G2515="","",IF(ISNA(MATCH($G2515,個別指定!$A:$A,0)),"行なし",""))</f>
        <v/>
      </c>
      <c r="N2515" s="2" t="str">
        <f aca="false">IF($G2515="","",IF(COUNTIF($G$2:$G$4460,$G2515)&gt;1,"重複",""))</f>
        <v/>
      </c>
    </row>
    <row r="2516" customFormat="false" ht="16.5" hidden="false" customHeight="true" outlineLevel="0" collapsed="false">
      <c r="A2516" s="2" t="s">
        <v>416</v>
      </c>
      <c r="B2516" s="2" t="s">
        <v>437</v>
      </c>
      <c r="C2516" s="2" t="s">
        <v>15</v>
      </c>
      <c r="D2516" s="2" t="str">
        <f aca="false">IF(3キー同時!$B$266="","",3キー同時!$B$266)</f>
        <v>j</v>
      </c>
      <c r="E2516" s="2" t="str">
        <f aca="false">IF(3キー同時!$G$266="","",3キー同時!$G$266)</f>
        <v>l</v>
      </c>
      <c r="F2516" s="2" t="str">
        <f aca="false">""</f>
        <v/>
      </c>
      <c r="G2516" s="2" t="str">
        <f aca="false">IF(OR(3キー同時!$B$266="",3キー同時!$G$266=""),"",IF(3キー同時!T270="","",SUBSTITUTE(SUBSTITUTE(3キー同時!T270," ",""),"　","")))</f>
        <v/>
      </c>
      <c r="H2516" s="2" t="str">
        <f aca="false">IF($G2516="","",3キー同時!$B$266)</f>
        <v/>
      </c>
      <c r="I2516" s="2" t="str">
        <f aca="false">IF($G2516="","",3キー同時!$G$266)</f>
        <v/>
      </c>
      <c r="J2516" s="2" t="str">
        <f aca="false">IF($G2516="","","r")</f>
        <v/>
      </c>
      <c r="K2516" s="2" t="str">
        <f aca="false">""</f>
        <v/>
      </c>
      <c r="L2516" s="2" t="str">
        <f aca="false">IF($G2516="","","同時")</f>
        <v/>
      </c>
      <c r="M2516" s="2" t="str">
        <f aca="false">IF($G2516="","",IF(ISNA(MATCH($G2516,個別指定!$A:$A,0)),"行なし",""))</f>
        <v/>
      </c>
      <c r="N2516" s="2" t="str">
        <f aca="false">IF($G2516="","",IF(COUNTIF($G$2:$G$4460,$G2516)&gt;1,"重複",""))</f>
        <v/>
      </c>
    </row>
    <row r="2517" customFormat="false" ht="16.5" hidden="false" customHeight="true" outlineLevel="0" collapsed="false">
      <c r="A2517" s="2" t="s">
        <v>416</v>
      </c>
      <c r="B2517" s="2" t="s">
        <v>437</v>
      </c>
      <c r="C2517" s="2" t="s">
        <v>16</v>
      </c>
      <c r="D2517" s="2" t="str">
        <f aca="false">IF(3キー同時!$B$266="","",3キー同時!$B$266)</f>
        <v>j</v>
      </c>
      <c r="E2517" s="2" t="str">
        <f aca="false">IF(3キー同時!$G$266="","",3キー同時!$G$266)</f>
        <v>l</v>
      </c>
      <c r="F2517" s="2" t="str">
        <f aca="false">""</f>
        <v/>
      </c>
      <c r="G2517" s="2" t="str">
        <f aca="false">IF(OR(3キー同時!$B$266="",3キー同時!$G$266=""),"",IF(3キー同時!X270="","",SUBSTITUTE(SUBSTITUTE(3キー同時!X270," ",""),"　","")))</f>
        <v/>
      </c>
      <c r="H2517" s="2" t="str">
        <f aca="false">IF($G2517="","",3キー同時!$B$266)</f>
        <v/>
      </c>
      <c r="I2517" s="2" t="str">
        <f aca="false">IF($G2517="","",3キー同時!$G$266)</f>
        <v/>
      </c>
      <c r="J2517" s="2" t="str">
        <f aca="false">IF($G2517="","","t")</f>
        <v/>
      </c>
      <c r="K2517" s="2" t="str">
        <f aca="false">""</f>
        <v/>
      </c>
      <c r="L2517" s="2" t="str">
        <f aca="false">IF($G2517="","","同時")</f>
        <v/>
      </c>
      <c r="M2517" s="2" t="str">
        <f aca="false">IF($G2517="","",IF(ISNA(MATCH($G2517,個別指定!$A:$A,0)),"行なし",""))</f>
        <v/>
      </c>
      <c r="N2517" s="2" t="str">
        <f aca="false">IF($G2517="","",IF(COUNTIF($G$2:$G$4460,$G2517)&gt;1,"重複",""))</f>
        <v/>
      </c>
    </row>
    <row r="2518" customFormat="false" ht="16.5" hidden="false" customHeight="true" outlineLevel="0" collapsed="false">
      <c r="A2518" s="2" t="s">
        <v>416</v>
      </c>
      <c r="B2518" s="2" t="s">
        <v>437</v>
      </c>
      <c r="C2518" s="2" t="s">
        <v>17</v>
      </c>
      <c r="D2518" s="2" t="str">
        <f aca="false">IF(3キー同時!$B$266="","",3キー同時!$B$266)</f>
        <v>j</v>
      </c>
      <c r="E2518" s="2" t="str">
        <f aca="false">IF(3キー同時!$G$266="","",3キー同時!$G$266)</f>
        <v>l</v>
      </c>
      <c r="F2518" s="2" t="str">
        <f aca="false">""</f>
        <v/>
      </c>
      <c r="G2518" s="2" t="str">
        <f aca="false">IF(OR(3キー同時!$B$266="",3キー同時!$G$266=""),"",IF(3キー同時!AB270="","",SUBSTITUTE(SUBSTITUTE(3キー同時!AB270," ",""),"　","")))</f>
        <v/>
      </c>
      <c r="H2518" s="2" t="str">
        <f aca="false">IF($G2518="","",3キー同時!$B$266)</f>
        <v/>
      </c>
      <c r="I2518" s="2" t="str">
        <f aca="false">IF($G2518="","",3キー同時!$G$266)</f>
        <v/>
      </c>
      <c r="J2518" s="2" t="str">
        <f aca="false">IF($G2518="","","y")</f>
        <v/>
      </c>
      <c r="K2518" s="2" t="str">
        <f aca="false">""</f>
        <v/>
      </c>
      <c r="L2518" s="2" t="str">
        <f aca="false">IF($G2518="","","同時")</f>
        <v/>
      </c>
      <c r="M2518" s="2" t="str">
        <f aca="false">IF($G2518="","",IF(ISNA(MATCH($G2518,個別指定!$A:$A,0)),"行なし",""))</f>
        <v/>
      </c>
      <c r="N2518" s="2" t="str">
        <f aca="false">IF($G2518="","",IF(COUNTIF($G$2:$G$4460,$G2518)&gt;1,"重複",""))</f>
        <v/>
      </c>
    </row>
    <row r="2519" customFormat="false" ht="16.5" hidden="false" customHeight="true" outlineLevel="0" collapsed="false">
      <c r="A2519" s="2" t="s">
        <v>416</v>
      </c>
      <c r="B2519" s="2" t="s">
        <v>437</v>
      </c>
      <c r="C2519" s="2" t="s">
        <v>18</v>
      </c>
      <c r="D2519" s="2" t="str">
        <f aca="false">IF(3キー同時!$B$266="","",3キー同時!$B$266)</f>
        <v>j</v>
      </c>
      <c r="E2519" s="2" t="str">
        <f aca="false">IF(3キー同時!$G$266="","",3キー同時!$G$266)</f>
        <v>l</v>
      </c>
      <c r="F2519" s="2" t="str">
        <f aca="false">""</f>
        <v/>
      </c>
      <c r="G2519" s="2" t="str">
        <f aca="false">IF(OR(3キー同時!$B$266="",3キー同時!$G$266=""),"",IF(3キー同時!AF270="","",SUBSTITUTE(SUBSTITUTE(3キー同時!AF270," ",""),"　","")))</f>
        <v/>
      </c>
      <c r="H2519" s="2" t="str">
        <f aca="false">IF($G2519="","",3キー同時!$B$266)</f>
        <v/>
      </c>
      <c r="I2519" s="2" t="str">
        <f aca="false">IF($G2519="","",3キー同時!$G$266)</f>
        <v/>
      </c>
      <c r="J2519" s="2" t="str">
        <f aca="false">IF($G2519="","","u")</f>
        <v/>
      </c>
      <c r="K2519" s="2" t="str">
        <f aca="false">""</f>
        <v/>
      </c>
      <c r="L2519" s="2" t="str">
        <f aca="false">IF($G2519="","","同時")</f>
        <v/>
      </c>
      <c r="M2519" s="2" t="str">
        <f aca="false">IF($G2519="","",IF(ISNA(MATCH($G2519,個別指定!$A:$A,0)),"行なし",""))</f>
        <v/>
      </c>
      <c r="N2519" s="2" t="str">
        <f aca="false">IF($G2519="","",IF(COUNTIF($G$2:$G$4460,$G2519)&gt;1,"重複",""))</f>
        <v/>
      </c>
    </row>
    <row r="2520" customFormat="false" ht="16.5" hidden="false" customHeight="true" outlineLevel="0" collapsed="false">
      <c r="A2520" s="2" t="s">
        <v>416</v>
      </c>
      <c r="B2520" s="2" t="s">
        <v>437</v>
      </c>
      <c r="C2520" s="2" t="s">
        <v>19</v>
      </c>
      <c r="D2520" s="2" t="str">
        <f aca="false">IF(3キー同時!$B$266="","",3キー同時!$B$266)</f>
        <v>j</v>
      </c>
      <c r="E2520" s="2" t="str">
        <f aca="false">IF(3キー同時!$G$266="","",3キー同時!$G$266)</f>
        <v>l</v>
      </c>
      <c r="F2520" s="2" t="str">
        <f aca="false">""</f>
        <v/>
      </c>
      <c r="G2520" s="2" t="str">
        <f aca="false">IF(OR(3キー同時!$B$266="",3キー同時!$G$266=""),"",IF(3キー同時!AJ270="","",SUBSTITUTE(SUBSTITUTE(3キー同時!AJ270," ",""),"　","")))</f>
        <v/>
      </c>
      <c r="H2520" s="2" t="str">
        <f aca="false">IF($G2520="","",3キー同時!$B$266)</f>
        <v/>
      </c>
      <c r="I2520" s="2" t="str">
        <f aca="false">IF($G2520="","",3キー同時!$G$266)</f>
        <v/>
      </c>
      <c r="J2520" s="2" t="str">
        <f aca="false">IF($G2520="","","i")</f>
        <v/>
      </c>
      <c r="K2520" s="2" t="str">
        <f aca="false">""</f>
        <v/>
      </c>
      <c r="L2520" s="2" t="str">
        <f aca="false">IF($G2520="","","同時")</f>
        <v/>
      </c>
      <c r="M2520" s="2" t="str">
        <f aca="false">IF($G2520="","",IF(ISNA(MATCH($G2520,個別指定!$A:$A,0)),"行なし",""))</f>
        <v/>
      </c>
      <c r="N2520" s="2" t="str">
        <f aca="false">IF($G2520="","",IF(COUNTIF($G$2:$G$4460,$G2520)&gt;1,"重複",""))</f>
        <v/>
      </c>
    </row>
    <row r="2521" customFormat="false" ht="16.5" hidden="false" customHeight="true" outlineLevel="0" collapsed="false">
      <c r="A2521" s="2" t="s">
        <v>416</v>
      </c>
      <c r="B2521" s="2" t="s">
        <v>437</v>
      </c>
      <c r="C2521" s="2" t="s">
        <v>20</v>
      </c>
      <c r="D2521" s="2" t="str">
        <f aca="false">IF(3キー同時!$B$266="","",3キー同時!$B$266)</f>
        <v>j</v>
      </c>
      <c r="E2521" s="2" t="str">
        <f aca="false">IF(3キー同時!$G$266="","",3キー同時!$G$266)</f>
        <v>l</v>
      </c>
      <c r="F2521" s="2" t="str">
        <f aca="false">""</f>
        <v/>
      </c>
      <c r="G2521" s="2" t="str">
        <f aca="false">IF(OR(3キー同時!$B$266="",3キー同時!$G$266=""),"",IF(3キー同時!AN270="","",SUBSTITUTE(SUBSTITUTE(3キー同時!AN270," ",""),"　","")))</f>
        <v/>
      </c>
      <c r="H2521" s="2" t="str">
        <f aca="false">IF($G2521="","",3キー同時!$B$266)</f>
        <v/>
      </c>
      <c r="I2521" s="2" t="str">
        <f aca="false">IF($G2521="","",3キー同時!$G$266)</f>
        <v/>
      </c>
      <c r="J2521" s="2" t="str">
        <f aca="false">IF($G2521="","","o")</f>
        <v/>
      </c>
      <c r="K2521" s="2" t="str">
        <f aca="false">""</f>
        <v/>
      </c>
      <c r="L2521" s="2" t="str">
        <f aca="false">IF($G2521="","","同時")</f>
        <v/>
      </c>
      <c r="M2521" s="2" t="str">
        <f aca="false">IF($G2521="","",IF(ISNA(MATCH($G2521,個別指定!$A:$A,0)),"行なし",""))</f>
        <v/>
      </c>
      <c r="N2521" s="2" t="str">
        <f aca="false">IF($G2521="","",IF(COUNTIF($G$2:$G$4460,$G2521)&gt;1,"重複",""))</f>
        <v/>
      </c>
    </row>
    <row r="2522" customFormat="false" ht="16.5" hidden="false" customHeight="true" outlineLevel="0" collapsed="false">
      <c r="A2522" s="2" t="s">
        <v>416</v>
      </c>
      <c r="B2522" s="2" t="s">
        <v>437</v>
      </c>
      <c r="C2522" s="2" t="s">
        <v>21</v>
      </c>
      <c r="D2522" s="2" t="str">
        <f aca="false">IF(3キー同時!$B$266="","",3キー同時!$B$266)</f>
        <v>j</v>
      </c>
      <c r="E2522" s="2" t="str">
        <f aca="false">IF(3キー同時!$G$266="","",3キー同時!$G$266)</f>
        <v>l</v>
      </c>
      <c r="F2522" s="2" t="str">
        <f aca="false">""</f>
        <v/>
      </c>
      <c r="G2522" s="2" t="str">
        <f aca="false">IF(OR(3キー同時!$B$266="",3キー同時!$G$266=""),"",IF(3キー同時!AR270="","",SUBSTITUTE(SUBSTITUTE(3キー同時!AR270," ",""),"　","")))</f>
        <v/>
      </c>
      <c r="H2522" s="2" t="str">
        <f aca="false">IF($G2522="","",3キー同時!$B$266)</f>
        <v/>
      </c>
      <c r="I2522" s="2" t="str">
        <f aca="false">IF($G2522="","",3キー同時!$G$266)</f>
        <v/>
      </c>
      <c r="J2522" s="2" t="str">
        <f aca="false">IF($G2522="","","p")</f>
        <v/>
      </c>
      <c r="K2522" s="2" t="str">
        <f aca="false">""</f>
        <v/>
      </c>
      <c r="L2522" s="2" t="str">
        <f aca="false">IF($G2522="","","同時")</f>
        <v/>
      </c>
      <c r="M2522" s="2" t="str">
        <f aca="false">IF($G2522="","",IF(ISNA(MATCH($G2522,個別指定!$A:$A,0)),"行なし",""))</f>
        <v/>
      </c>
      <c r="N2522" s="2" t="str">
        <f aca="false">IF($G2522="","",IF(COUNTIF($G$2:$G$4460,$G2522)&gt;1,"重複",""))</f>
        <v/>
      </c>
    </row>
    <row r="2523" customFormat="false" ht="16.5" hidden="false" customHeight="true" outlineLevel="0" collapsed="false">
      <c r="A2523" s="2" t="s">
        <v>416</v>
      </c>
      <c r="B2523" s="2" t="s">
        <v>437</v>
      </c>
      <c r="C2523" s="2" t="s">
        <v>22</v>
      </c>
      <c r="D2523" s="2" t="str">
        <f aca="false">IF(3キー同時!$B$266="","",3キー同時!$B$266)</f>
        <v>j</v>
      </c>
      <c r="E2523" s="2" t="str">
        <f aca="false">IF(3キー同時!$G$266="","",3キー同時!$G$266)</f>
        <v>l</v>
      </c>
      <c r="F2523" s="2" t="str">
        <f aca="false">""</f>
        <v/>
      </c>
      <c r="G2523" s="2" t="str">
        <f aca="false">IF(OR(3キー同時!$B$266="",3キー同時!$G$266=""),"",IF(3キー同時!AV270="","",SUBSTITUTE(SUBSTITUTE(3キー同時!AV270," ",""),"　","")))</f>
        <v/>
      </c>
      <c r="H2523" s="2" t="str">
        <f aca="false">IF($G2523="","",3キー同時!$B$266)</f>
        <v/>
      </c>
      <c r="I2523" s="2" t="str">
        <f aca="false">IF($G2523="","",3キー同時!$G$266)</f>
        <v/>
      </c>
      <c r="J2523" s="2" t="str">
        <f aca="false">IF($G2523="","","[")</f>
        <v/>
      </c>
      <c r="K2523" s="2" t="str">
        <f aca="false">""</f>
        <v/>
      </c>
      <c r="L2523" s="2" t="str">
        <f aca="false">IF($G2523="","","同時")</f>
        <v/>
      </c>
      <c r="M2523" s="2" t="str">
        <f aca="false">IF($G2523="","",IF(ISNA(MATCH($G2523,個別指定!$A:$A,0)),"行なし",""))</f>
        <v/>
      </c>
      <c r="N2523" s="2" t="str">
        <f aca="false">IF($G2523="","",IF(COUNTIF($G$2:$G$4460,$G2523)&gt;1,"重複",""))</f>
        <v/>
      </c>
    </row>
    <row r="2524" customFormat="false" ht="16.5" hidden="false" customHeight="true" outlineLevel="0" collapsed="false">
      <c r="A2524" s="2" t="s">
        <v>416</v>
      </c>
      <c r="B2524" s="2" t="s">
        <v>437</v>
      </c>
      <c r="C2524" s="2" t="s">
        <v>23</v>
      </c>
      <c r="D2524" s="2" t="str">
        <f aca="false">IF(3キー同時!$B$266="","",3キー同時!$B$266)</f>
        <v>j</v>
      </c>
      <c r="E2524" s="2" t="str">
        <f aca="false">IF(3キー同時!$G$266="","",3キー同時!$G$266)</f>
        <v>l</v>
      </c>
      <c r="F2524" s="2" t="str">
        <f aca="false">""</f>
        <v/>
      </c>
      <c r="G2524" s="2" t="str">
        <f aca="false">IF(OR(3キー同時!$B$266="",3キー同時!$G$266=""),"",IF(3キー同時!AZ270="","",SUBSTITUTE(SUBSTITUTE(3キー同時!AZ270," ",""),"　","")))</f>
        <v/>
      </c>
      <c r="H2524" s="2" t="str">
        <f aca="false">IF($G2524="","",3キー同時!$B$266)</f>
        <v/>
      </c>
      <c r="I2524" s="2" t="str">
        <f aca="false">IF($G2524="","",3キー同時!$G$266)</f>
        <v/>
      </c>
      <c r="J2524" s="2" t="str">
        <f aca="false">IF($G2524="","","]")</f>
        <v/>
      </c>
      <c r="K2524" s="2" t="str">
        <f aca="false">""</f>
        <v/>
      </c>
      <c r="L2524" s="2" t="str">
        <f aca="false">IF($G2524="","","同時")</f>
        <v/>
      </c>
      <c r="M2524" s="2" t="str">
        <f aca="false">IF($G2524="","",IF(ISNA(MATCH($G2524,個別指定!$A:$A,0)),"行なし",""))</f>
        <v/>
      </c>
      <c r="N2524" s="2" t="str">
        <f aca="false">IF($G2524="","",IF(COUNTIF($G$2:$G$4460,$G2524)&gt;1,"重複",""))</f>
        <v/>
      </c>
    </row>
    <row r="2525" customFormat="false" ht="16.5" hidden="false" customHeight="true" outlineLevel="0" collapsed="false">
      <c r="A2525" s="2" t="s">
        <v>416</v>
      </c>
      <c r="B2525" s="2" t="s">
        <v>437</v>
      </c>
      <c r="C2525" s="2" t="s">
        <v>24</v>
      </c>
      <c r="D2525" s="2" t="str">
        <f aca="false">IF(3キー同時!$B$266="","",3キー同時!$B$266)</f>
        <v>j</v>
      </c>
      <c r="E2525" s="2" t="str">
        <f aca="false">IF(3キー同時!$G$266="","",3キー同時!$G$266)</f>
        <v>l</v>
      </c>
      <c r="F2525" s="2" t="str">
        <f aca="false">""</f>
        <v/>
      </c>
      <c r="G2525" s="2" t="str">
        <f aca="false">IF(OR(3キー同時!$B$266="",3キー同時!$G$266=""),"",IF(3キー同時!I272="","",SUBSTITUTE(SUBSTITUTE(3キー同時!I272," ",""),"　","")))</f>
        <v/>
      </c>
      <c r="H2525" s="2" t="str">
        <f aca="false">IF($G2525="","",3キー同時!$B$266)</f>
        <v/>
      </c>
      <c r="I2525" s="2" t="str">
        <f aca="false">IF($G2525="","",3キー同時!$G$266)</f>
        <v/>
      </c>
      <c r="J2525" s="2" t="str">
        <f aca="false">IF($G2525="","","a")</f>
        <v/>
      </c>
      <c r="K2525" s="2" t="str">
        <f aca="false">""</f>
        <v/>
      </c>
      <c r="L2525" s="2" t="str">
        <f aca="false">IF($G2525="","","同時")</f>
        <v/>
      </c>
      <c r="M2525" s="2" t="str">
        <f aca="false">IF($G2525="","",IF(ISNA(MATCH($G2525,個別指定!$A:$A,0)),"行なし",""))</f>
        <v/>
      </c>
      <c r="N2525" s="2" t="str">
        <f aca="false">IF($G2525="","",IF(COUNTIF($G$2:$G$4460,$G2525)&gt;1,"重複",""))</f>
        <v/>
      </c>
    </row>
    <row r="2526" customFormat="false" ht="16.5" hidden="false" customHeight="true" outlineLevel="0" collapsed="false">
      <c r="A2526" s="2" t="s">
        <v>416</v>
      </c>
      <c r="B2526" s="2" t="s">
        <v>437</v>
      </c>
      <c r="C2526" s="2" t="s">
        <v>25</v>
      </c>
      <c r="D2526" s="2" t="str">
        <f aca="false">IF(3キー同時!$B$266="","",3キー同時!$B$266)</f>
        <v>j</v>
      </c>
      <c r="E2526" s="2" t="str">
        <f aca="false">IF(3キー同時!$G$266="","",3キー同時!$G$266)</f>
        <v>l</v>
      </c>
      <c r="F2526" s="2" t="str">
        <f aca="false">""</f>
        <v/>
      </c>
      <c r="G2526" s="2" t="str">
        <f aca="false">IF(OR(3キー同時!$B$266="",3キー同時!$G$266=""),"",IF(3キー同時!M272="","",SUBSTITUTE(SUBSTITUTE(3キー同時!M272," ",""),"　","")))</f>
        <v/>
      </c>
      <c r="H2526" s="2" t="str">
        <f aca="false">IF($G2526="","",3キー同時!$B$266)</f>
        <v/>
      </c>
      <c r="I2526" s="2" t="str">
        <f aca="false">IF($G2526="","",3キー同時!$G$266)</f>
        <v/>
      </c>
      <c r="J2526" s="2" t="str">
        <f aca="false">IF($G2526="","","s")</f>
        <v/>
      </c>
      <c r="K2526" s="2" t="str">
        <f aca="false">""</f>
        <v/>
      </c>
      <c r="L2526" s="2" t="str">
        <f aca="false">IF($G2526="","","同時")</f>
        <v/>
      </c>
      <c r="M2526" s="2" t="str">
        <f aca="false">IF($G2526="","",IF(ISNA(MATCH($G2526,個別指定!$A:$A,0)),"行なし",""))</f>
        <v/>
      </c>
      <c r="N2526" s="2" t="str">
        <f aca="false">IF($G2526="","",IF(COUNTIF($G$2:$G$4460,$G2526)&gt;1,"重複",""))</f>
        <v/>
      </c>
    </row>
    <row r="2527" customFormat="false" ht="16.5" hidden="false" customHeight="true" outlineLevel="0" collapsed="false">
      <c r="A2527" s="2" t="s">
        <v>416</v>
      </c>
      <c r="B2527" s="2" t="s">
        <v>437</v>
      </c>
      <c r="C2527" s="2" t="s">
        <v>26</v>
      </c>
      <c r="D2527" s="2" t="str">
        <f aca="false">IF(3キー同時!$B$266="","",3キー同時!$B$266)</f>
        <v>j</v>
      </c>
      <c r="E2527" s="2" t="str">
        <f aca="false">IF(3キー同時!$G$266="","",3キー同時!$G$266)</f>
        <v>l</v>
      </c>
      <c r="F2527" s="2" t="str">
        <f aca="false">""</f>
        <v/>
      </c>
      <c r="G2527" s="2" t="str">
        <f aca="false">IF(OR(3キー同時!$B$266="",3キー同時!$G$266=""),"",IF(3キー同時!Q272="","",SUBSTITUTE(SUBSTITUTE(3キー同時!Q272," ",""),"　","")))</f>
        <v>どぅ</v>
      </c>
      <c r="H2527" s="2" t="str">
        <f aca="false">IF($G2527="","",3キー同時!$B$266)</f>
        <v>j</v>
      </c>
      <c r="I2527" s="2" t="str">
        <f aca="false">IF($G2527="","",3キー同時!$G$266)</f>
        <v>l</v>
      </c>
      <c r="J2527" s="2" t="str">
        <f aca="false">IF($G2527="","","d")</f>
        <v>d</v>
      </c>
      <c r="K2527" s="2" t="str">
        <f aca="false">""</f>
        <v/>
      </c>
      <c r="L2527" s="2" t="str">
        <f aca="false">IF($G2527="","","同時")</f>
        <v>同時</v>
      </c>
      <c r="M2527" s="2" t="str">
        <f aca="false">IF($G2527="","",IF(ISNA(MATCH($G2527,個別指定!$A:$A,0)),"行なし",""))</f>
        <v/>
      </c>
      <c r="N2527" s="2" t="str">
        <f aca="false">IF($G2527="","",IF(COUNTIF($G$2:$G$4460,$G2527)&gt;1,"重複",""))</f>
        <v/>
      </c>
    </row>
    <row r="2528" customFormat="false" ht="16.5" hidden="false" customHeight="true" outlineLevel="0" collapsed="false">
      <c r="A2528" s="2" t="s">
        <v>416</v>
      </c>
      <c r="B2528" s="2" t="s">
        <v>437</v>
      </c>
      <c r="C2528" s="2" t="s">
        <v>27</v>
      </c>
      <c r="D2528" s="2" t="str">
        <f aca="false">IF(3キー同時!$B$266="","",3キー同時!$B$266)</f>
        <v>j</v>
      </c>
      <c r="E2528" s="2" t="str">
        <f aca="false">IF(3キー同時!$G$266="","",3キー同時!$G$266)</f>
        <v>l</v>
      </c>
      <c r="F2528" s="2" t="str">
        <f aca="false">""</f>
        <v/>
      </c>
      <c r="G2528" s="2" t="str">
        <f aca="false">IF(OR(3キー同時!$B$266="",3キー同時!$G$266=""),"",IF(3キー同時!U272="","",SUBSTITUTE(SUBSTITUTE(3キー同時!U272," ",""),"　","")))</f>
        <v/>
      </c>
      <c r="H2528" s="2" t="str">
        <f aca="false">IF($G2528="","",3キー同時!$B$266)</f>
        <v/>
      </c>
      <c r="I2528" s="2" t="str">
        <f aca="false">IF($G2528="","",3キー同時!$G$266)</f>
        <v/>
      </c>
      <c r="J2528" s="2" t="str">
        <f aca="false">IF($G2528="","","f")</f>
        <v/>
      </c>
      <c r="K2528" s="2" t="str">
        <f aca="false">""</f>
        <v/>
      </c>
      <c r="L2528" s="2" t="str">
        <f aca="false">IF($G2528="","","同時")</f>
        <v/>
      </c>
      <c r="M2528" s="2" t="str">
        <f aca="false">IF($G2528="","",IF(ISNA(MATCH($G2528,個別指定!$A:$A,0)),"行なし",""))</f>
        <v/>
      </c>
      <c r="N2528" s="2" t="str">
        <f aca="false">IF($G2528="","",IF(COUNTIF($G$2:$G$4460,$G2528)&gt;1,"重複",""))</f>
        <v/>
      </c>
    </row>
    <row r="2529" customFormat="false" ht="16.5" hidden="false" customHeight="true" outlineLevel="0" collapsed="false">
      <c r="A2529" s="2" t="s">
        <v>416</v>
      </c>
      <c r="B2529" s="2" t="s">
        <v>437</v>
      </c>
      <c r="C2529" s="2" t="s">
        <v>28</v>
      </c>
      <c r="D2529" s="2" t="str">
        <f aca="false">IF(3キー同時!$B$266="","",3キー同時!$B$266)</f>
        <v>j</v>
      </c>
      <c r="E2529" s="2" t="str">
        <f aca="false">IF(3キー同時!$G$266="","",3キー同時!$G$266)</f>
        <v>l</v>
      </c>
      <c r="F2529" s="2" t="str">
        <f aca="false">""</f>
        <v/>
      </c>
      <c r="G2529" s="2" t="str">
        <f aca="false">IF(OR(3キー同時!$B$266="",3キー同時!$G$266=""),"",IF(3キー同時!Y272="","",SUBSTITUTE(SUBSTITUTE(3キー同時!Y272," ",""),"　","")))</f>
        <v/>
      </c>
      <c r="H2529" s="2" t="str">
        <f aca="false">IF($G2529="","",3キー同時!$B$266)</f>
        <v/>
      </c>
      <c r="I2529" s="2" t="str">
        <f aca="false">IF($G2529="","",3キー同時!$G$266)</f>
        <v/>
      </c>
      <c r="J2529" s="2" t="str">
        <f aca="false">IF($G2529="","","g")</f>
        <v/>
      </c>
      <c r="K2529" s="2" t="str">
        <f aca="false">""</f>
        <v/>
      </c>
      <c r="L2529" s="2" t="str">
        <f aca="false">IF($G2529="","","同時")</f>
        <v/>
      </c>
      <c r="M2529" s="2" t="str">
        <f aca="false">IF($G2529="","",IF(ISNA(MATCH($G2529,個別指定!$A:$A,0)),"行なし",""))</f>
        <v/>
      </c>
      <c r="N2529" s="2" t="str">
        <f aca="false">IF($G2529="","",IF(COUNTIF($G$2:$G$4460,$G2529)&gt;1,"重複",""))</f>
        <v/>
      </c>
    </row>
    <row r="2530" customFormat="false" ht="16.5" hidden="false" customHeight="true" outlineLevel="0" collapsed="false">
      <c r="A2530" s="2" t="s">
        <v>416</v>
      </c>
      <c r="B2530" s="2" t="s">
        <v>437</v>
      </c>
      <c r="C2530" s="2" t="s">
        <v>29</v>
      </c>
      <c r="D2530" s="2" t="str">
        <f aca="false">IF(3キー同時!$B$266="","",3キー同時!$B$266)</f>
        <v>j</v>
      </c>
      <c r="E2530" s="2" t="str">
        <f aca="false">IF(3キー同時!$G$266="","",3キー同時!$G$266)</f>
        <v>l</v>
      </c>
      <c r="F2530" s="2" t="str">
        <f aca="false">""</f>
        <v/>
      </c>
      <c r="G2530" s="2" t="str">
        <f aca="false">IF(OR(3キー同時!$B$266="",3キー同時!$G$266=""),"",IF(3キー同時!AC272="","",SUBSTITUTE(SUBSTITUTE(3キー同時!AC272," ",""),"　","")))</f>
        <v/>
      </c>
      <c r="H2530" s="2" t="str">
        <f aca="false">IF($G2530="","",3キー同時!$B$266)</f>
        <v/>
      </c>
      <c r="I2530" s="2" t="str">
        <f aca="false">IF($G2530="","",3キー同時!$G$266)</f>
        <v/>
      </c>
      <c r="J2530" s="2" t="str">
        <f aca="false">IF($G2530="","","h")</f>
        <v/>
      </c>
      <c r="K2530" s="2" t="str">
        <f aca="false">""</f>
        <v/>
      </c>
      <c r="L2530" s="2" t="str">
        <f aca="false">IF($G2530="","","同時")</f>
        <v/>
      </c>
      <c r="M2530" s="2" t="str">
        <f aca="false">IF($G2530="","",IF(ISNA(MATCH($G2530,個別指定!$A:$A,0)),"行なし",""))</f>
        <v/>
      </c>
      <c r="N2530" s="2" t="str">
        <f aca="false">IF($G2530="","",IF(COUNTIF($G$2:$G$4460,$G2530)&gt;1,"重複",""))</f>
        <v/>
      </c>
    </row>
    <row r="2531" customFormat="false" ht="16.5" hidden="false" customHeight="true" outlineLevel="0" collapsed="false">
      <c r="A2531" s="2" t="s">
        <v>416</v>
      </c>
      <c r="B2531" s="2" t="s">
        <v>437</v>
      </c>
      <c r="C2531" s="2" t="s">
        <v>30</v>
      </c>
      <c r="D2531" s="2" t="str">
        <f aca="false">IF(3キー同時!$B$266="","",3キー同時!$B$266)</f>
        <v>j</v>
      </c>
      <c r="E2531" s="2" t="str">
        <f aca="false">IF(3キー同時!$G$266="","",3キー同時!$G$266)</f>
        <v>l</v>
      </c>
      <c r="F2531" s="2" t="str">
        <f aca="false">""</f>
        <v/>
      </c>
      <c r="G2531" s="2" t="str">
        <f aca="false">IF(OR(3キー同時!$B$266="",3キー同時!$G$266=""),"",IF(3キー同時!AG272="","",SUBSTITUTE(SUBSTITUTE(3キー同時!AG272," ",""),"　","")))</f>
        <v/>
      </c>
      <c r="H2531" s="2" t="str">
        <f aca="false">IF($G2531="","",3キー同時!$B$266)</f>
        <v/>
      </c>
      <c r="I2531" s="2" t="str">
        <f aca="false">IF($G2531="","",3キー同時!$G$266)</f>
        <v/>
      </c>
      <c r="J2531" s="2" t="str">
        <f aca="false">IF($G2531="","","j")</f>
        <v/>
      </c>
      <c r="K2531" s="2" t="str">
        <f aca="false">""</f>
        <v/>
      </c>
      <c r="L2531" s="2" t="str">
        <f aca="false">IF($G2531="","","同時")</f>
        <v/>
      </c>
      <c r="M2531" s="2" t="str">
        <f aca="false">IF($G2531="","",IF(ISNA(MATCH($G2531,個別指定!$A:$A,0)),"行なし",""))</f>
        <v/>
      </c>
      <c r="N2531" s="2" t="str">
        <f aca="false">IF($G2531="","",IF(COUNTIF($G$2:$G$4460,$G2531)&gt;1,"重複",""))</f>
        <v/>
      </c>
    </row>
    <row r="2532" customFormat="false" ht="16.5" hidden="false" customHeight="true" outlineLevel="0" collapsed="false">
      <c r="A2532" s="2" t="s">
        <v>416</v>
      </c>
      <c r="B2532" s="2" t="s">
        <v>437</v>
      </c>
      <c r="C2532" s="2" t="s">
        <v>31</v>
      </c>
      <c r="D2532" s="2" t="str">
        <f aca="false">IF(3キー同時!$B$266="","",3キー同時!$B$266)</f>
        <v>j</v>
      </c>
      <c r="E2532" s="2" t="str">
        <f aca="false">IF(3キー同時!$G$266="","",3キー同時!$G$266)</f>
        <v>l</v>
      </c>
      <c r="F2532" s="2" t="str">
        <f aca="false">""</f>
        <v/>
      </c>
      <c r="G2532" s="2" t="str">
        <f aca="false">IF(OR(3キー同時!$B$266="",3キー同時!$G$266=""),"",IF(3キー同時!AK272="","",SUBSTITUTE(SUBSTITUTE(3キー同時!AK272," ",""),"　","")))</f>
        <v/>
      </c>
      <c r="H2532" s="2" t="str">
        <f aca="false">IF($G2532="","",3キー同時!$B$266)</f>
        <v/>
      </c>
      <c r="I2532" s="2" t="str">
        <f aca="false">IF($G2532="","",3キー同時!$G$266)</f>
        <v/>
      </c>
      <c r="J2532" s="2" t="str">
        <f aca="false">IF($G2532="","","k")</f>
        <v/>
      </c>
      <c r="K2532" s="2" t="str">
        <f aca="false">""</f>
        <v/>
      </c>
      <c r="L2532" s="2" t="str">
        <f aca="false">IF($G2532="","","同時")</f>
        <v/>
      </c>
      <c r="M2532" s="2" t="str">
        <f aca="false">IF($G2532="","",IF(ISNA(MATCH($G2532,個別指定!$A:$A,0)),"行なし",""))</f>
        <v/>
      </c>
      <c r="N2532" s="2" t="str">
        <f aca="false">IF($G2532="","",IF(COUNTIF($G$2:$G$4460,$G2532)&gt;1,"重複",""))</f>
        <v/>
      </c>
    </row>
    <row r="2533" customFormat="false" ht="16.5" hidden="false" customHeight="true" outlineLevel="0" collapsed="false">
      <c r="A2533" s="2" t="s">
        <v>416</v>
      </c>
      <c r="B2533" s="2" t="s">
        <v>437</v>
      </c>
      <c r="C2533" s="2" t="s">
        <v>32</v>
      </c>
      <c r="D2533" s="2" t="str">
        <f aca="false">IF(3キー同時!$B$266="","",3キー同時!$B$266)</f>
        <v>j</v>
      </c>
      <c r="E2533" s="2" t="str">
        <f aca="false">IF(3キー同時!$G$266="","",3キー同時!$G$266)</f>
        <v>l</v>
      </c>
      <c r="F2533" s="2" t="str">
        <f aca="false">""</f>
        <v/>
      </c>
      <c r="G2533" s="2" t="str">
        <f aca="false">IF(OR(3キー同時!$B$266="",3キー同時!$G$266=""),"",IF(3キー同時!AO272="","",SUBSTITUTE(SUBSTITUTE(3キー同時!AO272," ",""),"　","")))</f>
        <v/>
      </c>
      <c r="H2533" s="2" t="str">
        <f aca="false">IF($G2533="","",3キー同時!$B$266)</f>
        <v/>
      </c>
      <c r="I2533" s="2" t="str">
        <f aca="false">IF($G2533="","",3キー同時!$G$266)</f>
        <v/>
      </c>
      <c r="J2533" s="2" t="str">
        <f aca="false">IF($G2533="","","l")</f>
        <v/>
      </c>
      <c r="K2533" s="2" t="str">
        <f aca="false">""</f>
        <v/>
      </c>
      <c r="L2533" s="2" t="str">
        <f aca="false">IF($G2533="","","同時")</f>
        <v/>
      </c>
      <c r="M2533" s="2" t="str">
        <f aca="false">IF($G2533="","",IF(ISNA(MATCH($G2533,個別指定!$A:$A,0)),"行なし",""))</f>
        <v/>
      </c>
      <c r="N2533" s="2" t="str">
        <f aca="false">IF($G2533="","",IF(COUNTIF($G$2:$G$4460,$G2533)&gt;1,"重複",""))</f>
        <v/>
      </c>
    </row>
    <row r="2534" customFormat="false" ht="16.5" hidden="false" customHeight="true" outlineLevel="0" collapsed="false">
      <c r="A2534" s="2" t="s">
        <v>416</v>
      </c>
      <c r="B2534" s="2" t="s">
        <v>437</v>
      </c>
      <c r="C2534" s="2" t="s">
        <v>33</v>
      </c>
      <c r="D2534" s="2" t="str">
        <f aca="false">IF(3キー同時!$B$266="","",3キー同時!$B$266)</f>
        <v>j</v>
      </c>
      <c r="E2534" s="2" t="str">
        <f aca="false">IF(3キー同時!$G$266="","",3キー同時!$G$266)</f>
        <v>l</v>
      </c>
      <c r="F2534" s="2" t="str">
        <f aca="false">""</f>
        <v/>
      </c>
      <c r="G2534" s="2" t="str">
        <f aca="false">IF(OR(3キー同時!$B$266="",3キー同時!$G$266=""),"",IF(3キー同時!AS272="","",SUBSTITUTE(SUBSTITUTE(3キー同時!AS272," ",""),"　","")))</f>
        <v/>
      </c>
      <c r="H2534" s="2" t="str">
        <f aca="false">IF($G2534="","",3キー同時!$B$266)</f>
        <v/>
      </c>
      <c r="I2534" s="2" t="str">
        <f aca="false">IF($G2534="","",3キー同時!$G$266)</f>
        <v/>
      </c>
      <c r="J2534" s="2" t="str">
        <f aca="false">IF($G2534="","",";")</f>
        <v/>
      </c>
      <c r="K2534" s="2" t="str">
        <f aca="false">""</f>
        <v/>
      </c>
      <c r="L2534" s="2" t="str">
        <f aca="false">IF($G2534="","","同時")</f>
        <v/>
      </c>
      <c r="M2534" s="2" t="str">
        <f aca="false">IF($G2534="","",IF(ISNA(MATCH($G2534,個別指定!$A:$A,0)),"行なし",""))</f>
        <v/>
      </c>
      <c r="N2534" s="2" t="str">
        <f aca="false">IF($G2534="","",IF(COUNTIF($G$2:$G$4460,$G2534)&gt;1,"重複",""))</f>
        <v/>
      </c>
    </row>
    <row r="2535" customFormat="false" ht="16.5" hidden="false" customHeight="true" outlineLevel="0" collapsed="false">
      <c r="A2535" s="2" t="s">
        <v>416</v>
      </c>
      <c r="B2535" s="2" t="s">
        <v>437</v>
      </c>
      <c r="C2535" s="2" t="s">
        <v>34</v>
      </c>
      <c r="D2535" s="2" t="str">
        <f aca="false">IF(3キー同時!$B$266="","",3キー同時!$B$266)</f>
        <v>j</v>
      </c>
      <c r="E2535" s="2" t="str">
        <f aca="false">IF(3キー同時!$G$266="","",3キー同時!$G$266)</f>
        <v>l</v>
      </c>
      <c r="F2535" s="2" t="str">
        <f aca="false">""</f>
        <v/>
      </c>
      <c r="G2535" s="2" t="str">
        <f aca="false">IF(OR(3キー同時!$B$266="",3キー同時!$G$266=""),"",IF(3キー同時!AW272="","",SUBSTITUTE(SUBSTITUTE(3キー同時!AW272," ",""),"　","")))</f>
        <v/>
      </c>
      <c r="H2535" s="2" t="str">
        <f aca="false">IF($G2535="","",3キー同時!$B$266)</f>
        <v/>
      </c>
      <c r="I2535" s="2" t="str">
        <f aca="false">IF($G2535="","",3キー同時!$G$266)</f>
        <v/>
      </c>
      <c r="J2535" s="2" t="str">
        <f aca="false">IF($G2535="","","'")</f>
        <v/>
      </c>
      <c r="K2535" s="2" t="str">
        <f aca="false">""</f>
        <v/>
      </c>
      <c r="L2535" s="2" t="str">
        <f aca="false">IF($G2535="","","同時")</f>
        <v/>
      </c>
      <c r="M2535" s="2" t="str">
        <f aca="false">IF($G2535="","",IF(ISNA(MATCH($G2535,個別指定!$A:$A,0)),"行なし",""))</f>
        <v/>
      </c>
      <c r="N2535" s="2" t="str">
        <f aca="false">IF($G2535="","",IF(COUNTIF($G$2:$G$4460,$G2535)&gt;1,"重複",""))</f>
        <v/>
      </c>
    </row>
    <row r="2536" customFormat="false" ht="16.5" hidden="false" customHeight="true" outlineLevel="0" collapsed="false">
      <c r="A2536" s="2" t="s">
        <v>416</v>
      </c>
      <c r="B2536" s="2" t="s">
        <v>437</v>
      </c>
      <c r="C2536" s="2" t="s">
        <v>35</v>
      </c>
      <c r="D2536" s="2" t="str">
        <f aca="false">IF(3キー同時!$B$266="","",3キー同時!$B$266)</f>
        <v>j</v>
      </c>
      <c r="E2536" s="2" t="str">
        <f aca="false">IF(3キー同時!$G$266="","",3キー同時!$G$266)</f>
        <v>l</v>
      </c>
      <c r="F2536" s="2" t="str">
        <f aca="false">""</f>
        <v/>
      </c>
      <c r="G2536" s="2" t="str">
        <f aca="false">IF(OR(3キー同時!$B$266="",3キー同時!$G$266=""),"",IF(3キー同時!K274="","",SUBSTITUTE(SUBSTITUTE(3キー同時!K274," ",""),"　","")))</f>
        <v/>
      </c>
      <c r="H2536" s="2" t="str">
        <f aca="false">IF($G2536="","",3キー同時!$B$266)</f>
        <v/>
      </c>
      <c r="I2536" s="2" t="str">
        <f aca="false">IF($G2536="","",3キー同時!$G$266)</f>
        <v/>
      </c>
      <c r="J2536" s="2" t="str">
        <f aca="false">IF($G2536="","","z")</f>
        <v/>
      </c>
      <c r="K2536" s="2" t="str">
        <f aca="false">""</f>
        <v/>
      </c>
      <c r="L2536" s="2" t="str">
        <f aca="false">IF($G2536="","","同時")</f>
        <v/>
      </c>
      <c r="M2536" s="2" t="str">
        <f aca="false">IF($G2536="","",IF(ISNA(MATCH($G2536,個別指定!$A:$A,0)),"行なし",""))</f>
        <v/>
      </c>
      <c r="N2536" s="2" t="str">
        <f aca="false">IF($G2536="","",IF(COUNTIF($G$2:$G$4460,$G2536)&gt;1,"重複",""))</f>
        <v/>
      </c>
    </row>
    <row r="2537" customFormat="false" ht="16.5" hidden="false" customHeight="true" outlineLevel="0" collapsed="false">
      <c r="A2537" s="2" t="s">
        <v>416</v>
      </c>
      <c r="B2537" s="2" t="s">
        <v>437</v>
      </c>
      <c r="C2537" s="2" t="s">
        <v>36</v>
      </c>
      <c r="D2537" s="2" t="str">
        <f aca="false">IF(3キー同時!$B$266="","",3キー同時!$B$266)</f>
        <v>j</v>
      </c>
      <c r="E2537" s="2" t="str">
        <f aca="false">IF(3キー同時!$G$266="","",3キー同時!$G$266)</f>
        <v>l</v>
      </c>
      <c r="F2537" s="2" t="str">
        <f aca="false">""</f>
        <v/>
      </c>
      <c r="G2537" s="2" t="str">
        <f aca="false">IF(OR(3キー同時!$B$266="",3キー同時!$G$266=""),"",IF(3キー同時!O274="","",SUBSTITUTE(SUBSTITUTE(3キー同時!O274," ",""),"　","")))</f>
        <v/>
      </c>
      <c r="H2537" s="2" t="str">
        <f aca="false">IF($G2537="","",3キー同時!$B$266)</f>
        <v/>
      </c>
      <c r="I2537" s="2" t="str">
        <f aca="false">IF($G2537="","",3キー同時!$G$266)</f>
        <v/>
      </c>
      <c r="J2537" s="2" t="str">
        <f aca="false">IF($G2537="","","x")</f>
        <v/>
      </c>
      <c r="K2537" s="2" t="str">
        <f aca="false">""</f>
        <v/>
      </c>
      <c r="L2537" s="2" t="str">
        <f aca="false">IF($G2537="","","同時")</f>
        <v/>
      </c>
      <c r="M2537" s="2" t="str">
        <f aca="false">IF($G2537="","",IF(ISNA(MATCH($G2537,個別指定!$A:$A,0)),"行なし",""))</f>
        <v/>
      </c>
      <c r="N2537" s="2" t="str">
        <f aca="false">IF($G2537="","",IF(COUNTIF($G$2:$G$4460,$G2537)&gt;1,"重複",""))</f>
        <v/>
      </c>
    </row>
    <row r="2538" customFormat="false" ht="16.5" hidden="false" customHeight="true" outlineLevel="0" collapsed="false">
      <c r="A2538" s="2" t="s">
        <v>416</v>
      </c>
      <c r="B2538" s="2" t="s">
        <v>437</v>
      </c>
      <c r="C2538" s="2" t="s">
        <v>37</v>
      </c>
      <c r="D2538" s="2" t="str">
        <f aca="false">IF(3キー同時!$B$266="","",3キー同時!$B$266)</f>
        <v>j</v>
      </c>
      <c r="E2538" s="2" t="str">
        <f aca="false">IF(3キー同時!$G$266="","",3キー同時!$G$266)</f>
        <v>l</v>
      </c>
      <c r="F2538" s="2" t="str">
        <f aca="false">""</f>
        <v/>
      </c>
      <c r="G2538" s="2" t="str">
        <f aca="false">IF(OR(3キー同時!$B$266="",3キー同時!$G$266=""),"",IF(3キー同時!S274="","",SUBSTITUTE(SUBSTITUTE(3キー同時!S274," ",""),"　","")))</f>
        <v/>
      </c>
      <c r="H2538" s="2" t="str">
        <f aca="false">IF($G2538="","",3キー同時!$B$266)</f>
        <v/>
      </c>
      <c r="I2538" s="2" t="str">
        <f aca="false">IF($G2538="","",3キー同時!$G$266)</f>
        <v/>
      </c>
      <c r="J2538" s="2" t="str">
        <f aca="false">IF($G2538="","","c")</f>
        <v/>
      </c>
      <c r="K2538" s="2" t="str">
        <f aca="false">""</f>
        <v/>
      </c>
      <c r="L2538" s="2" t="str">
        <f aca="false">IF($G2538="","","同時")</f>
        <v/>
      </c>
      <c r="M2538" s="2" t="str">
        <f aca="false">IF($G2538="","",IF(ISNA(MATCH($G2538,個別指定!$A:$A,0)),"行なし",""))</f>
        <v/>
      </c>
      <c r="N2538" s="2" t="str">
        <f aca="false">IF($G2538="","",IF(COUNTIF($G$2:$G$4460,$G2538)&gt;1,"重複",""))</f>
        <v/>
      </c>
    </row>
    <row r="2539" customFormat="false" ht="16.5" hidden="false" customHeight="true" outlineLevel="0" collapsed="false">
      <c r="A2539" s="2" t="s">
        <v>416</v>
      </c>
      <c r="B2539" s="2" t="s">
        <v>437</v>
      </c>
      <c r="C2539" s="2" t="s">
        <v>38</v>
      </c>
      <c r="D2539" s="2" t="str">
        <f aca="false">IF(3キー同時!$B$266="","",3キー同時!$B$266)</f>
        <v>j</v>
      </c>
      <c r="E2539" s="2" t="str">
        <f aca="false">IF(3キー同時!$G$266="","",3キー同時!$G$266)</f>
        <v>l</v>
      </c>
      <c r="F2539" s="2" t="str">
        <f aca="false">""</f>
        <v/>
      </c>
      <c r="G2539" s="2" t="str">
        <f aca="false">IF(OR(3キー同時!$B$266="",3キー同時!$G$266=""),"",IF(3キー同時!W274="","",SUBSTITUTE(SUBSTITUTE(3キー同時!W274," ",""),"　","")))</f>
        <v/>
      </c>
      <c r="H2539" s="2" t="str">
        <f aca="false">IF($G2539="","",3キー同時!$B$266)</f>
        <v/>
      </c>
      <c r="I2539" s="2" t="str">
        <f aca="false">IF($G2539="","",3キー同時!$G$266)</f>
        <v/>
      </c>
      <c r="J2539" s="2" t="str">
        <f aca="false">IF($G2539="","","v")</f>
        <v/>
      </c>
      <c r="K2539" s="2" t="str">
        <f aca="false">""</f>
        <v/>
      </c>
      <c r="L2539" s="2" t="str">
        <f aca="false">IF($G2539="","","同時")</f>
        <v/>
      </c>
      <c r="M2539" s="2" t="str">
        <f aca="false">IF($G2539="","",IF(ISNA(MATCH($G2539,個別指定!$A:$A,0)),"行なし",""))</f>
        <v/>
      </c>
      <c r="N2539" s="2" t="str">
        <f aca="false">IF($G2539="","",IF(COUNTIF($G$2:$G$4460,$G2539)&gt;1,"重複",""))</f>
        <v/>
      </c>
    </row>
    <row r="2540" customFormat="false" ht="16.5" hidden="false" customHeight="true" outlineLevel="0" collapsed="false">
      <c r="A2540" s="2" t="s">
        <v>416</v>
      </c>
      <c r="B2540" s="2" t="s">
        <v>437</v>
      </c>
      <c r="C2540" s="2" t="s">
        <v>39</v>
      </c>
      <c r="D2540" s="2" t="str">
        <f aca="false">IF(3キー同時!$B$266="","",3キー同時!$B$266)</f>
        <v>j</v>
      </c>
      <c r="E2540" s="2" t="str">
        <f aca="false">IF(3キー同時!$G$266="","",3キー同時!$G$266)</f>
        <v>l</v>
      </c>
      <c r="F2540" s="2" t="str">
        <f aca="false">""</f>
        <v/>
      </c>
      <c r="G2540" s="2" t="str">
        <f aca="false">IF(OR(3キー同時!$B$266="",3キー同時!$G$266=""),"",IF(3キー同時!AA274="","",SUBSTITUTE(SUBSTITUTE(3キー同時!AA274," ",""),"　","")))</f>
        <v/>
      </c>
      <c r="H2540" s="2" t="str">
        <f aca="false">IF($G2540="","",3キー同時!$B$266)</f>
        <v/>
      </c>
      <c r="I2540" s="2" t="str">
        <f aca="false">IF($G2540="","",3キー同時!$G$266)</f>
        <v/>
      </c>
      <c r="J2540" s="2" t="str">
        <f aca="false">IF($G2540="","","b")</f>
        <v/>
      </c>
      <c r="K2540" s="2" t="str">
        <f aca="false">""</f>
        <v/>
      </c>
      <c r="L2540" s="2" t="str">
        <f aca="false">IF($G2540="","","同時")</f>
        <v/>
      </c>
      <c r="M2540" s="2" t="str">
        <f aca="false">IF($G2540="","",IF(ISNA(MATCH($G2540,個別指定!$A:$A,0)),"行なし",""))</f>
        <v/>
      </c>
      <c r="N2540" s="2" t="str">
        <f aca="false">IF($G2540="","",IF(COUNTIF($G$2:$G$4460,$G2540)&gt;1,"重複",""))</f>
        <v/>
      </c>
    </row>
    <row r="2541" customFormat="false" ht="16.5" hidden="false" customHeight="true" outlineLevel="0" collapsed="false">
      <c r="A2541" s="2" t="s">
        <v>416</v>
      </c>
      <c r="B2541" s="2" t="s">
        <v>437</v>
      </c>
      <c r="C2541" s="2" t="s">
        <v>40</v>
      </c>
      <c r="D2541" s="2" t="str">
        <f aca="false">IF(3キー同時!$B$266="","",3キー同時!$B$266)</f>
        <v>j</v>
      </c>
      <c r="E2541" s="2" t="str">
        <f aca="false">IF(3キー同時!$G$266="","",3キー同時!$G$266)</f>
        <v>l</v>
      </c>
      <c r="F2541" s="2" t="str">
        <f aca="false">""</f>
        <v/>
      </c>
      <c r="G2541" s="2" t="str">
        <f aca="false">IF(OR(3キー同時!$B$266="",3キー同時!$G$266=""),"",IF(3キー同時!AE274="","",SUBSTITUTE(SUBSTITUTE(3キー同時!AE274," ",""),"　","")))</f>
        <v/>
      </c>
      <c r="H2541" s="2" t="str">
        <f aca="false">IF($G2541="","",3キー同時!$B$266)</f>
        <v/>
      </c>
      <c r="I2541" s="2" t="str">
        <f aca="false">IF($G2541="","",3キー同時!$G$266)</f>
        <v/>
      </c>
      <c r="J2541" s="2" t="str">
        <f aca="false">IF($G2541="","","n")</f>
        <v/>
      </c>
      <c r="K2541" s="2" t="str">
        <f aca="false">""</f>
        <v/>
      </c>
      <c r="L2541" s="2" t="str">
        <f aca="false">IF($G2541="","","同時")</f>
        <v/>
      </c>
      <c r="M2541" s="2" t="str">
        <f aca="false">IF($G2541="","",IF(ISNA(MATCH($G2541,個別指定!$A:$A,0)),"行なし",""))</f>
        <v/>
      </c>
      <c r="N2541" s="2" t="str">
        <f aca="false">IF($G2541="","",IF(COUNTIF($G$2:$G$4460,$G2541)&gt;1,"重複",""))</f>
        <v/>
      </c>
    </row>
    <row r="2542" customFormat="false" ht="16.5" hidden="false" customHeight="true" outlineLevel="0" collapsed="false">
      <c r="A2542" s="2" t="s">
        <v>416</v>
      </c>
      <c r="B2542" s="2" t="s">
        <v>437</v>
      </c>
      <c r="C2542" s="2" t="s">
        <v>41</v>
      </c>
      <c r="D2542" s="2" t="str">
        <f aca="false">IF(3キー同時!$B$266="","",3キー同時!$B$266)</f>
        <v>j</v>
      </c>
      <c r="E2542" s="2" t="str">
        <f aca="false">IF(3キー同時!$G$266="","",3キー同時!$G$266)</f>
        <v>l</v>
      </c>
      <c r="F2542" s="2" t="str">
        <f aca="false">""</f>
        <v/>
      </c>
      <c r="G2542" s="2" t="str">
        <f aca="false">IF(OR(3キー同時!$B$266="",3キー同時!$G$266=""),"",IF(3キー同時!AI274="","",SUBSTITUTE(SUBSTITUTE(3キー同時!AI274," ",""),"　","")))</f>
        <v/>
      </c>
      <c r="H2542" s="2" t="str">
        <f aca="false">IF($G2542="","",3キー同時!$B$266)</f>
        <v/>
      </c>
      <c r="I2542" s="2" t="str">
        <f aca="false">IF($G2542="","",3キー同時!$G$266)</f>
        <v/>
      </c>
      <c r="J2542" s="2" t="str">
        <f aca="false">IF($G2542="","","m")</f>
        <v/>
      </c>
      <c r="K2542" s="2" t="str">
        <f aca="false">""</f>
        <v/>
      </c>
      <c r="L2542" s="2" t="str">
        <f aca="false">IF($G2542="","","同時")</f>
        <v/>
      </c>
      <c r="M2542" s="2" t="str">
        <f aca="false">IF($G2542="","",IF(ISNA(MATCH($G2542,個別指定!$A:$A,0)),"行なし",""))</f>
        <v/>
      </c>
      <c r="N2542" s="2" t="str">
        <f aca="false">IF($G2542="","",IF(COUNTIF($G$2:$G$4460,$G2542)&gt;1,"重複",""))</f>
        <v/>
      </c>
    </row>
    <row r="2543" customFormat="false" ht="16.5" hidden="false" customHeight="true" outlineLevel="0" collapsed="false">
      <c r="A2543" s="2" t="s">
        <v>416</v>
      </c>
      <c r="B2543" s="2" t="s">
        <v>437</v>
      </c>
      <c r="C2543" s="2" t="s">
        <v>42</v>
      </c>
      <c r="D2543" s="2" t="str">
        <f aca="false">IF(3キー同時!$B$266="","",3キー同時!$B$266)</f>
        <v>j</v>
      </c>
      <c r="E2543" s="2" t="str">
        <f aca="false">IF(3キー同時!$G$266="","",3キー同時!$G$266)</f>
        <v>l</v>
      </c>
      <c r="F2543" s="2" t="str">
        <f aca="false">""</f>
        <v/>
      </c>
      <c r="G2543" s="2" t="str">
        <f aca="false">IF(OR(3キー同時!$B$266="",3キー同時!$G$266=""),"",IF(3キー同時!AM274="","",SUBSTITUTE(SUBSTITUTE(3キー同時!AM274," ",""),"　","")))</f>
        <v/>
      </c>
      <c r="H2543" s="2" t="str">
        <f aca="false">IF($G2543="","",3キー同時!$B$266)</f>
        <v/>
      </c>
      <c r="I2543" s="2" t="str">
        <f aca="false">IF($G2543="","",3キー同時!$G$266)</f>
        <v/>
      </c>
      <c r="J2543" s="2" t="str">
        <f aca="false">IF($G2543="","",",")</f>
        <v/>
      </c>
      <c r="K2543" s="2" t="str">
        <f aca="false">""</f>
        <v/>
      </c>
      <c r="L2543" s="2" t="str">
        <f aca="false">IF($G2543="","","同時")</f>
        <v/>
      </c>
      <c r="M2543" s="2" t="str">
        <f aca="false">IF($G2543="","",IF(ISNA(MATCH($G2543,個別指定!$A:$A,0)),"行なし",""))</f>
        <v/>
      </c>
      <c r="N2543" s="2" t="str">
        <f aca="false">IF($G2543="","",IF(COUNTIF($G$2:$G$4460,$G2543)&gt;1,"重複",""))</f>
        <v/>
      </c>
    </row>
    <row r="2544" customFormat="false" ht="16.5" hidden="false" customHeight="true" outlineLevel="0" collapsed="false">
      <c r="A2544" s="2" t="s">
        <v>416</v>
      </c>
      <c r="B2544" s="2" t="s">
        <v>437</v>
      </c>
      <c r="C2544" s="2" t="s">
        <v>43</v>
      </c>
      <c r="D2544" s="2" t="str">
        <f aca="false">IF(3キー同時!$B$266="","",3キー同時!$B$266)</f>
        <v>j</v>
      </c>
      <c r="E2544" s="2" t="str">
        <f aca="false">IF(3キー同時!$G$266="","",3キー同時!$G$266)</f>
        <v>l</v>
      </c>
      <c r="F2544" s="2" t="str">
        <f aca="false">""</f>
        <v/>
      </c>
      <c r="G2544" s="2" t="str">
        <f aca="false">IF(OR(3キー同時!$B$266="",3キー同時!$G$266=""),"",IF(3キー同時!AQ274="","",SUBSTITUTE(SUBSTITUTE(3キー同時!AQ274," ",""),"　","")))</f>
        <v/>
      </c>
      <c r="H2544" s="2" t="str">
        <f aca="false">IF($G2544="","",3キー同時!$B$266)</f>
        <v/>
      </c>
      <c r="I2544" s="2" t="str">
        <f aca="false">IF($G2544="","",3キー同時!$G$266)</f>
        <v/>
      </c>
      <c r="J2544" s="2" t="str">
        <f aca="false">IF($G2544="","",".")</f>
        <v/>
      </c>
      <c r="K2544" s="2" t="str">
        <f aca="false">""</f>
        <v/>
      </c>
      <c r="L2544" s="2" t="str">
        <f aca="false">IF($G2544="","","同時")</f>
        <v/>
      </c>
      <c r="M2544" s="2" t="str">
        <f aca="false">IF($G2544="","",IF(ISNA(MATCH($G2544,個別指定!$A:$A,0)),"行なし",""))</f>
        <v/>
      </c>
      <c r="N2544" s="2" t="str">
        <f aca="false">IF($G2544="","",IF(COUNTIF($G$2:$G$4460,$G2544)&gt;1,"重複",""))</f>
        <v/>
      </c>
    </row>
    <row r="2545" customFormat="false" ht="16.5" hidden="false" customHeight="true" outlineLevel="0" collapsed="false">
      <c r="A2545" s="2" t="s">
        <v>416</v>
      </c>
      <c r="B2545" s="2" t="s">
        <v>437</v>
      </c>
      <c r="C2545" s="2" t="s">
        <v>44</v>
      </c>
      <c r="D2545" s="2" t="str">
        <f aca="false">IF(3キー同時!$B$266="","",3キー同時!$B$266)</f>
        <v>j</v>
      </c>
      <c r="E2545" s="2" t="str">
        <f aca="false">IF(3キー同時!$G$266="","",3キー同時!$G$266)</f>
        <v>l</v>
      </c>
      <c r="F2545" s="2" t="str">
        <f aca="false">""</f>
        <v/>
      </c>
      <c r="G2545" s="2" t="str">
        <f aca="false">IF(OR(3キー同時!$B$266="",3キー同時!$G$266=""),"",IF(3キー同時!AU274="","",SUBSTITUTE(SUBSTITUTE(3キー同時!AU274," ",""),"　","")))</f>
        <v/>
      </c>
      <c r="H2545" s="2" t="str">
        <f aca="false">IF($G2545="","",3キー同時!$B$266)</f>
        <v/>
      </c>
      <c r="I2545" s="2" t="str">
        <f aca="false">IF($G2545="","",3キー同時!$G$266)</f>
        <v/>
      </c>
      <c r="J2545" s="2" t="str">
        <f aca="false">IF($G2545="","","/")</f>
        <v/>
      </c>
      <c r="K2545" s="2" t="str">
        <f aca="false">""</f>
        <v/>
      </c>
      <c r="L2545" s="2" t="str">
        <f aca="false">IF($G2545="","","同時")</f>
        <v/>
      </c>
      <c r="M2545" s="2" t="str">
        <f aca="false">IF($G2545="","",IF(ISNA(MATCH($G2545,個別指定!$A:$A,0)),"行なし",""))</f>
        <v/>
      </c>
      <c r="N2545" s="2" t="str">
        <f aca="false">IF($G2545="","",IF(COUNTIF($G$2:$G$4460,$G2545)&gt;1,"重複",""))</f>
        <v/>
      </c>
    </row>
    <row r="2546" customFormat="false" ht="16.5" hidden="false" customHeight="true" outlineLevel="0" collapsed="false">
      <c r="A2546" s="2" t="s">
        <v>416</v>
      </c>
      <c r="B2546" s="2" t="s">
        <v>437</v>
      </c>
      <c r="C2546" s="2" t="s">
        <v>48</v>
      </c>
      <c r="D2546" s="2" t="str">
        <f aca="false">IF(3キー同時!$B$266="","",3キー同時!$B$266)</f>
        <v>j</v>
      </c>
      <c r="E2546" s="2" t="str">
        <f aca="false">IF(3キー同時!$G$266="","",3キー同時!$G$266)</f>
        <v>l</v>
      </c>
      <c r="F2546" s="2" t="str">
        <f aca="false">""</f>
        <v/>
      </c>
      <c r="G2546" s="2" t="str">
        <f aca="false">IF(OR(3キー同時!$B$266="",3キー同時!$G$266=""),"",IF(3キー同時!P276="","",SUBSTITUTE(SUBSTITUTE(3キー同時!P276," ",""),"　","")))</f>
        <v/>
      </c>
      <c r="H2546" s="2" t="str">
        <f aca="false">IF($G2546="","",3キー同時!$B$266)</f>
        <v/>
      </c>
      <c r="I2546" s="2" t="str">
        <f aca="false">IF($G2546="","",3キー同時!$G$266)</f>
        <v/>
      </c>
      <c r="J2546" s="2" t="str">
        <f aca="false">IF($G2546="","","muhenkan")</f>
        <v/>
      </c>
      <c r="K2546" s="2" t="str">
        <f aca="false">""</f>
        <v/>
      </c>
      <c r="L2546" s="2" t="str">
        <f aca="false">IF($G2546="","","同時")</f>
        <v/>
      </c>
      <c r="M2546" s="2" t="str">
        <f aca="false">IF($G2546="","",IF(ISNA(MATCH($G2546,個別指定!$A:$A,0)),"行なし",""))</f>
        <v/>
      </c>
      <c r="N2546" s="2" t="str">
        <f aca="false">IF($G2546="","",IF(COUNTIF($G$2:$G$4460,$G2546)&gt;1,"重複",""))</f>
        <v/>
      </c>
    </row>
    <row r="2547" customFormat="false" ht="16.5" hidden="false" customHeight="true" outlineLevel="0" collapsed="false">
      <c r="A2547" s="2" t="s">
        <v>416</v>
      </c>
      <c r="B2547" s="2" t="s">
        <v>437</v>
      </c>
      <c r="C2547" s="2" t="s">
        <v>50</v>
      </c>
      <c r="D2547" s="2" t="str">
        <f aca="false">IF(3キー同時!$B$266="","",3キー同時!$B$266)</f>
        <v>j</v>
      </c>
      <c r="E2547" s="2" t="str">
        <f aca="false">IF(3キー同時!$G$266="","",3キー同時!$G$266)</f>
        <v>l</v>
      </c>
      <c r="F2547" s="2" t="str">
        <f aca="false">""</f>
        <v/>
      </c>
      <c r="G2547" s="2" t="str">
        <f aca="false">IF(OR(3キー同時!$B$266="",3キー同時!$G$266=""),"",IF(3キー同時!T276="","",SUBSTITUTE(SUBSTITUTE(3キー同時!T276," ",""),"　","")))</f>
        <v/>
      </c>
      <c r="H2547" s="2" t="str">
        <f aca="false">IF($G2547="","",3キー同時!$B$266)</f>
        <v/>
      </c>
      <c r="I2547" s="2" t="str">
        <f aca="false">IF($G2547="","",3キー同時!$G$266)</f>
        <v/>
      </c>
      <c r="J2547" s="2" t="str">
        <f aca="false">IF($G2547="","","space")</f>
        <v/>
      </c>
      <c r="K2547" s="2" t="str">
        <f aca="false">""</f>
        <v/>
      </c>
      <c r="L2547" s="2" t="str">
        <f aca="false">IF($G2547="","","同時")</f>
        <v/>
      </c>
      <c r="M2547" s="2" t="str">
        <f aca="false">IF($G2547="","",IF(ISNA(MATCH($G2547,個別指定!$A:$A,0)),"行なし",""))</f>
        <v/>
      </c>
      <c r="N2547" s="2" t="str">
        <f aca="false">IF($G2547="","",IF(COUNTIF($G$2:$G$4460,$G2547)&gt;1,"重複",""))</f>
        <v/>
      </c>
    </row>
    <row r="2548" customFormat="false" ht="16.5" hidden="false" customHeight="true" outlineLevel="0" collapsed="false">
      <c r="A2548" s="2" t="s">
        <v>416</v>
      </c>
      <c r="B2548" s="2" t="s">
        <v>437</v>
      </c>
      <c r="C2548" s="2" t="s">
        <v>45</v>
      </c>
      <c r="D2548" s="2" t="str">
        <f aca="false">IF(3キー同時!$B$266="","",3キー同時!$B$266)</f>
        <v>j</v>
      </c>
      <c r="E2548" s="2" t="str">
        <f aca="false">IF(3キー同時!$G$266="","",3キー同時!$G$266)</f>
        <v>l</v>
      </c>
      <c r="F2548" s="2" t="str">
        <f aca="false">""</f>
        <v/>
      </c>
      <c r="G2548" s="2" t="str">
        <f aca="false">IF(OR(3キー同時!$B$266="",3キー同時!$G$266=""),"",IF(3キー同時!AL276="","",SUBSTITUTE(SUBSTITUTE(3キー同時!AL276," ",""),"　","")))</f>
        <v/>
      </c>
      <c r="H2548" s="2" t="str">
        <f aca="false">IF($G2548="","",3キー同時!$B$266)</f>
        <v/>
      </c>
      <c r="I2548" s="2" t="str">
        <f aca="false">IF($G2548="","",3キー同時!$G$266)</f>
        <v/>
      </c>
      <c r="J2548" s="2" t="str">
        <f aca="false">IF($G2548="","","henkan")</f>
        <v/>
      </c>
      <c r="K2548" s="2" t="str">
        <f aca="false">""</f>
        <v/>
      </c>
      <c r="L2548" s="2" t="str">
        <f aca="false">IF($G2548="","","同時")</f>
        <v/>
      </c>
      <c r="M2548" s="2" t="str">
        <f aca="false">IF($G2548="","",IF(ISNA(MATCH($G2548,個別指定!$A:$A,0)),"行なし",""))</f>
        <v/>
      </c>
      <c r="N2548" s="2" t="str">
        <f aca="false">IF($G2548="","",IF(COUNTIF($G$2:$G$4460,$G2548)&gt;1,"重複",""))</f>
        <v/>
      </c>
    </row>
    <row r="2549" customFormat="false" ht="16.5" hidden="false" customHeight="true" outlineLevel="0" collapsed="false">
      <c r="A2549" s="2" t="s">
        <v>416</v>
      </c>
      <c r="B2549" s="2" t="s">
        <v>437</v>
      </c>
      <c r="C2549" s="2" t="s">
        <v>46</v>
      </c>
      <c r="D2549" s="2" t="str">
        <f aca="false">IF(3キー同時!$B$266="","",3キー同時!$B$266)</f>
        <v>j</v>
      </c>
      <c r="E2549" s="2" t="str">
        <f aca="false">IF(3キー同時!$G$266="","",3キー同時!$G$266)</f>
        <v>l</v>
      </c>
      <c r="F2549" s="2" t="str">
        <f aca="false">""</f>
        <v/>
      </c>
      <c r="G2549" s="2" t="str">
        <f aca="false">IF(OR(3キー同時!$B$266="",3キー同時!$G$266=""),"",IF(3キー同時!AP276="","",SUBSTITUTE(SUBSTITUTE(3キー同時!AP276," ",""),"　","")))</f>
        <v/>
      </c>
      <c r="H2549" s="2" t="str">
        <f aca="false">IF($G2549="","",3キー同時!$B$266)</f>
        <v/>
      </c>
      <c r="I2549" s="2" t="str">
        <f aca="false">IF($G2549="","",3キー同時!$G$266)</f>
        <v/>
      </c>
      <c r="J2549" s="2" t="str">
        <f aca="false">IF($G2549="","","kana")</f>
        <v/>
      </c>
      <c r="K2549" s="2" t="str">
        <f aca="false">""</f>
        <v/>
      </c>
      <c r="L2549" s="2" t="str">
        <f aca="false">IF($G2549="","","同時")</f>
        <v/>
      </c>
      <c r="M2549" s="2" t="str">
        <f aca="false">IF($G2549="","",IF(ISNA(MATCH($G2549,個別指定!$A:$A,0)),"行なし",""))</f>
        <v/>
      </c>
      <c r="N2549" s="2" t="str">
        <f aca="false">IF($G2549="","",IF(COUNTIF($G$2:$G$4460,$G2549)&gt;1,"重複",""))</f>
        <v/>
      </c>
    </row>
    <row r="2550" customFormat="false" ht="16.5" hidden="false" customHeight="true" outlineLevel="0" collapsed="false">
      <c r="A2550" s="2" t="s">
        <v>416</v>
      </c>
      <c r="B2550" s="2" t="s">
        <v>438</v>
      </c>
      <c r="C2550" s="2" t="s">
        <v>0</v>
      </c>
      <c r="D2550" s="2" t="str">
        <f aca="false">IF(3キー同時!$B$279="","",3キー同時!$B$279)</f>
        <v>f</v>
      </c>
      <c r="E2550" s="2" t="str">
        <f aca="false">IF(3キー同時!$G$279="","",3キー同時!$G$279)</f>
        <v>j</v>
      </c>
      <c r="F2550" s="2" t="str">
        <f aca="false">""</f>
        <v/>
      </c>
      <c r="G2550" s="2" t="str">
        <f aca="false">IF(OR(3キー同時!$B$279="",3キー同時!$G$279=""),"",IF(3キー同時!F281="","",SUBSTITUTE(SUBSTITUTE(3キー同時!F281," ",""),"　","")))</f>
        <v/>
      </c>
      <c r="H2550" s="2" t="str">
        <f aca="false">IF($G2550="","",3キー同時!$B$279)</f>
        <v/>
      </c>
      <c r="I2550" s="2" t="str">
        <f aca="false">IF($G2550="","",3キー同時!$G$279)</f>
        <v/>
      </c>
      <c r="J2550" s="2" t="str">
        <f aca="false">IF($G2550="","","1")</f>
        <v/>
      </c>
      <c r="K2550" s="2" t="str">
        <f aca="false">""</f>
        <v/>
      </c>
      <c r="L2550" s="2" t="str">
        <f aca="false">IF($G2550="","","同時")</f>
        <v/>
      </c>
      <c r="M2550" s="2" t="str">
        <f aca="false">IF($G2550="","",IF(ISNA(MATCH($G2550,個別指定!$A:$A,0)),"行なし",""))</f>
        <v/>
      </c>
      <c r="N2550" s="2" t="str">
        <f aca="false">IF($G2550="","",IF(COUNTIF($G$2:$G$4460,$G2550)&gt;1,"重複",""))</f>
        <v/>
      </c>
    </row>
    <row r="2551" customFormat="false" ht="16.5" hidden="false" customHeight="true" outlineLevel="0" collapsed="false">
      <c r="A2551" s="2" t="s">
        <v>416</v>
      </c>
      <c r="B2551" s="2" t="s">
        <v>438</v>
      </c>
      <c r="C2551" s="2" t="s">
        <v>1</v>
      </c>
      <c r="D2551" s="2" t="str">
        <f aca="false">IF(3キー同時!$B$279="","",3キー同時!$B$279)</f>
        <v>f</v>
      </c>
      <c r="E2551" s="2" t="str">
        <f aca="false">IF(3キー同時!$G$279="","",3キー同時!$G$279)</f>
        <v>j</v>
      </c>
      <c r="F2551" s="2" t="str">
        <f aca="false">""</f>
        <v/>
      </c>
      <c r="G2551" s="2" t="str">
        <f aca="false">IF(OR(3キー同時!$B$279="",3キー同時!$G$279=""),"",IF(3キー同時!J281="","",SUBSTITUTE(SUBSTITUTE(3キー同時!J281," ",""),"　","")))</f>
        <v/>
      </c>
      <c r="H2551" s="2" t="str">
        <f aca="false">IF($G2551="","",3キー同時!$B$279)</f>
        <v/>
      </c>
      <c r="I2551" s="2" t="str">
        <f aca="false">IF($G2551="","",3キー同時!$G$279)</f>
        <v/>
      </c>
      <c r="J2551" s="2" t="str">
        <f aca="false">IF($G2551="","","2")</f>
        <v/>
      </c>
      <c r="K2551" s="2" t="str">
        <f aca="false">""</f>
        <v/>
      </c>
      <c r="L2551" s="2" t="str">
        <f aca="false">IF($G2551="","","同時")</f>
        <v/>
      </c>
      <c r="M2551" s="2" t="str">
        <f aca="false">IF($G2551="","",IF(ISNA(MATCH($G2551,個別指定!$A:$A,0)),"行なし",""))</f>
        <v/>
      </c>
      <c r="N2551" s="2" t="str">
        <f aca="false">IF($G2551="","",IF(COUNTIF($G$2:$G$4460,$G2551)&gt;1,"重複",""))</f>
        <v/>
      </c>
    </row>
    <row r="2552" customFormat="false" ht="16.5" hidden="false" customHeight="true" outlineLevel="0" collapsed="false">
      <c r="A2552" s="2" t="s">
        <v>416</v>
      </c>
      <c r="B2552" s="2" t="s">
        <v>438</v>
      </c>
      <c r="C2552" s="2" t="s">
        <v>2</v>
      </c>
      <c r="D2552" s="2" t="str">
        <f aca="false">IF(3キー同時!$B$279="","",3キー同時!$B$279)</f>
        <v>f</v>
      </c>
      <c r="E2552" s="2" t="str">
        <f aca="false">IF(3キー同時!$G$279="","",3キー同時!$G$279)</f>
        <v>j</v>
      </c>
      <c r="F2552" s="2" t="str">
        <f aca="false">""</f>
        <v/>
      </c>
      <c r="G2552" s="2" t="str">
        <f aca="false">IF(OR(3キー同時!$B$279="",3キー同時!$G$279=""),"",IF(3キー同時!N281="","",SUBSTITUTE(SUBSTITUTE(3キー同時!N281," ",""),"　","")))</f>
        <v/>
      </c>
      <c r="H2552" s="2" t="str">
        <f aca="false">IF($G2552="","",3キー同時!$B$279)</f>
        <v/>
      </c>
      <c r="I2552" s="2" t="str">
        <f aca="false">IF($G2552="","",3キー同時!$G$279)</f>
        <v/>
      </c>
      <c r="J2552" s="2" t="str">
        <f aca="false">IF($G2552="","","3")</f>
        <v/>
      </c>
      <c r="K2552" s="2" t="str">
        <f aca="false">""</f>
        <v/>
      </c>
      <c r="L2552" s="2" t="str">
        <f aca="false">IF($G2552="","","同時")</f>
        <v/>
      </c>
      <c r="M2552" s="2" t="str">
        <f aca="false">IF($G2552="","",IF(ISNA(MATCH($G2552,個別指定!$A:$A,0)),"行なし",""))</f>
        <v/>
      </c>
      <c r="N2552" s="2" t="str">
        <f aca="false">IF($G2552="","",IF(COUNTIF($G$2:$G$4460,$G2552)&gt;1,"重複",""))</f>
        <v/>
      </c>
    </row>
    <row r="2553" customFormat="false" ht="16.5" hidden="false" customHeight="true" outlineLevel="0" collapsed="false">
      <c r="A2553" s="2" t="s">
        <v>416</v>
      </c>
      <c r="B2553" s="2" t="s">
        <v>438</v>
      </c>
      <c r="C2553" s="2" t="s">
        <v>3</v>
      </c>
      <c r="D2553" s="2" t="str">
        <f aca="false">IF(3キー同時!$B$279="","",3キー同時!$B$279)</f>
        <v>f</v>
      </c>
      <c r="E2553" s="2" t="str">
        <f aca="false">IF(3キー同時!$G$279="","",3キー同時!$G$279)</f>
        <v>j</v>
      </c>
      <c r="F2553" s="2" t="str">
        <f aca="false">""</f>
        <v/>
      </c>
      <c r="G2553" s="2" t="str">
        <f aca="false">IF(OR(3キー同時!$B$279="",3キー同時!$G$279=""),"",IF(3キー同時!R281="","",SUBSTITUTE(SUBSTITUTE(3キー同時!R281," ",""),"　","")))</f>
        <v/>
      </c>
      <c r="H2553" s="2" t="str">
        <f aca="false">IF($G2553="","",3キー同時!$B$279)</f>
        <v/>
      </c>
      <c r="I2553" s="2" t="str">
        <f aca="false">IF($G2553="","",3キー同時!$G$279)</f>
        <v/>
      </c>
      <c r="J2553" s="2" t="str">
        <f aca="false">IF($G2553="","","4")</f>
        <v/>
      </c>
      <c r="K2553" s="2" t="str">
        <f aca="false">""</f>
        <v/>
      </c>
      <c r="L2553" s="2" t="str">
        <f aca="false">IF($G2553="","","同時")</f>
        <v/>
      </c>
      <c r="M2553" s="2" t="str">
        <f aca="false">IF($G2553="","",IF(ISNA(MATCH($G2553,個別指定!$A:$A,0)),"行なし",""))</f>
        <v/>
      </c>
      <c r="N2553" s="2" t="str">
        <f aca="false">IF($G2553="","",IF(COUNTIF($G$2:$G$4460,$G2553)&gt;1,"重複",""))</f>
        <v/>
      </c>
    </row>
    <row r="2554" customFormat="false" ht="16.5" hidden="false" customHeight="true" outlineLevel="0" collapsed="false">
      <c r="A2554" s="2" t="s">
        <v>416</v>
      </c>
      <c r="B2554" s="2" t="s">
        <v>438</v>
      </c>
      <c r="C2554" s="2" t="s">
        <v>4</v>
      </c>
      <c r="D2554" s="2" t="str">
        <f aca="false">IF(3キー同時!$B$279="","",3キー同時!$B$279)</f>
        <v>f</v>
      </c>
      <c r="E2554" s="2" t="str">
        <f aca="false">IF(3キー同時!$G$279="","",3キー同時!$G$279)</f>
        <v>j</v>
      </c>
      <c r="F2554" s="2" t="str">
        <f aca="false">""</f>
        <v/>
      </c>
      <c r="G2554" s="2" t="str">
        <f aca="false">IF(OR(3キー同時!$B$279="",3キー同時!$G$279=""),"",IF(3キー同時!V281="","",SUBSTITUTE(SUBSTITUTE(3キー同時!V281," ",""),"　","")))</f>
        <v/>
      </c>
      <c r="H2554" s="2" t="str">
        <f aca="false">IF($G2554="","",3キー同時!$B$279)</f>
        <v/>
      </c>
      <c r="I2554" s="2" t="str">
        <f aca="false">IF($G2554="","",3キー同時!$G$279)</f>
        <v/>
      </c>
      <c r="J2554" s="2" t="str">
        <f aca="false">IF($G2554="","","5")</f>
        <v/>
      </c>
      <c r="K2554" s="2" t="str">
        <f aca="false">""</f>
        <v/>
      </c>
      <c r="L2554" s="2" t="str">
        <f aca="false">IF($G2554="","","同時")</f>
        <v/>
      </c>
      <c r="M2554" s="2" t="str">
        <f aca="false">IF($G2554="","",IF(ISNA(MATCH($G2554,個別指定!$A:$A,0)),"行なし",""))</f>
        <v/>
      </c>
      <c r="N2554" s="2" t="str">
        <f aca="false">IF($G2554="","",IF(COUNTIF($G$2:$G$4460,$G2554)&gt;1,"重複",""))</f>
        <v/>
      </c>
    </row>
    <row r="2555" customFormat="false" ht="16.5" hidden="false" customHeight="true" outlineLevel="0" collapsed="false">
      <c r="A2555" s="2" t="s">
        <v>416</v>
      </c>
      <c r="B2555" s="2" t="s">
        <v>438</v>
      </c>
      <c r="C2555" s="2" t="s">
        <v>5</v>
      </c>
      <c r="D2555" s="2" t="str">
        <f aca="false">IF(3キー同時!$B$279="","",3キー同時!$B$279)</f>
        <v>f</v>
      </c>
      <c r="E2555" s="2" t="str">
        <f aca="false">IF(3キー同時!$G$279="","",3キー同時!$G$279)</f>
        <v>j</v>
      </c>
      <c r="F2555" s="2" t="str">
        <f aca="false">""</f>
        <v/>
      </c>
      <c r="G2555" s="2" t="str">
        <f aca="false">IF(OR(3キー同時!$B$279="",3キー同時!$G$279=""),"",IF(3キー同時!Z281="","",SUBSTITUTE(SUBSTITUTE(3キー同時!Z281," ",""),"　","")))</f>
        <v/>
      </c>
      <c r="H2555" s="2" t="str">
        <f aca="false">IF($G2555="","",3キー同時!$B$279)</f>
        <v/>
      </c>
      <c r="I2555" s="2" t="str">
        <f aca="false">IF($G2555="","",3キー同時!$G$279)</f>
        <v/>
      </c>
      <c r="J2555" s="2" t="str">
        <f aca="false">IF($G2555="","","6")</f>
        <v/>
      </c>
      <c r="K2555" s="2" t="str">
        <f aca="false">""</f>
        <v/>
      </c>
      <c r="L2555" s="2" t="str">
        <f aca="false">IF($G2555="","","同時")</f>
        <v/>
      </c>
      <c r="M2555" s="2" t="str">
        <f aca="false">IF($G2555="","",IF(ISNA(MATCH($G2555,個別指定!$A:$A,0)),"行なし",""))</f>
        <v/>
      </c>
      <c r="N2555" s="2" t="str">
        <f aca="false">IF($G2555="","",IF(COUNTIF($G$2:$G$4460,$G2555)&gt;1,"重複",""))</f>
        <v/>
      </c>
    </row>
    <row r="2556" customFormat="false" ht="16.5" hidden="false" customHeight="true" outlineLevel="0" collapsed="false">
      <c r="A2556" s="2" t="s">
        <v>416</v>
      </c>
      <c r="B2556" s="2" t="s">
        <v>438</v>
      </c>
      <c r="C2556" s="2" t="s">
        <v>6</v>
      </c>
      <c r="D2556" s="2" t="str">
        <f aca="false">IF(3キー同時!$B$279="","",3キー同時!$B$279)</f>
        <v>f</v>
      </c>
      <c r="E2556" s="2" t="str">
        <f aca="false">IF(3キー同時!$G$279="","",3キー同時!$G$279)</f>
        <v>j</v>
      </c>
      <c r="F2556" s="2" t="str">
        <f aca="false">""</f>
        <v/>
      </c>
      <c r="G2556" s="2" t="str">
        <f aca="false">IF(OR(3キー同時!$B$279="",3キー同時!$G$279=""),"",IF(3キー同時!AD281="","",SUBSTITUTE(SUBSTITUTE(3キー同時!AD281," ",""),"　","")))</f>
        <v/>
      </c>
      <c r="H2556" s="2" t="str">
        <f aca="false">IF($G2556="","",3キー同時!$B$279)</f>
        <v/>
      </c>
      <c r="I2556" s="2" t="str">
        <f aca="false">IF($G2556="","",3キー同時!$G$279)</f>
        <v/>
      </c>
      <c r="J2556" s="2" t="str">
        <f aca="false">IF($G2556="","","7")</f>
        <v/>
      </c>
      <c r="K2556" s="2" t="str">
        <f aca="false">""</f>
        <v/>
      </c>
      <c r="L2556" s="2" t="str">
        <f aca="false">IF($G2556="","","同時")</f>
        <v/>
      </c>
      <c r="M2556" s="2" t="str">
        <f aca="false">IF($G2556="","",IF(ISNA(MATCH($G2556,個別指定!$A:$A,0)),"行なし",""))</f>
        <v/>
      </c>
      <c r="N2556" s="2" t="str">
        <f aca="false">IF($G2556="","",IF(COUNTIF($G$2:$G$4460,$G2556)&gt;1,"重複",""))</f>
        <v/>
      </c>
    </row>
    <row r="2557" customFormat="false" ht="16.5" hidden="false" customHeight="true" outlineLevel="0" collapsed="false">
      <c r="A2557" s="2" t="s">
        <v>416</v>
      </c>
      <c r="B2557" s="2" t="s">
        <v>438</v>
      </c>
      <c r="C2557" s="2" t="s">
        <v>7</v>
      </c>
      <c r="D2557" s="2" t="str">
        <f aca="false">IF(3キー同時!$B$279="","",3キー同時!$B$279)</f>
        <v>f</v>
      </c>
      <c r="E2557" s="2" t="str">
        <f aca="false">IF(3キー同時!$G$279="","",3キー同時!$G$279)</f>
        <v>j</v>
      </c>
      <c r="F2557" s="2" t="str">
        <f aca="false">""</f>
        <v/>
      </c>
      <c r="G2557" s="2" t="str">
        <f aca="false">IF(OR(3キー同時!$B$279="",3キー同時!$G$279=""),"",IF(3キー同時!AH281="","",SUBSTITUTE(SUBSTITUTE(3キー同時!AH281," ",""),"　","")))</f>
        <v/>
      </c>
      <c r="H2557" s="2" t="str">
        <f aca="false">IF($G2557="","",3キー同時!$B$279)</f>
        <v/>
      </c>
      <c r="I2557" s="2" t="str">
        <f aca="false">IF($G2557="","",3キー同時!$G$279)</f>
        <v/>
      </c>
      <c r="J2557" s="2" t="str">
        <f aca="false">IF($G2557="","","8")</f>
        <v/>
      </c>
      <c r="K2557" s="2" t="str">
        <f aca="false">""</f>
        <v/>
      </c>
      <c r="L2557" s="2" t="str">
        <f aca="false">IF($G2557="","","同時")</f>
        <v/>
      </c>
      <c r="M2557" s="2" t="str">
        <f aca="false">IF($G2557="","",IF(ISNA(MATCH($G2557,個別指定!$A:$A,0)),"行なし",""))</f>
        <v/>
      </c>
      <c r="N2557" s="2" t="str">
        <f aca="false">IF($G2557="","",IF(COUNTIF($G$2:$G$4460,$G2557)&gt;1,"重複",""))</f>
        <v/>
      </c>
    </row>
    <row r="2558" customFormat="false" ht="16.5" hidden="false" customHeight="true" outlineLevel="0" collapsed="false">
      <c r="A2558" s="2" t="s">
        <v>416</v>
      </c>
      <c r="B2558" s="2" t="s">
        <v>438</v>
      </c>
      <c r="C2558" s="2" t="s">
        <v>8</v>
      </c>
      <c r="D2558" s="2" t="str">
        <f aca="false">IF(3キー同時!$B$279="","",3キー同時!$B$279)</f>
        <v>f</v>
      </c>
      <c r="E2558" s="2" t="str">
        <f aca="false">IF(3キー同時!$G$279="","",3キー同時!$G$279)</f>
        <v>j</v>
      </c>
      <c r="F2558" s="2" t="str">
        <f aca="false">""</f>
        <v/>
      </c>
      <c r="G2558" s="2" t="str">
        <f aca="false">IF(OR(3キー同時!$B$279="",3キー同時!$G$279=""),"",IF(3キー同時!AL281="","",SUBSTITUTE(SUBSTITUTE(3キー同時!AL281," ",""),"　","")))</f>
        <v/>
      </c>
      <c r="H2558" s="2" t="str">
        <f aca="false">IF($G2558="","",3キー同時!$B$279)</f>
        <v/>
      </c>
      <c r="I2558" s="2" t="str">
        <f aca="false">IF($G2558="","",3キー同時!$G$279)</f>
        <v/>
      </c>
      <c r="J2558" s="2" t="str">
        <f aca="false">IF($G2558="","","9")</f>
        <v/>
      </c>
      <c r="K2558" s="2" t="str">
        <f aca="false">""</f>
        <v/>
      </c>
      <c r="L2558" s="2" t="str">
        <f aca="false">IF($G2558="","","同時")</f>
        <v/>
      </c>
      <c r="M2558" s="2" t="str">
        <f aca="false">IF($G2558="","",IF(ISNA(MATCH($G2558,個別指定!$A:$A,0)),"行なし",""))</f>
        <v/>
      </c>
      <c r="N2558" s="2" t="str">
        <f aca="false">IF($G2558="","",IF(COUNTIF($G$2:$G$4460,$G2558)&gt;1,"重複",""))</f>
        <v/>
      </c>
    </row>
    <row r="2559" customFormat="false" ht="16.5" hidden="false" customHeight="true" outlineLevel="0" collapsed="false">
      <c r="A2559" s="2" t="s">
        <v>416</v>
      </c>
      <c r="B2559" s="2" t="s">
        <v>438</v>
      </c>
      <c r="C2559" s="2" t="s">
        <v>9</v>
      </c>
      <c r="D2559" s="2" t="str">
        <f aca="false">IF(3キー同時!$B$279="","",3キー同時!$B$279)</f>
        <v>f</v>
      </c>
      <c r="E2559" s="2" t="str">
        <f aca="false">IF(3キー同時!$G$279="","",3キー同時!$G$279)</f>
        <v>j</v>
      </c>
      <c r="F2559" s="2" t="str">
        <f aca="false">""</f>
        <v/>
      </c>
      <c r="G2559" s="2" t="str">
        <f aca="false">IF(OR(3キー同時!$B$279="",3キー同時!$G$279=""),"",IF(3キー同時!AP281="","",SUBSTITUTE(SUBSTITUTE(3キー同時!AP281," ",""),"　","")))</f>
        <v/>
      </c>
      <c r="H2559" s="2" t="str">
        <f aca="false">IF($G2559="","",3キー同時!$B$279)</f>
        <v/>
      </c>
      <c r="I2559" s="2" t="str">
        <f aca="false">IF($G2559="","",3キー同時!$G$279)</f>
        <v/>
      </c>
      <c r="J2559" s="2" t="str">
        <f aca="false">IF($G2559="","","0")</f>
        <v/>
      </c>
      <c r="K2559" s="2" t="str">
        <f aca="false">""</f>
        <v/>
      </c>
      <c r="L2559" s="2" t="str">
        <f aca="false">IF($G2559="","","同時")</f>
        <v/>
      </c>
      <c r="M2559" s="2" t="str">
        <f aca="false">IF($G2559="","",IF(ISNA(MATCH($G2559,個別指定!$A:$A,0)),"行なし",""))</f>
        <v/>
      </c>
      <c r="N2559" s="2" t="str">
        <f aca="false">IF($G2559="","",IF(COUNTIF($G$2:$G$4460,$G2559)&gt;1,"重複",""))</f>
        <v/>
      </c>
    </row>
    <row r="2560" customFormat="false" ht="16.5" hidden="false" customHeight="true" outlineLevel="0" collapsed="false">
      <c r="A2560" s="2" t="s">
        <v>416</v>
      </c>
      <c r="B2560" s="2" t="s">
        <v>438</v>
      </c>
      <c r="C2560" s="2" t="s">
        <v>10</v>
      </c>
      <c r="D2560" s="2" t="str">
        <f aca="false">IF(3キー同時!$B$279="","",3キー同時!$B$279)</f>
        <v>f</v>
      </c>
      <c r="E2560" s="2" t="str">
        <f aca="false">IF(3キー同時!$G$279="","",3キー同時!$G$279)</f>
        <v>j</v>
      </c>
      <c r="F2560" s="2" t="str">
        <f aca="false">""</f>
        <v/>
      </c>
      <c r="G2560" s="2" t="str">
        <f aca="false">IF(OR(3キー同時!$B$279="",3キー同時!$G$279=""),"",IF(3キー同時!AT281="","",SUBSTITUTE(SUBSTITUTE(3キー同時!AT281," ",""),"　","")))</f>
        <v/>
      </c>
      <c r="H2560" s="2" t="str">
        <f aca="false">IF($G2560="","",3キー同時!$B$279)</f>
        <v/>
      </c>
      <c r="I2560" s="2" t="str">
        <f aca="false">IF($G2560="","",3キー同時!$G$279)</f>
        <v/>
      </c>
      <c r="J2560" s="2" t="str">
        <f aca="false">IF($G2560="","","-")</f>
        <v/>
      </c>
      <c r="K2560" s="2" t="str">
        <f aca="false">""</f>
        <v/>
      </c>
      <c r="L2560" s="2" t="str">
        <f aca="false">IF($G2560="","","同時")</f>
        <v/>
      </c>
      <c r="M2560" s="2" t="str">
        <f aca="false">IF($G2560="","",IF(ISNA(MATCH($G2560,個別指定!$A:$A,0)),"行なし",""))</f>
        <v/>
      </c>
      <c r="N2560" s="2" t="str">
        <f aca="false">IF($G2560="","",IF(COUNTIF($G$2:$G$4460,$G2560)&gt;1,"重複",""))</f>
        <v/>
      </c>
    </row>
    <row r="2561" customFormat="false" ht="16.5" hidden="false" customHeight="true" outlineLevel="0" collapsed="false">
      <c r="A2561" s="2" t="s">
        <v>416</v>
      </c>
      <c r="B2561" s="2" t="s">
        <v>438</v>
      </c>
      <c r="C2561" s="2" t="s">
        <v>11</v>
      </c>
      <c r="D2561" s="2" t="str">
        <f aca="false">IF(3キー同時!$B$279="","",3キー同時!$B$279)</f>
        <v>f</v>
      </c>
      <c r="E2561" s="2" t="str">
        <f aca="false">IF(3キー同時!$G$279="","",3キー同時!$G$279)</f>
        <v>j</v>
      </c>
      <c r="F2561" s="2" t="str">
        <f aca="false">""</f>
        <v/>
      </c>
      <c r="G2561" s="2" t="str">
        <f aca="false">IF(OR(3キー同時!$B$279="",3キー同時!$G$279=""),"",IF(3キー同時!AX281="","",SUBSTITUTE(SUBSTITUTE(3キー同時!AX281," ",""),"　","")))</f>
        <v/>
      </c>
      <c r="H2561" s="2" t="str">
        <f aca="false">IF($G2561="","",3キー同時!$B$279)</f>
        <v/>
      </c>
      <c r="I2561" s="2" t="str">
        <f aca="false">IF($G2561="","",3キー同時!$G$279)</f>
        <v/>
      </c>
      <c r="J2561" s="2" t="str">
        <f aca="false">IF($G2561="","","=")</f>
        <v/>
      </c>
      <c r="K2561" s="2" t="str">
        <f aca="false">""</f>
        <v/>
      </c>
      <c r="L2561" s="2" t="str">
        <f aca="false">IF($G2561="","","同時")</f>
        <v/>
      </c>
      <c r="M2561" s="2" t="str">
        <f aca="false">IF($G2561="","",IF(ISNA(MATCH($G2561,個別指定!$A:$A,0)),"行なし",""))</f>
        <v/>
      </c>
      <c r="N2561" s="2" t="str">
        <f aca="false">IF($G2561="","",IF(COUNTIF($G$2:$G$4460,$G2561)&gt;1,"重複",""))</f>
        <v/>
      </c>
    </row>
    <row r="2562" customFormat="false" ht="16.5" hidden="false" customHeight="true" outlineLevel="0" collapsed="false">
      <c r="A2562" s="2" t="s">
        <v>416</v>
      </c>
      <c r="B2562" s="2" t="s">
        <v>438</v>
      </c>
      <c r="C2562" s="2" t="s">
        <v>12</v>
      </c>
      <c r="D2562" s="2" t="str">
        <f aca="false">IF(3キー同時!$B$279="","",3キー同時!$B$279)</f>
        <v>f</v>
      </c>
      <c r="E2562" s="2" t="str">
        <f aca="false">IF(3キー同時!$G$279="","",3キー同時!$G$279)</f>
        <v>j</v>
      </c>
      <c r="F2562" s="2" t="str">
        <f aca="false">""</f>
        <v/>
      </c>
      <c r="G2562" s="2" t="str">
        <f aca="false">IF(OR(3キー同時!$B$279="",3キー同時!$G$279=""),"",IF(3キー同時!H283="","",SUBSTITUTE(SUBSTITUTE(3キー同時!H283," ",""),"　","")))</f>
        <v/>
      </c>
      <c r="H2562" s="2" t="str">
        <f aca="false">IF($G2562="","",3キー同時!$B$279)</f>
        <v/>
      </c>
      <c r="I2562" s="2" t="str">
        <f aca="false">IF($G2562="","",3キー同時!$G$279)</f>
        <v/>
      </c>
      <c r="J2562" s="2" t="str">
        <f aca="false">IF($G2562="","","q")</f>
        <v/>
      </c>
      <c r="K2562" s="2" t="str">
        <f aca="false">""</f>
        <v/>
      </c>
      <c r="L2562" s="2" t="str">
        <f aca="false">IF($G2562="","","同時")</f>
        <v/>
      </c>
      <c r="M2562" s="2" t="str">
        <f aca="false">IF($G2562="","",IF(ISNA(MATCH($G2562,個別指定!$A:$A,0)),"行なし",""))</f>
        <v/>
      </c>
      <c r="N2562" s="2" t="str">
        <f aca="false">IF($G2562="","",IF(COUNTIF($G$2:$G$4460,$G2562)&gt;1,"重複",""))</f>
        <v/>
      </c>
    </row>
    <row r="2563" customFormat="false" ht="16.5" hidden="false" customHeight="true" outlineLevel="0" collapsed="false">
      <c r="A2563" s="2" t="s">
        <v>416</v>
      </c>
      <c r="B2563" s="2" t="s">
        <v>438</v>
      </c>
      <c r="C2563" s="2" t="s">
        <v>13</v>
      </c>
      <c r="D2563" s="2" t="str">
        <f aca="false">IF(3キー同時!$B$279="","",3キー同時!$B$279)</f>
        <v>f</v>
      </c>
      <c r="E2563" s="2" t="str">
        <f aca="false">IF(3キー同時!$G$279="","",3キー同時!$G$279)</f>
        <v>j</v>
      </c>
      <c r="F2563" s="2" t="str">
        <f aca="false">""</f>
        <v/>
      </c>
      <c r="G2563" s="2" t="str">
        <f aca="false">IF(OR(3キー同時!$B$279="",3キー同時!$G$279=""),"",IF(3キー同時!L283="","",SUBSTITUTE(SUBSTITUTE(3キー同時!L283," ",""),"　","")))</f>
        <v/>
      </c>
      <c r="H2563" s="2" t="str">
        <f aca="false">IF($G2563="","",3キー同時!$B$279)</f>
        <v/>
      </c>
      <c r="I2563" s="2" t="str">
        <f aca="false">IF($G2563="","",3キー同時!$G$279)</f>
        <v/>
      </c>
      <c r="J2563" s="2" t="str">
        <f aca="false">IF($G2563="","","w")</f>
        <v/>
      </c>
      <c r="K2563" s="2" t="str">
        <f aca="false">""</f>
        <v/>
      </c>
      <c r="L2563" s="2" t="str">
        <f aca="false">IF($G2563="","","同時")</f>
        <v/>
      </c>
      <c r="M2563" s="2" t="str">
        <f aca="false">IF($G2563="","",IF(ISNA(MATCH($G2563,個別指定!$A:$A,0)),"行なし",""))</f>
        <v/>
      </c>
      <c r="N2563" s="2" t="str">
        <f aca="false">IF($G2563="","",IF(COUNTIF($G$2:$G$4460,$G2563)&gt;1,"重複",""))</f>
        <v/>
      </c>
    </row>
    <row r="2564" customFormat="false" ht="16.5" hidden="false" customHeight="true" outlineLevel="0" collapsed="false">
      <c r="A2564" s="2" t="s">
        <v>416</v>
      </c>
      <c r="B2564" s="2" t="s">
        <v>438</v>
      </c>
      <c r="C2564" s="2" t="s">
        <v>14</v>
      </c>
      <c r="D2564" s="2" t="str">
        <f aca="false">IF(3キー同時!$B$279="","",3キー同時!$B$279)</f>
        <v>f</v>
      </c>
      <c r="E2564" s="2" t="str">
        <f aca="false">IF(3キー同時!$G$279="","",3キー同時!$G$279)</f>
        <v>j</v>
      </c>
      <c r="F2564" s="2" t="str">
        <f aca="false">""</f>
        <v/>
      </c>
      <c r="G2564" s="2" t="str">
        <f aca="false">IF(OR(3キー同時!$B$279="",3キー同時!$G$279=""),"",IF(3キー同時!P283="","",SUBSTITUTE(SUBSTITUTE(3キー同時!P283," ",""),"　","")))</f>
        <v/>
      </c>
      <c r="H2564" s="2" t="str">
        <f aca="false">IF($G2564="","",3キー同時!$B$279)</f>
        <v/>
      </c>
      <c r="I2564" s="2" t="str">
        <f aca="false">IF($G2564="","",3キー同時!$G$279)</f>
        <v/>
      </c>
      <c r="J2564" s="2" t="str">
        <f aca="false">IF($G2564="","","e")</f>
        <v/>
      </c>
      <c r="K2564" s="2" t="str">
        <f aca="false">""</f>
        <v/>
      </c>
      <c r="L2564" s="2" t="str">
        <f aca="false">IF($G2564="","","同時")</f>
        <v/>
      </c>
      <c r="M2564" s="2" t="str">
        <f aca="false">IF($G2564="","",IF(ISNA(MATCH($G2564,個別指定!$A:$A,0)),"行なし",""))</f>
        <v/>
      </c>
      <c r="N2564" s="2" t="str">
        <f aca="false">IF($G2564="","",IF(COUNTIF($G$2:$G$4460,$G2564)&gt;1,"重複",""))</f>
        <v/>
      </c>
    </row>
    <row r="2565" customFormat="false" ht="16.5" hidden="false" customHeight="true" outlineLevel="0" collapsed="false">
      <c r="A2565" s="2" t="s">
        <v>416</v>
      </c>
      <c r="B2565" s="2" t="s">
        <v>438</v>
      </c>
      <c r="C2565" s="2" t="s">
        <v>15</v>
      </c>
      <c r="D2565" s="2" t="str">
        <f aca="false">IF(3キー同時!$B$279="","",3キー同時!$B$279)</f>
        <v>f</v>
      </c>
      <c r="E2565" s="2" t="str">
        <f aca="false">IF(3キー同時!$G$279="","",3キー同時!$G$279)</f>
        <v>j</v>
      </c>
      <c r="F2565" s="2" t="str">
        <f aca="false">""</f>
        <v/>
      </c>
      <c r="G2565" s="2" t="str">
        <f aca="false">IF(OR(3キー同時!$B$279="",3キー同時!$G$279=""),"",IF(3キー同時!T283="","",SUBSTITUTE(SUBSTITUTE(3キー同時!T283," ",""),"　","")))</f>
        <v/>
      </c>
      <c r="H2565" s="2" t="str">
        <f aca="false">IF($G2565="","",3キー同時!$B$279)</f>
        <v/>
      </c>
      <c r="I2565" s="2" t="str">
        <f aca="false">IF($G2565="","",3キー同時!$G$279)</f>
        <v/>
      </c>
      <c r="J2565" s="2" t="str">
        <f aca="false">IF($G2565="","","r")</f>
        <v/>
      </c>
      <c r="K2565" s="2" t="str">
        <f aca="false">""</f>
        <v/>
      </c>
      <c r="L2565" s="2" t="str">
        <f aca="false">IF($G2565="","","同時")</f>
        <v/>
      </c>
      <c r="M2565" s="2" t="str">
        <f aca="false">IF($G2565="","",IF(ISNA(MATCH($G2565,個別指定!$A:$A,0)),"行なし",""))</f>
        <v/>
      </c>
      <c r="N2565" s="2" t="str">
        <f aca="false">IF($G2565="","",IF(COUNTIF($G$2:$G$4460,$G2565)&gt;1,"重複",""))</f>
        <v/>
      </c>
    </row>
    <row r="2566" customFormat="false" ht="16.5" hidden="false" customHeight="true" outlineLevel="0" collapsed="false">
      <c r="A2566" s="2" t="s">
        <v>416</v>
      </c>
      <c r="B2566" s="2" t="s">
        <v>438</v>
      </c>
      <c r="C2566" s="2" t="s">
        <v>16</v>
      </c>
      <c r="D2566" s="2" t="str">
        <f aca="false">IF(3キー同時!$B$279="","",3キー同時!$B$279)</f>
        <v>f</v>
      </c>
      <c r="E2566" s="2" t="str">
        <f aca="false">IF(3キー同時!$G$279="","",3キー同時!$G$279)</f>
        <v>j</v>
      </c>
      <c r="F2566" s="2" t="str">
        <f aca="false">""</f>
        <v/>
      </c>
      <c r="G2566" s="2" t="str">
        <f aca="false">IF(OR(3キー同時!$B$279="",3キー同時!$G$279=""),"",IF(3キー同時!X283="","",SUBSTITUTE(SUBSTITUTE(3キー同時!X283," ",""),"　","")))</f>
        <v/>
      </c>
      <c r="H2566" s="2" t="str">
        <f aca="false">IF($G2566="","",3キー同時!$B$279)</f>
        <v/>
      </c>
      <c r="I2566" s="2" t="str">
        <f aca="false">IF($G2566="","",3キー同時!$G$279)</f>
        <v/>
      </c>
      <c r="J2566" s="2" t="str">
        <f aca="false">IF($G2566="","","t")</f>
        <v/>
      </c>
      <c r="K2566" s="2" t="str">
        <f aca="false">""</f>
        <v/>
      </c>
      <c r="L2566" s="2" t="str">
        <f aca="false">IF($G2566="","","同時")</f>
        <v/>
      </c>
      <c r="M2566" s="2" t="str">
        <f aca="false">IF($G2566="","",IF(ISNA(MATCH($G2566,個別指定!$A:$A,0)),"行なし",""))</f>
        <v/>
      </c>
      <c r="N2566" s="2" t="str">
        <f aca="false">IF($G2566="","",IF(COUNTIF($G$2:$G$4460,$G2566)&gt;1,"重複",""))</f>
        <v/>
      </c>
    </row>
    <row r="2567" customFormat="false" ht="16.5" hidden="false" customHeight="true" outlineLevel="0" collapsed="false">
      <c r="A2567" s="2" t="s">
        <v>416</v>
      </c>
      <c r="B2567" s="2" t="s">
        <v>438</v>
      </c>
      <c r="C2567" s="2" t="s">
        <v>17</v>
      </c>
      <c r="D2567" s="2" t="str">
        <f aca="false">IF(3キー同時!$B$279="","",3キー同時!$B$279)</f>
        <v>f</v>
      </c>
      <c r="E2567" s="2" t="str">
        <f aca="false">IF(3キー同時!$G$279="","",3キー同時!$G$279)</f>
        <v>j</v>
      </c>
      <c r="F2567" s="2" t="str">
        <f aca="false">""</f>
        <v/>
      </c>
      <c r="G2567" s="2" t="str">
        <f aca="false">IF(OR(3キー同時!$B$279="",3キー同時!$G$279=""),"",IF(3キー同時!AB283="","",SUBSTITUTE(SUBSTITUTE(3キー同時!AB283," ",""),"　","")))</f>
        <v/>
      </c>
      <c r="H2567" s="2" t="str">
        <f aca="false">IF($G2567="","",3キー同時!$B$279)</f>
        <v/>
      </c>
      <c r="I2567" s="2" t="str">
        <f aca="false">IF($G2567="","",3キー同時!$G$279)</f>
        <v/>
      </c>
      <c r="J2567" s="2" t="str">
        <f aca="false">IF($G2567="","","y")</f>
        <v/>
      </c>
      <c r="K2567" s="2" t="str">
        <f aca="false">""</f>
        <v/>
      </c>
      <c r="L2567" s="2" t="str">
        <f aca="false">IF($G2567="","","同時")</f>
        <v/>
      </c>
      <c r="M2567" s="2" t="str">
        <f aca="false">IF($G2567="","",IF(ISNA(MATCH($G2567,個別指定!$A:$A,0)),"行なし",""))</f>
        <v/>
      </c>
      <c r="N2567" s="2" t="str">
        <f aca="false">IF($G2567="","",IF(COUNTIF($G$2:$G$4460,$G2567)&gt;1,"重複",""))</f>
        <v/>
      </c>
    </row>
    <row r="2568" customFormat="false" ht="16.5" hidden="false" customHeight="true" outlineLevel="0" collapsed="false">
      <c r="A2568" s="2" t="s">
        <v>416</v>
      </c>
      <c r="B2568" s="2" t="s">
        <v>438</v>
      </c>
      <c r="C2568" s="2" t="s">
        <v>18</v>
      </c>
      <c r="D2568" s="2" t="str">
        <f aca="false">IF(3キー同時!$B$279="","",3キー同時!$B$279)</f>
        <v>f</v>
      </c>
      <c r="E2568" s="2" t="str">
        <f aca="false">IF(3キー同時!$G$279="","",3キー同時!$G$279)</f>
        <v>j</v>
      </c>
      <c r="F2568" s="2" t="str">
        <f aca="false">""</f>
        <v/>
      </c>
      <c r="G2568" s="2" t="str">
        <f aca="false">IF(OR(3キー同時!$B$279="",3キー同時!$G$279=""),"",IF(3キー同時!AF283="","",SUBSTITUTE(SUBSTITUTE(3キー同時!AF283," ",""),"　","")))</f>
        <v/>
      </c>
      <c r="H2568" s="2" t="str">
        <f aca="false">IF($G2568="","",3キー同時!$B$279)</f>
        <v/>
      </c>
      <c r="I2568" s="2" t="str">
        <f aca="false">IF($G2568="","",3キー同時!$G$279)</f>
        <v/>
      </c>
      <c r="J2568" s="2" t="str">
        <f aca="false">IF($G2568="","","u")</f>
        <v/>
      </c>
      <c r="K2568" s="2" t="str">
        <f aca="false">""</f>
        <v/>
      </c>
      <c r="L2568" s="2" t="str">
        <f aca="false">IF($G2568="","","同時")</f>
        <v/>
      </c>
      <c r="M2568" s="2" t="str">
        <f aca="false">IF($G2568="","",IF(ISNA(MATCH($G2568,個別指定!$A:$A,0)),"行なし",""))</f>
        <v/>
      </c>
      <c r="N2568" s="2" t="str">
        <f aca="false">IF($G2568="","",IF(COUNTIF($G$2:$G$4460,$G2568)&gt;1,"重複",""))</f>
        <v/>
      </c>
    </row>
    <row r="2569" customFormat="false" ht="16.5" hidden="false" customHeight="true" outlineLevel="0" collapsed="false">
      <c r="A2569" s="2" t="s">
        <v>416</v>
      </c>
      <c r="B2569" s="2" t="s">
        <v>438</v>
      </c>
      <c r="C2569" s="2" t="s">
        <v>19</v>
      </c>
      <c r="D2569" s="2" t="str">
        <f aca="false">IF(3キー同時!$B$279="","",3キー同時!$B$279)</f>
        <v>f</v>
      </c>
      <c r="E2569" s="2" t="str">
        <f aca="false">IF(3キー同時!$G$279="","",3キー同時!$G$279)</f>
        <v>j</v>
      </c>
      <c r="F2569" s="2" t="str">
        <f aca="false">""</f>
        <v/>
      </c>
      <c r="G2569" s="2" t="str">
        <f aca="false">IF(OR(3キー同時!$B$279="",3キー同時!$G$279=""),"",IF(3キー同時!AJ283="","",SUBSTITUTE(SUBSTITUTE(3キー同時!AJ283," ",""),"　","")))</f>
        <v/>
      </c>
      <c r="H2569" s="2" t="str">
        <f aca="false">IF($G2569="","",3キー同時!$B$279)</f>
        <v/>
      </c>
      <c r="I2569" s="2" t="str">
        <f aca="false">IF($G2569="","",3キー同時!$G$279)</f>
        <v/>
      </c>
      <c r="J2569" s="2" t="str">
        <f aca="false">IF($G2569="","","i")</f>
        <v/>
      </c>
      <c r="K2569" s="2" t="str">
        <f aca="false">""</f>
        <v/>
      </c>
      <c r="L2569" s="2" t="str">
        <f aca="false">IF($G2569="","","同時")</f>
        <v/>
      </c>
      <c r="M2569" s="2" t="str">
        <f aca="false">IF($G2569="","",IF(ISNA(MATCH($G2569,個別指定!$A:$A,0)),"行なし",""))</f>
        <v/>
      </c>
      <c r="N2569" s="2" t="str">
        <f aca="false">IF($G2569="","",IF(COUNTIF($G$2:$G$4460,$G2569)&gt;1,"重複",""))</f>
        <v/>
      </c>
    </row>
    <row r="2570" customFormat="false" ht="16.5" hidden="false" customHeight="true" outlineLevel="0" collapsed="false">
      <c r="A2570" s="2" t="s">
        <v>416</v>
      </c>
      <c r="B2570" s="2" t="s">
        <v>438</v>
      </c>
      <c r="C2570" s="2" t="s">
        <v>20</v>
      </c>
      <c r="D2570" s="2" t="str">
        <f aca="false">IF(3キー同時!$B$279="","",3キー同時!$B$279)</f>
        <v>f</v>
      </c>
      <c r="E2570" s="2" t="str">
        <f aca="false">IF(3キー同時!$G$279="","",3キー同時!$G$279)</f>
        <v>j</v>
      </c>
      <c r="F2570" s="2" t="str">
        <f aca="false">""</f>
        <v/>
      </c>
      <c r="G2570" s="2" t="str">
        <f aca="false">IF(OR(3キー同時!$B$279="",3キー同時!$G$279=""),"",IF(3キー同時!AN283="","",SUBSTITUTE(SUBSTITUTE(3キー同時!AN283," ",""),"　","")))</f>
        <v/>
      </c>
      <c r="H2570" s="2" t="str">
        <f aca="false">IF($G2570="","",3キー同時!$B$279)</f>
        <v/>
      </c>
      <c r="I2570" s="2" t="str">
        <f aca="false">IF($G2570="","",3キー同時!$G$279)</f>
        <v/>
      </c>
      <c r="J2570" s="2" t="str">
        <f aca="false">IF($G2570="","","o")</f>
        <v/>
      </c>
      <c r="K2570" s="2" t="str">
        <f aca="false">""</f>
        <v/>
      </c>
      <c r="L2570" s="2" t="str">
        <f aca="false">IF($G2570="","","同時")</f>
        <v/>
      </c>
      <c r="M2570" s="2" t="str">
        <f aca="false">IF($G2570="","",IF(ISNA(MATCH($G2570,個別指定!$A:$A,0)),"行なし",""))</f>
        <v/>
      </c>
      <c r="N2570" s="2" t="str">
        <f aca="false">IF($G2570="","",IF(COUNTIF($G$2:$G$4460,$G2570)&gt;1,"重複",""))</f>
        <v/>
      </c>
    </row>
    <row r="2571" customFormat="false" ht="16.5" hidden="false" customHeight="true" outlineLevel="0" collapsed="false">
      <c r="A2571" s="2" t="s">
        <v>416</v>
      </c>
      <c r="B2571" s="2" t="s">
        <v>438</v>
      </c>
      <c r="C2571" s="2" t="s">
        <v>21</v>
      </c>
      <c r="D2571" s="2" t="str">
        <f aca="false">IF(3キー同時!$B$279="","",3キー同時!$B$279)</f>
        <v>f</v>
      </c>
      <c r="E2571" s="2" t="str">
        <f aca="false">IF(3キー同時!$G$279="","",3キー同時!$G$279)</f>
        <v>j</v>
      </c>
      <c r="F2571" s="2" t="str">
        <f aca="false">""</f>
        <v/>
      </c>
      <c r="G2571" s="2" t="str">
        <f aca="false">IF(OR(3キー同時!$B$279="",3キー同時!$G$279=""),"",IF(3キー同時!AR283="","",SUBSTITUTE(SUBSTITUTE(3キー同時!AR283," ",""),"　","")))</f>
        <v/>
      </c>
      <c r="H2571" s="2" t="str">
        <f aca="false">IF($G2571="","",3キー同時!$B$279)</f>
        <v/>
      </c>
      <c r="I2571" s="2" t="str">
        <f aca="false">IF($G2571="","",3キー同時!$G$279)</f>
        <v/>
      </c>
      <c r="J2571" s="2" t="str">
        <f aca="false">IF($G2571="","","p")</f>
        <v/>
      </c>
      <c r="K2571" s="2" t="str">
        <f aca="false">""</f>
        <v/>
      </c>
      <c r="L2571" s="2" t="str">
        <f aca="false">IF($G2571="","","同時")</f>
        <v/>
      </c>
      <c r="M2571" s="2" t="str">
        <f aca="false">IF($G2571="","",IF(ISNA(MATCH($G2571,個別指定!$A:$A,0)),"行なし",""))</f>
        <v/>
      </c>
      <c r="N2571" s="2" t="str">
        <f aca="false">IF($G2571="","",IF(COUNTIF($G$2:$G$4460,$G2571)&gt;1,"重複",""))</f>
        <v/>
      </c>
    </row>
    <row r="2572" customFormat="false" ht="16.5" hidden="false" customHeight="true" outlineLevel="0" collapsed="false">
      <c r="A2572" s="2" t="s">
        <v>416</v>
      </c>
      <c r="B2572" s="2" t="s">
        <v>438</v>
      </c>
      <c r="C2572" s="2" t="s">
        <v>22</v>
      </c>
      <c r="D2572" s="2" t="str">
        <f aca="false">IF(3キー同時!$B$279="","",3キー同時!$B$279)</f>
        <v>f</v>
      </c>
      <c r="E2572" s="2" t="str">
        <f aca="false">IF(3キー同時!$G$279="","",3キー同時!$G$279)</f>
        <v>j</v>
      </c>
      <c r="F2572" s="2" t="str">
        <f aca="false">""</f>
        <v/>
      </c>
      <c r="G2572" s="2" t="str">
        <f aca="false">IF(OR(3キー同時!$B$279="",3キー同時!$G$279=""),"",IF(3キー同時!AV283="","",SUBSTITUTE(SUBSTITUTE(3キー同時!AV283," ",""),"　","")))</f>
        <v/>
      </c>
      <c r="H2572" s="2" t="str">
        <f aca="false">IF($G2572="","",3キー同時!$B$279)</f>
        <v/>
      </c>
      <c r="I2572" s="2" t="str">
        <f aca="false">IF($G2572="","",3キー同時!$G$279)</f>
        <v/>
      </c>
      <c r="J2572" s="2" t="str">
        <f aca="false">IF($G2572="","","[")</f>
        <v/>
      </c>
      <c r="K2572" s="2" t="str">
        <f aca="false">""</f>
        <v/>
      </c>
      <c r="L2572" s="2" t="str">
        <f aca="false">IF($G2572="","","同時")</f>
        <v/>
      </c>
      <c r="M2572" s="2" t="str">
        <f aca="false">IF($G2572="","",IF(ISNA(MATCH($G2572,個別指定!$A:$A,0)),"行なし",""))</f>
        <v/>
      </c>
      <c r="N2572" s="2" t="str">
        <f aca="false">IF($G2572="","",IF(COUNTIF($G$2:$G$4460,$G2572)&gt;1,"重複",""))</f>
        <v/>
      </c>
    </row>
    <row r="2573" customFormat="false" ht="16.5" hidden="false" customHeight="true" outlineLevel="0" collapsed="false">
      <c r="A2573" s="2" t="s">
        <v>416</v>
      </c>
      <c r="B2573" s="2" t="s">
        <v>438</v>
      </c>
      <c r="C2573" s="2" t="s">
        <v>23</v>
      </c>
      <c r="D2573" s="2" t="str">
        <f aca="false">IF(3キー同時!$B$279="","",3キー同時!$B$279)</f>
        <v>f</v>
      </c>
      <c r="E2573" s="2" t="str">
        <f aca="false">IF(3キー同時!$G$279="","",3キー同時!$G$279)</f>
        <v>j</v>
      </c>
      <c r="F2573" s="2" t="str">
        <f aca="false">""</f>
        <v/>
      </c>
      <c r="G2573" s="2" t="str">
        <f aca="false">IF(OR(3キー同時!$B$279="",3キー同時!$G$279=""),"",IF(3キー同時!AZ283="","",SUBSTITUTE(SUBSTITUTE(3キー同時!AZ283," ",""),"　","")))</f>
        <v/>
      </c>
      <c r="H2573" s="2" t="str">
        <f aca="false">IF($G2573="","",3キー同時!$B$279)</f>
        <v/>
      </c>
      <c r="I2573" s="2" t="str">
        <f aca="false">IF($G2573="","",3キー同時!$G$279)</f>
        <v/>
      </c>
      <c r="J2573" s="2" t="str">
        <f aca="false">IF($G2573="","","]")</f>
        <v/>
      </c>
      <c r="K2573" s="2" t="str">
        <f aca="false">""</f>
        <v/>
      </c>
      <c r="L2573" s="2" t="str">
        <f aca="false">IF($G2573="","","同時")</f>
        <v/>
      </c>
      <c r="M2573" s="2" t="str">
        <f aca="false">IF($G2573="","",IF(ISNA(MATCH($G2573,個別指定!$A:$A,0)),"行なし",""))</f>
        <v/>
      </c>
      <c r="N2573" s="2" t="str">
        <f aca="false">IF($G2573="","",IF(COUNTIF($G$2:$G$4460,$G2573)&gt;1,"重複",""))</f>
        <v/>
      </c>
    </row>
    <row r="2574" customFormat="false" ht="16.5" hidden="false" customHeight="true" outlineLevel="0" collapsed="false">
      <c r="A2574" s="2" t="s">
        <v>416</v>
      </c>
      <c r="B2574" s="2" t="s">
        <v>438</v>
      </c>
      <c r="C2574" s="2" t="s">
        <v>24</v>
      </c>
      <c r="D2574" s="2" t="str">
        <f aca="false">IF(3キー同時!$B$279="","",3キー同時!$B$279)</f>
        <v>f</v>
      </c>
      <c r="E2574" s="2" t="str">
        <f aca="false">IF(3キー同時!$G$279="","",3キー同時!$G$279)</f>
        <v>j</v>
      </c>
      <c r="F2574" s="2" t="str">
        <f aca="false">""</f>
        <v/>
      </c>
      <c r="G2574" s="2" t="str">
        <f aca="false">IF(OR(3キー同時!$B$279="",3キー同時!$G$279=""),"",IF(3キー同時!I285="","",SUBSTITUTE(SUBSTITUTE(3キー同時!I285," ",""),"　","")))</f>
        <v/>
      </c>
      <c r="H2574" s="2" t="str">
        <f aca="false">IF($G2574="","",3キー同時!$B$279)</f>
        <v/>
      </c>
      <c r="I2574" s="2" t="str">
        <f aca="false">IF($G2574="","",3キー同時!$G$279)</f>
        <v/>
      </c>
      <c r="J2574" s="2" t="str">
        <f aca="false">IF($G2574="","","a")</f>
        <v/>
      </c>
      <c r="K2574" s="2" t="str">
        <f aca="false">""</f>
        <v/>
      </c>
      <c r="L2574" s="2" t="str">
        <f aca="false">IF($G2574="","","同時")</f>
        <v/>
      </c>
      <c r="M2574" s="2" t="str">
        <f aca="false">IF($G2574="","",IF(ISNA(MATCH($G2574,個別指定!$A:$A,0)),"行なし",""))</f>
        <v/>
      </c>
      <c r="N2574" s="2" t="str">
        <f aca="false">IF($G2574="","",IF(COUNTIF($G$2:$G$4460,$G2574)&gt;1,"重複",""))</f>
        <v/>
      </c>
    </row>
    <row r="2575" customFormat="false" ht="16.5" hidden="false" customHeight="true" outlineLevel="0" collapsed="false">
      <c r="A2575" s="2" t="s">
        <v>416</v>
      </c>
      <c r="B2575" s="2" t="s">
        <v>438</v>
      </c>
      <c r="C2575" s="2" t="s">
        <v>25</v>
      </c>
      <c r="D2575" s="2" t="str">
        <f aca="false">IF(3キー同時!$B$279="","",3キー同時!$B$279)</f>
        <v>f</v>
      </c>
      <c r="E2575" s="2" t="str">
        <f aca="false">IF(3キー同時!$G$279="","",3キー同時!$G$279)</f>
        <v>j</v>
      </c>
      <c r="F2575" s="2" t="str">
        <f aca="false">""</f>
        <v/>
      </c>
      <c r="G2575" s="2" t="str">
        <f aca="false">IF(OR(3キー同時!$B$279="",3キー同時!$G$279=""),"",IF(3キー同時!M285="","",SUBSTITUTE(SUBSTITUTE(3キー同時!M285," ",""),"　","")))</f>
        <v/>
      </c>
      <c r="H2575" s="2" t="str">
        <f aca="false">IF($G2575="","",3キー同時!$B$279)</f>
        <v/>
      </c>
      <c r="I2575" s="2" t="str">
        <f aca="false">IF($G2575="","",3キー同時!$G$279)</f>
        <v/>
      </c>
      <c r="J2575" s="2" t="str">
        <f aca="false">IF($G2575="","","s")</f>
        <v/>
      </c>
      <c r="K2575" s="2" t="str">
        <f aca="false">""</f>
        <v/>
      </c>
      <c r="L2575" s="2" t="str">
        <f aca="false">IF($G2575="","","同時")</f>
        <v/>
      </c>
      <c r="M2575" s="2" t="str">
        <f aca="false">IF($G2575="","",IF(ISNA(MATCH($G2575,個別指定!$A:$A,0)),"行なし",""))</f>
        <v/>
      </c>
      <c r="N2575" s="2" t="str">
        <f aca="false">IF($G2575="","",IF(COUNTIF($G$2:$G$4460,$G2575)&gt;1,"重複",""))</f>
        <v/>
      </c>
    </row>
    <row r="2576" customFormat="false" ht="16.5" hidden="false" customHeight="true" outlineLevel="0" collapsed="false">
      <c r="A2576" s="2" t="s">
        <v>416</v>
      </c>
      <c r="B2576" s="2" t="s">
        <v>438</v>
      </c>
      <c r="C2576" s="2" t="s">
        <v>26</v>
      </c>
      <c r="D2576" s="2" t="str">
        <f aca="false">IF(3キー同時!$B$279="","",3キー同時!$B$279)</f>
        <v>f</v>
      </c>
      <c r="E2576" s="2" t="str">
        <f aca="false">IF(3キー同時!$G$279="","",3キー同時!$G$279)</f>
        <v>j</v>
      </c>
      <c r="F2576" s="2" t="str">
        <f aca="false">""</f>
        <v/>
      </c>
      <c r="G2576" s="2" t="str">
        <f aca="false">IF(OR(3キー同時!$B$279="",3キー同時!$G$279=""),"",IF(3キー同時!Q285="","",SUBSTITUTE(SUBSTITUTE(3キー同時!Q285," ",""),"　","")))</f>
        <v/>
      </c>
      <c r="H2576" s="2" t="str">
        <f aca="false">IF($G2576="","",3キー同時!$B$279)</f>
        <v/>
      </c>
      <c r="I2576" s="2" t="str">
        <f aca="false">IF($G2576="","",3キー同時!$G$279)</f>
        <v/>
      </c>
      <c r="J2576" s="2" t="str">
        <f aca="false">IF($G2576="","","d")</f>
        <v/>
      </c>
      <c r="K2576" s="2" t="str">
        <f aca="false">""</f>
        <v/>
      </c>
      <c r="L2576" s="2" t="str">
        <f aca="false">IF($G2576="","","同時")</f>
        <v/>
      </c>
      <c r="M2576" s="2" t="str">
        <f aca="false">IF($G2576="","",IF(ISNA(MATCH($G2576,個別指定!$A:$A,0)),"行なし",""))</f>
        <v/>
      </c>
      <c r="N2576" s="2" t="str">
        <f aca="false">IF($G2576="","",IF(COUNTIF($G$2:$G$4460,$G2576)&gt;1,"重複",""))</f>
        <v/>
      </c>
    </row>
    <row r="2577" customFormat="false" ht="16.5" hidden="false" customHeight="true" outlineLevel="0" collapsed="false">
      <c r="A2577" s="2" t="s">
        <v>416</v>
      </c>
      <c r="B2577" s="2" t="s">
        <v>438</v>
      </c>
      <c r="C2577" s="2" t="s">
        <v>27</v>
      </c>
      <c r="D2577" s="2" t="str">
        <f aca="false">IF(3キー同時!$B$279="","",3キー同時!$B$279)</f>
        <v>f</v>
      </c>
      <c r="E2577" s="2" t="str">
        <f aca="false">IF(3キー同時!$G$279="","",3キー同時!$G$279)</f>
        <v>j</v>
      </c>
      <c r="F2577" s="2" t="str">
        <f aca="false">""</f>
        <v/>
      </c>
      <c r="G2577" s="2" t="str">
        <f aca="false">IF(OR(3キー同時!$B$279="",3キー同時!$G$279=""),"",IF(3キー同時!U285="","",SUBSTITUTE(SUBSTITUTE(3キー同時!U285," ",""),"　","")))</f>
        <v/>
      </c>
      <c r="H2577" s="2" t="str">
        <f aca="false">IF($G2577="","",3キー同時!$B$279)</f>
        <v/>
      </c>
      <c r="I2577" s="2" t="str">
        <f aca="false">IF($G2577="","",3キー同時!$G$279)</f>
        <v/>
      </c>
      <c r="J2577" s="2" t="str">
        <f aca="false">IF($G2577="","","f")</f>
        <v/>
      </c>
      <c r="K2577" s="2" t="str">
        <f aca="false">""</f>
        <v/>
      </c>
      <c r="L2577" s="2" t="str">
        <f aca="false">IF($G2577="","","同時")</f>
        <v/>
      </c>
      <c r="M2577" s="2" t="str">
        <f aca="false">IF($G2577="","",IF(ISNA(MATCH($G2577,個別指定!$A:$A,0)),"行なし",""))</f>
        <v/>
      </c>
      <c r="N2577" s="2" t="str">
        <f aca="false">IF($G2577="","",IF(COUNTIF($G$2:$G$4460,$G2577)&gt;1,"重複",""))</f>
        <v/>
      </c>
    </row>
    <row r="2578" customFormat="false" ht="16.5" hidden="false" customHeight="true" outlineLevel="0" collapsed="false">
      <c r="A2578" s="2" t="s">
        <v>416</v>
      </c>
      <c r="B2578" s="2" t="s">
        <v>438</v>
      </c>
      <c r="C2578" s="2" t="s">
        <v>28</v>
      </c>
      <c r="D2578" s="2" t="str">
        <f aca="false">IF(3キー同時!$B$279="","",3キー同時!$B$279)</f>
        <v>f</v>
      </c>
      <c r="E2578" s="2" t="str">
        <f aca="false">IF(3キー同時!$G$279="","",3キー同時!$G$279)</f>
        <v>j</v>
      </c>
      <c r="F2578" s="2" t="str">
        <f aca="false">""</f>
        <v/>
      </c>
      <c r="G2578" s="2" t="str">
        <f aca="false">IF(OR(3キー同時!$B$279="",3キー同時!$G$279=""),"",IF(3キー同時!Y285="","",SUBSTITUTE(SUBSTITUTE(3キー同時!Y285," ",""),"　","")))</f>
        <v/>
      </c>
      <c r="H2578" s="2" t="str">
        <f aca="false">IF($G2578="","",3キー同時!$B$279)</f>
        <v/>
      </c>
      <c r="I2578" s="2" t="str">
        <f aca="false">IF($G2578="","",3キー同時!$G$279)</f>
        <v/>
      </c>
      <c r="J2578" s="2" t="str">
        <f aca="false">IF($G2578="","","g")</f>
        <v/>
      </c>
      <c r="K2578" s="2" t="str">
        <f aca="false">""</f>
        <v/>
      </c>
      <c r="L2578" s="2" t="str">
        <f aca="false">IF($G2578="","","同時")</f>
        <v/>
      </c>
      <c r="M2578" s="2" t="str">
        <f aca="false">IF($G2578="","",IF(ISNA(MATCH($G2578,個別指定!$A:$A,0)),"行なし",""))</f>
        <v/>
      </c>
      <c r="N2578" s="2" t="str">
        <f aca="false">IF($G2578="","",IF(COUNTIF($G$2:$G$4460,$G2578)&gt;1,"重複",""))</f>
        <v/>
      </c>
    </row>
    <row r="2579" customFormat="false" ht="16.5" hidden="false" customHeight="true" outlineLevel="0" collapsed="false">
      <c r="A2579" s="2" t="s">
        <v>416</v>
      </c>
      <c r="B2579" s="2" t="s">
        <v>438</v>
      </c>
      <c r="C2579" s="2" t="s">
        <v>29</v>
      </c>
      <c r="D2579" s="2" t="str">
        <f aca="false">IF(3キー同時!$B$279="","",3キー同時!$B$279)</f>
        <v>f</v>
      </c>
      <c r="E2579" s="2" t="str">
        <f aca="false">IF(3キー同時!$G$279="","",3キー同時!$G$279)</f>
        <v>j</v>
      </c>
      <c r="F2579" s="2" t="str">
        <f aca="false">""</f>
        <v/>
      </c>
      <c r="G2579" s="2" t="str">
        <f aca="false">IF(OR(3キー同時!$B$279="",3キー同時!$G$279=""),"",IF(3キー同時!AC285="","",SUBSTITUTE(SUBSTITUTE(3キー同時!AC285," ",""),"　","")))</f>
        <v>ぐぁ</v>
      </c>
      <c r="H2579" s="2" t="str">
        <f aca="false">IF($G2579="","",3キー同時!$B$279)</f>
        <v>f</v>
      </c>
      <c r="I2579" s="2" t="str">
        <f aca="false">IF($G2579="","",3キー同時!$G$279)</f>
        <v>j</v>
      </c>
      <c r="J2579" s="2" t="str">
        <f aca="false">IF($G2579="","","h")</f>
        <v>h</v>
      </c>
      <c r="K2579" s="2" t="str">
        <f aca="false">""</f>
        <v/>
      </c>
      <c r="L2579" s="2" t="str">
        <f aca="false">IF($G2579="","","同時")</f>
        <v>同時</v>
      </c>
      <c r="M2579" s="2" t="str">
        <f aca="false">IF($G2579="","",IF(ISNA(MATCH($G2579,個別指定!$A:$A,0)),"行なし",""))</f>
        <v/>
      </c>
      <c r="N2579" s="2" t="str">
        <f aca="false">IF($G2579="","",IF(COUNTIF($G$2:$G$4460,$G2579)&gt;1,"重複",""))</f>
        <v/>
      </c>
    </row>
    <row r="2580" customFormat="false" ht="16.5" hidden="false" customHeight="true" outlineLevel="0" collapsed="false">
      <c r="A2580" s="2" t="s">
        <v>416</v>
      </c>
      <c r="B2580" s="2" t="s">
        <v>438</v>
      </c>
      <c r="C2580" s="2" t="s">
        <v>30</v>
      </c>
      <c r="D2580" s="2" t="str">
        <f aca="false">IF(3キー同時!$B$279="","",3キー同時!$B$279)</f>
        <v>f</v>
      </c>
      <c r="E2580" s="2" t="str">
        <f aca="false">IF(3キー同時!$G$279="","",3キー同時!$G$279)</f>
        <v>j</v>
      </c>
      <c r="F2580" s="2" t="str">
        <f aca="false">""</f>
        <v/>
      </c>
      <c r="G2580" s="2" t="str">
        <f aca="false">IF(OR(3キー同時!$B$279="",3キー同時!$G$279=""),"",IF(3キー同時!AG285="","",SUBSTITUTE(SUBSTITUTE(3キー同時!AG285," ",""),"　","")))</f>
        <v/>
      </c>
      <c r="H2580" s="2" t="str">
        <f aca="false">IF($G2580="","",3キー同時!$B$279)</f>
        <v/>
      </c>
      <c r="I2580" s="2" t="str">
        <f aca="false">IF($G2580="","",3キー同時!$G$279)</f>
        <v/>
      </c>
      <c r="J2580" s="2" t="str">
        <f aca="false">IF($G2580="","","j")</f>
        <v/>
      </c>
      <c r="K2580" s="2" t="str">
        <f aca="false">""</f>
        <v/>
      </c>
      <c r="L2580" s="2" t="str">
        <f aca="false">IF($G2580="","","同時")</f>
        <v/>
      </c>
      <c r="M2580" s="2" t="str">
        <f aca="false">IF($G2580="","",IF(ISNA(MATCH($G2580,個別指定!$A:$A,0)),"行なし",""))</f>
        <v/>
      </c>
      <c r="N2580" s="2" t="str">
        <f aca="false">IF($G2580="","",IF(COUNTIF($G$2:$G$4460,$G2580)&gt;1,"重複",""))</f>
        <v/>
      </c>
    </row>
    <row r="2581" customFormat="false" ht="16.5" hidden="false" customHeight="true" outlineLevel="0" collapsed="false">
      <c r="A2581" s="2" t="s">
        <v>416</v>
      </c>
      <c r="B2581" s="2" t="s">
        <v>438</v>
      </c>
      <c r="C2581" s="2" t="s">
        <v>31</v>
      </c>
      <c r="D2581" s="2" t="str">
        <f aca="false">IF(3キー同時!$B$279="","",3キー同時!$B$279)</f>
        <v>f</v>
      </c>
      <c r="E2581" s="2" t="str">
        <f aca="false">IF(3キー同時!$G$279="","",3キー同時!$G$279)</f>
        <v>j</v>
      </c>
      <c r="F2581" s="2" t="str">
        <f aca="false">""</f>
        <v/>
      </c>
      <c r="G2581" s="2" t="str">
        <f aca="false">IF(OR(3キー同時!$B$279="",3キー同時!$G$279=""),"",IF(3キー同時!AK285="","",SUBSTITUTE(SUBSTITUTE(3キー同時!AK285," ",""),"　","")))</f>
        <v/>
      </c>
      <c r="H2581" s="2" t="str">
        <f aca="false">IF($G2581="","",3キー同時!$B$279)</f>
        <v/>
      </c>
      <c r="I2581" s="2" t="str">
        <f aca="false">IF($G2581="","",3キー同時!$G$279)</f>
        <v/>
      </c>
      <c r="J2581" s="2" t="str">
        <f aca="false">IF($G2581="","","k")</f>
        <v/>
      </c>
      <c r="K2581" s="2" t="str">
        <f aca="false">""</f>
        <v/>
      </c>
      <c r="L2581" s="2" t="str">
        <f aca="false">IF($G2581="","","同時")</f>
        <v/>
      </c>
      <c r="M2581" s="2" t="str">
        <f aca="false">IF($G2581="","",IF(ISNA(MATCH($G2581,個別指定!$A:$A,0)),"行なし",""))</f>
        <v/>
      </c>
      <c r="N2581" s="2" t="str">
        <f aca="false">IF($G2581="","",IF(COUNTIF($G$2:$G$4460,$G2581)&gt;1,"重複",""))</f>
        <v/>
      </c>
    </row>
    <row r="2582" customFormat="false" ht="16.5" hidden="false" customHeight="true" outlineLevel="0" collapsed="false">
      <c r="A2582" s="2" t="s">
        <v>416</v>
      </c>
      <c r="B2582" s="2" t="s">
        <v>438</v>
      </c>
      <c r="C2582" s="2" t="s">
        <v>32</v>
      </c>
      <c r="D2582" s="2" t="str">
        <f aca="false">IF(3キー同時!$B$279="","",3キー同時!$B$279)</f>
        <v>f</v>
      </c>
      <c r="E2582" s="2" t="str">
        <f aca="false">IF(3キー同時!$G$279="","",3キー同時!$G$279)</f>
        <v>j</v>
      </c>
      <c r="F2582" s="2" t="str">
        <f aca="false">""</f>
        <v/>
      </c>
      <c r="G2582" s="2" t="str">
        <f aca="false">IF(OR(3キー同時!$B$279="",3キー同時!$G$279=""),"",IF(3キー同時!AO285="","",SUBSTITUTE(SUBSTITUTE(3キー同時!AO285," ",""),"　","")))</f>
        <v/>
      </c>
      <c r="H2582" s="2" t="str">
        <f aca="false">IF($G2582="","",3キー同時!$B$279)</f>
        <v/>
      </c>
      <c r="I2582" s="2" t="str">
        <f aca="false">IF($G2582="","",3キー同時!$G$279)</f>
        <v/>
      </c>
      <c r="J2582" s="2" t="str">
        <f aca="false">IF($G2582="","","l")</f>
        <v/>
      </c>
      <c r="K2582" s="2" t="str">
        <f aca="false">""</f>
        <v/>
      </c>
      <c r="L2582" s="2" t="str">
        <f aca="false">IF($G2582="","","同時")</f>
        <v/>
      </c>
      <c r="M2582" s="2" t="str">
        <f aca="false">IF($G2582="","",IF(ISNA(MATCH($G2582,個別指定!$A:$A,0)),"行なし",""))</f>
        <v/>
      </c>
      <c r="N2582" s="2" t="str">
        <f aca="false">IF($G2582="","",IF(COUNTIF($G$2:$G$4460,$G2582)&gt;1,"重複",""))</f>
        <v/>
      </c>
    </row>
    <row r="2583" customFormat="false" ht="16.5" hidden="false" customHeight="true" outlineLevel="0" collapsed="false">
      <c r="A2583" s="2" t="s">
        <v>416</v>
      </c>
      <c r="B2583" s="2" t="s">
        <v>438</v>
      </c>
      <c r="C2583" s="2" t="s">
        <v>33</v>
      </c>
      <c r="D2583" s="2" t="str">
        <f aca="false">IF(3キー同時!$B$279="","",3キー同時!$B$279)</f>
        <v>f</v>
      </c>
      <c r="E2583" s="2" t="str">
        <f aca="false">IF(3キー同時!$G$279="","",3キー同時!$G$279)</f>
        <v>j</v>
      </c>
      <c r="F2583" s="2" t="str">
        <f aca="false">""</f>
        <v/>
      </c>
      <c r="G2583" s="2" t="str">
        <f aca="false">IF(OR(3キー同時!$B$279="",3キー同時!$G$279=""),"",IF(3キー同時!AS285="","",SUBSTITUTE(SUBSTITUTE(3キー同時!AS285," ",""),"　","")))</f>
        <v/>
      </c>
      <c r="H2583" s="2" t="str">
        <f aca="false">IF($G2583="","",3キー同時!$B$279)</f>
        <v/>
      </c>
      <c r="I2583" s="2" t="str">
        <f aca="false">IF($G2583="","",3キー同時!$G$279)</f>
        <v/>
      </c>
      <c r="J2583" s="2" t="str">
        <f aca="false">IF($G2583="","",";")</f>
        <v/>
      </c>
      <c r="K2583" s="2" t="str">
        <f aca="false">""</f>
        <v/>
      </c>
      <c r="L2583" s="2" t="str">
        <f aca="false">IF($G2583="","","同時")</f>
        <v/>
      </c>
      <c r="M2583" s="2" t="str">
        <f aca="false">IF($G2583="","",IF(ISNA(MATCH($G2583,個別指定!$A:$A,0)),"行なし",""))</f>
        <v/>
      </c>
      <c r="N2583" s="2" t="str">
        <f aca="false">IF($G2583="","",IF(COUNTIF($G$2:$G$4460,$G2583)&gt;1,"重複",""))</f>
        <v/>
      </c>
    </row>
    <row r="2584" customFormat="false" ht="16.5" hidden="false" customHeight="true" outlineLevel="0" collapsed="false">
      <c r="A2584" s="2" t="s">
        <v>416</v>
      </c>
      <c r="B2584" s="2" t="s">
        <v>438</v>
      </c>
      <c r="C2584" s="2" t="s">
        <v>34</v>
      </c>
      <c r="D2584" s="2" t="str">
        <f aca="false">IF(3キー同時!$B$279="","",3キー同時!$B$279)</f>
        <v>f</v>
      </c>
      <c r="E2584" s="2" t="str">
        <f aca="false">IF(3キー同時!$G$279="","",3キー同時!$G$279)</f>
        <v>j</v>
      </c>
      <c r="F2584" s="2" t="str">
        <f aca="false">""</f>
        <v/>
      </c>
      <c r="G2584" s="2" t="str">
        <f aca="false">IF(OR(3キー同時!$B$279="",3キー同時!$G$279=""),"",IF(3キー同時!AW285="","",SUBSTITUTE(SUBSTITUTE(3キー同時!AW285," ",""),"　","")))</f>
        <v/>
      </c>
      <c r="H2584" s="2" t="str">
        <f aca="false">IF($G2584="","",3キー同時!$B$279)</f>
        <v/>
      </c>
      <c r="I2584" s="2" t="str">
        <f aca="false">IF($G2584="","",3キー同時!$G$279)</f>
        <v/>
      </c>
      <c r="J2584" s="2" t="str">
        <f aca="false">IF($G2584="","","'")</f>
        <v/>
      </c>
      <c r="K2584" s="2" t="str">
        <f aca="false">""</f>
        <v/>
      </c>
      <c r="L2584" s="2" t="str">
        <f aca="false">IF($G2584="","","同時")</f>
        <v/>
      </c>
      <c r="M2584" s="2" t="str">
        <f aca="false">IF($G2584="","",IF(ISNA(MATCH($G2584,個別指定!$A:$A,0)),"行なし",""))</f>
        <v/>
      </c>
      <c r="N2584" s="2" t="str">
        <f aca="false">IF($G2584="","",IF(COUNTIF($G$2:$G$4460,$G2584)&gt;1,"重複",""))</f>
        <v/>
      </c>
    </row>
    <row r="2585" customFormat="false" ht="16.5" hidden="false" customHeight="true" outlineLevel="0" collapsed="false">
      <c r="A2585" s="2" t="s">
        <v>416</v>
      </c>
      <c r="B2585" s="2" t="s">
        <v>438</v>
      </c>
      <c r="C2585" s="2" t="s">
        <v>35</v>
      </c>
      <c r="D2585" s="2" t="str">
        <f aca="false">IF(3キー同時!$B$279="","",3キー同時!$B$279)</f>
        <v>f</v>
      </c>
      <c r="E2585" s="2" t="str">
        <f aca="false">IF(3キー同時!$G$279="","",3キー同時!$G$279)</f>
        <v>j</v>
      </c>
      <c r="F2585" s="2" t="str">
        <f aca="false">""</f>
        <v/>
      </c>
      <c r="G2585" s="2" t="str">
        <f aca="false">IF(OR(3キー同時!$B$279="",3キー同時!$G$279=""),"",IF(3キー同時!K287="","",SUBSTITUTE(SUBSTITUTE(3キー同時!K287," ",""),"　","")))</f>
        <v/>
      </c>
      <c r="H2585" s="2" t="str">
        <f aca="false">IF($G2585="","",3キー同時!$B$279)</f>
        <v/>
      </c>
      <c r="I2585" s="2" t="str">
        <f aca="false">IF($G2585="","",3キー同時!$G$279)</f>
        <v/>
      </c>
      <c r="J2585" s="2" t="str">
        <f aca="false">IF($G2585="","","z")</f>
        <v/>
      </c>
      <c r="K2585" s="2" t="str">
        <f aca="false">""</f>
        <v/>
      </c>
      <c r="L2585" s="2" t="str">
        <f aca="false">IF($G2585="","","同時")</f>
        <v/>
      </c>
      <c r="M2585" s="2" t="str">
        <f aca="false">IF($G2585="","",IF(ISNA(MATCH($G2585,個別指定!$A:$A,0)),"行なし",""))</f>
        <v/>
      </c>
      <c r="N2585" s="2" t="str">
        <f aca="false">IF($G2585="","",IF(COUNTIF($G$2:$G$4460,$G2585)&gt;1,"重複",""))</f>
        <v/>
      </c>
    </row>
    <row r="2586" customFormat="false" ht="16.5" hidden="false" customHeight="true" outlineLevel="0" collapsed="false">
      <c r="A2586" s="2" t="s">
        <v>416</v>
      </c>
      <c r="B2586" s="2" t="s">
        <v>438</v>
      </c>
      <c r="C2586" s="2" t="s">
        <v>36</v>
      </c>
      <c r="D2586" s="2" t="str">
        <f aca="false">IF(3キー同時!$B$279="","",3キー同時!$B$279)</f>
        <v>f</v>
      </c>
      <c r="E2586" s="2" t="str">
        <f aca="false">IF(3キー同時!$G$279="","",3キー同時!$G$279)</f>
        <v>j</v>
      </c>
      <c r="F2586" s="2" t="str">
        <f aca="false">""</f>
        <v/>
      </c>
      <c r="G2586" s="2" t="str">
        <f aca="false">IF(OR(3キー同時!$B$279="",3キー同時!$G$279=""),"",IF(3キー同時!O287="","",SUBSTITUTE(SUBSTITUTE(3キー同時!O287," ",""),"　","")))</f>
        <v/>
      </c>
      <c r="H2586" s="2" t="str">
        <f aca="false">IF($G2586="","",3キー同時!$B$279)</f>
        <v/>
      </c>
      <c r="I2586" s="2" t="str">
        <f aca="false">IF($G2586="","",3キー同時!$G$279)</f>
        <v/>
      </c>
      <c r="J2586" s="2" t="str">
        <f aca="false">IF($G2586="","","x")</f>
        <v/>
      </c>
      <c r="K2586" s="2" t="str">
        <f aca="false">""</f>
        <v/>
      </c>
      <c r="L2586" s="2" t="str">
        <f aca="false">IF($G2586="","","同時")</f>
        <v/>
      </c>
      <c r="M2586" s="2" t="str">
        <f aca="false">IF($G2586="","",IF(ISNA(MATCH($G2586,個別指定!$A:$A,0)),"行なし",""))</f>
        <v/>
      </c>
      <c r="N2586" s="2" t="str">
        <f aca="false">IF($G2586="","",IF(COUNTIF($G$2:$G$4460,$G2586)&gt;1,"重複",""))</f>
        <v/>
      </c>
    </row>
    <row r="2587" customFormat="false" ht="16.5" hidden="false" customHeight="true" outlineLevel="0" collapsed="false">
      <c r="A2587" s="2" t="s">
        <v>416</v>
      </c>
      <c r="B2587" s="2" t="s">
        <v>438</v>
      </c>
      <c r="C2587" s="2" t="s">
        <v>37</v>
      </c>
      <c r="D2587" s="2" t="str">
        <f aca="false">IF(3キー同時!$B$279="","",3キー同時!$B$279)</f>
        <v>f</v>
      </c>
      <c r="E2587" s="2" t="str">
        <f aca="false">IF(3キー同時!$G$279="","",3キー同時!$G$279)</f>
        <v>j</v>
      </c>
      <c r="F2587" s="2" t="str">
        <f aca="false">""</f>
        <v/>
      </c>
      <c r="G2587" s="2" t="str">
        <f aca="false">IF(OR(3キー同時!$B$279="",3キー同時!$G$279=""),"",IF(3キー同時!S287="","",SUBSTITUTE(SUBSTITUTE(3キー同時!S287," ",""),"　","")))</f>
        <v/>
      </c>
      <c r="H2587" s="2" t="str">
        <f aca="false">IF($G2587="","",3キー同時!$B$279)</f>
        <v/>
      </c>
      <c r="I2587" s="2" t="str">
        <f aca="false">IF($G2587="","",3キー同時!$G$279)</f>
        <v/>
      </c>
      <c r="J2587" s="2" t="str">
        <f aca="false">IF($G2587="","","c")</f>
        <v/>
      </c>
      <c r="K2587" s="2" t="str">
        <f aca="false">""</f>
        <v/>
      </c>
      <c r="L2587" s="2" t="str">
        <f aca="false">IF($G2587="","","同時")</f>
        <v/>
      </c>
      <c r="M2587" s="2" t="str">
        <f aca="false">IF($G2587="","",IF(ISNA(MATCH($G2587,個別指定!$A:$A,0)),"行なし",""))</f>
        <v/>
      </c>
      <c r="N2587" s="2" t="str">
        <f aca="false">IF($G2587="","",IF(COUNTIF($G$2:$G$4460,$G2587)&gt;1,"重複",""))</f>
        <v/>
      </c>
    </row>
    <row r="2588" customFormat="false" ht="16.5" hidden="false" customHeight="true" outlineLevel="0" collapsed="false">
      <c r="A2588" s="2" t="s">
        <v>416</v>
      </c>
      <c r="B2588" s="2" t="s">
        <v>438</v>
      </c>
      <c r="C2588" s="2" t="s">
        <v>38</v>
      </c>
      <c r="D2588" s="2" t="str">
        <f aca="false">IF(3キー同時!$B$279="","",3キー同時!$B$279)</f>
        <v>f</v>
      </c>
      <c r="E2588" s="2" t="str">
        <f aca="false">IF(3キー同時!$G$279="","",3キー同時!$G$279)</f>
        <v>j</v>
      </c>
      <c r="F2588" s="2" t="str">
        <f aca="false">""</f>
        <v/>
      </c>
      <c r="G2588" s="2" t="str">
        <f aca="false">IF(OR(3キー同時!$B$279="",3キー同時!$G$279=""),"",IF(3キー同時!W287="","",SUBSTITUTE(SUBSTITUTE(3キー同時!W287," ",""),"　","")))</f>
        <v/>
      </c>
      <c r="H2588" s="2" t="str">
        <f aca="false">IF($G2588="","",3キー同時!$B$279)</f>
        <v/>
      </c>
      <c r="I2588" s="2" t="str">
        <f aca="false">IF($G2588="","",3キー同時!$G$279)</f>
        <v/>
      </c>
      <c r="J2588" s="2" t="str">
        <f aca="false">IF($G2588="","","v")</f>
        <v/>
      </c>
      <c r="K2588" s="2" t="str">
        <f aca="false">""</f>
        <v/>
      </c>
      <c r="L2588" s="2" t="str">
        <f aca="false">IF($G2588="","","同時")</f>
        <v/>
      </c>
      <c r="M2588" s="2" t="str">
        <f aca="false">IF($G2588="","",IF(ISNA(MATCH($G2588,個別指定!$A:$A,0)),"行なし",""))</f>
        <v/>
      </c>
      <c r="N2588" s="2" t="str">
        <f aca="false">IF($G2588="","",IF(COUNTIF($G$2:$G$4460,$G2588)&gt;1,"重複",""))</f>
        <v/>
      </c>
    </row>
    <row r="2589" customFormat="false" ht="16.5" hidden="false" customHeight="true" outlineLevel="0" collapsed="false">
      <c r="A2589" s="2" t="s">
        <v>416</v>
      </c>
      <c r="B2589" s="2" t="s">
        <v>438</v>
      </c>
      <c r="C2589" s="2" t="s">
        <v>39</v>
      </c>
      <c r="D2589" s="2" t="str">
        <f aca="false">IF(3キー同時!$B$279="","",3キー同時!$B$279)</f>
        <v>f</v>
      </c>
      <c r="E2589" s="2" t="str">
        <f aca="false">IF(3キー同時!$G$279="","",3キー同時!$G$279)</f>
        <v>j</v>
      </c>
      <c r="F2589" s="2" t="str">
        <f aca="false">""</f>
        <v/>
      </c>
      <c r="G2589" s="2" t="str">
        <f aca="false">IF(OR(3キー同時!$B$279="",3キー同時!$G$279=""),"",IF(3キー同時!AA287="","",SUBSTITUTE(SUBSTITUTE(3キー同時!AA287," ",""),"　","")))</f>
        <v/>
      </c>
      <c r="H2589" s="2" t="str">
        <f aca="false">IF($G2589="","",3キー同時!$B$279)</f>
        <v/>
      </c>
      <c r="I2589" s="2" t="str">
        <f aca="false">IF($G2589="","",3キー同時!$G$279)</f>
        <v/>
      </c>
      <c r="J2589" s="2" t="str">
        <f aca="false">IF($G2589="","","b")</f>
        <v/>
      </c>
      <c r="K2589" s="2" t="str">
        <f aca="false">""</f>
        <v/>
      </c>
      <c r="L2589" s="2" t="str">
        <f aca="false">IF($G2589="","","同時")</f>
        <v/>
      </c>
      <c r="M2589" s="2" t="str">
        <f aca="false">IF($G2589="","",IF(ISNA(MATCH($G2589,個別指定!$A:$A,0)),"行なし",""))</f>
        <v/>
      </c>
      <c r="N2589" s="2" t="str">
        <f aca="false">IF($G2589="","",IF(COUNTIF($G$2:$G$4460,$G2589)&gt;1,"重複",""))</f>
        <v/>
      </c>
    </row>
    <row r="2590" customFormat="false" ht="16.5" hidden="false" customHeight="true" outlineLevel="0" collapsed="false">
      <c r="A2590" s="2" t="s">
        <v>416</v>
      </c>
      <c r="B2590" s="2" t="s">
        <v>438</v>
      </c>
      <c r="C2590" s="2" t="s">
        <v>40</v>
      </c>
      <c r="D2590" s="2" t="str">
        <f aca="false">IF(3キー同時!$B$279="","",3キー同時!$B$279)</f>
        <v>f</v>
      </c>
      <c r="E2590" s="2" t="str">
        <f aca="false">IF(3キー同時!$G$279="","",3キー同時!$G$279)</f>
        <v>j</v>
      </c>
      <c r="F2590" s="2" t="str">
        <f aca="false">""</f>
        <v/>
      </c>
      <c r="G2590" s="2" t="str">
        <f aca="false">IF(OR(3キー同時!$B$279="",3キー同時!$G$279=""),"",IF(3キー同時!AE287="","",SUBSTITUTE(SUBSTITUTE(3キー同時!AE287," ",""),"　","")))</f>
        <v/>
      </c>
      <c r="H2590" s="2" t="str">
        <f aca="false">IF($G2590="","",3キー同時!$B$279)</f>
        <v/>
      </c>
      <c r="I2590" s="2" t="str">
        <f aca="false">IF($G2590="","",3キー同時!$G$279)</f>
        <v/>
      </c>
      <c r="J2590" s="2" t="str">
        <f aca="false">IF($G2590="","","n")</f>
        <v/>
      </c>
      <c r="K2590" s="2" t="str">
        <f aca="false">""</f>
        <v/>
      </c>
      <c r="L2590" s="2" t="str">
        <f aca="false">IF($G2590="","","同時")</f>
        <v/>
      </c>
      <c r="M2590" s="2" t="str">
        <f aca="false">IF($G2590="","",IF(ISNA(MATCH($G2590,個別指定!$A:$A,0)),"行なし",""))</f>
        <v/>
      </c>
      <c r="N2590" s="2" t="str">
        <f aca="false">IF($G2590="","",IF(COUNTIF($G$2:$G$4460,$G2590)&gt;1,"重複",""))</f>
        <v/>
      </c>
    </row>
    <row r="2591" customFormat="false" ht="16.5" hidden="false" customHeight="true" outlineLevel="0" collapsed="false">
      <c r="A2591" s="2" t="s">
        <v>416</v>
      </c>
      <c r="B2591" s="2" t="s">
        <v>438</v>
      </c>
      <c r="C2591" s="2" t="s">
        <v>41</v>
      </c>
      <c r="D2591" s="2" t="str">
        <f aca="false">IF(3キー同時!$B$279="","",3キー同時!$B$279)</f>
        <v>f</v>
      </c>
      <c r="E2591" s="2" t="str">
        <f aca="false">IF(3キー同時!$G$279="","",3キー同時!$G$279)</f>
        <v>j</v>
      </c>
      <c r="F2591" s="2" t="str">
        <f aca="false">""</f>
        <v/>
      </c>
      <c r="G2591" s="2" t="str">
        <f aca="false">IF(OR(3キー同時!$B$279="",3キー同時!$G$279=""),"",IF(3キー同時!AI287="","",SUBSTITUTE(SUBSTITUTE(3キー同時!AI287," ",""),"　","")))</f>
        <v/>
      </c>
      <c r="H2591" s="2" t="str">
        <f aca="false">IF($G2591="","",3キー同時!$B$279)</f>
        <v/>
      </c>
      <c r="I2591" s="2" t="str">
        <f aca="false">IF($G2591="","",3キー同時!$G$279)</f>
        <v/>
      </c>
      <c r="J2591" s="2" t="str">
        <f aca="false">IF($G2591="","","m")</f>
        <v/>
      </c>
      <c r="K2591" s="2" t="str">
        <f aca="false">""</f>
        <v/>
      </c>
      <c r="L2591" s="2" t="str">
        <f aca="false">IF($G2591="","","同時")</f>
        <v/>
      </c>
      <c r="M2591" s="2" t="str">
        <f aca="false">IF($G2591="","",IF(ISNA(MATCH($G2591,個別指定!$A:$A,0)),"行なし",""))</f>
        <v/>
      </c>
      <c r="N2591" s="2" t="str">
        <f aca="false">IF($G2591="","",IF(COUNTIF($G$2:$G$4460,$G2591)&gt;1,"重複",""))</f>
        <v/>
      </c>
    </row>
    <row r="2592" customFormat="false" ht="16.5" hidden="false" customHeight="true" outlineLevel="0" collapsed="false">
      <c r="A2592" s="2" t="s">
        <v>416</v>
      </c>
      <c r="B2592" s="2" t="s">
        <v>438</v>
      </c>
      <c r="C2592" s="2" t="s">
        <v>42</v>
      </c>
      <c r="D2592" s="2" t="str">
        <f aca="false">IF(3キー同時!$B$279="","",3キー同時!$B$279)</f>
        <v>f</v>
      </c>
      <c r="E2592" s="2" t="str">
        <f aca="false">IF(3キー同時!$G$279="","",3キー同時!$G$279)</f>
        <v>j</v>
      </c>
      <c r="F2592" s="2" t="str">
        <f aca="false">""</f>
        <v/>
      </c>
      <c r="G2592" s="2" t="str">
        <f aca="false">IF(OR(3キー同時!$B$279="",3キー同時!$G$279=""),"",IF(3キー同時!AM287="","",SUBSTITUTE(SUBSTITUTE(3キー同時!AM287," ",""),"　","")))</f>
        <v/>
      </c>
      <c r="H2592" s="2" t="str">
        <f aca="false">IF($G2592="","",3キー同時!$B$279)</f>
        <v/>
      </c>
      <c r="I2592" s="2" t="str">
        <f aca="false">IF($G2592="","",3キー同時!$G$279)</f>
        <v/>
      </c>
      <c r="J2592" s="2" t="str">
        <f aca="false">IF($G2592="","",",")</f>
        <v/>
      </c>
      <c r="K2592" s="2" t="str">
        <f aca="false">""</f>
        <v/>
      </c>
      <c r="L2592" s="2" t="str">
        <f aca="false">IF($G2592="","","同時")</f>
        <v/>
      </c>
      <c r="M2592" s="2" t="str">
        <f aca="false">IF($G2592="","",IF(ISNA(MATCH($G2592,個別指定!$A:$A,0)),"行なし",""))</f>
        <v/>
      </c>
      <c r="N2592" s="2" t="str">
        <f aca="false">IF($G2592="","",IF(COUNTIF($G$2:$G$4460,$G2592)&gt;1,"重複",""))</f>
        <v/>
      </c>
    </row>
    <row r="2593" customFormat="false" ht="16.5" hidden="false" customHeight="true" outlineLevel="0" collapsed="false">
      <c r="A2593" s="2" t="s">
        <v>416</v>
      </c>
      <c r="B2593" s="2" t="s">
        <v>438</v>
      </c>
      <c r="C2593" s="2" t="s">
        <v>43</v>
      </c>
      <c r="D2593" s="2" t="str">
        <f aca="false">IF(3キー同時!$B$279="","",3キー同時!$B$279)</f>
        <v>f</v>
      </c>
      <c r="E2593" s="2" t="str">
        <f aca="false">IF(3キー同時!$G$279="","",3キー同時!$G$279)</f>
        <v>j</v>
      </c>
      <c r="F2593" s="2" t="str">
        <f aca="false">""</f>
        <v/>
      </c>
      <c r="G2593" s="2" t="str">
        <f aca="false">IF(OR(3キー同時!$B$279="",3キー同時!$G$279=""),"",IF(3キー同時!AQ287="","",SUBSTITUTE(SUBSTITUTE(3キー同時!AQ287," ",""),"　","")))</f>
        <v/>
      </c>
      <c r="H2593" s="2" t="str">
        <f aca="false">IF($G2593="","",3キー同時!$B$279)</f>
        <v/>
      </c>
      <c r="I2593" s="2" t="str">
        <f aca="false">IF($G2593="","",3キー同時!$G$279)</f>
        <v/>
      </c>
      <c r="J2593" s="2" t="str">
        <f aca="false">IF($G2593="","",".")</f>
        <v/>
      </c>
      <c r="K2593" s="2" t="str">
        <f aca="false">""</f>
        <v/>
      </c>
      <c r="L2593" s="2" t="str">
        <f aca="false">IF($G2593="","","同時")</f>
        <v/>
      </c>
      <c r="M2593" s="2" t="str">
        <f aca="false">IF($G2593="","",IF(ISNA(MATCH($G2593,個別指定!$A:$A,0)),"行なし",""))</f>
        <v/>
      </c>
      <c r="N2593" s="2" t="str">
        <f aca="false">IF($G2593="","",IF(COUNTIF($G$2:$G$4460,$G2593)&gt;1,"重複",""))</f>
        <v/>
      </c>
    </row>
    <row r="2594" customFormat="false" ht="16.5" hidden="false" customHeight="true" outlineLevel="0" collapsed="false">
      <c r="A2594" s="2" t="s">
        <v>416</v>
      </c>
      <c r="B2594" s="2" t="s">
        <v>438</v>
      </c>
      <c r="C2594" s="2" t="s">
        <v>44</v>
      </c>
      <c r="D2594" s="2" t="str">
        <f aca="false">IF(3キー同時!$B$279="","",3キー同時!$B$279)</f>
        <v>f</v>
      </c>
      <c r="E2594" s="2" t="str">
        <f aca="false">IF(3キー同時!$G$279="","",3キー同時!$G$279)</f>
        <v>j</v>
      </c>
      <c r="F2594" s="2" t="str">
        <f aca="false">""</f>
        <v/>
      </c>
      <c r="G2594" s="2" t="str">
        <f aca="false">IF(OR(3キー同時!$B$279="",3キー同時!$G$279=""),"",IF(3キー同時!AU287="","",SUBSTITUTE(SUBSTITUTE(3キー同時!AU287," ",""),"　","")))</f>
        <v/>
      </c>
      <c r="H2594" s="2" t="str">
        <f aca="false">IF($G2594="","",3キー同時!$B$279)</f>
        <v/>
      </c>
      <c r="I2594" s="2" t="str">
        <f aca="false">IF($G2594="","",3キー同時!$G$279)</f>
        <v/>
      </c>
      <c r="J2594" s="2" t="str">
        <f aca="false">IF($G2594="","","/")</f>
        <v/>
      </c>
      <c r="K2594" s="2" t="str">
        <f aca="false">""</f>
        <v/>
      </c>
      <c r="L2594" s="2" t="str">
        <f aca="false">IF($G2594="","","同時")</f>
        <v/>
      </c>
      <c r="M2594" s="2" t="str">
        <f aca="false">IF($G2594="","",IF(ISNA(MATCH($G2594,個別指定!$A:$A,0)),"行なし",""))</f>
        <v/>
      </c>
      <c r="N2594" s="2" t="str">
        <f aca="false">IF($G2594="","",IF(COUNTIF($G$2:$G$4460,$G2594)&gt;1,"重複",""))</f>
        <v/>
      </c>
    </row>
    <row r="2595" customFormat="false" ht="16.5" hidden="false" customHeight="true" outlineLevel="0" collapsed="false">
      <c r="A2595" s="2" t="s">
        <v>416</v>
      </c>
      <c r="B2595" s="2" t="s">
        <v>438</v>
      </c>
      <c r="C2595" s="2" t="s">
        <v>48</v>
      </c>
      <c r="D2595" s="2" t="str">
        <f aca="false">IF(3キー同時!$B$279="","",3キー同時!$B$279)</f>
        <v>f</v>
      </c>
      <c r="E2595" s="2" t="str">
        <f aca="false">IF(3キー同時!$G$279="","",3キー同時!$G$279)</f>
        <v>j</v>
      </c>
      <c r="F2595" s="2" t="str">
        <f aca="false">""</f>
        <v/>
      </c>
      <c r="G2595" s="2" t="str">
        <f aca="false">IF(OR(3キー同時!$B$279="",3キー同時!$G$279=""),"",IF(3キー同時!P289="","",SUBSTITUTE(SUBSTITUTE(3キー同時!P289," ",""),"　","")))</f>
        <v/>
      </c>
      <c r="H2595" s="2" t="str">
        <f aca="false">IF($G2595="","",3キー同時!$B$279)</f>
        <v/>
      </c>
      <c r="I2595" s="2" t="str">
        <f aca="false">IF($G2595="","",3キー同時!$G$279)</f>
        <v/>
      </c>
      <c r="J2595" s="2" t="str">
        <f aca="false">IF($G2595="","","muhenkan")</f>
        <v/>
      </c>
      <c r="K2595" s="2" t="str">
        <f aca="false">""</f>
        <v/>
      </c>
      <c r="L2595" s="2" t="str">
        <f aca="false">IF($G2595="","","同時")</f>
        <v/>
      </c>
      <c r="M2595" s="2" t="str">
        <f aca="false">IF($G2595="","",IF(ISNA(MATCH($G2595,個別指定!$A:$A,0)),"行なし",""))</f>
        <v/>
      </c>
      <c r="N2595" s="2" t="str">
        <f aca="false">IF($G2595="","",IF(COUNTIF($G$2:$G$4460,$G2595)&gt;1,"重複",""))</f>
        <v/>
      </c>
    </row>
    <row r="2596" customFormat="false" ht="16.5" hidden="false" customHeight="true" outlineLevel="0" collapsed="false">
      <c r="A2596" s="2" t="s">
        <v>416</v>
      </c>
      <c r="B2596" s="2" t="s">
        <v>438</v>
      </c>
      <c r="C2596" s="2" t="s">
        <v>50</v>
      </c>
      <c r="D2596" s="2" t="str">
        <f aca="false">IF(3キー同時!$B$279="","",3キー同時!$B$279)</f>
        <v>f</v>
      </c>
      <c r="E2596" s="2" t="str">
        <f aca="false">IF(3キー同時!$G$279="","",3キー同時!$G$279)</f>
        <v>j</v>
      </c>
      <c r="F2596" s="2" t="str">
        <f aca="false">""</f>
        <v/>
      </c>
      <c r="G2596" s="2" t="str">
        <f aca="false">IF(OR(3キー同時!$B$279="",3キー同時!$G$279=""),"",IF(3キー同時!T289="","",SUBSTITUTE(SUBSTITUTE(3キー同時!T289," ",""),"　","")))</f>
        <v/>
      </c>
      <c r="H2596" s="2" t="str">
        <f aca="false">IF($G2596="","",3キー同時!$B$279)</f>
        <v/>
      </c>
      <c r="I2596" s="2" t="str">
        <f aca="false">IF($G2596="","",3キー同時!$G$279)</f>
        <v/>
      </c>
      <c r="J2596" s="2" t="str">
        <f aca="false">IF($G2596="","","space")</f>
        <v/>
      </c>
      <c r="K2596" s="2" t="str">
        <f aca="false">""</f>
        <v/>
      </c>
      <c r="L2596" s="2" t="str">
        <f aca="false">IF($G2596="","","同時")</f>
        <v/>
      </c>
      <c r="M2596" s="2" t="str">
        <f aca="false">IF($G2596="","",IF(ISNA(MATCH($G2596,個別指定!$A:$A,0)),"行なし",""))</f>
        <v/>
      </c>
      <c r="N2596" s="2" t="str">
        <f aca="false">IF($G2596="","",IF(COUNTIF($G$2:$G$4460,$G2596)&gt;1,"重複",""))</f>
        <v/>
      </c>
    </row>
    <row r="2597" customFormat="false" ht="16.5" hidden="false" customHeight="true" outlineLevel="0" collapsed="false">
      <c r="A2597" s="2" t="s">
        <v>416</v>
      </c>
      <c r="B2597" s="2" t="s">
        <v>438</v>
      </c>
      <c r="C2597" s="2" t="s">
        <v>45</v>
      </c>
      <c r="D2597" s="2" t="str">
        <f aca="false">IF(3キー同時!$B$279="","",3キー同時!$B$279)</f>
        <v>f</v>
      </c>
      <c r="E2597" s="2" t="str">
        <f aca="false">IF(3キー同時!$G$279="","",3キー同時!$G$279)</f>
        <v>j</v>
      </c>
      <c r="F2597" s="2" t="str">
        <f aca="false">""</f>
        <v/>
      </c>
      <c r="G2597" s="2" t="str">
        <f aca="false">IF(OR(3キー同時!$B$279="",3キー同時!$G$279=""),"",IF(3キー同時!AL289="","",SUBSTITUTE(SUBSTITUTE(3キー同時!AL289," ",""),"　","")))</f>
        <v/>
      </c>
      <c r="H2597" s="2" t="str">
        <f aca="false">IF($G2597="","",3キー同時!$B$279)</f>
        <v/>
      </c>
      <c r="I2597" s="2" t="str">
        <f aca="false">IF($G2597="","",3キー同時!$G$279)</f>
        <v/>
      </c>
      <c r="J2597" s="2" t="str">
        <f aca="false">IF($G2597="","","henkan")</f>
        <v/>
      </c>
      <c r="K2597" s="2" t="str">
        <f aca="false">""</f>
        <v/>
      </c>
      <c r="L2597" s="2" t="str">
        <f aca="false">IF($G2597="","","同時")</f>
        <v/>
      </c>
      <c r="M2597" s="2" t="str">
        <f aca="false">IF($G2597="","",IF(ISNA(MATCH($G2597,個別指定!$A:$A,0)),"行なし",""))</f>
        <v/>
      </c>
      <c r="N2597" s="2" t="str">
        <f aca="false">IF($G2597="","",IF(COUNTIF($G$2:$G$4460,$G2597)&gt;1,"重複",""))</f>
        <v/>
      </c>
    </row>
    <row r="2598" customFormat="false" ht="16.5" hidden="false" customHeight="true" outlineLevel="0" collapsed="false">
      <c r="A2598" s="2" t="s">
        <v>416</v>
      </c>
      <c r="B2598" s="2" t="s">
        <v>438</v>
      </c>
      <c r="C2598" s="2" t="s">
        <v>46</v>
      </c>
      <c r="D2598" s="2" t="str">
        <f aca="false">IF(3キー同時!$B$279="","",3キー同時!$B$279)</f>
        <v>f</v>
      </c>
      <c r="E2598" s="2" t="str">
        <f aca="false">IF(3キー同時!$G$279="","",3キー同時!$G$279)</f>
        <v>j</v>
      </c>
      <c r="F2598" s="2" t="str">
        <f aca="false">""</f>
        <v/>
      </c>
      <c r="G2598" s="2" t="str">
        <f aca="false">IF(OR(3キー同時!$B$279="",3キー同時!$G$279=""),"",IF(3キー同時!AP289="","",SUBSTITUTE(SUBSTITUTE(3キー同時!AP289," ",""),"　","")))</f>
        <v/>
      </c>
      <c r="H2598" s="2" t="str">
        <f aca="false">IF($G2598="","",3キー同時!$B$279)</f>
        <v/>
      </c>
      <c r="I2598" s="2" t="str">
        <f aca="false">IF($G2598="","",3キー同時!$G$279)</f>
        <v/>
      </c>
      <c r="J2598" s="2" t="str">
        <f aca="false">IF($G2598="","","kana")</f>
        <v/>
      </c>
      <c r="K2598" s="2" t="str">
        <f aca="false">""</f>
        <v/>
      </c>
      <c r="L2598" s="2" t="str">
        <f aca="false">IF($G2598="","","同時")</f>
        <v/>
      </c>
      <c r="M2598" s="2" t="str">
        <f aca="false">IF($G2598="","",IF(ISNA(MATCH($G2598,個別指定!$A:$A,0)),"行なし",""))</f>
        <v/>
      </c>
      <c r="N2598" s="2" t="str">
        <f aca="false">IF($G2598="","",IF(COUNTIF($G$2:$G$4460,$G2598)&gt;1,"重複",""))</f>
        <v/>
      </c>
    </row>
    <row r="2599" customFormat="false" ht="16.5" hidden="false" customHeight="true" outlineLevel="0" collapsed="false">
      <c r="A2599" s="2" t="s">
        <v>416</v>
      </c>
      <c r="B2599" s="2" t="s">
        <v>439</v>
      </c>
      <c r="C2599" s="2" t="s">
        <v>0</v>
      </c>
      <c r="D2599" s="2" t="str">
        <f aca="false">IF(3キー同時!$B$292="","",3キー同時!$B$292)</f>
        <v/>
      </c>
      <c r="E2599" s="2" t="str">
        <f aca="false">IF(3キー同時!$G$292="","",3キー同時!$G$292)</f>
        <v/>
      </c>
      <c r="F2599" s="2" t="str">
        <f aca="false">""</f>
        <v/>
      </c>
      <c r="G2599" s="2" t="str">
        <f aca="false">IF(OR(3キー同時!$B$292="",3キー同時!$G$292=""),"",IF(3キー同時!F294="","",SUBSTITUTE(SUBSTITUTE(3キー同時!F294," ",""),"　","")))</f>
        <v/>
      </c>
      <c r="H2599" s="2" t="str">
        <f aca="false">IF($G2599="","",3キー同時!$B$292)</f>
        <v/>
      </c>
      <c r="I2599" s="2" t="str">
        <f aca="false">IF($G2599="","",3キー同時!$G$292)</f>
        <v/>
      </c>
      <c r="J2599" s="2" t="str">
        <f aca="false">IF($G2599="","","1")</f>
        <v/>
      </c>
      <c r="K2599" s="2" t="str">
        <f aca="false">""</f>
        <v/>
      </c>
      <c r="L2599" s="2" t="str">
        <f aca="false">IF($G2599="","","同時")</f>
        <v/>
      </c>
      <c r="M2599" s="2" t="str">
        <f aca="false">IF($G2599="","",IF(ISNA(MATCH($G2599,個別指定!$A:$A,0)),"行なし",""))</f>
        <v/>
      </c>
      <c r="N2599" s="2" t="str">
        <f aca="false">IF($G2599="","",IF(COUNTIF($G$2:$G$4460,$G2599)&gt;1,"重複",""))</f>
        <v/>
      </c>
    </row>
    <row r="2600" customFormat="false" ht="16.5" hidden="false" customHeight="true" outlineLevel="0" collapsed="false">
      <c r="A2600" s="2" t="s">
        <v>416</v>
      </c>
      <c r="B2600" s="2" t="s">
        <v>439</v>
      </c>
      <c r="C2600" s="2" t="s">
        <v>1</v>
      </c>
      <c r="D2600" s="2" t="str">
        <f aca="false">IF(3キー同時!$B$292="","",3キー同時!$B$292)</f>
        <v/>
      </c>
      <c r="E2600" s="2" t="str">
        <f aca="false">IF(3キー同時!$G$292="","",3キー同時!$G$292)</f>
        <v/>
      </c>
      <c r="F2600" s="2" t="str">
        <f aca="false">""</f>
        <v/>
      </c>
      <c r="G2600" s="2" t="str">
        <f aca="false">IF(OR(3キー同時!$B$292="",3キー同時!$G$292=""),"",IF(3キー同時!J294="","",SUBSTITUTE(SUBSTITUTE(3キー同時!J294," ",""),"　","")))</f>
        <v/>
      </c>
      <c r="H2600" s="2" t="str">
        <f aca="false">IF($G2600="","",3キー同時!$B$292)</f>
        <v/>
      </c>
      <c r="I2600" s="2" t="str">
        <f aca="false">IF($G2600="","",3キー同時!$G$292)</f>
        <v/>
      </c>
      <c r="J2600" s="2" t="str">
        <f aca="false">IF($G2600="","","2")</f>
        <v/>
      </c>
      <c r="K2600" s="2" t="str">
        <f aca="false">""</f>
        <v/>
      </c>
      <c r="L2600" s="2" t="str">
        <f aca="false">IF($G2600="","","同時")</f>
        <v/>
      </c>
      <c r="M2600" s="2" t="str">
        <f aca="false">IF($G2600="","",IF(ISNA(MATCH($G2600,個別指定!$A:$A,0)),"行なし",""))</f>
        <v/>
      </c>
      <c r="N2600" s="2" t="str">
        <f aca="false">IF($G2600="","",IF(COUNTIF($G$2:$G$4460,$G2600)&gt;1,"重複",""))</f>
        <v/>
      </c>
    </row>
    <row r="2601" customFormat="false" ht="16.5" hidden="false" customHeight="true" outlineLevel="0" collapsed="false">
      <c r="A2601" s="2" t="s">
        <v>416</v>
      </c>
      <c r="B2601" s="2" t="s">
        <v>439</v>
      </c>
      <c r="C2601" s="2" t="s">
        <v>2</v>
      </c>
      <c r="D2601" s="2" t="str">
        <f aca="false">IF(3キー同時!$B$292="","",3キー同時!$B$292)</f>
        <v/>
      </c>
      <c r="E2601" s="2" t="str">
        <f aca="false">IF(3キー同時!$G$292="","",3キー同時!$G$292)</f>
        <v/>
      </c>
      <c r="F2601" s="2" t="str">
        <f aca="false">""</f>
        <v/>
      </c>
      <c r="G2601" s="2" t="str">
        <f aca="false">IF(OR(3キー同時!$B$292="",3キー同時!$G$292=""),"",IF(3キー同時!N294="","",SUBSTITUTE(SUBSTITUTE(3キー同時!N294," ",""),"　","")))</f>
        <v/>
      </c>
      <c r="H2601" s="2" t="str">
        <f aca="false">IF($G2601="","",3キー同時!$B$292)</f>
        <v/>
      </c>
      <c r="I2601" s="2" t="str">
        <f aca="false">IF($G2601="","",3キー同時!$G$292)</f>
        <v/>
      </c>
      <c r="J2601" s="2" t="str">
        <f aca="false">IF($G2601="","","3")</f>
        <v/>
      </c>
      <c r="K2601" s="2" t="str">
        <f aca="false">""</f>
        <v/>
      </c>
      <c r="L2601" s="2" t="str">
        <f aca="false">IF($G2601="","","同時")</f>
        <v/>
      </c>
      <c r="M2601" s="2" t="str">
        <f aca="false">IF($G2601="","",IF(ISNA(MATCH($G2601,個別指定!$A:$A,0)),"行なし",""))</f>
        <v/>
      </c>
      <c r="N2601" s="2" t="str">
        <f aca="false">IF($G2601="","",IF(COUNTIF($G$2:$G$4460,$G2601)&gt;1,"重複",""))</f>
        <v/>
      </c>
    </row>
    <row r="2602" customFormat="false" ht="16.5" hidden="false" customHeight="true" outlineLevel="0" collapsed="false">
      <c r="A2602" s="2" t="s">
        <v>416</v>
      </c>
      <c r="B2602" s="2" t="s">
        <v>439</v>
      </c>
      <c r="C2602" s="2" t="s">
        <v>3</v>
      </c>
      <c r="D2602" s="2" t="str">
        <f aca="false">IF(3キー同時!$B$292="","",3キー同時!$B$292)</f>
        <v/>
      </c>
      <c r="E2602" s="2" t="str">
        <f aca="false">IF(3キー同時!$G$292="","",3キー同時!$G$292)</f>
        <v/>
      </c>
      <c r="F2602" s="2" t="str">
        <f aca="false">""</f>
        <v/>
      </c>
      <c r="G2602" s="2" t="str">
        <f aca="false">IF(OR(3キー同時!$B$292="",3キー同時!$G$292=""),"",IF(3キー同時!R294="","",SUBSTITUTE(SUBSTITUTE(3キー同時!R294," ",""),"　","")))</f>
        <v/>
      </c>
      <c r="H2602" s="2" t="str">
        <f aca="false">IF($G2602="","",3キー同時!$B$292)</f>
        <v/>
      </c>
      <c r="I2602" s="2" t="str">
        <f aca="false">IF($G2602="","",3キー同時!$G$292)</f>
        <v/>
      </c>
      <c r="J2602" s="2" t="str">
        <f aca="false">IF($G2602="","","4")</f>
        <v/>
      </c>
      <c r="K2602" s="2" t="str">
        <f aca="false">""</f>
        <v/>
      </c>
      <c r="L2602" s="2" t="str">
        <f aca="false">IF($G2602="","","同時")</f>
        <v/>
      </c>
      <c r="M2602" s="2" t="str">
        <f aca="false">IF($G2602="","",IF(ISNA(MATCH($G2602,個別指定!$A:$A,0)),"行なし",""))</f>
        <v/>
      </c>
      <c r="N2602" s="2" t="str">
        <f aca="false">IF($G2602="","",IF(COUNTIF($G$2:$G$4460,$G2602)&gt;1,"重複",""))</f>
        <v/>
      </c>
    </row>
    <row r="2603" customFormat="false" ht="16.5" hidden="false" customHeight="true" outlineLevel="0" collapsed="false">
      <c r="A2603" s="2" t="s">
        <v>416</v>
      </c>
      <c r="B2603" s="2" t="s">
        <v>439</v>
      </c>
      <c r="C2603" s="2" t="s">
        <v>4</v>
      </c>
      <c r="D2603" s="2" t="str">
        <f aca="false">IF(3キー同時!$B$292="","",3キー同時!$B$292)</f>
        <v/>
      </c>
      <c r="E2603" s="2" t="str">
        <f aca="false">IF(3キー同時!$G$292="","",3キー同時!$G$292)</f>
        <v/>
      </c>
      <c r="F2603" s="2" t="str">
        <f aca="false">""</f>
        <v/>
      </c>
      <c r="G2603" s="2" t="str">
        <f aca="false">IF(OR(3キー同時!$B$292="",3キー同時!$G$292=""),"",IF(3キー同時!V294="","",SUBSTITUTE(SUBSTITUTE(3キー同時!V294," ",""),"　","")))</f>
        <v/>
      </c>
      <c r="H2603" s="2" t="str">
        <f aca="false">IF($G2603="","",3キー同時!$B$292)</f>
        <v/>
      </c>
      <c r="I2603" s="2" t="str">
        <f aca="false">IF($G2603="","",3キー同時!$G$292)</f>
        <v/>
      </c>
      <c r="J2603" s="2" t="str">
        <f aca="false">IF($G2603="","","5")</f>
        <v/>
      </c>
      <c r="K2603" s="2" t="str">
        <f aca="false">""</f>
        <v/>
      </c>
      <c r="L2603" s="2" t="str">
        <f aca="false">IF($G2603="","","同時")</f>
        <v/>
      </c>
      <c r="M2603" s="2" t="str">
        <f aca="false">IF($G2603="","",IF(ISNA(MATCH($G2603,個別指定!$A:$A,0)),"行なし",""))</f>
        <v/>
      </c>
      <c r="N2603" s="2" t="str">
        <f aca="false">IF($G2603="","",IF(COUNTIF($G$2:$G$4460,$G2603)&gt;1,"重複",""))</f>
        <v/>
      </c>
    </row>
    <row r="2604" customFormat="false" ht="16.5" hidden="false" customHeight="true" outlineLevel="0" collapsed="false">
      <c r="A2604" s="2" t="s">
        <v>416</v>
      </c>
      <c r="B2604" s="2" t="s">
        <v>439</v>
      </c>
      <c r="C2604" s="2" t="s">
        <v>5</v>
      </c>
      <c r="D2604" s="2" t="str">
        <f aca="false">IF(3キー同時!$B$292="","",3キー同時!$B$292)</f>
        <v/>
      </c>
      <c r="E2604" s="2" t="str">
        <f aca="false">IF(3キー同時!$G$292="","",3キー同時!$G$292)</f>
        <v/>
      </c>
      <c r="F2604" s="2" t="str">
        <f aca="false">""</f>
        <v/>
      </c>
      <c r="G2604" s="2" t="str">
        <f aca="false">IF(OR(3キー同時!$B$292="",3キー同時!$G$292=""),"",IF(3キー同時!Z294="","",SUBSTITUTE(SUBSTITUTE(3キー同時!Z294," ",""),"　","")))</f>
        <v/>
      </c>
      <c r="H2604" s="2" t="str">
        <f aca="false">IF($G2604="","",3キー同時!$B$292)</f>
        <v/>
      </c>
      <c r="I2604" s="2" t="str">
        <f aca="false">IF($G2604="","",3キー同時!$G$292)</f>
        <v/>
      </c>
      <c r="J2604" s="2" t="str">
        <f aca="false">IF($G2604="","","6")</f>
        <v/>
      </c>
      <c r="K2604" s="2" t="str">
        <f aca="false">""</f>
        <v/>
      </c>
      <c r="L2604" s="2" t="str">
        <f aca="false">IF($G2604="","","同時")</f>
        <v/>
      </c>
      <c r="M2604" s="2" t="str">
        <f aca="false">IF($G2604="","",IF(ISNA(MATCH($G2604,個別指定!$A:$A,0)),"行なし",""))</f>
        <v/>
      </c>
      <c r="N2604" s="2" t="str">
        <f aca="false">IF($G2604="","",IF(COUNTIF($G$2:$G$4460,$G2604)&gt;1,"重複",""))</f>
        <v/>
      </c>
    </row>
    <row r="2605" customFormat="false" ht="16.5" hidden="false" customHeight="true" outlineLevel="0" collapsed="false">
      <c r="A2605" s="2" t="s">
        <v>416</v>
      </c>
      <c r="B2605" s="2" t="s">
        <v>439</v>
      </c>
      <c r="C2605" s="2" t="s">
        <v>6</v>
      </c>
      <c r="D2605" s="2" t="str">
        <f aca="false">IF(3キー同時!$B$292="","",3キー同時!$B$292)</f>
        <v/>
      </c>
      <c r="E2605" s="2" t="str">
        <f aca="false">IF(3キー同時!$G$292="","",3キー同時!$G$292)</f>
        <v/>
      </c>
      <c r="F2605" s="2" t="str">
        <f aca="false">""</f>
        <v/>
      </c>
      <c r="G2605" s="2" t="str">
        <f aca="false">IF(OR(3キー同時!$B$292="",3キー同時!$G$292=""),"",IF(3キー同時!AD294="","",SUBSTITUTE(SUBSTITUTE(3キー同時!AD294," ",""),"　","")))</f>
        <v/>
      </c>
      <c r="H2605" s="2" t="str">
        <f aca="false">IF($G2605="","",3キー同時!$B$292)</f>
        <v/>
      </c>
      <c r="I2605" s="2" t="str">
        <f aca="false">IF($G2605="","",3キー同時!$G$292)</f>
        <v/>
      </c>
      <c r="J2605" s="2" t="str">
        <f aca="false">IF($G2605="","","7")</f>
        <v/>
      </c>
      <c r="K2605" s="2" t="str">
        <f aca="false">""</f>
        <v/>
      </c>
      <c r="L2605" s="2" t="str">
        <f aca="false">IF($G2605="","","同時")</f>
        <v/>
      </c>
      <c r="M2605" s="2" t="str">
        <f aca="false">IF($G2605="","",IF(ISNA(MATCH($G2605,個別指定!$A:$A,0)),"行なし",""))</f>
        <v/>
      </c>
      <c r="N2605" s="2" t="str">
        <f aca="false">IF($G2605="","",IF(COUNTIF($G$2:$G$4460,$G2605)&gt;1,"重複",""))</f>
        <v/>
      </c>
    </row>
    <row r="2606" customFormat="false" ht="16.5" hidden="false" customHeight="true" outlineLevel="0" collapsed="false">
      <c r="A2606" s="2" t="s">
        <v>416</v>
      </c>
      <c r="B2606" s="2" t="s">
        <v>439</v>
      </c>
      <c r="C2606" s="2" t="s">
        <v>7</v>
      </c>
      <c r="D2606" s="2" t="str">
        <f aca="false">IF(3キー同時!$B$292="","",3キー同時!$B$292)</f>
        <v/>
      </c>
      <c r="E2606" s="2" t="str">
        <f aca="false">IF(3キー同時!$G$292="","",3キー同時!$G$292)</f>
        <v/>
      </c>
      <c r="F2606" s="2" t="str">
        <f aca="false">""</f>
        <v/>
      </c>
      <c r="G2606" s="2" t="str">
        <f aca="false">IF(OR(3キー同時!$B$292="",3キー同時!$G$292=""),"",IF(3キー同時!AH294="","",SUBSTITUTE(SUBSTITUTE(3キー同時!AH294," ",""),"　","")))</f>
        <v/>
      </c>
      <c r="H2606" s="2" t="str">
        <f aca="false">IF($G2606="","",3キー同時!$B$292)</f>
        <v/>
      </c>
      <c r="I2606" s="2" t="str">
        <f aca="false">IF($G2606="","",3キー同時!$G$292)</f>
        <v/>
      </c>
      <c r="J2606" s="2" t="str">
        <f aca="false">IF($G2606="","","8")</f>
        <v/>
      </c>
      <c r="K2606" s="2" t="str">
        <f aca="false">""</f>
        <v/>
      </c>
      <c r="L2606" s="2" t="str">
        <f aca="false">IF($G2606="","","同時")</f>
        <v/>
      </c>
      <c r="M2606" s="2" t="str">
        <f aca="false">IF($G2606="","",IF(ISNA(MATCH($G2606,個別指定!$A:$A,0)),"行なし",""))</f>
        <v/>
      </c>
      <c r="N2606" s="2" t="str">
        <f aca="false">IF($G2606="","",IF(COUNTIF($G$2:$G$4460,$G2606)&gt;1,"重複",""))</f>
        <v/>
      </c>
    </row>
    <row r="2607" customFormat="false" ht="16.5" hidden="false" customHeight="true" outlineLevel="0" collapsed="false">
      <c r="A2607" s="2" t="s">
        <v>416</v>
      </c>
      <c r="B2607" s="2" t="s">
        <v>439</v>
      </c>
      <c r="C2607" s="2" t="s">
        <v>8</v>
      </c>
      <c r="D2607" s="2" t="str">
        <f aca="false">IF(3キー同時!$B$292="","",3キー同時!$B$292)</f>
        <v/>
      </c>
      <c r="E2607" s="2" t="str">
        <f aca="false">IF(3キー同時!$G$292="","",3キー同時!$G$292)</f>
        <v/>
      </c>
      <c r="F2607" s="2" t="str">
        <f aca="false">""</f>
        <v/>
      </c>
      <c r="G2607" s="2" t="str">
        <f aca="false">IF(OR(3キー同時!$B$292="",3キー同時!$G$292=""),"",IF(3キー同時!AL294="","",SUBSTITUTE(SUBSTITUTE(3キー同時!AL294," ",""),"　","")))</f>
        <v/>
      </c>
      <c r="H2607" s="2" t="str">
        <f aca="false">IF($G2607="","",3キー同時!$B$292)</f>
        <v/>
      </c>
      <c r="I2607" s="2" t="str">
        <f aca="false">IF($G2607="","",3キー同時!$G$292)</f>
        <v/>
      </c>
      <c r="J2607" s="2" t="str">
        <f aca="false">IF($G2607="","","9")</f>
        <v/>
      </c>
      <c r="K2607" s="2" t="str">
        <f aca="false">""</f>
        <v/>
      </c>
      <c r="L2607" s="2" t="str">
        <f aca="false">IF($G2607="","","同時")</f>
        <v/>
      </c>
      <c r="M2607" s="2" t="str">
        <f aca="false">IF($G2607="","",IF(ISNA(MATCH($G2607,個別指定!$A:$A,0)),"行なし",""))</f>
        <v/>
      </c>
      <c r="N2607" s="2" t="str">
        <f aca="false">IF($G2607="","",IF(COUNTIF($G$2:$G$4460,$G2607)&gt;1,"重複",""))</f>
        <v/>
      </c>
    </row>
    <row r="2608" customFormat="false" ht="16.5" hidden="false" customHeight="true" outlineLevel="0" collapsed="false">
      <c r="A2608" s="2" t="s">
        <v>416</v>
      </c>
      <c r="B2608" s="2" t="s">
        <v>439</v>
      </c>
      <c r="C2608" s="2" t="s">
        <v>9</v>
      </c>
      <c r="D2608" s="2" t="str">
        <f aca="false">IF(3キー同時!$B$292="","",3キー同時!$B$292)</f>
        <v/>
      </c>
      <c r="E2608" s="2" t="str">
        <f aca="false">IF(3キー同時!$G$292="","",3キー同時!$G$292)</f>
        <v/>
      </c>
      <c r="F2608" s="2" t="str">
        <f aca="false">""</f>
        <v/>
      </c>
      <c r="G2608" s="2" t="str">
        <f aca="false">IF(OR(3キー同時!$B$292="",3キー同時!$G$292=""),"",IF(3キー同時!AP294="","",SUBSTITUTE(SUBSTITUTE(3キー同時!AP294," ",""),"　","")))</f>
        <v/>
      </c>
      <c r="H2608" s="2" t="str">
        <f aca="false">IF($G2608="","",3キー同時!$B$292)</f>
        <v/>
      </c>
      <c r="I2608" s="2" t="str">
        <f aca="false">IF($G2608="","",3キー同時!$G$292)</f>
        <v/>
      </c>
      <c r="J2608" s="2" t="str">
        <f aca="false">IF($G2608="","","0")</f>
        <v/>
      </c>
      <c r="K2608" s="2" t="str">
        <f aca="false">""</f>
        <v/>
      </c>
      <c r="L2608" s="2" t="str">
        <f aca="false">IF($G2608="","","同時")</f>
        <v/>
      </c>
      <c r="M2608" s="2" t="str">
        <f aca="false">IF($G2608="","",IF(ISNA(MATCH($G2608,個別指定!$A:$A,0)),"行なし",""))</f>
        <v/>
      </c>
      <c r="N2608" s="2" t="str">
        <f aca="false">IF($G2608="","",IF(COUNTIF($G$2:$G$4460,$G2608)&gt;1,"重複",""))</f>
        <v/>
      </c>
    </row>
    <row r="2609" customFormat="false" ht="16.5" hidden="false" customHeight="true" outlineLevel="0" collapsed="false">
      <c r="A2609" s="2" t="s">
        <v>416</v>
      </c>
      <c r="B2609" s="2" t="s">
        <v>439</v>
      </c>
      <c r="C2609" s="2" t="s">
        <v>10</v>
      </c>
      <c r="D2609" s="2" t="str">
        <f aca="false">IF(3キー同時!$B$292="","",3キー同時!$B$292)</f>
        <v/>
      </c>
      <c r="E2609" s="2" t="str">
        <f aca="false">IF(3キー同時!$G$292="","",3キー同時!$G$292)</f>
        <v/>
      </c>
      <c r="F2609" s="2" t="str">
        <f aca="false">""</f>
        <v/>
      </c>
      <c r="G2609" s="2" t="str">
        <f aca="false">IF(OR(3キー同時!$B$292="",3キー同時!$G$292=""),"",IF(3キー同時!AT294="","",SUBSTITUTE(SUBSTITUTE(3キー同時!AT294," ",""),"　","")))</f>
        <v/>
      </c>
      <c r="H2609" s="2" t="str">
        <f aca="false">IF($G2609="","",3キー同時!$B$292)</f>
        <v/>
      </c>
      <c r="I2609" s="2" t="str">
        <f aca="false">IF($G2609="","",3キー同時!$G$292)</f>
        <v/>
      </c>
      <c r="J2609" s="2" t="str">
        <f aca="false">IF($G2609="","","-")</f>
        <v/>
      </c>
      <c r="K2609" s="2" t="str">
        <f aca="false">""</f>
        <v/>
      </c>
      <c r="L2609" s="2" t="str">
        <f aca="false">IF($G2609="","","同時")</f>
        <v/>
      </c>
      <c r="M2609" s="2" t="str">
        <f aca="false">IF($G2609="","",IF(ISNA(MATCH($G2609,個別指定!$A:$A,0)),"行なし",""))</f>
        <v/>
      </c>
      <c r="N2609" s="2" t="str">
        <f aca="false">IF($G2609="","",IF(COUNTIF($G$2:$G$4460,$G2609)&gt;1,"重複",""))</f>
        <v/>
      </c>
    </row>
    <row r="2610" customFormat="false" ht="16.5" hidden="false" customHeight="true" outlineLevel="0" collapsed="false">
      <c r="A2610" s="2" t="s">
        <v>416</v>
      </c>
      <c r="B2610" s="2" t="s">
        <v>439</v>
      </c>
      <c r="C2610" s="2" t="s">
        <v>11</v>
      </c>
      <c r="D2610" s="2" t="str">
        <f aca="false">IF(3キー同時!$B$292="","",3キー同時!$B$292)</f>
        <v/>
      </c>
      <c r="E2610" s="2" t="str">
        <f aca="false">IF(3キー同時!$G$292="","",3キー同時!$G$292)</f>
        <v/>
      </c>
      <c r="F2610" s="2" t="str">
        <f aca="false">""</f>
        <v/>
      </c>
      <c r="G2610" s="2" t="str">
        <f aca="false">IF(OR(3キー同時!$B$292="",3キー同時!$G$292=""),"",IF(3キー同時!AX294="","",SUBSTITUTE(SUBSTITUTE(3キー同時!AX294," ",""),"　","")))</f>
        <v/>
      </c>
      <c r="H2610" s="2" t="str">
        <f aca="false">IF($G2610="","",3キー同時!$B$292)</f>
        <v/>
      </c>
      <c r="I2610" s="2" t="str">
        <f aca="false">IF($G2610="","",3キー同時!$G$292)</f>
        <v/>
      </c>
      <c r="J2610" s="2" t="str">
        <f aca="false">IF($G2610="","","=")</f>
        <v/>
      </c>
      <c r="K2610" s="2" t="str">
        <f aca="false">""</f>
        <v/>
      </c>
      <c r="L2610" s="2" t="str">
        <f aca="false">IF($G2610="","","同時")</f>
        <v/>
      </c>
      <c r="M2610" s="2" t="str">
        <f aca="false">IF($G2610="","",IF(ISNA(MATCH($G2610,個別指定!$A:$A,0)),"行なし",""))</f>
        <v/>
      </c>
      <c r="N2610" s="2" t="str">
        <f aca="false">IF($G2610="","",IF(COUNTIF($G$2:$G$4460,$G2610)&gt;1,"重複",""))</f>
        <v/>
      </c>
    </row>
    <row r="2611" customFormat="false" ht="16.5" hidden="false" customHeight="true" outlineLevel="0" collapsed="false">
      <c r="A2611" s="2" t="s">
        <v>416</v>
      </c>
      <c r="B2611" s="2" t="s">
        <v>439</v>
      </c>
      <c r="C2611" s="2" t="s">
        <v>12</v>
      </c>
      <c r="D2611" s="2" t="str">
        <f aca="false">IF(3キー同時!$B$292="","",3キー同時!$B$292)</f>
        <v/>
      </c>
      <c r="E2611" s="2" t="str">
        <f aca="false">IF(3キー同時!$G$292="","",3キー同時!$G$292)</f>
        <v/>
      </c>
      <c r="F2611" s="2" t="str">
        <f aca="false">""</f>
        <v/>
      </c>
      <c r="G2611" s="2" t="str">
        <f aca="false">IF(OR(3キー同時!$B$292="",3キー同時!$G$292=""),"",IF(3キー同時!H296="","",SUBSTITUTE(SUBSTITUTE(3キー同時!H296," ",""),"　","")))</f>
        <v/>
      </c>
      <c r="H2611" s="2" t="str">
        <f aca="false">IF($G2611="","",3キー同時!$B$292)</f>
        <v/>
      </c>
      <c r="I2611" s="2" t="str">
        <f aca="false">IF($G2611="","",3キー同時!$G$292)</f>
        <v/>
      </c>
      <c r="J2611" s="2" t="str">
        <f aca="false">IF($G2611="","","q")</f>
        <v/>
      </c>
      <c r="K2611" s="2" t="str">
        <f aca="false">""</f>
        <v/>
      </c>
      <c r="L2611" s="2" t="str">
        <f aca="false">IF($G2611="","","同時")</f>
        <v/>
      </c>
      <c r="M2611" s="2" t="str">
        <f aca="false">IF($G2611="","",IF(ISNA(MATCH($G2611,個別指定!$A:$A,0)),"行なし",""))</f>
        <v/>
      </c>
      <c r="N2611" s="2" t="str">
        <f aca="false">IF($G2611="","",IF(COUNTIF($G$2:$G$4460,$G2611)&gt;1,"重複",""))</f>
        <v/>
      </c>
    </row>
    <row r="2612" customFormat="false" ht="16.5" hidden="false" customHeight="true" outlineLevel="0" collapsed="false">
      <c r="A2612" s="2" t="s">
        <v>416</v>
      </c>
      <c r="B2612" s="2" t="s">
        <v>439</v>
      </c>
      <c r="C2612" s="2" t="s">
        <v>13</v>
      </c>
      <c r="D2612" s="2" t="str">
        <f aca="false">IF(3キー同時!$B$292="","",3キー同時!$B$292)</f>
        <v/>
      </c>
      <c r="E2612" s="2" t="str">
        <f aca="false">IF(3キー同時!$G$292="","",3キー同時!$G$292)</f>
        <v/>
      </c>
      <c r="F2612" s="2" t="str">
        <f aca="false">""</f>
        <v/>
      </c>
      <c r="G2612" s="2" t="str">
        <f aca="false">IF(OR(3キー同時!$B$292="",3キー同時!$G$292=""),"",IF(3キー同時!L296="","",SUBSTITUTE(SUBSTITUTE(3キー同時!L296," ",""),"　","")))</f>
        <v/>
      </c>
      <c r="H2612" s="2" t="str">
        <f aca="false">IF($G2612="","",3キー同時!$B$292)</f>
        <v/>
      </c>
      <c r="I2612" s="2" t="str">
        <f aca="false">IF($G2612="","",3キー同時!$G$292)</f>
        <v/>
      </c>
      <c r="J2612" s="2" t="str">
        <f aca="false">IF($G2612="","","w")</f>
        <v/>
      </c>
      <c r="K2612" s="2" t="str">
        <f aca="false">""</f>
        <v/>
      </c>
      <c r="L2612" s="2" t="str">
        <f aca="false">IF($G2612="","","同時")</f>
        <v/>
      </c>
      <c r="M2612" s="2" t="str">
        <f aca="false">IF($G2612="","",IF(ISNA(MATCH($G2612,個別指定!$A:$A,0)),"行なし",""))</f>
        <v/>
      </c>
      <c r="N2612" s="2" t="str">
        <f aca="false">IF($G2612="","",IF(COUNTIF($G$2:$G$4460,$G2612)&gt;1,"重複",""))</f>
        <v/>
      </c>
    </row>
    <row r="2613" customFormat="false" ht="16.5" hidden="false" customHeight="true" outlineLevel="0" collapsed="false">
      <c r="A2613" s="2" t="s">
        <v>416</v>
      </c>
      <c r="B2613" s="2" t="s">
        <v>439</v>
      </c>
      <c r="C2613" s="2" t="s">
        <v>14</v>
      </c>
      <c r="D2613" s="2" t="str">
        <f aca="false">IF(3キー同時!$B$292="","",3キー同時!$B$292)</f>
        <v/>
      </c>
      <c r="E2613" s="2" t="str">
        <f aca="false">IF(3キー同時!$G$292="","",3キー同時!$G$292)</f>
        <v/>
      </c>
      <c r="F2613" s="2" t="str">
        <f aca="false">""</f>
        <v/>
      </c>
      <c r="G2613" s="2" t="str">
        <f aca="false">IF(OR(3キー同時!$B$292="",3キー同時!$G$292=""),"",IF(3キー同時!P296="","",SUBSTITUTE(SUBSTITUTE(3キー同時!P296," ",""),"　","")))</f>
        <v/>
      </c>
      <c r="H2613" s="2" t="str">
        <f aca="false">IF($G2613="","",3キー同時!$B$292)</f>
        <v/>
      </c>
      <c r="I2613" s="2" t="str">
        <f aca="false">IF($G2613="","",3キー同時!$G$292)</f>
        <v/>
      </c>
      <c r="J2613" s="2" t="str">
        <f aca="false">IF($G2613="","","e")</f>
        <v/>
      </c>
      <c r="K2613" s="2" t="str">
        <f aca="false">""</f>
        <v/>
      </c>
      <c r="L2613" s="2" t="str">
        <f aca="false">IF($G2613="","","同時")</f>
        <v/>
      </c>
      <c r="M2613" s="2" t="str">
        <f aca="false">IF($G2613="","",IF(ISNA(MATCH($G2613,個別指定!$A:$A,0)),"行なし",""))</f>
        <v/>
      </c>
      <c r="N2613" s="2" t="str">
        <f aca="false">IF($G2613="","",IF(COUNTIF($G$2:$G$4460,$G2613)&gt;1,"重複",""))</f>
        <v/>
      </c>
    </row>
    <row r="2614" customFormat="false" ht="16.5" hidden="false" customHeight="true" outlineLevel="0" collapsed="false">
      <c r="A2614" s="2" t="s">
        <v>416</v>
      </c>
      <c r="B2614" s="2" t="s">
        <v>439</v>
      </c>
      <c r="C2614" s="2" t="s">
        <v>15</v>
      </c>
      <c r="D2614" s="2" t="str">
        <f aca="false">IF(3キー同時!$B$292="","",3キー同時!$B$292)</f>
        <v/>
      </c>
      <c r="E2614" s="2" t="str">
        <f aca="false">IF(3キー同時!$G$292="","",3キー同時!$G$292)</f>
        <v/>
      </c>
      <c r="F2614" s="2" t="str">
        <f aca="false">""</f>
        <v/>
      </c>
      <c r="G2614" s="2" t="str">
        <f aca="false">IF(OR(3キー同時!$B$292="",3キー同時!$G$292=""),"",IF(3キー同時!T296="","",SUBSTITUTE(SUBSTITUTE(3キー同時!T296," ",""),"　","")))</f>
        <v/>
      </c>
      <c r="H2614" s="2" t="str">
        <f aca="false">IF($G2614="","",3キー同時!$B$292)</f>
        <v/>
      </c>
      <c r="I2614" s="2" t="str">
        <f aca="false">IF($G2614="","",3キー同時!$G$292)</f>
        <v/>
      </c>
      <c r="J2614" s="2" t="str">
        <f aca="false">IF($G2614="","","r")</f>
        <v/>
      </c>
      <c r="K2614" s="2" t="str">
        <f aca="false">""</f>
        <v/>
      </c>
      <c r="L2614" s="2" t="str">
        <f aca="false">IF($G2614="","","同時")</f>
        <v/>
      </c>
      <c r="M2614" s="2" t="str">
        <f aca="false">IF($G2614="","",IF(ISNA(MATCH($G2614,個別指定!$A:$A,0)),"行なし",""))</f>
        <v/>
      </c>
      <c r="N2614" s="2" t="str">
        <f aca="false">IF($G2614="","",IF(COUNTIF($G$2:$G$4460,$G2614)&gt;1,"重複",""))</f>
        <v/>
      </c>
    </row>
    <row r="2615" customFormat="false" ht="16.5" hidden="false" customHeight="true" outlineLevel="0" collapsed="false">
      <c r="A2615" s="2" t="s">
        <v>416</v>
      </c>
      <c r="B2615" s="2" t="s">
        <v>439</v>
      </c>
      <c r="C2615" s="2" t="s">
        <v>16</v>
      </c>
      <c r="D2615" s="2" t="str">
        <f aca="false">IF(3キー同時!$B$292="","",3キー同時!$B$292)</f>
        <v/>
      </c>
      <c r="E2615" s="2" t="str">
        <f aca="false">IF(3キー同時!$G$292="","",3キー同時!$G$292)</f>
        <v/>
      </c>
      <c r="F2615" s="2" t="str">
        <f aca="false">""</f>
        <v/>
      </c>
      <c r="G2615" s="2" t="str">
        <f aca="false">IF(OR(3キー同時!$B$292="",3キー同時!$G$292=""),"",IF(3キー同時!X296="","",SUBSTITUTE(SUBSTITUTE(3キー同時!X296," ",""),"　","")))</f>
        <v/>
      </c>
      <c r="H2615" s="2" t="str">
        <f aca="false">IF($G2615="","",3キー同時!$B$292)</f>
        <v/>
      </c>
      <c r="I2615" s="2" t="str">
        <f aca="false">IF($G2615="","",3キー同時!$G$292)</f>
        <v/>
      </c>
      <c r="J2615" s="2" t="str">
        <f aca="false">IF($G2615="","","t")</f>
        <v/>
      </c>
      <c r="K2615" s="2" t="str">
        <f aca="false">""</f>
        <v/>
      </c>
      <c r="L2615" s="2" t="str">
        <f aca="false">IF($G2615="","","同時")</f>
        <v/>
      </c>
      <c r="M2615" s="2" t="str">
        <f aca="false">IF($G2615="","",IF(ISNA(MATCH($G2615,個別指定!$A:$A,0)),"行なし",""))</f>
        <v/>
      </c>
      <c r="N2615" s="2" t="str">
        <f aca="false">IF($G2615="","",IF(COUNTIF($G$2:$G$4460,$G2615)&gt;1,"重複",""))</f>
        <v/>
      </c>
    </row>
    <row r="2616" customFormat="false" ht="16.5" hidden="false" customHeight="true" outlineLevel="0" collapsed="false">
      <c r="A2616" s="2" t="s">
        <v>416</v>
      </c>
      <c r="B2616" s="2" t="s">
        <v>439</v>
      </c>
      <c r="C2616" s="2" t="s">
        <v>17</v>
      </c>
      <c r="D2616" s="2" t="str">
        <f aca="false">IF(3キー同時!$B$292="","",3キー同時!$B$292)</f>
        <v/>
      </c>
      <c r="E2616" s="2" t="str">
        <f aca="false">IF(3キー同時!$G$292="","",3キー同時!$G$292)</f>
        <v/>
      </c>
      <c r="F2616" s="2" t="str">
        <f aca="false">""</f>
        <v/>
      </c>
      <c r="G2616" s="2" t="str">
        <f aca="false">IF(OR(3キー同時!$B$292="",3キー同時!$G$292=""),"",IF(3キー同時!AB296="","",SUBSTITUTE(SUBSTITUTE(3キー同時!AB296," ",""),"　","")))</f>
        <v/>
      </c>
      <c r="H2616" s="2" t="str">
        <f aca="false">IF($G2616="","",3キー同時!$B$292)</f>
        <v/>
      </c>
      <c r="I2616" s="2" t="str">
        <f aca="false">IF($G2616="","",3キー同時!$G$292)</f>
        <v/>
      </c>
      <c r="J2616" s="2" t="str">
        <f aca="false">IF($G2616="","","y")</f>
        <v/>
      </c>
      <c r="K2616" s="2" t="str">
        <f aca="false">""</f>
        <v/>
      </c>
      <c r="L2616" s="2" t="str">
        <f aca="false">IF($G2616="","","同時")</f>
        <v/>
      </c>
      <c r="M2616" s="2" t="str">
        <f aca="false">IF($G2616="","",IF(ISNA(MATCH($G2616,個別指定!$A:$A,0)),"行なし",""))</f>
        <v/>
      </c>
      <c r="N2616" s="2" t="str">
        <f aca="false">IF($G2616="","",IF(COUNTIF($G$2:$G$4460,$G2616)&gt;1,"重複",""))</f>
        <v/>
      </c>
    </row>
    <row r="2617" customFormat="false" ht="16.5" hidden="false" customHeight="true" outlineLevel="0" collapsed="false">
      <c r="A2617" s="2" t="s">
        <v>416</v>
      </c>
      <c r="B2617" s="2" t="s">
        <v>439</v>
      </c>
      <c r="C2617" s="2" t="s">
        <v>18</v>
      </c>
      <c r="D2617" s="2" t="str">
        <f aca="false">IF(3キー同時!$B$292="","",3キー同時!$B$292)</f>
        <v/>
      </c>
      <c r="E2617" s="2" t="str">
        <f aca="false">IF(3キー同時!$G$292="","",3キー同時!$G$292)</f>
        <v/>
      </c>
      <c r="F2617" s="2" t="str">
        <f aca="false">""</f>
        <v/>
      </c>
      <c r="G2617" s="2" t="str">
        <f aca="false">IF(OR(3キー同時!$B$292="",3キー同時!$G$292=""),"",IF(3キー同時!AF296="","",SUBSTITUTE(SUBSTITUTE(3キー同時!AF296," ",""),"　","")))</f>
        <v/>
      </c>
      <c r="H2617" s="2" t="str">
        <f aca="false">IF($G2617="","",3キー同時!$B$292)</f>
        <v/>
      </c>
      <c r="I2617" s="2" t="str">
        <f aca="false">IF($G2617="","",3キー同時!$G$292)</f>
        <v/>
      </c>
      <c r="J2617" s="2" t="str">
        <f aca="false">IF($G2617="","","u")</f>
        <v/>
      </c>
      <c r="K2617" s="2" t="str">
        <f aca="false">""</f>
        <v/>
      </c>
      <c r="L2617" s="2" t="str">
        <f aca="false">IF($G2617="","","同時")</f>
        <v/>
      </c>
      <c r="M2617" s="2" t="str">
        <f aca="false">IF($G2617="","",IF(ISNA(MATCH($G2617,個別指定!$A:$A,0)),"行なし",""))</f>
        <v/>
      </c>
      <c r="N2617" s="2" t="str">
        <f aca="false">IF($G2617="","",IF(COUNTIF($G$2:$G$4460,$G2617)&gt;1,"重複",""))</f>
        <v/>
      </c>
    </row>
    <row r="2618" customFormat="false" ht="16.5" hidden="false" customHeight="true" outlineLevel="0" collapsed="false">
      <c r="A2618" s="2" t="s">
        <v>416</v>
      </c>
      <c r="B2618" s="2" t="s">
        <v>439</v>
      </c>
      <c r="C2618" s="2" t="s">
        <v>19</v>
      </c>
      <c r="D2618" s="2" t="str">
        <f aca="false">IF(3キー同時!$B$292="","",3キー同時!$B$292)</f>
        <v/>
      </c>
      <c r="E2618" s="2" t="str">
        <f aca="false">IF(3キー同時!$G$292="","",3キー同時!$G$292)</f>
        <v/>
      </c>
      <c r="F2618" s="2" t="str">
        <f aca="false">""</f>
        <v/>
      </c>
      <c r="G2618" s="2" t="str">
        <f aca="false">IF(OR(3キー同時!$B$292="",3キー同時!$G$292=""),"",IF(3キー同時!AJ296="","",SUBSTITUTE(SUBSTITUTE(3キー同時!AJ296," ",""),"　","")))</f>
        <v/>
      </c>
      <c r="H2618" s="2" t="str">
        <f aca="false">IF($G2618="","",3キー同時!$B$292)</f>
        <v/>
      </c>
      <c r="I2618" s="2" t="str">
        <f aca="false">IF($G2618="","",3キー同時!$G$292)</f>
        <v/>
      </c>
      <c r="J2618" s="2" t="str">
        <f aca="false">IF($G2618="","","i")</f>
        <v/>
      </c>
      <c r="K2618" s="2" t="str">
        <f aca="false">""</f>
        <v/>
      </c>
      <c r="L2618" s="2" t="str">
        <f aca="false">IF($G2618="","","同時")</f>
        <v/>
      </c>
      <c r="M2618" s="2" t="str">
        <f aca="false">IF($G2618="","",IF(ISNA(MATCH($G2618,個別指定!$A:$A,0)),"行なし",""))</f>
        <v/>
      </c>
      <c r="N2618" s="2" t="str">
        <f aca="false">IF($G2618="","",IF(COUNTIF($G$2:$G$4460,$G2618)&gt;1,"重複",""))</f>
        <v/>
      </c>
    </row>
    <row r="2619" customFormat="false" ht="16.5" hidden="false" customHeight="true" outlineLevel="0" collapsed="false">
      <c r="A2619" s="2" t="s">
        <v>416</v>
      </c>
      <c r="B2619" s="2" t="s">
        <v>439</v>
      </c>
      <c r="C2619" s="2" t="s">
        <v>20</v>
      </c>
      <c r="D2619" s="2" t="str">
        <f aca="false">IF(3キー同時!$B$292="","",3キー同時!$B$292)</f>
        <v/>
      </c>
      <c r="E2619" s="2" t="str">
        <f aca="false">IF(3キー同時!$G$292="","",3キー同時!$G$292)</f>
        <v/>
      </c>
      <c r="F2619" s="2" t="str">
        <f aca="false">""</f>
        <v/>
      </c>
      <c r="G2619" s="2" t="str">
        <f aca="false">IF(OR(3キー同時!$B$292="",3キー同時!$G$292=""),"",IF(3キー同時!AN296="","",SUBSTITUTE(SUBSTITUTE(3キー同時!AN296," ",""),"　","")))</f>
        <v/>
      </c>
      <c r="H2619" s="2" t="str">
        <f aca="false">IF($G2619="","",3キー同時!$B$292)</f>
        <v/>
      </c>
      <c r="I2619" s="2" t="str">
        <f aca="false">IF($G2619="","",3キー同時!$G$292)</f>
        <v/>
      </c>
      <c r="J2619" s="2" t="str">
        <f aca="false">IF($G2619="","","o")</f>
        <v/>
      </c>
      <c r="K2619" s="2" t="str">
        <f aca="false">""</f>
        <v/>
      </c>
      <c r="L2619" s="2" t="str">
        <f aca="false">IF($G2619="","","同時")</f>
        <v/>
      </c>
      <c r="M2619" s="2" t="str">
        <f aca="false">IF($G2619="","",IF(ISNA(MATCH($G2619,個別指定!$A:$A,0)),"行なし",""))</f>
        <v/>
      </c>
      <c r="N2619" s="2" t="str">
        <f aca="false">IF($G2619="","",IF(COUNTIF($G$2:$G$4460,$G2619)&gt;1,"重複",""))</f>
        <v/>
      </c>
    </row>
    <row r="2620" customFormat="false" ht="16.5" hidden="false" customHeight="true" outlineLevel="0" collapsed="false">
      <c r="A2620" s="2" t="s">
        <v>416</v>
      </c>
      <c r="B2620" s="2" t="s">
        <v>439</v>
      </c>
      <c r="C2620" s="2" t="s">
        <v>21</v>
      </c>
      <c r="D2620" s="2" t="str">
        <f aca="false">IF(3キー同時!$B$292="","",3キー同時!$B$292)</f>
        <v/>
      </c>
      <c r="E2620" s="2" t="str">
        <f aca="false">IF(3キー同時!$G$292="","",3キー同時!$G$292)</f>
        <v/>
      </c>
      <c r="F2620" s="2" t="str">
        <f aca="false">""</f>
        <v/>
      </c>
      <c r="G2620" s="2" t="str">
        <f aca="false">IF(OR(3キー同時!$B$292="",3キー同時!$G$292=""),"",IF(3キー同時!AR296="","",SUBSTITUTE(SUBSTITUTE(3キー同時!AR296," ",""),"　","")))</f>
        <v/>
      </c>
      <c r="H2620" s="2" t="str">
        <f aca="false">IF($G2620="","",3キー同時!$B$292)</f>
        <v/>
      </c>
      <c r="I2620" s="2" t="str">
        <f aca="false">IF($G2620="","",3キー同時!$G$292)</f>
        <v/>
      </c>
      <c r="J2620" s="2" t="str">
        <f aca="false">IF($G2620="","","p")</f>
        <v/>
      </c>
      <c r="K2620" s="2" t="str">
        <f aca="false">""</f>
        <v/>
      </c>
      <c r="L2620" s="2" t="str">
        <f aca="false">IF($G2620="","","同時")</f>
        <v/>
      </c>
      <c r="M2620" s="2" t="str">
        <f aca="false">IF($G2620="","",IF(ISNA(MATCH($G2620,個別指定!$A:$A,0)),"行なし",""))</f>
        <v/>
      </c>
      <c r="N2620" s="2" t="str">
        <f aca="false">IF($G2620="","",IF(COUNTIF($G$2:$G$4460,$G2620)&gt;1,"重複",""))</f>
        <v/>
      </c>
    </row>
    <row r="2621" customFormat="false" ht="16.5" hidden="false" customHeight="true" outlineLevel="0" collapsed="false">
      <c r="A2621" s="2" t="s">
        <v>416</v>
      </c>
      <c r="B2621" s="2" t="s">
        <v>439</v>
      </c>
      <c r="C2621" s="2" t="s">
        <v>22</v>
      </c>
      <c r="D2621" s="2" t="str">
        <f aca="false">IF(3キー同時!$B$292="","",3キー同時!$B$292)</f>
        <v/>
      </c>
      <c r="E2621" s="2" t="str">
        <f aca="false">IF(3キー同時!$G$292="","",3キー同時!$G$292)</f>
        <v/>
      </c>
      <c r="F2621" s="2" t="str">
        <f aca="false">""</f>
        <v/>
      </c>
      <c r="G2621" s="2" t="str">
        <f aca="false">IF(OR(3キー同時!$B$292="",3キー同時!$G$292=""),"",IF(3キー同時!AV296="","",SUBSTITUTE(SUBSTITUTE(3キー同時!AV296," ",""),"　","")))</f>
        <v/>
      </c>
      <c r="H2621" s="2" t="str">
        <f aca="false">IF($G2621="","",3キー同時!$B$292)</f>
        <v/>
      </c>
      <c r="I2621" s="2" t="str">
        <f aca="false">IF($G2621="","",3キー同時!$G$292)</f>
        <v/>
      </c>
      <c r="J2621" s="2" t="str">
        <f aca="false">IF($G2621="","","[")</f>
        <v/>
      </c>
      <c r="K2621" s="2" t="str">
        <f aca="false">""</f>
        <v/>
      </c>
      <c r="L2621" s="2" t="str">
        <f aca="false">IF($G2621="","","同時")</f>
        <v/>
      </c>
      <c r="M2621" s="2" t="str">
        <f aca="false">IF($G2621="","",IF(ISNA(MATCH($G2621,個別指定!$A:$A,0)),"行なし",""))</f>
        <v/>
      </c>
      <c r="N2621" s="2" t="str">
        <f aca="false">IF($G2621="","",IF(COUNTIF($G$2:$G$4460,$G2621)&gt;1,"重複",""))</f>
        <v/>
      </c>
    </row>
    <row r="2622" customFormat="false" ht="16.5" hidden="false" customHeight="true" outlineLevel="0" collapsed="false">
      <c r="A2622" s="2" t="s">
        <v>416</v>
      </c>
      <c r="B2622" s="2" t="s">
        <v>439</v>
      </c>
      <c r="C2622" s="2" t="s">
        <v>23</v>
      </c>
      <c r="D2622" s="2" t="str">
        <f aca="false">IF(3キー同時!$B$292="","",3キー同時!$B$292)</f>
        <v/>
      </c>
      <c r="E2622" s="2" t="str">
        <f aca="false">IF(3キー同時!$G$292="","",3キー同時!$G$292)</f>
        <v/>
      </c>
      <c r="F2622" s="2" t="str">
        <f aca="false">""</f>
        <v/>
      </c>
      <c r="G2622" s="2" t="str">
        <f aca="false">IF(OR(3キー同時!$B$292="",3キー同時!$G$292=""),"",IF(3キー同時!AZ296="","",SUBSTITUTE(SUBSTITUTE(3キー同時!AZ296," ",""),"　","")))</f>
        <v/>
      </c>
      <c r="H2622" s="2" t="str">
        <f aca="false">IF($G2622="","",3キー同時!$B$292)</f>
        <v/>
      </c>
      <c r="I2622" s="2" t="str">
        <f aca="false">IF($G2622="","",3キー同時!$G$292)</f>
        <v/>
      </c>
      <c r="J2622" s="2" t="str">
        <f aca="false">IF($G2622="","","]")</f>
        <v/>
      </c>
      <c r="K2622" s="2" t="str">
        <f aca="false">""</f>
        <v/>
      </c>
      <c r="L2622" s="2" t="str">
        <f aca="false">IF($G2622="","","同時")</f>
        <v/>
      </c>
      <c r="M2622" s="2" t="str">
        <f aca="false">IF($G2622="","",IF(ISNA(MATCH($G2622,個別指定!$A:$A,0)),"行なし",""))</f>
        <v/>
      </c>
      <c r="N2622" s="2" t="str">
        <f aca="false">IF($G2622="","",IF(COUNTIF($G$2:$G$4460,$G2622)&gt;1,"重複",""))</f>
        <v/>
      </c>
    </row>
    <row r="2623" customFormat="false" ht="16.5" hidden="false" customHeight="true" outlineLevel="0" collapsed="false">
      <c r="A2623" s="2" t="s">
        <v>416</v>
      </c>
      <c r="B2623" s="2" t="s">
        <v>439</v>
      </c>
      <c r="C2623" s="2" t="s">
        <v>24</v>
      </c>
      <c r="D2623" s="2" t="str">
        <f aca="false">IF(3キー同時!$B$292="","",3キー同時!$B$292)</f>
        <v/>
      </c>
      <c r="E2623" s="2" t="str">
        <f aca="false">IF(3キー同時!$G$292="","",3キー同時!$G$292)</f>
        <v/>
      </c>
      <c r="F2623" s="2" t="str">
        <f aca="false">""</f>
        <v/>
      </c>
      <c r="G2623" s="2" t="str">
        <f aca="false">IF(OR(3キー同時!$B$292="",3キー同時!$G$292=""),"",IF(3キー同時!I298="","",SUBSTITUTE(SUBSTITUTE(3キー同時!I298," ",""),"　","")))</f>
        <v/>
      </c>
      <c r="H2623" s="2" t="str">
        <f aca="false">IF($G2623="","",3キー同時!$B$292)</f>
        <v/>
      </c>
      <c r="I2623" s="2" t="str">
        <f aca="false">IF($G2623="","",3キー同時!$G$292)</f>
        <v/>
      </c>
      <c r="J2623" s="2" t="str">
        <f aca="false">IF($G2623="","","a")</f>
        <v/>
      </c>
      <c r="K2623" s="2" t="str">
        <f aca="false">""</f>
        <v/>
      </c>
      <c r="L2623" s="2" t="str">
        <f aca="false">IF($G2623="","","同時")</f>
        <v/>
      </c>
      <c r="M2623" s="2" t="str">
        <f aca="false">IF($G2623="","",IF(ISNA(MATCH($G2623,個別指定!$A:$A,0)),"行なし",""))</f>
        <v/>
      </c>
      <c r="N2623" s="2" t="str">
        <f aca="false">IF($G2623="","",IF(COUNTIF($G$2:$G$4460,$G2623)&gt;1,"重複",""))</f>
        <v/>
      </c>
    </row>
    <row r="2624" customFormat="false" ht="16.5" hidden="false" customHeight="true" outlineLevel="0" collapsed="false">
      <c r="A2624" s="2" t="s">
        <v>416</v>
      </c>
      <c r="B2624" s="2" t="s">
        <v>439</v>
      </c>
      <c r="C2624" s="2" t="s">
        <v>25</v>
      </c>
      <c r="D2624" s="2" t="str">
        <f aca="false">IF(3キー同時!$B$292="","",3キー同時!$B$292)</f>
        <v/>
      </c>
      <c r="E2624" s="2" t="str">
        <f aca="false">IF(3キー同時!$G$292="","",3キー同時!$G$292)</f>
        <v/>
      </c>
      <c r="F2624" s="2" t="str">
        <f aca="false">""</f>
        <v/>
      </c>
      <c r="G2624" s="2" t="str">
        <f aca="false">IF(OR(3キー同時!$B$292="",3キー同時!$G$292=""),"",IF(3キー同時!M298="","",SUBSTITUTE(SUBSTITUTE(3キー同時!M298," ",""),"　","")))</f>
        <v/>
      </c>
      <c r="H2624" s="2" t="str">
        <f aca="false">IF($G2624="","",3キー同時!$B$292)</f>
        <v/>
      </c>
      <c r="I2624" s="2" t="str">
        <f aca="false">IF($G2624="","",3キー同時!$G$292)</f>
        <v/>
      </c>
      <c r="J2624" s="2" t="str">
        <f aca="false">IF($G2624="","","s")</f>
        <v/>
      </c>
      <c r="K2624" s="2" t="str">
        <f aca="false">""</f>
        <v/>
      </c>
      <c r="L2624" s="2" t="str">
        <f aca="false">IF($G2624="","","同時")</f>
        <v/>
      </c>
      <c r="M2624" s="2" t="str">
        <f aca="false">IF($G2624="","",IF(ISNA(MATCH($G2624,個別指定!$A:$A,0)),"行なし",""))</f>
        <v/>
      </c>
      <c r="N2624" s="2" t="str">
        <f aca="false">IF($G2624="","",IF(COUNTIF($G$2:$G$4460,$G2624)&gt;1,"重複",""))</f>
        <v/>
      </c>
    </row>
    <row r="2625" customFormat="false" ht="16.5" hidden="false" customHeight="true" outlineLevel="0" collapsed="false">
      <c r="A2625" s="2" t="s">
        <v>416</v>
      </c>
      <c r="B2625" s="2" t="s">
        <v>439</v>
      </c>
      <c r="C2625" s="2" t="s">
        <v>26</v>
      </c>
      <c r="D2625" s="2" t="str">
        <f aca="false">IF(3キー同時!$B$292="","",3キー同時!$B$292)</f>
        <v/>
      </c>
      <c r="E2625" s="2" t="str">
        <f aca="false">IF(3キー同時!$G$292="","",3キー同時!$G$292)</f>
        <v/>
      </c>
      <c r="F2625" s="2" t="str">
        <f aca="false">""</f>
        <v/>
      </c>
      <c r="G2625" s="2" t="str">
        <f aca="false">IF(OR(3キー同時!$B$292="",3キー同時!$G$292=""),"",IF(3キー同時!Q298="","",SUBSTITUTE(SUBSTITUTE(3キー同時!Q298," ",""),"　","")))</f>
        <v/>
      </c>
      <c r="H2625" s="2" t="str">
        <f aca="false">IF($G2625="","",3キー同時!$B$292)</f>
        <v/>
      </c>
      <c r="I2625" s="2" t="str">
        <f aca="false">IF($G2625="","",3キー同時!$G$292)</f>
        <v/>
      </c>
      <c r="J2625" s="2" t="str">
        <f aca="false">IF($G2625="","","d")</f>
        <v/>
      </c>
      <c r="K2625" s="2" t="str">
        <f aca="false">""</f>
        <v/>
      </c>
      <c r="L2625" s="2" t="str">
        <f aca="false">IF($G2625="","","同時")</f>
        <v/>
      </c>
      <c r="M2625" s="2" t="str">
        <f aca="false">IF($G2625="","",IF(ISNA(MATCH($G2625,個別指定!$A:$A,0)),"行なし",""))</f>
        <v/>
      </c>
      <c r="N2625" s="2" t="str">
        <f aca="false">IF($G2625="","",IF(COUNTIF($G$2:$G$4460,$G2625)&gt;1,"重複",""))</f>
        <v/>
      </c>
    </row>
    <row r="2626" customFormat="false" ht="16.5" hidden="false" customHeight="true" outlineLevel="0" collapsed="false">
      <c r="A2626" s="2" t="s">
        <v>416</v>
      </c>
      <c r="B2626" s="2" t="s">
        <v>439</v>
      </c>
      <c r="C2626" s="2" t="s">
        <v>27</v>
      </c>
      <c r="D2626" s="2" t="str">
        <f aca="false">IF(3キー同時!$B$292="","",3キー同時!$B$292)</f>
        <v/>
      </c>
      <c r="E2626" s="2" t="str">
        <f aca="false">IF(3キー同時!$G$292="","",3キー同時!$G$292)</f>
        <v/>
      </c>
      <c r="F2626" s="2" t="str">
        <f aca="false">""</f>
        <v/>
      </c>
      <c r="G2626" s="2" t="str">
        <f aca="false">IF(OR(3キー同時!$B$292="",3キー同時!$G$292=""),"",IF(3キー同時!U298="","",SUBSTITUTE(SUBSTITUTE(3キー同時!U298," ",""),"　","")))</f>
        <v/>
      </c>
      <c r="H2626" s="2" t="str">
        <f aca="false">IF($G2626="","",3キー同時!$B$292)</f>
        <v/>
      </c>
      <c r="I2626" s="2" t="str">
        <f aca="false">IF($G2626="","",3キー同時!$G$292)</f>
        <v/>
      </c>
      <c r="J2626" s="2" t="str">
        <f aca="false">IF($G2626="","","f")</f>
        <v/>
      </c>
      <c r="K2626" s="2" t="str">
        <f aca="false">""</f>
        <v/>
      </c>
      <c r="L2626" s="2" t="str">
        <f aca="false">IF($G2626="","","同時")</f>
        <v/>
      </c>
      <c r="M2626" s="2" t="str">
        <f aca="false">IF($G2626="","",IF(ISNA(MATCH($G2626,個別指定!$A:$A,0)),"行なし",""))</f>
        <v/>
      </c>
      <c r="N2626" s="2" t="str">
        <f aca="false">IF($G2626="","",IF(COUNTIF($G$2:$G$4460,$G2626)&gt;1,"重複",""))</f>
        <v/>
      </c>
    </row>
    <row r="2627" customFormat="false" ht="16.5" hidden="false" customHeight="true" outlineLevel="0" collapsed="false">
      <c r="A2627" s="2" t="s">
        <v>416</v>
      </c>
      <c r="B2627" s="2" t="s">
        <v>439</v>
      </c>
      <c r="C2627" s="2" t="s">
        <v>28</v>
      </c>
      <c r="D2627" s="2" t="str">
        <f aca="false">IF(3キー同時!$B$292="","",3キー同時!$B$292)</f>
        <v/>
      </c>
      <c r="E2627" s="2" t="str">
        <f aca="false">IF(3キー同時!$G$292="","",3キー同時!$G$292)</f>
        <v/>
      </c>
      <c r="F2627" s="2" t="str">
        <f aca="false">""</f>
        <v/>
      </c>
      <c r="G2627" s="2" t="str">
        <f aca="false">IF(OR(3キー同時!$B$292="",3キー同時!$G$292=""),"",IF(3キー同時!Y298="","",SUBSTITUTE(SUBSTITUTE(3キー同時!Y298," ",""),"　","")))</f>
        <v/>
      </c>
      <c r="H2627" s="2" t="str">
        <f aca="false">IF($G2627="","",3キー同時!$B$292)</f>
        <v/>
      </c>
      <c r="I2627" s="2" t="str">
        <f aca="false">IF($G2627="","",3キー同時!$G$292)</f>
        <v/>
      </c>
      <c r="J2627" s="2" t="str">
        <f aca="false">IF($G2627="","","g")</f>
        <v/>
      </c>
      <c r="K2627" s="2" t="str">
        <f aca="false">""</f>
        <v/>
      </c>
      <c r="L2627" s="2" t="str">
        <f aca="false">IF($G2627="","","同時")</f>
        <v/>
      </c>
      <c r="M2627" s="2" t="str">
        <f aca="false">IF($G2627="","",IF(ISNA(MATCH($G2627,個別指定!$A:$A,0)),"行なし",""))</f>
        <v/>
      </c>
      <c r="N2627" s="2" t="str">
        <f aca="false">IF($G2627="","",IF(COUNTIF($G$2:$G$4460,$G2627)&gt;1,"重複",""))</f>
        <v/>
      </c>
    </row>
    <row r="2628" customFormat="false" ht="16.5" hidden="false" customHeight="true" outlineLevel="0" collapsed="false">
      <c r="A2628" s="2" t="s">
        <v>416</v>
      </c>
      <c r="B2628" s="2" t="s">
        <v>439</v>
      </c>
      <c r="C2628" s="2" t="s">
        <v>29</v>
      </c>
      <c r="D2628" s="2" t="str">
        <f aca="false">IF(3キー同時!$B$292="","",3キー同時!$B$292)</f>
        <v/>
      </c>
      <c r="E2628" s="2" t="str">
        <f aca="false">IF(3キー同時!$G$292="","",3キー同時!$G$292)</f>
        <v/>
      </c>
      <c r="F2628" s="2" t="str">
        <f aca="false">""</f>
        <v/>
      </c>
      <c r="G2628" s="2" t="str">
        <f aca="false">IF(OR(3キー同時!$B$292="",3キー同時!$G$292=""),"",IF(3キー同時!AC298="","",SUBSTITUTE(SUBSTITUTE(3キー同時!AC298," ",""),"　","")))</f>
        <v/>
      </c>
      <c r="H2628" s="2" t="str">
        <f aca="false">IF($G2628="","",3キー同時!$B$292)</f>
        <v/>
      </c>
      <c r="I2628" s="2" t="str">
        <f aca="false">IF($G2628="","",3キー同時!$G$292)</f>
        <v/>
      </c>
      <c r="J2628" s="2" t="str">
        <f aca="false">IF($G2628="","","h")</f>
        <v/>
      </c>
      <c r="K2628" s="2" t="str">
        <f aca="false">""</f>
        <v/>
      </c>
      <c r="L2628" s="2" t="str">
        <f aca="false">IF($G2628="","","同時")</f>
        <v/>
      </c>
      <c r="M2628" s="2" t="str">
        <f aca="false">IF($G2628="","",IF(ISNA(MATCH($G2628,個別指定!$A:$A,0)),"行なし",""))</f>
        <v/>
      </c>
      <c r="N2628" s="2" t="str">
        <f aca="false">IF($G2628="","",IF(COUNTIF($G$2:$G$4460,$G2628)&gt;1,"重複",""))</f>
        <v/>
      </c>
    </row>
    <row r="2629" customFormat="false" ht="16.5" hidden="false" customHeight="true" outlineLevel="0" collapsed="false">
      <c r="A2629" s="2" t="s">
        <v>416</v>
      </c>
      <c r="B2629" s="2" t="s">
        <v>439</v>
      </c>
      <c r="C2629" s="2" t="s">
        <v>30</v>
      </c>
      <c r="D2629" s="2" t="str">
        <f aca="false">IF(3キー同時!$B$292="","",3キー同時!$B$292)</f>
        <v/>
      </c>
      <c r="E2629" s="2" t="str">
        <f aca="false">IF(3キー同時!$G$292="","",3キー同時!$G$292)</f>
        <v/>
      </c>
      <c r="F2629" s="2" t="str">
        <f aca="false">""</f>
        <v/>
      </c>
      <c r="G2629" s="2" t="str">
        <f aca="false">IF(OR(3キー同時!$B$292="",3キー同時!$G$292=""),"",IF(3キー同時!AG298="","",SUBSTITUTE(SUBSTITUTE(3キー同時!AG298," ",""),"　","")))</f>
        <v/>
      </c>
      <c r="H2629" s="2" t="str">
        <f aca="false">IF($G2629="","",3キー同時!$B$292)</f>
        <v/>
      </c>
      <c r="I2629" s="2" t="str">
        <f aca="false">IF($G2629="","",3キー同時!$G$292)</f>
        <v/>
      </c>
      <c r="J2629" s="2" t="str">
        <f aca="false">IF($G2629="","","j")</f>
        <v/>
      </c>
      <c r="K2629" s="2" t="str">
        <f aca="false">""</f>
        <v/>
      </c>
      <c r="L2629" s="2" t="str">
        <f aca="false">IF($G2629="","","同時")</f>
        <v/>
      </c>
      <c r="M2629" s="2" t="str">
        <f aca="false">IF($G2629="","",IF(ISNA(MATCH($G2629,個別指定!$A:$A,0)),"行なし",""))</f>
        <v/>
      </c>
      <c r="N2629" s="2" t="str">
        <f aca="false">IF($G2629="","",IF(COUNTIF($G$2:$G$4460,$G2629)&gt;1,"重複",""))</f>
        <v/>
      </c>
    </row>
    <row r="2630" customFormat="false" ht="16.5" hidden="false" customHeight="true" outlineLevel="0" collapsed="false">
      <c r="A2630" s="2" t="s">
        <v>416</v>
      </c>
      <c r="B2630" s="2" t="s">
        <v>439</v>
      </c>
      <c r="C2630" s="2" t="s">
        <v>31</v>
      </c>
      <c r="D2630" s="2" t="str">
        <f aca="false">IF(3キー同時!$B$292="","",3キー同時!$B$292)</f>
        <v/>
      </c>
      <c r="E2630" s="2" t="str">
        <f aca="false">IF(3キー同時!$G$292="","",3キー同時!$G$292)</f>
        <v/>
      </c>
      <c r="F2630" s="2" t="str">
        <f aca="false">""</f>
        <v/>
      </c>
      <c r="G2630" s="2" t="str">
        <f aca="false">IF(OR(3キー同時!$B$292="",3キー同時!$G$292=""),"",IF(3キー同時!AK298="","",SUBSTITUTE(SUBSTITUTE(3キー同時!AK298," ",""),"　","")))</f>
        <v/>
      </c>
      <c r="H2630" s="2" t="str">
        <f aca="false">IF($G2630="","",3キー同時!$B$292)</f>
        <v/>
      </c>
      <c r="I2630" s="2" t="str">
        <f aca="false">IF($G2630="","",3キー同時!$G$292)</f>
        <v/>
      </c>
      <c r="J2630" s="2" t="str">
        <f aca="false">IF($G2630="","","k")</f>
        <v/>
      </c>
      <c r="K2630" s="2" t="str">
        <f aca="false">""</f>
        <v/>
      </c>
      <c r="L2630" s="2" t="str">
        <f aca="false">IF($G2630="","","同時")</f>
        <v/>
      </c>
      <c r="M2630" s="2" t="str">
        <f aca="false">IF($G2630="","",IF(ISNA(MATCH($G2630,個別指定!$A:$A,0)),"行なし",""))</f>
        <v/>
      </c>
      <c r="N2630" s="2" t="str">
        <f aca="false">IF($G2630="","",IF(COUNTIF($G$2:$G$4460,$G2630)&gt;1,"重複",""))</f>
        <v/>
      </c>
    </row>
    <row r="2631" customFormat="false" ht="16.5" hidden="false" customHeight="true" outlineLevel="0" collapsed="false">
      <c r="A2631" s="2" t="s">
        <v>416</v>
      </c>
      <c r="B2631" s="2" t="s">
        <v>439</v>
      </c>
      <c r="C2631" s="2" t="s">
        <v>32</v>
      </c>
      <c r="D2631" s="2" t="str">
        <f aca="false">IF(3キー同時!$B$292="","",3キー同時!$B$292)</f>
        <v/>
      </c>
      <c r="E2631" s="2" t="str">
        <f aca="false">IF(3キー同時!$G$292="","",3キー同時!$G$292)</f>
        <v/>
      </c>
      <c r="F2631" s="2" t="str">
        <f aca="false">""</f>
        <v/>
      </c>
      <c r="G2631" s="2" t="str">
        <f aca="false">IF(OR(3キー同時!$B$292="",3キー同時!$G$292=""),"",IF(3キー同時!AO298="","",SUBSTITUTE(SUBSTITUTE(3キー同時!AO298," ",""),"　","")))</f>
        <v/>
      </c>
      <c r="H2631" s="2" t="str">
        <f aca="false">IF($G2631="","",3キー同時!$B$292)</f>
        <v/>
      </c>
      <c r="I2631" s="2" t="str">
        <f aca="false">IF($G2631="","",3キー同時!$G$292)</f>
        <v/>
      </c>
      <c r="J2631" s="2" t="str">
        <f aca="false">IF($G2631="","","l")</f>
        <v/>
      </c>
      <c r="K2631" s="2" t="str">
        <f aca="false">""</f>
        <v/>
      </c>
      <c r="L2631" s="2" t="str">
        <f aca="false">IF($G2631="","","同時")</f>
        <v/>
      </c>
      <c r="M2631" s="2" t="str">
        <f aca="false">IF($G2631="","",IF(ISNA(MATCH($G2631,個別指定!$A:$A,0)),"行なし",""))</f>
        <v/>
      </c>
      <c r="N2631" s="2" t="str">
        <f aca="false">IF($G2631="","",IF(COUNTIF($G$2:$G$4460,$G2631)&gt;1,"重複",""))</f>
        <v/>
      </c>
    </row>
    <row r="2632" customFormat="false" ht="16.5" hidden="false" customHeight="true" outlineLevel="0" collapsed="false">
      <c r="A2632" s="2" t="s">
        <v>416</v>
      </c>
      <c r="B2632" s="2" t="s">
        <v>439</v>
      </c>
      <c r="C2632" s="2" t="s">
        <v>33</v>
      </c>
      <c r="D2632" s="2" t="str">
        <f aca="false">IF(3キー同時!$B$292="","",3キー同時!$B$292)</f>
        <v/>
      </c>
      <c r="E2632" s="2" t="str">
        <f aca="false">IF(3キー同時!$G$292="","",3キー同時!$G$292)</f>
        <v/>
      </c>
      <c r="F2632" s="2" t="str">
        <f aca="false">""</f>
        <v/>
      </c>
      <c r="G2632" s="2" t="str">
        <f aca="false">IF(OR(3キー同時!$B$292="",3キー同時!$G$292=""),"",IF(3キー同時!AS298="","",SUBSTITUTE(SUBSTITUTE(3キー同時!AS298," ",""),"　","")))</f>
        <v/>
      </c>
      <c r="H2632" s="2" t="str">
        <f aca="false">IF($G2632="","",3キー同時!$B$292)</f>
        <v/>
      </c>
      <c r="I2632" s="2" t="str">
        <f aca="false">IF($G2632="","",3キー同時!$G$292)</f>
        <v/>
      </c>
      <c r="J2632" s="2" t="str">
        <f aca="false">IF($G2632="","",";")</f>
        <v/>
      </c>
      <c r="K2632" s="2" t="str">
        <f aca="false">""</f>
        <v/>
      </c>
      <c r="L2632" s="2" t="str">
        <f aca="false">IF($G2632="","","同時")</f>
        <v/>
      </c>
      <c r="M2632" s="2" t="str">
        <f aca="false">IF($G2632="","",IF(ISNA(MATCH($G2632,個別指定!$A:$A,0)),"行なし",""))</f>
        <v/>
      </c>
      <c r="N2632" s="2" t="str">
        <f aca="false">IF($G2632="","",IF(COUNTIF($G$2:$G$4460,$G2632)&gt;1,"重複",""))</f>
        <v/>
      </c>
    </row>
    <row r="2633" customFormat="false" ht="16.5" hidden="false" customHeight="true" outlineLevel="0" collapsed="false">
      <c r="A2633" s="2" t="s">
        <v>416</v>
      </c>
      <c r="B2633" s="2" t="s">
        <v>439</v>
      </c>
      <c r="C2633" s="2" t="s">
        <v>34</v>
      </c>
      <c r="D2633" s="2" t="str">
        <f aca="false">IF(3キー同時!$B$292="","",3キー同時!$B$292)</f>
        <v/>
      </c>
      <c r="E2633" s="2" t="str">
        <f aca="false">IF(3キー同時!$G$292="","",3キー同時!$G$292)</f>
        <v/>
      </c>
      <c r="F2633" s="2" t="str">
        <f aca="false">""</f>
        <v/>
      </c>
      <c r="G2633" s="2" t="str">
        <f aca="false">IF(OR(3キー同時!$B$292="",3キー同時!$G$292=""),"",IF(3キー同時!AW298="","",SUBSTITUTE(SUBSTITUTE(3キー同時!AW298," ",""),"　","")))</f>
        <v/>
      </c>
      <c r="H2633" s="2" t="str">
        <f aca="false">IF($G2633="","",3キー同時!$B$292)</f>
        <v/>
      </c>
      <c r="I2633" s="2" t="str">
        <f aca="false">IF($G2633="","",3キー同時!$G$292)</f>
        <v/>
      </c>
      <c r="J2633" s="2" t="str">
        <f aca="false">IF($G2633="","","'")</f>
        <v/>
      </c>
      <c r="K2633" s="2" t="str">
        <f aca="false">""</f>
        <v/>
      </c>
      <c r="L2633" s="2" t="str">
        <f aca="false">IF($G2633="","","同時")</f>
        <v/>
      </c>
      <c r="M2633" s="2" t="str">
        <f aca="false">IF($G2633="","",IF(ISNA(MATCH($G2633,個別指定!$A:$A,0)),"行なし",""))</f>
        <v/>
      </c>
      <c r="N2633" s="2" t="str">
        <f aca="false">IF($G2633="","",IF(COUNTIF($G$2:$G$4460,$G2633)&gt;1,"重複",""))</f>
        <v/>
      </c>
    </row>
    <row r="2634" customFormat="false" ht="16.5" hidden="false" customHeight="true" outlineLevel="0" collapsed="false">
      <c r="A2634" s="2" t="s">
        <v>416</v>
      </c>
      <c r="B2634" s="2" t="s">
        <v>439</v>
      </c>
      <c r="C2634" s="2" t="s">
        <v>35</v>
      </c>
      <c r="D2634" s="2" t="str">
        <f aca="false">IF(3キー同時!$B$292="","",3キー同時!$B$292)</f>
        <v/>
      </c>
      <c r="E2634" s="2" t="str">
        <f aca="false">IF(3キー同時!$G$292="","",3キー同時!$G$292)</f>
        <v/>
      </c>
      <c r="F2634" s="2" t="str">
        <f aca="false">""</f>
        <v/>
      </c>
      <c r="G2634" s="2" t="str">
        <f aca="false">IF(OR(3キー同時!$B$292="",3キー同時!$G$292=""),"",IF(3キー同時!K300="","",SUBSTITUTE(SUBSTITUTE(3キー同時!K300," ",""),"　","")))</f>
        <v/>
      </c>
      <c r="H2634" s="2" t="str">
        <f aca="false">IF($G2634="","",3キー同時!$B$292)</f>
        <v/>
      </c>
      <c r="I2634" s="2" t="str">
        <f aca="false">IF($G2634="","",3キー同時!$G$292)</f>
        <v/>
      </c>
      <c r="J2634" s="2" t="str">
        <f aca="false">IF($G2634="","","z")</f>
        <v/>
      </c>
      <c r="K2634" s="2" t="str">
        <f aca="false">""</f>
        <v/>
      </c>
      <c r="L2634" s="2" t="str">
        <f aca="false">IF($G2634="","","同時")</f>
        <v/>
      </c>
      <c r="M2634" s="2" t="str">
        <f aca="false">IF($G2634="","",IF(ISNA(MATCH($G2634,個別指定!$A:$A,0)),"行なし",""))</f>
        <v/>
      </c>
      <c r="N2634" s="2" t="str">
        <f aca="false">IF($G2634="","",IF(COUNTIF($G$2:$G$4460,$G2634)&gt;1,"重複",""))</f>
        <v/>
      </c>
    </row>
    <row r="2635" customFormat="false" ht="16.5" hidden="false" customHeight="true" outlineLevel="0" collapsed="false">
      <c r="A2635" s="2" t="s">
        <v>416</v>
      </c>
      <c r="B2635" s="2" t="s">
        <v>439</v>
      </c>
      <c r="C2635" s="2" t="s">
        <v>36</v>
      </c>
      <c r="D2635" s="2" t="str">
        <f aca="false">IF(3キー同時!$B$292="","",3キー同時!$B$292)</f>
        <v/>
      </c>
      <c r="E2635" s="2" t="str">
        <f aca="false">IF(3キー同時!$G$292="","",3キー同時!$G$292)</f>
        <v/>
      </c>
      <c r="F2635" s="2" t="str">
        <f aca="false">""</f>
        <v/>
      </c>
      <c r="G2635" s="2" t="str">
        <f aca="false">IF(OR(3キー同時!$B$292="",3キー同時!$G$292=""),"",IF(3キー同時!O300="","",SUBSTITUTE(SUBSTITUTE(3キー同時!O300," ",""),"　","")))</f>
        <v/>
      </c>
      <c r="H2635" s="2" t="str">
        <f aca="false">IF($G2635="","",3キー同時!$B$292)</f>
        <v/>
      </c>
      <c r="I2635" s="2" t="str">
        <f aca="false">IF($G2635="","",3キー同時!$G$292)</f>
        <v/>
      </c>
      <c r="J2635" s="2" t="str">
        <f aca="false">IF($G2635="","","x")</f>
        <v/>
      </c>
      <c r="K2635" s="2" t="str">
        <f aca="false">""</f>
        <v/>
      </c>
      <c r="L2635" s="2" t="str">
        <f aca="false">IF($G2635="","","同時")</f>
        <v/>
      </c>
      <c r="M2635" s="2" t="str">
        <f aca="false">IF($G2635="","",IF(ISNA(MATCH($G2635,個別指定!$A:$A,0)),"行なし",""))</f>
        <v/>
      </c>
      <c r="N2635" s="2" t="str">
        <f aca="false">IF($G2635="","",IF(COUNTIF($G$2:$G$4460,$G2635)&gt;1,"重複",""))</f>
        <v/>
      </c>
    </row>
    <row r="2636" customFormat="false" ht="16.5" hidden="false" customHeight="true" outlineLevel="0" collapsed="false">
      <c r="A2636" s="2" t="s">
        <v>416</v>
      </c>
      <c r="B2636" s="2" t="s">
        <v>439</v>
      </c>
      <c r="C2636" s="2" t="s">
        <v>37</v>
      </c>
      <c r="D2636" s="2" t="str">
        <f aca="false">IF(3キー同時!$B$292="","",3キー同時!$B$292)</f>
        <v/>
      </c>
      <c r="E2636" s="2" t="str">
        <f aca="false">IF(3キー同時!$G$292="","",3キー同時!$G$292)</f>
        <v/>
      </c>
      <c r="F2636" s="2" t="str">
        <f aca="false">""</f>
        <v/>
      </c>
      <c r="G2636" s="2" t="str">
        <f aca="false">IF(OR(3キー同時!$B$292="",3キー同時!$G$292=""),"",IF(3キー同時!S300="","",SUBSTITUTE(SUBSTITUTE(3キー同時!S300," ",""),"　","")))</f>
        <v/>
      </c>
      <c r="H2636" s="2" t="str">
        <f aca="false">IF($G2636="","",3キー同時!$B$292)</f>
        <v/>
      </c>
      <c r="I2636" s="2" t="str">
        <f aca="false">IF($G2636="","",3キー同時!$G$292)</f>
        <v/>
      </c>
      <c r="J2636" s="2" t="str">
        <f aca="false">IF($G2636="","","c")</f>
        <v/>
      </c>
      <c r="K2636" s="2" t="str">
        <f aca="false">""</f>
        <v/>
      </c>
      <c r="L2636" s="2" t="str">
        <f aca="false">IF($G2636="","","同時")</f>
        <v/>
      </c>
      <c r="M2636" s="2" t="str">
        <f aca="false">IF($G2636="","",IF(ISNA(MATCH($G2636,個別指定!$A:$A,0)),"行なし",""))</f>
        <v/>
      </c>
      <c r="N2636" s="2" t="str">
        <f aca="false">IF($G2636="","",IF(COUNTIF($G$2:$G$4460,$G2636)&gt;1,"重複",""))</f>
        <v/>
      </c>
    </row>
    <row r="2637" customFormat="false" ht="16.5" hidden="false" customHeight="true" outlineLevel="0" collapsed="false">
      <c r="A2637" s="2" t="s">
        <v>416</v>
      </c>
      <c r="B2637" s="2" t="s">
        <v>439</v>
      </c>
      <c r="C2637" s="2" t="s">
        <v>38</v>
      </c>
      <c r="D2637" s="2" t="str">
        <f aca="false">IF(3キー同時!$B$292="","",3キー同時!$B$292)</f>
        <v/>
      </c>
      <c r="E2637" s="2" t="str">
        <f aca="false">IF(3キー同時!$G$292="","",3キー同時!$G$292)</f>
        <v/>
      </c>
      <c r="F2637" s="2" t="str">
        <f aca="false">""</f>
        <v/>
      </c>
      <c r="G2637" s="2" t="str">
        <f aca="false">IF(OR(3キー同時!$B$292="",3キー同時!$G$292=""),"",IF(3キー同時!W300="","",SUBSTITUTE(SUBSTITUTE(3キー同時!W300," ",""),"　","")))</f>
        <v/>
      </c>
      <c r="H2637" s="2" t="str">
        <f aca="false">IF($G2637="","",3キー同時!$B$292)</f>
        <v/>
      </c>
      <c r="I2637" s="2" t="str">
        <f aca="false">IF($G2637="","",3キー同時!$G$292)</f>
        <v/>
      </c>
      <c r="J2637" s="2" t="str">
        <f aca="false">IF($G2637="","","v")</f>
        <v/>
      </c>
      <c r="K2637" s="2" t="str">
        <f aca="false">""</f>
        <v/>
      </c>
      <c r="L2637" s="2" t="str">
        <f aca="false">IF($G2637="","","同時")</f>
        <v/>
      </c>
      <c r="M2637" s="2" t="str">
        <f aca="false">IF($G2637="","",IF(ISNA(MATCH($G2637,個別指定!$A:$A,0)),"行なし",""))</f>
        <v/>
      </c>
      <c r="N2637" s="2" t="str">
        <f aca="false">IF($G2637="","",IF(COUNTIF($G$2:$G$4460,$G2637)&gt;1,"重複",""))</f>
        <v/>
      </c>
    </row>
    <row r="2638" customFormat="false" ht="16.5" hidden="false" customHeight="true" outlineLevel="0" collapsed="false">
      <c r="A2638" s="2" t="s">
        <v>416</v>
      </c>
      <c r="B2638" s="2" t="s">
        <v>439</v>
      </c>
      <c r="C2638" s="2" t="s">
        <v>39</v>
      </c>
      <c r="D2638" s="2" t="str">
        <f aca="false">IF(3キー同時!$B$292="","",3キー同時!$B$292)</f>
        <v/>
      </c>
      <c r="E2638" s="2" t="str">
        <f aca="false">IF(3キー同時!$G$292="","",3キー同時!$G$292)</f>
        <v/>
      </c>
      <c r="F2638" s="2" t="str">
        <f aca="false">""</f>
        <v/>
      </c>
      <c r="G2638" s="2" t="str">
        <f aca="false">IF(OR(3キー同時!$B$292="",3キー同時!$G$292=""),"",IF(3キー同時!AA300="","",SUBSTITUTE(SUBSTITUTE(3キー同時!AA300," ",""),"　","")))</f>
        <v/>
      </c>
      <c r="H2638" s="2" t="str">
        <f aca="false">IF($G2638="","",3キー同時!$B$292)</f>
        <v/>
      </c>
      <c r="I2638" s="2" t="str">
        <f aca="false">IF($G2638="","",3キー同時!$G$292)</f>
        <v/>
      </c>
      <c r="J2638" s="2" t="str">
        <f aca="false">IF($G2638="","","b")</f>
        <v/>
      </c>
      <c r="K2638" s="2" t="str">
        <f aca="false">""</f>
        <v/>
      </c>
      <c r="L2638" s="2" t="str">
        <f aca="false">IF($G2638="","","同時")</f>
        <v/>
      </c>
      <c r="M2638" s="2" t="str">
        <f aca="false">IF($G2638="","",IF(ISNA(MATCH($G2638,個別指定!$A:$A,0)),"行なし",""))</f>
        <v/>
      </c>
      <c r="N2638" s="2" t="str">
        <f aca="false">IF($G2638="","",IF(COUNTIF($G$2:$G$4460,$G2638)&gt;1,"重複",""))</f>
        <v/>
      </c>
    </row>
    <row r="2639" customFormat="false" ht="16.5" hidden="false" customHeight="true" outlineLevel="0" collapsed="false">
      <c r="A2639" s="2" t="s">
        <v>416</v>
      </c>
      <c r="B2639" s="2" t="s">
        <v>439</v>
      </c>
      <c r="C2639" s="2" t="s">
        <v>40</v>
      </c>
      <c r="D2639" s="2" t="str">
        <f aca="false">IF(3キー同時!$B$292="","",3キー同時!$B$292)</f>
        <v/>
      </c>
      <c r="E2639" s="2" t="str">
        <f aca="false">IF(3キー同時!$G$292="","",3キー同時!$G$292)</f>
        <v/>
      </c>
      <c r="F2639" s="2" t="str">
        <f aca="false">""</f>
        <v/>
      </c>
      <c r="G2639" s="2" t="str">
        <f aca="false">IF(OR(3キー同時!$B$292="",3キー同時!$G$292=""),"",IF(3キー同時!AE300="","",SUBSTITUTE(SUBSTITUTE(3キー同時!AE300," ",""),"　","")))</f>
        <v/>
      </c>
      <c r="H2639" s="2" t="str">
        <f aca="false">IF($G2639="","",3キー同時!$B$292)</f>
        <v/>
      </c>
      <c r="I2639" s="2" t="str">
        <f aca="false">IF($G2639="","",3キー同時!$G$292)</f>
        <v/>
      </c>
      <c r="J2639" s="2" t="str">
        <f aca="false">IF($G2639="","","n")</f>
        <v/>
      </c>
      <c r="K2639" s="2" t="str">
        <f aca="false">""</f>
        <v/>
      </c>
      <c r="L2639" s="2" t="str">
        <f aca="false">IF($G2639="","","同時")</f>
        <v/>
      </c>
      <c r="M2639" s="2" t="str">
        <f aca="false">IF($G2639="","",IF(ISNA(MATCH($G2639,個別指定!$A:$A,0)),"行なし",""))</f>
        <v/>
      </c>
      <c r="N2639" s="2" t="str">
        <f aca="false">IF($G2639="","",IF(COUNTIF($G$2:$G$4460,$G2639)&gt;1,"重複",""))</f>
        <v/>
      </c>
    </row>
    <row r="2640" customFormat="false" ht="16.5" hidden="false" customHeight="true" outlineLevel="0" collapsed="false">
      <c r="A2640" s="2" t="s">
        <v>416</v>
      </c>
      <c r="B2640" s="2" t="s">
        <v>439</v>
      </c>
      <c r="C2640" s="2" t="s">
        <v>41</v>
      </c>
      <c r="D2640" s="2" t="str">
        <f aca="false">IF(3キー同時!$B$292="","",3キー同時!$B$292)</f>
        <v/>
      </c>
      <c r="E2640" s="2" t="str">
        <f aca="false">IF(3キー同時!$G$292="","",3キー同時!$G$292)</f>
        <v/>
      </c>
      <c r="F2640" s="2" t="str">
        <f aca="false">""</f>
        <v/>
      </c>
      <c r="G2640" s="2" t="str">
        <f aca="false">IF(OR(3キー同時!$B$292="",3キー同時!$G$292=""),"",IF(3キー同時!AI300="","",SUBSTITUTE(SUBSTITUTE(3キー同時!AI300," ",""),"　","")))</f>
        <v/>
      </c>
      <c r="H2640" s="2" t="str">
        <f aca="false">IF($G2640="","",3キー同時!$B$292)</f>
        <v/>
      </c>
      <c r="I2640" s="2" t="str">
        <f aca="false">IF($G2640="","",3キー同時!$G$292)</f>
        <v/>
      </c>
      <c r="J2640" s="2" t="str">
        <f aca="false">IF($G2640="","","m")</f>
        <v/>
      </c>
      <c r="K2640" s="2" t="str">
        <f aca="false">""</f>
        <v/>
      </c>
      <c r="L2640" s="2" t="str">
        <f aca="false">IF($G2640="","","同時")</f>
        <v/>
      </c>
      <c r="M2640" s="2" t="str">
        <f aca="false">IF($G2640="","",IF(ISNA(MATCH($G2640,個別指定!$A:$A,0)),"行なし",""))</f>
        <v/>
      </c>
      <c r="N2640" s="2" t="str">
        <f aca="false">IF($G2640="","",IF(COUNTIF($G$2:$G$4460,$G2640)&gt;1,"重複",""))</f>
        <v/>
      </c>
    </row>
    <row r="2641" customFormat="false" ht="16.5" hidden="false" customHeight="true" outlineLevel="0" collapsed="false">
      <c r="A2641" s="2" t="s">
        <v>416</v>
      </c>
      <c r="B2641" s="2" t="s">
        <v>439</v>
      </c>
      <c r="C2641" s="2" t="s">
        <v>42</v>
      </c>
      <c r="D2641" s="2" t="str">
        <f aca="false">IF(3キー同時!$B$292="","",3キー同時!$B$292)</f>
        <v/>
      </c>
      <c r="E2641" s="2" t="str">
        <f aca="false">IF(3キー同時!$G$292="","",3キー同時!$G$292)</f>
        <v/>
      </c>
      <c r="F2641" s="2" t="str">
        <f aca="false">""</f>
        <v/>
      </c>
      <c r="G2641" s="2" t="str">
        <f aca="false">IF(OR(3キー同時!$B$292="",3キー同時!$G$292=""),"",IF(3キー同時!AM300="","",SUBSTITUTE(SUBSTITUTE(3キー同時!AM300," ",""),"　","")))</f>
        <v/>
      </c>
      <c r="H2641" s="2" t="str">
        <f aca="false">IF($G2641="","",3キー同時!$B$292)</f>
        <v/>
      </c>
      <c r="I2641" s="2" t="str">
        <f aca="false">IF($G2641="","",3キー同時!$G$292)</f>
        <v/>
      </c>
      <c r="J2641" s="2" t="str">
        <f aca="false">IF($G2641="","",",")</f>
        <v/>
      </c>
      <c r="K2641" s="2" t="str">
        <f aca="false">""</f>
        <v/>
      </c>
      <c r="L2641" s="2" t="str">
        <f aca="false">IF($G2641="","","同時")</f>
        <v/>
      </c>
      <c r="M2641" s="2" t="str">
        <f aca="false">IF($G2641="","",IF(ISNA(MATCH($G2641,個別指定!$A:$A,0)),"行なし",""))</f>
        <v/>
      </c>
      <c r="N2641" s="2" t="str">
        <f aca="false">IF($G2641="","",IF(COUNTIF($G$2:$G$4460,$G2641)&gt;1,"重複",""))</f>
        <v/>
      </c>
    </row>
    <row r="2642" customFormat="false" ht="16.5" hidden="false" customHeight="true" outlineLevel="0" collapsed="false">
      <c r="A2642" s="2" t="s">
        <v>416</v>
      </c>
      <c r="B2642" s="2" t="s">
        <v>439</v>
      </c>
      <c r="C2642" s="2" t="s">
        <v>43</v>
      </c>
      <c r="D2642" s="2" t="str">
        <f aca="false">IF(3キー同時!$B$292="","",3キー同時!$B$292)</f>
        <v/>
      </c>
      <c r="E2642" s="2" t="str">
        <f aca="false">IF(3キー同時!$G$292="","",3キー同時!$G$292)</f>
        <v/>
      </c>
      <c r="F2642" s="2" t="str">
        <f aca="false">""</f>
        <v/>
      </c>
      <c r="G2642" s="2" t="str">
        <f aca="false">IF(OR(3キー同時!$B$292="",3キー同時!$G$292=""),"",IF(3キー同時!AQ300="","",SUBSTITUTE(SUBSTITUTE(3キー同時!AQ300," ",""),"　","")))</f>
        <v/>
      </c>
      <c r="H2642" s="2" t="str">
        <f aca="false">IF($G2642="","",3キー同時!$B$292)</f>
        <v/>
      </c>
      <c r="I2642" s="2" t="str">
        <f aca="false">IF($G2642="","",3キー同時!$G$292)</f>
        <v/>
      </c>
      <c r="J2642" s="2" t="str">
        <f aca="false">IF($G2642="","",".")</f>
        <v/>
      </c>
      <c r="K2642" s="2" t="str">
        <f aca="false">""</f>
        <v/>
      </c>
      <c r="L2642" s="2" t="str">
        <f aca="false">IF($G2642="","","同時")</f>
        <v/>
      </c>
      <c r="M2642" s="2" t="str">
        <f aca="false">IF($G2642="","",IF(ISNA(MATCH($G2642,個別指定!$A:$A,0)),"行なし",""))</f>
        <v/>
      </c>
      <c r="N2642" s="2" t="str">
        <f aca="false">IF($G2642="","",IF(COUNTIF($G$2:$G$4460,$G2642)&gt;1,"重複",""))</f>
        <v/>
      </c>
    </row>
    <row r="2643" customFormat="false" ht="16.5" hidden="false" customHeight="true" outlineLevel="0" collapsed="false">
      <c r="A2643" s="2" t="s">
        <v>416</v>
      </c>
      <c r="B2643" s="2" t="s">
        <v>439</v>
      </c>
      <c r="C2643" s="2" t="s">
        <v>44</v>
      </c>
      <c r="D2643" s="2" t="str">
        <f aca="false">IF(3キー同時!$B$292="","",3キー同時!$B$292)</f>
        <v/>
      </c>
      <c r="E2643" s="2" t="str">
        <f aca="false">IF(3キー同時!$G$292="","",3キー同時!$G$292)</f>
        <v/>
      </c>
      <c r="F2643" s="2" t="str">
        <f aca="false">""</f>
        <v/>
      </c>
      <c r="G2643" s="2" t="str">
        <f aca="false">IF(OR(3キー同時!$B$292="",3キー同時!$G$292=""),"",IF(3キー同時!AU300="","",SUBSTITUTE(SUBSTITUTE(3キー同時!AU300," ",""),"　","")))</f>
        <v/>
      </c>
      <c r="H2643" s="2" t="str">
        <f aca="false">IF($G2643="","",3キー同時!$B$292)</f>
        <v/>
      </c>
      <c r="I2643" s="2" t="str">
        <f aca="false">IF($G2643="","",3キー同時!$G$292)</f>
        <v/>
      </c>
      <c r="J2643" s="2" t="str">
        <f aca="false">IF($G2643="","","/")</f>
        <v/>
      </c>
      <c r="K2643" s="2" t="str">
        <f aca="false">""</f>
        <v/>
      </c>
      <c r="L2643" s="2" t="str">
        <f aca="false">IF($G2643="","","同時")</f>
        <v/>
      </c>
      <c r="M2643" s="2" t="str">
        <f aca="false">IF($G2643="","",IF(ISNA(MATCH($G2643,個別指定!$A:$A,0)),"行なし",""))</f>
        <v/>
      </c>
      <c r="N2643" s="2" t="str">
        <f aca="false">IF($G2643="","",IF(COUNTIF($G$2:$G$4460,$G2643)&gt;1,"重複",""))</f>
        <v/>
      </c>
    </row>
    <row r="2644" customFormat="false" ht="16.5" hidden="false" customHeight="true" outlineLevel="0" collapsed="false">
      <c r="A2644" s="2" t="s">
        <v>416</v>
      </c>
      <c r="B2644" s="2" t="s">
        <v>439</v>
      </c>
      <c r="C2644" s="2" t="s">
        <v>48</v>
      </c>
      <c r="D2644" s="2" t="str">
        <f aca="false">IF(3キー同時!$B$292="","",3キー同時!$B$292)</f>
        <v/>
      </c>
      <c r="E2644" s="2" t="str">
        <f aca="false">IF(3キー同時!$G$292="","",3キー同時!$G$292)</f>
        <v/>
      </c>
      <c r="F2644" s="2" t="str">
        <f aca="false">""</f>
        <v/>
      </c>
      <c r="G2644" s="2" t="str">
        <f aca="false">IF(OR(3キー同時!$B$292="",3キー同時!$G$292=""),"",IF(3キー同時!P302="","",SUBSTITUTE(SUBSTITUTE(3キー同時!P302," ",""),"　","")))</f>
        <v/>
      </c>
      <c r="H2644" s="2" t="str">
        <f aca="false">IF($G2644="","",3キー同時!$B$292)</f>
        <v/>
      </c>
      <c r="I2644" s="2" t="str">
        <f aca="false">IF($G2644="","",3キー同時!$G$292)</f>
        <v/>
      </c>
      <c r="J2644" s="2" t="str">
        <f aca="false">IF($G2644="","","muhenkan")</f>
        <v/>
      </c>
      <c r="K2644" s="2" t="str">
        <f aca="false">""</f>
        <v/>
      </c>
      <c r="L2644" s="2" t="str">
        <f aca="false">IF($G2644="","","同時")</f>
        <v/>
      </c>
      <c r="M2644" s="2" t="str">
        <f aca="false">IF($G2644="","",IF(ISNA(MATCH($G2644,個別指定!$A:$A,0)),"行なし",""))</f>
        <v/>
      </c>
      <c r="N2644" s="2" t="str">
        <f aca="false">IF($G2644="","",IF(COUNTIF($G$2:$G$4460,$G2644)&gt;1,"重複",""))</f>
        <v/>
      </c>
    </row>
    <row r="2645" customFormat="false" ht="16.5" hidden="false" customHeight="true" outlineLevel="0" collapsed="false">
      <c r="A2645" s="2" t="s">
        <v>416</v>
      </c>
      <c r="B2645" s="2" t="s">
        <v>439</v>
      </c>
      <c r="C2645" s="2" t="s">
        <v>50</v>
      </c>
      <c r="D2645" s="2" t="str">
        <f aca="false">IF(3キー同時!$B$292="","",3キー同時!$B$292)</f>
        <v/>
      </c>
      <c r="E2645" s="2" t="str">
        <f aca="false">IF(3キー同時!$G$292="","",3キー同時!$G$292)</f>
        <v/>
      </c>
      <c r="F2645" s="2" t="str">
        <f aca="false">""</f>
        <v/>
      </c>
      <c r="G2645" s="2" t="str">
        <f aca="false">IF(OR(3キー同時!$B$292="",3キー同時!$G$292=""),"",IF(3キー同時!T302="","",SUBSTITUTE(SUBSTITUTE(3キー同時!T302," ",""),"　","")))</f>
        <v/>
      </c>
      <c r="H2645" s="2" t="str">
        <f aca="false">IF($G2645="","",3キー同時!$B$292)</f>
        <v/>
      </c>
      <c r="I2645" s="2" t="str">
        <f aca="false">IF($G2645="","",3キー同時!$G$292)</f>
        <v/>
      </c>
      <c r="J2645" s="2" t="str">
        <f aca="false">IF($G2645="","","space")</f>
        <v/>
      </c>
      <c r="K2645" s="2" t="str">
        <f aca="false">""</f>
        <v/>
      </c>
      <c r="L2645" s="2" t="str">
        <f aca="false">IF($G2645="","","同時")</f>
        <v/>
      </c>
      <c r="M2645" s="2" t="str">
        <f aca="false">IF($G2645="","",IF(ISNA(MATCH($G2645,個別指定!$A:$A,0)),"行なし",""))</f>
        <v/>
      </c>
      <c r="N2645" s="2" t="str">
        <f aca="false">IF($G2645="","",IF(COUNTIF($G$2:$G$4460,$G2645)&gt;1,"重複",""))</f>
        <v/>
      </c>
    </row>
    <row r="2646" customFormat="false" ht="16.5" hidden="false" customHeight="true" outlineLevel="0" collapsed="false">
      <c r="A2646" s="2" t="s">
        <v>416</v>
      </c>
      <c r="B2646" s="2" t="s">
        <v>439</v>
      </c>
      <c r="C2646" s="2" t="s">
        <v>45</v>
      </c>
      <c r="D2646" s="2" t="str">
        <f aca="false">IF(3キー同時!$B$292="","",3キー同時!$B$292)</f>
        <v/>
      </c>
      <c r="E2646" s="2" t="str">
        <f aca="false">IF(3キー同時!$G$292="","",3キー同時!$G$292)</f>
        <v/>
      </c>
      <c r="F2646" s="2" t="str">
        <f aca="false">""</f>
        <v/>
      </c>
      <c r="G2646" s="2" t="str">
        <f aca="false">IF(OR(3キー同時!$B$292="",3キー同時!$G$292=""),"",IF(3キー同時!AL302="","",SUBSTITUTE(SUBSTITUTE(3キー同時!AL302," ",""),"　","")))</f>
        <v/>
      </c>
      <c r="H2646" s="2" t="str">
        <f aca="false">IF($G2646="","",3キー同時!$B$292)</f>
        <v/>
      </c>
      <c r="I2646" s="2" t="str">
        <f aca="false">IF($G2646="","",3キー同時!$G$292)</f>
        <v/>
      </c>
      <c r="J2646" s="2" t="str">
        <f aca="false">IF($G2646="","","henkan")</f>
        <v/>
      </c>
      <c r="K2646" s="2" t="str">
        <f aca="false">""</f>
        <v/>
      </c>
      <c r="L2646" s="2" t="str">
        <f aca="false">IF($G2646="","","同時")</f>
        <v/>
      </c>
      <c r="M2646" s="2" t="str">
        <f aca="false">IF($G2646="","",IF(ISNA(MATCH($G2646,個別指定!$A:$A,0)),"行なし",""))</f>
        <v/>
      </c>
      <c r="N2646" s="2" t="str">
        <f aca="false">IF($G2646="","",IF(COUNTIF($G$2:$G$4460,$G2646)&gt;1,"重複",""))</f>
        <v/>
      </c>
    </row>
    <row r="2647" customFormat="false" ht="16.5" hidden="false" customHeight="true" outlineLevel="0" collapsed="false">
      <c r="A2647" s="2" t="s">
        <v>416</v>
      </c>
      <c r="B2647" s="2" t="s">
        <v>439</v>
      </c>
      <c r="C2647" s="2" t="s">
        <v>46</v>
      </c>
      <c r="D2647" s="2" t="str">
        <f aca="false">IF(3キー同時!$B$292="","",3キー同時!$B$292)</f>
        <v/>
      </c>
      <c r="E2647" s="2" t="str">
        <f aca="false">IF(3キー同時!$G$292="","",3キー同時!$G$292)</f>
        <v/>
      </c>
      <c r="F2647" s="2" t="str">
        <f aca="false">""</f>
        <v/>
      </c>
      <c r="G2647" s="2" t="str">
        <f aca="false">IF(OR(3キー同時!$B$292="",3キー同時!$G$292=""),"",IF(3キー同時!AP302="","",SUBSTITUTE(SUBSTITUTE(3キー同時!AP302," ",""),"　","")))</f>
        <v/>
      </c>
      <c r="H2647" s="2" t="str">
        <f aca="false">IF($G2647="","",3キー同時!$B$292)</f>
        <v/>
      </c>
      <c r="I2647" s="2" t="str">
        <f aca="false">IF($G2647="","",3キー同時!$G$292)</f>
        <v/>
      </c>
      <c r="J2647" s="2" t="str">
        <f aca="false">IF($G2647="","","kana")</f>
        <v/>
      </c>
      <c r="K2647" s="2" t="str">
        <f aca="false">""</f>
        <v/>
      </c>
      <c r="L2647" s="2" t="str">
        <f aca="false">IF($G2647="","","同時")</f>
        <v/>
      </c>
      <c r="M2647" s="2" t="str">
        <f aca="false">IF($G2647="","",IF(ISNA(MATCH($G2647,個別指定!$A:$A,0)),"行なし",""))</f>
        <v/>
      </c>
      <c r="N2647" s="2" t="str">
        <f aca="false">IF($G2647="","",IF(COUNTIF($G$2:$G$4460,$G2647)&gt;1,"重複",""))</f>
        <v/>
      </c>
    </row>
    <row r="2648" customFormat="false" ht="16.5" hidden="false" customHeight="true" outlineLevel="0" collapsed="false">
      <c r="A2648" s="2" t="s">
        <v>416</v>
      </c>
      <c r="B2648" s="2" t="s">
        <v>440</v>
      </c>
      <c r="C2648" s="2" t="s">
        <v>0</v>
      </c>
      <c r="D2648" s="2" t="str">
        <f aca="false">IF(3キー同時!$B$305="","",3キー同時!$B$305)</f>
        <v/>
      </c>
      <c r="E2648" s="2" t="str">
        <f aca="false">IF(3キー同時!$G$305="","",3キー同時!$G$305)</f>
        <v/>
      </c>
      <c r="F2648" s="2" t="str">
        <f aca="false">""</f>
        <v/>
      </c>
      <c r="G2648" s="2" t="str">
        <f aca="false">IF(OR(3キー同時!$B$305="",3キー同時!$G$305=""),"",IF(3キー同時!F307="","",SUBSTITUTE(SUBSTITUTE(3キー同時!F307," ",""),"　","")))</f>
        <v/>
      </c>
      <c r="H2648" s="2" t="str">
        <f aca="false">IF($G2648="","",3キー同時!$B$305)</f>
        <v/>
      </c>
      <c r="I2648" s="2" t="str">
        <f aca="false">IF($G2648="","",3キー同時!$G$305)</f>
        <v/>
      </c>
      <c r="J2648" s="2" t="str">
        <f aca="false">IF($G2648="","","1")</f>
        <v/>
      </c>
      <c r="K2648" s="2" t="str">
        <f aca="false">""</f>
        <v/>
      </c>
      <c r="L2648" s="2" t="str">
        <f aca="false">IF($G2648="","","同時")</f>
        <v/>
      </c>
      <c r="M2648" s="2" t="str">
        <f aca="false">IF($G2648="","",IF(ISNA(MATCH($G2648,個別指定!$A:$A,0)),"行なし",""))</f>
        <v/>
      </c>
      <c r="N2648" s="2" t="str">
        <f aca="false">IF($G2648="","",IF(COUNTIF($G$2:$G$4460,$G2648)&gt;1,"重複",""))</f>
        <v/>
      </c>
    </row>
    <row r="2649" customFormat="false" ht="16.5" hidden="false" customHeight="true" outlineLevel="0" collapsed="false">
      <c r="A2649" s="2" t="s">
        <v>416</v>
      </c>
      <c r="B2649" s="2" t="s">
        <v>440</v>
      </c>
      <c r="C2649" s="2" t="s">
        <v>1</v>
      </c>
      <c r="D2649" s="2" t="str">
        <f aca="false">IF(3キー同時!$B$305="","",3キー同時!$B$305)</f>
        <v/>
      </c>
      <c r="E2649" s="2" t="str">
        <f aca="false">IF(3キー同時!$G$305="","",3キー同時!$G$305)</f>
        <v/>
      </c>
      <c r="F2649" s="2" t="str">
        <f aca="false">""</f>
        <v/>
      </c>
      <c r="G2649" s="2" t="str">
        <f aca="false">IF(OR(3キー同時!$B$305="",3キー同時!$G$305=""),"",IF(3キー同時!J307="","",SUBSTITUTE(SUBSTITUTE(3キー同時!J307," ",""),"　","")))</f>
        <v/>
      </c>
      <c r="H2649" s="2" t="str">
        <f aca="false">IF($G2649="","",3キー同時!$B$305)</f>
        <v/>
      </c>
      <c r="I2649" s="2" t="str">
        <f aca="false">IF($G2649="","",3キー同時!$G$305)</f>
        <v/>
      </c>
      <c r="J2649" s="2" t="str">
        <f aca="false">IF($G2649="","","2")</f>
        <v/>
      </c>
      <c r="K2649" s="2" t="str">
        <f aca="false">""</f>
        <v/>
      </c>
      <c r="L2649" s="2" t="str">
        <f aca="false">IF($G2649="","","同時")</f>
        <v/>
      </c>
      <c r="M2649" s="2" t="str">
        <f aca="false">IF($G2649="","",IF(ISNA(MATCH($G2649,個別指定!$A:$A,0)),"行なし",""))</f>
        <v/>
      </c>
      <c r="N2649" s="2" t="str">
        <f aca="false">IF($G2649="","",IF(COUNTIF($G$2:$G$4460,$G2649)&gt;1,"重複",""))</f>
        <v/>
      </c>
    </row>
    <row r="2650" customFormat="false" ht="16.5" hidden="false" customHeight="true" outlineLevel="0" collapsed="false">
      <c r="A2650" s="2" t="s">
        <v>416</v>
      </c>
      <c r="B2650" s="2" t="s">
        <v>440</v>
      </c>
      <c r="C2650" s="2" t="s">
        <v>2</v>
      </c>
      <c r="D2650" s="2" t="str">
        <f aca="false">IF(3キー同時!$B$305="","",3キー同時!$B$305)</f>
        <v/>
      </c>
      <c r="E2650" s="2" t="str">
        <f aca="false">IF(3キー同時!$G$305="","",3キー同時!$G$305)</f>
        <v/>
      </c>
      <c r="F2650" s="2" t="str">
        <f aca="false">""</f>
        <v/>
      </c>
      <c r="G2650" s="2" t="str">
        <f aca="false">IF(OR(3キー同時!$B$305="",3キー同時!$G$305=""),"",IF(3キー同時!N307="","",SUBSTITUTE(SUBSTITUTE(3キー同時!N307," ",""),"　","")))</f>
        <v/>
      </c>
      <c r="H2650" s="2" t="str">
        <f aca="false">IF($G2650="","",3キー同時!$B$305)</f>
        <v/>
      </c>
      <c r="I2650" s="2" t="str">
        <f aca="false">IF($G2650="","",3キー同時!$G$305)</f>
        <v/>
      </c>
      <c r="J2650" s="2" t="str">
        <f aca="false">IF($G2650="","","3")</f>
        <v/>
      </c>
      <c r="K2650" s="2" t="str">
        <f aca="false">""</f>
        <v/>
      </c>
      <c r="L2650" s="2" t="str">
        <f aca="false">IF($G2650="","","同時")</f>
        <v/>
      </c>
      <c r="M2650" s="2" t="str">
        <f aca="false">IF($G2650="","",IF(ISNA(MATCH($G2650,個別指定!$A:$A,0)),"行なし",""))</f>
        <v/>
      </c>
      <c r="N2650" s="2" t="str">
        <f aca="false">IF($G2650="","",IF(COUNTIF($G$2:$G$4460,$G2650)&gt;1,"重複",""))</f>
        <v/>
      </c>
    </row>
    <row r="2651" customFormat="false" ht="16.5" hidden="false" customHeight="true" outlineLevel="0" collapsed="false">
      <c r="A2651" s="2" t="s">
        <v>416</v>
      </c>
      <c r="B2651" s="2" t="s">
        <v>440</v>
      </c>
      <c r="C2651" s="2" t="s">
        <v>3</v>
      </c>
      <c r="D2651" s="2" t="str">
        <f aca="false">IF(3キー同時!$B$305="","",3キー同時!$B$305)</f>
        <v/>
      </c>
      <c r="E2651" s="2" t="str">
        <f aca="false">IF(3キー同時!$G$305="","",3キー同時!$G$305)</f>
        <v/>
      </c>
      <c r="F2651" s="2" t="str">
        <f aca="false">""</f>
        <v/>
      </c>
      <c r="G2651" s="2" t="str">
        <f aca="false">IF(OR(3キー同時!$B$305="",3キー同時!$G$305=""),"",IF(3キー同時!R307="","",SUBSTITUTE(SUBSTITUTE(3キー同時!R307," ",""),"　","")))</f>
        <v/>
      </c>
      <c r="H2651" s="2" t="str">
        <f aca="false">IF($G2651="","",3キー同時!$B$305)</f>
        <v/>
      </c>
      <c r="I2651" s="2" t="str">
        <f aca="false">IF($G2651="","",3キー同時!$G$305)</f>
        <v/>
      </c>
      <c r="J2651" s="2" t="str">
        <f aca="false">IF($G2651="","","4")</f>
        <v/>
      </c>
      <c r="K2651" s="2" t="str">
        <f aca="false">""</f>
        <v/>
      </c>
      <c r="L2651" s="2" t="str">
        <f aca="false">IF($G2651="","","同時")</f>
        <v/>
      </c>
      <c r="M2651" s="2" t="str">
        <f aca="false">IF($G2651="","",IF(ISNA(MATCH($G2651,個別指定!$A:$A,0)),"行なし",""))</f>
        <v/>
      </c>
      <c r="N2651" s="2" t="str">
        <f aca="false">IF($G2651="","",IF(COUNTIF($G$2:$G$4460,$G2651)&gt;1,"重複",""))</f>
        <v/>
      </c>
    </row>
    <row r="2652" customFormat="false" ht="16.5" hidden="false" customHeight="true" outlineLevel="0" collapsed="false">
      <c r="A2652" s="2" t="s">
        <v>416</v>
      </c>
      <c r="B2652" s="2" t="s">
        <v>440</v>
      </c>
      <c r="C2652" s="2" t="s">
        <v>4</v>
      </c>
      <c r="D2652" s="2" t="str">
        <f aca="false">IF(3キー同時!$B$305="","",3キー同時!$B$305)</f>
        <v/>
      </c>
      <c r="E2652" s="2" t="str">
        <f aca="false">IF(3キー同時!$G$305="","",3キー同時!$G$305)</f>
        <v/>
      </c>
      <c r="F2652" s="2" t="str">
        <f aca="false">""</f>
        <v/>
      </c>
      <c r="G2652" s="2" t="str">
        <f aca="false">IF(OR(3キー同時!$B$305="",3キー同時!$G$305=""),"",IF(3キー同時!V307="","",SUBSTITUTE(SUBSTITUTE(3キー同時!V307," ",""),"　","")))</f>
        <v/>
      </c>
      <c r="H2652" s="2" t="str">
        <f aca="false">IF($G2652="","",3キー同時!$B$305)</f>
        <v/>
      </c>
      <c r="I2652" s="2" t="str">
        <f aca="false">IF($G2652="","",3キー同時!$G$305)</f>
        <v/>
      </c>
      <c r="J2652" s="2" t="str">
        <f aca="false">IF($G2652="","","5")</f>
        <v/>
      </c>
      <c r="K2652" s="2" t="str">
        <f aca="false">""</f>
        <v/>
      </c>
      <c r="L2652" s="2" t="str">
        <f aca="false">IF($G2652="","","同時")</f>
        <v/>
      </c>
      <c r="M2652" s="2" t="str">
        <f aca="false">IF($G2652="","",IF(ISNA(MATCH($G2652,個別指定!$A:$A,0)),"行なし",""))</f>
        <v/>
      </c>
      <c r="N2652" s="2" t="str">
        <f aca="false">IF($G2652="","",IF(COUNTIF($G$2:$G$4460,$G2652)&gt;1,"重複",""))</f>
        <v/>
      </c>
    </row>
    <row r="2653" customFormat="false" ht="16.5" hidden="false" customHeight="true" outlineLevel="0" collapsed="false">
      <c r="A2653" s="2" t="s">
        <v>416</v>
      </c>
      <c r="B2653" s="2" t="s">
        <v>440</v>
      </c>
      <c r="C2653" s="2" t="s">
        <v>5</v>
      </c>
      <c r="D2653" s="2" t="str">
        <f aca="false">IF(3キー同時!$B$305="","",3キー同時!$B$305)</f>
        <v/>
      </c>
      <c r="E2653" s="2" t="str">
        <f aca="false">IF(3キー同時!$G$305="","",3キー同時!$G$305)</f>
        <v/>
      </c>
      <c r="F2653" s="2" t="str">
        <f aca="false">""</f>
        <v/>
      </c>
      <c r="G2653" s="2" t="str">
        <f aca="false">IF(OR(3キー同時!$B$305="",3キー同時!$G$305=""),"",IF(3キー同時!Z307="","",SUBSTITUTE(SUBSTITUTE(3キー同時!Z307," ",""),"　","")))</f>
        <v/>
      </c>
      <c r="H2653" s="2" t="str">
        <f aca="false">IF($G2653="","",3キー同時!$B$305)</f>
        <v/>
      </c>
      <c r="I2653" s="2" t="str">
        <f aca="false">IF($G2653="","",3キー同時!$G$305)</f>
        <v/>
      </c>
      <c r="J2653" s="2" t="str">
        <f aca="false">IF($G2653="","","6")</f>
        <v/>
      </c>
      <c r="K2653" s="2" t="str">
        <f aca="false">""</f>
        <v/>
      </c>
      <c r="L2653" s="2" t="str">
        <f aca="false">IF($G2653="","","同時")</f>
        <v/>
      </c>
      <c r="M2653" s="2" t="str">
        <f aca="false">IF($G2653="","",IF(ISNA(MATCH($G2653,個別指定!$A:$A,0)),"行なし",""))</f>
        <v/>
      </c>
      <c r="N2653" s="2" t="str">
        <f aca="false">IF($G2653="","",IF(COUNTIF($G$2:$G$4460,$G2653)&gt;1,"重複",""))</f>
        <v/>
      </c>
    </row>
    <row r="2654" customFormat="false" ht="16.5" hidden="false" customHeight="true" outlineLevel="0" collapsed="false">
      <c r="A2654" s="2" t="s">
        <v>416</v>
      </c>
      <c r="B2654" s="2" t="s">
        <v>440</v>
      </c>
      <c r="C2654" s="2" t="s">
        <v>6</v>
      </c>
      <c r="D2654" s="2" t="str">
        <f aca="false">IF(3キー同時!$B$305="","",3キー同時!$B$305)</f>
        <v/>
      </c>
      <c r="E2654" s="2" t="str">
        <f aca="false">IF(3キー同時!$G$305="","",3キー同時!$G$305)</f>
        <v/>
      </c>
      <c r="F2654" s="2" t="str">
        <f aca="false">""</f>
        <v/>
      </c>
      <c r="G2654" s="2" t="str">
        <f aca="false">IF(OR(3キー同時!$B$305="",3キー同時!$G$305=""),"",IF(3キー同時!AD307="","",SUBSTITUTE(SUBSTITUTE(3キー同時!AD307," ",""),"　","")))</f>
        <v/>
      </c>
      <c r="H2654" s="2" t="str">
        <f aca="false">IF($G2654="","",3キー同時!$B$305)</f>
        <v/>
      </c>
      <c r="I2654" s="2" t="str">
        <f aca="false">IF($G2654="","",3キー同時!$G$305)</f>
        <v/>
      </c>
      <c r="J2654" s="2" t="str">
        <f aca="false">IF($G2654="","","7")</f>
        <v/>
      </c>
      <c r="K2654" s="2" t="str">
        <f aca="false">""</f>
        <v/>
      </c>
      <c r="L2654" s="2" t="str">
        <f aca="false">IF($G2654="","","同時")</f>
        <v/>
      </c>
      <c r="M2654" s="2" t="str">
        <f aca="false">IF($G2654="","",IF(ISNA(MATCH($G2654,個別指定!$A:$A,0)),"行なし",""))</f>
        <v/>
      </c>
      <c r="N2654" s="2" t="str">
        <f aca="false">IF($G2654="","",IF(COUNTIF($G$2:$G$4460,$G2654)&gt;1,"重複",""))</f>
        <v/>
      </c>
    </row>
    <row r="2655" customFormat="false" ht="16.5" hidden="false" customHeight="true" outlineLevel="0" collapsed="false">
      <c r="A2655" s="2" t="s">
        <v>416</v>
      </c>
      <c r="B2655" s="2" t="s">
        <v>440</v>
      </c>
      <c r="C2655" s="2" t="s">
        <v>7</v>
      </c>
      <c r="D2655" s="2" t="str">
        <f aca="false">IF(3キー同時!$B$305="","",3キー同時!$B$305)</f>
        <v/>
      </c>
      <c r="E2655" s="2" t="str">
        <f aca="false">IF(3キー同時!$G$305="","",3キー同時!$G$305)</f>
        <v/>
      </c>
      <c r="F2655" s="2" t="str">
        <f aca="false">""</f>
        <v/>
      </c>
      <c r="G2655" s="2" t="str">
        <f aca="false">IF(OR(3キー同時!$B$305="",3キー同時!$G$305=""),"",IF(3キー同時!AH307="","",SUBSTITUTE(SUBSTITUTE(3キー同時!AH307," ",""),"　","")))</f>
        <v/>
      </c>
      <c r="H2655" s="2" t="str">
        <f aca="false">IF($G2655="","",3キー同時!$B$305)</f>
        <v/>
      </c>
      <c r="I2655" s="2" t="str">
        <f aca="false">IF($G2655="","",3キー同時!$G$305)</f>
        <v/>
      </c>
      <c r="J2655" s="2" t="str">
        <f aca="false">IF($G2655="","","8")</f>
        <v/>
      </c>
      <c r="K2655" s="2" t="str">
        <f aca="false">""</f>
        <v/>
      </c>
      <c r="L2655" s="2" t="str">
        <f aca="false">IF($G2655="","","同時")</f>
        <v/>
      </c>
      <c r="M2655" s="2" t="str">
        <f aca="false">IF($G2655="","",IF(ISNA(MATCH($G2655,個別指定!$A:$A,0)),"行なし",""))</f>
        <v/>
      </c>
      <c r="N2655" s="2" t="str">
        <f aca="false">IF($G2655="","",IF(COUNTIF($G$2:$G$4460,$G2655)&gt;1,"重複",""))</f>
        <v/>
      </c>
    </row>
    <row r="2656" customFormat="false" ht="16.5" hidden="false" customHeight="true" outlineLevel="0" collapsed="false">
      <c r="A2656" s="2" t="s">
        <v>416</v>
      </c>
      <c r="B2656" s="2" t="s">
        <v>440</v>
      </c>
      <c r="C2656" s="2" t="s">
        <v>8</v>
      </c>
      <c r="D2656" s="2" t="str">
        <f aca="false">IF(3キー同時!$B$305="","",3キー同時!$B$305)</f>
        <v/>
      </c>
      <c r="E2656" s="2" t="str">
        <f aca="false">IF(3キー同時!$G$305="","",3キー同時!$G$305)</f>
        <v/>
      </c>
      <c r="F2656" s="2" t="str">
        <f aca="false">""</f>
        <v/>
      </c>
      <c r="G2656" s="2" t="str">
        <f aca="false">IF(OR(3キー同時!$B$305="",3キー同時!$G$305=""),"",IF(3キー同時!AL307="","",SUBSTITUTE(SUBSTITUTE(3キー同時!AL307," ",""),"　","")))</f>
        <v/>
      </c>
      <c r="H2656" s="2" t="str">
        <f aca="false">IF($G2656="","",3キー同時!$B$305)</f>
        <v/>
      </c>
      <c r="I2656" s="2" t="str">
        <f aca="false">IF($G2656="","",3キー同時!$G$305)</f>
        <v/>
      </c>
      <c r="J2656" s="2" t="str">
        <f aca="false">IF($G2656="","","9")</f>
        <v/>
      </c>
      <c r="K2656" s="2" t="str">
        <f aca="false">""</f>
        <v/>
      </c>
      <c r="L2656" s="2" t="str">
        <f aca="false">IF($G2656="","","同時")</f>
        <v/>
      </c>
      <c r="M2656" s="2" t="str">
        <f aca="false">IF($G2656="","",IF(ISNA(MATCH($G2656,個別指定!$A:$A,0)),"行なし",""))</f>
        <v/>
      </c>
      <c r="N2656" s="2" t="str">
        <f aca="false">IF($G2656="","",IF(COUNTIF($G$2:$G$4460,$G2656)&gt;1,"重複",""))</f>
        <v/>
      </c>
    </row>
    <row r="2657" customFormat="false" ht="16.5" hidden="false" customHeight="true" outlineLevel="0" collapsed="false">
      <c r="A2657" s="2" t="s">
        <v>416</v>
      </c>
      <c r="B2657" s="2" t="s">
        <v>440</v>
      </c>
      <c r="C2657" s="2" t="s">
        <v>9</v>
      </c>
      <c r="D2657" s="2" t="str">
        <f aca="false">IF(3キー同時!$B$305="","",3キー同時!$B$305)</f>
        <v/>
      </c>
      <c r="E2657" s="2" t="str">
        <f aca="false">IF(3キー同時!$G$305="","",3キー同時!$G$305)</f>
        <v/>
      </c>
      <c r="F2657" s="2" t="str">
        <f aca="false">""</f>
        <v/>
      </c>
      <c r="G2657" s="2" t="str">
        <f aca="false">IF(OR(3キー同時!$B$305="",3キー同時!$G$305=""),"",IF(3キー同時!AP307="","",SUBSTITUTE(SUBSTITUTE(3キー同時!AP307," ",""),"　","")))</f>
        <v/>
      </c>
      <c r="H2657" s="2" t="str">
        <f aca="false">IF($G2657="","",3キー同時!$B$305)</f>
        <v/>
      </c>
      <c r="I2657" s="2" t="str">
        <f aca="false">IF($G2657="","",3キー同時!$G$305)</f>
        <v/>
      </c>
      <c r="J2657" s="2" t="str">
        <f aca="false">IF($G2657="","","0")</f>
        <v/>
      </c>
      <c r="K2657" s="2" t="str">
        <f aca="false">""</f>
        <v/>
      </c>
      <c r="L2657" s="2" t="str">
        <f aca="false">IF($G2657="","","同時")</f>
        <v/>
      </c>
      <c r="M2657" s="2" t="str">
        <f aca="false">IF($G2657="","",IF(ISNA(MATCH($G2657,個別指定!$A:$A,0)),"行なし",""))</f>
        <v/>
      </c>
      <c r="N2657" s="2" t="str">
        <f aca="false">IF($G2657="","",IF(COUNTIF($G$2:$G$4460,$G2657)&gt;1,"重複",""))</f>
        <v/>
      </c>
    </row>
    <row r="2658" customFormat="false" ht="16.5" hidden="false" customHeight="true" outlineLevel="0" collapsed="false">
      <c r="A2658" s="2" t="s">
        <v>416</v>
      </c>
      <c r="B2658" s="2" t="s">
        <v>440</v>
      </c>
      <c r="C2658" s="2" t="s">
        <v>10</v>
      </c>
      <c r="D2658" s="2" t="str">
        <f aca="false">IF(3キー同時!$B$305="","",3キー同時!$B$305)</f>
        <v/>
      </c>
      <c r="E2658" s="2" t="str">
        <f aca="false">IF(3キー同時!$G$305="","",3キー同時!$G$305)</f>
        <v/>
      </c>
      <c r="F2658" s="2" t="str">
        <f aca="false">""</f>
        <v/>
      </c>
      <c r="G2658" s="2" t="str">
        <f aca="false">IF(OR(3キー同時!$B$305="",3キー同時!$G$305=""),"",IF(3キー同時!AT307="","",SUBSTITUTE(SUBSTITUTE(3キー同時!AT307," ",""),"　","")))</f>
        <v/>
      </c>
      <c r="H2658" s="2" t="str">
        <f aca="false">IF($G2658="","",3キー同時!$B$305)</f>
        <v/>
      </c>
      <c r="I2658" s="2" t="str">
        <f aca="false">IF($G2658="","",3キー同時!$G$305)</f>
        <v/>
      </c>
      <c r="J2658" s="2" t="str">
        <f aca="false">IF($G2658="","","-")</f>
        <v/>
      </c>
      <c r="K2658" s="2" t="str">
        <f aca="false">""</f>
        <v/>
      </c>
      <c r="L2658" s="2" t="str">
        <f aca="false">IF($G2658="","","同時")</f>
        <v/>
      </c>
      <c r="M2658" s="2" t="str">
        <f aca="false">IF($G2658="","",IF(ISNA(MATCH($G2658,個別指定!$A:$A,0)),"行なし",""))</f>
        <v/>
      </c>
      <c r="N2658" s="2" t="str">
        <f aca="false">IF($G2658="","",IF(COUNTIF($G$2:$G$4460,$G2658)&gt;1,"重複",""))</f>
        <v/>
      </c>
    </row>
    <row r="2659" customFormat="false" ht="16.5" hidden="false" customHeight="true" outlineLevel="0" collapsed="false">
      <c r="A2659" s="2" t="s">
        <v>416</v>
      </c>
      <c r="B2659" s="2" t="s">
        <v>440</v>
      </c>
      <c r="C2659" s="2" t="s">
        <v>11</v>
      </c>
      <c r="D2659" s="2" t="str">
        <f aca="false">IF(3キー同時!$B$305="","",3キー同時!$B$305)</f>
        <v/>
      </c>
      <c r="E2659" s="2" t="str">
        <f aca="false">IF(3キー同時!$G$305="","",3キー同時!$G$305)</f>
        <v/>
      </c>
      <c r="F2659" s="2" t="str">
        <f aca="false">""</f>
        <v/>
      </c>
      <c r="G2659" s="2" t="str">
        <f aca="false">IF(OR(3キー同時!$B$305="",3キー同時!$G$305=""),"",IF(3キー同時!AX307="","",SUBSTITUTE(SUBSTITUTE(3キー同時!AX307," ",""),"　","")))</f>
        <v/>
      </c>
      <c r="H2659" s="2" t="str">
        <f aca="false">IF($G2659="","",3キー同時!$B$305)</f>
        <v/>
      </c>
      <c r="I2659" s="2" t="str">
        <f aca="false">IF($G2659="","",3キー同時!$G$305)</f>
        <v/>
      </c>
      <c r="J2659" s="2" t="str">
        <f aca="false">IF($G2659="","","=")</f>
        <v/>
      </c>
      <c r="K2659" s="2" t="str">
        <f aca="false">""</f>
        <v/>
      </c>
      <c r="L2659" s="2" t="str">
        <f aca="false">IF($G2659="","","同時")</f>
        <v/>
      </c>
      <c r="M2659" s="2" t="str">
        <f aca="false">IF($G2659="","",IF(ISNA(MATCH($G2659,個別指定!$A:$A,0)),"行なし",""))</f>
        <v/>
      </c>
      <c r="N2659" s="2" t="str">
        <f aca="false">IF($G2659="","",IF(COUNTIF($G$2:$G$4460,$G2659)&gt;1,"重複",""))</f>
        <v/>
      </c>
    </row>
    <row r="2660" customFormat="false" ht="16.5" hidden="false" customHeight="true" outlineLevel="0" collapsed="false">
      <c r="A2660" s="2" t="s">
        <v>416</v>
      </c>
      <c r="B2660" s="2" t="s">
        <v>440</v>
      </c>
      <c r="C2660" s="2" t="s">
        <v>12</v>
      </c>
      <c r="D2660" s="2" t="str">
        <f aca="false">IF(3キー同時!$B$305="","",3キー同時!$B$305)</f>
        <v/>
      </c>
      <c r="E2660" s="2" t="str">
        <f aca="false">IF(3キー同時!$G$305="","",3キー同時!$G$305)</f>
        <v/>
      </c>
      <c r="F2660" s="2" t="str">
        <f aca="false">""</f>
        <v/>
      </c>
      <c r="G2660" s="2" t="str">
        <f aca="false">IF(OR(3キー同時!$B$305="",3キー同時!$G$305=""),"",IF(3キー同時!H309="","",SUBSTITUTE(SUBSTITUTE(3キー同時!H309," ",""),"　","")))</f>
        <v/>
      </c>
      <c r="H2660" s="2" t="str">
        <f aca="false">IF($G2660="","",3キー同時!$B$305)</f>
        <v/>
      </c>
      <c r="I2660" s="2" t="str">
        <f aca="false">IF($G2660="","",3キー同時!$G$305)</f>
        <v/>
      </c>
      <c r="J2660" s="2" t="str">
        <f aca="false">IF($G2660="","","q")</f>
        <v/>
      </c>
      <c r="K2660" s="2" t="str">
        <f aca="false">""</f>
        <v/>
      </c>
      <c r="L2660" s="2" t="str">
        <f aca="false">IF($G2660="","","同時")</f>
        <v/>
      </c>
      <c r="M2660" s="2" t="str">
        <f aca="false">IF($G2660="","",IF(ISNA(MATCH($G2660,個別指定!$A:$A,0)),"行なし",""))</f>
        <v/>
      </c>
      <c r="N2660" s="2" t="str">
        <f aca="false">IF($G2660="","",IF(COUNTIF($G$2:$G$4460,$G2660)&gt;1,"重複",""))</f>
        <v/>
      </c>
    </row>
    <row r="2661" customFormat="false" ht="16.5" hidden="false" customHeight="true" outlineLevel="0" collapsed="false">
      <c r="A2661" s="2" t="s">
        <v>416</v>
      </c>
      <c r="B2661" s="2" t="s">
        <v>440</v>
      </c>
      <c r="C2661" s="2" t="s">
        <v>13</v>
      </c>
      <c r="D2661" s="2" t="str">
        <f aca="false">IF(3キー同時!$B$305="","",3キー同時!$B$305)</f>
        <v/>
      </c>
      <c r="E2661" s="2" t="str">
        <f aca="false">IF(3キー同時!$G$305="","",3キー同時!$G$305)</f>
        <v/>
      </c>
      <c r="F2661" s="2" t="str">
        <f aca="false">""</f>
        <v/>
      </c>
      <c r="G2661" s="2" t="str">
        <f aca="false">IF(OR(3キー同時!$B$305="",3キー同時!$G$305=""),"",IF(3キー同時!L309="","",SUBSTITUTE(SUBSTITUTE(3キー同時!L309," ",""),"　","")))</f>
        <v/>
      </c>
      <c r="H2661" s="2" t="str">
        <f aca="false">IF($G2661="","",3キー同時!$B$305)</f>
        <v/>
      </c>
      <c r="I2661" s="2" t="str">
        <f aca="false">IF($G2661="","",3キー同時!$G$305)</f>
        <v/>
      </c>
      <c r="J2661" s="2" t="str">
        <f aca="false">IF($G2661="","","w")</f>
        <v/>
      </c>
      <c r="K2661" s="2" t="str">
        <f aca="false">""</f>
        <v/>
      </c>
      <c r="L2661" s="2" t="str">
        <f aca="false">IF($G2661="","","同時")</f>
        <v/>
      </c>
      <c r="M2661" s="2" t="str">
        <f aca="false">IF($G2661="","",IF(ISNA(MATCH($G2661,個別指定!$A:$A,0)),"行なし",""))</f>
        <v/>
      </c>
      <c r="N2661" s="2" t="str">
        <f aca="false">IF($G2661="","",IF(COUNTIF($G$2:$G$4460,$G2661)&gt;1,"重複",""))</f>
        <v/>
      </c>
    </row>
    <row r="2662" customFormat="false" ht="16.5" hidden="false" customHeight="true" outlineLevel="0" collapsed="false">
      <c r="A2662" s="2" t="s">
        <v>416</v>
      </c>
      <c r="B2662" s="2" t="s">
        <v>440</v>
      </c>
      <c r="C2662" s="2" t="s">
        <v>14</v>
      </c>
      <c r="D2662" s="2" t="str">
        <f aca="false">IF(3キー同時!$B$305="","",3キー同時!$B$305)</f>
        <v/>
      </c>
      <c r="E2662" s="2" t="str">
        <f aca="false">IF(3キー同時!$G$305="","",3キー同時!$G$305)</f>
        <v/>
      </c>
      <c r="F2662" s="2" t="str">
        <f aca="false">""</f>
        <v/>
      </c>
      <c r="G2662" s="2" t="str">
        <f aca="false">IF(OR(3キー同時!$B$305="",3キー同時!$G$305=""),"",IF(3キー同時!P309="","",SUBSTITUTE(SUBSTITUTE(3キー同時!P309," ",""),"　","")))</f>
        <v/>
      </c>
      <c r="H2662" s="2" t="str">
        <f aca="false">IF($G2662="","",3キー同時!$B$305)</f>
        <v/>
      </c>
      <c r="I2662" s="2" t="str">
        <f aca="false">IF($G2662="","",3キー同時!$G$305)</f>
        <v/>
      </c>
      <c r="J2662" s="2" t="str">
        <f aca="false">IF($G2662="","","e")</f>
        <v/>
      </c>
      <c r="K2662" s="2" t="str">
        <f aca="false">""</f>
        <v/>
      </c>
      <c r="L2662" s="2" t="str">
        <f aca="false">IF($G2662="","","同時")</f>
        <v/>
      </c>
      <c r="M2662" s="2" t="str">
        <f aca="false">IF($G2662="","",IF(ISNA(MATCH($G2662,個別指定!$A:$A,0)),"行なし",""))</f>
        <v/>
      </c>
      <c r="N2662" s="2" t="str">
        <f aca="false">IF($G2662="","",IF(COUNTIF($G$2:$G$4460,$G2662)&gt;1,"重複",""))</f>
        <v/>
      </c>
    </row>
    <row r="2663" customFormat="false" ht="16.5" hidden="false" customHeight="true" outlineLevel="0" collapsed="false">
      <c r="A2663" s="2" t="s">
        <v>416</v>
      </c>
      <c r="B2663" s="2" t="s">
        <v>440</v>
      </c>
      <c r="C2663" s="2" t="s">
        <v>15</v>
      </c>
      <c r="D2663" s="2" t="str">
        <f aca="false">IF(3キー同時!$B$305="","",3キー同時!$B$305)</f>
        <v/>
      </c>
      <c r="E2663" s="2" t="str">
        <f aca="false">IF(3キー同時!$G$305="","",3キー同時!$G$305)</f>
        <v/>
      </c>
      <c r="F2663" s="2" t="str">
        <f aca="false">""</f>
        <v/>
      </c>
      <c r="G2663" s="2" t="str">
        <f aca="false">IF(OR(3キー同時!$B$305="",3キー同時!$G$305=""),"",IF(3キー同時!T309="","",SUBSTITUTE(SUBSTITUTE(3キー同時!T309," ",""),"　","")))</f>
        <v/>
      </c>
      <c r="H2663" s="2" t="str">
        <f aca="false">IF($G2663="","",3キー同時!$B$305)</f>
        <v/>
      </c>
      <c r="I2663" s="2" t="str">
        <f aca="false">IF($G2663="","",3キー同時!$G$305)</f>
        <v/>
      </c>
      <c r="J2663" s="2" t="str">
        <f aca="false">IF($G2663="","","r")</f>
        <v/>
      </c>
      <c r="K2663" s="2" t="str">
        <f aca="false">""</f>
        <v/>
      </c>
      <c r="L2663" s="2" t="str">
        <f aca="false">IF($G2663="","","同時")</f>
        <v/>
      </c>
      <c r="M2663" s="2" t="str">
        <f aca="false">IF($G2663="","",IF(ISNA(MATCH($G2663,個別指定!$A:$A,0)),"行なし",""))</f>
        <v/>
      </c>
      <c r="N2663" s="2" t="str">
        <f aca="false">IF($G2663="","",IF(COUNTIF($G$2:$G$4460,$G2663)&gt;1,"重複",""))</f>
        <v/>
      </c>
    </row>
    <row r="2664" customFormat="false" ht="16.5" hidden="false" customHeight="true" outlineLevel="0" collapsed="false">
      <c r="A2664" s="2" t="s">
        <v>416</v>
      </c>
      <c r="B2664" s="2" t="s">
        <v>440</v>
      </c>
      <c r="C2664" s="2" t="s">
        <v>16</v>
      </c>
      <c r="D2664" s="2" t="str">
        <f aca="false">IF(3キー同時!$B$305="","",3キー同時!$B$305)</f>
        <v/>
      </c>
      <c r="E2664" s="2" t="str">
        <f aca="false">IF(3キー同時!$G$305="","",3キー同時!$G$305)</f>
        <v/>
      </c>
      <c r="F2664" s="2" t="str">
        <f aca="false">""</f>
        <v/>
      </c>
      <c r="G2664" s="2" t="str">
        <f aca="false">IF(OR(3キー同時!$B$305="",3キー同時!$G$305=""),"",IF(3キー同時!X309="","",SUBSTITUTE(SUBSTITUTE(3キー同時!X309," ",""),"　","")))</f>
        <v/>
      </c>
      <c r="H2664" s="2" t="str">
        <f aca="false">IF($G2664="","",3キー同時!$B$305)</f>
        <v/>
      </c>
      <c r="I2664" s="2" t="str">
        <f aca="false">IF($G2664="","",3キー同時!$G$305)</f>
        <v/>
      </c>
      <c r="J2664" s="2" t="str">
        <f aca="false">IF($G2664="","","t")</f>
        <v/>
      </c>
      <c r="K2664" s="2" t="str">
        <f aca="false">""</f>
        <v/>
      </c>
      <c r="L2664" s="2" t="str">
        <f aca="false">IF($G2664="","","同時")</f>
        <v/>
      </c>
      <c r="M2664" s="2" t="str">
        <f aca="false">IF($G2664="","",IF(ISNA(MATCH($G2664,個別指定!$A:$A,0)),"行なし",""))</f>
        <v/>
      </c>
      <c r="N2664" s="2" t="str">
        <f aca="false">IF($G2664="","",IF(COUNTIF($G$2:$G$4460,$G2664)&gt;1,"重複",""))</f>
        <v/>
      </c>
    </row>
    <row r="2665" customFormat="false" ht="16.5" hidden="false" customHeight="true" outlineLevel="0" collapsed="false">
      <c r="A2665" s="2" t="s">
        <v>416</v>
      </c>
      <c r="B2665" s="2" t="s">
        <v>440</v>
      </c>
      <c r="C2665" s="2" t="s">
        <v>17</v>
      </c>
      <c r="D2665" s="2" t="str">
        <f aca="false">IF(3キー同時!$B$305="","",3キー同時!$B$305)</f>
        <v/>
      </c>
      <c r="E2665" s="2" t="str">
        <f aca="false">IF(3キー同時!$G$305="","",3キー同時!$G$305)</f>
        <v/>
      </c>
      <c r="F2665" s="2" t="str">
        <f aca="false">""</f>
        <v/>
      </c>
      <c r="G2665" s="2" t="str">
        <f aca="false">IF(OR(3キー同時!$B$305="",3キー同時!$G$305=""),"",IF(3キー同時!AB309="","",SUBSTITUTE(SUBSTITUTE(3キー同時!AB309," ",""),"　","")))</f>
        <v/>
      </c>
      <c r="H2665" s="2" t="str">
        <f aca="false">IF($G2665="","",3キー同時!$B$305)</f>
        <v/>
      </c>
      <c r="I2665" s="2" t="str">
        <f aca="false">IF($G2665="","",3キー同時!$G$305)</f>
        <v/>
      </c>
      <c r="J2665" s="2" t="str">
        <f aca="false">IF($G2665="","","y")</f>
        <v/>
      </c>
      <c r="K2665" s="2" t="str">
        <f aca="false">""</f>
        <v/>
      </c>
      <c r="L2665" s="2" t="str">
        <f aca="false">IF($G2665="","","同時")</f>
        <v/>
      </c>
      <c r="M2665" s="2" t="str">
        <f aca="false">IF($G2665="","",IF(ISNA(MATCH($G2665,個別指定!$A:$A,0)),"行なし",""))</f>
        <v/>
      </c>
      <c r="N2665" s="2" t="str">
        <f aca="false">IF($G2665="","",IF(COUNTIF($G$2:$G$4460,$G2665)&gt;1,"重複",""))</f>
        <v/>
      </c>
    </row>
    <row r="2666" customFormat="false" ht="16.5" hidden="false" customHeight="true" outlineLevel="0" collapsed="false">
      <c r="A2666" s="2" t="s">
        <v>416</v>
      </c>
      <c r="B2666" s="2" t="s">
        <v>440</v>
      </c>
      <c r="C2666" s="2" t="s">
        <v>18</v>
      </c>
      <c r="D2666" s="2" t="str">
        <f aca="false">IF(3キー同時!$B$305="","",3キー同時!$B$305)</f>
        <v/>
      </c>
      <c r="E2666" s="2" t="str">
        <f aca="false">IF(3キー同時!$G$305="","",3キー同時!$G$305)</f>
        <v/>
      </c>
      <c r="F2666" s="2" t="str">
        <f aca="false">""</f>
        <v/>
      </c>
      <c r="G2666" s="2" t="str">
        <f aca="false">IF(OR(3キー同時!$B$305="",3キー同時!$G$305=""),"",IF(3キー同時!AF309="","",SUBSTITUTE(SUBSTITUTE(3キー同時!AF309," ",""),"　","")))</f>
        <v/>
      </c>
      <c r="H2666" s="2" t="str">
        <f aca="false">IF($G2666="","",3キー同時!$B$305)</f>
        <v/>
      </c>
      <c r="I2666" s="2" t="str">
        <f aca="false">IF($G2666="","",3キー同時!$G$305)</f>
        <v/>
      </c>
      <c r="J2666" s="2" t="str">
        <f aca="false">IF($G2666="","","u")</f>
        <v/>
      </c>
      <c r="K2666" s="2" t="str">
        <f aca="false">""</f>
        <v/>
      </c>
      <c r="L2666" s="2" t="str">
        <f aca="false">IF($G2666="","","同時")</f>
        <v/>
      </c>
      <c r="M2666" s="2" t="str">
        <f aca="false">IF($G2666="","",IF(ISNA(MATCH($G2666,個別指定!$A:$A,0)),"行なし",""))</f>
        <v/>
      </c>
      <c r="N2666" s="2" t="str">
        <f aca="false">IF($G2666="","",IF(COUNTIF($G$2:$G$4460,$G2666)&gt;1,"重複",""))</f>
        <v/>
      </c>
    </row>
    <row r="2667" customFormat="false" ht="16.5" hidden="false" customHeight="true" outlineLevel="0" collapsed="false">
      <c r="A2667" s="2" t="s">
        <v>416</v>
      </c>
      <c r="B2667" s="2" t="s">
        <v>440</v>
      </c>
      <c r="C2667" s="2" t="s">
        <v>19</v>
      </c>
      <c r="D2667" s="2" t="str">
        <f aca="false">IF(3キー同時!$B$305="","",3キー同時!$B$305)</f>
        <v/>
      </c>
      <c r="E2667" s="2" t="str">
        <f aca="false">IF(3キー同時!$G$305="","",3キー同時!$G$305)</f>
        <v/>
      </c>
      <c r="F2667" s="2" t="str">
        <f aca="false">""</f>
        <v/>
      </c>
      <c r="G2667" s="2" t="str">
        <f aca="false">IF(OR(3キー同時!$B$305="",3キー同時!$G$305=""),"",IF(3キー同時!AJ309="","",SUBSTITUTE(SUBSTITUTE(3キー同時!AJ309," ",""),"　","")))</f>
        <v/>
      </c>
      <c r="H2667" s="2" t="str">
        <f aca="false">IF($G2667="","",3キー同時!$B$305)</f>
        <v/>
      </c>
      <c r="I2667" s="2" t="str">
        <f aca="false">IF($G2667="","",3キー同時!$G$305)</f>
        <v/>
      </c>
      <c r="J2667" s="2" t="str">
        <f aca="false">IF($G2667="","","i")</f>
        <v/>
      </c>
      <c r="K2667" s="2" t="str">
        <f aca="false">""</f>
        <v/>
      </c>
      <c r="L2667" s="2" t="str">
        <f aca="false">IF($G2667="","","同時")</f>
        <v/>
      </c>
      <c r="M2667" s="2" t="str">
        <f aca="false">IF($G2667="","",IF(ISNA(MATCH($G2667,個別指定!$A:$A,0)),"行なし",""))</f>
        <v/>
      </c>
      <c r="N2667" s="2" t="str">
        <f aca="false">IF($G2667="","",IF(COUNTIF($G$2:$G$4460,$G2667)&gt;1,"重複",""))</f>
        <v/>
      </c>
    </row>
    <row r="2668" customFormat="false" ht="16.5" hidden="false" customHeight="true" outlineLevel="0" collapsed="false">
      <c r="A2668" s="2" t="s">
        <v>416</v>
      </c>
      <c r="B2668" s="2" t="s">
        <v>440</v>
      </c>
      <c r="C2668" s="2" t="s">
        <v>20</v>
      </c>
      <c r="D2668" s="2" t="str">
        <f aca="false">IF(3キー同時!$B$305="","",3キー同時!$B$305)</f>
        <v/>
      </c>
      <c r="E2668" s="2" t="str">
        <f aca="false">IF(3キー同時!$G$305="","",3キー同時!$G$305)</f>
        <v/>
      </c>
      <c r="F2668" s="2" t="str">
        <f aca="false">""</f>
        <v/>
      </c>
      <c r="G2668" s="2" t="str">
        <f aca="false">IF(OR(3キー同時!$B$305="",3キー同時!$G$305=""),"",IF(3キー同時!AN309="","",SUBSTITUTE(SUBSTITUTE(3キー同時!AN309," ",""),"　","")))</f>
        <v/>
      </c>
      <c r="H2668" s="2" t="str">
        <f aca="false">IF($G2668="","",3キー同時!$B$305)</f>
        <v/>
      </c>
      <c r="I2668" s="2" t="str">
        <f aca="false">IF($G2668="","",3キー同時!$G$305)</f>
        <v/>
      </c>
      <c r="J2668" s="2" t="str">
        <f aca="false">IF($G2668="","","o")</f>
        <v/>
      </c>
      <c r="K2668" s="2" t="str">
        <f aca="false">""</f>
        <v/>
      </c>
      <c r="L2668" s="2" t="str">
        <f aca="false">IF($G2668="","","同時")</f>
        <v/>
      </c>
      <c r="M2668" s="2" t="str">
        <f aca="false">IF($G2668="","",IF(ISNA(MATCH($G2668,個別指定!$A:$A,0)),"行なし",""))</f>
        <v/>
      </c>
      <c r="N2668" s="2" t="str">
        <f aca="false">IF($G2668="","",IF(COUNTIF($G$2:$G$4460,$G2668)&gt;1,"重複",""))</f>
        <v/>
      </c>
    </row>
    <row r="2669" customFormat="false" ht="16.5" hidden="false" customHeight="true" outlineLevel="0" collapsed="false">
      <c r="A2669" s="2" t="s">
        <v>416</v>
      </c>
      <c r="B2669" s="2" t="s">
        <v>440</v>
      </c>
      <c r="C2669" s="2" t="s">
        <v>21</v>
      </c>
      <c r="D2669" s="2" t="str">
        <f aca="false">IF(3キー同時!$B$305="","",3キー同時!$B$305)</f>
        <v/>
      </c>
      <c r="E2669" s="2" t="str">
        <f aca="false">IF(3キー同時!$G$305="","",3キー同時!$G$305)</f>
        <v/>
      </c>
      <c r="F2669" s="2" t="str">
        <f aca="false">""</f>
        <v/>
      </c>
      <c r="G2669" s="2" t="str">
        <f aca="false">IF(OR(3キー同時!$B$305="",3キー同時!$G$305=""),"",IF(3キー同時!AR309="","",SUBSTITUTE(SUBSTITUTE(3キー同時!AR309," ",""),"　","")))</f>
        <v/>
      </c>
      <c r="H2669" s="2" t="str">
        <f aca="false">IF($G2669="","",3キー同時!$B$305)</f>
        <v/>
      </c>
      <c r="I2669" s="2" t="str">
        <f aca="false">IF($G2669="","",3キー同時!$G$305)</f>
        <v/>
      </c>
      <c r="J2669" s="2" t="str">
        <f aca="false">IF($G2669="","","p")</f>
        <v/>
      </c>
      <c r="K2669" s="2" t="str">
        <f aca="false">""</f>
        <v/>
      </c>
      <c r="L2669" s="2" t="str">
        <f aca="false">IF($G2669="","","同時")</f>
        <v/>
      </c>
      <c r="M2669" s="2" t="str">
        <f aca="false">IF($G2669="","",IF(ISNA(MATCH($G2669,個別指定!$A:$A,0)),"行なし",""))</f>
        <v/>
      </c>
      <c r="N2669" s="2" t="str">
        <f aca="false">IF($G2669="","",IF(COUNTIF($G$2:$G$4460,$G2669)&gt;1,"重複",""))</f>
        <v/>
      </c>
    </row>
    <row r="2670" customFormat="false" ht="16.5" hidden="false" customHeight="true" outlineLevel="0" collapsed="false">
      <c r="A2670" s="2" t="s">
        <v>416</v>
      </c>
      <c r="B2670" s="2" t="s">
        <v>440</v>
      </c>
      <c r="C2670" s="2" t="s">
        <v>22</v>
      </c>
      <c r="D2670" s="2" t="str">
        <f aca="false">IF(3キー同時!$B$305="","",3キー同時!$B$305)</f>
        <v/>
      </c>
      <c r="E2670" s="2" t="str">
        <f aca="false">IF(3キー同時!$G$305="","",3キー同時!$G$305)</f>
        <v/>
      </c>
      <c r="F2670" s="2" t="str">
        <f aca="false">""</f>
        <v/>
      </c>
      <c r="G2670" s="2" t="str">
        <f aca="false">IF(OR(3キー同時!$B$305="",3キー同時!$G$305=""),"",IF(3キー同時!AV309="","",SUBSTITUTE(SUBSTITUTE(3キー同時!AV309," ",""),"　","")))</f>
        <v/>
      </c>
      <c r="H2670" s="2" t="str">
        <f aca="false">IF($G2670="","",3キー同時!$B$305)</f>
        <v/>
      </c>
      <c r="I2670" s="2" t="str">
        <f aca="false">IF($G2670="","",3キー同時!$G$305)</f>
        <v/>
      </c>
      <c r="J2670" s="2" t="str">
        <f aca="false">IF($G2670="","","[")</f>
        <v/>
      </c>
      <c r="K2670" s="2" t="str">
        <f aca="false">""</f>
        <v/>
      </c>
      <c r="L2670" s="2" t="str">
        <f aca="false">IF($G2670="","","同時")</f>
        <v/>
      </c>
      <c r="M2670" s="2" t="str">
        <f aca="false">IF($G2670="","",IF(ISNA(MATCH($G2670,個別指定!$A:$A,0)),"行なし",""))</f>
        <v/>
      </c>
      <c r="N2670" s="2" t="str">
        <f aca="false">IF($G2670="","",IF(COUNTIF($G$2:$G$4460,$G2670)&gt;1,"重複",""))</f>
        <v/>
      </c>
    </row>
    <row r="2671" customFormat="false" ht="16.5" hidden="false" customHeight="true" outlineLevel="0" collapsed="false">
      <c r="A2671" s="2" t="s">
        <v>416</v>
      </c>
      <c r="B2671" s="2" t="s">
        <v>440</v>
      </c>
      <c r="C2671" s="2" t="s">
        <v>23</v>
      </c>
      <c r="D2671" s="2" t="str">
        <f aca="false">IF(3キー同時!$B$305="","",3キー同時!$B$305)</f>
        <v/>
      </c>
      <c r="E2671" s="2" t="str">
        <f aca="false">IF(3キー同時!$G$305="","",3キー同時!$G$305)</f>
        <v/>
      </c>
      <c r="F2671" s="2" t="str">
        <f aca="false">""</f>
        <v/>
      </c>
      <c r="G2671" s="2" t="str">
        <f aca="false">IF(OR(3キー同時!$B$305="",3キー同時!$G$305=""),"",IF(3キー同時!AZ309="","",SUBSTITUTE(SUBSTITUTE(3キー同時!AZ309," ",""),"　","")))</f>
        <v/>
      </c>
      <c r="H2671" s="2" t="str">
        <f aca="false">IF($G2671="","",3キー同時!$B$305)</f>
        <v/>
      </c>
      <c r="I2671" s="2" t="str">
        <f aca="false">IF($G2671="","",3キー同時!$G$305)</f>
        <v/>
      </c>
      <c r="J2671" s="2" t="str">
        <f aca="false">IF($G2671="","","]")</f>
        <v/>
      </c>
      <c r="K2671" s="2" t="str">
        <f aca="false">""</f>
        <v/>
      </c>
      <c r="L2671" s="2" t="str">
        <f aca="false">IF($G2671="","","同時")</f>
        <v/>
      </c>
      <c r="M2671" s="2" t="str">
        <f aca="false">IF($G2671="","",IF(ISNA(MATCH($G2671,個別指定!$A:$A,0)),"行なし",""))</f>
        <v/>
      </c>
      <c r="N2671" s="2" t="str">
        <f aca="false">IF($G2671="","",IF(COUNTIF($G$2:$G$4460,$G2671)&gt;1,"重複",""))</f>
        <v/>
      </c>
    </row>
    <row r="2672" customFormat="false" ht="16.5" hidden="false" customHeight="true" outlineLevel="0" collapsed="false">
      <c r="A2672" s="2" t="s">
        <v>416</v>
      </c>
      <c r="B2672" s="2" t="s">
        <v>440</v>
      </c>
      <c r="C2672" s="2" t="s">
        <v>24</v>
      </c>
      <c r="D2672" s="2" t="str">
        <f aca="false">IF(3キー同時!$B$305="","",3キー同時!$B$305)</f>
        <v/>
      </c>
      <c r="E2672" s="2" t="str">
        <f aca="false">IF(3キー同時!$G$305="","",3キー同時!$G$305)</f>
        <v/>
      </c>
      <c r="F2672" s="2" t="str">
        <f aca="false">""</f>
        <v/>
      </c>
      <c r="G2672" s="2" t="str">
        <f aca="false">IF(OR(3キー同時!$B$305="",3キー同時!$G$305=""),"",IF(3キー同時!I311="","",SUBSTITUTE(SUBSTITUTE(3キー同時!I311," ",""),"　","")))</f>
        <v/>
      </c>
      <c r="H2672" s="2" t="str">
        <f aca="false">IF($G2672="","",3キー同時!$B$305)</f>
        <v/>
      </c>
      <c r="I2672" s="2" t="str">
        <f aca="false">IF($G2672="","",3キー同時!$G$305)</f>
        <v/>
      </c>
      <c r="J2672" s="2" t="str">
        <f aca="false">IF($G2672="","","a")</f>
        <v/>
      </c>
      <c r="K2672" s="2" t="str">
        <f aca="false">""</f>
        <v/>
      </c>
      <c r="L2672" s="2" t="str">
        <f aca="false">IF($G2672="","","同時")</f>
        <v/>
      </c>
      <c r="M2672" s="2" t="str">
        <f aca="false">IF($G2672="","",IF(ISNA(MATCH($G2672,個別指定!$A:$A,0)),"行なし",""))</f>
        <v/>
      </c>
      <c r="N2672" s="2" t="str">
        <f aca="false">IF($G2672="","",IF(COUNTIF($G$2:$G$4460,$G2672)&gt;1,"重複",""))</f>
        <v/>
      </c>
    </row>
    <row r="2673" customFormat="false" ht="16.5" hidden="false" customHeight="true" outlineLevel="0" collapsed="false">
      <c r="A2673" s="2" t="s">
        <v>416</v>
      </c>
      <c r="B2673" s="2" t="s">
        <v>440</v>
      </c>
      <c r="C2673" s="2" t="s">
        <v>25</v>
      </c>
      <c r="D2673" s="2" t="str">
        <f aca="false">IF(3キー同時!$B$305="","",3キー同時!$B$305)</f>
        <v/>
      </c>
      <c r="E2673" s="2" t="str">
        <f aca="false">IF(3キー同時!$G$305="","",3キー同時!$G$305)</f>
        <v/>
      </c>
      <c r="F2673" s="2" t="str">
        <f aca="false">""</f>
        <v/>
      </c>
      <c r="G2673" s="2" t="str">
        <f aca="false">IF(OR(3キー同時!$B$305="",3キー同時!$G$305=""),"",IF(3キー同時!M311="","",SUBSTITUTE(SUBSTITUTE(3キー同時!M311," ",""),"　","")))</f>
        <v/>
      </c>
      <c r="H2673" s="2" t="str">
        <f aca="false">IF($G2673="","",3キー同時!$B$305)</f>
        <v/>
      </c>
      <c r="I2673" s="2" t="str">
        <f aca="false">IF($G2673="","",3キー同時!$G$305)</f>
        <v/>
      </c>
      <c r="J2673" s="2" t="str">
        <f aca="false">IF($G2673="","","s")</f>
        <v/>
      </c>
      <c r="K2673" s="2" t="str">
        <f aca="false">""</f>
        <v/>
      </c>
      <c r="L2673" s="2" t="str">
        <f aca="false">IF($G2673="","","同時")</f>
        <v/>
      </c>
      <c r="M2673" s="2" t="str">
        <f aca="false">IF($G2673="","",IF(ISNA(MATCH($G2673,個別指定!$A:$A,0)),"行なし",""))</f>
        <v/>
      </c>
      <c r="N2673" s="2" t="str">
        <f aca="false">IF($G2673="","",IF(COUNTIF($G$2:$G$4460,$G2673)&gt;1,"重複",""))</f>
        <v/>
      </c>
    </row>
    <row r="2674" customFormat="false" ht="16.5" hidden="false" customHeight="true" outlineLevel="0" collapsed="false">
      <c r="A2674" s="2" t="s">
        <v>416</v>
      </c>
      <c r="B2674" s="2" t="s">
        <v>440</v>
      </c>
      <c r="C2674" s="2" t="s">
        <v>26</v>
      </c>
      <c r="D2674" s="2" t="str">
        <f aca="false">IF(3キー同時!$B$305="","",3キー同時!$B$305)</f>
        <v/>
      </c>
      <c r="E2674" s="2" t="str">
        <f aca="false">IF(3キー同時!$G$305="","",3キー同時!$G$305)</f>
        <v/>
      </c>
      <c r="F2674" s="2" t="str">
        <f aca="false">""</f>
        <v/>
      </c>
      <c r="G2674" s="2" t="str">
        <f aca="false">IF(OR(3キー同時!$B$305="",3キー同時!$G$305=""),"",IF(3キー同時!Q311="","",SUBSTITUTE(SUBSTITUTE(3キー同時!Q311," ",""),"　","")))</f>
        <v/>
      </c>
      <c r="H2674" s="2" t="str">
        <f aca="false">IF($G2674="","",3キー同時!$B$305)</f>
        <v/>
      </c>
      <c r="I2674" s="2" t="str">
        <f aca="false">IF($G2674="","",3キー同時!$G$305)</f>
        <v/>
      </c>
      <c r="J2674" s="2" t="str">
        <f aca="false">IF($G2674="","","d")</f>
        <v/>
      </c>
      <c r="K2674" s="2" t="str">
        <f aca="false">""</f>
        <v/>
      </c>
      <c r="L2674" s="2" t="str">
        <f aca="false">IF($G2674="","","同時")</f>
        <v/>
      </c>
      <c r="M2674" s="2" t="str">
        <f aca="false">IF($G2674="","",IF(ISNA(MATCH($G2674,個別指定!$A:$A,0)),"行なし",""))</f>
        <v/>
      </c>
      <c r="N2674" s="2" t="str">
        <f aca="false">IF($G2674="","",IF(COUNTIF($G$2:$G$4460,$G2674)&gt;1,"重複",""))</f>
        <v/>
      </c>
    </row>
    <row r="2675" customFormat="false" ht="16.5" hidden="false" customHeight="true" outlineLevel="0" collapsed="false">
      <c r="A2675" s="2" t="s">
        <v>416</v>
      </c>
      <c r="B2675" s="2" t="s">
        <v>440</v>
      </c>
      <c r="C2675" s="2" t="s">
        <v>27</v>
      </c>
      <c r="D2675" s="2" t="str">
        <f aca="false">IF(3キー同時!$B$305="","",3キー同時!$B$305)</f>
        <v/>
      </c>
      <c r="E2675" s="2" t="str">
        <f aca="false">IF(3キー同時!$G$305="","",3キー同時!$G$305)</f>
        <v/>
      </c>
      <c r="F2675" s="2" t="str">
        <f aca="false">""</f>
        <v/>
      </c>
      <c r="G2675" s="2" t="str">
        <f aca="false">IF(OR(3キー同時!$B$305="",3キー同時!$G$305=""),"",IF(3キー同時!U311="","",SUBSTITUTE(SUBSTITUTE(3キー同時!U311," ",""),"　","")))</f>
        <v/>
      </c>
      <c r="H2675" s="2" t="str">
        <f aca="false">IF($G2675="","",3キー同時!$B$305)</f>
        <v/>
      </c>
      <c r="I2675" s="2" t="str">
        <f aca="false">IF($G2675="","",3キー同時!$G$305)</f>
        <v/>
      </c>
      <c r="J2675" s="2" t="str">
        <f aca="false">IF($G2675="","","f")</f>
        <v/>
      </c>
      <c r="K2675" s="2" t="str">
        <f aca="false">""</f>
        <v/>
      </c>
      <c r="L2675" s="2" t="str">
        <f aca="false">IF($G2675="","","同時")</f>
        <v/>
      </c>
      <c r="M2675" s="2" t="str">
        <f aca="false">IF($G2675="","",IF(ISNA(MATCH($G2675,個別指定!$A:$A,0)),"行なし",""))</f>
        <v/>
      </c>
      <c r="N2675" s="2" t="str">
        <f aca="false">IF($G2675="","",IF(COUNTIF($G$2:$G$4460,$G2675)&gt;1,"重複",""))</f>
        <v/>
      </c>
    </row>
    <row r="2676" customFormat="false" ht="16.5" hidden="false" customHeight="true" outlineLevel="0" collapsed="false">
      <c r="A2676" s="2" t="s">
        <v>416</v>
      </c>
      <c r="B2676" s="2" t="s">
        <v>440</v>
      </c>
      <c r="C2676" s="2" t="s">
        <v>28</v>
      </c>
      <c r="D2676" s="2" t="str">
        <f aca="false">IF(3キー同時!$B$305="","",3キー同時!$B$305)</f>
        <v/>
      </c>
      <c r="E2676" s="2" t="str">
        <f aca="false">IF(3キー同時!$G$305="","",3キー同時!$G$305)</f>
        <v/>
      </c>
      <c r="F2676" s="2" t="str">
        <f aca="false">""</f>
        <v/>
      </c>
      <c r="G2676" s="2" t="str">
        <f aca="false">IF(OR(3キー同時!$B$305="",3キー同時!$G$305=""),"",IF(3キー同時!Y311="","",SUBSTITUTE(SUBSTITUTE(3キー同時!Y311," ",""),"　","")))</f>
        <v/>
      </c>
      <c r="H2676" s="2" t="str">
        <f aca="false">IF($G2676="","",3キー同時!$B$305)</f>
        <v/>
      </c>
      <c r="I2676" s="2" t="str">
        <f aca="false">IF($G2676="","",3キー同時!$G$305)</f>
        <v/>
      </c>
      <c r="J2676" s="2" t="str">
        <f aca="false">IF($G2676="","","g")</f>
        <v/>
      </c>
      <c r="K2676" s="2" t="str">
        <f aca="false">""</f>
        <v/>
      </c>
      <c r="L2676" s="2" t="str">
        <f aca="false">IF($G2676="","","同時")</f>
        <v/>
      </c>
      <c r="M2676" s="2" t="str">
        <f aca="false">IF($G2676="","",IF(ISNA(MATCH($G2676,個別指定!$A:$A,0)),"行なし",""))</f>
        <v/>
      </c>
      <c r="N2676" s="2" t="str">
        <f aca="false">IF($G2676="","",IF(COUNTIF($G$2:$G$4460,$G2676)&gt;1,"重複",""))</f>
        <v/>
      </c>
    </row>
    <row r="2677" customFormat="false" ht="16.5" hidden="false" customHeight="true" outlineLevel="0" collapsed="false">
      <c r="A2677" s="2" t="s">
        <v>416</v>
      </c>
      <c r="B2677" s="2" t="s">
        <v>440</v>
      </c>
      <c r="C2677" s="2" t="s">
        <v>29</v>
      </c>
      <c r="D2677" s="2" t="str">
        <f aca="false">IF(3キー同時!$B$305="","",3キー同時!$B$305)</f>
        <v/>
      </c>
      <c r="E2677" s="2" t="str">
        <f aca="false">IF(3キー同時!$G$305="","",3キー同時!$G$305)</f>
        <v/>
      </c>
      <c r="F2677" s="2" t="str">
        <f aca="false">""</f>
        <v/>
      </c>
      <c r="G2677" s="2" t="str">
        <f aca="false">IF(OR(3キー同時!$B$305="",3キー同時!$G$305=""),"",IF(3キー同時!AC311="","",SUBSTITUTE(SUBSTITUTE(3キー同時!AC311," ",""),"　","")))</f>
        <v/>
      </c>
      <c r="H2677" s="2" t="str">
        <f aca="false">IF($G2677="","",3キー同時!$B$305)</f>
        <v/>
      </c>
      <c r="I2677" s="2" t="str">
        <f aca="false">IF($G2677="","",3キー同時!$G$305)</f>
        <v/>
      </c>
      <c r="J2677" s="2" t="str">
        <f aca="false">IF($G2677="","","h")</f>
        <v/>
      </c>
      <c r="K2677" s="2" t="str">
        <f aca="false">""</f>
        <v/>
      </c>
      <c r="L2677" s="2" t="str">
        <f aca="false">IF($G2677="","","同時")</f>
        <v/>
      </c>
      <c r="M2677" s="2" t="str">
        <f aca="false">IF($G2677="","",IF(ISNA(MATCH($G2677,個別指定!$A:$A,0)),"行なし",""))</f>
        <v/>
      </c>
      <c r="N2677" s="2" t="str">
        <f aca="false">IF($G2677="","",IF(COUNTIF($G$2:$G$4460,$G2677)&gt;1,"重複",""))</f>
        <v/>
      </c>
    </row>
    <row r="2678" customFormat="false" ht="16.5" hidden="false" customHeight="true" outlineLevel="0" collapsed="false">
      <c r="A2678" s="2" t="s">
        <v>416</v>
      </c>
      <c r="B2678" s="2" t="s">
        <v>440</v>
      </c>
      <c r="C2678" s="2" t="s">
        <v>30</v>
      </c>
      <c r="D2678" s="2" t="str">
        <f aca="false">IF(3キー同時!$B$305="","",3キー同時!$B$305)</f>
        <v/>
      </c>
      <c r="E2678" s="2" t="str">
        <f aca="false">IF(3キー同時!$G$305="","",3キー同時!$G$305)</f>
        <v/>
      </c>
      <c r="F2678" s="2" t="str">
        <f aca="false">""</f>
        <v/>
      </c>
      <c r="G2678" s="2" t="str">
        <f aca="false">IF(OR(3キー同時!$B$305="",3キー同時!$G$305=""),"",IF(3キー同時!AG311="","",SUBSTITUTE(SUBSTITUTE(3キー同時!AG311," ",""),"　","")))</f>
        <v/>
      </c>
      <c r="H2678" s="2" t="str">
        <f aca="false">IF($G2678="","",3キー同時!$B$305)</f>
        <v/>
      </c>
      <c r="I2678" s="2" t="str">
        <f aca="false">IF($G2678="","",3キー同時!$G$305)</f>
        <v/>
      </c>
      <c r="J2678" s="2" t="str">
        <f aca="false">IF($G2678="","","j")</f>
        <v/>
      </c>
      <c r="K2678" s="2" t="str">
        <f aca="false">""</f>
        <v/>
      </c>
      <c r="L2678" s="2" t="str">
        <f aca="false">IF($G2678="","","同時")</f>
        <v/>
      </c>
      <c r="M2678" s="2" t="str">
        <f aca="false">IF($G2678="","",IF(ISNA(MATCH($G2678,個別指定!$A:$A,0)),"行なし",""))</f>
        <v/>
      </c>
      <c r="N2678" s="2" t="str">
        <f aca="false">IF($G2678="","",IF(COUNTIF($G$2:$G$4460,$G2678)&gt;1,"重複",""))</f>
        <v/>
      </c>
    </row>
    <row r="2679" customFormat="false" ht="16.5" hidden="false" customHeight="true" outlineLevel="0" collapsed="false">
      <c r="A2679" s="2" t="s">
        <v>416</v>
      </c>
      <c r="B2679" s="2" t="s">
        <v>440</v>
      </c>
      <c r="C2679" s="2" t="s">
        <v>31</v>
      </c>
      <c r="D2679" s="2" t="str">
        <f aca="false">IF(3キー同時!$B$305="","",3キー同時!$B$305)</f>
        <v/>
      </c>
      <c r="E2679" s="2" t="str">
        <f aca="false">IF(3キー同時!$G$305="","",3キー同時!$G$305)</f>
        <v/>
      </c>
      <c r="F2679" s="2" t="str">
        <f aca="false">""</f>
        <v/>
      </c>
      <c r="G2679" s="2" t="str">
        <f aca="false">IF(OR(3キー同時!$B$305="",3キー同時!$G$305=""),"",IF(3キー同時!AK311="","",SUBSTITUTE(SUBSTITUTE(3キー同時!AK311," ",""),"　","")))</f>
        <v/>
      </c>
      <c r="H2679" s="2" t="str">
        <f aca="false">IF($G2679="","",3キー同時!$B$305)</f>
        <v/>
      </c>
      <c r="I2679" s="2" t="str">
        <f aca="false">IF($G2679="","",3キー同時!$G$305)</f>
        <v/>
      </c>
      <c r="J2679" s="2" t="str">
        <f aca="false">IF($G2679="","","k")</f>
        <v/>
      </c>
      <c r="K2679" s="2" t="str">
        <f aca="false">""</f>
        <v/>
      </c>
      <c r="L2679" s="2" t="str">
        <f aca="false">IF($G2679="","","同時")</f>
        <v/>
      </c>
      <c r="M2679" s="2" t="str">
        <f aca="false">IF($G2679="","",IF(ISNA(MATCH($G2679,個別指定!$A:$A,0)),"行なし",""))</f>
        <v/>
      </c>
      <c r="N2679" s="2" t="str">
        <f aca="false">IF($G2679="","",IF(COUNTIF($G$2:$G$4460,$G2679)&gt;1,"重複",""))</f>
        <v/>
      </c>
    </row>
    <row r="2680" customFormat="false" ht="16.5" hidden="false" customHeight="true" outlineLevel="0" collapsed="false">
      <c r="A2680" s="2" t="s">
        <v>416</v>
      </c>
      <c r="B2680" s="2" t="s">
        <v>440</v>
      </c>
      <c r="C2680" s="2" t="s">
        <v>32</v>
      </c>
      <c r="D2680" s="2" t="str">
        <f aca="false">IF(3キー同時!$B$305="","",3キー同時!$B$305)</f>
        <v/>
      </c>
      <c r="E2680" s="2" t="str">
        <f aca="false">IF(3キー同時!$G$305="","",3キー同時!$G$305)</f>
        <v/>
      </c>
      <c r="F2680" s="2" t="str">
        <f aca="false">""</f>
        <v/>
      </c>
      <c r="G2680" s="2" t="str">
        <f aca="false">IF(OR(3キー同時!$B$305="",3キー同時!$G$305=""),"",IF(3キー同時!AO311="","",SUBSTITUTE(SUBSTITUTE(3キー同時!AO311," ",""),"　","")))</f>
        <v/>
      </c>
      <c r="H2680" s="2" t="str">
        <f aca="false">IF($G2680="","",3キー同時!$B$305)</f>
        <v/>
      </c>
      <c r="I2680" s="2" t="str">
        <f aca="false">IF($G2680="","",3キー同時!$G$305)</f>
        <v/>
      </c>
      <c r="J2680" s="2" t="str">
        <f aca="false">IF($G2680="","","l")</f>
        <v/>
      </c>
      <c r="K2680" s="2" t="str">
        <f aca="false">""</f>
        <v/>
      </c>
      <c r="L2680" s="2" t="str">
        <f aca="false">IF($G2680="","","同時")</f>
        <v/>
      </c>
      <c r="M2680" s="2" t="str">
        <f aca="false">IF($G2680="","",IF(ISNA(MATCH($G2680,個別指定!$A:$A,0)),"行なし",""))</f>
        <v/>
      </c>
      <c r="N2680" s="2" t="str">
        <f aca="false">IF($G2680="","",IF(COUNTIF($G$2:$G$4460,$G2680)&gt;1,"重複",""))</f>
        <v/>
      </c>
    </row>
    <row r="2681" customFormat="false" ht="16.5" hidden="false" customHeight="true" outlineLevel="0" collapsed="false">
      <c r="A2681" s="2" t="s">
        <v>416</v>
      </c>
      <c r="B2681" s="2" t="s">
        <v>440</v>
      </c>
      <c r="C2681" s="2" t="s">
        <v>33</v>
      </c>
      <c r="D2681" s="2" t="str">
        <f aca="false">IF(3キー同時!$B$305="","",3キー同時!$B$305)</f>
        <v/>
      </c>
      <c r="E2681" s="2" t="str">
        <f aca="false">IF(3キー同時!$G$305="","",3キー同時!$G$305)</f>
        <v/>
      </c>
      <c r="F2681" s="2" t="str">
        <f aca="false">""</f>
        <v/>
      </c>
      <c r="G2681" s="2" t="str">
        <f aca="false">IF(OR(3キー同時!$B$305="",3キー同時!$G$305=""),"",IF(3キー同時!AS311="","",SUBSTITUTE(SUBSTITUTE(3キー同時!AS311," ",""),"　","")))</f>
        <v/>
      </c>
      <c r="H2681" s="2" t="str">
        <f aca="false">IF($G2681="","",3キー同時!$B$305)</f>
        <v/>
      </c>
      <c r="I2681" s="2" t="str">
        <f aca="false">IF($G2681="","",3キー同時!$G$305)</f>
        <v/>
      </c>
      <c r="J2681" s="2" t="str">
        <f aca="false">IF($G2681="","",";")</f>
        <v/>
      </c>
      <c r="K2681" s="2" t="str">
        <f aca="false">""</f>
        <v/>
      </c>
      <c r="L2681" s="2" t="str">
        <f aca="false">IF($G2681="","","同時")</f>
        <v/>
      </c>
      <c r="M2681" s="2" t="str">
        <f aca="false">IF($G2681="","",IF(ISNA(MATCH($G2681,個別指定!$A:$A,0)),"行なし",""))</f>
        <v/>
      </c>
      <c r="N2681" s="2" t="str">
        <f aca="false">IF($G2681="","",IF(COUNTIF($G$2:$G$4460,$G2681)&gt;1,"重複",""))</f>
        <v/>
      </c>
    </row>
    <row r="2682" customFormat="false" ht="16.5" hidden="false" customHeight="true" outlineLevel="0" collapsed="false">
      <c r="A2682" s="2" t="s">
        <v>416</v>
      </c>
      <c r="B2682" s="2" t="s">
        <v>440</v>
      </c>
      <c r="C2682" s="2" t="s">
        <v>34</v>
      </c>
      <c r="D2682" s="2" t="str">
        <f aca="false">IF(3キー同時!$B$305="","",3キー同時!$B$305)</f>
        <v/>
      </c>
      <c r="E2682" s="2" t="str">
        <f aca="false">IF(3キー同時!$G$305="","",3キー同時!$G$305)</f>
        <v/>
      </c>
      <c r="F2682" s="2" t="str">
        <f aca="false">""</f>
        <v/>
      </c>
      <c r="G2682" s="2" t="str">
        <f aca="false">IF(OR(3キー同時!$B$305="",3キー同時!$G$305=""),"",IF(3キー同時!AW311="","",SUBSTITUTE(SUBSTITUTE(3キー同時!AW311," ",""),"　","")))</f>
        <v/>
      </c>
      <c r="H2682" s="2" t="str">
        <f aca="false">IF($G2682="","",3キー同時!$B$305)</f>
        <v/>
      </c>
      <c r="I2682" s="2" t="str">
        <f aca="false">IF($G2682="","",3キー同時!$G$305)</f>
        <v/>
      </c>
      <c r="J2682" s="2" t="str">
        <f aca="false">IF($G2682="","","'")</f>
        <v/>
      </c>
      <c r="K2682" s="2" t="str">
        <f aca="false">""</f>
        <v/>
      </c>
      <c r="L2682" s="2" t="str">
        <f aca="false">IF($G2682="","","同時")</f>
        <v/>
      </c>
      <c r="M2682" s="2" t="str">
        <f aca="false">IF($G2682="","",IF(ISNA(MATCH($G2682,個別指定!$A:$A,0)),"行なし",""))</f>
        <v/>
      </c>
      <c r="N2682" s="2" t="str">
        <f aca="false">IF($G2682="","",IF(COUNTIF($G$2:$G$4460,$G2682)&gt;1,"重複",""))</f>
        <v/>
      </c>
    </row>
    <row r="2683" customFormat="false" ht="16.5" hidden="false" customHeight="true" outlineLevel="0" collapsed="false">
      <c r="A2683" s="2" t="s">
        <v>416</v>
      </c>
      <c r="B2683" s="2" t="s">
        <v>440</v>
      </c>
      <c r="C2683" s="2" t="s">
        <v>35</v>
      </c>
      <c r="D2683" s="2" t="str">
        <f aca="false">IF(3キー同時!$B$305="","",3キー同時!$B$305)</f>
        <v/>
      </c>
      <c r="E2683" s="2" t="str">
        <f aca="false">IF(3キー同時!$G$305="","",3キー同時!$G$305)</f>
        <v/>
      </c>
      <c r="F2683" s="2" t="str">
        <f aca="false">""</f>
        <v/>
      </c>
      <c r="G2683" s="2" t="str">
        <f aca="false">IF(OR(3キー同時!$B$305="",3キー同時!$G$305=""),"",IF(3キー同時!K313="","",SUBSTITUTE(SUBSTITUTE(3キー同時!K313," ",""),"　","")))</f>
        <v/>
      </c>
      <c r="H2683" s="2" t="str">
        <f aca="false">IF($G2683="","",3キー同時!$B$305)</f>
        <v/>
      </c>
      <c r="I2683" s="2" t="str">
        <f aca="false">IF($G2683="","",3キー同時!$G$305)</f>
        <v/>
      </c>
      <c r="J2683" s="2" t="str">
        <f aca="false">IF($G2683="","","z")</f>
        <v/>
      </c>
      <c r="K2683" s="2" t="str">
        <f aca="false">""</f>
        <v/>
      </c>
      <c r="L2683" s="2" t="str">
        <f aca="false">IF($G2683="","","同時")</f>
        <v/>
      </c>
      <c r="M2683" s="2" t="str">
        <f aca="false">IF($G2683="","",IF(ISNA(MATCH($G2683,個別指定!$A:$A,0)),"行なし",""))</f>
        <v/>
      </c>
      <c r="N2683" s="2" t="str">
        <f aca="false">IF($G2683="","",IF(COUNTIF($G$2:$G$4460,$G2683)&gt;1,"重複",""))</f>
        <v/>
      </c>
    </row>
    <row r="2684" customFormat="false" ht="16.5" hidden="false" customHeight="true" outlineLevel="0" collapsed="false">
      <c r="A2684" s="2" t="s">
        <v>416</v>
      </c>
      <c r="B2684" s="2" t="s">
        <v>440</v>
      </c>
      <c r="C2684" s="2" t="s">
        <v>36</v>
      </c>
      <c r="D2684" s="2" t="str">
        <f aca="false">IF(3キー同時!$B$305="","",3キー同時!$B$305)</f>
        <v/>
      </c>
      <c r="E2684" s="2" t="str">
        <f aca="false">IF(3キー同時!$G$305="","",3キー同時!$G$305)</f>
        <v/>
      </c>
      <c r="F2684" s="2" t="str">
        <f aca="false">""</f>
        <v/>
      </c>
      <c r="G2684" s="2" t="str">
        <f aca="false">IF(OR(3キー同時!$B$305="",3キー同時!$G$305=""),"",IF(3キー同時!O313="","",SUBSTITUTE(SUBSTITUTE(3キー同時!O313," ",""),"　","")))</f>
        <v/>
      </c>
      <c r="H2684" s="2" t="str">
        <f aca="false">IF($G2684="","",3キー同時!$B$305)</f>
        <v/>
      </c>
      <c r="I2684" s="2" t="str">
        <f aca="false">IF($G2684="","",3キー同時!$G$305)</f>
        <v/>
      </c>
      <c r="J2684" s="2" t="str">
        <f aca="false">IF($G2684="","","x")</f>
        <v/>
      </c>
      <c r="K2684" s="2" t="str">
        <f aca="false">""</f>
        <v/>
      </c>
      <c r="L2684" s="2" t="str">
        <f aca="false">IF($G2684="","","同時")</f>
        <v/>
      </c>
      <c r="M2684" s="2" t="str">
        <f aca="false">IF($G2684="","",IF(ISNA(MATCH($G2684,個別指定!$A:$A,0)),"行なし",""))</f>
        <v/>
      </c>
      <c r="N2684" s="2" t="str">
        <f aca="false">IF($G2684="","",IF(COUNTIF($G$2:$G$4460,$G2684)&gt;1,"重複",""))</f>
        <v/>
      </c>
    </row>
    <row r="2685" customFormat="false" ht="16.5" hidden="false" customHeight="true" outlineLevel="0" collapsed="false">
      <c r="A2685" s="2" t="s">
        <v>416</v>
      </c>
      <c r="B2685" s="2" t="s">
        <v>440</v>
      </c>
      <c r="C2685" s="2" t="s">
        <v>37</v>
      </c>
      <c r="D2685" s="2" t="str">
        <f aca="false">IF(3キー同時!$B$305="","",3キー同時!$B$305)</f>
        <v/>
      </c>
      <c r="E2685" s="2" t="str">
        <f aca="false">IF(3キー同時!$G$305="","",3キー同時!$G$305)</f>
        <v/>
      </c>
      <c r="F2685" s="2" t="str">
        <f aca="false">""</f>
        <v/>
      </c>
      <c r="G2685" s="2" t="str">
        <f aca="false">IF(OR(3キー同時!$B$305="",3キー同時!$G$305=""),"",IF(3キー同時!S313="","",SUBSTITUTE(SUBSTITUTE(3キー同時!S313," ",""),"　","")))</f>
        <v/>
      </c>
      <c r="H2685" s="2" t="str">
        <f aca="false">IF($G2685="","",3キー同時!$B$305)</f>
        <v/>
      </c>
      <c r="I2685" s="2" t="str">
        <f aca="false">IF($G2685="","",3キー同時!$G$305)</f>
        <v/>
      </c>
      <c r="J2685" s="2" t="str">
        <f aca="false">IF($G2685="","","c")</f>
        <v/>
      </c>
      <c r="K2685" s="2" t="str">
        <f aca="false">""</f>
        <v/>
      </c>
      <c r="L2685" s="2" t="str">
        <f aca="false">IF($G2685="","","同時")</f>
        <v/>
      </c>
      <c r="M2685" s="2" t="str">
        <f aca="false">IF($G2685="","",IF(ISNA(MATCH($G2685,個別指定!$A:$A,0)),"行なし",""))</f>
        <v/>
      </c>
      <c r="N2685" s="2" t="str">
        <f aca="false">IF($G2685="","",IF(COUNTIF($G$2:$G$4460,$G2685)&gt;1,"重複",""))</f>
        <v/>
      </c>
    </row>
    <row r="2686" customFormat="false" ht="16.5" hidden="false" customHeight="true" outlineLevel="0" collapsed="false">
      <c r="A2686" s="2" t="s">
        <v>416</v>
      </c>
      <c r="B2686" s="2" t="s">
        <v>440</v>
      </c>
      <c r="C2686" s="2" t="s">
        <v>38</v>
      </c>
      <c r="D2686" s="2" t="str">
        <f aca="false">IF(3キー同時!$B$305="","",3キー同時!$B$305)</f>
        <v/>
      </c>
      <c r="E2686" s="2" t="str">
        <f aca="false">IF(3キー同時!$G$305="","",3キー同時!$G$305)</f>
        <v/>
      </c>
      <c r="F2686" s="2" t="str">
        <f aca="false">""</f>
        <v/>
      </c>
      <c r="G2686" s="2" t="str">
        <f aca="false">IF(OR(3キー同時!$B$305="",3キー同時!$G$305=""),"",IF(3キー同時!W313="","",SUBSTITUTE(SUBSTITUTE(3キー同時!W313," ",""),"　","")))</f>
        <v/>
      </c>
      <c r="H2686" s="2" t="str">
        <f aca="false">IF($G2686="","",3キー同時!$B$305)</f>
        <v/>
      </c>
      <c r="I2686" s="2" t="str">
        <f aca="false">IF($G2686="","",3キー同時!$G$305)</f>
        <v/>
      </c>
      <c r="J2686" s="2" t="str">
        <f aca="false">IF($G2686="","","v")</f>
        <v/>
      </c>
      <c r="K2686" s="2" t="str">
        <f aca="false">""</f>
        <v/>
      </c>
      <c r="L2686" s="2" t="str">
        <f aca="false">IF($G2686="","","同時")</f>
        <v/>
      </c>
      <c r="M2686" s="2" t="str">
        <f aca="false">IF($G2686="","",IF(ISNA(MATCH($G2686,個別指定!$A:$A,0)),"行なし",""))</f>
        <v/>
      </c>
      <c r="N2686" s="2" t="str">
        <f aca="false">IF($G2686="","",IF(COUNTIF($G$2:$G$4460,$G2686)&gt;1,"重複",""))</f>
        <v/>
      </c>
    </row>
    <row r="2687" customFormat="false" ht="16.5" hidden="false" customHeight="true" outlineLevel="0" collapsed="false">
      <c r="A2687" s="2" t="s">
        <v>416</v>
      </c>
      <c r="B2687" s="2" t="s">
        <v>440</v>
      </c>
      <c r="C2687" s="2" t="s">
        <v>39</v>
      </c>
      <c r="D2687" s="2" t="str">
        <f aca="false">IF(3キー同時!$B$305="","",3キー同時!$B$305)</f>
        <v/>
      </c>
      <c r="E2687" s="2" t="str">
        <f aca="false">IF(3キー同時!$G$305="","",3キー同時!$G$305)</f>
        <v/>
      </c>
      <c r="F2687" s="2" t="str">
        <f aca="false">""</f>
        <v/>
      </c>
      <c r="G2687" s="2" t="str">
        <f aca="false">IF(OR(3キー同時!$B$305="",3キー同時!$G$305=""),"",IF(3キー同時!AA313="","",SUBSTITUTE(SUBSTITUTE(3キー同時!AA313," ",""),"　","")))</f>
        <v/>
      </c>
      <c r="H2687" s="2" t="str">
        <f aca="false">IF($G2687="","",3キー同時!$B$305)</f>
        <v/>
      </c>
      <c r="I2687" s="2" t="str">
        <f aca="false">IF($G2687="","",3キー同時!$G$305)</f>
        <v/>
      </c>
      <c r="J2687" s="2" t="str">
        <f aca="false">IF($G2687="","","b")</f>
        <v/>
      </c>
      <c r="K2687" s="2" t="str">
        <f aca="false">""</f>
        <v/>
      </c>
      <c r="L2687" s="2" t="str">
        <f aca="false">IF($G2687="","","同時")</f>
        <v/>
      </c>
      <c r="M2687" s="2" t="str">
        <f aca="false">IF($G2687="","",IF(ISNA(MATCH($G2687,個別指定!$A:$A,0)),"行なし",""))</f>
        <v/>
      </c>
      <c r="N2687" s="2" t="str">
        <f aca="false">IF($G2687="","",IF(COUNTIF($G$2:$G$4460,$G2687)&gt;1,"重複",""))</f>
        <v/>
      </c>
    </row>
    <row r="2688" customFormat="false" ht="16.5" hidden="false" customHeight="true" outlineLevel="0" collapsed="false">
      <c r="A2688" s="2" t="s">
        <v>416</v>
      </c>
      <c r="B2688" s="2" t="s">
        <v>440</v>
      </c>
      <c r="C2688" s="2" t="s">
        <v>40</v>
      </c>
      <c r="D2688" s="2" t="str">
        <f aca="false">IF(3キー同時!$B$305="","",3キー同時!$B$305)</f>
        <v/>
      </c>
      <c r="E2688" s="2" t="str">
        <f aca="false">IF(3キー同時!$G$305="","",3キー同時!$G$305)</f>
        <v/>
      </c>
      <c r="F2688" s="2" t="str">
        <f aca="false">""</f>
        <v/>
      </c>
      <c r="G2688" s="2" t="str">
        <f aca="false">IF(OR(3キー同時!$B$305="",3キー同時!$G$305=""),"",IF(3キー同時!AE313="","",SUBSTITUTE(SUBSTITUTE(3キー同時!AE313," ",""),"　","")))</f>
        <v/>
      </c>
      <c r="H2688" s="2" t="str">
        <f aca="false">IF($G2688="","",3キー同時!$B$305)</f>
        <v/>
      </c>
      <c r="I2688" s="2" t="str">
        <f aca="false">IF($G2688="","",3キー同時!$G$305)</f>
        <v/>
      </c>
      <c r="J2688" s="2" t="str">
        <f aca="false">IF($G2688="","","n")</f>
        <v/>
      </c>
      <c r="K2688" s="2" t="str">
        <f aca="false">""</f>
        <v/>
      </c>
      <c r="L2688" s="2" t="str">
        <f aca="false">IF($G2688="","","同時")</f>
        <v/>
      </c>
      <c r="M2688" s="2" t="str">
        <f aca="false">IF($G2688="","",IF(ISNA(MATCH($G2688,個別指定!$A:$A,0)),"行なし",""))</f>
        <v/>
      </c>
      <c r="N2688" s="2" t="str">
        <f aca="false">IF($G2688="","",IF(COUNTIF($G$2:$G$4460,$G2688)&gt;1,"重複",""))</f>
        <v/>
      </c>
    </row>
    <row r="2689" customFormat="false" ht="16.5" hidden="false" customHeight="true" outlineLevel="0" collapsed="false">
      <c r="A2689" s="2" t="s">
        <v>416</v>
      </c>
      <c r="B2689" s="2" t="s">
        <v>440</v>
      </c>
      <c r="C2689" s="2" t="s">
        <v>41</v>
      </c>
      <c r="D2689" s="2" t="str">
        <f aca="false">IF(3キー同時!$B$305="","",3キー同時!$B$305)</f>
        <v/>
      </c>
      <c r="E2689" s="2" t="str">
        <f aca="false">IF(3キー同時!$G$305="","",3キー同時!$G$305)</f>
        <v/>
      </c>
      <c r="F2689" s="2" t="str">
        <f aca="false">""</f>
        <v/>
      </c>
      <c r="G2689" s="2" t="str">
        <f aca="false">IF(OR(3キー同時!$B$305="",3キー同時!$G$305=""),"",IF(3キー同時!AI313="","",SUBSTITUTE(SUBSTITUTE(3キー同時!AI313," ",""),"　","")))</f>
        <v/>
      </c>
      <c r="H2689" s="2" t="str">
        <f aca="false">IF($G2689="","",3キー同時!$B$305)</f>
        <v/>
      </c>
      <c r="I2689" s="2" t="str">
        <f aca="false">IF($G2689="","",3キー同時!$G$305)</f>
        <v/>
      </c>
      <c r="J2689" s="2" t="str">
        <f aca="false">IF($G2689="","","m")</f>
        <v/>
      </c>
      <c r="K2689" s="2" t="str">
        <f aca="false">""</f>
        <v/>
      </c>
      <c r="L2689" s="2" t="str">
        <f aca="false">IF($G2689="","","同時")</f>
        <v/>
      </c>
      <c r="M2689" s="2" t="str">
        <f aca="false">IF($G2689="","",IF(ISNA(MATCH($G2689,個別指定!$A:$A,0)),"行なし",""))</f>
        <v/>
      </c>
      <c r="N2689" s="2" t="str">
        <f aca="false">IF($G2689="","",IF(COUNTIF($G$2:$G$4460,$G2689)&gt;1,"重複",""))</f>
        <v/>
      </c>
    </row>
    <row r="2690" customFormat="false" ht="16.5" hidden="false" customHeight="true" outlineLevel="0" collapsed="false">
      <c r="A2690" s="2" t="s">
        <v>416</v>
      </c>
      <c r="B2690" s="2" t="s">
        <v>440</v>
      </c>
      <c r="C2690" s="2" t="s">
        <v>42</v>
      </c>
      <c r="D2690" s="2" t="str">
        <f aca="false">IF(3キー同時!$B$305="","",3キー同時!$B$305)</f>
        <v/>
      </c>
      <c r="E2690" s="2" t="str">
        <f aca="false">IF(3キー同時!$G$305="","",3キー同時!$G$305)</f>
        <v/>
      </c>
      <c r="F2690" s="2" t="str">
        <f aca="false">""</f>
        <v/>
      </c>
      <c r="G2690" s="2" t="str">
        <f aca="false">IF(OR(3キー同時!$B$305="",3キー同時!$G$305=""),"",IF(3キー同時!AM313="","",SUBSTITUTE(SUBSTITUTE(3キー同時!AM313," ",""),"　","")))</f>
        <v/>
      </c>
      <c r="H2690" s="2" t="str">
        <f aca="false">IF($G2690="","",3キー同時!$B$305)</f>
        <v/>
      </c>
      <c r="I2690" s="2" t="str">
        <f aca="false">IF($G2690="","",3キー同時!$G$305)</f>
        <v/>
      </c>
      <c r="J2690" s="2" t="str">
        <f aca="false">IF($G2690="","",",")</f>
        <v/>
      </c>
      <c r="K2690" s="2" t="str">
        <f aca="false">""</f>
        <v/>
      </c>
      <c r="L2690" s="2" t="str">
        <f aca="false">IF($G2690="","","同時")</f>
        <v/>
      </c>
      <c r="M2690" s="2" t="str">
        <f aca="false">IF($G2690="","",IF(ISNA(MATCH($G2690,個別指定!$A:$A,0)),"行なし",""))</f>
        <v/>
      </c>
      <c r="N2690" s="2" t="str">
        <f aca="false">IF($G2690="","",IF(COUNTIF($G$2:$G$4460,$G2690)&gt;1,"重複",""))</f>
        <v/>
      </c>
    </row>
    <row r="2691" customFormat="false" ht="16.5" hidden="false" customHeight="true" outlineLevel="0" collapsed="false">
      <c r="A2691" s="2" t="s">
        <v>416</v>
      </c>
      <c r="B2691" s="2" t="s">
        <v>440</v>
      </c>
      <c r="C2691" s="2" t="s">
        <v>43</v>
      </c>
      <c r="D2691" s="2" t="str">
        <f aca="false">IF(3キー同時!$B$305="","",3キー同時!$B$305)</f>
        <v/>
      </c>
      <c r="E2691" s="2" t="str">
        <f aca="false">IF(3キー同時!$G$305="","",3キー同時!$G$305)</f>
        <v/>
      </c>
      <c r="F2691" s="2" t="str">
        <f aca="false">""</f>
        <v/>
      </c>
      <c r="G2691" s="2" t="str">
        <f aca="false">IF(OR(3キー同時!$B$305="",3キー同時!$G$305=""),"",IF(3キー同時!AQ313="","",SUBSTITUTE(SUBSTITUTE(3キー同時!AQ313," ",""),"　","")))</f>
        <v/>
      </c>
      <c r="H2691" s="2" t="str">
        <f aca="false">IF($G2691="","",3キー同時!$B$305)</f>
        <v/>
      </c>
      <c r="I2691" s="2" t="str">
        <f aca="false">IF($G2691="","",3キー同時!$G$305)</f>
        <v/>
      </c>
      <c r="J2691" s="2" t="str">
        <f aca="false">IF($G2691="","",".")</f>
        <v/>
      </c>
      <c r="K2691" s="2" t="str">
        <f aca="false">""</f>
        <v/>
      </c>
      <c r="L2691" s="2" t="str">
        <f aca="false">IF($G2691="","","同時")</f>
        <v/>
      </c>
      <c r="M2691" s="2" t="str">
        <f aca="false">IF($G2691="","",IF(ISNA(MATCH($G2691,個別指定!$A:$A,0)),"行なし",""))</f>
        <v/>
      </c>
      <c r="N2691" s="2" t="str">
        <f aca="false">IF($G2691="","",IF(COUNTIF($G$2:$G$4460,$G2691)&gt;1,"重複",""))</f>
        <v/>
      </c>
    </row>
    <row r="2692" customFormat="false" ht="16.5" hidden="false" customHeight="true" outlineLevel="0" collapsed="false">
      <c r="A2692" s="2" t="s">
        <v>416</v>
      </c>
      <c r="B2692" s="2" t="s">
        <v>440</v>
      </c>
      <c r="C2692" s="2" t="s">
        <v>44</v>
      </c>
      <c r="D2692" s="2" t="str">
        <f aca="false">IF(3キー同時!$B$305="","",3キー同時!$B$305)</f>
        <v/>
      </c>
      <c r="E2692" s="2" t="str">
        <f aca="false">IF(3キー同時!$G$305="","",3キー同時!$G$305)</f>
        <v/>
      </c>
      <c r="F2692" s="2" t="str">
        <f aca="false">""</f>
        <v/>
      </c>
      <c r="G2692" s="2" t="str">
        <f aca="false">IF(OR(3キー同時!$B$305="",3キー同時!$G$305=""),"",IF(3キー同時!AU313="","",SUBSTITUTE(SUBSTITUTE(3キー同時!AU313," ",""),"　","")))</f>
        <v/>
      </c>
      <c r="H2692" s="2" t="str">
        <f aca="false">IF($G2692="","",3キー同時!$B$305)</f>
        <v/>
      </c>
      <c r="I2692" s="2" t="str">
        <f aca="false">IF($G2692="","",3キー同時!$G$305)</f>
        <v/>
      </c>
      <c r="J2692" s="2" t="str">
        <f aca="false">IF($G2692="","","/")</f>
        <v/>
      </c>
      <c r="K2692" s="2" t="str">
        <f aca="false">""</f>
        <v/>
      </c>
      <c r="L2692" s="2" t="str">
        <f aca="false">IF($G2692="","","同時")</f>
        <v/>
      </c>
      <c r="M2692" s="2" t="str">
        <f aca="false">IF($G2692="","",IF(ISNA(MATCH($G2692,個別指定!$A:$A,0)),"行なし",""))</f>
        <v/>
      </c>
      <c r="N2692" s="2" t="str">
        <f aca="false">IF($G2692="","",IF(COUNTIF($G$2:$G$4460,$G2692)&gt;1,"重複",""))</f>
        <v/>
      </c>
    </row>
    <row r="2693" customFormat="false" ht="16.5" hidden="false" customHeight="true" outlineLevel="0" collapsed="false">
      <c r="A2693" s="2" t="s">
        <v>416</v>
      </c>
      <c r="B2693" s="2" t="s">
        <v>440</v>
      </c>
      <c r="C2693" s="2" t="s">
        <v>48</v>
      </c>
      <c r="D2693" s="2" t="str">
        <f aca="false">IF(3キー同時!$B$305="","",3キー同時!$B$305)</f>
        <v/>
      </c>
      <c r="E2693" s="2" t="str">
        <f aca="false">IF(3キー同時!$G$305="","",3キー同時!$G$305)</f>
        <v/>
      </c>
      <c r="F2693" s="2" t="str">
        <f aca="false">""</f>
        <v/>
      </c>
      <c r="G2693" s="2" t="str">
        <f aca="false">IF(OR(3キー同時!$B$305="",3キー同時!$G$305=""),"",IF(3キー同時!P315="","",SUBSTITUTE(SUBSTITUTE(3キー同時!P315," ",""),"　","")))</f>
        <v/>
      </c>
      <c r="H2693" s="2" t="str">
        <f aca="false">IF($G2693="","",3キー同時!$B$305)</f>
        <v/>
      </c>
      <c r="I2693" s="2" t="str">
        <f aca="false">IF($G2693="","",3キー同時!$G$305)</f>
        <v/>
      </c>
      <c r="J2693" s="2" t="str">
        <f aca="false">IF($G2693="","","muhenkan")</f>
        <v/>
      </c>
      <c r="K2693" s="2" t="str">
        <f aca="false">""</f>
        <v/>
      </c>
      <c r="L2693" s="2" t="str">
        <f aca="false">IF($G2693="","","同時")</f>
        <v/>
      </c>
      <c r="M2693" s="2" t="str">
        <f aca="false">IF($G2693="","",IF(ISNA(MATCH($G2693,個別指定!$A:$A,0)),"行なし",""))</f>
        <v/>
      </c>
      <c r="N2693" s="2" t="str">
        <f aca="false">IF($G2693="","",IF(COUNTIF($G$2:$G$4460,$G2693)&gt;1,"重複",""))</f>
        <v/>
      </c>
    </row>
    <row r="2694" customFormat="false" ht="16.5" hidden="false" customHeight="true" outlineLevel="0" collapsed="false">
      <c r="A2694" s="2" t="s">
        <v>416</v>
      </c>
      <c r="B2694" s="2" t="s">
        <v>440</v>
      </c>
      <c r="C2694" s="2" t="s">
        <v>50</v>
      </c>
      <c r="D2694" s="2" t="str">
        <f aca="false">IF(3キー同時!$B$305="","",3キー同時!$B$305)</f>
        <v/>
      </c>
      <c r="E2694" s="2" t="str">
        <f aca="false">IF(3キー同時!$G$305="","",3キー同時!$G$305)</f>
        <v/>
      </c>
      <c r="F2694" s="2" t="str">
        <f aca="false">""</f>
        <v/>
      </c>
      <c r="G2694" s="2" t="str">
        <f aca="false">IF(OR(3キー同時!$B$305="",3キー同時!$G$305=""),"",IF(3キー同時!T315="","",SUBSTITUTE(SUBSTITUTE(3キー同時!T315," ",""),"　","")))</f>
        <v/>
      </c>
      <c r="H2694" s="2" t="str">
        <f aca="false">IF($G2694="","",3キー同時!$B$305)</f>
        <v/>
      </c>
      <c r="I2694" s="2" t="str">
        <f aca="false">IF($G2694="","",3キー同時!$G$305)</f>
        <v/>
      </c>
      <c r="J2694" s="2" t="str">
        <f aca="false">IF($G2694="","","space")</f>
        <v/>
      </c>
      <c r="K2694" s="2" t="str">
        <f aca="false">""</f>
        <v/>
      </c>
      <c r="L2694" s="2" t="str">
        <f aca="false">IF($G2694="","","同時")</f>
        <v/>
      </c>
      <c r="M2694" s="2" t="str">
        <f aca="false">IF($G2694="","",IF(ISNA(MATCH($G2694,個別指定!$A:$A,0)),"行なし",""))</f>
        <v/>
      </c>
      <c r="N2694" s="2" t="str">
        <f aca="false">IF($G2694="","",IF(COUNTIF($G$2:$G$4460,$G2694)&gt;1,"重複",""))</f>
        <v/>
      </c>
    </row>
    <row r="2695" customFormat="false" ht="16.5" hidden="false" customHeight="true" outlineLevel="0" collapsed="false">
      <c r="A2695" s="2" t="s">
        <v>416</v>
      </c>
      <c r="B2695" s="2" t="s">
        <v>440</v>
      </c>
      <c r="C2695" s="2" t="s">
        <v>45</v>
      </c>
      <c r="D2695" s="2" t="str">
        <f aca="false">IF(3キー同時!$B$305="","",3キー同時!$B$305)</f>
        <v/>
      </c>
      <c r="E2695" s="2" t="str">
        <f aca="false">IF(3キー同時!$G$305="","",3キー同時!$G$305)</f>
        <v/>
      </c>
      <c r="F2695" s="2" t="str">
        <f aca="false">""</f>
        <v/>
      </c>
      <c r="G2695" s="2" t="str">
        <f aca="false">IF(OR(3キー同時!$B$305="",3キー同時!$G$305=""),"",IF(3キー同時!AL315="","",SUBSTITUTE(SUBSTITUTE(3キー同時!AL315," ",""),"　","")))</f>
        <v/>
      </c>
      <c r="H2695" s="2" t="str">
        <f aca="false">IF($G2695="","",3キー同時!$B$305)</f>
        <v/>
      </c>
      <c r="I2695" s="2" t="str">
        <f aca="false">IF($G2695="","",3キー同時!$G$305)</f>
        <v/>
      </c>
      <c r="J2695" s="2" t="str">
        <f aca="false">IF($G2695="","","henkan")</f>
        <v/>
      </c>
      <c r="K2695" s="2" t="str">
        <f aca="false">""</f>
        <v/>
      </c>
      <c r="L2695" s="2" t="str">
        <f aca="false">IF($G2695="","","同時")</f>
        <v/>
      </c>
      <c r="M2695" s="2" t="str">
        <f aca="false">IF($G2695="","",IF(ISNA(MATCH($G2695,個別指定!$A:$A,0)),"行なし",""))</f>
        <v/>
      </c>
      <c r="N2695" s="2" t="str">
        <f aca="false">IF($G2695="","",IF(COUNTIF($G$2:$G$4460,$G2695)&gt;1,"重複",""))</f>
        <v/>
      </c>
    </row>
    <row r="2696" customFormat="false" ht="16.5" hidden="false" customHeight="true" outlineLevel="0" collapsed="false">
      <c r="A2696" s="2" t="s">
        <v>416</v>
      </c>
      <c r="B2696" s="2" t="s">
        <v>440</v>
      </c>
      <c r="C2696" s="2" t="s">
        <v>46</v>
      </c>
      <c r="D2696" s="2" t="str">
        <f aca="false">IF(3キー同時!$B$305="","",3キー同時!$B$305)</f>
        <v/>
      </c>
      <c r="E2696" s="2" t="str">
        <f aca="false">IF(3キー同時!$G$305="","",3キー同時!$G$305)</f>
        <v/>
      </c>
      <c r="F2696" s="2" t="str">
        <f aca="false">""</f>
        <v/>
      </c>
      <c r="G2696" s="2" t="str">
        <f aca="false">IF(OR(3キー同時!$B$305="",3キー同時!$G$305=""),"",IF(3キー同時!AP315="","",SUBSTITUTE(SUBSTITUTE(3キー同時!AP315," ",""),"　","")))</f>
        <v/>
      </c>
      <c r="H2696" s="2" t="str">
        <f aca="false">IF($G2696="","",3キー同時!$B$305)</f>
        <v/>
      </c>
      <c r="I2696" s="2" t="str">
        <f aca="false">IF($G2696="","",3キー同時!$G$305)</f>
        <v/>
      </c>
      <c r="J2696" s="2" t="str">
        <f aca="false">IF($G2696="","","kana")</f>
        <v/>
      </c>
      <c r="K2696" s="2" t="str">
        <f aca="false">""</f>
        <v/>
      </c>
      <c r="L2696" s="2" t="str">
        <f aca="false">IF($G2696="","","同時")</f>
        <v/>
      </c>
      <c r="M2696" s="2" t="str">
        <f aca="false">IF($G2696="","",IF(ISNA(MATCH($G2696,個別指定!$A:$A,0)),"行なし",""))</f>
        <v/>
      </c>
      <c r="N2696" s="2" t="str">
        <f aca="false">IF($G2696="","",IF(COUNTIF($G$2:$G$4460,$G2696)&gt;1,"重複",""))</f>
        <v/>
      </c>
    </row>
    <row r="2697" customFormat="false" ht="16.5" hidden="false" customHeight="true" outlineLevel="0" collapsed="false">
      <c r="A2697" s="2" t="s">
        <v>416</v>
      </c>
      <c r="B2697" s="2" t="s">
        <v>441</v>
      </c>
      <c r="C2697" s="2" t="s">
        <v>0</v>
      </c>
      <c r="D2697" s="2" t="str">
        <f aca="false">IF(3キー同時!$B$318="","",3キー同時!$B$318)</f>
        <v/>
      </c>
      <c r="E2697" s="2" t="str">
        <f aca="false">IF(3キー同時!$G$318="","",3キー同時!$G$318)</f>
        <v/>
      </c>
      <c r="F2697" s="2" t="str">
        <f aca="false">""</f>
        <v/>
      </c>
      <c r="G2697" s="2" t="str">
        <f aca="false">IF(OR(3キー同時!$B$318="",3キー同時!$G$318=""),"",IF(3キー同時!F320="","",SUBSTITUTE(SUBSTITUTE(3キー同時!F320," ",""),"　","")))</f>
        <v/>
      </c>
      <c r="H2697" s="2" t="str">
        <f aca="false">IF($G2697="","",3キー同時!$B$318)</f>
        <v/>
      </c>
      <c r="I2697" s="2" t="str">
        <f aca="false">IF($G2697="","",3キー同時!$G$318)</f>
        <v/>
      </c>
      <c r="J2697" s="2" t="str">
        <f aca="false">IF($G2697="","","1")</f>
        <v/>
      </c>
      <c r="K2697" s="2" t="str">
        <f aca="false">""</f>
        <v/>
      </c>
      <c r="L2697" s="2" t="str">
        <f aca="false">IF($G2697="","","同時")</f>
        <v/>
      </c>
      <c r="M2697" s="2" t="str">
        <f aca="false">IF($G2697="","",IF(ISNA(MATCH($G2697,個別指定!$A:$A,0)),"行なし",""))</f>
        <v/>
      </c>
      <c r="N2697" s="2" t="str">
        <f aca="false">IF($G2697="","",IF(COUNTIF($G$2:$G$4460,$G2697)&gt;1,"重複",""))</f>
        <v/>
      </c>
    </row>
    <row r="2698" customFormat="false" ht="16.5" hidden="false" customHeight="true" outlineLevel="0" collapsed="false">
      <c r="A2698" s="2" t="s">
        <v>416</v>
      </c>
      <c r="B2698" s="2" t="s">
        <v>441</v>
      </c>
      <c r="C2698" s="2" t="s">
        <v>1</v>
      </c>
      <c r="D2698" s="2" t="str">
        <f aca="false">IF(3キー同時!$B$318="","",3キー同時!$B$318)</f>
        <v/>
      </c>
      <c r="E2698" s="2" t="str">
        <f aca="false">IF(3キー同時!$G$318="","",3キー同時!$G$318)</f>
        <v/>
      </c>
      <c r="F2698" s="2" t="str">
        <f aca="false">""</f>
        <v/>
      </c>
      <c r="G2698" s="2" t="str">
        <f aca="false">IF(OR(3キー同時!$B$318="",3キー同時!$G$318=""),"",IF(3キー同時!J320="","",SUBSTITUTE(SUBSTITUTE(3キー同時!J320," ",""),"　","")))</f>
        <v/>
      </c>
      <c r="H2698" s="2" t="str">
        <f aca="false">IF($G2698="","",3キー同時!$B$318)</f>
        <v/>
      </c>
      <c r="I2698" s="2" t="str">
        <f aca="false">IF($G2698="","",3キー同時!$G$318)</f>
        <v/>
      </c>
      <c r="J2698" s="2" t="str">
        <f aca="false">IF($G2698="","","2")</f>
        <v/>
      </c>
      <c r="K2698" s="2" t="str">
        <f aca="false">""</f>
        <v/>
      </c>
      <c r="L2698" s="2" t="str">
        <f aca="false">IF($G2698="","","同時")</f>
        <v/>
      </c>
      <c r="M2698" s="2" t="str">
        <f aca="false">IF($G2698="","",IF(ISNA(MATCH($G2698,個別指定!$A:$A,0)),"行なし",""))</f>
        <v/>
      </c>
      <c r="N2698" s="2" t="str">
        <f aca="false">IF($G2698="","",IF(COUNTIF($G$2:$G$4460,$G2698)&gt;1,"重複",""))</f>
        <v/>
      </c>
    </row>
    <row r="2699" customFormat="false" ht="16.5" hidden="false" customHeight="true" outlineLevel="0" collapsed="false">
      <c r="A2699" s="2" t="s">
        <v>416</v>
      </c>
      <c r="B2699" s="2" t="s">
        <v>441</v>
      </c>
      <c r="C2699" s="2" t="s">
        <v>2</v>
      </c>
      <c r="D2699" s="2" t="str">
        <f aca="false">IF(3キー同時!$B$318="","",3キー同時!$B$318)</f>
        <v/>
      </c>
      <c r="E2699" s="2" t="str">
        <f aca="false">IF(3キー同時!$G$318="","",3キー同時!$G$318)</f>
        <v/>
      </c>
      <c r="F2699" s="2" t="str">
        <f aca="false">""</f>
        <v/>
      </c>
      <c r="G2699" s="2" t="str">
        <f aca="false">IF(OR(3キー同時!$B$318="",3キー同時!$G$318=""),"",IF(3キー同時!N320="","",SUBSTITUTE(SUBSTITUTE(3キー同時!N320," ",""),"　","")))</f>
        <v/>
      </c>
      <c r="H2699" s="2" t="str">
        <f aca="false">IF($G2699="","",3キー同時!$B$318)</f>
        <v/>
      </c>
      <c r="I2699" s="2" t="str">
        <f aca="false">IF($G2699="","",3キー同時!$G$318)</f>
        <v/>
      </c>
      <c r="J2699" s="2" t="str">
        <f aca="false">IF($G2699="","","3")</f>
        <v/>
      </c>
      <c r="K2699" s="2" t="str">
        <f aca="false">""</f>
        <v/>
      </c>
      <c r="L2699" s="2" t="str">
        <f aca="false">IF($G2699="","","同時")</f>
        <v/>
      </c>
      <c r="M2699" s="2" t="str">
        <f aca="false">IF($G2699="","",IF(ISNA(MATCH($G2699,個別指定!$A:$A,0)),"行なし",""))</f>
        <v/>
      </c>
      <c r="N2699" s="2" t="str">
        <f aca="false">IF($G2699="","",IF(COUNTIF($G$2:$G$4460,$G2699)&gt;1,"重複",""))</f>
        <v/>
      </c>
    </row>
    <row r="2700" customFormat="false" ht="16.5" hidden="false" customHeight="true" outlineLevel="0" collapsed="false">
      <c r="A2700" s="2" t="s">
        <v>416</v>
      </c>
      <c r="B2700" s="2" t="s">
        <v>441</v>
      </c>
      <c r="C2700" s="2" t="s">
        <v>3</v>
      </c>
      <c r="D2700" s="2" t="str">
        <f aca="false">IF(3キー同時!$B$318="","",3キー同時!$B$318)</f>
        <v/>
      </c>
      <c r="E2700" s="2" t="str">
        <f aca="false">IF(3キー同時!$G$318="","",3キー同時!$G$318)</f>
        <v/>
      </c>
      <c r="F2700" s="2" t="str">
        <f aca="false">""</f>
        <v/>
      </c>
      <c r="G2700" s="2" t="str">
        <f aca="false">IF(OR(3キー同時!$B$318="",3キー同時!$G$318=""),"",IF(3キー同時!R320="","",SUBSTITUTE(SUBSTITUTE(3キー同時!R320," ",""),"　","")))</f>
        <v/>
      </c>
      <c r="H2700" s="2" t="str">
        <f aca="false">IF($G2700="","",3キー同時!$B$318)</f>
        <v/>
      </c>
      <c r="I2700" s="2" t="str">
        <f aca="false">IF($G2700="","",3キー同時!$G$318)</f>
        <v/>
      </c>
      <c r="J2700" s="2" t="str">
        <f aca="false">IF($G2700="","","4")</f>
        <v/>
      </c>
      <c r="K2700" s="2" t="str">
        <f aca="false">""</f>
        <v/>
      </c>
      <c r="L2700" s="2" t="str">
        <f aca="false">IF($G2700="","","同時")</f>
        <v/>
      </c>
      <c r="M2700" s="2" t="str">
        <f aca="false">IF($G2700="","",IF(ISNA(MATCH($G2700,個別指定!$A:$A,0)),"行なし",""))</f>
        <v/>
      </c>
      <c r="N2700" s="2" t="str">
        <f aca="false">IF($G2700="","",IF(COUNTIF($G$2:$G$4460,$G2700)&gt;1,"重複",""))</f>
        <v/>
      </c>
    </row>
    <row r="2701" customFormat="false" ht="16.5" hidden="false" customHeight="true" outlineLevel="0" collapsed="false">
      <c r="A2701" s="2" t="s">
        <v>416</v>
      </c>
      <c r="B2701" s="2" t="s">
        <v>441</v>
      </c>
      <c r="C2701" s="2" t="s">
        <v>4</v>
      </c>
      <c r="D2701" s="2" t="str">
        <f aca="false">IF(3キー同時!$B$318="","",3キー同時!$B$318)</f>
        <v/>
      </c>
      <c r="E2701" s="2" t="str">
        <f aca="false">IF(3キー同時!$G$318="","",3キー同時!$G$318)</f>
        <v/>
      </c>
      <c r="F2701" s="2" t="str">
        <f aca="false">""</f>
        <v/>
      </c>
      <c r="G2701" s="2" t="str">
        <f aca="false">IF(OR(3キー同時!$B$318="",3キー同時!$G$318=""),"",IF(3キー同時!V320="","",SUBSTITUTE(SUBSTITUTE(3キー同時!V320," ",""),"　","")))</f>
        <v/>
      </c>
      <c r="H2701" s="2" t="str">
        <f aca="false">IF($G2701="","",3キー同時!$B$318)</f>
        <v/>
      </c>
      <c r="I2701" s="2" t="str">
        <f aca="false">IF($G2701="","",3キー同時!$G$318)</f>
        <v/>
      </c>
      <c r="J2701" s="2" t="str">
        <f aca="false">IF($G2701="","","5")</f>
        <v/>
      </c>
      <c r="K2701" s="2" t="str">
        <f aca="false">""</f>
        <v/>
      </c>
      <c r="L2701" s="2" t="str">
        <f aca="false">IF($G2701="","","同時")</f>
        <v/>
      </c>
      <c r="M2701" s="2" t="str">
        <f aca="false">IF($G2701="","",IF(ISNA(MATCH($G2701,個別指定!$A:$A,0)),"行なし",""))</f>
        <v/>
      </c>
      <c r="N2701" s="2" t="str">
        <f aca="false">IF($G2701="","",IF(COUNTIF($G$2:$G$4460,$G2701)&gt;1,"重複",""))</f>
        <v/>
      </c>
    </row>
    <row r="2702" customFormat="false" ht="16.5" hidden="false" customHeight="true" outlineLevel="0" collapsed="false">
      <c r="A2702" s="2" t="s">
        <v>416</v>
      </c>
      <c r="B2702" s="2" t="s">
        <v>441</v>
      </c>
      <c r="C2702" s="2" t="s">
        <v>5</v>
      </c>
      <c r="D2702" s="2" t="str">
        <f aca="false">IF(3キー同時!$B$318="","",3キー同時!$B$318)</f>
        <v/>
      </c>
      <c r="E2702" s="2" t="str">
        <f aca="false">IF(3キー同時!$G$318="","",3キー同時!$G$318)</f>
        <v/>
      </c>
      <c r="F2702" s="2" t="str">
        <f aca="false">""</f>
        <v/>
      </c>
      <c r="G2702" s="2" t="str">
        <f aca="false">IF(OR(3キー同時!$B$318="",3キー同時!$G$318=""),"",IF(3キー同時!Z320="","",SUBSTITUTE(SUBSTITUTE(3キー同時!Z320," ",""),"　","")))</f>
        <v/>
      </c>
      <c r="H2702" s="2" t="str">
        <f aca="false">IF($G2702="","",3キー同時!$B$318)</f>
        <v/>
      </c>
      <c r="I2702" s="2" t="str">
        <f aca="false">IF($G2702="","",3キー同時!$G$318)</f>
        <v/>
      </c>
      <c r="J2702" s="2" t="str">
        <f aca="false">IF($G2702="","","6")</f>
        <v/>
      </c>
      <c r="K2702" s="2" t="str">
        <f aca="false">""</f>
        <v/>
      </c>
      <c r="L2702" s="2" t="str">
        <f aca="false">IF($G2702="","","同時")</f>
        <v/>
      </c>
      <c r="M2702" s="2" t="str">
        <f aca="false">IF($G2702="","",IF(ISNA(MATCH($G2702,個別指定!$A:$A,0)),"行なし",""))</f>
        <v/>
      </c>
      <c r="N2702" s="2" t="str">
        <f aca="false">IF($G2702="","",IF(COUNTIF($G$2:$G$4460,$G2702)&gt;1,"重複",""))</f>
        <v/>
      </c>
    </row>
    <row r="2703" customFormat="false" ht="16.5" hidden="false" customHeight="true" outlineLevel="0" collapsed="false">
      <c r="A2703" s="2" t="s">
        <v>416</v>
      </c>
      <c r="B2703" s="2" t="s">
        <v>441</v>
      </c>
      <c r="C2703" s="2" t="s">
        <v>6</v>
      </c>
      <c r="D2703" s="2" t="str">
        <f aca="false">IF(3キー同時!$B$318="","",3キー同時!$B$318)</f>
        <v/>
      </c>
      <c r="E2703" s="2" t="str">
        <f aca="false">IF(3キー同時!$G$318="","",3キー同時!$G$318)</f>
        <v/>
      </c>
      <c r="F2703" s="2" t="str">
        <f aca="false">""</f>
        <v/>
      </c>
      <c r="G2703" s="2" t="str">
        <f aca="false">IF(OR(3キー同時!$B$318="",3キー同時!$G$318=""),"",IF(3キー同時!AD320="","",SUBSTITUTE(SUBSTITUTE(3キー同時!AD320," ",""),"　","")))</f>
        <v/>
      </c>
      <c r="H2703" s="2" t="str">
        <f aca="false">IF($G2703="","",3キー同時!$B$318)</f>
        <v/>
      </c>
      <c r="I2703" s="2" t="str">
        <f aca="false">IF($G2703="","",3キー同時!$G$318)</f>
        <v/>
      </c>
      <c r="J2703" s="2" t="str">
        <f aca="false">IF($G2703="","","7")</f>
        <v/>
      </c>
      <c r="K2703" s="2" t="str">
        <f aca="false">""</f>
        <v/>
      </c>
      <c r="L2703" s="2" t="str">
        <f aca="false">IF($G2703="","","同時")</f>
        <v/>
      </c>
      <c r="M2703" s="2" t="str">
        <f aca="false">IF($G2703="","",IF(ISNA(MATCH($G2703,個別指定!$A:$A,0)),"行なし",""))</f>
        <v/>
      </c>
      <c r="N2703" s="2" t="str">
        <f aca="false">IF($G2703="","",IF(COUNTIF($G$2:$G$4460,$G2703)&gt;1,"重複",""))</f>
        <v/>
      </c>
    </row>
    <row r="2704" customFormat="false" ht="16.5" hidden="false" customHeight="true" outlineLevel="0" collapsed="false">
      <c r="A2704" s="2" t="s">
        <v>416</v>
      </c>
      <c r="B2704" s="2" t="s">
        <v>441</v>
      </c>
      <c r="C2704" s="2" t="s">
        <v>7</v>
      </c>
      <c r="D2704" s="2" t="str">
        <f aca="false">IF(3キー同時!$B$318="","",3キー同時!$B$318)</f>
        <v/>
      </c>
      <c r="E2704" s="2" t="str">
        <f aca="false">IF(3キー同時!$G$318="","",3キー同時!$G$318)</f>
        <v/>
      </c>
      <c r="F2704" s="2" t="str">
        <f aca="false">""</f>
        <v/>
      </c>
      <c r="G2704" s="2" t="str">
        <f aca="false">IF(OR(3キー同時!$B$318="",3キー同時!$G$318=""),"",IF(3キー同時!AH320="","",SUBSTITUTE(SUBSTITUTE(3キー同時!AH320," ",""),"　","")))</f>
        <v/>
      </c>
      <c r="H2704" s="2" t="str">
        <f aca="false">IF($G2704="","",3キー同時!$B$318)</f>
        <v/>
      </c>
      <c r="I2704" s="2" t="str">
        <f aca="false">IF($G2704="","",3キー同時!$G$318)</f>
        <v/>
      </c>
      <c r="J2704" s="2" t="str">
        <f aca="false">IF($G2704="","","8")</f>
        <v/>
      </c>
      <c r="K2704" s="2" t="str">
        <f aca="false">""</f>
        <v/>
      </c>
      <c r="L2704" s="2" t="str">
        <f aca="false">IF($G2704="","","同時")</f>
        <v/>
      </c>
      <c r="M2704" s="2" t="str">
        <f aca="false">IF($G2704="","",IF(ISNA(MATCH($G2704,個別指定!$A:$A,0)),"行なし",""))</f>
        <v/>
      </c>
      <c r="N2704" s="2" t="str">
        <f aca="false">IF($G2704="","",IF(COUNTIF($G$2:$G$4460,$G2704)&gt;1,"重複",""))</f>
        <v/>
      </c>
    </row>
    <row r="2705" customFormat="false" ht="16.5" hidden="false" customHeight="true" outlineLevel="0" collapsed="false">
      <c r="A2705" s="2" t="s">
        <v>416</v>
      </c>
      <c r="B2705" s="2" t="s">
        <v>441</v>
      </c>
      <c r="C2705" s="2" t="s">
        <v>8</v>
      </c>
      <c r="D2705" s="2" t="str">
        <f aca="false">IF(3キー同時!$B$318="","",3キー同時!$B$318)</f>
        <v/>
      </c>
      <c r="E2705" s="2" t="str">
        <f aca="false">IF(3キー同時!$G$318="","",3キー同時!$G$318)</f>
        <v/>
      </c>
      <c r="F2705" s="2" t="str">
        <f aca="false">""</f>
        <v/>
      </c>
      <c r="G2705" s="2" t="str">
        <f aca="false">IF(OR(3キー同時!$B$318="",3キー同時!$G$318=""),"",IF(3キー同時!AL320="","",SUBSTITUTE(SUBSTITUTE(3キー同時!AL320," ",""),"　","")))</f>
        <v/>
      </c>
      <c r="H2705" s="2" t="str">
        <f aca="false">IF($G2705="","",3キー同時!$B$318)</f>
        <v/>
      </c>
      <c r="I2705" s="2" t="str">
        <f aca="false">IF($G2705="","",3キー同時!$G$318)</f>
        <v/>
      </c>
      <c r="J2705" s="2" t="str">
        <f aca="false">IF($G2705="","","9")</f>
        <v/>
      </c>
      <c r="K2705" s="2" t="str">
        <f aca="false">""</f>
        <v/>
      </c>
      <c r="L2705" s="2" t="str">
        <f aca="false">IF($G2705="","","同時")</f>
        <v/>
      </c>
      <c r="M2705" s="2" t="str">
        <f aca="false">IF($G2705="","",IF(ISNA(MATCH($G2705,個別指定!$A:$A,0)),"行なし",""))</f>
        <v/>
      </c>
      <c r="N2705" s="2" t="str">
        <f aca="false">IF($G2705="","",IF(COUNTIF($G$2:$G$4460,$G2705)&gt;1,"重複",""))</f>
        <v/>
      </c>
    </row>
    <row r="2706" customFormat="false" ht="16.5" hidden="false" customHeight="true" outlineLevel="0" collapsed="false">
      <c r="A2706" s="2" t="s">
        <v>416</v>
      </c>
      <c r="B2706" s="2" t="s">
        <v>441</v>
      </c>
      <c r="C2706" s="2" t="s">
        <v>9</v>
      </c>
      <c r="D2706" s="2" t="str">
        <f aca="false">IF(3キー同時!$B$318="","",3キー同時!$B$318)</f>
        <v/>
      </c>
      <c r="E2706" s="2" t="str">
        <f aca="false">IF(3キー同時!$G$318="","",3キー同時!$G$318)</f>
        <v/>
      </c>
      <c r="F2706" s="2" t="str">
        <f aca="false">""</f>
        <v/>
      </c>
      <c r="G2706" s="2" t="str">
        <f aca="false">IF(OR(3キー同時!$B$318="",3キー同時!$G$318=""),"",IF(3キー同時!AP320="","",SUBSTITUTE(SUBSTITUTE(3キー同時!AP320," ",""),"　","")))</f>
        <v/>
      </c>
      <c r="H2706" s="2" t="str">
        <f aca="false">IF($G2706="","",3キー同時!$B$318)</f>
        <v/>
      </c>
      <c r="I2706" s="2" t="str">
        <f aca="false">IF($G2706="","",3キー同時!$G$318)</f>
        <v/>
      </c>
      <c r="J2706" s="2" t="str">
        <f aca="false">IF($G2706="","","0")</f>
        <v/>
      </c>
      <c r="K2706" s="2" t="str">
        <f aca="false">""</f>
        <v/>
      </c>
      <c r="L2706" s="2" t="str">
        <f aca="false">IF($G2706="","","同時")</f>
        <v/>
      </c>
      <c r="M2706" s="2" t="str">
        <f aca="false">IF($G2706="","",IF(ISNA(MATCH($G2706,個別指定!$A:$A,0)),"行なし",""))</f>
        <v/>
      </c>
      <c r="N2706" s="2" t="str">
        <f aca="false">IF($G2706="","",IF(COUNTIF($G$2:$G$4460,$G2706)&gt;1,"重複",""))</f>
        <v/>
      </c>
    </row>
    <row r="2707" customFormat="false" ht="16.5" hidden="false" customHeight="true" outlineLevel="0" collapsed="false">
      <c r="A2707" s="2" t="s">
        <v>416</v>
      </c>
      <c r="B2707" s="2" t="s">
        <v>441</v>
      </c>
      <c r="C2707" s="2" t="s">
        <v>10</v>
      </c>
      <c r="D2707" s="2" t="str">
        <f aca="false">IF(3キー同時!$B$318="","",3キー同時!$B$318)</f>
        <v/>
      </c>
      <c r="E2707" s="2" t="str">
        <f aca="false">IF(3キー同時!$G$318="","",3キー同時!$G$318)</f>
        <v/>
      </c>
      <c r="F2707" s="2" t="str">
        <f aca="false">""</f>
        <v/>
      </c>
      <c r="G2707" s="2" t="str">
        <f aca="false">IF(OR(3キー同時!$B$318="",3キー同時!$G$318=""),"",IF(3キー同時!AT320="","",SUBSTITUTE(SUBSTITUTE(3キー同時!AT320," ",""),"　","")))</f>
        <v/>
      </c>
      <c r="H2707" s="2" t="str">
        <f aca="false">IF($G2707="","",3キー同時!$B$318)</f>
        <v/>
      </c>
      <c r="I2707" s="2" t="str">
        <f aca="false">IF($G2707="","",3キー同時!$G$318)</f>
        <v/>
      </c>
      <c r="J2707" s="2" t="str">
        <f aca="false">IF($G2707="","","-")</f>
        <v/>
      </c>
      <c r="K2707" s="2" t="str">
        <f aca="false">""</f>
        <v/>
      </c>
      <c r="L2707" s="2" t="str">
        <f aca="false">IF($G2707="","","同時")</f>
        <v/>
      </c>
      <c r="M2707" s="2" t="str">
        <f aca="false">IF($G2707="","",IF(ISNA(MATCH($G2707,個別指定!$A:$A,0)),"行なし",""))</f>
        <v/>
      </c>
      <c r="N2707" s="2" t="str">
        <f aca="false">IF($G2707="","",IF(COUNTIF($G$2:$G$4460,$G2707)&gt;1,"重複",""))</f>
        <v/>
      </c>
    </row>
    <row r="2708" customFormat="false" ht="16.5" hidden="false" customHeight="true" outlineLevel="0" collapsed="false">
      <c r="A2708" s="2" t="s">
        <v>416</v>
      </c>
      <c r="B2708" s="2" t="s">
        <v>441</v>
      </c>
      <c r="C2708" s="2" t="s">
        <v>11</v>
      </c>
      <c r="D2708" s="2" t="str">
        <f aca="false">IF(3キー同時!$B$318="","",3キー同時!$B$318)</f>
        <v/>
      </c>
      <c r="E2708" s="2" t="str">
        <f aca="false">IF(3キー同時!$G$318="","",3キー同時!$G$318)</f>
        <v/>
      </c>
      <c r="F2708" s="2" t="str">
        <f aca="false">""</f>
        <v/>
      </c>
      <c r="G2708" s="2" t="str">
        <f aca="false">IF(OR(3キー同時!$B$318="",3キー同時!$G$318=""),"",IF(3キー同時!AX320="","",SUBSTITUTE(SUBSTITUTE(3キー同時!AX320," ",""),"　","")))</f>
        <v/>
      </c>
      <c r="H2708" s="2" t="str">
        <f aca="false">IF($G2708="","",3キー同時!$B$318)</f>
        <v/>
      </c>
      <c r="I2708" s="2" t="str">
        <f aca="false">IF($G2708="","",3キー同時!$G$318)</f>
        <v/>
      </c>
      <c r="J2708" s="2" t="str">
        <f aca="false">IF($G2708="","","=")</f>
        <v/>
      </c>
      <c r="K2708" s="2" t="str">
        <f aca="false">""</f>
        <v/>
      </c>
      <c r="L2708" s="2" t="str">
        <f aca="false">IF($G2708="","","同時")</f>
        <v/>
      </c>
      <c r="M2708" s="2" t="str">
        <f aca="false">IF($G2708="","",IF(ISNA(MATCH($G2708,個別指定!$A:$A,0)),"行なし",""))</f>
        <v/>
      </c>
      <c r="N2708" s="2" t="str">
        <f aca="false">IF($G2708="","",IF(COUNTIF($G$2:$G$4460,$G2708)&gt;1,"重複",""))</f>
        <v/>
      </c>
    </row>
    <row r="2709" customFormat="false" ht="16.5" hidden="false" customHeight="true" outlineLevel="0" collapsed="false">
      <c r="A2709" s="2" t="s">
        <v>416</v>
      </c>
      <c r="B2709" s="2" t="s">
        <v>441</v>
      </c>
      <c r="C2709" s="2" t="s">
        <v>12</v>
      </c>
      <c r="D2709" s="2" t="str">
        <f aca="false">IF(3キー同時!$B$318="","",3キー同時!$B$318)</f>
        <v/>
      </c>
      <c r="E2709" s="2" t="str">
        <f aca="false">IF(3キー同時!$G$318="","",3キー同時!$G$318)</f>
        <v/>
      </c>
      <c r="F2709" s="2" t="str">
        <f aca="false">""</f>
        <v/>
      </c>
      <c r="G2709" s="2" t="str">
        <f aca="false">IF(OR(3キー同時!$B$318="",3キー同時!$G$318=""),"",IF(3キー同時!H322="","",SUBSTITUTE(SUBSTITUTE(3キー同時!H322," ",""),"　","")))</f>
        <v/>
      </c>
      <c r="H2709" s="2" t="str">
        <f aca="false">IF($G2709="","",3キー同時!$B$318)</f>
        <v/>
      </c>
      <c r="I2709" s="2" t="str">
        <f aca="false">IF($G2709="","",3キー同時!$G$318)</f>
        <v/>
      </c>
      <c r="J2709" s="2" t="str">
        <f aca="false">IF($G2709="","","q")</f>
        <v/>
      </c>
      <c r="K2709" s="2" t="str">
        <f aca="false">""</f>
        <v/>
      </c>
      <c r="L2709" s="2" t="str">
        <f aca="false">IF($G2709="","","同時")</f>
        <v/>
      </c>
      <c r="M2709" s="2" t="str">
        <f aca="false">IF($G2709="","",IF(ISNA(MATCH($G2709,個別指定!$A:$A,0)),"行なし",""))</f>
        <v/>
      </c>
      <c r="N2709" s="2" t="str">
        <f aca="false">IF($G2709="","",IF(COUNTIF($G$2:$G$4460,$G2709)&gt;1,"重複",""))</f>
        <v/>
      </c>
    </row>
    <row r="2710" customFormat="false" ht="16.5" hidden="false" customHeight="true" outlineLevel="0" collapsed="false">
      <c r="A2710" s="2" t="s">
        <v>416</v>
      </c>
      <c r="B2710" s="2" t="s">
        <v>441</v>
      </c>
      <c r="C2710" s="2" t="s">
        <v>13</v>
      </c>
      <c r="D2710" s="2" t="str">
        <f aca="false">IF(3キー同時!$B$318="","",3キー同時!$B$318)</f>
        <v/>
      </c>
      <c r="E2710" s="2" t="str">
        <f aca="false">IF(3キー同時!$G$318="","",3キー同時!$G$318)</f>
        <v/>
      </c>
      <c r="F2710" s="2" t="str">
        <f aca="false">""</f>
        <v/>
      </c>
      <c r="G2710" s="2" t="str">
        <f aca="false">IF(OR(3キー同時!$B$318="",3キー同時!$G$318=""),"",IF(3キー同時!L322="","",SUBSTITUTE(SUBSTITUTE(3キー同時!L322," ",""),"　","")))</f>
        <v/>
      </c>
      <c r="H2710" s="2" t="str">
        <f aca="false">IF($G2710="","",3キー同時!$B$318)</f>
        <v/>
      </c>
      <c r="I2710" s="2" t="str">
        <f aca="false">IF($G2710="","",3キー同時!$G$318)</f>
        <v/>
      </c>
      <c r="J2710" s="2" t="str">
        <f aca="false">IF($G2710="","","w")</f>
        <v/>
      </c>
      <c r="K2710" s="2" t="str">
        <f aca="false">""</f>
        <v/>
      </c>
      <c r="L2710" s="2" t="str">
        <f aca="false">IF($G2710="","","同時")</f>
        <v/>
      </c>
      <c r="M2710" s="2" t="str">
        <f aca="false">IF($G2710="","",IF(ISNA(MATCH($G2710,個別指定!$A:$A,0)),"行なし",""))</f>
        <v/>
      </c>
      <c r="N2710" s="2" t="str">
        <f aca="false">IF($G2710="","",IF(COUNTIF($G$2:$G$4460,$G2710)&gt;1,"重複",""))</f>
        <v/>
      </c>
    </row>
    <row r="2711" customFormat="false" ht="16.5" hidden="false" customHeight="true" outlineLevel="0" collapsed="false">
      <c r="A2711" s="2" t="s">
        <v>416</v>
      </c>
      <c r="B2711" s="2" t="s">
        <v>441</v>
      </c>
      <c r="C2711" s="2" t="s">
        <v>14</v>
      </c>
      <c r="D2711" s="2" t="str">
        <f aca="false">IF(3キー同時!$B$318="","",3キー同時!$B$318)</f>
        <v/>
      </c>
      <c r="E2711" s="2" t="str">
        <f aca="false">IF(3キー同時!$G$318="","",3キー同時!$G$318)</f>
        <v/>
      </c>
      <c r="F2711" s="2" t="str">
        <f aca="false">""</f>
        <v/>
      </c>
      <c r="G2711" s="2" t="str">
        <f aca="false">IF(OR(3キー同時!$B$318="",3キー同時!$G$318=""),"",IF(3キー同時!P322="","",SUBSTITUTE(SUBSTITUTE(3キー同時!P322," ",""),"　","")))</f>
        <v/>
      </c>
      <c r="H2711" s="2" t="str">
        <f aca="false">IF($G2711="","",3キー同時!$B$318)</f>
        <v/>
      </c>
      <c r="I2711" s="2" t="str">
        <f aca="false">IF($G2711="","",3キー同時!$G$318)</f>
        <v/>
      </c>
      <c r="J2711" s="2" t="str">
        <f aca="false">IF($G2711="","","e")</f>
        <v/>
      </c>
      <c r="K2711" s="2" t="str">
        <f aca="false">""</f>
        <v/>
      </c>
      <c r="L2711" s="2" t="str">
        <f aca="false">IF($G2711="","","同時")</f>
        <v/>
      </c>
      <c r="M2711" s="2" t="str">
        <f aca="false">IF($G2711="","",IF(ISNA(MATCH($G2711,個別指定!$A:$A,0)),"行なし",""))</f>
        <v/>
      </c>
      <c r="N2711" s="2" t="str">
        <f aca="false">IF($G2711="","",IF(COUNTIF($G$2:$G$4460,$G2711)&gt;1,"重複",""))</f>
        <v/>
      </c>
    </row>
    <row r="2712" customFormat="false" ht="16.5" hidden="false" customHeight="true" outlineLevel="0" collapsed="false">
      <c r="A2712" s="2" t="s">
        <v>416</v>
      </c>
      <c r="B2712" s="2" t="s">
        <v>441</v>
      </c>
      <c r="C2712" s="2" t="s">
        <v>15</v>
      </c>
      <c r="D2712" s="2" t="str">
        <f aca="false">IF(3キー同時!$B$318="","",3キー同時!$B$318)</f>
        <v/>
      </c>
      <c r="E2712" s="2" t="str">
        <f aca="false">IF(3キー同時!$G$318="","",3キー同時!$G$318)</f>
        <v/>
      </c>
      <c r="F2712" s="2" t="str">
        <f aca="false">""</f>
        <v/>
      </c>
      <c r="G2712" s="2" t="str">
        <f aca="false">IF(OR(3キー同時!$B$318="",3キー同時!$G$318=""),"",IF(3キー同時!T322="","",SUBSTITUTE(SUBSTITUTE(3キー同時!T322," ",""),"　","")))</f>
        <v/>
      </c>
      <c r="H2712" s="2" t="str">
        <f aca="false">IF($G2712="","",3キー同時!$B$318)</f>
        <v/>
      </c>
      <c r="I2712" s="2" t="str">
        <f aca="false">IF($G2712="","",3キー同時!$G$318)</f>
        <v/>
      </c>
      <c r="J2712" s="2" t="str">
        <f aca="false">IF($G2712="","","r")</f>
        <v/>
      </c>
      <c r="K2712" s="2" t="str">
        <f aca="false">""</f>
        <v/>
      </c>
      <c r="L2712" s="2" t="str">
        <f aca="false">IF($G2712="","","同時")</f>
        <v/>
      </c>
      <c r="M2712" s="2" t="str">
        <f aca="false">IF($G2712="","",IF(ISNA(MATCH($G2712,個別指定!$A:$A,0)),"行なし",""))</f>
        <v/>
      </c>
      <c r="N2712" s="2" t="str">
        <f aca="false">IF($G2712="","",IF(COUNTIF($G$2:$G$4460,$G2712)&gt;1,"重複",""))</f>
        <v/>
      </c>
    </row>
    <row r="2713" customFormat="false" ht="16.5" hidden="false" customHeight="true" outlineLevel="0" collapsed="false">
      <c r="A2713" s="2" t="s">
        <v>416</v>
      </c>
      <c r="B2713" s="2" t="s">
        <v>441</v>
      </c>
      <c r="C2713" s="2" t="s">
        <v>16</v>
      </c>
      <c r="D2713" s="2" t="str">
        <f aca="false">IF(3キー同時!$B$318="","",3キー同時!$B$318)</f>
        <v/>
      </c>
      <c r="E2713" s="2" t="str">
        <f aca="false">IF(3キー同時!$G$318="","",3キー同時!$G$318)</f>
        <v/>
      </c>
      <c r="F2713" s="2" t="str">
        <f aca="false">""</f>
        <v/>
      </c>
      <c r="G2713" s="2" t="str">
        <f aca="false">IF(OR(3キー同時!$B$318="",3キー同時!$G$318=""),"",IF(3キー同時!X322="","",SUBSTITUTE(SUBSTITUTE(3キー同時!X322," ",""),"　","")))</f>
        <v/>
      </c>
      <c r="H2713" s="2" t="str">
        <f aca="false">IF($G2713="","",3キー同時!$B$318)</f>
        <v/>
      </c>
      <c r="I2713" s="2" t="str">
        <f aca="false">IF($G2713="","",3キー同時!$G$318)</f>
        <v/>
      </c>
      <c r="J2713" s="2" t="str">
        <f aca="false">IF($G2713="","","t")</f>
        <v/>
      </c>
      <c r="K2713" s="2" t="str">
        <f aca="false">""</f>
        <v/>
      </c>
      <c r="L2713" s="2" t="str">
        <f aca="false">IF($G2713="","","同時")</f>
        <v/>
      </c>
      <c r="M2713" s="2" t="str">
        <f aca="false">IF($G2713="","",IF(ISNA(MATCH($G2713,個別指定!$A:$A,0)),"行なし",""))</f>
        <v/>
      </c>
      <c r="N2713" s="2" t="str">
        <f aca="false">IF($G2713="","",IF(COUNTIF($G$2:$G$4460,$G2713)&gt;1,"重複",""))</f>
        <v/>
      </c>
    </row>
    <row r="2714" customFormat="false" ht="16.5" hidden="false" customHeight="true" outlineLevel="0" collapsed="false">
      <c r="A2714" s="2" t="s">
        <v>416</v>
      </c>
      <c r="B2714" s="2" t="s">
        <v>441</v>
      </c>
      <c r="C2714" s="2" t="s">
        <v>17</v>
      </c>
      <c r="D2714" s="2" t="str">
        <f aca="false">IF(3キー同時!$B$318="","",3キー同時!$B$318)</f>
        <v/>
      </c>
      <c r="E2714" s="2" t="str">
        <f aca="false">IF(3キー同時!$G$318="","",3キー同時!$G$318)</f>
        <v/>
      </c>
      <c r="F2714" s="2" t="str">
        <f aca="false">""</f>
        <v/>
      </c>
      <c r="G2714" s="2" t="str">
        <f aca="false">IF(OR(3キー同時!$B$318="",3キー同時!$G$318=""),"",IF(3キー同時!AB322="","",SUBSTITUTE(SUBSTITUTE(3キー同時!AB322," ",""),"　","")))</f>
        <v/>
      </c>
      <c r="H2714" s="2" t="str">
        <f aca="false">IF($G2714="","",3キー同時!$B$318)</f>
        <v/>
      </c>
      <c r="I2714" s="2" t="str">
        <f aca="false">IF($G2714="","",3キー同時!$G$318)</f>
        <v/>
      </c>
      <c r="J2714" s="2" t="str">
        <f aca="false">IF($G2714="","","y")</f>
        <v/>
      </c>
      <c r="K2714" s="2" t="str">
        <f aca="false">""</f>
        <v/>
      </c>
      <c r="L2714" s="2" t="str">
        <f aca="false">IF($G2714="","","同時")</f>
        <v/>
      </c>
      <c r="M2714" s="2" t="str">
        <f aca="false">IF($G2714="","",IF(ISNA(MATCH($G2714,個別指定!$A:$A,0)),"行なし",""))</f>
        <v/>
      </c>
      <c r="N2714" s="2" t="str">
        <f aca="false">IF($G2714="","",IF(COUNTIF($G$2:$G$4460,$G2714)&gt;1,"重複",""))</f>
        <v/>
      </c>
    </row>
    <row r="2715" customFormat="false" ht="16.5" hidden="false" customHeight="true" outlineLevel="0" collapsed="false">
      <c r="A2715" s="2" t="s">
        <v>416</v>
      </c>
      <c r="B2715" s="2" t="s">
        <v>441</v>
      </c>
      <c r="C2715" s="2" t="s">
        <v>18</v>
      </c>
      <c r="D2715" s="2" t="str">
        <f aca="false">IF(3キー同時!$B$318="","",3キー同時!$B$318)</f>
        <v/>
      </c>
      <c r="E2715" s="2" t="str">
        <f aca="false">IF(3キー同時!$G$318="","",3キー同時!$G$318)</f>
        <v/>
      </c>
      <c r="F2715" s="2" t="str">
        <f aca="false">""</f>
        <v/>
      </c>
      <c r="G2715" s="2" t="str">
        <f aca="false">IF(OR(3キー同時!$B$318="",3キー同時!$G$318=""),"",IF(3キー同時!AF322="","",SUBSTITUTE(SUBSTITUTE(3キー同時!AF322," ",""),"　","")))</f>
        <v/>
      </c>
      <c r="H2715" s="2" t="str">
        <f aca="false">IF($G2715="","",3キー同時!$B$318)</f>
        <v/>
      </c>
      <c r="I2715" s="2" t="str">
        <f aca="false">IF($G2715="","",3キー同時!$G$318)</f>
        <v/>
      </c>
      <c r="J2715" s="2" t="str">
        <f aca="false">IF($G2715="","","u")</f>
        <v/>
      </c>
      <c r="K2715" s="2" t="str">
        <f aca="false">""</f>
        <v/>
      </c>
      <c r="L2715" s="2" t="str">
        <f aca="false">IF($G2715="","","同時")</f>
        <v/>
      </c>
      <c r="M2715" s="2" t="str">
        <f aca="false">IF($G2715="","",IF(ISNA(MATCH($G2715,個別指定!$A:$A,0)),"行なし",""))</f>
        <v/>
      </c>
      <c r="N2715" s="2" t="str">
        <f aca="false">IF($G2715="","",IF(COUNTIF($G$2:$G$4460,$G2715)&gt;1,"重複",""))</f>
        <v/>
      </c>
    </row>
    <row r="2716" customFormat="false" ht="16.5" hidden="false" customHeight="true" outlineLevel="0" collapsed="false">
      <c r="A2716" s="2" t="s">
        <v>416</v>
      </c>
      <c r="B2716" s="2" t="s">
        <v>441</v>
      </c>
      <c r="C2716" s="2" t="s">
        <v>19</v>
      </c>
      <c r="D2716" s="2" t="str">
        <f aca="false">IF(3キー同時!$B$318="","",3キー同時!$B$318)</f>
        <v/>
      </c>
      <c r="E2716" s="2" t="str">
        <f aca="false">IF(3キー同時!$G$318="","",3キー同時!$G$318)</f>
        <v/>
      </c>
      <c r="F2716" s="2" t="str">
        <f aca="false">""</f>
        <v/>
      </c>
      <c r="G2716" s="2" t="str">
        <f aca="false">IF(OR(3キー同時!$B$318="",3キー同時!$G$318=""),"",IF(3キー同時!AJ322="","",SUBSTITUTE(SUBSTITUTE(3キー同時!AJ322," ",""),"　","")))</f>
        <v/>
      </c>
      <c r="H2716" s="2" t="str">
        <f aca="false">IF($G2716="","",3キー同時!$B$318)</f>
        <v/>
      </c>
      <c r="I2716" s="2" t="str">
        <f aca="false">IF($G2716="","",3キー同時!$G$318)</f>
        <v/>
      </c>
      <c r="J2716" s="2" t="str">
        <f aca="false">IF($G2716="","","i")</f>
        <v/>
      </c>
      <c r="K2716" s="2" t="str">
        <f aca="false">""</f>
        <v/>
      </c>
      <c r="L2716" s="2" t="str">
        <f aca="false">IF($G2716="","","同時")</f>
        <v/>
      </c>
      <c r="M2716" s="2" t="str">
        <f aca="false">IF($G2716="","",IF(ISNA(MATCH($G2716,個別指定!$A:$A,0)),"行なし",""))</f>
        <v/>
      </c>
      <c r="N2716" s="2" t="str">
        <f aca="false">IF($G2716="","",IF(COUNTIF($G$2:$G$4460,$G2716)&gt;1,"重複",""))</f>
        <v/>
      </c>
    </row>
    <row r="2717" customFormat="false" ht="16.5" hidden="false" customHeight="true" outlineLevel="0" collapsed="false">
      <c r="A2717" s="2" t="s">
        <v>416</v>
      </c>
      <c r="B2717" s="2" t="s">
        <v>441</v>
      </c>
      <c r="C2717" s="2" t="s">
        <v>20</v>
      </c>
      <c r="D2717" s="2" t="str">
        <f aca="false">IF(3キー同時!$B$318="","",3キー同時!$B$318)</f>
        <v/>
      </c>
      <c r="E2717" s="2" t="str">
        <f aca="false">IF(3キー同時!$G$318="","",3キー同時!$G$318)</f>
        <v/>
      </c>
      <c r="F2717" s="2" t="str">
        <f aca="false">""</f>
        <v/>
      </c>
      <c r="G2717" s="2" t="str">
        <f aca="false">IF(OR(3キー同時!$B$318="",3キー同時!$G$318=""),"",IF(3キー同時!AN322="","",SUBSTITUTE(SUBSTITUTE(3キー同時!AN322," ",""),"　","")))</f>
        <v/>
      </c>
      <c r="H2717" s="2" t="str">
        <f aca="false">IF($G2717="","",3キー同時!$B$318)</f>
        <v/>
      </c>
      <c r="I2717" s="2" t="str">
        <f aca="false">IF($G2717="","",3キー同時!$G$318)</f>
        <v/>
      </c>
      <c r="J2717" s="2" t="str">
        <f aca="false">IF($G2717="","","o")</f>
        <v/>
      </c>
      <c r="K2717" s="2" t="str">
        <f aca="false">""</f>
        <v/>
      </c>
      <c r="L2717" s="2" t="str">
        <f aca="false">IF($G2717="","","同時")</f>
        <v/>
      </c>
      <c r="M2717" s="2" t="str">
        <f aca="false">IF($G2717="","",IF(ISNA(MATCH($G2717,個別指定!$A:$A,0)),"行なし",""))</f>
        <v/>
      </c>
      <c r="N2717" s="2" t="str">
        <f aca="false">IF($G2717="","",IF(COUNTIF($G$2:$G$4460,$G2717)&gt;1,"重複",""))</f>
        <v/>
      </c>
    </row>
    <row r="2718" customFormat="false" ht="16.5" hidden="false" customHeight="true" outlineLevel="0" collapsed="false">
      <c r="A2718" s="2" t="s">
        <v>416</v>
      </c>
      <c r="B2718" s="2" t="s">
        <v>441</v>
      </c>
      <c r="C2718" s="2" t="s">
        <v>21</v>
      </c>
      <c r="D2718" s="2" t="str">
        <f aca="false">IF(3キー同時!$B$318="","",3キー同時!$B$318)</f>
        <v/>
      </c>
      <c r="E2718" s="2" t="str">
        <f aca="false">IF(3キー同時!$G$318="","",3キー同時!$G$318)</f>
        <v/>
      </c>
      <c r="F2718" s="2" t="str">
        <f aca="false">""</f>
        <v/>
      </c>
      <c r="G2718" s="2" t="str">
        <f aca="false">IF(OR(3キー同時!$B$318="",3キー同時!$G$318=""),"",IF(3キー同時!AR322="","",SUBSTITUTE(SUBSTITUTE(3キー同時!AR322," ",""),"　","")))</f>
        <v/>
      </c>
      <c r="H2718" s="2" t="str">
        <f aca="false">IF($G2718="","",3キー同時!$B$318)</f>
        <v/>
      </c>
      <c r="I2718" s="2" t="str">
        <f aca="false">IF($G2718="","",3キー同時!$G$318)</f>
        <v/>
      </c>
      <c r="J2718" s="2" t="str">
        <f aca="false">IF($G2718="","","p")</f>
        <v/>
      </c>
      <c r="K2718" s="2" t="str">
        <f aca="false">""</f>
        <v/>
      </c>
      <c r="L2718" s="2" t="str">
        <f aca="false">IF($G2718="","","同時")</f>
        <v/>
      </c>
      <c r="M2718" s="2" t="str">
        <f aca="false">IF($G2718="","",IF(ISNA(MATCH($G2718,個別指定!$A:$A,0)),"行なし",""))</f>
        <v/>
      </c>
      <c r="N2718" s="2" t="str">
        <f aca="false">IF($G2718="","",IF(COUNTIF($G$2:$G$4460,$G2718)&gt;1,"重複",""))</f>
        <v/>
      </c>
    </row>
    <row r="2719" customFormat="false" ht="16.5" hidden="false" customHeight="true" outlineLevel="0" collapsed="false">
      <c r="A2719" s="2" t="s">
        <v>416</v>
      </c>
      <c r="B2719" s="2" t="s">
        <v>441</v>
      </c>
      <c r="C2719" s="2" t="s">
        <v>22</v>
      </c>
      <c r="D2719" s="2" t="str">
        <f aca="false">IF(3キー同時!$B$318="","",3キー同時!$B$318)</f>
        <v/>
      </c>
      <c r="E2719" s="2" t="str">
        <f aca="false">IF(3キー同時!$G$318="","",3キー同時!$G$318)</f>
        <v/>
      </c>
      <c r="F2719" s="2" t="str">
        <f aca="false">""</f>
        <v/>
      </c>
      <c r="G2719" s="2" t="str">
        <f aca="false">IF(OR(3キー同時!$B$318="",3キー同時!$G$318=""),"",IF(3キー同時!AV322="","",SUBSTITUTE(SUBSTITUTE(3キー同時!AV322," ",""),"　","")))</f>
        <v/>
      </c>
      <c r="H2719" s="2" t="str">
        <f aca="false">IF($G2719="","",3キー同時!$B$318)</f>
        <v/>
      </c>
      <c r="I2719" s="2" t="str">
        <f aca="false">IF($G2719="","",3キー同時!$G$318)</f>
        <v/>
      </c>
      <c r="J2719" s="2" t="str">
        <f aca="false">IF($G2719="","","[")</f>
        <v/>
      </c>
      <c r="K2719" s="2" t="str">
        <f aca="false">""</f>
        <v/>
      </c>
      <c r="L2719" s="2" t="str">
        <f aca="false">IF($G2719="","","同時")</f>
        <v/>
      </c>
      <c r="M2719" s="2" t="str">
        <f aca="false">IF($G2719="","",IF(ISNA(MATCH($G2719,個別指定!$A:$A,0)),"行なし",""))</f>
        <v/>
      </c>
      <c r="N2719" s="2" t="str">
        <f aca="false">IF($G2719="","",IF(COUNTIF($G$2:$G$4460,$G2719)&gt;1,"重複",""))</f>
        <v/>
      </c>
    </row>
    <row r="2720" customFormat="false" ht="16.5" hidden="false" customHeight="true" outlineLevel="0" collapsed="false">
      <c r="A2720" s="2" t="s">
        <v>416</v>
      </c>
      <c r="B2720" s="2" t="s">
        <v>441</v>
      </c>
      <c r="C2720" s="2" t="s">
        <v>23</v>
      </c>
      <c r="D2720" s="2" t="str">
        <f aca="false">IF(3キー同時!$B$318="","",3キー同時!$B$318)</f>
        <v/>
      </c>
      <c r="E2720" s="2" t="str">
        <f aca="false">IF(3キー同時!$G$318="","",3キー同時!$G$318)</f>
        <v/>
      </c>
      <c r="F2720" s="2" t="str">
        <f aca="false">""</f>
        <v/>
      </c>
      <c r="G2720" s="2" t="str">
        <f aca="false">IF(OR(3キー同時!$B$318="",3キー同時!$G$318=""),"",IF(3キー同時!AZ322="","",SUBSTITUTE(SUBSTITUTE(3キー同時!AZ322," ",""),"　","")))</f>
        <v/>
      </c>
      <c r="H2720" s="2" t="str">
        <f aca="false">IF($G2720="","",3キー同時!$B$318)</f>
        <v/>
      </c>
      <c r="I2720" s="2" t="str">
        <f aca="false">IF($G2720="","",3キー同時!$G$318)</f>
        <v/>
      </c>
      <c r="J2720" s="2" t="str">
        <f aca="false">IF($G2720="","","]")</f>
        <v/>
      </c>
      <c r="K2720" s="2" t="str">
        <f aca="false">""</f>
        <v/>
      </c>
      <c r="L2720" s="2" t="str">
        <f aca="false">IF($G2720="","","同時")</f>
        <v/>
      </c>
      <c r="M2720" s="2" t="str">
        <f aca="false">IF($G2720="","",IF(ISNA(MATCH($G2720,個別指定!$A:$A,0)),"行なし",""))</f>
        <v/>
      </c>
      <c r="N2720" s="2" t="str">
        <f aca="false">IF($G2720="","",IF(COUNTIF($G$2:$G$4460,$G2720)&gt;1,"重複",""))</f>
        <v/>
      </c>
    </row>
    <row r="2721" customFormat="false" ht="16.5" hidden="false" customHeight="true" outlineLevel="0" collapsed="false">
      <c r="A2721" s="2" t="s">
        <v>416</v>
      </c>
      <c r="B2721" s="2" t="s">
        <v>441</v>
      </c>
      <c r="C2721" s="2" t="s">
        <v>24</v>
      </c>
      <c r="D2721" s="2" t="str">
        <f aca="false">IF(3キー同時!$B$318="","",3キー同時!$B$318)</f>
        <v/>
      </c>
      <c r="E2721" s="2" t="str">
        <f aca="false">IF(3キー同時!$G$318="","",3キー同時!$G$318)</f>
        <v/>
      </c>
      <c r="F2721" s="2" t="str">
        <f aca="false">""</f>
        <v/>
      </c>
      <c r="G2721" s="2" t="str">
        <f aca="false">IF(OR(3キー同時!$B$318="",3キー同時!$G$318=""),"",IF(3キー同時!I324="","",SUBSTITUTE(SUBSTITUTE(3キー同時!I324," ",""),"　","")))</f>
        <v/>
      </c>
      <c r="H2721" s="2" t="str">
        <f aca="false">IF($G2721="","",3キー同時!$B$318)</f>
        <v/>
      </c>
      <c r="I2721" s="2" t="str">
        <f aca="false">IF($G2721="","",3キー同時!$G$318)</f>
        <v/>
      </c>
      <c r="J2721" s="2" t="str">
        <f aca="false">IF($G2721="","","a")</f>
        <v/>
      </c>
      <c r="K2721" s="2" t="str">
        <f aca="false">""</f>
        <v/>
      </c>
      <c r="L2721" s="2" t="str">
        <f aca="false">IF($G2721="","","同時")</f>
        <v/>
      </c>
      <c r="M2721" s="2" t="str">
        <f aca="false">IF($G2721="","",IF(ISNA(MATCH($G2721,個別指定!$A:$A,0)),"行なし",""))</f>
        <v/>
      </c>
      <c r="N2721" s="2" t="str">
        <f aca="false">IF($G2721="","",IF(COUNTIF($G$2:$G$4460,$G2721)&gt;1,"重複",""))</f>
        <v/>
      </c>
    </row>
    <row r="2722" customFormat="false" ht="16.5" hidden="false" customHeight="true" outlineLevel="0" collapsed="false">
      <c r="A2722" s="2" t="s">
        <v>416</v>
      </c>
      <c r="B2722" s="2" t="s">
        <v>441</v>
      </c>
      <c r="C2722" s="2" t="s">
        <v>25</v>
      </c>
      <c r="D2722" s="2" t="str">
        <f aca="false">IF(3キー同時!$B$318="","",3キー同時!$B$318)</f>
        <v/>
      </c>
      <c r="E2722" s="2" t="str">
        <f aca="false">IF(3キー同時!$G$318="","",3キー同時!$G$318)</f>
        <v/>
      </c>
      <c r="F2722" s="2" t="str">
        <f aca="false">""</f>
        <v/>
      </c>
      <c r="G2722" s="2" t="str">
        <f aca="false">IF(OR(3キー同時!$B$318="",3キー同時!$G$318=""),"",IF(3キー同時!M324="","",SUBSTITUTE(SUBSTITUTE(3キー同時!M324," ",""),"　","")))</f>
        <v/>
      </c>
      <c r="H2722" s="2" t="str">
        <f aca="false">IF($G2722="","",3キー同時!$B$318)</f>
        <v/>
      </c>
      <c r="I2722" s="2" t="str">
        <f aca="false">IF($G2722="","",3キー同時!$G$318)</f>
        <v/>
      </c>
      <c r="J2722" s="2" t="str">
        <f aca="false">IF($G2722="","","s")</f>
        <v/>
      </c>
      <c r="K2722" s="2" t="str">
        <f aca="false">""</f>
        <v/>
      </c>
      <c r="L2722" s="2" t="str">
        <f aca="false">IF($G2722="","","同時")</f>
        <v/>
      </c>
      <c r="M2722" s="2" t="str">
        <f aca="false">IF($G2722="","",IF(ISNA(MATCH($G2722,個別指定!$A:$A,0)),"行なし",""))</f>
        <v/>
      </c>
      <c r="N2722" s="2" t="str">
        <f aca="false">IF($G2722="","",IF(COUNTIF($G$2:$G$4460,$G2722)&gt;1,"重複",""))</f>
        <v/>
      </c>
    </row>
    <row r="2723" customFormat="false" ht="16.5" hidden="false" customHeight="true" outlineLevel="0" collapsed="false">
      <c r="A2723" s="2" t="s">
        <v>416</v>
      </c>
      <c r="B2723" s="2" t="s">
        <v>441</v>
      </c>
      <c r="C2723" s="2" t="s">
        <v>26</v>
      </c>
      <c r="D2723" s="2" t="str">
        <f aca="false">IF(3キー同時!$B$318="","",3キー同時!$B$318)</f>
        <v/>
      </c>
      <c r="E2723" s="2" t="str">
        <f aca="false">IF(3キー同時!$G$318="","",3キー同時!$G$318)</f>
        <v/>
      </c>
      <c r="F2723" s="2" t="str">
        <f aca="false">""</f>
        <v/>
      </c>
      <c r="G2723" s="2" t="str">
        <f aca="false">IF(OR(3キー同時!$B$318="",3キー同時!$G$318=""),"",IF(3キー同時!Q324="","",SUBSTITUTE(SUBSTITUTE(3キー同時!Q324," ",""),"　","")))</f>
        <v/>
      </c>
      <c r="H2723" s="2" t="str">
        <f aca="false">IF($G2723="","",3キー同時!$B$318)</f>
        <v/>
      </c>
      <c r="I2723" s="2" t="str">
        <f aca="false">IF($G2723="","",3キー同時!$G$318)</f>
        <v/>
      </c>
      <c r="J2723" s="2" t="str">
        <f aca="false">IF($G2723="","","d")</f>
        <v/>
      </c>
      <c r="K2723" s="2" t="str">
        <f aca="false">""</f>
        <v/>
      </c>
      <c r="L2723" s="2" t="str">
        <f aca="false">IF($G2723="","","同時")</f>
        <v/>
      </c>
      <c r="M2723" s="2" t="str">
        <f aca="false">IF($G2723="","",IF(ISNA(MATCH($G2723,個別指定!$A:$A,0)),"行なし",""))</f>
        <v/>
      </c>
      <c r="N2723" s="2" t="str">
        <f aca="false">IF($G2723="","",IF(COUNTIF($G$2:$G$4460,$G2723)&gt;1,"重複",""))</f>
        <v/>
      </c>
    </row>
    <row r="2724" customFormat="false" ht="16.5" hidden="false" customHeight="true" outlineLevel="0" collapsed="false">
      <c r="A2724" s="2" t="s">
        <v>416</v>
      </c>
      <c r="B2724" s="2" t="s">
        <v>441</v>
      </c>
      <c r="C2724" s="2" t="s">
        <v>27</v>
      </c>
      <c r="D2724" s="2" t="str">
        <f aca="false">IF(3キー同時!$B$318="","",3キー同時!$B$318)</f>
        <v/>
      </c>
      <c r="E2724" s="2" t="str">
        <f aca="false">IF(3キー同時!$G$318="","",3キー同時!$G$318)</f>
        <v/>
      </c>
      <c r="F2724" s="2" t="str">
        <f aca="false">""</f>
        <v/>
      </c>
      <c r="G2724" s="2" t="str">
        <f aca="false">IF(OR(3キー同時!$B$318="",3キー同時!$G$318=""),"",IF(3キー同時!U324="","",SUBSTITUTE(SUBSTITUTE(3キー同時!U324," ",""),"　","")))</f>
        <v/>
      </c>
      <c r="H2724" s="2" t="str">
        <f aca="false">IF($G2724="","",3キー同時!$B$318)</f>
        <v/>
      </c>
      <c r="I2724" s="2" t="str">
        <f aca="false">IF($G2724="","",3キー同時!$G$318)</f>
        <v/>
      </c>
      <c r="J2724" s="2" t="str">
        <f aca="false">IF($G2724="","","f")</f>
        <v/>
      </c>
      <c r="K2724" s="2" t="str">
        <f aca="false">""</f>
        <v/>
      </c>
      <c r="L2724" s="2" t="str">
        <f aca="false">IF($G2724="","","同時")</f>
        <v/>
      </c>
      <c r="M2724" s="2" t="str">
        <f aca="false">IF($G2724="","",IF(ISNA(MATCH($G2724,個別指定!$A:$A,0)),"行なし",""))</f>
        <v/>
      </c>
      <c r="N2724" s="2" t="str">
        <f aca="false">IF($G2724="","",IF(COUNTIF($G$2:$G$4460,$G2724)&gt;1,"重複",""))</f>
        <v/>
      </c>
    </row>
    <row r="2725" customFormat="false" ht="16.5" hidden="false" customHeight="true" outlineLevel="0" collapsed="false">
      <c r="A2725" s="2" t="s">
        <v>416</v>
      </c>
      <c r="B2725" s="2" t="s">
        <v>441</v>
      </c>
      <c r="C2725" s="2" t="s">
        <v>28</v>
      </c>
      <c r="D2725" s="2" t="str">
        <f aca="false">IF(3キー同時!$B$318="","",3キー同時!$B$318)</f>
        <v/>
      </c>
      <c r="E2725" s="2" t="str">
        <f aca="false">IF(3キー同時!$G$318="","",3キー同時!$G$318)</f>
        <v/>
      </c>
      <c r="F2725" s="2" t="str">
        <f aca="false">""</f>
        <v/>
      </c>
      <c r="G2725" s="2" t="str">
        <f aca="false">IF(OR(3キー同時!$B$318="",3キー同時!$G$318=""),"",IF(3キー同時!Y324="","",SUBSTITUTE(SUBSTITUTE(3キー同時!Y324," ",""),"　","")))</f>
        <v/>
      </c>
      <c r="H2725" s="2" t="str">
        <f aca="false">IF($G2725="","",3キー同時!$B$318)</f>
        <v/>
      </c>
      <c r="I2725" s="2" t="str">
        <f aca="false">IF($G2725="","",3キー同時!$G$318)</f>
        <v/>
      </c>
      <c r="J2725" s="2" t="str">
        <f aca="false">IF($G2725="","","g")</f>
        <v/>
      </c>
      <c r="K2725" s="2" t="str">
        <f aca="false">""</f>
        <v/>
      </c>
      <c r="L2725" s="2" t="str">
        <f aca="false">IF($G2725="","","同時")</f>
        <v/>
      </c>
      <c r="M2725" s="2" t="str">
        <f aca="false">IF($G2725="","",IF(ISNA(MATCH($G2725,個別指定!$A:$A,0)),"行なし",""))</f>
        <v/>
      </c>
      <c r="N2725" s="2" t="str">
        <f aca="false">IF($G2725="","",IF(COUNTIF($G$2:$G$4460,$G2725)&gt;1,"重複",""))</f>
        <v/>
      </c>
    </row>
    <row r="2726" customFormat="false" ht="16.5" hidden="false" customHeight="true" outlineLevel="0" collapsed="false">
      <c r="A2726" s="2" t="s">
        <v>416</v>
      </c>
      <c r="B2726" s="2" t="s">
        <v>441</v>
      </c>
      <c r="C2726" s="2" t="s">
        <v>29</v>
      </c>
      <c r="D2726" s="2" t="str">
        <f aca="false">IF(3キー同時!$B$318="","",3キー同時!$B$318)</f>
        <v/>
      </c>
      <c r="E2726" s="2" t="str">
        <f aca="false">IF(3キー同時!$G$318="","",3キー同時!$G$318)</f>
        <v/>
      </c>
      <c r="F2726" s="2" t="str">
        <f aca="false">""</f>
        <v/>
      </c>
      <c r="G2726" s="2" t="str">
        <f aca="false">IF(OR(3キー同時!$B$318="",3キー同時!$G$318=""),"",IF(3キー同時!AC324="","",SUBSTITUTE(SUBSTITUTE(3キー同時!AC324," ",""),"　","")))</f>
        <v/>
      </c>
      <c r="H2726" s="2" t="str">
        <f aca="false">IF($G2726="","",3キー同時!$B$318)</f>
        <v/>
      </c>
      <c r="I2726" s="2" t="str">
        <f aca="false">IF($G2726="","",3キー同時!$G$318)</f>
        <v/>
      </c>
      <c r="J2726" s="2" t="str">
        <f aca="false">IF($G2726="","","h")</f>
        <v/>
      </c>
      <c r="K2726" s="2" t="str">
        <f aca="false">""</f>
        <v/>
      </c>
      <c r="L2726" s="2" t="str">
        <f aca="false">IF($G2726="","","同時")</f>
        <v/>
      </c>
      <c r="M2726" s="2" t="str">
        <f aca="false">IF($G2726="","",IF(ISNA(MATCH($G2726,個別指定!$A:$A,0)),"行なし",""))</f>
        <v/>
      </c>
      <c r="N2726" s="2" t="str">
        <f aca="false">IF($G2726="","",IF(COUNTIF($G$2:$G$4460,$G2726)&gt;1,"重複",""))</f>
        <v/>
      </c>
    </row>
    <row r="2727" customFormat="false" ht="16.5" hidden="false" customHeight="true" outlineLevel="0" collapsed="false">
      <c r="A2727" s="2" t="s">
        <v>416</v>
      </c>
      <c r="B2727" s="2" t="s">
        <v>441</v>
      </c>
      <c r="C2727" s="2" t="s">
        <v>30</v>
      </c>
      <c r="D2727" s="2" t="str">
        <f aca="false">IF(3キー同時!$B$318="","",3キー同時!$B$318)</f>
        <v/>
      </c>
      <c r="E2727" s="2" t="str">
        <f aca="false">IF(3キー同時!$G$318="","",3キー同時!$G$318)</f>
        <v/>
      </c>
      <c r="F2727" s="2" t="str">
        <f aca="false">""</f>
        <v/>
      </c>
      <c r="G2727" s="2" t="str">
        <f aca="false">IF(OR(3キー同時!$B$318="",3キー同時!$G$318=""),"",IF(3キー同時!AG324="","",SUBSTITUTE(SUBSTITUTE(3キー同時!AG324," ",""),"　","")))</f>
        <v/>
      </c>
      <c r="H2727" s="2" t="str">
        <f aca="false">IF($G2727="","",3キー同時!$B$318)</f>
        <v/>
      </c>
      <c r="I2727" s="2" t="str">
        <f aca="false">IF($G2727="","",3キー同時!$G$318)</f>
        <v/>
      </c>
      <c r="J2727" s="2" t="str">
        <f aca="false">IF($G2727="","","j")</f>
        <v/>
      </c>
      <c r="K2727" s="2" t="str">
        <f aca="false">""</f>
        <v/>
      </c>
      <c r="L2727" s="2" t="str">
        <f aca="false">IF($G2727="","","同時")</f>
        <v/>
      </c>
      <c r="M2727" s="2" t="str">
        <f aca="false">IF($G2727="","",IF(ISNA(MATCH($G2727,個別指定!$A:$A,0)),"行なし",""))</f>
        <v/>
      </c>
      <c r="N2727" s="2" t="str">
        <f aca="false">IF($G2727="","",IF(COUNTIF($G$2:$G$4460,$G2727)&gt;1,"重複",""))</f>
        <v/>
      </c>
    </row>
    <row r="2728" customFormat="false" ht="16.5" hidden="false" customHeight="true" outlineLevel="0" collapsed="false">
      <c r="A2728" s="2" t="s">
        <v>416</v>
      </c>
      <c r="B2728" s="2" t="s">
        <v>441</v>
      </c>
      <c r="C2728" s="2" t="s">
        <v>31</v>
      </c>
      <c r="D2728" s="2" t="str">
        <f aca="false">IF(3キー同時!$B$318="","",3キー同時!$B$318)</f>
        <v/>
      </c>
      <c r="E2728" s="2" t="str">
        <f aca="false">IF(3キー同時!$G$318="","",3キー同時!$G$318)</f>
        <v/>
      </c>
      <c r="F2728" s="2" t="str">
        <f aca="false">""</f>
        <v/>
      </c>
      <c r="G2728" s="2" t="str">
        <f aca="false">IF(OR(3キー同時!$B$318="",3キー同時!$G$318=""),"",IF(3キー同時!AK324="","",SUBSTITUTE(SUBSTITUTE(3キー同時!AK324," ",""),"　","")))</f>
        <v/>
      </c>
      <c r="H2728" s="2" t="str">
        <f aca="false">IF($G2728="","",3キー同時!$B$318)</f>
        <v/>
      </c>
      <c r="I2728" s="2" t="str">
        <f aca="false">IF($G2728="","",3キー同時!$G$318)</f>
        <v/>
      </c>
      <c r="J2728" s="2" t="str">
        <f aca="false">IF($G2728="","","k")</f>
        <v/>
      </c>
      <c r="K2728" s="2" t="str">
        <f aca="false">""</f>
        <v/>
      </c>
      <c r="L2728" s="2" t="str">
        <f aca="false">IF($G2728="","","同時")</f>
        <v/>
      </c>
      <c r="M2728" s="2" t="str">
        <f aca="false">IF($G2728="","",IF(ISNA(MATCH($G2728,個別指定!$A:$A,0)),"行なし",""))</f>
        <v/>
      </c>
      <c r="N2728" s="2" t="str">
        <f aca="false">IF($G2728="","",IF(COUNTIF($G$2:$G$4460,$G2728)&gt;1,"重複",""))</f>
        <v/>
      </c>
    </row>
    <row r="2729" customFormat="false" ht="16.5" hidden="false" customHeight="true" outlineLevel="0" collapsed="false">
      <c r="A2729" s="2" t="s">
        <v>416</v>
      </c>
      <c r="B2729" s="2" t="s">
        <v>441</v>
      </c>
      <c r="C2729" s="2" t="s">
        <v>32</v>
      </c>
      <c r="D2729" s="2" t="str">
        <f aca="false">IF(3キー同時!$B$318="","",3キー同時!$B$318)</f>
        <v/>
      </c>
      <c r="E2729" s="2" t="str">
        <f aca="false">IF(3キー同時!$G$318="","",3キー同時!$G$318)</f>
        <v/>
      </c>
      <c r="F2729" s="2" t="str">
        <f aca="false">""</f>
        <v/>
      </c>
      <c r="G2729" s="2" t="str">
        <f aca="false">IF(OR(3キー同時!$B$318="",3キー同時!$G$318=""),"",IF(3キー同時!AO324="","",SUBSTITUTE(SUBSTITUTE(3キー同時!AO324," ",""),"　","")))</f>
        <v/>
      </c>
      <c r="H2729" s="2" t="str">
        <f aca="false">IF($G2729="","",3キー同時!$B$318)</f>
        <v/>
      </c>
      <c r="I2729" s="2" t="str">
        <f aca="false">IF($G2729="","",3キー同時!$G$318)</f>
        <v/>
      </c>
      <c r="J2729" s="2" t="str">
        <f aca="false">IF($G2729="","","l")</f>
        <v/>
      </c>
      <c r="K2729" s="2" t="str">
        <f aca="false">""</f>
        <v/>
      </c>
      <c r="L2729" s="2" t="str">
        <f aca="false">IF($G2729="","","同時")</f>
        <v/>
      </c>
      <c r="M2729" s="2" t="str">
        <f aca="false">IF($G2729="","",IF(ISNA(MATCH($G2729,個別指定!$A:$A,0)),"行なし",""))</f>
        <v/>
      </c>
      <c r="N2729" s="2" t="str">
        <f aca="false">IF($G2729="","",IF(COUNTIF($G$2:$G$4460,$G2729)&gt;1,"重複",""))</f>
        <v/>
      </c>
    </row>
    <row r="2730" customFormat="false" ht="16.5" hidden="false" customHeight="true" outlineLevel="0" collapsed="false">
      <c r="A2730" s="2" t="s">
        <v>416</v>
      </c>
      <c r="B2730" s="2" t="s">
        <v>441</v>
      </c>
      <c r="C2730" s="2" t="s">
        <v>33</v>
      </c>
      <c r="D2730" s="2" t="str">
        <f aca="false">IF(3キー同時!$B$318="","",3キー同時!$B$318)</f>
        <v/>
      </c>
      <c r="E2730" s="2" t="str">
        <f aca="false">IF(3キー同時!$G$318="","",3キー同時!$G$318)</f>
        <v/>
      </c>
      <c r="F2730" s="2" t="str">
        <f aca="false">""</f>
        <v/>
      </c>
      <c r="G2730" s="2" t="str">
        <f aca="false">IF(OR(3キー同時!$B$318="",3キー同時!$G$318=""),"",IF(3キー同時!AS324="","",SUBSTITUTE(SUBSTITUTE(3キー同時!AS324," ",""),"　","")))</f>
        <v/>
      </c>
      <c r="H2730" s="2" t="str">
        <f aca="false">IF($G2730="","",3キー同時!$B$318)</f>
        <v/>
      </c>
      <c r="I2730" s="2" t="str">
        <f aca="false">IF($G2730="","",3キー同時!$G$318)</f>
        <v/>
      </c>
      <c r="J2730" s="2" t="str">
        <f aca="false">IF($G2730="","",";")</f>
        <v/>
      </c>
      <c r="K2730" s="2" t="str">
        <f aca="false">""</f>
        <v/>
      </c>
      <c r="L2730" s="2" t="str">
        <f aca="false">IF($G2730="","","同時")</f>
        <v/>
      </c>
      <c r="M2730" s="2" t="str">
        <f aca="false">IF($G2730="","",IF(ISNA(MATCH($G2730,個別指定!$A:$A,0)),"行なし",""))</f>
        <v/>
      </c>
      <c r="N2730" s="2" t="str">
        <f aca="false">IF($G2730="","",IF(COUNTIF($G$2:$G$4460,$G2730)&gt;1,"重複",""))</f>
        <v/>
      </c>
    </row>
    <row r="2731" customFormat="false" ht="16.5" hidden="false" customHeight="true" outlineLevel="0" collapsed="false">
      <c r="A2731" s="2" t="s">
        <v>416</v>
      </c>
      <c r="B2731" s="2" t="s">
        <v>441</v>
      </c>
      <c r="C2731" s="2" t="s">
        <v>34</v>
      </c>
      <c r="D2731" s="2" t="str">
        <f aca="false">IF(3キー同時!$B$318="","",3キー同時!$B$318)</f>
        <v/>
      </c>
      <c r="E2731" s="2" t="str">
        <f aca="false">IF(3キー同時!$G$318="","",3キー同時!$G$318)</f>
        <v/>
      </c>
      <c r="F2731" s="2" t="str">
        <f aca="false">""</f>
        <v/>
      </c>
      <c r="G2731" s="2" t="str">
        <f aca="false">IF(OR(3キー同時!$B$318="",3キー同時!$G$318=""),"",IF(3キー同時!AW324="","",SUBSTITUTE(SUBSTITUTE(3キー同時!AW324," ",""),"　","")))</f>
        <v/>
      </c>
      <c r="H2731" s="2" t="str">
        <f aca="false">IF($G2731="","",3キー同時!$B$318)</f>
        <v/>
      </c>
      <c r="I2731" s="2" t="str">
        <f aca="false">IF($G2731="","",3キー同時!$G$318)</f>
        <v/>
      </c>
      <c r="J2731" s="2" t="str">
        <f aca="false">IF($G2731="","","'")</f>
        <v/>
      </c>
      <c r="K2731" s="2" t="str">
        <f aca="false">""</f>
        <v/>
      </c>
      <c r="L2731" s="2" t="str">
        <f aca="false">IF($G2731="","","同時")</f>
        <v/>
      </c>
      <c r="M2731" s="2" t="str">
        <f aca="false">IF($G2731="","",IF(ISNA(MATCH($G2731,個別指定!$A:$A,0)),"行なし",""))</f>
        <v/>
      </c>
      <c r="N2731" s="2" t="str">
        <f aca="false">IF($G2731="","",IF(COUNTIF($G$2:$G$4460,$G2731)&gt;1,"重複",""))</f>
        <v/>
      </c>
    </row>
    <row r="2732" customFormat="false" ht="16.5" hidden="false" customHeight="true" outlineLevel="0" collapsed="false">
      <c r="A2732" s="2" t="s">
        <v>416</v>
      </c>
      <c r="B2732" s="2" t="s">
        <v>441</v>
      </c>
      <c r="C2732" s="2" t="s">
        <v>35</v>
      </c>
      <c r="D2732" s="2" t="str">
        <f aca="false">IF(3キー同時!$B$318="","",3キー同時!$B$318)</f>
        <v/>
      </c>
      <c r="E2732" s="2" t="str">
        <f aca="false">IF(3キー同時!$G$318="","",3キー同時!$G$318)</f>
        <v/>
      </c>
      <c r="F2732" s="2" t="str">
        <f aca="false">""</f>
        <v/>
      </c>
      <c r="G2732" s="2" t="str">
        <f aca="false">IF(OR(3キー同時!$B$318="",3キー同時!$G$318=""),"",IF(3キー同時!K326="","",SUBSTITUTE(SUBSTITUTE(3キー同時!K326," ",""),"　","")))</f>
        <v/>
      </c>
      <c r="H2732" s="2" t="str">
        <f aca="false">IF($G2732="","",3キー同時!$B$318)</f>
        <v/>
      </c>
      <c r="I2732" s="2" t="str">
        <f aca="false">IF($G2732="","",3キー同時!$G$318)</f>
        <v/>
      </c>
      <c r="J2732" s="2" t="str">
        <f aca="false">IF($G2732="","","z")</f>
        <v/>
      </c>
      <c r="K2732" s="2" t="str">
        <f aca="false">""</f>
        <v/>
      </c>
      <c r="L2732" s="2" t="str">
        <f aca="false">IF($G2732="","","同時")</f>
        <v/>
      </c>
      <c r="M2732" s="2" t="str">
        <f aca="false">IF($G2732="","",IF(ISNA(MATCH($G2732,個別指定!$A:$A,0)),"行なし",""))</f>
        <v/>
      </c>
      <c r="N2732" s="2" t="str">
        <f aca="false">IF($G2732="","",IF(COUNTIF($G$2:$G$4460,$G2732)&gt;1,"重複",""))</f>
        <v/>
      </c>
    </row>
    <row r="2733" customFormat="false" ht="16.5" hidden="false" customHeight="true" outlineLevel="0" collapsed="false">
      <c r="A2733" s="2" t="s">
        <v>416</v>
      </c>
      <c r="B2733" s="2" t="s">
        <v>441</v>
      </c>
      <c r="C2733" s="2" t="s">
        <v>36</v>
      </c>
      <c r="D2733" s="2" t="str">
        <f aca="false">IF(3キー同時!$B$318="","",3キー同時!$B$318)</f>
        <v/>
      </c>
      <c r="E2733" s="2" t="str">
        <f aca="false">IF(3キー同時!$G$318="","",3キー同時!$G$318)</f>
        <v/>
      </c>
      <c r="F2733" s="2" t="str">
        <f aca="false">""</f>
        <v/>
      </c>
      <c r="G2733" s="2" t="str">
        <f aca="false">IF(OR(3キー同時!$B$318="",3キー同時!$G$318=""),"",IF(3キー同時!O326="","",SUBSTITUTE(SUBSTITUTE(3キー同時!O326," ",""),"　","")))</f>
        <v/>
      </c>
      <c r="H2733" s="2" t="str">
        <f aca="false">IF($G2733="","",3キー同時!$B$318)</f>
        <v/>
      </c>
      <c r="I2733" s="2" t="str">
        <f aca="false">IF($G2733="","",3キー同時!$G$318)</f>
        <v/>
      </c>
      <c r="J2733" s="2" t="str">
        <f aca="false">IF($G2733="","","x")</f>
        <v/>
      </c>
      <c r="K2733" s="2" t="str">
        <f aca="false">""</f>
        <v/>
      </c>
      <c r="L2733" s="2" t="str">
        <f aca="false">IF($G2733="","","同時")</f>
        <v/>
      </c>
      <c r="M2733" s="2" t="str">
        <f aca="false">IF($G2733="","",IF(ISNA(MATCH($G2733,個別指定!$A:$A,0)),"行なし",""))</f>
        <v/>
      </c>
      <c r="N2733" s="2" t="str">
        <f aca="false">IF($G2733="","",IF(COUNTIF($G$2:$G$4460,$G2733)&gt;1,"重複",""))</f>
        <v/>
      </c>
    </row>
    <row r="2734" customFormat="false" ht="16.5" hidden="false" customHeight="true" outlineLevel="0" collapsed="false">
      <c r="A2734" s="2" t="s">
        <v>416</v>
      </c>
      <c r="B2734" s="2" t="s">
        <v>441</v>
      </c>
      <c r="C2734" s="2" t="s">
        <v>37</v>
      </c>
      <c r="D2734" s="2" t="str">
        <f aca="false">IF(3キー同時!$B$318="","",3キー同時!$B$318)</f>
        <v/>
      </c>
      <c r="E2734" s="2" t="str">
        <f aca="false">IF(3キー同時!$G$318="","",3キー同時!$G$318)</f>
        <v/>
      </c>
      <c r="F2734" s="2" t="str">
        <f aca="false">""</f>
        <v/>
      </c>
      <c r="G2734" s="2" t="str">
        <f aca="false">IF(OR(3キー同時!$B$318="",3キー同時!$G$318=""),"",IF(3キー同時!S326="","",SUBSTITUTE(SUBSTITUTE(3キー同時!S326," ",""),"　","")))</f>
        <v/>
      </c>
      <c r="H2734" s="2" t="str">
        <f aca="false">IF($G2734="","",3キー同時!$B$318)</f>
        <v/>
      </c>
      <c r="I2734" s="2" t="str">
        <f aca="false">IF($G2734="","",3キー同時!$G$318)</f>
        <v/>
      </c>
      <c r="J2734" s="2" t="str">
        <f aca="false">IF($G2734="","","c")</f>
        <v/>
      </c>
      <c r="K2734" s="2" t="str">
        <f aca="false">""</f>
        <v/>
      </c>
      <c r="L2734" s="2" t="str">
        <f aca="false">IF($G2734="","","同時")</f>
        <v/>
      </c>
      <c r="M2734" s="2" t="str">
        <f aca="false">IF($G2734="","",IF(ISNA(MATCH($G2734,個別指定!$A:$A,0)),"行なし",""))</f>
        <v/>
      </c>
      <c r="N2734" s="2" t="str">
        <f aca="false">IF($G2734="","",IF(COUNTIF($G$2:$G$4460,$G2734)&gt;1,"重複",""))</f>
        <v/>
      </c>
    </row>
    <row r="2735" customFormat="false" ht="16.5" hidden="false" customHeight="true" outlineLevel="0" collapsed="false">
      <c r="A2735" s="2" t="s">
        <v>416</v>
      </c>
      <c r="B2735" s="2" t="s">
        <v>441</v>
      </c>
      <c r="C2735" s="2" t="s">
        <v>38</v>
      </c>
      <c r="D2735" s="2" t="str">
        <f aca="false">IF(3キー同時!$B$318="","",3キー同時!$B$318)</f>
        <v/>
      </c>
      <c r="E2735" s="2" t="str">
        <f aca="false">IF(3キー同時!$G$318="","",3キー同時!$G$318)</f>
        <v/>
      </c>
      <c r="F2735" s="2" t="str">
        <f aca="false">""</f>
        <v/>
      </c>
      <c r="G2735" s="2" t="str">
        <f aca="false">IF(OR(3キー同時!$B$318="",3キー同時!$G$318=""),"",IF(3キー同時!W326="","",SUBSTITUTE(SUBSTITUTE(3キー同時!W326," ",""),"　","")))</f>
        <v/>
      </c>
      <c r="H2735" s="2" t="str">
        <f aca="false">IF($G2735="","",3キー同時!$B$318)</f>
        <v/>
      </c>
      <c r="I2735" s="2" t="str">
        <f aca="false">IF($G2735="","",3キー同時!$G$318)</f>
        <v/>
      </c>
      <c r="J2735" s="2" t="str">
        <f aca="false">IF($G2735="","","v")</f>
        <v/>
      </c>
      <c r="K2735" s="2" t="str">
        <f aca="false">""</f>
        <v/>
      </c>
      <c r="L2735" s="2" t="str">
        <f aca="false">IF($G2735="","","同時")</f>
        <v/>
      </c>
      <c r="M2735" s="2" t="str">
        <f aca="false">IF($G2735="","",IF(ISNA(MATCH($G2735,個別指定!$A:$A,0)),"行なし",""))</f>
        <v/>
      </c>
      <c r="N2735" s="2" t="str">
        <f aca="false">IF($G2735="","",IF(COUNTIF($G$2:$G$4460,$G2735)&gt;1,"重複",""))</f>
        <v/>
      </c>
    </row>
    <row r="2736" customFormat="false" ht="16.5" hidden="false" customHeight="true" outlineLevel="0" collapsed="false">
      <c r="A2736" s="2" t="s">
        <v>416</v>
      </c>
      <c r="B2736" s="2" t="s">
        <v>441</v>
      </c>
      <c r="C2736" s="2" t="s">
        <v>39</v>
      </c>
      <c r="D2736" s="2" t="str">
        <f aca="false">IF(3キー同時!$B$318="","",3キー同時!$B$318)</f>
        <v/>
      </c>
      <c r="E2736" s="2" t="str">
        <f aca="false">IF(3キー同時!$G$318="","",3キー同時!$G$318)</f>
        <v/>
      </c>
      <c r="F2736" s="2" t="str">
        <f aca="false">""</f>
        <v/>
      </c>
      <c r="G2736" s="2" t="str">
        <f aca="false">IF(OR(3キー同時!$B$318="",3キー同時!$G$318=""),"",IF(3キー同時!AA326="","",SUBSTITUTE(SUBSTITUTE(3キー同時!AA326," ",""),"　","")))</f>
        <v/>
      </c>
      <c r="H2736" s="2" t="str">
        <f aca="false">IF($G2736="","",3キー同時!$B$318)</f>
        <v/>
      </c>
      <c r="I2736" s="2" t="str">
        <f aca="false">IF($G2736="","",3キー同時!$G$318)</f>
        <v/>
      </c>
      <c r="J2736" s="2" t="str">
        <f aca="false">IF($G2736="","","b")</f>
        <v/>
      </c>
      <c r="K2736" s="2" t="str">
        <f aca="false">""</f>
        <v/>
      </c>
      <c r="L2736" s="2" t="str">
        <f aca="false">IF($G2736="","","同時")</f>
        <v/>
      </c>
      <c r="M2736" s="2" t="str">
        <f aca="false">IF($G2736="","",IF(ISNA(MATCH($G2736,個別指定!$A:$A,0)),"行なし",""))</f>
        <v/>
      </c>
      <c r="N2736" s="2" t="str">
        <f aca="false">IF($G2736="","",IF(COUNTIF($G$2:$G$4460,$G2736)&gt;1,"重複",""))</f>
        <v/>
      </c>
    </row>
    <row r="2737" customFormat="false" ht="16.5" hidden="false" customHeight="true" outlineLevel="0" collapsed="false">
      <c r="A2737" s="2" t="s">
        <v>416</v>
      </c>
      <c r="B2737" s="2" t="s">
        <v>441</v>
      </c>
      <c r="C2737" s="2" t="s">
        <v>40</v>
      </c>
      <c r="D2737" s="2" t="str">
        <f aca="false">IF(3キー同時!$B$318="","",3キー同時!$B$318)</f>
        <v/>
      </c>
      <c r="E2737" s="2" t="str">
        <f aca="false">IF(3キー同時!$G$318="","",3キー同時!$G$318)</f>
        <v/>
      </c>
      <c r="F2737" s="2" t="str">
        <f aca="false">""</f>
        <v/>
      </c>
      <c r="G2737" s="2" t="str">
        <f aca="false">IF(OR(3キー同時!$B$318="",3キー同時!$G$318=""),"",IF(3キー同時!AE326="","",SUBSTITUTE(SUBSTITUTE(3キー同時!AE326," ",""),"　","")))</f>
        <v/>
      </c>
      <c r="H2737" s="2" t="str">
        <f aca="false">IF($G2737="","",3キー同時!$B$318)</f>
        <v/>
      </c>
      <c r="I2737" s="2" t="str">
        <f aca="false">IF($G2737="","",3キー同時!$G$318)</f>
        <v/>
      </c>
      <c r="J2737" s="2" t="str">
        <f aca="false">IF($G2737="","","n")</f>
        <v/>
      </c>
      <c r="K2737" s="2" t="str">
        <f aca="false">""</f>
        <v/>
      </c>
      <c r="L2737" s="2" t="str">
        <f aca="false">IF($G2737="","","同時")</f>
        <v/>
      </c>
      <c r="M2737" s="2" t="str">
        <f aca="false">IF($G2737="","",IF(ISNA(MATCH($G2737,個別指定!$A:$A,0)),"行なし",""))</f>
        <v/>
      </c>
      <c r="N2737" s="2" t="str">
        <f aca="false">IF($G2737="","",IF(COUNTIF($G$2:$G$4460,$G2737)&gt;1,"重複",""))</f>
        <v/>
      </c>
    </row>
    <row r="2738" customFormat="false" ht="16.5" hidden="false" customHeight="true" outlineLevel="0" collapsed="false">
      <c r="A2738" s="2" t="s">
        <v>416</v>
      </c>
      <c r="B2738" s="2" t="s">
        <v>441</v>
      </c>
      <c r="C2738" s="2" t="s">
        <v>41</v>
      </c>
      <c r="D2738" s="2" t="str">
        <f aca="false">IF(3キー同時!$B$318="","",3キー同時!$B$318)</f>
        <v/>
      </c>
      <c r="E2738" s="2" t="str">
        <f aca="false">IF(3キー同時!$G$318="","",3キー同時!$G$318)</f>
        <v/>
      </c>
      <c r="F2738" s="2" t="str">
        <f aca="false">""</f>
        <v/>
      </c>
      <c r="G2738" s="2" t="str">
        <f aca="false">IF(OR(3キー同時!$B$318="",3キー同時!$G$318=""),"",IF(3キー同時!AI326="","",SUBSTITUTE(SUBSTITUTE(3キー同時!AI326," ",""),"　","")))</f>
        <v/>
      </c>
      <c r="H2738" s="2" t="str">
        <f aca="false">IF($G2738="","",3キー同時!$B$318)</f>
        <v/>
      </c>
      <c r="I2738" s="2" t="str">
        <f aca="false">IF($G2738="","",3キー同時!$G$318)</f>
        <v/>
      </c>
      <c r="J2738" s="2" t="str">
        <f aca="false">IF($G2738="","","m")</f>
        <v/>
      </c>
      <c r="K2738" s="2" t="str">
        <f aca="false">""</f>
        <v/>
      </c>
      <c r="L2738" s="2" t="str">
        <f aca="false">IF($G2738="","","同時")</f>
        <v/>
      </c>
      <c r="M2738" s="2" t="str">
        <f aca="false">IF($G2738="","",IF(ISNA(MATCH($G2738,個別指定!$A:$A,0)),"行なし",""))</f>
        <v/>
      </c>
      <c r="N2738" s="2" t="str">
        <f aca="false">IF($G2738="","",IF(COUNTIF($G$2:$G$4460,$G2738)&gt;1,"重複",""))</f>
        <v/>
      </c>
    </row>
    <row r="2739" customFormat="false" ht="16.5" hidden="false" customHeight="true" outlineLevel="0" collapsed="false">
      <c r="A2739" s="2" t="s">
        <v>416</v>
      </c>
      <c r="B2739" s="2" t="s">
        <v>441</v>
      </c>
      <c r="C2739" s="2" t="s">
        <v>42</v>
      </c>
      <c r="D2739" s="2" t="str">
        <f aca="false">IF(3キー同時!$B$318="","",3キー同時!$B$318)</f>
        <v/>
      </c>
      <c r="E2739" s="2" t="str">
        <f aca="false">IF(3キー同時!$G$318="","",3キー同時!$G$318)</f>
        <v/>
      </c>
      <c r="F2739" s="2" t="str">
        <f aca="false">""</f>
        <v/>
      </c>
      <c r="G2739" s="2" t="str">
        <f aca="false">IF(OR(3キー同時!$B$318="",3キー同時!$G$318=""),"",IF(3キー同時!AM326="","",SUBSTITUTE(SUBSTITUTE(3キー同時!AM326," ",""),"　","")))</f>
        <v/>
      </c>
      <c r="H2739" s="2" t="str">
        <f aca="false">IF($G2739="","",3キー同時!$B$318)</f>
        <v/>
      </c>
      <c r="I2739" s="2" t="str">
        <f aca="false">IF($G2739="","",3キー同時!$G$318)</f>
        <v/>
      </c>
      <c r="J2739" s="2" t="str">
        <f aca="false">IF($G2739="","",",")</f>
        <v/>
      </c>
      <c r="K2739" s="2" t="str">
        <f aca="false">""</f>
        <v/>
      </c>
      <c r="L2739" s="2" t="str">
        <f aca="false">IF($G2739="","","同時")</f>
        <v/>
      </c>
      <c r="M2739" s="2" t="str">
        <f aca="false">IF($G2739="","",IF(ISNA(MATCH($G2739,個別指定!$A:$A,0)),"行なし",""))</f>
        <v/>
      </c>
      <c r="N2739" s="2" t="str">
        <f aca="false">IF($G2739="","",IF(COUNTIF($G$2:$G$4460,$G2739)&gt;1,"重複",""))</f>
        <v/>
      </c>
    </row>
    <row r="2740" customFormat="false" ht="16.5" hidden="false" customHeight="true" outlineLevel="0" collapsed="false">
      <c r="A2740" s="2" t="s">
        <v>416</v>
      </c>
      <c r="B2740" s="2" t="s">
        <v>441</v>
      </c>
      <c r="C2740" s="2" t="s">
        <v>43</v>
      </c>
      <c r="D2740" s="2" t="str">
        <f aca="false">IF(3キー同時!$B$318="","",3キー同時!$B$318)</f>
        <v/>
      </c>
      <c r="E2740" s="2" t="str">
        <f aca="false">IF(3キー同時!$G$318="","",3キー同時!$G$318)</f>
        <v/>
      </c>
      <c r="F2740" s="2" t="str">
        <f aca="false">""</f>
        <v/>
      </c>
      <c r="G2740" s="2" t="str">
        <f aca="false">IF(OR(3キー同時!$B$318="",3キー同時!$G$318=""),"",IF(3キー同時!AQ326="","",SUBSTITUTE(SUBSTITUTE(3キー同時!AQ326," ",""),"　","")))</f>
        <v/>
      </c>
      <c r="H2740" s="2" t="str">
        <f aca="false">IF($G2740="","",3キー同時!$B$318)</f>
        <v/>
      </c>
      <c r="I2740" s="2" t="str">
        <f aca="false">IF($G2740="","",3キー同時!$G$318)</f>
        <v/>
      </c>
      <c r="J2740" s="2" t="str">
        <f aca="false">IF($G2740="","",".")</f>
        <v/>
      </c>
      <c r="K2740" s="2" t="str">
        <f aca="false">""</f>
        <v/>
      </c>
      <c r="L2740" s="2" t="str">
        <f aca="false">IF($G2740="","","同時")</f>
        <v/>
      </c>
      <c r="M2740" s="2" t="str">
        <f aca="false">IF($G2740="","",IF(ISNA(MATCH($G2740,個別指定!$A:$A,0)),"行なし",""))</f>
        <v/>
      </c>
      <c r="N2740" s="2" t="str">
        <f aca="false">IF($G2740="","",IF(COUNTIF($G$2:$G$4460,$G2740)&gt;1,"重複",""))</f>
        <v/>
      </c>
    </row>
    <row r="2741" customFormat="false" ht="16.5" hidden="false" customHeight="true" outlineLevel="0" collapsed="false">
      <c r="A2741" s="2" t="s">
        <v>416</v>
      </c>
      <c r="B2741" s="2" t="s">
        <v>441</v>
      </c>
      <c r="C2741" s="2" t="s">
        <v>44</v>
      </c>
      <c r="D2741" s="2" t="str">
        <f aca="false">IF(3キー同時!$B$318="","",3キー同時!$B$318)</f>
        <v/>
      </c>
      <c r="E2741" s="2" t="str">
        <f aca="false">IF(3キー同時!$G$318="","",3キー同時!$G$318)</f>
        <v/>
      </c>
      <c r="F2741" s="2" t="str">
        <f aca="false">""</f>
        <v/>
      </c>
      <c r="G2741" s="2" t="str">
        <f aca="false">IF(OR(3キー同時!$B$318="",3キー同時!$G$318=""),"",IF(3キー同時!AU326="","",SUBSTITUTE(SUBSTITUTE(3キー同時!AU326," ",""),"　","")))</f>
        <v/>
      </c>
      <c r="H2741" s="2" t="str">
        <f aca="false">IF($G2741="","",3キー同時!$B$318)</f>
        <v/>
      </c>
      <c r="I2741" s="2" t="str">
        <f aca="false">IF($G2741="","",3キー同時!$G$318)</f>
        <v/>
      </c>
      <c r="J2741" s="2" t="str">
        <f aca="false">IF($G2741="","","/")</f>
        <v/>
      </c>
      <c r="K2741" s="2" t="str">
        <f aca="false">""</f>
        <v/>
      </c>
      <c r="L2741" s="2" t="str">
        <f aca="false">IF($G2741="","","同時")</f>
        <v/>
      </c>
      <c r="M2741" s="2" t="str">
        <f aca="false">IF($G2741="","",IF(ISNA(MATCH($G2741,個別指定!$A:$A,0)),"行なし",""))</f>
        <v/>
      </c>
      <c r="N2741" s="2" t="str">
        <f aca="false">IF($G2741="","",IF(COUNTIF($G$2:$G$4460,$G2741)&gt;1,"重複",""))</f>
        <v/>
      </c>
    </row>
    <row r="2742" customFormat="false" ht="16.5" hidden="false" customHeight="true" outlineLevel="0" collapsed="false">
      <c r="A2742" s="2" t="s">
        <v>416</v>
      </c>
      <c r="B2742" s="2" t="s">
        <v>441</v>
      </c>
      <c r="C2742" s="2" t="s">
        <v>48</v>
      </c>
      <c r="D2742" s="2" t="str">
        <f aca="false">IF(3キー同時!$B$318="","",3キー同時!$B$318)</f>
        <v/>
      </c>
      <c r="E2742" s="2" t="str">
        <f aca="false">IF(3キー同時!$G$318="","",3キー同時!$G$318)</f>
        <v/>
      </c>
      <c r="F2742" s="2" t="str">
        <f aca="false">""</f>
        <v/>
      </c>
      <c r="G2742" s="2" t="str">
        <f aca="false">IF(OR(3キー同時!$B$318="",3キー同時!$G$318=""),"",IF(3キー同時!P328="","",SUBSTITUTE(SUBSTITUTE(3キー同時!P328," ",""),"　","")))</f>
        <v/>
      </c>
      <c r="H2742" s="2" t="str">
        <f aca="false">IF($G2742="","",3キー同時!$B$318)</f>
        <v/>
      </c>
      <c r="I2742" s="2" t="str">
        <f aca="false">IF($G2742="","",3キー同時!$G$318)</f>
        <v/>
      </c>
      <c r="J2742" s="2" t="str">
        <f aca="false">IF($G2742="","","muhenkan")</f>
        <v/>
      </c>
      <c r="K2742" s="2" t="str">
        <f aca="false">""</f>
        <v/>
      </c>
      <c r="L2742" s="2" t="str">
        <f aca="false">IF($G2742="","","同時")</f>
        <v/>
      </c>
      <c r="M2742" s="2" t="str">
        <f aca="false">IF($G2742="","",IF(ISNA(MATCH($G2742,個別指定!$A:$A,0)),"行なし",""))</f>
        <v/>
      </c>
      <c r="N2742" s="2" t="str">
        <f aca="false">IF($G2742="","",IF(COUNTIF($G$2:$G$4460,$G2742)&gt;1,"重複",""))</f>
        <v/>
      </c>
    </row>
    <row r="2743" customFormat="false" ht="16.5" hidden="false" customHeight="true" outlineLevel="0" collapsed="false">
      <c r="A2743" s="2" t="s">
        <v>416</v>
      </c>
      <c r="B2743" s="2" t="s">
        <v>441</v>
      </c>
      <c r="C2743" s="2" t="s">
        <v>50</v>
      </c>
      <c r="D2743" s="2" t="str">
        <f aca="false">IF(3キー同時!$B$318="","",3キー同時!$B$318)</f>
        <v/>
      </c>
      <c r="E2743" s="2" t="str">
        <f aca="false">IF(3キー同時!$G$318="","",3キー同時!$G$318)</f>
        <v/>
      </c>
      <c r="F2743" s="2" t="str">
        <f aca="false">""</f>
        <v/>
      </c>
      <c r="G2743" s="2" t="str">
        <f aca="false">IF(OR(3キー同時!$B$318="",3キー同時!$G$318=""),"",IF(3キー同時!T328="","",SUBSTITUTE(SUBSTITUTE(3キー同時!T328," ",""),"　","")))</f>
        <v/>
      </c>
      <c r="H2743" s="2" t="str">
        <f aca="false">IF($G2743="","",3キー同時!$B$318)</f>
        <v/>
      </c>
      <c r="I2743" s="2" t="str">
        <f aca="false">IF($G2743="","",3キー同時!$G$318)</f>
        <v/>
      </c>
      <c r="J2743" s="2" t="str">
        <f aca="false">IF($G2743="","","space")</f>
        <v/>
      </c>
      <c r="K2743" s="2" t="str">
        <f aca="false">""</f>
        <v/>
      </c>
      <c r="L2743" s="2" t="str">
        <f aca="false">IF($G2743="","","同時")</f>
        <v/>
      </c>
      <c r="M2743" s="2" t="str">
        <f aca="false">IF($G2743="","",IF(ISNA(MATCH($G2743,個別指定!$A:$A,0)),"行なし",""))</f>
        <v/>
      </c>
      <c r="N2743" s="2" t="str">
        <f aca="false">IF($G2743="","",IF(COUNTIF($G$2:$G$4460,$G2743)&gt;1,"重複",""))</f>
        <v/>
      </c>
    </row>
    <row r="2744" customFormat="false" ht="16.5" hidden="false" customHeight="true" outlineLevel="0" collapsed="false">
      <c r="A2744" s="2" t="s">
        <v>416</v>
      </c>
      <c r="B2744" s="2" t="s">
        <v>441</v>
      </c>
      <c r="C2744" s="2" t="s">
        <v>45</v>
      </c>
      <c r="D2744" s="2" t="str">
        <f aca="false">IF(3キー同時!$B$318="","",3キー同時!$B$318)</f>
        <v/>
      </c>
      <c r="E2744" s="2" t="str">
        <f aca="false">IF(3キー同時!$G$318="","",3キー同時!$G$318)</f>
        <v/>
      </c>
      <c r="F2744" s="2" t="str">
        <f aca="false">""</f>
        <v/>
      </c>
      <c r="G2744" s="2" t="str">
        <f aca="false">IF(OR(3キー同時!$B$318="",3キー同時!$G$318=""),"",IF(3キー同時!AL328="","",SUBSTITUTE(SUBSTITUTE(3キー同時!AL328," ",""),"　","")))</f>
        <v/>
      </c>
      <c r="H2744" s="2" t="str">
        <f aca="false">IF($G2744="","",3キー同時!$B$318)</f>
        <v/>
      </c>
      <c r="I2744" s="2" t="str">
        <f aca="false">IF($G2744="","",3キー同時!$G$318)</f>
        <v/>
      </c>
      <c r="J2744" s="2" t="str">
        <f aca="false">IF($G2744="","","henkan")</f>
        <v/>
      </c>
      <c r="K2744" s="2" t="str">
        <f aca="false">""</f>
        <v/>
      </c>
      <c r="L2744" s="2" t="str">
        <f aca="false">IF($G2744="","","同時")</f>
        <v/>
      </c>
      <c r="M2744" s="2" t="str">
        <f aca="false">IF($G2744="","",IF(ISNA(MATCH($G2744,個別指定!$A:$A,0)),"行なし",""))</f>
        <v/>
      </c>
      <c r="N2744" s="2" t="str">
        <f aca="false">IF($G2744="","",IF(COUNTIF($G$2:$G$4460,$G2744)&gt;1,"重複",""))</f>
        <v/>
      </c>
    </row>
    <row r="2745" customFormat="false" ht="16.5" hidden="false" customHeight="true" outlineLevel="0" collapsed="false">
      <c r="A2745" s="2" t="s">
        <v>416</v>
      </c>
      <c r="B2745" s="2" t="s">
        <v>441</v>
      </c>
      <c r="C2745" s="2" t="s">
        <v>46</v>
      </c>
      <c r="D2745" s="2" t="str">
        <f aca="false">IF(3キー同時!$B$318="","",3キー同時!$B$318)</f>
        <v/>
      </c>
      <c r="E2745" s="2" t="str">
        <f aca="false">IF(3キー同時!$G$318="","",3キー同時!$G$318)</f>
        <v/>
      </c>
      <c r="F2745" s="2" t="str">
        <f aca="false">""</f>
        <v/>
      </c>
      <c r="G2745" s="2" t="str">
        <f aca="false">IF(OR(3キー同時!$B$318="",3キー同時!$G$318=""),"",IF(3キー同時!AP328="","",SUBSTITUTE(SUBSTITUTE(3キー同時!AP328," ",""),"　","")))</f>
        <v/>
      </c>
      <c r="H2745" s="2" t="str">
        <f aca="false">IF($G2745="","",3キー同時!$B$318)</f>
        <v/>
      </c>
      <c r="I2745" s="2" t="str">
        <f aca="false">IF($G2745="","",3キー同時!$G$318)</f>
        <v/>
      </c>
      <c r="J2745" s="2" t="str">
        <f aca="false">IF($G2745="","","kana")</f>
        <v/>
      </c>
      <c r="K2745" s="2" t="str">
        <f aca="false">""</f>
        <v/>
      </c>
      <c r="L2745" s="2" t="str">
        <f aca="false">IF($G2745="","","同時")</f>
        <v/>
      </c>
      <c r="M2745" s="2" t="str">
        <f aca="false">IF($G2745="","",IF(ISNA(MATCH($G2745,個別指定!$A:$A,0)),"行なし",""))</f>
        <v/>
      </c>
      <c r="N2745" s="2" t="str">
        <f aca="false">IF($G2745="","",IF(COUNTIF($G$2:$G$4460,$G2745)&gt;1,"重複",""))</f>
        <v/>
      </c>
    </row>
    <row r="2746" customFormat="false" ht="16.5" hidden="false" customHeight="true" outlineLevel="0" collapsed="false">
      <c r="A2746" s="2" t="s">
        <v>416</v>
      </c>
      <c r="B2746" s="2" t="s">
        <v>442</v>
      </c>
      <c r="C2746" s="2" t="s">
        <v>0</v>
      </c>
      <c r="D2746" s="2" t="str">
        <f aca="false">IF(3キー同時!$B$331="","",3キー同時!$B$331)</f>
        <v/>
      </c>
      <c r="E2746" s="2" t="str">
        <f aca="false">IF(3キー同時!$G$331="","",3キー同時!$G$331)</f>
        <v/>
      </c>
      <c r="F2746" s="2" t="str">
        <f aca="false">""</f>
        <v/>
      </c>
      <c r="G2746" s="2" t="str">
        <f aca="false">IF(OR(3キー同時!$B$331="",3キー同時!$G$331=""),"",IF(3キー同時!F333="","",SUBSTITUTE(SUBSTITUTE(3キー同時!F333," ",""),"　","")))</f>
        <v/>
      </c>
      <c r="H2746" s="2" t="str">
        <f aca="false">IF($G2746="","",3キー同時!$B$331)</f>
        <v/>
      </c>
      <c r="I2746" s="2" t="str">
        <f aca="false">IF($G2746="","",3キー同時!$G$331)</f>
        <v/>
      </c>
      <c r="J2746" s="2" t="str">
        <f aca="false">IF($G2746="","","1")</f>
        <v/>
      </c>
      <c r="K2746" s="2" t="str">
        <f aca="false">""</f>
        <v/>
      </c>
      <c r="L2746" s="2" t="str">
        <f aca="false">IF($G2746="","","同時")</f>
        <v/>
      </c>
      <c r="M2746" s="2" t="str">
        <f aca="false">IF($G2746="","",IF(ISNA(MATCH($G2746,個別指定!$A:$A,0)),"行なし",""))</f>
        <v/>
      </c>
      <c r="N2746" s="2" t="str">
        <f aca="false">IF($G2746="","",IF(COUNTIF($G$2:$G$4460,$G2746)&gt;1,"重複",""))</f>
        <v/>
      </c>
    </row>
    <row r="2747" customFormat="false" ht="16.5" hidden="false" customHeight="true" outlineLevel="0" collapsed="false">
      <c r="A2747" s="2" t="s">
        <v>416</v>
      </c>
      <c r="B2747" s="2" t="s">
        <v>442</v>
      </c>
      <c r="C2747" s="2" t="s">
        <v>1</v>
      </c>
      <c r="D2747" s="2" t="str">
        <f aca="false">IF(3キー同時!$B$331="","",3キー同時!$B$331)</f>
        <v/>
      </c>
      <c r="E2747" s="2" t="str">
        <f aca="false">IF(3キー同時!$G$331="","",3キー同時!$G$331)</f>
        <v/>
      </c>
      <c r="F2747" s="2" t="str">
        <f aca="false">""</f>
        <v/>
      </c>
      <c r="G2747" s="2" t="str">
        <f aca="false">IF(OR(3キー同時!$B$331="",3キー同時!$G$331=""),"",IF(3キー同時!J333="","",SUBSTITUTE(SUBSTITUTE(3キー同時!J333," ",""),"　","")))</f>
        <v/>
      </c>
      <c r="H2747" s="2" t="str">
        <f aca="false">IF($G2747="","",3キー同時!$B$331)</f>
        <v/>
      </c>
      <c r="I2747" s="2" t="str">
        <f aca="false">IF($G2747="","",3キー同時!$G$331)</f>
        <v/>
      </c>
      <c r="J2747" s="2" t="str">
        <f aca="false">IF($G2747="","","2")</f>
        <v/>
      </c>
      <c r="K2747" s="2" t="str">
        <f aca="false">""</f>
        <v/>
      </c>
      <c r="L2747" s="2" t="str">
        <f aca="false">IF($G2747="","","同時")</f>
        <v/>
      </c>
      <c r="M2747" s="2" t="str">
        <f aca="false">IF($G2747="","",IF(ISNA(MATCH($G2747,個別指定!$A:$A,0)),"行なし",""))</f>
        <v/>
      </c>
      <c r="N2747" s="2" t="str">
        <f aca="false">IF($G2747="","",IF(COUNTIF($G$2:$G$4460,$G2747)&gt;1,"重複",""))</f>
        <v/>
      </c>
    </row>
    <row r="2748" customFormat="false" ht="16.5" hidden="false" customHeight="true" outlineLevel="0" collapsed="false">
      <c r="A2748" s="2" t="s">
        <v>416</v>
      </c>
      <c r="B2748" s="2" t="s">
        <v>442</v>
      </c>
      <c r="C2748" s="2" t="s">
        <v>2</v>
      </c>
      <c r="D2748" s="2" t="str">
        <f aca="false">IF(3キー同時!$B$331="","",3キー同時!$B$331)</f>
        <v/>
      </c>
      <c r="E2748" s="2" t="str">
        <f aca="false">IF(3キー同時!$G$331="","",3キー同時!$G$331)</f>
        <v/>
      </c>
      <c r="F2748" s="2" t="str">
        <f aca="false">""</f>
        <v/>
      </c>
      <c r="G2748" s="2" t="str">
        <f aca="false">IF(OR(3キー同時!$B$331="",3キー同時!$G$331=""),"",IF(3キー同時!N333="","",SUBSTITUTE(SUBSTITUTE(3キー同時!N333," ",""),"　","")))</f>
        <v/>
      </c>
      <c r="H2748" s="2" t="str">
        <f aca="false">IF($G2748="","",3キー同時!$B$331)</f>
        <v/>
      </c>
      <c r="I2748" s="2" t="str">
        <f aca="false">IF($G2748="","",3キー同時!$G$331)</f>
        <v/>
      </c>
      <c r="J2748" s="2" t="str">
        <f aca="false">IF($G2748="","","3")</f>
        <v/>
      </c>
      <c r="K2748" s="2" t="str">
        <f aca="false">""</f>
        <v/>
      </c>
      <c r="L2748" s="2" t="str">
        <f aca="false">IF($G2748="","","同時")</f>
        <v/>
      </c>
      <c r="M2748" s="2" t="str">
        <f aca="false">IF($G2748="","",IF(ISNA(MATCH($G2748,個別指定!$A:$A,0)),"行なし",""))</f>
        <v/>
      </c>
      <c r="N2748" s="2" t="str">
        <f aca="false">IF($G2748="","",IF(COUNTIF($G$2:$G$4460,$G2748)&gt;1,"重複",""))</f>
        <v/>
      </c>
    </row>
    <row r="2749" customFormat="false" ht="16.5" hidden="false" customHeight="true" outlineLevel="0" collapsed="false">
      <c r="A2749" s="2" t="s">
        <v>416</v>
      </c>
      <c r="B2749" s="2" t="s">
        <v>442</v>
      </c>
      <c r="C2749" s="2" t="s">
        <v>3</v>
      </c>
      <c r="D2749" s="2" t="str">
        <f aca="false">IF(3キー同時!$B$331="","",3キー同時!$B$331)</f>
        <v/>
      </c>
      <c r="E2749" s="2" t="str">
        <f aca="false">IF(3キー同時!$G$331="","",3キー同時!$G$331)</f>
        <v/>
      </c>
      <c r="F2749" s="2" t="str">
        <f aca="false">""</f>
        <v/>
      </c>
      <c r="G2749" s="2" t="str">
        <f aca="false">IF(OR(3キー同時!$B$331="",3キー同時!$G$331=""),"",IF(3キー同時!R333="","",SUBSTITUTE(SUBSTITUTE(3キー同時!R333," ",""),"　","")))</f>
        <v/>
      </c>
      <c r="H2749" s="2" t="str">
        <f aca="false">IF($G2749="","",3キー同時!$B$331)</f>
        <v/>
      </c>
      <c r="I2749" s="2" t="str">
        <f aca="false">IF($G2749="","",3キー同時!$G$331)</f>
        <v/>
      </c>
      <c r="J2749" s="2" t="str">
        <f aca="false">IF($G2749="","","4")</f>
        <v/>
      </c>
      <c r="K2749" s="2" t="str">
        <f aca="false">""</f>
        <v/>
      </c>
      <c r="L2749" s="2" t="str">
        <f aca="false">IF($G2749="","","同時")</f>
        <v/>
      </c>
      <c r="M2749" s="2" t="str">
        <f aca="false">IF($G2749="","",IF(ISNA(MATCH($G2749,個別指定!$A:$A,0)),"行なし",""))</f>
        <v/>
      </c>
      <c r="N2749" s="2" t="str">
        <f aca="false">IF($G2749="","",IF(COUNTIF($G$2:$G$4460,$G2749)&gt;1,"重複",""))</f>
        <v/>
      </c>
    </row>
    <row r="2750" customFormat="false" ht="16.5" hidden="false" customHeight="true" outlineLevel="0" collapsed="false">
      <c r="A2750" s="2" t="s">
        <v>416</v>
      </c>
      <c r="B2750" s="2" t="s">
        <v>442</v>
      </c>
      <c r="C2750" s="2" t="s">
        <v>4</v>
      </c>
      <c r="D2750" s="2" t="str">
        <f aca="false">IF(3キー同時!$B$331="","",3キー同時!$B$331)</f>
        <v/>
      </c>
      <c r="E2750" s="2" t="str">
        <f aca="false">IF(3キー同時!$G$331="","",3キー同時!$G$331)</f>
        <v/>
      </c>
      <c r="F2750" s="2" t="str">
        <f aca="false">""</f>
        <v/>
      </c>
      <c r="G2750" s="2" t="str">
        <f aca="false">IF(OR(3キー同時!$B$331="",3キー同時!$G$331=""),"",IF(3キー同時!V333="","",SUBSTITUTE(SUBSTITUTE(3キー同時!V333," ",""),"　","")))</f>
        <v/>
      </c>
      <c r="H2750" s="2" t="str">
        <f aca="false">IF($G2750="","",3キー同時!$B$331)</f>
        <v/>
      </c>
      <c r="I2750" s="2" t="str">
        <f aca="false">IF($G2750="","",3キー同時!$G$331)</f>
        <v/>
      </c>
      <c r="J2750" s="2" t="str">
        <f aca="false">IF($G2750="","","5")</f>
        <v/>
      </c>
      <c r="K2750" s="2" t="str">
        <f aca="false">""</f>
        <v/>
      </c>
      <c r="L2750" s="2" t="str">
        <f aca="false">IF($G2750="","","同時")</f>
        <v/>
      </c>
      <c r="M2750" s="2" t="str">
        <f aca="false">IF($G2750="","",IF(ISNA(MATCH($G2750,個別指定!$A:$A,0)),"行なし",""))</f>
        <v/>
      </c>
      <c r="N2750" s="2" t="str">
        <f aca="false">IF($G2750="","",IF(COUNTIF($G$2:$G$4460,$G2750)&gt;1,"重複",""))</f>
        <v/>
      </c>
    </row>
    <row r="2751" customFormat="false" ht="16.5" hidden="false" customHeight="true" outlineLevel="0" collapsed="false">
      <c r="A2751" s="2" t="s">
        <v>416</v>
      </c>
      <c r="B2751" s="2" t="s">
        <v>442</v>
      </c>
      <c r="C2751" s="2" t="s">
        <v>5</v>
      </c>
      <c r="D2751" s="2" t="str">
        <f aca="false">IF(3キー同時!$B$331="","",3キー同時!$B$331)</f>
        <v/>
      </c>
      <c r="E2751" s="2" t="str">
        <f aca="false">IF(3キー同時!$G$331="","",3キー同時!$G$331)</f>
        <v/>
      </c>
      <c r="F2751" s="2" t="str">
        <f aca="false">""</f>
        <v/>
      </c>
      <c r="G2751" s="2" t="str">
        <f aca="false">IF(OR(3キー同時!$B$331="",3キー同時!$G$331=""),"",IF(3キー同時!Z333="","",SUBSTITUTE(SUBSTITUTE(3キー同時!Z333," ",""),"　","")))</f>
        <v/>
      </c>
      <c r="H2751" s="2" t="str">
        <f aca="false">IF($G2751="","",3キー同時!$B$331)</f>
        <v/>
      </c>
      <c r="I2751" s="2" t="str">
        <f aca="false">IF($G2751="","",3キー同時!$G$331)</f>
        <v/>
      </c>
      <c r="J2751" s="2" t="str">
        <f aca="false">IF($G2751="","","6")</f>
        <v/>
      </c>
      <c r="K2751" s="2" t="str">
        <f aca="false">""</f>
        <v/>
      </c>
      <c r="L2751" s="2" t="str">
        <f aca="false">IF($G2751="","","同時")</f>
        <v/>
      </c>
      <c r="M2751" s="2" t="str">
        <f aca="false">IF($G2751="","",IF(ISNA(MATCH($G2751,個別指定!$A:$A,0)),"行なし",""))</f>
        <v/>
      </c>
      <c r="N2751" s="2" t="str">
        <f aca="false">IF($G2751="","",IF(COUNTIF($G$2:$G$4460,$G2751)&gt;1,"重複",""))</f>
        <v/>
      </c>
    </row>
    <row r="2752" customFormat="false" ht="16.5" hidden="false" customHeight="true" outlineLevel="0" collapsed="false">
      <c r="A2752" s="2" t="s">
        <v>416</v>
      </c>
      <c r="B2752" s="2" t="s">
        <v>442</v>
      </c>
      <c r="C2752" s="2" t="s">
        <v>6</v>
      </c>
      <c r="D2752" s="2" t="str">
        <f aca="false">IF(3キー同時!$B$331="","",3キー同時!$B$331)</f>
        <v/>
      </c>
      <c r="E2752" s="2" t="str">
        <f aca="false">IF(3キー同時!$G$331="","",3キー同時!$G$331)</f>
        <v/>
      </c>
      <c r="F2752" s="2" t="str">
        <f aca="false">""</f>
        <v/>
      </c>
      <c r="G2752" s="2" t="str">
        <f aca="false">IF(OR(3キー同時!$B$331="",3キー同時!$G$331=""),"",IF(3キー同時!AD333="","",SUBSTITUTE(SUBSTITUTE(3キー同時!AD333," ",""),"　","")))</f>
        <v/>
      </c>
      <c r="H2752" s="2" t="str">
        <f aca="false">IF($G2752="","",3キー同時!$B$331)</f>
        <v/>
      </c>
      <c r="I2752" s="2" t="str">
        <f aca="false">IF($G2752="","",3キー同時!$G$331)</f>
        <v/>
      </c>
      <c r="J2752" s="2" t="str">
        <f aca="false">IF($G2752="","","7")</f>
        <v/>
      </c>
      <c r="K2752" s="2" t="str">
        <f aca="false">""</f>
        <v/>
      </c>
      <c r="L2752" s="2" t="str">
        <f aca="false">IF($G2752="","","同時")</f>
        <v/>
      </c>
      <c r="M2752" s="2" t="str">
        <f aca="false">IF($G2752="","",IF(ISNA(MATCH($G2752,個別指定!$A:$A,0)),"行なし",""))</f>
        <v/>
      </c>
      <c r="N2752" s="2" t="str">
        <f aca="false">IF($G2752="","",IF(COUNTIF($G$2:$G$4460,$G2752)&gt;1,"重複",""))</f>
        <v/>
      </c>
    </row>
    <row r="2753" customFormat="false" ht="16.5" hidden="false" customHeight="true" outlineLevel="0" collapsed="false">
      <c r="A2753" s="2" t="s">
        <v>416</v>
      </c>
      <c r="B2753" s="2" t="s">
        <v>442</v>
      </c>
      <c r="C2753" s="2" t="s">
        <v>7</v>
      </c>
      <c r="D2753" s="2" t="str">
        <f aca="false">IF(3キー同時!$B$331="","",3キー同時!$B$331)</f>
        <v/>
      </c>
      <c r="E2753" s="2" t="str">
        <f aca="false">IF(3キー同時!$G$331="","",3キー同時!$G$331)</f>
        <v/>
      </c>
      <c r="F2753" s="2" t="str">
        <f aca="false">""</f>
        <v/>
      </c>
      <c r="G2753" s="2" t="str">
        <f aca="false">IF(OR(3キー同時!$B$331="",3キー同時!$G$331=""),"",IF(3キー同時!AH333="","",SUBSTITUTE(SUBSTITUTE(3キー同時!AH333," ",""),"　","")))</f>
        <v/>
      </c>
      <c r="H2753" s="2" t="str">
        <f aca="false">IF($G2753="","",3キー同時!$B$331)</f>
        <v/>
      </c>
      <c r="I2753" s="2" t="str">
        <f aca="false">IF($G2753="","",3キー同時!$G$331)</f>
        <v/>
      </c>
      <c r="J2753" s="2" t="str">
        <f aca="false">IF($G2753="","","8")</f>
        <v/>
      </c>
      <c r="K2753" s="2" t="str">
        <f aca="false">""</f>
        <v/>
      </c>
      <c r="L2753" s="2" t="str">
        <f aca="false">IF($G2753="","","同時")</f>
        <v/>
      </c>
      <c r="M2753" s="2" t="str">
        <f aca="false">IF($G2753="","",IF(ISNA(MATCH($G2753,個別指定!$A:$A,0)),"行なし",""))</f>
        <v/>
      </c>
      <c r="N2753" s="2" t="str">
        <f aca="false">IF($G2753="","",IF(COUNTIF($G$2:$G$4460,$G2753)&gt;1,"重複",""))</f>
        <v/>
      </c>
    </row>
    <row r="2754" customFormat="false" ht="16.5" hidden="false" customHeight="true" outlineLevel="0" collapsed="false">
      <c r="A2754" s="2" t="s">
        <v>416</v>
      </c>
      <c r="B2754" s="2" t="s">
        <v>442</v>
      </c>
      <c r="C2754" s="2" t="s">
        <v>8</v>
      </c>
      <c r="D2754" s="2" t="str">
        <f aca="false">IF(3キー同時!$B$331="","",3キー同時!$B$331)</f>
        <v/>
      </c>
      <c r="E2754" s="2" t="str">
        <f aca="false">IF(3キー同時!$G$331="","",3キー同時!$G$331)</f>
        <v/>
      </c>
      <c r="F2754" s="2" t="str">
        <f aca="false">""</f>
        <v/>
      </c>
      <c r="G2754" s="2" t="str">
        <f aca="false">IF(OR(3キー同時!$B$331="",3キー同時!$G$331=""),"",IF(3キー同時!AL333="","",SUBSTITUTE(SUBSTITUTE(3キー同時!AL333," ",""),"　","")))</f>
        <v/>
      </c>
      <c r="H2754" s="2" t="str">
        <f aca="false">IF($G2754="","",3キー同時!$B$331)</f>
        <v/>
      </c>
      <c r="I2754" s="2" t="str">
        <f aca="false">IF($G2754="","",3キー同時!$G$331)</f>
        <v/>
      </c>
      <c r="J2754" s="2" t="str">
        <f aca="false">IF($G2754="","","9")</f>
        <v/>
      </c>
      <c r="K2754" s="2" t="str">
        <f aca="false">""</f>
        <v/>
      </c>
      <c r="L2754" s="2" t="str">
        <f aca="false">IF($G2754="","","同時")</f>
        <v/>
      </c>
      <c r="M2754" s="2" t="str">
        <f aca="false">IF($G2754="","",IF(ISNA(MATCH($G2754,個別指定!$A:$A,0)),"行なし",""))</f>
        <v/>
      </c>
      <c r="N2754" s="2" t="str">
        <f aca="false">IF($G2754="","",IF(COUNTIF($G$2:$G$4460,$G2754)&gt;1,"重複",""))</f>
        <v/>
      </c>
    </row>
    <row r="2755" customFormat="false" ht="16.5" hidden="false" customHeight="true" outlineLevel="0" collapsed="false">
      <c r="A2755" s="2" t="s">
        <v>416</v>
      </c>
      <c r="B2755" s="2" t="s">
        <v>442</v>
      </c>
      <c r="C2755" s="2" t="s">
        <v>9</v>
      </c>
      <c r="D2755" s="2" t="str">
        <f aca="false">IF(3キー同時!$B$331="","",3キー同時!$B$331)</f>
        <v/>
      </c>
      <c r="E2755" s="2" t="str">
        <f aca="false">IF(3キー同時!$G$331="","",3キー同時!$G$331)</f>
        <v/>
      </c>
      <c r="F2755" s="2" t="str">
        <f aca="false">""</f>
        <v/>
      </c>
      <c r="G2755" s="2" t="str">
        <f aca="false">IF(OR(3キー同時!$B$331="",3キー同時!$G$331=""),"",IF(3キー同時!AP333="","",SUBSTITUTE(SUBSTITUTE(3キー同時!AP333," ",""),"　","")))</f>
        <v/>
      </c>
      <c r="H2755" s="2" t="str">
        <f aca="false">IF($G2755="","",3キー同時!$B$331)</f>
        <v/>
      </c>
      <c r="I2755" s="2" t="str">
        <f aca="false">IF($G2755="","",3キー同時!$G$331)</f>
        <v/>
      </c>
      <c r="J2755" s="2" t="str">
        <f aca="false">IF($G2755="","","0")</f>
        <v/>
      </c>
      <c r="K2755" s="2" t="str">
        <f aca="false">""</f>
        <v/>
      </c>
      <c r="L2755" s="2" t="str">
        <f aca="false">IF($G2755="","","同時")</f>
        <v/>
      </c>
      <c r="M2755" s="2" t="str">
        <f aca="false">IF($G2755="","",IF(ISNA(MATCH($G2755,個別指定!$A:$A,0)),"行なし",""))</f>
        <v/>
      </c>
      <c r="N2755" s="2" t="str">
        <f aca="false">IF($G2755="","",IF(COUNTIF($G$2:$G$4460,$G2755)&gt;1,"重複",""))</f>
        <v/>
      </c>
    </row>
    <row r="2756" customFormat="false" ht="16.5" hidden="false" customHeight="true" outlineLevel="0" collapsed="false">
      <c r="A2756" s="2" t="s">
        <v>416</v>
      </c>
      <c r="B2756" s="2" t="s">
        <v>442</v>
      </c>
      <c r="C2756" s="2" t="s">
        <v>10</v>
      </c>
      <c r="D2756" s="2" t="str">
        <f aca="false">IF(3キー同時!$B$331="","",3キー同時!$B$331)</f>
        <v/>
      </c>
      <c r="E2756" s="2" t="str">
        <f aca="false">IF(3キー同時!$G$331="","",3キー同時!$G$331)</f>
        <v/>
      </c>
      <c r="F2756" s="2" t="str">
        <f aca="false">""</f>
        <v/>
      </c>
      <c r="G2756" s="2" t="str">
        <f aca="false">IF(OR(3キー同時!$B$331="",3キー同時!$G$331=""),"",IF(3キー同時!AT333="","",SUBSTITUTE(SUBSTITUTE(3キー同時!AT333," ",""),"　","")))</f>
        <v/>
      </c>
      <c r="H2756" s="2" t="str">
        <f aca="false">IF($G2756="","",3キー同時!$B$331)</f>
        <v/>
      </c>
      <c r="I2756" s="2" t="str">
        <f aca="false">IF($G2756="","",3キー同時!$G$331)</f>
        <v/>
      </c>
      <c r="J2756" s="2" t="str">
        <f aca="false">IF($G2756="","","-")</f>
        <v/>
      </c>
      <c r="K2756" s="2" t="str">
        <f aca="false">""</f>
        <v/>
      </c>
      <c r="L2756" s="2" t="str">
        <f aca="false">IF($G2756="","","同時")</f>
        <v/>
      </c>
      <c r="M2756" s="2" t="str">
        <f aca="false">IF($G2756="","",IF(ISNA(MATCH($G2756,個別指定!$A:$A,0)),"行なし",""))</f>
        <v/>
      </c>
      <c r="N2756" s="2" t="str">
        <f aca="false">IF($G2756="","",IF(COUNTIF($G$2:$G$4460,$G2756)&gt;1,"重複",""))</f>
        <v/>
      </c>
    </row>
    <row r="2757" customFormat="false" ht="16.5" hidden="false" customHeight="true" outlineLevel="0" collapsed="false">
      <c r="A2757" s="2" t="s">
        <v>416</v>
      </c>
      <c r="B2757" s="2" t="s">
        <v>442</v>
      </c>
      <c r="C2757" s="2" t="s">
        <v>11</v>
      </c>
      <c r="D2757" s="2" t="str">
        <f aca="false">IF(3キー同時!$B$331="","",3キー同時!$B$331)</f>
        <v/>
      </c>
      <c r="E2757" s="2" t="str">
        <f aca="false">IF(3キー同時!$G$331="","",3キー同時!$G$331)</f>
        <v/>
      </c>
      <c r="F2757" s="2" t="str">
        <f aca="false">""</f>
        <v/>
      </c>
      <c r="G2757" s="2" t="str">
        <f aca="false">IF(OR(3キー同時!$B$331="",3キー同時!$G$331=""),"",IF(3キー同時!AX333="","",SUBSTITUTE(SUBSTITUTE(3キー同時!AX333," ",""),"　","")))</f>
        <v/>
      </c>
      <c r="H2757" s="2" t="str">
        <f aca="false">IF($G2757="","",3キー同時!$B$331)</f>
        <v/>
      </c>
      <c r="I2757" s="2" t="str">
        <f aca="false">IF($G2757="","",3キー同時!$G$331)</f>
        <v/>
      </c>
      <c r="J2757" s="2" t="str">
        <f aca="false">IF($G2757="","","=")</f>
        <v/>
      </c>
      <c r="K2757" s="2" t="str">
        <f aca="false">""</f>
        <v/>
      </c>
      <c r="L2757" s="2" t="str">
        <f aca="false">IF($G2757="","","同時")</f>
        <v/>
      </c>
      <c r="M2757" s="2" t="str">
        <f aca="false">IF($G2757="","",IF(ISNA(MATCH($G2757,個別指定!$A:$A,0)),"行なし",""))</f>
        <v/>
      </c>
      <c r="N2757" s="2" t="str">
        <f aca="false">IF($G2757="","",IF(COUNTIF($G$2:$G$4460,$G2757)&gt;1,"重複",""))</f>
        <v/>
      </c>
    </row>
    <row r="2758" customFormat="false" ht="16.5" hidden="false" customHeight="true" outlineLevel="0" collapsed="false">
      <c r="A2758" s="2" t="s">
        <v>416</v>
      </c>
      <c r="B2758" s="2" t="s">
        <v>442</v>
      </c>
      <c r="C2758" s="2" t="s">
        <v>12</v>
      </c>
      <c r="D2758" s="2" t="str">
        <f aca="false">IF(3キー同時!$B$331="","",3キー同時!$B$331)</f>
        <v/>
      </c>
      <c r="E2758" s="2" t="str">
        <f aca="false">IF(3キー同時!$G$331="","",3キー同時!$G$331)</f>
        <v/>
      </c>
      <c r="F2758" s="2" t="str">
        <f aca="false">""</f>
        <v/>
      </c>
      <c r="G2758" s="2" t="str">
        <f aca="false">IF(OR(3キー同時!$B$331="",3キー同時!$G$331=""),"",IF(3キー同時!H335="","",SUBSTITUTE(SUBSTITUTE(3キー同時!H335," ",""),"　","")))</f>
        <v/>
      </c>
      <c r="H2758" s="2" t="str">
        <f aca="false">IF($G2758="","",3キー同時!$B$331)</f>
        <v/>
      </c>
      <c r="I2758" s="2" t="str">
        <f aca="false">IF($G2758="","",3キー同時!$G$331)</f>
        <v/>
      </c>
      <c r="J2758" s="2" t="str">
        <f aca="false">IF($G2758="","","q")</f>
        <v/>
      </c>
      <c r="K2758" s="2" t="str">
        <f aca="false">""</f>
        <v/>
      </c>
      <c r="L2758" s="2" t="str">
        <f aca="false">IF($G2758="","","同時")</f>
        <v/>
      </c>
      <c r="M2758" s="2" t="str">
        <f aca="false">IF($G2758="","",IF(ISNA(MATCH($G2758,個別指定!$A:$A,0)),"行なし",""))</f>
        <v/>
      </c>
      <c r="N2758" s="2" t="str">
        <f aca="false">IF($G2758="","",IF(COUNTIF($G$2:$G$4460,$G2758)&gt;1,"重複",""))</f>
        <v/>
      </c>
    </row>
    <row r="2759" customFormat="false" ht="16.5" hidden="false" customHeight="true" outlineLevel="0" collapsed="false">
      <c r="A2759" s="2" t="s">
        <v>416</v>
      </c>
      <c r="B2759" s="2" t="s">
        <v>442</v>
      </c>
      <c r="C2759" s="2" t="s">
        <v>13</v>
      </c>
      <c r="D2759" s="2" t="str">
        <f aca="false">IF(3キー同時!$B$331="","",3キー同時!$B$331)</f>
        <v/>
      </c>
      <c r="E2759" s="2" t="str">
        <f aca="false">IF(3キー同時!$G$331="","",3キー同時!$G$331)</f>
        <v/>
      </c>
      <c r="F2759" s="2" t="str">
        <f aca="false">""</f>
        <v/>
      </c>
      <c r="G2759" s="2" t="str">
        <f aca="false">IF(OR(3キー同時!$B$331="",3キー同時!$G$331=""),"",IF(3キー同時!L335="","",SUBSTITUTE(SUBSTITUTE(3キー同時!L335," ",""),"　","")))</f>
        <v/>
      </c>
      <c r="H2759" s="2" t="str">
        <f aca="false">IF($G2759="","",3キー同時!$B$331)</f>
        <v/>
      </c>
      <c r="I2759" s="2" t="str">
        <f aca="false">IF($G2759="","",3キー同時!$G$331)</f>
        <v/>
      </c>
      <c r="J2759" s="2" t="str">
        <f aca="false">IF($G2759="","","w")</f>
        <v/>
      </c>
      <c r="K2759" s="2" t="str">
        <f aca="false">""</f>
        <v/>
      </c>
      <c r="L2759" s="2" t="str">
        <f aca="false">IF($G2759="","","同時")</f>
        <v/>
      </c>
      <c r="M2759" s="2" t="str">
        <f aca="false">IF($G2759="","",IF(ISNA(MATCH($G2759,個別指定!$A:$A,0)),"行なし",""))</f>
        <v/>
      </c>
      <c r="N2759" s="2" t="str">
        <f aca="false">IF($G2759="","",IF(COUNTIF($G$2:$G$4460,$G2759)&gt;1,"重複",""))</f>
        <v/>
      </c>
    </row>
    <row r="2760" customFormat="false" ht="16.5" hidden="false" customHeight="true" outlineLevel="0" collapsed="false">
      <c r="A2760" s="2" t="s">
        <v>416</v>
      </c>
      <c r="B2760" s="2" t="s">
        <v>442</v>
      </c>
      <c r="C2760" s="2" t="s">
        <v>14</v>
      </c>
      <c r="D2760" s="2" t="str">
        <f aca="false">IF(3キー同時!$B$331="","",3キー同時!$B$331)</f>
        <v/>
      </c>
      <c r="E2760" s="2" t="str">
        <f aca="false">IF(3キー同時!$G$331="","",3キー同時!$G$331)</f>
        <v/>
      </c>
      <c r="F2760" s="2" t="str">
        <f aca="false">""</f>
        <v/>
      </c>
      <c r="G2760" s="2" t="str">
        <f aca="false">IF(OR(3キー同時!$B$331="",3キー同時!$G$331=""),"",IF(3キー同時!P335="","",SUBSTITUTE(SUBSTITUTE(3キー同時!P335," ",""),"　","")))</f>
        <v/>
      </c>
      <c r="H2760" s="2" t="str">
        <f aca="false">IF($G2760="","",3キー同時!$B$331)</f>
        <v/>
      </c>
      <c r="I2760" s="2" t="str">
        <f aca="false">IF($G2760="","",3キー同時!$G$331)</f>
        <v/>
      </c>
      <c r="J2760" s="2" t="str">
        <f aca="false">IF($G2760="","","e")</f>
        <v/>
      </c>
      <c r="K2760" s="2" t="str">
        <f aca="false">""</f>
        <v/>
      </c>
      <c r="L2760" s="2" t="str">
        <f aca="false">IF($G2760="","","同時")</f>
        <v/>
      </c>
      <c r="M2760" s="2" t="str">
        <f aca="false">IF($G2760="","",IF(ISNA(MATCH($G2760,個別指定!$A:$A,0)),"行なし",""))</f>
        <v/>
      </c>
      <c r="N2760" s="2" t="str">
        <f aca="false">IF($G2760="","",IF(COUNTIF($G$2:$G$4460,$G2760)&gt;1,"重複",""))</f>
        <v/>
      </c>
    </row>
    <row r="2761" customFormat="false" ht="16.5" hidden="false" customHeight="true" outlineLevel="0" collapsed="false">
      <c r="A2761" s="2" t="s">
        <v>416</v>
      </c>
      <c r="B2761" s="2" t="s">
        <v>442</v>
      </c>
      <c r="C2761" s="2" t="s">
        <v>15</v>
      </c>
      <c r="D2761" s="2" t="str">
        <f aca="false">IF(3キー同時!$B$331="","",3キー同時!$B$331)</f>
        <v/>
      </c>
      <c r="E2761" s="2" t="str">
        <f aca="false">IF(3キー同時!$G$331="","",3キー同時!$G$331)</f>
        <v/>
      </c>
      <c r="F2761" s="2" t="str">
        <f aca="false">""</f>
        <v/>
      </c>
      <c r="G2761" s="2" t="str">
        <f aca="false">IF(OR(3キー同時!$B$331="",3キー同時!$G$331=""),"",IF(3キー同時!T335="","",SUBSTITUTE(SUBSTITUTE(3キー同時!T335," ",""),"　","")))</f>
        <v/>
      </c>
      <c r="H2761" s="2" t="str">
        <f aca="false">IF($G2761="","",3キー同時!$B$331)</f>
        <v/>
      </c>
      <c r="I2761" s="2" t="str">
        <f aca="false">IF($G2761="","",3キー同時!$G$331)</f>
        <v/>
      </c>
      <c r="J2761" s="2" t="str">
        <f aca="false">IF($G2761="","","r")</f>
        <v/>
      </c>
      <c r="K2761" s="2" t="str">
        <f aca="false">""</f>
        <v/>
      </c>
      <c r="L2761" s="2" t="str">
        <f aca="false">IF($G2761="","","同時")</f>
        <v/>
      </c>
      <c r="M2761" s="2" t="str">
        <f aca="false">IF($G2761="","",IF(ISNA(MATCH($G2761,個別指定!$A:$A,0)),"行なし",""))</f>
        <v/>
      </c>
      <c r="N2761" s="2" t="str">
        <f aca="false">IF($G2761="","",IF(COUNTIF($G$2:$G$4460,$G2761)&gt;1,"重複",""))</f>
        <v/>
      </c>
    </row>
    <row r="2762" customFormat="false" ht="16.5" hidden="false" customHeight="true" outlineLevel="0" collapsed="false">
      <c r="A2762" s="2" t="s">
        <v>416</v>
      </c>
      <c r="B2762" s="2" t="s">
        <v>442</v>
      </c>
      <c r="C2762" s="2" t="s">
        <v>16</v>
      </c>
      <c r="D2762" s="2" t="str">
        <f aca="false">IF(3キー同時!$B$331="","",3キー同時!$B$331)</f>
        <v/>
      </c>
      <c r="E2762" s="2" t="str">
        <f aca="false">IF(3キー同時!$G$331="","",3キー同時!$G$331)</f>
        <v/>
      </c>
      <c r="F2762" s="2" t="str">
        <f aca="false">""</f>
        <v/>
      </c>
      <c r="G2762" s="2" t="str">
        <f aca="false">IF(OR(3キー同時!$B$331="",3キー同時!$G$331=""),"",IF(3キー同時!X335="","",SUBSTITUTE(SUBSTITUTE(3キー同時!X335," ",""),"　","")))</f>
        <v/>
      </c>
      <c r="H2762" s="2" t="str">
        <f aca="false">IF($G2762="","",3キー同時!$B$331)</f>
        <v/>
      </c>
      <c r="I2762" s="2" t="str">
        <f aca="false">IF($G2762="","",3キー同時!$G$331)</f>
        <v/>
      </c>
      <c r="J2762" s="2" t="str">
        <f aca="false">IF($G2762="","","t")</f>
        <v/>
      </c>
      <c r="K2762" s="2" t="str">
        <f aca="false">""</f>
        <v/>
      </c>
      <c r="L2762" s="2" t="str">
        <f aca="false">IF($G2762="","","同時")</f>
        <v/>
      </c>
      <c r="M2762" s="2" t="str">
        <f aca="false">IF($G2762="","",IF(ISNA(MATCH($G2762,個別指定!$A:$A,0)),"行なし",""))</f>
        <v/>
      </c>
      <c r="N2762" s="2" t="str">
        <f aca="false">IF($G2762="","",IF(COUNTIF($G$2:$G$4460,$G2762)&gt;1,"重複",""))</f>
        <v/>
      </c>
    </row>
    <row r="2763" customFormat="false" ht="16.5" hidden="false" customHeight="true" outlineLevel="0" collapsed="false">
      <c r="A2763" s="2" t="s">
        <v>416</v>
      </c>
      <c r="B2763" s="2" t="s">
        <v>442</v>
      </c>
      <c r="C2763" s="2" t="s">
        <v>17</v>
      </c>
      <c r="D2763" s="2" t="str">
        <f aca="false">IF(3キー同時!$B$331="","",3キー同時!$B$331)</f>
        <v/>
      </c>
      <c r="E2763" s="2" t="str">
        <f aca="false">IF(3キー同時!$G$331="","",3キー同時!$G$331)</f>
        <v/>
      </c>
      <c r="F2763" s="2" t="str">
        <f aca="false">""</f>
        <v/>
      </c>
      <c r="G2763" s="2" t="str">
        <f aca="false">IF(OR(3キー同時!$B$331="",3キー同時!$G$331=""),"",IF(3キー同時!AB335="","",SUBSTITUTE(SUBSTITUTE(3キー同時!AB335," ",""),"　","")))</f>
        <v/>
      </c>
      <c r="H2763" s="2" t="str">
        <f aca="false">IF($G2763="","",3キー同時!$B$331)</f>
        <v/>
      </c>
      <c r="I2763" s="2" t="str">
        <f aca="false">IF($G2763="","",3キー同時!$G$331)</f>
        <v/>
      </c>
      <c r="J2763" s="2" t="str">
        <f aca="false">IF($G2763="","","y")</f>
        <v/>
      </c>
      <c r="K2763" s="2" t="str">
        <f aca="false">""</f>
        <v/>
      </c>
      <c r="L2763" s="2" t="str">
        <f aca="false">IF($G2763="","","同時")</f>
        <v/>
      </c>
      <c r="M2763" s="2" t="str">
        <f aca="false">IF($G2763="","",IF(ISNA(MATCH($G2763,個別指定!$A:$A,0)),"行なし",""))</f>
        <v/>
      </c>
      <c r="N2763" s="2" t="str">
        <f aca="false">IF($G2763="","",IF(COUNTIF($G$2:$G$4460,$G2763)&gt;1,"重複",""))</f>
        <v/>
      </c>
    </row>
    <row r="2764" customFormat="false" ht="16.5" hidden="false" customHeight="true" outlineLevel="0" collapsed="false">
      <c r="A2764" s="2" t="s">
        <v>416</v>
      </c>
      <c r="B2764" s="2" t="s">
        <v>442</v>
      </c>
      <c r="C2764" s="2" t="s">
        <v>18</v>
      </c>
      <c r="D2764" s="2" t="str">
        <f aca="false">IF(3キー同時!$B$331="","",3キー同時!$B$331)</f>
        <v/>
      </c>
      <c r="E2764" s="2" t="str">
        <f aca="false">IF(3キー同時!$G$331="","",3キー同時!$G$331)</f>
        <v/>
      </c>
      <c r="F2764" s="2" t="str">
        <f aca="false">""</f>
        <v/>
      </c>
      <c r="G2764" s="2" t="str">
        <f aca="false">IF(OR(3キー同時!$B$331="",3キー同時!$G$331=""),"",IF(3キー同時!AF335="","",SUBSTITUTE(SUBSTITUTE(3キー同時!AF335," ",""),"　","")))</f>
        <v/>
      </c>
      <c r="H2764" s="2" t="str">
        <f aca="false">IF($G2764="","",3キー同時!$B$331)</f>
        <v/>
      </c>
      <c r="I2764" s="2" t="str">
        <f aca="false">IF($G2764="","",3キー同時!$G$331)</f>
        <v/>
      </c>
      <c r="J2764" s="2" t="str">
        <f aca="false">IF($G2764="","","u")</f>
        <v/>
      </c>
      <c r="K2764" s="2" t="str">
        <f aca="false">""</f>
        <v/>
      </c>
      <c r="L2764" s="2" t="str">
        <f aca="false">IF($G2764="","","同時")</f>
        <v/>
      </c>
      <c r="M2764" s="2" t="str">
        <f aca="false">IF($G2764="","",IF(ISNA(MATCH($G2764,個別指定!$A:$A,0)),"行なし",""))</f>
        <v/>
      </c>
      <c r="N2764" s="2" t="str">
        <f aca="false">IF($G2764="","",IF(COUNTIF($G$2:$G$4460,$G2764)&gt;1,"重複",""))</f>
        <v/>
      </c>
    </row>
    <row r="2765" customFormat="false" ht="16.5" hidden="false" customHeight="true" outlineLevel="0" collapsed="false">
      <c r="A2765" s="2" t="s">
        <v>416</v>
      </c>
      <c r="B2765" s="2" t="s">
        <v>442</v>
      </c>
      <c r="C2765" s="2" t="s">
        <v>19</v>
      </c>
      <c r="D2765" s="2" t="str">
        <f aca="false">IF(3キー同時!$B$331="","",3キー同時!$B$331)</f>
        <v/>
      </c>
      <c r="E2765" s="2" t="str">
        <f aca="false">IF(3キー同時!$G$331="","",3キー同時!$G$331)</f>
        <v/>
      </c>
      <c r="F2765" s="2" t="str">
        <f aca="false">""</f>
        <v/>
      </c>
      <c r="G2765" s="2" t="str">
        <f aca="false">IF(OR(3キー同時!$B$331="",3キー同時!$G$331=""),"",IF(3キー同時!AJ335="","",SUBSTITUTE(SUBSTITUTE(3キー同時!AJ335," ",""),"　","")))</f>
        <v/>
      </c>
      <c r="H2765" s="2" t="str">
        <f aca="false">IF($G2765="","",3キー同時!$B$331)</f>
        <v/>
      </c>
      <c r="I2765" s="2" t="str">
        <f aca="false">IF($G2765="","",3キー同時!$G$331)</f>
        <v/>
      </c>
      <c r="J2765" s="2" t="str">
        <f aca="false">IF($G2765="","","i")</f>
        <v/>
      </c>
      <c r="K2765" s="2" t="str">
        <f aca="false">""</f>
        <v/>
      </c>
      <c r="L2765" s="2" t="str">
        <f aca="false">IF($G2765="","","同時")</f>
        <v/>
      </c>
      <c r="M2765" s="2" t="str">
        <f aca="false">IF($G2765="","",IF(ISNA(MATCH($G2765,個別指定!$A:$A,0)),"行なし",""))</f>
        <v/>
      </c>
      <c r="N2765" s="2" t="str">
        <f aca="false">IF($G2765="","",IF(COUNTIF($G$2:$G$4460,$G2765)&gt;1,"重複",""))</f>
        <v/>
      </c>
    </row>
    <row r="2766" customFormat="false" ht="16.5" hidden="false" customHeight="true" outlineLevel="0" collapsed="false">
      <c r="A2766" s="2" t="s">
        <v>416</v>
      </c>
      <c r="B2766" s="2" t="s">
        <v>442</v>
      </c>
      <c r="C2766" s="2" t="s">
        <v>20</v>
      </c>
      <c r="D2766" s="2" t="str">
        <f aca="false">IF(3キー同時!$B$331="","",3キー同時!$B$331)</f>
        <v/>
      </c>
      <c r="E2766" s="2" t="str">
        <f aca="false">IF(3キー同時!$G$331="","",3キー同時!$G$331)</f>
        <v/>
      </c>
      <c r="F2766" s="2" t="str">
        <f aca="false">""</f>
        <v/>
      </c>
      <c r="G2766" s="2" t="str">
        <f aca="false">IF(OR(3キー同時!$B$331="",3キー同時!$G$331=""),"",IF(3キー同時!AN335="","",SUBSTITUTE(SUBSTITUTE(3キー同時!AN335," ",""),"　","")))</f>
        <v/>
      </c>
      <c r="H2766" s="2" t="str">
        <f aca="false">IF($G2766="","",3キー同時!$B$331)</f>
        <v/>
      </c>
      <c r="I2766" s="2" t="str">
        <f aca="false">IF($G2766="","",3キー同時!$G$331)</f>
        <v/>
      </c>
      <c r="J2766" s="2" t="str">
        <f aca="false">IF($G2766="","","o")</f>
        <v/>
      </c>
      <c r="K2766" s="2" t="str">
        <f aca="false">""</f>
        <v/>
      </c>
      <c r="L2766" s="2" t="str">
        <f aca="false">IF($G2766="","","同時")</f>
        <v/>
      </c>
      <c r="M2766" s="2" t="str">
        <f aca="false">IF($G2766="","",IF(ISNA(MATCH($G2766,個別指定!$A:$A,0)),"行なし",""))</f>
        <v/>
      </c>
      <c r="N2766" s="2" t="str">
        <f aca="false">IF($G2766="","",IF(COUNTIF($G$2:$G$4460,$G2766)&gt;1,"重複",""))</f>
        <v/>
      </c>
    </row>
    <row r="2767" customFormat="false" ht="16.5" hidden="false" customHeight="true" outlineLevel="0" collapsed="false">
      <c r="A2767" s="2" t="s">
        <v>416</v>
      </c>
      <c r="B2767" s="2" t="s">
        <v>442</v>
      </c>
      <c r="C2767" s="2" t="s">
        <v>21</v>
      </c>
      <c r="D2767" s="2" t="str">
        <f aca="false">IF(3キー同時!$B$331="","",3キー同時!$B$331)</f>
        <v/>
      </c>
      <c r="E2767" s="2" t="str">
        <f aca="false">IF(3キー同時!$G$331="","",3キー同時!$G$331)</f>
        <v/>
      </c>
      <c r="F2767" s="2" t="str">
        <f aca="false">""</f>
        <v/>
      </c>
      <c r="G2767" s="2" t="str">
        <f aca="false">IF(OR(3キー同時!$B$331="",3キー同時!$G$331=""),"",IF(3キー同時!AR335="","",SUBSTITUTE(SUBSTITUTE(3キー同時!AR335," ",""),"　","")))</f>
        <v/>
      </c>
      <c r="H2767" s="2" t="str">
        <f aca="false">IF($G2767="","",3キー同時!$B$331)</f>
        <v/>
      </c>
      <c r="I2767" s="2" t="str">
        <f aca="false">IF($G2767="","",3キー同時!$G$331)</f>
        <v/>
      </c>
      <c r="J2767" s="2" t="str">
        <f aca="false">IF($G2767="","","p")</f>
        <v/>
      </c>
      <c r="K2767" s="2" t="str">
        <f aca="false">""</f>
        <v/>
      </c>
      <c r="L2767" s="2" t="str">
        <f aca="false">IF($G2767="","","同時")</f>
        <v/>
      </c>
      <c r="M2767" s="2" t="str">
        <f aca="false">IF($G2767="","",IF(ISNA(MATCH($G2767,個別指定!$A:$A,0)),"行なし",""))</f>
        <v/>
      </c>
      <c r="N2767" s="2" t="str">
        <f aca="false">IF($G2767="","",IF(COUNTIF($G$2:$G$4460,$G2767)&gt;1,"重複",""))</f>
        <v/>
      </c>
    </row>
    <row r="2768" customFormat="false" ht="16.5" hidden="false" customHeight="true" outlineLevel="0" collapsed="false">
      <c r="A2768" s="2" t="s">
        <v>416</v>
      </c>
      <c r="B2768" s="2" t="s">
        <v>442</v>
      </c>
      <c r="C2768" s="2" t="s">
        <v>22</v>
      </c>
      <c r="D2768" s="2" t="str">
        <f aca="false">IF(3キー同時!$B$331="","",3キー同時!$B$331)</f>
        <v/>
      </c>
      <c r="E2768" s="2" t="str">
        <f aca="false">IF(3キー同時!$G$331="","",3キー同時!$G$331)</f>
        <v/>
      </c>
      <c r="F2768" s="2" t="str">
        <f aca="false">""</f>
        <v/>
      </c>
      <c r="G2768" s="2" t="str">
        <f aca="false">IF(OR(3キー同時!$B$331="",3キー同時!$G$331=""),"",IF(3キー同時!AV335="","",SUBSTITUTE(SUBSTITUTE(3キー同時!AV335," ",""),"　","")))</f>
        <v/>
      </c>
      <c r="H2768" s="2" t="str">
        <f aca="false">IF($G2768="","",3キー同時!$B$331)</f>
        <v/>
      </c>
      <c r="I2768" s="2" t="str">
        <f aca="false">IF($G2768="","",3キー同時!$G$331)</f>
        <v/>
      </c>
      <c r="J2768" s="2" t="str">
        <f aca="false">IF($G2768="","","[")</f>
        <v/>
      </c>
      <c r="K2768" s="2" t="str">
        <f aca="false">""</f>
        <v/>
      </c>
      <c r="L2768" s="2" t="str">
        <f aca="false">IF($G2768="","","同時")</f>
        <v/>
      </c>
      <c r="M2768" s="2" t="str">
        <f aca="false">IF($G2768="","",IF(ISNA(MATCH($G2768,個別指定!$A:$A,0)),"行なし",""))</f>
        <v/>
      </c>
      <c r="N2768" s="2" t="str">
        <f aca="false">IF($G2768="","",IF(COUNTIF($G$2:$G$4460,$G2768)&gt;1,"重複",""))</f>
        <v/>
      </c>
    </row>
    <row r="2769" customFormat="false" ht="16.5" hidden="false" customHeight="true" outlineLevel="0" collapsed="false">
      <c r="A2769" s="2" t="s">
        <v>416</v>
      </c>
      <c r="B2769" s="2" t="s">
        <v>442</v>
      </c>
      <c r="C2769" s="2" t="s">
        <v>23</v>
      </c>
      <c r="D2769" s="2" t="str">
        <f aca="false">IF(3キー同時!$B$331="","",3キー同時!$B$331)</f>
        <v/>
      </c>
      <c r="E2769" s="2" t="str">
        <f aca="false">IF(3キー同時!$G$331="","",3キー同時!$G$331)</f>
        <v/>
      </c>
      <c r="F2769" s="2" t="str">
        <f aca="false">""</f>
        <v/>
      </c>
      <c r="G2769" s="2" t="str">
        <f aca="false">IF(OR(3キー同時!$B$331="",3キー同時!$G$331=""),"",IF(3キー同時!AZ335="","",SUBSTITUTE(SUBSTITUTE(3キー同時!AZ335," ",""),"　","")))</f>
        <v/>
      </c>
      <c r="H2769" s="2" t="str">
        <f aca="false">IF($G2769="","",3キー同時!$B$331)</f>
        <v/>
      </c>
      <c r="I2769" s="2" t="str">
        <f aca="false">IF($G2769="","",3キー同時!$G$331)</f>
        <v/>
      </c>
      <c r="J2769" s="2" t="str">
        <f aca="false">IF($G2769="","","]")</f>
        <v/>
      </c>
      <c r="K2769" s="2" t="str">
        <f aca="false">""</f>
        <v/>
      </c>
      <c r="L2769" s="2" t="str">
        <f aca="false">IF($G2769="","","同時")</f>
        <v/>
      </c>
      <c r="M2769" s="2" t="str">
        <f aca="false">IF($G2769="","",IF(ISNA(MATCH($G2769,個別指定!$A:$A,0)),"行なし",""))</f>
        <v/>
      </c>
      <c r="N2769" s="2" t="str">
        <f aca="false">IF($G2769="","",IF(COUNTIF($G$2:$G$4460,$G2769)&gt;1,"重複",""))</f>
        <v/>
      </c>
    </row>
    <row r="2770" customFormat="false" ht="16.5" hidden="false" customHeight="true" outlineLevel="0" collapsed="false">
      <c r="A2770" s="2" t="s">
        <v>416</v>
      </c>
      <c r="B2770" s="2" t="s">
        <v>442</v>
      </c>
      <c r="C2770" s="2" t="s">
        <v>24</v>
      </c>
      <c r="D2770" s="2" t="str">
        <f aca="false">IF(3キー同時!$B$331="","",3キー同時!$B$331)</f>
        <v/>
      </c>
      <c r="E2770" s="2" t="str">
        <f aca="false">IF(3キー同時!$G$331="","",3キー同時!$G$331)</f>
        <v/>
      </c>
      <c r="F2770" s="2" t="str">
        <f aca="false">""</f>
        <v/>
      </c>
      <c r="G2770" s="2" t="str">
        <f aca="false">IF(OR(3キー同時!$B$331="",3キー同時!$G$331=""),"",IF(3キー同時!I337="","",SUBSTITUTE(SUBSTITUTE(3キー同時!I337," ",""),"　","")))</f>
        <v/>
      </c>
      <c r="H2770" s="2" t="str">
        <f aca="false">IF($G2770="","",3キー同時!$B$331)</f>
        <v/>
      </c>
      <c r="I2770" s="2" t="str">
        <f aca="false">IF($G2770="","",3キー同時!$G$331)</f>
        <v/>
      </c>
      <c r="J2770" s="2" t="str">
        <f aca="false">IF($G2770="","","a")</f>
        <v/>
      </c>
      <c r="K2770" s="2" t="str">
        <f aca="false">""</f>
        <v/>
      </c>
      <c r="L2770" s="2" t="str">
        <f aca="false">IF($G2770="","","同時")</f>
        <v/>
      </c>
      <c r="M2770" s="2" t="str">
        <f aca="false">IF($G2770="","",IF(ISNA(MATCH($G2770,個別指定!$A:$A,0)),"行なし",""))</f>
        <v/>
      </c>
      <c r="N2770" s="2" t="str">
        <f aca="false">IF($G2770="","",IF(COUNTIF($G$2:$G$4460,$G2770)&gt;1,"重複",""))</f>
        <v/>
      </c>
    </row>
    <row r="2771" customFormat="false" ht="16.5" hidden="false" customHeight="true" outlineLevel="0" collapsed="false">
      <c r="A2771" s="2" t="s">
        <v>416</v>
      </c>
      <c r="B2771" s="2" t="s">
        <v>442</v>
      </c>
      <c r="C2771" s="2" t="s">
        <v>25</v>
      </c>
      <c r="D2771" s="2" t="str">
        <f aca="false">IF(3キー同時!$B$331="","",3キー同時!$B$331)</f>
        <v/>
      </c>
      <c r="E2771" s="2" t="str">
        <f aca="false">IF(3キー同時!$G$331="","",3キー同時!$G$331)</f>
        <v/>
      </c>
      <c r="F2771" s="2" t="str">
        <f aca="false">""</f>
        <v/>
      </c>
      <c r="G2771" s="2" t="str">
        <f aca="false">IF(OR(3キー同時!$B$331="",3キー同時!$G$331=""),"",IF(3キー同時!M337="","",SUBSTITUTE(SUBSTITUTE(3キー同時!M337," ",""),"　","")))</f>
        <v/>
      </c>
      <c r="H2771" s="2" t="str">
        <f aca="false">IF($G2771="","",3キー同時!$B$331)</f>
        <v/>
      </c>
      <c r="I2771" s="2" t="str">
        <f aca="false">IF($G2771="","",3キー同時!$G$331)</f>
        <v/>
      </c>
      <c r="J2771" s="2" t="str">
        <f aca="false">IF($G2771="","","s")</f>
        <v/>
      </c>
      <c r="K2771" s="2" t="str">
        <f aca="false">""</f>
        <v/>
      </c>
      <c r="L2771" s="2" t="str">
        <f aca="false">IF($G2771="","","同時")</f>
        <v/>
      </c>
      <c r="M2771" s="2" t="str">
        <f aca="false">IF($G2771="","",IF(ISNA(MATCH($G2771,個別指定!$A:$A,0)),"行なし",""))</f>
        <v/>
      </c>
      <c r="N2771" s="2" t="str">
        <f aca="false">IF($G2771="","",IF(COUNTIF($G$2:$G$4460,$G2771)&gt;1,"重複",""))</f>
        <v/>
      </c>
    </row>
    <row r="2772" customFormat="false" ht="16.5" hidden="false" customHeight="true" outlineLevel="0" collapsed="false">
      <c r="A2772" s="2" t="s">
        <v>416</v>
      </c>
      <c r="B2772" s="2" t="s">
        <v>442</v>
      </c>
      <c r="C2772" s="2" t="s">
        <v>26</v>
      </c>
      <c r="D2772" s="2" t="str">
        <f aca="false">IF(3キー同時!$B$331="","",3キー同時!$B$331)</f>
        <v/>
      </c>
      <c r="E2772" s="2" t="str">
        <f aca="false">IF(3キー同時!$G$331="","",3キー同時!$G$331)</f>
        <v/>
      </c>
      <c r="F2772" s="2" t="str">
        <f aca="false">""</f>
        <v/>
      </c>
      <c r="G2772" s="2" t="str">
        <f aca="false">IF(OR(3キー同時!$B$331="",3キー同時!$G$331=""),"",IF(3キー同時!Q337="","",SUBSTITUTE(SUBSTITUTE(3キー同時!Q337," ",""),"　","")))</f>
        <v/>
      </c>
      <c r="H2772" s="2" t="str">
        <f aca="false">IF($G2772="","",3キー同時!$B$331)</f>
        <v/>
      </c>
      <c r="I2772" s="2" t="str">
        <f aca="false">IF($G2772="","",3キー同時!$G$331)</f>
        <v/>
      </c>
      <c r="J2772" s="2" t="str">
        <f aca="false">IF($G2772="","","d")</f>
        <v/>
      </c>
      <c r="K2772" s="2" t="str">
        <f aca="false">""</f>
        <v/>
      </c>
      <c r="L2772" s="2" t="str">
        <f aca="false">IF($G2772="","","同時")</f>
        <v/>
      </c>
      <c r="M2772" s="2" t="str">
        <f aca="false">IF($G2772="","",IF(ISNA(MATCH($G2772,個別指定!$A:$A,0)),"行なし",""))</f>
        <v/>
      </c>
      <c r="N2772" s="2" t="str">
        <f aca="false">IF($G2772="","",IF(COUNTIF($G$2:$G$4460,$G2772)&gt;1,"重複",""))</f>
        <v/>
      </c>
    </row>
    <row r="2773" customFormat="false" ht="16.5" hidden="false" customHeight="true" outlineLevel="0" collapsed="false">
      <c r="A2773" s="2" t="s">
        <v>416</v>
      </c>
      <c r="B2773" s="2" t="s">
        <v>442</v>
      </c>
      <c r="C2773" s="2" t="s">
        <v>27</v>
      </c>
      <c r="D2773" s="2" t="str">
        <f aca="false">IF(3キー同時!$B$331="","",3キー同時!$B$331)</f>
        <v/>
      </c>
      <c r="E2773" s="2" t="str">
        <f aca="false">IF(3キー同時!$G$331="","",3キー同時!$G$331)</f>
        <v/>
      </c>
      <c r="F2773" s="2" t="str">
        <f aca="false">""</f>
        <v/>
      </c>
      <c r="G2773" s="2" t="str">
        <f aca="false">IF(OR(3キー同時!$B$331="",3キー同時!$G$331=""),"",IF(3キー同時!U337="","",SUBSTITUTE(SUBSTITUTE(3キー同時!U337," ",""),"　","")))</f>
        <v/>
      </c>
      <c r="H2773" s="2" t="str">
        <f aca="false">IF($G2773="","",3キー同時!$B$331)</f>
        <v/>
      </c>
      <c r="I2773" s="2" t="str">
        <f aca="false">IF($G2773="","",3キー同時!$G$331)</f>
        <v/>
      </c>
      <c r="J2773" s="2" t="str">
        <f aca="false">IF($G2773="","","f")</f>
        <v/>
      </c>
      <c r="K2773" s="2" t="str">
        <f aca="false">""</f>
        <v/>
      </c>
      <c r="L2773" s="2" t="str">
        <f aca="false">IF($G2773="","","同時")</f>
        <v/>
      </c>
      <c r="M2773" s="2" t="str">
        <f aca="false">IF($G2773="","",IF(ISNA(MATCH($G2773,個別指定!$A:$A,0)),"行なし",""))</f>
        <v/>
      </c>
      <c r="N2773" s="2" t="str">
        <f aca="false">IF($G2773="","",IF(COUNTIF($G$2:$G$4460,$G2773)&gt;1,"重複",""))</f>
        <v/>
      </c>
    </row>
    <row r="2774" customFormat="false" ht="16.5" hidden="false" customHeight="true" outlineLevel="0" collapsed="false">
      <c r="A2774" s="2" t="s">
        <v>416</v>
      </c>
      <c r="B2774" s="2" t="s">
        <v>442</v>
      </c>
      <c r="C2774" s="2" t="s">
        <v>28</v>
      </c>
      <c r="D2774" s="2" t="str">
        <f aca="false">IF(3キー同時!$B$331="","",3キー同時!$B$331)</f>
        <v/>
      </c>
      <c r="E2774" s="2" t="str">
        <f aca="false">IF(3キー同時!$G$331="","",3キー同時!$G$331)</f>
        <v/>
      </c>
      <c r="F2774" s="2" t="str">
        <f aca="false">""</f>
        <v/>
      </c>
      <c r="G2774" s="2" t="str">
        <f aca="false">IF(OR(3キー同時!$B$331="",3キー同時!$G$331=""),"",IF(3キー同時!Y337="","",SUBSTITUTE(SUBSTITUTE(3キー同時!Y337," ",""),"　","")))</f>
        <v/>
      </c>
      <c r="H2774" s="2" t="str">
        <f aca="false">IF($G2774="","",3キー同時!$B$331)</f>
        <v/>
      </c>
      <c r="I2774" s="2" t="str">
        <f aca="false">IF($G2774="","",3キー同時!$G$331)</f>
        <v/>
      </c>
      <c r="J2774" s="2" t="str">
        <f aca="false">IF($G2774="","","g")</f>
        <v/>
      </c>
      <c r="K2774" s="2" t="str">
        <f aca="false">""</f>
        <v/>
      </c>
      <c r="L2774" s="2" t="str">
        <f aca="false">IF($G2774="","","同時")</f>
        <v/>
      </c>
      <c r="M2774" s="2" t="str">
        <f aca="false">IF($G2774="","",IF(ISNA(MATCH($G2774,個別指定!$A:$A,0)),"行なし",""))</f>
        <v/>
      </c>
      <c r="N2774" s="2" t="str">
        <f aca="false">IF($G2774="","",IF(COUNTIF($G$2:$G$4460,$G2774)&gt;1,"重複",""))</f>
        <v/>
      </c>
    </row>
    <row r="2775" customFormat="false" ht="16.5" hidden="false" customHeight="true" outlineLevel="0" collapsed="false">
      <c r="A2775" s="2" t="s">
        <v>416</v>
      </c>
      <c r="B2775" s="2" t="s">
        <v>442</v>
      </c>
      <c r="C2775" s="2" t="s">
        <v>29</v>
      </c>
      <c r="D2775" s="2" t="str">
        <f aca="false">IF(3キー同時!$B$331="","",3キー同時!$B$331)</f>
        <v/>
      </c>
      <c r="E2775" s="2" t="str">
        <f aca="false">IF(3キー同時!$G$331="","",3キー同時!$G$331)</f>
        <v/>
      </c>
      <c r="F2775" s="2" t="str">
        <f aca="false">""</f>
        <v/>
      </c>
      <c r="G2775" s="2" t="str">
        <f aca="false">IF(OR(3キー同時!$B$331="",3キー同時!$G$331=""),"",IF(3キー同時!AC337="","",SUBSTITUTE(SUBSTITUTE(3キー同時!AC337," ",""),"　","")))</f>
        <v/>
      </c>
      <c r="H2775" s="2" t="str">
        <f aca="false">IF($G2775="","",3キー同時!$B$331)</f>
        <v/>
      </c>
      <c r="I2775" s="2" t="str">
        <f aca="false">IF($G2775="","",3キー同時!$G$331)</f>
        <v/>
      </c>
      <c r="J2775" s="2" t="str">
        <f aca="false">IF($G2775="","","h")</f>
        <v/>
      </c>
      <c r="K2775" s="2" t="str">
        <f aca="false">""</f>
        <v/>
      </c>
      <c r="L2775" s="2" t="str">
        <f aca="false">IF($G2775="","","同時")</f>
        <v/>
      </c>
      <c r="M2775" s="2" t="str">
        <f aca="false">IF($G2775="","",IF(ISNA(MATCH($G2775,個別指定!$A:$A,0)),"行なし",""))</f>
        <v/>
      </c>
      <c r="N2775" s="2" t="str">
        <f aca="false">IF($G2775="","",IF(COUNTIF($G$2:$G$4460,$G2775)&gt;1,"重複",""))</f>
        <v/>
      </c>
    </row>
    <row r="2776" customFormat="false" ht="16.5" hidden="false" customHeight="true" outlineLevel="0" collapsed="false">
      <c r="A2776" s="2" t="s">
        <v>416</v>
      </c>
      <c r="B2776" s="2" t="s">
        <v>442</v>
      </c>
      <c r="C2776" s="2" t="s">
        <v>30</v>
      </c>
      <c r="D2776" s="2" t="str">
        <f aca="false">IF(3キー同時!$B$331="","",3キー同時!$B$331)</f>
        <v/>
      </c>
      <c r="E2776" s="2" t="str">
        <f aca="false">IF(3キー同時!$G$331="","",3キー同時!$G$331)</f>
        <v/>
      </c>
      <c r="F2776" s="2" t="str">
        <f aca="false">""</f>
        <v/>
      </c>
      <c r="G2776" s="2" t="str">
        <f aca="false">IF(OR(3キー同時!$B$331="",3キー同時!$G$331=""),"",IF(3キー同時!AG337="","",SUBSTITUTE(SUBSTITUTE(3キー同時!AG337," ",""),"　","")))</f>
        <v/>
      </c>
      <c r="H2776" s="2" t="str">
        <f aca="false">IF($G2776="","",3キー同時!$B$331)</f>
        <v/>
      </c>
      <c r="I2776" s="2" t="str">
        <f aca="false">IF($G2776="","",3キー同時!$G$331)</f>
        <v/>
      </c>
      <c r="J2776" s="2" t="str">
        <f aca="false">IF($G2776="","","j")</f>
        <v/>
      </c>
      <c r="K2776" s="2" t="str">
        <f aca="false">""</f>
        <v/>
      </c>
      <c r="L2776" s="2" t="str">
        <f aca="false">IF($G2776="","","同時")</f>
        <v/>
      </c>
      <c r="M2776" s="2" t="str">
        <f aca="false">IF($G2776="","",IF(ISNA(MATCH($G2776,個別指定!$A:$A,0)),"行なし",""))</f>
        <v/>
      </c>
      <c r="N2776" s="2" t="str">
        <f aca="false">IF($G2776="","",IF(COUNTIF($G$2:$G$4460,$G2776)&gt;1,"重複",""))</f>
        <v/>
      </c>
    </row>
    <row r="2777" customFormat="false" ht="16.5" hidden="false" customHeight="true" outlineLevel="0" collapsed="false">
      <c r="A2777" s="2" t="s">
        <v>416</v>
      </c>
      <c r="B2777" s="2" t="s">
        <v>442</v>
      </c>
      <c r="C2777" s="2" t="s">
        <v>31</v>
      </c>
      <c r="D2777" s="2" t="str">
        <f aca="false">IF(3キー同時!$B$331="","",3キー同時!$B$331)</f>
        <v/>
      </c>
      <c r="E2777" s="2" t="str">
        <f aca="false">IF(3キー同時!$G$331="","",3キー同時!$G$331)</f>
        <v/>
      </c>
      <c r="F2777" s="2" t="str">
        <f aca="false">""</f>
        <v/>
      </c>
      <c r="G2777" s="2" t="str">
        <f aca="false">IF(OR(3キー同時!$B$331="",3キー同時!$G$331=""),"",IF(3キー同時!AK337="","",SUBSTITUTE(SUBSTITUTE(3キー同時!AK337," ",""),"　","")))</f>
        <v/>
      </c>
      <c r="H2777" s="2" t="str">
        <f aca="false">IF($G2777="","",3キー同時!$B$331)</f>
        <v/>
      </c>
      <c r="I2777" s="2" t="str">
        <f aca="false">IF($G2777="","",3キー同時!$G$331)</f>
        <v/>
      </c>
      <c r="J2777" s="2" t="str">
        <f aca="false">IF($G2777="","","k")</f>
        <v/>
      </c>
      <c r="K2777" s="2" t="str">
        <f aca="false">""</f>
        <v/>
      </c>
      <c r="L2777" s="2" t="str">
        <f aca="false">IF($G2777="","","同時")</f>
        <v/>
      </c>
      <c r="M2777" s="2" t="str">
        <f aca="false">IF($G2777="","",IF(ISNA(MATCH($G2777,個別指定!$A:$A,0)),"行なし",""))</f>
        <v/>
      </c>
      <c r="N2777" s="2" t="str">
        <f aca="false">IF($G2777="","",IF(COUNTIF($G$2:$G$4460,$G2777)&gt;1,"重複",""))</f>
        <v/>
      </c>
    </row>
    <row r="2778" customFormat="false" ht="16.5" hidden="false" customHeight="true" outlineLevel="0" collapsed="false">
      <c r="A2778" s="2" t="s">
        <v>416</v>
      </c>
      <c r="B2778" s="2" t="s">
        <v>442</v>
      </c>
      <c r="C2778" s="2" t="s">
        <v>32</v>
      </c>
      <c r="D2778" s="2" t="str">
        <f aca="false">IF(3キー同時!$B$331="","",3キー同時!$B$331)</f>
        <v/>
      </c>
      <c r="E2778" s="2" t="str">
        <f aca="false">IF(3キー同時!$G$331="","",3キー同時!$G$331)</f>
        <v/>
      </c>
      <c r="F2778" s="2" t="str">
        <f aca="false">""</f>
        <v/>
      </c>
      <c r="G2778" s="2" t="str">
        <f aca="false">IF(OR(3キー同時!$B$331="",3キー同時!$G$331=""),"",IF(3キー同時!AO337="","",SUBSTITUTE(SUBSTITUTE(3キー同時!AO337," ",""),"　","")))</f>
        <v/>
      </c>
      <c r="H2778" s="2" t="str">
        <f aca="false">IF($G2778="","",3キー同時!$B$331)</f>
        <v/>
      </c>
      <c r="I2778" s="2" t="str">
        <f aca="false">IF($G2778="","",3キー同時!$G$331)</f>
        <v/>
      </c>
      <c r="J2778" s="2" t="str">
        <f aca="false">IF($G2778="","","l")</f>
        <v/>
      </c>
      <c r="K2778" s="2" t="str">
        <f aca="false">""</f>
        <v/>
      </c>
      <c r="L2778" s="2" t="str">
        <f aca="false">IF($G2778="","","同時")</f>
        <v/>
      </c>
      <c r="M2778" s="2" t="str">
        <f aca="false">IF($G2778="","",IF(ISNA(MATCH($G2778,個別指定!$A:$A,0)),"行なし",""))</f>
        <v/>
      </c>
      <c r="N2778" s="2" t="str">
        <f aca="false">IF($G2778="","",IF(COUNTIF($G$2:$G$4460,$G2778)&gt;1,"重複",""))</f>
        <v/>
      </c>
    </row>
    <row r="2779" customFormat="false" ht="16.5" hidden="false" customHeight="true" outlineLevel="0" collapsed="false">
      <c r="A2779" s="2" t="s">
        <v>416</v>
      </c>
      <c r="B2779" s="2" t="s">
        <v>442</v>
      </c>
      <c r="C2779" s="2" t="s">
        <v>33</v>
      </c>
      <c r="D2779" s="2" t="str">
        <f aca="false">IF(3キー同時!$B$331="","",3キー同時!$B$331)</f>
        <v/>
      </c>
      <c r="E2779" s="2" t="str">
        <f aca="false">IF(3キー同時!$G$331="","",3キー同時!$G$331)</f>
        <v/>
      </c>
      <c r="F2779" s="2" t="str">
        <f aca="false">""</f>
        <v/>
      </c>
      <c r="G2779" s="2" t="str">
        <f aca="false">IF(OR(3キー同時!$B$331="",3キー同時!$G$331=""),"",IF(3キー同時!AS337="","",SUBSTITUTE(SUBSTITUTE(3キー同時!AS337," ",""),"　","")))</f>
        <v/>
      </c>
      <c r="H2779" s="2" t="str">
        <f aca="false">IF($G2779="","",3キー同時!$B$331)</f>
        <v/>
      </c>
      <c r="I2779" s="2" t="str">
        <f aca="false">IF($G2779="","",3キー同時!$G$331)</f>
        <v/>
      </c>
      <c r="J2779" s="2" t="str">
        <f aca="false">IF($G2779="","",";")</f>
        <v/>
      </c>
      <c r="K2779" s="2" t="str">
        <f aca="false">""</f>
        <v/>
      </c>
      <c r="L2779" s="2" t="str">
        <f aca="false">IF($G2779="","","同時")</f>
        <v/>
      </c>
      <c r="M2779" s="2" t="str">
        <f aca="false">IF($G2779="","",IF(ISNA(MATCH($G2779,個別指定!$A:$A,0)),"行なし",""))</f>
        <v/>
      </c>
      <c r="N2779" s="2" t="str">
        <f aca="false">IF($G2779="","",IF(COUNTIF($G$2:$G$4460,$G2779)&gt;1,"重複",""))</f>
        <v/>
      </c>
    </row>
    <row r="2780" customFormat="false" ht="16.5" hidden="false" customHeight="true" outlineLevel="0" collapsed="false">
      <c r="A2780" s="2" t="s">
        <v>416</v>
      </c>
      <c r="B2780" s="2" t="s">
        <v>442</v>
      </c>
      <c r="C2780" s="2" t="s">
        <v>34</v>
      </c>
      <c r="D2780" s="2" t="str">
        <f aca="false">IF(3キー同時!$B$331="","",3キー同時!$B$331)</f>
        <v/>
      </c>
      <c r="E2780" s="2" t="str">
        <f aca="false">IF(3キー同時!$G$331="","",3キー同時!$G$331)</f>
        <v/>
      </c>
      <c r="F2780" s="2" t="str">
        <f aca="false">""</f>
        <v/>
      </c>
      <c r="G2780" s="2" t="str">
        <f aca="false">IF(OR(3キー同時!$B$331="",3キー同時!$G$331=""),"",IF(3キー同時!AW337="","",SUBSTITUTE(SUBSTITUTE(3キー同時!AW337," ",""),"　","")))</f>
        <v/>
      </c>
      <c r="H2780" s="2" t="str">
        <f aca="false">IF($G2780="","",3キー同時!$B$331)</f>
        <v/>
      </c>
      <c r="I2780" s="2" t="str">
        <f aca="false">IF($G2780="","",3キー同時!$G$331)</f>
        <v/>
      </c>
      <c r="J2780" s="2" t="str">
        <f aca="false">IF($G2780="","","'")</f>
        <v/>
      </c>
      <c r="K2780" s="2" t="str">
        <f aca="false">""</f>
        <v/>
      </c>
      <c r="L2780" s="2" t="str">
        <f aca="false">IF($G2780="","","同時")</f>
        <v/>
      </c>
      <c r="M2780" s="2" t="str">
        <f aca="false">IF($G2780="","",IF(ISNA(MATCH($G2780,個別指定!$A:$A,0)),"行なし",""))</f>
        <v/>
      </c>
      <c r="N2780" s="2" t="str">
        <f aca="false">IF($G2780="","",IF(COUNTIF($G$2:$G$4460,$G2780)&gt;1,"重複",""))</f>
        <v/>
      </c>
    </row>
    <row r="2781" customFormat="false" ht="16.5" hidden="false" customHeight="true" outlineLevel="0" collapsed="false">
      <c r="A2781" s="2" t="s">
        <v>416</v>
      </c>
      <c r="B2781" s="2" t="s">
        <v>442</v>
      </c>
      <c r="C2781" s="2" t="s">
        <v>35</v>
      </c>
      <c r="D2781" s="2" t="str">
        <f aca="false">IF(3キー同時!$B$331="","",3キー同時!$B$331)</f>
        <v/>
      </c>
      <c r="E2781" s="2" t="str">
        <f aca="false">IF(3キー同時!$G$331="","",3キー同時!$G$331)</f>
        <v/>
      </c>
      <c r="F2781" s="2" t="str">
        <f aca="false">""</f>
        <v/>
      </c>
      <c r="G2781" s="2" t="str">
        <f aca="false">IF(OR(3キー同時!$B$331="",3キー同時!$G$331=""),"",IF(3キー同時!K339="","",SUBSTITUTE(SUBSTITUTE(3キー同時!K339," ",""),"　","")))</f>
        <v/>
      </c>
      <c r="H2781" s="2" t="str">
        <f aca="false">IF($G2781="","",3キー同時!$B$331)</f>
        <v/>
      </c>
      <c r="I2781" s="2" t="str">
        <f aca="false">IF($G2781="","",3キー同時!$G$331)</f>
        <v/>
      </c>
      <c r="J2781" s="2" t="str">
        <f aca="false">IF($G2781="","","z")</f>
        <v/>
      </c>
      <c r="K2781" s="2" t="str">
        <f aca="false">""</f>
        <v/>
      </c>
      <c r="L2781" s="2" t="str">
        <f aca="false">IF($G2781="","","同時")</f>
        <v/>
      </c>
      <c r="M2781" s="2" t="str">
        <f aca="false">IF($G2781="","",IF(ISNA(MATCH($G2781,個別指定!$A:$A,0)),"行なし",""))</f>
        <v/>
      </c>
      <c r="N2781" s="2" t="str">
        <f aca="false">IF($G2781="","",IF(COUNTIF($G$2:$G$4460,$G2781)&gt;1,"重複",""))</f>
        <v/>
      </c>
    </row>
    <row r="2782" customFormat="false" ht="16.5" hidden="false" customHeight="true" outlineLevel="0" collapsed="false">
      <c r="A2782" s="2" t="s">
        <v>416</v>
      </c>
      <c r="B2782" s="2" t="s">
        <v>442</v>
      </c>
      <c r="C2782" s="2" t="s">
        <v>36</v>
      </c>
      <c r="D2782" s="2" t="str">
        <f aca="false">IF(3キー同時!$B$331="","",3キー同時!$B$331)</f>
        <v/>
      </c>
      <c r="E2782" s="2" t="str">
        <f aca="false">IF(3キー同時!$G$331="","",3キー同時!$G$331)</f>
        <v/>
      </c>
      <c r="F2782" s="2" t="str">
        <f aca="false">""</f>
        <v/>
      </c>
      <c r="G2782" s="2" t="str">
        <f aca="false">IF(OR(3キー同時!$B$331="",3キー同時!$G$331=""),"",IF(3キー同時!O339="","",SUBSTITUTE(SUBSTITUTE(3キー同時!O339," ",""),"　","")))</f>
        <v/>
      </c>
      <c r="H2782" s="2" t="str">
        <f aca="false">IF($G2782="","",3キー同時!$B$331)</f>
        <v/>
      </c>
      <c r="I2782" s="2" t="str">
        <f aca="false">IF($G2782="","",3キー同時!$G$331)</f>
        <v/>
      </c>
      <c r="J2782" s="2" t="str">
        <f aca="false">IF($G2782="","","x")</f>
        <v/>
      </c>
      <c r="K2782" s="2" t="str">
        <f aca="false">""</f>
        <v/>
      </c>
      <c r="L2782" s="2" t="str">
        <f aca="false">IF($G2782="","","同時")</f>
        <v/>
      </c>
      <c r="M2782" s="2" t="str">
        <f aca="false">IF($G2782="","",IF(ISNA(MATCH($G2782,個別指定!$A:$A,0)),"行なし",""))</f>
        <v/>
      </c>
      <c r="N2782" s="2" t="str">
        <f aca="false">IF($G2782="","",IF(COUNTIF($G$2:$G$4460,$G2782)&gt;1,"重複",""))</f>
        <v/>
      </c>
    </row>
    <row r="2783" customFormat="false" ht="16.5" hidden="false" customHeight="true" outlineLevel="0" collapsed="false">
      <c r="A2783" s="2" t="s">
        <v>416</v>
      </c>
      <c r="B2783" s="2" t="s">
        <v>442</v>
      </c>
      <c r="C2783" s="2" t="s">
        <v>37</v>
      </c>
      <c r="D2783" s="2" t="str">
        <f aca="false">IF(3キー同時!$B$331="","",3キー同時!$B$331)</f>
        <v/>
      </c>
      <c r="E2783" s="2" t="str">
        <f aca="false">IF(3キー同時!$G$331="","",3キー同時!$G$331)</f>
        <v/>
      </c>
      <c r="F2783" s="2" t="str">
        <f aca="false">""</f>
        <v/>
      </c>
      <c r="G2783" s="2" t="str">
        <f aca="false">IF(OR(3キー同時!$B$331="",3キー同時!$G$331=""),"",IF(3キー同時!S339="","",SUBSTITUTE(SUBSTITUTE(3キー同時!S339," ",""),"　","")))</f>
        <v/>
      </c>
      <c r="H2783" s="2" t="str">
        <f aca="false">IF($G2783="","",3キー同時!$B$331)</f>
        <v/>
      </c>
      <c r="I2783" s="2" t="str">
        <f aca="false">IF($G2783="","",3キー同時!$G$331)</f>
        <v/>
      </c>
      <c r="J2783" s="2" t="str">
        <f aca="false">IF($G2783="","","c")</f>
        <v/>
      </c>
      <c r="K2783" s="2" t="str">
        <f aca="false">""</f>
        <v/>
      </c>
      <c r="L2783" s="2" t="str">
        <f aca="false">IF($G2783="","","同時")</f>
        <v/>
      </c>
      <c r="M2783" s="2" t="str">
        <f aca="false">IF($G2783="","",IF(ISNA(MATCH($G2783,個別指定!$A:$A,0)),"行なし",""))</f>
        <v/>
      </c>
      <c r="N2783" s="2" t="str">
        <f aca="false">IF($G2783="","",IF(COUNTIF($G$2:$G$4460,$G2783)&gt;1,"重複",""))</f>
        <v/>
      </c>
    </row>
    <row r="2784" customFormat="false" ht="16.5" hidden="false" customHeight="true" outlineLevel="0" collapsed="false">
      <c r="A2784" s="2" t="s">
        <v>416</v>
      </c>
      <c r="B2784" s="2" t="s">
        <v>442</v>
      </c>
      <c r="C2784" s="2" t="s">
        <v>38</v>
      </c>
      <c r="D2784" s="2" t="str">
        <f aca="false">IF(3キー同時!$B$331="","",3キー同時!$B$331)</f>
        <v/>
      </c>
      <c r="E2784" s="2" t="str">
        <f aca="false">IF(3キー同時!$G$331="","",3キー同時!$G$331)</f>
        <v/>
      </c>
      <c r="F2784" s="2" t="str">
        <f aca="false">""</f>
        <v/>
      </c>
      <c r="G2784" s="2" t="str">
        <f aca="false">IF(OR(3キー同時!$B$331="",3キー同時!$G$331=""),"",IF(3キー同時!W339="","",SUBSTITUTE(SUBSTITUTE(3キー同時!W339," ",""),"　","")))</f>
        <v/>
      </c>
      <c r="H2784" s="2" t="str">
        <f aca="false">IF($G2784="","",3キー同時!$B$331)</f>
        <v/>
      </c>
      <c r="I2784" s="2" t="str">
        <f aca="false">IF($G2784="","",3キー同時!$G$331)</f>
        <v/>
      </c>
      <c r="J2784" s="2" t="str">
        <f aca="false">IF($G2784="","","v")</f>
        <v/>
      </c>
      <c r="K2784" s="2" t="str">
        <f aca="false">""</f>
        <v/>
      </c>
      <c r="L2784" s="2" t="str">
        <f aca="false">IF($G2784="","","同時")</f>
        <v/>
      </c>
      <c r="M2784" s="2" t="str">
        <f aca="false">IF($G2784="","",IF(ISNA(MATCH($G2784,個別指定!$A:$A,0)),"行なし",""))</f>
        <v/>
      </c>
      <c r="N2784" s="2" t="str">
        <f aca="false">IF($G2784="","",IF(COUNTIF($G$2:$G$4460,$G2784)&gt;1,"重複",""))</f>
        <v/>
      </c>
    </row>
    <row r="2785" customFormat="false" ht="16.5" hidden="false" customHeight="true" outlineLevel="0" collapsed="false">
      <c r="A2785" s="2" t="s">
        <v>416</v>
      </c>
      <c r="B2785" s="2" t="s">
        <v>442</v>
      </c>
      <c r="C2785" s="2" t="s">
        <v>39</v>
      </c>
      <c r="D2785" s="2" t="str">
        <f aca="false">IF(3キー同時!$B$331="","",3キー同時!$B$331)</f>
        <v/>
      </c>
      <c r="E2785" s="2" t="str">
        <f aca="false">IF(3キー同時!$G$331="","",3キー同時!$G$331)</f>
        <v/>
      </c>
      <c r="F2785" s="2" t="str">
        <f aca="false">""</f>
        <v/>
      </c>
      <c r="G2785" s="2" t="str">
        <f aca="false">IF(OR(3キー同時!$B$331="",3キー同時!$G$331=""),"",IF(3キー同時!AA339="","",SUBSTITUTE(SUBSTITUTE(3キー同時!AA339," ",""),"　","")))</f>
        <v/>
      </c>
      <c r="H2785" s="2" t="str">
        <f aca="false">IF($G2785="","",3キー同時!$B$331)</f>
        <v/>
      </c>
      <c r="I2785" s="2" t="str">
        <f aca="false">IF($G2785="","",3キー同時!$G$331)</f>
        <v/>
      </c>
      <c r="J2785" s="2" t="str">
        <f aca="false">IF($G2785="","","b")</f>
        <v/>
      </c>
      <c r="K2785" s="2" t="str">
        <f aca="false">""</f>
        <v/>
      </c>
      <c r="L2785" s="2" t="str">
        <f aca="false">IF($G2785="","","同時")</f>
        <v/>
      </c>
      <c r="M2785" s="2" t="str">
        <f aca="false">IF($G2785="","",IF(ISNA(MATCH($G2785,個別指定!$A:$A,0)),"行なし",""))</f>
        <v/>
      </c>
      <c r="N2785" s="2" t="str">
        <f aca="false">IF($G2785="","",IF(COUNTIF($G$2:$G$4460,$G2785)&gt;1,"重複",""))</f>
        <v/>
      </c>
    </row>
    <row r="2786" customFormat="false" ht="16.5" hidden="false" customHeight="true" outlineLevel="0" collapsed="false">
      <c r="A2786" s="2" t="s">
        <v>416</v>
      </c>
      <c r="B2786" s="2" t="s">
        <v>442</v>
      </c>
      <c r="C2786" s="2" t="s">
        <v>40</v>
      </c>
      <c r="D2786" s="2" t="str">
        <f aca="false">IF(3キー同時!$B$331="","",3キー同時!$B$331)</f>
        <v/>
      </c>
      <c r="E2786" s="2" t="str">
        <f aca="false">IF(3キー同時!$G$331="","",3キー同時!$G$331)</f>
        <v/>
      </c>
      <c r="F2786" s="2" t="str">
        <f aca="false">""</f>
        <v/>
      </c>
      <c r="G2786" s="2" t="str">
        <f aca="false">IF(OR(3キー同時!$B$331="",3キー同時!$G$331=""),"",IF(3キー同時!AE339="","",SUBSTITUTE(SUBSTITUTE(3キー同時!AE339," ",""),"　","")))</f>
        <v/>
      </c>
      <c r="H2786" s="2" t="str">
        <f aca="false">IF($G2786="","",3キー同時!$B$331)</f>
        <v/>
      </c>
      <c r="I2786" s="2" t="str">
        <f aca="false">IF($G2786="","",3キー同時!$G$331)</f>
        <v/>
      </c>
      <c r="J2786" s="2" t="str">
        <f aca="false">IF($G2786="","","n")</f>
        <v/>
      </c>
      <c r="K2786" s="2" t="str">
        <f aca="false">""</f>
        <v/>
      </c>
      <c r="L2786" s="2" t="str">
        <f aca="false">IF($G2786="","","同時")</f>
        <v/>
      </c>
      <c r="M2786" s="2" t="str">
        <f aca="false">IF($G2786="","",IF(ISNA(MATCH($G2786,個別指定!$A:$A,0)),"行なし",""))</f>
        <v/>
      </c>
      <c r="N2786" s="2" t="str">
        <f aca="false">IF($G2786="","",IF(COUNTIF($G$2:$G$4460,$G2786)&gt;1,"重複",""))</f>
        <v/>
      </c>
    </row>
    <row r="2787" customFormat="false" ht="16.5" hidden="false" customHeight="true" outlineLevel="0" collapsed="false">
      <c r="A2787" s="2" t="s">
        <v>416</v>
      </c>
      <c r="B2787" s="2" t="s">
        <v>442</v>
      </c>
      <c r="C2787" s="2" t="s">
        <v>41</v>
      </c>
      <c r="D2787" s="2" t="str">
        <f aca="false">IF(3キー同時!$B$331="","",3キー同時!$B$331)</f>
        <v/>
      </c>
      <c r="E2787" s="2" t="str">
        <f aca="false">IF(3キー同時!$G$331="","",3キー同時!$G$331)</f>
        <v/>
      </c>
      <c r="F2787" s="2" t="str">
        <f aca="false">""</f>
        <v/>
      </c>
      <c r="G2787" s="2" t="str">
        <f aca="false">IF(OR(3キー同時!$B$331="",3キー同時!$G$331=""),"",IF(3キー同時!AI339="","",SUBSTITUTE(SUBSTITUTE(3キー同時!AI339," ",""),"　","")))</f>
        <v/>
      </c>
      <c r="H2787" s="2" t="str">
        <f aca="false">IF($G2787="","",3キー同時!$B$331)</f>
        <v/>
      </c>
      <c r="I2787" s="2" t="str">
        <f aca="false">IF($G2787="","",3キー同時!$G$331)</f>
        <v/>
      </c>
      <c r="J2787" s="2" t="str">
        <f aca="false">IF($G2787="","","m")</f>
        <v/>
      </c>
      <c r="K2787" s="2" t="str">
        <f aca="false">""</f>
        <v/>
      </c>
      <c r="L2787" s="2" t="str">
        <f aca="false">IF($G2787="","","同時")</f>
        <v/>
      </c>
      <c r="M2787" s="2" t="str">
        <f aca="false">IF($G2787="","",IF(ISNA(MATCH($G2787,個別指定!$A:$A,0)),"行なし",""))</f>
        <v/>
      </c>
      <c r="N2787" s="2" t="str">
        <f aca="false">IF($G2787="","",IF(COUNTIF($G$2:$G$4460,$G2787)&gt;1,"重複",""))</f>
        <v/>
      </c>
    </row>
    <row r="2788" customFormat="false" ht="16.5" hidden="false" customHeight="true" outlineLevel="0" collapsed="false">
      <c r="A2788" s="2" t="s">
        <v>416</v>
      </c>
      <c r="B2788" s="2" t="s">
        <v>442</v>
      </c>
      <c r="C2788" s="2" t="s">
        <v>42</v>
      </c>
      <c r="D2788" s="2" t="str">
        <f aca="false">IF(3キー同時!$B$331="","",3キー同時!$B$331)</f>
        <v/>
      </c>
      <c r="E2788" s="2" t="str">
        <f aca="false">IF(3キー同時!$G$331="","",3キー同時!$G$331)</f>
        <v/>
      </c>
      <c r="F2788" s="2" t="str">
        <f aca="false">""</f>
        <v/>
      </c>
      <c r="G2788" s="2" t="str">
        <f aca="false">IF(OR(3キー同時!$B$331="",3キー同時!$G$331=""),"",IF(3キー同時!AM339="","",SUBSTITUTE(SUBSTITUTE(3キー同時!AM339," ",""),"　","")))</f>
        <v/>
      </c>
      <c r="H2788" s="2" t="str">
        <f aca="false">IF($G2788="","",3キー同時!$B$331)</f>
        <v/>
      </c>
      <c r="I2788" s="2" t="str">
        <f aca="false">IF($G2788="","",3キー同時!$G$331)</f>
        <v/>
      </c>
      <c r="J2788" s="2" t="str">
        <f aca="false">IF($G2788="","",",")</f>
        <v/>
      </c>
      <c r="K2788" s="2" t="str">
        <f aca="false">""</f>
        <v/>
      </c>
      <c r="L2788" s="2" t="str">
        <f aca="false">IF($G2788="","","同時")</f>
        <v/>
      </c>
      <c r="M2788" s="2" t="str">
        <f aca="false">IF($G2788="","",IF(ISNA(MATCH($G2788,個別指定!$A:$A,0)),"行なし",""))</f>
        <v/>
      </c>
      <c r="N2788" s="2" t="str">
        <f aca="false">IF($G2788="","",IF(COUNTIF($G$2:$G$4460,$G2788)&gt;1,"重複",""))</f>
        <v/>
      </c>
    </row>
    <row r="2789" customFormat="false" ht="16.5" hidden="false" customHeight="true" outlineLevel="0" collapsed="false">
      <c r="A2789" s="2" t="s">
        <v>416</v>
      </c>
      <c r="B2789" s="2" t="s">
        <v>442</v>
      </c>
      <c r="C2789" s="2" t="s">
        <v>43</v>
      </c>
      <c r="D2789" s="2" t="str">
        <f aca="false">IF(3キー同時!$B$331="","",3キー同時!$B$331)</f>
        <v/>
      </c>
      <c r="E2789" s="2" t="str">
        <f aca="false">IF(3キー同時!$G$331="","",3キー同時!$G$331)</f>
        <v/>
      </c>
      <c r="F2789" s="2" t="str">
        <f aca="false">""</f>
        <v/>
      </c>
      <c r="G2789" s="2" t="str">
        <f aca="false">IF(OR(3キー同時!$B$331="",3キー同時!$G$331=""),"",IF(3キー同時!AQ339="","",SUBSTITUTE(SUBSTITUTE(3キー同時!AQ339," ",""),"　","")))</f>
        <v/>
      </c>
      <c r="H2789" s="2" t="str">
        <f aca="false">IF($G2789="","",3キー同時!$B$331)</f>
        <v/>
      </c>
      <c r="I2789" s="2" t="str">
        <f aca="false">IF($G2789="","",3キー同時!$G$331)</f>
        <v/>
      </c>
      <c r="J2789" s="2" t="str">
        <f aca="false">IF($G2789="","",".")</f>
        <v/>
      </c>
      <c r="K2789" s="2" t="str">
        <f aca="false">""</f>
        <v/>
      </c>
      <c r="L2789" s="2" t="str">
        <f aca="false">IF($G2789="","","同時")</f>
        <v/>
      </c>
      <c r="M2789" s="2" t="str">
        <f aca="false">IF($G2789="","",IF(ISNA(MATCH($G2789,個別指定!$A:$A,0)),"行なし",""))</f>
        <v/>
      </c>
      <c r="N2789" s="2" t="str">
        <f aca="false">IF($G2789="","",IF(COUNTIF($G$2:$G$4460,$G2789)&gt;1,"重複",""))</f>
        <v/>
      </c>
    </row>
    <row r="2790" customFormat="false" ht="16.5" hidden="false" customHeight="true" outlineLevel="0" collapsed="false">
      <c r="A2790" s="2" t="s">
        <v>416</v>
      </c>
      <c r="B2790" s="2" t="s">
        <v>442</v>
      </c>
      <c r="C2790" s="2" t="s">
        <v>44</v>
      </c>
      <c r="D2790" s="2" t="str">
        <f aca="false">IF(3キー同時!$B$331="","",3キー同時!$B$331)</f>
        <v/>
      </c>
      <c r="E2790" s="2" t="str">
        <f aca="false">IF(3キー同時!$G$331="","",3キー同時!$G$331)</f>
        <v/>
      </c>
      <c r="F2790" s="2" t="str">
        <f aca="false">""</f>
        <v/>
      </c>
      <c r="G2790" s="2" t="str">
        <f aca="false">IF(OR(3キー同時!$B$331="",3キー同時!$G$331=""),"",IF(3キー同時!AU339="","",SUBSTITUTE(SUBSTITUTE(3キー同時!AU339," ",""),"　","")))</f>
        <v/>
      </c>
      <c r="H2790" s="2" t="str">
        <f aca="false">IF($G2790="","",3キー同時!$B$331)</f>
        <v/>
      </c>
      <c r="I2790" s="2" t="str">
        <f aca="false">IF($G2790="","",3キー同時!$G$331)</f>
        <v/>
      </c>
      <c r="J2790" s="2" t="str">
        <f aca="false">IF($G2790="","","/")</f>
        <v/>
      </c>
      <c r="K2790" s="2" t="str">
        <f aca="false">""</f>
        <v/>
      </c>
      <c r="L2790" s="2" t="str">
        <f aca="false">IF($G2790="","","同時")</f>
        <v/>
      </c>
      <c r="M2790" s="2" t="str">
        <f aca="false">IF($G2790="","",IF(ISNA(MATCH($G2790,個別指定!$A:$A,0)),"行なし",""))</f>
        <v/>
      </c>
      <c r="N2790" s="2" t="str">
        <f aca="false">IF($G2790="","",IF(COUNTIF($G$2:$G$4460,$G2790)&gt;1,"重複",""))</f>
        <v/>
      </c>
    </row>
    <row r="2791" customFormat="false" ht="16.5" hidden="false" customHeight="true" outlineLevel="0" collapsed="false">
      <c r="A2791" s="2" t="s">
        <v>416</v>
      </c>
      <c r="B2791" s="2" t="s">
        <v>442</v>
      </c>
      <c r="C2791" s="2" t="s">
        <v>48</v>
      </c>
      <c r="D2791" s="2" t="str">
        <f aca="false">IF(3キー同時!$B$331="","",3キー同時!$B$331)</f>
        <v/>
      </c>
      <c r="E2791" s="2" t="str">
        <f aca="false">IF(3キー同時!$G$331="","",3キー同時!$G$331)</f>
        <v/>
      </c>
      <c r="F2791" s="2" t="str">
        <f aca="false">""</f>
        <v/>
      </c>
      <c r="G2791" s="2" t="str">
        <f aca="false">IF(OR(3キー同時!$B$331="",3キー同時!$G$331=""),"",IF(3キー同時!P341="","",SUBSTITUTE(SUBSTITUTE(3キー同時!P341," ",""),"　","")))</f>
        <v/>
      </c>
      <c r="H2791" s="2" t="str">
        <f aca="false">IF($G2791="","",3キー同時!$B$331)</f>
        <v/>
      </c>
      <c r="I2791" s="2" t="str">
        <f aca="false">IF($G2791="","",3キー同時!$G$331)</f>
        <v/>
      </c>
      <c r="J2791" s="2" t="str">
        <f aca="false">IF($G2791="","","muhenkan")</f>
        <v/>
      </c>
      <c r="K2791" s="2" t="str">
        <f aca="false">""</f>
        <v/>
      </c>
      <c r="L2791" s="2" t="str">
        <f aca="false">IF($G2791="","","同時")</f>
        <v/>
      </c>
      <c r="M2791" s="2" t="str">
        <f aca="false">IF($G2791="","",IF(ISNA(MATCH($G2791,個別指定!$A:$A,0)),"行なし",""))</f>
        <v/>
      </c>
      <c r="N2791" s="2" t="str">
        <f aca="false">IF($G2791="","",IF(COUNTIF($G$2:$G$4460,$G2791)&gt;1,"重複",""))</f>
        <v/>
      </c>
    </row>
    <row r="2792" customFormat="false" ht="16.5" hidden="false" customHeight="true" outlineLevel="0" collapsed="false">
      <c r="A2792" s="2" t="s">
        <v>416</v>
      </c>
      <c r="B2792" s="2" t="s">
        <v>442</v>
      </c>
      <c r="C2792" s="2" t="s">
        <v>50</v>
      </c>
      <c r="D2792" s="2" t="str">
        <f aca="false">IF(3キー同時!$B$331="","",3キー同時!$B$331)</f>
        <v/>
      </c>
      <c r="E2792" s="2" t="str">
        <f aca="false">IF(3キー同時!$G$331="","",3キー同時!$G$331)</f>
        <v/>
      </c>
      <c r="F2792" s="2" t="str">
        <f aca="false">""</f>
        <v/>
      </c>
      <c r="G2792" s="2" t="str">
        <f aca="false">IF(OR(3キー同時!$B$331="",3キー同時!$G$331=""),"",IF(3キー同時!T341="","",SUBSTITUTE(SUBSTITUTE(3キー同時!T341," ",""),"　","")))</f>
        <v/>
      </c>
      <c r="H2792" s="2" t="str">
        <f aca="false">IF($G2792="","",3キー同時!$B$331)</f>
        <v/>
      </c>
      <c r="I2792" s="2" t="str">
        <f aca="false">IF($G2792="","",3キー同時!$G$331)</f>
        <v/>
      </c>
      <c r="J2792" s="2" t="str">
        <f aca="false">IF($G2792="","","space")</f>
        <v/>
      </c>
      <c r="K2792" s="2" t="str">
        <f aca="false">""</f>
        <v/>
      </c>
      <c r="L2792" s="2" t="str">
        <f aca="false">IF($G2792="","","同時")</f>
        <v/>
      </c>
      <c r="M2792" s="2" t="str">
        <f aca="false">IF($G2792="","",IF(ISNA(MATCH($G2792,個別指定!$A:$A,0)),"行なし",""))</f>
        <v/>
      </c>
      <c r="N2792" s="2" t="str">
        <f aca="false">IF($G2792="","",IF(COUNTIF($G$2:$G$4460,$G2792)&gt;1,"重複",""))</f>
        <v/>
      </c>
    </row>
    <row r="2793" customFormat="false" ht="16.5" hidden="false" customHeight="true" outlineLevel="0" collapsed="false">
      <c r="A2793" s="2" t="s">
        <v>416</v>
      </c>
      <c r="B2793" s="2" t="s">
        <v>442</v>
      </c>
      <c r="C2793" s="2" t="s">
        <v>45</v>
      </c>
      <c r="D2793" s="2" t="str">
        <f aca="false">IF(3キー同時!$B$331="","",3キー同時!$B$331)</f>
        <v/>
      </c>
      <c r="E2793" s="2" t="str">
        <f aca="false">IF(3キー同時!$G$331="","",3キー同時!$G$331)</f>
        <v/>
      </c>
      <c r="F2793" s="2" t="str">
        <f aca="false">""</f>
        <v/>
      </c>
      <c r="G2793" s="2" t="str">
        <f aca="false">IF(OR(3キー同時!$B$331="",3キー同時!$G$331=""),"",IF(3キー同時!AL341="","",SUBSTITUTE(SUBSTITUTE(3キー同時!AL341," ",""),"　","")))</f>
        <v/>
      </c>
      <c r="H2793" s="2" t="str">
        <f aca="false">IF($G2793="","",3キー同時!$B$331)</f>
        <v/>
      </c>
      <c r="I2793" s="2" t="str">
        <f aca="false">IF($G2793="","",3キー同時!$G$331)</f>
        <v/>
      </c>
      <c r="J2793" s="2" t="str">
        <f aca="false">IF($G2793="","","henkan")</f>
        <v/>
      </c>
      <c r="K2793" s="2" t="str">
        <f aca="false">""</f>
        <v/>
      </c>
      <c r="L2793" s="2" t="str">
        <f aca="false">IF($G2793="","","同時")</f>
        <v/>
      </c>
      <c r="M2793" s="2" t="str">
        <f aca="false">IF($G2793="","",IF(ISNA(MATCH($G2793,個別指定!$A:$A,0)),"行なし",""))</f>
        <v/>
      </c>
      <c r="N2793" s="2" t="str">
        <f aca="false">IF($G2793="","",IF(COUNTIF($G$2:$G$4460,$G2793)&gt;1,"重複",""))</f>
        <v/>
      </c>
    </row>
    <row r="2794" customFormat="false" ht="16.5" hidden="false" customHeight="true" outlineLevel="0" collapsed="false">
      <c r="A2794" s="2" t="s">
        <v>416</v>
      </c>
      <c r="B2794" s="2" t="s">
        <v>442</v>
      </c>
      <c r="C2794" s="2" t="s">
        <v>46</v>
      </c>
      <c r="D2794" s="2" t="str">
        <f aca="false">IF(3キー同時!$B$331="","",3キー同時!$B$331)</f>
        <v/>
      </c>
      <c r="E2794" s="2" t="str">
        <f aca="false">IF(3キー同時!$G$331="","",3キー同時!$G$331)</f>
        <v/>
      </c>
      <c r="F2794" s="2" t="str">
        <f aca="false">""</f>
        <v/>
      </c>
      <c r="G2794" s="2" t="str">
        <f aca="false">IF(OR(3キー同時!$B$331="",3キー同時!$G$331=""),"",IF(3キー同時!AP341="","",SUBSTITUTE(SUBSTITUTE(3キー同時!AP341," ",""),"　","")))</f>
        <v/>
      </c>
      <c r="H2794" s="2" t="str">
        <f aca="false">IF($G2794="","",3キー同時!$B$331)</f>
        <v/>
      </c>
      <c r="I2794" s="2" t="str">
        <f aca="false">IF($G2794="","",3キー同時!$G$331)</f>
        <v/>
      </c>
      <c r="J2794" s="2" t="str">
        <f aca="false">IF($G2794="","","kana")</f>
        <v/>
      </c>
      <c r="K2794" s="2" t="str">
        <f aca="false">""</f>
        <v/>
      </c>
      <c r="L2794" s="2" t="str">
        <f aca="false">IF($G2794="","","同時")</f>
        <v/>
      </c>
      <c r="M2794" s="2" t="str">
        <f aca="false">IF($G2794="","",IF(ISNA(MATCH($G2794,個別指定!$A:$A,0)),"行なし",""))</f>
        <v/>
      </c>
      <c r="N2794" s="2" t="str">
        <f aca="false">IF($G2794="","",IF(COUNTIF($G$2:$G$4460,$G2794)&gt;1,"重複",""))</f>
        <v/>
      </c>
    </row>
    <row r="2795" customFormat="false" ht="16.5" hidden="false" customHeight="true" outlineLevel="0" collapsed="false">
      <c r="A2795" s="2" t="s">
        <v>416</v>
      </c>
      <c r="B2795" s="2" t="s">
        <v>443</v>
      </c>
      <c r="C2795" s="2" t="s">
        <v>0</v>
      </c>
      <c r="D2795" s="2" t="str">
        <f aca="false">IF(3キー同時!$B$344="","",3キー同時!$B$344)</f>
        <v/>
      </c>
      <c r="E2795" s="2" t="str">
        <f aca="false">IF(3キー同時!$G$344="","",3キー同時!$G$344)</f>
        <v/>
      </c>
      <c r="F2795" s="2" t="str">
        <f aca="false">""</f>
        <v/>
      </c>
      <c r="G2795" s="2" t="str">
        <f aca="false">IF(OR(3キー同時!$B$344="",3キー同時!$G$344=""),"",IF(3キー同時!F346="","",SUBSTITUTE(SUBSTITUTE(3キー同時!F346," ",""),"　","")))</f>
        <v/>
      </c>
      <c r="H2795" s="2" t="str">
        <f aca="false">IF($G2795="","",3キー同時!$B$344)</f>
        <v/>
      </c>
      <c r="I2795" s="2" t="str">
        <f aca="false">IF($G2795="","",3キー同時!$G$344)</f>
        <v/>
      </c>
      <c r="J2795" s="2" t="str">
        <f aca="false">IF($G2795="","","1")</f>
        <v/>
      </c>
      <c r="K2795" s="2" t="str">
        <f aca="false">""</f>
        <v/>
      </c>
      <c r="L2795" s="2" t="str">
        <f aca="false">IF($G2795="","","同時")</f>
        <v/>
      </c>
      <c r="M2795" s="2" t="str">
        <f aca="false">IF($G2795="","",IF(ISNA(MATCH($G2795,個別指定!$A:$A,0)),"行なし",""))</f>
        <v/>
      </c>
      <c r="N2795" s="2" t="str">
        <f aca="false">IF($G2795="","",IF(COUNTIF($G$2:$G$4460,$G2795)&gt;1,"重複",""))</f>
        <v/>
      </c>
    </row>
    <row r="2796" customFormat="false" ht="16.5" hidden="false" customHeight="true" outlineLevel="0" collapsed="false">
      <c r="A2796" s="2" t="s">
        <v>416</v>
      </c>
      <c r="B2796" s="2" t="s">
        <v>443</v>
      </c>
      <c r="C2796" s="2" t="s">
        <v>1</v>
      </c>
      <c r="D2796" s="2" t="str">
        <f aca="false">IF(3キー同時!$B$344="","",3キー同時!$B$344)</f>
        <v/>
      </c>
      <c r="E2796" s="2" t="str">
        <f aca="false">IF(3キー同時!$G$344="","",3キー同時!$G$344)</f>
        <v/>
      </c>
      <c r="F2796" s="2" t="str">
        <f aca="false">""</f>
        <v/>
      </c>
      <c r="G2796" s="2" t="str">
        <f aca="false">IF(OR(3キー同時!$B$344="",3キー同時!$G$344=""),"",IF(3キー同時!J346="","",SUBSTITUTE(SUBSTITUTE(3キー同時!J346," ",""),"　","")))</f>
        <v/>
      </c>
      <c r="H2796" s="2" t="str">
        <f aca="false">IF($G2796="","",3キー同時!$B$344)</f>
        <v/>
      </c>
      <c r="I2796" s="2" t="str">
        <f aca="false">IF($G2796="","",3キー同時!$G$344)</f>
        <v/>
      </c>
      <c r="J2796" s="2" t="str">
        <f aca="false">IF($G2796="","","2")</f>
        <v/>
      </c>
      <c r="K2796" s="2" t="str">
        <f aca="false">""</f>
        <v/>
      </c>
      <c r="L2796" s="2" t="str">
        <f aca="false">IF($G2796="","","同時")</f>
        <v/>
      </c>
      <c r="M2796" s="2" t="str">
        <f aca="false">IF($G2796="","",IF(ISNA(MATCH($G2796,個別指定!$A:$A,0)),"行なし",""))</f>
        <v/>
      </c>
      <c r="N2796" s="2" t="str">
        <f aca="false">IF($G2796="","",IF(COUNTIF($G$2:$G$4460,$G2796)&gt;1,"重複",""))</f>
        <v/>
      </c>
    </row>
    <row r="2797" customFormat="false" ht="16.5" hidden="false" customHeight="true" outlineLevel="0" collapsed="false">
      <c r="A2797" s="2" t="s">
        <v>416</v>
      </c>
      <c r="B2797" s="2" t="s">
        <v>443</v>
      </c>
      <c r="C2797" s="2" t="s">
        <v>2</v>
      </c>
      <c r="D2797" s="2" t="str">
        <f aca="false">IF(3キー同時!$B$344="","",3キー同時!$B$344)</f>
        <v/>
      </c>
      <c r="E2797" s="2" t="str">
        <f aca="false">IF(3キー同時!$G$344="","",3キー同時!$G$344)</f>
        <v/>
      </c>
      <c r="F2797" s="2" t="str">
        <f aca="false">""</f>
        <v/>
      </c>
      <c r="G2797" s="2" t="str">
        <f aca="false">IF(OR(3キー同時!$B$344="",3キー同時!$G$344=""),"",IF(3キー同時!N346="","",SUBSTITUTE(SUBSTITUTE(3キー同時!N346," ",""),"　","")))</f>
        <v/>
      </c>
      <c r="H2797" s="2" t="str">
        <f aca="false">IF($G2797="","",3キー同時!$B$344)</f>
        <v/>
      </c>
      <c r="I2797" s="2" t="str">
        <f aca="false">IF($G2797="","",3キー同時!$G$344)</f>
        <v/>
      </c>
      <c r="J2797" s="2" t="str">
        <f aca="false">IF($G2797="","","3")</f>
        <v/>
      </c>
      <c r="K2797" s="2" t="str">
        <f aca="false">""</f>
        <v/>
      </c>
      <c r="L2797" s="2" t="str">
        <f aca="false">IF($G2797="","","同時")</f>
        <v/>
      </c>
      <c r="M2797" s="2" t="str">
        <f aca="false">IF($G2797="","",IF(ISNA(MATCH($G2797,個別指定!$A:$A,0)),"行なし",""))</f>
        <v/>
      </c>
      <c r="N2797" s="2" t="str">
        <f aca="false">IF($G2797="","",IF(COUNTIF($G$2:$G$4460,$G2797)&gt;1,"重複",""))</f>
        <v/>
      </c>
    </row>
    <row r="2798" customFormat="false" ht="16.5" hidden="false" customHeight="true" outlineLevel="0" collapsed="false">
      <c r="A2798" s="2" t="s">
        <v>416</v>
      </c>
      <c r="B2798" s="2" t="s">
        <v>443</v>
      </c>
      <c r="C2798" s="2" t="s">
        <v>3</v>
      </c>
      <c r="D2798" s="2" t="str">
        <f aca="false">IF(3キー同時!$B$344="","",3キー同時!$B$344)</f>
        <v/>
      </c>
      <c r="E2798" s="2" t="str">
        <f aca="false">IF(3キー同時!$G$344="","",3キー同時!$G$344)</f>
        <v/>
      </c>
      <c r="F2798" s="2" t="str">
        <f aca="false">""</f>
        <v/>
      </c>
      <c r="G2798" s="2" t="str">
        <f aca="false">IF(OR(3キー同時!$B$344="",3キー同時!$G$344=""),"",IF(3キー同時!R346="","",SUBSTITUTE(SUBSTITUTE(3キー同時!R346," ",""),"　","")))</f>
        <v/>
      </c>
      <c r="H2798" s="2" t="str">
        <f aca="false">IF($G2798="","",3キー同時!$B$344)</f>
        <v/>
      </c>
      <c r="I2798" s="2" t="str">
        <f aca="false">IF($G2798="","",3キー同時!$G$344)</f>
        <v/>
      </c>
      <c r="J2798" s="2" t="str">
        <f aca="false">IF($G2798="","","4")</f>
        <v/>
      </c>
      <c r="K2798" s="2" t="str">
        <f aca="false">""</f>
        <v/>
      </c>
      <c r="L2798" s="2" t="str">
        <f aca="false">IF($G2798="","","同時")</f>
        <v/>
      </c>
      <c r="M2798" s="2" t="str">
        <f aca="false">IF($G2798="","",IF(ISNA(MATCH($G2798,個別指定!$A:$A,0)),"行なし",""))</f>
        <v/>
      </c>
      <c r="N2798" s="2" t="str">
        <f aca="false">IF($G2798="","",IF(COUNTIF($G$2:$G$4460,$G2798)&gt;1,"重複",""))</f>
        <v/>
      </c>
    </row>
    <row r="2799" customFormat="false" ht="16.5" hidden="false" customHeight="true" outlineLevel="0" collapsed="false">
      <c r="A2799" s="2" t="s">
        <v>416</v>
      </c>
      <c r="B2799" s="2" t="s">
        <v>443</v>
      </c>
      <c r="C2799" s="2" t="s">
        <v>4</v>
      </c>
      <c r="D2799" s="2" t="str">
        <f aca="false">IF(3キー同時!$B$344="","",3キー同時!$B$344)</f>
        <v/>
      </c>
      <c r="E2799" s="2" t="str">
        <f aca="false">IF(3キー同時!$G$344="","",3キー同時!$G$344)</f>
        <v/>
      </c>
      <c r="F2799" s="2" t="str">
        <f aca="false">""</f>
        <v/>
      </c>
      <c r="G2799" s="2" t="str">
        <f aca="false">IF(OR(3キー同時!$B$344="",3キー同時!$G$344=""),"",IF(3キー同時!V346="","",SUBSTITUTE(SUBSTITUTE(3キー同時!V346," ",""),"　","")))</f>
        <v/>
      </c>
      <c r="H2799" s="2" t="str">
        <f aca="false">IF($G2799="","",3キー同時!$B$344)</f>
        <v/>
      </c>
      <c r="I2799" s="2" t="str">
        <f aca="false">IF($G2799="","",3キー同時!$G$344)</f>
        <v/>
      </c>
      <c r="J2799" s="2" t="str">
        <f aca="false">IF($G2799="","","5")</f>
        <v/>
      </c>
      <c r="K2799" s="2" t="str">
        <f aca="false">""</f>
        <v/>
      </c>
      <c r="L2799" s="2" t="str">
        <f aca="false">IF($G2799="","","同時")</f>
        <v/>
      </c>
      <c r="M2799" s="2" t="str">
        <f aca="false">IF($G2799="","",IF(ISNA(MATCH($G2799,個別指定!$A:$A,0)),"行なし",""))</f>
        <v/>
      </c>
      <c r="N2799" s="2" t="str">
        <f aca="false">IF($G2799="","",IF(COUNTIF($G$2:$G$4460,$G2799)&gt;1,"重複",""))</f>
        <v/>
      </c>
    </row>
    <row r="2800" customFormat="false" ht="16.5" hidden="false" customHeight="true" outlineLevel="0" collapsed="false">
      <c r="A2800" s="2" t="s">
        <v>416</v>
      </c>
      <c r="B2800" s="2" t="s">
        <v>443</v>
      </c>
      <c r="C2800" s="2" t="s">
        <v>5</v>
      </c>
      <c r="D2800" s="2" t="str">
        <f aca="false">IF(3キー同時!$B$344="","",3キー同時!$B$344)</f>
        <v/>
      </c>
      <c r="E2800" s="2" t="str">
        <f aca="false">IF(3キー同時!$G$344="","",3キー同時!$G$344)</f>
        <v/>
      </c>
      <c r="F2800" s="2" t="str">
        <f aca="false">""</f>
        <v/>
      </c>
      <c r="G2800" s="2" t="str">
        <f aca="false">IF(OR(3キー同時!$B$344="",3キー同時!$G$344=""),"",IF(3キー同時!Z346="","",SUBSTITUTE(SUBSTITUTE(3キー同時!Z346," ",""),"　","")))</f>
        <v/>
      </c>
      <c r="H2800" s="2" t="str">
        <f aca="false">IF($G2800="","",3キー同時!$B$344)</f>
        <v/>
      </c>
      <c r="I2800" s="2" t="str">
        <f aca="false">IF($G2800="","",3キー同時!$G$344)</f>
        <v/>
      </c>
      <c r="J2800" s="2" t="str">
        <f aca="false">IF($G2800="","","6")</f>
        <v/>
      </c>
      <c r="K2800" s="2" t="str">
        <f aca="false">""</f>
        <v/>
      </c>
      <c r="L2800" s="2" t="str">
        <f aca="false">IF($G2800="","","同時")</f>
        <v/>
      </c>
      <c r="M2800" s="2" t="str">
        <f aca="false">IF($G2800="","",IF(ISNA(MATCH($G2800,個別指定!$A:$A,0)),"行なし",""))</f>
        <v/>
      </c>
      <c r="N2800" s="2" t="str">
        <f aca="false">IF($G2800="","",IF(COUNTIF($G$2:$G$4460,$G2800)&gt;1,"重複",""))</f>
        <v/>
      </c>
    </row>
    <row r="2801" customFormat="false" ht="16.5" hidden="false" customHeight="true" outlineLevel="0" collapsed="false">
      <c r="A2801" s="2" t="s">
        <v>416</v>
      </c>
      <c r="B2801" s="2" t="s">
        <v>443</v>
      </c>
      <c r="C2801" s="2" t="s">
        <v>6</v>
      </c>
      <c r="D2801" s="2" t="str">
        <f aca="false">IF(3キー同時!$B$344="","",3キー同時!$B$344)</f>
        <v/>
      </c>
      <c r="E2801" s="2" t="str">
        <f aca="false">IF(3キー同時!$G$344="","",3キー同時!$G$344)</f>
        <v/>
      </c>
      <c r="F2801" s="2" t="str">
        <f aca="false">""</f>
        <v/>
      </c>
      <c r="G2801" s="2" t="str">
        <f aca="false">IF(OR(3キー同時!$B$344="",3キー同時!$G$344=""),"",IF(3キー同時!AD346="","",SUBSTITUTE(SUBSTITUTE(3キー同時!AD346," ",""),"　","")))</f>
        <v/>
      </c>
      <c r="H2801" s="2" t="str">
        <f aca="false">IF($G2801="","",3キー同時!$B$344)</f>
        <v/>
      </c>
      <c r="I2801" s="2" t="str">
        <f aca="false">IF($G2801="","",3キー同時!$G$344)</f>
        <v/>
      </c>
      <c r="J2801" s="2" t="str">
        <f aca="false">IF($G2801="","","7")</f>
        <v/>
      </c>
      <c r="K2801" s="2" t="str">
        <f aca="false">""</f>
        <v/>
      </c>
      <c r="L2801" s="2" t="str">
        <f aca="false">IF($G2801="","","同時")</f>
        <v/>
      </c>
      <c r="M2801" s="2" t="str">
        <f aca="false">IF($G2801="","",IF(ISNA(MATCH($G2801,個別指定!$A:$A,0)),"行なし",""))</f>
        <v/>
      </c>
      <c r="N2801" s="2" t="str">
        <f aca="false">IF($G2801="","",IF(COUNTIF($G$2:$G$4460,$G2801)&gt;1,"重複",""))</f>
        <v/>
      </c>
    </row>
    <row r="2802" customFormat="false" ht="16.5" hidden="false" customHeight="true" outlineLevel="0" collapsed="false">
      <c r="A2802" s="2" t="s">
        <v>416</v>
      </c>
      <c r="B2802" s="2" t="s">
        <v>443</v>
      </c>
      <c r="C2802" s="2" t="s">
        <v>7</v>
      </c>
      <c r="D2802" s="2" t="str">
        <f aca="false">IF(3キー同時!$B$344="","",3キー同時!$B$344)</f>
        <v/>
      </c>
      <c r="E2802" s="2" t="str">
        <f aca="false">IF(3キー同時!$G$344="","",3キー同時!$G$344)</f>
        <v/>
      </c>
      <c r="F2802" s="2" t="str">
        <f aca="false">""</f>
        <v/>
      </c>
      <c r="G2802" s="2" t="str">
        <f aca="false">IF(OR(3キー同時!$B$344="",3キー同時!$G$344=""),"",IF(3キー同時!AH346="","",SUBSTITUTE(SUBSTITUTE(3キー同時!AH346," ",""),"　","")))</f>
        <v/>
      </c>
      <c r="H2802" s="2" t="str">
        <f aca="false">IF($G2802="","",3キー同時!$B$344)</f>
        <v/>
      </c>
      <c r="I2802" s="2" t="str">
        <f aca="false">IF($G2802="","",3キー同時!$G$344)</f>
        <v/>
      </c>
      <c r="J2802" s="2" t="str">
        <f aca="false">IF($G2802="","","8")</f>
        <v/>
      </c>
      <c r="K2802" s="2" t="str">
        <f aca="false">""</f>
        <v/>
      </c>
      <c r="L2802" s="2" t="str">
        <f aca="false">IF($G2802="","","同時")</f>
        <v/>
      </c>
      <c r="M2802" s="2" t="str">
        <f aca="false">IF($G2802="","",IF(ISNA(MATCH($G2802,個別指定!$A:$A,0)),"行なし",""))</f>
        <v/>
      </c>
      <c r="N2802" s="2" t="str">
        <f aca="false">IF($G2802="","",IF(COUNTIF($G$2:$G$4460,$G2802)&gt;1,"重複",""))</f>
        <v/>
      </c>
    </row>
    <row r="2803" customFormat="false" ht="16.5" hidden="false" customHeight="true" outlineLevel="0" collapsed="false">
      <c r="A2803" s="2" t="s">
        <v>416</v>
      </c>
      <c r="B2803" s="2" t="s">
        <v>443</v>
      </c>
      <c r="C2803" s="2" t="s">
        <v>8</v>
      </c>
      <c r="D2803" s="2" t="str">
        <f aca="false">IF(3キー同時!$B$344="","",3キー同時!$B$344)</f>
        <v/>
      </c>
      <c r="E2803" s="2" t="str">
        <f aca="false">IF(3キー同時!$G$344="","",3キー同時!$G$344)</f>
        <v/>
      </c>
      <c r="F2803" s="2" t="str">
        <f aca="false">""</f>
        <v/>
      </c>
      <c r="G2803" s="2" t="str">
        <f aca="false">IF(OR(3キー同時!$B$344="",3キー同時!$G$344=""),"",IF(3キー同時!AL346="","",SUBSTITUTE(SUBSTITUTE(3キー同時!AL346," ",""),"　","")))</f>
        <v/>
      </c>
      <c r="H2803" s="2" t="str">
        <f aca="false">IF($G2803="","",3キー同時!$B$344)</f>
        <v/>
      </c>
      <c r="I2803" s="2" t="str">
        <f aca="false">IF($G2803="","",3キー同時!$G$344)</f>
        <v/>
      </c>
      <c r="J2803" s="2" t="str">
        <f aca="false">IF($G2803="","","9")</f>
        <v/>
      </c>
      <c r="K2803" s="2" t="str">
        <f aca="false">""</f>
        <v/>
      </c>
      <c r="L2803" s="2" t="str">
        <f aca="false">IF($G2803="","","同時")</f>
        <v/>
      </c>
      <c r="M2803" s="2" t="str">
        <f aca="false">IF($G2803="","",IF(ISNA(MATCH($G2803,個別指定!$A:$A,0)),"行なし",""))</f>
        <v/>
      </c>
      <c r="N2803" s="2" t="str">
        <f aca="false">IF($G2803="","",IF(COUNTIF($G$2:$G$4460,$G2803)&gt;1,"重複",""))</f>
        <v/>
      </c>
    </row>
    <row r="2804" customFormat="false" ht="16.5" hidden="false" customHeight="true" outlineLevel="0" collapsed="false">
      <c r="A2804" s="2" t="s">
        <v>416</v>
      </c>
      <c r="B2804" s="2" t="s">
        <v>443</v>
      </c>
      <c r="C2804" s="2" t="s">
        <v>9</v>
      </c>
      <c r="D2804" s="2" t="str">
        <f aca="false">IF(3キー同時!$B$344="","",3キー同時!$B$344)</f>
        <v/>
      </c>
      <c r="E2804" s="2" t="str">
        <f aca="false">IF(3キー同時!$G$344="","",3キー同時!$G$344)</f>
        <v/>
      </c>
      <c r="F2804" s="2" t="str">
        <f aca="false">""</f>
        <v/>
      </c>
      <c r="G2804" s="2" t="str">
        <f aca="false">IF(OR(3キー同時!$B$344="",3キー同時!$G$344=""),"",IF(3キー同時!AP346="","",SUBSTITUTE(SUBSTITUTE(3キー同時!AP346," ",""),"　","")))</f>
        <v/>
      </c>
      <c r="H2804" s="2" t="str">
        <f aca="false">IF($G2804="","",3キー同時!$B$344)</f>
        <v/>
      </c>
      <c r="I2804" s="2" t="str">
        <f aca="false">IF($G2804="","",3キー同時!$G$344)</f>
        <v/>
      </c>
      <c r="J2804" s="2" t="str">
        <f aca="false">IF($G2804="","","0")</f>
        <v/>
      </c>
      <c r="K2804" s="2" t="str">
        <f aca="false">""</f>
        <v/>
      </c>
      <c r="L2804" s="2" t="str">
        <f aca="false">IF($G2804="","","同時")</f>
        <v/>
      </c>
      <c r="M2804" s="2" t="str">
        <f aca="false">IF($G2804="","",IF(ISNA(MATCH($G2804,個別指定!$A:$A,0)),"行なし",""))</f>
        <v/>
      </c>
      <c r="N2804" s="2" t="str">
        <f aca="false">IF($G2804="","",IF(COUNTIF($G$2:$G$4460,$G2804)&gt;1,"重複",""))</f>
        <v/>
      </c>
    </row>
    <row r="2805" customFormat="false" ht="16.5" hidden="false" customHeight="true" outlineLevel="0" collapsed="false">
      <c r="A2805" s="2" t="s">
        <v>416</v>
      </c>
      <c r="B2805" s="2" t="s">
        <v>443</v>
      </c>
      <c r="C2805" s="2" t="s">
        <v>10</v>
      </c>
      <c r="D2805" s="2" t="str">
        <f aca="false">IF(3キー同時!$B$344="","",3キー同時!$B$344)</f>
        <v/>
      </c>
      <c r="E2805" s="2" t="str">
        <f aca="false">IF(3キー同時!$G$344="","",3キー同時!$G$344)</f>
        <v/>
      </c>
      <c r="F2805" s="2" t="str">
        <f aca="false">""</f>
        <v/>
      </c>
      <c r="G2805" s="2" t="str">
        <f aca="false">IF(OR(3キー同時!$B$344="",3キー同時!$G$344=""),"",IF(3キー同時!AT346="","",SUBSTITUTE(SUBSTITUTE(3キー同時!AT346," ",""),"　","")))</f>
        <v/>
      </c>
      <c r="H2805" s="2" t="str">
        <f aca="false">IF($G2805="","",3キー同時!$B$344)</f>
        <v/>
      </c>
      <c r="I2805" s="2" t="str">
        <f aca="false">IF($G2805="","",3キー同時!$G$344)</f>
        <v/>
      </c>
      <c r="J2805" s="2" t="str">
        <f aca="false">IF($G2805="","","-")</f>
        <v/>
      </c>
      <c r="K2805" s="2" t="str">
        <f aca="false">""</f>
        <v/>
      </c>
      <c r="L2805" s="2" t="str">
        <f aca="false">IF($G2805="","","同時")</f>
        <v/>
      </c>
      <c r="M2805" s="2" t="str">
        <f aca="false">IF($G2805="","",IF(ISNA(MATCH($G2805,個別指定!$A:$A,0)),"行なし",""))</f>
        <v/>
      </c>
      <c r="N2805" s="2" t="str">
        <f aca="false">IF($G2805="","",IF(COUNTIF($G$2:$G$4460,$G2805)&gt;1,"重複",""))</f>
        <v/>
      </c>
    </row>
    <row r="2806" customFormat="false" ht="16.5" hidden="false" customHeight="true" outlineLevel="0" collapsed="false">
      <c r="A2806" s="2" t="s">
        <v>416</v>
      </c>
      <c r="B2806" s="2" t="s">
        <v>443</v>
      </c>
      <c r="C2806" s="2" t="s">
        <v>11</v>
      </c>
      <c r="D2806" s="2" t="str">
        <f aca="false">IF(3キー同時!$B$344="","",3キー同時!$B$344)</f>
        <v/>
      </c>
      <c r="E2806" s="2" t="str">
        <f aca="false">IF(3キー同時!$G$344="","",3キー同時!$G$344)</f>
        <v/>
      </c>
      <c r="F2806" s="2" t="str">
        <f aca="false">""</f>
        <v/>
      </c>
      <c r="G2806" s="2" t="str">
        <f aca="false">IF(OR(3キー同時!$B$344="",3キー同時!$G$344=""),"",IF(3キー同時!AX346="","",SUBSTITUTE(SUBSTITUTE(3キー同時!AX346," ",""),"　","")))</f>
        <v/>
      </c>
      <c r="H2806" s="2" t="str">
        <f aca="false">IF($G2806="","",3キー同時!$B$344)</f>
        <v/>
      </c>
      <c r="I2806" s="2" t="str">
        <f aca="false">IF($G2806="","",3キー同時!$G$344)</f>
        <v/>
      </c>
      <c r="J2806" s="2" t="str">
        <f aca="false">IF($G2806="","","=")</f>
        <v/>
      </c>
      <c r="K2806" s="2" t="str">
        <f aca="false">""</f>
        <v/>
      </c>
      <c r="L2806" s="2" t="str">
        <f aca="false">IF($G2806="","","同時")</f>
        <v/>
      </c>
      <c r="M2806" s="2" t="str">
        <f aca="false">IF($G2806="","",IF(ISNA(MATCH($G2806,個別指定!$A:$A,0)),"行なし",""))</f>
        <v/>
      </c>
      <c r="N2806" s="2" t="str">
        <f aca="false">IF($G2806="","",IF(COUNTIF($G$2:$G$4460,$G2806)&gt;1,"重複",""))</f>
        <v/>
      </c>
    </row>
    <row r="2807" customFormat="false" ht="16.5" hidden="false" customHeight="true" outlineLevel="0" collapsed="false">
      <c r="A2807" s="2" t="s">
        <v>416</v>
      </c>
      <c r="B2807" s="2" t="s">
        <v>443</v>
      </c>
      <c r="C2807" s="2" t="s">
        <v>12</v>
      </c>
      <c r="D2807" s="2" t="str">
        <f aca="false">IF(3キー同時!$B$344="","",3キー同時!$B$344)</f>
        <v/>
      </c>
      <c r="E2807" s="2" t="str">
        <f aca="false">IF(3キー同時!$G$344="","",3キー同時!$G$344)</f>
        <v/>
      </c>
      <c r="F2807" s="2" t="str">
        <f aca="false">""</f>
        <v/>
      </c>
      <c r="G2807" s="2" t="str">
        <f aca="false">IF(OR(3キー同時!$B$344="",3キー同時!$G$344=""),"",IF(3キー同時!H348="","",SUBSTITUTE(SUBSTITUTE(3キー同時!H348," ",""),"　","")))</f>
        <v/>
      </c>
      <c r="H2807" s="2" t="str">
        <f aca="false">IF($G2807="","",3キー同時!$B$344)</f>
        <v/>
      </c>
      <c r="I2807" s="2" t="str">
        <f aca="false">IF($G2807="","",3キー同時!$G$344)</f>
        <v/>
      </c>
      <c r="J2807" s="2" t="str">
        <f aca="false">IF($G2807="","","q")</f>
        <v/>
      </c>
      <c r="K2807" s="2" t="str">
        <f aca="false">""</f>
        <v/>
      </c>
      <c r="L2807" s="2" t="str">
        <f aca="false">IF($G2807="","","同時")</f>
        <v/>
      </c>
      <c r="M2807" s="2" t="str">
        <f aca="false">IF($G2807="","",IF(ISNA(MATCH($G2807,個別指定!$A:$A,0)),"行なし",""))</f>
        <v/>
      </c>
      <c r="N2807" s="2" t="str">
        <f aca="false">IF($G2807="","",IF(COUNTIF($G$2:$G$4460,$G2807)&gt;1,"重複",""))</f>
        <v/>
      </c>
    </row>
    <row r="2808" customFormat="false" ht="16.5" hidden="false" customHeight="true" outlineLevel="0" collapsed="false">
      <c r="A2808" s="2" t="s">
        <v>416</v>
      </c>
      <c r="B2808" s="2" t="s">
        <v>443</v>
      </c>
      <c r="C2808" s="2" t="s">
        <v>13</v>
      </c>
      <c r="D2808" s="2" t="str">
        <f aca="false">IF(3キー同時!$B$344="","",3キー同時!$B$344)</f>
        <v/>
      </c>
      <c r="E2808" s="2" t="str">
        <f aca="false">IF(3キー同時!$G$344="","",3キー同時!$G$344)</f>
        <v/>
      </c>
      <c r="F2808" s="2" t="str">
        <f aca="false">""</f>
        <v/>
      </c>
      <c r="G2808" s="2" t="str">
        <f aca="false">IF(OR(3キー同時!$B$344="",3キー同時!$G$344=""),"",IF(3キー同時!L348="","",SUBSTITUTE(SUBSTITUTE(3キー同時!L348," ",""),"　","")))</f>
        <v/>
      </c>
      <c r="H2808" s="2" t="str">
        <f aca="false">IF($G2808="","",3キー同時!$B$344)</f>
        <v/>
      </c>
      <c r="I2808" s="2" t="str">
        <f aca="false">IF($G2808="","",3キー同時!$G$344)</f>
        <v/>
      </c>
      <c r="J2808" s="2" t="str">
        <f aca="false">IF($G2808="","","w")</f>
        <v/>
      </c>
      <c r="K2808" s="2" t="str">
        <f aca="false">""</f>
        <v/>
      </c>
      <c r="L2808" s="2" t="str">
        <f aca="false">IF($G2808="","","同時")</f>
        <v/>
      </c>
      <c r="M2808" s="2" t="str">
        <f aca="false">IF($G2808="","",IF(ISNA(MATCH($G2808,個別指定!$A:$A,0)),"行なし",""))</f>
        <v/>
      </c>
      <c r="N2808" s="2" t="str">
        <f aca="false">IF($G2808="","",IF(COUNTIF($G$2:$G$4460,$G2808)&gt;1,"重複",""))</f>
        <v/>
      </c>
    </row>
    <row r="2809" customFormat="false" ht="16.5" hidden="false" customHeight="true" outlineLevel="0" collapsed="false">
      <c r="A2809" s="2" t="s">
        <v>416</v>
      </c>
      <c r="B2809" s="2" t="s">
        <v>443</v>
      </c>
      <c r="C2809" s="2" t="s">
        <v>14</v>
      </c>
      <c r="D2809" s="2" t="str">
        <f aca="false">IF(3キー同時!$B$344="","",3キー同時!$B$344)</f>
        <v/>
      </c>
      <c r="E2809" s="2" t="str">
        <f aca="false">IF(3キー同時!$G$344="","",3キー同時!$G$344)</f>
        <v/>
      </c>
      <c r="F2809" s="2" t="str">
        <f aca="false">""</f>
        <v/>
      </c>
      <c r="G2809" s="2" t="str">
        <f aca="false">IF(OR(3キー同時!$B$344="",3キー同時!$G$344=""),"",IF(3キー同時!P348="","",SUBSTITUTE(SUBSTITUTE(3キー同時!P348," ",""),"　","")))</f>
        <v/>
      </c>
      <c r="H2809" s="2" t="str">
        <f aca="false">IF($G2809="","",3キー同時!$B$344)</f>
        <v/>
      </c>
      <c r="I2809" s="2" t="str">
        <f aca="false">IF($G2809="","",3キー同時!$G$344)</f>
        <v/>
      </c>
      <c r="J2809" s="2" t="str">
        <f aca="false">IF($G2809="","","e")</f>
        <v/>
      </c>
      <c r="K2809" s="2" t="str">
        <f aca="false">""</f>
        <v/>
      </c>
      <c r="L2809" s="2" t="str">
        <f aca="false">IF($G2809="","","同時")</f>
        <v/>
      </c>
      <c r="M2809" s="2" t="str">
        <f aca="false">IF($G2809="","",IF(ISNA(MATCH($G2809,個別指定!$A:$A,0)),"行なし",""))</f>
        <v/>
      </c>
      <c r="N2809" s="2" t="str">
        <f aca="false">IF($G2809="","",IF(COUNTIF($G$2:$G$4460,$G2809)&gt;1,"重複",""))</f>
        <v/>
      </c>
    </row>
    <row r="2810" customFormat="false" ht="16.5" hidden="false" customHeight="true" outlineLevel="0" collapsed="false">
      <c r="A2810" s="2" t="s">
        <v>416</v>
      </c>
      <c r="B2810" s="2" t="s">
        <v>443</v>
      </c>
      <c r="C2810" s="2" t="s">
        <v>15</v>
      </c>
      <c r="D2810" s="2" t="str">
        <f aca="false">IF(3キー同時!$B$344="","",3キー同時!$B$344)</f>
        <v/>
      </c>
      <c r="E2810" s="2" t="str">
        <f aca="false">IF(3キー同時!$G$344="","",3キー同時!$G$344)</f>
        <v/>
      </c>
      <c r="F2810" s="2" t="str">
        <f aca="false">""</f>
        <v/>
      </c>
      <c r="G2810" s="2" t="str">
        <f aca="false">IF(OR(3キー同時!$B$344="",3キー同時!$G$344=""),"",IF(3キー同時!T348="","",SUBSTITUTE(SUBSTITUTE(3キー同時!T348," ",""),"　","")))</f>
        <v/>
      </c>
      <c r="H2810" s="2" t="str">
        <f aca="false">IF($G2810="","",3キー同時!$B$344)</f>
        <v/>
      </c>
      <c r="I2810" s="2" t="str">
        <f aca="false">IF($G2810="","",3キー同時!$G$344)</f>
        <v/>
      </c>
      <c r="J2810" s="2" t="str">
        <f aca="false">IF($G2810="","","r")</f>
        <v/>
      </c>
      <c r="K2810" s="2" t="str">
        <f aca="false">""</f>
        <v/>
      </c>
      <c r="L2810" s="2" t="str">
        <f aca="false">IF($G2810="","","同時")</f>
        <v/>
      </c>
      <c r="M2810" s="2" t="str">
        <f aca="false">IF($G2810="","",IF(ISNA(MATCH($G2810,個別指定!$A:$A,0)),"行なし",""))</f>
        <v/>
      </c>
      <c r="N2810" s="2" t="str">
        <f aca="false">IF($G2810="","",IF(COUNTIF($G$2:$G$4460,$G2810)&gt;1,"重複",""))</f>
        <v/>
      </c>
    </row>
    <row r="2811" customFormat="false" ht="16.5" hidden="false" customHeight="true" outlineLevel="0" collapsed="false">
      <c r="A2811" s="2" t="s">
        <v>416</v>
      </c>
      <c r="B2811" s="2" t="s">
        <v>443</v>
      </c>
      <c r="C2811" s="2" t="s">
        <v>16</v>
      </c>
      <c r="D2811" s="2" t="str">
        <f aca="false">IF(3キー同時!$B$344="","",3キー同時!$B$344)</f>
        <v/>
      </c>
      <c r="E2811" s="2" t="str">
        <f aca="false">IF(3キー同時!$G$344="","",3キー同時!$G$344)</f>
        <v/>
      </c>
      <c r="F2811" s="2" t="str">
        <f aca="false">""</f>
        <v/>
      </c>
      <c r="G2811" s="2" t="str">
        <f aca="false">IF(OR(3キー同時!$B$344="",3キー同時!$G$344=""),"",IF(3キー同時!X348="","",SUBSTITUTE(SUBSTITUTE(3キー同時!X348," ",""),"　","")))</f>
        <v/>
      </c>
      <c r="H2811" s="2" t="str">
        <f aca="false">IF($G2811="","",3キー同時!$B$344)</f>
        <v/>
      </c>
      <c r="I2811" s="2" t="str">
        <f aca="false">IF($G2811="","",3キー同時!$G$344)</f>
        <v/>
      </c>
      <c r="J2811" s="2" t="str">
        <f aca="false">IF($G2811="","","t")</f>
        <v/>
      </c>
      <c r="K2811" s="2" t="str">
        <f aca="false">""</f>
        <v/>
      </c>
      <c r="L2811" s="2" t="str">
        <f aca="false">IF($G2811="","","同時")</f>
        <v/>
      </c>
      <c r="M2811" s="2" t="str">
        <f aca="false">IF($G2811="","",IF(ISNA(MATCH($G2811,個別指定!$A:$A,0)),"行なし",""))</f>
        <v/>
      </c>
      <c r="N2811" s="2" t="str">
        <f aca="false">IF($G2811="","",IF(COUNTIF($G$2:$G$4460,$G2811)&gt;1,"重複",""))</f>
        <v/>
      </c>
    </row>
    <row r="2812" customFormat="false" ht="16.5" hidden="false" customHeight="true" outlineLevel="0" collapsed="false">
      <c r="A2812" s="2" t="s">
        <v>416</v>
      </c>
      <c r="B2812" s="2" t="s">
        <v>443</v>
      </c>
      <c r="C2812" s="2" t="s">
        <v>17</v>
      </c>
      <c r="D2812" s="2" t="str">
        <f aca="false">IF(3キー同時!$B$344="","",3キー同時!$B$344)</f>
        <v/>
      </c>
      <c r="E2812" s="2" t="str">
        <f aca="false">IF(3キー同時!$G$344="","",3キー同時!$G$344)</f>
        <v/>
      </c>
      <c r="F2812" s="2" t="str">
        <f aca="false">""</f>
        <v/>
      </c>
      <c r="G2812" s="2" t="str">
        <f aca="false">IF(OR(3キー同時!$B$344="",3キー同時!$G$344=""),"",IF(3キー同時!AB348="","",SUBSTITUTE(SUBSTITUTE(3キー同時!AB348," ",""),"　","")))</f>
        <v/>
      </c>
      <c r="H2812" s="2" t="str">
        <f aca="false">IF($G2812="","",3キー同時!$B$344)</f>
        <v/>
      </c>
      <c r="I2812" s="2" t="str">
        <f aca="false">IF($G2812="","",3キー同時!$G$344)</f>
        <v/>
      </c>
      <c r="J2812" s="2" t="str">
        <f aca="false">IF($G2812="","","y")</f>
        <v/>
      </c>
      <c r="K2812" s="2" t="str">
        <f aca="false">""</f>
        <v/>
      </c>
      <c r="L2812" s="2" t="str">
        <f aca="false">IF($G2812="","","同時")</f>
        <v/>
      </c>
      <c r="M2812" s="2" t="str">
        <f aca="false">IF($G2812="","",IF(ISNA(MATCH($G2812,個別指定!$A:$A,0)),"行なし",""))</f>
        <v/>
      </c>
      <c r="N2812" s="2" t="str">
        <f aca="false">IF($G2812="","",IF(COUNTIF($G$2:$G$4460,$G2812)&gt;1,"重複",""))</f>
        <v/>
      </c>
    </row>
    <row r="2813" customFormat="false" ht="16.5" hidden="false" customHeight="true" outlineLevel="0" collapsed="false">
      <c r="A2813" s="2" t="s">
        <v>416</v>
      </c>
      <c r="B2813" s="2" t="s">
        <v>443</v>
      </c>
      <c r="C2813" s="2" t="s">
        <v>18</v>
      </c>
      <c r="D2813" s="2" t="str">
        <f aca="false">IF(3キー同時!$B$344="","",3キー同時!$B$344)</f>
        <v/>
      </c>
      <c r="E2813" s="2" t="str">
        <f aca="false">IF(3キー同時!$G$344="","",3キー同時!$G$344)</f>
        <v/>
      </c>
      <c r="F2813" s="2" t="str">
        <f aca="false">""</f>
        <v/>
      </c>
      <c r="G2813" s="2" t="str">
        <f aca="false">IF(OR(3キー同時!$B$344="",3キー同時!$G$344=""),"",IF(3キー同時!AF348="","",SUBSTITUTE(SUBSTITUTE(3キー同時!AF348," ",""),"　","")))</f>
        <v/>
      </c>
      <c r="H2813" s="2" t="str">
        <f aca="false">IF($G2813="","",3キー同時!$B$344)</f>
        <v/>
      </c>
      <c r="I2813" s="2" t="str">
        <f aca="false">IF($G2813="","",3キー同時!$G$344)</f>
        <v/>
      </c>
      <c r="J2813" s="2" t="str">
        <f aca="false">IF($G2813="","","u")</f>
        <v/>
      </c>
      <c r="K2813" s="2" t="str">
        <f aca="false">""</f>
        <v/>
      </c>
      <c r="L2813" s="2" t="str">
        <f aca="false">IF($G2813="","","同時")</f>
        <v/>
      </c>
      <c r="M2813" s="2" t="str">
        <f aca="false">IF($G2813="","",IF(ISNA(MATCH($G2813,個別指定!$A:$A,0)),"行なし",""))</f>
        <v/>
      </c>
      <c r="N2813" s="2" t="str">
        <f aca="false">IF($G2813="","",IF(COUNTIF($G$2:$G$4460,$G2813)&gt;1,"重複",""))</f>
        <v/>
      </c>
    </row>
    <row r="2814" customFormat="false" ht="16.5" hidden="false" customHeight="true" outlineLevel="0" collapsed="false">
      <c r="A2814" s="2" t="s">
        <v>416</v>
      </c>
      <c r="B2814" s="2" t="s">
        <v>443</v>
      </c>
      <c r="C2814" s="2" t="s">
        <v>19</v>
      </c>
      <c r="D2814" s="2" t="str">
        <f aca="false">IF(3キー同時!$B$344="","",3キー同時!$B$344)</f>
        <v/>
      </c>
      <c r="E2814" s="2" t="str">
        <f aca="false">IF(3キー同時!$G$344="","",3キー同時!$G$344)</f>
        <v/>
      </c>
      <c r="F2814" s="2" t="str">
        <f aca="false">""</f>
        <v/>
      </c>
      <c r="G2814" s="2" t="str">
        <f aca="false">IF(OR(3キー同時!$B$344="",3キー同時!$G$344=""),"",IF(3キー同時!AJ348="","",SUBSTITUTE(SUBSTITUTE(3キー同時!AJ348," ",""),"　","")))</f>
        <v/>
      </c>
      <c r="H2814" s="2" t="str">
        <f aca="false">IF($G2814="","",3キー同時!$B$344)</f>
        <v/>
      </c>
      <c r="I2814" s="2" t="str">
        <f aca="false">IF($G2814="","",3キー同時!$G$344)</f>
        <v/>
      </c>
      <c r="J2814" s="2" t="str">
        <f aca="false">IF($G2814="","","i")</f>
        <v/>
      </c>
      <c r="K2814" s="2" t="str">
        <f aca="false">""</f>
        <v/>
      </c>
      <c r="L2814" s="2" t="str">
        <f aca="false">IF($G2814="","","同時")</f>
        <v/>
      </c>
      <c r="M2814" s="2" t="str">
        <f aca="false">IF($G2814="","",IF(ISNA(MATCH($G2814,個別指定!$A:$A,0)),"行なし",""))</f>
        <v/>
      </c>
      <c r="N2814" s="2" t="str">
        <f aca="false">IF($G2814="","",IF(COUNTIF($G$2:$G$4460,$G2814)&gt;1,"重複",""))</f>
        <v/>
      </c>
    </row>
    <row r="2815" customFormat="false" ht="16.5" hidden="false" customHeight="true" outlineLevel="0" collapsed="false">
      <c r="A2815" s="2" t="s">
        <v>416</v>
      </c>
      <c r="B2815" s="2" t="s">
        <v>443</v>
      </c>
      <c r="C2815" s="2" t="s">
        <v>20</v>
      </c>
      <c r="D2815" s="2" t="str">
        <f aca="false">IF(3キー同時!$B$344="","",3キー同時!$B$344)</f>
        <v/>
      </c>
      <c r="E2815" s="2" t="str">
        <f aca="false">IF(3キー同時!$G$344="","",3キー同時!$G$344)</f>
        <v/>
      </c>
      <c r="F2815" s="2" t="str">
        <f aca="false">""</f>
        <v/>
      </c>
      <c r="G2815" s="2" t="str">
        <f aca="false">IF(OR(3キー同時!$B$344="",3キー同時!$G$344=""),"",IF(3キー同時!AN348="","",SUBSTITUTE(SUBSTITUTE(3キー同時!AN348," ",""),"　","")))</f>
        <v/>
      </c>
      <c r="H2815" s="2" t="str">
        <f aca="false">IF($G2815="","",3キー同時!$B$344)</f>
        <v/>
      </c>
      <c r="I2815" s="2" t="str">
        <f aca="false">IF($G2815="","",3キー同時!$G$344)</f>
        <v/>
      </c>
      <c r="J2815" s="2" t="str">
        <f aca="false">IF($G2815="","","o")</f>
        <v/>
      </c>
      <c r="K2815" s="2" t="str">
        <f aca="false">""</f>
        <v/>
      </c>
      <c r="L2815" s="2" t="str">
        <f aca="false">IF($G2815="","","同時")</f>
        <v/>
      </c>
      <c r="M2815" s="2" t="str">
        <f aca="false">IF($G2815="","",IF(ISNA(MATCH($G2815,個別指定!$A:$A,0)),"行なし",""))</f>
        <v/>
      </c>
      <c r="N2815" s="2" t="str">
        <f aca="false">IF($G2815="","",IF(COUNTIF($G$2:$G$4460,$G2815)&gt;1,"重複",""))</f>
        <v/>
      </c>
    </row>
    <row r="2816" customFormat="false" ht="16.5" hidden="false" customHeight="true" outlineLevel="0" collapsed="false">
      <c r="A2816" s="2" t="s">
        <v>416</v>
      </c>
      <c r="B2816" s="2" t="s">
        <v>443</v>
      </c>
      <c r="C2816" s="2" t="s">
        <v>21</v>
      </c>
      <c r="D2816" s="2" t="str">
        <f aca="false">IF(3キー同時!$B$344="","",3キー同時!$B$344)</f>
        <v/>
      </c>
      <c r="E2816" s="2" t="str">
        <f aca="false">IF(3キー同時!$G$344="","",3キー同時!$G$344)</f>
        <v/>
      </c>
      <c r="F2816" s="2" t="str">
        <f aca="false">""</f>
        <v/>
      </c>
      <c r="G2816" s="2" t="str">
        <f aca="false">IF(OR(3キー同時!$B$344="",3キー同時!$G$344=""),"",IF(3キー同時!AR348="","",SUBSTITUTE(SUBSTITUTE(3キー同時!AR348," ",""),"　","")))</f>
        <v/>
      </c>
      <c r="H2816" s="2" t="str">
        <f aca="false">IF($G2816="","",3キー同時!$B$344)</f>
        <v/>
      </c>
      <c r="I2816" s="2" t="str">
        <f aca="false">IF($G2816="","",3キー同時!$G$344)</f>
        <v/>
      </c>
      <c r="J2816" s="2" t="str">
        <f aca="false">IF($G2816="","","p")</f>
        <v/>
      </c>
      <c r="K2816" s="2" t="str">
        <f aca="false">""</f>
        <v/>
      </c>
      <c r="L2816" s="2" t="str">
        <f aca="false">IF($G2816="","","同時")</f>
        <v/>
      </c>
      <c r="M2816" s="2" t="str">
        <f aca="false">IF($G2816="","",IF(ISNA(MATCH($G2816,個別指定!$A:$A,0)),"行なし",""))</f>
        <v/>
      </c>
      <c r="N2816" s="2" t="str">
        <f aca="false">IF($G2816="","",IF(COUNTIF($G$2:$G$4460,$G2816)&gt;1,"重複",""))</f>
        <v/>
      </c>
    </row>
    <row r="2817" customFormat="false" ht="16.5" hidden="false" customHeight="true" outlineLevel="0" collapsed="false">
      <c r="A2817" s="2" t="s">
        <v>416</v>
      </c>
      <c r="B2817" s="2" t="s">
        <v>443</v>
      </c>
      <c r="C2817" s="2" t="s">
        <v>22</v>
      </c>
      <c r="D2817" s="2" t="str">
        <f aca="false">IF(3キー同時!$B$344="","",3キー同時!$B$344)</f>
        <v/>
      </c>
      <c r="E2817" s="2" t="str">
        <f aca="false">IF(3キー同時!$G$344="","",3キー同時!$G$344)</f>
        <v/>
      </c>
      <c r="F2817" s="2" t="str">
        <f aca="false">""</f>
        <v/>
      </c>
      <c r="G2817" s="2" t="str">
        <f aca="false">IF(OR(3キー同時!$B$344="",3キー同時!$G$344=""),"",IF(3キー同時!AV348="","",SUBSTITUTE(SUBSTITUTE(3キー同時!AV348," ",""),"　","")))</f>
        <v/>
      </c>
      <c r="H2817" s="2" t="str">
        <f aca="false">IF($G2817="","",3キー同時!$B$344)</f>
        <v/>
      </c>
      <c r="I2817" s="2" t="str">
        <f aca="false">IF($G2817="","",3キー同時!$G$344)</f>
        <v/>
      </c>
      <c r="J2817" s="2" t="str">
        <f aca="false">IF($G2817="","","[")</f>
        <v/>
      </c>
      <c r="K2817" s="2" t="str">
        <f aca="false">""</f>
        <v/>
      </c>
      <c r="L2817" s="2" t="str">
        <f aca="false">IF($G2817="","","同時")</f>
        <v/>
      </c>
      <c r="M2817" s="2" t="str">
        <f aca="false">IF($G2817="","",IF(ISNA(MATCH($G2817,個別指定!$A:$A,0)),"行なし",""))</f>
        <v/>
      </c>
      <c r="N2817" s="2" t="str">
        <f aca="false">IF($G2817="","",IF(COUNTIF($G$2:$G$4460,$G2817)&gt;1,"重複",""))</f>
        <v/>
      </c>
    </row>
    <row r="2818" customFormat="false" ht="16.5" hidden="false" customHeight="true" outlineLevel="0" collapsed="false">
      <c r="A2818" s="2" t="s">
        <v>416</v>
      </c>
      <c r="B2818" s="2" t="s">
        <v>443</v>
      </c>
      <c r="C2818" s="2" t="s">
        <v>23</v>
      </c>
      <c r="D2818" s="2" t="str">
        <f aca="false">IF(3キー同時!$B$344="","",3キー同時!$B$344)</f>
        <v/>
      </c>
      <c r="E2818" s="2" t="str">
        <f aca="false">IF(3キー同時!$G$344="","",3キー同時!$G$344)</f>
        <v/>
      </c>
      <c r="F2818" s="2" t="str">
        <f aca="false">""</f>
        <v/>
      </c>
      <c r="G2818" s="2" t="str">
        <f aca="false">IF(OR(3キー同時!$B$344="",3キー同時!$G$344=""),"",IF(3キー同時!AZ348="","",SUBSTITUTE(SUBSTITUTE(3キー同時!AZ348," ",""),"　","")))</f>
        <v/>
      </c>
      <c r="H2818" s="2" t="str">
        <f aca="false">IF($G2818="","",3キー同時!$B$344)</f>
        <v/>
      </c>
      <c r="I2818" s="2" t="str">
        <f aca="false">IF($G2818="","",3キー同時!$G$344)</f>
        <v/>
      </c>
      <c r="J2818" s="2" t="str">
        <f aca="false">IF($G2818="","","]")</f>
        <v/>
      </c>
      <c r="K2818" s="2" t="str">
        <f aca="false">""</f>
        <v/>
      </c>
      <c r="L2818" s="2" t="str">
        <f aca="false">IF($G2818="","","同時")</f>
        <v/>
      </c>
      <c r="M2818" s="2" t="str">
        <f aca="false">IF($G2818="","",IF(ISNA(MATCH($G2818,個別指定!$A:$A,0)),"行なし",""))</f>
        <v/>
      </c>
      <c r="N2818" s="2" t="str">
        <f aca="false">IF($G2818="","",IF(COUNTIF($G$2:$G$4460,$G2818)&gt;1,"重複",""))</f>
        <v/>
      </c>
    </row>
    <row r="2819" customFormat="false" ht="16.5" hidden="false" customHeight="true" outlineLevel="0" collapsed="false">
      <c r="A2819" s="2" t="s">
        <v>416</v>
      </c>
      <c r="B2819" s="2" t="s">
        <v>443</v>
      </c>
      <c r="C2819" s="2" t="s">
        <v>24</v>
      </c>
      <c r="D2819" s="2" t="str">
        <f aca="false">IF(3キー同時!$B$344="","",3キー同時!$B$344)</f>
        <v/>
      </c>
      <c r="E2819" s="2" t="str">
        <f aca="false">IF(3キー同時!$G$344="","",3キー同時!$G$344)</f>
        <v/>
      </c>
      <c r="F2819" s="2" t="str">
        <f aca="false">""</f>
        <v/>
      </c>
      <c r="G2819" s="2" t="str">
        <f aca="false">IF(OR(3キー同時!$B$344="",3キー同時!$G$344=""),"",IF(3キー同時!I350="","",SUBSTITUTE(SUBSTITUTE(3キー同時!I350," ",""),"　","")))</f>
        <v/>
      </c>
      <c r="H2819" s="2" t="str">
        <f aca="false">IF($G2819="","",3キー同時!$B$344)</f>
        <v/>
      </c>
      <c r="I2819" s="2" t="str">
        <f aca="false">IF($G2819="","",3キー同時!$G$344)</f>
        <v/>
      </c>
      <c r="J2819" s="2" t="str">
        <f aca="false">IF($G2819="","","a")</f>
        <v/>
      </c>
      <c r="K2819" s="2" t="str">
        <f aca="false">""</f>
        <v/>
      </c>
      <c r="L2819" s="2" t="str">
        <f aca="false">IF($G2819="","","同時")</f>
        <v/>
      </c>
      <c r="M2819" s="2" t="str">
        <f aca="false">IF($G2819="","",IF(ISNA(MATCH($G2819,個別指定!$A:$A,0)),"行なし",""))</f>
        <v/>
      </c>
      <c r="N2819" s="2" t="str">
        <f aca="false">IF($G2819="","",IF(COUNTIF($G$2:$G$4460,$G2819)&gt;1,"重複",""))</f>
        <v/>
      </c>
    </row>
    <row r="2820" customFormat="false" ht="16.5" hidden="false" customHeight="true" outlineLevel="0" collapsed="false">
      <c r="A2820" s="2" t="s">
        <v>416</v>
      </c>
      <c r="B2820" s="2" t="s">
        <v>443</v>
      </c>
      <c r="C2820" s="2" t="s">
        <v>25</v>
      </c>
      <c r="D2820" s="2" t="str">
        <f aca="false">IF(3キー同時!$B$344="","",3キー同時!$B$344)</f>
        <v/>
      </c>
      <c r="E2820" s="2" t="str">
        <f aca="false">IF(3キー同時!$G$344="","",3キー同時!$G$344)</f>
        <v/>
      </c>
      <c r="F2820" s="2" t="str">
        <f aca="false">""</f>
        <v/>
      </c>
      <c r="G2820" s="2" t="str">
        <f aca="false">IF(OR(3キー同時!$B$344="",3キー同時!$G$344=""),"",IF(3キー同時!M350="","",SUBSTITUTE(SUBSTITUTE(3キー同時!M350," ",""),"　","")))</f>
        <v/>
      </c>
      <c r="H2820" s="2" t="str">
        <f aca="false">IF($G2820="","",3キー同時!$B$344)</f>
        <v/>
      </c>
      <c r="I2820" s="2" t="str">
        <f aca="false">IF($G2820="","",3キー同時!$G$344)</f>
        <v/>
      </c>
      <c r="J2820" s="2" t="str">
        <f aca="false">IF($G2820="","","s")</f>
        <v/>
      </c>
      <c r="K2820" s="2" t="str">
        <f aca="false">""</f>
        <v/>
      </c>
      <c r="L2820" s="2" t="str">
        <f aca="false">IF($G2820="","","同時")</f>
        <v/>
      </c>
      <c r="M2820" s="2" t="str">
        <f aca="false">IF($G2820="","",IF(ISNA(MATCH($G2820,個別指定!$A:$A,0)),"行なし",""))</f>
        <v/>
      </c>
      <c r="N2820" s="2" t="str">
        <f aca="false">IF($G2820="","",IF(COUNTIF($G$2:$G$4460,$G2820)&gt;1,"重複",""))</f>
        <v/>
      </c>
    </row>
    <row r="2821" customFormat="false" ht="16.5" hidden="false" customHeight="true" outlineLevel="0" collapsed="false">
      <c r="A2821" s="2" t="s">
        <v>416</v>
      </c>
      <c r="B2821" s="2" t="s">
        <v>443</v>
      </c>
      <c r="C2821" s="2" t="s">
        <v>26</v>
      </c>
      <c r="D2821" s="2" t="str">
        <f aca="false">IF(3キー同時!$B$344="","",3キー同時!$B$344)</f>
        <v/>
      </c>
      <c r="E2821" s="2" t="str">
        <f aca="false">IF(3キー同時!$G$344="","",3キー同時!$G$344)</f>
        <v/>
      </c>
      <c r="F2821" s="2" t="str">
        <f aca="false">""</f>
        <v/>
      </c>
      <c r="G2821" s="2" t="str">
        <f aca="false">IF(OR(3キー同時!$B$344="",3キー同時!$G$344=""),"",IF(3キー同時!Q350="","",SUBSTITUTE(SUBSTITUTE(3キー同時!Q350," ",""),"　","")))</f>
        <v/>
      </c>
      <c r="H2821" s="2" t="str">
        <f aca="false">IF($G2821="","",3キー同時!$B$344)</f>
        <v/>
      </c>
      <c r="I2821" s="2" t="str">
        <f aca="false">IF($G2821="","",3キー同時!$G$344)</f>
        <v/>
      </c>
      <c r="J2821" s="2" t="str">
        <f aca="false">IF($G2821="","","d")</f>
        <v/>
      </c>
      <c r="K2821" s="2" t="str">
        <f aca="false">""</f>
        <v/>
      </c>
      <c r="L2821" s="2" t="str">
        <f aca="false">IF($G2821="","","同時")</f>
        <v/>
      </c>
      <c r="M2821" s="2" t="str">
        <f aca="false">IF($G2821="","",IF(ISNA(MATCH($G2821,個別指定!$A:$A,0)),"行なし",""))</f>
        <v/>
      </c>
      <c r="N2821" s="2" t="str">
        <f aca="false">IF($G2821="","",IF(COUNTIF($G$2:$G$4460,$G2821)&gt;1,"重複",""))</f>
        <v/>
      </c>
    </row>
    <row r="2822" customFormat="false" ht="16.5" hidden="false" customHeight="true" outlineLevel="0" collapsed="false">
      <c r="A2822" s="2" t="s">
        <v>416</v>
      </c>
      <c r="B2822" s="2" t="s">
        <v>443</v>
      </c>
      <c r="C2822" s="2" t="s">
        <v>27</v>
      </c>
      <c r="D2822" s="2" t="str">
        <f aca="false">IF(3キー同時!$B$344="","",3キー同時!$B$344)</f>
        <v/>
      </c>
      <c r="E2822" s="2" t="str">
        <f aca="false">IF(3キー同時!$G$344="","",3キー同時!$G$344)</f>
        <v/>
      </c>
      <c r="F2822" s="2" t="str">
        <f aca="false">""</f>
        <v/>
      </c>
      <c r="G2822" s="2" t="str">
        <f aca="false">IF(OR(3キー同時!$B$344="",3キー同時!$G$344=""),"",IF(3キー同時!U350="","",SUBSTITUTE(SUBSTITUTE(3キー同時!U350," ",""),"　","")))</f>
        <v/>
      </c>
      <c r="H2822" s="2" t="str">
        <f aca="false">IF($G2822="","",3キー同時!$B$344)</f>
        <v/>
      </c>
      <c r="I2822" s="2" t="str">
        <f aca="false">IF($G2822="","",3キー同時!$G$344)</f>
        <v/>
      </c>
      <c r="J2822" s="2" t="str">
        <f aca="false">IF($G2822="","","f")</f>
        <v/>
      </c>
      <c r="K2822" s="2" t="str">
        <f aca="false">""</f>
        <v/>
      </c>
      <c r="L2822" s="2" t="str">
        <f aca="false">IF($G2822="","","同時")</f>
        <v/>
      </c>
      <c r="M2822" s="2" t="str">
        <f aca="false">IF($G2822="","",IF(ISNA(MATCH($G2822,個別指定!$A:$A,0)),"行なし",""))</f>
        <v/>
      </c>
      <c r="N2822" s="2" t="str">
        <f aca="false">IF($G2822="","",IF(COUNTIF($G$2:$G$4460,$G2822)&gt;1,"重複",""))</f>
        <v/>
      </c>
    </row>
    <row r="2823" customFormat="false" ht="16.5" hidden="false" customHeight="true" outlineLevel="0" collapsed="false">
      <c r="A2823" s="2" t="s">
        <v>416</v>
      </c>
      <c r="B2823" s="2" t="s">
        <v>443</v>
      </c>
      <c r="C2823" s="2" t="s">
        <v>28</v>
      </c>
      <c r="D2823" s="2" t="str">
        <f aca="false">IF(3キー同時!$B$344="","",3キー同時!$B$344)</f>
        <v/>
      </c>
      <c r="E2823" s="2" t="str">
        <f aca="false">IF(3キー同時!$G$344="","",3キー同時!$G$344)</f>
        <v/>
      </c>
      <c r="F2823" s="2" t="str">
        <f aca="false">""</f>
        <v/>
      </c>
      <c r="G2823" s="2" t="str">
        <f aca="false">IF(OR(3キー同時!$B$344="",3キー同時!$G$344=""),"",IF(3キー同時!Y350="","",SUBSTITUTE(SUBSTITUTE(3キー同時!Y350," ",""),"　","")))</f>
        <v/>
      </c>
      <c r="H2823" s="2" t="str">
        <f aca="false">IF($G2823="","",3キー同時!$B$344)</f>
        <v/>
      </c>
      <c r="I2823" s="2" t="str">
        <f aca="false">IF($G2823="","",3キー同時!$G$344)</f>
        <v/>
      </c>
      <c r="J2823" s="2" t="str">
        <f aca="false">IF($G2823="","","g")</f>
        <v/>
      </c>
      <c r="K2823" s="2" t="str">
        <f aca="false">""</f>
        <v/>
      </c>
      <c r="L2823" s="2" t="str">
        <f aca="false">IF($G2823="","","同時")</f>
        <v/>
      </c>
      <c r="M2823" s="2" t="str">
        <f aca="false">IF($G2823="","",IF(ISNA(MATCH($G2823,個別指定!$A:$A,0)),"行なし",""))</f>
        <v/>
      </c>
      <c r="N2823" s="2" t="str">
        <f aca="false">IF($G2823="","",IF(COUNTIF($G$2:$G$4460,$G2823)&gt;1,"重複",""))</f>
        <v/>
      </c>
    </row>
    <row r="2824" customFormat="false" ht="16.5" hidden="false" customHeight="true" outlineLevel="0" collapsed="false">
      <c r="A2824" s="2" t="s">
        <v>416</v>
      </c>
      <c r="B2824" s="2" t="s">
        <v>443</v>
      </c>
      <c r="C2824" s="2" t="s">
        <v>29</v>
      </c>
      <c r="D2824" s="2" t="str">
        <f aca="false">IF(3キー同時!$B$344="","",3キー同時!$B$344)</f>
        <v/>
      </c>
      <c r="E2824" s="2" t="str">
        <f aca="false">IF(3キー同時!$G$344="","",3キー同時!$G$344)</f>
        <v/>
      </c>
      <c r="F2824" s="2" t="str">
        <f aca="false">""</f>
        <v/>
      </c>
      <c r="G2824" s="2" t="str">
        <f aca="false">IF(OR(3キー同時!$B$344="",3キー同時!$G$344=""),"",IF(3キー同時!AC350="","",SUBSTITUTE(SUBSTITUTE(3キー同時!AC350," ",""),"　","")))</f>
        <v/>
      </c>
      <c r="H2824" s="2" t="str">
        <f aca="false">IF($G2824="","",3キー同時!$B$344)</f>
        <v/>
      </c>
      <c r="I2824" s="2" t="str">
        <f aca="false">IF($G2824="","",3キー同時!$G$344)</f>
        <v/>
      </c>
      <c r="J2824" s="2" t="str">
        <f aca="false">IF($G2824="","","h")</f>
        <v/>
      </c>
      <c r="K2824" s="2" t="str">
        <f aca="false">""</f>
        <v/>
      </c>
      <c r="L2824" s="2" t="str">
        <f aca="false">IF($G2824="","","同時")</f>
        <v/>
      </c>
      <c r="M2824" s="2" t="str">
        <f aca="false">IF($G2824="","",IF(ISNA(MATCH($G2824,個別指定!$A:$A,0)),"行なし",""))</f>
        <v/>
      </c>
      <c r="N2824" s="2" t="str">
        <f aca="false">IF($G2824="","",IF(COUNTIF($G$2:$G$4460,$G2824)&gt;1,"重複",""))</f>
        <v/>
      </c>
    </row>
    <row r="2825" customFormat="false" ht="16.5" hidden="false" customHeight="true" outlineLevel="0" collapsed="false">
      <c r="A2825" s="2" t="s">
        <v>416</v>
      </c>
      <c r="B2825" s="2" t="s">
        <v>443</v>
      </c>
      <c r="C2825" s="2" t="s">
        <v>30</v>
      </c>
      <c r="D2825" s="2" t="str">
        <f aca="false">IF(3キー同時!$B$344="","",3キー同時!$B$344)</f>
        <v/>
      </c>
      <c r="E2825" s="2" t="str">
        <f aca="false">IF(3キー同時!$G$344="","",3キー同時!$G$344)</f>
        <v/>
      </c>
      <c r="F2825" s="2" t="str">
        <f aca="false">""</f>
        <v/>
      </c>
      <c r="G2825" s="2" t="str">
        <f aca="false">IF(OR(3キー同時!$B$344="",3キー同時!$G$344=""),"",IF(3キー同時!AG350="","",SUBSTITUTE(SUBSTITUTE(3キー同時!AG350," ",""),"　","")))</f>
        <v/>
      </c>
      <c r="H2825" s="2" t="str">
        <f aca="false">IF($G2825="","",3キー同時!$B$344)</f>
        <v/>
      </c>
      <c r="I2825" s="2" t="str">
        <f aca="false">IF($G2825="","",3キー同時!$G$344)</f>
        <v/>
      </c>
      <c r="J2825" s="2" t="str">
        <f aca="false">IF($G2825="","","j")</f>
        <v/>
      </c>
      <c r="K2825" s="2" t="str">
        <f aca="false">""</f>
        <v/>
      </c>
      <c r="L2825" s="2" t="str">
        <f aca="false">IF($G2825="","","同時")</f>
        <v/>
      </c>
      <c r="M2825" s="2" t="str">
        <f aca="false">IF($G2825="","",IF(ISNA(MATCH($G2825,個別指定!$A:$A,0)),"行なし",""))</f>
        <v/>
      </c>
      <c r="N2825" s="2" t="str">
        <f aca="false">IF($G2825="","",IF(COUNTIF($G$2:$G$4460,$G2825)&gt;1,"重複",""))</f>
        <v/>
      </c>
    </row>
    <row r="2826" customFormat="false" ht="16.5" hidden="false" customHeight="true" outlineLevel="0" collapsed="false">
      <c r="A2826" s="2" t="s">
        <v>416</v>
      </c>
      <c r="B2826" s="2" t="s">
        <v>443</v>
      </c>
      <c r="C2826" s="2" t="s">
        <v>31</v>
      </c>
      <c r="D2826" s="2" t="str">
        <f aca="false">IF(3キー同時!$B$344="","",3キー同時!$B$344)</f>
        <v/>
      </c>
      <c r="E2826" s="2" t="str">
        <f aca="false">IF(3キー同時!$G$344="","",3キー同時!$G$344)</f>
        <v/>
      </c>
      <c r="F2826" s="2" t="str">
        <f aca="false">""</f>
        <v/>
      </c>
      <c r="G2826" s="2" t="str">
        <f aca="false">IF(OR(3キー同時!$B$344="",3キー同時!$G$344=""),"",IF(3キー同時!AK350="","",SUBSTITUTE(SUBSTITUTE(3キー同時!AK350," ",""),"　","")))</f>
        <v/>
      </c>
      <c r="H2826" s="2" t="str">
        <f aca="false">IF($G2826="","",3キー同時!$B$344)</f>
        <v/>
      </c>
      <c r="I2826" s="2" t="str">
        <f aca="false">IF($G2826="","",3キー同時!$G$344)</f>
        <v/>
      </c>
      <c r="J2826" s="2" t="str">
        <f aca="false">IF($G2826="","","k")</f>
        <v/>
      </c>
      <c r="K2826" s="2" t="str">
        <f aca="false">""</f>
        <v/>
      </c>
      <c r="L2826" s="2" t="str">
        <f aca="false">IF($G2826="","","同時")</f>
        <v/>
      </c>
      <c r="M2826" s="2" t="str">
        <f aca="false">IF($G2826="","",IF(ISNA(MATCH($G2826,個別指定!$A:$A,0)),"行なし",""))</f>
        <v/>
      </c>
      <c r="N2826" s="2" t="str">
        <f aca="false">IF($G2826="","",IF(COUNTIF($G$2:$G$4460,$G2826)&gt;1,"重複",""))</f>
        <v/>
      </c>
    </row>
    <row r="2827" customFormat="false" ht="16.5" hidden="false" customHeight="true" outlineLevel="0" collapsed="false">
      <c r="A2827" s="2" t="s">
        <v>416</v>
      </c>
      <c r="B2827" s="2" t="s">
        <v>443</v>
      </c>
      <c r="C2827" s="2" t="s">
        <v>32</v>
      </c>
      <c r="D2827" s="2" t="str">
        <f aca="false">IF(3キー同時!$B$344="","",3キー同時!$B$344)</f>
        <v/>
      </c>
      <c r="E2827" s="2" t="str">
        <f aca="false">IF(3キー同時!$G$344="","",3キー同時!$G$344)</f>
        <v/>
      </c>
      <c r="F2827" s="2" t="str">
        <f aca="false">""</f>
        <v/>
      </c>
      <c r="G2827" s="2" t="str">
        <f aca="false">IF(OR(3キー同時!$B$344="",3キー同時!$G$344=""),"",IF(3キー同時!AO350="","",SUBSTITUTE(SUBSTITUTE(3キー同時!AO350," ",""),"　","")))</f>
        <v/>
      </c>
      <c r="H2827" s="2" t="str">
        <f aca="false">IF($G2827="","",3キー同時!$B$344)</f>
        <v/>
      </c>
      <c r="I2827" s="2" t="str">
        <f aca="false">IF($G2827="","",3キー同時!$G$344)</f>
        <v/>
      </c>
      <c r="J2827" s="2" t="str">
        <f aca="false">IF($G2827="","","l")</f>
        <v/>
      </c>
      <c r="K2827" s="2" t="str">
        <f aca="false">""</f>
        <v/>
      </c>
      <c r="L2827" s="2" t="str">
        <f aca="false">IF($G2827="","","同時")</f>
        <v/>
      </c>
      <c r="M2827" s="2" t="str">
        <f aca="false">IF($G2827="","",IF(ISNA(MATCH($G2827,個別指定!$A:$A,0)),"行なし",""))</f>
        <v/>
      </c>
      <c r="N2827" s="2" t="str">
        <f aca="false">IF($G2827="","",IF(COUNTIF($G$2:$G$4460,$G2827)&gt;1,"重複",""))</f>
        <v/>
      </c>
    </row>
    <row r="2828" customFormat="false" ht="16.5" hidden="false" customHeight="true" outlineLevel="0" collapsed="false">
      <c r="A2828" s="2" t="s">
        <v>416</v>
      </c>
      <c r="B2828" s="2" t="s">
        <v>443</v>
      </c>
      <c r="C2828" s="2" t="s">
        <v>33</v>
      </c>
      <c r="D2828" s="2" t="str">
        <f aca="false">IF(3キー同時!$B$344="","",3キー同時!$B$344)</f>
        <v/>
      </c>
      <c r="E2828" s="2" t="str">
        <f aca="false">IF(3キー同時!$G$344="","",3キー同時!$G$344)</f>
        <v/>
      </c>
      <c r="F2828" s="2" t="str">
        <f aca="false">""</f>
        <v/>
      </c>
      <c r="G2828" s="2" t="str">
        <f aca="false">IF(OR(3キー同時!$B$344="",3キー同時!$G$344=""),"",IF(3キー同時!AS350="","",SUBSTITUTE(SUBSTITUTE(3キー同時!AS350," ",""),"　","")))</f>
        <v/>
      </c>
      <c r="H2828" s="2" t="str">
        <f aca="false">IF($G2828="","",3キー同時!$B$344)</f>
        <v/>
      </c>
      <c r="I2828" s="2" t="str">
        <f aca="false">IF($G2828="","",3キー同時!$G$344)</f>
        <v/>
      </c>
      <c r="J2828" s="2" t="str">
        <f aca="false">IF($G2828="","",";")</f>
        <v/>
      </c>
      <c r="K2828" s="2" t="str">
        <f aca="false">""</f>
        <v/>
      </c>
      <c r="L2828" s="2" t="str">
        <f aca="false">IF($G2828="","","同時")</f>
        <v/>
      </c>
      <c r="M2828" s="2" t="str">
        <f aca="false">IF($G2828="","",IF(ISNA(MATCH($G2828,個別指定!$A:$A,0)),"行なし",""))</f>
        <v/>
      </c>
      <c r="N2828" s="2" t="str">
        <f aca="false">IF($G2828="","",IF(COUNTIF($G$2:$G$4460,$G2828)&gt;1,"重複",""))</f>
        <v/>
      </c>
    </row>
    <row r="2829" customFormat="false" ht="16.5" hidden="false" customHeight="true" outlineLevel="0" collapsed="false">
      <c r="A2829" s="2" t="s">
        <v>416</v>
      </c>
      <c r="B2829" s="2" t="s">
        <v>443</v>
      </c>
      <c r="C2829" s="2" t="s">
        <v>34</v>
      </c>
      <c r="D2829" s="2" t="str">
        <f aca="false">IF(3キー同時!$B$344="","",3キー同時!$B$344)</f>
        <v/>
      </c>
      <c r="E2829" s="2" t="str">
        <f aca="false">IF(3キー同時!$G$344="","",3キー同時!$G$344)</f>
        <v/>
      </c>
      <c r="F2829" s="2" t="str">
        <f aca="false">""</f>
        <v/>
      </c>
      <c r="G2829" s="2" t="str">
        <f aca="false">IF(OR(3キー同時!$B$344="",3キー同時!$G$344=""),"",IF(3キー同時!AW350="","",SUBSTITUTE(SUBSTITUTE(3キー同時!AW350," ",""),"　","")))</f>
        <v/>
      </c>
      <c r="H2829" s="2" t="str">
        <f aca="false">IF($G2829="","",3キー同時!$B$344)</f>
        <v/>
      </c>
      <c r="I2829" s="2" t="str">
        <f aca="false">IF($G2829="","",3キー同時!$G$344)</f>
        <v/>
      </c>
      <c r="J2829" s="2" t="str">
        <f aca="false">IF($G2829="","","'")</f>
        <v/>
      </c>
      <c r="K2829" s="2" t="str">
        <f aca="false">""</f>
        <v/>
      </c>
      <c r="L2829" s="2" t="str">
        <f aca="false">IF($G2829="","","同時")</f>
        <v/>
      </c>
      <c r="M2829" s="2" t="str">
        <f aca="false">IF($G2829="","",IF(ISNA(MATCH($G2829,個別指定!$A:$A,0)),"行なし",""))</f>
        <v/>
      </c>
      <c r="N2829" s="2" t="str">
        <f aca="false">IF($G2829="","",IF(COUNTIF($G$2:$G$4460,$G2829)&gt;1,"重複",""))</f>
        <v/>
      </c>
    </row>
    <row r="2830" customFormat="false" ht="16.5" hidden="false" customHeight="true" outlineLevel="0" collapsed="false">
      <c r="A2830" s="2" t="s">
        <v>416</v>
      </c>
      <c r="B2830" s="2" t="s">
        <v>443</v>
      </c>
      <c r="C2830" s="2" t="s">
        <v>35</v>
      </c>
      <c r="D2830" s="2" t="str">
        <f aca="false">IF(3キー同時!$B$344="","",3キー同時!$B$344)</f>
        <v/>
      </c>
      <c r="E2830" s="2" t="str">
        <f aca="false">IF(3キー同時!$G$344="","",3キー同時!$G$344)</f>
        <v/>
      </c>
      <c r="F2830" s="2" t="str">
        <f aca="false">""</f>
        <v/>
      </c>
      <c r="G2830" s="2" t="str">
        <f aca="false">IF(OR(3キー同時!$B$344="",3キー同時!$G$344=""),"",IF(3キー同時!K352="","",SUBSTITUTE(SUBSTITUTE(3キー同時!K352," ",""),"　","")))</f>
        <v/>
      </c>
      <c r="H2830" s="2" t="str">
        <f aca="false">IF($G2830="","",3キー同時!$B$344)</f>
        <v/>
      </c>
      <c r="I2830" s="2" t="str">
        <f aca="false">IF($G2830="","",3キー同時!$G$344)</f>
        <v/>
      </c>
      <c r="J2830" s="2" t="str">
        <f aca="false">IF($G2830="","","z")</f>
        <v/>
      </c>
      <c r="K2830" s="2" t="str">
        <f aca="false">""</f>
        <v/>
      </c>
      <c r="L2830" s="2" t="str">
        <f aca="false">IF($G2830="","","同時")</f>
        <v/>
      </c>
      <c r="M2830" s="2" t="str">
        <f aca="false">IF($G2830="","",IF(ISNA(MATCH($G2830,個別指定!$A:$A,0)),"行なし",""))</f>
        <v/>
      </c>
      <c r="N2830" s="2" t="str">
        <f aca="false">IF($G2830="","",IF(COUNTIF($G$2:$G$4460,$G2830)&gt;1,"重複",""))</f>
        <v/>
      </c>
    </row>
    <row r="2831" customFormat="false" ht="16.5" hidden="false" customHeight="true" outlineLevel="0" collapsed="false">
      <c r="A2831" s="2" t="s">
        <v>416</v>
      </c>
      <c r="B2831" s="2" t="s">
        <v>443</v>
      </c>
      <c r="C2831" s="2" t="s">
        <v>36</v>
      </c>
      <c r="D2831" s="2" t="str">
        <f aca="false">IF(3キー同時!$B$344="","",3キー同時!$B$344)</f>
        <v/>
      </c>
      <c r="E2831" s="2" t="str">
        <f aca="false">IF(3キー同時!$G$344="","",3キー同時!$G$344)</f>
        <v/>
      </c>
      <c r="F2831" s="2" t="str">
        <f aca="false">""</f>
        <v/>
      </c>
      <c r="G2831" s="2" t="str">
        <f aca="false">IF(OR(3キー同時!$B$344="",3キー同時!$G$344=""),"",IF(3キー同時!O352="","",SUBSTITUTE(SUBSTITUTE(3キー同時!O352," ",""),"　","")))</f>
        <v/>
      </c>
      <c r="H2831" s="2" t="str">
        <f aca="false">IF($G2831="","",3キー同時!$B$344)</f>
        <v/>
      </c>
      <c r="I2831" s="2" t="str">
        <f aca="false">IF($G2831="","",3キー同時!$G$344)</f>
        <v/>
      </c>
      <c r="J2831" s="2" t="str">
        <f aca="false">IF($G2831="","","x")</f>
        <v/>
      </c>
      <c r="K2831" s="2" t="str">
        <f aca="false">""</f>
        <v/>
      </c>
      <c r="L2831" s="2" t="str">
        <f aca="false">IF($G2831="","","同時")</f>
        <v/>
      </c>
      <c r="M2831" s="2" t="str">
        <f aca="false">IF($G2831="","",IF(ISNA(MATCH($G2831,個別指定!$A:$A,0)),"行なし",""))</f>
        <v/>
      </c>
      <c r="N2831" s="2" t="str">
        <f aca="false">IF($G2831="","",IF(COUNTIF($G$2:$G$4460,$G2831)&gt;1,"重複",""))</f>
        <v/>
      </c>
    </row>
    <row r="2832" customFormat="false" ht="16.5" hidden="false" customHeight="true" outlineLevel="0" collapsed="false">
      <c r="A2832" s="2" t="s">
        <v>416</v>
      </c>
      <c r="B2832" s="2" t="s">
        <v>443</v>
      </c>
      <c r="C2832" s="2" t="s">
        <v>37</v>
      </c>
      <c r="D2832" s="2" t="str">
        <f aca="false">IF(3キー同時!$B$344="","",3キー同時!$B$344)</f>
        <v/>
      </c>
      <c r="E2832" s="2" t="str">
        <f aca="false">IF(3キー同時!$G$344="","",3キー同時!$G$344)</f>
        <v/>
      </c>
      <c r="F2832" s="2" t="str">
        <f aca="false">""</f>
        <v/>
      </c>
      <c r="G2832" s="2" t="str">
        <f aca="false">IF(OR(3キー同時!$B$344="",3キー同時!$G$344=""),"",IF(3キー同時!S352="","",SUBSTITUTE(SUBSTITUTE(3キー同時!S352," ",""),"　","")))</f>
        <v/>
      </c>
      <c r="H2832" s="2" t="str">
        <f aca="false">IF($G2832="","",3キー同時!$B$344)</f>
        <v/>
      </c>
      <c r="I2832" s="2" t="str">
        <f aca="false">IF($G2832="","",3キー同時!$G$344)</f>
        <v/>
      </c>
      <c r="J2832" s="2" t="str">
        <f aca="false">IF($G2832="","","c")</f>
        <v/>
      </c>
      <c r="K2832" s="2" t="str">
        <f aca="false">""</f>
        <v/>
      </c>
      <c r="L2832" s="2" t="str">
        <f aca="false">IF($G2832="","","同時")</f>
        <v/>
      </c>
      <c r="M2832" s="2" t="str">
        <f aca="false">IF($G2832="","",IF(ISNA(MATCH($G2832,個別指定!$A:$A,0)),"行なし",""))</f>
        <v/>
      </c>
      <c r="N2832" s="2" t="str">
        <f aca="false">IF($G2832="","",IF(COUNTIF($G$2:$G$4460,$G2832)&gt;1,"重複",""))</f>
        <v/>
      </c>
    </row>
    <row r="2833" customFormat="false" ht="16.5" hidden="false" customHeight="true" outlineLevel="0" collapsed="false">
      <c r="A2833" s="2" t="s">
        <v>416</v>
      </c>
      <c r="B2833" s="2" t="s">
        <v>443</v>
      </c>
      <c r="C2833" s="2" t="s">
        <v>38</v>
      </c>
      <c r="D2833" s="2" t="str">
        <f aca="false">IF(3キー同時!$B$344="","",3キー同時!$B$344)</f>
        <v/>
      </c>
      <c r="E2833" s="2" t="str">
        <f aca="false">IF(3キー同時!$G$344="","",3キー同時!$G$344)</f>
        <v/>
      </c>
      <c r="F2833" s="2" t="str">
        <f aca="false">""</f>
        <v/>
      </c>
      <c r="G2833" s="2" t="str">
        <f aca="false">IF(OR(3キー同時!$B$344="",3キー同時!$G$344=""),"",IF(3キー同時!W352="","",SUBSTITUTE(SUBSTITUTE(3キー同時!W352," ",""),"　","")))</f>
        <v/>
      </c>
      <c r="H2833" s="2" t="str">
        <f aca="false">IF($G2833="","",3キー同時!$B$344)</f>
        <v/>
      </c>
      <c r="I2833" s="2" t="str">
        <f aca="false">IF($G2833="","",3キー同時!$G$344)</f>
        <v/>
      </c>
      <c r="J2833" s="2" t="str">
        <f aca="false">IF($G2833="","","v")</f>
        <v/>
      </c>
      <c r="K2833" s="2" t="str">
        <f aca="false">""</f>
        <v/>
      </c>
      <c r="L2833" s="2" t="str">
        <f aca="false">IF($G2833="","","同時")</f>
        <v/>
      </c>
      <c r="M2833" s="2" t="str">
        <f aca="false">IF($G2833="","",IF(ISNA(MATCH($G2833,個別指定!$A:$A,0)),"行なし",""))</f>
        <v/>
      </c>
      <c r="N2833" s="2" t="str">
        <f aca="false">IF($G2833="","",IF(COUNTIF($G$2:$G$4460,$G2833)&gt;1,"重複",""))</f>
        <v/>
      </c>
    </row>
    <row r="2834" customFormat="false" ht="16.5" hidden="false" customHeight="true" outlineLevel="0" collapsed="false">
      <c r="A2834" s="2" t="s">
        <v>416</v>
      </c>
      <c r="B2834" s="2" t="s">
        <v>443</v>
      </c>
      <c r="C2834" s="2" t="s">
        <v>39</v>
      </c>
      <c r="D2834" s="2" t="str">
        <f aca="false">IF(3キー同時!$B$344="","",3キー同時!$B$344)</f>
        <v/>
      </c>
      <c r="E2834" s="2" t="str">
        <f aca="false">IF(3キー同時!$G$344="","",3キー同時!$G$344)</f>
        <v/>
      </c>
      <c r="F2834" s="2" t="str">
        <f aca="false">""</f>
        <v/>
      </c>
      <c r="G2834" s="2" t="str">
        <f aca="false">IF(OR(3キー同時!$B$344="",3キー同時!$G$344=""),"",IF(3キー同時!AA352="","",SUBSTITUTE(SUBSTITUTE(3キー同時!AA352," ",""),"　","")))</f>
        <v/>
      </c>
      <c r="H2834" s="2" t="str">
        <f aca="false">IF($G2834="","",3キー同時!$B$344)</f>
        <v/>
      </c>
      <c r="I2834" s="2" t="str">
        <f aca="false">IF($G2834="","",3キー同時!$G$344)</f>
        <v/>
      </c>
      <c r="J2834" s="2" t="str">
        <f aca="false">IF($G2834="","","b")</f>
        <v/>
      </c>
      <c r="K2834" s="2" t="str">
        <f aca="false">""</f>
        <v/>
      </c>
      <c r="L2834" s="2" t="str">
        <f aca="false">IF($G2834="","","同時")</f>
        <v/>
      </c>
      <c r="M2834" s="2" t="str">
        <f aca="false">IF($G2834="","",IF(ISNA(MATCH($G2834,個別指定!$A:$A,0)),"行なし",""))</f>
        <v/>
      </c>
      <c r="N2834" s="2" t="str">
        <f aca="false">IF($G2834="","",IF(COUNTIF($G$2:$G$4460,$G2834)&gt;1,"重複",""))</f>
        <v/>
      </c>
    </row>
    <row r="2835" customFormat="false" ht="16.5" hidden="false" customHeight="true" outlineLevel="0" collapsed="false">
      <c r="A2835" s="2" t="s">
        <v>416</v>
      </c>
      <c r="B2835" s="2" t="s">
        <v>443</v>
      </c>
      <c r="C2835" s="2" t="s">
        <v>40</v>
      </c>
      <c r="D2835" s="2" t="str">
        <f aca="false">IF(3キー同時!$B$344="","",3キー同時!$B$344)</f>
        <v/>
      </c>
      <c r="E2835" s="2" t="str">
        <f aca="false">IF(3キー同時!$G$344="","",3キー同時!$G$344)</f>
        <v/>
      </c>
      <c r="F2835" s="2" t="str">
        <f aca="false">""</f>
        <v/>
      </c>
      <c r="G2835" s="2" t="str">
        <f aca="false">IF(OR(3キー同時!$B$344="",3キー同時!$G$344=""),"",IF(3キー同時!AE352="","",SUBSTITUTE(SUBSTITUTE(3キー同時!AE352," ",""),"　","")))</f>
        <v/>
      </c>
      <c r="H2835" s="2" t="str">
        <f aca="false">IF($G2835="","",3キー同時!$B$344)</f>
        <v/>
      </c>
      <c r="I2835" s="2" t="str">
        <f aca="false">IF($G2835="","",3キー同時!$G$344)</f>
        <v/>
      </c>
      <c r="J2835" s="2" t="str">
        <f aca="false">IF($G2835="","","n")</f>
        <v/>
      </c>
      <c r="K2835" s="2" t="str">
        <f aca="false">""</f>
        <v/>
      </c>
      <c r="L2835" s="2" t="str">
        <f aca="false">IF($G2835="","","同時")</f>
        <v/>
      </c>
      <c r="M2835" s="2" t="str">
        <f aca="false">IF($G2835="","",IF(ISNA(MATCH($G2835,個別指定!$A:$A,0)),"行なし",""))</f>
        <v/>
      </c>
      <c r="N2835" s="2" t="str">
        <f aca="false">IF($G2835="","",IF(COUNTIF($G$2:$G$4460,$G2835)&gt;1,"重複",""))</f>
        <v/>
      </c>
    </row>
    <row r="2836" customFormat="false" ht="16.5" hidden="false" customHeight="true" outlineLevel="0" collapsed="false">
      <c r="A2836" s="2" t="s">
        <v>416</v>
      </c>
      <c r="B2836" s="2" t="s">
        <v>443</v>
      </c>
      <c r="C2836" s="2" t="s">
        <v>41</v>
      </c>
      <c r="D2836" s="2" t="str">
        <f aca="false">IF(3キー同時!$B$344="","",3キー同時!$B$344)</f>
        <v/>
      </c>
      <c r="E2836" s="2" t="str">
        <f aca="false">IF(3キー同時!$G$344="","",3キー同時!$G$344)</f>
        <v/>
      </c>
      <c r="F2836" s="2" t="str">
        <f aca="false">""</f>
        <v/>
      </c>
      <c r="G2836" s="2" t="str">
        <f aca="false">IF(OR(3キー同時!$B$344="",3キー同時!$G$344=""),"",IF(3キー同時!AI352="","",SUBSTITUTE(SUBSTITUTE(3キー同時!AI352," ",""),"　","")))</f>
        <v/>
      </c>
      <c r="H2836" s="2" t="str">
        <f aca="false">IF($G2836="","",3キー同時!$B$344)</f>
        <v/>
      </c>
      <c r="I2836" s="2" t="str">
        <f aca="false">IF($G2836="","",3キー同時!$G$344)</f>
        <v/>
      </c>
      <c r="J2836" s="2" t="str">
        <f aca="false">IF($G2836="","","m")</f>
        <v/>
      </c>
      <c r="K2836" s="2" t="str">
        <f aca="false">""</f>
        <v/>
      </c>
      <c r="L2836" s="2" t="str">
        <f aca="false">IF($G2836="","","同時")</f>
        <v/>
      </c>
      <c r="M2836" s="2" t="str">
        <f aca="false">IF($G2836="","",IF(ISNA(MATCH($G2836,個別指定!$A:$A,0)),"行なし",""))</f>
        <v/>
      </c>
      <c r="N2836" s="2" t="str">
        <f aca="false">IF($G2836="","",IF(COUNTIF($G$2:$G$4460,$G2836)&gt;1,"重複",""))</f>
        <v/>
      </c>
    </row>
    <row r="2837" customFormat="false" ht="16.5" hidden="false" customHeight="true" outlineLevel="0" collapsed="false">
      <c r="A2837" s="2" t="s">
        <v>416</v>
      </c>
      <c r="B2837" s="2" t="s">
        <v>443</v>
      </c>
      <c r="C2837" s="2" t="s">
        <v>42</v>
      </c>
      <c r="D2837" s="2" t="str">
        <f aca="false">IF(3キー同時!$B$344="","",3キー同時!$B$344)</f>
        <v/>
      </c>
      <c r="E2837" s="2" t="str">
        <f aca="false">IF(3キー同時!$G$344="","",3キー同時!$G$344)</f>
        <v/>
      </c>
      <c r="F2837" s="2" t="str">
        <f aca="false">""</f>
        <v/>
      </c>
      <c r="G2837" s="2" t="str">
        <f aca="false">IF(OR(3キー同時!$B$344="",3キー同時!$G$344=""),"",IF(3キー同時!AM352="","",SUBSTITUTE(SUBSTITUTE(3キー同時!AM352," ",""),"　","")))</f>
        <v/>
      </c>
      <c r="H2837" s="2" t="str">
        <f aca="false">IF($G2837="","",3キー同時!$B$344)</f>
        <v/>
      </c>
      <c r="I2837" s="2" t="str">
        <f aca="false">IF($G2837="","",3キー同時!$G$344)</f>
        <v/>
      </c>
      <c r="J2837" s="2" t="str">
        <f aca="false">IF($G2837="","",",")</f>
        <v/>
      </c>
      <c r="K2837" s="2" t="str">
        <f aca="false">""</f>
        <v/>
      </c>
      <c r="L2837" s="2" t="str">
        <f aca="false">IF($G2837="","","同時")</f>
        <v/>
      </c>
      <c r="M2837" s="2" t="str">
        <f aca="false">IF($G2837="","",IF(ISNA(MATCH($G2837,個別指定!$A:$A,0)),"行なし",""))</f>
        <v/>
      </c>
      <c r="N2837" s="2" t="str">
        <f aca="false">IF($G2837="","",IF(COUNTIF($G$2:$G$4460,$G2837)&gt;1,"重複",""))</f>
        <v/>
      </c>
    </row>
    <row r="2838" customFormat="false" ht="16.5" hidden="false" customHeight="true" outlineLevel="0" collapsed="false">
      <c r="A2838" s="2" t="s">
        <v>416</v>
      </c>
      <c r="B2838" s="2" t="s">
        <v>443</v>
      </c>
      <c r="C2838" s="2" t="s">
        <v>43</v>
      </c>
      <c r="D2838" s="2" t="str">
        <f aca="false">IF(3キー同時!$B$344="","",3キー同時!$B$344)</f>
        <v/>
      </c>
      <c r="E2838" s="2" t="str">
        <f aca="false">IF(3キー同時!$G$344="","",3キー同時!$G$344)</f>
        <v/>
      </c>
      <c r="F2838" s="2" t="str">
        <f aca="false">""</f>
        <v/>
      </c>
      <c r="G2838" s="2" t="str">
        <f aca="false">IF(OR(3キー同時!$B$344="",3キー同時!$G$344=""),"",IF(3キー同時!AQ352="","",SUBSTITUTE(SUBSTITUTE(3キー同時!AQ352," ",""),"　","")))</f>
        <v/>
      </c>
      <c r="H2838" s="2" t="str">
        <f aca="false">IF($G2838="","",3キー同時!$B$344)</f>
        <v/>
      </c>
      <c r="I2838" s="2" t="str">
        <f aca="false">IF($G2838="","",3キー同時!$G$344)</f>
        <v/>
      </c>
      <c r="J2838" s="2" t="str">
        <f aca="false">IF($G2838="","",".")</f>
        <v/>
      </c>
      <c r="K2838" s="2" t="str">
        <f aca="false">""</f>
        <v/>
      </c>
      <c r="L2838" s="2" t="str">
        <f aca="false">IF($G2838="","","同時")</f>
        <v/>
      </c>
      <c r="M2838" s="2" t="str">
        <f aca="false">IF($G2838="","",IF(ISNA(MATCH($G2838,個別指定!$A:$A,0)),"行なし",""))</f>
        <v/>
      </c>
      <c r="N2838" s="2" t="str">
        <f aca="false">IF($G2838="","",IF(COUNTIF($G$2:$G$4460,$G2838)&gt;1,"重複",""))</f>
        <v/>
      </c>
    </row>
    <row r="2839" customFormat="false" ht="16.5" hidden="false" customHeight="true" outlineLevel="0" collapsed="false">
      <c r="A2839" s="2" t="s">
        <v>416</v>
      </c>
      <c r="B2839" s="2" t="s">
        <v>443</v>
      </c>
      <c r="C2839" s="2" t="s">
        <v>44</v>
      </c>
      <c r="D2839" s="2" t="str">
        <f aca="false">IF(3キー同時!$B$344="","",3キー同時!$B$344)</f>
        <v/>
      </c>
      <c r="E2839" s="2" t="str">
        <f aca="false">IF(3キー同時!$G$344="","",3キー同時!$G$344)</f>
        <v/>
      </c>
      <c r="F2839" s="2" t="str">
        <f aca="false">""</f>
        <v/>
      </c>
      <c r="G2839" s="2" t="str">
        <f aca="false">IF(OR(3キー同時!$B$344="",3キー同時!$G$344=""),"",IF(3キー同時!AU352="","",SUBSTITUTE(SUBSTITUTE(3キー同時!AU352," ",""),"　","")))</f>
        <v/>
      </c>
      <c r="H2839" s="2" t="str">
        <f aca="false">IF($G2839="","",3キー同時!$B$344)</f>
        <v/>
      </c>
      <c r="I2839" s="2" t="str">
        <f aca="false">IF($G2839="","",3キー同時!$G$344)</f>
        <v/>
      </c>
      <c r="J2839" s="2" t="str">
        <f aca="false">IF($G2839="","","/")</f>
        <v/>
      </c>
      <c r="K2839" s="2" t="str">
        <f aca="false">""</f>
        <v/>
      </c>
      <c r="L2839" s="2" t="str">
        <f aca="false">IF($G2839="","","同時")</f>
        <v/>
      </c>
      <c r="M2839" s="2" t="str">
        <f aca="false">IF($G2839="","",IF(ISNA(MATCH($G2839,個別指定!$A:$A,0)),"行なし",""))</f>
        <v/>
      </c>
      <c r="N2839" s="2" t="str">
        <f aca="false">IF($G2839="","",IF(COUNTIF($G$2:$G$4460,$G2839)&gt;1,"重複",""))</f>
        <v/>
      </c>
    </row>
    <row r="2840" customFormat="false" ht="16.5" hidden="false" customHeight="true" outlineLevel="0" collapsed="false">
      <c r="A2840" s="2" t="s">
        <v>416</v>
      </c>
      <c r="B2840" s="2" t="s">
        <v>443</v>
      </c>
      <c r="C2840" s="2" t="s">
        <v>48</v>
      </c>
      <c r="D2840" s="2" t="str">
        <f aca="false">IF(3キー同時!$B$344="","",3キー同時!$B$344)</f>
        <v/>
      </c>
      <c r="E2840" s="2" t="str">
        <f aca="false">IF(3キー同時!$G$344="","",3キー同時!$G$344)</f>
        <v/>
      </c>
      <c r="F2840" s="2" t="str">
        <f aca="false">""</f>
        <v/>
      </c>
      <c r="G2840" s="2" t="str">
        <f aca="false">IF(OR(3キー同時!$B$344="",3キー同時!$G$344=""),"",IF(3キー同時!P354="","",SUBSTITUTE(SUBSTITUTE(3キー同時!P354," ",""),"　","")))</f>
        <v/>
      </c>
      <c r="H2840" s="2" t="str">
        <f aca="false">IF($G2840="","",3キー同時!$B$344)</f>
        <v/>
      </c>
      <c r="I2840" s="2" t="str">
        <f aca="false">IF($G2840="","",3キー同時!$G$344)</f>
        <v/>
      </c>
      <c r="J2840" s="2" t="str">
        <f aca="false">IF($G2840="","","muhenkan")</f>
        <v/>
      </c>
      <c r="K2840" s="2" t="str">
        <f aca="false">""</f>
        <v/>
      </c>
      <c r="L2840" s="2" t="str">
        <f aca="false">IF($G2840="","","同時")</f>
        <v/>
      </c>
      <c r="M2840" s="2" t="str">
        <f aca="false">IF($G2840="","",IF(ISNA(MATCH($G2840,個別指定!$A:$A,0)),"行なし",""))</f>
        <v/>
      </c>
      <c r="N2840" s="2" t="str">
        <f aca="false">IF($G2840="","",IF(COUNTIF($G$2:$G$4460,$G2840)&gt;1,"重複",""))</f>
        <v/>
      </c>
    </row>
    <row r="2841" customFormat="false" ht="16.5" hidden="false" customHeight="true" outlineLevel="0" collapsed="false">
      <c r="A2841" s="2" t="s">
        <v>416</v>
      </c>
      <c r="B2841" s="2" t="s">
        <v>443</v>
      </c>
      <c r="C2841" s="2" t="s">
        <v>50</v>
      </c>
      <c r="D2841" s="2" t="str">
        <f aca="false">IF(3キー同時!$B$344="","",3キー同時!$B$344)</f>
        <v/>
      </c>
      <c r="E2841" s="2" t="str">
        <f aca="false">IF(3キー同時!$G$344="","",3キー同時!$G$344)</f>
        <v/>
      </c>
      <c r="F2841" s="2" t="str">
        <f aca="false">""</f>
        <v/>
      </c>
      <c r="G2841" s="2" t="str">
        <f aca="false">IF(OR(3キー同時!$B$344="",3キー同時!$G$344=""),"",IF(3キー同時!T354="","",SUBSTITUTE(SUBSTITUTE(3キー同時!T354," ",""),"　","")))</f>
        <v/>
      </c>
      <c r="H2841" s="2" t="str">
        <f aca="false">IF($G2841="","",3キー同時!$B$344)</f>
        <v/>
      </c>
      <c r="I2841" s="2" t="str">
        <f aca="false">IF($G2841="","",3キー同時!$G$344)</f>
        <v/>
      </c>
      <c r="J2841" s="2" t="str">
        <f aca="false">IF($G2841="","","space")</f>
        <v/>
      </c>
      <c r="K2841" s="2" t="str">
        <f aca="false">""</f>
        <v/>
      </c>
      <c r="L2841" s="2" t="str">
        <f aca="false">IF($G2841="","","同時")</f>
        <v/>
      </c>
      <c r="M2841" s="2" t="str">
        <f aca="false">IF($G2841="","",IF(ISNA(MATCH($G2841,個別指定!$A:$A,0)),"行なし",""))</f>
        <v/>
      </c>
      <c r="N2841" s="2" t="str">
        <f aca="false">IF($G2841="","",IF(COUNTIF($G$2:$G$4460,$G2841)&gt;1,"重複",""))</f>
        <v/>
      </c>
    </row>
    <row r="2842" customFormat="false" ht="16.5" hidden="false" customHeight="true" outlineLevel="0" collapsed="false">
      <c r="A2842" s="2" t="s">
        <v>416</v>
      </c>
      <c r="B2842" s="2" t="s">
        <v>443</v>
      </c>
      <c r="C2842" s="2" t="s">
        <v>45</v>
      </c>
      <c r="D2842" s="2" t="str">
        <f aca="false">IF(3キー同時!$B$344="","",3キー同時!$B$344)</f>
        <v/>
      </c>
      <c r="E2842" s="2" t="str">
        <f aca="false">IF(3キー同時!$G$344="","",3キー同時!$G$344)</f>
        <v/>
      </c>
      <c r="F2842" s="2" t="str">
        <f aca="false">""</f>
        <v/>
      </c>
      <c r="G2842" s="2" t="str">
        <f aca="false">IF(OR(3キー同時!$B$344="",3キー同時!$G$344=""),"",IF(3キー同時!AL354="","",SUBSTITUTE(SUBSTITUTE(3キー同時!AL354," ",""),"　","")))</f>
        <v/>
      </c>
      <c r="H2842" s="2" t="str">
        <f aca="false">IF($G2842="","",3キー同時!$B$344)</f>
        <v/>
      </c>
      <c r="I2842" s="2" t="str">
        <f aca="false">IF($G2842="","",3キー同時!$G$344)</f>
        <v/>
      </c>
      <c r="J2842" s="2" t="str">
        <f aca="false">IF($G2842="","","henkan")</f>
        <v/>
      </c>
      <c r="K2842" s="2" t="str">
        <f aca="false">""</f>
        <v/>
      </c>
      <c r="L2842" s="2" t="str">
        <f aca="false">IF($G2842="","","同時")</f>
        <v/>
      </c>
      <c r="M2842" s="2" t="str">
        <f aca="false">IF($G2842="","",IF(ISNA(MATCH($G2842,個別指定!$A:$A,0)),"行なし",""))</f>
        <v/>
      </c>
      <c r="N2842" s="2" t="str">
        <f aca="false">IF($G2842="","",IF(COUNTIF($G$2:$G$4460,$G2842)&gt;1,"重複",""))</f>
        <v/>
      </c>
    </row>
    <row r="2843" customFormat="false" ht="16.5" hidden="false" customHeight="true" outlineLevel="0" collapsed="false">
      <c r="A2843" s="2" t="s">
        <v>416</v>
      </c>
      <c r="B2843" s="2" t="s">
        <v>443</v>
      </c>
      <c r="C2843" s="2" t="s">
        <v>46</v>
      </c>
      <c r="D2843" s="2" t="str">
        <f aca="false">IF(3キー同時!$B$344="","",3キー同時!$B$344)</f>
        <v/>
      </c>
      <c r="E2843" s="2" t="str">
        <f aca="false">IF(3キー同時!$G$344="","",3キー同時!$G$344)</f>
        <v/>
      </c>
      <c r="F2843" s="2" t="str">
        <f aca="false">""</f>
        <v/>
      </c>
      <c r="G2843" s="2" t="str">
        <f aca="false">IF(OR(3キー同時!$B$344="",3キー同時!$G$344=""),"",IF(3キー同時!AP354="","",SUBSTITUTE(SUBSTITUTE(3キー同時!AP354," ",""),"　","")))</f>
        <v/>
      </c>
      <c r="H2843" s="2" t="str">
        <f aca="false">IF($G2843="","",3キー同時!$B$344)</f>
        <v/>
      </c>
      <c r="I2843" s="2" t="str">
        <f aca="false">IF($G2843="","",3キー同時!$G$344)</f>
        <v/>
      </c>
      <c r="J2843" s="2" t="str">
        <f aca="false">IF($G2843="","","kana")</f>
        <v/>
      </c>
      <c r="K2843" s="2" t="str">
        <f aca="false">""</f>
        <v/>
      </c>
      <c r="L2843" s="2" t="str">
        <f aca="false">IF($G2843="","","同時")</f>
        <v/>
      </c>
      <c r="M2843" s="2" t="str">
        <f aca="false">IF($G2843="","",IF(ISNA(MATCH($G2843,個別指定!$A:$A,0)),"行なし",""))</f>
        <v/>
      </c>
      <c r="N2843" s="2" t="str">
        <f aca="false">IF($G2843="","",IF(COUNTIF($G$2:$G$4460,$G2843)&gt;1,"重複",""))</f>
        <v/>
      </c>
    </row>
    <row r="2844" customFormat="false" ht="16.5" hidden="false" customHeight="true" outlineLevel="0" collapsed="false">
      <c r="A2844" s="2" t="s">
        <v>416</v>
      </c>
      <c r="B2844" s="2" t="s">
        <v>444</v>
      </c>
      <c r="C2844" s="2" t="s">
        <v>0</v>
      </c>
      <c r="D2844" s="2" t="str">
        <f aca="false">IF(3キー同時!$B$357="","",3キー同時!$B$357)</f>
        <v/>
      </c>
      <c r="E2844" s="2" t="str">
        <f aca="false">IF(3キー同時!$G$357="","",3キー同時!$G$357)</f>
        <v/>
      </c>
      <c r="F2844" s="2" t="str">
        <f aca="false">""</f>
        <v/>
      </c>
      <c r="G2844" s="2" t="str">
        <f aca="false">IF(OR(3キー同時!$B$357="",3キー同時!$G$357=""),"",IF(3キー同時!F359="","",SUBSTITUTE(SUBSTITUTE(3キー同時!F359," ",""),"　","")))</f>
        <v/>
      </c>
      <c r="H2844" s="2" t="str">
        <f aca="false">IF($G2844="","",3キー同時!$B$357)</f>
        <v/>
      </c>
      <c r="I2844" s="2" t="str">
        <f aca="false">IF($G2844="","",3キー同時!$G$357)</f>
        <v/>
      </c>
      <c r="J2844" s="2" t="str">
        <f aca="false">IF($G2844="","","1")</f>
        <v/>
      </c>
      <c r="K2844" s="2" t="str">
        <f aca="false">""</f>
        <v/>
      </c>
      <c r="L2844" s="2" t="str">
        <f aca="false">IF($G2844="","","同時")</f>
        <v/>
      </c>
      <c r="M2844" s="2" t="str">
        <f aca="false">IF($G2844="","",IF(ISNA(MATCH($G2844,個別指定!$A:$A,0)),"行なし",""))</f>
        <v/>
      </c>
      <c r="N2844" s="2" t="str">
        <f aca="false">IF($G2844="","",IF(COUNTIF($G$2:$G$4460,$G2844)&gt;1,"重複",""))</f>
        <v/>
      </c>
    </row>
    <row r="2845" customFormat="false" ht="16.5" hidden="false" customHeight="true" outlineLevel="0" collapsed="false">
      <c r="A2845" s="2" t="s">
        <v>416</v>
      </c>
      <c r="B2845" s="2" t="s">
        <v>444</v>
      </c>
      <c r="C2845" s="2" t="s">
        <v>1</v>
      </c>
      <c r="D2845" s="2" t="str">
        <f aca="false">IF(3キー同時!$B$357="","",3キー同時!$B$357)</f>
        <v/>
      </c>
      <c r="E2845" s="2" t="str">
        <f aca="false">IF(3キー同時!$G$357="","",3キー同時!$G$357)</f>
        <v/>
      </c>
      <c r="F2845" s="2" t="str">
        <f aca="false">""</f>
        <v/>
      </c>
      <c r="G2845" s="2" t="str">
        <f aca="false">IF(OR(3キー同時!$B$357="",3キー同時!$G$357=""),"",IF(3キー同時!J359="","",SUBSTITUTE(SUBSTITUTE(3キー同時!J359," ",""),"　","")))</f>
        <v/>
      </c>
      <c r="H2845" s="2" t="str">
        <f aca="false">IF($G2845="","",3キー同時!$B$357)</f>
        <v/>
      </c>
      <c r="I2845" s="2" t="str">
        <f aca="false">IF($G2845="","",3キー同時!$G$357)</f>
        <v/>
      </c>
      <c r="J2845" s="2" t="str">
        <f aca="false">IF($G2845="","","2")</f>
        <v/>
      </c>
      <c r="K2845" s="2" t="str">
        <f aca="false">""</f>
        <v/>
      </c>
      <c r="L2845" s="2" t="str">
        <f aca="false">IF($G2845="","","同時")</f>
        <v/>
      </c>
      <c r="M2845" s="2" t="str">
        <f aca="false">IF($G2845="","",IF(ISNA(MATCH($G2845,個別指定!$A:$A,0)),"行なし",""))</f>
        <v/>
      </c>
      <c r="N2845" s="2" t="str">
        <f aca="false">IF($G2845="","",IF(COUNTIF($G$2:$G$4460,$G2845)&gt;1,"重複",""))</f>
        <v/>
      </c>
    </row>
    <row r="2846" customFormat="false" ht="16.5" hidden="false" customHeight="true" outlineLevel="0" collapsed="false">
      <c r="A2846" s="2" t="s">
        <v>416</v>
      </c>
      <c r="B2846" s="2" t="s">
        <v>444</v>
      </c>
      <c r="C2846" s="2" t="s">
        <v>2</v>
      </c>
      <c r="D2846" s="2" t="str">
        <f aca="false">IF(3キー同時!$B$357="","",3キー同時!$B$357)</f>
        <v/>
      </c>
      <c r="E2846" s="2" t="str">
        <f aca="false">IF(3キー同時!$G$357="","",3キー同時!$G$357)</f>
        <v/>
      </c>
      <c r="F2846" s="2" t="str">
        <f aca="false">""</f>
        <v/>
      </c>
      <c r="G2846" s="2" t="str">
        <f aca="false">IF(OR(3キー同時!$B$357="",3キー同時!$G$357=""),"",IF(3キー同時!N359="","",SUBSTITUTE(SUBSTITUTE(3キー同時!N359," ",""),"　","")))</f>
        <v/>
      </c>
      <c r="H2846" s="2" t="str">
        <f aca="false">IF($G2846="","",3キー同時!$B$357)</f>
        <v/>
      </c>
      <c r="I2846" s="2" t="str">
        <f aca="false">IF($G2846="","",3キー同時!$G$357)</f>
        <v/>
      </c>
      <c r="J2846" s="2" t="str">
        <f aca="false">IF($G2846="","","3")</f>
        <v/>
      </c>
      <c r="K2846" s="2" t="str">
        <f aca="false">""</f>
        <v/>
      </c>
      <c r="L2846" s="2" t="str">
        <f aca="false">IF($G2846="","","同時")</f>
        <v/>
      </c>
      <c r="M2846" s="2" t="str">
        <f aca="false">IF($G2846="","",IF(ISNA(MATCH($G2846,個別指定!$A:$A,0)),"行なし",""))</f>
        <v/>
      </c>
      <c r="N2846" s="2" t="str">
        <f aca="false">IF($G2846="","",IF(COUNTIF($G$2:$G$4460,$G2846)&gt;1,"重複",""))</f>
        <v/>
      </c>
    </row>
    <row r="2847" customFormat="false" ht="16.5" hidden="false" customHeight="true" outlineLevel="0" collapsed="false">
      <c r="A2847" s="2" t="s">
        <v>416</v>
      </c>
      <c r="B2847" s="2" t="s">
        <v>444</v>
      </c>
      <c r="C2847" s="2" t="s">
        <v>3</v>
      </c>
      <c r="D2847" s="2" t="str">
        <f aca="false">IF(3キー同時!$B$357="","",3キー同時!$B$357)</f>
        <v/>
      </c>
      <c r="E2847" s="2" t="str">
        <f aca="false">IF(3キー同時!$G$357="","",3キー同時!$G$357)</f>
        <v/>
      </c>
      <c r="F2847" s="2" t="str">
        <f aca="false">""</f>
        <v/>
      </c>
      <c r="G2847" s="2" t="str">
        <f aca="false">IF(OR(3キー同時!$B$357="",3キー同時!$G$357=""),"",IF(3キー同時!R359="","",SUBSTITUTE(SUBSTITUTE(3キー同時!R359," ",""),"　","")))</f>
        <v/>
      </c>
      <c r="H2847" s="2" t="str">
        <f aca="false">IF($G2847="","",3キー同時!$B$357)</f>
        <v/>
      </c>
      <c r="I2847" s="2" t="str">
        <f aca="false">IF($G2847="","",3キー同時!$G$357)</f>
        <v/>
      </c>
      <c r="J2847" s="2" t="str">
        <f aca="false">IF($G2847="","","4")</f>
        <v/>
      </c>
      <c r="K2847" s="2" t="str">
        <f aca="false">""</f>
        <v/>
      </c>
      <c r="L2847" s="2" t="str">
        <f aca="false">IF($G2847="","","同時")</f>
        <v/>
      </c>
      <c r="M2847" s="2" t="str">
        <f aca="false">IF($G2847="","",IF(ISNA(MATCH($G2847,個別指定!$A:$A,0)),"行なし",""))</f>
        <v/>
      </c>
      <c r="N2847" s="2" t="str">
        <f aca="false">IF($G2847="","",IF(COUNTIF($G$2:$G$4460,$G2847)&gt;1,"重複",""))</f>
        <v/>
      </c>
    </row>
    <row r="2848" customFormat="false" ht="16.5" hidden="false" customHeight="true" outlineLevel="0" collapsed="false">
      <c r="A2848" s="2" t="s">
        <v>416</v>
      </c>
      <c r="B2848" s="2" t="s">
        <v>444</v>
      </c>
      <c r="C2848" s="2" t="s">
        <v>4</v>
      </c>
      <c r="D2848" s="2" t="str">
        <f aca="false">IF(3キー同時!$B$357="","",3キー同時!$B$357)</f>
        <v/>
      </c>
      <c r="E2848" s="2" t="str">
        <f aca="false">IF(3キー同時!$G$357="","",3キー同時!$G$357)</f>
        <v/>
      </c>
      <c r="F2848" s="2" t="str">
        <f aca="false">""</f>
        <v/>
      </c>
      <c r="G2848" s="2" t="str">
        <f aca="false">IF(OR(3キー同時!$B$357="",3キー同時!$G$357=""),"",IF(3キー同時!V359="","",SUBSTITUTE(SUBSTITUTE(3キー同時!V359," ",""),"　","")))</f>
        <v/>
      </c>
      <c r="H2848" s="2" t="str">
        <f aca="false">IF($G2848="","",3キー同時!$B$357)</f>
        <v/>
      </c>
      <c r="I2848" s="2" t="str">
        <f aca="false">IF($G2848="","",3キー同時!$G$357)</f>
        <v/>
      </c>
      <c r="J2848" s="2" t="str">
        <f aca="false">IF($G2848="","","5")</f>
        <v/>
      </c>
      <c r="K2848" s="2" t="str">
        <f aca="false">""</f>
        <v/>
      </c>
      <c r="L2848" s="2" t="str">
        <f aca="false">IF($G2848="","","同時")</f>
        <v/>
      </c>
      <c r="M2848" s="2" t="str">
        <f aca="false">IF($G2848="","",IF(ISNA(MATCH($G2848,個別指定!$A:$A,0)),"行なし",""))</f>
        <v/>
      </c>
      <c r="N2848" s="2" t="str">
        <f aca="false">IF($G2848="","",IF(COUNTIF($G$2:$G$4460,$G2848)&gt;1,"重複",""))</f>
        <v/>
      </c>
    </row>
    <row r="2849" customFormat="false" ht="16.5" hidden="false" customHeight="true" outlineLevel="0" collapsed="false">
      <c r="A2849" s="2" t="s">
        <v>416</v>
      </c>
      <c r="B2849" s="2" t="s">
        <v>444</v>
      </c>
      <c r="C2849" s="2" t="s">
        <v>5</v>
      </c>
      <c r="D2849" s="2" t="str">
        <f aca="false">IF(3キー同時!$B$357="","",3キー同時!$B$357)</f>
        <v/>
      </c>
      <c r="E2849" s="2" t="str">
        <f aca="false">IF(3キー同時!$G$357="","",3キー同時!$G$357)</f>
        <v/>
      </c>
      <c r="F2849" s="2" t="str">
        <f aca="false">""</f>
        <v/>
      </c>
      <c r="G2849" s="2" t="str">
        <f aca="false">IF(OR(3キー同時!$B$357="",3キー同時!$G$357=""),"",IF(3キー同時!Z359="","",SUBSTITUTE(SUBSTITUTE(3キー同時!Z359," ",""),"　","")))</f>
        <v/>
      </c>
      <c r="H2849" s="2" t="str">
        <f aca="false">IF($G2849="","",3キー同時!$B$357)</f>
        <v/>
      </c>
      <c r="I2849" s="2" t="str">
        <f aca="false">IF($G2849="","",3キー同時!$G$357)</f>
        <v/>
      </c>
      <c r="J2849" s="2" t="str">
        <f aca="false">IF($G2849="","","6")</f>
        <v/>
      </c>
      <c r="K2849" s="2" t="str">
        <f aca="false">""</f>
        <v/>
      </c>
      <c r="L2849" s="2" t="str">
        <f aca="false">IF($G2849="","","同時")</f>
        <v/>
      </c>
      <c r="M2849" s="2" t="str">
        <f aca="false">IF($G2849="","",IF(ISNA(MATCH($G2849,個別指定!$A:$A,0)),"行なし",""))</f>
        <v/>
      </c>
      <c r="N2849" s="2" t="str">
        <f aca="false">IF($G2849="","",IF(COUNTIF($G$2:$G$4460,$G2849)&gt;1,"重複",""))</f>
        <v/>
      </c>
    </row>
    <row r="2850" customFormat="false" ht="16.5" hidden="false" customHeight="true" outlineLevel="0" collapsed="false">
      <c r="A2850" s="2" t="s">
        <v>416</v>
      </c>
      <c r="B2850" s="2" t="s">
        <v>444</v>
      </c>
      <c r="C2850" s="2" t="s">
        <v>6</v>
      </c>
      <c r="D2850" s="2" t="str">
        <f aca="false">IF(3キー同時!$B$357="","",3キー同時!$B$357)</f>
        <v/>
      </c>
      <c r="E2850" s="2" t="str">
        <f aca="false">IF(3キー同時!$G$357="","",3キー同時!$G$357)</f>
        <v/>
      </c>
      <c r="F2850" s="2" t="str">
        <f aca="false">""</f>
        <v/>
      </c>
      <c r="G2850" s="2" t="str">
        <f aca="false">IF(OR(3キー同時!$B$357="",3キー同時!$G$357=""),"",IF(3キー同時!AD359="","",SUBSTITUTE(SUBSTITUTE(3キー同時!AD359," ",""),"　","")))</f>
        <v/>
      </c>
      <c r="H2850" s="2" t="str">
        <f aca="false">IF($G2850="","",3キー同時!$B$357)</f>
        <v/>
      </c>
      <c r="I2850" s="2" t="str">
        <f aca="false">IF($G2850="","",3キー同時!$G$357)</f>
        <v/>
      </c>
      <c r="J2850" s="2" t="str">
        <f aca="false">IF($G2850="","","7")</f>
        <v/>
      </c>
      <c r="K2850" s="2" t="str">
        <f aca="false">""</f>
        <v/>
      </c>
      <c r="L2850" s="2" t="str">
        <f aca="false">IF($G2850="","","同時")</f>
        <v/>
      </c>
      <c r="M2850" s="2" t="str">
        <f aca="false">IF($G2850="","",IF(ISNA(MATCH($G2850,個別指定!$A:$A,0)),"行なし",""))</f>
        <v/>
      </c>
      <c r="N2850" s="2" t="str">
        <f aca="false">IF($G2850="","",IF(COUNTIF($G$2:$G$4460,$G2850)&gt;1,"重複",""))</f>
        <v/>
      </c>
    </row>
    <row r="2851" customFormat="false" ht="16.5" hidden="false" customHeight="true" outlineLevel="0" collapsed="false">
      <c r="A2851" s="2" t="s">
        <v>416</v>
      </c>
      <c r="B2851" s="2" t="s">
        <v>444</v>
      </c>
      <c r="C2851" s="2" t="s">
        <v>7</v>
      </c>
      <c r="D2851" s="2" t="str">
        <f aca="false">IF(3キー同時!$B$357="","",3キー同時!$B$357)</f>
        <v/>
      </c>
      <c r="E2851" s="2" t="str">
        <f aca="false">IF(3キー同時!$G$357="","",3キー同時!$G$357)</f>
        <v/>
      </c>
      <c r="F2851" s="2" t="str">
        <f aca="false">""</f>
        <v/>
      </c>
      <c r="G2851" s="2" t="str">
        <f aca="false">IF(OR(3キー同時!$B$357="",3キー同時!$G$357=""),"",IF(3キー同時!AH359="","",SUBSTITUTE(SUBSTITUTE(3キー同時!AH359," ",""),"　","")))</f>
        <v/>
      </c>
      <c r="H2851" s="2" t="str">
        <f aca="false">IF($G2851="","",3キー同時!$B$357)</f>
        <v/>
      </c>
      <c r="I2851" s="2" t="str">
        <f aca="false">IF($G2851="","",3キー同時!$G$357)</f>
        <v/>
      </c>
      <c r="J2851" s="2" t="str">
        <f aca="false">IF($G2851="","","8")</f>
        <v/>
      </c>
      <c r="K2851" s="2" t="str">
        <f aca="false">""</f>
        <v/>
      </c>
      <c r="L2851" s="2" t="str">
        <f aca="false">IF($G2851="","","同時")</f>
        <v/>
      </c>
      <c r="M2851" s="2" t="str">
        <f aca="false">IF($G2851="","",IF(ISNA(MATCH($G2851,個別指定!$A:$A,0)),"行なし",""))</f>
        <v/>
      </c>
      <c r="N2851" s="2" t="str">
        <f aca="false">IF($G2851="","",IF(COUNTIF($G$2:$G$4460,$G2851)&gt;1,"重複",""))</f>
        <v/>
      </c>
    </row>
    <row r="2852" customFormat="false" ht="16.5" hidden="false" customHeight="true" outlineLevel="0" collapsed="false">
      <c r="A2852" s="2" t="s">
        <v>416</v>
      </c>
      <c r="B2852" s="2" t="s">
        <v>444</v>
      </c>
      <c r="C2852" s="2" t="s">
        <v>8</v>
      </c>
      <c r="D2852" s="2" t="str">
        <f aca="false">IF(3キー同時!$B$357="","",3キー同時!$B$357)</f>
        <v/>
      </c>
      <c r="E2852" s="2" t="str">
        <f aca="false">IF(3キー同時!$G$357="","",3キー同時!$G$357)</f>
        <v/>
      </c>
      <c r="F2852" s="2" t="str">
        <f aca="false">""</f>
        <v/>
      </c>
      <c r="G2852" s="2" t="str">
        <f aca="false">IF(OR(3キー同時!$B$357="",3キー同時!$G$357=""),"",IF(3キー同時!AL359="","",SUBSTITUTE(SUBSTITUTE(3キー同時!AL359," ",""),"　","")))</f>
        <v/>
      </c>
      <c r="H2852" s="2" t="str">
        <f aca="false">IF($G2852="","",3キー同時!$B$357)</f>
        <v/>
      </c>
      <c r="I2852" s="2" t="str">
        <f aca="false">IF($G2852="","",3キー同時!$G$357)</f>
        <v/>
      </c>
      <c r="J2852" s="2" t="str">
        <f aca="false">IF($G2852="","","9")</f>
        <v/>
      </c>
      <c r="K2852" s="2" t="str">
        <f aca="false">""</f>
        <v/>
      </c>
      <c r="L2852" s="2" t="str">
        <f aca="false">IF($G2852="","","同時")</f>
        <v/>
      </c>
      <c r="M2852" s="2" t="str">
        <f aca="false">IF($G2852="","",IF(ISNA(MATCH($G2852,個別指定!$A:$A,0)),"行なし",""))</f>
        <v/>
      </c>
      <c r="N2852" s="2" t="str">
        <f aca="false">IF($G2852="","",IF(COUNTIF($G$2:$G$4460,$G2852)&gt;1,"重複",""))</f>
        <v/>
      </c>
    </row>
    <row r="2853" customFormat="false" ht="16.5" hidden="false" customHeight="true" outlineLevel="0" collapsed="false">
      <c r="A2853" s="2" t="s">
        <v>416</v>
      </c>
      <c r="B2853" s="2" t="s">
        <v>444</v>
      </c>
      <c r="C2853" s="2" t="s">
        <v>9</v>
      </c>
      <c r="D2853" s="2" t="str">
        <f aca="false">IF(3キー同時!$B$357="","",3キー同時!$B$357)</f>
        <v/>
      </c>
      <c r="E2853" s="2" t="str">
        <f aca="false">IF(3キー同時!$G$357="","",3キー同時!$G$357)</f>
        <v/>
      </c>
      <c r="F2853" s="2" t="str">
        <f aca="false">""</f>
        <v/>
      </c>
      <c r="G2853" s="2" t="str">
        <f aca="false">IF(OR(3キー同時!$B$357="",3キー同時!$G$357=""),"",IF(3キー同時!AP359="","",SUBSTITUTE(SUBSTITUTE(3キー同時!AP359," ",""),"　","")))</f>
        <v/>
      </c>
      <c r="H2853" s="2" t="str">
        <f aca="false">IF($G2853="","",3キー同時!$B$357)</f>
        <v/>
      </c>
      <c r="I2853" s="2" t="str">
        <f aca="false">IF($G2853="","",3キー同時!$G$357)</f>
        <v/>
      </c>
      <c r="J2853" s="2" t="str">
        <f aca="false">IF($G2853="","","0")</f>
        <v/>
      </c>
      <c r="K2853" s="2" t="str">
        <f aca="false">""</f>
        <v/>
      </c>
      <c r="L2853" s="2" t="str">
        <f aca="false">IF($G2853="","","同時")</f>
        <v/>
      </c>
      <c r="M2853" s="2" t="str">
        <f aca="false">IF($G2853="","",IF(ISNA(MATCH($G2853,個別指定!$A:$A,0)),"行なし",""))</f>
        <v/>
      </c>
      <c r="N2853" s="2" t="str">
        <f aca="false">IF($G2853="","",IF(COUNTIF($G$2:$G$4460,$G2853)&gt;1,"重複",""))</f>
        <v/>
      </c>
    </row>
    <row r="2854" customFormat="false" ht="16.5" hidden="false" customHeight="true" outlineLevel="0" collapsed="false">
      <c r="A2854" s="2" t="s">
        <v>416</v>
      </c>
      <c r="B2854" s="2" t="s">
        <v>444</v>
      </c>
      <c r="C2854" s="2" t="s">
        <v>10</v>
      </c>
      <c r="D2854" s="2" t="str">
        <f aca="false">IF(3キー同時!$B$357="","",3キー同時!$B$357)</f>
        <v/>
      </c>
      <c r="E2854" s="2" t="str">
        <f aca="false">IF(3キー同時!$G$357="","",3キー同時!$G$357)</f>
        <v/>
      </c>
      <c r="F2854" s="2" t="str">
        <f aca="false">""</f>
        <v/>
      </c>
      <c r="G2854" s="2" t="str">
        <f aca="false">IF(OR(3キー同時!$B$357="",3キー同時!$G$357=""),"",IF(3キー同時!AT359="","",SUBSTITUTE(SUBSTITUTE(3キー同時!AT359," ",""),"　","")))</f>
        <v/>
      </c>
      <c r="H2854" s="2" t="str">
        <f aca="false">IF($G2854="","",3キー同時!$B$357)</f>
        <v/>
      </c>
      <c r="I2854" s="2" t="str">
        <f aca="false">IF($G2854="","",3キー同時!$G$357)</f>
        <v/>
      </c>
      <c r="J2854" s="2" t="str">
        <f aca="false">IF($G2854="","","-")</f>
        <v/>
      </c>
      <c r="K2854" s="2" t="str">
        <f aca="false">""</f>
        <v/>
      </c>
      <c r="L2854" s="2" t="str">
        <f aca="false">IF($G2854="","","同時")</f>
        <v/>
      </c>
      <c r="M2854" s="2" t="str">
        <f aca="false">IF($G2854="","",IF(ISNA(MATCH($G2854,個別指定!$A:$A,0)),"行なし",""))</f>
        <v/>
      </c>
      <c r="N2854" s="2" t="str">
        <f aca="false">IF($G2854="","",IF(COUNTIF($G$2:$G$4460,$G2854)&gt;1,"重複",""))</f>
        <v/>
      </c>
    </row>
    <row r="2855" customFormat="false" ht="16.5" hidden="false" customHeight="true" outlineLevel="0" collapsed="false">
      <c r="A2855" s="2" t="s">
        <v>416</v>
      </c>
      <c r="B2855" s="2" t="s">
        <v>444</v>
      </c>
      <c r="C2855" s="2" t="s">
        <v>11</v>
      </c>
      <c r="D2855" s="2" t="str">
        <f aca="false">IF(3キー同時!$B$357="","",3キー同時!$B$357)</f>
        <v/>
      </c>
      <c r="E2855" s="2" t="str">
        <f aca="false">IF(3キー同時!$G$357="","",3キー同時!$G$357)</f>
        <v/>
      </c>
      <c r="F2855" s="2" t="str">
        <f aca="false">""</f>
        <v/>
      </c>
      <c r="G2855" s="2" t="str">
        <f aca="false">IF(OR(3キー同時!$B$357="",3キー同時!$G$357=""),"",IF(3キー同時!AX359="","",SUBSTITUTE(SUBSTITUTE(3キー同時!AX359," ",""),"　","")))</f>
        <v/>
      </c>
      <c r="H2855" s="2" t="str">
        <f aca="false">IF($G2855="","",3キー同時!$B$357)</f>
        <v/>
      </c>
      <c r="I2855" s="2" t="str">
        <f aca="false">IF($G2855="","",3キー同時!$G$357)</f>
        <v/>
      </c>
      <c r="J2855" s="2" t="str">
        <f aca="false">IF($G2855="","","=")</f>
        <v/>
      </c>
      <c r="K2855" s="2" t="str">
        <f aca="false">""</f>
        <v/>
      </c>
      <c r="L2855" s="2" t="str">
        <f aca="false">IF($G2855="","","同時")</f>
        <v/>
      </c>
      <c r="M2855" s="2" t="str">
        <f aca="false">IF($G2855="","",IF(ISNA(MATCH($G2855,個別指定!$A:$A,0)),"行なし",""))</f>
        <v/>
      </c>
      <c r="N2855" s="2" t="str">
        <f aca="false">IF($G2855="","",IF(COUNTIF($G$2:$G$4460,$G2855)&gt;1,"重複",""))</f>
        <v/>
      </c>
    </row>
    <row r="2856" customFormat="false" ht="16.5" hidden="false" customHeight="true" outlineLevel="0" collapsed="false">
      <c r="A2856" s="2" t="s">
        <v>416</v>
      </c>
      <c r="B2856" s="2" t="s">
        <v>444</v>
      </c>
      <c r="C2856" s="2" t="s">
        <v>12</v>
      </c>
      <c r="D2856" s="2" t="str">
        <f aca="false">IF(3キー同時!$B$357="","",3キー同時!$B$357)</f>
        <v/>
      </c>
      <c r="E2856" s="2" t="str">
        <f aca="false">IF(3キー同時!$G$357="","",3キー同時!$G$357)</f>
        <v/>
      </c>
      <c r="F2856" s="2" t="str">
        <f aca="false">""</f>
        <v/>
      </c>
      <c r="G2856" s="2" t="str">
        <f aca="false">IF(OR(3キー同時!$B$357="",3キー同時!$G$357=""),"",IF(3キー同時!H361="","",SUBSTITUTE(SUBSTITUTE(3キー同時!H361," ",""),"　","")))</f>
        <v/>
      </c>
      <c r="H2856" s="2" t="str">
        <f aca="false">IF($G2856="","",3キー同時!$B$357)</f>
        <v/>
      </c>
      <c r="I2856" s="2" t="str">
        <f aca="false">IF($G2856="","",3キー同時!$G$357)</f>
        <v/>
      </c>
      <c r="J2856" s="2" t="str">
        <f aca="false">IF($G2856="","","q")</f>
        <v/>
      </c>
      <c r="K2856" s="2" t="str">
        <f aca="false">""</f>
        <v/>
      </c>
      <c r="L2856" s="2" t="str">
        <f aca="false">IF($G2856="","","同時")</f>
        <v/>
      </c>
      <c r="M2856" s="2" t="str">
        <f aca="false">IF($G2856="","",IF(ISNA(MATCH($G2856,個別指定!$A:$A,0)),"行なし",""))</f>
        <v/>
      </c>
      <c r="N2856" s="2" t="str">
        <f aca="false">IF($G2856="","",IF(COUNTIF($G$2:$G$4460,$G2856)&gt;1,"重複",""))</f>
        <v/>
      </c>
    </row>
    <row r="2857" customFormat="false" ht="16.5" hidden="false" customHeight="true" outlineLevel="0" collapsed="false">
      <c r="A2857" s="2" t="s">
        <v>416</v>
      </c>
      <c r="B2857" s="2" t="s">
        <v>444</v>
      </c>
      <c r="C2857" s="2" t="s">
        <v>13</v>
      </c>
      <c r="D2857" s="2" t="str">
        <f aca="false">IF(3キー同時!$B$357="","",3キー同時!$B$357)</f>
        <v/>
      </c>
      <c r="E2857" s="2" t="str">
        <f aca="false">IF(3キー同時!$G$357="","",3キー同時!$G$357)</f>
        <v/>
      </c>
      <c r="F2857" s="2" t="str">
        <f aca="false">""</f>
        <v/>
      </c>
      <c r="G2857" s="2" t="str">
        <f aca="false">IF(OR(3キー同時!$B$357="",3キー同時!$G$357=""),"",IF(3キー同時!L361="","",SUBSTITUTE(SUBSTITUTE(3キー同時!L361," ",""),"　","")))</f>
        <v/>
      </c>
      <c r="H2857" s="2" t="str">
        <f aca="false">IF($G2857="","",3キー同時!$B$357)</f>
        <v/>
      </c>
      <c r="I2857" s="2" t="str">
        <f aca="false">IF($G2857="","",3キー同時!$G$357)</f>
        <v/>
      </c>
      <c r="J2857" s="2" t="str">
        <f aca="false">IF($G2857="","","w")</f>
        <v/>
      </c>
      <c r="K2857" s="2" t="str">
        <f aca="false">""</f>
        <v/>
      </c>
      <c r="L2857" s="2" t="str">
        <f aca="false">IF($G2857="","","同時")</f>
        <v/>
      </c>
      <c r="M2857" s="2" t="str">
        <f aca="false">IF($G2857="","",IF(ISNA(MATCH($G2857,個別指定!$A:$A,0)),"行なし",""))</f>
        <v/>
      </c>
      <c r="N2857" s="2" t="str">
        <f aca="false">IF($G2857="","",IF(COUNTIF($G$2:$G$4460,$G2857)&gt;1,"重複",""))</f>
        <v/>
      </c>
    </row>
    <row r="2858" customFormat="false" ht="16.5" hidden="false" customHeight="true" outlineLevel="0" collapsed="false">
      <c r="A2858" s="2" t="s">
        <v>416</v>
      </c>
      <c r="B2858" s="2" t="s">
        <v>444</v>
      </c>
      <c r="C2858" s="2" t="s">
        <v>14</v>
      </c>
      <c r="D2858" s="2" t="str">
        <f aca="false">IF(3キー同時!$B$357="","",3キー同時!$B$357)</f>
        <v/>
      </c>
      <c r="E2858" s="2" t="str">
        <f aca="false">IF(3キー同時!$G$357="","",3キー同時!$G$357)</f>
        <v/>
      </c>
      <c r="F2858" s="2" t="str">
        <f aca="false">""</f>
        <v/>
      </c>
      <c r="G2858" s="2" t="str">
        <f aca="false">IF(OR(3キー同時!$B$357="",3キー同時!$G$357=""),"",IF(3キー同時!P361="","",SUBSTITUTE(SUBSTITUTE(3キー同時!P361," ",""),"　","")))</f>
        <v/>
      </c>
      <c r="H2858" s="2" t="str">
        <f aca="false">IF($G2858="","",3キー同時!$B$357)</f>
        <v/>
      </c>
      <c r="I2858" s="2" t="str">
        <f aca="false">IF($G2858="","",3キー同時!$G$357)</f>
        <v/>
      </c>
      <c r="J2858" s="2" t="str">
        <f aca="false">IF($G2858="","","e")</f>
        <v/>
      </c>
      <c r="K2858" s="2" t="str">
        <f aca="false">""</f>
        <v/>
      </c>
      <c r="L2858" s="2" t="str">
        <f aca="false">IF($G2858="","","同時")</f>
        <v/>
      </c>
      <c r="M2858" s="2" t="str">
        <f aca="false">IF($G2858="","",IF(ISNA(MATCH($G2858,個別指定!$A:$A,0)),"行なし",""))</f>
        <v/>
      </c>
      <c r="N2858" s="2" t="str">
        <f aca="false">IF($G2858="","",IF(COUNTIF($G$2:$G$4460,$G2858)&gt;1,"重複",""))</f>
        <v/>
      </c>
    </row>
    <row r="2859" customFormat="false" ht="16.5" hidden="false" customHeight="true" outlineLevel="0" collapsed="false">
      <c r="A2859" s="2" t="s">
        <v>416</v>
      </c>
      <c r="B2859" s="2" t="s">
        <v>444</v>
      </c>
      <c r="C2859" s="2" t="s">
        <v>15</v>
      </c>
      <c r="D2859" s="2" t="str">
        <f aca="false">IF(3キー同時!$B$357="","",3キー同時!$B$357)</f>
        <v/>
      </c>
      <c r="E2859" s="2" t="str">
        <f aca="false">IF(3キー同時!$G$357="","",3キー同時!$G$357)</f>
        <v/>
      </c>
      <c r="F2859" s="2" t="str">
        <f aca="false">""</f>
        <v/>
      </c>
      <c r="G2859" s="2" t="str">
        <f aca="false">IF(OR(3キー同時!$B$357="",3キー同時!$G$357=""),"",IF(3キー同時!T361="","",SUBSTITUTE(SUBSTITUTE(3キー同時!T361," ",""),"　","")))</f>
        <v/>
      </c>
      <c r="H2859" s="2" t="str">
        <f aca="false">IF($G2859="","",3キー同時!$B$357)</f>
        <v/>
      </c>
      <c r="I2859" s="2" t="str">
        <f aca="false">IF($G2859="","",3キー同時!$G$357)</f>
        <v/>
      </c>
      <c r="J2859" s="2" t="str">
        <f aca="false">IF($G2859="","","r")</f>
        <v/>
      </c>
      <c r="K2859" s="2" t="str">
        <f aca="false">""</f>
        <v/>
      </c>
      <c r="L2859" s="2" t="str">
        <f aca="false">IF($G2859="","","同時")</f>
        <v/>
      </c>
      <c r="M2859" s="2" t="str">
        <f aca="false">IF($G2859="","",IF(ISNA(MATCH($G2859,個別指定!$A:$A,0)),"行なし",""))</f>
        <v/>
      </c>
      <c r="N2859" s="2" t="str">
        <f aca="false">IF($G2859="","",IF(COUNTIF($G$2:$G$4460,$G2859)&gt;1,"重複",""))</f>
        <v/>
      </c>
    </row>
    <row r="2860" customFormat="false" ht="16.5" hidden="false" customHeight="true" outlineLevel="0" collapsed="false">
      <c r="A2860" s="2" t="s">
        <v>416</v>
      </c>
      <c r="B2860" s="2" t="s">
        <v>444</v>
      </c>
      <c r="C2860" s="2" t="s">
        <v>16</v>
      </c>
      <c r="D2860" s="2" t="str">
        <f aca="false">IF(3キー同時!$B$357="","",3キー同時!$B$357)</f>
        <v/>
      </c>
      <c r="E2860" s="2" t="str">
        <f aca="false">IF(3キー同時!$G$357="","",3キー同時!$G$357)</f>
        <v/>
      </c>
      <c r="F2860" s="2" t="str">
        <f aca="false">""</f>
        <v/>
      </c>
      <c r="G2860" s="2" t="str">
        <f aca="false">IF(OR(3キー同時!$B$357="",3キー同時!$G$357=""),"",IF(3キー同時!X361="","",SUBSTITUTE(SUBSTITUTE(3キー同時!X361," ",""),"　","")))</f>
        <v/>
      </c>
      <c r="H2860" s="2" t="str">
        <f aca="false">IF($G2860="","",3キー同時!$B$357)</f>
        <v/>
      </c>
      <c r="I2860" s="2" t="str">
        <f aca="false">IF($G2860="","",3キー同時!$G$357)</f>
        <v/>
      </c>
      <c r="J2860" s="2" t="str">
        <f aca="false">IF($G2860="","","t")</f>
        <v/>
      </c>
      <c r="K2860" s="2" t="str">
        <f aca="false">""</f>
        <v/>
      </c>
      <c r="L2860" s="2" t="str">
        <f aca="false">IF($G2860="","","同時")</f>
        <v/>
      </c>
      <c r="M2860" s="2" t="str">
        <f aca="false">IF($G2860="","",IF(ISNA(MATCH($G2860,個別指定!$A:$A,0)),"行なし",""))</f>
        <v/>
      </c>
      <c r="N2860" s="2" t="str">
        <f aca="false">IF($G2860="","",IF(COUNTIF($G$2:$G$4460,$G2860)&gt;1,"重複",""))</f>
        <v/>
      </c>
    </row>
    <row r="2861" customFormat="false" ht="16.5" hidden="false" customHeight="true" outlineLevel="0" collapsed="false">
      <c r="A2861" s="2" t="s">
        <v>416</v>
      </c>
      <c r="B2861" s="2" t="s">
        <v>444</v>
      </c>
      <c r="C2861" s="2" t="s">
        <v>17</v>
      </c>
      <c r="D2861" s="2" t="str">
        <f aca="false">IF(3キー同時!$B$357="","",3キー同時!$B$357)</f>
        <v/>
      </c>
      <c r="E2861" s="2" t="str">
        <f aca="false">IF(3キー同時!$G$357="","",3キー同時!$G$357)</f>
        <v/>
      </c>
      <c r="F2861" s="2" t="str">
        <f aca="false">""</f>
        <v/>
      </c>
      <c r="G2861" s="2" t="str">
        <f aca="false">IF(OR(3キー同時!$B$357="",3キー同時!$G$357=""),"",IF(3キー同時!AB361="","",SUBSTITUTE(SUBSTITUTE(3キー同時!AB361," ",""),"　","")))</f>
        <v/>
      </c>
      <c r="H2861" s="2" t="str">
        <f aca="false">IF($G2861="","",3キー同時!$B$357)</f>
        <v/>
      </c>
      <c r="I2861" s="2" t="str">
        <f aca="false">IF($G2861="","",3キー同時!$G$357)</f>
        <v/>
      </c>
      <c r="J2861" s="2" t="str">
        <f aca="false">IF($G2861="","","y")</f>
        <v/>
      </c>
      <c r="K2861" s="2" t="str">
        <f aca="false">""</f>
        <v/>
      </c>
      <c r="L2861" s="2" t="str">
        <f aca="false">IF($G2861="","","同時")</f>
        <v/>
      </c>
      <c r="M2861" s="2" t="str">
        <f aca="false">IF($G2861="","",IF(ISNA(MATCH($G2861,個別指定!$A:$A,0)),"行なし",""))</f>
        <v/>
      </c>
      <c r="N2861" s="2" t="str">
        <f aca="false">IF($G2861="","",IF(COUNTIF($G$2:$G$4460,$G2861)&gt;1,"重複",""))</f>
        <v/>
      </c>
    </row>
    <row r="2862" customFormat="false" ht="16.5" hidden="false" customHeight="true" outlineLevel="0" collapsed="false">
      <c r="A2862" s="2" t="s">
        <v>416</v>
      </c>
      <c r="B2862" s="2" t="s">
        <v>444</v>
      </c>
      <c r="C2862" s="2" t="s">
        <v>18</v>
      </c>
      <c r="D2862" s="2" t="str">
        <f aca="false">IF(3キー同時!$B$357="","",3キー同時!$B$357)</f>
        <v/>
      </c>
      <c r="E2862" s="2" t="str">
        <f aca="false">IF(3キー同時!$G$357="","",3キー同時!$G$357)</f>
        <v/>
      </c>
      <c r="F2862" s="2" t="str">
        <f aca="false">""</f>
        <v/>
      </c>
      <c r="G2862" s="2" t="str">
        <f aca="false">IF(OR(3キー同時!$B$357="",3キー同時!$G$357=""),"",IF(3キー同時!AF361="","",SUBSTITUTE(SUBSTITUTE(3キー同時!AF361," ",""),"　","")))</f>
        <v/>
      </c>
      <c r="H2862" s="2" t="str">
        <f aca="false">IF($G2862="","",3キー同時!$B$357)</f>
        <v/>
      </c>
      <c r="I2862" s="2" t="str">
        <f aca="false">IF($G2862="","",3キー同時!$G$357)</f>
        <v/>
      </c>
      <c r="J2862" s="2" t="str">
        <f aca="false">IF($G2862="","","u")</f>
        <v/>
      </c>
      <c r="K2862" s="2" t="str">
        <f aca="false">""</f>
        <v/>
      </c>
      <c r="L2862" s="2" t="str">
        <f aca="false">IF($G2862="","","同時")</f>
        <v/>
      </c>
      <c r="M2862" s="2" t="str">
        <f aca="false">IF($G2862="","",IF(ISNA(MATCH($G2862,個別指定!$A:$A,0)),"行なし",""))</f>
        <v/>
      </c>
      <c r="N2862" s="2" t="str">
        <f aca="false">IF($G2862="","",IF(COUNTIF($G$2:$G$4460,$G2862)&gt;1,"重複",""))</f>
        <v/>
      </c>
    </row>
    <row r="2863" customFormat="false" ht="16.5" hidden="false" customHeight="true" outlineLevel="0" collapsed="false">
      <c r="A2863" s="2" t="s">
        <v>416</v>
      </c>
      <c r="B2863" s="2" t="s">
        <v>444</v>
      </c>
      <c r="C2863" s="2" t="s">
        <v>19</v>
      </c>
      <c r="D2863" s="2" t="str">
        <f aca="false">IF(3キー同時!$B$357="","",3キー同時!$B$357)</f>
        <v/>
      </c>
      <c r="E2863" s="2" t="str">
        <f aca="false">IF(3キー同時!$G$357="","",3キー同時!$G$357)</f>
        <v/>
      </c>
      <c r="F2863" s="2" t="str">
        <f aca="false">""</f>
        <v/>
      </c>
      <c r="G2863" s="2" t="str">
        <f aca="false">IF(OR(3キー同時!$B$357="",3キー同時!$G$357=""),"",IF(3キー同時!AJ361="","",SUBSTITUTE(SUBSTITUTE(3キー同時!AJ361," ",""),"　","")))</f>
        <v/>
      </c>
      <c r="H2863" s="2" t="str">
        <f aca="false">IF($G2863="","",3キー同時!$B$357)</f>
        <v/>
      </c>
      <c r="I2863" s="2" t="str">
        <f aca="false">IF($G2863="","",3キー同時!$G$357)</f>
        <v/>
      </c>
      <c r="J2863" s="2" t="str">
        <f aca="false">IF($G2863="","","i")</f>
        <v/>
      </c>
      <c r="K2863" s="2" t="str">
        <f aca="false">""</f>
        <v/>
      </c>
      <c r="L2863" s="2" t="str">
        <f aca="false">IF($G2863="","","同時")</f>
        <v/>
      </c>
      <c r="M2863" s="2" t="str">
        <f aca="false">IF($G2863="","",IF(ISNA(MATCH($G2863,個別指定!$A:$A,0)),"行なし",""))</f>
        <v/>
      </c>
      <c r="N2863" s="2" t="str">
        <f aca="false">IF($G2863="","",IF(COUNTIF($G$2:$G$4460,$G2863)&gt;1,"重複",""))</f>
        <v/>
      </c>
    </row>
    <row r="2864" customFormat="false" ht="16.5" hidden="false" customHeight="true" outlineLevel="0" collapsed="false">
      <c r="A2864" s="2" t="s">
        <v>416</v>
      </c>
      <c r="B2864" s="2" t="s">
        <v>444</v>
      </c>
      <c r="C2864" s="2" t="s">
        <v>20</v>
      </c>
      <c r="D2864" s="2" t="str">
        <f aca="false">IF(3キー同時!$B$357="","",3キー同時!$B$357)</f>
        <v/>
      </c>
      <c r="E2864" s="2" t="str">
        <f aca="false">IF(3キー同時!$G$357="","",3キー同時!$G$357)</f>
        <v/>
      </c>
      <c r="F2864" s="2" t="str">
        <f aca="false">""</f>
        <v/>
      </c>
      <c r="G2864" s="2" t="str">
        <f aca="false">IF(OR(3キー同時!$B$357="",3キー同時!$G$357=""),"",IF(3キー同時!AN361="","",SUBSTITUTE(SUBSTITUTE(3キー同時!AN361," ",""),"　","")))</f>
        <v/>
      </c>
      <c r="H2864" s="2" t="str">
        <f aca="false">IF($G2864="","",3キー同時!$B$357)</f>
        <v/>
      </c>
      <c r="I2864" s="2" t="str">
        <f aca="false">IF($G2864="","",3キー同時!$G$357)</f>
        <v/>
      </c>
      <c r="J2864" s="2" t="str">
        <f aca="false">IF($G2864="","","o")</f>
        <v/>
      </c>
      <c r="K2864" s="2" t="str">
        <f aca="false">""</f>
        <v/>
      </c>
      <c r="L2864" s="2" t="str">
        <f aca="false">IF($G2864="","","同時")</f>
        <v/>
      </c>
      <c r="M2864" s="2" t="str">
        <f aca="false">IF($G2864="","",IF(ISNA(MATCH($G2864,個別指定!$A:$A,0)),"行なし",""))</f>
        <v/>
      </c>
      <c r="N2864" s="2" t="str">
        <f aca="false">IF($G2864="","",IF(COUNTIF($G$2:$G$4460,$G2864)&gt;1,"重複",""))</f>
        <v/>
      </c>
    </row>
    <row r="2865" customFormat="false" ht="16.5" hidden="false" customHeight="true" outlineLevel="0" collapsed="false">
      <c r="A2865" s="2" t="s">
        <v>416</v>
      </c>
      <c r="B2865" s="2" t="s">
        <v>444</v>
      </c>
      <c r="C2865" s="2" t="s">
        <v>21</v>
      </c>
      <c r="D2865" s="2" t="str">
        <f aca="false">IF(3キー同時!$B$357="","",3キー同時!$B$357)</f>
        <v/>
      </c>
      <c r="E2865" s="2" t="str">
        <f aca="false">IF(3キー同時!$G$357="","",3キー同時!$G$357)</f>
        <v/>
      </c>
      <c r="F2865" s="2" t="str">
        <f aca="false">""</f>
        <v/>
      </c>
      <c r="G2865" s="2" t="str">
        <f aca="false">IF(OR(3キー同時!$B$357="",3キー同時!$G$357=""),"",IF(3キー同時!AR361="","",SUBSTITUTE(SUBSTITUTE(3キー同時!AR361," ",""),"　","")))</f>
        <v/>
      </c>
      <c r="H2865" s="2" t="str">
        <f aca="false">IF($G2865="","",3キー同時!$B$357)</f>
        <v/>
      </c>
      <c r="I2865" s="2" t="str">
        <f aca="false">IF($G2865="","",3キー同時!$G$357)</f>
        <v/>
      </c>
      <c r="J2865" s="2" t="str">
        <f aca="false">IF($G2865="","","p")</f>
        <v/>
      </c>
      <c r="K2865" s="2" t="str">
        <f aca="false">""</f>
        <v/>
      </c>
      <c r="L2865" s="2" t="str">
        <f aca="false">IF($G2865="","","同時")</f>
        <v/>
      </c>
      <c r="M2865" s="2" t="str">
        <f aca="false">IF($G2865="","",IF(ISNA(MATCH($G2865,個別指定!$A:$A,0)),"行なし",""))</f>
        <v/>
      </c>
      <c r="N2865" s="2" t="str">
        <f aca="false">IF($G2865="","",IF(COUNTIF($G$2:$G$4460,$G2865)&gt;1,"重複",""))</f>
        <v/>
      </c>
    </row>
    <row r="2866" customFormat="false" ht="16.5" hidden="false" customHeight="true" outlineLevel="0" collapsed="false">
      <c r="A2866" s="2" t="s">
        <v>416</v>
      </c>
      <c r="B2866" s="2" t="s">
        <v>444</v>
      </c>
      <c r="C2866" s="2" t="s">
        <v>22</v>
      </c>
      <c r="D2866" s="2" t="str">
        <f aca="false">IF(3キー同時!$B$357="","",3キー同時!$B$357)</f>
        <v/>
      </c>
      <c r="E2866" s="2" t="str">
        <f aca="false">IF(3キー同時!$G$357="","",3キー同時!$G$357)</f>
        <v/>
      </c>
      <c r="F2866" s="2" t="str">
        <f aca="false">""</f>
        <v/>
      </c>
      <c r="G2866" s="2" t="str">
        <f aca="false">IF(OR(3キー同時!$B$357="",3キー同時!$G$357=""),"",IF(3キー同時!AV361="","",SUBSTITUTE(SUBSTITUTE(3キー同時!AV361," ",""),"　","")))</f>
        <v/>
      </c>
      <c r="H2866" s="2" t="str">
        <f aca="false">IF($G2866="","",3キー同時!$B$357)</f>
        <v/>
      </c>
      <c r="I2866" s="2" t="str">
        <f aca="false">IF($G2866="","",3キー同時!$G$357)</f>
        <v/>
      </c>
      <c r="J2866" s="2" t="str">
        <f aca="false">IF($G2866="","","[")</f>
        <v/>
      </c>
      <c r="K2866" s="2" t="str">
        <f aca="false">""</f>
        <v/>
      </c>
      <c r="L2866" s="2" t="str">
        <f aca="false">IF($G2866="","","同時")</f>
        <v/>
      </c>
      <c r="M2866" s="2" t="str">
        <f aca="false">IF($G2866="","",IF(ISNA(MATCH($G2866,個別指定!$A:$A,0)),"行なし",""))</f>
        <v/>
      </c>
      <c r="N2866" s="2" t="str">
        <f aca="false">IF($G2866="","",IF(COUNTIF($G$2:$G$4460,$G2866)&gt;1,"重複",""))</f>
        <v/>
      </c>
    </row>
    <row r="2867" customFormat="false" ht="16.5" hidden="false" customHeight="true" outlineLevel="0" collapsed="false">
      <c r="A2867" s="2" t="s">
        <v>416</v>
      </c>
      <c r="B2867" s="2" t="s">
        <v>444</v>
      </c>
      <c r="C2867" s="2" t="s">
        <v>23</v>
      </c>
      <c r="D2867" s="2" t="str">
        <f aca="false">IF(3キー同時!$B$357="","",3キー同時!$B$357)</f>
        <v/>
      </c>
      <c r="E2867" s="2" t="str">
        <f aca="false">IF(3キー同時!$G$357="","",3キー同時!$G$357)</f>
        <v/>
      </c>
      <c r="F2867" s="2" t="str">
        <f aca="false">""</f>
        <v/>
      </c>
      <c r="G2867" s="2" t="str">
        <f aca="false">IF(OR(3キー同時!$B$357="",3キー同時!$G$357=""),"",IF(3キー同時!AZ361="","",SUBSTITUTE(SUBSTITUTE(3キー同時!AZ361," ",""),"　","")))</f>
        <v/>
      </c>
      <c r="H2867" s="2" t="str">
        <f aca="false">IF($G2867="","",3キー同時!$B$357)</f>
        <v/>
      </c>
      <c r="I2867" s="2" t="str">
        <f aca="false">IF($G2867="","",3キー同時!$G$357)</f>
        <v/>
      </c>
      <c r="J2867" s="2" t="str">
        <f aca="false">IF($G2867="","","]")</f>
        <v/>
      </c>
      <c r="K2867" s="2" t="str">
        <f aca="false">""</f>
        <v/>
      </c>
      <c r="L2867" s="2" t="str">
        <f aca="false">IF($G2867="","","同時")</f>
        <v/>
      </c>
      <c r="M2867" s="2" t="str">
        <f aca="false">IF($G2867="","",IF(ISNA(MATCH($G2867,個別指定!$A:$A,0)),"行なし",""))</f>
        <v/>
      </c>
      <c r="N2867" s="2" t="str">
        <f aca="false">IF($G2867="","",IF(COUNTIF($G$2:$G$4460,$G2867)&gt;1,"重複",""))</f>
        <v/>
      </c>
    </row>
    <row r="2868" customFormat="false" ht="16.5" hidden="false" customHeight="true" outlineLevel="0" collapsed="false">
      <c r="A2868" s="2" t="s">
        <v>416</v>
      </c>
      <c r="B2868" s="2" t="s">
        <v>444</v>
      </c>
      <c r="C2868" s="2" t="s">
        <v>24</v>
      </c>
      <c r="D2868" s="2" t="str">
        <f aca="false">IF(3キー同時!$B$357="","",3キー同時!$B$357)</f>
        <v/>
      </c>
      <c r="E2868" s="2" t="str">
        <f aca="false">IF(3キー同時!$G$357="","",3キー同時!$G$357)</f>
        <v/>
      </c>
      <c r="F2868" s="2" t="str">
        <f aca="false">""</f>
        <v/>
      </c>
      <c r="G2868" s="2" t="str">
        <f aca="false">IF(OR(3キー同時!$B$357="",3キー同時!$G$357=""),"",IF(3キー同時!I363="","",SUBSTITUTE(SUBSTITUTE(3キー同時!I363," ",""),"　","")))</f>
        <v/>
      </c>
      <c r="H2868" s="2" t="str">
        <f aca="false">IF($G2868="","",3キー同時!$B$357)</f>
        <v/>
      </c>
      <c r="I2868" s="2" t="str">
        <f aca="false">IF($G2868="","",3キー同時!$G$357)</f>
        <v/>
      </c>
      <c r="J2868" s="2" t="str">
        <f aca="false">IF($G2868="","","a")</f>
        <v/>
      </c>
      <c r="K2868" s="2" t="str">
        <f aca="false">""</f>
        <v/>
      </c>
      <c r="L2868" s="2" t="str">
        <f aca="false">IF($G2868="","","同時")</f>
        <v/>
      </c>
      <c r="M2868" s="2" t="str">
        <f aca="false">IF($G2868="","",IF(ISNA(MATCH($G2868,個別指定!$A:$A,0)),"行なし",""))</f>
        <v/>
      </c>
      <c r="N2868" s="2" t="str">
        <f aca="false">IF($G2868="","",IF(COUNTIF($G$2:$G$4460,$G2868)&gt;1,"重複",""))</f>
        <v/>
      </c>
    </row>
    <row r="2869" customFormat="false" ht="16.5" hidden="false" customHeight="true" outlineLevel="0" collapsed="false">
      <c r="A2869" s="2" t="s">
        <v>416</v>
      </c>
      <c r="B2869" s="2" t="s">
        <v>444</v>
      </c>
      <c r="C2869" s="2" t="s">
        <v>25</v>
      </c>
      <c r="D2869" s="2" t="str">
        <f aca="false">IF(3キー同時!$B$357="","",3キー同時!$B$357)</f>
        <v/>
      </c>
      <c r="E2869" s="2" t="str">
        <f aca="false">IF(3キー同時!$G$357="","",3キー同時!$G$357)</f>
        <v/>
      </c>
      <c r="F2869" s="2" t="str">
        <f aca="false">""</f>
        <v/>
      </c>
      <c r="G2869" s="2" t="str">
        <f aca="false">IF(OR(3キー同時!$B$357="",3キー同時!$G$357=""),"",IF(3キー同時!M363="","",SUBSTITUTE(SUBSTITUTE(3キー同時!M363," ",""),"　","")))</f>
        <v/>
      </c>
      <c r="H2869" s="2" t="str">
        <f aca="false">IF($G2869="","",3キー同時!$B$357)</f>
        <v/>
      </c>
      <c r="I2869" s="2" t="str">
        <f aca="false">IF($G2869="","",3キー同時!$G$357)</f>
        <v/>
      </c>
      <c r="J2869" s="2" t="str">
        <f aca="false">IF($G2869="","","s")</f>
        <v/>
      </c>
      <c r="K2869" s="2" t="str">
        <f aca="false">""</f>
        <v/>
      </c>
      <c r="L2869" s="2" t="str">
        <f aca="false">IF($G2869="","","同時")</f>
        <v/>
      </c>
      <c r="M2869" s="2" t="str">
        <f aca="false">IF($G2869="","",IF(ISNA(MATCH($G2869,個別指定!$A:$A,0)),"行なし",""))</f>
        <v/>
      </c>
      <c r="N2869" s="2" t="str">
        <f aca="false">IF($G2869="","",IF(COUNTIF($G$2:$G$4460,$G2869)&gt;1,"重複",""))</f>
        <v/>
      </c>
    </row>
    <row r="2870" customFormat="false" ht="16.5" hidden="false" customHeight="true" outlineLevel="0" collapsed="false">
      <c r="A2870" s="2" t="s">
        <v>416</v>
      </c>
      <c r="B2870" s="2" t="s">
        <v>444</v>
      </c>
      <c r="C2870" s="2" t="s">
        <v>26</v>
      </c>
      <c r="D2870" s="2" t="str">
        <f aca="false">IF(3キー同時!$B$357="","",3キー同時!$B$357)</f>
        <v/>
      </c>
      <c r="E2870" s="2" t="str">
        <f aca="false">IF(3キー同時!$G$357="","",3キー同時!$G$357)</f>
        <v/>
      </c>
      <c r="F2870" s="2" t="str">
        <f aca="false">""</f>
        <v/>
      </c>
      <c r="G2870" s="2" t="str">
        <f aca="false">IF(OR(3キー同時!$B$357="",3キー同時!$G$357=""),"",IF(3キー同時!Q363="","",SUBSTITUTE(SUBSTITUTE(3キー同時!Q363," ",""),"　","")))</f>
        <v/>
      </c>
      <c r="H2870" s="2" t="str">
        <f aca="false">IF($G2870="","",3キー同時!$B$357)</f>
        <v/>
      </c>
      <c r="I2870" s="2" t="str">
        <f aca="false">IF($G2870="","",3キー同時!$G$357)</f>
        <v/>
      </c>
      <c r="J2870" s="2" t="str">
        <f aca="false">IF($G2870="","","d")</f>
        <v/>
      </c>
      <c r="K2870" s="2" t="str">
        <f aca="false">""</f>
        <v/>
      </c>
      <c r="L2870" s="2" t="str">
        <f aca="false">IF($G2870="","","同時")</f>
        <v/>
      </c>
      <c r="M2870" s="2" t="str">
        <f aca="false">IF($G2870="","",IF(ISNA(MATCH($G2870,個別指定!$A:$A,0)),"行なし",""))</f>
        <v/>
      </c>
      <c r="N2870" s="2" t="str">
        <f aca="false">IF($G2870="","",IF(COUNTIF($G$2:$G$4460,$G2870)&gt;1,"重複",""))</f>
        <v/>
      </c>
    </row>
    <row r="2871" customFormat="false" ht="16.5" hidden="false" customHeight="true" outlineLevel="0" collapsed="false">
      <c r="A2871" s="2" t="s">
        <v>416</v>
      </c>
      <c r="B2871" s="2" t="s">
        <v>444</v>
      </c>
      <c r="C2871" s="2" t="s">
        <v>27</v>
      </c>
      <c r="D2871" s="2" t="str">
        <f aca="false">IF(3キー同時!$B$357="","",3キー同時!$B$357)</f>
        <v/>
      </c>
      <c r="E2871" s="2" t="str">
        <f aca="false">IF(3キー同時!$G$357="","",3キー同時!$G$357)</f>
        <v/>
      </c>
      <c r="F2871" s="2" t="str">
        <f aca="false">""</f>
        <v/>
      </c>
      <c r="G2871" s="2" t="str">
        <f aca="false">IF(OR(3キー同時!$B$357="",3キー同時!$G$357=""),"",IF(3キー同時!U363="","",SUBSTITUTE(SUBSTITUTE(3キー同時!U363," ",""),"　","")))</f>
        <v/>
      </c>
      <c r="H2871" s="2" t="str">
        <f aca="false">IF($G2871="","",3キー同時!$B$357)</f>
        <v/>
      </c>
      <c r="I2871" s="2" t="str">
        <f aca="false">IF($G2871="","",3キー同時!$G$357)</f>
        <v/>
      </c>
      <c r="J2871" s="2" t="str">
        <f aca="false">IF($G2871="","","f")</f>
        <v/>
      </c>
      <c r="K2871" s="2" t="str">
        <f aca="false">""</f>
        <v/>
      </c>
      <c r="L2871" s="2" t="str">
        <f aca="false">IF($G2871="","","同時")</f>
        <v/>
      </c>
      <c r="M2871" s="2" t="str">
        <f aca="false">IF($G2871="","",IF(ISNA(MATCH($G2871,個別指定!$A:$A,0)),"行なし",""))</f>
        <v/>
      </c>
      <c r="N2871" s="2" t="str">
        <f aca="false">IF($G2871="","",IF(COUNTIF($G$2:$G$4460,$G2871)&gt;1,"重複",""))</f>
        <v/>
      </c>
    </row>
    <row r="2872" customFormat="false" ht="16.5" hidden="false" customHeight="true" outlineLevel="0" collapsed="false">
      <c r="A2872" s="2" t="s">
        <v>416</v>
      </c>
      <c r="B2872" s="2" t="s">
        <v>444</v>
      </c>
      <c r="C2872" s="2" t="s">
        <v>28</v>
      </c>
      <c r="D2872" s="2" t="str">
        <f aca="false">IF(3キー同時!$B$357="","",3キー同時!$B$357)</f>
        <v/>
      </c>
      <c r="E2872" s="2" t="str">
        <f aca="false">IF(3キー同時!$G$357="","",3キー同時!$G$357)</f>
        <v/>
      </c>
      <c r="F2872" s="2" t="str">
        <f aca="false">""</f>
        <v/>
      </c>
      <c r="G2872" s="2" t="str">
        <f aca="false">IF(OR(3キー同時!$B$357="",3キー同時!$G$357=""),"",IF(3キー同時!Y363="","",SUBSTITUTE(SUBSTITUTE(3キー同時!Y363," ",""),"　","")))</f>
        <v/>
      </c>
      <c r="H2872" s="2" t="str">
        <f aca="false">IF($G2872="","",3キー同時!$B$357)</f>
        <v/>
      </c>
      <c r="I2872" s="2" t="str">
        <f aca="false">IF($G2872="","",3キー同時!$G$357)</f>
        <v/>
      </c>
      <c r="J2872" s="2" t="str">
        <f aca="false">IF($G2872="","","g")</f>
        <v/>
      </c>
      <c r="K2872" s="2" t="str">
        <f aca="false">""</f>
        <v/>
      </c>
      <c r="L2872" s="2" t="str">
        <f aca="false">IF($G2872="","","同時")</f>
        <v/>
      </c>
      <c r="M2872" s="2" t="str">
        <f aca="false">IF($G2872="","",IF(ISNA(MATCH($G2872,個別指定!$A:$A,0)),"行なし",""))</f>
        <v/>
      </c>
      <c r="N2872" s="2" t="str">
        <f aca="false">IF($G2872="","",IF(COUNTIF($G$2:$G$4460,$G2872)&gt;1,"重複",""))</f>
        <v/>
      </c>
    </row>
    <row r="2873" customFormat="false" ht="16.5" hidden="false" customHeight="true" outlineLevel="0" collapsed="false">
      <c r="A2873" s="2" t="s">
        <v>416</v>
      </c>
      <c r="B2873" s="2" t="s">
        <v>444</v>
      </c>
      <c r="C2873" s="2" t="s">
        <v>29</v>
      </c>
      <c r="D2873" s="2" t="str">
        <f aca="false">IF(3キー同時!$B$357="","",3キー同時!$B$357)</f>
        <v/>
      </c>
      <c r="E2873" s="2" t="str">
        <f aca="false">IF(3キー同時!$G$357="","",3キー同時!$G$357)</f>
        <v/>
      </c>
      <c r="F2873" s="2" t="str">
        <f aca="false">""</f>
        <v/>
      </c>
      <c r="G2873" s="2" t="str">
        <f aca="false">IF(OR(3キー同時!$B$357="",3キー同時!$G$357=""),"",IF(3キー同時!AC363="","",SUBSTITUTE(SUBSTITUTE(3キー同時!AC363," ",""),"　","")))</f>
        <v/>
      </c>
      <c r="H2873" s="2" t="str">
        <f aca="false">IF($G2873="","",3キー同時!$B$357)</f>
        <v/>
      </c>
      <c r="I2873" s="2" t="str">
        <f aca="false">IF($G2873="","",3キー同時!$G$357)</f>
        <v/>
      </c>
      <c r="J2873" s="2" t="str">
        <f aca="false">IF($G2873="","","h")</f>
        <v/>
      </c>
      <c r="K2873" s="2" t="str">
        <f aca="false">""</f>
        <v/>
      </c>
      <c r="L2873" s="2" t="str">
        <f aca="false">IF($G2873="","","同時")</f>
        <v/>
      </c>
      <c r="M2873" s="2" t="str">
        <f aca="false">IF($G2873="","",IF(ISNA(MATCH($G2873,個別指定!$A:$A,0)),"行なし",""))</f>
        <v/>
      </c>
      <c r="N2873" s="2" t="str">
        <f aca="false">IF($G2873="","",IF(COUNTIF($G$2:$G$4460,$G2873)&gt;1,"重複",""))</f>
        <v/>
      </c>
    </row>
    <row r="2874" customFormat="false" ht="16.5" hidden="false" customHeight="true" outlineLevel="0" collapsed="false">
      <c r="A2874" s="2" t="s">
        <v>416</v>
      </c>
      <c r="B2874" s="2" t="s">
        <v>444</v>
      </c>
      <c r="C2874" s="2" t="s">
        <v>30</v>
      </c>
      <c r="D2874" s="2" t="str">
        <f aca="false">IF(3キー同時!$B$357="","",3キー同時!$B$357)</f>
        <v/>
      </c>
      <c r="E2874" s="2" t="str">
        <f aca="false">IF(3キー同時!$G$357="","",3キー同時!$G$357)</f>
        <v/>
      </c>
      <c r="F2874" s="2" t="str">
        <f aca="false">""</f>
        <v/>
      </c>
      <c r="G2874" s="2" t="str">
        <f aca="false">IF(OR(3キー同時!$B$357="",3キー同時!$G$357=""),"",IF(3キー同時!AG363="","",SUBSTITUTE(SUBSTITUTE(3キー同時!AG363," ",""),"　","")))</f>
        <v/>
      </c>
      <c r="H2874" s="2" t="str">
        <f aca="false">IF($G2874="","",3キー同時!$B$357)</f>
        <v/>
      </c>
      <c r="I2874" s="2" t="str">
        <f aca="false">IF($G2874="","",3キー同時!$G$357)</f>
        <v/>
      </c>
      <c r="J2874" s="2" t="str">
        <f aca="false">IF($G2874="","","j")</f>
        <v/>
      </c>
      <c r="K2874" s="2" t="str">
        <f aca="false">""</f>
        <v/>
      </c>
      <c r="L2874" s="2" t="str">
        <f aca="false">IF($G2874="","","同時")</f>
        <v/>
      </c>
      <c r="M2874" s="2" t="str">
        <f aca="false">IF($G2874="","",IF(ISNA(MATCH($G2874,個別指定!$A:$A,0)),"行なし",""))</f>
        <v/>
      </c>
      <c r="N2874" s="2" t="str">
        <f aca="false">IF($G2874="","",IF(COUNTIF($G$2:$G$4460,$G2874)&gt;1,"重複",""))</f>
        <v/>
      </c>
    </row>
    <row r="2875" customFormat="false" ht="16.5" hidden="false" customHeight="true" outlineLevel="0" collapsed="false">
      <c r="A2875" s="2" t="s">
        <v>416</v>
      </c>
      <c r="B2875" s="2" t="s">
        <v>444</v>
      </c>
      <c r="C2875" s="2" t="s">
        <v>31</v>
      </c>
      <c r="D2875" s="2" t="str">
        <f aca="false">IF(3キー同時!$B$357="","",3キー同時!$B$357)</f>
        <v/>
      </c>
      <c r="E2875" s="2" t="str">
        <f aca="false">IF(3キー同時!$G$357="","",3キー同時!$G$357)</f>
        <v/>
      </c>
      <c r="F2875" s="2" t="str">
        <f aca="false">""</f>
        <v/>
      </c>
      <c r="G2875" s="2" t="str">
        <f aca="false">IF(OR(3キー同時!$B$357="",3キー同時!$G$357=""),"",IF(3キー同時!AK363="","",SUBSTITUTE(SUBSTITUTE(3キー同時!AK363," ",""),"　","")))</f>
        <v/>
      </c>
      <c r="H2875" s="2" t="str">
        <f aca="false">IF($G2875="","",3キー同時!$B$357)</f>
        <v/>
      </c>
      <c r="I2875" s="2" t="str">
        <f aca="false">IF($G2875="","",3キー同時!$G$357)</f>
        <v/>
      </c>
      <c r="J2875" s="2" t="str">
        <f aca="false">IF($G2875="","","k")</f>
        <v/>
      </c>
      <c r="K2875" s="2" t="str">
        <f aca="false">""</f>
        <v/>
      </c>
      <c r="L2875" s="2" t="str">
        <f aca="false">IF($G2875="","","同時")</f>
        <v/>
      </c>
      <c r="M2875" s="2" t="str">
        <f aca="false">IF($G2875="","",IF(ISNA(MATCH($G2875,個別指定!$A:$A,0)),"行なし",""))</f>
        <v/>
      </c>
      <c r="N2875" s="2" t="str">
        <f aca="false">IF($G2875="","",IF(COUNTIF($G$2:$G$4460,$G2875)&gt;1,"重複",""))</f>
        <v/>
      </c>
    </row>
    <row r="2876" customFormat="false" ht="16.5" hidden="false" customHeight="true" outlineLevel="0" collapsed="false">
      <c r="A2876" s="2" t="s">
        <v>416</v>
      </c>
      <c r="B2876" s="2" t="s">
        <v>444</v>
      </c>
      <c r="C2876" s="2" t="s">
        <v>32</v>
      </c>
      <c r="D2876" s="2" t="str">
        <f aca="false">IF(3キー同時!$B$357="","",3キー同時!$B$357)</f>
        <v/>
      </c>
      <c r="E2876" s="2" t="str">
        <f aca="false">IF(3キー同時!$G$357="","",3キー同時!$G$357)</f>
        <v/>
      </c>
      <c r="F2876" s="2" t="str">
        <f aca="false">""</f>
        <v/>
      </c>
      <c r="G2876" s="2" t="str">
        <f aca="false">IF(OR(3キー同時!$B$357="",3キー同時!$G$357=""),"",IF(3キー同時!AO363="","",SUBSTITUTE(SUBSTITUTE(3キー同時!AO363," ",""),"　","")))</f>
        <v/>
      </c>
      <c r="H2876" s="2" t="str">
        <f aca="false">IF($G2876="","",3キー同時!$B$357)</f>
        <v/>
      </c>
      <c r="I2876" s="2" t="str">
        <f aca="false">IF($G2876="","",3キー同時!$G$357)</f>
        <v/>
      </c>
      <c r="J2876" s="2" t="str">
        <f aca="false">IF($G2876="","","l")</f>
        <v/>
      </c>
      <c r="K2876" s="2" t="str">
        <f aca="false">""</f>
        <v/>
      </c>
      <c r="L2876" s="2" t="str">
        <f aca="false">IF($G2876="","","同時")</f>
        <v/>
      </c>
      <c r="M2876" s="2" t="str">
        <f aca="false">IF($G2876="","",IF(ISNA(MATCH($G2876,個別指定!$A:$A,0)),"行なし",""))</f>
        <v/>
      </c>
      <c r="N2876" s="2" t="str">
        <f aca="false">IF($G2876="","",IF(COUNTIF($G$2:$G$4460,$G2876)&gt;1,"重複",""))</f>
        <v/>
      </c>
    </row>
    <row r="2877" customFormat="false" ht="16.5" hidden="false" customHeight="true" outlineLevel="0" collapsed="false">
      <c r="A2877" s="2" t="s">
        <v>416</v>
      </c>
      <c r="B2877" s="2" t="s">
        <v>444</v>
      </c>
      <c r="C2877" s="2" t="s">
        <v>33</v>
      </c>
      <c r="D2877" s="2" t="str">
        <f aca="false">IF(3キー同時!$B$357="","",3キー同時!$B$357)</f>
        <v/>
      </c>
      <c r="E2877" s="2" t="str">
        <f aca="false">IF(3キー同時!$G$357="","",3キー同時!$G$357)</f>
        <v/>
      </c>
      <c r="F2877" s="2" t="str">
        <f aca="false">""</f>
        <v/>
      </c>
      <c r="G2877" s="2" t="str">
        <f aca="false">IF(OR(3キー同時!$B$357="",3キー同時!$G$357=""),"",IF(3キー同時!AS363="","",SUBSTITUTE(SUBSTITUTE(3キー同時!AS363," ",""),"　","")))</f>
        <v/>
      </c>
      <c r="H2877" s="2" t="str">
        <f aca="false">IF($G2877="","",3キー同時!$B$357)</f>
        <v/>
      </c>
      <c r="I2877" s="2" t="str">
        <f aca="false">IF($G2877="","",3キー同時!$G$357)</f>
        <v/>
      </c>
      <c r="J2877" s="2" t="str">
        <f aca="false">IF($G2877="","",";")</f>
        <v/>
      </c>
      <c r="K2877" s="2" t="str">
        <f aca="false">""</f>
        <v/>
      </c>
      <c r="L2877" s="2" t="str">
        <f aca="false">IF($G2877="","","同時")</f>
        <v/>
      </c>
      <c r="M2877" s="2" t="str">
        <f aca="false">IF($G2877="","",IF(ISNA(MATCH($G2877,個別指定!$A:$A,0)),"行なし",""))</f>
        <v/>
      </c>
      <c r="N2877" s="2" t="str">
        <f aca="false">IF($G2877="","",IF(COUNTIF($G$2:$G$4460,$G2877)&gt;1,"重複",""))</f>
        <v/>
      </c>
    </row>
    <row r="2878" customFormat="false" ht="16.5" hidden="false" customHeight="true" outlineLevel="0" collapsed="false">
      <c r="A2878" s="2" t="s">
        <v>416</v>
      </c>
      <c r="B2878" s="2" t="s">
        <v>444</v>
      </c>
      <c r="C2878" s="2" t="s">
        <v>34</v>
      </c>
      <c r="D2878" s="2" t="str">
        <f aca="false">IF(3キー同時!$B$357="","",3キー同時!$B$357)</f>
        <v/>
      </c>
      <c r="E2878" s="2" t="str">
        <f aca="false">IF(3キー同時!$G$357="","",3キー同時!$G$357)</f>
        <v/>
      </c>
      <c r="F2878" s="2" t="str">
        <f aca="false">""</f>
        <v/>
      </c>
      <c r="G2878" s="2" t="str">
        <f aca="false">IF(OR(3キー同時!$B$357="",3キー同時!$G$357=""),"",IF(3キー同時!AW363="","",SUBSTITUTE(SUBSTITUTE(3キー同時!AW363," ",""),"　","")))</f>
        <v/>
      </c>
      <c r="H2878" s="2" t="str">
        <f aca="false">IF($G2878="","",3キー同時!$B$357)</f>
        <v/>
      </c>
      <c r="I2878" s="2" t="str">
        <f aca="false">IF($G2878="","",3キー同時!$G$357)</f>
        <v/>
      </c>
      <c r="J2878" s="2" t="str">
        <f aca="false">IF($G2878="","","'")</f>
        <v/>
      </c>
      <c r="K2878" s="2" t="str">
        <f aca="false">""</f>
        <v/>
      </c>
      <c r="L2878" s="2" t="str">
        <f aca="false">IF($G2878="","","同時")</f>
        <v/>
      </c>
      <c r="M2878" s="2" t="str">
        <f aca="false">IF($G2878="","",IF(ISNA(MATCH($G2878,個別指定!$A:$A,0)),"行なし",""))</f>
        <v/>
      </c>
      <c r="N2878" s="2" t="str">
        <f aca="false">IF($G2878="","",IF(COUNTIF($G$2:$G$4460,$G2878)&gt;1,"重複",""))</f>
        <v/>
      </c>
    </row>
    <row r="2879" customFormat="false" ht="16.5" hidden="false" customHeight="true" outlineLevel="0" collapsed="false">
      <c r="A2879" s="2" t="s">
        <v>416</v>
      </c>
      <c r="B2879" s="2" t="s">
        <v>444</v>
      </c>
      <c r="C2879" s="2" t="s">
        <v>35</v>
      </c>
      <c r="D2879" s="2" t="str">
        <f aca="false">IF(3キー同時!$B$357="","",3キー同時!$B$357)</f>
        <v/>
      </c>
      <c r="E2879" s="2" t="str">
        <f aca="false">IF(3キー同時!$G$357="","",3キー同時!$G$357)</f>
        <v/>
      </c>
      <c r="F2879" s="2" t="str">
        <f aca="false">""</f>
        <v/>
      </c>
      <c r="G2879" s="2" t="str">
        <f aca="false">IF(OR(3キー同時!$B$357="",3キー同時!$G$357=""),"",IF(3キー同時!K365="","",SUBSTITUTE(SUBSTITUTE(3キー同時!K365," ",""),"　","")))</f>
        <v/>
      </c>
      <c r="H2879" s="2" t="str">
        <f aca="false">IF($G2879="","",3キー同時!$B$357)</f>
        <v/>
      </c>
      <c r="I2879" s="2" t="str">
        <f aca="false">IF($G2879="","",3キー同時!$G$357)</f>
        <v/>
      </c>
      <c r="J2879" s="2" t="str">
        <f aca="false">IF($G2879="","","z")</f>
        <v/>
      </c>
      <c r="K2879" s="2" t="str">
        <f aca="false">""</f>
        <v/>
      </c>
      <c r="L2879" s="2" t="str">
        <f aca="false">IF($G2879="","","同時")</f>
        <v/>
      </c>
      <c r="M2879" s="2" t="str">
        <f aca="false">IF($G2879="","",IF(ISNA(MATCH($G2879,個別指定!$A:$A,0)),"行なし",""))</f>
        <v/>
      </c>
      <c r="N2879" s="2" t="str">
        <f aca="false">IF($G2879="","",IF(COUNTIF($G$2:$G$4460,$G2879)&gt;1,"重複",""))</f>
        <v/>
      </c>
    </row>
    <row r="2880" customFormat="false" ht="16.5" hidden="false" customHeight="true" outlineLevel="0" collapsed="false">
      <c r="A2880" s="2" t="s">
        <v>416</v>
      </c>
      <c r="B2880" s="2" t="s">
        <v>444</v>
      </c>
      <c r="C2880" s="2" t="s">
        <v>36</v>
      </c>
      <c r="D2880" s="2" t="str">
        <f aca="false">IF(3キー同時!$B$357="","",3キー同時!$B$357)</f>
        <v/>
      </c>
      <c r="E2880" s="2" t="str">
        <f aca="false">IF(3キー同時!$G$357="","",3キー同時!$G$357)</f>
        <v/>
      </c>
      <c r="F2880" s="2" t="str">
        <f aca="false">""</f>
        <v/>
      </c>
      <c r="G2880" s="2" t="str">
        <f aca="false">IF(OR(3キー同時!$B$357="",3キー同時!$G$357=""),"",IF(3キー同時!O365="","",SUBSTITUTE(SUBSTITUTE(3キー同時!O365," ",""),"　","")))</f>
        <v/>
      </c>
      <c r="H2880" s="2" t="str">
        <f aca="false">IF($G2880="","",3キー同時!$B$357)</f>
        <v/>
      </c>
      <c r="I2880" s="2" t="str">
        <f aca="false">IF($G2880="","",3キー同時!$G$357)</f>
        <v/>
      </c>
      <c r="J2880" s="2" t="str">
        <f aca="false">IF($G2880="","","x")</f>
        <v/>
      </c>
      <c r="K2880" s="2" t="str">
        <f aca="false">""</f>
        <v/>
      </c>
      <c r="L2880" s="2" t="str">
        <f aca="false">IF($G2880="","","同時")</f>
        <v/>
      </c>
      <c r="M2880" s="2" t="str">
        <f aca="false">IF($G2880="","",IF(ISNA(MATCH($G2880,個別指定!$A:$A,0)),"行なし",""))</f>
        <v/>
      </c>
      <c r="N2880" s="2" t="str">
        <f aca="false">IF($G2880="","",IF(COUNTIF($G$2:$G$4460,$G2880)&gt;1,"重複",""))</f>
        <v/>
      </c>
    </row>
    <row r="2881" customFormat="false" ht="16.5" hidden="false" customHeight="true" outlineLevel="0" collapsed="false">
      <c r="A2881" s="2" t="s">
        <v>416</v>
      </c>
      <c r="B2881" s="2" t="s">
        <v>444</v>
      </c>
      <c r="C2881" s="2" t="s">
        <v>37</v>
      </c>
      <c r="D2881" s="2" t="str">
        <f aca="false">IF(3キー同時!$B$357="","",3キー同時!$B$357)</f>
        <v/>
      </c>
      <c r="E2881" s="2" t="str">
        <f aca="false">IF(3キー同時!$G$357="","",3キー同時!$G$357)</f>
        <v/>
      </c>
      <c r="F2881" s="2" t="str">
        <f aca="false">""</f>
        <v/>
      </c>
      <c r="G2881" s="2" t="str">
        <f aca="false">IF(OR(3キー同時!$B$357="",3キー同時!$G$357=""),"",IF(3キー同時!S365="","",SUBSTITUTE(SUBSTITUTE(3キー同時!S365," ",""),"　","")))</f>
        <v/>
      </c>
      <c r="H2881" s="2" t="str">
        <f aca="false">IF($G2881="","",3キー同時!$B$357)</f>
        <v/>
      </c>
      <c r="I2881" s="2" t="str">
        <f aca="false">IF($G2881="","",3キー同時!$G$357)</f>
        <v/>
      </c>
      <c r="J2881" s="2" t="str">
        <f aca="false">IF($G2881="","","c")</f>
        <v/>
      </c>
      <c r="K2881" s="2" t="str">
        <f aca="false">""</f>
        <v/>
      </c>
      <c r="L2881" s="2" t="str">
        <f aca="false">IF($G2881="","","同時")</f>
        <v/>
      </c>
      <c r="M2881" s="2" t="str">
        <f aca="false">IF($G2881="","",IF(ISNA(MATCH($G2881,個別指定!$A:$A,0)),"行なし",""))</f>
        <v/>
      </c>
      <c r="N2881" s="2" t="str">
        <f aca="false">IF($G2881="","",IF(COUNTIF($G$2:$G$4460,$G2881)&gt;1,"重複",""))</f>
        <v/>
      </c>
    </row>
    <row r="2882" customFormat="false" ht="16.5" hidden="false" customHeight="true" outlineLevel="0" collapsed="false">
      <c r="A2882" s="2" t="s">
        <v>416</v>
      </c>
      <c r="B2882" s="2" t="s">
        <v>444</v>
      </c>
      <c r="C2882" s="2" t="s">
        <v>38</v>
      </c>
      <c r="D2882" s="2" t="str">
        <f aca="false">IF(3キー同時!$B$357="","",3キー同時!$B$357)</f>
        <v/>
      </c>
      <c r="E2882" s="2" t="str">
        <f aca="false">IF(3キー同時!$G$357="","",3キー同時!$G$357)</f>
        <v/>
      </c>
      <c r="F2882" s="2" t="str">
        <f aca="false">""</f>
        <v/>
      </c>
      <c r="G2882" s="2" t="str">
        <f aca="false">IF(OR(3キー同時!$B$357="",3キー同時!$G$357=""),"",IF(3キー同時!W365="","",SUBSTITUTE(SUBSTITUTE(3キー同時!W365," ",""),"　","")))</f>
        <v/>
      </c>
      <c r="H2882" s="2" t="str">
        <f aca="false">IF($G2882="","",3キー同時!$B$357)</f>
        <v/>
      </c>
      <c r="I2882" s="2" t="str">
        <f aca="false">IF($G2882="","",3キー同時!$G$357)</f>
        <v/>
      </c>
      <c r="J2882" s="2" t="str">
        <f aca="false">IF($G2882="","","v")</f>
        <v/>
      </c>
      <c r="K2882" s="2" t="str">
        <f aca="false">""</f>
        <v/>
      </c>
      <c r="L2882" s="2" t="str">
        <f aca="false">IF($G2882="","","同時")</f>
        <v/>
      </c>
      <c r="M2882" s="2" t="str">
        <f aca="false">IF($G2882="","",IF(ISNA(MATCH($G2882,個別指定!$A:$A,0)),"行なし",""))</f>
        <v/>
      </c>
      <c r="N2882" s="2" t="str">
        <f aca="false">IF($G2882="","",IF(COUNTIF($G$2:$G$4460,$G2882)&gt;1,"重複",""))</f>
        <v/>
      </c>
    </row>
    <row r="2883" customFormat="false" ht="16.5" hidden="false" customHeight="true" outlineLevel="0" collapsed="false">
      <c r="A2883" s="2" t="s">
        <v>416</v>
      </c>
      <c r="B2883" s="2" t="s">
        <v>444</v>
      </c>
      <c r="C2883" s="2" t="s">
        <v>39</v>
      </c>
      <c r="D2883" s="2" t="str">
        <f aca="false">IF(3キー同時!$B$357="","",3キー同時!$B$357)</f>
        <v/>
      </c>
      <c r="E2883" s="2" t="str">
        <f aca="false">IF(3キー同時!$G$357="","",3キー同時!$G$357)</f>
        <v/>
      </c>
      <c r="F2883" s="2" t="str">
        <f aca="false">""</f>
        <v/>
      </c>
      <c r="G2883" s="2" t="str">
        <f aca="false">IF(OR(3キー同時!$B$357="",3キー同時!$G$357=""),"",IF(3キー同時!AA365="","",SUBSTITUTE(SUBSTITUTE(3キー同時!AA365," ",""),"　","")))</f>
        <v/>
      </c>
      <c r="H2883" s="2" t="str">
        <f aca="false">IF($G2883="","",3キー同時!$B$357)</f>
        <v/>
      </c>
      <c r="I2883" s="2" t="str">
        <f aca="false">IF($G2883="","",3キー同時!$G$357)</f>
        <v/>
      </c>
      <c r="J2883" s="2" t="str">
        <f aca="false">IF($G2883="","","b")</f>
        <v/>
      </c>
      <c r="K2883" s="2" t="str">
        <f aca="false">""</f>
        <v/>
      </c>
      <c r="L2883" s="2" t="str">
        <f aca="false">IF($G2883="","","同時")</f>
        <v/>
      </c>
      <c r="M2883" s="2" t="str">
        <f aca="false">IF($G2883="","",IF(ISNA(MATCH($G2883,個別指定!$A:$A,0)),"行なし",""))</f>
        <v/>
      </c>
      <c r="N2883" s="2" t="str">
        <f aca="false">IF($G2883="","",IF(COUNTIF($G$2:$G$4460,$G2883)&gt;1,"重複",""))</f>
        <v/>
      </c>
    </row>
    <row r="2884" customFormat="false" ht="16.5" hidden="false" customHeight="true" outlineLevel="0" collapsed="false">
      <c r="A2884" s="2" t="s">
        <v>416</v>
      </c>
      <c r="B2884" s="2" t="s">
        <v>444</v>
      </c>
      <c r="C2884" s="2" t="s">
        <v>40</v>
      </c>
      <c r="D2884" s="2" t="str">
        <f aca="false">IF(3キー同時!$B$357="","",3キー同時!$B$357)</f>
        <v/>
      </c>
      <c r="E2884" s="2" t="str">
        <f aca="false">IF(3キー同時!$G$357="","",3キー同時!$G$357)</f>
        <v/>
      </c>
      <c r="F2884" s="2" t="str">
        <f aca="false">""</f>
        <v/>
      </c>
      <c r="G2884" s="2" t="str">
        <f aca="false">IF(OR(3キー同時!$B$357="",3キー同時!$G$357=""),"",IF(3キー同時!AE365="","",SUBSTITUTE(SUBSTITUTE(3キー同時!AE365," ",""),"　","")))</f>
        <v/>
      </c>
      <c r="H2884" s="2" t="str">
        <f aca="false">IF($G2884="","",3キー同時!$B$357)</f>
        <v/>
      </c>
      <c r="I2884" s="2" t="str">
        <f aca="false">IF($G2884="","",3キー同時!$G$357)</f>
        <v/>
      </c>
      <c r="J2884" s="2" t="str">
        <f aca="false">IF($G2884="","","n")</f>
        <v/>
      </c>
      <c r="K2884" s="2" t="str">
        <f aca="false">""</f>
        <v/>
      </c>
      <c r="L2884" s="2" t="str">
        <f aca="false">IF($G2884="","","同時")</f>
        <v/>
      </c>
      <c r="M2884" s="2" t="str">
        <f aca="false">IF($G2884="","",IF(ISNA(MATCH($G2884,個別指定!$A:$A,0)),"行なし",""))</f>
        <v/>
      </c>
      <c r="N2884" s="2" t="str">
        <f aca="false">IF($G2884="","",IF(COUNTIF($G$2:$G$4460,$G2884)&gt;1,"重複",""))</f>
        <v/>
      </c>
    </row>
    <row r="2885" customFormat="false" ht="16.5" hidden="false" customHeight="true" outlineLevel="0" collapsed="false">
      <c r="A2885" s="2" t="s">
        <v>416</v>
      </c>
      <c r="B2885" s="2" t="s">
        <v>444</v>
      </c>
      <c r="C2885" s="2" t="s">
        <v>41</v>
      </c>
      <c r="D2885" s="2" t="str">
        <f aca="false">IF(3キー同時!$B$357="","",3キー同時!$B$357)</f>
        <v/>
      </c>
      <c r="E2885" s="2" t="str">
        <f aca="false">IF(3キー同時!$G$357="","",3キー同時!$G$357)</f>
        <v/>
      </c>
      <c r="F2885" s="2" t="str">
        <f aca="false">""</f>
        <v/>
      </c>
      <c r="G2885" s="2" t="str">
        <f aca="false">IF(OR(3キー同時!$B$357="",3キー同時!$G$357=""),"",IF(3キー同時!AI365="","",SUBSTITUTE(SUBSTITUTE(3キー同時!AI365," ",""),"　","")))</f>
        <v/>
      </c>
      <c r="H2885" s="2" t="str">
        <f aca="false">IF($G2885="","",3キー同時!$B$357)</f>
        <v/>
      </c>
      <c r="I2885" s="2" t="str">
        <f aca="false">IF($G2885="","",3キー同時!$G$357)</f>
        <v/>
      </c>
      <c r="J2885" s="2" t="str">
        <f aca="false">IF($G2885="","","m")</f>
        <v/>
      </c>
      <c r="K2885" s="2" t="str">
        <f aca="false">""</f>
        <v/>
      </c>
      <c r="L2885" s="2" t="str">
        <f aca="false">IF($G2885="","","同時")</f>
        <v/>
      </c>
      <c r="M2885" s="2" t="str">
        <f aca="false">IF($G2885="","",IF(ISNA(MATCH($G2885,個別指定!$A:$A,0)),"行なし",""))</f>
        <v/>
      </c>
      <c r="N2885" s="2" t="str">
        <f aca="false">IF($G2885="","",IF(COUNTIF($G$2:$G$4460,$G2885)&gt;1,"重複",""))</f>
        <v/>
      </c>
    </row>
    <row r="2886" customFormat="false" ht="16.5" hidden="false" customHeight="true" outlineLevel="0" collapsed="false">
      <c r="A2886" s="2" t="s">
        <v>416</v>
      </c>
      <c r="B2886" s="2" t="s">
        <v>444</v>
      </c>
      <c r="C2886" s="2" t="s">
        <v>42</v>
      </c>
      <c r="D2886" s="2" t="str">
        <f aca="false">IF(3キー同時!$B$357="","",3キー同時!$B$357)</f>
        <v/>
      </c>
      <c r="E2886" s="2" t="str">
        <f aca="false">IF(3キー同時!$G$357="","",3キー同時!$G$357)</f>
        <v/>
      </c>
      <c r="F2886" s="2" t="str">
        <f aca="false">""</f>
        <v/>
      </c>
      <c r="G2886" s="2" t="str">
        <f aca="false">IF(OR(3キー同時!$B$357="",3キー同時!$G$357=""),"",IF(3キー同時!AM365="","",SUBSTITUTE(SUBSTITUTE(3キー同時!AM365," ",""),"　","")))</f>
        <v/>
      </c>
      <c r="H2886" s="2" t="str">
        <f aca="false">IF($G2886="","",3キー同時!$B$357)</f>
        <v/>
      </c>
      <c r="I2886" s="2" t="str">
        <f aca="false">IF($G2886="","",3キー同時!$G$357)</f>
        <v/>
      </c>
      <c r="J2886" s="2" t="str">
        <f aca="false">IF($G2886="","",",")</f>
        <v/>
      </c>
      <c r="K2886" s="2" t="str">
        <f aca="false">""</f>
        <v/>
      </c>
      <c r="L2886" s="2" t="str">
        <f aca="false">IF($G2886="","","同時")</f>
        <v/>
      </c>
      <c r="M2886" s="2" t="str">
        <f aca="false">IF($G2886="","",IF(ISNA(MATCH($G2886,個別指定!$A:$A,0)),"行なし",""))</f>
        <v/>
      </c>
      <c r="N2886" s="2" t="str">
        <f aca="false">IF($G2886="","",IF(COUNTIF($G$2:$G$4460,$G2886)&gt;1,"重複",""))</f>
        <v/>
      </c>
    </row>
    <row r="2887" customFormat="false" ht="16.5" hidden="false" customHeight="true" outlineLevel="0" collapsed="false">
      <c r="A2887" s="2" t="s">
        <v>416</v>
      </c>
      <c r="B2887" s="2" t="s">
        <v>444</v>
      </c>
      <c r="C2887" s="2" t="s">
        <v>43</v>
      </c>
      <c r="D2887" s="2" t="str">
        <f aca="false">IF(3キー同時!$B$357="","",3キー同時!$B$357)</f>
        <v/>
      </c>
      <c r="E2887" s="2" t="str">
        <f aca="false">IF(3キー同時!$G$357="","",3キー同時!$G$357)</f>
        <v/>
      </c>
      <c r="F2887" s="2" t="str">
        <f aca="false">""</f>
        <v/>
      </c>
      <c r="G2887" s="2" t="str">
        <f aca="false">IF(OR(3キー同時!$B$357="",3キー同時!$G$357=""),"",IF(3キー同時!AQ365="","",SUBSTITUTE(SUBSTITUTE(3キー同時!AQ365," ",""),"　","")))</f>
        <v/>
      </c>
      <c r="H2887" s="2" t="str">
        <f aca="false">IF($G2887="","",3キー同時!$B$357)</f>
        <v/>
      </c>
      <c r="I2887" s="2" t="str">
        <f aca="false">IF($G2887="","",3キー同時!$G$357)</f>
        <v/>
      </c>
      <c r="J2887" s="2" t="str">
        <f aca="false">IF($G2887="","",".")</f>
        <v/>
      </c>
      <c r="K2887" s="2" t="str">
        <f aca="false">""</f>
        <v/>
      </c>
      <c r="L2887" s="2" t="str">
        <f aca="false">IF($G2887="","","同時")</f>
        <v/>
      </c>
      <c r="M2887" s="2" t="str">
        <f aca="false">IF($G2887="","",IF(ISNA(MATCH($G2887,個別指定!$A:$A,0)),"行なし",""))</f>
        <v/>
      </c>
      <c r="N2887" s="2" t="str">
        <f aca="false">IF($G2887="","",IF(COUNTIF($G$2:$G$4460,$G2887)&gt;1,"重複",""))</f>
        <v/>
      </c>
    </row>
    <row r="2888" customFormat="false" ht="16.5" hidden="false" customHeight="true" outlineLevel="0" collapsed="false">
      <c r="A2888" s="2" t="s">
        <v>416</v>
      </c>
      <c r="B2888" s="2" t="s">
        <v>444</v>
      </c>
      <c r="C2888" s="2" t="s">
        <v>44</v>
      </c>
      <c r="D2888" s="2" t="str">
        <f aca="false">IF(3キー同時!$B$357="","",3キー同時!$B$357)</f>
        <v/>
      </c>
      <c r="E2888" s="2" t="str">
        <f aca="false">IF(3キー同時!$G$357="","",3キー同時!$G$357)</f>
        <v/>
      </c>
      <c r="F2888" s="2" t="str">
        <f aca="false">""</f>
        <v/>
      </c>
      <c r="G2888" s="2" t="str">
        <f aca="false">IF(OR(3キー同時!$B$357="",3キー同時!$G$357=""),"",IF(3キー同時!AU365="","",SUBSTITUTE(SUBSTITUTE(3キー同時!AU365," ",""),"　","")))</f>
        <v/>
      </c>
      <c r="H2888" s="2" t="str">
        <f aca="false">IF($G2888="","",3キー同時!$B$357)</f>
        <v/>
      </c>
      <c r="I2888" s="2" t="str">
        <f aca="false">IF($G2888="","",3キー同時!$G$357)</f>
        <v/>
      </c>
      <c r="J2888" s="2" t="str">
        <f aca="false">IF($G2888="","","/")</f>
        <v/>
      </c>
      <c r="K2888" s="2" t="str">
        <f aca="false">""</f>
        <v/>
      </c>
      <c r="L2888" s="2" t="str">
        <f aca="false">IF($G2888="","","同時")</f>
        <v/>
      </c>
      <c r="M2888" s="2" t="str">
        <f aca="false">IF($G2888="","",IF(ISNA(MATCH($G2888,個別指定!$A:$A,0)),"行なし",""))</f>
        <v/>
      </c>
      <c r="N2888" s="2" t="str">
        <f aca="false">IF($G2888="","",IF(COUNTIF($G$2:$G$4460,$G2888)&gt;1,"重複",""))</f>
        <v/>
      </c>
    </row>
    <row r="2889" customFormat="false" ht="16.5" hidden="false" customHeight="true" outlineLevel="0" collapsed="false">
      <c r="A2889" s="2" t="s">
        <v>416</v>
      </c>
      <c r="B2889" s="2" t="s">
        <v>444</v>
      </c>
      <c r="C2889" s="2" t="s">
        <v>48</v>
      </c>
      <c r="D2889" s="2" t="str">
        <f aca="false">IF(3キー同時!$B$357="","",3キー同時!$B$357)</f>
        <v/>
      </c>
      <c r="E2889" s="2" t="str">
        <f aca="false">IF(3キー同時!$G$357="","",3キー同時!$G$357)</f>
        <v/>
      </c>
      <c r="F2889" s="2" t="str">
        <f aca="false">""</f>
        <v/>
      </c>
      <c r="G2889" s="2" t="str">
        <f aca="false">IF(OR(3キー同時!$B$357="",3キー同時!$G$357=""),"",IF(3キー同時!P367="","",SUBSTITUTE(SUBSTITUTE(3キー同時!P367," ",""),"　","")))</f>
        <v/>
      </c>
      <c r="H2889" s="2" t="str">
        <f aca="false">IF($G2889="","",3キー同時!$B$357)</f>
        <v/>
      </c>
      <c r="I2889" s="2" t="str">
        <f aca="false">IF($G2889="","",3キー同時!$G$357)</f>
        <v/>
      </c>
      <c r="J2889" s="2" t="str">
        <f aca="false">IF($G2889="","","muhenkan")</f>
        <v/>
      </c>
      <c r="K2889" s="2" t="str">
        <f aca="false">""</f>
        <v/>
      </c>
      <c r="L2889" s="2" t="str">
        <f aca="false">IF($G2889="","","同時")</f>
        <v/>
      </c>
      <c r="M2889" s="2" t="str">
        <f aca="false">IF($G2889="","",IF(ISNA(MATCH($G2889,個別指定!$A:$A,0)),"行なし",""))</f>
        <v/>
      </c>
      <c r="N2889" s="2" t="str">
        <f aca="false">IF($G2889="","",IF(COUNTIF($G$2:$G$4460,$G2889)&gt;1,"重複",""))</f>
        <v/>
      </c>
    </row>
    <row r="2890" customFormat="false" ht="16.5" hidden="false" customHeight="true" outlineLevel="0" collapsed="false">
      <c r="A2890" s="2" t="s">
        <v>416</v>
      </c>
      <c r="B2890" s="2" t="s">
        <v>444</v>
      </c>
      <c r="C2890" s="2" t="s">
        <v>50</v>
      </c>
      <c r="D2890" s="2" t="str">
        <f aca="false">IF(3キー同時!$B$357="","",3キー同時!$B$357)</f>
        <v/>
      </c>
      <c r="E2890" s="2" t="str">
        <f aca="false">IF(3キー同時!$G$357="","",3キー同時!$G$357)</f>
        <v/>
      </c>
      <c r="F2890" s="2" t="str">
        <f aca="false">""</f>
        <v/>
      </c>
      <c r="G2890" s="2" t="str">
        <f aca="false">IF(OR(3キー同時!$B$357="",3キー同時!$G$357=""),"",IF(3キー同時!T367="","",SUBSTITUTE(SUBSTITUTE(3キー同時!T367," ",""),"　","")))</f>
        <v/>
      </c>
      <c r="H2890" s="2" t="str">
        <f aca="false">IF($G2890="","",3キー同時!$B$357)</f>
        <v/>
      </c>
      <c r="I2890" s="2" t="str">
        <f aca="false">IF($G2890="","",3キー同時!$G$357)</f>
        <v/>
      </c>
      <c r="J2890" s="2" t="str">
        <f aca="false">IF($G2890="","","space")</f>
        <v/>
      </c>
      <c r="K2890" s="2" t="str">
        <f aca="false">""</f>
        <v/>
      </c>
      <c r="L2890" s="2" t="str">
        <f aca="false">IF($G2890="","","同時")</f>
        <v/>
      </c>
      <c r="M2890" s="2" t="str">
        <f aca="false">IF($G2890="","",IF(ISNA(MATCH($G2890,個別指定!$A:$A,0)),"行なし",""))</f>
        <v/>
      </c>
      <c r="N2890" s="2" t="str">
        <f aca="false">IF($G2890="","",IF(COUNTIF($G$2:$G$4460,$G2890)&gt;1,"重複",""))</f>
        <v/>
      </c>
    </row>
    <row r="2891" customFormat="false" ht="16.5" hidden="false" customHeight="true" outlineLevel="0" collapsed="false">
      <c r="A2891" s="2" t="s">
        <v>416</v>
      </c>
      <c r="B2891" s="2" t="s">
        <v>444</v>
      </c>
      <c r="C2891" s="2" t="s">
        <v>45</v>
      </c>
      <c r="D2891" s="2" t="str">
        <f aca="false">IF(3キー同時!$B$357="","",3キー同時!$B$357)</f>
        <v/>
      </c>
      <c r="E2891" s="2" t="str">
        <f aca="false">IF(3キー同時!$G$357="","",3キー同時!$G$357)</f>
        <v/>
      </c>
      <c r="F2891" s="2" t="str">
        <f aca="false">""</f>
        <v/>
      </c>
      <c r="G2891" s="2" t="str">
        <f aca="false">IF(OR(3キー同時!$B$357="",3キー同時!$G$357=""),"",IF(3キー同時!AL367="","",SUBSTITUTE(SUBSTITUTE(3キー同時!AL367," ",""),"　","")))</f>
        <v/>
      </c>
      <c r="H2891" s="2" t="str">
        <f aca="false">IF($G2891="","",3キー同時!$B$357)</f>
        <v/>
      </c>
      <c r="I2891" s="2" t="str">
        <f aca="false">IF($G2891="","",3キー同時!$G$357)</f>
        <v/>
      </c>
      <c r="J2891" s="2" t="str">
        <f aca="false">IF($G2891="","","henkan")</f>
        <v/>
      </c>
      <c r="K2891" s="2" t="str">
        <f aca="false">""</f>
        <v/>
      </c>
      <c r="L2891" s="2" t="str">
        <f aca="false">IF($G2891="","","同時")</f>
        <v/>
      </c>
      <c r="M2891" s="2" t="str">
        <f aca="false">IF($G2891="","",IF(ISNA(MATCH($G2891,個別指定!$A:$A,0)),"行なし",""))</f>
        <v/>
      </c>
      <c r="N2891" s="2" t="str">
        <f aca="false">IF($G2891="","",IF(COUNTIF($G$2:$G$4460,$G2891)&gt;1,"重複",""))</f>
        <v/>
      </c>
    </row>
    <row r="2892" customFormat="false" ht="16.5" hidden="false" customHeight="true" outlineLevel="0" collapsed="false">
      <c r="A2892" s="2" t="s">
        <v>416</v>
      </c>
      <c r="B2892" s="2" t="s">
        <v>444</v>
      </c>
      <c r="C2892" s="2" t="s">
        <v>46</v>
      </c>
      <c r="D2892" s="2" t="str">
        <f aca="false">IF(3キー同時!$B$357="","",3キー同時!$B$357)</f>
        <v/>
      </c>
      <c r="E2892" s="2" t="str">
        <f aca="false">IF(3キー同時!$G$357="","",3キー同時!$G$357)</f>
        <v/>
      </c>
      <c r="F2892" s="2" t="str">
        <f aca="false">""</f>
        <v/>
      </c>
      <c r="G2892" s="2" t="str">
        <f aca="false">IF(OR(3キー同時!$B$357="",3キー同時!$G$357=""),"",IF(3キー同時!AP367="","",SUBSTITUTE(SUBSTITUTE(3キー同時!AP367," ",""),"　","")))</f>
        <v/>
      </c>
      <c r="H2892" s="2" t="str">
        <f aca="false">IF($G2892="","",3キー同時!$B$357)</f>
        <v/>
      </c>
      <c r="I2892" s="2" t="str">
        <f aca="false">IF($G2892="","",3キー同時!$G$357)</f>
        <v/>
      </c>
      <c r="J2892" s="2" t="str">
        <f aca="false">IF($G2892="","","kana")</f>
        <v/>
      </c>
      <c r="K2892" s="2" t="str">
        <f aca="false">""</f>
        <v/>
      </c>
      <c r="L2892" s="2" t="str">
        <f aca="false">IF($G2892="","","同時")</f>
        <v/>
      </c>
      <c r="M2892" s="2" t="str">
        <f aca="false">IF($G2892="","",IF(ISNA(MATCH($G2892,個別指定!$A:$A,0)),"行なし",""))</f>
        <v/>
      </c>
      <c r="N2892" s="2" t="str">
        <f aca="false">IF($G2892="","",IF(COUNTIF($G$2:$G$4460,$G2892)&gt;1,"重複",""))</f>
        <v/>
      </c>
    </row>
    <row r="2893" customFormat="false" ht="16.5" hidden="false" customHeight="true" outlineLevel="0" collapsed="false">
      <c r="A2893" s="2" t="s">
        <v>416</v>
      </c>
      <c r="B2893" s="2" t="s">
        <v>445</v>
      </c>
      <c r="C2893" s="2" t="s">
        <v>0</v>
      </c>
      <c r="D2893" s="2" t="str">
        <f aca="false">IF(3キー同時!$B$370="","",3キー同時!$B$370)</f>
        <v/>
      </c>
      <c r="E2893" s="2" t="str">
        <f aca="false">IF(3キー同時!$G$370="","",3キー同時!$G$370)</f>
        <v/>
      </c>
      <c r="F2893" s="2" t="str">
        <f aca="false">""</f>
        <v/>
      </c>
      <c r="G2893" s="2" t="str">
        <f aca="false">IF(OR(3キー同時!$B$370="",3キー同時!$G$370=""),"",IF(3キー同時!F372="","",SUBSTITUTE(SUBSTITUTE(3キー同時!F372," ",""),"　","")))</f>
        <v/>
      </c>
      <c r="H2893" s="2" t="str">
        <f aca="false">IF($G2893="","",3キー同時!$B$370)</f>
        <v/>
      </c>
      <c r="I2893" s="2" t="str">
        <f aca="false">IF($G2893="","",3キー同時!$G$370)</f>
        <v/>
      </c>
      <c r="J2893" s="2" t="str">
        <f aca="false">IF($G2893="","","1")</f>
        <v/>
      </c>
      <c r="K2893" s="2" t="str">
        <f aca="false">""</f>
        <v/>
      </c>
      <c r="L2893" s="2" t="str">
        <f aca="false">IF($G2893="","","同時")</f>
        <v/>
      </c>
      <c r="M2893" s="2" t="str">
        <f aca="false">IF($G2893="","",IF(ISNA(MATCH($G2893,個別指定!$A:$A,0)),"行なし",""))</f>
        <v/>
      </c>
      <c r="N2893" s="2" t="str">
        <f aca="false">IF($G2893="","",IF(COUNTIF($G$2:$G$4460,$G2893)&gt;1,"重複",""))</f>
        <v/>
      </c>
    </row>
    <row r="2894" customFormat="false" ht="16.5" hidden="false" customHeight="true" outlineLevel="0" collapsed="false">
      <c r="A2894" s="2" t="s">
        <v>416</v>
      </c>
      <c r="B2894" s="2" t="s">
        <v>445</v>
      </c>
      <c r="C2894" s="2" t="s">
        <v>1</v>
      </c>
      <c r="D2894" s="2" t="str">
        <f aca="false">IF(3キー同時!$B$370="","",3キー同時!$B$370)</f>
        <v/>
      </c>
      <c r="E2894" s="2" t="str">
        <f aca="false">IF(3キー同時!$G$370="","",3キー同時!$G$370)</f>
        <v/>
      </c>
      <c r="F2894" s="2" t="str">
        <f aca="false">""</f>
        <v/>
      </c>
      <c r="G2894" s="2" t="str">
        <f aca="false">IF(OR(3キー同時!$B$370="",3キー同時!$G$370=""),"",IF(3キー同時!J372="","",SUBSTITUTE(SUBSTITUTE(3キー同時!J372," ",""),"　","")))</f>
        <v/>
      </c>
      <c r="H2894" s="2" t="str">
        <f aca="false">IF($G2894="","",3キー同時!$B$370)</f>
        <v/>
      </c>
      <c r="I2894" s="2" t="str">
        <f aca="false">IF($G2894="","",3キー同時!$G$370)</f>
        <v/>
      </c>
      <c r="J2894" s="2" t="str">
        <f aca="false">IF($G2894="","","2")</f>
        <v/>
      </c>
      <c r="K2894" s="2" t="str">
        <f aca="false">""</f>
        <v/>
      </c>
      <c r="L2894" s="2" t="str">
        <f aca="false">IF($G2894="","","同時")</f>
        <v/>
      </c>
      <c r="M2894" s="2" t="str">
        <f aca="false">IF($G2894="","",IF(ISNA(MATCH($G2894,個別指定!$A:$A,0)),"行なし",""))</f>
        <v/>
      </c>
      <c r="N2894" s="2" t="str">
        <f aca="false">IF($G2894="","",IF(COUNTIF($G$2:$G$4460,$G2894)&gt;1,"重複",""))</f>
        <v/>
      </c>
    </row>
    <row r="2895" customFormat="false" ht="16.5" hidden="false" customHeight="true" outlineLevel="0" collapsed="false">
      <c r="A2895" s="2" t="s">
        <v>416</v>
      </c>
      <c r="B2895" s="2" t="s">
        <v>445</v>
      </c>
      <c r="C2895" s="2" t="s">
        <v>2</v>
      </c>
      <c r="D2895" s="2" t="str">
        <f aca="false">IF(3キー同時!$B$370="","",3キー同時!$B$370)</f>
        <v/>
      </c>
      <c r="E2895" s="2" t="str">
        <f aca="false">IF(3キー同時!$G$370="","",3キー同時!$G$370)</f>
        <v/>
      </c>
      <c r="F2895" s="2" t="str">
        <f aca="false">""</f>
        <v/>
      </c>
      <c r="G2895" s="2" t="str">
        <f aca="false">IF(OR(3キー同時!$B$370="",3キー同時!$G$370=""),"",IF(3キー同時!N372="","",SUBSTITUTE(SUBSTITUTE(3キー同時!N372," ",""),"　","")))</f>
        <v/>
      </c>
      <c r="H2895" s="2" t="str">
        <f aca="false">IF($G2895="","",3キー同時!$B$370)</f>
        <v/>
      </c>
      <c r="I2895" s="2" t="str">
        <f aca="false">IF($G2895="","",3キー同時!$G$370)</f>
        <v/>
      </c>
      <c r="J2895" s="2" t="str">
        <f aca="false">IF($G2895="","","3")</f>
        <v/>
      </c>
      <c r="K2895" s="2" t="str">
        <f aca="false">""</f>
        <v/>
      </c>
      <c r="L2895" s="2" t="str">
        <f aca="false">IF($G2895="","","同時")</f>
        <v/>
      </c>
      <c r="M2895" s="2" t="str">
        <f aca="false">IF($G2895="","",IF(ISNA(MATCH($G2895,個別指定!$A:$A,0)),"行なし",""))</f>
        <v/>
      </c>
      <c r="N2895" s="2" t="str">
        <f aca="false">IF($G2895="","",IF(COUNTIF($G$2:$G$4460,$G2895)&gt;1,"重複",""))</f>
        <v/>
      </c>
    </row>
    <row r="2896" customFormat="false" ht="16.5" hidden="false" customHeight="true" outlineLevel="0" collapsed="false">
      <c r="A2896" s="2" t="s">
        <v>416</v>
      </c>
      <c r="B2896" s="2" t="s">
        <v>445</v>
      </c>
      <c r="C2896" s="2" t="s">
        <v>3</v>
      </c>
      <c r="D2896" s="2" t="str">
        <f aca="false">IF(3キー同時!$B$370="","",3キー同時!$B$370)</f>
        <v/>
      </c>
      <c r="E2896" s="2" t="str">
        <f aca="false">IF(3キー同時!$G$370="","",3キー同時!$G$370)</f>
        <v/>
      </c>
      <c r="F2896" s="2" t="str">
        <f aca="false">""</f>
        <v/>
      </c>
      <c r="G2896" s="2" t="str">
        <f aca="false">IF(OR(3キー同時!$B$370="",3キー同時!$G$370=""),"",IF(3キー同時!R372="","",SUBSTITUTE(SUBSTITUTE(3キー同時!R372," ",""),"　","")))</f>
        <v/>
      </c>
      <c r="H2896" s="2" t="str">
        <f aca="false">IF($G2896="","",3キー同時!$B$370)</f>
        <v/>
      </c>
      <c r="I2896" s="2" t="str">
        <f aca="false">IF($G2896="","",3キー同時!$G$370)</f>
        <v/>
      </c>
      <c r="J2896" s="2" t="str">
        <f aca="false">IF($G2896="","","4")</f>
        <v/>
      </c>
      <c r="K2896" s="2" t="str">
        <f aca="false">""</f>
        <v/>
      </c>
      <c r="L2896" s="2" t="str">
        <f aca="false">IF($G2896="","","同時")</f>
        <v/>
      </c>
      <c r="M2896" s="2" t="str">
        <f aca="false">IF($G2896="","",IF(ISNA(MATCH($G2896,個別指定!$A:$A,0)),"行なし",""))</f>
        <v/>
      </c>
      <c r="N2896" s="2" t="str">
        <f aca="false">IF($G2896="","",IF(COUNTIF($G$2:$G$4460,$G2896)&gt;1,"重複",""))</f>
        <v/>
      </c>
    </row>
    <row r="2897" customFormat="false" ht="16.5" hidden="false" customHeight="true" outlineLevel="0" collapsed="false">
      <c r="A2897" s="2" t="s">
        <v>416</v>
      </c>
      <c r="B2897" s="2" t="s">
        <v>445</v>
      </c>
      <c r="C2897" s="2" t="s">
        <v>4</v>
      </c>
      <c r="D2897" s="2" t="str">
        <f aca="false">IF(3キー同時!$B$370="","",3キー同時!$B$370)</f>
        <v/>
      </c>
      <c r="E2897" s="2" t="str">
        <f aca="false">IF(3キー同時!$G$370="","",3キー同時!$G$370)</f>
        <v/>
      </c>
      <c r="F2897" s="2" t="str">
        <f aca="false">""</f>
        <v/>
      </c>
      <c r="G2897" s="2" t="str">
        <f aca="false">IF(OR(3キー同時!$B$370="",3キー同時!$G$370=""),"",IF(3キー同時!V372="","",SUBSTITUTE(SUBSTITUTE(3キー同時!V372," ",""),"　","")))</f>
        <v/>
      </c>
      <c r="H2897" s="2" t="str">
        <f aca="false">IF($G2897="","",3キー同時!$B$370)</f>
        <v/>
      </c>
      <c r="I2897" s="2" t="str">
        <f aca="false">IF($G2897="","",3キー同時!$G$370)</f>
        <v/>
      </c>
      <c r="J2897" s="2" t="str">
        <f aca="false">IF($G2897="","","5")</f>
        <v/>
      </c>
      <c r="K2897" s="2" t="str">
        <f aca="false">""</f>
        <v/>
      </c>
      <c r="L2897" s="2" t="str">
        <f aca="false">IF($G2897="","","同時")</f>
        <v/>
      </c>
      <c r="M2897" s="2" t="str">
        <f aca="false">IF($G2897="","",IF(ISNA(MATCH($G2897,個別指定!$A:$A,0)),"行なし",""))</f>
        <v/>
      </c>
      <c r="N2897" s="2" t="str">
        <f aca="false">IF($G2897="","",IF(COUNTIF($G$2:$G$4460,$G2897)&gt;1,"重複",""))</f>
        <v/>
      </c>
    </row>
    <row r="2898" customFormat="false" ht="16.5" hidden="false" customHeight="true" outlineLevel="0" collapsed="false">
      <c r="A2898" s="2" t="s">
        <v>416</v>
      </c>
      <c r="B2898" s="2" t="s">
        <v>445</v>
      </c>
      <c r="C2898" s="2" t="s">
        <v>5</v>
      </c>
      <c r="D2898" s="2" t="str">
        <f aca="false">IF(3キー同時!$B$370="","",3キー同時!$B$370)</f>
        <v/>
      </c>
      <c r="E2898" s="2" t="str">
        <f aca="false">IF(3キー同時!$G$370="","",3キー同時!$G$370)</f>
        <v/>
      </c>
      <c r="F2898" s="2" t="str">
        <f aca="false">""</f>
        <v/>
      </c>
      <c r="G2898" s="2" t="str">
        <f aca="false">IF(OR(3キー同時!$B$370="",3キー同時!$G$370=""),"",IF(3キー同時!Z372="","",SUBSTITUTE(SUBSTITUTE(3キー同時!Z372," ",""),"　","")))</f>
        <v/>
      </c>
      <c r="H2898" s="2" t="str">
        <f aca="false">IF($G2898="","",3キー同時!$B$370)</f>
        <v/>
      </c>
      <c r="I2898" s="2" t="str">
        <f aca="false">IF($G2898="","",3キー同時!$G$370)</f>
        <v/>
      </c>
      <c r="J2898" s="2" t="str">
        <f aca="false">IF($G2898="","","6")</f>
        <v/>
      </c>
      <c r="K2898" s="2" t="str">
        <f aca="false">""</f>
        <v/>
      </c>
      <c r="L2898" s="2" t="str">
        <f aca="false">IF($G2898="","","同時")</f>
        <v/>
      </c>
      <c r="M2898" s="2" t="str">
        <f aca="false">IF($G2898="","",IF(ISNA(MATCH($G2898,個別指定!$A:$A,0)),"行なし",""))</f>
        <v/>
      </c>
      <c r="N2898" s="2" t="str">
        <f aca="false">IF($G2898="","",IF(COUNTIF($G$2:$G$4460,$G2898)&gt;1,"重複",""))</f>
        <v/>
      </c>
    </row>
    <row r="2899" customFormat="false" ht="16.5" hidden="false" customHeight="true" outlineLevel="0" collapsed="false">
      <c r="A2899" s="2" t="s">
        <v>416</v>
      </c>
      <c r="B2899" s="2" t="s">
        <v>445</v>
      </c>
      <c r="C2899" s="2" t="s">
        <v>6</v>
      </c>
      <c r="D2899" s="2" t="str">
        <f aca="false">IF(3キー同時!$B$370="","",3キー同時!$B$370)</f>
        <v/>
      </c>
      <c r="E2899" s="2" t="str">
        <f aca="false">IF(3キー同時!$G$370="","",3キー同時!$G$370)</f>
        <v/>
      </c>
      <c r="F2899" s="2" t="str">
        <f aca="false">""</f>
        <v/>
      </c>
      <c r="G2899" s="2" t="str">
        <f aca="false">IF(OR(3キー同時!$B$370="",3キー同時!$G$370=""),"",IF(3キー同時!AD372="","",SUBSTITUTE(SUBSTITUTE(3キー同時!AD372," ",""),"　","")))</f>
        <v/>
      </c>
      <c r="H2899" s="2" t="str">
        <f aca="false">IF($G2899="","",3キー同時!$B$370)</f>
        <v/>
      </c>
      <c r="I2899" s="2" t="str">
        <f aca="false">IF($G2899="","",3キー同時!$G$370)</f>
        <v/>
      </c>
      <c r="J2899" s="2" t="str">
        <f aca="false">IF($G2899="","","7")</f>
        <v/>
      </c>
      <c r="K2899" s="2" t="str">
        <f aca="false">""</f>
        <v/>
      </c>
      <c r="L2899" s="2" t="str">
        <f aca="false">IF($G2899="","","同時")</f>
        <v/>
      </c>
      <c r="M2899" s="2" t="str">
        <f aca="false">IF($G2899="","",IF(ISNA(MATCH($G2899,個別指定!$A:$A,0)),"行なし",""))</f>
        <v/>
      </c>
      <c r="N2899" s="2" t="str">
        <f aca="false">IF($G2899="","",IF(COUNTIF($G$2:$G$4460,$G2899)&gt;1,"重複",""))</f>
        <v/>
      </c>
    </row>
    <row r="2900" customFormat="false" ht="16.5" hidden="false" customHeight="true" outlineLevel="0" collapsed="false">
      <c r="A2900" s="2" t="s">
        <v>416</v>
      </c>
      <c r="B2900" s="2" t="s">
        <v>445</v>
      </c>
      <c r="C2900" s="2" t="s">
        <v>7</v>
      </c>
      <c r="D2900" s="2" t="str">
        <f aca="false">IF(3キー同時!$B$370="","",3キー同時!$B$370)</f>
        <v/>
      </c>
      <c r="E2900" s="2" t="str">
        <f aca="false">IF(3キー同時!$G$370="","",3キー同時!$G$370)</f>
        <v/>
      </c>
      <c r="F2900" s="2" t="str">
        <f aca="false">""</f>
        <v/>
      </c>
      <c r="G2900" s="2" t="str">
        <f aca="false">IF(OR(3キー同時!$B$370="",3キー同時!$G$370=""),"",IF(3キー同時!AH372="","",SUBSTITUTE(SUBSTITUTE(3キー同時!AH372," ",""),"　","")))</f>
        <v/>
      </c>
      <c r="H2900" s="2" t="str">
        <f aca="false">IF($G2900="","",3キー同時!$B$370)</f>
        <v/>
      </c>
      <c r="I2900" s="2" t="str">
        <f aca="false">IF($G2900="","",3キー同時!$G$370)</f>
        <v/>
      </c>
      <c r="J2900" s="2" t="str">
        <f aca="false">IF($G2900="","","8")</f>
        <v/>
      </c>
      <c r="K2900" s="2" t="str">
        <f aca="false">""</f>
        <v/>
      </c>
      <c r="L2900" s="2" t="str">
        <f aca="false">IF($G2900="","","同時")</f>
        <v/>
      </c>
      <c r="M2900" s="2" t="str">
        <f aca="false">IF($G2900="","",IF(ISNA(MATCH($G2900,個別指定!$A:$A,0)),"行なし",""))</f>
        <v/>
      </c>
      <c r="N2900" s="2" t="str">
        <f aca="false">IF($G2900="","",IF(COUNTIF($G$2:$G$4460,$G2900)&gt;1,"重複",""))</f>
        <v/>
      </c>
    </row>
    <row r="2901" customFormat="false" ht="16.5" hidden="false" customHeight="true" outlineLevel="0" collapsed="false">
      <c r="A2901" s="2" t="s">
        <v>416</v>
      </c>
      <c r="B2901" s="2" t="s">
        <v>445</v>
      </c>
      <c r="C2901" s="2" t="s">
        <v>8</v>
      </c>
      <c r="D2901" s="2" t="str">
        <f aca="false">IF(3キー同時!$B$370="","",3キー同時!$B$370)</f>
        <v/>
      </c>
      <c r="E2901" s="2" t="str">
        <f aca="false">IF(3キー同時!$G$370="","",3キー同時!$G$370)</f>
        <v/>
      </c>
      <c r="F2901" s="2" t="str">
        <f aca="false">""</f>
        <v/>
      </c>
      <c r="G2901" s="2" t="str">
        <f aca="false">IF(OR(3キー同時!$B$370="",3キー同時!$G$370=""),"",IF(3キー同時!AL372="","",SUBSTITUTE(SUBSTITUTE(3キー同時!AL372," ",""),"　","")))</f>
        <v/>
      </c>
      <c r="H2901" s="2" t="str">
        <f aca="false">IF($G2901="","",3キー同時!$B$370)</f>
        <v/>
      </c>
      <c r="I2901" s="2" t="str">
        <f aca="false">IF($G2901="","",3キー同時!$G$370)</f>
        <v/>
      </c>
      <c r="J2901" s="2" t="str">
        <f aca="false">IF($G2901="","","9")</f>
        <v/>
      </c>
      <c r="K2901" s="2" t="str">
        <f aca="false">""</f>
        <v/>
      </c>
      <c r="L2901" s="2" t="str">
        <f aca="false">IF($G2901="","","同時")</f>
        <v/>
      </c>
      <c r="M2901" s="2" t="str">
        <f aca="false">IF($G2901="","",IF(ISNA(MATCH($G2901,個別指定!$A:$A,0)),"行なし",""))</f>
        <v/>
      </c>
      <c r="N2901" s="2" t="str">
        <f aca="false">IF($G2901="","",IF(COUNTIF($G$2:$G$4460,$G2901)&gt;1,"重複",""))</f>
        <v/>
      </c>
    </row>
    <row r="2902" customFormat="false" ht="16.5" hidden="false" customHeight="true" outlineLevel="0" collapsed="false">
      <c r="A2902" s="2" t="s">
        <v>416</v>
      </c>
      <c r="B2902" s="2" t="s">
        <v>445</v>
      </c>
      <c r="C2902" s="2" t="s">
        <v>9</v>
      </c>
      <c r="D2902" s="2" t="str">
        <f aca="false">IF(3キー同時!$B$370="","",3キー同時!$B$370)</f>
        <v/>
      </c>
      <c r="E2902" s="2" t="str">
        <f aca="false">IF(3キー同時!$G$370="","",3キー同時!$G$370)</f>
        <v/>
      </c>
      <c r="F2902" s="2" t="str">
        <f aca="false">""</f>
        <v/>
      </c>
      <c r="G2902" s="2" t="str">
        <f aca="false">IF(OR(3キー同時!$B$370="",3キー同時!$G$370=""),"",IF(3キー同時!AP372="","",SUBSTITUTE(SUBSTITUTE(3キー同時!AP372," ",""),"　","")))</f>
        <v/>
      </c>
      <c r="H2902" s="2" t="str">
        <f aca="false">IF($G2902="","",3キー同時!$B$370)</f>
        <v/>
      </c>
      <c r="I2902" s="2" t="str">
        <f aca="false">IF($G2902="","",3キー同時!$G$370)</f>
        <v/>
      </c>
      <c r="J2902" s="2" t="str">
        <f aca="false">IF($G2902="","","0")</f>
        <v/>
      </c>
      <c r="K2902" s="2" t="str">
        <f aca="false">""</f>
        <v/>
      </c>
      <c r="L2902" s="2" t="str">
        <f aca="false">IF($G2902="","","同時")</f>
        <v/>
      </c>
      <c r="M2902" s="2" t="str">
        <f aca="false">IF($G2902="","",IF(ISNA(MATCH($G2902,個別指定!$A:$A,0)),"行なし",""))</f>
        <v/>
      </c>
      <c r="N2902" s="2" t="str">
        <f aca="false">IF($G2902="","",IF(COUNTIF($G$2:$G$4460,$G2902)&gt;1,"重複",""))</f>
        <v/>
      </c>
    </row>
    <row r="2903" customFormat="false" ht="16.5" hidden="false" customHeight="true" outlineLevel="0" collapsed="false">
      <c r="A2903" s="2" t="s">
        <v>416</v>
      </c>
      <c r="B2903" s="2" t="s">
        <v>445</v>
      </c>
      <c r="C2903" s="2" t="s">
        <v>10</v>
      </c>
      <c r="D2903" s="2" t="str">
        <f aca="false">IF(3キー同時!$B$370="","",3キー同時!$B$370)</f>
        <v/>
      </c>
      <c r="E2903" s="2" t="str">
        <f aca="false">IF(3キー同時!$G$370="","",3キー同時!$G$370)</f>
        <v/>
      </c>
      <c r="F2903" s="2" t="str">
        <f aca="false">""</f>
        <v/>
      </c>
      <c r="G2903" s="2" t="str">
        <f aca="false">IF(OR(3キー同時!$B$370="",3キー同時!$G$370=""),"",IF(3キー同時!AT372="","",SUBSTITUTE(SUBSTITUTE(3キー同時!AT372," ",""),"　","")))</f>
        <v/>
      </c>
      <c r="H2903" s="2" t="str">
        <f aca="false">IF($G2903="","",3キー同時!$B$370)</f>
        <v/>
      </c>
      <c r="I2903" s="2" t="str">
        <f aca="false">IF($G2903="","",3キー同時!$G$370)</f>
        <v/>
      </c>
      <c r="J2903" s="2" t="str">
        <f aca="false">IF($G2903="","","-")</f>
        <v/>
      </c>
      <c r="K2903" s="2" t="str">
        <f aca="false">""</f>
        <v/>
      </c>
      <c r="L2903" s="2" t="str">
        <f aca="false">IF($G2903="","","同時")</f>
        <v/>
      </c>
      <c r="M2903" s="2" t="str">
        <f aca="false">IF($G2903="","",IF(ISNA(MATCH($G2903,個別指定!$A:$A,0)),"行なし",""))</f>
        <v/>
      </c>
      <c r="N2903" s="2" t="str">
        <f aca="false">IF($G2903="","",IF(COUNTIF($G$2:$G$4460,$G2903)&gt;1,"重複",""))</f>
        <v/>
      </c>
    </row>
    <row r="2904" customFormat="false" ht="16.5" hidden="false" customHeight="true" outlineLevel="0" collapsed="false">
      <c r="A2904" s="2" t="s">
        <v>416</v>
      </c>
      <c r="B2904" s="2" t="s">
        <v>445</v>
      </c>
      <c r="C2904" s="2" t="s">
        <v>11</v>
      </c>
      <c r="D2904" s="2" t="str">
        <f aca="false">IF(3キー同時!$B$370="","",3キー同時!$B$370)</f>
        <v/>
      </c>
      <c r="E2904" s="2" t="str">
        <f aca="false">IF(3キー同時!$G$370="","",3キー同時!$G$370)</f>
        <v/>
      </c>
      <c r="F2904" s="2" t="str">
        <f aca="false">""</f>
        <v/>
      </c>
      <c r="G2904" s="2" t="str">
        <f aca="false">IF(OR(3キー同時!$B$370="",3キー同時!$G$370=""),"",IF(3キー同時!AX372="","",SUBSTITUTE(SUBSTITUTE(3キー同時!AX372," ",""),"　","")))</f>
        <v/>
      </c>
      <c r="H2904" s="2" t="str">
        <f aca="false">IF($G2904="","",3キー同時!$B$370)</f>
        <v/>
      </c>
      <c r="I2904" s="2" t="str">
        <f aca="false">IF($G2904="","",3キー同時!$G$370)</f>
        <v/>
      </c>
      <c r="J2904" s="2" t="str">
        <f aca="false">IF($G2904="","","=")</f>
        <v/>
      </c>
      <c r="K2904" s="2" t="str">
        <f aca="false">""</f>
        <v/>
      </c>
      <c r="L2904" s="2" t="str">
        <f aca="false">IF($G2904="","","同時")</f>
        <v/>
      </c>
      <c r="M2904" s="2" t="str">
        <f aca="false">IF($G2904="","",IF(ISNA(MATCH($G2904,個別指定!$A:$A,0)),"行なし",""))</f>
        <v/>
      </c>
      <c r="N2904" s="2" t="str">
        <f aca="false">IF($G2904="","",IF(COUNTIF($G$2:$G$4460,$G2904)&gt;1,"重複",""))</f>
        <v/>
      </c>
    </row>
    <row r="2905" customFormat="false" ht="16.5" hidden="false" customHeight="true" outlineLevel="0" collapsed="false">
      <c r="A2905" s="2" t="s">
        <v>416</v>
      </c>
      <c r="B2905" s="2" t="s">
        <v>445</v>
      </c>
      <c r="C2905" s="2" t="s">
        <v>12</v>
      </c>
      <c r="D2905" s="2" t="str">
        <f aca="false">IF(3キー同時!$B$370="","",3キー同時!$B$370)</f>
        <v/>
      </c>
      <c r="E2905" s="2" t="str">
        <f aca="false">IF(3キー同時!$G$370="","",3キー同時!$G$370)</f>
        <v/>
      </c>
      <c r="F2905" s="2" t="str">
        <f aca="false">""</f>
        <v/>
      </c>
      <c r="G2905" s="2" t="str">
        <f aca="false">IF(OR(3キー同時!$B$370="",3キー同時!$G$370=""),"",IF(3キー同時!H374="","",SUBSTITUTE(SUBSTITUTE(3キー同時!H374," ",""),"　","")))</f>
        <v/>
      </c>
      <c r="H2905" s="2" t="str">
        <f aca="false">IF($G2905="","",3キー同時!$B$370)</f>
        <v/>
      </c>
      <c r="I2905" s="2" t="str">
        <f aca="false">IF($G2905="","",3キー同時!$G$370)</f>
        <v/>
      </c>
      <c r="J2905" s="2" t="str">
        <f aca="false">IF($G2905="","","q")</f>
        <v/>
      </c>
      <c r="K2905" s="2" t="str">
        <f aca="false">""</f>
        <v/>
      </c>
      <c r="L2905" s="2" t="str">
        <f aca="false">IF($G2905="","","同時")</f>
        <v/>
      </c>
      <c r="M2905" s="2" t="str">
        <f aca="false">IF($G2905="","",IF(ISNA(MATCH($G2905,個別指定!$A:$A,0)),"行なし",""))</f>
        <v/>
      </c>
      <c r="N2905" s="2" t="str">
        <f aca="false">IF($G2905="","",IF(COUNTIF($G$2:$G$4460,$G2905)&gt;1,"重複",""))</f>
        <v/>
      </c>
    </row>
    <row r="2906" customFormat="false" ht="16.5" hidden="false" customHeight="true" outlineLevel="0" collapsed="false">
      <c r="A2906" s="2" t="s">
        <v>416</v>
      </c>
      <c r="B2906" s="2" t="s">
        <v>445</v>
      </c>
      <c r="C2906" s="2" t="s">
        <v>13</v>
      </c>
      <c r="D2906" s="2" t="str">
        <f aca="false">IF(3キー同時!$B$370="","",3キー同時!$B$370)</f>
        <v/>
      </c>
      <c r="E2906" s="2" t="str">
        <f aca="false">IF(3キー同時!$G$370="","",3キー同時!$G$370)</f>
        <v/>
      </c>
      <c r="F2906" s="2" t="str">
        <f aca="false">""</f>
        <v/>
      </c>
      <c r="G2906" s="2" t="str">
        <f aca="false">IF(OR(3キー同時!$B$370="",3キー同時!$G$370=""),"",IF(3キー同時!L374="","",SUBSTITUTE(SUBSTITUTE(3キー同時!L374," ",""),"　","")))</f>
        <v/>
      </c>
      <c r="H2906" s="2" t="str">
        <f aca="false">IF($G2906="","",3キー同時!$B$370)</f>
        <v/>
      </c>
      <c r="I2906" s="2" t="str">
        <f aca="false">IF($G2906="","",3キー同時!$G$370)</f>
        <v/>
      </c>
      <c r="J2906" s="2" t="str">
        <f aca="false">IF($G2906="","","w")</f>
        <v/>
      </c>
      <c r="K2906" s="2" t="str">
        <f aca="false">""</f>
        <v/>
      </c>
      <c r="L2906" s="2" t="str">
        <f aca="false">IF($G2906="","","同時")</f>
        <v/>
      </c>
      <c r="M2906" s="2" t="str">
        <f aca="false">IF($G2906="","",IF(ISNA(MATCH($G2906,個別指定!$A:$A,0)),"行なし",""))</f>
        <v/>
      </c>
      <c r="N2906" s="2" t="str">
        <f aca="false">IF($G2906="","",IF(COUNTIF($G$2:$G$4460,$G2906)&gt;1,"重複",""))</f>
        <v/>
      </c>
    </row>
    <row r="2907" customFormat="false" ht="16.5" hidden="false" customHeight="true" outlineLevel="0" collapsed="false">
      <c r="A2907" s="2" t="s">
        <v>416</v>
      </c>
      <c r="B2907" s="2" t="s">
        <v>445</v>
      </c>
      <c r="C2907" s="2" t="s">
        <v>14</v>
      </c>
      <c r="D2907" s="2" t="str">
        <f aca="false">IF(3キー同時!$B$370="","",3キー同時!$B$370)</f>
        <v/>
      </c>
      <c r="E2907" s="2" t="str">
        <f aca="false">IF(3キー同時!$G$370="","",3キー同時!$G$370)</f>
        <v/>
      </c>
      <c r="F2907" s="2" t="str">
        <f aca="false">""</f>
        <v/>
      </c>
      <c r="G2907" s="2" t="str">
        <f aca="false">IF(OR(3キー同時!$B$370="",3キー同時!$G$370=""),"",IF(3キー同時!P374="","",SUBSTITUTE(SUBSTITUTE(3キー同時!P374," ",""),"　","")))</f>
        <v/>
      </c>
      <c r="H2907" s="2" t="str">
        <f aca="false">IF($G2907="","",3キー同時!$B$370)</f>
        <v/>
      </c>
      <c r="I2907" s="2" t="str">
        <f aca="false">IF($G2907="","",3キー同時!$G$370)</f>
        <v/>
      </c>
      <c r="J2907" s="2" t="str">
        <f aca="false">IF($G2907="","","e")</f>
        <v/>
      </c>
      <c r="K2907" s="2" t="str">
        <f aca="false">""</f>
        <v/>
      </c>
      <c r="L2907" s="2" t="str">
        <f aca="false">IF($G2907="","","同時")</f>
        <v/>
      </c>
      <c r="M2907" s="2" t="str">
        <f aca="false">IF($G2907="","",IF(ISNA(MATCH($G2907,個別指定!$A:$A,0)),"行なし",""))</f>
        <v/>
      </c>
      <c r="N2907" s="2" t="str">
        <f aca="false">IF($G2907="","",IF(COUNTIF($G$2:$G$4460,$G2907)&gt;1,"重複",""))</f>
        <v/>
      </c>
    </row>
    <row r="2908" customFormat="false" ht="16.5" hidden="false" customHeight="true" outlineLevel="0" collapsed="false">
      <c r="A2908" s="2" t="s">
        <v>416</v>
      </c>
      <c r="B2908" s="2" t="s">
        <v>445</v>
      </c>
      <c r="C2908" s="2" t="s">
        <v>15</v>
      </c>
      <c r="D2908" s="2" t="str">
        <f aca="false">IF(3キー同時!$B$370="","",3キー同時!$B$370)</f>
        <v/>
      </c>
      <c r="E2908" s="2" t="str">
        <f aca="false">IF(3キー同時!$G$370="","",3キー同時!$G$370)</f>
        <v/>
      </c>
      <c r="F2908" s="2" t="str">
        <f aca="false">""</f>
        <v/>
      </c>
      <c r="G2908" s="2" t="str">
        <f aca="false">IF(OR(3キー同時!$B$370="",3キー同時!$G$370=""),"",IF(3キー同時!T374="","",SUBSTITUTE(SUBSTITUTE(3キー同時!T374," ",""),"　","")))</f>
        <v/>
      </c>
      <c r="H2908" s="2" t="str">
        <f aca="false">IF($G2908="","",3キー同時!$B$370)</f>
        <v/>
      </c>
      <c r="I2908" s="2" t="str">
        <f aca="false">IF($G2908="","",3キー同時!$G$370)</f>
        <v/>
      </c>
      <c r="J2908" s="2" t="str">
        <f aca="false">IF($G2908="","","r")</f>
        <v/>
      </c>
      <c r="K2908" s="2" t="str">
        <f aca="false">""</f>
        <v/>
      </c>
      <c r="L2908" s="2" t="str">
        <f aca="false">IF($G2908="","","同時")</f>
        <v/>
      </c>
      <c r="M2908" s="2" t="str">
        <f aca="false">IF($G2908="","",IF(ISNA(MATCH($G2908,個別指定!$A:$A,0)),"行なし",""))</f>
        <v/>
      </c>
      <c r="N2908" s="2" t="str">
        <f aca="false">IF($G2908="","",IF(COUNTIF($G$2:$G$4460,$G2908)&gt;1,"重複",""))</f>
        <v/>
      </c>
    </row>
    <row r="2909" customFormat="false" ht="16.5" hidden="false" customHeight="true" outlineLevel="0" collapsed="false">
      <c r="A2909" s="2" t="s">
        <v>416</v>
      </c>
      <c r="B2909" s="2" t="s">
        <v>445</v>
      </c>
      <c r="C2909" s="2" t="s">
        <v>16</v>
      </c>
      <c r="D2909" s="2" t="str">
        <f aca="false">IF(3キー同時!$B$370="","",3キー同時!$B$370)</f>
        <v/>
      </c>
      <c r="E2909" s="2" t="str">
        <f aca="false">IF(3キー同時!$G$370="","",3キー同時!$G$370)</f>
        <v/>
      </c>
      <c r="F2909" s="2" t="str">
        <f aca="false">""</f>
        <v/>
      </c>
      <c r="G2909" s="2" t="str">
        <f aca="false">IF(OR(3キー同時!$B$370="",3キー同時!$G$370=""),"",IF(3キー同時!X374="","",SUBSTITUTE(SUBSTITUTE(3キー同時!X374," ",""),"　","")))</f>
        <v/>
      </c>
      <c r="H2909" s="2" t="str">
        <f aca="false">IF($G2909="","",3キー同時!$B$370)</f>
        <v/>
      </c>
      <c r="I2909" s="2" t="str">
        <f aca="false">IF($G2909="","",3キー同時!$G$370)</f>
        <v/>
      </c>
      <c r="J2909" s="2" t="str">
        <f aca="false">IF($G2909="","","t")</f>
        <v/>
      </c>
      <c r="K2909" s="2" t="str">
        <f aca="false">""</f>
        <v/>
      </c>
      <c r="L2909" s="2" t="str">
        <f aca="false">IF($G2909="","","同時")</f>
        <v/>
      </c>
      <c r="M2909" s="2" t="str">
        <f aca="false">IF($G2909="","",IF(ISNA(MATCH($G2909,個別指定!$A:$A,0)),"行なし",""))</f>
        <v/>
      </c>
      <c r="N2909" s="2" t="str">
        <f aca="false">IF($G2909="","",IF(COUNTIF($G$2:$G$4460,$G2909)&gt;1,"重複",""))</f>
        <v/>
      </c>
    </row>
    <row r="2910" customFormat="false" ht="16.5" hidden="false" customHeight="true" outlineLevel="0" collapsed="false">
      <c r="A2910" s="2" t="s">
        <v>416</v>
      </c>
      <c r="B2910" s="2" t="s">
        <v>445</v>
      </c>
      <c r="C2910" s="2" t="s">
        <v>17</v>
      </c>
      <c r="D2910" s="2" t="str">
        <f aca="false">IF(3キー同時!$B$370="","",3キー同時!$B$370)</f>
        <v/>
      </c>
      <c r="E2910" s="2" t="str">
        <f aca="false">IF(3キー同時!$G$370="","",3キー同時!$G$370)</f>
        <v/>
      </c>
      <c r="F2910" s="2" t="str">
        <f aca="false">""</f>
        <v/>
      </c>
      <c r="G2910" s="2" t="str">
        <f aca="false">IF(OR(3キー同時!$B$370="",3キー同時!$G$370=""),"",IF(3キー同時!AB374="","",SUBSTITUTE(SUBSTITUTE(3キー同時!AB374," ",""),"　","")))</f>
        <v/>
      </c>
      <c r="H2910" s="2" t="str">
        <f aca="false">IF($G2910="","",3キー同時!$B$370)</f>
        <v/>
      </c>
      <c r="I2910" s="2" t="str">
        <f aca="false">IF($G2910="","",3キー同時!$G$370)</f>
        <v/>
      </c>
      <c r="J2910" s="2" t="str">
        <f aca="false">IF($G2910="","","y")</f>
        <v/>
      </c>
      <c r="K2910" s="2" t="str">
        <f aca="false">""</f>
        <v/>
      </c>
      <c r="L2910" s="2" t="str">
        <f aca="false">IF($G2910="","","同時")</f>
        <v/>
      </c>
      <c r="M2910" s="2" t="str">
        <f aca="false">IF($G2910="","",IF(ISNA(MATCH($G2910,個別指定!$A:$A,0)),"行なし",""))</f>
        <v/>
      </c>
      <c r="N2910" s="2" t="str">
        <f aca="false">IF($G2910="","",IF(COUNTIF($G$2:$G$4460,$G2910)&gt;1,"重複",""))</f>
        <v/>
      </c>
    </row>
    <row r="2911" customFormat="false" ht="16.5" hidden="false" customHeight="true" outlineLevel="0" collapsed="false">
      <c r="A2911" s="2" t="s">
        <v>416</v>
      </c>
      <c r="B2911" s="2" t="s">
        <v>445</v>
      </c>
      <c r="C2911" s="2" t="s">
        <v>18</v>
      </c>
      <c r="D2911" s="2" t="str">
        <f aca="false">IF(3キー同時!$B$370="","",3キー同時!$B$370)</f>
        <v/>
      </c>
      <c r="E2911" s="2" t="str">
        <f aca="false">IF(3キー同時!$G$370="","",3キー同時!$G$370)</f>
        <v/>
      </c>
      <c r="F2911" s="2" t="str">
        <f aca="false">""</f>
        <v/>
      </c>
      <c r="G2911" s="2" t="str">
        <f aca="false">IF(OR(3キー同時!$B$370="",3キー同時!$G$370=""),"",IF(3キー同時!AF374="","",SUBSTITUTE(SUBSTITUTE(3キー同時!AF374," ",""),"　","")))</f>
        <v/>
      </c>
      <c r="H2911" s="2" t="str">
        <f aca="false">IF($G2911="","",3キー同時!$B$370)</f>
        <v/>
      </c>
      <c r="I2911" s="2" t="str">
        <f aca="false">IF($G2911="","",3キー同時!$G$370)</f>
        <v/>
      </c>
      <c r="J2911" s="2" t="str">
        <f aca="false">IF($G2911="","","u")</f>
        <v/>
      </c>
      <c r="K2911" s="2" t="str">
        <f aca="false">""</f>
        <v/>
      </c>
      <c r="L2911" s="2" t="str">
        <f aca="false">IF($G2911="","","同時")</f>
        <v/>
      </c>
      <c r="M2911" s="2" t="str">
        <f aca="false">IF($G2911="","",IF(ISNA(MATCH($G2911,個別指定!$A:$A,0)),"行なし",""))</f>
        <v/>
      </c>
      <c r="N2911" s="2" t="str">
        <f aca="false">IF($G2911="","",IF(COUNTIF($G$2:$G$4460,$G2911)&gt;1,"重複",""))</f>
        <v/>
      </c>
    </row>
    <row r="2912" customFormat="false" ht="16.5" hidden="false" customHeight="true" outlineLevel="0" collapsed="false">
      <c r="A2912" s="2" t="s">
        <v>416</v>
      </c>
      <c r="B2912" s="2" t="s">
        <v>445</v>
      </c>
      <c r="C2912" s="2" t="s">
        <v>19</v>
      </c>
      <c r="D2912" s="2" t="str">
        <f aca="false">IF(3キー同時!$B$370="","",3キー同時!$B$370)</f>
        <v/>
      </c>
      <c r="E2912" s="2" t="str">
        <f aca="false">IF(3キー同時!$G$370="","",3キー同時!$G$370)</f>
        <v/>
      </c>
      <c r="F2912" s="2" t="str">
        <f aca="false">""</f>
        <v/>
      </c>
      <c r="G2912" s="2" t="str">
        <f aca="false">IF(OR(3キー同時!$B$370="",3キー同時!$G$370=""),"",IF(3キー同時!AJ374="","",SUBSTITUTE(SUBSTITUTE(3キー同時!AJ374," ",""),"　","")))</f>
        <v/>
      </c>
      <c r="H2912" s="2" t="str">
        <f aca="false">IF($G2912="","",3キー同時!$B$370)</f>
        <v/>
      </c>
      <c r="I2912" s="2" t="str">
        <f aca="false">IF($G2912="","",3キー同時!$G$370)</f>
        <v/>
      </c>
      <c r="J2912" s="2" t="str">
        <f aca="false">IF($G2912="","","i")</f>
        <v/>
      </c>
      <c r="K2912" s="2" t="str">
        <f aca="false">""</f>
        <v/>
      </c>
      <c r="L2912" s="2" t="str">
        <f aca="false">IF($G2912="","","同時")</f>
        <v/>
      </c>
      <c r="M2912" s="2" t="str">
        <f aca="false">IF($G2912="","",IF(ISNA(MATCH($G2912,個別指定!$A:$A,0)),"行なし",""))</f>
        <v/>
      </c>
      <c r="N2912" s="2" t="str">
        <f aca="false">IF($G2912="","",IF(COUNTIF($G$2:$G$4460,$G2912)&gt;1,"重複",""))</f>
        <v/>
      </c>
    </row>
    <row r="2913" customFormat="false" ht="16.5" hidden="false" customHeight="true" outlineLevel="0" collapsed="false">
      <c r="A2913" s="2" t="s">
        <v>416</v>
      </c>
      <c r="B2913" s="2" t="s">
        <v>445</v>
      </c>
      <c r="C2913" s="2" t="s">
        <v>20</v>
      </c>
      <c r="D2913" s="2" t="str">
        <f aca="false">IF(3キー同時!$B$370="","",3キー同時!$B$370)</f>
        <v/>
      </c>
      <c r="E2913" s="2" t="str">
        <f aca="false">IF(3キー同時!$G$370="","",3キー同時!$G$370)</f>
        <v/>
      </c>
      <c r="F2913" s="2" t="str">
        <f aca="false">""</f>
        <v/>
      </c>
      <c r="G2913" s="2" t="str">
        <f aca="false">IF(OR(3キー同時!$B$370="",3キー同時!$G$370=""),"",IF(3キー同時!AN374="","",SUBSTITUTE(SUBSTITUTE(3キー同時!AN374," ",""),"　","")))</f>
        <v/>
      </c>
      <c r="H2913" s="2" t="str">
        <f aca="false">IF($G2913="","",3キー同時!$B$370)</f>
        <v/>
      </c>
      <c r="I2913" s="2" t="str">
        <f aca="false">IF($G2913="","",3キー同時!$G$370)</f>
        <v/>
      </c>
      <c r="J2913" s="2" t="str">
        <f aca="false">IF($G2913="","","o")</f>
        <v/>
      </c>
      <c r="K2913" s="2" t="str">
        <f aca="false">""</f>
        <v/>
      </c>
      <c r="L2913" s="2" t="str">
        <f aca="false">IF($G2913="","","同時")</f>
        <v/>
      </c>
      <c r="M2913" s="2" t="str">
        <f aca="false">IF($G2913="","",IF(ISNA(MATCH($G2913,個別指定!$A:$A,0)),"行なし",""))</f>
        <v/>
      </c>
      <c r="N2913" s="2" t="str">
        <f aca="false">IF($G2913="","",IF(COUNTIF($G$2:$G$4460,$G2913)&gt;1,"重複",""))</f>
        <v/>
      </c>
    </row>
    <row r="2914" customFormat="false" ht="16.5" hidden="false" customHeight="true" outlineLevel="0" collapsed="false">
      <c r="A2914" s="2" t="s">
        <v>416</v>
      </c>
      <c r="B2914" s="2" t="s">
        <v>445</v>
      </c>
      <c r="C2914" s="2" t="s">
        <v>21</v>
      </c>
      <c r="D2914" s="2" t="str">
        <f aca="false">IF(3キー同時!$B$370="","",3キー同時!$B$370)</f>
        <v/>
      </c>
      <c r="E2914" s="2" t="str">
        <f aca="false">IF(3キー同時!$G$370="","",3キー同時!$G$370)</f>
        <v/>
      </c>
      <c r="F2914" s="2" t="str">
        <f aca="false">""</f>
        <v/>
      </c>
      <c r="G2914" s="2" t="str">
        <f aca="false">IF(OR(3キー同時!$B$370="",3キー同時!$G$370=""),"",IF(3キー同時!AR374="","",SUBSTITUTE(SUBSTITUTE(3キー同時!AR374," ",""),"　","")))</f>
        <v/>
      </c>
      <c r="H2914" s="2" t="str">
        <f aca="false">IF($G2914="","",3キー同時!$B$370)</f>
        <v/>
      </c>
      <c r="I2914" s="2" t="str">
        <f aca="false">IF($G2914="","",3キー同時!$G$370)</f>
        <v/>
      </c>
      <c r="J2914" s="2" t="str">
        <f aca="false">IF($G2914="","","p")</f>
        <v/>
      </c>
      <c r="K2914" s="2" t="str">
        <f aca="false">""</f>
        <v/>
      </c>
      <c r="L2914" s="2" t="str">
        <f aca="false">IF($G2914="","","同時")</f>
        <v/>
      </c>
      <c r="M2914" s="2" t="str">
        <f aca="false">IF($G2914="","",IF(ISNA(MATCH($G2914,個別指定!$A:$A,0)),"行なし",""))</f>
        <v/>
      </c>
      <c r="N2914" s="2" t="str">
        <f aca="false">IF($G2914="","",IF(COUNTIF($G$2:$G$4460,$G2914)&gt;1,"重複",""))</f>
        <v/>
      </c>
    </row>
    <row r="2915" customFormat="false" ht="16.5" hidden="false" customHeight="true" outlineLevel="0" collapsed="false">
      <c r="A2915" s="2" t="s">
        <v>416</v>
      </c>
      <c r="B2915" s="2" t="s">
        <v>445</v>
      </c>
      <c r="C2915" s="2" t="s">
        <v>22</v>
      </c>
      <c r="D2915" s="2" t="str">
        <f aca="false">IF(3キー同時!$B$370="","",3キー同時!$B$370)</f>
        <v/>
      </c>
      <c r="E2915" s="2" t="str">
        <f aca="false">IF(3キー同時!$G$370="","",3キー同時!$G$370)</f>
        <v/>
      </c>
      <c r="F2915" s="2" t="str">
        <f aca="false">""</f>
        <v/>
      </c>
      <c r="G2915" s="2" t="str">
        <f aca="false">IF(OR(3キー同時!$B$370="",3キー同時!$G$370=""),"",IF(3キー同時!AV374="","",SUBSTITUTE(SUBSTITUTE(3キー同時!AV374," ",""),"　","")))</f>
        <v/>
      </c>
      <c r="H2915" s="2" t="str">
        <f aca="false">IF($G2915="","",3キー同時!$B$370)</f>
        <v/>
      </c>
      <c r="I2915" s="2" t="str">
        <f aca="false">IF($G2915="","",3キー同時!$G$370)</f>
        <v/>
      </c>
      <c r="J2915" s="2" t="str">
        <f aca="false">IF($G2915="","","[")</f>
        <v/>
      </c>
      <c r="K2915" s="2" t="str">
        <f aca="false">""</f>
        <v/>
      </c>
      <c r="L2915" s="2" t="str">
        <f aca="false">IF($G2915="","","同時")</f>
        <v/>
      </c>
      <c r="M2915" s="2" t="str">
        <f aca="false">IF($G2915="","",IF(ISNA(MATCH($G2915,個別指定!$A:$A,0)),"行なし",""))</f>
        <v/>
      </c>
      <c r="N2915" s="2" t="str">
        <f aca="false">IF($G2915="","",IF(COUNTIF($G$2:$G$4460,$G2915)&gt;1,"重複",""))</f>
        <v/>
      </c>
    </row>
    <row r="2916" customFormat="false" ht="16.5" hidden="false" customHeight="true" outlineLevel="0" collapsed="false">
      <c r="A2916" s="2" t="s">
        <v>416</v>
      </c>
      <c r="B2916" s="2" t="s">
        <v>445</v>
      </c>
      <c r="C2916" s="2" t="s">
        <v>23</v>
      </c>
      <c r="D2916" s="2" t="str">
        <f aca="false">IF(3キー同時!$B$370="","",3キー同時!$B$370)</f>
        <v/>
      </c>
      <c r="E2916" s="2" t="str">
        <f aca="false">IF(3キー同時!$G$370="","",3キー同時!$G$370)</f>
        <v/>
      </c>
      <c r="F2916" s="2" t="str">
        <f aca="false">""</f>
        <v/>
      </c>
      <c r="G2916" s="2" t="str">
        <f aca="false">IF(OR(3キー同時!$B$370="",3キー同時!$G$370=""),"",IF(3キー同時!AZ374="","",SUBSTITUTE(SUBSTITUTE(3キー同時!AZ374," ",""),"　","")))</f>
        <v/>
      </c>
      <c r="H2916" s="2" t="str">
        <f aca="false">IF($G2916="","",3キー同時!$B$370)</f>
        <v/>
      </c>
      <c r="I2916" s="2" t="str">
        <f aca="false">IF($G2916="","",3キー同時!$G$370)</f>
        <v/>
      </c>
      <c r="J2916" s="2" t="str">
        <f aca="false">IF($G2916="","","]")</f>
        <v/>
      </c>
      <c r="K2916" s="2" t="str">
        <f aca="false">""</f>
        <v/>
      </c>
      <c r="L2916" s="2" t="str">
        <f aca="false">IF($G2916="","","同時")</f>
        <v/>
      </c>
      <c r="M2916" s="2" t="str">
        <f aca="false">IF($G2916="","",IF(ISNA(MATCH($G2916,個別指定!$A:$A,0)),"行なし",""))</f>
        <v/>
      </c>
      <c r="N2916" s="2" t="str">
        <f aca="false">IF($G2916="","",IF(COUNTIF($G$2:$G$4460,$G2916)&gt;1,"重複",""))</f>
        <v/>
      </c>
    </row>
    <row r="2917" customFormat="false" ht="16.5" hidden="false" customHeight="true" outlineLevel="0" collapsed="false">
      <c r="A2917" s="2" t="s">
        <v>416</v>
      </c>
      <c r="B2917" s="2" t="s">
        <v>445</v>
      </c>
      <c r="C2917" s="2" t="s">
        <v>24</v>
      </c>
      <c r="D2917" s="2" t="str">
        <f aca="false">IF(3キー同時!$B$370="","",3キー同時!$B$370)</f>
        <v/>
      </c>
      <c r="E2917" s="2" t="str">
        <f aca="false">IF(3キー同時!$G$370="","",3キー同時!$G$370)</f>
        <v/>
      </c>
      <c r="F2917" s="2" t="str">
        <f aca="false">""</f>
        <v/>
      </c>
      <c r="G2917" s="2" t="str">
        <f aca="false">IF(OR(3キー同時!$B$370="",3キー同時!$G$370=""),"",IF(3キー同時!I376="","",SUBSTITUTE(SUBSTITUTE(3キー同時!I376," ",""),"　","")))</f>
        <v/>
      </c>
      <c r="H2917" s="2" t="str">
        <f aca="false">IF($G2917="","",3キー同時!$B$370)</f>
        <v/>
      </c>
      <c r="I2917" s="2" t="str">
        <f aca="false">IF($G2917="","",3キー同時!$G$370)</f>
        <v/>
      </c>
      <c r="J2917" s="2" t="str">
        <f aca="false">IF($G2917="","","a")</f>
        <v/>
      </c>
      <c r="K2917" s="2" t="str">
        <f aca="false">""</f>
        <v/>
      </c>
      <c r="L2917" s="2" t="str">
        <f aca="false">IF($G2917="","","同時")</f>
        <v/>
      </c>
      <c r="M2917" s="2" t="str">
        <f aca="false">IF($G2917="","",IF(ISNA(MATCH($G2917,個別指定!$A:$A,0)),"行なし",""))</f>
        <v/>
      </c>
      <c r="N2917" s="2" t="str">
        <f aca="false">IF($G2917="","",IF(COUNTIF($G$2:$G$4460,$G2917)&gt;1,"重複",""))</f>
        <v/>
      </c>
    </row>
    <row r="2918" customFormat="false" ht="16.5" hidden="false" customHeight="true" outlineLevel="0" collapsed="false">
      <c r="A2918" s="2" t="s">
        <v>416</v>
      </c>
      <c r="B2918" s="2" t="s">
        <v>445</v>
      </c>
      <c r="C2918" s="2" t="s">
        <v>25</v>
      </c>
      <c r="D2918" s="2" t="str">
        <f aca="false">IF(3キー同時!$B$370="","",3キー同時!$B$370)</f>
        <v/>
      </c>
      <c r="E2918" s="2" t="str">
        <f aca="false">IF(3キー同時!$G$370="","",3キー同時!$G$370)</f>
        <v/>
      </c>
      <c r="F2918" s="2" t="str">
        <f aca="false">""</f>
        <v/>
      </c>
      <c r="G2918" s="2" t="str">
        <f aca="false">IF(OR(3キー同時!$B$370="",3キー同時!$G$370=""),"",IF(3キー同時!M376="","",SUBSTITUTE(SUBSTITUTE(3キー同時!M376," ",""),"　","")))</f>
        <v/>
      </c>
      <c r="H2918" s="2" t="str">
        <f aca="false">IF($G2918="","",3キー同時!$B$370)</f>
        <v/>
      </c>
      <c r="I2918" s="2" t="str">
        <f aca="false">IF($G2918="","",3キー同時!$G$370)</f>
        <v/>
      </c>
      <c r="J2918" s="2" t="str">
        <f aca="false">IF($G2918="","","s")</f>
        <v/>
      </c>
      <c r="K2918" s="2" t="str">
        <f aca="false">""</f>
        <v/>
      </c>
      <c r="L2918" s="2" t="str">
        <f aca="false">IF($G2918="","","同時")</f>
        <v/>
      </c>
      <c r="M2918" s="2" t="str">
        <f aca="false">IF($G2918="","",IF(ISNA(MATCH($G2918,個別指定!$A:$A,0)),"行なし",""))</f>
        <v/>
      </c>
      <c r="N2918" s="2" t="str">
        <f aca="false">IF($G2918="","",IF(COUNTIF($G$2:$G$4460,$G2918)&gt;1,"重複",""))</f>
        <v/>
      </c>
    </row>
    <row r="2919" customFormat="false" ht="16.5" hidden="false" customHeight="true" outlineLevel="0" collapsed="false">
      <c r="A2919" s="2" t="s">
        <v>416</v>
      </c>
      <c r="B2919" s="2" t="s">
        <v>445</v>
      </c>
      <c r="C2919" s="2" t="s">
        <v>26</v>
      </c>
      <c r="D2919" s="2" t="str">
        <f aca="false">IF(3キー同時!$B$370="","",3キー同時!$B$370)</f>
        <v/>
      </c>
      <c r="E2919" s="2" t="str">
        <f aca="false">IF(3キー同時!$G$370="","",3キー同時!$G$370)</f>
        <v/>
      </c>
      <c r="F2919" s="2" t="str">
        <f aca="false">""</f>
        <v/>
      </c>
      <c r="G2919" s="2" t="str">
        <f aca="false">IF(OR(3キー同時!$B$370="",3キー同時!$G$370=""),"",IF(3キー同時!Q376="","",SUBSTITUTE(SUBSTITUTE(3キー同時!Q376," ",""),"　","")))</f>
        <v/>
      </c>
      <c r="H2919" s="2" t="str">
        <f aca="false">IF($G2919="","",3キー同時!$B$370)</f>
        <v/>
      </c>
      <c r="I2919" s="2" t="str">
        <f aca="false">IF($G2919="","",3キー同時!$G$370)</f>
        <v/>
      </c>
      <c r="J2919" s="2" t="str">
        <f aca="false">IF($G2919="","","d")</f>
        <v/>
      </c>
      <c r="K2919" s="2" t="str">
        <f aca="false">""</f>
        <v/>
      </c>
      <c r="L2919" s="2" t="str">
        <f aca="false">IF($G2919="","","同時")</f>
        <v/>
      </c>
      <c r="M2919" s="2" t="str">
        <f aca="false">IF($G2919="","",IF(ISNA(MATCH($G2919,個別指定!$A:$A,0)),"行なし",""))</f>
        <v/>
      </c>
      <c r="N2919" s="2" t="str">
        <f aca="false">IF($G2919="","",IF(COUNTIF($G$2:$G$4460,$G2919)&gt;1,"重複",""))</f>
        <v/>
      </c>
    </row>
    <row r="2920" customFormat="false" ht="16.5" hidden="false" customHeight="true" outlineLevel="0" collapsed="false">
      <c r="A2920" s="2" t="s">
        <v>416</v>
      </c>
      <c r="B2920" s="2" t="s">
        <v>445</v>
      </c>
      <c r="C2920" s="2" t="s">
        <v>27</v>
      </c>
      <c r="D2920" s="2" t="str">
        <f aca="false">IF(3キー同時!$B$370="","",3キー同時!$B$370)</f>
        <v/>
      </c>
      <c r="E2920" s="2" t="str">
        <f aca="false">IF(3キー同時!$G$370="","",3キー同時!$G$370)</f>
        <v/>
      </c>
      <c r="F2920" s="2" t="str">
        <f aca="false">""</f>
        <v/>
      </c>
      <c r="G2920" s="2" t="str">
        <f aca="false">IF(OR(3キー同時!$B$370="",3キー同時!$G$370=""),"",IF(3キー同時!U376="","",SUBSTITUTE(SUBSTITUTE(3キー同時!U376," ",""),"　","")))</f>
        <v/>
      </c>
      <c r="H2920" s="2" t="str">
        <f aca="false">IF($G2920="","",3キー同時!$B$370)</f>
        <v/>
      </c>
      <c r="I2920" s="2" t="str">
        <f aca="false">IF($G2920="","",3キー同時!$G$370)</f>
        <v/>
      </c>
      <c r="J2920" s="2" t="str">
        <f aca="false">IF($G2920="","","f")</f>
        <v/>
      </c>
      <c r="K2920" s="2" t="str">
        <f aca="false">""</f>
        <v/>
      </c>
      <c r="L2920" s="2" t="str">
        <f aca="false">IF($G2920="","","同時")</f>
        <v/>
      </c>
      <c r="M2920" s="2" t="str">
        <f aca="false">IF($G2920="","",IF(ISNA(MATCH($G2920,個別指定!$A:$A,0)),"行なし",""))</f>
        <v/>
      </c>
      <c r="N2920" s="2" t="str">
        <f aca="false">IF($G2920="","",IF(COUNTIF($G$2:$G$4460,$G2920)&gt;1,"重複",""))</f>
        <v/>
      </c>
    </row>
    <row r="2921" customFormat="false" ht="16.5" hidden="false" customHeight="true" outlineLevel="0" collapsed="false">
      <c r="A2921" s="2" t="s">
        <v>416</v>
      </c>
      <c r="B2921" s="2" t="s">
        <v>445</v>
      </c>
      <c r="C2921" s="2" t="s">
        <v>28</v>
      </c>
      <c r="D2921" s="2" t="str">
        <f aca="false">IF(3キー同時!$B$370="","",3キー同時!$B$370)</f>
        <v/>
      </c>
      <c r="E2921" s="2" t="str">
        <f aca="false">IF(3キー同時!$G$370="","",3キー同時!$G$370)</f>
        <v/>
      </c>
      <c r="F2921" s="2" t="str">
        <f aca="false">""</f>
        <v/>
      </c>
      <c r="G2921" s="2" t="str">
        <f aca="false">IF(OR(3キー同時!$B$370="",3キー同時!$G$370=""),"",IF(3キー同時!Y376="","",SUBSTITUTE(SUBSTITUTE(3キー同時!Y376," ",""),"　","")))</f>
        <v/>
      </c>
      <c r="H2921" s="2" t="str">
        <f aca="false">IF($G2921="","",3キー同時!$B$370)</f>
        <v/>
      </c>
      <c r="I2921" s="2" t="str">
        <f aca="false">IF($G2921="","",3キー同時!$G$370)</f>
        <v/>
      </c>
      <c r="J2921" s="2" t="str">
        <f aca="false">IF($G2921="","","g")</f>
        <v/>
      </c>
      <c r="K2921" s="2" t="str">
        <f aca="false">""</f>
        <v/>
      </c>
      <c r="L2921" s="2" t="str">
        <f aca="false">IF($G2921="","","同時")</f>
        <v/>
      </c>
      <c r="M2921" s="2" t="str">
        <f aca="false">IF($G2921="","",IF(ISNA(MATCH($G2921,個別指定!$A:$A,0)),"行なし",""))</f>
        <v/>
      </c>
      <c r="N2921" s="2" t="str">
        <f aca="false">IF($G2921="","",IF(COUNTIF($G$2:$G$4460,$G2921)&gt;1,"重複",""))</f>
        <v/>
      </c>
    </row>
    <row r="2922" customFormat="false" ht="16.5" hidden="false" customHeight="true" outlineLevel="0" collapsed="false">
      <c r="A2922" s="2" t="s">
        <v>416</v>
      </c>
      <c r="B2922" s="2" t="s">
        <v>445</v>
      </c>
      <c r="C2922" s="2" t="s">
        <v>29</v>
      </c>
      <c r="D2922" s="2" t="str">
        <f aca="false">IF(3キー同時!$B$370="","",3キー同時!$B$370)</f>
        <v/>
      </c>
      <c r="E2922" s="2" t="str">
        <f aca="false">IF(3キー同時!$G$370="","",3キー同時!$G$370)</f>
        <v/>
      </c>
      <c r="F2922" s="2" t="str">
        <f aca="false">""</f>
        <v/>
      </c>
      <c r="G2922" s="2" t="str">
        <f aca="false">IF(OR(3キー同時!$B$370="",3キー同時!$G$370=""),"",IF(3キー同時!AC376="","",SUBSTITUTE(SUBSTITUTE(3キー同時!AC376," ",""),"　","")))</f>
        <v/>
      </c>
      <c r="H2922" s="2" t="str">
        <f aca="false">IF($G2922="","",3キー同時!$B$370)</f>
        <v/>
      </c>
      <c r="I2922" s="2" t="str">
        <f aca="false">IF($G2922="","",3キー同時!$G$370)</f>
        <v/>
      </c>
      <c r="J2922" s="2" t="str">
        <f aca="false">IF($G2922="","","h")</f>
        <v/>
      </c>
      <c r="K2922" s="2" t="str">
        <f aca="false">""</f>
        <v/>
      </c>
      <c r="L2922" s="2" t="str">
        <f aca="false">IF($G2922="","","同時")</f>
        <v/>
      </c>
      <c r="M2922" s="2" t="str">
        <f aca="false">IF($G2922="","",IF(ISNA(MATCH($G2922,個別指定!$A:$A,0)),"行なし",""))</f>
        <v/>
      </c>
      <c r="N2922" s="2" t="str">
        <f aca="false">IF($G2922="","",IF(COUNTIF($G$2:$G$4460,$G2922)&gt;1,"重複",""))</f>
        <v/>
      </c>
    </row>
    <row r="2923" customFormat="false" ht="16.5" hidden="false" customHeight="true" outlineLevel="0" collapsed="false">
      <c r="A2923" s="2" t="s">
        <v>416</v>
      </c>
      <c r="B2923" s="2" t="s">
        <v>445</v>
      </c>
      <c r="C2923" s="2" t="s">
        <v>30</v>
      </c>
      <c r="D2923" s="2" t="str">
        <f aca="false">IF(3キー同時!$B$370="","",3キー同時!$B$370)</f>
        <v/>
      </c>
      <c r="E2923" s="2" t="str">
        <f aca="false">IF(3キー同時!$G$370="","",3キー同時!$G$370)</f>
        <v/>
      </c>
      <c r="F2923" s="2" t="str">
        <f aca="false">""</f>
        <v/>
      </c>
      <c r="G2923" s="2" t="str">
        <f aca="false">IF(OR(3キー同時!$B$370="",3キー同時!$G$370=""),"",IF(3キー同時!AG376="","",SUBSTITUTE(SUBSTITUTE(3キー同時!AG376," ",""),"　","")))</f>
        <v/>
      </c>
      <c r="H2923" s="2" t="str">
        <f aca="false">IF($G2923="","",3キー同時!$B$370)</f>
        <v/>
      </c>
      <c r="I2923" s="2" t="str">
        <f aca="false">IF($G2923="","",3キー同時!$G$370)</f>
        <v/>
      </c>
      <c r="J2923" s="2" t="str">
        <f aca="false">IF($G2923="","","j")</f>
        <v/>
      </c>
      <c r="K2923" s="2" t="str">
        <f aca="false">""</f>
        <v/>
      </c>
      <c r="L2923" s="2" t="str">
        <f aca="false">IF($G2923="","","同時")</f>
        <v/>
      </c>
      <c r="M2923" s="2" t="str">
        <f aca="false">IF($G2923="","",IF(ISNA(MATCH($G2923,個別指定!$A:$A,0)),"行なし",""))</f>
        <v/>
      </c>
      <c r="N2923" s="2" t="str">
        <f aca="false">IF($G2923="","",IF(COUNTIF($G$2:$G$4460,$G2923)&gt;1,"重複",""))</f>
        <v/>
      </c>
    </row>
    <row r="2924" customFormat="false" ht="16.5" hidden="false" customHeight="true" outlineLevel="0" collapsed="false">
      <c r="A2924" s="2" t="s">
        <v>416</v>
      </c>
      <c r="B2924" s="2" t="s">
        <v>445</v>
      </c>
      <c r="C2924" s="2" t="s">
        <v>31</v>
      </c>
      <c r="D2924" s="2" t="str">
        <f aca="false">IF(3キー同時!$B$370="","",3キー同時!$B$370)</f>
        <v/>
      </c>
      <c r="E2924" s="2" t="str">
        <f aca="false">IF(3キー同時!$G$370="","",3キー同時!$G$370)</f>
        <v/>
      </c>
      <c r="F2924" s="2" t="str">
        <f aca="false">""</f>
        <v/>
      </c>
      <c r="G2924" s="2" t="str">
        <f aca="false">IF(OR(3キー同時!$B$370="",3キー同時!$G$370=""),"",IF(3キー同時!AK376="","",SUBSTITUTE(SUBSTITUTE(3キー同時!AK376," ",""),"　","")))</f>
        <v/>
      </c>
      <c r="H2924" s="2" t="str">
        <f aca="false">IF($G2924="","",3キー同時!$B$370)</f>
        <v/>
      </c>
      <c r="I2924" s="2" t="str">
        <f aca="false">IF($G2924="","",3キー同時!$G$370)</f>
        <v/>
      </c>
      <c r="J2924" s="2" t="str">
        <f aca="false">IF($G2924="","","k")</f>
        <v/>
      </c>
      <c r="K2924" s="2" t="str">
        <f aca="false">""</f>
        <v/>
      </c>
      <c r="L2924" s="2" t="str">
        <f aca="false">IF($G2924="","","同時")</f>
        <v/>
      </c>
      <c r="M2924" s="2" t="str">
        <f aca="false">IF($G2924="","",IF(ISNA(MATCH($G2924,個別指定!$A:$A,0)),"行なし",""))</f>
        <v/>
      </c>
      <c r="N2924" s="2" t="str">
        <f aca="false">IF($G2924="","",IF(COUNTIF($G$2:$G$4460,$G2924)&gt;1,"重複",""))</f>
        <v/>
      </c>
    </row>
    <row r="2925" customFormat="false" ht="16.5" hidden="false" customHeight="true" outlineLevel="0" collapsed="false">
      <c r="A2925" s="2" t="s">
        <v>416</v>
      </c>
      <c r="B2925" s="2" t="s">
        <v>445</v>
      </c>
      <c r="C2925" s="2" t="s">
        <v>32</v>
      </c>
      <c r="D2925" s="2" t="str">
        <f aca="false">IF(3キー同時!$B$370="","",3キー同時!$B$370)</f>
        <v/>
      </c>
      <c r="E2925" s="2" t="str">
        <f aca="false">IF(3キー同時!$G$370="","",3キー同時!$G$370)</f>
        <v/>
      </c>
      <c r="F2925" s="2" t="str">
        <f aca="false">""</f>
        <v/>
      </c>
      <c r="G2925" s="2" t="str">
        <f aca="false">IF(OR(3キー同時!$B$370="",3キー同時!$G$370=""),"",IF(3キー同時!AO376="","",SUBSTITUTE(SUBSTITUTE(3キー同時!AO376," ",""),"　","")))</f>
        <v/>
      </c>
      <c r="H2925" s="2" t="str">
        <f aca="false">IF($G2925="","",3キー同時!$B$370)</f>
        <v/>
      </c>
      <c r="I2925" s="2" t="str">
        <f aca="false">IF($G2925="","",3キー同時!$G$370)</f>
        <v/>
      </c>
      <c r="J2925" s="2" t="str">
        <f aca="false">IF($G2925="","","l")</f>
        <v/>
      </c>
      <c r="K2925" s="2" t="str">
        <f aca="false">""</f>
        <v/>
      </c>
      <c r="L2925" s="2" t="str">
        <f aca="false">IF($G2925="","","同時")</f>
        <v/>
      </c>
      <c r="M2925" s="2" t="str">
        <f aca="false">IF($G2925="","",IF(ISNA(MATCH($G2925,個別指定!$A:$A,0)),"行なし",""))</f>
        <v/>
      </c>
      <c r="N2925" s="2" t="str">
        <f aca="false">IF($G2925="","",IF(COUNTIF($G$2:$G$4460,$G2925)&gt;1,"重複",""))</f>
        <v/>
      </c>
    </row>
    <row r="2926" customFormat="false" ht="16.5" hidden="false" customHeight="true" outlineLevel="0" collapsed="false">
      <c r="A2926" s="2" t="s">
        <v>416</v>
      </c>
      <c r="B2926" s="2" t="s">
        <v>445</v>
      </c>
      <c r="C2926" s="2" t="s">
        <v>33</v>
      </c>
      <c r="D2926" s="2" t="str">
        <f aca="false">IF(3キー同時!$B$370="","",3キー同時!$B$370)</f>
        <v/>
      </c>
      <c r="E2926" s="2" t="str">
        <f aca="false">IF(3キー同時!$G$370="","",3キー同時!$G$370)</f>
        <v/>
      </c>
      <c r="F2926" s="2" t="str">
        <f aca="false">""</f>
        <v/>
      </c>
      <c r="G2926" s="2" t="str">
        <f aca="false">IF(OR(3キー同時!$B$370="",3キー同時!$G$370=""),"",IF(3キー同時!AS376="","",SUBSTITUTE(SUBSTITUTE(3キー同時!AS376," ",""),"　","")))</f>
        <v/>
      </c>
      <c r="H2926" s="2" t="str">
        <f aca="false">IF($G2926="","",3キー同時!$B$370)</f>
        <v/>
      </c>
      <c r="I2926" s="2" t="str">
        <f aca="false">IF($G2926="","",3キー同時!$G$370)</f>
        <v/>
      </c>
      <c r="J2926" s="2" t="str">
        <f aca="false">IF($G2926="","",";")</f>
        <v/>
      </c>
      <c r="K2926" s="2" t="str">
        <f aca="false">""</f>
        <v/>
      </c>
      <c r="L2926" s="2" t="str">
        <f aca="false">IF($G2926="","","同時")</f>
        <v/>
      </c>
      <c r="M2926" s="2" t="str">
        <f aca="false">IF($G2926="","",IF(ISNA(MATCH($G2926,個別指定!$A:$A,0)),"行なし",""))</f>
        <v/>
      </c>
      <c r="N2926" s="2" t="str">
        <f aca="false">IF($G2926="","",IF(COUNTIF($G$2:$G$4460,$G2926)&gt;1,"重複",""))</f>
        <v/>
      </c>
    </row>
    <row r="2927" customFormat="false" ht="16.5" hidden="false" customHeight="true" outlineLevel="0" collapsed="false">
      <c r="A2927" s="2" t="s">
        <v>416</v>
      </c>
      <c r="B2927" s="2" t="s">
        <v>445</v>
      </c>
      <c r="C2927" s="2" t="s">
        <v>34</v>
      </c>
      <c r="D2927" s="2" t="str">
        <f aca="false">IF(3キー同時!$B$370="","",3キー同時!$B$370)</f>
        <v/>
      </c>
      <c r="E2927" s="2" t="str">
        <f aca="false">IF(3キー同時!$G$370="","",3キー同時!$G$370)</f>
        <v/>
      </c>
      <c r="F2927" s="2" t="str">
        <f aca="false">""</f>
        <v/>
      </c>
      <c r="G2927" s="2" t="str">
        <f aca="false">IF(OR(3キー同時!$B$370="",3キー同時!$G$370=""),"",IF(3キー同時!AW376="","",SUBSTITUTE(SUBSTITUTE(3キー同時!AW376," ",""),"　","")))</f>
        <v/>
      </c>
      <c r="H2927" s="2" t="str">
        <f aca="false">IF($G2927="","",3キー同時!$B$370)</f>
        <v/>
      </c>
      <c r="I2927" s="2" t="str">
        <f aca="false">IF($G2927="","",3キー同時!$G$370)</f>
        <v/>
      </c>
      <c r="J2927" s="2" t="str">
        <f aca="false">IF($G2927="","","'")</f>
        <v/>
      </c>
      <c r="K2927" s="2" t="str">
        <f aca="false">""</f>
        <v/>
      </c>
      <c r="L2927" s="2" t="str">
        <f aca="false">IF($G2927="","","同時")</f>
        <v/>
      </c>
      <c r="M2927" s="2" t="str">
        <f aca="false">IF($G2927="","",IF(ISNA(MATCH($G2927,個別指定!$A:$A,0)),"行なし",""))</f>
        <v/>
      </c>
      <c r="N2927" s="2" t="str">
        <f aca="false">IF($G2927="","",IF(COUNTIF($G$2:$G$4460,$G2927)&gt;1,"重複",""))</f>
        <v/>
      </c>
    </row>
    <row r="2928" customFormat="false" ht="16.5" hidden="false" customHeight="true" outlineLevel="0" collapsed="false">
      <c r="A2928" s="2" t="s">
        <v>416</v>
      </c>
      <c r="B2928" s="2" t="s">
        <v>445</v>
      </c>
      <c r="C2928" s="2" t="s">
        <v>35</v>
      </c>
      <c r="D2928" s="2" t="str">
        <f aca="false">IF(3キー同時!$B$370="","",3キー同時!$B$370)</f>
        <v/>
      </c>
      <c r="E2928" s="2" t="str">
        <f aca="false">IF(3キー同時!$G$370="","",3キー同時!$G$370)</f>
        <v/>
      </c>
      <c r="F2928" s="2" t="str">
        <f aca="false">""</f>
        <v/>
      </c>
      <c r="G2928" s="2" t="str">
        <f aca="false">IF(OR(3キー同時!$B$370="",3キー同時!$G$370=""),"",IF(3キー同時!K378="","",SUBSTITUTE(SUBSTITUTE(3キー同時!K378," ",""),"　","")))</f>
        <v/>
      </c>
      <c r="H2928" s="2" t="str">
        <f aca="false">IF($G2928="","",3キー同時!$B$370)</f>
        <v/>
      </c>
      <c r="I2928" s="2" t="str">
        <f aca="false">IF($G2928="","",3キー同時!$G$370)</f>
        <v/>
      </c>
      <c r="J2928" s="2" t="str">
        <f aca="false">IF($G2928="","","z")</f>
        <v/>
      </c>
      <c r="K2928" s="2" t="str">
        <f aca="false">""</f>
        <v/>
      </c>
      <c r="L2928" s="2" t="str">
        <f aca="false">IF($G2928="","","同時")</f>
        <v/>
      </c>
      <c r="M2928" s="2" t="str">
        <f aca="false">IF($G2928="","",IF(ISNA(MATCH($G2928,個別指定!$A:$A,0)),"行なし",""))</f>
        <v/>
      </c>
      <c r="N2928" s="2" t="str">
        <f aca="false">IF($G2928="","",IF(COUNTIF($G$2:$G$4460,$G2928)&gt;1,"重複",""))</f>
        <v/>
      </c>
    </row>
    <row r="2929" customFormat="false" ht="16.5" hidden="false" customHeight="true" outlineLevel="0" collapsed="false">
      <c r="A2929" s="2" t="s">
        <v>416</v>
      </c>
      <c r="B2929" s="2" t="s">
        <v>445</v>
      </c>
      <c r="C2929" s="2" t="s">
        <v>36</v>
      </c>
      <c r="D2929" s="2" t="str">
        <f aca="false">IF(3キー同時!$B$370="","",3キー同時!$B$370)</f>
        <v/>
      </c>
      <c r="E2929" s="2" t="str">
        <f aca="false">IF(3キー同時!$G$370="","",3キー同時!$G$370)</f>
        <v/>
      </c>
      <c r="F2929" s="2" t="str">
        <f aca="false">""</f>
        <v/>
      </c>
      <c r="G2929" s="2" t="str">
        <f aca="false">IF(OR(3キー同時!$B$370="",3キー同時!$G$370=""),"",IF(3キー同時!O378="","",SUBSTITUTE(SUBSTITUTE(3キー同時!O378," ",""),"　","")))</f>
        <v/>
      </c>
      <c r="H2929" s="2" t="str">
        <f aca="false">IF($G2929="","",3キー同時!$B$370)</f>
        <v/>
      </c>
      <c r="I2929" s="2" t="str">
        <f aca="false">IF($G2929="","",3キー同時!$G$370)</f>
        <v/>
      </c>
      <c r="J2929" s="2" t="str">
        <f aca="false">IF($G2929="","","x")</f>
        <v/>
      </c>
      <c r="K2929" s="2" t="str">
        <f aca="false">""</f>
        <v/>
      </c>
      <c r="L2929" s="2" t="str">
        <f aca="false">IF($G2929="","","同時")</f>
        <v/>
      </c>
      <c r="M2929" s="2" t="str">
        <f aca="false">IF($G2929="","",IF(ISNA(MATCH($G2929,個別指定!$A:$A,0)),"行なし",""))</f>
        <v/>
      </c>
      <c r="N2929" s="2" t="str">
        <f aca="false">IF($G2929="","",IF(COUNTIF($G$2:$G$4460,$G2929)&gt;1,"重複",""))</f>
        <v/>
      </c>
    </row>
    <row r="2930" customFormat="false" ht="16.5" hidden="false" customHeight="true" outlineLevel="0" collapsed="false">
      <c r="A2930" s="2" t="s">
        <v>416</v>
      </c>
      <c r="B2930" s="2" t="s">
        <v>445</v>
      </c>
      <c r="C2930" s="2" t="s">
        <v>37</v>
      </c>
      <c r="D2930" s="2" t="str">
        <f aca="false">IF(3キー同時!$B$370="","",3キー同時!$B$370)</f>
        <v/>
      </c>
      <c r="E2930" s="2" t="str">
        <f aca="false">IF(3キー同時!$G$370="","",3キー同時!$G$370)</f>
        <v/>
      </c>
      <c r="F2930" s="2" t="str">
        <f aca="false">""</f>
        <v/>
      </c>
      <c r="G2930" s="2" t="str">
        <f aca="false">IF(OR(3キー同時!$B$370="",3キー同時!$G$370=""),"",IF(3キー同時!S378="","",SUBSTITUTE(SUBSTITUTE(3キー同時!S378," ",""),"　","")))</f>
        <v/>
      </c>
      <c r="H2930" s="2" t="str">
        <f aca="false">IF($G2930="","",3キー同時!$B$370)</f>
        <v/>
      </c>
      <c r="I2930" s="2" t="str">
        <f aca="false">IF($G2930="","",3キー同時!$G$370)</f>
        <v/>
      </c>
      <c r="J2930" s="2" t="str">
        <f aca="false">IF($G2930="","","c")</f>
        <v/>
      </c>
      <c r="K2930" s="2" t="str">
        <f aca="false">""</f>
        <v/>
      </c>
      <c r="L2930" s="2" t="str">
        <f aca="false">IF($G2930="","","同時")</f>
        <v/>
      </c>
      <c r="M2930" s="2" t="str">
        <f aca="false">IF($G2930="","",IF(ISNA(MATCH($G2930,個別指定!$A:$A,0)),"行なし",""))</f>
        <v/>
      </c>
      <c r="N2930" s="2" t="str">
        <f aca="false">IF($G2930="","",IF(COUNTIF($G$2:$G$4460,$G2930)&gt;1,"重複",""))</f>
        <v/>
      </c>
    </row>
    <row r="2931" customFormat="false" ht="16.5" hidden="false" customHeight="true" outlineLevel="0" collapsed="false">
      <c r="A2931" s="2" t="s">
        <v>416</v>
      </c>
      <c r="B2931" s="2" t="s">
        <v>445</v>
      </c>
      <c r="C2931" s="2" t="s">
        <v>38</v>
      </c>
      <c r="D2931" s="2" t="str">
        <f aca="false">IF(3キー同時!$B$370="","",3キー同時!$B$370)</f>
        <v/>
      </c>
      <c r="E2931" s="2" t="str">
        <f aca="false">IF(3キー同時!$G$370="","",3キー同時!$G$370)</f>
        <v/>
      </c>
      <c r="F2931" s="2" t="str">
        <f aca="false">""</f>
        <v/>
      </c>
      <c r="G2931" s="2" t="str">
        <f aca="false">IF(OR(3キー同時!$B$370="",3キー同時!$G$370=""),"",IF(3キー同時!W378="","",SUBSTITUTE(SUBSTITUTE(3キー同時!W378," ",""),"　","")))</f>
        <v/>
      </c>
      <c r="H2931" s="2" t="str">
        <f aca="false">IF($G2931="","",3キー同時!$B$370)</f>
        <v/>
      </c>
      <c r="I2931" s="2" t="str">
        <f aca="false">IF($G2931="","",3キー同時!$G$370)</f>
        <v/>
      </c>
      <c r="J2931" s="2" t="str">
        <f aca="false">IF($G2931="","","v")</f>
        <v/>
      </c>
      <c r="K2931" s="2" t="str">
        <f aca="false">""</f>
        <v/>
      </c>
      <c r="L2931" s="2" t="str">
        <f aca="false">IF($G2931="","","同時")</f>
        <v/>
      </c>
      <c r="M2931" s="2" t="str">
        <f aca="false">IF($G2931="","",IF(ISNA(MATCH($G2931,個別指定!$A:$A,0)),"行なし",""))</f>
        <v/>
      </c>
      <c r="N2931" s="2" t="str">
        <f aca="false">IF($G2931="","",IF(COUNTIF($G$2:$G$4460,$G2931)&gt;1,"重複",""))</f>
        <v/>
      </c>
    </row>
    <row r="2932" customFormat="false" ht="16.5" hidden="false" customHeight="true" outlineLevel="0" collapsed="false">
      <c r="A2932" s="2" t="s">
        <v>416</v>
      </c>
      <c r="B2932" s="2" t="s">
        <v>445</v>
      </c>
      <c r="C2932" s="2" t="s">
        <v>39</v>
      </c>
      <c r="D2932" s="2" t="str">
        <f aca="false">IF(3キー同時!$B$370="","",3キー同時!$B$370)</f>
        <v/>
      </c>
      <c r="E2932" s="2" t="str">
        <f aca="false">IF(3キー同時!$G$370="","",3キー同時!$G$370)</f>
        <v/>
      </c>
      <c r="F2932" s="2" t="str">
        <f aca="false">""</f>
        <v/>
      </c>
      <c r="G2932" s="2" t="str">
        <f aca="false">IF(OR(3キー同時!$B$370="",3キー同時!$G$370=""),"",IF(3キー同時!AA378="","",SUBSTITUTE(SUBSTITUTE(3キー同時!AA378," ",""),"　","")))</f>
        <v/>
      </c>
      <c r="H2932" s="2" t="str">
        <f aca="false">IF($G2932="","",3キー同時!$B$370)</f>
        <v/>
      </c>
      <c r="I2932" s="2" t="str">
        <f aca="false">IF($G2932="","",3キー同時!$G$370)</f>
        <v/>
      </c>
      <c r="J2932" s="2" t="str">
        <f aca="false">IF($G2932="","","b")</f>
        <v/>
      </c>
      <c r="K2932" s="2" t="str">
        <f aca="false">""</f>
        <v/>
      </c>
      <c r="L2932" s="2" t="str">
        <f aca="false">IF($G2932="","","同時")</f>
        <v/>
      </c>
      <c r="M2932" s="2" t="str">
        <f aca="false">IF($G2932="","",IF(ISNA(MATCH($G2932,個別指定!$A:$A,0)),"行なし",""))</f>
        <v/>
      </c>
      <c r="N2932" s="2" t="str">
        <f aca="false">IF($G2932="","",IF(COUNTIF($G$2:$G$4460,$G2932)&gt;1,"重複",""))</f>
        <v/>
      </c>
    </row>
    <row r="2933" customFormat="false" ht="16.5" hidden="false" customHeight="true" outlineLevel="0" collapsed="false">
      <c r="A2933" s="2" t="s">
        <v>416</v>
      </c>
      <c r="B2933" s="2" t="s">
        <v>445</v>
      </c>
      <c r="C2933" s="2" t="s">
        <v>40</v>
      </c>
      <c r="D2933" s="2" t="str">
        <f aca="false">IF(3キー同時!$B$370="","",3キー同時!$B$370)</f>
        <v/>
      </c>
      <c r="E2933" s="2" t="str">
        <f aca="false">IF(3キー同時!$G$370="","",3キー同時!$G$370)</f>
        <v/>
      </c>
      <c r="F2933" s="2" t="str">
        <f aca="false">""</f>
        <v/>
      </c>
      <c r="G2933" s="2" t="str">
        <f aca="false">IF(OR(3キー同時!$B$370="",3キー同時!$G$370=""),"",IF(3キー同時!AE378="","",SUBSTITUTE(SUBSTITUTE(3キー同時!AE378," ",""),"　","")))</f>
        <v/>
      </c>
      <c r="H2933" s="2" t="str">
        <f aca="false">IF($G2933="","",3キー同時!$B$370)</f>
        <v/>
      </c>
      <c r="I2933" s="2" t="str">
        <f aca="false">IF($G2933="","",3キー同時!$G$370)</f>
        <v/>
      </c>
      <c r="J2933" s="2" t="str">
        <f aca="false">IF($G2933="","","n")</f>
        <v/>
      </c>
      <c r="K2933" s="2" t="str">
        <f aca="false">""</f>
        <v/>
      </c>
      <c r="L2933" s="2" t="str">
        <f aca="false">IF($G2933="","","同時")</f>
        <v/>
      </c>
      <c r="M2933" s="2" t="str">
        <f aca="false">IF($G2933="","",IF(ISNA(MATCH($G2933,個別指定!$A:$A,0)),"行なし",""))</f>
        <v/>
      </c>
      <c r="N2933" s="2" t="str">
        <f aca="false">IF($G2933="","",IF(COUNTIF($G$2:$G$4460,$G2933)&gt;1,"重複",""))</f>
        <v/>
      </c>
    </row>
    <row r="2934" customFormat="false" ht="16.5" hidden="false" customHeight="true" outlineLevel="0" collapsed="false">
      <c r="A2934" s="2" t="s">
        <v>416</v>
      </c>
      <c r="B2934" s="2" t="s">
        <v>445</v>
      </c>
      <c r="C2934" s="2" t="s">
        <v>41</v>
      </c>
      <c r="D2934" s="2" t="str">
        <f aca="false">IF(3キー同時!$B$370="","",3キー同時!$B$370)</f>
        <v/>
      </c>
      <c r="E2934" s="2" t="str">
        <f aca="false">IF(3キー同時!$G$370="","",3キー同時!$G$370)</f>
        <v/>
      </c>
      <c r="F2934" s="2" t="str">
        <f aca="false">""</f>
        <v/>
      </c>
      <c r="G2934" s="2" t="str">
        <f aca="false">IF(OR(3キー同時!$B$370="",3キー同時!$G$370=""),"",IF(3キー同時!AI378="","",SUBSTITUTE(SUBSTITUTE(3キー同時!AI378," ",""),"　","")))</f>
        <v/>
      </c>
      <c r="H2934" s="2" t="str">
        <f aca="false">IF($G2934="","",3キー同時!$B$370)</f>
        <v/>
      </c>
      <c r="I2934" s="2" t="str">
        <f aca="false">IF($G2934="","",3キー同時!$G$370)</f>
        <v/>
      </c>
      <c r="J2934" s="2" t="str">
        <f aca="false">IF($G2934="","","m")</f>
        <v/>
      </c>
      <c r="K2934" s="2" t="str">
        <f aca="false">""</f>
        <v/>
      </c>
      <c r="L2934" s="2" t="str">
        <f aca="false">IF($G2934="","","同時")</f>
        <v/>
      </c>
      <c r="M2934" s="2" t="str">
        <f aca="false">IF($G2934="","",IF(ISNA(MATCH($G2934,個別指定!$A:$A,0)),"行なし",""))</f>
        <v/>
      </c>
      <c r="N2934" s="2" t="str">
        <f aca="false">IF($G2934="","",IF(COUNTIF($G$2:$G$4460,$G2934)&gt;1,"重複",""))</f>
        <v/>
      </c>
    </row>
    <row r="2935" customFormat="false" ht="16.5" hidden="false" customHeight="true" outlineLevel="0" collapsed="false">
      <c r="A2935" s="2" t="s">
        <v>416</v>
      </c>
      <c r="B2935" s="2" t="s">
        <v>445</v>
      </c>
      <c r="C2935" s="2" t="s">
        <v>42</v>
      </c>
      <c r="D2935" s="2" t="str">
        <f aca="false">IF(3キー同時!$B$370="","",3キー同時!$B$370)</f>
        <v/>
      </c>
      <c r="E2935" s="2" t="str">
        <f aca="false">IF(3キー同時!$G$370="","",3キー同時!$G$370)</f>
        <v/>
      </c>
      <c r="F2935" s="2" t="str">
        <f aca="false">""</f>
        <v/>
      </c>
      <c r="G2935" s="2" t="str">
        <f aca="false">IF(OR(3キー同時!$B$370="",3キー同時!$G$370=""),"",IF(3キー同時!AM378="","",SUBSTITUTE(SUBSTITUTE(3キー同時!AM378," ",""),"　","")))</f>
        <v/>
      </c>
      <c r="H2935" s="2" t="str">
        <f aca="false">IF($G2935="","",3キー同時!$B$370)</f>
        <v/>
      </c>
      <c r="I2935" s="2" t="str">
        <f aca="false">IF($G2935="","",3キー同時!$G$370)</f>
        <v/>
      </c>
      <c r="J2935" s="2" t="str">
        <f aca="false">IF($G2935="","",",")</f>
        <v/>
      </c>
      <c r="K2935" s="2" t="str">
        <f aca="false">""</f>
        <v/>
      </c>
      <c r="L2935" s="2" t="str">
        <f aca="false">IF($G2935="","","同時")</f>
        <v/>
      </c>
      <c r="M2935" s="2" t="str">
        <f aca="false">IF($G2935="","",IF(ISNA(MATCH($G2935,個別指定!$A:$A,0)),"行なし",""))</f>
        <v/>
      </c>
      <c r="N2935" s="2" t="str">
        <f aca="false">IF($G2935="","",IF(COUNTIF($G$2:$G$4460,$G2935)&gt;1,"重複",""))</f>
        <v/>
      </c>
    </row>
    <row r="2936" customFormat="false" ht="16.5" hidden="false" customHeight="true" outlineLevel="0" collapsed="false">
      <c r="A2936" s="2" t="s">
        <v>416</v>
      </c>
      <c r="B2936" s="2" t="s">
        <v>445</v>
      </c>
      <c r="C2936" s="2" t="s">
        <v>43</v>
      </c>
      <c r="D2936" s="2" t="str">
        <f aca="false">IF(3キー同時!$B$370="","",3キー同時!$B$370)</f>
        <v/>
      </c>
      <c r="E2936" s="2" t="str">
        <f aca="false">IF(3キー同時!$G$370="","",3キー同時!$G$370)</f>
        <v/>
      </c>
      <c r="F2936" s="2" t="str">
        <f aca="false">""</f>
        <v/>
      </c>
      <c r="G2936" s="2" t="str">
        <f aca="false">IF(OR(3キー同時!$B$370="",3キー同時!$G$370=""),"",IF(3キー同時!AQ378="","",SUBSTITUTE(SUBSTITUTE(3キー同時!AQ378," ",""),"　","")))</f>
        <v/>
      </c>
      <c r="H2936" s="2" t="str">
        <f aca="false">IF($G2936="","",3キー同時!$B$370)</f>
        <v/>
      </c>
      <c r="I2936" s="2" t="str">
        <f aca="false">IF($G2936="","",3キー同時!$G$370)</f>
        <v/>
      </c>
      <c r="J2936" s="2" t="str">
        <f aca="false">IF($G2936="","",".")</f>
        <v/>
      </c>
      <c r="K2936" s="2" t="str">
        <f aca="false">""</f>
        <v/>
      </c>
      <c r="L2936" s="2" t="str">
        <f aca="false">IF($G2936="","","同時")</f>
        <v/>
      </c>
      <c r="M2936" s="2" t="str">
        <f aca="false">IF($G2936="","",IF(ISNA(MATCH($G2936,個別指定!$A:$A,0)),"行なし",""))</f>
        <v/>
      </c>
      <c r="N2936" s="2" t="str">
        <f aca="false">IF($G2936="","",IF(COUNTIF($G$2:$G$4460,$G2936)&gt;1,"重複",""))</f>
        <v/>
      </c>
    </row>
    <row r="2937" customFormat="false" ht="16.5" hidden="false" customHeight="true" outlineLevel="0" collapsed="false">
      <c r="A2937" s="2" t="s">
        <v>416</v>
      </c>
      <c r="B2937" s="2" t="s">
        <v>445</v>
      </c>
      <c r="C2937" s="2" t="s">
        <v>44</v>
      </c>
      <c r="D2937" s="2" t="str">
        <f aca="false">IF(3キー同時!$B$370="","",3キー同時!$B$370)</f>
        <v/>
      </c>
      <c r="E2937" s="2" t="str">
        <f aca="false">IF(3キー同時!$G$370="","",3キー同時!$G$370)</f>
        <v/>
      </c>
      <c r="F2937" s="2" t="str">
        <f aca="false">""</f>
        <v/>
      </c>
      <c r="G2937" s="2" t="str">
        <f aca="false">IF(OR(3キー同時!$B$370="",3キー同時!$G$370=""),"",IF(3キー同時!AU378="","",SUBSTITUTE(SUBSTITUTE(3キー同時!AU378," ",""),"　","")))</f>
        <v/>
      </c>
      <c r="H2937" s="2" t="str">
        <f aca="false">IF($G2937="","",3キー同時!$B$370)</f>
        <v/>
      </c>
      <c r="I2937" s="2" t="str">
        <f aca="false">IF($G2937="","",3キー同時!$G$370)</f>
        <v/>
      </c>
      <c r="J2937" s="2" t="str">
        <f aca="false">IF($G2937="","","/")</f>
        <v/>
      </c>
      <c r="K2937" s="2" t="str">
        <f aca="false">""</f>
        <v/>
      </c>
      <c r="L2937" s="2" t="str">
        <f aca="false">IF($G2937="","","同時")</f>
        <v/>
      </c>
      <c r="M2937" s="2" t="str">
        <f aca="false">IF($G2937="","",IF(ISNA(MATCH($G2937,個別指定!$A:$A,0)),"行なし",""))</f>
        <v/>
      </c>
      <c r="N2937" s="2" t="str">
        <f aca="false">IF($G2937="","",IF(COUNTIF($G$2:$G$4460,$G2937)&gt;1,"重複",""))</f>
        <v/>
      </c>
    </row>
    <row r="2938" customFormat="false" ht="16.5" hidden="false" customHeight="true" outlineLevel="0" collapsed="false">
      <c r="A2938" s="2" t="s">
        <v>416</v>
      </c>
      <c r="B2938" s="2" t="s">
        <v>445</v>
      </c>
      <c r="C2938" s="2" t="s">
        <v>48</v>
      </c>
      <c r="D2938" s="2" t="str">
        <f aca="false">IF(3キー同時!$B$370="","",3キー同時!$B$370)</f>
        <v/>
      </c>
      <c r="E2938" s="2" t="str">
        <f aca="false">IF(3キー同時!$G$370="","",3キー同時!$G$370)</f>
        <v/>
      </c>
      <c r="F2938" s="2" t="str">
        <f aca="false">""</f>
        <v/>
      </c>
      <c r="G2938" s="2" t="str">
        <f aca="false">IF(OR(3キー同時!$B$370="",3キー同時!$G$370=""),"",IF(3キー同時!P380="","",SUBSTITUTE(SUBSTITUTE(3キー同時!P380," ",""),"　","")))</f>
        <v/>
      </c>
      <c r="H2938" s="2" t="str">
        <f aca="false">IF($G2938="","",3キー同時!$B$370)</f>
        <v/>
      </c>
      <c r="I2938" s="2" t="str">
        <f aca="false">IF($G2938="","",3キー同時!$G$370)</f>
        <v/>
      </c>
      <c r="J2938" s="2" t="str">
        <f aca="false">IF($G2938="","","muhenkan")</f>
        <v/>
      </c>
      <c r="K2938" s="2" t="str">
        <f aca="false">""</f>
        <v/>
      </c>
      <c r="L2938" s="2" t="str">
        <f aca="false">IF($G2938="","","同時")</f>
        <v/>
      </c>
      <c r="M2938" s="2" t="str">
        <f aca="false">IF($G2938="","",IF(ISNA(MATCH($G2938,個別指定!$A:$A,0)),"行なし",""))</f>
        <v/>
      </c>
      <c r="N2938" s="2" t="str">
        <f aca="false">IF($G2938="","",IF(COUNTIF($G$2:$G$4460,$G2938)&gt;1,"重複",""))</f>
        <v/>
      </c>
    </row>
    <row r="2939" customFormat="false" ht="16.5" hidden="false" customHeight="true" outlineLevel="0" collapsed="false">
      <c r="A2939" s="2" t="s">
        <v>416</v>
      </c>
      <c r="B2939" s="2" t="s">
        <v>445</v>
      </c>
      <c r="C2939" s="2" t="s">
        <v>50</v>
      </c>
      <c r="D2939" s="2" t="str">
        <f aca="false">IF(3キー同時!$B$370="","",3キー同時!$B$370)</f>
        <v/>
      </c>
      <c r="E2939" s="2" t="str">
        <f aca="false">IF(3キー同時!$G$370="","",3キー同時!$G$370)</f>
        <v/>
      </c>
      <c r="F2939" s="2" t="str">
        <f aca="false">""</f>
        <v/>
      </c>
      <c r="G2939" s="2" t="str">
        <f aca="false">IF(OR(3キー同時!$B$370="",3キー同時!$G$370=""),"",IF(3キー同時!T380="","",SUBSTITUTE(SUBSTITUTE(3キー同時!T380," ",""),"　","")))</f>
        <v/>
      </c>
      <c r="H2939" s="2" t="str">
        <f aca="false">IF($G2939="","",3キー同時!$B$370)</f>
        <v/>
      </c>
      <c r="I2939" s="2" t="str">
        <f aca="false">IF($G2939="","",3キー同時!$G$370)</f>
        <v/>
      </c>
      <c r="J2939" s="2" t="str">
        <f aca="false">IF($G2939="","","space")</f>
        <v/>
      </c>
      <c r="K2939" s="2" t="str">
        <f aca="false">""</f>
        <v/>
      </c>
      <c r="L2939" s="2" t="str">
        <f aca="false">IF($G2939="","","同時")</f>
        <v/>
      </c>
      <c r="M2939" s="2" t="str">
        <f aca="false">IF($G2939="","",IF(ISNA(MATCH($G2939,個別指定!$A:$A,0)),"行なし",""))</f>
        <v/>
      </c>
      <c r="N2939" s="2" t="str">
        <f aca="false">IF($G2939="","",IF(COUNTIF($G$2:$G$4460,$G2939)&gt;1,"重複",""))</f>
        <v/>
      </c>
    </row>
    <row r="2940" customFormat="false" ht="16.5" hidden="false" customHeight="true" outlineLevel="0" collapsed="false">
      <c r="A2940" s="2" t="s">
        <v>416</v>
      </c>
      <c r="B2940" s="2" t="s">
        <v>445</v>
      </c>
      <c r="C2940" s="2" t="s">
        <v>45</v>
      </c>
      <c r="D2940" s="2" t="str">
        <f aca="false">IF(3キー同時!$B$370="","",3キー同時!$B$370)</f>
        <v/>
      </c>
      <c r="E2940" s="2" t="str">
        <f aca="false">IF(3キー同時!$G$370="","",3キー同時!$G$370)</f>
        <v/>
      </c>
      <c r="F2940" s="2" t="str">
        <f aca="false">""</f>
        <v/>
      </c>
      <c r="G2940" s="2" t="str">
        <f aca="false">IF(OR(3キー同時!$B$370="",3キー同時!$G$370=""),"",IF(3キー同時!AL380="","",SUBSTITUTE(SUBSTITUTE(3キー同時!AL380," ",""),"　","")))</f>
        <v/>
      </c>
      <c r="H2940" s="2" t="str">
        <f aca="false">IF($G2940="","",3キー同時!$B$370)</f>
        <v/>
      </c>
      <c r="I2940" s="2" t="str">
        <f aca="false">IF($G2940="","",3キー同時!$G$370)</f>
        <v/>
      </c>
      <c r="J2940" s="2" t="str">
        <f aca="false">IF($G2940="","","henkan")</f>
        <v/>
      </c>
      <c r="K2940" s="2" t="str">
        <f aca="false">""</f>
        <v/>
      </c>
      <c r="L2940" s="2" t="str">
        <f aca="false">IF($G2940="","","同時")</f>
        <v/>
      </c>
      <c r="M2940" s="2" t="str">
        <f aca="false">IF($G2940="","",IF(ISNA(MATCH($G2940,個別指定!$A:$A,0)),"行なし",""))</f>
        <v/>
      </c>
      <c r="N2940" s="2" t="str">
        <f aca="false">IF($G2940="","",IF(COUNTIF($G$2:$G$4460,$G2940)&gt;1,"重複",""))</f>
        <v/>
      </c>
    </row>
    <row r="2941" customFormat="false" ht="16.5" hidden="false" customHeight="true" outlineLevel="0" collapsed="false">
      <c r="A2941" s="2" t="s">
        <v>416</v>
      </c>
      <c r="B2941" s="2" t="s">
        <v>445</v>
      </c>
      <c r="C2941" s="2" t="s">
        <v>46</v>
      </c>
      <c r="D2941" s="2" t="str">
        <f aca="false">IF(3キー同時!$B$370="","",3キー同時!$B$370)</f>
        <v/>
      </c>
      <c r="E2941" s="2" t="str">
        <f aca="false">IF(3キー同時!$G$370="","",3キー同時!$G$370)</f>
        <v/>
      </c>
      <c r="F2941" s="2" t="str">
        <f aca="false">""</f>
        <v/>
      </c>
      <c r="G2941" s="2" t="str">
        <f aca="false">IF(OR(3キー同時!$B$370="",3キー同時!$G$370=""),"",IF(3キー同時!AP380="","",SUBSTITUTE(SUBSTITUTE(3キー同時!AP380," ",""),"　","")))</f>
        <v/>
      </c>
      <c r="H2941" s="2" t="str">
        <f aca="false">IF($G2941="","",3キー同時!$B$370)</f>
        <v/>
      </c>
      <c r="I2941" s="2" t="str">
        <f aca="false">IF($G2941="","",3キー同時!$G$370)</f>
        <v/>
      </c>
      <c r="J2941" s="2" t="str">
        <f aca="false">IF($G2941="","","kana")</f>
        <v/>
      </c>
      <c r="K2941" s="2" t="str">
        <f aca="false">""</f>
        <v/>
      </c>
      <c r="L2941" s="2" t="str">
        <f aca="false">IF($G2941="","","同時")</f>
        <v/>
      </c>
      <c r="M2941" s="2" t="str">
        <f aca="false">IF($G2941="","",IF(ISNA(MATCH($G2941,個別指定!$A:$A,0)),"行なし",""))</f>
        <v/>
      </c>
      <c r="N2941" s="2" t="str">
        <f aca="false">IF($G2941="","",IF(COUNTIF($G$2:$G$4460,$G2941)&gt;1,"重複",""))</f>
        <v/>
      </c>
    </row>
    <row r="2942" customFormat="false" ht="16.5" hidden="false" customHeight="true" outlineLevel="0" collapsed="false">
      <c r="A2942" s="2" t="s">
        <v>416</v>
      </c>
      <c r="B2942" s="2" t="s">
        <v>446</v>
      </c>
      <c r="C2942" s="2" t="s">
        <v>0</v>
      </c>
      <c r="D2942" s="2" t="str">
        <f aca="false">IF(3キー同時!$B$383="","",3キー同時!$B$383)</f>
        <v/>
      </c>
      <c r="E2942" s="2" t="str">
        <f aca="false">IF(3キー同時!$G$383="","",3キー同時!$G$383)</f>
        <v/>
      </c>
      <c r="F2942" s="2" t="str">
        <f aca="false">""</f>
        <v/>
      </c>
      <c r="G2942" s="2" t="str">
        <f aca="false">IF(OR(3キー同時!$B$383="",3キー同時!$G$383=""),"",IF(3キー同時!F385="","",SUBSTITUTE(SUBSTITUTE(3キー同時!F385," ",""),"　","")))</f>
        <v/>
      </c>
      <c r="H2942" s="2" t="str">
        <f aca="false">IF($G2942="","",3キー同時!$B$383)</f>
        <v/>
      </c>
      <c r="I2942" s="2" t="str">
        <f aca="false">IF($G2942="","",3キー同時!$G$383)</f>
        <v/>
      </c>
      <c r="J2942" s="2" t="str">
        <f aca="false">IF($G2942="","","1")</f>
        <v/>
      </c>
      <c r="K2942" s="2" t="str">
        <f aca="false">""</f>
        <v/>
      </c>
      <c r="L2942" s="2" t="str">
        <f aca="false">IF($G2942="","","同時")</f>
        <v/>
      </c>
      <c r="M2942" s="2" t="str">
        <f aca="false">IF($G2942="","",IF(ISNA(MATCH($G2942,個別指定!$A:$A,0)),"行なし",""))</f>
        <v/>
      </c>
      <c r="N2942" s="2" t="str">
        <f aca="false">IF($G2942="","",IF(COUNTIF($G$2:$G$4460,$G2942)&gt;1,"重複",""))</f>
        <v/>
      </c>
    </row>
    <row r="2943" customFormat="false" ht="16.5" hidden="false" customHeight="true" outlineLevel="0" collapsed="false">
      <c r="A2943" s="2" t="s">
        <v>416</v>
      </c>
      <c r="B2943" s="2" t="s">
        <v>446</v>
      </c>
      <c r="C2943" s="2" t="s">
        <v>1</v>
      </c>
      <c r="D2943" s="2" t="str">
        <f aca="false">IF(3キー同時!$B$383="","",3キー同時!$B$383)</f>
        <v/>
      </c>
      <c r="E2943" s="2" t="str">
        <f aca="false">IF(3キー同時!$G$383="","",3キー同時!$G$383)</f>
        <v/>
      </c>
      <c r="F2943" s="2" t="str">
        <f aca="false">""</f>
        <v/>
      </c>
      <c r="G2943" s="2" t="str">
        <f aca="false">IF(OR(3キー同時!$B$383="",3キー同時!$G$383=""),"",IF(3キー同時!J385="","",SUBSTITUTE(SUBSTITUTE(3キー同時!J385," ",""),"　","")))</f>
        <v/>
      </c>
      <c r="H2943" s="2" t="str">
        <f aca="false">IF($G2943="","",3キー同時!$B$383)</f>
        <v/>
      </c>
      <c r="I2943" s="2" t="str">
        <f aca="false">IF($G2943="","",3キー同時!$G$383)</f>
        <v/>
      </c>
      <c r="J2943" s="2" t="str">
        <f aca="false">IF($G2943="","","2")</f>
        <v/>
      </c>
      <c r="K2943" s="2" t="str">
        <f aca="false">""</f>
        <v/>
      </c>
      <c r="L2943" s="2" t="str">
        <f aca="false">IF($G2943="","","同時")</f>
        <v/>
      </c>
      <c r="M2943" s="2" t="str">
        <f aca="false">IF($G2943="","",IF(ISNA(MATCH($G2943,個別指定!$A:$A,0)),"行なし",""))</f>
        <v/>
      </c>
      <c r="N2943" s="2" t="str">
        <f aca="false">IF($G2943="","",IF(COUNTIF($G$2:$G$4460,$G2943)&gt;1,"重複",""))</f>
        <v/>
      </c>
    </row>
    <row r="2944" customFormat="false" ht="16.5" hidden="false" customHeight="true" outlineLevel="0" collapsed="false">
      <c r="A2944" s="2" t="s">
        <v>416</v>
      </c>
      <c r="B2944" s="2" t="s">
        <v>446</v>
      </c>
      <c r="C2944" s="2" t="s">
        <v>2</v>
      </c>
      <c r="D2944" s="2" t="str">
        <f aca="false">IF(3キー同時!$B$383="","",3キー同時!$B$383)</f>
        <v/>
      </c>
      <c r="E2944" s="2" t="str">
        <f aca="false">IF(3キー同時!$G$383="","",3キー同時!$G$383)</f>
        <v/>
      </c>
      <c r="F2944" s="2" t="str">
        <f aca="false">""</f>
        <v/>
      </c>
      <c r="G2944" s="2" t="str">
        <f aca="false">IF(OR(3キー同時!$B$383="",3キー同時!$G$383=""),"",IF(3キー同時!N385="","",SUBSTITUTE(SUBSTITUTE(3キー同時!N385," ",""),"　","")))</f>
        <v/>
      </c>
      <c r="H2944" s="2" t="str">
        <f aca="false">IF($G2944="","",3キー同時!$B$383)</f>
        <v/>
      </c>
      <c r="I2944" s="2" t="str">
        <f aca="false">IF($G2944="","",3キー同時!$G$383)</f>
        <v/>
      </c>
      <c r="J2944" s="2" t="str">
        <f aca="false">IF($G2944="","","3")</f>
        <v/>
      </c>
      <c r="K2944" s="2" t="str">
        <f aca="false">""</f>
        <v/>
      </c>
      <c r="L2944" s="2" t="str">
        <f aca="false">IF($G2944="","","同時")</f>
        <v/>
      </c>
      <c r="M2944" s="2" t="str">
        <f aca="false">IF($G2944="","",IF(ISNA(MATCH($G2944,個別指定!$A:$A,0)),"行なし",""))</f>
        <v/>
      </c>
      <c r="N2944" s="2" t="str">
        <f aca="false">IF($G2944="","",IF(COUNTIF($G$2:$G$4460,$G2944)&gt;1,"重複",""))</f>
        <v/>
      </c>
    </row>
    <row r="2945" customFormat="false" ht="16.5" hidden="false" customHeight="true" outlineLevel="0" collapsed="false">
      <c r="A2945" s="2" t="s">
        <v>416</v>
      </c>
      <c r="B2945" s="2" t="s">
        <v>446</v>
      </c>
      <c r="C2945" s="2" t="s">
        <v>3</v>
      </c>
      <c r="D2945" s="2" t="str">
        <f aca="false">IF(3キー同時!$B$383="","",3キー同時!$B$383)</f>
        <v/>
      </c>
      <c r="E2945" s="2" t="str">
        <f aca="false">IF(3キー同時!$G$383="","",3キー同時!$G$383)</f>
        <v/>
      </c>
      <c r="F2945" s="2" t="str">
        <f aca="false">""</f>
        <v/>
      </c>
      <c r="G2945" s="2" t="str">
        <f aca="false">IF(OR(3キー同時!$B$383="",3キー同時!$G$383=""),"",IF(3キー同時!R385="","",SUBSTITUTE(SUBSTITUTE(3キー同時!R385," ",""),"　","")))</f>
        <v/>
      </c>
      <c r="H2945" s="2" t="str">
        <f aca="false">IF($G2945="","",3キー同時!$B$383)</f>
        <v/>
      </c>
      <c r="I2945" s="2" t="str">
        <f aca="false">IF($G2945="","",3キー同時!$G$383)</f>
        <v/>
      </c>
      <c r="J2945" s="2" t="str">
        <f aca="false">IF($G2945="","","4")</f>
        <v/>
      </c>
      <c r="K2945" s="2" t="str">
        <f aca="false">""</f>
        <v/>
      </c>
      <c r="L2945" s="2" t="str">
        <f aca="false">IF($G2945="","","同時")</f>
        <v/>
      </c>
      <c r="M2945" s="2" t="str">
        <f aca="false">IF($G2945="","",IF(ISNA(MATCH($G2945,個別指定!$A:$A,0)),"行なし",""))</f>
        <v/>
      </c>
      <c r="N2945" s="2" t="str">
        <f aca="false">IF($G2945="","",IF(COUNTIF($G$2:$G$4460,$G2945)&gt;1,"重複",""))</f>
        <v/>
      </c>
    </row>
    <row r="2946" customFormat="false" ht="16.5" hidden="false" customHeight="true" outlineLevel="0" collapsed="false">
      <c r="A2946" s="2" t="s">
        <v>416</v>
      </c>
      <c r="B2946" s="2" t="s">
        <v>446</v>
      </c>
      <c r="C2946" s="2" t="s">
        <v>4</v>
      </c>
      <c r="D2946" s="2" t="str">
        <f aca="false">IF(3キー同時!$B$383="","",3キー同時!$B$383)</f>
        <v/>
      </c>
      <c r="E2946" s="2" t="str">
        <f aca="false">IF(3キー同時!$G$383="","",3キー同時!$G$383)</f>
        <v/>
      </c>
      <c r="F2946" s="2" t="str">
        <f aca="false">""</f>
        <v/>
      </c>
      <c r="G2946" s="2" t="str">
        <f aca="false">IF(OR(3キー同時!$B$383="",3キー同時!$G$383=""),"",IF(3キー同時!V385="","",SUBSTITUTE(SUBSTITUTE(3キー同時!V385," ",""),"　","")))</f>
        <v/>
      </c>
      <c r="H2946" s="2" t="str">
        <f aca="false">IF($G2946="","",3キー同時!$B$383)</f>
        <v/>
      </c>
      <c r="I2946" s="2" t="str">
        <f aca="false">IF($G2946="","",3キー同時!$G$383)</f>
        <v/>
      </c>
      <c r="J2946" s="2" t="str">
        <f aca="false">IF($G2946="","","5")</f>
        <v/>
      </c>
      <c r="K2946" s="2" t="str">
        <f aca="false">""</f>
        <v/>
      </c>
      <c r="L2946" s="2" t="str">
        <f aca="false">IF($G2946="","","同時")</f>
        <v/>
      </c>
      <c r="M2946" s="2" t="str">
        <f aca="false">IF($G2946="","",IF(ISNA(MATCH($G2946,個別指定!$A:$A,0)),"行なし",""))</f>
        <v/>
      </c>
      <c r="N2946" s="2" t="str">
        <f aca="false">IF($G2946="","",IF(COUNTIF($G$2:$G$4460,$G2946)&gt;1,"重複",""))</f>
        <v/>
      </c>
    </row>
    <row r="2947" customFormat="false" ht="16.5" hidden="false" customHeight="true" outlineLevel="0" collapsed="false">
      <c r="A2947" s="2" t="s">
        <v>416</v>
      </c>
      <c r="B2947" s="2" t="s">
        <v>446</v>
      </c>
      <c r="C2947" s="2" t="s">
        <v>5</v>
      </c>
      <c r="D2947" s="2" t="str">
        <f aca="false">IF(3キー同時!$B$383="","",3キー同時!$B$383)</f>
        <v/>
      </c>
      <c r="E2947" s="2" t="str">
        <f aca="false">IF(3キー同時!$G$383="","",3キー同時!$G$383)</f>
        <v/>
      </c>
      <c r="F2947" s="2" t="str">
        <f aca="false">""</f>
        <v/>
      </c>
      <c r="G2947" s="2" t="str">
        <f aca="false">IF(OR(3キー同時!$B$383="",3キー同時!$G$383=""),"",IF(3キー同時!Z385="","",SUBSTITUTE(SUBSTITUTE(3キー同時!Z385," ",""),"　","")))</f>
        <v/>
      </c>
      <c r="H2947" s="2" t="str">
        <f aca="false">IF($G2947="","",3キー同時!$B$383)</f>
        <v/>
      </c>
      <c r="I2947" s="2" t="str">
        <f aca="false">IF($G2947="","",3キー同時!$G$383)</f>
        <v/>
      </c>
      <c r="J2947" s="2" t="str">
        <f aca="false">IF($G2947="","","6")</f>
        <v/>
      </c>
      <c r="K2947" s="2" t="str">
        <f aca="false">""</f>
        <v/>
      </c>
      <c r="L2947" s="2" t="str">
        <f aca="false">IF($G2947="","","同時")</f>
        <v/>
      </c>
      <c r="M2947" s="2" t="str">
        <f aca="false">IF($G2947="","",IF(ISNA(MATCH($G2947,個別指定!$A:$A,0)),"行なし",""))</f>
        <v/>
      </c>
      <c r="N2947" s="2" t="str">
        <f aca="false">IF($G2947="","",IF(COUNTIF($G$2:$G$4460,$G2947)&gt;1,"重複",""))</f>
        <v/>
      </c>
    </row>
    <row r="2948" customFormat="false" ht="16.5" hidden="false" customHeight="true" outlineLevel="0" collapsed="false">
      <c r="A2948" s="2" t="s">
        <v>416</v>
      </c>
      <c r="B2948" s="2" t="s">
        <v>446</v>
      </c>
      <c r="C2948" s="2" t="s">
        <v>6</v>
      </c>
      <c r="D2948" s="2" t="str">
        <f aca="false">IF(3キー同時!$B$383="","",3キー同時!$B$383)</f>
        <v/>
      </c>
      <c r="E2948" s="2" t="str">
        <f aca="false">IF(3キー同時!$G$383="","",3キー同時!$G$383)</f>
        <v/>
      </c>
      <c r="F2948" s="2" t="str">
        <f aca="false">""</f>
        <v/>
      </c>
      <c r="G2948" s="2" t="str">
        <f aca="false">IF(OR(3キー同時!$B$383="",3キー同時!$G$383=""),"",IF(3キー同時!AD385="","",SUBSTITUTE(SUBSTITUTE(3キー同時!AD385," ",""),"　","")))</f>
        <v/>
      </c>
      <c r="H2948" s="2" t="str">
        <f aca="false">IF($G2948="","",3キー同時!$B$383)</f>
        <v/>
      </c>
      <c r="I2948" s="2" t="str">
        <f aca="false">IF($G2948="","",3キー同時!$G$383)</f>
        <v/>
      </c>
      <c r="J2948" s="2" t="str">
        <f aca="false">IF($G2948="","","7")</f>
        <v/>
      </c>
      <c r="K2948" s="2" t="str">
        <f aca="false">""</f>
        <v/>
      </c>
      <c r="L2948" s="2" t="str">
        <f aca="false">IF($G2948="","","同時")</f>
        <v/>
      </c>
      <c r="M2948" s="2" t="str">
        <f aca="false">IF($G2948="","",IF(ISNA(MATCH($G2948,個別指定!$A:$A,0)),"行なし",""))</f>
        <v/>
      </c>
      <c r="N2948" s="2" t="str">
        <f aca="false">IF($G2948="","",IF(COUNTIF($G$2:$G$4460,$G2948)&gt;1,"重複",""))</f>
        <v/>
      </c>
    </row>
    <row r="2949" customFormat="false" ht="16.5" hidden="false" customHeight="true" outlineLevel="0" collapsed="false">
      <c r="A2949" s="2" t="s">
        <v>416</v>
      </c>
      <c r="B2949" s="2" t="s">
        <v>446</v>
      </c>
      <c r="C2949" s="2" t="s">
        <v>7</v>
      </c>
      <c r="D2949" s="2" t="str">
        <f aca="false">IF(3キー同時!$B$383="","",3キー同時!$B$383)</f>
        <v/>
      </c>
      <c r="E2949" s="2" t="str">
        <f aca="false">IF(3キー同時!$G$383="","",3キー同時!$G$383)</f>
        <v/>
      </c>
      <c r="F2949" s="2" t="str">
        <f aca="false">""</f>
        <v/>
      </c>
      <c r="G2949" s="2" t="str">
        <f aca="false">IF(OR(3キー同時!$B$383="",3キー同時!$G$383=""),"",IF(3キー同時!AH385="","",SUBSTITUTE(SUBSTITUTE(3キー同時!AH385," ",""),"　","")))</f>
        <v/>
      </c>
      <c r="H2949" s="2" t="str">
        <f aca="false">IF($G2949="","",3キー同時!$B$383)</f>
        <v/>
      </c>
      <c r="I2949" s="2" t="str">
        <f aca="false">IF($G2949="","",3キー同時!$G$383)</f>
        <v/>
      </c>
      <c r="J2949" s="2" t="str">
        <f aca="false">IF($G2949="","","8")</f>
        <v/>
      </c>
      <c r="K2949" s="2" t="str">
        <f aca="false">""</f>
        <v/>
      </c>
      <c r="L2949" s="2" t="str">
        <f aca="false">IF($G2949="","","同時")</f>
        <v/>
      </c>
      <c r="M2949" s="2" t="str">
        <f aca="false">IF($G2949="","",IF(ISNA(MATCH($G2949,個別指定!$A:$A,0)),"行なし",""))</f>
        <v/>
      </c>
      <c r="N2949" s="2" t="str">
        <f aca="false">IF($G2949="","",IF(COUNTIF($G$2:$G$4460,$G2949)&gt;1,"重複",""))</f>
        <v/>
      </c>
    </row>
    <row r="2950" customFormat="false" ht="16.5" hidden="false" customHeight="true" outlineLevel="0" collapsed="false">
      <c r="A2950" s="2" t="s">
        <v>416</v>
      </c>
      <c r="B2950" s="2" t="s">
        <v>446</v>
      </c>
      <c r="C2950" s="2" t="s">
        <v>8</v>
      </c>
      <c r="D2950" s="2" t="str">
        <f aca="false">IF(3キー同時!$B$383="","",3キー同時!$B$383)</f>
        <v/>
      </c>
      <c r="E2950" s="2" t="str">
        <f aca="false">IF(3キー同時!$G$383="","",3キー同時!$G$383)</f>
        <v/>
      </c>
      <c r="F2950" s="2" t="str">
        <f aca="false">""</f>
        <v/>
      </c>
      <c r="G2950" s="2" t="str">
        <f aca="false">IF(OR(3キー同時!$B$383="",3キー同時!$G$383=""),"",IF(3キー同時!AL385="","",SUBSTITUTE(SUBSTITUTE(3キー同時!AL385," ",""),"　","")))</f>
        <v/>
      </c>
      <c r="H2950" s="2" t="str">
        <f aca="false">IF($G2950="","",3キー同時!$B$383)</f>
        <v/>
      </c>
      <c r="I2950" s="2" t="str">
        <f aca="false">IF($G2950="","",3キー同時!$G$383)</f>
        <v/>
      </c>
      <c r="J2950" s="2" t="str">
        <f aca="false">IF($G2950="","","9")</f>
        <v/>
      </c>
      <c r="K2950" s="2" t="str">
        <f aca="false">""</f>
        <v/>
      </c>
      <c r="L2950" s="2" t="str">
        <f aca="false">IF($G2950="","","同時")</f>
        <v/>
      </c>
      <c r="M2950" s="2" t="str">
        <f aca="false">IF($G2950="","",IF(ISNA(MATCH($G2950,個別指定!$A:$A,0)),"行なし",""))</f>
        <v/>
      </c>
      <c r="N2950" s="2" t="str">
        <f aca="false">IF($G2950="","",IF(COUNTIF($G$2:$G$4460,$G2950)&gt;1,"重複",""))</f>
        <v/>
      </c>
    </row>
    <row r="2951" customFormat="false" ht="16.5" hidden="false" customHeight="true" outlineLevel="0" collapsed="false">
      <c r="A2951" s="2" t="s">
        <v>416</v>
      </c>
      <c r="B2951" s="2" t="s">
        <v>446</v>
      </c>
      <c r="C2951" s="2" t="s">
        <v>9</v>
      </c>
      <c r="D2951" s="2" t="str">
        <f aca="false">IF(3キー同時!$B$383="","",3キー同時!$B$383)</f>
        <v/>
      </c>
      <c r="E2951" s="2" t="str">
        <f aca="false">IF(3キー同時!$G$383="","",3キー同時!$G$383)</f>
        <v/>
      </c>
      <c r="F2951" s="2" t="str">
        <f aca="false">""</f>
        <v/>
      </c>
      <c r="G2951" s="2" t="str">
        <f aca="false">IF(OR(3キー同時!$B$383="",3キー同時!$G$383=""),"",IF(3キー同時!AP385="","",SUBSTITUTE(SUBSTITUTE(3キー同時!AP385," ",""),"　","")))</f>
        <v/>
      </c>
      <c r="H2951" s="2" t="str">
        <f aca="false">IF($G2951="","",3キー同時!$B$383)</f>
        <v/>
      </c>
      <c r="I2951" s="2" t="str">
        <f aca="false">IF($G2951="","",3キー同時!$G$383)</f>
        <v/>
      </c>
      <c r="J2951" s="2" t="str">
        <f aca="false">IF($G2951="","","0")</f>
        <v/>
      </c>
      <c r="K2951" s="2" t="str">
        <f aca="false">""</f>
        <v/>
      </c>
      <c r="L2951" s="2" t="str">
        <f aca="false">IF($G2951="","","同時")</f>
        <v/>
      </c>
      <c r="M2951" s="2" t="str">
        <f aca="false">IF($G2951="","",IF(ISNA(MATCH($G2951,個別指定!$A:$A,0)),"行なし",""))</f>
        <v/>
      </c>
      <c r="N2951" s="2" t="str">
        <f aca="false">IF($G2951="","",IF(COUNTIF($G$2:$G$4460,$G2951)&gt;1,"重複",""))</f>
        <v/>
      </c>
    </row>
    <row r="2952" customFormat="false" ht="16.5" hidden="false" customHeight="true" outlineLevel="0" collapsed="false">
      <c r="A2952" s="2" t="s">
        <v>416</v>
      </c>
      <c r="B2952" s="2" t="s">
        <v>446</v>
      </c>
      <c r="C2952" s="2" t="s">
        <v>10</v>
      </c>
      <c r="D2952" s="2" t="str">
        <f aca="false">IF(3キー同時!$B$383="","",3キー同時!$B$383)</f>
        <v/>
      </c>
      <c r="E2952" s="2" t="str">
        <f aca="false">IF(3キー同時!$G$383="","",3キー同時!$G$383)</f>
        <v/>
      </c>
      <c r="F2952" s="2" t="str">
        <f aca="false">""</f>
        <v/>
      </c>
      <c r="G2952" s="2" t="str">
        <f aca="false">IF(OR(3キー同時!$B$383="",3キー同時!$G$383=""),"",IF(3キー同時!AT385="","",SUBSTITUTE(SUBSTITUTE(3キー同時!AT385," ",""),"　","")))</f>
        <v/>
      </c>
      <c r="H2952" s="2" t="str">
        <f aca="false">IF($G2952="","",3キー同時!$B$383)</f>
        <v/>
      </c>
      <c r="I2952" s="2" t="str">
        <f aca="false">IF($G2952="","",3キー同時!$G$383)</f>
        <v/>
      </c>
      <c r="J2952" s="2" t="str">
        <f aca="false">IF($G2952="","","-")</f>
        <v/>
      </c>
      <c r="K2952" s="2" t="str">
        <f aca="false">""</f>
        <v/>
      </c>
      <c r="L2952" s="2" t="str">
        <f aca="false">IF($G2952="","","同時")</f>
        <v/>
      </c>
      <c r="M2952" s="2" t="str">
        <f aca="false">IF($G2952="","",IF(ISNA(MATCH($G2952,個別指定!$A:$A,0)),"行なし",""))</f>
        <v/>
      </c>
      <c r="N2952" s="2" t="str">
        <f aca="false">IF($G2952="","",IF(COUNTIF($G$2:$G$4460,$G2952)&gt;1,"重複",""))</f>
        <v/>
      </c>
    </row>
    <row r="2953" customFormat="false" ht="16.5" hidden="false" customHeight="true" outlineLevel="0" collapsed="false">
      <c r="A2953" s="2" t="s">
        <v>416</v>
      </c>
      <c r="B2953" s="2" t="s">
        <v>446</v>
      </c>
      <c r="C2953" s="2" t="s">
        <v>11</v>
      </c>
      <c r="D2953" s="2" t="str">
        <f aca="false">IF(3キー同時!$B$383="","",3キー同時!$B$383)</f>
        <v/>
      </c>
      <c r="E2953" s="2" t="str">
        <f aca="false">IF(3キー同時!$G$383="","",3キー同時!$G$383)</f>
        <v/>
      </c>
      <c r="F2953" s="2" t="str">
        <f aca="false">""</f>
        <v/>
      </c>
      <c r="G2953" s="2" t="str">
        <f aca="false">IF(OR(3キー同時!$B$383="",3キー同時!$G$383=""),"",IF(3キー同時!AX385="","",SUBSTITUTE(SUBSTITUTE(3キー同時!AX385," ",""),"　","")))</f>
        <v/>
      </c>
      <c r="H2953" s="2" t="str">
        <f aca="false">IF($G2953="","",3キー同時!$B$383)</f>
        <v/>
      </c>
      <c r="I2953" s="2" t="str">
        <f aca="false">IF($G2953="","",3キー同時!$G$383)</f>
        <v/>
      </c>
      <c r="J2953" s="2" t="str">
        <f aca="false">IF($G2953="","","=")</f>
        <v/>
      </c>
      <c r="K2953" s="2" t="str">
        <f aca="false">""</f>
        <v/>
      </c>
      <c r="L2953" s="2" t="str">
        <f aca="false">IF($G2953="","","同時")</f>
        <v/>
      </c>
      <c r="M2953" s="2" t="str">
        <f aca="false">IF($G2953="","",IF(ISNA(MATCH($G2953,個別指定!$A:$A,0)),"行なし",""))</f>
        <v/>
      </c>
      <c r="N2953" s="2" t="str">
        <f aca="false">IF($G2953="","",IF(COUNTIF($G$2:$G$4460,$G2953)&gt;1,"重複",""))</f>
        <v/>
      </c>
    </row>
    <row r="2954" customFormat="false" ht="16.5" hidden="false" customHeight="true" outlineLevel="0" collapsed="false">
      <c r="A2954" s="2" t="s">
        <v>416</v>
      </c>
      <c r="B2954" s="2" t="s">
        <v>446</v>
      </c>
      <c r="C2954" s="2" t="s">
        <v>12</v>
      </c>
      <c r="D2954" s="2" t="str">
        <f aca="false">IF(3キー同時!$B$383="","",3キー同時!$B$383)</f>
        <v/>
      </c>
      <c r="E2954" s="2" t="str">
        <f aca="false">IF(3キー同時!$G$383="","",3キー同時!$G$383)</f>
        <v/>
      </c>
      <c r="F2954" s="2" t="str">
        <f aca="false">""</f>
        <v/>
      </c>
      <c r="G2954" s="2" t="str">
        <f aca="false">IF(OR(3キー同時!$B$383="",3キー同時!$G$383=""),"",IF(3キー同時!H387="","",SUBSTITUTE(SUBSTITUTE(3キー同時!H387," ",""),"　","")))</f>
        <v/>
      </c>
      <c r="H2954" s="2" t="str">
        <f aca="false">IF($G2954="","",3キー同時!$B$383)</f>
        <v/>
      </c>
      <c r="I2954" s="2" t="str">
        <f aca="false">IF($G2954="","",3キー同時!$G$383)</f>
        <v/>
      </c>
      <c r="J2954" s="2" t="str">
        <f aca="false">IF($G2954="","","q")</f>
        <v/>
      </c>
      <c r="K2954" s="2" t="str">
        <f aca="false">""</f>
        <v/>
      </c>
      <c r="L2954" s="2" t="str">
        <f aca="false">IF($G2954="","","同時")</f>
        <v/>
      </c>
      <c r="M2954" s="2" t="str">
        <f aca="false">IF($G2954="","",IF(ISNA(MATCH($G2954,個別指定!$A:$A,0)),"行なし",""))</f>
        <v/>
      </c>
      <c r="N2954" s="2" t="str">
        <f aca="false">IF($G2954="","",IF(COUNTIF($G$2:$G$4460,$G2954)&gt;1,"重複",""))</f>
        <v/>
      </c>
    </row>
    <row r="2955" customFormat="false" ht="16.5" hidden="false" customHeight="true" outlineLevel="0" collapsed="false">
      <c r="A2955" s="2" t="s">
        <v>416</v>
      </c>
      <c r="B2955" s="2" t="s">
        <v>446</v>
      </c>
      <c r="C2955" s="2" t="s">
        <v>13</v>
      </c>
      <c r="D2955" s="2" t="str">
        <f aca="false">IF(3キー同時!$B$383="","",3キー同時!$B$383)</f>
        <v/>
      </c>
      <c r="E2955" s="2" t="str">
        <f aca="false">IF(3キー同時!$G$383="","",3キー同時!$G$383)</f>
        <v/>
      </c>
      <c r="F2955" s="2" t="str">
        <f aca="false">""</f>
        <v/>
      </c>
      <c r="G2955" s="2" t="str">
        <f aca="false">IF(OR(3キー同時!$B$383="",3キー同時!$G$383=""),"",IF(3キー同時!L387="","",SUBSTITUTE(SUBSTITUTE(3キー同時!L387," ",""),"　","")))</f>
        <v/>
      </c>
      <c r="H2955" s="2" t="str">
        <f aca="false">IF($G2955="","",3キー同時!$B$383)</f>
        <v/>
      </c>
      <c r="I2955" s="2" t="str">
        <f aca="false">IF($G2955="","",3キー同時!$G$383)</f>
        <v/>
      </c>
      <c r="J2955" s="2" t="str">
        <f aca="false">IF($G2955="","","w")</f>
        <v/>
      </c>
      <c r="K2955" s="2" t="str">
        <f aca="false">""</f>
        <v/>
      </c>
      <c r="L2955" s="2" t="str">
        <f aca="false">IF($G2955="","","同時")</f>
        <v/>
      </c>
      <c r="M2955" s="2" t="str">
        <f aca="false">IF($G2955="","",IF(ISNA(MATCH($G2955,個別指定!$A:$A,0)),"行なし",""))</f>
        <v/>
      </c>
      <c r="N2955" s="2" t="str">
        <f aca="false">IF($G2955="","",IF(COUNTIF($G$2:$G$4460,$G2955)&gt;1,"重複",""))</f>
        <v/>
      </c>
    </row>
    <row r="2956" customFormat="false" ht="16.5" hidden="false" customHeight="true" outlineLevel="0" collapsed="false">
      <c r="A2956" s="2" t="s">
        <v>416</v>
      </c>
      <c r="B2956" s="2" t="s">
        <v>446</v>
      </c>
      <c r="C2956" s="2" t="s">
        <v>14</v>
      </c>
      <c r="D2956" s="2" t="str">
        <f aca="false">IF(3キー同時!$B$383="","",3キー同時!$B$383)</f>
        <v/>
      </c>
      <c r="E2956" s="2" t="str">
        <f aca="false">IF(3キー同時!$G$383="","",3キー同時!$G$383)</f>
        <v/>
      </c>
      <c r="F2956" s="2" t="str">
        <f aca="false">""</f>
        <v/>
      </c>
      <c r="G2956" s="2" t="str">
        <f aca="false">IF(OR(3キー同時!$B$383="",3キー同時!$G$383=""),"",IF(3キー同時!P387="","",SUBSTITUTE(SUBSTITUTE(3キー同時!P387," ",""),"　","")))</f>
        <v/>
      </c>
      <c r="H2956" s="2" t="str">
        <f aca="false">IF($G2956="","",3キー同時!$B$383)</f>
        <v/>
      </c>
      <c r="I2956" s="2" t="str">
        <f aca="false">IF($G2956="","",3キー同時!$G$383)</f>
        <v/>
      </c>
      <c r="J2956" s="2" t="str">
        <f aca="false">IF($G2956="","","e")</f>
        <v/>
      </c>
      <c r="K2956" s="2" t="str">
        <f aca="false">""</f>
        <v/>
      </c>
      <c r="L2956" s="2" t="str">
        <f aca="false">IF($G2956="","","同時")</f>
        <v/>
      </c>
      <c r="M2956" s="2" t="str">
        <f aca="false">IF($G2956="","",IF(ISNA(MATCH($G2956,個別指定!$A:$A,0)),"行なし",""))</f>
        <v/>
      </c>
      <c r="N2956" s="2" t="str">
        <f aca="false">IF($G2956="","",IF(COUNTIF($G$2:$G$4460,$G2956)&gt;1,"重複",""))</f>
        <v/>
      </c>
    </row>
    <row r="2957" customFormat="false" ht="16.5" hidden="false" customHeight="true" outlineLevel="0" collapsed="false">
      <c r="A2957" s="2" t="s">
        <v>416</v>
      </c>
      <c r="B2957" s="2" t="s">
        <v>446</v>
      </c>
      <c r="C2957" s="2" t="s">
        <v>15</v>
      </c>
      <c r="D2957" s="2" t="str">
        <f aca="false">IF(3キー同時!$B$383="","",3キー同時!$B$383)</f>
        <v/>
      </c>
      <c r="E2957" s="2" t="str">
        <f aca="false">IF(3キー同時!$G$383="","",3キー同時!$G$383)</f>
        <v/>
      </c>
      <c r="F2957" s="2" t="str">
        <f aca="false">""</f>
        <v/>
      </c>
      <c r="G2957" s="2" t="str">
        <f aca="false">IF(OR(3キー同時!$B$383="",3キー同時!$G$383=""),"",IF(3キー同時!T387="","",SUBSTITUTE(SUBSTITUTE(3キー同時!T387," ",""),"　","")))</f>
        <v/>
      </c>
      <c r="H2957" s="2" t="str">
        <f aca="false">IF($G2957="","",3キー同時!$B$383)</f>
        <v/>
      </c>
      <c r="I2957" s="2" t="str">
        <f aca="false">IF($G2957="","",3キー同時!$G$383)</f>
        <v/>
      </c>
      <c r="J2957" s="2" t="str">
        <f aca="false">IF($G2957="","","r")</f>
        <v/>
      </c>
      <c r="K2957" s="2" t="str">
        <f aca="false">""</f>
        <v/>
      </c>
      <c r="L2957" s="2" t="str">
        <f aca="false">IF($G2957="","","同時")</f>
        <v/>
      </c>
      <c r="M2957" s="2" t="str">
        <f aca="false">IF($G2957="","",IF(ISNA(MATCH($G2957,個別指定!$A:$A,0)),"行なし",""))</f>
        <v/>
      </c>
      <c r="N2957" s="2" t="str">
        <f aca="false">IF($G2957="","",IF(COUNTIF($G$2:$G$4460,$G2957)&gt;1,"重複",""))</f>
        <v/>
      </c>
    </row>
    <row r="2958" customFormat="false" ht="16.5" hidden="false" customHeight="true" outlineLevel="0" collapsed="false">
      <c r="A2958" s="2" t="s">
        <v>416</v>
      </c>
      <c r="B2958" s="2" t="s">
        <v>446</v>
      </c>
      <c r="C2958" s="2" t="s">
        <v>16</v>
      </c>
      <c r="D2958" s="2" t="str">
        <f aca="false">IF(3キー同時!$B$383="","",3キー同時!$B$383)</f>
        <v/>
      </c>
      <c r="E2958" s="2" t="str">
        <f aca="false">IF(3キー同時!$G$383="","",3キー同時!$G$383)</f>
        <v/>
      </c>
      <c r="F2958" s="2" t="str">
        <f aca="false">""</f>
        <v/>
      </c>
      <c r="G2958" s="2" t="str">
        <f aca="false">IF(OR(3キー同時!$B$383="",3キー同時!$G$383=""),"",IF(3キー同時!X387="","",SUBSTITUTE(SUBSTITUTE(3キー同時!X387," ",""),"　","")))</f>
        <v/>
      </c>
      <c r="H2958" s="2" t="str">
        <f aca="false">IF($G2958="","",3キー同時!$B$383)</f>
        <v/>
      </c>
      <c r="I2958" s="2" t="str">
        <f aca="false">IF($G2958="","",3キー同時!$G$383)</f>
        <v/>
      </c>
      <c r="J2958" s="2" t="str">
        <f aca="false">IF($G2958="","","t")</f>
        <v/>
      </c>
      <c r="K2958" s="2" t="str">
        <f aca="false">""</f>
        <v/>
      </c>
      <c r="L2958" s="2" t="str">
        <f aca="false">IF($G2958="","","同時")</f>
        <v/>
      </c>
      <c r="M2958" s="2" t="str">
        <f aca="false">IF($G2958="","",IF(ISNA(MATCH($G2958,個別指定!$A:$A,0)),"行なし",""))</f>
        <v/>
      </c>
      <c r="N2958" s="2" t="str">
        <f aca="false">IF($G2958="","",IF(COUNTIF($G$2:$G$4460,$G2958)&gt;1,"重複",""))</f>
        <v/>
      </c>
    </row>
    <row r="2959" customFormat="false" ht="16.5" hidden="false" customHeight="true" outlineLevel="0" collapsed="false">
      <c r="A2959" s="2" t="s">
        <v>416</v>
      </c>
      <c r="B2959" s="2" t="s">
        <v>446</v>
      </c>
      <c r="C2959" s="2" t="s">
        <v>17</v>
      </c>
      <c r="D2959" s="2" t="str">
        <f aca="false">IF(3キー同時!$B$383="","",3キー同時!$B$383)</f>
        <v/>
      </c>
      <c r="E2959" s="2" t="str">
        <f aca="false">IF(3キー同時!$G$383="","",3キー同時!$G$383)</f>
        <v/>
      </c>
      <c r="F2959" s="2" t="str">
        <f aca="false">""</f>
        <v/>
      </c>
      <c r="G2959" s="2" t="str">
        <f aca="false">IF(OR(3キー同時!$B$383="",3キー同時!$G$383=""),"",IF(3キー同時!AB387="","",SUBSTITUTE(SUBSTITUTE(3キー同時!AB387," ",""),"　","")))</f>
        <v/>
      </c>
      <c r="H2959" s="2" t="str">
        <f aca="false">IF($G2959="","",3キー同時!$B$383)</f>
        <v/>
      </c>
      <c r="I2959" s="2" t="str">
        <f aca="false">IF($G2959="","",3キー同時!$G$383)</f>
        <v/>
      </c>
      <c r="J2959" s="2" t="str">
        <f aca="false">IF($G2959="","","y")</f>
        <v/>
      </c>
      <c r="K2959" s="2" t="str">
        <f aca="false">""</f>
        <v/>
      </c>
      <c r="L2959" s="2" t="str">
        <f aca="false">IF($G2959="","","同時")</f>
        <v/>
      </c>
      <c r="M2959" s="2" t="str">
        <f aca="false">IF($G2959="","",IF(ISNA(MATCH($G2959,個別指定!$A:$A,0)),"行なし",""))</f>
        <v/>
      </c>
      <c r="N2959" s="2" t="str">
        <f aca="false">IF($G2959="","",IF(COUNTIF($G$2:$G$4460,$G2959)&gt;1,"重複",""))</f>
        <v/>
      </c>
    </row>
    <row r="2960" customFormat="false" ht="16.5" hidden="false" customHeight="true" outlineLevel="0" collapsed="false">
      <c r="A2960" s="2" t="s">
        <v>416</v>
      </c>
      <c r="B2960" s="2" t="s">
        <v>446</v>
      </c>
      <c r="C2960" s="2" t="s">
        <v>18</v>
      </c>
      <c r="D2960" s="2" t="str">
        <f aca="false">IF(3キー同時!$B$383="","",3キー同時!$B$383)</f>
        <v/>
      </c>
      <c r="E2960" s="2" t="str">
        <f aca="false">IF(3キー同時!$G$383="","",3キー同時!$G$383)</f>
        <v/>
      </c>
      <c r="F2960" s="2" t="str">
        <f aca="false">""</f>
        <v/>
      </c>
      <c r="G2960" s="2" t="str">
        <f aca="false">IF(OR(3キー同時!$B$383="",3キー同時!$G$383=""),"",IF(3キー同時!AF387="","",SUBSTITUTE(SUBSTITUTE(3キー同時!AF387," ",""),"　","")))</f>
        <v/>
      </c>
      <c r="H2960" s="2" t="str">
        <f aca="false">IF($G2960="","",3キー同時!$B$383)</f>
        <v/>
      </c>
      <c r="I2960" s="2" t="str">
        <f aca="false">IF($G2960="","",3キー同時!$G$383)</f>
        <v/>
      </c>
      <c r="J2960" s="2" t="str">
        <f aca="false">IF($G2960="","","u")</f>
        <v/>
      </c>
      <c r="K2960" s="2" t="str">
        <f aca="false">""</f>
        <v/>
      </c>
      <c r="L2960" s="2" t="str">
        <f aca="false">IF($G2960="","","同時")</f>
        <v/>
      </c>
      <c r="M2960" s="2" t="str">
        <f aca="false">IF($G2960="","",IF(ISNA(MATCH($G2960,個別指定!$A:$A,0)),"行なし",""))</f>
        <v/>
      </c>
      <c r="N2960" s="2" t="str">
        <f aca="false">IF($G2960="","",IF(COUNTIF($G$2:$G$4460,$G2960)&gt;1,"重複",""))</f>
        <v/>
      </c>
    </row>
    <row r="2961" customFormat="false" ht="16.5" hidden="false" customHeight="true" outlineLevel="0" collapsed="false">
      <c r="A2961" s="2" t="s">
        <v>416</v>
      </c>
      <c r="B2961" s="2" t="s">
        <v>446</v>
      </c>
      <c r="C2961" s="2" t="s">
        <v>19</v>
      </c>
      <c r="D2961" s="2" t="str">
        <f aca="false">IF(3キー同時!$B$383="","",3キー同時!$B$383)</f>
        <v/>
      </c>
      <c r="E2961" s="2" t="str">
        <f aca="false">IF(3キー同時!$G$383="","",3キー同時!$G$383)</f>
        <v/>
      </c>
      <c r="F2961" s="2" t="str">
        <f aca="false">""</f>
        <v/>
      </c>
      <c r="G2961" s="2" t="str">
        <f aca="false">IF(OR(3キー同時!$B$383="",3キー同時!$G$383=""),"",IF(3キー同時!AJ387="","",SUBSTITUTE(SUBSTITUTE(3キー同時!AJ387," ",""),"　","")))</f>
        <v/>
      </c>
      <c r="H2961" s="2" t="str">
        <f aca="false">IF($G2961="","",3キー同時!$B$383)</f>
        <v/>
      </c>
      <c r="I2961" s="2" t="str">
        <f aca="false">IF($G2961="","",3キー同時!$G$383)</f>
        <v/>
      </c>
      <c r="J2961" s="2" t="str">
        <f aca="false">IF($G2961="","","i")</f>
        <v/>
      </c>
      <c r="K2961" s="2" t="str">
        <f aca="false">""</f>
        <v/>
      </c>
      <c r="L2961" s="2" t="str">
        <f aca="false">IF($G2961="","","同時")</f>
        <v/>
      </c>
      <c r="M2961" s="2" t="str">
        <f aca="false">IF($G2961="","",IF(ISNA(MATCH($G2961,個別指定!$A:$A,0)),"行なし",""))</f>
        <v/>
      </c>
      <c r="N2961" s="2" t="str">
        <f aca="false">IF($G2961="","",IF(COUNTIF($G$2:$G$4460,$G2961)&gt;1,"重複",""))</f>
        <v/>
      </c>
    </row>
    <row r="2962" customFormat="false" ht="16.5" hidden="false" customHeight="true" outlineLevel="0" collapsed="false">
      <c r="A2962" s="2" t="s">
        <v>416</v>
      </c>
      <c r="B2962" s="2" t="s">
        <v>446</v>
      </c>
      <c r="C2962" s="2" t="s">
        <v>20</v>
      </c>
      <c r="D2962" s="2" t="str">
        <f aca="false">IF(3キー同時!$B$383="","",3キー同時!$B$383)</f>
        <v/>
      </c>
      <c r="E2962" s="2" t="str">
        <f aca="false">IF(3キー同時!$G$383="","",3キー同時!$G$383)</f>
        <v/>
      </c>
      <c r="F2962" s="2" t="str">
        <f aca="false">""</f>
        <v/>
      </c>
      <c r="G2962" s="2" t="str">
        <f aca="false">IF(OR(3キー同時!$B$383="",3キー同時!$G$383=""),"",IF(3キー同時!AN387="","",SUBSTITUTE(SUBSTITUTE(3キー同時!AN387," ",""),"　","")))</f>
        <v/>
      </c>
      <c r="H2962" s="2" t="str">
        <f aca="false">IF($G2962="","",3キー同時!$B$383)</f>
        <v/>
      </c>
      <c r="I2962" s="2" t="str">
        <f aca="false">IF($G2962="","",3キー同時!$G$383)</f>
        <v/>
      </c>
      <c r="J2962" s="2" t="str">
        <f aca="false">IF($G2962="","","o")</f>
        <v/>
      </c>
      <c r="K2962" s="2" t="str">
        <f aca="false">""</f>
        <v/>
      </c>
      <c r="L2962" s="2" t="str">
        <f aca="false">IF($G2962="","","同時")</f>
        <v/>
      </c>
      <c r="M2962" s="2" t="str">
        <f aca="false">IF($G2962="","",IF(ISNA(MATCH($G2962,個別指定!$A:$A,0)),"行なし",""))</f>
        <v/>
      </c>
      <c r="N2962" s="2" t="str">
        <f aca="false">IF($G2962="","",IF(COUNTIF($G$2:$G$4460,$G2962)&gt;1,"重複",""))</f>
        <v/>
      </c>
    </row>
    <row r="2963" customFormat="false" ht="16.5" hidden="false" customHeight="true" outlineLevel="0" collapsed="false">
      <c r="A2963" s="2" t="s">
        <v>416</v>
      </c>
      <c r="B2963" s="2" t="s">
        <v>446</v>
      </c>
      <c r="C2963" s="2" t="s">
        <v>21</v>
      </c>
      <c r="D2963" s="2" t="str">
        <f aca="false">IF(3キー同時!$B$383="","",3キー同時!$B$383)</f>
        <v/>
      </c>
      <c r="E2963" s="2" t="str">
        <f aca="false">IF(3キー同時!$G$383="","",3キー同時!$G$383)</f>
        <v/>
      </c>
      <c r="F2963" s="2" t="str">
        <f aca="false">""</f>
        <v/>
      </c>
      <c r="G2963" s="2" t="str">
        <f aca="false">IF(OR(3キー同時!$B$383="",3キー同時!$G$383=""),"",IF(3キー同時!AR387="","",SUBSTITUTE(SUBSTITUTE(3キー同時!AR387," ",""),"　","")))</f>
        <v/>
      </c>
      <c r="H2963" s="2" t="str">
        <f aca="false">IF($G2963="","",3キー同時!$B$383)</f>
        <v/>
      </c>
      <c r="I2963" s="2" t="str">
        <f aca="false">IF($G2963="","",3キー同時!$G$383)</f>
        <v/>
      </c>
      <c r="J2963" s="2" t="str">
        <f aca="false">IF($G2963="","","p")</f>
        <v/>
      </c>
      <c r="K2963" s="2" t="str">
        <f aca="false">""</f>
        <v/>
      </c>
      <c r="L2963" s="2" t="str">
        <f aca="false">IF($G2963="","","同時")</f>
        <v/>
      </c>
      <c r="M2963" s="2" t="str">
        <f aca="false">IF($G2963="","",IF(ISNA(MATCH($G2963,個別指定!$A:$A,0)),"行なし",""))</f>
        <v/>
      </c>
      <c r="N2963" s="2" t="str">
        <f aca="false">IF($G2963="","",IF(COUNTIF($G$2:$G$4460,$G2963)&gt;1,"重複",""))</f>
        <v/>
      </c>
    </row>
    <row r="2964" customFormat="false" ht="16.5" hidden="false" customHeight="true" outlineLevel="0" collapsed="false">
      <c r="A2964" s="2" t="s">
        <v>416</v>
      </c>
      <c r="B2964" s="2" t="s">
        <v>446</v>
      </c>
      <c r="C2964" s="2" t="s">
        <v>22</v>
      </c>
      <c r="D2964" s="2" t="str">
        <f aca="false">IF(3キー同時!$B$383="","",3キー同時!$B$383)</f>
        <v/>
      </c>
      <c r="E2964" s="2" t="str">
        <f aca="false">IF(3キー同時!$G$383="","",3キー同時!$G$383)</f>
        <v/>
      </c>
      <c r="F2964" s="2" t="str">
        <f aca="false">""</f>
        <v/>
      </c>
      <c r="G2964" s="2" t="str">
        <f aca="false">IF(OR(3キー同時!$B$383="",3キー同時!$G$383=""),"",IF(3キー同時!AV387="","",SUBSTITUTE(SUBSTITUTE(3キー同時!AV387," ",""),"　","")))</f>
        <v/>
      </c>
      <c r="H2964" s="2" t="str">
        <f aca="false">IF($G2964="","",3キー同時!$B$383)</f>
        <v/>
      </c>
      <c r="I2964" s="2" t="str">
        <f aca="false">IF($G2964="","",3キー同時!$G$383)</f>
        <v/>
      </c>
      <c r="J2964" s="2" t="str">
        <f aca="false">IF($G2964="","","[")</f>
        <v/>
      </c>
      <c r="K2964" s="2" t="str">
        <f aca="false">""</f>
        <v/>
      </c>
      <c r="L2964" s="2" t="str">
        <f aca="false">IF($G2964="","","同時")</f>
        <v/>
      </c>
      <c r="M2964" s="2" t="str">
        <f aca="false">IF($G2964="","",IF(ISNA(MATCH($G2964,個別指定!$A:$A,0)),"行なし",""))</f>
        <v/>
      </c>
      <c r="N2964" s="2" t="str">
        <f aca="false">IF($G2964="","",IF(COUNTIF($G$2:$G$4460,$G2964)&gt;1,"重複",""))</f>
        <v/>
      </c>
    </row>
    <row r="2965" customFormat="false" ht="16.5" hidden="false" customHeight="true" outlineLevel="0" collapsed="false">
      <c r="A2965" s="2" t="s">
        <v>416</v>
      </c>
      <c r="B2965" s="2" t="s">
        <v>446</v>
      </c>
      <c r="C2965" s="2" t="s">
        <v>23</v>
      </c>
      <c r="D2965" s="2" t="str">
        <f aca="false">IF(3キー同時!$B$383="","",3キー同時!$B$383)</f>
        <v/>
      </c>
      <c r="E2965" s="2" t="str">
        <f aca="false">IF(3キー同時!$G$383="","",3キー同時!$G$383)</f>
        <v/>
      </c>
      <c r="F2965" s="2" t="str">
        <f aca="false">""</f>
        <v/>
      </c>
      <c r="G2965" s="2" t="str">
        <f aca="false">IF(OR(3キー同時!$B$383="",3キー同時!$G$383=""),"",IF(3キー同時!AZ387="","",SUBSTITUTE(SUBSTITUTE(3キー同時!AZ387," ",""),"　","")))</f>
        <v/>
      </c>
      <c r="H2965" s="2" t="str">
        <f aca="false">IF($G2965="","",3キー同時!$B$383)</f>
        <v/>
      </c>
      <c r="I2965" s="2" t="str">
        <f aca="false">IF($G2965="","",3キー同時!$G$383)</f>
        <v/>
      </c>
      <c r="J2965" s="2" t="str">
        <f aca="false">IF($G2965="","","]")</f>
        <v/>
      </c>
      <c r="K2965" s="2" t="str">
        <f aca="false">""</f>
        <v/>
      </c>
      <c r="L2965" s="2" t="str">
        <f aca="false">IF($G2965="","","同時")</f>
        <v/>
      </c>
      <c r="M2965" s="2" t="str">
        <f aca="false">IF($G2965="","",IF(ISNA(MATCH($G2965,個別指定!$A:$A,0)),"行なし",""))</f>
        <v/>
      </c>
      <c r="N2965" s="2" t="str">
        <f aca="false">IF($G2965="","",IF(COUNTIF($G$2:$G$4460,$G2965)&gt;1,"重複",""))</f>
        <v/>
      </c>
    </row>
    <row r="2966" customFormat="false" ht="16.5" hidden="false" customHeight="true" outlineLevel="0" collapsed="false">
      <c r="A2966" s="2" t="s">
        <v>416</v>
      </c>
      <c r="B2966" s="2" t="s">
        <v>446</v>
      </c>
      <c r="C2966" s="2" t="s">
        <v>24</v>
      </c>
      <c r="D2966" s="2" t="str">
        <f aca="false">IF(3キー同時!$B$383="","",3キー同時!$B$383)</f>
        <v/>
      </c>
      <c r="E2966" s="2" t="str">
        <f aca="false">IF(3キー同時!$G$383="","",3キー同時!$G$383)</f>
        <v/>
      </c>
      <c r="F2966" s="2" t="str">
        <f aca="false">""</f>
        <v/>
      </c>
      <c r="G2966" s="2" t="str">
        <f aca="false">IF(OR(3キー同時!$B$383="",3キー同時!$G$383=""),"",IF(3キー同時!I389="","",SUBSTITUTE(SUBSTITUTE(3キー同時!I389," ",""),"　","")))</f>
        <v/>
      </c>
      <c r="H2966" s="2" t="str">
        <f aca="false">IF($G2966="","",3キー同時!$B$383)</f>
        <v/>
      </c>
      <c r="I2966" s="2" t="str">
        <f aca="false">IF($G2966="","",3キー同時!$G$383)</f>
        <v/>
      </c>
      <c r="J2966" s="2" t="str">
        <f aca="false">IF($G2966="","","a")</f>
        <v/>
      </c>
      <c r="K2966" s="2" t="str">
        <f aca="false">""</f>
        <v/>
      </c>
      <c r="L2966" s="2" t="str">
        <f aca="false">IF($G2966="","","同時")</f>
        <v/>
      </c>
      <c r="M2966" s="2" t="str">
        <f aca="false">IF($G2966="","",IF(ISNA(MATCH($G2966,個別指定!$A:$A,0)),"行なし",""))</f>
        <v/>
      </c>
      <c r="N2966" s="2" t="str">
        <f aca="false">IF($G2966="","",IF(COUNTIF($G$2:$G$4460,$G2966)&gt;1,"重複",""))</f>
        <v/>
      </c>
    </row>
    <row r="2967" customFormat="false" ht="16.5" hidden="false" customHeight="true" outlineLevel="0" collapsed="false">
      <c r="A2967" s="2" t="s">
        <v>416</v>
      </c>
      <c r="B2967" s="2" t="s">
        <v>446</v>
      </c>
      <c r="C2967" s="2" t="s">
        <v>25</v>
      </c>
      <c r="D2967" s="2" t="str">
        <f aca="false">IF(3キー同時!$B$383="","",3キー同時!$B$383)</f>
        <v/>
      </c>
      <c r="E2967" s="2" t="str">
        <f aca="false">IF(3キー同時!$G$383="","",3キー同時!$G$383)</f>
        <v/>
      </c>
      <c r="F2967" s="2" t="str">
        <f aca="false">""</f>
        <v/>
      </c>
      <c r="G2967" s="2" t="str">
        <f aca="false">IF(OR(3キー同時!$B$383="",3キー同時!$G$383=""),"",IF(3キー同時!M389="","",SUBSTITUTE(SUBSTITUTE(3キー同時!M389," ",""),"　","")))</f>
        <v/>
      </c>
      <c r="H2967" s="2" t="str">
        <f aca="false">IF($G2967="","",3キー同時!$B$383)</f>
        <v/>
      </c>
      <c r="I2967" s="2" t="str">
        <f aca="false">IF($G2967="","",3キー同時!$G$383)</f>
        <v/>
      </c>
      <c r="J2967" s="2" t="str">
        <f aca="false">IF($G2967="","","s")</f>
        <v/>
      </c>
      <c r="K2967" s="2" t="str">
        <f aca="false">""</f>
        <v/>
      </c>
      <c r="L2967" s="2" t="str">
        <f aca="false">IF($G2967="","","同時")</f>
        <v/>
      </c>
      <c r="M2967" s="2" t="str">
        <f aca="false">IF($G2967="","",IF(ISNA(MATCH($G2967,個別指定!$A:$A,0)),"行なし",""))</f>
        <v/>
      </c>
      <c r="N2967" s="2" t="str">
        <f aca="false">IF($G2967="","",IF(COUNTIF($G$2:$G$4460,$G2967)&gt;1,"重複",""))</f>
        <v/>
      </c>
    </row>
    <row r="2968" customFormat="false" ht="16.5" hidden="false" customHeight="true" outlineLevel="0" collapsed="false">
      <c r="A2968" s="2" t="s">
        <v>416</v>
      </c>
      <c r="B2968" s="2" t="s">
        <v>446</v>
      </c>
      <c r="C2968" s="2" t="s">
        <v>26</v>
      </c>
      <c r="D2968" s="2" t="str">
        <f aca="false">IF(3キー同時!$B$383="","",3キー同時!$B$383)</f>
        <v/>
      </c>
      <c r="E2968" s="2" t="str">
        <f aca="false">IF(3キー同時!$G$383="","",3キー同時!$G$383)</f>
        <v/>
      </c>
      <c r="F2968" s="2" t="str">
        <f aca="false">""</f>
        <v/>
      </c>
      <c r="G2968" s="2" t="str">
        <f aca="false">IF(OR(3キー同時!$B$383="",3キー同時!$G$383=""),"",IF(3キー同時!Q389="","",SUBSTITUTE(SUBSTITUTE(3キー同時!Q389," ",""),"　","")))</f>
        <v/>
      </c>
      <c r="H2968" s="2" t="str">
        <f aca="false">IF($G2968="","",3キー同時!$B$383)</f>
        <v/>
      </c>
      <c r="I2968" s="2" t="str">
        <f aca="false">IF($G2968="","",3キー同時!$G$383)</f>
        <v/>
      </c>
      <c r="J2968" s="2" t="str">
        <f aca="false">IF($G2968="","","d")</f>
        <v/>
      </c>
      <c r="K2968" s="2" t="str">
        <f aca="false">""</f>
        <v/>
      </c>
      <c r="L2968" s="2" t="str">
        <f aca="false">IF($G2968="","","同時")</f>
        <v/>
      </c>
      <c r="M2968" s="2" t="str">
        <f aca="false">IF($G2968="","",IF(ISNA(MATCH($G2968,個別指定!$A:$A,0)),"行なし",""))</f>
        <v/>
      </c>
      <c r="N2968" s="2" t="str">
        <f aca="false">IF($G2968="","",IF(COUNTIF($G$2:$G$4460,$G2968)&gt;1,"重複",""))</f>
        <v/>
      </c>
    </row>
    <row r="2969" customFormat="false" ht="16.5" hidden="false" customHeight="true" outlineLevel="0" collapsed="false">
      <c r="A2969" s="2" t="s">
        <v>416</v>
      </c>
      <c r="B2969" s="2" t="s">
        <v>446</v>
      </c>
      <c r="C2969" s="2" t="s">
        <v>27</v>
      </c>
      <c r="D2969" s="2" t="str">
        <f aca="false">IF(3キー同時!$B$383="","",3キー同時!$B$383)</f>
        <v/>
      </c>
      <c r="E2969" s="2" t="str">
        <f aca="false">IF(3キー同時!$G$383="","",3キー同時!$G$383)</f>
        <v/>
      </c>
      <c r="F2969" s="2" t="str">
        <f aca="false">""</f>
        <v/>
      </c>
      <c r="G2969" s="2" t="str">
        <f aca="false">IF(OR(3キー同時!$B$383="",3キー同時!$G$383=""),"",IF(3キー同時!U389="","",SUBSTITUTE(SUBSTITUTE(3キー同時!U389," ",""),"　","")))</f>
        <v/>
      </c>
      <c r="H2969" s="2" t="str">
        <f aca="false">IF($G2969="","",3キー同時!$B$383)</f>
        <v/>
      </c>
      <c r="I2969" s="2" t="str">
        <f aca="false">IF($G2969="","",3キー同時!$G$383)</f>
        <v/>
      </c>
      <c r="J2969" s="2" t="str">
        <f aca="false">IF($G2969="","","f")</f>
        <v/>
      </c>
      <c r="K2969" s="2" t="str">
        <f aca="false">""</f>
        <v/>
      </c>
      <c r="L2969" s="2" t="str">
        <f aca="false">IF($G2969="","","同時")</f>
        <v/>
      </c>
      <c r="M2969" s="2" t="str">
        <f aca="false">IF($G2969="","",IF(ISNA(MATCH($G2969,個別指定!$A:$A,0)),"行なし",""))</f>
        <v/>
      </c>
      <c r="N2969" s="2" t="str">
        <f aca="false">IF($G2969="","",IF(COUNTIF($G$2:$G$4460,$G2969)&gt;1,"重複",""))</f>
        <v/>
      </c>
    </row>
    <row r="2970" customFormat="false" ht="16.5" hidden="false" customHeight="true" outlineLevel="0" collapsed="false">
      <c r="A2970" s="2" t="s">
        <v>416</v>
      </c>
      <c r="B2970" s="2" t="s">
        <v>446</v>
      </c>
      <c r="C2970" s="2" t="s">
        <v>28</v>
      </c>
      <c r="D2970" s="2" t="str">
        <f aca="false">IF(3キー同時!$B$383="","",3キー同時!$B$383)</f>
        <v/>
      </c>
      <c r="E2970" s="2" t="str">
        <f aca="false">IF(3キー同時!$G$383="","",3キー同時!$G$383)</f>
        <v/>
      </c>
      <c r="F2970" s="2" t="str">
        <f aca="false">""</f>
        <v/>
      </c>
      <c r="G2970" s="2" t="str">
        <f aca="false">IF(OR(3キー同時!$B$383="",3キー同時!$G$383=""),"",IF(3キー同時!Y389="","",SUBSTITUTE(SUBSTITUTE(3キー同時!Y389," ",""),"　","")))</f>
        <v/>
      </c>
      <c r="H2970" s="2" t="str">
        <f aca="false">IF($G2970="","",3キー同時!$B$383)</f>
        <v/>
      </c>
      <c r="I2970" s="2" t="str">
        <f aca="false">IF($G2970="","",3キー同時!$G$383)</f>
        <v/>
      </c>
      <c r="J2970" s="2" t="str">
        <f aca="false">IF($G2970="","","g")</f>
        <v/>
      </c>
      <c r="K2970" s="2" t="str">
        <f aca="false">""</f>
        <v/>
      </c>
      <c r="L2970" s="2" t="str">
        <f aca="false">IF($G2970="","","同時")</f>
        <v/>
      </c>
      <c r="M2970" s="2" t="str">
        <f aca="false">IF($G2970="","",IF(ISNA(MATCH($G2970,個別指定!$A:$A,0)),"行なし",""))</f>
        <v/>
      </c>
      <c r="N2970" s="2" t="str">
        <f aca="false">IF($G2970="","",IF(COUNTIF($G$2:$G$4460,$G2970)&gt;1,"重複",""))</f>
        <v/>
      </c>
    </row>
    <row r="2971" customFormat="false" ht="16.5" hidden="false" customHeight="true" outlineLevel="0" collapsed="false">
      <c r="A2971" s="2" t="s">
        <v>416</v>
      </c>
      <c r="B2971" s="2" t="s">
        <v>446</v>
      </c>
      <c r="C2971" s="2" t="s">
        <v>29</v>
      </c>
      <c r="D2971" s="2" t="str">
        <f aca="false">IF(3キー同時!$B$383="","",3キー同時!$B$383)</f>
        <v/>
      </c>
      <c r="E2971" s="2" t="str">
        <f aca="false">IF(3キー同時!$G$383="","",3キー同時!$G$383)</f>
        <v/>
      </c>
      <c r="F2971" s="2" t="str">
        <f aca="false">""</f>
        <v/>
      </c>
      <c r="G2971" s="2" t="str">
        <f aca="false">IF(OR(3キー同時!$B$383="",3キー同時!$G$383=""),"",IF(3キー同時!AC389="","",SUBSTITUTE(SUBSTITUTE(3キー同時!AC389," ",""),"　","")))</f>
        <v/>
      </c>
      <c r="H2971" s="2" t="str">
        <f aca="false">IF($G2971="","",3キー同時!$B$383)</f>
        <v/>
      </c>
      <c r="I2971" s="2" t="str">
        <f aca="false">IF($G2971="","",3キー同時!$G$383)</f>
        <v/>
      </c>
      <c r="J2971" s="2" t="str">
        <f aca="false">IF($G2971="","","h")</f>
        <v/>
      </c>
      <c r="K2971" s="2" t="str">
        <f aca="false">""</f>
        <v/>
      </c>
      <c r="L2971" s="2" t="str">
        <f aca="false">IF($G2971="","","同時")</f>
        <v/>
      </c>
      <c r="M2971" s="2" t="str">
        <f aca="false">IF($G2971="","",IF(ISNA(MATCH($G2971,個別指定!$A:$A,0)),"行なし",""))</f>
        <v/>
      </c>
      <c r="N2971" s="2" t="str">
        <f aca="false">IF($G2971="","",IF(COUNTIF($G$2:$G$4460,$G2971)&gt;1,"重複",""))</f>
        <v/>
      </c>
    </row>
    <row r="2972" customFormat="false" ht="16.5" hidden="false" customHeight="true" outlineLevel="0" collapsed="false">
      <c r="A2972" s="2" t="s">
        <v>416</v>
      </c>
      <c r="B2972" s="2" t="s">
        <v>446</v>
      </c>
      <c r="C2972" s="2" t="s">
        <v>30</v>
      </c>
      <c r="D2972" s="2" t="str">
        <f aca="false">IF(3キー同時!$B$383="","",3キー同時!$B$383)</f>
        <v/>
      </c>
      <c r="E2972" s="2" t="str">
        <f aca="false">IF(3キー同時!$G$383="","",3キー同時!$G$383)</f>
        <v/>
      </c>
      <c r="F2972" s="2" t="str">
        <f aca="false">""</f>
        <v/>
      </c>
      <c r="G2972" s="2" t="str">
        <f aca="false">IF(OR(3キー同時!$B$383="",3キー同時!$G$383=""),"",IF(3キー同時!AG389="","",SUBSTITUTE(SUBSTITUTE(3キー同時!AG389," ",""),"　","")))</f>
        <v/>
      </c>
      <c r="H2972" s="2" t="str">
        <f aca="false">IF($G2972="","",3キー同時!$B$383)</f>
        <v/>
      </c>
      <c r="I2972" s="2" t="str">
        <f aca="false">IF($G2972="","",3キー同時!$G$383)</f>
        <v/>
      </c>
      <c r="J2972" s="2" t="str">
        <f aca="false">IF($G2972="","","j")</f>
        <v/>
      </c>
      <c r="K2972" s="2" t="str">
        <f aca="false">""</f>
        <v/>
      </c>
      <c r="L2972" s="2" t="str">
        <f aca="false">IF($G2972="","","同時")</f>
        <v/>
      </c>
      <c r="M2972" s="2" t="str">
        <f aca="false">IF($G2972="","",IF(ISNA(MATCH($G2972,個別指定!$A:$A,0)),"行なし",""))</f>
        <v/>
      </c>
      <c r="N2972" s="2" t="str">
        <f aca="false">IF($G2972="","",IF(COUNTIF($G$2:$G$4460,$G2972)&gt;1,"重複",""))</f>
        <v/>
      </c>
    </row>
    <row r="2973" customFormat="false" ht="16.5" hidden="false" customHeight="true" outlineLevel="0" collapsed="false">
      <c r="A2973" s="2" t="s">
        <v>416</v>
      </c>
      <c r="B2973" s="2" t="s">
        <v>446</v>
      </c>
      <c r="C2973" s="2" t="s">
        <v>31</v>
      </c>
      <c r="D2973" s="2" t="str">
        <f aca="false">IF(3キー同時!$B$383="","",3キー同時!$B$383)</f>
        <v/>
      </c>
      <c r="E2973" s="2" t="str">
        <f aca="false">IF(3キー同時!$G$383="","",3キー同時!$G$383)</f>
        <v/>
      </c>
      <c r="F2973" s="2" t="str">
        <f aca="false">""</f>
        <v/>
      </c>
      <c r="G2973" s="2" t="str">
        <f aca="false">IF(OR(3キー同時!$B$383="",3キー同時!$G$383=""),"",IF(3キー同時!AK389="","",SUBSTITUTE(SUBSTITUTE(3キー同時!AK389," ",""),"　","")))</f>
        <v/>
      </c>
      <c r="H2973" s="2" t="str">
        <f aca="false">IF($G2973="","",3キー同時!$B$383)</f>
        <v/>
      </c>
      <c r="I2973" s="2" t="str">
        <f aca="false">IF($G2973="","",3キー同時!$G$383)</f>
        <v/>
      </c>
      <c r="J2973" s="2" t="str">
        <f aca="false">IF($G2973="","","k")</f>
        <v/>
      </c>
      <c r="K2973" s="2" t="str">
        <f aca="false">""</f>
        <v/>
      </c>
      <c r="L2973" s="2" t="str">
        <f aca="false">IF($G2973="","","同時")</f>
        <v/>
      </c>
      <c r="M2973" s="2" t="str">
        <f aca="false">IF($G2973="","",IF(ISNA(MATCH($G2973,個別指定!$A:$A,0)),"行なし",""))</f>
        <v/>
      </c>
      <c r="N2973" s="2" t="str">
        <f aca="false">IF($G2973="","",IF(COUNTIF($G$2:$G$4460,$G2973)&gt;1,"重複",""))</f>
        <v/>
      </c>
    </row>
    <row r="2974" customFormat="false" ht="16.5" hidden="false" customHeight="true" outlineLevel="0" collapsed="false">
      <c r="A2974" s="2" t="s">
        <v>416</v>
      </c>
      <c r="B2974" s="2" t="s">
        <v>446</v>
      </c>
      <c r="C2974" s="2" t="s">
        <v>32</v>
      </c>
      <c r="D2974" s="2" t="str">
        <f aca="false">IF(3キー同時!$B$383="","",3キー同時!$B$383)</f>
        <v/>
      </c>
      <c r="E2974" s="2" t="str">
        <f aca="false">IF(3キー同時!$G$383="","",3キー同時!$G$383)</f>
        <v/>
      </c>
      <c r="F2974" s="2" t="str">
        <f aca="false">""</f>
        <v/>
      </c>
      <c r="G2974" s="2" t="str">
        <f aca="false">IF(OR(3キー同時!$B$383="",3キー同時!$G$383=""),"",IF(3キー同時!AO389="","",SUBSTITUTE(SUBSTITUTE(3キー同時!AO389," ",""),"　","")))</f>
        <v/>
      </c>
      <c r="H2974" s="2" t="str">
        <f aca="false">IF($G2974="","",3キー同時!$B$383)</f>
        <v/>
      </c>
      <c r="I2974" s="2" t="str">
        <f aca="false">IF($G2974="","",3キー同時!$G$383)</f>
        <v/>
      </c>
      <c r="J2974" s="2" t="str">
        <f aca="false">IF($G2974="","","l")</f>
        <v/>
      </c>
      <c r="K2974" s="2" t="str">
        <f aca="false">""</f>
        <v/>
      </c>
      <c r="L2974" s="2" t="str">
        <f aca="false">IF($G2974="","","同時")</f>
        <v/>
      </c>
      <c r="M2974" s="2" t="str">
        <f aca="false">IF($G2974="","",IF(ISNA(MATCH($G2974,個別指定!$A:$A,0)),"行なし",""))</f>
        <v/>
      </c>
      <c r="N2974" s="2" t="str">
        <f aca="false">IF($G2974="","",IF(COUNTIF($G$2:$G$4460,$G2974)&gt;1,"重複",""))</f>
        <v/>
      </c>
    </row>
    <row r="2975" customFormat="false" ht="16.5" hidden="false" customHeight="true" outlineLevel="0" collapsed="false">
      <c r="A2975" s="2" t="s">
        <v>416</v>
      </c>
      <c r="B2975" s="2" t="s">
        <v>446</v>
      </c>
      <c r="C2975" s="2" t="s">
        <v>33</v>
      </c>
      <c r="D2975" s="2" t="str">
        <f aca="false">IF(3キー同時!$B$383="","",3キー同時!$B$383)</f>
        <v/>
      </c>
      <c r="E2975" s="2" t="str">
        <f aca="false">IF(3キー同時!$G$383="","",3キー同時!$G$383)</f>
        <v/>
      </c>
      <c r="F2975" s="2" t="str">
        <f aca="false">""</f>
        <v/>
      </c>
      <c r="G2975" s="2" t="str">
        <f aca="false">IF(OR(3キー同時!$B$383="",3キー同時!$G$383=""),"",IF(3キー同時!AS389="","",SUBSTITUTE(SUBSTITUTE(3キー同時!AS389," ",""),"　","")))</f>
        <v/>
      </c>
      <c r="H2975" s="2" t="str">
        <f aca="false">IF($G2975="","",3キー同時!$B$383)</f>
        <v/>
      </c>
      <c r="I2975" s="2" t="str">
        <f aca="false">IF($G2975="","",3キー同時!$G$383)</f>
        <v/>
      </c>
      <c r="J2975" s="2" t="str">
        <f aca="false">IF($G2975="","",";")</f>
        <v/>
      </c>
      <c r="K2975" s="2" t="str">
        <f aca="false">""</f>
        <v/>
      </c>
      <c r="L2975" s="2" t="str">
        <f aca="false">IF($G2975="","","同時")</f>
        <v/>
      </c>
      <c r="M2975" s="2" t="str">
        <f aca="false">IF($G2975="","",IF(ISNA(MATCH($G2975,個別指定!$A:$A,0)),"行なし",""))</f>
        <v/>
      </c>
      <c r="N2975" s="2" t="str">
        <f aca="false">IF($G2975="","",IF(COUNTIF($G$2:$G$4460,$G2975)&gt;1,"重複",""))</f>
        <v/>
      </c>
    </row>
    <row r="2976" customFormat="false" ht="16.5" hidden="false" customHeight="true" outlineLevel="0" collapsed="false">
      <c r="A2976" s="2" t="s">
        <v>416</v>
      </c>
      <c r="B2976" s="2" t="s">
        <v>446</v>
      </c>
      <c r="C2976" s="2" t="s">
        <v>34</v>
      </c>
      <c r="D2976" s="2" t="str">
        <f aca="false">IF(3キー同時!$B$383="","",3キー同時!$B$383)</f>
        <v/>
      </c>
      <c r="E2976" s="2" t="str">
        <f aca="false">IF(3キー同時!$G$383="","",3キー同時!$G$383)</f>
        <v/>
      </c>
      <c r="F2976" s="2" t="str">
        <f aca="false">""</f>
        <v/>
      </c>
      <c r="G2976" s="2" t="str">
        <f aca="false">IF(OR(3キー同時!$B$383="",3キー同時!$G$383=""),"",IF(3キー同時!AW389="","",SUBSTITUTE(SUBSTITUTE(3キー同時!AW389," ",""),"　","")))</f>
        <v/>
      </c>
      <c r="H2976" s="2" t="str">
        <f aca="false">IF($G2976="","",3キー同時!$B$383)</f>
        <v/>
      </c>
      <c r="I2976" s="2" t="str">
        <f aca="false">IF($G2976="","",3キー同時!$G$383)</f>
        <v/>
      </c>
      <c r="J2976" s="2" t="str">
        <f aca="false">IF($G2976="","","'")</f>
        <v/>
      </c>
      <c r="K2976" s="2" t="str">
        <f aca="false">""</f>
        <v/>
      </c>
      <c r="L2976" s="2" t="str">
        <f aca="false">IF($G2976="","","同時")</f>
        <v/>
      </c>
      <c r="M2976" s="2" t="str">
        <f aca="false">IF($G2976="","",IF(ISNA(MATCH($G2976,個別指定!$A:$A,0)),"行なし",""))</f>
        <v/>
      </c>
      <c r="N2976" s="2" t="str">
        <f aca="false">IF($G2976="","",IF(COUNTIF($G$2:$G$4460,$G2976)&gt;1,"重複",""))</f>
        <v/>
      </c>
    </row>
    <row r="2977" customFormat="false" ht="16.5" hidden="false" customHeight="true" outlineLevel="0" collapsed="false">
      <c r="A2977" s="2" t="s">
        <v>416</v>
      </c>
      <c r="B2977" s="2" t="s">
        <v>446</v>
      </c>
      <c r="C2977" s="2" t="s">
        <v>35</v>
      </c>
      <c r="D2977" s="2" t="str">
        <f aca="false">IF(3キー同時!$B$383="","",3キー同時!$B$383)</f>
        <v/>
      </c>
      <c r="E2977" s="2" t="str">
        <f aca="false">IF(3キー同時!$G$383="","",3キー同時!$G$383)</f>
        <v/>
      </c>
      <c r="F2977" s="2" t="str">
        <f aca="false">""</f>
        <v/>
      </c>
      <c r="G2977" s="2" t="str">
        <f aca="false">IF(OR(3キー同時!$B$383="",3キー同時!$G$383=""),"",IF(3キー同時!K391="","",SUBSTITUTE(SUBSTITUTE(3キー同時!K391," ",""),"　","")))</f>
        <v/>
      </c>
      <c r="H2977" s="2" t="str">
        <f aca="false">IF($G2977="","",3キー同時!$B$383)</f>
        <v/>
      </c>
      <c r="I2977" s="2" t="str">
        <f aca="false">IF($G2977="","",3キー同時!$G$383)</f>
        <v/>
      </c>
      <c r="J2977" s="2" t="str">
        <f aca="false">IF($G2977="","","z")</f>
        <v/>
      </c>
      <c r="K2977" s="2" t="str">
        <f aca="false">""</f>
        <v/>
      </c>
      <c r="L2977" s="2" t="str">
        <f aca="false">IF($G2977="","","同時")</f>
        <v/>
      </c>
      <c r="M2977" s="2" t="str">
        <f aca="false">IF($G2977="","",IF(ISNA(MATCH($G2977,個別指定!$A:$A,0)),"行なし",""))</f>
        <v/>
      </c>
      <c r="N2977" s="2" t="str">
        <f aca="false">IF($G2977="","",IF(COUNTIF($G$2:$G$4460,$G2977)&gt;1,"重複",""))</f>
        <v/>
      </c>
    </row>
    <row r="2978" customFormat="false" ht="16.5" hidden="false" customHeight="true" outlineLevel="0" collapsed="false">
      <c r="A2978" s="2" t="s">
        <v>416</v>
      </c>
      <c r="B2978" s="2" t="s">
        <v>446</v>
      </c>
      <c r="C2978" s="2" t="s">
        <v>36</v>
      </c>
      <c r="D2978" s="2" t="str">
        <f aca="false">IF(3キー同時!$B$383="","",3キー同時!$B$383)</f>
        <v/>
      </c>
      <c r="E2978" s="2" t="str">
        <f aca="false">IF(3キー同時!$G$383="","",3キー同時!$G$383)</f>
        <v/>
      </c>
      <c r="F2978" s="2" t="str">
        <f aca="false">""</f>
        <v/>
      </c>
      <c r="G2978" s="2" t="str">
        <f aca="false">IF(OR(3キー同時!$B$383="",3キー同時!$G$383=""),"",IF(3キー同時!O391="","",SUBSTITUTE(SUBSTITUTE(3キー同時!O391," ",""),"　","")))</f>
        <v/>
      </c>
      <c r="H2978" s="2" t="str">
        <f aca="false">IF($G2978="","",3キー同時!$B$383)</f>
        <v/>
      </c>
      <c r="I2978" s="2" t="str">
        <f aca="false">IF($G2978="","",3キー同時!$G$383)</f>
        <v/>
      </c>
      <c r="J2978" s="2" t="str">
        <f aca="false">IF($G2978="","","x")</f>
        <v/>
      </c>
      <c r="K2978" s="2" t="str">
        <f aca="false">""</f>
        <v/>
      </c>
      <c r="L2978" s="2" t="str">
        <f aca="false">IF($G2978="","","同時")</f>
        <v/>
      </c>
      <c r="M2978" s="2" t="str">
        <f aca="false">IF($G2978="","",IF(ISNA(MATCH($G2978,個別指定!$A:$A,0)),"行なし",""))</f>
        <v/>
      </c>
      <c r="N2978" s="2" t="str">
        <f aca="false">IF($G2978="","",IF(COUNTIF($G$2:$G$4460,$G2978)&gt;1,"重複",""))</f>
        <v/>
      </c>
    </row>
    <row r="2979" customFormat="false" ht="16.5" hidden="false" customHeight="true" outlineLevel="0" collapsed="false">
      <c r="A2979" s="2" t="s">
        <v>416</v>
      </c>
      <c r="B2979" s="2" t="s">
        <v>446</v>
      </c>
      <c r="C2979" s="2" t="s">
        <v>37</v>
      </c>
      <c r="D2979" s="2" t="str">
        <f aca="false">IF(3キー同時!$B$383="","",3キー同時!$B$383)</f>
        <v/>
      </c>
      <c r="E2979" s="2" t="str">
        <f aca="false">IF(3キー同時!$G$383="","",3キー同時!$G$383)</f>
        <v/>
      </c>
      <c r="F2979" s="2" t="str">
        <f aca="false">""</f>
        <v/>
      </c>
      <c r="G2979" s="2" t="str">
        <f aca="false">IF(OR(3キー同時!$B$383="",3キー同時!$G$383=""),"",IF(3キー同時!S391="","",SUBSTITUTE(SUBSTITUTE(3キー同時!S391," ",""),"　","")))</f>
        <v/>
      </c>
      <c r="H2979" s="2" t="str">
        <f aca="false">IF($G2979="","",3キー同時!$B$383)</f>
        <v/>
      </c>
      <c r="I2979" s="2" t="str">
        <f aca="false">IF($G2979="","",3キー同時!$G$383)</f>
        <v/>
      </c>
      <c r="J2979" s="2" t="str">
        <f aca="false">IF($G2979="","","c")</f>
        <v/>
      </c>
      <c r="K2979" s="2" t="str">
        <f aca="false">""</f>
        <v/>
      </c>
      <c r="L2979" s="2" t="str">
        <f aca="false">IF($G2979="","","同時")</f>
        <v/>
      </c>
      <c r="M2979" s="2" t="str">
        <f aca="false">IF($G2979="","",IF(ISNA(MATCH($G2979,個別指定!$A:$A,0)),"行なし",""))</f>
        <v/>
      </c>
      <c r="N2979" s="2" t="str">
        <f aca="false">IF($G2979="","",IF(COUNTIF($G$2:$G$4460,$G2979)&gt;1,"重複",""))</f>
        <v/>
      </c>
    </row>
    <row r="2980" customFormat="false" ht="16.5" hidden="false" customHeight="true" outlineLevel="0" collapsed="false">
      <c r="A2980" s="2" t="s">
        <v>416</v>
      </c>
      <c r="B2980" s="2" t="s">
        <v>446</v>
      </c>
      <c r="C2980" s="2" t="s">
        <v>38</v>
      </c>
      <c r="D2980" s="2" t="str">
        <f aca="false">IF(3キー同時!$B$383="","",3キー同時!$B$383)</f>
        <v/>
      </c>
      <c r="E2980" s="2" t="str">
        <f aca="false">IF(3キー同時!$G$383="","",3キー同時!$G$383)</f>
        <v/>
      </c>
      <c r="F2980" s="2" t="str">
        <f aca="false">""</f>
        <v/>
      </c>
      <c r="G2980" s="2" t="str">
        <f aca="false">IF(OR(3キー同時!$B$383="",3キー同時!$G$383=""),"",IF(3キー同時!W391="","",SUBSTITUTE(SUBSTITUTE(3キー同時!W391," ",""),"　","")))</f>
        <v/>
      </c>
      <c r="H2980" s="2" t="str">
        <f aca="false">IF($G2980="","",3キー同時!$B$383)</f>
        <v/>
      </c>
      <c r="I2980" s="2" t="str">
        <f aca="false">IF($G2980="","",3キー同時!$G$383)</f>
        <v/>
      </c>
      <c r="J2980" s="2" t="str">
        <f aca="false">IF($G2980="","","v")</f>
        <v/>
      </c>
      <c r="K2980" s="2" t="str">
        <f aca="false">""</f>
        <v/>
      </c>
      <c r="L2980" s="2" t="str">
        <f aca="false">IF($G2980="","","同時")</f>
        <v/>
      </c>
      <c r="M2980" s="2" t="str">
        <f aca="false">IF($G2980="","",IF(ISNA(MATCH($G2980,個別指定!$A:$A,0)),"行なし",""))</f>
        <v/>
      </c>
      <c r="N2980" s="2" t="str">
        <f aca="false">IF($G2980="","",IF(COUNTIF($G$2:$G$4460,$G2980)&gt;1,"重複",""))</f>
        <v/>
      </c>
    </row>
    <row r="2981" customFormat="false" ht="16.5" hidden="false" customHeight="true" outlineLevel="0" collapsed="false">
      <c r="A2981" s="2" t="s">
        <v>416</v>
      </c>
      <c r="B2981" s="2" t="s">
        <v>446</v>
      </c>
      <c r="C2981" s="2" t="s">
        <v>39</v>
      </c>
      <c r="D2981" s="2" t="str">
        <f aca="false">IF(3キー同時!$B$383="","",3キー同時!$B$383)</f>
        <v/>
      </c>
      <c r="E2981" s="2" t="str">
        <f aca="false">IF(3キー同時!$G$383="","",3キー同時!$G$383)</f>
        <v/>
      </c>
      <c r="F2981" s="2" t="str">
        <f aca="false">""</f>
        <v/>
      </c>
      <c r="G2981" s="2" t="str">
        <f aca="false">IF(OR(3キー同時!$B$383="",3キー同時!$G$383=""),"",IF(3キー同時!AA391="","",SUBSTITUTE(SUBSTITUTE(3キー同時!AA391," ",""),"　","")))</f>
        <v/>
      </c>
      <c r="H2981" s="2" t="str">
        <f aca="false">IF($G2981="","",3キー同時!$B$383)</f>
        <v/>
      </c>
      <c r="I2981" s="2" t="str">
        <f aca="false">IF($G2981="","",3キー同時!$G$383)</f>
        <v/>
      </c>
      <c r="J2981" s="2" t="str">
        <f aca="false">IF($G2981="","","b")</f>
        <v/>
      </c>
      <c r="K2981" s="2" t="str">
        <f aca="false">""</f>
        <v/>
      </c>
      <c r="L2981" s="2" t="str">
        <f aca="false">IF($G2981="","","同時")</f>
        <v/>
      </c>
      <c r="M2981" s="2" t="str">
        <f aca="false">IF($G2981="","",IF(ISNA(MATCH($G2981,個別指定!$A:$A,0)),"行なし",""))</f>
        <v/>
      </c>
      <c r="N2981" s="2" t="str">
        <f aca="false">IF($G2981="","",IF(COUNTIF($G$2:$G$4460,$G2981)&gt;1,"重複",""))</f>
        <v/>
      </c>
    </row>
    <row r="2982" customFormat="false" ht="16.5" hidden="false" customHeight="true" outlineLevel="0" collapsed="false">
      <c r="A2982" s="2" t="s">
        <v>416</v>
      </c>
      <c r="B2982" s="2" t="s">
        <v>446</v>
      </c>
      <c r="C2982" s="2" t="s">
        <v>40</v>
      </c>
      <c r="D2982" s="2" t="str">
        <f aca="false">IF(3キー同時!$B$383="","",3キー同時!$B$383)</f>
        <v/>
      </c>
      <c r="E2982" s="2" t="str">
        <f aca="false">IF(3キー同時!$G$383="","",3キー同時!$G$383)</f>
        <v/>
      </c>
      <c r="F2982" s="2" t="str">
        <f aca="false">""</f>
        <v/>
      </c>
      <c r="G2982" s="2" t="str">
        <f aca="false">IF(OR(3キー同時!$B$383="",3キー同時!$G$383=""),"",IF(3キー同時!AE391="","",SUBSTITUTE(SUBSTITUTE(3キー同時!AE391," ",""),"　","")))</f>
        <v/>
      </c>
      <c r="H2982" s="2" t="str">
        <f aca="false">IF($G2982="","",3キー同時!$B$383)</f>
        <v/>
      </c>
      <c r="I2982" s="2" t="str">
        <f aca="false">IF($G2982="","",3キー同時!$G$383)</f>
        <v/>
      </c>
      <c r="J2982" s="2" t="str">
        <f aca="false">IF($G2982="","","n")</f>
        <v/>
      </c>
      <c r="K2982" s="2" t="str">
        <f aca="false">""</f>
        <v/>
      </c>
      <c r="L2982" s="2" t="str">
        <f aca="false">IF($G2982="","","同時")</f>
        <v/>
      </c>
      <c r="M2982" s="2" t="str">
        <f aca="false">IF($G2982="","",IF(ISNA(MATCH($G2982,個別指定!$A:$A,0)),"行なし",""))</f>
        <v/>
      </c>
      <c r="N2982" s="2" t="str">
        <f aca="false">IF($G2982="","",IF(COUNTIF($G$2:$G$4460,$G2982)&gt;1,"重複",""))</f>
        <v/>
      </c>
    </row>
    <row r="2983" customFormat="false" ht="16.5" hidden="false" customHeight="true" outlineLevel="0" collapsed="false">
      <c r="A2983" s="2" t="s">
        <v>416</v>
      </c>
      <c r="B2983" s="2" t="s">
        <v>446</v>
      </c>
      <c r="C2983" s="2" t="s">
        <v>41</v>
      </c>
      <c r="D2983" s="2" t="str">
        <f aca="false">IF(3キー同時!$B$383="","",3キー同時!$B$383)</f>
        <v/>
      </c>
      <c r="E2983" s="2" t="str">
        <f aca="false">IF(3キー同時!$G$383="","",3キー同時!$G$383)</f>
        <v/>
      </c>
      <c r="F2983" s="2" t="str">
        <f aca="false">""</f>
        <v/>
      </c>
      <c r="G2983" s="2" t="str">
        <f aca="false">IF(OR(3キー同時!$B$383="",3キー同時!$G$383=""),"",IF(3キー同時!AI391="","",SUBSTITUTE(SUBSTITUTE(3キー同時!AI391," ",""),"　","")))</f>
        <v/>
      </c>
      <c r="H2983" s="2" t="str">
        <f aca="false">IF($G2983="","",3キー同時!$B$383)</f>
        <v/>
      </c>
      <c r="I2983" s="2" t="str">
        <f aca="false">IF($G2983="","",3キー同時!$G$383)</f>
        <v/>
      </c>
      <c r="J2983" s="2" t="str">
        <f aca="false">IF($G2983="","","m")</f>
        <v/>
      </c>
      <c r="K2983" s="2" t="str">
        <f aca="false">""</f>
        <v/>
      </c>
      <c r="L2983" s="2" t="str">
        <f aca="false">IF($G2983="","","同時")</f>
        <v/>
      </c>
      <c r="M2983" s="2" t="str">
        <f aca="false">IF($G2983="","",IF(ISNA(MATCH($G2983,個別指定!$A:$A,0)),"行なし",""))</f>
        <v/>
      </c>
      <c r="N2983" s="2" t="str">
        <f aca="false">IF($G2983="","",IF(COUNTIF($G$2:$G$4460,$G2983)&gt;1,"重複",""))</f>
        <v/>
      </c>
    </row>
    <row r="2984" customFormat="false" ht="16.5" hidden="false" customHeight="true" outlineLevel="0" collapsed="false">
      <c r="A2984" s="2" t="s">
        <v>416</v>
      </c>
      <c r="B2984" s="2" t="s">
        <v>446</v>
      </c>
      <c r="C2984" s="2" t="s">
        <v>42</v>
      </c>
      <c r="D2984" s="2" t="str">
        <f aca="false">IF(3キー同時!$B$383="","",3キー同時!$B$383)</f>
        <v/>
      </c>
      <c r="E2984" s="2" t="str">
        <f aca="false">IF(3キー同時!$G$383="","",3キー同時!$G$383)</f>
        <v/>
      </c>
      <c r="F2984" s="2" t="str">
        <f aca="false">""</f>
        <v/>
      </c>
      <c r="G2984" s="2" t="str">
        <f aca="false">IF(OR(3キー同時!$B$383="",3キー同時!$G$383=""),"",IF(3キー同時!AM391="","",SUBSTITUTE(SUBSTITUTE(3キー同時!AM391," ",""),"　","")))</f>
        <v/>
      </c>
      <c r="H2984" s="2" t="str">
        <f aca="false">IF($G2984="","",3キー同時!$B$383)</f>
        <v/>
      </c>
      <c r="I2984" s="2" t="str">
        <f aca="false">IF($G2984="","",3キー同時!$G$383)</f>
        <v/>
      </c>
      <c r="J2984" s="2" t="str">
        <f aca="false">IF($G2984="","",",")</f>
        <v/>
      </c>
      <c r="K2984" s="2" t="str">
        <f aca="false">""</f>
        <v/>
      </c>
      <c r="L2984" s="2" t="str">
        <f aca="false">IF($G2984="","","同時")</f>
        <v/>
      </c>
      <c r="M2984" s="2" t="str">
        <f aca="false">IF($G2984="","",IF(ISNA(MATCH($G2984,個別指定!$A:$A,0)),"行なし",""))</f>
        <v/>
      </c>
      <c r="N2984" s="2" t="str">
        <f aca="false">IF($G2984="","",IF(COUNTIF($G$2:$G$4460,$G2984)&gt;1,"重複",""))</f>
        <v/>
      </c>
    </row>
    <row r="2985" customFormat="false" ht="16.5" hidden="false" customHeight="true" outlineLevel="0" collapsed="false">
      <c r="A2985" s="2" t="s">
        <v>416</v>
      </c>
      <c r="B2985" s="2" t="s">
        <v>446</v>
      </c>
      <c r="C2985" s="2" t="s">
        <v>43</v>
      </c>
      <c r="D2985" s="2" t="str">
        <f aca="false">IF(3キー同時!$B$383="","",3キー同時!$B$383)</f>
        <v/>
      </c>
      <c r="E2985" s="2" t="str">
        <f aca="false">IF(3キー同時!$G$383="","",3キー同時!$G$383)</f>
        <v/>
      </c>
      <c r="F2985" s="2" t="str">
        <f aca="false">""</f>
        <v/>
      </c>
      <c r="G2985" s="2" t="str">
        <f aca="false">IF(OR(3キー同時!$B$383="",3キー同時!$G$383=""),"",IF(3キー同時!AQ391="","",SUBSTITUTE(SUBSTITUTE(3キー同時!AQ391," ",""),"　","")))</f>
        <v/>
      </c>
      <c r="H2985" s="2" t="str">
        <f aca="false">IF($G2985="","",3キー同時!$B$383)</f>
        <v/>
      </c>
      <c r="I2985" s="2" t="str">
        <f aca="false">IF($G2985="","",3キー同時!$G$383)</f>
        <v/>
      </c>
      <c r="J2985" s="2" t="str">
        <f aca="false">IF($G2985="","",".")</f>
        <v/>
      </c>
      <c r="K2985" s="2" t="str">
        <f aca="false">""</f>
        <v/>
      </c>
      <c r="L2985" s="2" t="str">
        <f aca="false">IF($G2985="","","同時")</f>
        <v/>
      </c>
      <c r="M2985" s="2" t="str">
        <f aca="false">IF($G2985="","",IF(ISNA(MATCH($G2985,個別指定!$A:$A,0)),"行なし",""))</f>
        <v/>
      </c>
      <c r="N2985" s="2" t="str">
        <f aca="false">IF($G2985="","",IF(COUNTIF($G$2:$G$4460,$G2985)&gt;1,"重複",""))</f>
        <v/>
      </c>
    </row>
    <row r="2986" customFormat="false" ht="16.5" hidden="false" customHeight="true" outlineLevel="0" collapsed="false">
      <c r="A2986" s="2" t="s">
        <v>416</v>
      </c>
      <c r="B2986" s="2" t="s">
        <v>446</v>
      </c>
      <c r="C2986" s="2" t="s">
        <v>44</v>
      </c>
      <c r="D2986" s="2" t="str">
        <f aca="false">IF(3キー同時!$B$383="","",3キー同時!$B$383)</f>
        <v/>
      </c>
      <c r="E2986" s="2" t="str">
        <f aca="false">IF(3キー同時!$G$383="","",3キー同時!$G$383)</f>
        <v/>
      </c>
      <c r="F2986" s="2" t="str">
        <f aca="false">""</f>
        <v/>
      </c>
      <c r="G2986" s="2" t="str">
        <f aca="false">IF(OR(3キー同時!$B$383="",3キー同時!$G$383=""),"",IF(3キー同時!AU391="","",SUBSTITUTE(SUBSTITUTE(3キー同時!AU391," ",""),"　","")))</f>
        <v/>
      </c>
      <c r="H2986" s="2" t="str">
        <f aca="false">IF($G2986="","",3キー同時!$B$383)</f>
        <v/>
      </c>
      <c r="I2986" s="2" t="str">
        <f aca="false">IF($G2986="","",3キー同時!$G$383)</f>
        <v/>
      </c>
      <c r="J2986" s="2" t="str">
        <f aca="false">IF($G2986="","","/")</f>
        <v/>
      </c>
      <c r="K2986" s="2" t="str">
        <f aca="false">""</f>
        <v/>
      </c>
      <c r="L2986" s="2" t="str">
        <f aca="false">IF($G2986="","","同時")</f>
        <v/>
      </c>
      <c r="M2986" s="2" t="str">
        <f aca="false">IF($G2986="","",IF(ISNA(MATCH($G2986,個別指定!$A:$A,0)),"行なし",""))</f>
        <v/>
      </c>
      <c r="N2986" s="2" t="str">
        <f aca="false">IF($G2986="","",IF(COUNTIF($G$2:$G$4460,$G2986)&gt;1,"重複",""))</f>
        <v/>
      </c>
    </row>
    <row r="2987" customFormat="false" ht="16.5" hidden="false" customHeight="true" outlineLevel="0" collapsed="false">
      <c r="A2987" s="2" t="s">
        <v>416</v>
      </c>
      <c r="B2987" s="2" t="s">
        <v>446</v>
      </c>
      <c r="C2987" s="2" t="s">
        <v>48</v>
      </c>
      <c r="D2987" s="2" t="str">
        <f aca="false">IF(3キー同時!$B$383="","",3キー同時!$B$383)</f>
        <v/>
      </c>
      <c r="E2987" s="2" t="str">
        <f aca="false">IF(3キー同時!$G$383="","",3キー同時!$G$383)</f>
        <v/>
      </c>
      <c r="F2987" s="2" t="str">
        <f aca="false">""</f>
        <v/>
      </c>
      <c r="G2987" s="2" t="str">
        <f aca="false">IF(OR(3キー同時!$B$383="",3キー同時!$G$383=""),"",IF(3キー同時!P393="","",SUBSTITUTE(SUBSTITUTE(3キー同時!P393," ",""),"　","")))</f>
        <v/>
      </c>
      <c r="H2987" s="2" t="str">
        <f aca="false">IF($G2987="","",3キー同時!$B$383)</f>
        <v/>
      </c>
      <c r="I2987" s="2" t="str">
        <f aca="false">IF($G2987="","",3キー同時!$G$383)</f>
        <v/>
      </c>
      <c r="J2987" s="2" t="str">
        <f aca="false">IF($G2987="","","muhenkan")</f>
        <v/>
      </c>
      <c r="K2987" s="2" t="str">
        <f aca="false">""</f>
        <v/>
      </c>
      <c r="L2987" s="2" t="str">
        <f aca="false">IF($G2987="","","同時")</f>
        <v/>
      </c>
      <c r="M2987" s="2" t="str">
        <f aca="false">IF($G2987="","",IF(ISNA(MATCH($G2987,個別指定!$A:$A,0)),"行なし",""))</f>
        <v/>
      </c>
      <c r="N2987" s="2" t="str">
        <f aca="false">IF($G2987="","",IF(COUNTIF($G$2:$G$4460,$G2987)&gt;1,"重複",""))</f>
        <v/>
      </c>
    </row>
    <row r="2988" customFormat="false" ht="16.5" hidden="false" customHeight="true" outlineLevel="0" collapsed="false">
      <c r="A2988" s="2" t="s">
        <v>416</v>
      </c>
      <c r="B2988" s="2" t="s">
        <v>446</v>
      </c>
      <c r="C2988" s="2" t="s">
        <v>50</v>
      </c>
      <c r="D2988" s="2" t="str">
        <f aca="false">IF(3キー同時!$B$383="","",3キー同時!$B$383)</f>
        <v/>
      </c>
      <c r="E2988" s="2" t="str">
        <f aca="false">IF(3キー同時!$G$383="","",3キー同時!$G$383)</f>
        <v/>
      </c>
      <c r="F2988" s="2" t="str">
        <f aca="false">""</f>
        <v/>
      </c>
      <c r="G2988" s="2" t="str">
        <f aca="false">IF(OR(3キー同時!$B$383="",3キー同時!$G$383=""),"",IF(3キー同時!T393="","",SUBSTITUTE(SUBSTITUTE(3キー同時!T393," ",""),"　","")))</f>
        <v/>
      </c>
      <c r="H2988" s="2" t="str">
        <f aca="false">IF($G2988="","",3キー同時!$B$383)</f>
        <v/>
      </c>
      <c r="I2988" s="2" t="str">
        <f aca="false">IF($G2988="","",3キー同時!$G$383)</f>
        <v/>
      </c>
      <c r="J2988" s="2" t="str">
        <f aca="false">IF($G2988="","","space")</f>
        <v/>
      </c>
      <c r="K2988" s="2" t="str">
        <f aca="false">""</f>
        <v/>
      </c>
      <c r="L2988" s="2" t="str">
        <f aca="false">IF($G2988="","","同時")</f>
        <v/>
      </c>
      <c r="M2988" s="2" t="str">
        <f aca="false">IF($G2988="","",IF(ISNA(MATCH($G2988,個別指定!$A:$A,0)),"行なし",""))</f>
        <v/>
      </c>
      <c r="N2988" s="2" t="str">
        <f aca="false">IF($G2988="","",IF(COUNTIF($G$2:$G$4460,$G2988)&gt;1,"重複",""))</f>
        <v/>
      </c>
    </row>
    <row r="2989" customFormat="false" ht="16.5" hidden="false" customHeight="true" outlineLevel="0" collapsed="false">
      <c r="A2989" s="2" t="s">
        <v>416</v>
      </c>
      <c r="B2989" s="2" t="s">
        <v>446</v>
      </c>
      <c r="C2989" s="2" t="s">
        <v>45</v>
      </c>
      <c r="D2989" s="2" t="str">
        <f aca="false">IF(3キー同時!$B$383="","",3キー同時!$B$383)</f>
        <v/>
      </c>
      <c r="E2989" s="2" t="str">
        <f aca="false">IF(3キー同時!$G$383="","",3キー同時!$G$383)</f>
        <v/>
      </c>
      <c r="F2989" s="2" t="str">
        <f aca="false">""</f>
        <v/>
      </c>
      <c r="G2989" s="2" t="str">
        <f aca="false">IF(OR(3キー同時!$B$383="",3キー同時!$G$383=""),"",IF(3キー同時!AL393="","",SUBSTITUTE(SUBSTITUTE(3キー同時!AL393," ",""),"　","")))</f>
        <v/>
      </c>
      <c r="H2989" s="2" t="str">
        <f aca="false">IF($G2989="","",3キー同時!$B$383)</f>
        <v/>
      </c>
      <c r="I2989" s="2" t="str">
        <f aca="false">IF($G2989="","",3キー同時!$G$383)</f>
        <v/>
      </c>
      <c r="J2989" s="2" t="str">
        <f aca="false">IF($G2989="","","henkan")</f>
        <v/>
      </c>
      <c r="K2989" s="2" t="str">
        <f aca="false">""</f>
        <v/>
      </c>
      <c r="L2989" s="2" t="str">
        <f aca="false">IF($G2989="","","同時")</f>
        <v/>
      </c>
      <c r="M2989" s="2" t="str">
        <f aca="false">IF($G2989="","",IF(ISNA(MATCH($G2989,個別指定!$A:$A,0)),"行なし",""))</f>
        <v/>
      </c>
      <c r="N2989" s="2" t="str">
        <f aca="false">IF($G2989="","",IF(COUNTIF($G$2:$G$4460,$G2989)&gt;1,"重複",""))</f>
        <v/>
      </c>
    </row>
    <row r="2990" customFormat="false" ht="16.5" hidden="false" customHeight="true" outlineLevel="0" collapsed="false">
      <c r="A2990" s="2" t="s">
        <v>416</v>
      </c>
      <c r="B2990" s="2" t="s">
        <v>446</v>
      </c>
      <c r="C2990" s="2" t="s">
        <v>46</v>
      </c>
      <c r="D2990" s="2" t="str">
        <f aca="false">IF(3キー同時!$B$383="","",3キー同時!$B$383)</f>
        <v/>
      </c>
      <c r="E2990" s="2" t="str">
        <f aca="false">IF(3キー同時!$G$383="","",3キー同時!$G$383)</f>
        <v/>
      </c>
      <c r="F2990" s="2" t="str">
        <f aca="false">""</f>
        <v/>
      </c>
      <c r="G2990" s="2" t="str">
        <f aca="false">IF(OR(3キー同時!$B$383="",3キー同時!$G$383=""),"",IF(3キー同時!AP393="","",SUBSTITUTE(SUBSTITUTE(3キー同時!AP393," ",""),"　","")))</f>
        <v/>
      </c>
      <c r="H2990" s="2" t="str">
        <f aca="false">IF($G2990="","",3キー同時!$B$383)</f>
        <v/>
      </c>
      <c r="I2990" s="2" t="str">
        <f aca="false">IF($G2990="","",3キー同時!$G$383)</f>
        <v/>
      </c>
      <c r="J2990" s="2" t="str">
        <f aca="false">IF($G2990="","","kana")</f>
        <v/>
      </c>
      <c r="K2990" s="2" t="str">
        <f aca="false">""</f>
        <v/>
      </c>
      <c r="L2990" s="2" t="str">
        <f aca="false">IF($G2990="","","同時")</f>
        <v/>
      </c>
      <c r="M2990" s="2" t="str">
        <f aca="false">IF($G2990="","",IF(ISNA(MATCH($G2990,個別指定!$A:$A,0)),"行なし",""))</f>
        <v/>
      </c>
      <c r="N2990" s="2" t="str">
        <f aca="false">IF($G2990="","",IF(COUNTIF($G$2:$G$4460,$G2990)&gt;1,"重複",""))</f>
        <v/>
      </c>
    </row>
    <row r="2991" customFormat="false" ht="16.5" hidden="false" customHeight="true" outlineLevel="0" collapsed="false">
      <c r="A2991" s="2" t="s">
        <v>447</v>
      </c>
      <c r="B2991" s="2" t="s">
        <v>448</v>
      </c>
      <c r="C2991" s="2" t="s">
        <v>0</v>
      </c>
      <c r="D2991" s="2" t="str">
        <f aca="false">IF(4キー同時!$B$6="","",4キー同時!$B$6)</f>
        <v/>
      </c>
      <c r="E2991" s="2" t="str">
        <f aca="false">IF(4キー同時!$G$6="","",4キー同時!$G$6)</f>
        <v/>
      </c>
      <c r="F2991" s="2" t="str">
        <f aca="false">IF(4キー同時!$L$6="","",4キー同時!$L$6)</f>
        <v/>
      </c>
      <c r="G2991" s="2" t="str">
        <f aca="false">IF(OR(4キー同時!$B$6="",4キー同時!$G$6="",4キー同時!$L$6=""),"",IF(4キー同時!F8="","",SUBSTITUTE(SUBSTITUTE(4キー同時!F8," ",""),"　","")))</f>
        <v/>
      </c>
      <c r="H2991" s="2" t="str">
        <f aca="false">IF($G2991="","",4キー同時!$B$6)</f>
        <v/>
      </c>
      <c r="I2991" s="2" t="str">
        <f aca="false">IF($G2991="","",4キー同時!$G$6)</f>
        <v/>
      </c>
      <c r="J2991" s="2" t="str">
        <f aca="false">IF($G2991="","",4キー同時!$L$6)</f>
        <v/>
      </c>
      <c r="K2991" s="2" t="str">
        <f aca="false">IF($G2991="","","1")</f>
        <v/>
      </c>
      <c r="L2991" s="2" t="str">
        <f aca="false">IF($G2991="","","同時")</f>
        <v/>
      </c>
      <c r="M2991" s="2" t="str">
        <f aca="false">IF($G2991="","",IF(ISNA(MATCH($G2991,個別指定!$A:$A,0)),"行なし",""))</f>
        <v/>
      </c>
      <c r="N2991" s="2" t="str">
        <f aca="false">IF($G2991="","",IF(COUNTIF($G$2:$G$4460,$G2991)&gt;1,"重複",""))</f>
        <v/>
      </c>
    </row>
    <row r="2992" customFormat="false" ht="16.5" hidden="false" customHeight="true" outlineLevel="0" collapsed="false">
      <c r="A2992" s="2" t="s">
        <v>447</v>
      </c>
      <c r="B2992" s="2" t="s">
        <v>448</v>
      </c>
      <c r="C2992" s="2" t="s">
        <v>1</v>
      </c>
      <c r="D2992" s="2" t="str">
        <f aca="false">IF(4キー同時!$B$6="","",4キー同時!$B$6)</f>
        <v/>
      </c>
      <c r="E2992" s="2" t="str">
        <f aca="false">IF(4キー同時!$G$6="","",4キー同時!$G$6)</f>
        <v/>
      </c>
      <c r="F2992" s="2" t="str">
        <f aca="false">IF(4キー同時!$L$6="","",4キー同時!$L$6)</f>
        <v/>
      </c>
      <c r="G2992" s="2" t="str">
        <f aca="false">IF(OR(4キー同時!$B$6="",4キー同時!$G$6="",4キー同時!$L$6=""),"",IF(4キー同時!J8="","",SUBSTITUTE(SUBSTITUTE(4キー同時!J8," ",""),"　","")))</f>
        <v/>
      </c>
      <c r="H2992" s="2" t="str">
        <f aca="false">IF($G2992="","",4キー同時!$B$6)</f>
        <v/>
      </c>
      <c r="I2992" s="2" t="str">
        <f aca="false">IF($G2992="","",4キー同時!$G$6)</f>
        <v/>
      </c>
      <c r="J2992" s="2" t="str">
        <f aca="false">IF($G2992="","",4キー同時!$L$6)</f>
        <v/>
      </c>
      <c r="K2992" s="2" t="str">
        <f aca="false">IF($G2992="","","2")</f>
        <v/>
      </c>
      <c r="L2992" s="2" t="str">
        <f aca="false">IF($G2992="","","同時")</f>
        <v/>
      </c>
      <c r="M2992" s="2" t="str">
        <f aca="false">IF($G2992="","",IF(ISNA(MATCH($G2992,個別指定!$A:$A,0)),"行なし",""))</f>
        <v/>
      </c>
      <c r="N2992" s="2" t="str">
        <f aca="false">IF($G2992="","",IF(COUNTIF($G$2:$G$4460,$G2992)&gt;1,"重複",""))</f>
        <v/>
      </c>
    </row>
    <row r="2993" customFormat="false" ht="16.5" hidden="false" customHeight="true" outlineLevel="0" collapsed="false">
      <c r="A2993" s="2" t="s">
        <v>447</v>
      </c>
      <c r="B2993" s="2" t="s">
        <v>448</v>
      </c>
      <c r="C2993" s="2" t="s">
        <v>2</v>
      </c>
      <c r="D2993" s="2" t="str">
        <f aca="false">IF(4キー同時!$B$6="","",4キー同時!$B$6)</f>
        <v/>
      </c>
      <c r="E2993" s="2" t="str">
        <f aca="false">IF(4キー同時!$G$6="","",4キー同時!$G$6)</f>
        <v/>
      </c>
      <c r="F2993" s="2" t="str">
        <f aca="false">IF(4キー同時!$L$6="","",4キー同時!$L$6)</f>
        <v/>
      </c>
      <c r="G2993" s="2" t="str">
        <f aca="false">IF(OR(4キー同時!$B$6="",4キー同時!$G$6="",4キー同時!$L$6=""),"",IF(4キー同時!N8="","",SUBSTITUTE(SUBSTITUTE(4キー同時!N8," ",""),"　","")))</f>
        <v/>
      </c>
      <c r="H2993" s="2" t="str">
        <f aca="false">IF($G2993="","",4キー同時!$B$6)</f>
        <v/>
      </c>
      <c r="I2993" s="2" t="str">
        <f aca="false">IF($G2993="","",4キー同時!$G$6)</f>
        <v/>
      </c>
      <c r="J2993" s="2" t="str">
        <f aca="false">IF($G2993="","",4キー同時!$L$6)</f>
        <v/>
      </c>
      <c r="K2993" s="2" t="str">
        <f aca="false">IF($G2993="","","3")</f>
        <v/>
      </c>
      <c r="L2993" s="2" t="str">
        <f aca="false">IF($G2993="","","同時")</f>
        <v/>
      </c>
      <c r="M2993" s="2" t="str">
        <f aca="false">IF($G2993="","",IF(ISNA(MATCH($G2993,個別指定!$A:$A,0)),"行なし",""))</f>
        <v/>
      </c>
      <c r="N2993" s="2" t="str">
        <f aca="false">IF($G2993="","",IF(COUNTIF($G$2:$G$4460,$G2993)&gt;1,"重複",""))</f>
        <v/>
      </c>
    </row>
    <row r="2994" customFormat="false" ht="16.5" hidden="false" customHeight="true" outlineLevel="0" collapsed="false">
      <c r="A2994" s="2" t="s">
        <v>447</v>
      </c>
      <c r="B2994" s="2" t="s">
        <v>448</v>
      </c>
      <c r="C2994" s="2" t="s">
        <v>3</v>
      </c>
      <c r="D2994" s="2" t="str">
        <f aca="false">IF(4キー同時!$B$6="","",4キー同時!$B$6)</f>
        <v/>
      </c>
      <c r="E2994" s="2" t="str">
        <f aca="false">IF(4キー同時!$G$6="","",4キー同時!$G$6)</f>
        <v/>
      </c>
      <c r="F2994" s="2" t="str">
        <f aca="false">IF(4キー同時!$L$6="","",4キー同時!$L$6)</f>
        <v/>
      </c>
      <c r="G2994" s="2" t="str">
        <f aca="false">IF(OR(4キー同時!$B$6="",4キー同時!$G$6="",4キー同時!$L$6=""),"",IF(4キー同時!R8="","",SUBSTITUTE(SUBSTITUTE(4キー同時!R8," ",""),"　","")))</f>
        <v/>
      </c>
      <c r="H2994" s="2" t="str">
        <f aca="false">IF($G2994="","",4キー同時!$B$6)</f>
        <v/>
      </c>
      <c r="I2994" s="2" t="str">
        <f aca="false">IF($G2994="","",4キー同時!$G$6)</f>
        <v/>
      </c>
      <c r="J2994" s="2" t="str">
        <f aca="false">IF($G2994="","",4キー同時!$L$6)</f>
        <v/>
      </c>
      <c r="K2994" s="2" t="str">
        <f aca="false">IF($G2994="","","4")</f>
        <v/>
      </c>
      <c r="L2994" s="2" t="str">
        <f aca="false">IF($G2994="","","同時")</f>
        <v/>
      </c>
      <c r="M2994" s="2" t="str">
        <f aca="false">IF($G2994="","",IF(ISNA(MATCH($G2994,個別指定!$A:$A,0)),"行なし",""))</f>
        <v/>
      </c>
      <c r="N2994" s="2" t="str">
        <f aca="false">IF($G2994="","",IF(COUNTIF($G$2:$G$4460,$G2994)&gt;1,"重複",""))</f>
        <v/>
      </c>
    </row>
    <row r="2995" customFormat="false" ht="16.5" hidden="false" customHeight="true" outlineLevel="0" collapsed="false">
      <c r="A2995" s="2" t="s">
        <v>447</v>
      </c>
      <c r="B2995" s="2" t="s">
        <v>448</v>
      </c>
      <c r="C2995" s="2" t="s">
        <v>4</v>
      </c>
      <c r="D2995" s="2" t="str">
        <f aca="false">IF(4キー同時!$B$6="","",4キー同時!$B$6)</f>
        <v/>
      </c>
      <c r="E2995" s="2" t="str">
        <f aca="false">IF(4キー同時!$G$6="","",4キー同時!$G$6)</f>
        <v/>
      </c>
      <c r="F2995" s="2" t="str">
        <f aca="false">IF(4キー同時!$L$6="","",4キー同時!$L$6)</f>
        <v/>
      </c>
      <c r="G2995" s="2" t="str">
        <f aca="false">IF(OR(4キー同時!$B$6="",4キー同時!$G$6="",4キー同時!$L$6=""),"",IF(4キー同時!V8="","",SUBSTITUTE(SUBSTITUTE(4キー同時!V8," ",""),"　","")))</f>
        <v/>
      </c>
      <c r="H2995" s="2" t="str">
        <f aca="false">IF($G2995="","",4キー同時!$B$6)</f>
        <v/>
      </c>
      <c r="I2995" s="2" t="str">
        <f aca="false">IF($G2995="","",4キー同時!$G$6)</f>
        <v/>
      </c>
      <c r="J2995" s="2" t="str">
        <f aca="false">IF($G2995="","",4キー同時!$L$6)</f>
        <v/>
      </c>
      <c r="K2995" s="2" t="str">
        <f aca="false">IF($G2995="","","5")</f>
        <v/>
      </c>
      <c r="L2995" s="2" t="str">
        <f aca="false">IF($G2995="","","同時")</f>
        <v/>
      </c>
      <c r="M2995" s="2" t="str">
        <f aca="false">IF($G2995="","",IF(ISNA(MATCH($G2995,個別指定!$A:$A,0)),"行なし",""))</f>
        <v/>
      </c>
      <c r="N2995" s="2" t="str">
        <f aca="false">IF($G2995="","",IF(COUNTIF($G$2:$G$4460,$G2995)&gt;1,"重複",""))</f>
        <v/>
      </c>
    </row>
    <row r="2996" customFormat="false" ht="16.5" hidden="false" customHeight="true" outlineLevel="0" collapsed="false">
      <c r="A2996" s="2" t="s">
        <v>447</v>
      </c>
      <c r="B2996" s="2" t="s">
        <v>448</v>
      </c>
      <c r="C2996" s="2" t="s">
        <v>5</v>
      </c>
      <c r="D2996" s="2" t="str">
        <f aca="false">IF(4キー同時!$B$6="","",4キー同時!$B$6)</f>
        <v/>
      </c>
      <c r="E2996" s="2" t="str">
        <f aca="false">IF(4キー同時!$G$6="","",4キー同時!$G$6)</f>
        <v/>
      </c>
      <c r="F2996" s="2" t="str">
        <f aca="false">IF(4キー同時!$L$6="","",4キー同時!$L$6)</f>
        <v/>
      </c>
      <c r="G2996" s="2" t="str">
        <f aca="false">IF(OR(4キー同時!$B$6="",4キー同時!$G$6="",4キー同時!$L$6=""),"",IF(4キー同時!Z8="","",SUBSTITUTE(SUBSTITUTE(4キー同時!Z8," ",""),"　","")))</f>
        <v/>
      </c>
      <c r="H2996" s="2" t="str">
        <f aca="false">IF($G2996="","",4キー同時!$B$6)</f>
        <v/>
      </c>
      <c r="I2996" s="2" t="str">
        <f aca="false">IF($G2996="","",4キー同時!$G$6)</f>
        <v/>
      </c>
      <c r="J2996" s="2" t="str">
        <f aca="false">IF($G2996="","",4キー同時!$L$6)</f>
        <v/>
      </c>
      <c r="K2996" s="2" t="str">
        <f aca="false">IF($G2996="","","6")</f>
        <v/>
      </c>
      <c r="L2996" s="2" t="str">
        <f aca="false">IF($G2996="","","同時")</f>
        <v/>
      </c>
      <c r="M2996" s="2" t="str">
        <f aca="false">IF($G2996="","",IF(ISNA(MATCH($G2996,個別指定!$A:$A,0)),"行なし",""))</f>
        <v/>
      </c>
      <c r="N2996" s="2" t="str">
        <f aca="false">IF($G2996="","",IF(COUNTIF($G$2:$G$4460,$G2996)&gt;1,"重複",""))</f>
        <v/>
      </c>
    </row>
    <row r="2997" customFormat="false" ht="16.5" hidden="false" customHeight="true" outlineLevel="0" collapsed="false">
      <c r="A2997" s="2" t="s">
        <v>447</v>
      </c>
      <c r="B2997" s="2" t="s">
        <v>448</v>
      </c>
      <c r="C2997" s="2" t="s">
        <v>6</v>
      </c>
      <c r="D2997" s="2" t="str">
        <f aca="false">IF(4キー同時!$B$6="","",4キー同時!$B$6)</f>
        <v/>
      </c>
      <c r="E2997" s="2" t="str">
        <f aca="false">IF(4キー同時!$G$6="","",4キー同時!$G$6)</f>
        <v/>
      </c>
      <c r="F2997" s="2" t="str">
        <f aca="false">IF(4キー同時!$L$6="","",4キー同時!$L$6)</f>
        <v/>
      </c>
      <c r="G2997" s="2" t="str">
        <f aca="false">IF(OR(4キー同時!$B$6="",4キー同時!$G$6="",4キー同時!$L$6=""),"",IF(4キー同時!AD8="","",SUBSTITUTE(SUBSTITUTE(4キー同時!AD8," ",""),"　","")))</f>
        <v/>
      </c>
      <c r="H2997" s="2" t="str">
        <f aca="false">IF($G2997="","",4キー同時!$B$6)</f>
        <v/>
      </c>
      <c r="I2997" s="2" t="str">
        <f aca="false">IF($G2997="","",4キー同時!$G$6)</f>
        <v/>
      </c>
      <c r="J2997" s="2" t="str">
        <f aca="false">IF($G2997="","",4キー同時!$L$6)</f>
        <v/>
      </c>
      <c r="K2997" s="2" t="str">
        <f aca="false">IF($G2997="","","7")</f>
        <v/>
      </c>
      <c r="L2997" s="2" t="str">
        <f aca="false">IF($G2997="","","同時")</f>
        <v/>
      </c>
      <c r="M2997" s="2" t="str">
        <f aca="false">IF($G2997="","",IF(ISNA(MATCH($G2997,個別指定!$A:$A,0)),"行なし",""))</f>
        <v/>
      </c>
      <c r="N2997" s="2" t="str">
        <f aca="false">IF($G2997="","",IF(COUNTIF($G$2:$G$4460,$G2997)&gt;1,"重複",""))</f>
        <v/>
      </c>
    </row>
    <row r="2998" customFormat="false" ht="16.5" hidden="false" customHeight="true" outlineLevel="0" collapsed="false">
      <c r="A2998" s="2" t="s">
        <v>447</v>
      </c>
      <c r="B2998" s="2" t="s">
        <v>448</v>
      </c>
      <c r="C2998" s="2" t="s">
        <v>7</v>
      </c>
      <c r="D2998" s="2" t="str">
        <f aca="false">IF(4キー同時!$B$6="","",4キー同時!$B$6)</f>
        <v/>
      </c>
      <c r="E2998" s="2" t="str">
        <f aca="false">IF(4キー同時!$G$6="","",4キー同時!$G$6)</f>
        <v/>
      </c>
      <c r="F2998" s="2" t="str">
        <f aca="false">IF(4キー同時!$L$6="","",4キー同時!$L$6)</f>
        <v/>
      </c>
      <c r="G2998" s="2" t="str">
        <f aca="false">IF(OR(4キー同時!$B$6="",4キー同時!$G$6="",4キー同時!$L$6=""),"",IF(4キー同時!AH8="","",SUBSTITUTE(SUBSTITUTE(4キー同時!AH8," ",""),"　","")))</f>
        <v/>
      </c>
      <c r="H2998" s="2" t="str">
        <f aca="false">IF($G2998="","",4キー同時!$B$6)</f>
        <v/>
      </c>
      <c r="I2998" s="2" t="str">
        <f aca="false">IF($G2998="","",4キー同時!$G$6)</f>
        <v/>
      </c>
      <c r="J2998" s="2" t="str">
        <f aca="false">IF($G2998="","",4キー同時!$L$6)</f>
        <v/>
      </c>
      <c r="K2998" s="2" t="str">
        <f aca="false">IF($G2998="","","8")</f>
        <v/>
      </c>
      <c r="L2998" s="2" t="str">
        <f aca="false">IF($G2998="","","同時")</f>
        <v/>
      </c>
      <c r="M2998" s="2" t="str">
        <f aca="false">IF($G2998="","",IF(ISNA(MATCH($G2998,個別指定!$A:$A,0)),"行なし",""))</f>
        <v/>
      </c>
      <c r="N2998" s="2" t="str">
        <f aca="false">IF($G2998="","",IF(COUNTIF($G$2:$G$4460,$G2998)&gt;1,"重複",""))</f>
        <v/>
      </c>
    </row>
    <row r="2999" customFormat="false" ht="16.5" hidden="false" customHeight="true" outlineLevel="0" collapsed="false">
      <c r="A2999" s="2" t="s">
        <v>447</v>
      </c>
      <c r="B2999" s="2" t="s">
        <v>448</v>
      </c>
      <c r="C2999" s="2" t="s">
        <v>8</v>
      </c>
      <c r="D2999" s="2" t="str">
        <f aca="false">IF(4キー同時!$B$6="","",4キー同時!$B$6)</f>
        <v/>
      </c>
      <c r="E2999" s="2" t="str">
        <f aca="false">IF(4キー同時!$G$6="","",4キー同時!$G$6)</f>
        <v/>
      </c>
      <c r="F2999" s="2" t="str">
        <f aca="false">IF(4キー同時!$L$6="","",4キー同時!$L$6)</f>
        <v/>
      </c>
      <c r="G2999" s="2" t="str">
        <f aca="false">IF(OR(4キー同時!$B$6="",4キー同時!$G$6="",4キー同時!$L$6=""),"",IF(4キー同時!AL8="","",SUBSTITUTE(SUBSTITUTE(4キー同時!AL8," ",""),"　","")))</f>
        <v/>
      </c>
      <c r="H2999" s="2" t="str">
        <f aca="false">IF($G2999="","",4キー同時!$B$6)</f>
        <v/>
      </c>
      <c r="I2999" s="2" t="str">
        <f aca="false">IF($G2999="","",4キー同時!$G$6)</f>
        <v/>
      </c>
      <c r="J2999" s="2" t="str">
        <f aca="false">IF($G2999="","",4キー同時!$L$6)</f>
        <v/>
      </c>
      <c r="K2999" s="2" t="str">
        <f aca="false">IF($G2999="","","9")</f>
        <v/>
      </c>
      <c r="L2999" s="2" t="str">
        <f aca="false">IF($G2999="","","同時")</f>
        <v/>
      </c>
      <c r="M2999" s="2" t="str">
        <f aca="false">IF($G2999="","",IF(ISNA(MATCH($G2999,個別指定!$A:$A,0)),"行なし",""))</f>
        <v/>
      </c>
      <c r="N2999" s="2" t="str">
        <f aca="false">IF($G2999="","",IF(COUNTIF($G$2:$G$4460,$G2999)&gt;1,"重複",""))</f>
        <v/>
      </c>
    </row>
    <row r="3000" customFormat="false" ht="16.5" hidden="false" customHeight="true" outlineLevel="0" collapsed="false">
      <c r="A3000" s="2" t="s">
        <v>447</v>
      </c>
      <c r="B3000" s="2" t="s">
        <v>448</v>
      </c>
      <c r="C3000" s="2" t="s">
        <v>9</v>
      </c>
      <c r="D3000" s="2" t="str">
        <f aca="false">IF(4キー同時!$B$6="","",4キー同時!$B$6)</f>
        <v/>
      </c>
      <c r="E3000" s="2" t="str">
        <f aca="false">IF(4キー同時!$G$6="","",4キー同時!$G$6)</f>
        <v/>
      </c>
      <c r="F3000" s="2" t="str">
        <f aca="false">IF(4キー同時!$L$6="","",4キー同時!$L$6)</f>
        <v/>
      </c>
      <c r="G3000" s="2" t="str">
        <f aca="false">IF(OR(4キー同時!$B$6="",4キー同時!$G$6="",4キー同時!$L$6=""),"",IF(4キー同時!AP8="","",SUBSTITUTE(SUBSTITUTE(4キー同時!AP8," ",""),"　","")))</f>
        <v/>
      </c>
      <c r="H3000" s="2" t="str">
        <f aca="false">IF($G3000="","",4キー同時!$B$6)</f>
        <v/>
      </c>
      <c r="I3000" s="2" t="str">
        <f aca="false">IF($G3000="","",4キー同時!$G$6)</f>
        <v/>
      </c>
      <c r="J3000" s="2" t="str">
        <f aca="false">IF($G3000="","",4キー同時!$L$6)</f>
        <v/>
      </c>
      <c r="K3000" s="2" t="str">
        <f aca="false">IF($G3000="","","0")</f>
        <v/>
      </c>
      <c r="L3000" s="2" t="str">
        <f aca="false">IF($G3000="","","同時")</f>
        <v/>
      </c>
      <c r="M3000" s="2" t="str">
        <f aca="false">IF($G3000="","",IF(ISNA(MATCH($G3000,個別指定!$A:$A,0)),"行なし",""))</f>
        <v/>
      </c>
      <c r="N3000" s="2" t="str">
        <f aca="false">IF($G3000="","",IF(COUNTIF($G$2:$G$4460,$G3000)&gt;1,"重複",""))</f>
        <v/>
      </c>
    </row>
    <row r="3001" customFormat="false" ht="16.5" hidden="false" customHeight="true" outlineLevel="0" collapsed="false">
      <c r="A3001" s="2" t="s">
        <v>447</v>
      </c>
      <c r="B3001" s="2" t="s">
        <v>448</v>
      </c>
      <c r="C3001" s="2" t="s">
        <v>10</v>
      </c>
      <c r="D3001" s="2" t="str">
        <f aca="false">IF(4キー同時!$B$6="","",4キー同時!$B$6)</f>
        <v/>
      </c>
      <c r="E3001" s="2" t="str">
        <f aca="false">IF(4キー同時!$G$6="","",4キー同時!$G$6)</f>
        <v/>
      </c>
      <c r="F3001" s="2" t="str">
        <f aca="false">IF(4キー同時!$L$6="","",4キー同時!$L$6)</f>
        <v/>
      </c>
      <c r="G3001" s="2" t="str">
        <f aca="false">IF(OR(4キー同時!$B$6="",4キー同時!$G$6="",4キー同時!$L$6=""),"",IF(4キー同時!AT8="","",SUBSTITUTE(SUBSTITUTE(4キー同時!AT8," ",""),"　","")))</f>
        <v/>
      </c>
      <c r="H3001" s="2" t="str">
        <f aca="false">IF($G3001="","",4キー同時!$B$6)</f>
        <v/>
      </c>
      <c r="I3001" s="2" t="str">
        <f aca="false">IF($G3001="","",4キー同時!$G$6)</f>
        <v/>
      </c>
      <c r="J3001" s="2" t="str">
        <f aca="false">IF($G3001="","",4キー同時!$L$6)</f>
        <v/>
      </c>
      <c r="K3001" s="2" t="str">
        <f aca="false">IF($G3001="","","-")</f>
        <v/>
      </c>
      <c r="L3001" s="2" t="str">
        <f aca="false">IF($G3001="","","同時")</f>
        <v/>
      </c>
      <c r="M3001" s="2" t="str">
        <f aca="false">IF($G3001="","",IF(ISNA(MATCH($G3001,個別指定!$A:$A,0)),"行なし",""))</f>
        <v/>
      </c>
      <c r="N3001" s="2" t="str">
        <f aca="false">IF($G3001="","",IF(COUNTIF($G$2:$G$4460,$G3001)&gt;1,"重複",""))</f>
        <v/>
      </c>
    </row>
    <row r="3002" customFormat="false" ht="16.5" hidden="false" customHeight="true" outlineLevel="0" collapsed="false">
      <c r="A3002" s="2" t="s">
        <v>447</v>
      </c>
      <c r="B3002" s="2" t="s">
        <v>448</v>
      </c>
      <c r="C3002" s="2" t="s">
        <v>11</v>
      </c>
      <c r="D3002" s="2" t="str">
        <f aca="false">IF(4キー同時!$B$6="","",4キー同時!$B$6)</f>
        <v/>
      </c>
      <c r="E3002" s="2" t="str">
        <f aca="false">IF(4キー同時!$G$6="","",4キー同時!$G$6)</f>
        <v/>
      </c>
      <c r="F3002" s="2" t="str">
        <f aca="false">IF(4キー同時!$L$6="","",4キー同時!$L$6)</f>
        <v/>
      </c>
      <c r="G3002" s="2" t="str">
        <f aca="false">IF(OR(4キー同時!$B$6="",4キー同時!$G$6="",4キー同時!$L$6=""),"",IF(4キー同時!AX8="","",SUBSTITUTE(SUBSTITUTE(4キー同時!AX8," ",""),"　","")))</f>
        <v/>
      </c>
      <c r="H3002" s="2" t="str">
        <f aca="false">IF($G3002="","",4キー同時!$B$6)</f>
        <v/>
      </c>
      <c r="I3002" s="2" t="str">
        <f aca="false">IF($G3002="","",4キー同時!$G$6)</f>
        <v/>
      </c>
      <c r="J3002" s="2" t="str">
        <f aca="false">IF($G3002="","",4キー同時!$L$6)</f>
        <v/>
      </c>
      <c r="K3002" s="2" t="str">
        <f aca="false">IF($G3002="","","=")</f>
        <v/>
      </c>
      <c r="L3002" s="2" t="str">
        <f aca="false">IF($G3002="","","同時")</f>
        <v/>
      </c>
      <c r="M3002" s="2" t="str">
        <f aca="false">IF($G3002="","",IF(ISNA(MATCH($G3002,個別指定!$A:$A,0)),"行なし",""))</f>
        <v/>
      </c>
      <c r="N3002" s="2" t="str">
        <f aca="false">IF($G3002="","",IF(COUNTIF($G$2:$G$4460,$G3002)&gt;1,"重複",""))</f>
        <v/>
      </c>
    </row>
    <row r="3003" customFormat="false" ht="16.5" hidden="false" customHeight="true" outlineLevel="0" collapsed="false">
      <c r="A3003" s="2" t="s">
        <v>447</v>
      </c>
      <c r="B3003" s="2" t="s">
        <v>448</v>
      </c>
      <c r="C3003" s="2" t="s">
        <v>12</v>
      </c>
      <c r="D3003" s="2" t="str">
        <f aca="false">IF(4キー同時!$B$6="","",4キー同時!$B$6)</f>
        <v/>
      </c>
      <c r="E3003" s="2" t="str">
        <f aca="false">IF(4キー同時!$G$6="","",4キー同時!$G$6)</f>
        <v/>
      </c>
      <c r="F3003" s="2" t="str">
        <f aca="false">IF(4キー同時!$L$6="","",4キー同時!$L$6)</f>
        <v/>
      </c>
      <c r="G3003" s="2" t="str">
        <f aca="false">IF(OR(4キー同時!$B$6="",4キー同時!$G$6="",4キー同時!$L$6=""),"",IF(4キー同時!H10="","",SUBSTITUTE(SUBSTITUTE(4キー同時!H10," ",""),"　","")))</f>
        <v/>
      </c>
      <c r="H3003" s="2" t="str">
        <f aca="false">IF($G3003="","",4キー同時!$B$6)</f>
        <v/>
      </c>
      <c r="I3003" s="2" t="str">
        <f aca="false">IF($G3003="","",4キー同時!$G$6)</f>
        <v/>
      </c>
      <c r="J3003" s="2" t="str">
        <f aca="false">IF($G3003="","",4キー同時!$L$6)</f>
        <v/>
      </c>
      <c r="K3003" s="2" t="str">
        <f aca="false">IF($G3003="","","q")</f>
        <v/>
      </c>
      <c r="L3003" s="2" t="str">
        <f aca="false">IF($G3003="","","同時")</f>
        <v/>
      </c>
      <c r="M3003" s="2" t="str">
        <f aca="false">IF($G3003="","",IF(ISNA(MATCH($G3003,個別指定!$A:$A,0)),"行なし",""))</f>
        <v/>
      </c>
      <c r="N3003" s="2" t="str">
        <f aca="false">IF($G3003="","",IF(COUNTIF($G$2:$G$4460,$G3003)&gt;1,"重複",""))</f>
        <v/>
      </c>
    </row>
    <row r="3004" customFormat="false" ht="16.5" hidden="false" customHeight="true" outlineLevel="0" collapsed="false">
      <c r="A3004" s="2" t="s">
        <v>447</v>
      </c>
      <c r="B3004" s="2" t="s">
        <v>448</v>
      </c>
      <c r="C3004" s="2" t="s">
        <v>13</v>
      </c>
      <c r="D3004" s="2" t="str">
        <f aca="false">IF(4キー同時!$B$6="","",4キー同時!$B$6)</f>
        <v/>
      </c>
      <c r="E3004" s="2" t="str">
        <f aca="false">IF(4キー同時!$G$6="","",4キー同時!$G$6)</f>
        <v/>
      </c>
      <c r="F3004" s="2" t="str">
        <f aca="false">IF(4キー同時!$L$6="","",4キー同時!$L$6)</f>
        <v/>
      </c>
      <c r="G3004" s="2" t="str">
        <f aca="false">IF(OR(4キー同時!$B$6="",4キー同時!$G$6="",4キー同時!$L$6=""),"",IF(4キー同時!L10="","",SUBSTITUTE(SUBSTITUTE(4キー同時!L10," ",""),"　","")))</f>
        <v/>
      </c>
      <c r="H3004" s="2" t="str">
        <f aca="false">IF($G3004="","",4キー同時!$B$6)</f>
        <v/>
      </c>
      <c r="I3004" s="2" t="str">
        <f aca="false">IF($G3004="","",4キー同時!$G$6)</f>
        <v/>
      </c>
      <c r="J3004" s="2" t="str">
        <f aca="false">IF($G3004="","",4キー同時!$L$6)</f>
        <v/>
      </c>
      <c r="K3004" s="2" t="str">
        <f aca="false">IF($G3004="","","w")</f>
        <v/>
      </c>
      <c r="L3004" s="2" t="str">
        <f aca="false">IF($G3004="","","同時")</f>
        <v/>
      </c>
      <c r="M3004" s="2" t="str">
        <f aca="false">IF($G3004="","",IF(ISNA(MATCH($G3004,個別指定!$A:$A,0)),"行なし",""))</f>
        <v/>
      </c>
      <c r="N3004" s="2" t="str">
        <f aca="false">IF($G3004="","",IF(COUNTIF($G$2:$G$4460,$G3004)&gt;1,"重複",""))</f>
        <v/>
      </c>
    </row>
    <row r="3005" customFormat="false" ht="16.5" hidden="false" customHeight="true" outlineLevel="0" collapsed="false">
      <c r="A3005" s="2" t="s">
        <v>447</v>
      </c>
      <c r="B3005" s="2" t="s">
        <v>448</v>
      </c>
      <c r="C3005" s="2" t="s">
        <v>14</v>
      </c>
      <c r="D3005" s="2" t="str">
        <f aca="false">IF(4キー同時!$B$6="","",4キー同時!$B$6)</f>
        <v/>
      </c>
      <c r="E3005" s="2" t="str">
        <f aca="false">IF(4キー同時!$G$6="","",4キー同時!$G$6)</f>
        <v/>
      </c>
      <c r="F3005" s="2" t="str">
        <f aca="false">IF(4キー同時!$L$6="","",4キー同時!$L$6)</f>
        <v/>
      </c>
      <c r="G3005" s="2" t="str">
        <f aca="false">IF(OR(4キー同時!$B$6="",4キー同時!$G$6="",4キー同時!$L$6=""),"",IF(4キー同時!P10="","",SUBSTITUTE(SUBSTITUTE(4キー同時!P10," ",""),"　","")))</f>
        <v/>
      </c>
      <c r="H3005" s="2" t="str">
        <f aca="false">IF($G3005="","",4キー同時!$B$6)</f>
        <v/>
      </c>
      <c r="I3005" s="2" t="str">
        <f aca="false">IF($G3005="","",4キー同時!$G$6)</f>
        <v/>
      </c>
      <c r="J3005" s="2" t="str">
        <f aca="false">IF($G3005="","",4キー同時!$L$6)</f>
        <v/>
      </c>
      <c r="K3005" s="2" t="str">
        <f aca="false">IF($G3005="","","e")</f>
        <v/>
      </c>
      <c r="L3005" s="2" t="str">
        <f aca="false">IF($G3005="","","同時")</f>
        <v/>
      </c>
      <c r="M3005" s="2" t="str">
        <f aca="false">IF($G3005="","",IF(ISNA(MATCH($G3005,個別指定!$A:$A,0)),"行なし",""))</f>
        <v/>
      </c>
      <c r="N3005" s="2" t="str">
        <f aca="false">IF($G3005="","",IF(COUNTIF($G$2:$G$4460,$G3005)&gt;1,"重複",""))</f>
        <v/>
      </c>
    </row>
    <row r="3006" customFormat="false" ht="16.5" hidden="false" customHeight="true" outlineLevel="0" collapsed="false">
      <c r="A3006" s="2" t="s">
        <v>447</v>
      </c>
      <c r="B3006" s="2" t="s">
        <v>448</v>
      </c>
      <c r="C3006" s="2" t="s">
        <v>15</v>
      </c>
      <c r="D3006" s="2" t="str">
        <f aca="false">IF(4キー同時!$B$6="","",4キー同時!$B$6)</f>
        <v/>
      </c>
      <c r="E3006" s="2" t="str">
        <f aca="false">IF(4キー同時!$G$6="","",4キー同時!$G$6)</f>
        <v/>
      </c>
      <c r="F3006" s="2" t="str">
        <f aca="false">IF(4キー同時!$L$6="","",4キー同時!$L$6)</f>
        <v/>
      </c>
      <c r="G3006" s="2" t="str">
        <f aca="false">IF(OR(4キー同時!$B$6="",4キー同時!$G$6="",4キー同時!$L$6=""),"",IF(4キー同時!T10="","",SUBSTITUTE(SUBSTITUTE(4キー同時!T10," ",""),"　","")))</f>
        <v/>
      </c>
      <c r="H3006" s="2" t="str">
        <f aca="false">IF($G3006="","",4キー同時!$B$6)</f>
        <v/>
      </c>
      <c r="I3006" s="2" t="str">
        <f aca="false">IF($G3006="","",4キー同時!$G$6)</f>
        <v/>
      </c>
      <c r="J3006" s="2" t="str">
        <f aca="false">IF($G3006="","",4キー同時!$L$6)</f>
        <v/>
      </c>
      <c r="K3006" s="2" t="str">
        <f aca="false">IF($G3006="","","r")</f>
        <v/>
      </c>
      <c r="L3006" s="2" t="str">
        <f aca="false">IF($G3006="","","同時")</f>
        <v/>
      </c>
      <c r="M3006" s="2" t="str">
        <f aca="false">IF($G3006="","",IF(ISNA(MATCH($G3006,個別指定!$A:$A,0)),"行なし",""))</f>
        <v/>
      </c>
      <c r="N3006" s="2" t="str">
        <f aca="false">IF($G3006="","",IF(COUNTIF($G$2:$G$4460,$G3006)&gt;1,"重複",""))</f>
        <v/>
      </c>
    </row>
    <row r="3007" customFormat="false" ht="16.5" hidden="false" customHeight="true" outlineLevel="0" collapsed="false">
      <c r="A3007" s="2" t="s">
        <v>447</v>
      </c>
      <c r="B3007" s="2" t="s">
        <v>448</v>
      </c>
      <c r="C3007" s="2" t="s">
        <v>16</v>
      </c>
      <c r="D3007" s="2" t="str">
        <f aca="false">IF(4キー同時!$B$6="","",4キー同時!$B$6)</f>
        <v/>
      </c>
      <c r="E3007" s="2" t="str">
        <f aca="false">IF(4キー同時!$G$6="","",4キー同時!$G$6)</f>
        <v/>
      </c>
      <c r="F3007" s="2" t="str">
        <f aca="false">IF(4キー同時!$L$6="","",4キー同時!$L$6)</f>
        <v/>
      </c>
      <c r="G3007" s="2" t="str">
        <f aca="false">IF(OR(4キー同時!$B$6="",4キー同時!$G$6="",4キー同時!$L$6=""),"",IF(4キー同時!X10="","",SUBSTITUTE(SUBSTITUTE(4キー同時!X10," ",""),"　","")))</f>
        <v/>
      </c>
      <c r="H3007" s="2" t="str">
        <f aca="false">IF($G3007="","",4キー同時!$B$6)</f>
        <v/>
      </c>
      <c r="I3007" s="2" t="str">
        <f aca="false">IF($G3007="","",4キー同時!$G$6)</f>
        <v/>
      </c>
      <c r="J3007" s="2" t="str">
        <f aca="false">IF($G3007="","",4キー同時!$L$6)</f>
        <v/>
      </c>
      <c r="K3007" s="2" t="str">
        <f aca="false">IF($G3007="","","t")</f>
        <v/>
      </c>
      <c r="L3007" s="2" t="str">
        <f aca="false">IF($G3007="","","同時")</f>
        <v/>
      </c>
      <c r="M3007" s="2" t="str">
        <f aca="false">IF($G3007="","",IF(ISNA(MATCH($G3007,個別指定!$A:$A,0)),"行なし",""))</f>
        <v/>
      </c>
      <c r="N3007" s="2" t="str">
        <f aca="false">IF($G3007="","",IF(COUNTIF($G$2:$G$4460,$G3007)&gt;1,"重複",""))</f>
        <v/>
      </c>
    </row>
    <row r="3008" customFormat="false" ht="16.5" hidden="false" customHeight="true" outlineLevel="0" collapsed="false">
      <c r="A3008" s="2" t="s">
        <v>447</v>
      </c>
      <c r="B3008" s="2" t="s">
        <v>448</v>
      </c>
      <c r="C3008" s="2" t="s">
        <v>17</v>
      </c>
      <c r="D3008" s="2" t="str">
        <f aca="false">IF(4キー同時!$B$6="","",4キー同時!$B$6)</f>
        <v/>
      </c>
      <c r="E3008" s="2" t="str">
        <f aca="false">IF(4キー同時!$G$6="","",4キー同時!$G$6)</f>
        <v/>
      </c>
      <c r="F3008" s="2" t="str">
        <f aca="false">IF(4キー同時!$L$6="","",4キー同時!$L$6)</f>
        <v/>
      </c>
      <c r="G3008" s="2" t="str">
        <f aca="false">IF(OR(4キー同時!$B$6="",4キー同時!$G$6="",4キー同時!$L$6=""),"",IF(4キー同時!AB10="","",SUBSTITUTE(SUBSTITUTE(4キー同時!AB10," ",""),"　","")))</f>
        <v/>
      </c>
      <c r="H3008" s="2" t="str">
        <f aca="false">IF($G3008="","",4キー同時!$B$6)</f>
        <v/>
      </c>
      <c r="I3008" s="2" t="str">
        <f aca="false">IF($G3008="","",4キー同時!$G$6)</f>
        <v/>
      </c>
      <c r="J3008" s="2" t="str">
        <f aca="false">IF($G3008="","",4キー同時!$L$6)</f>
        <v/>
      </c>
      <c r="K3008" s="2" t="str">
        <f aca="false">IF($G3008="","","y")</f>
        <v/>
      </c>
      <c r="L3008" s="2" t="str">
        <f aca="false">IF($G3008="","","同時")</f>
        <v/>
      </c>
      <c r="M3008" s="2" t="str">
        <f aca="false">IF($G3008="","",IF(ISNA(MATCH($G3008,個別指定!$A:$A,0)),"行なし",""))</f>
        <v/>
      </c>
      <c r="N3008" s="2" t="str">
        <f aca="false">IF($G3008="","",IF(COUNTIF($G$2:$G$4460,$G3008)&gt;1,"重複",""))</f>
        <v/>
      </c>
    </row>
    <row r="3009" customFormat="false" ht="16.5" hidden="false" customHeight="true" outlineLevel="0" collapsed="false">
      <c r="A3009" s="2" t="s">
        <v>447</v>
      </c>
      <c r="B3009" s="2" t="s">
        <v>448</v>
      </c>
      <c r="C3009" s="2" t="s">
        <v>18</v>
      </c>
      <c r="D3009" s="2" t="str">
        <f aca="false">IF(4キー同時!$B$6="","",4キー同時!$B$6)</f>
        <v/>
      </c>
      <c r="E3009" s="2" t="str">
        <f aca="false">IF(4キー同時!$G$6="","",4キー同時!$G$6)</f>
        <v/>
      </c>
      <c r="F3009" s="2" t="str">
        <f aca="false">IF(4キー同時!$L$6="","",4キー同時!$L$6)</f>
        <v/>
      </c>
      <c r="G3009" s="2" t="str">
        <f aca="false">IF(OR(4キー同時!$B$6="",4キー同時!$G$6="",4キー同時!$L$6=""),"",IF(4キー同時!AF10="","",SUBSTITUTE(SUBSTITUTE(4キー同時!AF10," ",""),"　","")))</f>
        <v/>
      </c>
      <c r="H3009" s="2" t="str">
        <f aca="false">IF($G3009="","",4キー同時!$B$6)</f>
        <v/>
      </c>
      <c r="I3009" s="2" t="str">
        <f aca="false">IF($G3009="","",4キー同時!$G$6)</f>
        <v/>
      </c>
      <c r="J3009" s="2" t="str">
        <f aca="false">IF($G3009="","",4キー同時!$L$6)</f>
        <v/>
      </c>
      <c r="K3009" s="2" t="str">
        <f aca="false">IF($G3009="","","u")</f>
        <v/>
      </c>
      <c r="L3009" s="2" t="str">
        <f aca="false">IF($G3009="","","同時")</f>
        <v/>
      </c>
      <c r="M3009" s="2" t="str">
        <f aca="false">IF($G3009="","",IF(ISNA(MATCH($G3009,個別指定!$A:$A,0)),"行なし",""))</f>
        <v/>
      </c>
      <c r="N3009" s="2" t="str">
        <f aca="false">IF($G3009="","",IF(COUNTIF($G$2:$G$4460,$G3009)&gt;1,"重複",""))</f>
        <v/>
      </c>
    </row>
    <row r="3010" customFormat="false" ht="16.5" hidden="false" customHeight="true" outlineLevel="0" collapsed="false">
      <c r="A3010" s="2" t="s">
        <v>447</v>
      </c>
      <c r="B3010" s="2" t="s">
        <v>448</v>
      </c>
      <c r="C3010" s="2" t="s">
        <v>19</v>
      </c>
      <c r="D3010" s="2" t="str">
        <f aca="false">IF(4キー同時!$B$6="","",4キー同時!$B$6)</f>
        <v/>
      </c>
      <c r="E3010" s="2" t="str">
        <f aca="false">IF(4キー同時!$G$6="","",4キー同時!$G$6)</f>
        <v/>
      </c>
      <c r="F3010" s="2" t="str">
        <f aca="false">IF(4キー同時!$L$6="","",4キー同時!$L$6)</f>
        <v/>
      </c>
      <c r="G3010" s="2" t="str">
        <f aca="false">IF(OR(4キー同時!$B$6="",4キー同時!$G$6="",4キー同時!$L$6=""),"",IF(4キー同時!AJ10="","",SUBSTITUTE(SUBSTITUTE(4キー同時!AJ10," ",""),"　","")))</f>
        <v/>
      </c>
      <c r="H3010" s="2" t="str">
        <f aca="false">IF($G3010="","",4キー同時!$B$6)</f>
        <v/>
      </c>
      <c r="I3010" s="2" t="str">
        <f aca="false">IF($G3010="","",4キー同時!$G$6)</f>
        <v/>
      </c>
      <c r="J3010" s="2" t="str">
        <f aca="false">IF($G3010="","",4キー同時!$L$6)</f>
        <v/>
      </c>
      <c r="K3010" s="2" t="str">
        <f aca="false">IF($G3010="","","i")</f>
        <v/>
      </c>
      <c r="L3010" s="2" t="str">
        <f aca="false">IF($G3010="","","同時")</f>
        <v/>
      </c>
      <c r="M3010" s="2" t="str">
        <f aca="false">IF($G3010="","",IF(ISNA(MATCH($G3010,個別指定!$A:$A,0)),"行なし",""))</f>
        <v/>
      </c>
      <c r="N3010" s="2" t="str">
        <f aca="false">IF($G3010="","",IF(COUNTIF($G$2:$G$4460,$G3010)&gt;1,"重複",""))</f>
        <v/>
      </c>
    </row>
    <row r="3011" customFormat="false" ht="16.5" hidden="false" customHeight="true" outlineLevel="0" collapsed="false">
      <c r="A3011" s="2" t="s">
        <v>447</v>
      </c>
      <c r="B3011" s="2" t="s">
        <v>448</v>
      </c>
      <c r="C3011" s="2" t="s">
        <v>20</v>
      </c>
      <c r="D3011" s="2" t="str">
        <f aca="false">IF(4キー同時!$B$6="","",4キー同時!$B$6)</f>
        <v/>
      </c>
      <c r="E3011" s="2" t="str">
        <f aca="false">IF(4キー同時!$G$6="","",4キー同時!$G$6)</f>
        <v/>
      </c>
      <c r="F3011" s="2" t="str">
        <f aca="false">IF(4キー同時!$L$6="","",4キー同時!$L$6)</f>
        <v/>
      </c>
      <c r="G3011" s="2" t="str">
        <f aca="false">IF(OR(4キー同時!$B$6="",4キー同時!$G$6="",4キー同時!$L$6=""),"",IF(4キー同時!AN10="","",SUBSTITUTE(SUBSTITUTE(4キー同時!AN10," ",""),"　","")))</f>
        <v/>
      </c>
      <c r="H3011" s="2" t="str">
        <f aca="false">IF($G3011="","",4キー同時!$B$6)</f>
        <v/>
      </c>
      <c r="I3011" s="2" t="str">
        <f aca="false">IF($G3011="","",4キー同時!$G$6)</f>
        <v/>
      </c>
      <c r="J3011" s="2" t="str">
        <f aca="false">IF($G3011="","",4キー同時!$L$6)</f>
        <v/>
      </c>
      <c r="K3011" s="2" t="str">
        <f aca="false">IF($G3011="","","o")</f>
        <v/>
      </c>
      <c r="L3011" s="2" t="str">
        <f aca="false">IF($G3011="","","同時")</f>
        <v/>
      </c>
      <c r="M3011" s="2" t="str">
        <f aca="false">IF($G3011="","",IF(ISNA(MATCH($G3011,個別指定!$A:$A,0)),"行なし",""))</f>
        <v/>
      </c>
      <c r="N3011" s="2" t="str">
        <f aca="false">IF($G3011="","",IF(COUNTIF($G$2:$G$4460,$G3011)&gt;1,"重複",""))</f>
        <v/>
      </c>
    </row>
    <row r="3012" customFormat="false" ht="16.5" hidden="false" customHeight="true" outlineLevel="0" collapsed="false">
      <c r="A3012" s="2" t="s">
        <v>447</v>
      </c>
      <c r="B3012" s="2" t="s">
        <v>448</v>
      </c>
      <c r="C3012" s="2" t="s">
        <v>21</v>
      </c>
      <c r="D3012" s="2" t="str">
        <f aca="false">IF(4キー同時!$B$6="","",4キー同時!$B$6)</f>
        <v/>
      </c>
      <c r="E3012" s="2" t="str">
        <f aca="false">IF(4キー同時!$G$6="","",4キー同時!$G$6)</f>
        <v/>
      </c>
      <c r="F3012" s="2" t="str">
        <f aca="false">IF(4キー同時!$L$6="","",4キー同時!$L$6)</f>
        <v/>
      </c>
      <c r="G3012" s="2" t="str">
        <f aca="false">IF(OR(4キー同時!$B$6="",4キー同時!$G$6="",4キー同時!$L$6=""),"",IF(4キー同時!AR10="","",SUBSTITUTE(SUBSTITUTE(4キー同時!AR10," ",""),"　","")))</f>
        <v/>
      </c>
      <c r="H3012" s="2" t="str">
        <f aca="false">IF($G3012="","",4キー同時!$B$6)</f>
        <v/>
      </c>
      <c r="I3012" s="2" t="str">
        <f aca="false">IF($G3012="","",4キー同時!$G$6)</f>
        <v/>
      </c>
      <c r="J3012" s="2" t="str">
        <f aca="false">IF($G3012="","",4キー同時!$L$6)</f>
        <v/>
      </c>
      <c r="K3012" s="2" t="str">
        <f aca="false">IF($G3012="","","p")</f>
        <v/>
      </c>
      <c r="L3012" s="2" t="str">
        <f aca="false">IF($G3012="","","同時")</f>
        <v/>
      </c>
      <c r="M3012" s="2" t="str">
        <f aca="false">IF($G3012="","",IF(ISNA(MATCH($G3012,個別指定!$A:$A,0)),"行なし",""))</f>
        <v/>
      </c>
      <c r="N3012" s="2" t="str">
        <f aca="false">IF($G3012="","",IF(COUNTIF($G$2:$G$4460,$G3012)&gt;1,"重複",""))</f>
        <v/>
      </c>
    </row>
    <row r="3013" customFormat="false" ht="16.5" hidden="false" customHeight="true" outlineLevel="0" collapsed="false">
      <c r="A3013" s="2" t="s">
        <v>447</v>
      </c>
      <c r="B3013" s="2" t="s">
        <v>448</v>
      </c>
      <c r="C3013" s="2" t="s">
        <v>22</v>
      </c>
      <c r="D3013" s="2" t="str">
        <f aca="false">IF(4キー同時!$B$6="","",4キー同時!$B$6)</f>
        <v/>
      </c>
      <c r="E3013" s="2" t="str">
        <f aca="false">IF(4キー同時!$G$6="","",4キー同時!$G$6)</f>
        <v/>
      </c>
      <c r="F3013" s="2" t="str">
        <f aca="false">IF(4キー同時!$L$6="","",4キー同時!$L$6)</f>
        <v/>
      </c>
      <c r="G3013" s="2" t="str">
        <f aca="false">IF(OR(4キー同時!$B$6="",4キー同時!$G$6="",4キー同時!$L$6=""),"",IF(4キー同時!AV10="","",SUBSTITUTE(SUBSTITUTE(4キー同時!AV10," ",""),"　","")))</f>
        <v/>
      </c>
      <c r="H3013" s="2" t="str">
        <f aca="false">IF($G3013="","",4キー同時!$B$6)</f>
        <v/>
      </c>
      <c r="I3013" s="2" t="str">
        <f aca="false">IF($G3013="","",4キー同時!$G$6)</f>
        <v/>
      </c>
      <c r="J3013" s="2" t="str">
        <f aca="false">IF($G3013="","",4キー同時!$L$6)</f>
        <v/>
      </c>
      <c r="K3013" s="2" t="str">
        <f aca="false">IF($G3013="","","[")</f>
        <v/>
      </c>
      <c r="L3013" s="2" t="str">
        <f aca="false">IF($G3013="","","同時")</f>
        <v/>
      </c>
      <c r="M3013" s="2" t="str">
        <f aca="false">IF($G3013="","",IF(ISNA(MATCH($G3013,個別指定!$A:$A,0)),"行なし",""))</f>
        <v/>
      </c>
      <c r="N3013" s="2" t="str">
        <f aca="false">IF($G3013="","",IF(COUNTIF($G$2:$G$4460,$G3013)&gt;1,"重複",""))</f>
        <v/>
      </c>
    </row>
    <row r="3014" customFormat="false" ht="16.5" hidden="false" customHeight="true" outlineLevel="0" collapsed="false">
      <c r="A3014" s="2" t="s">
        <v>447</v>
      </c>
      <c r="B3014" s="2" t="s">
        <v>448</v>
      </c>
      <c r="C3014" s="2" t="s">
        <v>23</v>
      </c>
      <c r="D3014" s="2" t="str">
        <f aca="false">IF(4キー同時!$B$6="","",4キー同時!$B$6)</f>
        <v/>
      </c>
      <c r="E3014" s="2" t="str">
        <f aca="false">IF(4キー同時!$G$6="","",4キー同時!$G$6)</f>
        <v/>
      </c>
      <c r="F3014" s="2" t="str">
        <f aca="false">IF(4キー同時!$L$6="","",4キー同時!$L$6)</f>
        <v/>
      </c>
      <c r="G3014" s="2" t="str">
        <f aca="false">IF(OR(4キー同時!$B$6="",4キー同時!$G$6="",4キー同時!$L$6=""),"",IF(4キー同時!AZ10="","",SUBSTITUTE(SUBSTITUTE(4キー同時!AZ10," ",""),"　","")))</f>
        <v/>
      </c>
      <c r="H3014" s="2" t="str">
        <f aca="false">IF($G3014="","",4キー同時!$B$6)</f>
        <v/>
      </c>
      <c r="I3014" s="2" t="str">
        <f aca="false">IF($G3014="","",4キー同時!$G$6)</f>
        <v/>
      </c>
      <c r="J3014" s="2" t="str">
        <f aca="false">IF($G3014="","",4キー同時!$L$6)</f>
        <v/>
      </c>
      <c r="K3014" s="2" t="str">
        <f aca="false">IF($G3014="","","]")</f>
        <v/>
      </c>
      <c r="L3014" s="2" t="str">
        <f aca="false">IF($G3014="","","同時")</f>
        <v/>
      </c>
      <c r="M3014" s="2" t="str">
        <f aca="false">IF($G3014="","",IF(ISNA(MATCH($G3014,個別指定!$A:$A,0)),"行なし",""))</f>
        <v/>
      </c>
      <c r="N3014" s="2" t="str">
        <f aca="false">IF($G3014="","",IF(COUNTIF($G$2:$G$4460,$G3014)&gt;1,"重複",""))</f>
        <v/>
      </c>
    </row>
    <row r="3015" customFormat="false" ht="16.5" hidden="false" customHeight="true" outlineLevel="0" collapsed="false">
      <c r="A3015" s="2" t="s">
        <v>447</v>
      </c>
      <c r="B3015" s="2" t="s">
        <v>448</v>
      </c>
      <c r="C3015" s="2" t="s">
        <v>24</v>
      </c>
      <c r="D3015" s="2" t="str">
        <f aca="false">IF(4キー同時!$B$6="","",4キー同時!$B$6)</f>
        <v/>
      </c>
      <c r="E3015" s="2" t="str">
        <f aca="false">IF(4キー同時!$G$6="","",4キー同時!$G$6)</f>
        <v/>
      </c>
      <c r="F3015" s="2" t="str">
        <f aca="false">IF(4キー同時!$L$6="","",4キー同時!$L$6)</f>
        <v/>
      </c>
      <c r="G3015" s="2" t="str">
        <f aca="false">IF(OR(4キー同時!$B$6="",4キー同時!$G$6="",4キー同時!$L$6=""),"",IF(4キー同時!I12="","",SUBSTITUTE(SUBSTITUTE(4キー同時!I12," ",""),"　","")))</f>
        <v/>
      </c>
      <c r="H3015" s="2" t="str">
        <f aca="false">IF($G3015="","",4キー同時!$B$6)</f>
        <v/>
      </c>
      <c r="I3015" s="2" t="str">
        <f aca="false">IF($G3015="","",4キー同時!$G$6)</f>
        <v/>
      </c>
      <c r="J3015" s="2" t="str">
        <f aca="false">IF($G3015="","",4キー同時!$L$6)</f>
        <v/>
      </c>
      <c r="K3015" s="2" t="str">
        <f aca="false">IF($G3015="","","a")</f>
        <v/>
      </c>
      <c r="L3015" s="2" t="str">
        <f aca="false">IF($G3015="","","同時")</f>
        <v/>
      </c>
      <c r="M3015" s="2" t="str">
        <f aca="false">IF($G3015="","",IF(ISNA(MATCH($G3015,個別指定!$A:$A,0)),"行なし",""))</f>
        <v/>
      </c>
      <c r="N3015" s="2" t="str">
        <f aca="false">IF($G3015="","",IF(COUNTIF($G$2:$G$4460,$G3015)&gt;1,"重複",""))</f>
        <v/>
      </c>
    </row>
    <row r="3016" customFormat="false" ht="16.5" hidden="false" customHeight="true" outlineLevel="0" collapsed="false">
      <c r="A3016" s="2" t="s">
        <v>447</v>
      </c>
      <c r="B3016" s="2" t="s">
        <v>448</v>
      </c>
      <c r="C3016" s="2" t="s">
        <v>25</v>
      </c>
      <c r="D3016" s="2" t="str">
        <f aca="false">IF(4キー同時!$B$6="","",4キー同時!$B$6)</f>
        <v/>
      </c>
      <c r="E3016" s="2" t="str">
        <f aca="false">IF(4キー同時!$G$6="","",4キー同時!$G$6)</f>
        <v/>
      </c>
      <c r="F3016" s="2" t="str">
        <f aca="false">IF(4キー同時!$L$6="","",4キー同時!$L$6)</f>
        <v/>
      </c>
      <c r="G3016" s="2" t="str">
        <f aca="false">IF(OR(4キー同時!$B$6="",4キー同時!$G$6="",4キー同時!$L$6=""),"",IF(4キー同時!M12="","",SUBSTITUTE(SUBSTITUTE(4キー同時!M12," ",""),"　","")))</f>
        <v/>
      </c>
      <c r="H3016" s="2" t="str">
        <f aca="false">IF($G3016="","",4キー同時!$B$6)</f>
        <v/>
      </c>
      <c r="I3016" s="2" t="str">
        <f aca="false">IF($G3016="","",4キー同時!$G$6)</f>
        <v/>
      </c>
      <c r="J3016" s="2" t="str">
        <f aca="false">IF($G3016="","",4キー同時!$L$6)</f>
        <v/>
      </c>
      <c r="K3016" s="2" t="str">
        <f aca="false">IF($G3016="","","s")</f>
        <v/>
      </c>
      <c r="L3016" s="2" t="str">
        <f aca="false">IF($G3016="","","同時")</f>
        <v/>
      </c>
      <c r="M3016" s="2" t="str">
        <f aca="false">IF($G3016="","",IF(ISNA(MATCH($G3016,個別指定!$A:$A,0)),"行なし",""))</f>
        <v/>
      </c>
      <c r="N3016" s="2" t="str">
        <f aca="false">IF($G3016="","",IF(COUNTIF($G$2:$G$4460,$G3016)&gt;1,"重複",""))</f>
        <v/>
      </c>
    </row>
    <row r="3017" customFormat="false" ht="16.5" hidden="false" customHeight="true" outlineLevel="0" collapsed="false">
      <c r="A3017" s="2" t="s">
        <v>447</v>
      </c>
      <c r="B3017" s="2" t="s">
        <v>448</v>
      </c>
      <c r="C3017" s="2" t="s">
        <v>26</v>
      </c>
      <c r="D3017" s="2" t="str">
        <f aca="false">IF(4キー同時!$B$6="","",4キー同時!$B$6)</f>
        <v/>
      </c>
      <c r="E3017" s="2" t="str">
        <f aca="false">IF(4キー同時!$G$6="","",4キー同時!$G$6)</f>
        <v/>
      </c>
      <c r="F3017" s="2" t="str">
        <f aca="false">IF(4キー同時!$L$6="","",4キー同時!$L$6)</f>
        <v/>
      </c>
      <c r="G3017" s="2" t="str">
        <f aca="false">IF(OR(4キー同時!$B$6="",4キー同時!$G$6="",4キー同時!$L$6=""),"",IF(4キー同時!Q12="","",SUBSTITUTE(SUBSTITUTE(4キー同時!Q12," ",""),"　","")))</f>
        <v/>
      </c>
      <c r="H3017" s="2" t="str">
        <f aca="false">IF($G3017="","",4キー同時!$B$6)</f>
        <v/>
      </c>
      <c r="I3017" s="2" t="str">
        <f aca="false">IF($G3017="","",4キー同時!$G$6)</f>
        <v/>
      </c>
      <c r="J3017" s="2" t="str">
        <f aca="false">IF($G3017="","",4キー同時!$L$6)</f>
        <v/>
      </c>
      <c r="K3017" s="2" t="str">
        <f aca="false">IF($G3017="","","d")</f>
        <v/>
      </c>
      <c r="L3017" s="2" t="str">
        <f aca="false">IF($G3017="","","同時")</f>
        <v/>
      </c>
      <c r="M3017" s="2" t="str">
        <f aca="false">IF($G3017="","",IF(ISNA(MATCH($G3017,個別指定!$A:$A,0)),"行なし",""))</f>
        <v/>
      </c>
      <c r="N3017" s="2" t="str">
        <f aca="false">IF($G3017="","",IF(COUNTIF($G$2:$G$4460,$G3017)&gt;1,"重複",""))</f>
        <v/>
      </c>
    </row>
    <row r="3018" customFormat="false" ht="16.5" hidden="false" customHeight="true" outlineLevel="0" collapsed="false">
      <c r="A3018" s="2" t="s">
        <v>447</v>
      </c>
      <c r="B3018" s="2" t="s">
        <v>448</v>
      </c>
      <c r="C3018" s="2" t="s">
        <v>27</v>
      </c>
      <c r="D3018" s="2" t="str">
        <f aca="false">IF(4キー同時!$B$6="","",4キー同時!$B$6)</f>
        <v/>
      </c>
      <c r="E3018" s="2" t="str">
        <f aca="false">IF(4キー同時!$G$6="","",4キー同時!$G$6)</f>
        <v/>
      </c>
      <c r="F3018" s="2" t="str">
        <f aca="false">IF(4キー同時!$L$6="","",4キー同時!$L$6)</f>
        <v/>
      </c>
      <c r="G3018" s="2" t="str">
        <f aca="false">IF(OR(4キー同時!$B$6="",4キー同時!$G$6="",4キー同時!$L$6=""),"",IF(4キー同時!U12="","",SUBSTITUTE(SUBSTITUTE(4キー同時!U12," ",""),"　","")))</f>
        <v/>
      </c>
      <c r="H3018" s="2" t="str">
        <f aca="false">IF($G3018="","",4キー同時!$B$6)</f>
        <v/>
      </c>
      <c r="I3018" s="2" t="str">
        <f aca="false">IF($G3018="","",4キー同時!$G$6)</f>
        <v/>
      </c>
      <c r="J3018" s="2" t="str">
        <f aca="false">IF($G3018="","",4キー同時!$L$6)</f>
        <v/>
      </c>
      <c r="K3018" s="2" t="str">
        <f aca="false">IF($G3018="","","f")</f>
        <v/>
      </c>
      <c r="L3018" s="2" t="str">
        <f aca="false">IF($G3018="","","同時")</f>
        <v/>
      </c>
      <c r="M3018" s="2" t="str">
        <f aca="false">IF($G3018="","",IF(ISNA(MATCH($G3018,個別指定!$A:$A,0)),"行なし",""))</f>
        <v/>
      </c>
      <c r="N3018" s="2" t="str">
        <f aca="false">IF($G3018="","",IF(COUNTIF($G$2:$G$4460,$G3018)&gt;1,"重複",""))</f>
        <v/>
      </c>
    </row>
    <row r="3019" customFormat="false" ht="16.5" hidden="false" customHeight="true" outlineLevel="0" collapsed="false">
      <c r="A3019" s="2" t="s">
        <v>447</v>
      </c>
      <c r="B3019" s="2" t="s">
        <v>448</v>
      </c>
      <c r="C3019" s="2" t="s">
        <v>28</v>
      </c>
      <c r="D3019" s="2" t="str">
        <f aca="false">IF(4キー同時!$B$6="","",4キー同時!$B$6)</f>
        <v/>
      </c>
      <c r="E3019" s="2" t="str">
        <f aca="false">IF(4キー同時!$G$6="","",4キー同時!$G$6)</f>
        <v/>
      </c>
      <c r="F3019" s="2" t="str">
        <f aca="false">IF(4キー同時!$L$6="","",4キー同時!$L$6)</f>
        <v/>
      </c>
      <c r="G3019" s="2" t="str">
        <f aca="false">IF(OR(4キー同時!$B$6="",4キー同時!$G$6="",4キー同時!$L$6=""),"",IF(4キー同時!Y12="","",SUBSTITUTE(SUBSTITUTE(4キー同時!Y12," ",""),"　","")))</f>
        <v/>
      </c>
      <c r="H3019" s="2" t="str">
        <f aca="false">IF($G3019="","",4キー同時!$B$6)</f>
        <v/>
      </c>
      <c r="I3019" s="2" t="str">
        <f aca="false">IF($G3019="","",4キー同時!$G$6)</f>
        <v/>
      </c>
      <c r="J3019" s="2" t="str">
        <f aca="false">IF($G3019="","",4キー同時!$L$6)</f>
        <v/>
      </c>
      <c r="K3019" s="2" t="str">
        <f aca="false">IF($G3019="","","g")</f>
        <v/>
      </c>
      <c r="L3019" s="2" t="str">
        <f aca="false">IF($G3019="","","同時")</f>
        <v/>
      </c>
      <c r="M3019" s="2" t="str">
        <f aca="false">IF($G3019="","",IF(ISNA(MATCH($G3019,個別指定!$A:$A,0)),"行なし",""))</f>
        <v/>
      </c>
      <c r="N3019" s="2" t="str">
        <f aca="false">IF($G3019="","",IF(COUNTIF($G$2:$G$4460,$G3019)&gt;1,"重複",""))</f>
        <v/>
      </c>
    </row>
    <row r="3020" customFormat="false" ht="16.5" hidden="false" customHeight="true" outlineLevel="0" collapsed="false">
      <c r="A3020" s="2" t="s">
        <v>447</v>
      </c>
      <c r="B3020" s="2" t="s">
        <v>448</v>
      </c>
      <c r="C3020" s="2" t="s">
        <v>29</v>
      </c>
      <c r="D3020" s="2" t="str">
        <f aca="false">IF(4キー同時!$B$6="","",4キー同時!$B$6)</f>
        <v/>
      </c>
      <c r="E3020" s="2" t="str">
        <f aca="false">IF(4キー同時!$G$6="","",4キー同時!$G$6)</f>
        <v/>
      </c>
      <c r="F3020" s="2" t="str">
        <f aca="false">IF(4キー同時!$L$6="","",4キー同時!$L$6)</f>
        <v/>
      </c>
      <c r="G3020" s="2" t="str">
        <f aca="false">IF(OR(4キー同時!$B$6="",4キー同時!$G$6="",4キー同時!$L$6=""),"",IF(4キー同時!AC12="","",SUBSTITUTE(SUBSTITUTE(4キー同時!AC12," ",""),"　","")))</f>
        <v/>
      </c>
      <c r="H3020" s="2" t="str">
        <f aca="false">IF($G3020="","",4キー同時!$B$6)</f>
        <v/>
      </c>
      <c r="I3020" s="2" t="str">
        <f aca="false">IF($G3020="","",4キー同時!$G$6)</f>
        <v/>
      </c>
      <c r="J3020" s="2" t="str">
        <f aca="false">IF($G3020="","",4キー同時!$L$6)</f>
        <v/>
      </c>
      <c r="K3020" s="2" t="str">
        <f aca="false">IF($G3020="","","h")</f>
        <v/>
      </c>
      <c r="L3020" s="2" t="str">
        <f aca="false">IF($G3020="","","同時")</f>
        <v/>
      </c>
      <c r="M3020" s="2" t="str">
        <f aca="false">IF($G3020="","",IF(ISNA(MATCH($G3020,個別指定!$A:$A,0)),"行なし",""))</f>
        <v/>
      </c>
      <c r="N3020" s="2" t="str">
        <f aca="false">IF($G3020="","",IF(COUNTIF($G$2:$G$4460,$G3020)&gt;1,"重複",""))</f>
        <v/>
      </c>
    </row>
    <row r="3021" customFormat="false" ht="16.5" hidden="false" customHeight="true" outlineLevel="0" collapsed="false">
      <c r="A3021" s="2" t="s">
        <v>447</v>
      </c>
      <c r="B3021" s="2" t="s">
        <v>448</v>
      </c>
      <c r="C3021" s="2" t="s">
        <v>30</v>
      </c>
      <c r="D3021" s="2" t="str">
        <f aca="false">IF(4キー同時!$B$6="","",4キー同時!$B$6)</f>
        <v/>
      </c>
      <c r="E3021" s="2" t="str">
        <f aca="false">IF(4キー同時!$G$6="","",4キー同時!$G$6)</f>
        <v/>
      </c>
      <c r="F3021" s="2" t="str">
        <f aca="false">IF(4キー同時!$L$6="","",4キー同時!$L$6)</f>
        <v/>
      </c>
      <c r="G3021" s="2" t="str">
        <f aca="false">IF(OR(4キー同時!$B$6="",4キー同時!$G$6="",4キー同時!$L$6=""),"",IF(4キー同時!AG12="","",SUBSTITUTE(SUBSTITUTE(4キー同時!AG12," ",""),"　","")))</f>
        <v/>
      </c>
      <c r="H3021" s="2" t="str">
        <f aca="false">IF($G3021="","",4キー同時!$B$6)</f>
        <v/>
      </c>
      <c r="I3021" s="2" t="str">
        <f aca="false">IF($G3021="","",4キー同時!$G$6)</f>
        <v/>
      </c>
      <c r="J3021" s="2" t="str">
        <f aca="false">IF($G3021="","",4キー同時!$L$6)</f>
        <v/>
      </c>
      <c r="K3021" s="2" t="str">
        <f aca="false">IF($G3021="","","j")</f>
        <v/>
      </c>
      <c r="L3021" s="2" t="str">
        <f aca="false">IF($G3021="","","同時")</f>
        <v/>
      </c>
      <c r="M3021" s="2" t="str">
        <f aca="false">IF($G3021="","",IF(ISNA(MATCH($G3021,個別指定!$A:$A,0)),"行なし",""))</f>
        <v/>
      </c>
      <c r="N3021" s="2" t="str">
        <f aca="false">IF($G3021="","",IF(COUNTIF($G$2:$G$4460,$G3021)&gt;1,"重複",""))</f>
        <v/>
      </c>
    </row>
    <row r="3022" customFormat="false" ht="16.5" hidden="false" customHeight="true" outlineLevel="0" collapsed="false">
      <c r="A3022" s="2" t="s">
        <v>447</v>
      </c>
      <c r="B3022" s="2" t="s">
        <v>448</v>
      </c>
      <c r="C3022" s="2" t="s">
        <v>31</v>
      </c>
      <c r="D3022" s="2" t="str">
        <f aca="false">IF(4キー同時!$B$6="","",4キー同時!$B$6)</f>
        <v/>
      </c>
      <c r="E3022" s="2" t="str">
        <f aca="false">IF(4キー同時!$G$6="","",4キー同時!$G$6)</f>
        <v/>
      </c>
      <c r="F3022" s="2" t="str">
        <f aca="false">IF(4キー同時!$L$6="","",4キー同時!$L$6)</f>
        <v/>
      </c>
      <c r="G3022" s="2" t="str">
        <f aca="false">IF(OR(4キー同時!$B$6="",4キー同時!$G$6="",4キー同時!$L$6=""),"",IF(4キー同時!AK12="","",SUBSTITUTE(SUBSTITUTE(4キー同時!AK12," ",""),"　","")))</f>
        <v/>
      </c>
      <c r="H3022" s="2" t="str">
        <f aca="false">IF($G3022="","",4キー同時!$B$6)</f>
        <v/>
      </c>
      <c r="I3022" s="2" t="str">
        <f aca="false">IF($G3022="","",4キー同時!$G$6)</f>
        <v/>
      </c>
      <c r="J3022" s="2" t="str">
        <f aca="false">IF($G3022="","",4キー同時!$L$6)</f>
        <v/>
      </c>
      <c r="K3022" s="2" t="str">
        <f aca="false">IF($G3022="","","k")</f>
        <v/>
      </c>
      <c r="L3022" s="2" t="str">
        <f aca="false">IF($G3022="","","同時")</f>
        <v/>
      </c>
      <c r="M3022" s="2" t="str">
        <f aca="false">IF($G3022="","",IF(ISNA(MATCH($G3022,個別指定!$A:$A,0)),"行なし",""))</f>
        <v/>
      </c>
      <c r="N3022" s="2" t="str">
        <f aca="false">IF($G3022="","",IF(COUNTIF($G$2:$G$4460,$G3022)&gt;1,"重複",""))</f>
        <v/>
      </c>
    </row>
    <row r="3023" customFormat="false" ht="16.5" hidden="false" customHeight="true" outlineLevel="0" collapsed="false">
      <c r="A3023" s="2" t="s">
        <v>447</v>
      </c>
      <c r="B3023" s="2" t="s">
        <v>448</v>
      </c>
      <c r="C3023" s="2" t="s">
        <v>32</v>
      </c>
      <c r="D3023" s="2" t="str">
        <f aca="false">IF(4キー同時!$B$6="","",4キー同時!$B$6)</f>
        <v/>
      </c>
      <c r="E3023" s="2" t="str">
        <f aca="false">IF(4キー同時!$G$6="","",4キー同時!$G$6)</f>
        <v/>
      </c>
      <c r="F3023" s="2" t="str">
        <f aca="false">IF(4キー同時!$L$6="","",4キー同時!$L$6)</f>
        <v/>
      </c>
      <c r="G3023" s="2" t="str">
        <f aca="false">IF(OR(4キー同時!$B$6="",4キー同時!$G$6="",4キー同時!$L$6=""),"",IF(4キー同時!AO12="","",SUBSTITUTE(SUBSTITUTE(4キー同時!AO12," ",""),"　","")))</f>
        <v/>
      </c>
      <c r="H3023" s="2" t="str">
        <f aca="false">IF($G3023="","",4キー同時!$B$6)</f>
        <v/>
      </c>
      <c r="I3023" s="2" t="str">
        <f aca="false">IF($G3023="","",4キー同時!$G$6)</f>
        <v/>
      </c>
      <c r="J3023" s="2" t="str">
        <f aca="false">IF($G3023="","",4キー同時!$L$6)</f>
        <v/>
      </c>
      <c r="K3023" s="2" t="str">
        <f aca="false">IF($G3023="","","l")</f>
        <v/>
      </c>
      <c r="L3023" s="2" t="str">
        <f aca="false">IF($G3023="","","同時")</f>
        <v/>
      </c>
      <c r="M3023" s="2" t="str">
        <f aca="false">IF($G3023="","",IF(ISNA(MATCH($G3023,個別指定!$A:$A,0)),"行なし",""))</f>
        <v/>
      </c>
      <c r="N3023" s="2" t="str">
        <f aca="false">IF($G3023="","",IF(COUNTIF($G$2:$G$4460,$G3023)&gt;1,"重複",""))</f>
        <v/>
      </c>
    </row>
    <row r="3024" customFormat="false" ht="16.5" hidden="false" customHeight="true" outlineLevel="0" collapsed="false">
      <c r="A3024" s="2" t="s">
        <v>447</v>
      </c>
      <c r="B3024" s="2" t="s">
        <v>448</v>
      </c>
      <c r="C3024" s="2" t="s">
        <v>33</v>
      </c>
      <c r="D3024" s="2" t="str">
        <f aca="false">IF(4キー同時!$B$6="","",4キー同時!$B$6)</f>
        <v/>
      </c>
      <c r="E3024" s="2" t="str">
        <f aca="false">IF(4キー同時!$G$6="","",4キー同時!$G$6)</f>
        <v/>
      </c>
      <c r="F3024" s="2" t="str">
        <f aca="false">IF(4キー同時!$L$6="","",4キー同時!$L$6)</f>
        <v/>
      </c>
      <c r="G3024" s="2" t="str">
        <f aca="false">IF(OR(4キー同時!$B$6="",4キー同時!$G$6="",4キー同時!$L$6=""),"",IF(4キー同時!AS12="","",SUBSTITUTE(SUBSTITUTE(4キー同時!AS12," ",""),"　","")))</f>
        <v/>
      </c>
      <c r="H3024" s="2" t="str">
        <f aca="false">IF($G3024="","",4キー同時!$B$6)</f>
        <v/>
      </c>
      <c r="I3024" s="2" t="str">
        <f aca="false">IF($G3024="","",4キー同時!$G$6)</f>
        <v/>
      </c>
      <c r="J3024" s="2" t="str">
        <f aca="false">IF($G3024="","",4キー同時!$L$6)</f>
        <v/>
      </c>
      <c r="K3024" s="2" t="str">
        <f aca="false">IF($G3024="","",";")</f>
        <v/>
      </c>
      <c r="L3024" s="2" t="str">
        <f aca="false">IF($G3024="","","同時")</f>
        <v/>
      </c>
      <c r="M3024" s="2" t="str">
        <f aca="false">IF($G3024="","",IF(ISNA(MATCH($G3024,個別指定!$A:$A,0)),"行なし",""))</f>
        <v/>
      </c>
      <c r="N3024" s="2" t="str">
        <f aca="false">IF($G3024="","",IF(COUNTIF($G$2:$G$4460,$G3024)&gt;1,"重複",""))</f>
        <v/>
      </c>
    </row>
    <row r="3025" customFormat="false" ht="16.5" hidden="false" customHeight="true" outlineLevel="0" collapsed="false">
      <c r="A3025" s="2" t="s">
        <v>447</v>
      </c>
      <c r="B3025" s="2" t="s">
        <v>448</v>
      </c>
      <c r="C3025" s="2" t="s">
        <v>34</v>
      </c>
      <c r="D3025" s="2" t="str">
        <f aca="false">IF(4キー同時!$B$6="","",4キー同時!$B$6)</f>
        <v/>
      </c>
      <c r="E3025" s="2" t="str">
        <f aca="false">IF(4キー同時!$G$6="","",4キー同時!$G$6)</f>
        <v/>
      </c>
      <c r="F3025" s="2" t="str">
        <f aca="false">IF(4キー同時!$L$6="","",4キー同時!$L$6)</f>
        <v/>
      </c>
      <c r="G3025" s="2" t="str">
        <f aca="false">IF(OR(4キー同時!$B$6="",4キー同時!$G$6="",4キー同時!$L$6=""),"",IF(4キー同時!AW12="","",SUBSTITUTE(SUBSTITUTE(4キー同時!AW12," ",""),"　","")))</f>
        <v/>
      </c>
      <c r="H3025" s="2" t="str">
        <f aca="false">IF($G3025="","",4キー同時!$B$6)</f>
        <v/>
      </c>
      <c r="I3025" s="2" t="str">
        <f aca="false">IF($G3025="","",4キー同時!$G$6)</f>
        <v/>
      </c>
      <c r="J3025" s="2" t="str">
        <f aca="false">IF($G3025="","",4キー同時!$L$6)</f>
        <v/>
      </c>
      <c r="K3025" s="2" t="str">
        <f aca="false">IF($G3025="","","'")</f>
        <v/>
      </c>
      <c r="L3025" s="2" t="str">
        <f aca="false">IF($G3025="","","同時")</f>
        <v/>
      </c>
      <c r="M3025" s="2" t="str">
        <f aca="false">IF($G3025="","",IF(ISNA(MATCH($G3025,個別指定!$A:$A,0)),"行なし",""))</f>
        <v/>
      </c>
      <c r="N3025" s="2" t="str">
        <f aca="false">IF($G3025="","",IF(COUNTIF($G$2:$G$4460,$G3025)&gt;1,"重複",""))</f>
        <v/>
      </c>
    </row>
    <row r="3026" customFormat="false" ht="16.5" hidden="false" customHeight="true" outlineLevel="0" collapsed="false">
      <c r="A3026" s="2" t="s">
        <v>447</v>
      </c>
      <c r="B3026" s="2" t="s">
        <v>448</v>
      </c>
      <c r="C3026" s="2" t="s">
        <v>35</v>
      </c>
      <c r="D3026" s="2" t="str">
        <f aca="false">IF(4キー同時!$B$6="","",4キー同時!$B$6)</f>
        <v/>
      </c>
      <c r="E3026" s="2" t="str">
        <f aca="false">IF(4キー同時!$G$6="","",4キー同時!$G$6)</f>
        <v/>
      </c>
      <c r="F3026" s="2" t="str">
        <f aca="false">IF(4キー同時!$L$6="","",4キー同時!$L$6)</f>
        <v/>
      </c>
      <c r="G3026" s="2" t="str">
        <f aca="false">IF(OR(4キー同時!$B$6="",4キー同時!$G$6="",4キー同時!$L$6=""),"",IF(4キー同時!K14="","",SUBSTITUTE(SUBSTITUTE(4キー同時!K14," ",""),"　","")))</f>
        <v/>
      </c>
      <c r="H3026" s="2" t="str">
        <f aca="false">IF($G3026="","",4キー同時!$B$6)</f>
        <v/>
      </c>
      <c r="I3026" s="2" t="str">
        <f aca="false">IF($G3026="","",4キー同時!$G$6)</f>
        <v/>
      </c>
      <c r="J3026" s="2" t="str">
        <f aca="false">IF($G3026="","",4キー同時!$L$6)</f>
        <v/>
      </c>
      <c r="K3026" s="2" t="str">
        <f aca="false">IF($G3026="","","z")</f>
        <v/>
      </c>
      <c r="L3026" s="2" t="str">
        <f aca="false">IF($G3026="","","同時")</f>
        <v/>
      </c>
      <c r="M3026" s="2" t="str">
        <f aca="false">IF($G3026="","",IF(ISNA(MATCH($G3026,個別指定!$A:$A,0)),"行なし",""))</f>
        <v/>
      </c>
      <c r="N3026" s="2" t="str">
        <f aca="false">IF($G3026="","",IF(COUNTIF($G$2:$G$4460,$G3026)&gt;1,"重複",""))</f>
        <v/>
      </c>
    </row>
    <row r="3027" customFormat="false" ht="16.5" hidden="false" customHeight="true" outlineLevel="0" collapsed="false">
      <c r="A3027" s="2" t="s">
        <v>447</v>
      </c>
      <c r="B3027" s="2" t="s">
        <v>448</v>
      </c>
      <c r="C3027" s="2" t="s">
        <v>36</v>
      </c>
      <c r="D3027" s="2" t="str">
        <f aca="false">IF(4キー同時!$B$6="","",4キー同時!$B$6)</f>
        <v/>
      </c>
      <c r="E3027" s="2" t="str">
        <f aca="false">IF(4キー同時!$G$6="","",4キー同時!$G$6)</f>
        <v/>
      </c>
      <c r="F3027" s="2" t="str">
        <f aca="false">IF(4キー同時!$L$6="","",4キー同時!$L$6)</f>
        <v/>
      </c>
      <c r="G3027" s="2" t="str">
        <f aca="false">IF(OR(4キー同時!$B$6="",4キー同時!$G$6="",4キー同時!$L$6=""),"",IF(4キー同時!O14="","",SUBSTITUTE(SUBSTITUTE(4キー同時!O14," ",""),"　","")))</f>
        <v/>
      </c>
      <c r="H3027" s="2" t="str">
        <f aca="false">IF($G3027="","",4キー同時!$B$6)</f>
        <v/>
      </c>
      <c r="I3027" s="2" t="str">
        <f aca="false">IF($G3027="","",4キー同時!$G$6)</f>
        <v/>
      </c>
      <c r="J3027" s="2" t="str">
        <f aca="false">IF($G3027="","",4キー同時!$L$6)</f>
        <v/>
      </c>
      <c r="K3027" s="2" t="str">
        <f aca="false">IF($G3027="","","x")</f>
        <v/>
      </c>
      <c r="L3027" s="2" t="str">
        <f aca="false">IF($G3027="","","同時")</f>
        <v/>
      </c>
      <c r="M3027" s="2" t="str">
        <f aca="false">IF($G3027="","",IF(ISNA(MATCH($G3027,個別指定!$A:$A,0)),"行なし",""))</f>
        <v/>
      </c>
      <c r="N3027" s="2" t="str">
        <f aca="false">IF($G3027="","",IF(COUNTIF($G$2:$G$4460,$G3027)&gt;1,"重複",""))</f>
        <v/>
      </c>
    </row>
    <row r="3028" customFormat="false" ht="16.5" hidden="false" customHeight="true" outlineLevel="0" collapsed="false">
      <c r="A3028" s="2" t="s">
        <v>447</v>
      </c>
      <c r="B3028" s="2" t="s">
        <v>448</v>
      </c>
      <c r="C3028" s="2" t="s">
        <v>37</v>
      </c>
      <c r="D3028" s="2" t="str">
        <f aca="false">IF(4キー同時!$B$6="","",4キー同時!$B$6)</f>
        <v/>
      </c>
      <c r="E3028" s="2" t="str">
        <f aca="false">IF(4キー同時!$G$6="","",4キー同時!$G$6)</f>
        <v/>
      </c>
      <c r="F3028" s="2" t="str">
        <f aca="false">IF(4キー同時!$L$6="","",4キー同時!$L$6)</f>
        <v/>
      </c>
      <c r="G3028" s="2" t="str">
        <f aca="false">IF(OR(4キー同時!$B$6="",4キー同時!$G$6="",4キー同時!$L$6=""),"",IF(4キー同時!S14="","",SUBSTITUTE(SUBSTITUTE(4キー同時!S14," ",""),"　","")))</f>
        <v/>
      </c>
      <c r="H3028" s="2" t="str">
        <f aca="false">IF($G3028="","",4キー同時!$B$6)</f>
        <v/>
      </c>
      <c r="I3028" s="2" t="str">
        <f aca="false">IF($G3028="","",4キー同時!$G$6)</f>
        <v/>
      </c>
      <c r="J3028" s="2" t="str">
        <f aca="false">IF($G3028="","",4キー同時!$L$6)</f>
        <v/>
      </c>
      <c r="K3028" s="2" t="str">
        <f aca="false">IF($G3028="","","c")</f>
        <v/>
      </c>
      <c r="L3028" s="2" t="str">
        <f aca="false">IF($G3028="","","同時")</f>
        <v/>
      </c>
      <c r="M3028" s="2" t="str">
        <f aca="false">IF($G3028="","",IF(ISNA(MATCH($G3028,個別指定!$A:$A,0)),"行なし",""))</f>
        <v/>
      </c>
      <c r="N3028" s="2" t="str">
        <f aca="false">IF($G3028="","",IF(COUNTIF($G$2:$G$4460,$G3028)&gt;1,"重複",""))</f>
        <v/>
      </c>
    </row>
    <row r="3029" customFormat="false" ht="16.5" hidden="false" customHeight="true" outlineLevel="0" collapsed="false">
      <c r="A3029" s="2" t="s">
        <v>447</v>
      </c>
      <c r="B3029" s="2" t="s">
        <v>448</v>
      </c>
      <c r="C3029" s="2" t="s">
        <v>38</v>
      </c>
      <c r="D3029" s="2" t="str">
        <f aca="false">IF(4キー同時!$B$6="","",4キー同時!$B$6)</f>
        <v/>
      </c>
      <c r="E3029" s="2" t="str">
        <f aca="false">IF(4キー同時!$G$6="","",4キー同時!$G$6)</f>
        <v/>
      </c>
      <c r="F3029" s="2" t="str">
        <f aca="false">IF(4キー同時!$L$6="","",4キー同時!$L$6)</f>
        <v/>
      </c>
      <c r="G3029" s="2" t="str">
        <f aca="false">IF(OR(4キー同時!$B$6="",4キー同時!$G$6="",4キー同時!$L$6=""),"",IF(4キー同時!W14="","",SUBSTITUTE(SUBSTITUTE(4キー同時!W14," ",""),"　","")))</f>
        <v/>
      </c>
      <c r="H3029" s="2" t="str">
        <f aca="false">IF($G3029="","",4キー同時!$B$6)</f>
        <v/>
      </c>
      <c r="I3029" s="2" t="str">
        <f aca="false">IF($G3029="","",4キー同時!$G$6)</f>
        <v/>
      </c>
      <c r="J3029" s="2" t="str">
        <f aca="false">IF($G3029="","",4キー同時!$L$6)</f>
        <v/>
      </c>
      <c r="K3029" s="2" t="str">
        <f aca="false">IF($G3029="","","v")</f>
        <v/>
      </c>
      <c r="L3029" s="2" t="str">
        <f aca="false">IF($G3029="","","同時")</f>
        <v/>
      </c>
      <c r="M3029" s="2" t="str">
        <f aca="false">IF($G3029="","",IF(ISNA(MATCH($G3029,個別指定!$A:$A,0)),"行なし",""))</f>
        <v/>
      </c>
      <c r="N3029" s="2" t="str">
        <f aca="false">IF($G3029="","",IF(COUNTIF($G$2:$G$4460,$G3029)&gt;1,"重複",""))</f>
        <v/>
      </c>
    </row>
    <row r="3030" customFormat="false" ht="16.5" hidden="false" customHeight="true" outlineLevel="0" collapsed="false">
      <c r="A3030" s="2" t="s">
        <v>447</v>
      </c>
      <c r="B3030" s="2" t="s">
        <v>448</v>
      </c>
      <c r="C3030" s="2" t="s">
        <v>39</v>
      </c>
      <c r="D3030" s="2" t="str">
        <f aca="false">IF(4キー同時!$B$6="","",4キー同時!$B$6)</f>
        <v/>
      </c>
      <c r="E3030" s="2" t="str">
        <f aca="false">IF(4キー同時!$G$6="","",4キー同時!$G$6)</f>
        <v/>
      </c>
      <c r="F3030" s="2" t="str">
        <f aca="false">IF(4キー同時!$L$6="","",4キー同時!$L$6)</f>
        <v/>
      </c>
      <c r="G3030" s="2" t="str">
        <f aca="false">IF(OR(4キー同時!$B$6="",4キー同時!$G$6="",4キー同時!$L$6=""),"",IF(4キー同時!AA14="","",SUBSTITUTE(SUBSTITUTE(4キー同時!AA14," ",""),"　","")))</f>
        <v/>
      </c>
      <c r="H3030" s="2" t="str">
        <f aca="false">IF($G3030="","",4キー同時!$B$6)</f>
        <v/>
      </c>
      <c r="I3030" s="2" t="str">
        <f aca="false">IF($G3030="","",4キー同時!$G$6)</f>
        <v/>
      </c>
      <c r="J3030" s="2" t="str">
        <f aca="false">IF($G3030="","",4キー同時!$L$6)</f>
        <v/>
      </c>
      <c r="K3030" s="2" t="str">
        <f aca="false">IF($G3030="","","b")</f>
        <v/>
      </c>
      <c r="L3030" s="2" t="str">
        <f aca="false">IF($G3030="","","同時")</f>
        <v/>
      </c>
      <c r="M3030" s="2" t="str">
        <f aca="false">IF($G3030="","",IF(ISNA(MATCH($G3030,個別指定!$A:$A,0)),"行なし",""))</f>
        <v/>
      </c>
      <c r="N3030" s="2" t="str">
        <f aca="false">IF($G3030="","",IF(COUNTIF($G$2:$G$4460,$G3030)&gt;1,"重複",""))</f>
        <v/>
      </c>
    </row>
    <row r="3031" customFormat="false" ht="16.5" hidden="false" customHeight="true" outlineLevel="0" collapsed="false">
      <c r="A3031" s="2" t="s">
        <v>447</v>
      </c>
      <c r="B3031" s="2" t="s">
        <v>448</v>
      </c>
      <c r="C3031" s="2" t="s">
        <v>40</v>
      </c>
      <c r="D3031" s="2" t="str">
        <f aca="false">IF(4キー同時!$B$6="","",4キー同時!$B$6)</f>
        <v/>
      </c>
      <c r="E3031" s="2" t="str">
        <f aca="false">IF(4キー同時!$G$6="","",4キー同時!$G$6)</f>
        <v/>
      </c>
      <c r="F3031" s="2" t="str">
        <f aca="false">IF(4キー同時!$L$6="","",4キー同時!$L$6)</f>
        <v/>
      </c>
      <c r="G3031" s="2" t="str">
        <f aca="false">IF(OR(4キー同時!$B$6="",4キー同時!$G$6="",4キー同時!$L$6=""),"",IF(4キー同時!AE14="","",SUBSTITUTE(SUBSTITUTE(4キー同時!AE14," ",""),"　","")))</f>
        <v/>
      </c>
      <c r="H3031" s="2" t="str">
        <f aca="false">IF($G3031="","",4キー同時!$B$6)</f>
        <v/>
      </c>
      <c r="I3031" s="2" t="str">
        <f aca="false">IF($G3031="","",4キー同時!$G$6)</f>
        <v/>
      </c>
      <c r="J3031" s="2" t="str">
        <f aca="false">IF($G3031="","",4キー同時!$L$6)</f>
        <v/>
      </c>
      <c r="K3031" s="2" t="str">
        <f aca="false">IF($G3031="","","n")</f>
        <v/>
      </c>
      <c r="L3031" s="2" t="str">
        <f aca="false">IF($G3031="","","同時")</f>
        <v/>
      </c>
      <c r="M3031" s="2" t="str">
        <f aca="false">IF($G3031="","",IF(ISNA(MATCH($G3031,個別指定!$A:$A,0)),"行なし",""))</f>
        <v/>
      </c>
      <c r="N3031" s="2" t="str">
        <f aca="false">IF($G3031="","",IF(COUNTIF($G$2:$G$4460,$G3031)&gt;1,"重複",""))</f>
        <v/>
      </c>
    </row>
    <row r="3032" customFormat="false" ht="16.5" hidden="false" customHeight="true" outlineLevel="0" collapsed="false">
      <c r="A3032" s="2" t="s">
        <v>447</v>
      </c>
      <c r="B3032" s="2" t="s">
        <v>448</v>
      </c>
      <c r="C3032" s="2" t="s">
        <v>41</v>
      </c>
      <c r="D3032" s="2" t="str">
        <f aca="false">IF(4キー同時!$B$6="","",4キー同時!$B$6)</f>
        <v/>
      </c>
      <c r="E3032" s="2" t="str">
        <f aca="false">IF(4キー同時!$G$6="","",4キー同時!$G$6)</f>
        <v/>
      </c>
      <c r="F3032" s="2" t="str">
        <f aca="false">IF(4キー同時!$L$6="","",4キー同時!$L$6)</f>
        <v/>
      </c>
      <c r="G3032" s="2" t="str">
        <f aca="false">IF(OR(4キー同時!$B$6="",4キー同時!$G$6="",4キー同時!$L$6=""),"",IF(4キー同時!AI14="","",SUBSTITUTE(SUBSTITUTE(4キー同時!AI14," ",""),"　","")))</f>
        <v/>
      </c>
      <c r="H3032" s="2" t="str">
        <f aca="false">IF($G3032="","",4キー同時!$B$6)</f>
        <v/>
      </c>
      <c r="I3032" s="2" t="str">
        <f aca="false">IF($G3032="","",4キー同時!$G$6)</f>
        <v/>
      </c>
      <c r="J3032" s="2" t="str">
        <f aca="false">IF($G3032="","",4キー同時!$L$6)</f>
        <v/>
      </c>
      <c r="K3032" s="2" t="str">
        <f aca="false">IF($G3032="","","m")</f>
        <v/>
      </c>
      <c r="L3032" s="2" t="str">
        <f aca="false">IF($G3032="","","同時")</f>
        <v/>
      </c>
      <c r="M3032" s="2" t="str">
        <f aca="false">IF($G3032="","",IF(ISNA(MATCH($G3032,個別指定!$A:$A,0)),"行なし",""))</f>
        <v/>
      </c>
      <c r="N3032" s="2" t="str">
        <f aca="false">IF($G3032="","",IF(COUNTIF($G$2:$G$4460,$G3032)&gt;1,"重複",""))</f>
        <v/>
      </c>
    </row>
    <row r="3033" customFormat="false" ht="16.5" hidden="false" customHeight="true" outlineLevel="0" collapsed="false">
      <c r="A3033" s="2" t="s">
        <v>447</v>
      </c>
      <c r="B3033" s="2" t="s">
        <v>448</v>
      </c>
      <c r="C3033" s="2" t="s">
        <v>42</v>
      </c>
      <c r="D3033" s="2" t="str">
        <f aca="false">IF(4キー同時!$B$6="","",4キー同時!$B$6)</f>
        <v/>
      </c>
      <c r="E3033" s="2" t="str">
        <f aca="false">IF(4キー同時!$G$6="","",4キー同時!$G$6)</f>
        <v/>
      </c>
      <c r="F3033" s="2" t="str">
        <f aca="false">IF(4キー同時!$L$6="","",4キー同時!$L$6)</f>
        <v/>
      </c>
      <c r="G3033" s="2" t="str">
        <f aca="false">IF(OR(4キー同時!$B$6="",4キー同時!$G$6="",4キー同時!$L$6=""),"",IF(4キー同時!AM14="","",SUBSTITUTE(SUBSTITUTE(4キー同時!AM14," ",""),"　","")))</f>
        <v/>
      </c>
      <c r="H3033" s="2" t="str">
        <f aca="false">IF($G3033="","",4キー同時!$B$6)</f>
        <v/>
      </c>
      <c r="I3033" s="2" t="str">
        <f aca="false">IF($G3033="","",4キー同時!$G$6)</f>
        <v/>
      </c>
      <c r="J3033" s="2" t="str">
        <f aca="false">IF($G3033="","",4キー同時!$L$6)</f>
        <v/>
      </c>
      <c r="K3033" s="2" t="str">
        <f aca="false">IF($G3033="","",",")</f>
        <v/>
      </c>
      <c r="L3033" s="2" t="str">
        <f aca="false">IF($G3033="","","同時")</f>
        <v/>
      </c>
      <c r="M3033" s="2" t="str">
        <f aca="false">IF($G3033="","",IF(ISNA(MATCH($G3033,個別指定!$A:$A,0)),"行なし",""))</f>
        <v/>
      </c>
      <c r="N3033" s="2" t="str">
        <f aca="false">IF($G3033="","",IF(COUNTIF($G$2:$G$4460,$G3033)&gt;1,"重複",""))</f>
        <v/>
      </c>
    </row>
    <row r="3034" customFormat="false" ht="16.5" hidden="false" customHeight="true" outlineLevel="0" collapsed="false">
      <c r="A3034" s="2" t="s">
        <v>447</v>
      </c>
      <c r="B3034" s="2" t="s">
        <v>448</v>
      </c>
      <c r="C3034" s="2" t="s">
        <v>43</v>
      </c>
      <c r="D3034" s="2" t="str">
        <f aca="false">IF(4キー同時!$B$6="","",4キー同時!$B$6)</f>
        <v/>
      </c>
      <c r="E3034" s="2" t="str">
        <f aca="false">IF(4キー同時!$G$6="","",4キー同時!$G$6)</f>
        <v/>
      </c>
      <c r="F3034" s="2" t="str">
        <f aca="false">IF(4キー同時!$L$6="","",4キー同時!$L$6)</f>
        <v/>
      </c>
      <c r="G3034" s="2" t="str">
        <f aca="false">IF(OR(4キー同時!$B$6="",4キー同時!$G$6="",4キー同時!$L$6=""),"",IF(4キー同時!AQ14="","",SUBSTITUTE(SUBSTITUTE(4キー同時!AQ14," ",""),"　","")))</f>
        <v/>
      </c>
      <c r="H3034" s="2" t="str">
        <f aca="false">IF($G3034="","",4キー同時!$B$6)</f>
        <v/>
      </c>
      <c r="I3034" s="2" t="str">
        <f aca="false">IF($G3034="","",4キー同時!$G$6)</f>
        <v/>
      </c>
      <c r="J3034" s="2" t="str">
        <f aca="false">IF($G3034="","",4キー同時!$L$6)</f>
        <v/>
      </c>
      <c r="K3034" s="2" t="str">
        <f aca="false">IF($G3034="","",".")</f>
        <v/>
      </c>
      <c r="L3034" s="2" t="str">
        <f aca="false">IF($G3034="","","同時")</f>
        <v/>
      </c>
      <c r="M3034" s="2" t="str">
        <f aca="false">IF($G3034="","",IF(ISNA(MATCH($G3034,個別指定!$A:$A,0)),"行なし",""))</f>
        <v/>
      </c>
      <c r="N3034" s="2" t="str">
        <f aca="false">IF($G3034="","",IF(COUNTIF($G$2:$G$4460,$G3034)&gt;1,"重複",""))</f>
        <v/>
      </c>
    </row>
    <row r="3035" customFormat="false" ht="16.5" hidden="false" customHeight="true" outlineLevel="0" collapsed="false">
      <c r="A3035" s="2" t="s">
        <v>447</v>
      </c>
      <c r="B3035" s="2" t="s">
        <v>448</v>
      </c>
      <c r="C3035" s="2" t="s">
        <v>44</v>
      </c>
      <c r="D3035" s="2" t="str">
        <f aca="false">IF(4キー同時!$B$6="","",4キー同時!$B$6)</f>
        <v/>
      </c>
      <c r="E3035" s="2" t="str">
        <f aca="false">IF(4キー同時!$G$6="","",4キー同時!$G$6)</f>
        <v/>
      </c>
      <c r="F3035" s="2" t="str">
        <f aca="false">IF(4キー同時!$L$6="","",4キー同時!$L$6)</f>
        <v/>
      </c>
      <c r="G3035" s="2" t="str">
        <f aca="false">IF(OR(4キー同時!$B$6="",4キー同時!$G$6="",4キー同時!$L$6=""),"",IF(4キー同時!AU14="","",SUBSTITUTE(SUBSTITUTE(4キー同時!AU14," ",""),"　","")))</f>
        <v/>
      </c>
      <c r="H3035" s="2" t="str">
        <f aca="false">IF($G3035="","",4キー同時!$B$6)</f>
        <v/>
      </c>
      <c r="I3035" s="2" t="str">
        <f aca="false">IF($G3035="","",4キー同時!$G$6)</f>
        <v/>
      </c>
      <c r="J3035" s="2" t="str">
        <f aca="false">IF($G3035="","",4キー同時!$L$6)</f>
        <v/>
      </c>
      <c r="K3035" s="2" t="str">
        <f aca="false">IF($G3035="","","/")</f>
        <v/>
      </c>
      <c r="L3035" s="2" t="str">
        <f aca="false">IF($G3035="","","同時")</f>
        <v/>
      </c>
      <c r="M3035" s="2" t="str">
        <f aca="false">IF($G3035="","",IF(ISNA(MATCH($G3035,個別指定!$A:$A,0)),"行なし",""))</f>
        <v/>
      </c>
      <c r="N3035" s="2" t="str">
        <f aca="false">IF($G3035="","",IF(COUNTIF($G$2:$G$4460,$G3035)&gt;1,"重複",""))</f>
        <v/>
      </c>
    </row>
    <row r="3036" customFormat="false" ht="16.5" hidden="false" customHeight="true" outlineLevel="0" collapsed="false">
      <c r="A3036" s="2" t="s">
        <v>447</v>
      </c>
      <c r="B3036" s="2" t="s">
        <v>448</v>
      </c>
      <c r="C3036" s="2" t="s">
        <v>48</v>
      </c>
      <c r="D3036" s="2" t="str">
        <f aca="false">IF(4キー同時!$B$6="","",4キー同時!$B$6)</f>
        <v/>
      </c>
      <c r="E3036" s="2" t="str">
        <f aca="false">IF(4キー同時!$G$6="","",4キー同時!$G$6)</f>
        <v/>
      </c>
      <c r="F3036" s="2" t="str">
        <f aca="false">IF(4キー同時!$L$6="","",4キー同時!$L$6)</f>
        <v/>
      </c>
      <c r="G3036" s="2" t="str">
        <f aca="false">IF(OR(4キー同時!$B$6="",4キー同時!$G$6="",4キー同時!$L$6=""),"",IF(4キー同時!P16="","",SUBSTITUTE(SUBSTITUTE(4キー同時!P16," ",""),"　","")))</f>
        <v/>
      </c>
      <c r="H3036" s="2" t="str">
        <f aca="false">IF($G3036="","",4キー同時!$B$6)</f>
        <v/>
      </c>
      <c r="I3036" s="2" t="str">
        <f aca="false">IF($G3036="","",4キー同時!$G$6)</f>
        <v/>
      </c>
      <c r="J3036" s="2" t="str">
        <f aca="false">IF($G3036="","",4キー同時!$L$6)</f>
        <v/>
      </c>
      <c r="K3036" s="2" t="str">
        <f aca="false">IF($G3036="","","muhenkan")</f>
        <v/>
      </c>
      <c r="L3036" s="2" t="str">
        <f aca="false">IF($G3036="","","同時")</f>
        <v/>
      </c>
      <c r="M3036" s="2" t="str">
        <f aca="false">IF($G3036="","",IF(ISNA(MATCH($G3036,個別指定!$A:$A,0)),"行なし",""))</f>
        <v/>
      </c>
      <c r="N3036" s="2" t="str">
        <f aca="false">IF($G3036="","",IF(COUNTIF($G$2:$G$4460,$G3036)&gt;1,"重複",""))</f>
        <v/>
      </c>
    </row>
    <row r="3037" customFormat="false" ht="16.5" hidden="false" customHeight="true" outlineLevel="0" collapsed="false">
      <c r="A3037" s="2" t="s">
        <v>447</v>
      </c>
      <c r="B3037" s="2" t="s">
        <v>448</v>
      </c>
      <c r="C3037" s="2" t="s">
        <v>50</v>
      </c>
      <c r="D3037" s="2" t="str">
        <f aca="false">IF(4キー同時!$B$6="","",4キー同時!$B$6)</f>
        <v/>
      </c>
      <c r="E3037" s="2" t="str">
        <f aca="false">IF(4キー同時!$G$6="","",4キー同時!$G$6)</f>
        <v/>
      </c>
      <c r="F3037" s="2" t="str">
        <f aca="false">IF(4キー同時!$L$6="","",4キー同時!$L$6)</f>
        <v/>
      </c>
      <c r="G3037" s="2" t="str">
        <f aca="false">IF(OR(4キー同時!$B$6="",4キー同時!$G$6="",4キー同時!$L$6=""),"",IF(4キー同時!T16="","",SUBSTITUTE(SUBSTITUTE(4キー同時!T16," ",""),"　","")))</f>
        <v/>
      </c>
      <c r="H3037" s="2" t="str">
        <f aca="false">IF($G3037="","",4キー同時!$B$6)</f>
        <v/>
      </c>
      <c r="I3037" s="2" t="str">
        <f aca="false">IF($G3037="","",4キー同時!$G$6)</f>
        <v/>
      </c>
      <c r="J3037" s="2" t="str">
        <f aca="false">IF($G3037="","",4キー同時!$L$6)</f>
        <v/>
      </c>
      <c r="K3037" s="2" t="str">
        <f aca="false">IF($G3037="","","space")</f>
        <v/>
      </c>
      <c r="L3037" s="2" t="str">
        <f aca="false">IF($G3037="","","同時")</f>
        <v/>
      </c>
      <c r="M3037" s="2" t="str">
        <f aca="false">IF($G3037="","",IF(ISNA(MATCH($G3037,個別指定!$A:$A,0)),"行なし",""))</f>
        <v/>
      </c>
      <c r="N3037" s="2" t="str">
        <f aca="false">IF($G3037="","",IF(COUNTIF($G$2:$G$4460,$G3037)&gt;1,"重複",""))</f>
        <v/>
      </c>
    </row>
    <row r="3038" customFormat="false" ht="16.5" hidden="false" customHeight="true" outlineLevel="0" collapsed="false">
      <c r="A3038" s="2" t="s">
        <v>447</v>
      </c>
      <c r="B3038" s="2" t="s">
        <v>448</v>
      </c>
      <c r="C3038" s="2" t="s">
        <v>45</v>
      </c>
      <c r="D3038" s="2" t="str">
        <f aca="false">IF(4キー同時!$B$6="","",4キー同時!$B$6)</f>
        <v/>
      </c>
      <c r="E3038" s="2" t="str">
        <f aca="false">IF(4キー同時!$G$6="","",4キー同時!$G$6)</f>
        <v/>
      </c>
      <c r="F3038" s="2" t="str">
        <f aca="false">IF(4キー同時!$L$6="","",4キー同時!$L$6)</f>
        <v/>
      </c>
      <c r="G3038" s="2" t="str">
        <f aca="false">IF(OR(4キー同時!$B$6="",4キー同時!$G$6="",4キー同時!$L$6=""),"",IF(4キー同時!AL16="","",SUBSTITUTE(SUBSTITUTE(4キー同時!AL16," ",""),"　","")))</f>
        <v/>
      </c>
      <c r="H3038" s="2" t="str">
        <f aca="false">IF($G3038="","",4キー同時!$B$6)</f>
        <v/>
      </c>
      <c r="I3038" s="2" t="str">
        <f aca="false">IF($G3038="","",4キー同時!$G$6)</f>
        <v/>
      </c>
      <c r="J3038" s="2" t="str">
        <f aca="false">IF($G3038="","",4キー同時!$L$6)</f>
        <v/>
      </c>
      <c r="K3038" s="2" t="str">
        <f aca="false">IF($G3038="","","henkan")</f>
        <v/>
      </c>
      <c r="L3038" s="2" t="str">
        <f aca="false">IF($G3038="","","同時")</f>
        <v/>
      </c>
      <c r="M3038" s="2" t="str">
        <f aca="false">IF($G3038="","",IF(ISNA(MATCH($G3038,個別指定!$A:$A,0)),"行なし",""))</f>
        <v/>
      </c>
      <c r="N3038" s="2" t="str">
        <f aca="false">IF($G3038="","",IF(COUNTIF($G$2:$G$4460,$G3038)&gt;1,"重複",""))</f>
        <v/>
      </c>
    </row>
    <row r="3039" customFormat="false" ht="16.5" hidden="false" customHeight="true" outlineLevel="0" collapsed="false">
      <c r="A3039" s="2" t="s">
        <v>447</v>
      </c>
      <c r="B3039" s="2" t="s">
        <v>448</v>
      </c>
      <c r="C3039" s="2" t="s">
        <v>46</v>
      </c>
      <c r="D3039" s="2" t="str">
        <f aca="false">IF(4キー同時!$B$6="","",4キー同時!$B$6)</f>
        <v/>
      </c>
      <c r="E3039" s="2" t="str">
        <f aca="false">IF(4キー同時!$G$6="","",4キー同時!$G$6)</f>
        <v/>
      </c>
      <c r="F3039" s="2" t="str">
        <f aca="false">IF(4キー同時!$L$6="","",4キー同時!$L$6)</f>
        <v/>
      </c>
      <c r="G3039" s="2" t="str">
        <f aca="false">IF(OR(4キー同時!$B$6="",4キー同時!$G$6="",4キー同時!$L$6=""),"",IF(4キー同時!AP16="","",SUBSTITUTE(SUBSTITUTE(4キー同時!AP16," ",""),"　","")))</f>
        <v/>
      </c>
      <c r="H3039" s="2" t="str">
        <f aca="false">IF($G3039="","",4キー同時!$B$6)</f>
        <v/>
      </c>
      <c r="I3039" s="2" t="str">
        <f aca="false">IF($G3039="","",4キー同時!$G$6)</f>
        <v/>
      </c>
      <c r="J3039" s="2" t="str">
        <f aca="false">IF($G3039="","",4キー同時!$L$6)</f>
        <v/>
      </c>
      <c r="K3039" s="2" t="str">
        <f aca="false">IF($G3039="","","kana")</f>
        <v/>
      </c>
      <c r="L3039" s="2" t="str">
        <f aca="false">IF($G3039="","","同時")</f>
        <v/>
      </c>
      <c r="M3039" s="2" t="str">
        <f aca="false">IF($G3039="","",IF(ISNA(MATCH($G3039,個別指定!$A:$A,0)),"行なし",""))</f>
        <v/>
      </c>
      <c r="N3039" s="2" t="str">
        <f aca="false">IF($G3039="","",IF(COUNTIF($G$2:$G$4460,$G3039)&gt;1,"重複",""))</f>
        <v/>
      </c>
    </row>
    <row r="3040" customFormat="false" ht="16.5" hidden="false" customHeight="true" outlineLevel="0" collapsed="false">
      <c r="A3040" s="2" t="s">
        <v>447</v>
      </c>
      <c r="B3040" s="2" t="s">
        <v>449</v>
      </c>
      <c r="C3040" s="2" t="s">
        <v>0</v>
      </c>
      <c r="D3040" s="2" t="str">
        <f aca="false">IF(4キー同時!$B$19="","",4キー同時!$B$19)</f>
        <v/>
      </c>
      <c r="E3040" s="2" t="str">
        <f aca="false">IF(4キー同時!$G$19="","",4キー同時!$G$19)</f>
        <v/>
      </c>
      <c r="F3040" s="2" t="str">
        <f aca="false">IF(4キー同時!$L$19="","",4キー同時!$L$19)</f>
        <v/>
      </c>
      <c r="G3040" s="2" t="str">
        <f aca="false">IF(OR(4キー同時!$B$19="",4キー同時!$G$19="",4キー同時!$L$19=""),"",IF(4キー同時!F21="","",SUBSTITUTE(SUBSTITUTE(4キー同時!F21," ",""),"　","")))</f>
        <v/>
      </c>
      <c r="H3040" s="2" t="str">
        <f aca="false">IF($G3040="","",4キー同時!$B$19)</f>
        <v/>
      </c>
      <c r="I3040" s="2" t="str">
        <f aca="false">IF($G3040="","",4キー同時!$G$19)</f>
        <v/>
      </c>
      <c r="J3040" s="2" t="str">
        <f aca="false">IF($G3040="","",4キー同時!$L$19)</f>
        <v/>
      </c>
      <c r="K3040" s="2" t="str">
        <f aca="false">IF($G3040="","","1")</f>
        <v/>
      </c>
      <c r="L3040" s="2" t="str">
        <f aca="false">IF($G3040="","","同時")</f>
        <v/>
      </c>
      <c r="M3040" s="2" t="str">
        <f aca="false">IF($G3040="","",IF(ISNA(MATCH($G3040,個別指定!$A:$A,0)),"行なし",""))</f>
        <v/>
      </c>
      <c r="N3040" s="2" t="str">
        <f aca="false">IF($G3040="","",IF(COUNTIF($G$2:$G$4460,$G3040)&gt;1,"重複",""))</f>
        <v/>
      </c>
    </row>
    <row r="3041" customFormat="false" ht="16.5" hidden="false" customHeight="true" outlineLevel="0" collapsed="false">
      <c r="A3041" s="2" t="s">
        <v>447</v>
      </c>
      <c r="B3041" s="2" t="s">
        <v>449</v>
      </c>
      <c r="C3041" s="2" t="s">
        <v>1</v>
      </c>
      <c r="D3041" s="2" t="str">
        <f aca="false">IF(4キー同時!$B$19="","",4キー同時!$B$19)</f>
        <v/>
      </c>
      <c r="E3041" s="2" t="str">
        <f aca="false">IF(4キー同時!$G$19="","",4キー同時!$G$19)</f>
        <v/>
      </c>
      <c r="F3041" s="2" t="str">
        <f aca="false">IF(4キー同時!$L$19="","",4キー同時!$L$19)</f>
        <v/>
      </c>
      <c r="G3041" s="2" t="str">
        <f aca="false">IF(OR(4キー同時!$B$19="",4キー同時!$G$19="",4キー同時!$L$19=""),"",IF(4キー同時!J21="","",SUBSTITUTE(SUBSTITUTE(4キー同時!J21," ",""),"　","")))</f>
        <v/>
      </c>
      <c r="H3041" s="2" t="str">
        <f aca="false">IF($G3041="","",4キー同時!$B$19)</f>
        <v/>
      </c>
      <c r="I3041" s="2" t="str">
        <f aca="false">IF($G3041="","",4キー同時!$G$19)</f>
        <v/>
      </c>
      <c r="J3041" s="2" t="str">
        <f aca="false">IF($G3041="","",4キー同時!$L$19)</f>
        <v/>
      </c>
      <c r="K3041" s="2" t="str">
        <f aca="false">IF($G3041="","","2")</f>
        <v/>
      </c>
      <c r="L3041" s="2" t="str">
        <f aca="false">IF($G3041="","","同時")</f>
        <v/>
      </c>
      <c r="M3041" s="2" t="str">
        <f aca="false">IF($G3041="","",IF(ISNA(MATCH($G3041,個別指定!$A:$A,0)),"行なし",""))</f>
        <v/>
      </c>
      <c r="N3041" s="2" t="str">
        <f aca="false">IF($G3041="","",IF(COUNTIF($G$2:$G$4460,$G3041)&gt;1,"重複",""))</f>
        <v/>
      </c>
    </row>
    <row r="3042" customFormat="false" ht="16.5" hidden="false" customHeight="true" outlineLevel="0" collapsed="false">
      <c r="A3042" s="2" t="s">
        <v>447</v>
      </c>
      <c r="B3042" s="2" t="s">
        <v>449</v>
      </c>
      <c r="C3042" s="2" t="s">
        <v>2</v>
      </c>
      <c r="D3042" s="2" t="str">
        <f aca="false">IF(4キー同時!$B$19="","",4キー同時!$B$19)</f>
        <v/>
      </c>
      <c r="E3042" s="2" t="str">
        <f aca="false">IF(4キー同時!$G$19="","",4キー同時!$G$19)</f>
        <v/>
      </c>
      <c r="F3042" s="2" t="str">
        <f aca="false">IF(4キー同時!$L$19="","",4キー同時!$L$19)</f>
        <v/>
      </c>
      <c r="G3042" s="2" t="str">
        <f aca="false">IF(OR(4キー同時!$B$19="",4キー同時!$G$19="",4キー同時!$L$19=""),"",IF(4キー同時!N21="","",SUBSTITUTE(SUBSTITUTE(4キー同時!N21," ",""),"　","")))</f>
        <v/>
      </c>
      <c r="H3042" s="2" t="str">
        <f aca="false">IF($G3042="","",4キー同時!$B$19)</f>
        <v/>
      </c>
      <c r="I3042" s="2" t="str">
        <f aca="false">IF($G3042="","",4キー同時!$G$19)</f>
        <v/>
      </c>
      <c r="J3042" s="2" t="str">
        <f aca="false">IF($G3042="","",4キー同時!$L$19)</f>
        <v/>
      </c>
      <c r="K3042" s="2" t="str">
        <f aca="false">IF($G3042="","","3")</f>
        <v/>
      </c>
      <c r="L3042" s="2" t="str">
        <f aca="false">IF($G3042="","","同時")</f>
        <v/>
      </c>
      <c r="M3042" s="2" t="str">
        <f aca="false">IF($G3042="","",IF(ISNA(MATCH($G3042,個別指定!$A:$A,0)),"行なし",""))</f>
        <v/>
      </c>
      <c r="N3042" s="2" t="str">
        <f aca="false">IF($G3042="","",IF(COUNTIF($G$2:$G$4460,$G3042)&gt;1,"重複",""))</f>
        <v/>
      </c>
    </row>
    <row r="3043" customFormat="false" ht="16.5" hidden="false" customHeight="true" outlineLevel="0" collapsed="false">
      <c r="A3043" s="2" t="s">
        <v>447</v>
      </c>
      <c r="B3043" s="2" t="s">
        <v>449</v>
      </c>
      <c r="C3043" s="2" t="s">
        <v>3</v>
      </c>
      <c r="D3043" s="2" t="str">
        <f aca="false">IF(4キー同時!$B$19="","",4キー同時!$B$19)</f>
        <v/>
      </c>
      <c r="E3043" s="2" t="str">
        <f aca="false">IF(4キー同時!$G$19="","",4キー同時!$G$19)</f>
        <v/>
      </c>
      <c r="F3043" s="2" t="str">
        <f aca="false">IF(4キー同時!$L$19="","",4キー同時!$L$19)</f>
        <v/>
      </c>
      <c r="G3043" s="2" t="str">
        <f aca="false">IF(OR(4キー同時!$B$19="",4キー同時!$G$19="",4キー同時!$L$19=""),"",IF(4キー同時!R21="","",SUBSTITUTE(SUBSTITUTE(4キー同時!R21," ",""),"　","")))</f>
        <v/>
      </c>
      <c r="H3043" s="2" t="str">
        <f aca="false">IF($G3043="","",4キー同時!$B$19)</f>
        <v/>
      </c>
      <c r="I3043" s="2" t="str">
        <f aca="false">IF($G3043="","",4キー同時!$G$19)</f>
        <v/>
      </c>
      <c r="J3043" s="2" t="str">
        <f aca="false">IF($G3043="","",4キー同時!$L$19)</f>
        <v/>
      </c>
      <c r="K3043" s="2" t="str">
        <f aca="false">IF($G3043="","","4")</f>
        <v/>
      </c>
      <c r="L3043" s="2" t="str">
        <f aca="false">IF($G3043="","","同時")</f>
        <v/>
      </c>
      <c r="M3043" s="2" t="str">
        <f aca="false">IF($G3043="","",IF(ISNA(MATCH($G3043,個別指定!$A:$A,0)),"行なし",""))</f>
        <v/>
      </c>
      <c r="N3043" s="2" t="str">
        <f aca="false">IF($G3043="","",IF(COUNTIF($G$2:$G$4460,$G3043)&gt;1,"重複",""))</f>
        <v/>
      </c>
    </row>
    <row r="3044" customFormat="false" ht="16.5" hidden="false" customHeight="true" outlineLevel="0" collapsed="false">
      <c r="A3044" s="2" t="s">
        <v>447</v>
      </c>
      <c r="B3044" s="2" t="s">
        <v>449</v>
      </c>
      <c r="C3044" s="2" t="s">
        <v>4</v>
      </c>
      <c r="D3044" s="2" t="str">
        <f aca="false">IF(4キー同時!$B$19="","",4キー同時!$B$19)</f>
        <v/>
      </c>
      <c r="E3044" s="2" t="str">
        <f aca="false">IF(4キー同時!$G$19="","",4キー同時!$G$19)</f>
        <v/>
      </c>
      <c r="F3044" s="2" t="str">
        <f aca="false">IF(4キー同時!$L$19="","",4キー同時!$L$19)</f>
        <v/>
      </c>
      <c r="G3044" s="2" t="str">
        <f aca="false">IF(OR(4キー同時!$B$19="",4キー同時!$G$19="",4キー同時!$L$19=""),"",IF(4キー同時!V21="","",SUBSTITUTE(SUBSTITUTE(4キー同時!V21," ",""),"　","")))</f>
        <v/>
      </c>
      <c r="H3044" s="2" t="str">
        <f aca="false">IF($G3044="","",4キー同時!$B$19)</f>
        <v/>
      </c>
      <c r="I3044" s="2" t="str">
        <f aca="false">IF($G3044="","",4キー同時!$G$19)</f>
        <v/>
      </c>
      <c r="J3044" s="2" t="str">
        <f aca="false">IF($G3044="","",4キー同時!$L$19)</f>
        <v/>
      </c>
      <c r="K3044" s="2" t="str">
        <f aca="false">IF($G3044="","","5")</f>
        <v/>
      </c>
      <c r="L3044" s="2" t="str">
        <f aca="false">IF($G3044="","","同時")</f>
        <v/>
      </c>
      <c r="M3044" s="2" t="str">
        <f aca="false">IF($G3044="","",IF(ISNA(MATCH($G3044,個別指定!$A:$A,0)),"行なし",""))</f>
        <v/>
      </c>
      <c r="N3044" s="2" t="str">
        <f aca="false">IF($G3044="","",IF(COUNTIF($G$2:$G$4460,$G3044)&gt;1,"重複",""))</f>
        <v/>
      </c>
    </row>
    <row r="3045" customFormat="false" ht="16.5" hidden="false" customHeight="true" outlineLevel="0" collapsed="false">
      <c r="A3045" s="2" t="s">
        <v>447</v>
      </c>
      <c r="B3045" s="2" t="s">
        <v>449</v>
      </c>
      <c r="C3045" s="2" t="s">
        <v>5</v>
      </c>
      <c r="D3045" s="2" t="str">
        <f aca="false">IF(4キー同時!$B$19="","",4キー同時!$B$19)</f>
        <v/>
      </c>
      <c r="E3045" s="2" t="str">
        <f aca="false">IF(4キー同時!$G$19="","",4キー同時!$G$19)</f>
        <v/>
      </c>
      <c r="F3045" s="2" t="str">
        <f aca="false">IF(4キー同時!$L$19="","",4キー同時!$L$19)</f>
        <v/>
      </c>
      <c r="G3045" s="2" t="str">
        <f aca="false">IF(OR(4キー同時!$B$19="",4キー同時!$G$19="",4キー同時!$L$19=""),"",IF(4キー同時!Z21="","",SUBSTITUTE(SUBSTITUTE(4キー同時!Z21," ",""),"　","")))</f>
        <v/>
      </c>
      <c r="H3045" s="2" t="str">
        <f aca="false">IF($G3045="","",4キー同時!$B$19)</f>
        <v/>
      </c>
      <c r="I3045" s="2" t="str">
        <f aca="false">IF($G3045="","",4キー同時!$G$19)</f>
        <v/>
      </c>
      <c r="J3045" s="2" t="str">
        <f aca="false">IF($G3045="","",4キー同時!$L$19)</f>
        <v/>
      </c>
      <c r="K3045" s="2" t="str">
        <f aca="false">IF($G3045="","","6")</f>
        <v/>
      </c>
      <c r="L3045" s="2" t="str">
        <f aca="false">IF($G3045="","","同時")</f>
        <v/>
      </c>
      <c r="M3045" s="2" t="str">
        <f aca="false">IF($G3045="","",IF(ISNA(MATCH($G3045,個別指定!$A:$A,0)),"行なし",""))</f>
        <v/>
      </c>
      <c r="N3045" s="2" t="str">
        <f aca="false">IF($G3045="","",IF(COUNTIF($G$2:$G$4460,$G3045)&gt;1,"重複",""))</f>
        <v/>
      </c>
    </row>
    <row r="3046" customFormat="false" ht="16.5" hidden="false" customHeight="true" outlineLevel="0" collapsed="false">
      <c r="A3046" s="2" t="s">
        <v>447</v>
      </c>
      <c r="B3046" s="2" t="s">
        <v>449</v>
      </c>
      <c r="C3046" s="2" t="s">
        <v>6</v>
      </c>
      <c r="D3046" s="2" t="str">
        <f aca="false">IF(4キー同時!$B$19="","",4キー同時!$B$19)</f>
        <v/>
      </c>
      <c r="E3046" s="2" t="str">
        <f aca="false">IF(4キー同時!$G$19="","",4キー同時!$G$19)</f>
        <v/>
      </c>
      <c r="F3046" s="2" t="str">
        <f aca="false">IF(4キー同時!$L$19="","",4キー同時!$L$19)</f>
        <v/>
      </c>
      <c r="G3046" s="2" t="str">
        <f aca="false">IF(OR(4キー同時!$B$19="",4キー同時!$G$19="",4キー同時!$L$19=""),"",IF(4キー同時!AD21="","",SUBSTITUTE(SUBSTITUTE(4キー同時!AD21," ",""),"　","")))</f>
        <v/>
      </c>
      <c r="H3046" s="2" t="str">
        <f aca="false">IF($G3046="","",4キー同時!$B$19)</f>
        <v/>
      </c>
      <c r="I3046" s="2" t="str">
        <f aca="false">IF($G3046="","",4キー同時!$G$19)</f>
        <v/>
      </c>
      <c r="J3046" s="2" t="str">
        <f aca="false">IF($G3046="","",4キー同時!$L$19)</f>
        <v/>
      </c>
      <c r="K3046" s="2" t="str">
        <f aca="false">IF($G3046="","","7")</f>
        <v/>
      </c>
      <c r="L3046" s="2" t="str">
        <f aca="false">IF($G3046="","","同時")</f>
        <v/>
      </c>
      <c r="M3046" s="2" t="str">
        <f aca="false">IF($G3046="","",IF(ISNA(MATCH($G3046,個別指定!$A:$A,0)),"行なし",""))</f>
        <v/>
      </c>
      <c r="N3046" s="2" t="str">
        <f aca="false">IF($G3046="","",IF(COUNTIF($G$2:$G$4460,$G3046)&gt;1,"重複",""))</f>
        <v/>
      </c>
    </row>
    <row r="3047" customFormat="false" ht="16.5" hidden="false" customHeight="true" outlineLevel="0" collapsed="false">
      <c r="A3047" s="2" t="s">
        <v>447</v>
      </c>
      <c r="B3047" s="2" t="s">
        <v>449</v>
      </c>
      <c r="C3047" s="2" t="s">
        <v>7</v>
      </c>
      <c r="D3047" s="2" t="str">
        <f aca="false">IF(4キー同時!$B$19="","",4キー同時!$B$19)</f>
        <v/>
      </c>
      <c r="E3047" s="2" t="str">
        <f aca="false">IF(4キー同時!$G$19="","",4キー同時!$G$19)</f>
        <v/>
      </c>
      <c r="F3047" s="2" t="str">
        <f aca="false">IF(4キー同時!$L$19="","",4キー同時!$L$19)</f>
        <v/>
      </c>
      <c r="G3047" s="2" t="str">
        <f aca="false">IF(OR(4キー同時!$B$19="",4キー同時!$G$19="",4キー同時!$L$19=""),"",IF(4キー同時!AH21="","",SUBSTITUTE(SUBSTITUTE(4キー同時!AH21," ",""),"　","")))</f>
        <v/>
      </c>
      <c r="H3047" s="2" t="str">
        <f aca="false">IF($G3047="","",4キー同時!$B$19)</f>
        <v/>
      </c>
      <c r="I3047" s="2" t="str">
        <f aca="false">IF($G3047="","",4キー同時!$G$19)</f>
        <v/>
      </c>
      <c r="J3047" s="2" t="str">
        <f aca="false">IF($G3047="","",4キー同時!$L$19)</f>
        <v/>
      </c>
      <c r="K3047" s="2" t="str">
        <f aca="false">IF($G3047="","","8")</f>
        <v/>
      </c>
      <c r="L3047" s="2" t="str">
        <f aca="false">IF($G3047="","","同時")</f>
        <v/>
      </c>
      <c r="M3047" s="2" t="str">
        <f aca="false">IF($G3047="","",IF(ISNA(MATCH($G3047,個別指定!$A:$A,0)),"行なし",""))</f>
        <v/>
      </c>
      <c r="N3047" s="2" t="str">
        <f aca="false">IF($G3047="","",IF(COUNTIF($G$2:$G$4460,$G3047)&gt;1,"重複",""))</f>
        <v/>
      </c>
    </row>
    <row r="3048" customFormat="false" ht="16.5" hidden="false" customHeight="true" outlineLevel="0" collapsed="false">
      <c r="A3048" s="2" t="s">
        <v>447</v>
      </c>
      <c r="B3048" s="2" t="s">
        <v>449</v>
      </c>
      <c r="C3048" s="2" t="s">
        <v>8</v>
      </c>
      <c r="D3048" s="2" t="str">
        <f aca="false">IF(4キー同時!$B$19="","",4キー同時!$B$19)</f>
        <v/>
      </c>
      <c r="E3048" s="2" t="str">
        <f aca="false">IF(4キー同時!$G$19="","",4キー同時!$G$19)</f>
        <v/>
      </c>
      <c r="F3048" s="2" t="str">
        <f aca="false">IF(4キー同時!$L$19="","",4キー同時!$L$19)</f>
        <v/>
      </c>
      <c r="G3048" s="2" t="str">
        <f aca="false">IF(OR(4キー同時!$B$19="",4キー同時!$G$19="",4キー同時!$L$19=""),"",IF(4キー同時!AL21="","",SUBSTITUTE(SUBSTITUTE(4キー同時!AL21," ",""),"　","")))</f>
        <v/>
      </c>
      <c r="H3048" s="2" t="str">
        <f aca="false">IF($G3048="","",4キー同時!$B$19)</f>
        <v/>
      </c>
      <c r="I3048" s="2" t="str">
        <f aca="false">IF($G3048="","",4キー同時!$G$19)</f>
        <v/>
      </c>
      <c r="J3048" s="2" t="str">
        <f aca="false">IF($G3048="","",4キー同時!$L$19)</f>
        <v/>
      </c>
      <c r="K3048" s="2" t="str">
        <f aca="false">IF($G3048="","","9")</f>
        <v/>
      </c>
      <c r="L3048" s="2" t="str">
        <f aca="false">IF($G3048="","","同時")</f>
        <v/>
      </c>
      <c r="M3048" s="2" t="str">
        <f aca="false">IF($G3048="","",IF(ISNA(MATCH($G3048,個別指定!$A:$A,0)),"行なし",""))</f>
        <v/>
      </c>
      <c r="N3048" s="2" t="str">
        <f aca="false">IF($G3048="","",IF(COUNTIF($G$2:$G$4460,$G3048)&gt;1,"重複",""))</f>
        <v/>
      </c>
    </row>
    <row r="3049" customFormat="false" ht="16.5" hidden="false" customHeight="true" outlineLevel="0" collapsed="false">
      <c r="A3049" s="2" t="s">
        <v>447</v>
      </c>
      <c r="B3049" s="2" t="s">
        <v>449</v>
      </c>
      <c r="C3049" s="2" t="s">
        <v>9</v>
      </c>
      <c r="D3049" s="2" t="str">
        <f aca="false">IF(4キー同時!$B$19="","",4キー同時!$B$19)</f>
        <v/>
      </c>
      <c r="E3049" s="2" t="str">
        <f aca="false">IF(4キー同時!$G$19="","",4キー同時!$G$19)</f>
        <v/>
      </c>
      <c r="F3049" s="2" t="str">
        <f aca="false">IF(4キー同時!$L$19="","",4キー同時!$L$19)</f>
        <v/>
      </c>
      <c r="G3049" s="2" t="str">
        <f aca="false">IF(OR(4キー同時!$B$19="",4キー同時!$G$19="",4キー同時!$L$19=""),"",IF(4キー同時!AP21="","",SUBSTITUTE(SUBSTITUTE(4キー同時!AP21," ",""),"　","")))</f>
        <v/>
      </c>
      <c r="H3049" s="2" t="str">
        <f aca="false">IF($G3049="","",4キー同時!$B$19)</f>
        <v/>
      </c>
      <c r="I3049" s="2" t="str">
        <f aca="false">IF($G3049="","",4キー同時!$G$19)</f>
        <v/>
      </c>
      <c r="J3049" s="2" t="str">
        <f aca="false">IF($G3049="","",4キー同時!$L$19)</f>
        <v/>
      </c>
      <c r="K3049" s="2" t="str">
        <f aca="false">IF($G3049="","","0")</f>
        <v/>
      </c>
      <c r="L3049" s="2" t="str">
        <f aca="false">IF($G3049="","","同時")</f>
        <v/>
      </c>
      <c r="M3049" s="2" t="str">
        <f aca="false">IF($G3049="","",IF(ISNA(MATCH($G3049,個別指定!$A:$A,0)),"行なし",""))</f>
        <v/>
      </c>
      <c r="N3049" s="2" t="str">
        <f aca="false">IF($G3049="","",IF(COUNTIF($G$2:$G$4460,$G3049)&gt;1,"重複",""))</f>
        <v/>
      </c>
    </row>
    <row r="3050" customFormat="false" ht="16.5" hidden="false" customHeight="true" outlineLevel="0" collapsed="false">
      <c r="A3050" s="2" t="s">
        <v>447</v>
      </c>
      <c r="B3050" s="2" t="s">
        <v>449</v>
      </c>
      <c r="C3050" s="2" t="s">
        <v>10</v>
      </c>
      <c r="D3050" s="2" t="str">
        <f aca="false">IF(4キー同時!$B$19="","",4キー同時!$B$19)</f>
        <v/>
      </c>
      <c r="E3050" s="2" t="str">
        <f aca="false">IF(4キー同時!$G$19="","",4キー同時!$G$19)</f>
        <v/>
      </c>
      <c r="F3050" s="2" t="str">
        <f aca="false">IF(4キー同時!$L$19="","",4キー同時!$L$19)</f>
        <v/>
      </c>
      <c r="G3050" s="2" t="str">
        <f aca="false">IF(OR(4キー同時!$B$19="",4キー同時!$G$19="",4キー同時!$L$19=""),"",IF(4キー同時!AT21="","",SUBSTITUTE(SUBSTITUTE(4キー同時!AT21," ",""),"　","")))</f>
        <v/>
      </c>
      <c r="H3050" s="2" t="str">
        <f aca="false">IF($G3050="","",4キー同時!$B$19)</f>
        <v/>
      </c>
      <c r="I3050" s="2" t="str">
        <f aca="false">IF($G3050="","",4キー同時!$G$19)</f>
        <v/>
      </c>
      <c r="J3050" s="2" t="str">
        <f aca="false">IF($G3050="","",4キー同時!$L$19)</f>
        <v/>
      </c>
      <c r="K3050" s="2" t="str">
        <f aca="false">IF($G3050="","","-")</f>
        <v/>
      </c>
      <c r="L3050" s="2" t="str">
        <f aca="false">IF($G3050="","","同時")</f>
        <v/>
      </c>
      <c r="M3050" s="2" t="str">
        <f aca="false">IF($G3050="","",IF(ISNA(MATCH($G3050,個別指定!$A:$A,0)),"行なし",""))</f>
        <v/>
      </c>
      <c r="N3050" s="2" t="str">
        <f aca="false">IF($G3050="","",IF(COUNTIF($G$2:$G$4460,$G3050)&gt;1,"重複",""))</f>
        <v/>
      </c>
    </row>
    <row r="3051" customFormat="false" ht="16.5" hidden="false" customHeight="true" outlineLevel="0" collapsed="false">
      <c r="A3051" s="2" t="s">
        <v>447</v>
      </c>
      <c r="B3051" s="2" t="s">
        <v>449</v>
      </c>
      <c r="C3051" s="2" t="s">
        <v>11</v>
      </c>
      <c r="D3051" s="2" t="str">
        <f aca="false">IF(4キー同時!$B$19="","",4キー同時!$B$19)</f>
        <v/>
      </c>
      <c r="E3051" s="2" t="str">
        <f aca="false">IF(4キー同時!$G$19="","",4キー同時!$G$19)</f>
        <v/>
      </c>
      <c r="F3051" s="2" t="str">
        <f aca="false">IF(4キー同時!$L$19="","",4キー同時!$L$19)</f>
        <v/>
      </c>
      <c r="G3051" s="2" t="str">
        <f aca="false">IF(OR(4キー同時!$B$19="",4キー同時!$G$19="",4キー同時!$L$19=""),"",IF(4キー同時!AX21="","",SUBSTITUTE(SUBSTITUTE(4キー同時!AX21," ",""),"　","")))</f>
        <v/>
      </c>
      <c r="H3051" s="2" t="str">
        <f aca="false">IF($G3051="","",4キー同時!$B$19)</f>
        <v/>
      </c>
      <c r="I3051" s="2" t="str">
        <f aca="false">IF($G3051="","",4キー同時!$G$19)</f>
        <v/>
      </c>
      <c r="J3051" s="2" t="str">
        <f aca="false">IF($G3051="","",4キー同時!$L$19)</f>
        <v/>
      </c>
      <c r="K3051" s="2" t="str">
        <f aca="false">IF($G3051="","","=")</f>
        <v/>
      </c>
      <c r="L3051" s="2" t="str">
        <f aca="false">IF($G3051="","","同時")</f>
        <v/>
      </c>
      <c r="M3051" s="2" t="str">
        <f aca="false">IF($G3051="","",IF(ISNA(MATCH($G3051,個別指定!$A:$A,0)),"行なし",""))</f>
        <v/>
      </c>
      <c r="N3051" s="2" t="str">
        <f aca="false">IF($G3051="","",IF(COUNTIF($G$2:$G$4460,$G3051)&gt;1,"重複",""))</f>
        <v/>
      </c>
    </row>
    <row r="3052" customFormat="false" ht="16.5" hidden="false" customHeight="true" outlineLevel="0" collapsed="false">
      <c r="A3052" s="2" t="s">
        <v>447</v>
      </c>
      <c r="B3052" s="2" t="s">
        <v>449</v>
      </c>
      <c r="C3052" s="2" t="s">
        <v>12</v>
      </c>
      <c r="D3052" s="2" t="str">
        <f aca="false">IF(4キー同時!$B$19="","",4キー同時!$B$19)</f>
        <v/>
      </c>
      <c r="E3052" s="2" t="str">
        <f aca="false">IF(4キー同時!$G$19="","",4キー同時!$G$19)</f>
        <v/>
      </c>
      <c r="F3052" s="2" t="str">
        <f aca="false">IF(4キー同時!$L$19="","",4キー同時!$L$19)</f>
        <v/>
      </c>
      <c r="G3052" s="2" t="str">
        <f aca="false">IF(OR(4キー同時!$B$19="",4キー同時!$G$19="",4キー同時!$L$19=""),"",IF(4キー同時!H23="","",SUBSTITUTE(SUBSTITUTE(4キー同時!H23," ",""),"　","")))</f>
        <v/>
      </c>
      <c r="H3052" s="2" t="str">
        <f aca="false">IF($G3052="","",4キー同時!$B$19)</f>
        <v/>
      </c>
      <c r="I3052" s="2" t="str">
        <f aca="false">IF($G3052="","",4キー同時!$G$19)</f>
        <v/>
      </c>
      <c r="J3052" s="2" t="str">
        <f aca="false">IF($G3052="","",4キー同時!$L$19)</f>
        <v/>
      </c>
      <c r="K3052" s="2" t="str">
        <f aca="false">IF($G3052="","","q")</f>
        <v/>
      </c>
      <c r="L3052" s="2" t="str">
        <f aca="false">IF($G3052="","","同時")</f>
        <v/>
      </c>
      <c r="M3052" s="2" t="str">
        <f aca="false">IF($G3052="","",IF(ISNA(MATCH($G3052,個別指定!$A:$A,0)),"行なし",""))</f>
        <v/>
      </c>
      <c r="N3052" s="2" t="str">
        <f aca="false">IF($G3052="","",IF(COUNTIF($G$2:$G$4460,$G3052)&gt;1,"重複",""))</f>
        <v/>
      </c>
    </row>
    <row r="3053" customFormat="false" ht="16.5" hidden="false" customHeight="true" outlineLevel="0" collapsed="false">
      <c r="A3053" s="2" t="s">
        <v>447</v>
      </c>
      <c r="B3053" s="2" t="s">
        <v>449</v>
      </c>
      <c r="C3053" s="2" t="s">
        <v>13</v>
      </c>
      <c r="D3053" s="2" t="str">
        <f aca="false">IF(4キー同時!$B$19="","",4キー同時!$B$19)</f>
        <v/>
      </c>
      <c r="E3053" s="2" t="str">
        <f aca="false">IF(4キー同時!$G$19="","",4キー同時!$G$19)</f>
        <v/>
      </c>
      <c r="F3053" s="2" t="str">
        <f aca="false">IF(4キー同時!$L$19="","",4キー同時!$L$19)</f>
        <v/>
      </c>
      <c r="G3053" s="2" t="str">
        <f aca="false">IF(OR(4キー同時!$B$19="",4キー同時!$G$19="",4キー同時!$L$19=""),"",IF(4キー同時!L23="","",SUBSTITUTE(SUBSTITUTE(4キー同時!L23," ",""),"　","")))</f>
        <v/>
      </c>
      <c r="H3053" s="2" t="str">
        <f aca="false">IF($G3053="","",4キー同時!$B$19)</f>
        <v/>
      </c>
      <c r="I3053" s="2" t="str">
        <f aca="false">IF($G3053="","",4キー同時!$G$19)</f>
        <v/>
      </c>
      <c r="J3053" s="2" t="str">
        <f aca="false">IF($G3053="","",4キー同時!$L$19)</f>
        <v/>
      </c>
      <c r="K3053" s="2" t="str">
        <f aca="false">IF($G3053="","","w")</f>
        <v/>
      </c>
      <c r="L3053" s="2" t="str">
        <f aca="false">IF($G3053="","","同時")</f>
        <v/>
      </c>
      <c r="M3053" s="2" t="str">
        <f aca="false">IF($G3053="","",IF(ISNA(MATCH($G3053,個別指定!$A:$A,0)),"行なし",""))</f>
        <v/>
      </c>
      <c r="N3053" s="2" t="str">
        <f aca="false">IF($G3053="","",IF(COUNTIF($G$2:$G$4460,$G3053)&gt;1,"重複",""))</f>
        <v/>
      </c>
    </row>
    <row r="3054" customFormat="false" ht="16.5" hidden="false" customHeight="true" outlineLevel="0" collapsed="false">
      <c r="A3054" s="2" t="s">
        <v>447</v>
      </c>
      <c r="B3054" s="2" t="s">
        <v>449</v>
      </c>
      <c r="C3054" s="2" t="s">
        <v>14</v>
      </c>
      <c r="D3054" s="2" t="str">
        <f aca="false">IF(4キー同時!$B$19="","",4キー同時!$B$19)</f>
        <v/>
      </c>
      <c r="E3054" s="2" t="str">
        <f aca="false">IF(4キー同時!$G$19="","",4キー同時!$G$19)</f>
        <v/>
      </c>
      <c r="F3054" s="2" t="str">
        <f aca="false">IF(4キー同時!$L$19="","",4キー同時!$L$19)</f>
        <v/>
      </c>
      <c r="G3054" s="2" t="str">
        <f aca="false">IF(OR(4キー同時!$B$19="",4キー同時!$G$19="",4キー同時!$L$19=""),"",IF(4キー同時!P23="","",SUBSTITUTE(SUBSTITUTE(4キー同時!P23," ",""),"　","")))</f>
        <v/>
      </c>
      <c r="H3054" s="2" t="str">
        <f aca="false">IF($G3054="","",4キー同時!$B$19)</f>
        <v/>
      </c>
      <c r="I3054" s="2" t="str">
        <f aca="false">IF($G3054="","",4キー同時!$G$19)</f>
        <v/>
      </c>
      <c r="J3054" s="2" t="str">
        <f aca="false">IF($G3054="","",4キー同時!$L$19)</f>
        <v/>
      </c>
      <c r="K3054" s="2" t="str">
        <f aca="false">IF($G3054="","","e")</f>
        <v/>
      </c>
      <c r="L3054" s="2" t="str">
        <f aca="false">IF($G3054="","","同時")</f>
        <v/>
      </c>
      <c r="M3054" s="2" t="str">
        <f aca="false">IF($G3054="","",IF(ISNA(MATCH($G3054,個別指定!$A:$A,0)),"行なし",""))</f>
        <v/>
      </c>
      <c r="N3054" s="2" t="str">
        <f aca="false">IF($G3054="","",IF(COUNTIF($G$2:$G$4460,$G3054)&gt;1,"重複",""))</f>
        <v/>
      </c>
    </row>
    <row r="3055" customFormat="false" ht="16.5" hidden="false" customHeight="true" outlineLevel="0" collapsed="false">
      <c r="A3055" s="2" t="s">
        <v>447</v>
      </c>
      <c r="B3055" s="2" t="s">
        <v>449</v>
      </c>
      <c r="C3055" s="2" t="s">
        <v>15</v>
      </c>
      <c r="D3055" s="2" t="str">
        <f aca="false">IF(4キー同時!$B$19="","",4キー同時!$B$19)</f>
        <v/>
      </c>
      <c r="E3055" s="2" t="str">
        <f aca="false">IF(4キー同時!$G$19="","",4キー同時!$G$19)</f>
        <v/>
      </c>
      <c r="F3055" s="2" t="str">
        <f aca="false">IF(4キー同時!$L$19="","",4キー同時!$L$19)</f>
        <v/>
      </c>
      <c r="G3055" s="2" t="str">
        <f aca="false">IF(OR(4キー同時!$B$19="",4キー同時!$G$19="",4キー同時!$L$19=""),"",IF(4キー同時!T23="","",SUBSTITUTE(SUBSTITUTE(4キー同時!T23," ",""),"　","")))</f>
        <v/>
      </c>
      <c r="H3055" s="2" t="str">
        <f aca="false">IF($G3055="","",4キー同時!$B$19)</f>
        <v/>
      </c>
      <c r="I3055" s="2" t="str">
        <f aca="false">IF($G3055="","",4キー同時!$G$19)</f>
        <v/>
      </c>
      <c r="J3055" s="2" t="str">
        <f aca="false">IF($G3055="","",4キー同時!$L$19)</f>
        <v/>
      </c>
      <c r="K3055" s="2" t="str">
        <f aca="false">IF($G3055="","","r")</f>
        <v/>
      </c>
      <c r="L3055" s="2" t="str">
        <f aca="false">IF($G3055="","","同時")</f>
        <v/>
      </c>
      <c r="M3055" s="2" t="str">
        <f aca="false">IF($G3055="","",IF(ISNA(MATCH($G3055,個別指定!$A:$A,0)),"行なし",""))</f>
        <v/>
      </c>
      <c r="N3055" s="2" t="str">
        <f aca="false">IF($G3055="","",IF(COUNTIF($G$2:$G$4460,$G3055)&gt;1,"重複",""))</f>
        <v/>
      </c>
    </row>
    <row r="3056" customFormat="false" ht="16.5" hidden="false" customHeight="true" outlineLevel="0" collapsed="false">
      <c r="A3056" s="2" t="s">
        <v>447</v>
      </c>
      <c r="B3056" s="2" t="s">
        <v>449</v>
      </c>
      <c r="C3056" s="2" t="s">
        <v>16</v>
      </c>
      <c r="D3056" s="2" t="str">
        <f aca="false">IF(4キー同時!$B$19="","",4キー同時!$B$19)</f>
        <v/>
      </c>
      <c r="E3056" s="2" t="str">
        <f aca="false">IF(4キー同時!$G$19="","",4キー同時!$G$19)</f>
        <v/>
      </c>
      <c r="F3056" s="2" t="str">
        <f aca="false">IF(4キー同時!$L$19="","",4キー同時!$L$19)</f>
        <v/>
      </c>
      <c r="G3056" s="2" t="str">
        <f aca="false">IF(OR(4キー同時!$B$19="",4キー同時!$G$19="",4キー同時!$L$19=""),"",IF(4キー同時!X23="","",SUBSTITUTE(SUBSTITUTE(4キー同時!X23," ",""),"　","")))</f>
        <v/>
      </c>
      <c r="H3056" s="2" t="str">
        <f aca="false">IF($G3056="","",4キー同時!$B$19)</f>
        <v/>
      </c>
      <c r="I3056" s="2" t="str">
        <f aca="false">IF($G3056="","",4キー同時!$G$19)</f>
        <v/>
      </c>
      <c r="J3056" s="2" t="str">
        <f aca="false">IF($G3056="","",4キー同時!$L$19)</f>
        <v/>
      </c>
      <c r="K3056" s="2" t="str">
        <f aca="false">IF($G3056="","","t")</f>
        <v/>
      </c>
      <c r="L3056" s="2" t="str">
        <f aca="false">IF($G3056="","","同時")</f>
        <v/>
      </c>
      <c r="M3056" s="2" t="str">
        <f aca="false">IF($G3056="","",IF(ISNA(MATCH($G3056,個別指定!$A:$A,0)),"行なし",""))</f>
        <v/>
      </c>
      <c r="N3056" s="2" t="str">
        <f aca="false">IF($G3056="","",IF(COUNTIF($G$2:$G$4460,$G3056)&gt;1,"重複",""))</f>
        <v/>
      </c>
    </row>
    <row r="3057" customFormat="false" ht="16.5" hidden="false" customHeight="true" outlineLevel="0" collapsed="false">
      <c r="A3057" s="2" t="s">
        <v>447</v>
      </c>
      <c r="B3057" s="2" t="s">
        <v>449</v>
      </c>
      <c r="C3057" s="2" t="s">
        <v>17</v>
      </c>
      <c r="D3057" s="2" t="str">
        <f aca="false">IF(4キー同時!$B$19="","",4キー同時!$B$19)</f>
        <v/>
      </c>
      <c r="E3057" s="2" t="str">
        <f aca="false">IF(4キー同時!$G$19="","",4キー同時!$G$19)</f>
        <v/>
      </c>
      <c r="F3057" s="2" t="str">
        <f aca="false">IF(4キー同時!$L$19="","",4キー同時!$L$19)</f>
        <v/>
      </c>
      <c r="G3057" s="2" t="str">
        <f aca="false">IF(OR(4キー同時!$B$19="",4キー同時!$G$19="",4キー同時!$L$19=""),"",IF(4キー同時!AB23="","",SUBSTITUTE(SUBSTITUTE(4キー同時!AB23," ",""),"　","")))</f>
        <v/>
      </c>
      <c r="H3057" s="2" t="str">
        <f aca="false">IF($G3057="","",4キー同時!$B$19)</f>
        <v/>
      </c>
      <c r="I3057" s="2" t="str">
        <f aca="false">IF($G3057="","",4キー同時!$G$19)</f>
        <v/>
      </c>
      <c r="J3057" s="2" t="str">
        <f aca="false">IF($G3057="","",4キー同時!$L$19)</f>
        <v/>
      </c>
      <c r="K3057" s="2" t="str">
        <f aca="false">IF($G3057="","","y")</f>
        <v/>
      </c>
      <c r="L3057" s="2" t="str">
        <f aca="false">IF($G3057="","","同時")</f>
        <v/>
      </c>
      <c r="M3057" s="2" t="str">
        <f aca="false">IF($G3057="","",IF(ISNA(MATCH($G3057,個別指定!$A:$A,0)),"行なし",""))</f>
        <v/>
      </c>
      <c r="N3057" s="2" t="str">
        <f aca="false">IF($G3057="","",IF(COUNTIF($G$2:$G$4460,$G3057)&gt;1,"重複",""))</f>
        <v/>
      </c>
    </row>
    <row r="3058" customFormat="false" ht="16.5" hidden="false" customHeight="true" outlineLevel="0" collapsed="false">
      <c r="A3058" s="2" t="s">
        <v>447</v>
      </c>
      <c r="B3058" s="2" t="s">
        <v>449</v>
      </c>
      <c r="C3058" s="2" t="s">
        <v>18</v>
      </c>
      <c r="D3058" s="2" t="str">
        <f aca="false">IF(4キー同時!$B$19="","",4キー同時!$B$19)</f>
        <v/>
      </c>
      <c r="E3058" s="2" t="str">
        <f aca="false">IF(4キー同時!$G$19="","",4キー同時!$G$19)</f>
        <v/>
      </c>
      <c r="F3058" s="2" t="str">
        <f aca="false">IF(4キー同時!$L$19="","",4キー同時!$L$19)</f>
        <v/>
      </c>
      <c r="G3058" s="2" t="str">
        <f aca="false">IF(OR(4キー同時!$B$19="",4キー同時!$G$19="",4キー同時!$L$19=""),"",IF(4キー同時!AF23="","",SUBSTITUTE(SUBSTITUTE(4キー同時!AF23," ",""),"　","")))</f>
        <v/>
      </c>
      <c r="H3058" s="2" t="str">
        <f aca="false">IF($G3058="","",4キー同時!$B$19)</f>
        <v/>
      </c>
      <c r="I3058" s="2" t="str">
        <f aca="false">IF($G3058="","",4キー同時!$G$19)</f>
        <v/>
      </c>
      <c r="J3058" s="2" t="str">
        <f aca="false">IF($G3058="","",4キー同時!$L$19)</f>
        <v/>
      </c>
      <c r="K3058" s="2" t="str">
        <f aca="false">IF($G3058="","","u")</f>
        <v/>
      </c>
      <c r="L3058" s="2" t="str">
        <f aca="false">IF($G3058="","","同時")</f>
        <v/>
      </c>
      <c r="M3058" s="2" t="str">
        <f aca="false">IF($G3058="","",IF(ISNA(MATCH($G3058,個別指定!$A:$A,0)),"行なし",""))</f>
        <v/>
      </c>
      <c r="N3058" s="2" t="str">
        <f aca="false">IF($G3058="","",IF(COUNTIF($G$2:$G$4460,$G3058)&gt;1,"重複",""))</f>
        <v/>
      </c>
    </row>
    <row r="3059" customFormat="false" ht="16.5" hidden="false" customHeight="true" outlineLevel="0" collapsed="false">
      <c r="A3059" s="2" t="s">
        <v>447</v>
      </c>
      <c r="B3059" s="2" t="s">
        <v>449</v>
      </c>
      <c r="C3059" s="2" t="s">
        <v>19</v>
      </c>
      <c r="D3059" s="2" t="str">
        <f aca="false">IF(4キー同時!$B$19="","",4キー同時!$B$19)</f>
        <v/>
      </c>
      <c r="E3059" s="2" t="str">
        <f aca="false">IF(4キー同時!$G$19="","",4キー同時!$G$19)</f>
        <v/>
      </c>
      <c r="F3059" s="2" t="str">
        <f aca="false">IF(4キー同時!$L$19="","",4キー同時!$L$19)</f>
        <v/>
      </c>
      <c r="G3059" s="2" t="str">
        <f aca="false">IF(OR(4キー同時!$B$19="",4キー同時!$G$19="",4キー同時!$L$19=""),"",IF(4キー同時!AJ23="","",SUBSTITUTE(SUBSTITUTE(4キー同時!AJ23," ",""),"　","")))</f>
        <v/>
      </c>
      <c r="H3059" s="2" t="str">
        <f aca="false">IF($G3059="","",4キー同時!$B$19)</f>
        <v/>
      </c>
      <c r="I3059" s="2" t="str">
        <f aca="false">IF($G3059="","",4キー同時!$G$19)</f>
        <v/>
      </c>
      <c r="J3059" s="2" t="str">
        <f aca="false">IF($G3059="","",4キー同時!$L$19)</f>
        <v/>
      </c>
      <c r="K3059" s="2" t="str">
        <f aca="false">IF($G3059="","","i")</f>
        <v/>
      </c>
      <c r="L3059" s="2" t="str">
        <f aca="false">IF($G3059="","","同時")</f>
        <v/>
      </c>
      <c r="M3059" s="2" t="str">
        <f aca="false">IF($G3059="","",IF(ISNA(MATCH($G3059,個別指定!$A:$A,0)),"行なし",""))</f>
        <v/>
      </c>
      <c r="N3059" s="2" t="str">
        <f aca="false">IF($G3059="","",IF(COUNTIF($G$2:$G$4460,$G3059)&gt;1,"重複",""))</f>
        <v/>
      </c>
    </row>
    <row r="3060" customFormat="false" ht="16.5" hidden="false" customHeight="true" outlineLevel="0" collapsed="false">
      <c r="A3060" s="2" t="s">
        <v>447</v>
      </c>
      <c r="B3060" s="2" t="s">
        <v>449</v>
      </c>
      <c r="C3060" s="2" t="s">
        <v>20</v>
      </c>
      <c r="D3060" s="2" t="str">
        <f aca="false">IF(4キー同時!$B$19="","",4キー同時!$B$19)</f>
        <v/>
      </c>
      <c r="E3060" s="2" t="str">
        <f aca="false">IF(4キー同時!$G$19="","",4キー同時!$G$19)</f>
        <v/>
      </c>
      <c r="F3060" s="2" t="str">
        <f aca="false">IF(4キー同時!$L$19="","",4キー同時!$L$19)</f>
        <v/>
      </c>
      <c r="G3060" s="2" t="str">
        <f aca="false">IF(OR(4キー同時!$B$19="",4キー同時!$G$19="",4キー同時!$L$19=""),"",IF(4キー同時!AN23="","",SUBSTITUTE(SUBSTITUTE(4キー同時!AN23," ",""),"　","")))</f>
        <v/>
      </c>
      <c r="H3060" s="2" t="str">
        <f aca="false">IF($G3060="","",4キー同時!$B$19)</f>
        <v/>
      </c>
      <c r="I3060" s="2" t="str">
        <f aca="false">IF($G3060="","",4キー同時!$G$19)</f>
        <v/>
      </c>
      <c r="J3060" s="2" t="str">
        <f aca="false">IF($G3060="","",4キー同時!$L$19)</f>
        <v/>
      </c>
      <c r="K3060" s="2" t="str">
        <f aca="false">IF($G3060="","","o")</f>
        <v/>
      </c>
      <c r="L3060" s="2" t="str">
        <f aca="false">IF($G3060="","","同時")</f>
        <v/>
      </c>
      <c r="M3060" s="2" t="str">
        <f aca="false">IF($G3060="","",IF(ISNA(MATCH($G3060,個別指定!$A:$A,0)),"行なし",""))</f>
        <v/>
      </c>
      <c r="N3060" s="2" t="str">
        <f aca="false">IF($G3060="","",IF(COUNTIF($G$2:$G$4460,$G3060)&gt;1,"重複",""))</f>
        <v/>
      </c>
    </row>
    <row r="3061" customFormat="false" ht="16.5" hidden="false" customHeight="true" outlineLevel="0" collapsed="false">
      <c r="A3061" s="2" t="s">
        <v>447</v>
      </c>
      <c r="B3061" s="2" t="s">
        <v>449</v>
      </c>
      <c r="C3061" s="2" t="s">
        <v>21</v>
      </c>
      <c r="D3061" s="2" t="str">
        <f aca="false">IF(4キー同時!$B$19="","",4キー同時!$B$19)</f>
        <v/>
      </c>
      <c r="E3061" s="2" t="str">
        <f aca="false">IF(4キー同時!$G$19="","",4キー同時!$G$19)</f>
        <v/>
      </c>
      <c r="F3061" s="2" t="str">
        <f aca="false">IF(4キー同時!$L$19="","",4キー同時!$L$19)</f>
        <v/>
      </c>
      <c r="G3061" s="2" t="str">
        <f aca="false">IF(OR(4キー同時!$B$19="",4キー同時!$G$19="",4キー同時!$L$19=""),"",IF(4キー同時!AR23="","",SUBSTITUTE(SUBSTITUTE(4キー同時!AR23," ",""),"　","")))</f>
        <v/>
      </c>
      <c r="H3061" s="2" t="str">
        <f aca="false">IF($G3061="","",4キー同時!$B$19)</f>
        <v/>
      </c>
      <c r="I3061" s="2" t="str">
        <f aca="false">IF($G3061="","",4キー同時!$G$19)</f>
        <v/>
      </c>
      <c r="J3061" s="2" t="str">
        <f aca="false">IF($G3061="","",4キー同時!$L$19)</f>
        <v/>
      </c>
      <c r="K3061" s="2" t="str">
        <f aca="false">IF($G3061="","","p")</f>
        <v/>
      </c>
      <c r="L3061" s="2" t="str">
        <f aca="false">IF($G3061="","","同時")</f>
        <v/>
      </c>
      <c r="M3061" s="2" t="str">
        <f aca="false">IF($G3061="","",IF(ISNA(MATCH($G3061,個別指定!$A:$A,0)),"行なし",""))</f>
        <v/>
      </c>
      <c r="N3061" s="2" t="str">
        <f aca="false">IF($G3061="","",IF(COUNTIF($G$2:$G$4460,$G3061)&gt;1,"重複",""))</f>
        <v/>
      </c>
    </row>
    <row r="3062" customFormat="false" ht="16.5" hidden="false" customHeight="true" outlineLevel="0" collapsed="false">
      <c r="A3062" s="2" t="s">
        <v>447</v>
      </c>
      <c r="B3062" s="2" t="s">
        <v>449</v>
      </c>
      <c r="C3062" s="2" t="s">
        <v>22</v>
      </c>
      <c r="D3062" s="2" t="str">
        <f aca="false">IF(4キー同時!$B$19="","",4キー同時!$B$19)</f>
        <v/>
      </c>
      <c r="E3062" s="2" t="str">
        <f aca="false">IF(4キー同時!$G$19="","",4キー同時!$G$19)</f>
        <v/>
      </c>
      <c r="F3062" s="2" t="str">
        <f aca="false">IF(4キー同時!$L$19="","",4キー同時!$L$19)</f>
        <v/>
      </c>
      <c r="G3062" s="2" t="str">
        <f aca="false">IF(OR(4キー同時!$B$19="",4キー同時!$G$19="",4キー同時!$L$19=""),"",IF(4キー同時!AV23="","",SUBSTITUTE(SUBSTITUTE(4キー同時!AV23," ",""),"　","")))</f>
        <v/>
      </c>
      <c r="H3062" s="2" t="str">
        <f aca="false">IF($G3062="","",4キー同時!$B$19)</f>
        <v/>
      </c>
      <c r="I3062" s="2" t="str">
        <f aca="false">IF($G3062="","",4キー同時!$G$19)</f>
        <v/>
      </c>
      <c r="J3062" s="2" t="str">
        <f aca="false">IF($G3062="","",4キー同時!$L$19)</f>
        <v/>
      </c>
      <c r="K3062" s="2" t="str">
        <f aca="false">IF($G3062="","","[")</f>
        <v/>
      </c>
      <c r="L3062" s="2" t="str">
        <f aca="false">IF($G3062="","","同時")</f>
        <v/>
      </c>
      <c r="M3062" s="2" t="str">
        <f aca="false">IF($G3062="","",IF(ISNA(MATCH($G3062,個別指定!$A:$A,0)),"行なし",""))</f>
        <v/>
      </c>
      <c r="N3062" s="2" t="str">
        <f aca="false">IF($G3062="","",IF(COUNTIF($G$2:$G$4460,$G3062)&gt;1,"重複",""))</f>
        <v/>
      </c>
    </row>
    <row r="3063" customFormat="false" ht="16.5" hidden="false" customHeight="true" outlineLevel="0" collapsed="false">
      <c r="A3063" s="2" t="s">
        <v>447</v>
      </c>
      <c r="B3063" s="2" t="s">
        <v>449</v>
      </c>
      <c r="C3063" s="2" t="s">
        <v>23</v>
      </c>
      <c r="D3063" s="2" t="str">
        <f aca="false">IF(4キー同時!$B$19="","",4キー同時!$B$19)</f>
        <v/>
      </c>
      <c r="E3063" s="2" t="str">
        <f aca="false">IF(4キー同時!$G$19="","",4キー同時!$G$19)</f>
        <v/>
      </c>
      <c r="F3063" s="2" t="str">
        <f aca="false">IF(4キー同時!$L$19="","",4キー同時!$L$19)</f>
        <v/>
      </c>
      <c r="G3063" s="2" t="str">
        <f aca="false">IF(OR(4キー同時!$B$19="",4キー同時!$G$19="",4キー同時!$L$19=""),"",IF(4キー同時!AZ23="","",SUBSTITUTE(SUBSTITUTE(4キー同時!AZ23," ",""),"　","")))</f>
        <v/>
      </c>
      <c r="H3063" s="2" t="str">
        <f aca="false">IF($G3063="","",4キー同時!$B$19)</f>
        <v/>
      </c>
      <c r="I3063" s="2" t="str">
        <f aca="false">IF($G3063="","",4キー同時!$G$19)</f>
        <v/>
      </c>
      <c r="J3063" s="2" t="str">
        <f aca="false">IF($G3063="","",4キー同時!$L$19)</f>
        <v/>
      </c>
      <c r="K3063" s="2" t="str">
        <f aca="false">IF($G3063="","","]")</f>
        <v/>
      </c>
      <c r="L3063" s="2" t="str">
        <f aca="false">IF($G3063="","","同時")</f>
        <v/>
      </c>
      <c r="M3063" s="2" t="str">
        <f aca="false">IF($G3063="","",IF(ISNA(MATCH($G3063,個別指定!$A:$A,0)),"行なし",""))</f>
        <v/>
      </c>
      <c r="N3063" s="2" t="str">
        <f aca="false">IF($G3063="","",IF(COUNTIF($G$2:$G$4460,$G3063)&gt;1,"重複",""))</f>
        <v/>
      </c>
    </row>
    <row r="3064" customFormat="false" ht="16.5" hidden="false" customHeight="true" outlineLevel="0" collapsed="false">
      <c r="A3064" s="2" t="s">
        <v>447</v>
      </c>
      <c r="B3064" s="2" t="s">
        <v>449</v>
      </c>
      <c r="C3064" s="2" t="s">
        <v>24</v>
      </c>
      <c r="D3064" s="2" t="str">
        <f aca="false">IF(4キー同時!$B$19="","",4キー同時!$B$19)</f>
        <v/>
      </c>
      <c r="E3064" s="2" t="str">
        <f aca="false">IF(4キー同時!$G$19="","",4キー同時!$G$19)</f>
        <v/>
      </c>
      <c r="F3064" s="2" t="str">
        <f aca="false">IF(4キー同時!$L$19="","",4キー同時!$L$19)</f>
        <v/>
      </c>
      <c r="G3064" s="2" t="str">
        <f aca="false">IF(OR(4キー同時!$B$19="",4キー同時!$G$19="",4キー同時!$L$19=""),"",IF(4キー同時!I25="","",SUBSTITUTE(SUBSTITUTE(4キー同時!I25," ",""),"　","")))</f>
        <v/>
      </c>
      <c r="H3064" s="2" t="str">
        <f aca="false">IF($G3064="","",4キー同時!$B$19)</f>
        <v/>
      </c>
      <c r="I3064" s="2" t="str">
        <f aca="false">IF($G3064="","",4キー同時!$G$19)</f>
        <v/>
      </c>
      <c r="J3064" s="2" t="str">
        <f aca="false">IF($G3064="","",4キー同時!$L$19)</f>
        <v/>
      </c>
      <c r="K3064" s="2" t="str">
        <f aca="false">IF($G3064="","","a")</f>
        <v/>
      </c>
      <c r="L3064" s="2" t="str">
        <f aca="false">IF($G3064="","","同時")</f>
        <v/>
      </c>
      <c r="M3064" s="2" t="str">
        <f aca="false">IF($G3064="","",IF(ISNA(MATCH($G3064,個別指定!$A:$A,0)),"行なし",""))</f>
        <v/>
      </c>
      <c r="N3064" s="2" t="str">
        <f aca="false">IF($G3064="","",IF(COUNTIF($G$2:$G$4460,$G3064)&gt;1,"重複",""))</f>
        <v/>
      </c>
    </row>
    <row r="3065" customFormat="false" ht="16.5" hidden="false" customHeight="true" outlineLevel="0" collapsed="false">
      <c r="A3065" s="2" t="s">
        <v>447</v>
      </c>
      <c r="B3065" s="2" t="s">
        <v>449</v>
      </c>
      <c r="C3065" s="2" t="s">
        <v>25</v>
      </c>
      <c r="D3065" s="2" t="str">
        <f aca="false">IF(4キー同時!$B$19="","",4キー同時!$B$19)</f>
        <v/>
      </c>
      <c r="E3065" s="2" t="str">
        <f aca="false">IF(4キー同時!$G$19="","",4キー同時!$G$19)</f>
        <v/>
      </c>
      <c r="F3065" s="2" t="str">
        <f aca="false">IF(4キー同時!$L$19="","",4キー同時!$L$19)</f>
        <v/>
      </c>
      <c r="G3065" s="2" t="str">
        <f aca="false">IF(OR(4キー同時!$B$19="",4キー同時!$G$19="",4キー同時!$L$19=""),"",IF(4キー同時!M25="","",SUBSTITUTE(SUBSTITUTE(4キー同時!M25," ",""),"　","")))</f>
        <v/>
      </c>
      <c r="H3065" s="2" t="str">
        <f aca="false">IF($G3065="","",4キー同時!$B$19)</f>
        <v/>
      </c>
      <c r="I3065" s="2" t="str">
        <f aca="false">IF($G3065="","",4キー同時!$G$19)</f>
        <v/>
      </c>
      <c r="J3065" s="2" t="str">
        <f aca="false">IF($G3065="","",4キー同時!$L$19)</f>
        <v/>
      </c>
      <c r="K3065" s="2" t="str">
        <f aca="false">IF($G3065="","","s")</f>
        <v/>
      </c>
      <c r="L3065" s="2" t="str">
        <f aca="false">IF($G3065="","","同時")</f>
        <v/>
      </c>
      <c r="M3065" s="2" t="str">
        <f aca="false">IF($G3065="","",IF(ISNA(MATCH($G3065,個別指定!$A:$A,0)),"行なし",""))</f>
        <v/>
      </c>
      <c r="N3065" s="2" t="str">
        <f aca="false">IF($G3065="","",IF(COUNTIF($G$2:$G$4460,$G3065)&gt;1,"重複",""))</f>
        <v/>
      </c>
    </row>
    <row r="3066" customFormat="false" ht="16.5" hidden="false" customHeight="true" outlineLevel="0" collapsed="false">
      <c r="A3066" s="2" t="s">
        <v>447</v>
      </c>
      <c r="B3066" s="2" t="s">
        <v>449</v>
      </c>
      <c r="C3066" s="2" t="s">
        <v>26</v>
      </c>
      <c r="D3066" s="2" t="str">
        <f aca="false">IF(4キー同時!$B$19="","",4キー同時!$B$19)</f>
        <v/>
      </c>
      <c r="E3066" s="2" t="str">
        <f aca="false">IF(4キー同時!$G$19="","",4キー同時!$G$19)</f>
        <v/>
      </c>
      <c r="F3066" s="2" t="str">
        <f aca="false">IF(4キー同時!$L$19="","",4キー同時!$L$19)</f>
        <v/>
      </c>
      <c r="G3066" s="2" t="str">
        <f aca="false">IF(OR(4キー同時!$B$19="",4キー同時!$G$19="",4キー同時!$L$19=""),"",IF(4キー同時!Q25="","",SUBSTITUTE(SUBSTITUTE(4キー同時!Q25," ",""),"　","")))</f>
        <v/>
      </c>
      <c r="H3066" s="2" t="str">
        <f aca="false">IF($G3066="","",4キー同時!$B$19)</f>
        <v/>
      </c>
      <c r="I3066" s="2" t="str">
        <f aca="false">IF($G3066="","",4キー同時!$G$19)</f>
        <v/>
      </c>
      <c r="J3066" s="2" t="str">
        <f aca="false">IF($G3066="","",4キー同時!$L$19)</f>
        <v/>
      </c>
      <c r="K3066" s="2" t="str">
        <f aca="false">IF($G3066="","","d")</f>
        <v/>
      </c>
      <c r="L3066" s="2" t="str">
        <f aca="false">IF($G3066="","","同時")</f>
        <v/>
      </c>
      <c r="M3066" s="2" t="str">
        <f aca="false">IF($G3066="","",IF(ISNA(MATCH($G3066,個別指定!$A:$A,0)),"行なし",""))</f>
        <v/>
      </c>
      <c r="N3066" s="2" t="str">
        <f aca="false">IF($G3066="","",IF(COUNTIF($G$2:$G$4460,$G3066)&gt;1,"重複",""))</f>
        <v/>
      </c>
    </row>
    <row r="3067" customFormat="false" ht="16.5" hidden="false" customHeight="true" outlineLevel="0" collapsed="false">
      <c r="A3067" s="2" t="s">
        <v>447</v>
      </c>
      <c r="B3067" s="2" t="s">
        <v>449</v>
      </c>
      <c r="C3067" s="2" t="s">
        <v>27</v>
      </c>
      <c r="D3067" s="2" t="str">
        <f aca="false">IF(4キー同時!$B$19="","",4キー同時!$B$19)</f>
        <v/>
      </c>
      <c r="E3067" s="2" t="str">
        <f aca="false">IF(4キー同時!$G$19="","",4キー同時!$G$19)</f>
        <v/>
      </c>
      <c r="F3067" s="2" t="str">
        <f aca="false">IF(4キー同時!$L$19="","",4キー同時!$L$19)</f>
        <v/>
      </c>
      <c r="G3067" s="2" t="str">
        <f aca="false">IF(OR(4キー同時!$B$19="",4キー同時!$G$19="",4キー同時!$L$19=""),"",IF(4キー同時!U25="","",SUBSTITUTE(SUBSTITUTE(4キー同時!U25," ",""),"　","")))</f>
        <v/>
      </c>
      <c r="H3067" s="2" t="str">
        <f aca="false">IF($G3067="","",4キー同時!$B$19)</f>
        <v/>
      </c>
      <c r="I3067" s="2" t="str">
        <f aca="false">IF($G3067="","",4キー同時!$G$19)</f>
        <v/>
      </c>
      <c r="J3067" s="2" t="str">
        <f aca="false">IF($G3067="","",4キー同時!$L$19)</f>
        <v/>
      </c>
      <c r="K3067" s="2" t="str">
        <f aca="false">IF($G3067="","","f")</f>
        <v/>
      </c>
      <c r="L3067" s="2" t="str">
        <f aca="false">IF($G3067="","","同時")</f>
        <v/>
      </c>
      <c r="M3067" s="2" t="str">
        <f aca="false">IF($G3067="","",IF(ISNA(MATCH($G3067,個別指定!$A:$A,0)),"行なし",""))</f>
        <v/>
      </c>
      <c r="N3067" s="2" t="str">
        <f aca="false">IF($G3067="","",IF(COUNTIF($G$2:$G$4460,$G3067)&gt;1,"重複",""))</f>
        <v/>
      </c>
    </row>
    <row r="3068" customFormat="false" ht="16.5" hidden="false" customHeight="true" outlineLevel="0" collapsed="false">
      <c r="A3068" s="2" t="s">
        <v>447</v>
      </c>
      <c r="B3068" s="2" t="s">
        <v>449</v>
      </c>
      <c r="C3068" s="2" t="s">
        <v>28</v>
      </c>
      <c r="D3068" s="2" t="str">
        <f aca="false">IF(4キー同時!$B$19="","",4キー同時!$B$19)</f>
        <v/>
      </c>
      <c r="E3068" s="2" t="str">
        <f aca="false">IF(4キー同時!$G$19="","",4キー同時!$G$19)</f>
        <v/>
      </c>
      <c r="F3068" s="2" t="str">
        <f aca="false">IF(4キー同時!$L$19="","",4キー同時!$L$19)</f>
        <v/>
      </c>
      <c r="G3068" s="2" t="str">
        <f aca="false">IF(OR(4キー同時!$B$19="",4キー同時!$G$19="",4キー同時!$L$19=""),"",IF(4キー同時!Y25="","",SUBSTITUTE(SUBSTITUTE(4キー同時!Y25," ",""),"　","")))</f>
        <v/>
      </c>
      <c r="H3068" s="2" t="str">
        <f aca="false">IF($G3068="","",4キー同時!$B$19)</f>
        <v/>
      </c>
      <c r="I3068" s="2" t="str">
        <f aca="false">IF($G3068="","",4キー同時!$G$19)</f>
        <v/>
      </c>
      <c r="J3068" s="2" t="str">
        <f aca="false">IF($G3068="","",4キー同時!$L$19)</f>
        <v/>
      </c>
      <c r="K3068" s="2" t="str">
        <f aca="false">IF($G3068="","","g")</f>
        <v/>
      </c>
      <c r="L3068" s="2" t="str">
        <f aca="false">IF($G3068="","","同時")</f>
        <v/>
      </c>
      <c r="M3068" s="2" t="str">
        <f aca="false">IF($G3068="","",IF(ISNA(MATCH($G3068,個別指定!$A:$A,0)),"行なし",""))</f>
        <v/>
      </c>
      <c r="N3068" s="2" t="str">
        <f aca="false">IF($G3068="","",IF(COUNTIF($G$2:$G$4460,$G3068)&gt;1,"重複",""))</f>
        <v/>
      </c>
    </row>
    <row r="3069" customFormat="false" ht="16.5" hidden="false" customHeight="true" outlineLevel="0" collapsed="false">
      <c r="A3069" s="2" t="s">
        <v>447</v>
      </c>
      <c r="B3069" s="2" t="s">
        <v>449</v>
      </c>
      <c r="C3069" s="2" t="s">
        <v>29</v>
      </c>
      <c r="D3069" s="2" t="str">
        <f aca="false">IF(4キー同時!$B$19="","",4キー同時!$B$19)</f>
        <v/>
      </c>
      <c r="E3069" s="2" t="str">
        <f aca="false">IF(4キー同時!$G$19="","",4キー同時!$G$19)</f>
        <v/>
      </c>
      <c r="F3069" s="2" t="str">
        <f aca="false">IF(4キー同時!$L$19="","",4キー同時!$L$19)</f>
        <v/>
      </c>
      <c r="G3069" s="2" t="str">
        <f aca="false">IF(OR(4キー同時!$B$19="",4キー同時!$G$19="",4キー同時!$L$19=""),"",IF(4キー同時!AC25="","",SUBSTITUTE(SUBSTITUTE(4キー同時!AC25," ",""),"　","")))</f>
        <v/>
      </c>
      <c r="H3069" s="2" t="str">
        <f aca="false">IF($G3069="","",4キー同時!$B$19)</f>
        <v/>
      </c>
      <c r="I3069" s="2" t="str">
        <f aca="false">IF($G3069="","",4キー同時!$G$19)</f>
        <v/>
      </c>
      <c r="J3069" s="2" t="str">
        <f aca="false">IF($G3069="","",4キー同時!$L$19)</f>
        <v/>
      </c>
      <c r="K3069" s="2" t="str">
        <f aca="false">IF($G3069="","","h")</f>
        <v/>
      </c>
      <c r="L3069" s="2" t="str">
        <f aca="false">IF($G3069="","","同時")</f>
        <v/>
      </c>
      <c r="M3069" s="2" t="str">
        <f aca="false">IF($G3069="","",IF(ISNA(MATCH($G3069,個別指定!$A:$A,0)),"行なし",""))</f>
        <v/>
      </c>
      <c r="N3069" s="2" t="str">
        <f aca="false">IF($G3069="","",IF(COUNTIF($G$2:$G$4460,$G3069)&gt;1,"重複",""))</f>
        <v/>
      </c>
    </row>
    <row r="3070" customFormat="false" ht="16.5" hidden="false" customHeight="true" outlineLevel="0" collapsed="false">
      <c r="A3070" s="2" t="s">
        <v>447</v>
      </c>
      <c r="B3070" s="2" t="s">
        <v>449</v>
      </c>
      <c r="C3070" s="2" t="s">
        <v>30</v>
      </c>
      <c r="D3070" s="2" t="str">
        <f aca="false">IF(4キー同時!$B$19="","",4キー同時!$B$19)</f>
        <v/>
      </c>
      <c r="E3070" s="2" t="str">
        <f aca="false">IF(4キー同時!$G$19="","",4キー同時!$G$19)</f>
        <v/>
      </c>
      <c r="F3070" s="2" t="str">
        <f aca="false">IF(4キー同時!$L$19="","",4キー同時!$L$19)</f>
        <v/>
      </c>
      <c r="G3070" s="2" t="str">
        <f aca="false">IF(OR(4キー同時!$B$19="",4キー同時!$G$19="",4キー同時!$L$19=""),"",IF(4キー同時!AG25="","",SUBSTITUTE(SUBSTITUTE(4キー同時!AG25," ",""),"　","")))</f>
        <v/>
      </c>
      <c r="H3070" s="2" t="str">
        <f aca="false">IF($G3070="","",4キー同時!$B$19)</f>
        <v/>
      </c>
      <c r="I3070" s="2" t="str">
        <f aca="false">IF($G3070="","",4キー同時!$G$19)</f>
        <v/>
      </c>
      <c r="J3070" s="2" t="str">
        <f aca="false">IF($G3070="","",4キー同時!$L$19)</f>
        <v/>
      </c>
      <c r="K3070" s="2" t="str">
        <f aca="false">IF($G3070="","","j")</f>
        <v/>
      </c>
      <c r="L3070" s="2" t="str">
        <f aca="false">IF($G3070="","","同時")</f>
        <v/>
      </c>
      <c r="M3070" s="2" t="str">
        <f aca="false">IF($G3070="","",IF(ISNA(MATCH($G3070,個別指定!$A:$A,0)),"行なし",""))</f>
        <v/>
      </c>
      <c r="N3070" s="2" t="str">
        <f aca="false">IF($G3070="","",IF(COUNTIF($G$2:$G$4460,$G3070)&gt;1,"重複",""))</f>
        <v/>
      </c>
    </row>
    <row r="3071" customFormat="false" ht="16.5" hidden="false" customHeight="true" outlineLevel="0" collapsed="false">
      <c r="A3071" s="2" t="s">
        <v>447</v>
      </c>
      <c r="B3071" s="2" t="s">
        <v>449</v>
      </c>
      <c r="C3071" s="2" t="s">
        <v>31</v>
      </c>
      <c r="D3071" s="2" t="str">
        <f aca="false">IF(4キー同時!$B$19="","",4キー同時!$B$19)</f>
        <v/>
      </c>
      <c r="E3071" s="2" t="str">
        <f aca="false">IF(4キー同時!$G$19="","",4キー同時!$G$19)</f>
        <v/>
      </c>
      <c r="F3071" s="2" t="str">
        <f aca="false">IF(4キー同時!$L$19="","",4キー同時!$L$19)</f>
        <v/>
      </c>
      <c r="G3071" s="2" t="str">
        <f aca="false">IF(OR(4キー同時!$B$19="",4キー同時!$G$19="",4キー同時!$L$19=""),"",IF(4キー同時!AK25="","",SUBSTITUTE(SUBSTITUTE(4キー同時!AK25," ",""),"　","")))</f>
        <v/>
      </c>
      <c r="H3071" s="2" t="str">
        <f aca="false">IF($G3071="","",4キー同時!$B$19)</f>
        <v/>
      </c>
      <c r="I3071" s="2" t="str">
        <f aca="false">IF($G3071="","",4キー同時!$G$19)</f>
        <v/>
      </c>
      <c r="J3071" s="2" t="str">
        <f aca="false">IF($G3071="","",4キー同時!$L$19)</f>
        <v/>
      </c>
      <c r="K3071" s="2" t="str">
        <f aca="false">IF($G3071="","","k")</f>
        <v/>
      </c>
      <c r="L3071" s="2" t="str">
        <f aca="false">IF($G3071="","","同時")</f>
        <v/>
      </c>
      <c r="M3071" s="2" t="str">
        <f aca="false">IF($G3071="","",IF(ISNA(MATCH($G3071,個別指定!$A:$A,0)),"行なし",""))</f>
        <v/>
      </c>
      <c r="N3071" s="2" t="str">
        <f aca="false">IF($G3071="","",IF(COUNTIF($G$2:$G$4460,$G3071)&gt;1,"重複",""))</f>
        <v/>
      </c>
    </row>
    <row r="3072" customFormat="false" ht="16.5" hidden="false" customHeight="true" outlineLevel="0" collapsed="false">
      <c r="A3072" s="2" t="s">
        <v>447</v>
      </c>
      <c r="B3072" s="2" t="s">
        <v>449</v>
      </c>
      <c r="C3072" s="2" t="s">
        <v>32</v>
      </c>
      <c r="D3072" s="2" t="str">
        <f aca="false">IF(4キー同時!$B$19="","",4キー同時!$B$19)</f>
        <v/>
      </c>
      <c r="E3072" s="2" t="str">
        <f aca="false">IF(4キー同時!$G$19="","",4キー同時!$G$19)</f>
        <v/>
      </c>
      <c r="F3072" s="2" t="str">
        <f aca="false">IF(4キー同時!$L$19="","",4キー同時!$L$19)</f>
        <v/>
      </c>
      <c r="G3072" s="2" t="str">
        <f aca="false">IF(OR(4キー同時!$B$19="",4キー同時!$G$19="",4キー同時!$L$19=""),"",IF(4キー同時!AO25="","",SUBSTITUTE(SUBSTITUTE(4キー同時!AO25," ",""),"　","")))</f>
        <v/>
      </c>
      <c r="H3072" s="2" t="str">
        <f aca="false">IF($G3072="","",4キー同時!$B$19)</f>
        <v/>
      </c>
      <c r="I3072" s="2" t="str">
        <f aca="false">IF($G3072="","",4キー同時!$G$19)</f>
        <v/>
      </c>
      <c r="J3072" s="2" t="str">
        <f aca="false">IF($G3072="","",4キー同時!$L$19)</f>
        <v/>
      </c>
      <c r="K3072" s="2" t="str">
        <f aca="false">IF($G3072="","","l")</f>
        <v/>
      </c>
      <c r="L3072" s="2" t="str">
        <f aca="false">IF($G3072="","","同時")</f>
        <v/>
      </c>
      <c r="M3072" s="2" t="str">
        <f aca="false">IF($G3072="","",IF(ISNA(MATCH($G3072,個別指定!$A:$A,0)),"行なし",""))</f>
        <v/>
      </c>
      <c r="N3072" s="2" t="str">
        <f aca="false">IF($G3072="","",IF(COUNTIF($G$2:$G$4460,$G3072)&gt;1,"重複",""))</f>
        <v/>
      </c>
    </row>
    <row r="3073" customFormat="false" ht="16.5" hidden="false" customHeight="true" outlineLevel="0" collapsed="false">
      <c r="A3073" s="2" t="s">
        <v>447</v>
      </c>
      <c r="B3073" s="2" t="s">
        <v>449</v>
      </c>
      <c r="C3073" s="2" t="s">
        <v>33</v>
      </c>
      <c r="D3073" s="2" t="str">
        <f aca="false">IF(4キー同時!$B$19="","",4キー同時!$B$19)</f>
        <v/>
      </c>
      <c r="E3073" s="2" t="str">
        <f aca="false">IF(4キー同時!$G$19="","",4キー同時!$G$19)</f>
        <v/>
      </c>
      <c r="F3073" s="2" t="str">
        <f aca="false">IF(4キー同時!$L$19="","",4キー同時!$L$19)</f>
        <v/>
      </c>
      <c r="G3073" s="2" t="str">
        <f aca="false">IF(OR(4キー同時!$B$19="",4キー同時!$G$19="",4キー同時!$L$19=""),"",IF(4キー同時!AS25="","",SUBSTITUTE(SUBSTITUTE(4キー同時!AS25," ",""),"　","")))</f>
        <v/>
      </c>
      <c r="H3073" s="2" t="str">
        <f aca="false">IF($G3073="","",4キー同時!$B$19)</f>
        <v/>
      </c>
      <c r="I3073" s="2" t="str">
        <f aca="false">IF($G3073="","",4キー同時!$G$19)</f>
        <v/>
      </c>
      <c r="J3073" s="2" t="str">
        <f aca="false">IF($G3073="","",4キー同時!$L$19)</f>
        <v/>
      </c>
      <c r="K3073" s="2" t="str">
        <f aca="false">IF($G3073="","",";")</f>
        <v/>
      </c>
      <c r="L3073" s="2" t="str">
        <f aca="false">IF($G3073="","","同時")</f>
        <v/>
      </c>
      <c r="M3073" s="2" t="str">
        <f aca="false">IF($G3073="","",IF(ISNA(MATCH($G3073,個別指定!$A:$A,0)),"行なし",""))</f>
        <v/>
      </c>
      <c r="N3073" s="2" t="str">
        <f aca="false">IF($G3073="","",IF(COUNTIF($G$2:$G$4460,$G3073)&gt;1,"重複",""))</f>
        <v/>
      </c>
    </row>
    <row r="3074" customFormat="false" ht="16.5" hidden="false" customHeight="true" outlineLevel="0" collapsed="false">
      <c r="A3074" s="2" t="s">
        <v>447</v>
      </c>
      <c r="B3074" s="2" t="s">
        <v>449</v>
      </c>
      <c r="C3074" s="2" t="s">
        <v>34</v>
      </c>
      <c r="D3074" s="2" t="str">
        <f aca="false">IF(4キー同時!$B$19="","",4キー同時!$B$19)</f>
        <v/>
      </c>
      <c r="E3074" s="2" t="str">
        <f aca="false">IF(4キー同時!$G$19="","",4キー同時!$G$19)</f>
        <v/>
      </c>
      <c r="F3074" s="2" t="str">
        <f aca="false">IF(4キー同時!$L$19="","",4キー同時!$L$19)</f>
        <v/>
      </c>
      <c r="G3074" s="2" t="str">
        <f aca="false">IF(OR(4キー同時!$B$19="",4キー同時!$G$19="",4キー同時!$L$19=""),"",IF(4キー同時!AW25="","",SUBSTITUTE(SUBSTITUTE(4キー同時!AW25," ",""),"　","")))</f>
        <v/>
      </c>
      <c r="H3074" s="2" t="str">
        <f aca="false">IF($G3074="","",4キー同時!$B$19)</f>
        <v/>
      </c>
      <c r="I3074" s="2" t="str">
        <f aca="false">IF($G3074="","",4キー同時!$G$19)</f>
        <v/>
      </c>
      <c r="J3074" s="2" t="str">
        <f aca="false">IF($G3074="","",4キー同時!$L$19)</f>
        <v/>
      </c>
      <c r="K3074" s="2" t="str">
        <f aca="false">IF($G3074="","","'")</f>
        <v/>
      </c>
      <c r="L3074" s="2" t="str">
        <f aca="false">IF($G3074="","","同時")</f>
        <v/>
      </c>
      <c r="M3074" s="2" t="str">
        <f aca="false">IF($G3074="","",IF(ISNA(MATCH($G3074,個別指定!$A:$A,0)),"行なし",""))</f>
        <v/>
      </c>
      <c r="N3074" s="2" t="str">
        <f aca="false">IF($G3074="","",IF(COUNTIF($G$2:$G$4460,$G3074)&gt;1,"重複",""))</f>
        <v/>
      </c>
    </row>
    <row r="3075" customFormat="false" ht="16.5" hidden="false" customHeight="true" outlineLevel="0" collapsed="false">
      <c r="A3075" s="2" t="s">
        <v>447</v>
      </c>
      <c r="B3075" s="2" t="s">
        <v>449</v>
      </c>
      <c r="C3075" s="2" t="s">
        <v>35</v>
      </c>
      <c r="D3075" s="2" t="str">
        <f aca="false">IF(4キー同時!$B$19="","",4キー同時!$B$19)</f>
        <v/>
      </c>
      <c r="E3075" s="2" t="str">
        <f aca="false">IF(4キー同時!$G$19="","",4キー同時!$G$19)</f>
        <v/>
      </c>
      <c r="F3075" s="2" t="str">
        <f aca="false">IF(4キー同時!$L$19="","",4キー同時!$L$19)</f>
        <v/>
      </c>
      <c r="G3075" s="2" t="str">
        <f aca="false">IF(OR(4キー同時!$B$19="",4キー同時!$G$19="",4キー同時!$L$19=""),"",IF(4キー同時!K27="","",SUBSTITUTE(SUBSTITUTE(4キー同時!K27," ",""),"　","")))</f>
        <v/>
      </c>
      <c r="H3075" s="2" t="str">
        <f aca="false">IF($G3075="","",4キー同時!$B$19)</f>
        <v/>
      </c>
      <c r="I3075" s="2" t="str">
        <f aca="false">IF($G3075="","",4キー同時!$G$19)</f>
        <v/>
      </c>
      <c r="J3075" s="2" t="str">
        <f aca="false">IF($G3075="","",4キー同時!$L$19)</f>
        <v/>
      </c>
      <c r="K3075" s="2" t="str">
        <f aca="false">IF($G3075="","","z")</f>
        <v/>
      </c>
      <c r="L3075" s="2" t="str">
        <f aca="false">IF($G3075="","","同時")</f>
        <v/>
      </c>
      <c r="M3075" s="2" t="str">
        <f aca="false">IF($G3075="","",IF(ISNA(MATCH($G3075,個別指定!$A:$A,0)),"行なし",""))</f>
        <v/>
      </c>
      <c r="N3075" s="2" t="str">
        <f aca="false">IF($G3075="","",IF(COUNTIF($G$2:$G$4460,$G3075)&gt;1,"重複",""))</f>
        <v/>
      </c>
    </row>
    <row r="3076" customFormat="false" ht="16.5" hidden="false" customHeight="true" outlineLevel="0" collapsed="false">
      <c r="A3076" s="2" t="s">
        <v>447</v>
      </c>
      <c r="B3076" s="2" t="s">
        <v>449</v>
      </c>
      <c r="C3076" s="2" t="s">
        <v>36</v>
      </c>
      <c r="D3076" s="2" t="str">
        <f aca="false">IF(4キー同時!$B$19="","",4キー同時!$B$19)</f>
        <v/>
      </c>
      <c r="E3076" s="2" t="str">
        <f aca="false">IF(4キー同時!$G$19="","",4キー同時!$G$19)</f>
        <v/>
      </c>
      <c r="F3076" s="2" t="str">
        <f aca="false">IF(4キー同時!$L$19="","",4キー同時!$L$19)</f>
        <v/>
      </c>
      <c r="G3076" s="2" t="str">
        <f aca="false">IF(OR(4キー同時!$B$19="",4キー同時!$G$19="",4キー同時!$L$19=""),"",IF(4キー同時!O27="","",SUBSTITUTE(SUBSTITUTE(4キー同時!O27," ",""),"　","")))</f>
        <v/>
      </c>
      <c r="H3076" s="2" t="str">
        <f aca="false">IF($G3076="","",4キー同時!$B$19)</f>
        <v/>
      </c>
      <c r="I3076" s="2" t="str">
        <f aca="false">IF($G3076="","",4キー同時!$G$19)</f>
        <v/>
      </c>
      <c r="J3076" s="2" t="str">
        <f aca="false">IF($G3076="","",4キー同時!$L$19)</f>
        <v/>
      </c>
      <c r="K3076" s="2" t="str">
        <f aca="false">IF($G3076="","","x")</f>
        <v/>
      </c>
      <c r="L3076" s="2" t="str">
        <f aca="false">IF($G3076="","","同時")</f>
        <v/>
      </c>
      <c r="M3076" s="2" t="str">
        <f aca="false">IF($G3076="","",IF(ISNA(MATCH($G3076,個別指定!$A:$A,0)),"行なし",""))</f>
        <v/>
      </c>
      <c r="N3076" s="2" t="str">
        <f aca="false">IF($G3076="","",IF(COUNTIF($G$2:$G$4460,$G3076)&gt;1,"重複",""))</f>
        <v/>
      </c>
    </row>
    <row r="3077" customFormat="false" ht="16.5" hidden="false" customHeight="true" outlineLevel="0" collapsed="false">
      <c r="A3077" s="2" t="s">
        <v>447</v>
      </c>
      <c r="B3077" s="2" t="s">
        <v>449</v>
      </c>
      <c r="C3077" s="2" t="s">
        <v>37</v>
      </c>
      <c r="D3077" s="2" t="str">
        <f aca="false">IF(4キー同時!$B$19="","",4キー同時!$B$19)</f>
        <v/>
      </c>
      <c r="E3077" s="2" t="str">
        <f aca="false">IF(4キー同時!$G$19="","",4キー同時!$G$19)</f>
        <v/>
      </c>
      <c r="F3077" s="2" t="str">
        <f aca="false">IF(4キー同時!$L$19="","",4キー同時!$L$19)</f>
        <v/>
      </c>
      <c r="G3077" s="2" t="str">
        <f aca="false">IF(OR(4キー同時!$B$19="",4キー同時!$G$19="",4キー同時!$L$19=""),"",IF(4キー同時!S27="","",SUBSTITUTE(SUBSTITUTE(4キー同時!S27," ",""),"　","")))</f>
        <v/>
      </c>
      <c r="H3077" s="2" t="str">
        <f aca="false">IF($G3077="","",4キー同時!$B$19)</f>
        <v/>
      </c>
      <c r="I3077" s="2" t="str">
        <f aca="false">IF($G3077="","",4キー同時!$G$19)</f>
        <v/>
      </c>
      <c r="J3077" s="2" t="str">
        <f aca="false">IF($G3077="","",4キー同時!$L$19)</f>
        <v/>
      </c>
      <c r="K3077" s="2" t="str">
        <f aca="false">IF($G3077="","","c")</f>
        <v/>
      </c>
      <c r="L3077" s="2" t="str">
        <f aca="false">IF($G3077="","","同時")</f>
        <v/>
      </c>
      <c r="M3077" s="2" t="str">
        <f aca="false">IF($G3077="","",IF(ISNA(MATCH($G3077,個別指定!$A:$A,0)),"行なし",""))</f>
        <v/>
      </c>
      <c r="N3077" s="2" t="str">
        <f aca="false">IF($G3077="","",IF(COUNTIF($G$2:$G$4460,$G3077)&gt;1,"重複",""))</f>
        <v/>
      </c>
    </row>
    <row r="3078" customFormat="false" ht="16.5" hidden="false" customHeight="true" outlineLevel="0" collapsed="false">
      <c r="A3078" s="2" t="s">
        <v>447</v>
      </c>
      <c r="B3078" s="2" t="s">
        <v>449</v>
      </c>
      <c r="C3078" s="2" t="s">
        <v>38</v>
      </c>
      <c r="D3078" s="2" t="str">
        <f aca="false">IF(4キー同時!$B$19="","",4キー同時!$B$19)</f>
        <v/>
      </c>
      <c r="E3078" s="2" t="str">
        <f aca="false">IF(4キー同時!$G$19="","",4キー同時!$G$19)</f>
        <v/>
      </c>
      <c r="F3078" s="2" t="str">
        <f aca="false">IF(4キー同時!$L$19="","",4キー同時!$L$19)</f>
        <v/>
      </c>
      <c r="G3078" s="2" t="str">
        <f aca="false">IF(OR(4キー同時!$B$19="",4キー同時!$G$19="",4キー同時!$L$19=""),"",IF(4キー同時!W27="","",SUBSTITUTE(SUBSTITUTE(4キー同時!W27," ",""),"　","")))</f>
        <v/>
      </c>
      <c r="H3078" s="2" t="str">
        <f aca="false">IF($G3078="","",4キー同時!$B$19)</f>
        <v/>
      </c>
      <c r="I3078" s="2" t="str">
        <f aca="false">IF($G3078="","",4キー同時!$G$19)</f>
        <v/>
      </c>
      <c r="J3078" s="2" t="str">
        <f aca="false">IF($G3078="","",4キー同時!$L$19)</f>
        <v/>
      </c>
      <c r="K3078" s="2" t="str">
        <f aca="false">IF($G3078="","","v")</f>
        <v/>
      </c>
      <c r="L3078" s="2" t="str">
        <f aca="false">IF($G3078="","","同時")</f>
        <v/>
      </c>
      <c r="M3078" s="2" t="str">
        <f aca="false">IF($G3078="","",IF(ISNA(MATCH($G3078,個別指定!$A:$A,0)),"行なし",""))</f>
        <v/>
      </c>
      <c r="N3078" s="2" t="str">
        <f aca="false">IF($G3078="","",IF(COUNTIF($G$2:$G$4460,$G3078)&gt;1,"重複",""))</f>
        <v/>
      </c>
    </row>
    <row r="3079" customFormat="false" ht="16.5" hidden="false" customHeight="true" outlineLevel="0" collapsed="false">
      <c r="A3079" s="2" t="s">
        <v>447</v>
      </c>
      <c r="B3079" s="2" t="s">
        <v>449</v>
      </c>
      <c r="C3079" s="2" t="s">
        <v>39</v>
      </c>
      <c r="D3079" s="2" t="str">
        <f aca="false">IF(4キー同時!$B$19="","",4キー同時!$B$19)</f>
        <v/>
      </c>
      <c r="E3079" s="2" t="str">
        <f aca="false">IF(4キー同時!$G$19="","",4キー同時!$G$19)</f>
        <v/>
      </c>
      <c r="F3079" s="2" t="str">
        <f aca="false">IF(4キー同時!$L$19="","",4キー同時!$L$19)</f>
        <v/>
      </c>
      <c r="G3079" s="2" t="str">
        <f aca="false">IF(OR(4キー同時!$B$19="",4キー同時!$G$19="",4キー同時!$L$19=""),"",IF(4キー同時!AA27="","",SUBSTITUTE(SUBSTITUTE(4キー同時!AA27," ",""),"　","")))</f>
        <v/>
      </c>
      <c r="H3079" s="2" t="str">
        <f aca="false">IF($G3079="","",4キー同時!$B$19)</f>
        <v/>
      </c>
      <c r="I3079" s="2" t="str">
        <f aca="false">IF($G3079="","",4キー同時!$G$19)</f>
        <v/>
      </c>
      <c r="J3079" s="2" t="str">
        <f aca="false">IF($G3079="","",4キー同時!$L$19)</f>
        <v/>
      </c>
      <c r="K3079" s="2" t="str">
        <f aca="false">IF($G3079="","","b")</f>
        <v/>
      </c>
      <c r="L3079" s="2" t="str">
        <f aca="false">IF($G3079="","","同時")</f>
        <v/>
      </c>
      <c r="M3079" s="2" t="str">
        <f aca="false">IF($G3079="","",IF(ISNA(MATCH($G3079,個別指定!$A:$A,0)),"行なし",""))</f>
        <v/>
      </c>
      <c r="N3079" s="2" t="str">
        <f aca="false">IF($G3079="","",IF(COUNTIF($G$2:$G$4460,$G3079)&gt;1,"重複",""))</f>
        <v/>
      </c>
    </row>
    <row r="3080" customFormat="false" ht="16.5" hidden="false" customHeight="true" outlineLevel="0" collapsed="false">
      <c r="A3080" s="2" t="s">
        <v>447</v>
      </c>
      <c r="B3080" s="2" t="s">
        <v>449</v>
      </c>
      <c r="C3080" s="2" t="s">
        <v>40</v>
      </c>
      <c r="D3080" s="2" t="str">
        <f aca="false">IF(4キー同時!$B$19="","",4キー同時!$B$19)</f>
        <v/>
      </c>
      <c r="E3080" s="2" t="str">
        <f aca="false">IF(4キー同時!$G$19="","",4キー同時!$G$19)</f>
        <v/>
      </c>
      <c r="F3080" s="2" t="str">
        <f aca="false">IF(4キー同時!$L$19="","",4キー同時!$L$19)</f>
        <v/>
      </c>
      <c r="G3080" s="2" t="str">
        <f aca="false">IF(OR(4キー同時!$B$19="",4キー同時!$G$19="",4キー同時!$L$19=""),"",IF(4キー同時!AE27="","",SUBSTITUTE(SUBSTITUTE(4キー同時!AE27," ",""),"　","")))</f>
        <v/>
      </c>
      <c r="H3080" s="2" t="str">
        <f aca="false">IF($G3080="","",4キー同時!$B$19)</f>
        <v/>
      </c>
      <c r="I3080" s="2" t="str">
        <f aca="false">IF($G3080="","",4キー同時!$G$19)</f>
        <v/>
      </c>
      <c r="J3080" s="2" t="str">
        <f aca="false">IF($G3080="","",4キー同時!$L$19)</f>
        <v/>
      </c>
      <c r="K3080" s="2" t="str">
        <f aca="false">IF($G3080="","","n")</f>
        <v/>
      </c>
      <c r="L3080" s="2" t="str">
        <f aca="false">IF($G3080="","","同時")</f>
        <v/>
      </c>
      <c r="M3080" s="2" t="str">
        <f aca="false">IF($G3080="","",IF(ISNA(MATCH($G3080,個別指定!$A:$A,0)),"行なし",""))</f>
        <v/>
      </c>
      <c r="N3080" s="2" t="str">
        <f aca="false">IF($G3080="","",IF(COUNTIF($G$2:$G$4460,$G3080)&gt;1,"重複",""))</f>
        <v/>
      </c>
    </row>
    <row r="3081" customFormat="false" ht="16.5" hidden="false" customHeight="true" outlineLevel="0" collapsed="false">
      <c r="A3081" s="2" t="s">
        <v>447</v>
      </c>
      <c r="B3081" s="2" t="s">
        <v>449</v>
      </c>
      <c r="C3081" s="2" t="s">
        <v>41</v>
      </c>
      <c r="D3081" s="2" t="str">
        <f aca="false">IF(4キー同時!$B$19="","",4キー同時!$B$19)</f>
        <v/>
      </c>
      <c r="E3081" s="2" t="str">
        <f aca="false">IF(4キー同時!$G$19="","",4キー同時!$G$19)</f>
        <v/>
      </c>
      <c r="F3081" s="2" t="str">
        <f aca="false">IF(4キー同時!$L$19="","",4キー同時!$L$19)</f>
        <v/>
      </c>
      <c r="G3081" s="2" t="str">
        <f aca="false">IF(OR(4キー同時!$B$19="",4キー同時!$G$19="",4キー同時!$L$19=""),"",IF(4キー同時!AI27="","",SUBSTITUTE(SUBSTITUTE(4キー同時!AI27," ",""),"　","")))</f>
        <v/>
      </c>
      <c r="H3081" s="2" t="str">
        <f aca="false">IF($G3081="","",4キー同時!$B$19)</f>
        <v/>
      </c>
      <c r="I3081" s="2" t="str">
        <f aca="false">IF($G3081="","",4キー同時!$G$19)</f>
        <v/>
      </c>
      <c r="J3081" s="2" t="str">
        <f aca="false">IF($G3081="","",4キー同時!$L$19)</f>
        <v/>
      </c>
      <c r="K3081" s="2" t="str">
        <f aca="false">IF($G3081="","","m")</f>
        <v/>
      </c>
      <c r="L3081" s="2" t="str">
        <f aca="false">IF($G3081="","","同時")</f>
        <v/>
      </c>
      <c r="M3081" s="2" t="str">
        <f aca="false">IF($G3081="","",IF(ISNA(MATCH($G3081,個別指定!$A:$A,0)),"行なし",""))</f>
        <v/>
      </c>
      <c r="N3081" s="2" t="str">
        <f aca="false">IF($G3081="","",IF(COUNTIF($G$2:$G$4460,$G3081)&gt;1,"重複",""))</f>
        <v/>
      </c>
    </row>
    <row r="3082" customFormat="false" ht="16.5" hidden="false" customHeight="true" outlineLevel="0" collapsed="false">
      <c r="A3082" s="2" t="s">
        <v>447</v>
      </c>
      <c r="B3082" s="2" t="s">
        <v>449</v>
      </c>
      <c r="C3082" s="2" t="s">
        <v>42</v>
      </c>
      <c r="D3082" s="2" t="str">
        <f aca="false">IF(4キー同時!$B$19="","",4キー同時!$B$19)</f>
        <v/>
      </c>
      <c r="E3082" s="2" t="str">
        <f aca="false">IF(4キー同時!$G$19="","",4キー同時!$G$19)</f>
        <v/>
      </c>
      <c r="F3082" s="2" t="str">
        <f aca="false">IF(4キー同時!$L$19="","",4キー同時!$L$19)</f>
        <v/>
      </c>
      <c r="G3082" s="2" t="str">
        <f aca="false">IF(OR(4キー同時!$B$19="",4キー同時!$G$19="",4キー同時!$L$19=""),"",IF(4キー同時!AM27="","",SUBSTITUTE(SUBSTITUTE(4キー同時!AM27," ",""),"　","")))</f>
        <v/>
      </c>
      <c r="H3082" s="2" t="str">
        <f aca="false">IF($G3082="","",4キー同時!$B$19)</f>
        <v/>
      </c>
      <c r="I3082" s="2" t="str">
        <f aca="false">IF($G3082="","",4キー同時!$G$19)</f>
        <v/>
      </c>
      <c r="J3082" s="2" t="str">
        <f aca="false">IF($G3082="","",4キー同時!$L$19)</f>
        <v/>
      </c>
      <c r="K3082" s="2" t="str">
        <f aca="false">IF($G3082="","",",")</f>
        <v/>
      </c>
      <c r="L3082" s="2" t="str">
        <f aca="false">IF($G3082="","","同時")</f>
        <v/>
      </c>
      <c r="M3082" s="2" t="str">
        <f aca="false">IF($G3082="","",IF(ISNA(MATCH($G3082,個別指定!$A:$A,0)),"行なし",""))</f>
        <v/>
      </c>
      <c r="N3082" s="2" t="str">
        <f aca="false">IF($G3082="","",IF(COUNTIF($G$2:$G$4460,$G3082)&gt;1,"重複",""))</f>
        <v/>
      </c>
    </row>
    <row r="3083" customFormat="false" ht="16.5" hidden="false" customHeight="true" outlineLevel="0" collapsed="false">
      <c r="A3083" s="2" t="s">
        <v>447</v>
      </c>
      <c r="B3083" s="2" t="s">
        <v>449</v>
      </c>
      <c r="C3083" s="2" t="s">
        <v>43</v>
      </c>
      <c r="D3083" s="2" t="str">
        <f aca="false">IF(4キー同時!$B$19="","",4キー同時!$B$19)</f>
        <v/>
      </c>
      <c r="E3083" s="2" t="str">
        <f aca="false">IF(4キー同時!$G$19="","",4キー同時!$G$19)</f>
        <v/>
      </c>
      <c r="F3083" s="2" t="str">
        <f aca="false">IF(4キー同時!$L$19="","",4キー同時!$L$19)</f>
        <v/>
      </c>
      <c r="G3083" s="2" t="str">
        <f aca="false">IF(OR(4キー同時!$B$19="",4キー同時!$G$19="",4キー同時!$L$19=""),"",IF(4キー同時!AQ27="","",SUBSTITUTE(SUBSTITUTE(4キー同時!AQ27," ",""),"　","")))</f>
        <v/>
      </c>
      <c r="H3083" s="2" t="str">
        <f aca="false">IF($G3083="","",4キー同時!$B$19)</f>
        <v/>
      </c>
      <c r="I3083" s="2" t="str">
        <f aca="false">IF($G3083="","",4キー同時!$G$19)</f>
        <v/>
      </c>
      <c r="J3083" s="2" t="str">
        <f aca="false">IF($G3083="","",4キー同時!$L$19)</f>
        <v/>
      </c>
      <c r="K3083" s="2" t="str">
        <f aca="false">IF($G3083="","",".")</f>
        <v/>
      </c>
      <c r="L3083" s="2" t="str">
        <f aca="false">IF($G3083="","","同時")</f>
        <v/>
      </c>
      <c r="M3083" s="2" t="str">
        <f aca="false">IF($G3083="","",IF(ISNA(MATCH($G3083,個別指定!$A:$A,0)),"行なし",""))</f>
        <v/>
      </c>
      <c r="N3083" s="2" t="str">
        <f aca="false">IF($G3083="","",IF(COUNTIF($G$2:$G$4460,$G3083)&gt;1,"重複",""))</f>
        <v/>
      </c>
    </row>
    <row r="3084" customFormat="false" ht="16.5" hidden="false" customHeight="true" outlineLevel="0" collapsed="false">
      <c r="A3084" s="2" t="s">
        <v>447</v>
      </c>
      <c r="B3084" s="2" t="s">
        <v>449</v>
      </c>
      <c r="C3084" s="2" t="s">
        <v>44</v>
      </c>
      <c r="D3084" s="2" t="str">
        <f aca="false">IF(4キー同時!$B$19="","",4キー同時!$B$19)</f>
        <v/>
      </c>
      <c r="E3084" s="2" t="str">
        <f aca="false">IF(4キー同時!$G$19="","",4キー同時!$G$19)</f>
        <v/>
      </c>
      <c r="F3084" s="2" t="str">
        <f aca="false">IF(4キー同時!$L$19="","",4キー同時!$L$19)</f>
        <v/>
      </c>
      <c r="G3084" s="2" t="str">
        <f aca="false">IF(OR(4キー同時!$B$19="",4キー同時!$G$19="",4キー同時!$L$19=""),"",IF(4キー同時!AU27="","",SUBSTITUTE(SUBSTITUTE(4キー同時!AU27," ",""),"　","")))</f>
        <v/>
      </c>
      <c r="H3084" s="2" t="str">
        <f aca="false">IF($G3084="","",4キー同時!$B$19)</f>
        <v/>
      </c>
      <c r="I3084" s="2" t="str">
        <f aca="false">IF($G3084="","",4キー同時!$G$19)</f>
        <v/>
      </c>
      <c r="J3084" s="2" t="str">
        <f aca="false">IF($G3084="","",4キー同時!$L$19)</f>
        <v/>
      </c>
      <c r="K3084" s="2" t="str">
        <f aca="false">IF($G3084="","","/")</f>
        <v/>
      </c>
      <c r="L3084" s="2" t="str">
        <f aca="false">IF($G3084="","","同時")</f>
        <v/>
      </c>
      <c r="M3084" s="2" t="str">
        <f aca="false">IF($G3084="","",IF(ISNA(MATCH($G3084,個別指定!$A:$A,0)),"行なし",""))</f>
        <v/>
      </c>
      <c r="N3084" s="2" t="str">
        <f aca="false">IF($G3084="","",IF(COUNTIF($G$2:$G$4460,$G3084)&gt;1,"重複",""))</f>
        <v/>
      </c>
    </row>
    <row r="3085" customFormat="false" ht="16.5" hidden="false" customHeight="true" outlineLevel="0" collapsed="false">
      <c r="A3085" s="2" t="s">
        <v>447</v>
      </c>
      <c r="B3085" s="2" t="s">
        <v>449</v>
      </c>
      <c r="C3085" s="2" t="s">
        <v>48</v>
      </c>
      <c r="D3085" s="2" t="str">
        <f aca="false">IF(4キー同時!$B$19="","",4キー同時!$B$19)</f>
        <v/>
      </c>
      <c r="E3085" s="2" t="str">
        <f aca="false">IF(4キー同時!$G$19="","",4キー同時!$G$19)</f>
        <v/>
      </c>
      <c r="F3085" s="2" t="str">
        <f aca="false">IF(4キー同時!$L$19="","",4キー同時!$L$19)</f>
        <v/>
      </c>
      <c r="G3085" s="2" t="str">
        <f aca="false">IF(OR(4キー同時!$B$19="",4キー同時!$G$19="",4キー同時!$L$19=""),"",IF(4キー同時!P29="","",SUBSTITUTE(SUBSTITUTE(4キー同時!P29," ",""),"　","")))</f>
        <v/>
      </c>
      <c r="H3085" s="2" t="str">
        <f aca="false">IF($G3085="","",4キー同時!$B$19)</f>
        <v/>
      </c>
      <c r="I3085" s="2" t="str">
        <f aca="false">IF($G3085="","",4キー同時!$G$19)</f>
        <v/>
      </c>
      <c r="J3085" s="2" t="str">
        <f aca="false">IF($G3085="","",4キー同時!$L$19)</f>
        <v/>
      </c>
      <c r="K3085" s="2" t="str">
        <f aca="false">IF($G3085="","","muhenkan")</f>
        <v/>
      </c>
      <c r="L3085" s="2" t="str">
        <f aca="false">IF($G3085="","","同時")</f>
        <v/>
      </c>
      <c r="M3085" s="2" t="str">
        <f aca="false">IF($G3085="","",IF(ISNA(MATCH($G3085,個別指定!$A:$A,0)),"行なし",""))</f>
        <v/>
      </c>
      <c r="N3085" s="2" t="str">
        <f aca="false">IF($G3085="","",IF(COUNTIF($G$2:$G$4460,$G3085)&gt;1,"重複",""))</f>
        <v/>
      </c>
    </row>
    <row r="3086" customFormat="false" ht="16.5" hidden="false" customHeight="true" outlineLevel="0" collapsed="false">
      <c r="A3086" s="2" t="s">
        <v>447</v>
      </c>
      <c r="B3086" s="2" t="s">
        <v>449</v>
      </c>
      <c r="C3086" s="2" t="s">
        <v>50</v>
      </c>
      <c r="D3086" s="2" t="str">
        <f aca="false">IF(4キー同時!$B$19="","",4キー同時!$B$19)</f>
        <v/>
      </c>
      <c r="E3086" s="2" t="str">
        <f aca="false">IF(4キー同時!$G$19="","",4キー同時!$G$19)</f>
        <v/>
      </c>
      <c r="F3086" s="2" t="str">
        <f aca="false">IF(4キー同時!$L$19="","",4キー同時!$L$19)</f>
        <v/>
      </c>
      <c r="G3086" s="2" t="str">
        <f aca="false">IF(OR(4キー同時!$B$19="",4キー同時!$G$19="",4キー同時!$L$19=""),"",IF(4キー同時!T29="","",SUBSTITUTE(SUBSTITUTE(4キー同時!T29," ",""),"　","")))</f>
        <v/>
      </c>
      <c r="H3086" s="2" t="str">
        <f aca="false">IF($G3086="","",4キー同時!$B$19)</f>
        <v/>
      </c>
      <c r="I3086" s="2" t="str">
        <f aca="false">IF($G3086="","",4キー同時!$G$19)</f>
        <v/>
      </c>
      <c r="J3086" s="2" t="str">
        <f aca="false">IF($G3086="","",4キー同時!$L$19)</f>
        <v/>
      </c>
      <c r="K3086" s="2" t="str">
        <f aca="false">IF($G3086="","","space")</f>
        <v/>
      </c>
      <c r="L3086" s="2" t="str">
        <f aca="false">IF($G3086="","","同時")</f>
        <v/>
      </c>
      <c r="M3086" s="2" t="str">
        <f aca="false">IF($G3086="","",IF(ISNA(MATCH($G3086,個別指定!$A:$A,0)),"行なし",""))</f>
        <v/>
      </c>
      <c r="N3086" s="2" t="str">
        <f aca="false">IF($G3086="","",IF(COUNTIF($G$2:$G$4460,$G3086)&gt;1,"重複",""))</f>
        <v/>
      </c>
    </row>
    <row r="3087" customFormat="false" ht="16.5" hidden="false" customHeight="true" outlineLevel="0" collapsed="false">
      <c r="A3087" s="2" t="s">
        <v>447</v>
      </c>
      <c r="B3087" s="2" t="s">
        <v>449</v>
      </c>
      <c r="C3087" s="2" t="s">
        <v>45</v>
      </c>
      <c r="D3087" s="2" t="str">
        <f aca="false">IF(4キー同時!$B$19="","",4キー同時!$B$19)</f>
        <v/>
      </c>
      <c r="E3087" s="2" t="str">
        <f aca="false">IF(4キー同時!$G$19="","",4キー同時!$G$19)</f>
        <v/>
      </c>
      <c r="F3087" s="2" t="str">
        <f aca="false">IF(4キー同時!$L$19="","",4キー同時!$L$19)</f>
        <v/>
      </c>
      <c r="G3087" s="2" t="str">
        <f aca="false">IF(OR(4キー同時!$B$19="",4キー同時!$G$19="",4キー同時!$L$19=""),"",IF(4キー同時!AL29="","",SUBSTITUTE(SUBSTITUTE(4キー同時!AL29," ",""),"　","")))</f>
        <v/>
      </c>
      <c r="H3087" s="2" t="str">
        <f aca="false">IF($G3087="","",4キー同時!$B$19)</f>
        <v/>
      </c>
      <c r="I3087" s="2" t="str">
        <f aca="false">IF($G3087="","",4キー同時!$G$19)</f>
        <v/>
      </c>
      <c r="J3087" s="2" t="str">
        <f aca="false">IF($G3087="","",4キー同時!$L$19)</f>
        <v/>
      </c>
      <c r="K3087" s="2" t="str">
        <f aca="false">IF($G3087="","","henkan")</f>
        <v/>
      </c>
      <c r="L3087" s="2" t="str">
        <f aca="false">IF($G3087="","","同時")</f>
        <v/>
      </c>
      <c r="M3087" s="2" t="str">
        <f aca="false">IF($G3087="","",IF(ISNA(MATCH($G3087,個別指定!$A:$A,0)),"行なし",""))</f>
        <v/>
      </c>
      <c r="N3087" s="2" t="str">
        <f aca="false">IF($G3087="","",IF(COUNTIF($G$2:$G$4460,$G3087)&gt;1,"重複",""))</f>
        <v/>
      </c>
    </row>
    <row r="3088" customFormat="false" ht="16.5" hidden="false" customHeight="true" outlineLevel="0" collapsed="false">
      <c r="A3088" s="2" t="s">
        <v>447</v>
      </c>
      <c r="B3088" s="2" t="s">
        <v>449</v>
      </c>
      <c r="C3088" s="2" t="s">
        <v>46</v>
      </c>
      <c r="D3088" s="2" t="str">
        <f aca="false">IF(4キー同時!$B$19="","",4キー同時!$B$19)</f>
        <v/>
      </c>
      <c r="E3088" s="2" t="str">
        <f aca="false">IF(4キー同時!$G$19="","",4キー同時!$G$19)</f>
        <v/>
      </c>
      <c r="F3088" s="2" t="str">
        <f aca="false">IF(4キー同時!$L$19="","",4キー同時!$L$19)</f>
        <v/>
      </c>
      <c r="G3088" s="2" t="str">
        <f aca="false">IF(OR(4キー同時!$B$19="",4キー同時!$G$19="",4キー同時!$L$19=""),"",IF(4キー同時!AP29="","",SUBSTITUTE(SUBSTITUTE(4キー同時!AP29," ",""),"　","")))</f>
        <v/>
      </c>
      <c r="H3088" s="2" t="str">
        <f aca="false">IF($G3088="","",4キー同時!$B$19)</f>
        <v/>
      </c>
      <c r="I3088" s="2" t="str">
        <f aca="false">IF($G3088="","",4キー同時!$G$19)</f>
        <v/>
      </c>
      <c r="J3088" s="2" t="str">
        <f aca="false">IF($G3088="","",4キー同時!$L$19)</f>
        <v/>
      </c>
      <c r="K3088" s="2" t="str">
        <f aca="false">IF($G3088="","","kana")</f>
        <v/>
      </c>
      <c r="L3088" s="2" t="str">
        <f aca="false">IF($G3088="","","同時")</f>
        <v/>
      </c>
      <c r="M3088" s="2" t="str">
        <f aca="false">IF($G3088="","",IF(ISNA(MATCH($G3088,個別指定!$A:$A,0)),"行なし",""))</f>
        <v/>
      </c>
      <c r="N3088" s="2" t="str">
        <f aca="false">IF($G3088="","",IF(COUNTIF($G$2:$G$4460,$G3088)&gt;1,"重複",""))</f>
        <v/>
      </c>
    </row>
    <row r="3089" customFormat="false" ht="16.5" hidden="false" customHeight="true" outlineLevel="0" collapsed="false">
      <c r="A3089" s="2" t="s">
        <v>447</v>
      </c>
      <c r="B3089" s="2" t="s">
        <v>450</v>
      </c>
      <c r="C3089" s="2" t="s">
        <v>0</v>
      </c>
      <c r="D3089" s="2" t="str">
        <f aca="false">IF(4キー同時!$B$32="","",4キー同時!$B$32)</f>
        <v/>
      </c>
      <c r="E3089" s="2" t="str">
        <f aca="false">IF(4キー同時!$G$32="","",4キー同時!$G$32)</f>
        <v/>
      </c>
      <c r="F3089" s="2" t="str">
        <f aca="false">IF(4キー同時!$L$32="","",4キー同時!$L$32)</f>
        <v/>
      </c>
      <c r="G3089" s="2" t="str">
        <f aca="false">IF(OR(4キー同時!$B$32="",4キー同時!$G$32="",4キー同時!$L$32=""),"",IF(4キー同時!F34="","",SUBSTITUTE(SUBSTITUTE(4キー同時!F34," ",""),"　","")))</f>
        <v/>
      </c>
      <c r="H3089" s="2" t="str">
        <f aca="false">IF($G3089="","",4キー同時!$B$32)</f>
        <v/>
      </c>
      <c r="I3089" s="2" t="str">
        <f aca="false">IF($G3089="","",4キー同時!$G$32)</f>
        <v/>
      </c>
      <c r="J3089" s="2" t="str">
        <f aca="false">IF($G3089="","",4キー同時!$L$32)</f>
        <v/>
      </c>
      <c r="K3089" s="2" t="str">
        <f aca="false">IF($G3089="","","1")</f>
        <v/>
      </c>
      <c r="L3089" s="2" t="str">
        <f aca="false">IF($G3089="","","同時")</f>
        <v/>
      </c>
      <c r="M3089" s="2" t="str">
        <f aca="false">IF($G3089="","",IF(ISNA(MATCH($G3089,個別指定!$A:$A,0)),"行なし",""))</f>
        <v/>
      </c>
      <c r="N3089" s="2" t="str">
        <f aca="false">IF($G3089="","",IF(COUNTIF($G$2:$G$4460,$G3089)&gt;1,"重複",""))</f>
        <v/>
      </c>
    </row>
    <row r="3090" customFormat="false" ht="16.5" hidden="false" customHeight="true" outlineLevel="0" collapsed="false">
      <c r="A3090" s="2" t="s">
        <v>447</v>
      </c>
      <c r="B3090" s="2" t="s">
        <v>450</v>
      </c>
      <c r="C3090" s="2" t="s">
        <v>1</v>
      </c>
      <c r="D3090" s="2" t="str">
        <f aca="false">IF(4キー同時!$B$32="","",4キー同時!$B$32)</f>
        <v/>
      </c>
      <c r="E3090" s="2" t="str">
        <f aca="false">IF(4キー同時!$G$32="","",4キー同時!$G$32)</f>
        <v/>
      </c>
      <c r="F3090" s="2" t="str">
        <f aca="false">IF(4キー同時!$L$32="","",4キー同時!$L$32)</f>
        <v/>
      </c>
      <c r="G3090" s="2" t="str">
        <f aca="false">IF(OR(4キー同時!$B$32="",4キー同時!$G$32="",4キー同時!$L$32=""),"",IF(4キー同時!J34="","",SUBSTITUTE(SUBSTITUTE(4キー同時!J34," ",""),"　","")))</f>
        <v/>
      </c>
      <c r="H3090" s="2" t="str">
        <f aca="false">IF($G3090="","",4キー同時!$B$32)</f>
        <v/>
      </c>
      <c r="I3090" s="2" t="str">
        <f aca="false">IF($G3090="","",4キー同時!$G$32)</f>
        <v/>
      </c>
      <c r="J3090" s="2" t="str">
        <f aca="false">IF($G3090="","",4キー同時!$L$32)</f>
        <v/>
      </c>
      <c r="K3090" s="2" t="str">
        <f aca="false">IF($G3090="","","2")</f>
        <v/>
      </c>
      <c r="L3090" s="2" t="str">
        <f aca="false">IF($G3090="","","同時")</f>
        <v/>
      </c>
      <c r="M3090" s="2" t="str">
        <f aca="false">IF($G3090="","",IF(ISNA(MATCH($G3090,個別指定!$A:$A,0)),"行なし",""))</f>
        <v/>
      </c>
      <c r="N3090" s="2" t="str">
        <f aca="false">IF($G3090="","",IF(COUNTIF($G$2:$G$4460,$G3090)&gt;1,"重複",""))</f>
        <v/>
      </c>
    </row>
    <row r="3091" customFormat="false" ht="16.5" hidden="false" customHeight="true" outlineLevel="0" collapsed="false">
      <c r="A3091" s="2" t="s">
        <v>447</v>
      </c>
      <c r="B3091" s="2" t="s">
        <v>450</v>
      </c>
      <c r="C3091" s="2" t="s">
        <v>2</v>
      </c>
      <c r="D3091" s="2" t="str">
        <f aca="false">IF(4キー同時!$B$32="","",4キー同時!$B$32)</f>
        <v/>
      </c>
      <c r="E3091" s="2" t="str">
        <f aca="false">IF(4キー同時!$G$32="","",4キー同時!$G$32)</f>
        <v/>
      </c>
      <c r="F3091" s="2" t="str">
        <f aca="false">IF(4キー同時!$L$32="","",4キー同時!$L$32)</f>
        <v/>
      </c>
      <c r="G3091" s="2" t="str">
        <f aca="false">IF(OR(4キー同時!$B$32="",4キー同時!$G$32="",4キー同時!$L$32=""),"",IF(4キー同時!N34="","",SUBSTITUTE(SUBSTITUTE(4キー同時!N34," ",""),"　","")))</f>
        <v/>
      </c>
      <c r="H3091" s="2" t="str">
        <f aca="false">IF($G3091="","",4キー同時!$B$32)</f>
        <v/>
      </c>
      <c r="I3091" s="2" t="str">
        <f aca="false">IF($G3091="","",4キー同時!$G$32)</f>
        <v/>
      </c>
      <c r="J3091" s="2" t="str">
        <f aca="false">IF($G3091="","",4キー同時!$L$32)</f>
        <v/>
      </c>
      <c r="K3091" s="2" t="str">
        <f aca="false">IF($G3091="","","3")</f>
        <v/>
      </c>
      <c r="L3091" s="2" t="str">
        <f aca="false">IF($G3091="","","同時")</f>
        <v/>
      </c>
      <c r="M3091" s="2" t="str">
        <f aca="false">IF($G3091="","",IF(ISNA(MATCH($G3091,個別指定!$A:$A,0)),"行なし",""))</f>
        <v/>
      </c>
      <c r="N3091" s="2" t="str">
        <f aca="false">IF($G3091="","",IF(COUNTIF($G$2:$G$4460,$G3091)&gt;1,"重複",""))</f>
        <v/>
      </c>
    </row>
    <row r="3092" customFormat="false" ht="16.5" hidden="false" customHeight="true" outlineLevel="0" collapsed="false">
      <c r="A3092" s="2" t="s">
        <v>447</v>
      </c>
      <c r="B3092" s="2" t="s">
        <v>450</v>
      </c>
      <c r="C3092" s="2" t="s">
        <v>3</v>
      </c>
      <c r="D3092" s="2" t="str">
        <f aca="false">IF(4キー同時!$B$32="","",4キー同時!$B$32)</f>
        <v/>
      </c>
      <c r="E3092" s="2" t="str">
        <f aca="false">IF(4キー同時!$G$32="","",4キー同時!$G$32)</f>
        <v/>
      </c>
      <c r="F3092" s="2" t="str">
        <f aca="false">IF(4キー同時!$L$32="","",4キー同時!$L$32)</f>
        <v/>
      </c>
      <c r="G3092" s="2" t="str">
        <f aca="false">IF(OR(4キー同時!$B$32="",4キー同時!$G$32="",4キー同時!$L$32=""),"",IF(4キー同時!R34="","",SUBSTITUTE(SUBSTITUTE(4キー同時!R34," ",""),"　","")))</f>
        <v/>
      </c>
      <c r="H3092" s="2" t="str">
        <f aca="false">IF($G3092="","",4キー同時!$B$32)</f>
        <v/>
      </c>
      <c r="I3092" s="2" t="str">
        <f aca="false">IF($G3092="","",4キー同時!$G$32)</f>
        <v/>
      </c>
      <c r="J3092" s="2" t="str">
        <f aca="false">IF($G3092="","",4キー同時!$L$32)</f>
        <v/>
      </c>
      <c r="K3092" s="2" t="str">
        <f aca="false">IF($G3092="","","4")</f>
        <v/>
      </c>
      <c r="L3092" s="2" t="str">
        <f aca="false">IF($G3092="","","同時")</f>
        <v/>
      </c>
      <c r="M3092" s="2" t="str">
        <f aca="false">IF($G3092="","",IF(ISNA(MATCH($G3092,個別指定!$A:$A,0)),"行なし",""))</f>
        <v/>
      </c>
      <c r="N3092" s="2" t="str">
        <f aca="false">IF($G3092="","",IF(COUNTIF($G$2:$G$4460,$G3092)&gt;1,"重複",""))</f>
        <v/>
      </c>
    </row>
    <row r="3093" customFormat="false" ht="16.5" hidden="false" customHeight="true" outlineLevel="0" collapsed="false">
      <c r="A3093" s="2" t="s">
        <v>447</v>
      </c>
      <c r="B3093" s="2" t="s">
        <v>450</v>
      </c>
      <c r="C3093" s="2" t="s">
        <v>4</v>
      </c>
      <c r="D3093" s="2" t="str">
        <f aca="false">IF(4キー同時!$B$32="","",4キー同時!$B$32)</f>
        <v/>
      </c>
      <c r="E3093" s="2" t="str">
        <f aca="false">IF(4キー同時!$G$32="","",4キー同時!$G$32)</f>
        <v/>
      </c>
      <c r="F3093" s="2" t="str">
        <f aca="false">IF(4キー同時!$L$32="","",4キー同時!$L$32)</f>
        <v/>
      </c>
      <c r="G3093" s="2" t="str">
        <f aca="false">IF(OR(4キー同時!$B$32="",4キー同時!$G$32="",4キー同時!$L$32=""),"",IF(4キー同時!V34="","",SUBSTITUTE(SUBSTITUTE(4キー同時!V34," ",""),"　","")))</f>
        <v/>
      </c>
      <c r="H3093" s="2" t="str">
        <f aca="false">IF($G3093="","",4キー同時!$B$32)</f>
        <v/>
      </c>
      <c r="I3093" s="2" t="str">
        <f aca="false">IF($G3093="","",4キー同時!$G$32)</f>
        <v/>
      </c>
      <c r="J3093" s="2" t="str">
        <f aca="false">IF($G3093="","",4キー同時!$L$32)</f>
        <v/>
      </c>
      <c r="K3093" s="2" t="str">
        <f aca="false">IF($G3093="","","5")</f>
        <v/>
      </c>
      <c r="L3093" s="2" t="str">
        <f aca="false">IF($G3093="","","同時")</f>
        <v/>
      </c>
      <c r="M3093" s="2" t="str">
        <f aca="false">IF($G3093="","",IF(ISNA(MATCH($G3093,個別指定!$A:$A,0)),"行なし",""))</f>
        <v/>
      </c>
      <c r="N3093" s="2" t="str">
        <f aca="false">IF($G3093="","",IF(COUNTIF($G$2:$G$4460,$G3093)&gt;1,"重複",""))</f>
        <v/>
      </c>
    </row>
    <row r="3094" customFormat="false" ht="16.5" hidden="false" customHeight="true" outlineLevel="0" collapsed="false">
      <c r="A3094" s="2" t="s">
        <v>447</v>
      </c>
      <c r="B3094" s="2" t="s">
        <v>450</v>
      </c>
      <c r="C3094" s="2" t="s">
        <v>5</v>
      </c>
      <c r="D3094" s="2" t="str">
        <f aca="false">IF(4キー同時!$B$32="","",4キー同時!$B$32)</f>
        <v/>
      </c>
      <c r="E3094" s="2" t="str">
        <f aca="false">IF(4キー同時!$G$32="","",4キー同時!$G$32)</f>
        <v/>
      </c>
      <c r="F3094" s="2" t="str">
        <f aca="false">IF(4キー同時!$L$32="","",4キー同時!$L$32)</f>
        <v/>
      </c>
      <c r="G3094" s="2" t="str">
        <f aca="false">IF(OR(4キー同時!$B$32="",4キー同時!$G$32="",4キー同時!$L$32=""),"",IF(4キー同時!Z34="","",SUBSTITUTE(SUBSTITUTE(4キー同時!Z34," ",""),"　","")))</f>
        <v/>
      </c>
      <c r="H3094" s="2" t="str">
        <f aca="false">IF($G3094="","",4キー同時!$B$32)</f>
        <v/>
      </c>
      <c r="I3094" s="2" t="str">
        <f aca="false">IF($G3094="","",4キー同時!$G$32)</f>
        <v/>
      </c>
      <c r="J3094" s="2" t="str">
        <f aca="false">IF($G3094="","",4キー同時!$L$32)</f>
        <v/>
      </c>
      <c r="K3094" s="2" t="str">
        <f aca="false">IF($G3094="","","6")</f>
        <v/>
      </c>
      <c r="L3094" s="2" t="str">
        <f aca="false">IF($G3094="","","同時")</f>
        <v/>
      </c>
      <c r="M3094" s="2" t="str">
        <f aca="false">IF($G3094="","",IF(ISNA(MATCH($G3094,個別指定!$A:$A,0)),"行なし",""))</f>
        <v/>
      </c>
      <c r="N3094" s="2" t="str">
        <f aca="false">IF($G3094="","",IF(COUNTIF($G$2:$G$4460,$G3094)&gt;1,"重複",""))</f>
        <v/>
      </c>
    </row>
    <row r="3095" customFormat="false" ht="16.5" hidden="false" customHeight="true" outlineLevel="0" collapsed="false">
      <c r="A3095" s="2" t="s">
        <v>447</v>
      </c>
      <c r="B3095" s="2" t="s">
        <v>450</v>
      </c>
      <c r="C3095" s="2" t="s">
        <v>6</v>
      </c>
      <c r="D3095" s="2" t="str">
        <f aca="false">IF(4キー同時!$B$32="","",4キー同時!$B$32)</f>
        <v/>
      </c>
      <c r="E3095" s="2" t="str">
        <f aca="false">IF(4キー同時!$G$32="","",4キー同時!$G$32)</f>
        <v/>
      </c>
      <c r="F3095" s="2" t="str">
        <f aca="false">IF(4キー同時!$L$32="","",4キー同時!$L$32)</f>
        <v/>
      </c>
      <c r="G3095" s="2" t="str">
        <f aca="false">IF(OR(4キー同時!$B$32="",4キー同時!$G$32="",4キー同時!$L$32=""),"",IF(4キー同時!AD34="","",SUBSTITUTE(SUBSTITUTE(4キー同時!AD34," ",""),"　","")))</f>
        <v/>
      </c>
      <c r="H3095" s="2" t="str">
        <f aca="false">IF($G3095="","",4キー同時!$B$32)</f>
        <v/>
      </c>
      <c r="I3095" s="2" t="str">
        <f aca="false">IF($G3095="","",4キー同時!$G$32)</f>
        <v/>
      </c>
      <c r="J3095" s="2" t="str">
        <f aca="false">IF($G3095="","",4キー同時!$L$32)</f>
        <v/>
      </c>
      <c r="K3095" s="2" t="str">
        <f aca="false">IF($G3095="","","7")</f>
        <v/>
      </c>
      <c r="L3095" s="2" t="str">
        <f aca="false">IF($G3095="","","同時")</f>
        <v/>
      </c>
      <c r="M3095" s="2" t="str">
        <f aca="false">IF($G3095="","",IF(ISNA(MATCH($G3095,個別指定!$A:$A,0)),"行なし",""))</f>
        <v/>
      </c>
      <c r="N3095" s="2" t="str">
        <f aca="false">IF($G3095="","",IF(COUNTIF($G$2:$G$4460,$G3095)&gt;1,"重複",""))</f>
        <v/>
      </c>
    </row>
    <row r="3096" customFormat="false" ht="16.5" hidden="false" customHeight="true" outlineLevel="0" collapsed="false">
      <c r="A3096" s="2" t="s">
        <v>447</v>
      </c>
      <c r="B3096" s="2" t="s">
        <v>450</v>
      </c>
      <c r="C3096" s="2" t="s">
        <v>7</v>
      </c>
      <c r="D3096" s="2" t="str">
        <f aca="false">IF(4キー同時!$B$32="","",4キー同時!$B$32)</f>
        <v/>
      </c>
      <c r="E3096" s="2" t="str">
        <f aca="false">IF(4キー同時!$G$32="","",4キー同時!$G$32)</f>
        <v/>
      </c>
      <c r="F3096" s="2" t="str">
        <f aca="false">IF(4キー同時!$L$32="","",4キー同時!$L$32)</f>
        <v/>
      </c>
      <c r="G3096" s="2" t="str">
        <f aca="false">IF(OR(4キー同時!$B$32="",4キー同時!$G$32="",4キー同時!$L$32=""),"",IF(4キー同時!AH34="","",SUBSTITUTE(SUBSTITUTE(4キー同時!AH34," ",""),"　","")))</f>
        <v/>
      </c>
      <c r="H3096" s="2" t="str">
        <f aca="false">IF($G3096="","",4キー同時!$B$32)</f>
        <v/>
      </c>
      <c r="I3096" s="2" t="str">
        <f aca="false">IF($G3096="","",4キー同時!$G$32)</f>
        <v/>
      </c>
      <c r="J3096" s="2" t="str">
        <f aca="false">IF($G3096="","",4キー同時!$L$32)</f>
        <v/>
      </c>
      <c r="K3096" s="2" t="str">
        <f aca="false">IF($G3096="","","8")</f>
        <v/>
      </c>
      <c r="L3096" s="2" t="str">
        <f aca="false">IF($G3096="","","同時")</f>
        <v/>
      </c>
      <c r="M3096" s="2" t="str">
        <f aca="false">IF($G3096="","",IF(ISNA(MATCH($G3096,個別指定!$A:$A,0)),"行なし",""))</f>
        <v/>
      </c>
      <c r="N3096" s="2" t="str">
        <f aca="false">IF($G3096="","",IF(COUNTIF($G$2:$G$4460,$G3096)&gt;1,"重複",""))</f>
        <v/>
      </c>
    </row>
    <row r="3097" customFormat="false" ht="16.5" hidden="false" customHeight="true" outlineLevel="0" collapsed="false">
      <c r="A3097" s="2" t="s">
        <v>447</v>
      </c>
      <c r="B3097" s="2" t="s">
        <v>450</v>
      </c>
      <c r="C3097" s="2" t="s">
        <v>8</v>
      </c>
      <c r="D3097" s="2" t="str">
        <f aca="false">IF(4キー同時!$B$32="","",4キー同時!$B$32)</f>
        <v/>
      </c>
      <c r="E3097" s="2" t="str">
        <f aca="false">IF(4キー同時!$G$32="","",4キー同時!$G$32)</f>
        <v/>
      </c>
      <c r="F3097" s="2" t="str">
        <f aca="false">IF(4キー同時!$L$32="","",4キー同時!$L$32)</f>
        <v/>
      </c>
      <c r="G3097" s="2" t="str">
        <f aca="false">IF(OR(4キー同時!$B$32="",4キー同時!$G$32="",4キー同時!$L$32=""),"",IF(4キー同時!AL34="","",SUBSTITUTE(SUBSTITUTE(4キー同時!AL34," ",""),"　","")))</f>
        <v/>
      </c>
      <c r="H3097" s="2" t="str">
        <f aca="false">IF($G3097="","",4キー同時!$B$32)</f>
        <v/>
      </c>
      <c r="I3097" s="2" t="str">
        <f aca="false">IF($G3097="","",4キー同時!$G$32)</f>
        <v/>
      </c>
      <c r="J3097" s="2" t="str">
        <f aca="false">IF($G3097="","",4キー同時!$L$32)</f>
        <v/>
      </c>
      <c r="K3097" s="2" t="str">
        <f aca="false">IF($G3097="","","9")</f>
        <v/>
      </c>
      <c r="L3097" s="2" t="str">
        <f aca="false">IF($G3097="","","同時")</f>
        <v/>
      </c>
      <c r="M3097" s="2" t="str">
        <f aca="false">IF($G3097="","",IF(ISNA(MATCH($G3097,個別指定!$A:$A,0)),"行なし",""))</f>
        <v/>
      </c>
      <c r="N3097" s="2" t="str">
        <f aca="false">IF($G3097="","",IF(COUNTIF($G$2:$G$4460,$G3097)&gt;1,"重複",""))</f>
        <v/>
      </c>
    </row>
    <row r="3098" customFormat="false" ht="16.5" hidden="false" customHeight="true" outlineLevel="0" collapsed="false">
      <c r="A3098" s="2" t="s">
        <v>447</v>
      </c>
      <c r="B3098" s="2" t="s">
        <v>450</v>
      </c>
      <c r="C3098" s="2" t="s">
        <v>9</v>
      </c>
      <c r="D3098" s="2" t="str">
        <f aca="false">IF(4キー同時!$B$32="","",4キー同時!$B$32)</f>
        <v/>
      </c>
      <c r="E3098" s="2" t="str">
        <f aca="false">IF(4キー同時!$G$32="","",4キー同時!$G$32)</f>
        <v/>
      </c>
      <c r="F3098" s="2" t="str">
        <f aca="false">IF(4キー同時!$L$32="","",4キー同時!$L$32)</f>
        <v/>
      </c>
      <c r="G3098" s="2" t="str">
        <f aca="false">IF(OR(4キー同時!$B$32="",4キー同時!$G$32="",4キー同時!$L$32=""),"",IF(4キー同時!AP34="","",SUBSTITUTE(SUBSTITUTE(4キー同時!AP34," ",""),"　","")))</f>
        <v/>
      </c>
      <c r="H3098" s="2" t="str">
        <f aca="false">IF($G3098="","",4キー同時!$B$32)</f>
        <v/>
      </c>
      <c r="I3098" s="2" t="str">
        <f aca="false">IF($G3098="","",4キー同時!$G$32)</f>
        <v/>
      </c>
      <c r="J3098" s="2" t="str">
        <f aca="false">IF($G3098="","",4キー同時!$L$32)</f>
        <v/>
      </c>
      <c r="K3098" s="2" t="str">
        <f aca="false">IF($G3098="","","0")</f>
        <v/>
      </c>
      <c r="L3098" s="2" t="str">
        <f aca="false">IF($G3098="","","同時")</f>
        <v/>
      </c>
      <c r="M3098" s="2" t="str">
        <f aca="false">IF($G3098="","",IF(ISNA(MATCH($G3098,個別指定!$A:$A,0)),"行なし",""))</f>
        <v/>
      </c>
      <c r="N3098" s="2" t="str">
        <f aca="false">IF($G3098="","",IF(COUNTIF($G$2:$G$4460,$G3098)&gt;1,"重複",""))</f>
        <v/>
      </c>
    </row>
    <row r="3099" customFormat="false" ht="16.5" hidden="false" customHeight="true" outlineLevel="0" collapsed="false">
      <c r="A3099" s="2" t="s">
        <v>447</v>
      </c>
      <c r="B3099" s="2" t="s">
        <v>450</v>
      </c>
      <c r="C3099" s="2" t="s">
        <v>10</v>
      </c>
      <c r="D3099" s="2" t="str">
        <f aca="false">IF(4キー同時!$B$32="","",4キー同時!$B$32)</f>
        <v/>
      </c>
      <c r="E3099" s="2" t="str">
        <f aca="false">IF(4キー同時!$G$32="","",4キー同時!$G$32)</f>
        <v/>
      </c>
      <c r="F3099" s="2" t="str">
        <f aca="false">IF(4キー同時!$L$32="","",4キー同時!$L$32)</f>
        <v/>
      </c>
      <c r="G3099" s="2" t="str">
        <f aca="false">IF(OR(4キー同時!$B$32="",4キー同時!$G$32="",4キー同時!$L$32=""),"",IF(4キー同時!AT34="","",SUBSTITUTE(SUBSTITUTE(4キー同時!AT34," ",""),"　","")))</f>
        <v/>
      </c>
      <c r="H3099" s="2" t="str">
        <f aca="false">IF($G3099="","",4キー同時!$B$32)</f>
        <v/>
      </c>
      <c r="I3099" s="2" t="str">
        <f aca="false">IF($G3099="","",4キー同時!$G$32)</f>
        <v/>
      </c>
      <c r="J3099" s="2" t="str">
        <f aca="false">IF($G3099="","",4キー同時!$L$32)</f>
        <v/>
      </c>
      <c r="K3099" s="2" t="str">
        <f aca="false">IF($G3099="","","-")</f>
        <v/>
      </c>
      <c r="L3099" s="2" t="str">
        <f aca="false">IF($G3099="","","同時")</f>
        <v/>
      </c>
      <c r="M3099" s="2" t="str">
        <f aca="false">IF($G3099="","",IF(ISNA(MATCH($G3099,個別指定!$A:$A,0)),"行なし",""))</f>
        <v/>
      </c>
      <c r="N3099" s="2" t="str">
        <f aca="false">IF($G3099="","",IF(COUNTIF($G$2:$G$4460,$G3099)&gt;1,"重複",""))</f>
        <v/>
      </c>
    </row>
    <row r="3100" customFormat="false" ht="16.5" hidden="false" customHeight="true" outlineLevel="0" collapsed="false">
      <c r="A3100" s="2" t="s">
        <v>447</v>
      </c>
      <c r="B3100" s="2" t="s">
        <v>450</v>
      </c>
      <c r="C3100" s="2" t="s">
        <v>11</v>
      </c>
      <c r="D3100" s="2" t="str">
        <f aca="false">IF(4キー同時!$B$32="","",4キー同時!$B$32)</f>
        <v/>
      </c>
      <c r="E3100" s="2" t="str">
        <f aca="false">IF(4キー同時!$G$32="","",4キー同時!$G$32)</f>
        <v/>
      </c>
      <c r="F3100" s="2" t="str">
        <f aca="false">IF(4キー同時!$L$32="","",4キー同時!$L$32)</f>
        <v/>
      </c>
      <c r="G3100" s="2" t="str">
        <f aca="false">IF(OR(4キー同時!$B$32="",4キー同時!$G$32="",4キー同時!$L$32=""),"",IF(4キー同時!AX34="","",SUBSTITUTE(SUBSTITUTE(4キー同時!AX34," ",""),"　","")))</f>
        <v/>
      </c>
      <c r="H3100" s="2" t="str">
        <f aca="false">IF($G3100="","",4キー同時!$B$32)</f>
        <v/>
      </c>
      <c r="I3100" s="2" t="str">
        <f aca="false">IF($G3100="","",4キー同時!$G$32)</f>
        <v/>
      </c>
      <c r="J3100" s="2" t="str">
        <f aca="false">IF($G3100="","",4キー同時!$L$32)</f>
        <v/>
      </c>
      <c r="K3100" s="2" t="str">
        <f aca="false">IF($G3100="","","=")</f>
        <v/>
      </c>
      <c r="L3100" s="2" t="str">
        <f aca="false">IF($G3100="","","同時")</f>
        <v/>
      </c>
      <c r="M3100" s="2" t="str">
        <f aca="false">IF($G3100="","",IF(ISNA(MATCH($G3100,個別指定!$A:$A,0)),"行なし",""))</f>
        <v/>
      </c>
      <c r="N3100" s="2" t="str">
        <f aca="false">IF($G3100="","",IF(COUNTIF($G$2:$G$4460,$G3100)&gt;1,"重複",""))</f>
        <v/>
      </c>
    </row>
    <row r="3101" customFormat="false" ht="16.5" hidden="false" customHeight="true" outlineLevel="0" collapsed="false">
      <c r="A3101" s="2" t="s">
        <v>447</v>
      </c>
      <c r="B3101" s="2" t="s">
        <v>450</v>
      </c>
      <c r="C3101" s="2" t="s">
        <v>12</v>
      </c>
      <c r="D3101" s="2" t="str">
        <f aca="false">IF(4キー同時!$B$32="","",4キー同時!$B$32)</f>
        <v/>
      </c>
      <c r="E3101" s="2" t="str">
        <f aca="false">IF(4キー同時!$G$32="","",4キー同時!$G$32)</f>
        <v/>
      </c>
      <c r="F3101" s="2" t="str">
        <f aca="false">IF(4キー同時!$L$32="","",4キー同時!$L$32)</f>
        <v/>
      </c>
      <c r="G3101" s="2" t="str">
        <f aca="false">IF(OR(4キー同時!$B$32="",4キー同時!$G$32="",4キー同時!$L$32=""),"",IF(4キー同時!H36="","",SUBSTITUTE(SUBSTITUTE(4キー同時!H36," ",""),"　","")))</f>
        <v/>
      </c>
      <c r="H3101" s="2" t="str">
        <f aca="false">IF($G3101="","",4キー同時!$B$32)</f>
        <v/>
      </c>
      <c r="I3101" s="2" t="str">
        <f aca="false">IF($G3101="","",4キー同時!$G$32)</f>
        <v/>
      </c>
      <c r="J3101" s="2" t="str">
        <f aca="false">IF($G3101="","",4キー同時!$L$32)</f>
        <v/>
      </c>
      <c r="K3101" s="2" t="str">
        <f aca="false">IF($G3101="","","q")</f>
        <v/>
      </c>
      <c r="L3101" s="2" t="str">
        <f aca="false">IF($G3101="","","同時")</f>
        <v/>
      </c>
      <c r="M3101" s="2" t="str">
        <f aca="false">IF($G3101="","",IF(ISNA(MATCH($G3101,個別指定!$A:$A,0)),"行なし",""))</f>
        <v/>
      </c>
      <c r="N3101" s="2" t="str">
        <f aca="false">IF($G3101="","",IF(COUNTIF($G$2:$G$4460,$G3101)&gt;1,"重複",""))</f>
        <v/>
      </c>
    </row>
    <row r="3102" customFormat="false" ht="16.5" hidden="false" customHeight="true" outlineLevel="0" collapsed="false">
      <c r="A3102" s="2" t="s">
        <v>447</v>
      </c>
      <c r="B3102" s="2" t="s">
        <v>450</v>
      </c>
      <c r="C3102" s="2" t="s">
        <v>13</v>
      </c>
      <c r="D3102" s="2" t="str">
        <f aca="false">IF(4キー同時!$B$32="","",4キー同時!$B$32)</f>
        <v/>
      </c>
      <c r="E3102" s="2" t="str">
        <f aca="false">IF(4キー同時!$G$32="","",4キー同時!$G$32)</f>
        <v/>
      </c>
      <c r="F3102" s="2" t="str">
        <f aca="false">IF(4キー同時!$L$32="","",4キー同時!$L$32)</f>
        <v/>
      </c>
      <c r="G3102" s="2" t="str">
        <f aca="false">IF(OR(4キー同時!$B$32="",4キー同時!$G$32="",4キー同時!$L$32=""),"",IF(4キー同時!L36="","",SUBSTITUTE(SUBSTITUTE(4キー同時!L36," ",""),"　","")))</f>
        <v/>
      </c>
      <c r="H3102" s="2" t="str">
        <f aca="false">IF($G3102="","",4キー同時!$B$32)</f>
        <v/>
      </c>
      <c r="I3102" s="2" t="str">
        <f aca="false">IF($G3102="","",4キー同時!$G$32)</f>
        <v/>
      </c>
      <c r="J3102" s="2" t="str">
        <f aca="false">IF($G3102="","",4キー同時!$L$32)</f>
        <v/>
      </c>
      <c r="K3102" s="2" t="str">
        <f aca="false">IF($G3102="","","w")</f>
        <v/>
      </c>
      <c r="L3102" s="2" t="str">
        <f aca="false">IF($G3102="","","同時")</f>
        <v/>
      </c>
      <c r="M3102" s="2" t="str">
        <f aca="false">IF($G3102="","",IF(ISNA(MATCH($G3102,個別指定!$A:$A,0)),"行なし",""))</f>
        <v/>
      </c>
      <c r="N3102" s="2" t="str">
        <f aca="false">IF($G3102="","",IF(COUNTIF($G$2:$G$4460,$G3102)&gt;1,"重複",""))</f>
        <v/>
      </c>
    </row>
    <row r="3103" customFormat="false" ht="16.5" hidden="false" customHeight="true" outlineLevel="0" collapsed="false">
      <c r="A3103" s="2" t="s">
        <v>447</v>
      </c>
      <c r="B3103" s="2" t="s">
        <v>450</v>
      </c>
      <c r="C3103" s="2" t="s">
        <v>14</v>
      </c>
      <c r="D3103" s="2" t="str">
        <f aca="false">IF(4キー同時!$B$32="","",4キー同時!$B$32)</f>
        <v/>
      </c>
      <c r="E3103" s="2" t="str">
        <f aca="false">IF(4キー同時!$G$32="","",4キー同時!$G$32)</f>
        <v/>
      </c>
      <c r="F3103" s="2" t="str">
        <f aca="false">IF(4キー同時!$L$32="","",4キー同時!$L$32)</f>
        <v/>
      </c>
      <c r="G3103" s="2" t="str">
        <f aca="false">IF(OR(4キー同時!$B$32="",4キー同時!$G$32="",4キー同時!$L$32=""),"",IF(4キー同時!P36="","",SUBSTITUTE(SUBSTITUTE(4キー同時!P36," ",""),"　","")))</f>
        <v/>
      </c>
      <c r="H3103" s="2" t="str">
        <f aca="false">IF($G3103="","",4キー同時!$B$32)</f>
        <v/>
      </c>
      <c r="I3103" s="2" t="str">
        <f aca="false">IF($G3103="","",4キー同時!$G$32)</f>
        <v/>
      </c>
      <c r="J3103" s="2" t="str">
        <f aca="false">IF($G3103="","",4キー同時!$L$32)</f>
        <v/>
      </c>
      <c r="K3103" s="2" t="str">
        <f aca="false">IF($G3103="","","e")</f>
        <v/>
      </c>
      <c r="L3103" s="2" t="str">
        <f aca="false">IF($G3103="","","同時")</f>
        <v/>
      </c>
      <c r="M3103" s="2" t="str">
        <f aca="false">IF($G3103="","",IF(ISNA(MATCH($G3103,個別指定!$A:$A,0)),"行なし",""))</f>
        <v/>
      </c>
      <c r="N3103" s="2" t="str">
        <f aca="false">IF($G3103="","",IF(COUNTIF($G$2:$G$4460,$G3103)&gt;1,"重複",""))</f>
        <v/>
      </c>
    </row>
    <row r="3104" customFormat="false" ht="16.5" hidden="false" customHeight="true" outlineLevel="0" collapsed="false">
      <c r="A3104" s="2" t="s">
        <v>447</v>
      </c>
      <c r="B3104" s="2" t="s">
        <v>450</v>
      </c>
      <c r="C3104" s="2" t="s">
        <v>15</v>
      </c>
      <c r="D3104" s="2" t="str">
        <f aca="false">IF(4キー同時!$B$32="","",4キー同時!$B$32)</f>
        <v/>
      </c>
      <c r="E3104" s="2" t="str">
        <f aca="false">IF(4キー同時!$G$32="","",4キー同時!$G$32)</f>
        <v/>
      </c>
      <c r="F3104" s="2" t="str">
        <f aca="false">IF(4キー同時!$L$32="","",4キー同時!$L$32)</f>
        <v/>
      </c>
      <c r="G3104" s="2" t="str">
        <f aca="false">IF(OR(4キー同時!$B$32="",4キー同時!$G$32="",4キー同時!$L$32=""),"",IF(4キー同時!T36="","",SUBSTITUTE(SUBSTITUTE(4キー同時!T36," ",""),"　","")))</f>
        <v/>
      </c>
      <c r="H3104" s="2" t="str">
        <f aca="false">IF($G3104="","",4キー同時!$B$32)</f>
        <v/>
      </c>
      <c r="I3104" s="2" t="str">
        <f aca="false">IF($G3104="","",4キー同時!$G$32)</f>
        <v/>
      </c>
      <c r="J3104" s="2" t="str">
        <f aca="false">IF($G3104="","",4キー同時!$L$32)</f>
        <v/>
      </c>
      <c r="K3104" s="2" t="str">
        <f aca="false">IF($G3104="","","r")</f>
        <v/>
      </c>
      <c r="L3104" s="2" t="str">
        <f aca="false">IF($G3104="","","同時")</f>
        <v/>
      </c>
      <c r="M3104" s="2" t="str">
        <f aca="false">IF($G3104="","",IF(ISNA(MATCH($G3104,個別指定!$A:$A,0)),"行なし",""))</f>
        <v/>
      </c>
      <c r="N3104" s="2" t="str">
        <f aca="false">IF($G3104="","",IF(COUNTIF($G$2:$G$4460,$G3104)&gt;1,"重複",""))</f>
        <v/>
      </c>
    </row>
    <row r="3105" customFormat="false" ht="16.5" hidden="false" customHeight="true" outlineLevel="0" collapsed="false">
      <c r="A3105" s="2" t="s">
        <v>447</v>
      </c>
      <c r="B3105" s="2" t="s">
        <v>450</v>
      </c>
      <c r="C3105" s="2" t="s">
        <v>16</v>
      </c>
      <c r="D3105" s="2" t="str">
        <f aca="false">IF(4キー同時!$B$32="","",4キー同時!$B$32)</f>
        <v/>
      </c>
      <c r="E3105" s="2" t="str">
        <f aca="false">IF(4キー同時!$G$32="","",4キー同時!$G$32)</f>
        <v/>
      </c>
      <c r="F3105" s="2" t="str">
        <f aca="false">IF(4キー同時!$L$32="","",4キー同時!$L$32)</f>
        <v/>
      </c>
      <c r="G3105" s="2" t="str">
        <f aca="false">IF(OR(4キー同時!$B$32="",4キー同時!$G$32="",4キー同時!$L$32=""),"",IF(4キー同時!X36="","",SUBSTITUTE(SUBSTITUTE(4キー同時!X36," ",""),"　","")))</f>
        <v/>
      </c>
      <c r="H3105" s="2" t="str">
        <f aca="false">IF($G3105="","",4キー同時!$B$32)</f>
        <v/>
      </c>
      <c r="I3105" s="2" t="str">
        <f aca="false">IF($G3105="","",4キー同時!$G$32)</f>
        <v/>
      </c>
      <c r="J3105" s="2" t="str">
        <f aca="false">IF($G3105="","",4キー同時!$L$32)</f>
        <v/>
      </c>
      <c r="K3105" s="2" t="str">
        <f aca="false">IF($G3105="","","t")</f>
        <v/>
      </c>
      <c r="L3105" s="2" t="str">
        <f aca="false">IF($G3105="","","同時")</f>
        <v/>
      </c>
      <c r="M3105" s="2" t="str">
        <f aca="false">IF($G3105="","",IF(ISNA(MATCH($G3105,個別指定!$A:$A,0)),"行なし",""))</f>
        <v/>
      </c>
      <c r="N3105" s="2" t="str">
        <f aca="false">IF($G3105="","",IF(COUNTIF($G$2:$G$4460,$G3105)&gt;1,"重複",""))</f>
        <v/>
      </c>
    </row>
    <row r="3106" customFormat="false" ht="16.5" hidden="false" customHeight="true" outlineLevel="0" collapsed="false">
      <c r="A3106" s="2" t="s">
        <v>447</v>
      </c>
      <c r="B3106" s="2" t="s">
        <v>450</v>
      </c>
      <c r="C3106" s="2" t="s">
        <v>17</v>
      </c>
      <c r="D3106" s="2" t="str">
        <f aca="false">IF(4キー同時!$B$32="","",4キー同時!$B$32)</f>
        <v/>
      </c>
      <c r="E3106" s="2" t="str">
        <f aca="false">IF(4キー同時!$G$32="","",4キー同時!$G$32)</f>
        <v/>
      </c>
      <c r="F3106" s="2" t="str">
        <f aca="false">IF(4キー同時!$L$32="","",4キー同時!$L$32)</f>
        <v/>
      </c>
      <c r="G3106" s="2" t="str">
        <f aca="false">IF(OR(4キー同時!$B$32="",4キー同時!$G$32="",4キー同時!$L$32=""),"",IF(4キー同時!AB36="","",SUBSTITUTE(SUBSTITUTE(4キー同時!AB36," ",""),"　","")))</f>
        <v/>
      </c>
      <c r="H3106" s="2" t="str">
        <f aca="false">IF($G3106="","",4キー同時!$B$32)</f>
        <v/>
      </c>
      <c r="I3106" s="2" t="str">
        <f aca="false">IF($G3106="","",4キー同時!$G$32)</f>
        <v/>
      </c>
      <c r="J3106" s="2" t="str">
        <f aca="false">IF($G3106="","",4キー同時!$L$32)</f>
        <v/>
      </c>
      <c r="K3106" s="2" t="str">
        <f aca="false">IF($G3106="","","y")</f>
        <v/>
      </c>
      <c r="L3106" s="2" t="str">
        <f aca="false">IF($G3106="","","同時")</f>
        <v/>
      </c>
      <c r="M3106" s="2" t="str">
        <f aca="false">IF($G3106="","",IF(ISNA(MATCH($G3106,個別指定!$A:$A,0)),"行なし",""))</f>
        <v/>
      </c>
      <c r="N3106" s="2" t="str">
        <f aca="false">IF($G3106="","",IF(COUNTIF($G$2:$G$4460,$G3106)&gt;1,"重複",""))</f>
        <v/>
      </c>
    </row>
    <row r="3107" customFormat="false" ht="16.5" hidden="false" customHeight="true" outlineLevel="0" collapsed="false">
      <c r="A3107" s="2" t="s">
        <v>447</v>
      </c>
      <c r="B3107" s="2" t="s">
        <v>450</v>
      </c>
      <c r="C3107" s="2" t="s">
        <v>18</v>
      </c>
      <c r="D3107" s="2" t="str">
        <f aca="false">IF(4キー同時!$B$32="","",4キー同時!$B$32)</f>
        <v/>
      </c>
      <c r="E3107" s="2" t="str">
        <f aca="false">IF(4キー同時!$G$32="","",4キー同時!$G$32)</f>
        <v/>
      </c>
      <c r="F3107" s="2" t="str">
        <f aca="false">IF(4キー同時!$L$32="","",4キー同時!$L$32)</f>
        <v/>
      </c>
      <c r="G3107" s="2" t="str">
        <f aca="false">IF(OR(4キー同時!$B$32="",4キー同時!$G$32="",4キー同時!$L$32=""),"",IF(4キー同時!AF36="","",SUBSTITUTE(SUBSTITUTE(4キー同時!AF36," ",""),"　","")))</f>
        <v/>
      </c>
      <c r="H3107" s="2" t="str">
        <f aca="false">IF($G3107="","",4キー同時!$B$32)</f>
        <v/>
      </c>
      <c r="I3107" s="2" t="str">
        <f aca="false">IF($G3107="","",4キー同時!$G$32)</f>
        <v/>
      </c>
      <c r="J3107" s="2" t="str">
        <f aca="false">IF($G3107="","",4キー同時!$L$32)</f>
        <v/>
      </c>
      <c r="K3107" s="2" t="str">
        <f aca="false">IF($G3107="","","u")</f>
        <v/>
      </c>
      <c r="L3107" s="2" t="str">
        <f aca="false">IF($G3107="","","同時")</f>
        <v/>
      </c>
      <c r="M3107" s="2" t="str">
        <f aca="false">IF($G3107="","",IF(ISNA(MATCH($G3107,個別指定!$A:$A,0)),"行なし",""))</f>
        <v/>
      </c>
      <c r="N3107" s="2" t="str">
        <f aca="false">IF($G3107="","",IF(COUNTIF($G$2:$G$4460,$G3107)&gt;1,"重複",""))</f>
        <v/>
      </c>
    </row>
    <row r="3108" customFormat="false" ht="16.5" hidden="false" customHeight="true" outlineLevel="0" collapsed="false">
      <c r="A3108" s="2" t="s">
        <v>447</v>
      </c>
      <c r="B3108" s="2" t="s">
        <v>450</v>
      </c>
      <c r="C3108" s="2" t="s">
        <v>19</v>
      </c>
      <c r="D3108" s="2" t="str">
        <f aca="false">IF(4キー同時!$B$32="","",4キー同時!$B$32)</f>
        <v/>
      </c>
      <c r="E3108" s="2" t="str">
        <f aca="false">IF(4キー同時!$G$32="","",4キー同時!$G$32)</f>
        <v/>
      </c>
      <c r="F3108" s="2" t="str">
        <f aca="false">IF(4キー同時!$L$32="","",4キー同時!$L$32)</f>
        <v/>
      </c>
      <c r="G3108" s="2" t="str">
        <f aca="false">IF(OR(4キー同時!$B$32="",4キー同時!$G$32="",4キー同時!$L$32=""),"",IF(4キー同時!AJ36="","",SUBSTITUTE(SUBSTITUTE(4キー同時!AJ36," ",""),"　","")))</f>
        <v/>
      </c>
      <c r="H3108" s="2" t="str">
        <f aca="false">IF($G3108="","",4キー同時!$B$32)</f>
        <v/>
      </c>
      <c r="I3108" s="2" t="str">
        <f aca="false">IF($G3108="","",4キー同時!$G$32)</f>
        <v/>
      </c>
      <c r="J3108" s="2" t="str">
        <f aca="false">IF($G3108="","",4キー同時!$L$32)</f>
        <v/>
      </c>
      <c r="K3108" s="2" t="str">
        <f aca="false">IF($G3108="","","i")</f>
        <v/>
      </c>
      <c r="L3108" s="2" t="str">
        <f aca="false">IF($G3108="","","同時")</f>
        <v/>
      </c>
      <c r="M3108" s="2" t="str">
        <f aca="false">IF($G3108="","",IF(ISNA(MATCH($G3108,個別指定!$A:$A,0)),"行なし",""))</f>
        <v/>
      </c>
      <c r="N3108" s="2" t="str">
        <f aca="false">IF($G3108="","",IF(COUNTIF($G$2:$G$4460,$G3108)&gt;1,"重複",""))</f>
        <v/>
      </c>
    </row>
    <row r="3109" customFormat="false" ht="16.5" hidden="false" customHeight="true" outlineLevel="0" collapsed="false">
      <c r="A3109" s="2" t="s">
        <v>447</v>
      </c>
      <c r="B3109" s="2" t="s">
        <v>450</v>
      </c>
      <c r="C3109" s="2" t="s">
        <v>20</v>
      </c>
      <c r="D3109" s="2" t="str">
        <f aca="false">IF(4キー同時!$B$32="","",4キー同時!$B$32)</f>
        <v/>
      </c>
      <c r="E3109" s="2" t="str">
        <f aca="false">IF(4キー同時!$G$32="","",4キー同時!$G$32)</f>
        <v/>
      </c>
      <c r="F3109" s="2" t="str">
        <f aca="false">IF(4キー同時!$L$32="","",4キー同時!$L$32)</f>
        <v/>
      </c>
      <c r="G3109" s="2" t="str">
        <f aca="false">IF(OR(4キー同時!$B$32="",4キー同時!$G$32="",4キー同時!$L$32=""),"",IF(4キー同時!AN36="","",SUBSTITUTE(SUBSTITUTE(4キー同時!AN36," ",""),"　","")))</f>
        <v/>
      </c>
      <c r="H3109" s="2" t="str">
        <f aca="false">IF($G3109="","",4キー同時!$B$32)</f>
        <v/>
      </c>
      <c r="I3109" s="2" t="str">
        <f aca="false">IF($G3109="","",4キー同時!$G$32)</f>
        <v/>
      </c>
      <c r="J3109" s="2" t="str">
        <f aca="false">IF($G3109="","",4キー同時!$L$32)</f>
        <v/>
      </c>
      <c r="K3109" s="2" t="str">
        <f aca="false">IF($G3109="","","o")</f>
        <v/>
      </c>
      <c r="L3109" s="2" t="str">
        <f aca="false">IF($G3109="","","同時")</f>
        <v/>
      </c>
      <c r="M3109" s="2" t="str">
        <f aca="false">IF($G3109="","",IF(ISNA(MATCH($G3109,個別指定!$A:$A,0)),"行なし",""))</f>
        <v/>
      </c>
      <c r="N3109" s="2" t="str">
        <f aca="false">IF($G3109="","",IF(COUNTIF($G$2:$G$4460,$G3109)&gt;1,"重複",""))</f>
        <v/>
      </c>
    </row>
    <row r="3110" customFormat="false" ht="16.5" hidden="false" customHeight="true" outlineLevel="0" collapsed="false">
      <c r="A3110" s="2" t="s">
        <v>447</v>
      </c>
      <c r="B3110" s="2" t="s">
        <v>450</v>
      </c>
      <c r="C3110" s="2" t="s">
        <v>21</v>
      </c>
      <c r="D3110" s="2" t="str">
        <f aca="false">IF(4キー同時!$B$32="","",4キー同時!$B$32)</f>
        <v/>
      </c>
      <c r="E3110" s="2" t="str">
        <f aca="false">IF(4キー同時!$G$32="","",4キー同時!$G$32)</f>
        <v/>
      </c>
      <c r="F3110" s="2" t="str">
        <f aca="false">IF(4キー同時!$L$32="","",4キー同時!$L$32)</f>
        <v/>
      </c>
      <c r="G3110" s="2" t="str">
        <f aca="false">IF(OR(4キー同時!$B$32="",4キー同時!$G$32="",4キー同時!$L$32=""),"",IF(4キー同時!AR36="","",SUBSTITUTE(SUBSTITUTE(4キー同時!AR36," ",""),"　","")))</f>
        <v/>
      </c>
      <c r="H3110" s="2" t="str">
        <f aca="false">IF($G3110="","",4キー同時!$B$32)</f>
        <v/>
      </c>
      <c r="I3110" s="2" t="str">
        <f aca="false">IF($G3110="","",4キー同時!$G$32)</f>
        <v/>
      </c>
      <c r="J3110" s="2" t="str">
        <f aca="false">IF($G3110="","",4キー同時!$L$32)</f>
        <v/>
      </c>
      <c r="K3110" s="2" t="str">
        <f aca="false">IF($G3110="","","p")</f>
        <v/>
      </c>
      <c r="L3110" s="2" t="str">
        <f aca="false">IF($G3110="","","同時")</f>
        <v/>
      </c>
      <c r="M3110" s="2" t="str">
        <f aca="false">IF($G3110="","",IF(ISNA(MATCH($G3110,個別指定!$A:$A,0)),"行なし",""))</f>
        <v/>
      </c>
      <c r="N3110" s="2" t="str">
        <f aca="false">IF($G3110="","",IF(COUNTIF($G$2:$G$4460,$G3110)&gt;1,"重複",""))</f>
        <v/>
      </c>
    </row>
    <row r="3111" customFormat="false" ht="16.5" hidden="false" customHeight="true" outlineLevel="0" collapsed="false">
      <c r="A3111" s="2" t="s">
        <v>447</v>
      </c>
      <c r="B3111" s="2" t="s">
        <v>450</v>
      </c>
      <c r="C3111" s="2" t="s">
        <v>22</v>
      </c>
      <c r="D3111" s="2" t="str">
        <f aca="false">IF(4キー同時!$B$32="","",4キー同時!$B$32)</f>
        <v/>
      </c>
      <c r="E3111" s="2" t="str">
        <f aca="false">IF(4キー同時!$G$32="","",4キー同時!$G$32)</f>
        <v/>
      </c>
      <c r="F3111" s="2" t="str">
        <f aca="false">IF(4キー同時!$L$32="","",4キー同時!$L$32)</f>
        <v/>
      </c>
      <c r="G3111" s="2" t="str">
        <f aca="false">IF(OR(4キー同時!$B$32="",4キー同時!$G$32="",4キー同時!$L$32=""),"",IF(4キー同時!AV36="","",SUBSTITUTE(SUBSTITUTE(4キー同時!AV36," ",""),"　","")))</f>
        <v/>
      </c>
      <c r="H3111" s="2" t="str">
        <f aca="false">IF($G3111="","",4キー同時!$B$32)</f>
        <v/>
      </c>
      <c r="I3111" s="2" t="str">
        <f aca="false">IF($G3111="","",4キー同時!$G$32)</f>
        <v/>
      </c>
      <c r="J3111" s="2" t="str">
        <f aca="false">IF($G3111="","",4キー同時!$L$32)</f>
        <v/>
      </c>
      <c r="K3111" s="2" t="str">
        <f aca="false">IF($G3111="","","[")</f>
        <v/>
      </c>
      <c r="L3111" s="2" t="str">
        <f aca="false">IF($G3111="","","同時")</f>
        <v/>
      </c>
      <c r="M3111" s="2" t="str">
        <f aca="false">IF($G3111="","",IF(ISNA(MATCH($G3111,個別指定!$A:$A,0)),"行なし",""))</f>
        <v/>
      </c>
      <c r="N3111" s="2" t="str">
        <f aca="false">IF($G3111="","",IF(COUNTIF($G$2:$G$4460,$G3111)&gt;1,"重複",""))</f>
        <v/>
      </c>
    </row>
    <row r="3112" customFormat="false" ht="16.5" hidden="false" customHeight="true" outlineLevel="0" collapsed="false">
      <c r="A3112" s="2" t="s">
        <v>447</v>
      </c>
      <c r="B3112" s="2" t="s">
        <v>450</v>
      </c>
      <c r="C3112" s="2" t="s">
        <v>23</v>
      </c>
      <c r="D3112" s="2" t="str">
        <f aca="false">IF(4キー同時!$B$32="","",4キー同時!$B$32)</f>
        <v/>
      </c>
      <c r="E3112" s="2" t="str">
        <f aca="false">IF(4キー同時!$G$32="","",4キー同時!$G$32)</f>
        <v/>
      </c>
      <c r="F3112" s="2" t="str">
        <f aca="false">IF(4キー同時!$L$32="","",4キー同時!$L$32)</f>
        <v/>
      </c>
      <c r="G3112" s="2" t="str">
        <f aca="false">IF(OR(4キー同時!$B$32="",4キー同時!$G$32="",4キー同時!$L$32=""),"",IF(4キー同時!AZ36="","",SUBSTITUTE(SUBSTITUTE(4キー同時!AZ36," ",""),"　","")))</f>
        <v/>
      </c>
      <c r="H3112" s="2" t="str">
        <f aca="false">IF($G3112="","",4キー同時!$B$32)</f>
        <v/>
      </c>
      <c r="I3112" s="2" t="str">
        <f aca="false">IF($G3112="","",4キー同時!$G$32)</f>
        <v/>
      </c>
      <c r="J3112" s="2" t="str">
        <f aca="false">IF($G3112="","",4キー同時!$L$32)</f>
        <v/>
      </c>
      <c r="K3112" s="2" t="str">
        <f aca="false">IF($G3112="","","]")</f>
        <v/>
      </c>
      <c r="L3112" s="2" t="str">
        <f aca="false">IF($G3112="","","同時")</f>
        <v/>
      </c>
      <c r="M3112" s="2" t="str">
        <f aca="false">IF($G3112="","",IF(ISNA(MATCH($G3112,個別指定!$A:$A,0)),"行なし",""))</f>
        <v/>
      </c>
      <c r="N3112" s="2" t="str">
        <f aca="false">IF($G3112="","",IF(COUNTIF($G$2:$G$4460,$G3112)&gt;1,"重複",""))</f>
        <v/>
      </c>
    </row>
    <row r="3113" customFormat="false" ht="16.5" hidden="false" customHeight="true" outlineLevel="0" collapsed="false">
      <c r="A3113" s="2" t="s">
        <v>447</v>
      </c>
      <c r="B3113" s="2" t="s">
        <v>450</v>
      </c>
      <c r="C3113" s="2" t="s">
        <v>24</v>
      </c>
      <c r="D3113" s="2" t="str">
        <f aca="false">IF(4キー同時!$B$32="","",4キー同時!$B$32)</f>
        <v/>
      </c>
      <c r="E3113" s="2" t="str">
        <f aca="false">IF(4キー同時!$G$32="","",4キー同時!$G$32)</f>
        <v/>
      </c>
      <c r="F3113" s="2" t="str">
        <f aca="false">IF(4キー同時!$L$32="","",4キー同時!$L$32)</f>
        <v/>
      </c>
      <c r="G3113" s="2" t="str">
        <f aca="false">IF(OR(4キー同時!$B$32="",4キー同時!$G$32="",4キー同時!$L$32=""),"",IF(4キー同時!I38="","",SUBSTITUTE(SUBSTITUTE(4キー同時!I38," ",""),"　","")))</f>
        <v/>
      </c>
      <c r="H3113" s="2" t="str">
        <f aca="false">IF($G3113="","",4キー同時!$B$32)</f>
        <v/>
      </c>
      <c r="I3113" s="2" t="str">
        <f aca="false">IF($G3113="","",4キー同時!$G$32)</f>
        <v/>
      </c>
      <c r="J3113" s="2" t="str">
        <f aca="false">IF($G3113="","",4キー同時!$L$32)</f>
        <v/>
      </c>
      <c r="K3113" s="2" t="str">
        <f aca="false">IF($G3113="","","a")</f>
        <v/>
      </c>
      <c r="L3113" s="2" t="str">
        <f aca="false">IF($G3113="","","同時")</f>
        <v/>
      </c>
      <c r="M3113" s="2" t="str">
        <f aca="false">IF($G3113="","",IF(ISNA(MATCH($G3113,個別指定!$A:$A,0)),"行なし",""))</f>
        <v/>
      </c>
      <c r="N3113" s="2" t="str">
        <f aca="false">IF($G3113="","",IF(COUNTIF($G$2:$G$4460,$G3113)&gt;1,"重複",""))</f>
        <v/>
      </c>
    </row>
    <row r="3114" customFormat="false" ht="16.5" hidden="false" customHeight="true" outlineLevel="0" collapsed="false">
      <c r="A3114" s="2" t="s">
        <v>447</v>
      </c>
      <c r="B3114" s="2" t="s">
        <v>450</v>
      </c>
      <c r="C3114" s="2" t="s">
        <v>25</v>
      </c>
      <c r="D3114" s="2" t="str">
        <f aca="false">IF(4キー同時!$B$32="","",4キー同時!$B$32)</f>
        <v/>
      </c>
      <c r="E3114" s="2" t="str">
        <f aca="false">IF(4キー同時!$G$32="","",4キー同時!$G$32)</f>
        <v/>
      </c>
      <c r="F3114" s="2" t="str">
        <f aca="false">IF(4キー同時!$L$32="","",4キー同時!$L$32)</f>
        <v/>
      </c>
      <c r="G3114" s="2" t="str">
        <f aca="false">IF(OR(4キー同時!$B$32="",4キー同時!$G$32="",4キー同時!$L$32=""),"",IF(4キー同時!M38="","",SUBSTITUTE(SUBSTITUTE(4キー同時!M38," ",""),"　","")))</f>
        <v/>
      </c>
      <c r="H3114" s="2" t="str">
        <f aca="false">IF($G3114="","",4キー同時!$B$32)</f>
        <v/>
      </c>
      <c r="I3114" s="2" t="str">
        <f aca="false">IF($G3114="","",4キー同時!$G$32)</f>
        <v/>
      </c>
      <c r="J3114" s="2" t="str">
        <f aca="false">IF($G3114="","",4キー同時!$L$32)</f>
        <v/>
      </c>
      <c r="K3114" s="2" t="str">
        <f aca="false">IF($G3114="","","s")</f>
        <v/>
      </c>
      <c r="L3114" s="2" t="str">
        <f aca="false">IF($G3114="","","同時")</f>
        <v/>
      </c>
      <c r="M3114" s="2" t="str">
        <f aca="false">IF($G3114="","",IF(ISNA(MATCH($G3114,個別指定!$A:$A,0)),"行なし",""))</f>
        <v/>
      </c>
      <c r="N3114" s="2" t="str">
        <f aca="false">IF($G3114="","",IF(COUNTIF($G$2:$G$4460,$G3114)&gt;1,"重複",""))</f>
        <v/>
      </c>
    </row>
    <row r="3115" customFormat="false" ht="16.5" hidden="false" customHeight="true" outlineLevel="0" collapsed="false">
      <c r="A3115" s="2" t="s">
        <v>447</v>
      </c>
      <c r="B3115" s="2" t="s">
        <v>450</v>
      </c>
      <c r="C3115" s="2" t="s">
        <v>26</v>
      </c>
      <c r="D3115" s="2" t="str">
        <f aca="false">IF(4キー同時!$B$32="","",4キー同時!$B$32)</f>
        <v/>
      </c>
      <c r="E3115" s="2" t="str">
        <f aca="false">IF(4キー同時!$G$32="","",4キー同時!$G$32)</f>
        <v/>
      </c>
      <c r="F3115" s="2" t="str">
        <f aca="false">IF(4キー同時!$L$32="","",4キー同時!$L$32)</f>
        <v/>
      </c>
      <c r="G3115" s="2" t="str">
        <f aca="false">IF(OR(4キー同時!$B$32="",4キー同時!$G$32="",4キー同時!$L$32=""),"",IF(4キー同時!Q38="","",SUBSTITUTE(SUBSTITUTE(4キー同時!Q38," ",""),"　","")))</f>
        <v/>
      </c>
      <c r="H3115" s="2" t="str">
        <f aca="false">IF($G3115="","",4キー同時!$B$32)</f>
        <v/>
      </c>
      <c r="I3115" s="2" t="str">
        <f aca="false">IF($G3115="","",4キー同時!$G$32)</f>
        <v/>
      </c>
      <c r="J3115" s="2" t="str">
        <f aca="false">IF($G3115="","",4キー同時!$L$32)</f>
        <v/>
      </c>
      <c r="K3115" s="2" t="str">
        <f aca="false">IF($G3115="","","d")</f>
        <v/>
      </c>
      <c r="L3115" s="2" t="str">
        <f aca="false">IF($G3115="","","同時")</f>
        <v/>
      </c>
      <c r="M3115" s="2" t="str">
        <f aca="false">IF($G3115="","",IF(ISNA(MATCH($G3115,個別指定!$A:$A,0)),"行なし",""))</f>
        <v/>
      </c>
      <c r="N3115" s="2" t="str">
        <f aca="false">IF($G3115="","",IF(COUNTIF($G$2:$G$4460,$G3115)&gt;1,"重複",""))</f>
        <v/>
      </c>
    </row>
    <row r="3116" customFormat="false" ht="16.5" hidden="false" customHeight="true" outlineLevel="0" collapsed="false">
      <c r="A3116" s="2" t="s">
        <v>447</v>
      </c>
      <c r="B3116" s="2" t="s">
        <v>450</v>
      </c>
      <c r="C3116" s="2" t="s">
        <v>27</v>
      </c>
      <c r="D3116" s="2" t="str">
        <f aca="false">IF(4キー同時!$B$32="","",4キー同時!$B$32)</f>
        <v/>
      </c>
      <c r="E3116" s="2" t="str">
        <f aca="false">IF(4キー同時!$G$32="","",4キー同時!$G$32)</f>
        <v/>
      </c>
      <c r="F3116" s="2" t="str">
        <f aca="false">IF(4キー同時!$L$32="","",4キー同時!$L$32)</f>
        <v/>
      </c>
      <c r="G3116" s="2" t="str">
        <f aca="false">IF(OR(4キー同時!$B$32="",4キー同時!$G$32="",4キー同時!$L$32=""),"",IF(4キー同時!U38="","",SUBSTITUTE(SUBSTITUTE(4キー同時!U38," ",""),"　","")))</f>
        <v/>
      </c>
      <c r="H3116" s="2" t="str">
        <f aca="false">IF($G3116="","",4キー同時!$B$32)</f>
        <v/>
      </c>
      <c r="I3116" s="2" t="str">
        <f aca="false">IF($G3116="","",4キー同時!$G$32)</f>
        <v/>
      </c>
      <c r="J3116" s="2" t="str">
        <f aca="false">IF($G3116="","",4キー同時!$L$32)</f>
        <v/>
      </c>
      <c r="K3116" s="2" t="str">
        <f aca="false">IF($G3116="","","f")</f>
        <v/>
      </c>
      <c r="L3116" s="2" t="str">
        <f aca="false">IF($G3116="","","同時")</f>
        <v/>
      </c>
      <c r="M3116" s="2" t="str">
        <f aca="false">IF($G3116="","",IF(ISNA(MATCH($G3116,個別指定!$A:$A,0)),"行なし",""))</f>
        <v/>
      </c>
      <c r="N3116" s="2" t="str">
        <f aca="false">IF($G3116="","",IF(COUNTIF($G$2:$G$4460,$G3116)&gt;1,"重複",""))</f>
        <v/>
      </c>
    </row>
    <row r="3117" customFormat="false" ht="16.5" hidden="false" customHeight="true" outlineLevel="0" collapsed="false">
      <c r="A3117" s="2" t="s">
        <v>447</v>
      </c>
      <c r="B3117" s="2" t="s">
        <v>450</v>
      </c>
      <c r="C3117" s="2" t="s">
        <v>28</v>
      </c>
      <c r="D3117" s="2" t="str">
        <f aca="false">IF(4キー同時!$B$32="","",4キー同時!$B$32)</f>
        <v/>
      </c>
      <c r="E3117" s="2" t="str">
        <f aca="false">IF(4キー同時!$G$32="","",4キー同時!$G$32)</f>
        <v/>
      </c>
      <c r="F3117" s="2" t="str">
        <f aca="false">IF(4キー同時!$L$32="","",4キー同時!$L$32)</f>
        <v/>
      </c>
      <c r="G3117" s="2" t="str">
        <f aca="false">IF(OR(4キー同時!$B$32="",4キー同時!$G$32="",4キー同時!$L$32=""),"",IF(4キー同時!Y38="","",SUBSTITUTE(SUBSTITUTE(4キー同時!Y38," ",""),"　","")))</f>
        <v/>
      </c>
      <c r="H3117" s="2" t="str">
        <f aca="false">IF($G3117="","",4キー同時!$B$32)</f>
        <v/>
      </c>
      <c r="I3117" s="2" t="str">
        <f aca="false">IF($G3117="","",4キー同時!$G$32)</f>
        <v/>
      </c>
      <c r="J3117" s="2" t="str">
        <f aca="false">IF($G3117="","",4キー同時!$L$32)</f>
        <v/>
      </c>
      <c r="K3117" s="2" t="str">
        <f aca="false">IF($G3117="","","g")</f>
        <v/>
      </c>
      <c r="L3117" s="2" t="str">
        <f aca="false">IF($G3117="","","同時")</f>
        <v/>
      </c>
      <c r="M3117" s="2" t="str">
        <f aca="false">IF($G3117="","",IF(ISNA(MATCH($G3117,個別指定!$A:$A,0)),"行なし",""))</f>
        <v/>
      </c>
      <c r="N3117" s="2" t="str">
        <f aca="false">IF($G3117="","",IF(COUNTIF($G$2:$G$4460,$G3117)&gt;1,"重複",""))</f>
        <v/>
      </c>
    </row>
    <row r="3118" customFormat="false" ht="16.5" hidden="false" customHeight="true" outlineLevel="0" collapsed="false">
      <c r="A3118" s="2" t="s">
        <v>447</v>
      </c>
      <c r="B3118" s="2" t="s">
        <v>450</v>
      </c>
      <c r="C3118" s="2" t="s">
        <v>29</v>
      </c>
      <c r="D3118" s="2" t="str">
        <f aca="false">IF(4キー同時!$B$32="","",4キー同時!$B$32)</f>
        <v/>
      </c>
      <c r="E3118" s="2" t="str">
        <f aca="false">IF(4キー同時!$G$32="","",4キー同時!$G$32)</f>
        <v/>
      </c>
      <c r="F3118" s="2" t="str">
        <f aca="false">IF(4キー同時!$L$32="","",4キー同時!$L$32)</f>
        <v/>
      </c>
      <c r="G3118" s="2" t="str">
        <f aca="false">IF(OR(4キー同時!$B$32="",4キー同時!$G$32="",4キー同時!$L$32=""),"",IF(4キー同時!AC38="","",SUBSTITUTE(SUBSTITUTE(4キー同時!AC38," ",""),"　","")))</f>
        <v/>
      </c>
      <c r="H3118" s="2" t="str">
        <f aca="false">IF($G3118="","",4キー同時!$B$32)</f>
        <v/>
      </c>
      <c r="I3118" s="2" t="str">
        <f aca="false">IF($G3118="","",4キー同時!$G$32)</f>
        <v/>
      </c>
      <c r="J3118" s="2" t="str">
        <f aca="false">IF($G3118="","",4キー同時!$L$32)</f>
        <v/>
      </c>
      <c r="K3118" s="2" t="str">
        <f aca="false">IF($G3118="","","h")</f>
        <v/>
      </c>
      <c r="L3118" s="2" t="str">
        <f aca="false">IF($G3118="","","同時")</f>
        <v/>
      </c>
      <c r="M3118" s="2" t="str">
        <f aca="false">IF($G3118="","",IF(ISNA(MATCH($G3118,個別指定!$A:$A,0)),"行なし",""))</f>
        <v/>
      </c>
      <c r="N3118" s="2" t="str">
        <f aca="false">IF($G3118="","",IF(COUNTIF($G$2:$G$4460,$G3118)&gt;1,"重複",""))</f>
        <v/>
      </c>
    </row>
    <row r="3119" customFormat="false" ht="16.5" hidden="false" customHeight="true" outlineLevel="0" collapsed="false">
      <c r="A3119" s="2" t="s">
        <v>447</v>
      </c>
      <c r="B3119" s="2" t="s">
        <v>450</v>
      </c>
      <c r="C3119" s="2" t="s">
        <v>30</v>
      </c>
      <c r="D3119" s="2" t="str">
        <f aca="false">IF(4キー同時!$B$32="","",4キー同時!$B$32)</f>
        <v/>
      </c>
      <c r="E3119" s="2" t="str">
        <f aca="false">IF(4キー同時!$G$32="","",4キー同時!$G$32)</f>
        <v/>
      </c>
      <c r="F3119" s="2" t="str">
        <f aca="false">IF(4キー同時!$L$32="","",4キー同時!$L$32)</f>
        <v/>
      </c>
      <c r="G3119" s="2" t="str">
        <f aca="false">IF(OR(4キー同時!$B$32="",4キー同時!$G$32="",4キー同時!$L$32=""),"",IF(4キー同時!AG38="","",SUBSTITUTE(SUBSTITUTE(4キー同時!AG38," ",""),"　","")))</f>
        <v/>
      </c>
      <c r="H3119" s="2" t="str">
        <f aca="false">IF($G3119="","",4キー同時!$B$32)</f>
        <v/>
      </c>
      <c r="I3119" s="2" t="str">
        <f aca="false">IF($G3119="","",4キー同時!$G$32)</f>
        <v/>
      </c>
      <c r="J3119" s="2" t="str">
        <f aca="false">IF($G3119="","",4キー同時!$L$32)</f>
        <v/>
      </c>
      <c r="K3119" s="2" t="str">
        <f aca="false">IF($G3119="","","j")</f>
        <v/>
      </c>
      <c r="L3119" s="2" t="str">
        <f aca="false">IF($G3119="","","同時")</f>
        <v/>
      </c>
      <c r="M3119" s="2" t="str">
        <f aca="false">IF($G3119="","",IF(ISNA(MATCH($G3119,個別指定!$A:$A,0)),"行なし",""))</f>
        <v/>
      </c>
      <c r="N3119" s="2" t="str">
        <f aca="false">IF($G3119="","",IF(COUNTIF($G$2:$G$4460,$G3119)&gt;1,"重複",""))</f>
        <v/>
      </c>
    </row>
    <row r="3120" customFormat="false" ht="16.5" hidden="false" customHeight="true" outlineLevel="0" collapsed="false">
      <c r="A3120" s="2" t="s">
        <v>447</v>
      </c>
      <c r="B3120" s="2" t="s">
        <v>450</v>
      </c>
      <c r="C3120" s="2" t="s">
        <v>31</v>
      </c>
      <c r="D3120" s="2" t="str">
        <f aca="false">IF(4キー同時!$B$32="","",4キー同時!$B$32)</f>
        <v/>
      </c>
      <c r="E3120" s="2" t="str">
        <f aca="false">IF(4キー同時!$G$32="","",4キー同時!$G$32)</f>
        <v/>
      </c>
      <c r="F3120" s="2" t="str">
        <f aca="false">IF(4キー同時!$L$32="","",4キー同時!$L$32)</f>
        <v/>
      </c>
      <c r="G3120" s="2" t="str">
        <f aca="false">IF(OR(4キー同時!$B$32="",4キー同時!$G$32="",4キー同時!$L$32=""),"",IF(4キー同時!AK38="","",SUBSTITUTE(SUBSTITUTE(4キー同時!AK38," ",""),"　","")))</f>
        <v/>
      </c>
      <c r="H3120" s="2" t="str">
        <f aca="false">IF($G3120="","",4キー同時!$B$32)</f>
        <v/>
      </c>
      <c r="I3120" s="2" t="str">
        <f aca="false">IF($G3120="","",4キー同時!$G$32)</f>
        <v/>
      </c>
      <c r="J3120" s="2" t="str">
        <f aca="false">IF($G3120="","",4キー同時!$L$32)</f>
        <v/>
      </c>
      <c r="K3120" s="2" t="str">
        <f aca="false">IF($G3120="","","k")</f>
        <v/>
      </c>
      <c r="L3120" s="2" t="str">
        <f aca="false">IF($G3120="","","同時")</f>
        <v/>
      </c>
      <c r="M3120" s="2" t="str">
        <f aca="false">IF($G3120="","",IF(ISNA(MATCH($G3120,個別指定!$A:$A,0)),"行なし",""))</f>
        <v/>
      </c>
      <c r="N3120" s="2" t="str">
        <f aca="false">IF($G3120="","",IF(COUNTIF($G$2:$G$4460,$G3120)&gt;1,"重複",""))</f>
        <v/>
      </c>
    </row>
    <row r="3121" customFormat="false" ht="16.5" hidden="false" customHeight="true" outlineLevel="0" collapsed="false">
      <c r="A3121" s="2" t="s">
        <v>447</v>
      </c>
      <c r="B3121" s="2" t="s">
        <v>450</v>
      </c>
      <c r="C3121" s="2" t="s">
        <v>32</v>
      </c>
      <c r="D3121" s="2" t="str">
        <f aca="false">IF(4キー同時!$B$32="","",4キー同時!$B$32)</f>
        <v/>
      </c>
      <c r="E3121" s="2" t="str">
        <f aca="false">IF(4キー同時!$G$32="","",4キー同時!$G$32)</f>
        <v/>
      </c>
      <c r="F3121" s="2" t="str">
        <f aca="false">IF(4キー同時!$L$32="","",4キー同時!$L$32)</f>
        <v/>
      </c>
      <c r="G3121" s="2" t="str">
        <f aca="false">IF(OR(4キー同時!$B$32="",4キー同時!$G$32="",4キー同時!$L$32=""),"",IF(4キー同時!AO38="","",SUBSTITUTE(SUBSTITUTE(4キー同時!AO38," ",""),"　","")))</f>
        <v/>
      </c>
      <c r="H3121" s="2" t="str">
        <f aca="false">IF($G3121="","",4キー同時!$B$32)</f>
        <v/>
      </c>
      <c r="I3121" s="2" t="str">
        <f aca="false">IF($G3121="","",4キー同時!$G$32)</f>
        <v/>
      </c>
      <c r="J3121" s="2" t="str">
        <f aca="false">IF($G3121="","",4キー同時!$L$32)</f>
        <v/>
      </c>
      <c r="K3121" s="2" t="str">
        <f aca="false">IF($G3121="","","l")</f>
        <v/>
      </c>
      <c r="L3121" s="2" t="str">
        <f aca="false">IF($G3121="","","同時")</f>
        <v/>
      </c>
      <c r="M3121" s="2" t="str">
        <f aca="false">IF($G3121="","",IF(ISNA(MATCH($G3121,個別指定!$A:$A,0)),"行なし",""))</f>
        <v/>
      </c>
      <c r="N3121" s="2" t="str">
        <f aca="false">IF($G3121="","",IF(COUNTIF($G$2:$G$4460,$G3121)&gt;1,"重複",""))</f>
        <v/>
      </c>
    </row>
    <row r="3122" customFormat="false" ht="16.5" hidden="false" customHeight="true" outlineLevel="0" collapsed="false">
      <c r="A3122" s="2" t="s">
        <v>447</v>
      </c>
      <c r="B3122" s="2" t="s">
        <v>450</v>
      </c>
      <c r="C3122" s="2" t="s">
        <v>33</v>
      </c>
      <c r="D3122" s="2" t="str">
        <f aca="false">IF(4キー同時!$B$32="","",4キー同時!$B$32)</f>
        <v/>
      </c>
      <c r="E3122" s="2" t="str">
        <f aca="false">IF(4キー同時!$G$32="","",4キー同時!$G$32)</f>
        <v/>
      </c>
      <c r="F3122" s="2" t="str">
        <f aca="false">IF(4キー同時!$L$32="","",4キー同時!$L$32)</f>
        <v/>
      </c>
      <c r="G3122" s="2" t="str">
        <f aca="false">IF(OR(4キー同時!$B$32="",4キー同時!$G$32="",4キー同時!$L$32=""),"",IF(4キー同時!AS38="","",SUBSTITUTE(SUBSTITUTE(4キー同時!AS38," ",""),"　","")))</f>
        <v/>
      </c>
      <c r="H3122" s="2" t="str">
        <f aca="false">IF($G3122="","",4キー同時!$B$32)</f>
        <v/>
      </c>
      <c r="I3122" s="2" t="str">
        <f aca="false">IF($G3122="","",4キー同時!$G$32)</f>
        <v/>
      </c>
      <c r="J3122" s="2" t="str">
        <f aca="false">IF($G3122="","",4キー同時!$L$32)</f>
        <v/>
      </c>
      <c r="K3122" s="2" t="str">
        <f aca="false">IF($G3122="","",";")</f>
        <v/>
      </c>
      <c r="L3122" s="2" t="str">
        <f aca="false">IF($G3122="","","同時")</f>
        <v/>
      </c>
      <c r="M3122" s="2" t="str">
        <f aca="false">IF($G3122="","",IF(ISNA(MATCH($G3122,個別指定!$A:$A,0)),"行なし",""))</f>
        <v/>
      </c>
      <c r="N3122" s="2" t="str">
        <f aca="false">IF($G3122="","",IF(COUNTIF($G$2:$G$4460,$G3122)&gt;1,"重複",""))</f>
        <v/>
      </c>
    </row>
    <row r="3123" customFormat="false" ht="16.5" hidden="false" customHeight="true" outlineLevel="0" collapsed="false">
      <c r="A3123" s="2" t="s">
        <v>447</v>
      </c>
      <c r="B3123" s="2" t="s">
        <v>450</v>
      </c>
      <c r="C3123" s="2" t="s">
        <v>34</v>
      </c>
      <c r="D3123" s="2" t="str">
        <f aca="false">IF(4キー同時!$B$32="","",4キー同時!$B$32)</f>
        <v/>
      </c>
      <c r="E3123" s="2" t="str">
        <f aca="false">IF(4キー同時!$G$32="","",4キー同時!$G$32)</f>
        <v/>
      </c>
      <c r="F3123" s="2" t="str">
        <f aca="false">IF(4キー同時!$L$32="","",4キー同時!$L$32)</f>
        <v/>
      </c>
      <c r="G3123" s="2" t="str">
        <f aca="false">IF(OR(4キー同時!$B$32="",4キー同時!$G$32="",4キー同時!$L$32=""),"",IF(4キー同時!AW38="","",SUBSTITUTE(SUBSTITUTE(4キー同時!AW38," ",""),"　","")))</f>
        <v/>
      </c>
      <c r="H3123" s="2" t="str">
        <f aca="false">IF($G3123="","",4キー同時!$B$32)</f>
        <v/>
      </c>
      <c r="I3123" s="2" t="str">
        <f aca="false">IF($G3123="","",4キー同時!$G$32)</f>
        <v/>
      </c>
      <c r="J3123" s="2" t="str">
        <f aca="false">IF($G3123="","",4キー同時!$L$32)</f>
        <v/>
      </c>
      <c r="K3123" s="2" t="str">
        <f aca="false">IF($G3123="","","'")</f>
        <v/>
      </c>
      <c r="L3123" s="2" t="str">
        <f aca="false">IF($G3123="","","同時")</f>
        <v/>
      </c>
      <c r="M3123" s="2" t="str">
        <f aca="false">IF($G3123="","",IF(ISNA(MATCH($G3123,個別指定!$A:$A,0)),"行なし",""))</f>
        <v/>
      </c>
      <c r="N3123" s="2" t="str">
        <f aca="false">IF($G3123="","",IF(COUNTIF($G$2:$G$4460,$G3123)&gt;1,"重複",""))</f>
        <v/>
      </c>
    </row>
    <row r="3124" customFormat="false" ht="16.5" hidden="false" customHeight="true" outlineLevel="0" collapsed="false">
      <c r="A3124" s="2" t="s">
        <v>447</v>
      </c>
      <c r="B3124" s="2" t="s">
        <v>450</v>
      </c>
      <c r="C3124" s="2" t="s">
        <v>35</v>
      </c>
      <c r="D3124" s="2" t="str">
        <f aca="false">IF(4キー同時!$B$32="","",4キー同時!$B$32)</f>
        <v/>
      </c>
      <c r="E3124" s="2" t="str">
        <f aca="false">IF(4キー同時!$G$32="","",4キー同時!$G$32)</f>
        <v/>
      </c>
      <c r="F3124" s="2" t="str">
        <f aca="false">IF(4キー同時!$L$32="","",4キー同時!$L$32)</f>
        <v/>
      </c>
      <c r="G3124" s="2" t="str">
        <f aca="false">IF(OR(4キー同時!$B$32="",4キー同時!$G$32="",4キー同時!$L$32=""),"",IF(4キー同時!K40="","",SUBSTITUTE(SUBSTITUTE(4キー同時!K40," ",""),"　","")))</f>
        <v/>
      </c>
      <c r="H3124" s="2" t="str">
        <f aca="false">IF($G3124="","",4キー同時!$B$32)</f>
        <v/>
      </c>
      <c r="I3124" s="2" t="str">
        <f aca="false">IF($G3124="","",4キー同時!$G$32)</f>
        <v/>
      </c>
      <c r="J3124" s="2" t="str">
        <f aca="false">IF($G3124="","",4キー同時!$L$32)</f>
        <v/>
      </c>
      <c r="K3124" s="2" t="str">
        <f aca="false">IF($G3124="","","z")</f>
        <v/>
      </c>
      <c r="L3124" s="2" t="str">
        <f aca="false">IF($G3124="","","同時")</f>
        <v/>
      </c>
      <c r="M3124" s="2" t="str">
        <f aca="false">IF($G3124="","",IF(ISNA(MATCH($G3124,個別指定!$A:$A,0)),"行なし",""))</f>
        <v/>
      </c>
      <c r="N3124" s="2" t="str">
        <f aca="false">IF($G3124="","",IF(COUNTIF($G$2:$G$4460,$G3124)&gt;1,"重複",""))</f>
        <v/>
      </c>
    </row>
    <row r="3125" customFormat="false" ht="16.5" hidden="false" customHeight="true" outlineLevel="0" collapsed="false">
      <c r="A3125" s="2" t="s">
        <v>447</v>
      </c>
      <c r="B3125" s="2" t="s">
        <v>450</v>
      </c>
      <c r="C3125" s="2" t="s">
        <v>36</v>
      </c>
      <c r="D3125" s="2" t="str">
        <f aca="false">IF(4キー同時!$B$32="","",4キー同時!$B$32)</f>
        <v/>
      </c>
      <c r="E3125" s="2" t="str">
        <f aca="false">IF(4キー同時!$G$32="","",4キー同時!$G$32)</f>
        <v/>
      </c>
      <c r="F3125" s="2" t="str">
        <f aca="false">IF(4キー同時!$L$32="","",4キー同時!$L$32)</f>
        <v/>
      </c>
      <c r="G3125" s="2" t="str">
        <f aca="false">IF(OR(4キー同時!$B$32="",4キー同時!$G$32="",4キー同時!$L$32=""),"",IF(4キー同時!O40="","",SUBSTITUTE(SUBSTITUTE(4キー同時!O40," ",""),"　","")))</f>
        <v/>
      </c>
      <c r="H3125" s="2" t="str">
        <f aca="false">IF($G3125="","",4キー同時!$B$32)</f>
        <v/>
      </c>
      <c r="I3125" s="2" t="str">
        <f aca="false">IF($G3125="","",4キー同時!$G$32)</f>
        <v/>
      </c>
      <c r="J3125" s="2" t="str">
        <f aca="false">IF($G3125="","",4キー同時!$L$32)</f>
        <v/>
      </c>
      <c r="K3125" s="2" t="str">
        <f aca="false">IF($G3125="","","x")</f>
        <v/>
      </c>
      <c r="L3125" s="2" t="str">
        <f aca="false">IF($G3125="","","同時")</f>
        <v/>
      </c>
      <c r="M3125" s="2" t="str">
        <f aca="false">IF($G3125="","",IF(ISNA(MATCH($G3125,個別指定!$A:$A,0)),"行なし",""))</f>
        <v/>
      </c>
      <c r="N3125" s="2" t="str">
        <f aca="false">IF($G3125="","",IF(COUNTIF($G$2:$G$4460,$G3125)&gt;1,"重複",""))</f>
        <v/>
      </c>
    </row>
    <row r="3126" customFormat="false" ht="16.5" hidden="false" customHeight="true" outlineLevel="0" collapsed="false">
      <c r="A3126" s="2" t="s">
        <v>447</v>
      </c>
      <c r="B3126" s="2" t="s">
        <v>450</v>
      </c>
      <c r="C3126" s="2" t="s">
        <v>37</v>
      </c>
      <c r="D3126" s="2" t="str">
        <f aca="false">IF(4キー同時!$B$32="","",4キー同時!$B$32)</f>
        <v/>
      </c>
      <c r="E3126" s="2" t="str">
        <f aca="false">IF(4キー同時!$G$32="","",4キー同時!$G$32)</f>
        <v/>
      </c>
      <c r="F3126" s="2" t="str">
        <f aca="false">IF(4キー同時!$L$32="","",4キー同時!$L$32)</f>
        <v/>
      </c>
      <c r="G3126" s="2" t="str">
        <f aca="false">IF(OR(4キー同時!$B$32="",4キー同時!$G$32="",4キー同時!$L$32=""),"",IF(4キー同時!S40="","",SUBSTITUTE(SUBSTITUTE(4キー同時!S40," ",""),"　","")))</f>
        <v/>
      </c>
      <c r="H3126" s="2" t="str">
        <f aca="false">IF($G3126="","",4キー同時!$B$32)</f>
        <v/>
      </c>
      <c r="I3126" s="2" t="str">
        <f aca="false">IF($G3126="","",4キー同時!$G$32)</f>
        <v/>
      </c>
      <c r="J3126" s="2" t="str">
        <f aca="false">IF($G3126="","",4キー同時!$L$32)</f>
        <v/>
      </c>
      <c r="K3126" s="2" t="str">
        <f aca="false">IF($G3126="","","c")</f>
        <v/>
      </c>
      <c r="L3126" s="2" t="str">
        <f aca="false">IF($G3126="","","同時")</f>
        <v/>
      </c>
      <c r="M3126" s="2" t="str">
        <f aca="false">IF($G3126="","",IF(ISNA(MATCH($G3126,個別指定!$A:$A,0)),"行なし",""))</f>
        <v/>
      </c>
      <c r="N3126" s="2" t="str">
        <f aca="false">IF($G3126="","",IF(COUNTIF($G$2:$G$4460,$G3126)&gt;1,"重複",""))</f>
        <v/>
      </c>
    </row>
    <row r="3127" customFormat="false" ht="16.5" hidden="false" customHeight="true" outlineLevel="0" collapsed="false">
      <c r="A3127" s="2" t="s">
        <v>447</v>
      </c>
      <c r="B3127" s="2" t="s">
        <v>450</v>
      </c>
      <c r="C3127" s="2" t="s">
        <v>38</v>
      </c>
      <c r="D3127" s="2" t="str">
        <f aca="false">IF(4キー同時!$B$32="","",4キー同時!$B$32)</f>
        <v/>
      </c>
      <c r="E3127" s="2" t="str">
        <f aca="false">IF(4キー同時!$G$32="","",4キー同時!$G$32)</f>
        <v/>
      </c>
      <c r="F3127" s="2" t="str">
        <f aca="false">IF(4キー同時!$L$32="","",4キー同時!$L$32)</f>
        <v/>
      </c>
      <c r="G3127" s="2" t="str">
        <f aca="false">IF(OR(4キー同時!$B$32="",4キー同時!$G$32="",4キー同時!$L$32=""),"",IF(4キー同時!W40="","",SUBSTITUTE(SUBSTITUTE(4キー同時!W40," ",""),"　","")))</f>
        <v/>
      </c>
      <c r="H3127" s="2" t="str">
        <f aca="false">IF($G3127="","",4キー同時!$B$32)</f>
        <v/>
      </c>
      <c r="I3127" s="2" t="str">
        <f aca="false">IF($G3127="","",4キー同時!$G$32)</f>
        <v/>
      </c>
      <c r="J3127" s="2" t="str">
        <f aca="false">IF($G3127="","",4キー同時!$L$32)</f>
        <v/>
      </c>
      <c r="K3127" s="2" t="str">
        <f aca="false">IF($G3127="","","v")</f>
        <v/>
      </c>
      <c r="L3127" s="2" t="str">
        <f aca="false">IF($G3127="","","同時")</f>
        <v/>
      </c>
      <c r="M3127" s="2" t="str">
        <f aca="false">IF($G3127="","",IF(ISNA(MATCH($G3127,個別指定!$A:$A,0)),"行なし",""))</f>
        <v/>
      </c>
      <c r="N3127" s="2" t="str">
        <f aca="false">IF($G3127="","",IF(COUNTIF($G$2:$G$4460,$G3127)&gt;1,"重複",""))</f>
        <v/>
      </c>
    </row>
    <row r="3128" customFormat="false" ht="16.5" hidden="false" customHeight="true" outlineLevel="0" collapsed="false">
      <c r="A3128" s="2" t="s">
        <v>447</v>
      </c>
      <c r="B3128" s="2" t="s">
        <v>450</v>
      </c>
      <c r="C3128" s="2" t="s">
        <v>39</v>
      </c>
      <c r="D3128" s="2" t="str">
        <f aca="false">IF(4キー同時!$B$32="","",4キー同時!$B$32)</f>
        <v/>
      </c>
      <c r="E3128" s="2" t="str">
        <f aca="false">IF(4キー同時!$G$32="","",4キー同時!$G$32)</f>
        <v/>
      </c>
      <c r="F3128" s="2" t="str">
        <f aca="false">IF(4キー同時!$L$32="","",4キー同時!$L$32)</f>
        <v/>
      </c>
      <c r="G3128" s="2" t="str">
        <f aca="false">IF(OR(4キー同時!$B$32="",4キー同時!$G$32="",4キー同時!$L$32=""),"",IF(4キー同時!AA40="","",SUBSTITUTE(SUBSTITUTE(4キー同時!AA40," ",""),"　","")))</f>
        <v/>
      </c>
      <c r="H3128" s="2" t="str">
        <f aca="false">IF($G3128="","",4キー同時!$B$32)</f>
        <v/>
      </c>
      <c r="I3128" s="2" t="str">
        <f aca="false">IF($G3128="","",4キー同時!$G$32)</f>
        <v/>
      </c>
      <c r="J3128" s="2" t="str">
        <f aca="false">IF($G3128="","",4キー同時!$L$32)</f>
        <v/>
      </c>
      <c r="K3128" s="2" t="str">
        <f aca="false">IF($G3128="","","b")</f>
        <v/>
      </c>
      <c r="L3128" s="2" t="str">
        <f aca="false">IF($G3128="","","同時")</f>
        <v/>
      </c>
      <c r="M3128" s="2" t="str">
        <f aca="false">IF($G3128="","",IF(ISNA(MATCH($G3128,個別指定!$A:$A,0)),"行なし",""))</f>
        <v/>
      </c>
      <c r="N3128" s="2" t="str">
        <f aca="false">IF($G3128="","",IF(COUNTIF($G$2:$G$4460,$G3128)&gt;1,"重複",""))</f>
        <v/>
      </c>
    </row>
    <row r="3129" customFormat="false" ht="16.5" hidden="false" customHeight="true" outlineLevel="0" collapsed="false">
      <c r="A3129" s="2" t="s">
        <v>447</v>
      </c>
      <c r="B3129" s="2" t="s">
        <v>450</v>
      </c>
      <c r="C3129" s="2" t="s">
        <v>40</v>
      </c>
      <c r="D3129" s="2" t="str">
        <f aca="false">IF(4キー同時!$B$32="","",4キー同時!$B$32)</f>
        <v/>
      </c>
      <c r="E3129" s="2" t="str">
        <f aca="false">IF(4キー同時!$G$32="","",4キー同時!$G$32)</f>
        <v/>
      </c>
      <c r="F3129" s="2" t="str">
        <f aca="false">IF(4キー同時!$L$32="","",4キー同時!$L$32)</f>
        <v/>
      </c>
      <c r="G3129" s="2" t="str">
        <f aca="false">IF(OR(4キー同時!$B$32="",4キー同時!$G$32="",4キー同時!$L$32=""),"",IF(4キー同時!AE40="","",SUBSTITUTE(SUBSTITUTE(4キー同時!AE40," ",""),"　","")))</f>
        <v/>
      </c>
      <c r="H3129" s="2" t="str">
        <f aca="false">IF($G3129="","",4キー同時!$B$32)</f>
        <v/>
      </c>
      <c r="I3129" s="2" t="str">
        <f aca="false">IF($G3129="","",4キー同時!$G$32)</f>
        <v/>
      </c>
      <c r="J3129" s="2" t="str">
        <f aca="false">IF($G3129="","",4キー同時!$L$32)</f>
        <v/>
      </c>
      <c r="K3129" s="2" t="str">
        <f aca="false">IF($G3129="","","n")</f>
        <v/>
      </c>
      <c r="L3129" s="2" t="str">
        <f aca="false">IF($G3129="","","同時")</f>
        <v/>
      </c>
      <c r="M3129" s="2" t="str">
        <f aca="false">IF($G3129="","",IF(ISNA(MATCH($G3129,個別指定!$A:$A,0)),"行なし",""))</f>
        <v/>
      </c>
      <c r="N3129" s="2" t="str">
        <f aca="false">IF($G3129="","",IF(COUNTIF($G$2:$G$4460,$G3129)&gt;1,"重複",""))</f>
        <v/>
      </c>
    </row>
    <row r="3130" customFormat="false" ht="16.5" hidden="false" customHeight="true" outlineLevel="0" collapsed="false">
      <c r="A3130" s="2" t="s">
        <v>447</v>
      </c>
      <c r="B3130" s="2" t="s">
        <v>450</v>
      </c>
      <c r="C3130" s="2" t="s">
        <v>41</v>
      </c>
      <c r="D3130" s="2" t="str">
        <f aca="false">IF(4キー同時!$B$32="","",4キー同時!$B$32)</f>
        <v/>
      </c>
      <c r="E3130" s="2" t="str">
        <f aca="false">IF(4キー同時!$G$32="","",4キー同時!$G$32)</f>
        <v/>
      </c>
      <c r="F3130" s="2" t="str">
        <f aca="false">IF(4キー同時!$L$32="","",4キー同時!$L$32)</f>
        <v/>
      </c>
      <c r="G3130" s="2" t="str">
        <f aca="false">IF(OR(4キー同時!$B$32="",4キー同時!$G$32="",4キー同時!$L$32=""),"",IF(4キー同時!AI40="","",SUBSTITUTE(SUBSTITUTE(4キー同時!AI40," ",""),"　","")))</f>
        <v/>
      </c>
      <c r="H3130" s="2" t="str">
        <f aca="false">IF($G3130="","",4キー同時!$B$32)</f>
        <v/>
      </c>
      <c r="I3130" s="2" t="str">
        <f aca="false">IF($G3130="","",4キー同時!$G$32)</f>
        <v/>
      </c>
      <c r="J3130" s="2" t="str">
        <f aca="false">IF($G3130="","",4キー同時!$L$32)</f>
        <v/>
      </c>
      <c r="K3130" s="2" t="str">
        <f aca="false">IF($G3130="","","m")</f>
        <v/>
      </c>
      <c r="L3130" s="2" t="str">
        <f aca="false">IF($G3130="","","同時")</f>
        <v/>
      </c>
      <c r="M3130" s="2" t="str">
        <f aca="false">IF($G3130="","",IF(ISNA(MATCH($G3130,個別指定!$A:$A,0)),"行なし",""))</f>
        <v/>
      </c>
      <c r="N3130" s="2" t="str">
        <f aca="false">IF($G3130="","",IF(COUNTIF($G$2:$G$4460,$G3130)&gt;1,"重複",""))</f>
        <v/>
      </c>
    </row>
    <row r="3131" customFormat="false" ht="16.5" hidden="false" customHeight="true" outlineLevel="0" collapsed="false">
      <c r="A3131" s="2" t="s">
        <v>447</v>
      </c>
      <c r="B3131" s="2" t="s">
        <v>450</v>
      </c>
      <c r="C3131" s="2" t="s">
        <v>42</v>
      </c>
      <c r="D3131" s="2" t="str">
        <f aca="false">IF(4キー同時!$B$32="","",4キー同時!$B$32)</f>
        <v/>
      </c>
      <c r="E3131" s="2" t="str">
        <f aca="false">IF(4キー同時!$G$32="","",4キー同時!$G$32)</f>
        <v/>
      </c>
      <c r="F3131" s="2" t="str">
        <f aca="false">IF(4キー同時!$L$32="","",4キー同時!$L$32)</f>
        <v/>
      </c>
      <c r="G3131" s="2" t="str">
        <f aca="false">IF(OR(4キー同時!$B$32="",4キー同時!$G$32="",4キー同時!$L$32=""),"",IF(4キー同時!AM40="","",SUBSTITUTE(SUBSTITUTE(4キー同時!AM40," ",""),"　","")))</f>
        <v/>
      </c>
      <c r="H3131" s="2" t="str">
        <f aca="false">IF($G3131="","",4キー同時!$B$32)</f>
        <v/>
      </c>
      <c r="I3131" s="2" t="str">
        <f aca="false">IF($G3131="","",4キー同時!$G$32)</f>
        <v/>
      </c>
      <c r="J3131" s="2" t="str">
        <f aca="false">IF($G3131="","",4キー同時!$L$32)</f>
        <v/>
      </c>
      <c r="K3131" s="2" t="str">
        <f aca="false">IF($G3131="","",",")</f>
        <v/>
      </c>
      <c r="L3131" s="2" t="str">
        <f aca="false">IF($G3131="","","同時")</f>
        <v/>
      </c>
      <c r="M3131" s="2" t="str">
        <f aca="false">IF($G3131="","",IF(ISNA(MATCH($G3131,個別指定!$A:$A,0)),"行なし",""))</f>
        <v/>
      </c>
      <c r="N3131" s="2" t="str">
        <f aca="false">IF($G3131="","",IF(COUNTIF($G$2:$G$4460,$G3131)&gt;1,"重複",""))</f>
        <v/>
      </c>
    </row>
    <row r="3132" customFormat="false" ht="16.5" hidden="false" customHeight="true" outlineLevel="0" collapsed="false">
      <c r="A3132" s="2" t="s">
        <v>447</v>
      </c>
      <c r="B3132" s="2" t="s">
        <v>450</v>
      </c>
      <c r="C3132" s="2" t="s">
        <v>43</v>
      </c>
      <c r="D3132" s="2" t="str">
        <f aca="false">IF(4キー同時!$B$32="","",4キー同時!$B$32)</f>
        <v/>
      </c>
      <c r="E3132" s="2" t="str">
        <f aca="false">IF(4キー同時!$G$32="","",4キー同時!$G$32)</f>
        <v/>
      </c>
      <c r="F3132" s="2" t="str">
        <f aca="false">IF(4キー同時!$L$32="","",4キー同時!$L$32)</f>
        <v/>
      </c>
      <c r="G3132" s="2" t="str">
        <f aca="false">IF(OR(4キー同時!$B$32="",4キー同時!$G$32="",4キー同時!$L$32=""),"",IF(4キー同時!AQ40="","",SUBSTITUTE(SUBSTITUTE(4キー同時!AQ40," ",""),"　","")))</f>
        <v/>
      </c>
      <c r="H3132" s="2" t="str">
        <f aca="false">IF($G3132="","",4キー同時!$B$32)</f>
        <v/>
      </c>
      <c r="I3132" s="2" t="str">
        <f aca="false">IF($G3132="","",4キー同時!$G$32)</f>
        <v/>
      </c>
      <c r="J3132" s="2" t="str">
        <f aca="false">IF($G3132="","",4キー同時!$L$32)</f>
        <v/>
      </c>
      <c r="K3132" s="2" t="str">
        <f aca="false">IF($G3132="","",".")</f>
        <v/>
      </c>
      <c r="L3132" s="2" t="str">
        <f aca="false">IF($G3132="","","同時")</f>
        <v/>
      </c>
      <c r="M3132" s="2" t="str">
        <f aca="false">IF($G3132="","",IF(ISNA(MATCH($G3132,個別指定!$A:$A,0)),"行なし",""))</f>
        <v/>
      </c>
      <c r="N3132" s="2" t="str">
        <f aca="false">IF($G3132="","",IF(COUNTIF($G$2:$G$4460,$G3132)&gt;1,"重複",""))</f>
        <v/>
      </c>
    </row>
    <row r="3133" customFormat="false" ht="16.5" hidden="false" customHeight="true" outlineLevel="0" collapsed="false">
      <c r="A3133" s="2" t="s">
        <v>447</v>
      </c>
      <c r="B3133" s="2" t="s">
        <v>450</v>
      </c>
      <c r="C3133" s="2" t="s">
        <v>44</v>
      </c>
      <c r="D3133" s="2" t="str">
        <f aca="false">IF(4キー同時!$B$32="","",4キー同時!$B$32)</f>
        <v/>
      </c>
      <c r="E3133" s="2" t="str">
        <f aca="false">IF(4キー同時!$G$32="","",4キー同時!$G$32)</f>
        <v/>
      </c>
      <c r="F3133" s="2" t="str">
        <f aca="false">IF(4キー同時!$L$32="","",4キー同時!$L$32)</f>
        <v/>
      </c>
      <c r="G3133" s="2" t="str">
        <f aca="false">IF(OR(4キー同時!$B$32="",4キー同時!$G$32="",4キー同時!$L$32=""),"",IF(4キー同時!AU40="","",SUBSTITUTE(SUBSTITUTE(4キー同時!AU40," ",""),"　","")))</f>
        <v/>
      </c>
      <c r="H3133" s="2" t="str">
        <f aca="false">IF($G3133="","",4キー同時!$B$32)</f>
        <v/>
      </c>
      <c r="I3133" s="2" t="str">
        <f aca="false">IF($G3133="","",4キー同時!$G$32)</f>
        <v/>
      </c>
      <c r="J3133" s="2" t="str">
        <f aca="false">IF($G3133="","",4キー同時!$L$32)</f>
        <v/>
      </c>
      <c r="K3133" s="2" t="str">
        <f aca="false">IF($G3133="","","/")</f>
        <v/>
      </c>
      <c r="L3133" s="2" t="str">
        <f aca="false">IF($G3133="","","同時")</f>
        <v/>
      </c>
      <c r="M3133" s="2" t="str">
        <f aca="false">IF($G3133="","",IF(ISNA(MATCH($G3133,個別指定!$A:$A,0)),"行なし",""))</f>
        <v/>
      </c>
      <c r="N3133" s="2" t="str">
        <f aca="false">IF($G3133="","",IF(COUNTIF($G$2:$G$4460,$G3133)&gt;1,"重複",""))</f>
        <v/>
      </c>
    </row>
    <row r="3134" customFormat="false" ht="16.5" hidden="false" customHeight="true" outlineLevel="0" collapsed="false">
      <c r="A3134" s="2" t="s">
        <v>447</v>
      </c>
      <c r="B3134" s="2" t="s">
        <v>450</v>
      </c>
      <c r="C3134" s="2" t="s">
        <v>48</v>
      </c>
      <c r="D3134" s="2" t="str">
        <f aca="false">IF(4キー同時!$B$32="","",4キー同時!$B$32)</f>
        <v/>
      </c>
      <c r="E3134" s="2" t="str">
        <f aca="false">IF(4キー同時!$G$32="","",4キー同時!$G$32)</f>
        <v/>
      </c>
      <c r="F3134" s="2" t="str">
        <f aca="false">IF(4キー同時!$L$32="","",4キー同時!$L$32)</f>
        <v/>
      </c>
      <c r="G3134" s="2" t="str">
        <f aca="false">IF(OR(4キー同時!$B$32="",4キー同時!$G$32="",4キー同時!$L$32=""),"",IF(4キー同時!P42="","",SUBSTITUTE(SUBSTITUTE(4キー同時!P42," ",""),"　","")))</f>
        <v/>
      </c>
      <c r="H3134" s="2" t="str">
        <f aca="false">IF($G3134="","",4キー同時!$B$32)</f>
        <v/>
      </c>
      <c r="I3134" s="2" t="str">
        <f aca="false">IF($G3134="","",4キー同時!$G$32)</f>
        <v/>
      </c>
      <c r="J3134" s="2" t="str">
        <f aca="false">IF($G3134="","",4キー同時!$L$32)</f>
        <v/>
      </c>
      <c r="K3134" s="2" t="str">
        <f aca="false">IF($G3134="","","muhenkan")</f>
        <v/>
      </c>
      <c r="L3134" s="2" t="str">
        <f aca="false">IF($G3134="","","同時")</f>
        <v/>
      </c>
      <c r="M3134" s="2" t="str">
        <f aca="false">IF($G3134="","",IF(ISNA(MATCH($G3134,個別指定!$A:$A,0)),"行なし",""))</f>
        <v/>
      </c>
      <c r="N3134" s="2" t="str">
        <f aca="false">IF($G3134="","",IF(COUNTIF($G$2:$G$4460,$G3134)&gt;1,"重複",""))</f>
        <v/>
      </c>
    </row>
    <row r="3135" customFormat="false" ht="16.5" hidden="false" customHeight="true" outlineLevel="0" collapsed="false">
      <c r="A3135" s="2" t="s">
        <v>447</v>
      </c>
      <c r="B3135" s="2" t="s">
        <v>450</v>
      </c>
      <c r="C3135" s="2" t="s">
        <v>50</v>
      </c>
      <c r="D3135" s="2" t="str">
        <f aca="false">IF(4キー同時!$B$32="","",4キー同時!$B$32)</f>
        <v/>
      </c>
      <c r="E3135" s="2" t="str">
        <f aca="false">IF(4キー同時!$G$32="","",4キー同時!$G$32)</f>
        <v/>
      </c>
      <c r="F3135" s="2" t="str">
        <f aca="false">IF(4キー同時!$L$32="","",4キー同時!$L$32)</f>
        <v/>
      </c>
      <c r="G3135" s="2" t="str">
        <f aca="false">IF(OR(4キー同時!$B$32="",4キー同時!$G$32="",4キー同時!$L$32=""),"",IF(4キー同時!T42="","",SUBSTITUTE(SUBSTITUTE(4キー同時!T42," ",""),"　","")))</f>
        <v/>
      </c>
      <c r="H3135" s="2" t="str">
        <f aca="false">IF($G3135="","",4キー同時!$B$32)</f>
        <v/>
      </c>
      <c r="I3135" s="2" t="str">
        <f aca="false">IF($G3135="","",4キー同時!$G$32)</f>
        <v/>
      </c>
      <c r="J3135" s="2" t="str">
        <f aca="false">IF($G3135="","",4キー同時!$L$32)</f>
        <v/>
      </c>
      <c r="K3135" s="2" t="str">
        <f aca="false">IF($G3135="","","space")</f>
        <v/>
      </c>
      <c r="L3135" s="2" t="str">
        <f aca="false">IF($G3135="","","同時")</f>
        <v/>
      </c>
      <c r="M3135" s="2" t="str">
        <f aca="false">IF($G3135="","",IF(ISNA(MATCH($G3135,個別指定!$A:$A,0)),"行なし",""))</f>
        <v/>
      </c>
      <c r="N3135" s="2" t="str">
        <f aca="false">IF($G3135="","",IF(COUNTIF($G$2:$G$4460,$G3135)&gt;1,"重複",""))</f>
        <v/>
      </c>
    </row>
    <row r="3136" customFormat="false" ht="16.5" hidden="false" customHeight="true" outlineLevel="0" collapsed="false">
      <c r="A3136" s="2" t="s">
        <v>447</v>
      </c>
      <c r="B3136" s="2" t="s">
        <v>450</v>
      </c>
      <c r="C3136" s="2" t="s">
        <v>45</v>
      </c>
      <c r="D3136" s="2" t="str">
        <f aca="false">IF(4キー同時!$B$32="","",4キー同時!$B$32)</f>
        <v/>
      </c>
      <c r="E3136" s="2" t="str">
        <f aca="false">IF(4キー同時!$G$32="","",4キー同時!$G$32)</f>
        <v/>
      </c>
      <c r="F3136" s="2" t="str">
        <f aca="false">IF(4キー同時!$L$32="","",4キー同時!$L$32)</f>
        <v/>
      </c>
      <c r="G3136" s="2" t="str">
        <f aca="false">IF(OR(4キー同時!$B$32="",4キー同時!$G$32="",4キー同時!$L$32=""),"",IF(4キー同時!AL42="","",SUBSTITUTE(SUBSTITUTE(4キー同時!AL42," ",""),"　","")))</f>
        <v/>
      </c>
      <c r="H3136" s="2" t="str">
        <f aca="false">IF($G3136="","",4キー同時!$B$32)</f>
        <v/>
      </c>
      <c r="I3136" s="2" t="str">
        <f aca="false">IF($G3136="","",4キー同時!$G$32)</f>
        <v/>
      </c>
      <c r="J3136" s="2" t="str">
        <f aca="false">IF($G3136="","",4キー同時!$L$32)</f>
        <v/>
      </c>
      <c r="K3136" s="2" t="str">
        <f aca="false">IF($G3136="","","henkan")</f>
        <v/>
      </c>
      <c r="L3136" s="2" t="str">
        <f aca="false">IF($G3136="","","同時")</f>
        <v/>
      </c>
      <c r="M3136" s="2" t="str">
        <f aca="false">IF($G3136="","",IF(ISNA(MATCH($G3136,個別指定!$A:$A,0)),"行なし",""))</f>
        <v/>
      </c>
      <c r="N3136" s="2" t="str">
        <f aca="false">IF($G3136="","",IF(COUNTIF($G$2:$G$4460,$G3136)&gt;1,"重複",""))</f>
        <v/>
      </c>
    </row>
    <row r="3137" customFormat="false" ht="16.5" hidden="false" customHeight="true" outlineLevel="0" collapsed="false">
      <c r="A3137" s="2" t="s">
        <v>447</v>
      </c>
      <c r="B3137" s="2" t="s">
        <v>450</v>
      </c>
      <c r="C3137" s="2" t="s">
        <v>46</v>
      </c>
      <c r="D3137" s="2" t="str">
        <f aca="false">IF(4キー同時!$B$32="","",4キー同時!$B$32)</f>
        <v/>
      </c>
      <c r="E3137" s="2" t="str">
        <f aca="false">IF(4キー同時!$G$32="","",4キー同時!$G$32)</f>
        <v/>
      </c>
      <c r="F3137" s="2" t="str">
        <f aca="false">IF(4キー同時!$L$32="","",4キー同時!$L$32)</f>
        <v/>
      </c>
      <c r="G3137" s="2" t="str">
        <f aca="false">IF(OR(4キー同時!$B$32="",4キー同時!$G$32="",4キー同時!$L$32=""),"",IF(4キー同時!AP42="","",SUBSTITUTE(SUBSTITUTE(4キー同時!AP42," ",""),"　","")))</f>
        <v/>
      </c>
      <c r="H3137" s="2" t="str">
        <f aca="false">IF($G3137="","",4キー同時!$B$32)</f>
        <v/>
      </c>
      <c r="I3137" s="2" t="str">
        <f aca="false">IF($G3137="","",4キー同時!$G$32)</f>
        <v/>
      </c>
      <c r="J3137" s="2" t="str">
        <f aca="false">IF($G3137="","",4キー同時!$L$32)</f>
        <v/>
      </c>
      <c r="K3137" s="2" t="str">
        <f aca="false">IF($G3137="","","kana")</f>
        <v/>
      </c>
      <c r="L3137" s="2" t="str">
        <f aca="false">IF($G3137="","","同時")</f>
        <v/>
      </c>
      <c r="M3137" s="2" t="str">
        <f aca="false">IF($G3137="","",IF(ISNA(MATCH($G3137,個別指定!$A:$A,0)),"行なし",""))</f>
        <v/>
      </c>
      <c r="N3137" s="2" t="str">
        <f aca="false">IF($G3137="","",IF(COUNTIF($G$2:$G$4460,$G3137)&gt;1,"重複",""))</f>
        <v/>
      </c>
    </row>
    <row r="3138" customFormat="false" ht="16.5" hidden="false" customHeight="true" outlineLevel="0" collapsed="false">
      <c r="A3138" s="2" t="s">
        <v>447</v>
      </c>
      <c r="B3138" s="2" t="s">
        <v>451</v>
      </c>
      <c r="C3138" s="2" t="s">
        <v>0</v>
      </c>
      <c r="D3138" s="2" t="str">
        <f aca="false">IF(4キー同時!$B$45="","",4キー同時!$B$45)</f>
        <v/>
      </c>
      <c r="E3138" s="2" t="str">
        <f aca="false">IF(4キー同時!$G$45="","",4キー同時!$G$45)</f>
        <v/>
      </c>
      <c r="F3138" s="2" t="str">
        <f aca="false">IF(4キー同時!$L$45="","",4キー同時!$L$45)</f>
        <v/>
      </c>
      <c r="G3138" s="2" t="str">
        <f aca="false">IF(OR(4キー同時!$B$45="",4キー同時!$G$45="",4キー同時!$L$45=""),"",IF(4キー同時!F47="","",SUBSTITUTE(SUBSTITUTE(4キー同時!F47," ",""),"　","")))</f>
        <v/>
      </c>
      <c r="H3138" s="2" t="str">
        <f aca="false">IF($G3138="","",4キー同時!$B$45)</f>
        <v/>
      </c>
      <c r="I3138" s="2" t="str">
        <f aca="false">IF($G3138="","",4キー同時!$G$45)</f>
        <v/>
      </c>
      <c r="J3138" s="2" t="str">
        <f aca="false">IF($G3138="","",4キー同時!$L$45)</f>
        <v/>
      </c>
      <c r="K3138" s="2" t="str">
        <f aca="false">IF($G3138="","","1")</f>
        <v/>
      </c>
      <c r="L3138" s="2" t="str">
        <f aca="false">IF($G3138="","","同時")</f>
        <v/>
      </c>
      <c r="M3138" s="2" t="str">
        <f aca="false">IF($G3138="","",IF(ISNA(MATCH($G3138,個別指定!$A:$A,0)),"行なし",""))</f>
        <v/>
      </c>
      <c r="N3138" s="2" t="str">
        <f aca="false">IF($G3138="","",IF(COUNTIF($G$2:$G$4460,$G3138)&gt;1,"重複",""))</f>
        <v/>
      </c>
    </row>
    <row r="3139" customFormat="false" ht="16.5" hidden="false" customHeight="true" outlineLevel="0" collapsed="false">
      <c r="A3139" s="2" t="s">
        <v>447</v>
      </c>
      <c r="B3139" s="2" t="s">
        <v>451</v>
      </c>
      <c r="C3139" s="2" t="s">
        <v>1</v>
      </c>
      <c r="D3139" s="2" t="str">
        <f aca="false">IF(4キー同時!$B$45="","",4キー同時!$B$45)</f>
        <v/>
      </c>
      <c r="E3139" s="2" t="str">
        <f aca="false">IF(4キー同時!$G$45="","",4キー同時!$G$45)</f>
        <v/>
      </c>
      <c r="F3139" s="2" t="str">
        <f aca="false">IF(4キー同時!$L$45="","",4キー同時!$L$45)</f>
        <v/>
      </c>
      <c r="G3139" s="2" t="str">
        <f aca="false">IF(OR(4キー同時!$B$45="",4キー同時!$G$45="",4キー同時!$L$45=""),"",IF(4キー同時!J47="","",SUBSTITUTE(SUBSTITUTE(4キー同時!J47," ",""),"　","")))</f>
        <v/>
      </c>
      <c r="H3139" s="2" t="str">
        <f aca="false">IF($G3139="","",4キー同時!$B$45)</f>
        <v/>
      </c>
      <c r="I3139" s="2" t="str">
        <f aca="false">IF($G3139="","",4キー同時!$G$45)</f>
        <v/>
      </c>
      <c r="J3139" s="2" t="str">
        <f aca="false">IF($G3139="","",4キー同時!$L$45)</f>
        <v/>
      </c>
      <c r="K3139" s="2" t="str">
        <f aca="false">IF($G3139="","","2")</f>
        <v/>
      </c>
      <c r="L3139" s="2" t="str">
        <f aca="false">IF($G3139="","","同時")</f>
        <v/>
      </c>
      <c r="M3139" s="2" t="str">
        <f aca="false">IF($G3139="","",IF(ISNA(MATCH($G3139,個別指定!$A:$A,0)),"行なし",""))</f>
        <v/>
      </c>
      <c r="N3139" s="2" t="str">
        <f aca="false">IF($G3139="","",IF(COUNTIF($G$2:$G$4460,$G3139)&gt;1,"重複",""))</f>
        <v/>
      </c>
    </row>
    <row r="3140" customFormat="false" ht="16.5" hidden="false" customHeight="true" outlineLevel="0" collapsed="false">
      <c r="A3140" s="2" t="s">
        <v>447</v>
      </c>
      <c r="B3140" s="2" t="s">
        <v>451</v>
      </c>
      <c r="C3140" s="2" t="s">
        <v>2</v>
      </c>
      <c r="D3140" s="2" t="str">
        <f aca="false">IF(4キー同時!$B$45="","",4キー同時!$B$45)</f>
        <v/>
      </c>
      <c r="E3140" s="2" t="str">
        <f aca="false">IF(4キー同時!$G$45="","",4キー同時!$G$45)</f>
        <v/>
      </c>
      <c r="F3140" s="2" t="str">
        <f aca="false">IF(4キー同時!$L$45="","",4キー同時!$L$45)</f>
        <v/>
      </c>
      <c r="G3140" s="2" t="str">
        <f aca="false">IF(OR(4キー同時!$B$45="",4キー同時!$G$45="",4キー同時!$L$45=""),"",IF(4キー同時!N47="","",SUBSTITUTE(SUBSTITUTE(4キー同時!N47," ",""),"　","")))</f>
        <v/>
      </c>
      <c r="H3140" s="2" t="str">
        <f aca="false">IF($G3140="","",4キー同時!$B$45)</f>
        <v/>
      </c>
      <c r="I3140" s="2" t="str">
        <f aca="false">IF($G3140="","",4キー同時!$G$45)</f>
        <v/>
      </c>
      <c r="J3140" s="2" t="str">
        <f aca="false">IF($G3140="","",4キー同時!$L$45)</f>
        <v/>
      </c>
      <c r="K3140" s="2" t="str">
        <f aca="false">IF($G3140="","","3")</f>
        <v/>
      </c>
      <c r="L3140" s="2" t="str">
        <f aca="false">IF($G3140="","","同時")</f>
        <v/>
      </c>
      <c r="M3140" s="2" t="str">
        <f aca="false">IF($G3140="","",IF(ISNA(MATCH($G3140,個別指定!$A:$A,0)),"行なし",""))</f>
        <v/>
      </c>
      <c r="N3140" s="2" t="str">
        <f aca="false">IF($G3140="","",IF(COUNTIF($G$2:$G$4460,$G3140)&gt;1,"重複",""))</f>
        <v/>
      </c>
    </row>
    <row r="3141" customFormat="false" ht="16.5" hidden="false" customHeight="true" outlineLevel="0" collapsed="false">
      <c r="A3141" s="2" t="s">
        <v>447</v>
      </c>
      <c r="B3141" s="2" t="s">
        <v>451</v>
      </c>
      <c r="C3141" s="2" t="s">
        <v>3</v>
      </c>
      <c r="D3141" s="2" t="str">
        <f aca="false">IF(4キー同時!$B$45="","",4キー同時!$B$45)</f>
        <v/>
      </c>
      <c r="E3141" s="2" t="str">
        <f aca="false">IF(4キー同時!$G$45="","",4キー同時!$G$45)</f>
        <v/>
      </c>
      <c r="F3141" s="2" t="str">
        <f aca="false">IF(4キー同時!$L$45="","",4キー同時!$L$45)</f>
        <v/>
      </c>
      <c r="G3141" s="2" t="str">
        <f aca="false">IF(OR(4キー同時!$B$45="",4キー同時!$G$45="",4キー同時!$L$45=""),"",IF(4キー同時!R47="","",SUBSTITUTE(SUBSTITUTE(4キー同時!R47," ",""),"　","")))</f>
        <v/>
      </c>
      <c r="H3141" s="2" t="str">
        <f aca="false">IF($G3141="","",4キー同時!$B$45)</f>
        <v/>
      </c>
      <c r="I3141" s="2" t="str">
        <f aca="false">IF($G3141="","",4キー同時!$G$45)</f>
        <v/>
      </c>
      <c r="J3141" s="2" t="str">
        <f aca="false">IF($G3141="","",4キー同時!$L$45)</f>
        <v/>
      </c>
      <c r="K3141" s="2" t="str">
        <f aca="false">IF($G3141="","","4")</f>
        <v/>
      </c>
      <c r="L3141" s="2" t="str">
        <f aca="false">IF($G3141="","","同時")</f>
        <v/>
      </c>
      <c r="M3141" s="2" t="str">
        <f aca="false">IF($G3141="","",IF(ISNA(MATCH($G3141,個別指定!$A:$A,0)),"行なし",""))</f>
        <v/>
      </c>
      <c r="N3141" s="2" t="str">
        <f aca="false">IF($G3141="","",IF(COUNTIF($G$2:$G$4460,$G3141)&gt;1,"重複",""))</f>
        <v/>
      </c>
    </row>
    <row r="3142" customFormat="false" ht="16.5" hidden="false" customHeight="true" outlineLevel="0" collapsed="false">
      <c r="A3142" s="2" t="s">
        <v>447</v>
      </c>
      <c r="B3142" s="2" t="s">
        <v>451</v>
      </c>
      <c r="C3142" s="2" t="s">
        <v>4</v>
      </c>
      <c r="D3142" s="2" t="str">
        <f aca="false">IF(4キー同時!$B$45="","",4キー同時!$B$45)</f>
        <v/>
      </c>
      <c r="E3142" s="2" t="str">
        <f aca="false">IF(4キー同時!$G$45="","",4キー同時!$G$45)</f>
        <v/>
      </c>
      <c r="F3142" s="2" t="str">
        <f aca="false">IF(4キー同時!$L$45="","",4キー同時!$L$45)</f>
        <v/>
      </c>
      <c r="G3142" s="2" t="str">
        <f aca="false">IF(OR(4キー同時!$B$45="",4キー同時!$G$45="",4キー同時!$L$45=""),"",IF(4キー同時!V47="","",SUBSTITUTE(SUBSTITUTE(4キー同時!V47," ",""),"　","")))</f>
        <v/>
      </c>
      <c r="H3142" s="2" t="str">
        <f aca="false">IF($G3142="","",4キー同時!$B$45)</f>
        <v/>
      </c>
      <c r="I3142" s="2" t="str">
        <f aca="false">IF($G3142="","",4キー同時!$G$45)</f>
        <v/>
      </c>
      <c r="J3142" s="2" t="str">
        <f aca="false">IF($G3142="","",4キー同時!$L$45)</f>
        <v/>
      </c>
      <c r="K3142" s="2" t="str">
        <f aca="false">IF($G3142="","","5")</f>
        <v/>
      </c>
      <c r="L3142" s="2" t="str">
        <f aca="false">IF($G3142="","","同時")</f>
        <v/>
      </c>
      <c r="M3142" s="2" t="str">
        <f aca="false">IF($G3142="","",IF(ISNA(MATCH($G3142,個別指定!$A:$A,0)),"行なし",""))</f>
        <v/>
      </c>
      <c r="N3142" s="2" t="str">
        <f aca="false">IF($G3142="","",IF(COUNTIF($G$2:$G$4460,$G3142)&gt;1,"重複",""))</f>
        <v/>
      </c>
    </row>
    <row r="3143" customFormat="false" ht="16.5" hidden="false" customHeight="true" outlineLevel="0" collapsed="false">
      <c r="A3143" s="2" t="s">
        <v>447</v>
      </c>
      <c r="B3143" s="2" t="s">
        <v>451</v>
      </c>
      <c r="C3143" s="2" t="s">
        <v>5</v>
      </c>
      <c r="D3143" s="2" t="str">
        <f aca="false">IF(4キー同時!$B$45="","",4キー同時!$B$45)</f>
        <v/>
      </c>
      <c r="E3143" s="2" t="str">
        <f aca="false">IF(4キー同時!$G$45="","",4キー同時!$G$45)</f>
        <v/>
      </c>
      <c r="F3143" s="2" t="str">
        <f aca="false">IF(4キー同時!$L$45="","",4キー同時!$L$45)</f>
        <v/>
      </c>
      <c r="G3143" s="2" t="str">
        <f aca="false">IF(OR(4キー同時!$B$45="",4キー同時!$G$45="",4キー同時!$L$45=""),"",IF(4キー同時!Z47="","",SUBSTITUTE(SUBSTITUTE(4キー同時!Z47," ",""),"　","")))</f>
        <v/>
      </c>
      <c r="H3143" s="2" t="str">
        <f aca="false">IF($G3143="","",4キー同時!$B$45)</f>
        <v/>
      </c>
      <c r="I3143" s="2" t="str">
        <f aca="false">IF($G3143="","",4キー同時!$G$45)</f>
        <v/>
      </c>
      <c r="J3143" s="2" t="str">
        <f aca="false">IF($G3143="","",4キー同時!$L$45)</f>
        <v/>
      </c>
      <c r="K3143" s="2" t="str">
        <f aca="false">IF($G3143="","","6")</f>
        <v/>
      </c>
      <c r="L3143" s="2" t="str">
        <f aca="false">IF($G3143="","","同時")</f>
        <v/>
      </c>
      <c r="M3143" s="2" t="str">
        <f aca="false">IF($G3143="","",IF(ISNA(MATCH($G3143,個別指定!$A:$A,0)),"行なし",""))</f>
        <v/>
      </c>
      <c r="N3143" s="2" t="str">
        <f aca="false">IF($G3143="","",IF(COUNTIF($G$2:$G$4460,$G3143)&gt;1,"重複",""))</f>
        <v/>
      </c>
    </row>
    <row r="3144" customFormat="false" ht="16.5" hidden="false" customHeight="true" outlineLevel="0" collapsed="false">
      <c r="A3144" s="2" t="s">
        <v>447</v>
      </c>
      <c r="B3144" s="2" t="s">
        <v>451</v>
      </c>
      <c r="C3144" s="2" t="s">
        <v>6</v>
      </c>
      <c r="D3144" s="2" t="str">
        <f aca="false">IF(4キー同時!$B$45="","",4キー同時!$B$45)</f>
        <v/>
      </c>
      <c r="E3144" s="2" t="str">
        <f aca="false">IF(4キー同時!$G$45="","",4キー同時!$G$45)</f>
        <v/>
      </c>
      <c r="F3144" s="2" t="str">
        <f aca="false">IF(4キー同時!$L$45="","",4キー同時!$L$45)</f>
        <v/>
      </c>
      <c r="G3144" s="2" t="str">
        <f aca="false">IF(OR(4キー同時!$B$45="",4キー同時!$G$45="",4キー同時!$L$45=""),"",IF(4キー同時!AD47="","",SUBSTITUTE(SUBSTITUTE(4キー同時!AD47," ",""),"　","")))</f>
        <v/>
      </c>
      <c r="H3144" s="2" t="str">
        <f aca="false">IF($G3144="","",4キー同時!$B$45)</f>
        <v/>
      </c>
      <c r="I3144" s="2" t="str">
        <f aca="false">IF($G3144="","",4キー同時!$G$45)</f>
        <v/>
      </c>
      <c r="J3144" s="2" t="str">
        <f aca="false">IF($G3144="","",4キー同時!$L$45)</f>
        <v/>
      </c>
      <c r="K3144" s="2" t="str">
        <f aca="false">IF($G3144="","","7")</f>
        <v/>
      </c>
      <c r="L3144" s="2" t="str">
        <f aca="false">IF($G3144="","","同時")</f>
        <v/>
      </c>
      <c r="M3144" s="2" t="str">
        <f aca="false">IF($G3144="","",IF(ISNA(MATCH($G3144,個別指定!$A:$A,0)),"行なし",""))</f>
        <v/>
      </c>
      <c r="N3144" s="2" t="str">
        <f aca="false">IF($G3144="","",IF(COUNTIF($G$2:$G$4460,$G3144)&gt;1,"重複",""))</f>
        <v/>
      </c>
    </row>
    <row r="3145" customFormat="false" ht="16.5" hidden="false" customHeight="true" outlineLevel="0" collapsed="false">
      <c r="A3145" s="2" t="s">
        <v>447</v>
      </c>
      <c r="B3145" s="2" t="s">
        <v>451</v>
      </c>
      <c r="C3145" s="2" t="s">
        <v>7</v>
      </c>
      <c r="D3145" s="2" t="str">
        <f aca="false">IF(4キー同時!$B$45="","",4キー同時!$B$45)</f>
        <v/>
      </c>
      <c r="E3145" s="2" t="str">
        <f aca="false">IF(4キー同時!$G$45="","",4キー同時!$G$45)</f>
        <v/>
      </c>
      <c r="F3145" s="2" t="str">
        <f aca="false">IF(4キー同時!$L$45="","",4キー同時!$L$45)</f>
        <v/>
      </c>
      <c r="G3145" s="2" t="str">
        <f aca="false">IF(OR(4キー同時!$B$45="",4キー同時!$G$45="",4キー同時!$L$45=""),"",IF(4キー同時!AH47="","",SUBSTITUTE(SUBSTITUTE(4キー同時!AH47," ",""),"　","")))</f>
        <v/>
      </c>
      <c r="H3145" s="2" t="str">
        <f aca="false">IF($G3145="","",4キー同時!$B$45)</f>
        <v/>
      </c>
      <c r="I3145" s="2" t="str">
        <f aca="false">IF($G3145="","",4キー同時!$G$45)</f>
        <v/>
      </c>
      <c r="J3145" s="2" t="str">
        <f aca="false">IF($G3145="","",4キー同時!$L$45)</f>
        <v/>
      </c>
      <c r="K3145" s="2" t="str">
        <f aca="false">IF($G3145="","","8")</f>
        <v/>
      </c>
      <c r="L3145" s="2" t="str">
        <f aca="false">IF($G3145="","","同時")</f>
        <v/>
      </c>
      <c r="M3145" s="2" t="str">
        <f aca="false">IF($G3145="","",IF(ISNA(MATCH($G3145,個別指定!$A:$A,0)),"行なし",""))</f>
        <v/>
      </c>
      <c r="N3145" s="2" t="str">
        <f aca="false">IF($G3145="","",IF(COUNTIF($G$2:$G$4460,$G3145)&gt;1,"重複",""))</f>
        <v/>
      </c>
    </row>
    <row r="3146" customFormat="false" ht="16.5" hidden="false" customHeight="true" outlineLevel="0" collapsed="false">
      <c r="A3146" s="2" t="s">
        <v>447</v>
      </c>
      <c r="B3146" s="2" t="s">
        <v>451</v>
      </c>
      <c r="C3146" s="2" t="s">
        <v>8</v>
      </c>
      <c r="D3146" s="2" t="str">
        <f aca="false">IF(4キー同時!$B$45="","",4キー同時!$B$45)</f>
        <v/>
      </c>
      <c r="E3146" s="2" t="str">
        <f aca="false">IF(4キー同時!$G$45="","",4キー同時!$G$45)</f>
        <v/>
      </c>
      <c r="F3146" s="2" t="str">
        <f aca="false">IF(4キー同時!$L$45="","",4キー同時!$L$45)</f>
        <v/>
      </c>
      <c r="G3146" s="2" t="str">
        <f aca="false">IF(OR(4キー同時!$B$45="",4キー同時!$G$45="",4キー同時!$L$45=""),"",IF(4キー同時!AL47="","",SUBSTITUTE(SUBSTITUTE(4キー同時!AL47," ",""),"　","")))</f>
        <v/>
      </c>
      <c r="H3146" s="2" t="str">
        <f aca="false">IF($G3146="","",4キー同時!$B$45)</f>
        <v/>
      </c>
      <c r="I3146" s="2" t="str">
        <f aca="false">IF($G3146="","",4キー同時!$G$45)</f>
        <v/>
      </c>
      <c r="J3146" s="2" t="str">
        <f aca="false">IF($G3146="","",4キー同時!$L$45)</f>
        <v/>
      </c>
      <c r="K3146" s="2" t="str">
        <f aca="false">IF($G3146="","","9")</f>
        <v/>
      </c>
      <c r="L3146" s="2" t="str">
        <f aca="false">IF($G3146="","","同時")</f>
        <v/>
      </c>
      <c r="M3146" s="2" t="str">
        <f aca="false">IF($G3146="","",IF(ISNA(MATCH($G3146,個別指定!$A:$A,0)),"行なし",""))</f>
        <v/>
      </c>
      <c r="N3146" s="2" t="str">
        <f aca="false">IF($G3146="","",IF(COUNTIF($G$2:$G$4460,$G3146)&gt;1,"重複",""))</f>
        <v/>
      </c>
    </row>
    <row r="3147" customFormat="false" ht="16.5" hidden="false" customHeight="true" outlineLevel="0" collapsed="false">
      <c r="A3147" s="2" t="s">
        <v>447</v>
      </c>
      <c r="B3147" s="2" t="s">
        <v>451</v>
      </c>
      <c r="C3147" s="2" t="s">
        <v>9</v>
      </c>
      <c r="D3147" s="2" t="str">
        <f aca="false">IF(4キー同時!$B$45="","",4キー同時!$B$45)</f>
        <v/>
      </c>
      <c r="E3147" s="2" t="str">
        <f aca="false">IF(4キー同時!$G$45="","",4キー同時!$G$45)</f>
        <v/>
      </c>
      <c r="F3147" s="2" t="str">
        <f aca="false">IF(4キー同時!$L$45="","",4キー同時!$L$45)</f>
        <v/>
      </c>
      <c r="G3147" s="2" t="str">
        <f aca="false">IF(OR(4キー同時!$B$45="",4キー同時!$G$45="",4キー同時!$L$45=""),"",IF(4キー同時!AP47="","",SUBSTITUTE(SUBSTITUTE(4キー同時!AP47," ",""),"　","")))</f>
        <v/>
      </c>
      <c r="H3147" s="2" t="str">
        <f aca="false">IF($G3147="","",4キー同時!$B$45)</f>
        <v/>
      </c>
      <c r="I3147" s="2" t="str">
        <f aca="false">IF($G3147="","",4キー同時!$G$45)</f>
        <v/>
      </c>
      <c r="J3147" s="2" t="str">
        <f aca="false">IF($G3147="","",4キー同時!$L$45)</f>
        <v/>
      </c>
      <c r="K3147" s="2" t="str">
        <f aca="false">IF($G3147="","","0")</f>
        <v/>
      </c>
      <c r="L3147" s="2" t="str">
        <f aca="false">IF($G3147="","","同時")</f>
        <v/>
      </c>
      <c r="M3147" s="2" t="str">
        <f aca="false">IF($G3147="","",IF(ISNA(MATCH($G3147,個別指定!$A:$A,0)),"行なし",""))</f>
        <v/>
      </c>
      <c r="N3147" s="2" t="str">
        <f aca="false">IF($G3147="","",IF(COUNTIF($G$2:$G$4460,$G3147)&gt;1,"重複",""))</f>
        <v/>
      </c>
    </row>
    <row r="3148" customFormat="false" ht="16.5" hidden="false" customHeight="true" outlineLevel="0" collapsed="false">
      <c r="A3148" s="2" t="s">
        <v>447</v>
      </c>
      <c r="B3148" s="2" t="s">
        <v>451</v>
      </c>
      <c r="C3148" s="2" t="s">
        <v>10</v>
      </c>
      <c r="D3148" s="2" t="str">
        <f aca="false">IF(4キー同時!$B$45="","",4キー同時!$B$45)</f>
        <v/>
      </c>
      <c r="E3148" s="2" t="str">
        <f aca="false">IF(4キー同時!$G$45="","",4キー同時!$G$45)</f>
        <v/>
      </c>
      <c r="F3148" s="2" t="str">
        <f aca="false">IF(4キー同時!$L$45="","",4キー同時!$L$45)</f>
        <v/>
      </c>
      <c r="G3148" s="2" t="str">
        <f aca="false">IF(OR(4キー同時!$B$45="",4キー同時!$G$45="",4キー同時!$L$45=""),"",IF(4キー同時!AT47="","",SUBSTITUTE(SUBSTITUTE(4キー同時!AT47," ",""),"　","")))</f>
        <v/>
      </c>
      <c r="H3148" s="2" t="str">
        <f aca="false">IF($G3148="","",4キー同時!$B$45)</f>
        <v/>
      </c>
      <c r="I3148" s="2" t="str">
        <f aca="false">IF($G3148="","",4キー同時!$G$45)</f>
        <v/>
      </c>
      <c r="J3148" s="2" t="str">
        <f aca="false">IF($G3148="","",4キー同時!$L$45)</f>
        <v/>
      </c>
      <c r="K3148" s="2" t="str">
        <f aca="false">IF($G3148="","","-")</f>
        <v/>
      </c>
      <c r="L3148" s="2" t="str">
        <f aca="false">IF($G3148="","","同時")</f>
        <v/>
      </c>
      <c r="M3148" s="2" t="str">
        <f aca="false">IF($G3148="","",IF(ISNA(MATCH($G3148,個別指定!$A:$A,0)),"行なし",""))</f>
        <v/>
      </c>
      <c r="N3148" s="2" t="str">
        <f aca="false">IF($G3148="","",IF(COUNTIF($G$2:$G$4460,$G3148)&gt;1,"重複",""))</f>
        <v/>
      </c>
    </row>
    <row r="3149" customFormat="false" ht="16.5" hidden="false" customHeight="true" outlineLevel="0" collapsed="false">
      <c r="A3149" s="2" t="s">
        <v>447</v>
      </c>
      <c r="B3149" s="2" t="s">
        <v>451</v>
      </c>
      <c r="C3149" s="2" t="s">
        <v>11</v>
      </c>
      <c r="D3149" s="2" t="str">
        <f aca="false">IF(4キー同時!$B$45="","",4キー同時!$B$45)</f>
        <v/>
      </c>
      <c r="E3149" s="2" t="str">
        <f aca="false">IF(4キー同時!$G$45="","",4キー同時!$G$45)</f>
        <v/>
      </c>
      <c r="F3149" s="2" t="str">
        <f aca="false">IF(4キー同時!$L$45="","",4キー同時!$L$45)</f>
        <v/>
      </c>
      <c r="G3149" s="2" t="str">
        <f aca="false">IF(OR(4キー同時!$B$45="",4キー同時!$G$45="",4キー同時!$L$45=""),"",IF(4キー同時!AX47="","",SUBSTITUTE(SUBSTITUTE(4キー同時!AX47," ",""),"　","")))</f>
        <v/>
      </c>
      <c r="H3149" s="2" t="str">
        <f aca="false">IF($G3149="","",4キー同時!$B$45)</f>
        <v/>
      </c>
      <c r="I3149" s="2" t="str">
        <f aca="false">IF($G3149="","",4キー同時!$G$45)</f>
        <v/>
      </c>
      <c r="J3149" s="2" t="str">
        <f aca="false">IF($G3149="","",4キー同時!$L$45)</f>
        <v/>
      </c>
      <c r="K3149" s="2" t="str">
        <f aca="false">IF($G3149="","","=")</f>
        <v/>
      </c>
      <c r="L3149" s="2" t="str">
        <f aca="false">IF($G3149="","","同時")</f>
        <v/>
      </c>
      <c r="M3149" s="2" t="str">
        <f aca="false">IF($G3149="","",IF(ISNA(MATCH($G3149,個別指定!$A:$A,0)),"行なし",""))</f>
        <v/>
      </c>
      <c r="N3149" s="2" t="str">
        <f aca="false">IF($G3149="","",IF(COUNTIF($G$2:$G$4460,$G3149)&gt;1,"重複",""))</f>
        <v/>
      </c>
    </row>
    <row r="3150" customFormat="false" ht="16.5" hidden="false" customHeight="true" outlineLevel="0" collapsed="false">
      <c r="A3150" s="2" t="s">
        <v>447</v>
      </c>
      <c r="B3150" s="2" t="s">
        <v>451</v>
      </c>
      <c r="C3150" s="2" t="s">
        <v>12</v>
      </c>
      <c r="D3150" s="2" t="str">
        <f aca="false">IF(4キー同時!$B$45="","",4キー同時!$B$45)</f>
        <v/>
      </c>
      <c r="E3150" s="2" t="str">
        <f aca="false">IF(4キー同時!$G$45="","",4キー同時!$G$45)</f>
        <v/>
      </c>
      <c r="F3150" s="2" t="str">
        <f aca="false">IF(4キー同時!$L$45="","",4キー同時!$L$45)</f>
        <v/>
      </c>
      <c r="G3150" s="2" t="str">
        <f aca="false">IF(OR(4キー同時!$B$45="",4キー同時!$G$45="",4キー同時!$L$45=""),"",IF(4キー同時!H49="","",SUBSTITUTE(SUBSTITUTE(4キー同時!H49," ",""),"　","")))</f>
        <v/>
      </c>
      <c r="H3150" s="2" t="str">
        <f aca="false">IF($G3150="","",4キー同時!$B$45)</f>
        <v/>
      </c>
      <c r="I3150" s="2" t="str">
        <f aca="false">IF($G3150="","",4キー同時!$G$45)</f>
        <v/>
      </c>
      <c r="J3150" s="2" t="str">
        <f aca="false">IF($G3150="","",4キー同時!$L$45)</f>
        <v/>
      </c>
      <c r="K3150" s="2" t="str">
        <f aca="false">IF($G3150="","","q")</f>
        <v/>
      </c>
      <c r="L3150" s="2" t="str">
        <f aca="false">IF($G3150="","","同時")</f>
        <v/>
      </c>
      <c r="M3150" s="2" t="str">
        <f aca="false">IF($G3150="","",IF(ISNA(MATCH($G3150,個別指定!$A:$A,0)),"行なし",""))</f>
        <v/>
      </c>
      <c r="N3150" s="2" t="str">
        <f aca="false">IF($G3150="","",IF(COUNTIF($G$2:$G$4460,$G3150)&gt;1,"重複",""))</f>
        <v/>
      </c>
    </row>
    <row r="3151" customFormat="false" ht="16.5" hidden="false" customHeight="true" outlineLevel="0" collapsed="false">
      <c r="A3151" s="2" t="s">
        <v>447</v>
      </c>
      <c r="B3151" s="2" t="s">
        <v>451</v>
      </c>
      <c r="C3151" s="2" t="s">
        <v>13</v>
      </c>
      <c r="D3151" s="2" t="str">
        <f aca="false">IF(4キー同時!$B$45="","",4キー同時!$B$45)</f>
        <v/>
      </c>
      <c r="E3151" s="2" t="str">
        <f aca="false">IF(4キー同時!$G$45="","",4キー同時!$G$45)</f>
        <v/>
      </c>
      <c r="F3151" s="2" t="str">
        <f aca="false">IF(4キー同時!$L$45="","",4キー同時!$L$45)</f>
        <v/>
      </c>
      <c r="G3151" s="2" t="str">
        <f aca="false">IF(OR(4キー同時!$B$45="",4キー同時!$G$45="",4キー同時!$L$45=""),"",IF(4キー同時!L49="","",SUBSTITUTE(SUBSTITUTE(4キー同時!L49," ",""),"　","")))</f>
        <v/>
      </c>
      <c r="H3151" s="2" t="str">
        <f aca="false">IF($G3151="","",4キー同時!$B$45)</f>
        <v/>
      </c>
      <c r="I3151" s="2" t="str">
        <f aca="false">IF($G3151="","",4キー同時!$G$45)</f>
        <v/>
      </c>
      <c r="J3151" s="2" t="str">
        <f aca="false">IF($G3151="","",4キー同時!$L$45)</f>
        <v/>
      </c>
      <c r="K3151" s="2" t="str">
        <f aca="false">IF($G3151="","","w")</f>
        <v/>
      </c>
      <c r="L3151" s="2" t="str">
        <f aca="false">IF($G3151="","","同時")</f>
        <v/>
      </c>
      <c r="M3151" s="2" t="str">
        <f aca="false">IF($G3151="","",IF(ISNA(MATCH($G3151,個別指定!$A:$A,0)),"行なし",""))</f>
        <v/>
      </c>
      <c r="N3151" s="2" t="str">
        <f aca="false">IF($G3151="","",IF(COUNTIF($G$2:$G$4460,$G3151)&gt;1,"重複",""))</f>
        <v/>
      </c>
    </row>
    <row r="3152" customFormat="false" ht="16.5" hidden="false" customHeight="true" outlineLevel="0" collapsed="false">
      <c r="A3152" s="2" t="s">
        <v>447</v>
      </c>
      <c r="B3152" s="2" t="s">
        <v>451</v>
      </c>
      <c r="C3152" s="2" t="s">
        <v>14</v>
      </c>
      <c r="D3152" s="2" t="str">
        <f aca="false">IF(4キー同時!$B$45="","",4キー同時!$B$45)</f>
        <v/>
      </c>
      <c r="E3152" s="2" t="str">
        <f aca="false">IF(4キー同時!$G$45="","",4キー同時!$G$45)</f>
        <v/>
      </c>
      <c r="F3152" s="2" t="str">
        <f aca="false">IF(4キー同時!$L$45="","",4キー同時!$L$45)</f>
        <v/>
      </c>
      <c r="G3152" s="2" t="str">
        <f aca="false">IF(OR(4キー同時!$B$45="",4キー同時!$G$45="",4キー同時!$L$45=""),"",IF(4キー同時!P49="","",SUBSTITUTE(SUBSTITUTE(4キー同時!P49," ",""),"　","")))</f>
        <v/>
      </c>
      <c r="H3152" s="2" t="str">
        <f aca="false">IF($G3152="","",4キー同時!$B$45)</f>
        <v/>
      </c>
      <c r="I3152" s="2" t="str">
        <f aca="false">IF($G3152="","",4キー同時!$G$45)</f>
        <v/>
      </c>
      <c r="J3152" s="2" t="str">
        <f aca="false">IF($G3152="","",4キー同時!$L$45)</f>
        <v/>
      </c>
      <c r="K3152" s="2" t="str">
        <f aca="false">IF($G3152="","","e")</f>
        <v/>
      </c>
      <c r="L3152" s="2" t="str">
        <f aca="false">IF($G3152="","","同時")</f>
        <v/>
      </c>
      <c r="M3152" s="2" t="str">
        <f aca="false">IF($G3152="","",IF(ISNA(MATCH($G3152,個別指定!$A:$A,0)),"行なし",""))</f>
        <v/>
      </c>
      <c r="N3152" s="2" t="str">
        <f aca="false">IF($G3152="","",IF(COUNTIF($G$2:$G$4460,$G3152)&gt;1,"重複",""))</f>
        <v/>
      </c>
    </row>
    <row r="3153" customFormat="false" ht="16.5" hidden="false" customHeight="true" outlineLevel="0" collapsed="false">
      <c r="A3153" s="2" t="s">
        <v>447</v>
      </c>
      <c r="B3153" s="2" t="s">
        <v>451</v>
      </c>
      <c r="C3153" s="2" t="s">
        <v>15</v>
      </c>
      <c r="D3153" s="2" t="str">
        <f aca="false">IF(4キー同時!$B$45="","",4キー同時!$B$45)</f>
        <v/>
      </c>
      <c r="E3153" s="2" t="str">
        <f aca="false">IF(4キー同時!$G$45="","",4キー同時!$G$45)</f>
        <v/>
      </c>
      <c r="F3153" s="2" t="str">
        <f aca="false">IF(4キー同時!$L$45="","",4キー同時!$L$45)</f>
        <v/>
      </c>
      <c r="G3153" s="2" t="str">
        <f aca="false">IF(OR(4キー同時!$B$45="",4キー同時!$G$45="",4キー同時!$L$45=""),"",IF(4キー同時!T49="","",SUBSTITUTE(SUBSTITUTE(4キー同時!T49," ",""),"　","")))</f>
        <v/>
      </c>
      <c r="H3153" s="2" t="str">
        <f aca="false">IF($G3153="","",4キー同時!$B$45)</f>
        <v/>
      </c>
      <c r="I3153" s="2" t="str">
        <f aca="false">IF($G3153="","",4キー同時!$G$45)</f>
        <v/>
      </c>
      <c r="J3153" s="2" t="str">
        <f aca="false">IF($G3153="","",4キー同時!$L$45)</f>
        <v/>
      </c>
      <c r="K3153" s="2" t="str">
        <f aca="false">IF($G3153="","","r")</f>
        <v/>
      </c>
      <c r="L3153" s="2" t="str">
        <f aca="false">IF($G3153="","","同時")</f>
        <v/>
      </c>
      <c r="M3153" s="2" t="str">
        <f aca="false">IF($G3153="","",IF(ISNA(MATCH($G3153,個別指定!$A:$A,0)),"行なし",""))</f>
        <v/>
      </c>
      <c r="N3153" s="2" t="str">
        <f aca="false">IF($G3153="","",IF(COUNTIF($G$2:$G$4460,$G3153)&gt;1,"重複",""))</f>
        <v/>
      </c>
    </row>
    <row r="3154" customFormat="false" ht="16.5" hidden="false" customHeight="true" outlineLevel="0" collapsed="false">
      <c r="A3154" s="2" t="s">
        <v>447</v>
      </c>
      <c r="B3154" s="2" t="s">
        <v>451</v>
      </c>
      <c r="C3154" s="2" t="s">
        <v>16</v>
      </c>
      <c r="D3154" s="2" t="str">
        <f aca="false">IF(4キー同時!$B$45="","",4キー同時!$B$45)</f>
        <v/>
      </c>
      <c r="E3154" s="2" t="str">
        <f aca="false">IF(4キー同時!$G$45="","",4キー同時!$G$45)</f>
        <v/>
      </c>
      <c r="F3154" s="2" t="str">
        <f aca="false">IF(4キー同時!$L$45="","",4キー同時!$L$45)</f>
        <v/>
      </c>
      <c r="G3154" s="2" t="str">
        <f aca="false">IF(OR(4キー同時!$B$45="",4キー同時!$G$45="",4キー同時!$L$45=""),"",IF(4キー同時!X49="","",SUBSTITUTE(SUBSTITUTE(4キー同時!X49," ",""),"　","")))</f>
        <v/>
      </c>
      <c r="H3154" s="2" t="str">
        <f aca="false">IF($G3154="","",4キー同時!$B$45)</f>
        <v/>
      </c>
      <c r="I3154" s="2" t="str">
        <f aca="false">IF($G3154="","",4キー同時!$G$45)</f>
        <v/>
      </c>
      <c r="J3154" s="2" t="str">
        <f aca="false">IF($G3154="","",4キー同時!$L$45)</f>
        <v/>
      </c>
      <c r="K3154" s="2" t="str">
        <f aca="false">IF($G3154="","","t")</f>
        <v/>
      </c>
      <c r="L3154" s="2" t="str">
        <f aca="false">IF($G3154="","","同時")</f>
        <v/>
      </c>
      <c r="M3154" s="2" t="str">
        <f aca="false">IF($G3154="","",IF(ISNA(MATCH($G3154,個別指定!$A:$A,0)),"行なし",""))</f>
        <v/>
      </c>
      <c r="N3154" s="2" t="str">
        <f aca="false">IF($G3154="","",IF(COUNTIF($G$2:$G$4460,$G3154)&gt;1,"重複",""))</f>
        <v/>
      </c>
    </row>
    <row r="3155" customFormat="false" ht="16.5" hidden="false" customHeight="true" outlineLevel="0" collapsed="false">
      <c r="A3155" s="2" t="s">
        <v>447</v>
      </c>
      <c r="B3155" s="2" t="s">
        <v>451</v>
      </c>
      <c r="C3155" s="2" t="s">
        <v>17</v>
      </c>
      <c r="D3155" s="2" t="str">
        <f aca="false">IF(4キー同時!$B$45="","",4キー同時!$B$45)</f>
        <v/>
      </c>
      <c r="E3155" s="2" t="str">
        <f aca="false">IF(4キー同時!$G$45="","",4キー同時!$G$45)</f>
        <v/>
      </c>
      <c r="F3155" s="2" t="str">
        <f aca="false">IF(4キー同時!$L$45="","",4キー同時!$L$45)</f>
        <v/>
      </c>
      <c r="G3155" s="2" t="str">
        <f aca="false">IF(OR(4キー同時!$B$45="",4キー同時!$G$45="",4キー同時!$L$45=""),"",IF(4キー同時!AB49="","",SUBSTITUTE(SUBSTITUTE(4キー同時!AB49," ",""),"　","")))</f>
        <v/>
      </c>
      <c r="H3155" s="2" t="str">
        <f aca="false">IF($G3155="","",4キー同時!$B$45)</f>
        <v/>
      </c>
      <c r="I3155" s="2" t="str">
        <f aca="false">IF($G3155="","",4キー同時!$G$45)</f>
        <v/>
      </c>
      <c r="J3155" s="2" t="str">
        <f aca="false">IF($G3155="","",4キー同時!$L$45)</f>
        <v/>
      </c>
      <c r="K3155" s="2" t="str">
        <f aca="false">IF($G3155="","","y")</f>
        <v/>
      </c>
      <c r="L3155" s="2" t="str">
        <f aca="false">IF($G3155="","","同時")</f>
        <v/>
      </c>
      <c r="M3155" s="2" t="str">
        <f aca="false">IF($G3155="","",IF(ISNA(MATCH($G3155,個別指定!$A:$A,0)),"行なし",""))</f>
        <v/>
      </c>
      <c r="N3155" s="2" t="str">
        <f aca="false">IF($G3155="","",IF(COUNTIF($G$2:$G$4460,$G3155)&gt;1,"重複",""))</f>
        <v/>
      </c>
    </row>
    <row r="3156" customFormat="false" ht="16.5" hidden="false" customHeight="true" outlineLevel="0" collapsed="false">
      <c r="A3156" s="2" t="s">
        <v>447</v>
      </c>
      <c r="B3156" s="2" t="s">
        <v>451</v>
      </c>
      <c r="C3156" s="2" t="s">
        <v>18</v>
      </c>
      <c r="D3156" s="2" t="str">
        <f aca="false">IF(4キー同時!$B$45="","",4キー同時!$B$45)</f>
        <v/>
      </c>
      <c r="E3156" s="2" t="str">
        <f aca="false">IF(4キー同時!$G$45="","",4キー同時!$G$45)</f>
        <v/>
      </c>
      <c r="F3156" s="2" t="str">
        <f aca="false">IF(4キー同時!$L$45="","",4キー同時!$L$45)</f>
        <v/>
      </c>
      <c r="G3156" s="2" t="str">
        <f aca="false">IF(OR(4キー同時!$B$45="",4キー同時!$G$45="",4キー同時!$L$45=""),"",IF(4キー同時!AF49="","",SUBSTITUTE(SUBSTITUTE(4キー同時!AF49," ",""),"　","")))</f>
        <v/>
      </c>
      <c r="H3156" s="2" t="str">
        <f aca="false">IF($G3156="","",4キー同時!$B$45)</f>
        <v/>
      </c>
      <c r="I3156" s="2" t="str">
        <f aca="false">IF($G3156="","",4キー同時!$G$45)</f>
        <v/>
      </c>
      <c r="J3156" s="2" t="str">
        <f aca="false">IF($G3156="","",4キー同時!$L$45)</f>
        <v/>
      </c>
      <c r="K3156" s="2" t="str">
        <f aca="false">IF($G3156="","","u")</f>
        <v/>
      </c>
      <c r="L3156" s="2" t="str">
        <f aca="false">IF($G3156="","","同時")</f>
        <v/>
      </c>
      <c r="M3156" s="2" t="str">
        <f aca="false">IF($G3156="","",IF(ISNA(MATCH($G3156,個別指定!$A:$A,0)),"行なし",""))</f>
        <v/>
      </c>
      <c r="N3156" s="2" t="str">
        <f aca="false">IF($G3156="","",IF(COUNTIF($G$2:$G$4460,$G3156)&gt;1,"重複",""))</f>
        <v/>
      </c>
    </row>
    <row r="3157" customFormat="false" ht="16.5" hidden="false" customHeight="true" outlineLevel="0" collapsed="false">
      <c r="A3157" s="2" t="s">
        <v>447</v>
      </c>
      <c r="B3157" s="2" t="s">
        <v>451</v>
      </c>
      <c r="C3157" s="2" t="s">
        <v>19</v>
      </c>
      <c r="D3157" s="2" t="str">
        <f aca="false">IF(4キー同時!$B$45="","",4キー同時!$B$45)</f>
        <v/>
      </c>
      <c r="E3157" s="2" t="str">
        <f aca="false">IF(4キー同時!$G$45="","",4キー同時!$G$45)</f>
        <v/>
      </c>
      <c r="F3157" s="2" t="str">
        <f aca="false">IF(4キー同時!$L$45="","",4キー同時!$L$45)</f>
        <v/>
      </c>
      <c r="G3157" s="2" t="str">
        <f aca="false">IF(OR(4キー同時!$B$45="",4キー同時!$G$45="",4キー同時!$L$45=""),"",IF(4キー同時!AJ49="","",SUBSTITUTE(SUBSTITUTE(4キー同時!AJ49," ",""),"　","")))</f>
        <v/>
      </c>
      <c r="H3157" s="2" t="str">
        <f aca="false">IF($G3157="","",4キー同時!$B$45)</f>
        <v/>
      </c>
      <c r="I3157" s="2" t="str">
        <f aca="false">IF($G3157="","",4キー同時!$G$45)</f>
        <v/>
      </c>
      <c r="J3157" s="2" t="str">
        <f aca="false">IF($G3157="","",4キー同時!$L$45)</f>
        <v/>
      </c>
      <c r="K3157" s="2" t="str">
        <f aca="false">IF($G3157="","","i")</f>
        <v/>
      </c>
      <c r="L3157" s="2" t="str">
        <f aca="false">IF($G3157="","","同時")</f>
        <v/>
      </c>
      <c r="M3157" s="2" t="str">
        <f aca="false">IF($G3157="","",IF(ISNA(MATCH($G3157,個別指定!$A:$A,0)),"行なし",""))</f>
        <v/>
      </c>
      <c r="N3157" s="2" t="str">
        <f aca="false">IF($G3157="","",IF(COUNTIF($G$2:$G$4460,$G3157)&gt;1,"重複",""))</f>
        <v/>
      </c>
    </row>
    <row r="3158" customFormat="false" ht="16.5" hidden="false" customHeight="true" outlineLevel="0" collapsed="false">
      <c r="A3158" s="2" t="s">
        <v>447</v>
      </c>
      <c r="B3158" s="2" t="s">
        <v>451</v>
      </c>
      <c r="C3158" s="2" t="s">
        <v>20</v>
      </c>
      <c r="D3158" s="2" t="str">
        <f aca="false">IF(4キー同時!$B$45="","",4キー同時!$B$45)</f>
        <v/>
      </c>
      <c r="E3158" s="2" t="str">
        <f aca="false">IF(4キー同時!$G$45="","",4キー同時!$G$45)</f>
        <v/>
      </c>
      <c r="F3158" s="2" t="str">
        <f aca="false">IF(4キー同時!$L$45="","",4キー同時!$L$45)</f>
        <v/>
      </c>
      <c r="G3158" s="2" t="str">
        <f aca="false">IF(OR(4キー同時!$B$45="",4キー同時!$G$45="",4キー同時!$L$45=""),"",IF(4キー同時!AN49="","",SUBSTITUTE(SUBSTITUTE(4キー同時!AN49," ",""),"　","")))</f>
        <v/>
      </c>
      <c r="H3158" s="2" t="str">
        <f aca="false">IF($G3158="","",4キー同時!$B$45)</f>
        <v/>
      </c>
      <c r="I3158" s="2" t="str">
        <f aca="false">IF($G3158="","",4キー同時!$G$45)</f>
        <v/>
      </c>
      <c r="J3158" s="2" t="str">
        <f aca="false">IF($G3158="","",4キー同時!$L$45)</f>
        <v/>
      </c>
      <c r="K3158" s="2" t="str">
        <f aca="false">IF($G3158="","","o")</f>
        <v/>
      </c>
      <c r="L3158" s="2" t="str">
        <f aca="false">IF($G3158="","","同時")</f>
        <v/>
      </c>
      <c r="M3158" s="2" t="str">
        <f aca="false">IF($G3158="","",IF(ISNA(MATCH($G3158,個別指定!$A:$A,0)),"行なし",""))</f>
        <v/>
      </c>
      <c r="N3158" s="2" t="str">
        <f aca="false">IF($G3158="","",IF(COUNTIF($G$2:$G$4460,$G3158)&gt;1,"重複",""))</f>
        <v/>
      </c>
    </row>
    <row r="3159" customFormat="false" ht="16.5" hidden="false" customHeight="true" outlineLevel="0" collapsed="false">
      <c r="A3159" s="2" t="s">
        <v>447</v>
      </c>
      <c r="B3159" s="2" t="s">
        <v>451</v>
      </c>
      <c r="C3159" s="2" t="s">
        <v>21</v>
      </c>
      <c r="D3159" s="2" t="str">
        <f aca="false">IF(4キー同時!$B$45="","",4キー同時!$B$45)</f>
        <v/>
      </c>
      <c r="E3159" s="2" t="str">
        <f aca="false">IF(4キー同時!$G$45="","",4キー同時!$G$45)</f>
        <v/>
      </c>
      <c r="F3159" s="2" t="str">
        <f aca="false">IF(4キー同時!$L$45="","",4キー同時!$L$45)</f>
        <v/>
      </c>
      <c r="G3159" s="2" t="str">
        <f aca="false">IF(OR(4キー同時!$B$45="",4キー同時!$G$45="",4キー同時!$L$45=""),"",IF(4キー同時!AR49="","",SUBSTITUTE(SUBSTITUTE(4キー同時!AR49," ",""),"　","")))</f>
        <v/>
      </c>
      <c r="H3159" s="2" t="str">
        <f aca="false">IF($G3159="","",4キー同時!$B$45)</f>
        <v/>
      </c>
      <c r="I3159" s="2" t="str">
        <f aca="false">IF($G3159="","",4キー同時!$G$45)</f>
        <v/>
      </c>
      <c r="J3159" s="2" t="str">
        <f aca="false">IF($G3159="","",4キー同時!$L$45)</f>
        <v/>
      </c>
      <c r="K3159" s="2" t="str">
        <f aca="false">IF($G3159="","","p")</f>
        <v/>
      </c>
      <c r="L3159" s="2" t="str">
        <f aca="false">IF($G3159="","","同時")</f>
        <v/>
      </c>
      <c r="M3159" s="2" t="str">
        <f aca="false">IF($G3159="","",IF(ISNA(MATCH($G3159,個別指定!$A:$A,0)),"行なし",""))</f>
        <v/>
      </c>
      <c r="N3159" s="2" t="str">
        <f aca="false">IF($G3159="","",IF(COUNTIF($G$2:$G$4460,$G3159)&gt;1,"重複",""))</f>
        <v/>
      </c>
    </row>
    <row r="3160" customFormat="false" ht="16.5" hidden="false" customHeight="true" outlineLevel="0" collapsed="false">
      <c r="A3160" s="2" t="s">
        <v>447</v>
      </c>
      <c r="B3160" s="2" t="s">
        <v>451</v>
      </c>
      <c r="C3160" s="2" t="s">
        <v>22</v>
      </c>
      <c r="D3160" s="2" t="str">
        <f aca="false">IF(4キー同時!$B$45="","",4キー同時!$B$45)</f>
        <v/>
      </c>
      <c r="E3160" s="2" t="str">
        <f aca="false">IF(4キー同時!$G$45="","",4キー同時!$G$45)</f>
        <v/>
      </c>
      <c r="F3160" s="2" t="str">
        <f aca="false">IF(4キー同時!$L$45="","",4キー同時!$L$45)</f>
        <v/>
      </c>
      <c r="G3160" s="2" t="str">
        <f aca="false">IF(OR(4キー同時!$B$45="",4キー同時!$G$45="",4キー同時!$L$45=""),"",IF(4キー同時!AV49="","",SUBSTITUTE(SUBSTITUTE(4キー同時!AV49," ",""),"　","")))</f>
        <v/>
      </c>
      <c r="H3160" s="2" t="str">
        <f aca="false">IF($G3160="","",4キー同時!$B$45)</f>
        <v/>
      </c>
      <c r="I3160" s="2" t="str">
        <f aca="false">IF($G3160="","",4キー同時!$G$45)</f>
        <v/>
      </c>
      <c r="J3160" s="2" t="str">
        <f aca="false">IF($G3160="","",4キー同時!$L$45)</f>
        <v/>
      </c>
      <c r="K3160" s="2" t="str">
        <f aca="false">IF($G3160="","","[")</f>
        <v/>
      </c>
      <c r="L3160" s="2" t="str">
        <f aca="false">IF($G3160="","","同時")</f>
        <v/>
      </c>
      <c r="M3160" s="2" t="str">
        <f aca="false">IF($G3160="","",IF(ISNA(MATCH($G3160,個別指定!$A:$A,0)),"行なし",""))</f>
        <v/>
      </c>
      <c r="N3160" s="2" t="str">
        <f aca="false">IF($G3160="","",IF(COUNTIF($G$2:$G$4460,$G3160)&gt;1,"重複",""))</f>
        <v/>
      </c>
    </row>
    <row r="3161" customFormat="false" ht="16.5" hidden="false" customHeight="true" outlineLevel="0" collapsed="false">
      <c r="A3161" s="2" t="s">
        <v>447</v>
      </c>
      <c r="B3161" s="2" t="s">
        <v>451</v>
      </c>
      <c r="C3161" s="2" t="s">
        <v>23</v>
      </c>
      <c r="D3161" s="2" t="str">
        <f aca="false">IF(4キー同時!$B$45="","",4キー同時!$B$45)</f>
        <v/>
      </c>
      <c r="E3161" s="2" t="str">
        <f aca="false">IF(4キー同時!$G$45="","",4キー同時!$G$45)</f>
        <v/>
      </c>
      <c r="F3161" s="2" t="str">
        <f aca="false">IF(4キー同時!$L$45="","",4キー同時!$L$45)</f>
        <v/>
      </c>
      <c r="G3161" s="2" t="str">
        <f aca="false">IF(OR(4キー同時!$B$45="",4キー同時!$G$45="",4キー同時!$L$45=""),"",IF(4キー同時!AZ49="","",SUBSTITUTE(SUBSTITUTE(4キー同時!AZ49," ",""),"　","")))</f>
        <v/>
      </c>
      <c r="H3161" s="2" t="str">
        <f aca="false">IF($G3161="","",4キー同時!$B$45)</f>
        <v/>
      </c>
      <c r="I3161" s="2" t="str">
        <f aca="false">IF($G3161="","",4キー同時!$G$45)</f>
        <v/>
      </c>
      <c r="J3161" s="2" t="str">
        <f aca="false">IF($G3161="","",4キー同時!$L$45)</f>
        <v/>
      </c>
      <c r="K3161" s="2" t="str">
        <f aca="false">IF($G3161="","","]")</f>
        <v/>
      </c>
      <c r="L3161" s="2" t="str">
        <f aca="false">IF($G3161="","","同時")</f>
        <v/>
      </c>
      <c r="M3161" s="2" t="str">
        <f aca="false">IF($G3161="","",IF(ISNA(MATCH($G3161,個別指定!$A:$A,0)),"行なし",""))</f>
        <v/>
      </c>
      <c r="N3161" s="2" t="str">
        <f aca="false">IF($G3161="","",IF(COUNTIF($G$2:$G$4460,$G3161)&gt;1,"重複",""))</f>
        <v/>
      </c>
    </row>
    <row r="3162" customFormat="false" ht="16.5" hidden="false" customHeight="true" outlineLevel="0" collapsed="false">
      <c r="A3162" s="2" t="s">
        <v>447</v>
      </c>
      <c r="B3162" s="2" t="s">
        <v>451</v>
      </c>
      <c r="C3162" s="2" t="s">
        <v>24</v>
      </c>
      <c r="D3162" s="2" t="str">
        <f aca="false">IF(4キー同時!$B$45="","",4キー同時!$B$45)</f>
        <v/>
      </c>
      <c r="E3162" s="2" t="str">
        <f aca="false">IF(4キー同時!$G$45="","",4キー同時!$G$45)</f>
        <v/>
      </c>
      <c r="F3162" s="2" t="str">
        <f aca="false">IF(4キー同時!$L$45="","",4キー同時!$L$45)</f>
        <v/>
      </c>
      <c r="G3162" s="2" t="str">
        <f aca="false">IF(OR(4キー同時!$B$45="",4キー同時!$G$45="",4キー同時!$L$45=""),"",IF(4キー同時!I51="","",SUBSTITUTE(SUBSTITUTE(4キー同時!I51," ",""),"　","")))</f>
        <v/>
      </c>
      <c r="H3162" s="2" t="str">
        <f aca="false">IF($G3162="","",4キー同時!$B$45)</f>
        <v/>
      </c>
      <c r="I3162" s="2" t="str">
        <f aca="false">IF($G3162="","",4キー同時!$G$45)</f>
        <v/>
      </c>
      <c r="J3162" s="2" t="str">
        <f aca="false">IF($G3162="","",4キー同時!$L$45)</f>
        <v/>
      </c>
      <c r="K3162" s="2" t="str">
        <f aca="false">IF($G3162="","","a")</f>
        <v/>
      </c>
      <c r="L3162" s="2" t="str">
        <f aca="false">IF($G3162="","","同時")</f>
        <v/>
      </c>
      <c r="M3162" s="2" t="str">
        <f aca="false">IF($G3162="","",IF(ISNA(MATCH($G3162,個別指定!$A:$A,0)),"行なし",""))</f>
        <v/>
      </c>
      <c r="N3162" s="2" t="str">
        <f aca="false">IF($G3162="","",IF(COUNTIF($G$2:$G$4460,$G3162)&gt;1,"重複",""))</f>
        <v/>
      </c>
    </row>
    <row r="3163" customFormat="false" ht="16.5" hidden="false" customHeight="true" outlineLevel="0" collapsed="false">
      <c r="A3163" s="2" t="s">
        <v>447</v>
      </c>
      <c r="B3163" s="2" t="s">
        <v>451</v>
      </c>
      <c r="C3163" s="2" t="s">
        <v>25</v>
      </c>
      <c r="D3163" s="2" t="str">
        <f aca="false">IF(4キー同時!$B$45="","",4キー同時!$B$45)</f>
        <v/>
      </c>
      <c r="E3163" s="2" t="str">
        <f aca="false">IF(4キー同時!$G$45="","",4キー同時!$G$45)</f>
        <v/>
      </c>
      <c r="F3163" s="2" t="str">
        <f aca="false">IF(4キー同時!$L$45="","",4キー同時!$L$45)</f>
        <v/>
      </c>
      <c r="G3163" s="2" t="str">
        <f aca="false">IF(OR(4キー同時!$B$45="",4キー同時!$G$45="",4キー同時!$L$45=""),"",IF(4キー同時!M51="","",SUBSTITUTE(SUBSTITUTE(4キー同時!M51," ",""),"　","")))</f>
        <v/>
      </c>
      <c r="H3163" s="2" t="str">
        <f aca="false">IF($G3163="","",4キー同時!$B$45)</f>
        <v/>
      </c>
      <c r="I3163" s="2" t="str">
        <f aca="false">IF($G3163="","",4キー同時!$G$45)</f>
        <v/>
      </c>
      <c r="J3163" s="2" t="str">
        <f aca="false">IF($G3163="","",4キー同時!$L$45)</f>
        <v/>
      </c>
      <c r="K3163" s="2" t="str">
        <f aca="false">IF($G3163="","","s")</f>
        <v/>
      </c>
      <c r="L3163" s="2" t="str">
        <f aca="false">IF($G3163="","","同時")</f>
        <v/>
      </c>
      <c r="M3163" s="2" t="str">
        <f aca="false">IF($G3163="","",IF(ISNA(MATCH($G3163,個別指定!$A:$A,0)),"行なし",""))</f>
        <v/>
      </c>
      <c r="N3163" s="2" t="str">
        <f aca="false">IF($G3163="","",IF(COUNTIF($G$2:$G$4460,$G3163)&gt;1,"重複",""))</f>
        <v/>
      </c>
    </row>
    <row r="3164" customFormat="false" ht="16.5" hidden="false" customHeight="true" outlineLevel="0" collapsed="false">
      <c r="A3164" s="2" t="s">
        <v>447</v>
      </c>
      <c r="B3164" s="2" t="s">
        <v>451</v>
      </c>
      <c r="C3164" s="2" t="s">
        <v>26</v>
      </c>
      <c r="D3164" s="2" t="str">
        <f aca="false">IF(4キー同時!$B$45="","",4キー同時!$B$45)</f>
        <v/>
      </c>
      <c r="E3164" s="2" t="str">
        <f aca="false">IF(4キー同時!$G$45="","",4キー同時!$G$45)</f>
        <v/>
      </c>
      <c r="F3164" s="2" t="str">
        <f aca="false">IF(4キー同時!$L$45="","",4キー同時!$L$45)</f>
        <v/>
      </c>
      <c r="G3164" s="2" t="str">
        <f aca="false">IF(OR(4キー同時!$B$45="",4キー同時!$G$45="",4キー同時!$L$45=""),"",IF(4キー同時!Q51="","",SUBSTITUTE(SUBSTITUTE(4キー同時!Q51," ",""),"　","")))</f>
        <v/>
      </c>
      <c r="H3164" s="2" t="str">
        <f aca="false">IF($G3164="","",4キー同時!$B$45)</f>
        <v/>
      </c>
      <c r="I3164" s="2" t="str">
        <f aca="false">IF($G3164="","",4キー同時!$G$45)</f>
        <v/>
      </c>
      <c r="J3164" s="2" t="str">
        <f aca="false">IF($G3164="","",4キー同時!$L$45)</f>
        <v/>
      </c>
      <c r="K3164" s="2" t="str">
        <f aca="false">IF($G3164="","","d")</f>
        <v/>
      </c>
      <c r="L3164" s="2" t="str">
        <f aca="false">IF($G3164="","","同時")</f>
        <v/>
      </c>
      <c r="M3164" s="2" t="str">
        <f aca="false">IF($G3164="","",IF(ISNA(MATCH($G3164,個別指定!$A:$A,0)),"行なし",""))</f>
        <v/>
      </c>
      <c r="N3164" s="2" t="str">
        <f aca="false">IF($G3164="","",IF(COUNTIF($G$2:$G$4460,$G3164)&gt;1,"重複",""))</f>
        <v/>
      </c>
    </row>
    <row r="3165" customFormat="false" ht="16.5" hidden="false" customHeight="true" outlineLevel="0" collapsed="false">
      <c r="A3165" s="2" t="s">
        <v>447</v>
      </c>
      <c r="B3165" s="2" t="s">
        <v>451</v>
      </c>
      <c r="C3165" s="2" t="s">
        <v>27</v>
      </c>
      <c r="D3165" s="2" t="str">
        <f aca="false">IF(4キー同時!$B$45="","",4キー同時!$B$45)</f>
        <v/>
      </c>
      <c r="E3165" s="2" t="str">
        <f aca="false">IF(4キー同時!$G$45="","",4キー同時!$G$45)</f>
        <v/>
      </c>
      <c r="F3165" s="2" t="str">
        <f aca="false">IF(4キー同時!$L$45="","",4キー同時!$L$45)</f>
        <v/>
      </c>
      <c r="G3165" s="2" t="str">
        <f aca="false">IF(OR(4キー同時!$B$45="",4キー同時!$G$45="",4キー同時!$L$45=""),"",IF(4キー同時!U51="","",SUBSTITUTE(SUBSTITUTE(4キー同時!U51," ",""),"　","")))</f>
        <v/>
      </c>
      <c r="H3165" s="2" t="str">
        <f aca="false">IF($G3165="","",4キー同時!$B$45)</f>
        <v/>
      </c>
      <c r="I3165" s="2" t="str">
        <f aca="false">IF($G3165="","",4キー同時!$G$45)</f>
        <v/>
      </c>
      <c r="J3165" s="2" t="str">
        <f aca="false">IF($G3165="","",4キー同時!$L$45)</f>
        <v/>
      </c>
      <c r="K3165" s="2" t="str">
        <f aca="false">IF($G3165="","","f")</f>
        <v/>
      </c>
      <c r="L3165" s="2" t="str">
        <f aca="false">IF($G3165="","","同時")</f>
        <v/>
      </c>
      <c r="M3165" s="2" t="str">
        <f aca="false">IF($G3165="","",IF(ISNA(MATCH($G3165,個別指定!$A:$A,0)),"行なし",""))</f>
        <v/>
      </c>
      <c r="N3165" s="2" t="str">
        <f aca="false">IF($G3165="","",IF(COUNTIF($G$2:$G$4460,$G3165)&gt;1,"重複",""))</f>
        <v/>
      </c>
    </row>
    <row r="3166" customFormat="false" ht="16.5" hidden="false" customHeight="true" outlineLevel="0" collapsed="false">
      <c r="A3166" s="2" t="s">
        <v>447</v>
      </c>
      <c r="B3166" s="2" t="s">
        <v>451</v>
      </c>
      <c r="C3166" s="2" t="s">
        <v>28</v>
      </c>
      <c r="D3166" s="2" t="str">
        <f aca="false">IF(4キー同時!$B$45="","",4キー同時!$B$45)</f>
        <v/>
      </c>
      <c r="E3166" s="2" t="str">
        <f aca="false">IF(4キー同時!$G$45="","",4キー同時!$G$45)</f>
        <v/>
      </c>
      <c r="F3166" s="2" t="str">
        <f aca="false">IF(4キー同時!$L$45="","",4キー同時!$L$45)</f>
        <v/>
      </c>
      <c r="G3166" s="2" t="str">
        <f aca="false">IF(OR(4キー同時!$B$45="",4キー同時!$G$45="",4キー同時!$L$45=""),"",IF(4キー同時!Y51="","",SUBSTITUTE(SUBSTITUTE(4キー同時!Y51," ",""),"　","")))</f>
        <v/>
      </c>
      <c r="H3166" s="2" t="str">
        <f aca="false">IF($G3166="","",4キー同時!$B$45)</f>
        <v/>
      </c>
      <c r="I3166" s="2" t="str">
        <f aca="false">IF($G3166="","",4キー同時!$G$45)</f>
        <v/>
      </c>
      <c r="J3166" s="2" t="str">
        <f aca="false">IF($G3166="","",4キー同時!$L$45)</f>
        <v/>
      </c>
      <c r="K3166" s="2" t="str">
        <f aca="false">IF($G3166="","","g")</f>
        <v/>
      </c>
      <c r="L3166" s="2" t="str">
        <f aca="false">IF($G3166="","","同時")</f>
        <v/>
      </c>
      <c r="M3166" s="2" t="str">
        <f aca="false">IF($G3166="","",IF(ISNA(MATCH($G3166,個別指定!$A:$A,0)),"行なし",""))</f>
        <v/>
      </c>
      <c r="N3166" s="2" t="str">
        <f aca="false">IF($G3166="","",IF(COUNTIF($G$2:$G$4460,$G3166)&gt;1,"重複",""))</f>
        <v/>
      </c>
    </row>
    <row r="3167" customFormat="false" ht="16.5" hidden="false" customHeight="true" outlineLevel="0" collapsed="false">
      <c r="A3167" s="2" t="s">
        <v>447</v>
      </c>
      <c r="B3167" s="2" t="s">
        <v>451</v>
      </c>
      <c r="C3167" s="2" t="s">
        <v>29</v>
      </c>
      <c r="D3167" s="2" t="str">
        <f aca="false">IF(4キー同時!$B$45="","",4キー同時!$B$45)</f>
        <v/>
      </c>
      <c r="E3167" s="2" t="str">
        <f aca="false">IF(4キー同時!$G$45="","",4キー同時!$G$45)</f>
        <v/>
      </c>
      <c r="F3167" s="2" t="str">
        <f aca="false">IF(4キー同時!$L$45="","",4キー同時!$L$45)</f>
        <v/>
      </c>
      <c r="G3167" s="2" t="str">
        <f aca="false">IF(OR(4キー同時!$B$45="",4キー同時!$G$45="",4キー同時!$L$45=""),"",IF(4キー同時!AC51="","",SUBSTITUTE(SUBSTITUTE(4キー同時!AC51," ",""),"　","")))</f>
        <v/>
      </c>
      <c r="H3167" s="2" t="str">
        <f aca="false">IF($G3167="","",4キー同時!$B$45)</f>
        <v/>
      </c>
      <c r="I3167" s="2" t="str">
        <f aca="false">IF($G3167="","",4キー同時!$G$45)</f>
        <v/>
      </c>
      <c r="J3167" s="2" t="str">
        <f aca="false">IF($G3167="","",4キー同時!$L$45)</f>
        <v/>
      </c>
      <c r="K3167" s="2" t="str">
        <f aca="false">IF($G3167="","","h")</f>
        <v/>
      </c>
      <c r="L3167" s="2" t="str">
        <f aca="false">IF($G3167="","","同時")</f>
        <v/>
      </c>
      <c r="M3167" s="2" t="str">
        <f aca="false">IF($G3167="","",IF(ISNA(MATCH($G3167,個別指定!$A:$A,0)),"行なし",""))</f>
        <v/>
      </c>
      <c r="N3167" s="2" t="str">
        <f aca="false">IF($G3167="","",IF(COUNTIF($G$2:$G$4460,$G3167)&gt;1,"重複",""))</f>
        <v/>
      </c>
    </row>
    <row r="3168" customFormat="false" ht="16.5" hidden="false" customHeight="true" outlineLevel="0" collapsed="false">
      <c r="A3168" s="2" t="s">
        <v>447</v>
      </c>
      <c r="B3168" s="2" t="s">
        <v>451</v>
      </c>
      <c r="C3168" s="2" t="s">
        <v>30</v>
      </c>
      <c r="D3168" s="2" t="str">
        <f aca="false">IF(4キー同時!$B$45="","",4キー同時!$B$45)</f>
        <v/>
      </c>
      <c r="E3168" s="2" t="str">
        <f aca="false">IF(4キー同時!$G$45="","",4キー同時!$G$45)</f>
        <v/>
      </c>
      <c r="F3168" s="2" t="str">
        <f aca="false">IF(4キー同時!$L$45="","",4キー同時!$L$45)</f>
        <v/>
      </c>
      <c r="G3168" s="2" t="str">
        <f aca="false">IF(OR(4キー同時!$B$45="",4キー同時!$G$45="",4キー同時!$L$45=""),"",IF(4キー同時!AG51="","",SUBSTITUTE(SUBSTITUTE(4キー同時!AG51," ",""),"　","")))</f>
        <v/>
      </c>
      <c r="H3168" s="2" t="str">
        <f aca="false">IF($G3168="","",4キー同時!$B$45)</f>
        <v/>
      </c>
      <c r="I3168" s="2" t="str">
        <f aca="false">IF($G3168="","",4キー同時!$G$45)</f>
        <v/>
      </c>
      <c r="J3168" s="2" t="str">
        <f aca="false">IF($G3168="","",4キー同時!$L$45)</f>
        <v/>
      </c>
      <c r="K3168" s="2" t="str">
        <f aca="false">IF($G3168="","","j")</f>
        <v/>
      </c>
      <c r="L3168" s="2" t="str">
        <f aca="false">IF($G3168="","","同時")</f>
        <v/>
      </c>
      <c r="M3168" s="2" t="str">
        <f aca="false">IF($G3168="","",IF(ISNA(MATCH($G3168,個別指定!$A:$A,0)),"行なし",""))</f>
        <v/>
      </c>
      <c r="N3168" s="2" t="str">
        <f aca="false">IF($G3168="","",IF(COUNTIF($G$2:$G$4460,$G3168)&gt;1,"重複",""))</f>
        <v/>
      </c>
    </row>
    <row r="3169" customFormat="false" ht="16.5" hidden="false" customHeight="true" outlineLevel="0" collapsed="false">
      <c r="A3169" s="2" t="s">
        <v>447</v>
      </c>
      <c r="B3169" s="2" t="s">
        <v>451</v>
      </c>
      <c r="C3169" s="2" t="s">
        <v>31</v>
      </c>
      <c r="D3169" s="2" t="str">
        <f aca="false">IF(4キー同時!$B$45="","",4キー同時!$B$45)</f>
        <v/>
      </c>
      <c r="E3169" s="2" t="str">
        <f aca="false">IF(4キー同時!$G$45="","",4キー同時!$G$45)</f>
        <v/>
      </c>
      <c r="F3169" s="2" t="str">
        <f aca="false">IF(4キー同時!$L$45="","",4キー同時!$L$45)</f>
        <v/>
      </c>
      <c r="G3169" s="2" t="str">
        <f aca="false">IF(OR(4キー同時!$B$45="",4キー同時!$G$45="",4キー同時!$L$45=""),"",IF(4キー同時!AK51="","",SUBSTITUTE(SUBSTITUTE(4キー同時!AK51," ",""),"　","")))</f>
        <v/>
      </c>
      <c r="H3169" s="2" t="str">
        <f aca="false">IF($G3169="","",4キー同時!$B$45)</f>
        <v/>
      </c>
      <c r="I3169" s="2" t="str">
        <f aca="false">IF($G3169="","",4キー同時!$G$45)</f>
        <v/>
      </c>
      <c r="J3169" s="2" t="str">
        <f aca="false">IF($G3169="","",4キー同時!$L$45)</f>
        <v/>
      </c>
      <c r="K3169" s="2" t="str">
        <f aca="false">IF($G3169="","","k")</f>
        <v/>
      </c>
      <c r="L3169" s="2" t="str">
        <f aca="false">IF($G3169="","","同時")</f>
        <v/>
      </c>
      <c r="M3169" s="2" t="str">
        <f aca="false">IF($G3169="","",IF(ISNA(MATCH($G3169,個別指定!$A:$A,0)),"行なし",""))</f>
        <v/>
      </c>
      <c r="N3169" s="2" t="str">
        <f aca="false">IF($G3169="","",IF(COUNTIF($G$2:$G$4460,$G3169)&gt;1,"重複",""))</f>
        <v/>
      </c>
    </row>
    <row r="3170" customFormat="false" ht="16.5" hidden="false" customHeight="true" outlineLevel="0" collapsed="false">
      <c r="A3170" s="2" t="s">
        <v>447</v>
      </c>
      <c r="B3170" s="2" t="s">
        <v>451</v>
      </c>
      <c r="C3170" s="2" t="s">
        <v>32</v>
      </c>
      <c r="D3170" s="2" t="str">
        <f aca="false">IF(4キー同時!$B$45="","",4キー同時!$B$45)</f>
        <v/>
      </c>
      <c r="E3170" s="2" t="str">
        <f aca="false">IF(4キー同時!$G$45="","",4キー同時!$G$45)</f>
        <v/>
      </c>
      <c r="F3170" s="2" t="str">
        <f aca="false">IF(4キー同時!$L$45="","",4キー同時!$L$45)</f>
        <v/>
      </c>
      <c r="G3170" s="2" t="str">
        <f aca="false">IF(OR(4キー同時!$B$45="",4キー同時!$G$45="",4キー同時!$L$45=""),"",IF(4キー同時!AO51="","",SUBSTITUTE(SUBSTITUTE(4キー同時!AO51," ",""),"　","")))</f>
        <v/>
      </c>
      <c r="H3170" s="2" t="str">
        <f aca="false">IF($G3170="","",4キー同時!$B$45)</f>
        <v/>
      </c>
      <c r="I3170" s="2" t="str">
        <f aca="false">IF($G3170="","",4キー同時!$G$45)</f>
        <v/>
      </c>
      <c r="J3170" s="2" t="str">
        <f aca="false">IF($G3170="","",4キー同時!$L$45)</f>
        <v/>
      </c>
      <c r="K3170" s="2" t="str">
        <f aca="false">IF($G3170="","","l")</f>
        <v/>
      </c>
      <c r="L3170" s="2" t="str">
        <f aca="false">IF($G3170="","","同時")</f>
        <v/>
      </c>
      <c r="M3170" s="2" t="str">
        <f aca="false">IF($G3170="","",IF(ISNA(MATCH($G3170,個別指定!$A:$A,0)),"行なし",""))</f>
        <v/>
      </c>
      <c r="N3170" s="2" t="str">
        <f aca="false">IF($G3170="","",IF(COUNTIF($G$2:$G$4460,$G3170)&gt;1,"重複",""))</f>
        <v/>
      </c>
    </row>
    <row r="3171" customFormat="false" ht="16.5" hidden="false" customHeight="true" outlineLevel="0" collapsed="false">
      <c r="A3171" s="2" t="s">
        <v>447</v>
      </c>
      <c r="B3171" s="2" t="s">
        <v>451</v>
      </c>
      <c r="C3171" s="2" t="s">
        <v>33</v>
      </c>
      <c r="D3171" s="2" t="str">
        <f aca="false">IF(4キー同時!$B$45="","",4キー同時!$B$45)</f>
        <v/>
      </c>
      <c r="E3171" s="2" t="str">
        <f aca="false">IF(4キー同時!$G$45="","",4キー同時!$G$45)</f>
        <v/>
      </c>
      <c r="F3171" s="2" t="str">
        <f aca="false">IF(4キー同時!$L$45="","",4キー同時!$L$45)</f>
        <v/>
      </c>
      <c r="G3171" s="2" t="str">
        <f aca="false">IF(OR(4キー同時!$B$45="",4キー同時!$G$45="",4キー同時!$L$45=""),"",IF(4キー同時!AS51="","",SUBSTITUTE(SUBSTITUTE(4キー同時!AS51," ",""),"　","")))</f>
        <v/>
      </c>
      <c r="H3171" s="2" t="str">
        <f aca="false">IF($G3171="","",4キー同時!$B$45)</f>
        <v/>
      </c>
      <c r="I3171" s="2" t="str">
        <f aca="false">IF($G3171="","",4キー同時!$G$45)</f>
        <v/>
      </c>
      <c r="J3171" s="2" t="str">
        <f aca="false">IF($G3171="","",4キー同時!$L$45)</f>
        <v/>
      </c>
      <c r="K3171" s="2" t="str">
        <f aca="false">IF($G3171="","",";")</f>
        <v/>
      </c>
      <c r="L3171" s="2" t="str">
        <f aca="false">IF($G3171="","","同時")</f>
        <v/>
      </c>
      <c r="M3171" s="2" t="str">
        <f aca="false">IF($G3171="","",IF(ISNA(MATCH($G3171,個別指定!$A:$A,0)),"行なし",""))</f>
        <v/>
      </c>
      <c r="N3171" s="2" t="str">
        <f aca="false">IF($G3171="","",IF(COUNTIF($G$2:$G$4460,$G3171)&gt;1,"重複",""))</f>
        <v/>
      </c>
    </row>
    <row r="3172" customFormat="false" ht="16.5" hidden="false" customHeight="true" outlineLevel="0" collapsed="false">
      <c r="A3172" s="2" t="s">
        <v>447</v>
      </c>
      <c r="B3172" s="2" t="s">
        <v>451</v>
      </c>
      <c r="C3172" s="2" t="s">
        <v>34</v>
      </c>
      <c r="D3172" s="2" t="str">
        <f aca="false">IF(4キー同時!$B$45="","",4キー同時!$B$45)</f>
        <v/>
      </c>
      <c r="E3172" s="2" t="str">
        <f aca="false">IF(4キー同時!$G$45="","",4キー同時!$G$45)</f>
        <v/>
      </c>
      <c r="F3172" s="2" t="str">
        <f aca="false">IF(4キー同時!$L$45="","",4キー同時!$L$45)</f>
        <v/>
      </c>
      <c r="G3172" s="2" t="str">
        <f aca="false">IF(OR(4キー同時!$B$45="",4キー同時!$G$45="",4キー同時!$L$45=""),"",IF(4キー同時!AW51="","",SUBSTITUTE(SUBSTITUTE(4キー同時!AW51," ",""),"　","")))</f>
        <v/>
      </c>
      <c r="H3172" s="2" t="str">
        <f aca="false">IF($G3172="","",4キー同時!$B$45)</f>
        <v/>
      </c>
      <c r="I3172" s="2" t="str">
        <f aca="false">IF($G3172="","",4キー同時!$G$45)</f>
        <v/>
      </c>
      <c r="J3172" s="2" t="str">
        <f aca="false">IF($G3172="","",4キー同時!$L$45)</f>
        <v/>
      </c>
      <c r="K3172" s="2" t="str">
        <f aca="false">IF($G3172="","","'")</f>
        <v/>
      </c>
      <c r="L3172" s="2" t="str">
        <f aca="false">IF($G3172="","","同時")</f>
        <v/>
      </c>
      <c r="M3172" s="2" t="str">
        <f aca="false">IF($G3172="","",IF(ISNA(MATCH($G3172,個別指定!$A:$A,0)),"行なし",""))</f>
        <v/>
      </c>
      <c r="N3172" s="2" t="str">
        <f aca="false">IF($G3172="","",IF(COUNTIF($G$2:$G$4460,$G3172)&gt;1,"重複",""))</f>
        <v/>
      </c>
    </row>
    <row r="3173" customFormat="false" ht="16.5" hidden="false" customHeight="true" outlineLevel="0" collapsed="false">
      <c r="A3173" s="2" t="s">
        <v>447</v>
      </c>
      <c r="B3173" s="2" t="s">
        <v>451</v>
      </c>
      <c r="C3173" s="2" t="s">
        <v>35</v>
      </c>
      <c r="D3173" s="2" t="str">
        <f aca="false">IF(4キー同時!$B$45="","",4キー同時!$B$45)</f>
        <v/>
      </c>
      <c r="E3173" s="2" t="str">
        <f aca="false">IF(4キー同時!$G$45="","",4キー同時!$G$45)</f>
        <v/>
      </c>
      <c r="F3173" s="2" t="str">
        <f aca="false">IF(4キー同時!$L$45="","",4キー同時!$L$45)</f>
        <v/>
      </c>
      <c r="G3173" s="2" t="str">
        <f aca="false">IF(OR(4キー同時!$B$45="",4キー同時!$G$45="",4キー同時!$L$45=""),"",IF(4キー同時!K53="","",SUBSTITUTE(SUBSTITUTE(4キー同時!K53," ",""),"　","")))</f>
        <v/>
      </c>
      <c r="H3173" s="2" t="str">
        <f aca="false">IF($G3173="","",4キー同時!$B$45)</f>
        <v/>
      </c>
      <c r="I3173" s="2" t="str">
        <f aca="false">IF($G3173="","",4キー同時!$G$45)</f>
        <v/>
      </c>
      <c r="J3173" s="2" t="str">
        <f aca="false">IF($G3173="","",4キー同時!$L$45)</f>
        <v/>
      </c>
      <c r="K3173" s="2" t="str">
        <f aca="false">IF($G3173="","","z")</f>
        <v/>
      </c>
      <c r="L3173" s="2" t="str">
        <f aca="false">IF($G3173="","","同時")</f>
        <v/>
      </c>
      <c r="M3173" s="2" t="str">
        <f aca="false">IF($G3173="","",IF(ISNA(MATCH($G3173,個別指定!$A:$A,0)),"行なし",""))</f>
        <v/>
      </c>
      <c r="N3173" s="2" t="str">
        <f aca="false">IF($G3173="","",IF(COUNTIF($G$2:$G$4460,$G3173)&gt;1,"重複",""))</f>
        <v/>
      </c>
    </row>
    <row r="3174" customFormat="false" ht="16.5" hidden="false" customHeight="true" outlineLevel="0" collapsed="false">
      <c r="A3174" s="2" t="s">
        <v>447</v>
      </c>
      <c r="B3174" s="2" t="s">
        <v>451</v>
      </c>
      <c r="C3174" s="2" t="s">
        <v>36</v>
      </c>
      <c r="D3174" s="2" t="str">
        <f aca="false">IF(4キー同時!$B$45="","",4キー同時!$B$45)</f>
        <v/>
      </c>
      <c r="E3174" s="2" t="str">
        <f aca="false">IF(4キー同時!$G$45="","",4キー同時!$G$45)</f>
        <v/>
      </c>
      <c r="F3174" s="2" t="str">
        <f aca="false">IF(4キー同時!$L$45="","",4キー同時!$L$45)</f>
        <v/>
      </c>
      <c r="G3174" s="2" t="str">
        <f aca="false">IF(OR(4キー同時!$B$45="",4キー同時!$G$45="",4キー同時!$L$45=""),"",IF(4キー同時!O53="","",SUBSTITUTE(SUBSTITUTE(4キー同時!O53," ",""),"　","")))</f>
        <v/>
      </c>
      <c r="H3174" s="2" t="str">
        <f aca="false">IF($G3174="","",4キー同時!$B$45)</f>
        <v/>
      </c>
      <c r="I3174" s="2" t="str">
        <f aca="false">IF($G3174="","",4キー同時!$G$45)</f>
        <v/>
      </c>
      <c r="J3174" s="2" t="str">
        <f aca="false">IF($G3174="","",4キー同時!$L$45)</f>
        <v/>
      </c>
      <c r="K3174" s="2" t="str">
        <f aca="false">IF($G3174="","","x")</f>
        <v/>
      </c>
      <c r="L3174" s="2" t="str">
        <f aca="false">IF($G3174="","","同時")</f>
        <v/>
      </c>
      <c r="M3174" s="2" t="str">
        <f aca="false">IF($G3174="","",IF(ISNA(MATCH($G3174,個別指定!$A:$A,0)),"行なし",""))</f>
        <v/>
      </c>
      <c r="N3174" s="2" t="str">
        <f aca="false">IF($G3174="","",IF(COUNTIF($G$2:$G$4460,$G3174)&gt;1,"重複",""))</f>
        <v/>
      </c>
    </row>
    <row r="3175" customFormat="false" ht="16.5" hidden="false" customHeight="true" outlineLevel="0" collapsed="false">
      <c r="A3175" s="2" t="s">
        <v>447</v>
      </c>
      <c r="B3175" s="2" t="s">
        <v>451</v>
      </c>
      <c r="C3175" s="2" t="s">
        <v>37</v>
      </c>
      <c r="D3175" s="2" t="str">
        <f aca="false">IF(4キー同時!$B$45="","",4キー同時!$B$45)</f>
        <v/>
      </c>
      <c r="E3175" s="2" t="str">
        <f aca="false">IF(4キー同時!$G$45="","",4キー同時!$G$45)</f>
        <v/>
      </c>
      <c r="F3175" s="2" t="str">
        <f aca="false">IF(4キー同時!$L$45="","",4キー同時!$L$45)</f>
        <v/>
      </c>
      <c r="G3175" s="2" t="str">
        <f aca="false">IF(OR(4キー同時!$B$45="",4キー同時!$G$45="",4キー同時!$L$45=""),"",IF(4キー同時!S53="","",SUBSTITUTE(SUBSTITUTE(4キー同時!S53," ",""),"　","")))</f>
        <v/>
      </c>
      <c r="H3175" s="2" t="str">
        <f aca="false">IF($G3175="","",4キー同時!$B$45)</f>
        <v/>
      </c>
      <c r="I3175" s="2" t="str">
        <f aca="false">IF($G3175="","",4キー同時!$G$45)</f>
        <v/>
      </c>
      <c r="J3175" s="2" t="str">
        <f aca="false">IF($G3175="","",4キー同時!$L$45)</f>
        <v/>
      </c>
      <c r="K3175" s="2" t="str">
        <f aca="false">IF($G3175="","","c")</f>
        <v/>
      </c>
      <c r="L3175" s="2" t="str">
        <f aca="false">IF($G3175="","","同時")</f>
        <v/>
      </c>
      <c r="M3175" s="2" t="str">
        <f aca="false">IF($G3175="","",IF(ISNA(MATCH($G3175,個別指定!$A:$A,0)),"行なし",""))</f>
        <v/>
      </c>
      <c r="N3175" s="2" t="str">
        <f aca="false">IF($G3175="","",IF(COUNTIF($G$2:$G$4460,$G3175)&gt;1,"重複",""))</f>
        <v/>
      </c>
    </row>
    <row r="3176" customFormat="false" ht="16.5" hidden="false" customHeight="true" outlineLevel="0" collapsed="false">
      <c r="A3176" s="2" t="s">
        <v>447</v>
      </c>
      <c r="B3176" s="2" t="s">
        <v>451</v>
      </c>
      <c r="C3176" s="2" t="s">
        <v>38</v>
      </c>
      <c r="D3176" s="2" t="str">
        <f aca="false">IF(4キー同時!$B$45="","",4キー同時!$B$45)</f>
        <v/>
      </c>
      <c r="E3176" s="2" t="str">
        <f aca="false">IF(4キー同時!$G$45="","",4キー同時!$G$45)</f>
        <v/>
      </c>
      <c r="F3176" s="2" t="str">
        <f aca="false">IF(4キー同時!$L$45="","",4キー同時!$L$45)</f>
        <v/>
      </c>
      <c r="G3176" s="2" t="str">
        <f aca="false">IF(OR(4キー同時!$B$45="",4キー同時!$G$45="",4キー同時!$L$45=""),"",IF(4キー同時!W53="","",SUBSTITUTE(SUBSTITUTE(4キー同時!W53," ",""),"　","")))</f>
        <v/>
      </c>
      <c r="H3176" s="2" t="str">
        <f aca="false">IF($G3176="","",4キー同時!$B$45)</f>
        <v/>
      </c>
      <c r="I3176" s="2" t="str">
        <f aca="false">IF($G3176="","",4キー同時!$G$45)</f>
        <v/>
      </c>
      <c r="J3176" s="2" t="str">
        <f aca="false">IF($G3176="","",4キー同時!$L$45)</f>
        <v/>
      </c>
      <c r="K3176" s="2" t="str">
        <f aca="false">IF($G3176="","","v")</f>
        <v/>
      </c>
      <c r="L3176" s="2" t="str">
        <f aca="false">IF($G3176="","","同時")</f>
        <v/>
      </c>
      <c r="M3176" s="2" t="str">
        <f aca="false">IF($G3176="","",IF(ISNA(MATCH($G3176,個別指定!$A:$A,0)),"行なし",""))</f>
        <v/>
      </c>
      <c r="N3176" s="2" t="str">
        <f aca="false">IF($G3176="","",IF(COUNTIF($G$2:$G$4460,$G3176)&gt;1,"重複",""))</f>
        <v/>
      </c>
    </row>
    <row r="3177" customFormat="false" ht="16.5" hidden="false" customHeight="true" outlineLevel="0" collapsed="false">
      <c r="A3177" s="2" t="s">
        <v>447</v>
      </c>
      <c r="B3177" s="2" t="s">
        <v>451</v>
      </c>
      <c r="C3177" s="2" t="s">
        <v>39</v>
      </c>
      <c r="D3177" s="2" t="str">
        <f aca="false">IF(4キー同時!$B$45="","",4キー同時!$B$45)</f>
        <v/>
      </c>
      <c r="E3177" s="2" t="str">
        <f aca="false">IF(4キー同時!$G$45="","",4キー同時!$G$45)</f>
        <v/>
      </c>
      <c r="F3177" s="2" t="str">
        <f aca="false">IF(4キー同時!$L$45="","",4キー同時!$L$45)</f>
        <v/>
      </c>
      <c r="G3177" s="2" t="str">
        <f aca="false">IF(OR(4キー同時!$B$45="",4キー同時!$G$45="",4キー同時!$L$45=""),"",IF(4キー同時!AA53="","",SUBSTITUTE(SUBSTITUTE(4キー同時!AA53," ",""),"　","")))</f>
        <v/>
      </c>
      <c r="H3177" s="2" t="str">
        <f aca="false">IF($G3177="","",4キー同時!$B$45)</f>
        <v/>
      </c>
      <c r="I3177" s="2" t="str">
        <f aca="false">IF($G3177="","",4キー同時!$G$45)</f>
        <v/>
      </c>
      <c r="J3177" s="2" t="str">
        <f aca="false">IF($G3177="","",4キー同時!$L$45)</f>
        <v/>
      </c>
      <c r="K3177" s="2" t="str">
        <f aca="false">IF($G3177="","","b")</f>
        <v/>
      </c>
      <c r="L3177" s="2" t="str">
        <f aca="false">IF($G3177="","","同時")</f>
        <v/>
      </c>
      <c r="M3177" s="2" t="str">
        <f aca="false">IF($G3177="","",IF(ISNA(MATCH($G3177,個別指定!$A:$A,0)),"行なし",""))</f>
        <v/>
      </c>
      <c r="N3177" s="2" t="str">
        <f aca="false">IF($G3177="","",IF(COUNTIF($G$2:$G$4460,$G3177)&gt;1,"重複",""))</f>
        <v/>
      </c>
    </row>
    <row r="3178" customFormat="false" ht="16.5" hidden="false" customHeight="true" outlineLevel="0" collapsed="false">
      <c r="A3178" s="2" t="s">
        <v>447</v>
      </c>
      <c r="B3178" s="2" t="s">
        <v>451</v>
      </c>
      <c r="C3178" s="2" t="s">
        <v>40</v>
      </c>
      <c r="D3178" s="2" t="str">
        <f aca="false">IF(4キー同時!$B$45="","",4キー同時!$B$45)</f>
        <v/>
      </c>
      <c r="E3178" s="2" t="str">
        <f aca="false">IF(4キー同時!$G$45="","",4キー同時!$G$45)</f>
        <v/>
      </c>
      <c r="F3178" s="2" t="str">
        <f aca="false">IF(4キー同時!$L$45="","",4キー同時!$L$45)</f>
        <v/>
      </c>
      <c r="G3178" s="2" t="str">
        <f aca="false">IF(OR(4キー同時!$B$45="",4キー同時!$G$45="",4キー同時!$L$45=""),"",IF(4キー同時!AE53="","",SUBSTITUTE(SUBSTITUTE(4キー同時!AE53," ",""),"　","")))</f>
        <v/>
      </c>
      <c r="H3178" s="2" t="str">
        <f aca="false">IF($G3178="","",4キー同時!$B$45)</f>
        <v/>
      </c>
      <c r="I3178" s="2" t="str">
        <f aca="false">IF($G3178="","",4キー同時!$G$45)</f>
        <v/>
      </c>
      <c r="J3178" s="2" t="str">
        <f aca="false">IF($G3178="","",4キー同時!$L$45)</f>
        <v/>
      </c>
      <c r="K3178" s="2" t="str">
        <f aca="false">IF($G3178="","","n")</f>
        <v/>
      </c>
      <c r="L3178" s="2" t="str">
        <f aca="false">IF($G3178="","","同時")</f>
        <v/>
      </c>
      <c r="M3178" s="2" t="str">
        <f aca="false">IF($G3178="","",IF(ISNA(MATCH($G3178,個別指定!$A:$A,0)),"行なし",""))</f>
        <v/>
      </c>
      <c r="N3178" s="2" t="str">
        <f aca="false">IF($G3178="","",IF(COUNTIF($G$2:$G$4460,$G3178)&gt;1,"重複",""))</f>
        <v/>
      </c>
    </row>
    <row r="3179" customFormat="false" ht="16.5" hidden="false" customHeight="true" outlineLevel="0" collapsed="false">
      <c r="A3179" s="2" t="s">
        <v>447</v>
      </c>
      <c r="B3179" s="2" t="s">
        <v>451</v>
      </c>
      <c r="C3179" s="2" t="s">
        <v>41</v>
      </c>
      <c r="D3179" s="2" t="str">
        <f aca="false">IF(4キー同時!$B$45="","",4キー同時!$B$45)</f>
        <v/>
      </c>
      <c r="E3179" s="2" t="str">
        <f aca="false">IF(4キー同時!$G$45="","",4キー同時!$G$45)</f>
        <v/>
      </c>
      <c r="F3179" s="2" t="str">
        <f aca="false">IF(4キー同時!$L$45="","",4キー同時!$L$45)</f>
        <v/>
      </c>
      <c r="G3179" s="2" t="str">
        <f aca="false">IF(OR(4キー同時!$B$45="",4キー同時!$G$45="",4キー同時!$L$45=""),"",IF(4キー同時!AI53="","",SUBSTITUTE(SUBSTITUTE(4キー同時!AI53," ",""),"　","")))</f>
        <v/>
      </c>
      <c r="H3179" s="2" t="str">
        <f aca="false">IF($G3179="","",4キー同時!$B$45)</f>
        <v/>
      </c>
      <c r="I3179" s="2" t="str">
        <f aca="false">IF($G3179="","",4キー同時!$G$45)</f>
        <v/>
      </c>
      <c r="J3179" s="2" t="str">
        <f aca="false">IF($G3179="","",4キー同時!$L$45)</f>
        <v/>
      </c>
      <c r="K3179" s="2" t="str">
        <f aca="false">IF($G3179="","","m")</f>
        <v/>
      </c>
      <c r="L3179" s="2" t="str">
        <f aca="false">IF($G3179="","","同時")</f>
        <v/>
      </c>
      <c r="M3179" s="2" t="str">
        <f aca="false">IF($G3179="","",IF(ISNA(MATCH($G3179,個別指定!$A:$A,0)),"行なし",""))</f>
        <v/>
      </c>
      <c r="N3179" s="2" t="str">
        <f aca="false">IF($G3179="","",IF(COUNTIF($G$2:$G$4460,$G3179)&gt;1,"重複",""))</f>
        <v/>
      </c>
    </row>
    <row r="3180" customFormat="false" ht="16.5" hidden="false" customHeight="true" outlineLevel="0" collapsed="false">
      <c r="A3180" s="2" t="s">
        <v>447</v>
      </c>
      <c r="B3180" s="2" t="s">
        <v>451</v>
      </c>
      <c r="C3180" s="2" t="s">
        <v>42</v>
      </c>
      <c r="D3180" s="2" t="str">
        <f aca="false">IF(4キー同時!$B$45="","",4キー同時!$B$45)</f>
        <v/>
      </c>
      <c r="E3180" s="2" t="str">
        <f aca="false">IF(4キー同時!$G$45="","",4キー同時!$G$45)</f>
        <v/>
      </c>
      <c r="F3180" s="2" t="str">
        <f aca="false">IF(4キー同時!$L$45="","",4キー同時!$L$45)</f>
        <v/>
      </c>
      <c r="G3180" s="2" t="str">
        <f aca="false">IF(OR(4キー同時!$B$45="",4キー同時!$G$45="",4キー同時!$L$45=""),"",IF(4キー同時!AM53="","",SUBSTITUTE(SUBSTITUTE(4キー同時!AM53," ",""),"　","")))</f>
        <v/>
      </c>
      <c r="H3180" s="2" t="str">
        <f aca="false">IF($G3180="","",4キー同時!$B$45)</f>
        <v/>
      </c>
      <c r="I3180" s="2" t="str">
        <f aca="false">IF($G3180="","",4キー同時!$G$45)</f>
        <v/>
      </c>
      <c r="J3180" s="2" t="str">
        <f aca="false">IF($G3180="","",4キー同時!$L$45)</f>
        <v/>
      </c>
      <c r="K3180" s="2" t="str">
        <f aca="false">IF($G3180="","",",")</f>
        <v/>
      </c>
      <c r="L3180" s="2" t="str">
        <f aca="false">IF($G3180="","","同時")</f>
        <v/>
      </c>
      <c r="M3180" s="2" t="str">
        <f aca="false">IF($G3180="","",IF(ISNA(MATCH($G3180,個別指定!$A:$A,0)),"行なし",""))</f>
        <v/>
      </c>
      <c r="N3180" s="2" t="str">
        <f aca="false">IF($G3180="","",IF(COUNTIF($G$2:$G$4460,$G3180)&gt;1,"重複",""))</f>
        <v/>
      </c>
    </row>
    <row r="3181" customFormat="false" ht="16.5" hidden="false" customHeight="true" outlineLevel="0" collapsed="false">
      <c r="A3181" s="2" t="s">
        <v>447</v>
      </c>
      <c r="B3181" s="2" t="s">
        <v>451</v>
      </c>
      <c r="C3181" s="2" t="s">
        <v>43</v>
      </c>
      <c r="D3181" s="2" t="str">
        <f aca="false">IF(4キー同時!$B$45="","",4キー同時!$B$45)</f>
        <v/>
      </c>
      <c r="E3181" s="2" t="str">
        <f aca="false">IF(4キー同時!$G$45="","",4キー同時!$G$45)</f>
        <v/>
      </c>
      <c r="F3181" s="2" t="str">
        <f aca="false">IF(4キー同時!$L$45="","",4キー同時!$L$45)</f>
        <v/>
      </c>
      <c r="G3181" s="2" t="str">
        <f aca="false">IF(OR(4キー同時!$B$45="",4キー同時!$G$45="",4キー同時!$L$45=""),"",IF(4キー同時!AQ53="","",SUBSTITUTE(SUBSTITUTE(4キー同時!AQ53," ",""),"　","")))</f>
        <v/>
      </c>
      <c r="H3181" s="2" t="str">
        <f aca="false">IF($G3181="","",4キー同時!$B$45)</f>
        <v/>
      </c>
      <c r="I3181" s="2" t="str">
        <f aca="false">IF($G3181="","",4キー同時!$G$45)</f>
        <v/>
      </c>
      <c r="J3181" s="2" t="str">
        <f aca="false">IF($G3181="","",4キー同時!$L$45)</f>
        <v/>
      </c>
      <c r="K3181" s="2" t="str">
        <f aca="false">IF($G3181="","",".")</f>
        <v/>
      </c>
      <c r="L3181" s="2" t="str">
        <f aca="false">IF($G3181="","","同時")</f>
        <v/>
      </c>
      <c r="M3181" s="2" t="str">
        <f aca="false">IF($G3181="","",IF(ISNA(MATCH($G3181,個別指定!$A:$A,0)),"行なし",""))</f>
        <v/>
      </c>
      <c r="N3181" s="2" t="str">
        <f aca="false">IF($G3181="","",IF(COUNTIF($G$2:$G$4460,$G3181)&gt;1,"重複",""))</f>
        <v/>
      </c>
    </row>
    <row r="3182" customFormat="false" ht="16.5" hidden="false" customHeight="true" outlineLevel="0" collapsed="false">
      <c r="A3182" s="2" t="s">
        <v>447</v>
      </c>
      <c r="B3182" s="2" t="s">
        <v>451</v>
      </c>
      <c r="C3182" s="2" t="s">
        <v>44</v>
      </c>
      <c r="D3182" s="2" t="str">
        <f aca="false">IF(4キー同時!$B$45="","",4キー同時!$B$45)</f>
        <v/>
      </c>
      <c r="E3182" s="2" t="str">
        <f aca="false">IF(4キー同時!$G$45="","",4キー同時!$G$45)</f>
        <v/>
      </c>
      <c r="F3182" s="2" t="str">
        <f aca="false">IF(4キー同時!$L$45="","",4キー同時!$L$45)</f>
        <v/>
      </c>
      <c r="G3182" s="2" t="str">
        <f aca="false">IF(OR(4キー同時!$B$45="",4キー同時!$G$45="",4キー同時!$L$45=""),"",IF(4キー同時!AU53="","",SUBSTITUTE(SUBSTITUTE(4キー同時!AU53," ",""),"　","")))</f>
        <v/>
      </c>
      <c r="H3182" s="2" t="str">
        <f aca="false">IF($G3182="","",4キー同時!$B$45)</f>
        <v/>
      </c>
      <c r="I3182" s="2" t="str">
        <f aca="false">IF($G3182="","",4キー同時!$G$45)</f>
        <v/>
      </c>
      <c r="J3182" s="2" t="str">
        <f aca="false">IF($G3182="","",4キー同時!$L$45)</f>
        <v/>
      </c>
      <c r="K3182" s="2" t="str">
        <f aca="false">IF($G3182="","","/")</f>
        <v/>
      </c>
      <c r="L3182" s="2" t="str">
        <f aca="false">IF($G3182="","","同時")</f>
        <v/>
      </c>
      <c r="M3182" s="2" t="str">
        <f aca="false">IF($G3182="","",IF(ISNA(MATCH($G3182,個別指定!$A:$A,0)),"行なし",""))</f>
        <v/>
      </c>
      <c r="N3182" s="2" t="str">
        <f aca="false">IF($G3182="","",IF(COUNTIF($G$2:$G$4460,$G3182)&gt;1,"重複",""))</f>
        <v/>
      </c>
    </row>
    <row r="3183" customFormat="false" ht="16.5" hidden="false" customHeight="true" outlineLevel="0" collapsed="false">
      <c r="A3183" s="2" t="s">
        <v>447</v>
      </c>
      <c r="B3183" s="2" t="s">
        <v>451</v>
      </c>
      <c r="C3183" s="2" t="s">
        <v>48</v>
      </c>
      <c r="D3183" s="2" t="str">
        <f aca="false">IF(4キー同時!$B$45="","",4キー同時!$B$45)</f>
        <v/>
      </c>
      <c r="E3183" s="2" t="str">
        <f aca="false">IF(4キー同時!$G$45="","",4キー同時!$G$45)</f>
        <v/>
      </c>
      <c r="F3183" s="2" t="str">
        <f aca="false">IF(4キー同時!$L$45="","",4キー同時!$L$45)</f>
        <v/>
      </c>
      <c r="G3183" s="2" t="str">
        <f aca="false">IF(OR(4キー同時!$B$45="",4キー同時!$G$45="",4キー同時!$L$45=""),"",IF(4キー同時!P55="","",SUBSTITUTE(SUBSTITUTE(4キー同時!P55," ",""),"　","")))</f>
        <v/>
      </c>
      <c r="H3183" s="2" t="str">
        <f aca="false">IF($G3183="","",4キー同時!$B$45)</f>
        <v/>
      </c>
      <c r="I3183" s="2" t="str">
        <f aca="false">IF($G3183="","",4キー同時!$G$45)</f>
        <v/>
      </c>
      <c r="J3183" s="2" t="str">
        <f aca="false">IF($G3183="","",4キー同時!$L$45)</f>
        <v/>
      </c>
      <c r="K3183" s="2" t="str">
        <f aca="false">IF($G3183="","","muhenkan")</f>
        <v/>
      </c>
      <c r="L3183" s="2" t="str">
        <f aca="false">IF($G3183="","","同時")</f>
        <v/>
      </c>
      <c r="M3183" s="2" t="str">
        <f aca="false">IF($G3183="","",IF(ISNA(MATCH($G3183,個別指定!$A:$A,0)),"行なし",""))</f>
        <v/>
      </c>
      <c r="N3183" s="2" t="str">
        <f aca="false">IF($G3183="","",IF(COUNTIF($G$2:$G$4460,$G3183)&gt;1,"重複",""))</f>
        <v/>
      </c>
    </row>
    <row r="3184" customFormat="false" ht="16.5" hidden="false" customHeight="true" outlineLevel="0" collapsed="false">
      <c r="A3184" s="2" t="s">
        <v>447</v>
      </c>
      <c r="B3184" s="2" t="s">
        <v>451</v>
      </c>
      <c r="C3184" s="2" t="s">
        <v>50</v>
      </c>
      <c r="D3184" s="2" t="str">
        <f aca="false">IF(4キー同時!$B$45="","",4キー同時!$B$45)</f>
        <v/>
      </c>
      <c r="E3184" s="2" t="str">
        <f aca="false">IF(4キー同時!$G$45="","",4キー同時!$G$45)</f>
        <v/>
      </c>
      <c r="F3184" s="2" t="str">
        <f aca="false">IF(4キー同時!$L$45="","",4キー同時!$L$45)</f>
        <v/>
      </c>
      <c r="G3184" s="2" t="str">
        <f aca="false">IF(OR(4キー同時!$B$45="",4キー同時!$G$45="",4キー同時!$L$45=""),"",IF(4キー同時!T55="","",SUBSTITUTE(SUBSTITUTE(4キー同時!T55," ",""),"　","")))</f>
        <v/>
      </c>
      <c r="H3184" s="2" t="str">
        <f aca="false">IF($G3184="","",4キー同時!$B$45)</f>
        <v/>
      </c>
      <c r="I3184" s="2" t="str">
        <f aca="false">IF($G3184="","",4キー同時!$G$45)</f>
        <v/>
      </c>
      <c r="J3184" s="2" t="str">
        <f aca="false">IF($G3184="","",4キー同時!$L$45)</f>
        <v/>
      </c>
      <c r="K3184" s="2" t="str">
        <f aca="false">IF($G3184="","","space")</f>
        <v/>
      </c>
      <c r="L3184" s="2" t="str">
        <f aca="false">IF($G3184="","","同時")</f>
        <v/>
      </c>
      <c r="M3184" s="2" t="str">
        <f aca="false">IF($G3184="","",IF(ISNA(MATCH($G3184,個別指定!$A:$A,0)),"行なし",""))</f>
        <v/>
      </c>
      <c r="N3184" s="2" t="str">
        <f aca="false">IF($G3184="","",IF(COUNTIF($G$2:$G$4460,$G3184)&gt;1,"重複",""))</f>
        <v/>
      </c>
    </row>
    <row r="3185" customFormat="false" ht="16.5" hidden="false" customHeight="true" outlineLevel="0" collapsed="false">
      <c r="A3185" s="2" t="s">
        <v>447</v>
      </c>
      <c r="B3185" s="2" t="s">
        <v>451</v>
      </c>
      <c r="C3185" s="2" t="s">
        <v>45</v>
      </c>
      <c r="D3185" s="2" t="str">
        <f aca="false">IF(4キー同時!$B$45="","",4キー同時!$B$45)</f>
        <v/>
      </c>
      <c r="E3185" s="2" t="str">
        <f aca="false">IF(4キー同時!$G$45="","",4キー同時!$G$45)</f>
        <v/>
      </c>
      <c r="F3185" s="2" t="str">
        <f aca="false">IF(4キー同時!$L$45="","",4キー同時!$L$45)</f>
        <v/>
      </c>
      <c r="G3185" s="2" t="str">
        <f aca="false">IF(OR(4キー同時!$B$45="",4キー同時!$G$45="",4キー同時!$L$45=""),"",IF(4キー同時!AL55="","",SUBSTITUTE(SUBSTITUTE(4キー同時!AL55," ",""),"　","")))</f>
        <v/>
      </c>
      <c r="H3185" s="2" t="str">
        <f aca="false">IF($G3185="","",4キー同時!$B$45)</f>
        <v/>
      </c>
      <c r="I3185" s="2" t="str">
        <f aca="false">IF($G3185="","",4キー同時!$G$45)</f>
        <v/>
      </c>
      <c r="J3185" s="2" t="str">
        <f aca="false">IF($G3185="","",4キー同時!$L$45)</f>
        <v/>
      </c>
      <c r="K3185" s="2" t="str">
        <f aca="false">IF($G3185="","","henkan")</f>
        <v/>
      </c>
      <c r="L3185" s="2" t="str">
        <f aca="false">IF($G3185="","","同時")</f>
        <v/>
      </c>
      <c r="M3185" s="2" t="str">
        <f aca="false">IF($G3185="","",IF(ISNA(MATCH($G3185,個別指定!$A:$A,0)),"行なし",""))</f>
        <v/>
      </c>
      <c r="N3185" s="2" t="str">
        <f aca="false">IF($G3185="","",IF(COUNTIF($G$2:$G$4460,$G3185)&gt;1,"重複",""))</f>
        <v/>
      </c>
    </row>
    <row r="3186" customFormat="false" ht="16.5" hidden="false" customHeight="true" outlineLevel="0" collapsed="false">
      <c r="A3186" s="2" t="s">
        <v>447</v>
      </c>
      <c r="B3186" s="2" t="s">
        <v>451</v>
      </c>
      <c r="C3186" s="2" t="s">
        <v>46</v>
      </c>
      <c r="D3186" s="2" t="str">
        <f aca="false">IF(4キー同時!$B$45="","",4キー同時!$B$45)</f>
        <v/>
      </c>
      <c r="E3186" s="2" t="str">
        <f aca="false">IF(4キー同時!$G$45="","",4キー同時!$G$45)</f>
        <v/>
      </c>
      <c r="F3186" s="2" t="str">
        <f aca="false">IF(4キー同時!$L$45="","",4キー同時!$L$45)</f>
        <v/>
      </c>
      <c r="G3186" s="2" t="str">
        <f aca="false">IF(OR(4キー同時!$B$45="",4キー同時!$G$45="",4キー同時!$L$45=""),"",IF(4キー同時!AP55="","",SUBSTITUTE(SUBSTITUTE(4キー同時!AP55," ",""),"　","")))</f>
        <v/>
      </c>
      <c r="H3186" s="2" t="str">
        <f aca="false">IF($G3186="","",4キー同時!$B$45)</f>
        <v/>
      </c>
      <c r="I3186" s="2" t="str">
        <f aca="false">IF($G3186="","",4キー同時!$G$45)</f>
        <v/>
      </c>
      <c r="J3186" s="2" t="str">
        <f aca="false">IF($G3186="","",4キー同時!$L$45)</f>
        <v/>
      </c>
      <c r="K3186" s="2" t="str">
        <f aca="false">IF($G3186="","","kana")</f>
        <v/>
      </c>
      <c r="L3186" s="2" t="str">
        <f aca="false">IF($G3186="","","同時")</f>
        <v/>
      </c>
      <c r="M3186" s="2" t="str">
        <f aca="false">IF($G3186="","",IF(ISNA(MATCH($G3186,個別指定!$A:$A,0)),"行なし",""))</f>
        <v/>
      </c>
      <c r="N3186" s="2" t="str">
        <f aca="false">IF($G3186="","",IF(COUNTIF($G$2:$G$4460,$G3186)&gt;1,"重複",""))</f>
        <v/>
      </c>
    </row>
    <row r="3187" customFormat="false" ht="16.5" hidden="false" customHeight="true" outlineLevel="0" collapsed="false">
      <c r="A3187" s="2" t="s">
        <v>447</v>
      </c>
      <c r="B3187" s="2" t="s">
        <v>452</v>
      </c>
      <c r="C3187" s="2" t="s">
        <v>0</v>
      </c>
      <c r="D3187" s="2" t="str">
        <f aca="false">IF(4キー同時!$B$58="","",4キー同時!$B$58)</f>
        <v/>
      </c>
      <c r="E3187" s="2" t="str">
        <f aca="false">IF(4キー同時!$G$58="","",4キー同時!$G$58)</f>
        <v/>
      </c>
      <c r="F3187" s="2" t="str">
        <f aca="false">IF(4キー同時!$L$58="","",4キー同時!$L$58)</f>
        <v/>
      </c>
      <c r="G3187" s="2" t="str">
        <f aca="false">IF(OR(4キー同時!$B$58="",4キー同時!$G$58="",4キー同時!$L$58=""),"",IF(4キー同時!F60="","",SUBSTITUTE(SUBSTITUTE(4キー同時!F60," ",""),"　","")))</f>
        <v/>
      </c>
      <c r="H3187" s="2" t="str">
        <f aca="false">IF($G3187="","",4キー同時!$B$58)</f>
        <v/>
      </c>
      <c r="I3187" s="2" t="str">
        <f aca="false">IF($G3187="","",4キー同時!$G$58)</f>
        <v/>
      </c>
      <c r="J3187" s="2" t="str">
        <f aca="false">IF($G3187="","",4キー同時!$L$58)</f>
        <v/>
      </c>
      <c r="K3187" s="2" t="str">
        <f aca="false">IF($G3187="","","1")</f>
        <v/>
      </c>
      <c r="L3187" s="2" t="str">
        <f aca="false">IF($G3187="","","同時")</f>
        <v/>
      </c>
      <c r="M3187" s="2" t="str">
        <f aca="false">IF($G3187="","",IF(ISNA(MATCH($G3187,個別指定!$A:$A,0)),"行なし",""))</f>
        <v/>
      </c>
      <c r="N3187" s="2" t="str">
        <f aca="false">IF($G3187="","",IF(COUNTIF($G$2:$G$4460,$G3187)&gt;1,"重複",""))</f>
        <v/>
      </c>
    </row>
    <row r="3188" customFormat="false" ht="16.5" hidden="false" customHeight="true" outlineLevel="0" collapsed="false">
      <c r="A3188" s="2" t="s">
        <v>447</v>
      </c>
      <c r="B3188" s="2" t="s">
        <v>452</v>
      </c>
      <c r="C3188" s="2" t="s">
        <v>1</v>
      </c>
      <c r="D3188" s="2" t="str">
        <f aca="false">IF(4キー同時!$B$58="","",4キー同時!$B$58)</f>
        <v/>
      </c>
      <c r="E3188" s="2" t="str">
        <f aca="false">IF(4キー同時!$G$58="","",4キー同時!$G$58)</f>
        <v/>
      </c>
      <c r="F3188" s="2" t="str">
        <f aca="false">IF(4キー同時!$L$58="","",4キー同時!$L$58)</f>
        <v/>
      </c>
      <c r="G3188" s="2" t="str">
        <f aca="false">IF(OR(4キー同時!$B$58="",4キー同時!$G$58="",4キー同時!$L$58=""),"",IF(4キー同時!J60="","",SUBSTITUTE(SUBSTITUTE(4キー同時!J60," ",""),"　","")))</f>
        <v/>
      </c>
      <c r="H3188" s="2" t="str">
        <f aca="false">IF($G3188="","",4キー同時!$B$58)</f>
        <v/>
      </c>
      <c r="I3188" s="2" t="str">
        <f aca="false">IF($G3188="","",4キー同時!$G$58)</f>
        <v/>
      </c>
      <c r="J3188" s="2" t="str">
        <f aca="false">IF($G3188="","",4キー同時!$L$58)</f>
        <v/>
      </c>
      <c r="K3188" s="2" t="str">
        <f aca="false">IF($G3188="","","2")</f>
        <v/>
      </c>
      <c r="L3188" s="2" t="str">
        <f aca="false">IF($G3188="","","同時")</f>
        <v/>
      </c>
      <c r="M3188" s="2" t="str">
        <f aca="false">IF($G3188="","",IF(ISNA(MATCH($G3188,個別指定!$A:$A,0)),"行なし",""))</f>
        <v/>
      </c>
      <c r="N3188" s="2" t="str">
        <f aca="false">IF($G3188="","",IF(COUNTIF($G$2:$G$4460,$G3188)&gt;1,"重複",""))</f>
        <v/>
      </c>
    </row>
    <row r="3189" customFormat="false" ht="16.5" hidden="false" customHeight="true" outlineLevel="0" collapsed="false">
      <c r="A3189" s="2" t="s">
        <v>447</v>
      </c>
      <c r="B3189" s="2" t="s">
        <v>452</v>
      </c>
      <c r="C3189" s="2" t="s">
        <v>2</v>
      </c>
      <c r="D3189" s="2" t="str">
        <f aca="false">IF(4キー同時!$B$58="","",4キー同時!$B$58)</f>
        <v/>
      </c>
      <c r="E3189" s="2" t="str">
        <f aca="false">IF(4キー同時!$G$58="","",4キー同時!$G$58)</f>
        <v/>
      </c>
      <c r="F3189" s="2" t="str">
        <f aca="false">IF(4キー同時!$L$58="","",4キー同時!$L$58)</f>
        <v/>
      </c>
      <c r="G3189" s="2" t="str">
        <f aca="false">IF(OR(4キー同時!$B$58="",4キー同時!$G$58="",4キー同時!$L$58=""),"",IF(4キー同時!N60="","",SUBSTITUTE(SUBSTITUTE(4キー同時!N60," ",""),"　","")))</f>
        <v/>
      </c>
      <c r="H3189" s="2" t="str">
        <f aca="false">IF($G3189="","",4キー同時!$B$58)</f>
        <v/>
      </c>
      <c r="I3189" s="2" t="str">
        <f aca="false">IF($G3189="","",4キー同時!$G$58)</f>
        <v/>
      </c>
      <c r="J3189" s="2" t="str">
        <f aca="false">IF($G3189="","",4キー同時!$L$58)</f>
        <v/>
      </c>
      <c r="K3189" s="2" t="str">
        <f aca="false">IF($G3189="","","3")</f>
        <v/>
      </c>
      <c r="L3189" s="2" t="str">
        <f aca="false">IF($G3189="","","同時")</f>
        <v/>
      </c>
      <c r="M3189" s="2" t="str">
        <f aca="false">IF($G3189="","",IF(ISNA(MATCH($G3189,個別指定!$A:$A,0)),"行なし",""))</f>
        <v/>
      </c>
      <c r="N3189" s="2" t="str">
        <f aca="false">IF($G3189="","",IF(COUNTIF($G$2:$G$4460,$G3189)&gt;1,"重複",""))</f>
        <v/>
      </c>
    </row>
    <row r="3190" customFormat="false" ht="16.5" hidden="false" customHeight="true" outlineLevel="0" collapsed="false">
      <c r="A3190" s="2" t="s">
        <v>447</v>
      </c>
      <c r="B3190" s="2" t="s">
        <v>452</v>
      </c>
      <c r="C3190" s="2" t="s">
        <v>3</v>
      </c>
      <c r="D3190" s="2" t="str">
        <f aca="false">IF(4キー同時!$B$58="","",4キー同時!$B$58)</f>
        <v/>
      </c>
      <c r="E3190" s="2" t="str">
        <f aca="false">IF(4キー同時!$G$58="","",4キー同時!$G$58)</f>
        <v/>
      </c>
      <c r="F3190" s="2" t="str">
        <f aca="false">IF(4キー同時!$L$58="","",4キー同時!$L$58)</f>
        <v/>
      </c>
      <c r="G3190" s="2" t="str">
        <f aca="false">IF(OR(4キー同時!$B$58="",4キー同時!$G$58="",4キー同時!$L$58=""),"",IF(4キー同時!R60="","",SUBSTITUTE(SUBSTITUTE(4キー同時!R60," ",""),"　","")))</f>
        <v/>
      </c>
      <c r="H3190" s="2" t="str">
        <f aca="false">IF($G3190="","",4キー同時!$B$58)</f>
        <v/>
      </c>
      <c r="I3190" s="2" t="str">
        <f aca="false">IF($G3190="","",4キー同時!$G$58)</f>
        <v/>
      </c>
      <c r="J3190" s="2" t="str">
        <f aca="false">IF($G3190="","",4キー同時!$L$58)</f>
        <v/>
      </c>
      <c r="K3190" s="2" t="str">
        <f aca="false">IF($G3190="","","4")</f>
        <v/>
      </c>
      <c r="L3190" s="2" t="str">
        <f aca="false">IF($G3190="","","同時")</f>
        <v/>
      </c>
      <c r="M3190" s="2" t="str">
        <f aca="false">IF($G3190="","",IF(ISNA(MATCH($G3190,個別指定!$A:$A,0)),"行なし",""))</f>
        <v/>
      </c>
      <c r="N3190" s="2" t="str">
        <f aca="false">IF($G3190="","",IF(COUNTIF($G$2:$G$4460,$G3190)&gt;1,"重複",""))</f>
        <v/>
      </c>
    </row>
    <row r="3191" customFormat="false" ht="16.5" hidden="false" customHeight="true" outlineLevel="0" collapsed="false">
      <c r="A3191" s="2" t="s">
        <v>447</v>
      </c>
      <c r="B3191" s="2" t="s">
        <v>452</v>
      </c>
      <c r="C3191" s="2" t="s">
        <v>4</v>
      </c>
      <c r="D3191" s="2" t="str">
        <f aca="false">IF(4キー同時!$B$58="","",4キー同時!$B$58)</f>
        <v/>
      </c>
      <c r="E3191" s="2" t="str">
        <f aca="false">IF(4キー同時!$G$58="","",4キー同時!$G$58)</f>
        <v/>
      </c>
      <c r="F3191" s="2" t="str">
        <f aca="false">IF(4キー同時!$L$58="","",4キー同時!$L$58)</f>
        <v/>
      </c>
      <c r="G3191" s="2" t="str">
        <f aca="false">IF(OR(4キー同時!$B$58="",4キー同時!$G$58="",4キー同時!$L$58=""),"",IF(4キー同時!V60="","",SUBSTITUTE(SUBSTITUTE(4キー同時!V60," ",""),"　","")))</f>
        <v/>
      </c>
      <c r="H3191" s="2" t="str">
        <f aca="false">IF($G3191="","",4キー同時!$B$58)</f>
        <v/>
      </c>
      <c r="I3191" s="2" t="str">
        <f aca="false">IF($G3191="","",4キー同時!$G$58)</f>
        <v/>
      </c>
      <c r="J3191" s="2" t="str">
        <f aca="false">IF($G3191="","",4キー同時!$L$58)</f>
        <v/>
      </c>
      <c r="K3191" s="2" t="str">
        <f aca="false">IF($G3191="","","5")</f>
        <v/>
      </c>
      <c r="L3191" s="2" t="str">
        <f aca="false">IF($G3191="","","同時")</f>
        <v/>
      </c>
      <c r="M3191" s="2" t="str">
        <f aca="false">IF($G3191="","",IF(ISNA(MATCH($G3191,個別指定!$A:$A,0)),"行なし",""))</f>
        <v/>
      </c>
      <c r="N3191" s="2" t="str">
        <f aca="false">IF($G3191="","",IF(COUNTIF($G$2:$G$4460,$G3191)&gt;1,"重複",""))</f>
        <v/>
      </c>
    </row>
    <row r="3192" customFormat="false" ht="16.5" hidden="false" customHeight="true" outlineLevel="0" collapsed="false">
      <c r="A3192" s="2" t="s">
        <v>447</v>
      </c>
      <c r="B3192" s="2" t="s">
        <v>452</v>
      </c>
      <c r="C3192" s="2" t="s">
        <v>5</v>
      </c>
      <c r="D3192" s="2" t="str">
        <f aca="false">IF(4キー同時!$B$58="","",4キー同時!$B$58)</f>
        <v/>
      </c>
      <c r="E3192" s="2" t="str">
        <f aca="false">IF(4キー同時!$G$58="","",4キー同時!$G$58)</f>
        <v/>
      </c>
      <c r="F3192" s="2" t="str">
        <f aca="false">IF(4キー同時!$L$58="","",4キー同時!$L$58)</f>
        <v/>
      </c>
      <c r="G3192" s="2" t="str">
        <f aca="false">IF(OR(4キー同時!$B$58="",4キー同時!$G$58="",4キー同時!$L$58=""),"",IF(4キー同時!Z60="","",SUBSTITUTE(SUBSTITUTE(4キー同時!Z60," ",""),"　","")))</f>
        <v/>
      </c>
      <c r="H3192" s="2" t="str">
        <f aca="false">IF($G3192="","",4キー同時!$B$58)</f>
        <v/>
      </c>
      <c r="I3192" s="2" t="str">
        <f aca="false">IF($G3192="","",4キー同時!$G$58)</f>
        <v/>
      </c>
      <c r="J3192" s="2" t="str">
        <f aca="false">IF($G3192="","",4キー同時!$L$58)</f>
        <v/>
      </c>
      <c r="K3192" s="2" t="str">
        <f aca="false">IF($G3192="","","6")</f>
        <v/>
      </c>
      <c r="L3192" s="2" t="str">
        <f aca="false">IF($G3192="","","同時")</f>
        <v/>
      </c>
      <c r="M3192" s="2" t="str">
        <f aca="false">IF($G3192="","",IF(ISNA(MATCH($G3192,個別指定!$A:$A,0)),"行なし",""))</f>
        <v/>
      </c>
      <c r="N3192" s="2" t="str">
        <f aca="false">IF($G3192="","",IF(COUNTIF($G$2:$G$4460,$G3192)&gt;1,"重複",""))</f>
        <v/>
      </c>
    </row>
    <row r="3193" customFormat="false" ht="16.5" hidden="false" customHeight="true" outlineLevel="0" collapsed="false">
      <c r="A3193" s="2" t="s">
        <v>447</v>
      </c>
      <c r="B3193" s="2" t="s">
        <v>452</v>
      </c>
      <c r="C3193" s="2" t="s">
        <v>6</v>
      </c>
      <c r="D3193" s="2" t="str">
        <f aca="false">IF(4キー同時!$B$58="","",4キー同時!$B$58)</f>
        <v/>
      </c>
      <c r="E3193" s="2" t="str">
        <f aca="false">IF(4キー同時!$G$58="","",4キー同時!$G$58)</f>
        <v/>
      </c>
      <c r="F3193" s="2" t="str">
        <f aca="false">IF(4キー同時!$L$58="","",4キー同時!$L$58)</f>
        <v/>
      </c>
      <c r="G3193" s="2" t="str">
        <f aca="false">IF(OR(4キー同時!$B$58="",4キー同時!$G$58="",4キー同時!$L$58=""),"",IF(4キー同時!AD60="","",SUBSTITUTE(SUBSTITUTE(4キー同時!AD60," ",""),"　","")))</f>
        <v/>
      </c>
      <c r="H3193" s="2" t="str">
        <f aca="false">IF($G3193="","",4キー同時!$B$58)</f>
        <v/>
      </c>
      <c r="I3193" s="2" t="str">
        <f aca="false">IF($G3193="","",4キー同時!$G$58)</f>
        <v/>
      </c>
      <c r="J3193" s="2" t="str">
        <f aca="false">IF($G3193="","",4キー同時!$L$58)</f>
        <v/>
      </c>
      <c r="K3193" s="2" t="str">
        <f aca="false">IF($G3193="","","7")</f>
        <v/>
      </c>
      <c r="L3193" s="2" t="str">
        <f aca="false">IF($G3193="","","同時")</f>
        <v/>
      </c>
      <c r="M3193" s="2" t="str">
        <f aca="false">IF($G3193="","",IF(ISNA(MATCH($G3193,個別指定!$A:$A,0)),"行なし",""))</f>
        <v/>
      </c>
      <c r="N3193" s="2" t="str">
        <f aca="false">IF($G3193="","",IF(COUNTIF($G$2:$G$4460,$G3193)&gt;1,"重複",""))</f>
        <v/>
      </c>
    </row>
    <row r="3194" customFormat="false" ht="16.5" hidden="false" customHeight="true" outlineLevel="0" collapsed="false">
      <c r="A3194" s="2" t="s">
        <v>447</v>
      </c>
      <c r="B3194" s="2" t="s">
        <v>452</v>
      </c>
      <c r="C3194" s="2" t="s">
        <v>7</v>
      </c>
      <c r="D3194" s="2" t="str">
        <f aca="false">IF(4キー同時!$B$58="","",4キー同時!$B$58)</f>
        <v/>
      </c>
      <c r="E3194" s="2" t="str">
        <f aca="false">IF(4キー同時!$G$58="","",4キー同時!$G$58)</f>
        <v/>
      </c>
      <c r="F3194" s="2" t="str">
        <f aca="false">IF(4キー同時!$L$58="","",4キー同時!$L$58)</f>
        <v/>
      </c>
      <c r="G3194" s="2" t="str">
        <f aca="false">IF(OR(4キー同時!$B$58="",4キー同時!$G$58="",4キー同時!$L$58=""),"",IF(4キー同時!AH60="","",SUBSTITUTE(SUBSTITUTE(4キー同時!AH60," ",""),"　","")))</f>
        <v/>
      </c>
      <c r="H3194" s="2" t="str">
        <f aca="false">IF($G3194="","",4キー同時!$B$58)</f>
        <v/>
      </c>
      <c r="I3194" s="2" t="str">
        <f aca="false">IF($G3194="","",4キー同時!$G$58)</f>
        <v/>
      </c>
      <c r="J3194" s="2" t="str">
        <f aca="false">IF($G3194="","",4キー同時!$L$58)</f>
        <v/>
      </c>
      <c r="K3194" s="2" t="str">
        <f aca="false">IF($G3194="","","8")</f>
        <v/>
      </c>
      <c r="L3194" s="2" t="str">
        <f aca="false">IF($G3194="","","同時")</f>
        <v/>
      </c>
      <c r="M3194" s="2" t="str">
        <f aca="false">IF($G3194="","",IF(ISNA(MATCH($G3194,個別指定!$A:$A,0)),"行なし",""))</f>
        <v/>
      </c>
      <c r="N3194" s="2" t="str">
        <f aca="false">IF($G3194="","",IF(COUNTIF($G$2:$G$4460,$G3194)&gt;1,"重複",""))</f>
        <v/>
      </c>
    </row>
    <row r="3195" customFormat="false" ht="16.5" hidden="false" customHeight="true" outlineLevel="0" collapsed="false">
      <c r="A3195" s="2" t="s">
        <v>447</v>
      </c>
      <c r="B3195" s="2" t="s">
        <v>452</v>
      </c>
      <c r="C3195" s="2" t="s">
        <v>8</v>
      </c>
      <c r="D3195" s="2" t="str">
        <f aca="false">IF(4キー同時!$B$58="","",4キー同時!$B$58)</f>
        <v/>
      </c>
      <c r="E3195" s="2" t="str">
        <f aca="false">IF(4キー同時!$G$58="","",4キー同時!$G$58)</f>
        <v/>
      </c>
      <c r="F3195" s="2" t="str">
        <f aca="false">IF(4キー同時!$L$58="","",4キー同時!$L$58)</f>
        <v/>
      </c>
      <c r="G3195" s="2" t="str">
        <f aca="false">IF(OR(4キー同時!$B$58="",4キー同時!$G$58="",4キー同時!$L$58=""),"",IF(4キー同時!AL60="","",SUBSTITUTE(SUBSTITUTE(4キー同時!AL60," ",""),"　","")))</f>
        <v/>
      </c>
      <c r="H3195" s="2" t="str">
        <f aca="false">IF($G3195="","",4キー同時!$B$58)</f>
        <v/>
      </c>
      <c r="I3195" s="2" t="str">
        <f aca="false">IF($G3195="","",4キー同時!$G$58)</f>
        <v/>
      </c>
      <c r="J3195" s="2" t="str">
        <f aca="false">IF($G3195="","",4キー同時!$L$58)</f>
        <v/>
      </c>
      <c r="K3195" s="2" t="str">
        <f aca="false">IF($G3195="","","9")</f>
        <v/>
      </c>
      <c r="L3195" s="2" t="str">
        <f aca="false">IF($G3195="","","同時")</f>
        <v/>
      </c>
      <c r="M3195" s="2" t="str">
        <f aca="false">IF($G3195="","",IF(ISNA(MATCH($G3195,個別指定!$A:$A,0)),"行なし",""))</f>
        <v/>
      </c>
      <c r="N3195" s="2" t="str">
        <f aca="false">IF($G3195="","",IF(COUNTIF($G$2:$G$4460,$G3195)&gt;1,"重複",""))</f>
        <v/>
      </c>
    </row>
    <row r="3196" customFormat="false" ht="16.5" hidden="false" customHeight="true" outlineLevel="0" collapsed="false">
      <c r="A3196" s="2" t="s">
        <v>447</v>
      </c>
      <c r="B3196" s="2" t="s">
        <v>452</v>
      </c>
      <c r="C3196" s="2" t="s">
        <v>9</v>
      </c>
      <c r="D3196" s="2" t="str">
        <f aca="false">IF(4キー同時!$B$58="","",4キー同時!$B$58)</f>
        <v/>
      </c>
      <c r="E3196" s="2" t="str">
        <f aca="false">IF(4キー同時!$G$58="","",4キー同時!$G$58)</f>
        <v/>
      </c>
      <c r="F3196" s="2" t="str">
        <f aca="false">IF(4キー同時!$L$58="","",4キー同時!$L$58)</f>
        <v/>
      </c>
      <c r="G3196" s="2" t="str">
        <f aca="false">IF(OR(4キー同時!$B$58="",4キー同時!$G$58="",4キー同時!$L$58=""),"",IF(4キー同時!AP60="","",SUBSTITUTE(SUBSTITUTE(4キー同時!AP60," ",""),"　","")))</f>
        <v/>
      </c>
      <c r="H3196" s="2" t="str">
        <f aca="false">IF($G3196="","",4キー同時!$B$58)</f>
        <v/>
      </c>
      <c r="I3196" s="2" t="str">
        <f aca="false">IF($G3196="","",4キー同時!$G$58)</f>
        <v/>
      </c>
      <c r="J3196" s="2" t="str">
        <f aca="false">IF($G3196="","",4キー同時!$L$58)</f>
        <v/>
      </c>
      <c r="K3196" s="2" t="str">
        <f aca="false">IF($G3196="","","0")</f>
        <v/>
      </c>
      <c r="L3196" s="2" t="str">
        <f aca="false">IF($G3196="","","同時")</f>
        <v/>
      </c>
      <c r="M3196" s="2" t="str">
        <f aca="false">IF($G3196="","",IF(ISNA(MATCH($G3196,個別指定!$A:$A,0)),"行なし",""))</f>
        <v/>
      </c>
      <c r="N3196" s="2" t="str">
        <f aca="false">IF($G3196="","",IF(COUNTIF($G$2:$G$4460,$G3196)&gt;1,"重複",""))</f>
        <v/>
      </c>
    </row>
    <row r="3197" customFormat="false" ht="16.5" hidden="false" customHeight="true" outlineLevel="0" collapsed="false">
      <c r="A3197" s="2" t="s">
        <v>447</v>
      </c>
      <c r="B3197" s="2" t="s">
        <v>452</v>
      </c>
      <c r="C3197" s="2" t="s">
        <v>10</v>
      </c>
      <c r="D3197" s="2" t="str">
        <f aca="false">IF(4キー同時!$B$58="","",4キー同時!$B$58)</f>
        <v/>
      </c>
      <c r="E3197" s="2" t="str">
        <f aca="false">IF(4キー同時!$G$58="","",4キー同時!$G$58)</f>
        <v/>
      </c>
      <c r="F3197" s="2" t="str">
        <f aca="false">IF(4キー同時!$L$58="","",4キー同時!$L$58)</f>
        <v/>
      </c>
      <c r="G3197" s="2" t="str">
        <f aca="false">IF(OR(4キー同時!$B$58="",4キー同時!$G$58="",4キー同時!$L$58=""),"",IF(4キー同時!AT60="","",SUBSTITUTE(SUBSTITUTE(4キー同時!AT60," ",""),"　","")))</f>
        <v/>
      </c>
      <c r="H3197" s="2" t="str">
        <f aca="false">IF($G3197="","",4キー同時!$B$58)</f>
        <v/>
      </c>
      <c r="I3197" s="2" t="str">
        <f aca="false">IF($G3197="","",4キー同時!$G$58)</f>
        <v/>
      </c>
      <c r="J3197" s="2" t="str">
        <f aca="false">IF($G3197="","",4キー同時!$L$58)</f>
        <v/>
      </c>
      <c r="K3197" s="2" t="str">
        <f aca="false">IF($G3197="","","-")</f>
        <v/>
      </c>
      <c r="L3197" s="2" t="str">
        <f aca="false">IF($G3197="","","同時")</f>
        <v/>
      </c>
      <c r="M3197" s="2" t="str">
        <f aca="false">IF($G3197="","",IF(ISNA(MATCH($G3197,個別指定!$A:$A,0)),"行なし",""))</f>
        <v/>
      </c>
      <c r="N3197" s="2" t="str">
        <f aca="false">IF($G3197="","",IF(COUNTIF($G$2:$G$4460,$G3197)&gt;1,"重複",""))</f>
        <v/>
      </c>
    </row>
    <row r="3198" customFormat="false" ht="16.5" hidden="false" customHeight="true" outlineLevel="0" collapsed="false">
      <c r="A3198" s="2" t="s">
        <v>447</v>
      </c>
      <c r="B3198" s="2" t="s">
        <v>452</v>
      </c>
      <c r="C3198" s="2" t="s">
        <v>11</v>
      </c>
      <c r="D3198" s="2" t="str">
        <f aca="false">IF(4キー同時!$B$58="","",4キー同時!$B$58)</f>
        <v/>
      </c>
      <c r="E3198" s="2" t="str">
        <f aca="false">IF(4キー同時!$G$58="","",4キー同時!$G$58)</f>
        <v/>
      </c>
      <c r="F3198" s="2" t="str">
        <f aca="false">IF(4キー同時!$L$58="","",4キー同時!$L$58)</f>
        <v/>
      </c>
      <c r="G3198" s="2" t="str">
        <f aca="false">IF(OR(4キー同時!$B$58="",4キー同時!$G$58="",4キー同時!$L$58=""),"",IF(4キー同時!AX60="","",SUBSTITUTE(SUBSTITUTE(4キー同時!AX60," ",""),"　","")))</f>
        <v/>
      </c>
      <c r="H3198" s="2" t="str">
        <f aca="false">IF($G3198="","",4キー同時!$B$58)</f>
        <v/>
      </c>
      <c r="I3198" s="2" t="str">
        <f aca="false">IF($G3198="","",4キー同時!$G$58)</f>
        <v/>
      </c>
      <c r="J3198" s="2" t="str">
        <f aca="false">IF($G3198="","",4キー同時!$L$58)</f>
        <v/>
      </c>
      <c r="K3198" s="2" t="str">
        <f aca="false">IF($G3198="","","=")</f>
        <v/>
      </c>
      <c r="L3198" s="2" t="str">
        <f aca="false">IF($G3198="","","同時")</f>
        <v/>
      </c>
      <c r="M3198" s="2" t="str">
        <f aca="false">IF($G3198="","",IF(ISNA(MATCH($G3198,個別指定!$A:$A,0)),"行なし",""))</f>
        <v/>
      </c>
      <c r="N3198" s="2" t="str">
        <f aca="false">IF($G3198="","",IF(COUNTIF($G$2:$G$4460,$G3198)&gt;1,"重複",""))</f>
        <v/>
      </c>
    </row>
    <row r="3199" customFormat="false" ht="16.5" hidden="false" customHeight="true" outlineLevel="0" collapsed="false">
      <c r="A3199" s="2" t="s">
        <v>447</v>
      </c>
      <c r="B3199" s="2" t="s">
        <v>452</v>
      </c>
      <c r="C3199" s="2" t="s">
        <v>12</v>
      </c>
      <c r="D3199" s="2" t="str">
        <f aca="false">IF(4キー同時!$B$58="","",4キー同時!$B$58)</f>
        <v/>
      </c>
      <c r="E3199" s="2" t="str">
        <f aca="false">IF(4キー同時!$G$58="","",4キー同時!$G$58)</f>
        <v/>
      </c>
      <c r="F3199" s="2" t="str">
        <f aca="false">IF(4キー同時!$L$58="","",4キー同時!$L$58)</f>
        <v/>
      </c>
      <c r="G3199" s="2" t="str">
        <f aca="false">IF(OR(4キー同時!$B$58="",4キー同時!$G$58="",4キー同時!$L$58=""),"",IF(4キー同時!H62="","",SUBSTITUTE(SUBSTITUTE(4キー同時!H62," ",""),"　","")))</f>
        <v/>
      </c>
      <c r="H3199" s="2" t="str">
        <f aca="false">IF($G3199="","",4キー同時!$B$58)</f>
        <v/>
      </c>
      <c r="I3199" s="2" t="str">
        <f aca="false">IF($G3199="","",4キー同時!$G$58)</f>
        <v/>
      </c>
      <c r="J3199" s="2" t="str">
        <f aca="false">IF($G3199="","",4キー同時!$L$58)</f>
        <v/>
      </c>
      <c r="K3199" s="2" t="str">
        <f aca="false">IF($G3199="","","q")</f>
        <v/>
      </c>
      <c r="L3199" s="2" t="str">
        <f aca="false">IF($G3199="","","同時")</f>
        <v/>
      </c>
      <c r="M3199" s="2" t="str">
        <f aca="false">IF($G3199="","",IF(ISNA(MATCH($G3199,個別指定!$A:$A,0)),"行なし",""))</f>
        <v/>
      </c>
      <c r="N3199" s="2" t="str">
        <f aca="false">IF($G3199="","",IF(COUNTIF($G$2:$G$4460,$G3199)&gt;1,"重複",""))</f>
        <v/>
      </c>
    </row>
    <row r="3200" customFormat="false" ht="16.5" hidden="false" customHeight="true" outlineLevel="0" collapsed="false">
      <c r="A3200" s="2" t="s">
        <v>447</v>
      </c>
      <c r="B3200" s="2" t="s">
        <v>452</v>
      </c>
      <c r="C3200" s="2" t="s">
        <v>13</v>
      </c>
      <c r="D3200" s="2" t="str">
        <f aca="false">IF(4キー同時!$B$58="","",4キー同時!$B$58)</f>
        <v/>
      </c>
      <c r="E3200" s="2" t="str">
        <f aca="false">IF(4キー同時!$G$58="","",4キー同時!$G$58)</f>
        <v/>
      </c>
      <c r="F3200" s="2" t="str">
        <f aca="false">IF(4キー同時!$L$58="","",4キー同時!$L$58)</f>
        <v/>
      </c>
      <c r="G3200" s="2" t="str">
        <f aca="false">IF(OR(4キー同時!$B$58="",4キー同時!$G$58="",4キー同時!$L$58=""),"",IF(4キー同時!L62="","",SUBSTITUTE(SUBSTITUTE(4キー同時!L62," ",""),"　","")))</f>
        <v/>
      </c>
      <c r="H3200" s="2" t="str">
        <f aca="false">IF($G3200="","",4キー同時!$B$58)</f>
        <v/>
      </c>
      <c r="I3200" s="2" t="str">
        <f aca="false">IF($G3200="","",4キー同時!$G$58)</f>
        <v/>
      </c>
      <c r="J3200" s="2" t="str">
        <f aca="false">IF($G3200="","",4キー同時!$L$58)</f>
        <v/>
      </c>
      <c r="K3200" s="2" t="str">
        <f aca="false">IF($G3200="","","w")</f>
        <v/>
      </c>
      <c r="L3200" s="2" t="str">
        <f aca="false">IF($G3200="","","同時")</f>
        <v/>
      </c>
      <c r="M3200" s="2" t="str">
        <f aca="false">IF($G3200="","",IF(ISNA(MATCH($G3200,個別指定!$A:$A,0)),"行なし",""))</f>
        <v/>
      </c>
      <c r="N3200" s="2" t="str">
        <f aca="false">IF($G3200="","",IF(COUNTIF($G$2:$G$4460,$G3200)&gt;1,"重複",""))</f>
        <v/>
      </c>
    </row>
    <row r="3201" customFormat="false" ht="16.5" hidden="false" customHeight="true" outlineLevel="0" collapsed="false">
      <c r="A3201" s="2" t="s">
        <v>447</v>
      </c>
      <c r="B3201" s="2" t="s">
        <v>452</v>
      </c>
      <c r="C3201" s="2" t="s">
        <v>14</v>
      </c>
      <c r="D3201" s="2" t="str">
        <f aca="false">IF(4キー同時!$B$58="","",4キー同時!$B$58)</f>
        <v/>
      </c>
      <c r="E3201" s="2" t="str">
        <f aca="false">IF(4キー同時!$G$58="","",4キー同時!$G$58)</f>
        <v/>
      </c>
      <c r="F3201" s="2" t="str">
        <f aca="false">IF(4キー同時!$L$58="","",4キー同時!$L$58)</f>
        <v/>
      </c>
      <c r="G3201" s="2" t="str">
        <f aca="false">IF(OR(4キー同時!$B$58="",4キー同時!$G$58="",4キー同時!$L$58=""),"",IF(4キー同時!P62="","",SUBSTITUTE(SUBSTITUTE(4キー同時!P62," ",""),"　","")))</f>
        <v/>
      </c>
      <c r="H3201" s="2" t="str">
        <f aca="false">IF($G3201="","",4キー同時!$B$58)</f>
        <v/>
      </c>
      <c r="I3201" s="2" t="str">
        <f aca="false">IF($G3201="","",4キー同時!$G$58)</f>
        <v/>
      </c>
      <c r="J3201" s="2" t="str">
        <f aca="false">IF($G3201="","",4キー同時!$L$58)</f>
        <v/>
      </c>
      <c r="K3201" s="2" t="str">
        <f aca="false">IF($G3201="","","e")</f>
        <v/>
      </c>
      <c r="L3201" s="2" t="str">
        <f aca="false">IF($G3201="","","同時")</f>
        <v/>
      </c>
      <c r="M3201" s="2" t="str">
        <f aca="false">IF($G3201="","",IF(ISNA(MATCH($G3201,個別指定!$A:$A,0)),"行なし",""))</f>
        <v/>
      </c>
      <c r="N3201" s="2" t="str">
        <f aca="false">IF($G3201="","",IF(COUNTIF($G$2:$G$4460,$G3201)&gt;1,"重複",""))</f>
        <v/>
      </c>
    </row>
    <row r="3202" customFormat="false" ht="16.5" hidden="false" customHeight="true" outlineLevel="0" collapsed="false">
      <c r="A3202" s="2" t="s">
        <v>447</v>
      </c>
      <c r="B3202" s="2" t="s">
        <v>452</v>
      </c>
      <c r="C3202" s="2" t="s">
        <v>15</v>
      </c>
      <c r="D3202" s="2" t="str">
        <f aca="false">IF(4キー同時!$B$58="","",4キー同時!$B$58)</f>
        <v/>
      </c>
      <c r="E3202" s="2" t="str">
        <f aca="false">IF(4キー同時!$G$58="","",4キー同時!$G$58)</f>
        <v/>
      </c>
      <c r="F3202" s="2" t="str">
        <f aca="false">IF(4キー同時!$L$58="","",4キー同時!$L$58)</f>
        <v/>
      </c>
      <c r="G3202" s="2" t="str">
        <f aca="false">IF(OR(4キー同時!$B$58="",4キー同時!$G$58="",4キー同時!$L$58=""),"",IF(4キー同時!T62="","",SUBSTITUTE(SUBSTITUTE(4キー同時!T62," ",""),"　","")))</f>
        <v/>
      </c>
      <c r="H3202" s="2" t="str">
        <f aca="false">IF($G3202="","",4キー同時!$B$58)</f>
        <v/>
      </c>
      <c r="I3202" s="2" t="str">
        <f aca="false">IF($G3202="","",4キー同時!$G$58)</f>
        <v/>
      </c>
      <c r="J3202" s="2" t="str">
        <f aca="false">IF($G3202="","",4キー同時!$L$58)</f>
        <v/>
      </c>
      <c r="K3202" s="2" t="str">
        <f aca="false">IF($G3202="","","r")</f>
        <v/>
      </c>
      <c r="L3202" s="2" t="str">
        <f aca="false">IF($G3202="","","同時")</f>
        <v/>
      </c>
      <c r="M3202" s="2" t="str">
        <f aca="false">IF($G3202="","",IF(ISNA(MATCH($G3202,個別指定!$A:$A,0)),"行なし",""))</f>
        <v/>
      </c>
      <c r="N3202" s="2" t="str">
        <f aca="false">IF($G3202="","",IF(COUNTIF($G$2:$G$4460,$G3202)&gt;1,"重複",""))</f>
        <v/>
      </c>
    </row>
    <row r="3203" customFormat="false" ht="16.5" hidden="false" customHeight="true" outlineLevel="0" collapsed="false">
      <c r="A3203" s="2" t="s">
        <v>447</v>
      </c>
      <c r="B3203" s="2" t="s">
        <v>452</v>
      </c>
      <c r="C3203" s="2" t="s">
        <v>16</v>
      </c>
      <c r="D3203" s="2" t="str">
        <f aca="false">IF(4キー同時!$B$58="","",4キー同時!$B$58)</f>
        <v/>
      </c>
      <c r="E3203" s="2" t="str">
        <f aca="false">IF(4キー同時!$G$58="","",4キー同時!$G$58)</f>
        <v/>
      </c>
      <c r="F3203" s="2" t="str">
        <f aca="false">IF(4キー同時!$L$58="","",4キー同時!$L$58)</f>
        <v/>
      </c>
      <c r="G3203" s="2" t="str">
        <f aca="false">IF(OR(4キー同時!$B$58="",4キー同時!$G$58="",4キー同時!$L$58=""),"",IF(4キー同時!X62="","",SUBSTITUTE(SUBSTITUTE(4キー同時!X62," ",""),"　","")))</f>
        <v/>
      </c>
      <c r="H3203" s="2" t="str">
        <f aca="false">IF($G3203="","",4キー同時!$B$58)</f>
        <v/>
      </c>
      <c r="I3203" s="2" t="str">
        <f aca="false">IF($G3203="","",4キー同時!$G$58)</f>
        <v/>
      </c>
      <c r="J3203" s="2" t="str">
        <f aca="false">IF($G3203="","",4キー同時!$L$58)</f>
        <v/>
      </c>
      <c r="K3203" s="2" t="str">
        <f aca="false">IF($G3203="","","t")</f>
        <v/>
      </c>
      <c r="L3203" s="2" t="str">
        <f aca="false">IF($G3203="","","同時")</f>
        <v/>
      </c>
      <c r="M3203" s="2" t="str">
        <f aca="false">IF($G3203="","",IF(ISNA(MATCH($G3203,個別指定!$A:$A,0)),"行なし",""))</f>
        <v/>
      </c>
      <c r="N3203" s="2" t="str">
        <f aca="false">IF($G3203="","",IF(COUNTIF($G$2:$G$4460,$G3203)&gt;1,"重複",""))</f>
        <v/>
      </c>
    </row>
    <row r="3204" customFormat="false" ht="16.5" hidden="false" customHeight="true" outlineLevel="0" collapsed="false">
      <c r="A3204" s="2" t="s">
        <v>447</v>
      </c>
      <c r="B3204" s="2" t="s">
        <v>452</v>
      </c>
      <c r="C3204" s="2" t="s">
        <v>17</v>
      </c>
      <c r="D3204" s="2" t="str">
        <f aca="false">IF(4キー同時!$B$58="","",4キー同時!$B$58)</f>
        <v/>
      </c>
      <c r="E3204" s="2" t="str">
        <f aca="false">IF(4キー同時!$G$58="","",4キー同時!$G$58)</f>
        <v/>
      </c>
      <c r="F3204" s="2" t="str">
        <f aca="false">IF(4キー同時!$L$58="","",4キー同時!$L$58)</f>
        <v/>
      </c>
      <c r="G3204" s="2" t="str">
        <f aca="false">IF(OR(4キー同時!$B$58="",4キー同時!$G$58="",4キー同時!$L$58=""),"",IF(4キー同時!AB62="","",SUBSTITUTE(SUBSTITUTE(4キー同時!AB62," ",""),"　","")))</f>
        <v/>
      </c>
      <c r="H3204" s="2" t="str">
        <f aca="false">IF($G3204="","",4キー同時!$B$58)</f>
        <v/>
      </c>
      <c r="I3204" s="2" t="str">
        <f aca="false">IF($G3204="","",4キー同時!$G$58)</f>
        <v/>
      </c>
      <c r="J3204" s="2" t="str">
        <f aca="false">IF($G3204="","",4キー同時!$L$58)</f>
        <v/>
      </c>
      <c r="K3204" s="2" t="str">
        <f aca="false">IF($G3204="","","y")</f>
        <v/>
      </c>
      <c r="L3204" s="2" t="str">
        <f aca="false">IF($G3204="","","同時")</f>
        <v/>
      </c>
      <c r="M3204" s="2" t="str">
        <f aca="false">IF($G3204="","",IF(ISNA(MATCH($G3204,個別指定!$A:$A,0)),"行なし",""))</f>
        <v/>
      </c>
      <c r="N3204" s="2" t="str">
        <f aca="false">IF($G3204="","",IF(COUNTIF($G$2:$G$4460,$G3204)&gt;1,"重複",""))</f>
        <v/>
      </c>
    </row>
    <row r="3205" customFormat="false" ht="16.5" hidden="false" customHeight="true" outlineLevel="0" collapsed="false">
      <c r="A3205" s="2" t="s">
        <v>447</v>
      </c>
      <c r="B3205" s="2" t="s">
        <v>452</v>
      </c>
      <c r="C3205" s="2" t="s">
        <v>18</v>
      </c>
      <c r="D3205" s="2" t="str">
        <f aca="false">IF(4キー同時!$B$58="","",4キー同時!$B$58)</f>
        <v/>
      </c>
      <c r="E3205" s="2" t="str">
        <f aca="false">IF(4キー同時!$G$58="","",4キー同時!$G$58)</f>
        <v/>
      </c>
      <c r="F3205" s="2" t="str">
        <f aca="false">IF(4キー同時!$L$58="","",4キー同時!$L$58)</f>
        <v/>
      </c>
      <c r="G3205" s="2" t="str">
        <f aca="false">IF(OR(4キー同時!$B$58="",4キー同時!$G$58="",4キー同時!$L$58=""),"",IF(4キー同時!AF62="","",SUBSTITUTE(SUBSTITUTE(4キー同時!AF62," ",""),"　","")))</f>
        <v/>
      </c>
      <c r="H3205" s="2" t="str">
        <f aca="false">IF($G3205="","",4キー同時!$B$58)</f>
        <v/>
      </c>
      <c r="I3205" s="2" t="str">
        <f aca="false">IF($G3205="","",4キー同時!$G$58)</f>
        <v/>
      </c>
      <c r="J3205" s="2" t="str">
        <f aca="false">IF($G3205="","",4キー同時!$L$58)</f>
        <v/>
      </c>
      <c r="K3205" s="2" t="str">
        <f aca="false">IF($G3205="","","u")</f>
        <v/>
      </c>
      <c r="L3205" s="2" t="str">
        <f aca="false">IF($G3205="","","同時")</f>
        <v/>
      </c>
      <c r="M3205" s="2" t="str">
        <f aca="false">IF($G3205="","",IF(ISNA(MATCH($G3205,個別指定!$A:$A,0)),"行なし",""))</f>
        <v/>
      </c>
      <c r="N3205" s="2" t="str">
        <f aca="false">IF($G3205="","",IF(COUNTIF($G$2:$G$4460,$G3205)&gt;1,"重複",""))</f>
        <v/>
      </c>
    </row>
    <row r="3206" customFormat="false" ht="16.5" hidden="false" customHeight="true" outlineLevel="0" collapsed="false">
      <c r="A3206" s="2" t="s">
        <v>447</v>
      </c>
      <c r="B3206" s="2" t="s">
        <v>452</v>
      </c>
      <c r="C3206" s="2" t="s">
        <v>19</v>
      </c>
      <c r="D3206" s="2" t="str">
        <f aca="false">IF(4キー同時!$B$58="","",4キー同時!$B$58)</f>
        <v/>
      </c>
      <c r="E3206" s="2" t="str">
        <f aca="false">IF(4キー同時!$G$58="","",4キー同時!$G$58)</f>
        <v/>
      </c>
      <c r="F3206" s="2" t="str">
        <f aca="false">IF(4キー同時!$L$58="","",4キー同時!$L$58)</f>
        <v/>
      </c>
      <c r="G3206" s="2" t="str">
        <f aca="false">IF(OR(4キー同時!$B$58="",4キー同時!$G$58="",4キー同時!$L$58=""),"",IF(4キー同時!AJ62="","",SUBSTITUTE(SUBSTITUTE(4キー同時!AJ62," ",""),"　","")))</f>
        <v/>
      </c>
      <c r="H3206" s="2" t="str">
        <f aca="false">IF($G3206="","",4キー同時!$B$58)</f>
        <v/>
      </c>
      <c r="I3206" s="2" t="str">
        <f aca="false">IF($G3206="","",4キー同時!$G$58)</f>
        <v/>
      </c>
      <c r="J3206" s="2" t="str">
        <f aca="false">IF($G3206="","",4キー同時!$L$58)</f>
        <v/>
      </c>
      <c r="K3206" s="2" t="str">
        <f aca="false">IF($G3206="","","i")</f>
        <v/>
      </c>
      <c r="L3206" s="2" t="str">
        <f aca="false">IF($G3206="","","同時")</f>
        <v/>
      </c>
      <c r="M3206" s="2" t="str">
        <f aca="false">IF($G3206="","",IF(ISNA(MATCH($G3206,個別指定!$A:$A,0)),"行なし",""))</f>
        <v/>
      </c>
      <c r="N3206" s="2" t="str">
        <f aca="false">IF($G3206="","",IF(COUNTIF($G$2:$G$4460,$G3206)&gt;1,"重複",""))</f>
        <v/>
      </c>
    </row>
    <row r="3207" customFormat="false" ht="16.5" hidden="false" customHeight="true" outlineLevel="0" collapsed="false">
      <c r="A3207" s="2" t="s">
        <v>447</v>
      </c>
      <c r="B3207" s="2" t="s">
        <v>452</v>
      </c>
      <c r="C3207" s="2" t="s">
        <v>20</v>
      </c>
      <c r="D3207" s="2" t="str">
        <f aca="false">IF(4キー同時!$B$58="","",4キー同時!$B$58)</f>
        <v/>
      </c>
      <c r="E3207" s="2" t="str">
        <f aca="false">IF(4キー同時!$G$58="","",4キー同時!$G$58)</f>
        <v/>
      </c>
      <c r="F3207" s="2" t="str">
        <f aca="false">IF(4キー同時!$L$58="","",4キー同時!$L$58)</f>
        <v/>
      </c>
      <c r="G3207" s="2" t="str">
        <f aca="false">IF(OR(4キー同時!$B$58="",4キー同時!$G$58="",4キー同時!$L$58=""),"",IF(4キー同時!AN62="","",SUBSTITUTE(SUBSTITUTE(4キー同時!AN62," ",""),"　","")))</f>
        <v/>
      </c>
      <c r="H3207" s="2" t="str">
        <f aca="false">IF($G3207="","",4キー同時!$B$58)</f>
        <v/>
      </c>
      <c r="I3207" s="2" t="str">
        <f aca="false">IF($G3207="","",4キー同時!$G$58)</f>
        <v/>
      </c>
      <c r="J3207" s="2" t="str">
        <f aca="false">IF($G3207="","",4キー同時!$L$58)</f>
        <v/>
      </c>
      <c r="K3207" s="2" t="str">
        <f aca="false">IF($G3207="","","o")</f>
        <v/>
      </c>
      <c r="L3207" s="2" t="str">
        <f aca="false">IF($G3207="","","同時")</f>
        <v/>
      </c>
      <c r="M3207" s="2" t="str">
        <f aca="false">IF($G3207="","",IF(ISNA(MATCH($G3207,個別指定!$A:$A,0)),"行なし",""))</f>
        <v/>
      </c>
      <c r="N3207" s="2" t="str">
        <f aca="false">IF($G3207="","",IF(COUNTIF($G$2:$G$4460,$G3207)&gt;1,"重複",""))</f>
        <v/>
      </c>
    </row>
    <row r="3208" customFormat="false" ht="16.5" hidden="false" customHeight="true" outlineLevel="0" collapsed="false">
      <c r="A3208" s="2" t="s">
        <v>447</v>
      </c>
      <c r="B3208" s="2" t="s">
        <v>452</v>
      </c>
      <c r="C3208" s="2" t="s">
        <v>21</v>
      </c>
      <c r="D3208" s="2" t="str">
        <f aca="false">IF(4キー同時!$B$58="","",4キー同時!$B$58)</f>
        <v/>
      </c>
      <c r="E3208" s="2" t="str">
        <f aca="false">IF(4キー同時!$G$58="","",4キー同時!$G$58)</f>
        <v/>
      </c>
      <c r="F3208" s="2" t="str">
        <f aca="false">IF(4キー同時!$L$58="","",4キー同時!$L$58)</f>
        <v/>
      </c>
      <c r="G3208" s="2" t="str">
        <f aca="false">IF(OR(4キー同時!$B$58="",4キー同時!$G$58="",4キー同時!$L$58=""),"",IF(4キー同時!AR62="","",SUBSTITUTE(SUBSTITUTE(4キー同時!AR62," ",""),"　","")))</f>
        <v/>
      </c>
      <c r="H3208" s="2" t="str">
        <f aca="false">IF($G3208="","",4キー同時!$B$58)</f>
        <v/>
      </c>
      <c r="I3208" s="2" t="str">
        <f aca="false">IF($G3208="","",4キー同時!$G$58)</f>
        <v/>
      </c>
      <c r="J3208" s="2" t="str">
        <f aca="false">IF($G3208="","",4キー同時!$L$58)</f>
        <v/>
      </c>
      <c r="K3208" s="2" t="str">
        <f aca="false">IF($G3208="","","p")</f>
        <v/>
      </c>
      <c r="L3208" s="2" t="str">
        <f aca="false">IF($G3208="","","同時")</f>
        <v/>
      </c>
      <c r="M3208" s="2" t="str">
        <f aca="false">IF($G3208="","",IF(ISNA(MATCH($G3208,個別指定!$A:$A,0)),"行なし",""))</f>
        <v/>
      </c>
      <c r="N3208" s="2" t="str">
        <f aca="false">IF($G3208="","",IF(COUNTIF($G$2:$G$4460,$G3208)&gt;1,"重複",""))</f>
        <v/>
      </c>
    </row>
    <row r="3209" customFormat="false" ht="16.5" hidden="false" customHeight="true" outlineLevel="0" collapsed="false">
      <c r="A3209" s="2" t="s">
        <v>447</v>
      </c>
      <c r="B3209" s="2" t="s">
        <v>452</v>
      </c>
      <c r="C3209" s="2" t="s">
        <v>22</v>
      </c>
      <c r="D3209" s="2" t="str">
        <f aca="false">IF(4キー同時!$B$58="","",4キー同時!$B$58)</f>
        <v/>
      </c>
      <c r="E3209" s="2" t="str">
        <f aca="false">IF(4キー同時!$G$58="","",4キー同時!$G$58)</f>
        <v/>
      </c>
      <c r="F3209" s="2" t="str">
        <f aca="false">IF(4キー同時!$L$58="","",4キー同時!$L$58)</f>
        <v/>
      </c>
      <c r="G3209" s="2" t="str">
        <f aca="false">IF(OR(4キー同時!$B$58="",4キー同時!$G$58="",4キー同時!$L$58=""),"",IF(4キー同時!AV62="","",SUBSTITUTE(SUBSTITUTE(4キー同時!AV62," ",""),"　","")))</f>
        <v/>
      </c>
      <c r="H3209" s="2" t="str">
        <f aca="false">IF($G3209="","",4キー同時!$B$58)</f>
        <v/>
      </c>
      <c r="I3209" s="2" t="str">
        <f aca="false">IF($G3209="","",4キー同時!$G$58)</f>
        <v/>
      </c>
      <c r="J3209" s="2" t="str">
        <f aca="false">IF($G3209="","",4キー同時!$L$58)</f>
        <v/>
      </c>
      <c r="K3209" s="2" t="str">
        <f aca="false">IF($G3209="","","[")</f>
        <v/>
      </c>
      <c r="L3209" s="2" t="str">
        <f aca="false">IF($G3209="","","同時")</f>
        <v/>
      </c>
      <c r="M3209" s="2" t="str">
        <f aca="false">IF($G3209="","",IF(ISNA(MATCH($G3209,個別指定!$A:$A,0)),"行なし",""))</f>
        <v/>
      </c>
      <c r="N3209" s="2" t="str">
        <f aca="false">IF($G3209="","",IF(COUNTIF($G$2:$G$4460,$G3209)&gt;1,"重複",""))</f>
        <v/>
      </c>
    </row>
    <row r="3210" customFormat="false" ht="16.5" hidden="false" customHeight="true" outlineLevel="0" collapsed="false">
      <c r="A3210" s="2" t="s">
        <v>447</v>
      </c>
      <c r="B3210" s="2" t="s">
        <v>452</v>
      </c>
      <c r="C3210" s="2" t="s">
        <v>23</v>
      </c>
      <c r="D3210" s="2" t="str">
        <f aca="false">IF(4キー同時!$B$58="","",4キー同時!$B$58)</f>
        <v/>
      </c>
      <c r="E3210" s="2" t="str">
        <f aca="false">IF(4キー同時!$G$58="","",4キー同時!$G$58)</f>
        <v/>
      </c>
      <c r="F3210" s="2" t="str">
        <f aca="false">IF(4キー同時!$L$58="","",4キー同時!$L$58)</f>
        <v/>
      </c>
      <c r="G3210" s="2" t="str">
        <f aca="false">IF(OR(4キー同時!$B$58="",4キー同時!$G$58="",4キー同時!$L$58=""),"",IF(4キー同時!AZ62="","",SUBSTITUTE(SUBSTITUTE(4キー同時!AZ62," ",""),"　","")))</f>
        <v/>
      </c>
      <c r="H3210" s="2" t="str">
        <f aca="false">IF($G3210="","",4キー同時!$B$58)</f>
        <v/>
      </c>
      <c r="I3210" s="2" t="str">
        <f aca="false">IF($G3210="","",4キー同時!$G$58)</f>
        <v/>
      </c>
      <c r="J3210" s="2" t="str">
        <f aca="false">IF($G3210="","",4キー同時!$L$58)</f>
        <v/>
      </c>
      <c r="K3210" s="2" t="str">
        <f aca="false">IF($G3210="","","]")</f>
        <v/>
      </c>
      <c r="L3210" s="2" t="str">
        <f aca="false">IF($G3210="","","同時")</f>
        <v/>
      </c>
      <c r="M3210" s="2" t="str">
        <f aca="false">IF($G3210="","",IF(ISNA(MATCH($G3210,個別指定!$A:$A,0)),"行なし",""))</f>
        <v/>
      </c>
      <c r="N3210" s="2" t="str">
        <f aca="false">IF($G3210="","",IF(COUNTIF($G$2:$G$4460,$G3210)&gt;1,"重複",""))</f>
        <v/>
      </c>
    </row>
    <row r="3211" customFormat="false" ht="16.5" hidden="false" customHeight="true" outlineLevel="0" collapsed="false">
      <c r="A3211" s="2" t="s">
        <v>447</v>
      </c>
      <c r="B3211" s="2" t="s">
        <v>452</v>
      </c>
      <c r="C3211" s="2" t="s">
        <v>24</v>
      </c>
      <c r="D3211" s="2" t="str">
        <f aca="false">IF(4キー同時!$B$58="","",4キー同時!$B$58)</f>
        <v/>
      </c>
      <c r="E3211" s="2" t="str">
        <f aca="false">IF(4キー同時!$G$58="","",4キー同時!$G$58)</f>
        <v/>
      </c>
      <c r="F3211" s="2" t="str">
        <f aca="false">IF(4キー同時!$L$58="","",4キー同時!$L$58)</f>
        <v/>
      </c>
      <c r="G3211" s="2" t="str">
        <f aca="false">IF(OR(4キー同時!$B$58="",4キー同時!$G$58="",4キー同時!$L$58=""),"",IF(4キー同時!I64="","",SUBSTITUTE(SUBSTITUTE(4キー同時!I64," ",""),"　","")))</f>
        <v/>
      </c>
      <c r="H3211" s="2" t="str">
        <f aca="false">IF($G3211="","",4キー同時!$B$58)</f>
        <v/>
      </c>
      <c r="I3211" s="2" t="str">
        <f aca="false">IF($G3211="","",4キー同時!$G$58)</f>
        <v/>
      </c>
      <c r="J3211" s="2" t="str">
        <f aca="false">IF($G3211="","",4キー同時!$L$58)</f>
        <v/>
      </c>
      <c r="K3211" s="2" t="str">
        <f aca="false">IF($G3211="","","a")</f>
        <v/>
      </c>
      <c r="L3211" s="2" t="str">
        <f aca="false">IF($G3211="","","同時")</f>
        <v/>
      </c>
      <c r="M3211" s="2" t="str">
        <f aca="false">IF($G3211="","",IF(ISNA(MATCH($G3211,個別指定!$A:$A,0)),"行なし",""))</f>
        <v/>
      </c>
      <c r="N3211" s="2" t="str">
        <f aca="false">IF($G3211="","",IF(COUNTIF($G$2:$G$4460,$G3211)&gt;1,"重複",""))</f>
        <v/>
      </c>
    </row>
    <row r="3212" customFormat="false" ht="16.5" hidden="false" customHeight="true" outlineLevel="0" collapsed="false">
      <c r="A3212" s="2" t="s">
        <v>447</v>
      </c>
      <c r="B3212" s="2" t="s">
        <v>452</v>
      </c>
      <c r="C3212" s="2" t="s">
        <v>25</v>
      </c>
      <c r="D3212" s="2" t="str">
        <f aca="false">IF(4キー同時!$B$58="","",4キー同時!$B$58)</f>
        <v/>
      </c>
      <c r="E3212" s="2" t="str">
        <f aca="false">IF(4キー同時!$G$58="","",4キー同時!$G$58)</f>
        <v/>
      </c>
      <c r="F3212" s="2" t="str">
        <f aca="false">IF(4キー同時!$L$58="","",4キー同時!$L$58)</f>
        <v/>
      </c>
      <c r="G3212" s="2" t="str">
        <f aca="false">IF(OR(4キー同時!$B$58="",4キー同時!$G$58="",4キー同時!$L$58=""),"",IF(4キー同時!M64="","",SUBSTITUTE(SUBSTITUTE(4キー同時!M64," ",""),"　","")))</f>
        <v/>
      </c>
      <c r="H3212" s="2" t="str">
        <f aca="false">IF($G3212="","",4キー同時!$B$58)</f>
        <v/>
      </c>
      <c r="I3212" s="2" t="str">
        <f aca="false">IF($G3212="","",4キー同時!$G$58)</f>
        <v/>
      </c>
      <c r="J3212" s="2" t="str">
        <f aca="false">IF($G3212="","",4キー同時!$L$58)</f>
        <v/>
      </c>
      <c r="K3212" s="2" t="str">
        <f aca="false">IF($G3212="","","s")</f>
        <v/>
      </c>
      <c r="L3212" s="2" t="str">
        <f aca="false">IF($G3212="","","同時")</f>
        <v/>
      </c>
      <c r="M3212" s="2" t="str">
        <f aca="false">IF($G3212="","",IF(ISNA(MATCH($G3212,個別指定!$A:$A,0)),"行なし",""))</f>
        <v/>
      </c>
      <c r="N3212" s="2" t="str">
        <f aca="false">IF($G3212="","",IF(COUNTIF($G$2:$G$4460,$G3212)&gt;1,"重複",""))</f>
        <v/>
      </c>
    </row>
    <row r="3213" customFormat="false" ht="16.5" hidden="false" customHeight="true" outlineLevel="0" collapsed="false">
      <c r="A3213" s="2" t="s">
        <v>447</v>
      </c>
      <c r="B3213" s="2" t="s">
        <v>452</v>
      </c>
      <c r="C3213" s="2" t="s">
        <v>26</v>
      </c>
      <c r="D3213" s="2" t="str">
        <f aca="false">IF(4キー同時!$B$58="","",4キー同時!$B$58)</f>
        <v/>
      </c>
      <c r="E3213" s="2" t="str">
        <f aca="false">IF(4キー同時!$G$58="","",4キー同時!$G$58)</f>
        <v/>
      </c>
      <c r="F3213" s="2" t="str">
        <f aca="false">IF(4キー同時!$L$58="","",4キー同時!$L$58)</f>
        <v/>
      </c>
      <c r="G3213" s="2" t="str">
        <f aca="false">IF(OR(4キー同時!$B$58="",4キー同時!$G$58="",4キー同時!$L$58=""),"",IF(4キー同時!Q64="","",SUBSTITUTE(SUBSTITUTE(4キー同時!Q64," ",""),"　","")))</f>
        <v/>
      </c>
      <c r="H3213" s="2" t="str">
        <f aca="false">IF($G3213="","",4キー同時!$B$58)</f>
        <v/>
      </c>
      <c r="I3213" s="2" t="str">
        <f aca="false">IF($G3213="","",4キー同時!$G$58)</f>
        <v/>
      </c>
      <c r="J3213" s="2" t="str">
        <f aca="false">IF($G3213="","",4キー同時!$L$58)</f>
        <v/>
      </c>
      <c r="K3213" s="2" t="str">
        <f aca="false">IF($G3213="","","d")</f>
        <v/>
      </c>
      <c r="L3213" s="2" t="str">
        <f aca="false">IF($G3213="","","同時")</f>
        <v/>
      </c>
      <c r="M3213" s="2" t="str">
        <f aca="false">IF($G3213="","",IF(ISNA(MATCH($G3213,個別指定!$A:$A,0)),"行なし",""))</f>
        <v/>
      </c>
      <c r="N3213" s="2" t="str">
        <f aca="false">IF($G3213="","",IF(COUNTIF($G$2:$G$4460,$G3213)&gt;1,"重複",""))</f>
        <v/>
      </c>
    </row>
    <row r="3214" customFormat="false" ht="16.5" hidden="false" customHeight="true" outlineLevel="0" collapsed="false">
      <c r="A3214" s="2" t="s">
        <v>447</v>
      </c>
      <c r="B3214" s="2" t="s">
        <v>452</v>
      </c>
      <c r="C3214" s="2" t="s">
        <v>27</v>
      </c>
      <c r="D3214" s="2" t="str">
        <f aca="false">IF(4キー同時!$B$58="","",4キー同時!$B$58)</f>
        <v/>
      </c>
      <c r="E3214" s="2" t="str">
        <f aca="false">IF(4キー同時!$G$58="","",4キー同時!$G$58)</f>
        <v/>
      </c>
      <c r="F3214" s="2" t="str">
        <f aca="false">IF(4キー同時!$L$58="","",4キー同時!$L$58)</f>
        <v/>
      </c>
      <c r="G3214" s="2" t="str">
        <f aca="false">IF(OR(4キー同時!$B$58="",4キー同時!$G$58="",4キー同時!$L$58=""),"",IF(4キー同時!U64="","",SUBSTITUTE(SUBSTITUTE(4キー同時!U64," ",""),"　","")))</f>
        <v/>
      </c>
      <c r="H3214" s="2" t="str">
        <f aca="false">IF($G3214="","",4キー同時!$B$58)</f>
        <v/>
      </c>
      <c r="I3214" s="2" t="str">
        <f aca="false">IF($G3214="","",4キー同時!$G$58)</f>
        <v/>
      </c>
      <c r="J3214" s="2" t="str">
        <f aca="false">IF($G3214="","",4キー同時!$L$58)</f>
        <v/>
      </c>
      <c r="K3214" s="2" t="str">
        <f aca="false">IF($G3214="","","f")</f>
        <v/>
      </c>
      <c r="L3214" s="2" t="str">
        <f aca="false">IF($G3214="","","同時")</f>
        <v/>
      </c>
      <c r="M3214" s="2" t="str">
        <f aca="false">IF($G3214="","",IF(ISNA(MATCH($G3214,個別指定!$A:$A,0)),"行なし",""))</f>
        <v/>
      </c>
      <c r="N3214" s="2" t="str">
        <f aca="false">IF($G3214="","",IF(COUNTIF($G$2:$G$4460,$G3214)&gt;1,"重複",""))</f>
        <v/>
      </c>
    </row>
    <row r="3215" customFormat="false" ht="16.5" hidden="false" customHeight="true" outlineLevel="0" collapsed="false">
      <c r="A3215" s="2" t="s">
        <v>447</v>
      </c>
      <c r="B3215" s="2" t="s">
        <v>452</v>
      </c>
      <c r="C3215" s="2" t="s">
        <v>28</v>
      </c>
      <c r="D3215" s="2" t="str">
        <f aca="false">IF(4キー同時!$B$58="","",4キー同時!$B$58)</f>
        <v/>
      </c>
      <c r="E3215" s="2" t="str">
        <f aca="false">IF(4キー同時!$G$58="","",4キー同時!$G$58)</f>
        <v/>
      </c>
      <c r="F3215" s="2" t="str">
        <f aca="false">IF(4キー同時!$L$58="","",4キー同時!$L$58)</f>
        <v/>
      </c>
      <c r="G3215" s="2" t="str">
        <f aca="false">IF(OR(4キー同時!$B$58="",4キー同時!$G$58="",4キー同時!$L$58=""),"",IF(4キー同時!Y64="","",SUBSTITUTE(SUBSTITUTE(4キー同時!Y64," ",""),"　","")))</f>
        <v/>
      </c>
      <c r="H3215" s="2" t="str">
        <f aca="false">IF($G3215="","",4キー同時!$B$58)</f>
        <v/>
      </c>
      <c r="I3215" s="2" t="str">
        <f aca="false">IF($G3215="","",4キー同時!$G$58)</f>
        <v/>
      </c>
      <c r="J3215" s="2" t="str">
        <f aca="false">IF($G3215="","",4キー同時!$L$58)</f>
        <v/>
      </c>
      <c r="K3215" s="2" t="str">
        <f aca="false">IF($G3215="","","g")</f>
        <v/>
      </c>
      <c r="L3215" s="2" t="str">
        <f aca="false">IF($G3215="","","同時")</f>
        <v/>
      </c>
      <c r="M3215" s="2" t="str">
        <f aca="false">IF($G3215="","",IF(ISNA(MATCH($G3215,個別指定!$A:$A,0)),"行なし",""))</f>
        <v/>
      </c>
      <c r="N3215" s="2" t="str">
        <f aca="false">IF($G3215="","",IF(COUNTIF($G$2:$G$4460,$G3215)&gt;1,"重複",""))</f>
        <v/>
      </c>
    </row>
    <row r="3216" customFormat="false" ht="16.5" hidden="false" customHeight="true" outlineLevel="0" collapsed="false">
      <c r="A3216" s="2" t="s">
        <v>447</v>
      </c>
      <c r="B3216" s="2" t="s">
        <v>452</v>
      </c>
      <c r="C3216" s="2" t="s">
        <v>29</v>
      </c>
      <c r="D3216" s="2" t="str">
        <f aca="false">IF(4キー同時!$B$58="","",4キー同時!$B$58)</f>
        <v/>
      </c>
      <c r="E3216" s="2" t="str">
        <f aca="false">IF(4キー同時!$G$58="","",4キー同時!$G$58)</f>
        <v/>
      </c>
      <c r="F3216" s="2" t="str">
        <f aca="false">IF(4キー同時!$L$58="","",4キー同時!$L$58)</f>
        <v/>
      </c>
      <c r="G3216" s="2" t="str">
        <f aca="false">IF(OR(4キー同時!$B$58="",4キー同時!$G$58="",4キー同時!$L$58=""),"",IF(4キー同時!AC64="","",SUBSTITUTE(SUBSTITUTE(4キー同時!AC64," ",""),"　","")))</f>
        <v/>
      </c>
      <c r="H3216" s="2" t="str">
        <f aca="false">IF($G3216="","",4キー同時!$B$58)</f>
        <v/>
      </c>
      <c r="I3216" s="2" t="str">
        <f aca="false">IF($G3216="","",4キー同時!$G$58)</f>
        <v/>
      </c>
      <c r="J3216" s="2" t="str">
        <f aca="false">IF($G3216="","",4キー同時!$L$58)</f>
        <v/>
      </c>
      <c r="K3216" s="2" t="str">
        <f aca="false">IF($G3216="","","h")</f>
        <v/>
      </c>
      <c r="L3216" s="2" t="str">
        <f aca="false">IF($G3216="","","同時")</f>
        <v/>
      </c>
      <c r="M3216" s="2" t="str">
        <f aca="false">IF($G3216="","",IF(ISNA(MATCH($G3216,個別指定!$A:$A,0)),"行なし",""))</f>
        <v/>
      </c>
      <c r="N3216" s="2" t="str">
        <f aca="false">IF($G3216="","",IF(COUNTIF($G$2:$G$4460,$G3216)&gt;1,"重複",""))</f>
        <v/>
      </c>
    </row>
    <row r="3217" customFormat="false" ht="16.5" hidden="false" customHeight="true" outlineLevel="0" collapsed="false">
      <c r="A3217" s="2" t="s">
        <v>447</v>
      </c>
      <c r="B3217" s="2" t="s">
        <v>452</v>
      </c>
      <c r="C3217" s="2" t="s">
        <v>30</v>
      </c>
      <c r="D3217" s="2" t="str">
        <f aca="false">IF(4キー同時!$B$58="","",4キー同時!$B$58)</f>
        <v/>
      </c>
      <c r="E3217" s="2" t="str">
        <f aca="false">IF(4キー同時!$G$58="","",4キー同時!$G$58)</f>
        <v/>
      </c>
      <c r="F3217" s="2" t="str">
        <f aca="false">IF(4キー同時!$L$58="","",4キー同時!$L$58)</f>
        <v/>
      </c>
      <c r="G3217" s="2" t="str">
        <f aca="false">IF(OR(4キー同時!$B$58="",4キー同時!$G$58="",4キー同時!$L$58=""),"",IF(4キー同時!AG64="","",SUBSTITUTE(SUBSTITUTE(4キー同時!AG64," ",""),"　","")))</f>
        <v/>
      </c>
      <c r="H3217" s="2" t="str">
        <f aca="false">IF($G3217="","",4キー同時!$B$58)</f>
        <v/>
      </c>
      <c r="I3217" s="2" t="str">
        <f aca="false">IF($G3217="","",4キー同時!$G$58)</f>
        <v/>
      </c>
      <c r="J3217" s="2" t="str">
        <f aca="false">IF($G3217="","",4キー同時!$L$58)</f>
        <v/>
      </c>
      <c r="K3217" s="2" t="str">
        <f aca="false">IF($G3217="","","j")</f>
        <v/>
      </c>
      <c r="L3217" s="2" t="str">
        <f aca="false">IF($G3217="","","同時")</f>
        <v/>
      </c>
      <c r="M3217" s="2" t="str">
        <f aca="false">IF($G3217="","",IF(ISNA(MATCH($G3217,個別指定!$A:$A,0)),"行なし",""))</f>
        <v/>
      </c>
      <c r="N3217" s="2" t="str">
        <f aca="false">IF($G3217="","",IF(COUNTIF($G$2:$G$4460,$G3217)&gt;1,"重複",""))</f>
        <v/>
      </c>
    </row>
    <row r="3218" customFormat="false" ht="16.5" hidden="false" customHeight="true" outlineLevel="0" collapsed="false">
      <c r="A3218" s="2" t="s">
        <v>447</v>
      </c>
      <c r="B3218" s="2" t="s">
        <v>452</v>
      </c>
      <c r="C3218" s="2" t="s">
        <v>31</v>
      </c>
      <c r="D3218" s="2" t="str">
        <f aca="false">IF(4キー同時!$B$58="","",4キー同時!$B$58)</f>
        <v/>
      </c>
      <c r="E3218" s="2" t="str">
        <f aca="false">IF(4キー同時!$G$58="","",4キー同時!$G$58)</f>
        <v/>
      </c>
      <c r="F3218" s="2" t="str">
        <f aca="false">IF(4キー同時!$L$58="","",4キー同時!$L$58)</f>
        <v/>
      </c>
      <c r="G3218" s="2" t="str">
        <f aca="false">IF(OR(4キー同時!$B$58="",4キー同時!$G$58="",4キー同時!$L$58=""),"",IF(4キー同時!AK64="","",SUBSTITUTE(SUBSTITUTE(4キー同時!AK64," ",""),"　","")))</f>
        <v/>
      </c>
      <c r="H3218" s="2" t="str">
        <f aca="false">IF($G3218="","",4キー同時!$B$58)</f>
        <v/>
      </c>
      <c r="I3218" s="2" t="str">
        <f aca="false">IF($G3218="","",4キー同時!$G$58)</f>
        <v/>
      </c>
      <c r="J3218" s="2" t="str">
        <f aca="false">IF($G3218="","",4キー同時!$L$58)</f>
        <v/>
      </c>
      <c r="K3218" s="2" t="str">
        <f aca="false">IF($G3218="","","k")</f>
        <v/>
      </c>
      <c r="L3218" s="2" t="str">
        <f aca="false">IF($G3218="","","同時")</f>
        <v/>
      </c>
      <c r="M3218" s="2" t="str">
        <f aca="false">IF($G3218="","",IF(ISNA(MATCH($G3218,個別指定!$A:$A,0)),"行なし",""))</f>
        <v/>
      </c>
      <c r="N3218" s="2" t="str">
        <f aca="false">IF($G3218="","",IF(COUNTIF($G$2:$G$4460,$G3218)&gt;1,"重複",""))</f>
        <v/>
      </c>
    </row>
    <row r="3219" customFormat="false" ht="16.5" hidden="false" customHeight="true" outlineLevel="0" collapsed="false">
      <c r="A3219" s="2" t="s">
        <v>447</v>
      </c>
      <c r="B3219" s="2" t="s">
        <v>452</v>
      </c>
      <c r="C3219" s="2" t="s">
        <v>32</v>
      </c>
      <c r="D3219" s="2" t="str">
        <f aca="false">IF(4キー同時!$B$58="","",4キー同時!$B$58)</f>
        <v/>
      </c>
      <c r="E3219" s="2" t="str">
        <f aca="false">IF(4キー同時!$G$58="","",4キー同時!$G$58)</f>
        <v/>
      </c>
      <c r="F3219" s="2" t="str">
        <f aca="false">IF(4キー同時!$L$58="","",4キー同時!$L$58)</f>
        <v/>
      </c>
      <c r="G3219" s="2" t="str">
        <f aca="false">IF(OR(4キー同時!$B$58="",4キー同時!$G$58="",4キー同時!$L$58=""),"",IF(4キー同時!AO64="","",SUBSTITUTE(SUBSTITUTE(4キー同時!AO64," ",""),"　","")))</f>
        <v/>
      </c>
      <c r="H3219" s="2" t="str">
        <f aca="false">IF($G3219="","",4キー同時!$B$58)</f>
        <v/>
      </c>
      <c r="I3219" s="2" t="str">
        <f aca="false">IF($G3219="","",4キー同時!$G$58)</f>
        <v/>
      </c>
      <c r="J3219" s="2" t="str">
        <f aca="false">IF($G3219="","",4キー同時!$L$58)</f>
        <v/>
      </c>
      <c r="K3219" s="2" t="str">
        <f aca="false">IF($G3219="","","l")</f>
        <v/>
      </c>
      <c r="L3219" s="2" t="str">
        <f aca="false">IF($G3219="","","同時")</f>
        <v/>
      </c>
      <c r="M3219" s="2" t="str">
        <f aca="false">IF($G3219="","",IF(ISNA(MATCH($G3219,個別指定!$A:$A,0)),"行なし",""))</f>
        <v/>
      </c>
      <c r="N3219" s="2" t="str">
        <f aca="false">IF($G3219="","",IF(COUNTIF($G$2:$G$4460,$G3219)&gt;1,"重複",""))</f>
        <v/>
      </c>
    </row>
    <row r="3220" customFormat="false" ht="16.5" hidden="false" customHeight="true" outlineLevel="0" collapsed="false">
      <c r="A3220" s="2" t="s">
        <v>447</v>
      </c>
      <c r="B3220" s="2" t="s">
        <v>452</v>
      </c>
      <c r="C3220" s="2" t="s">
        <v>33</v>
      </c>
      <c r="D3220" s="2" t="str">
        <f aca="false">IF(4キー同時!$B$58="","",4キー同時!$B$58)</f>
        <v/>
      </c>
      <c r="E3220" s="2" t="str">
        <f aca="false">IF(4キー同時!$G$58="","",4キー同時!$G$58)</f>
        <v/>
      </c>
      <c r="F3220" s="2" t="str">
        <f aca="false">IF(4キー同時!$L$58="","",4キー同時!$L$58)</f>
        <v/>
      </c>
      <c r="G3220" s="2" t="str">
        <f aca="false">IF(OR(4キー同時!$B$58="",4キー同時!$G$58="",4キー同時!$L$58=""),"",IF(4キー同時!AS64="","",SUBSTITUTE(SUBSTITUTE(4キー同時!AS64," ",""),"　","")))</f>
        <v/>
      </c>
      <c r="H3220" s="2" t="str">
        <f aca="false">IF($G3220="","",4キー同時!$B$58)</f>
        <v/>
      </c>
      <c r="I3220" s="2" t="str">
        <f aca="false">IF($G3220="","",4キー同時!$G$58)</f>
        <v/>
      </c>
      <c r="J3220" s="2" t="str">
        <f aca="false">IF($G3220="","",4キー同時!$L$58)</f>
        <v/>
      </c>
      <c r="K3220" s="2" t="str">
        <f aca="false">IF($G3220="","",";")</f>
        <v/>
      </c>
      <c r="L3220" s="2" t="str">
        <f aca="false">IF($G3220="","","同時")</f>
        <v/>
      </c>
      <c r="M3220" s="2" t="str">
        <f aca="false">IF($G3220="","",IF(ISNA(MATCH($G3220,個別指定!$A:$A,0)),"行なし",""))</f>
        <v/>
      </c>
      <c r="N3220" s="2" t="str">
        <f aca="false">IF($G3220="","",IF(COUNTIF($G$2:$G$4460,$G3220)&gt;1,"重複",""))</f>
        <v/>
      </c>
    </row>
    <row r="3221" customFormat="false" ht="16.5" hidden="false" customHeight="true" outlineLevel="0" collapsed="false">
      <c r="A3221" s="2" t="s">
        <v>447</v>
      </c>
      <c r="B3221" s="2" t="s">
        <v>452</v>
      </c>
      <c r="C3221" s="2" t="s">
        <v>34</v>
      </c>
      <c r="D3221" s="2" t="str">
        <f aca="false">IF(4キー同時!$B$58="","",4キー同時!$B$58)</f>
        <v/>
      </c>
      <c r="E3221" s="2" t="str">
        <f aca="false">IF(4キー同時!$G$58="","",4キー同時!$G$58)</f>
        <v/>
      </c>
      <c r="F3221" s="2" t="str">
        <f aca="false">IF(4キー同時!$L$58="","",4キー同時!$L$58)</f>
        <v/>
      </c>
      <c r="G3221" s="2" t="str">
        <f aca="false">IF(OR(4キー同時!$B$58="",4キー同時!$G$58="",4キー同時!$L$58=""),"",IF(4キー同時!AW64="","",SUBSTITUTE(SUBSTITUTE(4キー同時!AW64," ",""),"　","")))</f>
        <v/>
      </c>
      <c r="H3221" s="2" t="str">
        <f aca="false">IF($G3221="","",4キー同時!$B$58)</f>
        <v/>
      </c>
      <c r="I3221" s="2" t="str">
        <f aca="false">IF($G3221="","",4キー同時!$G$58)</f>
        <v/>
      </c>
      <c r="J3221" s="2" t="str">
        <f aca="false">IF($G3221="","",4キー同時!$L$58)</f>
        <v/>
      </c>
      <c r="K3221" s="2" t="str">
        <f aca="false">IF($G3221="","","'")</f>
        <v/>
      </c>
      <c r="L3221" s="2" t="str">
        <f aca="false">IF($G3221="","","同時")</f>
        <v/>
      </c>
      <c r="M3221" s="2" t="str">
        <f aca="false">IF($G3221="","",IF(ISNA(MATCH($G3221,個別指定!$A:$A,0)),"行なし",""))</f>
        <v/>
      </c>
      <c r="N3221" s="2" t="str">
        <f aca="false">IF($G3221="","",IF(COUNTIF($G$2:$G$4460,$G3221)&gt;1,"重複",""))</f>
        <v/>
      </c>
    </row>
    <row r="3222" customFormat="false" ht="16.5" hidden="false" customHeight="true" outlineLevel="0" collapsed="false">
      <c r="A3222" s="2" t="s">
        <v>447</v>
      </c>
      <c r="B3222" s="2" t="s">
        <v>452</v>
      </c>
      <c r="C3222" s="2" t="s">
        <v>35</v>
      </c>
      <c r="D3222" s="2" t="str">
        <f aca="false">IF(4キー同時!$B$58="","",4キー同時!$B$58)</f>
        <v/>
      </c>
      <c r="E3222" s="2" t="str">
        <f aca="false">IF(4キー同時!$G$58="","",4キー同時!$G$58)</f>
        <v/>
      </c>
      <c r="F3222" s="2" t="str">
        <f aca="false">IF(4キー同時!$L$58="","",4キー同時!$L$58)</f>
        <v/>
      </c>
      <c r="G3222" s="2" t="str">
        <f aca="false">IF(OR(4キー同時!$B$58="",4キー同時!$G$58="",4キー同時!$L$58=""),"",IF(4キー同時!K66="","",SUBSTITUTE(SUBSTITUTE(4キー同時!K66," ",""),"　","")))</f>
        <v/>
      </c>
      <c r="H3222" s="2" t="str">
        <f aca="false">IF($G3222="","",4キー同時!$B$58)</f>
        <v/>
      </c>
      <c r="I3222" s="2" t="str">
        <f aca="false">IF($G3222="","",4キー同時!$G$58)</f>
        <v/>
      </c>
      <c r="J3222" s="2" t="str">
        <f aca="false">IF($G3222="","",4キー同時!$L$58)</f>
        <v/>
      </c>
      <c r="K3222" s="2" t="str">
        <f aca="false">IF($G3222="","","z")</f>
        <v/>
      </c>
      <c r="L3222" s="2" t="str">
        <f aca="false">IF($G3222="","","同時")</f>
        <v/>
      </c>
      <c r="M3222" s="2" t="str">
        <f aca="false">IF($G3222="","",IF(ISNA(MATCH($G3222,個別指定!$A:$A,0)),"行なし",""))</f>
        <v/>
      </c>
      <c r="N3222" s="2" t="str">
        <f aca="false">IF($G3222="","",IF(COUNTIF($G$2:$G$4460,$G3222)&gt;1,"重複",""))</f>
        <v/>
      </c>
    </row>
    <row r="3223" customFormat="false" ht="16.5" hidden="false" customHeight="true" outlineLevel="0" collapsed="false">
      <c r="A3223" s="2" t="s">
        <v>447</v>
      </c>
      <c r="B3223" s="2" t="s">
        <v>452</v>
      </c>
      <c r="C3223" s="2" t="s">
        <v>36</v>
      </c>
      <c r="D3223" s="2" t="str">
        <f aca="false">IF(4キー同時!$B$58="","",4キー同時!$B$58)</f>
        <v/>
      </c>
      <c r="E3223" s="2" t="str">
        <f aca="false">IF(4キー同時!$G$58="","",4キー同時!$G$58)</f>
        <v/>
      </c>
      <c r="F3223" s="2" t="str">
        <f aca="false">IF(4キー同時!$L$58="","",4キー同時!$L$58)</f>
        <v/>
      </c>
      <c r="G3223" s="2" t="str">
        <f aca="false">IF(OR(4キー同時!$B$58="",4キー同時!$G$58="",4キー同時!$L$58=""),"",IF(4キー同時!O66="","",SUBSTITUTE(SUBSTITUTE(4キー同時!O66," ",""),"　","")))</f>
        <v/>
      </c>
      <c r="H3223" s="2" t="str">
        <f aca="false">IF($G3223="","",4キー同時!$B$58)</f>
        <v/>
      </c>
      <c r="I3223" s="2" t="str">
        <f aca="false">IF($G3223="","",4キー同時!$G$58)</f>
        <v/>
      </c>
      <c r="J3223" s="2" t="str">
        <f aca="false">IF($G3223="","",4キー同時!$L$58)</f>
        <v/>
      </c>
      <c r="K3223" s="2" t="str">
        <f aca="false">IF($G3223="","","x")</f>
        <v/>
      </c>
      <c r="L3223" s="2" t="str">
        <f aca="false">IF($G3223="","","同時")</f>
        <v/>
      </c>
      <c r="M3223" s="2" t="str">
        <f aca="false">IF($G3223="","",IF(ISNA(MATCH($G3223,個別指定!$A:$A,0)),"行なし",""))</f>
        <v/>
      </c>
      <c r="N3223" s="2" t="str">
        <f aca="false">IF($G3223="","",IF(COUNTIF($G$2:$G$4460,$G3223)&gt;1,"重複",""))</f>
        <v/>
      </c>
    </row>
    <row r="3224" customFormat="false" ht="16.5" hidden="false" customHeight="true" outlineLevel="0" collapsed="false">
      <c r="A3224" s="2" t="s">
        <v>447</v>
      </c>
      <c r="B3224" s="2" t="s">
        <v>452</v>
      </c>
      <c r="C3224" s="2" t="s">
        <v>37</v>
      </c>
      <c r="D3224" s="2" t="str">
        <f aca="false">IF(4キー同時!$B$58="","",4キー同時!$B$58)</f>
        <v/>
      </c>
      <c r="E3224" s="2" t="str">
        <f aca="false">IF(4キー同時!$G$58="","",4キー同時!$G$58)</f>
        <v/>
      </c>
      <c r="F3224" s="2" t="str">
        <f aca="false">IF(4キー同時!$L$58="","",4キー同時!$L$58)</f>
        <v/>
      </c>
      <c r="G3224" s="2" t="str">
        <f aca="false">IF(OR(4キー同時!$B$58="",4キー同時!$G$58="",4キー同時!$L$58=""),"",IF(4キー同時!S66="","",SUBSTITUTE(SUBSTITUTE(4キー同時!S66," ",""),"　","")))</f>
        <v/>
      </c>
      <c r="H3224" s="2" t="str">
        <f aca="false">IF($G3224="","",4キー同時!$B$58)</f>
        <v/>
      </c>
      <c r="I3224" s="2" t="str">
        <f aca="false">IF($G3224="","",4キー同時!$G$58)</f>
        <v/>
      </c>
      <c r="J3224" s="2" t="str">
        <f aca="false">IF($G3224="","",4キー同時!$L$58)</f>
        <v/>
      </c>
      <c r="K3224" s="2" t="str">
        <f aca="false">IF($G3224="","","c")</f>
        <v/>
      </c>
      <c r="L3224" s="2" t="str">
        <f aca="false">IF($G3224="","","同時")</f>
        <v/>
      </c>
      <c r="M3224" s="2" t="str">
        <f aca="false">IF($G3224="","",IF(ISNA(MATCH($G3224,個別指定!$A:$A,0)),"行なし",""))</f>
        <v/>
      </c>
      <c r="N3224" s="2" t="str">
        <f aca="false">IF($G3224="","",IF(COUNTIF($G$2:$G$4460,$G3224)&gt;1,"重複",""))</f>
        <v/>
      </c>
    </row>
    <row r="3225" customFormat="false" ht="16.5" hidden="false" customHeight="true" outlineLevel="0" collapsed="false">
      <c r="A3225" s="2" t="s">
        <v>447</v>
      </c>
      <c r="B3225" s="2" t="s">
        <v>452</v>
      </c>
      <c r="C3225" s="2" t="s">
        <v>38</v>
      </c>
      <c r="D3225" s="2" t="str">
        <f aca="false">IF(4キー同時!$B$58="","",4キー同時!$B$58)</f>
        <v/>
      </c>
      <c r="E3225" s="2" t="str">
        <f aca="false">IF(4キー同時!$G$58="","",4キー同時!$G$58)</f>
        <v/>
      </c>
      <c r="F3225" s="2" t="str">
        <f aca="false">IF(4キー同時!$L$58="","",4キー同時!$L$58)</f>
        <v/>
      </c>
      <c r="G3225" s="2" t="str">
        <f aca="false">IF(OR(4キー同時!$B$58="",4キー同時!$G$58="",4キー同時!$L$58=""),"",IF(4キー同時!W66="","",SUBSTITUTE(SUBSTITUTE(4キー同時!W66," ",""),"　","")))</f>
        <v/>
      </c>
      <c r="H3225" s="2" t="str">
        <f aca="false">IF($G3225="","",4キー同時!$B$58)</f>
        <v/>
      </c>
      <c r="I3225" s="2" t="str">
        <f aca="false">IF($G3225="","",4キー同時!$G$58)</f>
        <v/>
      </c>
      <c r="J3225" s="2" t="str">
        <f aca="false">IF($G3225="","",4キー同時!$L$58)</f>
        <v/>
      </c>
      <c r="K3225" s="2" t="str">
        <f aca="false">IF($G3225="","","v")</f>
        <v/>
      </c>
      <c r="L3225" s="2" t="str">
        <f aca="false">IF($G3225="","","同時")</f>
        <v/>
      </c>
      <c r="M3225" s="2" t="str">
        <f aca="false">IF($G3225="","",IF(ISNA(MATCH($G3225,個別指定!$A:$A,0)),"行なし",""))</f>
        <v/>
      </c>
      <c r="N3225" s="2" t="str">
        <f aca="false">IF($G3225="","",IF(COUNTIF($G$2:$G$4460,$G3225)&gt;1,"重複",""))</f>
        <v/>
      </c>
    </row>
    <row r="3226" customFormat="false" ht="16.5" hidden="false" customHeight="true" outlineLevel="0" collapsed="false">
      <c r="A3226" s="2" t="s">
        <v>447</v>
      </c>
      <c r="B3226" s="2" t="s">
        <v>452</v>
      </c>
      <c r="C3226" s="2" t="s">
        <v>39</v>
      </c>
      <c r="D3226" s="2" t="str">
        <f aca="false">IF(4キー同時!$B$58="","",4キー同時!$B$58)</f>
        <v/>
      </c>
      <c r="E3226" s="2" t="str">
        <f aca="false">IF(4キー同時!$G$58="","",4キー同時!$G$58)</f>
        <v/>
      </c>
      <c r="F3226" s="2" t="str">
        <f aca="false">IF(4キー同時!$L$58="","",4キー同時!$L$58)</f>
        <v/>
      </c>
      <c r="G3226" s="2" t="str">
        <f aca="false">IF(OR(4キー同時!$B$58="",4キー同時!$G$58="",4キー同時!$L$58=""),"",IF(4キー同時!AA66="","",SUBSTITUTE(SUBSTITUTE(4キー同時!AA66," ",""),"　","")))</f>
        <v/>
      </c>
      <c r="H3226" s="2" t="str">
        <f aca="false">IF($G3226="","",4キー同時!$B$58)</f>
        <v/>
      </c>
      <c r="I3226" s="2" t="str">
        <f aca="false">IF($G3226="","",4キー同時!$G$58)</f>
        <v/>
      </c>
      <c r="J3226" s="2" t="str">
        <f aca="false">IF($G3226="","",4キー同時!$L$58)</f>
        <v/>
      </c>
      <c r="K3226" s="2" t="str">
        <f aca="false">IF($G3226="","","b")</f>
        <v/>
      </c>
      <c r="L3226" s="2" t="str">
        <f aca="false">IF($G3226="","","同時")</f>
        <v/>
      </c>
      <c r="M3226" s="2" t="str">
        <f aca="false">IF($G3226="","",IF(ISNA(MATCH($G3226,個別指定!$A:$A,0)),"行なし",""))</f>
        <v/>
      </c>
      <c r="N3226" s="2" t="str">
        <f aca="false">IF($G3226="","",IF(COUNTIF($G$2:$G$4460,$G3226)&gt;1,"重複",""))</f>
        <v/>
      </c>
    </row>
    <row r="3227" customFormat="false" ht="16.5" hidden="false" customHeight="true" outlineLevel="0" collapsed="false">
      <c r="A3227" s="2" t="s">
        <v>447</v>
      </c>
      <c r="B3227" s="2" t="s">
        <v>452</v>
      </c>
      <c r="C3227" s="2" t="s">
        <v>40</v>
      </c>
      <c r="D3227" s="2" t="str">
        <f aca="false">IF(4キー同時!$B$58="","",4キー同時!$B$58)</f>
        <v/>
      </c>
      <c r="E3227" s="2" t="str">
        <f aca="false">IF(4キー同時!$G$58="","",4キー同時!$G$58)</f>
        <v/>
      </c>
      <c r="F3227" s="2" t="str">
        <f aca="false">IF(4キー同時!$L$58="","",4キー同時!$L$58)</f>
        <v/>
      </c>
      <c r="G3227" s="2" t="str">
        <f aca="false">IF(OR(4キー同時!$B$58="",4キー同時!$G$58="",4キー同時!$L$58=""),"",IF(4キー同時!AE66="","",SUBSTITUTE(SUBSTITUTE(4キー同時!AE66," ",""),"　","")))</f>
        <v/>
      </c>
      <c r="H3227" s="2" t="str">
        <f aca="false">IF($G3227="","",4キー同時!$B$58)</f>
        <v/>
      </c>
      <c r="I3227" s="2" t="str">
        <f aca="false">IF($G3227="","",4キー同時!$G$58)</f>
        <v/>
      </c>
      <c r="J3227" s="2" t="str">
        <f aca="false">IF($G3227="","",4キー同時!$L$58)</f>
        <v/>
      </c>
      <c r="K3227" s="2" t="str">
        <f aca="false">IF($G3227="","","n")</f>
        <v/>
      </c>
      <c r="L3227" s="2" t="str">
        <f aca="false">IF($G3227="","","同時")</f>
        <v/>
      </c>
      <c r="M3227" s="2" t="str">
        <f aca="false">IF($G3227="","",IF(ISNA(MATCH($G3227,個別指定!$A:$A,0)),"行なし",""))</f>
        <v/>
      </c>
      <c r="N3227" s="2" t="str">
        <f aca="false">IF($G3227="","",IF(COUNTIF($G$2:$G$4460,$G3227)&gt;1,"重複",""))</f>
        <v/>
      </c>
    </row>
    <row r="3228" customFormat="false" ht="16.5" hidden="false" customHeight="true" outlineLevel="0" collapsed="false">
      <c r="A3228" s="2" t="s">
        <v>447</v>
      </c>
      <c r="B3228" s="2" t="s">
        <v>452</v>
      </c>
      <c r="C3228" s="2" t="s">
        <v>41</v>
      </c>
      <c r="D3228" s="2" t="str">
        <f aca="false">IF(4キー同時!$B$58="","",4キー同時!$B$58)</f>
        <v/>
      </c>
      <c r="E3228" s="2" t="str">
        <f aca="false">IF(4キー同時!$G$58="","",4キー同時!$G$58)</f>
        <v/>
      </c>
      <c r="F3228" s="2" t="str">
        <f aca="false">IF(4キー同時!$L$58="","",4キー同時!$L$58)</f>
        <v/>
      </c>
      <c r="G3228" s="2" t="str">
        <f aca="false">IF(OR(4キー同時!$B$58="",4キー同時!$G$58="",4キー同時!$L$58=""),"",IF(4キー同時!AI66="","",SUBSTITUTE(SUBSTITUTE(4キー同時!AI66," ",""),"　","")))</f>
        <v/>
      </c>
      <c r="H3228" s="2" t="str">
        <f aca="false">IF($G3228="","",4キー同時!$B$58)</f>
        <v/>
      </c>
      <c r="I3228" s="2" t="str">
        <f aca="false">IF($G3228="","",4キー同時!$G$58)</f>
        <v/>
      </c>
      <c r="J3228" s="2" t="str">
        <f aca="false">IF($G3228="","",4キー同時!$L$58)</f>
        <v/>
      </c>
      <c r="K3228" s="2" t="str">
        <f aca="false">IF($G3228="","","m")</f>
        <v/>
      </c>
      <c r="L3228" s="2" t="str">
        <f aca="false">IF($G3228="","","同時")</f>
        <v/>
      </c>
      <c r="M3228" s="2" t="str">
        <f aca="false">IF($G3228="","",IF(ISNA(MATCH($G3228,個別指定!$A:$A,0)),"行なし",""))</f>
        <v/>
      </c>
      <c r="N3228" s="2" t="str">
        <f aca="false">IF($G3228="","",IF(COUNTIF($G$2:$G$4460,$G3228)&gt;1,"重複",""))</f>
        <v/>
      </c>
    </row>
    <row r="3229" customFormat="false" ht="16.5" hidden="false" customHeight="true" outlineLevel="0" collapsed="false">
      <c r="A3229" s="2" t="s">
        <v>447</v>
      </c>
      <c r="B3229" s="2" t="s">
        <v>452</v>
      </c>
      <c r="C3229" s="2" t="s">
        <v>42</v>
      </c>
      <c r="D3229" s="2" t="str">
        <f aca="false">IF(4キー同時!$B$58="","",4キー同時!$B$58)</f>
        <v/>
      </c>
      <c r="E3229" s="2" t="str">
        <f aca="false">IF(4キー同時!$G$58="","",4キー同時!$G$58)</f>
        <v/>
      </c>
      <c r="F3229" s="2" t="str">
        <f aca="false">IF(4キー同時!$L$58="","",4キー同時!$L$58)</f>
        <v/>
      </c>
      <c r="G3229" s="2" t="str">
        <f aca="false">IF(OR(4キー同時!$B$58="",4キー同時!$G$58="",4キー同時!$L$58=""),"",IF(4キー同時!AM66="","",SUBSTITUTE(SUBSTITUTE(4キー同時!AM66," ",""),"　","")))</f>
        <v/>
      </c>
      <c r="H3229" s="2" t="str">
        <f aca="false">IF($G3229="","",4キー同時!$B$58)</f>
        <v/>
      </c>
      <c r="I3229" s="2" t="str">
        <f aca="false">IF($G3229="","",4キー同時!$G$58)</f>
        <v/>
      </c>
      <c r="J3229" s="2" t="str">
        <f aca="false">IF($G3229="","",4キー同時!$L$58)</f>
        <v/>
      </c>
      <c r="K3229" s="2" t="str">
        <f aca="false">IF($G3229="","",",")</f>
        <v/>
      </c>
      <c r="L3229" s="2" t="str">
        <f aca="false">IF($G3229="","","同時")</f>
        <v/>
      </c>
      <c r="M3229" s="2" t="str">
        <f aca="false">IF($G3229="","",IF(ISNA(MATCH($G3229,個別指定!$A:$A,0)),"行なし",""))</f>
        <v/>
      </c>
      <c r="N3229" s="2" t="str">
        <f aca="false">IF($G3229="","",IF(COUNTIF($G$2:$G$4460,$G3229)&gt;1,"重複",""))</f>
        <v/>
      </c>
    </row>
    <row r="3230" customFormat="false" ht="16.5" hidden="false" customHeight="true" outlineLevel="0" collapsed="false">
      <c r="A3230" s="2" t="s">
        <v>447</v>
      </c>
      <c r="B3230" s="2" t="s">
        <v>452</v>
      </c>
      <c r="C3230" s="2" t="s">
        <v>43</v>
      </c>
      <c r="D3230" s="2" t="str">
        <f aca="false">IF(4キー同時!$B$58="","",4キー同時!$B$58)</f>
        <v/>
      </c>
      <c r="E3230" s="2" t="str">
        <f aca="false">IF(4キー同時!$G$58="","",4キー同時!$G$58)</f>
        <v/>
      </c>
      <c r="F3230" s="2" t="str">
        <f aca="false">IF(4キー同時!$L$58="","",4キー同時!$L$58)</f>
        <v/>
      </c>
      <c r="G3230" s="2" t="str">
        <f aca="false">IF(OR(4キー同時!$B$58="",4キー同時!$G$58="",4キー同時!$L$58=""),"",IF(4キー同時!AQ66="","",SUBSTITUTE(SUBSTITUTE(4キー同時!AQ66," ",""),"　","")))</f>
        <v/>
      </c>
      <c r="H3230" s="2" t="str">
        <f aca="false">IF($G3230="","",4キー同時!$B$58)</f>
        <v/>
      </c>
      <c r="I3230" s="2" t="str">
        <f aca="false">IF($G3230="","",4キー同時!$G$58)</f>
        <v/>
      </c>
      <c r="J3230" s="2" t="str">
        <f aca="false">IF($G3230="","",4キー同時!$L$58)</f>
        <v/>
      </c>
      <c r="K3230" s="2" t="str">
        <f aca="false">IF($G3230="","",".")</f>
        <v/>
      </c>
      <c r="L3230" s="2" t="str">
        <f aca="false">IF($G3230="","","同時")</f>
        <v/>
      </c>
      <c r="M3230" s="2" t="str">
        <f aca="false">IF($G3230="","",IF(ISNA(MATCH($G3230,個別指定!$A:$A,0)),"行なし",""))</f>
        <v/>
      </c>
      <c r="N3230" s="2" t="str">
        <f aca="false">IF($G3230="","",IF(COUNTIF($G$2:$G$4460,$G3230)&gt;1,"重複",""))</f>
        <v/>
      </c>
    </row>
    <row r="3231" customFormat="false" ht="16.5" hidden="false" customHeight="true" outlineLevel="0" collapsed="false">
      <c r="A3231" s="2" t="s">
        <v>447</v>
      </c>
      <c r="B3231" s="2" t="s">
        <v>452</v>
      </c>
      <c r="C3231" s="2" t="s">
        <v>44</v>
      </c>
      <c r="D3231" s="2" t="str">
        <f aca="false">IF(4キー同時!$B$58="","",4キー同時!$B$58)</f>
        <v/>
      </c>
      <c r="E3231" s="2" t="str">
        <f aca="false">IF(4キー同時!$G$58="","",4キー同時!$G$58)</f>
        <v/>
      </c>
      <c r="F3231" s="2" t="str">
        <f aca="false">IF(4キー同時!$L$58="","",4キー同時!$L$58)</f>
        <v/>
      </c>
      <c r="G3231" s="2" t="str">
        <f aca="false">IF(OR(4キー同時!$B$58="",4キー同時!$G$58="",4キー同時!$L$58=""),"",IF(4キー同時!AU66="","",SUBSTITUTE(SUBSTITUTE(4キー同時!AU66," ",""),"　","")))</f>
        <v/>
      </c>
      <c r="H3231" s="2" t="str">
        <f aca="false">IF($G3231="","",4キー同時!$B$58)</f>
        <v/>
      </c>
      <c r="I3231" s="2" t="str">
        <f aca="false">IF($G3231="","",4キー同時!$G$58)</f>
        <v/>
      </c>
      <c r="J3231" s="2" t="str">
        <f aca="false">IF($G3231="","",4キー同時!$L$58)</f>
        <v/>
      </c>
      <c r="K3231" s="2" t="str">
        <f aca="false">IF($G3231="","","/")</f>
        <v/>
      </c>
      <c r="L3231" s="2" t="str">
        <f aca="false">IF($G3231="","","同時")</f>
        <v/>
      </c>
      <c r="M3231" s="2" t="str">
        <f aca="false">IF($G3231="","",IF(ISNA(MATCH($G3231,個別指定!$A:$A,0)),"行なし",""))</f>
        <v/>
      </c>
      <c r="N3231" s="2" t="str">
        <f aca="false">IF($G3231="","",IF(COUNTIF($G$2:$G$4460,$G3231)&gt;1,"重複",""))</f>
        <v/>
      </c>
    </row>
    <row r="3232" customFormat="false" ht="16.5" hidden="false" customHeight="true" outlineLevel="0" collapsed="false">
      <c r="A3232" s="2" t="s">
        <v>447</v>
      </c>
      <c r="B3232" s="2" t="s">
        <v>452</v>
      </c>
      <c r="C3232" s="2" t="s">
        <v>48</v>
      </c>
      <c r="D3232" s="2" t="str">
        <f aca="false">IF(4キー同時!$B$58="","",4キー同時!$B$58)</f>
        <v/>
      </c>
      <c r="E3232" s="2" t="str">
        <f aca="false">IF(4キー同時!$G$58="","",4キー同時!$G$58)</f>
        <v/>
      </c>
      <c r="F3232" s="2" t="str">
        <f aca="false">IF(4キー同時!$L$58="","",4キー同時!$L$58)</f>
        <v/>
      </c>
      <c r="G3232" s="2" t="str">
        <f aca="false">IF(OR(4キー同時!$B$58="",4キー同時!$G$58="",4キー同時!$L$58=""),"",IF(4キー同時!P68="","",SUBSTITUTE(SUBSTITUTE(4キー同時!P68," ",""),"　","")))</f>
        <v/>
      </c>
      <c r="H3232" s="2" t="str">
        <f aca="false">IF($G3232="","",4キー同時!$B$58)</f>
        <v/>
      </c>
      <c r="I3232" s="2" t="str">
        <f aca="false">IF($G3232="","",4キー同時!$G$58)</f>
        <v/>
      </c>
      <c r="J3232" s="2" t="str">
        <f aca="false">IF($G3232="","",4キー同時!$L$58)</f>
        <v/>
      </c>
      <c r="K3232" s="2" t="str">
        <f aca="false">IF($G3232="","","muhenkan")</f>
        <v/>
      </c>
      <c r="L3232" s="2" t="str">
        <f aca="false">IF($G3232="","","同時")</f>
        <v/>
      </c>
      <c r="M3232" s="2" t="str">
        <f aca="false">IF($G3232="","",IF(ISNA(MATCH($G3232,個別指定!$A:$A,0)),"行なし",""))</f>
        <v/>
      </c>
      <c r="N3232" s="2" t="str">
        <f aca="false">IF($G3232="","",IF(COUNTIF($G$2:$G$4460,$G3232)&gt;1,"重複",""))</f>
        <v/>
      </c>
    </row>
    <row r="3233" customFormat="false" ht="16.5" hidden="false" customHeight="true" outlineLevel="0" collapsed="false">
      <c r="A3233" s="2" t="s">
        <v>447</v>
      </c>
      <c r="B3233" s="2" t="s">
        <v>452</v>
      </c>
      <c r="C3233" s="2" t="s">
        <v>50</v>
      </c>
      <c r="D3233" s="2" t="str">
        <f aca="false">IF(4キー同時!$B$58="","",4キー同時!$B$58)</f>
        <v/>
      </c>
      <c r="E3233" s="2" t="str">
        <f aca="false">IF(4キー同時!$G$58="","",4キー同時!$G$58)</f>
        <v/>
      </c>
      <c r="F3233" s="2" t="str">
        <f aca="false">IF(4キー同時!$L$58="","",4キー同時!$L$58)</f>
        <v/>
      </c>
      <c r="G3233" s="2" t="str">
        <f aca="false">IF(OR(4キー同時!$B$58="",4キー同時!$G$58="",4キー同時!$L$58=""),"",IF(4キー同時!T68="","",SUBSTITUTE(SUBSTITUTE(4キー同時!T68," ",""),"　","")))</f>
        <v/>
      </c>
      <c r="H3233" s="2" t="str">
        <f aca="false">IF($G3233="","",4キー同時!$B$58)</f>
        <v/>
      </c>
      <c r="I3233" s="2" t="str">
        <f aca="false">IF($G3233="","",4キー同時!$G$58)</f>
        <v/>
      </c>
      <c r="J3233" s="2" t="str">
        <f aca="false">IF($G3233="","",4キー同時!$L$58)</f>
        <v/>
      </c>
      <c r="K3233" s="2" t="str">
        <f aca="false">IF($G3233="","","space")</f>
        <v/>
      </c>
      <c r="L3233" s="2" t="str">
        <f aca="false">IF($G3233="","","同時")</f>
        <v/>
      </c>
      <c r="M3233" s="2" t="str">
        <f aca="false">IF($G3233="","",IF(ISNA(MATCH($G3233,個別指定!$A:$A,0)),"行なし",""))</f>
        <v/>
      </c>
      <c r="N3233" s="2" t="str">
        <f aca="false">IF($G3233="","",IF(COUNTIF($G$2:$G$4460,$G3233)&gt;1,"重複",""))</f>
        <v/>
      </c>
    </row>
    <row r="3234" customFormat="false" ht="16.5" hidden="false" customHeight="true" outlineLevel="0" collapsed="false">
      <c r="A3234" s="2" t="s">
        <v>447</v>
      </c>
      <c r="B3234" s="2" t="s">
        <v>452</v>
      </c>
      <c r="C3234" s="2" t="s">
        <v>45</v>
      </c>
      <c r="D3234" s="2" t="str">
        <f aca="false">IF(4キー同時!$B$58="","",4キー同時!$B$58)</f>
        <v/>
      </c>
      <c r="E3234" s="2" t="str">
        <f aca="false">IF(4キー同時!$G$58="","",4キー同時!$G$58)</f>
        <v/>
      </c>
      <c r="F3234" s="2" t="str">
        <f aca="false">IF(4キー同時!$L$58="","",4キー同時!$L$58)</f>
        <v/>
      </c>
      <c r="G3234" s="2" t="str">
        <f aca="false">IF(OR(4キー同時!$B$58="",4キー同時!$G$58="",4キー同時!$L$58=""),"",IF(4キー同時!AL68="","",SUBSTITUTE(SUBSTITUTE(4キー同時!AL68," ",""),"　","")))</f>
        <v/>
      </c>
      <c r="H3234" s="2" t="str">
        <f aca="false">IF($G3234="","",4キー同時!$B$58)</f>
        <v/>
      </c>
      <c r="I3234" s="2" t="str">
        <f aca="false">IF($G3234="","",4キー同時!$G$58)</f>
        <v/>
      </c>
      <c r="J3234" s="2" t="str">
        <f aca="false">IF($G3234="","",4キー同時!$L$58)</f>
        <v/>
      </c>
      <c r="K3234" s="2" t="str">
        <f aca="false">IF($G3234="","","henkan")</f>
        <v/>
      </c>
      <c r="L3234" s="2" t="str">
        <f aca="false">IF($G3234="","","同時")</f>
        <v/>
      </c>
      <c r="M3234" s="2" t="str">
        <f aca="false">IF($G3234="","",IF(ISNA(MATCH($G3234,個別指定!$A:$A,0)),"行なし",""))</f>
        <v/>
      </c>
      <c r="N3234" s="2" t="str">
        <f aca="false">IF($G3234="","",IF(COUNTIF($G$2:$G$4460,$G3234)&gt;1,"重複",""))</f>
        <v/>
      </c>
    </row>
    <row r="3235" customFormat="false" ht="16.5" hidden="false" customHeight="true" outlineLevel="0" collapsed="false">
      <c r="A3235" s="2" t="s">
        <v>447</v>
      </c>
      <c r="B3235" s="2" t="s">
        <v>452</v>
      </c>
      <c r="C3235" s="2" t="s">
        <v>46</v>
      </c>
      <c r="D3235" s="2" t="str">
        <f aca="false">IF(4キー同時!$B$58="","",4キー同時!$B$58)</f>
        <v/>
      </c>
      <c r="E3235" s="2" t="str">
        <f aca="false">IF(4キー同時!$G$58="","",4キー同時!$G$58)</f>
        <v/>
      </c>
      <c r="F3235" s="2" t="str">
        <f aca="false">IF(4キー同時!$L$58="","",4キー同時!$L$58)</f>
        <v/>
      </c>
      <c r="G3235" s="2" t="str">
        <f aca="false">IF(OR(4キー同時!$B$58="",4キー同時!$G$58="",4キー同時!$L$58=""),"",IF(4キー同時!AP68="","",SUBSTITUTE(SUBSTITUTE(4キー同時!AP68," ",""),"　","")))</f>
        <v/>
      </c>
      <c r="H3235" s="2" t="str">
        <f aca="false">IF($G3235="","",4キー同時!$B$58)</f>
        <v/>
      </c>
      <c r="I3235" s="2" t="str">
        <f aca="false">IF($G3235="","",4キー同時!$G$58)</f>
        <v/>
      </c>
      <c r="J3235" s="2" t="str">
        <f aca="false">IF($G3235="","",4キー同時!$L$58)</f>
        <v/>
      </c>
      <c r="K3235" s="2" t="str">
        <f aca="false">IF($G3235="","","kana")</f>
        <v/>
      </c>
      <c r="L3235" s="2" t="str">
        <f aca="false">IF($G3235="","","同時")</f>
        <v/>
      </c>
      <c r="M3235" s="2" t="str">
        <f aca="false">IF($G3235="","",IF(ISNA(MATCH($G3235,個別指定!$A:$A,0)),"行なし",""))</f>
        <v/>
      </c>
      <c r="N3235" s="2" t="str">
        <f aca="false">IF($G3235="","",IF(COUNTIF($G$2:$G$4460,$G3235)&gt;1,"重複",""))</f>
        <v/>
      </c>
    </row>
    <row r="3236" customFormat="false" ht="16.5" hidden="false" customHeight="true" outlineLevel="0" collapsed="false">
      <c r="A3236" s="2" t="s">
        <v>447</v>
      </c>
      <c r="B3236" s="2" t="s">
        <v>453</v>
      </c>
      <c r="C3236" s="2" t="s">
        <v>0</v>
      </c>
      <c r="D3236" s="2" t="str">
        <f aca="false">IF(4キー同時!$B$71="","",4キー同時!$B$71)</f>
        <v/>
      </c>
      <c r="E3236" s="2" t="str">
        <f aca="false">IF(4キー同時!$G$71="","",4キー同時!$G$71)</f>
        <v/>
      </c>
      <c r="F3236" s="2" t="str">
        <f aca="false">IF(4キー同時!$L$71="","",4キー同時!$L$71)</f>
        <v/>
      </c>
      <c r="G3236" s="2" t="str">
        <f aca="false">IF(OR(4キー同時!$B$71="",4キー同時!$G$71="",4キー同時!$L$71=""),"",IF(4キー同時!F73="","",SUBSTITUTE(SUBSTITUTE(4キー同時!F73," ",""),"　","")))</f>
        <v/>
      </c>
      <c r="H3236" s="2" t="str">
        <f aca="false">IF($G3236="","",4キー同時!$B$71)</f>
        <v/>
      </c>
      <c r="I3236" s="2" t="str">
        <f aca="false">IF($G3236="","",4キー同時!$G$71)</f>
        <v/>
      </c>
      <c r="J3236" s="2" t="str">
        <f aca="false">IF($G3236="","",4キー同時!$L$71)</f>
        <v/>
      </c>
      <c r="K3236" s="2" t="str">
        <f aca="false">IF($G3236="","","1")</f>
        <v/>
      </c>
      <c r="L3236" s="2" t="str">
        <f aca="false">IF($G3236="","","同時")</f>
        <v/>
      </c>
      <c r="M3236" s="2" t="str">
        <f aca="false">IF($G3236="","",IF(ISNA(MATCH($G3236,個別指定!$A:$A,0)),"行なし",""))</f>
        <v/>
      </c>
      <c r="N3236" s="2" t="str">
        <f aca="false">IF($G3236="","",IF(COUNTIF($G$2:$G$4460,$G3236)&gt;1,"重複",""))</f>
        <v/>
      </c>
    </row>
    <row r="3237" customFormat="false" ht="16.5" hidden="false" customHeight="true" outlineLevel="0" collapsed="false">
      <c r="A3237" s="2" t="s">
        <v>447</v>
      </c>
      <c r="B3237" s="2" t="s">
        <v>453</v>
      </c>
      <c r="C3237" s="2" t="s">
        <v>1</v>
      </c>
      <c r="D3237" s="2" t="str">
        <f aca="false">IF(4キー同時!$B$71="","",4キー同時!$B$71)</f>
        <v/>
      </c>
      <c r="E3237" s="2" t="str">
        <f aca="false">IF(4キー同時!$G$71="","",4キー同時!$G$71)</f>
        <v/>
      </c>
      <c r="F3237" s="2" t="str">
        <f aca="false">IF(4キー同時!$L$71="","",4キー同時!$L$71)</f>
        <v/>
      </c>
      <c r="G3237" s="2" t="str">
        <f aca="false">IF(OR(4キー同時!$B$71="",4キー同時!$G$71="",4キー同時!$L$71=""),"",IF(4キー同時!J73="","",SUBSTITUTE(SUBSTITUTE(4キー同時!J73," ",""),"　","")))</f>
        <v/>
      </c>
      <c r="H3237" s="2" t="str">
        <f aca="false">IF($G3237="","",4キー同時!$B$71)</f>
        <v/>
      </c>
      <c r="I3237" s="2" t="str">
        <f aca="false">IF($G3237="","",4キー同時!$G$71)</f>
        <v/>
      </c>
      <c r="J3237" s="2" t="str">
        <f aca="false">IF($G3237="","",4キー同時!$L$71)</f>
        <v/>
      </c>
      <c r="K3237" s="2" t="str">
        <f aca="false">IF($G3237="","","2")</f>
        <v/>
      </c>
      <c r="L3237" s="2" t="str">
        <f aca="false">IF($G3237="","","同時")</f>
        <v/>
      </c>
      <c r="M3237" s="2" t="str">
        <f aca="false">IF($G3237="","",IF(ISNA(MATCH($G3237,個別指定!$A:$A,0)),"行なし",""))</f>
        <v/>
      </c>
      <c r="N3237" s="2" t="str">
        <f aca="false">IF($G3237="","",IF(COUNTIF($G$2:$G$4460,$G3237)&gt;1,"重複",""))</f>
        <v/>
      </c>
    </row>
    <row r="3238" customFormat="false" ht="16.5" hidden="false" customHeight="true" outlineLevel="0" collapsed="false">
      <c r="A3238" s="2" t="s">
        <v>447</v>
      </c>
      <c r="B3238" s="2" t="s">
        <v>453</v>
      </c>
      <c r="C3238" s="2" t="s">
        <v>2</v>
      </c>
      <c r="D3238" s="2" t="str">
        <f aca="false">IF(4キー同時!$B$71="","",4キー同時!$B$71)</f>
        <v/>
      </c>
      <c r="E3238" s="2" t="str">
        <f aca="false">IF(4キー同時!$G$71="","",4キー同時!$G$71)</f>
        <v/>
      </c>
      <c r="F3238" s="2" t="str">
        <f aca="false">IF(4キー同時!$L$71="","",4キー同時!$L$71)</f>
        <v/>
      </c>
      <c r="G3238" s="2" t="str">
        <f aca="false">IF(OR(4キー同時!$B$71="",4キー同時!$G$71="",4キー同時!$L$71=""),"",IF(4キー同時!N73="","",SUBSTITUTE(SUBSTITUTE(4キー同時!N73," ",""),"　","")))</f>
        <v/>
      </c>
      <c r="H3238" s="2" t="str">
        <f aca="false">IF($G3238="","",4キー同時!$B$71)</f>
        <v/>
      </c>
      <c r="I3238" s="2" t="str">
        <f aca="false">IF($G3238="","",4キー同時!$G$71)</f>
        <v/>
      </c>
      <c r="J3238" s="2" t="str">
        <f aca="false">IF($G3238="","",4キー同時!$L$71)</f>
        <v/>
      </c>
      <c r="K3238" s="2" t="str">
        <f aca="false">IF($G3238="","","3")</f>
        <v/>
      </c>
      <c r="L3238" s="2" t="str">
        <f aca="false">IF($G3238="","","同時")</f>
        <v/>
      </c>
      <c r="M3238" s="2" t="str">
        <f aca="false">IF($G3238="","",IF(ISNA(MATCH($G3238,個別指定!$A:$A,0)),"行なし",""))</f>
        <v/>
      </c>
      <c r="N3238" s="2" t="str">
        <f aca="false">IF($G3238="","",IF(COUNTIF($G$2:$G$4460,$G3238)&gt;1,"重複",""))</f>
        <v/>
      </c>
    </row>
    <row r="3239" customFormat="false" ht="16.5" hidden="false" customHeight="true" outlineLevel="0" collapsed="false">
      <c r="A3239" s="2" t="s">
        <v>447</v>
      </c>
      <c r="B3239" s="2" t="s">
        <v>453</v>
      </c>
      <c r="C3239" s="2" t="s">
        <v>3</v>
      </c>
      <c r="D3239" s="2" t="str">
        <f aca="false">IF(4キー同時!$B$71="","",4キー同時!$B$71)</f>
        <v/>
      </c>
      <c r="E3239" s="2" t="str">
        <f aca="false">IF(4キー同時!$G$71="","",4キー同時!$G$71)</f>
        <v/>
      </c>
      <c r="F3239" s="2" t="str">
        <f aca="false">IF(4キー同時!$L$71="","",4キー同時!$L$71)</f>
        <v/>
      </c>
      <c r="G3239" s="2" t="str">
        <f aca="false">IF(OR(4キー同時!$B$71="",4キー同時!$G$71="",4キー同時!$L$71=""),"",IF(4キー同時!R73="","",SUBSTITUTE(SUBSTITUTE(4キー同時!R73," ",""),"　","")))</f>
        <v/>
      </c>
      <c r="H3239" s="2" t="str">
        <f aca="false">IF($G3239="","",4キー同時!$B$71)</f>
        <v/>
      </c>
      <c r="I3239" s="2" t="str">
        <f aca="false">IF($G3239="","",4キー同時!$G$71)</f>
        <v/>
      </c>
      <c r="J3239" s="2" t="str">
        <f aca="false">IF($G3239="","",4キー同時!$L$71)</f>
        <v/>
      </c>
      <c r="K3239" s="2" t="str">
        <f aca="false">IF($G3239="","","4")</f>
        <v/>
      </c>
      <c r="L3239" s="2" t="str">
        <f aca="false">IF($G3239="","","同時")</f>
        <v/>
      </c>
      <c r="M3239" s="2" t="str">
        <f aca="false">IF($G3239="","",IF(ISNA(MATCH($G3239,個別指定!$A:$A,0)),"行なし",""))</f>
        <v/>
      </c>
      <c r="N3239" s="2" t="str">
        <f aca="false">IF($G3239="","",IF(COUNTIF($G$2:$G$4460,$G3239)&gt;1,"重複",""))</f>
        <v/>
      </c>
    </row>
    <row r="3240" customFormat="false" ht="16.5" hidden="false" customHeight="true" outlineLevel="0" collapsed="false">
      <c r="A3240" s="2" t="s">
        <v>447</v>
      </c>
      <c r="B3240" s="2" t="s">
        <v>453</v>
      </c>
      <c r="C3240" s="2" t="s">
        <v>4</v>
      </c>
      <c r="D3240" s="2" t="str">
        <f aca="false">IF(4キー同時!$B$71="","",4キー同時!$B$71)</f>
        <v/>
      </c>
      <c r="E3240" s="2" t="str">
        <f aca="false">IF(4キー同時!$G$71="","",4キー同時!$G$71)</f>
        <v/>
      </c>
      <c r="F3240" s="2" t="str">
        <f aca="false">IF(4キー同時!$L$71="","",4キー同時!$L$71)</f>
        <v/>
      </c>
      <c r="G3240" s="2" t="str">
        <f aca="false">IF(OR(4キー同時!$B$71="",4キー同時!$G$71="",4キー同時!$L$71=""),"",IF(4キー同時!V73="","",SUBSTITUTE(SUBSTITUTE(4キー同時!V73," ",""),"　","")))</f>
        <v/>
      </c>
      <c r="H3240" s="2" t="str">
        <f aca="false">IF($G3240="","",4キー同時!$B$71)</f>
        <v/>
      </c>
      <c r="I3240" s="2" t="str">
        <f aca="false">IF($G3240="","",4キー同時!$G$71)</f>
        <v/>
      </c>
      <c r="J3240" s="2" t="str">
        <f aca="false">IF($G3240="","",4キー同時!$L$71)</f>
        <v/>
      </c>
      <c r="K3240" s="2" t="str">
        <f aca="false">IF($G3240="","","5")</f>
        <v/>
      </c>
      <c r="L3240" s="2" t="str">
        <f aca="false">IF($G3240="","","同時")</f>
        <v/>
      </c>
      <c r="M3240" s="2" t="str">
        <f aca="false">IF($G3240="","",IF(ISNA(MATCH($G3240,個別指定!$A:$A,0)),"行なし",""))</f>
        <v/>
      </c>
      <c r="N3240" s="2" t="str">
        <f aca="false">IF($G3240="","",IF(COUNTIF($G$2:$G$4460,$G3240)&gt;1,"重複",""))</f>
        <v/>
      </c>
    </row>
    <row r="3241" customFormat="false" ht="16.5" hidden="false" customHeight="true" outlineLevel="0" collapsed="false">
      <c r="A3241" s="2" t="s">
        <v>447</v>
      </c>
      <c r="B3241" s="2" t="s">
        <v>453</v>
      </c>
      <c r="C3241" s="2" t="s">
        <v>5</v>
      </c>
      <c r="D3241" s="2" t="str">
        <f aca="false">IF(4キー同時!$B$71="","",4キー同時!$B$71)</f>
        <v/>
      </c>
      <c r="E3241" s="2" t="str">
        <f aca="false">IF(4キー同時!$G$71="","",4キー同時!$G$71)</f>
        <v/>
      </c>
      <c r="F3241" s="2" t="str">
        <f aca="false">IF(4キー同時!$L$71="","",4キー同時!$L$71)</f>
        <v/>
      </c>
      <c r="G3241" s="2" t="str">
        <f aca="false">IF(OR(4キー同時!$B$71="",4キー同時!$G$71="",4キー同時!$L$71=""),"",IF(4キー同時!Z73="","",SUBSTITUTE(SUBSTITUTE(4キー同時!Z73," ",""),"　","")))</f>
        <v/>
      </c>
      <c r="H3241" s="2" t="str">
        <f aca="false">IF($G3241="","",4キー同時!$B$71)</f>
        <v/>
      </c>
      <c r="I3241" s="2" t="str">
        <f aca="false">IF($G3241="","",4キー同時!$G$71)</f>
        <v/>
      </c>
      <c r="J3241" s="2" t="str">
        <f aca="false">IF($G3241="","",4キー同時!$L$71)</f>
        <v/>
      </c>
      <c r="K3241" s="2" t="str">
        <f aca="false">IF($G3241="","","6")</f>
        <v/>
      </c>
      <c r="L3241" s="2" t="str">
        <f aca="false">IF($G3241="","","同時")</f>
        <v/>
      </c>
      <c r="M3241" s="2" t="str">
        <f aca="false">IF($G3241="","",IF(ISNA(MATCH($G3241,個別指定!$A:$A,0)),"行なし",""))</f>
        <v/>
      </c>
      <c r="N3241" s="2" t="str">
        <f aca="false">IF($G3241="","",IF(COUNTIF($G$2:$G$4460,$G3241)&gt;1,"重複",""))</f>
        <v/>
      </c>
    </row>
    <row r="3242" customFormat="false" ht="16.5" hidden="false" customHeight="true" outlineLevel="0" collapsed="false">
      <c r="A3242" s="2" t="s">
        <v>447</v>
      </c>
      <c r="B3242" s="2" t="s">
        <v>453</v>
      </c>
      <c r="C3242" s="2" t="s">
        <v>6</v>
      </c>
      <c r="D3242" s="2" t="str">
        <f aca="false">IF(4キー同時!$B$71="","",4キー同時!$B$71)</f>
        <v/>
      </c>
      <c r="E3242" s="2" t="str">
        <f aca="false">IF(4キー同時!$G$71="","",4キー同時!$G$71)</f>
        <v/>
      </c>
      <c r="F3242" s="2" t="str">
        <f aca="false">IF(4キー同時!$L$71="","",4キー同時!$L$71)</f>
        <v/>
      </c>
      <c r="G3242" s="2" t="str">
        <f aca="false">IF(OR(4キー同時!$B$71="",4キー同時!$G$71="",4キー同時!$L$71=""),"",IF(4キー同時!AD73="","",SUBSTITUTE(SUBSTITUTE(4キー同時!AD73," ",""),"　","")))</f>
        <v/>
      </c>
      <c r="H3242" s="2" t="str">
        <f aca="false">IF($G3242="","",4キー同時!$B$71)</f>
        <v/>
      </c>
      <c r="I3242" s="2" t="str">
        <f aca="false">IF($G3242="","",4キー同時!$G$71)</f>
        <v/>
      </c>
      <c r="J3242" s="2" t="str">
        <f aca="false">IF($G3242="","",4キー同時!$L$71)</f>
        <v/>
      </c>
      <c r="K3242" s="2" t="str">
        <f aca="false">IF($G3242="","","7")</f>
        <v/>
      </c>
      <c r="L3242" s="2" t="str">
        <f aca="false">IF($G3242="","","同時")</f>
        <v/>
      </c>
      <c r="M3242" s="2" t="str">
        <f aca="false">IF($G3242="","",IF(ISNA(MATCH($G3242,個別指定!$A:$A,0)),"行なし",""))</f>
        <v/>
      </c>
      <c r="N3242" s="2" t="str">
        <f aca="false">IF($G3242="","",IF(COUNTIF($G$2:$G$4460,$G3242)&gt;1,"重複",""))</f>
        <v/>
      </c>
    </row>
    <row r="3243" customFormat="false" ht="16.5" hidden="false" customHeight="true" outlineLevel="0" collapsed="false">
      <c r="A3243" s="2" t="s">
        <v>447</v>
      </c>
      <c r="B3243" s="2" t="s">
        <v>453</v>
      </c>
      <c r="C3243" s="2" t="s">
        <v>7</v>
      </c>
      <c r="D3243" s="2" t="str">
        <f aca="false">IF(4キー同時!$B$71="","",4キー同時!$B$71)</f>
        <v/>
      </c>
      <c r="E3243" s="2" t="str">
        <f aca="false">IF(4キー同時!$G$71="","",4キー同時!$G$71)</f>
        <v/>
      </c>
      <c r="F3243" s="2" t="str">
        <f aca="false">IF(4キー同時!$L$71="","",4キー同時!$L$71)</f>
        <v/>
      </c>
      <c r="G3243" s="2" t="str">
        <f aca="false">IF(OR(4キー同時!$B$71="",4キー同時!$G$71="",4キー同時!$L$71=""),"",IF(4キー同時!AH73="","",SUBSTITUTE(SUBSTITUTE(4キー同時!AH73," ",""),"　","")))</f>
        <v/>
      </c>
      <c r="H3243" s="2" t="str">
        <f aca="false">IF($G3243="","",4キー同時!$B$71)</f>
        <v/>
      </c>
      <c r="I3243" s="2" t="str">
        <f aca="false">IF($G3243="","",4キー同時!$G$71)</f>
        <v/>
      </c>
      <c r="J3243" s="2" t="str">
        <f aca="false">IF($G3243="","",4キー同時!$L$71)</f>
        <v/>
      </c>
      <c r="K3243" s="2" t="str">
        <f aca="false">IF($G3243="","","8")</f>
        <v/>
      </c>
      <c r="L3243" s="2" t="str">
        <f aca="false">IF($G3243="","","同時")</f>
        <v/>
      </c>
      <c r="M3243" s="2" t="str">
        <f aca="false">IF($G3243="","",IF(ISNA(MATCH($G3243,個別指定!$A:$A,0)),"行なし",""))</f>
        <v/>
      </c>
      <c r="N3243" s="2" t="str">
        <f aca="false">IF($G3243="","",IF(COUNTIF($G$2:$G$4460,$G3243)&gt;1,"重複",""))</f>
        <v/>
      </c>
    </row>
    <row r="3244" customFormat="false" ht="16.5" hidden="false" customHeight="true" outlineLevel="0" collapsed="false">
      <c r="A3244" s="2" t="s">
        <v>447</v>
      </c>
      <c r="B3244" s="2" t="s">
        <v>453</v>
      </c>
      <c r="C3244" s="2" t="s">
        <v>8</v>
      </c>
      <c r="D3244" s="2" t="str">
        <f aca="false">IF(4キー同時!$B$71="","",4キー同時!$B$71)</f>
        <v/>
      </c>
      <c r="E3244" s="2" t="str">
        <f aca="false">IF(4キー同時!$G$71="","",4キー同時!$G$71)</f>
        <v/>
      </c>
      <c r="F3244" s="2" t="str">
        <f aca="false">IF(4キー同時!$L$71="","",4キー同時!$L$71)</f>
        <v/>
      </c>
      <c r="G3244" s="2" t="str">
        <f aca="false">IF(OR(4キー同時!$B$71="",4キー同時!$G$71="",4キー同時!$L$71=""),"",IF(4キー同時!AL73="","",SUBSTITUTE(SUBSTITUTE(4キー同時!AL73," ",""),"　","")))</f>
        <v/>
      </c>
      <c r="H3244" s="2" t="str">
        <f aca="false">IF($G3244="","",4キー同時!$B$71)</f>
        <v/>
      </c>
      <c r="I3244" s="2" t="str">
        <f aca="false">IF($G3244="","",4キー同時!$G$71)</f>
        <v/>
      </c>
      <c r="J3244" s="2" t="str">
        <f aca="false">IF($G3244="","",4キー同時!$L$71)</f>
        <v/>
      </c>
      <c r="K3244" s="2" t="str">
        <f aca="false">IF($G3244="","","9")</f>
        <v/>
      </c>
      <c r="L3244" s="2" t="str">
        <f aca="false">IF($G3244="","","同時")</f>
        <v/>
      </c>
      <c r="M3244" s="2" t="str">
        <f aca="false">IF($G3244="","",IF(ISNA(MATCH($G3244,個別指定!$A:$A,0)),"行なし",""))</f>
        <v/>
      </c>
      <c r="N3244" s="2" t="str">
        <f aca="false">IF($G3244="","",IF(COUNTIF($G$2:$G$4460,$G3244)&gt;1,"重複",""))</f>
        <v/>
      </c>
    </row>
    <row r="3245" customFormat="false" ht="16.5" hidden="false" customHeight="true" outlineLevel="0" collapsed="false">
      <c r="A3245" s="2" t="s">
        <v>447</v>
      </c>
      <c r="B3245" s="2" t="s">
        <v>453</v>
      </c>
      <c r="C3245" s="2" t="s">
        <v>9</v>
      </c>
      <c r="D3245" s="2" t="str">
        <f aca="false">IF(4キー同時!$B$71="","",4キー同時!$B$71)</f>
        <v/>
      </c>
      <c r="E3245" s="2" t="str">
        <f aca="false">IF(4キー同時!$G$71="","",4キー同時!$G$71)</f>
        <v/>
      </c>
      <c r="F3245" s="2" t="str">
        <f aca="false">IF(4キー同時!$L$71="","",4キー同時!$L$71)</f>
        <v/>
      </c>
      <c r="G3245" s="2" t="str">
        <f aca="false">IF(OR(4キー同時!$B$71="",4キー同時!$G$71="",4キー同時!$L$71=""),"",IF(4キー同時!AP73="","",SUBSTITUTE(SUBSTITUTE(4キー同時!AP73," ",""),"　","")))</f>
        <v/>
      </c>
      <c r="H3245" s="2" t="str">
        <f aca="false">IF($G3245="","",4キー同時!$B$71)</f>
        <v/>
      </c>
      <c r="I3245" s="2" t="str">
        <f aca="false">IF($G3245="","",4キー同時!$G$71)</f>
        <v/>
      </c>
      <c r="J3245" s="2" t="str">
        <f aca="false">IF($G3245="","",4キー同時!$L$71)</f>
        <v/>
      </c>
      <c r="K3245" s="2" t="str">
        <f aca="false">IF($G3245="","","0")</f>
        <v/>
      </c>
      <c r="L3245" s="2" t="str">
        <f aca="false">IF($G3245="","","同時")</f>
        <v/>
      </c>
      <c r="M3245" s="2" t="str">
        <f aca="false">IF($G3245="","",IF(ISNA(MATCH($G3245,個別指定!$A:$A,0)),"行なし",""))</f>
        <v/>
      </c>
      <c r="N3245" s="2" t="str">
        <f aca="false">IF($G3245="","",IF(COUNTIF($G$2:$G$4460,$G3245)&gt;1,"重複",""))</f>
        <v/>
      </c>
    </row>
    <row r="3246" customFormat="false" ht="16.5" hidden="false" customHeight="true" outlineLevel="0" collapsed="false">
      <c r="A3246" s="2" t="s">
        <v>447</v>
      </c>
      <c r="B3246" s="2" t="s">
        <v>453</v>
      </c>
      <c r="C3246" s="2" t="s">
        <v>10</v>
      </c>
      <c r="D3246" s="2" t="str">
        <f aca="false">IF(4キー同時!$B$71="","",4キー同時!$B$71)</f>
        <v/>
      </c>
      <c r="E3246" s="2" t="str">
        <f aca="false">IF(4キー同時!$G$71="","",4キー同時!$G$71)</f>
        <v/>
      </c>
      <c r="F3246" s="2" t="str">
        <f aca="false">IF(4キー同時!$L$71="","",4キー同時!$L$71)</f>
        <v/>
      </c>
      <c r="G3246" s="2" t="str">
        <f aca="false">IF(OR(4キー同時!$B$71="",4キー同時!$G$71="",4キー同時!$L$71=""),"",IF(4キー同時!AT73="","",SUBSTITUTE(SUBSTITUTE(4キー同時!AT73," ",""),"　","")))</f>
        <v/>
      </c>
      <c r="H3246" s="2" t="str">
        <f aca="false">IF($G3246="","",4キー同時!$B$71)</f>
        <v/>
      </c>
      <c r="I3246" s="2" t="str">
        <f aca="false">IF($G3246="","",4キー同時!$G$71)</f>
        <v/>
      </c>
      <c r="J3246" s="2" t="str">
        <f aca="false">IF($G3246="","",4キー同時!$L$71)</f>
        <v/>
      </c>
      <c r="K3246" s="2" t="str">
        <f aca="false">IF($G3246="","","-")</f>
        <v/>
      </c>
      <c r="L3246" s="2" t="str">
        <f aca="false">IF($G3246="","","同時")</f>
        <v/>
      </c>
      <c r="M3246" s="2" t="str">
        <f aca="false">IF($G3246="","",IF(ISNA(MATCH($G3246,個別指定!$A:$A,0)),"行なし",""))</f>
        <v/>
      </c>
      <c r="N3246" s="2" t="str">
        <f aca="false">IF($G3246="","",IF(COUNTIF($G$2:$G$4460,$G3246)&gt;1,"重複",""))</f>
        <v/>
      </c>
    </row>
    <row r="3247" customFormat="false" ht="16.5" hidden="false" customHeight="true" outlineLevel="0" collapsed="false">
      <c r="A3247" s="2" t="s">
        <v>447</v>
      </c>
      <c r="B3247" s="2" t="s">
        <v>453</v>
      </c>
      <c r="C3247" s="2" t="s">
        <v>11</v>
      </c>
      <c r="D3247" s="2" t="str">
        <f aca="false">IF(4キー同時!$B$71="","",4キー同時!$B$71)</f>
        <v/>
      </c>
      <c r="E3247" s="2" t="str">
        <f aca="false">IF(4キー同時!$G$71="","",4キー同時!$G$71)</f>
        <v/>
      </c>
      <c r="F3247" s="2" t="str">
        <f aca="false">IF(4キー同時!$L$71="","",4キー同時!$L$71)</f>
        <v/>
      </c>
      <c r="G3247" s="2" t="str">
        <f aca="false">IF(OR(4キー同時!$B$71="",4キー同時!$G$71="",4キー同時!$L$71=""),"",IF(4キー同時!AX73="","",SUBSTITUTE(SUBSTITUTE(4キー同時!AX73," ",""),"　","")))</f>
        <v/>
      </c>
      <c r="H3247" s="2" t="str">
        <f aca="false">IF($G3247="","",4キー同時!$B$71)</f>
        <v/>
      </c>
      <c r="I3247" s="2" t="str">
        <f aca="false">IF($G3247="","",4キー同時!$G$71)</f>
        <v/>
      </c>
      <c r="J3247" s="2" t="str">
        <f aca="false">IF($G3247="","",4キー同時!$L$71)</f>
        <v/>
      </c>
      <c r="K3247" s="2" t="str">
        <f aca="false">IF($G3247="","","=")</f>
        <v/>
      </c>
      <c r="L3247" s="2" t="str">
        <f aca="false">IF($G3247="","","同時")</f>
        <v/>
      </c>
      <c r="M3247" s="2" t="str">
        <f aca="false">IF($G3247="","",IF(ISNA(MATCH($G3247,個別指定!$A:$A,0)),"行なし",""))</f>
        <v/>
      </c>
      <c r="N3247" s="2" t="str">
        <f aca="false">IF($G3247="","",IF(COUNTIF($G$2:$G$4460,$G3247)&gt;1,"重複",""))</f>
        <v/>
      </c>
    </row>
    <row r="3248" customFormat="false" ht="16.5" hidden="false" customHeight="true" outlineLevel="0" collapsed="false">
      <c r="A3248" s="2" t="s">
        <v>447</v>
      </c>
      <c r="B3248" s="2" t="s">
        <v>453</v>
      </c>
      <c r="C3248" s="2" t="s">
        <v>12</v>
      </c>
      <c r="D3248" s="2" t="str">
        <f aca="false">IF(4キー同時!$B$71="","",4キー同時!$B$71)</f>
        <v/>
      </c>
      <c r="E3248" s="2" t="str">
        <f aca="false">IF(4キー同時!$G$71="","",4キー同時!$G$71)</f>
        <v/>
      </c>
      <c r="F3248" s="2" t="str">
        <f aca="false">IF(4キー同時!$L$71="","",4キー同時!$L$71)</f>
        <v/>
      </c>
      <c r="G3248" s="2" t="str">
        <f aca="false">IF(OR(4キー同時!$B$71="",4キー同時!$G$71="",4キー同時!$L$71=""),"",IF(4キー同時!H75="","",SUBSTITUTE(SUBSTITUTE(4キー同時!H75," ",""),"　","")))</f>
        <v/>
      </c>
      <c r="H3248" s="2" t="str">
        <f aca="false">IF($G3248="","",4キー同時!$B$71)</f>
        <v/>
      </c>
      <c r="I3248" s="2" t="str">
        <f aca="false">IF($G3248="","",4キー同時!$G$71)</f>
        <v/>
      </c>
      <c r="J3248" s="2" t="str">
        <f aca="false">IF($G3248="","",4キー同時!$L$71)</f>
        <v/>
      </c>
      <c r="K3248" s="2" t="str">
        <f aca="false">IF($G3248="","","q")</f>
        <v/>
      </c>
      <c r="L3248" s="2" t="str">
        <f aca="false">IF($G3248="","","同時")</f>
        <v/>
      </c>
      <c r="M3248" s="2" t="str">
        <f aca="false">IF($G3248="","",IF(ISNA(MATCH($G3248,個別指定!$A:$A,0)),"行なし",""))</f>
        <v/>
      </c>
      <c r="N3248" s="2" t="str">
        <f aca="false">IF($G3248="","",IF(COUNTIF($G$2:$G$4460,$G3248)&gt;1,"重複",""))</f>
        <v/>
      </c>
    </row>
    <row r="3249" customFormat="false" ht="16.5" hidden="false" customHeight="true" outlineLevel="0" collapsed="false">
      <c r="A3249" s="2" t="s">
        <v>447</v>
      </c>
      <c r="B3249" s="2" t="s">
        <v>453</v>
      </c>
      <c r="C3249" s="2" t="s">
        <v>13</v>
      </c>
      <c r="D3249" s="2" t="str">
        <f aca="false">IF(4キー同時!$B$71="","",4キー同時!$B$71)</f>
        <v/>
      </c>
      <c r="E3249" s="2" t="str">
        <f aca="false">IF(4キー同時!$G$71="","",4キー同時!$G$71)</f>
        <v/>
      </c>
      <c r="F3249" s="2" t="str">
        <f aca="false">IF(4キー同時!$L$71="","",4キー同時!$L$71)</f>
        <v/>
      </c>
      <c r="G3249" s="2" t="str">
        <f aca="false">IF(OR(4キー同時!$B$71="",4キー同時!$G$71="",4キー同時!$L$71=""),"",IF(4キー同時!L75="","",SUBSTITUTE(SUBSTITUTE(4キー同時!L75," ",""),"　","")))</f>
        <v/>
      </c>
      <c r="H3249" s="2" t="str">
        <f aca="false">IF($G3249="","",4キー同時!$B$71)</f>
        <v/>
      </c>
      <c r="I3249" s="2" t="str">
        <f aca="false">IF($G3249="","",4キー同時!$G$71)</f>
        <v/>
      </c>
      <c r="J3249" s="2" t="str">
        <f aca="false">IF($G3249="","",4キー同時!$L$71)</f>
        <v/>
      </c>
      <c r="K3249" s="2" t="str">
        <f aca="false">IF($G3249="","","w")</f>
        <v/>
      </c>
      <c r="L3249" s="2" t="str">
        <f aca="false">IF($G3249="","","同時")</f>
        <v/>
      </c>
      <c r="M3249" s="2" t="str">
        <f aca="false">IF($G3249="","",IF(ISNA(MATCH($G3249,個別指定!$A:$A,0)),"行なし",""))</f>
        <v/>
      </c>
      <c r="N3249" s="2" t="str">
        <f aca="false">IF($G3249="","",IF(COUNTIF($G$2:$G$4460,$G3249)&gt;1,"重複",""))</f>
        <v/>
      </c>
    </row>
    <row r="3250" customFormat="false" ht="16.5" hidden="false" customHeight="true" outlineLevel="0" collapsed="false">
      <c r="A3250" s="2" t="s">
        <v>447</v>
      </c>
      <c r="B3250" s="2" t="s">
        <v>453</v>
      </c>
      <c r="C3250" s="2" t="s">
        <v>14</v>
      </c>
      <c r="D3250" s="2" t="str">
        <f aca="false">IF(4キー同時!$B$71="","",4キー同時!$B$71)</f>
        <v/>
      </c>
      <c r="E3250" s="2" t="str">
        <f aca="false">IF(4キー同時!$G$71="","",4キー同時!$G$71)</f>
        <v/>
      </c>
      <c r="F3250" s="2" t="str">
        <f aca="false">IF(4キー同時!$L$71="","",4キー同時!$L$71)</f>
        <v/>
      </c>
      <c r="G3250" s="2" t="str">
        <f aca="false">IF(OR(4キー同時!$B$71="",4キー同時!$G$71="",4キー同時!$L$71=""),"",IF(4キー同時!P75="","",SUBSTITUTE(SUBSTITUTE(4キー同時!P75," ",""),"　","")))</f>
        <v/>
      </c>
      <c r="H3250" s="2" t="str">
        <f aca="false">IF($G3250="","",4キー同時!$B$71)</f>
        <v/>
      </c>
      <c r="I3250" s="2" t="str">
        <f aca="false">IF($G3250="","",4キー同時!$G$71)</f>
        <v/>
      </c>
      <c r="J3250" s="2" t="str">
        <f aca="false">IF($G3250="","",4キー同時!$L$71)</f>
        <v/>
      </c>
      <c r="K3250" s="2" t="str">
        <f aca="false">IF($G3250="","","e")</f>
        <v/>
      </c>
      <c r="L3250" s="2" t="str">
        <f aca="false">IF($G3250="","","同時")</f>
        <v/>
      </c>
      <c r="M3250" s="2" t="str">
        <f aca="false">IF($G3250="","",IF(ISNA(MATCH($G3250,個別指定!$A:$A,0)),"行なし",""))</f>
        <v/>
      </c>
      <c r="N3250" s="2" t="str">
        <f aca="false">IF($G3250="","",IF(COUNTIF($G$2:$G$4460,$G3250)&gt;1,"重複",""))</f>
        <v/>
      </c>
    </row>
    <row r="3251" customFormat="false" ht="16.5" hidden="false" customHeight="true" outlineLevel="0" collapsed="false">
      <c r="A3251" s="2" t="s">
        <v>447</v>
      </c>
      <c r="B3251" s="2" t="s">
        <v>453</v>
      </c>
      <c r="C3251" s="2" t="s">
        <v>15</v>
      </c>
      <c r="D3251" s="2" t="str">
        <f aca="false">IF(4キー同時!$B$71="","",4キー同時!$B$71)</f>
        <v/>
      </c>
      <c r="E3251" s="2" t="str">
        <f aca="false">IF(4キー同時!$G$71="","",4キー同時!$G$71)</f>
        <v/>
      </c>
      <c r="F3251" s="2" t="str">
        <f aca="false">IF(4キー同時!$L$71="","",4キー同時!$L$71)</f>
        <v/>
      </c>
      <c r="G3251" s="2" t="str">
        <f aca="false">IF(OR(4キー同時!$B$71="",4キー同時!$G$71="",4キー同時!$L$71=""),"",IF(4キー同時!T75="","",SUBSTITUTE(SUBSTITUTE(4キー同時!T75," ",""),"　","")))</f>
        <v/>
      </c>
      <c r="H3251" s="2" t="str">
        <f aca="false">IF($G3251="","",4キー同時!$B$71)</f>
        <v/>
      </c>
      <c r="I3251" s="2" t="str">
        <f aca="false">IF($G3251="","",4キー同時!$G$71)</f>
        <v/>
      </c>
      <c r="J3251" s="2" t="str">
        <f aca="false">IF($G3251="","",4キー同時!$L$71)</f>
        <v/>
      </c>
      <c r="K3251" s="2" t="str">
        <f aca="false">IF($G3251="","","r")</f>
        <v/>
      </c>
      <c r="L3251" s="2" t="str">
        <f aca="false">IF($G3251="","","同時")</f>
        <v/>
      </c>
      <c r="M3251" s="2" t="str">
        <f aca="false">IF($G3251="","",IF(ISNA(MATCH($G3251,個別指定!$A:$A,0)),"行なし",""))</f>
        <v/>
      </c>
      <c r="N3251" s="2" t="str">
        <f aca="false">IF($G3251="","",IF(COUNTIF($G$2:$G$4460,$G3251)&gt;1,"重複",""))</f>
        <v/>
      </c>
    </row>
    <row r="3252" customFormat="false" ht="16.5" hidden="false" customHeight="true" outlineLevel="0" collapsed="false">
      <c r="A3252" s="2" t="s">
        <v>447</v>
      </c>
      <c r="B3252" s="2" t="s">
        <v>453</v>
      </c>
      <c r="C3252" s="2" t="s">
        <v>16</v>
      </c>
      <c r="D3252" s="2" t="str">
        <f aca="false">IF(4キー同時!$B$71="","",4キー同時!$B$71)</f>
        <v/>
      </c>
      <c r="E3252" s="2" t="str">
        <f aca="false">IF(4キー同時!$G$71="","",4キー同時!$G$71)</f>
        <v/>
      </c>
      <c r="F3252" s="2" t="str">
        <f aca="false">IF(4キー同時!$L$71="","",4キー同時!$L$71)</f>
        <v/>
      </c>
      <c r="G3252" s="2" t="str">
        <f aca="false">IF(OR(4キー同時!$B$71="",4キー同時!$G$71="",4キー同時!$L$71=""),"",IF(4キー同時!X75="","",SUBSTITUTE(SUBSTITUTE(4キー同時!X75," ",""),"　","")))</f>
        <v/>
      </c>
      <c r="H3252" s="2" t="str">
        <f aca="false">IF($G3252="","",4キー同時!$B$71)</f>
        <v/>
      </c>
      <c r="I3252" s="2" t="str">
        <f aca="false">IF($G3252="","",4キー同時!$G$71)</f>
        <v/>
      </c>
      <c r="J3252" s="2" t="str">
        <f aca="false">IF($G3252="","",4キー同時!$L$71)</f>
        <v/>
      </c>
      <c r="K3252" s="2" t="str">
        <f aca="false">IF($G3252="","","t")</f>
        <v/>
      </c>
      <c r="L3252" s="2" t="str">
        <f aca="false">IF($G3252="","","同時")</f>
        <v/>
      </c>
      <c r="M3252" s="2" t="str">
        <f aca="false">IF($G3252="","",IF(ISNA(MATCH($G3252,個別指定!$A:$A,0)),"行なし",""))</f>
        <v/>
      </c>
      <c r="N3252" s="2" t="str">
        <f aca="false">IF($G3252="","",IF(COUNTIF($G$2:$G$4460,$G3252)&gt;1,"重複",""))</f>
        <v/>
      </c>
    </row>
    <row r="3253" customFormat="false" ht="16.5" hidden="false" customHeight="true" outlineLevel="0" collapsed="false">
      <c r="A3253" s="2" t="s">
        <v>447</v>
      </c>
      <c r="B3253" s="2" t="s">
        <v>453</v>
      </c>
      <c r="C3253" s="2" t="s">
        <v>17</v>
      </c>
      <c r="D3253" s="2" t="str">
        <f aca="false">IF(4キー同時!$B$71="","",4キー同時!$B$71)</f>
        <v/>
      </c>
      <c r="E3253" s="2" t="str">
        <f aca="false">IF(4キー同時!$G$71="","",4キー同時!$G$71)</f>
        <v/>
      </c>
      <c r="F3253" s="2" t="str">
        <f aca="false">IF(4キー同時!$L$71="","",4キー同時!$L$71)</f>
        <v/>
      </c>
      <c r="G3253" s="2" t="str">
        <f aca="false">IF(OR(4キー同時!$B$71="",4キー同時!$G$71="",4キー同時!$L$71=""),"",IF(4キー同時!AB75="","",SUBSTITUTE(SUBSTITUTE(4キー同時!AB75," ",""),"　","")))</f>
        <v/>
      </c>
      <c r="H3253" s="2" t="str">
        <f aca="false">IF($G3253="","",4キー同時!$B$71)</f>
        <v/>
      </c>
      <c r="I3253" s="2" t="str">
        <f aca="false">IF($G3253="","",4キー同時!$G$71)</f>
        <v/>
      </c>
      <c r="J3253" s="2" t="str">
        <f aca="false">IF($G3253="","",4キー同時!$L$71)</f>
        <v/>
      </c>
      <c r="K3253" s="2" t="str">
        <f aca="false">IF($G3253="","","y")</f>
        <v/>
      </c>
      <c r="L3253" s="2" t="str">
        <f aca="false">IF($G3253="","","同時")</f>
        <v/>
      </c>
      <c r="M3253" s="2" t="str">
        <f aca="false">IF($G3253="","",IF(ISNA(MATCH($G3253,個別指定!$A:$A,0)),"行なし",""))</f>
        <v/>
      </c>
      <c r="N3253" s="2" t="str">
        <f aca="false">IF($G3253="","",IF(COUNTIF($G$2:$G$4460,$G3253)&gt;1,"重複",""))</f>
        <v/>
      </c>
    </row>
    <row r="3254" customFormat="false" ht="16.5" hidden="false" customHeight="true" outlineLevel="0" collapsed="false">
      <c r="A3254" s="2" t="s">
        <v>447</v>
      </c>
      <c r="B3254" s="2" t="s">
        <v>453</v>
      </c>
      <c r="C3254" s="2" t="s">
        <v>18</v>
      </c>
      <c r="D3254" s="2" t="str">
        <f aca="false">IF(4キー同時!$B$71="","",4キー同時!$B$71)</f>
        <v/>
      </c>
      <c r="E3254" s="2" t="str">
        <f aca="false">IF(4キー同時!$G$71="","",4キー同時!$G$71)</f>
        <v/>
      </c>
      <c r="F3254" s="2" t="str">
        <f aca="false">IF(4キー同時!$L$71="","",4キー同時!$L$71)</f>
        <v/>
      </c>
      <c r="G3254" s="2" t="str">
        <f aca="false">IF(OR(4キー同時!$B$71="",4キー同時!$G$71="",4キー同時!$L$71=""),"",IF(4キー同時!AF75="","",SUBSTITUTE(SUBSTITUTE(4キー同時!AF75," ",""),"　","")))</f>
        <v/>
      </c>
      <c r="H3254" s="2" t="str">
        <f aca="false">IF($G3254="","",4キー同時!$B$71)</f>
        <v/>
      </c>
      <c r="I3254" s="2" t="str">
        <f aca="false">IF($G3254="","",4キー同時!$G$71)</f>
        <v/>
      </c>
      <c r="J3254" s="2" t="str">
        <f aca="false">IF($G3254="","",4キー同時!$L$71)</f>
        <v/>
      </c>
      <c r="K3254" s="2" t="str">
        <f aca="false">IF($G3254="","","u")</f>
        <v/>
      </c>
      <c r="L3254" s="2" t="str">
        <f aca="false">IF($G3254="","","同時")</f>
        <v/>
      </c>
      <c r="M3254" s="2" t="str">
        <f aca="false">IF($G3254="","",IF(ISNA(MATCH($G3254,個別指定!$A:$A,0)),"行なし",""))</f>
        <v/>
      </c>
      <c r="N3254" s="2" t="str">
        <f aca="false">IF($G3254="","",IF(COUNTIF($G$2:$G$4460,$G3254)&gt;1,"重複",""))</f>
        <v/>
      </c>
    </row>
    <row r="3255" customFormat="false" ht="16.5" hidden="false" customHeight="true" outlineLevel="0" collapsed="false">
      <c r="A3255" s="2" t="s">
        <v>447</v>
      </c>
      <c r="B3255" s="2" t="s">
        <v>453</v>
      </c>
      <c r="C3255" s="2" t="s">
        <v>19</v>
      </c>
      <c r="D3255" s="2" t="str">
        <f aca="false">IF(4キー同時!$B$71="","",4キー同時!$B$71)</f>
        <v/>
      </c>
      <c r="E3255" s="2" t="str">
        <f aca="false">IF(4キー同時!$G$71="","",4キー同時!$G$71)</f>
        <v/>
      </c>
      <c r="F3255" s="2" t="str">
        <f aca="false">IF(4キー同時!$L$71="","",4キー同時!$L$71)</f>
        <v/>
      </c>
      <c r="G3255" s="2" t="str">
        <f aca="false">IF(OR(4キー同時!$B$71="",4キー同時!$G$71="",4キー同時!$L$71=""),"",IF(4キー同時!AJ75="","",SUBSTITUTE(SUBSTITUTE(4キー同時!AJ75," ",""),"　","")))</f>
        <v/>
      </c>
      <c r="H3255" s="2" t="str">
        <f aca="false">IF($G3255="","",4キー同時!$B$71)</f>
        <v/>
      </c>
      <c r="I3255" s="2" t="str">
        <f aca="false">IF($G3255="","",4キー同時!$G$71)</f>
        <v/>
      </c>
      <c r="J3255" s="2" t="str">
        <f aca="false">IF($G3255="","",4キー同時!$L$71)</f>
        <v/>
      </c>
      <c r="K3255" s="2" t="str">
        <f aca="false">IF($G3255="","","i")</f>
        <v/>
      </c>
      <c r="L3255" s="2" t="str">
        <f aca="false">IF($G3255="","","同時")</f>
        <v/>
      </c>
      <c r="M3255" s="2" t="str">
        <f aca="false">IF($G3255="","",IF(ISNA(MATCH($G3255,個別指定!$A:$A,0)),"行なし",""))</f>
        <v/>
      </c>
      <c r="N3255" s="2" t="str">
        <f aca="false">IF($G3255="","",IF(COUNTIF($G$2:$G$4460,$G3255)&gt;1,"重複",""))</f>
        <v/>
      </c>
    </row>
    <row r="3256" customFormat="false" ht="16.5" hidden="false" customHeight="true" outlineLevel="0" collapsed="false">
      <c r="A3256" s="2" t="s">
        <v>447</v>
      </c>
      <c r="B3256" s="2" t="s">
        <v>453</v>
      </c>
      <c r="C3256" s="2" t="s">
        <v>20</v>
      </c>
      <c r="D3256" s="2" t="str">
        <f aca="false">IF(4キー同時!$B$71="","",4キー同時!$B$71)</f>
        <v/>
      </c>
      <c r="E3256" s="2" t="str">
        <f aca="false">IF(4キー同時!$G$71="","",4キー同時!$G$71)</f>
        <v/>
      </c>
      <c r="F3256" s="2" t="str">
        <f aca="false">IF(4キー同時!$L$71="","",4キー同時!$L$71)</f>
        <v/>
      </c>
      <c r="G3256" s="2" t="str">
        <f aca="false">IF(OR(4キー同時!$B$71="",4キー同時!$G$71="",4キー同時!$L$71=""),"",IF(4キー同時!AN75="","",SUBSTITUTE(SUBSTITUTE(4キー同時!AN75," ",""),"　","")))</f>
        <v/>
      </c>
      <c r="H3256" s="2" t="str">
        <f aca="false">IF($G3256="","",4キー同時!$B$71)</f>
        <v/>
      </c>
      <c r="I3256" s="2" t="str">
        <f aca="false">IF($G3256="","",4キー同時!$G$71)</f>
        <v/>
      </c>
      <c r="J3256" s="2" t="str">
        <f aca="false">IF($G3256="","",4キー同時!$L$71)</f>
        <v/>
      </c>
      <c r="K3256" s="2" t="str">
        <f aca="false">IF($G3256="","","o")</f>
        <v/>
      </c>
      <c r="L3256" s="2" t="str">
        <f aca="false">IF($G3256="","","同時")</f>
        <v/>
      </c>
      <c r="M3256" s="2" t="str">
        <f aca="false">IF($G3256="","",IF(ISNA(MATCH($G3256,個別指定!$A:$A,0)),"行なし",""))</f>
        <v/>
      </c>
      <c r="N3256" s="2" t="str">
        <f aca="false">IF($G3256="","",IF(COUNTIF($G$2:$G$4460,$G3256)&gt;1,"重複",""))</f>
        <v/>
      </c>
    </row>
    <row r="3257" customFormat="false" ht="16.5" hidden="false" customHeight="true" outlineLevel="0" collapsed="false">
      <c r="A3257" s="2" t="s">
        <v>447</v>
      </c>
      <c r="B3257" s="2" t="s">
        <v>453</v>
      </c>
      <c r="C3257" s="2" t="s">
        <v>21</v>
      </c>
      <c r="D3257" s="2" t="str">
        <f aca="false">IF(4キー同時!$B$71="","",4キー同時!$B$71)</f>
        <v/>
      </c>
      <c r="E3257" s="2" t="str">
        <f aca="false">IF(4キー同時!$G$71="","",4キー同時!$G$71)</f>
        <v/>
      </c>
      <c r="F3257" s="2" t="str">
        <f aca="false">IF(4キー同時!$L$71="","",4キー同時!$L$71)</f>
        <v/>
      </c>
      <c r="G3257" s="2" t="str">
        <f aca="false">IF(OR(4キー同時!$B$71="",4キー同時!$G$71="",4キー同時!$L$71=""),"",IF(4キー同時!AR75="","",SUBSTITUTE(SUBSTITUTE(4キー同時!AR75," ",""),"　","")))</f>
        <v/>
      </c>
      <c r="H3257" s="2" t="str">
        <f aca="false">IF($G3257="","",4キー同時!$B$71)</f>
        <v/>
      </c>
      <c r="I3257" s="2" t="str">
        <f aca="false">IF($G3257="","",4キー同時!$G$71)</f>
        <v/>
      </c>
      <c r="J3257" s="2" t="str">
        <f aca="false">IF($G3257="","",4キー同時!$L$71)</f>
        <v/>
      </c>
      <c r="K3257" s="2" t="str">
        <f aca="false">IF($G3257="","","p")</f>
        <v/>
      </c>
      <c r="L3257" s="2" t="str">
        <f aca="false">IF($G3257="","","同時")</f>
        <v/>
      </c>
      <c r="M3257" s="2" t="str">
        <f aca="false">IF($G3257="","",IF(ISNA(MATCH($G3257,個別指定!$A:$A,0)),"行なし",""))</f>
        <v/>
      </c>
      <c r="N3257" s="2" t="str">
        <f aca="false">IF($G3257="","",IF(COUNTIF($G$2:$G$4460,$G3257)&gt;1,"重複",""))</f>
        <v/>
      </c>
    </row>
    <row r="3258" customFormat="false" ht="16.5" hidden="false" customHeight="true" outlineLevel="0" collapsed="false">
      <c r="A3258" s="2" t="s">
        <v>447</v>
      </c>
      <c r="B3258" s="2" t="s">
        <v>453</v>
      </c>
      <c r="C3258" s="2" t="s">
        <v>22</v>
      </c>
      <c r="D3258" s="2" t="str">
        <f aca="false">IF(4キー同時!$B$71="","",4キー同時!$B$71)</f>
        <v/>
      </c>
      <c r="E3258" s="2" t="str">
        <f aca="false">IF(4キー同時!$G$71="","",4キー同時!$G$71)</f>
        <v/>
      </c>
      <c r="F3258" s="2" t="str">
        <f aca="false">IF(4キー同時!$L$71="","",4キー同時!$L$71)</f>
        <v/>
      </c>
      <c r="G3258" s="2" t="str">
        <f aca="false">IF(OR(4キー同時!$B$71="",4キー同時!$G$71="",4キー同時!$L$71=""),"",IF(4キー同時!AV75="","",SUBSTITUTE(SUBSTITUTE(4キー同時!AV75," ",""),"　","")))</f>
        <v/>
      </c>
      <c r="H3258" s="2" t="str">
        <f aca="false">IF($G3258="","",4キー同時!$B$71)</f>
        <v/>
      </c>
      <c r="I3258" s="2" t="str">
        <f aca="false">IF($G3258="","",4キー同時!$G$71)</f>
        <v/>
      </c>
      <c r="J3258" s="2" t="str">
        <f aca="false">IF($G3258="","",4キー同時!$L$71)</f>
        <v/>
      </c>
      <c r="K3258" s="2" t="str">
        <f aca="false">IF($G3258="","","[")</f>
        <v/>
      </c>
      <c r="L3258" s="2" t="str">
        <f aca="false">IF($G3258="","","同時")</f>
        <v/>
      </c>
      <c r="M3258" s="2" t="str">
        <f aca="false">IF($G3258="","",IF(ISNA(MATCH($G3258,個別指定!$A:$A,0)),"行なし",""))</f>
        <v/>
      </c>
      <c r="N3258" s="2" t="str">
        <f aca="false">IF($G3258="","",IF(COUNTIF($G$2:$G$4460,$G3258)&gt;1,"重複",""))</f>
        <v/>
      </c>
    </row>
    <row r="3259" customFormat="false" ht="16.5" hidden="false" customHeight="true" outlineLevel="0" collapsed="false">
      <c r="A3259" s="2" t="s">
        <v>447</v>
      </c>
      <c r="B3259" s="2" t="s">
        <v>453</v>
      </c>
      <c r="C3259" s="2" t="s">
        <v>23</v>
      </c>
      <c r="D3259" s="2" t="str">
        <f aca="false">IF(4キー同時!$B$71="","",4キー同時!$B$71)</f>
        <v/>
      </c>
      <c r="E3259" s="2" t="str">
        <f aca="false">IF(4キー同時!$G$71="","",4キー同時!$G$71)</f>
        <v/>
      </c>
      <c r="F3259" s="2" t="str">
        <f aca="false">IF(4キー同時!$L$71="","",4キー同時!$L$71)</f>
        <v/>
      </c>
      <c r="G3259" s="2" t="str">
        <f aca="false">IF(OR(4キー同時!$B$71="",4キー同時!$G$71="",4キー同時!$L$71=""),"",IF(4キー同時!AZ75="","",SUBSTITUTE(SUBSTITUTE(4キー同時!AZ75," ",""),"　","")))</f>
        <v/>
      </c>
      <c r="H3259" s="2" t="str">
        <f aca="false">IF($G3259="","",4キー同時!$B$71)</f>
        <v/>
      </c>
      <c r="I3259" s="2" t="str">
        <f aca="false">IF($G3259="","",4キー同時!$G$71)</f>
        <v/>
      </c>
      <c r="J3259" s="2" t="str">
        <f aca="false">IF($G3259="","",4キー同時!$L$71)</f>
        <v/>
      </c>
      <c r="K3259" s="2" t="str">
        <f aca="false">IF($G3259="","","]")</f>
        <v/>
      </c>
      <c r="L3259" s="2" t="str">
        <f aca="false">IF($G3259="","","同時")</f>
        <v/>
      </c>
      <c r="M3259" s="2" t="str">
        <f aca="false">IF($G3259="","",IF(ISNA(MATCH($G3259,個別指定!$A:$A,0)),"行なし",""))</f>
        <v/>
      </c>
      <c r="N3259" s="2" t="str">
        <f aca="false">IF($G3259="","",IF(COUNTIF($G$2:$G$4460,$G3259)&gt;1,"重複",""))</f>
        <v/>
      </c>
    </row>
    <row r="3260" customFormat="false" ht="16.5" hidden="false" customHeight="true" outlineLevel="0" collapsed="false">
      <c r="A3260" s="2" t="s">
        <v>447</v>
      </c>
      <c r="B3260" s="2" t="s">
        <v>453</v>
      </c>
      <c r="C3260" s="2" t="s">
        <v>24</v>
      </c>
      <c r="D3260" s="2" t="str">
        <f aca="false">IF(4キー同時!$B$71="","",4キー同時!$B$71)</f>
        <v/>
      </c>
      <c r="E3260" s="2" t="str">
        <f aca="false">IF(4キー同時!$G$71="","",4キー同時!$G$71)</f>
        <v/>
      </c>
      <c r="F3260" s="2" t="str">
        <f aca="false">IF(4キー同時!$L$71="","",4キー同時!$L$71)</f>
        <v/>
      </c>
      <c r="G3260" s="2" t="str">
        <f aca="false">IF(OR(4キー同時!$B$71="",4キー同時!$G$71="",4キー同時!$L$71=""),"",IF(4キー同時!I77="","",SUBSTITUTE(SUBSTITUTE(4キー同時!I77," ",""),"　","")))</f>
        <v/>
      </c>
      <c r="H3260" s="2" t="str">
        <f aca="false">IF($G3260="","",4キー同時!$B$71)</f>
        <v/>
      </c>
      <c r="I3260" s="2" t="str">
        <f aca="false">IF($G3260="","",4キー同時!$G$71)</f>
        <v/>
      </c>
      <c r="J3260" s="2" t="str">
        <f aca="false">IF($G3260="","",4キー同時!$L$71)</f>
        <v/>
      </c>
      <c r="K3260" s="2" t="str">
        <f aca="false">IF($G3260="","","a")</f>
        <v/>
      </c>
      <c r="L3260" s="2" t="str">
        <f aca="false">IF($G3260="","","同時")</f>
        <v/>
      </c>
      <c r="M3260" s="2" t="str">
        <f aca="false">IF($G3260="","",IF(ISNA(MATCH($G3260,個別指定!$A:$A,0)),"行なし",""))</f>
        <v/>
      </c>
      <c r="N3260" s="2" t="str">
        <f aca="false">IF($G3260="","",IF(COUNTIF($G$2:$G$4460,$G3260)&gt;1,"重複",""))</f>
        <v/>
      </c>
    </row>
    <row r="3261" customFormat="false" ht="16.5" hidden="false" customHeight="true" outlineLevel="0" collapsed="false">
      <c r="A3261" s="2" t="s">
        <v>447</v>
      </c>
      <c r="B3261" s="2" t="s">
        <v>453</v>
      </c>
      <c r="C3261" s="2" t="s">
        <v>25</v>
      </c>
      <c r="D3261" s="2" t="str">
        <f aca="false">IF(4キー同時!$B$71="","",4キー同時!$B$71)</f>
        <v/>
      </c>
      <c r="E3261" s="2" t="str">
        <f aca="false">IF(4キー同時!$G$71="","",4キー同時!$G$71)</f>
        <v/>
      </c>
      <c r="F3261" s="2" t="str">
        <f aca="false">IF(4キー同時!$L$71="","",4キー同時!$L$71)</f>
        <v/>
      </c>
      <c r="G3261" s="2" t="str">
        <f aca="false">IF(OR(4キー同時!$B$71="",4キー同時!$G$71="",4キー同時!$L$71=""),"",IF(4キー同時!M77="","",SUBSTITUTE(SUBSTITUTE(4キー同時!M77," ",""),"　","")))</f>
        <v/>
      </c>
      <c r="H3261" s="2" t="str">
        <f aca="false">IF($G3261="","",4キー同時!$B$71)</f>
        <v/>
      </c>
      <c r="I3261" s="2" t="str">
        <f aca="false">IF($G3261="","",4キー同時!$G$71)</f>
        <v/>
      </c>
      <c r="J3261" s="2" t="str">
        <f aca="false">IF($G3261="","",4キー同時!$L$71)</f>
        <v/>
      </c>
      <c r="K3261" s="2" t="str">
        <f aca="false">IF($G3261="","","s")</f>
        <v/>
      </c>
      <c r="L3261" s="2" t="str">
        <f aca="false">IF($G3261="","","同時")</f>
        <v/>
      </c>
      <c r="M3261" s="2" t="str">
        <f aca="false">IF($G3261="","",IF(ISNA(MATCH($G3261,個別指定!$A:$A,0)),"行なし",""))</f>
        <v/>
      </c>
      <c r="N3261" s="2" t="str">
        <f aca="false">IF($G3261="","",IF(COUNTIF($G$2:$G$4460,$G3261)&gt;1,"重複",""))</f>
        <v/>
      </c>
    </row>
    <row r="3262" customFormat="false" ht="16.5" hidden="false" customHeight="true" outlineLevel="0" collapsed="false">
      <c r="A3262" s="2" t="s">
        <v>447</v>
      </c>
      <c r="B3262" s="2" t="s">
        <v>453</v>
      </c>
      <c r="C3262" s="2" t="s">
        <v>26</v>
      </c>
      <c r="D3262" s="2" t="str">
        <f aca="false">IF(4キー同時!$B$71="","",4キー同時!$B$71)</f>
        <v/>
      </c>
      <c r="E3262" s="2" t="str">
        <f aca="false">IF(4キー同時!$G$71="","",4キー同時!$G$71)</f>
        <v/>
      </c>
      <c r="F3262" s="2" t="str">
        <f aca="false">IF(4キー同時!$L$71="","",4キー同時!$L$71)</f>
        <v/>
      </c>
      <c r="G3262" s="2" t="str">
        <f aca="false">IF(OR(4キー同時!$B$71="",4キー同時!$G$71="",4キー同時!$L$71=""),"",IF(4キー同時!Q77="","",SUBSTITUTE(SUBSTITUTE(4キー同時!Q77," ",""),"　","")))</f>
        <v/>
      </c>
      <c r="H3262" s="2" t="str">
        <f aca="false">IF($G3262="","",4キー同時!$B$71)</f>
        <v/>
      </c>
      <c r="I3262" s="2" t="str">
        <f aca="false">IF($G3262="","",4キー同時!$G$71)</f>
        <v/>
      </c>
      <c r="J3262" s="2" t="str">
        <f aca="false">IF($G3262="","",4キー同時!$L$71)</f>
        <v/>
      </c>
      <c r="K3262" s="2" t="str">
        <f aca="false">IF($G3262="","","d")</f>
        <v/>
      </c>
      <c r="L3262" s="2" t="str">
        <f aca="false">IF($G3262="","","同時")</f>
        <v/>
      </c>
      <c r="M3262" s="2" t="str">
        <f aca="false">IF($G3262="","",IF(ISNA(MATCH($G3262,個別指定!$A:$A,0)),"行なし",""))</f>
        <v/>
      </c>
      <c r="N3262" s="2" t="str">
        <f aca="false">IF($G3262="","",IF(COUNTIF($G$2:$G$4460,$G3262)&gt;1,"重複",""))</f>
        <v/>
      </c>
    </row>
    <row r="3263" customFormat="false" ht="16.5" hidden="false" customHeight="true" outlineLevel="0" collapsed="false">
      <c r="A3263" s="2" t="s">
        <v>447</v>
      </c>
      <c r="B3263" s="2" t="s">
        <v>453</v>
      </c>
      <c r="C3263" s="2" t="s">
        <v>27</v>
      </c>
      <c r="D3263" s="2" t="str">
        <f aca="false">IF(4キー同時!$B$71="","",4キー同時!$B$71)</f>
        <v/>
      </c>
      <c r="E3263" s="2" t="str">
        <f aca="false">IF(4キー同時!$G$71="","",4キー同時!$G$71)</f>
        <v/>
      </c>
      <c r="F3263" s="2" t="str">
        <f aca="false">IF(4キー同時!$L$71="","",4キー同時!$L$71)</f>
        <v/>
      </c>
      <c r="G3263" s="2" t="str">
        <f aca="false">IF(OR(4キー同時!$B$71="",4キー同時!$G$71="",4キー同時!$L$71=""),"",IF(4キー同時!U77="","",SUBSTITUTE(SUBSTITUTE(4キー同時!U77," ",""),"　","")))</f>
        <v/>
      </c>
      <c r="H3263" s="2" t="str">
        <f aca="false">IF($G3263="","",4キー同時!$B$71)</f>
        <v/>
      </c>
      <c r="I3263" s="2" t="str">
        <f aca="false">IF($G3263="","",4キー同時!$G$71)</f>
        <v/>
      </c>
      <c r="J3263" s="2" t="str">
        <f aca="false">IF($G3263="","",4キー同時!$L$71)</f>
        <v/>
      </c>
      <c r="K3263" s="2" t="str">
        <f aca="false">IF($G3263="","","f")</f>
        <v/>
      </c>
      <c r="L3263" s="2" t="str">
        <f aca="false">IF($G3263="","","同時")</f>
        <v/>
      </c>
      <c r="M3263" s="2" t="str">
        <f aca="false">IF($G3263="","",IF(ISNA(MATCH($G3263,個別指定!$A:$A,0)),"行なし",""))</f>
        <v/>
      </c>
      <c r="N3263" s="2" t="str">
        <f aca="false">IF($G3263="","",IF(COUNTIF($G$2:$G$4460,$G3263)&gt;1,"重複",""))</f>
        <v/>
      </c>
    </row>
    <row r="3264" customFormat="false" ht="16.5" hidden="false" customHeight="true" outlineLevel="0" collapsed="false">
      <c r="A3264" s="2" t="s">
        <v>447</v>
      </c>
      <c r="B3264" s="2" t="s">
        <v>453</v>
      </c>
      <c r="C3264" s="2" t="s">
        <v>28</v>
      </c>
      <c r="D3264" s="2" t="str">
        <f aca="false">IF(4キー同時!$B$71="","",4キー同時!$B$71)</f>
        <v/>
      </c>
      <c r="E3264" s="2" t="str">
        <f aca="false">IF(4キー同時!$G$71="","",4キー同時!$G$71)</f>
        <v/>
      </c>
      <c r="F3264" s="2" t="str">
        <f aca="false">IF(4キー同時!$L$71="","",4キー同時!$L$71)</f>
        <v/>
      </c>
      <c r="G3264" s="2" t="str">
        <f aca="false">IF(OR(4キー同時!$B$71="",4キー同時!$G$71="",4キー同時!$L$71=""),"",IF(4キー同時!Y77="","",SUBSTITUTE(SUBSTITUTE(4キー同時!Y77," ",""),"　","")))</f>
        <v/>
      </c>
      <c r="H3264" s="2" t="str">
        <f aca="false">IF($G3264="","",4キー同時!$B$71)</f>
        <v/>
      </c>
      <c r="I3264" s="2" t="str">
        <f aca="false">IF($G3264="","",4キー同時!$G$71)</f>
        <v/>
      </c>
      <c r="J3264" s="2" t="str">
        <f aca="false">IF($G3264="","",4キー同時!$L$71)</f>
        <v/>
      </c>
      <c r="K3264" s="2" t="str">
        <f aca="false">IF($G3264="","","g")</f>
        <v/>
      </c>
      <c r="L3264" s="2" t="str">
        <f aca="false">IF($G3264="","","同時")</f>
        <v/>
      </c>
      <c r="M3264" s="2" t="str">
        <f aca="false">IF($G3264="","",IF(ISNA(MATCH($G3264,個別指定!$A:$A,0)),"行なし",""))</f>
        <v/>
      </c>
      <c r="N3264" s="2" t="str">
        <f aca="false">IF($G3264="","",IF(COUNTIF($G$2:$G$4460,$G3264)&gt;1,"重複",""))</f>
        <v/>
      </c>
    </row>
    <row r="3265" customFormat="false" ht="16.5" hidden="false" customHeight="true" outlineLevel="0" collapsed="false">
      <c r="A3265" s="2" t="s">
        <v>447</v>
      </c>
      <c r="B3265" s="2" t="s">
        <v>453</v>
      </c>
      <c r="C3265" s="2" t="s">
        <v>29</v>
      </c>
      <c r="D3265" s="2" t="str">
        <f aca="false">IF(4キー同時!$B$71="","",4キー同時!$B$71)</f>
        <v/>
      </c>
      <c r="E3265" s="2" t="str">
        <f aca="false">IF(4キー同時!$G$71="","",4キー同時!$G$71)</f>
        <v/>
      </c>
      <c r="F3265" s="2" t="str">
        <f aca="false">IF(4キー同時!$L$71="","",4キー同時!$L$71)</f>
        <v/>
      </c>
      <c r="G3265" s="2" t="str">
        <f aca="false">IF(OR(4キー同時!$B$71="",4キー同時!$G$71="",4キー同時!$L$71=""),"",IF(4キー同時!AC77="","",SUBSTITUTE(SUBSTITUTE(4キー同時!AC77," ",""),"　","")))</f>
        <v/>
      </c>
      <c r="H3265" s="2" t="str">
        <f aca="false">IF($G3265="","",4キー同時!$B$71)</f>
        <v/>
      </c>
      <c r="I3265" s="2" t="str">
        <f aca="false">IF($G3265="","",4キー同時!$G$71)</f>
        <v/>
      </c>
      <c r="J3265" s="2" t="str">
        <f aca="false">IF($G3265="","",4キー同時!$L$71)</f>
        <v/>
      </c>
      <c r="K3265" s="2" t="str">
        <f aca="false">IF($G3265="","","h")</f>
        <v/>
      </c>
      <c r="L3265" s="2" t="str">
        <f aca="false">IF($G3265="","","同時")</f>
        <v/>
      </c>
      <c r="M3265" s="2" t="str">
        <f aca="false">IF($G3265="","",IF(ISNA(MATCH($G3265,個別指定!$A:$A,0)),"行なし",""))</f>
        <v/>
      </c>
      <c r="N3265" s="2" t="str">
        <f aca="false">IF($G3265="","",IF(COUNTIF($G$2:$G$4460,$G3265)&gt;1,"重複",""))</f>
        <v/>
      </c>
    </row>
    <row r="3266" customFormat="false" ht="16.5" hidden="false" customHeight="true" outlineLevel="0" collapsed="false">
      <c r="A3266" s="2" t="s">
        <v>447</v>
      </c>
      <c r="B3266" s="2" t="s">
        <v>453</v>
      </c>
      <c r="C3266" s="2" t="s">
        <v>30</v>
      </c>
      <c r="D3266" s="2" t="str">
        <f aca="false">IF(4キー同時!$B$71="","",4キー同時!$B$71)</f>
        <v/>
      </c>
      <c r="E3266" s="2" t="str">
        <f aca="false">IF(4キー同時!$G$71="","",4キー同時!$G$71)</f>
        <v/>
      </c>
      <c r="F3266" s="2" t="str">
        <f aca="false">IF(4キー同時!$L$71="","",4キー同時!$L$71)</f>
        <v/>
      </c>
      <c r="G3266" s="2" t="str">
        <f aca="false">IF(OR(4キー同時!$B$71="",4キー同時!$G$71="",4キー同時!$L$71=""),"",IF(4キー同時!AG77="","",SUBSTITUTE(SUBSTITUTE(4キー同時!AG77," ",""),"　","")))</f>
        <v/>
      </c>
      <c r="H3266" s="2" t="str">
        <f aca="false">IF($G3266="","",4キー同時!$B$71)</f>
        <v/>
      </c>
      <c r="I3266" s="2" t="str">
        <f aca="false">IF($G3266="","",4キー同時!$G$71)</f>
        <v/>
      </c>
      <c r="J3266" s="2" t="str">
        <f aca="false">IF($G3266="","",4キー同時!$L$71)</f>
        <v/>
      </c>
      <c r="K3266" s="2" t="str">
        <f aca="false">IF($G3266="","","j")</f>
        <v/>
      </c>
      <c r="L3266" s="2" t="str">
        <f aca="false">IF($G3266="","","同時")</f>
        <v/>
      </c>
      <c r="M3266" s="2" t="str">
        <f aca="false">IF($G3266="","",IF(ISNA(MATCH($G3266,個別指定!$A:$A,0)),"行なし",""))</f>
        <v/>
      </c>
      <c r="N3266" s="2" t="str">
        <f aca="false">IF($G3266="","",IF(COUNTIF($G$2:$G$4460,$G3266)&gt;1,"重複",""))</f>
        <v/>
      </c>
    </row>
    <row r="3267" customFormat="false" ht="16.5" hidden="false" customHeight="true" outlineLevel="0" collapsed="false">
      <c r="A3267" s="2" t="s">
        <v>447</v>
      </c>
      <c r="B3267" s="2" t="s">
        <v>453</v>
      </c>
      <c r="C3267" s="2" t="s">
        <v>31</v>
      </c>
      <c r="D3267" s="2" t="str">
        <f aca="false">IF(4キー同時!$B$71="","",4キー同時!$B$71)</f>
        <v/>
      </c>
      <c r="E3267" s="2" t="str">
        <f aca="false">IF(4キー同時!$G$71="","",4キー同時!$G$71)</f>
        <v/>
      </c>
      <c r="F3267" s="2" t="str">
        <f aca="false">IF(4キー同時!$L$71="","",4キー同時!$L$71)</f>
        <v/>
      </c>
      <c r="G3267" s="2" t="str">
        <f aca="false">IF(OR(4キー同時!$B$71="",4キー同時!$G$71="",4キー同時!$L$71=""),"",IF(4キー同時!AK77="","",SUBSTITUTE(SUBSTITUTE(4キー同時!AK77," ",""),"　","")))</f>
        <v/>
      </c>
      <c r="H3267" s="2" t="str">
        <f aca="false">IF($G3267="","",4キー同時!$B$71)</f>
        <v/>
      </c>
      <c r="I3267" s="2" t="str">
        <f aca="false">IF($G3267="","",4キー同時!$G$71)</f>
        <v/>
      </c>
      <c r="J3267" s="2" t="str">
        <f aca="false">IF($G3267="","",4キー同時!$L$71)</f>
        <v/>
      </c>
      <c r="K3267" s="2" t="str">
        <f aca="false">IF($G3267="","","k")</f>
        <v/>
      </c>
      <c r="L3267" s="2" t="str">
        <f aca="false">IF($G3267="","","同時")</f>
        <v/>
      </c>
      <c r="M3267" s="2" t="str">
        <f aca="false">IF($G3267="","",IF(ISNA(MATCH($G3267,個別指定!$A:$A,0)),"行なし",""))</f>
        <v/>
      </c>
      <c r="N3267" s="2" t="str">
        <f aca="false">IF($G3267="","",IF(COUNTIF($G$2:$G$4460,$G3267)&gt;1,"重複",""))</f>
        <v/>
      </c>
    </row>
    <row r="3268" customFormat="false" ht="16.5" hidden="false" customHeight="true" outlineLevel="0" collapsed="false">
      <c r="A3268" s="2" t="s">
        <v>447</v>
      </c>
      <c r="B3268" s="2" t="s">
        <v>453</v>
      </c>
      <c r="C3268" s="2" t="s">
        <v>32</v>
      </c>
      <c r="D3268" s="2" t="str">
        <f aca="false">IF(4キー同時!$B$71="","",4キー同時!$B$71)</f>
        <v/>
      </c>
      <c r="E3268" s="2" t="str">
        <f aca="false">IF(4キー同時!$G$71="","",4キー同時!$G$71)</f>
        <v/>
      </c>
      <c r="F3268" s="2" t="str">
        <f aca="false">IF(4キー同時!$L$71="","",4キー同時!$L$71)</f>
        <v/>
      </c>
      <c r="G3268" s="2" t="str">
        <f aca="false">IF(OR(4キー同時!$B$71="",4キー同時!$G$71="",4キー同時!$L$71=""),"",IF(4キー同時!AO77="","",SUBSTITUTE(SUBSTITUTE(4キー同時!AO77," ",""),"　","")))</f>
        <v/>
      </c>
      <c r="H3268" s="2" t="str">
        <f aca="false">IF($G3268="","",4キー同時!$B$71)</f>
        <v/>
      </c>
      <c r="I3268" s="2" t="str">
        <f aca="false">IF($G3268="","",4キー同時!$G$71)</f>
        <v/>
      </c>
      <c r="J3268" s="2" t="str">
        <f aca="false">IF($G3268="","",4キー同時!$L$71)</f>
        <v/>
      </c>
      <c r="K3268" s="2" t="str">
        <f aca="false">IF($G3268="","","l")</f>
        <v/>
      </c>
      <c r="L3268" s="2" t="str">
        <f aca="false">IF($G3268="","","同時")</f>
        <v/>
      </c>
      <c r="M3268" s="2" t="str">
        <f aca="false">IF($G3268="","",IF(ISNA(MATCH($G3268,個別指定!$A:$A,0)),"行なし",""))</f>
        <v/>
      </c>
      <c r="N3268" s="2" t="str">
        <f aca="false">IF($G3268="","",IF(COUNTIF($G$2:$G$4460,$G3268)&gt;1,"重複",""))</f>
        <v/>
      </c>
    </row>
    <row r="3269" customFormat="false" ht="16.5" hidden="false" customHeight="true" outlineLevel="0" collapsed="false">
      <c r="A3269" s="2" t="s">
        <v>447</v>
      </c>
      <c r="B3269" s="2" t="s">
        <v>453</v>
      </c>
      <c r="C3269" s="2" t="s">
        <v>33</v>
      </c>
      <c r="D3269" s="2" t="str">
        <f aca="false">IF(4キー同時!$B$71="","",4キー同時!$B$71)</f>
        <v/>
      </c>
      <c r="E3269" s="2" t="str">
        <f aca="false">IF(4キー同時!$G$71="","",4キー同時!$G$71)</f>
        <v/>
      </c>
      <c r="F3269" s="2" t="str">
        <f aca="false">IF(4キー同時!$L$71="","",4キー同時!$L$71)</f>
        <v/>
      </c>
      <c r="G3269" s="2" t="str">
        <f aca="false">IF(OR(4キー同時!$B$71="",4キー同時!$G$71="",4キー同時!$L$71=""),"",IF(4キー同時!AS77="","",SUBSTITUTE(SUBSTITUTE(4キー同時!AS77," ",""),"　","")))</f>
        <v/>
      </c>
      <c r="H3269" s="2" t="str">
        <f aca="false">IF($G3269="","",4キー同時!$B$71)</f>
        <v/>
      </c>
      <c r="I3269" s="2" t="str">
        <f aca="false">IF($G3269="","",4キー同時!$G$71)</f>
        <v/>
      </c>
      <c r="J3269" s="2" t="str">
        <f aca="false">IF($G3269="","",4キー同時!$L$71)</f>
        <v/>
      </c>
      <c r="K3269" s="2" t="str">
        <f aca="false">IF($G3269="","",";")</f>
        <v/>
      </c>
      <c r="L3269" s="2" t="str">
        <f aca="false">IF($G3269="","","同時")</f>
        <v/>
      </c>
      <c r="M3269" s="2" t="str">
        <f aca="false">IF($G3269="","",IF(ISNA(MATCH($G3269,個別指定!$A:$A,0)),"行なし",""))</f>
        <v/>
      </c>
      <c r="N3269" s="2" t="str">
        <f aca="false">IF($G3269="","",IF(COUNTIF($G$2:$G$4460,$G3269)&gt;1,"重複",""))</f>
        <v/>
      </c>
    </row>
    <row r="3270" customFormat="false" ht="16.5" hidden="false" customHeight="true" outlineLevel="0" collapsed="false">
      <c r="A3270" s="2" t="s">
        <v>447</v>
      </c>
      <c r="B3270" s="2" t="s">
        <v>453</v>
      </c>
      <c r="C3270" s="2" t="s">
        <v>34</v>
      </c>
      <c r="D3270" s="2" t="str">
        <f aca="false">IF(4キー同時!$B$71="","",4キー同時!$B$71)</f>
        <v/>
      </c>
      <c r="E3270" s="2" t="str">
        <f aca="false">IF(4キー同時!$G$71="","",4キー同時!$G$71)</f>
        <v/>
      </c>
      <c r="F3270" s="2" t="str">
        <f aca="false">IF(4キー同時!$L$71="","",4キー同時!$L$71)</f>
        <v/>
      </c>
      <c r="G3270" s="2" t="str">
        <f aca="false">IF(OR(4キー同時!$B$71="",4キー同時!$G$71="",4キー同時!$L$71=""),"",IF(4キー同時!AW77="","",SUBSTITUTE(SUBSTITUTE(4キー同時!AW77," ",""),"　","")))</f>
        <v/>
      </c>
      <c r="H3270" s="2" t="str">
        <f aca="false">IF($G3270="","",4キー同時!$B$71)</f>
        <v/>
      </c>
      <c r="I3270" s="2" t="str">
        <f aca="false">IF($G3270="","",4キー同時!$G$71)</f>
        <v/>
      </c>
      <c r="J3270" s="2" t="str">
        <f aca="false">IF($G3270="","",4キー同時!$L$71)</f>
        <v/>
      </c>
      <c r="K3270" s="2" t="str">
        <f aca="false">IF($G3270="","","'")</f>
        <v/>
      </c>
      <c r="L3270" s="2" t="str">
        <f aca="false">IF($G3270="","","同時")</f>
        <v/>
      </c>
      <c r="M3270" s="2" t="str">
        <f aca="false">IF($G3270="","",IF(ISNA(MATCH($G3270,個別指定!$A:$A,0)),"行なし",""))</f>
        <v/>
      </c>
      <c r="N3270" s="2" t="str">
        <f aca="false">IF($G3270="","",IF(COUNTIF($G$2:$G$4460,$G3270)&gt;1,"重複",""))</f>
        <v/>
      </c>
    </row>
    <row r="3271" customFormat="false" ht="16.5" hidden="false" customHeight="true" outlineLevel="0" collapsed="false">
      <c r="A3271" s="2" t="s">
        <v>447</v>
      </c>
      <c r="B3271" s="2" t="s">
        <v>453</v>
      </c>
      <c r="C3271" s="2" t="s">
        <v>35</v>
      </c>
      <c r="D3271" s="2" t="str">
        <f aca="false">IF(4キー同時!$B$71="","",4キー同時!$B$71)</f>
        <v/>
      </c>
      <c r="E3271" s="2" t="str">
        <f aca="false">IF(4キー同時!$G$71="","",4キー同時!$G$71)</f>
        <v/>
      </c>
      <c r="F3271" s="2" t="str">
        <f aca="false">IF(4キー同時!$L$71="","",4キー同時!$L$71)</f>
        <v/>
      </c>
      <c r="G3271" s="2" t="str">
        <f aca="false">IF(OR(4キー同時!$B$71="",4キー同時!$G$71="",4キー同時!$L$71=""),"",IF(4キー同時!K79="","",SUBSTITUTE(SUBSTITUTE(4キー同時!K79," ",""),"　","")))</f>
        <v/>
      </c>
      <c r="H3271" s="2" t="str">
        <f aca="false">IF($G3271="","",4キー同時!$B$71)</f>
        <v/>
      </c>
      <c r="I3271" s="2" t="str">
        <f aca="false">IF($G3271="","",4キー同時!$G$71)</f>
        <v/>
      </c>
      <c r="J3271" s="2" t="str">
        <f aca="false">IF($G3271="","",4キー同時!$L$71)</f>
        <v/>
      </c>
      <c r="K3271" s="2" t="str">
        <f aca="false">IF($G3271="","","z")</f>
        <v/>
      </c>
      <c r="L3271" s="2" t="str">
        <f aca="false">IF($G3271="","","同時")</f>
        <v/>
      </c>
      <c r="M3271" s="2" t="str">
        <f aca="false">IF($G3271="","",IF(ISNA(MATCH($G3271,個別指定!$A:$A,0)),"行なし",""))</f>
        <v/>
      </c>
      <c r="N3271" s="2" t="str">
        <f aca="false">IF($G3271="","",IF(COUNTIF($G$2:$G$4460,$G3271)&gt;1,"重複",""))</f>
        <v/>
      </c>
    </row>
    <row r="3272" customFormat="false" ht="16.5" hidden="false" customHeight="true" outlineLevel="0" collapsed="false">
      <c r="A3272" s="2" t="s">
        <v>447</v>
      </c>
      <c r="B3272" s="2" t="s">
        <v>453</v>
      </c>
      <c r="C3272" s="2" t="s">
        <v>36</v>
      </c>
      <c r="D3272" s="2" t="str">
        <f aca="false">IF(4キー同時!$B$71="","",4キー同時!$B$71)</f>
        <v/>
      </c>
      <c r="E3272" s="2" t="str">
        <f aca="false">IF(4キー同時!$G$71="","",4キー同時!$G$71)</f>
        <v/>
      </c>
      <c r="F3272" s="2" t="str">
        <f aca="false">IF(4キー同時!$L$71="","",4キー同時!$L$71)</f>
        <v/>
      </c>
      <c r="G3272" s="2" t="str">
        <f aca="false">IF(OR(4キー同時!$B$71="",4キー同時!$G$71="",4キー同時!$L$71=""),"",IF(4キー同時!O79="","",SUBSTITUTE(SUBSTITUTE(4キー同時!O79," ",""),"　","")))</f>
        <v/>
      </c>
      <c r="H3272" s="2" t="str">
        <f aca="false">IF($G3272="","",4キー同時!$B$71)</f>
        <v/>
      </c>
      <c r="I3272" s="2" t="str">
        <f aca="false">IF($G3272="","",4キー同時!$G$71)</f>
        <v/>
      </c>
      <c r="J3272" s="2" t="str">
        <f aca="false">IF($G3272="","",4キー同時!$L$71)</f>
        <v/>
      </c>
      <c r="K3272" s="2" t="str">
        <f aca="false">IF($G3272="","","x")</f>
        <v/>
      </c>
      <c r="L3272" s="2" t="str">
        <f aca="false">IF($G3272="","","同時")</f>
        <v/>
      </c>
      <c r="M3272" s="2" t="str">
        <f aca="false">IF($G3272="","",IF(ISNA(MATCH($G3272,個別指定!$A:$A,0)),"行なし",""))</f>
        <v/>
      </c>
      <c r="N3272" s="2" t="str">
        <f aca="false">IF($G3272="","",IF(COUNTIF($G$2:$G$4460,$G3272)&gt;1,"重複",""))</f>
        <v/>
      </c>
    </row>
    <row r="3273" customFormat="false" ht="16.5" hidden="false" customHeight="true" outlineLevel="0" collapsed="false">
      <c r="A3273" s="2" t="s">
        <v>447</v>
      </c>
      <c r="B3273" s="2" t="s">
        <v>453</v>
      </c>
      <c r="C3273" s="2" t="s">
        <v>37</v>
      </c>
      <c r="D3273" s="2" t="str">
        <f aca="false">IF(4キー同時!$B$71="","",4キー同時!$B$71)</f>
        <v/>
      </c>
      <c r="E3273" s="2" t="str">
        <f aca="false">IF(4キー同時!$G$71="","",4キー同時!$G$71)</f>
        <v/>
      </c>
      <c r="F3273" s="2" t="str">
        <f aca="false">IF(4キー同時!$L$71="","",4キー同時!$L$71)</f>
        <v/>
      </c>
      <c r="G3273" s="2" t="str">
        <f aca="false">IF(OR(4キー同時!$B$71="",4キー同時!$G$71="",4キー同時!$L$71=""),"",IF(4キー同時!S79="","",SUBSTITUTE(SUBSTITUTE(4キー同時!S79," ",""),"　","")))</f>
        <v/>
      </c>
      <c r="H3273" s="2" t="str">
        <f aca="false">IF($G3273="","",4キー同時!$B$71)</f>
        <v/>
      </c>
      <c r="I3273" s="2" t="str">
        <f aca="false">IF($G3273="","",4キー同時!$G$71)</f>
        <v/>
      </c>
      <c r="J3273" s="2" t="str">
        <f aca="false">IF($G3273="","",4キー同時!$L$71)</f>
        <v/>
      </c>
      <c r="K3273" s="2" t="str">
        <f aca="false">IF($G3273="","","c")</f>
        <v/>
      </c>
      <c r="L3273" s="2" t="str">
        <f aca="false">IF($G3273="","","同時")</f>
        <v/>
      </c>
      <c r="M3273" s="2" t="str">
        <f aca="false">IF($G3273="","",IF(ISNA(MATCH($G3273,個別指定!$A:$A,0)),"行なし",""))</f>
        <v/>
      </c>
      <c r="N3273" s="2" t="str">
        <f aca="false">IF($G3273="","",IF(COUNTIF($G$2:$G$4460,$G3273)&gt;1,"重複",""))</f>
        <v/>
      </c>
    </row>
    <row r="3274" customFormat="false" ht="16.5" hidden="false" customHeight="true" outlineLevel="0" collapsed="false">
      <c r="A3274" s="2" t="s">
        <v>447</v>
      </c>
      <c r="B3274" s="2" t="s">
        <v>453</v>
      </c>
      <c r="C3274" s="2" t="s">
        <v>38</v>
      </c>
      <c r="D3274" s="2" t="str">
        <f aca="false">IF(4キー同時!$B$71="","",4キー同時!$B$71)</f>
        <v/>
      </c>
      <c r="E3274" s="2" t="str">
        <f aca="false">IF(4キー同時!$G$71="","",4キー同時!$G$71)</f>
        <v/>
      </c>
      <c r="F3274" s="2" t="str">
        <f aca="false">IF(4キー同時!$L$71="","",4キー同時!$L$71)</f>
        <v/>
      </c>
      <c r="G3274" s="2" t="str">
        <f aca="false">IF(OR(4キー同時!$B$71="",4キー同時!$G$71="",4キー同時!$L$71=""),"",IF(4キー同時!W79="","",SUBSTITUTE(SUBSTITUTE(4キー同時!W79," ",""),"　","")))</f>
        <v/>
      </c>
      <c r="H3274" s="2" t="str">
        <f aca="false">IF($G3274="","",4キー同時!$B$71)</f>
        <v/>
      </c>
      <c r="I3274" s="2" t="str">
        <f aca="false">IF($G3274="","",4キー同時!$G$71)</f>
        <v/>
      </c>
      <c r="J3274" s="2" t="str">
        <f aca="false">IF($G3274="","",4キー同時!$L$71)</f>
        <v/>
      </c>
      <c r="K3274" s="2" t="str">
        <f aca="false">IF($G3274="","","v")</f>
        <v/>
      </c>
      <c r="L3274" s="2" t="str">
        <f aca="false">IF($G3274="","","同時")</f>
        <v/>
      </c>
      <c r="M3274" s="2" t="str">
        <f aca="false">IF($G3274="","",IF(ISNA(MATCH($G3274,個別指定!$A:$A,0)),"行なし",""))</f>
        <v/>
      </c>
      <c r="N3274" s="2" t="str">
        <f aca="false">IF($G3274="","",IF(COUNTIF($G$2:$G$4460,$G3274)&gt;1,"重複",""))</f>
        <v/>
      </c>
    </row>
    <row r="3275" customFormat="false" ht="16.5" hidden="false" customHeight="true" outlineLevel="0" collapsed="false">
      <c r="A3275" s="2" t="s">
        <v>447</v>
      </c>
      <c r="B3275" s="2" t="s">
        <v>453</v>
      </c>
      <c r="C3275" s="2" t="s">
        <v>39</v>
      </c>
      <c r="D3275" s="2" t="str">
        <f aca="false">IF(4キー同時!$B$71="","",4キー同時!$B$71)</f>
        <v/>
      </c>
      <c r="E3275" s="2" t="str">
        <f aca="false">IF(4キー同時!$G$71="","",4キー同時!$G$71)</f>
        <v/>
      </c>
      <c r="F3275" s="2" t="str">
        <f aca="false">IF(4キー同時!$L$71="","",4キー同時!$L$71)</f>
        <v/>
      </c>
      <c r="G3275" s="2" t="str">
        <f aca="false">IF(OR(4キー同時!$B$71="",4キー同時!$G$71="",4キー同時!$L$71=""),"",IF(4キー同時!AA79="","",SUBSTITUTE(SUBSTITUTE(4キー同時!AA79," ",""),"　","")))</f>
        <v/>
      </c>
      <c r="H3275" s="2" t="str">
        <f aca="false">IF($G3275="","",4キー同時!$B$71)</f>
        <v/>
      </c>
      <c r="I3275" s="2" t="str">
        <f aca="false">IF($G3275="","",4キー同時!$G$71)</f>
        <v/>
      </c>
      <c r="J3275" s="2" t="str">
        <f aca="false">IF($G3275="","",4キー同時!$L$71)</f>
        <v/>
      </c>
      <c r="K3275" s="2" t="str">
        <f aca="false">IF($G3275="","","b")</f>
        <v/>
      </c>
      <c r="L3275" s="2" t="str">
        <f aca="false">IF($G3275="","","同時")</f>
        <v/>
      </c>
      <c r="M3275" s="2" t="str">
        <f aca="false">IF($G3275="","",IF(ISNA(MATCH($G3275,個別指定!$A:$A,0)),"行なし",""))</f>
        <v/>
      </c>
      <c r="N3275" s="2" t="str">
        <f aca="false">IF($G3275="","",IF(COUNTIF($G$2:$G$4460,$G3275)&gt;1,"重複",""))</f>
        <v/>
      </c>
    </row>
    <row r="3276" customFormat="false" ht="16.5" hidden="false" customHeight="true" outlineLevel="0" collapsed="false">
      <c r="A3276" s="2" t="s">
        <v>447</v>
      </c>
      <c r="B3276" s="2" t="s">
        <v>453</v>
      </c>
      <c r="C3276" s="2" t="s">
        <v>40</v>
      </c>
      <c r="D3276" s="2" t="str">
        <f aca="false">IF(4キー同時!$B$71="","",4キー同時!$B$71)</f>
        <v/>
      </c>
      <c r="E3276" s="2" t="str">
        <f aca="false">IF(4キー同時!$G$71="","",4キー同時!$G$71)</f>
        <v/>
      </c>
      <c r="F3276" s="2" t="str">
        <f aca="false">IF(4キー同時!$L$71="","",4キー同時!$L$71)</f>
        <v/>
      </c>
      <c r="G3276" s="2" t="str">
        <f aca="false">IF(OR(4キー同時!$B$71="",4キー同時!$G$71="",4キー同時!$L$71=""),"",IF(4キー同時!AE79="","",SUBSTITUTE(SUBSTITUTE(4キー同時!AE79," ",""),"　","")))</f>
        <v/>
      </c>
      <c r="H3276" s="2" t="str">
        <f aca="false">IF($G3276="","",4キー同時!$B$71)</f>
        <v/>
      </c>
      <c r="I3276" s="2" t="str">
        <f aca="false">IF($G3276="","",4キー同時!$G$71)</f>
        <v/>
      </c>
      <c r="J3276" s="2" t="str">
        <f aca="false">IF($G3276="","",4キー同時!$L$71)</f>
        <v/>
      </c>
      <c r="K3276" s="2" t="str">
        <f aca="false">IF($G3276="","","n")</f>
        <v/>
      </c>
      <c r="L3276" s="2" t="str">
        <f aca="false">IF($G3276="","","同時")</f>
        <v/>
      </c>
      <c r="M3276" s="2" t="str">
        <f aca="false">IF($G3276="","",IF(ISNA(MATCH($G3276,個別指定!$A:$A,0)),"行なし",""))</f>
        <v/>
      </c>
      <c r="N3276" s="2" t="str">
        <f aca="false">IF($G3276="","",IF(COUNTIF($G$2:$G$4460,$G3276)&gt;1,"重複",""))</f>
        <v/>
      </c>
    </row>
    <row r="3277" customFormat="false" ht="16.5" hidden="false" customHeight="true" outlineLevel="0" collapsed="false">
      <c r="A3277" s="2" t="s">
        <v>447</v>
      </c>
      <c r="B3277" s="2" t="s">
        <v>453</v>
      </c>
      <c r="C3277" s="2" t="s">
        <v>41</v>
      </c>
      <c r="D3277" s="2" t="str">
        <f aca="false">IF(4キー同時!$B$71="","",4キー同時!$B$71)</f>
        <v/>
      </c>
      <c r="E3277" s="2" t="str">
        <f aca="false">IF(4キー同時!$G$71="","",4キー同時!$G$71)</f>
        <v/>
      </c>
      <c r="F3277" s="2" t="str">
        <f aca="false">IF(4キー同時!$L$71="","",4キー同時!$L$71)</f>
        <v/>
      </c>
      <c r="G3277" s="2" t="str">
        <f aca="false">IF(OR(4キー同時!$B$71="",4キー同時!$G$71="",4キー同時!$L$71=""),"",IF(4キー同時!AI79="","",SUBSTITUTE(SUBSTITUTE(4キー同時!AI79," ",""),"　","")))</f>
        <v/>
      </c>
      <c r="H3277" s="2" t="str">
        <f aca="false">IF($G3277="","",4キー同時!$B$71)</f>
        <v/>
      </c>
      <c r="I3277" s="2" t="str">
        <f aca="false">IF($G3277="","",4キー同時!$G$71)</f>
        <v/>
      </c>
      <c r="J3277" s="2" t="str">
        <f aca="false">IF($G3277="","",4キー同時!$L$71)</f>
        <v/>
      </c>
      <c r="K3277" s="2" t="str">
        <f aca="false">IF($G3277="","","m")</f>
        <v/>
      </c>
      <c r="L3277" s="2" t="str">
        <f aca="false">IF($G3277="","","同時")</f>
        <v/>
      </c>
      <c r="M3277" s="2" t="str">
        <f aca="false">IF($G3277="","",IF(ISNA(MATCH($G3277,個別指定!$A:$A,0)),"行なし",""))</f>
        <v/>
      </c>
      <c r="N3277" s="2" t="str">
        <f aca="false">IF($G3277="","",IF(COUNTIF($G$2:$G$4460,$G3277)&gt;1,"重複",""))</f>
        <v/>
      </c>
    </row>
    <row r="3278" customFormat="false" ht="16.5" hidden="false" customHeight="true" outlineLevel="0" collapsed="false">
      <c r="A3278" s="2" t="s">
        <v>447</v>
      </c>
      <c r="B3278" s="2" t="s">
        <v>453</v>
      </c>
      <c r="C3278" s="2" t="s">
        <v>42</v>
      </c>
      <c r="D3278" s="2" t="str">
        <f aca="false">IF(4キー同時!$B$71="","",4キー同時!$B$71)</f>
        <v/>
      </c>
      <c r="E3278" s="2" t="str">
        <f aca="false">IF(4キー同時!$G$71="","",4キー同時!$G$71)</f>
        <v/>
      </c>
      <c r="F3278" s="2" t="str">
        <f aca="false">IF(4キー同時!$L$71="","",4キー同時!$L$71)</f>
        <v/>
      </c>
      <c r="G3278" s="2" t="str">
        <f aca="false">IF(OR(4キー同時!$B$71="",4キー同時!$G$71="",4キー同時!$L$71=""),"",IF(4キー同時!AM79="","",SUBSTITUTE(SUBSTITUTE(4キー同時!AM79," ",""),"　","")))</f>
        <v/>
      </c>
      <c r="H3278" s="2" t="str">
        <f aca="false">IF($G3278="","",4キー同時!$B$71)</f>
        <v/>
      </c>
      <c r="I3278" s="2" t="str">
        <f aca="false">IF($G3278="","",4キー同時!$G$71)</f>
        <v/>
      </c>
      <c r="J3278" s="2" t="str">
        <f aca="false">IF($G3278="","",4キー同時!$L$71)</f>
        <v/>
      </c>
      <c r="K3278" s="2" t="str">
        <f aca="false">IF($G3278="","",",")</f>
        <v/>
      </c>
      <c r="L3278" s="2" t="str">
        <f aca="false">IF($G3278="","","同時")</f>
        <v/>
      </c>
      <c r="M3278" s="2" t="str">
        <f aca="false">IF($G3278="","",IF(ISNA(MATCH($G3278,個別指定!$A:$A,0)),"行なし",""))</f>
        <v/>
      </c>
      <c r="N3278" s="2" t="str">
        <f aca="false">IF($G3278="","",IF(COUNTIF($G$2:$G$4460,$G3278)&gt;1,"重複",""))</f>
        <v/>
      </c>
    </row>
    <row r="3279" customFormat="false" ht="16.5" hidden="false" customHeight="true" outlineLevel="0" collapsed="false">
      <c r="A3279" s="2" t="s">
        <v>447</v>
      </c>
      <c r="B3279" s="2" t="s">
        <v>453</v>
      </c>
      <c r="C3279" s="2" t="s">
        <v>43</v>
      </c>
      <c r="D3279" s="2" t="str">
        <f aca="false">IF(4キー同時!$B$71="","",4キー同時!$B$71)</f>
        <v/>
      </c>
      <c r="E3279" s="2" t="str">
        <f aca="false">IF(4キー同時!$G$71="","",4キー同時!$G$71)</f>
        <v/>
      </c>
      <c r="F3279" s="2" t="str">
        <f aca="false">IF(4キー同時!$L$71="","",4キー同時!$L$71)</f>
        <v/>
      </c>
      <c r="G3279" s="2" t="str">
        <f aca="false">IF(OR(4キー同時!$B$71="",4キー同時!$G$71="",4キー同時!$L$71=""),"",IF(4キー同時!AQ79="","",SUBSTITUTE(SUBSTITUTE(4キー同時!AQ79," ",""),"　","")))</f>
        <v/>
      </c>
      <c r="H3279" s="2" t="str">
        <f aca="false">IF($G3279="","",4キー同時!$B$71)</f>
        <v/>
      </c>
      <c r="I3279" s="2" t="str">
        <f aca="false">IF($G3279="","",4キー同時!$G$71)</f>
        <v/>
      </c>
      <c r="J3279" s="2" t="str">
        <f aca="false">IF($G3279="","",4キー同時!$L$71)</f>
        <v/>
      </c>
      <c r="K3279" s="2" t="str">
        <f aca="false">IF($G3279="","",".")</f>
        <v/>
      </c>
      <c r="L3279" s="2" t="str">
        <f aca="false">IF($G3279="","","同時")</f>
        <v/>
      </c>
      <c r="M3279" s="2" t="str">
        <f aca="false">IF($G3279="","",IF(ISNA(MATCH($G3279,個別指定!$A:$A,0)),"行なし",""))</f>
        <v/>
      </c>
      <c r="N3279" s="2" t="str">
        <f aca="false">IF($G3279="","",IF(COUNTIF($G$2:$G$4460,$G3279)&gt;1,"重複",""))</f>
        <v/>
      </c>
    </row>
    <row r="3280" customFormat="false" ht="16.5" hidden="false" customHeight="true" outlineLevel="0" collapsed="false">
      <c r="A3280" s="2" t="s">
        <v>447</v>
      </c>
      <c r="B3280" s="2" t="s">
        <v>453</v>
      </c>
      <c r="C3280" s="2" t="s">
        <v>44</v>
      </c>
      <c r="D3280" s="2" t="str">
        <f aca="false">IF(4キー同時!$B$71="","",4キー同時!$B$71)</f>
        <v/>
      </c>
      <c r="E3280" s="2" t="str">
        <f aca="false">IF(4キー同時!$G$71="","",4キー同時!$G$71)</f>
        <v/>
      </c>
      <c r="F3280" s="2" t="str">
        <f aca="false">IF(4キー同時!$L$71="","",4キー同時!$L$71)</f>
        <v/>
      </c>
      <c r="G3280" s="2" t="str">
        <f aca="false">IF(OR(4キー同時!$B$71="",4キー同時!$G$71="",4キー同時!$L$71=""),"",IF(4キー同時!AU79="","",SUBSTITUTE(SUBSTITUTE(4キー同時!AU79," ",""),"　","")))</f>
        <v/>
      </c>
      <c r="H3280" s="2" t="str">
        <f aca="false">IF($G3280="","",4キー同時!$B$71)</f>
        <v/>
      </c>
      <c r="I3280" s="2" t="str">
        <f aca="false">IF($G3280="","",4キー同時!$G$71)</f>
        <v/>
      </c>
      <c r="J3280" s="2" t="str">
        <f aca="false">IF($G3280="","",4キー同時!$L$71)</f>
        <v/>
      </c>
      <c r="K3280" s="2" t="str">
        <f aca="false">IF($G3280="","","/")</f>
        <v/>
      </c>
      <c r="L3280" s="2" t="str">
        <f aca="false">IF($G3280="","","同時")</f>
        <v/>
      </c>
      <c r="M3280" s="2" t="str">
        <f aca="false">IF($G3280="","",IF(ISNA(MATCH($G3280,個別指定!$A:$A,0)),"行なし",""))</f>
        <v/>
      </c>
      <c r="N3280" s="2" t="str">
        <f aca="false">IF($G3280="","",IF(COUNTIF($G$2:$G$4460,$G3280)&gt;1,"重複",""))</f>
        <v/>
      </c>
    </row>
    <row r="3281" customFormat="false" ht="16.5" hidden="false" customHeight="true" outlineLevel="0" collapsed="false">
      <c r="A3281" s="2" t="s">
        <v>447</v>
      </c>
      <c r="B3281" s="2" t="s">
        <v>453</v>
      </c>
      <c r="C3281" s="2" t="s">
        <v>48</v>
      </c>
      <c r="D3281" s="2" t="str">
        <f aca="false">IF(4キー同時!$B$71="","",4キー同時!$B$71)</f>
        <v/>
      </c>
      <c r="E3281" s="2" t="str">
        <f aca="false">IF(4キー同時!$G$71="","",4キー同時!$G$71)</f>
        <v/>
      </c>
      <c r="F3281" s="2" t="str">
        <f aca="false">IF(4キー同時!$L$71="","",4キー同時!$L$71)</f>
        <v/>
      </c>
      <c r="G3281" s="2" t="str">
        <f aca="false">IF(OR(4キー同時!$B$71="",4キー同時!$G$71="",4キー同時!$L$71=""),"",IF(4キー同時!P81="","",SUBSTITUTE(SUBSTITUTE(4キー同時!P81," ",""),"　","")))</f>
        <v/>
      </c>
      <c r="H3281" s="2" t="str">
        <f aca="false">IF($G3281="","",4キー同時!$B$71)</f>
        <v/>
      </c>
      <c r="I3281" s="2" t="str">
        <f aca="false">IF($G3281="","",4キー同時!$G$71)</f>
        <v/>
      </c>
      <c r="J3281" s="2" t="str">
        <f aca="false">IF($G3281="","",4キー同時!$L$71)</f>
        <v/>
      </c>
      <c r="K3281" s="2" t="str">
        <f aca="false">IF($G3281="","","muhenkan")</f>
        <v/>
      </c>
      <c r="L3281" s="2" t="str">
        <f aca="false">IF($G3281="","","同時")</f>
        <v/>
      </c>
      <c r="M3281" s="2" t="str">
        <f aca="false">IF($G3281="","",IF(ISNA(MATCH($G3281,個別指定!$A:$A,0)),"行なし",""))</f>
        <v/>
      </c>
      <c r="N3281" s="2" t="str">
        <f aca="false">IF($G3281="","",IF(COUNTIF($G$2:$G$4460,$G3281)&gt;1,"重複",""))</f>
        <v/>
      </c>
    </row>
    <row r="3282" customFormat="false" ht="16.5" hidden="false" customHeight="true" outlineLevel="0" collapsed="false">
      <c r="A3282" s="2" t="s">
        <v>447</v>
      </c>
      <c r="B3282" s="2" t="s">
        <v>453</v>
      </c>
      <c r="C3282" s="2" t="s">
        <v>50</v>
      </c>
      <c r="D3282" s="2" t="str">
        <f aca="false">IF(4キー同時!$B$71="","",4キー同時!$B$71)</f>
        <v/>
      </c>
      <c r="E3282" s="2" t="str">
        <f aca="false">IF(4キー同時!$G$71="","",4キー同時!$G$71)</f>
        <v/>
      </c>
      <c r="F3282" s="2" t="str">
        <f aca="false">IF(4キー同時!$L$71="","",4キー同時!$L$71)</f>
        <v/>
      </c>
      <c r="G3282" s="2" t="str">
        <f aca="false">IF(OR(4キー同時!$B$71="",4キー同時!$G$71="",4キー同時!$L$71=""),"",IF(4キー同時!T81="","",SUBSTITUTE(SUBSTITUTE(4キー同時!T81," ",""),"　","")))</f>
        <v/>
      </c>
      <c r="H3282" s="2" t="str">
        <f aca="false">IF($G3282="","",4キー同時!$B$71)</f>
        <v/>
      </c>
      <c r="I3282" s="2" t="str">
        <f aca="false">IF($G3282="","",4キー同時!$G$71)</f>
        <v/>
      </c>
      <c r="J3282" s="2" t="str">
        <f aca="false">IF($G3282="","",4キー同時!$L$71)</f>
        <v/>
      </c>
      <c r="K3282" s="2" t="str">
        <f aca="false">IF($G3282="","","space")</f>
        <v/>
      </c>
      <c r="L3282" s="2" t="str">
        <f aca="false">IF($G3282="","","同時")</f>
        <v/>
      </c>
      <c r="M3282" s="2" t="str">
        <f aca="false">IF($G3282="","",IF(ISNA(MATCH($G3282,個別指定!$A:$A,0)),"行なし",""))</f>
        <v/>
      </c>
      <c r="N3282" s="2" t="str">
        <f aca="false">IF($G3282="","",IF(COUNTIF($G$2:$G$4460,$G3282)&gt;1,"重複",""))</f>
        <v/>
      </c>
    </row>
    <row r="3283" customFormat="false" ht="16.5" hidden="false" customHeight="true" outlineLevel="0" collapsed="false">
      <c r="A3283" s="2" t="s">
        <v>447</v>
      </c>
      <c r="B3283" s="2" t="s">
        <v>453</v>
      </c>
      <c r="C3283" s="2" t="s">
        <v>45</v>
      </c>
      <c r="D3283" s="2" t="str">
        <f aca="false">IF(4キー同時!$B$71="","",4キー同時!$B$71)</f>
        <v/>
      </c>
      <c r="E3283" s="2" t="str">
        <f aca="false">IF(4キー同時!$G$71="","",4キー同時!$G$71)</f>
        <v/>
      </c>
      <c r="F3283" s="2" t="str">
        <f aca="false">IF(4キー同時!$L$71="","",4キー同時!$L$71)</f>
        <v/>
      </c>
      <c r="G3283" s="2" t="str">
        <f aca="false">IF(OR(4キー同時!$B$71="",4キー同時!$G$71="",4キー同時!$L$71=""),"",IF(4キー同時!AL81="","",SUBSTITUTE(SUBSTITUTE(4キー同時!AL81," ",""),"　","")))</f>
        <v/>
      </c>
      <c r="H3283" s="2" t="str">
        <f aca="false">IF($G3283="","",4キー同時!$B$71)</f>
        <v/>
      </c>
      <c r="I3283" s="2" t="str">
        <f aca="false">IF($G3283="","",4キー同時!$G$71)</f>
        <v/>
      </c>
      <c r="J3283" s="2" t="str">
        <f aca="false">IF($G3283="","",4キー同時!$L$71)</f>
        <v/>
      </c>
      <c r="K3283" s="2" t="str">
        <f aca="false">IF($G3283="","","henkan")</f>
        <v/>
      </c>
      <c r="L3283" s="2" t="str">
        <f aca="false">IF($G3283="","","同時")</f>
        <v/>
      </c>
      <c r="M3283" s="2" t="str">
        <f aca="false">IF($G3283="","",IF(ISNA(MATCH($G3283,個別指定!$A:$A,0)),"行なし",""))</f>
        <v/>
      </c>
      <c r="N3283" s="2" t="str">
        <f aca="false">IF($G3283="","",IF(COUNTIF($G$2:$G$4460,$G3283)&gt;1,"重複",""))</f>
        <v/>
      </c>
    </row>
    <row r="3284" customFormat="false" ht="16.5" hidden="false" customHeight="true" outlineLevel="0" collapsed="false">
      <c r="A3284" s="2" t="s">
        <v>447</v>
      </c>
      <c r="B3284" s="2" t="s">
        <v>453</v>
      </c>
      <c r="C3284" s="2" t="s">
        <v>46</v>
      </c>
      <c r="D3284" s="2" t="str">
        <f aca="false">IF(4キー同時!$B$71="","",4キー同時!$B$71)</f>
        <v/>
      </c>
      <c r="E3284" s="2" t="str">
        <f aca="false">IF(4キー同時!$G$71="","",4キー同時!$G$71)</f>
        <v/>
      </c>
      <c r="F3284" s="2" t="str">
        <f aca="false">IF(4キー同時!$L$71="","",4キー同時!$L$71)</f>
        <v/>
      </c>
      <c r="G3284" s="2" t="str">
        <f aca="false">IF(OR(4キー同時!$B$71="",4キー同時!$G$71="",4キー同時!$L$71=""),"",IF(4キー同時!AP81="","",SUBSTITUTE(SUBSTITUTE(4キー同時!AP81," ",""),"　","")))</f>
        <v/>
      </c>
      <c r="H3284" s="2" t="str">
        <f aca="false">IF($G3284="","",4キー同時!$B$71)</f>
        <v/>
      </c>
      <c r="I3284" s="2" t="str">
        <f aca="false">IF($G3284="","",4キー同時!$G$71)</f>
        <v/>
      </c>
      <c r="J3284" s="2" t="str">
        <f aca="false">IF($G3284="","",4キー同時!$L$71)</f>
        <v/>
      </c>
      <c r="K3284" s="2" t="str">
        <f aca="false">IF($G3284="","","kana")</f>
        <v/>
      </c>
      <c r="L3284" s="2" t="str">
        <f aca="false">IF($G3284="","","同時")</f>
        <v/>
      </c>
      <c r="M3284" s="2" t="str">
        <f aca="false">IF($G3284="","",IF(ISNA(MATCH($G3284,個別指定!$A:$A,0)),"行なし",""))</f>
        <v/>
      </c>
      <c r="N3284" s="2" t="str">
        <f aca="false">IF($G3284="","",IF(COUNTIF($G$2:$G$4460,$G3284)&gt;1,"重複",""))</f>
        <v/>
      </c>
    </row>
    <row r="3285" customFormat="false" ht="16.5" hidden="false" customHeight="true" outlineLevel="0" collapsed="false">
      <c r="A3285" s="2" t="s">
        <v>447</v>
      </c>
      <c r="B3285" s="2" t="s">
        <v>454</v>
      </c>
      <c r="C3285" s="2" t="s">
        <v>0</v>
      </c>
      <c r="D3285" s="2" t="str">
        <f aca="false">IF(4キー同時!$B$84="","",4キー同時!$B$84)</f>
        <v/>
      </c>
      <c r="E3285" s="2" t="str">
        <f aca="false">IF(4キー同時!$G$84="","",4キー同時!$G$84)</f>
        <v/>
      </c>
      <c r="F3285" s="2" t="str">
        <f aca="false">IF(4キー同時!$L$84="","",4キー同時!$L$84)</f>
        <v/>
      </c>
      <c r="G3285" s="2" t="str">
        <f aca="false">IF(OR(4キー同時!$B$84="",4キー同時!$G$84="",4キー同時!$L$84=""),"",IF(4キー同時!F86="","",SUBSTITUTE(SUBSTITUTE(4キー同時!F86," ",""),"　","")))</f>
        <v/>
      </c>
      <c r="H3285" s="2" t="str">
        <f aca="false">IF($G3285="","",4キー同時!$B$84)</f>
        <v/>
      </c>
      <c r="I3285" s="2" t="str">
        <f aca="false">IF($G3285="","",4キー同時!$G$84)</f>
        <v/>
      </c>
      <c r="J3285" s="2" t="str">
        <f aca="false">IF($G3285="","",4キー同時!$L$84)</f>
        <v/>
      </c>
      <c r="K3285" s="2" t="str">
        <f aca="false">IF($G3285="","","1")</f>
        <v/>
      </c>
      <c r="L3285" s="2" t="str">
        <f aca="false">IF($G3285="","","同時")</f>
        <v/>
      </c>
      <c r="M3285" s="2" t="str">
        <f aca="false">IF($G3285="","",IF(ISNA(MATCH($G3285,個別指定!$A:$A,0)),"行なし",""))</f>
        <v/>
      </c>
      <c r="N3285" s="2" t="str">
        <f aca="false">IF($G3285="","",IF(COUNTIF($G$2:$G$4460,$G3285)&gt;1,"重複",""))</f>
        <v/>
      </c>
    </row>
    <row r="3286" customFormat="false" ht="16.5" hidden="false" customHeight="true" outlineLevel="0" collapsed="false">
      <c r="A3286" s="2" t="s">
        <v>447</v>
      </c>
      <c r="B3286" s="2" t="s">
        <v>454</v>
      </c>
      <c r="C3286" s="2" t="s">
        <v>1</v>
      </c>
      <c r="D3286" s="2" t="str">
        <f aca="false">IF(4キー同時!$B$84="","",4キー同時!$B$84)</f>
        <v/>
      </c>
      <c r="E3286" s="2" t="str">
        <f aca="false">IF(4キー同時!$G$84="","",4キー同時!$G$84)</f>
        <v/>
      </c>
      <c r="F3286" s="2" t="str">
        <f aca="false">IF(4キー同時!$L$84="","",4キー同時!$L$84)</f>
        <v/>
      </c>
      <c r="G3286" s="2" t="str">
        <f aca="false">IF(OR(4キー同時!$B$84="",4キー同時!$G$84="",4キー同時!$L$84=""),"",IF(4キー同時!J86="","",SUBSTITUTE(SUBSTITUTE(4キー同時!J86," ",""),"　","")))</f>
        <v/>
      </c>
      <c r="H3286" s="2" t="str">
        <f aca="false">IF($G3286="","",4キー同時!$B$84)</f>
        <v/>
      </c>
      <c r="I3286" s="2" t="str">
        <f aca="false">IF($G3286="","",4キー同時!$G$84)</f>
        <v/>
      </c>
      <c r="J3286" s="2" t="str">
        <f aca="false">IF($G3286="","",4キー同時!$L$84)</f>
        <v/>
      </c>
      <c r="K3286" s="2" t="str">
        <f aca="false">IF($G3286="","","2")</f>
        <v/>
      </c>
      <c r="L3286" s="2" t="str">
        <f aca="false">IF($G3286="","","同時")</f>
        <v/>
      </c>
      <c r="M3286" s="2" t="str">
        <f aca="false">IF($G3286="","",IF(ISNA(MATCH($G3286,個別指定!$A:$A,0)),"行なし",""))</f>
        <v/>
      </c>
      <c r="N3286" s="2" t="str">
        <f aca="false">IF($G3286="","",IF(COUNTIF($G$2:$G$4460,$G3286)&gt;1,"重複",""))</f>
        <v/>
      </c>
    </row>
    <row r="3287" customFormat="false" ht="16.5" hidden="false" customHeight="true" outlineLevel="0" collapsed="false">
      <c r="A3287" s="2" t="s">
        <v>447</v>
      </c>
      <c r="B3287" s="2" t="s">
        <v>454</v>
      </c>
      <c r="C3287" s="2" t="s">
        <v>2</v>
      </c>
      <c r="D3287" s="2" t="str">
        <f aca="false">IF(4キー同時!$B$84="","",4キー同時!$B$84)</f>
        <v/>
      </c>
      <c r="E3287" s="2" t="str">
        <f aca="false">IF(4キー同時!$G$84="","",4キー同時!$G$84)</f>
        <v/>
      </c>
      <c r="F3287" s="2" t="str">
        <f aca="false">IF(4キー同時!$L$84="","",4キー同時!$L$84)</f>
        <v/>
      </c>
      <c r="G3287" s="2" t="str">
        <f aca="false">IF(OR(4キー同時!$B$84="",4キー同時!$G$84="",4キー同時!$L$84=""),"",IF(4キー同時!N86="","",SUBSTITUTE(SUBSTITUTE(4キー同時!N86," ",""),"　","")))</f>
        <v/>
      </c>
      <c r="H3287" s="2" t="str">
        <f aca="false">IF($G3287="","",4キー同時!$B$84)</f>
        <v/>
      </c>
      <c r="I3287" s="2" t="str">
        <f aca="false">IF($G3287="","",4キー同時!$G$84)</f>
        <v/>
      </c>
      <c r="J3287" s="2" t="str">
        <f aca="false">IF($G3287="","",4キー同時!$L$84)</f>
        <v/>
      </c>
      <c r="K3287" s="2" t="str">
        <f aca="false">IF($G3287="","","3")</f>
        <v/>
      </c>
      <c r="L3287" s="2" t="str">
        <f aca="false">IF($G3287="","","同時")</f>
        <v/>
      </c>
      <c r="M3287" s="2" t="str">
        <f aca="false">IF($G3287="","",IF(ISNA(MATCH($G3287,個別指定!$A:$A,0)),"行なし",""))</f>
        <v/>
      </c>
      <c r="N3287" s="2" t="str">
        <f aca="false">IF($G3287="","",IF(COUNTIF($G$2:$G$4460,$G3287)&gt;1,"重複",""))</f>
        <v/>
      </c>
    </row>
    <row r="3288" customFormat="false" ht="16.5" hidden="false" customHeight="true" outlineLevel="0" collapsed="false">
      <c r="A3288" s="2" t="s">
        <v>447</v>
      </c>
      <c r="B3288" s="2" t="s">
        <v>454</v>
      </c>
      <c r="C3288" s="2" t="s">
        <v>3</v>
      </c>
      <c r="D3288" s="2" t="str">
        <f aca="false">IF(4キー同時!$B$84="","",4キー同時!$B$84)</f>
        <v/>
      </c>
      <c r="E3288" s="2" t="str">
        <f aca="false">IF(4キー同時!$G$84="","",4キー同時!$G$84)</f>
        <v/>
      </c>
      <c r="F3288" s="2" t="str">
        <f aca="false">IF(4キー同時!$L$84="","",4キー同時!$L$84)</f>
        <v/>
      </c>
      <c r="G3288" s="2" t="str">
        <f aca="false">IF(OR(4キー同時!$B$84="",4キー同時!$G$84="",4キー同時!$L$84=""),"",IF(4キー同時!R86="","",SUBSTITUTE(SUBSTITUTE(4キー同時!R86," ",""),"　","")))</f>
        <v/>
      </c>
      <c r="H3288" s="2" t="str">
        <f aca="false">IF($G3288="","",4キー同時!$B$84)</f>
        <v/>
      </c>
      <c r="I3288" s="2" t="str">
        <f aca="false">IF($G3288="","",4キー同時!$G$84)</f>
        <v/>
      </c>
      <c r="J3288" s="2" t="str">
        <f aca="false">IF($G3288="","",4キー同時!$L$84)</f>
        <v/>
      </c>
      <c r="K3288" s="2" t="str">
        <f aca="false">IF($G3288="","","4")</f>
        <v/>
      </c>
      <c r="L3288" s="2" t="str">
        <f aca="false">IF($G3288="","","同時")</f>
        <v/>
      </c>
      <c r="M3288" s="2" t="str">
        <f aca="false">IF($G3288="","",IF(ISNA(MATCH($G3288,個別指定!$A:$A,0)),"行なし",""))</f>
        <v/>
      </c>
      <c r="N3288" s="2" t="str">
        <f aca="false">IF($G3288="","",IF(COUNTIF($G$2:$G$4460,$G3288)&gt;1,"重複",""))</f>
        <v/>
      </c>
    </row>
    <row r="3289" customFormat="false" ht="16.5" hidden="false" customHeight="true" outlineLevel="0" collapsed="false">
      <c r="A3289" s="2" t="s">
        <v>447</v>
      </c>
      <c r="B3289" s="2" t="s">
        <v>454</v>
      </c>
      <c r="C3289" s="2" t="s">
        <v>4</v>
      </c>
      <c r="D3289" s="2" t="str">
        <f aca="false">IF(4キー同時!$B$84="","",4キー同時!$B$84)</f>
        <v/>
      </c>
      <c r="E3289" s="2" t="str">
        <f aca="false">IF(4キー同時!$G$84="","",4キー同時!$G$84)</f>
        <v/>
      </c>
      <c r="F3289" s="2" t="str">
        <f aca="false">IF(4キー同時!$L$84="","",4キー同時!$L$84)</f>
        <v/>
      </c>
      <c r="G3289" s="2" t="str">
        <f aca="false">IF(OR(4キー同時!$B$84="",4キー同時!$G$84="",4キー同時!$L$84=""),"",IF(4キー同時!V86="","",SUBSTITUTE(SUBSTITUTE(4キー同時!V86," ",""),"　","")))</f>
        <v/>
      </c>
      <c r="H3289" s="2" t="str">
        <f aca="false">IF($G3289="","",4キー同時!$B$84)</f>
        <v/>
      </c>
      <c r="I3289" s="2" t="str">
        <f aca="false">IF($G3289="","",4キー同時!$G$84)</f>
        <v/>
      </c>
      <c r="J3289" s="2" t="str">
        <f aca="false">IF($G3289="","",4キー同時!$L$84)</f>
        <v/>
      </c>
      <c r="K3289" s="2" t="str">
        <f aca="false">IF($G3289="","","5")</f>
        <v/>
      </c>
      <c r="L3289" s="2" t="str">
        <f aca="false">IF($G3289="","","同時")</f>
        <v/>
      </c>
      <c r="M3289" s="2" t="str">
        <f aca="false">IF($G3289="","",IF(ISNA(MATCH($G3289,個別指定!$A:$A,0)),"行なし",""))</f>
        <v/>
      </c>
      <c r="N3289" s="2" t="str">
        <f aca="false">IF($G3289="","",IF(COUNTIF($G$2:$G$4460,$G3289)&gt;1,"重複",""))</f>
        <v/>
      </c>
    </row>
    <row r="3290" customFormat="false" ht="16.5" hidden="false" customHeight="true" outlineLevel="0" collapsed="false">
      <c r="A3290" s="2" t="s">
        <v>447</v>
      </c>
      <c r="B3290" s="2" t="s">
        <v>454</v>
      </c>
      <c r="C3290" s="2" t="s">
        <v>5</v>
      </c>
      <c r="D3290" s="2" t="str">
        <f aca="false">IF(4キー同時!$B$84="","",4キー同時!$B$84)</f>
        <v/>
      </c>
      <c r="E3290" s="2" t="str">
        <f aca="false">IF(4キー同時!$G$84="","",4キー同時!$G$84)</f>
        <v/>
      </c>
      <c r="F3290" s="2" t="str">
        <f aca="false">IF(4キー同時!$L$84="","",4キー同時!$L$84)</f>
        <v/>
      </c>
      <c r="G3290" s="2" t="str">
        <f aca="false">IF(OR(4キー同時!$B$84="",4キー同時!$G$84="",4キー同時!$L$84=""),"",IF(4キー同時!Z86="","",SUBSTITUTE(SUBSTITUTE(4キー同時!Z86," ",""),"　","")))</f>
        <v/>
      </c>
      <c r="H3290" s="2" t="str">
        <f aca="false">IF($G3290="","",4キー同時!$B$84)</f>
        <v/>
      </c>
      <c r="I3290" s="2" t="str">
        <f aca="false">IF($G3290="","",4キー同時!$G$84)</f>
        <v/>
      </c>
      <c r="J3290" s="2" t="str">
        <f aca="false">IF($G3290="","",4キー同時!$L$84)</f>
        <v/>
      </c>
      <c r="K3290" s="2" t="str">
        <f aca="false">IF($G3290="","","6")</f>
        <v/>
      </c>
      <c r="L3290" s="2" t="str">
        <f aca="false">IF($G3290="","","同時")</f>
        <v/>
      </c>
      <c r="M3290" s="2" t="str">
        <f aca="false">IF($G3290="","",IF(ISNA(MATCH($G3290,個別指定!$A:$A,0)),"行なし",""))</f>
        <v/>
      </c>
      <c r="N3290" s="2" t="str">
        <f aca="false">IF($G3290="","",IF(COUNTIF($G$2:$G$4460,$G3290)&gt;1,"重複",""))</f>
        <v/>
      </c>
    </row>
    <row r="3291" customFormat="false" ht="16.5" hidden="false" customHeight="true" outlineLevel="0" collapsed="false">
      <c r="A3291" s="2" t="s">
        <v>447</v>
      </c>
      <c r="B3291" s="2" t="s">
        <v>454</v>
      </c>
      <c r="C3291" s="2" t="s">
        <v>6</v>
      </c>
      <c r="D3291" s="2" t="str">
        <f aca="false">IF(4キー同時!$B$84="","",4キー同時!$B$84)</f>
        <v/>
      </c>
      <c r="E3291" s="2" t="str">
        <f aca="false">IF(4キー同時!$G$84="","",4キー同時!$G$84)</f>
        <v/>
      </c>
      <c r="F3291" s="2" t="str">
        <f aca="false">IF(4キー同時!$L$84="","",4キー同時!$L$84)</f>
        <v/>
      </c>
      <c r="G3291" s="2" t="str">
        <f aca="false">IF(OR(4キー同時!$B$84="",4キー同時!$G$84="",4キー同時!$L$84=""),"",IF(4キー同時!AD86="","",SUBSTITUTE(SUBSTITUTE(4キー同時!AD86," ",""),"　","")))</f>
        <v/>
      </c>
      <c r="H3291" s="2" t="str">
        <f aca="false">IF($G3291="","",4キー同時!$B$84)</f>
        <v/>
      </c>
      <c r="I3291" s="2" t="str">
        <f aca="false">IF($G3291="","",4キー同時!$G$84)</f>
        <v/>
      </c>
      <c r="J3291" s="2" t="str">
        <f aca="false">IF($G3291="","",4キー同時!$L$84)</f>
        <v/>
      </c>
      <c r="K3291" s="2" t="str">
        <f aca="false">IF($G3291="","","7")</f>
        <v/>
      </c>
      <c r="L3291" s="2" t="str">
        <f aca="false">IF($G3291="","","同時")</f>
        <v/>
      </c>
      <c r="M3291" s="2" t="str">
        <f aca="false">IF($G3291="","",IF(ISNA(MATCH($G3291,個別指定!$A:$A,0)),"行なし",""))</f>
        <v/>
      </c>
      <c r="N3291" s="2" t="str">
        <f aca="false">IF($G3291="","",IF(COUNTIF($G$2:$G$4460,$G3291)&gt;1,"重複",""))</f>
        <v/>
      </c>
    </row>
    <row r="3292" customFormat="false" ht="16.5" hidden="false" customHeight="true" outlineLevel="0" collapsed="false">
      <c r="A3292" s="2" t="s">
        <v>447</v>
      </c>
      <c r="B3292" s="2" t="s">
        <v>454</v>
      </c>
      <c r="C3292" s="2" t="s">
        <v>7</v>
      </c>
      <c r="D3292" s="2" t="str">
        <f aca="false">IF(4キー同時!$B$84="","",4キー同時!$B$84)</f>
        <v/>
      </c>
      <c r="E3292" s="2" t="str">
        <f aca="false">IF(4キー同時!$G$84="","",4キー同時!$G$84)</f>
        <v/>
      </c>
      <c r="F3292" s="2" t="str">
        <f aca="false">IF(4キー同時!$L$84="","",4キー同時!$L$84)</f>
        <v/>
      </c>
      <c r="G3292" s="2" t="str">
        <f aca="false">IF(OR(4キー同時!$B$84="",4キー同時!$G$84="",4キー同時!$L$84=""),"",IF(4キー同時!AH86="","",SUBSTITUTE(SUBSTITUTE(4キー同時!AH86," ",""),"　","")))</f>
        <v/>
      </c>
      <c r="H3292" s="2" t="str">
        <f aca="false">IF($G3292="","",4キー同時!$B$84)</f>
        <v/>
      </c>
      <c r="I3292" s="2" t="str">
        <f aca="false">IF($G3292="","",4キー同時!$G$84)</f>
        <v/>
      </c>
      <c r="J3292" s="2" t="str">
        <f aca="false">IF($G3292="","",4キー同時!$L$84)</f>
        <v/>
      </c>
      <c r="K3292" s="2" t="str">
        <f aca="false">IF($G3292="","","8")</f>
        <v/>
      </c>
      <c r="L3292" s="2" t="str">
        <f aca="false">IF($G3292="","","同時")</f>
        <v/>
      </c>
      <c r="M3292" s="2" t="str">
        <f aca="false">IF($G3292="","",IF(ISNA(MATCH($G3292,個別指定!$A:$A,0)),"行なし",""))</f>
        <v/>
      </c>
      <c r="N3292" s="2" t="str">
        <f aca="false">IF($G3292="","",IF(COUNTIF($G$2:$G$4460,$G3292)&gt;1,"重複",""))</f>
        <v/>
      </c>
    </row>
    <row r="3293" customFormat="false" ht="16.5" hidden="false" customHeight="true" outlineLevel="0" collapsed="false">
      <c r="A3293" s="2" t="s">
        <v>447</v>
      </c>
      <c r="B3293" s="2" t="s">
        <v>454</v>
      </c>
      <c r="C3293" s="2" t="s">
        <v>8</v>
      </c>
      <c r="D3293" s="2" t="str">
        <f aca="false">IF(4キー同時!$B$84="","",4キー同時!$B$84)</f>
        <v/>
      </c>
      <c r="E3293" s="2" t="str">
        <f aca="false">IF(4キー同時!$G$84="","",4キー同時!$G$84)</f>
        <v/>
      </c>
      <c r="F3293" s="2" t="str">
        <f aca="false">IF(4キー同時!$L$84="","",4キー同時!$L$84)</f>
        <v/>
      </c>
      <c r="G3293" s="2" t="str">
        <f aca="false">IF(OR(4キー同時!$B$84="",4キー同時!$G$84="",4キー同時!$L$84=""),"",IF(4キー同時!AL86="","",SUBSTITUTE(SUBSTITUTE(4キー同時!AL86," ",""),"　","")))</f>
        <v/>
      </c>
      <c r="H3293" s="2" t="str">
        <f aca="false">IF($G3293="","",4キー同時!$B$84)</f>
        <v/>
      </c>
      <c r="I3293" s="2" t="str">
        <f aca="false">IF($G3293="","",4キー同時!$G$84)</f>
        <v/>
      </c>
      <c r="J3293" s="2" t="str">
        <f aca="false">IF($G3293="","",4キー同時!$L$84)</f>
        <v/>
      </c>
      <c r="K3293" s="2" t="str">
        <f aca="false">IF($G3293="","","9")</f>
        <v/>
      </c>
      <c r="L3293" s="2" t="str">
        <f aca="false">IF($G3293="","","同時")</f>
        <v/>
      </c>
      <c r="M3293" s="2" t="str">
        <f aca="false">IF($G3293="","",IF(ISNA(MATCH($G3293,個別指定!$A:$A,0)),"行なし",""))</f>
        <v/>
      </c>
      <c r="N3293" s="2" t="str">
        <f aca="false">IF($G3293="","",IF(COUNTIF($G$2:$G$4460,$G3293)&gt;1,"重複",""))</f>
        <v/>
      </c>
    </row>
    <row r="3294" customFormat="false" ht="16.5" hidden="false" customHeight="true" outlineLevel="0" collapsed="false">
      <c r="A3294" s="2" t="s">
        <v>447</v>
      </c>
      <c r="B3294" s="2" t="s">
        <v>454</v>
      </c>
      <c r="C3294" s="2" t="s">
        <v>9</v>
      </c>
      <c r="D3294" s="2" t="str">
        <f aca="false">IF(4キー同時!$B$84="","",4キー同時!$B$84)</f>
        <v/>
      </c>
      <c r="E3294" s="2" t="str">
        <f aca="false">IF(4キー同時!$G$84="","",4キー同時!$G$84)</f>
        <v/>
      </c>
      <c r="F3294" s="2" t="str">
        <f aca="false">IF(4キー同時!$L$84="","",4キー同時!$L$84)</f>
        <v/>
      </c>
      <c r="G3294" s="2" t="str">
        <f aca="false">IF(OR(4キー同時!$B$84="",4キー同時!$G$84="",4キー同時!$L$84=""),"",IF(4キー同時!AP86="","",SUBSTITUTE(SUBSTITUTE(4キー同時!AP86," ",""),"　","")))</f>
        <v/>
      </c>
      <c r="H3294" s="2" t="str">
        <f aca="false">IF($G3294="","",4キー同時!$B$84)</f>
        <v/>
      </c>
      <c r="I3294" s="2" t="str">
        <f aca="false">IF($G3294="","",4キー同時!$G$84)</f>
        <v/>
      </c>
      <c r="J3294" s="2" t="str">
        <f aca="false">IF($G3294="","",4キー同時!$L$84)</f>
        <v/>
      </c>
      <c r="K3294" s="2" t="str">
        <f aca="false">IF($G3294="","","0")</f>
        <v/>
      </c>
      <c r="L3294" s="2" t="str">
        <f aca="false">IF($G3294="","","同時")</f>
        <v/>
      </c>
      <c r="M3294" s="2" t="str">
        <f aca="false">IF($G3294="","",IF(ISNA(MATCH($G3294,個別指定!$A:$A,0)),"行なし",""))</f>
        <v/>
      </c>
      <c r="N3294" s="2" t="str">
        <f aca="false">IF($G3294="","",IF(COUNTIF($G$2:$G$4460,$G3294)&gt;1,"重複",""))</f>
        <v/>
      </c>
    </row>
    <row r="3295" customFormat="false" ht="16.5" hidden="false" customHeight="true" outlineLevel="0" collapsed="false">
      <c r="A3295" s="2" t="s">
        <v>447</v>
      </c>
      <c r="B3295" s="2" t="s">
        <v>454</v>
      </c>
      <c r="C3295" s="2" t="s">
        <v>10</v>
      </c>
      <c r="D3295" s="2" t="str">
        <f aca="false">IF(4キー同時!$B$84="","",4キー同時!$B$84)</f>
        <v/>
      </c>
      <c r="E3295" s="2" t="str">
        <f aca="false">IF(4キー同時!$G$84="","",4キー同時!$G$84)</f>
        <v/>
      </c>
      <c r="F3295" s="2" t="str">
        <f aca="false">IF(4キー同時!$L$84="","",4キー同時!$L$84)</f>
        <v/>
      </c>
      <c r="G3295" s="2" t="str">
        <f aca="false">IF(OR(4キー同時!$B$84="",4キー同時!$G$84="",4キー同時!$L$84=""),"",IF(4キー同時!AT86="","",SUBSTITUTE(SUBSTITUTE(4キー同時!AT86," ",""),"　","")))</f>
        <v/>
      </c>
      <c r="H3295" s="2" t="str">
        <f aca="false">IF($G3295="","",4キー同時!$B$84)</f>
        <v/>
      </c>
      <c r="I3295" s="2" t="str">
        <f aca="false">IF($G3295="","",4キー同時!$G$84)</f>
        <v/>
      </c>
      <c r="J3295" s="2" t="str">
        <f aca="false">IF($G3295="","",4キー同時!$L$84)</f>
        <v/>
      </c>
      <c r="K3295" s="2" t="str">
        <f aca="false">IF($G3295="","","-")</f>
        <v/>
      </c>
      <c r="L3295" s="2" t="str">
        <f aca="false">IF($G3295="","","同時")</f>
        <v/>
      </c>
      <c r="M3295" s="2" t="str">
        <f aca="false">IF($G3295="","",IF(ISNA(MATCH($G3295,個別指定!$A:$A,0)),"行なし",""))</f>
        <v/>
      </c>
      <c r="N3295" s="2" t="str">
        <f aca="false">IF($G3295="","",IF(COUNTIF($G$2:$G$4460,$G3295)&gt;1,"重複",""))</f>
        <v/>
      </c>
    </row>
    <row r="3296" customFormat="false" ht="16.5" hidden="false" customHeight="true" outlineLevel="0" collapsed="false">
      <c r="A3296" s="2" t="s">
        <v>447</v>
      </c>
      <c r="B3296" s="2" t="s">
        <v>454</v>
      </c>
      <c r="C3296" s="2" t="s">
        <v>11</v>
      </c>
      <c r="D3296" s="2" t="str">
        <f aca="false">IF(4キー同時!$B$84="","",4キー同時!$B$84)</f>
        <v/>
      </c>
      <c r="E3296" s="2" t="str">
        <f aca="false">IF(4キー同時!$G$84="","",4キー同時!$G$84)</f>
        <v/>
      </c>
      <c r="F3296" s="2" t="str">
        <f aca="false">IF(4キー同時!$L$84="","",4キー同時!$L$84)</f>
        <v/>
      </c>
      <c r="G3296" s="2" t="str">
        <f aca="false">IF(OR(4キー同時!$B$84="",4キー同時!$G$84="",4キー同時!$L$84=""),"",IF(4キー同時!AX86="","",SUBSTITUTE(SUBSTITUTE(4キー同時!AX86," ",""),"　","")))</f>
        <v/>
      </c>
      <c r="H3296" s="2" t="str">
        <f aca="false">IF($G3296="","",4キー同時!$B$84)</f>
        <v/>
      </c>
      <c r="I3296" s="2" t="str">
        <f aca="false">IF($G3296="","",4キー同時!$G$84)</f>
        <v/>
      </c>
      <c r="J3296" s="2" t="str">
        <f aca="false">IF($G3296="","",4キー同時!$L$84)</f>
        <v/>
      </c>
      <c r="K3296" s="2" t="str">
        <f aca="false">IF($G3296="","","=")</f>
        <v/>
      </c>
      <c r="L3296" s="2" t="str">
        <f aca="false">IF($G3296="","","同時")</f>
        <v/>
      </c>
      <c r="M3296" s="2" t="str">
        <f aca="false">IF($G3296="","",IF(ISNA(MATCH($G3296,個別指定!$A:$A,0)),"行なし",""))</f>
        <v/>
      </c>
      <c r="N3296" s="2" t="str">
        <f aca="false">IF($G3296="","",IF(COUNTIF($G$2:$G$4460,$G3296)&gt;1,"重複",""))</f>
        <v/>
      </c>
    </row>
    <row r="3297" customFormat="false" ht="16.5" hidden="false" customHeight="true" outlineLevel="0" collapsed="false">
      <c r="A3297" s="2" t="s">
        <v>447</v>
      </c>
      <c r="B3297" s="2" t="s">
        <v>454</v>
      </c>
      <c r="C3297" s="2" t="s">
        <v>12</v>
      </c>
      <c r="D3297" s="2" t="str">
        <f aca="false">IF(4キー同時!$B$84="","",4キー同時!$B$84)</f>
        <v/>
      </c>
      <c r="E3297" s="2" t="str">
        <f aca="false">IF(4キー同時!$G$84="","",4キー同時!$G$84)</f>
        <v/>
      </c>
      <c r="F3297" s="2" t="str">
        <f aca="false">IF(4キー同時!$L$84="","",4キー同時!$L$84)</f>
        <v/>
      </c>
      <c r="G3297" s="2" t="str">
        <f aca="false">IF(OR(4キー同時!$B$84="",4キー同時!$G$84="",4キー同時!$L$84=""),"",IF(4キー同時!H88="","",SUBSTITUTE(SUBSTITUTE(4キー同時!H88," ",""),"　","")))</f>
        <v/>
      </c>
      <c r="H3297" s="2" t="str">
        <f aca="false">IF($G3297="","",4キー同時!$B$84)</f>
        <v/>
      </c>
      <c r="I3297" s="2" t="str">
        <f aca="false">IF($G3297="","",4キー同時!$G$84)</f>
        <v/>
      </c>
      <c r="J3297" s="2" t="str">
        <f aca="false">IF($G3297="","",4キー同時!$L$84)</f>
        <v/>
      </c>
      <c r="K3297" s="2" t="str">
        <f aca="false">IF($G3297="","","q")</f>
        <v/>
      </c>
      <c r="L3297" s="2" t="str">
        <f aca="false">IF($G3297="","","同時")</f>
        <v/>
      </c>
      <c r="M3297" s="2" t="str">
        <f aca="false">IF($G3297="","",IF(ISNA(MATCH($G3297,個別指定!$A:$A,0)),"行なし",""))</f>
        <v/>
      </c>
      <c r="N3297" s="2" t="str">
        <f aca="false">IF($G3297="","",IF(COUNTIF($G$2:$G$4460,$G3297)&gt;1,"重複",""))</f>
        <v/>
      </c>
    </row>
    <row r="3298" customFormat="false" ht="16.5" hidden="false" customHeight="true" outlineLevel="0" collapsed="false">
      <c r="A3298" s="2" t="s">
        <v>447</v>
      </c>
      <c r="B3298" s="2" t="s">
        <v>454</v>
      </c>
      <c r="C3298" s="2" t="s">
        <v>13</v>
      </c>
      <c r="D3298" s="2" t="str">
        <f aca="false">IF(4キー同時!$B$84="","",4キー同時!$B$84)</f>
        <v/>
      </c>
      <c r="E3298" s="2" t="str">
        <f aca="false">IF(4キー同時!$G$84="","",4キー同時!$G$84)</f>
        <v/>
      </c>
      <c r="F3298" s="2" t="str">
        <f aca="false">IF(4キー同時!$L$84="","",4キー同時!$L$84)</f>
        <v/>
      </c>
      <c r="G3298" s="2" t="str">
        <f aca="false">IF(OR(4キー同時!$B$84="",4キー同時!$G$84="",4キー同時!$L$84=""),"",IF(4キー同時!L88="","",SUBSTITUTE(SUBSTITUTE(4キー同時!L88," ",""),"　","")))</f>
        <v/>
      </c>
      <c r="H3298" s="2" t="str">
        <f aca="false">IF($G3298="","",4キー同時!$B$84)</f>
        <v/>
      </c>
      <c r="I3298" s="2" t="str">
        <f aca="false">IF($G3298="","",4キー同時!$G$84)</f>
        <v/>
      </c>
      <c r="J3298" s="2" t="str">
        <f aca="false">IF($G3298="","",4キー同時!$L$84)</f>
        <v/>
      </c>
      <c r="K3298" s="2" t="str">
        <f aca="false">IF($G3298="","","w")</f>
        <v/>
      </c>
      <c r="L3298" s="2" t="str">
        <f aca="false">IF($G3298="","","同時")</f>
        <v/>
      </c>
      <c r="M3298" s="2" t="str">
        <f aca="false">IF($G3298="","",IF(ISNA(MATCH($G3298,個別指定!$A:$A,0)),"行なし",""))</f>
        <v/>
      </c>
      <c r="N3298" s="2" t="str">
        <f aca="false">IF($G3298="","",IF(COUNTIF($G$2:$G$4460,$G3298)&gt;1,"重複",""))</f>
        <v/>
      </c>
    </row>
    <row r="3299" customFormat="false" ht="16.5" hidden="false" customHeight="true" outlineLevel="0" collapsed="false">
      <c r="A3299" s="2" t="s">
        <v>447</v>
      </c>
      <c r="B3299" s="2" t="s">
        <v>454</v>
      </c>
      <c r="C3299" s="2" t="s">
        <v>14</v>
      </c>
      <c r="D3299" s="2" t="str">
        <f aca="false">IF(4キー同時!$B$84="","",4キー同時!$B$84)</f>
        <v/>
      </c>
      <c r="E3299" s="2" t="str">
        <f aca="false">IF(4キー同時!$G$84="","",4キー同時!$G$84)</f>
        <v/>
      </c>
      <c r="F3299" s="2" t="str">
        <f aca="false">IF(4キー同時!$L$84="","",4キー同時!$L$84)</f>
        <v/>
      </c>
      <c r="G3299" s="2" t="str">
        <f aca="false">IF(OR(4キー同時!$B$84="",4キー同時!$G$84="",4キー同時!$L$84=""),"",IF(4キー同時!P88="","",SUBSTITUTE(SUBSTITUTE(4キー同時!P88," ",""),"　","")))</f>
        <v/>
      </c>
      <c r="H3299" s="2" t="str">
        <f aca="false">IF($G3299="","",4キー同時!$B$84)</f>
        <v/>
      </c>
      <c r="I3299" s="2" t="str">
        <f aca="false">IF($G3299="","",4キー同時!$G$84)</f>
        <v/>
      </c>
      <c r="J3299" s="2" t="str">
        <f aca="false">IF($G3299="","",4キー同時!$L$84)</f>
        <v/>
      </c>
      <c r="K3299" s="2" t="str">
        <f aca="false">IF($G3299="","","e")</f>
        <v/>
      </c>
      <c r="L3299" s="2" t="str">
        <f aca="false">IF($G3299="","","同時")</f>
        <v/>
      </c>
      <c r="M3299" s="2" t="str">
        <f aca="false">IF($G3299="","",IF(ISNA(MATCH($G3299,個別指定!$A:$A,0)),"行なし",""))</f>
        <v/>
      </c>
      <c r="N3299" s="2" t="str">
        <f aca="false">IF($G3299="","",IF(COUNTIF($G$2:$G$4460,$G3299)&gt;1,"重複",""))</f>
        <v/>
      </c>
    </row>
    <row r="3300" customFormat="false" ht="16.5" hidden="false" customHeight="true" outlineLevel="0" collapsed="false">
      <c r="A3300" s="2" t="s">
        <v>447</v>
      </c>
      <c r="B3300" s="2" t="s">
        <v>454</v>
      </c>
      <c r="C3300" s="2" t="s">
        <v>15</v>
      </c>
      <c r="D3300" s="2" t="str">
        <f aca="false">IF(4キー同時!$B$84="","",4キー同時!$B$84)</f>
        <v/>
      </c>
      <c r="E3300" s="2" t="str">
        <f aca="false">IF(4キー同時!$G$84="","",4キー同時!$G$84)</f>
        <v/>
      </c>
      <c r="F3300" s="2" t="str">
        <f aca="false">IF(4キー同時!$L$84="","",4キー同時!$L$84)</f>
        <v/>
      </c>
      <c r="G3300" s="2" t="str">
        <f aca="false">IF(OR(4キー同時!$B$84="",4キー同時!$G$84="",4キー同時!$L$84=""),"",IF(4キー同時!T88="","",SUBSTITUTE(SUBSTITUTE(4キー同時!T88," ",""),"　","")))</f>
        <v/>
      </c>
      <c r="H3300" s="2" t="str">
        <f aca="false">IF($G3300="","",4キー同時!$B$84)</f>
        <v/>
      </c>
      <c r="I3300" s="2" t="str">
        <f aca="false">IF($G3300="","",4キー同時!$G$84)</f>
        <v/>
      </c>
      <c r="J3300" s="2" t="str">
        <f aca="false">IF($G3300="","",4キー同時!$L$84)</f>
        <v/>
      </c>
      <c r="K3300" s="2" t="str">
        <f aca="false">IF($G3300="","","r")</f>
        <v/>
      </c>
      <c r="L3300" s="2" t="str">
        <f aca="false">IF($G3300="","","同時")</f>
        <v/>
      </c>
      <c r="M3300" s="2" t="str">
        <f aca="false">IF($G3300="","",IF(ISNA(MATCH($G3300,個別指定!$A:$A,0)),"行なし",""))</f>
        <v/>
      </c>
      <c r="N3300" s="2" t="str">
        <f aca="false">IF($G3300="","",IF(COUNTIF($G$2:$G$4460,$G3300)&gt;1,"重複",""))</f>
        <v/>
      </c>
    </row>
    <row r="3301" customFormat="false" ht="16.5" hidden="false" customHeight="true" outlineLevel="0" collapsed="false">
      <c r="A3301" s="2" t="s">
        <v>447</v>
      </c>
      <c r="B3301" s="2" t="s">
        <v>454</v>
      </c>
      <c r="C3301" s="2" t="s">
        <v>16</v>
      </c>
      <c r="D3301" s="2" t="str">
        <f aca="false">IF(4キー同時!$B$84="","",4キー同時!$B$84)</f>
        <v/>
      </c>
      <c r="E3301" s="2" t="str">
        <f aca="false">IF(4キー同時!$G$84="","",4キー同時!$G$84)</f>
        <v/>
      </c>
      <c r="F3301" s="2" t="str">
        <f aca="false">IF(4キー同時!$L$84="","",4キー同時!$L$84)</f>
        <v/>
      </c>
      <c r="G3301" s="2" t="str">
        <f aca="false">IF(OR(4キー同時!$B$84="",4キー同時!$G$84="",4キー同時!$L$84=""),"",IF(4キー同時!X88="","",SUBSTITUTE(SUBSTITUTE(4キー同時!X88," ",""),"　","")))</f>
        <v/>
      </c>
      <c r="H3301" s="2" t="str">
        <f aca="false">IF($G3301="","",4キー同時!$B$84)</f>
        <v/>
      </c>
      <c r="I3301" s="2" t="str">
        <f aca="false">IF($G3301="","",4キー同時!$G$84)</f>
        <v/>
      </c>
      <c r="J3301" s="2" t="str">
        <f aca="false">IF($G3301="","",4キー同時!$L$84)</f>
        <v/>
      </c>
      <c r="K3301" s="2" t="str">
        <f aca="false">IF($G3301="","","t")</f>
        <v/>
      </c>
      <c r="L3301" s="2" t="str">
        <f aca="false">IF($G3301="","","同時")</f>
        <v/>
      </c>
      <c r="M3301" s="2" t="str">
        <f aca="false">IF($G3301="","",IF(ISNA(MATCH($G3301,個別指定!$A:$A,0)),"行なし",""))</f>
        <v/>
      </c>
      <c r="N3301" s="2" t="str">
        <f aca="false">IF($G3301="","",IF(COUNTIF($G$2:$G$4460,$G3301)&gt;1,"重複",""))</f>
        <v/>
      </c>
    </row>
    <row r="3302" customFormat="false" ht="16.5" hidden="false" customHeight="true" outlineLevel="0" collapsed="false">
      <c r="A3302" s="2" t="s">
        <v>447</v>
      </c>
      <c r="B3302" s="2" t="s">
        <v>454</v>
      </c>
      <c r="C3302" s="2" t="s">
        <v>17</v>
      </c>
      <c r="D3302" s="2" t="str">
        <f aca="false">IF(4キー同時!$B$84="","",4キー同時!$B$84)</f>
        <v/>
      </c>
      <c r="E3302" s="2" t="str">
        <f aca="false">IF(4キー同時!$G$84="","",4キー同時!$G$84)</f>
        <v/>
      </c>
      <c r="F3302" s="2" t="str">
        <f aca="false">IF(4キー同時!$L$84="","",4キー同時!$L$84)</f>
        <v/>
      </c>
      <c r="G3302" s="2" t="str">
        <f aca="false">IF(OR(4キー同時!$B$84="",4キー同時!$G$84="",4キー同時!$L$84=""),"",IF(4キー同時!AB88="","",SUBSTITUTE(SUBSTITUTE(4キー同時!AB88," ",""),"　","")))</f>
        <v/>
      </c>
      <c r="H3302" s="2" t="str">
        <f aca="false">IF($G3302="","",4キー同時!$B$84)</f>
        <v/>
      </c>
      <c r="I3302" s="2" t="str">
        <f aca="false">IF($G3302="","",4キー同時!$G$84)</f>
        <v/>
      </c>
      <c r="J3302" s="2" t="str">
        <f aca="false">IF($G3302="","",4キー同時!$L$84)</f>
        <v/>
      </c>
      <c r="K3302" s="2" t="str">
        <f aca="false">IF($G3302="","","y")</f>
        <v/>
      </c>
      <c r="L3302" s="2" t="str">
        <f aca="false">IF($G3302="","","同時")</f>
        <v/>
      </c>
      <c r="M3302" s="2" t="str">
        <f aca="false">IF($G3302="","",IF(ISNA(MATCH($G3302,個別指定!$A:$A,0)),"行なし",""))</f>
        <v/>
      </c>
      <c r="N3302" s="2" t="str">
        <f aca="false">IF($G3302="","",IF(COUNTIF($G$2:$G$4460,$G3302)&gt;1,"重複",""))</f>
        <v/>
      </c>
    </row>
    <row r="3303" customFormat="false" ht="16.5" hidden="false" customHeight="true" outlineLevel="0" collapsed="false">
      <c r="A3303" s="2" t="s">
        <v>447</v>
      </c>
      <c r="B3303" s="2" t="s">
        <v>454</v>
      </c>
      <c r="C3303" s="2" t="s">
        <v>18</v>
      </c>
      <c r="D3303" s="2" t="str">
        <f aca="false">IF(4キー同時!$B$84="","",4キー同時!$B$84)</f>
        <v/>
      </c>
      <c r="E3303" s="2" t="str">
        <f aca="false">IF(4キー同時!$G$84="","",4キー同時!$G$84)</f>
        <v/>
      </c>
      <c r="F3303" s="2" t="str">
        <f aca="false">IF(4キー同時!$L$84="","",4キー同時!$L$84)</f>
        <v/>
      </c>
      <c r="G3303" s="2" t="str">
        <f aca="false">IF(OR(4キー同時!$B$84="",4キー同時!$G$84="",4キー同時!$L$84=""),"",IF(4キー同時!AF88="","",SUBSTITUTE(SUBSTITUTE(4キー同時!AF88," ",""),"　","")))</f>
        <v/>
      </c>
      <c r="H3303" s="2" t="str">
        <f aca="false">IF($G3303="","",4キー同時!$B$84)</f>
        <v/>
      </c>
      <c r="I3303" s="2" t="str">
        <f aca="false">IF($G3303="","",4キー同時!$G$84)</f>
        <v/>
      </c>
      <c r="J3303" s="2" t="str">
        <f aca="false">IF($G3303="","",4キー同時!$L$84)</f>
        <v/>
      </c>
      <c r="K3303" s="2" t="str">
        <f aca="false">IF($G3303="","","u")</f>
        <v/>
      </c>
      <c r="L3303" s="2" t="str">
        <f aca="false">IF($G3303="","","同時")</f>
        <v/>
      </c>
      <c r="M3303" s="2" t="str">
        <f aca="false">IF($G3303="","",IF(ISNA(MATCH($G3303,個別指定!$A:$A,0)),"行なし",""))</f>
        <v/>
      </c>
      <c r="N3303" s="2" t="str">
        <f aca="false">IF($G3303="","",IF(COUNTIF($G$2:$G$4460,$G3303)&gt;1,"重複",""))</f>
        <v/>
      </c>
    </row>
    <row r="3304" customFormat="false" ht="16.5" hidden="false" customHeight="true" outlineLevel="0" collapsed="false">
      <c r="A3304" s="2" t="s">
        <v>447</v>
      </c>
      <c r="B3304" s="2" t="s">
        <v>454</v>
      </c>
      <c r="C3304" s="2" t="s">
        <v>19</v>
      </c>
      <c r="D3304" s="2" t="str">
        <f aca="false">IF(4キー同時!$B$84="","",4キー同時!$B$84)</f>
        <v/>
      </c>
      <c r="E3304" s="2" t="str">
        <f aca="false">IF(4キー同時!$G$84="","",4キー同時!$G$84)</f>
        <v/>
      </c>
      <c r="F3304" s="2" t="str">
        <f aca="false">IF(4キー同時!$L$84="","",4キー同時!$L$84)</f>
        <v/>
      </c>
      <c r="G3304" s="2" t="str">
        <f aca="false">IF(OR(4キー同時!$B$84="",4キー同時!$G$84="",4キー同時!$L$84=""),"",IF(4キー同時!AJ88="","",SUBSTITUTE(SUBSTITUTE(4キー同時!AJ88," ",""),"　","")))</f>
        <v/>
      </c>
      <c r="H3304" s="2" t="str">
        <f aca="false">IF($G3304="","",4キー同時!$B$84)</f>
        <v/>
      </c>
      <c r="I3304" s="2" t="str">
        <f aca="false">IF($G3304="","",4キー同時!$G$84)</f>
        <v/>
      </c>
      <c r="J3304" s="2" t="str">
        <f aca="false">IF($G3304="","",4キー同時!$L$84)</f>
        <v/>
      </c>
      <c r="K3304" s="2" t="str">
        <f aca="false">IF($G3304="","","i")</f>
        <v/>
      </c>
      <c r="L3304" s="2" t="str">
        <f aca="false">IF($G3304="","","同時")</f>
        <v/>
      </c>
      <c r="M3304" s="2" t="str">
        <f aca="false">IF($G3304="","",IF(ISNA(MATCH($G3304,個別指定!$A:$A,0)),"行なし",""))</f>
        <v/>
      </c>
      <c r="N3304" s="2" t="str">
        <f aca="false">IF($G3304="","",IF(COUNTIF($G$2:$G$4460,$G3304)&gt;1,"重複",""))</f>
        <v/>
      </c>
    </row>
    <row r="3305" customFormat="false" ht="16.5" hidden="false" customHeight="true" outlineLevel="0" collapsed="false">
      <c r="A3305" s="2" t="s">
        <v>447</v>
      </c>
      <c r="B3305" s="2" t="s">
        <v>454</v>
      </c>
      <c r="C3305" s="2" t="s">
        <v>20</v>
      </c>
      <c r="D3305" s="2" t="str">
        <f aca="false">IF(4キー同時!$B$84="","",4キー同時!$B$84)</f>
        <v/>
      </c>
      <c r="E3305" s="2" t="str">
        <f aca="false">IF(4キー同時!$G$84="","",4キー同時!$G$84)</f>
        <v/>
      </c>
      <c r="F3305" s="2" t="str">
        <f aca="false">IF(4キー同時!$L$84="","",4キー同時!$L$84)</f>
        <v/>
      </c>
      <c r="G3305" s="2" t="str">
        <f aca="false">IF(OR(4キー同時!$B$84="",4キー同時!$G$84="",4キー同時!$L$84=""),"",IF(4キー同時!AN88="","",SUBSTITUTE(SUBSTITUTE(4キー同時!AN88," ",""),"　","")))</f>
        <v/>
      </c>
      <c r="H3305" s="2" t="str">
        <f aca="false">IF($G3305="","",4キー同時!$B$84)</f>
        <v/>
      </c>
      <c r="I3305" s="2" t="str">
        <f aca="false">IF($G3305="","",4キー同時!$G$84)</f>
        <v/>
      </c>
      <c r="J3305" s="2" t="str">
        <f aca="false">IF($G3305="","",4キー同時!$L$84)</f>
        <v/>
      </c>
      <c r="K3305" s="2" t="str">
        <f aca="false">IF($G3305="","","o")</f>
        <v/>
      </c>
      <c r="L3305" s="2" t="str">
        <f aca="false">IF($G3305="","","同時")</f>
        <v/>
      </c>
      <c r="M3305" s="2" t="str">
        <f aca="false">IF($G3305="","",IF(ISNA(MATCH($G3305,個別指定!$A:$A,0)),"行なし",""))</f>
        <v/>
      </c>
      <c r="N3305" s="2" t="str">
        <f aca="false">IF($G3305="","",IF(COUNTIF($G$2:$G$4460,$G3305)&gt;1,"重複",""))</f>
        <v/>
      </c>
    </row>
    <row r="3306" customFormat="false" ht="16.5" hidden="false" customHeight="true" outlineLevel="0" collapsed="false">
      <c r="A3306" s="2" t="s">
        <v>447</v>
      </c>
      <c r="B3306" s="2" t="s">
        <v>454</v>
      </c>
      <c r="C3306" s="2" t="s">
        <v>21</v>
      </c>
      <c r="D3306" s="2" t="str">
        <f aca="false">IF(4キー同時!$B$84="","",4キー同時!$B$84)</f>
        <v/>
      </c>
      <c r="E3306" s="2" t="str">
        <f aca="false">IF(4キー同時!$G$84="","",4キー同時!$G$84)</f>
        <v/>
      </c>
      <c r="F3306" s="2" t="str">
        <f aca="false">IF(4キー同時!$L$84="","",4キー同時!$L$84)</f>
        <v/>
      </c>
      <c r="G3306" s="2" t="str">
        <f aca="false">IF(OR(4キー同時!$B$84="",4キー同時!$G$84="",4キー同時!$L$84=""),"",IF(4キー同時!AR88="","",SUBSTITUTE(SUBSTITUTE(4キー同時!AR88," ",""),"　","")))</f>
        <v/>
      </c>
      <c r="H3306" s="2" t="str">
        <f aca="false">IF($G3306="","",4キー同時!$B$84)</f>
        <v/>
      </c>
      <c r="I3306" s="2" t="str">
        <f aca="false">IF($G3306="","",4キー同時!$G$84)</f>
        <v/>
      </c>
      <c r="J3306" s="2" t="str">
        <f aca="false">IF($G3306="","",4キー同時!$L$84)</f>
        <v/>
      </c>
      <c r="K3306" s="2" t="str">
        <f aca="false">IF($G3306="","","p")</f>
        <v/>
      </c>
      <c r="L3306" s="2" t="str">
        <f aca="false">IF($G3306="","","同時")</f>
        <v/>
      </c>
      <c r="M3306" s="2" t="str">
        <f aca="false">IF($G3306="","",IF(ISNA(MATCH($G3306,個別指定!$A:$A,0)),"行なし",""))</f>
        <v/>
      </c>
      <c r="N3306" s="2" t="str">
        <f aca="false">IF($G3306="","",IF(COUNTIF($G$2:$G$4460,$G3306)&gt;1,"重複",""))</f>
        <v/>
      </c>
    </row>
    <row r="3307" customFormat="false" ht="16.5" hidden="false" customHeight="true" outlineLevel="0" collapsed="false">
      <c r="A3307" s="2" t="s">
        <v>447</v>
      </c>
      <c r="B3307" s="2" t="s">
        <v>454</v>
      </c>
      <c r="C3307" s="2" t="s">
        <v>22</v>
      </c>
      <c r="D3307" s="2" t="str">
        <f aca="false">IF(4キー同時!$B$84="","",4キー同時!$B$84)</f>
        <v/>
      </c>
      <c r="E3307" s="2" t="str">
        <f aca="false">IF(4キー同時!$G$84="","",4キー同時!$G$84)</f>
        <v/>
      </c>
      <c r="F3307" s="2" t="str">
        <f aca="false">IF(4キー同時!$L$84="","",4キー同時!$L$84)</f>
        <v/>
      </c>
      <c r="G3307" s="2" t="str">
        <f aca="false">IF(OR(4キー同時!$B$84="",4キー同時!$G$84="",4キー同時!$L$84=""),"",IF(4キー同時!AV88="","",SUBSTITUTE(SUBSTITUTE(4キー同時!AV88," ",""),"　","")))</f>
        <v/>
      </c>
      <c r="H3307" s="2" t="str">
        <f aca="false">IF($G3307="","",4キー同時!$B$84)</f>
        <v/>
      </c>
      <c r="I3307" s="2" t="str">
        <f aca="false">IF($G3307="","",4キー同時!$G$84)</f>
        <v/>
      </c>
      <c r="J3307" s="2" t="str">
        <f aca="false">IF($G3307="","",4キー同時!$L$84)</f>
        <v/>
      </c>
      <c r="K3307" s="2" t="str">
        <f aca="false">IF($G3307="","","[")</f>
        <v/>
      </c>
      <c r="L3307" s="2" t="str">
        <f aca="false">IF($G3307="","","同時")</f>
        <v/>
      </c>
      <c r="M3307" s="2" t="str">
        <f aca="false">IF($G3307="","",IF(ISNA(MATCH($G3307,個別指定!$A:$A,0)),"行なし",""))</f>
        <v/>
      </c>
      <c r="N3307" s="2" t="str">
        <f aca="false">IF($G3307="","",IF(COUNTIF($G$2:$G$4460,$G3307)&gt;1,"重複",""))</f>
        <v/>
      </c>
    </row>
    <row r="3308" customFormat="false" ht="16.5" hidden="false" customHeight="true" outlineLevel="0" collapsed="false">
      <c r="A3308" s="2" t="s">
        <v>447</v>
      </c>
      <c r="B3308" s="2" t="s">
        <v>454</v>
      </c>
      <c r="C3308" s="2" t="s">
        <v>23</v>
      </c>
      <c r="D3308" s="2" t="str">
        <f aca="false">IF(4キー同時!$B$84="","",4キー同時!$B$84)</f>
        <v/>
      </c>
      <c r="E3308" s="2" t="str">
        <f aca="false">IF(4キー同時!$G$84="","",4キー同時!$G$84)</f>
        <v/>
      </c>
      <c r="F3308" s="2" t="str">
        <f aca="false">IF(4キー同時!$L$84="","",4キー同時!$L$84)</f>
        <v/>
      </c>
      <c r="G3308" s="2" t="str">
        <f aca="false">IF(OR(4キー同時!$B$84="",4キー同時!$G$84="",4キー同時!$L$84=""),"",IF(4キー同時!AZ88="","",SUBSTITUTE(SUBSTITUTE(4キー同時!AZ88," ",""),"　","")))</f>
        <v/>
      </c>
      <c r="H3308" s="2" t="str">
        <f aca="false">IF($G3308="","",4キー同時!$B$84)</f>
        <v/>
      </c>
      <c r="I3308" s="2" t="str">
        <f aca="false">IF($G3308="","",4キー同時!$G$84)</f>
        <v/>
      </c>
      <c r="J3308" s="2" t="str">
        <f aca="false">IF($G3308="","",4キー同時!$L$84)</f>
        <v/>
      </c>
      <c r="K3308" s="2" t="str">
        <f aca="false">IF($G3308="","","]")</f>
        <v/>
      </c>
      <c r="L3308" s="2" t="str">
        <f aca="false">IF($G3308="","","同時")</f>
        <v/>
      </c>
      <c r="M3308" s="2" t="str">
        <f aca="false">IF($G3308="","",IF(ISNA(MATCH($G3308,個別指定!$A:$A,0)),"行なし",""))</f>
        <v/>
      </c>
      <c r="N3308" s="2" t="str">
        <f aca="false">IF($G3308="","",IF(COUNTIF($G$2:$G$4460,$G3308)&gt;1,"重複",""))</f>
        <v/>
      </c>
    </row>
    <row r="3309" customFormat="false" ht="16.5" hidden="false" customHeight="true" outlineLevel="0" collapsed="false">
      <c r="A3309" s="2" t="s">
        <v>447</v>
      </c>
      <c r="B3309" s="2" t="s">
        <v>454</v>
      </c>
      <c r="C3309" s="2" t="s">
        <v>24</v>
      </c>
      <c r="D3309" s="2" t="str">
        <f aca="false">IF(4キー同時!$B$84="","",4キー同時!$B$84)</f>
        <v/>
      </c>
      <c r="E3309" s="2" t="str">
        <f aca="false">IF(4キー同時!$G$84="","",4キー同時!$G$84)</f>
        <v/>
      </c>
      <c r="F3309" s="2" t="str">
        <f aca="false">IF(4キー同時!$L$84="","",4キー同時!$L$84)</f>
        <v/>
      </c>
      <c r="G3309" s="2" t="str">
        <f aca="false">IF(OR(4キー同時!$B$84="",4キー同時!$G$84="",4キー同時!$L$84=""),"",IF(4キー同時!I90="","",SUBSTITUTE(SUBSTITUTE(4キー同時!I90," ",""),"　","")))</f>
        <v/>
      </c>
      <c r="H3309" s="2" t="str">
        <f aca="false">IF($G3309="","",4キー同時!$B$84)</f>
        <v/>
      </c>
      <c r="I3309" s="2" t="str">
        <f aca="false">IF($G3309="","",4キー同時!$G$84)</f>
        <v/>
      </c>
      <c r="J3309" s="2" t="str">
        <f aca="false">IF($G3309="","",4キー同時!$L$84)</f>
        <v/>
      </c>
      <c r="K3309" s="2" t="str">
        <f aca="false">IF($G3309="","","a")</f>
        <v/>
      </c>
      <c r="L3309" s="2" t="str">
        <f aca="false">IF($G3309="","","同時")</f>
        <v/>
      </c>
      <c r="M3309" s="2" t="str">
        <f aca="false">IF($G3309="","",IF(ISNA(MATCH($G3309,個別指定!$A:$A,0)),"行なし",""))</f>
        <v/>
      </c>
      <c r="N3309" s="2" t="str">
        <f aca="false">IF($G3309="","",IF(COUNTIF($G$2:$G$4460,$G3309)&gt;1,"重複",""))</f>
        <v/>
      </c>
    </row>
    <row r="3310" customFormat="false" ht="16.5" hidden="false" customHeight="true" outlineLevel="0" collapsed="false">
      <c r="A3310" s="2" t="s">
        <v>447</v>
      </c>
      <c r="B3310" s="2" t="s">
        <v>454</v>
      </c>
      <c r="C3310" s="2" t="s">
        <v>25</v>
      </c>
      <c r="D3310" s="2" t="str">
        <f aca="false">IF(4キー同時!$B$84="","",4キー同時!$B$84)</f>
        <v/>
      </c>
      <c r="E3310" s="2" t="str">
        <f aca="false">IF(4キー同時!$G$84="","",4キー同時!$G$84)</f>
        <v/>
      </c>
      <c r="F3310" s="2" t="str">
        <f aca="false">IF(4キー同時!$L$84="","",4キー同時!$L$84)</f>
        <v/>
      </c>
      <c r="G3310" s="2" t="str">
        <f aca="false">IF(OR(4キー同時!$B$84="",4キー同時!$G$84="",4キー同時!$L$84=""),"",IF(4キー同時!M90="","",SUBSTITUTE(SUBSTITUTE(4キー同時!M90," ",""),"　","")))</f>
        <v/>
      </c>
      <c r="H3310" s="2" t="str">
        <f aca="false">IF($G3310="","",4キー同時!$B$84)</f>
        <v/>
      </c>
      <c r="I3310" s="2" t="str">
        <f aca="false">IF($G3310="","",4キー同時!$G$84)</f>
        <v/>
      </c>
      <c r="J3310" s="2" t="str">
        <f aca="false">IF($G3310="","",4キー同時!$L$84)</f>
        <v/>
      </c>
      <c r="K3310" s="2" t="str">
        <f aca="false">IF($G3310="","","s")</f>
        <v/>
      </c>
      <c r="L3310" s="2" t="str">
        <f aca="false">IF($G3310="","","同時")</f>
        <v/>
      </c>
      <c r="M3310" s="2" t="str">
        <f aca="false">IF($G3310="","",IF(ISNA(MATCH($G3310,個別指定!$A:$A,0)),"行なし",""))</f>
        <v/>
      </c>
      <c r="N3310" s="2" t="str">
        <f aca="false">IF($G3310="","",IF(COUNTIF($G$2:$G$4460,$G3310)&gt;1,"重複",""))</f>
        <v/>
      </c>
    </row>
    <row r="3311" customFormat="false" ht="16.5" hidden="false" customHeight="true" outlineLevel="0" collapsed="false">
      <c r="A3311" s="2" t="s">
        <v>447</v>
      </c>
      <c r="B3311" s="2" t="s">
        <v>454</v>
      </c>
      <c r="C3311" s="2" t="s">
        <v>26</v>
      </c>
      <c r="D3311" s="2" t="str">
        <f aca="false">IF(4キー同時!$B$84="","",4キー同時!$B$84)</f>
        <v/>
      </c>
      <c r="E3311" s="2" t="str">
        <f aca="false">IF(4キー同時!$G$84="","",4キー同時!$G$84)</f>
        <v/>
      </c>
      <c r="F3311" s="2" t="str">
        <f aca="false">IF(4キー同時!$L$84="","",4キー同時!$L$84)</f>
        <v/>
      </c>
      <c r="G3311" s="2" t="str">
        <f aca="false">IF(OR(4キー同時!$B$84="",4キー同時!$G$84="",4キー同時!$L$84=""),"",IF(4キー同時!Q90="","",SUBSTITUTE(SUBSTITUTE(4キー同時!Q90," ",""),"　","")))</f>
        <v/>
      </c>
      <c r="H3311" s="2" t="str">
        <f aca="false">IF($G3311="","",4キー同時!$B$84)</f>
        <v/>
      </c>
      <c r="I3311" s="2" t="str">
        <f aca="false">IF($G3311="","",4キー同時!$G$84)</f>
        <v/>
      </c>
      <c r="J3311" s="2" t="str">
        <f aca="false">IF($G3311="","",4キー同時!$L$84)</f>
        <v/>
      </c>
      <c r="K3311" s="2" t="str">
        <f aca="false">IF($G3311="","","d")</f>
        <v/>
      </c>
      <c r="L3311" s="2" t="str">
        <f aca="false">IF($G3311="","","同時")</f>
        <v/>
      </c>
      <c r="M3311" s="2" t="str">
        <f aca="false">IF($G3311="","",IF(ISNA(MATCH($G3311,個別指定!$A:$A,0)),"行なし",""))</f>
        <v/>
      </c>
      <c r="N3311" s="2" t="str">
        <f aca="false">IF($G3311="","",IF(COUNTIF($G$2:$G$4460,$G3311)&gt;1,"重複",""))</f>
        <v/>
      </c>
    </row>
    <row r="3312" customFormat="false" ht="16.5" hidden="false" customHeight="true" outlineLevel="0" collapsed="false">
      <c r="A3312" s="2" t="s">
        <v>447</v>
      </c>
      <c r="B3312" s="2" t="s">
        <v>454</v>
      </c>
      <c r="C3312" s="2" t="s">
        <v>27</v>
      </c>
      <c r="D3312" s="2" t="str">
        <f aca="false">IF(4キー同時!$B$84="","",4キー同時!$B$84)</f>
        <v/>
      </c>
      <c r="E3312" s="2" t="str">
        <f aca="false">IF(4キー同時!$G$84="","",4キー同時!$G$84)</f>
        <v/>
      </c>
      <c r="F3312" s="2" t="str">
        <f aca="false">IF(4キー同時!$L$84="","",4キー同時!$L$84)</f>
        <v/>
      </c>
      <c r="G3312" s="2" t="str">
        <f aca="false">IF(OR(4キー同時!$B$84="",4キー同時!$G$84="",4キー同時!$L$84=""),"",IF(4キー同時!U90="","",SUBSTITUTE(SUBSTITUTE(4キー同時!U90," ",""),"　","")))</f>
        <v/>
      </c>
      <c r="H3312" s="2" t="str">
        <f aca="false">IF($G3312="","",4キー同時!$B$84)</f>
        <v/>
      </c>
      <c r="I3312" s="2" t="str">
        <f aca="false">IF($G3312="","",4キー同時!$G$84)</f>
        <v/>
      </c>
      <c r="J3312" s="2" t="str">
        <f aca="false">IF($G3312="","",4キー同時!$L$84)</f>
        <v/>
      </c>
      <c r="K3312" s="2" t="str">
        <f aca="false">IF($G3312="","","f")</f>
        <v/>
      </c>
      <c r="L3312" s="2" t="str">
        <f aca="false">IF($G3312="","","同時")</f>
        <v/>
      </c>
      <c r="M3312" s="2" t="str">
        <f aca="false">IF($G3312="","",IF(ISNA(MATCH($G3312,個別指定!$A:$A,0)),"行なし",""))</f>
        <v/>
      </c>
      <c r="N3312" s="2" t="str">
        <f aca="false">IF($G3312="","",IF(COUNTIF($G$2:$G$4460,$G3312)&gt;1,"重複",""))</f>
        <v/>
      </c>
    </row>
    <row r="3313" customFormat="false" ht="16.5" hidden="false" customHeight="true" outlineLevel="0" collapsed="false">
      <c r="A3313" s="2" t="s">
        <v>447</v>
      </c>
      <c r="B3313" s="2" t="s">
        <v>454</v>
      </c>
      <c r="C3313" s="2" t="s">
        <v>28</v>
      </c>
      <c r="D3313" s="2" t="str">
        <f aca="false">IF(4キー同時!$B$84="","",4キー同時!$B$84)</f>
        <v/>
      </c>
      <c r="E3313" s="2" t="str">
        <f aca="false">IF(4キー同時!$G$84="","",4キー同時!$G$84)</f>
        <v/>
      </c>
      <c r="F3313" s="2" t="str">
        <f aca="false">IF(4キー同時!$L$84="","",4キー同時!$L$84)</f>
        <v/>
      </c>
      <c r="G3313" s="2" t="str">
        <f aca="false">IF(OR(4キー同時!$B$84="",4キー同時!$G$84="",4キー同時!$L$84=""),"",IF(4キー同時!Y90="","",SUBSTITUTE(SUBSTITUTE(4キー同時!Y90," ",""),"　","")))</f>
        <v/>
      </c>
      <c r="H3313" s="2" t="str">
        <f aca="false">IF($G3313="","",4キー同時!$B$84)</f>
        <v/>
      </c>
      <c r="I3313" s="2" t="str">
        <f aca="false">IF($G3313="","",4キー同時!$G$84)</f>
        <v/>
      </c>
      <c r="J3313" s="2" t="str">
        <f aca="false">IF($G3313="","",4キー同時!$L$84)</f>
        <v/>
      </c>
      <c r="K3313" s="2" t="str">
        <f aca="false">IF($G3313="","","g")</f>
        <v/>
      </c>
      <c r="L3313" s="2" t="str">
        <f aca="false">IF($G3313="","","同時")</f>
        <v/>
      </c>
      <c r="M3313" s="2" t="str">
        <f aca="false">IF($G3313="","",IF(ISNA(MATCH($G3313,個別指定!$A:$A,0)),"行なし",""))</f>
        <v/>
      </c>
      <c r="N3313" s="2" t="str">
        <f aca="false">IF($G3313="","",IF(COUNTIF($G$2:$G$4460,$G3313)&gt;1,"重複",""))</f>
        <v/>
      </c>
    </row>
    <row r="3314" customFormat="false" ht="16.5" hidden="false" customHeight="true" outlineLevel="0" collapsed="false">
      <c r="A3314" s="2" t="s">
        <v>447</v>
      </c>
      <c r="B3314" s="2" t="s">
        <v>454</v>
      </c>
      <c r="C3314" s="2" t="s">
        <v>29</v>
      </c>
      <c r="D3314" s="2" t="str">
        <f aca="false">IF(4キー同時!$B$84="","",4キー同時!$B$84)</f>
        <v/>
      </c>
      <c r="E3314" s="2" t="str">
        <f aca="false">IF(4キー同時!$G$84="","",4キー同時!$G$84)</f>
        <v/>
      </c>
      <c r="F3314" s="2" t="str">
        <f aca="false">IF(4キー同時!$L$84="","",4キー同時!$L$84)</f>
        <v/>
      </c>
      <c r="G3314" s="2" t="str">
        <f aca="false">IF(OR(4キー同時!$B$84="",4キー同時!$G$84="",4キー同時!$L$84=""),"",IF(4キー同時!AC90="","",SUBSTITUTE(SUBSTITUTE(4キー同時!AC90," ",""),"　","")))</f>
        <v/>
      </c>
      <c r="H3314" s="2" t="str">
        <f aca="false">IF($G3314="","",4キー同時!$B$84)</f>
        <v/>
      </c>
      <c r="I3314" s="2" t="str">
        <f aca="false">IF($G3314="","",4キー同時!$G$84)</f>
        <v/>
      </c>
      <c r="J3314" s="2" t="str">
        <f aca="false">IF($G3314="","",4キー同時!$L$84)</f>
        <v/>
      </c>
      <c r="K3314" s="2" t="str">
        <f aca="false">IF($G3314="","","h")</f>
        <v/>
      </c>
      <c r="L3314" s="2" t="str">
        <f aca="false">IF($G3314="","","同時")</f>
        <v/>
      </c>
      <c r="M3314" s="2" t="str">
        <f aca="false">IF($G3314="","",IF(ISNA(MATCH($G3314,個別指定!$A:$A,0)),"行なし",""))</f>
        <v/>
      </c>
      <c r="N3314" s="2" t="str">
        <f aca="false">IF($G3314="","",IF(COUNTIF($G$2:$G$4460,$G3314)&gt;1,"重複",""))</f>
        <v/>
      </c>
    </row>
    <row r="3315" customFormat="false" ht="16.5" hidden="false" customHeight="true" outlineLevel="0" collapsed="false">
      <c r="A3315" s="2" t="s">
        <v>447</v>
      </c>
      <c r="B3315" s="2" t="s">
        <v>454</v>
      </c>
      <c r="C3315" s="2" t="s">
        <v>30</v>
      </c>
      <c r="D3315" s="2" t="str">
        <f aca="false">IF(4キー同時!$B$84="","",4キー同時!$B$84)</f>
        <v/>
      </c>
      <c r="E3315" s="2" t="str">
        <f aca="false">IF(4キー同時!$G$84="","",4キー同時!$G$84)</f>
        <v/>
      </c>
      <c r="F3315" s="2" t="str">
        <f aca="false">IF(4キー同時!$L$84="","",4キー同時!$L$84)</f>
        <v/>
      </c>
      <c r="G3315" s="2" t="str">
        <f aca="false">IF(OR(4キー同時!$B$84="",4キー同時!$G$84="",4キー同時!$L$84=""),"",IF(4キー同時!AG90="","",SUBSTITUTE(SUBSTITUTE(4キー同時!AG90," ",""),"　","")))</f>
        <v/>
      </c>
      <c r="H3315" s="2" t="str">
        <f aca="false">IF($G3315="","",4キー同時!$B$84)</f>
        <v/>
      </c>
      <c r="I3315" s="2" t="str">
        <f aca="false">IF($G3315="","",4キー同時!$G$84)</f>
        <v/>
      </c>
      <c r="J3315" s="2" t="str">
        <f aca="false">IF($G3315="","",4キー同時!$L$84)</f>
        <v/>
      </c>
      <c r="K3315" s="2" t="str">
        <f aca="false">IF($G3315="","","j")</f>
        <v/>
      </c>
      <c r="L3315" s="2" t="str">
        <f aca="false">IF($G3315="","","同時")</f>
        <v/>
      </c>
      <c r="M3315" s="2" t="str">
        <f aca="false">IF($G3315="","",IF(ISNA(MATCH($G3315,個別指定!$A:$A,0)),"行なし",""))</f>
        <v/>
      </c>
      <c r="N3315" s="2" t="str">
        <f aca="false">IF($G3315="","",IF(COUNTIF($G$2:$G$4460,$G3315)&gt;1,"重複",""))</f>
        <v/>
      </c>
    </row>
    <row r="3316" customFormat="false" ht="16.5" hidden="false" customHeight="true" outlineLevel="0" collapsed="false">
      <c r="A3316" s="2" t="s">
        <v>447</v>
      </c>
      <c r="B3316" s="2" t="s">
        <v>454</v>
      </c>
      <c r="C3316" s="2" t="s">
        <v>31</v>
      </c>
      <c r="D3316" s="2" t="str">
        <f aca="false">IF(4キー同時!$B$84="","",4キー同時!$B$84)</f>
        <v/>
      </c>
      <c r="E3316" s="2" t="str">
        <f aca="false">IF(4キー同時!$G$84="","",4キー同時!$G$84)</f>
        <v/>
      </c>
      <c r="F3316" s="2" t="str">
        <f aca="false">IF(4キー同時!$L$84="","",4キー同時!$L$84)</f>
        <v/>
      </c>
      <c r="G3316" s="2" t="str">
        <f aca="false">IF(OR(4キー同時!$B$84="",4キー同時!$G$84="",4キー同時!$L$84=""),"",IF(4キー同時!AK90="","",SUBSTITUTE(SUBSTITUTE(4キー同時!AK90," ",""),"　","")))</f>
        <v/>
      </c>
      <c r="H3316" s="2" t="str">
        <f aca="false">IF($G3316="","",4キー同時!$B$84)</f>
        <v/>
      </c>
      <c r="I3316" s="2" t="str">
        <f aca="false">IF($G3316="","",4キー同時!$G$84)</f>
        <v/>
      </c>
      <c r="J3316" s="2" t="str">
        <f aca="false">IF($G3316="","",4キー同時!$L$84)</f>
        <v/>
      </c>
      <c r="K3316" s="2" t="str">
        <f aca="false">IF($G3316="","","k")</f>
        <v/>
      </c>
      <c r="L3316" s="2" t="str">
        <f aca="false">IF($G3316="","","同時")</f>
        <v/>
      </c>
      <c r="M3316" s="2" t="str">
        <f aca="false">IF($G3316="","",IF(ISNA(MATCH($G3316,個別指定!$A:$A,0)),"行なし",""))</f>
        <v/>
      </c>
      <c r="N3316" s="2" t="str">
        <f aca="false">IF($G3316="","",IF(COUNTIF($G$2:$G$4460,$G3316)&gt;1,"重複",""))</f>
        <v/>
      </c>
    </row>
    <row r="3317" customFormat="false" ht="16.5" hidden="false" customHeight="true" outlineLevel="0" collapsed="false">
      <c r="A3317" s="2" t="s">
        <v>447</v>
      </c>
      <c r="B3317" s="2" t="s">
        <v>454</v>
      </c>
      <c r="C3317" s="2" t="s">
        <v>32</v>
      </c>
      <c r="D3317" s="2" t="str">
        <f aca="false">IF(4キー同時!$B$84="","",4キー同時!$B$84)</f>
        <v/>
      </c>
      <c r="E3317" s="2" t="str">
        <f aca="false">IF(4キー同時!$G$84="","",4キー同時!$G$84)</f>
        <v/>
      </c>
      <c r="F3317" s="2" t="str">
        <f aca="false">IF(4キー同時!$L$84="","",4キー同時!$L$84)</f>
        <v/>
      </c>
      <c r="G3317" s="2" t="str">
        <f aca="false">IF(OR(4キー同時!$B$84="",4キー同時!$G$84="",4キー同時!$L$84=""),"",IF(4キー同時!AO90="","",SUBSTITUTE(SUBSTITUTE(4キー同時!AO90," ",""),"　","")))</f>
        <v/>
      </c>
      <c r="H3317" s="2" t="str">
        <f aca="false">IF($G3317="","",4キー同時!$B$84)</f>
        <v/>
      </c>
      <c r="I3317" s="2" t="str">
        <f aca="false">IF($G3317="","",4キー同時!$G$84)</f>
        <v/>
      </c>
      <c r="J3317" s="2" t="str">
        <f aca="false">IF($G3317="","",4キー同時!$L$84)</f>
        <v/>
      </c>
      <c r="K3317" s="2" t="str">
        <f aca="false">IF($G3317="","","l")</f>
        <v/>
      </c>
      <c r="L3317" s="2" t="str">
        <f aca="false">IF($G3317="","","同時")</f>
        <v/>
      </c>
      <c r="M3317" s="2" t="str">
        <f aca="false">IF($G3317="","",IF(ISNA(MATCH($G3317,個別指定!$A:$A,0)),"行なし",""))</f>
        <v/>
      </c>
      <c r="N3317" s="2" t="str">
        <f aca="false">IF($G3317="","",IF(COUNTIF($G$2:$G$4460,$G3317)&gt;1,"重複",""))</f>
        <v/>
      </c>
    </row>
    <row r="3318" customFormat="false" ht="16.5" hidden="false" customHeight="true" outlineLevel="0" collapsed="false">
      <c r="A3318" s="2" t="s">
        <v>447</v>
      </c>
      <c r="B3318" s="2" t="s">
        <v>454</v>
      </c>
      <c r="C3318" s="2" t="s">
        <v>33</v>
      </c>
      <c r="D3318" s="2" t="str">
        <f aca="false">IF(4キー同時!$B$84="","",4キー同時!$B$84)</f>
        <v/>
      </c>
      <c r="E3318" s="2" t="str">
        <f aca="false">IF(4キー同時!$G$84="","",4キー同時!$G$84)</f>
        <v/>
      </c>
      <c r="F3318" s="2" t="str">
        <f aca="false">IF(4キー同時!$L$84="","",4キー同時!$L$84)</f>
        <v/>
      </c>
      <c r="G3318" s="2" t="str">
        <f aca="false">IF(OR(4キー同時!$B$84="",4キー同時!$G$84="",4キー同時!$L$84=""),"",IF(4キー同時!AS90="","",SUBSTITUTE(SUBSTITUTE(4キー同時!AS90," ",""),"　","")))</f>
        <v/>
      </c>
      <c r="H3318" s="2" t="str">
        <f aca="false">IF($G3318="","",4キー同時!$B$84)</f>
        <v/>
      </c>
      <c r="I3318" s="2" t="str">
        <f aca="false">IF($G3318="","",4キー同時!$G$84)</f>
        <v/>
      </c>
      <c r="J3318" s="2" t="str">
        <f aca="false">IF($G3318="","",4キー同時!$L$84)</f>
        <v/>
      </c>
      <c r="K3318" s="2" t="str">
        <f aca="false">IF($G3318="","",";")</f>
        <v/>
      </c>
      <c r="L3318" s="2" t="str">
        <f aca="false">IF($G3318="","","同時")</f>
        <v/>
      </c>
      <c r="M3318" s="2" t="str">
        <f aca="false">IF($G3318="","",IF(ISNA(MATCH($G3318,個別指定!$A:$A,0)),"行なし",""))</f>
        <v/>
      </c>
      <c r="N3318" s="2" t="str">
        <f aca="false">IF($G3318="","",IF(COUNTIF($G$2:$G$4460,$G3318)&gt;1,"重複",""))</f>
        <v/>
      </c>
    </row>
    <row r="3319" customFormat="false" ht="16.5" hidden="false" customHeight="true" outlineLevel="0" collapsed="false">
      <c r="A3319" s="2" t="s">
        <v>447</v>
      </c>
      <c r="B3319" s="2" t="s">
        <v>454</v>
      </c>
      <c r="C3319" s="2" t="s">
        <v>34</v>
      </c>
      <c r="D3319" s="2" t="str">
        <f aca="false">IF(4キー同時!$B$84="","",4キー同時!$B$84)</f>
        <v/>
      </c>
      <c r="E3319" s="2" t="str">
        <f aca="false">IF(4キー同時!$G$84="","",4キー同時!$G$84)</f>
        <v/>
      </c>
      <c r="F3319" s="2" t="str">
        <f aca="false">IF(4キー同時!$L$84="","",4キー同時!$L$84)</f>
        <v/>
      </c>
      <c r="G3319" s="2" t="str">
        <f aca="false">IF(OR(4キー同時!$B$84="",4キー同時!$G$84="",4キー同時!$L$84=""),"",IF(4キー同時!AW90="","",SUBSTITUTE(SUBSTITUTE(4キー同時!AW90," ",""),"　","")))</f>
        <v/>
      </c>
      <c r="H3319" s="2" t="str">
        <f aca="false">IF($G3319="","",4キー同時!$B$84)</f>
        <v/>
      </c>
      <c r="I3319" s="2" t="str">
        <f aca="false">IF($G3319="","",4キー同時!$G$84)</f>
        <v/>
      </c>
      <c r="J3319" s="2" t="str">
        <f aca="false">IF($G3319="","",4キー同時!$L$84)</f>
        <v/>
      </c>
      <c r="K3319" s="2" t="str">
        <f aca="false">IF($G3319="","","'")</f>
        <v/>
      </c>
      <c r="L3319" s="2" t="str">
        <f aca="false">IF($G3319="","","同時")</f>
        <v/>
      </c>
      <c r="M3319" s="2" t="str">
        <f aca="false">IF($G3319="","",IF(ISNA(MATCH($G3319,個別指定!$A:$A,0)),"行なし",""))</f>
        <v/>
      </c>
      <c r="N3319" s="2" t="str">
        <f aca="false">IF($G3319="","",IF(COUNTIF($G$2:$G$4460,$G3319)&gt;1,"重複",""))</f>
        <v/>
      </c>
    </row>
    <row r="3320" customFormat="false" ht="16.5" hidden="false" customHeight="true" outlineLevel="0" collapsed="false">
      <c r="A3320" s="2" t="s">
        <v>447</v>
      </c>
      <c r="B3320" s="2" t="s">
        <v>454</v>
      </c>
      <c r="C3320" s="2" t="s">
        <v>35</v>
      </c>
      <c r="D3320" s="2" t="str">
        <f aca="false">IF(4キー同時!$B$84="","",4キー同時!$B$84)</f>
        <v/>
      </c>
      <c r="E3320" s="2" t="str">
        <f aca="false">IF(4キー同時!$G$84="","",4キー同時!$G$84)</f>
        <v/>
      </c>
      <c r="F3320" s="2" t="str">
        <f aca="false">IF(4キー同時!$L$84="","",4キー同時!$L$84)</f>
        <v/>
      </c>
      <c r="G3320" s="2" t="str">
        <f aca="false">IF(OR(4キー同時!$B$84="",4キー同時!$G$84="",4キー同時!$L$84=""),"",IF(4キー同時!K92="","",SUBSTITUTE(SUBSTITUTE(4キー同時!K92," ",""),"　","")))</f>
        <v/>
      </c>
      <c r="H3320" s="2" t="str">
        <f aca="false">IF($G3320="","",4キー同時!$B$84)</f>
        <v/>
      </c>
      <c r="I3320" s="2" t="str">
        <f aca="false">IF($G3320="","",4キー同時!$G$84)</f>
        <v/>
      </c>
      <c r="J3320" s="2" t="str">
        <f aca="false">IF($G3320="","",4キー同時!$L$84)</f>
        <v/>
      </c>
      <c r="K3320" s="2" t="str">
        <f aca="false">IF($G3320="","","z")</f>
        <v/>
      </c>
      <c r="L3320" s="2" t="str">
        <f aca="false">IF($G3320="","","同時")</f>
        <v/>
      </c>
      <c r="M3320" s="2" t="str">
        <f aca="false">IF($G3320="","",IF(ISNA(MATCH($G3320,個別指定!$A:$A,0)),"行なし",""))</f>
        <v/>
      </c>
      <c r="N3320" s="2" t="str">
        <f aca="false">IF($G3320="","",IF(COUNTIF($G$2:$G$4460,$G3320)&gt;1,"重複",""))</f>
        <v/>
      </c>
    </row>
    <row r="3321" customFormat="false" ht="16.5" hidden="false" customHeight="true" outlineLevel="0" collapsed="false">
      <c r="A3321" s="2" t="s">
        <v>447</v>
      </c>
      <c r="B3321" s="2" t="s">
        <v>454</v>
      </c>
      <c r="C3321" s="2" t="s">
        <v>36</v>
      </c>
      <c r="D3321" s="2" t="str">
        <f aca="false">IF(4キー同時!$B$84="","",4キー同時!$B$84)</f>
        <v/>
      </c>
      <c r="E3321" s="2" t="str">
        <f aca="false">IF(4キー同時!$G$84="","",4キー同時!$G$84)</f>
        <v/>
      </c>
      <c r="F3321" s="2" t="str">
        <f aca="false">IF(4キー同時!$L$84="","",4キー同時!$L$84)</f>
        <v/>
      </c>
      <c r="G3321" s="2" t="str">
        <f aca="false">IF(OR(4キー同時!$B$84="",4キー同時!$G$84="",4キー同時!$L$84=""),"",IF(4キー同時!O92="","",SUBSTITUTE(SUBSTITUTE(4キー同時!O92," ",""),"　","")))</f>
        <v/>
      </c>
      <c r="H3321" s="2" t="str">
        <f aca="false">IF($G3321="","",4キー同時!$B$84)</f>
        <v/>
      </c>
      <c r="I3321" s="2" t="str">
        <f aca="false">IF($G3321="","",4キー同時!$G$84)</f>
        <v/>
      </c>
      <c r="J3321" s="2" t="str">
        <f aca="false">IF($G3321="","",4キー同時!$L$84)</f>
        <v/>
      </c>
      <c r="K3321" s="2" t="str">
        <f aca="false">IF($G3321="","","x")</f>
        <v/>
      </c>
      <c r="L3321" s="2" t="str">
        <f aca="false">IF($G3321="","","同時")</f>
        <v/>
      </c>
      <c r="M3321" s="2" t="str">
        <f aca="false">IF($G3321="","",IF(ISNA(MATCH($G3321,個別指定!$A:$A,0)),"行なし",""))</f>
        <v/>
      </c>
      <c r="N3321" s="2" t="str">
        <f aca="false">IF($G3321="","",IF(COUNTIF($G$2:$G$4460,$G3321)&gt;1,"重複",""))</f>
        <v/>
      </c>
    </row>
    <row r="3322" customFormat="false" ht="16.5" hidden="false" customHeight="true" outlineLevel="0" collapsed="false">
      <c r="A3322" s="2" t="s">
        <v>447</v>
      </c>
      <c r="B3322" s="2" t="s">
        <v>454</v>
      </c>
      <c r="C3322" s="2" t="s">
        <v>37</v>
      </c>
      <c r="D3322" s="2" t="str">
        <f aca="false">IF(4キー同時!$B$84="","",4キー同時!$B$84)</f>
        <v/>
      </c>
      <c r="E3322" s="2" t="str">
        <f aca="false">IF(4キー同時!$G$84="","",4キー同時!$G$84)</f>
        <v/>
      </c>
      <c r="F3322" s="2" t="str">
        <f aca="false">IF(4キー同時!$L$84="","",4キー同時!$L$84)</f>
        <v/>
      </c>
      <c r="G3322" s="2" t="str">
        <f aca="false">IF(OR(4キー同時!$B$84="",4キー同時!$G$84="",4キー同時!$L$84=""),"",IF(4キー同時!S92="","",SUBSTITUTE(SUBSTITUTE(4キー同時!S92," ",""),"　","")))</f>
        <v/>
      </c>
      <c r="H3322" s="2" t="str">
        <f aca="false">IF($G3322="","",4キー同時!$B$84)</f>
        <v/>
      </c>
      <c r="I3322" s="2" t="str">
        <f aca="false">IF($G3322="","",4キー同時!$G$84)</f>
        <v/>
      </c>
      <c r="J3322" s="2" t="str">
        <f aca="false">IF($G3322="","",4キー同時!$L$84)</f>
        <v/>
      </c>
      <c r="K3322" s="2" t="str">
        <f aca="false">IF($G3322="","","c")</f>
        <v/>
      </c>
      <c r="L3322" s="2" t="str">
        <f aca="false">IF($G3322="","","同時")</f>
        <v/>
      </c>
      <c r="M3322" s="2" t="str">
        <f aca="false">IF($G3322="","",IF(ISNA(MATCH($G3322,個別指定!$A:$A,0)),"行なし",""))</f>
        <v/>
      </c>
      <c r="N3322" s="2" t="str">
        <f aca="false">IF($G3322="","",IF(COUNTIF($G$2:$G$4460,$G3322)&gt;1,"重複",""))</f>
        <v/>
      </c>
    </row>
    <row r="3323" customFormat="false" ht="16.5" hidden="false" customHeight="true" outlineLevel="0" collapsed="false">
      <c r="A3323" s="2" t="s">
        <v>447</v>
      </c>
      <c r="B3323" s="2" t="s">
        <v>454</v>
      </c>
      <c r="C3323" s="2" t="s">
        <v>38</v>
      </c>
      <c r="D3323" s="2" t="str">
        <f aca="false">IF(4キー同時!$B$84="","",4キー同時!$B$84)</f>
        <v/>
      </c>
      <c r="E3323" s="2" t="str">
        <f aca="false">IF(4キー同時!$G$84="","",4キー同時!$G$84)</f>
        <v/>
      </c>
      <c r="F3323" s="2" t="str">
        <f aca="false">IF(4キー同時!$L$84="","",4キー同時!$L$84)</f>
        <v/>
      </c>
      <c r="G3323" s="2" t="str">
        <f aca="false">IF(OR(4キー同時!$B$84="",4キー同時!$G$84="",4キー同時!$L$84=""),"",IF(4キー同時!W92="","",SUBSTITUTE(SUBSTITUTE(4キー同時!W92," ",""),"　","")))</f>
        <v/>
      </c>
      <c r="H3323" s="2" t="str">
        <f aca="false">IF($G3323="","",4キー同時!$B$84)</f>
        <v/>
      </c>
      <c r="I3323" s="2" t="str">
        <f aca="false">IF($G3323="","",4キー同時!$G$84)</f>
        <v/>
      </c>
      <c r="J3323" s="2" t="str">
        <f aca="false">IF($G3323="","",4キー同時!$L$84)</f>
        <v/>
      </c>
      <c r="K3323" s="2" t="str">
        <f aca="false">IF($G3323="","","v")</f>
        <v/>
      </c>
      <c r="L3323" s="2" t="str">
        <f aca="false">IF($G3323="","","同時")</f>
        <v/>
      </c>
      <c r="M3323" s="2" t="str">
        <f aca="false">IF($G3323="","",IF(ISNA(MATCH($G3323,個別指定!$A:$A,0)),"行なし",""))</f>
        <v/>
      </c>
      <c r="N3323" s="2" t="str">
        <f aca="false">IF($G3323="","",IF(COUNTIF($G$2:$G$4460,$G3323)&gt;1,"重複",""))</f>
        <v/>
      </c>
    </row>
    <row r="3324" customFormat="false" ht="16.5" hidden="false" customHeight="true" outlineLevel="0" collapsed="false">
      <c r="A3324" s="2" t="s">
        <v>447</v>
      </c>
      <c r="B3324" s="2" t="s">
        <v>454</v>
      </c>
      <c r="C3324" s="2" t="s">
        <v>39</v>
      </c>
      <c r="D3324" s="2" t="str">
        <f aca="false">IF(4キー同時!$B$84="","",4キー同時!$B$84)</f>
        <v/>
      </c>
      <c r="E3324" s="2" t="str">
        <f aca="false">IF(4キー同時!$G$84="","",4キー同時!$G$84)</f>
        <v/>
      </c>
      <c r="F3324" s="2" t="str">
        <f aca="false">IF(4キー同時!$L$84="","",4キー同時!$L$84)</f>
        <v/>
      </c>
      <c r="G3324" s="2" t="str">
        <f aca="false">IF(OR(4キー同時!$B$84="",4キー同時!$G$84="",4キー同時!$L$84=""),"",IF(4キー同時!AA92="","",SUBSTITUTE(SUBSTITUTE(4キー同時!AA92," ",""),"　","")))</f>
        <v/>
      </c>
      <c r="H3324" s="2" t="str">
        <f aca="false">IF($G3324="","",4キー同時!$B$84)</f>
        <v/>
      </c>
      <c r="I3324" s="2" t="str">
        <f aca="false">IF($G3324="","",4キー同時!$G$84)</f>
        <v/>
      </c>
      <c r="J3324" s="2" t="str">
        <f aca="false">IF($G3324="","",4キー同時!$L$84)</f>
        <v/>
      </c>
      <c r="K3324" s="2" t="str">
        <f aca="false">IF($G3324="","","b")</f>
        <v/>
      </c>
      <c r="L3324" s="2" t="str">
        <f aca="false">IF($G3324="","","同時")</f>
        <v/>
      </c>
      <c r="M3324" s="2" t="str">
        <f aca="false">IF($G3324="","",IF(ISNA(MATCH($G3324,個別指定!$A:$A,0)),"行なし",""))</f>
        <v/>
      </c>
      <c r="N3324" s="2" t="str">
        <f aca="false">IF($G3324="","",IF(COUNTIF($G$2:$G$4460,$G3324)&gt;1,"重複",""))</f>
        <v/>
      </c>
    </row>
    <row r="3325" customFormat="false" ht="16.5" hidden="false" customHeight="true" outlineLevel="0" collapsed="false">
      <c r="A3325" s="2" t="s">
        <v>447</v>
      </c>
      <c r="B3325" s="2" t="s">
        <v>454</v>
      </c>
      <c r="C3325" s="2" t="s">
        <v>40</v>
      </c>
      <c r="D3325" s="2" t="str">
        <f aca="false">IF(4キー同時!$B$84="","",4キー同時!$B$84)</f>
        <v/>
      </c>
      <c r="E3325" s="2" t="str">
        <f aca="false">IF(4キー同時!$G$84="","",4キー同時!$G$84)</f>
        <v/>
      </c>
      <c r="F3325" s="2" t="str">
        <f aca="false">IF(4キー同時!$L$84="","",4キー同時!$L$84)</f>
        <v/>
      </c>
      <c r="G3325" s="2" t="str">
        <f aca="false">IF(OR(4キー同時!$B$84="",4キー同時!$G$84="",4キー同時!$L$84=""),"",IF(4キー同時!AE92="","",SUBSTITUTE(SUBSTITUTE(4キー同時!AE92," ",""),"　","")))</f>
        <v/>
      </c>
      <c r="H3325" s="2" t="str">
        <f aca="false">IF($G3325="","",4キー同時!$B$84)</f>
        <v/>
      </c>
      <c r="I3325" s="2" t="str">
        <f aca="false">IF($G3325="","",4キー同時!$G$84)</f>
        <v/>
      </c>
      <c r="J3325" s="2" t="str">
        <f aca="false">IF($G3325="","",4キー同時!$L$84)</f>
        <v/>
      </c>
      <c r="K3325" s="2" t="str">
        <f aca="false">IF($G3325="","","n")</f>
        <v/>
      </c>
      <c r="L3325" s="2" t="str">
        <f aca="false">IF($G3325="","","同時")</f>
        <v/>
      </c>
      <c r="M3325" s="2" t="str">
        <f aca="false">IF($G3325="","",IF(ISNA(MATCH($G3325,個別指定!$A:$A,0)),"行なし",""))</f>
        <v/>
      </c>
      <c r="N3325" s="2" t="str">
        <f aca="false">IF($G3325="","",IF(COUNTIF($G$2:$G$4460,$G3325)&gt;1,"重複",""))</f>
        <v/>
      </c>
    </row>
    <row r="3326" customFormat="false" ht="16.5" hidden="false" customHeight="true" outlineLevel="0" collapsed="false">
      <c r="A3326" s="2" t="s">
        <v>447</v>
      </c>
      <c r="B3326" s="2" t="s">
        <v>454</v>
      </c>
      <c r="C3326" s="2" t="s">
        <v>41</v>
      </c>
      <c r="D3326" s="2" t="str">
        <f aca="false">IF(4キー同時!$B$84="","",4キー同時!$B$84)</f>
        <v/>
      </c>
      <c r="E3326" s="2" t="str">
        <f aca="false">IF(4キー同時!$G$84="","",4キー同時!$G$84)</f>
        <v/>
      </c>
      <c r="F3326" s="2" t="str">
        <f aca="false">IF(4キー同時!$L$84="","",4キー同時!$L$84)</f>
        <v/>
      </c>
      <c r="G3326" s="2" t="str">
        <f aca="false">IF(OR(4キー同時!$B$84="",4キー同時!$G$84="",4キー同時!$L$84=""),"",IF(4キー同時!AI92="","",SUBSTITUTE(SUBSTITUTE(4キー同時!AI92," ",""),"　","")))</f>
        <v/>
      </c>
      <c r="H3326" s="2" t="str">
        <f aca="false">IF($G3326="","",4キー同時!$B$84)</f>
        <v/>
      </c>
      <c r="I3326" s="2" t="str">
        <f aca="false">IF($G3326="","",4キー同時!$G$84)</f>
        <v/>
      </c>
      <c r="J3326" s="2" t="str">
        <f aca="false">IF($G3326="","",4キー同時!$L$84)</f>
        <v/>
      </c>
      <c r="K3326" s="2" t="str">
        <f aca="false">IF($G3326="","","m")</f>
        <v/>
      </c>
      <c r="L3326" s="2" t="str">
        <f aca="false">IF($G3326="","","同時")</f>
        <v/>
      </c>
      <c r="M3326" s="2" t="str">
        <f aca="false">IF($G3326="","",IF(ISNA(MATCH($G3326,個別指定!$A:$A,0)),"行なし",""))</f>
        <v/>
      </c>
      <c r="N3326" s="2" t="str">
        <f aca="false">IF($G3326="","",IF(COUNTIF($G$2:$G$4460,$G3326)&gt;1,"重複",""))</f>
        <v/>
      </c>
    </row>
    <row r="3327" customFormat="false" ht="16.5" hidden="false" customHeight="true" outlineLevel="0" collapsed="false">
      <c r="A3327" s="2" t="s">
        <v>447</v>
      </c>
      <c r="B3327" s="2" t="s">
        <v>454</v>
      </c>
      <c r="C3327" s="2" t="s">
        <v>42</v>
      </c>
      <c r="D3327" s="2" t="str">
        <f aca="false">IF(4キー同時!$B$84="","",4キー同時!$B$84)</f>
        <v/>
      </c>
      <c r="E3327" s="2" t="str">
        <f aca="false">IF(4キー同時!$G$84="","",4キー同時!$G$84)</f>
        <v/>
      </c>
      <c r="F3327" s="2" t="str">
        <f aca="false">IF(4キー同時!$L$84="","",4キー同時!$L$84)</f>
        <v/>
      </c>
      <c r="G3327" s="2" t="str">
        <f aca="false">IF(OR(4キー同時!$B$84="",4キー同時!$G$84="",4キー同時!$L$84=""),"",IF(4キー同時!AM92="","",SUBSTITUTE(SUBSTITUTE(4キー同時!AM92," ",""),"　","")))</f>
        <v/>
      </c>
      <c r="H3327" s="2" t="str">
        <f aca="false">IF($G3327="","",4キー同時!$B$84)</f>
        <v/>
      </c>
      <c r="I3327" s="2" t="str">
        <f aca="false">IF($G3327="","",4キー同時!$G$84)</f>
        <v/>
      </c>
      <c r="J3327" s="2" t="str">
        <f aca="false">IF($G3327="","",4キー同時!$L$84)</f>
        <v/>
      </c>
      <c r="K3327" s="2" t="str">
        <f aca="false">IF($G3327="","",",")</f>
        <v/>
      </c>
      <c r="L3327" s="2" t="str">
        <f aca="false">IF($G3327="","","同時")</f>
        <v/>
      </c>
      <c r="M3327" s="2" t="str">
        <f aca="false">IF($G3327="","",IF(ISNA(MATCH($G3327,個別指定!$A:$A,0)),"行なし",""))</f>
        <v/>
      </c>
      <c r="N3327" s="2" t="str">
        <f aca="false">IF($G3327="","",IF(COUNTIF($G$2:$G$4460,$G3327)&gt;1,"重複",""))</f>
        <v/>
      </c>
    </row>
    <row r="3328" customFormat="false" ht="16.5" hidden="false" customHeight="true" outlineLevel="0" collapsed="false">
      <c r="A3328" s="2" t="s">
        <v>447</v>
      </c>
      <c r="B3328" s="2" t="s">
        <v>454</v>
      </c>
      <c r="C3328" s="2" t="s">
        <v>43</v>
      </c>
      <c r="D3328" s="2" t="str">
        <f aca="false">IF(4キー同時!$B$84="","",4キー同時!$B$84)</f>
        <v/>
      </c>
      <c r="E3328" s="2" t="str">
        <f aca="false">IF(4キー同時!$G$84="","",4キー同時!$G$84)</f>
        <v/>
      </c>
      <c r="F3328" s="2" t="str">
        <f aca="false">IF(4キー同時!$L$84="","",4キー同時!$L$84)</f>
        <v/>
      </c>
      <c r="G3328" s="2" t="str">
        <f aca="false">IF(OR(4キー同時!$B$84="",4キー同時!$G$84="",4キー同時!$L$84=""),"",IF(4キー同時!AQ92="","",SUBSTITUTE(SUBSTITUTE(4キー同時!AQ92," ",""),"　","")))</f>
        <v/>
      </c>
      <c r="H3328" s="2" t="str">
        <f aca="false">IF($G3328="","",4キー同時!$B$84)</f>
        <v/>
      </c>
      <c r="I3328" s="2" t="str">
        <f aca="false">IF($G3328="","",4キー同時!$G$84)</f>
        <v/>
      </c>
      <c r="J3328" s="2" t="str">
        <f aca="false">IF($G3328="","",4キー同時!$L$84)</f>
        <v/>
      </c>
      <c r="K3328" s="2" t="str">
        <f aca="false">IF($G3328="","",".")</f>
        <v/>
      </c>
      <c r="L3328" s="2" t="str">
        <f aca="false">IF($G3328="","","同時")</f>
        <v/>
      </c>
      <c r="M3328" s="2" t="str">
        <f aca="false">IF($G3328="","",IF(ISNA(MATCH($G3328,個別指定!$A:$A,0)),"行なし",""))</f>
        <v/>
      </c>
      <c r="N3328" s="2" t="str">
        <f aca="false">IF($G3328="","",IF(COUNTIF($G$2:$G$4460,$G3328)&gt;1,"重複",""))</f>
        <v/>
      </c>
    </row>
    <row r="3329" customFormat="false" ht="16.5" hidden="false" customHeight="true" outlineLevel="0" collapsed="false">
      <c r="A3329" s="2" t="s">
        <v>447</v>
      </c>
      <c r="B3329" s="2" t="s">
        <v>454</v>
      </c>
      <c r="C3329" s="2" t="s">
        <v>44</v>
      </c>
      <c r="D3329" s="2" t="str">
        <f aca="false">IF(4キー同時!$B$84="","",4キー同時!$B$84)</f>
        <v/>
      </c>
      <c r="E3329" s="2" t="str">
        <f aca="false">IF(4キー同時!$G$84="","",4キー同時!$G$84)</f>
        <v/>
      </c>
      <c r="F3329" s="2" t="str">
        <f aca="false">IF(4キー同時!$L$84="","",4キー同時!$L$84)</f>
        <v/>
      </c>
      <c r="G3329" s="2" t="str">
        <f aca="false">IF(OR(4キー同時!$B$84="",4キー同時!$G$84="",4キー同時!$L$84=""),"",IF(4キー同時!AU92="","",SUBSTITUTE(SUBSTITUTE(4キー同時!AU92," ",""),"　","")))</f>
        <v/>
      </c>
      <c r="H3329" s="2" t="str">
        <f aca="false">IF($G3329="","",4キー同時!$B$84)</f>
        <v/>
      </c>
      <c r="I3329" s="2" t="str">
        <f aca="false">IF($G3329="","",4キー同時!$G$84)</f>
        <v/>
      </c>
      <c r="J3329" s="2" t="str">
        <f aca="false">IF($G3329="","",4キー同時!$L$84)</f>
        <v/>
      </c>
      <c r="K3329" s="2" t="str">
        <f aca="false">IF($G3329="","","/")</f>
        <v/>
      </c>
      <c r="L3329" s="2" t="str">
        <f aca="false">IF($G3329="","","同時")</f>
        <v/>
      </c>
      <c r="M3329" s="2" t="str">
        <f aca="false">IF($G3329="","",IF(ISNA(MATCH($G3329,個別指定!$A:$A,0)),"行なし",""))</f>
        <v/>
      </c>
      <c r="N3329" s="2" t="str">
        <f aca="false">IF($G3329="","",IF(COUNTIF($G$2:$G$4460,$G3329)&gt;1,"重複",""))</f>
        <v/>
      </c>
    </row>
    <row r="3330" customFormat="false" ht="16.5" hidden="false" customHeight="true" outlineLevel="0" collapsed="false">
      <c r="A3330" s="2" t="s">
        <v>447</v>
      </c>
      <c r="B3330" s="2" t="s">
        <v>454</v>
      </c>
      <c r="C3330" s="2" t="s">
        <v>48</v>
      </c>
      <c r="D3330" s="2" t="str">
        <f aca="false">IF(4キー同時!$B$84="","",4キー同時!$B$84)</f>
        <v/>
      </c>
      <c r="E3330" s="2" t="str">
        <f aca="false">IF(4キー同時!$G$84="","",4キー同時!$G$84)</f>
        <v/>
      </c>
      <c r="F3330" s="2" t="str">
        <f aca="false">IF(4キー同時!$L$84="","",4キー同時!$L$84)</f>
        <v/>
      </c>
      <c r="G3330" s="2" t="str">
        <f aca="false">IF(OR(4キー同時!$B$84="",4キー同時!$G$84="",4キー同時!$L$84=""),"",IF(4キー同時!P94="","",SUBSTITUTE(SUBSTITUTE(4キー同時!P94," ",""),"　","")))</f>
        <v/>
      </c>
      <c r="H3330" s="2" t="str">
        <f aca="false">IF($G3330="","",4キー同時!$B$84)</f>
        <v/>
      </c>
      <c r="I3330" s="2" t="str">
        <f aca="false">IF($G3330="","",4キー同時!$G$84)</f>
        <v/>
      </c>
      <c r="J3330" s="2" t="str">
        <f aca="false">IF($G3330="","",4キー同時!$L$84)</f>
        <v/>
      </c>
      <c r="K3330" s="2" t="str">
        <f aca="false">IF($G3330="","","muhenkan")</f>
        <v/>
      </c>
      <c r="L3330" s="2" t="str">
        <f aca="false">IF($G3330="","","同時")</f>
        <v/>
      </c>
      <c r="M3330" s="2" t="str">
        <f aca="false">IF($G3330="","",IF(ISNA(MATCH($G3330,個別指定!$A:$A,0)),"行なし",""))</f>
        <v/>
      </c>
      <c r="N3330" s="2" t="str">
        <f aca="false">IF($G3330="","",IF(COUNTIF($G$2:$G$4460,$G3330)&gt;1,"重複",""))</f>
        <v/>
      </c>
    </row>
    <row r="3331" customFormat="false" ht="16.5" hidden="false" customHeight="true" outlineLevel="0" collapsed="false">
      <c r="A3331" s="2" t="s">
        <v>447</v>
      </c>
      <c r="B3331" s="2" t="s">
        <v>454</v>
      </c>
      <c r="C3331" s="2" t="s">
        <v>50</v>
      </c>
      <c r="D3331" s="2" t="str">
        <f aca="false">IF(4キー同時!$B$84="","",4キー同時!$B$84)</f>
        <v/>
      </c>
      <c r="E3331" s="2" t="str">
        <f aca="false">IF(4キー同時!$G$84="","",4キー同時!$G$84)</f>
        <v/>
      </c>
      <c r="F3331" s="2" t="str">
        <f aca="false">IF(4キー同時!$L$84="","",4キー同時!$L$84)</f>
        <v/>
      </c>
      <c r="G3331" s="2" t="str">
        <f aca="false">IF(OR(4キー同時!$B$84="",4キー同時!$G$84="",4キー同時!$L$84=""),"",IF(4キー同時!T94="","",SUBSTITUTE(SUBSTITUTE(4キー同時!T94," ",""),"　","")))</f>
        <v/>
      </c>
      <c r="H3331" s="2" t="str">
        <f aca="false">IF($G3331="","",4キー同時!$B$84)</f>
        <v/>
      </c>
      <c r="I3331" s="2" t="str">
        <f aca="false">IF($G3331="","",4キー同時!$G$84)</f>
        <v/>
      </c>
      <c r="J3331" s="2" t="str">
        <f aca="false">IF($G3331="","",4キー同時!$L$84)</f>
        <v/>
      </c>
      <c r="K3331" s="2" t="str">
        <f aca="false">IF($G3331="","","space")</f>
        <v/>
      </c>
      <c r="L3331" s="2" t="str">
        <f aca="false">IF($G3331="","","同時")</f>
        <v/>
      </c>
      <c r="M3331" s="2" t="str">
        <f aca="false">IF($G3331="","",IF(ISNA(MATCH($G3331,個別指定!$A:$A,0)),"行なし",""))</f>
        <v/>
      </c>
      <c r="N3331" s="2" t="str">
        <f aca="false">IF($G3331="","",IF(COUNTIF($G$2:$G$4460,$G3331)&gt;1,"重複",""))</f>
        <v/>
      </c>
    </row>
    <row r="3332" customFormat="false" ht="16.5" hidden="false" customHeight="true" outlineLevel="0" collapsed="false">
      <c r="A3332" s="2" t="s">
        <v>447</v>
      </c>
      <c r="B3332" s="2" t="s">
        <v>454</v>
      </c>
      <c r="C3332" s="2" t="s">
        <v>45</v>
      </c>
      <c r="D3332" s="2" t="str">
        <f aca="false">IF(4キー同時!$B$84="","",4キー同時!$B$84)</f>
        <v/>
      </c>
      <c r="E3332" s="2" t="str">
        <f aca="false">IF(4キー同時!$G$84="","",4キー同時!$G$84)</f>
        <v/>
      </c>
      <c r="F3332" s="2" t="str">
        <f aca="false">IF(4キー同時!$L$84="","",4キー同時!$L$84)</f>
        <v/>
      </c>
      <c r="G3332" s="2" t="str">
        <f aca="false">IF(OR(4キー同時!$B$84="",4キー同時!$G$84="",4キー同時!$L$84=""),"",IF(4キー同時!AL94="","",SUBSTITUTE(SUBSTITUTE(4キー同時!AL94," ",""),"　","")))</f>
        <v/>
      </c>
      <c r="H3332" s="2" t="str">
        <f aca="false">IF($G3332="","",4キー同時!$B$84)</f>
        <v/>
      </c>
      <c r="I3332" s="2" t="str">
        <f aca="false">IF($G3332="","",4キー同時!$G$84)</f>
        <v/>
      </c>
      <c r="J3332" s="2" t="str">
        <f aca="false">IF($G3332="","",4キー同時!$L$84)</f>
        <v/>
      </c>
      <c r="K3332" s="2" t="str">
        <f aca="false">IF($G3332="","","henkan")</f>
        <v/>
      </c>
      <c r="L3332" s="2" t="str">
        <f aca="false">IF($G3332="","","同時")</f>
        <v/>
      </c>
      <c r="M3332" s="2" t="str">
        <f aca="false">IF($G3332="","",IF(ISNA(MATCH($G3332,個別指定!$A:$A,0)),"行なし",""))</f>
        <v/>
      </c>
      <c r="N3332" s="2" t="str">
        <f aca="false">IF($G3332="","",IF(COUNTIF($G$2:$G$4460,$G3332)&gt;1,"重複",""))</f>
        <v/>
      </c>
    </row>
    <row r="3333" customFormat="false" ht="16.5" hidden="false" customHeight="true" outlineLevel="0" collapsed="false">
      <c r="A3333" s="2" t="s">
        <v>447</v>
      </c>
      <c r="B3333" s="2" t="s">
        <v>454</v>
      </c>
      <c r="C3333" s="2" t="s">
        <v>46</v>
      </c>
      <c r="D3333" s="2" t="str">
        <f aca="false">IF(4キー同時!$B$84="","",4キー同時!$B$84)</f>
        <v/>
      </c>
      <c r="E3333" s="2" t="str">
        <f aca="false">IF(4キー同時!$G$84="","",4キー同時!$G$84)</f>
        <v/>
      </c>
      <c r="F3333" s="2" t="str">
        <f aca="false">IF(4キー同時!$L$84="","",4キー同時!$L$84)</f>
        <v/>
      </c>
      <c r="G3333" s="2" t="str">
        <f aca="false">IF(OR(4キー同時!$B$84="",4キー同時!$G$84="",4キー同時!$L$84=""),"",IF(4キー同時!AP94="","",SUBSTITUTE(SUBSTITUTE(4キー同時!AP94," ",""),"　","")))</f>
        <v/>
      </c>
      <c r="H3333" s="2" t="str">
        <f aca="false">IF($G3333="","",4キー同時!$B$84)</f>
        <v/>
      </c>
      <c r="I3333" s="2" t="str">
        <f aca="false">IF($G3333="","",4キー同時!$G$84)</f>
        <v/>
      </c>
      <c r="J3333" s="2" t="str">
        <f aca="false">IF($G3333="","",4キー同時!$L$84)</f>
        <v/>
      </c>
      <c r="K3333" s="2" t="str">
        <f aca="false">IF($G3333="","","kana")</f>
        <v/>
      </c>
      <c r="L3333" s="2" t="str">
        <f aca="false">IF($G3333="","","同時")</f>
        <v/>
      </c>
      <c r="M3333" s="2" t="str">
        <f aca="false">IF($G3333="","",IF(ISNA(MATCH($G3333,個別指定!$A:$A,0)),"行なし",""))</f>
        <v/>
      </c>
      <c r="N3333" s="2" t="str">
        <f aca="false">IF($G3333="","",IF(COUNTIF($G$2:$G$4460,$G3333)&gt;1,"重複",""))</f>
        <v/>
      </c>
    </row>
    <row r="3334" customFormat="false" ht="16.5" hidden="false" customHeight="true" outlineLevel="0" collapsed="false">
      <c r="A3334" s="2" t="s">
        <v>447</v>
      </c>
      <c r="B3334" s="2" t="s">
        <v>455</v>
      </c>
      <c r="C3334" s="2" t="s">
        <v>0</v>
      </c>
      <c r="D3334" s="2" t="str">
        <f aca="false">IF(4キー同時!$B$97="","",4キー同時!$B$97)</f>
        <v/>
      </c>
      <c r="E3334" s="2" t="str">
        <f aca="false">IF(4キー同時!$G$97="","",4キー同時!$G$97)</f>
        <v/>
      </c>
      <c r="F3334" s="2" t="str">
        <f aca="false">IF(4キー同時!$L$97="","",4キー同時!$L$97)</f>
        <v/>
      </c>
      <c r="G3334" s="2" t="str">
        <f aca="false">IF(OR(4キー同時!$B$97="",4キー同時!$G$97="",4キー同時!$L$97=""),"",IF(4キー同時!F99="","",SUBSTITUTE(SUBSTITUTE(4キー同時!F99," ",""),"　","")))</f>
        <v/>
      </c>
      <c r="H3334" s="2" t="str">
        <f aca="false">IF($G3334="","",4キー同時!$B$97)</f>
        <v/>
      </c>
      <c r="I3334" s="2" t="str">
        <f aca="false">IF($G3334="","",4キー同時!$G$97)</f>
        <v/>
      </c>
      <c r="J3334" s="2" t="str">
        <f aca="false">IF($G3334="","",4キー同時!$L$97)</f>
        <v/>
      </c>
      <c r="K3334" s="2" t="str">
        <f aca="false">IF($G3334="","","1")</f>
        <v/>
      </c>
      <c r="L3334" s="2" t="str">
        <f aca="false">IF($G3334="","","同時")</f>
        <v/>
      </c>
      <c r="M3334" s="2" t="str">
        <f aca="false">IF($G3334="","",IF(ISNA(MATCH($G3334,個別指定!$A:$A,0)),"行なし",""))</f>
        <v/>
      </c>
      <c r="N3334" s="2" t="str">
        <f aca="false">IF($G3334="","",IF(COUNTIF($G$2:$G$4460,$G3334)&gt;1,"重複",""))</f>
        <v/>
      </c>
    </row>
    <row r="3335" customFormat="false" ht="16.5" hidden="false" customHeight="true" outlineLevel="0" collapsed="false">
      <c r="A3335" s="2" t="s">
        <v>447</v>
      </c>
      <c r="B3335" s="2" t="s">
        <v>455</v>
      </c>
      <c r="C3335" s="2" t="s">
        <v>1</v>
      </c>
      <c r="D3335" s="2" t="str">
        <f aca="false">IF(4キー同時!$B$97="","",4キー同時!$B$97)</f>
        <v/>
      </c>
      <c r="E3335" s="2" t="str">
        <f aca="false">IF(4キー同時!$G$97="","",4キー同時!$G$97)</f>
        <v/>
      </c>
      <c r="F3335" s="2" t="str">
        <f aca="false">IF(4キー同時!$L$97="","",4キー同時!$L$97)</f>
        <v/>
      </c>
      <c r="G3335" s="2" t="str">
        <f aca="false">IF(OR(4キー同時!$B$97="",4キー同時!$G$97="",4キー同時!$L$97=""),"",IF(4キー同時!J99="","",SUBSTITUTE(SUBSTITUTE(4キー同時!J99," ",""),"　","")))</f>
        <v/>
      </c>
      <c r="H3335" s="2" t="str">
        <f aca="false">IF($G3335="","",4キー同時!$B$97)</f>
        <v/>
      </c>
      <c r="I3335" s="2" t="str">
        <f aca="false">IF($G3335="","",4キー同時!$G$97)</f>
        <v/>
      </c>
      <c r="J3335" s="2" t="str">
        <f aca="false">IF($G3335="","",4キー同時!$L$97)</f>
        <v/>
      </c>
      <c r="K3335" s="2" t="str">
        <f aca="false">IF($G3335="","","2")</f>
        <v/>
      </c>
      <c r="L3335" s="2" t="str">
        <f aca="false">IF($G3335="","","同時")</f>
        <v/>
      </c>
      <c r="M3335" s="2" t="str">
        <f aca="false">IF($G3335="","",IF(ISNA(MATCH($G3335,個別指定!$A:$A,0)),"行なし",""))</f>
        <v/>
      </c>
      <c r="N3335" s="2" t="str">
        <f aca="false">IF($G3335="","",IF(COUNTIF($G$2:$G$4460,$G3335)&gt;1,"重複",""))</f>
        <v/>
      </c>
    </row>
    <row r="3336" customFormat="false" ht="16.5" hidden="false" customHeight="true" outlineLevel="0" collapsed="false">
      <c r="A3336" s="2" t="s">
        <v>447</v>
      </c>
      <c r="B3336" s="2" t="s">
        <v>455</v>
      </c>
      <c r="C3336" s="2" t="s">
        <v>2</v>
      </c>
      <c r="D3336" s="2" t="str">
        <f aca="false">IF(4キー同時!$B$97="","",4キー同時!$B$97)</f>
        <v/>
      </c>
      <c r="E3336" s="2" t="str">
        <f aca="false">IF(4キー同時!$G$97="","",4キー同時!$G$97)</f>
        <v/>
      </c>
      <c r="F3336" s="2" t="str">
        <f aca="false">IF(4キー同時!$L$97="","",4キー同時!$L$97)</f>
        <v/>
      </c>
      <c r="G3336" s="2" t="str">
        <f aca="false">IF(OR(4キー同時!$B$97="",4キー同時!$G$97="",4キー同時!$L$97=""),"",IF(4キー同時!N99="","",SUBSTITUTE(SUBSTITUTE(4キー同時!N99," ",""),"　","")))</f>
        <v/>
      </c>
      <c r="H3336" s="2" t="str">
        <f aca="false">IF($G3336="","",4キー同時!$B$97)</f>
        <v/>
      </c>
      <c r="I3336" s="2" t="str">
        <f aca="false">IF($G3336="","",4キー同時!$G$97)</f>
        <v/>
      </c>
      <c r="J3336" s="2" t="str">
        <f aca="false">IF($G3336="","",4キー同時!$L$97)</f>
        <v/>
      </c>
      <c r="K3336" s="2" t="str">
        <f aca="false">IF($G3336="","","3")</f>
        <v/>
      </c>
      <c r="L3336" s="2" t="str">
        <f aca="false">IF($G3336="","","同時")</f>
        <v/>
      </c>
      <c r="M3336" s="2" t="str">
        <f aca="false">IF($G3336="","",IF(ISNA(MATCH($G3336,個別指定!$A:$A,0)),"行なし",""))</f>
        <v/>
      </c>
      <c r="N3336" s="2" t="str">
        <f aca="false">IF($G3336="","",IF(COUNTIF($G$2:$G$4460,$G3336)&gt;1,"重複",""))</f>
        <v/>
      </c>
    </row>
    <row r="3337" customFormat="false" ht="16.5" hidden="false" customHeight="true" outlineLevel="0" collapsed="false">
      <c r="A3337" s="2" t="s">
        <v>447</v>
      </c>
      <c r="B3337" s="2" t="s">
        <v>455</v>
      </c>
      <c r="C3337" s="2" t="s">
        <v>3</v>
      </c>
      <c r="D3337" s="2" t="str">
        <f aca="false">IF(4キー同時!$B$97="","",4キー同時!$B$97)</f>
        <v/>
      </c>
      <c r="E3337" s="2" t="str">
        <f aca="false">IF(4キー同時!$G$97="","",4キー同時!$G$97)</f>
        <v/>
      </c>
      <c r="F3337" s="2" t="str">
        <f aca="false">IF(4キー同時!$L$97="","",4キー同時!$L$97)</f>
        <v/>
      </c>
      <c r="G3337" s="2" t="str">
        <f aca="false">IF(OR(4キー同時!$B$97="",4キー同時!$G$97="",4キー同時!$L$97=""),"",IF(4キー同時!R99="","",SUBSTITUTE(SUBSTITUTE(4キー同時!R99," ",""),"　","")))</f>
        <v/>
      </c>
      <c r="H3337" s="2" t="str">
        <f aca="false">IF($G3337="","",4キー同時!$B$97)</f>
        <v/>
      </c>
      <c r="I3337" s="2" t="str">
        <f aca="false">IF($G3337="","",4キー同時!$G$97)</f>
        <v/>
      </c>
      <c r="J3337" s="2" t="str">
        <f aca="false">IF($G3337="","",4キー同時!$L$97)</f>
        <v/>
      </c>
      <c r="K3337" s="2" t="str">
        <f aca="false">IF($G3337="","","4")</f>
        <v/>
      </c>
      <c r="L3337" s="2" t="str">
        <f aca="false">IF($G3337="","","同時")</f>
        <v/>
      </c>
      <c r="M3337" s="2" t="str">
        <f aca="false">IF($G3337="","",IF(ISNA(MATCH($G3337,個別指定!$A:$A,0)),"行なし",""))</f>
        <v/>
      </c>
      <c r="N3337" s="2" t="str">
        <f aca="false">IF($G3337="","",IF(COUNTIF($G$2:$G$4460,$G3337)&gt;1,"重複",""))</f>
        <v/>
      </c>
    </row>
    <row r="3338" customFormat="false" ht="16.5" hidden="false" customHeight="true" outlineLevel="0" collapsed="false">
      <c r="A3338" s="2" t="s">
        <v>447</v>
      </c>
      <c r="B3338" s="2" t="s">
        <v>455</v>
      </c>
      <c r="C3338" s="2" t="s">
        <v>4</v>
      </c>
      <c r="D3338" s="2" t="str">
        <f aca="false">IF(4キー同時!$B$97="","",4キー同時!$B$97)</f>
        <v/>
      </c>
      <c r="E3338" s="2" t="str">
        <f aca="false">IF(4キー同時!$G$97="","",4キー同時!$G$97)</f>
        <v/>
      </c>
      <c r="F3338" s="2" t="str">
        <f aca="false">IF(4キー同時!$L$97="","",4キー同時!$L$97)</f>
        <v/>
      </c>
      <c r="G3338" s="2" t="str">
        <f aca="false">IF(OR(4キー同時!$B$97="",4キー同時!$G$97="",4キー同時!$L$97=""),"",IF(4キー同時!V99="","",SUBSTITUTE(SUBSTITUTE(4キー同時!V99," ",""),"　","")))</f>
        <v/>
      </c>
      <c r="H3338" s="2" t="str">
        <f aca="false">IF($G3338="","",4キー同時!$B$97)</f>
        <v/>
      </c>
      <c r="I3338" s="2" t="str">
        <f aca="false">IF($G3338="","",4キー同時!$G$97)</f>
        <v/>
      </c>
      <c r="J3338" s="2" t="str">
        <f aca="false">IF($G3338="","",4キー同時!$L$97)</f>
        <v/>
      </c>
      <c r="K3338" s="2" t="str">
        <f aca="false">IF($G3338="","","5")</f>
        <v/>
      </c>
      <c r="L3338" s="2" t="str">
        <f aca="false">IF($G3338="","","同時")</f>
        <v/>
      </c>
      <c r="M3338" s="2" t="str">
        <f aca="false">IF($G3338="","",IF(ISNA(MATCH($G3338,個別指定!$A:$A,0)),"行なし",""))</f>
        <v/>
      </c>
      <c r="N3338" s="2" t="str">
        <f aca="false">IF($G3338="","",IF(COUNTIF($G$2:$G$4460,$G3338)&gt;1,"重複",""))</f>
        <v/>
      </c>
    </row>
    <row r="3339" customFormat="false" ht="16.5" hidden="false" customHeight="true" outlineLevel="0" collapsed="false">
      <c r="A3339" s="2" t="s">
        <v>447</v>
      </c>
      <c r="B3339" s="2" t="s">
        <v>455</v>
      </c>
      <c r="C3339" s="2" t="s">
        <v>5</v>
      </c>
      <c r="D3339" s="2" t="str">
        <f aca="false">IF(4キー同時!$B$97="","",4キー同時!$B$97)</f>
        <v/>
      </c>
      <c r="E3339" s="2" t="str">
        <f aca="false">IF(4キー同時!$G$97="","",4キー同時!$G$97)</f>
        <v/>
      </c>
      <c r="F3339" s="2" t="str">
        <f aca="false">IF(4キー同時!$L$97="","",4キー同時!$L$97)</f>
        <v/>
      </c>
      <c r="G3339" s="2" t="str">
        <f aca="false">IF(OR(4キー同時!$B$97="",4キー同時!$G$97="",4キー同時!$L$97=""),"",IF(4キー同時!Z99="","",SUBSTITUTE(SUBSTITUTE(4キー同時!Z99," ",""),"　","")))</f>
        <v/>
      </c>
      <c r="H3339" s="2" t="str">
        <f aca="false">IF($G3339="","",4キー同時!$B$97)</f>
        <v/>
      </c>
      <c r="I3339" s="2" t="str">
        <f aca="false">IF($G3339="","",4キー同時!$G$97)</f>
        <v/>
      </c>
      <c r="J3339" s="2" t="str">
        <f aca="false">IF($G3339="","",4キー同時!$L$97)</f>
        <v/>
      </c>
      <c r="K3339" s="2" t="str">
        <f aca="false">IF($G3339="","","6")</f>
        <v/>
      </c>
      <c r="L3339" s="2" t="str">
        <f aca="false">IF($G3339="","","同時")</f>
        <v/>
      </c>
      <c r="M3339" s="2" t="str">
        <f aca="false">IF($G3339="","",IF(ISNA(MATCH($G3339,個別指定!$A:$A,0)),"行なし",""))</f>
        <v/>
      </c>
      <c r="N3339" s="2" t="str">
        <f aca="false">IF($G3339="","",IF(COUNTIF($G$2:$G$4460,$G3339)&gt;1,"重複",""))</f>
        <v/>
      </c>
    </row>
    <row r="3340" customFormat="false" ht="16.5" hidden="false" customHeight="true" outlineLevel="0" collapsed="false">
      <c r="A3340" s="2" t="s">
        <v>447</v>
      </c>
      <c r="B3340" s="2" t="s">
        <v>455</v>
      </c>
      <c r="C3340" s="2" t="s">
        <v>6</v>
      </c>
      <c r="D3340" s="2" t="str">
        <f aca="false">IF(4キー同時!$B$97="","",4キー同時!$B$97)</f>
        <v/>
      </c>
      <c r="E3340" s="2" t="str">
        <f aca="false">IF(4キー同時!$G$97="","",4キー同時!$G$97)</f>
        <v/>
      </c>
      <c r="F3340" s="2" t="str">
        <f aca="false">IF(4キー同時!$L$97="","",4キー同時!$L$97)</f>
        <v/>
      </c>
      <c r="G3340" s="2" t="str">
        <f aca="false">IF(OR(4キー同時!$B$97="",4キー同時!$G$97="",4キー同時!$L$97=""),"",IF(4キー同時!AD99="","",SUBSTITUTE(SUBSTITUTE(4キー同時!AD99," ",""),"　","")))</f>
        <v/>
      </c>
      <c r="H3340" s="2" t="str">
        <f aca="false">IF($G3340="","",4キー同時!$B$97)</f>
        <v/>
      </c>
      <c r="I3340" s="2" t="str">
        <f aca="false">IF($G3340="","",4キー同時!$G$97)</f>
        <v/>
      </c>
      <c r="J3340" s="2" t="str">
        <f aca="false">IF($G3340="","",4キー同時!$L$97)</f>
        <v/>
      </c>
      <c r="K3340" s="2" t="str">
        <f aca="false">IF($G3340="","","7")</f>
        <v/>
      </c>
      <c r="L3340" s="2" t="str">
        <f aca="false">IF($G3340="","","同時")</f>
        <v/>
      </c>
      <c r="M3340" s="2" t="str">
        <f aca="false">IF($G3340="","",IF(ISNA(MATCH($G3340,個別指定!$A:$A,0)),"行なし",""))</f>
        <v/>
      </c>
      <c r="N3340" s="2" t="str">
        <f aca="false">IF($G3340="","",IF(COUNTIF($G$2:$G$4460,$G3340)&gt;1,"重複",""))</f>
        <v/>
      </c>
    </row>
    <row r="3341" customFormat="false" ht="16.5" hidden="false" customHeight="true" outlineLevel="0" collapsed="false">
      <c r="A3341" s="2" t="s">
        <v>447</v>
      </c>
      <c r="B3341" s="2" t="s">
        <v>455</v>
      </c>
      <c r="C3341" s="2" t="s">
        <v>7</v>
      </c>
      <c r="D3341" s="2" t="str">
        <f aca="false">IF(4キー同時!$B$97="","",4キー同時!$B$97)</f>
        <v/>
      </c>
      <c r="E3341" s="2" t="str">
        <f aca="false">IF(4キー同時!$G$97="","",4キー同時!$G$97)</f>
        <v/>
      </c>
      <c r="F3341" s="2" t="str">
        <f aca="false">IF(4キー同時!$L$97="","",4キー同時!$L$97)</f>
        <v/>
      </c>
      <c r="G3341" s="2" t="str">
        <f aca="false">IF(OR(4キー同時!$B$97="",4キー同時!$G$97="",4キー同時!$L$97=""),"",IF(4キー同時!AH99="","",SUBSTITUTE(SUBSTITUTE(4キー同時!AH99," ",""),"　","")))</f>
        <v/>
      </c>
      <c r="H3341" s="2" t="str">
        <f aca="false">IF($G3341="","",4キー同時!$B$97)</f>
        <v/>
      </c>
      <c r="I3341" s="2" t="str">
        <f aca="false">IF($G3341="","",4キー同時!$G$97)</f>
        <v/>
      </c>
      <c r="J3341" s="2" t="str">
        <f aca="false">IF($G3341="","",4キー同時!$L$97)</f>
        <v/>
      </c>
      <c r="K3341" s="2" t="str">
        <f aca="false">IF($G3341="","","8")</f>
        <v/>
      </c>
      <c r="L3341" s="2" t="str">
        <f aca="false">IF($G3341="","","同時")</f>
        <v/>
      </c>
      <c r="M3341" s="2" t="str">
        <f aca="false">IF($G3341="","",IF(ISNA(MATCH($G3341,個別指定!$A:$A,0)),"行なし",""))</f>
        <v/>
      </c>
      <c r="N3341" s="2" t="str">
        <f aca="false">IF($G3341="","",IF(COUNTIF($G$2:$G$4460,$G3341)&gt;1,"重複",""))</f>
        <v/>
      </c>
    </row>
    <row r="3342" customFormat="false" ht="16.5" hidden="false" customHeight="true" outlineLevel="0" collapsed="false">
      <c r="A3342" s="2" t="s">
        <v>447</v>
      </c>
      <c r="B3342" s="2" t="s">
        <v>455</v>
      </c>
      <c r="C3342" s="2" t="s">
        <v>8</v>
      </c>
      <c r="D3342" s="2" t="str">
        <f aca="false">IF(4キー同時!$B$97="","",4キー同時!$B$97)</f>
        <v/>
      </c>
      <c r="E3342" s="2" t="str">
        <f aca="false">IF(4キー同時!$G$97="","",4キー同時!$G$97)</f>
        <v/>
      </c>
      <c r="F3342" s="2" t="str">
        <f aca="false">IF(4キー同時!$L$97="","",4キー同時!$L$97)</f>
        <v/>
      </c>
      <c r="G3342" s="2" t="str">
        <f aca="false">IF(OR(4キー同時!$B$97="",4キー同時!$G$97="",4キー同時!$L$97=""),"",IF(4キー同時!AL99="","",SUBSTITUTE(SUBSTITUTE(4キー同時!AL99," ",""),"　","")))</f>
        <v/>
      </c>
      <c r="H3342" s="2" t="str">
        <f aca="false">IF($G3342="","",4キー同時!$B$97)</f>
        <v/>
      </c>
      <c r="I3342" s="2" t="str">
        <f aca="false">IF($G3342="","",4キー同時!$G$97)</f>
        <v/>
      </c>
      <c r="J3342" s="2" t="str">
        <f aca="false">IF($G3342="","",4キー同時!$L$97)</f>
        <v/>
      </c>
      <c r="K3342" s="2" t="str">
        <f aca="false">IF($G3342="","","9")</f>
        <v/>
      </c>
      <c r="L3342" s="2" t="str">
        <f aca="false">IF($G3342="","","同時")</f>
        <v/>
      </c>
      <c r="M3342" s="2" t="str">
        <f aca="false">IF($G3342="","",IF(ISNA(MATCH($G3342,個別指定!$A:$A,0)),"行なし",""))</f>
        <v/>
      </c>
      <c r="N3342" s="2" t="str">
        <f aca="false">IF($G3342="","",IF(COUNTIF($G$2:$G$4460,$G3342)&gt;1,"重複",""))</f>
        <v/>
      </c>
    </row>
    <row r="3343" customFormat="false" ht="16.5" hidden="false" customHeight="true" outlineLevel="0" collapsed="false">
      <c r="A3343" s="2" t="s">
        <v>447</v>
      </c>
      <c r="B3343" s="2" t="s">
        <v>455</v>
      </c>
      <c r="C3343" s="2" t="s">
        <v>9</v>
      </c>
      <c r="D3343" s="2" t="str">
        <f aca="false">IF(4キー同時!$B$97="","",4キー同時!$B$97)</f>
        <v/>
      </c>
      <c r="E3343" s="2" t="str">
        <f aca="false">IF(4キー同時!$G$97="","",4キー同時!$G$97)</f>
        <v/>
      </c>
      <c r="F3343" s="2" t="str">
        <f aca="false">IF(4キー同時!$L$97="","",4キー同時!$L$97)</f>
        <v/>
      </c>
      <c r="G3343" s="2" t="str">
        <f aca="false">IF(OR(4キー同時!$B$97="",4キー同時!$G$97="",4キー同時!$L$97=""),"",IF(4キー同時!AP99="","",SUBSTITUTE(SUBSTITUTE(4キー同時!AP99," ",""),"　","")))</f>
        <v/>
      </c>
      <c r="H3343" s="2" t="str">
        <f aca="false">IF($G3343="","",4キー同時!$B$97)</f>
        <v/>
      </c>
      <c r="I3343" s="2" t="str">
        <f aca="false">IF($G3343="","",4キー同時!$G$97)</f>
        <v/>
      </c>
      <c r="J3343" s="2" t="str">
        <f aca="false">IF($G3343="","",4キー同時!$L$97)</f>
        <v/>
      </c>
      <c r="K3343" s="2" t="str">
        <f aca="false">IF($G3343="","","0")</f>
        <v/>
      </c>
      <c r="L3343" s="2" t="str">
        <f aca="false">IF($G3343="","","同時")</f>
        <v/>
      </c>
      <c r="M3343" s="2" t="str">
        <f aca="false">IF($G3343="","",IF(ISNA(MATCH($G3343,個別指定!$A:$A,0)),"行なし",""))</f>
        <v/>
      </c>
      <c r="N3343" s="2" t="str">
        <f aca="false">IF($G3343="","",IF(COUNTIF($G$2:$G$4460,$G3343)&gt;1,"重複",""))</f>
        <v/>
      </c>
    </row>
    <row r="3344" customFormat="false" ht="16.5" hidden="false" customHeight="true" outlineLevel="0" collapsed="false">
      <c r="A3344" s="2" t="s">
        <v>447</v>
      </c>
      <c r="B3344" s="2" t="s">
        <v>455</v>
      </c>
      <c r="C3344" s="2" t="s">
        <v>10</v>
      </c>
      <c r="D3344" s="2" t="str">
        <f aca="false">IF(4キー同時!$B$97="","",4キー同時!$B$97)</f>
        <v/>
      </c>
      <c r="E3344" s="2" t="str">
        <f aca="false">IF(4キー同時!$G$97="","",4キー同時!$G$97)</f>
        <v/>
      </c>
      <c r="F3344" s="2" t="str">
        <f aca="false">IF(4キー同時!$L$97="","",4キー同時!$L$97)</f>
        <v/>
      </c>
      <c r="G3344" s="2" t="str">
        <f aca="false">IF(OR(4キー同時!$B$97="",4キー同時!$G$97="",4キー同時!$L$97=""),"",IF(4キー同時!AT99="","",SUBSTITUTE(SUBSTITUTE(4キー同時!AT99," ",""),"　","")))</f>
        <v/>
      </c>
      <c r="H3344" s="2" t="str">
        <f aca="false">IF($G3344="","",4キー同時!$B$97)</f>
        <v/>
      </c>
      <c r="I3344" s="2" t="str">
        <f aca="false">IF($G3344="","",4キー同時!$G$97)</f>
        <v/>
      </c>
      <c r="J3344" s="2" t="str">
        <f aca="false">IF($G3344="","",4キー同時!$L$97)</f>
        <v/>
      </c>
      <c r="K3344" s="2" t="str">
        <f aca="false">IF($G3344="","","-")</f>
        <v/>
      </c>
      <c r="L3344" s="2" t="str">
        <f aca="false">IF($G3344="","","同時")</f>
        <v/>
      </c>
      <c r="M3344" s="2" t="str">
        <f aca="false">IF($G3344="","",IF(ISNA(MATCH($G3344,個別指定!$A:$A,0)),"行なし",""))</f>
        <v/>
      </c>
      <c r="N3344" s="2" t="str">
        <f aca="false">IF($G3344="","",IF(COUNTIF($G$2:$G$4460,$G3344)&gt;1,"重複",""))</f>
        <v/>
      </c>
    </row>
    <row r="3345" customFormat="false" ht="16.5" hidden="false" customHeight="true" outlineLevel="0" collapsed="false">
      <c r="A3345" s="2" t="s">
        <v>447</v>
      </c>
      <c r="B3345" s="2" t="s">
        <v>455</v>
      </c>
      <c r="C3345" s="2" t="s">
        <v>11</v>
      </c>
      <c r="D3345" s="2" t="str">
        <f aca="false">IF(4キー同時!$B$97="","",4キー同時!$B$97)</f>
        <v/>
      </c>
      <c r="E3345" s="2" t="str">
        <f aca="false">IF(4キー同時!$G$97="","",4キー同時!$G$97)</f>
        <v/>
      </c>
      <c r="F3345" s="2" t="str">
        <f aca="false">IF(4キー同時!$L$97="","",4キー同時!$L$97)</f>
        <v/>
      </c>
      <c r="G3345" s="2" t="str">
        <f aca="false">IF(OR(4キー同時!$B$97="",4キー同時!$G$97="",4キー同時!$L$97=""),"",IF(4キー同時!AX99="","",SUBSTITUTE(SUBSTITUTE(4キー同時!AX99," ",""),"　","")))</f>
        <v/>
      </c>
      <c r="H3345" s="2" t="str">
        <f aca="false">IF($G3345="","",4キー同時!$B$97)</f>
        <v/>
      </c>
      <c r="I3345" s="2" t="str">
        <f aca="false">IF($G3345="","",4キー同時!$G$97)</f>
        <v/>
      </c>
      <c r="J3345" s="2" t="str">
        <f aca="false">IF($G3345="","",4キー同時!$L$97)</f>
        <v/>
      </c>
      <c r="K3345" s="2" t="str">
        <f aca="false">IF($G3345="","","=")</f>
        <v/>
      </c>
      <c r="L3345" s="2" t="str">
        <f aca="false">IF($G3345="","","同時")</f>
        <v/>
      </c>
      <c r="M3345" s="2" t="str">
        <f aca="false">IF($G3345="","",IF(ISNA(MATCH($G3345,個別指定!$A:$A,0)),"行なし",""))</f>
        <v/>
      </c>
      <c r="N3345" s="2" t="str">
        <f aca="false">IF($G3345="","",IF(COUNTIF($G$2:$G$4460,$G3345)&gt;1,"重複",""))</f>
        <v/>
      </c>
    </row>
    <row r="3346" customFormat="false" ht="16.5" hidden="false" customHeight="true" outlineLevel="0" collapsed="false">
      <c r="A3346" s="2" t="s">
        <v>447</v>
      </c>
      <c r="B3346" s="2" t="s">
        <v>455</v>
      </c>
      <c r="C3346" s="2" t="s">
        <v>12</v>
      </c>
      <c r="D3346" s="2" t="str">
        <f aca="false">IF(4キー同時!$B$97="","",4キー同時!$B$97)</f>
        <v/>
      </c>
      <c r="E3346" s="2" t="str">
        <f aca="false">IF(4キー同時!$G$97="","",4キー同時!$G$97)</f>
        <v/>
      </c>
      <c r="F3346" s="2" t="str">
        <f aca="false">IF(4キー同時!$L$97="","",4キー同時!$L$97)</f>
        <v/>
      </c>
      <c r="G3346" s="2" t="str">
        <f aca="false">IF(OR(4キー同時!$B$97="",4キー同時!$G$97="",4キー同時!$L$97=""),"",IF(4キー同時!H101="","",SUBSTITUTE(SUBSTITUTE(4キー同時!H101," ",""),"　","")))</f>
        <v/>
      </c>
      <c r="H3346" s="2" t="str">
        <f aca="false">IF($G3346="","",4キー同時!$B$97)</f>
        <v/>
      </c>
      <c r="I3346" s="2" t="str">
        <f aca="false">IF($G3346="","",4キー同時!$G$97)</f>
        <v/>
      </c>
      <c r="J3346" s="2" t="str">
        <f aca="false">IF($G3346="","",4キー同時!$L$97)</f>
        <v/>
      </c>
      <c r="K3346" s="2" t="str">
        <f aca="false">IF($G3346="","","q")</f>
        <v/>
      </c>
      <c r="L3346" s="2" t="str">
        <f aca="false">IF($G3346="","","同時")</f>
        <v/>
      </c>
      <c r="M3346" s="2" t="str">
        <f aca="false">IF($G3346="","",IF(ISNA(MATCH($G3346,個別指定!$A:$A,0)),"行なし",""))</f>
        <v/>
      </c>
      <c r="N3346" s="2" t="str">
        <f aca="false">IF($G3346="","",IF(COUNTIF($G$2:$G$4460,$G3346)&gt;1,"重複",""))</f>
        <v/>
      </c>
    </row>
    <row r="3347" customFormat="false" ht="16.5" hidden="false" customHeight="true" outlineLevel="0" collapsed="false">
      <c r="A3347" s="2" t="s">
        <v>447</v>
      </c>
      <c r="B3347" s="2" t="s">
        <v>455</v>
      </c>
      <c r="C3347" s="2" t="s">
        <v>13</v>
      </c>
      <c r="D3347" s="2" t="str">
        <f aca="false">IF(4キー同時!$B$97="","",4キー同時!$B$97)</f>
        <v/>
      </c>
      <c r="E3347" s="2" t="str">
        <f aca="false">IF(4キー同時!$G$97="","",4キー同時!$G$97)</f>
        <v/>
      </c>
      <c r="F3347" s="2" t="str">
        <f aca="false">IF(4キー同時!$L$97="","",4キー同時!$L$97)</f>
        <v/>
      </c>
      <c r="G3347" s="2" t="str">
        <f aca="false">IF(OR(4キー同時!$B$97="",4キー同時!$G$97="",4キー同時!$L$97=""),"",IF(4キー同時!L101="","",SUBSTITUTE(SUBSTITUTE(4キー同時!L101," ",""),"　","")))</f>
        <v/>
      </c>
      <c r="H3347" s="2" t="str">
        <f aca="false">IF($G3347="","",4キー同時!$B$97)</f>
        <v/>
      </c>
      <c r="I3347" s="2" t="str">
        <f aca="false">IF($G3347="","",4キー同時!$G$97)</f>
        <v/>
      </c>
      <c r="J3347" s="2" t="str">
        <f aca="false">IF($G3347="","",4キー同時!$L$97)</f>
        <v/>
      </c>
      <c r="K3347" s="2" t="str">
        <f aca="false">IF($G3347="","","w")</f>
        <v/>
      </c>
      <c r="L3347" s="2" t="str">
        <f aca="false">IF($G3347="","","同時")</f>
        <v/>
      </c>
      <c r="M3347" s="2" t="str">
        <f aca="false">IF($G3347="","",IF(ISNA(MATCH($G3347,個別指定!$A:$A,0)),"行なし",""))</f>
        <v/>
      </c>
      <c r="N3347" s="2" t="str">
        <f aca="false">IF($G3347="","",IF(COUNTIF($G$2:$G$4460,$G3347)&gt;1,"重複",""))</f>
        <v/>
      </c>
    </row>
    <row r="3348" customFormat="false" ht="16.5" hidden="false" customHeight="true" outlineLevel="0" collapsed="false">
      <c r="A3348" s="2" t="s">
        <v>447</v>
      </c>
      <c r="B3348" s="2" t="s">
        <v>455</v>
      </c>
      <c r="C3348" s="2" t="s">
        <v>14</v>
      </c>
      <c r="D3348" s="2" t="str">
        <f aca="false">IF(4キー同時!$B$97="","",4キー同時!$B$97)</f>
        <v/>
      </c>
      <c r="E3348" s="2" t="str">
        <f aca="false">IF(4キー同時!$G$97="","",4キー同時!$G$97)</f>
        <v/>
      </c>
      <c r="F3348" s="2" t="str">
        <f aca="false">IF(4キー同時!$L$97="","",4キー同時!$L$97)</f>
        <v/>
      </c>
      <c r="G3348" s="2" t="str">
        <f aca="false">IF(OR(4キー同時!$B$97="",4キー同時!$G$97="",4キー同時!$L$97=""),"",IF(4キー同時!P101="","",SUBSTITUTE(SUBSTITUTE(4キー同時!P101," ",""),"　","")))</f>
        <v/>
      </c>
      <c r="H3348" s="2" t="str">
        <f aca="false">IF($G3348="","",4キー同時!$B$97)</f>
        <v/>
      </c>
      <c r="I3348" s="2" t="str">
        <f aca="false">IF($G3348="","",4キー同時!$G$97)</f>
        <v/>
      </c>
      <c r="J3348" s="2" t="str">
        <f aca="false">IF($G3348="","",4キー同時!$L$97)</f>
        <v/>
      </c>
      <c r="K3348" s="2" t="str">
        <f aca="false">IF($G3348="","","e")</f>
        <v/>
      </c>
      <c r="L3348" s="2" t="str">
        <f aca="false">IF($G3348="","","同時")</f>
        <v/>
      </c>
      <c r="M3348" s="2" t="str">
        <f aca="false">IF($G3348="","",IF(ISNA(MATCH($G3348,個別指定!$A:$A,0)),"行なし",""))</f>
        <v/>
      </c>
      <c r="N3348" s="2" t="str">
        <f aca="false">IF($G3348="","",IF(COUNTIF($G$2:$G$4460,$G3348)&gt;1,"重複",""))</f>
        <v/>
      </c>
    </row>
    <row r="3349" customFormat="false" ht="16.5" hidden="false" customHeight="true" outlineLevel="0" collapsed="false">
      <c r="A3349" s="2" t="s">
        <v>447</v>
      </c>
      <c r="B3349" s="2" t="s">
        <v>455</v>
      </c>
      <c r="C3349" s="2" t="s">
        <v>15</v>
      </c>
      <c r="D3349" s="2" t="str">
        <f aca="false">IF(4キー同時!$B$97="","",4キー同時!$B$97)</f>
        <v/>
      </c>
      <c r="E3349" s="2" t="str">
        <f aca="false">IF(4キー同時!$G$97="","",4キー同時!$G$97)</f>
        <v/>
      </c>
      <c r="F3349" s="2" t="str">
        <f aca="false">IF(4キー同時!$L$97="","",4キー同時!$L$97)</f>
        <v/>
      </c>
      <c r="G3349" s="2" t="str">
        <f aca="false">IF(OR(4キー同時!$B$97="",4キー同時!$G$97="",4キー同時!$L$97=""),"",IF(4キー同時!T101="","",SUBSTITUTE(SUBSTITUTE(4キー同時!T101," ",""),"　","")))</f>
        <v/>
      </c>
      <c r="H3349" s="2" t="str">
        <f aca="false">IF($G3349="","",4キー同時!$B$97)</f>
        <v/>
      </c>
      <c r="I3349" s="2" t="str">
        <f aca="false">IF($G3349="","",4キー同時!$G$97)</f>
        <v/>
      </c>
      <c r="J3349" s="2" t="str">
        <f aca="false">IF($G3349="","",4キー同時!$L$97)</f>
        <v/>
      </c>
      <c r="K3349" s="2" t="str">
        <f aca="false">IF($G3349="","","r")</f>
        <v/>
      </c>
      <c r="L3349" s="2" t="str">
        <f aca="false">IF($G3349="","","同時")</f>
        <v/>
      </c>
      <c r="M3349" s="2" t="str">
        <f aca="false">IF($G3349="","",IF(ISNA(MATCH($G3349,個別指定!$A:$A,0)),"行なし",""))</f>
        <v/>
      </c>
      <c r="N3349" s="2" t="str">
        <f aca="false">IF($G3349="","",IF(COUNTIF($G$2:$G$4460,$G3349)&gt;1,"重複",""))</f>
        <v/>
      </c>
    </row>
    <row r="3350" customFormat="false" ht="16.5" hidden="false" customHeight="true" outlineLevel="0" collapsed="false">
      <c r="A3350" s="2" t="s">
        <v>447</v>
      </c>
      <c r="B3350" s="2" t="s">
        <v>455</v>
      </c>
      <c r="C3350" s="2" t="s">
        <v>16</v>
      </c>
      <c r="D3350" s="2" t="str">
        <f aca="false">IF(4キー同時!$B$97="","",4キー同時!$B$97)</f>
        <v/>
      </c>
      <c r="E3350" s="2" t="str">
        <f aca="false">IF(4キー同時!$G$97="","",4キー同時!$G$97)</f>
        <v/>
      </c>
      <c r="F3350" s="2" t="str">
        <f aca="false">IF(4キー同時!$L$97="","",4キー同時!$L$97)</f>
        <v/>
      </c>
      <c r="G3350" s="2" t="str">
        <f aca="false">IF(OR(4キー同時!$B$97="",4キー同時!$G$97="",4キー同時!$L$97=""),"",IF(4キー同時!X101="","",SUBSTITUTE(SUBSTITUTE(4キー同時!X101," ",""),"　","")))</f>
        <v/>
      </c>
      <c r="H3350" s="2" t="str">
        <f aca="false">IF($G3350="","",4キー同時!$B$97)</f>
        <v/>
      </c>
      <c r="I3350" s="2" t="str">
        <f aca="false">IF($G3350="","",4キー同時!$G$97)</f>
        <v/>
      </c>
      <c r="J3350" s="2" t="str">
        <f aca="false">IF($G3350="","",4キー同時!$L$97)</f>
        <v/>
      </c>
      <c r="K3350" s="2" t="str">
        <f aca="false">IF($G3350="","","t")</f>
        <v/>
      </c>
      <c r="L3350" s="2" t="str">
        <f aca="false">IF($G3350="","","同時")</f>
        <v/>
      </c>
      <c r="M3350" s="2" t="str">
        <f aca="false">IF($G3350="","",IF(ISNA(MATCH($G3350,個別指定!$A:$A,0)),"行なし",""))</f>
        <v/>
      </c>
      <c r="N3350" s="2" t="str">
        <f aca="false">IF($G3350="","",IF(COUNTIF($G$2:$G$4460,$G3350)&gt;1,"重複",""))</f>
        <v/>
      </c>
    </row>
    <row r="3351" customFormat="false" ht="16.5" hidden="false" customHeight="true" outlineLevel="0" collapsed="false">
      <c r="A3351" s="2" t="s">
        <v>447</v>
      </c>
      <c r="B3351" s="2" t="s">
        <v>455</v>
      </c>
      <c r="C3351" s="2" t="s">
        <v>17</v>
      </c>
      <c r="D3351" s="2" t="str">
        <f aca="false">IF(4キー同時!$B$97="","",4キー同時!$B$97)</f>
        <v/>
      </c>
      <c r="E3351" s="2" t="str">
        <f aca="false">IF(4キー同時!$G$97="","",4キー同時!$G$97)</f>
        <v/>
      </c>
      <c r="F3351" s="2" t="str">
        <f aca="false">IF(4キー同時!$L$97="","",4キー同時!$L$97)</f>
        <v/>
      </c>
      <c r="G3351" s="2" t="str">
        <f aca="false">IF(OR(4キー同時!$B$97="",4キー同時!$G$97="",4キー同時!$L$97=""),"",IF(4キー同時!AB101="","",SUBSTITUTE(SUBSTITUTE(4キー同時!AB101," ",""),"　","")))</f>
        <v/>
      </c>
      <c r="H3351" s="2" t="str">
        <f aca="false">IF($G3351="","",4キー同時!$B$97)</f>
        <v/>
      </c>
      <c r="I3351" s="2" t="str">
        <f aca="false">IF($G3351="","",4キー同時!$G$97)</f>
        <v/>
      </c>
      <c r="J3351" s="2" t="str">
        <f aca="false">IF($G3351="","",4キー同時!$L$97)</f>
        <v/>
      </c>
      <c r="K3351" s="2" t="str">
        <f aca="false">IF($G3351="","","y")</f>
        <v/>
      </c>
      <c r="L3351" s="2" t="str">
        <f aca="false">IF($G3351="","","同時")</f>
        <v/>
      </c>
      <c r="M3351" s="2" t="str">
        <f aca="false">IF($G3351="","",IF(ISNA(MATCH($G3351,個別指定!$A:$A,0)),"行なし",""))</f>
        <v/>
      </c>
      <c r="N3351" s="2" t="str">
        <f aca="false">IF($G3351="","",IF(COUNTIF($G$2:$G$4460,$G3351)&gt;1,"重複",""))</f>
        <v/>
      </c>
    </row>
    <row r="3352" customFormat="false" ht="16.5" hidden="false" customHeight="true" outlineLevel="0" collapsed="false">
      <c r="A3352" s="2" t="s">
        <v>447</v>
      </c>
      <c r="B3352" s="2" t="s">
        <v>455</v>
      </c>
      <c r="C3352" s="2" t="s">
        <v>18</v>
      </c>
      <c r="D3352" s="2" t="str">
        <f aca="false">IF(4キー同時!$B$97="","",4キー同時!$B$97)</f>
        <v/>
      </c>
      <c r="E3352" s="2" t="str">
        <f aca="false">IF(4キー同時!$G$97="","",4キー同時!$G$97)</f>
        <v/>
      </c>
      <c r="F3352" s="2" t="str">
        <f aca="false">IF(4キー同時!$L$97="","",4キー同時!$L$97)</f>
        <v/>
      </c>
      <c r="G3352" s="2" t="str">
        <f aca="false">IF(OR(4キー同時!$B$97="",4キー同時!$G$97="",4キー同時!$L$97=""),"",IF(4キー同時!AF101="","",SUBSTITUTE(SUBSTITUTE(4キー同時!AF101," ",""),"　","")))</f>
        <v/>
      </c>
      <c r="H3352" s="2" t="str">
        <f aca="false">IF($G3352="","",4キー同時!$B$97)</f>
        <v/>
      </c>
      <c r="I3352" s="2" t="str">
        <f aca="false">IF($G3352="","",4キー同時!$G$97)</f>
        <v/>
      </c>
      <c r="J3352" s="2" t="str">
        <f aca="false">IF($G3352="","",4キー同時!$L$97)</f>
        <v/>
      </c>
      <c r="K3352" s="2" t="str">
        <f aca="false">IF($G3352="","","u")</f>
        <v/>
      </c>
      <c r="L3352" s="2" t="str">
        <f aca="false">IF($G3352="","","同時")</f>
        <v/>
      </c>
      <c r="M3352" s="2" t="str">
        <f aca="false">IF($G3352="","",IF(ISNA(MATCH($G3352,個別指定!$A:$A,0)),"行なし",""))</f>
        <v/>
      </c>
      <c r="N3352" s="2" t="str">
        <f aca="false">IF($G3352="","",IF(COUNTIF($G$2:$G$4460,$G3352)&gt;1,"重複",""))</f>
        <v/>
      </c>
    </row>
    <row r="3353" customFormat="false" ht="16.5" hidden="false" customHeight="true" outlineLevel="0" collapsed="false">
      <c r="A3353" s="2" t="s">
        <v>447</v>
      </c>
      <c r="B3353" s="2" t="s">
        <v>455</v>
      </c>
      <c r="C3353" s="2" t="s">
        <v>19</v>
      </c>
      <c r="D3353" s="2" t="str">
        <f aca="false">IF(4キー同時!$B$97="","",4キー同時!$B$97)</f>
        <v/>
      </c>
      <c r="E3353" s="2" t="str">
        <f aca="false">IF(4キー同時!$G$97="","",4キー同時!$G$97)</f>
        <v/>
      </c>
      <c r="F3353" s="2" t="str">
        <f aca="false">IF(4キー同時!$L$97="","",4キー同時!$L$97)</f>
        <v/>
      </c>
      <c r="G3353" s="2" t="str">
        <f aca="false">IF(OR(4キー同時!$B$97="",4キー同時!$G$97="",4キー同時!$L$97=""),"",IF(4キー同時!AJ101="","",SUBSTITUTE(SUBSTITUTE(4キー同時!AJ101," ",""),"　","")))</f>
        <v/>
      </c>
      <c r="H3353" s="2" t="str">
        <f aca="false">IF($G3353="","",4キー同時!$B$97)</f>
        <v/>
      </c>
      <c r="I3353" s="2" t="str">
        <f aca="false">IF($G3353="","",4キー同時!$G$97)</f>
        <v/>
      </c>
      <c r="J3353" s="2" t="str">
        <f aca="false">IF($G3353="","",4キー同時!$L$97)</f>
        <v/>
      </c>
      <c r="K3353" s="2" t="str">
        <f aca="false">IF($G3353="","","i")</f>
        <v/>
      </c>
      <c r="L3353" s="2" t="str">
        <f aca="false">IF($G3353="","","同時")</f>
        <v/>
      </c>
      <c r="M3353" s="2" t="str">
        <f aca="false">IF($G3353="","",IF(ISNA(MATCH($G3353,個別指定!$A:$A,0)),"行なし",""))</f>
        <v/>
      </c>
      <c r="N3353" s="2" t="str">
        <f aca="false">IF($G3353="","",IF(COUNTIF($G$2:$G$4460,$G3353)&gt;1,"重複",""))</f>
        <v/>
      </c>
    </row>
    <row r="3354" customFormat="false" ht="16.5" hidden="false" customHeight="true" outlineLevel="0" collapsed="false">
      <c r="A3354" s="2" t="s">
        <v>447</v>
      </c>
      <c r="B3354" s="2" t="s">
        <v>455</v>
      </c>
      <c r="C3354" s="2" t="s">
        <v>20</v>
      </c>
      <c r="D3354" s="2" t="str">
        <f aca="false">IF(4キー同時!$B$97="","",4キー同時!$B$97)</f>
        <v/>
      </c>
      <c r="E3354" s="2" t="str">
        <f aca="false">IF(4キー同時!$G$97="","",4キー同時!$G$97)</f>
        <v/>
      </c>
      <c r="F3354" s="2" t="str">
        <f aca="false">IF(4キー同時!$L$97="","",4キー同時!$L$97)</f>
        <v/>
      </c>
      <c r="G3354" s="2" t="str">
        <f aca="false">IF(OR(4キー同時!$B$97="",4キー同時!$G$97="",4キー同時!$L$97=""),"",IF(4キー同時!AN101="","",SUBSTITUTE(SUBSTITUTE(4キー同時!AN101," ",""),"　","")))</f>
        <v/>
      </c>
      <c r="H3354" s="2" t="str">
        <f aca="false">IF($G3354="","",4キー同時!$B$97)</f>
        <v/>
      </c>
      <c r="I3354" s="2" t="str">
        <f aca="false">IF($G3354="","",4キー同時!$G$97)</f>
        <v/>
      </c>
      <c r="J3354" s="2" t="str">
        <f aca="false">IF($G3354="","",4キー同時!$L$97)</f>
        <v/>
      </c>
      <c r="K3354" s="2" t="str">
        <f aca="false">IF($G3354="","","o")</f>
        <v/>
      </c>
      <c r="L3354" s="2" t="str">
        <f aca="false">IF($G3354="","","同時")</f>
        <v/>
      </c>
      <c r="M3354" s="2" t="str">
        <f aca="false">IF($G3354="","",IF(ISNA(MATCH($G3354,個別指定!$A:$A,0)),"行なし",""))</f>
        <v/>
      </c>
      <c r="N3354" s="2" t="str">
        <f aca="false">IF($G3354="","",IF(COUNTIF($G$2:$G$4460,$G3354)&gt;1,"重複",""))</f>
        <v/>
      </c>
    </row>
    <row r="3355" customFormat="false" ht="16.5" hidden="false" customHeight="true" outlineLevel="0" collapsed="false">
      <c r="A3355" s="2" t="s">
        <v>447</v>
      </c>
      <c r="B3355" s="2" t="s">
        <v>455</v>
      </c>
      <c r="C3355" s="2" t="s">
        <v>21</v>
      </c>
      <c r="D3355" s="2" t="str">
        <f aca="false">IF(4キー同時!$B$97="","",4キー同時!$B$97)</f>
        <v/>
      </c>
      <c r="E3355" s="2" t="str">
        <f aca="false">IF(4キー同時!$G$97="","",4キー同時!$G$97)</f>
        <v/>
      </c>
      <c r="F3355" s="2" t="str">
        <f aca="false">IF(4キー同時!$L$97="","",4キー同時!$L$97)</f>
        <v/>
      </c>
      <c r="G3355" s="2" t="str">
        <f aca="false">IF(OR(4キー同時!$B$97="",4キー同時!$G$97="",4キー同時!$L$97=""),"",IF(4キー同時!AR101="","",SUBSTITUTE(SUBSTITUTE(4キー同時!AR101," ",""),"　","")))</f>
        <v/>
      </c>
      <c r="H3355" s="2" t="str">
        <f aca="false">IF($G3355="","",4キー同時!$B$97)</f>
        <v/>
      </c>
      <c r="I3355" s="2" t="str">
        <f aca="false">IF($G3355="","",4キー同時!$G$97)</f>
        <v/>
      </c>
      <c r="J3355" s="2" t="str">
        <f aca="false">IF($G3355="","",4キー同時!$L$97)</f>
        <v/>
      </c>
      <c r="K3355" s="2" t="str">
        <f aca="false">IF($G3355="","","p")</f>
        <v/>
      </c>
      <c r="L3355" s="2" t="str">
        <f aca="false">IF($G3355="","","同時")</f>
        <v/>
      </c>
      <c r="M3355" s="2" t="str">
        <f aca="false">IF($G3355="","",IF(ISNA(MATCH($G3355,個別指定!$A:$A,0)),"行なし",""))</f>
        <v/>
      </c>
      <c r="N3355" s="2" t="str">
        <f aca="false">IF($G3355="","",IF(COUNTIF($G$2:$G$4460,$G3355)&gt;1,"重複",""))</f>
        <v/>
      </c>
    </row>
    <row r="3356" customFormat="false" ht="16.5" hidden="false" customHeight="true" outlineLevel="0" collapsed="false">
      <c r="A3356" s="2" t="s">
        <v>447</v>
      </c>
      <c r="B3356" s="2" t="s">
        <v>455</v>
      </c>
      <c r="C3356" s="2" t="s">
        <v>22</v>
      </c>
      <c r="D3356" s="2" t="str">
        <f aca="false">IF(4キー同時!$B$97="","",4キー同時!$B$97)</f>
        <v/>
      </c>
      <c r="E3356" s="2" t="str">
        <f aca="false">IF(4キー同時!$G$97="","",4キー同時!$G$97)</f>
        <v/>
      </c>
      <c r="F3356" s="2" t="str">
        <f aca="false">IF(4キー同時!$L$97="","",4キー同時!$L$97)</f>
        <v/>
      </c>
      <c r="G3356" s="2" t="str">
        <f aca="false">IF(OR(4キー同時!$B$97="",4キー同時!$G$97="",4キー同時!$L$97=""),"",IF(4キー同時!AV101="","",SUBSTITUTE(SUBSTITUTE(4キー同時!AV101," ",""),"　","")))</f>
        <v/>
      </c>
      <c r="H3356" s="2" t="str">
        <f aca="false">IF($G3356="","",4キー同時!$B$97)</f>
        <v/>
      </c>
      <c r="I3356" s="2" t="str">
        <f aca="false">IF($G3356="","",4キー同時!$G$97)</f>
        <v/>
      </c>
      <c r="J3356" s="2" t="str">
        <f aca="false">IF($G3356="","",4キー同時!$L$97)</f>
        <v/>
      </c>
      <c r="K3356" s="2" t="str">
        <f aca="false">IF($G3356="","","[")</f>
        <v/>
      </c>
      <c r="L3356" s="2" t="str">
        <f aca="false">IF($G3356="","","同時")</f>
        <v/>
      </c>
      <c r="M3356" s="2" t="str">
        <f aca="false">IF($G3356="","",IF(ISNA(MATCH($G3356,個別指定!$A:$A,0)),"行なし",""))</f>
        <v/>
      </c>
      <c r="N3356" s="2" t="str">
        <f aca="false">IF($G3356="","",IF(COUNTIF($G$2:$G$4460,$G3356)&gt;1,"重複",""))</f>
        <v/>
      </c>
    </row>
    <row r="3357" customFormat="false" ht="16.5" hidden="false" customHeight="true" outlineLevel="0" collapsed="false">
      <c r="A3357" s="2" t="s">
        <v>447</v>
      </c>
      <c r="B3357" s="2" t="s">
        <v>455</v>
      </c>
      <c r="C3357" s="2" t="s">
        <v>23</v>
      </c>
      <c r="D3357" s="2" t="str">
        <f aca="false">IF(4キー同時!$B$97="","",4キー同時!$B$97)</f>
        <v/>
      </c>
      <c r="E3357" s="2" t="str">
        <f aca="false">IF(4キー同時!$G$97="","",4キー同時!$G$97)</f>
        <v/>
      </c>
      <c r="F3357" s="2" t="str">
        <f aca="false">IF(4キー同時!$L$97="","",4キー同時!$L$97)</f>
        <v/>
      </c>
      <c r="G3357" s="2" t="str">
        <f aca="false">IF(OR(4キー同時!$B$97="",4キー同時!$G$97="",4キー同時!$L$97=""),"",IF(4キー同時!AZ101="","",SUBSTITUTE(SUBSTITUTE(4キー同時!AZ101," ",""),"　","")))</f>
        <v/>
      </c>
      <c r="H3357" s="2" t="str">
        <f aca="false">IF($G3357="","",4キー同時!$B$97)</f>
        <v/>
      </c>
      <c r="I3357" s="2" t="str">
        <f aca="false">IF($G3357="","",4キー同時!$G$97)</f>
        <v/>
      </c>
      <c r="J3357" s="2" t="str">
        <f aca="false">IF($G3357="","",4キー同時!$L$97)</f>
        <v/>
      </c>
      <c r="K3357" s="2" t="str">
        <f aca="false">IF($G3357="","","]")</f>
        <v/>
      </c>
      <c r="L3357" s="2" t="str">
        <f aca="false">IF($G3357="","","同時")</f>
        <v/>
      </c>
      <c r="M3357" s="2" t="str">
        <f aca="false">IF($G3357="","",IF(ISNA(MATCH($G3357,個別指定!$A:$A,0)),"行なし",""))</f>
        <v/>
      </c>
      <c r="N3357" s="2" t="str">
        <f aca="false">IF($G3357="","",IF(COUNTIF($G$2:$G$4460,$G3357)&gt;1,"重複",""))</f>
        <v/>
      </c>
    </row>
    <row r="3358" customFormat="false" ht="16.5" hidden="false" customHeight="true" outlineLevel="0" collapsed="false">
      <c r="A3358" s="2" t="s">
        <v>447</v>
      </c>
      <c r="B3358" s="2" t="s">
        <v>455</v>
      </c>
      <c r="C3358" s="2" t="s">
        <v>24</v>
      </c>
      <c r="D3358" s="2" t="str">
        <f aca="false">IF(4キー同時!$B$97="","",4キー同時!$B$97)</f>
        <v/>
      </c>
      <c r="E3358" s="2" t="str">
        <f aca="false">IF(4キー同時!$G$97="","",4キー同時!$G$97)</f>
        <v/>
      </c>
      <c r="F3358" s="2" t="str">
        <f aca="false">IF(4キー同時!$L$97="","",4キー同時!$L$97)</f>
        <v/>
      </c>
      <c r="G3358" s="2" t="str">
        <f aca="false">IF(OR(4キー同時!$B$97="",4キー同時!$G$97="",4キー同時!$L$97=""),"",IF(4キー同時!I103="","",SUBSTITUTE(SUBSTITUTE(4キー同時!I103," ",""),"　","")))</f>
        <v/>
      </c>
      <c r="H3358" s="2" t="str">
        <f aca="false">IF($G3358="","",4キー同時!$B$97)</f>
        <v/>
      </c>
      <c r="I3358" s="2" t="str">
        <f aca="false">IF($G3358="","",4キー同時!$G$97)</f>
        <v/>
      </c>
      <c r="J3358" s="2" t="str">
        <f aca="false">IF($G3358="","",4キー同時!$L$97)</f>
        <v/>
      </c>
      <c r="K3358" s="2" t="str">
        <f aca="false">IF($G3358="","","a")</f>
        <v/>
      </c>
      <c r="L3358" s="2" t="str">
        <f aca="false">IF($G3358="","","同時")</f>
        <v/>
      </c>
      <c r="M3358" s="2" t="str">
        <f aca="false">IF($G3358="","",IF(ISNA(MATCH($G3358,個別指定!$A:$A,0)),"行なし",""))</f>
        <v/>
      </c>
      <c r="N3358" s="2" t="str">
        <f aca="false">IF($G3358="","",IF(COUNTIF($G$2:$G$4460,$G3358)&gt;1,"重複",""))</f>
        <v/>
      </c>
    </row>
    <row r="3359" customFormat="false" ht="16.5" hidden="false" customHeight="true" outlineLevel="0" collapsed="false">
      <c r="A3359" s="2" t="s">
        <v>447</v>
      </c>
      <c r="B3359" s="2" t="s">
        <v>455</v>
      </c>
      <c r="C3359" s="2" t="s">
        <v>25</v>
      </c>
      <c r="D3359" s="2" t="str">
        <f aca="false">IF(4キー同時!$B$97="","",4キー同時!$B$97)</f>
        <v/>
      </c>
      <c r="E3359" s="2" t="str">
        <f aca="false">IF(4キー同時!$G$97="","",4キー同時!$G$97)</f>
        <v/>
      </c>
      <c r="F3359" s="2" t="str">
        <f aca="false">IF(4キー同時!$L$97="","",4キー同時!$L$97)</f>
        <v/>
      </c>
      <c r="G3359" s="2" t="str">
        <f aca="false">IF(OR(4キー同時!$B$97="",4キー同時!$G$97="",4キー同時!$L$97=""),"",IF(4キー同時!M103="","",SUBSTITUTE(SUBSTITUTE(4キー同時!M103," ",""),"　","")))</f>
        <v/>
      </c>
      <c r="H3359" s="2" t="str">
        <f aca="false">IF($G3359="","",4キー同時!$B$97)</f>
        <v/>
      </c>
      <c r="I3359" s="2" t="str">
        <f aca="false">IF($G3359="","",4キー同時!$G$97)</f>
        <v/>
      </c>
      <c r="J3359" s="2" t="str">
        <f aca="false">IF($G3359="","",4キー同時!$L$97)</f>
        <v/>
      </c>
      <c r="K3359" s="2" t="str">
        <f aca="false">IF($G3359="","","s")</f>
        <v/>
      </c>
      <c r="L3359" s="2" t="str">
        <f aca="false">IF($G3359="","","同時")</f>
        <v/>
      </c>
      <c r="M3359" s="2" t="str">
        <f aca="false">IF($G3359="","",IF(ISNA(MATCH($G3359,個別指定!$A:$A,0)),"行なし",""))</f>
        <v/>
      </c>
      <c r="N3359" s="2" t="str">
        <f aca="false">IF($G3359="","",IF(COUNTIF($G$2:$G$4460,$G3359)&gt;1,"重複",""))</f>
        <v/>
      </c>
    </row>
    <row r="3360" customFormat="false" ht="16.5" hidden="false" customHeight="true" outlineLevel="0" collapsed="false">
      <c r="A3360" s="2" t="s">
        <v>447</v>
      </c>
      <c r="B3360" s="2" t="s">
        <v>455</v>
      </c>
      <c r="C3360" s="2" t="s">
        <v>26</v>
      </c>
      <c r="D3360" s="2" t="str">
        <f aca="false">IF(4キー同時!$B$97="","",4キー同時!$B$97)</f>
        <v/>
      </c>
      <c r="E3360" s="2" t="str">
        <f aca="false">IF(4キー同時!$G$97="","",4キー同時!$G$97)</f>
        <v/>
      </c>
      <c r="F3360" s="2" t="str">
        <f aca="false">IF(4キー同時!$L$97="","",4キー同時!$L$97)</f>
        <v/>
      </c>
      <c r="G3360" s="2" t="str">
        <f aca="false">IF(OR(4キー同時!$B$97="",4キー同時!$G$97="",4キー同時!$L$97=""),"",IF(4キー同時!Q103="","",SUBSTITUTE(SUBSTITUTE(4キー同時!Q103," ",""),"　","")))</f>
        <v/>
      </c>
      <c r="H3360" s="2" t="str">
        <f aca="false">IF($G3360="","",4キー同時!$B$97)</f>
        <v/>
      </c>
      <c r="I3360" s="2" t="str">
        <f aca="false">IF($G3360="","",4キー同時!$G$97)</f>
        <v/>
      </c>
      <c r="J3360" s="2" t="str">
        <f aca="false">IF($G3360="","",4キー同時!$L$97)</f>
        <v/>
      </c>
      <c r="K3360" s="2" t="str">
        <f aca="false">IF($G3360="","","d")</f>
        <v/>
      </c>
      <c r="L3360" s="2" t="str">
        <f aca="false">IF($G3360="","","同時")</f>
        <v/>
      </c>
      <c r="M3360" s="2" t="str">
        <f aca="false">IF($G3360="","",IF(ISNA(MATCH($G3360,個別指定!$A:$A,0)),"行なし",""))</f>
        <v/>
      </c>
      <c r="N3360" s="2" t="str">
        <f aca="false">IF($G3360="","",IF(COUNTIF($G$2:$G$4460,$G3360)&gt;1,"重複",""))</f>
        <v/>
      </c>
    </row>
    <row r="3361" customFormat="false" ht="16.5" hidden="false" customHeight="true" outlineLevel="0" collapsed="false">
      <c r="A3361" s="2" t="s">
        <v>447</v>
      </c>
      <c r="B3361" s="2" t="s">
        <v>455</v>
      </c>
      <c r="C3361" s="2" t="s">
        <v>27</v>
      </c>
      <c r="D3361" s="2" t="str">
        <f aca="false">IF(4キー同時!$B$97="","",4キー同時!$B$97)</f>
        <v/>
      </c>
      <c r="E3361" s="2" t="str">
        <f aca="false">IF(4キー同時!$G$97="","",4キー同時!$G$97)</f>
        <v/>
      </c>
      <c r="F3361" s="2" t="str">
        <f aca="false">IF(4キー同時!$L$97="","",4キー同時!$L$97)</f>
        <v/>
      </c>
      <c r="G3361" s="2" t="str">
        <f aca="false">IF(OR(4キー同時!$B$97="",4キー同時!$G$97="",4キー同時!$L$97=""),"",IF(4キー同時!U103="","",SUBSTITUTE(SUBSTITUTE(4キー同時!U103," ",""),"　","")))</f>
        <v/>
      </c>
      <c r="H3361" s="2" t="str">
        <f aca="false">IF($G3361="","",4キー同時!$B$97)</f>
        <v/>
      </c>
      <c r="I3361" s="2" t="str">
        <f aca="false">IF($G3361="","",4キー同時!$G$97)</f>
        <v/>
      </c>
      <c r="J3361" s="2" t="str">
        <f aca="false">IF($G3361="","",4キー同時!$L$97)</f>
        <v/>
      </c>
      <c r="K3361" s="2" t="str">
        <f aca="false">IF($G3361="","","f")</f>
        <v/>
      </c>
      <c r="L3361" s="2" t="str">
        <f aca="false">IF($G3361="","","同時")</f>
        <v/>
      </c>
      <c r="M3361" s="2" t="str">
        <f aca="false">IF($G3361="","",IF(ISNA(MATCH($G3361,個別指定!$A:$A,0)),"行なし",""))</f>
        <v/>
      </c>
      <c r="N3361" s="2" t="str">
        <f aca="false">IF($G3361="","",IF(COUNTIF($G$2:$G$4460,$G3361)&gt;1,"重複",""))</f>
        <v/>
      </c>
    </row>
    <row r="3362" customFormat="false" ht="16.5" hidden="false" customHeight="true" outlineLevel="0" collapsed="false">
      <c r="A3362" s="2" t="s">
        <v>447</v>
      </c>
      <c r="B3362" s="2" t="s">
        <v>455</v>
      </c>
      <c r="C3362" s="2" t="s">
        <v>28</v>
      </c>
      <c r="D3362" s="2" t="str">
        <f aca="false">IF(4キー同時!$B$97="","",4キー同時!$B$97)</f>
        <v/>
      </c>
      <c r="E3362" s="2" t="str">
        <f aca="false">IF(4キー同時!$G$97="","",4キー同時!$G$97)</f>
        <v/>
      </c>
      <c r="F3362" s="2" t="str">
        <f aca="false">IF(4キー同時!$L$97="","",4キー同時!$L$97)</f>
        <v/>
      </c>
      <c r="G3362" s="2" t="str">
        <f aca="false">IF(OR(4キー同時!$B$97="",4キー同時!$G$97="",4キー同時!$L$97=""),"",IF(4キー同時!Y103="","",SUBSTITUTE(SUBSTITUTE(4キー同時!Y103," ",""),"　","")))</f>
        <v/>
      </c>
      <c r="H3362" s="2" t="str">
        <f aca="false">IF($G3362="","",4キー同時!$B$97)</f>
        <v/>
      </c>
      <c r="I3362" s="2" t="str">
        <f aca="false">IF($G3362="","",4キー同時!$G$97)</f>
        <v/>
      </c>
      <c r="J3362" s="2" t="str">
        <f aca="false">IF($G3362="","",4キー同時!$L$97)</f>
        <v/>
      </c>
      <c r="K3362" s="2" t="str">
        <f aca="false">IF($G3362="","","g")</f>
        <v/>
      </c>
      <c r="L3362" s="2" t="str">
        <f aca="false">IF($G3362="","","同時")</f>
        <v/>
      </c>
      <c r="M3362" s="2" t="str">
        <f aca="false">IF($G3362="","",IF(ISNA(MATCH($G3362,個別指定!$A:$A,0)),"行なし",""))</f>
        <v/>
      </c>
      <c r="N3362" s="2" t="str">
        <f aca="false">IF($G3362="","",IF(COUNTIF($G$2:$G$4460,$G3362)&gt;1,"重複",""))</f>
        <v/>
      </c>
    </row>
    <row r="3363" customFormat="false" ht="16.5" hidden="false" customHeight="true" outlineLevel="0" collapsed="false">
      <c r="A3363" s="2" t="s">
        <v>447</v>
      </c>
      <c r="B3363" s="2" t="s">
        <v>455</v>
      </c>
      <c r="C3363" s="2" t="s">
        <v>29</v>
      </c>
      <c r="D3363" s="2" t="str">
        <f aca="false">IF(4キー同時!$B$97="","",4キー同時!$B$97)</f>
        <v/>
      </c>
      <c r="E3363" s="2" t="str">
        <f aca="false">IF(4キー同時!$G$97="","",4キー同時!$G$97)</f>
        <v/>
      </c>
      <c r="F3363" s="2" t="str">
        <f aca="false">IF(4キー同時!$L$97="","",4キー同時!$L$97)</f>
        <v/>
      </c>
      <c r="G3363" s="2" t="str">
        <f aca="false">IF(OR(4キー同時!$B$97="",4キー同時!$G$97="",4キー同時!$L$97=""),"",IF(4キー同時!AC103="","",SUBSTITUTE(SUBSTITUTE(4キー同時!AC103," ",""),"　","")))</f>
        <v/>
      </c>
      <c r="H3363" s="2" t="str">
        <f aca="false">IF($G3363="","",4キー同時!$B$97)</f>
        <v/>
      </c>
      <c r="I3363" s="2" t="str">
        <f aca="false">IF($G3363="","",4キー同時!$G$97)</f>
        <v/>
      </c>
      <c r="J3363" s="2" t="str">
        <f aca="false">IF($G3363="","",4キー同時!$L$97)</f>
        <v/>
      </c>
      <c r="K3363" s="2" t="str">
        <f aca="false">IF($G3363="","","h")</f>
        <v/>
      </c>
      <c r="L3363" s="2" t="str">
        <f aca="false">IF($G3363="","","同時")</f>
        <v/>
      </c>
      <c r="M3363" s="2" t="str">
        <f aca="false">IF($G3363="","",IF(ISNA(MATCH($G3363,個別指定!$A:$A,0)),"行なし",""))</f>
        <v/>
      </c>
      <c r="N3363" s="2" t="str">
        <f aca="false">IF($G3363="","",IF(COUNTIF($G$2:$G$4460,$G3363)&gt;1,"重複",""))</f>
        <v/>
      </c>
    </row>
    <row r="3364" customFormat="false" ht="16.5" hidden="false" customHeight="true" outlineLevel="0" collapsed="false">
      <c r="A3364" s="2" t="s">
        <v>447</v>
      </c>
      <c r="B3364" s="2" t="s">
        <v>455</v>
      </c>
      <c r="C3364" s="2" t="s">
        <v>30</v>
      </c>
      <c r="D3364" s="2" t="str">
        <f aca="false">IF(4キー同時!$B$97="","",4キー同時!$B$97)</f>
        <v/>
      </c>
      <c r="E3364" s="2" t="str">
        <f aca="false">IF(4キー同時!$G$97="","",4キー同時!$G$97)</f>
        <v/>
      </c>
      <c r="F3364" s="2" t="str">
        <f aca="false">IF(4キー同時!$L$97="","",4キー同時!$L$97)</f>
        <v/>
      </c>
      <c r="G3364" s="2" t="str">
        <f aca="false">IF(OR(4キー同時!$B$97="",4キー同時!$G$97="",4キー同時!$L$97=""),"",IF(4キー同時!AG103="","",SUBSTITUTE(SUBSTITUTE(4キー同時!AG103," ",""),"　","")))</f>
        <v/>
      </c>
      <c r="H3364" s="2" t="str">
        <f aca="false">IF($G3364="","",4キー同時!$B$97)</f>
        <v/>
      </c>
      <c r="I3364" s="2" t="str">
        <f aca="false">IF($G3364="","",4キー同時!$G$97)</f>
        <v/>
      </c>
      <c r="J3364" s="2" t="str">
        <f aca="false">IF($G3364="","",4キー同時!$L$97)</f>
        <v/>
      </c>
      <c r="K3364" s="2" t="str">
        <f aca="false">IF($G3364="","","j")</f>
        <v/>
      </c>
      <c r="L3364" s="2" t="str">
        <f aca="false">IF($G3364="","","同時")</f>
        <v/>
      </c>
      <c r="M3364" s="2" t="str">
        <f aca="false">IF($G3364="","",IF(ISNA(MATCH($G3364,個別指定!$A:$A,0)),"行なし",""))</f>
        <v/>
      </c>
      <c r="N3364" s="2" t="str">
        <f aca="false">IF($G3364="","",IF(COUNTIF($G$2:$G$4460,$G3364)&gt;1,"重複",""))</f>
        <v/>
      </c>
    </row>
    <row r="3365" customFormat="false" ht="16.5" hidden="false" customHeight="true" outlineLevel="0" collapsed="false">
      <c r="A3365" s="2" t="s">
        <v>447</v>
      </c>
      <c r="B3365" s="2" t="s">
        <v>455</v>
      </c>
      <c r="C3365" s="2" t="s">
        <v>31</v>
      </c>
      <c r="D3365" s="2" t="str">
        <f aca="false">IF(4キー同時!$B$97="","",4キー同時!$B$97)</f>
        <v/>
      </c>
      <c r="E3365" s="2" t="str">
        <f aca="false">IF(4キー同時!$G$97="","",4キー同時!$G$97)</f>
        <v/>
      </c>
      <c r="F3365" s="2" t="str">
        <f aca="false">IF(4キー同時!$L$97="","",4キー同時!$L$97)</f>
        <v/>
      </c>
      <c r="G3365" s="2" t="str">
        <f aca="false">IF(OR(4キー同時!$B$97="",4キー同時!$G$97="",4キー同時!$L$97=""),"",IF(4キー同時!AK103="","",SUBSTITUTE(SUBSTITUTE(4キー同時!AK103," ",""),"　","")))</f>
        <v/>
      </c>
      <c r="H3365" s="2" t="str">
        <f aca="false">IF($G3365="","",4キー同時!$B$97)</f>
        <v/>
      </c>
      <c r="I3365" s="2" t="str">
        <f aca="false">IF($G3365="","",4キー同時!$G$97)</f>
        <v/>
      </c>
      <c r="J3365" s="2" t="str">
        <f aca="false">IF($G3365="","",4キー同時!$L$97)</f>
        <v/>
      </c>
      <c r="K3365" s="2" t="str">
        <f aca="false">IF($G3365="","","k")</f>
        <v/>
      </c>
      <c r="L3365" s="2" t="str">
        <f aca="false">IF($G3365="","","同時")</f>
        <v/>
      </c>
      <c r="M3365" s="2" t="str">
        <f aca="false">IF($G3365="","",IF(ISNA(MATCH($G3365,個別指定!$A:$A,0)),"行なし",""))</f>
        <v/>
      </c>
      <c r="N3365" s="2" t="str">
        <f aca="false">IF($G3365="","",IF(COUNTIF($G$2:$G$4460,$G3365)&gt;1,"重複",""))</f>
        <v/>
      </c>
    </row>
    <row r="3366" customFormat="false" ht="16.5" hidden="false" customHeight="true" outlineLevel="0" collapsed="false">
      <c r="A3366" s="2" t="s">
        <v>447</v>
      </c>
      <c r="B3366" s="2" t="s">
        <v>455</v>
      </c>
      <c r="C3366" s="2" t="s">
        <v>32</v>
      </c>
      <c r="D3366" s="2" t="str">
        <f aca="false">IF(4キー同時!$B$97="","",4キー同時!$B$97)</f>
        <v/>
      </c>
      <c r="E3366" s="2" t="str">
        <f aca="false">IF(4キー同時!$G$97="","",4キー同時!$G$97)</f>
        <v/>
      </c>
      <c r="F3366" s="2" t="str">
        <f aca="false">IF(4キー同時!$L$97="","",4キー同時!$L$97)</f>
        <v/>
      </c>
      <c r="G3366" s="2" t="str">
        <f aca="false">IF(OR(4キー同時!$B$97="",4キー同時!$G$97="",4キー同時!$L$97=""),"",IF(4キー同時!AO103="","",SUBSTITUTE(SUBSTITUTE(4キー同時!AO103," ",""),"　","")))</f>
        <v/>
      </c>
      <c r="H3366" s="2" t="str">
        <f aca="false">IF($G3366="","",4キー同時!$B$97)</f>
        <v/>
      </c>
      <c r="I3366" s="2" t="str">
        <f aca="false">IF($G3366="","",4キー同時!$G$97)</f>
        <v/>
      </c>
      <c r="J3366" s="2" t="str">
        <f aca="false">IF($G3366="","",4キー同時!$L$97)</f>
        <v/>
      </c>
      <c r="K3366" s="2" t="str">
        <f aca="false">IF($G3366="","","l")</f>
        <v/>
      </c>
      <c r="L3366" s="2" t="str">
        <f aca="false">IF($G3366="","","同時")</f>
        <v/>
      </c>
      <c r="M3366" s="2" t="str">
        <f aca="false">IF($G3366="","",IF(ISNA(MATCH($G3366,個別指定!$A:$A,0)),"行なし",""))</f>
        <v/>
      </c>
      <c r="N3366" s="2" t="str">
        <f aca="false">IF($G3366="","",IF(COUNTIF($G$2:$G$4460,$G3366)&gt;1,"重複",""))</f>
        <v/>
      </c>
    </row>
    <row r="3367" customFormat="false" ht="16.5" hidden="false" customHeight="true" outlineLevel="0" collapsed="false">
      <c r="A3367" s="2" t="s">
        <v>447</v>
      </c>
      <c r="B3367" s="2" t="s">
        <v>455</v>
      </c>
      <c r="C3367" s="2" t="s">
        <v>33</v>
      </c>
      <c r="D3367" s="2" t="str">
        <f aca="false">IF(4キー同時!$B$97="","",4キー同時!$B$97)</f>
        <v/>
      </c>
      <c r="E3367" s="2" t="str">
        <f aca="false">IF(4キー同時!$G$97="","",4キー同時!$G$97)</f>
        <v/>
      </c>
      <c r="F3367" s="2" t="str">
        <f aca="false">IF(4キー同時!$L$97="","",4キー同時!$L$97)</f>
        <v/>
      </c>
      <c r="G3367" s="2" t="str">
        <f aca="false">IF(OR(4キー同時!$B$97="",4キー同時!$G$97="",4キー同時!$L$97=""),"",IF(4キー同時!AS103="","",SUBSTITUTE(SUBSTITUTE(4キー同時!AS103," ",""),"　","")))</f>
        <v/>
      </c>
      <c r="H3367" s="2" t="str">
        <f aca="false">IF($G3367="","",4キー同時!$B$97)</f>
        <v/>
      </c>
      <c r="I3367" s="2" t="str">
        <f aca="false">IF($G3367="","",4キー同時!$G$97)</f>
        <v/>
      </c>
      <c r="J3367" s="2" t="str">
        <f aca="false">IF($G3367="","",4キー同時!$L$97)</f>
        <v/>
      </c>
      <c r="K3367" s="2" t="str">
        <f aca="false">IF($G3367="","",";")</f>
        <v/>
      </c>
      <c r="L3367" s="2" t="str">
        <f aca="false">IF($G3367="","","同時")</f>
        <v/>
      </c>
      <c r="M3367" s="2" t="str">
        <f aca="false">IF($G3367="","",IF(ISNA(MATCH($G3367,個別指定!$A:$A,0)),"行なし",""))</f>
        <v/>
      </c>
      <c r="N3367" s="2" t="str">
        <f aca="false">IF($G3367="","",IF(COUNTIF($G$2:$G$4460,$G3367)&gt;1,"重複",""))</f>
        <v/>
      </c>
    </row>
    <row r="3368" customFormat="false" ht="16.5" hidden="false" customHeight="true" outlineLevel="0" collapsed="false">
      <c r="A3368" s="2" t="s">
        <v>447</v>
      </c>
      <c r="B3368" s="2" t="s">
        <v>455</v>
      </c>
      <c r="C3368" s="2" t="s">
        <v>34</v>
      </c>
      <c r="D3368" s="2" t="str">
        <f aca="false">IF(4キー同時!$B$97="","",4キー同時!$B$97)</f>
        <v/>
      </c>
      <c r="E3368" s="2" t="str">
        <f aca="false">IF(4キー同時!$G$97="","",4キー同時!$G$97)</f>
        <v/>
      </c>
      <c r="F3368" s="2" t="str">
        <f aca="false">IF(4キー同時!$L$97="","",4キー同時!$L$97)</f>
        <v/>
      </c>
      <c r="G3368" s="2" t="str">
        <f aca="false">IF(OR(4キー同時!$B$97="",4キー同時!$G$97="",4キー同時!$L$97=""),"",IF(4キー同時!AW103="","",SUBSTITUTE(SUBSTITUTE(4キー同時!AW103," ",""),"　","")))</f>
        <v/>
      </c>
      <c r="H3368" s="2" t="str">
        <f aca="false">IF($G3368="","",4キー同時!$B$97)</f>
        <v/>
      </c>
      <c r="I3368" s="2" t="str">
        <f aca="false">IF($G3368="","",4キー同時!$G$97)</f>
        <v/>
      </c>
      <c r="J3368" s="2" t="str">
        <f aca="false">IF($G3368="","",4キー同時!$L$97)</f>
        <v/>
      </c>
      <c r="K3368" s="2" t="str">
        <f aca="false">IF($G3368="","","'")</f>
        <v/>
      </c>
      <c r="L3368" s="2" t="str">
        <f aca="false">IF($G3368="","","同時")</f>
        <v/>
      </c>
      <c r="M3368" s="2" t="str">
        <f aca="false">IF($G3368="","",IF(ISNA(MATCH($G3368,個別指定!$A:$A,0)),"行なし",""))</f>
        <v/>
      </c>
      <c r="N3368" s="2" t="str">
        <f aca="false">IF($G3368="","",IF(COUNTIF($G$2:$G$4460,$G3368)&gt;1,"重複",""))</f>
        <v/>
      </c>
    </row>
    <row r="3369" customFormat="false" ht="16.5" hidden="false" customHeight="true" outlineLevel="0" collapsed="false">
      <c r="A3369" s="2" t="s">
        <v>447</v>
      </c>
      <c r="B3369" s="2" t="s">
        <v>455</v>
      </c>
      <c r="C3369" s="2" t="s">
        <v>35</v>
      </c>
      <c r="D3369" s="2" t="str">
        <f aca="false">IF(4キー同時!$B$97="","",4キー同時!$B$97)</f>
        <v/>
      </c>
      <c r="E3369" s="2" t="str">
        <f aca="false">IF(4キー同時!$G$97="","",4キー同時!$G$97)</f>
        <v/>
      </c>
      <c r="F3369" s="2" t="str">
        <f aca="false">IF(4キー同時!$L$97="","",4キー同時!$L$97)</f>
        <v/>
      </c>
      <c r="G3369" s="2" t="str">
        <f aca="false">IF(OR(4キー同時!$B$97="",4キー同時!$G$97="",4キー同時!$L$97=""),"",IF(4キー同時!K105="","",SUBSTITUTE(SUBSTITUTE(4キー同時!K105," ",""),"　","")))</f>
        <v/>
      </c>
      <c r="H3369" s="2" t="str">
        <f aca="false">IF($G3369="","",4キー同時!$B$97)</f>
        <v/>
      </c>
      <c r="I3369" s="2" t="str">
        <f aca="false">IF($G3369="","",4キー同時!$G$97)</f>
        <v/>
      </c>
      <c r="J3369" s="2" t="str">
        <f aca="false">IF($G3369="","",4キー同時!$L$97)</f>
        <v/>
      </c>
      <c r="K3369" s="2" t="str">
        <f aca="false">IF($G3369="","","z")</f>
        <v/>
      </c>
      <c r="L3369" s="2" t="str">
        <f aca="false">IF($G3369="","","同時")</f>
        <v/>
      </c>
      <c r="M3369" s="2" t="str">
        <f aca="false">IF($G3369="","",IF(ISNA(MATCH($G3369,個別指定!$A:$A,0)),"行なし",""))</f>
        <v/>
      </c>
      <c r="N3369" s="2" t="str">
        <f aca="false">IF($G3369="","",IF(COUNTIF($G$2:$G$4460,$G3369)&gt;1,"重複",""))</f>
        <v/>
      </c>
    </row>
    <row r="3370" customFormat="false" ht="16.5" hidden="false" customHeight="true" outlineLevel="0" collapsed="false">
      <c r="A3370" s="2" t="s">
        <v>447</v>
      </c>
      <c r="B3370" s="2" t="s">
        <v>455</v>
      </c>
      <c r="C3370" s="2" t="s">
        <v>36</v>
      </c>
      <c r="D3370" s="2" t="str">
        <f aca="false">IF(4キー同時!$B$97="","",4キー同時!$B$97)</f>
        <v/>
      </c>
      <c r="E3370" s="2" t="str">
        <f aca="false">IF(4キー同時!$G$97="","",4キー同時!$G$97)</f>
        <v/>
      </c>
      <c r="F3370" s="2" t="str">
        <f aca="false">IF(4キー同時!$L$97="","",4キー同時!$L$97)</f>
        <v/>
      </c>
      <c r="G3370" s="2" t="str">
        <f aca="false">IF(OR(4キー同時!$B$97="",4キー同時!$G$97="",4キー同時!$L$97=""),"",IF(4キー同時!O105="","",SUBSTITUTE(SUBSTITUTE(4キー同時!O105," ",""),"　","")))</f>
        <v/>
      </c>
      <c r="H3370" s="2" t="str">
        <f aca="false">IF($G3370="","",4キー同時!$B$97)</f>
        <v/>
      </c>
      <c r="I3370" s="2" t="str">
        <f aca="false">IF($G3370="","",4キー同時!$G$97)</f>
        <v/>
      </c>
      <c r="J3370" s="2" t="str">
        <f aca="false">IF($G3370="","",4キー同時!$L$97)</f>
        <v/>
      </c>
      <c r="K3370" s="2" t="str">
        <f aca="false">IF($G3370="","","x")</f>
        <v/>
      </c>
      <c r="L3370" s="2" t="str">
        <f aca="false">IF($G3370="","","同時")</f>
        <v/>
      </c>
      <c r="M3370" s="2" t="str">
        <f aca="false">IF($G3370="","",IF(ISNA(MATCH($G3370,個別指定!$A:$A,0)),"行なし",""))</f>
        <v/>
      </c>
      <c r="N3370" s="2" t="str">
        <f aca="false">IF($G3370="","",IF(COUNTIF($G$2:$G$4460,$G3370)&gt;1,"重複",""))</f>
        <v/>
      </c>
    </row>
    <row r="3371" customFormat="false" ht="16.5" hidden="false" customHeight="true" outlineLevel="0" collapsed="false">
      <c r="A3371" s="2" t="s">
        <v>447</v>
      </c>
      <c r="B3371" s="2" t="s">
        <v>455</v>
      </c>
      <c r="C3371" s="2" t="s">
        <v>37</v>
      </c>
      <c r="D3371" s="2" t="str">
        <f aca="false">IF(4キー同時!$B$97="","",4キー同時!$B$97)</f>
        <v/>
      </c>
      <c r="E3371" s="2" t="str">
        <f aca="false">IF(4キー同時!$G$97="","",4キー同時!$G$97)</f>
        <v/>
      </c>
      <c r="F3371" s="2" t="str">
        <f aca="false">IF(4キー同時!$L$97="","",4キー同時!$L$97)</f>
        <v/>
      </c>
      <c r="G3371" s="2" t="str">
        <f aca="false">IF(OR(4キー同時!$B$97="",4キー同時!$G$97="",4キー同時!$L$97=""),"",IF(4キー同時!S105="","",SUBSTITUTE(SUBSTITUTE(4キー同時!S105," ",""),"　","")))</f>
        <v/>
      </c>
      <c r="H3371" s="2" t="str">
        <f aca="false">IF($G3371="","",4キー同時!$B$97)</f>
        <v/>
      </c>
      <c r="I3371" s="2" t="str">
        <f aca="false">IF($G3371="","",4キー同時!$G$97)</f>
        <v/>
      </c>
      <c r="J3371" s="2" t="str">
        <f aca="false">IF($G3371="","",4キー同時!$L$97)</f>
        <v/>
      </c>
      <c r="K3371" s="2" t="str">
        <f aca="false">IF($G3371="","","c")</f>
        <v/>
      </c>
      <c r="L3371" s="2" t="str">
        <f aca="false">IF($G3371="","","同時")</f>
        <v/>
      </c>
      <c r="M3371" s="2" t="str">
        <f aca="false">IF($G3371="","",IF(ISNA(MATCH($G3371,個別指定!$A:$A,0)),"行なし",""))</f>
        <v/>
      </c>
      <c r="N3371" s="2" t="str">
        <f aca="false">IF($G3371="","",IF(COUNTIF($G$2:$G$4460,$G3371)&gt;1,"重複",""))</f>
        <v/>
      </c>
    </row>
    <row r="3372" customFormat="false" ht="16.5" hidden="false" customHeight="true" outlineLevel="0" collapsed="false">
      <c r="A3372" s="2" t="s">
        <v>447</v>
      </c>
      <c r="B3372" s="2" t="s">
        <v>455</v>
      </c>
      <c r="C3372" s="2" t="s">
        <v>38</v>
      </c>
      <c r="D3372" s="2" t="str">
        <f aca="false">IF(4キー同時!$B$97="","",4キー同時!$B$97)</f>
        <v/>
      </c>
      <c r="E3372" s="2" t="str">
        <f aca="false">IF(4キー同時!$G$97="","",4キー同時!$G$97)</f>
        <v/>
      </c>
      <c r="F3372" s="2" t="str">
        <f aca="false">IF(4キー同時!$L$97="","",4キー同時!$L$97)</f>
        <v/>
      </c>
      <c r="G3372" s="2" t="str">
        <f aca="false">IF(OR(4キー同時!$B$97="",4キー同時!$G$97="",4キー同時!$L$97=""),"",IF(4キー同時!W105="","",SUBSTITUTE(SUBSTITUTE(4キー同時!W105," ",""),"　","")))</f>
        <v/>
      </c>
      <c r="H3372" s="2" t="str">
        <f aca="false">IF($G3372="","",4キー同時!$B$97)</f>
        <v/>
      </c>
      <c r="I3372" s="2" t="str">
        <f aca="false">IF($G3372="","",4キー同時!$G$97)</f>
        <v/>
      </c>
      <c r="J3372" s="2" t="str">
        <f aca="false">IF($G3372="","",4キー同時!$L$97)</f>
        <v/>
      </c>
      <c r="K3372" s="2" t="str">
        <f aca="false">IF($G3372="","","v")</f>
        <v/>
      </c>
      <c r="L3372" s="2" t="str">
        <f aca="false">IF($G3372="","","同時")</f>
        <v/>
      </c>
      <c r="M3372" s="2" t="str">
        <f aca="false">IF($G3372="","",IF(ISNA(MATCH($G3372,個別指定!$A:$A,0)),"行なし",""))</f>
        <v/>
      </c>
      <c r="N3372" s="2" t="str">
        <f aca="false">IF($G3372="","",IF(COUNTIF($G$2:$G$4460,$G3372)&gt;1,"重複",""))</f>
        <v/>
      </c>
    </row>
    <row r="3373" customFormat="false" ht="16.5" hidden="false" customHeight="true" outlineLevel="0" collapsed="false">
      <c r="A3373" s="2" t="s">
        <v>447</v>
      </c>
      <c r="B3373" s="2" t="s">
        <v>455</v>
      </c>
      <c r="C3373" s="2" t="s">
        <v>39</v>
      </c>
      <c r="D3373" s="2" t="str">
        <f aca="false">IF(4キー同時!$B$97="","",4キー同時!$B$97)</f>
        <v/>
      </c>
      <c r="E3373" s="2" t="str">
        <f aca="false">IF(4キー同時!$G$97="","",4キー同時!$G$97)</f>
        <v/>
      </c>
      <c r="F3373" s="2" t="str">
        <f aca="false">IF(4キー同時!$L$97="","",4キー同時!$L$97)</f>
        <v/>
      </c>
      <c r="G3373" s="2" t="str">
        <f aca="false">IF(OR(4キー同時!$B$97="",4キー同時!$G$97="",4キー同時!$L$97=""),"",IF(4キー同時!AA105="","",SUBSTITUTE(SUBSTITUTE(4キー同時!AA105," ",""),"　","")))</f>
        <v/>
      </c>
      <c r="H3373" s="2" t="str">
        <f aca="false">IF($G3373="","",4キー同時!$B$97)</f>
        <v/>
      </c>
      <c r="I3373" s="2" t="str">
        <f aca="false">IF($G3373="","",4キー同時!$G$97)</f>
        <v/>
      </c>
      <c r="J3373" s="2" t="str">
        <f aca="false">IF($G3373="","",4キー同時!$L$97)</f>
        <v/>
      </c>
      <c r="K3373" s="2" t="str">
        <f aca="false">IF($G3373="","","b")</f>
        <v/>
      </c>
      <c r="L3373" s="2" t="str">
        <f aca="false">IF($G3373="","","同時")</f>
        <v/>
      </c>
      <c r="M3373" s="2" t="str">
        <f aca="false">IF($G3373="","",IF(ISNA(MATCH($G3373,個別指定!$A:$A,0)),"行なし",""))</f>
        <v/>
      </c>
      <c r="N3373" s="2" t="str">
        <f aca="false">IF($G3373="","",IF(COUNTIF($G$2:$G$4460,$G3373)&gt;1,"重複",""))</f>
        <v/>
      </c>
    </row>
    <row r="3374" customFormat="false" ht="16.5" hidden="false" customHeight="true" outlineLevel="0" collapsed="false">
      <c r="A3374" s="2" t="s">
        <v>447</v>
      </c>
      <c r="B3374" s="2" t="s">
        <v>455</v>
      </c>
      <c r="C3374" s="2" t="s">
        <v>40</v>
      </c>
      <c r="D3374" s="2" t="str">
        <f aca="false">IF(4キー同時!$B$97="","",4キー同時!$B$97)</f>
        <v/>
      </c>
      <c r="E3374" s="2" t="str">
        <f aca="false">IF(4キー同時!$G$97="","",4キー同時!$G$97)</f>
        <v/>
      </c>
      <c r="F3374" s="2" t="str">
        <f aca="false">IF(4キー同時!$L$97="","",4キー同時!$L$97)</f>
        <v/>
      </c>
      <c r="G3374" s="2" t="str">
        <f aca="false">IF(OR(4キー同時!$B$97="",4キー同時!$G$97="",4キー同時!$L$97=""),"",IF(4キー同時!AE105="","",SUBSTITUTE(SUBSTITUTE(4キー同時!AE105," ",""),"　","")))</f>
        <v/>
      </c>
      <c r="H3374" s="2" t="str">
        <f aca="false">IF($G3374="","",4キー同時!$B$97)</f>
        <v/>
      </c>
      <c r="I3374" s="2" t="str">
        <f aca="false">IF($G3374="","",4キー同時!$G$97)</f>
        <v/>
      </c>
      <c r="J3374" s="2" t="str">
        <f aca="false">IF($G3374="","",4キー同時!$L$97)</f>
        <v/>
      </c>
      <c r="K3374" s="2" t="str">
        <f aca="false">IF($G3374="","","n")</f>
        <v/>
      </c>
      <c r="L3374" s="2" t="str">
        <f aca="false">IF($G3374="","","同時")</f>
        <v/>
      </c>
      <c r="M3374" s="2" t="str">
        <f aca="false">IF($G3374="","",IF(ISNA(MATCH($G3374,個別指定!$A:$A,0)),"行なし",""))</f>
        <v/>
      </c>
      <c r="N3374" s="2" t="str">
        <f aca="false">IF($G3374="","",IF(COUNTIF($G$2:$G$4460,$G3374)&gt;1,"重複",""))</f>
        <v/>
      </c>
    </row>
    <row r="3375" customFormat="false" ht="16.5" hidden="false" customHeight="true" outlineLevel="0" collapsed="false">
      <c r="A3375" s="2" t="s">
        <v>447</v>
      </c>
      <c r="B3375" s="2" t="s">
        <v>455</v>
      </c>
      <c r="C3375" s="2" t="s">
        <v>41</v>
      </c>
      <c r="D3375" s="2" t="str">
        <f aca="false">IF(4キー同時!$B$97="","",4キー同時!$B$97)</f>
        <v/>
      </c>
      <c r="E3375" s="2" t="str">
        <f aca="false">IF(4キー同時!$G$97="","",4キー同時!$G$97)</f>
        <v/>
      </c>
      <c r="F3375" s="2" t="str">
        <f aca="false">IF(4キー同時!$L$97="","",4キー同時!$L$97)</f>
        <v/>
      </c>
      <c r="G3375" s="2" t="str">
        <f aca="false">IF(OR(4キー同時!$B$97="",4キー同時!$G$97="",4キー同時!$L$97=""),"",IF(4キー同時!AI105="","",SUBSTITUTE(SUBSTITUTE(4キー同時!AI105," ",""),"　","")))</f>
        <v/>
      </c>
      <c r="H3375" s="2" t="str">
        <f aca="false">IF($G3375="","",4キー同時!$B$97)</f>
        <v/>
      </c>
      <c r="I3375" s="2" t="str">
        <f aca="false">IF($G3375="","",4キー同時!$G$97)</f>
        <v/>
      </c>
      <c r="J3375" s="2" t="str">
        <f aca="false">IF($G3375="","",4キー同時!$L$97)</f>
        <v/>
      </c>
      <c r="K3375" s="2" t="str">
        <f aca="false">IF($G3375="","","m")</f>
        <v/>
      </c>
      <c r="L3375" s="2" t="str">
        <f aca="false">IF($G3375="","","同時")</f>
        <v/>
      </c>
      <c r="M3375" s="2" t="str">
        <f aca="false">IF($G3375="","",IF(ISNA(MATCH($G3375,個別指定!$A:$A,0)),"行なし",""))</f>
        <v/>
      </c>
      <c r="N3375" s="2" t="str">
        <f aca="false">IF($G3375="","",IF(COUNTIF($G$2:$G$4460,$G3375)&gt;1,"重複",""))</f>
        <v/>
      </c>
    </row>
    <row r="3376" customFormat="false" ht="16.5" hidden="false" customHeight="true" outlineLevel="0" collapsed="false">
      <c r="A3376" s="2" t="s">
        <v>447</v>
      </c>
      <c r="B3376" s="2" t="s">
        <v>455</v>
      </c>
      <c r="C3376" s="2" t="s">
        <v>42</v>
      </c>
      <c r="D3376" s="2" t="str">
        <f aca="false">IF(4キー同時!$B$97="","",4キー同時!$B$97)</f>
        <v/>
      </c>
      <c r="E3376" s="2" t="str">
        <f aca="false">IF(4キー同時!$G$97="","",4キー同時!$G$97)</f>
        <v/>
      </c>
      <c r="F3376" s="2" t="str">
        <f aca="false">IF(4キー同時!$L$97="","",4キー同時!$L$97)</f>
        <v/>
      </c>
      <c r="G3376" s="2" t="str">
        <f aca="false">IF(OR(4キー同時!$B$97="",4キー同時!$G$97="",4キー同時!$L$97=""),"",IF(4キー同時!AM105="","",SUBSTITUTE(SUBSTITUTE(4キー同時!AM105," ",""),"　","")))</f>
        <v/>
      </c>
      <c r="H3376" s="2" t="str">
        <f aca="false">IF($G3376="","",4キー同時!$B$97)</f>
        <v/>
      </c>
      <c r="I3376" s="2" t="str">
        <f aca="false">IF($G3376="","",4キー同時!$G$97)</f>
        <v/>
      </c>
      <c r="J3376" s="2" t="str">
        <f aca="false">IF($G3376="","",4キー同時!$L$97)</f>
        <v/>
      </c>
      <c r="K3376" s="2" t="str">
        <f aca="false">IF($G3376="","",",")</f>
        <v/>
      </c>
      <c r="L3376" s="2" t="str">
        <f aca="false">IF($G3376="","","同時")</f>
        <v/>
      </c>
      <c r="M3376" s="2" t="str">
        <f aca="false">IF($G3376="","",IF(ISNA(MATCH($G3376,個別指定!$A:$A,0)),"行なし",""))</f>
        <v/>
      </c>
      <c r="N3376" s="2" t="str">
        <f aca="false">IF($G3376="","",IF(COUNTIF($G$2:$G$4460,$G3376)&gt;1,"重複",""))</f>
        <v/>
      </c>
    </row>
    <row r="3377" customFormat="false" ht="16.5" hidden="false" customHeight="true" outlineLevel="0" collapsed="false">
      <c r="A3377" s="2" t="s">
        <v>447</v>
      </c>
      <c r="B3377" s="2" t="s">
        <v>455</v>
      </c>
      <c r="C3377" s="2" t="s">
        <v>43</v>
      </c>
      <c r="D3377" s="2" t="str">
        <f aca="false">IF(4キー同時!$B$97="","",4キー同時!$B$97)</f>
        <v/>
      </c>
      <c r="E3377" s="2" t="str">
        <f aca="false">IF(4キー同時!$G$97="","",4キー同時!$G$97)</f>
        <v/>
      </c>
      <c r="F3377" s="2" t="str">
        <f aca="false">IF(4キー同時!$L$97="","",4キー同時!$L$97)</f>
        <v/>
      </c>
      <c r="G3377" s="2" t="str">
        <f aca="false">IF(OR(4キー同時!$B$97="",4キー同時!$G$97="",4キー同時!$L$97=""),"",IF(4キー同時!AQ105="","",SUBSTITUTE(SUBSTITUTE(4キー同時!AQ105," ",""),"　","")))</f>
        <v/>
      </c>
      <c r="H3377" s="2" t="str">
        <f aca="false">IF($G3377="","",4キー同時!$B$97)</f>
        <v/>
      </c>
      <c r="I3377" s="2" t="str">
        <f aca="false">IF($G3377="","",4キー同時!$G$97)</f>
        <v/>
      </c>
      <c r="J3377" s="2" t="str">
        <f aca="false">IF($G3377="","",4キー同時!$L$97)</f>
        <v/>
      </c>
      <c r="K3377" s="2" t="str">
        <f aca="false">IF($G3377="","",".")</f>
        <v/>
      </c>
      <c r="L3377" s="2" t="str">
        <f aca="false">IF($G3377="","","同時")</f>
        <v/>
      </c>
      <c r="M3377" s="2" t="str">
        <f aca="false">IF($G3377="","",IF(ISNA(MATCH($G3377,個別指定!$A:$A,0)),"行なし",""))</f>
        <v/>
      </c>
      <c r="N3377" s="2" t="str">
        <f aca="false">IF($G3377="","",IF(COUNTIF($G$2:$G$4460,$G3377)&gt;1,"重複",""))</f>
        <v/>
      </c>
    </row>
    <row r="3378" customFormat="false" ht="16.5" hidden="false" customHeight="true" outlineLevel="0" collapsed="false">
      <c r="A3378" s="2" t="s">
        <v>447</v>
      </c>
      <c r="B3378" s="2" t="s">
        <v>455</v>
      </c>
      <c r="C3378" s="2" t="s">
        <v>44</v>
      </c>
      <c r="D3378" s="2" t="str">
        <f aca="false">IF(4キー同時!$B$97="","",4キー同時!$B$97)</f>
        <v/>
      </c>
      <c r="E3378" s="2" t="str">
        <f aca="false">IF(4キー同時!$G$97="","",4キー同時!$G$97)</f>
        <v/>
      </c>
      <c r="F3378" s="2" t="str">
        <f aca="false">IF(4キー同時!$L$97="","",4キー同時!$L$97)</f>
        <v/>
      </c>
      <c r="G3378" s="2" t="str">
        <f aca="false">IF(OR(4キー同時!$B$97="",4キー同時!$G$97="",4キー同時!$L$97=""),"",IF(4キー同時!AU105="","",SUBSTITUTE(SUBSTITUTE(4キー同時!AU105," ",""),"　","")))</f>
        <v/>
      </c>
      <c r="H3378" s="2" t="str">
        <f aca="false">IF($G3378="","",4キー同時!$B$97)</f>
        <v/>
      </c>
      <c r="I3378" s="2" t="str">
        <f aca="false">IF($G3378="","",4キー同時!$G$97)</f>
        <v/>
      </c>
      <c r="J3378" s="2" t="str">
        <f aca="false">IF($G3378="","",4キー同時!$L$97)</f>
        <v/>
      </c>
      <c r="K3378" s="2" t="str">
        <f aca="false">IF($G3378="","","/")</f>
        <v/>
      </c>
      <c r="L3378" s="2" t="str">
        <f aca="false">IF($G3378="","","同時")</f>
        <v/>
      </c>
      <c r="M3378" s="2" t="str">
        <f aca="false">IF($G3378="","",IF(ISNA(MATCH($G3378,個別指定!$A:$A,0)),"行なし",""))</f>
        <v/>
      </c>
      <c r="N3378" s="2" t="str">
        <f aca="false">IF($G3378="","",IF(COUNTIF($G$2:$G$4460,$G3378)&gt;1,"重複",""))</f>
        <v/>
      </c>
    </row>
    <row r="3379" customFormat="false" ht="16.5" hidden="false" customHeight="true" outlineLevel="0" collapsed="false">
      <c r="A3379" s="2" t="s">
        <v>447</v>
      </c>
      <c r="B3379" s="2" t="s">
        <v>455</v>
      </c>
      <c r="C3379" s="2" t="s">
        <v>48</v>
      </c>
      <c r="D3379" s="2" t="str">
        <f aca="false">IF(4キー同時!$B$97="","",4キー同時!$B$97)</f>
        <v/>
      </c>
      <c r="E3379" s="2" t="str">
        <f aca="false">IF(4キー同時!$G$97="","",4キー同時!$G$97)</f>
        <v/>
      </c>
      <c r="F3379" s="2" t="str">
        <f aca="false">IF(4キー同時!$L$97="","",4キー同時!$L$97)</f>
        <v/>
      </c>
      <c r="G3379" s="2" t="str">
        <f aca="false">IF(OR(4キー同時!$B$97="",4キー同時!$G$97="",4キー同時!$L$97=""),"",IF(4キー同時!P107="","",SUBSTITUTE(SUBSTITUTE(4キー同時!P107," ",""),"　","")))</f>
        <v/>
      </c>
      <c r="H3379" s="2" t="str">
        <f aca="false">IF($G3379="","",4キー同時!$B$97)</f>
        <v/>
      </c>
      <c r="I3379" s="2" t="str">
        <f aca="false">IF($G3379="","",4キー同時!$G$97)</f>
        <v/>
      </c>
      <c r="J3379" s="2" t="str">
        <f aca="false">IF($G3379="","",4キー同時!$L$97)</f>
        <v/>
      </c>
      <c r="K3379" s="2" t="str">
        <f aca="false">IF($G3379="","","muhenkan")</f>
        <v/>
      </c>
      <c r="L3379" s="2" t="str">
        <f aca="false">IF($G3379="","","同時")</f>
        <v/>
      </c>
      <c r="M3379" s="2" t="str">
        <f aca="false">IF($G3379="","",IF(ISNA(MATCH($G3379,個別指定!$A:$A,0)),"行なし",""))</f>
        <v/>
      </c>
      <c r="N3379" s="2" t="str">
        <f aca="false">IF($G3379="","",IF(COUNTIF($G$2:$G$4460,$G3379)&gt;1,"重複",""))</f>
        <v/>
      </c>
    </row>
    <row r="3380" customFormat="false" ht="16.5" hidden="false" customHeight="true" outlineLevel="0" collapsed="false">
      <c r="A3380" s="2" t="s">
        <v>447</v>
      </c>
      <c r="B3380" s="2" t="s">
        <v>455</v>
      </c>
      <c r="C3380" s="2" t="s">
        <v>50</v>
      </c>
      <c r="D3380" s="2" t="str">
        <f aca="false">IF(4キー同時!$B$97="","",4キー同時!$B$97)</f>
        <v/>
      </c>
      <c r="E3380" s="2" t="str">
        <f aca="false">IF(4キー同時!$G$97="","",4キー同時!$G$97)</f>
        <v/>
      </c>
      <c r="F3380" s="2" t="str">
        <f aca="false">IF(4キー同時!$L$97="","",4キー同時!$L$97)</f>
        <v/>
      </c>
      <c r="G3380" s="2" t="str">
        <f aca="false">IF(OR(4キー同時!$B$97="",4キー同時!$G$97="",4キー同時!$L$97=""),"",IF(4キー同時!T107="","",SUBSTITUTE(SUBSTITUTE(4キー同時!T107," ",""),"　","")))</f>
        <v/>
      </c>
      <c r="H3380" s="2" t="str">
        <f aca="false">IF($G3380="","",4キー同時!$B$97)</f>
        <v/>
      </c>
      <c r="I3380" s="2" t="str">
        <f aca="false">IF($G3380="","",4キー同時!$G$97)</f>
        <v/>
      </c>
      <c r="J3380" s="2" t="str">
        <f aca="false">IF($G3380="","",4キー同時!$L$97)</f>
        <v/>
      </c>
      <c r="K3380" s="2" t="str">
        <f aca="false">IF($G3380="","","space")</f>
        <v/>
      </c>
      <c r="L3380" s="2" t="str">
        <f aca="false">IF($G3380="","","同時")</f>
        <v/>
      </c>
      <c r="M3380" s="2" t="str">
        <f aca="false">IF($G3380="","",IF(ISNA(MATCH($G3380,個別指定!$A:$A,0)),"行なし",""))</f>
        <v/>
      </c>
      <c r="N3380" s="2" t="str">
        <f aca="false">IF($G3380="","",IF(COUNTIF($G$2:$G$4460,$G3380)&gt;1,"重複",""))</f>
        <v/>
      </c>
    </row>
    <row r="3381" customFormat="false" ht="16.5" hidden="false" customHeight="true" outlineLevel="0" collapsed="false">
      <c r="A3381" s="2" t="s">
        <v>447</v>
      </c>
      <c r="B3381" s="2" t="s">
        <v>455</v>
      </c>
      <c r="C3381" s="2" t="s">
        <v>45</v>
      </c>
      <c r="D3381" s="2" t="str">
        <f aca="false">IF(4キー同時!$B$97="","",4キー同時!$B$97)</f>
        <v/>
      </c>
      <c r="E3381" s="2" t="str">
        <f aca="false">IF(4キー同時!$G$97="","",4キー同時!$G$97)</f>
        <v/>
      </c>
      <c r="F3381" s="2" t="str">
        <f aca="false">IF(4キー同時!$L$97="","",4キー同時!$L$97)</f>
        <v/>
      </c>
      <c r="G3381" s="2" t="str">
        <f aca="false">IF(OR(4キー同時!$B$97="",4キー同時!$G$97="",4キー同時!$L$97=""),"",IF(4キー同時!AL107="","",SUBSTITUTE(SUBSTITUTE(4キー同時!AL107," ",""),"　","")))</f>
        <v/>
      </c>
      <c r="H3381" s="2" t="str">
        <f aca="false">IF($G3381="","",4キー同時!$B$97)</f>
        <v/>
      </c>
      <c r="I3381" s="2" t="str">
        <f aca="false">IF($G3381="","",4キー同時!$G$97)</f>
        <v/>
      </c>
      <c r="J3381" s="2" t="str">
        <f aca="false">IF($G3381="","",4キー同時!$L$97)</f>
        <v/>
      </c>
      <c r="K3381" s="2" t="str">
        <f aca="false">IF($G3381="","","henkan")</f>
        <v/>
      </c>
      <c r="L3381" s="2" t="str">
        <f aca="false">IF($G3381="","","同時")</f>
        <v/>
      </c>
      <c r="M3381" s="2" t="str">
        <f aca="false">IF($G3381="","",IF(ISNA(MATCH($G3381,個別指定!$A:$A,0)),"行なし",""))</f>
        <v/>
      </c>
      <c r="N3381" s="2" t="str">
        <f aca="false">IF($G3381="","",IF(COUNTIF($G$2:$G$4460,$G3381)&gt;1,"重複",""))</f>
        <v/>
      </c>
    </row>
    <row r="3382" customFormat="false" ht="16.5" hidden="false" customHeight="true" outlineLevel="0" collapsed="false">
      <c r="A3382" s="2" t="s">
        <v>447</v>
      </c>
      <c r="B3382" s="2" t="s">
        <v>455</v>
      </c>
      <c r="C3382" s="2" t="s">
        <v>46</v>
      </c>
      <c r="D3382" s="2" t="str">
        <f aca="false">IF(4キー同時!$B$97="","",4キー同時!$B$97)</f>
        <v/>
      </c>
      <c r="E3382" s="2" t="str">
        <f aca="false">IF(4キー同時!$G$97="","",4キー同時!$G$97)</f>
        <v/>
      </c>
      <c r="F3382" s="2" t="str">
        <f aca="false">IF(4キー同時!$L$97="","",4キー同時!$L$97)</f>
        <v/>
      </c>
      <c r="G3382" s="2" t="str">
        <f aca="false">IF(OR(4キー同時!$B$97="",4キー同時!$G$97="",4キー同時!$L$97=""),"",IF(4キー同時!AP107="","",SUBSTITUTE(SUBSTITUTE(4キー同時!AP107," ",""),"　","")))</f>
        <v/>
      </c>
      <c r="H3382" s="2" t="str">
        <f aca="false">IF($G3382="","",4キー同時!$B$97)</f>
        <v/>
      </c>
      <c r="I3382" s="2" t="str">
        <f aca="false">IF($G3382="","",4キー同時!$G$97)</f>
        <v/>
      </c>
      <c r="J3382" s="2" t="str">
        <f aca="false">IF($G3382="","",4キー同時!$L$97)</f>
        <v/>
      </c>
      <c r="K3382" s="2" t="str">
        <f aca="false">IF($G3382="","","kana")</f>
        <v/>
      </c>
      <c r="L3382" s="2" t="str">
        <f aca="false">IF($G3382="","","同時")</f>
        <v/>
      </c>
      <c r="M3382" s="2" t="str">
        <f aca="false">IF($G3382="","",IF(ISNA(MATCH($G3382,個別指定!$A:$A,0)),"行なし",""))</f>
        <v/>
      </c>
      <c r="N3382" s="2" t="str">
        <f aca="false">IF($G3382="","",IF(COUNTIF($G$2:$G$4460,$G3382)&gt;1,"重複",""))</f>
        <v/>
      </c>
    </row>
    <row r="3383" customFormat="false" ht="16.5" hidden="false" customHeight="true" outlineLevel="0" collapsed="false">
      <c r="A3383" s="2" t="s">
        <v>447</v>
      </c>
      <c r="B3383" s="2" t="s">
        <v>456</v>
      </c>
      <c r="C3383" s="2" t="s">
        <v>0</v>
      </c>
      <c r="D3383" s="2" t="str">
        <f aca="false">IF(4キー同時!$B$110="","",4キー同時!$B$110)</f>
        <v/>
      </c>
      <c r="E3383" s="2" t="str">
        <f aca="false">IF(4キー同時!$G$110="","",4キー同時!$G$110)</f>
        <v/>
      </c>
      <c r="F3383" s="2" t="str">
        <f aca="false">IF(4キー同時!$L$110="","",4キー同時!$L$110)</f>
        <v/>
      </c>
      <c r="G3383" s="2" t="str">
        <f aca="false">IF(OR(4キー同時!$B$110="",4キー同時!$G$110="",4キー同時!$L$110=""),"",IF(4キー同時!F112="","",SUBSTITUTE(SUBSTITUTE(4キー同時!F112," ",""),"　","")))</f>
        <v/>
      </c>
      <c r="H3383" s="2" t="str">
        <f aca="false">IF($G3383="","",4キー同時!$B$110)</f>
        <v/>
      </c>
      <c r="I3383" s="2" t="str">
        <f aca="false">IF($G3383="","",4キー同時!$G$110)</f>
        <v/>
      </c>
      <c r="J3383" s="2" t="str">
        <f aca="false">IF($G3383="","",4キー同時!$L$110)</f>
        <v/>
      </c>
      <c r="K3383" s="2" t="str">
        <f aca="false">IF($G3383="","","1")</f>
        <v/>
      </c>
      <c r="L3383" s="2" t="str">
        <f aca="false">IF($G3383="","","同時")</f>
        <v/>
      </c>
      <c r="M3383" s="2" t="str">
        <f aca="false">IF($G3383="","",IF(ISNA(MATCH($G3383,個別指定!$A:$A,0)),"行なし",""))</f>
        <v/>
      </c>
      <c r="N3383" s="2" t="str">
        <f aca="false">IF($G3383="","",IF(COUNTIF($G$2:$G$4460,$G3383)&gt;1,"重複",""))</f>
        <v/>
      </c>
    </row>
    <row r="3384" customFormat="false" ht="16.5" hidden="false" customHeight="true" outlineLevel="0" collapsed="false">
      <c r="A3384" s="2" t="s">
        <v>447</v>
      </c>
      <c r="B3384" s="2" t="s">
        <v>456</v>
      </c>
      <c r="C3384" s="2" t="s">
        <v>1</v>
      </c>
      <c r="D3384" s="2" t="str">
        <f aca="false">IF(4キー同時!$B$110="","",4キー同時!$B$110)</f>
        <v/>
      </c>
      <c r="E3384" s="2" t="str">
        <f aca="false">IF(4キー同時!$G$110="","",4キー同時!$G$110)</f>
        <v/>
      </c>
      <c r="F3384" s="2" t="str">
        <f aca="false">IF(4キー同時!$L$110="","",4キー同時!$L$110)</f>
        <v/>
      </c>
      <c r="G3384" s="2" t="str">
        <f aca="false">IF(OR(4キー同時!$B$110="",4キー同時!$G$110="",4キー同時!$L$110=""),"",IF(4キー同時!J112="","",SUBSTITUTE(SUBSTITUTE(4キー同時!J112," ",""),"　","")))</f>
        <v/>
      </c>
      <c r="H3384" s="2" t="str">
        <f aca="false">IF($G3384="","",4キー同時!$B$110)</f>
        <v/>
      </c>
      <c r="I3384" s="2" t="str">
        <f aca="false">IF($G3384="","",4キー同時!$G$110)</f>
        <v/>
      </c>
      <c r="J3384" s="2" t="str">
        <f aca="false">IF($G3384="","",4キー同時!$L$110)</f>
        <v/>
      </c>
      <c r="K3384" s="2" t="str">
        <f aca="false">IF($G3384="","","2")</f>
        <v/>
      </c>
      <c r="L3384" s="2" t="str">
        <f aca="false">IF($G3384="","","同時")</f>
        <v/>
      </c>
      <c r="M3384" s="2" t="str">
        <f aca="false">IF($G3384="","",IF(ISNA(MATCH($G3384,個別指定!$A:$A,0)),"行なし",""))</f>
        <v/>
      </c>
      <c r="N3384" s="2" t="str">
        <f aca="false">IF($G3384="","",IF(COUNTIF($G$2:$G$4460,$G3384)&gt;1,"重複",""))</f>
        <v/>
      </c>
    </row>
    <row r="3385" customFormat="false" ht="16.5" hidden="false" customHeight="true" outlineLevel="0" collapsed="false">
      <c r="A3385" s="2" t="s">
        <v>447</v>
      </c>
      <c r="B3385" s="2" t="s">
        <v>456</v>
      </c>
      <c r="C3385" s="2" t="s">
        <v>2</v>
      </c>
      <c r="D3385" s="2" t="str">
        <f aca="false">IF(4キー同時!$B$110="","",4キー同時!$B$110)</f>
        <v/>
      </c>
      <c r="E3385" s="2" t="str">
        <f aca="false">IF(4キー同時!$G$110="","",4キー同時!$G$110)</f>
        <v/>
      </c>
      <c r="F3385" s="2" t="str">
        <f aca="false">IF(4キー同時!$L$110="","",4キー同時!$L$110)</f>
        <v/>
      </c>
      <c r="G3385" s="2" t="str">
        <f aca="false">IF(OR(4キー同時!$B$110="",4キー同時!$G$110="",4キー同時!$L$110=""),"",IF(4キー同時!N112="","",SUBSTITUTE(SUBSTITUTE(4キー同時!N112," ",""),"　","")))</f>
        <v/>
      </c>
      <c r="H3385" s="2" t="str">
        <f aca="false">IF($G3385="","",4キー同時!$B$110)</f>
        <v/>
      </c>
      <c r="I3385" s="2" t="str">
        <f aca="false">IF($G3385="","",4キー同時!$G$110)</f>
        <v/>
      </c>
      <c r="J3385" s="2" t="str">
        <f aca="false">IF($G3385="","",4キー同時!$L$110)</f>
        <v/>
      </c>
      <c r="K3385" s="2" t="str">
        <f aca="false">IF($G3385="","","3")</f>
        <v/>
      </c>
      <c r="L3385" s="2" t="str">
        <f aca="false">IF($G3385="","","同時")</f>
        <v/>
      </c>
      <c r="M3385" s="2" t="str">
        <f aca="false">IF($G3385="","",IF(ISNA(MATCH($G3385,個別指定!$A:$A,0)),"行なし",""))</f>
        <v/>
      </c>
      <c r="N3385" s="2" t="str">
        <f aca="false">IF($G3385="","",IF(COUNTIF($G$2:$G$4460,$G3385)&gt;1,"重複",""))</f>
        <v/>
      </c>
    </row>
    <row r="3386" customFormat="false" ht="16.5" hidden="false" customHeight="true" outlineLevel="0" collapsed="false">
      <c r="A3386" s="2" t="s">
        <v>447</v>
      </c>
      <c r="B3386" s="2" t="s">
        <v>456</v>
      </c>
      <c r="C3386" s="2" t="s">
        <v>3</v>
      </c>
      <c r="D3386" s="2" t="str">
        <f aca="false">IF(4キー同時!$B$110="","",4キー同時!$B$110)</f>
        <v/>
      </c>
      <c r="E3386" s="2" t="str">
        <f aca="false">IF(4キー同時!$G$110="","",4キー同時!$G$110)</f>
        <v/>
      </c>
      <c r="F3386" s="2" t="str">
        <f aca="false">IF(4キー同時!$L$110="","",4キー同時!$L$110)</f>
        <v/>
      </c>
      <c r="G3386" s="2" t="str">
        <f aca="false">IF(OR(4キー同時!$B$110="",4キー同時!$G$110="",4キー同時!$L$110=""),"",IF(4キー同時!R112="","",SUBSTITUTE(SUBSTITUTE(4キー同時!R112," ",""),"　","")))</f>
        <v/>
      </c>
      <c r="H3386" s="2" t="str">
        <f aca="false">IF($G3386="","",4キー同時!$B$110)</f>
        <v/>
      </c>
      <c r="I3386" s="2" t="str">
        <f aca="false">IF($G3386="","",4キー同時!$G$110)</f>
        <v/>
      </c>
      <c r="J3386" s="2" t="str">
        <f aca="false">IF($G3386="","",4キー同時!$L$110)</f>
        <v/>
      </c>
      <c r="K3386" s="2" t="str">
        <f aca="false">IF($G3386="","","4")</f>
        <v/>
      </c>
      <c r="L3386" s="2" t="str">
        <f aca="false">IF($G3386="","","同時")</f>
        <v/>
      </c>
      <c r="M3386" s="2" t="str">
        <f aca="false">IF($G3386="","",IF(ISNA(MATCH($G3386,個別指定!$A:$A,0)),"行なし",""))</f>
        <v/>
      </c>
      <c r="N3386" s="2" t="str">
        <f aca="false">IF($G3386="","",IF(COUNTIF($G$2:$G$4460,$G3386)&gt;1,"重複",""))</f>
        <v/>
      </c>
    </row>
    <row r="3387" customFormat="false" ht="16.5" hidden="false" customHeight="true" outlineLevel="0" collapsed="false">
      <c r="A3387" s="2" t="s">
        <v>447</v>
      </c>
      <c r="B3387" s="2" t="s">
        <v>456</v>
      </c>
      <c r="C3387" s="2" t="s">
        <v>4</v>
      </c>
      <c r="D3387" s="2" t="str">
        <f aca="false">IF(4キー同時!$B$110="","",4キー同時!$B$110)</f>
        <v/>
      </c>
      <c r="E3387" s="2" t="str">
        <f aca="false">IF(4キー同時!$G$110="","",4キー同時!$G$110)</f>
        <v/>
      </c>
      <c r="F3387" s="2" t="str">
        <f aca="false">IF(4キー同時!$L$110="","",4キー同時!$L$110)</f>
        <v/>
      </c>
      <c r="G3387" s="2" t="str">
        <f aca="false">IF(OR(4キー同時!$B$110="",4キー同時!$G$110="",4キー同時!$L$110=""),"",IF(4キー同時!V112="","",SUBSTITUTE(SUBSTITUTE(4キー同時!V112," ",""),"　","")))</f>
        <v/>
      </c>
      <c r="H3387" s="2" t="str">
        <f aca="false">IF($G3387="","",4キー同時!$B$110)</f>
        <v/>
      </c>
      <c r="I3387" s="2" t="str">
        <f aca="false">IF($G3387="","",4キー同時!$G$110)</f>
        <v/>
      </c>
      <c r="J3387" s="2" t="str">
        <f aca="false">IF($G3387="","",4キー同時!$L$110)</f>
        <v/>
      </c>
      <c r="K3387" s="2" t="str">
        <f aca="false">IF($G3387="","","5")</f>
        <v/>
      </c>
      <c r="L3387" s="2" t="str">
        <f aca="false">IF($G3387="","","同時")</f>
        <v/>
      </c>
      <c r="M3387" s="2" t="str">
        <f aca="false">IF($G3387="","",IF(ISNA(MATCH($G3387,個別指定!$A:$A,0)),"行なし",""))</f>
        <v/>
      </c>
      <c r="N3387" s="2" t="str">
        <f aca="false">IF($G3387="","",IF(COUNTIF($G$2:$G$4460,$G3387)&gt;1,"重複",""))</f>
        <v/>
      </c>
    </row>
    <row r="3388" customFormat="false" ht="16.5" hidden="false" customHeight="true" outlineLevel="0" collapsed="false">
      <c r="A3388" s="2" t="s">
        <v>447</v>
      </c>
      <c r="B3388" s="2" t="s">
        <v>456</v>
      </c>
      <c r="C3388" s="2" t="s">
        <v>5</v>
      </c>
      <c r="D3388" s="2" t="str">
        <f aca="false">IF(4キー同時!$B$110="","",4キー同時!$B$110)</f>
        <v/>
      </c>
      <c r="E3388" s="2" t="str">
        <f aca="false">IF(4キー同時!$G$110="","",4キー同時!$G$110)</f>
        <v/>
      </c>
      <c r="F3388" s="2" t="str">
        <f aca="false">IF(4キー同時!$L$110="","",4キー同時!$L$110)</f>
        <v/>
      </c>
      <c r="G3388" s="2" t="str">
        <f aca="false">IF(OR(4キー同時!$B$110="",4キー同時!$G$110="",4キー同時!$L$110=""),"",IF(4キー同時!Z112="","",SUBSTITUTE(SUBSTITUTE(4キー同時!Z112," ",""),"　","")))</f>
        <v/>
      </c>
      <c r="H3388" s="2" t="str">
        <f aca="false">IF($G3388="","",4キー同時!$B$110)</f>
        <v/>
      </c>
      <c r="I3388" s="2" t="str">
        <f aca="false">IF($G3388="","",4キー同時!$G$110)</f>
        <v/>
      </c>
      <c r="J3388" s="2" t="str">
        <f aca="false">IF($G3388="","",4キー同時!$L$110)</f>
        <v/>
      </c>
      <c r="K3388" s="2" t="str">
        <f aca="false">IF($G3388="","","6")</f>
        <v/>
      </c>
      <c r="L3388" s="2" t="str">
        <f aca="false">IF($G3388="","","同時")</f>
        <v/>
      </c>
      <c r="M3388" s="2" t="str">
        <f aca="false">IF($G3388="","",IF(ISNA(MATCH($G3388,個別指定!$A:$A,0)),"行なし",""))</f>
        <v/>
      </c>
      <c r="N3388" s="2" t="str">
        <f aca="false">IF($G3388="","",IF(COUNTIF($G$2:$G$4460,$G3388)&gt;1,"重複",""))</f>
        <v/>
      </c>
    </row>
    <row r="3389" customFormat="false" ht="16.5" hidden="false" customHeight="true" outlineLevel="0" collapsed="false">
      <c r="A3389" s="2" t="s">
        <v>447</v>
      </c>
      <c r="B3389" s="2" t="s">
        <v>456</v>
      </c>
      <c r="C3389" s="2" t="s">
        <v>6</v>
      </c>
      <c r="D3389" s="2" t="str">
        <f aca="false">IF(4キー同時!$B$110="","",4キー同時!$B$110)</f>
        <v/>
      </c>
      <c r="E3389" s="2" t="str">
        <f aca="false">IF(4キー同時!$G$110="","",4キー同時!$G$110)</f>
        <v/>
      </c>
      <c r="F3389" s="2" t="str">
        <f aca="false">IF(4キー同時!$L$110="","",4キー同時!$L$110)</f>
        <v/>
      </c>
      <c r="G3389" s="2" t="str">
        <f aca="false">IF(OR(4キー同時!$B$110="",4キー同時!$G$110="",4キー同時!$L$110=""),"",IF(4キー同時!AD112="","",SUBSTITUTE(SUBSTITUTE(4キー同時!AD112," ",""),"　","")))</f>
        <v/>
      </c>
      <c r="H3389" s="2" t="str">
        <f aca="false">IF($G3389="","",4キー同時!$B$110)</f>
        <v/>
      </c>
      <c r="I3389" s="2" t="str">
        <f aca="false">IF($G3389="","",4キー同時!$G$110)</f>
        <v/>
      </c>
      <c r="J3389" s="2" t="str">
        <f aca="false">IF($G3389="","",4キー同時!$L$110)</f>
        <v/>
      </c>
      <c r="K3389" s="2" t="str">
        <f aca="false">IF($G3389="","","7")</f>
        <v/>
      </c>
      <c r="L3389" s="2" t="str">
        <f aca="false">IF($G3389="","","同時")</f>
        <v/>
      </c>
      <c r="M3389" s="2" t="str">
        <f aca="false">IF($G3389="","",IF(ISNA(MATCH($G3389,個別指定!$A:$A,0)),"行なし",""))</f>
        <v/>
      </c>
      <c r="N3389" s="2" t="str">
        <f aca="false">IF($G3389="","",IF(COUNTIF($G$2:$G$4460,$G3389)&gt;1,"重複",""))</f>
        <v/>
      </c>
    </row>
    <row r="3390" customFormat="false" ht="16.5" hidden="false" customHeight="true" outlineLevel="0" collapsed="false">
      <c r="A3390" s="2" t="s">
        <v>447</v>
      </c>
      <c r="B3390" s="2" t="s">
        <v>456</v>
      </c>
      <c r="C3390" s="2" t="s">
        <v>7</v>
      </c>
      <c r="D3390" s="2" t="str">
        <f aca="false">IF(4キー同時!$B$110="","",4キー同時!$B$110)</f>
        <v/>
      </c>
      <c r="E3390" s="2" t="str">
        <f aca="false">IF(4キー同時!$G$110="","",4キー同時!$G$110)</f>
        <v/>
      </c>
      <c r="F3390" s="2" t="str">
        <f aca="false">IF(4キー同時!$L$110="","",4キー同時!$L$110)</f>
        <v/>
      </c>
      <c r="G3390" s="2" t="str">
        <f aca="false">IF(OR(4キー同時!$B$110="",4キー同時!$G$110="",4キー同時!$L$110=""),"",IF(4キー同時!AH112="","",SUBSTITUTE(SUBSTITUTE(4キー同時!AH112," ",""),"　","")))</f>
        <v/>
      </c>
      <c r="H3390" s="2" t="str">
        <f aca="false">IF($G3390="","",4キー同時!$B$110)</f>
        <v/>
      </c>
      <c r="I3390" s="2" t="str">
        <f aca="false">IF($G3390="","",4キー同時!$G$110)</f>
        <v/>
      </c>
      <c r="J3390" s="2" t="str">
        <f aca="false">IF($G3390="","",4キー同時!$L$110)</f>
        <v/>
      </c>
      <c r="K3390" s="2" t="str">
        <f aca="false">IF($G3390="","","8")</f>
        <v/>
      </c>
      <c r="L3390" s="2" t="str">
        <f aca="false">IF($G3390="","","同時")</f>
        <v/>
      </c>
      <c r="M3390" s="2" t="str">
        <f aca="false">IF($G3390="","",IF(ISNA(MATCH($G3390,個別指定!$A:$A,0)),"行なし",""))</f>
        <v/>
      </c>
      <c r="N3390" s="2" t="str">
        <f aca="false">IF($G3390="","",IF(COUNTIF($G$2:$G$4460,$G3390)&gt;1,"重複",""))</f>
        <v/>
      </c>
    </row>
    <row r="3391" customFormat="false" ht="16.5" hidden="false" customHeight="true" outlineLevel="0" collapsed="false">
      <c r="A3391" s="2" t="s">
        <v>447</v>
      </c>
      <c r="B3391" s="2" t="s">
        <v>456</v>
      </c>
      <c r="C3391" s="2" t="s">
        <v>8</v>
      </c>
      <c r="D3391" s="2" t="str">
        <f aca="false">IF(4キー同時!$B$110="","",4キー同時!$B$110)</f>
        <v/>
      </c>
      <c r="E3391" s="2" t="str">
        <f aca="false">IF(4キー同時!$G$110="","",4キー同時!$G$110)</f>
        <v/>
      </c>
      <c r="F3391" s="2" t="str">
        <f aca="false">IF(4キー同時!$L$110="","",4キー同時!$L$110)</f>
        <v/>
      </c>
      <c r="G3391" s="2" t="str">
        <f aca="false">IF(OR(4キー同時!$B$110="",4キー同時!$G$110="",4キー同時!$L$110=""),"",IF(4キー同時!AL112="","",SUBSTITUTE(SUBSTITUTE(4キー同時!AL112," ",""),"　","")))</f>
        <v/>
      </c>
      <c r="H3391" s="2" t="str">
        <f aca="false">IF($G3391="","",4キー同時!$B$110)</f>
        <v/>
      </c>
      <c r="I3391" s="2" t="str">
        <f aca="false">IF($G3391="","",4キー同時!$G$110)</f>
        <v/>
      </c>
      <c r="J3391" s="2" t="str">
        <f aca="false">IF($G3391="","",4キー同時!$L$110)</f>
        <v/>
      </c>
      <c r="K3391" s="2" t="str">
        <f aca="false">IF($G3391="","","9")</f>
        <v/>
      </c>
      <c r="L3391" s="2" t="str">
        <f aca="false">IF($G3391="","","同時")</f>
        <v/>
      </c>
      <c r="M3391" s="2" t="str">
        <f aca="false">IF($G3391="","",IF(ISNA(MATCH($G3391,個別指定!$A:$A,0)),"行なし",""))</f>
        <v/>
      </c>
      <c r="N3391" s="2" t="str">
        <f aca="false">IF($G3391="","",IF(COUNTIF($G$2:$G$4460,$G3391)&gt;1,"重複",""))</f>
        <v/>
      </c>
    </row>
    <row r="3392" customFormat="false" ht="16.5" hidden="false" customHeight="true" outlineLevel="0" collapsed="false">
      <c r="A3392" s="2" t="s">
        <v>447</v>
      </c>
      <c r="B3392" s="2" t="s">
        <v>456</v>
      </c>
      <c r="C3392" s="2" t="s">
        <v>9</v>
      </c>
      <c r="D3392" s="2" t="str">
        <f aca="false">IF(4キー同時!$B$110="","",4キー同時!$B$110)</f>
        <v/>
      </c>
      <c r="E3392" s="2" t="str">
        <f aca="false">IF(4キー同時!$G$110="","",4キー同時!$G$110)</f>
        <v/>
      </c>
      <c r="F3392" s="2" t="str">
        <f aca="false">IF(4キー同時!$L$110="","",4キー同時!$L$110)</f>
        <v/>
      </c>
      <c r="G3392" s="2" t="str">
        <f aca="false">IF(OR(4キー同時!$B$110="",4キー同時!$G$110="",4キー同時!$L$110=""),"",IF(4キー同時!AP112="","",SUBSTITUTE(SUBSTITUTE(4キー同時!AP112," ",""),"　","")))</f>
        <v/>
      </c>
      <c r="H3392" s="2" t="str">
        <f aca="false">IF($G3392="","",4キー同時!$B$110)</f>
        <v/>
      </c>
      <c r="I3392" s="2" t="str">
        <f aca="false">IF($G3392="","",4キー同時!$G$110)</f>
        <v/>
      </c>
      <c r="J3392" s="2" t="str">
        <f aca="false">IF($G3392="","",4キー同時!$L$110)</f>
        <v/>
      </c>
      <c r="K3392" s="2" t="str">
        <f aca="false">IF($G3392="","","0")</f>
        <v/>
      </c>
      <c r="L3392" s="2" t="str">
        <f aca="false">IF($G3392="","","同時")</f>
        <v/>
      </c>
      <c r="M3392" s="2" t="str">
        <f aca="false">IF($G3392="","",IF(ISNA(MATCH($G3392,個別指定!$A:$A,0)),"行なし",""))</f>
        <v/>
      </c>
      <c r="N3392" s="2" t="str">
        <f aca="false">IF($G3392="","",IF(COUNTIF($G$2:$G$4460,$G3392)&gt;1,"重複",""))</f>
        <v/>
      </c>
    </row>
    <row r="3393" customFormat="false" ht="16.5" hidden="false" customHeight="true" outlineLevel="0" collapsed="false">
      <c r="A3393" s="2" t="s">
        <v>447</v>
      </c>
      <c r="B3393" s="2" t="s">
        <v>456</v>
      </c>
      <c r="C3393" s="2" t="s">
        <v>10</v>
      </c>
      <c r="D3393" s="2" t="str">
        <f aca="false">IF(4キー同時!$B$110="","",4キー同時!$B$110)</f>
        <v/>
      </c>
      <c r="E3393" s="2" t="str">
        <f aca="false">IF(4キー同時!$G$110="","",4キー同時!$G$110)</f>
        <v/>
      </c>
      <c r="F3393" s="2" t="str">
        <f aca="false">IF(4キー同時!$L$110="","",4キー同時!$L$110)</f>
        <v/>
      </c>
      <c r="G3393" s="2" t="str">
        <f aca="false">IF(OR(4キー同時!$B$110="",4キー同時!$G$110="",4キー同時!$L$110=""),"",IF(4キー同時!AT112="","",SUBSTITUTE(SUBSTITUTE(4キー同時!AT112," ",""),"　","")))</f>
        <v/>
      </c>
      <c r="H3393" s="2" t="str">
        <f aca="false">IF($G3393="","",4キー同時!$B$110)</f>
        <v/>
      </c>
      <c r="I3393" s="2" t="str">
        <f aca="false">IF($G3393="","",4キー同時!$G$110)</f>
        <v/>
      </c>
      <c r="J3393" s="2" t="str">
        <f aca="false">IF($G3393="","",4キー同時!$L$110)</f>
        <v/>
      </c>
      <c r="K3393" s="2" t="str">
        <f aca="false">IF($G3393="","","-")</f>
        <v/>
      </c>
      <c r="L3393" s="2" t="str">
        <f aca="false">IF($G3393="","","同時")</f>
        <v/>
      </c>
      <c r="M3393" s="2" t="str">
        <f aca="false">IF($G3393="","",IF(ISNA(MATCH($G3393,個別指定!$A:$A,0)),"行なし",""))</f>
        <v/>
      </c>
      <c r="N3393" s="2" t="str">
        <f aca="false">IF($G3393="","",IF(COUNTIF($G$2:$G$4460,$G3393)&gt;1,"重複",""))</f>
        <v/>
      </c>
    </row>
    <row r="3394" customFormat="false" ht="16.5" hidden="false" customHeight="true" outlineLevel="0" collapsed="false">
      <c r="A3394" s="2" t="s">
        <v>447</v>
      </c>
      <c r="B3394" s="2" t="s">
        <v>456</v>
      </c>
      <c r="C3394" s="2" t="s">
        <v>11</v>
      </c>
      <c r="D3394" s="2" t="str">
        <f aca="false">IF(4キー同時!$B$110="","",4キー同時!$B$110)</f>
        <v/>
      </c>
      <c r="E3394" s="2" t="str">
        <f aca="false">IF(4キー同時!$G$110="","",4キー同時!$G$110)</f>
        <v/>
      </c>
      <c r="F3394" s="2" t="str">
        <f aca="false">IF(4キー同時!$L$110="","",4キー同時!$L$110)</f>
        <v/>
      </c>
      <c r="G3394" s="2" t="str">
        <f aca="false">IF(OR(4キー同時!$B$110="",4キー同時!$G$110="",4キー同時!$L$110=""),"",IF(4キー同時!AX112="","",SUBSTITUTE(SUBSTITUTE(4キー同時!AX112," ",""),"　","")))</f>
        <v/>
      </c>
      <c r="H3394" s="2" t="str">
        <f aca="false">IF($G3394="","",4キー同時!$B$110)</f>
        <v/>
      </c>
      <c r="I3394" s="2" t="str">
        <f aca="false">IF($G3394="","",4キー同時!$G$110)</f>
        <v/>
      </c>
      <c r="J3394" s="2" t="str">
        <f aca="false">IF($G3394="","",4キー同時!$L$110)</f>
        <v/>
      </c>
      <c r="K3394" s="2" t="str">
        <f aca="false">IF($G3394="","","=")</f>
        <v/>
      </c>
      <c r="L3394" s="2" t="str">
        <f aca="false">IF($G3394="","","同時")</f>
        <v/>
      </c>
      <c r="M3394" s="2" t="str">
        <f aca="false">IF($G3394="","",IF(ISNA(MATCH($G3394,個別指定!$A:$A,0)),"行なし",""))</f>
        <v/>
      </c>
      <c r="N3394" s="2" t="str">
        <f aca="false">IF($G3394="","",IF(COUNTIF($G$2:$G$4460,$G3394)&gt;1,"重複",""))</f>
        <v/>
      </c>
    </row>
    <row r="3395" customFormat="false" ht="16.5" hidden="false" customHeight="true" outlineLevel="0" collapsed="false">
      <c r="A3395" s="2" t="s">
        <v>447</v>
      </c>
      <c r="B3395" s="2" t="s">
        <v>456</v>
      </c>
      <c r="C3395" s="2" t="s">
        <v>12</v>
      </c>
      <c r="D3395" s="2" t="str">
        <f aca="false">IF(4キー同時!$B$110="","",4キー同時!$B$110)</f>
        <v/>
      </c>
      <c r="E3395" s="2" t="str">
        <f aca="false">IF(4キー同時!$G$110="","",4キー同時!$G$110)</f>
        <v/>
      </c>
      <c r="F3395" s="2" t="str">
        <f aca="false">IF(4キー同時!$L$110="","",4キー同時!$L$110)</f>
        <v/>
      </c>
      <c r="G3395" s="2" t="str">
        <f aca="false">IF(OR(4キー同時!$B$110="",4キー同時!$G$110="",4キー同時!$L$110=""),"",IF(4キー同時!H114="","",SUBSTITUTE(SUBSTITUTE(4キー同時!H114," ",""),"　","")))</f>
        <v/>
      </c>
      <c r="H3395" s="2" t="str">
        <f aca="false">IF($G3395="","",4キー同時!$B$110)</f>
        <v/>
      </c>
      <c r="I3395" s="2" t="str">
        <f aca="false">IF($G3395="","",4キー同時!$G$110)</f>
        <v/>
      </c>
      <c r="J3395" s="2" t="str">
        <f aca="false">IF($G3395="","",4キー同時!$L$110)</f>
        <v/>
      </c>
      <c r="K3395" s="2" t="str">
        <f aca="false">IF($G3395="","","q")</f>
        <v/>
      </c>
      <c r="L3395" s="2" t="str">
        <f aca="false">IF($G3395="","","同時")</f>
        <v/>
      </c>
      <c r="M3395" s="2" t="str">
        <f aca="false">IF($G3395="","",IF(ISNA(MATCH($G3395,個別指定!$A:$A,0)),"行なし",""))</f>
        <v/>
      </c>
      <c r="N3395" s="2" t="str">
        <f aca="false">IF($G3395="","",IF(COUNTIF($G$2:$G$4460,$G3395)&gt;1,"重複",""))</f>
        <v/>
      </c>
    </row>
    <row r="3396" customFormat="false" ht="16.5" hidden="false" customHeight="true" outlineLevel="0" collapsed="false">
      <c r="A3396" s="2" t="s">
        <v>447</v>
      </c>
      <c r="B3396" s="2" t="s">
        <v>456</v>
      </c>
      <c r="C3396" s="2" t="s">
        <v>13</v>
      </c>
      <c r="D3396" s="2" t="str">
        <f aca="false">IF(4キー同時!$B$110="","",4キー同時!$B$110)</f>
        <v/>
      </c>
      <c r="E3396" s="2" t="str">
        <f aca="false">IF(4キー同時!$G$110="","",4キー同時!$G$110)</f>
        <v/>
      </c>
      <c r="F3396" s="2" t="str">
        <f aca="false">IF(4キー同時!$L$110="","",4キー同時!$L$110)</f>
        <v/>
      </c>
      <c r="G3396" s="2" t="str">
        <f aca="false">IF(OR(4キー同時!$B$110="",4キー同時!$G$110="",4キー同時!$L$110=""),"",IF(4キー同時!L114="","",SUBSTITUTE(SUBSTITUTE(4キー同時!L114," ",""),"　","")))</f>
        <v/>
      </c>
      <c r="H3396" s="2" t="str">
        <f aca="false">IF($G3396="","",4キー同時!$B$110)</f>
        <v/>
      </c>
      <c r="I3396" s="2" t="str">
        <f aca="false">IF($G3396="","",4キー同時!$G$110)</f>
        <v/>
      </c>
      <c r="J3396" s="2" t="str">
        <f aca="false">IF($G3396="","",4キー同時!$L$110)</f>
        <v/>
      </c>
      <c r="K3396" s="2" t="str">
        <f aca="false">IF($G3396="","","w")</f>
        <v/>
      </c>
      <c r="L3396" s="2" t="str">
        <f aca="false">IF($G3396="","","同時")</f>
        <v/>
      </c>
      <c r="M3396" s="2" t="str">
        <f aca="false">IF($G3396="","",IF(ISNA(MATCH($G3396,個別指定!$A:$A,0)),"行なし",""))</f>
        <v/>
      </c>
      <c r="N3396" s="2" t="str">
        <f aca="false">IF($G3396="","",IF(COUNTIF($G$2:$G$4460,$G3396)&gt;1,"重複",""))</f>
        <v/>
      </c>
    </row>
    <row r="3397" customFormat="false" ht="16.5" hidden="false" customHeight="true" outlineLevel="0" collapsed="false">
      <c r="A3397" s="2" t="s">
        <v>447</v>
      </c>
      <c r="B3397" s="2" t="s">
        <v>456</v>
      </c>
      <c r="C3397" s="2" t="s">
        <v>14</v>
      </c>
      <c r="D3397" s="2" t="str">
        <f aca="false">IF(4キー同時!$B$110="","",4キー同時!$B$110)</f>
        <v/>
      </c>
      <c r="E3397" s="2" t="str">
        <f aca="false">IF(4キー同時!$G$110="","",4キー同時!$G$110)</f>
        <v/>
      </c>
      <c r="F3397" s="2" t="str">
        <f aca="false">IF(4キー同時!$L$110="","",4キー同時!$L$110)</f>
        <v/>
      </c>
      <c r="G3397" s="2" t="str">
        <f aca="false">IF(OR(4キー同時!$B$110="",4キー同時!$G$110="",4キー同時!$L$110=""),"",IF(4キー同時!P114="","",SUBSTITUTE(SUBSTITUTE(4キー同時!P114," ",""),"　","")))</f>
        <v/>
      </c>
      <c r="H3397" s="2" t="str">
        <f aca="false">IF($G3397="","",4キー同時!$B$110)</f>
        <v/>
      </c>
      <c r="I3397" s="2" t="str">
        <f aca="false">IF($G3397="","",4キー同時!$G$110)</f>
        <v/>
      </c>
      <c r="J3397" s="2" t="str">
        <f aca="false">IF($G3397="","",4キー同時!$L$110)</f>
        <v/>
      </c>
      <c r="K3397" s="2" t="str">
        <f aca="false">IF($G3397="","","e")</f>
        <v/>
      </c>
      <c r="L3397" s="2" t="str">
        <f aca="false">IF($G3397="","","同時")</f>
        <v/>
      </c>
      <c r="M3397" s="2" t="str">
        <f aca="false">IF($G3397="","",IF(ISNA(MATCH($G3397,個別指定!$A:$A,0)),"行なし",""))</f>
        <v/>
      </c>
      <c r="N3397" s="2" t="str">
        <f aca="false">IF($G3397="","",IF(COUNTIF($G$2:$G$4460,$G3397)&gt;1,"重複",""))</f>
        <v/>
      </c>
    </row>
    <row r="3398" customFormat="false" ht="16.5" hidden="false" customHeight="true" outlineLevel="0" collapsed="false">
      <c r="A3398" s="2" t="s">
        <v>447</v>
      </c>
      <c r="B3398" s="2" t="s">
        <v>456</v>
      </c>
      <c r="C3398" s="2" t="s">
        <v>15</v>
      </c>
      <c r="D3398" s="2" t="str">
        <f aca="false">IF(4キー同時!$B$110="","",4キー同時!$B$110)</f>
        <v/>
      </c>
      <c r="E3398" s="2" t="str">
        <f aca="false">IF(4キー同時!$G$110="","",4キー同時!$G$110)</f>
        <v/>
      </c>
      <c r="F3398" s="2" t="str">
        <f aca="false">IF(4キー同時!$L$110="","",4キー同時!$L$110)</f>
        <v/>
      </c>
      <c r="G3398" s="2" t="str">
        <f aca="false">IF(OR(4キー同時!$B$110="",4キー同時!$G$110="",4キー同時!$L$110=""),"",IF(4キー同時!T114="","",SUBSTITUTE(SUBSTITUTE(4キー同時!T114," ",""),"　","")))</f>
        <v/>
      </c>
      <c r="H3398" s="2" t="str">
        <f aca="false">IF($G3398="","",4キー同時!$B$110)</f>
        <v/>
      </c>
      <c r="I3398" s="2" t="str">
        <f aca="false">IF($G3398="","",4キー同時!$G$110)</f>
        <v/>
      </c>
      <c r="J3398" s="2" t="str">
        <f aca="false">IF($G3398="","",4キー同時!$L$110)</f>
        <v/>
      </c>
      <c r="K3398" s="2" t="str">
        <f aca="false">IF($G3398="","","r")</f>
        <v/>
      </c>
      <c r="L3398" s="2" t="str">
        <f aca="false">IF($G3398="","","同時")</f>
        <v/>
      </c>
      <c r="M3398" s="2" t="str">
        <f aca="false">IF($G3398="","",IF(ISNA(MATCH($G3398,個別指定!$A:$A,0)),"行なし",""))</f>
        <v/>
      </c>
      <c r="N3398" s="2" t="str">
        <f aca="false">IF($G3398="","",IF(COUNTIF($G$2:$G$4460,$G3398)&gt;1,"重複",""))</f>
        <v/>
      </c>
    </row>
    <row r="3399" customFormat="false" ht="16.5" hidden="false" customHeight="true" outlineLevel="0" collapsed="false">
      <c r="A3399" s="2" t="s">
        <v>447</v>
      </c>
      <c r="B3399" s="2" t="s">
        <v>456</v>
      </c>
      <c r="C3399" s="2" t="s">
        <v>16</v>
      </c>
      <c r="D3399" s="2" t="str">
        <f aca="false">IF(4キー同時!$B$110="","",4キー同時!$B$110)</f>
        <v/>
      </c>
      <c r="E3399" s="2" t="str">
        <f aca="false">IF(4キー同時!$G$110="","",4キー同時!$G$110)</f>
        <v/>
      </c>
      <c r="F3399" s="2" t="str">
        <f aca="false">IF(4キー同時!$L$110="","",4キー同時!$L$110)</f>
        <v/>
      </c>
      <c r="G3399" s="2" t="str">
        <f aca="false">IF(OR(4キー同時!$B$110="",4キー同時!$G$110="",4キー同時!$L$110=""),"",IF(4キー同時!X114="","",SUBSTITUTE(SUBSTITUTE(4キー同時!X114," ",""),"　","")))</f>
        <v/>
      </c>
      <c r="H3399" s="2" t="str">
        <f aca="false">IF($G3399="","",4キー同時!$B$110)</f>
        <v/>
      </c>
      <c r="I3399" s="2" t="str">
        <f aca="false">IF($G3399="","",4キー同時!$G$110)</f>
        <v/>
      </c>
      <c r="J3399" s="2" t="str">
        <f aca="false">IF($G3399="","",4キー同時!$L$110)</f>
        <v/>
      </c>
      <c r="K3399" s="2" t="str">
        <f aca="false">IF($G3399="","","t")</f>
        <v/>
      </c>
      <c r="L3399" s="2" t="str">
        <f aca="false">IF($G3399="","","同時")</f>
        <v/>
      </c>
      <c r="M3399" s="2" t="str">
        <f aca="false">IF($G3399="","",IF(ISNA(MATCH($G3399,個別指定!$A:$A,0)),"行なし",""))</f>
        <v/>
      </c>
      <c r="N3399" s="2" t="str">
        <f aca="false">IF($G3399="","",IF(COUNTIF($G$2:$G$4460,$G3399)&gt;1,"重複",""))</f>
        <v/>
      </c>
    </row>
    <row r="3400" customFormat="false" ht="16.5" hidden="false" customHeight="true" outlineLevel="0" collapsed="false">
      <c r="A3400" s="2" t="s">
        <v>447</v>
      </c>
      <c r="B3400" s="2" t="s">
        <v>456</v>
      </c>
      <c r="C3400" s="2" t="s">
        <v>17</v>
      </c>
      <c r="D3400" s="2" t="str">
        <f aca="false">IF(4キー同時!$B$110="","",4キー同時!$B$110)</f>
        <v/>
      </c>
      <c r="E3400" s="2" t="str">
        <f aca="false">IF(4キー同時!$G$110="","",4キー同時!$G$110)</f>
        <v/>
      </c>
      <c r="F3400" s="2" t="str">
        <f aca="false">IF(4キー同時!$L$110="","",4キー同時!$L$110)</f>
        <v/>
      </c>
      <c r="G3400" s="2" t="str">
        <f aca="false">IF(OR(4キー同時!$B$110="",4キー同時!$G$110="",4キー同時!$L$110=""),"",IF(4キー同時!AB114="","",SUBSTITUTE(SUBSTITUTE(4キー同時!AB114," ",""),"　","")))</f>
        <v/>
      </c>
      <c r="H3400" s="2" t="str">
        <f aca="false">IF($G3400="","",4キー同時!$B$110)</f>
        <v/>
      </c>
      <c r="I3400" s="2" t="str">
        <f aca="false">IF($G3400="","",4キー同時!$G$110)</f>
        <v/>
      </c>
      <c r="J3400" s="2" t="str">
        <f aca="false">IF($G3400="","",4キー同時!$L$110)</f>
        <v/>
      </c>
      <c r="K3400" s="2" t="str">
        <f aca="false">IF($G3400="","","y")</f>
        <v/>
      </c>
      <c r="L3400" s="2" t="str">
        <f aca="false">IF($G3400="","","同時")</f>
        <v/>
      </c>
      <c r="M3400" s="2" t="str">
        <f aca="false">IF($G3400="","",IF(ISNA(MATCH($G3400,個別指定!$A:$A,0)),"行なし",""))</f>
        <v/>
      </c>
      <c r="N3400" s="2" t="str">
        <f aca="false">IF($G3400="","",IF(COUNTIF($G$2:$G$4460,$G3400)&gt;1,"重複",""))</f>
        <v/>
      </c>
    </row>
    <row r="3401" customFormat="false" ht="16.5" hidden="false" customHeight="true" outlineLevel="0" collapsed="false">
      <c r="A3401" s="2" t="s">
        <v>447</v>
      </c>
      <c r="B3401" s="2" t="s">
        <v>456</v>
      </c>
      <c r="C3401" s="2" t="s">
        <v>18</v>
      </c>
      <c r="D3401" s="2" t="str">
        <f aca="false">IF(4キー同時!$B$110="","",4キー同時!$B$110)</f>
        <v/>
      </c>
      <c r="E3401" s="2" t="str">
        <f aca="false">IF(4キー同時!$G$110="","",4キー同時!$G$110)</f>
        <v/>
      </c>
      <c r="F3401" s="2" t="str">
        <f aca="false">IF(4キー同時!$L$110="","",4キー同時!$L$110)</f>
        <v/>
      </c>
      <c r="G3401" s="2" t="str">
        <f aca="false">IF(OR(4キー同時!$B$110="",4キー同時!$G$110="",4キー同時!$L$110=""),"",IF(4キー同時!AF114="","",SUBSTITUTE(SUBSTITUTE(4キー同時!AF114," ",""),"　","")))</f>
        <v/>
      </c>
      <c r="H3401" s="2" t="str">
        <f aca="false">IF($G3401="","",4キー同時!$B$110)</f>
        <v/>
      </c>
      <c r="I3401" s="2" t="str">
        <f aca="false">IF($G3401="","",4キー同時!$G$110)</f>
        <v/>
      </c>
      <c r="J3401" s="2" t="str">
        <f aca="false">IF($G3401="","",4キー同時!$L$110)</f>
        <v/>
      </c>
      <c r="K3401" s="2" t="str">
        <f aca="false">IF($G3401="","","u")</f>
        <v/>
      </c>
      <c r="L3401" s="2" t="str">
        <f aca="false">IF($G3401="","","同時")</f>
        <v/>
      </c>
      <c r="M3401" s="2" t="str">
        <f aca="false">IF($G3401="","",IF(ISNA(MATCH($G3401,個別指定!$A:$A,0)),"行なし",""))</f>
        <v/>
      </c>
      <c r="N3401" s="2" t="str">
        <f aca="false">IF($G3401="","",IF(COUNTIF($G$2:$G$4460,$G3401)&gt;1,"重複",""))</f>
        <v/>
      </c>
    </row>
    <row r="3402" customFormat="false" ht="16.5" hidden="false" customHeight="true" outlineLevel="0" collapsed="false">
      <c r="A3402" s="2" t="s">
        <v>447</v>
      </c>
      <c r="B3402" s="2" t="s">
        <v>456</v>
      </c>
      <c r="C3402" s="2" t="s">
        <v>19</v>
      </c>
      <c r="D3402" s="2" t="str">
        <f aca="false">IF(4キー同時!$B$110="","",4キー同時!$B$110)</f>
        <v/>
      </c>
      <c r="E3402" s="2" t="str">
        <f aca="false">IF(4キー同時!$G$110="","",4キー同時!$G$110)</f>
        <v/>
      </c>
      <c r="F3402" s="2" t="str">
        <f aca="false">IF(4キー同時!$L$110="","",4キー同時!$L$110)</f>
        <v/>
      </c>
      <c r="G3402" s="2" t="str">
        <f aca="false">IF(OR(4キー同時!$B$110="",4キー同時!$G$110="",4キー同時!$L$110=""),"",IF(4キー同時!AJ114="","",SUBSTITUTE(SUBSTITUTE(4キー同時!AJ114," ",""),"　","")))</f>
        <v/>
      </c>
      <c r="H3402" s="2" t="str">
        <f aca="false">IF($G3402="","",4キー同時!$B$110)</f>
        <v/>
      </c>
      <c r="I3402" s="2" t="str">
        <f aca="false">IF($G3402="","",4キー同時!$G$110)</f>
        <v/>
      </c>
      <c r="J3402" s="2" t="str">
        <f aca="false">IF($G3402="","",4キー同時!$L$110)</f>
        <v/>
      </c>
      <c r="K3402" s="2" t="str">
        <f aca="false">IF($G3402="","","i")</f>
        <v/>
      </c>
      <c r="L3402" s="2" t="str">
        <f aca="false">IF($G3402="","","同時")</f>
        <v/>
      </c>
      <c r="M3402" s="2" t="str">
        <f aca="false">IF($G3402="","",IF(ISNA(MATCH($G3402,個別指定!$A:$A,0)),"行なし",""))</f>
        <v/>
      </c>
      <c r="N3402" s="2" t="str">
        <f aca="false">IF($G3402="","",IF(COUNTIF($G$2:$G$4460,$G3402)&gt;1,"重複",""))</f>
        <v/>
      </c>
    </row>
    <row r="3403" customFormat="false" ht="16.5" hidden="false" customHeight="true" outlineLevel="0" collapsed="false">
      <c r="A3403" s="2" t="s">
        <v>447</v>
      </c>
      <c r="B3403" s="2" t="s">
        <v>456</v>
      </c>
      <c r="C3403" s="2" t="s">
        <v>20</v>
      </c>
      <c r="D3403" s="2" t="str">
        <f aca="false">IF(4キー同時!$B$110="","",4キー同時!$B$110)</f>
        <v/>
      </c>
      <c r="E3403" s="2" t="str">
        <f aca="false">IF(4キー同時!$G$110="","",4キー同時!$G$110)</f>
        <v/>
      </c>
      <c r="F3403" s="2" t="str">
        <f aca="false">IF(4キー同時!$L$110="","",4キー同時!$L$110)</f>
        <v/>
      </c>
      <c r="G3403" s="2" t="str">
        <f aca="false">IF(OR(4キー同時!$B$110="",4キー同時!$G$110="",4キー同時!$L$110=""),"",IF(4キー同時!AN114="","",SUBSTITUTE(SUBSTITUTE(4キー同時!AN114," ",""),"　","")))</f>
        <v/>
      </c>
      <c r="H3403" s="2" t="str">
        <f aca="false">IF($G3403="","",4キー同時!$B$110)</f>
        <v/>
      </c>
      <c r="I3403" s="2" t="str">
        <f aca="false">IF($G3403="","",4キー同時!$G$110)</f>
        <v/>
      </c>
      <c r="J3403" s="2" t="str">
        <f aca="false">IF($G3403="","",4キー同時!$L$110)</f>
        <v/>
      </c>
      <c r="K3403" s="2" t="str">
        <f aca="false">IF($G3403="","","o")</f>
        <v/>
      </c>
      <c r="L3403" s="2" t="str">
        <f aca="false">IF($G3403="","","同時")</f>
        <v/>
      </c>
      <c r="M3403" s="2" t="str">
        <f aca="false">IF($G3403="","",IF(ISNA(MATCH($G3403,個別指定!$A:$A,0)),"行なし",""))</f>
        <v/>
      </c>
      <c r="N3403" s="2" t="str">
        <f aca="false">IF($G3403="","",IF(COUNTIF($G$2:$G$4460,$G3403)&gt;1,"重複",""))</f>
        <v/>
      </c>
    </row>
    <row r="3404" customFormat="false" ht="16.5" hidden="false" customHeight="true" outlineLevel="0" collapsed="false">
      <c r="A3404" s="2" t="s">
        <v>447</v>
      </c>
      <c r="B3404" s="2" t="s">
        <v>456</v>
      </c>
      <c r="C3404" s="2" t="s">
        <v>21</v>
      </c>
      <c r="D3404" s="2" t="str">
        <f aca="false">IF(4キー同時!$B$110="","",4キー同時!$B$110)</f>
        <v/>
      </c>
      <c r="E3404" s="2" t="str">
        <f aca="false">IF(4キー同時!$G$110="","",4キー同時!$G$110)</f>
        <v/>
      </c>
      <c r="F3404" s="2" t="str">
        <f aca="false">IF(4キー同時!$L$110="","",4キー同時!$L$110)</f>
        <v/>
      </c>
      <c r="G3404" s="2" t="str">
        <f aca="false">IF(OR(4キー同時!$B$110="",4キー同時!$G$110="",4キー同時!$L$110=""),"",IF(4キー同時!AR114="","",SUBSTITUTE(SUBSTITUTE(4キー同時!AR114," ",""),"　","")))</f>
        <v/>
      </c>
      <c r="H3404" s="2" t="str">
        <f aca="false">IF($G3404="","",4キー同時!$B$110)</f>
        <v/>
      </c>
      <c r="I3404" s="2" t="str">
        <f aca="false">IF($G3404="","",4キー同時!$G$110)</f>
        <v/>
      </c>
      <c r="J3404" s="2" t="str">
        <f aca="false">IF($G3404="","",4キー同時!$L$110)</f>
        <v/>
      </c>
      <c r="K3404" s="2" t="str">
        <f aca="false">IF($G3404="","","p")</f>
        <v/>
      </c>
      <c r="L3404" s="2" t="str">
        <f aca="false">IF($G3404="","","同時")</f>
        <v/>
      </c>
      <c r="M3404" s="2" t="str">
        <f aca="false">IF($G3404="","",IF(ISNA(MATCH($G3404,個別指定!$A:$A,0)),"行なし",""))</f>
        <v/>
      </c>
      <c r="N3404" s="2" t="str">
        <f aca="false">IF($G3404="","",IF(COUNTIF($G$2:$G$4460,$G3404)&gt;1,"重複",""))</f>
        <v/>
      </c>
    </row>
    <row r="3405" customFormat="false" ht="16.5" hidden="false" customHeight="true" outlineLevel="0" collapsed="false">
      <c r="A3405" s="2" t="s">
        <v>447</v>
      </c>
      <c r="B3405" s="2" t="s">
        <v>456</v>
      </c>
      <c r="C3405" s="2" t="s">
        <v>22</v>
      </c>
      <c r="D3405" s="2" t="str">
        <f aca="false">IF(4キー同時!$B$110="","",4キー同時!$B$110)</f>
        <v/>
      </c>
      <c r="E3405" s="2" t="str">
        <f aca="false">IF(4キー同時!$G$110="","",4キー同時!$G$110)</f>
        <v/>
      </c>
      <c r="F3405" s="2" t="str">
        <f aca="false">IF(4キー同時!$L$110="","",4キー同時!$L$110)</f>
        <v/>
      </c>
      <c r="G3405" s="2" t="str">
        <f aca="false">IF(OR(4キー同時!$B$110="",4キー同時!$G$110="",4キー同時!$L$110=""),"",IF(4キー同時!AV114="","",SUBSTITUTE(SUBSTITUTE(4キー同時!AV114," ",""),"　","")))</f>
        <v/>
      </c>
      <c r="H3405" s="2" t="str">
        <f aca="false">IF($G3405="","",4キー同時!$B$110)</f>
        <v/>
      </c>
      <c r="I3405" s="2" t="str">
        <f aca="false">IF($G3405="","",4キー同時!$G$110)</f>
        <v/>
      </c>
      <c r="J3405" s="2" t="str">
        <f aca="false">IF($G3405="","",4キー同時!$L$110)</f>
        <v/>
      </c>
      <c r="K3405" s="2" t="str">
        <f aca="false">IF($G3405="","","[")</f>
        <v/>
      </c>
      <c r="L3405" s="2" t="str">
        <f aca="false">IF($G3405="","","同時")</f>
        <v/>
      </c>
      <c r="M3405" s="2" t="str">
        <f aca="false">IF($G3405="","",IF(ISNA(MATCH($G3405,個別指定!$A:$A,0)),"行なし",""))</f>
        <v/>
      </c>
      <c r="N3405" s="2" t="str">
        <f aca="false">IF($G3405="","",IF(COUNTIF($G$2:$G$4460,$G3405)&gt;1,"重複",""))</f>
        <v/>
      </c>
    </row>
    <row r="3406" customFormat="false" ht="16.5" hidden="false" customHeight="true" outlineLevel="0" collapsed="false">
      <c r="A3406" s="2" t="s">
        <v>447</v>
      </c>
      <c r="B3406" s="2" t="s">
        <v>456</v>
      </c>
      <c r="C3406" s="2" t="s">
        <v>23</v>
      </c>
      <c r="D3406" s="2" t="str">
        <f aca="false">IF(4キー同時!$B$110="","",4キー同時!$B$110)</f>
        <v/>
      </c>
      <c r="E3406" s="2" t="str">
        <f aca="false">IF(4キー同時!$G$110="","",4キー同時!$G$110)</f>
        <v/>
      </c>
      <c r="F3406" s="2" t="str">
        <f aca="false">IF(4キー同時!$L$110="","",4キー同時!$L$110)</f>
        <v/>
      </c>
      <c r="G3406" s="2" t="str">
        <f aca="false">IF(OR(4キー同時!$B$110="",4キー同時!$G$110="",4キー同時!$L$110=""),"",IF(4キー同時!AZ114="","",SUBSTITUTE(SUBSTITUTE(4キー同時!AZ114," ",""),"　","")))</f>
        <v/>
      </c>
      <c r="H3406" s="2" t="str">
        <f aca="false">IF($G3406="","",4キー同時!$B$110)</f>
        <v/>
      </c>
      <c r="I3406" s="2" t="str">
        <f aca="false">IF($G3406="","",4キー同時!$G$110)</f>
        <v/>
      </c>
      <c r="J3406" s="2" t="str">
        <f aca="false">IF($G3406="","",4キー同時!$L$110)</f>
        <v/>
      </c>
      <c r="K3406" s="2" t="str">
        <f aca="false">IF($G3406="","","]")</f>
        <v/>
      </c>
      <c r="L3406" s="2" t="str">
        <f aca="false">IF($G3406="","","同時")</f>
        <v/>
      </c>
      <c r="M3406" s="2" t="str">
        <f aca="false">IF($G3406="","",IF(ISNA(MATCH($G3406,個別指定!$A:$A,0)),"行なし",""))</f>
        <v/>
      </c>
      <c r="N3406" s="2" t="str">
        <f aca="false">IF($G3406="","",IF(COUNTIF($G$2:$G$4460,$G3406)&gt;1,"重複",""))</f>
        <v/>
      </c>
    </row>
    <row r="3407" customFormat="false" ht="16.5" hidden="false" customHeight="true" outlineLevel="0" collapsed="false">
      <c r="A3407" s="2" t="s">
        <v>447</v>
      </c>
      <c r="B3407" s="2" t="s">
        <v>456</v>
      </c>
      <c r="C3407" s="2" t="s">
        <v>24</v>
      </c>
      <c r="D3407" s="2" t="str">
        <f aca="false">IF(4キー同時!$B$110="","",4キー同時!$B$110)</f>
        <v/>
      </c>
      <c r="E3407" s="2" t="str">
        <f aca="false">IF(4キー同時!$G$110="","",4キー同時!$G$110)</f>
        <v/>
      </c>
      <c r="F3407" s="2" t="str">
        <f aca="false">IF(4キー同時!$L$110="","",4キー同時!$L$110)</f>
        <v/>
      </c>
      <c r="G3407" s="2" t="str">
        <f aca="false">IF(OR(4キー同時!$B$110="",4キー同時!$G$110="",4キー同時!$L$110=""),"",IF(4キー同時!I116="","",SUBSTITUTE(SUBSTITUTE(4キー同時!I116," ",""),"　","")))</f>
        <v/>
      </c>
      <c r="H3407" s="2" t="str">
        <f aca="false">IF($G3407="","",4キー同時!$B$110)</f>
        <v/>
      </c>
      <c r="I3407" s="2" t="str">
        <f aca="false">IF($G3407="","",4キー同時!$G$110)</f>
        <v/>
      </c>
      <c r="J3407" s="2" t="str">
        <f aca="false">IF($G3407="","",4キー同時!$L$110)</f>
        <v/>
      </c>
      <c r="K3407" s="2" t="str">
        <f aca="false">IF($G3407="","","a")</f>
        <v/>
      </c>
      <c r="L3407" s="2" t="str">
        <f aca="false">IF($G3407="","","同時")</f>
        <v/>
      </c>
      <c r="M3407" s="2" t="str">
        <f aca="false">IF($G3407="","",IF(ISNA(MATCH($G3407,個別指定!$A:$A,0)),"行なし",""))</f>
        <v/>
      </c>
      <c r="N3407" s="2" t="str">
        <f aca="false">IF($G3407="","",IF(COUNTIF($G$2:$G$4460,$G3407)&gt;1,"重複",""))</f>
        <v/>
      </c>
    </row>
    <row r="3408" customFormat="false" ht="16.5" hidden="false" customHeight="true" outlineLevel="0" collapsed="false">
      <c r="A3408" s="2" t="s">
        <v>447</v>
      </c>
      <c r="B3408" s="2" t="s">
        <v>456</v>
      </c>
      <c r="C3408" s="2" t="s">
        <v>25</v>
      </c>
      <c r="D3408" s="2" t="str">
        <f aca="false">IF(4キー同時!$B$110="","",4キー同時!$B$110)</f>
        <v/>
      </c>
      <c r="E3408" s="2" t="str">
        <f aca="false">IF(4キー同時!$G$110="","",4キー同時!$G$110)</f>
        <v/>
      </c>
      <c r="F3408" s="2" t="str">
        <f aca="false">IF(4キー同時!$L$110="","",4キー同時!$L$110)</f>
        <v/>
      </c>
      <c r="G3408" s="2" t="str">
        <f aca="false">IF(OR(4キー同時!$B$110="",4キー同時!$G$110="",4キー同時!$L$110=""),"",IF(4キー同時!M116="","",SUBSTITUTE(SUBSTITUTE(4キー同時!M116," ",""),"　","")))</f>
        <v/>
      </c>
      <c r="H3408" s="2" t="str">
        <f aca="false">IF($G3408="","",4キー同時!$B$110)</f>
        <v/>
      </c>
      <c r="I3408" s="2" t="str">
        <f aca="false">IF($G3408="","",4キー同時!$G$110)</f>
        <v/>
      </c>
      <c r="J3408" s="2" t="str">
        <f aca="false">IF($G3408="","",4キー同時!$L$110)</f>
        <v/>
      </c>
      <c r="K3408" s="2" t="str">
        <f aca="false">IF($G3408="","","s")</f>
        <v/>
      </c>
      <c r="L3408" s="2" t="str">
        <f aca="false">IF($G3408="","","同時")</f>
        <v/>
      </c>
      <c r="M3408" s="2" t="str">
        <f aca="false">IF($G3408="","",IF(ISNA(MATCH($G3408,個別指定!$A:$A,0)),"行なし",""))</f>
        <v/>
      </c>
      <c r="N3408" s="2" t="str">
        <f aca="false">IF($G3408="","",IF(COUNTIF($G$2:$G$4460,$G3408)&gt;1,"重複",""))</f>
        <v/>
      </c>
    </row>
    <row r="3409" customFormat="false" ht="16.5" hidden="false" customHeight="true" outlineLevel="0" collapsed="false">
      <c r="A3409" s="2" t="s">
        <v>447</v>
      </c>
      <c r="B3409" s="2" t="s">
        <v>456</v>
      </c>
      <c r="C3409" s="2" t="s">
        <v>26</v>
      </c>
      <c r="D3409" s="2" t="str">
        <f aca="false">IF(4キー同時!$B$110="","",4キー同時!$B$110)</f>
        <v/>
      </c>
      <c r="E3409" s="2" t="str">
        <f aca="false">IF(4キー同時!$G$110="","",4キー同時!$G$110)</f>
        <v/>
      </c>
      <c r="F3409" s="2" t="str">
        <f aca="false">IF(4キー同時!$L$110="","",4キー同時!$L$110)</f>
        <v/>
      </c>
      <c r="G3409" s="2" t="str">
        <f aca="false">IF(OR(4キー同時!$B$110="",4キー同時!$G$110="",4キー同時!$L$110=""),"",IF(4キー同時!Q116="","",SUBSTITUTE(SUBSTITUTE(4キー同時!Q116," ",""),"　","")))</f>
        <v/>
      </c>
      <c r="H3409" s="2" t="str">
        <f aca="false">IF($G3409="","",4キー同時!$B$110)</f>
        <v/>
      </c>
      <c r="I3409" s="2" t="str">
        <f aca="false">IF($G3409="","",4キー同時!$G$110)</f>
        <v/>
      </c>
      <c r="J3409" s="2" t="str">
        <f aca="false">IF($G3409="","",4キー同時!$L$110)</f>
        <v/>
      </c>
      <c r="K3409" s="2" t="str">
        <f aca="false">IF($G3409="","","d")</f>
        <v/>
      </c>
      <c r="L3409" s="2" t="str">
        <f aca="false">IF($G3409="","","同時")</f>
        <v/>
      </c>
      <c r="M3409" s="2" t="str">
        <f aca="false">IF($G3409="","",IF(ISNA(MATCH($G3409,個別指定!$A:$A,0)),"行なし",""))</f>
        <v/>
      </c>
      <c r="N3409" s="2" t="str">
        <f aca="false">IF($G3409="","",IF(COUNTIF($G$2:$G$4460,$G3409)&gt;1,"重複",""))</f>
        <v/>
      </c>
    </row>
    <row r="3410" customFormat="false" ht="16.5" hidden="false" customHeight="true" outlineLevel="0" collapsed="false">
      <c r="A3410" s="2" t="s">
        <v>447</v>
      </c>
      <c r="B3410" s="2" t="s">
        <v>456</v>
      </c>
      <c r="C3410" s="2" t="s">
        <v>27</v>
      </c>
      <c r="D3410" s="2" t="str">
        <f aca="false">IF(4キー同時!$B$110="","",4キー同時!$B$110)</f>
        <v/>
      </c>
      <c r="E3410" s="2" t="str">
        <f aca="false">IF(4キー同時!$G$110="","",4キー同時!$G$110)</f>
        <v/>
      </c>
      <c r="F3410" s="2" t="str">
        <f aca="false">IF(4キー同時!$L$110="","",4キー同時!$L$110)</f>
        <v/>
      </c>
      <c r="G3410" s="2" t="str">
        <f aca="false">IF(OR(4キー同時!$B$110="",4キー同時!$G$110="",4キー同時!$L$110=""),"",IF(4キー同時!U116="","",SUBSTITUTE(SUBSTITUTE(4キー同時!U116," ",""),"　","")))</f>
        <v/>
      </c>
      <c r="H3410" s="2" t="str">
        <f aca="false">IF($G3410="","",4キー同時!$B$110)</f>
        <v/>
      </c>
      <c r="I3410" s="2" t="str">
        <f aca="false">IF($G3410="","",4キー同時!$G$110)</f>
        <v/>
      </c>
      <c r="J3410" s="2" t="str">
        <f aca="false">IF($G3410="","",4キー同時!$L$110)</f>
        <v/>
      </c>
      <c r="K3410" s="2" t="str">
        <f aca="false">IF($G3410="","","f")</f>
        <v/>
      </c>
      <c r="L3410" s="2" t="str">
        <f aca="false">IF($G3410="","","同時")</f>
        <v/>
      </c>
      <c r="M3410" s="2" t="str">
        <f aca="false">IF($G3410="","",IF(ISNA(MATCH($G3410,個別指定!$A:$A,0)),"行なし",""))</f>
        <v/>
      </c>
      <c r="N3410" s="2" t="str">
        <f aca="false">IF($G3410="","",IF(COUNTIF($G$2:$G$4460,$G3410)&gt;1,"重複",""))</f>
        <v/>
      </c>
    </row>
    <row r="3411" customFormat="false" ht="16.5" hidden="false" customHeight="true" outlineLevel="0" collapsed="false">
      <c r="A3411" s="2" t="s">
        <v>447</v>
      </c>
      <c r="B3411" s="2" t="s">
        <v>456</v>
      </c>
      <c r="C3411" s="2" t="s">
        <v>28</v>
      </c>
      <c r="D3411" s="2" t="str">
        <f aca="false">IF(4キー同時!$B$110="","",4キー同時!$B$110)</f>
        <v/>
      </c>
      <c r="E3411" s="2" t="str">
        <f aca="false">IF(4キー同時!$G$110="","",4キー同時!$G$110)</f>
        <v/>
      </c>
      <c r="F3411" s="2" t="str">
        <f aca="false">IF(4キー同時!$L$110="","",4キー同時!$L$110)</f>
        <v/>
      </c>
      <c r="G3411" s="2" t="str">
        <f aca="false">IF(OR(4キー同時!$B$110="",4キー同時!$G$110="",4キー同時!$L$110=""),"",IF(4キー同時!Y116="","",SUBSTITUTE(SUBSTITUTE(4キー同時!Y116," ",""),"　","")))</f>
        <v/>
      </c>
      <c r="H3411" s="2" t="str">
        <f aca="false">IF($G3411="","",4キー同時!$B$110)</f>
        <v/>
      </c>
      <c r="I3411" s="2" t="str">
        <f aca="false">IF($G3411="","",4キー同時!$G$110)</f>
        <v/>
      </c>
      <c r="J3411" s="2" t="str">
        <f aca="false">IF($G3411="","",4キー同時!$L$110)</f>
        <v/>
      </c>
      <c r="K3411" s="2" t="str">
        <f aca="false">IF($G3411="","","g")</f>
        <v/>
      </c>
      <c r="L3411" s="2" t="str">
        <f aca="false">IF($G3411="","","同時")</f>
        <v/>
      </c>
      <c r="M3411" s="2" t="str">
        <f aca="false">IF($G3411="","",IF(ISNA(MATCH($G3411,個別指定!$A:$A,0)),"行なし",""))</f>
        <v/>
      </c>
      <c r="N3411" s="2" t="str">
        <f aca="false">IF($G3411="","",IF(COUNTIF($G$2:$G$4460,$G3411)&gt;1,"重複",""))</f>
        <v/>
      </c>
    </row>
    <row r="3412" customFormat="false" ht="16.5" hidden="false" customHeight="true" outlineLevel="0" collapsed="false">
      <c r="A3412" s="2" t="s">
        <v>447</v>
      </c>
      <c r="B3412" s="2" t="s">
        <v>456</v>
      </c>
      <c r="C3412" s="2" t="s">
        <v>29</v>
      </c>
      <c r="D3412" s="2" t="str">
        <f aca="false">IF(4キー同時!$B$110="","",4キー同時!$B$110)</f>
        <v/>
      </c>
      <c r="E3412" s="2" t="str">
        <f aca="false">IF(4キー同時!$G$110="","",4キー同時!$G$110)</f>
        <v/>
      </c>
      <c r="F3412" s="2" t="str">
        <f aca="false">IF(4キー同時!$L$110="","",4キー同時!$L$110)</f>
        <v/>
      </c>
      <c r="G3412" s="2" t="str">
        <f aca="false">IF(OR(4キー同時!$B$110="",4キー同時!$G$110="",4キー同時!$L$110=""),"",IF(4キー同時!AC116="","",SUBSTITUTE(SUBSTITUTE(4キー同時!AC116," ",""),"　","")))</f>
        <v/>
      </c>
      <c r="H3412" s="2" t="str">
        <f aca="false">IF($G3412="","",4キー同時!$B$110)</f>
        <v/>
      </c>
      <c r="I3412" s="2" t="str">
        <f aca="false">IF($G3412="","",4キー同時!$G$110)</f>
        <v/>
      </c>
      <c r="J3412" s="2" t="str">
        <f aca="false">IF($G3412="","",4キー同時!$L$110)</f>
        <v/>
      </c>
      <c r="K3412" s="2" t="str">
        <f aca="false">IF($G3412="","","h")</f>
        <v/>
      </c>
      <c r="L3412" s="2" t="str">
        <f aca="false">IF($G3412="","","同時")</f>
        <v/>
      </c>
      <c r="M3412" s="2" t="str">
        <f aca="false">IF($G3412="","",IF(ISNA(MATCH($G3412,個別指定!$A:$A,0)),"行なし",""))</f>
        <v/>
      </c>
      <c r="N3412" s="2" t="str">
        <f aca="false">IF($G3412="","",IF(COUNTIF($G$2:$G$4460,$G3412)&gt;1,"重複",""))</f>
        <v/>
      </c>
    </row>
    <row r="3413" customFormat="false" ht="16.5" hidden="false" customHeight="true" outlineLevel="0" collapsed="false">
      <c r="A3413" s="2" t="s">
        <v>447</v>
      </c>
      <c r="B3413" s="2" t="s">
        <v>456</v>
      </c>
      <c r="C3413" s="2" t="s">
        <v>30</v>
      </c>
      <c r="D3413" s="2" t="str">
        <f aca="false">IF(4キー同時!$B$110="","",4キー同時!$B$110)</f>
        <v/>
      </c>
      <c r="E3413" s="2" t="str">
        <f aca="false">IF(4キー同時!$G$110="","",4キー同時!$G$110)</f>
        <v/>
      </c>
      <c r="F3413" s="2" t="str">
        <f aca="false">IF(4キー同時!$L$110="","",4キー同時!$L$110)</f>
        <v/>
      </c>
      <c r="G3413" s="2" t="str">
        <f aca="false">IF(OR(4キー同時!$B$110="",4キー同時!$G$110="",4キー同時!$L$110=""),"",IF(4キー同時!AG116="","",SUBSTITUTE(SUBSTITUTE(4キー同時!AG116," ",""),"　","")))</f>
        <v/>
      </c>
      <c r="H3413" s="2" t="str">
        <f aca="false">IF($G3413="","",4キー同時!$B$110)</f>
        <v/>
      </c>
      <c r="I3413" s="2" t="str">
        <f aca="false">IF($G3413="","",4キー同時!$G$110)</f>
        <v/>
      </c>
      <c r="J3413" s="2" t="str">
        <f aca="false">IF($G3413="","",4キー同時!$L$110)</f>
        <v/>
      </c>
      <c r="K3413" s="2" t="str">
        <f aca="false">IF($G3413="","","j")</f>
        <v/>
      </c>
      <c r="L3413" s="2" t="str">
        <f aca="false">IF($G3413="","","同時")</f>
        <v/>
      </c>
      <c r="M3413" s="2" t="str">
        <f aca="false">IF($G3413="","",IF(ISNA(MATCH($G3413,個別指定!$A:$A,0)),"行なし",""))</f>
        <v/>
      </c>
      <c r="N3413" s="2" t="str">
        <f aca="false">IF($G3413="","",IF(COUNTIF($G$2:$G$4460,$G3413)&gt;1,"重複",""))</f>
        <v/>
      </c>
    </row>
    <row r="3414" customFormat="false" ht="16.5" hidden="false" customHeight="true" outlineLevel="0" collapsed="false">
      <c r="A3414" s="2" t="s">
        <v>447</v>
      </c>
      <c r="B3414" s="2" t="s">
        <v>456</v>
      </c>
      <c r="C3414" s="2" t="s">
        <v>31</v>
      </c>
      <c r="D3414" s="2" t="str">
        <f aca="false">IF(4キー同時!$B$110="","",4キー同時!$B$110)</f>
        <v/>
      </c>
      <c r="E3414" s="2" t="str">
        <f aca="false">IF(4キー同時!$G$110="","",4キー同時!$G$110)</f>
        <v/>
      </c>
      <c r="F3414" s="2" t="str">
        <f aca="false">IF(4キー同時!$L$110="","",4キー同時!$L$110)</f>
        <v/>
      </c>
      <c r="G3414" s="2" t="str">
        <f aca="false">IF(OR(4キー同時!$B$110="",4キー同時!$G$110="",4キー同時!$L$110=""),"",IF(4キー同時!AK116="","",SUBSTITUTE(SUBSTITUTE(4キー同時!AK116," ",""),"　","")))</f>
        <v/>
      </c>
      <c r="H3414" s="2" t="str">
        <f aca="false">IF($G3414="","",4キー同時!$B$110)</f>
        <v/>
      </c>
      <c r="I3414" s="2" t="str">
        <f aca="false">IF($G3414="","",4キー同時!$G$110)</f>
        <v/>
      </c>
      <c r="J3414" s="2" t="str">
        <f aca="false">IF($G3414="","",4キー同時!$L$110)</f>
        <v/>
      </c>
      <c r="K3414" s="2" t="str">
        <f aca="false">IF($G3414="","","k")</f>
        <v/>
      </c>
      <c r="L3414" s="2" t="str">
        <f aca="false">IF($G3414="","","同時")</f>
        <v/>
      </c>
      <c r="M3414" s="2" t="str">
        <f aca="false">IF($G3414="","",IF(ISNA(MATCH($G3414,個別指定!$A:$A,0)),"行なし",""))</f>
        <v/>
      </c>
      <c r="N3414" s="2" t="str">
        <f aca="false">IF($G3414="","",IF(COUNTIF($G$2:$G$4460,$G3414)&gt;1,"重複",""))</f>
        <v/>
      </c>
    </row>
    <row r="3415" customFormat="false" ht="16.5" hidden="false" customHeight="true" outlineLevel="0" collapsed="false">
      <c r="A3415" s="2" t="s">
        <v>447</v>
      </c>
      <c r="B3415" s="2" t="s">
        <v>456</v>
      </c>
      <c r="C3415" s="2" t="s">
        <v>32</v>
      </c>
      <c r="D3415" s="2" t="str">
        <f aca="false">IF(4キー同時!$B$110="","",4キー同時!$B$110)</f>
        <v/>
      </c>
      <c r="E3415" s="2" t="str">
        <f aca="false">IF(4キー同時!$G$110="","",4キー同時!$G$110)</f>
        <v/>
      </c>
      <c r="F3415" s="2" t="str">
        <f aca="false">IF(4キー同時!$L$110="","",4キー同時!$L$110)</f>
        <v/>
      </c>
      <c r="G3415" s="2" t="str">
        <f aca="false">IF(OR(4キー同時!$B$110="",4キー同時!$G$110="",4キー同時!$L$110=""),"",IF(4キー同時!AO116="","",SUBSTITUTE(SUBSTITUTE(4キー同時!AO116," ",""),"　","")))</f>
        <v/>
      </c>
      <c r="H3415" s="2" t="str">
        <f aca="false">IF($G3415="","",4キー同時!$B$110)</f>
        <v/>
      </c>
      <c r="I3415" s="2" t="str">
        <f aca="false">IF($G3415="","",4キー同時!$G$110)</f>
        <v/>
      </c>
      <c r="J3415" s="2" t="str">
        <f aca="false">IF($G3415="","",4キー同時!$L$110)</f>
        <v/>
      </c>
      <c r="K3415" s="2" t="str">
        <f aca="false">IF($G3415="","","l")</f>
        <v/>
      </c>
      <c r="L3415" s="2" t="str">
        <f aca="false">IF($G3415="","","同時")</f>
        <v/>
      </c>
      <c r="M3415" s="2" t="str">
        <f aca="false">IF($G3415="","",IF(ISNA(MATCH($G3415,個別指定!$A:$A,0)),"行なし",""))</f>
        <v/>
      </c>
      <c r="N3415" s="2" t="str">
        <f aca="false">IF($G3415="","",IF(COUNTIF($G$2:$G$4460,$G3415)&gt;1,"重複",""))</f>
        <v/>
      </c>
    </row>
    <row r="3416" customFormat="false" ht="16.5" hidden="false" customHeight="true" outlineLevel="0" collapsed="false">
      <c r="A3416" s="2" t="s">
        <v>447</v>
      </c>
      <c r="B3416" s="2" t="s">
        <v>456</v>
      </c>
      <c r="C3416" s="2" t="s">
        <v>33</v>
      </c>
      <c r="D3416" s="2" t="str">
        <f aca="false">IF(4キー同時!$B$110="","",4キー同時!$B$110)</f>
        <v/>
      </c>
      <c r="E3416" s="2" t="str">
        <f aca="false">IF(4キー同時!$G$110="","",4キー同時!$G$110)</f>
        <v/>
      </c>
      <c r="F3416" s="2" t="str">
        <f aca="false">IF(4キー同時!$L$110="","",4キー同時!$L$110)</f>
        <v/>
      </c>
      <c r="G3416" s="2" t="str">
        <f aca="false">IF(OR(4キー同時!$B$110="",4キー同時!$G$110="",4キー同時!$L$110=""),"",IF(4キー同時!AS116="","",SUBSTITUTE(SUBSTITUTE(4キー同時!AS116," ",""),"　","")))</f>
        <v/>
      </c>
      <c r="H3416" s="2" t="str">
        <f aca="false">IF($G3416="","",4キー同時!$B$110)</f>
        <v/>
      </c>
      <c r="I3416" s="2" t="str">
        <f aca="false">IF($G3416="","",4キー同時!$G$110)</f>
        <v/>
      </c>
      <c r="J3416" s="2" t="str">
        <f aca="false">IF($G3416="","",4キー同時!$L$110)</f>
        <v/>
      </c>
      <c r="K3416" s="2" t="str">
        <f aca="false">IF($G3416="","",";")</f>
        <v/>
      </c>
      <c r="L3416" s="2" t="str">
        <f aca="false">IF($G3416="","","同時")</f>
        <v/>
      </c>
      <c r="M3416" s="2" t="str">
        <f aca="false">IF($G3416="","",IF(ISNA(MATCH($G3416,個別指定!$A:$A,0)),"行なし",""))</f>
        <v/>
      </c>
      <c r="N3416" s="2" t="str">
        <f aca="false">IF($G3416="","",IF(COUNTIF($G$2:$G$4460,$G3416)&gt;1,"重複",""))</f>
        <v/>
      </c>
    </row>
    <row r="3417" customFormat="false" ht="16.5" hidden="false" customHeight="true" outlineLevel="0" collapsed="false">
      <c r="A3417" s="2" t="s">
        <v>447</v>
      </c>
      <c r="B3417" s="2" t="s">
        <v>456</v>
      </c>
      <c r="C3417" s="2" t="s">
        <v>34</v>
      </c>
      <c r="D3417" s="2" t="str">
        <f aca="false">IF(4キー同時!$B$110="","",4キー同時!$B$110)</f>
        <v/>
      </c>
      <c r="E3417" s="2" t="str">
        <f aca="false">IF(4キー同時!$G$110="","",4キー同時!$G$110)</f>
        <v/>
      </c>
      <c r="F3417" s="2" t="str">
        <f aca="false">IF(4キー同時!$L$110="","",4キー同時!$L$110)</f>
        <v/>
      </c>
      <c r="G3417" s="2" t="str">
        <f aca="false">IF(OR(4キー同時!$B$110="",4キー同時!$G$110="",4キー同時!$L$110=""),"",IF(4キー同時!AW116="","",SUBSTITUTE(SUBSTITUTE(4キー同時!AW116," ",""),"　","")))</f>
        <v/>
      </c>
      <c r="H3417" s="2" t="str">
        <f aca="false">IF($G3417="","",4キー同時!$B$110)</f>
        <v/>
      </c>
      <c r="I3417" s="2" t="str">
        <f aca="false">IF($G3417="","",4キー同時!$G$110)</f>
        <v/>
      </c>
      <c r="J3417" s="2" t="str">
        <f aca="false">IF($G3417="","",4キー同時!$L$110)</f>
        <v/>
      </c>
      <c r="K3417" s="2" t="str">
        <f aca="false">IF($G3417="","","'")</f>
        <v/>
      </c>
      <c r="L3417" s="2" t="str">
        <f aca="false">IF($G3417="","","同時")</f>
        <v/>
      </c>
      <c r="M3417" s="2" t="str">
        <f aca="false">IF($G3417="","",IF(ISNA(MATCH($G3417,個別指定!$A:$A,0)),"行なし",""))</f>
        <v/>
      </c>
      <c r="N3417" s="2" t="str">
        <f aca="false">IF($G3417="","",IF(COUNTIF($G$2:$G$4460,$G3417)&gt;1,"重複",""))</f>
        <v/>
      </c>
    </row>
    <row r="3418" customFormat="false" ht="16.5" hidden="false" customHeight="true" outlineLevel="0" collapsed="false">
      <c r="A3418" s="2" t="s">
        <v>447</v>
      </c>
      <c r="B3418" s="2" t="s">
        <v>456</v>
      </c>
      <c r="C3418" s="2" t="s">
        <v>35</v>
      </c>
      <c r="D3418" s="2" t="str">
        <f aca="false">IF(4キー同時!$B$110="","",4キー同時!$B$110)</f>
        <v/>
      </c>
      <c r="E3418" s="2" t="str">
        <f aca="false">IF(4キー同時!$G$110="","",4キー同時!$G$110)</f>
        <v/>
      </c>
      <c r="F3418" s="2" t="str">
        <f aca="false">IF(4キー同時!$L$110="","",4キー同時!$L$110)</f>
        <v/>
      </c>
      <c r="G3418" s="2" t="str">
        <f aca="false">IF(OR(4キー同時!$B$110="",4キー同時!$G$110="",4キー同時!$L$110=""),"",IF(4キー同時!K118="","",SUBSTITUTE(SUBSTITUTE(4キー同時!K118," ",""),"　","")))</f>
        <v/>
      </c>
      <c r="H3418" s="2" t="str">
        <f aca="false">IF($G3418="","",4キー同時!$B$110)</f>
        <v/>
      </c>
      <c r="I3418" s="2" t="str">
        <f aca="false">IF($G3418="","",4キー同時!$G$110)</f>
        <v/>
      </c>
      <c r="J3418" s="2" t="str">
        <f aca="false">IF($G3418="","",4キー同時!$L$110)</f>
        <v/>
      </c>
      <c r="K3418" s="2" t="str">
        <f aca="false">IF($G3418="","","z")</f>
        <v/>
      </c>
      <c r="L3418" s="2" t="str">
        <f aca="false">IF($G3418="","","同時")</f>
        <v/>
      </c>
      <c r="M3418" s="2" t="str">
        <f aca="false">IF($G3418="","",IF(ISNA(MATCH($G3418,個別指定!$A:$A,0)),"行なし",""))</f>
        <v/>
      </c>
      <c r="N3418" s="2" t="str">
        <f aca="false">IF($G3418="","",IF(COUNTIF($G$2:$G$4460,$G3418)&gt;1,"重複",""))</f>
        <v/>
      </c>
    </row>
    <row r="3419" customFormat="false" ht="16.5" hidden="false" customHeight="true" outlineLevel="0" collapsed="false">
      <c r="A3419" s="2" t="s">
        <v>447</v>
      </c>
      <c r="B3419" s="2" t="s">
        <v>456</v>
      </c>
      <c r="C3419" s="2" t="s">
        <v>36</v>
      </c>
      <c r="D3419" s="2" t="str">
        <f aca="false">IF(4キー同時!$B$110="","",4キー同時!$B$110)</f>
        <v/>
      </c>
      <c r="E3419" s="2" t="str">
        <f aca="false">IF(4キー同時!$G$110="","",4キー同時!$G$110)</f>
        <v/>
      </c>
      <c r="F3419" s="2" t="str">
        <f aca="false">IF(4キー同時!$L$110="","",4キー同時!$L$110)</f>
        <v/>
      </c>
      <c r="G3419" s="2" t="str">
        <f aca="false">IF(OR(4キー同時!$B$110="",4キー同時!$G$110="",4キー同時!$L$110=""),"",IF(4キー同時!O118="","",SUBSTITUTE(SUBSTITUTE(4キー同時!O118," ",""),"　","")))</f>
        <v/>
      </c>
      <c r="H3419" s="2" t="str">
        <f aca="false">IF($G3419="","",4キー同時!$B$110)</f>
        <v/>
      </c>
      <c r="I3419" s="2" t="str">
        <f aca="false">IF($G3419="","",4キー同時!$G$110)</f>
        <v/>
      </c>
      <c r="J3419" s="2" t="str">
        <f aca="false">IF($G3419="","",4キー同時!$L$110)</f>
        <v/>
      </c>
      <c r="K3419" s="2" t="str">
        <f aca="false">IF($G3419="","","x")</f>
        <v/>
      </c>
      <c r="L3419" s="2" t="str">
        <f aca="false">IF($G3419="","","同時")</f>
        <v/>
      </c>
      <c r="M3419" s="2" t="str">
        <f aca="false">IF($G3419="","",IF(ISNA(MATCH($G3419,個別指定!$A:$A,0)),"行なし",""))</f>
        <v/>
      </c>
      <c r="N3419" s="2" t="str">
        <f aca="false">IF($G3419="","",IF(COUNTIF($G$2:$G$4460,$G3419)&gt;1,"重複",""))</f>
        <v/>
      </c>
    </row>
    <row r="3420" customFormat="false" ht="16.5" hidden="false" customHeight="true" outlineLevel="0" collapsed="false">
      <c r="A3420" s="2" t="s">
        <v>447</v>
      </c>
      <c r="B3420" s="2" t="s">
        <v>456</v>
      </c>
      <c r="C3420" s="2" t="s">
        <v>37</v>
      </c>
      <c r="D3420" s="2" t="str">
        <f aca="false">IF(4キー同時!$B$110="","",4キー同時!$B$110)</f>
        <v/>
      </c>
      <c r="E3420" s="2" t="str">
        <f aca="false">IF(4キー同時!$G$110="","",4キー同時!$G$110)</f>
        <v/>
      </c>
      <c r="F3420" s="2" t="str">
        <f aca="false">IF(4キー同時!$L$110="","",4キー同時!$L$110)</f>
        <v/>
      </c>
      <c r="G3420" s="2" t="str">
        <f aca="false">IF(OR(4キー同時!$B$110="",4キー同時!$G$110="",4キー同時!$L$110=""),"",IF(4キー同時!S118="","",SUBSTITUTE(SUBSTITUTE(4キー同時!S118," ",""),"　","")))</f>
        <v/>
      </c>
      <c r="H3420" s="2" t="str">
        <f aca="false">IF($G3420="","",4キー同時!$B$110)</f>
        <v/>
      </c>
      <c r="I3420" s="2" t="str">
        <f aca="false">IF($G3420="","",4キー同時!$G$110)</f>
        <v/>
      </c>
      <c r="J3420" s="2" t="str">
        <f aca="false">IF($G3420="","",4キー同時!$L$110)</f>
        <v/>
      </c>
      <c r="K3420" s="2" t="str">
        <f aca="false">IF($G3420="","","c")</f>
        <v/>
      </c>
      <c r="L3420" s="2" t="str">
        <f aca="false">IF($G3420="","","同時")</f>
        <v/>
      </c>
      <c r="M3420" s="2" t="str">
        <f aca="false">IF($G3420="","",IF(ISNA(MATCH($G3420,個別指定!$A:$A,0)),"行なし",""))</f>
        <v/>
      </c>
      <c r="N3420" s="2" t="str">
        <f aca="false">IF($G3420="","",IF(COUNTIF($G$2:$G$4460,$G3420)&gt;1,"重複",""))</f>
        <v/>
      </c>
    </row>
    <row r="3421" customFormat="false" ht="16.5" hidden="false" customHeight="true" outlineLevel="0" collapsed="false">
      <c r="A3421" s="2" t="s">
        <v>447</v>
      </c>
      <c r="B3421" s="2" t="s">
        <v>456</v>
      </c>
      <c r="C3421" s="2" t="s">
        <v>38</v>
      </c>
      <c r="D3421" s="2" t="str">
        <f aca="false">IF(4キー同時!$B$110="","",4キー同時!$B$110)</f>
        <v/>
      </c>
      <c r="E3421" s="2" t="str">
        <f aca="false">IF(4キー同時!$G$110="","",4キー同時!$G$110)</f>
        <v/>
      </c>
      <c r="F3421" s="2" t="str">
        <f aca="false">IF(4キー同時!$L$110="","",4キー同時!$L$110)</f>
        <v/>
      </c>
      <c r="G3421" s="2" t="str">
        <f aca="false">IF(OR(4キー同時!$B$110="",4キー同時!$G$110="",4キー同時!$L$110=""),"",IF(4キー同時!W118="","",SUBSTITUTE(SUBSTITUTE(4キー同時!W118," ",""),"　","")))</f>
        <v/>
      </c>
      <c r="H3421" s="2" t="str">
        <f aca="false">IF($G3421="","",4キー同時!$B$110)</f>
        <v/>
      </c>
      <c r="I3421" s="2" t="str">
        <f aca="false">IF($G3421="","",4キー同時!$G$110)</f>
        <v/>
      </c>
      <c r="J3421" s="2" t="str">
        <f aca="false">IF($G3421="","",4キー同時!$L$110)</f>
        <v/>
      </c>
      <c r="K3421" s="2" t="str">
        <f aca="false">IF($G3421="","","v")</f>
        <v/>
      </c>
      <c r="L3421" s="2" t="str">
        <f aca="false">IF($G3421="","","同時")</f>
        <v/>
      </c>
      <c r="M3421" s="2" t="str">
        <f aca="false">IF($G3421="","",IF(ISNA(MATCH($G3421,個別指定!$A:$A,0)),"行なし",""))</f>
        <v/>
      </c>
      <c r="N3421" s="2" t="str">
        <f aca="false">IF($G3421="","",IF(COUNTIF($G$2:$G$4460,$G3421)&gt;1,"重複",""))</f>
        <v/>
      </c>
    </row>
    <row r="3422" customFormat="false" ht="16.5" hidden="false" customHeight="true" outlineLevel="0" collapsed="false">
      <c r="A3422" s="2" t="s">
        <v>447</v>
      </c>
      <c r="B3422" s="2" t="s">
        <v>456</v>
      </c>
      <c r="C3422" s="2" t="s">
        <v>39</v>
      </c>
      <c r="D3422" s="2" t="str">
        <f aca="false">IF(4キー同時!$B$110="","",4キー同時!$B$110)</f>
        <v/>
      </c>
      <c r="E3422" s="2" t="str">
        <f aca="false">IF(4キー同時!$G$110="","",4キー同時!$G$110)</f>
        <v/>
      </c>
      <c r="F3422" s="2" t="str">
        <f aca="false">IF(4キー同時!$L$110="","",4キー同時!$L$110)</f>
        <v/>
      </c>
      <c r="G3422" s="2" t="str">
        <f aca="false">IF(OR(4キー同時!$B$110="",4キー同時!$G$110="",4キー同時!$L$110=""),"",IF(4キー同時!AA118="","",SUBSTITUTE(SUBSTITUTE(4キー同時!AA118," ",""),"　","")))</f>
        <v/>
      </c>
      <c r="H3422" s="2" t="str">
        <f aca="false">IF($G3422="","",4キー同時!$B$110)</f>
        <v/>
      </c>
      <c r="I3422" s="2" t="str">
        <f aca="false">IF($G3422="","",4キー同時!$G$110)</f>
        <v/>
      </c>
      <c r="J3422" s="2" t="str">
        <f aca="false">IF($G3422="","",4キー同時!$L$110)</f>
        <v/>
      </c>
      <c r="K3422" s="2" t="str">
        <f aca="false">IF($G3422="","","b")</f>
        <v/>
      </c>
      <c r="L3422" s="2" t="str">
        <f aca="false">IF($G3422="","","同時")</f>
        <v/>
      </c>
      <c r="M3422" s="2" t="str">
        <f aca="false">IF($G3422="","",IF(ISNA(MATCH($G3422,個別指定!$A:$A,0)),"行なし",""))</f>
        <v/>
      </c>
      <c r="N3422" s="2" t="str">
        <f aca="false">IF($G3422="","",IF(COUNTIF($G$2:$G$4460,$G3422)&gt;1,"重複",""))</f>
        <v/>
      </c>
    </row>
    <row r="3423" customFormat="false" ht="16.5" hidden="false" customHeight="true" outlineLevel="0" collapsed="false">
      <c r="A3423" s="2" t="s">
        <v>447</v>
      </c>
      <c r="B3423" s="2" t="s">
        <v>456</v>
      </c>
      <c r="C3423" s="2" t="s">
        <v>40</v>
      </c>
      <c r="D3423" s="2" t="str">
        <f aca="false">IF(4キー同時!$B$110="","",4キー同時!$B$110)</f>
        <v/>
      </c>
      <c r="E3423" s="2" t="str">
        <f aca="false">IF(4キー同時!$G$110="","",4キー同時!$G$110)</f>
        <v/>
      </c>
      <c r="F3423" s="2" t="str">
        <f aca="false">IF(4キー同時!$L$110="","",4キー同時!$L$110)</f>
        <v/>
      </c>
      <c r="G3423" s="2" t="str">
        <f aca="false">IF(OR(4キー同時!$B$110="",4キー同時!$G$110="",4キー同時!$L$110=""),"",IF(4キー同時!AE118="","",SUBSTITUTE(SUBSTITUTE(4キー同時!AE118," ",""),"　","")))</f>
        <v/>
      </c>
      <c r="H3423" s="2" t="str">
        <f aca="false">IF($G3423="","",4キー同時!$B$110)</f>
        <v/>
      </c>
      <c r="I3423" s="2" t="str">
        <f aca="false">IF($G3423="","",4キー同時!$G$110)</f>
        <v/>
      </c>
      <c r="J3423" s="2" t="str">
        <f aca="false">IF($G3423="","",4キー同時!$L$110)</f>
        <v/>
      </c>
      <c r="K3423" s="2" t="str">
        <f aca="false">IF($G3423="","","n")</f>
        <v/>
      </c>
      <c r="L3423" s="2" t="str">
        <f aca="false">IF($G3423="","","同時")</f>
        <v/>
      </c>
      <c r="M3423" s="2" t="str">
        <f aca="false">IF($G3423="","",IF(ISNA(MATCH($G3423,個別指定!$A:$A,0)),"行なし",""))</f>
        <v/>
      </c>
      <c r="N3423" s="2" t="str">
        <f aca="false">IF($G3423="","",IF(COUNTIF($G$2:$G$4460,$G3423)&gt;1,"重複",""))</f>
        <v/>
      </c>
    </row>
    <row r="3424" customFormat="false" ht="16.5" hidden="false" customHeight="true" outlineLevel="0" collapsed="false">
      <c r="A3424" s="2" t="s">
        <v>447</v>
      </c>
      <c r="B3424" s="2" t="s">
        <v>456</v>
      </c>
      <c r="C3424" s="2" t="s">
        <v>41</v>
      </c>
      <c r="D3424" s="2" t="str">
        <f aca="false">IF(4キー同時!$B$110="","",4キー同時!$B$110)</f>
        <v/>
      </c>
      <c r="E3424" s="2" t="str">
        <f aca="false">IF(4キー同時!$G$110="","",4キー同時!$G$110)</f>
        <v/>
      </c>
      <c r="F3424" s="2" t="str">
        <f aca="false">IF(4キー同時!$L$110="","",4キー同時!$L$110)</f>
        <v/>
      </c>
      <c r="G3424" s="2" t="str">
        <f aca="false">IF(OR(4キー同時!$B$110="",4キー同時!$G$110="",4キー同時!$L$110=""),"",IF(4キー同時!AI118="","",SUBSTITUTE(SUBSTITUTE(4キー同時!AI118," ",""),"　","")))</f>
        <v/>
      </c>
      <c r="H3424" s="2" t="str">
        <f aca="false">IF($G3424="","",4キー同時!$B$110)</f>
        <v/>
      </c>
      <c r="I3424" s="2" t="str">
        <f aca="false">IF($G3424="","",4キー同時!$G$110)</f>
        <v/>
      </c>
      <c r="J3424" s="2" t="str">
        <f aca="false">IF($G3424="","",4キー同時!$L$110)</f>
        <v/>
      </c>
      <c r="K3424" s="2" t="str">
        <f aca="false">IF($G3424="","","m")</f>
        <v/>
      </c>
      <c r="L3424" s="2" t="str">
        <f aca="false">IF($G3424="","","同時")</f>
        <v/>
      </c>
      <c r="M3424" s="2" t="str">
        <f aca="false">IF($G3424="","",IF(ISNA(MATCH($G3424,個別指定!$A:$A,0)),"行なし",""))</f>
        <v/>
      </c>
      <c r="N3424" s="2" t="str">
        <f aca="false">IF($G3424="","",IF(COUNTIF($G$2:$G$4460,$G3424)&gt;1,"重複",""))</f>
        <v/>
      </c>
    </row>
    <row r="3425" customFormat="false" ht="16.5" hidden="false" customHeight="true" outlineLevel="0" collapsed="false">
      <c r="A3425" s="2" t="s">
        <v>447</v>
      </c>
      <c r="B3425" s="2" t="s">
        <v>456</v>
      </c>
      <c r="C3425" s="2" t="s">
        <v>42</v>
      </c>
      <c r="D3425" s="2" t="str">
        <f aca="false">IF(4キー同時!$B$110="","",4キー同時!$B$110)</f>
        <v/>
      </c>
      <c r="E3425" s="2" t="str">
        <f aca="false">IF(4キー同時!$G$110="","",4キー同時!$G$110)</f>
        <v/>
      </c>
      <c r="F3425" s="2" t="str">
        <f aca="false">IF(4キー同時!$L$110="","",4キー同時!$L$110)</f>
        <v/>
      </c>
      <c r="G3425" s="2" t="str">
        <f aca="false">IF(OR(4キー同時!$B$110="",4キー同時!$G$110="",4キー同時!$L$110=""),"",IF(4キー同時!AM118="","",SUBSTITUTE(SUBSTITUTE(4キー同時!AM118," ",""),"　","")))</f>
        <v/>
      </c>
      <c r="H3425" s="2" t="str">
        <f aca="false">IF($G3425="","",4キー同時!$B$110)</f>
        <v/>
      </c>
      <c r="I3425" s="2" t="str">
        <f aca="false">IF($G3425="","",4キー同時!$G$110)</f>
        <v/>
      </c>
      <c r="J3425" s="2" t="str">
        <f aca="false">IF($G3425="","",4キー同時!$L$110)</f>
        <v/>
      </c>
      <c r="K3425" s="2" t="str">
        <f aca="false">IF($G3425="","",",")</f>
        <v/>
      </c>
      <c r="L3425" s="2" t="str">
        <f aca="false">IF($G3425="","","同時")</f>
        <v/>
      </c>
      <c r="M3425" s="2" t="str">
        <f aca="false">IF($G3425="","",IF(ISNA(MATCH($G3425,個別指定!$A:$A,0)),"行なし",""))</f>
        <v/>
      </c>
      <c r="N3425" s="2" t="str">
        <f aca="false">IF($G3425="","",IF(COUNTIF($G$2:$G$4460,$G3425)&gt;1,"重複",""))</f>
        <v/>
      </c>
    </row>
    <row r="3426" customFormat="false" ht="16.5" hidden="false" customHeight="true" outlineLevel="0" collapsed="false">
      <c r="A3426" s="2" t="s">
        <v>447</v>
      </c>
      <c r="B3426" s="2" t="s">
        <v>456</v>
      </c>
      <c r="C3426" s="2" t="s">
        <v>43</v>
      </c>
      <c r="D3426" s="2" t="str">
        <f aca="false">IF(4キー同時!$B$110="","",4キー同時!$B$110)</f>
        <v/>
      </c>
      <c r="E3426" s="2" t="str">
        <f aca="false">IF(4キー同時!$G$110="","",4キー同時!$G$110)</f>
        <v/>
      </c>
      <c r="F3426" s="2" t="str">
        <f aca="false">IF(4キー同時!$L$110="","",4キー同時!$L$110)</f>
        <v/>
      </c>
      <c r="G3426" s="2" t="str">
        <f aca="false">IF(OR(4キー同時!$B$110="",4キー同時!$G$110="",4キー同時!$L$110=""),"",IF(4キー同時!AQ118="","",SUBSTITUTE(SUBSTITUTE(4キー同時!AQ118," ",""),"　","")))</f>
        <v/>
      </c>
      <c r="H3426" s="2" t="str">
        <f aca="false">IF($G3426="","",4キー同時!$B$110)</f>
        <v/>
      </c>
      <c r="I3426" s="2" t="str">
        <f aca="false">IF($G3426="","",4キー同時!$G$110)</f>
        <v/>
      </c>
      <c r="J3426" s="2" t="str">
        <f aca="false">IF($G3426="","",4キー同時!$L$110)</f>
        <v/>
      </c>
      <c r="K3426" s="2" t="str">
        <f aca="false">IF($G3426="","",".")</f>
        <v/>
      </c>
      <c r="L3426" s="2" t="str">
        <f aca="false">IF($G3426="","","同時")</f>
        <v/>
      </c>
      <c r="M3426" s="2" t="str">
        <f aca="false">IF($G3426="","",IF(ISNA(MATCH($G3426,個別指定!$A:$A,0)),"行なし",""))</f>
        <v/>
      </c>
      <c r="N3426" s="2" t="str">
        <f aca="false">IF($G3426="","",IF(COUNTIF($G$2:$G$4460,$G3426)&gt;1,"重複",""))</f>
        <v/>
      </c>
    </row>
    <row r="3427" customFormat="false" ht="16.5" hidden="false" customHeight="true" outlineLevel="0" collapsed="false">
      <c r="A3427" s="2" t="s">
        <v>447</v>
      </c>
      <c r="B3427" s="2" t="s">
        <v>456</v>
      </c>
      <c r="C3427" s="2" t="s">
        <v>44</v>
      </c>
      <c r="D3427" s="2" t="str">
        <f aca="false">IF(4キー同時!$B$110="","",4キー同時!$B$110)</f>
        <v/>
      </c>
      <c r="E3427" s="2" t="str">
        <f aca="false">IF(4キー同時!$G$110="","",4キー同時!$G$110)</f>
        <v/>
      </c>
      <c r="F3427" s="2" t="str">
        <f aca="false">IF(4キー同時!$L$110="","",4キー同時!$L$110)</f>
        <v/>
      </c>
      <c r="G3427" s="2" t="str">
        <f aca="false">IF(OR(4キー同時!$B$110="",4キー同時!$G$110="",4キー同時!$L$110=""),"",IF(4キー同時!AU118="","",SUBSTITUTE(SUBSTITUTE(4キー同時!AU118," ",""),"　","")))</f>
        <v/>
      </c>
      <c r="H3427" s="2" t="str">
        <f aca="false">IF($G3427="","",4キー同時!$B$110)</f>
        <v/>
      </c>
      <c r="I3427" s="2" t="str">
        <f aca="false">IF($G3427="","",4キー同時!$G$110)</f>
        <v/>
      </c>
      <c r="J3427" s="2" t="str">
        <f aca="false">IF($G3427="","",4キー同時!$L$110)</f>
        <v/>
      </c>
      <c r="K3427" s="2" t="str">
        <f aca="false">IF($G3427="","","/")</f>
        <v/>
      </c>
      <c r="L3427" s="2" t="str">
        <f aca="false">IF($G3427="","","同時")</f>
        <v/>
      </c>
      <c r="M3427" s="2" t="str">
        <f aca="false">IF($G3427="","",IF(ISNA(MATCH($G3427,個別指定!$A:$A,0)),"行なし",""))</f>
        <v/>
      </c>
      <c r="N3427" s="2" t="str">
        <f aca="false">IF($G3427="","",IF(COUNTIF($G$2:$G$4460,$G3427)&gt;1,"重複",""))</f>
        <v/>
      </c>
    </row>
    <row r="3428" customFormat="false" ht="16.5" hidden="false" customHeight="true" outlineLevel="0" collapsed="false">
      <c r="A3428" s="2" t="s">
        <v>447</v>
      </c>
      <c r="B3428" s="2" t="s">
        <v>456</v>
      </c>
      <c r="C3428" s="2" t="s">
        <v>48</v>
      </c>
      <c r="D3428" s="2" t="str">
        <f aca="false">IF(4キー同時!$B$110="","",4キー同時!$B$110)</f>
        <v/>
      </c>
      <c r="E3428" s="2" t="str">
        <f aca="false">IF(4キー同時!$G$110="","",4キー同時!$G$110)</f>
        <v/>
      </c>
      <c r="F3428" s="2" t="str">
        <f aca="false">IF(4キー同時!$L$110="","",4キー同時!$L$110)</f>
        <v/>
      </c>
      <c r="G3428" s="2" t="str">
        <f aca="false">IF(OR(4キー同時!$B$110="",4キー同時!$G$110="",4キー同時!$L$110=""),"",IF(4キー同時!P120="","",SUBSTITUTE(SUBSTITUTE(4キー同時!P120," ",""),"　","")))</f>
        <v/>
      </c>
      <c r="H3428" s="2" t="str">
        <f aca="false">IF($G3428="","",4キー同時!$B$110)</f>
        <v/>
      </c>
      <c r="I3428" s="2" t="str">
        <f aca="false">IF($G3428="","",4キー同時!$G$110)</f>
        <v/>
      </c>
      <c r="J3428" s="2" t="str">
        <f aca="false">IF($G3428="","",4キー同時!$L$110)</f>
        <v/>
      </c>
      <c r="K3428" s="2" t="str">
        <f aca="false">IF($G3428="","","muhenkan")</f>
        <v/>
      </c>
      <c r="L3428" s="2" t="str">
        <f aca="false">IF($G3428="","","同時")</f>
        <v/>
      </c>
      <c r="M3428" s="2" t="str">
        <f aca="false">IF($G3428="","",IF(ISNA(MATCH($G3428,個別指定!$A:$A,0)),"行なし",""))</f>
        <v/>
      </c>
      <c r="N3428" s="2" t="str">
        <f aca="false">IF($G3428="","",IF(COUNTIF($G$2:$G$4460,$G3428)&gt;1,"重複",""))</f>
        <v/>
      </c>
    </row>
    <row r="3429" customFormat="false" ht="16.5" hidden="false" customHeight="true" outlineLevel="0" collapsed="false">
      <c r="A3429" s="2" t="s">
        <v>447</v>
      </c>
      <c r="B3429" s="2" t="s">
        <v>456</v>
      </c>
      <c r="C3429" s="2" t="s">
        <v>50</v>
      </c>
      <c r="D3429" s="2" t="str">
        <f aca="false">IF(4キー同時!$B$110="","",4キー同時!$B$110)</f>
        <v/>
      </c>
      <c r="E3429" s="2" t="str">
        <f aca="false">IF(4キー同時!$G$110="","",4キー同時!$G$110)</f>
        <v/>
      </c>
      <c r="F3429" s="2" t="str">
        <f aca="false">IF(4キー同時!$L$110="","",4キー同時!$L$110)</f>
        <v/>
      </c>
      <c r="G3429" s="2" t="str">
        <f aca="false">IF(OR(4キー同時!$B$110="",4キー同時!$G$110="",4キー同時!$L$110=""),"",IF(4キー同時!T120="","",SUBSTITUTE(SUBSTITUTE(4キー同時!T120," ",""),"　","")))</f>
        <v/>
      </c>
      <c r="H3429" s="2" t="str">
        <f aca="false">IF($G3429="","",4キー同時!$B$110)</f>
        <v/>
      </c>
      <c r="I3429" s="2" t="str">
        <f aca="false">IF($G3429="","",4キー同時!$G$110)</f>
        <v/>
      </c>
      <c r="J3429" s="2" t="str">
        <f aca="false">IF($G3429="","",4キー同時!$L$110)</f>
        <v/>
      </c>
      <c r="K3429" s="2" t="str">
        <f aca="false">IF($G3429="","","space")</f>
        <v/>
      </c>
      <c r="L3429" s="2" t="str">
        <f aca="false">IF($G3429="","","同時")</f>
        <v/>
      </c>
      <c r="M3429" s="2" t="str">
        <f aca="false">IF($G3429="","",IF(ISNA(MATCH($G3429,個別指定!$A:$A,0)),"行なし",""))</f>
        <v/>
      </c>
      <c r="N3429" s="2" t="str">
        <f aca="false">IF($G3429="","",IF(COUNTIF($G$2:$G$4460,$G3429)&gt;1,"重複",""))</f>
        <v/>
      </c>
    </row>
    <row r="3430" customFormat="false" ht="16.5" hidden="false" customHeight="true" outlineLevel="0" collapsed="false">
      <c r="A3430" s="2" t="s">
        <v>447</v>
      </c>
      <c r="B3430" s="2" t="s">
        <v>456</v>
      </c>
      <c r="C3430" s="2" t="s">
        <v>45</v>
      </c>
      <c r="D3430" s="2" t="str">
        <f aca="false">IF(4キー同時!$B$110="","",4キー同時!$B$110)</f>
        <v/>
      </c>
      <c r="E3430" s="2" t="str">
        <f aca="false">IF(4キー同時!$G$110="","",4キー同時!$G$110)</f>
        <v/>
      </c>
      <c r="F3430" s="2" t="str">
        <f aca="false">IF(4キー同時!$L$110="","",4キー同時!$L$110)</f>
        <v/>
      </c>
      <c r="G3430" s="2" t="str">
        <f aca="false">IF(OR(4キー同時!$B$110="",4キー同時!$G$110="",4キー同時!$L$110=""),"",IF(4キー同時!AL120="","",SUBSTITUTE(SUBSTITUTE(4キー同時!AL120," ",""),"　","")))</f>
        <v/>
      </c>
      <c r="H3430" s="2" t="str">
        <f aca="false">IF($G3430="","",4キー同時!$B$110)</f>
        <v/>
      </c>
      <c r="I3430" s="2" t="str">
        <f aca="false">IF($G3430="","",4キー同時!$G$110)</f>
        <v/>
      </c>
      <c r="J3430" s="2" t="str">
        <f aca="false">IF($G3430="","",4キー同時!$L$110)</f>
        <v/>
      </c>
      <c r="K3430" s="2" t="str">
        <f aca="false">IF($G3430="","","henkan")</f>
        <v/>
      </c>
      <c r="L3430" s="2" t="str">
        <f aca="false">IF($G3430="","","同時")</f>
        <v/>
      </c>
      <c r="M3430" s="2" t="str">
        <f aca="false">IF($G3430="","",IF(ISNA(MATCH($G3430,個別指定!$A:$A,0)),"行なし",""))</f>
        <v/>
      </c>
      <c r="N3430" s="2" t="str">
        <f aca="false">IF($G3430="","",IF(COUNTIF($G$2:$G$4460,$G3430)&gt;1,"重複",""))</f>
        <v/>
      </c>
    </row>
    <row r="3431" customFormat="false" ht="16.5" hidden="false" customHeight="true" outlineLevel="0" collapsed="false">
      <c r="A3431" s="2" t="s">
        <v>447</v>
      </c>
      <c r="B3431" s="2" t="s">
        <v>456</v>
      </c>
      <c r="C3431" s="2" t="s">
        <v>46</v>
      </c>
      <c r="D3431" s="2" t="str">
        <f aca="false">IF(4キー同時!$B$110="","",4キー同時!$B$110)</f>
        <v/>
      </c>
      <c r="E3431" s="2" t="str">
        <f aca="false">IF(4キー同時!$G$110="","",4キー同時!$G$110)</f>
        <v/>
      </c>
      <c r="F3431" s="2" t="str">
        <f aca="false">IF(4キー同時!$L$110="","",4キー同時!$L$110)</f>
        <v/>
      </c>
      <c r="G3431" s="2" t="str">
        <f aca="false">IF(OR(4キー同時!$B$110="",4キー同時!$G$110="",4キー同時!$L$110=""),"",IF(4キー同時!AP120="","",SUBSTITUTE(SUBSTITUTE(4キー同時!AP120," ",""),"　","")))</f>
        <v/>
      </c>
      <c r="H3431" s="2" t="str">
        <f aca="false">IF($G3431="","",4キー同時!$B$110)</f>
        <v/>
      </c>
      <c r="I3431" s="2" t="str">
        <f aca="false">IF($G3431="","",4キー同時!$G$110)</f>
        <v/>
      </c>
      <c r="J3431" s="2" t="str">
        <f aca="false">IF($G3431="","",4キー同時!$L$110)</f>
        <v/>
      </c>
      <c r="K3431" s="2" t="str">
        <f aca="false">IF($G3431="","","kana")</f>
        <v/>
      </c>
      <c r="L3431" s="2" t="str">
        <f aca="false">IF($G3431="","","同時")</f>
        <v/>
      </c>
      <c r="M3431" s="2" t="str">
        <f aca="false">IF($G3431="","",IF(ISNA(MATCH($G3431,個別指定!$A:$A,0)),"行なし",""))</f>
        <v/>
      </c>
      <c r="N3431" s="2" t="str">
        <f aca="false">IF($G3431="","",IF(COUNTIF($G$2:$G$4460,$G3431)&gt;1,"重複",""))</f>
        <v/>
      </c>
    </row>
    <row r="3432" customFormat="false" ht="16.5" hidden="false" customHeight="true" outlineLevel="0" collapsed="false">
      <c r="A3432" s="2" t="s">
        <v>447</v>
      </c>
      <c r="B3432" s="2" t="s">
        <v>457</v>
      </c>
      <c r="C3432" s="2" t="s">
        <v>0</v>
      </c>
      <c r="D3432" s="2" t="str">
        <f aca="false">IF(4キー同時!$B$123="","",4キー同時!$B$123)</f>
        <v/>
      </c>
      <c r="E3432" s="2" t="str">
        <f aca="false">IF(4キー同時!$G$123="","",4キー同時!$G$123)</f>
        <v/>
      </c>
      <c r="F3432" s="2" t="str">
        <f aca="false">IF(4キー同時!$L$123="","",4キー同時!$L$123)</f>
        <v/>
      </c>
      <c r="G3432" s="2" t="str">
        <f aca="false">IF(OR(4キー同時!$B$123="",4キー同時!$G$123="",4キー同時!$L$123=""),"",IF(4キー同時!F125="","",SUBSTITUTE(SUBSTITUTE(4キー同時!F125," ",""),"　","")))</f>
        <v/>
      </c>
      <c r="H3432" s="2" t="str">
        <f aca="false">IF($G3432="","",4キー同時!$B$123)</f>
        <v/>
      </c>
      <c r="I3432" s="2" t="str">
        <f aca="false">IF($G3432="","",4キー同時!$G$123)</f>
        <v/>
      </c>
      <c r="J3432" s="2" t="str">
        <f aca="false">IF($G3432="","",4キー同時!$L$123)</f>
        <v/>
      </c>
      <c r="K3432" s="2" t="str">
        <f aca="false">IF($G3432="","","1")</f>
        <v/>
      </c>
      <c r="L3432" s="2" t="str">
        <f aca="false">IF($G3432="","","同時")</f>
        <v/>
      </c>
      <c r="M3432" s="2" t="str">
        <f aca="false">IF($G3432="","",IF(ISNA(MATCH($G3432,個別指定!$A:$A,0)),"行なし",""))</f>
        <v/>
      </c>
      <c r="N3432" s="2" t="str">
        <f aca="false">IF($G3432="","",IF(COUNTIF($G$2:$G$4460,$G3432)&gt;1,"重複",""))</f>
        <v/>
      </c>
    </row>
    <row r="3433" customFormat="false" ht="16.5" hidden="false" customHeight="true" outlineLevel="0" collapsed="false">
      <c r="A3433" s="2" t="s">
        <v>447</v>
      </c>
      <c r="B3433" s="2" t="s">
        <v>457</v>
      </c>
      <c r="C3433" s="2" t="s">
        <v>1</v>
      </c>
      <c r="D3433" s="2" t="str">
        <f aca="false">IF(4キー同時!$B$123="","",4キー同時!$B$123)</f>
        <v/>
      </c>
      <c r="E3433" s="2" t="str">
        <f aca="false">IF(4キー同時!$G$123="","",4キー同時!$G$123)</f>
        <v/>
      </c>
      <c r="F3433" s="2" t="str">
        <f aca="false">IF(4キー同時!$L$123="","",4キー同時!$L$123)</f>
        <v/>
      </c>
      <c r="G3433" s="2" t="str">
        <f aca="false">IF(OR(4キー同時!$B$123="",4キー同時!$G$123="",4キー同時!$L$123=""),"",IF(4キー同時!J125="","",SUBSTITUTE(SUBSTITUTE(4キー同時!J125," ",""),"　","")))</f>
        <v/>
      </c>
      <c r="H3433" s="2" t="str">
        <f aca="false">IF($G3433="","",4キー同時!$B$123)</f>
        <v/>
      </c>
      <c r="I3433" s="2" t="str">
        <f aca="false">IF($G3433="","",4キー同時!$G$123)</f>
        <v/>
      </c>
      <c r="J3433" s="2" t="str">
        <f aca="false">IF($G3433="","",4キー同時!$L$123)</f>
        <v/>
      </c>
      <c r="K3433" s="2" t="str">
        <f aca="false">IF($G3433="","","2")</f>
        <v/>
      </c>
      <c r="L3433" s="2" t="str">
        <f aca="false">IF($G3433="","","同時")</f>
        <v/>
      </c>
      <c r="M3433" s="2" t="str">
        <f aca="false">IF($G3433="","",IF(ISNA(MATCH($G3433,個別指定!$A:$A,0)),"行なし",""))</f>
        <v/>
      </c>
      <c r="N3433" s="2" t="str">
        <f aca="false">IF($G3433="","",IF(COUNTIF($G$2:$G$4460,$G3433)&gt;1,"重複",""))</f>
        <v/>
      </c>
    </row>
    <row r="3434" customFormat="false" ht="16.5" hidden="false" customHeight="true" outlineLevel="0" collapsed="false">
      <c r="A3434" s="2" t="s">
        <v>447</v>
      </c>
      <c r="B3434" s="2" t="s">
        <v>457</v>
      </c>
      <c r="C3434" s="2" t="s">
        <v>2</v>
      </c>
      <c r="D3434" s="2" t="str">
        <f aca="false">IF(4キー同時!$B$123="","",4キー同時!$B$123)</f>
        <v/>
      </c>
      <c r="E3434" s="2" t="str">
        <f aca="false">IF(4キー同時!$G$123="","",4キー同時!$G$123)</f>
        <v/>
      </c>
      <c r="F3434" s="2" t="str">
        <f aca="false">IF(4キー同時!$L$123="","",4キー同時!$L$123)</f>
        <v/>
      </c>
      <c r="G3434" s="2" t="str">
        <f aca="false">IF(OR(4キー同時!$B$123="",4キー同時!$G$123="",4キー同時!$L$123=""),"",IF(4キー同時!N125="","",SUBSTITUTE(SUBSTITUTE(4キー同時!N125," ",""),"　","")))</f>
        <v/>
      </c>
      <c r="H3434" s="2" t="str">
        <f aca="false">IF($G3434="","",4キー同時!$B$123)</f>
        <v/>
      </c>
      <c r="I3434" s="2" t="str">
        <f aca="false">IF($G3434="","",4キー同時!$G$123)</f>
        <v/>
      </c>
      <c r="J3434" s="2" t="str">
        <f aca="false">IF($G3434="","",4キー同時!$L$123)</f>
        <v/>
      </c>
      <c r="K3434" s="2" t="str">
        <f aca="false">IF($G3434="","","3")</f>
        <v/>
      </c>
      <c r="L3434" s="2" t="str">
        <f aca="false">IF($G3434="","","同時")</f>
        <v/>
      </c>
      <c r="M3434" s="2" t="str">
        <f aca="false">IF($G3434="","",IF(ISNA(MATCH($G3434,個別指定!$A:$A,0)),"行なし",""))</f>
        <v/>
      </c>
      <c r="N3434" s="2" t="str">
        <f aca="false">IF($G3434="","",IF(COUNTIF($G$2:$G$4460,$G3434)&gt;1,"重複",""))</f>
        <v/>
      </c>
    </row>
    <row r="3435" customFormat="false" ht="16.5" hidden="false" customHeight="true" outlineLevel="0" collapsed="false">
      <c r="A3435" s="2" t="s">
        <v>447</v>
      </c>
      <c r="B3435" s="2" t="s">
        <v>457</v>
      </c>
      <c r="C3435" s="2" t="s">
        <v>3</v>
      </c>
      <c r="D3435" s="2" t="str">
        <f aca="false">IF(4キー同時!$B$123="","",4キー同時!$B$123)</f>
        <v/>
      </c>
      <c r="E3435" s="2" t="str">
        <f aca="false">IF(4キー同時!$G$123="","",4キー同時!$G$123)</f>
        <v/>
      </c>
      <c r="F3435" s="2" t="str">
        <f aca="false">IF(4キー同時!$L$123="","",4キー同時!$L$123)</f>
        <v/>
      </c>
      <c r="G3435" s="2" t="str">
        <f aca="false">IF(OR(4キー同時!$B$123="",4キー同時!$G$123="",4キー同時!$L$123=""),"",IF(4キー同時!R125="","",SUBSTITUTE(SUBSTITUTE(4キー同時!R125," ",""),"　","")))</f>
        <v/>
      </c>
      <c r="H3435" s="2" t="str">
        <f aca="false">IF($G3435="","",4キー同時!$B$123)</f>
        <v/>
      </c>
      <c r="I3435" s="2" t="str">
        <f aca="false">IF($G3435="","",4キー同時!$G$123)</f>
        <v/>
      </c>
      <c r="J3435" s="2" t="str">
        <f aca="false">IF($G3435="","",4キー同時!$L$123)</f>
        <v/>
      </c>
      <c r="K3435" s="2" t="str">
        <f aca="false">IF($G3435="","","4")</f>
        <v/>
      </c>
      <c r="L3435" s="2" t="str">
        <f aca="false">IF($G3435="","","同時")</f>
        <v/>
      </c>
      <c r="M3435" s="2" t="str">
        <f aca="false">IF($G3435="","",IF(ISNA(MATCH($G3435,個別指定!$A:$A,0)),"行なし",""))</f>
        <v/>
      </c>
      <c r="N3435" s="2" t="str">
        <f aca="false">IF($G3435="","",IF(COUNTIF($G$2:$G$4460,$G3435)&gt;1,"重複",""))</f>
        <v/>
      </c>
    </row>
    <row r="3436" customFormat="false" ht="16.5" hidden="false" customHeight="true" outlineLevel="0" collapsed="false">
      <c r="A3436" s="2" t="s">
        <v>447</v>
      </c>
      <c r="B3436" s="2" t="s">
        <v>457</v>
      </c>
      <c r="C3436" s="2" t="s">
        <v>4</v>
      </c>
      <c r="D3436" s="2" t="str">
        <f aca="false">IF(4キー同時!$B$123="","",4キー同時!$B$123)</f>
        <v/>
      </c>
      <c r="E3436" s="2" t="str">
        <f aca="false">IF(4キー同時!$G$123="","",4キー同時!$G$123)</f>
        <v/>
      </c>
      <c r="F3436" s="2" t="str">
        <f aca="false">IF(4キー同時!$L$123="","",4キー同時!$L$123)</f>
        <v/>
      </c>
      <c r="G3436" s="2" t="str">
        <f aca="false">IF(OR(4キー同時!$B$123="",4キー同時!$G$123="",4キー同時!$L$123=""),"",IF(4キー同時!V125="","",SUBSTITUTE(SUBSTITUTE(4キー同時!V125," ",""),"　","")))</f>
        <v/>
      </c>
      <c r="H3436" s="2" t="str">
        <f aca="false">IF($G3436="","",4キー同時!$B$123)</f>
        <v/>
      </c>
      <c r="I3436" s="2" t="str">
        <f aca="false">IF($G3436="","",4キー同時!$G$123)</f>
        <v/>
      </c>
      <c r="J3436" s="2" t="str">
        <f aca="false">IF($G3436="","",4キー同時!$L$123)</f>
        <v/>
      </c>
      <c r="K3436" s="2" t="str">
        <f aca="false">IF($G3436="","","5")</f>
        <v/>
      </c>
      <c r="L3436" s="2" t="str">
        <f aca="false">IF($G3436="","","同時")</f>
        <v/>
      </c>
      <c r="M3436" s="2" t="str">
        <f aca="false">IF($G3436="","",IF(ISNA(MATCH($G3436,個別指定!$A:$A,0)),"行なし",""))</f>
        <v/>
      </c>
      <c r="N3436" s="2" t="str">
        <f aca="false">IF($G3436="","",IF(COUNTIF($G$2:$G$4460,$G3436)&gt;1,"重複",""))</f>
        <v/>
      </c>
    </row>
    <row r="3437" customFormat="false" ht="16.5" hidden="false" customHeight="true" outlineLevel="0" collapsed="false">
      <c r="A3437" s="2" t="s">
        <v>447</v>
      </c>
      <c r="B3437" s="2" t="s">
        <v>457</v>
      </c>
      <c r="C3437" s="2" t="s">
        <v>5</v>
      </c>
      <c r="D3437" s="2" t="str">
        <f aca="false">IF(4キー同時!$B$123="","",4キー同時!$B$123)</f>
        <v/>
      </c>
      <c r="E3437" s="2" t="str">
        <f aca="false">IF(4キー同時!$G$123="","",4キー同時!$G$123)</f>
        <v/>
      </c>
      <c r="F3437" s="2" t="str">
        <f aca="false">IF(4キー同時!$L$123="","",4キー同時!$L$123)</f>
        <v/>
      </c>
      <c r="G3437" s="2" t="str">
        <f aca="false">IF(OR(4キー同時!$B$123="",4キー同時!$G$123="",4キー同時!$L$123=""),"",IF(4キー同時!Z125="","",SUBSTITUTE(SUBSTITUTE(4キー同時!Z125," ",""),"　","")))</f>
        <v/>
      </c>
      <c r="H3437" s="2" t="str">
        <f aca="false">IF($G3437="","",4キー同時!$B$123)</f>
        <v/>
      </c>
      <c r="I3437" s="2" t="str">
        <f aca="false">IF($G3437="","",4キー同時!$G$123)</f>
        <v/>
      </c>
      <c r="J3437" s="2" t="str">
        <f aca="false">IF($G3437="","",4キー同時!$L$123)</f>
        <v/>
      </c>
      <c r="K3437" s="2" t="str">
        <f aca="false">IF($G3437="","","6")</f>
        <v/>
      </c>
      <c r="L3437" s="2" t="str">
        <f aca="false">IF($G3437="","","同時")</f>
        <v/>
      </c>
      <c r="M3437" s="2" t="str">
        <f aca="false">IF($G3437="","",IF(ISNA(MATCH($G3437,個別指定!$A:$A,0)),"行なし",""))</f>
        <v/>
      </c>
      <c r="N3437" s="2" t="str">
        <f aca="false">IF($G3437="","",IF(COUNTIF($G$2:$G$4460,$G3437)&gt;1,"重複",""))</f>
        <v/>
      </c>
    </row>
    <row r="3438" customFormat="false" ht="16.5" hidden="false" customHeight="true" outlineLevel="0" collapsed="false">
      <c r="A3438" s="2" t="s">
        <v>447</v>
      </c>
      <c r="B3438" s="2" t="s">
        <v>457</v>
      </c>
      <c r="C3438" s="2" t="s">
        <v>6</v>
      </c>
      <c r="D3438" s="2" t="str">
        <f aca="false">IF(4キー同時!$B$123="","",4キー同時!$B$123)</f>
        <v/>
      </c>
      <c r="E3438" s="2" t="str">
        <f aca="false">IF(4キー同時!$G$123="","",4キー同時!$G$123)</f>
        <v/>
      </c>
      <c r="F3438" s="2" t="str">
        <f aca="false">IF(4キー同時!$L$123="","",4キー同時!$L$123)</f>
        <v/>
      </c>
      <c r="G3438" s="2" t="str">
        <f aca="false">IF(OR(4キー同時!$B$123="",4キー同時!$G$123="",4キー同時!$L$123=""),"",IF(4キー同時!AD125="","",SUBSTITUTE(SUBSTITUTE(4キー同時!AD125," ",""),"　","")))</f>
        <v/>
      </c>
      <c r="H3438" s="2" t="str">
        <f aca="false">IF($G3438="","",4キー同時!$B$123)</f>
        <v/>
      </c>
      <c r="I3438" s="2" t="str">
        <f aca="false">IF($G3438="","",4キー同時!$G$123)</f>
        <v/>
      </c>
      <c r="J3438" s="2" t="str">
        <f aca="false">IF($G3438="","",4キー同時!$L$123)</f>
        <v/>
      </c>
      <c r="K3438" s="2" t="str">
        <f aca="false">IF($G3438="","","7")</f>
        <v/>
      </c>
      <c r="L3438" s="2" t="str">
        <f aca="false">IF($G3438="","","同時")</f>
        <v/>
      </c>
      <c r="M3438" s="2" t="str">
        <f aca="false">IF($G3438="","",IF(ISNA(MATCH($G3438,個別指定!$A:$A,0)),"行なし",""))</f>
        <v/>
      </c>
      <c r="N3438" s="2" t="str">
        <f aca="false">IF($G3438="","",IF(COUNTIF($G$2:$G$4460,$G3438)&gt;1,"重複",""))</f>
        <v/>
      </c>
    </row>
    <row r="3439" customFormat="false" ht="16.5" hidden="false" customHeight="true" outlineLevel="0" collapsed="false">
      <c r="A3439" s="2" t="s">
        <v>447</v>
      </c>
      <c r="B3439" s="2" t="s">
        <v>457</v>
      </c>
      <c r="C3439" s="2" t="s">
        <v>7</v>
      </c>
      <c r="D3439" s="2" t="str">
        <f aca="false">IF(4キー同時!$B$123="","",4キー同時!$B$123)</f>
        <v/>
      </c>
      <c r="E3439" s="2" t="str">
        <f aca="false">IF(4キー同時!$G$123="","",4キー同時!$G$123)</f>
        <v/>
      </c>
      <c r="F3439" s="2" t="str">
        <f aca="false">IF(4キー同時!$L$123="","",4キー同時!$L$123)</f>
        <v/>
      </c>
      <c r="G3439" s="2" t="str">
        <f aca="false">IF(OR(4キー同時!$B$123="",4キー同時!$G$123="",4キー同時!$L$123=""),"",IF(4キー同時!AH125="","",SUBSTITUTE(SUBSTITUTE(4キー同時!AH125," ",""),"　","")))</f>
        <v/>
      </c>
      <c r="H3439" s="2" t="str">
        <f aca="false">IF($G3439="","",4キー同時!$B$123)</f>
        <v/>
      </c>
      <c r="I3439" s="2" t="str">
        <f aca="false">IF($G3439="","",4キー同時!$G$123)</f>
        <v/>
      </c>
      <c r="J3439" s="2" t="str">
        <f aca="false">IF($G3439="","",4キー同時!$L$123)</f>
        <v/>
      </c>
      <c r="K3439" s="2" t="str">
        <f aca="false">IF($G3439="","","8")</f>
        <v/>
      </c>
      <c r="L3439" s="2" t="str">
        <f aca="false">IF($G3439="","","同時")</f>
        <v/>
      </c>
      <c r="M3439" s="2" t="str">
        <f aca="false">IF($G3439="","",IF(ISNA(MATCH($G3439,個別指定!$A:$A,0)),"行なし",""))</f>
        <v/>
      </c>
      <c r="N3439" s="2" t="str">
        <f aca="false">IF($G3439="","",IF(COUNTIF($G$2:$G$4460,$G3439)&gt;1,"重複",""))</f>
        <v/>
      </c>
    </row>
    <row r="3440" customFormat="false" ht="16.5" hidden="false" customHeight="true" outlineLevel="0" collapsed="false">
      <c r="A3440" s="2" t="s">
        <v>447</v>
      </c>
      <c r="B3440" s="2" t="s">
        <v>457</v>
      </c>
      <c r="C3440" s="2" t="s">
        <v>8</v>
      </c>
      <c r="D3440" s="2" t="str">
        <f aca="false">IF(4キー同時!$B$123="","",4キー同時!$B$123)</f>
        <v/>
      </c>
      <c r="E3440" s="2" t="str">
        <f aca="false">IF(4キー同時!$G$123="","",4キー同時!$G$123)</f>
        <v/>
      </c>
      <c r="F3440" s="2" t="str">
        <f aca="false">IF(4キー同時!$L$123="","",4キー同時!$L$123)</f>
        <v/>
      </c>
      <c r="G3440" s="2" t="str">
        <f aca="false">IF(OR(4キー同時!$B$123="",4キー同時!$G$123="",4キー同時!$L$123=""),"",IF(4キー同時!AL125="","",SUBSTITUTE(SUBSTITUTE(4キー同時!AL125," ",""),"　","")))</f>
        <v/>
      </c>
      <c r="H3440" s="2" t="str">
        <f aca="false">IF($G3440="","",4キー同時!$B$123)</f>
        <v/>
      </c>
      <c r="I3440" s="2" t="str">
        <f aca="false">IF($G3440="","",4キー同時!$G$123)</f>
        <v/>
      </c>
      <c r="J3440" s="2" t="str">
        <f aca="false">IF($G3440="","",4キー同時!$L$123)</f>
        <v/>
      </c>
      <c r="K3440" s="2" t="str">
        <f aca="false">IF($G3440="","","9")</f>
        <v/>
      </c>
      <c r="L3440" s="2" t="str">
        <f aca="false">IF($G3440="","","同時")</f>
        <v/>
      </c>
      <c r="M3440" s="2" t="str">
        <f aca="false">IF($G3440="","",IF(ISNA(MATCH($G3440,個別指定!$A:$A,0)),"行なし",""))</f>
        <v/>
      </c>
      <c r="N3440" s="2" t="str">
        <f aca="false">IF($G3440="","",IF(COUNTIF($G$2:$G$4460,$G3440)&gt;1,"重複",""))</f>
        <v/>
      </c>
    </row>
    <row r="3441" customFormat="false" ht="16.5" hidden="false" customHeight="true" outlineLevel="0" collapsed="false">
      <c r="A3441" s="2" t="s">
        <v>447</v>
      </c>
      <c r="B3441" s="2" t="s">
        <v>457</v>
      </c>
      <c r="C3441" s="2" t="s">
        <v>9</v>
      </c>
      <c r="D3441" s="2" t="str">
        <f aca="false">IF(4キー同時!$B$123="","",4キー同時!$B$123)</f>
        <v/>
      </c>
      <c r="E3441" s="2" t="str">
        <f aca="false">IF(4キー同時!$G$123="","",4キー同時!$G$123)</f>
        <v/>
      </c>
      <c r="F3441" s="2" t="str">
        <f aca="false">IF(4キー同時!$L$123="","",4キー同時!$L$123)</f>
        <v/>
      </c>
      <c r="G3441" s="2" t="str">
        <f aca="false">IF(OR(4キー同時!$B$123="",4キー同時!$G$123="",4キー同時!$L$123=""),"",IF(4キー同時!AP125="","",SUBSTITUTE(SUBSTITUTE(4キー同時!AP125," ",""),"　","")))</f>
        <v/>
      </c>
      <c r="H3441" s="2" t="str">
        <f aca="false">IF($G3441="","",4キー同時!$B$123)</f>
        <v/>
      </c>
      <c r="I3441" s="2" t="str">
        <f aca="false">IF($G3441="","",4キー同時!$G$123)</f>
        <v/>
      </c>
      <c r="J3441" s="2" t="str">
        <f aca="false">IF($G3441="","",4キー同時!$L$123)</f>
        <v/>
      </c>
      <c r="K3441" s="2" t="str">
        <f aca="false">IF($G3441="","","0")</f>
        <v/>
      </c>
      <c r="L3441" s="2" t="str">
        <f aca="false">IF($G3441="","","同時")</f>
        <v/>
      </c>
      <c r="M3441" s="2" t="str">
        <f aca="false">IF($G3441="","",IF(ISNA(MATCH($G3441,個別指定!$A:$A,0)),"行なし",""))</f>
        <v/>
      </c>
      <c r="N3441" s="2" t="str">
        <f aca="false">IF($G3441="","",IF(COUNTIF($G$2:$G$4460,$G3441)&gt;1,"重複",""))</f>
        <v/>
      </c>
    </row>
    <row r="3442" customFormat="false" ht="16.5" hidden="false" customHeight="true" outlineLevel="0" collapsed="false">
      <c r="A3442" s="2" t="s">
        <v>447</v>
      </c>
      <c r="B3442" s="2" t="s">
        <v>457</v>
      </c>
      <c r="C3442" s="2" t="s">
        <v>10</v>
      </c>
      <c r="D3442" s="2" t="str">
        <f aca="false">IF(4キー同時!$B$123="","",4キー同時!$B$123)</f>
        <v/>
      </c>
      <c r="E3442" s="2" t="str">
        <f aca="false">IF(4キー同時!$G$123="","",4キー同時!$G$123)</f>
        <v/>
      </c>
      <c r="F3442" s="2" t="str">
        <f aca="false">IF(4キー同時!$L$123="","",4キー同時!$L$123)</f>
        <v/>
      </c>
      <c r="G3442" s="2" t="str">
        <f aca="false">IF(OR(4キー同時!$B$123="",4キー同時!$G$123="",4キー同時!$L$123=""),"",IF(4キー同時!AT125="","",SUBSTITUTE(SUBSTITUTE(4キー同時!AT125," ",""),"　","")))</f>
        <v/>
      </c>
      <c r="H3442" s="2" t="str">
        <f aca="false">IF($G3442="","",4キー同時!$B$123)</f>
        <v/>
      </c>
      <c r="I3442" s="2" t="str">
        <f aca="false">IF($G3442="","",4キー同時!$G$123)</f>
        <v/>
      </c>
      <c r="J3442" s="2" t="str">
        <f aca="false">IF($G3442="","",4キー同時!$L$123)</f>
        <v/>
      </c>
      <c r="K3442" s="2" t="str">
        <f aca="false">IF($G3442="","","-")</f>
        <v/>
      </c>
      <c r="L3442" s="2" t="str">
        <f aca="false">IF($G3442="","","同時")</f>
        <v/>
      </c>
      <c r="M3442" s="2" t="str">
        <f aca="false">IF($G3442="","",IF(ISNA(MATCH($G3442,個別指定!$A:$A,0)),"行なし",""))</f>
        <v/>
      </c>
      <c r="N3442" s="2" t="str">
        <f aca="false">IF($G3442="","",IF(COUNTIF($G$2:$G$4460,$G3442)&gt;1,"重複",""))</f>
        <v/>
      </c>
    </row>
    <row r="3443" customFormat="false" ht="16.5" hidden="false" customHeight="true" outlineLevel="0" collapsed="false">
      <c r="A3443" s="2" t="s">
        <v>447</v>
      </c>
      <c r="B3443" s="2" t="s">
        <v>457</v>
      </c>
      <c r="C3443" s="2" t="s">
        <v>11</v>
      </c>
      <c r="D3443" s="2" t="str">
        <f aca="false">IF(4キー同時!$B$123="","",4キー同時!$B$123)</f>
        <v/>
      </c>
      <c r="E3443" s="2" t="str">
        <f aca="false">IF(4キー同時!$G$123="","",4キー同時!$G$123)</f>
        <v/>
      </c>
      <c r="F3443" s="2" t="str">
        <f aca="false">IF(4キー同時!$L$123="","",4キー同時!$L$123)</f>
        <v/>
      </c>
      <c r="G3443" s="2" t="str">
        <f aca="false">IF(OR(4キー同時!$B$123="",4キー同時!$G$123="",4キー同時!$L$123=""),"",IF(4キー同時!AX125="","",SUBSTITUTE(SUBSTITUTE(4キー同時!AX125," ",""),"　","")))</f>
        <v/>
      </c>
      <c r="H3443" s="2" t="str">
        <f aca="false">IF($G3443="","",4キー同時!$B$123)</f>
        <v/>
      </c>
      <c r="I3443" s="2" t="str">
        <f aca="false">IF($G3443="","",4キー同時!$G$123)</f>
        <v/>
      </c>
      <c r="J3443" s="2" t="str">
        <f aca="false">IF($G3443="","",4キー同時!$L$123)</f>
        <v/>
      </c>
      <c r="K3443" s="2" t="str">
        <f aca="false">IF($G3443="","","=")</f>
        <v/>
      </c>
      <c r="L3443" s="2" t="str">
        <f aca="false">IF($G3443="","","同時")</f>
        <v/>
      </c>
      <c r="M3443" s="2" t="str">
        <f aca="false">IF($G3443="","",IF(ISNA(MATCH($G3443,個別指定!$A:$A,0)),"行なし",""))</f>
        <v/>
      </c>
      <c r="N3443" s="2" t="str">
        <f aca="false">IF($G3443="","",IF(COUNTIF($G$2:$G$4460,$G3443)&gt;1,"重複",""))</f>
        <v/>
      </c>
    </row>
    <row r="3444" customFormat="false" ht="16.5" hidden="false" customHeight="true" outlineLevel="0" collapsed="false">
      <c r="A3444" s="2" t="s">
        <v>447</v>
      </c>
      <c r="B3444" s="2" t="s">
        <v>457</v>
      </c>
      <c r="C3444" s="2" t="s">
        <v>12</v>
      </c>
      <c r="D3444" s="2" t="str">
        <f aca="false">IF(4キー同時!$B$123="","",4キー同時!$B$123)</f>
        <v/>
      </c>
      <c r="E3444" s="2" t="str">
        <f aca="false">IF(4キー同時!$G$123="","",4キー同時!$G$123)</f>
        <v/>
      </c>
      <c r="F3444" s="2" t="str">
        <f aca="false">IF(4キー同時!$L$123="","",4キー同時!$L$123)</f>
        <v/>
      </c>
      <c r="G3444" s="2" t="str">
        <f aca="false">IF(OR(4キー同時!$B$123="",4キー同時!$G$123="",4キー同時!$L$123=""),"",IF(4キー同時!H127="","",SUBSTITUTE(SUBSTITUTE(4キー同時!H127," ",""),"　","")))</f>
        <v/>
      </c>
      <c r="H3444" s="2" t="str">
        <f aca="false">IF($G3444="","",4キー同時!$B$123)</f>
        <v/>
      </c>
      <c r="I3444" s="2" t="str">
        <f aca="false">IF($G3444="","",4キー同時!$G$123)</f>
        <v/>
      </c>
      <c r="J3444" s="2" t="str">
        <f aca="false">IF($G3444="","",4キー同時!$L$123)</f>
        <v/>
      </c>
      <c r="K3444" s="2" t="str">
        <f aca="false">IF($G3444="","","q")</f>
        <v/>
      </c>
      <c r="L3444" s="2" t="str">
        <f aca="false">IF($G3444="","","同時")</f>
        <v/>
      </c>
      <c r="M3444" s="2" t="str">
        <f aca="false">IF($G3444="","",IF(ISNA(MATCH($G3444,個別指定!$A:$A,0)),"行なし",""))</f>
        <v/>
      </c>
      <c r="N3444" s="2" t="str">
        <f aca="false">IF($G3444="","",IF(COUNTIF($G$2:$G$4460,$G3444)&gt;1,"重複",""))</f>
        <v/>
      </c>
    </row>
    <row r="3445" customFormat="false" ht="16.5" hidden="false" customHeight="true" outlineLevel="0" collapsed="false">
      <c r="A3445" s="2" t="s">
        <v>447</v>
      </c>
      <c r="B3445" s="2" t="s">
        <v>457</v>
      </c>
      <c r="C3445" s="2" t="s">
        <v>13</v>
      </c>
      <c r="D3445" s="2" t="str">
        <f aca="false">IF(4キー同時!$B$123="","",4キー同時!$B$123)</f>
        <v/>
      </c>
      <c r="E3445" s="2" t="str">
        <f aca="false">IF(4キー同時!$G$123="","",4キー同時!$G$123)</f>
        <v/>
      </c>
      <c r="F3445" s="2" t="str">
        <f aca="false">IF(4キー同時!$L$123="","",4キー同時!$L$123)</f>
        <v/>
      </c>
      <c r="G3445" s="2" t="str">
        <f aca="false">IF(OR(4キー同時!$B$123="",4キー同時!$G$123="",4キー同時!$L$123=""),"",IF(4キー同時!L127="","",SUBSTITUTE(SUBSTITUTE(4キー同時!L127," ",""),"　","")))</f>
        <v/>
      </c>
      <c r="H3445" s="2" t="str">
        <f aca="false">IF($G3445="","",4キー同時!$B$123)</f>
        <v/>
      </c>
      <c r="I3445" s="2" t="str">
        <f aca="false">IF($G3445="","",4キー同時!$G$123)</f>
        <v/>
      </c>
      <c r="J3445" s="2" t="str">
        <f aca="false">IF($G3445="","",4キー同時!$L$123)</f>
        <v/>
      </c>
      <c r="K3445" s="2" t="str">
        <f aca="false">IF($G3445="","","w")</f>
        <v/>
      </c>
      <c r="L3445" s="2" t="str">
        <f aca="false">IF($G3445="","","同時")</f>
        <v/>
      </c>
      <c r="M3445" s="2" t="str">
        <f aca="false">IF($G3445="","",IF(ISNA(MATCH($G3445,個別指定!$A:$A,0)),"行なし",""))</f>
        <v/>
      </c>
      <c r="N3445" s="2" t="str">
        <f aca="false">IF($G3445="","",IF(COUNTIF($G$2:$G$4460,$G3445)&gt;1,"重複",""))</f>
        <v/>
      </c>
    </row>
    <row r="3446" customFormat="false" ht="16.5" hidden="false" customHeight="true" outlineLevel="0" collapsed="false">
      <c r="A3446" s="2" t="s">
        <v>447</v>
      </c>
      <c r="B3446" s="2" t="s">
        <v>457</v>
      </c>
      <c r="C3446" s="2" t="s">
        <v>14</v>
      </c>
      <c r="D3446" s="2" t="str">
        <f aca="false">IF(4キー同時!$B$123="","",4キー同時!$B$123)</f>
        <v/>
      </c>
      <c r="E3446" s="2" t="str">
        <f aca="false">IF(4キー同時!$G$123="","",4キー同時!$G$123)</f>
        <v/>
      </c>
      <c r="F3446" s="2" t="str">
        <f aca="false">IF(4キー同時!$L$123="","",4キー同時!$L$123)</f>
        <v/>
      </c>
      <c r="G3446" s="2" t="str">
        <f aca="false">IF(OR(4キー同時!$B$123="",4キー同時!$G$123="",4キー同時!$L$123=""),"",IF(4キー同時!P127="","",SUBSTITUTE(SUBSTITUTE(4キー同時!P127," ",""),"　","")))</f>
        <v/>
      </c>
      <c r="H3446" s="2" t="str">
        <f aca="false">IF($G3446="","",4キー同時!$B$123)</f>
        <v/>
      </c>
      <c r="I3446" s="2" t="str">
        <f aca="false">IF($G3446="","",4キー同時!$G$123)</f>
        <v/>
      </c>
      <c r="J3446" s="2" t="str">
        <f aca="false">IF($G3446="","",4キー同時!$L$123)</f>
        <v/>
      </c>
      <c r="K3446" s="2" t="str">
        <f aca="false">IF($G3446="","","e")</f>
        <v/>
      </c>
      <c r="L3446" s="2" t="str">
        <f aca="false">IF($G3446="","","同時")</f>
        <v/>
      </c>
      <c r="M3446" s="2" t="str">
        <f aca="false">IF($G3446="","",IF(ISNA(MATCH($G3446,個別指定!$A:$A,0)),"行なし",""))</f>
        <v/>
      </c>
      <c r="N3446" s="2" t="str">
        <f aca="false">IF($G3446="","",IF(COUNTIF($G$2:$G$4460,$G3446)&gt;1,"重複",""))</f>
        <v/>
      </c>
    </row>
    <row r="3447" customFormat="false" ht="16.5" hidden="false" customHeight="true" outlineLevel="0" collapsed="false">
      <c r="A3447" s="2" t="s">
        <v>447</v>
      </c>
      <c r="B3447" s="2" t="s">
        <v>457</v>
      </c>
      <c r="C3447" s="2" t="s">
        <v>15</v>
      </c>
      <c r="D3447" s="2" t="str">
        <f aca="false">IF(4キー同時!$B$123="","",4キー同時!$B$123)</f>
        <v/>
      </c>
      <c r="E3447" s="2" t="str">
        <f aca="false">IF(4キー同時!$G$123="","",4キー同時!$G$123)</f>
        <v/>
      </c>
      <c r="F3447" s="2" t="str">
        <f aca="false">IF(4キー同時!$L$123="","",4キー同時!$L$123)</f>
        <v/>
      </c>
      <c r="G3447" s="2" t="str">
        <f aca="false">IF(OR(4キー同時!$B$123="",4キー同時!$G$123="",4キー同時!$L$123=""),"",IF(4キー同時!T127="","",SUBSTITUTE(SUBSTITUTE(4キー同時!T127," ",""),"　","")))</f>
        <v/>
      </c>
      <c r="H3447" s="2" t="str">
        <f aca="false">IF($G3447="","",4キー同時!$B$123)</f>
        <v/>
      </c>
      <c r="I3447" s="2" t="str">
        <f aca="false">IF($G3447="","",4キー同時!$G$123)</f>
        <v/>
      </c>
      <c r="J3447" s="2" t="str">
        <f aca="false">IF($G3447="","",4キー同時!$L$123)</f>
        <v/>
      </c>
      <c r="K3447" s="2" t="str">
        <f aca="false">IF($G3447="","","r")</f>
        <v/>
      </c>
      <c r="L3447" s="2" t="str">
        <f aca="false">IF($G3447="","","同時")</f>
        <v/>
      </c>
      <c r="M3447" s="2" t="str">
        <f aca="false">IF($G3447="","",IF(ISNA(MATCH($G3447,個別指定!$A:$A,0)),"行なし",""))</f>
        <v/>
      </c>
      <c r="N3447" s="2" t="str">
        <f aca="false">IF($G3447="","",IF(COUNTIF($G$2:$G$4460,$G3447)&gt;1,"重複",""))</f>
        <v/>
      </c>
    </row>
    <row r="3448" customFormat="false" ht="16.5" hidden="false" customHeight="true" outlineLevel="0" collapsed="false">
      <c r="A3448" s="2" t="s">
        <v>447</v>
      </c>
      <c r="B3448" s="2" t="s">
        <v>457</v>
      </c>
      <c r="C3448" s="2" t="s">
        <v>16</v>
      </c>
      <c r="D3448" s="2" t="str">
        <f aca="false">IF(4キー同時!$B$123="","",4キー同時!$B$123)</f>
        <v/>
      </c>
      <c r="E3448" s="2" t="str">
        <f aca="false">IF(4キー同時!$G$123="","",4キー同時!$G$123)</f>
        <v/>
      </c>
      <c r="F3448" s="2" t="str">
        <f aca="false">IF(4キー同時!$L$123="","",4キー同時!$L$123)</f>
        <v/>
      </c>
      <c r="G3448" s="2" t="str">
        <f aca="false">IF(OR(4キー同時!$B$123="",4キー同時!$G$123="",4キー同時!$L$123=""),"",IF(4キー同時!X127="","",SUBSTITUTE(SUBSTITUTE(4キー同時!X127," ",""),"　","")))</f>
        <v/>
      </c>
      <c r="H3448" s="2" t="str">
        <f aca="false">IF($G3448="","",4キー同時!$B$123)</f>
        <v/>
      </c>
      <c r="I3448" s="2" t="str">
        <f aca="false">IF($G3448="","",4キー同時!$G$123)</f>
        <v/>
      </c>
      <c r="J3448" s="2" t="str">
        <f aca="false">IF($G3448="","",4キー同時!$L$123)</f>
        <v/>
      </c>
      <c r="K3448" s="2" t="str">
        <f aca="false">IF($G3448="","","t")</f>
        <v/>
      </c>
      <c r="L3448" s="2" t="str">
        <f aca="false">IF($G3448="","","同時")</f>
        <v/>
      </c>
      <c r="M3448" s="2" t="str">
        <f aca="false">IF($G3448="","",IF(ISNA(MATCH($G3448,個別指定!$A:$A,0)),"行なし",""))</f>
        <v/>
      </c>
      <c r="N3448" s="2" t="str">
        <f aca="false">IF($G3448="","",IF(COUNTIF($G$2:$G$4460,$G3448)&gt;1,"重複",""))</f>
        <v/>
      </c>
    </row>
    <row r="3449" customFormat="false" ht="16.5" hidden="false" customHeight="true" outlineLevel="0" collapsed="false">
      <c r="A3449" s="2" t="s">
        <v>447</v>
      </c>
      <c r="B3449" s="2" t="s">
        <v>457</v>
      </c>
      <c r="C3449" s="2" t="s">
        <v>17</v>
      </c>
      <c r="D3449" s="2" t="str">
        <f aca="false">IF(4キー同時!$B$123="","",4キー同時!$B$123)</f>
        <v/>
      </c>
      <c r="E3449" s="2" t="str">
        <f aca="false">IF(4キー同時!$G$123="","",4キー同時!$G$123)</f>
        <v/>
      </c>
      <c r="F3449" s="2" t="str">
        <f aca="false">IF(4キー同時!$L$123="","",4キー同時!$L$123)</f>
        <v/>
      </c>
      <c r="G3449" s="2" t="str">
        <f aca="false">IF(OR(4キー同時!$B$123="",4キー同時!$G$123="",4キー同時!$L$123=""),"",IF(4キー同時!AB127="","",SUBSTITUTE(SUBSTITUTE(4キー同時!AB127," ",""),"　","")))</f>
        <v/>
      </c>
      <c r="H3449" s="2" t="str">
        <f aca="false">IF($G3449="","",4キー同時!$B$123)</f>
        <v/>
      </c>
      <c r="I3449" s="2" t="str">
        <f aca="false">IF($G3449="","",4キー同時!$G$123)</f>
        <v/>
      </c>
      <c r="J3449" s="2" t="str">
        <f aca="false">IF($G3449="","",4キー同時!$L$123)</f>
        <v/>
      </c>
      <c r="K3449" s="2" t="str">
        <f aca="false">IF($G3449="","","y")</f>
        <v/>
      </c>
      <c r="L3449" s="2" t="str">
        <f aca="false">IF($G3449="","","同時")</f>
        <v/>
      </c>
      <c r="M3449" s="2" t="str">
        <f aca="false">IF($G3449="","",IF(ISNA(MATCH($G3449,個別指定!$A:$A,0)),"行なし",""))</f>
        <v/>
      </c>
      <c r="N3449" s="2" t="str">
        <f aca="false">IF($G3449="","",IF(COUNTIF($G$2:$G$4460,$G3449)&gt;1,"重複",""))</f>
        <v/>
      </c>
    </row>
    <row r="3450" customFormat="false" ht="16.5" hidden="false" customHeight="true" outlineLevel="0" collapsed="false">
      <c r="A3450" s="2" t="s">
        <v>447</v>
      </c>
      <c r="B3450" s="2" t="s">
        <v>457</v>
      </c>
      <c r="C3450" s="2" t="s">
        <v>18</v>
      </c>
      <c r="D3450" s="2" t="str">
        <f aca="false">IF(4キー同時!$B$123="","",4キー同時!$B$123)</f>
        <v/>
      </c>
      <c r="E3450" s="2" t="str">
        <f aca="false">IF(4キー同時!$G$123="","",4キー同時!$G$123)</f>
        <v/>
      </c>
      <c r="F3450" s="2" t="str">
        <f aca="false">IF(4キー同時!$L$123="","",4キー同時!$L$123)</f>
        <v/>
      </c>
      <c r="G3450" s="2" t="str">
        <f aca="false">IF(OR(4キー同時!$B$123="",4キー同時!$G$123="",4キー同時!$L$123=""),"",IF(4キー同時!AF127="","",SUBSTITUTE(SUBSTITUTE(4キー同時!AF127," ",""),"　","")))</f>
        <v/>
      </c>
      <c r="H3450" s="2" t="str">
        <f aca="false">IF($G3450="","",4キー同時!$B$123)</f>
        <v/>
      </c>
      <c r="I3450" s="2" t="str">
        <f aca="false">IF($G3450="","",4キー同時!$G$123)</f>
        <v/>
      </c>
      <c r="J3450" s="2" t="str">
        <f aca="false">IF($G3450="","",4キー同時!$L$123)</f>
        <v/>
      </c>
      <c r="K3450" s="2" t="str">
        <f aca="false">IF($G3450="","","u")</f>
        <v/>
      </c>
      <c r="L3450" s="2" t="str">
        <f aca="false">IF($G3450="","","同時")</f>
        <v/>
      </c>
      <c r="M3450" s="2" t="str">
        <f aca="false">IF($G3450="","",IF(ISNA(MATCH($G3450,個別指定!$A:$A,0)),"行なし",""))</f>
        <v/>
      </c>
      <c r="N3450" s="2" t="str">
        <f aca="false">IF($G3450="","",IF(COUNTIF($G$2:$G$4460,$G3450)&gt;1,"重複",""))</f>
        <v/>
      </c>
    </row>
    <row r="3451" customFormat="false" ht="16.5" hidden="false" customHeight="true" outlineLevel="0" collapsed="false">
      <c r="A3451" s="2" t="s">
        <v>447</v>
      </c>
      <c r="B3451" s="2" t="s">
        <v>457</v>
      </c>
      <c r="C3451" s="2" t="s">
        <v>19</v>
      </c>
      <c r="D3451" s="2" t="str">
        <f aca="false">IF(4キー同時!$B$123="","",4キー同時!$B$123)</f>
        <v/>
      </c>
      <c r="E3451" s="2" t="str">
        <f aca="false">IF(4キー同時!$G$123="","",4キー同時!$G$123)</f>
        <v/>
      </c>
      <c r="F3451" s="2" t="str">
        <f aca="false">IF(4キー同時!$L$123="","",4キー同時!$L$123)</f>
        <v/>
      </c>
      <c r="G3451" s="2" t="str">
        <f aca="false">IF(OR(4キー同時!$B$123="",4キー同時!$G$123="",4キー同時!$L$123=""),"",IF(4キー同時!AJ127="","",SUBSTITUTE(SUBSTITUTE(4キー同時!AJ127," ",""),"　","")))</f>
        <v/>
      </c>
      <c r="H3451" s="2" t="str">
        <f aca="false">IF($G3451="","",4キー同時!$B$123)</f>
        <v/>
      </c>
      <c r="I3451" s="2" t="str">
        <f aca="false">IF($G3451="","",4キー同時!$G$123)</f>
        <v/>
      </c>
      <c r="J3451" s="2" t="str">
        <f aca="false">IF($G3451="","",4キー同時!$L$123)</f>
        <v/>
      </c>
      <c r="K3451" s="2" t="str">
        <f aca="false">IF($G3451="","","i")</f>
        <v/>
      </c>
      <c r="L3451" s="2" t="str">
        <f aca="false">IF($G3451="","","同時")</f>
        <v/>
      </c>
      <c r="M3451" s="2" t="str">
        <f aca="false">IF($G3451="","",IF(ISNA(MATCH($G3451,個別指定!$A:$A,0)),"行なし",""))</f>
        <v/>
      </c>
      <c r="N3451" s="2" t="str">
        <f aca="false">IF($G3451="","",IF(COUNTIF($G$2:$G$4460,$G3451)&gt;1,"重複",""))</f>
        <v/>
      </c>
    </row>
    <row r="3452" customFormat="false" ht="16.5" hidden="false" customHeight="true" outlineLevel="0" collapsed="false">
      <c r="A3452" s="2" t="s">
        <v>447</v>
      </c>
      <c r="B3452" s="2" t="s">
        <v>457</v>
      </c>
      <c r="C3452" s="2" t="s">
        <v>20</v>
      </c>
      <c r="D3452" s="2" t="str">
        <f aca="false">IF(4キー同時!$B$123="","",4キー同時!$B$123)</f>
        <v/>
      </c>
      <c r="E3452" s="2" t="str">
        <f aca="false">IF(4キー同時!$G$123="","",4キー同時!$G$123)</f>
        <v/>
      </c>
      <c r="F3452" s="2" t="str">
        <f aca="false">IF(4キー同時!$L$123="","",4キー同時!$L$123)</f>
        <v/>
      </c>
      <c r="G3452" s="2" t="str">
        <f aca="false">IF(OR(4キー同時!$B$123="",4キー同時!$G$123="",4キー同時!$L$123=""),"",IF(4キー同時!AN127="","",SUBSTITUTE(SUBSTITUTE(4キー同時!AN127," ",""),"　","")))</f>
        <v/>
      </c>
      <c r="H3452" s="2" t="str">
        <f aca="false">IF($G3452="","",4キー同時!$B$123)</f>
        <v/>
      </c>
      <c r="I3452" s="2" t="str">
        <f aca="false">IF($G3452="","",4キー同時!$G$123)</f>
        <v/>
      </c>
      <c r="J3452" s="2" t="str">
        <f aca="false">IF($G3452="","",4キー同時!$L$123)</f>
        <v/>
      </c>
      <c r="K3452" s="2" t="str">
        <f aca="false">IF($G3452="","","o")</f>
        <v/>
      </c>
      <c r="L3452" s="2" t="str">
        <f aca="false">IF($G3452="","","同時")</f>
        <v/>
      </c>
      <c r="M3452" s="2" t="str">
        <f aca="false">IF($G3452="","",IF(ISNA(MATCH($G3452,個別指定!$A:$A,0)),"行なし",""))</f>
        <v/>
      </c>
      <c r="N3452" s="2" t="str">
        <f aca="false">IF($G3452="","",IF(COUNTIF($G$2:$G$4460,$G3452)&gt;1,"重複",""))</f>
        <v/>
      </c>
    </row>
    <row r="3453" customFormat="false" ht="16.5" hidden="false" customHeight="true" outlineLevel="0" collapsed="false">
      <c r="A3453" s="2" t="s">
        <v>447</v>
      </c>
      <c r="B3453" s="2" t="s">
        <v>457</v>
      </c>
      <c r="C3453" s="2" t="s">
        <v>21</v>
      </c>
      <c r="D3453" s="2" t="str">
        <f aca="false">IF(4キー同時!$B$123="","",4キー同時!$B$123)</f>
        <v/>
      </c>
      <c r="E3453" s="2" t="str">
        <f aca="false">IF(4キー同時!$G$123="","",4キー同時!$G$123)</f>
        <v/>
      </c>
      <c r="F3453" s="2" t="str">
        <f aca="false">IF(4キー同時!$L$123="","",4キー同時!$L$123)</f>
        <v/>
      </c>
      <c r="G3453" s="2" t="str">
        <f aca="false">IF(OR(4キー同時!$B$123="",4キー同時!$G$123="",4キー同時!$L$123=""),"",IF(4キー同時!AR127="","",SUBSTITUTE(SUBSTITUTE(4キー同時!AR127," ",""),"　","")))</f>
        <v/>
      </c>
      <c r="H3453" s="2" t="str">
        <f aca="false">IF($G3453="","",4キー同時!$B$123)</f>
        <v/>
      </c>
      <c r="I3453" s="2" t="str">
        <f aca="false">IF($G3453="","",4キー同時!$G$123)</f>
        <v/>
      </c>
      <c r="J3453" s="2" t="str">
        <f aca="false">IF($G3453="","",4キー同時!$L$123)</f>
        <v/>
      </c>
      <c r="K3453" s="2" t="str">
        <f aca="false">IF($G3453="","","p")</f>
        <v/>
      </c>
      <c r="L3453" s="2" t="str">
        <f aca="false">IF($G3453="","","同時")</f>
        <v/>
      </c>
      <c r="M3453" s="2" t="str">
        <f aca="false">IF($G3453="","",IF(ISNA(MATCH($G3453,個別指定!$A:$A,0)),"行なし",""))</f>
        <v/>
      </c>
      <c r="N3453" s="2" t="str">
        <f aca="false">IF($G3453="","",IF(COUNTIF($G$2:$G$4460,$G3453)&gt;1,"重複",""))</f>
        <v/>
      </c>
    </row>
    <row r="3454" customFormat="false" ht="16.5" hidden="false" customHeight="true" outlineLevel="0" collapsed="false">
      <c r="A3454" s="2" t="s">
        <v>447</v>
      </c>
      <c r="B3454" s="2" t="s">
        <v>457</v>
      </c>
      <c r="C3454" s="2" t="s">
        <v>22</v>
      </c>
      <c r="D3454" s="2" t="str">
        <f aca="false">IF(4キー同時!$B$123="","",4キー同時!$B$123)</f>
        <v/>
      </c>
      <c r="E3454" s="2" t="str">
        <f aca="false">IF(4キー同時!$G$123="","",4キー同時!$G$123)</f>
        <v/>
      </c>
      <c r="F3454" s="2" t="str">
        <f aca="false">IF(4キー同時!$L$123="","",4キー同時!$L$123)</f>
        <v/>
      </c>
      <c r="G3454" s="2" t="str">
        <f aca="false">IF(OR(4キー同時!$B$123="",4キー同時!$G$123="",4キー同時!$L$123=""),"",IF(4キー同時!AV127="","",SUBSTITUTE(SUBSTITUTE(4キー同時!AV127," ",""),"　","")))</f>
        <v/>
      </c>
      <c r="H3454" s="2" t="str">
        <f aca="false">IF($G3454="","",4キー同時!$B$123)</f>
        <v/>
      </c>
      <c r="I3454" s="2" t="str">
        <f aca="false">IF($G3454="","",4キー同時!$G$123)</f>
        <v/>
      </c>
      <c r="J3454" s="2" t="str">
        <f aca="false">IF($G3454="","",4キー同時!$L$123)</f>
        <v/>
      </c>
      <c r="K3454" s="2" t="str">
        <f aca="false">IF($G3454="","","[")</f>
        <v/>
      </c>
      <c r="L3454" s="2" t="str">
        <f aca="false">IF($G3454="","","同時")</f>
        <v/>
      </c>
      <c r="M3454" s="2" t="str">
        <f aca="false">IF($G3454="","",IF(ISNA(MATCH($G3454,個別指定!$A:$A,0)),"行なし",""))</f>
        <v/>
      </c>
      <c r="N3454" s="2" t="str">
        <f aca="false">IF($G3454="","",IF(COUNTIF($G$2:$G$4460,$G3454)&gt;1,"重複",""))</f>
        <v/>
      </c>
    </row>
    <row r="3455" customFormat="false" ht="16.5" hidden="false" customHeight="true" outlineLevel="0" collapsed="false">
      <c r="A3455" s="2" t="s">
        <v>447</v>
      </c>
      <c r="B3455" s="2" t="s">
        <v>457</v>
      </c>
      <c r="C3455" s="2" t="s">
        <v>23</v>
      </c>
      <c r="D3455" s="2" t="str">
        <f aca="false">IF(4キー同時!$B$123="","",4キー同時!$B$123)</f>
        <v/>
      </c>
      <c r="E3455" s="2" t="str">
        <f aca="false">IF(4キー同時!$G$123="","",4キー同時!$G$123)</f>
        <v/>
      </c>
      <c r="F3455" s="2" t="str">
        <f aca="false">IF(4キー同時!$L$123="","",4キー同時!$L$123)</f>
        <v/>
      </c>
      <c r="G3455" s="2" t="str">
        <f aca="false">IF(OR(4キー同時!$B$123="",4キー同時!$G$123="",4キー同時!$L$123=""),"",IF(4キー同時!AZ127="","",SUBSTITUTE(SUBSTITUTE(4キー同時!AZ127," ",""),"　","")))</f>
        <v/>
      </c>
      <c r="H3455" s="2" t="str">
        <f aca="false">IF($G3455="","",4キー同時!$B$123)</f>
        <v/>
      </c>
      <c r="I3455" s="2" t="str">
        <f aca="false">IF($G3455="","",4キー同時!$G$123)</f>
        <v/>
      </c>
      <c r="J3455" s="2" t="str">
        <f aca="false">IF($G3455="","",4キー同時!$L$123)</f>
        <v/>
      </c>
      <c r="K3455" s="2" t="str">
        <f aca="false">IF($G3455="","","]")</f>
        <v/>
      </c>
      <c r="L3455" s="2" t="str">
        <f aca="false">IF($G3455="","","同時")</f>
        <v/>
      </c>
      <c r="M3455" s="2" t="str">
        <f aca="false">IF($G3455="","",IF(ISNA(MATCH($G3455,個別指定!$A:$A,0)),"行なし",""))</f>
        <v/>
      </c>
      <c r="N3455" s="2" t="str">
        <f aca="false">IF($G3455="","",IF(COUNTIF($G$2:$G$4460,$G3455)&gt;1,"重複",""))</f>
        <v/>
      </c>
    </row>
    <row r="3456" customFormat="false" ht="16.5" hidden="false" customHeight="true" outlineLevel="0" collapsed="false">
      <c r="A3456" s="2" t="s">
        <v>447</v>
      </c>
      <c r="B3456" s="2" t="s">
        <v>457</v>
      </c>
      <c r="C3456" s="2" t="s">
        <v>24</v>
      </c>
      <c r="D3456" s="2" t="str">
        <f aca="false">IF(4キー同時!$B$123="","",4キー同時!$B$123)</f>
        <v/>
      </c>
      <c r="E3456" s="2" t="str">
        <f aca="false">IF(4キー同時!$G$123="","",4キー同時!$G$123)</f>
        <v/>
      </c>
      <c r="F3456" s="2" t="str">
        <f aca="false">IF(4キー同時!$L$123="","",4キー同時!$L$123)</f>
        <v/>
      </c>
      <c r="G3456" s="2" t="str">
        <f aca="false">IF(OR(4キー同時!$B$123="",4キー同時!$G$123="",4キー同時!$L$123=""),"",IF(4キー同時!I129="","",SUBSTITUTE(SUBSTITUTE(4キー同時!I129," ",""),"　","")))</f>
        <v/>
      </c>
      <c r="H3456" s="2" t="str">
        <f aca="false">IF($G3456="","",4キー同時!$B$123)</f>
        <v/>
      </c>
      <c r="I3456" s="2" t="str">
        <f aca="false">IF($G3456="","",4キー同時!$G$123)</f>
        <v/>
      </c>
      <c r="J3456" s="2" t="str">
        <f aca="false">IF($G3456="","",4キー同時!$L$123)</f>
        <v/>
      </c>
      <c r="K3456" s="2" t="str">
        <f aca="false">IF($G3456="","","a")</f>
        <v/>
      </c>
      <c r="L3456" s="2" t="str">
        <f aca="false">IF($G3456="","","同時")</f>
        <v/>
      </c>
      <c r="M3456" s="2" t="str">
        <f aca="false">IF($G3456="","",IF(ISNA(MATCH($G3456,個別指定!$A:$A,0)),"行なし",""))</f>
        <v/>
      </c>
      <c r="N3456" s="2" t="str">
        <f aca="false">IF($G3456="","",IF(COUNTIF($G$2:$G$4460,$G3456)&gt;1,"重複",""))</f>
        <v/>
      </c>
    </row>
    <row r="3457" customFormat="false" ht="16.5" hidden="false" customHeight="true" outlineLevel="0" collapsed="false">
      <c r="A3457" s="2" t="s">
        <v>447</v>
      </c>
      <c r="B3457" s="2" t="s">
        <v>457</v>
      </c>
      <c r="C3457" s="2" t="s">
        <v>25</v>
      </c>
      <c r="D3457" s="2" t="str">
        <f aca="false">IF(4キー同時!$B$123="","",4キー同時!$B$123)</f>
        <v/>
      </c>
      <c r="E3457" s="2" t="str">
        <f aca="false">IF(4キー同時!$G$123="","",4キー同時!$G$123)</f>
        <v/>
      </c>
      <c r="F3457" s="2" t="str">
        <f aca="false">IF(4キー同時!$L$123="","",4キー同時!$L$123)</f>
        <v/>
      </c>
      <c r="G3457" s="2" t="str">
        <f aca="false">IF(OR(4キー同時!$B$123="",4キー同時!$G$123="",4キー同時!$L$123=""),"",IF(4キー同時!M129="","",SUBSTITUTE(SUBSTITUTE(4キー同時!M129," ",""),"　","")))</f>
        <v/>
      </c>
      <c r="H3457" s="2" t="str">
        <f aca="false">IF($G3457="","",4キー同時!$B$123)</f>
        <v/>
      </c>
      <c r="I3457" s="2" t="str">
        <f aca="false">IF($G3457="","",4キー同時!$G$123)</f>
        <v/>
      </c>
      <c r="J3457" s="2" t="str">
        <f aca="false">IF($G3457="","",4キー同時!$L$123)</f>
        <v/>
      </c>
      <c r="K3457" s="2" t="str">
        <f aca="false">IF($G3457="","","s")</f>
        <v/>
      </c>
      <c r="L3457" s="2" t="str">
        <f aca="false">IF($G3457="","","同時")</f>
        <v/>
      </c>
      <c r="M3457" s="2" t="str">
        <f aca="false">IF($G3457="","",IF(ISNA(MATCH($G3457,個別指定!$A:$A,0)),"行なし",""))</f>
        <v/>
      </c>
      <c r="N3457" s="2" t="str">
        <f aca="false">IF($G3457="","",IF(COUNTIF($G$2:$G$4460,$G3457)&gt;1,"重複",""))</f>
        <v/>
      </c>
    </row>
    <row r="3458" customFormat="false" ht="16.5" hidden="false" customHeight="true" outlineLevel="0" collapsed="false">
      <c r="A3458" s="2" t="s">
        <v>447</v>
      </c>
      <c r="B3458" s="2" t="s">
        <v>457</v>
      </c>
      <c r="C3458" s="2" t="s">
        <v>26</v>
      </c>
      <c r="D3458" s="2" t="str">
        <f aca="false">IF(4キー同時!$B$123="","",4キー同時!$B$123)</f>
        <v/>
      </c>
      <c r="E3458" s="2" t="str">
        <f aca="false">IF(4キー同時!$G$123="","",4キー同時!$G$123)</f>
        <v/>
      </c>
      <c r="F3458" s="2" t="str">
        <f aca="false">IF(4キー同時!$L$123="","",4キー同時!$L$123)</f>
        <v/>
      </c>
      <c r="G3458" s="2" t="str">
        <f aca="false">IF(OR(4キー同時!$B$123="",4キー同時!$G$123="",4キー同時!$L$123=""),"",IF(4キー同時!Q129="","",SUBSTITUTE(SUBSTITUTE(4キー同時!Q129," ",""),"　","")))</f>
        <v/>
      </c>
      <c r="H3458" s="2" t="str">
        <f aca="false">IF($G3458="","",4キー同時!$B$123)</f>
        <v/>
      </c>
      <c r="I3458" s="2" t="str">
        <f aca="false">IF($G3458="","",4キー同時!$G$123)</f>
        <v/>
      </c>
      <c r="J3458" s="2" t="str">
        <f aca="false">IF($G3458="","",4キー同時!$L$123)</f>
        <v/>
      </c>
      <c r="K3458" s="2" t="str">
        <f aca="false">IF($G3458="","","d")</f>
        <v/>
      </c>
      <c r="L3458" s="2" t="str">
        <f aca="false">IF($G3458="","","同時")</f>
        <v/>
      </c>
      <c r="M3458" s="2" t="str">
        <f aca="false">IF($G3458="","",IF(ISNA(MATCH($G3458,個別指定!$A:$A,0)),"行なし",""))</f>
        <v/>
      </c>
      <c r="N3458" s="2" t="str">
        <f aca="false">IF($G3458="","",IF(COUNTIF($G$2:$G$4460,$G3458)&gt;1,"重複",""))</f>
        <v/>
      </c>
    </row>
    <row r="3459" customFormat="false" ht="16.5" hidden="false" customHeight="true" outlineLevel="0" collapsed="false">
      <c r="A3459" s="2" t="s">
        <v>447</v>
      </c>
      <c r="B3459" s="2" t="s">
        <v>457</v>
      </c>
      <c r="C3459" s="2" t="s">
        <v>27</v>
      </c>
      <c r="D3459" s="2" t="str">
        <f aca="false">IF(4キー同時!$B$123="","",4キー同時!$B$123)</f>
        <v/>
      </c>
      <c r="E3459" s="2" t="str">
        <f aca="false">IF(4キー同時!$G$123="","",4キー同時!$G$123)</f>
        <v/>
      </c>
      <c r="F3459" s="2" t="str">
        <f aca="false">IF(4キー同時!$L$123="","",4キー同時!$L$123)</f>
        <v/>
      </c>
      <c r="G3459" s="2" t="str">
        <f aca="false">IF(OR(4キー同時!$B$123="",4キー同時!$G$123="",4キー同時!$L$123=""),"",IF(4キー同時!U129="","",SUBSTITUTE(SUBSTITUTE(4キー同時!U129," ",""),"　","")))</f>
        <v/>
      </c>
      <c r="H3459" s="2" t="str">
        <f aca="false">IF($G3459="","",4キー同時!$B$123)</f>
        <v/>
      </c>
      <c r="I3459" s="2" t="str">
        <f aca="false">IF($G3459="","",4キー同時!$G$123)</f>
        <v/>
      </c>
      <c r="J3459" s="2" t="str">
        <f aca="false">IF($G3459="","",4キー同時!$L$123)</f>
        <v/>
      </c>
      <c r="K3459" s="2" t="str">
        <f aca="false">IF($G3459="","","f")</f>
        <v/>
      </c>
      <c r="L3459" s="2" t="str">
        <f aca="false">IF($G3459="","","同時")</f>
        <v/>
      </c>
      <c r="M3459" s="2" t="str">
        <f aca="false">IF($G3459="","",IF(ISNA(MATCH($G3459,個別指定!$A:$A,0)),"行なし",""))</f>
        <v/>
      </c>
      <c r="N3459" s="2" t="str">
        <f aca="false">IF($G3459="","",IF(COUNTIF($G$2:$G$4460,$G3459)&gt;1,"重複",""))</f>
        <v/>
      </c>
    </row>
    <row r="3460" customFormat="false" ht="16.5" hidden="false" customHeight="true" outlineLevel="0" collapsed="false">
      <c r="A3460" s="2" t="s">
        <v>447</v>
      </c>
      <c r="B3460" s="2" t="s">
        <v>457</v>
      </c>
      <c r="C3460" s="2" t="s">
        <v>28</v>
      </c>
      <c r="D3460" s="2" t="str">
        <f aca="false">IF(4キー同時!$B$123="","",4キー同時!$B$123)</f>
        <v/>
      </c>
      <c r="E3460" s="2" t="str">
        <f aca="false">IF(4キー同時!$G$123="","",4キー同時!$G$123)</f>
        <v/>
      </c>
      <c r="F3460" s="2" t="str">
        <f aca="false">IF(4キー同時!$L$123="","",4キー同時!$L$123)</f>
        <v/>
      </c>
      <c r="G3460" s="2" t="str">
        <f aca="false">IF(OR(4キー同時!$B$123="",4キー同時!$G$123="",4キー同時!$L$123=""),"",IF(4キー同時!Y129="","",SUBSTITUTE(SUBSTITUTE(4キー同時!Y129," ",""),"　","")))</f>
        <v/>
      </c>
      <c r="H3460" s="2" t="str">
        <f aca="false">IF($G3460="","",4キー同時!$B$123)</f>
        <v/>
      </c>
      <c r="I3460" s="2" t="str">
        <f aca="false">IF($G3460="","",4キー同時!$G$123)</f>
        <v/>
      </c>
      <c r="J3460" s="2" t="str">
        <f aca="false">IF($G3460="","",4キー同時!$L$123)</f>
        <v/>
      </c>
      <c r="K3460" s="2" t="str">
        <f aca="false">IF($G3460="","","g")</f>
        <v/>
      </c>
      <c r="L3460" s="2" t="str">
        <f aca="false">IF($G3460="","","同時")</f>
        <v/>
      </c>
      <c r="M3460" s="2" t="str">
        <f aca="false">IF($G3460="","",IF(ISNA(MATCH($G3460,個別指定!$A:$A,0)),"行なし",""))</f>
        <v/>
      </c>
      <c r="N3460" s="2" t="str">
        <f aca="false">IF($G3460="","",IF(COUNTIF($G$2:$G$4460,$G3460)&gt;1,"重複",""))</f>
        <v/>
      </c>
    </row>
    <row r="3461" customFormat="false" ht="16.5" hidden="false" customHeight="true" outlineLevel="0" collapsed="false">
      <c r="A3461" s="2" t="s">
        <v>447</v>
      </c>
      <c r="B3461" s="2" t="s">
        <v>457</v>
      </c>
      <c r="C3461" s="2" t="s">
        <v>29</v>
      </c>
      <c r="D3461" s="2" t="str">
        <f aca="false">IF(4キー同時!$B$123="","",4キー同時!$B$123)</f>
        <v/>
      </c>
      <c r="E3461" s="2" t="str">
        <f aca="false">IF(4キー同時!$G$123="","",4キー同時!$G$123)</f>
        <v/>
      </c>
      <c r="F3461" s="2" t="str">
        <f aca="false">IF(4キー同時!$L$123="","",4キー同時!$L$123)</f>
        <v/>
      </c>
      <c r="G3461" s="2" t="str">
        <f aca="false">IF(OR(4キー同時!$B$123="",4キー同時!$G$123="",4キー同時!$L$123=""),"",IF(4キー同時!AC129="","",SUBSTITUTE(SUBSTITUTE(4キー同時!AC129," ",""),"　","")))</f>
        <v/>
      </c>
      <c r="H3461" s="2" t="str">
        <f aca="false">IF($G3461="","",4キー同時!$B$123)</f>
        <v/>
      </c>
      <c r="I3461" s="2" t="str">
        <f aca="false">IF($G3461="","",4キー同時!$G$123)</f>
        <v/>
      </c>
      <c r="J3461" s="2" t="str">
        <f aca="false">IF($G3461="","",4キー同時!$L$123)</f>
        <v/>
      </c>
      <c r="K3461" s="2" t="str">
        <f aca="false">IF($G3461="","","h")</f>
        <v/>
      </c>
      <c r="L3461" s="2" t="str">
        <f aca="false">IF($G3461="","","同時")</f>
        <v/>
      </c>
      <c r="M3461" s="2" t="str">
        <f aca="false">IF($G3461="","",IF(ISNA(MATCH($G3461,個別指定!$A:$A,0)),"行なし",""))</f>
        <v/>
      </c>
      <c r="N3461" s="2" t="str">
        <f aca="false">IF($G3461="","",IF(COUNTIF($G$2:$G$4460,$G3461)&gt;1,"重複",""))</f>
        <v/>
      </c>
    </row>
    <row r="3462" customFormat="false" ht="16.5" hidden="false" customHeight="true" outlineLevel="0" collapsed="false">
      <c r="A3462" s="2" t="s">
        <v>447</v>
      </c>
      <c r="B3462" s="2" t="s">
        <v>457</v>
      </c>
      <c r="C3462" s="2" t="s">
        <v>30</v>
      </c>
      <c r="D3462" s="2" t="str">
        <f aca="false">IF(4キー同時!$B$123="","",4キー同時!$B$123)</f>
        <v/>
      </c>
      <c r="E3462" s="2" t="str">
        <f aca="false">IF(4キー同時!$G$123="","",4キー同時!$G$123)</f>
        <v/>
      </c>
      <c r="F3462" s="2" t="str">
        <f aca="false">IF(4キー同時!$L$123="","",4キー同時!$L$123)</f>
        <v/>
      </c>
      <c r="G3462" s="2" t="str">
        <f aca="false">IF(OR(4キー同時!$B$123="",4キー同時!$G$123="",4キー同時!$L$123=""),"",IF(4キー同時!AG129="","",SUBSTITUTE(SUBSTITUTE(4キー同時!AG129," ",""),"　","")))</f>
        <v/>
      </c>
      <c r="H3462" s="2" t="str">
        <f aca="false">IF($G3462="","",4キー同時!$B$123)</f>
        <v/>
      </c>
      <c r="I3462" s="2" t="str">
        <f aca="false">IF($G3462="","",4キー同時!$G$123)</f>
        <v/>
      </c>
      <c r="J3462" s="2" t="str">
        <f aca="false">IF($G3462="","",4キー同時!$L$123)</f>
        <v/>
      </c>
      <c r="K3462" s="2" t="str">
        <f aca="false">IF($G3462="","","j")</f>
        <v/>
      </c>
      <c r="L3462" s="2" t="str">
        <f aca="false">IF($G3462="","","同時")</f>
        <v/>
      </c>
      <c r="M3462" s="2" t="str">
        <f aca="false">IF($G3462="","",IF(ISNA(MATCH($G3462,個別指定!$A:$A,0)),"行なし",""))</f>
        <v/>
      </c>
      <c r="N3462" s="2" t="str">
        <f aca="false">IF($G3462="","",IF(COUNTIF($G$2:$G$4460,$G3462)&gt;1,"重複",""))</f>
        <v/>
      </c>
    </row>
    <row r="3463" customFormat="false" ht="16.5" hidden="false" customHeight="true" outlineLevel="0" collapsed="false">
      <c r="A3463" s="2" t="s">
        <v>447</v>
      </c>
      <c r="B3463" s="2" t="s">
        <v>457</v>
      </c>
      <c r="C3463" s="2" t="s">
        <v>31</v>
      </c>
      <c r="D3463" s="2" t="str">
        <f aca="false">IF(4キー同時!$B$123="","",4キー同時!$B$123)</f>
        <v/>
      </c>
      <c r="E3463" s="2" t="str">
        <f aca="false">IF(4キー同時!$G$123="","",4キー同時!$G$123)</f>
        <v/>
      </c>
      <c r="F3463" s="2" t="str">
        <f aca="false">IF(4キー同時!$L$123="","",4キー同時!$L$123)</f>
        <v/>
      </c>
      <c r="G3463" s="2" t="str">
        <f aca="false">IF(OR(4キー同時!$B$123="",4キー同時!$G$123="",4キー同時!$L$123=""),"",IF(4キー同時!AK129="","",SUBSTITUTE(SUBSTITUTE(4キー同時!AK129," ",""),"　","")))</f>
        <v/>
      </c>
      <c r="H3463" s="2" t="str">
        <f aca="false">IF($G3463="","",4キー同時!$B$123)</f>
        <v/>
      </c>
      <c r="I3463" s="2" t="str">
        <f aca="false">IF($G3463="","",4キー同時!$G$123)</f>
        <v/>
      </c>
      <c r="J3463" s="2" t="str">
        <f aca="false">IF($G3463="","",4キー同時!$L$123)</f>
        <v/>
      </c>
      <c r="K3463" s="2" t="str">
        <f aca="false">IF($G3463="","","k")</f>
        <v/>
      </c>
      <c r="L3463" s="2" t="str">
        <f aca="false">IF($G3463="","","同時")</f>
        <v/>
      </c>
      <c r="M3463" s="2" t="str">
        <f aca="false">IF($G3463="","",IF(ISNA(MATCH($G3463,個別指定!$A:$A,0)),"行なし",""))</f>
        <v/>
      </c>
      <c r="N3463" s="2" t="str">
        <f aca="false">IF($G3463="","",IF(COUNTIF($G$2:$G$4460,$G3463)&gt;1,"重複",""))</f>
        <v/>
      </c>
    </row>
    <row r="3464" customFormat="false" ht="16.5" hidden="false" customHeight="true" outlineLevel="0" collapsed="false">
      <c r="A3464" s="2" t="s">
        <v>447</v>
      </c>
      <c r="B3464" s="2" t="s">
        <v>457</v>
      </c>
      <c r="C3464" s="2" t="s">
        <v>32</v>
      </c>
      <c r="D3464" s="2" t="str">
        <f aca="false">IF(4キー同時!$B$123="","",4キー同時!$B$123)</f>
        <v/>
      </c>
      <c r="E3464" s="2" t="str">
        <f aca="false">IF(4キー同時!$G$123="","",4キー同時!$G$123)</f>
        <v/>
      </c>
      <c r="F3464" s="2" t="str">
        <f aca="false">IF(4キー同時!$L$123="","",4キー同時!$L$123)</f>
        <v/>
      </c>
      <c r="G3464" s="2" t="str">
        <f aca="false">IF(OR(4キー同時!$B$123="",4キー同時!$G$123="",4キー同時!$L$123=""),"",IF(4キー同時!AO129="","",SUBSTITUTE(SUBSTITUTE(4キー同時!AO129," ",""),"　","")))</f>
        <v/>
      </c>
      <c r="H3464" s="2" t="str">
        <f aca="false">IF($G3464="","",4キー同時!$B$123)</f>
        <v/>
      </c>
      <c r="I3464" s="2" t="str">
        <f aca="false">IF($G3464="","",4キー同時!$G$123)</f>
        <v/>
      </c>
      <c r="J3464" s="2" t="str">
        <f aca="false">IF($G3464="","",4キー同時!$L$123)</f>
        <v/>
      </c>
      <c r="K3464" s="2" t="str">
        <f aca="false">IF($G3464="","","l")</f>
        <v/>
      </c>
      <c r="L3464" s="2" t="str">
        <f aca="false">IF($G3464="","","同時")</f>
        <v/>
      </c>
      <c r="M3464" s="2" t="str">
        <f aca="false">IF($G3464="","",IF(ISNA(MATCH($G3464,個別指定!$A:$A,0)),"行なし",""))</f>
        <v/>
      </c>
      <c r="N3464" s="2" t="str">
        <f aca="false">IF($G3464="","",IF(COUNTIF($G$2:$G$4460,$G3464)&gt;1,"重複",""))</f>
        <v/>
      </c>
    </row>
    <row r="3465" customFormat="false" ht="16.5" hidden="false" customHeight="true" outlineLevel="0" collapsed="false">
      <c r="A3465" s="2" t="s">
        <v>447</v>
      </c>
      <c r="B3465" s="2" t="s">
        <v>457</v>
      </c>
      <c r="C3465" s="2" t="s">
        <v>33</v>
      </c>
      <c r="D3465" s="2" t="str">
        <f aca="false">IF(4キー同時!$B$123="","",4キー同時!$B$123)</f>
        <v/>
      </c>
      <c r="E3465" s="2" t="str">
        <f aca="false">IF(4キー同時!$G$123="","",4キー同時!$G$123)</f>
        <v/>
      </c>
      <c r="F3465" s="2" t="str">
        <f aca="false">IF(4キー同時!$L$123="","",4キー同時!$L$123)</f>
        <v/>
      </c>
      <c r="G3465" s="2" t="str">
        <f aca="false">IF(OR(4キー同時!$B$123="",4キー同時!$G$123="",4キー同時!$L$123=""),"",IF(4キー同時!AS129="","",SUBSTITUTE(SUBSTITUTE(4キー同時!AS129," ",""),"　","")))</f>
        <v/>
      </c>
      <c r="H3465" s="2" t="str">
        <f aca="false">IF($G3465="","",4キー同時!$B$123)</f>
        <v/>
      </c>
      <c r="I3465" s="2" t="str">
        <f aca="false">IF($G3465="","",4キー同時!$G$123)</f>
        <v/>
      </c>
      <c r="J3465" s="2" t="str">
        <f aca="false">IF($G3465="","",4キー同時!$L$123)</f>
        <v/>
      </c>
      <c r="K3465" s="2" t="str">
        <f aca="false">IF($G3465="","",";")</f>
        <v/>
      </c>
      <c r="L3465" s="2" t="str">
        <f aca="false">IF($G3465="","","同時")</f>
        <v/>
      </c>
      <c r="M3465" s="2" t="str">
        <f aca="false">IF($G3465="","",IF(ISNA(MATCH($G3465,個別指定!$A:$A,0)),"行なし",""))</f>
        <v/>
      </c>
      <c r="N3465" s="2" t="str">
        <f aca="false">IF($G3465="","",IF(COUNTIF($G$2:$G$4460,$G3465)&gt;1,"重複",""))</f>
        <v/>
      </c>
    </row>
    <row r="3466" customFormat="false" ht="16.5" hidden="false" customHeight="true" outlineLevel="0" collapsed="false">
      <c r="A3466" s="2" t="s">
        <v>447</v>
      </c>
      <c r="B3466" s="2" t="s">
        <v>457</v>
      </c>
      <c r="C3466" s="2" t="s">
        <v>34</v>
      </c>
      <c r="D3466" s="2" t="str">
        <f aca="false">IF(4キー同時!$B$123="","",4キー同時!$B$123)</f>
        <v/>
      </c>
      <c r="E3466" s="2" t="str">
        <f aca="false">IF(4キー同時!$G$123="","",4キー同時!$G$123)</f>
        <v/>
      </c>
      <c r="F3466" s="2" t="str">
        <f aca="false">IF(4キー同時!$L$123="","",4キー同時!$L$123)</f>
        <v/>
      </c>
      <c r="G3466" s="2" t="str">
        <f aca="false">IF(OR(4キー同時!$B$123="",4キー同時!$G$123="",4キー同時!$L$123=""),"",IF(4キー同時!AW129="","",SUBSTITUTE(SUBSTITUTE(4キー同時!AW129," ",""),"　","")))</f>
        <v/>
      </c>
      <c r="H3466" s="2" t="str">
        <f aca="false">IF($G3466="","",4キー同時!$B$123)</f>
        <v/>
      </c>
      <c r="I3466" s="2" t="str">
        <f aca="false">IF($G3466="","",4キー同時!$G$123)</f>
        <v/>
      </c>
      <c r="J3466" s="2" t="str">
        <f aca="false">IF($G3466="","",4キー同時!$L$123)</f>
        <v/>
      </c>
      <c r="K3466" s="2" t="str">
        <f aca="false">IF($G3466="","","'")</f>
        <v/>
      </c>
      <c r="L3466" s="2" t="str">
        <f aca="false">IF($G3466="","","同時")</f>
        <v/>
      </c>
      <c r="M3466" s="2" t="str">
        <f aca="false">IF($G3466="","",IF(ISNA(MATCH($G3466,個別指定!$A:$A,0)),"行なし",""))</f>
        <v/>
      </c>
      <c r="N3466" s="2" t="str">
        <f aca="false">IF($G3466="","",IF(COUNTIF($G$2:$G$4460,$G3466)&gt;1,"重複",""))</f>
        <v/>
      </c>
    </row>
    <row r="3467" customFormat="false" ht="16.5" hidden="false" customHeight="true" outlineLevel="0" collapsed="false">
      <c r="A3467" s="2" t="s">
        <v>447</v>
      </c>
      <c r="B3467" s="2" t="s">
        <v>457</v>
      </c>
      <c r="C3467" s="2" t="s">
        <v>35</v>
      </c>
      <c r="D3467" s="2" t="str">
        <f aca="false">IF(4キー同時!$B$123="","",4キー同時!$B$123)</f>
        <v/>
      </c>
      <c r="E3467" s="2" t="str">
        <f aca="false">IF(4キー同時!$G$123="","",4キー同時!$G$123)</f>
        <v/>
      </c>
      <c r="F3467" s="2" t="str">
        <f aca="false">IF(4キー同時!$L$123="","",4キー同時!$L$123)</f>
        <v/>
      </c>
      <c r="G3467" s="2" t="str">
        <f aca="false">IF(OR(4キー同時!$B$123="",4キー同時!$G$123="",4キー同時!$L$123=""),"",IF(4キー同時!K131="","",SUBSTITUTE(SUBSTITUTE(4キー同時!K131," ",""),"　","")))</f>
        <v/>
      </c>
      <c r="H3467" s="2" t="str">
        <f aca="false">IF($G3467="","",4キー同時!$B$123)</f>
        <v/>
      </c>
      <c r="I3467" s="2" t="str">
        <f aca="false">IF($G3467="","",4キー同時!$G$123)</f>
        <v/>
      </c>
      <c r="J3467" s="2" t="str">
        <f aca="false">IF($G3467="","",4キー同時!$L$123)</f>
        <v/>
      </c>
      <c r="K3467" s="2" t="str">
        <f aca="false">IF($G3467="","","z")</f>
        <v/>
      </c>
      <c r="L3467" s="2" t="str">
        <f aca="false">IF($G3467="","","同時")</f>
        <v/>
      </c>
      <c r="M3467" s="2" t="str">
        <f aca="false">IF($G3467="","",IF(ISNA(MATCH($G3467,個別指定!$A:$A,0)),"行なし",""))</f>
        <v/>
      </c>
      <c r="N3467" s="2" t="str">
        <f aca="false">IF($G3467="","",IF(COUNTIF($G$2:$G$4460,$G3467)&gt;1,"重複",""))</f>
        <v/>
      </c>
    </row>
    <row r="3468" customFormat="false" ht="16.5" hidden="false" customHeight="true" outlineLevel="0" collapsed="false">
      <c r="A3468" s="2" t="s">
        <v>447</v>
      </c>
      <c r="B3468" s="2" t="s">
        <v>457</v>
      </c>
      <c r="C3468" s="2" t="s">
        <v>36</v>
      </c>
      <c r="D3468" s="2" t="str">
        <f aca="false">IF(4キー同時!$B$123="","",4キー同時!$B$123)</f>
        <v/>
      </c>
      <c r="E3468" s="2" t="str">
        <f aca="false">IF(4キー同時!$G$123="","",4キー同時!$G$123)</f>
        <v/>
      </c>
      <c r="F3468" s="2" t="str">
        <f aca="false">IF(4キー同時!$L$123="","",4キー同時!$L$123)</f>
        <v/>
      </c>
      <c r="G3468" s="2" t="str">
        <f aca="false">IF(OR(4キー同時!$B$123="",4キー同時!$G$123="",4キー同時!$L$123=""),"",IF(4キー同時!O131="","",SUBSTITUTE(SUBSTITUTE(4キー同時!O131," ",""),"　","")))</f>
        <v/>
      </c>
      <c r="H3468" s="2" t="str">
        <f aca="false">IF($G3468="","",4キー同時!$B$123)</f>
        <v/>
      </c>
      <c r="I3468" s="2" t="str">
        <f aca="false">IF($G3468="","",4キー同時!$G$123)</f>
        <v/>
      </c>
      <c r="J3468" s="2" t="str">
        <f aca="false">IF($G3468="","",4キー同時!$L$123)</f>
        <v/>
      </c>
      <c r="K3468" s="2" t="str">
        <f aca="false">IF($G3468="","","x")</f>
        <v/>
      </c>
      <c r="L3468" s="2" t="str">
        <f aca="false">IF($G3468="","","同時")</f>
        <v/>
      </c>
      <c r="M3468" s="2" t="str">
        <f aca="false">IF($G3468="","",IF(ISNA(MATCH($G3468,個別指定!$A:$A,0)),"行なし",""))</f>
        <v/>
      </c>
      <c r="N3468" s="2" t="str">
        <f aca="false">IF($G3468="","",IF(COUNTIF($G$2:$G$4460,$G3468)&gt;1,"重複",""))</f>
        <v/>
      </c>
    </row>
    <row r="3469" customFormat="false" ht="16.5" hidden="false" customHeight="true" outlineLevel="0" collapsed="false">
      <c r="A3469" s="2" t="s">
        <v>447</v>
      </c>
      <c r="B3469" s="2" t="s">
        <v>457</v>
      </c>
      <c r="C3469" s="2" t="s">
        <v>37</v>
      </c>
      <c r="D3469" s="2" t="str">
        <f aca="false">IF(4キー同時!$B$123="","",4キー同時!$B$123)</f>
        <v/>
      </c>
      <c r="E3469" s="2" t="str">
        <f aca="false">IF(4キー同時!$G$123="","",4キー同時!$G$123)</f>
        <v/>
      </c>
      <c r="F3469" s="2" t="str">
        <f aca="false">IF(4キー同時!$L$123="","",4キー同時!$L$123)</f>
        <v/>
      </c>
      <c r="G3469" s="2" t="str">
        <f aca="false">IF(OR(4キー同時!$B$123="",4キー同時!$G$123="",4キー同時!$L$123=""),"",IF(4キー同時!S131="","",SUBSTITUTE(SUBSTITUTE(4キー同時!S131," ",""),"　","")))</f>
        <v/>
      </c>
      <c r="H3469" s="2" t="str">
        <f aca="false">IF($G3469="","",4キー同時!$B$123)</f>
        <v/>
      </c>
      <c r="I3469" s="2" t="str">
        <f aca="false">IF($G3469="","",4キー同時!$G$123)</f>
        <v/>
      </c>
      <c r="J3469" s="2" t="str">
        <f aca="false">IF($G3469="","",4キー同時!$L$123)</f>
        <v/>
      </c>
      <c r="K3469" s="2" t="str">
        <f aca="false">IF($G3469="","","c")</f>
        <v/>
      </c>
      <c r="L3469" s="2" t="str">
        <f aca="false">IF($G3469="","","同時")</f>
        <v/>
      </c>
      <c r="M3469" s="2" t="str">
        <f aca="false">IF($G3469="","",IF(ISNA(MATCH($G3469,個別指定!$A:$A,0)),"行なし",""))</f>
        <v/>
      </c>
      <c r="N3469" s="2" t="str">
        <f aca="false">IF($G3469="","",IF(COUNTIF($G$2:$G$4460,$G3469)&gt;1,"重複",""))</f>
        <v/>
      </c>
    </row>
    <row r="3470" customFormat="false" ht="16.5" hidden="false" customHeight="true" outlineLevel="0" collapsed="false">
      <c r="A3470" s="2" t="s">
        <v>447</v>
      </c>
      <c r="B3470" s="2" t="s">
        <v>457</v>
      </c>
      <c r="C3470" s="2" t="s">
        <v>38</v>
      </c>
      <c r="D3470" s="2" t="str">
        <f aca="false">IF(4キー同時!$B$123="","",4キー同時!$B$123)</f>
        <v/>
      </c>
      <c r="E3470" s="2" t="str">
        <f aca="false">IF(4キー同時!$G$123="","",4キー同時!$G$123)</f>
        <v/>
      </c>
      <c r="F3470" s="2" t="str">
        <f aca="false">IF(4キー同時!$L$123="","",4キー同時!$L$123)</f>
        <v/>
      </c>
      <c r="G3470" s="2" t="str">
        <f aca="false">IF(OR(4キー同時!$B$123="",4キー同時!$G$123="",4キー同時!$L$123=""),"",IF(4キー同時!W131="","",SUBSTITUTE(SUBSTITUTE(4キー同時!W131," ",""),"　","")))</f>
        <v/>
      </c>
      <c r="H3470" s="2" t="str">
        <f aca="false">IF($G3470="","",4キー同時!$B$123)</f>
        <v/>
      </c>
      <c r="I3470" s="2" t="str">
        <f aca="false">IF($G3470="","",4キー同時!$G$123)</f>
        <v/>
      </c>
      <c r="J3470" s="2" t="str">
        <f aca="false">IF($G3470="","",4キー同時!$L$123)</f>
        <v/>
      </c>
      <c r="K3470" s="2" t="str">
        <f aca="false">IF($G3470="","","v")</f>
        <v/>
      </c>
      <c r="L3470" s="2" t="str">
        <f aca="false">IF($G3470="","","同時")</f>
        <v/>
      </c>
      <c r="M3470" s="2" t="str">
        <f aca="false">IF($G3470="","",IF(ISNA(MATCH($G3470,個別指定!$A:$A,0)),"行なし",""))</f>
        <v/>
      </c>
      <c r="N3470" s="2" t="str">
        <f aca="false">IF($G3470="","",IF(COUNTIF($G$2:$G$4460,$G3470)&gt;1,"重複",""))</f>
        <v/>
      </c>
    </row>
    <row r="3471" customFormat="false" ht="16.5" hidden="false" customHeight="true" outlineLevel="0" collapsed="false">
      <c r="A3471" s="2" t="s">
        <v>447</v>
      </c>
      <c r="B3471" s="2" t="s">
        <v>457</v>
      </c>
      <c r="C3471" s="2" t="s">
        <v>39</v>
      </c>
      <c r="D3471" s="2" t="str">
        <f aca="false">IF(4キー同時!$B$123="","",4キー同時!$B$123)</f>
        <v/>
      </c>
      <c r="E3471" s="2" t="str">
        <f aca="false">IF(4キー同時!$G$123="","",4キー同時!$G$123)</f>
        <v/>
      </c>
      <c r="F3471" s="2" t="str">
        <f aca="false">IF(4キー同時!$L$123="","",4キー同時!$L$123)</f>
        <v/>
      </c>
      <c r="G3471" s="2" t="str">
        <f aca="false">IF(OR(4キー同時!$B$123="",4キー同時!$G$123="",4キー同時!$L$123=""),"",IF(4キー同時!AA131="","",SUBSTITUTE(SUBSTITUTE(4キー同時!AA131," ",""),"　","")))</f>
        <v/>
      </c>
      <c r="H3471" s="2" t="str">
        <f aca="false">IF($G3471="","",4キー同時!$B$123)</f>
        <v/>
      </c>
      <c r="I3471" s="2" t="str">
        <f aca="false">IF($G3471="","",4キー同時!$G$123)</f>
        <v/>
      </c>
      <c r="J3471" s="2" t="str">
        <f aca="false">IF($G3471="","",4キー同時!$L$123)</f>
        <v/>
      </c>
      <c r="K3471" s="2" t="str">
        <f aca="false">IF($G3471="","","b")</f>
        <v/>
      </c>
      <c r="L3471" s="2" t="str">
        <f aca="false">IF($G3471="","","同時")</f>
        <v/>
      </c>
      <c r="M3471" s="2" t="str">
        <f aca="false">IF($G3471="","",IF(ISNA(MATCH($G3471,個別指定!$A:$A,0)),"行なし",""))</f>
        <v/>
      </c>
      <c r="N3471" s="2" t="str">
        <f aca="false">IF($G3471="","",IF(COUNTIF($G$2:$G$4460,$G3471)&gt;1,"重複",""))</f>
        <v/>
      </c>
    </row>
    <row r="3472" customFormat="false" ht="16.5" hidden="false" customHeight="true" outlineLevel="0" collapsed="false">
      <c r="A3472" s="2" t="s">
        <v>447</v>
      </c>
      <c r="B3472" s="2" t="s">
        <v>457</v>
      </c>
      <c r="C3472" s="2" t="s">
        <v>40</v>
      </c>
      <c r="D3472" s="2" t="str">
        <f aca="false">IF(4キー同時!$B$123="","",4キー同時!$B$123)</f>
        <v/>
      </c>
      <c r="E3472" s="2" t="str">
        <f aca="false">IF(4キー同時!$G$123="","",4キー同時!$G$123)</f>
        <v/>
      </c>
      <c r="F3472" s="2" t="str">
        <f aca="false">IF(4キー同時!$L$123="","",4キー同時!$L$123)</f>
        <v/>
      </c>
      <c r="G3472" s="2" t="str">
        <f aca="false">IF(OR(4キー同時!$B$123="",4キー同時!$G$123="",4キー同時!$L$123=""),"",IF(4キー同時!AE131="","",SUBSTITUTE(SUBSTITUTE(4キー同時!AE131," ",""),"　","")))</f>
        <v/>
      </c>
      <c r="H3472" s="2" t="str">
        <f aca="false">IF($G3472="","",4キー同時!$B$123)</f>
        <v/>
      </c>
      <c r="I3472" s="2" t="str">
        <f aca="false">IF($G3472="","",4キー同時!$G$123)</f>
        <v/>
      </c>
      <c r="J3472" s="2" t="str">
        <f aca="false">IF($G3472="","",4キー同時!$L$123)</f>
        <v/>
      </c>
      <c r="K3472" s="2" t="str">
        <f aca="false">IF($G3472="","","n")</f>
        <v/>
      </c>
      <c r="L3472" s="2" t="str">
        <f aca="false">IF($G3472="","","同時")</f>
        <v/>
      </c>
      <c r="M3472" s="2" t="str">
        <f aca="false">IF($G3472="","",IF(ISNA(MATCH($G3472,個別指定!$A:$A,0)),"行なし",""))</f>
        <v/>
      </c>
      <c r="N3472" s="2" t="str">
        <f aca="false">IF($G3472="","",IF(COUNTIF($G$2:$G$4460,$G3472)&gt;1,"重複",""))</f>
        <v/>
      </c>
    </row>
    <row r="3473" customFormat="false" ht="16.5" hidden="false" customHeight="true" outlineLevel="0" collapsed="false">
      <c r="A3473" s="2" t="s">
        <v>447</v>
      </c>
      <c r="B3473" s="2" t="s">
        <v>457</v>
      </c>
      <c r="C3473" s="2" t="s">
        <v>41</v>
      </c>
      <c r="D3473" s="2" t="str">
        <f aca="false">IF(4キー同時!$B$123="","",4キー同時!$B$123)</f>
        <v/>
      </c>
      <c r="E3473" s="2" t="str">
        <f aca="false">IF(4キー同時!$G$123="","",4キー同時!$G$123)</f>
        <v/>
      </c>
      <c r="F3473" s="2" t="str">
        <f aca="false">IF(4キー同時!$L$123="","",4キー同時!$L$123)</f>
        <v/>
      </c>
      <c r="G3473" s="2" t="str">
        <f aca="false">IF(OR(4キー同時!$B$123="",4キー同時!$G$123="",4キー同時!$L$123=""),"",IF(4キー同時!AI131="","",SUBSTITUTE(SUBSTITUTE(4キー同時!AI131," ",""),"　","")))</f>
        <v/>
      </c>
      <c r="H3473" s="2" t="str">
        <f aca="false">IF($G3473="","",4キー同時!$B$123)</f>
        <v/>
      </c>
      <c r="I3473" s="2" t="str">
        <f aca="false">IF($G3473="","",4キー同時!$G$123)</f>
        <v/>
      </c>
      <c r="J3473" s="2" t="str">
        <f aca="false">IF($G3473="","",4キー同時!$L$123)</f>
        <v/>
      </c>
      <c r="K3473" s="2" t="str">
        <f aca="false">IF($G3473="","","m")</f>
        <v/>
      </c>
      <c r="L3473" s="2" t="str">
        <f aca="false">IF($G3473="","","同時")</f>
        <v/>
      </c>
      <c r="M3473" s="2" t="str">
        <f aca="false">IF($G3473="","",IF(ISNA(MATCH($G3473,個別指定!$A:$A,0)),"行なし",""))</f>
        <v/>
      </c>
      <c r="N3473" s="2" t="str">
        <f aca="false">IF($G3473="","",IF(COUNTIF($G$2:$G$4460,$G3473)&gt;1,"重複",""))</f>
        <v/>
      </c>
    </row>
    <row r="3474" customFormat="false" ht="16.5" hidden="false" customHeight="true" outlineLevel="0" collapsed="false">
      <c r="A3474" s="2" t="s">
        <v>447</v>
      </c>
      <c r="B3474" s="2" t="s">
        <v>457</v>
      </c>
      <c r="C3474" s="2" t="s">
        <v>42</v>
      </c>
      <c r="D3474" s="2" t="str">
        <f aca="false">IF(4キー同時!$B$123="","",4キー同時!$B$123)</f>
        <v/>
      </c>
      <c r="E3474" s="2" t="str">
        <f aca="false">IF(4キー同時!$G$123="","",4キー同時!$G$123)</f>
        <v/>
      </c>
      <c r="F3474" s="2" t="str">
        <f aca="false">IF(4キー同時!$L$123="","",4キー同時!$L$123)</f>
        <v/>
      </c>
      <c r="G3474" s="2" t="str">
        <f aca="false">IF(OR(4キー同時!$B$123="",4キー同時!$G$123="",4キー同時!$L$123=""),"",IF(4キー同時!AM131="","",SUBSTITUTE(SUBSTITUTE(4キー同時!AM131," ",""),"　","")))</f>
        <v/>
      </c>
      <c r="H3474" s="2" t="str">
        <f aca="false">IF($G3474="","",4キー同時!$B$123)</f>
        <v/>
      </c>
      <c r="I3474" s="2" t="str">
        <f aca="false">IF($G3474="","",4キー同時!$G$123)</f>
        <v/>
      </c>
      <c r="J3474" s="2" t="str">
        <f aca="false">IF($G3474="","",4キー同時!$L$123)</f>
        <v/>
      </c>
      <c r="K3474" s="2" t="str">
        <f aca="false">IF($G3474="","",",")</f>
        <v/>
      </c>
      <c r="L3474" s="2" t="str">
        <f aca="false">IF($G3474="","","同時")</f>
        <v/>
      </c>
      <c r="M3474" s="2" t="str">
        <f aca="false">IF($G3474="","",IF(ISNA(MATCH($G3474,個別指定!$A:$A,0)),"行なし",""))</f>
        <v/>
      </c>
      <c r="N3474" s="2" t="str">
        <f aca="false">IF($G3474="","",IF(COUNTIF($G$2:$G$4460,$G3474)&gt;1,"重複",""))</f>
        <v/>
      </c>
    </row>
    <row r="3475" customFormat="false" ht="16.5" hidden="false" customHeight="true" outlineLevel="0" collapsed="false">
      <c r="A3475" s="2" t="s">
        <v>447</v>
      </c>
      <c r="B3475" s="2" t="s">
        <v>457</v>
      </c>
      <c r="C3475" s="2" t="s">
        <v>43</v>
      </c>
      <c r="D3475" s="2" t="str">
        <f aca="false">IF(4キー同時!$B$123="","",4キー同時!$B$123)</f>
        <v/>
      </c>
      <c r="E3475" s="2" t="str">
        <f aca="false">IF(4キー同時!$G$123="","",4キー同時!$G$123)</f>
        <v/>
      </c>
      <c r="F3475" s="2" t="str">
        <f aca="false">IF(4キー同時!$L$123="","",4キー同時!$L$123)</f>
        <v/>
      </c>
      <c r="G3475" s="2" t="str">
        <f aca="false">IF(OR(4キー同時!$B$123="",4キー同時!$G$123="",4キー同時!$L$123=""),"",IF(4キー同時!AQ131="","",SUBSTITUTE(SUBSTITUTE(4キー同時!AQ131," ",""),"　","")))</f>
        <v/>
      </c>
      <c r="H3475" s="2" t="str">
        <f aca="false">IF($G3475="","",4キー同時!$B$123)</f>
        <v/>
      </c>
      <c r="I3475" s="2" t="str">
        <f aca="false">IF($G3475="","",4キー同時!$G$123)</f>
        <v/>
      </c>
      <c r="J3475" s="2" t="str">
        <f aca="false">IF($G3475="","",4キー同時!$L$123)</f>
        <v/>
      </c>
      <c r="K3475" s="2" t="str">
        <f aca="false">IF($G3475="","",".")</f>
        <v/>
      </c>
      <c r="L3475" s="2" t="str">
        <f aca="false">IF($G3475="","","同時")</f>
        <v/>
      </c>
      <c r="M3475" s="2" t="str">
        <f aca="false">IF($G3475="","",IF(ISNA(MATCH($G3475,個別指定!$A:$A,0)),"行なし",""))</f>
        <v/>
      </c>
      <c r="N3475" s="2" t="str">
        <f aca="false">IF($G3475="","",IF(COUNTIF($G$2:$G$4460,$G3475)&gt;1,"重複",""))</f>
        <v/>
      </c>
    </row>
    <row r="3476" customFormat="false" ht="16.5" hidden="false" customHeight="true" outlineLevel="0" collapsed="false">
      <c r="A3476" s="2" t="s">
        <v>447</v>
      </c>
      <c r="B3476" s="2" t="s">
        <v>457</v>
      </c>
      <c r="C3476" s="2" t="s">
        <v>44</v>
      </c>
      <c r="D3476" s="2" t="str">
        <f aca="false">IF(4キー同時!$B$123="","",4キー同時!$B$123)</f>
        <v/>
      </c>
      <c r="E3476" s="2" t="str">
        <f aca="false">IF(4キー同時!$G$123="","",4キー同時!$G$123)</f>
        <v/>
      </c>
      <c r="F3476" s="2" t="str">
        <f aca="false">IF(4キー同時!$L$123="","",4キー同時!$L$123)</f>
        <v/>
      </c>
      <c r="G3476" s="2" t="str">
        <f aca="false">IF(OR(4キー同時!$B$123="",4キー同時!$G$123="",4キー同時!$L$123=""),"",IF(4キー同時!AU131="","",SUBSTITUTE(SUBSTITUTE(4キー同時!AU131," ",""),"　","")))</f>
        <v/>
      </c>
      <c r="H3476" s="2" t="str">
        <f aca="false">IF($G3476="","",4キー同時!$B$123)</f>
        <v/>
      </c>
      <c r="I3476" s="2" t="str">
        <f aca="false">IF($G3476="","",4キー同時!$G$123)</f>
        <v/>
      </c>
      <c r="J3476" s="2" t="str">
        <f aca="false">IF($G3476="","",4キー同時!$L$123)</f>
        <v/>
      </c>
      <c r="K3476" s="2" t="str">
        <f aca="false">IF($G3476="","","/")</f>
        <v/>
      </c>
      <c r="L3476" s="2" t="str">
        <f aca="false">IF($G3476="","","同時")</f>
        <v/>
      </c>
      <c r="M3476" s="2" t="str">
        <f aca="false">IF($G3476="","",IF(ISNA(MATCH($G3476,個別指定!$A:$A,0)),"行なし",""))</f>
        <v/>
      </c>
      <c r="N3476" s="2" t="str">
        <f aca="false">IF($G3476="","",IF(COUNTIF($G$2:$G$4460,$G3476)&gt;1,"重複",""))</f>
        <v/>
      </c>
    </row>
    <row r="3477" customFormat="false" ht="16.5" hidden="false" customHeight="true" outlineLevel="0" collapsed="false">
      <c r="A3477" s="2" t="s">
        <v>447</v>
      </c>
      <c r="B3477" s="2" t="s">
        <v>457</v>
      </c>
      <c r="C3477" s="2" t="s">
        <v>48</v>
      </c>
      <c r="D3477" s="2" t="str">
        <f aca="false">IF(4キー同時!$B$123="","",4キー同時!$B$123)</f>
        <v/>
      </c>
      <c r="E3477" s="2" t="str">
        <f aca="false">IF(4キー同時!$G$123="","",4キー同時!$G$123)</f>
        <v/>
      </c>
      <c r="F3477" s="2" t="str">
        <f aca="false">IF(4キー同時!$L$123="","",4キー同時!$L$123)</f>
        <v/>
      </c>
      <c r="G3477" s="2" t="str">
        <f aca="false">IF(OR(4キー同時!$B$123="",4キー同時!$G$123="",4キー同時!$L$123=""),"",IF(4キー同時!P133="","",SUBSTITUTE(SUBSTITUTE(4キー同時!P133," ",""),"　","")))</f>
        <v/>
      </c>
      <c r="H3477" s="2" t="str">
        <f aca="false">IF($G3477="","",4キー同時!$B$123)</f>
        <v/>
      </c>
      <c r="I3477" s="2" t="str">
        <f aca="false">IF($G3477="","",4キー同時!$G$123)</f>
        <v/>
      </c>
      <c r="J3477" s="2" t="str">
        <f aca="false">IF($G3477="","",4キー同時!$L$123)</f>
        <v/>
      </c>
      <c r="K3477" s="2" t="str">
        <f aca="false">IF($G3477="","","muhenkan")</f>
        <v/>
      </c>
      <c r="L3477" s="2" t="str">
        <f aca="false">IF($G3477="","","同時")</f>
        <v/>
      </c>
      <c r="M3477" s="2" t="str">
        <f aca="false">IF($G3477="","",IF(ISNA(MATCH($G3477,個別指定!$A:$A,0)),"行なし",""))</f>
        <v/>
      </c>
      <c r="N3477" s="2" t="str">
        <f aca="false">IF($G3477="","",IF(COUNTIF($G$2:$G$4460,$G3477)&gt;1,"重複",""))</f>
        <v/>
      </c>
    </row>
    <row r="3478" customFormat="false" ht="16.5" hidden="false" customHeight="true" outlineLevel="0" collapsed="false">
      <c r="A3478" s="2" t="s">
        <v>447</v>
      </c>
      <c r="B3478" s="2" t="s">
        <v>457</v>
      </c>
      <c r="C3478" s="2" t="s">
        <v>50</v>
      </c>
      <c r="D3478" s="2" t="str">
        <f aca="false">IF(4キー同時!$B$123="","",4キー同時!$B$123)</f>
        <v/>
      </c>
      <c r="E3478" s="2" t="str">
        <f aca="false">IF(4キー同時!$G$123="","",4キー同時!$G$123)</f>
        <v/>
      </c>
      <c r="F3478" s="2" t="str">
        <f aca="false">IF(4キー同時!$L$123="","",4キー同時!$L$123)</f>
        <v/>
      </c>
      <c r="G3478" s="2" t="str">
        <f aca="false">IF(OR(4キー同時!$B$123="",4キー同時!$G$123="",4キー同時!$L$123=""),"",IF(4キー同時!T133="","",SUBSTITUTE(SUBSTITUTE(4キー同時!T133," ",""),"　","")))</f>
        <v/>
      </c>
      <c r="H3478" s="2" t="str">
        <f aca="false">IF($G3478="","",4キー同時!$B$123)</f>
        <v/>
      </c>
      <c r="I3478" s="2" t="str">
        <f aca="false">IF($G3478="","",4キー同時!$G$123)</f>
        <v/>
      </c>
      <c r="J3478" s="2" t="str">
        <f aca="false">IF($G3478="","",4キー同時!$L$123)</f>
        <v/>
      </c>
      <c r="K3478" s="2" t="str">
        <f aca="false">IF($G3478="","","space")</f>
        <v/>
      </c>
      <c r="L3478" s="2" t="str">
        <f aca="false">IF($G3478="","","同時")</f>
        <v/>
      </c>
      <c r="M3478" s="2" t="str">
        <f aca="false">IF($G3478="","",IF(ISNA(MATCH($G3478,個別指定!$A:$A,0)),"行なし",""))</f>
        <v/>
      </c>
      <c r="N3478" s="2" t="str">
        <f aca="false">IF($G3478="","",IF(COUNTIF($G$2:$G$4460,$G3478)&gt;1,"重複",""))</f>
        <v/>
      </c>
    </row>
    <row r="3479" customFormat="false" ht="16.5" hidden="false" customHeight="true" outlineLevel="0" collapsed="false">
      <c r="A3479" s="2" t="s">
        <v>447</v>
      </c>
      <c r="B3479" s="2" t="s">
        <v>457</v>
      </c>
      <c r="C3479" s="2" t="s">
        <v>45</v>
      </c>
      <c r="D3479" s="2" t="str">
        <f aca="false">IF(4キー同時!$B$123="","",4キー同時!$B$123)</f>
        <v/>
      </c>
      <c r="E3479" s="2" t="str">
        <f aca="false">IF(4キー同時!$G$123="","",4キー同時!$G$123)</f>
        <v/>
      </c>
      <c r="F3479" s="2" t="str">
        <f aca="false">IF(4キー同時!$L$123="","",4キー同時!$L$123)</f>
        <v/>
      </c>
      <c r="G3479" s="2" t="str">
        <f aca="false">IF(OR(4キー同時!$B$123="",4キー同時!$G$123="",4キー同時!$L$123=""),"",IF(4キー同時!AL133="","",SUBSTITUTE(SUBSTITUTE(4キー同時!AL133," ",""),"　","")))</f>
        <v/>
      </c>
      <c r="H3479" s="2" t="str">
        <f aca="false">IF($G3479="","",4キー同時!$B$123)</f>
        <v/>
      </c>
      <c r="I3479" s="2" t="str">
        <f aca="false">IF($G3479="","",4キー同時!$G$123)</f>
        <v/>
      </c>
      <c r="J3479" s="2" t="str">
        <f aca="false">IF($G3479="","",4キー同時!$L$123)</f>
        <v/>
      </c>
      <c r="K3479" s="2" t="str">
        <f aca="false">IF($G3479="","","henkan")</f>
        <v/>
      </c>
      <c r="L3479" s="2" t="str">
        <f aca="false">IF($G3479="","","同時")</f>
        <v/>
      </c>
      <c r="M3479" s="2" t="str">
        <f aca="false">IF($G3479="","",IF(ISNA(MATCH($G3479,個別指定!$A:$A,0)),"行なし",""))</f>
        <v/>
      </c>
      <c r="N3479" s="2" t="str">
        <f aca="false">IF($G3479="","",IF(COUNTIF($G$2:$G$4460,$G3479)&gt;1,"重複",""))</f>
        <v/>
      </c>
    </row>
    <row r="3480" customFormat="false" ht="16.5" hidden="false" customHeight="true" outlineLevel="0" collapsed="false">
      <c r="A3480" s="2" t="s">
        <v>447</v>
      </c>
      <c r="B3480" s="2" t="s">
        <v>457</v>
      </c>
      <c r="C3480" s="2" t="s">
        <v>46</v>
      </c>
      <c r="D3480" s="2" t="str">
        <f aca="false">IF(4キー同時!$B$123="","",4キー同時!$B$123)</f>
        <v/>
      </c>
      <c r="E3480" s="2" t="str">
        <f aca="false">IF(4キー同時!$G$123="","",4キー同時!$G$123)</f>
        <v/>
      </c>
      <c r="F3480" s="2" t="str">
        <f aca="false">IF(4キー同時!$L$123="","",4キー同時!$L$123)</f>
        <v/>
      </c>
      <c r="G3480" s="2" t="str">
        <f aca="false">IF(OR(4キー同時!$B$123="",4キー同時!$G$123="",4キー同時!$L$123=""),"",IF(4キー同時!AP133="","",SUBSTITUTE(SUBSTITUTE(4キー同時!AP133," ",""),"　","")))</f>
        <v/>
      </c>
      <c r="H3480" s="2" t="str">
        <f aca="false">IF($G3480="","",4キー同時!$B$123)</f>
        <v/>
      </c>
      <c r="I3480" s="2" t="str">
        <f aca="false">IF($G3480="","",4キー同時!$G$123)</f>
        <v/>
      </c>
      <c r="J3480" s="2" t="str">
        <f aca="false">IF($G3480="","",4キー同時!$L$123)</f>
        <v/>
      </c>
      <c r="K3480" s="2" t="str">
        <f aca="false">IF($G3480="","","kana")</f>
        <v/>
      </c>
      <c r="L3480" s="2" t="str">
        <f aca="false">IF($G3480="","","同時")</f>
        <v/>
      </c>
      <c r="M3480" s="2" t="str">
        <f aca="false">IF($G3480="","",IF(ISNA(MATCH($G3480,個別指定!$A:$A,0)),"行なし",""))</f>
        <v/>
      </c>
      <c r="N3480" s="2" t="str">
        <f aca="false">IF($G3480="","",IF(COUNTIF($G$2:$G$4460,$G3480)&gt;1,"重複",""))</f>
        <v/>
      </c>
    </row>
    <row r="3481" customFormat="false" ht="16.5" hidden="false" customHeight="true" outlineLevel="0" collapsed="false">
      <c r="A3481" s="2" t="s">
        <v>447</v>
      </c>
      <c r="B3481" s="2" t="s">
        <v>458</v>
      </c>
      <c r="C3481" s="2" t="s">
        <v>0</v>
      </c>
      <c r="D3481" s="2" t="str">
        <f aca="false">IF(4キー同時!$B$136="","",4キー同時!$B$136)</f>
        <v/>
      </c>
      <c r="E3481" s="2" t="str">
        <f aca="false">IF(4キー同時!$G$136="","",4キー同時!$G$136)</f>
        <v/>
      </c>
      <c r="F3481" s="2" t="str">
        <f aca="false">IF(4キー同時!$L$136="","",4キー同時!$L$136)</f>
        <v/>
      </c>
      <c r="G3481" s="2" t="str">
        <f aca="false">IF(OR(4キー同時!$B$136="",4キー同時!$G$136="",4キー同時!$L$136=""),"",IF(4キー同時!F138="","",SUBSTITUTE(SUBSTITUTE(4キー同時!F138," ",""),"　","")))</f>
        <v/>
      </c>
      <c r="H3481" s="2" t="str">
        <f aca="false">IF($G3481="","",4キー同時!$B$136)</f>
        <v/>
      </c>
      <c r="I3481" s="2" t="str">
        <f aca="false">IF($G3481="","",4キー同時!$G$136)</f>
        <v/>
      </c>
      <c r="J3481" s="2" t="str">
        <f aca="false">IF($G3481="","",4キー同時!$L$136)</f>
        <v/>
      </c>
      <c r="K3481" s="2" t="str">
        <f aca="false">IF($G3481="","","1")</f>
        <v/>
      </c>
      <c r="L3481" s="2" t="str">
        <f aca="false">IF($G3481="","","同時")</f>
        <v/>
      </c>
      <c r="M3481" s="2" t="str">
        <f aca="false">IF($G3481="","",IF(ISNA(MATCH($G3481,個別指定!$A:$A,0)),"行なし",""))</f>
        <v/>
      </c>
      <c r="N3481" s="2" t="str">
        <f aca="false">IF($G3481="","",IF(COUNTIF($G$2:$G$4460,$G3481)&gt;1,"重複",""))</f>
        <v/>
      </c>
    </row>
    <row r="3482" customFormat="false" ht="16.5" hidden="false" customHeight="true" outlineLevel="0" collapsed="false">
      <c r="A3482" s="2" t="s">
        <v>447</v>
      </c>
      <c r="B3482" s="2" t="s">
        <v>458</v>
      </c>
      <c r="C3482" s="2" t="s">
        <v>1</v>
      </c>
      <c r="D3482" s="2" t="str">
        <f aca="false">IF(4キー同時!$B$136="","",4キー同時!$B$136)</f>
        <v/>
      </c>
      <c r="E3482" s="2" t="str">
        <f aca="false">IF(4キー同時!$G$136="","",4キー同時!$G$136)</f>
        <v/>
      </c>
      <c r="F3482" s="2" t="str">
        <f aca="false">IF(4キー同時!$L$136="","",4キー同時!$L$136)</f>
        <v/>
      </c>
      <c r="G3482" s="2" t="str">
        <f aca="false">IF(OR(4キー同時!$B$136="",4キー同時!$G$136="",4キー同時!$L$136=""),"",IF(4キー同時!J138="","",SUBSTITUTE(SUBSTITUTE(4キー同時!J138," ",""),"　","")))</f>
        <v/>
      </c>
      <c r="H3482" s="2" t="str">
        <f aca="false">IF($G3482="","",4キー同時!$B$136)</f>
        <v/>
      </c>
      <c r="I3482" s="2" t="str">
        <f aca="false">IF($G3482="","",4キー同時!$G$136)</f>
        <v/>
      </c>
      <c r="J3482" s="2" t="str">
        <f aca="false">IF($G3482="","",4キー同時!$L$136)</f>
        <v/>
      </c>
      <c r="K3482" s="2" t="str">
        <f aca="false">IF($G3482="","","2")</f>
        <v/>
      </c>
      <c r="L3482" s="2" t="str">
        <f aca="false">IF($G3482="","","同時")</f>
        <v/>
      </c>
      <c r="M3482" s="2" t="str">
        <f aca="false">IF($G3482="","",IF(ISNA(MATCH($G3482,個別指定!$A:$A,0)),"行なし",""))</f>
        <v/>
      </c>
      <c r="N3482" s="2" t="str">
        <f aca="false">IF($G3482="","",IF(COUNTIF($G$2:$G$4460,$G3482)&gt;1,"重複",""))</f>
        <v/>
      </c>
    </row>
    <row r="3483" customFormat="false" ht="16.5" hidden="false" customHeight="true" outlineLevel="0" collapsed="false">
      <c r="A3483" s="2" t="s">
        <v>447</v>
      </c>
      <c r="B3483" s="2" t="s">
        <v>458</v>
      </c>
      <c r="C3483" s="2" t="s">
        <v>2</v>
      </c>
      <c r="D3483" s="2" t="str">
        <f aca="false">IF(4キー同時!$B$136="","",4キー同時!$B$136)</f>
        <v/>
      </c>
      <c r="E3483" s="2" t="str">
        <f aca="false">IF(4キー同時!$G$136="","",4キー同時!$G$136)</f>
        <v/>
      </c>
      <c r="F3483" s="2" t="str">
        <f aca="false">IF(4キー同時!$L$136="","",4キー同時!$L$136)</f>
        <v/>
      </c>
      <c r="G3483" s="2" t="str">
        <f aca="false">IF(OR(4キー同時!$B$136="",4キー同時!$G$136="",4キー同時!$L$136=""),"",IF(4キー同時!N138="","",SUBSTITUTE(SUBSTITUTE(4キー同時!N138," ",""),"　","")))</f>
        <v/>
      </c>
      <c r="H3483" s="2" t="str">
        <f aca="false">IF($G3483="","",4キー同時!$B$136)</f>
        <v/>
      </c>
      <c r="I3483" s="2" t="str">
        <f aca="false">IF($G3483="","",4キー同時!$G$136)</f>
        <v/>
      </c>
      <c r="J3483" s="2" t="str">
        <f aca="false">IF($G3483="","",4キー同時!$L$136)</f>
        <v/>
      </c>
      <c r="K3483" s="2" t="str">
        <f aca="false">IF($G3483="","","3")</f>
        <v/>
      </c>
      <c r="L3483" s="2" t="str">
        <f aca="false">IF($G3483="","","同時")</f>
        <v/>
      </c>
      <c r="M3483" s="2" t="str">
        <f aca="false">IF($G3483="","",IF(ISNA(MATCH($G3483,個別指定!$A:$A,0)),"行なし",""))</f>
        <v/>
      </c>
      <c r="N3483" s="2" t="str">
        <f aca="false">IF($G3483="","",IF(COUNTIF($G$2:$G$4460,$G3483)&gt;1,"重複",""))</f>
        <v/>
      </c>
    </row>
    <row r="3484" customFormat="false" ht="16.5" hidden="false" customHeight="true" outlineLevel="0" collapsed="false">
      <c r="A3484" s="2" t="s">
        <v>447</v>
      </c>
      <c r="B3484" s="2" t="s">
        <v>458</v>
      </c>
      <c r="C3484" s="2" t="s">
        <v>3</v>
      </c>
      <c r="D3484" s="2" t="str">
        <f aca="false">IF(4キー同時!$B$136="","",4キー同時!$B$136)</f>
        <v/>
      </c>
      <c r="E3484" s="2" t="str">
        <f aca="false">IF(4キー同時!$G$136="","",4キー同時!$G$136)</f>
        <v/>
      </c>
      <c r="F3484" s="2" t="str">
        <f aca="false">IF(4キー同時!$L$136="","",4キー同時!$L$136)</f>
        <v/>
      </c>
      <c r="G3484" s="2" t="str">
        <f aca="false">IF(OR(4キー同時!$B$136="",4キー同時!$G$136="",4キー同時!$L$136=""),"",IF(4キー同時!R138="","",SUBSTITUTE(SUBSTITUTE(4キー同時!R138," ",""),"　","")))</f>
        <v/>
      </c>
      <c r="H3484" s="2" t="str">
        <f aca="false">IF($G3484="","",4キー同時!$B$136)</f>
        <v/>
      </c>
      <c r="I3484" s="2" t="str">
        <f aca="false">IF($G3484="","",4キー同時!$G$136)</f>
        <v/>
      </c>
      <c r="J3484" s="2" t="str">
        <f aca="false">IF($G3484="","",4キー同時!$L$136)</f>
        <v/>
      </c>
      <c r="K3484" s="2" t="str">
        <f aca="false">IF($G3484="","","4")</f>
        <v/>
      </c>
      <c r="L3484" s="2" t="str">
        <f aca="false">IF($G3484="","","同時")</f>
        <v/>
      </c>
      <c r="M3484" s="2" t="str">
        <f aca="false">IF($G3484="","",IF(ISNA(MATCH($G3484,個別指定!$A:$A,0)),"行なし",""))</f>
        <v/>
      </c>
      <c r="N3484" s="2" t="str">
        <f aca="false">IF($G3484="","",IF(COUNTIF($G$2:$G$4460,$G3484)&gt;1,"重複",""))</f>
        <v/>
      </c>
    </row>
    <row r="3485" customFormat="false" ht="16.5" hidden="false" customHeight="true" outlineLevel="0" collapsed="false">
      <c r="A3485" s="2" t="s">
        <v>447</v>
      </c>
      <c r="B3485" s="2" t="s">
        <v>458</v>
      </c>
      <c r="C3485" s="2" t="s">
        <v>4</v>
      </c>
      <c r="D3485" s="2" t="str">
        <f aca="false">IF(4キー同時!$B$136="","",4キー同時!$B$136)</f>
        <v/>
      </c>
      <c r="E3485" s="2" t="str">
        <f aca="false">IF(4キー同時!$G$136="","",4キー同時!$G$136)</f>
        <v/>
      </c>
      <c r="F3485" s="2" t="str">
        <f aca="false">IF(4キー同時!$L$136="","",4キー同時!$L$136)</f>
        <v/>
      </c>
      <c r="G3485" s="2" t="str">
        <f aca="false">IF(OR(4キー同時!$B$136="",4キー同時!$G$136="",4キー同時!$L$136=""),"",IF(4キー同時!V138="","",SUBSTITUTE(SUBSTITUTE(4キー同時!V138," ",""),"　","")))</f>
        <v/>
      </c>
      <c r="H3485" s="2" t="str">
        <f aca="false">IF($G3485="","",4キー同時!$B$136)</f>
        <v/>
      </c>
      <c r="I3485" s="2" t="str">
        <f aca="false">IF($G3485="","",4キー同時!$G$136)</f>
        <v/>
      </c>
      <c r="J3485" s="2" t="str">
        <f aca="false">IF($G3485="","",4キー同時!$L$136)</f>
        <v/>
      </c>
      <c r="K3485" s="2" t="str">
        <f aca="false">IF($G3485="","","5")</f>
        <v/>
      </c>
      <c r="L3485" s="2" t="str">
        <f aca="false">IF($G3485="","","同時")</f>
        <v/>
      </c>
      <c r="M3485" s="2" t="str">
        <f aca="false">IF($G3485="","",IF(ISNA(MATCH($G3485,個別指定!$A:$A,0)),"行なし",""))</f>
        <v/>
      </c>
      <c r="N3485" s="2" t="str">
        <f aca="false">IF($G3485="","",IF(COUNTIF($G$2:$G$4460,$G3485)&gt;1,"重複",""))</f>
        <v/>
      </c>
    </row>
    <row r="3486" customFormat="false" ht="16.5" hidden="false" customHeight="true" outlineLevel="0" collapsed="false">
      <c r="A3486" s="2" t="s">
        <v>447</v>
      </c>
      <c r="B3486" s="2" t="s">
        <v>458</v>
      </c>
      <c r="C3486" s="2" t="s">
        <v>5</v>
      </c>
      <c r="D3486" s="2" t="str">
        <f aca="false">IF(4キー同時!$B$136="","",4キー同時!$B$136)</f>
        <v/>
      </c>
      <c r="E3486" s="2" t="str">
        <f aca="false">IF(4キー同時!$G$136="","",4キー同時!$G$136)</f>
        <v/>
      </c>
      <c r="F3486" s="2" t="str">
        <f aca="false">IF(4キー同時!$L$136="","",4キー同時!$L$136)</f>
        <v/>
      </c>
      <c r="G3486" s="2" t="str">
        <f aca="false">IF(OR(4キー同時!$B$136="",4キー同時!$G$136="",4キー同時!$L$136=""),"",IF(4キー同時!Z138="","",SUBSTITUTE(SUBSTITUTE(4キー同時!Z138," ",""),"　","")))</f>
        <v/>
      </c>
      <c r="H3486" s="2" t="str">
        <f aca="false">IF($G3486="","",4キー同時!$B$136)</f>
        <v/>
      </c>
      <c r="I3486" s="2" t="str">
        <f aca="false">IF($G3486="","",4キー同時!$G$136)</f>
        <v/>
      </c>
      <c r="J3486" s="2" t="str">
        <f aca="false">IF($G3486="","",4キー同時!$L$136)</f>
        <v/>
      </c>
      <c r="K3486" s="2" t="str">
        <f aca="false">IF($G3486="","","6")</f>
        <v/>
      </c>
      <c r="L3486" s="2" t="str">
        <f aca="false">IF($G3486="","","同時")</f>
        <v/>
      </c>
      <c r="M3486" s="2" t="str">
        <f aca="false">IF($G3486="","",IF(ISNA(MATCH($G3486,個別指定!$A:$A,0)),"行なし",""))</f>
        <v/>
      </c>
      <c r="N3486" s="2" t="str">
        <f aca="false">IF($G3486="","",IF(COUNTIF($G$2:$G$4460,$G3486)&gt;1,"重複",""))</f>
        <v/>
      </c>
    </row>
    <row r="3487" customFormat="false" ht="16.5" hidden="false" customHeight="true" outlineLevel="0" collapsed="false">
      <c r="A3487" s="2" t="s">
        <v>447</v>
      </c>
      <c r="B3487" s="2" t="s">
        <v>458</v>
      </c>
      <c r="C3487" s="2" t="s">
        <v>6</v>
      </c>
      <c r="D3487" s="2" t="str">
        <f aca="false">IF(4キー同時!$B$136="","",4キー同時!$B$136)</f>
        <v/>
      </c>
      <c r="E3487" s="2" t="str">
        <f aca="false">IF(4キー同時!$G$136="","",4キー同時!$G$136)</f>
        <v/>
      </c>
      <c r="F3487" s="2" t="str">
        <f aca="false">IF(4キー同時!$L$136="","",4キー同時!$L$136)</f>
        <v/>
      </c>
      <c r="G3487" s="2" t="str">
        <f aca="false">IF(OR(4キー同時!$B$136="",4キー同時!$G$136="",4キー同時!$L$136=""),"",IF(4キー同時!AD138="","",SUBSTITUTE(SUBSTITUTE(4キー同時!AD138," ",""),"　","")))</f>
        <v/>
      </c>
      <c r="H3487" s="2" t="str">
        <f aca="false">IF($G3487="","",4キー同時!$B$136)</f>
        <v/>
      </c>
      <c r="I3487" s="2" t="str">
        <f aca="false">IF($G3487="","",4キー同時!$G$136)</f>
        <v/>
      </c>
      <c r="J3487" s="2" t="str">
        <f aca="false">IF($G3487="","",4キー同時!$L$136)</f>
        <v/>
      </c>
      <c r="K3487" s="2" t="str">
        <f aca="false">IF($G3487="","","7")</f>
        <v/>
      </c>
      <c r="L3487" s="2" t="str">
        <f aca="false">IF($G3487="","","同時")</f>
        <v/>
      </c>
      <c r="M3487" s="2" t="str">
        <f aca="false">IF($G3487="","",IF(ISNA(MATCH($G3487,個別指定!$A:$A,0)),"行なし",""))</f>
        <v/>
      </c>
      <c r="N3487" s="2" t="str">
        <f aca="false">IF($G3487="","",IF(COUNTIF($G$2:$G$4460,$G3487)&gt;1,"重複",""))</f>
        <v/>
      </c>
    </row>
    <row r="3488" customFormat="false" ht="16.5" hidden="false" customHeight="true" outlineLevel="0" collapsed="false">
      <c r="A3488" s="2" t="s">
        <v>447</v>
      </c>
      <c r="B3488" s="2" t="s">
        <v>458</v>
      </c>
      <c r="C3488" s="2" t="s">
        <v>7</v>
      </c>
      <c r="D3488" s="2" t="str">
        <f aca="false">IF(4キー同時!$B$136="","",4キー同時!$B$136)</f>
        <v/>
      </c>
      <c r="E3488" s="2" t="str">
        <f aca="false">IF(4キー同時!$G$136="","",4キー同時!$G$136)</f>
        <v/>
      </c>
      <c r="F3488" s="2" t="str">
        <f aca="false">IF(4キー同時!$L$136="","",4キー同時!$L$136)</f>
        <v/>
      </c>
      <c r="G3488" s="2" t="str">
        <f aca="false">IF(OR(4キー同時!$B$136="",4キー同時!$G$136="",4キー同時!$L$136=""),"",IF(4キー同時!AH138="","",SUBSTITUTE(SUBSTITUTE(4キー同時!AH138," ",""),"　","")))</f>
        <v/>
      </c>
      <c r="H3488" s="2" t="str">
        <f aca="false">IF($G3488="","",4キー同時!$B$136)</f>
        <v/>
      </c>
      <c r="I3488" s="2" t="str">
        <f aca="false">IF($G3488="","",4キー同時!$G$136)</f>
        <v/>
      </c>
      <c r="J3488" s="2" t="str">
        <f aca="false">IF($G3488="","",4キー同時!$L$136)</f>
        <v/>
      </c>
      <c r="K3488" s="2" t="str">
        <f aca="false">IF($G3488="","","8")</f>
        <v/>
      </c>
      <c r="L3488" s="2" t="str">
        <f aca="false">IF($G3488="","","同時")</f>
        <v/>
      </c>
      <c r="M3488" s="2" t="str">
        <f aca="false">IF($G3488="","",IF(ISNA(MATCH($G3488,個別指定!$A:$A,0)),"行なし",""))</f>
        <v/>
      </c>
      <c r="N3488" s="2" t="str">
        <f aca="false">IF($G3488="","",IF(COUNTIF($G$2:$G$4460,$G3488)&gt;1,"重複",""))</f>
        <v/>
      </c>
    </row>
    <row r="3489" customFormat="false" ht="16.5" hidden="false" customHeight="true" outlineLevel="0" collapsed="false">
      <c r="A3489" s="2" t="s">
        <v>447</v>
      </c>
      <c r="B3489" s="2" t="s">
        <v>458</v>
      </c>
      <c r="C3489" s="2" t="s">
        <v>8</v>
      </c>
      <c r="D3489" s="2" t="str">
        <f aca="false">IF(4キー同時!$B$136="","",4キー同時!$B$136)</f>
        <v/>
      </c>
      <c r="E3489" s="2" t="str">
        <f aca="false">IF(4キー同時!$G$136="","",4キー同時!$G$136)</f>
        <v/>
      </c>
      <c r="F3489" s="2" t="str">
        <f aca="false">IF(4キー同時!$L$136="","",4キー同時!$L$136)</f>
        <v/>
      </c>
      <c r="G3489" s="2" t="str">
        <f aca="false">IF(OR(4キー同時!$B$136="",4キー同時!$G$136="",4キー同時!$L$136=""),"",IF(4キー同時!AL138="","",SUBSTITUTE(SUBSTITUTE(4キー同時!AL138," ",""),"　","")))</f>
        <v/>
      </c>
      <c r="H3489" s="2" t="str">
        <f aca="false">IF($G3489="","",4キー同時!$B$136)</f>
        <v/>
      </c>
      <c r="I3489" s="2" t="str">
        <f aca="false">IF($G3489="","",4キー同時!$G$136)</f>
        <v/>
      </c>
      <c r="J3489" s="2" t="str">
        <f aca="false">IF($G3489="","",4キー同時!$L$136)</f>
        <v/>
      </c>
      <c r="K3489" s="2" t="str">
        <f aca="false">IF($G3489="","","9")</f>
        <v/>
      </c>
      <c r="L3489" s="2" t="str">
        <f aca="false">IF($G3489="","","同時")</f>
        <v/>
      </c>
      <c r="M3489" s="2" t="str">
        <f aca="false">IF($G3489="","",IF(ISNA(MATCH($G3489,個別指定!$A:$A,0)),"行なし",""))</f>
        <v/>
      </c>
      <c r="N3489" s="2" t="str">
        <f aca="false">IF($G3489="","",IF(COUNTIF($G$2:$G$4460,$G3489)&gt;1,"重複",""))</f>
        <v/>
      </c>
    </row>
    <row r="3490" customFormat="false" ht="16.5" hidden="false" customHeight="true" outlineLevel="0" collapsed="false">
      <c r="A3490" s="2" t="s">
        <v>447</v>
      </c>
      <c r="B3490" s="2" t="s">
        <v>458</v>
      </c>
      <c r="C3490" s="2" t="s">
        <v>9</v>
      </c>
      <c r="D3490" s="2" t="str">
        <f aca="false">IF(4キー同時!$B$136="","",4キー同時!$B$136)</f>
        <v/>
      </c>
      <c r="E3490" s="2" t="str">
        <f aca="false">IF(4キー同時!$G$136="","",4キー同時!$G$136)</f>
        <v/>
      </c>
      <c r="F3490" s="2" t="str">
        <f aca="false">IF(4キー同時!$L$136="","",4キー同時!$L$136)</f>
        <v/>
      </c>
      <c r="G3490" s="2" t="str">
        <f aca="false">IF(OR(4キー同時!$B$136="",4キー同時!$G$136="",4キー同時!$L$136=""),"",IF(4キー同時!AP138="","",SUBSTITUTE(SUBSTITUTE(4キー同時!AP138," ",""),"　","")))</f>
        <v/>
      </c>
      <c r="H3490" s="2" t="str">
        <f aca="false">IF($G3490="","",4キー同時!$B$136)</f>
        <v/>
      </c>
      <c r="I3490" s="2" t="str">
        <f aca="false">IF($G3490="","",4キー同時!$G$136)</f>
        <v/>
      </c>
      <c r="J3490" s="2" t="str">
        <f aca="false">IF($G3490="","",4キー同時!$L$136)</f>
        <v/>
      </c>
      <c r="K3490" s="2" t="str">
        <f aca="false">IF($G3490="","","0")</f>
        <v/>
      </c>
      <c r="L3490" s="2" t="str">
        <f aca="false">IF($G3490="","","同時")</f>
        <v/>
      </c>
      <c r="M3490" s="2" t="str">
        <f aca="false">IF($G3490="","",IF(ISNA(MATCH($G3490,個別指定!$A:$A,0)),"行なし",""))</f>
        <v/>
      </c>
      <c r="N3490" s="2" t="str">
        <f aca="false">IF($G3490="","",IF(COUNTIF($G$2:$G$4460,$G3490)&gt;1,"重複",""))</f>
        <v/>
      </c>
    </row>
    <row r="3491" customFormat="false" ht="16.5" hidden="false" customHeight="true" outlineLevel="0" collapsed="false">
      <c r="A3491" s="2" t="s">
        <v>447</v>
      </c>
      <c r="B3491" s="2" t="s">
        <v>458</v>
      </c>
      <c r="C3491" s="2" t="s">
        <v>10</v>
      </c>
      <c r="D3491" s="2" t="str">
        <f aca="false">IF(4キー同時!$B$136="","",4キー同時!$B$136)</f>
        <v/>
      </c>
      <c r="E3491" s="2" t="str">
        <f aca="false">IF(4キー同時!$G$136="","",4キー同時!$G$136)</f>
        <v/>
      </c>
      <c r="F3491" s="2" t="str">
        <f aca="false">IF(4キー同時!$L$136="","",4キー同時!$L$136)</f>
        <v/>
      </c>
      <c r="G3491" s="2" t="str">
        <f aca="false">IF(OR(4キー同時!$B$136="",4キー同時!$G$136="",4キー同時!$L$136=""),"",IF(4キー同時!AT138="","",SUBSTITUTE(SUBSTITUTE(4キー同時!AT138," ",""),"　","")))</f>
        <v/>
      </c>
      <c r="H3491" s="2" t="str">
        <f aca="false">IF($G3491="","",4キー同時!$B$136)</f>
        <v/>
      </c>
      <c r="I3491" s="2" t="str">
        <f aca="false">IF($G3491="","",4キー同時!$G$136)</f>
        <v/>
      </c>
      <c r="J3491" s="2" t="str">
        <f aca="false">IF($G3491="","",4キー同時!$L$136)</f>
        <v/>
      </c>
      <c r="K3491" s="2" t="str">
        <f aca="false">IF($G3491="","","-")</f>
        <v/>
      </c>
      <c r="L3491" s="2" t="str">
        <f aca="false">IF($G3491="","","同時")</f>
        <v/>
      </c>
      <c r="M3491" s="2" t="str">
        <f aca="false">IF($G3491="","",IF(ISNA(MATCH($G3491,個別指定!$A:$A,0)),"行なし",""))</f>
        <v/>
      </c>
      <c r="N3491" s="2" t="str">
        <f aca="false">IF($G3491="","",IF(COUNTIF($G$2:$G$4460,$G3491)&gt;1,"重複",""))</f>
        <v/>
      </c>
    </row>
    <row r="3492" customFormat="false" ht="16.5" hidden="false" customHeight="true" outlineLevel="0" collapsed="false">
      <c r="A3492" s="2" t="s">
        <v>447</v>
      </c>
      <c r="B3492" s="2" t="s">
        <v>458</v>
      </c>
      <c r="C3492" s="2" t="s">
        <v>11</v>
      </c>
      <c r="D3492" s="2" t="str">
        <f aca="false">IF(4キー同時!$B$136="","",4キー同時!$B$136)</f>
        <v/>
      </c>
      <c r="E3492" s="2" t="str">
        <f aca="false">IF(4キー同時!$G$136="","",4キー同時!$G$136)</f>
        <v/>
      </c>
      <c r="F3492" s="2" t="str">
        <f aca="false">IF(4キー同時!$L$136="","",4キー同時!$L$136)</f>
        <v/>
      </c>
      <c r="G3492" s="2" t="str">
        <f aca="false">IF(OR(4キー同時!$B$136="",4キー同時!$G$136="",4キー同時!$L$136=""),"",IF(4キー同時!AX138="","",SUBSTITUTE(SUBSTITUTE(4キー同時!AX138," ",""),"　","")))</f>
        <v/>
      </c>
      <c r="H3492" s="2" t="str">
        <f aca="false">IF($G3492="","",4キー同時!$B$136)</f>
        <v/>
      </c>
      <c r="I3492" s="2" t="str">
        <f aca="false">IF($G3492="","",4キー同時!$G$136)</f>
        <v/>
      </c>
      <c r="J3492" s="2" t="str">
        <f aca="false">IF($G3492="","",4キー同時!$L$136)</f>
        <v/>
      </c>
      <c r="K3492" s="2" t="str">
        <f aca="false">IF($G3492="","","=")</f>
        <v/>
      </c>
      <c r="L3492" s="2" t="str">
        <f aca="false">IF($G3492="","","同時")</f>
        <v/>
      </c>
      <c r="M3492" s="2" t="str">
        <f aca="false">IF($G3492="","",IF(ISNA(MATCH($G3492,個別指定!$A:$A,0)),"行なし",""))</f>
        <v/>
      </c>
      <c r="N3492" s="2" t="str">
        <f aca="false">IF($G3492="","",IF(COUNTIF($G$2:$G$4460,$G3492)&gt;1,"重複",""))</f>
        <v/>
      </c>
    </row>
    <row r="3493" customFormat="false" ht="16.5" hidden="false" customHeight="true" outlineLevel="0" collapsed="false">
      <c r="A3493" s="2" t="s">
        <v>447</v>
      </c>
      <c r="B3493" s="2" t="s">
        <v>458</v>
      </c>
      <c r="C3493" s="2" t="s">
        <v>12</v>
      </c>
      <c r="D3493" s="2" t="str">
        <f aca="false">IF(4キー同時!$B$136="","",4キー同時!$B$136)</f>
        <v/>
      </c>
      <c r="E3493" s="2" t="str">
        <f aca="false">IF(4キー同時!$G$136="","",4キー同時!$G$136)</f>
        <v/>
      </c>
      <c r="F3493" s="2" t="str">
        <f aca="false">IF(4キー同時!$L$136="","",4キー同時!$L$136)</f>
        <v/>
      </c>
      <c r="G3493" s="2" t="str">
        <f aca="false">IF(OR(4キー同時!$B$136="",4キー同時!$G$136="",4キー同時!$L$136=""),"",IF(4キー同時!H140="","",SUBSTITUTE(SUBSTITUTE(4キー同時!H140," ",""),"　","")))</f>
        <v/>
      </c>
      <c r="H3493" s="2" t="str">
        <f aca="false">IF($G3493="","",4キー同時!$B$136)</f>
        <v/>
      </c>
      <c r="I3493" s="2" t="str">
        <f aca="false">IF($G3493="","",4キー同時!$G$136)</f>
        <v/>
      </c>
      <c r="J3493" s="2" t="str">
        <f aca="false">IF($G3493="","",4キー同時!$L$136)</f>
        <v/>
      </c>
      <c r="K3493" s="2" t="str">
        <f aca="false">IF($G3493="","","q")</f>
        <v/>
      </c>
      <c r="L3493" s="2" t="str">
        <f aca="false">IF($G3493="","","同時")</f>
        <v/>
      </c>
      <c r="M3493" s="2" t="str">
        <f aca="false">IF($G3493="","",IF(ISNA(MATCH($G3493,個別指定!$A:$A,0)),"行なし",""))</f>
        <v/>
      </c>
      <c r="N3493" s="2" t="str">
        <f aca="false">IF($G3493="","",IF(COUNTIF($G$2:$G$4460,$G3493)&gt;1,"重複",""))</f>
        <v/>
      </c>
    </row>
    <row r="3494" customFormat="false" ht="16.5" hidden="false" customHeight="true" outlineLevel="0" collapsed="false">
      <c r="A3494" s="2" t="s">
        <v>447</v>
      </c>
      <c r="B3494" s="2" t="s">
        <v>458</v>
      </c>
      <c r="C3494" s="2" t="s">
        <v>13</v>
      </c>
      <c r="D3494" s="2" t="str">
        <f aca="false">IF(4キー同時!$B$136="","",4キー同時!$B$136)</f>
        <v/>
      </c>
      <c r="E3494" s="2" t="str">
        <f aca="false">IF(4キー同時!$G$136="","",4キー同時!$G$136)</f>
        <v/>
      </c>
      <c r="F3494" s="2" t="str">
        <f aca="false">IF(4キー同時!$L$136="","",4キー同時!$L$136)</f>
        <v/>
      </c>
      <c r="G3494" s="2" t="str">
        <f aca="false">IF(OR(4キー同時!$B$136="",4キー同時!$G$136="",4キー同時!$L$136=""),"",IF(4キー同時!L140="","",SUBSTITUTE(SUBSTITUTE(4キー同時!L140," ",""),"　","")))</f>
        <v/>
      </c>
      <c r="H3494" s="2" t="str">
        <f aca="false">IF($G3494="","",4キー同時!$B$136)</f>
        <v/>
      </c>
      <c r="I3494" s="2" t="str">
        <f aca="false">IF($G3494="","",4キー同時!$G$136)</f>
        <v/>
      </c>
      <c r="J3494" s="2" t="str">
        <f aca="false">IF($G3494="","",4キー同時!$L$136)</f>
        <v/>
      </c>
      <c r="K3494" s="2" t="str">
        <f aca="false">IF($G3494="","","w")</f>
        <v/>
      </c>
      <c r="L3494" s="2" t="str">
        <f aca="false">IF($G3494="","","同時")</f>
        <v/>
      </c>
      <c r="M3494" s="2" t="str">
        <f aca="false">IF($G3494="","",IF(ISNA(MATCH($G3494,個別指定!$A:$A,0)),"行なし",""))</f>
        <v/>
      </c>
      <c r="N3494" s="2" t="str">
        <f aca="false">IF($G3494="","",IF(COUNTIF($G$2:$G$4460,$G3494)&gt;1,"重複",""))</f>
        <v/>
      </c>
    </row>
    <row r="3495" customFormat="false" ht="16.5" hidden="false" customHeight="true" outlineLevel="0" collapsed="false">
      <c r="A3495" s="2" t="s">
        <v>447</v>
      </c>
      <c r="B3495" s="2" t="s">
        <v>458</v>
      </c>
      <c r="C3495" s="2" t="s">
        <v>14</v>
      </c>
      <c r="D3495" s="2" t="str">
        <f aca="false">IF(4キー同時!$B$136="","",4キー同時!$B$136)</f>
        <v/>
      </c>
      <c r="E3495" s="2" t="str">
        <f aca="false">IF(4キー同時!$G$136="","",4キー同時!$G$136)</f>
        <v/>
      </c>
      <c r="F3495" s="2" t="str">
        <f aca="false">IF(4キー同時!$L$136="","",4キー同時!$L$136)</f>
        <v/>
      </c>
      <c r="G3495" s="2" t="str">
        <f aca="false">IF(OR(4キー同時!$B$136="",4キー同時!$G$136="",4キー同時!$L$136=""),"",IF(4キー同時!P140="","",SUBSTITUTE(SUBSTITUTE(4キー同時!P140," ",""),"　","")))</f>
        <v/>
      </c>
      <c r="H3495" s="2" t="str">
        <f aca="false">IF($G3495="","",4キー同時!$B$136)</f>
        <v/>
      </c>
      <c r="I3495" s="2" t="str">
        <f aca="false">IF($G3495="","",4キー同時!$G$136)</f>
        <v/>
      </c>
      <c r="J3495" s="2" t="str">
        <f aca="false">IF($G3495="","",4キー同時!$L$136)</f>
        <v/>
      </c>
      <c r="K3495" s="2" t="str">
        <f aca="false">IF($G3495="","","e")</f>
        <v/>
      </c>
      <c r="L3495" s="2" t="str">
        <f aca="false">IF($G3495="","","同時")</f>
        <v/>
      </c>
      <c r="M3495" s="2" t="str">
        <f aca="false">IF($G3495="","",IF(ISNA(MATCH($G3495,個別指定!$A:$A,0)),"行なし",""))</f>
        <v/>
      </c>
      <c r="N3495" s="2" t="str">
        <f aca="false">IF($G3495="","",IF(COUNTIF($G$2:$G$4460,$G3495)&gt;1,"重複",""))</f>
        <v/>
      </c>
    </row>
    <row r="3496" customFormat="false" ht="16.5" hidden="false" customHeight="true" outlineLevel="0" collapsed="false">
      <c r="A3496" s="2" t="s">
        <v>447</v>
      </c>
      <c r="B3496" s="2" t="s">
        <v>458</v>
      </c>
      <c r="C3496" s="2" t="s">
        <v>15</v>
      </c>
      <c r="D3496" s="2" t="str">
        <f aca="false">IF(4キー同時!$B$136="","",4キー同時!$B$136)</f>
        <v/>
      </c>
      <c r="E3496" s="2" t="str">
        <f aca="false">IF(4キー同時!$G$136="","",4キー同時!$G$136)</f>
        <v/>
      </c>
      <c r="F3496" s="2" t="str">
        <f aca="false">IF(4キー同時!$L$136="","",4キー同時!$L$136)</f>
        <v/>
      </c>
      <c r="G3496" s="2" t="str">
        <f aca="false">IF(OR(4キー同時!$B$136="",4キー同時!$G$136="",4キー同時!$L$136=""),"",IF(4キー同時!T140="","",SUBSTITUTE(SUBSTITUTE(4キー同時!T140," ",""),"　","")))</f>
        <v/>
      </c>
      <c r="H3496" s="2" t="str">
        <f aca="false">IF($G3496="","",4キー同時!$B$136)</f>
        <v/>
      </c>
      <c r="I3496" s="2" t="str">
        <f aca="false">IF($G3496="","",4キー同時!$G$136)</f>
        <v/>
      </c>
      <c r="J3496" s="2" t="str">
        <f aca="false">IF($G3496="","",4キー同時!$L$136)</f>
        <v/>
      </c>
      <c r="K3496" s="2" t="str">
        <f aca="false">IF($G3496="","","r")</f>
        <v/>
      </c>
      <c r="L3496" s="2" t="str">
        <f aca="false">IF($G3496="","","同時")</f>
        <v/>
      </c>
      <c r="M3496" s="2" t="str">
        <f aca="false">IF($G3496="","",IF(ISNA(MATCH($G3496,個別指定!$A:$A,0)),"行なし",""))</f>
        <v/>
      </c>
      <c r="N3496" s="2" t="str">
        <f aca="false">IF($G3496="","",IF(COUNTIF($G$2:$G$4460,$G3496)&gt;1,"重複",""))</f>
        <v/>
      </c>
    </row>
    <row r="3497" customFormat="false" ht="16.5" hidden="false" customHeight="true" outlineLevel="0" collapsed="false">
      <c r="A3497" s="2" t="s">
        <v>447</v>
      </c>
      <c r="B3497" s="2" t="s">
        <v>458</v>
      </c>
      <c r="C3497" s="2" t="s">
        <v>16</v>
      </c>
      <c r="D3497" s="2" t="str">
        <f aca="false">IF(4キー同時!$B$136="","",4キー同時!$B$136)</f>
        <v/>
      </c>
      <c r="E3497" s="2" t="str">
        <f aca="false">IF(4キー同時!$G$136="","",4キー同時!$G$136)</f>
        <v/>
      </c>
      <c r="F3497" s="2" t="str">
        <f aca="false">IF(4キー同時!$L$136="","",4キー同時!$L$136)</f>
        <v/>
      </c>
      <c r="G3497" s="2" t="str">
        <f aca="false">IF(OR(4キー同時!$B$136="",4キー同時!$G$136="",4キー同時!$L$136=""),"",IF(4キー同時!X140="","",SUBSTITUTE(SUBSTITUTE(4キー同時!X140," ",""),"　","")))</f>
        <v/>
      </c>
      <c r="H3497" s="2" t="str">
        <f aca="false">IF($G3497="","",4キー同時!$B$136)</f>
        <v/>
      </c>
      <c r="I3497" s="2" t="str">
        <f aca="false">IF($G3497="","",4キー同時!$G$136)</f>
        <v/>
      </c>
      <c r="J3497" s="2" t="str">
        <f aca="false">IF($G3497="","",4キー同時!$L$136)</f>
        <v/>
      </c>
      <c r="K3497" s="2" t="str">
        <f aca="false">IF($G3497="","","t")</f>
        <v/>
      </c>
      <c r="L3497" s="2" t="str">
        <f aca="false">IF($G3497="","","同時")</f>
        <v/>
      </c>
      <c r="M3497" s="2" t="str">
        <f aca="false">IF($G3497="","",IF(ISNA(MATCH($G3497,個別指定!$A:$A,0)),"行なし",""))</f>
        <v/>
      </c>
      <c r="N3497" s="2" t="str">
        <f aca="false">IF($G3497="","",IF(COUNTIF($G$2:$G$4460,$G3497)&gt;1,"重複",""))</f>
        <v/>
      </c>
    </row>
    <row r="3498" customFormat="false" ht="16.5" hidden="false" customHeight="true" outlineLevel="0" collapsed="false">
      <c r="A3498" s="2" t="s">
        <v>447</v>
      </c>
      <c r="B3498" s="2" t="s">
        <v>458</v>
      </c>
      <c r="C3498" s="2" t="s">
        <v>17</v>
      </c>
      <c r="D3498" s="2" t="str">
        <f aca="false">IF(4キー同時!$B$136="","",4キー同時!$B$136)</f>
        <v/>
      </c>
      <c r="E3498" s="2" t="str">
        <f aca="false">IF(4キー同時!$G$136="","",4キー同時!$G$136)</f>
        <v/>
      </c>
      <c r="F3498" s="2" t="str">
        <f aca="false">IF(4キー同時!$L$136="","",4キー同時!$L$136)</f>
        <v/>
      </c>
      <c r="G3498" s="2" t="str">
        <f aca="false">IF(OR(4キー同時!$B$136="",4キー同時!$G$136="",4キー同時!$L$136=""),"",IF(4キー同時!AB140="","",SUBSTITUTE(SUBSTITUTE(4キー同時!AB140," ",""),"　","")))</f>
        <v/>
      </c>
      <c r="H3498" s="2" t="str">
        <f aca="false">IF($G3498="","",4キー同時!$B$136)</f>
        <v/>
      </c>
      <c r="I3498" s="2" t="str">
        <f aca="false">IF($G3498="","",4キー同時!$G$136)</f>
        <v/>
      </c>
      <c r="J3498" s="2" t="str">
        <f aca="false">IF($G3498="","",4キー同時!$L$136)</f>
        <v/>
      </c>
      <c r="K3498" s="2" t="str">
        <f aca="false">IF($G3498="","","y")</f>
        <v/>
      </c>
      <c r="L3498" s="2" t="str">
        <f aca="false">IF($G3498="","","同時")</f>
        <v/>
      </c>
      <c r="M3498" s="2" t="str">
        <f aca="false">IF($G3498="","",IF(ISNA(MATCH($G3498,個別指定!$A:$A,0)),"行なし",""))</f>
        <v/>
      </c>
      <c r="N3498" s="2" t="str">
        <f aca="false">IF($G3498="","",IF(COUNTIF($G$2:$G$4460,$G3498)&gt;1,"重複",""))</f>
        <v/>
      </c>
    </row>
    <row r="3499" customFormat="false" ht="16.5" hidden="false" customHeight="true" outlineLevel="0" collapsed="false">
      <c r="A3499" s="2" t="s">
        <v>447</v>
      </c>
      <c r="B3499" s="2" t="s">
        <v>458</v>
      </c>
      <c r="C3499" s="2" t="s">
        <v>18</v>
      </c>
      <c r="D3499" s="2" t="str">
        <f aca="false">IF(4キー同時!$B$136="","",4キー同時!$B$136)</f>
        <v/>
      </c>
      <c r="E3499" s="2" t="str">
        <f aca="false">IF(4キー同時!$G$136="","",4キー同時!$G$136)</f>
        <v/>
      </c>
      <c r="F3499" s="2" t="str">
        <f aca="false">IF(4キー同時!$L$136="","",4キー同時!$L$136)</f>
        <v/>
      </c>
      <c r="G3499" s="2" t="str">
        <f aca="false">IF(OR(4キー同時!$B$136="",4キー同時!$G$136="",4キー同時!$L$136=""),"",IF(4キー同時!AF140="","",SUBSTITUTE(SUBSTITUTE(4キー同時!AF140," ",""),"　","")))</f>
        <v/>
      </c>
      <c r="H3499" s="2" t="str">
        <f aca="false">IF($G3499="","",4キー同時!$B$136)</f>
        <v/>
      </c>
      <c r="I3499" s="2" t="str">
        <f aca="false">IF($G3499="","",4キー同時!$G$136)</f>
        <v/>
      </c>
      <c r="J3499" s="2" t="str">
        <f aca="false">IF($G3499="","",4キー同時!$L$136)</f>
        <v/>
      </c>
      <c r="K3499" s="2" t="str">
        <f aca="false">IF($G3499="","","u")</f>
        <v/>
      </c>
      <c r="L3499" s="2" t="str">
        <f aca="false">IF($G3499="","","同時")</f>
        <v/>
      </c>
      <c r="M3499" s="2" t="str">
        <f aca="false">IF($G3499="","",IF(ISNA(MATCH($G3499,個別指定!$A:$A,0)),"行なし",""))</f>
        <v/>
      </c>
      <c r="N3499" s="2" t="str">
        <f aca="false">IF($G3499="","",IF(COUNTIF($G$2:$G$4460,$G3499)&gt;1,"重複",""))</f>
        <v/>
      </c>
    </row>
    <row r="3500" customFormat="false" ht="16.5" hidden="false" customHeight="true" outlineLevel="0" collapsed="false">
      <c r="A3500" s="2" t="s">
        <v>447</v>
      </c>
      <c r="B3500" s="2" t="s">
        <v>458</v>
      </c>
      <c r="C3500" s="2" t="s">
        <v>19</v>
      </c>
      <c r="D3500" s="2" t="str">
        <f aca="false">IF(4キー同時!$B$136="","",4キー同時!$B$136)</f>
        <v/>
      </c>
      <c r="E3500" s="2" t="str">
        <f aca="false">IF(4キー同時!$G$136="","",4キー同時!$G$136)</f>
        <v/>
      </c>
      <c r="F3500" s="2" t="str">
        <f aca="false">IF(4キー同時!$L$136="","",4キー同時!$L$136)</f>
        <v/>
      </c>
      <c r="G3500" s="2" t="str">
        <f aca="false">IF(OR(4キー同時!$B$136="",4キー同時!$G$136="",4キー同時!$L$136=""),"",IF(4キー同時!AJ140="","",SUBSTITUTE(SUBSTITUTE(4キー同時!AJ140," ",""),"　","")))</f>
        <v/>
      </c>
      <c r="H3500" s="2" t="str">
        <f aca="false">IF($G3500="","",4キー同時!$B$136)</f>
        <v/>
      </c>
      <c r="I3500" s="2" t="str">
        <f aca="false">IF($G3500="","",4キー同時!$G$136)</f>
        <v/>
      </c>
      <c r="J3500" s="2" t="str">
        <f aca="false">IF($G3500="","",4キー同時!$L$136)</f>
        <v/>
      </c>
      <c r="K3500" s="2" t="str">
        <f aca="false">IF($G3500="","","i")</f>
        <v/>
      </c>
      <c r="L3500" s="2" t="str">
        <f aca="false">IF($G3500="","","同時")</f>
        <v/>
      </c>
      <c r="M3500" s="2" t="str">
        <f aca="false">IF($G3500="","",IF(ISNA(MATCH($G3500,個別指定!$A:$A,0)),"行なし",""))</f>
        <v/>
      </c>
      <c r="N3500" s="2" t="str">
        <f aca="false">IF($G3500="","",IF(COUNTIF($G$2:$G$4460,$G3500)&gt;1,"重複",""))</f>
        <v/>
      </c>
    </row>
    <row r="3501" customFormat="false" ht="16.5" hidden="false" customHeight="true" outlineLevel="0" collapsed="false">
      <c r="A3501" s="2" t="s">
        <v>447</v>
      </c>
      <c r="B3501" s="2" t="s">
        <v>458</v>
      </c>
      <c r="C3501" s="2" t="s">
        <v>20</v>
      </c>
      <c r="D3501" s="2" t="str">
        <f aca="false">IF(4キー同時!$B$136="","",4キー同時!$B$136)</f>
        <v/>
      </c>
      <c r="E3501" s="2" t="str">
        <f aca="false">IF(4キー同時!$G$136="","",4キー同時!$G$136)</f>
        <v/>
      </c>
      <c r="F3501" s="2" t="str">
        <f aca="false">IF(4キー同時!$L$136="","",4キー同時!$L$136)</f>
        <v/>
      </c>
      <c r="G3501" s="2" t="str">
        <f aca="false">IF(OR(4キー同時!$B$136="",4キー同時!$G$136="",4キー同時!$L$136=""),"",IF(4キー同時!AN140="","",SUBSTITUTE(SUBSTITUTE(4キー同時!AN140," ",""),"　","")))</f>
        <v/>
      </c>
      <c r="H3501" s="2" t="str">
        <f aca="false">IF($G3501="","",4キー同時!$B$136)</f>
        <v/>
      </c>
      <c r="I3501" s="2" t="str">
        <f aca="false">IF($G3501="","",4キー同時!$G$136)</f>
        <v/>
      </c>
      <c r="J3501" s="2" t="str">
        <f aca="false">IF($G3501="","",4キー同時!$L$136)</f>
        <v/>
      </c>
      <c r="K3501" s="2" t="str">
        <f aca="false">IF($G3501="","","o")</f>
        <v/>
      </c>
      <c r="L3501" s="2" t="str">
        <f aca="false">IF($G3501="","","同時")</f>
        <v/>
      </c>
      <c r="M3501" s="2" t="str">
        <f aca="false">IF($G3501="","",IF(ISNA(MATCH($G3501,個別指定!$A:$A,0)),"行なし",""))</f>
        <v/>
      </c>
      <c r="N3501" s="2" t="str">
        <f aca="false">IF($G3501="","",IF(COUNTIF($G$2:$G$4460,$G3501)&gt;1,"重複",""))</f>
        <v/>
      </c>
    </row>
    <row r="3502" customFormat="false" ht="16.5" hidden="false" customHeight="true" outlineLevel="0" collapsed="false">
      <c r="A3502" s="2" t="s">
        <v>447</v>
      </c>
      <c r="B3502" s="2" t="s">
        <v>458</v>
      </c>
      <c r="C3502" s="2" t="s">
        <v>21</v>
      </c>
      <c r="D3502" s="2" t="str">
        <f aca="false">IF(4キー同時!$B$136="","",4キー同時!$B$136)</f>
        <v/>
      </c>
      <c r="E3502" s="2" t="str">
        <f aca="false">IF(4キー同時!$G$136="","",4キー同時!$G$136)</f>
        <v/>
      </c>
      <c r="F3502" s="2" t="str">
        <f aca="false">IF(4キー同時!$L$136="","",4キー同時!$L$136)</f>
        <v/>
      </c>
      <c r="G3502" s="2" t="str">
        <f aca="false">IF(OR(4キー同時!$B$136="",4キー同時!$G$136="",4キー同時!$L$136=""),"",IF(4キー同時!AR140="","",SUBSTITUTE(SUBSTITUTE(4キー同時!AR140," ",""),"　","")))</f>
        <v/>
      </c>
      <c r="H3502" s="2" t="str">
        <f aca="false">IF($G3502="","",4キー同時!$B$136)</f>
        <v/>
      </c>
      <c r="I3502" s="2" t="str">
        <f aca="false">IF($G3502="","",4キー同時!$G$136)</f>
        <v/>
      </c>
      <c r="J3502" s="2" t="str">
        <f aca="false">IF($G3502="","",4キー同時!$L$136)</f>
        <v/>
      </c>
      <c r="K3502" s="2" t="str">
        <f aca="false">IF($G3502="","","p")</f>
        <v/>
      </c>
      <c r="L3502" s="2" t="str">
        <f aca="false">IF($G3502="","","同時")</f>
        <v/>
      </c>
      <c r="M3502" s="2" t="str">
        <f aca="false">IF($G3502="","",IF(ISNA(MATCH($G3502,個別指定!$A:$A,0)),"行なし",""))</f>
        <v/>
      </c>
      <c r="N3502" s="2" t="str">
        <f aca="false">IF($G3502="","",IF(COUNTIF($G$2:$G$4460,$G3502)&gt;1,"重複",""))</f>
        <v/>
      </c>
    </row>
    <row r="3503" customFormat="false" ht="16.5" hidden="false" customHeight="true" outlineLevel="0" collapsed="false">
      <c r="A3503" s="2" t="s">
        <v>447</v>
      </c>
      <c r="B3503" s="2" t="s">
        <v>458</v>
      </c>
      <c r="C3503" s="2" t="s">
        <v>22</v>
      </c>
      <c r="D3503" s="2" t="str">
        <f aca="false">IF(4キー同時!$B$136="","",4キー同時!$B$136)</f>
        <v/>
      </c>
      <c r="E3503" s="2" t="str">
        <f aca="false">IF(4キー同時!$G$136="","",4キー同時!$G$136)</f>
        <v/>
      </c>
      <c r="F3503" s="2" t="str">
        <f aca="false">IF(4キー同時!$L$136="","",4キー同時!$L$136)</f>
        <v/>
      </c>
      <c r="G3503" s="2" t="str">
        <f aca="false">IF(OR(4キー同時!$B$136="",4キー同時!$G$136="",4キー同時!$L$136=""),"",IF(4キー同時!AV140="","",SUBSTITUTE(SUBSTITUTE(4キー同時!AV140," ",""),"　","")))</f>
        <v/>
      </c>
      <c r="H3503" s="2" t="str">
        <f aca="false">IF($G3503="","",4キー同時!$B$136)</f>
        <v/>
      </c>
      <c r="I3503" s="2" t="str">
        <f aca="false">IF($G3503="","",4キー同時!$G$136)</f>
        <v/>
      </c>
      <c r="J3503" s="2" t="str">
        <f aca="false">IF($G3503="","",4キー同時!$L$136)</f>
        <v/>
      </c>
      <c r="K3503" s="2" t="str">
        <f aca="false">IF($G3503="","","[")</f>
        <v/>
      </c>
      <c r="L3503" s="2" t="str">
        <f aca="false">IF($G3503="","","同時")</f>
        <v/>
      </c>
      <c r="M3503" s="2" t="str">
        <f aca="false">IF($G3503="","",IF(ISNA(MATCH($G3503,個別指定!$A:$A,0)),"行なし",""))</f>
        <v/>
      </c>
      <c r="N3503" s="2" t="str">
        <f aca="false">IF($G3503="","",IF(COUNTIF($G$2:$G$4460,$G3503)&gt;1,"重複",""))</f>
        <v/>
      </c>
    </row>
    <row r="3504" customFormat="false" ht="16.5" hidden="false" customHeight="true" outlineLevel="0" collapsed="false">
      <c r="A3504" s="2" t="s">
        <v>447</v>
      </c>
      <c r="B3504" s="2" t="s">
        <v>458</v>
      </c>
      <c r="C3504" s="2" t="s">
        <v>23</v>
      </c>
      <c r="D3504" s="2" t="str">
        <f aca="false">IF(4キー同時!$B$136="","",4キー同時!$B$136)</f>
        <v/>
      </c>
      <c r="E3504" s="2" t="str">
        <f aca="false">IF(4キー同時!$G$136="","",4キー同時!$G$136)</f>
        <v/>
      </c>
      <c r="F3504" s="2" t="str">
        <f aca="false">IF(4キー同時!$L$136="","",4キー同時!$L$136)</f>
        <v/>
      </c>
      <c r="G3504" s="2" t="str">
        <f aca="false">IF(OR(4キー同時!$B$136="",4キー同時!$G$136="",4キー同時!$L$136=""),"",IF(4キー同時!AZ140="","",SUBSTITUTE(SUBSTITUTE(4キー同時!AZ140," ",""),"　","")))</f>
        <v/>
      </c>
      <c r="H3504" s="2" t="str">
        <f aca="false">IF($G3504="","",4キー同時!$B$136)</f>
        <v/>
      </c>
      <c r="I3504" s="2" t="str">
        <f aca="false">IF($G3504="","",4キー同時!$G$136)</f>
        <v/>
      </c>
      <c r="J3504" s="2" t="str">
        <f aca="false">IF($G3504="","",4キー同時!$L$136)</f>
        <v/>
      </c>
      <c r="K3504" s="2" t="str">
        <f aca="false">IF($G3504="","","]")</f>
        <v/>
      </c>
      <c r="L3504" s="2" t="str">
        <f aca="false">IF($G3504="","","同時")</f>
        <v/>
      </c>
      <c r="M3504" s="2" t="str">
        <f aca="false">IF($G3504="","",IF(ISNA(MATCH($G3504,個別指定!$A:$A,0)),"行なし",""))</f>
        <v/>
      </c>
      <c r="N3504" s="2" t="str">
        <f aca="false">IF($G3504="","",IF(COUNTIF($G$2:$G$4460,$G3504)&gt;1,"重複",""))</f>
        <v/>
      </c>
    </row>
    <row r="3505" customFormat="false" ht="16.5" hidden="false" customHeight="true" outlineLevel="0" collapsed="false">
      <c r="A3505" s="2" t="s">
        <v>447</v>
      </c>
      <c r="B3505" s="2" t="s">
        <v>458</v>
      </c>
      <c r="C3505" s="2" t="s">
        <v>24</v>
      </c>
      <c r="D3505" s="2" t="str">
        <f aca="false">IF(4キー同時!$B$136="","",4キー同時!$B$136)</f>
        <v/>
      </c>
      <c r="E3505" s="2" t="str">
        <f aca="false">IF(4キー同時!$G$136="","",4キー同時!$G$136)</f>
        <v/>
      </c>
      <c r="F3505" s="2" t="str">
        <f aca="false">IF(4キー同時!$L$136="","",4キー同時!$L$136)</f>
        <v/>
      </c>
      <c r="G3505" s="2" t="str">
        <f aca="false">IF(OR(4キー同時!$B$136="",4キー同時!$G$136="",4キー同時!$L$136=""),"",IF(4キー同時!I142="","",SUBSTITUTE(SUBSTITUTE(4キー同時!I142," ",""),"　","")))</f>
        <v/>
      </c>
      <c r="H3505" s="2" t="str">
        <f aca="false">IF($G3505="","",4キー同時!$B$136)</f>
        <v/>
      </c>
      <c r="I3505" s="2" t="str">
        <f aca="false">IF($G3505="","",4キー同時!$G$136)</f>
        <v/>
      </c>
      <c r="J3505" s="2" t="str">
        <f aca="false">IF($G3505="","",4キー同時!$L$136)</f>
        <v/>
      </c>
      <c r="K3505" s="2" t="str">
        <f aca="false">IF($G3505="","","a")</f>
        <v/>
      </c>
      <c r="L3505" s="2" t="str">
        <f aca="false">IF($G3505="","","同時")</f>
        <v/>
      </c>
      <c r="M3505" s="2" t="str">
        <f aca="false">IF($G3505="","",IF(ISNA(MATCH($G3505,個別指定!$A:$A,0)),"行なし",""))</f>
        <v/>
      </c>
      <c r="N3505" s="2" t="str">
        <f aca="false">IF($G3505="","",IF(COUNTIF($G$2:$G$4460,$G3505)&gt;1,"重複",""))</f>
        <v/>
      </c>
    </row>
    <row r="3506" customFormat="false" ht="16.5" hidden="false" customHeight="true" outlineLevel="0" collapsed="false">
      <c r="A3506" s="2" t="s">
        <v>447</v>
      </c>
      <c r="B3506" s="2" t="s">
        <v>458</v>
      </c>
      <c r="C3506" s="2" t="s">
        <v>25</v>
      </c>
      <c r="D3506" s="2" t="str">
        <f aca="false">IF(4キー同時!$B$136="","",4キー同時!$B$136)</f>
        <v/>
      </c>
      <c r="E3506" s="2" t="str">
        <f aca="false">IF(4キー同時!$G$136="","",4キー同時!$G$136)</f>
        <v/>
      </c>
      <c r="F3506" s="2" t="str">
        <f aca="false">IF(4キー同時!$L$136="","",4キー同時!$L$136)</f>
        <v/>
      </c>
      <c r="G3506" s="2" t="str">
        <f aca="false">IF(OR(4キー同時!$B$136="",4キー同時!$G$136="",4キー同時!$L$136=""),"",IF(4キー同時!M142="","",SUBSTITUTE(SUBSTITUTE(4キー同時!M142," ",""),"　","")))</f>
        <v/>
      </c>
      <c r="H3506" s="2" t="str">
        <f aca="false">IF($G3506="","",4キー同時!$B$136)</f>
        <v/>
      </c>
      <c r="I3506" s="2" t="str">
        <f aca="false">IF($G3506="","",4キー同時!$G$136)</f>
        <v/>
      </c>
      <c r="J3506" s="2" t="str">
        <f aca="false">IF($G3506="","",4キー同時!$L$136)</f>
        <v/>
      </c>
      <c r="K3506" s="2" t="str">
        <f aca="false">IF($G3506="","","s")</f>
        <v/>
      </c>
      <c r="L3506" s="2" t="str">
        <f aca="false">IF($G3506="","","同時")</f>
        <v/>
      </c>
      <c r="M3506" s="2" t="str">
        <f aca="false">IF($G3506="","",IF(ISNA(MATCH($G3506,個別指定!$A:$A,0)),"行なし",""))</f>
        <v/>
      </c>
      <c r="N3506" s="2" t="str">
        <f aca="false">IF($G3506="","",IF(COUNTIF($G$2:$G$4460,$G3506)&gt;1,"重複",""))</f>
        <v/>
      </c>
    </row>
    <row r="3507" customFormat="false" ht="16.5" hidden="false" customHeight="true" outlineLevel="0" collapsed="false">
      <c r="A3507" s="2" t="s">
        <v>447</v>
      </c>
      <c r="B3507" s="2" t="s">
        <v>458</v>
      </c>
      <c r="C3507" s="2" t="s">
        <v>26</v>
      </c>
      <c r="D3507" s="2" t="str">
        <f aca="false">IF(4キー同時!$B$136="","",4キー同時!$B$136)</f>
        <v/>
      </c>
      <c r="E3507" s="2" t="str">
        <f aca="false">IF(4キー同時!$G$136="","",4キー同時!$G$136)</f>
        <v/>
      </c>
      <c r="F3507" s="2" t="str">
        <f aca="false">IF(4キー同時!$L$136="","",4キー同時!$L$136)</f>
        <v/>
      </c>
      <c r="G3507" s="2" t="str">
        <f aca="false">IF(OR(4キー同時!$B$136="",4キー同時!$G$136="",4キー同時!$L$136=""),"",IF(4キー同時!Q142="","",SUBSTITUTE(SUBSTITUTE(4キー同時!Q142," ",""),"　","")))</f>
        <v/>
      </c>
      <c r="H3507" s="2" t="str">
        <f aca="false">IF($G3507="","",4キー同時!$B$136)</f>
        <v/>
      </c>
      <c r="I3507" s="2" t="str">
        <f aca="false">IF($G3507="","",4キー同時!$G$136)</f>
        <v/>
      </c>
      <c r="J3507" s="2" t="str">
        <f aca="false">IF($G3507="","",4キー同時!$L$136)</f>
        <v/>
      </c>
      <c r="K3507" s="2" t="str">
        <f aca="false">IF($G3507="","","d")</f>
        <v/>
      </c>
      <c r="L3507" s="2" t="str">
        <f aca="false">IF($G3507="","","同時")</f>
        <v/>
      </c>
      <c r="M3507" s="2" t="str">
        <f aca="false">IF($G3507="","",IF(ISNA(MATCH($G3507,個別指定!$A:$A,0)),"行なし",""))</f>
        <v/>
      </c>
      <c r="N3507" s="2" t="str">
        <f aca="false">IF($G3507="","",IF(COUNTIF($G$2:$G$4460,$G3507)&gt;1,"重複",""))</f>
        <v/>
      </c>
    </row>
    <row r="3508" customFormat="false" ht="16.5" hidden="false" customHeight="true" outlineLevel="0" collapsed="false">
      <c r="A3508" s="2" t="s">
        <v>447</v>
      </c>
      <c r="B3508" s="2" t="s">
        <v>458</v>
      </c>
      <c r="C3508" s="2" t="s">
        <v>27</v>
      </c>
      <c r="D3508" s="2" t="str">
        <f aca="false">IF(4キー同時!$B$136="","",4キー同時!$B$136)</f>
        <v/>
      </c>
      <c r="E3508" s="2" t="str">
        <f aca="false">IF(4キー同時!$G$136="","",4キー同時!$G$136)</f>
        <v/>
      </c>
      <c r="F3508" s="2" t="str">
        <f aca="false">IF(4キー同時!$L$136="","",4キー同時!$L$136)</f>
        <v/>
      </c>
      <c r="G3508" s="2" t="str">
        <f aca="false">IF(OR(4キー同時!$B$136="",4キー同時!$G$136="",4キー同時!$L$136=""),"",IF(4キー同時!U142="","",SUBSTITUTE(SUBSTITUTE(4キー同時!U142," ",""),"　","")))</f>
        <v/>
      </c>
      <c r="H3508" s="2" t="str">
        <f aca="false">IF($G3508="","",4キー同時!$B$136)</f>
        <v/>
      </c>
      <c r="I3508" s="2" t="str">
        <f aca="false">IF($G3508="","",4キー同時!$G$136)</f>
        <v/>
      </c>
      <c r="J3508" s="2" t="str">
        <f aca="false">IF($G3508="","",4キー同時!$L$136)</f>
        <v/>
      </c>
      <c r="K3508" s="2" t="str">
        <f aca="false">IF($G3508="","","f")</f>
        <v/>
      </c>
      <c r="L3508" s="2" t="str">
        <f aca="false">IF($G3508="","","同時")</f>
        <v/>
      </c>
      <c r="M3508" s="2" t="str">
        <f aca="false">IF($G3508="","",IF(ISNA(MATCH($G3508,個別指定!$A:$A,0)),"行なし",""))</f>
        <v/>
      </c>
      <c r="N3508" s="2" t="str">
        <f aca="false">IF($G3508="","",IF(COUNTIF($G$2:$G$4460,$G3508)&gt;1,"重複",""))</f>
        <v/>
      </c>
    </row>
    <row r="3509" customFormat="false" ht="16.5" hidden="false" customHeight="true" outlineLevel="0" collapsed="false">
      <c r="A3509" s="2" t="s">
        <v>447</v>
      </c>
      <c r="B3509" s="2" t="s">
        <v>458</v>
      </c>
      <c r="C3509" s="2" t="s">
        <v>28</v>
      </c>
      <c r="D3509" s="2" t="str">
        <f aca="false">IF(4キー同時!$B$136="","",4キー同時!$B$136)</f>
        <v/>
      </c>
      <c r="E3509" s="2" t="str">
        <f aca="false">IF(4キー同時!$G$136="","",4キー同時!$G$136)</f>
        <v/>
      </c>
      <c r="F3509" s="2" t="str">
        <f aca="false">IF(4キー同時!$L$136="","",4キー同時!$L$136)</f>
        <v/>
      </c>
      <c r="G3509" s="2" t="str">
        <f aca="false">IF(OR(4キー同時!$B$136="",4キー同時!$G$136="",4キー同時!$L$136=""),"",IF(4キー同時!Y142="","",SUBSTITUTE(SUBSTITUTE(4キー同時!Y142," ",""),"　","")))</f>
        <v/>
      </c>
      <c r="H3509" s="2" t="str">
        <f aca="false">IF($G3509="","",4キー同時!$B$136)</f>
        <v/>
      </c>
      <c r="I3509" s="2" t="str">
        <f aca="false">IF($G3509="","",4キー同時!$G$136)</f>
        <v/>
      </c>
      <c r="J3509" s="2" t="str">
        <f aca="false">IF($G3509="","",4キー同時!$L$136)</f>
        <v/>
      </c>
      <c r="K3509" s="2" t="str">
        <f aca="false">IF($G3509="","","g")</f>
        <v/>
      </c>
      <c r="L3509" s="2" t="str">
        <f aca="false">IF($G3509="","","同時")</f>
        <v/>
      </c>
      <c r="M3509" s="2" t="str">
        <f aca="false">IF($G3509="","",IF(ISNA(MATCH($G3509,個別指定!$A:$A,0)),"行なし",""))</f>
        <v/>
      </c>
      <c r="N3509" s="2" t="str">
        <f aca="false">IF($G3509="","",IF(COUNTIF($G$2:$G$4460,$G3509)&gt;1,"重複",""))</f>
        <v/>
      </c>
    </row>
    <row r="3510" customFormat="false" ht="16.5" hidden="false" customHeight="true" outlineLevel="0" collapsed="false">
      <c r="A3510" s="2" t="s">
        <v>447</v>
      </c>
      <c r="B3510" s="2" t="s">
        <v>458</v>
      </c>
      <c r="C3510" s="2" t="s">
        <v>29</v>
      </c>
      <c r="D3510" s="2" t="str">
        <f aca="false">IF(4キー同時!$B$136="","",4キー同時!$B$136)</f>
        <v/>
      </c>
      <c r="E3510" s="2" t="str">
        <f aca="false">IF(4キー同時!$G$136="","",4キー同時!$G$136)</f>
        <v/>
      </c>
      <c r="F3510" s="2" t="str">
        <f aca="false">IF(4キー同時!$L$136="","",4キー同時!$L$136)</f>
        <v/>
      </c>
      <c r="G3510" s="2" t="str">
        <f aca="false">IF(OR(4キー同時!$B$136="",4キー同時!$G$136="",4キー同時!$L$136=""),"",IF(4キー同時!AC142="","",SUBSTITUTE(SUBSTITUTE(4キー同時!AC142," ",""),"　","")))</f>
        <v/>
      </c>
      <c r="H3510" s="2" t="str">
        <f aca="false">IF($G3510="","",4キー同時!$B$136)</f>
        <v/>
      </c>
      <c r="I3510" s="2" t="str">
        <f aca="false">IF($G3510="","",4キー同時!$G$136)</f>
        <v/>
      </c>
      <c r="J3510" s="2" t="str">
        <f aca="false">IF($G3510="","",4キー同時!$L$136)</f>
        <v/>
      </c>
      <c r="K3510" s="2" t="str">
        <f aca="false">IF($G3510="","","h")</f>
        <v/>
      </c>
      <c r="L3510" s="2" t="str">
        <f aca="false">IF($G3510="","","同時")</f>
        <v/>
      </c>
      <c r="M3510" s="2" t="str">
        <f aca="false">IF($G3510="","",IF(ISNA(MATCH($G3510,個別指定!$A:$A,0)),"行なし",""))</f>
        <v/>
      </c>
      <c r="N3510" s="2" t="str">
        <f aca="false">IF($G3510="","",IF(COUNTIF($G$2:$G$4460,$G3510)&gt;1,"重複",""))</f>
        <v/>
      </c>
    </row>
    <row r="3511" customFormat="false" ht="16.5" hidden="false" customHeight="true" outlineLevel="0" collapsed="false">
      <c r="A3511" s="2" t="s">
        <v>447</v>
      </c>
      <c r="B3511" s="2" t="s">
        <v>458</v>
      </c>
      <c r="C3511" s="2" t="s">
        <v>30</v>
      </c>
      <c r="D3511" s="2" t="str">
        <f aca="false">IF(4キー同時!$B$136="","",4キー同時!$B$136)</f>
        <v/>
      </c>
      <c r="E3511" s="2" t="str">
        <f aca="false">IF(4キー同時!$G$136="","",4キー同時!$G$136)</f>
        <v/>
      </c>
      <c r="F3511" s="2" t="str">
        <f aca="false">IF(4キー同時!$L$136="","",4キー同時!$L$136)</f>
        <v/>
      </c>
      <c r="G3511" s="2" t="str">
        <f aca="false">IF(OR(4キー同時!$B$136="",4キー同時!$G$136="",4キー同時!$L$136=""),"",IF(4キー同時!AG142="","",SUBSTITUTE(SUBSTITUTE(4キー同時!AG142," ",""),"　","")))</f>
        <v/>
      </c>
      <c r="H3511" s="2" t="str">
        <f aca="false">IF($G3511="","",4キー同時!$B$136)</f>
        <v/>
      </c>
      <c r="I3511" s="2" t="str">
        <f aca="false">IF($G3511="","",4キー同時!$G$136)</f>
        <v/>
      </c>
      <c r="J3511" s="2" t="str">
        <f aca="false">IF($G3511="","",4キー同時!$L$136)</f>
        <v/>
      </c>
      <c r="K3511" s="2" t="str">
        <f aca="false">IF($G3511="","","j")</f>
        <v/>
      </c>
      <c r="L3511" s="2" t="str">
        <f aca="false">IF($G3511="","","同時")</f>
        <v/>
      </c>
      <c r="M3511" s="2" t="str">
        <f aca="false">IF($G3511="","",IF(ISNA(MATCH($G3511,個別指定!$A:$A,0)),"行なし",""))</f>
        <v/>
      </c>
      <c r="N3511" s="2" t="str">
        <f aca="false">IF($G3511="","",IF(COUNTIF($G$2:$G$4460,$G3511)&gt;1,"重複",""))</f>
        <v/>
      </c>
    </row>
    <row r="3512" customFormat="false" ht="16.5" hidden="false" customHeight="true" outlineLevel="0" collapsed="false">
      <c r="A3512" s="2" t="s">
        <v>447</v>
      </c>
      <c r="B3512" s="2" t="s">
        <v>458</v>
      </c>
      <c r="C3512" s="2" t="s">
        <v>31</v>
      </c>
      <c r="D3512" s="2" t="str">
        <f aca="false">IF(4キー同時!$B$136="","",4キー同時!$B$136)</f>
        <v/>
      </c>
      <c r="E3512" s="2" t="str">
        <f aca="false">IF(4キー同時!$G$136="","",4キー同時!$G$136)</f>
        <v/>
      </c>
      <c r="F3512" s="2" t="str">
        <f aca="false">IF(4キー同時!$L$136="","",4キー同時!$L$136)</f>
        <v/>
      </c>
      <c r="G3512" s="2" t="str">
        <f aca="false">IF(OR(4キー同時!$B$136="",4キー同時!$G$136="",4キー同時!$L$136=""),"",IF(4キー同時!AK142="","",SUBSTITUTE(SUBSTITUTE(4キー同時!AK142," ",""),"　","")))</f>
        <v/>
      </c>
      <c r="H3512" s="2" t="str">
        <f aca="false">IF($G3512="","",4キー同時!$B$136)</f>
        <v/>
      </c>
      <c r="I3512" s="2" t="str">
        <f aca="false">IF($G3512="","",4キー同時!$G$136)</f>
        <v/>
      </c>
      <c r="J3512" s="2" t="str">
        <f aca="false">IF($G3512="","",4キー同時!$L$136)</f>
        <v/>
      </c>
      <c r="K3512" s="2" t="str">
        <f aca="false">IF($G3512="","","k")</f>
        <v/>
      </c>
      <c r="L3512" s="2" t="str">
        <f aca="false">IF($G3512="","","同時")</f>
        <v/>
      </c>
      <c r="M3512" s="2" t="str">
        <f aca="false">IF($G3512="","",IF(ISNA(MATCH($G3512,個別指定!$A:$A,0)),"行なし",""))</f>
        <v/>
      </c>
      <c r="N3512" s="2" t="str">
        <f aca="false">IF($G3512="","",IF(COUNTIF($G$2:$G$4460,$G3512)&gt;1,"重複",""))</f>
        <v/>
      </c>
    </row>
    <row r="3513" customFormat="false" ht="16.5" hidden="false" customHeight="true" outlineLevel="0" collapsed="false">
      <c r="A3513" s="2" t="s">
        <v>447</v>
      </c>
      <c r="B3513" s="2" t="s">
        <v>458</v>
      </c>
      <c r="C3513" s="2" t="s">
        <v>32</v>
      </c>
      <c r="D3513" s="2" t="str">
        <f aca="false">IF(4キー同時!$B$136="","",4キー同時!$B$136)</f>
        <v/>
      </c>
      <c r="E3513" s="2" t="str">
        <f aca="false">IF(4キー同時!$G$136="","",4キー同時!$G$136)</f>
        <v/>
      </c>
      <c r="F3513" s="2" t="str">
        <f aca="false">IF(4キー同時!$L$136="","",4キー同時!$L$136)</f>
        <v/>
      </c>
      <c r="G3513" s="2" t="str">
        <f aca="false">IF(OR(4キー同時!$B$136="",4キー同時!$G$136="",4キー同時!$L$136=""),"",IF(4キー同時!AO142="","",SUBSTITUTE(SUBSTITUTE(4キー同時!AO142," ",""),"　","")))</f>
        <v/>
      </c>
      <c r="H3513" s="2" t="str">
        <f aca="false">IF($G3513="","",4キー同時!$B$136)</f>
        <v/>
      </c>
      <c r="I3513" s="2" t="str">
        <f aca="false">IF($G3513="","",4キー同時!$G$136)</f>
        <v/>
      </c>
      <c r="J3513" s="2" t="str">
        <f aca="false">IF($G3513="","",4キー同時!$L$136)</f>
        <v/>
      </c>
      <c r="K3513" s="2" t="str">
        <f aca="false">IF($G3513="","","l")</f>
        <v/>
      </c>
      <c r="L3513" s="2" t="str">
        <f aca="false">IF($G3513="","","同時")</f>
        <v/>
      </c>
      <c r="M3513" s="2" t="str">
        <f aca="false">IF($G3513="","",IF(ISNA(MATCH($G3513,個別指定!$A:$A,0)),"行なし",""))</f>
        <v/>
      </c>
      <c r="N3513" s="2" t="str">
        <f aca="false">IF($G3513="","",IF(COUNTIF($G$2:$G$4460,$G3513)&gt;1,"重複",""))</f>
        <v/>
      </c>
    </row>
    <row r="3514" customFormat="false" ht="16.5" hidden="false" customHeight="true" outlineLevel="0" collapsed="false">
      <c r="A3514" s="2" t="s">
        <v>447</v>
      </c>
      <c r="B3514" s="2" t="s">
        <v>458</v>
      </c>
      <c r="C3514" s="2" t="s">
        <v>33</v>
      </c>
      <c r="D3514" s="2" t="str">
        <f aca="false">IF(4キー同時!$B$136="","",4キー同時!$B$136)</f>
        <v/>
      </c>
      <c r="E3514" s="2" t="str">
        <f aca="false">IF(4キー同時!$G$136="","",4キー同時!$G$136)</f>
        <v/>
      </c>
      <c r="F3514" s="2" t="str">
        <f aca="false">IF(4キー同時!$L$136="","",4キー同時!$L$136)</f>
        <v/>
      </c>
      <c r="G3514" s="2" t="str">
        <f aca="false">IF(OR(4キー同時!$B$136="",4キー同時!$G$136="",4キー同時!$L$136=""),"",IF(4キー同時!AS142="","",SUBSTITUTE(SUBSTITUTE(4キー同時!AS142," ",""),"　","")))</f>
        <v/>
      </c>
      <c r="H3514" s="2" t="str">
        <f aca="false">IF($G3514="","",4キー同時!$B$136)</f>
        <v/>
      </c>
      <c r="I3514" s="2" t="str">
        <f aca="false">IF($G3514="","",4キー同時!$G$136)</f>
        <v/>
      </c>
      <c r="J3514" s="2" t="str">
        <f aca="false">IF($G3514="","",4キー同時!$L$136)</f>
        <v/>
      </c>
      <c r="K3514" s="2" t="str">
        <f aca="false">IF($G3514="","",";")</f>
        <v/>
      </c>
      <c r="L3514" s="2" t="str">
        <f aca="false">IF($G3514="","","同時")</f>
        <v/>
      </c>
      <c r="M3514" s="2" t="str">
        <f aca="false">IF($G3514="","",IF(ISNA(MATCH($G3514,個別指定!$A:$A,0)),"行なし",""))</f>
        <v/>
      </c>
      <c r="N3514" s="2" t="str">
        <f aca="false">IF($G3514="","",IF(COUNTIF($G$2:$G$4460,$G3514)&gt;1,"重複",""))</f>
        <v/>
      </c>
    </row>
    <row r="3515" customFormat="false" ht="16.5" hidden="false" customHeight="true" outlineLevel="0" collapsed="false">
      <c r="A3515" s="2" t="s">
        <v>447</v>
      </c>
      <c r="B3515" s="2" t="s">
        <v>458</v>
      </c>
      <c r="C3515" s="2" t="s">
        <v>34</v>
      </c>
      <c r="D3515" s="2" t="str">
        <f aca="false">IF(4キー同時!$B$136="","",4キー同時!$B$136)</f>
        <v/>
      </c>
      <c r="E3515" s="2" t="str">
        <f aca="false">IF(4キー同時!$G$136="","",4キー同時!$G$136)</f>
        <v/>
      </c>
      <c r="F3515" s="2" t="str">
        <f aca="false">IF(4キー同時!$L$136="","",4キー同時!$L$136)</f>
        <v/>
      </c>
      <c r="G3515" s="2" t="str">
        <f aca="false">IF(OR(4キー同時!$B$136="",4キー同時!$G$136="",4キー同時!$L$136=""),"",IF(4キー同時!AW142="","",SUBSTITUTE(SUBSTITUTE(4キー同時!AW142," ",""),"　","")))</f>
        <v/>
      </c>
      <c r="H3515" s="2" t="str">
        <f aca="false">IF($G3515="","",4キー同時!$B$136)</f>
        <v/>
      </c>
      <c r="I3515" s="2" t="str">
        <f aca="false">IF($G3515="","",4キー同時!$G$136)</f>
        <v/>
      </c>
      <c r="J3515" s="2" t="str">
        <f aca="false">IF($G3515="","",4キー同時!$L$136)</f>
        <v/>
      </c>
      <c r="K3515" s="2" t="str">
        <f aca="false">IF($G3515="","","'")</f>
        <v/>
      </c>
      <c r="L3515" s="2" t="str">
        <f aca="false">IF($G3515="","","同時")</f>
        <v/>
      </c>
      <c r="M3515" s="2" t="str">
        <f aca="false">IF($G3515="","",IF(ISNA(MATCH($G3515,個別指定!$A:$A,0)),"行なし",""))</f>
        <v/>
      </c>
      <c r="N3515" s="2" t="str">
        <f aca="false">IF($G3515="","",IF(COUNTIF($G$2:$G$4460,$G3515)&gt;1,"重複",""))</f>
        <v/>
      </c>
    </row>
    <row r="3516" customFormat="false" ht="16.5" hidden="false" customHeight="true" outlineLevel="0" collapsed="false">
      <c r="A3516" s="2" t="s">
        <v>447</v>
      </c>
      <c r="B3516" s="2" t="s">
        <v>458</v>
      </c>
      <c r="C3516" s="2" t="s">
        <v>35</v>
      </c>
      <c r="D3516" s="2" t="str">
        <f aca="false">IF(4キー同時!$B$136="","",4キー同時!$B$136)</f>
        <v/>
      </c>
      <c r="E3516" s="2" t="str">
        <f aca="false">IF(4キー同時!$G$136="","",4キー同時!$G$136)</f>
        <v/>
      </c>
      <c r="F3516" s="2" t="str">
        <f aca="false">IF(4キー同時!$L$136="","",4キー同時!$L$136)</f>
        <v/>
      </c>
      <c r="G3516" s="2" t="str">
        <f aca="false">IF(OR(4キー同時!$B$136="",4キー同時!$G$136="",4キー同時!$L$136=""),"",IF(4キー同時!K144="","",SUBSTITUTE(SUBSTITUTE(4キー同時!K144," ",""),"　","")))</f>
        <v/>
      </c>
      <c r="H3516" s="2" t="str">
        <f aca="false">IF($G3516="","",4キー同時!$B$136)</f>
        <v/>
      </c>
      <c r="I3516" s="2" t="str">
        <f aca="false">IF($G3516="","",4キー同時!$G$136)</f>
        <v/>
      </c>
      <c r="J3516" s="2" t="str">
        <f aca="false">IF($G3516="","",4キー同時!$L$136)</f>
        <v/>
      </c>
      <c r="K3516" s="2" t="str">
        <f aca="false">IF($G3516="","","z")</f>
        <v/>
      </c>
      <c r="L3516" s="2" t="str">
        <f aca="false">IF($G3516="","","同時")</f>
        <v/>
      </c>
      <c r="M3516" s="2" t="str">
        <f aca="false">IF($G3516="","",IF(ISNA(MATCH($G3516,個別指定!$A:$A,0)),"行なし",""))</f>
        <v/>
      </c>
      <c r="N3516" s="2" t="str">
        <f aca="false">IF($G3516="","",IF(COUNTIF($G$2:$G$4460,$G3516)&gt;1,"重複",""))</f>
        <v/>
      </c>
    </row>
    <row r="3517" customFormat="false" ht="16.5" hidden="false" customHeight="true" outlineLevel="0" collapsed="false">
      <c r="A3517" s="2" t="s">
        <v>447</v>
      </c>
      <c r="B3517" s="2" t="s">
        <v>458</v>
      </c>
      <c r="C3517" s="2" t="s">
        <v>36</v>
      </c>
      <c r="D3517" s="2" t="str">
        <f aca="false">IF(4キー同時!$B$136="","",4キー同時!$B$136)</f>
        <v/>
      </c>
      <c r="E3517" s="2" t="str">
        <f aca="false">IF(4キー同時!$G$136="","",4キー同時!$G$136)</f>
        <v/>
      </c>
      <c r="F3517" s="2" t="str">
        <f aca="false">IF(4キー同時!$L$136="","",4キー同時!$L$136)</f>
        <v/>
      </c>
      <c r="G3517" s="2" t="str">
        <f aca="false">IF(OR(4キー同時!$B$136="",4キー同時!$G$136="",4キー同時!$L$136=""),"",IF(4キー同時!O144="","",SUBSTITUTE(SUBSTITUTE(4キー同時!O144," ",""),"　","")))</f>
        <v/>
      </c>
      <c r="H3517" s="2" t="str">
        <f aca="false">IF($G3517="","",4キー同時!$B$136)</f>
        <v/>
      </c>
      <c r="I3517" s="2" t="str">
        <f aca="false">IF($G3517="","",4キー同時!$G$136)</f>
        <v/>
      </c>
      <c r="J3517" s="2" t="str">
        <f aca="false">IF($G3517="","",4キー同時!$L$136)</f>
        <v/>
      </c>
      <c r="K3517" s="2" t="str">
        <f aca="false">IF($G3517="","","x")</f>
        <v/>
      </c>
      <c r="L3517" s="2" t="str">
        <f aca="false">IF($G3517="","","同時")</f>
        <v/>
      </c>
      <c r="M3517" s="2" t="str">
        <f aca="false">IF($G3517="","",IF(ISNA(MATCH($G3517,個別指定!$A:$A,0)),"行なし",""))</f>
        <v/>
      </c>
      <c r="N3517" s="2" t="str">
        <f aca="false">IF($G3517="","",IF(COUNTIF($G$2:$G$4460,$G3517)&gt;1,"重複",""))</f>
        <v/>
      </c>
    </row>
    <row r="3518" customFormat="false" ht="16.5" hidden="false" customHeight="true" outlineLevel="0" collapsed="false">
      <c r="A3518" s="2" t="s">
        <v>447</v>
      </c>
      <c r="B3518" s="2" t="s">
        <v>458</v>
      </c>
      <c r="C3518" s="2" t="s">
        <v>37</v>
      </c>
      <c r="D3518" s="2" t="str">
        <f aca="false">IF(4キー同時!$B$136="","",4キー同時!$B$136)</f>
        <v/>
      </c>
      <c r="E3518" s="2" t="str">
        <f aca="false">IF(4キー同時!$G$136="","",4キー同時!$G$136)</f>
        <v/>
      </c>
      <c r="F3518" s="2" t="str">
        <f aca="false">IF(4キー同時!$L$136="","",4キー同時!$L$136)</f>
        <v/>
      </c>
      <c r="G3518" s="2" t="str">
        <f aca="false">IF(OR(4キー同時!$B$136="",4キー同時!$G$136="",4キー同時!$L$136=""),"",IF(4キー同時!S144="","",SUBSTITUTE(SUBSTITUTE(4キー同時!S144," ",""),"　","")))</f>
        <v/>
      </c>
      <c r="H3518" s="2" t="str">
        <f aca="false">IF($G3518="","",4キー同時!$B$136)</f>
        <v/>
      </c>
      <c r="I3518" s="2" t="str">
        <f aca="false">IF($G3518="","",4キー同時!$G$136)</f>
        <v/>
      </c>
      <c r="J3518" s="2" t="str">
        <f aca="false">IF($G3518="","",4キー同時!$L$136)</f>
        <v/>
      </c>
      <c r="K3518" s="2" t="str">
        <f aca="false">IF($G3518="","","c")</f>
        <v/>
      </c>
      <c r="L3518" s="2" t="str">
        <f aca="false">IF($G3518="","","同時")</f>
        <v/>
      </c>
      <c r="M3518" s="2" t="str">
        <f aca="false">IF($G3518="","",IF(ISNA(MATCH($G3518,個別指定!$A:$A,0)),"行なし",""))</f>
        <v/>
      </c>
      <c r="N3518" s="2" t="str">
        <f aca="false">IF($G3518="","",IF(COUNTIF($G$2:$G$4460,$G3518)&gt;1,"重複",""))</f>
        <v/>
      </c>
    </row>
    <row r="3519" customFormat="false" ht="16.5" hidden="false" customHeight="true" outlineLevel="0" collapsed="false">
      <c r="A3519" s="2" t="s">
        <v>447</v>
      </c>
      <c r="B3519" s="2" t="s">
        <v>458</v>
      </c>
      <c r="C3519" s="2" t="s">
        <v>38</v>
      </c>
      <c r="D3519" s="2" t="str">
        <f aca="false">IF(4キー同時!$B$136="","",4キー同時!$B$136)</f>
        <v/>
      </c>
      <c r="E3519" s="2" t="str">
        <f aca="false">IF(4キー同時!$G$136="","",4キー同時!$G$136)</f>
        <v/>
      </c>
      <c r="F3519" s="2" t="str">
        <f aca="false">IF(4キー同時!$L$136="","",4キー同時!$L$136)</f>
        <v/>
      </c>
      <c r="G3519" s="2" t="str">
        <f aca="false">IF(OR(4キー同時!$B$136="",4キー同時!$G$136="",4キー同時!$L$136=""),"",IF(4キー同時!W144="","",SUBSTITUTE(SUBSTITUTE(4キー同時!W144," ",""),"　","")))</f>
        <v/>
      </c>
      <c r="H3519" s="2" t="str">
        <f aca="false">IF($G3519="","",4キー同時!$B$136)</f>
        <v/>
      </c>
      <c r="I3519" s="2" t="str">
        <f aca="false">IF($G3519="","",4キー同時!$G$136)</f>
        <v/>
      </c>
      <c r="J3519" s="2" t="str">
        <f aca="false">IF($G3519="","",4キー同時!$L$136)</f>
        <v/>
      </c>
      <c r="K3519" s="2" t="str">
        <f aca="false">IF($G3519="","","v")</f>
        <v/>
      </c>
      <c r="L3519" s="2" t="str">
        <f aca="false">IF($G3519="","","同時")</f>
        <v/>
      </c>
      <c r="M3519" s="2" t="str">
        <f aca="false">IF($G3519="","",IF(ISNA(MATCH($G3519,個別指定!$A:$A,0)),"行なし",""))</f>
        <v/>
      </c>
      <c r="N3519" s="2" t="str">
        <f aca="false">IF($G3519="","",IF(COUNTIF($G$2:$G$4460,$G3519)&gt;1,"重複",""))</f>
        <v/>
      </c>
    </row>
    <row r="3520" customFormat="false" ht="16.5" hidden="false" customHeight="true" outlineLevel="0" collapsed="false">
      <c r="A3520" s="2" t="s">
        <v>447</v>
      </c>
      <c r="B3520" s="2" t="s">
        <v>458</v>
      </c>
      <c r="C3520" s="2" t="s">
        <v>39</v>
      </c>
      <c r="D3520" s="2" t="str">
        <f aca="false">IF(4キー同時!$B$136="","",4キー同時!$B$136)</f>
        <v/>
      </c>
      <c r="E3520" s="2" t="str">
        <f aca="false">IF(4キー同時!$G$136="","",4キー同時!$G$136)</f>
        <v/>
      </c>
      <c r="F3520" s="2" t="str">
        <f aca="false">IF(4キー同時!$L$136="","",4キー同時!$L$136)</f>
        <v/>
      </c>
      <c r="G3520" s="2" t="str">
        <f aca="false">IF(OR(4キー同時!$B$136="",4キー同時!$G$136="",4キー同時!$L$136=""),"",IF(4キー同時!AA144="","",SUBSTITUTE(SUBSTITUTE(4キー同時!AA144," ",""),"　","")))</f>
        <v/>
      </c>
      <c r="H3520" s="2" t="str">
        <f aca="false">IF($G3520="","",4キー同時!$B$136)</f>
        <v/>
      </c>
      <c r="I3520" s="2" t="str">
        <f aca="false">IF($G3520="","",4キー同時!$G$136)</f>
        <v/>
      </c>
      <c r="J3520" s="2" t="str">
        <f aca="false">IF($G3520="","",4キー同時!$L$136)</f>
        <v/>
      </c>
      <c r="K3520" s="2" t="str">
        <f aca="false">IF($G3520="","","b")</f>
        <v/>
      </c>
      <c r="L3520" s="2" t="str">
        <f aca="false">IF($G3520="","","同時")</f>
        <v/>
      </c>
      <c r="M3520" s="2" t="str">
        <f aca="false">IF($G3520="","",IF(ISNA(MATCH($G3520,個別指定!$A:$A,0)),"行なし",""))</f>
        <v/>
      </c>
      <c r="N3520" s="2" t="str">
        <f aca="false">IF($G3520="","",IF(COUNTIF($G$2:$G$4460,$G3520)&gt;1,"重複",""))</f>
        <v/>
      </c>
    </row>
    <row r="3521" customFormat="false" ht="16.5" hidden="false" customHeight="true" outlineLevel="0" collapsed="false">
      <c r="A3521" s="2" t="s">
        <v>447</v>
      </c>
      <c r="B3521" s="2" t="s">
        <v>458</v>
      </c>
      <c r="C3521" s="2" t="s">
        <v>40</v>
      </c>
      <c r="D3521" s="2" t="str">
        <f aca="false">IF(4キー同時!$B$136="","",4キー同時!$B$136)</f>
        <v/>
      </c>
      <c r="E3521" s="2" t="str">
        <f aca="false">IF(4キー同時!$G$136="","",4キー同時!$G$136)</f>
        <v/>
      </c>
      <c r="F3521" s="2" t="str">
        <f aca="false">IF(4キー同時!$L$136="","",4キー同時!$L$136)</f>
        <v/>
      </c>
      <c r="G3521" s="2" t="str">
        <f aca="false">IF(OR(4キー同時!$B$136="",4キー同時!$G$136="",4キー同時!$L$136=""),"",IF(4キー同時!AE144="","",SUBSTITUTE(SUBSTITUTE(4キー同時!AE144," ",""),"　","")))</f>
        <v/>
      </c>
      <c r="H3521" s="2" t="str">
        <f aca="false">IF($G3521="","",4キー同時!$B$136)</f>
        <v/>
      </c>
      <c r="I3521" s="2" t="str">
        <f aca="false">IF($G3521="","",4キー同時!$G$136)</f>
        <v/>
      </c>
      <c r="J3521" s="2" t="str">
        <f aca="false">IF($G3521="","",4キー同時!$L$136)</f>
        <v/>
      </c>
      <c r="K3521" s="2" t="str">
        <f aca="false">IF($G3521="","","n")</f>
        <v/>
      </c>
      <c r="L3521" s="2" t="str">
        <f aca="false">IF($G3521="","","同時")</f>
        <v/>
      </c>
      <c r="M3521" s="2" t="str">
        <f aca="false">IF($G3521="","",IF(ISNA(MATCH($G3521,個別指定!$A:$A,0)),"行なし",""))</f>
        <v/>
      </c>
      <c r="N3521" s="2" t="str">
        <f aca="false">IF($G3521="","",IF(COUNTIF($G$2:$G$4460,$G3521)&gt;1,"重複",""))</f>
        <v/>
      </c>
    </row>
    <row r="3522" customFormat="false" ht="16.5" hidden="false" customHeight="true" outlineLevel="0" collapsed="false">
      <c r="A3522" s="2" t="s">
        <v>447</v>
      </c>
      <c r="B3522" s="2" t="s">
        <v>458</v>
      </c>
      <c r="C3522" s="2" t="s">
        <v>41</v>
      </c>
      <c r="D3522" s="2" t="str">
        <f aca="false">IF(4キー同時!$B$136="","",4キー同時!$B$136)</f>
        <v/>
      </c>
      <c r="E3522" s="2" t="str">
        <f aca="false">IF(4キー同時!$G$136="","",4キー同時!$G$136)</f>
        <v/>
      </c>
      <c r="F3522" s="2" t="str">
        <f aca="false">IF(4キー同時!$L$136="","",4キー同時!$L$136)</f>
        <v/>
      </c>
      <c r="G3522" s="2" t="str">
        <f aca="false">IF(OR(4キー同時!$B$136="",4キー同時!$G$136="",4キー同時!$L$136=""),"",IF(4キー同時!AI144="","",SUBSTITUTE(SUBSTITUTE(4キー同時!AI144," ",""),"　","")))</f>
        <v/>
      </c>
      <c r="H3522" s="2" t="str">
        <f aca="false">IF($G3522="","",4キー同時!$B$136)</f>
        <v/>
      </c>
      <c r="I3522" s="2" t="str">
        <f aca="false">IF($G3522="","",4キー同時!$G$136)</f>
        <v/>
      </c>
      <c r="J3522" s="2" t="str">
        <f aca="false">IF($G3522="","",4キー同時!$L$136)</f>
        <v/>
      </c>
      <c r="K3522" s="2" t="str">
        <f aca="false">IF($G3522="","","m")</f>
        <v/>
      </c>
      <c r="L3522" s="2" t="str">
        <f aca="false">IF($G3522="","","同時")</f>
        <v/>
      </c>
      <c r="M3522" s="2" t="str">
        <f aca="false">IF($G3522="","",IF(ISNA(MATCH($G3522,個別指定!$A:$A,0)),"行なし",""))</f>
        <v/>
      </c>
      <c r="N3522" s="2" t="str">
        <f aca="false">IF($G3522="","",IF(COUNTIF($G$2:$G$4460,$G3522)&gt;1,"重複",""))</f>
        <v/>
      </c>
    </row>
    <row r="3523" customFormat="false" ht="16.5" hidden="false" customHeight="true" outlineLevel="0" collapsed="false">
      <c r="A3523" s="2" t="s">
        <v>447</v>
      </c>
      <c r="B3523" s="2" t="s">
        <v>458</v>
      </c>
      <c r="C3523" s="2" t="s">
        <v>42</v>
      </c>
      <c r="D3523" s="2" t="str">
        <f aca="false">IF(4キー同時!$B$136="","",4キー同時!$B$136)</f>
        <v/>
      </c>
      <c r="E3523" s="2" t="str">
        <f aca="false">IF(4キー同時!$G$136="","",4キー同時!$G$136)</f>
        <v/>
      </c>
      <c r="F3523" s="2" t="str">
        <f aca="false">IF(4キー同時!$L$136="","",4キー同時!$L$136)</f>
        <v/>
      </c>
      <c r="G3523" s="2" t="str">
        <f aca="false">IF(OR(4キー同時!$B$136="",4キー同時!$G$136="",4キー同時!$L$136=""),"",IF(4キー同時!AM144="","",SUBSTITUTE(SUBSTITUTE(4キー同時!AM144," ",""),"　","")))</f>
        <v/>
      </c>
      <c r="H3523" s="2" t="str">
        <f aca="false">IF($G3523="","",4キー同時!$B$136)</f>
        <v/>
      </c>
      <c r="I3523" s="2" t="str">
        <f aca="false">IF($G3523="","",4キー同時!$G$136)</f>
        <v/>
      </c>
      <c r="J3523" s="2" t="str">
        <f aca="false">IF($G3523="","",4キー同時!$L$136)</f>
        <v/>
      </c>
      <c r="K3523" s="2" t="str">
        <f aca="false">IF($G3523="","",",")</f>
        <v/>
      </c>
      <c r="L3523" s="2" t="str">
        <f aca="false">IF($G3523="","","同時")</f>
        <v/>
      </c>
      <c r="M3523" s="2" t="str">
        <f aca="false">IF($G3523="","",IF(ISNA(MATCH($G3523,個別指定!$A:$A,0)),"行なし",""))</f>
        <v/>
      </c>
      <c r="N3523" s="2" t="str">
        <f aca="false">IF($G3523="","",IF(COUNTIF($G$2:$G$4460,$G3523)&gt;1,"重複",""))</f>
        <v/>
      </c>
    </row>
    <row r="3524" customFormat="false" ht="16.5" hidden="false" customHeight="true" outlineLevel="0" collapsed="false">
      <c r="A3524" s="2" t="s">
        <v>447</v>
      </c>
      <c r="B3524" s="2" t="s">
        <v>458</v>
      </c>
      <c r="C3524" s="2" t="s">
        <v>43</v>
      </c>
      <c r="D3524" s="2" t="str">
        <f aca="false">IF(4キー同時!$B$136="","",4キー同時!$B$136)</f>
        <v/>
      </c>
      <c r="E3524" s="2" t="str">
        <f aca="false">IF(4キー同時!$G$136="","",4キー同時!$G$136)</f>
        <v/>
      </c>
      <c r="F3524" s="2" t="str">
        <f aca="false">IF(4キー同時!$L$136="","",4キー同時!$L$136)</f>
        <v/>
      </c>
      <c r="G3524" s="2" t="str">
        <f aca="false">IF(OR(4キー同時!$B$136="",4キー同時!$G$136="",4キー同時!$L$136=""),"",IF(4キー同時!AQ144="","",SUBSTITUTE(SUBSTITUTE(4キー同時!AQ144," ",""),"　","")))</f>
        <v/>
      </c>
      <c r="H3524" s="2" t="str">
        <f aca="false">IF($G3524="","",4キー同時!$B$136)</f>
        <v/>
      </c>
      <c r="I3524" s="2" t="str">
        <f aca="false">IF($G3524="","",4キー同時!$G$136)</f>
        <v/>
      </c>
      <c r="J3524" s="2" t="str">
        <f aca="false">IF($G3524="","",4キー同時!$L$136)</f>
        <v/>
      </c>
      <c r="K3524" s="2" t="str">
        <f aca="false">IF($G3524="","",".")</f>
        <v/>
      </c>
      <c r="L3524" s="2" t="str">
        <f aca="false">IF($G3524="","","同時")</f>
        <v/>
      </c>
      <c r="M3524" s="2" t="str">
        <f aca="false">IF($G3524="","",IF(ISNA(MATCH($G3524,個別指定!$A:$A,0)),"行なし",""))</f>
        <v/>
      </c>
      <c r="N3524" s="2" t="str">
        <f aca="false">IF($G3524="","",IF(COUNTIF($G$2:$G$4460,$G3524)&gt;1,"重複",""))</f>
        <v/>
      </c>
    </row>
    <row r="3525" customFormat="false" ht="16.5" hidden="false" customHeight="true" outlineLevel="0" collapsed="false">
      <c r="A3525" s="2" t="s">
        <v>447</v>
      </c>
      <c r="B3525" s="2" t="s">
        <v>458</v>
      </c>
      <c r="C3525" s="2" t="s">
        <v>44</v>
      </c>
      <c r="D3525" s="2" t="str">
        <f aca="false">IF(4キー同時!$B$136="","",4キー同時!$B$136)</f>
        <v/>
      </c>
      <c r="E3525" s="2" t="str">
        <f aca="false">IF(4キー同時!$G$136="","",4キー同時!$G$136)</f>
        <v/>
      </c>
      <c r="F3525" s="2" t="str">
        <f aca="false">IF(4キー同時!$L$136="","",4キー同時!$L$136)</f>
        <v/>
      </c>
      <c r="G3525" s="2" t="str">
        <f aca="false">IF(OR(4キー同時!$B$136="",4キー同時!$G$136="",4キー同時!$L$136=""),"",IF(4キー同時!AU144="","",SUBSTITUTE(SUBSTITUTE(4キー同時!AU144," ",""),"　","")))</f>
        <v/>
      </c>
      <c r="H3525" s="2" t="str">
        <f aca="false">IF($G3525="","",4キー同時!$B$136)</f>
        <v/>
      </c>
      <c r="I3525" s="2" t="str">
        <f aca="false">IF($G3525="","",4キー同時!$G$136)</f>
        <v/>
      </c>
      <c r="J3525" s="2" t="str">
        <f aca="false">IF($G3525="","",4キー同時!$L$136)</f>
        <v/>
      </c>
      <c r="K3525" s="2" t="str">
        <f aca="false">IF($G3525="","","/")</f>
        <v/>
      </c>
      <c r="L3525" s="2" t="str">
        <f aca="false">IF($G3525="","","同時")</f>
        <v/>
      </c>
      <c r="M3525" s="2" t="str">
        <f aca="false">IF($G3525="","",IF(ISNA(MATCH($G3525,個別指定!$A:$A,0)),"行なし",""))</f>
        <v/>
      </c>
      <c r="N3525" s="2" t="str">
        <f aca="false">IF($G3525="","",IF(COUNTIF($G$2:$G$4460,$G3525)&gt;1,"重複",""))</f>
        <v/>
      </c>
    </row>
    <row r="3526" customFormat="false" ht="16.5" hidden="false" customHeight="true" outlineLevel="0" collapsed="false">
      <c r="A3526" s="2" t="s">
        <v>447</v>
      </c>
      <c r="B3526" s="2" t="s">
        <v>458</v>
      </c>
      <c r="C3526" s="2" t="s">
        <v>48</v>
      </c>
      <c r="D3526" s="2" t="str">
        <f aca="false">IF(4キー同時!$B$136="","",4キー同時!$B$136)</f>
        <v/>
      </c>
      <c r="E3526" s="2" t="str">
        <f aca="false">IF(4キー同時!$G$136="","",4キー同時!$G$136)</f>
        <v/>
      </c>
      <c r="F3526" s="2" t="str">
        <f aca="false">IF(4キー同時!$L$136="","",4キー同時!$L$136)</f>
        <v/>
      </c>
      <c r="G3526" s="2" t="str">
        <f aca="false">IF(OR(4キー同時!$B$136="",4キー同時!$G$136="",4キー同時!$L$136=""),"",IF(4キー同時!P146="","",SUBSTITUTE(SUBSTITUTE(4キー同時!P146," ",""),"　","")))</f>
        <v/>
      </c>
      <c r="H3526" s="2" t="str">
        <f aca="false">IF($G3526="","",4キー同時!$B$136)</f>
        <v/>
      </c>
      <c r="I3526" s="2" t="str">
        <f aca="false">IF($G3526="","",4キー同時!$G$136)</f>
        <v/>
      </c>
      <c r="J3526" s="2" t="str">
        <f aca="false">IF($G3526="","",4キー同時!$L$136)</f>
        <v/>
      </c>
      <c r="K3526" s="2" t="str">
        <f aca="false">IF($G3526="","","muhenkan")</f>
        <v/>
      </c>
      <c r="L3526" s="2" t="str">
        <f aca="false">IF($G3526="","","同時")</f>
        <v/>
      </c>
      <c r="M3526" s="2" t="str">
        <f aca="false">IF($G3526="","",IF(ISNA(MATCH($G3526,個別指定!$A:$A,0)),"行なし",""))</f>
        <v/>
      </c>
      <c r="N3526" s="2" t="str">
        <f aca="false">IF($G3526="","",IF(COUNTIF($G$2:$G$4460,$G3526)&gt;1,"重複",""))</f>
        <v/>
      </c>
    </row>
    <row r="3527" customFormat="false" ht="16.5" hidden="false" customHeight="true" outlineLevel="0" collapsed="false">
      <c r="A3527" s="2" t="s">
        <v>447</v>
      </c>
      <c r="B3527" s="2" t="s">
        <v>458</v>
      </c>
      <c r="C3527" s="2" t="s">
        <v>50</v>
      </c>
      <c r="D3527" s="2" t="str">
        <f aca="false">IF(4キー同時!$B$136="","",4キー同時!$B$136)</f>
        <v/>
      </c>
      <c r="E3527" s="2" t="str">
        <f aca="false">IF(4キー同時!$G$136="","",4キー同時!$G$136)</f>
        <v/>
      </c>
      <c r="F3527" s="2" t="str">
        <f aca="false">IF(4キー同時!$L$136="","",4キー同時!$L$136)</f>
        <v/>
      </c>
      <c r="G3527" s="2" t="str">
        <f aca="false">IF(OR(4キー同時!$B$136="",4キー同時!$G$136="",4キー同時!$L$136=""),"",IF(4キー同時!T146="","",SUBSTITUTE(SUBSTITUTE(4キー同時!T146," ",""),"　","")))</f>
        <v/>
      </c>
      <c r="H3527" s="2" t="str">
        <f aca="false">IF($G3527="","",4キー同時!$B$136)</f>
        <v/>
      </c>
      <c r="I3527" s="2" t="str">
        <f aca="false">IF($G3527="","",4キー同時!$G$136)</f>
        <v/>
      </c>
      <c r="J3527" s="2" t="str">
        <f aca="false">IF($G3527="","",4キー同時!$L$136)</f>
        <v/>
      </c>
      <c r="K3527" s="2" t="str">
        <f aca="false">IF($G3527="","","space")</f>
        <v/>
      </c>
      <c r="L3527" s="2" t="str">
        <f aca="false">IF($G3527="","","同時")</f>
        <v/>
      </c>
      <c r="M3527" s="2" t="str">
        <f aca="false">IF($G3527="","",IF(ISNA(MATCH($G3527,個別指定!$A:$A,0)),"行なし",""))</f>
        <v/>
      </c>
      <c r="N3527" s="2" t="str">
        <f aca="false">IF($G3527="","",IF(COUNTIF($G$2:$G$4460,$G3527)&gt;1,"重複",""))</f>
        <v/>
      </c>
    </row>
    <row r="3528" customFormat="false" ht="16.5" hidden="false" customHeight="true" outlineLevel="0" collapsed="false">
      <c r="A3528" s="2" t="s">
        <v>447</v>
      </c>
      <c r="B3528" s="2" t="s">
        <v>458</v>
      </c>
      <c r="C3528" s="2" t="s">
        <v>45</v>
      </c>
      <c r="D3528" s="2" t="str">
        <f aca="false">IF(4キー同時!$B$136="","",4キー同時!$B$136)</f>
        <v/>
      </c>
      <c r="E3528" s="2" t="str">
        <f aca="false">IF(4キー同時!$G$136="","",4キー同時!$G$136)</f>
        <v/>
      </c>
      <c r="F3528" s="2" t="str">
        <f aca="false">IF(4キー同時!$L$136="","",4キー同時!$L$136)</f>
        <v/>
      </c>
      <c r="G3528" s="2" t="str">
        <f aca="false">IF(OR(4キー同時!$B$136="",4キー同時!$G$136="",4キー同時!$L$136=""),"",IF(4キー同時!AL146="","",SUBSTITUTE(SUBSTITUTE(4キー同時!AL146," ",""),"　","")))</f>
        <v/>
      </c>
      <c r="H3528" s="2" t="str">
        <f aca="false">IF($G3528="","",4キー同時!$B$136)</f>
        <v/>
      </c>
      <c r="I3528" s="2" t="str">
        <f aca="false">IF($G3528="","",4キー同時!$G$136)</f>
        <v/>
      </c>
      <c r="J3528" s="2" t="str">
        <f aca="false">IF($G3528="","",4キー同時!$L$136)</f>
        <v/>
      </c>
      <c r="K3528" s="2" t="str">
        <f aca="false">IF($G3528="","","henkan")</f>
        <v/>
      </c>
      <c r="L3528" s="2" t="str">
        <f aca="false">IF($G3528="","","同時")</f>
        <v/>
      </c>
      <c r="M3528" s="2" t="str">
        <f aca="false">IF($G3528="","",IF(ISNA(MATCH($G3528,個別指定!$A:$A,0)),"行なし",""))</f>
        <v/>
      </c>
      <c r="N3528" s="2" t="str">
        <f aca="false">IF($G3528="","",IF(COUNTIF($G$2:$G$4460,$G3528)&gt;1,"重複",""))</f>
        <v/>
      </c>
    </row>
    <row r="3529" customFormat="false" ht="16.5" hidden="false" customHeight="true" outlineLevel="0" collapsed="false">
      <c r="A3529" s="2" t="s">
        <v>447</v>
      </c>
      <c r="B3529" s="2" t="s">
        <v>458</v>
      </c>
      <c r="C3529" s="2" t="s">
        <v>46</v>
      </c>
      <c r="D3529" s="2" t="str">
        <f aca="false">IF(4キー同時!$B$136="","",4キー同時!$B$136)</f>
        <v/>
      </c>
      <c r="E3529" s="2" t="str">
        <f aca="false">IF(4キー同時!$G$136="","",4キー同時!$G$136)</f>
        <v/>
      </c>
      <c r="F3529" s="2" t="str">
        <f aca="false">IF(4キー同時!$L$136="","",4キー同時!$L$136)</f>
        <v/>
      </c>
      <c r="G3529" s="2" t="str">
        <f aca="false">IF(OR(4キー同時!$B$136="",4キー同時!$G$136="",4キー同時!$L$136=""),"",IF(4キー同時!AP146="","",SUBSTITUTE(SUBSTITUTE(4キー同時!AP146," ",""),"　","")))</f>
        <v/>
      </c>
      <c r="H3529" s="2" t="str">
        <f aca="false">IF($G3529="","",4キー同時!$B$136)</f>
        <v/>
      </c>
      <c r="I3529" s="2" t="str">
        <f aca="false">IF($G3529="","",4キー同時!$G$136)</f>
        <v/>
      </c>
      <c r="J3529" s="2" t="str">
        <f aca="false">IF($G3529="","",4キー同時!$L$136)</f>
        <v/>
      </c>
      <c r="K3529" s="2" t="str">
        <f aca="false">IF($G3529="","","kana")</f>
        <v/>
      </c>
      <c r="L3529" s="2" t="str">
        <f aca="false">IF($G3529="","","同時")</f>
        <v/>
      </c>
      <c r="M3529" s="2" t="str">
        <f aca="false">IF($G3529="","",IF(ISNA(MATCH($G3529,個別指定!$A:$A,0)),"行なし",""))</f>
        <v/>
      </c>
      <c r="N3529" s="2" t="str">
        <f aca="false">IF($G3529="","",IF(COUNTIF($G$2:$G$4460,$G3529)&gt;1,"重複",""))</f>
        <v/>
      </c>
    </row>
    <row r="3530" customFormat="false" ht="16.5" hidden="false" customHeight="true" outlineLevel="0" collapsed="false">
      <c r="A3530" s="2" t="s">
        <v>447</v>
      </c>
      <c r="B3530" s="2" t="s">
        <v>459</v>
      </c>
      <c r="C3530" s="2" t="s">
        <v>0</v>
      </c>
      <c r="D3530" s="2" t="str">
        <f aca="false">IF(4キー同時!$B$149="","",4キー同時!$B$149)</f>
        <v/>
      </c>
      <c r="E3530" s="2" t="str">
        <f aca="false">IF(4キー同時!$G$149="","",4キー同時!$G$149)</f>
        <v/>
      </c>
      <c r="F3530" s="2" t="str">
        <f aca="false">IF(4キー同時!$L$149="","",4キー同時!$L$149)</f>
        <v/>
      </c>
      <c r="G3530" s="2" t="str">
        <f aca="false">IF(OR(4キー同時!$B$149="",4キー同時!$G$149="",4キー同時!$L$149=""),"",IF(4キー同時!F151="","",SUBSTITUTE(SUBSTITUTE(4キー同時!F151," ",""),"　","")))</f>
        <v/>
      </c>
      <c r="H3530" s="2" t="str">
        <f aca="false">IF($G3530="","",4キー同時!$B$149)</f>
        <v/>
      </c>
      <c r="I3530" s="2" t="str">
        <f aca="false">IF($G3530="","",4キー同時!$G$149)</f>
        <v/>
      </c>
      <c r="J3530" s="2" t="str">
        <f aca="false">IF($G3530="","",4キー同時!$L$149)</f>
        <v/>
      </c>
      <c r="K3530" s="2" t="str">
        <f aca="false">IF($G3530="","","1")</f>
        <v/>
      </c>
      <c r="L3530" s="2" t="str">
        <f aca="false">IF($G3530="","","同時")</f>
        <v/>
      </c>
      <c r="M3530" s="2" t="str">
        <f aca="false">IF($G3530="","",IF(ISNA(MATCH($G3530,個別指定!$A:$A,0)),"行なし",""))</f>
        <v/>
      </c>
      <c r="N3530" s="2" t="str">
        <f aca="false">IF($G3530="","",IF(COUNTIF($G$2:$G$4460,$G3530)&gt;1,"重複",""))</f>
        <v/>
      </c>
    </row>
    <row r="3531" customFormat="false" ht="16.5" hidden="false" customHeight="true" outlineLevel="0" collapsed="false">
      <c r="A3531" s="2" t="s">
        <v>447</v>
      </c>
      <c r="B3531" s="2" t="s">
        <v>459</v>
      </c>
      <c r="C3531" s="2" t="s">
        <v>1</v>
      </c>
      <c r="D3531" s="2" t="str">
        <f aca="false">IF(4キー同時!$B$149="","",4キー同時!$B$149)</f>
        <v/>
      </c>
      <c r="E3531" s="2" t="str">
        <f aca="false">IF(4キー同時!$G$149="","",4キー同時!$G$149)</f>
        <v/>
      </c>
      <c r="F3531" s="2" t="str">
        <f aca="false">IF(4キー同時!$L$149="","",4キー同時!$L$149)</f>
        <v/>
      </c>
      <c r="G3531" s="2" t="str">
        <f aca="false">IF(OR(4キー同時!$B$149="",4キー同時!$G$149="",4キー同時!$L$149=""),"",IF(4キー同時!J151="","",SUBSTITUTE(SUBSTITUTE(4キー同時!J151," ",""),"　","")))</f>
        <v/>
      </c>
      <c r="H3531" s="2" t="str">
        <f aca="false">IF($G3531="","",4キー同時!$B$149)</f>
        <v/>
      </c>
      <c r="I3531" s="2" t="str">
        <f aca="false">IF($G3531="","",4キー同時!$G$149)</f>
        <v/>
      </c>
      <c r="J3531" s="2" t="str">
        <f aca="false">IF($G3531="","",4キー同時!$L$149)</f>
        <v/>
      </c>
      <c r="K3531" s="2" t="str">
        <f aca="false">IF($G3531="","","2")</f>
        <v/>
      </c>
      <c r="L3531" s="2" t="str">
        <f aca="false">IF($G3531="","","同時")</f>
        <v/>
      </c>
      <c r="M3531" s="2" t="str">
        <f aca="false">IF($G3531="","",IF(ISNA(MATCH($G3531,個別指定!$A:$A,0)),"行なし",""))</f>
        <v/>
      </c>
      <c r="N3531" s="2" t="str">
        <f aca="false">IF($G3531="","",IF(COUNTIF($G$2:$G$4460,$G3531)&gt;1,"重複",""))</f>
        <v/>
      </c>
    </row>
    <row r="3532" customFormat="false" ht="16.5" hidden="false" customHeight="true" outlineLevel="0" collapsed="false">
      <c r="A3532" s="2" t="s">
        <v>447</v>
      </c>
      <c r="B3532" s="2" t="s">
        <v>459</v>
      </c>
      <c r="C3532" s="2" t="s">
        <v>2</v>
      </c>
      <c r="D3532" s="2" t="str">
        <f aca="false">IF(4キー同時!$B$149="","",4キー同時!$B$149)</f>
        <v/>
      </c>
      <c r="E3532" s="2" t="str">
        <f aca="false">IF(4キー同時!$G$149="","",4キー同時!$G$149)</f>
        <v/>
      </c>
      <c r="F3532" s="2" t="str">
        <f aca="false">IF(4キー同時!$L$149="","",4キー同時!$L$149)</f>
        <v/>
      </c>
      <c r="G3532" s="2" t="str">
        <f aca="false">IF(OR(4キー同時!$B$149="",4キー同時!$G$149="",4キー同時!$L$149=""),"",IF(4キー同時!N151="","",SUBSTITUTE(SUBSTITUTE(4キー同時!N151," ",""),"　","")))</f>
        <v/>
      </c>
      <c r="H3532" s="2" t="str">
        <f aca="false">IF($G3532="","",4キー同時!$B$149)</f>
        <v/>
      </c>
      <c r="I3532" s="2" t="str">
        <f aca="false">IF($G3532="","",4キー同時!$G$149)</f>
        <v/>
      </c>
      <c r="J3532" s="2" t="str">
        <f aca="false">IF($G3532="","",4キー同時!$L$149)</f>
        <v/>
      </c>
      <c r="K3532" s="2" t="str">
        <f aca="false">IF($G3532="","","3")</f>
        <v/>
      </c>
      <c r="L3532" s="2" t="str">
        <f aca="false">IF($G3532="","","同時")</f>
        <v/>
      </c>
      <c r="M3532" s="2" t="str">
        <f aca="false">IF($G3532="","",IF(ISNA(MATCH($G3532,個別指定!$A:$A,0)),"行なし",""))</f>
        <v/>
      </c>
      <c r="N3532" s="2" t="str">
        <f aca="false">IF($G3532="","",IF(COUNTIF($G$2:$G$4460,$G3532)&gt;1,"重複",""))</f>
        <v/>
      </c>
    </row>
    <row r="3533" customFormat="false" ht="16.5" hidden="false" customHeight="true" outlineLevel="0" collapsed="false">
      <c r="A3533" s="2" t="s">
        <v>447</v>
      </c>
      <c r="B3533" s="2" t="s">
        <v>459</v>
      </c>
      <c r="C3533" s="2" t="s">
        <v>3</v>
      </c>
      <c r="D3533" s="2" t="str">
        <f aca="false">IF(4キー同時!$B$149="","",4キー同時!$B$149)</f>
        <v/>
      </c>
      <c r="E3533" s="2" t="str">
        <f aca="false">IF(4キー同時!$G$149="","",4キー同時!$G$149)</f>
        <v/>
      </c>
      <c r="F3533" s="2" t="str">
        <f aca="false">IF(4キー同時!$L$149="","",4キー同時!$L$149)</f>
        <v/>
      </c>
      <c r="G3533" s="2" t="str">
        <f aca="false">IF(OR(4キー同時!$B$149="",4キー同時!$G$149="",4キー同時!$L$149=""),"",IF(4キー同時!R151="","",SUBSTITUTE(SUBSTITUTE(4キー同時!R151," ",""),"　","")))</f>
        <v/>
      </c>
      <c r="H3533" s="2" t="str">
        <f aca="false">IF($G3533="","",4キー同時!$B$149)</f>
        <v/>
      </c>
      <c r="I3533" s="2" t="str">
        <f aca="false">IF($G3533="","",4キー同時!$G$149)</f>
        <v/>
      </c>
      <c r="J3533" s="2" t="str">
        <f aca="false">IF($G3533="","",4キー同時!$L$149)</f>
        <v/>
      </c>
      <c r="K3533" s="2" t="str">
        <f aca="false">IF($G3533="","","4")</f>
        <v/>
      </c>
      <c r="L3533" s="2" t="str">
        <f aca="false">IF($G3533="","","同時")</f>
        <v/>
      </c>
      <c r="M3533" s="2" t="str">
        <f aca="false">IF($G3533="","",IF(ISNA(MATCH($G3533,個別指定!$A:$A,0)),"行なし",""))</f>
        <v/>
      </c>
      <c r="N3533" s="2" t="str">
        <f aca="false">IF($G3533="","",IF(COUNTIF($G$2:$G$4460,$G3533)&gt;1,"重複",""))</f>
        <v/>
      </c>
    </row>
    <row r="3534" customFormat="false" ht="16.5" hidden="false" customHeight="true" outlineLevel="0" collapsed="false">
      <c r="A3534" s="2" t="s">
        <v>447</v>
      </c>
      <c r="B3534" s="2" t="s">
        <v>459</v>
      </c>
      <c r="C3534" s="2" t="s">
        <v>4</v>
      </c>
      <c r="D3534" s="2" t="str">
        <f aca="false">IF(4キー同時!$B$149="","",4キー同時!$B$149)</f>
        <v/>
      </c>
      <c r="E3534" s="2" t="str">
        <f aca="false">IF(4キー同時!$G$149="","",4キー同時!$G$149)</f>
        <v/>
      </c>
      <c r="F3534" s="2" t="str">
        <f aca="false">IF(4キー同時!$L$149="","",4キー同時!$L$149)</f>
        <v/>
      </c>
      <c r="G3534" s="2" t="str">
        <f aca="false">IF(OR(4キー同時!$B$149="",4キー同時!$G$149="",4キー同時!$L$149=""),"",IF(4キー同時!V151="","",SUBSTITUTE(SUBSTITUTE(4キー同時!V151," ",""),"　","")))</f>
        <v/>
      </c>
      <c r="H3534" s="2" t="str">
        <f aca="false">IF($G3534="","",4キー同時!$B$149)</f>
        <v/>
      </c>
      <c r="I3534" s="2" t="str">
        <f aca="false">IF($G3534="","",4キー同時!$G$149)</f>
        <v/>
      </c>
      <c r="J3534" s="2" t="str">
        <f aca="false">IF($G3534="","",4キー同時!$L$149)</f>
        <v/>
      </c>
      <c r="K3534" s="2" t="str">
        <f aca="false">IF($G3534="","","5")</f>
        <v/>
      </c>
      <c r="L3534" s="2" t="str">
        <f aca="false">IF($G3534="","","同時")</f>
        <v/>
      </c>
      <c r="M3534" s="2" t="str">
        <f aca="false">IF($G3534="","",IF(ISNA(MATCH($G3534,個別指定!$A:$A,0)),"行なし",""))</f>
        <v/>
      </c>
      <c r="N3534" s="2" t="str">
        <f aca="false">IF($G3534="","",IF(COUNTIF($G$2:$G$4460,$G3534)&gt;1,"重複",""))</f>
        <v/>
      </c>
    </row>
    <row r="3535" customFormat="false" ht="16.5" hidden="false" customHeight="true" outlineLevel="0" collapsed="false">
      <c r="A3535" s="2" t="s">
        <v>447</v>
      </c>
      <c r="B3535" s="2" t="s">
        <v>459</v>
      </c>
      <c r="C3535" s="2" t="s">
        <v>5</v>
      </c>
      <c r="D3535" s="2" t="str">
        <f aca="false">IF(4キー同時!$B$149="","",4キー同時!$B$149)</f>
        <v/>
      </c>
      <c r="E3535" s="2" t="str">
        <f aca="false">IF(4キー同時!$G$149="","",4キー同時!$G$149)</f>
        <v/>
      </c>
      <c r="F3535" s="2" t="str">
        <f aca="false">IF(4キー同時!$L$149="","",4キー同時!$L$149)</f>
        <v/>
      </c>
      <c r="G3535" s="2" t="str">
        <f aca="false">IF(OR(4キー同時!$B$149="",4キー同時!$G$149="",4キー同時!$L$149=""),"",IF(4キー同時!Z151="","",SUBSTITUTE(SUBSTITUTE(4キー同時!Z151," ",""),"　","")))</f>
        <v/>
      </c>
      <c r="H3535" s="2" t="str">
        <f aca="false">IF($G3535="","",4キー同時!$B$149)</f>
        <v/>
      </c>
      <c r="I3535" s="2" t="str">
        <f aca="false">IF($G3535="","",4キー同時!$G$149)</f>
        <v/>
      </c>
      <c r="J3535" s="2" t="str">
        <f aca="false">IF($G3535="","",4キー同時!$L$149)</f>
        <v/>
      </c>
      <c r="K3535" s="2" t="str">
        <f aca="false">IF($G3535="","","6")</f>
        <v/>
      </c>
      <c r="L3535" s="2" t="str">
        <f aca="false">IF($G3535="","","同時")</f>
        <v/>
      </c>
      <c r="M3535" s="2" t="str">
        <f aca="false">IF($G3535="","",IF(ISNA(MATCH($G3535,個別指定!$A:$A,0)),"行なし",""))</f>
        <v/>
      </c>
      <c r="N3535" s="2" t="str">
        <f aca="false">IF($G3535="","",IF(COUNTIF($G$2:$G$4460,$G3535)&gt;1,"重複",""))</f>
        <v/>
      </c>
    </row>
    <row r="3536" customFormat="false" ht="16.5" hidden="false" customHeight="true" outlineLevel="0" collapsed="false">
      <c r="A3536" s="2" t="s">
        <v>447</v>
      </c>
      <c r="B3536" s="2" t="s">
        <v>459</v>
      </c>
      <c r="C3536" s="2" t="s">
        <v>6</v>
      </c>
      <c r="D3536" s="2" t="str">
        <f aca="false">IF(4キー同時!$B$149="","",4キー同時!$B$149)</f>
        <v/>
      </c>
      <c r="E3536" s="2" t="str">
        <f aca="false">IF(4キー同時!$G$149="","",4キー同時!$G$149)</f>
        <v/>
      </c>
      <c r="F3536" s="2" t="str">
        <f aca="false">IF(4キー同時!$L$149="","",4キー同時!$L$149)</f>
        <v/>
      </c>
      <c r="G3536" s="2" t="str">
        <f aca="false">IF(OR(4キー同時!$B$149="",4キー同時!$G$149="",4キー同時!$L$149=""),"",IF(4キー同時!AD151="","",SUBSTITUTE(SUBSTITUTE(4キー同時!AD151," ",""),"　","")))</f>
        <v/>
      </c>
      <c r="H3536" s="2" t="str">
        <f aca="false">IF($G3536="","",4キー同時!$B$149)</f>
        <v/>
      </c>
      <c r="I3536" s="2" t="str">
        <f aca="false">IF($G3536="","",4キー同時!$G$149)</f>
        <v/>
      </c>
      <c r="J3536" s="2" t="str">
        <f aca="false">IF($G3536="","",4キー同時!$L$149)</f>
        <v/>
      </c>
      <c r="K3536" s="2" t="str">
        <f aca="false">IF($G3536="","","7")</f>
        <v/>
      </c>
      <c r="L3536" s="2" t="str">
        <f aca="false">IF($G3536="","","同時")</f>
        <v/>
      </c>
      <c r="M3536" s="2" t="str">
        <f aca="false">IF($G3536="","",IF(ISNA(MATCH($G3536,個別指定!$A:$A,0)),"行なし",""))</f>
        <v/>
      </c>
      <c r="N3536" s="2" t="str">
        <f aca="false">IF($G3536="","",IF(COUNTIF($G$2:$G$4460,$G3536)&gt;1,"重複",""))</f>
        <v/>
      </c>
    </row>
    <row r="3537" customFormat="false" ht="16.5" hidden="false" customHeight="true" outlineLevel="0" collapsed="false">
      <c r="A3537" s="2" t="s">
        <v>447</v>
      </c>
      <c r="B3537" s="2" t="s">
        <v>459</v>
      </c>
      <c r="C3537" s="2" t="s">
        <v>7</v>
      </c>
      <c r="D3537" s="2" t="str">
        <f aca="false">IF(4キー同時!$B$149="","",4キー同時!$B$149)</f>
        <v/>
      </c>
      <c r="E3537" s="2" t="str">
        <f aca="false">IF(4キー同時!$G$149="","",4キー同時!$G$149)</f>
        <v/>
      </c>
      <c r="F3537" s="2" t="str">
        <f aca="false">IF(4キー同時!$L$149="","",4キー同時!$L$149)</f>
        <v/>
      </c>
      <c r="G3537" s="2" t="str">
        <f aca="false">IF(OR(4キー同時!$B$149="",4キー同時!$G$149="",4キー同時!$L$149=""),"",IF(4キー同時!AH151="","",SUBSTITUTE(SUBSTITUTE(4キー同時!AH151," ",""),"　","")))</f>
        <v/>
      </c>
      <c r="H3537" s="2" t="str">
        <f aca="false">IF($G3537="","",4キー同時!$B$149)</f>
        <v/>
      </c>
      <c r="I3537" s="2" t="str">
        <f aca="false">IF($G3537="","",4キー同時!$G$149)</f>
        <v/>
      </c>
      <c r="J3537" s="2" t="str">
        <f aca="false">IF($G3537="","",4キー同時!$L$149)</f>
        <v/>
      </c>
      <c r="K3537" s="2" t="str">
        <f aca="false">IF($G3537="","","8")</f>
        <v/>
      </c>
      <c r="L3537" s="2" t="str">
        <f aca="false">IF($G3537="","","同時")</f>
        <v/>
      </c>
      <c r="M3537" s="2" t="str">
        <f aca="false">IF($G3537="","",IF(ISNA(MATCH($G3537,個別指定!$A:$A,0)),"行なし",""))</f>
        <v/>
      </c>
      <c r="N3537" s="2" t="str">
        <f aca="false">IF($G3537="","",IF(COUNTIF($G$2:$G$4460,$G3537)&gt;1,"重複",""))</f>
        <v/>
      </c>
    </row>
    <row r="3538" customFormat="false" ht="16.5" hidden="false" customHeight="true" outlineLevel="0" collapsed="false">
      <c r="A3538" s="2" t="s">
        <v>447</v>
      </c>
      <c r="B3538" s="2" t="s">
        <v>459</v>
      </c>
      <c r="C3538" s="2" t="s">
        <v>8</v>
      </c>
      <c r="D3538" s="2" t="str">
        <f aca="false">IF(4キー同時!$B$149="","",4キー同時!$B$149)</f>
        <v/>
      </c>
      <c r="E3538" s="2" t="str">
        <f aca="false">IF(4キー同時!$G$149="","",4キー同時!$G$149)</f>
        <v/>
      </c>
      <c r="F3538" s="2" t="str">
        <f aca="false">IF(4キー同時!$L$149="","",4キー同時!$L$149)</f>
        <v/>
      </c>
      <c r="G3538" s="2" t="str">
        <f aca="false">IF(OR(4キー同時!$B$149="",4キー同時!$G$149="",4キー同時!$L$149=""),"",IF(4キー同時!AL151="","",SUBSTITUTE(SUBSTITUTE(4キー同時!AL151," ",""),"　","")))</f>
        <v/>
      </c>
      <c r="H3538" s="2" t="str">
        <f aca="false">IF($G3538="","",4キー同時!$B$149)</f>
        <v/>
      </c>
      <c r="I3538" s="2" t="str">
        <f aca="false">IF($G3538="","",4キー同時!$G$149)</f>
        <v/>
      </c>
      <c r="J3538" s="2" t="str">
        <f aca="false">IF($G3538="","",4キー同時!$L$149)</f>
        <v/>
      </c>
      <c r="K3538" s="2" t="str">
        <f aca="false">IF($G3538="","","9")</f>
        <v/>
      </c>
      <c r="L3538" s="2" t="str">
        <f aca="false">IF($G3538="","","同時")</f>
        <v/>
      </c>
      <c r="M3538" s="2" t="str">
        <f aca="false">IF($G3538="","",IF(ISNA(MATCH($G3538,個別指定!$A:$A,0)),"行なし",""))</f>
        <v/>
      </c>
      <c r="N3538" s="2" t="str">
        <f aca="false">IF($G3538="","",IF(COUNTIF($G$2:$G$4460,$G3538)&gt;1,"重複",""))</f>
        <v/>
      </c>
    </row>
    <row r="3539" customFormat="false" ht="16.5" hidden="false" customHeight="true" outlineLevel="0" collapsed="false">
      <c r="A3539" s="2" t="s">
        <v>447</v>
      </c>
      <c r="B3539" s="2" t="s">
        <v>459</v>
      </c>
      <c r="C3539" s="2" t="s">
        <v>9</v>
      </c>
      <c r="D3539" s="2" t="str">
        <f aca="false">IF(4キー同時!$B$149="","",4キー同時!$B$149)</f>
        <v/>
      </c>
      <c r="E3539" s="2" t="str">
        <f aca="false">IF(4キー同時!$G$149="","",4キー同時!$G$149)</f>
        <v/>
      </c>
      <c r="F3539" s="2" t="str">
        <f aca="false">IF(4キー同時!$L$149="","",4キー同時!$L$149)</f>
        <v/>
      </c>
      <c r="G3539" s="2" t="str">
        <f aca="false">IF(OR(4キー同時!$B$149="",4キー同時!$G$149="",4キー同時!$L$149=""),"",IF(4キー同時!AP151="","",SUBSTITUTE(SUBSTITUTE(4キー同時!AP151," ",""),"　","")))</f>
        <v/>
      </c>
      <c r="H3539" s="2" t="str">
        <f aca="false">IF($G3539="","",4キー同時!$B$149)</f>
        <v/>
      </c>
      <c r="I3539" s="2" t="str">
        <f aca="false">IF($G3539="","",4キー同時!$G$149)</f>
        <v/>
      </c>
      <c r="J3539" s="2" t="str">
        <f aca="false">IF($G3539="","",4キー同時!$L$149)</f>
        <v/>
      </c>
      <c r="K3539" s="2" t="str">
        <f aca="false">IF($G3539="","","0")</f>
        <v/>
      </c>
      <c r="L3539" s="2" t="str">
        <f aca="false">IF($G3539="","","同時")</f>
        <v/>
      </c>
      <c r="M3539" s="2" t="str">
        <f aca="false">IF($G3539="","",IF(ISNA(MATCH($G3539,個別指定!$A:$A,0)),"行なし",""))</f>
        <v/>
      </c>
      <c r="N3539" s="2" t="str">
        <f aca="false">IF($G3539="","",IF(COUNTIF($G$2:$G$4460,$G3539)&gt;1,"重複",""))</f>
        <v/>
      </c>
    </row>
    <row r="3540" customFormat="false" ht="16.5" hidden="false" customHeight="true" outlineLevel="0" collapsed="false">
      <c r="A3540" s="2" t="s">
        <v>447</v>
      </c>
      <c r="B3540" s="2" t="s">
        <v>459</v>
      </c>
      <c r="C3540" s="2" t="s">
        <v>10</v>
      </c>
      <c r="D3540" s="2" t="str">
        <f aca="false">IF(4キー同時!$B$149="","",4キー同時!$B$149)</f>
        <v/>
      </c>
      <c r="E3540" s="2" t="str">
        <f aca="false">IF(4キー同時!$G$149="","",4キー同時!$G$149)</f>
        <v/>
      </c>
      <c r="F3540" s="2" t="str">
        <f aca="false">IF(4キー同時!$L$149="","",4キー同時!$L$149)</f>
        <v/>
      </c>
      <c r="G3540" s="2" t="str">
        <f aca="false">IF(OR(4キー同時!$B$149="",4キー同時!$G$149="",4キー同時!$L$149=""),"",IF(4キー同時!AT151="","",SUBSTITUTE(SUBSTITUTE(4キー同時!AT151," ",""),"　","")))</f>
        <v/>
      </c>
      <c r="H3540" s="2" t="str">
        <f aca="false">IF($G3540="","",4キー同時!$B$149)</f>
        <v/>
      </c>
      <c r="I3540" s="2" t="str">
        <f aca="false">IF($G3540="","",4キー同時!$G$149)</f>
        <v/>
      </c>
      <c r="J3540" s="2" t="str">
        <f aca="false">IF($G3540="","",4キー同時!$L$149)</f>
        <v/>
      </c>
      <c r="K3540" s="2" t="str">
        <f aca="false">IF($G3540="","","-")</f>
        <v/>
      </c>
      <c r="L3540" s="2" t="str">
        <f aca="false">IF($G3540="","","同時")</f>
        <v/>
      </c>
      <c r="M3540" s="2" t="str">
        <f aca="false">IF($G3540="","",IF(ISNA(MATCH($G3540,個別指定!$A:$A,0)),"行なし",""))</f>
        <v/>
      </c>
      <c r="N3540" s="2" t="str">
        <f aca="false">IF($G3540="","",IF(COUNTIF($G$2:$G$4460,$G3540)&gt;1,"重複",""))</f>
        <v/>
      </c>
    </row>
    <row r="3541" customFormat="false" ht="16.5" hidden="false" customHeight="true" outlineLevel="0" collapsed="false">
      <c r="A3541" s="2" t="s">
        <v>447</v>
      </c>
      <c r="B3541" s="2" t="s">
        <v>459</v>
      </c>
      <c r="C3541" s="2" t="s">
        <v>11</v>
      </c>
      <c r="D3541" s="2" t="str">
        <f aca="false">IF(4キー同時!$B$149="","",4キー同時!$B$149)</f>
        <v/>
      </c>
      <c r="E3541" s="2" t="str">
        <f aca="false">IF(4キー同時!$G$149="","",4キー同時!$G$149)</f>
        <v/>
      </c>
      <c r="F3541" s="2" t="str">
        <f aca="false">IF(4キー同時!$L$149="","",4キー同時!$L$149)</f>
        <v/>
      </c>
      <c r="G3541" s="2" t="str">
        <f aca="false">IF(OR(4キー同時!$B$149="",4キー同時!$G$149="",4キー同時!$L$149=""),"",IF(4キー同時!AX151="","",SUBSTITUTE(SUBSTITUTE(4キー同時!AX151," ",""),"　","")))</f>
        <v/>
      </c>
      <c r="H3541" s="2" t="str">
        <f aca="false">IF($G3541="","",4キー同時!$B$149)</f>
        <v/>
      </c>
      <c r="I3541" s="2" t="str">
        <f aca="false">IF($G3541="","",4キー同時!$G$149)</f>
        <v/>
      </c>
      <c r="J3541" s="2" t="str">
        <f aca="false">IF($G3541="","",4キー同時!$L$149)</f>
        <v/>
      </c>
      <c r="K3541" s="2" t="str">
        <f aca="false">IF($G3541="","","=")</f>
        <v/>
      </c>
      <c r="L3541" s="2" t="str">
        <f aca="false">IF($G3541="","","同時")</f>
        <v/>
      </c>
      <c r="M3541" s="2" t="str">
        <f aca="false">IF($G3541="","",IF(ISNA(MATCH($G3541,個別指定!$A:$A,0)),"行なし",""))</f>
        <v/>
      </c>
      <c r="N3541" s="2" t="str">
        <f aca="false">IF($G3541="","",IF(COUNTIF($G$2:$G$4460,$G3541)&gt;1,"重複",""))</f>
        <v/>
      </c>
    </row>
    <row r="3542" customFormat="false" ht="16.5" hidden="false" customHeight="true" outlineLevel="0" collapsed="false">
      <c r="A3542" s="2" t="s">
        <v>447</v>
      </c>
      <c r="B3542" s="2" t="s">
        <v>459</v>
      </c>
      <c r="C3542" s="2" t="s">
        <v>12</v>
      </c>
      <c r="D3542" s="2" t="str">
        <f aca="false">IF(4キー同時!$B$149="","",4キー同時!$B$149)</f>
        <v/>
      </c>
      <c r="E3542" s="2" t="str">
        <f aca="false">IF(4キー同時!$G$149="","",4キー同時!$G$149)</f>
        <v/>
      </c>
      <c r="F3542" s="2" t="str">
        <f aca="false">IF(4キー同時!$L$149="","",4キー同時!$L$149)</f>
        <v/>
      </c>
      <c r="G3542" s="2" t="str">
        <f aca="false">IF(OR(4キー同時!$B$149="",4キー同時!$G$149="",4キー同時!$L$149=""),"",IF(4キー同時!H153="","",SUBSTITUTE(SUBSTITUTE(4キー同時!H153," ",""),"　","")))</f>
        <v/>
      </c>
      <c r="H3542" s="2" t="str">
        <f aca="false">IF($G3542="","",4キー同時!$B$149)</f>
        <v/>
      </c>
      <c r="I3542" s="2" t="str">
        <f aca="false">IF($G3542="","",4キー同時!$G$149)</f>
        <v/>
      </c>
      <c r="J3542" s="2" t="str">
        <f aca="false">IF($G3542="","",4キー同時!$L$149)</f>
        <v/>
      </c>
      <c r="K3542" s="2" t="str">
        <f aca="false">IF($G3542="","","q")</f>
        <v/>
      </c>
      <c r="L3542" s="2" t="str">
        <f aca="false">IF($G3542="","","同時")</f>
        <v/>
      </c>
      <c r="M3542" s="2" t="str">
        <f aca="false">IF($G3542="","",IF(ISNA(MATCH($G3542,個別指定!$A:$A,0)),"行なし",""))</f>
        <v/>
      </c>
      <c r="N3542" s="2" t="str">
        <f aca="false">IF($G3542="","",IF(COUNTIF($G$2:$G$4460,$G3542)&gt;1,"重複",""))</f>
        <v/>
      </c>
    </row>
    <row r="3543" customFormat="false" ht="16.5" hidden="false" customHeight="true" outlineLevel="0" collapsed="false">
      <c r="A3543" s="2" t="s">
        <v>447</v>
      </c>
      <c r="B3543" s="2" t="s">
        <v>459</v>
      </c>
      <c r="C3543" s="2" t="s">
        <v>13</v>
      </c>
      <c r="D3543" s="2" t="str">
        <f aca="false">IF(4キー同時!$B$149="","",4キー同時!$B$149)</f>
        <v/>
      </c>
      <c r="E3543" s="2" t="str">
        <f aca="false">IF(4キー同時!$G$149="","",4キー同時!$G$149)</f>
        <v/>
      </c>
      <c r="F3543" s="2" t="str">
        <f aca="false">IF(4キー同時!$L$149="","",4キー同時!$L$149)</f>
        <v/>
      </c>
      <c r="G3543" s="2" t="str">
        <f aca="false">IF(OR(4キー同時!$B$149="",4キー同時!$G$149="",4キー同時!$L$149=""),"",IF(4キー同時!L153="","",SUBSTITUTE(SUBSTITUTE(4キー同時!L153," ",""),"　","")))</f>
        <v/>
      </c>
      <c r="H3543" s="2" t="str">
        <f aca="false">IF($G3543="","",4キー同時!$B$149)</f>
        <v/>
      </c>
      <c r="I3543" s="2" t="str">
        <f aca="false">IF($G3543="","",4キー同時!$G$149)</f>
        <v/>
      </c>
      <c r="J3543" s="2" t="str">
        <f aca="false">IF($G3543="","",4キー同時!$L$149)</f>
        <v/>
      </c>
      <c r="K3543" s="2" t="str">
        <f aca="false">IF($G3543="","","w")</f>
        <v/>
      </c>
      <c r="L3543" s="2" t="str">
        <f aca="false">IF($G3543="","","同時")</f>
        <v/>
      </c>
      <c r="M3543" s="2" t="str">
        <f aca="false">IF($G3543="","",IF(ISNA(MATCH($G3543,個別指定!$A:$A,0)),"行なし",""))</f>
        <v/>
      </c>
      <c r="N3543" s="2" t="str">
        <f aca="false">IF($G3543="","",IF(COUNTIF($G$2:$G$4460,$G3543)&gt;1,"重複",""))</f>
        <v/>
      </c>
    </row>
    <row r="3544" customFormat="false" ht="16.5" hidden="false" customHeight="true" outlineLevel="0" collapsed="false">
      <c r="A3544" s="2" t="s">
        <v>447</v>
      </c>
      <c r="B3544" s="2" t="s">
        <v>459</v>
      </c>
      <c r="C3544" s="2" t="s">
        <v>14</v>
      </c>
      <c r="D3544" s="2" t="str">
        <f aca="false">IF(4キー同時!$B$149="","",4キー同時!$B$149)</f>
        <v/>
      </c>
      <c r="E3544" s="2" t="str">
        <f aca="false">IF(4キー同時!$G$149="","",4キー同時!$G$149)</f>
        <v/>
      </c>
      <c r="F3544" s="2" t="str">
        <f aca="false">IF(4キー同時!$L$149="","",4キー同時!$L$149)</f>
        <v/>
      </c>
      <c r="G3544" s="2" t="str">
        <f aca="false">IF(OR(4キー同時!$B$149="",4キー同時!$G$149="",4キー同時!$L$149=""),"",IF(4キー同時!P153="","",SUBSTITUTE(SUBSTITUTE(4キー同時!P153," ",""),"　","")))</f>
        <v/>
      </c>
      <c r="H3544" s="2" t="str">
        <f aca="false">IF($G3544="","",4キー同時!$B$149)</f>
        <v/>
      </c>
      <c r="I3544" s="2" t="str">
        <f aca="false">IF($G3544="","",4キー同時!$G$149)</f>
        <v/>
      </c>
      <c r="J3544" s="2" t="str">
        <f aca="false">IF($G3544="","",4キー同時!$L$149)</f>
        <v/>
      </c>
      <c r="K3544" s="2" t="str">
        <f aca="false">IF($G3544="","","e")</f>
        <v/>
      </c>
      <c r="L3544" s="2" t="str">
        <f aca="false">IF($G3544="","","同時")</f>
        <v/>
      </c>
      <c r="M3544" s="2" t="str">
        <f aca="false">IF($G3544="","",IF(ISNA(MATCH($G3544,個別指定!$A:$A,0)),"行なし",""))</f>
        <v/>
      </c>
      <c r="N3544" s="2" t="str">
        <f aca="false">IF($G3544="","",IF(COUNTIF($G$2:$G$4460,$G3544)&gt;1,"重複",""))</f>
        <v/>
      </c>
    </row>
    <row r="3545" customFormat="false" ht="16.5" hidden="false" customHeight="true" outlineLevel="0" collapsed="false">
      <c r="A3545" s="2" t="s">
        <v>447</v>
      </c>
      <c r="B3545" s="2" t="s">
        <v>459</v>
      </c>
      <c r="C3545" s="2" t="s">
        <v>15</v>
      </c>
      <c r="D3545" s="2" t="str">
        <f aca="false">IF(4キー同時!$B$149="","",4キー同時!$B$149)</f>
        <v/>
      </c>
      <c r="E3545" s="2" t="str">
        <f aca="false">IF(4キー同時!$G$149="","",4キー同時!$G$149)</f>
        <v/>
      </c>
      <c r="F3545" s="2" t="str">
        <f aca="false">IF(4キー同時!$L$149="","",4キー同時!$L$149)</f>
        <v/>
      </c>
      <c r="G3545" s="2" t="str">
        <f aca="false">IF(OR(4キー同時!$B$149="",4キー同時!$G$149="",4キー同時!$L$149=""),"",IF(4キー同時!T153="","",SUBSTITUTE(SUBSTITUTE(4キー同時!T153," ",""),"　","")))</f>
        <v/>
      </c>
      <c r="H3545" s="2" t="str">
        <f aca="false">IF($G3545="","",4キー同時!$B$149)</f>
        <v/>
      </c>
      <c r="I3545" s="2" t="str">
        <f aca="false">IF($G3545="","",4キー同時!$G$149)</f>
        <v/>
      </c>
      <c r="J3545" s="2" t="str">
        <f aca="false">IF($G3545="","",4キー同時!$L$149)</f>
        <v/>
      </c>
      <c r="K3545" s="2" t="str">
        <f aca="false">IF($G3545="","","r")</f>
        <v/>
      </c>
      <c r="L3545" s="2" t="str">
        <f aca="false">IF($G3545="","","同時")</f>
        <v/>
      </c>
      <c r="M3545" s="2" t="str">
        <f aca="false">IF($G3545="","",IF(ISNA(MATCH($G3545,個別指定!$A:$A,0)),"行なし",""))</f>
        <v/>
      </c>
      <c r="N3545" s="2" t="str">
        <f aca="false">IF($G3545="","",IF(COUNTIF($G$2:$G$4460,$G3545)&gt;1,"重複",""))</f>
        <v/>
      </c>
    </row>
    <row r="3546" customFormat="false" ht="16.5" hidden="false" customHeight="true" outlineLevel="0" collapsed="false">
      <c r="A3546" s="2" t="s">
        <v>447</v>
      </c>
      <c r="B3546" s="2" t="s">
        <v>459</v>
      </c>
      <c r="C3546" s="2" t="s">
        <v>16</v>
      </c>
      <c r="D3546" s="2" t="str">
        <f aca="false">IF(4キー同時!$B$149="","",4キー同時!$B$149)</f>
        <v/>
      </c>
      <c r="E3546" s="2" t="str">
        <f aca="false">IF(4キー同時!$G$149="","",4キー同時!$G$149)</f>
        <v/>
      </c>
      <c r="F3546" s="2" t="str">
        <f aca="false">IF(4キー同時!$L$149="","",4キー同時!$L$149)</f>
        <v/>
      </c>
      <c r="G3546" s="2" t="str">
        <f aca="false">IF(OR(4キー同時!$B$149="",4キー同時!$G$149="",4キー同時!$L$149=""),"",IF(4キー同時!X153="","",SUBSTITUTE(SUBSTITUTE(4キー同時!X153," ",""),"　","")))</f>
        <v/>
      </c>
      <c r="H3546" s="2" t="str">
        <f aca="false">IF($G3546="","",4キー同時!$B$149)</f>
        <v/>
      </c>
      <c r="I3546" s="2" t="str">
        <f aca="false">IF($G3546="","",4キー同時!$G$149)</f>
        <v/>
      </c>
      <c r="J3546" s="2" t="str">
        <f aca="false">IF($G3546="","",4キー同時!$L$149)</f>
        <v/>
      </c>
      <c r="K3546" s="2" t="str">
        <f aca="false">IF($G3546="","","t")</f>
        <v/>
      </c>
      <c r="L3546" s="2" t="str">
        <f aca="false">IF($G3546="","","同時")</f>
        <v/>
      </c>
      <c r="M3546" s="2" t="str">
        <f aca="false">IF($G3546="","",IF(ISNA(MATCH($G3546,個別指定!$A:$A,0)),"行なし",""))</f>
        <v/>
      </c>
      <c r="N3546" s="2" t="str">
        <f aca="false">IF($G3546="","",IF(COUNTIF($G$2:$G$4460,$G3546)&gt;1,"重複",""))</f>
        <v/>
      </c>
    </row>
    <row r="3547" customFormat="false" ht="16.5" hidden="false" customHeight="true" outlineLevel="0" collapsed="false">
      <c r="A3547" s="2" t="s">
        <v>447</v>
      </c>
      <c r="B3547" s="2" t="s">
        <v>459</v>
      </c>
      <c r="C3547" s="2" t="s">
        <v>17</v>
      </c>
      <c r="D3547" s="2" t="str">
        <f aca="false">IF(4キー同時!$B$149="","",4キー同時!$B$149)</f>
        <v/>
      </c>
      <c r="E3547" s="2" t="str">
        <f aca="false">IF(4キー同時!$G$149="","",4キー同時!$G$149)</f>
        <v/>
      </c>
      <c r="F3547" s="2" t="str">
        <f aca="false">IF(4キー同時!$L$149="","",4キー同時!$L$149)</f>
        <v/>
      </c>
      <c r="G3547" s="2" t="str">
        <f aca="false">IF(OR(4キー同時!$B$149="",4キー同時!$G$149="",4キー同時!$L$149=""),"",IF(4キー同時!AB153="","",SUBSTITUTE(SUBSTITUTE(4キー同時!AB153," ",""),"　","")))</f>
        <v/>
      </c>
      <c r="H3547" s="2" t="str">
        <f aca="false">IF($G3547="","",4キー同時!$B$149)</f>
        <v/>
      </c>
      <c r="I3547" s="2" t="str">
        <f aca="false">IF($G3547="","",4キー同時!$G$149)</f>
        <v/>
      </c>
      <c r="J3547" s="2" t="str">
        <f aca="false">IF($G3547="","",4キー同時!$L$149)</f>
        <v/>
      </c>
      <c r="K3547" s="2" t="str">
        <f aca="false">IF($G3547="","","y")</f>
        <v/>
      </c>
      <c r="L3547" s="2" t="str">
        <f aca="false">IF($G3547="","","同時")</f>
        <v/>
      </c>
      <c r="M3547" s="2" t="str">
        <f aca="false">IF($G3547="","",IF(ISNA(MATCH($G3547,個別指定!$A:$A,0)),"行なし",""))</f>
        <v/>
      </c>
      <c r="N3547" s="2" t="str">
        <f aca="false">IF($G3547="","",IF(COUNTIF($G$2:$G$4460,$G3547)&gt;1,"重複",""))</f>
        <v/>
      </c>
    </row>
    <row r="3548" customFormat="false" ht="16.5" hidden="false" customHeight="true" outlineLevel="0" collapsed="false">
      <c r="A3548" s="2" t="s">
        <v>447</v>
      </c>
      <c r="B3548" s="2" t="s">
        <v>459</v>
      </c>
      <c r="C3548" s="2" t="s">
        <v>18</v>
      </c>
      <c r="D3548" s="2" t="str">
        <f aca="false">IF(4キー同時!$B$149="","",4キー同時!$B$149)</f>
        <v/>
      </c>
      <c r="E3548" s="2" t="str">
        <f aca="false">IF(4キー同時!$G$149="","",4キー同時!$G$149)</f>
        <v/>
      </c>
      <c r="F3548" s="2" t="str">
        <f aca="false">IF(4キー同時!$L$149="","",4キー同時!$L$149)</f>
        <v/>
      </c>
      <c r="G3548" s="2" t="str">
        <f aca="false">IF(OR(4キー同時!$B$149="",4キー同時!$G$149="",4キー同時!$L$149=""),"",IF(4キー同時!AF153="","",SUBSTITUTE(SUBSTITUTE(4キー同時!AF153," ",""),"　","")))</f>
        <v/>
      </c>
      <c r="H3548" s="2" t="str">
        <f aca="false">IF($G3548="","",4キー同時!$B$149)</f>
        <v/>
      </c>
      <c r="I3548" s="2" t="str">
        <f aca="false">IF($G3548="","",4キー同時!$G$149)</f>
        <v/>
      </c>
      <c r="J3548" s="2" t="str">
        <f aca="false">IF($G3548="","",4キー同時!$L$149)</f>
        <v/>
      </c>
      <c r="K3548" s="2" t="str">
        <f aca="false">IF($G3548="","","u")</f>
        <v/>
      </c>
      <c r="L3548" s="2" t="str">
        <f aca="false">IF($G3548="","","同時")</f>
        <v/>
      </c>
      <c r="M3548" s="2" t="str">
        <f aca="false">IF($G3548="","",IF(ISNA(MATCH($G3548,個別指定!$A:$A,0)),"行なし",""))</f>
        <v/>
      </c>
      <c r="N3548" s="2" t="str">
        <f aca="false">IF($G3548="","",IF(COUNTIF($G$2:$G$4460,$G3548)&gt;1,"重複",""))</f>
        <v/>
      </c>
    </row>
    <row r="3549" customFormat="false" ht="16.5" hidden="false" customHeight="true" outlineLevel="0" collapsed="false">
      <c r="A3549" s="2" t="s">
        <v>447</v>
      </c>
      <c r="B3549" s="2" t="s">
        <v>459</v>
      </c>
      <c r="C3549" s="2" t="s">
        <v>19</v>
      </c>
      <c r="D3549" s="2" t="str">
        <f aca="false">IF(4キー同時!$B$149="","",4キー同時!$B$149)</f>
        <v/>
      </c>
      <c r="E3549" s="2" t="str">
        <f aca="false">IF(4キー同時!$G$149="","",4キー同時!$G$149)</f>
        <v/>
      </c>
      <c r="F3549" s="2" t="str">
        <f aca="false">IF(4キー同時!$L$149="","",4キー同時!$L$149)</f>
        <v/>
      </c>
      <c r="G3549" s="2" t="str">
        <f aca="false">IF(OR(4キー同時!$B$149="",4キー同時!$G$149="",4キー同時!$L$149=""),"",IF(4キー同時!AJ153="","",SUBSTITUTE(SUBSTITUTE(4キー同時!AJ153," ",""),"　","")))</f>
        <v/>
      </c>
      <c r="H3549" s="2" t="str">
        <f aca="false">IF($G3549="","",4キー同時!$B$149)</f>
        <v/>
      </c>
      <c r="I3549" s="2" t="str">
        <f aca="false">IF($G3549="","",4キー同時!$G$149)</f>
        <v/>
      </c>
      <c r="J3549" s="2" t="str">
        <f aca="false">IF($G3549="","",4キー同時!$L$149)</f>
        <v/>
      </c>
      <c r="K3549" s="2" t="str">
        <f aca="false">IF($G3549="","","i")</f>
        <v/>
      </c>
      <c r="L3549" s="2" t="str">
        <f aca="false">IF($G3549="","","同時")</f>
        <v/>
      </c>
      <c r="M3549" s="2" t="str">
        <f aca="false">IF($G3549="","",IF(ISNA(MATCH($G3549,個別指定!$A:$A,0)),"行なし",""))</f>
        <v/>
      </c>
      <c r="N3549" s="2" t="str">
        <f aca="false">IF($G3549="","",IF(COUNTIF($G$2:$G$4460,$G3549)&gt;1,"重複",""))</f>
        <v/>
      </c>
    </row>
    <row r="3550" customFormat="false" ht="16.5" hidden="false" customHeight="true" outlineLevel="0" collapsed="false">
      <c r="A3550" s="2" t="s">
        <v>447</v>
      </c>
      <c r="B3550" s="2" t="s">
        <v>459</v>
      </c>
      <c r="C3550" s="2" t="s">
        <v>20</v>
      </c>
      <c r="D3550" s="2" t="str">
        <f aca="false">IF(4キー同時!$B$149="","",4キー同時!$B$149)</f>
        <v/>
      </c>
      <c r="E3550" s="2" t="str">
        <f aca="false">IF(4キー同時!$G$149="","",4キー同時!$G$149)</f>
        <v/>
      </c>
      <c r="F3550" s="2" t="str">
        <f aca="false">IF(4キー同時!$L$149="","",4キー同時!$L$149)</f>
        <v/>
      </c>
      <c r="G3550" s="2" t="str">
        <f aca="false">IF(OR(4キー同時!$B$149="",4キー同時!$G$149="",4キー同時!$L$149=""),"",IF(4キー同時!AN153="","",SUBSTITUTE(SUBSTITUTE(4キー同時!AN153," ",""),"　","")))</f>
        <v/>
      </c>
      <c r="H3550" s="2" t="str">
        <f aca="false">IF($G3550="","",4キー同時!$B$149)</f>
        <v/>
      </c>
      <c r="I3550" s="2" t="str">
        <f aca="false">IF($G3550="","",4キー同時!$G$149)</f>
        <v/>
      </c>
      <c r="J3550" s="2" t="str">
        <f aca="false">IF($G3550="","",4キー同時!$L$149)</f>
        <v/>
      </c>
      <c r="K3550" s="2" t="str">
        <f aca="false">IF($G3550="","","o")</f>
        <v/>
      </c>
      <c r="L3550" s="2" t="str">
        <f aca="false">IF($G3550="","","同時")</f>
        <v/>
      </c>
      <c r="M3550" s="2" t="str">
        <f aca="false">IF($G3550="","",IF(ISNA(MATCH($G3550,個別指定!$A:$A,0)),"行なし",""))</f>
        <v/>
      </c>
      <c r="N3550" s="2" t="str">
        <f aca="false">IF($G3550="","",IF(COUNTIF($G$2:$G$4460,$G3550)&gt;1,"重複",""))</f>
        <v/>
      </c>
    </row>
    <row r="3551" customFormat="false" ht="16.5" hidden="false" customHeight="true" outlineLevel="0" collapsed="false">
      <c r="A3551" s="2" t="s">
        <v>447</v>
      </c>
      <c r="B3551" s="2" t="s">
        <v>459</v>
      </c>
      <c r="C3551" s="2" t="s">
        <v>21</v>
      </c>
      <c r="D3551" s="2" t="str">
        <f aca="false">IF(4キー同時!$B$149="","",4キー同時!$B$149)</f>
        <v/>
      </c>
      <c r="E3551" s="2" t="str">
        <f aca="false">IF(4キー同時!$G$149="","",4キー同時!$G$149)</f>
        <v/>
      </c>
      <c r="F3551" s="2" t="str">
        <f aca="false">IF(4キー同時!$L$149="","",4キー同時!$L$149)</f>
        <v/>
      </c>
      <c r="G3551" s="2" t="str">
        <f aca="false">IF(OR(4キー同時!$B$149="",4キー同時!$G$149="",4キー同時!$L$149=""),"",IF(4キー同時!AR153="","",SUBSTITUTE(SUBSTITUTE(4キー同時!AR153," ",""),"　","")))</f>
        <v/>
      </c>
      <c r="H3551" s="2" t="str">
        <f aca="false">IF($G3551="","",4キー同時!$B$149)</f>
        <v/>
      </c>
      <c r="I3551" s="2" t="str">
        <f aca="false">IF($G3551="","",4キー同時!$G$149)</f>
        <v/>
      </c>
      <c r="J3551" s="2" t="str">
        <f aca="false">IF($G3551="","",4キー同時!$L$149)</f>
        <v/>
      </c>
      <c r="K3551" s="2" t="str">
        <f aca="false">IF($G3551="","","p")</f>
        <v/>
      </c>
      <c r="L3551" s="2" t="str">
        <f aca="false">IF($G3551="","","同時")</f>
        <v/>
      </c>
      <c r="M3551" s="2" t="str">
        <f aca="false">IF($G3551="","",IF(ISNA(MATCH($G3551,個別指定!$A:$A,0)),"行なし",""))</f>
        <v/>
      </c>
      <c r="N3551" s="2" t="str">
        <f aca="false">IF($G3551="","",IF(COUNTIF($G$2:$G$4460,$G3551)&gt;1,"重複",""))</f>
        <v/>
      </c>
    </row>
    <row r="3552" customFormat="false" ht="16.5" hidden="false" customHeight="true" outlineLevel="0" collapsed="false">
      <c r="A3552" s="2" t="s">
        <v>447</v>
      </c>
      <c r="B3552" s="2" t="s">
        <v>459</v>
      </c>
      <c r="C3552" s="2" t="s">
        <v>22</v>
      </c>
      <c r="D3552" s="2" t="str">
        <f aca="false">IF(4キー同時!$B$149="","",4キー同時!$B$149)</f>
        <v/>
      </c>
      <c r="E3552" s="2" t="str">
        <f aca="false">IF(4キー同時!$G$149="","",4キー同時!$G$149)</f>
        <v/>
      </c>
      <c r="F3552" s="2" t="str">
        <f aca="false">IF(4キー同時!$L$149="","",4キー同時!$L$149)</f>
        <v/>
      </c>
      <c r="G3552" s="2" t="str">
        <f aca="false">IF(OR(4キー同時!$B$149="",4キー同時!$G$149="",4キー同時!$L$149=""),"",IF(4キー同時!AV153="","",SUBSTITUTE(SUBSTITUTE(4キー同時!AV153," ",""),"　","")))</f>
        <v/>
      </c>
      <c r="H3552" s="2" t="str">
        <f aca="false">IF($G3552="","",4キー同時!$B$149)</f>
        <v/>
      </c>
      <c r="I3552" s="2" t="str">
        <f aca="false">IF($G3552="","",4キー同時!$G$149)</f>
        <v/>
      </c>
      <c r="J3552" s="2" t="str">
        <f aca="false">IF($G3552="","",4キー同時!$L$149)</f>
        <v/>
      </c>
      <c r="K3552" s="2" t="str">
        <f aca="false">IF($G3552="","","[")</f>
        <v/>
      </c>
      <c r="L3552" s="2" t="str">
        <f aca="false">IF($G3552="","","同時")</f>
        <v/>
      </c>
      <c r="M3552" s="2" t="str">
        <f aca="false">IF($G3552="","",IF(ISNA(MATCH($G3552,個別指定!$A:$A,0)),"行なし",""))</f>
        <v/>
      </c>
      <c r="N3552" s="2" t="str">
        <f aca="false">IF($G3552="","",IF(COUNTIF($G$2:$G$4460,$G3552)&gt;1,"重複",""))</f>
        <v/>
      </c>
    </row>
    <row r="3553" customFormat="false" ht="16.5" hidden="false" customHeight="true" outlineLevel="0" collapsed="false">
      <c r="A3553" s="2" t="s">
        <v>447</v>
      </c>
      <c r="B3553" s="2" t="s">
        <v>459</v>
      </c>
      <c r="C3553" s="2" t="s">
        <v>23</v>
      </c>
      <c r="D3553" s="2" t="str">
        <f aca="false">IF(4キー同時!$B$149="","",4キー同時!$B$149)</f>
        <v/>
      </c>
      <c r="E3553" s="2" t="str">
        <f aca="false">IF(4キー同時!$G$149="","",4キー同時!$G$149)</f>
        <v/>
      </c>
      <c r="F3553" s="2" t="str">
        <f aca="false">IF(4キー同時!$L$149="","",4キー同時!$L$149)</f>
        <v/>
      </c>
      <c r="G3553" s="2" t="str">
        <f aca="false">IF(OR(4キー同時!$B$149="",4キー同時!$G$149="",4キー同時!$L$149=""),"",IF(4キー同時!AZ153="","",SUBSTITUTE(SUBSTITUTE(4キー同時!AZ153," ",""),"　","")))</f>
        <v/>
      </c>
      <c r="H3553" s="2" t="str">
        <f aca="false">IF($G3553="","",4キー同時!$B$149)</f>
        <v/>
      </c>
      <c r="I3553" s="2" t="str">
        <f aca="false">IF($G3553="","",4キー同時!$G$149)</f>
        <v/>
      </c>
      <c r="J3553" s="2" t="str">
        <f aca="false">IF($G3553="","",4キー同時!$L$149)</f>
        <v/>
      </c>
      <c r="K3553" s="2" t="str">
        <f aca="false">IF($G3553="","","]")</f>
        <v/>
      </c>
      <c r="L3553" s="2" t="str">
        <f aca="false">IF($G3553="","","同時")</f>
        <v/>
      </c>
      <c r="M3553" s="2" t="str">
        <f aca="false">IF($G3553="","",IF(ISNA(MATCH($G3553,個別指定!$A:$A,0)),"行なし",""))</f>
        <v/>
      </c>
      <c r="N3553" s="2" t="str">
        <f aca="false">IF($G3553="","",IF(COUNTIF($G$2:$G$4460,$G3553)&gt;1,"重複",""))</f>
        <v/>
      </c>
    </row>
    <row r="3554" customFormat="false" ht="16.5" hidden="false" customHeight="true" outlineLevel="0" collapsed="false">
      <c r="A3554" s="2" t="s">
        <v>447</v>
      </c>
      <c r="B3554" s="2" t="s">
        <v>459</v>
      </c>
      <c r="C3554" s="2" t="s">
        <v>24</v>
      </c>
      <c r="D3554" s="2" t="str">
        <f aca="false">IF(4キー同時!$B$149="","",4キー同時!$B$149)</f>
        <v/>
      </c>
      <c r="E3554" s="2" t="str">
        <f aca="false">IF(4キー同時!$G$149="","",4キー同時!$G$149)</f>
        <v/>
      </c>
      <c r="F3554" s="2" t="str">
        <f aca="false">IF(4キー同時!$L$149="","",4キー同時!$L$149)</f>
        <v/>
      </c>
      <c r="G3554" s="2" t="str">
        <f aca="false">IF(OR(4キー同時!$B$149="",4キー同時!$G$149="",4キー同時!$L$149=""),"",IF(4キー同時!I155="","",SUBSTITUTE(SUBSTITUTE(4キー同時!I155," ",""),"　","")))</f>
        <v/>
      </c>
      <c r="H3554" s="2" t="str">
        <f aca="false">IF($G3554="","",4キー同時!$B$149)</f>
        <v/>
      </c>
      <c r="I3554" s="2" t="str">
        <f aca="false">IF($G3554="","",4キー同時!$G$149)</f>
        <v/>
      </c>
      <c r="J3554" s="2" t="str">
        <f aca="false">IF($G3554="","",4キー同時!$L$149)</f>
        <v/>
      </c>
      <c r="K3554" s="2" t="str">
        <f aca="false">IF($G3554="","","a")</f>
        <v/>
      </c>
      <c r="L3554" s="2" t="str">
        <f aca="false">IF($G3554="","","同時")</f>
        <v/>
      </c>
      <c r="M3554" s="2" t="str">
        <f aca="false">IF($G3554="","",IF(ISNA(MATCH($G3554,個別指定!$A:$A,0)),"行なし",""))</f>
        <v/>
      </c>
      <c r="N3554" s="2" t="str">
        <f aca="false">IF($G3554="","",IF(COUNTIF($G$2:$G$4460,$G3554)&gt;1,"重複",""))</f>
        <v/>
      </c>
    </row>
    <row r="3555" customFormat="false" ht="16.5" hidden="false" customHeight="true" outlineLevel="0" collapsed="false">
      <c r="A3555" s="2" t="s">
        <v>447</v>
      </c>
      <c r="B3555" s="2" t="s">
        <v>459</v>
      </c>
      <c r="C3555" s="2" t="s">
        <v>25</v>
      </c>
      <c r="D3555" s="2" t="str">
        <f aca="false">IF(4キー同時!$B$149="","",4キー同時!$B$149)</f>
        <v/>
      </c>
      <c r="E3555" s="2" t="str">
        <f aca="false">IF(4キー同時!$G$149="","",4キー同時!$G$149)</f>
        <v/>
      </c>
      <c r="F3555" s="2" t="str">
        <f aca="false">IF(4キー同時!$L$149="","",4キー同時!$L$149)</f>
        <v/>
      </c>
      <c r="G3555" s="2" t="str">
        <f aca="false">IF(OR(4キー同時!$B$149="",4キー同時!$G$149="",4キー同時!$L$149=""),"",IF(4キー同時!M155="","",SUBSTITUTE(SUBSTITUTE(4キー同時!M155," ",""),"　","")))</f>
        <v/>
      </c>
      <c r="H3555" s="2" t="str">
        <f aca="false">IF($G3555="","",4キー同時!$B$149)</f>
        <v/>
      </c>
      <c r="I3555" s="2" t="str">
        <f aca="false">IF($G3555="","",4キー同時!$G$149)</f>
        <v/>
      </c>
      <c r="J3555" s="2" t="str">
        <f aca="false">IF($G3555="","",4キー同時!$L$149)</f>
        <v/>
      </c>
      <c r="K3555" s="2" t="str">
        <f aca="false">IF($G3555="","","s")</f>
        <v/>
      </c>
      <c r="L3555" s="2" t="str">
        <f aca="false">IF($G3555="","","同時")</f>
        <v/>
      </c>
      <c r="M3555" s="2" t="str">
        <f aca="false">IF($G3555="","",IF(ISNA(MATCH($G3555,個別指定!$A:$A,0)),"行なし",""))</f>
        <v/>
      </c>
      <c r="N3555" s="2" t="str">
        <f aca="false">IF($G3555="","",IF(COUNTIF($G$2:$G$4460,$G3555)&gt;1,"重複",""))</f>
        <v/>
      </c>
    </row>
    <row r="3556" customFormat="false" ht="16.5" hidden="false" customHeight="true" outlineLevel="0" collapsed="false">
      <c r="A3556" s="2" t="s">
        <v>447</v>
      </c>
      <c r="B3556" s="2" t="s">
        <v>459</v>
      </c>
      <c r="C3556" s="2" t="s">
        <v>26</v>
      </c>
      <c r="D3556" s="2" t="str">
        <f aca="false">IF(4キー同時!$B$149="","",4キー同時!$B$149)</f>
        <v/>
      </c>
      <c r="E3556" s="2" t="str">
        <f aca="false">IF(4キー同時!$G$149="","",4キー同時!$G$149)</f>
        <v/>
      </c>
      <c r="F3556" s="2" t="str">
        <f aca="false">IF(4キー同時!$L$149="","",4キー同時!$L$149)</f>
        <v/>
      </c>
      <c r="G3556" s="2" t="str">
        <f aca="false">IF(OR(4キー同時!$B$149="",4キー同時!$G$149="",4キー同時!$L$149=""),"",IF(4キー同時!Q155="","",SUBSTITUTE(SUBSTITUTE(4キー同時!Q155," ",""),"　","")))</f>
        <v/>
      </c>
      <c r="H3556" s="2" t="str">
        <f aca="false">IF($G3556="","",4キー同時!$B$149)</f>
        <v/>
      </c>
      <c r="I3556" s="2" t="str">
        <f aca="false">IF($G3556="","",4キー同時!$G$149)</f>
        <v/>
      </c>
      <c r="J3556" s="2" t="str">
        <f aca="false">IF($G3556="","",4キー同時!$L$149)</f>
        <v/>
      </c>
      <c r="K3556" s="2" t="str">
        <f aca="false">IF($G3556="","","d")</f>
        <v/>
      </c>
      <c r="L3556" s="2" t="str">
        <f aca="false">IF($G3556="","","同時")</f>
        <v/>
      </c>
      <c r="M3556" s="2" t="str">
        <f aca="false">IF($G3556="","",IF(ISNA(MATCH($G3556,個別指定!$A:$A,0)),"行なし",""))</f>
        <v/>
      </c>
      <c r="N3556" s="2" t="str">
        <f aca="false">IF($G3556="","",IF(COUNTIF($G$2:$G$4460,$G3556)&gt;1,"重複",""))</f>
        <v/>
      </c>
    </row>
    <row r="3557" customFormat="false" ht="16.5" hidden="false" customHeight="true" outlineLevel="0" collapsed="false">
      <c r="A3557" s="2" t="s">
        <v>447</v>
      </c>
      <c r="B3557" s="2" t="s">
        <v>459</v>
      </c>
      <c r="C3557" s="2" t="s">
        <v>27</v>
      </c>
      <c r="D3557" s="2" t="str">
        <f aca="false">IF(4キー同時!$B$149="","",4キー同時!$B$149)</f>
        <v/>
      </c>
      <c r="E3557" s="2" t="str">
        <f aca="false">IF(4キー同時!$G$149="","",4キー同時!$G$149)</f>
        <v/>
      </c>
      <c r="F3557" s="2" t="str">
        <f aca="false">IF(4キー同時!$L$149="","",4キー同時!$L$149)</f>
        <v/>
      </c>
      <c r="G3557" s="2" t="str">
        <f aca="false">IF(OR(4キー同時!$B$149="",4キー同時!$G$149="",4キー同時!$L$149=""),"",IF(4キー同時!U155="","",SUBSTITUTE(SUBSTITUTE(4キー同時!U155," ",""),"　","")))</f>
        <v/>
      </c>
      <c r="H3557" s="2" t="str">
        <f aca="false">IF($G3557="","",4キー同時!$B$149)</f>
        <v/>
      </c>
      <c r="I3557" s="2" t="str">
        <f aca="false">IF($G3557="","",4キー同時!$G$149)</f>
        <v/>
      </c>
      <c r="J3557" s="2" t="str">
        <f aca="false">IF($G3557="","",4キー同時!$L$149)</f>
        <v/>
      </c>
      <c r="K3557" s="2" t="str">
        <f aca="false">IF($G3557="","","f")</f>
        <v/>
      </c>
      <c r="L3557" s="2" t="str">
        <f aca="false">IF($G3557="","","同時")</f>
        <v/>
      </c>
      <c r="M3557" s="2" t="str">
        <f aca="false">IF($G3557="","",IF(ISNA(MATCH($G3557,個別指定!$A:$A,0)),"行なし",""))</f>
        <v/>
      </c>
      <c r="N3557" s="2" t="str">
        <f aca="false">IF($G3557="","",IF(COUNTIF($G$2:$G$4460,$G3557)&gt;1,"重複",""))</f>
        <v/>
      </c>
    </row>
    <row r="3558" customFormat="false" ht="16.5" hidden="false" customHeight="true" outlineLevel="0" collapsed="false">
      <c r="A3558" s="2" t="s">
        <v>447</v>
      </c>
      <c r="B3558" s="2" t="s">
        <v>459</v>
      </c>
      <c r="C3558" s="2" t="s">
        <v>28</v>
      </c>
      <c r="D3558" s="2" t="str">
        <f aca="false">IF(4キー同時!$B$149="","",4キー同時!$B$149)</f>
        <v/>
      </c>
      <c r="E3558" s="2" t="str">
        <f aca="false">IF(4キー同時!$G$149="","",4キー同時!$G$149)</f>
        <v/>
      </c>
      <c r="F3558" s="2" t="str">
        <f aca="false">IF(4キー同時!$L$149="","",4キー同時!$L$149)</f>
        <v/>
      </c>
      <c r="G3558" s="2" t="str">
        <f aca="false">IF(OR(4キー同時!$B$149="",4キー同時!$G$149="",4キー同時!$L$149=""),"",IF(4キー同時!Y155="","",SUBSTITUTE(SUBSTITUTE(4キー同時!Y155," ",""),"　","")))</f>
        <v/>
      </c>
      <c r="H3558" s="2" t="str">
        <f aca="false">IF($G3558="","",4キー同時!$B$149)</f>
        <v/>
      </c>
      <c r="I3558" s="2" t="str">
        <f aca="false">IF($G3558="","",4キー同時!$G$149)</f>
        <v/>
      </c>
      <c r="J3558" s="2" t="str">
        <f aca="false">IF($G3558="","",4キー同時!$L$149)</f>
        <v/>
      </c>
      <c r="K3558" s="2" t="str">
        <f aca="false">IF($G3558="","","g")</f>
        <v/>
      </c>
      <c r="L3558" s="2" t="str">
        <f aca="false">IF($G3558="","","同時")</f>
        <v/>
      </c>
      <c r="M3558" s="2" t="str">
        <f aca="false">IF($G3558="","",IF(ISNA(MATCH($G3558,個別指定!$A:$A,0)),"行なし",""))</f>
        <v/>
      </c>
      <c r="N3558" s="2" t="str">
        <f aca="false">IF($G3558="","",IF(COUNTIF($G$2:$G$4460,$G3558)&gt;1,"重複",""))</f>
        <v/>
      </c>
    </row>
    <row r="3559" customFormat="false" ht="16.5" hidden="false" customHeight="true" outlineLevel="0" collapsed="false">
      <c r="A3559" s="2" t="s">
        <v>447</v>
      </c>
      <c r="B3559" s="2" t="s">
        <v>459</v>
      </c>
      <c r="C3559" s="2" t="s">
        <v>29</v>
      </c>
      <c r="D3559" s="2" t="str">
        <f aca="false">IF(4キー同時!$B$149="","",4キー同時!$B$149)</f>
        <v/>
      </c>
      <c r="E3559" s="2" t="str">
        <f aca="false">IF(4キー同時!$G$149="","",4キー同時!$G$149)</f>
        <v/>
      </c>
      <c r="F3559" s="2" t="str">
        <f aca="false">IF(4キー同時!$L$149="","",4キー同時!$L$149)</f>
        <v/>
      </c>
      <c r="G3559" s="2" t="str">
        <f aca="false">IF(OR(4キー同時!$B$149="",4キー同時!$G$149="",4キー同時!$L$149=""),"",IF(4キー同時!AC155="","",SUBSTITUTE(SUBSTITUTE(4キー同時!AC155," ",""),"　","")))</f>
        <v/>
      </c>
      <c r="H3559" s="2" t="str">
        <f aca="false">IF($G3559="","",4キー同時!$B$149)</f>
        <v/>
      </c>
      <c r="I3559" s="2" t="str">
        <f aca="false">IF($G3559="","",4キー同時!$G$149)</f>
        <v/>
      </c>
      <c r="J3559" s="2" t="str">
        <f aca="false">IF($G3559="","",4キー同時!$L$149)</f>
        <v/>
      </c>
      <c r="K3559" s="2" t="str">
        <f aca="false">IF($G3559="","","h")</f>
        <v/>
      </c>
      <c r="L3559" s="2" t="str">
        <f aca="false">IF($G3559="","","同時")</f>
        <v/>
      </c>
      <c r="M3559" s="2" t="str">
        <f aca="false">IF($G3559="","",IF(ISNA(MATCH($G3559,個別指定!$A:$A,0)),"行なし",""))</f>
        <v/>
      </c>
      <c r="N3559" s="2" t="str">
        <f aca="false">IF($G3559="","",IF(COUNTIF($G$2:$G$4460,$G3559)&gt;1,"重複",""))</f>
        <v/>
      </c>
    </row>
    <row r="3560" customFormat="false" ht="16.5" hidden="false" customHeight="true" outlineLevel="0" collapsed="false">
      <c r="A3560" s="2" t="s">
        <v>447</v>
      </c>
      <c r="B3560" s="2" t="s">
        <v>459</v>
      </c>
      <c r="C3560" s="2" t="s">
        <v>30</v>
      </c>
      <c r="D3560" s="2" t="str">
        <f aca="false">IF(4キー同時!$B$149="","",4キー同時!$B$149)</f>
        <v/>
      </c>
      <c r="E3560" s="2" t="str">
        <f aca="false">IF(4キー同時!$G$149="","",4キー同時!$G$149)</f>
        <v/>
      </c>
      <c r="F3560" s="2" t="str">
        <f aca="false">IF(4キー同時!$L$149="","",4キー同時!$L$149)</f>
        <v/>
      </c>
      <c r="G3560" s="2" t="str">
        <f aca="false">IF(OR(4キー同時!$B$149="",4キー同時!$G$149="",4キー同時!$L$149=""),"",IF(4キー同時!AG155="","",SUBSTITUTE(SUBSTITUTE(4キー同時!AG155," ",""),"　","")))</f>
        <v/>
      </c>
      <c r="H3560" s="2" t="str">
        <f aca="false">IF($G3560="","",4キー同時!$B$149)</f>
        <v/>
      </c>
      <c r="I3560" s="2" t="str">
        <f aca="false">IF($G3560="","",4キー同時!$G$149)</f>
        <v/>
      </c>
      <c r="J3560" s="2" t="str">
        <f aca="false">IF($G3560="","",4キー同時!$L$149)</f>
        <v/>
      </c>
      <c r="K3560" s="2" t="str">
        <f aca="false">IF($G3560="","","j")</f>
        <v/>
      </c>
      <c r="L3560" s="2" t="str">
        <f aca="false">IF($G3560="","","同時")</f>
        <v/>
      </c>
      <c r="M3560" s="2" t="str">
        <f aca="false">IF($G3560="","",IF(ISNA(MATCH($G3560,個別指定!$A:$A,0)),"行なし",""))</f>
        <v/>
      </c>
      <c r="N3560" s="2" t="str">
        <f aca="false">IF($G3560="","",IF(COUNTIF($G$2:$G$4460,$G3560)&gt;1,"重複",""))</f>
        <v/>
      </c>
    </row>
    <row r="3561" customFormat="false" ht="16.5" hidden="false" customHeight="true" outlineLevel="0" collapsed="false">
      <c r="A3561" s="2" t="s">
        <v>447</v>
      </c>
      <c r="B3561" s="2" t="s">
        <v>459</v>
      </c>
      <c r="C3561" s="2" t="s">
        <v>31</v>
      </c>
      <c r="D3561" s="2" t="str">
        <f aca="false">IF(4キー同時!$B$149="","",4キー同時!$B$149)</f>
        <v/>
      </c>
      <c r="E3561" s="2" t="str">
        <f aca="false">IF(4キー同時!$G$149="","",4キー同時!$G$149)</f>
        <v/>
      </c>
      <c r="F3561" s="2" t="str">
        <f aca="false">IF(4キー同時!$L$149="","",4キー同時!$L$149)</f>
        <v/>
      </c>
      <c r="G3561" s="2" t="str">
        <f aca="false">IF(OR(4キー同時!$B$149="",4キー同時!$G$149="",4キー同時!$L$149=""),"",IF(4キー同時!AK155="","",SUBSTITUTE(SUBSTITUTE(4キー同時!AK155," ",""),"　","")))</f>
        <v/>
      </c>
      <c r="H3561" s="2" t="str">
        <f aca="false">IF($G3561="","",4キー同時!$B$149)</f>
        <v/>
      </c>
      <c r="I3561" s="2" t="str">
        <f aca="false">IF($G3561="","",4キー同時!$G$149)</f>
        <v/>
      </c>
      <c r="J3561" s="2" t="str">
        <f aca="false">IF($G3561="","",4キー同時!$L$149)</f>
        <v/>
      </c>
      <c r="K3561" s="2" t="str">
        <f aca="false">IF($G3561="","","k")</f>
        <v/>
      </c>
      <c r="L3561" s="2" t="str">
        <f aca="false">IF($G3561="","","同時")</f>
        <v/>
      </c>
      <c r="M3561" s="2" t="str">
        <f aca="false">IF($G3561="","",IF(ISNA(MATCH($G3561,個別指定!$A:$A,0)),"行なし",""))</f>
        <v/>
      </c>
      <c r="N3561" s="2" t="str">
        <f aca="false">IF($G3561="","",IF(COUNTIF($G$2:$G$4460,$G3561)&gt;1,"重複",""))</f>
        <v/>
      </c>
    </row>
    <row r="3562" customFormat="false" ht="16.5" hidden="false" customHeight="true" outlineLevel="0" collapsed="false">
      <c r="A3562" s="2" t="s">
        <v>447</v>
      </c>
      <c r="B3562" s="2" t="s">
        <v>459</v>
      </c>
      <c r="C3562" s="2" t="s">
        <v>32</v>
      </c>
      <c r="D3562" s="2" t="str">
        <f aca="false">IF(4キー同時!$B$149="","",4キー同時!$B$149)</f>
        <v/>
      </c>
      <c r="E3562" s="2" t="str">
        <f aca="false">IF(4キー同時!$G$149="","",4キー同時!$G$149)</f>
        <v/>
      </c>
      <c r="F3562" s="2" t="str">
        <f aca="false">IF(4キー同時!$L$149="","",4キー同時!$L$149)</f>
        <v/>
      </c>
      <c r="G3562" s="2" t="str">
        <f aca="false">IF(OR(4キー同時!$B$149="",4キー同時!$G$149="",4キー同時!$L$149=""),"",IF(4キー同時!AO155="","",SUBSTITUTE(SUBSTITUTE(4キー同時!AO155," ",""),"　","")))</f>
        <v/>
      </c>
      <c r="H3562" s="2" t="str">
        <f aca="false">IF($G3562="","",4キー同時!$B$149)</f>
        <v/>
      </c>
      <c r="I3562" s="2" t="str">
        <f aca="false">IF($G3562="","",4キー同時!$G$149)</f>
        <v/>
      </c>
      <c r="J3562" s="2" t="str">
        <f aca="false">IF($G3562="","",4キー同時!$L$149)</f>
        <v/>
      </c>
      <c r="K3562" s="2" t="str">
        <f aca="false">IF($G3562="","","l")</f>
        <v/>
      </c>
      <c r="L3562" s="2" t="str">
        <f aca="false">IF($G3562="","","同時")</f>
        <v/>
      </c>
      <c r="M3562" s="2" t="str">
        <f aca="false">IF($G3562="","",IF(ISNA(MATCH($G3562,個別指定!$A:$A,0)),"行なし",""))</f>
        <v/>
      </c>
      <c r="N3562" s="2" t="str">
        <f aca="false">IF($G3562="","",IF(COUNTIF($G$2:$G$4460,$G3562)&gt;1,"重複",""))</f>
        <v/>
      </c>
    </row>
    <row r="3563" customFormat="false" ht="16.5" hidden="false" customHeight="true" outlineLevel="0" collapsed="false">
      <c r="A3563" s="2" t="s">
        <v>447</v>
      </c>
      <c r="B3563" s="2" t="s">
        <v>459</v>
      </c>
      <c r="C3563" s="2" t="s">
        <v>33</v>
      </c>
      <c r="D3563" s="2" t="str">
        <f aca="false">IF(4キー同時!$B$149="","",4キー同時!$B$149)</f>
        <v/>
      </c>
      <c r="E3563" s="2" t="str">
        <f aca="false">IF(4キー同時!$G$149="","",4キー同時!$G$149)</f>
        <v/>
      </c>
      <c r="F3563" s="2" t="str">
        <f aca="false">IF(4キー同時!$L$149="","",4キー同時!$L$149)</f>
        <v/>
      </c>
      <c r="G3563" s="2" t="str">
        <f aca="false">IF(OR(4キー同時!$B$149="",4キー同時!$G$149="",4キー同時!$L$149=""),"",IF(4キー同時!AS155="","",SUBSTITUTE(SUBSTITUTE(4キー同時!AS155," ",""),"　","")))</f>
        <v/>
      </c>
      <c r="H3563" s="2" t="str">
        <f aca="false">IF($G3563="","",4キー同時!$B$149)</f>
        <v/>
      </c>
      <c r="I3563" s="2" t="str">
        <f aca="false">IF($G3563="","",4キー同時!$G$149)</f>
        <v/>
      </c>
      <c r="J3563" s="2" t="str">
        <f aca="false">IF($G3563="","",4キー同時!$L$149)</f>
        <v/>
      </c>
      <c r="K3563" s="2" t="str">
        <f aca="false">IF($G3563="","",";")</f>
        <v/>
      </c>
      <c r="L3563" s="2" t="str">
        <f aca="false">IF($G3563="","","同時")</f>
        <v/>
      </c>
      <c r="M3563" s="2" t="str">
        <f aca="false">IF($G3563="","",IF(ISNA(MATCH($G3563,個別指定!$A:$A,0)),"行なし",""))</f>
        <v/>
      </c>
      <c r="N3563" s="2" t="str">
        <f aca="false">IF($G3563="","",IF(COUNTIF($G$2:$G$4460,$G3563)&gt;1,"重複",""))</f>
        <v/>
      </c>
    </row>
    <row r="3564" customFormat="false" ht="16.5" hidden="false" customHeight="true" outlineLevel="0" collapsed="false">
      <c r="A3564" s="2" t="s">
        <v>447</v>
      </c>
      <c r="B3564" s="2" t="s">
        <v>459</v>
      </c>
      <c r="C3564" s="2" t="s">
        <v>34</v>
      </c>
      <c r="D3564" s="2" t="str">
        <f aca="false">IF(4キー同時!$B$149="","",4キー同時!$B$149)</f>
        <v/>
      </c>
      <c r="E3564" s="2" t="str">
        <f aca="false">IF(4キー同時!$G$149="","",4キー同時!$G$149)</f>
        <v/>
      </c>
      <c r="F3564" s="2" t="str">
        <f aca="false">IF(4キー同時!$L$149="","",4キー同時!$L$149)</f>
        <v/>
      </c>
      <c r="G3564" s="2" t="str">
        <f aca="false">IF(OR(4キー同時!$B$149="",4キー同時!$G$149="",4キー同時!$L$149=""),"",IF(4キー同時!AW155="","",SUBSTITUTE(SUBSTITUTE(4キー同時!AW155," ",""),"　","")))</f>
        <v/>
      </c>
      <c r="H3564" s="2" t="str">
        <f aca="false">IF($G3564="","",4キー同時!$B$149)</f>
        <v/>
      </c>
      <c r="I3564" s="2" t="str">
        <f aca="false">IF($G3564="","",4キー同時!$G$149)</f>
        <v/>
      </c>
      <c r="J3564" s="2" t="str">
        <f aca="false">IF($G3564="","",4キー同時!$L$149)</f>
        <v/>
      </c>
      <c r="K3564" s="2" t="str">
        <f aca="false">IF($G3564="","","'")</f>
        <v/>
      </c>
      <c r="L3564" s="2" t="str">
        <f aca="false">IF($G3564="","","同時")</f>
        <v/>
      </c>
      <c r="M3564" s="2" t="str">
        <f aca="false">IF($G3564="","",IF(ISNA(MATCH($G3564,個別指定!$A:$A,0)),"行なし",""))</f>
        <v/>
      </c>
      <c r="N3564" s="2" t="str">
        <f aca="false">IF($G3564="","",IF(COUNTIF($G$2:$G$4460,$G3564)&gt;1,"重複",""))</f>
        <v/>
      </c>
    </row>
    <row r="3565" customFormat="false" ht="16.5" hidden="false" customHeight="true" outlineLevel="0" collapsed="false">
      <c r="A3565" s="2" t="s">
        <v>447</v>
      </c>
      <c r="B3565" s="2" t="s">
        <v>459</v>
      </c>
      <c r="C3565" s="2" t="s">
        <v>35</v>
      </c>
      <c r="D3565" s="2" t="str">
        <f aca="false">IF(4キー同時!$B$149="","",4キー同時!$B$149)</f>
        <v/>
      </c>
      <c r="E3565" s="2" t="str">
        <f aca="false">IF(4キー同時!$G$149="","",4キー同時!$G$149)</f>
        <v/>
      </c>
      <c r="F3565" s="2" t="str">
        <f aca="false">IF(4キー同時!$L$149="","",4キー同時!$L$149)</f>
        <v/>
      </c>
      <c r="G3565" s="2" t="str">
        <f aca="false">IF(OR(4キー同時!$B$149="",4キー同時!$G$149="",4キー同時!$L$149=""),"",IF(4キー同時!K157="","",SUBSTITUTE(SUBSTITUTE(4キー同時!K157," ",""),"　","")))</f>
        <v/>
      </c>
      <c r="H3565" s="2" t="str">
        <f aca="false">IF($G3565="","",4キー同時!$B$149)</f>
        <v/>
      </c>
      <c r="I3565" s="2" t="str">
        <f aca="false">IF($G3565="","",4キー同時!$G$149)</f>
        <v/>
      </c>
      <c r="J3565" s="2" t="str">
        <f aca="false">IF($G3565="","",4キー同時!$L$149)</f>
        <v/>
      </c>
      <c r="K3565" s="2" t="str">
        <f aca="false">IF($G3565="","","z")</f>
        <v/>
      </c>
      <c r="L3565" s="2" t="str">
        <f aca="false">IF($G3565="","","同時")</f>
        <v/>
      </c>
      <c r="M3565" s="2" t="str">
        <f aca="false">IF($G3565="","",IF(ISNA(MATCH($G3565,個別指定!$A:$A,0)),"行なし",""))</f>
        <v/>
      </c>
      <c r="N3565" s="2" t="str">
        <f aca="false">IF($G3565="","",IF(COUNTIF($G$2:$G$4460,$G3565)&gt;1,"重複",""))</f>
        <v/>
      </c>
    </row>
    <row r="3566" customFormat="false" ht="16.5" hidden="false" customHeight="true" outlineLevel="0" collapsed="false">
      <c r="A3566" s="2" t="s">
        <v>447</v>
      </c>
      <c r="B3566" s="2" t="s">
        <v>459</v>
      </c>
      <c r="C3566" s="2" t="s">
        <v>36</v>
      </c>
      <c r="D3566" s="2" t="str">
        <f aca="false">IF(4キー同時!$B$149="","",4キー同時!$B$149)</f>
        <v/>
      </c>
      <c r="E3566" s="2" t="str">
        <f aca="false">IF(4キー同時!$G$149="","",4キー同時!$G$149)</f>
        <v/>
      </c>
      <c r="F3566" s="2" t="str">
        <f aca="false">IF(4キー同時!$L$149="","",4キー同時!$L$149)</f>
        <v/>
      </c>
      <c r="G3566" s="2" t="str">
        <f aca="false">IF(OR(4キー同時!$B$149="",4キー同時!$G$149="",4キー同時!$L$149=""),"",IF(4キー同時!O157="","",SUBSTITUTE(SUBSTITUTE(4キー同時!O157," ",""),"　","")))</f>
        <v/>
      </c>
      <c r="H3566" s="2" t="str">
        <f aca="false">IF($G3566="","",4キー同時!$B$149)</f>
        <v/>
      </c>
      <c r="I3566" s="2" t="str">
        <f aca="false">IF($G3566="","",4キー同時!$G$149)</f>
        <v/>
      </c>
      <c r="J3566" s="2" t="str">
        <f aca="false">IF($G3566="","",4キー同時!$L$149)</f>
        <v/>
      </c>
      <c r="K3566" s="2" t="str">
        <f aca="false">IF($G3566="","","x")</f>
        <v/>
      </c>
      <c r="L3566" s="2" t="str">
        <f aca="false">IF($G3566="","","同時")</f>
        <v/>
      </c>
      <c r="M3566" s="2" t="str">
        <f aca="false">IF($G3566="","",IF(ISNA(MATCH($G3566,個別指定!$A:$A,0)),"行なし",""))</f>
        <v/>
      </c>
      <c r="N3566" s="2" t="str">
        <f aca="false">IF($G3566="","",IF(COUNTIF($G$2:$G$4460,$G3566)&gt;1,"重複",""))</f>
        <v/>
      </c>
    </row>
    <row r="3567" customFormat="false" ht="16.5" hidden="false" customHeight="true" outlineLevel="0" collapsed="false">
      <c r="A3567" s="2" t="s">
        <v>447</v>
      </c>
      <c r="B3567" s="2" t="s">
        <v>459</v>
      </c>
      <c r="C3567" s="2" t="s">
        <v>37</v>
      </c>
      <c r="D3567" s="2" t="str">
        <f aca="false">IF(4キー同時!$B$149="","",4キー同時!$B$149)</f>
        <v/>
      </c>
      <c r="E3567" s="2" t="str">
        <f aca="false">IF(4キー同時!$G$149="","",4キー同時!$G$149)</f>
        <v/>
      </c>
      <c r="F3567" s="2" t="str">
        <f aca="false">IF(4キー同時!$L$149="","",4キー同時!$L$149)</f>
        <v/>
      </c>
      <c r="G3567" s="2" t="str">
        <f aca="false">IF(OR(4キー同時!$B$149="",4キー同時!$G$149="",4キー同時!$L$149=""),"",IF(4キー同時!S157="","",SUBSTITUTE(SUBSTITUTE(4キー同時!S157," ",""),"　","")))</f>
        <v/>
      </c>
      <c r="H3567" s="2" t="str">
        <f aca="false">IF($G3567="","",4キー同時!$B$149)</f>
        <v/>
      </c>
      <c r="I3567" s="2" t="str">
        <f aca="false">IF($G3567="","",4キー同時!$G$149)</f>
        <v/>
      </c>
      <c r="J3567" s="2" t="str">
        <f aca="false">IF($G3567="","",4キー同時!$L$149)</f>
        <v/>
      </c>
      <c r="K3567" s="2" t="str">
        <f aca="false">IF($G3567="","","c")</f>
        <v/>
      </c>
      <c r="L3567" s="2" t="str">
        <f aca="false">IF($G3567="","","同時")</f>
        <v/>
      </c>
      <c r="M3567" s="2" t="str">
        <f aca="false">IF($G3567="","",IF(ISNA(MATCH($G3567,個別指定!$A:$A,0)),"行なし",""))</f>
        <v/>
      </c>
      <c r="N3567" s="2" t="str">
        <f aca="false">IF($G3567="","",IF(COUNTIF($G$2:$G$4460,$G3567)&gt;1,"重複",""))</f>
        <v/>
      </c>
    </row>
    <row r="3568" customFormat="false" ht="16.5" hidden="false" customHeight="true" outlineLevel="0" collapsed="false">
      <c r="A3568" s="2" t="s">
        <v>447</v>
      </c>
      <c r="B3568" s="2" t="s">
        <v>459</v>
      </c>
      <c r="C3568" s="2" t="s">
        <v>38</v>
      </c>
      <c r="D3568" s="2" t="str">
        <f aca="false">IF(4キー同時!$B$149="","",4キー同時!$B$149)</f>
        <v/>
      </c>
      <c r="E3568" s="2" t="str">
        <f aca="false">IF(4キー同時!$G$149="","",4キー同時!$G$149)</f>
        <v/>
      </c>
      <c r="F3568" s="2" t="str">
        <f aca="false">IF(4キー同時!$L$149="","",4キー同時!$L$149)</f>
        <v/>
      </c>
      <c r="G3568" s="2" t="str">
        <f aca="false">IF(OR(4キー同時!$B$149="",4キー同時!$G$149="",4キー同時!$L$149=""),"",IF(4キー同時!W157="","",SUBSTITUTE(SUBSTITUTE(4キー同時!W157," ",""),"　","")))</f>
        <v/>
      </c>
      <c r="H3568" s="2" t="str">
        <f aca="false">IF($G3568="","",4キー同時!$B$149)</f>
        <v/>
      </c>
      <c r="I3568" s="2" t="str">
        <f aca="false">IF($G3568="","",4キー同時!$G$149)</f>
        <v/>
      </c>
      <c r="J3568" s="2" t="str">
        <f aca="false">IF($G3568="","",4キー同時!$L$149)</f>
        <v/>
      </c>
      <c r="K3568" s="2" t="str">
        <f aca="false">IF($G3568="","","v")</f>
        <v/>
      </c>
      <c r="L3568" s="2" t="str">
        <f aca="false">IF($G3568="","","同時")</f>
        <v/>
      </c>
      <c r="M3568" s="2" t="str">
        <f aca="false">IF($G3568="","",IF(ISNA(MATCH($G3568,個別指定!$A:$A,0)),"行なし",""))</f>
        <v/>
      </c>
      <c r="N3568" s="2" t="str">
        <f aca="false">IF($G3568="","",IF(COUNTIF($G$2:$G$4460,$G3568)&gt;1,"重複",""))</f>
        <v/>
      </c>
    </row>
    <row r="3569" customFormat="false" ht="16.5" hidden="false" customHeight="true" outlineLevel="0" collapsed="false">
      <c r="A3569" s="2" t="s">
        <v>447</v>
      </c>
      <c r="B3569" s="2" t="s">
        <v>459</v>
      </c>
      <c r="C3569" s="2" t="s">
        <v>39</v>
      </c>
      <c r="D3569" s="2" t="str">
        <f aca="false">IF(4キー同時!$B$149="","",4キー同時!$B$149)</f>
        <v/>
      </c>
      <c r="E3569" s="2" t="str">
        <f aca="false">IF(4キー同時!$G$149="","",4キー同時!$G$149)</f>
        <v/>
      </c>
      <c r="F3569" s="2" t="str">
        <f aca="false">IF(4キー同時!$L$149="","",4キー同時!$L$149)</f>
        <v/>
      </c>
      <c r="G3569" s="2" t="str">
        <f aca="false">IF(OR(4キー同時!$B$149="",4キー同時!$G$149="",4キー同時!$L$149=""),"",IF(4キー同時!AA157="","",SUBSTITUTE(SUBSTITUTE(4キー同時!AA157," ",""),"　","")))</f>
        <v/>
      </c>
      <c r="H3569" s="2" t="str">
        <f aca="false">IF($G3569="","",4キー同時!$B$149)</f>
        <v/>
      </c>
      <c r="I3569" s="2" t="str">
        <f aca="false">IF($G3569="","",4キー同時!$G$149)</f>
        <v/>
      </c>
      <c r="J3569" s="2" t="str">
        <f aca="false">IF($G3569="","",4キー同時!$L$149)</f>
        <v/>
      </c>
      <c r="K3569" s="2" t="str">
        <f aca="false">IF($G3569="","","b")</f>
        <v/>
      </c>
      <c r="L3569" s="2" t="str">
        <f aca="false">IF($G3569="","","同時")</f>
        <v/>
      </c>
      <c r="M3569" s="2" t="str">
        <f aca="false">IF($G3569="","",IF(ISNA(MATCH($G3569,個別指定!$A:$A,0)),"行なし",""))</f>
        <v/>
      </c>
      <c r="N3569" s="2" t="str">
        <f aca="false">IF($G3569="","",IF(COUNTIF($G$2:$G$4460,$G3569)&gt;1,"重複",""))</f>
        <v/>
      </c>
    </row>
    <row r="3570" customFormat="false" ht="16.5" hidden="false" customHeight="true" outlineLevel="0" collapsed="false">
      <c r="A3570" s="2" t="s">
        <v>447</v>
      </c>
      <c r="B3570" s="2" t="s">
        <v>459</v>
      </c>
      <c r="C3570" s="2" t="s">
        <v>40</v>
      </c>
      <c r="D3570" s="2" t="str">
        <f aca="false">IF(4キー同時!$B$149="","",4キー同時!$B$149)</f>
        <v/>
      </c>
      <c r="E3570" s="2" t="str">
        <f aca="false">IF(4キー同時!$G$149="","",4キー同時!$G$149)</f>
        <v/>
      </c>
      <c r="F3570" s="2" t="str">
        <f aca="false">IF(4キー同時!$L$149="","",4キー同時!$L$149)</f>
        <v/>
      </c>
      <c r="G3570" s="2" t="str">
        <f aca="false">IF(OR(4キー同時!$B$149="",4キー同時!$G$149="",4キー同時!$L$149=""),"",IF(4キー同時!AE157="","",SUBSTITUTE(SUBSTITUTE(4キー同時!AE157," ",""),"　","")))</f>
        <v/>
      </c>
      <c r="H3570" s="2" t="str">
        <f aca="false">IF($G3570="","",4キー同時!$B$149)</f>
        <v/>
      </c>
      <c r="I3570" s="2" t="str">
        <f aca="false">IF($G3570="","",4キー同時!$G$149)</f>
        <v/>
      </c>
      <c r="J3570" s="2" t="str">
        <f aca="false">IF($G3570="","",4キー同時!$L$149)</f>
        <v/>
      </c>
      <c r="K3570" s="2" t="str">
        <f aca="false">IF($G3570="","","n")</f>
        <v/>
      </c>
      <c r="L3570" s="2" t="str">
        <f aca="false">IF($G3570="","","同時")</f>
        <v/>
      </c>
      <c r="M3570" s="2" t="str">
        <f aca="false">IF($G3570="","",IF(ISNA(MATCH($G3570,個別指定!$A:$A,0)),"行なし",""))</f>
        <v/>
      </c>
      <c r="N3570" s="2" t="str">
        <f aca="false">IF($G3570="","",IF(COUNTIF($G$2:$G$4460,$G3570)&gt;1,"重複",""))</f>
        <v/>
      </c>
    </row>
    <row r="3571" customFormat="false" ht="16.5" hidden="false" customHeight="true" outlineLevel="0" collapsed="false">
      <c r="A3571" s="2" t="s">
        <v>447</v>
      </c>
      <c r="B3571" s="2" t="s">
        <v>459</v>
      </c>
      <c r="C3571" s="2" t="s">
        <v>41</v>
      </c>
      <c r="D3571" s="2" t="str">
        <f aca="false">IF(4キー同時!$B$149="","",4キー同時!$B$149)</f>
        <v/>
      </c>
      <c r="E3571" s="2" t="str">
        <f aca="false">IF(4キー同時!$G$149="","",4キー同時!$G$149)</f>
        <v/>
      </c>
      <c r="F3571" s="2" t="str">
        <f aca="false">IF(4キー同時!$L$149="","",4キー同時!$L$149)</f>
        <v/>
      </c>
      <c r="G3571" s="2" t="str">
        <f aca="false">IF(OR(4キー同時!$B$149="",4キー同時!$G$149="",4キー同時!$L$149=""),"",IF(4キー同時!AI157="","",SUBSTITUTE(SUBSTITUTE(4キー同時!AI157," ",""),"　","")))</f>
        <v/>
      </c>
      <c r="H3571" s="2" t="str">
        <f aca="false">IF($G3571="","",4キー同時!$B$149)</f>
        <v/>
      </c>
      <c r="I3571" s="2" t="str">
        <f aca="false">IF($G3571="","",4キー同時!$G$149)</f>
        <v/>
      </c>
      <c r="J3571" s="2" t="str">
        <f aca="false">IF($G3571="","",4キー同時!$L$149)</f>
        <v/>
      </c>
      <c r="K3571" s="2" t="str">
        <f aca="false">IF($G3571="","","m")</f>
        <v/>
      </c>
      <c r="L3571" s="2" t="str">
        <f aca="false">IF($G3571="","","同時")</f>
        <v/>
      </c>
      <c r="M3571" s="2" t="str">
        <f aca="false">IF($G3571="","",IF(ISNA(MATCH($G3571,個別指定!$A:$A,0)),"行なし",""))</f>
        <v/>
      </c>
      <c r="N3571" s="2" t="str">
        <f aca="false">IF($G3571="","",IF(COUNTIF($G$2:$G$4460,$G3571)&gt;1,"重複",""))</f>
        <v/>
      </c>
    </row>
    <row r="3572" customFormat="false" ht="16.5" hidden="false" customHeight="true" outlineLevel="0" collapsed="false">
      <c r="A3572" s="2" t="s">
        <v>447</v>
      </c>
      <c r="B3572" s="2" t="s">
        <v>459</v>
      </c>
      <c r="C3572" s="2" t="s">
        <v>42</v>
      </c>
      <c r="D3572" s="2" t="str">
        <f aca="false">IF(4キー同時!$B$149="","",4キー同時!$B$149)</f>
        <v/>
      </c>
      <c r="E3572" s="2" t="str">
        <f aca="false">IF(4キー同時!$G$149="","",4キー同時!$G$149)</f>
        <v/>
      </c>
      <c r="F3572" s="2" t="str">
        <f aca="false">IF(4キー同時!$L$149="","",4キー同時!$L$149)</f>
        <v/>
      </c>
      <c r="G3572" s="2" t="str">
        <f aca="false">IF(OR(4キー同時!$B$149="",4キー同時!$G$149="",4キー同時!$L$149=""),"",IF(4キー同時!AM157="","",SUBSTITUTE(SUBSTITUTE(4キー同時!AM157," ",""),"　","")))</f>
        <v/>
      </c>
      <c r="H3572" s="2" t="str">
        <f aca="false">IF($G3572="","",4キー同時!$B$149)</f>
        <v/>
      </c>
      <c r="I3572" s="2" t="str">
        <f aca="false">IF($G3572="","",4キー同時!$G$149)</f>
        <v/>
      </c>
      <c r="J3572" s="2" t="str">
        <f aca="false">IF($G3572="","",4キー同時!$L$149)</f>
        <v/>
      </c>
      <c r="K3572" s="2" t="str">
        <f aca="false">IF($G3572="","",",")</f>
        <v/>
      </c>
      <c r="L3572" s="2" t="str">
        <f aca="false">IF($G3572="","","同時")</f>
        <v/>
      </c>
      <c r="M3572" s="2" t="str">
        <f aca="false">IF($G3572="","",IF(ISNA(MATCH($G3572,個別指定!$A:$A,0)),"行なし",""))</f>
        <v/>
      </c>
      <c r="N3572" s="2" t="str">
        <f aca="false">IF($G3572="","",IF(COUNTIF($G$2:$G$4460,$G3572)&gt;1,"重複",""))</f>
        <v/>
      </c>
    </row>
    <row r="3573" customFormat="false" ht="16.5" hidden="false" customHeight="true" outlineLevel="0" collapsed="false">
      <c r="A3573" s="2" t="s">
        <v>447</v>
      </c>
      <c r="B3573" s="2" t="s">
        <v>459</v>
      </c>
      <c r="C3573" s="2" t="s">
        <v>43</v>
      </c>
      <c r="D3573" s="2" t="str">
        <f aca="false">IF(4キー同時!$B$149="","",4キー同時!$B$149)</f>
        <v/>
      </c>
      <c r="E3573" s="2" t="str">
        <f aca="false">IF(4キー同時!$G$149="","",4キー同時!$G$149)</f>
        <v/>
      </c>
      <c r="F3573" s="2" t="str">
        <f aca="false">IF(4キー同時!$L$149="","",4キー同時!$L$149)</f>
        <v/>
      </c>
      <c r="G3573" s="2" t="str">
        <f aca="false">IF(OR(4キー同時!$B$149="",4キー同時!$G$149="",4キー同時!$L$149=""),"",IF(4キー同時!AQ157="","",SUBSTITUTE(SUBSTITUTE(4キー同時!AQ157," ",""),"　","")))</f>
        <v/>
      </c>
      <c r="H3573" s="2" t="str">
        <f aca="false">IF($G3573="","",4キー同時!$B$149)</f>
        <v/>
      </c>
      <c r="I3573" s="2" t="str">
        <f aca="false">IF($G3573="","",4キー同時!$G$149)</f>
        <v/>
      </c>
      <c r="J3573" s="2" t="str">
        <f aca="false">IF($G3573="","",4キー同時!$L$149)</f>
        <v/>
      </c>
      <c r="K3573" s="2" t="str">
        <f aca="false">IF($G3573="","",".")</f>
        <v/>
      </c>
      <c r="L3573" s="2" t="str">
        <f aca="false">IF($G3573="","","同時")</f>
        <v/>
      </c>
      <c r="M3573" s="2" t="str">
        <f aca="false">IF($G3573="","",IF(ISNA(MATCH($G3573,個別指定!$A:$A,0)),"行なし",""))</f>
        <v/>
      </c>
      <c r="N3573" s="2" t="str">
        <f aca="false">IF($G3573="","",IF(COUNTIF($G$2:$G$4460,$G3573)&gt;1,"重複",""))</f>
        <v/>
      </c>
    </row>
    <row r="3574" customFormat="false" ht="16.5" hidden="false" customHeight="true" outlineLevel="0" collapsed="false">
      <c r="A3574" s="2" t="s">
        <v>447</v>
      </c>
      <c r="B3574" s="2" t="s">
        <v>459</v>
      </c>
      <c r="C3574" s="2" t="s">
        <v>44</v>
      </c>
      <c r="D3574" s="2" t="str">
        <f aca="false">IF(4キー同時!$B$149="","",4キー同時!$B$149)</f>
        <v/>
      </c>
      <c r="E3574" s="2" t="str">
        <f aca="false">IF(4キー同時!$G$149="","",4キー同時!$G$149)</f>
        <v/>
      </c>
      <c r="F3574" s="2" t="str">
        <f aca="false">IF(4キー同時!$L$149="","",4キー同時!$L$149)</f>
        <v/>
      </c>
      <c r="G3574" s="2" t="str">
        <f aca="false">IF(OR(4キー同時!$B$149="",4キー同時!$G$149="",4キー同時!$L$149=""),"",IF(4キー同時!AU157="","",SUBSTITUTE(SUBSTITUTE(4キー同時!AU157," ",""),"　","")))</f>
        <v/>
      </c>
      <c r="H3574" s="2" t="str">
        <f aca="false">IF($G3574="","",4キー同時!$B$149)</f>
        <v/>
      </c>
      <c r="I3574" s="2" t="str">
        <f aca="false">IF($G3574="","",4キー同時!$G$149)</f>
        <v/>
      </c>
      <c r="J3574" s="2" t="str">
        <f aca="false">IF($G3574="","",4キー同時!$L$149)</f>
        <v/>
      </c>
      <c r="K3574" s="2" t="str">
        <f aca="false">IF($G3574="","","/")</f>
        <v/>
      </c>
      <c r="L3574" s="2" t="str">
        <f aca="false">IF($G3574="","","同時")</f>
        <v/>
      </c>
      <c r="M3574" s="2" t="str">
        <f aca="false">IF($G3574="","",IF(ISNA(MATCH($G3574,個別指定!$A:$A,0)),"行なし",""))</f>
        <v/>
      </c>
      <c r="N3574" s="2" t="str">
        <f aca="false">IF($G3574="","",IF(COUNTIF($G$2:$G$4460,$G3574)&gt;1,"重複",""))</f>
        <v/>
      </c>
    </row>
    <row r="3575" customFormat="false" ht="16.5" hidden="false" customHeight="true" outlineLevel="0" collapsed="false">
      <c r="A3575" s="2" t="s">
        <v>447</v>
      </c>
      <c r="B3575" s="2" t="s">
        <v>459</v>
      </c>
      <c r="C3575" s="2" t="s">
        <v>48</v>
      </c>
      <c r="D3575" s="2" t="str">
        <f aca="false">IF(4キー同時!$B$149="","",4キー同時!$B$149)</f>
        <v/>
      </c>
      <c r="E3575" s="2" t="str">
        <f aca="false">IF(4キー同時!$G$149="","",4キー同時!$G$149)</f>
        <v/>
      </c>
      <c r="F3575" s="2" t="str">
        <f aca="false">IF(4キー同時!$L$149="","",4キー同時!$L$149)</f>
        <v/>
      </c>
      <c r="G3575" s="2" t="str">
        <f aca="false">IF(OR(4キー同時!$B$149="",4キー同時!$G$149="",4キー同時!$L$149=""),"",IF(4キー同時!P159="","",SUBSTITUTE(SUBSTITUTE(4キー同時!P159," ",""),"　","")))</f>
        <v/>
      </c>
      <c r="H3575" s="2" t="str">
        <f aca="false">IF($G3575="","",4キー同時!$B$149)</f>
        <v/>
      </c>
      <c r="I3575" s="2" t="str">
        <f aca="false">IF($G3575="","",4キー同時!$G$149)</f>
        <v/>
      </c>
      <c r="J3575" s="2" t="str">
        <f aca="false">IF($G3575="","",4キー同時!$L$149)</f>
        <v/>
      </c>
      <c r="K3575" s="2" t="str">
        <f aca="false">IF($G3575="","","muhenkan")</f>
        <v/>
      </c>
      <c r="L3575" s="2" t="str">
        <f aca="false">IF($G3575="","","同時")</f>
        <v/>
      </c>
      <c r="M3575" s="2" t="str">
        <f aca="false">IF($G3575="","",IF(ISNA(MATCH($G3575,個別指定!$A:$A,0)),"行なし",""))</f>
        <v/>
      </c>
      <c r="N3575" s="2" t="str">
        <f aca="false">IF($G3575="","",IF(COUNTIF($G$2:$G$4460,$G3575)&gt;1,"重複",""))</f>
        <v/>
      </c>
    </row>
    <row r="3576" customFormat="false" ht="16.5" hidden="false" customHeight="true" outlineLevel="0" collapsed="false">
      <c r="A3576" s="2" t="s">
        <v>447</v>
      </c>
      <c r="B3576" s="2" t="s">
        <v>459</v>
      </c>
      <c r="C3576" s="2" t="s">
        <v>50</v>
      </c>
      <c r="D3576" s="2" t="str">
        <f aca="false">IF(4キー同時!$B$149="","",4キー同時!$B$149)</f>
        <v/>
      </c>
      <c r="E3576" s="2" t="str">
        <f aca="false">IF(4キー同時!$G$149="","",4キー同時!$G$149)</f>
        <v/>
      </c>
      <c r="F3576" s="2" t="str">
        <f aca="false">IF(4キー同時!$L$149="","",4キー同時!$L$149)</f>
        <v/>
      </c>
      <c r="G3576" s="2" t="str">
        <f aca="false">IF(OR(4キー同時!$B$149="",4キー同時!$G$149="",4キー同時!$L$149=""),"",IF(4キー同時!T159="","",SUBSTITUTE(SUBSTITUTE(4キー同時!T159," ",""),"　","")))</f>
        <v/>
      </c>
      <c r="H3576" s="2" t="str">
        <f aca="false">IF($G3576="","",4キー同時!$B$149)</f>
        <v/>
      </c>
      <c r="I3576" s="2" t="str">
        <f aca="false">IF($G3576="","",4キー同時!$G$149)</f>
        <v/>
      </c>
      <c r="J3576" s="2" t="str">
        <f aca="false">IF($G3576="","",4キー同時!$L$149)</f>
        <v/>
      </c>
      <c r="K3576" s="2" t="str">
        <f aca="false">IF($G3576="","","space")</f>
        <v/>
      </c>
      <c r="L3576" s="2" t="str">
        <f aca="false">IF($G3576="","","同時")</f>
        <v/>
      </c>
      <c r="M3576" s="2" t="str">
        <f aca="false">IF($G3576="","",IF(ISNA(MATCH($G3576,個別指定!$A:$A,0)),"行なし",""))</f>
        <v/>
      </c>
      <c r="N3576" s="2" t="str">
        <f aca="false">IF($G3576="","",IF(COUNTIF($G$2:$G$4460,$G3576)&gt;1,"重複",""))</f>
        <v/>
      </c>
    </row>
    <row r="3577" customFormat="false" ht="16.5" hidden="false" customHeight="true" outlineLevel="0" collapsed="false">
      <c r="A3577" s="2" t="s">
        <v>447</v>
      </c>
      <c r="B3577" s="2" t="s">
        <v>459</v>
      </c>
      <c r="C3577" s="2" t="s">
        <v>45</v>
      </c>
      <c r="D3577" s="2" t="str">
        <f aca="false">IF(4キー同時!$B$149="","",4キー同時!$B$149)</f>
        <v/>
      </c>
      <c r="E3577" s="2" t="str">
        <f aca="false">IF(4キー同時!$G$149="","",4キー同時!$G$149)</f>
        <v/>
      </c>
      <c r="F3577" s="2" t="str">
        <f aca="false">IF(4キー同時!$L$149="","",4キー同時!$L$149)</f>
        <v/>
      </c>
      <c r="G3577" s="2" t="str">
        <f aca="false">IF(OR(4キー同時!$B$149="",4キー同時!$G$149="",4キー同時!$L$149=""),"",IF(4キー同時!AL159="","",SUBSTITUTE(SUBSTITUTE(4キー同時!AL159," ",""),"　","")))</f>
        <v/>
      </c>
      <c r="H3577" s="2" t="str">
        <f aca="false">IF($G3577="","",4キー同時!$B$149)</f>
        <v/>
      </c>
      <c r="I3577" s="2" t="str">
        <f aca="false">IF($G3577="","",4キー同時!$G$149)</f>
        <v/>
      </c>
      <c r="J3577" s="2" t="str">
        <f aca="false">IF($G3577="","",4キー同時!$L$149)</f>
        <v/>
      </c>
      <c r="K3577" s="2" t="str">
        <f aca="false">IF($G3577="","","henkan")</f>
        <v/>
      </c>
      <c r="L3577" s="2" t="str">
        <f aca="false">IF($G3577="","","同時")</f>
        <v/>
      </c>
      <c r="M3577" s="2" t="str">
        <f aca="false">IF($G3577="","",IF(ISNA(MATCH($G3577,個別指定!$A:$A,0)),"行なし",""))</f>
        <v/>
      </c>
      <c r="N3577" s="2" t="str">
        <f aca="false">IF($G3577="","",IF(COUNTIF($G$2:$G$4460,$G3577)&gt;1,"重複",""))</f>
        <v/>
      </c>
    </row>
    <row r="3578" customFormat="false" ht="16.5" hidden="false" customHeight="true" outlineLevel="0" collapsed="false">
      <c r="A3578" s="2" t="s">
        <v>447</v>
      </c>
      <c r="B3578" s="2" t="s">
        <v>459</v>
      </c>
      <c r="C3578" s="2" t="s">
        <v>46</v>
      </c>
      <c r="D3578" s="2" t="str">
        <f aca="false">IF(4キー同時!$B$149="","",4キー同時!$B$149)</f>
        <v/>
      </c>
      <c r="E3578" s="2" t="str">
        <f aca="false">IF(4キー同時!$G$149="","",4キー同時!$G$149)</f>
        <v/>
      </c>
      <c r="F3578" s="2" t="str">
        <f aca="false">IF(4キー同時!$L$149="","",4キー同時!$L$149)</f>
        <v/>
      </c>
      <c r="G3578" s="2" t="str">
        <f aca="false">IF(OR(4キー同時!$B$149="",4キー同時!$G$149="",4キー同時!$L$149=""),"",IF(4キー同時!AP159="","",SUBSTITUTE(SUBSTITUTE(4キー同時!AP159," ",""),"　","")))</f>
        <v/>
      </c>
      <c r="H3578" s="2" t="str">
        <f aca="false">IF($G3578="","",4キー同時!$B$149)</f>
        <v/>
      </c>
      <c r="I3578" s="2" t="str">
        <f aca="false">IF($G3578="","",4キー同時!$G$149)</f>
        <v/>
      </c>
      <c r="J3578" s="2" t="str">
        <f aca="false">IF($G3578="","",4キー同時!$L$149)</f>
        <v/>
      </c>
      <c r="K3578" s="2" t="str">
        <f aca="false">IF($G3578="","","kana")</f>
        <v/>
      </c>
      <c r="L3578" s="2" t="str">
        <f aca="false">IF($G3578="","","同時")</f>
        <v/>
      </c>
      <c r="M3578" s="2" t="str">
        <f aca="false">IF($G3578="","",IF(ISNA(MATCH($G3578,個別指定!$A:$A,0)),"行なし",""))</f>
        <v/>
      </c>
      <c r="N3578" s="2" t="str">
        <f aca="false">IF($G3578="","",IF(COUNTIF($G$2:$G$4460,$G3578)&gt;1,"重複",""))</f>
        <v/>
      </c>
    </row>
    <row r="3579" customFormat="false" ht="16.5" hidden="false" customHeight="true" outlineLevel="0" collapsed="false">
      <c r="A3579" s="2" t="s">
        <v>447</v>
      </c>
      <c r="B3579" s="2" t="s">
        <v>460</v>
      </c>
      <c r="C3579" s="2" t="s">
        <v>0</v>
      </c>
      <c r="D3579" s="2" t="str">
        <f aca="false">IF(4キー同時!$B$162="","",4キー同時!$B$162)</f>
        <v/>
      </c>
      <c r="E3579" s="2" t="str">
        <f aca="false">IF(4キー同時!$G$162="","",4キー同時!$G$162)</f>
        <v/>
      </c>
      <c r="F3579" s="2" t="str">
        <f aca="false">IF(4キー同時!$L$162="","",4キー同時!$L$162)</f>
        <v/>
      </c>
      <c r="G3579" s="2" t="str">
        <f aca="false">IF(OR(4キー同時!$B$162="",4キー同時!$G$162="",4キー同時!$L$162=""),"",IF(4キー同時!F164="","",SUBSTITUTE(SUBSTITUTE(4キー同時!F164," ",""),"　","")))</f>
        <v/>
      </c>
      <c r="H3579" s="2" t="str">
        <f aca="false">IF($G3579="","",4キー同時!$B$162)</f>
        <v/>
      </c>
      <c r="I3579" s="2" t="str">
        <f aca="false">IF($G3579="","",4キー同時!$G$162)</f>
        <v/>
      </c>
      <c r="J3579" s="2" t="str">
        <f aca="false">IF($G3579="","",4キー同時!$L$162)</f>
        <v/>
      </c>
      <c r="K3579" s="2" t="str">
        <f aca="false">IF($G3579="","","1")</f>
        <v/>
      </c>
      <c r="L3579" s="2" t="str">
        <f aca="false">IF($G3579="","","同時")</f>
        <v/>
      </c>
      <c r="M3579" s="2" t="str">
        <f aca="false">IF($G3579="","",IF(ISNA(MATCH($G3579,個別指定!$A:$A,0)),"行なし",""))</f>
        <v/>
      </c>
      <c r="N3579" s="2" t="str">
        <f aca="false">IF($G3579="","",IF(COUNTIF($G$2:$G$4460,$G3579)&gt;1,"重複",""))</f>
        <v/>
      </c>
    </row>
    <row r="3580" customFormat="false" ht="16.5" hidden="false" customHeight="true" outlineLevel="0" collapsed="false">
      <c r="A3580" s="2" t="s">
        <v>447</v>
      </c>
      <c r="B3580" s="2" t="s">
        <v>460</v>
      </c>
      <c r="C3580" s="2" t="s">
        <v>1</v>
      </c>
      <c r="D3580" s="2" t="str">
        <f aca="false">IF(4キー同時!$B$162="","",4キー同時!$B$162)</f>
        <v/>
      </c>
      <c r="E3580" s="2" t="str">
        <f aca="false">IF(4キー同時!$G$162="","",4キー同時!$G$162)</f>
        <v/>
      </c>
      <c r="F3580" s="2" t="str">
        <f aca="false">IF(4キー同時!$L$162="","",4キー同時!$L$162)</f>
        <v/>
      </c>
      <c r="G3580" s="2" t="str">
        <f aca="false">IF(OR(4キー同時!$B$162="",4キー同時!$G$162="",4キー同時!$L$162=""),"",IF(4キー同時!J164="","",SUBSTITUTE(SUBSTITUTE(4キー同時!J164," ",""),"　","")))</f>
        <v/>
      </c>
      <c r="H3580" s="2" t="str">
        <f aca="false">IF($G3580="","",4キー同時!$B$162)</f>
        <v/>
      </c>
      <c r="I3580" s="2" t="str">
        <f aca="false">IF($G3580="","",4キー同時!$G$162)</f>
        <v/>
      </c>
      <c r="J3580" s="2" t="str">
        <f aca="false">IF($G3580="","",4キー同時!$L$162)</f>
        <v/>
      </c>
      <c r="K3580" s="2" t="str">
        <f aca="false">IF($G3580="","","2")</f>
        <v/>
      </c>
      <c r="L3580" s="2" t="str">
        <f aca="false">IF($G3580="","","同時")</f>
        <v/>
      </c>
      <c r="M3580" s="2" t="str">
        <f aca="false">IF($G3580="","",IF(ISNA(MATCH($G3580,個別指定!$A:$A,0)),"行なし",""))</f>
        <v/>
      </c>
      <c r="N3580" s="2" t="str">
        <f aca="false">IF($G3580="","",IF(COUNTIF($G$2:$G$4460,$G3580)&gt;1,"重複",""))</f>
        <v/>
      </c>
    </row>
    <row r="3581" customFormat="false" ht="16.5" hidden="false" customHeight="true" outlineLevel="0" collapsed="false">
      <c r="A3581" s="2" t="s">
        <v>447</v>
      </c>
      <c r="B3581" s="2" t="s">
        <v>460</v>
      </c>
      <c r="C3581" s="2" t="s">
        <v>2</v>
      </c>
      <c r="D3581" s="2" t="str">
        <f aca="false">IF(4キー同時!$B$162="","",4キー同時!$B$162)</f>
        <v/>
      </c>
      <c r="E3581" s="2" t="str">
        <f aca="false">IF(4キー同時!$G$162="","",4キー同時!$G$162)</f>
        <v/>
      </c>
      <c r="F3581" s="2" t="str">
        <f aca="false">IF(4キー同時!$L$162="","",4キー同時!$L$162)</f>
        <v/>
      </c>
      <c r="G3581" s="2" t="str">
        <f aca="false">IF(OR(4キー同時!$B$162="",4キー同時!$G$162="",4キー同時!$L$162=""),"",IF(4キー同時!N164="","",SUBSTITUTE(SUBSTITUTE(4キー同時!N164," ",""),"　","")))</f>
        <v/>
      </c>
      <c r="H3581" s="2" t="str">
        <f aca="false">IF($G3581="","",4キー同時!$B$162)</f>
        <v/>
      </c>
      <c r="I3581" s="2" t="str">
        <f aca="false">IF($G3581="","",4キー同時!$G$162)</f>
        <v/>
      </c>
      <c r="J3581" s="2" t="str">
        <f aca="false">IF($G3581="","",4キー同時!$L$162)</f>
        <v/>
      </c>
      <c r="K3581" s="2" t="str">
        <f aca="false">IF($G3581="","","3")</f>
        <v/>
      </c>
      <c r="L3581" s="2" t="str">
        <f aca="false">IF($G3581="","","同時")</f>
        <v/>
      </c>
      <c r="M3581" s="2" t="str">
        <f aca="false">IF($G3581="","",IF(ISNA(MATCH($G3581,個別指定!$A:$A,0)),"行なし",""))</f>
        <v/>
      </c>
      <c r="N3581" s="2" t="str">
        <f aca="false">IF($G3581="","",IF(COUNTIF($G$2:$G$4460,$G3581)&gt;1,"重複",""))</f>
        <v/>
      </c>
    </row>
    <row r="3582" customFormat="false" ht="16.5" hidden="false" customHeight="true" outlineLevel="0" collapsed="false">
      <c r="A3582" s="2" t="s">
        <v>447</v>
      </c>
      <c r="B3582" s="2" t="s">
        <v>460</v>
      </c>
      <c r="C3582" s="2" t="s">
        <v>3</v>
      </c>
      <c r="D3582" s="2" t="str">
        <f aca="false">IF(4キー同時!$B$162="","",4キー同時!$B$162)</f>
        <v/>
      </c>
      <c r="E3582" s="2" t="str">
        <f aca="false">IF(4キー同時!$G$162="","",4キー同時!$G$162)</f>
        <v/>
      </c>
      <c r="F3582" s="2" t="str">
        <f aca="false">IF(4キー同時!$L$162="","",4キー同時!$L$162)</f>
        <v/>
      </c>
      <c r="G3582" s="2" t="str">
        <f aca="false">IF(OR(4キー同時!$B$162="",4キー同時!$G$162="",4キー同時!$L$162=""),"",IF(4キー同時!R164="","",SUBSTITUTE(SUBSTITUTE(4キー同時!R164," ",""),"　","")))</f>
        <v/>
      </c>
      <c r="H3582" s="2" t="str">
        <f aca="false">IF($G3582="","",4キー同時!$B$162)</f>
        <v/>
      </c>
      <c r="I3582" s="2" t="str">
        <f aca="false">IF($G3582="","",4キー同時!$G$162)</f>
        <v/>
      </c>
      <c r="J3582" s="2" t="str">
        <f aca="false">IF($G3582="","",4キー同時!$L$162)</f>
        <v/>
      </c>
      <c r="K3582" s="2" t="str">
        <f aca="false">IF($G3582="","","4")</f>
        <v/>
      </c>
      <c r="L3582" s="2" t="str">
        <f aca="false">IF($G3582="","","同時")</f>
        <v/>
      </c>
      <c r="M3582" s="2" t="str">
        <f aca="false">IF($G3582="","",IF(ISNA(MATCH($G3582,個別指定!$A:$A,0)),"行なし",""))</f>
        <v/>
      </c>
      <c r="N3582" s="2" t="str">
        <f aca="false">IF($G3582="","",IF(COUNTIF($G$2:$G$4460,$G3582)&gt;1,"重複",""))</f>
        <v/>
      </c>
    </row>
    <row r="3583" customFormat="false" ht="16.5" hidden="false" customHeight="true" outlineLevel="0" collapsed="false">
      <c r="A3583" s="2" t="s">
        <v>447</v>
      </c>
      <c r="B3583" s="2" t="s">
        <v>460</v>
      </c>
      <c r="C3583" s="2" t="s">
        <v>4</v>
      </c>
      <c r="D3583" s="2" t="str">
        <f aca="false">IF(4キー同時!$B$162="","",4キー同時!$B$162)</f>
        <v/>
      </c>
      <c r="E3583" s="2" t="str">
        <f aca="false">IF(4キー同時!$G$162="","",4キー同時!$G$162)</f>
        <v/>
      </c>
      <c r="F3583" s="2" t="str">
        <f aca="false">IF(4キー同時!$L$162="","",4キー同時!$L$162)</f>
        <v/>
      </c>
      <c r="G3583" s="2" t="str">
        <f aca="false">IF(OR(4キー同時!$B$162="",4キー同時!$G$162="",4キー同時!$L$162=""),"",IF(4キー同時!V164="","",SUBSTITUTE(SUBSTITUTE(4キー同時!V164," ",""),"　","")))</f>
        <v/>
      </c>
      <c r="H3583" s="2" t="str">
        <f aca="false">IF($G3583="","",4キー同時!$B$162)</f>
        <v/>
      </c>
      <c r="I3583" s="2" t="str">
        <f aca="false">IF($G3583="","",4キー同時!$G$162)</f>
        <v/>
      </c>
      <c r="J3583" s="2" t="str">
        <f aca="false">IF($G3583="","",4キー同時!$L$162)</f>
        <v/>
      </c>
      <c r="K3583" s="2" t="str">
        <f aca="false">IF($G3583="","","5")</f>
        <v/>
      </c>
      <c r="L3583" s="2" t="str">
        <f aca="false">IF($G3583="","","同時")</f>
        <v/>
      </c>
      <c r="M3583" s="2" t="str">
        <f aca="false">IF($G3583="","",IF(ISNA(MATCH($G3583,個別指定!$A:$A,0)),"行なし",""))</f>
        <v/>
      </c>
      <c r="N3583" s="2" t="str">
        <f aca="false">IF($G3583="","",IF(COUNTIF($G$2:$G$4460,$G3583)&gt;1,"重複",""))</f>
        <v/>
      </c>
    </row>
    <row r="3584" customFormat="false" ht="16.5" hidden="false" customHeight="true" outlineLevel="0" collapsed="false">
      <c r="A3584" s="2" t="s">
        <v>447</v>
      </c>
      <c r="B3584" s="2" t="s">
        <v>460</v>
      </c>
      <c r="C3584" s="2" t="s">
        <v>5</v>
      </c>
      <c r="D3584" s="2" t="str">
        <f aca="false">IF(4キー同時!$B$162="","",4キー同時!$B$162)</f>
        <v/>
      </c>
      <c r="E3584" s="2" t="str">
        <f aca="false">IF(4キー同時!$G$162="","",4キー同時!$G$162)</f>
        <v/>
      </c>
      <c r="F3584" s="2" t="str">
        <f aca="false">IF(4キー同時!$L$162="","",4キー同時!$L$162)</f>
        <v/>
      </c>
      <c r="G3584" s="2" t="str">
        <f aca="false">IF(OR(4キー同時!$B$162="",4キー同時!$G$162="",4キー同時!$L$162=""),"",IF(4キー同時!Z164="","",SUBSTITUTE(SUBSTITUTE(4キー同時!Z164," ",""),"　","")))</f>
        <v/>
      </c>
      <c r="H3584" s="2" t="str">
        <f aca="false">IF($G3584="","",4キー同時!$B$162)</f>
        <v/>
      </c>
      <c r="I3584" s="2" t="str">
        <f aca="false">IF($G3584="","",4キー同時!$G$162)</f>
        <v/>
      </c>
      <c r="J3584" s="2" t="str">
        <f aca="false">IF($G3584="","",4キー同時!$L$162)</f>
        <v/>
      </c>
      <c r="K3584" s="2" t="str">
        <f aca="false">IF($G3584="","","6")</f>
        <v/>
      </c>
      <c r="L3584" s="2" t="str">
        <f aca="false">IF($G3584="","","同時")</f>
        <v/>
      </c>
      <c r="M3584" s="2" t="str">
        <f aca="false">IF($G3584="","",IF(ISNA(MATCH($G3584,個別指定!$A:$A,0)),"行なし",""))</f>
        <v/>
      </c>
      <c r="N3584" s="2" t="str">
        <f aca="false">IF($G3584="","",IF(COUNTIF($G$2:$G$4460,$G3584)&gt;1,"重複",""))</f>
        <v/>
      </c>
    </row>
    <row r="3585" customFormat="false" ht="16.5" hidden="false" customHeight="true" outlineLevel="0" collapsed="false">
      <c r="A3585" s="2" t="s">
        <v>447</v>
      </c>
      <c r="B3585" s="2" t="s">
        <v>460</v>
      </c>
      <c r="C3585" s="2" t="s">
        <v>6</v>
      </c>
      <c r="D3585" s="2" t="str">
        <f aca="false">IF(4キー同時!$B$162="","",4キー同時!$B$162)</f>
        <v/>
      </c>
      <c r="E3585" s="2" t="str">
        <f aca="false">IF(4キー同時!$G$162="","",4キー同時!$G$162)</f>
        <v/>
      </c>
      <c r="F3585" s="2" t="str">
        <f aca="false">IF(4キー同時!$L$162="","",4キー同時!$L$162)</f>
        <v/>
      </c>
      <c r="G3585" s="2" t="str">
        <f aca="false">IF(OR(4キー同時!$B$162="",4キー同時!$G$162="",4キー同時!$L$162=""),"",IF(4キー同時!AD164="","",SUBSTITUTE(SUBSTITUTE(4キー同時!AD164," ",""),"　","")))</f>
        <v/>
      </c>
      <c r="H3585" s="2" t="str">
        <f aca="false">IF($G3585="","",4キー同時!$B$162)</f>
        <v/>
      </c>
      <c r="I3585" s="2" t="str">
        <f aca="false">IF($G3585="","",4キー同時!$G$162)</f>
        <v/>
      </c>
      <c r="J3585" s="2" t="str">
        <f aca="false">IF($G3585="","",4キー同時!$L$162)</f>
        <v/>
      </c>
      <c r="K3585" s="2" t="str">
        <f aca="false">IF($G3585="","","7")</f>
        <v/>
      </c>
      <c r="L3585" s="2" t="str">
        <f aca="false">IF($G3585="","","同時")</f>
        <v/>
      </c>
      <c r="M3585" s="2" t="str">
        <f aca="false">IF($G3585="","",IF(ISNA(MATCH($G3585,個別指定!$A:$A,0)),"行なし",""))</f>
        <v/>
      </c>
      <c r="N3585" s="2" t="str">
        <f aca="false">IF($G3585="","",IF(COUNTIF($G$2:$G$4460,$G3585)&gt;1,"重複",""))</f>
        <v/>
      </c>
    </row>
    <row r="3586" customFormat="false" ht="16.5" hidden="false" customHeight="true" outlineLevel="0" collapsed="false">
      <c r="A3586" s="2" t="s">
        <v>447</v>
      </c>
      <c r="B3586" s="2" t="s">
        <v>460</v>
      </c>
      <c r="C3586" s="2" t="s">
        <v>7</v>
      </c>
      <c r="D3586" s="2" t="str">
        <f aca="false">IF(4キー同時!$B$162="","",4キー同時!$B$162)</f>
        <v/>
      </c>
      <c r="E3586" s="2" t="str">
        <f aca="false">IF(4キー同時!$G$162="","",4キー同時!$G$162)</f>
        <v/>
      </c>
      <c r="F3586" s="2" t="str">
        <f aca="false">IF(4キー同時!$L$162="","",4キー同時!$L$162)</f>
        <v/>
      </c>
      <c r="G3586" s="2" t="str">
        <f aca="false">IF(OR(4キー同時!$B$162="",4キー同時!$G$162="",4キー同時!$L$162=""),"",IF(4キー同時!AH164="","",SUBSTITUTE(SUBSTITUTE(4キー同時!AH164," ",""),"　","")))</f>
        <v/>
      </c>
      <c r="H3586" s="2" t="str">
        <f aca="false">IF($G3586="","",4キー同時!$B$162)</f>
        <v/>
      </c>
      <c r="I3586" s="2" t="str">
        <f aca="false">IF($G3586="","",4キー同時!$G$162)</f>
        <v/>
      </c>
      <c r="J3586" s="2" t="str">
        <f aca="false">IF($G3586="","",4キー同時!$L$162)</f>
        <v/>
      </c>
      <c r="K3586" s="2" t="str">
        <f aca="false">IF($G3586="","","8")</f>
        <v/>
      </c>
      <c r="L3586" s="2" t="str">
        <f aca="false">IF($G3586="","","同時")</f>
        <v/>
      </c>
      <c r="M3586" s="2" t="str">
        <f aca="false">IF($G3586="","",IF(ISNA(MATCH($G3586,個別指定!$A:$A,0)),"行なし",""))</f>
        <v/>
      </c>
      <c r="N3586" s="2" t="str">
        <f aca="false">IF($G3586="","",IF(COUNTIF($G$2:$G$4460,$G3586)&gt;1,"重複",""))</f>
        <v/>
      </c>
    </row>
    <row r="3587" customFormat="false" ht="16.5" hidden="false" customHeight="true" outlineLevel="0" collapsed="false">
      <c r="A3587" s="2" t="s">
        <v>447</v>
      </c>
      <c r="B3587" s="2" t="s">
        <v>460</v>
      </c>
      <c r="C3587" s="2" t="s">
        <v>8</v>
      </c>
      <c r="D3587" s="2" t="str">
        <f aca="false">IF(4キー同時!$B$162="","",4キー同時!$B$162)</f>
        <v/>
      </c>
      <c r="E3587" s="2" t="str">
        <f aca="false">IF(4キー同時!$G$162="","",4キー同時!$G$162)</f>
        <v/>
      </c>
      <c r="F3587" s="2" t="str">
        <f aca="false">IF(4キー同時!$L$162="","",4キー同時!$L$162)</f>
        <v/>
      </c>
      <c r="G3587" s="2" t="str">
        <f aca="false">IF(OR(4キー同時!$B$162="",4キー同時!$G$162="",4キー同時!$L$162=""),"",IF(4キー同時!AL164="","",SUBSTITUTE(SUBSTITUTE(4キー同時!AL164," ",""),"　","")))</f>
        <v/>
      </c>
      <c r="H3587" s="2" t="str">
        <f aca="false">IF($G3587="","",4キー同時!$B$162)</f>
        <v/>
      </c>
      <c r="I3587" s="2" t="str">
        <f aca="false">IF($G3587="","",4キー同時!$G$162)</f>
        <v/>
      </c>
      <c r="J3587" s="2" t="str">
        <f aca="false">IF($G3587="","",4キー同時!$L$162)</f>
        <v/>
      </c>
      <c r="K3587" s="2" t="str">
        <f aca="false">IF($G3587="","","9")</f>
        <v/>
      </c>
      <c r="L3587" s="2" t="str">
        <f aca="false">IF($G3587="","","同時")</f>
        <v/>
      </c>
      <c r="M3587" s="2" t="str">
        <f aca="false">IF($G3587="","",IF(ISNA(MATCH($G3587,個別指定!$A:$A,0)),"行なし",""))</f>
        <v/>
      </c>
      <c r="N3587" s="2" t="str">
        <f aca="false">IF($G3587="","",IF(COUNTIF($G$2:$G$4460,$G3587)&gt;1,"重複",""))</f>
        <v/>
      </c>
    </row>
    <row r="3588" customFormat="false" ht="16.5" hidden="false" customHeight="true" outlineLevel="0" collapsed="false">
      <c r="A3588" s="2" t="s">
        <v>447</v>
      </c>
      <c r="B3588" s="2" t="s">
        <v>460</v>
      </c>
      <c r="C3588" s="2" t="s">
        <v>9</v>
      </c>
      <c r="D3588" s="2" t="str">
        <f aca="false">IF(4キー同時!$B$162="","",4キー同時!$B$162)</f>
        <v/>
      </c>
      <c r="E3588" s="2" t="str">
        <f aca="false">IF(4キー同時!$G$162="","",4キー同時!$G$162)</f>
        <v/>
      </c>
      <c r="F3588" s="2" t="str">
        <f aca="false">IF(4キー同時!$L$162="","",4キー同時!$L$162)</f>
        <v/>
      </c>
      <c r="G3588" s="2" t="str">
        <f aca="false">IF(OR(4キー同時!$B$162="",4キー同時!$G$162="",4キー同時!$L$162=""),"",IF(4キー同時!AP164="","",SUBSTITUTE(SUBSTITUTE(4キー同時!AP164," ",""),"　","")))</f>
        <v/>
      </c>
      <c r="H3588" s="2" t="str">
        <f aca="false">IF($G3588="","",4キー同時!$B$162)</f>
        <v/>
      </c>
      <c r="I3588" s="2" t="str">
        <f aca="false">IF($G3588="","",4キー同時!$G$162)</f>
        <v/>
      </c>
      <c r="J3588" s="2" t="str">
        <f aca="false">IF($G3588="","",4キー同時!$L$162)</f>
        <v/>
      </c>
      <c r="K3588" s="2" t="str">
        <f aca="false">IF($G3588="","","0")</f>
        <v/>
      </c>
      <c r="L3588" s="2" t="str">
        <f aca="false">IF($G3588="","","同時")</f>
        <v/>
      </c>
      <c r="M3588" s="2" t="str">
        <f aca="false">IF($G3588="","",IF(ISNA(MATCH($G3588,個別指定!$A:$A,0)),"行なし",""))</f>
        <v/>
      </c>
      <c r="N3588" s="2" t="str">
        <f aca="false">IF($G3588="","",IF(COUNTIF($G$2:$G$4460,$G3588)&gt;1,"重複",""))</f>
        <v/>
      </c>
    </row>
    <row r="3589" customFormat="false" ht="16.5" hidden="false" customHeight="true" outlineLevel="0" collapsed="false">
      <c r="A3589" s="2" t="s">
        <v>447</v>
      </c>
      <c r="B3589" s="2" t="s">
        <v>460</v>
      </c>
      <c r="C3589" s="2" t="s">
        <v>10</v>
      </c>
      <c r="D3589" s="2" t="str">
        <f aca="false">IF(4キー同時!$B$162="","",4キー同時!$B$162)</f>
        <v/>
      </c>
      <c r="E3589" s="2" t="str">
        <f aca="false">IF(4キー同時!$G$162="","",4キー同時!$G$162)</f>
        <v/>
      </c>
      <c r="F3589" s="2" t="str">
        <f aca="false">IF(4キー同時!$L$162="","",4キー同時!$L$162)</f>
        <v/>
      </c>
      <c r="G3589" s="2" t="str">
        <f aca="false">IF(OR(4キー同時!$B$162="",4キー同時!$G$162="",4キー同時!$L$162=""),"",IF(4キー同時!AT164="","",SUBSTITUTE(SUBSTITUTE(4キー同時!AT164," ",""),"　","")))</f>
        <v/>
      </c>
      <c r="H3589" s="2" t="str">
        <f aca="false">IF($G3589="","",4キー同時!$B$162)</f>
        <v/>
      </c>
      <c r="I3589" s="2" t="str">
        <f aca="false">IF($G3589="","",4キー同時!$G$162)</f>
        <v/>
      </c>
      <c r="J3589" s="2" t="str">
        <f aca="false">IF($G3589="","",4キー同時!$L$162)</f>
        <v/>
      </c>
      <c r="K3589" s="2" t="str">
        <f aca="false">IF($G3589="","","-")</f>
        <v/>
      </c>
      <c r="L3589" s="2" t="str">
        <f aca="false">IF($G3589="","","同時")</f>
        <v/>
      </c>
      <c r="M3589" s="2" t="str">
        <f aca="false">IF($G3589="","",IF(ISNA(MATCH($G3589,個別指定!$A:$A,0)),"行なし",""))</f>
        <v/>
      </c>
      <c r="N3589" s="2" t="str">
        <f aca="false">IF($G3589="","",IF(COUNTIF($G$2:$G$4460,$G3589)&gt;1,"重複",""))</f>
        <v/>
      </c>
    </row>
    <row r="3590" customFormat="false" ht="16.5" hidden="false" customHeight="true" outlineLevel="0" collapsed="false">
      <c r="A3590" s="2" t="s">
        <v>447</v>
      </c>
      <c r="B3590" s="2" t="s">
        <v>460</v>
      </c>
      <c r="C3590" s="2" t="s">
        <v>11</v>
      </c>
      <c r="D3590" s="2" t="str">
        <f aca="false">IF(4キー同時!$B$162="","",4キー同時!$B$162)</f>
        <v/>
      </c>
      <c r="E3590" s="2" t="str">
        <f aca="false">IF(4キー同時!$G$162="","",4キー同時!$G$162)</f>
        <v/>
      </c>
      <c r="F3590" s="2" t="str">
        <f aca="false">IF(4キー同時!$L$162="","",4キー同時!$L$162)</f>
        <v/>
      </c>
      <c r="G3590" s="2" t="str">
        <f aca="false">IF(OR(4キー同時!$B$162="",4キー同時!$G$162="",4キー同時!$L$162=""),"",IF(4キー同時!AX164="","",SUBSTITUTE(SUBSTITUTE(4キー同時!AX164," ",""),"　","")))</f>
        <v/>
      </c>
      <c r="H3590" s="2" t="str">
        <f aca="false">IF($G3590="","",4キー同時!$B$162)</f>
        <v/>
      </c>
      <c r="I3590" s="2" t="str">
        <f aca="false">IF($G3590="","",4キー同時!$G$162)</f>
        <v/>
      </c>
      <c r="J3590" s="2" t="str">
        <f aca="false">IF($G3590="","",4キー同時!$L$162)</f>
        <v/>
      </c>
      <c r="K3590" s="2" t="str">
        <f aca="false">IF($G3590="","","=")</f>
        <v/>
      </c>
      <c r="L3590" s="2" t="str">
        <f aca="false">IF($G3590="","","同時")</f>
        <v/>
      </c>
      <c r="M3590" s="2" t="str">
        <f aca="false">IF($G3590="","",IF(ISNA(MATCH($G3590,個別指定!$A:$A,0)),"行なし",""))</f>
        <v/>
      </c>
      <c r="N3590" s="2" t="str">
        <f aca="false">IF($G3590="","",IF(COUNTIF($G$2:$G$4460,$G3590)&gt;1,"重複",""))</f>
        <v/>
      </c>
    </row>
    <row r="3591" customFormat="false" ht="16.5" hidden="false" customHeight="true" outlineLevel="0" collapsed="false">
      <c r="A3591" s="2" t="s">
        <v>447</v>
      </c>
      <c r="B3591" s="2" t="s">
        <v>460</v>
      </c>
      <c r="C3591" s="2" t="s">
        <v>12</v>
      </c>
      <c r="D3591" s="2" t="str">
        <f aca="false">IF(4キー同時!$B$162="","",4キー同時!$B$162)</f>
        <v/>
      </c>
      <c r="E3591" s="2" t="str">
        <f aca="false">IF(4キー同時!$G$162="","",4キー同時!$G$162)</f>
        <v/>
      </c>
      <c r="F3591" s="2" t="str">
        <f aca="false">IF(4キー同時!$L$162="","",4キー同時!$L$162)</f>
        <v/>
      </c>
      <c r="G3591" s="2" t="str">
        <f aca="false">IF(OR(4キー同時!$B$162="",4キー同時!$G$162="",4キー同時!$L$162=""),"",IF(4キー同時!H166="","",SUBSTITUTE(SUBSTITUTE(4キー同時!H166," ",""),"　","")))</f>
        <v/>
      </c>
      <c r="H3591" s="2" t="str">
        <f aca="false">IF($G3591="","",4キー同時!$B$162)</f>
        <v/>
      </c>
      <c r="I3591" s="2" t="str">
        <f aca="false">IF($G3591="","",4キー同時!$G$162)</f>
        <v/>
      </c>
      <c r="J3591" s="2" t="str">
        <f aca="false">IF($G3591="","",4キー同時!$L$162)</f>
        <v/>
      </c>
      <c r="K3591" s="2" t="str">
        <f aca="false">IF($G3591="","","q")</f>
        <v/>
      </c>
      <c r="L3591" s="2" t="str">
        <f aca="false">IF($G3591="","","同時")</f>
        <v/>
      </c>
      <c r="M3591" s="2" t="str">
        <f aca="false">IF($G3591="","",IF(ISNA(MATCH($G3591,個別指定!$A:$A,0)),"行なし",""))</f>
        <v/>
      </c>
      <c r="N3591" s="2" t="str">
        <f aca="false">IF($G3591="","",IF(COUNTIF($G$2:$G$4460,$G3591)&gt;1,"重複",""))</f>
        <v/>
      </c>
    </row>
    <row r="3592" customFormat="false" ht="16.5" hidden="false" customHeight="true" outlineLevel="0" collapsed="false">
      <c r="A3592" s="2" t="s">
        <v>447</v>
      </c>
      <c r="B3592" s="2" t="s">
        <v>460</v>
      </c>
      <c r="C3592" s="2" t="s">
        <v>13</v>
      </c>
      <c r="D3592" s="2" t="str">
        <f aca="false">IF(4キー同時!$B$162="","",4キー同時!$B$162)</f>
        <v/>
      </c>
      <c r="E3592" s="2" t="str">
        <f aca="false">IF(4キー同時!$G$162="","",4キー同時!$G$162)</f>
        <v/>
      </c>
      <c r="F3592" s="2" t="str">
        <f aca="false">IF(4キー同時!$L$162="","",4キー同時!$L$162)</f>
        <v/>
      </c>
      <c r="G3592" s="2" t="str">
        <f aca="false">IF(OR(4キー同時!$B$162="",4キー同時!$G$162="",4キー同時!$L$162=""),"",IF(4キー同時!L166="","",SUBSTITUTE(SUBSTITUTE(4キー同時!L166," ",""),"　","")))</f>
        <v/>
      </c>
      <c r="H3592" s="2" t="str">
        <f aca="false">IF($G3592="","",4キー同時!$B$162)</f>
        <v/>
      </c>
      <c r="I3592" s="2" t="str">
        <f aca="false">IF($G3592="","",4キー同時!$G$162)</f>
        <v/>
      </c>
      <c r="J3592" s="2" t="str">
        <f aca="false">IF($G3592="","",4キー同時!$L$162)</f>
        <v/>
      </c>
      <c r="K3592" s="2" t="str">
        <f aca="false">IF($G3592="","","w")</f>
        <v/>
      </c>
      <c r="L3592" s="2" t="str">
        <f aca="false">IF($G3592="","","同時")</f>
        <v/>
      </c>
      <c r="M3592" s="2" t="str">
        <f aca="false">IF($G3592="","",IF(ISNA(MATCH($G3592,個別指定!$A:$A,0)),"行なし",""))</f>
        <v/>
      </c>
      <c r="N3592" s="2" t="str">
        <f aca="false">IF($G3592="","",IF(COUNTIF($G$2:$G$4460,$G3592)&gt;1,"重複",""))</f>
        <v/>
      </c>
    </row>
    <row r="3593" customFormat="false" ht="16.5" hidden="false" customHeight="true" outlineLevel="0" collapsed="false">
      <c r="A3593" s="2" t="s">
        <v>447</v>
      </c>
      <c r="B3593" s="2" t="s">
        <v>460</v>
      </c>
      <c r="C3593" s="2" t="s">
        <v>14</v>
      </c>
      <c r="D3593" s="2" t="str">
        <f aca="false">IF(4キー同時!$B$162="","",4キー同時!$B$162)</f>
        <v/>
      </c>
      <c r="E3593" s="2" t="str">
        <f aca="false">IF(4キー同時!$G$162="","",4キー同時!$G$162)</f>
        <v/>
      </c>
      <c r="F3593" s="2" t="str">
        <f aca="false">IF(4キー同時!$L$162="","",4キー同時!$L$162)</f>
        <v/>
      </c>
      <c r="G3593" s="2" t="str">
        <f aca="false">IF(OR(4キー同時!$B$162="",4キー同時!$G$162="",4キー同時!$L$162=""),"",IF(4キー同時!P166="","",SUBSTITUTE(SUBSTITUTE(4キー同時!P166," ",""),"　","")))</f>
        <v/>
      </c>
      <c r="H3593" s="2" t="str">
        <f aca="false">IF($G3593="","",4キー同時!$B$162)</f>
        <v/>
      </c>
      <c r="I3593" s="2" t="str">
        <f aca="false">IF($G3593="","",4キー同時!$G$162)</f>
        <v/>
      </c>
      <c r="J3593" s="2" t="str">
        <f aca="false">IF($G3593="","",4キー同時!$L$162)</f>
        <v/>
      </c>
      <c r="K3593" s="2" t="str">
        <f aca="false">IF($G3593="","","e")</f>
        <v/>
      </c>
      <c r="L3593" s="2" t="str">
        <f aca="false">IF($G3593="","","同時")</f>
        <v/>
      </c>
      <c r="M3593" s="2" t="str">
        <f aca="false">IF($G3593="","",IF(ISNA(MATCH($G3593,個別指定!$A:$A,0)),"行なし",""))</f>
        <v/>
      </c>
      <c r="N3593" s="2" t="str">
        <f aca="false">IF($G3593="","",IF(COUNTIF($G$2:$G$4460,$G3593)&gt;1,"重複",""))</f>
        <v/>
      </c>
    </row>
    <row r="3594" customFormat="false" ht="16.5" hidden="false" customHeight="true" outlineLevel="0" collapsed="false">
      <c r="A3594" s="2" t="s">
        <v>447</v>
      </c>
      <c r="B3594" s="2" t="s">
        <v>460</v>
      </c>
      <c r="C3594" s="2" t="s">
        <v>15</v>
      </c>
      <c r="D3594" s="2" t="str">
        <f aca="false">IF(4キー同時!$B$162="","",4キー同時!$B$162)</f>
        <v/>
      </c>
      <c r="E3594" s="2" t="str">
        <f aca="false">IF(4キー同時!$G$162="","",4キー同時!$G$162)</f>
        <v/>
      </c>
      <c r="F3594" s="2" t="str">
        <f aca="false">IF(4キー同時!$L$162="","",4キー同時!$L$162)</f>
        <v/>
      </c>
      <c r="G3594" s="2" t="str">
        <f aca="false">IF(OR(4キー同時!$B$162="",4キー同時!$G$162="",4キー同時!$L$162=""),"",IF(4キー同時!T166="","",SUBSTITUTE(SUBSTITUTE(4キー同時!T166," ",""),"　","")))</f>
        <v/>
      </c>
      <c r="H3594" s="2" t="str">
        <f aca="false">IF($G3594="","",4キー同時!$B$162)</f>
        <v/>
      </c>
      <c r="I3594" s="2" t="str">
        <f aca="false">IF($G3594="","",4キー同時!$G$162)</f>
        <v/>
      </c>
      <c r="J3594" s="2" t="str">
        <f aca="false">IF($G3594="","",4キー同時!$L$162)</f>
        <v/>
      </c>
      <c r="K3594" s="2" t="str">
        <f aca="false">IF($G3594="","","r")</f>
        <v/>
      </c>
      <c r="L3594" s="2" t="str">
        <f aca="false">IF($G3594="","","同時")</f>
        <v/>
      </c>
      <c r="M3594" s="2" t="str">
        <f aca="false">IF($G3594="","",IF(ISNA(MATCH($G3594,個別指定!$A:$A,0)),"行なし",""))</f>
        <v/>
      </c>
      <c r="N3594" s="2" t="str">
        <f aca="false">IF($G3594="","",IF(COUNTIF($G$2:$G$4460,$G3594)&gt;1,"重複",""))</f>
        <v/>
      </c>
    </row>
    <row r="3595" customFormat="false" ht="16.5" hidden="false" customHeight="true" outlineLevel="0" collapsed="false">
      <c r="A3595" s="2" t="s">
        <v>447</v>
      </c>
      <c r="B3595" s="2" t="s">
        <v>460</v>
      </c>
      <c r="C3595" s="2" t="s">
        <v>16</v>
      </c>
      <c r="D3595" s="2" t="str">
        <f aca="false">IF(4キー同時!$B$162="","",4キー同時!$B$162)</f>
        <v/>
      </c>
      <c r="E3595" s="2" t="str">
        <f aca="false">IF(4キー同時!$G$162="","",4キー同時!$G$162)</f>
        <v/>
      </c>
      <c r="F3595" s="2" t="str">
        <f aca="false">IF(4キー同時!$L$162="","",4キー同時!$L$162)</f>
        <v/>
      </c>
      <c r="G3595" s="2" t="str">
        <f aca="false">IF(OR(4キー同時!$B$162="",4キー同時!$G$162="",4キー同時!$L$162=""),"",IF(4キー同時!X166="","",SUBSTITUTE(SUBSTITUTE(4キー同時!X166," ",""),"　","")))</f>
        <v/>
      </c>
      <c r="H3595" s="2" t="str">
        <f aca="false">IF($G3595="","",4キー同時!$B$162)</f>
        <v/>
      </c>
      <c r="I3595" s="2" t="str">
        <f aca="false">IF($G3595="","",4キー同時!$G$162)</f>
        <v/>
      </c>
      <c r="J3595" s="2" t="str">
        <f aca="false">IF($G3595="","",4キー同時!$L$162)</f>
        <v/>
      </c>
      <c r="K3595" s="2" t="str">
        <f aca="false">IF($G3595="","","t")</f>
        <v/>
      </c>
      <c r="L3595" s="2" t="str">
        <f aca="false">IF($G3595="","","同時")</f>
        <v/>
      </c>
      <c r="M3595" s="2" t="str">
        <f aca="false">IF($G3595="","",IF(ISNA(MATCH($G3595,個別指定!$A:$A,0)),"行なし",""))</f>
        <v/>
      </c>
      <c r="N3595" s="2" t="str">
        <f aca="false">IF($G3595="","",IF(COUNTIF($G$2:$G$4460,$G3595)&gt;1,"重複",""))</f>
        <v/>
      </c>
    </row>
    <row r="3596" customFormat="false" ht="16.5" hidden="false" customHeight="true" outlineLevel="0" collapsed="false">
      <c r="A3596" s="2" t="s">
        <v>447</v>
      </c>
      <c r="B3596" s="2" t="s">
        <v>460</v>
      </c>
      <c r="C3596" s="2" t="s">
        <v>17</v>
      </c>
      <c r="D3596" s="2" t="str">
        <f aca="false">IF(4キー同時!$B$162="","",4キー同時!$B$162)</f>
        <v/>
      </c>
      <c r="E3596" s="2" t="str">
        <f aca="false">IF(4キー同時!$G$162="","",4キー同時!$G$162)</f>
        <v/>
      </c>
      <c r="F3596" s="2" t="str">
        <f aca="false">IF(4キー同時!$L$162="","",4キー同時!$L$162)</f>
        <v/>
      </c>
      <c r="G3596" s="2" t="str">
        <f aca="false">IF(OR(4キー同時!$B$162="",4キー同時!$G$162="",4キー同時!$L$162=""),"",IF(4キー同時!AB166="","",SUBSTITUTE(SUBSTITUTE(4キー同時!AB166," ",""),"　","")))</f>
        <v/>
      </c>
      <c r="H3596" s="2" t="str">
        <f aca="false">IF($G3596="","",4キー同時!$B$162)</f>
        <v/>
      </c>
      <c r="I3596" s="2" t="str">
        <f aca="false">IF($G3596="","",4キー同時!$G$162)</f>
        <v/>
      </c>
      <c r="J3596" s="2" t="str">
        <f aca="false">IF($G3596="","",4キー同時!$L$162)</f>
        <v/>
      </c>
      <c r="K3596" s="2" t="str">
        <f aca="false">IF($G3596="","","y")</f>
        <v/>
      </c>
      <c r="L3596" s="2" t="str">
        <f aca="false">IF($G3596="","","同時")</f>
        <v/>
      </c>
      <c r="M3596" s="2" t="str">
        <f aca="false">IF($G3596="","",IF(ISNA(MATCH($G3596,個別指定!$A:$A,0)),"行なし",""))</f>
        <v/>
      </c>
      <c r="N3596" s="2" t="str">
        <f aca="false">IF($G3596="","",IF(COUNTIF($G$2:$G$4460,$G3596)&gt;1,"重複",""))</f>
        <v/>
      </c>
    </row>
    <row r="3597" customFormat="false" ht="16.5" hidden="false" customHeight="true" outlineLevel="0" collapsed="false">
      <c r="A3597" s="2" t="s">
        <v>447</v>
      </c>
      <c r="B3597" s="2" t="s">
        <v>460</v>
      </c>
      <c r="C3597" s="2" t="s">
        <v>18</v>
      </c>
      <c r="D3597" s="2" t="str">
        <f aca="false">IF(4キー同時!$B$162="","",4キー同時!$B$162)</f>
        <v/>
      </c>
      <c r="E3597" s="2" t="str">
        <f aca="false">IF(4キー同時!$G$162="","",4キー同時!$G$162)</f>
        <v/>
      </c>
      <c r="F3597" s="2" t="str">
        <f aca="false">IF(4キー同時!$L$162="","",4キー同時!$L$162)</f>
        <v/>
      </c>
      <c r="G3597" s="2" t="str">
        <f aca="false">IF(OR(4キー同時!$B$162="",4キー同時!$G$162="",4キー同時!$L$162=""),"",IF(4キー同時!AF166="","",SUBSTITUTE(SUBSTITUTE(4キー同時!AF166," ",""),"　","")))</f>
        <v/>
      </c>
      <c r="H3597" s="2" t="str">
        <f aca="false">IF($G3597="","",4キー同時!$B$162)</f>
        <v/>
      </c>
      <c r="I3597" s="2" t="str">
        <f aca="false">IF($G3597="","",4キー同時!$G$162)</f>
        <v/>
      </c>
      <c r="J3597" s="2" t="str">
        <f aca="false">IF($G3597="","",4キー同時!$L$162)</f>
        <v/>
      </c>
      <c r="K3597" s="2" t="str">
        <f aca="false">IF($G3597="","","u")</f>
        <v/>
      </c>
      <c r="L3597" s="2" t="str">
        <f aca="false">IF($G3597="","","同時")</f>
        <v/>
      </c>
      <c r="M3597" s="2" t="str">
        <f aca="false">IF($G3597="","",IF(ISNA(MATCH($G3597,個別指定!$A:$A,0)),"行なし",""))</f>
        <v/>
      </c>
      <c r="N3597" s="2" t="str">
        <f aca="false">IF($G3597="","",IF(COUNTIF($G$2:$G$4460,$G3597)&gt;1,"重複",""))</f>
        <v/>
      </c>
    </row>
    <row r="3598" customFormat="false" ht="16.5" hidden="false" customHeight="true" outlineLevel="0" collapsed="false">
      <c r="A3598" s="2" t="s">
        <v>447</v>
      </c>
      <c r="B3598" s="2" t="s">
        <v>460</v>
      </c>
      <c r="C3598" s="2" t="s">
        <v>19</v>
      </c>
      <c r="D3598" s="2" t="str">
        <f aca="false">IF(4キー同時!$B$162="","",4キー同時!$B$162)</f>
        <v/>
      </c>
      <c r="E3598" s="2" t="str">
        <f aca="false">IF(4キー同時!$G$162="","",4キー同時!$G$162)</f>
        <v/>
      </c>
      <c r="F3598" s="2" t="str">
        <f aca="false">IF(4キー同時!$L$162="","",4キー同時!$L$162)</f>
        <v/>
      </c>
      <c r="G3598" s="2" t="str">
        <f aca="false">IF(OR(4キー同時!$B$162="",4キー同時!$G$162="",4キー同時!$L$162=""),"",IF(4キー同時!AJ166="","",SUBSTITUTE(SUBSTITUTE(4キー同時!AJ166," ",""),"　","")))</f>
        <v/>
      </c>
      <c r="H3598" s="2" t="str">
        <f aca="false">IF($G3598="","",4キー同時!$B$162)</f>
        <v/>
      </c>
      <c r="I3598" s="2" t="str">
        <f aca="false">IF($G3598="","",4キー同時!$G$162)</f>
        <v/>
      </c>
      <c r="J3598" s="2" t="str">
        <f aca="false">IF($G3598="","",4キー同時!$L$162)</f>
        <v/>
      </c>
      <c r="K3598" s="2" t="str">
        <f aca="false">IF($G3598="","","i")</f>
        <v/>
      </c>
      <c r="L3598" s="2" t="str">
        <f aca="false">IF($G3598="","","同時")</f>
        <v/>
      </c>
      <c r="M3598" s="2" t="str">
        <f aca="false">IF($G3598="","",IF(ISNA(MATCH($G3598,個別指定!$A:$A,0)),"行なし",""))</f>
        <v/>
      </c>
      <c r="N3598" s="2" t="str">
        <f aca="false">IF($G3598="","",IF(COUNTIF($G$2:$G$4460,$G3598)&gt;1,"重複",""))</f>
        <v/>
      </c>
    </row>
    <row r="3599" customFormat="false" ht="16.5" hidden="false" customHeight="true" outlineLevel="0" collapsed="false">
      <c r="A3599" s="2" t="s">
        <v>447</v>
      </c>
      <c r="B3599" s="2" t="s">
        <v>460</v>
      </c>
      <c r="C3599" s="2" t="s">
        <v>20</v>
      </c>
      <c r="D3599" s="2" t="str">
        <f aca="false">IF(4キー同時!$B$162="","",4キー同時!$B$162)</f>
        <v/>
      </c>
      <c r="E3599" s="2" t="str">
        <f aca="false">IF(4キー同時!$G$162="","",4キー同時!$G$162)</f>
        <v/>
      </c>
      <c r="F3599" s="2" t="str">
        <f aca="false">IF(4キー同時!$L$162="","",4キー同時!$L$162)</f>
        <v/>
      </c>
      <c r="G3599" s="2" t="str">
        <f aca="false">IF(OR(4キー同時!$B$162="",4キー同時!$G$162="",4キー同時!$L$162=""),"",IF(4キー同時!AN166="","",SUBSTITUTE(SUBSTITUTE(4キー同時!AN166," ",""),"　","")))</f>
        <v/>
      </c>
      <c r="H3599" s="2" t="str">
        <f aca="false">IF($G3599="","",4キー同時!$B$162)</f>
        <v/>
      </c>
      <c r="I3599" s="2" t="str">
        <f aca="false">IF($G3599="","",4キー同時!$G$162)</f>
        <v/>
      </c>
      <c r="J3599" s="2" t="str">
        <f aca="false">IF($G3599="","",4キー同時!$L$162)</f>
        <v/>
      </c>
      <c r="K3599" s="2" t="str">
        <f aca="false">IF($G3599="","","o")</f>
        <v/>
      </c>
      <c r="L3599" s="2" t="str">
        <f aca="false">IF($G3599="","","同時")</f>
        <v/>
      </c>
      <c r="M3599" s="2" t="str">
        <f aca="false">IF($G3599="","",IF(ISNA(MATCH($G3599,個別指定!$A:$A,0)),"行なし",""))</f>
        <v/>
      </c>
      <c r="N3599" s="2" t="str">
        <f aca="false">IF($G3599="","",IF(COUNTIF($G$2:$G$4460,$G3599)&gt;1,"重複",""))</f>
        <v/>
      </c>
    </row>
    <row r="3600" customFormat="false" ht="16.5" hidden="false" customHeight="true" outlineLevel="0" collapsed="false">
      <c r="A3600" s="2" t="s">
        <v>447</v>
      </c>
      <c r="B3600" s="2" t="s">
        <v>460</v>
      </c>
      <c r="C3600" s="2" t="s">
        <v>21</v>
      </c>
      <c r="D3600" s="2" t="str">
        <f aca="false">IF(4キー同時!$B$162="","",4キー同時!$B$162)</f>
        <v/>
      </c>
      <c r="E3600" s="2" t="str">
        <f aca="false">IF(4キー同時!$G$162="","",4キー同時!$G$162)</f>
        <v/>
      </c>
      <c r="F3600" s="2" t="str">
        <f aca="false">IF(4キー同時!$L$162="","",4キー同時!$L$162)</f>
        <v/>
      </c>
      <c r="G3600" s="2" t="str">
        <f aca="false">IF(OR(4キー同時!$B$162="",4キー同時!$G$162="",4キー同時!$L$162=""),"",IF(4キー同時!AR166="","",SUBSTITUTE(SUBSTITUTE(4キー同時!AR166," ",""),"　","")))</f>
        <v/>
      </c>
      <c r="H3600" s="2" t="str">
        <f aca="false">IF($G3600="","",4キー同時!$B$162)</f>
        <v/>
      </c>
      <c r="I3600" s="2" t="str">
        <f aca="false">IF($G3600="","",4キー同時!$G$162)</f>
        <v/>
      </c>
      <c r="J3600" s="2" t="str">
        <f aca="false">IF($G3600="","",4キー同時!$L$162)</f>
        <v/>
      </c>
      <c r="K3600" s="2" t="str">
        <f aca="false">IF($G3600="","","p")</f>
        <v/>
      </c>
      <c r="L3600" s="2" t="str">
        <f aca="false">IF($G3600="","","同時")</f>
        <v/>
      </c>
      <c r="M3600" s="2" t="str">
        <f aca="false">IF($G3600="","",IF(ISNA(MATCH($G3600,個別指定!$A:$A,0)),"行なし",""))</f>
        <v/>
      </c>
      <c r="N3600" s="2" t="str">
        <f aca="false">IF($G3600="","",IF(COUNTIF($G$2:$G$4460,$G3600)&gt;1,"重複",""))</f>
        <v/>
      </c>
    </row>
    <row r="3601" customFormat="false" ht="16.5" hidden="false" customHeight="true" outlineLevel="0" collapsed="false">
      <c r="A3601" s="2" t="s">
        <v>447</v>
      </c>
      <c r="B3601" s="2" t="s">
        <v>460</v>
      </c>
      <c r="C3601" s="2" t="s">
        <v>22</v>
      </c>
      <c r="D3601" s="2" t="str">
        <f aca="false">IF(4キー同時!$B$162="","",4キー同時!$B$162)</f>
        <v/>
      </c>
      <c r="E3601" s="2" t="str">
        <f aca="false">IF(4キー同時!$G$162="","",4キー同時!$G$162)</f>
        <v/>
      </c>
      <c r="F3601" s="2" t="str">
        <f aca="false">IF(4キー同時!$L$162="","",4キー同時!$L$162)</f>
        <v/>
      </c>
      <c r="G3601" s="2" t="str">
        <f aca="false">IF(OR(4キー同時!$B$162="",4キー同時!$G$162="",4キー同時!$L$162=""),"",IF(4キー同時!AV166="","",SUBSTITUTE(SUBSTITUTE(4キー同時!AV166," ",""),"　","")))</f>
        <v/>
      </c>
      <c r="H3601" s="2" t="str">
        <f aca="false">IF($G3601="","",4キー同時!$B$162)</f>
        <v/>
      </c>
      <c r="I3601" s="2" t="str">
        <f aca="false">IF($G3601="","",4キー同時!$G$162)</f>
        <v/>
      </c>
      <c r="J3601" s="2" t="str">
        <f aca="false">IF($G3601="","",4キー同時!$L$162)</f>
        <v/>
      </c>
      <c r="K3601" s="2" t="str">
        <f aca="false">IF($G3601="","","[")</f>
        <v/>
      </c>
      <c r="L3601" s="2" t="str">
        <f aca="false">IF($G3601="","","同時")</f>
        <v/>
      </c>
      <c r="M3601" s="2" t="str">
        <f aca="false">IF($G3601="","",IF(ISNA(MATCH($G3601,個別指定!$A:$A,0)),"行なし",""))</f>
        <v/>
      </c>
      <c r="N3601" s="2" t="str">
        <f aca="false">IF($G3601="","",IF(COUNTIF($G$2:$G$4460,$G3601)&gt;1,"重複",""))</f>
        <v/>
      </c>
    </row>
    <row r="3602" customFormat="false" ht="16.5" hidden="false" customHeight="true" outlineLevel="0" collapsed="false">
      <c r="A3602" s="2" t="s">
        <v>447</v>
      </c>
      <c r="B3602" s="2" t="s">
        <v>460</v>
      </c>
      <c r="C3602" s="2" t="s">
        <v>23</v>
      </c>
      <c r="D3602" s="2" t="str">
        <f aca="false">IF(4キー同時!$B$162="","",4キー同時!$B$162)</f>
        <v/>
      </c>
      <c r="E3602" s="2" t="str">
        <f aca="false">IF(4キー同時!$G$162="","",4キー同時!$G$162)</f>
        <v/>
      </c>
      <c r="F3602" s="2" t="str">
        <f aca="false">IF(4キー同時!$L$162="","",4キー同時!$L$162)</f>
        <v/>
      </c>
      <c r="G3602" s="2" t="str">
        <f aca="false">IF(OR(4キー同時!$B$162="",4キー同時!$G$162="",4キー同時!$L$162=""),"",IF(4キー同時!AZ166="","",SUBSTITUTE(SUBSTITUTE(4キー同時!AZ166," ",""),"　","")))</f>
        <v/>
      </c>
      <c r="H3602" s="2" t="str">
        <f aca="false">IF($G3602="","",4キー同時!$B$162)</f>
        <v/>
      </c>
      <c r="I3602" s="2" t="str">
        <f aca="false">IF($G3602="","",4キー同時!$G$162)</f>
        <v/>
      </c>
      <c r="J3602" s="2" t="str">
        <f aca="false">IF($G3602="","",4キー同時!$L$162)</f>
        <v/>
      </c>
      <c r="K3602" s="2" t="str">
        <f aca="false">IF($G3602="","","]")</f>
        <v/>
      </c>
      <c r="L3602" s="2" t="str">
        <f aca="false">IF($G3602="","","同時")</f>
        <v/>
      </c>
      <c r="M3602" s="2" t="str">
        <f aca="false">IF($G3602="","",IF(ISNA(MATCH($G3602,個別指定!$A:$A,0)),"行なし",""))</f>
        <v/>
      </c>
      <c r="N3602" s="2" t="str">
        <f aca="false">IF($G3602="","",IF(COUNTIF($G$2:$G$4460,$G3602)&gt;1,"重複",""))</f>
        <v/>
      </c>
    </row>
    <row r="3603" customFormat="false" ht="16.5" hidden="false" customHeight="true" outlineLevel="0" collapsed="false">
      <c r="A3603" s="2" t="s">
        <v>447</v>
      </c>
      <c r="B3603" s="2" t="s">
        <v>460</v>
      </c>
      <c r="C3603" s="2" t="s">
        <v>24</v>
      </c>
      <c r="D3603" s="2" t="str">
        <f aca="false">IF(4キー同時!$B$162="","",4キー同時!$B$162)</f>
        <v/>
      </c>
      <c r="E3603" s="2" t="str">
        <f aca="false">IF(4キー同時!$G$162="","",4キー同時!$G$162)</f>
        <v/>
      </c>
      <c r="F3603" s="2" t="str">
        <f aca="false">IF(4キー同時!$L$162="","",4キー同時!$L$162)</f>
        <v/>
      </c>
      <c r="G3603" s="2" t="str">
        <f aca="false">IF(OR(4キー同時!$B$162="",4キー同時!$G$162="",4キー同時!$L$162=""),"",IF(4キー同時!I168="","",SUBSTITUTE(SUBSTITUTE(4キー同時!I168," ",""),"　","")))</f>
        <v/>
      </c>
      <c r="H3603" s="2" t="str">
        <f aca="false">IF($G3603="","",4キー同時!$B$162)</f>
        <v/>
      </c>
      <c r="I3603" s="2" t="str">
        <f aca="false">IF($G3603="","",4キー同時!$G$162)</f>
        <v/>
      </c>
      <c r="J3603" s="2" t="str">
        <f aca="false">IF($G3603="","",4キー同時!$L$162)</f>
        <v/>
      </c>
      <c r="K3603" s="2" t="str">
        <f aca="false">IF($G3603="","","a")</f>
        <v/>
      </c>
      <c r="L3603" s="2" t="str">
        <f aca="false">IF($G3603="","","同時")</f>
        <v/>
      </c>
      <c r="M3603" s="2" t="str">
        <f aca="false">IF($G3603="","",IF(ISNA(MATCH($G3603,個別指定!$A:$A,0)),"行なし",""))</f>
        <v/>
      </c>
      <c r="N3603" s="2" t="str">
        <f aca="false">IF($G3603="","",IF(COUNTIF($G$2:$G$4460,$G3603)&gt;1,"重複",""))</f>
        <v/>
      </c>
    </row>
    <row r="3604" customFormat="false" ht="16.5" hidden="false" customHeight="true" outlineLevel="0" collapsed="false">
      <c r="A3604" s="2" t="s">
        <v>447</v>
      </c>
      <c r="B3604" s="2" t="s">
        <v>460</v>
      </c>
      <c r="C3604" s="2" t="s">
        <v>25</v>
      </c>
      <c r="D3604" s="2" t="str">
        <f aca="false">IF(4キー同時!$B$162="","",4キー同時!$B$162)</f>
        <v/>
      </c>
      <c r="E3604" s="2" t="str">
        <f aca="false">IF(4キー同時!$G$162="","",4キー同時!$G$162)</f>
        <v/>
      </c>
      <c r="F3604" s="2" t="str">
        <f aca="false">IF(4キー同時!$L$162="","",4キー同時!$L$162)</f>
        <v/>
      </c>
      <c r="G3604" s="2" t="str">
        <f aca="false">IF(OR(4キー同時!$B$162="",4キー同時!$G$162="",4キー同時!$L$162=""),"",IF(4キー同時!M168="","",SUBSTITUTE(SUBSTITUTE(4キー同時!M168," ",""),"　","")))</f>
        <v/>
      </c>
      <c r="H3604" s="2" t="str">
        <f aca="false">IF($G3604="","",4キー同時!$B$162)</f>
        <v/>
      </c>
      <c r="I3604" s="2" t="str">
        <f aca="false">IF($G3604="","",4キー同時!$G$162)</f>
        <v/>
      </c>
      <c r="J3604" s="2" t="str">
        <f aca="false">IF($G3604="","",4キー同時!$L$162)</f>
        <v/>
      </c>
      <c r="K3604" s="2" t="str">
        <f aca="false">IF($G3604="","","s")</f>
        <v/>
      </c>
      <c r="L3604" s="2" t="str">
        <f aca="false">IF($G3604="","","同時")</f>
        <v/>
      </c>
      <c r="M3604" s="2" t="str">
        <f aca="false">IF($G3604="","",IF(ISNA(MATCH($G3604,個別指定!$A:$A,0)),"行なし",""))</f>
        <v/>
      </c>
      <c r="N3604" s="2" t="str">
        <f aca="false">IF($G3604="","",IF(COUNTIF($G$2:$G$4460,$G3604)&gt;1,"重複",""))</f>
        <v/>
      </c>
    </row>
    <row r="3605" customFormat="false" ht="16.5" hidden="false" customHeight="true" outlineLevel="0" collapsed="false">
      <c r="A3605" s="2" t="s">
        <v>447</v>
      </c>
      <c r="B3605" s="2" t="s">
        <v>460</v>
      </c>
      <c r="C3605" s="2" t="s">
        <v>26</v>
      </c>
      <c r="D3605" s="2" t="str">
        <f aca="false">IF(4キー同時!$B$162="","",4キー同時!$B$162)</f>
        <v/>
      </c>
      <c r="E3605" s="2" t="str">
        <f aca="false">IF(4キー同時!$G$162="","",4キー同時!$G$162)</f>
        <v/>
      </c>
      <c r="F3605" s="2" t="str">
        <f aca="false">IF(4キー同時!$L$162="","",4キー同時!$L$162)</f>
        <v/>
      </c>
      <c r="G3605" s="2" t="str">
        <f aca="false">IF(OR(4キー同時!$B$162="",4キー同時!$G$162="",4キー同時!$L$162=""),"",IF(4キー同時!Q168="","",SUBSTITUTE(SUBSTITUTE(4キー同時!Q168," ",""),"　","")))</f>
        <v/>
      </c>
      <c r="H3605" s="2" t="str">
        <f aca="false">IF($G3605="","",4キー同時!$B$162)</f>
        <v/>
      </c>
      <c r="I3605" s="2" t="str">
        <f aca="false">IF($G3605="","",4キー同時!$G$162)</f>
        <v/>
      </c>
      <c r="J3605" s="2" t="str">
        <f aca="false">IF($G3605="","",4キー同時!$L$162)</f>
        <v/>
      </c>
      <c r="K3605" s="2" t="str">
        <f aca="false">IF($G3605="","","d")</f>
        <v/>
      </c>
      <c r="L3605" s="2" t="str">
        <f aca="false">IF($G3605="","","同時")</f>
        <v/>
      </c>
      <c r="M3605" s="2" t="str">
        <f aca="false">IF($G3605="","",IF(ISNA(MATCH($G3605,個別指定!$A:$A,0)),"行なし",""))</f>
        <v/>
      </c>
      <c r="N3605" s="2" t="str">
        <f aca="false">IF($G3605="","",IF(COUNTIF($G$2:$G$4460,$G3605)&gt;1,"重複",""))</f>
        <v/>
      </c>
    </row>
    <row r="3606" customFormat="false" ht="16.5" hidden="false" customHeight="true" outlineLevel="0" collapsed="false">
      <c r="A3606" s="2" t="s">
        <v>447</v>
      </c>
      <c r="B3606" s="2" t="s">
        <v>460</v>
      </c>
      <c r="C3606" s="2" t="s">
        <v>27</v>
      </c>
      <c r="D3606" s="2" t="str">
        <f aca="false">IF(4キー同時!$B$162="","",4キー同時!$B$162)</f>
        <v/>
      </c>
      <c r="E3606" s="2" t="str">
        <f aca="false">IF(4キー同時!$G$162="","",4キー同時!$G$162)</f>
        <v/>
      </c>
      <c r="F3606" s="2" t="str">
        <f aca="false">IF(4キー同時!$L$162="","",4キー同時!$L$162)</f>
        <v/>
      </c>
      <c r="G3606" s="2" t="str">
        <f aca="false">IF(OR(4キー同時!$B$162="",4キー同時!$G$162="",4キー同時!$L$162=""),"",IF(4キー同時!U168="","",SUBSTITUTE(SUBSTITUTE(4キー同時!U168," ",""),"　","")))</f>
        <v/>
      </c>
      <c r="H3606" s="2" t="str">
        <f aca="false">IF($G3606="","",4キー同時!$B$162)</f>
        <v/>
      </c>
      <c r="I3606" s="2" t="str">
        <f aca="false">IF($G3606="","",4キー同時!$G$162)</f>
        <v/>
      </c>
      <c r="J3606" s="2" t="str">
        <f aca="false">IF($G3606="","",4キー同時!$L$162)</f>
        <v/>
      </c>
      <c r="K3606" s="2" t="str">
        <f aca="false">IF($G3606="","","f")</f>
        <v/>
      </c>
      <c r="L3606" s="2" t="str">
        <f aca="false">IF($G3606="","","同時")</f>
        <v/>
      </c>
      <c r="M3606" s="2" t="str">
        <f aca="false">IF($G3606="","",IF(ISNA(MATCH($G3606,個別指定!$A:$A,0)),"行なし",""))</f>
        <v/>
      </c>
      <c r="N3606" s="2" t="str">
        <f aca="false">IF($G3606="","",IF(COUNTIF($G$2:$G$4460,$G3606)&gt;1,"重複",""))</f>
        <v/>
      </c>
    </row>
    <row r="3607" customFormat="false" ht="16.5" hidden="false" customHeight="true" outlineLevel="0" collapsed="false">
      <c r="A3607" s="2" t="s">
        <v>447</v>
      </c>
      <c r="B3607" s="2" t="s">
        <v>460</v>
      </c>
      <c r="C3607" s="2" t="s">
        <v>28</v>
      </c>
      <c r="D3607" s="2" t="str">
        <f aca="false">IF(4キー同時!$B$162="","",4キー同時!$B$162)</f>
        <v/>
      </c>
      <c r="E3607" s="2" t="str">
        <f aca="false">IF(4キー同時!$G$162="","",4キー同時!$G$162)</f>
        <v/>
      </c>
      <c r="F3607" s="2" t="str">
        <f aca="false">IF(4キー同時!$L$162="","",4キー同時!$L$162)</f>
        <v/>
      </c>
      <c r="G3607" s="2" t="str">
        <f aca="false">IF(OR(4キー同時!$B$162="",4キー同時!$G$162="",4キー同時!$L$162=""),"",IF(4キー同時!Y168="","",SUBSTITUTE(SUBSTITUTE(4キー同時!Y168," ",""),"　","")))</f>
        <v/>
      </c>
      <c r="H3607" s="2" t="str">
        <f aca="false">IF($G3607="","",4キー同時!$B$162)</f>
        <v/>
      </c>
      <c r="I3607" s="2" t="str">
        <f aca="false">IF($G3607="","",4キー同時!$G$162)</f>
        <v/>
      </c>
      <c r="J3607" s="2" t="str">
        <f aca="false">IF($G3607="","",4キー同時!$L$162)</f>
        <v/>
      </c>
      <c r="K3607" s="2" t="str">
        <f aca="false">IF($G3607="","","g")</f>
        <v/>
      </c>
      <c r="L3607" s="2" t="str">
        <f aca="false">IF($G3607="","","同時")</f>
        <v/>
      </c>
      <c r="M3607" s="2" t="str">
        <f aca="false">IF($G3607="","",IF(ISNA(MATCH($G3607,個別指定!$A:$A,0)),"行なし",""))</f>
        <v/>
      </c>
      <c r="N3607" s="2" t="str">
        <f aca="false">IF($G3607="","",IF(COUNTIF($G$2:$G$4460,$G3607)&gt;1,"重複",""))</f>
        <v/>
      </c>
    </row>
    <row r="3608" customFormat="false" ht="16.5" hidden="false" customHeight="true" outlineLevel="0" collapsed="false">
      <c r="A3608" s="2" t="s">
        <v>447</v>
      </c>
      <c r="B3608" s="2" t="s">
        <v>460</v>
      </c>
      <c r="C3608" s="2" t="s">
        <v>29</v>
      </c>
      <c r="D3608" s="2" t="str">
        <f aca="false">IF(4キー同時!$B$162="","",4キー同時!$B$162)</f>
        <v/>
      </c>
      <c r="E3608" s="2" t="str">
        <f aca="false">IF(4キー同時!$G$162="","",4キー同時!$G$162)</f>
        <v/>
      </c>
      <c r="F3608" s="2" t="str">
        <f aca="false">IF(4キー同時!$L$162="","",4キー同時!$L$162)</f>
        <v/>
      </c>
      <c r="G3608" s="2" t="str">
        <f aca="false">IF(OR(4キー同時!$B$162="",4キー同時!$G$162="",4キー同時!$L$162=""),"",IF(4キー同時!AC168="","",SUBSTITUTE(SUBSTITUTE(4キー同時!AC168," ",""),"　","")))</f>
        <v/>
      </c>
      <c r="H3608" s="2" t="str">
        <f aca="false">IF($G3608="","",4キー同時!$B$162)</f>
        <v/>
      </c>
      <c r="I3608" s="2" t="str">
        <f aca="false">IF($G3608="","",4キー同時!$G$162)</f>
        <v/>
      </c>
      <c r="J3608" s="2" t="str">
        <f aca="false">IF($G3608="","",4キー同時!$L$162)</f>
        <v/>
      </c>
      <c r="K3608" s="2" t="str">
        <f aca="false">IF($G3608="","","h")</f>
        <v/>
      </c>
      <c r="L3608" s="2" t="str">
        <f aca="false">IF($G3608="","","同時")</f>
        <v/>
      </c>
      <c r="M3608" s="2" t="str">
        <f aca="false">IF($G3608="","",IF(ISNA(MATCH($G3608,個別指定!$A:$A,0)),"行なし",""))</f>
        <v/>
      </c>
      <c r="N3608" s="2" t="str">
        <f aca="false">IF($G3608="","",IF(COUNTIF($G$2:$G$4460,$G3608)&gt;1,"重複",""))</f>
        <v/>
      </c>
    </row>
    <row r="3609" customFormat="false" ht="16.5" hidden="false" customHeight="true" outlineLevel="0" collapsed="false">
      <c r="A3609" s="2" t="s">
        <v>447</v>
      </c>
      <c r="B3609" s="2" t="s">
        <v>460</v>
      </c>
      <c r="C3609" s="2" t="s">
        <v>30</v>
      </c>
      <c r="D3609" s="2" t="str">
        <f aca="false">IF(4キー同時!$B$162="","",4キー同時!$B$162)</f>
        <v/>
      </c>
      <c r="E3609" s="2" t="str">
        <f aca="false">IF(4キー同時!$G$162="","",4キー同時!$G$162)</f>
        <v/>
      </c>
      <c r="F3609" s="2" t="str">
        <f aca="false">IF(4キー同時!$L$162="","",4キー同時!$L$162)</f>
        <v/>
      </c>
      <c r="G3609" s="2" t="str">
        <f aca="false">IF(OR(4キー同時!$B$162="",4キー同時!$G$162="",4キー同時!$L$162=""),"",IF(4キー同時!AG168="","",SUBSTITUTE(SUBSTITUTE(4キー同時!AG168," ",""),"　","")))</f>
        <v/>
      </c>
      <c r="H3609" s="2" t="str">
        <f aca="false">IF($G3609="","",4キー同時!$B$162)</f>
        <v/>
      </c>
      <c r="I3609" s="2" t="str">
        <f aca="false">IF($G3609="","",4キー同時!$G$162)</f>
        <v/>
      </c>
      <c r="J3609" s="2" t="str">
        <f aca="false">IF($G3609="","",4キー同時!$L$162)</f>
        <v/>
      </c>
      <c r="K3609" s="2" t="str">
        <f aca="false">IF($G3609="","","j")</f>
        <v/>
      </c>
      <c r="L3609" s="2" t="str">
        <f aca="false">IF($G3609="","","同時")</f>
        <v/>
      </c>
      <c r="M3609" s="2" t="str">
        <f aca="false">IF($G3609="","",IF(ISNA(MATCH($G3609,個別指定!$A:$A,0)),"行なし",""))</f>
        <v/>
      </c>
      <c r="N3609" s="2" t="str">
        <f aca="false">IF($G3609="","",IF(COUNTIF($G$2:$G$4460,$G3609)&gt;1,"重複",""))</f>
        <v/>
      </c>
    </row>
    <row r="3610" customFormat="false" ht="16.5" hidden="false" customHeight="true" outlineLevel="0" collapsed="false">
      <c r="A3610" s="2" t="s">
        <v>447</v>
      </c>
      <c r="B3610" s="2" t="s">
        <v>460</v>
      </c>
      <c r="C3610" s="2" t="s">
        <v>31</v>
      </c>
      <c r="D3610" s="2" t="str">
        <f aca="false">IF(4キー同時!$B$162="","",4キー同時!$B$162)</f>
        <v/>
      </c>
      <c r="E3610" s="2" t="str">
        <f aca="false">IF(4キー同時!$G$162="","",4キー同時!$G$162)</f>
        <v/>
      </c>
      <c r="F3610" s="2" t="str">
        <f aca="false">IF(4キー同時!$L$162="","",4キー同時!$L$162)</f>
        <v/>
      </c>
      <c r="G3610" s="2" t="str">
        <f aca="false">IF(OR(4キー同時!$B$162="",4キー同時!$G$162="",4キー同時!$L$162=""),"",IF(4キー同時!AK168="","",SUBSTITUTE(SUBSTITUTE(4キー同時!AK168," ",""),"　","")))</f>
        <v/>
      </c>
      <c r="H3610" s="2" t="str">
        <f aca="false">IF($G3610="","",4キー同時!$B$162)</f>
        <v/>
      </c>
      <c r="I3610" s="2" t="str">
        <f aca="false">IF($G3610="","",4キー同時!$G$162)</f>
        <v/>
      </c>
      <c r="J3610" s="2" t="str">
        <f aca="false">IF($G3610="","",4キー同時!$L$162)</f>
        <v/>
      </c>
      <c r="K3610" s="2" t="str">
        <f aca="false">IF($G3610="","","k")</f>
        <v/>
      </c>
      <c r="L3610" s="2" t="str">
        <f aca="false">IF($G3610="","","同時")</f>
        <v/>
      </c>
      <c r="M3610" s="2" t="str">
        <f aca="false">IF($G3610="","",IF(ISNA(MATCH($G3610,個別指定!$A:$A,0)),"行なし",""))</f>
        <v/>
      </c>
      <c r="N3610" s="2" t="str">
        <f aca="false">IF($G3610="","",IF(COUNTIF($G$2:$G$4460,$G3610)&gt;1,"重複",""))</f>
        <v/>
      </c>
    </row>
    <row r="3611" customFormat="false" ht="16.5" hidden="false" customHeight="true" outlineLevel="0" collapsed="false">
      <c r="A3611" s="2" t="s">
        <v>447</v>
      </c>
      <c r="B3611" s="2" t="s">
        <v>460</v>
      </c>
      <c r="C3611" s="2" t="s">
        <v>32</v>
      </c>
      <c r="D3611" s="2" t="str">
        <f aca="false">IF(4キー同時!$B$162="","",4キー同時!$B$162)</f>
        <v/>
      </c>
      <c r="E3611" s="2" t="str">
        <f aca="false">IF(4キー同時!$G$162="","",4キー同時!$G$162)</f>
        <v/>
      </c>
      <c r="F3611" s="2" t="str">
        <f aca="false">IF(4キー同時!$L$162="","",4キー同時!$L$162)</f>
        <v/>
      </c>
      <c r="G3611" s="2" t="str">
        <f aca="false">IF(OR(4キー同時!$B$162="",4キー同時!$G$162="",4キー同時!$L$162=""),"",IF(4キー同時!AO168="","",SUBSTITUTE(SUBSTITUTE(4キー同時!AO168," ",""),"　","")))</f>
        <v/>
      </c>
      <c r="H3611" s="2" t="str">
        <f aca="false">IF($G3611="","",4キー同時!$B$162)</f>
        <v/>
      </c>
      <c r="I3611" s="2" t="str">
        <f aca="false">IF($G3611="","",4キー同時!$G$162)</f>
        <v/>
      </c>
      <c r="J3611" s="2" t="str">
        <f aca="false">IF($G3611="","",4キー同時!$L$162)</f>
        <v/>
      </c>
      <c r="K3611" s="2" t="str">
        <f aca="false">IF($G3611="","","l")</f>
        <v/>
      </c>
      <c r="L3611" s="2" t="str">
        <f aca="false">IF($G3611="","","同時")</f>
        <v/>
      </c>
      <c r="M3611" s="2" t="str">
        <f aca="false">IF($G3611="","",IF(ISNA(MATCH($G3611,個別指定!$A:$A,0)),"行なし",""))</f>
        <v/>
      </c>
      <c r="N3611" s="2" t="str">
        <f aca="false">IF($G3611="","",IF(COUNTIF($G$2:$G$4460,$G3611)&gt;1,"重複",""))</f>
        <v/>
      </c>
    </row>
    <row r="3612" customFormat="false" ht="16.5" hidden="false" customHeight="true" outlineLevel="0" collapsed="false">
      <c r="A3612" s="2" t="s">
        <v>447</v>
      </c>
      <c r="B3612" s="2" t="s">
        <v>460</v>
      </c>
      <c r="C3612" s="2" t="s">
        <v>33</v>
      </c>
      <c r="D3612" s="2" t="str">
        <f aca="false">IF(4キー同時!$B$162="","",4キー同時!$B$162)</f>
        <v/>
      </c>
      <c r="E3612" s="2" t="str">
        <f aca="false">IF(4キー同時!$G$162="","",4キー同時!$G$162)</f>
        <v/>
      </c>
      <c r="F3612" s="2" t="str">
        <f aca="false">IF(4キー同時!$L$162="","",4キー同時!$L$162)</f>
        <v/>
      </c>
      <c r="G3612" s="2" t="str">
        <f aca="false">IF(OR(4キー同時!$B$162="",4キー同時!$G$162="",4キー同時!$L$162=""),"",IF(4キー同時!AS168="","",SUBSTITUTE(SUBSTITUTE(4キー同時!AS168," ",""),"　","")))</f>
        <v/>
      </c>
      <c r="H3612" s="2" t="str">
        <f aca="false">IF($G3612="","",4キー同時!$B$162)</f>
        <v/>
      </c>
      <c r="I3612" s="2" t="str">
        <f aca="false">IF($G3612="","",4キー同時!$G$162)</f>
        <v/>
      </c>
      <c r="J3612" s="2" t="str">
        <f aca="false">IF($G3612="","",4キー同時!$L$162)</f>
        <v/>
      </c>
      <c r="K3612" s="2" t="str">
        <f aca="false">IF($G3612="","",";")</f>
        <v/>
      </c>
      <c r="L3612" s="2" t="str">
        <f aca="false">IF($G3612="","","同時")</f>
        <v/>
      </c>
      <c r="M3612" s="2" t="str">
        <f aca="false">IF($G3612="","",IF(ISNA(MATCH($G3612,個別指定!$A:$A,0)),"行なし",""))</f>
        <v/>
      </c>
      <c r="N3612" s="2" t="str">
        <f aca="false">IF($G3612="","",IF(COUNTIF($G$2:$G$4460,$G3612)&gt;1,"重複",""))</f>
        <v/>
      </c>
    </row>
    <row r="3613" customFormat="false" ht="16.5" hidden="false" customHeight="true" outlineLevel="0" collapsed="false">
      <c r="A3613" s="2" t="s">
        <v>447</v>
      </c>
      <c r="B3613" s="2" t="s">
        <v>460</v>
      </c>
      <c r="C3613" s="2" t="s">
        <v>34</v>
      </c>
      <c r="D3613" s="2" t="str">
        <f aca="false">IF(4キー同時!$B$162="","",4キー同時!$B$162)</f>
        <v/>
      </c>
      <c r="E3613" s="2" t="str">
        <f aca="false">IF(4キー同時!$G$162="","",4キー同時!$G$162)</f>
        <v/>
      </c>
      <c r="F3613" s="2" t="str">
        <f aca="false">IF(4キー同時!$L$162="","",4キー同時!$L$162)</f>
        <v/>
      </c>
      <c r="G3613" s="2" t="str">
        <f aca="false">IF(OR(4キー同時!$B$162="",4キー同時!$G$162="",4キー同時!$L$162=""),"",IF(4キー同時!AW168="","",SUBSTITUTE(SUBSTITUTE(4キー同時!AW168," ",""),"　","")))</f>
        <v/>
      </c>
      <c r="H3613" s="2" t="str">
        <f aca="false">IF($G3613="","",4キー同時!$B$162)</f>
        <v/>
      </c>
      <c r="I3613" s="2" t="str">
        <f aca="false">IF($G3613="","",4キー同時!$G$162)</f>
        <v/>
      </c>
      <c r="J3613" s="2" t="str">
        <f aca="false">IF($G3613="","",4キー同時!$L$162)</f>
        <v/>
      </c>
      <c r="K3613" s="2" t="str">
        <f aca="false">IF($G3613="","","'")</f>
        <v/>
      </c>
      <c r="L3613" s="2" t="str">
        <f aca="false">IF($G3613="","","同時")</f>
        <v/>
      </c>
      <c r="M3613" s="2" t="str">
        <f aca="false">IF($G3613="","",IF(ISNA(MATCH($G3613,個別指定!$A:$A,0)),"行なし",""))</f>
        <v/>
      </c>
      <c r="N3613" s="2" t="str">
        <f aca="false">IF($G3613="","",IF(COUNTIF($G$2:$G$4460,$G3613)&gt;1,"重複",""))</f>
        <v/>
      </c>
    </row>
    <row r="3614" customFormat="false" ht="16.5" hidden="false" customHeight="true" outlineLevel="0" collapsed="false">
      <c r="A3614" s="2" t="s">
        <v>447</v>
      </c>
      <c r="B3614" s="2" t="s">
        <v>460</v>
      </c>
      <c r="C3614" s="2" t="s">
        <v>35</v>
      </c>
      <c r="D3614" s="2" t="str">
        <f aca="false">IF(4キー同時!$B$162="","",4キー同時!$B$162)</f>
        <v/>
      </c>
      <c r="E3614" s="2" t="str">
        <f aca="false">IF(4キー同時!$G$162="","",4キー同時!$G$162)</f>
        <v/>
      </c>
      <c r="F3614" s="2" t="str">
        <f aca="false">IF(4キー同時!$L$162="","",4キー同時!$L$162)</f>
        <v/>
      </c>
      <c r="G3614" s="2" t="str">
        <f aca="false">IF(OR(4キー同時!$B$162="",4キー同時!$G$162="",4キー同時!$L$162=""),"",IF(4キー同時!K170="","",SUBSTITUTE(SUBSTITUTE(4キー同時!K170," ",""),"　","")))</f>
        <v/>
      </c>
      <c r="H3614" s="2" t="str">
        <f aca="false">IF($G3614="","",4キー同時!$B$162)</f>
        <v/>
      </c>
      <c r="I3614" s="2" t="str">
        <f aca="false">IF($G3614="","",4キー同時!$G$162)</f>
        <v/>
      </c>
      <c r="J3614" s="2" t="str">
        <f aca="false">IF($G3614="","",4キー同時!$L$162)</f>
        <v/>
      </c>
      <c r="K3614" s="2" t="str">
        <f aca="false">IF($G3614="","","z")</f>
        <v/>
      </c>
      <c r="L3614" s="2" t="str">
        <f aca="false">IF($G3614="","","同時")</f>
        <v/>
      </c>
      <c r="M3614" s="2" t="str">
        <f aca="false">IF($G3614="","",IF(ISNA(MATCH($G3614,個別指定!$A:$A,0)),"行なし",""))</f>
        <v/>
      </c>
      <c r="N3614" s="2" t="str">
        <f aca="false">IF($G3614="","",IF(COUNTIF($G$2:$G$4460,$G3614)&gt;1,"重複",""))</f>
        <v/>
      </c>
    </row>
    <row r="3615" customFormat="false" ht="16.5" hidden="false" customHeight="true" outlineLevel="0" collapsed="false">
      <c r="A3615" s="2" t="s">
        <v>447</v>
      </c>
      <c r="B3615" s="2" t="s">
        <v>460</v>
      </c>
      <c r="C3615" s="2" t="s">
        <v>36</v>
      </c>
      <c r="D3615" s="2" t="str">
        <f aca="false">IF(4キー同時!$B$162="","",4キー同時!$B$162)</f>
        <v/>
      </c>
      <c r="E3615" s="2" t="str">
        <f aca="false">IF(4キー同時!$G$162="","",4キー同時!$G$162)</f>
        <v/>
      </c>
      <c r="F3615" s="2" t="str">
        <f aca="false">IF(4キー同時!$L$162="","",4キー同時!$L$162)</f>
        <v/>
      </c>
      <c r="G3615" s="2" t="str">
        <f aca="false">IF(OR(4キー同時!$B$162="",4キー同時!$G$162="",4キー同時!$L$162=""),"",IF(4キー同時!O170="","",SUBSTITUTE(SUBSTITUTE(4キー同時!O170," ",""),"　","")))</f>
        <v/>
      </c>
      <c r="H3615" s="2" t="str">
        <f aca="false">IF($G3615="","",4キー同時!$B$162)</f>
        <v/>
      </c>
      <c r="I3615" s="2" t="str">
        <f aca="false">IF($G3615="","",4キー同時!$G$162)</f>
        <v/>
      </c>
      <c r="J3615" s="2" t="str">
        <f aca="false">IF($G3615="","",4キー同時!$L$162)</f>
        <v/>
      </c>
      <c r="K3615" s="2" t="str">
        <f aca="false">IF($G3615="","","x")</f>
        <v/>
      </c>
      <c r="L3615" s="2" t="str">
        <f aca="false">IF($G3615="","","同時")</f>
        <v/>
      </c>
      <c r="M3615" s="2" t="str">
        <f aca="false">IF($G3615="","",IF(ISNA(MATCH($G3615,個別指定!$A:$A,0)),"行なし",""))</f>
        <v/>
      </c>
      <c r="N3615" s="2" t="str">
        <f aca="false">IF($G3615="","",IF(COUNTIF($G$2:$G$4460,$G3615)&gt;1,"重複",""))</f>
        <v/>
      </c>
    </row>
    <row r="3616" customFormat="false" ht="16.5" hidden="false" customHeight="true" outlineLevel="0" collapsed="false">
      <c r="A3616" s="2" t="s">
        <v>447</v>
      </c>
      <c r="B3616" s="2" t="s">
        <v>460</v>
      </c>
      <c r="C3616" s="2" t="s">
        <v>37</v>
      </c>
      <c r="D3616" s="2" t="str">
        <f aca="false">IF(4キー同時!$B$162="","",4キー同時!$B$162)</f>
        <v/>
      </c>
      <c r="E3616" s="2" t="str">
        <f aca="false">IF(4キー同時!$G$162="","",4キー同時!$G$162)</f>
        <v/>
      </c>
      <c r="F3616" s="2" t="str">
        <f aca="false">IF(4キー同時!$L$162="","",4キー同時!$L$162)</f>
        <v/>
      </c>
      <c r="G3616" s="2" t="str">
        <f aca="false">IF(OR(4キー同時!$B$162="",4キー同時!$G$162="",4キー同時!$L$162=""),"",IF(4キー同時!S170="","",SUBSTITUTE(SUBSTITUTE(4キー同時!S170," ",""),"　","")))</f>
        <v/>
      </c>
      <c r="H3616" s="2" t="str">
        <f aca="false">IF($G3616="","",4キー同時!$B$162)</f>
        <v/>
      </c>
      <c r="I3616" s="2" t="str">
        <f aca="false">IF($G3616="","",4キー同時!$G$162)</f>
        <v/>
      </c>
      <c r="J3616" s="2" t="str">
        <f aca="false">IF($G3616="","",4キー同時!$L$162)</f>
        <v/>
      </c>
      <c r="K3616" s="2" t="str">
        <f aca="false">IF($G3616="","","c")</f>
        <v/>
      </c>
      <c r="L3616" s="2" t="str">
        <f aca="false">IF($G3616="","","同時")</f>
        <v/>
      </c>
      <c r="M3616" s="2" t="str">
        <f aca="false">IF($G3616="","",IF(ISNA(MATCH($G3616,個別指定!$A:$A,0)),"行なし",""))</f>
        <v/>
      </c>
      <c r="N3616" s="2" t="str">
        <f aca="false">IF($G3616="","",IF(COUNTIF($G$2:$G$4460,$G3616)&gt;1,"重複",""))</f>
        <v/>
      </c>
    </row>
    <row r="3617" customFormat="false" ht="16.5" hidden="false" customHeight="true" outlineLevel="0" collapsed="false">
      <c r="A3617" s="2" t="s">
        <v>447</v>
      </c>
      <c r="B3617" s="2" t="s">
        <v>460</v>
      </c>
      <c r="C3617" s="2" t="s">
        <v>38</v>
      </c>
      <c r="D3617" s="2" t="str">
        <f aca="false">IF(4キー同時!$B$162="","",4キー同時!$B$162)</f>
        <v/>
      </c>
      <c r="E3617" s="2" t="str">
        <f aca="false">IF(4キー同時!$G$162="","",4キー同時!$G$162)</f>
        <v/>
      </c>
      <c r="F3617" s="2" t="str">
        <f aca="false">IF(4キー同時!$L$162="","",4キー同時!$L$162)</f>
        <v/>
      </c>
      <c r="G3617" s="2" t="str">
        <f aca="false">IF(OR(4キー同時!$B$162="",4キー同時!$G$162="",4キー同時!$L$162=""),"",IF(4キー同時!W170="","",SUBSTITUTE(SUBSTITUTE(4キー同時!W170," ",""),"　","")))</f>
        <v/>
      </c>
      <c r="H3617" s="2" t="str">
        <f aca="false">IF($G3617="","",4キー同時!$B$162)</f>
        <v/>
      </c>
      <c r="I3617" s="2" t="str">
        <f aca="false">IF($G3617="","",4キー同時!$G$162)</f>
        <v/>
      </c>
      <c r="J3617" s="2" t="str">
        <f aca="false">IF($G3617="","",4キー同時!$L$162)</f>
        <v/>
      </c>
      <c r="K3617" s="2" t="str">
        <f aca="false">IF($G3617="","","v")</f>
        <v/>
      </c>
      <c r="L3617" s="2" t="str">
        <f aca="false">IF($G3617="","","同時")</f>
        <v/>
      </c>
      <c r="M3617" s="2" t="str">
        <f aca="false">IF($G3617="","",IF(ISNA(MATCH($G3617,個別指定!$A:$A,0)),"行なし",""))</f>
        <v/>
      </c>
      <c r="N3617" s="2" t="str">
        <f aca="false">IF($G3617="","",IF(COUNTIF($G$2:$G$4460,$G3617)&gt;1,"重複",""))</f>
        <v/>
      </c>
    </row>
    <row r="3618" customFormat="false" ht="16.5" hidden="false" customHeight="true" outlineLevel="0" collapsed="false">
      <c r="A3618" s="2" t="s">
        <v>447</v>
      </c>
      <c r="B3618" s="2" t="s">
        <v>460</v>
      </c>
      <c r="C3618" s="2" t="s">
        <v>39</v>
      </c>
      <c r="D3618" s="2" t="str">
        <f aca="false">IF(4キー同時!$B$162="","",4キー同時!$B$162)</f>
        <v/>
      </c>
      <c r="E3618" s="2" t="str">
        <f aca="false">IF(4キー同時!$G$162="","",4キー同時!$G$162)</f>
        <v/>
      </c>
      <c r="F3618" s="2" t="str">
        <f aca="false">IF(4キー同時!$L$162="","",4キー同時!$L$162)</f>
        <v/>
      </c>
      <c r="G3618" s="2" t="str">
        <f aca="false">IF(OR(4キー同時!$B$162="",4キー同時!$G$162="",4キー同時!$L$162=""),"",IF(4キー同時!AA170="","",SUBSTITUTE(SUBSTITUTE(4キー同時!AA170," ",""),"　","")))</f>
        <v/>
      </c>
      <c r="H3618" s="2" t="str">
        <f aca="false">IF($G3618="","",4キー同時!$B$162)</f>
        <v/>
      </c>
      <c r="I3618" s="2" t="str">
        <f aca="false">IF($G3618="","",4キー同時!$G$162)</f>
        <v/>
      </c>
      <c r="J3618" s="2" t="str">
        <f aca="false">IF($G3618="","",4キー同時!$L$162)</f>
        <v/>
      </c>
      <c r="K3618" s="2" t="str">
        <f aca="false">IF($G3618="","","b")</f>
        <v/>
      </c>
      <c r="L3618" s="2" t="str">
        <f aca="false">IF($G3618="","","同時")</f>
        <v/>
      </c>
      <c r="M3618" s="2" t="str">
        <f aca="false">IF($G3618="","",IF(ISNA(MATCH($G3618,個別指定!$A:$A,0)),"行なし",""))</f>
        <v/>
      </c>
      <c r="N3618" s="2" t="str">
        <f aca="false">IF($G3618="","",IF(COUNTIF($G$2:$G$4460,$G3618)&gt;1,"重複",""))</f>
        <v/>
      </c>
    </row>
    <row r="3619" customFormat="false" ht="16.5" hidden="false" customHeight="true" outlineLevel="0" collapsed="false">
      <c r="A3619" s="2" t="s">
        <v>447</v>
      </c>
      <c r="B3619" s="2" t="s">
        <v>460</v>
      </c>
      <c r="C3619" s="2" t="s">
        <v>40</v>
      </c>
      <c r="D3619" s="2" t="str">
        <f aca="false">IF(4キー同時!$B$162="","",4キー同時!$B$162)</f>
        <v/>
      </c>
      <c r="E3619" s="2" t="str">
        <f aca="false">IF(4キー同時!$G$162="","",4キー同時!$G$162)</f>
        <v/>
      </c>
      <c r="F3619" s="2" t="str">
        <f aca="false">IF(4キー同時!$L$162="","",4キー同時!$L$162)</f>
        <v/>
      </c>
      <c r="G3619" s="2" t="str">
        <f aca="false">IF(OR(4キー同時!$B$162="",4キー同時!$G$162="",4キー同時!$L$162=""),"",IF(4キー同時!AE170="","",SUBSTITUTE(SUBSTITUTE(4キー同時!AE170," ",""),"　","")))</f>
        <v/>
      </c>
      <c r="H3619" s="2" t="str">
        <f aca="false">IF($G3619="","",4キー同時!$B$162)</f>
        <v/>
      </c>
      <c r="I3619" s="2" t="str">
        <f aca="false">IF($G3619="","",4キー同時!$G$162)</f>
        <v/>
      </c>
      <c r="J3619" s="2" t="str">
        <f aca="false">IF($G3619="","",4キー同時!$L$162)</f>
        <v/>
      </c>
      <c r="K3619" s="2" t="str">
        <f aca="false">IF($G3619="","","n")</f>
        <v/>
      </c>
      <c r="L3619" s="2" t="str">
        <f aca="false">IF($G3619="","","同時")</f>
        <v/>
      </c>
      <c r="M3619" s="2" t="str">
        <f aca="false">IF($G3619="","",IF(ISNA(MATCH($G3619,個別指定!$A:$A,0)),"行なし",""))</f>
        <v/>
      </c>
      <c r="N3619" s="2" t="str">
        <f aca="false">IF($G3619="","",IF(COUNTIF($G$2:$G$4460,$G3619)&gt;1,"重複",""))</f>
        <v/>
      </c>
    </row>
    <row r="3620" customFormat="false" ht="16.5" hidden="false" customHeight="true" outlineLevel="0" collapsed="false">
      <c r="A3620" s="2" t="s">
        <v>447</v>
      </c>
      <c r="B3620" s="2" t="s">
        <v>460</v>
      </c>
      <c r="C3620" s="2" t="s">
        <v>41</v>
      </c>
      <c r="D3620" s="2" t="str">
        <f aca="false">IF(4キー同時!$B$162="","",4キー同時!$B$162)</f>
        <v/>
      </c>
      <c r="E3620" s="2" t="str">
        <f aca="false">IF(4キー同時!$G$162="","",4キー同時!$G$162)</f>
        <v/>
      </c>
      <c r="F3620" s="2" t="str">
        <f aca="false">IF(4キー同時!$L$162="","",4キー同時!$L$162)</f>
        <v/>
      </c>
      <c r="G3620" s="2" t="str">
        <f aca="false">IF(OR(4キー同時!$B$162="",4キー同時!$G$162="",4キー同時!$L$162=""),"",IF(4キー同時!AI170="","",SUBSTITUTE(SUBSTITUTE(4キー同時!AI170," ",""),"　","")))</f>
        <v/>
      </c>
      <c r="H3620" s="2" t="str">
        <f aca="false">IF($G3620="","",4キー同時!$B$162)</f>
        <v/>
      </c>
      <c r="I3620" s="2" t="str">
        <f aca="false">IF($G3620="","",4キー同時!$G$162)</f>
        <v/>
      </c>
      <c r="J3620" s="2" t="str">
        <f aca="false">IF($G3620="","",4キー同時!$L$162)</f>
        <v/>
      </c>
      <c r="K3620" s="2" t="str">
        <f aca="false">IF($G3620="","","m")</f>
        <v/>
      </c>
      <c r="L3620" s="2" t="str">
        <f aca="false">IF($G3620="","","同時")</f>
        <v/>
      </c>
      <c r="M3620" s="2" t="str">
        <f aca="false">IF($G3620="","",IF(ISNA(MATCH($G3620,個別指定!$A:$A,0)),"行なし",""))</f>
        <v/>
      </c>
      <c r="N3620" s="2" t="str">
        <f aca="false">IF($G3620="","",IF(COUNTIF($G$2:$G$4460,$G3620)&gt;1,"重複",""))</f>
        <v/>
      </c>
    </row>
    <row r="3621" customFormat="false" ht="16.5" hidden="false" customHeight="true" outlineLevel="0" collapsed="false">
      <c r="A3621" s="2" t="s">
        <v>447</v>
      </c>
      <c r="B3621" s="2" t="s">
        <v>460</v>
      </c>
      <c r="C3621" s="2" t="s">
        <v>42</v>
      </c>
      <c r="D3621" s="2" t="str">
        <f aca="false">IF(4キー同時!$B$162="","",4キー同時!$B$162)</f>
        <v/>
      </c>
      <c r="E3621" s="2" t="str">
        <f aca="false">IF(4キー同時!$G$162="","",4キー同時!$G$162)</f>
        <v/>
      </c>
      <c r="F3621" s="2" t="str">
        <f aca="false">IF(4キー同時!$L$162="","",4キー同時!$L$162)</f>
        <v/>
      </c>
      <c r="G3621" s="2" t="str">
        <f aca="false">IF(OR(4キー同時!$B$162="",4キー同時!$G$162="",4キー同時!$L$162=""),"",IF(4キー同時!AM170="","",SUBSTITUTE(SUBSTITUTE(4キー同時!AM170," ",""),"　","")))</f>
        <v/>
      </c>
      <c r="H3621" s="2" t="str">
        <f aca="false">IF($G3621="","",4キー同時!$B$162)</f>
        <v/>
      </c>
      <c r="I3621" s="2" t="str">
        <f aca="false">IF($G3621="","",4キー同時!$G$162)</f>
        <v/>
      </c>
      <c r="J3621" s="2" t="str">
        <f aca="false">IF($G3621="","",4キー同時!$L$162)</f>
        <v/>
      </c>
      <c r="K3621" s="2" t="str">
        <f aca="false">IF($G3621="","",",")</f>
        <v/>
      </c>
      <c r="L3621" s="2" t="str">
        <f aca="false">IF($G3621="","","同時")</f>
        <v/>
      </c>
      <c r="M3621" s="2" t="str">
        <f aca="false">IF($G3621="","",IF(ISNA(MATCH($G3621,個別指定!$A:$A,0)),"行なし",""))</f>
        <v/>
      </c>
      <c r="N3621" s="2" t="str">
        <f aca="false">IF($G3621="","",IF(COUNTIF($G$2:$G$4460,$G3621)&gt;1,"重複",""))</f>
        <v/>
      </c>
    </row>
    <row r="3622" customFormat="false" ht="16.5" hidden="false" customHeight="true" outlineLevel="0" collapsed="false">
      <c r="A3622" s="2" t="s">
        <v>447</v>
      </c>
      <c r="B3622" s="2" t="s">
        <v>460</v>
      </c>
      <c r="C3622" s="2" t="s">
        <v>43</v>
      </c>
      <c r="D3622" s="2" t="str">
        <f aca="false">IF(4キー同時!$B$162="","",4キー同時!$B$162)</f>
        <v/>
      </c>
      <c r="E3622" s="2" t="str">
        <f aca="false">IF(4キー同時!$G$162="","",4キー同時!$G$162)</f>
        <v/>
      </c>
      <c r="F3622" s="2" t="str">
        <f aca="false">IF(4キー同時!$L$162="","",4キー同時!$L$162)</f>
        <v/>
      </c>
      <c r="G3622" s="2" t="str">
        <f aca="false">IF(OR(4キー同時!$B$162="",4キー同時!$G$162="",4キー同時!$L$162=""),"",IF(4キー同時!AQ170="","",SUBSTITUTE(SUBSTITUTE(4キー同時!AQ170," ",""),"　","")))</f>
        <v/>
      </c>
      <c r="H3622" s="2" t="str">
        <f aca="false">IF($G3622="","",4キー同時!$B$162)</f>
        <v/>
      </c>
      <c r="I3622" s="2" t="str">
        <f aca="false">IF($G3622="","",4キー同時!$G$162)</f>
        <v/>
      </c>
      <c r="J3622" s="2" t="str">
        <f aca="false">IF($G3622="","",4キー同時!$L$162)</f>
        <v/>
      </c>
      <c r="K3622" s="2" t="str">
        <f aca="false">IF($G3622="","",".")</f>
        <v/>
      </c>
      <c r="L3622" s="2" t="str">
        <f aca="false">IF($G3622="","","同時")</f>
        <v/>
      </c>
      <c r="M3622" s="2" t="str">
        <f aca="false">IF($G3622="","",IF(ISNA(MATCH($G3622,個別指定!$A:$A,0)),"行なし",""))</f>
        <v/>
      </c>
      <c r="N3622" s="2" t="str">
        <f aca="false">IF($G3622="","",IF(COUNTIF($G$2:$G$4460,$G3622)&gt;1,"重複",""))</f>
        <v/>
      </c>
    </row>
    <row r="3623" customFormat="false" ht="16.5" hidden="false" customHeight="true" outlineLevel="0" collapsed="false">
      <c r="A3623" s="2" t="s">
        <v>447</v>
      </c>
      <c r="B3623" s="2" t="s">
        <v>460</v>
      </c>
      <c r="C3623" s="2" t="s">
        <v>44</v>
      </c>
      <c r="D3623" s="2" t="str">
        <f aca="false">IF(4キー同時!$B$162="","",4キー同時!$B$162)</f>
        <v/>
      </c>
      <c r="E3623" s="2" t="str">
        <f aca="false">IF(4キー同時!$G$162="","",4キー同時!$G$162)</f>
        <v/>
      </c>
      <c r="F3623" s="2" t="str">
        <f aca="false">IF(4キー同時!$L$162="","",4キー同時!$L$162)</f>
        <v/>
      </c>
      <c r="G3623" s="2" t="str">
        <f aca="false">IF(OR(4キー同時!$B$162="",4キー同時!$G$162="",4キー同時!$L$162=""),"",IF(4キー同時!AU170="","",SUBSTITUTE(SUBSTITUTE(4キー同時!AU170," ",""),"　","")))</f>
        <v/>
      </c>
      <c r="H3623" s="2" t="str">
        <f aca="false">IF($G3623="","",4キー同時!$B$162)</f>
        <v/>
      </c>
      <c r="I3623" s="2" t="str">
        <f aca="false">IF($G3623="","",4キー同時!$G$162)</f>
        <v/>
      </c>
      <c r="J3623" s="2" t="str">
        <f aca="false">IF($G3623="","",4キー同時!$L$162)</f>
        <v/>
      </c>
      <c r="K3623" s="2" t="str">
        <f aca="false">IF($G3623="","","/")</f>
        <v/>
      </c>
      <c r="L3623" s="2" t="str">
        <f aca="false">IF($G3623="","","同時")</f>
        <v/>
      </c>
      <c r="M3623" s="2" t="str">
        <f aca="false">IF($G3623="","",IF(ISNA(MATCH($G3623,個別指定!$A:$A,0)),"行なし",""))</f>
        <v/>
      </c>
      <c r="N3623" s="2" t="str">
        <f aca="false">IF($G3623="","",IF(COUNTIF($G$2:$G$4460,$G3623)&gt;1,"重複",""))</f>
        <v/>
      </c>
    </row>
    <row r="3624" customFormat="false" ht="16.5" hidden="false" customHeight="true" outlineLevel="0" collapsed="false">
      <c r="A3624" s="2" t="s">
        <v>447</v>
      </c>
      <c r="B3624" s="2" t="s">
        <v>460</v>
      </c>
      <c r="C3624" s="2" t="s">
        <v>48</v>
      </c>
      <c r="D3624" s="2" t="str">
        <f aca="false">IF(4キー同時!$B$162="","",4キー同時!$B$162)</f>
        <v/>
      </c>
      <c r="E3624" s="2" t="str">
        <f aca="false">IF(4キー同時!$G$162="","",4キー同時!$G$162)</f>
        <v/>
      </c>
      <c r="F3624" s="2" t="str">
        <f aca="false">IF(4キー同時!$L$162="","",4キー同時!$L$162)</f>
        <v/>
      </c>
      <c r="G3624" s="2" t="str">
        <f aca="false">IF(OR(4キー同時!$B$162="",4キー同時!$G$162="",4キー同時!$L$162=""),"",IF(4キー同時!P172="","",SUBSTITUTE(SUBSTITUTE(4キー同時!P172," ",""),"　","")))</f>
        <v/>
      </c>
      <c r="H3624" s="2" t="str">
        <f aca="false">IF($G3624="","",4キー同時!$B$162)</f>
        <v/>
      </c>
      <c r="I3624" s="2" t="str">
        <f aca="false">IF($G3624="","",4キー同時!$G$162)</f>
        <v/>
      </c>
      <c r="J3624" s="2" t="str">
        <f aca="false">IF($G3624="","",4キー同時!$L$162)</f>
        <v/>
      </c>
      <c r="K3624" s="2" t="str">
        <f aca="false">IF($G3624="","","muhenkan")</f>
        <v/>
      </c>
      <c r="L3624" s="2" t="str">
        <f aca="false">IF($G3624="","","同時")</f>
        <v/>
      </c>
      <c r="M3624" s="2" t="str">
        <f aca="false">IF($G3624="","",IF(ISNA(MATCH($G3624,個別指定!$A:$A,0)),"行なし",""))</f>
        <v/>
      </c>
      <c r="N3624" s="2" t="str">
        <f aca="false">IF($G3624="","",IF(COUNTIF($G$2:$G$4460,$G3624)&gt;1,"重複",""))</f>
        <v/>
      </c>
    </row>
    <row r="3625" customFormat="false" ht="16.5" hidden="false" customHeight="true" outlineLevel="0" collapsed="false">
      <c r="A3625" s="2" t="s">
        <v>447</v>
      </c>
      <c r="B3625" s="2" t="s">
        <v>460</v>
      </c>
      <c r="C3625" s="2" t="s">
        <v>50</v>
      </c>
      <c r="D3625" s="2" t="str">
        <f aca="false">IF(4キー同時!$B$162="","",4キー同時!$B$162)</f>
        <v/>
      </c>
      <c r="E3625" s="2" t="str">
        <f aca="false">IF(4キー同時!$G$162="","",4キー同時!$G$162)</f>
        <v/>
      </c>
      <c r="F3625" s="2" t="str">
        <f aca="false">IF(4キー同時!$L$162="","",4キー同時!$L$162)</f>
        <v/>
      </c>
      <c r="G3625" s="2" t="str">
        <f aca="false">IF(OR(4キー同時!$B$162="",4キー同時!$G$162="",4キー同時!$L$162=""),"",IF(4キー同時!T172="","",SUBSTITUTE(SUBSTITUTE(4キー同時!T172," ",""),"　","")))</f>
        <v/>
      </c>
      <c r="H3625" s="2" t="str">
        <f aca="false">IF($G3625="","",4キー同時!$B$162)</f>
        <v/>
      </c>
      <c r="I3625" s="2" t="str">
        <f aca="false">IF($G3625="","",4キー同時!$G$162)</f>
        <v/>
      </c>
      <c r="J3625" s="2" t="str">
        <f aca="false">IF($G3625="","",4キー同時!$L$162)</f>
        <v/>
      </c>
      <c r="K3625" s="2" t="str">
        <f aca="false">IF($G3625="","","space")</f>
        <v/>
      </c>
      <c r="L3625" s="2" t="str">
        <f aca="false">IF($G3625="","","同時")</f>
        <v/>
      </c>
      <c r="M3625" s="2" t="str">
        <f aca="false">IF($G3625="","",IF(ISNA(MATCH($G3625,個別指定!$A:$A,0)),"行なし",""))</f>
        <v/>
      </c>
      <c r="N3625" s="2" t="str">
        <f aca="false">IF($G3625="","",IF(COUNTIF($G$2:$G$4460,$G3625)&gt;1,"重複",""))</f>
        <v/>
      </c>
    </row>
    <row r="3626" customFormat="false" ht="16.5" hidden="false" customHeight="true" outlineLevel="0" collapsed="false">
      <c r="A3626" s="2" t="s">
        <v>447</v>
      </c>
      <c r="B3626" s="2" t="s">
        <v>460</v>
      </c>
      <c r="C3626" s="2" t="s">
        <v>45</v>
      </c>
      <c r="D3626" s="2" t="str">
        <f aca="false">IF(4キー同時!$B$162="","",4キー同時!$B$162)</f>
        <v/>
      </c>
      <c r="E3626" s="2" t="str">
        <f aca="false">IF(4キー同時!$G$162="","",4キー同時!$G$162)</f>
        <v/>
      </c>
      <c r="F3626" s="2" t="str">
        <f aca="false">IF(4キー同時!$L$162="","",4キー同時!$L$162)</f>
        <v/>
      </c>
      <c r="G3626" s="2" t="str">
        <f aca="false">IF(OR(4キー同時!$B$162="",4キー同時!$G$162="",4キー同時!$L$162=""),"",IF(4キー同時!AL172="","",SUBSTITUTE(SUBSTITUTE(4キー同時!AL172," ",""),"　","")))</f>
        <v/>
      </c>
      <c r="H3626" s="2" t="str">
        <f aca="false">IF($G3626="","",4キー同時!$B$162)</f>
        <v/>
      </c>
      <c r="I3626" s="2" t="str">
        <f aca="false">IF($G3626="","",4キー同時!$G$162)</f>
        <v/>
      </c>
      <c r="J3626" s="2" t="str">
        <f aca="false">IF($G3626="","",4キー同時!$L$162)</f>
        <v/>
      </c>
      <c r="K3626" s="2" t="str">
        <f aca="false">IF($G3626="","","henkan")</f>
        <v/>
      </c>
      <c r="L3626" s="2" t="str">
        <f aca="false">IF($G3626="","","同時")</f>
        <v/>
      </c>
      <c r="M3626" s="2" t="str">
        <f aca="false">IF($G3626="","",IF(ISNA(MATCH($G3626,個別指定!$A:$A,0)),"行なし",""))</f>
        <v/>
      </c>
      <c r="N3626" s="2" t="str">
        <f aca="false">IF($G3626="","",IF(COUNTIF($G$2:$G$4460,$G3626)&gt;1,"重複",""))</f>
        <v/>
      </c>
    </row>
    <row r="3627" customFormat="false" ht="16.5" hidden="false" customHeight="true" outlineLevel="0" collapsed="false">
      <c r="A3627" s="2" t="s">
        <v>447</v>
      </c>
      <c r="B3627" s="2" t="s">
        <v>460</v>
      </c>
      <c r="C3627" s="2" t="s">
        <v>46</v>
      </c>
      <c r="D3627" s="2" t="str">
        <f aca="false">IF(4キー同時!$B$162="","",4キー同時!$B$162)</f>
        <v/>
      </c>
      <c r="E3627" s="2" t="str">
        <f aca="false">IF(4キー同時!$G$162="","",4キー同時!$G$162)</f>
        <v/>
      </c>
      <c r="F3627" s="2" t="str">
        <f aca="false">IF(4キー同時!$L$162="","",4キー同時!$L$162)</f>
        <v/>
      </c>
      <c r="G3627" s="2" t="str">
        <f aca="false">IF(OR(4キー同時!$B$162="",4キー同時!$G$162="",4キー同時!$L$162=""),"",IF(4キー同時!AP172="","",SUBSTITUTE(SUBSTITUTE(4キー同時!AP172," ",""),"　","")))</f>
        <v/>
      </c>
      <c r="H3627" s="2" t="str">
        <f aca="false">IF($G3627="","",4キー同時!$B$162)</f>
        <v/>
      </c>
      <c r="I3627" s="2" t="str">
        <f aca="false">IF($G3627="","",4キー同時!$G$162)</f>
        <v/>
      </c>
      <c r="J3627" s="2" t="str">
        <f aca="false">IF($G3627="","",4キー同時!$L$162)</f>
        <v/>
      </c>
      <c r="K3627" s="2" t="str">
        <f aca="false">IF($G3627="","","kana")</f>
        <v/>
      </c>
      <c r="L3627" s="2" t="str">
        <f aca="false">IF($G3627="","","同時")</f>
        <v/>
      </c>
      <c r="M3627" s="2" t="str">
        <f aca="false">IF($G3627="","",IF(ISNA(MATCH($G3627,個別指定!$A:$A,0)),"行なし",""))</f>
        <v/>
      </c>
      <c r="N3627" s="2" t="str">
        <f aca="false">IF($G3627="","",IF(COUNTIF($G$2:$G$4460,$G3627)&gt;1,"重複",""))</f>
        <v/>
      </c>
    </row>
    <row r="3628" customFormat="false" ht="16.5" hidden="false" customHeight="true" outlineLevel="0" collapsed="false">
      <c r="A3628" s="2" t="s">
        <v>447</v>
      </c>
      <c r="B3628" s="2" t="s">
        <v>461</v>
      </c>
      <c r="C3628" s="2" t="s">
        <v>0</v>
      </c>
      <c r="D3628" s="2" t="str">
        <f aca="false">IF(4キー同時!$B$175="","",4キー同時!$B$175)</f>
        <v/>
      </c>
      <c r="E3628" s="2" t="str">
        <f aca="false">IF(4キー同時!$G$175="","",4キー同時!$G$175)</f>
        <v/>
      </c>
      <c r="F3628" s="2" t="str">
        <f aca="false">IF(4キー同時!$L$175="","",4キー同時!$L$175)</f>
        <v/>
      </c>
      <c r="G3628" s="2" t="str">
        <f aca="false">IF(OR(4キー同時!$B$175="",4キー同時!$G$175="",4キー同時!$L$175=""),"",IF(4キー同時!F177="","",SUBSTITUTE(SUBSTITUTE(4キー同時!F177," ",""),"　","")))</f>
        <v/>
      </c>
      <c r="H3628" s="2" t="str">
        <f aca="false">IF($G3628="","",4キー同時!$B$175)</f>
        <v/>
      </c>
      <c r="I3628" s="2" t="str">
        <f aca="false">IF($G3628="","",4キー同時!$G$175)</f>
        <v/>
      </c>
      <c r="J3628" s="2" t="str">
        <f aca="false">IF($G3628="","",4キー同時!$L$175)</f>
        <v/>
      </c>
      <c r="K3628" s="2" t="str">
        <f aca="false">IF($G3628="","","1")</f>
        <v/>
      </c>
      <c r="L3628" s="2" t="str">
        <f aca="false">IF($G3628="","","同時")</f>
        <v/>
      </c>
      <c r="M3628" s="2" t="str">
        <f aca="false">IF($G3628="","",IF(ISNA(MATCH($G3628,個別指定!$A:$A,0)),"行なし",""))</f>
        <v/>
      </c>
      <c r="N3628" s="2" t="str">
        <f aca="false">IF($G3628="","",IF(COUNTIF($G$2:$G$4460,$G3628)&gt;1,"重複",""))</f>
        <v/>
      </c>
    </row>
    <row r="3629" customFormat="false" ht="16.5" hidden="false" customHeight="true" outlineLevel="0" collapsed="false">
      <c r="A3629" s="2" t="s">
        <v>447</v>
      </c>
      <c r="B3629" s="2" t="s">
        <v>461</v>
      </c>
      <c r="C3629" s="2" t="s">
        <v>1</v>
      </c>
      <c r="D3629" s="2" t="str">
        <f aca="false">IF(4キー同時!$B$175="","",4キー同時!$B$175)</f>
        <v/>
      </c>
      <c r="E3629" s="2" t="str">
        <f aca="false">IF(4キー同時!$G$175="","",4キー同時!$G$175)</f>
        <v/>
      </c>
      <c r="F3629" s="2" t="str">
        <f aca="false">IF(4キー同時!$L$175="","",4キー同時!$L$175)</f>
        <v/>
      </c>
      <c r="G3629" s="2" t="str">
        <f aca="false">IF(OR(4キー同時!$B$175="",4キー同時!$G$175="",4キー同時!$L$175=""),"",IF(4キー同時!J177="","",SUBSTITUTE(SUBSTITUTE(4キー同時!J177," ",""),"　","")))</f>
        <v/>
      </c>
      <c r="H3629" s="2" t="str">
        <f aca="false">IF($G3629="","",4キー同時!$B$175)</f>
        <v/>
      </c>
      <c r="I3629" s="2" t="str">
        <f aca="false">IF($G3629="","",4キー同時!$G$175)</f>
        <v/>
      </c>
      <c r="J3629" s="2" t="str">
        <f aca="false">IF($G3629="","",4キー同時!$L$175)</f>
        <v/>
      </c>
      <c r="K3629" s="2" t="str">
        <f aca="false">IF($G3629="","","2")</f>
        <v/>
      </c>
      <c r="L3629" s="2" t="str">
        <f aca="false">IF($G3629="","","同時")</f>
        <v/>
      </c>
      <c r="M3629" s="2" t="str">
        <f aca="false">IF($G3629="","",IF(ISNA(MATCH($G3629,個別指定!$A:$A,0)),"行なし",""))</f>
        <v/>
      </c>
      <c r="N3629" s="2" t="str">
        <f aca="false">IF($G3629="","",IF(COUNTIF($G$2:$G$4460,$G3629)&gt;1,"重複",""))</f>
        <v/>
      </c>
    </row>
    <row r="3630" customFormat="false" ht="16.5" hidden="false" customHeight="true" outlineLevel="0" collapsed="false">
      <c r="A3630" s="2" t="s">
        <v>447</v>
      </c>
      <c r="B3630" s="2" t="s">
        <v>461</v>
      </c>
      <c r="C3630" s="2" t="s">
        <v>2</v>
      </c>
      <c r="D3630" s="2" t="str">
        <f aca="false">IF(4キー同時!$B$175="","",4キー同時!$B$175)</f>
        <v/>
      </c>
      <c r="E3630" s="2" t="str">
        <f aca="false">IF(4キー同時!$G$175="","",4キー同時!$G$175)</f>
        <v/>
      </c>
      <c r="F3630" s="2" t="str">
        <f aca="false">IF(4キー同時!$L$175="","",4キー同時!$L$175)</f>
        <v/>
      </c>
      <c r="G3630" s="2" t="str">
        <f aca="false">IF(OR(4キー同時!$B$175="",4キー同時!$G$175="",4キー同時!$L$175=""),"",IF(4キー同時!N177="","",SUBSTITUTE(SUBSTITUTE(4キー同時!N177," ",""),"　","")))</f>
        <v/>
      </c>
      <c r="H3630" s="2" t="str">
        <f aca="false">IF($G3630="","",4キー同時!$B$175)</f>
        <v/>
      </c>
      <c r="I3630" s="2" t="str">
        <f aca="false">IF($G3630="","",4キー同時!$G$175)</f>
        <v/>
      </c>
      <c r="J3630" s="2" t="str">
        <f aca="false">IF($G3630="","",4キー同時!$L$175)</f>
        <v/>
      </c>
      <c r="K3630" s="2" t="str">
        <f aca="false">IF($G3630="","","3")</f>
        <v/>
      </c>
      <c r="L3630" s="2" t="str">
        <f aca="false">IF($G3630="","","同時")</f>
        <v/>
      </c>
      <c r="M3630" s="2" t="str">
        <f aca="false">IF($G3630="","",IF(ISNA(MATCH($G3630,個別指定!$A:$A,0)),"行なし",""))</f>
        <v/>
      </c>
      <c r="N3630" s="2" t="str">
        <f aca="false">IF($G3630="","",IF(COUNTIF($G$2:$G$4460,$G3630)&gt;1,"重複",""))</f>
        <v/>
      </c>
    </row>
    <row r="3631" customFormat="false" ht="16.5" hidden="false" customHeight="true" outlineLevel="0" collapsed="false">
      <c r="A3631" s="2" t="s">
        <v>447</v>
      </c>
      <c r="B3631" s="2" t="s">
        <v>461</v>
      </c>
      <c r="C3631" s="2" t="s">
        <v>3</v>
      </c>
      <c r="D3631" s="2" t="str">
        <f aca="false">IF(4キー同時!$B$175="","",4キー同時!$B$175)</f>
        <v/>
      </c>
      <c r="E3631" s="2" t="str">
        <f aca="false">IF(4キー同時!$G$175="","",4キー同時!$G$175)</f>
        <v/>
      </c>
      <c r="F3631" s="2" t="str">
        <f aca="false">IF(4キー同時!$L$175="","",4キー同時!$L$175)</f>
        <v/>
      </c>
      <c r="G3631" s="2" t="str">
        <f aca="false">IF(OR(4キー同時!$B$175="",4キー同時!$G$175="",4キー同時!$L$175=""),"",IF(4キー同時!R177="","",SUBSTITUTE(SUBSTITUTE(4キー同時!R177," ",""),"　","")))</f>
        <v/>
      </c>
      <c r="H3631" s="2" t="str">
        <f aca="false">IF($G3631="","",4キー同時!$B$175)</f>
        <v/>
      </c>
      <c r="I3631" s="2" t="str">
        <f aca="false">IF($G3631="","",4キー同時!$G$175)</f>
        <v/>
      </c>
      <c r="J3631" s="2" t="str">
        <f aca="false">IF($G3631="","",4キー同時!$L$175)</f>
        <v/>
      </c>
      <c r="K3631" s="2" t="str">
        <f aca="false">IF($G3631="","","4")</f>
        <v/>
      </c>
      <c r="L3631" s="2" t="str">
        <f aca="false">IF($G3631="","","同時")</f>
        <v/>
      </c>
      <c r="M3631" s="2" t="str">
        <f aca="false">IF($G3631="","",IF(ISNA(MATCH($G3631,個別指定!$A:$A,0)),"行なし",""))</f>
        <v/>
      </c>
      <c r="N3631" s="2" t="str">
        <f aca="false">IF($G3631="","",IF(COUNTIF($G$2:$G$4460,$G3631)&gt;1,"重複",""))</f>
        <v/>
      </c>
    </row>
    <row r="3632" customFormat="false" ht="16.5" hidden="false" customHeight="true" outlineLevel="0" collapsed="false">
      <c r="A3632" s="2" t="s">
        <v>447</v>
      </c>
      <c r="B3632" s="2" t="s">
        <v>461</v>
      </c>
      <c r="C3632" s="2" t="s">
        <v>4</v>
      </c>
      <c r="D3632" s="2" t="str">
        <f aca="false">IF(4キー同時!$B$175="","",4キー同時!$B$175)</f>
        <v/>
      </c>
      <c r="E3632" s="2" t="str">
        <f aca="false">IF(4キー同時!$G$175="","",4キー同時!$G$175)</f>
        <v/>
      </c>
      <c r="F3632" s="2" t="str">
        <f aca="false">IF(4キー同時!$L$175="","",4キー同時!$L$175)</f>
        <v/>
      </c>
      <c r="G3632" s="2" t="str">
        <f aca="false">IF(OR(4キー同時!$B$175="",4キー同時!$G$175="",4キー同時!$L$175=""),"",IF(4キー同時!V177="","",SUBSTITUTE(SUBSTITUTE(4キー同時!V177," ",""),"　","")))</f>
        <v/>
      </c>
      <c r="H3632" s="2" t="str">
        <f aca="false">IF($G3632="","",4キー同時!$B$175)</f>
        <v/>
      </c>
      <c r="I3632" s="2" t="str">
        <f aca="false">IF($G3632="","",4キー同時!$G$175)</f>
        <v/>
      </c>
      <c r="J3632" s="2" t="str">
        <f aca="false">IF($G3632="","",4キー同時!$L$175)</f>
        <v/>
      </c>
      <c r="K3632" s="2" t="str">
        <f aca="false">IF($G3632="","","5")</f>
        <v/>
      </c>
      <c r="L3632" s="2" t="str">
        <f aca="false">IF($G3632="","","同時")</f>
        <v/>
      </c>
      <c r="M3632" s="2" t="str">
        <f aca="false">IF($G3632="","",IF(ISNA(MATCH($G3632,個別指定!$A:$A,0)),"行なし",""))</f>
        <v/>
      </c>
      <c r="N3632" s="2" t="str">
        <f aca="false">IF($G3632="","",IF(COUNTIF($G$2:$G$4460,$G3632)&gt;1,"重複",""))</f>
        <v/>
      </c>
    </row>
    <row r="3633" customFormat="false" ht="16.5" hidden="false" customHeight="true" outlineLevel="0" collapsed="false">
      <c r="A3633" s="2" t="s">
        <v>447</v>
      </c>
      <c r="B3633" s="2" t="s">
        <v>461</v>
      </c>
      <c r="C3633" s="2" t="s">
        <v>5</v>
      </c>
      <c r="D3633" s="2" t="str">
        <f aca="false">IF(4キー同時!$B$175="","",4キー同時!$B$175)</f>
        <v/>
      </c>
      <c r="E3633" s="2" t="str">
        <f aca="false">IF(4キー同時!$G$175="","",4キー同時!$G$175)</f>
        <v/>
      </c>
      <c r="F3633" s="2" t="str">
        <f aca="false">IF(4キー同時!$L$175="","",4キー同時!$L$175)</f>
        <v/>
      </c>
      <c r="G3633" s="2" t="str">
        <f aca="false">IF(OR(4キー同時!$B$175="",4キー同時!$G$175="",4キー同時!$L$175=""),"",IF(4キー同時!Z177="","",SUBSTITUTE(SUBSTITUTE(4キー同時!Z177," ",""),"　","")))</f>
        <v/>
      </c>
      <c r="H3633" s="2" t="str">
        <f aca="false">IF($G3633="","",4キー同時!$B$175)</f>
        <v/>
      </c>
      <c r="I3633" s="2" t="str">
        <f aca="false">IF($G3633="","",4キー同時!$G$175)</f>
        <v/>
      </c>
      <c r="J3633" s="2" t="str">
        <f aca="false">IF($G3633="","",4キー同時!$L$175)</f>
        <v/>
      </c>
      <c r="K3633" s="2" t="str">
        <f aca="false">IF($G3633="","","6")</f>
        <v/>
      </c>
      <c r="L3633" s="2" t="str">
        <f aca="false">IF($G3633="","","同時")</f>
        <v/>
      </c>
      <c r="M3633" s="2" t="str">
        <f aca="false">IF($G3633="","",IF(ISNA(MATCH($G3633,個別指定!$A:$A,0)),"行なし",""))</f>
        <v/>
      </c>
      <c r="N3633" s="2" t="str">
        <f aca="false">IF($G3633="","",IF(COUNTIF($G$2:$G$4460,$G3633)&gt;1,"重複",""))</f>
        <v/>
      </c>
    </row>
    <row r="3634" customFormat="false" ht="16.5" hidden="false" customHeight="true" outlineLevel="0" collapsed="false">
      <c r="A3634" s="2" t="s">
        <v>447</v>
      </c>
      <c r="B3634" s="2" t="s">
        <v>461</v>
      </c>
      <c r="C3634" s="2" t="s">
        <v>6</v>
      </c>
      <c r="D3634" s="2" t="str">
        <f aca="false">IF(4キー同時!$B$175="","",4キー同時!$B$175)</f>
        <v/>
      </c>
      <c r="E3634" s="2" t="str">
        <f aca="false">IF(4キー同時!$G$175="","",4キー同時!$G$175)</f>
        <v/>
      </c>
      <c r="F3634" s="2" t="str">
        <f aca="false">IF(4キー同時!$L$175="","",4キー同時!$L$175)</f>
        <v/>
      </c>
      <c r="G3634" s="2" t="str">
        <f aca="false">IF(OR(4キー同時!$B$175="",4キー同時!$G$175="",4キー同時!$L$175=""),"",IF(4キー同時!AD177="","",SUBSTITUTE(SUBSTITUTE(4キー同時!AD177," ",""),"　","")))</f>
        <v/>
      </c>
      <c r="H3634" s="2" t="str">
        <f aca="false">IF($G3634="","",4キー同時!$B$175)</f>
        <v/>
      </c>
      <c r="I3634" s="2" t="str">
        <f aca="false">IF($G3634="","",4キー同時!$G$175)</f>
        <v/>
      </c>
      <c r="J3634" s="2" t="str">
        <f aca="false">IF($G3634="","",4キー同時!$L$175)</f>
        <v/>
      </c>
      <c r="K3634" s="2" t="str">
        <f aca="false">IF($G3634="","","7")</f>
        <v/>
      </c>
      <c r="L3634" s="2" t="str">
        <f aca="false">IF($G3634="","","同時")</f>
        <v/>
      </c>
      <c r="M3634" s="2" t="str">
        <f aca="false">IF($G3634="","",IF(ISNA(MATCH($G3634,個別指定!$A:$A,0)),"行なし",""))</f>
        <v/>
      </c>
      <c r="N3634" s="2" t="str">
        <f aca="false">IF($G3634="","",IF(COUNTIF($G$2:$G$4460,$G3634)&gt;1,"重複",""))</f>
        <v/>
      </c>
    </row>
    <row r="3635" customFormat="false" ht="16.5" hidden="false" customHeight="true" outlineLevel="0" collapsed="false">
      <c r="A3635" s="2" t="s">
        <v>447</v>
      </c>
      <c r="B3635" s="2" t="s">
        <v>461</v>
      </c>
      <c r="C3635" s="2" t="s">
        <v>7</v>
      </c>
      <c r="D3635" s="2" t="str">
        <f aca="false">IF(4キー同時!$B$175="","",4キー同時!$B$175)</f>
        <v/>
      </c>
      <c r="E3635" s="2" t="str">
        <f aca="false">IF(4キー同時!$G$175="","",4キー同時!$G$175)</f>
        <v/>
      </c>
      <c r="F3635" s="2" t="str">
        <f aca="false">IF(4キー同時!$L$175="","",4キー同時!$L$175)</f>
        <v/>
      </c>
      <c r="G3635" s="2" t="str">
        <f aca="false">IF(OR(4キー同時!$B$175="",4キー同時!$G$175="",4キー同時!$L$175=""),"",IF(4キー同時!AH177="","",SUBSTITUTE(SUBSTITUTE(4キー同時!AH177," ",""),"　","")))</f>
        <v/>
      </c>
      <c r="H3635" s="2" t="str">
        <f aca="false">IF($G3635="","",4キー同時!$B$175)</f>
        <v/>
      </c>
      <c r="I3635" s="2" t="str">
        <f aca="false">IF($G3635="","",4キー同時!$G$175)</f>
        <v/>
      </c>
      <c r="J3635" s="2" t="str">
        <f aca="false">IF($G3635="","",4キー同時!$L$175)</f>
        <v/>
      </c>
      <c r="K3635" s="2" t="str">
        <f aca="false">IF($G3635="","","8")</f>
        <v/>
      </c>
      <c r="L3635" s="2" t="str">
        <f aca="false">IF($G3635="","","同時")</f>
        <v/>
      </c>
      <c r="M3635" s="2" t="str">
        <f aca="false">IF($G3635="","",IF(ISNA(MATCH($G3635,個別指定!$A:$A,0)),"行なし",""))</f>
        <v/>
      </c>
      <c r="N3635" s="2" t="str">
        <f aca="false">IF($G3635="","",IF(COUNTIF($G$2:$G$4460,$G3635)&gt;1,"重複",""))</f>
        <v/>
      </c>
    </row>
    <row r="3636" customFormat="false" ht="16.5" hidden="false" customHeight="true" outlineLevel="0" collapsed="false">
      <c r="A3636" s="2" t="s">
        <v>447</v>
      </c>
      <c r="B3636" s="2" t="s">
        <v>461</v>
      </c>
      <c r="C3636" s="2" t="s">
        <v>8</v>
      </c>
      <c r="D3636" s="2" t="str">
        <f aca="false">IF(4キー同時!$B$175="","",4キー同時!$B$175)</f>
        <v/>
      </c>
      <c r="E3636" s="2" t="str">
        <f aca="false">IF(4キー同時!$G$175="","",4キー同時!$G$175)</f>
        <v/>
      </c>
      <c r="F3636" s="2" t="str">
        <f aca="false">IF(4キー同時!$L$175="","",4キー同時!$L$175)</f>
        <v/>
      </c>
      <c r="G3636" s="2" t="str">
        <f aca="false">IF(OR(4キー同時!$B$175="",4キー同時!$G$175="",4キー同時!$L$175=""),"",IF(4キー同時!AL177="","",SUBSTITUTE(SUBSTITUTE(4キー同時!AL177," ",""),"　","")))</f>
        <v/>
      </c>
      <c r="H3636" s="2" t="str">
        <f aca="false">IF($G3636="","",4キー同時!$B$175)</f>
        <v/>
      </c>
      <c r="I3636" s="2" t="str">
        <f aca="false">IF($G3636="","",4キー同時!$G$175)</f>
        <v/>
      </c>
      <c r="J3636" s="2" t="str">
        <f aca="false">IF($G3636="","",4キー同時!$L$175)</f>
        <v/>
      </c>
      <c r="K3636" s="2" t="str">
        <f aca="false">IF($G3636="","","9")</f>
        <v/>
      </c>
      <c r="L3636" s="2" t="str">
        <f aca="false">IF($G3636="","","同時")</f>
        <v/>
      </c>
      <c r="M3636" s="2" t="str">
        <f aca="false">IF($G3636="","",IF(ISNA(MATCH($G3636,個別指定!$A:$A,0)),"行なし",""))</f>
        <v/>
      </c>
      <c r="N3636" s="2" t="str">
        <f aca="false">IF($G3636="","",IF(COUNTIF($G$2:$G$4460,$G3636)&gt;1,"重複",""))</f>
        <v/>
      </c>
    </row>
    <row r="3637" customFormat="false" ht="16.5" hidden="false" customHeight="true" outlineLevel="0" collapsed="false">
      <c r="A3637" s="2" t="s">
        <v>447</v>
      </c>
      <c r="B3637" s="2" t="s">
        <v>461</v>
      </c>
      <c r="C3637" s="2" t="s">
        <v>9</v>
      </c>
      <c r="D3637" s="2" t="str">
        <f aca="false">IF(4キー同時!$B$175="","",4キー同時!$B$175)</f>
        <v/>
      </c>
      <c r="E3637" s="2" t="str">
        <f aca="false">IF(4キー同時!$G$175="","",4キー同時!$G$175)</f>
        <v/>
      </c>
      <c r="F3637" s="2" t="str">
        <f aca="false">IF(4キー同時!$L$175="","",4キー同時!$L$175)</f>
        <v/>
      </c>
      <c r="G3637" s="2" t="str">
        <f aca="false">IF(OR(4キー同時!$B$175="",4キー同時!$G$175="",4キー同時!$L$175=""),"",IF(4キー同時!AP177="","",SUBSTITUTE(SUBSTITUTE(4キー同時!AP177," ",""),"　","")))</f>
        <v/>
      </c>
      <c r="H3637" s="2" t="str">
        <f aca="false">IF($G3637="","",4キー同時!$B$175)</f>
        <v/>
      </c>
      <c r="I3637" s="2" t="str">
        <f aca="false">IF($G3637="","",4キー同時!$G$175)</f>
        <v/>
      </c>
      <c r="J3637" s="2" t="str">
        <f aca="false">IF($G3637="","",4キー同時!$L$175)</f>
        <v/>
      </c>
      <c r="K3637" s="2" t="str">
        <f aca="false">IF($G3637="","","0")</f>
        <v/>
      </c>
      <c r="L3637" s="2" t="str">
        <f aca="false">IF($G3637="","","同時")</f>
        <v/>
      </c>
      <c r="M3637" s="2" t="str">
        <f aca="false">IF($G3637="","",IF(ISNA(MATCH($G3637,個別指定!$A:$A,0)),"行なし",""))</f>
        <v/>
      </c>
      <c r="N3637" s="2" t="str">
        <f aca="false">IF($G3637="","",IF(COUNTIF($G$2:$G$4460,$G3637)&gt;1,"重複",""))</f>
        <v/>
      </c>
    </row>
    <row r="3638" customFormat="false" ht="16.5" hidden="false" customHeight="true" outlineLevel="0" collapsed="false">
      <c r="A3638" s="2" t="s">
        <v>447</v>
      </c>
      <c r="B3638" s="2" t="s">
        <v>461</v>
      </c>
      <c r="C3638" s="2" t="s">
        <v>10</v>
      </c>
      <c r="D3638" s="2" t="str">
        <f aca="false">IF(4キー同時!$B$175="","",4キー同時!$B$175)</f>
        <v/>
      </c>
      <c r="E3638" s="2" t="str">
        <f aca="false">IF(4キー同時!$G$175="","",4キー同時!$G$175)</f>
        <v/>
      </c>
      <c r="F3638" s="2" t="str">
        <f aca="false">IF(4キー同時!$L$175="","",4キー同時!$L$175)</f>
        <v/>
      </c>
      <c r="G3638" s="2" t="str">
        <f aca="false">IF(OR(4キー同時!$B$175="",4キー同時!$G$175="",4キー同時!$L$175=""),"",IF(4キー同時!AT177="","",SUBSTITUTE(SUBSTITUTE(4キー同時!AT177," ",""),"　","")))</f>
        <v/>
      </c>
      <c r="H3638" s="2" t="str">
        <f aca="false">IF($G3638="","",4キー同時!$B$175)</f>
        <v/>
      </c>
      <c r="I3638" s="2" t="str">
        <f aca="false">IF($G3638="","",4キー同時!$G$175)</f>
        <v/>
      </c>
      <c r="J3638" s="2" t="str">
        <f aca="false">IF($G3638="","",4キー同時!$L$175)</f>
        <v/>
      </c>
      <c r="K3638" s="2" t="str">
        <f aca="false">IF($G3638="","","-")</f>
        <v/>
      </c>
      <c r="L3638" s="2" t="str">
        <f aca="false">IF($G3638="","","同時")</f>
        <v/>
      </c>
      <c r="M3638" s="2" t="str">
        <f aca="false">IF($G3638="","",IF(ISNA(MATCH($G3638,個別指定!$A:$A,0)),"行なし",""))</f>
        <v/>
      </c>
      <c r="N3638" s="2" t="str">
        <f aca="false">IF($G3638="","",IF(COUNTIF($G$2:$G$4460,$G3638)&gt;1,"重複",""))</f>
        <v/>
      </c>
    </row>
    <row r="3639" customFormat="false" ht="16.5" hidden="false" customHeight="true" outlineLevel="0" collapsed="false">
      <c r="A3639" s="2" t="s">
        <v>447</v>
      </c>
      <c r="B3639" s="2" t="s">
        <v>461</v>
      </c>
      <c r="C3639" s="2" t="s">
        <v>11</v>
      </c>
      <c r="D3639" s="2" t="str">
        <f aca="false">IF(4キー同時!$B$175="","",4キー同時!$B$175)</f>
        <v/>
      </c>
      <c r="E3639" s="2" t="str">
        <f aca="false">IF(4キー同時!$G$175="","",4キー同時!$G$175)</f>
        <v/>
      </c>
      <c r="F3639" s="2" t="str">
        <f aca="false">IF(4キー同時!$L$175="","",4キー同時!$L$175)</f>
        <v/>
      </c>
      <c r="G3639" s="2" t="str">
        <f aca="false">IF(OR(4キー同時!$B$175="",4キー同時!$G$175="",4キー同時!$L$175=""),"",IF(4キー同時!AX177="","",SUBSTITUTE(SUBSTITUTE(4キー同時!AX177," ",""),"　","")))</f>
        <v/>
      </c>
      <c r="H3639" s="2" t="str">
        <f aca="false">IF($G3639="","",4キー同時!$B$175)</f>
        <v/>
      </c>
      <c r="I3639" s="2" t="str">
        <f aca="false">IF($G3639="","",4キー同時!$G$175)</f>
        <v/>
      </c>
      <c r="J3639" s="2" t="str">
        <f aca="false">IF($G3639="","",4キー同時!$L$175)</f>
        <v/>
      </c>
      <c r="K3639" s="2" t="str">
        <f aca="false">IF($G3639="","","=")</f>
        <v/>
      </c>
      <c r="L3639" s="2" t="str">
        <f aca="false">IF($G3639="","","同時")</f>
        <v/>
      </c>
      <c r="M3639" s="2" t="str">
        <f aca="false">IF($G3639="","",IF(ISNA(MATCH($G3639,個別指定!$A:$A,0)),"行なし",""))</f>
        <v/>
      </c>
      <c r="N3639" s="2" t="str">
        <f aca="false">IF($G3639="","",IF(COUNTIF($G$2:$G$4460,$G3639)&gt;1,"重複",""))</f>
        <v/>
      </c>
    </row>
    <row r="3640" customFormat="false" ht="16.5" hidden="false" customHeight="true" outlineLevel="0" collapsed="false">
      <c r="A3640" s="2" t="s">
        <v>447</v>
      </c>
      <c r="B3640" s="2" t="s">
        <v>461</v>
      </c>
      <c r="C3640" s="2" t="s">
        <v>12</v>
      </c>
      <c r="D3640" s="2" t="str">
        <f aca="false">IF(4キー同時!$B$175="","",4キー同時!$B$175)</f>
        <v/>
      </c>
      <c r="E3640" s="2" t="str">
        <f aca="false">IF(4キー同時!$G$175="","",4キー同時!$G$175)</f>
        <v/>
      </c>
      <c r="F3640" s="2" t="str">
        <f aca="false">IF(4キー同時!$L$175="","",4キー同時!$L$175)</f>
        <v/>
      </c>
      <c r="G3640" s="2" t="str">
        <f aca="false">IF(OR(4キー同時!$B$175="",4キー同時!$G$175="",4キー同時!$L$175=""),"",IF(4キー同時!H179="","",SUBSTITUTE(SUBSTITUTE(4キー同時!H179," ",""),"　","")))</f>
        <v/>
      </c>
      <c r="H3640" s="2" t="str">
        <f aca="false">IF($G3640="","",4キー同時!$B$175)</f>
        <v/>
      </c>
      <c r="I3640" s="2" t="str">
        <f aca="false">IF($G3640="","",4キー同時!$G$175)</f>
        <v/>
      </c>
      <c r="J3640" s="2" t="str">
        <f aca="false">IF($G3640="","",4キー同時!$L$175)</f>
        <v/>
      </c>
      <c r="K3640" s="2" t="str">
        <f aca="false">IF($G3640="","","q")</f>
        <v/>
      </c>
      <c r="L3640" s="2" t="str">
        <f aca="false">IF($G3640="","","同時")</f>
        <v/>
      </c>
      <c r="M3640" s="2" t="str">
        <f aca="false">IF($G3640="","",IF(ISNA(MATCH($G3640,個別指定!$A:$A,0)),"行なし",""))</f>
        <v/>
      </c>
      <c r="N3640" s="2" t="str">
        <f aca="false">IF($G3640="","",IF(COUNTIF($G$2:$G$4460,$G3640)&gt;1,"重複",""))</f>
        <v/>
      </c>
    </row>
    <row r="3641" customFormat="false" ht="16.5" hidden="false" customHeight="true" outlineLevel="0" collapsed="false">
      <c r="A3641" s="2" t="s">
        <v>447</v>
      </c>
      <c r="B3641" s="2" t="s">
        <v>461</v>
      </c>
      <c r="C3641" s="2" t="s">
        <v>13</v>
      </c>
      <c r="D3641" s="2" t="str">
        <f aca="false">IF(4キー同時!$B$175="","",4キー同時!$B$175)</f>
        <v/>
      </c>
      <c r="E3641" s="2" t="str">
        <f aca="false">IF(4キー同時!$G$175="","",4キー同時!$G$175)</f>
        <v/>
      </c>
      <c r="F3641" s="2" t="str">
        <f aca="false">IF(4キー同時!$L$175="","",4キー同時!$L$175)</f>
        <v/>
      </c>
      <c r="G3641" s="2" t="str">
        <f aca="false">IF(OR(4キー同時!$B$175="",4キー同時!$G$175="",4キー同時!$L$175=""),"",IF(4キー同時!L179="","",SUBSTITUTE(SUBSTITUTE(4キー同時!L179," ",""),"　","")))</f>
        <v/>
      </c>
      <c r="H3641" s="2" t="str">
        <f aca="false">IF($G3641="","",4キー同時!$B$175)</f>
        <v/>
      </c>
      <c r="I3641" s="2" t="str">
        <f aca="false">IF($G3641="","",4キー同時!$G$175)</f>
        <v/>
      </c>
      <c r="J3641" s="2" t="str">
        <f aca="false">IF($G3641="","",4キー同時!$L$175)</f>
        <v/>
      </c>
      <c r="K3641" s="2" t="str">
        <f aca="false">IF($G3641="","","w")</f>
        <v/>
      </c>
      <c r="L3641" s="2" t="str">
        <f aca="false">IF($G3641="","","同時")</f>
        <v/>
      </c>
      <c r="M3641" s="2" t="str">
        <f aca="false">IF($G3641="","",IF(ISNA(MATCH($G3641,個別指定!$A:$A,0)),"行なし",""))</f>
        <v/>
      </c>
      <c r="N3641" s="2" t="str">
        <f aca="false">IF($G3641="","",IF(COUNTIF($G$2:$G$4460,$G3641)&gt;1,"重複",""))</f>
        <v/>
      </c>
    </row>
    <row r="3642" customFormat="false" ht="16.5" hidden="false" customHeight="true" outlineLevel="0" collapsed="false">
      <c r="A3642" s="2" t="s">
        <v>447</v>
      </c>
      <c r="B3642" s="2" t="s">
        <v>461</v>
      </c>
      <c r="C3642" s="2" t="s">
        <v>14</v>
      </c>
      <c r="D3642" s="2" t="str">
        <f aca="false">IF(4キー同時!$B$175="","",4キー同時!$B$175)</f>
        <v/>
      </c>
      <c r="E3642" s="2" t="str">
        <f aca="false">IF(4キー同時!$G$175="","",4キー同時!$G$175)</f>
        <v/>
      </c>
      <c r="F3642" s="2" t="str">
        <f aca="false">IF(4キー同時!$L$175="","",4キー同時!$L$175)</f>
        <v/>
      </c>
      <c r="G3642" s="2" t="str">
        <f aca="false">IF(OR(4キー同時!$B$175="",4キー同時!$G$175="",4キー同時!$L$175=""),"",IF(4キー同時!P179="","",SUBSTITUTE(SUBSTITUTE(4キー同時!P179," ",""),"　","")))</f>
        <v/>
      </c>
      <c r="H3642" s="2" t="str">
        <f aca="false">IF($G3642="","",4キー同時!$B$175)</f>
        <v/>
      </c>
      <c r="I3642" s="2" t="str">
        <f aca="false">IF($G3642="","",4キー同時!$G$175)</f>
        <v/>
      </c>
      <c r="J3642" s="2" t="str">
        <f aca="false">IF($G3642="","",4キー同時!$L$175)</f>
        <v/>
      </c>
      <c r="K3642" s="2" t="str">
        <f aca="false">IF($G3642="","","e")</f>
        <v/>
      </c>
      <c r="L3642" s="2" t="str">
        <f aca="false">IF($G3642="","","同時")</f>
        <v/>
      </c>
      <c r="M3642" s="2" t="str">
        <f aca="false">IF($G3642="","",IF(ISNA(MATCH($G3642,個別指定!$A:$A,0)),"行なし",""))</f>
        <v/>
      </c>
      <c r="N3642" s="2" t="str">
        <f aca="false">IF($G3642="","",IF(COUNTIF($G$2:$G$4460,$G3642)&gt;1,"重複",""))</f>
        <v/>
      </c>
    </row>
    <row r="3643" customFormat="false" ht="16.5" hidden="false" customHeight="true" outlineLevel="0" collapsed="false">
      <c r="A3643" s="2" t="s">
        <v>447</v>
      </c>
      <c r="B3643" s="2" t="s">
        <v>461</v>
      </c>
      <c r="C3643" s="2" t="s">
        <v>15</v>
      </c>
      <c r="D3643" s="2" t="str">
        <f aca="false">IF(4キー同時!$B$175="","",4キー同時!$B$175)</f>
        <v/>
      </c>
      <c r="E3643" s="2" t="str">
        <f aca="false">IF(4キー同時!$G$175="","",4キー同時!$G$175)</f>
        <v/>
      </c>
      <c r="F3643" s="2" t="str">
        <f aca="false">IF(4キー同時!$L$175="","",4キー同時!$L$175)</f>
        <v/>
      </c>
      <c r="G3643" s="2" t="str">
        <f aca="false">IF(OR(4キー同時!$B$175="",4キー同時!$G$175="",4キー同時!$L$175=""),"",IF(4キー同時!T179="","",SUBSTITUTE(SUBSTITUTE(4キー同時!T179," ",""),"　","")))</f>
        <v/>
      </c>
      <c r="H3643" s="2" t="str">
        <f aca="false">IF($G3643="","",4キー同時!$B$175)</f>
        <v/>
      </c>
      <c r="I3643" s="2" t="str">
        <f aca="false">IF($G3643="","",4キー同時!$G$175)</f>
        <v/>
      </c>
      <c r="J3643" s="2" t="str">
        <f aca="false">IF($G3643="","",4キー同時!$L$175)</f>
        <v/>
      </c>
      <c r="K3643" s="2" t="str">
        <f aca="false">IF($G3643="","","r")</f>
        <v/>
      </c>
      <c r="L3643" s="2" t="str">
        <f aca="false">IF($G3643="","","同時")</f>
        <v/>
      </c>
      <c r="M3643" s="2" t="str">
        <f aca="false">IF($G3643="","",IF(ISNA(MATCH($G3643,個別指定!$A:$A,0)),"行なし",""))</f>
        <v/>
      </c>
      <c r="N3643" s="2" t="str">
        <f aca="false">IF($G3643="","",IF(COUNTIF($G$2:$G$4460,$G3643)&gt;1,"重複",""))</f>
        <v/>
      </c>
    </row>
    <row r="3644" customFormat="false" ht="16.5" hidden="false" customHeight="true" outlineLevel="0" collapsed="false">
      <c r="A3644" s="2" t="s">
        <v>447</v>
      </c>
      <c r="B3644" s="2" t="s">
        <v>461</v>
      </c>
      <c r="C3644" s="2" t="s">
        <v>16</v>
      </c>
      <c r="D3644" s="2" t="str">
        <f aca="false">IF(4キー同時!$B$175="","",4キー同時!$B$175)</f>
        <v/>
      </c>
      <c r="E3644" s="2" t="str">
        <f aca="false">IF(4キー同時!$G$175="","",4キー同時!$G$175)</f>
        <v/>
      </c>
      <c r="F3644" s="2" t="str">
        <f aca="false">IF(4キー同時!$L$175="","",4キー同時!$L$175)</f>
        <v/>
      </c>
      <c r="G3644" s="2" t="str">
        <f aca="false">IF(OR(4キー同時!$B$175="",4キー同時!$G$175="",4キー同時!$L$175=""),"",IF(4キー同時!X179="","",SUBSTITUTE(SUBSTITUTE(4キー同時!X179," ",""),"　","")))</f>
        <v/>
      </c>
      <c r="H3644" s="2" t="str">
        <f aca="false">IF($G3644="","",4キー同時!$B$175)</f>
        <v/>
      </c>
      <c r="I3644" s="2" t="str">
        <f aca="false">IF($G3644="","",4キー同時!$G$175)</f>
        <v/>
      </c>
      <c r="J3644" s="2" t="str">
        <f aca="false">IF($G3644="","",4キー同時!$L$175)</f>
        <v/>
      </c>
      <c r="K3644" s="2" t="str">
        <f aca="false">IF($G3644="","","t")</f>
        <v/>
      </c>
      <c r="L3644" s="2" t="str">
        <f aca="false">IF($G3644="","","同時")</f>
        <v/>
      </c>
      <c r="M3644" s="2" t="str">
        <f aca="false">IF($G3644="","",IF(ISNA(MATCH($G3644,個別指定!$A:$A,0)),"行なし",""))</f>
        <v/>
      </c>
      <c r="N3644" s="2" t="str">
        <f aca="false">IF($G3644="","",IF(COUNTIF($G$2:$G$4460,$G3644)&gt;1,"重複",""))</f>
        <v/>
      </c>
    </row>
    <row r="3645" customFormat="false" ht="16.5" hidden="false" customHeight="true" outlineLevel="0" collapsed="false">
      <c r="A3645" s="2" t="s">
        <v>447</v>
      </c>
      <c r="B3645" s="2" t="s">
        <v>461</v>
      </c>
      <c r="C3645" s="2" t="s">
        <v>17</v>
      </c>
      <c r="D3645" s="2" t="str">
        <f aca="false">IF(4キー同時!$B$175="","",4キー同時!$B$175)</f>
        <v/>
      </c>
      <c r="E3645" s="2" t="str">
        <f aca="false">IF(4キー同時!$G$175="","",4キー同時!$G$175)</f>
        <v/>
      </c>
      <c r="F3645" s="2" t="str">
        <f aca="false">IF(4キー同時!$L$175="","",4キー同時!$L$175)</f>
        <v/>
      </c>
      <c r="G3645" s="2" t="str">
        <f aca="false">IF(OR(4キー同時!$B$175="",4キー同時!$G$175="",4キー同時!$L$175=""),"",IF(4キー同時!AB179="","",SUBSTITUTE(SUBSTITUTE(4キー同時!AB179," ",""),"　","")))</f>
        <v/>
      </c>
      <c r="H3645" s="2" t="str">
        <f aca="false">IF($G3645="","",4キー同時!$B$175)</f>
        <v/>
      </c>
      <c r="I3645" s="2" t="str">
        <f aca="false">IF($G3645="","",4キー同時!$G$175)</f>
        <v/>
      </c>
      <c r="J3645" s="2" t="str">
        <f aca="false">IF($G3645="","",4キー同時!$L$175)</f>
        <v/>
      </c>
      <c r="K3645" s="2" t="str">
        <f aca="false">IF($G3645="","","y")</f>
        <v/>
      </c>
      <c r="L3645" s="2" t="str">
        <f aca="false">IF($G3645="","","同時")</f>
        <v/>
      </c>
      <c r="M3645" s="2" t="str">
        <f aca="false">IF($G3645="","",IF(ISNA(MATCH($G3645,個別指定!$A:$A,0)),"行なし",""))</f>
        <v/>
      </c>
      <c r="N3645" s="2" t="str">
        <f aca="false">IF($G3645="","",IF(COUNTIF($G$2:$G$4460,$G3645)&gt;1,"重複",""))</f>
        <v/>
      </c>
    </row>
    <row r="3646" customFormat="false" ht="16.5" hidden="false" customHeight="true" outlineLevel="0" collapsed="false">
      <c r="A3646" s="2" t="s">
        <v>447</v>
      </c>
      <c r="B3646" s="2" t="s">
        <v>461</v>
      </c>
      <c r="C3646" s="2" t="s">
        <v>18</v>
      </c>
      <c r="D3646" s="2" t="str">
        <f aca="false">IF(4キー同時!$B$175="","",4キー同時!$B$175)</f>
        <v/>
      </c>
      <c r="E3646" s="2" t="str">
        <f aca="false">IF(4キー同時!$G$175="","",4キー同時!$G$175)</f>
        <v/>
      </c>
      <c r="F3646" s="2" t="str">
        <f aca="false">IF(4キー同時!$L$175="","",4キー同時!$L$175)</f>
        <v/>
      </c>
      <c r="G3646" s="2" t="str">
        <f aca="false">IF(OR(4キー同時!$B$175="",4キー同時!$G$175="",4キー同時!$L$175=""),"",IF(4キー同時!AF179="","",SUBSTITUTE(SUBSTITUTE(4キー同時!AF179," ",""),"　","")))</f>
        <v/>
      </c>
      <c r="H3646" s="2" t="str">
        <f aca="false">IF($G3646="","",4キー同時!$B$175)</f>
        <v/>
      </c>
      <c r="I3646" s="2" t="str">
        <f aca="false">IF($G3646="","",4キー同時!$G$175)</f>
        <v/>
      </c>
      <c r="J3646" s="2" t="str">
        <f aca="false">IF($G3646="","",4キー同時!$L$175)</f>
        <v/>
      </c>
      <c r="K3646" s="2" t="str">
        <f aca="false">IF($G3646="","","u")</f>
        <v/>
      </c>
      <c r="L3646" s="2" t="str">
        <f aca="false">IF($G3646="","","同時")</f>
        <v/>
      </c>
      <c r="M3646" s="2" t="str">
        <f aca="false">IF($G3646="","",IF(ISNA(MATCH($G3646,個別指定!$A:$A,0)),"行なし",""))</f>
        <v/>
      </c>
      <c r="N3646" s="2" t="str">
        <f aca="false">IF($G3646="","",IF(COUNTIF($G$2:$G$4460,$G3646)&gt;1,"重複",""))</f>
        <v/>
      </c>
    </row>
    <row r="3647" customFormat="false" ht="16.5" hidden="false" customHeight="true" outlineLevel="0" collapsed="false">
      <c r="A3647" s="2" t="s">
        <v>447</v>
      </c>
      <c r="B3647" s="2" t="s">
        <v>461</v>
      </c>
      <c r="C3647" s="2" t="s">
        <v>19</v>
      </c>
      <c r="D3647" s="2" t="str">
        <f aca="false">IF(4キー同時!$B$175="","",4キー同時!$B$175)</f>
        <v/>
      </c>
      <c r="E3647" s="2" t="str">
        <f aca="false">IF(4キー同時!$G$175="","",4キー同時!$G$175)</f>
        <v/>
      </c>
      <c r="F3647" s="2" t="str">
        <f aca="false">IF(4キー同時!$L$175="","",4キー同時!$L$175)</f>
        <v/>
      </c>
      <c r="G3647" s="2" t="str">
        <f aca="false">IF(OR(4キー同時!$B$175="",4キー同時!$G$175="",4キー同時!$L$175=""),"",IF(4キー同時!AJ179="","",SUBSTITUTE(SUBSTITUTE(4キー同時!AJ179," ",""),"　","")))</f>
        <v/>
      </c>
      <c r="H3647" s="2" t="str">
        <f aca="false">IF($G3647="","",4キー同時!$B$175)</f>
        <v/>
      </c>
      <c r="I3647" s="2" t="str">
        <f aca="false">IF($G3647="","",4キー同時!$G$175)</f>
        <v/>
      </c>
      <c r="J3647" s="2" t="str">
        <f aca="false">IF($G3647="","",4キー同時!$L$175)</f>
        <v/>
      </c>
      <c r="K3647" s="2" t="str">
        <f aca="false">IF($G3647="","","i")</f>
        <v/>
      </c>
      <c r="L3647" s="2" t="str">
        <f aca="false">IF($G3647="","","同時")</f>
        <v/>
      </c>
      <c r="M3647" s="2" t="str">
        <f aca="false">IF($G3647="","",IF(ISNA(MATCH($G3647,個別指定!$A:$A,0)),"行なし",""))</f>
        <v/>
      </c>
      <c r="N3647" s="2" t="str">
        <f aca="false">IF($G3647="","",IF(COUNTIF($G$2:$G$4460,$G3647)&gt;1,"重複",""))</f>
        <v/>
      </c>
    </row>
    <row r="3648" customFormat="false" ht="16.5" hidden="false" customHeight="true" outlineLevel="0" collapsed="false">
      <c r="A3648" s="2" t="s">
        <v>447</v>
      </c>
      <c r="B3648" s="2" t="s">
        <v>461</v>
      </c>
      <c r="C3648" s="2" t="s">
        <v>20</v>
      </c>
      <c r="D3648" s="2" t="str">
        <f aca="false">IF(4キー同時!$B$175="","",4キー同時!$B$175)</f>
        <v/>
      </c>
      <c r="E3648" s="2" t="str">
        <f aca="false">IF(4キー同時!$G$175="","",4キー同時!$G$175)</f>
        <v/>
      </c>
      <c r="F3648" s="2" t="str">
        <f aca="false">IF(4キー同時!$L$175="","",4キー同時!$L$175)</f>
        <v/>
      </c>
      <c r="G3648" s="2" t="str">
        <f aca="false">IF(OR(4キー同時!$B$175="",4キー同時!$G$175="",4キー同時!$L$175=""),"",IF(4キー同時!AN179="","",SUBSTITUTE(SUBSTITUTE(4キー同時!AN179," ",""),"　","")))</f>
        <v/>
      </c>
      <c r="H3648" s="2" t="str">
        <f aca="false">IF($G3648="","",4キー同時!$B$175)</f>
        <v/>
      </c>
      <c r="I3648" s="2" t="str">
        <f aca="false">IF($G3648="","",4キー同時!$G$175)</f>
        <v/>
      </c>
      <c r="J3648" s="2" t="str">
        <f aca="false">IF($G3648="","",4キー同時!$L$175)</f>
        <v/>
      </c>
      <c r="K3648" s="2" t="str">
        <f aca="false">IF($G3648="","","o")</f>
        <v/>
      </c>
      <c r="L3648" s="2" t="str">
        <f aca="false">IF($G3648="","","同時")</f>
        <v/>
      </c>
      <c r="M3648" s="2" t="str">
        <f aca="false">IF($G3648="","",IF(ISNA(MATCH($G3648,個別指定!$A:$A,0)),"行なし",""))</f>
        <v/>
      </c>
      <c r="N3648" s="2" t="str">
        <f aca="false">IF($G3648="","",IF(COUNTIF($G$2:$G$4460,$G3648)&gt;1,"重複",""))</f>
        <v/>
      </c>
    </row>
    <row r="3649" customFormat="false" ht="16.5" hidden="false" customHeight="true" outlineLevel="0" collapsed="false">
      <c r="A3649" s="2" t="s">
        <v>447</v>
      </c>
      <c r="B3649" s="2" t="s">
        <v>461</v>
      </c>
      <c r="C3649" s="2" t="s">
        <v>21</v>
      </c>
      <c r="D3649" s="2" t="str">
        <f aca="false">IF(4キー同時!$B$175="","",4キー同時!$B$175)</f>
        <v/>
      </c>
      <c r="E3649" s="2" t="str">
        <f aca="false">IF(4キー同時!$G$175="","",4キー同時!$G$175)</f>
        <v/>
      </c>
      <c r="F3649" s="2" t="str">
        <f aca="false">IF(4キー同時!$L$175="","",4キー同時!$L$175)</f>
        <v/>
      </c>
      <c r="G3649" s="2" t="str">
        <f aca="false">IF(OR(4キー同時!$B$175="",4キー同時!$G$175="",4キー同時!$L$175=""),"",IF(4キー同時!AR179="","",SUBSTITUTE(SUBSTITUTE(4キー同時!AR179," ",""),"　","")))</f>
        <v/>
      </c>
      <c r="H3649" s="2" t="str">
        <f aca="false">IF($G3649="","",4キー同時!$B$175)</f>
        <v/>
      </c>
      <c r="I3649" s="2" t="str">
        <f aca="false">IF($G3649="","",4キー同時!$G$175)</f>
        <v/>
      </c>
      <c r="J3649" s="2" t="str">
        <f aca="false">IF($G3649="","",4キー同時!$L$175)</f>
        <v/>
      </c>
      <c r="K3649" s="2" t="str">
        <f aca="false">IF($G3649="","","p")</f>
        <v/>
      </c>
      <c r="L3649" s="2" t="str">
        <f aca="false">IF($G3649="","","同時")</f>
        <v/>
      </c>
      <c r="M3649" s="2" t="str">
        <f aca="false">IF($G3649="","",IF(ISNA(MATCH($G3649,個別指定!$A:$A,0)),"行なし",""))</f>
        <v/>
      </c>
      <c r="N3649" s="2" t="str">
        <f aca="false">IF($G3649="","",IF(COUNTIF($G$2:$G$4460,$G3649)&gt;1,"重複",""))</f>
        <v/>
      </c>
    </row>
    <row r="3650" customFormat="false" ht="16.5" hidden="false" customHeight="true" outlineLevel="0" collapsed="false">
      <c r="A3650" s="2" t="s">
        <v>447</v>
      </c>
      <c r="B3650" s="2" t="s">
        <v>461</v>
      </c>
      <c r="C3650" s="2" t="s">
        <v>22</v>
      </c>
      <c r="D3650" s="2" t="str">
        <f aca="false">IF(4キー同時!$B$175="","",4キー同時!$B$175)</f>
        <v/>
      </c>
      <c r="E3650" s="2" t="str">
        <f aca="false">IF(4キー同時!$G$175="","",4キー同時!$G$175)</f>
        <v/>
      </c>
      <c r="F3650" s="2" t="str">
        <f aca="false">IF(4キー同時!$L$175="","",4キー同時!$L$175)</f>
        <v/>
      </c>
      <c r="G3650" s="2" t="str">
        <f aca="false">IF(OR(4キー同時!$B$175="",4キー同時!$G$175="",4キー同時!$L$175=""),"",IF(4キー同時!AV179="","",SUBSTITUTE(SUBSTITUTE(4キー同時!AV179," ",""),"　","")))</f>
        <v/>
      </c>
      <c r="H3650" s="2" t="str">
        <f aca="false">IF($G3650="","",4キー同時!$B$175)</f>
        <v/>
      </c>
      <c r="I3650" s="2" t="str">
        <f aca="false">IF($G3650="","",4キー同時!$G$175)</f>
        <v/>
      </c>
      <c r="J3650" s="2" t="str">
        <f aca="false">IF($G3650="","",4キー同時!$L$175)</f>
        <v/>
      </c>
      <c r="K3650" s="2" t="str">
        <f aca="false">IF($G3650="","","[")</f>
        <v/>
      </c>
      <c r="L3650" s="2" t="str">
        <f aca="false">IF($G3650="","","同時")</f>
        <v/>
      </c>
      <c r="M3650" s="2" t="str">
        <f aca="false">IF($G3650="","",IF(ISNA(MATCH($G3650,個別指定!$A:$A,0)),"行なし",""))</f>
        <v/>
      </c>
      <c r="N3650" s="2" t="str">
        <f aca="false">IF($G3650="","",IF(COUNTIF($G$2:$G$4460,$G3650)&gt;1,"重複",""))</f>
        <v/>
      </c>
    </row>
    <row r="3651" customFormat="false" ht="16.5" hidden="false" customHeight="true" outlineLevel="0" collapsed="false">
      <c r="A3651" s="2" t="s">
        <v>447</v>
      </c>
      <c r="B3651" s="2" t="s">
        <v>461</v>
      </c>
      <c r="C3651" s="2" t="s">
        <v>23</v>
      </c>
      <c r="D3651" s="2" t="str">
        <f aca="false">IF(4キー同時!$B$175="","",4キー同時!$B$175)</f>
        <v/>
      </c>
      <c r="E3651" s="2" t="str">
        <f aca="false">IF(4キー同時!$G$175="","",4キー同時!$G$175)</f>
        <v/>
      </c>
      <c r="F3651" s="2" t="str">
        <f aca="false">IF(4キー同時!$L$175="","",4キー同時!$L$175)</f>
        <v/>
      </c>
      <c r="G3651" s="2" t="str">
        <f aca="false">IF(OR(4キー同時!$B$175="",4キー同時!$G$175="",4キー同時!$L$175=""),"",IF(4キー同時!AZ179="","",SUBSTITUTE(SUBSTITUTE(4キー同時!AZ179," ",""),"　","")))</f>
        <v/>
      </c>
      <c r="H3651" s="2" t="str">
        <f aca="false">IF($G3651="","",4キー同時!$B$175)</f>
        <v/>
      </c>
      <c r="I3651" s="2" t="str">
        <f aca="false">IF($G3651="","",4キー同時!$G$175)</f>
        <v/>
      </c>
      <c r="J3651" s="2" t="str">
        <f aca="false">IF($G3651="","",4キー同時!$L$175)</f>
        <v/>
      </c>
      <c r="K3651" s="2" t="str">
        <f aca="false">IF($G3651="","","]")</f>
        <v/>
      </c>
      <c r="L3651" s="2" t="str">
        <f aca="false">IF($G3651="","","同時")</f>
        <v/>
      </c>
      <c r="M3651" s="2" t="str">
        <f aca="false">IF($G3651="","",IF(ISNA(MATCH($G3651,個別指定!$A:$A,0)),"行なし",""))</f>
        <v/>
      </c>
      <c r="N3651" s="2" t="str">
        <f aca="false">IF($G3651="","",IF(COUNTIF($G$2:$G$4460,$G3651)&gt;1,"重複",""))</f>
        <v/>
      </c>
    </row>
    <row r="3652" customFormat="false" ht="16.5" hidden="false" customHeight="true" outlineLevel="0" collapsed="false">
      <c r="A3652" s="2" t="s">
        <v>447</v>
      </c>
      <c r="B3652" s="2" t="s">
        <v>461</v>
      </c>
      <c r="C3652" s="2" t="s">
        <v>24</v>
      </c>
      <c r="D3652" s="2" t="str">
        <f aca="false">IF(4キー同時!$B$175="","",4キー同時!$B$175)</f>
        <v/>
      </c>
      <c r="E3652" s="2" t="str">
        <f aca="false">IF(4キー同時!$G$175="","",4キー同時!$G$175)</f>
        <v/>
      </c>
      <c r="F3652" s="2" t="str">
        <f aca="false">IF(4キー同時!$L$175="","",4キー同時!$L$175)</f>
        <v/>
      </c>
      <c r="G3652" s="2" t="str">
        <f aca="false">IF(OR(4キー同時!$B$175="",4キー同時!$G$175="",4キー同時!$L$175=""),"",IF(4キー同時!I181="","",SUBSTITUTE(SUBSTITUTE(4キー同時!I181," ",""),"　","")))</f>
        <v/>
      </c>
      <c r="H3652" s="2" t="str">
        <f aca="false">IF($G3652="","",4キー同時!$B$175)</f>
        <v/>
      </c>
      <c r="I3652" s="2" t="str">
        <f aca="false">IF($G3652="","",4キー同時!$G$175)</f>
        <v/>
      </c>
      <c r="J3652" s="2" t="str">
        <f aca="false">IF($G3652="","",4キー同時!$L$175)</f>
        <v/>
      </c>
      <c r="K3652" s="2" t="str">
        <f aca="false">IF($G3652="","","a")</f>
        <v/>
      </c>
      <c r="L3652" s="2" t="str">
        <f aca="false">IF($G3652="","","同時")</f>
        <v/>
      </c>
      <c r="M3652" s="2" t="str">
        <f aca="false">IF($G3652="","",IF(ISNA(MATCH($G3652,個別指定!$A:$A,0)),"行なし",""))</f>
        <v/>
      </c>
      <c r="N3652" s="2" t="str">
        <f aca="false">IF($G3652="","",IF(COUNTIF($G$2:$G$4460,$G3652)&gt;1,"重複",""))</f>
        <v/>
      </c>
    </row>
    <row r="3653" customFormat="false" ht="16.5" hidden="false" customHeight="true" outlineLevel="0" collapsed="false">
      <c r="A3653" s="2" t="s">
        <v>447</v>
      </c>
      <c r="B3653" s="2" t="s">
        <v>461</v>
      </c>
      <c r="C3653" s="2" t="s">
        <v>25</v>
      </c>
      <c r="D3653" s="2" t="str">
        <f aca="false">IF(4キー同時!$B$175="","",4キー同時!$B$175)</f>
        <v/>
      </c>
      <c r="E3653" s="2" t="str">
        <f aca="false">IF(4キー同時!$G$175="","",4キー同時!$G$175)</f>
        <v/>
      </c>
      <c r="F3653" s="2" t="str">
        <f aca="false">IF(4キー同時!$L$175="","",4キー同時!$L$175)</f>
        <v/>
      </c>
      <c r="G3653" s="2" t="str">
        <f aca="false">IF(OR(4キー同時!$B$175="",4キー同時!$G$175="",4キー同時!$L$175=""),"",IF(4キー同時!M181="","",SUBSTITUTE(SUBSTITUTE(4キー同時!M181," ",""),"　","")))</f>
        <v/>
      </c>
      <c r="H3653" s="2" t="str">
        <f aca="false">IF($G3653="","",4キー同時!$B$175)</f>
        <v/>
      </c>
      <c r="I3653" s="2" t="str">
        <f aca="false">IF($G3653="","",4キー同時!$G$175)</f>
        <v/>
      </c>
      <c r="J3653" s="2" t="str">
        <f aca="false">IF($G3653="","",4キー同時!$L$175)</f>
        <v/>
      </c>
      <c r="K3653" s="2" t="str">
        <f aca="false">IF($G3653="","","s")</f>
        <v/>
      </c>
      <c r="L3653" s="2" t="str">
        <f aca="false">IF($G3653="","","同時")</f>
        <v/>
      </c>
      <c r="M3653" s="2" t="str">
        <f aca="false">IF($G3653="","",IF(ISNA(MATCH($G3653,個別指定!$A:$A,0)),"行なし",""))</f>
        <v/>
      </c>
      <c r="N3653" s="2" t="str">
        <f aca="false">IF($G3653="","",IF(COUNTIF($G$2:$G$4460,$G3653)&gt;1,"重複",""))</f>
        <v/>
      </c>
    </row>
    <row r="3654" customFormat="false" ht="16.5" hidden="false" customHeight="true" outlineLevel="0" collapsed="false">
      <c r="A3654" s="2" t="s">
        <v>447</v>
      </c>
      <c r="B3654" s="2" t="s">
        <v>461</v>
      </c>
      <c r="C3654" s="2" t="s">
        <v>26</v>
      </c>
      <c r="D3654" s="2" t="str">
        <f aca="false">IF(4キー同時!$B$175="","",4キー同時!$B$175)</f>
        <v/>
      </c>
      <c r="E3654" s="2" t="str">
        <f aca="false">IF(4キー同時!$G$175="","",4キー同時!$G$175)</f>
        <v/>
      </c>
      <c r="F3654" s="2" t="str">
        <f aca="false">IF(4キー同時!$L$175="","",4キー同時!$L$175)</f>
        <v/>
      </c>
      <c r="G3654" s="2" t="str">
        <f aca="false">IF(OR(4キー同時!$B$175="",4キー同時!$G$175="",4キー同時!$L$175=""),"",IF(4キー同時!Q181="","",SUBSTITUTE(SUBSTITUTE(4キー同時!Q181," ",""),"　","")))</f>
        <v/>
      </c>
      <c r="H3654" s="2" t="str">
        <f aca="false">IF($G3654="","",4キー同時!$B$175)</f>
        <v/>
      </c>
      <c r="I3654" s="2" t="str">
        <f aca="false">IF($G3654="","",4キー同時!$G$175)</f>
        <v/>
      </c>
      <c r="J3654" s="2" t="str">
        <f aca="false">IF($G3654="","",4キー同時!$L$175)</f>
        <v/>
      </c>
      <c r="K3654" s="2" t="str">
        <f aca="false">IF($G3654="","","d")</f>
        <v/>
      </c>
      <c r="L3654" s="2" t="str">
        <f aca="false">IF($G3654="","","同時")</f>
        <v/>
      </c>
      <c r="M3654" s="2" t="str">
        <f aca="false">IF($G3654="","",IF(ISNA(MATCH($G3654,個別指定!$A:$A,0)),"行なし",""))</f>
        <v/>
      </c>
      <c r="N3654" s="2" t="str">
        <f aca="false">IF($G3654="","",IF(COUNTIF($G$2:$G$4460,$G3654)&gt;1,"重複",""))</f>
        <v/>
      </c>
    </row>
    <row r="3655" customFormat="false" ht="16.5" hidden="false" customHeight="true" outlineLevel="0" collapsed="false">
      <c r="A3655" s="2" t="s">
        <v>447</v>
      </c>
      <c r="B3655" s="2" t="s">
        <v>461</v>
      </c>
      <c r="C3655" s="2" t="s">
        <v>27</v>
      </c>
      <c r="D3655" s="2" t="str">
        <f aca="false">IF(4キー同時!$B$175="","",4キー同時!$B$175)</f>
        <v/>
      </c>
      <c r="E3655" s="2" t="str">
        <f aca="false">IF(4キー同時!$G$175="","",4キー同時!$G$175)</f>
        <v/>
      </c>
      <c r="F3655" s="2" t="str">
        <f aca="false">IF(4キー同時!$L$175="","",4キー同時!$L$175)</f>
        <v/>
      </c>
      <c r="G3655" s="2" t="str">
        <f aca="false">IF(OR(4キー同時!$B$175="",4キー同時!$G$175="",4キー同時!$L$175=""),"",IF(4キー同時!U181="","",SUBSTITUTE(SUBSTITUTE(4キー同時!U181," ",""),"　","")))</f>
        <v/>
      </c>
      <c r="H3655" s="2" t="str">
        <f aca="false">IF($G3655="","",4キー同時!$B$175)</f>
        <v/>
      </c>
      <c r="I3655" s="2" t="str">
        <f aca="false">IF($G3655="","",4キー同時!$G$175)</f>
        <v/>
      </c>
      <c r="J3655" s="2" t="str">
        <f aca="false">IF($G3655="","",4キー同時!$L$175)</f>
        <v/>
      </c>
      <c r="K3655" s="2" t="str">
        <f aca="false">IF($G3655="","","f")</f>
        <v/>
      </c>
      <c r="L3655" s="2" t="str">
        <f aca="false">IF($G3655="","","同時")</f>
        <v/>
      </c>
      <c r="M3655" s="2" t="str">
        <f aca="false">IF($G3655="","",IF(ISNA(MATCH($G3655,個別指定!$A:$A,0)),"行なし",""))</f>
        <v/>
      </c>
      <c r="N3655" s="2" t="str">
        <f aca="false">IF($G3655="","",IF(COUNTIF($G$2:$G$4460,$G3655)&gt;1,"重複",""))</f>
        <v/>
      </c>
    </row>
    <row r="3656" customFormat="false" ht="16.5" hidden="false" customHeight="true" outlineLevel="0" collapsed="false">
      <c r="A3656" s="2" t="s">
        <v>447</v>
      </c>
      <c r="B3656" s="2" t="s">
        <v>461</v>
      </c>
      <c r="C3656" s="2" t="s">
        <v>28</v>
      </c>
      <c r="D3656" s="2" t="str">
        <f aca="false">IF(4キー同時!$B$175="","",4キー同時!$B$175)</f>
        <v/>
      </c>
      <c r="E3656" s="2" t="str">
        <f aca="false">IF(4キー同時!$G$175="","",4キー同時!$G$175)</f>
        <v/>
      </c>
      <c r="F3656" s="2" t="str">
        <f aca="false">IF(4キー同時!$L$175="","",4キー同時!$L$175)</f>
        <v/>
      </c>
      <c r="G3656" s="2" t="str">
        <f aca="false">IF(OR(4キー同時!$B$175="",4キー同時!$G$175="",4キー同時!$L$175=""),"",IF(4キー同時!Y181="","",SUBSTITUTE(SUBSTITUTE(4キー同時!Y181," ",""),"　","")))</f>
        <v/>
      </c>
      <c r="H3656" s="2" t="str">
        <f aca="false">IF($G3656="","",4キー同時!$B$175)</f>
        <v/>
      </c>
      <c r="I3656" s="2" t="str">
        <f aca="false">IF($G3656="","",4キー同時!$G$175)</f>
        <v/>
      </c>
      <c r="J3656" s="2" t="str">
        <f aca="false">IF($G3656="","",4キー同時!$L$175)</f>
        <v/>
      </c>
      <c r="K3656" s="2" t="str">
        <f aca="false">IF($G3656="","","g")</f>
        <v/>
      </c>
      <c r="L3656" s="2" t="str">
        <f aca="false">IF($G3656="","","同時")</f>
        <v/>
      </c>
      <c r="M3656" s="2" t="str">
        <f aca="false">IF($G3656="","",IF(ISNA(MATCH($G3656,個別指定!$A:$A,0)),"行なし",""))</f>
        <v/>
      </c>
      <c r="N3656" s="2" t="str">
        <f aca="false">IF($G3656="","",IF(COUNTIF($G$2:$G$4460,$G3656)&gt;1,"重複",""))</f>
        <v/>
      </c>
    </row>
    <row r="3657" customFormat="false" ht="16.5" hidden="false" customHeight="true" outlineLevel="0" collapsed="false">
      <c r="A3657" s="2" t="s">
        <v>447</v>
      </c>
      <c r="B3657" s="2" t="s">
        <v>461</v>
      </c>
      <c r="C3657" s="2" t="s">
        <v>29</v>
      </c>
      <c r="D3657" s="2" t="str">
        <f aca="false">IF(4キー同時!$B$175="","",4キー同時!$B$175)</f>
        <v/>
      </c>
      <c r="E3657" s="2" t="str">
        <f aca="false">IF(4キー同時!$G$175="","",4キー同時!$G$175)</f>
        <v/>
      </c>
      <c r="F3657" s="2" t="str">
        <f aca="false">IF(4キー同時!$L$175="","",4キー同時!$L$175)</f>
        <v/>
      </c>
      <c r="G3657" s="2" t="str">
        <f aca="false">IF(OR(4キー同時!$B$175="",4キー同時!$G$175="",4キー同時!$L$175=""),"",IF(4キー同時!AC181="","",SUBSTITUTE(SUBSTITUTE(4キー同時!AC181," ",""),"　","")))</f>
        <v/>
      </c>
      <c r="H3657" s="2" t="str">
        <f aca="false">IF($G3657="","",4キー同時!$B$175)</f>
        <v/>
      </c>
      <c r="I3657" s="2" t="str">
        <f aca="false">IF($G3657="","",4キー同時!$G$175)</f>
        <v/>
      </c>
      <c r="J3657" s="2" t="str">
        <f aca="false">IF($G3657="","",4キー同時!$L$175)</f>
        <v/>
      </c>
      <c r="K3657" s="2" t="str">
        <f aca="false">IF($G3657="","","h")</f>
        <v/>
      </c>
      <c r="L3657" s="2" t="str">
        <f aca="false">IF($G3657="","","同時")</f>
        <v/>
      </c>
      <c r="M3657" s="2" t="str">
        <f aca="false">IF($G3657="","",IF(ISNA(MATCH($G3657,個別指定!$A:$A,0)),"行なし",""))</f>
        <v/>
      </c>
      <c r="N3657" s="2" t="str">
        <f aca="false">IF($G3657="","",IF(COUNTIF($G$2:$G$4460,$G3657)&gt;1,"重複",""))</f>
        <v/>
      </c>
    </row>
    <row r="3658" customFormat="false" ht="16.5" hidden="false" customHeight="true" outlineLevel="0" collapsed="false">
      <c r="A3658" s="2" t="s">
        <v>447</v>
      </c>
      <c r="B3658" s="2" t="s">
        <v>461</v>
      </c>
      <c r="C3658" s="2" t="s">
        <v>30</v>
      </c>
      <c r="D3658" s="2" t="str">
        <f aca="false">IF(4キー同時!$B$175="","",4キー同時!$B$175)</f>
        <v/>
      </c>
      <c r="E3658" s="2" t="str">
        <f aca="false">IF(4キー同時!$G$175="","",4キー同時!$G$175)</f>
        <v/>
      </c>
      <c r="F3658" s="2" t="str">
        <f aca="false">IF(4キー同時!$L$175="","",4キー同時!$L$175)</f>
        <v/>
      </c>
      <c r="G3658" s="2" t="str">
        <f aca="false">IF(OR(4キー同時!$B$175="",4キー同時!$G$175="",4キー同時!$L$175=""),"",IF(4キー同時!AG181="","",SUBSTITUTE(SUBSTITUTE(4キー同時!AG181," ",""),"　","")))</f>
        <v/>
      </c>
      <c r="H3658" s="2" t="str">
        <f aca="false">IF($G3658="","",4キー同時!$B$175)</f>
        <v/>
      </c>
      <c r="I3658" s="2" t="str">
        <f aca="false">IF($G3658="","",4キー同時!$G$175)</f>
        <v/>
      </c>
      <c r="J3658" s="2" t="str">
        <f aca="false">IF($G3658="","",4キー同時!$L$175)</f>
        <v/>
      </c>
      <c r="K3658" s="2" t="str">
        <f aca="false">IF($G3658="","","j")</f>
        <v/>
      </c>
      <c r="L3658" s="2" t="str">
        <f aca="false">IF($G3658="","","同時")</f>
        <v/>
      </c>
      <c r="M3658" s="2" t="str">
        <f aca="false">IF($G3658="","",IF(ISNA(MATCH($G3658,個別指定!$A:$A,0)),"行なし",""))</f>
        <v/>
      </c>
      <c r="N3658" s="2" t="str">
        <f aca="false">IF($G3658="","",IF(COUNTIF($G$2:$G$4460,$G3658)&gt;1,"重複",""))</f>
        <v/>
      </c>
    </row>
    <row r="3659" customFormat="false" ht="16.5" hidden="false" customHeight="true" outlineLevel="0" collapsed="false">
      <c r="A3659" s="2" t="s">
        <v>447</v>
      </c>
      <c r="B3659" s="2" t="s">
        <v>461</v>
      </c>
      <c r="C3659" s="2" t="s">
        <v>31</v>
      </c>
      <c r="D3659" s="2" t="str">
        <f aca="false">IF(4キー同時!$B$175="","",4キー同時!$B$175)</f>
        <v/>
      </c>
      <c r="E3659" s="2" t="str">
        <f aca="false">IF(4キー同時!$G$175="","",4キー同時!$G$175)</f>
        <v/>
      </c>
      <c r="F3659" s="2" t="str">
        <f aca="false">IF(4キー同時!$L$175="","",4キー同時!$L$175)</f>
        <v/>
      </c>
      <c r="G3659" s="2" t="str">
        <f aca="false">IF(OR(4キー同時!$B$175="",4キー同時!$G$175="",4キー同時!$L$175=""),"",IF(4キー同時!AK181="","",SUBSTITUTE(SUBSTITUTE(4キー同時!AK181," ",""),"　","")))</f>
        <v/>
      </c>
      <c r="H3659" s="2" t="str">
        <f aca="false">IF($G3659="","",4キー同時!$B$175)</f>
        <v/>
      </c>
      <c r="I3659" s="2" t="str">
        <f aca="false">IF($G3659="","",4キー同時!$G$175)</f>
        <v/>
      </c>
      <c r="J3659" s="2" t="str">
        <f aca="false">IF($G3659="","",4キー同時!$L$175)</f>
        <v/>
      </c>
      <c r="K3659" s="2" t="str">
        <f aca="false">IF($G3659="","","k")</f>
        <v/>
      </c>
      <c r="L3659" s="2" t="str">
        <f aca="false">IF($G3659="","","同時")</f>
        <v/>
      </c>
      <c r="M3659" s="2" t="str">
        <f aca="false">IF($G3659="","",IF(ISNA(MATCH($G3659,個別指定!$A:$A,0)),"行なし",""))</f>
        <v/>
      </c>
      <c r="N3659" s="2" t="str">
        <f aca="false">IF($G3659="","",IF(COUNTIF($G$2:$G$4460,$G3659)&gt;1,"重複",""))</f>
        <v/>
      </c>
    </row>
    <row r="3660" customFormat="false" ht="16.5" hidden="false" customHeight="true" outlineLevel="0" collapsed="false">
      <c r="A3660" s="2" t="s">
        <v>447</v>
      </c>
      <c r="B3660" s="2" t="s">
        <v>461</v>
      </c>
      <c r="C3660" s="2" t="s">
        <v>32</v>
      </c>
      <c r="D3660" s="2" t="str">
        <f aca="false">IF(4キー同時!$B$175="","",4キー同時!$B$175)</f>
        <v/>
      </c>
      <c r="E3660" s="2" t="str">
        <f aca="false">IF(4キー同時!$G$175="","",4キー同時!$G$175)</f>
        <v/>
      </c>
      <c r="F3660" s="2" t="str">
        <f aca="false">IF(4キー同時!$L$175="","",4キー同時!$L$175)</f>
        <v/>
      </c>
      <c r="G3660" s="2" t="str">
        <f aca="false">IF(OR(4キー同時!$B$175="",4キー同時!$G$175="",4キー同時!$L$175=""),"",IF(4キー同時!AO181="","",SUBSTITUTE(SUBSTITUTE(4キー同時!AO181," ",""),"　","")))</f>
        <v/>
      </c>
      <c r="H3660" s="2" t="str">
        <f aca="false">IF($G3660="","",4キー同時!$B$175)</f>
        <v/>
      </c>
      <c r="I3660" s="2" t="str">
        <f aca="false">IF($G3660="","",4キー同時!$G$175)</f>
        <v/>
      </c>
      <c r="J3660" s="2" t="str">
        <f aca="false">IF($G3660="","",4キー同時!$L$175)</f>
        <v/>
      </c>
      <c r="K3660" s="2" t="str">
        <f aca="false">IF($G3660="","","l")</f>
        <v/>
      </c>
      <c r="L3660" s="2" t="str">
        <f aca="false">IF($G3660="","","同時")</f>
        <v/>
      </c>
      <c r="M3660" s="2" t="str">
        <f aca="false">IF($G3660="","",IF(ISNA(MATCH($G3660,個別指定!$A:$A,0)),"行なし",""))</f>
        <v/>
      </c>
      <c r="N3660" s="2" t="str">
        <f aca="false">IF($G3660="","",IF(COUNTIF($G$2:$G$4460,$G3660)&gt;1,"重複",""))</f>
        <v/>
      </c>
    </row>
    <row r="3661" customFormat="false" ht="16.5" hidden="false" customHeight="true" outlineLevel="0" collapsed="false">
      <c r="A3661" s="2" t="s">
        <v>447</v>
      </c>
      <c r="B3661" s="2" t="s">
        <v>461</v>
      </c>
      <c r="C3661" s="2" t="s">
        <v>33</v>
      </c>
      <c r="D3661" s="2" t="str">
        <f aca="false">IF(4キー同時!$B$175="","",4キー同時!$B$175)</f>
        <v/>
      </c>
      <c r="E3661" s="2" t="str">
        <f aca="false">IF(4キー同時!$G$175="","",4キー同時!$G$175)</f>
        <v/>
      </c>
      <c r="F3661" s="2" t="str">
        <f aca="false">IF(4キー同時!$L$175="","",4キー同時!$L$175)</f>
        <v/>
      </c>
      <c r="G3661" s="2" t="str">
        <f aca="false">IF(OR(4キー同時!$B$175="",4キー同時!$G$175="",4キー同時!$L$175=""),"",IF(4キー同時!AS181="","",SUBSTITUTE(SUBSTITUTE(4キー同時!AS181," ",""),"　","")))</f>
        <v/>
      </c>
      <c r="H3661" s="2" t="str">
        <f aca="false">IF($G3661="","",4キー同時!$B$175)</f>
        <v/>
      </c>
      <c r="I3661" s="2" t="str">
        <f aca="false">IF($G3661="","",4キー同時!$G$175)</f>
        <v/>
      </c>
      <c r="J3661" s="2" t="str">
        <f aca="false">IF($G3661="","",4キー同時!$L$175)</f>
        <v/>
      </c>
      <c r="K3661" s="2" t="str">
        <f aca="false">IF($G3661="","",";")</f>
        <v/>
      </c>
      <c r="L3661" s="2" t="str">
        <f aca="false">IF($G3661="","","同時")</f>
        <v/>
      </c>
      <c r="M3661" s="2" t="str">
        <f aca="false">IF($G3661="","",IF(ISNA(MATCH($G3661,個別指定!$A:$A,0)),"行なし",""))</f>
        <v/>
      </c>
      <c r="N3661" s="2" t="str">
        <f aca="false">IF($G3661="","",IF(COUNTIF($G$2:$G$4460,$G3661)&gt;1,"重複",""))</f>
        <v/>
      </c>
    </row>
    <row r="3662" customFormat="false" ht="16.5" hidden="false" customHeight="true" outlineLevel="0" collapsed="false">
      <c r="A3662" s="2" t="s">
        <v>447</v>
      </c>
      <c r="B3662" s="2" t="s">
        <v>461</v>
      </c>
      <c r="C3662" s="2" t="s">
        <v>34</v>
      </c>
      <c r="D3662" s="2" t="str">
        <f aca="false">IF(4キー同時!$B$175="","",4キー同時!$B$175)</f>
        <v/>
      </c>
      <c r="E3662" s="2" t="str">
        <f aca="false">IF(4キー同時!$G$175="","",4キー同時!$G$175)</f>
        <v/>
      </c>
      <c r="F3662" s="2" t="str">
        <f aca="false">IF(4キー同時!$L$175="","",4キー同時!$L$175)</f>
        <v/>
      </c>
      <c r="G3662" s="2" t="str">
        <f aca="false">IF(OR(4キー同時!$B$175="",4キー同時!$G$175="",4キー同時!$L$175=""),"",IF(4キー同時!AW181="","",SUBSTITUTE(SUBSTITUTE(4キー同時!AW181," ",""),"　","")))</f>
        <v/>
      </c>
      <c r="H3662" s="2" t="str">
        <f aca="false">IF($G3662="","",4キー同時!$B$175)</f>
        <v/>
      </c>
      <c r="I3662" s="2" t="str">
        <f aca="false">IF($G3662="","",4キー同時!$G$175)</f>
        <v/>
      </c>
      <c r="J3662" s="2" t="str">
        <f aca="false">IF($G3662="","",4キー同時!$L$175)</f>
        <v/>
      </c>
      <c r="K3662" s="2" t="str">
        <f aca="false">IF($G3662="","","'")</f>
        <v/>
      </c>
      <c r="L3662" s="2" t="str">
        <f aca="false">IF($G3662="","","同時")</f>
        <v/>
      </c>
      <c r="M3662" s="2" t="str">
        <f aca="false">IF($G3662="","",IF(ISNA(MATCH($G3662,個別指定!$A:$A,0)),"行なし",""))</f>
        <v/>
      </c>
      <c r="N3662" s="2" t="str">
        <f aca="false">IF($G3662="","",IF(COUNTIF($G$2:$G$4460,$G3662)&gt;1,"重複",""))</f>
        <v/>
      </c>
    </row>
    <row r="3663" customFormat="false" ht="16.5" hidden="false" customHeight="true" outlineLevel="0" collapsed="false">
      <c r="A3663" s="2" t="s">
        <v>447</v>
      </c>
      <c r="B3663" s="2" t="s">
        <v>461</v>
      </c>
      <c r="C3663" s="2" t="s">
        <v>35</v>
      </c>
      <c r="D3663" s="2" t="str">
        <f aca="false">IF(4キー同時!$B$175="","",4キー同時!$B$175)</f>
        <v/>
      </c>
      <c r="E3663" s="2" t="str">
        <f aca="false">IF(4キー同時!$G$175="","",4キー同時!$G$175)</f>
        <v/>
      </c>
      <c r="F3663" s="2" t="str">
        <f aca="false">IF(4キー同時!$L$175="","",4キー同時!$L$175)</f>
        <v/>
      </c>
      <c r="G3663" s="2" t="str">
        <f aca="false">IF(OR(4キー同時!$B$175="",4キー同時!$G$175="",4キー同時!$L$175=""),"",IF(4キー同時!K183="","",SUBSTITUTE(SUBSTITUTE(4キー同時!K183," ",""),"　","")))</f>
        <v/>
      </c>
      <c r="H3663" s="2" t="str">
        <f aca="false">IF($G3663="","",4キー同時!$B$175)</f>
        <v/>
      </c>
      <c r="I3663" s="2" t="str">
        <f aca="false">IF($G3663="","",4キー同時!$G$175)</f>
        <v/>
      </c>
      <c r="J3663" s="2" t="str">
        <f aca="false">IF($G3663="","",4キー同時!$L$175)</f>
        <v/>
      </c>
      <c r="K3663" s="2" t="str">
        <f aca="false">IF($G3663="","","z")</f>
        <v/>
      </c>
      <c r="L3663" s="2" t="str">
        <f aca="false">IF($G3663="","","同時")</f>
        <v/>
      </c>
      <c r="M3663" s="2" t="str">
        <f aca="false">IF($G3663="","",IF(ISNA(MATCH($G3663,個別指定!$A:$A,0)),"行なし",""))</f>
        <v/>
      </c>
      <c r="N3663" s="2" t="str">
        <f aca="false">IF($G3663="","",IF(COUNTIF($G$2:$G$4460,$G3663)&gt;1,"重複",""))</f>
        <v/>
      </c>
    </row>
    <row r="3664" customFormat="false" ht="16.5" hidden="false" customHeight="true" outlineLevel="0" collapsed="false">
      <c r="A3664" s="2" t="s">
        <v>447</v>
      </c>
      <c r="B3664" s="2" t="s">
        <v>461</v>
      </c>
      <c r="C3664" s="2" t="s">
        <v>36</v>
      </c>
      <c r="D3664" s="2" t="str">
        <f aca="false">IF(4キー同時!$B$175="","",4キー同時!$B$175)</f>
        <v/>
      </c>
      <c r="E3664" s="2" t="str">
        <f aca="false">IF(4キー同時!$G$175="","",4キー同時!$G$175)</f>
        <v/>
      </c>
      <c r="F3664" s="2" t="str">
        <f aca="false">IF(4キー同時!$L$175="","",4キー同時!$L$175)</f>
        <v/>
      </c>
      <c r="G3664" s="2" t="str">
        <f aca="false">IF(OR(4キー同時!$B$175="",4キー同時!$G$175="",4キー同時!$L$175=""),"",IF(4キー同時!O183="","",SUBSTITUTE(SUBSTITUTE(4キー同時!O183," ",""),"　","")))</f>
        <v/>
      </c>
      <c r="H3664" s="2" t="str">
        <f aca="false">IF($G3664="","",4キー同時!$B$175)</f>
        <v/>
      </c>
      <c r="I3664" s="2" t="str">
        <f aca="false">IF($G3664="","",4キー同時!$G$175)</f>
        <v/>
      </c>
      <c r="J3664" s="2" t="str">
        <f aca="false">IF($G3664="","",4キー同時!$L$175)</f>
        <v/>
      </c>
      <c r="K3664" s="2" t="str">
        <f aca="false">IF($G3664="","","x")</f>
        <v/>
      </c>
      <c r="L3664" s="2" t="str">
        <f aca="false">IF($G3664="","","同時")</f>
        <v/>
      </c>
      <c r="M3664" s="2" t="str">
        <f aca="false">IF($G3664="","",IF(ISNA(MATCH($G3664,個別指定!$A:$A,0)),"行なし",""))</f>
        <v/>
      </c>
      <c r="N3664" s="2" t="str">
        <f aca="false">IF($G3664="","",IF(COUNTIF($G$2:$G$4460,$G3664)&gt;1,"重複",""))</f>
        <v/>
      </c>
    </row>
    <row r="3665" customFormat="false" ht="16.5" hidden="false" customHeight="true" outlineLevel="0" collapsed="false">
      <c r="A3665" s="2" t="s">
        <v>447</v>
      </c>
      <c r="B3665" s="2" t="s">
        <v>461</v>
      </c>
      <c r="C3665" s="2" t="s">
        <v>37</v>
      </c>
      <c r="D3665" s="2" t="str">
        <f aca="false">IF(4キー同時!$B$175="","",4キー同時!$B$175)</f>
        <v/>
      </c>
      <c r="E3665" s="2" t="str">
        <f aca="false">IF(4キー同時!$G$175="","",4キー同時!$G$175)</f>
        <v/>
      </c>
      <c r="F3665" s="2" t="str">
        <f aca="false">IF(4キー同時!$L$175="","",4キー同時!$L$175)</f>
        <v/>
      </c>
      <c r="G3665" s="2" t="str">
        <f aca="false">IF(OR(4キー同時!$B$175="",4キー同時!$G$175="",4キー同時!$L$175=""),"",IF(4キー同時!S183="","",SUBSTITUTE(SUBSTITUTE(4キー同時!S183," ",""),"　","")))</f>
        <v/>
      </c>
      <c r="H3665" s="2" t="str">
        <f aca="false">IF($G3665="","",4キー同時!$B$175)</f>
        <v/>
      </c>
      <c r="I3665" s="2" t="str">
        <f aca="false">IF($G3665="","",4キー同時!$G$175)</f>
        <v/>
      </c>
      <c r="J3665" s="2" t="str">
        <f aca="false">IF($G3665="","",4キー同時!$L$175)</f>
        <v/>
      </c>
      <c r="K3665" s="2" t="str">
        <f aca="false">IF($G3665="","","c")</f>
        <v/>
      </c>
      <c r="L3665" s="2" t="str">
        <f aca="false">IF($G3665="","","同時")</f>
        <v/>
      </c>
      <c r="M3665" s="2" t="str">
        <f aca="false">IF($G3665="","",IF(ISNA(MATCH($G3665,個別指定!$A:$A,0)),"行なし",""))</f>
        <v/>
      </c>
      <c r="N3665" s="2" t="str">
        <f aca="false">IF($G3665="","",IF(COUNTIF($G$2:$G$4460,$G3665)&gt;1,"重複",""))</f>
        <v/>
      </c>
    </row>
    <row r="3666" customFormat="false" ht="16.5" hidden="false" customHeight="true" outlineLevel="0" collapsed="false">
      <c r="A3666" s="2" t="s">
        <v>447</v>
      </c>
      <c r="B3666" s="2" t="s">
        <v>461</v>
      </c>
      <c r="C3666" s="2" t="s">
        <v>38</v>
      </c>
      <c r="D3666" s="2" t="str">
        <f aca="false">IF(4キー同時!$B$175="","",4キー同時!$B$175)</f>
        <v/>
      </c>
      <c r="E3666" s="2" t="str">
        <f aca="false">IF(4キー同時!$G$175="","",4キー同時!$G$175)</f>
        <v/>
      </c>
      <c r="F3666" s="2" t="str">
        <f aca="false">IF(4キー同時!$L$175="","",4キー同時!$L$175)</f>
        <v/>
      </c>
      <c r="G3666" s="2" t="str">
        <f aca="false">IF(OR(4キー同時!$B$175="",4キー同時!$G$175="",4キー同時!$L$175=""),"",IF(4キー同時!W183="","",SUBSTITUTE(SUBSTITUTE(4キー同時!W183," ",""),"　","")))</f>
        <v/>
      </c>
      <c r="H3666" s="2" t="str">
        <f aca="false">IF($G3666="","",4キー同時!$B$175)</f>
        <v/>
      </c>
      <c r="I3666" s="2" t="str">
        <f aca="false">IF($G3666="","",4キー同時!$G$175)</f>
        <v/>
      </c>
      <c r="J3666" s="2" t="str">
        <f aca="false">IF($G3666="","",4キー同時!$L$175)</f>
        <v/>
      </c>
      <c r="K3666" s="2" t="str">
        <f aca="false">IF($G3666="","","v")</f>
        <v/>
      </c>
      <c r="L3666" s="2" t="str">
        <f aca="false">IF($G3666="","","同時")</f>
        <v/>
      </c>
      <c r="M3666" s="2" t="str">
        <f aca="false">IF($G3666="","",IF(ISNA(MATCH($G3666,個別指定!$A:$A,0)),"行なし",""))</f>
        <v/>
      </c>
      <c r="N3666" s="2" t="str">
        <f aca="false">IF($G3666="","",IF(COUNTIF($G$2:$G$4460,$G3666)&gt;1,"重複",""))</f>
        <v/>
      </c>
    </row>
    <row r="3667" customFormat="false" ht="16.5" hidden="false" customHeight="true" outlineLevel="0" collapsed="false">
      <c r="A3667" s="2" t="s">
        <v>447</v>
      </c>
      <c r="B3667" s="2" t="s">
        <v>461</v>
      </c>
      <c r="C3667" s="2" t="s">
        <v>39</v>
      </c>
      <c r="D3667" s="2" t="str">
        <f aca="false">IF(4キー同時!$B$175="","",4キー同時!$B$175)</f>
        <v/>
      </c>
      <c r="E3667" s="2" t="str">
        <f aca="false">IF(4キー同時!$G$175="","",4キー同時!$G$175)</f>
        <v/>
      </c>
      <c r="F3667" s="2" t="str">
        <f aca="false">IF(4キー同時!$L$175="","",4キー同時!$L$175)</f>
        <v/>
      </c>
      <c r="G3667" s="2" t="str">
        <f aca="false">IF(OR(4キー同時!$B$175="",4キー同時!$G$175="",4キー同時!$L$175=""),"",IF(4キー同時!AA183="","",SUBSTITUTE(SUBSTITUTE(4キー同時!AA183," ",""),"　","")))</f>
        <v/>
      </c>
      <c r="H3667" s="2" t="str">
        <f aca="false">IF($G3667="","",4キー同時!$B$175)</f>
        <v/>
      </c>
      <c r="I3667" s="2" t="str">
        <f aca="false">IF($G3667="","",4キー同時!$G$175)</f>
        <v/>
      </c>
      <c r="J3667" s="2" t="str">
        <f aca="false">IF($G3667="","",4キー同時!$L$175)</f>
        <v/>
      </c>
      <c r="K3667" s="2" t="str">
        <f aca="false">IF($G3667="","","b")</f>
        <v/>
      </c>
      <c r="L3667" s="2" t="str">
        <f aca="false">IF($G3667="","","同時")</f>
        <v/>
      </c>
      <c r="M3667" s="2" t="str">
        <f aca="false">IF($G3667="","",IF(ISNA(MATCH($G3667,個別指定!$A:$A,0)),"行なし",""))</f>
        <v/>
      </c>
      <c r="N3667" s="2" t="str">
        <f aca="false">IF($G3667="","",IF(COUNTIF($G$2:$G$4460,$G3667)&gt;1,"重複",""))</f>
        <v/>
      </c>
    </row>
    <row r="3668" customFormat="false" ht="16.5" hidden="false" customHeight="true" outlineLevel="0" collapsed="false">
      <c r="A3668" s="2" t="s">
        <v>447</v>
      </c>
      <c r="B3668" s="2" t="s">
        <v>461</v>
      </c>
      <c r="C3668" s="2" t="s">
        <v>40</v>
      </c>
      <c r="D3668" s="2" t="str">
        <f aca="false">IF(4キー同時!$B$175="","",4キー同時!$B$175)</f>
        <v/>
      </c>
      <c r="E3668" s="2" t="str">
        <f aca="false">IF(4キー同時!$G$175="","",4キー同時!$G$175)</f>
        <v/>
      </c>
      <c r="F3668" s="2" t="str">
        <f aca="false">IF(4キー同時!$L$175="","",4キー同時!$L$175)</f>
        <v/>
      </c>
      <c r="G3668" s="2" t="str">
        <f aca="false">IF(OR(4キー同時!$B$175="",4キー同時!$G$175="",4キー同時!$L$175=""),"",IF(4キー同時!AE183="","",SUBSTITUTE(SUBSTITUTE(4キー同時!AE183," ",""),"　","")))</f>
        <v/>
      </c>
      <c r="H3668" s="2" t="str">
        <f aca="false">IF($G3668="","",4キー同時!$B$175)</f>
        <v/>
      </c>
      <c r="I3668" s="2" t="str">
        <f aca="false">IF($G3668="","",4キー同時!$G$175)</f>
        <v/>
      </c>
      <c r="J3668" s="2" t="str">
        <f aca="false">IF($G3668="","",4キー同時!$L$175)</f>
        <v/>
      </c>
      <c r="K3668" s="2" t="str">
        <f aca="false">IF($G3668="","","n")</f>
        <v/>
      </c>
      <c r="L3668" s="2" t="str">
        <f aca="false">IF($G3668="","","同時")</f>
        <v/>
      </c>
      <c r="M3668" s="2" t="str">
        <f aca="false">IF($G3668="","",IF(ISNA(MATCH($G3668,個別指定!$A:$A,0)),"行なし",""))</f>
        <v/>
      </c>
      <c r="N3668" s="2" t="str">
        <f aca="false">IF($G3668="","",IF(COUNTIF($G$2:$G$4460,$G3668)&gt;1,"重複",""))</f>
        <v/>
      </c>
    </row>
    <row r="3669" customFormat="false" ht="16.5" hidden="false" customHeight="true" outlineLevel="0" collapsed="false">
      <c r="A3669" s="2" t="s">
        <v>447</v>
      </c>
      <c r="B3669" s="2" t="s">
        <v>461</v>
      </c>
      <c r="C3669" s="2" t="s">
        <v>41</v>
      </c>
      <c r="D3669" s="2" t="str">
        <f aca="false">IF(4キー同時!$B$175="","",4キー同時!$B$175)</f>
        <v/>
      </c>
      <c r="E3669" s="2" t="str">
        <f aca="false">IF(4キー同時!$G$175="","",4キー同時!$G$175)</f>
        <v/>
      </c>
      <c r="F3669" s="2" t="str">
        <f aca="false">IF(4キー同時!$L$175="","",4キー同時!$L$175)</f>
        <v/>
      </c>
      <c r="G3669" s="2" t="str">
        <f aca="false">IF(OR(4キー同時!$B$175="",4キー同時!$G$175="",4キー同時!$L$175=""),"",IF(4キー同時!AI183="","",SUBSTITUTE(SUBSTITUTE(4キー同時!AI183," ",""),"　","")))</f>
        <v/>
      </c>
      <c r="H3669" s="2" t="str">
        <f aca="false">IF($G3669="","",4キー同時!$B$175)</f>
        <v/>
      </c>
      <c r="I3669" s="2" t="str">
        <f aca="false">IF($G3669="","",4キー同時!$G$175)</f>
        <v/>
      </c>
      <c r="J3669" s="2" t="str">
        <f aca="false">IF($G3669="","",4キー同時!$L$175)</f>
        <v/>
      </c>
      <c r="K3669" s="2" t="str">
        <f aca="false">IF($G3669="","","m")</f>
        <v/>
      </c>
      <c r="L3669" s="2" t="str">
        <f aca="false">IF($G3669="","","同時")</f>
        <v/>
      </c>
      <c r="M3669" s="2" t="str">
        <f aca="false">IF($G3669="","",IF(ISNA(MATCH($G3669,個別指定!$A:$A,0)),"行なし",""))</f>
        <v/>
      </c>
      <c r="N3669" s="2" t="str">
        <f aca="false">IF($G3669="","",IF(COUNTIF($G$2:$G$4460,$G3669)&gt;1,"重複",""))</f>
        <v/>
      </c>
    </row>
    <row r="3670" customFormat="false" ht="16.5" hidden="false" customHeight="true" outlineLevel="0" collapsed="false">
      <c r="A3670" s="2" t="s">
        <v>447</v>
      </c>
      <c r="B3670" s="2" t="s">
        <v>461</v>
      </c>
      <c r="C3670" s="2" t="s">
        <v>42</v>
      </c>
      <c r="D3670" s="2" t="str">
        <f aca="false">IF(4キー同時!$B$175="","",4キー同時!$B$175)</f>
        <v/>
      </c>
      <c r="E3670" s="2" t="str">
        <f aca="false">IF(4キー同時!$G$175="","",4キー同時!$G$175)</f>
        <v/>
      </c>
      <c r="F3670" s="2" t="str">
        <f aca="false">IF(4キー同時!$L$175="","",4キー同時!$L$175)</f>
        <v/>
      </c>
      <c r="G3670" s="2" t="str">
        <f aca="false">IF(OR(4キー同時!$B$175="",4キー同時!$G$175="",4キー同時!$L$175=""),"",IF(4キー同時!AM183="","",SUBSTITUTE(SUBSTITUTE(4キー同時!AM183," ",""),"　","")))</f>
        <v/>
      </c>
      <c r="H3670" s="2" t="str">
        <f aca="false">IF($G3670="","",4キー同時!$B$175)</f>
        <v/>
      </c>
      <c r="I3670" s="2" t="str">
        <f aca="false">IF($G3670="","",4キー同時!$G$175)</f>
        <v/>
      </c>
      <c r="J3670" s="2" t="str">
        <f aca="false">IF($G3670="","",4キー同時!$L$175)</f>
        <v/>
      </c>
      <c r="K3670" s="2" t="str">
        <f aca="false">IF($G3670="","",",")</f>
        <v/>
      </c>
      <c r="L3670" s="2" t="str">
        <f aca="false">IF($G3670="","","同時")</f>
        <v/>
      </c>
      <c r="M3670" s="2" t="str">
        <f aca="false">IF($G3670="","",IF(ISNA(MATCH($G3670,個別指定!$A:$A,0)),"行なし",""))</f>
        <v/>
      </c>
      <c r="N3670" s="2" t="str">
        <f aca="false">IF($G3670="","",IF(COUNTIF($G$2:$G$4460,$G3670)&gt;1,"重複",""))</f>
        <v/>
      </c>
    </row>
    <row r="3671" customFormat="false" ht="16.5" hidden="false" customHeight="true" outlineLevel="0" collapsed="false">
      <c r="A3671" s="2" t="s">
        <v>447</v>
      </c>
      <c r="B3671" s="2" t="s">
        <v>461</v>
      </c>
      <c r="C3671" s="2" t="s">
        <v>43</v>
      </c>
      <c r="D3671" s="2" t="str">
        <f aca="false">IF(4キー同時!$B$175="","",4キー同時!$B$175)</f>
        <v/>
      </c>
      <c r="E3671" s="2" t="str">
        <f aca="false">IF(4キー同時!$G$175="","",4キー同時!$G$175)</f>
        <v/>
      </c>
      <c r="F3671" s="2" t="str">
        <f aca="false">IF(4キー同時!$L$175="","",4キー同時!$L$175)</f>
        <v/>
      </c>
      <c r="G3671" s="2" t="str">
        <f aca="false">IF(OR(4キー同時!$B$175="",4キー同時!$G$175="",4キー同時!$L$175=""),"",IF(4キー同時!AQ183="","",SUBSTITUTE(SUBSTITUTE(4キー同時!AQ183," ",""),"　","")))</f>
        <v/>
      </c>
      <c r="H3671" s="2" t="str">
        <f aca="false">IF($G3671="","",4キー同時!$B$175)</f>
        <v/>
      </c>
      <c r="I3671" s="2" t="str">
        <f aca="false">IF($G3671="","",4キー同時!$G$175)</f>
        <v/>
      </c>
      <c r="J3671" s="2" t="str">
        <f aca="false">IF($G3671="","",4キー同時!$L$175)</f>
        <v/>
      </c>
      <c r="K3671" s="2" t="str">
        <f aca="false">IF($G3671="","",".")</f>
        <v/>
      </c>
      <c r="L3671" s="2" t="str">
        <f aca="false">IF($G3671="","","同時")</f>
        <v/>
      </c>
      <c r="M3671" s="2" t="str">
        <f aca="false">IF($G3671="","",IF(ISNA(MATCH($G3671,個別指定!$A:$A,0)),"行なし",""))</f>
        <v/>
      </c>
      <c r="N3671" s="2" t="str">
        <f aca="false">IF($G3671="","",IF(COUNTIF($G$2:$G$4460,$G3671)&gt;1,"重複",""))</f>
        <v/>
      </c>
    </row>
    <row r="3672" customFormat="false" ht="16.5" hidden="false" customHeight="true" outlineLevel="0" collapsed="false">
      <c r="A3672" s="2" t="s">
        <v>447</v>
      </c>
      <c r="B3672" s="2" t="s">
        <v>461</v>
      </c>
      <c r="C3672" s="2" t="s">
        <v>44</v>
      </c>
      <c r="D3672" s="2" t="str">
        <f aca="false">IF(4キー同時!$B$175="","",4キー同時!$B$175)</f>
        <v/>
      </c>
      <c r="E3672" s="2" t="str">
        <f aca="false">IF(4キー同時!$G$175="","",4キー同時!$G$175)</f>
        <v/>
      </c>
      <c r="F3672" s="2" t="str">
        <f aca="false">IF(4キー同時!$L$175="","",4キー同時!$L$175)</f>
        <v/>
      </c>
      <c r="G3672" s="2" t="str">
        <f aca="false">IF(OR(4キー同時!$B$175="",4キー同時!$G$175="",4キー同時!$L$175=""),"",IF(4キー同時!AU183="","",SUBSTITUTE(SUBSTITUTE(4キー同時!AU183," ",""),"　","")))</f>
        <v/>
      </c>
      <c r="H3672" s="2" t="str">
        <f aca="false">IF($G3672="","",4キー同時!$B$175)</f>
        <v/>
      </c>
      <c r="I3672" s="2" t="str">
        <f aca="false">IF($G3672="","",4キー同時!$G$175)</f>
        <v/>
      </c>
      <c r="J3672" s="2" t="str">
        <f aca="false">IF($G3672="","",4キー同時!$L$175)</f>
        <v/>
      </c>
      <c r="K3672" s="2" t="str">
        <f aca="false">IF($G3672="","","/")</f>
        <v/>
      </c>
      <c r="L3672" s="2" t="str">
        <f aca="false">IF($G3672="","","同時")</f>
        <v/>
      </c>
      <c r="M3672" s="2" t="str">
        <f aca="false">IF($G3672="","",IF(ISNA(MATCH($G3672,個別指定!$A:$A,0)),"行なし",""))</f>
        <v/>
      </c>
      <c r="N3672" s="2" t="str">
        <f aca="false">IF($G3672="","",IF(COUNTIF($G$2:$G$4460,$G3672)&gt;1,"重複",""))</f>
        <v/>
      </c>
    </row>
    <row r="3673" customFormat="false" ht="16.5" hidden="false" customHeight="true" outlineLevel="0" collapsed="false">
      <c r="A3673" s="2" t="s">
        <v>447</v>
      </c>
      <c r="B3673" s="2" t="s">
        <v>461</v>
      </c>
      <c r="C3673" s="2" t="s">
        <v>48</v>
      </c>
      <c r="D3673" s="2" t="str">
        <f aca="false">IF(4キー同時!$B$175="","",4キー同時!$B$175)</f>
        <v/>
      </c>
      <c r="E3673" s="2" t="str">
        <f aca="false">IF(4キー同時!$G$175="","",4キー同時!$G$175)</f>
        <v/>
      </c>
      <c r="F3673" s="2" t="str">
        <f aca="false">IF(4キー同時!$L$175="","",4キー同時!$L$175)</f>
        <v/>
      </c>
      <c r="G3673" s="2" t="str">
        <f aca="false">IF(OR(4キー同時!$B$175="",4キー同時!$G$175="",4キー同時!$L$175=""),"",IF(4キー同時!P185="","",SUBSTITUTE(SUBSTITUTE(4キー同時!P185," ",""),"　","")))</f>
        <v/>
      </c>
      <c r="H3673" s="2" t="str">
        <f aca="false">IF($G3673="","",4キー同時!$B$175)</f>
        <v/>
      </c>
      <c r="I3673" s="2" t="str">
        <f aca="false">IF($G3673="","",4キー同時!$G$175)</f>
        <v/>
      </c>
      <c r="J3673" s="2" t="str">
        <f aca="false">IF($G3673="","",4キー同時!$L$175)</f>
        <v/>
      </c>
      <c r="K3673" s="2" t="str">
        <f aca="false">IF($G3673="","","muhenkan")</f>
        <v/>
      </c>
      <c r="L3673" s="2" t="str">
        <f aca="false">IF($G3673="","","同時")</f>
        <v/>
      </c>
      <c r="M3673" s="2" t="str">
        <f aca="false">IF($G3673="","",IF(ISNA(MATCH($G3673,個別指定!$A:$A,0)),"行なし",""))</f>
        <v/>
      </c>
      <c r="N3673" s="2" t="str">
        <f aca="false">IF($G3673="","",IF(COUNTIF($G$2:$G$4460,$G3673)&gt;1,"重複",""))</f>
        <v/>
      </c>
    </row>
    <row r="3674" customFormat="false" ht="16.5" hidden="false" customHeight="true" outlineLevel="0" collapsed="false">
      <c r="A3674" s="2" t="s">
        <v>447</v>
      </c>
      <c r="B3674" s="2" t="s">
        <v>461</v>
      </c>
      <c r="C3674" s="2" t="s">
        <v>50</v>
      </c>
      <c r="D3674" s="2" t="str">
        <f aca="false">IF(4キー同時!$B$175="","",4キー同時!$B$175)</f>
        <v/>
      </c>
      <c r="E3674" s="2" t="str">
        <f aca="false">IF(4キー同時!$G$175="","",4キー同時!$G$175)</f>
        <v/>
      </c>
      <c r="F3674" s="2" t="str">
        <f aca="false">IF(4キー同時!$L$175="","",4キー同時!$L$175)</f>
        <v/>
      </c>
      <c r="G3674" s="2" t="str">
        <f aca="false">IF(OR(4キー同時!$B$175="",4キー同時!$G$175="",4キー同時!$L$175=""),"",IF(4キー同時!T185="","",SUBSTITUTE(SUBSTITUTE(4キー同時!T185," ",""),"　","")))</f>
        <v/>
      </c>
      <c r="H3674" s="2" t="str">
        <f aca="false">IF($G3674="","",4キー同時!$B$175)</f>
        <v/>
      </c>
      <c r="I3674" s="2" t="str">
        <f aca="false">IF($G3674="","",4キー同時!$G$175)</f>
        <v/>
      </c>
      <c r="J3674" s="2" t="str">
        <f aca="false">IF($G3674="","",4キー同時!$L$175)</f>
        <v/>
      </c>
      <c r="K3674" s="2" t="str">
        <f aca="false">IF($G3674="","","space")</f>
        <v/>
      </c>
      <c r="L3674" s="2" t="str">
        <f aca="false">IF($G3674="","","同時")</f>
        <v/>
      </c>
      <c r="M3674" s="2" t="str">
        <f aca="false">IF($G3674="","",IF(ISNA(MATCH($G3674,個別指定!$A:$A,0)),"行なし",""))</f>
        <v/>
      </c>
      <c r="N3674" s="2" t="str">
        <f aca="false">IF($G3674="","",IF(COUNTIF($G$2:$G$4460,$G3674)&gt;1,"重複",""))</f>
        <v/>
      </c>
    </row>
    <row r="3675" customFormat="false" ht="16.5" hidden="false" customHeight="true" outlineLevel="0" collapsed="false">
      <c r="A3675" s="2" t="s">
        <v>447</v>
      </c>
      <c r="B3675" s="2" t="s">
        <v>461</v>
      </c>
      <c r="C3675" s="2" t="s">
        <v>45</v>
      </c>
      <c r="D3675" s="2" t="str">
        <f aca="false">IF(4キー同時!$B$175="","",4キー同時!$B$175)</f>
        <v/>
      </c>
      <c r="E3675" s="2" t="str">
        <f aca="false">IF(4キー同時!$G$175="","",4キー同時!$G$175)</f>
        <v/>
      </c>
      <c r="F3675" s="2" t="str">
        <f aca="false">IF(4キー同時!$L$175="","",4キー同時!$L$175)</f>
        <v/>
      </c>
      <c r="G3675" s="2" t="str">
        <f aca="false">IF(OR(4キー同時!$B$175="",4キー同時!$G$175="",4キー同時!$L$175=""),"",IF(4キー同時!AL185="","",SUBSTITUTE(SUBSTITUTE(4キー同時!AL185," ",""),"　","")))</f>
        <v/>
      </c>
      <c r="H3675" s="2" t="str">
        <f aca="false">IF($G3675="","",4キー同時!$B$175)</f>
        <v/>
      </c>
      <c r="I3675" s="2" t="str">
        <f aca="false">IF($G3675="","",4キー同時!$G$175)</f>
        <v/>
      </c>
      <c r="J3675" s="2" t="str">
        <f aca="false">IF($G3675="","",4キー同時!$L$175)</f>
        <v/>
      </c>
      <c r="K3675" s="2" t="str">
        <f aca="false">IF($G3675="","","henkan")</f>
        <v/>
      </c>
      <c r="L3675" s="2" t="str">
        <f aca="false">IF($G3675="","","同時")</f>
        <v/>
      </c>
      <c r="M3675" s="2" t="str">
        <f aca="false">IF($G3675="","",IF(ISNA(MATCH($G3675,個別指定!$A:$A,0)),"行なし",""))</f>
        <v/>
      </c>
      <c r="N3675" s="2" t="str">
        <f aca="false">IF($G3675="","",IF(COUNTIF($G$2:$G$4460,$G3675)&gt;1,"重複",""))</f>
        <v/>
      </c>
    </row>
    <row r="3676" customFormat="false" ht="16.5" hidden="false" customHeight="true" outlineLevel="0" collapsed="false">
      <c r="A3676" s="2" t="s">
        <v>447</v>
      </c>
      <c r="B3676" s="2" t="s">
        <v>461</v>
      </c>
      <c r="C3676" s="2" t="s">
        <v>46</v>
      </c>
      <c r="D3676" s="2" t="str">
        <f aca="false">IF(4キー同時!$B$175="","",4キー同時!$B$175)</f>
        <v/>
      </c>
      <c r="E3676" s="2" t="str">
        <f aca="false">IF(4キー同時!$G$175="","",4キー同時!$G$175)</f>
        <v/>
      </c>
      <c r="F3676" s="2" t="str">
        <f aca="false">IF(4キー同時!$L$175="","",4キー同時!$L$175)</f>
        <v/>
      </c>
      <c r="G3676" s="2" t="str">
        <f aca="false">IF(OR(4キー同時!$B$175="",4キー同時!$G$175="",4キー同時!$L$175=""),"",IF(4キー同時!AP185="","",SUBSTITUTE(SUBSTITUTE(4キー同時!AP185," ",""),"　","")))</f>
        <v/>
      </c>
      <c r="H3676" s="2" t="str">
        <f aca="false">IF($G3676="","",4キー同時!$B$175)</f>
        <v/>
      </c>
      <c r="I3676" s="2" t="str">
        <f aca="false">IF($G3676="","",4キー同時!$G$175)</f>
        <v/>
      </c>
      <c r="J3676" s="2" t="str">
        <f aca="false">IF($G3676="","",4キー同時!$L$175)</f>
        <v/>
      </c>
      <c r="K3676" s="2" t="str">
        <f aca="false">IF($G3676="","","kana")</f>
        <v/>
      </c>
      <c r="L3676" s="2" t="str">
        <f aca="false">IF($G3676="","","同時")</f>
        <v/>
      </c>
      <c r="M3676" s="2" t="str">
        <f aca="false">IF($G3676="","",IF(ISNA(MATCH($G3676,個別指定!$A:$A,0)),"行なし",""))</f>
        <v/>
      </c>
      <c r="N3676" s="2" t="str">
        <f aca="false">IF($G3676="","",IF(COUNTIF($G$2:$G$4460,$G3676)&gt;1,"重複",""))</f>
        <v/>
      </c>
    </row>
    <row r="3677" customFormat="false" ht="16.5" hidden="false" customHeight="true" outlineLevel="0" collapsed="false">
      <c r="A3677" s="2" t="s">
        <v>447</v>
      </c>
      <c r="B3677" s="2" t="s">
        <v>462</v>
      </c>
      <c r="C3677" s="2" t="s">
        <v>0</v>
      </c>
      <c r="D3677" s="2" t="str">
        <f aca="false">IF(4キー同時!$B$188="","",4キー同時!$B$188)</f>
        <v/>
      </c>
      <c r="E3677" s="2" t="str">
        <f aca="false">IF(4キー同時!$G$188="","",4キー同時!$G$188)</f>
        <v/>
      </c>
      <c r="F3677" s="2" t="str">
        <f aca="false">IF(4キー同時!$L$188="","",4キー同時!$L$188)</f>
        <v/>
      </c>
      <c r="G3677" s="2" t="str">
        <f aca="false">IF(OR(4キー同時!$B$188="",4キー同時!$G$188="",4キー同時!$L$188=""),"",IF(4キー同時!F190="","",SUBSTITUTE(SUBSTITUTE(4キー同時!F190," ",""),"　","")))</f>
        <v/>
      </c>
      <c r="H3677" s="2" t="str">
        <f aca="false">IF($G3677="","",4キー同時!$B$188)</f>
        <v/>
      </c>
      <c r="I3677" s="2" t="str">
        <f aca="false">IF($G3677="","",4キー同時!$G$188)</f>
        <v/>
      </c>
      <c r="J3677" s="2" t="str">
        <f aca="false">IF($G3677="","",4キー同時!$L$188)</f>
        <v/>
      </c>
      <c r="K3677" s="2" t="str">
        <f aca="false">IF($G3677="","","1")</f>
        <v/>
      </c>
      <c r="L3677" s="2" t="str">
        <f aca="false">IF($G3677="","","同時")</f>
        <v/>
      </c>
      <c r="M3677" s="2" t="str">
        <f aca="false">IF($G3677="","",IF(ISNA(MATCH($G3677,個別指定!$A:$A,0)),"行なし",""))</f>
        <v/>
      </c>
      <c r="N3677" s="2" t="str">
        <f aca="false">IF($G3677="","",IF(COUNTIF($G$2:$G$4460,$G3677)&gt;1,"重複",""))</f>
        <v/>
      </c>
    </row>
    <row r="3678" customFormat="false" ht="16.5" hidden="false" customHeight="true" outlineLevel="0" collapsed="false">
      <c r="A3678" s="2" t="s">
        <v>447</v>
      </c>
      <c r="B3678" s="2" t="s">
        <v>462</v>
      </c>
      <c r="C3678" s="2" t="s">
        <v>1</v>
      </c>
      <c r="D3678" s="2" t="str">
        <f aca="false">IF(4キー同時!$B$188="","",4キー同時!$B$188)</f>
        <v/>
      </c>
      <c r="E3678" s="2" t="str">
        <f aca="false">IF(4キー同時!$G$188="","",4キー同時!$G$188)</f>
        <v/>
      </c>
      <c r="F3678" s="2" t="str">
        <f aca="false">IF(4キー同時!$L$188="","",4キー同時!$L$188)</f>
        <v/>
      </c>
      <c r="G3678" s="2" t="str">
        <f aca="false">IF(OR(4キー同時!$B$188="",4キー同時!$G$188="",4キー同時!$L$188=""),"",IF(4キー同時!J190="","",SUBSTITUTE(SUBSTITUTE(4キー同時!J190," ",""),"　","")))</f>
        <v/>
      </c>
      <c r="H3678" s="2" t="str">
        <f aca="false">IF($G3678="","",4キー同時!$B$188)</f>
        <v/>
      </c>
      <c r="I3678" s="2" t="str">
        <f aca="false">IF($G3678="","",4キー同時!$G$188)</f>
        <v/>
      </c>
      <c r="J3678" s="2" t="str">
        <f aca="false">IF($G3678="","",4キー同時!$L$188)</f>
        <v/>
      </c>
      <c r="K3678" s="2" t="str">
        <f aca="false">IF($G3678="","","2")</f>
        <v/>
      </c>
      <c r="L3678" s="2" t="str">
        <f aca="false">IF($G3678="","","同時")</f>
        <v/>
      </c>
      <c r="M3678" s="2" t="str">
        <f aca="false">IF($G3678="","",IF(ISNA(MATCH($G3678,個別指定!$A:$A,0)),"行なし",""))</f>
        <v/>
      </c>
      <c r="N3678" s="2" t="str">
        <f aca="false">IF($G3678="","",IF(COUNTIF($G$2:$G$4460,$G3678)&gt;1,"重複",""))</f>
        <v/>
      </c>
    </row>
    <row r="3679" customFormat="false" ht="16.5" hidden="false" customHeight="true" outlineLevel="0" collapsed="false">
      <c r="A3679" s="2" t="s">
        <v>447</v>
      </c>
      <c r="B3679" s="2" t="s">
        <v>462</v>
      </c>
      <c r="C3679" s="2" t="s">
        <v>2</v>
      </c>
      <c r="D3679" s="2" t="str">
        <f aca="false">IF(4キー同時!$B$188="","",4キー同時!$B$188)</f>
        <v/>
      </c>
      <c r="E3679" s="2" t="str">
        <f aca="false">IF(4キー同時!$G$188="","",4キー同時!$G$188)</f>
        <v/>
      </c>
      <c r="F3679" s="2" t="str">
        <f aca="false">IF(4キー同時!$L$188="","",4キー同時!$L$188)</f>
        <v/>
      </c>
      <c r="G3679" s="2" t="str">
        <f aca="false">IF(OR(4キー同時!$B$188="",4キー同時!$G$188="",4キー同時!$L$188=""),"",IF(4キー同時!N190="","",SUBSTITUTE(SUBSTITUTE(4キー同時!N190," ",""),"　","")))</f>
        <v/>
      </c>
      <c r="H3679" s="2" t="str">
        <f aca="false">IF($G3679="","",4キー同時!$B$188)</f>
        <v/>
      </c>
      <c r="I3679" s="2" t="str">
        <f aca="false">IF($G3679="","",4キー同時!$G$188)</f>
        <v/>
      </c>
      <c r="J3679" s="2" t="str">
        <f aca="false">IF($G3679="","",4キー同時!$L$188)</f>
        <v/>
      </c>
      <c r="K3679" s="2" t="str">
        <f aca="false">IF($G3679="","","3")</f>
        <v/>
      </c>
      <c r="L3679" s="2" t="str">
        <f aca="false">IF($G3679="","","同時")</f>
        <v/>
      </c>
      <c r="M3679" s="2" t="str">
        <f aca="false">IF($G3679="","",IF(ISNA(MATCH($G3679,個別指定!$A:$A,0)),"行なし",""))</f>
        <v/>
      </c>
      <c r="N3679" s="2" t="str">
        <f aca="false">IF($G3679="","",IF(COUNTIF($G$2:$G$4460,$G3679)&gt;1,"重複",""))</f>
        <v/>
      </c>
    </row>
    <row r="3680" customFormat="false" ht="16.5" hidden="false" customHeight="true" outlineLevel="0" collapsed="false">
      <c r="A3680" s="2" t="s">
        <v>447</v>
      </c>
      <c r="B3680" s="2" t="s">
        <v>462</v>
      </c>
      <c r="C3680" s="2" t="s">
        <v>3</v>
      </c>
      <c r="D3680" s="2" t="str">
        <f aca="false">IF(4キー同時!$B$188="","",4キー同時!$B$188)</f>
        <v/>
      </c>
      <c r="E3680" s="2" t="str">
        <f aca="false">IF(4キー同時!$G$188="","",4キー同時!$G$188)</f>
        <v/>
      </c>
      <c r="F3680" s="2" t="str">
        <f aca="false">IF(4キー同時!$L$188="","",4キー同時!$L$188)</f>
        <v/>
      </c>
      <c r="G3680" s="2" t="str">
        <f aca="false">IF(OR(4キー同時!$B$188="",4キー同時!$G$188="",4キー同時!$L$188=""),"",IF(4キー同時!R190="","",SUBSTITUTE(SUBSTITUTE(4キー同時!R190," ",""),"　","")))</f>
        <v/>
      </c>
      <c r="H3680" s="2" t="str">
        <f aca="false">IF($G3680="","",4キー同時!$B$188)</f>
        <v/>
      </c>
      <c r="I3680" s="2" t="str">
        <f aca="false">IF($G3680="","",4キー同時!$G$188)</f>
        <v/>
      </c>
      <c r="J3680" s="2" t="str">
        <f aca="false">IF($G3680="","",4キー同時!$L$188)</f>
        <v/>
      </c>
      <c r="K3680" s="2" t="str">
        <f aca="false">IF($G3680="","","4")</f>
        <v/>
      </c>
      <c r="L3680" s="2" t="str">
        <f aca="false">IF($G3680="","","同時")</f>
        <v/>
      </c>
      <c r="M3680" s="2" t="str">
        <f aca="false">IF($G3680="","",IF(ISNA(MATCH($G3680,個別指定!$A:$A,0)),"行なし",""))</f>
        <v/>
      </c>
      <c r="N3680" s="2" t="str">
        <f aca="false">IF($G3680="","",IF(COUNTIF($G$2:$G$4460,$G3680)&gt;1,"重複",""))</f>
        <v/>
      </c>
    </row>
    <row r="3681" customFormat="false" ht="16.5" hidden="false" customHeight="true" outlineLevel="0" collapsed="false">
      <c r="A3681" s="2" t="s">
        <v>447</v>
      </c>
      <c r="B3681" s="2" t="s">
        <v>462</v>
      </c>
      <c r="C3681" s="2" t="s">
        <v>4</v>
      </c>
      <c r="D3681" s="2" t="str">
        <f aca="false">IF(4キー同時!$B$188="","",4キー同時!$B$188)</f>
        <v/>
      </c>
      <c r="E3681" s="2" t="str">
        <f aca="false">IF(4キー同時!$G$188="","",4キー同時!$G$188)</f>
        <v/>
      </c>
      <c r="F3681" s="2" t="str">
        <f aca="false">IF(4キー同時!$L$188="","",4キー同時!$L$188)</f>
        <v/>
      </c>
      <c r="G3681" s="2" t="str">
        <f aca="false">IF(OR(4キー同時!$B$188="",4キー同時!$G$188="",4キー同時!$L$188=""),"",IF(4キー同時!V190="","",SUBSTITUTE(SUBSTITUTE(4キー同時!V190," ",""),"　","")))</f>
        <v/>
      </c>
      <c r="H3681" s="2" t="str">
        <f aca="false">IF($G3681="","",4キー同時!$B$188)</f>
        <v/>
      </c>
      <c r="I3681" s="2" t="str">
        <f aca="false">IF($G3681="","",4キー同時!$G$188)</f>
        <v/>
      </c>
      <c r="J3681" s="2" t="str">
        <f aca="false">IF($G3681="","",4キー同時!$L$188)</f>
        <v/>
      </c>
      <c r="K3681" s="2" t="str">
        <f aca="false">IF($G3681="","","5")</f>
        <v/>
      </c>
      <c r="L3681" s="2" t="str">
        <f aca="false">IF($G3681="","","同時")</f>
        <v/>
      </c>
      <c r="M3681" s="2" t="str">
        <f aca="false">IF($G3681="","",IF(ISNA(MATCH($G3681,個別指定!$A:$A,0)),"行なし",""))</f>
        <v/>
      </c>
      <c r="N3681" s="2" t="str">
        <f aca="false">IF($G3681="","",IF(COUNTIF($G$2:$G$4460,$G3681)&gt;1,"重複",""))</f>
        <v/>
      </c>
    </row>
    <row r="3682" customFormat="false" ht="16.5" hidden="false" customHeight="true" outlineLevel="0" collapsed="false">
      <c r="A3682" s="2" t="s">
        <v>447</v>
      </c>
      <c r="B3682" s="2" t="s">
        <v>462</v>
      </c>
      <c r="C3682" s="2" t="s">
        <v>5</v>
      </c>
      <c r="D3682" s="2" t="str">
        <f aca="false">IF(4キー同時!$B$188="","",4キー同時!$B$188)</f>
        <v/>
      </c>
      <c r="E3682" s="2" t="str">
        <f aca="false">IF(4キー同時!$G$188="","",4キー同時!$G$188)</f>
        <v/>
      </c>
      <c r="F3682" s="2" t="str">
        <f aca="false">IF(4キー同時!$L$188="","",4キー同時!$L$188)</f>
        <v/>
      </c>
      <c r="G3682" s="2" t="str">
        <f aca="false">IF(OR(4キー同時!$B$188="",4キー同時!$G$188="",4キー同時!$L$188=""),"",IF(4キー同時!Z190="","",SUBSTITUTE(SUBSTITUTE(4キー同時!Z190," ",""),"　","")))</f>
        <v/>
      </c>
      <c r="H3682" s="2" t="str">
        <f aca="false">IF($G3682="","",4キー同時!$B$188)</f>
        <v/>
      </c>
      <c r="I3682" s="2" t="str">
        <f aca="false">IF($G3682="","",4キー同時!$G$188)</f>
        <v/>
      </c>
      <c r="J3682" s="2" t="str">
        <f aca="false">IF($G3682="","",4キー同時!$L$188)</f>
        <v/>
      </c>
      <c r="K3682" s="2" t="str">
        <f aca="false">IF($G3682="","","6")</f>
        <v/>
      </c>
      <c r="L3682" s="2" t="str">
        <f aca="false">IF($G3682="","","同時")</f>
        <v/>
      </c>
      <c r="M3682" s="2" t="str">
        <f aca="false">IF($G3682="","",IF(ISNA(MATCH($G3682,個別指定!$A:$A,0)),"行なし",""))</f>
        <v/>
      </c>
      <c r="N3682" s="2" t="str">
        <f aca="false">IF($G3682="","",IF(COUNTIF($G$2:$G$4460,$G3682)&gt;1,"重複",""))</f>
        <v/>
      </c>
    </row>
    <row r="3683" customFormat="false" ht="16.5" hidden="false" customHeight="true" outlineLevel="0" collapsed="false">
      <c r="A3683" s="2" t="s">
        <v>447</v>
      </c>
      <c r="B3683" s="2" t="s">
        <v>462</v>
      </c>
      <c r="C3683" s="2" t="s">
        <v>6</v>
      </c>
      <c r="D3683" s="2" t="str">
        <f aca="false">IF(4キー同時!$B$188="","",4キー同時!$B$188)</f>
        <v/>
      </c>
      <c r="E3683" s="2" t="str">
        <f aca="false">IF(4キー同時!$G$188="","",4キー同時!$G$188)</f>
        <v/>
      </c>
      <c r="F3683" s="2" t="str">
        <f aca="false">IF(4キー同時!$L$188="","",4キー同時!$L$188)</f>
        <v/>
      </c>
      <c r="G3683" s="2" t="str">
        <f aca="false">IF(OR(4キー同時!$B$188="",4キー同時!$G$188="",4キー同時!$L$188=""),"",IF(4キー同時!AD190="","",SUBSTITUTE(SUBSTITUTE(4キー同時!AD190," ",""),"　","")))</f>
        <v/>
      </c>
      <c r="H3683" s="2" t="str">
        <f aca="false">IF($G3683="","",4キー同時!$B$188)</f>
        <v/>
      </c>
      <c r="I3683" s="2" t="str">
        <f aca="false">IF($G3683="","",4キー同時!$G$188)</f>
        <v/>
      </c>
      <c r="J3683" s="2" t="str">
        <f aca="false">IF($G3683="","",4キー同時!$L$188)</f>
        <v/>
      </c>
      <c r="K3683" s="2" t="str">
        <f aca="false">IF($G3683="","","7")</f>
        <v/>
      </c>
      <c r="L3683" s="2" t="str">
        <f aca="false">IF($G3683="","","同時")</f>
        <v/>
      </c>
      <c r="M3683" s="2" t="str">
        <f aca="false">IF($G3683="","",IF(ISNA(MATCH($G3683,個別指定!$A:$A,0)),"行なし",""))</f>
        <v/>
      </c>
      <c r="N3683" s="2" t="str">
        <f aca="false">IF($G3683="","",IF(COUNTIF($G$2:$G$4460,$G3683)&gt;1,"重複",""))</f>
        <v/>
      </c>
    </row>
    <row r="3684" customFormat="false" ht="16.5" hidden="false" customHeight="true" outlineLevel="0" collapsed="false">
      <c r="A3684" s="2" t="s">
        <v>447</v>
      </c>
      <c r="B3684" s="2" t="s">
        <v>462</v>
      </c>
      <c r="C3684" s="2" t="s">
        <v>7</v>
      </c>
      <c r="D3684" s="2" t="str">
        <f aca="false">IF(4キー同時!$B$188="","",4キー同時!$B$188)</f>
        <v/>
      </c>
      <c r="E3684" s="2" t="str">
        <f aca="false">IF(4キー同時!$G$188="","",4キー同時!$G$188)</f>
        <v/>
      </c>
      <c r="F3684" s="2" t="str">
        <f aca="false">IF(4キー同時!$L$188="","",4キー同時!$L$188)</f>
        <v/>
      </c>
      <c r="G3684" s="2" t="str">
        <f aca="false">IF(OR(4キー同時!$B$188="",4キー同時!$G$188="",4キー同時!$L$188=""),"",IF(4キー同時!AH190="","",SUBSTITUTE(SUBSTITUTE(4キー同時!AH190," ",""),"　","")))</f>
        <v/>
      </c>
      <c r="H3684" s="2" t="str">
        <f aca="false">IF($G3684="","",4キー同時!$B$188)</f>
        <v/>
      </c>
      <c r="I3684" s="2" t="str">
        <f aca="false">IF($G3684="","",4キー同時!$G$188)</f>
        <v/>
      </c>
      <c r="J3684" s="2" t="str">
        <f aca="false">IF($G3684="","",4キー同時!$L$188)</f>
        <v/>
      </c>
      <c r="K3684" s="2" t="str">
        <f aca="false">IF($G3684="","","8")</f>
        <v/>
      </c>
      <c r="L3684" s="2" t="str">
        <f aca="false">IF($G3684="","","同時")</f>
        <v/>
      </c>
      <c r="M3684" s="2" t="str">
        <f aca="false">IF($G3684="","",IF(ISNA(MATCH($G3684,個別指定!$A:$A,0)),"行なし",""))</f>
        <v/>
      </c>
      <c r="N3684" s="2" t="str">
        <f aca="false">IF($G3684="","",IF(COUNTIF($G$2:$G$4460,$G3684)&gt;1,"重複",""))</f>
        <v/>
      </c>
    </row>
    <row r="3685" customFormat="false" ht="16.5" hidden="false" customHeight="true" outlineLevel="0" collapsed="false">
      <c r="A3685" s="2" t="s">
        <v>447</v>
      </c>
      <c r="B3685" s="2" t="s">
        <v>462</v>
      </c>
      <c r="C3685" s="2" t="s">
        <v>8</v>
      </c>
      <c r="D3685" s="2" t="str">
        <f aca="false">IF(4キー同時!$B$188="","",4キー同時!$B$188)</f>
        <v/>
      </c>
      <c r="E3685" s="2" t="str">
        <f aca="false">IF(4キー同時!$G$188="","",4キー同時!$G$188)</f>
        <v/>
      </c>
      <c r="F3685" s="2" t="str">
        <f aca="false">IF(4キー同時!$L$188="","",4キー同時!$L$188)</f>
        <v/>
      </c>
      <c r="G3685" s="2" t="str">
        <f aca="false">IF(OR(4キー同時!$B$188="",4キー同時!$G$188="",4キー同時!$L$188=""),"",IF(4キー同時!AL190="","",SUBSTITUTE(SUBSTITUTE(4キー同時!AL190," ",""),"　","")))</f>
        <v/>
      </c>
      <c r="H3685" s="2" t="str">
        <f aca="false">IF($G3685="","",4キー同時!$B$188)</f>
        <v/>
      </c>
      <c r="I3685" s="2" t="str">
        <f aca="false">IF($G3685="","",4キー同時!$G$188)</f>
        <v/>
      </c>
      <c r="J3685" s="2" t="str">
        <f aca="false">IF($G3685="","",4キー同時!$L$188)</f>
        <v/>
      </c>
      <c r="K3685" s="2" t="str">
        <f aca="false">IF($G3685="","","9")</f>
        <v/>
      </c>
      <c r="L3685" s="2" t="str">
        <f aca="false">IF($G3685="","","同時")</f>
        <v/>
      </c>
      <c r="M3685" s="2" t="str">
        <f aca="false">IF($G3685="","",IF(ISNA(MATCH($G3685,個別指定!$A:$A,0)),"行なし",""))</f>
        <v/>
      </c>
      <c r="N3685" s="2" t="str">
        <f aca="false">IF($G3685="","",IF(COUNTIF($G$2:$G$4460,$G3685)&gt;1,"重複",""))</f>
        <v/>
      </c>
    </row>
    <row r="3686" customFormat="false" ht="16.5" hidden="false" customHeight="true" outlineLevel="0" collapsed="false">
      <c r="A3686" s="2" t="s">
        <v>447</v>
      </c>
      <c r="B3686" s="2" t="s">
        <v>462</v>
      </c>
      <c r="C3686" s="2" t="s">
        <v>9</v>
      </c>
      <c r="D3686" s="2" t="str">
        <f aca="false">IF(4キー同時!$B$188="","",4キー同時!$B$188)</f>
        <v/>
      </c>
      <c r="E3686" s="2" t="str">
        <f aca="false">IF(4キー同時!$G$188="","",4キー同時!$G$188)</f>
        <v/>
      </c>
      <c r="F3686" s="2" t="str">
        <f aca="false">IF(4キー同時!$L$188="","",4キー同時!$L$188)</f>
        <v/>
      </c>
      <c r="G3686" s="2" t="str">
        <f aca="false">IF(OR(4キー同時!$B$188="",4キー同時!$G$188="",4キー同時!$L$188=""),"",IF(4キー同時!AP190="","",SUBSTITUTE(SUBSTITUTE(4キー同時!AP190," ",""),"　","")))</f>
        <v/>
      </c>
      <c r="H3686" s="2" t="str">
        <f aca="false">IF($G3686="","",4キー同時!$B$188)</f>
        <v/>
      </c>
      <c r="I3686" s="2" t="str">
        <f aca="false">IF($G3686="","",4キー同時!$G$188)</f>
        <v/>
      </c>
      <c r="J3686" s="2" t="str">
        <f aca="false">IF($G3686="","",4キー同時!$L$188)</f>
        <v/>
      </c>
      <c r="K3686" s="2" t="str">
        <f aca="false">IF($G3686="","","0")</f>
        <v/>
      </c>
      <c r="L3686" s="2" t="str">
        <f aca="false">IF($G3686="","","同時")</f>
        <v/>
      </c>
      <c r="M3686" s="2" t="str">
        <f aca="false">IF($G3686="","",IF(ISNA(MATCH($G3686,個別指定!$A:$A,0)),"行なし",""))</f>
        <v/>
      </c>
      <c r="N3686" s="2" t="str">
        <f aca="false">IF($G3686="","",IF(COUNTIF($G$2:$G$4460,$G3686)&gt;1,"重複",""))</f>
        <v/>
      </c>
    </row>
    <row r="3687" customFormat="false" ht="16.5" hidden="false" customHeight="true" outlineLevel="0" collapsed="false">
      <c r="A3687" s="2" t="s">
        <v>447</v>
      </c>
      <c r="B3687" s="2" t="s">
        <v>462</v>
      </c>
      <c r="C3687" s="2" t="s">
        <v>10</v>
      </c>
      <c r="D3687" s="2" t="str">
        <f aca="false">IF(4キー同時!$B$188="","",4キー同時!$B$188)</f>
        <v/>
      </c>
      <c r="E3687" s="2" t="str">
        <f aca="false">IF(4キー同時!$G$188="","",4キー同時!$G$188)</f>
        <v/>
      </c>
      <c r="F3687" s="2" t="str">
        <f aca="false">IF(4キー同時!$L$188="","",4キー同時!$L$188)</f>
        <v/>
      </c>
      <c r="G3687" s="2" t="str">
        <f aca="false">IF(OR(4キー同時!$B$188="",4キー同時!$G$188="",4キー同時!$L$188=""),"",IF(4キー同時!AT190="","",SUBSTITUTE(SUBSTITUTE(4キー同時!AT190," ",""),"　","")))</f>
        <v/>
      </c>
      <c r="H3687" s="2" t="str">
        <f aca="false">IF($G3687="","",4キー同時!$B$188)</f>
        <v/>
      </c>
      <c r="I3687" s="2" t="str">
        <f aca="false">IF($G3687="","",4キー同時!$G$188)</f>
        <v/>
      </c>
      <c r="J3687" s="2" t="str">
        <f aca="false">IF($G3687="","",4キー同時!$L$188)</f>
        <v/>
      </c>
      <c r="K3687" s="2" t="str">
        <f aca="false">IF($G3687="","","-")</f>
        <v/>
      </c>
      <c r="L3687" s="2" t="str">
        <f aca="false">IF($G3687="","","同時")</f>
        <v/>
      </c>
      <c r="M3687" s="2" t="str">
        <f aca="false">IF($G3687="","",IF(ISNA(MATCH($G3687,個別指定!$A:$A,0)),"行なし",""))</f>
        <v/>
      </c>
      <c r="N3687" s="2" t="str">
        <f aca="false">IF($G3687="","",IF(COUNTIF($G$2:$G$4460,$G3687)&gt;1,"重複",""))</f>
        <v/>
      </c>
    </row>
    <row r="3688" customFormat="false" ht="16.5" hidden="false" customHeight="true" outlineLevel="0" collapsed="false">
      <c r="A3688" s="2" t="s">
        <v>447</v>
      </c>
      <c r="B3688" s="2" t="s">
        <v>462</v>
      </c>
      <c r="C3688" s="2" t="s">
        <v>11</v>
      </c>
      <c r="D3688" s="2" t="str">
        <f aca="false">IF(4キー同時!$B$188="","",4キー同時!$B$188)</f>
        <v/>
      </c>
      <c r="E3688" s="2" t="str">
        <f aca="false">IF(4キー同時!$G$188="","",4キー同時!$G$188)</f>
        <v/>
      </c>
      <c r="F3688" s="2" t="str">
        <f aca="false">IF(4キー同時!$L$188="","",4キー同時!$L$188)</f>
        <v/>
      </c>
      <c r="G3688" s="2" t="str">
        <f aca="false">IF(OR(4キー同時!$B$188="",4キー同時!$G$188="",4キー同時!$L$188=""),"",IF(4キー同時!AX190="","",SUBSTITUTE(SUBSTITUTE(4キー同時!AX190," ",""),"　","")))</f>
        <v/>
      </c>
      <c r="H3688" s="2" t="str">
        <f aca="false">IF($G3688="","",4キー同時!$B$188)</f>
        <v/>
      </c>
      <c r="I3688" s="2" t="str">
        <f aca="false">IF($G3688="","",4キー同時!$G$188)</f>
        <v/>
      </c>
      <c r="J3688" s="2" t="str">
        <f aca="false">IF($G3688="","",4キー同時!$L$188)</f>
        <v/>
      </c>
      <c r="K3688" s="2" t="str">
        <f aca="false">IF($G3688="","","=")</f>
        <v/>
      </c>
      <c r="L3688" s="2" t="str">
        <f aca="false">IF($G3688="","","同時")</f>
        <v/>
      </c>
      <c r="M3688" s="2" t="str">
        <f aca="false">IF($G3688="","",IF(ISNA(MATCH($G3688,個別指定!$A:$A,0)),"行なし",""))</f>
        <v/>
      </c>
      <c r="N3688" s="2" t="str">
        <f aca="false">IF($G3688="","",IF(COUNTIF($G$2:$G$4460,$G3688)&gt;1,"重複",""))</f>
        <v/>
      </c>
    </row>
    <row r="3689" customFormat="false" ht="16.5" hidden="false" customHeight="true" outlineLevel="0" collapsed="false">
      <c r="A3689" s="2" t="s">
        <v>447</v>
      </c>
      <c r="B3689" s="2" t="s">
        <v>462</v>
      </c>
      <c r="C3689" s="2" t="s">
        <v>12</v>
      </c>
      <c r="D3689" s="2" t="str">
        <f aca="false">IF(4キー同時!$B$188="","",4キー同時!$B$188)</f>
        <v/>
      </c>
      <c r="E3689" s="2" t="str">
        <f aca="false">IF(4キー同時!$G$188="","",4キー同時!$G$188)</f>
        <v/>
      </c>
      <c r="F3689" s="2" t="str">
        <f aca="false">IF(4キー同時!$L$188="","",4キー同時!$L$188)</f>
        <v/>
      </c>
      <c r="G3689" s="2" t="str">
        <f aca="false">IF(OR(4キー同時!$B$188="",4キー同時!$G$188="",4キー同時!$L$188=""),"",IF(4キー同時!H192="","",SUBSTITUTE(SUBSTITUTE(4キー同時!H192," ",""),"　","")))</f>
        <v/>
      </c>
      <c r="H3689" s="2" t="str">
        <f aca="false">IF($G3689="","",4キー同時!$B$188)</f>
        <v/>
      </c>
      <c r="I3689" s="2" t="str">
        <f aca="false">IF($G3689="","",4キー同時!$G$188)</f>
        <v/>
      </c>
      <c r="J3689" s="2" t="str">
        <f aca="false">IF($G3689="","",4キー同時!$L$188)</f>
        <v/>
      </c>
      <c r="K3689" s="2" t="str">
        <f aca="false">IF($G3689="","","q")</f>
        <v/>
      </c>
      <c r="L3689" s="2" t="str">
        <f aca="false">IF($G3689="","","同時")</f>
        <v/>
      </c>
      <c r="M3689" s="2" t="str">
        <f aca="false">IF($G3689="","",IF(ISNA(MATCH($G3689,個別指定!$A:$A,0)),"行なし",""))</f>
        <v/>
      </c>
      <c r="N3689" s="2" t="str">
        <f aca="false">IF($G3689="","",IF(COUNTIF($G$2:$G$4460,$G3689)&gt;1,"重複",""))</f>
        <v/>
      </c>
    </row>
    <row r="3690" customFormat="false" ht="16.5" hidden="false" customHeight="true" outlineLevel="0" collapsed="false">
      <c r="A3690" s="2" t="s">
        <v>447</v>
      </c>
      <c r="B3690" s="2" t="s">
        <v>462</v>
      </c>
      <c r="C3690" s="2" t="s">
        <v>13</v>
      </c>
      <c r="D3690" s="2" t="str">
        <f aca="false">IF(4キー同時!$B$188="","",4キー同時!$B$188)</f>
        <v/>
      </c>
      <c r="E3690" s="2" t="str">
        <f aca="false">IF(4キー同時!$G$188="","",4キー同時!$G$188)</f>
        <v/>
      </c>
      <c r="F3690" s="2" t="str">
        <f aca="false">IF(4キー同時!$L$188="","",4キー同時!$L$188)</f>
        <v/>
      </c>
      <c r="G3690" s="2" t="str">
        <f aca="false">IF(OR(4キー同時!$B$188="",4キー同時!$G$188="",4キー同時!$L$188=""),"",IF(4キー同時!L192="","",SUBSTITUTE(SUBSTITUTE(4キー同時!L192," ",""),"　","")))</f>
        <v/>
      </c>
      <c r="H3690" s="2" t="str">
        <f aca="false">IF($G3690="","",4キー同時!$B$188)</f>
        <v/>
      </c>
      <c r="I3690" s="2" t="str">
        <f aca="false">IF($G3690="","",4キー同時!$G$188)</f>
        <v/>
      </c>
      <c r="J3690" s="2" t="str">
        <f aca="false">IF($G3690="","",4キー同時!$L$188)</f>
        <v/>
      </c>
      <c r="K3690" s="2" t="str">
        <f aca="false">IF($G3690="","","w")</f>
        <v/>
      </c>
      <c r="L3690" s="2" t="str">
        <f aca="false">IF($G3690="","","同時")</f>
        <v/>
      </c>
      <c r="M3690" s="2" t="str">
        <f aca="false">IF($G3690="","",IF(ISNA(MATCH($G3690,個別指定!$A:$A,0)),"行なし",""))</f>
        <v/>
      </c>
      <c r="N3690" s="2" t="str">
        <f aca="false">IF($G3690="","",IF(COUNTIF($G$2:$G$4460,$G3690)&gt;1,"重複",""))</f>
        <v/>
      </c>
    </row>
    <row r="3691" customFormat="false" ht="16.5" hidden="false" customHeight="true" outlineLevel="0" collapsed="false">
      <c r="A3691" s="2" t="s">
        <v>447</v>
      </c>
      <c r="B3691" s="2" t="s">
        <v>462</v>
      </c>
      <c r="C3691" s="2" t="s">
        <v>14</v>
      </c>
      <c r="D3691" s="2" t="str">
        <f aca="false">IF(4キー同時!$B$188="","",4キー同時!$B$188)</f>
        <v/>
      </c>
      <c r="E3691" s="2" t="str">
        <f aca="false">IF(4キー同時!$G$188="","",4キー同時!$G$188)</f>
        <v/>
      </c>
      <c r="F3691" s="2" t="str">
        <f aca="false">IF(4キー同時!$L$188="","",4キー同時!$L$188)</f>
        <v/>
      </c>
      <c r="G3691" s="2" t="str">
        <f aca="false">IF(OR(4キー同時!$B$188="",4キー同時!$G$188="",4キー同時!$L$188=""),"",IF(4キー同時!P192="","",SUBSTITUTE(SUBSTITUTE(4キー同時!P192," ",""),"　","")))</f>
        <v/>
      </c>
      <c r="H3691" s="2" t="str">
        <f aca="false">IF($G3691="","",4キー同時!$B$188)</f>
        <v/>
      </c>
      <c r="I3691" s="2" t="str">
        <f aca="false">IF($G3691="","",4キー同時!$G$188)</f>
        <v/>
      </c>
      <c r="J3691" s="2" t="str">
        <f aca="false">IF($G3691="","",4キー同時!$L$188)</f>
        <v/>
      </c>
      <c r="K3691" s="2" t="str">
        <f aca="false">IF($G3691="","","e")</f>
        <v/>
      </c>
      <c r="L3691" s="2" t="str">
        <f aca="false">IF($G3691="","","同時")</f>
        <v/>
      </c>
      <c r="M3691" s="2" t="str">
        <f aca="false">IF($G3691="","",IF(ISNA(MATCH($G3691,個別指定!$A:$A,0)),"行なし",""))</f>
        <v/>
      </c>
      <c r="N3691" s="2" t="str">
        <f aca="false">IF($G3691="","",IF(COUNTIF($G$2:$G$4460,$G3691)&gt;1,"重複",""))</f>
        <v/>
      </c>
    </row>
    <row r="3692" customFormat="false" ht="16.5" hidden="false" customHeight="true" outlineLevel="0" collapsed="false">
      <c r="A3692" s="2" t="s">
        <v>447</v>
      </c>
      <c r="B3692" s="2" t="s">
        <v>462</v>
      </c>
      <c r="C3692" s="2" t="s">
        <v>15</v>
      </c>
      <c r="D3692" s="2" t="str">
        <f aca="false">IF(4キー同時!$B$188="","",4キー同時!$B$188)</f>
        <v/>
      </c>
      <c r="E3692" s="2" t="str">
        <f aca="false">IF(4キー同時!$G$188="","",4キー同時!$G$188)</f>
        <v/>
      </c>
      <c r="F3692" s="2" t="str">
        <f aca="false">IF(4キー同時!$L$188="","",4キー同時!$L$188)</f>
        <v/>
      </c>
      <c r="G3692" s="2" t="str">
        <f aca="false">IF(OR(4キー同時!$B$188="",4キー同時!$G$188="",4キー同時!$L$188=""),"",IF(4キー同時!T192="","",SUBSTITUTE(SUBSTITUTE(4キー同時!T192," ",""),"　","")))</f>
        <v/>
      </c>
      <c r="H3692" s="2" t="str">
        <f aca="false">IF($G3692="","",4キー同時!$B$188)</f>
        <v/>
      </c>
      <c r="I3692" s="2" t="str">
        <f aca="false">IF($G3692="","",4キー同時!$G$188)</f>
        <v/>
      </c>
      <c r="J3692" s="2" t="str">
        <f aca="false">IF($G3692="","",4キー同時!$L$188)</f>
        <v/>
      </c>
      <c r="K3692" s="2" t="str">
        <f aca="false">IF($G3692="","","r")</f>
        <v/>
      </c>
      <c r="L3692" s="2" t="str">
        <f aca="false">IF($G3692="","","同時")</f>
        <v/>
      </c>
      <c r="M3692" s="2" t="str">
        <f aca="false">IF($G3692="","",IF(ISNA(MATCH($G3692,個別指定!$A:$A,0)),"行なし",""))</f>
        <v/>
      </c>
      <c r="N3692" s="2" t="str">
        <f aca="false">IF($G3692="","",IF(COUNTIF($G$2:$G$4460,$G3692)&gt;1,"重複",""))</f>
        <v/>
      </c>
    </row>
    <row r="3693" customFormat="false" ht="16.5" hidden="false" customHeight="true" outlineLevel="0" collapsed="false">
      <c r="A3693" s="2" t="s">
        <v>447</v>
      </c>
      <c r="B3693" s="2" t="s">
        <v>462</v>
      </c>
      <c r="C3693" s="2" t="s">
        <v>16</v>
      </c>
      <c r="D3693" s="2" t="str">
        <f aca="false">IF(4キー同時!$B$188="","",4キー同時!$B$188)</f>
        <v/>
      </c>
      <c r="E3693" s="2" t="str">
        <f aca="false">IF(4キー同時!$G$188="","",4キー同時!$G$188)</f>
        <v/>
      </c>
      <c r="F3693" s="2" t="str">
        <f aca="false">IF(4キー同時!$L$188="","",4キー同時!$L$188)</f>
        <v/>
      </c>
      <c r="G3693" s="2" t="str">
        <f aca="false">IF(OR(4キー同時!$B$188="",4キー同時!$G$188="",4キー同時!$L$188=""),"",IF(4キー同時!X192="","",SUBSTITUTE(SUBSTITUTE(4キー同時!X192," ",""),"　","")))</f>
        <v/>
      </c>
      <c r="H3693" s="2" t="str">
        <f aca="false">IF($G3693="","",4キー同時!$B$188)</f>
        <v/>
      </c>
      <c r="I3693" s="2" t="str">
        <f aca="false">IF($G3693="","",4キー同時!$G$188)</f>
        <v/>
      </c>
      <c r="J3693" s="2" t="str">
        <f aca="false">IF($G3693="","",4キー同時!$L$188)</f>
        <v/>
      </c>
      <c r="K3693" s="2" t="str">
        <f aca="false">IF($G3693="","","t")</f>
        <v/>
      </c>
      <c r="L3693" s="2" t="str">
        <f aca="false">IF($G3693="","","同時")</f>
        <v/>
      </c>
      <c r="M3693" s="2" t="str">
        <f aca="false">IF($G3693="","",IF(ISNA(MATCH($G3693,個別指定!$A:$A,0)),"行なし",""))</f>
        <v/>
      </c>
      <c r="N3693" s="2" t="str">
        <f aca="false">IF($G3693="","",IF(COUNTIF($G$2:$G$4460,$G3693)&gt;1,"重複",""))</f>
        <v/>
      </c>
    </row>
    <row r="3694" customFormat="false" ht="16.5" hidden="false" customHeight="true" outlineLevel="0" collapsed="false">
      <c r="A3694" s="2" t="s">
        <v>447</v>
      </c>
      <c r="B3694" s="2" t="s">
        <v>462</v>
      </c>
      <c r="C3694" s="2" t="s">
        <v>17</v>
      </c>
      <c r="D3694" s="2" t="str">
        <f aca="false">IF(4キー同時!$B$188="","",4キー同時!$B$188)</f>
        <v/>
      </c>
      <c r="E3694" s="2" t="str">
        <f aca="false">IF(4キー同時!$G$188="","",4キー同時!$G$188)</f>
        <v/>
      </c>
      <c r="F3694" s="2" t="str">
        <f aca="false">IF(4キー同時!$L$188="","",4キー同時!$L$188)</f>
        <v/>
      </c>
      <c r="G3694" s="2" t="str">
        <f aca="false">IF(OR(4キー同時!$B$188="",4キー同時!$G$188="",4キー同時!$L$188=""),"",IF(4キー同時!AB192="","",SUBSTITUTE(SUBSTITUTE(4キー同時!AB192," ",""),"　","")))</f>
        <v/>
      </c>
      <c r="H3694" s="2" t="str">
        <f aca="false">IF($G3694="","",4キー同時!$B$188)</f>
        <v/>
      </c>
      <c r="I3694" s="2" t="str">
        <f aca="false">IF($G3694="","",4キー同時!$G$188)</f>
        <v/>
      </c>
      <c r="J3694" s="2" t="str">
        <f aca="false">IF($G3694="","",4キー同時!$L$188)</f>
        <v/>
      </c>
      <c r="K3694" s="2" t="str">
        <f aca="false">IF($G3694="","","y")</f>
        <v/>
      </c>
      <c r="L3694" s="2" t="str">
        <f aca="false">IF($G3694="","","同時")</f>
        <v/>
      </c>
      <c r="M3694" s="2" t="str">
        <f aca="false">IF($G3694="","",IF(ISNA(MATCH($G3694,個別指定!$A:$A,0)),"行なし",""))</f>
        <v/>
      </c>
      <c r="N3694" s="2" t="str">
        <f aca="false">IF($G3694="","",IF(COUNTIF($G$2:$G$4460,$G3694)&gt;1,"重複",""))</f>
        <v/>
      </c>
    </row>
    <row r="3695" customFormat="false" ht="16.5" hidden="false" customHeight="true" outlineLevel="0" collapsed="false">
      <c r="A3695" s="2" t="s">
        <v>447</v>
      </c>
      <c r="B3695" s="2" t="s">
        <v>462</v>
      </c>
      <c r="C3695" s="2" t="s">
        <v>18</v>
      </c>
      <c r="D3695" s="2" t="str">
        <f aca="false">IF(4キー同時!$B$188="","",4キー同時!$B$188)</f>
        <v/>
      </c>
      <c r="E3695" s="2" t="str">
        <f aca="false">IF(4キー同時!$G$188="","",4キー同時!$G$188)</f>
        <v/>
      </c>
      <c r="F3695" s="2" t="str">
        <f aca="false">IF(4キー同時!$L$188="","",4キー同時!$L$188)</f>
        <v/>
      </c>
      <c r="G3695" s="2" t="str">
        <f aca="false">IF(OR(4キー同時!$B$188="",4キー同時!$G$188="",4キー同時!$L$188=""),"",IF(4キー同時!AF192="","",SUBSTITUTE(SUBSTITUTE(4キー同時!AF192," ",""),"　","")))</f>
        <v/>
      </c>
      <c r="H3695" s="2" t="str">
        <f aca="false">IF($G3695="","",4キー同時!$B$188)</f>
        <v/>
      </c>
      <c r="I3695" s="2" t="str">
        <f aca="false">IF($G3695="","",4キー同時!$G$188)</f>
        <v/>
      </c>
      <c r="J3695" s="2" t="str">
        <f aca="false">IF($G3695="","",4キー同時!$L$188)</f>
        <v/>
      </c>
      <c r="K3695" s="2" t="str">
        <f aca="false">IF($G3695="","","u")</f>
        <v/>
      </c>
      <c r="L3695" s="2" t="str">
        <f aca="false">IF($G3695="","","同時")</f>
        <v/>
      </c>
      <c r="M3695" s="2" t="str">
        <f aca="false">IF($G3695="","",IF(ISNA(MATCH($G3695,個別指定!$A:$A,0)),"行なし",""))</f>
        <v/>
      </c>
      <c r="N3695" s="2" t="str">
        <f aca="false">IF($G3695="","",IF(COUNTIF($G$2:$G$4460,$G3695)&gt;1,"重複",""))</f>
        <v/>
      </c>
    </row>
    <row r="3696" customFormat="false" ht="16.5" hidden="false" customHeight="true" outlineLevel="0" collapsed="false">
      <c r="A3696" s="2" t="s">
        <v>447</v>
      </c>
      <c r="B3696" s="2" t="s">
        <v>462</v>
      </c>
      <c r="C3696" s="2" t="s">
        <v>19</v>
      </c>
      <c r="D3696" s="2" t="str">
        <f aca="false">IF(4キー同時!$B$188="","",4キー同時!$B$188)</f>
        <v/>
      </c>
      <c r="E3696" s="2" t="str">
        <f aca="false">IF(4キー同時!$G$188="","",4キー同時!$G$188)</f>
        <v/>
      </c>
      <c r="F3696" s="2" t="str">
        <f aca="false">IF(4キー同時!$L$188="","",4キー同時!$L$188)</f>
        <v/>
      </c>
      <c r="G3696" s="2" t="str">
        <f aca="false">IF(OR(4キー同時!$B$188="",4キー同時!$G$188="",4キー同時!$L$188=""),"",IF(4キー同時!AJ192="","",SUBSTITUTE(SUBSTITUTE(4キー同時!AJ192," ",""),"　","")))</f>
        <v/>
      </c>
      <c r="H3696" s="2" t="str">
        <f aca="false">IF($G3696="","",4キー同時!$B$188)</f>
        <v/>
      </c>
      <c r="I3696" s="2" t="str">
        <f aca="false">IF($G3696="","",4キー同時!$G$188)</f>
        <v/>
      </c>
      <c r="J3696" s="2" t="str">
        <f aca="false">IF($G3696="","",4キー同時!$L$188)</f>
        <v/>
      </c>
      <c r="K3696" s="2" t="str">
        <f aca="false">IF($G3696="","","i")</f>
        <v/>
      </c>
      <c r="L3696" s="2" t="str">
        <f aca="false">IF($G3696="","","同時")</f>
        <v/>
      </c>
      <c r="M3696" s="2" t="str">
        <f aca="false">IF($G3696="","",IF(ISNA(MATCH($G3696,個別指定!$A:$A,0)),"行なし",""))</f>
        <v/>
      </c>
      <c r="N3696" s="2" t="str">
        <f aca="false">IF($G3696="","",IF(COUNTIF($G$2:$G$4460,$G3696)&gt;1,"重複",""))</f>
        <v/>
      </c>
    </row>
    <row r="3697" customFormat="false" ht="16.5" hidden="false" customHeight="true" outlineLevel="0" collapsed="false">
      <c r="A3697" s="2" t="s">
        <v>447</v>
      </c>
      <c r="B3697" s="2" t="s">
        <v>462</v>
      </c>
      <c r="C3697" s="2" t="s">
        <v>20</v>
      </c>
      <c r="D3697" s="2" t="str">
        <f aca="false">IF(4キー同時!$B$188="","",4キー同時!$B$188)</f>
        <v/>
      </c>
      <c r="E3697" s="2" t="str">
        <f aca="false">IF(4キー同時!$G$188="","",4キー同時!$G$188)</f>
        <v/>
      </c>
      <c r="F3697" s="2" t="str">
        <f aca="false">IF(4キー同時!$L$188="","",4キー同時!$L$188)</f>
        <v/>
      </c>
      <c r="G3697" s="2" t="str">
        <f aca="false">IF(OR(4キー同時!$B$188="",4キー同時!$G$188="",4キー同時!$L$188=""),"",IF(4キー同時!AN192="","",SUBSTITUTE(SUBSTITUTE(4キー同時!AN192," ",""),"　","")))</f>
        <v/>
      </c>
      <c r="H3697" s="2" t="str">
        <f aca="false">IF($G3697="","",4キー同時!$B$188)</f>
        <v/>
      </c>
      <c r="I3697" s="2" t="str">
        <f aca="false">IF($G3697="","",4キー同時!$G$188)</f>
        <v/>
      </c>
      <c r="J3697" s="2" t="str">
        <f aca="false">IF($G3697="","",4キー同時!$L$188)</f>
        <v/>
      </c>
      <c r="K3697" s="2" t="str">
        <f aca="false">IF($G3697="","","o")</f>
        <v/>
      </c>
      <c r="L3697" s="2" t="str">
        <f aca="false">IF($G3697="","","同時")</f>
        <v/>
      </c>
      <c r="M3697" s="2" t="str">
        <f aca="false">IF($G3697="","",IF(ISNA(MATCH($G3697,個別指定!$A:$A,0)),"行なし",""))</f>
        <v/>
      </c>
      <c r="N3697" s="2" t="str">
        <f aca="false">IF($G3697="","",IF(COUNTIF($G$2:$G$4460,$G3697)&gt;1,"重複",""))</f>
        <v/>
      </c>
    </row>
    <row r="3698" customFormat="false" ht="16.5" hidden="false" customHeight="true" outlineLevel="0" collapsed="false">
      <c r="A3698" s="2" t="s">
        <v>447</v>
      </c>
      <c r="B3698" s="2" t="s">
        <v>462</v>
      </c>
      <c r="C3698" s="2" t="s">
        <v>21</v>
      </c>
      <c r="D3698" s="2" t="str">
        <f aca="false">IF(4キー同時!$B$188="","",4キー同時!$B$188)</f>
        <v/>
      </c>
      <c r="E3698" s="2" t="str">
        <f aca="false">IF(4キー同時!$G$188="","",4キー同時!$G$188)</f>
        <v/>
      </c>
      <c r="F3698" s="2" t="str">
        <f aca="false">IF(4キー同時!$L$188="","",4キー同時!$L$188)</f>
        <v/>
      </c>
      <c r="G3698" s="2" t="str">
        <f aca="false">IF(OR(4キー同時!$B$188="",4キー同時!$G$188="",4キー同時!$L$188=""),"",IF(4キー同時!AR192="","",SUBSTITUTE(SUBSTITUTE(4キー同時!AR192," ",""),"　","")))</f>
        <v/>
      </c>
      <c r="H3698" s="2" t="str">
        <f aca="false">IF($G3698="","",4キー同時!$B$188)</f>
        <v/>
      </c>
      <c r="I3698" s="2" t="str">
        <f aca="false">IF($G3698="","",4キー同時!$G$188)</f>
        <v/>
      </c>
      <c r="J3698" s="2" t="str">
        <f aca="false">IF($G3698="","",4キー同時!$L$188)</f>
        <v/>
      </c>
      <c r="K3698" s="2" t="str">
        <f aca="false">IF($G3698="","","p")</f>
        <v/>
      </c>
      <c r="L3698" s="2" t="str">
        <f aca="false">IF($G3698="","","同時")</f>
        <v/>
      </c>
      <c r="M3698" s="2" t="str">
        <f aca="false">IF($G3698="","",IF(ISNA(MATCH($G3698,個別指定!$A:$A,0)),"行なし",""))</f>
        <v/>
      </c>
      <c r="N3698" s="2" t="str">
        <f aca="false">IF($G3698="","",IF(COUNTIF($G$2:$G$4460,$G3698)&gt;1,"重複",""))</f>
        <v/>
      </c>
    </row>
    <row r="3699" customFormat="false" ht="16.5" hidden="false" customHeight="true" outlineLevel="0" collapsed="false">
      <c r="A3699" s="2" t="s">
        <v>447</v>
      </c>
      <c r="B3699" s="2" t="s">
        <v>462</v>
      </c>
      <c r="C3699" s="2" t="s">
        <v>22</v>
      </c>
      <c r="D3699" s="2" t="str">
        <f aca="false">IF(4キー同時!$B$188="","",4キー同時!$B$188)</f>
        <v/>
      </c>
      <c r="E3699" s="2" t="str">
        <f aca="false">IF(4キー同時!$G$188="","",4キー同時!$G$188)</f>
        <v/>
      </c>
      <c r="F3699" s="2" t="str">
        <f aca="false">IF(4キー同時!$L$188="","",4キー同時!$L$188)</f>
        <v/>
      </c>
      <c r="G3699" s="2" t="str">
        <f aca="false">IF(OR(4キー同時!$B$188="",4キー同時!$G$188="",4キー同時!$L$188=""),"",IF(4キー同時!AV192="","",SUBSTITUTE(SUBSTITUTE(4キー同時!AV192," ",""),"　","")))</f>
        <v/>
      </c>
      <c r="H3699" s="2" t="str">
        <f aca="false">IF($G3699="","",4キー同時!$B$188)</f>
        <v/>
      </c>
      <c r="I3699" s="2" t="str">
        <f aca="false">IF($G3699="","",4キー同時!$G$188)</f>
        <v/>
      </c>
      <c r="J3699" s="2" t="str">
        <f aca="false">IF($G3699="","",4キー同時!$L$188)</f>
        <v/>
      </c>
      <c r="K3699" s="2" t="str">
        <f aca="false">IF($G3699="","","[")</f>
        <v/>
      </c>
      <c r="L3699" s="2" t="str">
        <f aca="false">IF($G3699="","","同時")</f>
        <v/>
      </c>
      <c r="M3699" s="2" t="str">
        <f aca="false">IF($G3699="","",IF(ISNA(MATCH($G3699,個別指定!$A:$A,0)),"行なし",""))</f>
        <v/>
      </c>
      <c r="N3699" s="2" t="str">
        <f aca="false">IF($G3699="","",IF(COUNTIF($G$2:$G$4460,$G3699)&gt;1,"重複",""))</f>
        <v/>
      </c>
    </row>
    <row r="3700" customFormat="false" ht="16.5" hidden="false" customHeight="true" outlineLevel="0" collapsed="false">
      <c r="A3700" s="2" t="s">
        <v>447</v>
      </c>
      <c r="B3700" s="2" t="s">
        <v>462</v>
      </c>
      <c r="C3700" s="2" t="s">
        <v>23</v>
      </c>
      <c r="D3700" s="2" t="str">
        <f aca="false">IF(4キー同時!$B$188="","",4キー同時!$B$188)</f>
        <v/>
      </c>
      <c r="E3700" s="2" t="str">
        <f aca="false">IF(4キー同時!$G$188="","",4キー同時!$G$188)</f>
        <v/>
      </c>
      <c r="F3700" s="2" t="str">
        <f aca="false">IF(4キー同時!$L$188="","",4キー同時!$L$188)</f>
        <v/>
      </c>
      <c r="G3700" s="2" t="str">
        <f aca="false">IF(OR(4キー同時!$B$188="",4キー同時!$G$188="",4キー同時!$L$188=""),"",IF(4キー同時!AZ192="","",SUBSTITUTE(SUBSTITUTE(4キー同時!AZ192," ",""),"　","")))</f>
        <v/>
      </c>
      <c r="H3700" s="2" t="str">
        <f aca="false">IF($G3700="","",4キー同時!$B$188)</f>
        <v/>
      </c>
      <c r="I3700" s="2" t="str">
        <f aca="false">IF($G3700="","",4キー同時!$G$188)</f>
        <v/>
      </c>
      <c r="J3700" s="2" t="str">
        <f aca="false">IF($G3700="","",4キー同時!$L$188)</f>
        <v/>
      </c>
      <c r="K3700" s="2" t="str">
        <f aca="false">IF($G3700="","","]")</f>
        <v/>
      </c>
      <c r="L3700" s="2" t="str">
        <f aca="false">IF($G3700="","","同時")</f>
        <v/>
      </c>
      <c r="M3700" s="2" t="str">
        <f aca="false">IF($G3700="","",IF(ISNA(MATCH($G3700,個別指定!$A:$A,0)),"行なし",""))</f>
        <v/>
      </c>
      <c r="N3700" s="2" t="str">
        <f aca="false">IF($G3700="","",IF(COUNTIF($G$2:$G$4460,$G3700)&gt;1,"重複",""))</f>
        <v/>
      </c>
    </row>
    <row r="3701" customFormat="false" ht="16.5" hidden="false" customHeight="true" outlineLevel="0" collapsed="false">
      <c r="A3701" s="2" t="s">
        <v>447</v>
      </c>
      <c r="B3701" s="2" t="s">
        <v>462</v>
      </c>
      <c r="C3701" s="2" t="s">
        <v>24</v>
      </c>
      <c r="D3701" s="2" t="str">
        <f aca="false">IF(4キー同時!$B$188="","",4キー同時!$B$188)</f>
        <v/>
      </c>
      <c r="E3701" s="2" t="str">
        <f aca="false">IF(4キー同時!$G$188="","",4キー同時!$G$188)</f>
        <v/>
      </c>
      <c r="F3701" s="2" t="str">
        <f aca="false">IF(4キー同時!$L$188="","",4キー同時!$L$188)</f>
        <v/>
      </c>
      <c r="G3701" s="2" t="str">
        <f aca="false">IF(OR(4キー同時!$B$188="",4キー同時!$G$188="",4キー同時!$L$188=""),"",IF(4キー同時!I194="","",SUBSTITUTE(SUBSTITUTE(4キー同時!I194," ",""),"　","")))</f>
        <v/>
      </c>
      <c r="H3701" s="2" t="str">
        <f aca="false">IF($G3701="","",4キー同時!$B$188)</f>
        <v/>
      </c>
      <c r="I3701" s="2" t="str">
        <f aca="false">IF($G3701="","",4キー同時!$G$188)</f>
        <v/>
      </c>
      <c r="J3701" s="2" t="str">
        <f aca="false">IF($G3701="","",4キー同時!$L$188)</f>
        <v/>
      </c>
      <c r="K3701" s="2" t="str">
        <f aca="false">IF($G3701="","","a")</f>
        <v/>
      </c>
      <c r="L3701" s="2" t="str">
        <f aca="false">IF($G3701="","","同時")</f>
        <v/>
      </c>
      <c r="M3701" s="2" t="str">
        <f aca="false">IF($G3701="","",IF(ISNA(MATCH($G3701,個別指定!$A:$A,0)),"行なし",""))</f>
        <v/>
      </c>
      <c r="N3701" s="2" t="str">
        <f aca="false">IF($G3701="","",IF(COUNTIF($G$2:$G$4460,$G3701)&gt;1,"重複",""))</f>
        <v/>
      </c>
    </row>
    <row r="3702" customFormat="false" ht="16.5" hidden="false" customHeight="true" outlineLevel="0" collapsed="false">
      <c r="A3702" s="2" t="s">
        <v>447</v>
      </c>
      <c r="B3702" s="2" t="s">
        <v>462</v>
      </c>
      <c r="C3702" s="2" t="s">
        <v>25</v>
      </c>
      <c r="D3702" s="2" t="str">
        <f aca="false">IF(4キー同時!$B$188="","",4キー同時!$B$188)</f>
        <v/>
      </c>
      <c r="E3702" s="2" t="str">
        <f aca="false">IF(4キー同時!$G$188="","",4キー同時!$G$188)</f>
        <v/>
      </c>
      <c r="F3702" s="2" t="str">
        <f aca="false">IF(4キー同時!$L$188="","",4キー同時!$L$188)</f>
        <v/>
      </c>
      <c r="G3702" s="2" t="str">
        <f aca="false">IF(OR(4キー同時!$B$188="",4キー同時!$G$188="",4キー同時!$L$188=""),"",IF(4キー同時!M194="","",SUBSTITUTE(SUBSTITUTE(4キー同時!M194," ",""),"　","")))</f>
        <v/>
      </c>
      <c r="H3702" s="2" t="str">
        <f aca="false">IF($G3702="","",4キー同時!$B$188)</f>
        <v/>
      </c>
      <c r="I3702" s="2" t="str">
        <f aca="false">IF($G3702="","",4キー同時!$G$188)</f>
        <v/>
      </c>
      <c r="J3702" s="2" t="str">
        <f aca="false">IF($G3702="","",4キー同時!$L$188)</f>
        <v/>
      </c>
      <c r="K3702" s="2" t="str">
        <f aca="false">IF($G3702="","","s")</f>
        <v/>
      </c>
      <c r="L3702" s="2" t="str">
        <f aca="false">IF($G3702="","","同時")</f>
        <v/>
      </c>
      <c r="M3702" s="2" t="str">
        <f aca="false">IF($G3702="","",IF(ISNA(MATCH($G3702,個別指定!$A:$A,0)),"行なし",""))</f>
        <v/>
      </c>
      <c r="N3702" s="2" t="str">
        <f aca="false">IF($G3702="","",IF(COUNTIF($G$2:$G$4460,$G3702)&gt;1,"重複",""))</f>
        <v/>
      </c>
    </row>
    <row r="3703" customFormat="false" ht="16.5" hidden="false" customHeight="true" outlineLevel="0" collapsed="false">
      <c r="A3703" s="2" t="s">
        <v>447</v>
      </c>
      <c r="B3703" s="2" t="s">
        <v>462</v>
      </c>
      <c r="C3703" s="2" t="s">
        <v>26</v>
      </c>
      <c r="D3703" s="2" t="str">
        <f aca="false">IF(4キー同時!$B$188="","",4キー同時!$B$188)</f>
        <v/>
      </c>
      <c r="E3703" s="2" t="str">
        <f aca="false">IF(4キー同時!$G$188="","",4キー同時!$G$188)</f>
        <v/>
      </c>
      <c r="F3703" s="2" t="str">
        <f aca="false">IF(4キー同時!$L$188="","",4キー同時!$L$188)</f>
        <v/>
      </c>
      <c r="G3703" s="2" t="str">
        <f aca="false">IF(OR(4キー同時!$B$188="",4キー同時!$G$188="",4キー同時!$L$188=""),"",IF(4キー同時!Q194="","",SUBSTITUTE(SUBSTITUTE(4キー同時!Q194," ",""),"　","")))</f>
        <v/>
      </c>
      <c r="H3703" s="2" t="str">
        <f aca="false">IF($G3703="","",4キー同時!$B$188)</f>
        <v/>
      </c>
      <c r="I3703" s="2" t="str">
        <f aca="false">IF($G3703="","",4キー同時!$G$188)</f>
        <v/>
      </c>
      <c r="J3703" s="2" t="str">
        <f aca="false">IF($G3703="","",4キー同時!$L$188)</f>
        <v/>
      </c>
      <c r="K3703" s="2" t="str">
        <f aca="false">IF($G3703="","","d")</f>
        <v/>
      </c>
      <c r="L3703" s="2" t="str">
        <f aca="false">IF($G3703="","","同時")</f>
        <v/>
      </c>
      <c r="M3703" s="2" t="str">
        <f aca="false">IF($G3703="","",IF(ISNA(MATCH($G3703,個別指定!$A:$A,0)),"行なし",""))</f>
        <v/>
      </c>
      <c r="N3703" s="2" t="str">
        <f aca="false">IF($G3703="","",IF(COUNTIF($G$2:$G$4460,$G3703)&gt;1,"重複",""))</f>
        <v/>
      </c>
    </row>
    <row r="3704" customFormat="false" ht="16.5" hidden="false" customHeight="true" outlineLevel="0" collapsed="false">
      <c r="A3704" s="2" t="s">
        <v>447</v>
      </c>
      <c r="B3704" s="2" t="s">
        <v>462</v>
      </c>
      <c r="C3704" s="2" t="s">
        <v>27</v>
      </c>
      <c r="D3704" s="2" t="str">
        <f aca="false">IF(4キー同時!$B$188="","",4キー同時!$B$188)</f>
        <v/>
      </c>
      <c r="E3704" s="2" t="str">
        <f aca="false">IF(4キー同時!$G$188="","",4キー同時!$G$188)</f>
        <v/>
      </c>
      <c r="F3704" s="2" t="str">
        <f aca="false">IF(4キー同時!$L$188="","",4キー同時!$L$188)</f>
        <v/>
      </c>
      <c r="G3704" s="2" t="str">
        <f aca="false">IF(OR(4キー同時!$B$188="",4キー同時!$G$188="",4キー同時!$L$188=""),"",IF(4キー同時!U194="","",SUBSTITUTE(SUBSTITUTE(4キー同時!U194," ",""),"　","")))</f>
        <v/>
      </c>
      <c r="H3704" s="2" t="str">
        <f aca="false">IF($G3704="","",4キー同時!$B$188)</f>
        <v/>
      </c>
      <c r="I3704" s="2" t="str">
        <f aca="false">IF($G3704="","",4キー同時!$G$188)</f>
        <v/>
      </c>
      <c r="J3704" s="2" t="str">
        <f aca="false">IF($G3704="","",4キー同時!$L$188)</f>
        <v/>
      </c>
      <c r="K3704" s="2" t="str">
        <f aca="false">IF($G3704="","","f")</f>
        <v/>
      </c>
      <c r="L3704" s="2" t="str">
        <f aca="false">IF($G3704="","","同時")</f>
        <v/>
      </c>
      <c r="M3704" s="2" t="str">
        <f aca="false">IF($G3704="","",IF(ISNA(MATCH($G3704,個別指定!$A:$A,0)),"行なし",""))</f>
        <v/>
      </c>
      <c r="N3704" s="2" t="str">
        <f aca="false">IF($G3704="","",IF(COUNTIF($G$2:$G$4460,$G3704)&gt;1,"重複",""))</f>
        <v/>
      </c>
    </row>
    <row r="3705" customFormat="false" ht="16.5" hidden="false" customHeight="true" outlineLevel="0" collapsed="false">
      <c r="A3705" s="2" t="s">
        <v>447</v>
      </c>
      <c r="B3705" s="2" t="s">
        <v>462</v>
      </c>
      <c r="C3705" s="2" t="s">
        <v>28</v>
      </c>
      <c r="D3705" s="2" t="str">
        <f aca="false">IF(4キー同時!$B$188="","",4キー同時!$B$188)</f>
        <v/>
      </c>
      <c r="E3705" s="2" t="str">
        <f aca="false">IF(4キー同時!$G$188="","",4キー同時!$G$188)</f>
        <v/>
      </c>
      <c r="F3705" s="2" t="str">
        <f aca="false">IF(4キー同時!$L$188="","",4キー同時!$L$188)</f>
        <v/>
      </c>
      <c r="G3705" s="2" t="str">
        <f aca="false">IF(OR(4キー同時!$B$188="",4キー同時!$G$188="",4キー同時!$L$188=""),"",IF(4キー同時!Y194="","",SUBSTITUTE(SUBSTITUTE(4キー同時!Y194," ",""),"　","")))</f>
        <v/>
      </c>
      <c r="H3705" s="2" t="str">
        <f aca="false">IF($G3705="","",4キー同時!$B$188)</f>
        <v/>
      </c>
      <c r="I3705" s="2" t="str">
        <f aca="false">IF($G3705="","",4キー同時!$G$188)</f>
        <v/>
      </c>
      <c r="J3705" s="2" t="str">
        <f aca="false">IF($G3705="","",4キー同時!$L$188)</f>
        <v/>
      </c>
      <c r="K3705" s="2" t="str">
        <f aca="false">IF($G3705="","","g")</f>
        <v/>
      </c>
      <c r="L3705" s="2" t="str">
        <f aca="false">IF($G3705="","","同時")</f>
        <v/>
      </c>
      <c r="M3705" s="2" t="str">
        <f aca="false">IF($G3705="","",IF(ISNA(MATCH($G3705,個別指定!$A:$A,0)),"行なし",""))</f>
        <v/>
      </c>
      <c r="N3705" s="2" t="str">
        <f aca="false">IF($G3705="","",IF(COUNTIF($G$2:$G$4460,$G3705)&gt;1,"重複",""))</f>
        <v/>
      </c>
    </row>
    <row r="3706" customFormat="false" ht="16.5" hidden="false" customHeight="true" outlineLevel="0" collapsed="false">
      <c r="A3706" s="2" t="s">
        <v>447</v>
      </c>
      <c r="B3706" s="2" t="s">
        <v>462</v>
      </c>
      <c r="C3706" s="2" t="s">
        <v>29</v>
      </c>
      <c r="D3706" s="2" t="str">
        <f aca="false">IF(4キー同時!$B$188="","",4キー同時!$B$188)</f>
        <v/>
      </c>
      <c r="E3706" s="2" t="str">
        <f aca="false">IF(4キー同時!$G$188="","",4キー同時!$G$188)</f>
        <v/>
      </c>
      <c r="F3706" s="2" t="str">
        <f aca="false">IF(4キー同時!$L$188="","",4キー同時!$L$188)</f>
        <v/>
      </c>
      <c r="G3706" s="2" t="str">
        <f aca="false">IF(OR(4キー同時!$B$188="",4キー同時!$G$188="",4キー同時!$L$188=""),"",IF(4キー同時!AC194="","",SUBSTITUTE(SUBSTITUTE(4キー同時!AC194," ",""),"　","")))</f>
        <v/>
      </c>
      <c r="H3706" s="2" t="str">
        <f aca="false">IF($G3706="","",4キー同時!$B$188)</f>
        <v/>
      </c>
      <c r="I3706" s="2" t="str">
        <f aca="false">IF($G3706="","",4キー同時!$G$188)</f>
        <v/>
      </c>
      <c r="J3706" s="2" t="str">
        <f aca="false">IF($G3706="","",4キー同時!$L$188)</f>
        <v/>
      </c>
      <c r="K3706" s="2" t="str">
        <f aca="false">IF($G3706="","","h")</f>
        <v/>
      </c>
      <c r="L3706" s="2" t="str">
        <f aca="false">IF($G3706="","","同時")</f>
        <v/>
      </c>
      <c r="M3706" s="2" t="str">
        <f aca="false">IF($G3706="","",IF(ISNA(MATCH($G3706,個別指定!$A:$A,0)),"行なし",""))</f>
        <v/>
      </c>
      <c r="N3706" s="2" t="str">
        <f aca="false">IF($G3706="","",IF(COUNTIF($G$2:$G$4460,$G3706)&gt;1,"重複",""))</f>
        <v/>
      </c>
    </row>
    <row r="3707" customFormat="false" ht="16.5" hidden="false" customHeight="true" outlineLevel="0" collapsed="false">
      <c r="A3707" s="2" t="s">
        <v>447</v>
      </c>
      <c r="B3707" s="2" t="s">
        <v>462</v>
      </c>
      <c r="C3707" s="2" t="s">
        <v>30</v>
      </c>
      <c r="D3707" s="2" t="str">
        <f aca="false">IF(4キー同時!$B$188="","",4キー同時!$B$188)</f>
        <v/>
      </c>
      <c r="E3707" s="2" t="str">
        <f aca="false">IF(4キー同時!$G$188="","",4キー同時!$G$188)</f>
        <v/>
      </c>
      <c r="F3707" s="2" t="str">
        <f aca="false">IF(4キー同時!$L$188="","",4キー同時!$L$188)</f>
        <v/>
      </c>
      <c r="G3707" s="2" t="str">
        <f aca="false">IF(OR(4キー同時!$B$188="",4キー同時!$G$188="",4キー同時!$L$188=""),"",IF(4キー同時!AG194="","",SUBSTITUTE(SUBSTITUTE(4キー同時!AG194," ",""),"　","")))</f>
        <v/>
      </c>
      <c r="H3707" s="2" t="str">
        <f aca="false">IF($G3707="","",4キー同時!$B$188)</f>
        <v/>
      </c>
      <c r="I3707" s="2" t="str">
        <f aca="false">IF($G3707="","",4キー同時!$G$188)</f>
        <v/>
      </c>
      <c r="J3707" s="2" t="str">
        <f aca="false">IF($G3707="","",4キー同時!$L$188)</f>
        <v/>
      </c>
      <c r="K3707" s="2" t="str">
        <f aca="false">IF($G3707="","","j")</f>
        <v/>
      </c>
      <c r="L3707" s="2" t="str">
        <f aca="false">IF($G3707="","","同時")</f>
        <v/>
      </c>
      <c r="M3707" s="2" t="str">
        <f aca="false">IF($G3707="","",IF(ISNA(MATCH($G3707,個別指定!$A:$A,0)),"行なし",""))</f>
        <v/>
      </c>
      <c r="N3707" s="2" t="str">
        <f aca="false">IF($G3707="","",IF(COUNTIF($G$2:$G$4460,$G3707)&gt;1,"重複",""))</f>
        <v/>
      </c>
    </row>
    <row r="3708" customFormat="false" ht="16.5" hidden="false" customHeight="true" outlineLevel="0" collapsed="false">
      <c r="A3708" s="2" t="s">
        <v>447</v>
      </c>
      <c r="B3708" s="2" t="s">
        <v>462</v>
      </c>
      <c r="C3708" s="2" t="s">
        <v>31</v>
      </c>
      <c r="D3708" s="2" t="str">
        <f aca="false">IF(4キー同時!$B$188="","",4キー同時!$B$188)</f>
        <v/>
      </c>
      <c r="E3708" s="2" t="str">
        <f aca="false">IF(4キー同時!$G$188="","",4キー同時!$G$188)</f>
        <v/>
      </c>
      <c r="F3708" s="2" t="str">
        <f aca="false">IF(4キー同時!$L$188="","",4キー同時!$L$188)</f>
        <v/>
      </c>
      <c r="G3708" s="2" t="str">
        <f aca="false">IF(OR(4キー同時!$B$188="",4キー同時!$G$188="",4キー同時!$L$188=""),"",IF(4キー同時!AK194="","",SUBSTITUTE(SUBSTITUTE(4キー同時!AK194," ",""),"　","")))</f>
        <v/>
      </c>
      <c r="H3708" s="2" t="str">
        <f aca="false">IF($G3708="","",4キー同時!$B$188)</f>
        <v/>
      </c>
      <c r="I3708" s="2" t="str">
        <f aca="false">IF($G3708="","",4キー同時!$G$188)</f>
        <v/>
      </c>
      <c r="J3708" s="2" t="str">
        <f aca="false">IF($G3708="","",4キー同時!$L$188)</f>
        <v/>
      </c>
      <c r="K3708" s="2" t="str">
        <f aca="false">IF($G3708="","","k")</f>
        <v/>
      </c>
      <c r="L3708" s="2" t="str">
        <f aca="false">IF($G3708="","","同時")</f>
        <v/>
      </c>
      <c r="M3708" s="2" t="str">
        <f aca="false">IF($G3708="","",IF(ISNA(MATCH($G3708,個別指定!$A:$A,0)),"行なし",""))</f>
        <v/>
      </c>
      <c r="N3708" s="2" t="str">
        <f aca="false">IF($G3708="","",IF(COUNTIF($G$2:$G$4460,$G3708)&gt;1,"重複",""))</f>
        <v/>
      </c>
    </row>
    <row r="3709" customFormat="false" ht="16.5" hidden="false" customHeight="true" outlineLevel="0" collapsed="false">
      <c r="A3709" s="2" t="s">
        <v>447</v>
      </c>
      <c r="B3709" s="2" t="s">
        <v>462</v>
      </c>
      <c r="C3709" s="2" t="s">
        <v>32</v>
      </c>
      <c r="D3709" s="2" t="str">
        <f aca="false">IF(4キー同時!$B$188="","",4キー同時!$B$188)</f>
        <v/>
      </c>
      <c r="E3709" s="2" t="str">
        <f aca="false">IF(4キー同時!$G$188="","",4キー同時!$G$188)</f>
        <v/>
      </c>
      <c r="F3709" s="2" t="str">
        <f aca="false">IF(4キー同時!$L$188="","",4キー同時!$L$188)</f>
        <v/>
      </c>
      <c r="G3709" s="2" t="str">
        <f aca="false">IF(OR(4キー同時!$B$188="",4キー同時!$G$188="",4キー同時!$L$188=""),"",IF(4キー同時!AO194="","",SUBSTITUTE(SUBSTITUTE(4キー同時!AO194," ",""),"　","")))</f>
        <v/>
      </c>
      <c r="H3709" s="2" t="str">
        <f aca="false">IF($G3709="","",4キー同時!$B$188)</f>
        <v/>
      </c>
      <c r="I3709" s="2" t="str">
        <f aca="false">IF($G3709="","",4キー同時!$G$188)</f>
        <v/>
      </c>
      <c r="J3709" s="2" t="str">
        <f aca="false">IF($G3709="","",4キー同時!$L$188)</f>
        <v/>
      </c>
      <c r="K3709" s="2" t="str">
        <f aca="false">IF($G3709="","","l")</f>
        <v/>
      </c>
      <c r="L3709" s="2" t="str">
        <f aca="false">IF($G3709="","","同時")</f>
        <v/>
      </c>
      <c r="M3709" s="2" t="str">
        <f aca="false">IF($G3709="","",IF(ISNA(MATCH($G3709,個別指定!$A:$A,0)),"行なし",""))</f>
        <v/>
      </c>
      <c r="N3709" s="2" t="str">
        <f aca="false">IF($G3709="","",IF(COUNTIF($G$2:$G$4460,$G3709)&gt;1,"重複",""))</f>
        <v/>
      </c>
    </row>
    <row r="3710" customFormat="false" ht="16.5" hidden="false" customHeight="true" outlineLevel="0" collapsed="false">
      <c r="A3710" s="2" t="s">
        <v>447</v>
      </c>
      <c r="B3710" s="2" t="s">
        <v>462</v>
      </c>
      <c r="C3710" s="2" t="s">
        <v>33</v>
      </c>
      <c r="D3710" s="2" t="str">
        <f aca="false">IF(4キー同時!$B$188="","",4キー同時!$B$188)</f>
        <v/>
      </c>
      <c r="E3710" s="2" t="str">
        <f aca="false">IF(4キー同時!$G$188="","",4キー同時!$G$188)</f>
        <v/>
      </c>
      <c r="F3710" s="2" t="str">
        <f aca="false">IF(4キー同時!$L$188="","",4キー同時!$L$188)</f>
        <v/>
      </c>
      <c r="G3710" s="2" t="str">
        <f aca="false">IF(OR(4キー同時!$B$188="",4キー同時!$G$188="",4キー同時!$L$188=""),"",IF(4キー同時!AS194="","",SUBSTITUTE(SUBSTITUTE(4キー同時!AS194," ",""),"　","")))</f>
        <v/>
      </c>
      <c r="H3710" s="2" t="str">
        <f aca="false">IF($G3710="","",4キー同時!$B$188)</f>
        <v/>
      </c>
      <c r="I3710" s="2" t="str">
        <f aca="false">IF($G3710="","",4キー同時!$G$188)</f>
        <v/>
      </c>
      <c r="J3710" s="2" t="str">
        <f aca="false">IF($G3710="","",4キー同時!$L$188)</f>
        <v/>
      </c>
      <c r="K3710" s="2" t="str">
        <f aca="false">IF($G3710="","",";")</f>
        <v/>
      </c>
      <c r="L3710" s="2" t="str">
        <f aca="false">IF($G3710="","","同時")</f>
        <v/>
      </c>
      <c r="M3710" s="2" t="str">
        <f aca="false">IF($G3710="","",IF(ISNA(MATCH($G3710,個別指定!$A:$A,0)),"行なし",""))</f>
        <v/>
      </c>
      <c r="N3710" s="2" t="str">
        <f aca="false">IF($G3710="","",IF(COUNTIF($G$2:$G$4460,$G3710)&gt;1,"重複",""))</f>
        <v/>
      </c>
    </row>
    <row r="3711" customFormat="false" ht="16.5" hidden="false" customHeight="true" outlineLevel="0" collapsed="false">
      <c r="A3711" s="2" t="s">
        <v>447</v>
      </c>
      <c r="B3711" s="2" t="s">
        <v>462</v>
      </c>
      <c r="C3711" s="2" t="s">
        <v>34</v>
      </c>
      <c r="D3711" s="2" t="str">
        <f aca="false">IF(4キー同時!$B$188="","",4キー同時!$B$188)</f>
        <v/>
      </c>
      <c r="E3711" s="2" t="str">
        <f aca="false">IF(4キー同時!$G$188="","",4キー同時!$G$188)</f>
        <v/>
      </c>
      <c r="F3711" s="2" t="str">
        <f aca="false">IF(4キー同時!$L$188="","",4キー同時!$L$188)</f>
        <v/>
      </c>
      <c r="G3711" s="2" t="str">
        <f aca="false">IF(OR(4キー同時!$B$188="",4キー同時!$G$188="",4キー同時!$L$188=""),"",IF(4キー同時!AW194="","",SUBSTITUTE(SUBSTITUTE(4キー同時!AW194," ",""),"　","")))</f>
        <v/>
      </c>
      <c r="H3711" s="2" t="str">
        <f aca="false">IF($G3711="","",4キー同時!$B$188)</f>
        <v/>
      </c>
      <c r="I3711" s="2" t="str">
        <f aca="false">IF($G3711="","",4キー同時!$G$188)</f>
        <v/>
      </c>
      <c r="J3711" s="2" t="str">
        <f aca="false">IF($G3711="","",4キー同時!$L$188)</f>
        <v/>
      </c>
      <c r="K3711" s="2" t="str">
        <f aca="false">IF($G3711="","","'")</f>
        <v/>
      </c>
      <c r="L3711" s="2" t="str">
        <f aca="false">IF($G3711="","","同時")</f>
        <v/>
      </c>
      <c r="M3711" s="2" t="str">
        <f aca="false">IF($G3711="","",IF(ISNA(MATCH($G3711,個別指定!$A:$A,0)),"行なし",""))</f>
        <v/>
      </c>
      <c r="N3711" s="2" t="str">
        <f aca="false">IF($G3711="","",IF(COUNTIF($G$2:$G$4460,$G3711)&gt;1,"重複",""))</f>
        <v/>
      </c>
    </row>
    <row r="3712" customFormat="false" ht="16.5" hidden="false" customHeight="true" outlineLevel="0" collapsed="false">
      <c r="A3712" s="2" t="s">
        <v>447</v>
      </c>
      <c r="B3712" s="2" t="s">
        <v>462</v>
      </c>
      <c r="C3712" s="2" t="s">
        <v>35</v>
      </c>
      <c r="D3712" s="2" t="str">
        <f aca="false">IF(4キー同時!$B$188="","",4キー同時!$B$188)</f>
        <v/>
      </c>
      <c r="E3712" s="2" t="str">
        <f aca="false">IF(4キー同時!$G$188="","",4キー同時!$G$188)</f>
        <v/>
      </c>
      <c r="F3712" s="2" t="str">
        <f aca="false">IF(4キー同時!$L$188="","",4キー同時!$L$188)</f>
        <v/>
      </c>
      <c r="G3712" s="2" t="str">
        <f aca="false">IF(OR(4キー同時!$B$188="",4キー同時!$G$188="",4キー同時!$L$188=""),"",IF(4キー同時!K196="","",SUBSTITUTE(SUBSTITUTE(4キー同時!K196," ",""),"　","")))</f>
        <v/>
      </c>
      <c r="H3712" s="2" t="str">
        <f aca="false">IF($G3712="","",4キー同時!$B$188)</f>
        <v/>
      </c>
      <c r="I3712" s="2" t="str">
        <f aca="false">IF($G3712="","",4キー同時!$G$188)</f>
        <v/>
      </c>
      <c r="J3712" s="2" t="str">
        <f aca="false">IF($G3712="","",4キー同時!$L$188)</f>
        <v/>
      </c>
      <c r="K3712" s="2" t="str">
        <f aca="false">IF($G3712="","","z")</f>
        <v/>
      </c>
      <c r="L3712" s="2" t="str">
        <f aca="false">IF($G3712="","","同時")</f>
        <v/>
      </c>
      <c r="M3712" s="2" t="str">
        <f aca="false">IF($G3712="","",IF(ISNA(MATCH($G3712,個別指定!$A:$A,0)),"行なし",""))</f>
        <v/>
      </c>
      <c r="N3712" s="2" t="str">
        <f aca="false">IF($G3712="","",IF(COUNTIF($G$2:$G$4460,$G3712)&gt;1,"重複",""))</f>
        <v/>
      </c>
    </row>
    <row r="3713" customFormat="false" ht="16.5" hidden="false" customHeight="true" outlineLevel="0" collapsed="false">
      <c r="A3713" s="2" t="s">
        <v>447</v>
      </c>
      <c r="B3713" s="2" t="s">
        <v>462</v>
      </c>
      <c r="C3713" s="2" t="s">
        <v>36</v>
      </c>
      <c r="D3713" s="2" t="str">
        <f aca="false">IF(4キー同時!$B$188="","",4キー同時!$B$188)</f>
        <v/>
      </c>
      <c r="E3713" s="2" t="str">
        <f aca="false">IF(4キー同時!$G$188="","",4キー同時!$G$188)</f>
        <v/>
      </c>
      <c r="F3713" s="2" t="str">
        <f aca="false">IF(4キー同時!$L$188="","",4キー同時!$L$188)</f>
        <v/>
      </c>
      <c r="G3713" s="2" t="str">
        <f aca="false">IF(OR(4キー同時!$B$188="",4キー同時!$G$188="",4キー同時!$L$188=""),"",IF(4キー同時!O196="","",SUBSTITUTE(SUBSTITUTE(4キー同時!O196," ",""),"　","")))</f>
        <v/>
      </c>
      <c r="H3713" s="2" t="str">
        <f aca="false">IF($G3713="","",4キー同時!$B$188)</f>
        <v/>
      </c>
      <c r="I3713" s="2" t="str">
        <f aca="false">IF($G3713="","",4キー同時!$G$188)</f>
        <v/>
      </c>
      <c r="J3713" s="2" t="str">
        <f aca="false">IF($G3713="","",4キー同時!$L$188)</f>
        <v/>
      </c>
      <c r="K3713" s="2" t="str">
        <f aca="false">IF($G3713="","","x")</f>
        <v/>
      </c>
      <c r="L3713" s="2" t="str">
        <f aca="false">IF($G3713="","","同時")</f>
        <v/>
      </c>
      <c r="M3713" s="2" t="str">
        <f aca="false">IF($G3713="","",IF(ISNA(MATCH($G3713,個別指定!$A:$A,0)),"行なし",""))</f>
        <v/>
      </c>
      <c r="N3713" s="2" t="str">
        <f aca="false">IF($G3713="","",IF(COUNTIF($G$2:$G$4460,$G3713)&gt;1,"重複",""))</f>
        <v/>
      </c>
    </row>
    <row r="3714" customFormat="false" ht="16.5" hidden="false" customHeight="true" outlineLevel="0" collapsed="false">
      <c r="A3714" s="2" t="s">
        <v>447</v>
      </c>
      <c r="B3714" s="2" t="s">
        <v>462</v>
      </c>
      <c r="C3714" s="2" t="s">
        <v>37</v>
      </c>
      <c r="D3714" s="2" t="str">
        <f aca="false">IF(4キー同時!$B$188="","",4キー同時!$B$188)</f>
        <v/>
      </c>
      <c r="E3714" s="2" t="str">
        <f aca="false">IF(4キー同時!$G$188="","",4キー同時!$G$188)</f>
        <v/>
      </c>
      <c r="F3714" s="2" t="str">
        <f aca="false">IF(4キー同時!$L$188="","",4キー同時!$L$188)</f>
        <v/>
      </c>
      <c r="G3714" s="2" t="str">
        <f aca="false">IF(OR(4キー同時!$B$188="",4キー同時!$G$188="",4キー同時!$L$188=""),"",IF(4キー同時!S196="","",SUBSTITUTE(SUBSTITUTE(4キー同時!S196," ",""),"　","")))</f>
        <v/>
      </c>
      <c r="H3714" s="2" t="str">
        <f aca="false">IF($G3714="","",4キー同時!$B$188)</f>
        <v/>
      </c>
      <c r="I3714" s="2" t="str">
        <f aca="false">IF($G3714="","",4キー同時!$G$188)</f>
        <v/>
      </c>
      <c r="J3714" s="2" t="str">
        <f aca="false">IF($G3714="","",4キー同時!$L$188)</f>
        <v/>
      </c>
      <c r="K3714" s="2" t="str">
        <f aca="false">IF($G3714="","","c")</f>
        <v/>
      </c>
      <c r="L3714" s="2" t="str">
        <f aca="false">IF($G3714="","","同時")</f>
        <v/>
      </c>
      <c r="M3714" s="2" t="str">
        <f aca="false">IF($G3714="","",IF(ISNA(MATCH($G3714,個別指定!$A:$A,0)),"行なし",""))</f>
        <v/>
      </c>
      <c r="N3714" s="2" t="str">
        <f aca="false">IF($G3714="","",IF(COUNTIF($G$2:$G$4460,$G3714)&gt;1,"重複",""))</f>
        <v/>
      </c>
    </row>
    <row r="3715" customFormat="false" ht="16.5" hidden="false" customHeight="true" outlineLevel="0" collapsed="false">
      <c r="A3715" s="2" t="s">
        <v>447</v>
      </c>
      <c r="B3715" s="2" t="s">
        <v>462</v>
      </c>
      <c r="C3715" s="2" t="s">
        <v>38</v>
      </c>
      <c r="D3715" s="2" t="str">
        <f aca="false">IF(4キー同時!$B$188="","",4キー同時!$B$188)</f>
        <v/>
      </c>
      <c r="E3715" s="2" t="str">
        <f aca="false">IF(4キー同時!$G$188="","",4キー同時!$G$188)</f>
        <v/>
      </c>
      <c r="F3715" s="2" t="str">
        <f aca="false">IF(4キー同時!$L$188="","",4キー同時!$L$188)</f>
        <v/>
      </c>
      <c r="G3715" s="2" t="str">
        <f aca="false">IF(OR(4キー同時!$B$188="",4キー同時!$G$188="",4キー同時!$L$188=""),"",IF(4キー同時!W196="","",SUBSTITUTE(SUBSTITUTE(4キー同時!W196," ",""),"　","")))</f>
        <v/>
      </c>
      <c r="H3715" s="2" t="str">
        <f aca="false">IF($G3715="","",4キー同時!$B$188)</f>
        <v/>
      </c>
      <c r="I3715" s="2" t="str">
        <f aca="false">IF($G3715="","",4キー同時!$G$188)</f>
        <v/>
      </c>
      <c r="J3715" s="2" t="str">
        <f aca="false">IF($G3715="","",4キー同時!$L$188)</f>
        <v/>
      </c>
      <c r="K3715" s="2" t="str">
        <f aca="false">IF($G3715="","","v")</f>
        <v/>
      </c>
      <c r="L3715" s="2" t="str">
        <f aca="false">IF($G3715="","","同時")</f>
        <v/>
      </c>
      <c r="M3715" s="2" t="str">
        <f aca="false">IF($G3715="","",IF(ISNA(MATCH($G3715,個別指定!$A:$A,0)),"行なし",""))</f>
        <v/>
      </c>
      <c r="N3715" s="2" t="str">
        <f aca="false">IF($G3715="","",IF(COUNTIF($G$2:$G$4460,$G3715)&gt;1,"重複",""))</f>
        <v/>
      </c>
    </row>
    <row r="3716" customFormat="false" ht="16.5" hidden="false" customHeight="true" outlineLevel="0" collapsed="false">
      <c r="A3716" s="2" t="s">
        <v>447</v>
      </c>
      <c r="B3716" s="2" t="s">
        <v>462</v>
      </c>
      <c r="C3716" s="2" t="s">
        <v>39</v>
      </c>
      <c r="D3716" s="2" t="str">
        <f aca="false">IF(4キー同時!$B$188="","",4キー同時!$B$188)</f>
        <v/>
      </c>
      <c r="E3716" s="2" t="str">
        <f aca="false">IF(4キー同時!$G$188="","",4キー同時!$G$188)</f>
        <v/>
      </c>
      <c r="F3716" s="2" t="str">
        <f aca="false">IF(4キー同時!$L$188="","",4キー同時!$L$188)</f>
        <v/>
      </c>
      <c r="G3716" s="2" t="str">
        <f aca="false">IF(OR(4キー同時!$B$188="",4キー同時!$G$188="",4キー同時!$L$188=""),"",IF(4キー同時!AA196="","",SUBSTITUTE(SUBSTITUTE(4キー同時!AA196," ",""),"　","")))</f>
        <v/>
      </c>
      <c r="H3716" s="2" t="str">
        <f aca="false">IF($G3716="","",4キー同時!$B$188)</f>
        <v/>
      </c>
      <c r="I3716" s="2" t="str">
        <f aca="false">IF($G3716="","",4キー同時!$G$188)</f>
        <v/>
      </c>
      <c r="J3716" s="2" t="str">
        <f aca="false">IF($G3716="","",4キー同時!$L$188)</f>
        <v/>
      </c>
      <c r="K3716" s="2" t="str">
        <f aca="false">IF($G3716="","","b")</f>
        <v/>
      </c>
      <c r="L3716" s="2" t="str">
        <f aca="false">IF($G3716="","","同時")</f>
        <v/>
      </c>
      <c r="M3716" s="2" t="str">
        <f aca="false">IF($G3716="","",IF(ISNA(MATCH($G3716,個別指定!$A:$A,0)),"行なし",""))</f>
        <v/>
      </c>
      <c r="N3716" s="2" t="str">
        <f aca="false">IF($G3716="","",IF(COUNTIF($G$2:$G$4460,$G3716)&gt;1,"重複",""))</f>
        <v/>
      </c>
    </row>
    <row r="3717" customFormat="false" ht="16.5" hidden="false" customHeight="true" outlineLevel="0" collapsed="false">
      <c r="A3717" s="2" t="s">
        <v>447</v>
      </c>
      <c r="B3717" s="2" t="s">
        <v>462</v>
      </c>
      <c r="C3717" s="2" t="s">
        <v>40</v>
      </c>
      <c r="D3717" s="2" t="str">
        <f aca="false">IF(4キー同時!$B$188="","",4キー同時!$B$188)</f>
        <v/>
      </c>
      <c r="E3717" s="2" t="str">
        <f aca="false">IF(4キー同時!$G$188="","",4キー同時!$G$188)</f>
        <v/>
      </c>
      <c r="F3717" s="2" t="str">
        <f aca="false">IF(4キー同時!$L$188="","",4キー同時!$L$188)</f>
        <v/>
      </c>
      <c r="G3717" s="2" t="str">
        <f aca="false">IF(OR(4キー同時!$B$188="",4キー同時!$G$188="",4キー同時!$L$188=""),"",IF(4キー同時!AE196="","",SUBSTITUTE(SUBSTITUTE(4キー同時!AE196," ",""),"　","")))</f>
        <v/>
      </c>
      <c r="H3717" s="2" t="str">
        <f aca="false">IF($G3717="","",4キー同時!$B$188)</f>
        <v/>
      </c>
      <c r="I3717" s="2" t="str">
        <f aca="false">IF($G3717="","",4キー同時!$G$188)</f>
        <v/>
      </c>
      <c r="J3717" s="2" t="str">
        <f aca="false">IF($G3717="","",4キー同時!$L$188)</f>
        <v/>
      </c>
      <c r="K3717" s="2" t="str">
        <f aca="false">IF($G3717="","","n")</f>
        <v/>
      </c>
      <c r="L3717" s="2" t="str">
        <f aca="false">IF($G3717="","","同時")</f>
        <v/>
      </c>
      <c r="M3717" s="2" t="str">
        <f aca="false">IF($G3717="","",IF(ISNA(MATCH($G3717,個別指定!$A:$A,0)),"行なし",""))</f>
        <v/>
      </c>
      <c r="N3717" s="2" t="str">
        <f aca="false">IF($G3717="","",IF(COUNTIF($G$2:$G$4460,$G3717)&gt;1,"重複",""))</f>
        <v/>
      </c>
    </row>
    <row r="3718" customFormat="false" ht="16.5" hidden="false" customHeight="true" outlineLevel="0" collapsed="false">
      <c r="A3718" s="2" t="s">
        <v>447</v>
      </c>
      <c r="B3718" s="2" t="s">
        <v>462</v>
      </c>
      <c r="C3718" s="2" t="s">
        <v>41</v>
      </c>
      <c r="D3718" s="2" t="str">
        <f aca="false">IF(4キー同時!$B$188="","",4キー同時!$B$188)</f>
        <v/>
      </c>
      <c r="E3718" s="2" t="str">
        <f aca="false">IF(4キー同時!$G$188="","",4キー同時!$G$188)</f>
        <v/>
      </c>
      <c r="F3718" s="2" t="str">
        <f aca="false">IF(4キー同時!$L$188="","",4キー同時!$L$188)</f>
        <v/>
      </c>
      <c r="G3718" s="2" t="str">
        <f aca="false">IF(OR(4キー同時!$B$188="",4キー同時!$G$188="",4キー同時!$L$188=""),"",IF(4キー同時!AI196="","",SUBSTITUTE(SUBSTITUTE(4キー同時!AI196," ",""),"　","")))</f>
        <v/>
      </c>
      <c r="H3718" s="2" t="str">
        <f aca="false">IF($G3718="","",4キー同時!$B$188)</f>
        <v/>
      </c>
      <c r="I3718" s="2" t="str">
        <f aca="false">IF($G3718="","",4キー同時!$G$188)</f>
        <v/>
      </c>
      <c r="J3718" s="2" t="str">
        <f aca="false">IF($G3718="","",4キー同時!$L$188)</f>
        <v/>
      </c>
      <c r="K3718" s="2" t="str">
        <f aca="false">IF($G3718="","","m")</f>
        <v/>
      </c>
      <c r="L3718" s="2" t="str">
        <f aca="false">IF($G3718="","","同時")</f>
        <v/>
      </c>
      <c r="M3718" s="2" t="str">
        <f aca="false">IF($G3718="","",IF(ISNA(MATCH($G3718,個別指定!$A:$A,0)),"行なし",""))</f>
        <v/>
      </c>
      <c r="N3718" s="2" t="str">
        <f aca="false">IF($G3718="","",IF(COUNTIF($G$2:$G$4460,$G3718)&gt;1,"重複",""))</f>
        <v/>
      </c>
    </row>
    <row r="3719" customFormat="false" ht="16.5" hidden="false" customHeight="true" outlineLevel="0" collapsed="false">
      <c r="A3719" s="2" t="s">
        <v>447</v>
      </c>
      <c r="B3719" s="2" t="s">
        <v>462</v>
      </c>
      <c r="C3719" s="2" t="s">
        <v>42</v>
      </c>
      <c r="D3719" s="2" t="str">
        <f aca="false">IF(4キー同時!$B$188="","",4キー同時!$B$188)</f>
        <v/>
      </c>
      <c r="E3719" s="2" t="str">
        <f aca="false">IF(4キー同時!$G$188="","",4キー同時!$G$188)</f>
        <v/>
      </c>
      <c r="F3719" s="2" t="str">
        <f aca="false">IF(4キー同時!$L$188="","",4キー同時!$L$188)</f>
        <v/>
      </c>
      <c r="G3719" s="2" t="str">
        <f aca="false">IF(OR(4キー同時!$B$188="",4キー同時!$G$188="",4キー同時!$L$188=""),"",IF(4キー同時!AM196="","",SUBSTITUTE(SUBSTITUTE(4キー同時!AM196," ",""),"　","")))</f>
        <v/>
      </c>
      <c r="H3719" s="2" t="str">
        <f aca="false">IF($G3719="","",4キー同時!$B$188)</f>
        <v/>
      </c>
      <c r="I3719" s="2" t="str">
        <f aca="false">IF($G3719="","",4キー同時!$G$188)</f>
        <v/>
      </c>
      <c r="J3719" s="2" t="str">
        <f aca="false">IF($G3719="","",4キー同時!$L$188)</f>
        <v/>
      </c>
      <c r="K3719" s="2" t="str">
        <f aca="false">IF($G3719="","",",")</f>
        <v/>
      </c>
      <c r="L3719" s="2" t="str">
        <f aca="false">IF($G3719="","","同時")</f>
        <v/>
      </c>
      <c r="M3719" s="2" t="str">
        <f aca="false">IF($G3719="","",IF(ISNA(MATCH($G3719,個別指定!$A:$A,0)),"行なし",""))</f>
        <v/>
      </c>
      <c r="N3719" s="2" t="str">
        <f aca="false">IF($G3719="","",IF(COUNTIF($G$2:$G$4460,$G3719)&gt;1,"重複",""))</f>
        <v/>
      </c>
    </row>
    <row r="3720" customFormat="false" ht="16.5" hidden="false" customHeight="true" outlineLevel="0" collapsed="false">
      <c r="A3720" s="2" t="s">
        <v>447</v>
      </c>
      <c r="B3720" s="2" t="s">
        <v>462</v>
      </c>
      <c r="C3720" s="2" t="s">
        <v>43</v>
      </c>
      <c r="D3720" s="2" t="str">
        <f aca="false">IF(4キー同時!$B$188="","",4キー同時!$B$188)</f>
        <v/>
      </c>
      <c r="E3720" s="2" t="str">
        <f aca="false">IF(4キー同時!$G$188="","",4キー同時!$G$188)</f>
        <v/>
      </c>
      <c r="F3720" s="2" t="str">
        <f aca="false">IF(4キー同時!$L$188="","",4キー同時!$L$188)</f>
        <v/>
      </c>
      <c r="G3720" s="2" t="str">
        <f aca="false">IF(OR(4キー同時!$B$188="",4キー同時!$G$188="",4キー同時!$L$188=""),"",IF(4キー同時!AQ196="","",SUBSTITUTE(SUBSTITUTE(4キー同時!AQ196," ",""),"　","")))</f>
        <v/>
      </c>
      <c r="H3720" s="2" t="str">
        <f aca="false">IF($G3720="","",4キー同時!$B$188)</f>
        <v/>
      </c>
      <c r="I3720" s="2" t="str">
        <f aca="false">IF($G3720="","",4キー同時!$G$188)</f>
        <v/>
      </c>
      <c r="J3720" s="2" t="str">
        <f aca="false">IF($G3720="","",4キー同時!$L$188)</f>
        <v/>
      </c>
      <c r="K3720" s="2" t="str">
        <f aca="false">IF($G3720="","",".")</f>
        <v/>
      </c>
      <c r="L3720" s="2" t="str">
        <f aca="false">IF($G3720="","","同時")</f>
        <v/>
      </c>
      <c r="M3720" s="2" t="str">
        <f aca="false">IF($G3720="","",IF(ISNA(MATCH($G3720,個別指定!$A:$A,0)),"行なし",""))</f>
        <v/>
      </c>
      <c r="N3720" s="2" t="str">
        <f aca="false">IF($G3720="","",IF(COUNTIF($G$2:$G$4460,$G3720)&gt;1,"重複",""))</f>
        <v/>
      </c>
    </row>
    <row r="3721" customFormat="false" ht="16.5" hidden="false" customHeight="true" outlineLevel="0" collapsed="false">
      <c r="A3721" s="2" t="s">
        <v>447</v>
      </c>
      <c r="B3721" s="2" t="s">
        <v>462</v>
      </c>
      <c r="C3721" s="2" t="s">
        <v>44</v>
      </c>
      <c r="D3721" s="2" t="str">
        <f aca="false">IF(4キー同時!$B$188="","",4キー同時!$B$188)</f>
        <v/>
      </c>
      <c r="E3721" s="2" t="str">
        <f aca="false">IF(4キー同時!$G$188="","",4キー同時!$G$188)</f>
        <v/>
      </c>
      <c r="F3721" s="2" t="str">
        <f aca="false">IF(4キー同時!$L$188="","",4キー同時!$L$188)</f>
        <v/>
      </c>
      <c r="G3721" s="2" t="str">
        <f aca="false">IF(OR(4キー同時!$B$188="",4キー同時!$G$188="",4キー同時!$L$188=""),"",IF(4キー同時!AU196="","",SUBSTITUTE(SUBSTITUTE(4キー同時!AU196," ",""),"　","")))</f>
        <v/>
      </c>
      <c r="H3721" s="2" t="str">
        <f aca="false">IF($G3721="","",4キー同時!$B$188)</f>
        <v/>
      </c>
      <c r="I3721" s="2" t="str">
        <f aca="false">IF($G3721="","",4キー同時!$G$188)</f>
        <v/>
      </c>
      <c r="J3721" s="2" t="str">
        <f aca="false">IF($G3721="","",4キー同時!$L$188)</f>
        <v/>
      </c>
      <c r="K3721" s="2" t="str">
        <f aca="false">IF($G3721="","","/")</f>
        <v/>
      </c>
      <c r="L3721" s="2" t="str">
        <f aca="false">IF($G3721="","","同時")</f>
        <v/>
      </c>
      <c r="M3721" s="2" t="str">
        <f aca="false">IF($G3721="","",IF(ISNA(MATCH($G3721,個別指定!$A:$A,0)),"行なし",""))</f>
        <v/>
      </c>
      <c r="N3721" s="2" t="str">
        <f aca="false">IF($G3721="","",IF(COUNTIF($G$2:$G$4460,$G3721)&gt;1,"重複",""))</f>
        <v/>
      </c>
    </row>
    <row r="3722" customFormat="false" ht="16.5" hidden="false" customHeight="true" outlineLevel="0" collapsed="false">
      <c r="A3722" s="2" t="s">
        <v>447</v>
      </c>
      <c r="B3722" s="2" t="s">
        <v>462</v>
      </c>
      <c r="C3722" s="2" t="s">
        <v>48</v>
      </c>
      <c r="D3722" s="2" t="str">
        <f aca="false">IF(4キー同時!$B$188="","",4キー同時!$B$188)</f>
        <v/>
      </c>
      <c r="E3722" s="2" t="str">
        <f aca="false">IF(4キー同時!$G$188="","",4キー同時!$G$188)</f>
        <v/>
      </c>
      <c r="F3722" s="2" t="str">
        <f aca="false">IF(4キー同時!$L$188="","",4キー同時!$L$188)</f>
        <v/>
      </c>
      <c r="G3722" s="2" t="str">
        <f aca="false">IF(OR(4キー同時!$B$188="",4キー同時!$G$188="",4キー同時!$L$188=""),"",IF(4キー同時!P198="","",SUBSTITUTE(SUBSTITUTE(4キー同時!P198," ",""),"　","")))</f>
        <v/>
      </c>
      <c r="H3722" s="2" t="str">
        <f aca="false">IF($G3722="","",4キー同時!$B$188)</f>
        <v/>
      </c>
      <c r="I3722" s="2" t="str">
        <f aca="false">IF($G3722="","",4キー同時!$G$188)</f>
        <v/>
      </c>
      <c r="J3722" s="2" t="str">
        <f aca="false">IF($G3722="","",4キー同時!$L$188)</f>
        <v/>
      </c>
      <c r="K3722" s="2" t="str">
        <f aca="false">IF($G3722="","","muhenkan")</f>
        <v/>
      </c>
      <c r="L3722" s="2" t="str">
        <f aca="false">IF($G3722="","","同時")</f>
        <v/>
      </c>
      <c r="M3722" s="2" t="str">
        <f aca="false">IF($G3722="","",IF(ISNA(MATCH($G3722,個別指定!$A:$A,0)),"行なし",""))</f>
        <v/>
      </c>
      <c r="N3722" s="2" t="str">
        <f aca="false">IF($G3722="","",IF(COUNTIF($G$2:$G$4460,$G3722)&gt;1,"重複",""))</f>
        <v/>
      </c>
    </row>
    <row r="3723" customFormat="false" ht="16.5" hidden="false" customHeight="true" outlineLevel="0" collapsed="false">
      <c r="A3723" s="2" t="s">
        <v>447</v>
      </c>
      <c r="B3723" s="2" t="s">
        <v>462</v>
      </c>
      <c r="C3723" s="2" t="s">
        <v>50</v>
      </c>
      <c r="D3723" s="2" t="str">
        <f aca="false">IF(4キー同時!$B$188="","",4キー同時!$B$188)</f>
        <v/>
      </c>
      <c r="E3723" s="2" t="str">
        <f aca="false">IF(4キー同時!$G$188="","",4キー同時!$G$188)</f>
        <v/>
      </c>
      <c r="F3723" s="2" t="str">
        <f aca="false">IF(4キー同時!$L$188="","",4キー同時!$L$188)</f>
        <v/>
      </c>
      <c r="G3723" s="2" t="str">
        <f aca="false">IF(OR(4キー同時!$B$188="",4キー同時!$G$188="",4キー同時!$L$188=""),"",IF(4キー同時!T198="","",SUBSTITUTE(SUBSTITUTE(4キー同時!T198," ",""),"　","")))</f>
        <v/>
      </c>
      <c r="H3723" s="2" t="str">
        <f aca="false">IF($G3723="","",4キー同時!$B$188)</f>
        <v/>
      </c>
      <c r="I3723" s="2" t="str">
        <f aca="false">IF($G3723="","",4キー同時!$G$188)</f>
        <v/>
      </c>
      <c r="J3723" s="2" t="str">
        <f aca="false">IF($G3723="","",4キー同時!$L$188)</f>
        <v/>
      </c>
      <c r="K3723" s="2" t="str">
        <f aca="false">IF($G3723="","","space")</f>
        <v/>
      </c>
      <c r="L3723" s="2" t="str">
        <f aca="false">IF($G3723="","","同時")</f>
        <v/>
      </c>
      <c r="M3723" s="2" t="str">
        <f aca="false">IF($G3723="","",IF(ISNA(MATCH($G3723,個別指定!$A:$A,0)),"行なし",""))</f>
        <v/>
      </c>
      <c r="N3723" s="2" t="str">
        <f aca="false">IF($G3723="","",IF(COUNTIF($G$2:$G$4460,$G3723)&gt;1,"重複",""))</f>
        <v/>
      </c>
    </row>
    <row r="3724" customFormat="false" ht="16.5" hidden="false" customHeight="true" outlineLevel="0" collapsed="false">
      <c r="A3724" s="2" t="s">
        <v>447</v>
      </c>
      <c r="B3724" s="2" t="s">
        <v>462</v>
      </c>
      <c r="C3724" s="2" t="s">
        <v>45</v>
      </c>
      <c r="D3724" s="2" t="str">
        <f aca="false">IF(4キー同時!$B$188="","",4キー同時!$B$188)</f>
        <v/>
      </c>
      <c r="E3724" s="2" t="str">
        <f aca="false">IF(4キー同時!$G$188="","",4キー同時!$G$188)</f>
        <v/>
      </c>
      <c r="F3724" s="2" t="str">
        <f aca="false">IF(4キー同時!$L$188="","",4キー同時!$L$188)</f>
        <v/>
      </c>
      <c r="G3724" s="2" t="str">
        <f aca="false">IF(OR(4キー同時!$B$188="",4キー同時!$G$188="",4キー同時!$L$188=""),"",IF(4キー同時!AL198="","",SUBSTITUTE(SUBSTITUTE(4キー同時!AL198," ",""),"　","")))</f>
        <v/>
      </c>
      <c r="H3724" s="2" t="str">
        <f aca="false">IF($G3724="","",4キー同時!$B$188)</f>
        <v/>
      </c>
      <c r="I3724" s="2" t="str">
        <f aca="false">IF($G3724="","",4キー同時!$G$188)</f>
        <v/>
      </c>
      <c r="J3724" s="2" t="str">
        <f aca="false">IF($G3724="","",4キー同時!$L$188)</f>
        <v/>
      </c>
      <c r="K3724" s="2" t="str">
        <f aca="false">IF($G3724="","","henkan")</f>
        <v/>
      </c>
      <c r="L3724" s="2" t="str">
        <f aca="false">IF($G3724="","","同時")</f>
        <v/>
      </c>
      <c r="M3724" s="2" t="str">
        <f aca="false">IF($G3724="","",IF(ISNA(MATCH($G3724,個別指定!$A:$A,0)),"行なし",""))</f>
        <v/>
      </c>
      <c r="N3724" s="2" t="str">
        <f aca="false">IF($G3724="","",IF(COUNTIF($G$2:$G$4460,$G3724)&gt;1,"重複",""))</f>
        <v/>
      </c>
    </row>
    <row r="3725" customFormat="false" ht="16.5" hidden="false" customHeight="true" outlineLevel="0" collapsed="false">
      <c r="A3725" s="2" t="s">
        <v>447</v>
      </c>
      <c r="B3725" s="2" t="s">
        <v>462</v>
      </c>
      <c r="C3725" s="2" t="s">
        <v>46</v>
      </c>
      <c r="D3725" s="2" t="str">
        <f aca="false">IF(4キー同時!$B$188="","",4キー同時!$B$188)</f>
        <v/>
      </c>
      <c r="E3725" s="2" t="str">
        <f aca="false">IF(4キー同時!$G$188="","",4キー同時!$G$188)</f>
        <v/>
      </c>
      <c r="F3725" s="2" t="str">
        <f aca="false">IF(4キー同時!$L$188="","",4キー同時!$L$188)</f>
        <v/>
      </c>
      <c r="G3725" s="2" t="str">
        <f aca="false">IF(OR(4キー同時!$B$188="",4キー同時!$G$188="",4キー同時!$L$188=""),"",IF(4キー同時!AP198="","",SUBSTITUTE(SUBSTITUTE(4キー同時!AP198," ",""),"　","")))</f>
        <v/>
      </c>
      <c r="H3725" s="2" t="str">
        <f aca="false">IF($G3725="","",4キー同時!$B$188)</f>
        <v/>
      </c>
      <c r="I3725" s="2" t="str">
        <f aca="false">IF($G3725="","",4キー同時!$G$188)</f>
        <v/>
      </c>
      <c r="J3725" s="2" t="str">
        <f aca="false">IF($G3725="","",4キー同時!$L$188)</f>
        <v/>
      </c>
      <c r="K3725" s="2" t="str">
        <f aca="false">IF($G3725="","","kana")</f>
        <v/>
      </c>
      <c r="L3725" s="2" t="str">
        <f aca="false">IF($G3725="","","同時")</f>
        <v/>
      </c>
      <c r="M3725" s="2" t="str">
        <f aca="false">IF($G3725="","",IF(ISNA(MATCH($G3725,個別指定!$A:$A,0)),"行なし",""))</f>
        <v/>
      </c>
      <c r="N3725" s="2" t="str">
        <f aca="false">IF($G3725="","",IF(COUNTIF($G$2:$G$4460,$G3725)&gt;1,"重複",""))</f>
        <v/>
      </c>
    </row>
    <row r="3726" customFormat="false" ht="16.5" hidden="false" customHeight="true" outlineLevel="0" collapsed="false">
      <c r="A3726" s="2" t="s">
        <v>447</v>
      </c>
      <c r="B3726" s="2" t="s">
        <v>463</v>
      </c>
      <c r="C3726" s="2" t="s">
        <v>0</v>
      </c>
      <c r="D3726" s="2" t="str">
        <f aca="false">IF(4キー同時!$B$201="","",4キー同時!$B$201)</f>
        <v/>
      </c>
      <c r="E3726" s="2" t="str">
        <f aca="false">IF(4キー同時!$G$201="","",4キー同時!$G$201)</f>
        <v/>
      </c>
      <c r="F3726" s="2" t="str">
        <f aca="false">IF(4キー同時!$L$201="","",4キー同時!$L$201)</f>
        <v/>
      </c>
      <c r="G3726" s="2" t="str">
        <f aca="false">IF(OR(4キー同時!$B$201="",4キー同時!$G$201="",4キー同時!$L$201=""),"",IF(4キー同時!F203="","",SUBSTITUTE(SUBSTITUTE(4キー同時!F203," ",""),"　","")))</f>
        <v/>
      </c>
      <c r="H3726" s="2" t="str">
        <f aca="false">IF($G3726="","",4キー同時!$B$201)</f>
        <v/>
      </c>
      <c r="I3726" s="2" t="str">
        <f aca="false">IF($G3726="","",4キー同時!$G$201)</f>
        <v/>
      </c>
      <c r="J3726" s="2" t="str">
        <f aca="false">IF($G3726="","",4キー同時!$L$201)</f>
        <v/>
      </c>
      <c r="K3726" s="2" t="str">
        <f aca="false">IF($G3726="","","1")</f>
        <v/>
      </c>
      <c r="L3726" s="2" t="str">
        <f aca="false">IF($G3726="","","同時")</f>
        <v/>
      </c>
      <c r="M3726" s="2" t="str">
        <f aca="false">IF($G3726="","",IF(ISNA(MATCH($G3726,個別指定!$A:$A,0)),"行なし",""))</f>
        <v/>
      </c>
      <c r="N3726" s="2" t="str">
        <f aca="false">IF($G3726="","",IF(COUNTIF($G$2:$G$4460,$G3726)&gt;1,"重複",""))</f>
        <v/>
      </c>
    </row>
    <row r="3727" customFormat="false" ht="16.5" hidden="false" customHeight="true" outlineLevel="0" collapsed="false">
      <c r="A3727" s="2" t="s">
        <v>447</v>
      </c>
      <c r="B3727" s="2" t="s">
        <v>463</v>
      </c>
      <c r="C3727" s="2" t="s">
        <v>1</v>
      </c>
      <c r="D3727" s="2" t="str">
        <f aca="false">IF(4キー同時!$B$201="","",4キー同時!$B$201)</f>
        <v/>
      </c>
      <c r="E3727" s="2" t="str">
        <f aca="false">IF(4キー同時!$G$201="","",4キー同時!$G$201)</f>
        <v/>
      </c>
      <c r="F3727" s="2" t="str">
        <f aca="false">IF(4キー同時!$L$201="","",4キー同時!$L$201)</f>
        <v/>
      </c>
      <c r="G3727" s="2" t="str">
        <f aca="false">IF(OR(4キー同時!$B$201="",4キー同時!$G$201="",4キー同時!$L$201=""),"",IF(4キー同時!J203="","",SUBSTITUTE(SUBSTITUTE(4キー同時!J203," ",""),"　","")))</f>
        <v/>
      </c>
      <c r="H3727" s="2" t="str">
        <f aca="false">IF($G3727="","",4キー同時!$B$201)</f>
        <v/>
      </c>
      <c r="I3727" s="2" t="str">
        <f aca="false">IF($G3727="","",4キー同時!$G$201)</f>
        <v/>
      </c>
      <c r="J3727" s="2" t="str">
        <f aca="false">IF($G3727="","",4キー同時!$L$201)</f>
        <v/>
      </c>
      <c r="K3727" s="2" t="str">
        <f aca="false">IF($G3727="","","2")</f>
        <v/>
      </c>
      <c r="L3727" s="2" t="str">
        <f aca="false">IF($G3727="","","同時")</f>
        <v/>
      </c>
      <c r="M3727" s="2" t="str">
        <f aca="false">IF($G3727="","",IF(ISNA(MATCH($G3727,個別指定!$A:$A,0)),"行なし",""))</f>
        <v/>
      </c>
      <c r="N3727" s="2" t="str">
        <f aca="false">IF($G3727="","",IF(COUNTIF($G$2:$G$4460,$G3727)&gt;1,"重複",""))</f>
        <v/>
      </c>
    </row>
    <row r="3728" customFormat="false" ht="16.5" hidden="false" customHeight="true" outlineLevel="0" collapsed="false">
      <c r="A3728" s="2" t="s">
        <v>447</v>
      </c>
      <c r="B3728" s="2" t="s">
        <v>463</v>
      </c>
      <c r="C3728" s="2" t="s">
        <v>2</v>
      </c>
      <c r="D3728" s="2" t="str">
        <f aca="false">IF(4キー同時!$B$201="","",4キー同時!$B$201)</f>
        <v/>
      </c>
      <c r="E3728" s="2" t="str">
        <f aca="false">IF(4キー同時!$G$201="","",4キー同時!$G$201)</f>
        <v/>
      </c>
      <c r="F3728" s="2" t="str">
        <f aca="false">IF(4キー同時!$L$201="","",4キー同時!$L$201)</f>
        <v/>
      </c>
      <c r="G3728" s="2" t="str">
        <f aca="false">IF(OR(4キー同時!$B$201="",4キー同時!$G$201="",4キー同時!$L$201=""),"",IF(4キー同時!N203="","",SUBSTITUTE(SUBSTITUTE(4キー同時!N203," ",""),"　","")))</f>
        <v/>
      </c>
      <c r="H3728" s="2" t="str">
        <f aca="false">IF($G3728="","",4キー同時!$B$201)</f>
        <v/>
      </c>
      <c r="I3728" s="2" t="str">
        <f aca="false">IF($G3728="","",4キー同時!$G$201)</f>
        <v/>
      </c>
      <c r="J3728" s="2" t="str">
        <f aca="false">IF($G3728="","",4キー同時!$L$201)</f>
        <v/>
      </c>
      <c r="K3728" s="2" t="str">
        <f aca="false">IF($G3728="","","3")</f>
        <v/>
      </c>
      <c r="L3728" s="2" t="str">
        <f aca="false">IF($G3728="","","同時")</f>
        <v/>
      </c>
      <c r="M3728" s="2" t="str">
        <f aca="false">IF($G3728="","",IF(ISNA(MATCH($G3728,個別指定!$A:$A,0)),"行なし",""))</f>
        <v/>
      </c>
      <c r="N3728" s="2" t="str">
        <f aca="false">IF($G3728="","",IF(COUNTIF($G$2:$G$4460,$G3728)&gt;1,"重複",""))</f>
        <v/>
      </c>
    </row>
    <row r="3729" customFormat="false" ht="16.5" hidden="false" customHeight="true" outlineLevel="0" collapsed="false">
      <c r="A3729" s="2" t="s">
        <v>447</v>
      </c>
      <c r="B3729" s="2" t="s">
        <v>463</v>
      </c>
      <c r="C3729" s="2" t="s">
        <v>3</v>
      </c>
      <c r="D3729" s="2" t="str">
        <f aca="false">IF(4キー同時!$B$201="","",4キー同時!$B$201)</f>
        <v/>
      </c>
      <c r="E3729" s="2" t="str">
        <f aca="false">IF(4キー同時!$G$201="","",4キー同時!$G$201)</f>
        <v/>
      </c>
      <c r="F3729" s="2" t="str">
        <f aca="false">IF(4キー同時!$L$201="","",4キー同時!$L$201)</f>
        <v/>
      </c>
      <c r="G3729" s="2" t="str">
        <f aca="false">IF(OR(4キー同時!$B$201="",4キー同時!$G$201="",4キー同時!$L$201=""),"",IF(4キー同時!R203="","",SUBSTITUTE(SUBSTITUTE(4キー同時!R203," ",""),"　","")))</f>
        <v/>
      </c>
      <c r="H3729" s="2" t="str">
        <f aca="false">IF($G3729="","",4キー同時!$B$201)</f>
        <v/>
      </c>
      <c r="I3729" s="2" t="str">
        <f aca="false">IF($G3729="","",4キー同時!$G$201)</f>
        <v/>
      </c>
      <c r="J3729" s="2" t="str">
        <f aca="false">IF($G3729="","",4キー同時!$L$201)</f>
        <v/>
      </c>
      <c r="K3729" s="2" t="str">
        <f aca="false">IF($G3729="","","4")</f>
        <v/>
      </c>
      <c r="L3729" s="2" t="str">
        <f aca="false">IF($G3729="","","同時")</f>
        <v/>
      </c>
      <c r="M3729" s="2" t="str">
        <f aca="false">IF($G3729="","",IF(ISNA(MATCH($G3729,個別指定!$A:$A,0)),"行なし",""))</f>
        <v/>
      </c>
      <c r="N3729" s="2" t="str">
        <f aca="false">IF($G3729="","",IF(COUNTIF($G$2:$G$4460,$G3729)&gt;1,"重複",""))</f>
        <v/>
      </c>
    </row>
    <row r="3730" customFormat="false" ht="16.5" hidden="false" customHeight="true" outlineLevel="0" collapsed="false">
      <c r="A3730" s="2" t="s">
        <v>447</v>
      </c>
      <c r="B3730" s="2" t="s">
        <v>463</v>
      </c>
      <c r="C3730" s="2" t="s">
        <v>4</v>
      </c>
      <c r="D3730" s="2" t="str">
        <f aca="false">IF(4キー同時!$B$201="","",4キー同時!$B$201)</f>
        <v/>
      </c>
      <c r="E3730" s="2" t="str">
        <f aca="false">IF(4キー同時!$G$201="","",4キー同時!$G$201)</f>
        <v/>
      </c>
      <c r="F3730" s="2" t="str">
        <f aca="false">IF(4キー同時!$L$201="","",4キー同時!$L$201)</f>
        <v/>
      </c>
      <c r="G3730" s="2" t="str">
        <f aca="false">IF(OR(4キー同時!$B$201="",4キー同時!$G$201="",4キー同時!$L$201=""),"",IF(4キー同時!V203="","",SUBSTITUTE(SUBSTITUTE(4キー同時!V203," ",""),"　","")))</f>
        <v/>
      </c>
      <c r="H3730" s="2" t="str">
        <f aca="false">IF($G3730="","",4キー同時!$B$201)</f>
        <v/>
      </c>
      <c r="I3730" s="2" t="str">
        <f aca="false">IF($G3730="","",4キー同時!$G$201)</f>
        <v/>
      </c>
      <c r="J3730" s="2" t="str">
        <f aca="false">IF($G3730="","",4キー同時!$L$201)</f>
        <v/>
      </c>
      <c r="K3730" s="2" t="str">
        <f aca="false">IF($G3730="","","5")</f>
        <v/>
      </c>
      <c r="L3730" s="2" t="str">
        <f aca="false">IF($G3730="","","同時")</f>
        <v/>
      </c>
      <c r="M3730" s="2" t="str">
        <f aca="false">IF($G3730="","",IF(ISNA(MATCH($G3730,個別指定!$A:$A,0)),"行なし",""))</f>
        <v/>
      </c>
      <c r="N3730" s="2" t="str">
        <f aca="false">IF($G3730="","",IF(COUNTIF($G$2:$G$4460,$G3730)&gt;1,"重複",""))</f>
        <v/>
      </c>
    </row>
    <row r="3731" customFormat="false" ht="16.5" hidden="false" customHeight="true" outlineLevel="0" collapsed="false">
      <c r="A3731" s="2" t="s">
        <v>447</v>
      </c>
      <c r="B3731" s="2" t="s">
        <v>463</v>
      </c>
      <c r="C3731" s="2" t="s">
        <v>5</v>
      </c>
      <c r="D3731" s="2" t="str">
        <f aca="false">IF(4キー同時!$B$201="","",4キー同時!$B$201)</f>
        <v/>
      </c>
      <c r="E3731" s="2" t="str">
        <f aca="false">IF(4キー同時!$G$201="","",4キー同時!$G$201)</f>
        <v/>
      </c>
      <c r="F3731" s="2" t="str">
        <f aca="false">IF(4キー同時!$L$201="","",4キー同時!$L$201)</f>
        <v/>
      </c>
      <c r="G3731" s="2" t="str">
        <f aca="false">IF(OR(4キー同時!$B$201="",4キー同時!$G$201="",4キー同時!$L$201=""),"",IF(4キー同時!Z203="","",SUBSTITUTE(SUBSTITUTE(4キー同時!Z203," ",""),"　","")))</f>
        <v/>
      </c>
      <c r="H3731" s="2" t="str">
        <f aca="false">IF($G3731="","",4キー同時!$B$201)</f>
        <v/>
      </c>
      <c r="I3731" s="2" t="str">
        <f aca="false">IF($G3731="","",4キー同時!$G$201)</f>
        <v/>
      </c>
      <c r="J3731" s="2" t="str">
        <f aca="false">IF($G3731="","",4キー同時!$L$201)</f>
        <v/>
      </c>
      <c r="K3731" s="2" t="str">
        <f aca="false">IF($G3731="","","6")</f>
        <v/>
      </c>
      <c r="L3731" s="2" t="str">
        <f aca="false">IF($G3731="","","同時")</f>
        <v/>
      </c>
      <c r="M3731" s="2" t="str">
        <f aca="false">IF($G3731="","",IF(ISNA(MATCH($G3731,個別指定!$A:$A,0)),"行なし",""))</f>
        <v/>
      </c>
      <c r="N3731" s="2" t="str">
        <f aca="false">IF($G3731="","",IF(COUNTIF($G$2:$G$4460,$G3731)&gt;1,"重複",""))</f>
        <v/>
      </c>
    </row>
    <row r="3732" customFormat="false" ht="16.5" hidden="false" customHeight="true" outlineLevel="0" collapsed="false">
      <c r="A3732" s="2" t="s">
        <v>447</v>
      </c>
      <c r="B3732" s="2" t="s">
        <v>463</v>
      </c>
      <c r="C3732" s="2" t="s">
        <v>6</v>
      </c>
      <c r="D3732" s="2" t="str">
        <f aca="false">IF(4キー同時!$B$201="","",4キー同時!$B$201)</f>
        <v/>
      </c>
      <c r="E3732" s="2" t="str">
        <f aca="false">IF(4キー同時!$G$201="","",4キー同時!$G$201)</f>
        <v/>
      </c>
      <c r="F3732" s="2" t="str">
        <f aca="false">IF(4キー同時!$L$201="","",4キー同時!$L$201)</f>
        <v/>
      </c>
      <c r="G3732" s="2" t="str">
        <f aca="false">IF(OR(4キー同時!$B$201="",4キー同時!$G$201="",4キー同時!$L$201=""),"",IF(4キー同時!AD203="","",SUBSTITUTE(SUBSTITUTE(4キー同時!AD203," ",""),"　","")))</f>
        <v/>
      </c>
      <c r="H3732" s="2" t="str">
        <f aca="false">IF($G3732="","",4キー同時!$B$201)</f>
        <v/>
      </c>
      <c r="I3732" s="2" t="str">
        <f aca="false">IF($G3732="","",4キー同時!$G$201)</f>
        <v/>
      </c>
      <c r="J3732" s="2" t="str">
        <f aca="false">IF($G3732="","",4キー同時!$L$201)</f>
        <v/>
      </c>
      <c r="K3732" s="2" t="str">
        <f aca="false">IF($G3732="","","7")</f>
        <v/>
      </c>
      <c r="L3732" s="2" t="str">
        <f aca="false">IF($G3732="","","同時")</f>
        <v/>
      </c>
      <c r="M3732" s="2" t="str">
        <f aca="false">IF($G3732="","",IF(ISNA(MATCH($G3732,個別指定!$A:$A,0)),"行なし",""))</f>
        <v/>
      </c>
      <c r="N3732" s="2" t="str">
        <f aca="false">IF($G3732="","",IF(COUNTIF($G$2:$G$4460,$G3732)&gt;1,"重複",""))</f>
        <v/>
      </c>
    </row>
    <row r="3733" customFormat="false" ht="16.5" hidden="false" customHeight="true" outlineLevel="0" collapsed="false">
      <c r="A3733" s="2" t="s">
        <v>447</v>
      </c>
      <c r="B3733" s="2" t="s">
        <v>463</v>
      </c>
      <c r="C3733" s="2" t="s">
        <v>7</v>
      </c>
      <c r="D3733" s="2" t="str">
        <f aca="false">IF(4キー同時!$B$201="","",4キー同時!$B$201)</f>
        <v/>
      </c>
      <c r="E3733" s="2" t="str">
        <f aca="false">IF(4キー同時!$G$201="","",4キー同時!$G$201)</f>
        <v/>
      </c>
      <c r="F3733" s="2" t="str">
        <f aca="false">IF(4キー同時!$L$201="","",4キー同時!$L$201)</f>
        <v/>
      </c>
      <c r="G3733" s="2" t="str">
        <f aca="false">IF(OR(4キー同時!$B$201="",4キー同時!$G$201="",4キー同時!$L$201=""),"",IF(4キー同時!AH203="","",SUBSTITUTE(SUBSTITUTE(4キー同時!AH203," ",""),"　","")))</f>
        <v/>
      </c>
      <c r="H3733" s="2" t="str">
        <f aca="false">IF($G3733="","",4キー同時!$B$201)</f>
        <v/>
      </c>
      <c r="I3733" s="2" t="str">
        <f aca="false">IF($G3733="","",4キー同時!$G$201)</f>
        <v/>
      </c>
      <c r="J3733" s="2" t="str">
        <f aca="false">IF($G3733="","",4キー同時!$L$201)</f>
        <v/>
      </c>
      <c r="K3733" s="2" t="str">
        <f aca="false">IF($G3733="","","8")</f>
        <v/>
      </c>
      <c r="L3733" s="2" t="str">
        <f aca="false">IF($G3733="","","同時")</f>
        <v/>
      </c>
      <c r="M3733" s="2" t="str">
        <f aca="false">IF($G3733="","",IF(ISNA(MATCH($G3733,個別指定!$A:$A,0)),"行なし",""))</f>
        <v/>
      </c>
      <c r="N3733" s="2" t="str">
        <f aca="false">IF($G3733="","",IF(COUNTIF($G$2:$G$4460,$G3733)&gt;1,"重複",""))</f>
        <v/>
      </c>
    </row>
    <row r="3734" customFormat="false" ht="16.5" hidden="false" customHeight="true" outlineLevel="0" collapsed="false">
      <c r="A3734" s="2" t="s">
        <v>447</v>
      </c>
      <c r="B3734" s="2" t="s">
        <v>463</v>
      </c>
      <c r="C3734" s="2" t="s">
        <v>8</v>
      </c>
      <c r="D3734" s="2" t="str">
        <f aca="false">IF(4キー同時!$B$201="","",4キー同時!$B$201)</f>
        <v/>
      </c>
      <c r="E3734" s="2" t="str">
        <f aca="false">IF(4キー同時!$G$201="","",4キー同時!$G$201)</f>
        <v/>
      </c>
      <c r="F3734" s="2" t="str">
        <f aca="false">IF(4キー同時!$L$201="","",4キー同時!$L$201)</f>
        <v/>
      </c>
      <c r="G3734" s="2" t="str">
        <f aca="false">IF(OR(4キー同時!$B$201="",4キー同時!$G$201="",4キー同時!$L$201=""),"",IF(4キー同時!AL203="","",SUBSTITUTE(SUBSTITUTE(4キー同時!AL203," ",""),"　","")))</f>
        <v/>
      </c>
      <c r="H3734" s="2" t="str">
        <f aca="false">IF($G3734="","",4キー同時!$B$201)</f>
        <v/>
      </c>
      <c r="I3734" s="2" t="str">
        <f aca="false">IF($G3734="","",4キー同時!$G$201)</f>
        <v/>
      </c>
      <c r="J3734" s="2" t="str">
        <f aca="false">IF($G3734="","",4キー同時!$L$201)</f>
        <v/>
      </c>
      <c r="K3734" s="2" t="str">
        <f aca="false">IF($G3734="","","9")</f>
        <v/>
      </c>
      <c r="L3734" s="2" t="str">
        <f aca="false">IF($G3734="","","同時")</f>
        <v/>
      </c>
      <c r="M3734" s="2" t="str">
        <f aca="false">IF($G3734="","",IF(ISNA(MATCH($G3734,個別指定!$A:$A,0)),"行なし",""))</f>
        <v/>
      </c>
      <c r="N3734" s="2" t="str">
        <f aca="false">IF($G3734="","",IF(COUNTIF($G$2:$G$4460,$G3734)&gt;1,"重複",""))</f>
        <v/>
      </c>
    </row>
    <row r="3735" customFormat="false" ht="16.5" hidden="false" customHeight="true" outlineLevel="0" collapsed="false">
      <c r="A3735" s="2" t="s">
        <v>447</v>
      </c>
      <c r="B3735" s="2" t="s">
        <v>463</v>
      </c>
      <c r="C3735" s="2" t="s">
        <v>9</v>
      </c>
      <c r="D3735" s="2" t="str">
        <f aca="false">IF(4キー同時!$B$201="","",4キー同時!$B$201)</f>
        <v/>
      </c>
      <c r="E3735" s="2" t="str">
        <f aca="false">IF(4キー同時!$G$201="","",4キー同時!$G$201)</f>
        <v/>
      </c>
      <c r="F3735" s="2" t="str">
        <f aca="false">IF(4キー同時!$L$201="","",4キー同時!$L$201)</f>
        <v/>
      </c>
      <c r="G3735" s="2" t="str">
        <f aca="false">IF(OR(4キー同時!$B$201="",4キー同時!$G$201="",4キー同時!$L$201=""),"",IF(4キー同時!AP203="","",SUBSTITUTE(SUBSTITUTE(4キー同時!AP203," ",""),"　","")))</f>
        <v/>
      </c>
      <c r="H3735" s="2" t="str">
        <f aca="false">IF($G3735="","",4キー同時!$B$201)</f>
        <v/>
      </c>
      <c r="I3735" s="2" t="str">
        <f aca="false">IF($G3735="","",4キー同時!$G$201)</f>
        <v/>
      </c>
      <c r="J3735" s="2" t="str">
        <f aca="false">IF($G3735="","",4キー同時!$L$201)</f>
        <v/>
      </c>
      <c r="K3735" s="2" t="str">
        <f aca="false">IF($G3735="","","0")</f>
        <v/>
      </c>
      <c r="L3735" s="2" t="str">
        <f aca="false">IF($G3735="","","同時")</f>
        <v/>
      </c>
      <c r="M3735" s="2" t="str">
        <f aca="false">IF($G3735="","",IF(ISNA(MATCH($G3735,個別指定!$A:$A,0)),"行なし",""))</f>
        <v/>
      </c>
      <c r="N3735" s="2" t="str">
        <f aca="false">IF($G3735="","",IF(COUNTIF($G$2:$G$4460,$G3735)&gt;1,"重複",""))</f>
        <v/>
      </c>
    </row>
    <row r="3736" customFormat="false" ht="16.5" hidden="false" customHeight="true" outlineLevel="0" collapsed="false">
      <c r="A3736" s="2" t="s">
        <v>447</v>
      </c>
      <c r="B3736" s="2" t="s">
        <v>463</v>
      </c>
      <c r="C3736" s="2" t="s">
        <v>10</v>
      </c>
      <c r="D3736" s="2" t="str">
        <f aca="false">IF(4キー同時!$B$201="","",4キー同時!$B$201)</f>
        <v/>
      </c>
      <c r="E3736" s="2" t="str">
        <f aca="false">IF(4キー同時!$G$201="","",4キー同時!$G$201)</f>
        <v/>
      </c>
      <c r="F3736" s="2" t="str">
        <f aca="false">IF(4キー同時!$L$201="","",4キー同時!$L$201)</f>
        <v/>
      </c>
      <c r="G3736" s="2" t="str">
        <f aca="false">IF(OR(4キー同時!$B$201="",4キー同時!$G$201="",4キー同時!$L$201=""),"",IF(4キー同時!AT203="","",SUBSTITUTE(SUBSTITUTE(4キー同時!AT203," ",""),"　","")))</f>
        <v/>
      </c>
      <c r="H3736" s="2" t="str">
        <f aca="false">IF($G3736="","",4キー同時!$B$201)</f>
        <v/>
      </c>
      <c r="I3736" s="2" t="str">
        <f aca="false">IF($G3736="","",4キー同時!$G$201)</f>
        <v/>
      </c>
      <c r="J3736" s="2" t="str">
        <f aca="false">IF($G3736="","",4キー同時!$L$201)</f>
        <v/>
      </c>
      <c r="K3736" s="2" t="str">
        <f aca="false">IF($G3736="","","-")</f>
        <v/>
      </c>
      <c r="L3736" s="2" t="str">
        <f aca="false">IF($G3736="","","同時")</f>
        <v/>
      </c>
      <c r="M3736" s="2" t="str">
        <f aca="false">IF($G3736="","",IF(ISNA(MATCH($G3736,個別指定!$A:$A,0)),"行なし",""))</f>
        <v/>
      </c>
      <c r="N3736" s="2" t="str">
        <f aca="false">IF($G3736="","",IF(COUNTIF($G$2:$G$4460,$G3736)&gt;1,"重複",""))</f>
        <v/>
      </c>
    </row>
    <row r="3737" customFormat="false" ht="16.5" hidden="false" customHeight="true" outlineLevel="0" collapsed="false">
      <c r="A3737" s="2" t="s">
        <v>447</v>
      </c>
      <c r="B3737" s="2" t="s">
        <v>463</v>
      </c>
      <c r="C3737" s="2" t="s">
        <v>11</v>
      </c>
      <c r="D3737" s="2" t="str">
        <f aca="false">IF(4キー同時!$B$201="","",4キー同時!$B$201)</f>
        <v/>
      </c>
      <c r="E3737" s="2" t="str">
        <f aca="false">IF(4キー同時!$G$201="","",4キー同時!$G$201)</f>
        <v/>
      </c>
      <c r="F3737" s="2" t="str">
        <f aca="false">IF(4キー同時!$L$201="","",4キー同時!$L$201)</f>
        <v/>
      </c>
      <c r="G3737" s="2" t="str">
        <f aca="false">IF(OR(4キー同時!$B$201="",4キー同時!$G$201="",4キー同時!$L$201=""),"",IF(4キー同時!AX203="","",SUBSTITUTE(SUBSTITUTE(4キー同時!AX203," ",""),"　","")))</f>
        <v/>
      </c>
      <c r="H3737" s="2" t="str">
        <f aca="false">IF($G3737="","",4キー同時!$B$201)</f>
        <v/>
      </c>
      <c r="I3737" s="2" t="str">
        <f aca="false">IF($G3737="","",4キー同時!$G$201)</f>
        <v/>
      </c>
      <c r="J3737" s="2" t="str">
        <f aca="false">IF($G3737="","",4キー同時!$L$201)</f>
        <v/>
      </c>
      <c r="K3737" s="2" t="str">
        <f aca="false">IF($G3737="","","=")</f>
        <v/>
      </c>
      <c r="L3737" s="2" t="str">
        <f aca="false">IF($G3737="","","同時")</f>
        <v/>
      </c>
      <c r="M3737" s="2" t="str">
        <f aca="false">IF($G3737="","",IF(ISNA(MATCH($G3737,個別指定!$A:$A,0)),"行なし",""))</f>
        <v/>
      </c>
      <c r="N3737" s="2" t="str">
        <f aca="false">IF($G3737="","",IF(COUNTIF($G$2:$G$4460,$G3737)&gt;1,"重複",""))</f>
        <v/>
      </c>
    </row>
    <row r="3738" customFormat="false" ht="16.5" hidden="false" customHeight="true" outlineLevel="0" collapsed="false">
      <c r="A3738" s="2" t="s">
        <v>447</v>
      </c>
      <c r="B3738" s="2" t="s">
        <v>463</v>
      </c>
      <c r="C3738" s="2" t="s">
        <v>12</v>
      </c>
      <c r="D3738" s="2" t="str">
        <f aca="false">IF(4キー同時!$B$201="","",4キー同時!$B$201)</f>
        <v/>
      </c>
      <c r="E3738" s="2" t="str">
        <f aca="false">IF(4キー同時!$G$201="","",4キー同時!$G$201)</f>
        <v/>
      </c>
      <c r="F3738" s="2" t="str">
        <f aca="false">IF(4キー同時!$L$201="","",4キー同時!$L$201)</f>
        <v/>
      </c>
      <c r="G3738" s="2" t="str">
        <f aca="false">IF(OR(4キー同時!$B$201="",4キー同時!$G$201="",4キー同時!$L$201=""),"",IF(4キー同時!H205="","",SUBSTITUTE(SUBSTITUTE(4キー同時!H205," ",""),"　","")))</f>
        <v/>
      </c>
      <c r="H3738" s="2" t="str">
        <f aca="false">IF($G3738="","",4キー同時!$B$201)</f>
        <v/>
      </c>
      <c r="I3738" s="2" t="str">
        <f aca="false">IF($G3738="","",4キー同時!$G$201)</f>
        <v/>
      </c>
      <c r="J3738" s="2" t="str">
        <f aca="false">IF($G3738="","",4キー同時!$L$201)</f>
        <v/>
      </c>
      <c r="K3738" s="2" t="str">
        <f aca="false">IF($G3738="","","q")</f>
        <v/>
      </c>
      <c r="L3738" s="2" t="str">
        <f aca="false">IF($G3738="","","同時")</f>
        <v/>
      </c>
      <c r="M3738" s="2" t="str">
        <f aca="false">IF($G3738="","",IF(ISNA(MATCH($G3738,個別指定!$A:$A,0)),"行なし",""))</f>
        <v/>
      </c>
      <c r="N3738" s="2" t="str">
        <f aca="false">IF($G3738="","",IF(COUNTIF($G$2:$G$4460,$G3738)&gt;1,"重複",""))</f>
        <v/>
      </c>
    </row>
    <row r="3739" customFormat="false" ht="16.5" hidden="false" customHeight="true" outlineLevel="0" collapsed="false">
      <c r="A3739" s="2" t="s">
        <v>447</v>
      </c>
      <c r="B3739" s="2" t="s">
        <v>463</v>
      </c>
      <c r="C3739" s="2" t="s">
        <v>13</v>
      </c>
      <c r="D3739" s="2" t="str">
        <f aca="false">IF(4キー同時!$B$201="","",4キー同時!$B$201)</f>
        <v/>
      </c>
      <c r="E3739" s="2" t="str">
        <f aca="false">IF(4キー同時!$G$201="","",4キー同時!$G$201)</f>
        <v/>
      </c>
      <c r="F3739" s="2" t="str">
        <f aca="false">IF(4キー同時!$L$201="","",4キー同時!$L$201)</f>
        <v/>
      </c>
      <c r="G3739" s="2" t="str">
        <f aca="false">IF(OR(4キー同時!$B$201="",4キー同時!$G$201="",4キー同時!$L$201=""),"",IF(4キー同時!L205="","",SUBSTITUTE(SUBSTITUTE(4キー同時!L205," ",""),"　","")))</f>
        <v/>
      </c>
      <c r="H3739" s="2" t="str">
        <f aca="false">IF($G3739="","",4キー同時!$B$201)</f>
        <v/>
      </c>
      <c r="I3739" s="2" t="str">
        <f aca="false">IF($G3739="","",4キー同時!$G$201)</f>
        <v/>
      </c>
      <c r="J3739" s="2" t="str">
        <f aca="false">IF($G3739="","",4キー同時!$L$201)</f>
        <v/>
      </c>
      <c r="K3739" s="2" t="str">
        <f aca="false">IF($G3739="","","w")</f>
        <v/>
      </c>
      <c r="L3739" s="2" t="str">
        <f aca="false">IF($G3739="","","同時")</f>
        <v/>
      </c>
      <c r="M3739" s="2" t="str">
        <f aca="false">IF($G3739="","",IF(ISNA(MATCH($G3739,個別指定!$A:$A,0)),"行なし",""))</f>
        <v/>
      </c>
      <c r="N3739" s="2" t="str">
        <f aca="false">IF($G3739="","",IF(COUNTIF($G$2:$G$4460,$G3739)&gt;1,"重複",""))</f>
        <v/>
      </c>
    </row>
    <row r="3740" customFormat="false" ht="16.5" hidden="false" customHeight="true" outlineLevel="0" collapsed="false">
      <c r="A3740" s="2" t="s">
        <v>447</v>
      </c>
      <c r="B3740" s="2" t="s">
        <v>463</v>
      </c>
      <c r="C3740" s="2" t="s">
        <v>14</v>
      </c>
      <c r="D3740" s="2" t="str">
        <f aca="false">IF(4キー同時!$B$201="","",4キー同時!$B$201)</f>
        <v/>
      </c>
      <c r="E3740" s="2" t="str">
        <f aca="false">IF(4キー同時!$G$201="","",4キー同時!$G$201)</f>
        <v/>
      </c>
      <c r="F3740" s="2" t="str">
        <f aca="false">IF(4キー同時!$L$201="","",4キー同時!$L$201)</f>
        <v/>
      </c>
      <c r="G3740" s="2" t="str">
        <f aca="false">IF(OR(4キー同時!$B$201="",4キー同時!$G$201="",4キー同時!$L$201=""),"",IF(4キー同時!P205="","",SUBSTITUTE(SUBSTITUTE(4キー同時!P205," ",""),"　","")))</f>
        <v/>
      </c>
      <c r="H3740" s="2" t="str">
        <f aca="false">IF($G3740="","",4キー同時!$B$201)</f>
        <v/>
      </c>
      <c r="I3740" s="2" t="str">
        <f aca="false">IF($G3740="","",4キー同時!$G$201)</f>
        <v/>
      </c>
      <c r="J3740" s="2" t="str">
        <f aca="false">IF($G3740="","",4キー同時!$L$201)</f>
        <v/>
      </c>
      <c r="K3740" s="2" t="str">
        <f aca="false">IF($G3740="","","e")</f>
        <v/>
      </c>
      <c r="L3740" s="2" t="str">
        <f aca="false">IF($G3740="","","同時")</f>
        <v/>
      </c>
      <c r="M3740" s="2" t="str">
        <f aca="false">IF($G3740="","",IF(ISNA(MATCH($G3740,個別指定!$A:$A,0)),"行なし",""))</f>
        <v/>
      </c>
      <c r="N3740" s="2" t="str">
        <f aca="false">IF($G3740="","",IF(COUNTIF($G$2:$G$4460,$G3740)&gt;1,"重複",""))</f>
        <v/>
      </c>
    </row>
    <row r="3741" customFormat="false" ht="16.5" hidden="false" customHeight="true" outlineLevel="0" collapsed="false">
      <c r="A3741" s="2" t="s">
        <v>447</v>
      </c>
      <c r="B3741" s="2" t="s">
        <v>463</v>
      </c>
      <c r="C3741" s="2" t="s">
        <v>15</v>
      </c>
      <c r="D3741" s="2" t="str">
        <f aca="false">IF(4キー同時!$B$201="","",4キー同時!$B$201)</f>
        <v/>
      </c>
      <c r="E3741" s="2" t="str">
        <f aca="false">IF(4キー同時!$G$201="","",4キー同時!$G$201)</f>
        <v/>
      </c>
      <c r="F3741" s="2" t="str">
        <f aca="false">IF(4キー同時!$L$201="","",4キー同時!$L$201)</f>
        <v/>
      </c>
      <c r="G3741" s="2" t="str">
        <f aca="false">IF(OR(4キー同時!$B$201="",4キー同時!$G$201="",4キー同時!$L$201=""),"",IF(4キー同時!T205="","",SUBSTITUTE(SUBSTITUTE(4キー同時!T205," ",""),"　","")))</f>
        <v/>
      </c>
      <c r="H3741" s="2" t="str">
        <f aca="false">IF($G3741="","",4キー同時!$B$201)</f>
        <v/>
      </c>
      <c r="I3741" s="2" t="str">
        <f aca="false">IF($G3741="","",4キー同時!$G$201)</f>
        <v/>
      </c>
      <c r="J3741" s="2" t="str">
        <f aca="false">IF($G3741="","",4キー同時!$L$201)</f>
        <v/>
      </c>
      <c r="K3741" s="2" t="str">
        <f aca="false">IF($G3741="","","r")</f>
        <v/>
      </c>
      <c r="L3741" s="2" t="str">
        <f aca="false">IF($G3741="","","同時")</f>
        <v/>
      </c>
      <c r="M3741" s="2" t="str">
        <f aca="false">IF($G3741="","",IF(ISNA(MATCH($G3741,個別指定!$A:$A,0)),"行なし",""))</f>
        <v/>
      </c>
      <c r="N3741" s="2" t="str">
        <f aca="false">IF($G3741="","",IF(COUNTIF($G$2:$G$4460,$G3741)&gt;1,"重複",""))</f>
        <v/>
      </c>
    </row>
    <row r="3742" customFormat="false" ht="16.5" hidden="false" customHeight="true" outlineLevel="0" collapsed="false">
      <c r="A3742" s="2" t="s">
        <v>447</v>
      </c>
      <c r="B3742" s="2" t="s">
        <v>463</v>
      </c>
      <c r="C3742" s="2" t="s">
        <v>16</v>
      </c>
      <c r="D3742" s="2" t="str">
        <f aca="false">IF(4キー同時!$B$201="","",4キー同時!$B$201)</f>
        <v/>
      </c>
      <c r="E3742" s="2" t="str">
        <f aca="false">IF(4キー同時!$G$201="","",4キー同時!$G$201)</f>
        <v/>
      </c>
      <c r="F3742" s="2" t="str">
        <f aca="false">IF(4キー同時!$L$201="","",4キー同時!$L$201)</f>
        <v/>
      </c>
      <c r="G3742" s="2" t="str">
        <f aca="false">IF(OR(4キー同時!$B$201="",4キー同時!$G$201="",4キー同時!$L$201=""),"",IF(4キー同時!X205="","",SUBSTITUTE(SUBSTITUTE(4キー同時!X205," ",""),"　","")))</f>
        <v/>
      </c>
      <c r="H3742" s="2" t="str">
        <f aca="false">IF($G3742="","",4キー同時!$B$201)</f>
        <v/>
      </c>
      <c r="I3742" s="2" t="str">
        <f aca="false">IF($G3742="","",4キー同時!$G$201)</f>
        <v/>
      </c>
      <c r="J3742" s="2" t="str">
        <f aca="false">IF($G3742="","",4キー同時!$L$201)</f>
        <v/>
      </c>
      <c r="K3742" s="2" t="str">
        <f aca="false">IF($G3742="","","t")</f>
        <v/>
      </c>
      <c r="L3742" s="2" t="str">
        <f aca="false">IF($G3742="","","同時")</f>
        <v/>
      </c>
      <c r="M3742" s="2" t="str">
        <f aca="false">IF($G3742="","",IF(ISNA(MATCH($G3742,個別指定!$A:$A,0)),"行なし",""))</f>
        <v/>
      </c>
      <c r="N3742" s="2" t="str">
        <f aca="false">IF($G3742="","",IF(COUNTIF($G$2:$G$4460,$G3742)&gt;1,"重複",""))</f>
        <v/>
      </c>
    </row>
    <row r="3743" customFormat="false" ht="16.5" hidden="false" customHeight="true" outlineLevel="0" collapsed="false">
      <c r="A3743" s="2" t="s">
        <v>447</v>
      </c>
      <c r="B3743" s="2" t="s">
        <v>463</v>
      </c>
      <c r="C3743" s="2" t="s">
        <v>17</v>
      </c>
      <c r="D3743" s="2" t="str">
        <f aca="false">IF(4キー同時!$B$201="","",4キー同時!$B$201)</f>
        <v/>
      </c>
      <c r="E3743" s="2" t="str">
        <f aca="false">IF(4キー同時!$G$201="","",4キー同時!$G$201)</f>
        <v/>
      </c>
      <c r="F3743" s="2" t="str">
        <f aca="false">IF(4キー同時!$L$201="","",4キー同時!$L$201)</f>
        <v/>
      </c>
      <c r="G3743" s="2" t="str">
        <f aca="false">IF(OR(4キー同時!$B$201="",4キー同時!$G$201="",4キー同時!$L$201=""),"",IF(4キー同時!AB205="","",SUBSTITUTE(SUBSTITUTE(4キー同時!AB205," ",""),"　","")))</f>
        <v/>
      </c>
      <c r="H3743" s="2" t="str">
        <f aca="false">IF($G3743="","",4キー同時!$B$201)</f>
        <v/>
      </c>
      <c r="I3743" s="2" t="str">
        <f aca="false">IF($G3743="","",4キー同時!$G$201)</f>
        <v/>
      </c>
      <c r="J3743" s="2" t="str">
        <f aca="false">IF($G3743="","",4キー同時!$L$201)</f>
        <v/>
      </c>
      <c r="K3743" s="2" t="str">
        <f aca="false">IF($G3743="","","y")</f>
        <v/>
      </c>
      <c r="L3743" s="2" t="str">
        <f aca="false">IF($G3743="","","同時")</f>
        <v/>
      </c>
      <c r="M3743" s="2" t="str">
        <f aca="false">IF($G3743="","",IF(ISNA(MATCH($G3743,個別指定!$A:$A,0)),"行なし",""))</f>
        <v/>
      </c>
      <c r="N3743" s="2" t="str">
        <f aca="false">IF($G3743="","",IF(COUNTIF($G$2:$G$4460,$G3743)&gt;1,"重複",""))</f>
        <v/>
      </c>
    </row>
    <row r="3744" customFormat="false" ht="16.5" hidden="false" customHeight="true" outlineLevel="0" collapsed="false">
      <c r="A3744" s="2" t="s">
        <v>447</v>
      </c>
      <c r="B3744" s="2" t="s">
        <v>463</v>
      </c>
      <c r="C3744" s="2" t="s">
        <v>18</v>
      </c>
      <c r="D3744" s="2" t="str">
        <f aca="false">IF(4キー同時!$B$201="","",4キー同時!$B$201)</f>
        <v/>
      </c>
      <c r="E3744" s="2" t="str">
        <f aca="false">IF(4キー同時!$G$201="","",4キー同時!$G$201)</f>
        <v/>
      </c>
      <c r="F3744" s="2" t="str">
        <f aca="false">IF(4キー同時!$L$201="","",4キー同時!$L$201)</f>
        <v/>
      </c>
      <c r="G3744" s="2" t="str">
        <f aca="false">IF(OR(4キー同時!$B$201="",4キー同時!$G$201="",4キー同時!$L$201=""),"",IF(4キー同時!AF205="","",SUBSTITUTE(SUBSTITUTE(4キー同時!AF205," ",""),"　","")))</f>
        <v/>
      </c>
      <c r="H3744" s="2" t="str">
        <f aca="false">IF($G3744="","",4キー同時!$B$201)</f>
        <v/>
      </c>
      <c r="I3744" s="2" t="str">
        <f aca="false">IF($G3744="","",4キー同時!$G$201)</f>
        <v/>
      </c>
      <c r="J3744" s="2" t="str">
        <f aca="false">IF($G3744="","",4キー同時!$L$201)</f>
        <v/>
      </c>
      <c r="K3744" s="2" t="str">
        <f aca="false">IF($G3744="","","u")</f>
        <v/>
      </c>
      <c r="L3744" s="2" t="str">
        <f aca="false">IF($G3744="","","同時")</f>
        <v/>
      </c>
      <c r="M3744" s="2" t="str">
        <f aca="false">IF($G3744="","",IF(ISNA(MATCH($G3744,個別指定!$A:$A,0)),"行なし",""))</f>
        <v/>
      </c>
      <c r="N3744" s="2" t="str">
        <f aca="false">IF($G3744="","",IF(COUNTIF($G$2:$G$4460,$G3744)&gt;1,"重複",""))</f>
        <v/>
      </c>
    </row>
    <row r="3745" customFormat="false" ht="16.5" hidden="false" customHeight="true" outlineLevel="0" collapsed="false">
      <c r="A3745" s="2" t="s">
        <v>447</v>
      </c>
      <c r="B3745" s="2" t="s">
        <v>463</v>
      </c>
      <c r="C3745" s="2" t="s">
        <v>19</v>
      </c>
      <c r="D3745" s="2" t="str">
        <f aca="false">IF(4キー同時!$B$201="","",4キー同時!$B$201)</f>
        <v/>
      </c>
      <c r="E3745" s="2" t="str">
        <f aca="false">IF(4キー同時!$G$201="","",4キー同時!$G$201)</f>
        <v/>
      </c>
      <c r="F3745" s="2" t="str">
        <f aca="false">IF(4キー同時!$L$201="","",4キー同時!$L$201)</f>
        <v/>
      </c>
      <c r="G3745" s="2" t="str">
        <f aca="false">IF(OR(4キー同時!$B$201="",4キー同時!$G$201="",4キー同時!$L$201=""),"",IF(4キー同時!AJ205="","",SUBSTITUTE(SUBSTITUTE(4キー同時!AJ205," ",""),"　","")))</f>
        <v/>
      </c>
      <c r="H3745" s="2" t="str">
        <f aca="false">IF($G3745="","",4キー同時!$B$201)</f>
        <v/>
      </c>
      <c r="I3745" s="2" t="str">
        <f aca="false">IF($G3745="","",4キー同時!$G$201)</f>
        <v/>
      </c>
      <c r="J3745" s="2" t="str">
        <f aca="false">IF($G3745="","",4キー同時!$L$201)</f>
        <v/>
      </c>
      <c r="K3745" s="2" t="str">
        <f aca="false">IF($G3745="","","i")</f>
        <v/>
      </c>
      <c r="L3745" s="2" t="str">
        <f aca="false">IF($G3745="","","同時")</f>
        <v/>
      </c>
      <c r="M3745" s="2" t="str">
        <f aca="false">IF($G3745="","",IF(ISNA(MATCH($G3745,個別指定!$A:$A,0)),"行なし",""))</f>
        <v/>
      </c>
      <c r="N3745" s="2" t="str">
        <f aca="false">IF($G3745="","",IF(COUNTIF($G$2:$G$4460,$G3745)&gt;1,"重複",""))</f>
        <v/>
      </c>
    </row>
    <row r="3746" customFormat="false" ht="16.5" hidden="false" customHeight="true" outlineLevel="0" collapsed="false">
      <c r="A3746" s="2" t="s">
        <v>447</v>
      </c>
      <c r="B3746" s="2" t="s">
        <v>463</v>
      </c>
      <c r="C3746" s="2" t="s">
        <v>20</v>
      </c>
      <c r="D3746" s="2" t="str">
        <f aca="false">IF(4キー同時!$B$201="","",4キー同時!$B$201)</f>
        <v/>
      </c>
      <c r="E3746" s="2" t="str">
        <f aca="false">IF(4キー同時!$G$201="","",4キー同時!$G$201)</f>
        <v/>
      </c>
      <c r="F3746" s="2" t="str">
        <f aca="false">IF(4キー同時!$L$201="","",4キー同時!$L$201)</f>
        <v/>
      </c>
      <c r="G3746" s="2" t="str">
        <f aca="false">IF(OR(4キー同時!$B$201="",4キー同時!$G$201="",4キー同時!$L$201=""),"",IF(4キー同時!AN205="","",SUBSTITUTE(SUBSTITUTE(4キー同時!AN205," ",""),"　","")))</f>
        <v/>
      </c>
      <c r="H3746" s="2" t="str">
        <f aca="false">IF($G3746="","",4キー同時!$B$201)</f>
        <v/>
      </c>
      <c r="I3746" s="2" t="str">
        <f aca="false">IF($G3746="","",4キー同時!$G$201)</f>
        <v/>
      </c>
      <c r="J3746" s="2" t="str">
        <f aca="false">IF($G3746="","",4キー同時!$L$201)</f>
        <v/>
      </c>
      <c r="K3746" s="2" t="str">
        <f aca="false">IF($G3746="","","o")</f>
        <v/>
      </c>
      <c r="L3746" s="2" t="str">
        <f aca="false">IF($G3746="","","同時")</f>
        <v/>
      </c>
      <c r="M3746" s="2" t="str">
        <f aca="false">IF($G3746="","",IF(ISNA(MATCH($G3746,個別指定!$A:$A,0)),"行なし",""))</f>
        <v/>
      </c>
      <c r="N3746" s="2" t="str">
        <f aca="false">IF($G3746="","",IF(COUNTIF($G$2:$G$4460,$G3746)&gt;1,"重複",""))</f>
        <v/>
      </c>
    </row>
    <row r="3747" customFormat="false" ht="16.5" hidden="false" customHeight="true" outlineLevel="0" collapsed="false">
      <c r="A3747" s="2" t="s">
        <v>447</v>
      </c>
      <c r="B3747" s="2" t="s">
        <v>463</v>
      </c>
      <c r="C3747" s="2" t="s">
        <v>21</v>
      </c>
      <c r="D3747" s="2" t="str">
        <f aca="false">IF(4キー同時!$B$201="","",4キー同時!$B$201)</f>
        <v/>
      </c>
      <c r="E3747" s="2" t="str">
        <f aca="false">IF(4キー同時!$G$201="","",4キー同時!$G$201)</f>
        <v/>
      </c>
      <c r="F3747" s="2" t="str">
        <f aca="false">IF(4キー同時!$L$201="","",4キー同時!$L$201)</f>
        <v/>
      </c>
      <c r="G3747" s="2" t="str">
        <f aca="false">IF(OR(4キー同時!$B$201="",4キー同時!$G$201="",4キー同時!$L$201=""),"",IF(4キー同時!AR205="","",SUBSTITUTE(SUBSTITUTE(4キー同時!AR205," ",""),"　","")))</f>
        <v/>
      </c>
      <c r="H3747" s="2" t="str">
        <f aca="false">IF($G3747="","",4キー同時!$B$201)</f>
        <v/>
      </c>
      <c r="I3747" s="2" t="str">
        <f aca="false">IF($G3747="","",4キー同時!$G$201)</f>
        <v/>
      </c>
      <c r="J3747" s="2" t="str">
        <f aca="false">IF($G3747="","",4キー同時!$L$201)</f>
        <v/>
      </c>
      <c r="K3747" s="2" t="str">
        <f aca="false">IF($G3747="","","p")</f>
        <v/>
      </c>
      <c r="L3747" s="2" t="str">
        <f aca="false">IF($G3747="","","同時")</f>
        <v/>
      </c>
      <c r="M3747" s="2" t="str">
        <f aca="false">IF($G3747="","",IF(ISNA(MATCH($G3747,個別指定!$A:$A,0)),"行なし",""))</f>
        <v/>
      </c>
      <c r="N3747" s="2" t="str">
        <f aca="false">IF($G3747="","",IF(COUNTIF($G$2:$G$4460,$G3747)&gt;1,"重複",""))</f>
        <v/>
      </c>
    </row>
    <row r="3748" customFormat="false" ht="16.5" hidden="false" customHeight="true" outlineLevel="0" collapsed="false">
      <c r="A3748" s="2" t="s">
        <v>447</v>
      </c>
      <c r="B3748" s="2" t="s">
        <v>463</v>
      </c>
      <c r="C3748" s="2" t="s">
        <v>22</v>
      </c>
      <c r="D3748" s="2" t="str">
        <f aca="false">IF(4キー同時!$B$201="","",4キー同時!$B$201)</f>
        <v/>
      </c>
      <c r="E3748" s="2" t="str">
        <f aca="false">IF(4キー同時!$G$201="","",4キー同時!$G$201)</f>
        <v/>
      </c>
      <c r="F3748" s="2" t="str">
        <f aca="false">IF(4キー同時!$L$201="","",4キー同時!$L$201)</f>
        <v/>
      </c>
      <c r="G3748" s="2" t="str">
        <f aca="false">IF(OR(4キー同時!$B$201="",4キー同時!$G$201="",4キー同時!$L$201=""),"",IF(4キー同時!AV205="","",SUBSTITUTE(SUBSTITUTE(4キー同時!AV205," ",""),"　","")))</f>
        <v/>
      </c>
      <c r="H3748" s="2" t="str">
        <f aca="false">IF($G3748="","",4キー同時!$B$201)</f>
        <v/>
      </c>
      <c r="I3748" s="2" t="str">
        <f aca="false">IF($G3748="","",4キー同時!$G$201)</f>
        <v/>
      </c>
      <c r="J3748" s="2" t="str">
        <f aca="false">IF($G3748="","",4キー同時!$L$201)</f>
        <v/>
      </c>
      <c r="K3748" s="2" t="str">
        <f aca="false">IF($G3748="","","[")</f>
        <v/>
      </c>
      <c r="L3748" s="2" t="str">
        <f aca="false">IF($G3748="","","同時")</f>
        <v/>
      </c>
      <c r="M3748" s="2" t="str">
        <f aca="false">IF($G3748="","",IF(ISNA(MATCH($G3748,個別指定!$A:$A,0)),"行なし",""))</f>
        <v/>
      </c>
      <c r="N3748" s="2" t="str">
        <f aca="false">IF($G3748="","",IF(COUNTIF($G$2:$G$4460,$G3748)&gt;1,"重複",""))</f>
        <v/>
      </c>
    </row>
    <row r="3749" customFormat="false" ht="16.5" hidden="false" customHeight="true" outlineLevel="0" collapsed="false">
      <c r="A3749" s="2" t="s">
        <v>447</v>
      </c>
      <c r="B3749" s="2" t="s">
        <v>463</v>
      </c>
      <c r="C3749" s="2" t="s">
        <v>23</v>
      </c>
      <c r="D3749" s="2" t="str">
        <f aca="false">IF(4キー同時!$B$201="","",4キー同時!$B$201)</f>
        <v/>
      </c>
      <c r="E3749" s="2" t="str">
        <f aca="false">IF(4キー同時!$G$201="","",4キー同時!$G$201)</f>
        <v/>
      </c>
      <c r="F3749" s="2" t="str">
        <f aca="false">IF(4キー同時!$L$201="","",4キー同時!$L$201)</f>
        <v/>
      </c>
      <c r="G3749" s="2" t="str">
        <f aca="false">IF(OR(4キー同時!$B$201="",4キー同時!$G$201="",4キー同時!$L$201=""),"",IF(4キー同時!AZ205="","",SUBSTITUTE(SUBSTITUTE(4キー同時!AZ205," ",""),"　","")))</f>
        <v/>
      </c>
      <c r="H3749" s="2" t="str">
        <f aca="false">IF($G3749="","",4キー同時!$B$201)</f>
        <v/>
      </c>
      <c r="I3749" s="2" t="str">
        <f aca="false">IF($G3749="","",4キー同時!$G$201)</f>
        <v/>
      </c>
      <c r="J3749" s="2" t="str">
        <f aca="false">IF($G3749="","",4キー同時!$L$201)</f>
        <v/>
      </c>
      <c r="K3749" s="2" t="str">
        <f aca="false">IF($G3749="","","]")</f>
        <v/>
      </c>
      <c r="L3749" s="2" t="str">
        <f aca="false">IF($G3749="","","同時")</f>
        <v/>
      </c>
      <c r="M3749" s="2" t="str">
        <f aca="false">IF($G3749="","",IF(ISNA(MATCH($G3749,個別指定!$A:$A,0)),"行なし",""))</f>
        <v/>
      </c>
      <c r="N3749" s="2" t="str">
        <f aca="false">IF($G3749="","",IF(COUNTIF($G$2:$G$4460,$G3749)&gt;1,"重複",""))</f>
        <v/>
      </c>
    </row>
    <row r="3750" customFormat="false" ht="16.5" hidden="false" customHeight="true" outlineLevel="0" collapsed="false">
      <c r="A3750" s="2" t="s">
        <v>447</v>
      </c>
      <c r="B3750" s="2" t="s">
        <v>463</v>
      </c>
      <c r="C3750" s="2" t="s">
        <v>24</v>
      </c>
      <c r="D3750" s="2" t="str">
        <f aca="false">IF(4キー同時!$B$201="","",4キー同時!$B$201)</f>
        <v/>
      </c>
      <c r="E3750" s="2" t="str">
        <f aca="false">IF(4キー同時!$G$201="","",4キー同時!$G$201)</f>
        <v/>
      </c>
      <c r="F3750" s="2" t="str">
        <f aca="false">IF(4キー同時!$L$201="","",4キー同時!$L$201)</f>
        <v/>
      </c>
      <c r="G3750" s="2" t="str">
        <f aca="false">IF(OR(4キー同時!$B$201="",4キー同時!$G$201="",4キー同時!$L$201=""),"",IF(4キー同時!I207="","",SUBSTITUTE(SUBSTITUTE(4キー同時!I207," ",""),"　","")))</f>
        <v/>
      </c>
      <c r="H3750" s="2" t="str">
        <f aca="false">IF($G3750="","",4キー同時!$B$201)</f>
        <v/>
      </c>
      <c r="I3750" s="2" t="str">
        <f aca="false">IF($G3750="","",4キー同時!$G$201)</f>
        <v/>
      </c>
      <c r="J3750" s="2" t="str">
        <f aca="false">IF($G3750="","",4キー同時!$L$201)</f>
        <v/>
      </c>
      <c r="K3750" s="2" t="str">
        <f aca="false">IF($G3750="","","a")</f>
        <v/>
      </c>
      <c r="L3750" s="2" t="str">
        <f aca="false">IF($G3750="","","同時")</f>
        <v/>
      </c>
      <c r="M3750" s="2" t="str">
        <f aca="false">IF($G3750="","",IF(ISNA(MATCH($G3750,個別指定!$A:$A,0)),"行なし",""))</f>
        <v/>
      </c>
      <c r="N3750" s="2" t="str">
        <f aca="false">IF($G3750="","",IF(COUNTIF($G$2:$G$4460,$G3750)&gt;1,"重複",""))</f>
        <v/>
      </c>
    </row>
    <row r="3751" customFormat="false" ht="16.5" hidden="false" customHeight="true" outlineLevel="0" collapsed="false">
      <c r="A3751" s="2" t="s">
        <v>447</v>
      </c>
      <c r="B3751" s="2" t="s">
        <v>463</v>
      </c>
      <c r="C3751" s="2" t="s">
        <v>25</v>
      </c>
      <c r="D3751" s="2" t="str">
        <f aca="false">IF(4キー同時!$B$201="","",4キー同時!$B$201)</f>
        <v/>
      </c>
      <c r="E3751" s="2" t="str">
        <f aca="false">IF(4キー同時!$G$201="","",4キー同時!$G$201)</f>
        <v/>
      </c>
      <c r="F3751" s="2" t="str">
        <f aca="false">IF(4キー同時!$L$201="","",4キー同時!$L$201)</f>
        <v/>
      </c>
      <c r="G3751" s="2" t="str">
        <f aca="false">IF(OR(4キー同時!$B$201="",4キー同時!$G$201="",4キー同時!$L$201=""),"",IF(4キー同時!M207="","",SUBSTITUTE(SUBSTITUTE(4キー同時!M207," ",""),"　","")))</f>
        <v/>
      </c>
      <c r="H3751" s="2" t="str">
        <f aca="false">IF($G3751="","",4キー同時!$B$201)</f>
        <v/>
      </c>
      <c r="I3751" s="2" t="str">
        <f aca="false">IF($G3751="","",4キー同時!$G$201)</f>
        <v/>
      </c>
      <c r="J3751" s="2" t="str">
        <f aca="false">IF($G3751="","",4キー同時!$L$201)</f>
        <v/>
      </c>
      <c r="K3751" s="2" t="str">
        <f aca="false">IF($G3751="","","s")</f>
        <v/>
      </c>
      <c r="L3751" s="2" t="str">
        <f aca="false">IF($G3751="","","同時")</f>
        <v/>
      </c>
      <c r="M3751" s="2" t="str">
        <f aca="false">IF($G3751="","",IF(ISNA(MATCH($G3751,個別指定!$A:$A,0)),"行なし",""))</f>
        <v/>
      </c>
      <c r="N3751" s="2" t="str">
        <f aca="false">IF($G3751="","",IF(COUNTIF($G$2:$G$4460,$G3751)&gt;1,"重複",""))</f>
        <v/>
      </c>
    </row>
    <row r="3752" customFormat="false" ht="16.5" hidden="false" customHeight="true" outlineLevel="0" collapsed="false">
      <c r="A3752" s="2" t="s">
        <v>447</v>
      </c>
      <c r="B3752" s="2" t="s">
        <v>463</v>
      </c>
      <c r="C3752" s="2" t="s">
        <v>26</v>
      </c>
      <c r="D3752" s="2" t="str">
        <f aca="false">IF(4キー同時!$B$201="","",4キー同時!$B$201)</f>
        <v/>
      </c>
      <c r="E3752" s="2" t="str">
        <f aca="false">IF(4キー同時!$G$201="","",4キー同時!$G$201)</f>
        <v/>
      </c>
      <c r="F3752" s="2" t="str">
        <f aca="false">IF(4キー同時!$L$201="","",4キー同時!$L$201)</f>
        <v/>
      </c>
      <c r="G3752" s="2" t="str">
        <f aca="false">IF(OR(4キー同時!$B$201="",4キー同時!$G$201="",4キー同時!$L$201=""),"",IF(4キー同時!Q207="","",SUBSTITUTE(SUBSTITUTE(4キー同時!Q207," ",""),"　","")))</f>
        <v/>
      </c>
      <c r="H3752" s="2" t="str">
        <f aca="false">IF($G3752="","",4キー同時!$B$201)</f>
        <v/>
      </c>
      <c r="I3752" s="2" t="str">
        <f aca="false">IF($G3752="","",4キー同時!$G$201)</f>
        <v/>
      </c>
      <c r="J3752" s="2" t="str">
        <f aca="false">IF($G3752="","",4キー同時!$L$201)</f>
        <v/>
      </c>
      <c r="K3752" s="2" t="str">
        <f aca="false">IF($G3752="","","d")</f>
        <v/>
      </c>
      <c r="L3752" s="2" t="str">
        <f aca="false">IF($G3752="","","同時")</f>
        <v/>
      </c>
      <c r="M3752" s="2" t="str">
        <f aca="false">IF($G3752="","",IF(ISNA(MATCH($G3752,個別指定!$A:$A,0)),"行なし",""))</f>
        <v/>
      </c>
      <c r="N3752" s="2" t="str">
        <f aca="false">IF($G3752="","",IF(COUNTIF($G$2:$G$4460,$G3752)&gt;1,"重複",""))</f>
        <v/>
      </c>
    </row>
    <row r="3753" customFormat="false" ht="16.5" hidden="false" customHeight="true" outlineLevel="0" collapsed="false">
      <c r="A3753" s="2" t="s">
        <v>447</v>
      </c>
      <c r="B3753" s="2" t="s">
        <v>463</v>
      </c>
      <c r="C3753" s="2" t="s">
        <v>27</v>
      </c>
      <c r="D3753" s="2" t="str">
        <f aca="false">IF(4キー同時!$B$201="","",4キー同時!$B$201)</f>
        <v/>
      </c>
      <c r="E3753" s="2" t="str">
        <f aca="false">IF(4キー同時!$G$201="","",4キー同時!$G$201)</f>
        <v/>
      </c>
      <c r="F3753" s="2" t="str">
        <f aca="false">IF(4キー同時!$L$201="","",4キー同時!$L$201)</f>
        <v/>
      </c>
      <c r="G3753" s="2" t="str">
        <f aca="false">IF(OR(4キー同時!$B$201="",4キー同時!$G$201="",4キー同時!$L$201=""),"",IF(4キー同時!U207="","",SUBSTITUTE(SUBSTITUTE(4キー同時!U207," ",""),"　","")))</f>
        <v/>
      </c>
      <c r="H3753" s="2" t="str">
        <f aca="false">IF($G3753="","",4キー同時!$B$201)</f>
        <v/>
      </c>
      <c r="I3753" s="2" t="str">
        <f aca="false">IF($G3753="","",4キー同時!$G$201)</f>
        <v/>
      </c>
      <c r="J3753" s="2" t="str">
        <f aca="false">IF($G3753="","",4キー同時!$L$201)</f>
        <v/>
      </c>
      <c r="K3753" s="2" t="str">
        <f aca="false">IF($G3753="","","f")</f>
        <v/>
      </c>
      <c r="L3753" s="2" t="str">
        <f aca="false">IF($G3753="","","同時")</f>
        <v/>
      </c>
      <c r="M3753" s="2" t="str">
        <f aca="false">IF($G3753="","",IF(ISNA(MATCH($G3753,個別指定!$A:$A,0)),"行なし",""))</f>
        <v/>
      </c>
      <c r="N3753" s="2" t="str">
        <f aca="false">IF($G3753="","",IF(COUNTIF($G$2:$G$4460,$G3753)&gt;1,"重複",""))</f>
        <v/>
      </c>
    </row>
    <row r="3754" customFormat="false" ht="16.5" hidden="false" customHeight="true" outlineLevel="0" collapsed="false">
      <c r="A3754" s="2" t="s">
        <v>447</v>
      </c>
      <c r="B3754" s="2" t="s">
        <v>463</v>
      </c>
      <c r="C3754" s="2" t="s">
        <v>28</v>
      </c>
      <c r="D3754" s="2" t="str">
        <f aca="false">IF(4キー同時!$B$201="","",4キー同時!$B$201)</f>
        <v/>
      </c>
      <c r="E3754" s="2" t="str">
        <f aca="false">IF(4キー同時!$G$201="","",4キー同時!$G$201)</f>
        <v/>
      </c>
      <c r="F3754" s="2" t="str">
        <f aca="false">IF(4キー同時!$L$201="","",4キー同時!$L$201)</f>
        <v/>
      </c>
      <c r="G3754" s="2" t="str">
        <f aca="false">IF(OR(4キー同時!$B$201="",4キー同時!$G$201="",4キー同時!$L$201=""),"",IF(4キー同時!Y207="","",SUBSTITUTE(SUBSTITUTE(4キー同時!Y207," ",""),"　","")))</f>
        <v/>
      </c>
      <c r="H3754" s="2" t="str">
        <f aca="false">IF($G3754="","",4キー同時!$B$201)</f>
        <v/>
      </c>
      <c r="I3754" s="2" t="str">
        <f aca="false">IF($G3754="","",4キー同時!$G$201)</f>
        <v/>
      </c>
      <c r="J3754" s="2" t="str">
        <f aca="false">IF($G3754="","",4キー同時!$L$201)</f>
        <v/>
      </c>
      <c r="K3754" s="2" t="str">
        <f aca="false">IF($G3754="","","g")</f>
        <v/>
      </c>
      <c r="L3754" s="2" t="str">
        <f aca="false">IF($G3754="","","同時")</f>
        <v/>
      </c>
      <c r="M3754" s="2" t="str">
        <f aca="false">IF($G3754="","",IF(ISNA(MATCH($G3754,個別指定!$A:$A,0)),"行なし",""))</f>
        <v/>
      </c>
      <c r="N3754" s="2" t="str">
        <f aca="false">IF($G3754="","",IF(COUNTIF($G$2:$G$4460,$G3754)&gt;1,"重複",""))</f>
        <v/>
      </c>
    </row>
    <row r="3755" customFormat="false" ht="16.5" hidden="false" customHeight="true" outlineLevel="0" collapsed="false">
      <c r="A3755" s="2" t="s">
        <v>447</v>
      </c>
      <c r="B3755" s="2" t="s">
        <v>463</v>
      </c>
      <c r="C3755" s="2" t="s">
        <v>29</v>
      </c>
      <c r="D3755" s="2" t="str">
        <f aca="false">IF(4キー同時!$B$201="","",4キー同時!$B$201)</f>
        <v/>
      </c>
      <c r="E3755" s="2" t="str">
        <f aca="false">IF(4キー同時!$G$201="","",4キー同時!$G$201)</f>
        <v/>
      </c>
      <c r="F3755" s="2" t="str">
        <f aca="false">IF(4キー同時!$L$201="","",4キー同時!$L$201)</f>
        <v/>
      </c>
      <c r="G3755" s="2" t="str">
        <f aca="false">IF(OR(4キー同時!$B$201="",4キー同時!$G$201="",4キー同時!$L$201=""),"",IF(4キー同時!AC207="","",SUBSTITUTE(SUBSTITUTE(4キー同時!AC207," ",""),"　","")))</f>
        <v/>
      </c>
      <c r="H3755" s="2" t="str">
        <f aca="false">IF($G3755="","",4キー同時!$B$201)</f>
        <v/>
      </c>
      <c r="I3755" s="2" t="str">
        <f aca="false">IF($G3755="","",4キー同時!$G$201)</f>
        <v/>
      </c>
      <c r="J3755" s="2" t="str">
        <f aca="false">IF($G3755="","",4キー同時!$L$201)</f>
        <v/>
      </c>
      <c r="K3755" s="2" t="str">
        <f aca="false">IF($G3755="","","h")</f>
        <v/>
      </c>
      <c r="L3755" s="2" t="str">
        <f aca="false">IF($G3755="","","同時")</f>
        <v/>
      </c>
      <c r="M3755" s="2" t="str">
        <f aca="false">IF($G3755="","",IF(ISNA(MATCH($G3755,個別指定!$A:$A,0)),"行なし",""))</f>
        <v/>
      </c>
      <c r="N3755" s="2" t="str">
        <f aca="false">IF($G3755="","",IF(COUNTIF($G$2:$G$4460,$G3755)&gt;1,"重複",""))</f>
        <v/>
      </c>
    </row>
    <row r="3756" customFormat="false" ht="16.5" hidden="false" customHeight="true" outlineLevel="0" collapsed="false">
      <c r="A3756" s="2" t="s">
        <v>447</v>
      </c>
      <c r="B3756" s="2" t="s">
        <v>463</v>
      </c>
      <c r="C3756" s="2" t="s">
        <v>30</v>
      </c>
      <c r="D3756" s="2" t="str">
        <f aca="false">IF(4キー同時!$B$201="","",4キー同時!$B$201)</f>
        <v/>
      </c>
      <c r="E3756" s="2" t="str">
        <f aca="false">IF(4キー同時!$G$201="","",4キー同時!$G$201)</f>
        <v/>
      </c>
      <c r="F3756" s="2" t="str">
        <f aca="false">IF(4キー同時!$L$201="","",4キー同時!$L$201)</f>
        <v/>
      </c>
      <c r="G3756" s="2" t="str">
        <f aca="false">IF(OR(4キー同時!$B$201="",4キー同時!$G$201="",4キー同時!$L$201=""),"",IF(4キー同時!AG207="","",SUBSTITUTE(SUBSTITUTE(4キー同時!AG207," ",""),"　","")))</f>
        <v/>
      </c>
      <c r="H3756" s="2" t="str">
        <f aca="false">IF($G3756="","",4キー同時!$B$201)</f>
        <v/>
      </c>
      <c r="I3756" s="2" t="str">
        <f aca="false">IF($G3756="","",4キー同時!$G$201)</f>
        <v/>
      </c>
      <c r="J3756" s="2" t="str">
        <f aca="false">IF($G3756="","",4キー同時!$L$201)</f>
        <v/>
      </c>
      <c r="K3756" s="2" t="str">
        <f aca="false">IF($G3756="","","j")</f>
        <v/>
      </c>
      <c r="L3756" s="2" t="str">
        <f aca="false">IF($G3756="","","同時")</f>
        <v/>
      </c>
      <c r="M3756" s="2" t="str">
        <f aca="false">IF($G3756="","",IF(ISNA(MATCH($G3756,個別指定!$A:$A,0)),"行なし",""))</f>
        <v/>
      </c>
      <c r="N3756" s="2" t="str">
        <f aca="false">IF($G3756="","",IF(COUNTIF($G$2:$G$4460,$G3756)&gt;1,"重複",""))</f>
        <v/>
      </c>
    </row>
    <row r="3757" customFormat="false" ht="16.5" hidden="false" customHeight="true" outlineLevel="0" collapsed="false">
      <c r="A3757" s="2" t="s">
        <v>447</v>
      </c>
      <c r="B3757" s="2" t="s">
        <v>463</v>
      </c>
      <c r="C3757" s="2" t="s">
        <v>31</v>
      </c>
      <c r="D3757" s="2" t="str">
        <f aca="false">IF(4キー同時!$B$201="","",4キー同時!$B$201)</f>
        <v/>
      </c>
      <c r="E3757" s="2" t="str">
        <f aca="false">IF(4キー同時!$G$201="","",4キー同時!$G$201)</f>
        <v/>
      </c>
      <c r="F3757" s="2" t="str">
        <f aca="false">IF(4キー同時!$L$201="","",4キー同時!$L$201)</f>
        <v/>
      </c>
      <c r="G3757" s="2" t="str">
        <f aca="false">IF(OR(4キー同時!$B$201="",4キー同時!$G$201="",4キー同時!$L$201=""),"",IF(4キー同時!AK207="","",SUBSTITUTE(SUBSTITUTE(4キー同時!AK207," ",""),"　","")))</f>
        <v/>
      </c>
      <c r="H3757" s="2" t="str">
        <f aca="false">IF($G3757="","",4キー同時!$B$201)</f>
        <v/>
      </c>
      <c r="I3757" s="2" t="str">
        <f aca="false">IF($G3757="","",4キー同時!$G$201)</f>
        <v/>
      </c>
      <c r="J3757" s="2" t="str">
        <f aca="false">IF($G3757="","",4キー同時!$L$201)</f>
        <v/>
      </c>
      <c r="K3757" s="2" t="str">
        <f aca="false">IF($G3757="","","k")</f>
        <v/>
      </c>
      <c r="L3757" s="2" t="str">
        <f aca="false">IF($G3757="","","同時")</f>
        <v/>
      </c>
      <c r="M3757" s="2" t="str">
        <f aca="false">IF($G3757="","",IF(ISNA(MATCH($G3757,個別指定!$A:$A,0)),"行なし",""))</f>
        <v/>
      </c>
      <c r="N3757" s="2" t="str">
        <f aca="false">IF($G3757="","",IF(COUNTIF($G$2:$G$4460,$G3757)&gt;1,"重複",""))</f>
        <v/>
      </c>
    </row>
    <row r="3758" customFormat="false" ht="16.5" hidden="false" customHeight="true" outlineLevel="0" collapsed="false">
      <c r="A3758" s="2" t="s">
        <v>447</v>
      </c>
      <c r="B3758" s="2" t="s">
        <v>463</v>
      </c>
      <c r="C3758" s="2" t="s">
        <v>32</v>
      </c>
      <c r="D3758" s="2" t="str">
        <f aca="false">IF(4キー同時!$B$201="","",4キー同時!$B$201)</f>
        <v/>
      </c>
      <c r="E3758" s="2" t="str">
        <f aca="false">IF(4キー同時!$G$201="","",4キー同時!$G$201)</f>
        <v/>
      </c>
      <c r="F3758" s="2" t="str">
        <f aca="false">IF(4キー同時!$L$201="","",4キー同時!$L$201)</f>
        <v/>
      </c>
      <c r="G3758" s="2" t="str">
        <f aca="false">IF(OR(4キー同時!$B$201="",4キー同時!$G$201="",4キー同時!$L$201=""),"",IF(4キー同時!AO207="","",SUBSTITUTE(SUBSTITUTE(4キー同時!AO207," ",""),"　","")))</f>
        <v/>
      </c>
      <c r="H3758" s="2" t="str">
        <f aca="false">IF($G3758="","",4キー同時!$B$201)</f>
        <v/>
      </c>
      <c r="I3758" s="2" t="str">
        <f aca="false">IF($G3758="","",4キー同時!$G$201)</f>
        <v/>
      </c>
      <c r="J3758" s="2" t="str">
        <f aca="false">IF($G3758="","",4キー同時!$L$201)</f>
        <v/>
      </c>
      <c r="K3758" s="2" t="str">
        <f aca="false">IF($G3758="","","l")</f>
        <v/>
      </c>
      <c r="L3758" s="2" t="str">
        <f aca="false">IF($G3758="","","同時")</f>
        <v/>
      </c>
      <c r="M3758" s="2" t="str">
        <f aca="false">IF($G3758="","",IF(ISNA(MATCH($G3758,個別指定!$A:$A,0)),"行なし",""))</f>
        <v/>
      </c>
      <c r="N3758" s="2" t="str">
        <f aca="false">IF($G3758="","",IF(COUNTIF($G$2:$G$4460,$G3758)&gt;1,"重複",""))</f>
        <v/>
      </c>
    </row>
    <row r="3759" customFormat="false" ht="16.5" hidden="false" customHeight="true" outlineLevel="0" collapsed="false">
      <c r="A3759" s="2" t="s">
        <v>447</v>
      </c>
      <c r="B3759" s="2" t="s">
        <v>463</v>
      </c>
      <c r="C3759" s="2" t="s">
        <v>33</v>
      </c>
      <c r="D3759" s="2" t="str">
        <f aca="false">IF(4キー同時!$B$201="","",4キー同時!$B$201)</f>
        <v/>
      </c>
      <c r="E3759" s="2" t="str">
        <f aca="false">IF(4キー同時!$G$201="","",4キー同時!$G$201)</f>
        <v/>
      </c>
      <c r="F3759" s="2" t="str">
        <f aca="false">IF(4キー同時!$L$201="","",4キー同時!$L$201)</f>
        <v/>
      </c>
      <c r="G3759" s="2" t="str">
        <f aca="false">IF(OR(4キー同時!$B$201="",4キー同時!$G$201="",4キー同時!$L$201=""),"",IF(4キー同時!AS207="","",SUBSTITUTE(SUBSTITUTE(4キー同時!AS207," ",""),"　","")))</f>
        <v/>
      </c>
      <c r="H3759" s="2" t="str">
        <f aca="false">IF($G3759="","",4キー同時!$B$201)</f>
        <v/>
      </c>
      <c r="I3759" s="2" t="str">
        <f aca="false">IF($G3759="","",4キー同時!$G$201)</f>
        <v/>
      </c>
      <c r="J3759" s="2" t="str">
        <f aca="false">IF($G3759="","",4キー同時!$L$201)</f>
        <v/>
      </c>
      <c r="K3759" s="2" t="str">
        <f aca="false">IF($G3759="","",";")</f>
        <v/>
      </c>
      <c r="L3759" s="2" t="str">
        <f aca="false">IF($G3759="","","同時")</f>
        <v/>
      </c>
      <c r="M3759" s="2" t="str">
        <f aca="false">IF($G3759="","",IF(ISNA(MATCH($G3759,個別指定!$A:$A,0)),"行なし",""))</f>
        <v/>
      </c>
      <c r="N3759" s="2" t="str">
        <f aca="false">IF($G3759="","",IF(COUNTIF($G$2:$G$4460,$G3759)&gt;1,"重複",""))</f>
        <v/>
      </c>
    </row>
    <row r="3760" customFormat="false" ht="16.5" hidden="false" customHeight="true" outlineLevel="0" collapsed="false">
      <c r="A3760" s="2" t="s">
        <v>447</v>
      </c>
      <c r="B3760" s="2" t="s">
        <v>463</v>
      </c>
      <c r="C3760" s="2" t="s">
        <v>34</v>
      </c>
      <c r="D3760" s="2" t="str">
        <f aca="false">IF(4キー同時!$B$201="","",4キー同時!$B$201)</f>
        <v/>
      </c>
      <c r="E3760" s="2" t="str">
        <f aca="false">IF(4キー同時!$G$201="","",4キー同時!$G$201)</f>
        <v/>
      </c>
      <c r="F3760" s="2" t="str">
        <f aca="false">IF(4キー同時!$L$201="","",4キー同時!$L$201)</f>
        <v/>
      </c>
      <c r="G3760" s="2" t="str">
        <f aca="false">IF(OR(4キー同時!$B$201="",4キー同時!$G$201="",4キー同時!$L$201=""),"",IF(4キー同時!AW207="","",SUBSTITUTE(SUBSTITUTE(4キー同時!AW207," ",""),"　","")))</f>
        <v/>
      </c>
      <c r="H3760" s="2" t="str">
        <f aca="false">IF($G3760="","",4キー同時!$B$201)</f>
        <v/>
      </c>
      <c r="I3760" s="2" t="str">
        <f aca="false">IF($G3760="","",4キー同時!$G$201)</f>
        <v/>
      </c>
      <c r="J3760" s="2" t="str">
        <f aca="false">IF($G3760="","",4キー同時!$L$201)</f>
        <v/>
      </c>
      <c r="K3760" s="2" t="str">
        <f aca="false">IF($G3760="","","'")</f>
        <v/>
      </c>
      <c r="L3760" s="2" t="str">
        <f aca="false">IF($G3760="","","同時")</f>
        <v/>
      </c>
      <c r="M3760" s="2" t="str">
        <f aca="false">IF($G3760="","",IF(ISNA(MATCH($G3760,個別指定!$A:$A,0)),"行なし",""))</f>
        <v/>
      </c>
      <c r="N3760" s="2" t="str">
        <f aca="false">IF($G3760="","",IF(COUNTIF($G$2:$G$4460,$G3760)&gt;1,"重複",""))</f>
        <v/>
      </c>
    </row>
    <row r="3761" customFormat="false" ht="16.5" hidden="false" customHeight="true" outlineLevel="0" collapsed="false">
      <c r="A3761" s="2" t="s">
        <v>447</v>
      </c>
      <c r="B3761" s="2" t="s">
        <v>463</v>
      </c>
      <c r="C3761" s="2" t="s">
        <v>35</v>
      </c>
      <c r="D3761" s="2" t="str">
        <f aca="false">IF(4キー同時!$B$201="","",4キー同時!$B$201)</f>
        <v/>
      </c>
      <c r="E3761" s="2" t="str">
        <f aca="false">IF(4キー同時!$G$201="","",4キー同時!$G$201)</f>
        <v/>
      </c>
      <c r="F3761" s="2" t="str">
        <f aca="false">IF(4キー同時!$L$201="","",4キー同時!$L$201)</f>
        <v/>
      </c>
      <c r="G3761" s="2" t="str">
        <f aca="false">IF(OR(4キー同時!$B$201="",4キー同時!$G$201="",4キー同時!$L$201=""),"",IF(4キー同時!K209="","",SUBSTITUTE(SUBSTITUTE(4キー同時!K209," ",""),"　","")))</f>
        <v/>
      </c>
      <c r="H3761" s="2" t="str">
        <f aca="false">IF($G3761="","",4キー同時!$B$201)</f>
        <v/>
      </c>
      <c r="I3761" s="2" t="str">
        <f aca="false">IF($G3761="","",4キー同時!$G$201)</f>
        <v/>
      </c>
      <c r="J3761" s="2" t="str">
        <f aca="false">IF($G3761="","",4キー同時!$L$201)</f>
        <v/>
      </c>
      <c r="K3761" s="2" t="str">
        <f aca="false">IF($G3761="","","z")</f>
        <v/>
      </c>
      <c r="L3761" s="2" t="str">
        <f aca="false">IF($G3761="","","同時")</f>
        <v/>
      </c>
      <c r="M3761" s="2" t="str">
        <f aca="false">IF($G3761="","",IF(ISNA(MATCH($G3761,個別指定!$A:$A,0)),"行なし",""))</f>
        <v/>
      </c>
      <c r="N3761" s="2" t="str">
        <f aca="false">IF($G3761="","",IF(COUNTIF($G$2:$G$4460,$G3761)&gt;1,"重複",""))</f>
        <v/>
      </c>
    </row>
    <row r="3762" customFormat="false" ht="16.5" hidden="false" customHeight="true" outlineLevel="0" collapsed="false">
      <c r="A3762" s="2" t="s">
        <v>447</v>
      </c>
      <c r="B3762" s="2" t="s">
        <v>463</v>
      </c>
      <c r="C3762" s="2" t="s">
        <v>36</v>
      </c>
      <c r="D3762" s="2" t="str">
        <f aca="false">IF(4キー同時!$B$201="","",4キー同時!$B$201)</f>
        <v/>
      </c>
      <c r="E3762" s="2" t="str">
        <f aca="false">IF(4キー同時!$G$201="","",4キー同時!$G$201)</f>
        <v/>
      </c>
      <c r="F3762" s="2" t="str">
        <f aca="false">IF(4キー同時!$L$201="","",4キー同時!$L$201)</f>
        <v/>
      </c>
      <c r="G3762" s="2" t="str">
        <f aca="false">IF(OR(4キー同時!$B$201="",4キー同時!$G$201="",4キー同時!$L$201=""),"",IF(4キー同時!O209="","",SUBSTITUTE(SUBSTITUTE(4キー同時!O209," ",""),"　","")))</f>
        <v/>
      </c>
      <c r="H3762" s="2" t="str">
        <f aca="false">IF($G3762="","",4キー同時!$B$201)</f>
        <v/>
      </c>
      <c r="I3762" s="2" t="str">
        <f aca="false">IF($G3762="","",4キー同時!$G$201)</f>
        <v/>
      </c>
      <c r="J3762" s="2" t="str">
        <f aca="false">IF($G3762="","",4キー同時!$L$201)</f>
        <v/>
      </c>
      <c r="K3762" s="2" t="str">
        <f aca="false">IF($G3762="","","x")</f>
        <v/>
      </c>
      <c r="L3762" s="2" t="str">
        <f aca="false">IF($G3762="","","同時")</f>
        <v/>
      </c>
      <c r="M3762" s="2" t="str">
        <f aca="false">IF($G3762="","",IF(ISNA(MATCH($G3762,個別指定!$A:$A,0)),"行なし",""))</f>
        <v/>
      </c>
      <c r="N3762" s="2" t="str">
        <f aca="false">IF($G3762="","",IF(COUNTIF($G$2:$G$4460,$G3762)&gt;1,"重複",""))</f>
        <v/>
      </c>
    </row>
    <row r="3763" customFormat="false" ht="16.5" hidden="false" customHeight="true" outlineLevel="0" collapsed="false">
      <c r="A3763" s="2" t="s">
        <v>447</v>
      </c>
      <c r="B3763" s="2" t="s">
        <v>463</v>
      </c>
      <c r="C3763" s="2" t="s">
        <v>37</v>
      </c>
      <c r="D3763" s="2" t="str">
        <f aca="false">IF(4キー同時!$B$201="","",4キー同時!$B$201)</f>
        <v/>
      </c>
      <c r="E3763" s="2" t="str">
        <f aca="false">IF(4キー同時!$G$201="","",4キー同時!$G$201)</f>
        <v/>
      </c>
      <c r="F3763" s="2" t="str">
        <f aca="false">IF(4キー同時!$L$201="","",4キー同時!$L$201)</f>
        <v/>
      </c>
      <c r="G3763" s="2" t="str">
        <f aca="false">IF(OR(4キー同時!$B$201="",4キー同時!$G$201="",4キー同時!$L$201=""),"",IF(4キー同時!S209="","",SUBSTITUTE(SUBSTITUTE(4キー同時!S209," ",""),"　","")))</f>
        <v/>
      </c>
      <c r="H3763" s="2" t="str">
        <f aca="false">IF($G3763="","",4キー同時!$B$201)</f>
        <v/>
      </c>
      <c r="I3763" s="2" t="str">
        <f aca="false">IF($G3763="","",4キー同時!$G$201)</f>
        <v/>
      </c>
      <c r="J3763" s="2" t="str">
        <f aca="false">IF($G3763="","",4キー同時!$L$201)</f>
        <v/>
      </c>
      <c r="K3763" s="2" t="str">
        <f aca="false">IF($G3763="","","c")</f>
        <v/>
      </c>
      <c r="L3763" s="2" t="str">
        <f aca="false">IF($G3763="","","同時")</f>
        <v/>
      </c>
      <c r="M3763" s="2" t="str">
        <f aca="false">IF($G3763="","",IF(ISNA(MATCH($G3763,個別指定!$A:$A,0)),"行なし",""))</f>
        <v/>
      </c>
      <c r="N3763" s="2" t="str">
        <f aca="false">IF($G3763="","",IF(COUNTIF($G$2:$G$4460,$G3763)&gt;1,"重複",""))</f>
        <v/>
      </c>
    </row>
    <row r="3764" customFormat="false" ht="16.5" hidden="false" customHeight="true" outlineLevel="0" collapsed="false">
      <c r="A3764" s="2" t="s">
        <v>447</v>
      </c>
      <c r="B3764" s="2" t="s">
        <v>463</v>
      </c>
      <c r="C3764" s="2" t="s">
        <v>38</v>
      </c>
      <c r="D3764" s="2" t="str">
        <f aca="false">IF(4キー同時!$B$201="","",4キー同時!$B$201)</f>
        <v/>
      </c>
      <c r="E3764" s="2" t="str">
        <f aca="false">IF(4キー同時!$G$201="","",4キー同時!$G$201)</f>
        <v/>
      </c>
      <c r="F3764" s="2" t="str">
        <f aca="false">IF(4キー同時!$L$201="","",4キー同時!$L$201)</f>
        <v/>
      </c>
      <c r="G3764" s="2" t="str">
        <f aca="false">IF(OR(4キー同時!$B$201="",4キー同時!$G$201="",4キー同時!$L$201=""),"",IF(4キー同時!W209="","",SUBSTITUTE(SUBSTITUTE(4キー同時!W209," ",""),"　","")))</f>
        <v/>
      </c>
      <c r="H3764" s="2" t="str">
        <f aca="false">IF($G3764="","",4キー同時!$B$201)</f>
        <v/>
      </c>
      <c r="I3764" s="2" t="str">
        <f aca="false">IF($G3764="","",4キー同時!$G$201)</f>
        <v/>
      </c>
      <c r="J3764" s="2" t="str">
        <f aca="false">IF($G3764="","",4キー同時!$L$201)</f>
        <v/>
      </c>
      <c r="K3764" s="2" t="str">
        <f aca="false">IF($G3764="","","v")</f>
        <v/>
      </c>
      <c r="L3764" s="2" t="str">
        <f aca="false">IF($G3764="","","同時")</f>
        <v/>
      </c>
      <c r="M3764" s="2" t="str">
        <f aca="false">IF($G3764="","",IF(ISNA(MATCH($G3764,個別指定!$A:$A,0)),"行なし",""))</f>
        <v/>
      </c>
      <c r="N3764" s="2" t="str">
        <f aca="false">IF($G3764="","",IF(COUNTIF($G$2:$G$4460,$G3764)&gt;1,"重複",""))</f>
        <v/>
      </c>
    </row>
    <row r="3765" customFormat="false" ht="16.5" hidden="false" customHeight="true" outlineLevel="0" collapsed="false">
      <c r="A3765" s="2" t="s">
        <v>447</v>
      </c>
      <c r="B3765" s="2" t="s">
        <v>463</v>
      </c>
      <c r="C3765" s="2" t="s">
        <v>39</v>
      </c>
      <c r="D3765" s="2" t="str">
        <f aca="false">IF(4キー同時!$B$201="","",4キー同時!$B$201)</f>
        <v/>
      </c>
      <c r="E3765" s="2" t="str">
        <f aca="false">IF(4キー同時!$G$201="","",4キー同時!$G$201)</f>
        <v/>
      </c>
      <c r="F3765" s="2" t="str">
        <f aca="false">IF(4キー同時!$L$201="","",4キー同時!$L$201)</f>
        <v/>
      </c>
      <c r="G3765" s="2" t="str">
        <f aca="false">IF(OR(4キー同時!$B$201="",4キー同時!$G$201="",4キー同時!$L$201=""),"",IF(4キー同時!AA209="","",SUBSTITUTE(SUBSTITUTE(4キー同時!AA209," ",""),"　","")))</f>
        <v/>
      </c>
      <c r="H3765" s="2" t="str">
        <f aca="false">IF($G3765="","",4キー同時!$B$201)</f>
        <v/>
      </c>
      <c r="I3765" s="2" t="str">
        <f aca="false">IF($G3765="","",4キー同時!$G$201)</f>
        <v/>
      </c>
      <c r="J3765" s="2" t="str">
        <f aca="false">IF($G3765="","",4キー同時!$L$201)</f>
        <v/>
      </c>
      <c r="K3765" s="2" t="str">
        <f aca="false">IF($G3765="","","b")</f>
        <v/>
      </c>
      <c r="L3765" s="2" t="str">
        <f aca="false">IF($G3765="","","同時")</f>
        <v/>
      </c>
      <c r="M3765" s="2" t="str">
        <f aca="false">IF($G3765="","",IF(ISNA(MATCH($G3765,個別指定!$A:$A,0)),"行なし",""))</f>
        <v/>
      </c>
      <c r="N3765" s="2" t="str">
        <f aca="false">IF($G3765="","",IF(COUNTIF($G$2:$G$4460,$G3765)&gt;1,"重複",""))</f>
        <v/>
      </c>
    </row>
    <row r="3766" customFormat="false" ht="16.5" hidden="false" customHeight="true" outlineLevel="0" collapsed="false">
      <c r="A3766" s="2" t="s">
        <v>447</v>
      </c>
      <c r="B3766" s="2" t="s">
        <v>463</v>
      </c>
      <c r="C3766" s="2" t="s">
        <v>40</v>
      </c>
      <c r="D3766" s="2" t="str">
        <f aca="false">IF(4キー同時!$B$201="","",4キー同時!$B$201)</f>
        <v/>
      </c>
      <c r="E3766" s="2" t="str">
        <f aca="false">IF(4キー同時!$G$201="","",4キー同時!$G$201)</f>
        <v/>
      </c>
      <c r="F3766" s="2" t="str">
        <f aca="false">IF(4キー同時!$L$201="","",4キー同時!$L$201)</f>
        <v/>
      </c>
      <c r="G3766" s="2" t="str">
        <f aca="false">IF(OR(4キー同時!$B$201="",4キー同時!$G$201="",4キー同時!$L$201=""),"",IF(4キー同時!AE209="","",SUBSTITUTE(SUBSTITUTE(4キー同時!AE209," ",""),"　","")))</f>
        <v/>
      </c>
      <c r="H3766" s="2" t="str">
        <f aca="false">IF($G3766="","",4キー同時!$B$201)</f>
        <v/>
      </c>
      <c r="I3766" s="2" t="str">
        <f aca="false">IF($G3766="","",4キー同時!$G$201)</f>
        <v/>
      </c>
      <c r="J3766" s="2" t="str">
        <f aca="false">IF($G3766="","",4キー同時!$L$201)</f>
        <v/>
      </c>
      <c r="K3766" s="2" t="str">
        <f aca="false">IF($G3766="","","n")</f>
        <v/>
      </c>
      <c r="L3766" s="2" t="str">
        <f aca="false">IF($G3766="","","同時")</f>
        <v/>
      </c>
      <c r="M3766" s="2" t="str">
        <f aca="false">IF($G3766="","",IF(ISNA(MATCH($G3766,個別指定!$A:$A,0)),"行なし",""))</f>
        <v/>
      </c>
      <c r="N3766" s="2" t="str">
        <f aca="false">IF($G3766="","",IF(COUNTIF($G$2:$G$4460,$G3766)&gt;1,"重複",""))</f>
        <v/>
      </c>
    </row>
    <row r="3767" customFormat="false" ht="16.5" hidden="false" customHeight="true" outlineLevel="0" collapsed="false">
      <c r="A3767" s="2" t="s">
        <v>447</v>
      </c>
      <c r="B3767" s="2" t="s">
        <v>463</v>
      </c>
      <c r="C3767" s="2" t="s">
        <v>41</v>
      </c>
      <c r="D3767" s="2" t="str">
        <f aca="false">IF(4キー同時!$B$201="","",4キー同時!$B$201)</f>
        <v/>
      </c>
      <c r="E3767" s="2" t="str">
        <f aca="false">IF(4キー同時!$G$201="","",4キー同時!$G$201)</f>
        <v/>
      </c>
      <c r="F3767" s="2" t="str">
        <f aca="false">IF(4キー同時!$L$201="","",4キー同時!$L$201)</f>
        <v/>
      </c>
      <c r="G3767" s="2" t="str">
        <f aca="false">IF(OR(4キー同時!$B$201="",4キー同時!$G$201="",4キー同時!$L$201=""),"",IF(4キー同時!AI209="","",SUBSTITUTE(SUBSTITUTE(4キー同時!AI209," ",""),"　","")))</f>
        <v/>
      </c>
      <c r="H3767" s="2" t="str">
        <f aca="false">IF($G3767="","",4キー同時!$B$201)</f>
        <v/>
      </c>
      <c r="I3767" s="2" t="str">
        <f aca="false">IF($G3767="","",4キー同時!$G$201)</f>
        <v/>
      </c>
      <c r="J3767" s="2" t="str">
        <f aca="false">IF($G3767="","",4キー同時!$L$201)</f>
        <v/>
      </c>
      <c r="K3767" s="2" t="str">
        <f aca="false">IF($G3767="","","m")</f>
        <v/>
      </c>
      <c r="L3767" s="2" t="str">
        <f aca="false">IF($G3767="","","同時")</f>
        <v/>
      </c>
      <c r="M3767" s="2" t="str">
        <f aca="false">IF($G3767="","",IF(ISNA(MATCH($G3767,個別指定!$A:$A,0)),"行なし",""))</f>
        <v/>
      </c>
      <c r="N3767" s="2" t="str">
        <f aca="false">IF($G3767="","",IF(COUNTIF($G$2:$G$4460,$G3767)&gt;1,"重複",""))</f>
        <v/>
      </c>
    </row>
    <row r="3768" customFormat="false" ht="16.5" hidden="false" customHeight="true" outlineLevel="0" collapsed="false">
      <c r="A3768" s="2" t="s">
        <v>447</v>
      </c>
      <c r="B3768" s="2" t="s">
        <v>463</v>
      </c>
      <c r="C3768" s="2" t="s">
        <v>42</v>
      </c>
      <c r="D3768" s="2" t="str">
        <f aca="false">IF(4キー同時!$B$201="","",4キー同時!$B$201)</f>
        <v/>
      </c>
      <c r="E3768" s="2" t="str">
        <f aca="false">IF(4キー同時!$G$201="","",4キー同時!$G$201)</f>
        <v/>
      </c>
      <c r="F3768" s="2" t="str">
        <f aca="false">IF(4キー同時!$L$201="","",4キー同時!$L$201)</f>
        <v/>
      </c>
      <c r="G3768" s="2" t="str">
        <f aca="false">IF(OR(4キー同時!$B$201="",4キー同時!$G$201="",4キー同時!$L$201=""),"",IF(4キー同時!AM209="","",SUBSTITUTE(SUBSTITUTE(4キー同時!AM209," ",""),"　","")))</f>
        <v/>
      </c>
      <c r="H3768" s="2" t="str">
        <f aca="false">IF($G3768="","",4キー同時!$B$201)</f>
        <v/>
      </c>
      <c r="I3768" s="2" t="str">
        <f aca="false">IF($G3768="","",4キー同時!$G$201)</f>
        <v/>
      </c>
      <c r="J3768" s="2" t="str">
        <f aca="false">IF($G3768="","",4キー同時!$L$201)</f>
        <v/>
      </c>
      <c r="K3768" s="2" t="str">
        <f aca="false">IF($G3768="","",",")</f>
        <v/>
      </c>
      <c r="L3768" s="2" t="str">
        <f aca="false">IF($G3768="","","同時")</f>
        <v/>
      </c>
      <c r="M3768" s="2" t="str">
        <f aca="false">IF($G3768="","",IF(ISNA(MATCH($G3768,個別指定!$A:$A,0)),"行なし",""))</f>
        <v/>
      </c>
      <c r="N3768" s="2" t="str">
        <f aca="false">IF($G3768="","",IF(COUNTIF($G$2:$G$4460,$G3768)&gt;1,"重複",""))</f>
        <v/>
      </c>
    </row>
    <row r="3769" customFormat="false" ht="16.5" hidden="false" customHeight="true" outlineLevel="0" collapsed="false">
      <c r="A3769" s="2" t="s">
        <v>447</v>
      </c>
      <c r="B3769" s="2" t="s">
        <v>463</v>
      </c>
      <c r="C3769" s="2" t="s">
        <v>43</v>
      </c>
      <c r="D3769" s="2" t="str">
        <f aca="false">IF(4キー同時!$B$201="","",4キー同時!$B$201)</f>
        <v/>
      </c>
      <c r="E3769" s="2" t="str">
        <f aca="false">IF(4キー同時!$G$201="","",4キー同時!$G$201)</f>
        <v/>
      </c>
      <c r="F3769" s="2" t="str">
        <f aca="false">IF(4キー同時!$L$201="","",4キー同時!$L$201)</f>
        <v/>
      </c>
      <c r="G3769" s="2" t="str">
        <f aca="false">IF(OR(4キー同時!$B$201="",4キー同時!$G$201="",4キー同時!$L$201=""),"",IF(4キー同時!AQ209="","",SUBSTITUTE(SUBSTITUTE(4キー同時!AQ209," ",""),"　","")))</f>
        <v/>
      </c>
      <c r="H3769" s="2" t="str">
        <f aca="false">IF($G3769="","",4キー同時!$B$201)</f>
        <v/>
      </c>
      <c r="I3769" s="2" t="str">
        <f aca="false">IF($G3769="","",4キー同時!$G$201)</f>
        <v/>
      </c>
      <c r="J3769" s="2" t="str">
        <f aca="false">IF($G3769="","",4キー同時!$L$201)</f>
        <v/>
      </c>
      <c r="K3769" s="2" t="str">
        <f aca="false">IF($G3769="","",".")</f>
        <v/>
      </c>
      <c r="L3769" s="2" t="str">
        <f aca="false">IF($G3769="","","同時")</f>
        <v/>
      </c>
      <c r="M3769" s="2" t="str">
        <f aca="false">IF($G3769="","",IF(ISNA(MATCH($G3769,個別指定!$A:$A,0)),"行なし",""))</f>
        <v/>
      </c>
      <c r="N3769" s="2" t="str">
        <f aca="false">IF($G3769="","",IF(COUNTIF($G$2:$G$4460,$G3769)&gt;1,"重複",""))</f>
        <v/>
      </c>
    </row>
    <row r="3770" customFormat="false" ht="16.5" hidden="false" customHeight="true" outlineLevel="0" collapsed="false">
      <c r="A3770" s="2" t="s">
        <v>447</v>
      </c>
      <c r="B3770" s="2" t="s">
        <v>463</v>
      </c>
      <c r="C3770" s="2" t="s">
        <v>44</v>
      </c>
      <c r="D3770" s="2" t="str">
        <f aca="false">IF(4キー同時!$B$201="","",4キー同時!$B$201)</f>
        <v/>
      </c>
      <c r="E3770" s="2" t="str">
        <f aca="false">IF(4キー同時!$G$201="","",4キー同時!$G$201)</f>
        <v/>
      </c>
      <c r="F3770" s="2" t="str">
        <f aca="false">IF(4キー同時!$L$201="","",4キー同時!$L$201)</f>
        <v/>
      </c>
      <c r="G3770" s="2" t="str">
        <f aca="false">IF(OR(4キー同時!$B$201="",4キー同時!$G$201="",4キー同時!$L$201=""),"",IF(4キー同時!AU209="","",SUBSTITUTE(SUBSTITUTE(4キー同時!AU209," ",""),"　","")))</f>
        <v/>
      </c>
      <c r="H3770" s="2" t="str">
        <f aca="false">IF($G3770="","",4キー同時!$B$201)</f>
        <v/>
      </c>
      <c r="I3770" s="2" t="str">
        <f aca="false">IF($G3770="","",4キー同時!$G$201)</f>
        <v/>
      </c>
      <c r="J3770" s="2" t="str">
        <f aca="false">IF($G3770="","",4キー同時!$L$201)</f>
        <v/>
      </c>
      <c r="K3770" s="2" t="str">
        <f aca="false">IF($G3770="","","/")</f>
        <v/>
      </c>
      <c r="L3770" s="2" t="str">
        <f aca="false">IF($G3770="","","同時")</f>
        <v/>
      </c>
      <c r="M3770" s="2" t="str">
        <f aca="false">IF($G3770="","",IF(ISNA(MATCH($G3770,個別指定!$A:$A,0)),"行なし",""))</f>
        <v/>
      </c>
      <c r="N3770" s="2" t="str">
        <f aca="false">IF($G3770="","",IF(COUNTIF($G$2:$G$4460,$G3770)&gt;1,"重複",""))</f>
        <v/>
      </c>
    </row>
    <row r="3771" customFormat="false" ht="16.5" hidden="false" customHeight="true" outlineLevel="0" collapsed="false">
      <c r="A3771" s="2" t="s">
        <v>447</v>
      </c>
      <c r="B3771" s="2" t="s">
        <v>463</v>
      </c>
      <c r="C3771" s="2" t="s">
        <v>48</v>
      </c>
      <c r="D3771" s="2" t="str">
        <f aca="false">IF(4キー同時!$B$201="","",4キー同時!$B$201)</f>
        <v/>
      </c>
      <c r="E3771" s="2" t="str">
        <f aca="false">IF(4キー同時!$G$201="","",4キー同時!$G$201)</f>
        <v/>
      </c>
      <c r="F3771" s="2" t="str">
        <f aca="false">IF(4キー同時!$L$201="","",4キー同時!$L$201)</f>
        <v/>
      </c>
      <c r="G3771" s="2" t="str">
        <f aca="false">IF(OR(4キー同時!$B$201="",4キー同時!$G$201="",4キー同時!$L$201=""),"",IF(4キー同時!P211="","",SUBSTITUTE(SUBSTITUTE(4キー同時!P211," ",""),"　","")))</f>
        <v/>
      </c>
      <c r="H3771" s="2" t="str">
        <f aca="false">IF($G3771="","",4キー同時!$B$201)</f>
        <v/>
      </c>
      <c r="I3771" s="2" t="str">
        <f aca="false">IF($G3771="","",4キー同時!$G$201)</f>
        <v/>
      </c>
      <c r="J3771" s="2" t="str">
        <f aca="false">IF($G3771="","",4キー同時!$L$201)</f>
        <v/>
      </c>
      <c r="K3771" s="2" t="str">
        <f aca="false">IF($G3771="","","muhenkan")</f>
        <v/>
      </c>
      <c r="L3771" s="2" t="str">
        <f aca="false">IF($G3771="","","同時")</f>
        <v/>
      </c>
      <c r="M3771" s="2" t="str">
        <f aca="false">IF($G3771="","",IF(ISNA(MATCH($G3771,個別指定!$A:$A,0)),"行なし",""))</f>
        <v/>
      </c>
      <c r="N3771" s="2" t="str">
        <f aca="false">IF($G3771="","",IF(COUNTIF($G$2:$G$4460,$G3771)&gt;1,"重複",""))</f>
        <v/>
      </c>
    </row>
    <row r="3772" customFormat="false" ht="16.5" hidden="false" customHeight="true" outlineLevel="0" collapsed="false">
      <c r="A3772" s="2" t="s">
        <v>447</v>
      </c>
      <c r="B3772" s="2" t="s">
        <v>463</v>
      </c>
      <c r="C3772" s="2" t="s">
        <v>50</v>
      </c>
      <c r="D3772" s="2" t="str">
        <f aca="false">IF(4キー同時!$B$201="","",4キー同時!$B$201)</f>
        <v/>
      </c>
      <c r="E3772" s="2" t="str">
        <f aca="false">IF(4キー同時!$G$201="","",4キー同時!$G$201)</f>
        <v/>
      </c>
      <c r="F3772" s="2" t="str">
        <f aca="false">IF(4キー同時!$L$201="","",4キー同時!$L$201)</f>
        <v/>
      </c>
      <c r="G3772" s="2" t="str">
        <f aca="false">IF(OR(4キー同時!$B$201="",4キー同時!$G$201="",4キー同時!$L$201=""),"",IF(4キー同時!T211="","",SUBSTITUTE(SUBSTITUTE(4キー同時!T211," ",""),"　","")))</f>
        <v/>
      </c>
      <c r="H3772" s="2" t="str">
        <f aca="false">IF($G3772="","",4キー同時!$B$201)</f>
        <v/>
      </c>
      <c r="I3772" s="2" t="str">
        <f aca="false">IF($G3772="","",4キー同時!$G$201)</f>
        <v/>
      </c>
      <c r="J3772" s="2" t="str">
        <f aca="false">IF($G3772="","",4キー同時!$L$201)</f>
        <v/>
      </c>
      <c r="K3772" s="2" t="str">
        <f aca="false">IF($G3772="","","space")</f>
        <v/>
      </c>
      <c r="L3772" s="2" t="str">
        <f aca="false">IF($G3772="","","同時")</f>
        <v/>
      </c>
      <c r="M3772" s="2" t="str">
        <f aca="false">IF($G3772="","",IF(ISNA(MATCH($G3772,個別指定!$A:$A,0)),"行なし",""))</f>
        <v/>
      </c>
      <c r="N3772" s="2" t="str">
        <f aca="false">IF($G3772="","",IF(COUNTIF($G$2:$G$4460,$G3772)&gt;1,"重複",""))</f>
        <v/>
      </c>
    </row>
    <row r="3773" customFormat="false" ht="16.5" hidden="false" customHeight="true" outlineLevel="0" collapsed="false">
      <c r="A3773" s="2" t="s">
        <v>447</v>
      </c>
      <c r="B3773" s="2" t="s">
        <v>463</v>
      </c>
      <c r="C3773" s="2" t="s">
        <v>45</v>
      </c>
      <c r="D3773" s="2" t="str">
        <f aca="false">IF(4キー同時!$B$201="","",4キー同時!$B$201)</f>
        <v/>
      </c>
      <c r="E3773" s="2" t="str">
        <f aca="false">IF(4キー同時!$G$201="","",4キー同時!$G$201)</f>
        <v/>
      </c>
      <c r="F3773" s="2" t="str">
        <f aca="false">IF(4キー同時!$L$201="","",4キー同時!$L$201)</f>
        <v/>
      </c>
      <c r="G3773" s="2" t="str">
        <f aca="false">IF(OR(4キー同時!$B$201="",4キー同時!$G$201="",4キー同時!$L$201=""),"",IF(4キー同時!AL211="","",SUBSTITUTE(SUBSTITUTE(4キー同時!AL211," ",""),"　","")))</f>
        <v/>
      </c>
      <c r="H3773" s="2" t="str">
        <f aca="false">IF($G3773="","",4キー同時!$B$201)</f>
        <v/>
      </c>
      <c r="I3773" s="2" t="str">
        <f aca="false">IF($G3773="","",4キー同時!$G$201)</f>
        <v/>
      </c>
      <c r="J3773" s="2" t="str">
        <f aca="false">IF($G3773="","",4キー同時!$L$201)</f>
        <v/>
      </c>
      <c r="K3773" s="2" t="str">
        <f aca="false">IF($G3773="","","henkan")</f>
        <v/>
      </c>
      <c r="L3773" s="2" t="str">
        <f aca="false">IF($G3773="","","同時")</f>
        <v/>
      </c>
      <c r="M3773" s="2" t="str">
        <f aca="false">IF($G3773="","",IF(ISNA(MATCH($G3773,個別指定!$A:$A,0)),"行なし",""))</f>
        <v/>
      </c>
      <c r="N3773" s="2" t="str">
        <f aca="false">IF($G3773="","",IF(COUNTIF($G$2:$G$4460,$G3773)&gt;1,"重複",""))</f>
        <v/>
      </c>
    </row>
    <row r="3774" customFormat="false" ht="16.5" hidden="false" customHeight="true" outlineLevel="0" collapsed="false">
      <c r="A3774" s="2" t="s">
        <v>447</v>
      </c>
      <c r="B3774" s="2" t="s">
        <v>463</v>
      </c>
      <c r="C3774" s="2" t="s">
        <v>46</v>
      </c>
      <c r="D3774" s="2" t="str">
        <f aca="false">IF(4キー同時!$B$201="","",4キー同時!$B$201)</f>
        <v/>
      </c>
      <c r="E3774" s="2" t="str">
        <f aca="false">IF(4キー同時!$G$201="","",4キー同時!$G$201)</f>
        <v/>
      </c>
      <c r="F3774" s="2" t="str">
        <f aca="false">IF(4キー同時!$L$201="","",4キー同時!$L$201)</f>
        <v/>
      </c>
      <c r="G3774" s="2" t="str">
        <f aca="false">IF(OR(4キー同時!$B$201="",4キー同時!$G$201="",4キー同時!$L$201=""),"",IF(4キー同時!AP211="","",SUBSTITUTE(SUBSTITUTE(4キー同時!AP211," ",""),"　","")))</f>
        <v/>
      </c>
      <c r="H3774" s="2" t="str">
        <f aca="false">IF($G3774="","",4キー同時!$B$201)</f>
        <v/>
      </c>
      <c r="I3774" s="2" t="str">
        <f aca="false">IF($G3774="","",4キー同時!$G$201)</f>
        <v/>
      </c>
      <c r="J3774" s="2" t="str">
        <f aca="false">IF($G3774="","",4キー同時!$L$201)</f>
        <v/>
      </c>
      <c r="K3774" s="2" t="str">
        <f aca="false">IF($G3774="","","kana")</f>
        <v/>
      </c>
      <c r="L3774" s="2" t="str">
        <f aca="false">IF($G3774="","","同時")</f>
        <v/>
      </c>
      <c r="M3774" s="2" t="str">
        <f aca="false">IF($G3774="","",IF(ISNA(MATCH($G3774,個別指定!$A:$A,0)),"行なし",""))</f>
        <v/>
      </c>
      <c r="N3774" s="2" t="str">
        <f aca="false">IF($G3774="","",IF(COUNTIF($G$2:$G$4460,$G3774)&gt;1,"重複",""))</f>
        <v/>
      </c>
    </row>
    <row r="3775" customFormat="false" ht="16.5" hidden="false" customHeight="true" outlineLevel="0" collapsed="false">
      <c r="A3775" s="2" t="s">
        <v>447</v>
      </c>
      <c r="B3775" s="2" t="s">
        <v>464</v>
      </c>
      <c r="C3775" s="2" t="s">
        <v>0</v>
      </c>
      <c r="D3775" s="2" t="str">
        <f aca="false">IF(4キー同時!$B$214="","",4キー同時!$B$214)</f>
        <v/>
      </c>
      <c r="E3775" s="2" t="str">
        <f aca="false">IF(4キー同時!$G$214="","",4キー同時!$G$214)</f>
        <v/>
      </c>
      <c r="F3775" s="2" t="str">
        <f aca="false">IF(4キー同時!$L$214="","",4キー同時!$L$214)</f>
        <v/>
      </c>
      <c r="G3775" s="2" t="str">
        <f aca="false">IF(OR(4キー同時!$B$214="",4キー同時!$G$214="",4キー同時!$L$214=""),"",IF(4キー同時!F216="","",SUBSTITUTE(SUBSTITUTE(4キー同時!F216," ",""),"　","")))</f>
        <v/>
      </c>
      <c r="H3775" s="2" t="str">
        <f aca="false">IF($G3775="","",4キー同時!$B$214)</f>
        <v/>
      </c>
      <c r="I3775" s="2" t="str">
        <f aca="false">IF($G3775="","",4キー同時!$G$214)</f>
        <v/>
      </c>
      <c r="J3775" s="2" t="str">
        <f aca="false">IF($G3775="","",4キー同時!$L$214)</f>
        <v/>
      </c>
      <c r="K3775" s="2" t="str">
        <f aca="false">IF($G3775="","","1")</f>
        <v/>
      </c>
      <c r="L3775" s="2" t="str">
        <f aca="false">IF($G3775="","","同時")</f>
        <v/>
      </c>
      <c r="M3775" s="2" t="str">
        <f aca="false">IF($G3775="","",IF(ISNA(MATCH($G3775,個別指定!$A:$A,0)),"行なし",""))</f>
        <v/>
      </c>
      <c r="N3775" s="2" t="str">
        <f aca="false">IF($G3775="","",IF(COUNTIF($G$2:$G$4460,$G3775)&gt;1,"重複",""))</f>
        <v/>
      </c>
    </row>
    <row r="3776" customFormat="false" ht="16.5" hidden="false" customHeight="true" outlineLevel="0" collapsed="false">
      <c r="A3776" s="2" t="s">
        <v>447</v>
      </c>
      <c r="B3776" s="2" t="s">
        <v>464</v>
      </c>
      <c r="C3776" s="2" t="s">
        <v>1</v>
      </c>
      <c r="D3776" s="2" t="str">
        <f aca="false">IF(4キー同時!$B$214="","",4キー同時!$B$214)</f>
        <v/>
      </c>
      <c r="E3776" s="2" t="str">
        <f aca="false">IF(4キー同時!$G$214="","",4キー同時!$G$214)</f>
        <v/>
      </c>
      <c r="F3776" s="2" t="str">
        <f aca="false">IF(4キー同時!$L$214="","",4キー同時!$L$214)</f>
        <v/>
      </c>
      <c r="G3776" s="2" t="str">
        <f aca="false">IF(OR(4キー同時!$B$214="",4キー同時!$G$214="",4キー同時!$L$214=""),"",IF(4キー同時!J216="","",SUBSTITUTE(SUBSTITUTE(4キー同時!J216," ",""),"　","")))</f>
        <v/>
      </c>
      <c r="H3776" s="2" t="str">
        <f aca="false">IF($G3776="","",4キー同時!$B$214)</f>
        <v/>
      </c>
      <c r="I3776" s="2" t="str">
        <f aca="false">IF($G3776="","",4キー同時!$G$214)</f>
        <v/>
      </c>
      <c r="J3776" s="2" t="str">
        <f aca="false">IF($G3776="","",4キー同時!$L$214)</f>
        <v/>
      </c>
      <c r="K3776" s="2" t="str">
        <f aca="false">IF($G3776="","","2")</f>
        <v/>
      </c>
      <c r="L3776" s="2" t="str">
        <f aca="false">IF($G3776="","","同時")</f>
        <v/>
      </c>
      <c r="M3776" s="2" t="str">
        <f aca="false">IF($G3776="","",IF(ISNA(MATCH($G3776,個別指定!$A:$A,0)),"行なし",""))</f>
        <v/>
      </c>
      <c r="N3776" s="2" t="str">
        <f aca="false">IF($G3776="","",IF(COUNTIF($G$2:$G$4460,$G3776)&gt;1,"重複",""))</f>
        <v/>
      </c>
    </row>
    <row r="3777" customFormat="false" ht="16.5" hidden="false" customHeight="true" outlineLevel="0" collapsed="false">
      <c r="A3777" s="2" t="s">
        <v>447</v>
      </c>
      <c r="B3777" s="2" t="s">
        <v>464</v>
      </c>
      <c r="C3777" s="2" t="s">
        <v>2</v>
      </c>
      <c r="D3777" s="2" t="str">
        <f aca="false">IF(4キー同時!$B$214="","",4キー同時!$B$214)</f>
        <v/>
      </c>
      <c r="E3777" s="2" t="str">
        <f aca="false">IF(4キー同時!$G$214="","",4キー同時!$G$214)</f>
        <v/>
      </c>
      <c r="F3777" s="2" t="str">
        <f aca="false">IF(4キー同時!$L$214="","",4キー同時!$L$214)</f>
        <v/>
      </c>
      <c r="G3777" s="2" t="str">
        <f aca="false">IF(OR(4キー同時!$B$214="",4キー同時!$G$214="",4キー同時!$L$214=""),"",IF(4キー同時!N216="","",SUBSTITUTE(SUBSTITUTE(4キー同時!N216," ",""),"　","")))</f>
        <v/>
      </c>
      <c r="H3777" s="2" t="str">
        <f aca="false">IF($G3777="","",4キー同時!$B$214)</f>
        <v/>
      </c>
      <c r="I3777" s="2" t="str">
        <f aca="false">IF($G3777="","",4キー同時!$G$214)</f>
        <v/>
      </c>
      <c r="J3777" s="2" t="str">
        <f aca="false">IF($G3777="","",4キー同時!$L$214)</f>
        <v/>
      </c>
      <c r="K3777" s="2" t="str">
        <f aca="false">IF($G3777="","","3")</f>
        <v/>
      </c>
      <c r="L3777" s="2" t="str">
        <f aca="false">IF($G3777="","","同時")</f>
        <v/>
      </c>
      <c r="M3777" s="2" t="str">
        <f aca="false">IF($G3777="","",IF(ISNA(MATCH($G3777,個別指定!$A:$A,0)),"行なし",""))</f>
        <v/>
      </c>
      <c r="N3777" s="2" t="str">
        <f aca="false">IF($G3777="","",IF(COUNTIF($G$2:$G$4460,$G3777)&gt;1,"重複",""))</f>
        <v/>
      </c>
    </row>
    <row r="3778" customFormat="false" ht="16.5" hidden="false" customHeight="true" outlineLevel="0" collapsed="false">
      <c r="A3778" s="2" t="s">
        <v>447</v>
      </c>
      <c r="B3778" s="2" t="s">
        <v>464</v>
      </c>
      <c r="C3778" s="2" t="s">
        <v>3</v>
      </c>
      <c r="D3778" s="2" t="str">
        <f aca="false">IF(4キー同時!$B$214="","",4キー同時!$B$214)</f>
        <v/>
      </c>
      <c r="E3778" s="2" t="str">
        <f aca="false">IF(4キー同時!$G$214="","",4キー同時!$G$214)</f>
        <v/>
      </c>
      <c r="F3778" s="2" t="str">
        <f aca="false">IF(4キー同時!$L$214="","",4キー同時!$L$214)</f>
        <v/>
      </c>
      <c r="G3778" s="2" t="str">
        <f aca="false">IF(OR(4キー同時!$B$214="",4キー同時!$G$214="",4キー同時!$L$214=""),"",IF(4キー同時!R216="","",SUBSTITUTE(SUBSTITUTE(4キー同時!R216," ",""),"　","")))</f>
        <v/>
      </c>
      <c r="H3778" s="2" t="str">
        <f aca="false">IF($G3778="","",4キー同時!$B$214)</f>
        <v/>
      </c>
      <c r="I3778" s="2" t="str">
        <f aca="false">IF($G3778="","",4キー同時!$G$214)</f>
        <v/>
      </c>
      <c r="J3778" s="2" t="str">
        <f aca="false">IF($G3778="","",4キー同時!$L$214)</f>
        <v/>
      </c>
      <c r="K3778" s="2" t="str">
        <f aca="false">IF($G3778="","","4")</f>
        <v/>
      </c>
      <c r="L3778" s="2" t="str">
        <f aca="false">IF($G3778="","","同時")</f>
        <v/>
      </c>
      <c r="M3778" s="2" t="str">
        <f aca="false">IF($G3778="","",IF(ISNA(MATCH($G3778,個別指定!$A:$A,0)),"行なし",""))</f>
        <v/>
      </c>
      <c r="N3778" s="2" t="str">
        <f aca="false">IF($G3778="","",IF(COUNTIF($G$2:$G$4460,$G3778)&gt;1,"重複",""))</f>
        <v/>
      </c>
    </row>
    <row r="3779" customFormat="false" ht="16.5" hidden="false" customHeight="true" outlineLevel="0" collapsed="false">
      <c r="A3779" s="2" t="s">
        <v>447</v>
      </c>
      <c r="B3779" s="2" t="s">
        <v>464</v>
      </c>
      <c r="C3779" s="2" t="s">
        <v>4</v>
      </c>
      <c r="D3779" s="2" t="str">
        <f aca="false">IF(4キー同時!$B$214="","",4キー同時!$B$214)</f>
        <v/>
      </c>
      <c r="E3779" s="2" t="str">
        <f aca="false">IF(4キー同時!$G$214="","",4キー同時!$G$214)</f>
        <v/>
      </c>
      <c r="F3779" s="2" t="str">
        <f aca="false">IF(4キー同時!$L$214="","",4キー同時!$L$214)</f>
        <v/>
      </c>
      <c r="G3779" s="2" t="str">
        <f aca="false">IF(OR(4キー同時!$B$214="",4キー同時!$G$214="",4キー同時!$L$214=""),"",IF(4キー同時!V216="","",SUBSTITUTE(SUBSTITUTE(4キー同時!V216," ",""),"　","")))</f>
        <v/>
      </c>
      <c r="H3779" s="2" t="str">
        <f aca="false">IF($G3779="","",4キー同時!$B$214)</f>
        <v/>
      </c>
      <c r="I3779" s="2" t="str">
        <f aca="false">IF($G3779="","",4キー同時!$G$214)</f>
        <v/>
      </c>
      <c r="J3779" s="2" t="str">
        <f aca="false">IF($G3779="","",4キー同時!$L$214)</f>
        <v/>
      </c>
      <c r="K3779" s="2" t="str">
        <f aca="false">IF($G3779="","","5")</f>
        <v/>
      </c>
      <c r="L3779" s="2" t="str">
        <f aca="false">IF($G3779="","","同時")</f>
        <v/>
      </c>
      <c r="M3779" s="2" t="str">
        <f aca="false">IF($G3779="","",IF(ISNA(MATCH($G3779,個別指定!$A:$A,0)),"行なし",""))</f>
        <v/>
      </c>
      <c r="N3779" s="2" t="str">
        <f aca="false">IF($G3779="","",IF(COUNTIF($G$2:$G$4460,$G3779)&gt;1,"重複",""))</f>
        <v/>
      </c>
    </row>
    <row r="3780" customFormat="false" ht="16.5" hidden="false" customHeight="true" outlineLevel="0" collapsed="false">
      <c r="A3780" s="2" t="s">
        <v>447</v>
      </c>
      <c r="B3780" s="2" t="s">
        <v>464</v>
      </c>
      <c r="C3780" s="2" t="s">
        <v>5</v>
      </c>
      <c r="D3780" s="2" t="str">
        <f aca="false">IF(4キー同時!$B$214="","",4キー同時!$B$214)</f>
        <v/>
      </c>
      <c r="E3780" s="2" t="str">
        <f aca="false">IF(4キー同時!$G$214="","",4キー同時!$G$214)</f>
        <v/>
      </c>
      <c r="F3780" s="2" t="str">
        <f aca="false">IF(4キー同時!$L$214="","",4キー同時!$L$214)</f>
        <v/>
      </c>
      <c r="G3780" s="2" t="str">
        <f aca="false">IF(OR(4キー同時!$B$214="",4キー同時!$G$214="",4キー同時!$L$214=""),"",IF(4キー同時!Z216="","",SUBSTITUTE(SUBSTITUTE(4キー同時!Z216," ",""),"　","")))</f>
        <v/>
      </c>
      <c r="H3780" s="2" t="str">
        <f aca="false">IF($G3780="","",4キー同時!$B$214)</f>
        <v/>
      </c>
      <c r="I3780" s="2" t="str">
        <f aca="false">IF($G3780="","",4キー同時!$G$214)</f>
        <v/>
      </c>
      <c r="J3780" s="2" t="str">
        <f aca="false">IF($G3780="","",4キー同時!$L$214)</f>
        <v/>
      </c>
      <c r="K3780" s="2" t="str">
        <f aca="false">IF($G3780="","","6")</f>
        <v/>
      </c>
      <c r="L3780" s="2" t="str">
        <f aca="false">IF($G3780="","","同時")</f>
        <v/>
      </c>
      <c r="M3780" s="2" t="str">
        <f aca="false">IF($G3780="","",IF(ISNA(MATCH($G3780,個別指定!$A:$A,0)),"行なし",""))</f>
        <v/>
      </c>
      <c r="N3780" s="2" t="str">
        <f aca="false">IF($G3780="","",IF(COUNTIF($G$2:$G$4460,$G3780)&gt;1,"重複",""))</f>
        <v/>
      </c>
    </row>
    <row r="3781" customFormat="false" ht="16.5" hidden="false" customHeight="true" outlineLevel="0" collapsed="false">
      <c r="A3781" s="2" t="s">
        <v>447</v>
      </c>
      <c r="B3781" s="2" t="s">
        <v>464</v>
      </c>
      <c r="C3781" s="2" t="s">
        <v>6</v>
      </c>
      <c r="D3781" s="2" t="str">
        <f aca="false">IF(4キー同時!$B$214="","",4キー同時!$B$214)</f>
        <v/>
      </c>
      <c r="E3781" s="2" t="str">
        <f aca="false">IF(4キー同時!$G$214="","",4キー同時!$G$214)</f>
        <v/>
      </c>
      <c r="F3781" s="2" t="str">
        <f aca="false">IF(4キー同時!$L$214="","",4キー同時!$L$214)</f>
        <v/>
      </c>
      <c r="G3781" s="2" t="str">
        <f aca="false">IF(OR(4キー同時!$B$214="",4キー同時!$G$214="",4キー同時!$L$214=""),"",IF(4キー同時!AD216="","",SUBSTITUTE(SUBSTITUTE(4キー同時!AD216," ",""),"　","")))</f>
        <v/>
      </c>
      <c r="H3781" s="2" t="str">
        <f aca="false">IF($G3781="","",4キー同時!$B$214)</f>
        <v/>
      </c>
      <c r="I3781" s="2" t="str">
        <f aca="false">IF($G3781="","",4キー同時!$G$214)</f>
        <v/>
      </c>
      <c r="J3781" s="2" t="str">
        <f aca="false">IF($G3781="","",4キー同時!$L$214)</f>
        <v/>
      </c>
      <c r="K3781" s="2" t="str">
        <f aca="false">IF($G3781="","","7")</f>
        <v/>
      </c>
      <c r="L3781" s="2" t="str">
        <f aca="false">IF($G3781="","","同時")</f>
        <v/>
      </c>
      <c r="M3781" s="2" t="str">
        <f aca="false">IF($G3781="","",IF(ISNA(MATCH($G3781,個別指定!$A:$A,0)),"行なし",""))</f>
        <v/>
      </c>
      <c r="N3781" s="2" t="str">
        <f aca="false">IF($G3781="","",IF(COUNTIF($G$2:$G$4460,$G3781)&gt;1,"重複",""))</f>
        <v/>
      </c>
    </row>
    <row r="3782" customFormat="false" ht="16.5" hidden="false" customHeight="true" outlineLevel="0" collapsed="false">
      <c r="A3782" s="2" t="s">
        <v>447</v>
      </c>
      <c r="B3782" s="2" t="s">
        <v>464</v>
      </c>
      <c r="C3782" s="2" t="s">
        <v>7</v>
      </c>
      <c r="D3782" s="2" t="str">
        <f aca="false">IF(4キー同時!$B$214="","",4キー同時!$B$214)</f>
        <v/>
      </c>
      <c r="E3782" s="2" t="str">
        <f aca="false">IF(4キー同時!$G$214="","",4キー同時!$G$214)</f>
        <v/>
      </c>
      <c r="F3782" s="2" t="str">
        <f aca="false">IF(4キー同時!$L$214="","",4キー同時!$L$214)</f>
        <v/>
      </c>
      <c r="G3782" s="2" t="str">
        <f aca="false">IF(OR(4キー同時!$B$214="",4キー同時!$G$214="",4キー同時!$L$214=""),"",IF(4キー同時!AH216="","",SUBSTITUTE(SUBSTITUTE(4キー同時!AH216," ",""),"　","")))</f>
        <v/>
      </c>
      <c r="H3782" s="2" t="str">
        <f aca="false">IF($G3782="","",4キー同時!$B$214)</f>
        <v/>
      </c>
      <c r="I3782" s="2" t="str">
        <f aca="false">IF($G3782="","",4キー同時!$G$214)</f>
        <v/>
      </c>
      <c r="J3782" s="2" t="str">
        <f aca="false">IF($G3782="","",4キー同時!$L$214)</f>
        <v/>
      </c>
      <c r="K3782" s="2" t="str">
        <f aca="false">IF($G3782="","","8")</f>
        <v/>
      </c>
      <c r="L3782" s="2" t="str">
        <f aca="false">IF($G3782="","","同時")</f>
        <v/>
      </c>
      <c r="M3782" s="2" t="str">
        <f aca="false">IF($G3782="","",IF(ISNA(MATCH($G3782,個別指定!$A:$A,0)),"行なし",""))</f>
        <v/>
      </c>
      <c r="N3782" s="2" t="str">
        <f aca="false">IF($G3782="","",IF(COUNTIF($G$2:$G$4460,$G3782)&gt;1,"重複",""))</f>
        <v/>
      </c>
    </row>
    <row r="3783" customFormat="false" ht="16.5" hidden="false" customHeight="true" outlineLevel="0" collapsed="false">
      <c r="A3783" s="2" t="s">
        <v>447</v>
      </c>
      <c r="B3783" s="2" t="s">
        <v>464</v>
      </c>
      <c r="C3783" s="2" t="s">
        <v>8</v>
      </c>
      <c r="D3783" s="2" t="str">
        <f aca="false">IF(4キー同時!$B$214="","",4キー同時!$B$214)</f>
        <v/>
      </c>
      <c r="E3783" s="2" t="str">
        <f aca="false">IF(4キー同時!$G$214="","",4キー同時!$G$214)</f>
        <v/>
      </c>
      <c r="F3783" s="2" t="str">
        <f aca="false">IF(4キー同時!$L$214="","",4キー同時!$L$214)</f>
        <v/>
      </c>
      <c r="G3783" s="2" t="str">
        <f aca="false">IF(OR(4キー同時!$B$214="",4キー同時!$G$214="",4キー同時!$L$214=""),"",IF(4キー同時!AL216="","",SUBSTITUTE(SUBSTITUTE(4キー同時!AL216," ",""),"　","")))</f>
        <v/>
      </c>
      <c r="H3783" s="2" t="str">
        <f aca="false">IF($G3783="","",4キー同時!$B$214)</f>
        <v/>
      </c>
      <c r="I3783" s="2" t="str">
        <f aca="false">IF($G3783="","",4キー同時!$G$214)</f>
        <v/>
      </c>
      <c r="J3783" s="2" t="str">
        <f aca="false">IF($G3783="","",4キー同時!$L$214)</f>
        <v/>
      </c>
      <c r="K3783" s="2" t="str">
        <f aca="false">IF($G3783="","","9")</f>
        <v/>
      </c>
      <c r="L3783" s="2" t="str">
        <f aca="false">IF($G3783="","","同時")</f>
        <v/>
      </c>
      <c r="M3783" s="2" t="str">
        <f aca="false">IF($G3783="","",IF(ISNA(MATCH($G3783,個別指定!$A:$A,0)),"行なし",""))</f>
        <v/>
      </c>
      <c r="N3783" s="2" t="str">
        <f aca="false">IF($G3783="","",IF(COUNTIF($G$2:$G$4460,$G3783)&gt;1,"重複",""))</f>
        <v/>
      </c>
    </row>
    <row r="3784" customFormat="false" ht="16.5" hidden="false" customHeight="true" outlineLevel="0" collapsed="false">
      <c r="A3784" s="2" t="s">
        <v>447</v>
      </c>
      <c r="B3784" s="2" t="s">
        <v>464</v>
      </c>
      <c r="C3784" s="2" t="s">
        <v>9</v>
      </c>
      <c r="D3784" s="2" t="str">
        <f aca="false">IF(4キー同時!$B$214="","",4キー同時!$B$214)</f>
        <v/>
      </c>
      <c r="E3784" s="2" t="str">
        <f aca="false">IF(4キー同時!$G$214="","",4キー同時!$G$214)</f>
        <v/>
      </c>
      <c r="F3784" s="2" t="str">
        <f aca="false">IF(4キー同時!$L$214="","",4キー同時!$L$214)</f>
        <v/>
      </c>
      <c r="G3784" s="2" t="str">
        <f aca="false">IF(OR(4キー同時!$B$214="",4キー同時!$G$214="",4キー同時!$L$214=""),"",IF(4キー同時!AP216="","",SUBSTITUTE(SUBSTITUTE(4キー同時!AP216," ",""),"　","")))</f>
        <v/>
      </c>
      <c r="H3784" s="2" t="str">
        <f aca="false">IF($G3784="","",4キー同時!$B$214)</f>
        <v/>
      </c>
      <c r="I3784" s="2" t="str">
        <f aca="false">IF($G3784="","",4キー同時!$G$214)</f>
        <v/>
      </c>
      <c r="J3784" s="2" t="str">
        <f aca="false">IF($G3784="","",4キー同時!$L$214)</f>
        <v/>
      </c>
      <c r="K3784" s="2" t="str">
        <f aca="false">IF($G3784="","","0")</f>
        <v/>
      </c>
      <c r="L3784" s="2" t="str">
        <f aca="false">IF($G3784="","","同時")</f>
        <v/>
      </c>
      <c r="M3784" s="2" t="str">
        <f aca="false">IF($G3784="","",IF(ISNA(MATCH($G3784,個別指定!$A:$A,0)),"行なし",""))</f>
        <v/>
      </c>
      <c r="N3784" s="2" t="str">
        <f aca="false">IF($G3784="","",IF(COUNTIF($G$2:$G$4460,$G3784)&gt;1,"重複",""))</f>
        <v/>
      </c>
    </row>
    <row r="3785" customFormat="false" ht="16.5" hidden="false" customHeight="true" outlineLevel="0" collapsed="false">
      <c r="A3785" s="2" t="s">
        <v>447</v>
      </c>
      <c r="B3785" s="2" t="s">
        <v>464</v>
      </c>
      <c r="C3785" s="2" t="s">
        <v>10</v>
      </c>
      <c r="D3785" s="2" t="str">
        <f aca="false">IF(4キー同時!$B$214="","",4キー同時!$B$214)</f>
        <v/>
      </c>
      <c r="E3785" s="2" t="str">
        <f aca="false">IF(4キー同時!$G$214="","",4キー同時!$G$214)</f>
        <v/>
      </c>
      <c r="F3785" s="2" t="str">
        <f aca="false">IF(4キー同時!$L$214="","",4キー同時!$L$214)</f>
        <v/>
      </c>
      <c r="G3785" s="2" t="str">
        <f aca="false">IF(OR(4キー同時!$B$214="",4キー同時!$G$214="",4キー同時!$L$214=""),"",IF(4キー同時!AT216="","",SUBSTITUTE(SUBSTITUTE(4キー同時!AT216," ",""),"　","")))</f>
        <v/>
      </c>
      <c r="H3785" s="2" t="str">
        <f aca="false">IF($G3785="","",4キー同時!$B$214)</f>
        <v/>
      </c>
      <c r="I3785" s="2" t="str">
        <f aca="false">IF($G3785="","",4キー同時!$G$214)</f>
        <v/>
      </c>
      <c r="J3785" s="2" t="str">
        <f aca="false">IF($G3785="","",4キー同時!$L$214)</f>
        <v/>
      </c>
      <c r="K3785" s="2" t="str">
        <f aca="false">IF($G3785="","","-")</f>
        <v/>
      </c>
      <c r="L3785" s="2" t="str">
        <f aca="false">IF($G3785="","","同時")</f>
        <v/>
      </c>
      <c r="M3785" s="2" t="str">
        <f aca="false">IF($G3785="","",IF(ISNA(MATCH($G3785,個別指定!$A:$A,0)),"行なし",""))</f>
        <v/>
      </c>
      <c r="N3785" s="2" t="str">
        <f aca="false">IF($G3785="","",IF(COUNTIF($G$2:$G$4460,$G3785)&gt;1,"重複",""))</f>
        <v/>
      </c>
    </row>
    <row r="3786" customFormat="false" ht="16.5" hidden="false" customHeight="true" outlineLevel="0" collapsed="false">
      <c r="A3786" s="2" t="s">
        <v>447</v>
      </c>
      <c r="B3786" s="2" t="s">
        <v>464</v>
      </c>
      <c r="C3786" s="2" t="s">
        <v>11</v>
      </c>
      <c r="D3786" s="2" t="str">
        <f aca="false">IF(4キー同時!$B$214="","",4キー同時!$B$214)</f>
        <v/>
      </c>
      <c r="E3786" s="2" t="str">
        <f aca="false">IF(4キー同時!$G$214="","",4キー同時!$G$214)</f>
        <v/>
      </c>
      <c r="F3786" s="2" t="str">
        <f aca="false">IF(4キー同時!$L$214="","",4キー同時!$L$214)</f>
        <v/>
      </c>
      <c r="G3786" s="2" t="str">
        <f aca="false">IF(OR(4キー同時!$B$214="",4キー同時!$G$214="",4キー同時!$L$214=""),"",IF(4キー同時!AX216="","",SUBSTITUTE(SUBSTITUTE(4キー同時!AX216," ",""),"　","")))</f>
        <v/>
      </c>
      <c r="H3786" s="2" t="str">
        <f aca="false">IF($G3786="","",4キー同時!$B$214)</f>
        <v/>
      </c>
      <c r="I3786" s="2" t="str">
        <f aca="false">IF($G3786="","",4キー同時!$G$214)</f>
        <v/>
      </c>
      <c r="J3786" s="2" t="str">
        <f aca="false">IF($G3786="","",4キー同時!$L$214)</f>
        <v/>
      </c>
      <c r="K3786" s="2" t="str">
        <f aca="false">IF($G3786="","","=")</f>
        <v/>
      </c>
      <c r="L3786" s="2" t="str">
        <f aca="false">IF($G3786="","","同時")</f>
        <v/>
      </c>
      <c r="M3786" s="2" t="str">
        <f aca="false">IF($G3786="","",IF(ISNA(MATCH($G3786,個別指定!$A:$A,0)),"行なし",""))</f>
        <v/>
      </c>
      <c r="N3786" s="2" t="str">
        <f aca="false">IF($G3786="","",IF(COUNTIF($G$2:$G$4460,$G3786)&gt;1,"重複",""))</f>
        <v/>
      </c>
    </row>
    <row r="3787" customFormat="false" ht="16.5" hidden="false" customHeight="true" outlineLevel="0" collapsed="false">
      <c r="A3787" s="2" t="s">
        <v>447</v>
      </c>
      <c r="B3787" s="2" t="s">
        <v>464</v>
      </c>
      <c r="C3787" s="2" t="s">
        <v>12</v>
      </c>
      <c r="D3787" s="2" t="str">
        <f aca="false">IF(4キー同時!$B$214="","",4キー同時!$B$214)</f>
        <v/>
      </c>
      <c r="E3787" s="2" t="str">
        <f aca="false">IF(4キー同時!$G$214="","",4キー同時!$G$214)</f>
        <v/>
      </c>
      <c r="F3787" s="2" t="str">
        <f aca="false">IF(4キー同時!$L$214="","",4キー同時!$L$214)</f>
        <v/>
      </c>
      <c r="G3787" s="2" t="str">
        <f aca="false">IF(OR(4キー同時!$B$214="",4キー同時!$G$214="",4キー同時!$L$214=""),"",IF(4キー同時!H218="","",SUBSTITUTE(SUBSTITUTE(4キー同時!H218," ",""),"　","")))</f>
        <v/>
      </c>
      <c r="H3787" s="2" t="str">
        <f aca="false">IF($G3787="","",4キー同時!$B$214)</f>
        <v/>
      </c>
      <c r="I3787" s="2" t="str">
        <f aca="false">IF($G3787="","",4キー同時!$G$214)</f>
        <v/>
      </c>
      <c r="J3787" s="2" t="str">
        <f aca="false">IF($G3787="","",4キー同時!$L$214)</f>
        <v/>
      </c>
      <c r="K3787" s="2" t="str">
        <f aca="false">IF($G3787="","","q")</f>
        <v/>
      </c>
      <c r="L3787" s="2" t="str">
        <f aca="false">IF($G3787="","","同時")</f>
        <v/>
      </c>
      <c r="M3787" s="2" t="str">
        <f aca="false">IF($G3787="","",IF(ISNA(MATCH($G3787,個別指定!$A:$A,0)),"行なし",""))</f>
        <v/>
      </c>
      <c r="N3787" s="2" t="str">
        <f aca="false">IF($G3787="","",IF(COUNTIF($G$2:$G$4460,$G3787)&gt;1,"重複",""))</f>
        <v/>
      </c>
    </row>
    <row r="3788" customFormat="false" ht="16.5" hidden="false" customHeight="true" outlineLevel="0" collapsed="false">
      <c r="A3788" s="2" t="s">
        <v>447</v>
      </c>
      <c r="B3788" s="2" t="s">
        <v>464</v>
      </c>
      <c r="C3788" s="2" t="s">
        <v>13</v>
      </c>
      <c r="D3788" s="2" t="str">
        <f aca="false">IF(4キー同時!$B$214="","",4キー同時!$B$214)</f>
        <v/>
      </c>
      <c r="E3788" s="2" t="str">
        <f aca="false">IF(4キー同時!$G$214="","",4キー同時!$G$214)</f>
        <v/>
      </c>
      <c r="F3788" s="2" t="str">
        <f aca="false">IF(4キー同時!$L$214="","",4キー同時!$L$214)</f>
        <v/>
      </c>
      <c r="G3788" s="2" t="str">
        <f aca="false">IF(OR(4キー同時!$B$214="",4キー同時!$G$214="",4キー同時!$L$214=""),"",IF(4キー同時!L218="","",SUBSTITUTE(SUBSTITUTE(4キー同時!L218," ",""),"　","")))</f>
        <v/>
      </c>
      <c r="H3788" s="2" t="str">
        <f aca="false">IF($G3788="","",4キー同時!$B$214)</f>
        <v/>
      </c>
      <c r="I3788" s="2" t="str">
        <f aca="false">IF($G3788="","",4キー同時!$G$214)</f>
        <v/>
      </c>
      <c r="J3788" s="2" t="str">
        <f aca="false">IF($G3788="","",4キー同時!$L$214)</f>
        <v/>
      </c>
      <c r="K3788" s="2" t="str">
        <f aca="false">IF($G3788="","","w")</f>
        <v/>
      </c>
      <c r="L3788" s="2" t="str">
        <f aca="false">IF($G3788="","","同時")</f>
        <v/>
      </c>
      <c r="M3788" s="2" t="str">
        <f aca="false">IF($G3788="","",IF(ISNA(MATCH($G3788,個別指定!$A:$A,0)),"行なし",""))</f>
        <v/>
      </c>
      <c r="N3788" s="2" t="str">
        <f aca="false">IF($G3788="","",IF(COUNTIF($G$2:$G$4460,$G3788)&gt;1,"重複",""))</f>
        <v/>
      </c>
    </row>
    <row r="3789" customFormat="false" ht="16.5" hidden="false" customHeight="true" outlineLevel="0" collapsed="false">
      <c r="A3789" s="2" t="s">
        <v>447</v>
      </c>
      <c r="B3789" s="2" t="s">
        <v>464</v>
      </c>
      <c r="C3789" s="2" t="s">
        <v>14</v>
      </c>
      <c r="D3789" s="2" t="str">
        <f aca="false">IF(4キー同時!$B$214="","",4キー同時!$B$214)</f>
        <v/>
      </c>
      <c r="E3789" s="2" t="str">
        <f aca="false">IF(4キー同時!$G$214="","",4キー同時!$G$214)</f>
        <v/>
      </c>
      <c r="F3789" s="2" t="str">
        <f aca="false">IF(4キー同時!$L$214="","",4キー同時!$L$214)</f>
        <v/>
      </c>
      <c r="G3789" s="2" t="str">
        <f aca="false">IF(OR(4キー同時!$B$214="",4キー同時!$G$214="",4キー同時!$L$214=""),"",IF(4キー同時!P218="","",SUBSTITUTE(SUBSTITUTE(4キー同時!P218," ",""),"　","")))</f>
        <v/>
      </c>
      <c r="H3789" s="2" t="str">
        <f aca="false">IF($G3789="","",4キー同時!$B$214)</f>
        <v/>
      </c>
      <c r="I3789" s="2" t="str">
        <f aca="false">IF($G3789="","",4キー同時!$G$214)</f>
        <v/>
      </c>
      <c r="J3789" s="2" t="str">
        <f aca="false">IF($G3789="","",4キー同時!$L$214)</f>
        <v/>
      </c>
      <c r="K3789" s="2" t="str">
        <f aca="false">IF($G3789="","","e")</f>
        <v/>
      </c>
      <c r="L3789" s="2" t="str">
        <f aca="false">IF($G3789="","","同時")</f>
        <v/>
      </c>
      <c r="M3789" s="2" t="str">
        <f aca="false">IF($G3789="","",IF(ISNA(MATCH($G3789,個別指定!$A:$A,0)),"行なし",""))</f>
        <v/>
      </c>
      <c r="N3789" s="2" t="str">
        <f aca="false">IF($G3789="","",IF(COUNTIF($G$2:$G$4460,$G3789)&gt;1,"重複",""))</f>
        <v/>
      </c>
    </row>
    <row r="3790" customFormat="false" ht="16.5" hidden="false" customHeight="true" outlineLevel="0" collapsed="false">
      <c r="A3790" s="2" t="s">
        <v>447</v>
      </c>
      <c r="B3790" s="2" t="s">
        <v>464</v>
      </c>
      <c r="C3790" s="2" t="s">
        <v>15</v>
      </c>
      <c r="D3790" s="2" t="str">
        <f aca="false">IF(4キー同時!$B$214="","",4キー同時!$B$214)</f>
        <v/>
      </c>
      <c r="E3790" s="2" t="str">
        <f aca="false">IF(4キー同時!$G$214="","",4キー同時!$G$214)</f>
        <v/>
      </c>
      <c r="F3790" s="2" t="str">
        <f aca="false">IF(4キー同時!$L$214="","",4キー同時!$L$214)</f>
        <v/>
      </c>
      <c r="G3790" s="2" t="str">
        <f aca="false">IF(OR(4キー同時!$B$214="",4キー同時!$G$214="",4キー同時!$L$214=""),"",IF(4キー同時!T218="","",SUBSTITUTE(SUBSTITUTE(4キー同時!T218," ",""),"　","")))</f>
        <v/>
      </c>
      <c r="H3790" s="2" t="str">
        <f aca="false">IF($G3790="","",4キー同時!$B$214)</f>
        <v/>
      </c>
      <c r="I3790" s="2" t="str">
        <f aca="false">IF($G3790="","",4キー同時!$G$214)</f>
        <v/>
      </c>
      <c r="J3790" s="2" t="str">
        <f aca="false">IF($G3790="","",4キー同時!$L$214)</f>
        <v/>
      </c>
      <c r="K3790" s="2" t="str">
        <f aca="false">IF($G3790="","","r")</f>
        <v/>
      </c>
      <c r="L3790" s="2" t="str">
        <f aca="false">IF($G3790="","","同時")</f>
        <v/>
      </c>
      <c r="M3790" s="2" t="str">
        <f aca="false">IF($G3790="","",IF(ISNA(MATCH($G3790,個別指定!$A:$A,0)),"行なし",""))</f>
        <v/>
      </c>
      <c r="N3790" s="2" t="str">
        <f aca="false">IF($G3790="","",IF(COUNTIF($G$2:$G$4460,$G3790)&gt;1,"重複",""))</f>
        <v/>
      </c>
    </row>
    <row r="3791" customFormat="false" ht="16.5" hidden="false" customHeight="true" outlineLevel="0" collapsed="false">
      <c r="A3791" s="2" t="s">
        <v>447</v>
      </c>
      <c r="B3791" s="2" t="s">
        <v>464</v>
      </c>
      <c r="C3791" s="2" t="s">
        <v>16</v>
      </c>
      <c r="D3791" s="2" t="str">
        <f aca="false">IF(4キー同時!$B$214="","",4キー同時!$B$214)</f>
        <v/>
      </c>
      <c r="E3791" s="2" t="str">
        <f aca="false">IF(4キー同時!$G$214="","",4キー同時!$G$214)</f>
        <v/>
      </c>
      <c r="F3791" s="2" t="str">
        <f aca="false">IF(4キー同時!$L$214="","",4キー同時!$L$214)</f>
        <v/>
      </c>
      <c r="G3791" s="2" t="str">
        <f aca="false">IF(OR(4キー同時!$B$214="",4キー同時!$G$214="",4キー同時!$L$214=""),"",IF(4キー同時!X218="","",SUBSTITUTE(SUBSTITUTE(4キー同時!X218," ",""),"　","")))</f>
        <v/>
      </c>
      <c r="H3791" s="2" t="str">
        <f aca="false">IF($G3791="","",4キー同時!$B$214)</f>
        <v/>
      </c>
      <c r="I3791" s="2" t="str">
        <f aca="false">IF($G3791="","",4キー同時!$G$214)</f>
        <v/>
      </c>
      <c r="J3791" s="2" t="str">
        <f aca="false">IF($G3791="","",4キー同時!$L$214)</f>
        <v/>
      </c>
      <c r="K3791" s="2" t="str">
        <f aca="false">IF($G3791="","","t")</f>
        <v/>
      </c>
      <c r="L3791" s="2" t="str">
        <f aca="false">IF($G3791="","","同時")</f>
        <v/>
      </c>
      <c r="M3791" s="2" t="str">
        <f aca="false">IF($G3791="","",IF(ISNA(MATCH($G3791,個別指定!$A:$A,0)),"行なし",""))</f>
        <v/>
      </c>
      <c r="N3791" s="2" t="str">
        <f aca="false">IF($G3791="","",IF(COUNTIF($G$2:$G$4460,$G3791)&gt;1,"重複",""))</f>
        <v/>
      </c>
    </row>
    <row r="3792" customFormat="false" ht="16.5" hidden="false" customHeight="true" outlineLevel="0" collapsed="false">
      <c r="A3792" s="2" t="s">
        <v>447</v>
      </c>
      <c r="B3792" s="2" t="s">
        <v>464</v>
      </c>
      <c r="C3792" s="2" t="s">
        <v>17</v>
      </c>
      <c r="D3792" s="2" t="str">
        <f aca="false">IF(4キー同時!$B$214="","",4キー同時!$B$214)</f>
        <v/>
      </c>
      <c r="E3792" s="2" t="str">
        <f aca="false">IF(4キー同時!$G$214="","",4キー同時!$G$214)</f>
        <v/>
      </c>
      <c r="F3792" s="2" t="str">
        <f aca="false">IF(4キー同時!$L$214="","",4キー同時!$L$214)</f>
        <v/>
      </c>
      <c r="G3792" s="2" t="str">
        <f aca="false">IF(OR(4キー同時!$B$214="",4キー同時!$G$214="",4キー同時!$L$214=""),"",IF(4キー同時!AB218="","",SUBSTITUTE(SUBSTITUTE(4キー同時!AB218," ",""),"　","")))</f>
        <v/>
      </c>
      <c r="H3792" s="2" t="str">
        <f aca="false">IF($G3792="","",4キー同時!$B$214)</f>
        <v/>
      </c>
      <c r="I3792" s="2" t="str">
        <f aca="false">IF($G3792="","",4キー同時!$G$214)</f>
        <v/>
      </c>
      <c r="J3792" s="2" t="str">
        <f aca="false">IF($G3792="","",4キー同時!$L$214)</f>
        <v/>
      </c>
      <c r="K3792" s="2" t="str">
        <f aca="false">IF($G3792="","","y")</f>
        <v/>
      </c>
      <c r="L3792" s="2" t="str">
        <f aca="false">IF($G3792="","","同時")</f>
        <v/>
      </c>
      <c r="M3792" s="2" t="str">
        <f aca="false">IF($G3792="","",IF(ISNA(MATCH($G3792,個別指定!$A:$A,0)),"行なし",""))</f>
        <v/>
      </c>
      <c r="N3792" s="2" t="str">
        <f aca="false">IF($G3792="","",IF(COUNTIF($G$2:$G$4460,$G3792)&gt;1,"重複",""))</f>
        <v/>
      </c>
    </row>
    <row r="3793" customFormat="false" ht="16.5" hidden="false" customHeight="true" outlineLevel="0" collapsed="false">
      <c r="A3793" s="2" t="s">
        <v>447</v>
      </c>
      <c r="B3793" s="2" t="s">
        <v>464</v>
      </c>
      <c r="C3793" s="2" t="s">
        <v>18</v>
      </c>
      <c r="D3793" s="2" t="str">
        <f aca="false">IF(4キー同時!$B$214="","",4キー同時!$B$214)</f>
        <v/>
      </c>
      <c r="E3793" s="2" t="str">
        <f aca="false">IF(4キー同時!$G$214="","",4キー同時!$G$214)</f>
        <v/>
      </c>
      <c r="F3793" s="2" t="str">
        <f aca="false">IF(4キー同時!$L$214="","",4キー同時!$L$214)</f>
        <v/>
      </c>
      <c r="G3793" s="2" t="str">
        <f aca="false">IF(OR(4キー同時!$B$214="",4キー同時!$G$214="",4キー同時!$L$214=""),"",IF(4キー同時!AF218="","",SUBSTITUTE(SUBSTITUTE(4キー同時!AF218," ",""),"　","")))</f>
        <v/>
      </c>
      <c r="H3793" s="2" t="str">
        <f aca="false">IF($G3793="","",4キー同時!$B$214)</f>
        <v/>
      </c>
      <c r="I3793" s="2" t="str">
        <f aca="false">IF($G3793="","",4キー同時!$G$214)</f>
        <v/>
      </c>
      <c r="J3793" s="2" t="str">
        <f aca="false">IF($G3793="","",4キー同時!$L$214)</f>
        <v/>
      </c>
      <c r="K3793" s="2" t="str">
        <f aca="false">IF($G3793="","","u")</f>
        <v/>
      </c>
      <c r="L3793" s="2" t="str">
        <f aca="false">IF($G3793="","","同時")</f>
        <v/>
      </c>
      <c r="M3793" s="2" t="str">
        <f aca="false">IF($G3793="","",IF(ISNA(MATCH($G3793,個別指定!$A:$A,0)),"行なし",""))</f>
        <v/>
      </c>
      <c r="N3793" s="2" t="str">
        <f aca="false">IF($G3793="","",IF(COUNTIF($G$2:$G$4460,$G3793)&gt;1,"重複",""))</f>
        <v/>
      </c>
    </row>
    <row r="3794" customFormat="false" ht="16.5" hidden="false" customHeight="true" outlineLevel="0" collapsed="false">
      <c r="A3794" s="2" t="s">
        <v>447</v>
      </c>
      <c r="B3794" s="2" t="s">
        <v>464</v>
      </c>
      <c r="C3794" s="2" t="s">
        <v>19</v>
      </c>
      <c r="D3794" s="2" t="str">
        <f aca="false">IF(4キー同時!$B$214="","",4キー同時!$B$214)</f>
        <v/>
      </c>
      <c r="E3794" s="2" t="str">
        <f aca="false">IF(4キー同時!$G$214="","",4キー同時!$G$214)</f>
        <v/>
      </c>
      <c r="F3794" s="2" t="str">
        <f aca="false">IF(4キー同時!$L$214="","",4キー同時!$L$214)</f>
        <v/>
      </c>
      <c r="G3794" s="2" t="str">
        <f aca="false">IF(OR(4キー同時!$B$214="",4キー同時!$G$214="",4キー同時!$L$214=""),"",IF(4キー同時!AJ218="","",SUBSTITUTE(SUBSTITUTE(4キー同時!AJ218," ",""),"　","")))</f>
        <v/>
      </c>
      <c r="H3794" s="2" t="str">
        <f aca="false">IF($G3794="","",4キー同時!$B$214)</f>
        <v/>
      </c>
      <c r="I3794" s="2" t="str">
        <f aca="false">IF($G3794="","",4キー同時!$G$214)</f>
        <v/>
      </c>
      <c r="J3794" s="2" t="str">
        <f aca="false">IF($G3794="","",4キー同時!$L$214)</f>
        <v/>
      </c>
      <c r="K3794" s="2" t="str">
        <f aca="false">IF($G3794="","","i")</f>
        <v/>
      </c>
      <c r="L3794" s="2" t="str">
        <f aca="false">IF($G3794="","","同時")</f>
        <v/>
      </c>
      <c r="M3794" s="2" t="str">
        <f aca="false">IF($G3794="","",IF(ISNA(MATCH($G3794,個別指定!$A:$A,0)),"行なし",""))</f>
        <v/>
      </c>
      <c r="N3794" s="2" t="str">
        <f aca="false">IF($G3794="","",IF(COUNTIF($G$2:$G$4460,$G3794)&gt;1,"重複",""))</f>
        <v/>
      </c>
    </row>
    <row r="3795" customFormat="false" ht="16.5" hidden="false" customHeight="true" outlineLevel="0" collapsed="false">
      <c r="A3795" s="2" t="s">
        <v>447</v>
      </c>
      <c r="B3795" s="2" t="s">
        <v>464</v>
      </c>
      <c r="C3795" s="2" t="s">
        <v>20</v>
      </c>
      <c r="D3795" s="2" t="str">
        <f aca="false">IF(4キー同時!$B$214="","",4キー同時!$B$214)</f>
        <v/>
      </c>
      <c r="E3795" s="2" t="str">
        <f aca="false">IF(4キー同時!$G$214="","",4キー同時!$G$214)</f>
        <v/>
      </c>
      <c r="F3795" s="2" t="str">
        <f aca="false">IF(4キー同時!$L$214="","",4キー同時!$L$214)</f>
        <v/>
      </c>
      <c r="G3795" s="2" t="str">
        <f aca="false">IF(OR(4キー同時!$B$214="",4キー同時!$G$214="",4キー同時!$L$214=""),"",IF(4キー同時!AN218="","",SUBSTITUTE(SUBSTITUTE(4キー同時!AN218," ",""),"　","")))</f>
        <v/>
      </c>
      <c r="H3795" s="2" t="str">
        <f aca="false">IF($G3795="","",4キー同時!$B$214)</f>
        <v/>
      </c>
      <c r="I3795" s="2" t="str">
        <f aca="false">IF($G3795="","",4キー同時!$G$214)</f>
        <v/>
      </c>
      <c r="J3795" s="2" t="str">
        <f aca="false">IF($G3795="","",4キー同時!$L$214)</f>
        <v/>
      </c>
      <c r="K3795" s="2" t="str">
        <f aca="false">IF($G3795="","","o")</f>
        <v/>
      </c>
      <c r="L3795" s="2" t="str">
        <f aca="false">IF($G3795="","","同時")</f>
        <v/>
      </c>
      <c r="M3795" s="2" t="str">
        <f aca="false">IF($G3795="","",IF(ISNA(MATCH($G3795,個別指定!$A:$A,0)),"行なし",""))</f>
        <v/>
      </c>
      <c r="N3795" s="2" t="str">
        <f aca="false">IF($G3795="","",IF(COUNTIF($G$2:$G$4460,$G3795)&gt;1,"重複",""))</f>
        <v/>
      </c>
    </row>
    <row r="3796" customFormat="false" ht="16.5" hidden="false" customHeight="true" outlineLevel="0" collapsed="false">
      <c r="A3796" s="2" t="s">
        <v>447</v>
      </c>
      <c r="B3796" s="2" t="s">
        <v>464</v>
      </c>
      <c r="C3796" s="2" t="s">
        <v>21</v>
      </c>
      <c r="D3796" s="2" t="str">
        <f aca="false">IF(4キー同時!$B$214="","",4キー同時!$B$214)</f>
        <v/>
      </c>
      <c r="E3796" s="2" t="str">
        <f aca="false">IF(4キー同時!$G$214="","",4キー同時!$G$214)</f>
        <v/>
      </c>
      <c r="F3796" s="2" t="str">
        <f aca="false">IF(4キー同時!$L$214="","",4キー同時!$L$214)</f>
        <v/>
      </c>
      <c r="G3796" s="2" t="str">
        <f aca="false">IF(OR(4キー同時!$B$214="",4キー同時!$G$214="",4キー同時!$L$214=""),"",IF(4キー同時!AR218="","",SUBSTITUTE(SUBSTITUTE(4キー同時!AR218," ",""),"　","")))</f>
        <v/>
      </c>
      <c r="H3796" s="2" t="str">
        <f aca="false">IF($G3796="","",4キー同時!$B$214)</f>
        <v/>
      </c>
      <c r="I3796" s="2" t="str">
        <f aca="false">IF($G3796="","",4キー同時!$G$214)</f>
        <v/>
      </c>
      <c r="J3796" s="2" t="str">
        <f aca="false">IF($G3796="","",4キー同時!$L$214)</f>
        <v/>
      </c>
      <c r="K3796" s="2" t="str">
        <f aca="false">IF($G3796="","","p")</f>
        <v/>
      </c>
      <c r="L3796" s="2" t="str">
        <f aca="false">IF($G3796="","","同時")</f>
        <v/>
      </c>
      <c r="M3796" s="2" t="str">
        <f aca="false">IF($G3796="","",IF(ISNA(MATCH($G3796,個別指定!$A:$A,0)),"行なし",""))</f>
        <v/>
      </c>
      <c r="N3796" s="2" t="str">
        <f aca="false">IF($G3796="","",IF(COUNTIF($G$2:$G$4460,$G3796)&gt;1,"重複",""))</f>
        <v/>
      </c>
    </row>
    <row r="3797" customFormat="false" ht="16.5" hidden="false" customHeight="true" outlineLevel="0" collapsed="false">
      <c r="A3797" s="2" t="s">
        <v>447</v>
      </c>
      <c r="B3797" s="2" t="s">
        <v>464</v>
      </c>
      <c r="C3797" s="2" t="s">
        <v>22</v>
      </c>
      <c r="D3797" s="2" t="str">
        <f aca="false">IF(4キー同時!$B$214="","",4キー同時!$B$214)</f>
        <v/>
      </c>
      <c r="E3797" s="2" t="str">
        <f aca="false">IF(4キー同時!$G$214="","",4キー同時!$G$214)</f>
        <v/>
      </c>
      <c r="F3797" s="2" t="str">
        <f aca="false">IF(4キー同時!$L$214="","",4キー同時!$L$214)</f>
        <v/>
      </c>
      <c r="G3797" s="2" t="str">
        <f aca="false">IF(OR(4キー同時!$B$214="",4キー同時!$G$214="",4キー同時!$L$214=""),"",IF(4キー同時!AV218="","",SUBSTITUTE(SUBSTITUTE(4キー同時!AV218," ",""),"　","")))</f>
        <v/>
      </c>
      <c r="H3797" s="2" t="str">
        <f aca="false">IF($G3797="","",4キー同時!$B$214)</f>
        <v/>
      </c>
      <c r="I3797" s="2" t="str">
        <f aca="false">IF($G3797="","",4キー同時!$G$214)</f>
        <v/>
      </c>
      <c r="J3797" s="2" t="str">
        <f aca="false">IF($G3797="","",4キー同時!$L$214)</f>
        <v/>
      </c>
      <c r="K3797" s="2" t="str">
        <f aca="false">IF($G3797="","","[")</f>
        <v/>
      </c>
      <c r="L3797" s="2" t="str">
        <f aca="false">IF($G3797="","","同時")</f>
        <v/>
      </c>
      <c r="M3797" s="2" t="str">
        <f aca="false">IF($G3797="","",IF(ISNA(MATCH($G3797,個別指定!$A:$A,0)),"行なし",""))</f>
        <v/>
      </c>
      <c r="N3797" s="2" t="str">
        <f aca="false">IF($G3797="","",IF(COUNTIF($G$2:$G$4460,$G3797)&gt;1,"重複",""))</f>
        <v/>
      </c>
    </row>
    <row r="3798" customFormat="false" ht="16.5" hidden="false" customHeight="true" outlineLevel="0" collapsed="false">
      <c r="A3798" s="2" t="s">
        <v>447</v>
      </c>
      <c r="B3798" s="2" t="s">
        <v>464</v>
      </c>
      <c r="C3798" s="2" t="s">
        <v>23</v>
      </c>
      <c r="D3798" s="2" t="str">
        <f aca="false">IF(4キー同時!$B$214="","",4キー同時!$B$214)</f>
        <v/>
      </c>
      <c r="E3798" s="2" t="str">
        <f aca="false">IF(4キー同時!$G$214="","",4キー同時!$G$214)</f>
        <v/>
      </c>
      <c r="F3798" s="2" t="str">
        <f aca="false">IF(4キー同時!$L$214="","",4キー同時!$L$214)</f>
        <v/>
      </c>
      <c r="G3798" s="2" t="str">
        <f aca="false">IF(OR(4キー同時!$B$214="",4キー同時!$G$214="",4キー同時!$L$214=""),"",IF(4キー同時!AZ218="","",SUBSTITUTE(SUBSTITUTE(4キー同時!AZ218," ",""),"　","")))</f>
        <v/>
      </c>
      <c r="H3798" s="2" t="str">
        <f aca="false">IF($G3798="","",4キー同時!$B$214)</f>
        <v/>
      </c>
      <c r="I3798" s="2" t="str">
        <f aca="false">IF($G3798="","",4キー同時!$G$214)</f>
        <v/>
      </c>
      <c r="J3798" s="2" t="str">
        <f aca="false">IF($G3798="","",4キー同時!$L$214)</f>
        <v/>
      </c>
      <c r="K3798" s="2" t="str">
        <f aca="false">IF($G3798="","","]")</f>
        <v/>
      </c>
      <c r="L3798" s="2" t="str">
        <f aca="false">IF($G3798="","","同時")</f>
        <v/>
      </c>
      <c r="M3798" s="2" t="str">
        <f aca="false">IF($G3798="","",IF(ISNA(MATCH($G3798,個別指定!$A:$A,0)),"行なし",""))</f>
        <v/>
      </c>
      <c r="N3798" s="2" t="str">
        <f aca="false">IF($G3798="","",IF(COUNTIF($G$2:$G$4460,$G3798)&gt;1,"重複",""))</f>
        <v/>
      </c>
    </row>
    <row r="3799" customFormat="false" ht="16.5" hidden="false" customHeight="true" outlineLevel="0" collapsed="false">
      <c r="A3799" s="2" t="s">
        <v>447</v>
      </c>
      <c r="B3799" s="2" t="s">
        <v>464</v>
      </c>
      <c r="C3799" s="2" t="s">
        <v>24</v>
      </c>
      <c r="D3799" s="2" t="str">
        <f aca="false">IF(4キー同時!$B$214="","",4キー同時!$B$214)</f>
        <v/>
      </c>
      <c r="E3799" s="2" t="str">
        <f aca="false">IF(4キー同時!$G$214="","",4キー同時!$G$214)</f>
        <v/>
      </c>
      <c r="F3799" s="2" t="str">
        <f aca="false">IF(4キー同時!$L$214="","",4キー同時!$L$214)</f>
        <v/>
      </c>
      <c r="G3799" s="2" t="str">
        <f aca="false">IF(OR(4キー同時!$B$214="",4キー同時!$G$214="",4キー同時!$L$214=""),"",IF(4キー同時!I220="","",SUBSTITUTE(SUBSTITUTE(4キー同時!I220," ",""),"　","")))</f>
        <v/>
      </c>
      <c r="H3799" s="2" t="str">
        <f aca="false">IF($G3799="","",4キー同時!$B$214)</f>
        <v/>
      </c>
      <c r="I3799" s="2" t="str">
        <f aca="false">IF($G3799="","",4キー同時!$G$214)</f>
        <v/>
      </c>
      <c r="J3799" s="2" t="str">
        <f aca="false">IF($G3799="","",4キー同時!$L$214)</f>
        <v/>
      </c>
      <c r="K3799" s="2" t="str">
        <f aca="false">IF($G3799="","","a")</f>
        <v/>
      </c>
      <c r="L3799" s="2" t="str">
        <f aca="false">IF($G3799="","","同時")</f>
        <v/>
      </c>
      <c r="M3799" s="2" t="str">
        <f aca="false">IF($G3799="","",IF(ISNA(MATCH($G3799,個別指定!$A:$A,0)),"行なし",""))</f>
        <v/>
      </c>
      <c r="N3799" s="2" t="str">
        <f aca="false">IF($G3799="","",IF(COUNTIF($G$2:$G$4460,$G3799)&gt;1,"重複",""))</f>
        <v/>
      </c>
    </row>
    <row r="3800" customFormat="false" ht="16.5" hidden="false" customHeight="true" outlineLevel="0" collapsed="false">
      <c r="A3800" s="2" t="s">
        <v>447</v>
      </c>
      <c r="B3800" s="2" t="s">
        <v>464</v>
      </c>
      <c r="C3800" s="2" t="s">
        <v>25</v>
      </c>
      <c r="D3800" s="2" t="str">
        <f aca="false">IF(4キー同時!$B$214="","",4キー同時!$B$214)</f>
        <v/>
      </c>
      <c r="E3800" s="2" t="str">
        <f aca="false">IF(4キー同時!$G$214="","",4キー同時!$G$214)</f>
        <v/>
      </c>
      <c r="F3800" s="2" t="str">
        <f aca="false">IF(4キー同時!$L$214="","",4キー同時!$L$214)</f>
        <v/>
      </c>
      <c r="G3800" s="2" t="str">
        <f aca="false">IF(OR(4キー同時!$B$214="",4キー同時!$G$214="",4キー同時!$L$214=""),"",IF(4キー同時!M220="","",SUBSTITUTE(SUBSTITUTE(4キー同時!M220," ",""),"　","")))</f>
        <v/>
      </c>
      <c r="H3800" s="2" t="str">
        <f aca="false">IF($G3800="","",4キー同時!$B$214)</f>
        <v/>
      </c>
      <c r="I3800" s="2" t="str">
        <f aca="false">IF($G3800="","",4キー同時!$G$214)</f>
        <v/>
      </c>
      <c r="J3800" s="2" t="str">
        <f aca="false">IF($G3800="","",4キー同時!$L$214)</f>
        <v/>
      </c>
      <c r="K3800" s="2" t="str">
        <f aca="false">IF($G3800="","","s")</f>
        <v/>
      </c>
      <c r="L3800" s="2" t="str">
        <f aca="false">IF($G3800="","","同時")</f>
        <v/>
      </c>
      <c r="M3800" s="2" t="str">
        <f aca="false">IF($G3800="","",IF(ISNA(MATCH($G3800,個別指定!$A:$A,0)),"行なし",""))</f>
        <v/>
      </c>
      <c r="N3800" s="2" t="str">
        <f aca="false">IF($G3800="","",IF(COUNTIF($G$2:$G$4460,$G3800)&gt;1,"重複",""))</f>
        <v/>
      </c>
    </row>
    <row r="3801" customFormat="false" ht="16.5" hidden="false" customHeight="true" outlineLevel="0" collapsed="false">
      <c r="A3801" s="2" t="s">
        <v>447</v>
      </c>
      <c r="B3801" s="2" t="s">
        <v>464</v>
      </c>
      <c r="C3801" s="2" t="s">
        <v>26</v>
      </c>
      <c r="D3801" s="2" t="str">
        <f aca="false">IF(4キー同時!$B$214="","",4キー同時!$B$214)</f>
        <v/>
      </c>
      <c r="E3801" s="2" t="str">
        <f aca="false">IF(4キー同時!$G$214="","",4キー同時!$G$214)</f>
        <v/>
      </c>
      <c r="F3801" s="2" t="str">
        <f aca="false">IF(4キー同時!$L$214="","",4キー同時!$L$214)</f>
        <v/>
      </c>
      <c r="G3801" s="2" t="str">
        <f aca="false">IF(OR(4キー同時!$B$214="",4キー同時!$G$214="",4キー同時!$L$214=""),"",IF(4キー同時!Q220="","",SUBSTITUTE(SUBSTITUTE(4キー同時!Q220," ",""),"　","")))</f>
        <v/>
      </c>
      <c r="H3801" s="2" t="str">
        <f aca="false">IF($G3801="","",4キー同時!$B$214)</f>
        <v/>
      </c>
      <c r="I3801" s="2" t="str">
        <f aca="false">IF($G3801="","",4キー同時!$G$214)</f>
        <v/>
      </c>
      <c r="J3801" s="2" t="str">
        <f aca="false">IF($G3801="","",4キー同時!$L$214)</f>
        <v/>
      </c>
      <c r="K3801" s="2" t="str">
        <f aca="false">IF($G3801="","","d")</f>
        <v/>
      </c>
      <c r="L3801" s="2" t="str">
        <f aca="false">IF($G3801="","","同時")</f>
        <v/>
      </c>
      <c r="M3801" s="2" t="str">
        <f aca="false">IF($G3801="","",IF(ISNA(MATCH($G3801,個別指定!$A:$A,0)),"行なし",""))</f>
        <v/>
      </c>
      <c r="N3801" s="2" t="str">
        <f aca="false">IF($G3801="","",IF(COUNTIF($G$2:$G$4460,$G3801)&gt;1,"重複",""))</f>
        <v/>
      </c>
    </row>
    <row r="3802" customFormat="false" ht="16.5" hidden="false" customHeight="true" outlineLevel="0" collapsed="false">
      <c r="A3802" s="2" t="s">
        <v>447</v>
      </c>
      <c r="B3802" s="2" t="s">
        <v>464</v>
      </c>
      <c r="C3802" s="2" t="s">
        <v>27</v>
      </c>
      <c r="D3802" s="2" t="str">
        <f aca="false">IF(4キー同時!$B$214="","",4キー同時!$B$214)</f>
        <v/>
      </c>
      <c r="E3802" s="2" t="str">
        <f aca="false">IF(4キー同時!$G$214="","",4キー同時!$G$214)</f>
        <v/>
      </c>
      <c r="F3802" s="2" t="str">
        <f aca="false">IF(4キー同時!$L$214="","",4キー同時!$L$214)</f>
        <v/>
      </c>
      <c r="G3802" s="2" t="str">
        <f aca="false">IF(OR(4キー同時!$B$214="",4キー同時!$G$214="",4キー同時!$L$214=""),"",IF(4キー同時!U220="","",SUBSTITUTE(SUBSTITUTE(4キー同時!U220," ",""),"　","")))</f>
        <v/>
      </c>
      <c r="H3802" s="2" t="str">
        <f aca="false">IF($G3802="","",4キー同時!$B$214)</f>
        <v/>
      </c>
      <c r="I3802" s="2" t="str">
        <f aca="false">IF($G3802="","",4キー同時!$G$214)</f>
        <v/>
      </c>
      <c r="J3802" s="2" t="str">
        <f aca="false">IF($G3802="","",4キー同時!$L$214)</f>
        <v/>
      </c>
      <c r="K3802" s="2" t="str">
        <f aca="false">IF($G3802="","","f")</f>
        <v/>
      </c>
      <c r="L3802" s="2" t="str">
        <f aca="false">IF($G3802="","","同時")</f>
        <v/>
      </c>
      <c r="M3802" s="2" t="str">
        <f aca="false">IF($G3802="","",IF(ISNA(MATCH($G3802,個別指定!$A:$A,0)),"行なし",""))</f>
        <v/>
      </c>
      <c r="N3802" s="2" t="str">
        <f aca="false">IF($G3802="","",IF(COUNTIF($G$2:$G$4460,$G3802)&gt;1,"重複",""))</f>
        <v/>
      </c>
    </row>
    <row r="3803" customFormat="false" ht="16.5" hidden="false" customHeight="true" outlineLevel="0" collapsed="false">
      <c r="A3803" s="2" t="s">
        <v>447</v>
      </c>
      <c r="B3803" s="2" t="s">
        <v>464</v>
      </c>
      <c r="C3803" s="2" t="s">
        <v>28</v>
      </c>
      <c r="D3803" s="2" t="str">
        <f aca="false">IF(4キー同時!$B$214="","",4キー同時!$B$214)</f>
        <v/>
      </c>
      <c r="E3803" s="2" t="str">
        <f aca="false">IF(4キー同時!$G$214="","",4キー同時!$G$214)</f>
        <v/>
      </c>
      <c r="F3803" s="2" t="str">
        <f aca="false">IF(4キー同時!$L$214="","",4キー同時!$L$214)</f>
        <v/>
      </c>
      <c r="G3803" s="2" t="str">
        <f aca="false">IF(OR(4キー同時!$B$214="",4キー同時!$G$214="",4キー同時!$L$214=""),"",IF(4キー同時!Y220="","",SUBSTITUTE(SUBSTITUTE(4キー同時!Y220," ",""),"　","")))</f>
        <v/>
      </c>
      <c r="H3803" s="2" t="str">
        <f aca="false">IF($G3803="","",4キー同時!$B$214)</f>
        <v/>
      </c>
      <c r="I3803" s="2" t="str">
        <f aca="false">IF($G3803="","",4キー同時!$G$214)</f>
        <v/>
      </c>
      <c r="J3803" s="2" t="str">
        <f aca="false">IF($G3803="","",4キー同時!$L$214)</f>
        <v/>
      </c>
      <c r="K3803" s="2" t="str">
        <f aca="false">IF($G3803="","","g")</f>
        <v/>
      </c>
      <c r="L3803" s="2" t="str">
        <f aca="false">IF($G3803="","","同時")</f>
        <v/>
      </c>
      <c r="M3803" s="2" t="str">
        <f aca="false">IF($G3803="","",IF(ISNA(MATCH($G3803,個別指定!$A:$A,0)),"行なし",""))</f>
        <v/>
      </c>
      <c r="N3803" s="2" t="str">
        <f aca="false">IF($G3803="","",IF(COUNTIF($G$2:$G$4460,$G3803)&gt;1,"重複",""))</f>
        <v/>
      </c>
    </row>
    <row r="3804" customFormat="false" ht="16.5" hidden="false" customHeight="true" outlineLevel="0" collapsed="false">
      <c r="A3804" s="2" t="s">
        <v>447</v>
      </c>
      <c r="B3804" s="2" t="s">
        <v>464</v>
      </c>
      <c r="C3804" s="2" t="s">
        <v>29</v>
      </c>
      <c r="D3804" s="2" t="str">
        <f aca="false">IF(4キー同時!$B$214="","",4キー同時!$B$214)</f>
        <v/>
      </c>
      <c r="E3804" s="2" t="str">
        <f aca="false">IF(4キー同時!$G$214="","",4キー同時!$G$214)</f>
        <v/>
      </c>
      <c r="F3804" s="2" t="str">
        <f aca="false">IF(4キー同時!$L$214="","",4キー同時!$L$214)</f>
        <v/>
      </c>
      <c r="G3804" s="2" t="str">
        <f aca="false">IF(OR(4キー同時!$B$214="",4キー同時!$G$214="",4キー同時!$L$214=""),"",IF(4キー同時!AC220="","",SUBSTITUTE(SUBSTITUTE(4キー同時!AC220," ",""),"　","")))</f>
        <v/>
      </c>
      <c r="H3804" s="2" t="str">
        <f aca="false">IF($G3804="","",4キー同時!$B$214)</f>
        <v/>
      </c>
      <c r="I3804" s="2" t="str">
        <f aca="false">IF($G3804="","",4キー同時!$G$214)</f>
        <v/>
      </c>
      <c r="J3804" s="2" t="str">
        <f aca="false">IF($G3804="","",4キー同時!$L$214)</f>
        <v/>
      </c>
      <c r="K3804" s="2" t="str">
        <f aca="false">IF($G3804="","","h")</f>
        <v/>
      </c>
      <c r="L3804" s="2" t="str">
        <f aca="false">IF($G3804="","","同時")</f>
        <v/>
      </c>
      <c r="M3804" s="2" t="str">
        <f aca="false">IF($G3804="","",IF(ISNA(MATCH($G3804,個別指定!$A:$A,0)),"行なし",""))</f>
        <v/>
      </c>
      <c r="N3804" s="2" t="str">
        <f aca="false">IF($G3804="","",IF(COUNTIF($G$2:$G$4460,$G3804)&gt;1,"重複",""))</f>
        <v/>
      </c>
    </row>
    <row r="3805" customFormat="false" ht="16.5" hidden="false" customHeight="true" outlineLevel="0" collapsed="false">
      <c r="A3805" s="2" t="s">
        <v>447</v>
      </c>
      <c r="B3805" s="2" t="s">
        <v>464</v>
      </c>
      <c r="C3805" s="2" t="s">
        <v>30</v>
      </c>
      <c r="D3805" s="2" t="str">
        <f aca="false">IF(4キー同時!$B$214="","",4キー同時!$B$214)</f>
        <v/>
      </c>
      <c r="E3805" s="2" t="str">
        <f aca="false">IF(4キー同時!$G$214="","",4キー同時!$G$214)</f>
        <v/>
      </c>
      <c r="F3805" s="2" t="str">
        <f aca="false">IF(4キー同時!$L$214="","",4キー同時!$L$214)</f>
        <v/>
      </c>
      <c r="G3805" s="2" t="str">
        <f aca="false">IF(OR(4キー同時!$B$214="",4キー同時!$G$214="",4キー同時!$L$214=""),"",IF(4キー同時!AG220="","",SUBSTITUTE(SUBSTITUTE(4キー同時!AG220," ",""),"　","")))</f>
        <v/>
      </c>
      <c r="H3805" s="2" t="str">
        <f aca="false">IF($G3805="","",4キー同時!$B$214)</f>
        <v/>
      </c>
      <c r="I3805" s="2" t="str">
        <f aca="false">IF($G3805="","",4キー同時!$G$214)</f>
        <v/>
      </c>
      <c r="J3805" s="2" t="str">
        <f aca="false">IF($G3805="","",4キー同時!$L$214)</f>
        <v/>
      </c>
      <c r="K3805" s="2" t="str">
        <f aca="false">IF($G3805="","","j")</f>
        <v/>
      </c>
      <c r="L3805" s="2" t="str">
        <f aca="false">IF($G3805="","","同時")</f>
        <v/>
      </c>
      <c r="M3805" s="2" t="str">
        <f aca="false">IF($G3805="","",IF(ISNA(MATCH($G3805,個別指定!$A:$A,0)),"行なし",""))</f>
        <v/>
      </c>
      <c r="N3805" s="2" t="str">
        <f aca="false">IF($G3805="","",IF(COUNTIF($G$2:$G$4460,$G3805)&gt;1,"重複",""))</f>
        <v/>
      </c>
    </row>
    <row r="3806" customFormat="false" ht="16.5" hidden="false" customHeight="true" outlineLevel="0" collapsed="false">
      <c r="A3806" s="2" t="s">
        <v>447</v>
      </c>
      <c r="B3806" s="2" t="s">
        <v>464</v>
      </c>
      <c r="C3806" s="2" t="s">
        <v>31</v>
      </c>
      <c r="D3806" s="2" t="str">
        <f aca="false">IF(4キー同時!$B$214="","",4キー同時!$B$214)</f>
        <v/>
      </c>
      <c r="E3806" s="2" t="str">
        <f aca="false">IF(4キー同時!$G$214="","",4キー同時!$G$214)</f>
        <v/>
      </c>
      <c r="F3806" s="2" t="str">
        <f aca="false">IF(4キー同時!$L$214="","",4キー同時!$L$214)</f>
        <v/>
      </c>
      <c r="G3806" s="2" t="str">
        <f aca="false">IF(OR(4キー同時!$B$214="",4キー同時!$G$214="",4キー同時!$L$214=""),"",IF(4キー同時!AK220="","",SUBSTITUTE(SUBSTITUTE(4キー同時!AK220," ",""),"　","")))</f>
        <v/>
      </c>
      <c r="H3806" s="2" t="str">
        <f aca="false">IF($G3806="","",4キー同時!$B$214)</f>
        <v/>
      </c>
      <c r="I3806" s="2" t="str">
        <f aca="false">IF($G3806="","",4キー同時!$G$214)</f>
        <v/>
      </c>
      <c r="J3806" s="2" t="str">
        <f aca="false">IF($G3806="","",4キー同時!$L$214)</f>
        <v/>
      </c>
      <c r="K3806" s="2" t="str">
        <f aca="false">IF($G3806="","","k")</f>
        <v/>
      </c>
      <c r="L3806" s="2" t="str">
        <f aca="false">IF($G3806="","","同時")</f>
        <v/>
      </c>
      <c r="M3806" s="2" t="str">
        <f aca="false">IF($G3806="","",IF(ISNA(MATCH($G3806,個別指定!$A:$A,0)),"行なし",""))</f>
        <v/>
      </c>
      <c r="N3806" s="2" t="str">
        <f aca="false">IF($G3806="","",IF(COUNTIF($G$2:$G$4460,$G3806)&gt;1,"重複",""))</f>
        <v/>
      </c>
    </row>
    <row r="3807" customFormat="false" ht="16.5" hidden="false" customHeight="true" outlineLevel="0" collapsed="false">
      <c r="A3807" s="2" t="s">
        <v>447</v>
      </c>
      <c r="B3807" s="2" t="s">
        <v>464</v>
      </c>
      <c r="C3807" s="2" t="s">
        <v>32</v>
      </c>
      <c r="D3807" s="2" t="str">
        <f aca="false">IF(4キー同時!$B$214="","",4キー同時!$B$214)</f>
        <v/>
      </c>
      <c r="E3807" s="2" t="str">
        <f aca="false">IF(4キー同時!$G$214="","",4キー同時!$G$214)</f>
        <v/>
      </c>
      <c r="F3807" s="2" t="str">
        <f aca="false">IF(4キー同時!$L$214="","",4キー同時!$L$214)</f>
        <v/>
      </c>
      <c r="G3807" s="2" t="str">
        <f aca="false">IF(OR(4キー同時!$B$214="",4キー同時!$G$214="",4キー同時!$L$214=""),"",IF(4キー同時!AO220="","",SUBSTITUTE(SUBSTITUTE(4キー同時!AO220," ",""),"　","")))</f>
        <v/>
      </c>
      <c r="H3807" s="2" t="str">
        <f aca="false">IF($G3807="","",4キー同時!$B$214)</f>
        <v/>
      </c>
      <c r="I3807" s="2" t="str">
        <f aca="false">IF($G3807="","",4キー同時!$G$214)</f>
        <v/>
      </c>
      <c r="J3807" s="2" t="str">
        <f aca="false">IF($G3807="","",4キー同時!$L$214)</f>
        <v/>
      </c>
      <c r="K3807" s="2" t="str">
        <f aca="false">IF($G3807="","","l")</f>
        <v/>
      </c>
      <c r="L3807" s="2" t="str">
        <f aca="false">IF($G3807="","","同時")</f>
        <v/>
      </c>
      <c r="M3807" s="2" t="str">
        <f aca="false">IF($G3807="","",IF(ISNA(MATCH($G3807,個別指定!$A:$A,0)),"行なし",""))</f>
        <v/>
      </c>
      <c r="N3807" s="2" t="str">
        <f aca="false">IF($G3807="","",IF(COUNTIF($G$2:$G$4460,$G3807)&gt;1,"重複",""))</f>
        <v/>
      </c>
    </row>
    <row r="3808" customFormat="false" ht="16.5" hidden="false" customHeight="true" outlineLevel="0" collapsed="false">
      <c r="A3808" s="2" t="s">
        <v>447</v>
      </c>
      <c r="B3808" s="2" t="s">
        <v>464</v>
      </c>
      <c r="C3808" s="2" t="s">
        <v>33</v>
      </c>
      <c r="D3808" s="2" t="str">
        <f aca="false">IF(4キー同時!$B$214="","",4キー同時!$B$214)</f>
        <v/>
      </c>
      <c r="E3808" s="2" t="str">
        <f aca="false">IF(4キー同時!$G$214="","",4キー同時!$G$214)</f>
        <v/>
      </c>
      <c r="F3808" s="2" t="str">
        <f aca="false">IF(4キー同時!$L$214="","",4キー同時!$L$214)</f>
        <v/>
      </c>
      <c r="G3808" s="2" t="str">
        <f aca="false">IF(OR(4キー同時!$B$214="",4キー同時!$G$214="",4キー同時!$L$214=""),"",IF(4キー同時!AS220="","",SUBSTITUTE(SUBSTITUTE(4キー同時!AS220," ",""),"　","")))</f>
        <v/>
      </c>
      <c r="H3808" s="2" t="str">
        <f aca="false">IF($G3808="","",4キー同時!$B$214)</f>
        <v/>
      </c>
      <c r="I3808" s="2" t="str">
        <f aca="false">IF($G3808="","",4キー同時!$G$214)</f>
        <v/>
      </c>
      <c r="J3808" s="2" t="str">
        <f aca="false">IF($G3808="","",4キー同時!$L$214)</f>
        <v/>
      </c>
      <c r="K3808" s="2" t="str">
        <f aca="false">IF($G3808="","",";")</f>
        <v/>
      </c>
      <c r="L3808" s="2" t="str">
        <f aca="false">IF($G3808="","","同時")</f>
        <v/>
      </c>
      <c r="M3808" s="2" t="str">
        <f aca="false">IF($G3808="","",IF(ISNA(MATCH($G3808,個別指定!$A:$A,0)),"行なし",""))</f>
        <v/>
      </c>
      <c r="N3808" s="2" t="str">
        <f aca="false">IF($G3808="","",IF(COUNTIF($G$2:$G$4460,$G3808)&gt;1,"重複",""))</f>
        <v/>
      </c>
    </row>
    <row r="3809" customFormat="false" ht="16.5" hidden="false" customHeight="true" outlineLevel="0" collapsed="false">
      <c r="A3809" s="2" t="s">
        <v>447</v>
      </c>
      <c r="B3809" s="2" t="s">
        <v>464</v>
      </c>
      <c r="C3809" s="2" t="s">
        <v>34</v>
      </c>
      <c r="D3809" s="2" t="str">
        <f aca="false">IF(4キー同時!$B$214="","",4キー同時!$B$214)</f>
        <v/>
      </c>
      <c r="E3809" s="2" t="str">
        <f aca="false">IF(4キー同時!$G$214="","",4キー同時!$G$214)</f>
        <v/>
      </c>
      <c r="F3809" s="2" t="str">
        <f aca="false">IF(4キー同時!$L$214="","",4キー同時!$L$214)</f>
        <v/>
      </c>
      <c r="G3809" s="2" t="str">
        <f aca="false">IF(OR(4キー同時!$B$214="",4キー同時!$G$214="",4キー同時!$L$214=""),"",IF(4キー同時!AW220="","",SUBSTITUTE(SUBSTITUTE(4キー同時!AW220," ",""),"　","")))</f>
        <v/>
      </c>
      <c r="H3809" s="2" t="str">
        <f aca="false">IF($G3809="","",4キー同時!$B$214)</f>
        <v/>
      </c>
      <c r="I3809" s="2" t="str">
        <f aca="false">IF($G3809="","",4キー同時!$G$214)</f>
        <v/>
      </c>
      <c r="J3809" s="2" t="str">
        <f aca="false">IF($G3809="","",4キー同時!$L$214)</f>
        <v/>
      </c>
      <c r="K3809" s="2" t="str">
        <f aca="false">IF($G3809="","","'")</f>
        <v/>
      </c>
      <c r="L3809" s="2" t="str">
        <f aca="false">IF($G3809="","","同時")</f>
        <v/>
      </c>
      <c r="M3809" s="2" t="str">
        <f aca="false">IF($G3809="","",IF(ISNA(MATCH($G3809,個別指定!$A:$A,0)),"行なし",""))</f>
        <v/>
      </c>
      <c r="N3809" s="2" t="str">
        <f aca="false">IF($G3809="","",IF(COUNTIF($G$2:$G$4460,$G3809)&gt;1,"重複",""))</f>
        <v/>
      </c>
    </row>
    <row r="3810" customFormat="false" ht="16.5" hidden="false" customHeight="true" outlineLevel="0" collapsed="false">
      <c r="A3810" s="2" t="s">
        <v>447</v>
      </c>
      <c r="B3810" s="2" t="s">
        <v>464</v>
      </c>
      <c r="C3810" s="2" t="s">
        <v>35</v>
      </c>
      <c r="D3810" s="2" t="str">
        <f aca="false">IF(4キー同時!$B$214="","",4キー同時!$B$214)</f>
        <v/>
      </c>
      <c r="E3810" s="2" t="str">
        <f aca="false">IF(4キー同時!$G$214="","",4キー同時!$G$214)</f>
        <v/>
      </c>
      <c r="F3810" s="2" t="str">
        <f aca="false">IF(4キー同時!$L$214="","",4キー同時!$L$214)</f>
        <v/>
      </c>
      <c r="G3810" s="2" t="str">
        <f aca="false">IF(OR(4キー同時!$B$214="",4キー同時!$G$214="",4キー同時!$L$214=""),"",IF(4キー同時!K222="","",SUBSTITUTE(SUBSTITUTE(4キー同時!K222," ",""),"　","")))</f>
        <v/>
      </c>
      <c r="H3810" s="2" t="str">
        <f aca="false">IF($G3810="","",4キー同時!$B$214)</f>
        <v/>
      </c>
      <c r="I3810" s="2" t="str">
        <f aca="false">IF($G3810="","",4キー同時!$G$214)</f>
        <v/>
      </c>
      <c r="J3810" s="2" t="str">
        <f aca="false">IF($G3810="","",4キー同時!$L$214)</f>
        <v/>
      </c>
      <c r="K3810" s="2" t="str">
        <f aca="false">IF($G3810="","","z")</f>
        <v/>
      </c>
      <c r="L3810" s="2" t="str">
        <f aca="false">IF($G3810="","","同時")</f>
        <v/>
      </c>
      <c r="M3810" s="2" t="str">
        <f aca="false">IF($G3810="","",IF(ISNA(MATCH($G3810,個別指定!$A:$A,0)),"行なし",""))</f>
        <v/>
      </c>
      <c r="N3810" s="2" t="str">
        <f aca="false">IF($G3810="","",IF(COUNTIF($G$2:$G$4460,$G3810)&gt;1,"重複",""))</f>
        <v/>
      </c>
    </row>
    <row r="3811" customFormat="false" ht="16.5" hidden="false" customHeight="true" outlineLevel="0" collapsed="false">
      <c r="A3811" s="2" t="s">
        <v>447</v>
      </c>
      <c r="B3811" s="2" t="s">
        <v>464</v>
      </c>
      <c r="C3811" s="2" t="s">
        <v>36</v>
      </c>
      <c r="D3811" s="2" t="str">
        <f aca="false">IF(4キー同時!$B$214="","",4キー同時!$B$214)</f>
        <v/>
      </c>
      <c r="E3811" s="2" t="str">
        <f aca="false">IF(4キー同時!$G$214="","",4キー同時!$G$214)</f>
        <v/>
      </c>
      <c r="F3811" s="2" t="str">
        <f aca="false">IF(4キー同時!$L$214="","",4キー同時!$L$214)</f>
        <v/>
      </c>
      <c r="G3811" s="2" t="str">
        <f aca="false">IF(OR(4キー同時!$B$214="",4キー同時!$G$214="",4キー同時!$L$214=""),"",IF(4キー同時!O222="","",SUBSTITUTE(SUBSTITUTE(4キー同時!O222," ",""),"　","")))</f>
        <v/>
      </c>
      <c r="H3811" s="2" t="str">
        <f aca="false">IF($G3811="","",4キー同時!$B$214)</f>
        <v/>
      </c>
      <c r="I3811" s="2" t="str">
        <f aca="false">IF($G3811="","",4キー同時!$G$214)</f>
        <v/>
      </c>
      <c r="J3811" s="2" t="str">
        <f aca="false">IF($G3811="","",4キー同時!$L$214)</f>
        <v/>
      </c>
      <c r="K3811" s="2" t="str">
        <f aca="false">IF($G3811="","","x")</f>
        <v/>
      </c>
      <c r="L3811" s="2" t="str">
        <f aca="false">IF($G3811="","","同時")</f>
        <v/>
      </c>
      <c r="M3811" s="2" t="str">
        <f aca="false">IF($G3811="","",IF(ISNA(MATCH($G3811,個別指定!$A:$A,0)),"行なし",""))</f>
        <v/>
      </c>
      <c r="N3811" s="2" t="str">
        <f aca="false">IF($G3811="","",IF(COUNTIF($G$2:$G$4460,$G3811)&gt;1,"重複",""))</f>
        <v/>
      </c>
    </row>
    <row r="3812" customFormat="false" ht="16.5" hidden="false" customHeight="true" outlineLevel="0" collapsed="false">
      <c r="A3812" s="2" t="s">
        <v>447</v>
      </c>
      <c r="B3812" s="2" t="s">
        <v>464</v>
      </c>
      <c r="C3812" s="2" t="s">
        <v>37</v>
      </c>
      <c r="D3812" s="2" t="str">
        <f aca="false">IF(4キー同時!$B$214="","",4キー同時!$B$214)</f>
        <v/>
      </c>
      <c r="E3812" s="2" t="str">
        <f aca="false">IF(4キー同時!$G$214="","",4キー同時!$G$214)</f>
        <v/>
      </c>
      <c r="F3812" s="2" t="str">
        <f aca="false">IF(4キー同時!$L$214="","",4キー同時!$L$214)</f>
        <v/>
      </c>
      <c r="G3812" s="2" t="str">
        <f aca="false">IF(OR(4キー同時!$B$214="",4キー同時!$G$214="",4キー同時!$L$214=""),"",IF(4キー同時!S222="","",SUBSTITUTE(SUBSTITUTE(4キー同時!S222," ",""),"　","")))</f>
        <v/>
      </c>
      <c r="H3812" s="2" t="str">
        <f aca="false">IF($G3812="","",4キー同時!$B$214)</f>
        <v/>
      </c>
      <c r="I3812" s="2" t="str">
        <f aca="false">IF($G3812="","",4キー同時!$G$214)</f>
        <v/>
      </c>
      <c r="J3812" s="2" t="str">
        <f aca="false">IF($G3812="","",4キー同時!$L$214)</f>
        <v/>
      </c>
      <c r="K3812" s="2" t="str">
        <f aca="false">IF($G3812="","","c")</f>
        <v/>
      </c>
      <c r="L3812" s="2" t="str">
        <f aca="false">IF($G3812="","","同時")</f>
        <v/>
      </c>
      <c r="M3812" s="2" t="str">
        <f aca="false">IF($G3812="","",IF(ISNA(MATCH($G3812,個別指定!$A:$A,0)),"行なし",""))</f>
        <v/>
      </c>
      <c r="N3812" s="2" t="str">
        <f aca="false">IF($G3812="","",IF(COUNTIF($G$2:$G$4460,$G3812)&gt;1,"重複",""))</f>
        <v/>
      </c>
    </row>
    <row r="3813" customFormat="false" ht="16.5" hidden="false" customHeight="true" outlineLevel="0" collapsed="false">
      <c r="A3813" s="2" t="s">
        <v>447</v>
      </c>
      <c r="B3813" s="2" t="s">
        <v>464</v>
      </c>
      <c r="C3813" s="2" t="s">
        <v>38</v>
      </c>
      <c r="D3813" s="2" t="str">
        <f aca="false">IF(4キー同時!$B$214="","",4キー同時!$B$214)</f>
        <v/>
      </c>
      <c r="E3813" s="2" t="str">
        <f aca="false">IF(4キー同時!$G$214="","",4キー同時!$G$214)</f>
        <v/>
      </c>
      <c r="F3813" s="2" t="str">
        <f aca="false">IF(4キー同時!$L$214="","",4キー同時!$L$214)</f>
        <v/>
      </c>
      <c r="G3813" s="2" t="str">
        <f aca="false">IF(OR(4キー同時!$B$214="",4キー同時!$G$214="",4キー同時!$L$214=""),"",IF(4キー同時!W222="","",SUBSTITUTE(SUBSTITUTE(4キー同時!W222," ",""),"　","")))</f>
        <v/>
      </c>
      <c r="H3813" s="2" t="str">
        <f aca="false">IF($G3813="","",4キー同時!$B$214)</f>
        <v/>
      </c>
      <c r="I3813" s="2" t="str">
        <f aca="false">IF($G3813="","",4キー同時!$G$214)</f>
        <v/>
      </c>
      <c r="J3813" s="2" t="str">
        <f aca="false">IF($G3813="","",4キー同時!$L$214)</f>
        <v/>
      </c>
      <c r="K3813" s="2" t="str">
        <f aca="false">IF($G3813="","","v")</f>
        <v/>
      </c>
      <c r="L3813" s="2" t="str">
        <f aca="false">IF($G3813="","","同時")</f>
        <v/>
      </c>
      <c r="M3813" s="2" t="str">
        <f aca="false">IF($G3813="","",IF(ISNA(MATCH($G3813,個別指定!$A:$A,0)),"行なし",""))</f>
        <v/>
      </c>
      <c r="N3813" s="2" t="str">
        <f aca="false">IF($G3813="","",IF(COUNTIF($G$2:$G$4460,$G3813)&gt;1,"重複",""))</f>
        <v/>
      </c>
    </row>
    <row r="3814" customFormat="false" ht="16.5" hidden="false" customHeight="true" outlineLevel="0" collapsed="false">
      <c r="A3814" s="2" t="s">
        <v>447</v>
      </c>
      <c r="B3814" s="2" t="s">
        <v>464</v>
      </c>
      <c r="C3814" s="2" t="s">
        <v>39</v>
      </c>
      <c r="D3814" s="2" t="str">
        <f aca="false">IF(4キー同時!$B$214="","",4キー同時!$B$214)</f>
        <v/>
      </c>
      <c r="E3814" s="2" t="str">
        <f aca="false">IF(4キー同時!$G$214="","",4キー同時!$G$214)</f>
        <v/>
      </c>
      <c r="F3814" s="2" t="str">
        <f aca="false">IF(4キー同時!$L$214="","",4キー同時!$L$214)</f>
        <v/>
      </c>
      <c r="G3814" s="2" t="str">
        <f aca="false">IF(OR(4キー同時!$B$214="",4キー同時!$G$214="",4キー同時!$L$214=""),"",IF(4キー同時!AA222="","",SUBSTITUTE(SUBSTITUTE(4キー同時!AA222," ",""),"　","")))</f>
        <v/>
      </c>
      <c r="H3814" s="2" t="str">
        <f aca="false">IF($G3814="","",4キー同時!$B$214)</f>
        <v/>
      </c>
      <c r="I3814" s="2" t="str">
        <f aca="false">IF($G3814="","",4キー同時!$G$214)</f>
        <v/>
      </c>
      <c r="J3814" s="2" t="str">
        <f aca="false">IF($G3814="","",4キー同時!$L$214)</f>
        <v/>
      </c>
      <c r="K3814" s="2" t="str">
        <f aca="false">IF($G3814="","","b")</f>
        <v/>
      </c>
      <c r="L3814" s="2" t="str">
        <f aca="false">IF($G3814="","","同時")</f>
        <v/>
      </c>
      <c r="M3814" s="2" t="str">
        <f aca="false">IF($G3814="","",IF(ISNA(MATCH($G3814,個別指定!$A:$A,0)),"行なし",""))</f>
        <v/>
      </c>
      <c r="N3814" s="2" t="str">
        <f aca="false">IF($G3814="","",IF(COUNTIF($G$2:$G$4460,$G3814)&gt;1,"重複",""))</f>
        <v/>
      </c>
    </row>
    <row r="3815" customFormat="false" ht="16.5" hidden="false" customHeight="true" outlineLevel="0" collapsed="false">
      <c r="A3815" s="2" t="s">
        <v>447</v>
      </c>
      <c r="B3815" s="2" t="s">
        <v>464</v>
      </c>
      <c r="C3815" s="2" t="s">
        <v>40</v>
      </c>
      <c r="D3815" s="2" t="str">
        <f aca="false">IF(4キー同時!$B$214="","",4キー同時!$B$214)</f>
        <v/>
      </c>
      <c r="E3815" s="2" t="str">
        <f aca="false">IF(4キー同時!$G$214="","",4キー同時!$G$214)</f>
        <v/>
      </c>
      <c r="F3815" s="2" t="str">
        <f aca="false">IF(4キー同時!$L$214="","",4キー同時!$L$214)</f>
        <v/>
      </c>
      <c r="G3815" s="2" t="str">
        <f aca="false">IF(OR(4キー同時!$B$214="",4キー同時!$G$214="",4キー同時!$L$214=""),"",IF(4キー同時!AE222="","",SUBSTITUTE(SUBSTITUTE(4キー同時!AE222," ",""),"　","")))</f>
        <v/>
      </c>
      <c r="H3815" s="2" t="str">
        <f aca="false">IF($G3815="","",4キー同時!$B$214)</f>
        <v/>
      </c>
      <c r="I3815" s="2" t="str">
        <f aca="false">IF($G3815="","",4キー同時!$G$214)</f>
        <v/>
      </c>
      <c r="J3815" s="2" t="str">
        <f aca="false">IF($G3815="","",4キー同時!$L$214)</f>
        <v/>
      </c>
      <c r="K3815" s="2" t="str">
        <f aca="false">IF($G3815="","","n")</f>
        <v/>
      </c>
      <c r="L3815" s="2" t="str">
        <f aca="false">IF($G3815="","","同時")</f>
        <v/>
      </c>
      <c r="M3815" s="2" t="str">
        <f aca="false">IF($G3815="","",IF(ISNA(MATCH($G3815,個別指定!$A:$A,0)),"行なし",""))</f>
        <v/>
      </c>
      <c r="N3815" s="2" t="str">
        <f aca="false">IF($G3815="","",IF(COUNTIF($G$2:$G$4460,$G3815)&gt;1,"重複",""))</f>
        <v/>
      </c>
    </row>
    <row r="3816" customFormat="false" ht="16.5" hidden="false" customHeight="true" outlineLevel="0" collapsed="false">
      <c r="A3816" s="2" t="s">
        <v>447</v>
      </c>
      <c r="B3816" s="2" t="s">
        <v>464</v>
      </c>
      <c r="C3816" s="2" t="s">
        <v>41</v>
      </c>
      <c r="D3816" s="2" t="str">
        <f aca="false">IF(4キー同時!$B$214="","",4キー同時!$B$214)</f>
        <v/>
      </c>
      <c r="E3816" s="2" t="str">
        <f aca="false">IF(4キー同時!$G$214="","",4キー同時!$G$214)</f>
        <v/>
      </c>
      <c r="F3816" s="2" t="str">
        <f aca="false">IF(4キー同時!$L$214="","",4キー同時!$L$214)</f>
        <v/>
      </c>
      <c r="G3816" s="2" t="str">
        <f aca="false">IF(OR(4キー同時!$B$214="",4キー同時!$G$214="",4キー同時!$L$214=""),"",IF(4キー同時!AI222="","",SUBSTITUTE(SUBSTITUTE(4キー同時!AI222," ",""),"　","")))</f>
        <v/>
      </c>
      <c r="H3816" s="2" t="str">
        <f aca="false">IF($G3816="","",4キー同時!$B$214)</f>
        <v/>
      </c>
      <c r="I3816" s="2" t="str">
        <f aca="false">IF($G3816="","",4キー同時!$G$214)</f>
        <v/>
      </c>
      <c r="J3816" s="2" t="str">
        <f aca="false">IF($G3816="","",4キー同時!$L$214)</f>
        <v/>
      </c>
      <c r="K3816" s="2" t="str">
        <f aca="false">IF($G3816="","","m")</f>
        <v/>
      </c>
      <c r="L3816" s="2" t="str">
        <f aca="false">IF($G3816="","","同時")</f>
        <v/>
      </c>
      <c r="M3816" s="2" t="str">
        <f aca="false">IF($G3816="","",IF(ISNA(MATCH($G3816,個別指定!$A:$A,0)),"行なし",""))</f>
        <v/>
      </c>
      <c r="N3816" s="2" t="str">
        <f aca="false">IF($G3816="","",IF(COUNTIF($G$2:$G$4460,$G3816)&gt;1,"重複",""))</f>
        <v/>
      </c>
    </row>
    <row r="3817" customFormat="false" ht="16.5" hidden="false" customHeight="true" outlineLevel="0" collapsed="false">
      <c r="A3817" s="2" t="s">
        <v>447</v>
      </c>
      <c r="B3817" s="2" t="s">
        <v>464</v>
      </c>
      <c r="C3817" s="2" t="s">
        <v>42</v>
      </c>
      <c r="D3817" s="2" t="str">
        <f aca="false">IF(4キー同時!$B$214="","",4キー同時!$B$214)</f>
        <v/>
      </c>
      <c r="E3817" s="2" t="str">
        <f aca="false">IF(4キー同時!$G$214="","",4キー同時!$G$214)</f>
        <v/>
      </c>
      <c r="F3817" s="2" t="str">
        <f aca="false">IF(4キー同時!$L$214="","",4キー同時!$L$214)</f>
        <v/>
      </c>
      <c r="G3817" s="2" t="str">
        <f aca="false">IF(OR(4キー同時!$B$214="",4キー同時!$G$214="",4キー同時!$L$214=""),"",IF(4キー同時!AM222="","",SUBSTITUTE(SUBSTITUTE(4キー同時!AM222," ",""),"　","")))</f>
        <v/>
      </c>
      <c r="H3817" s="2" t="str">
        <f aca="false">IF($G3817="","",4キー同時!$B$214)</f>
        <v/>
      </c>
      <c r="I3817" s="2" t="str">
        <f aca="false">IF($G3817="","",4キー同時!$G$214)</f>
        <v/>
      </c>
      <c r="J3817" s="2" t="str">
        <f aca="false">IF($G3817="","",4キー同時!$L$214)</f>
        <v/>
      </c>
      <c r="K3817" s="2" t="str">
        <f aca="false">IF($G3817="","",",")</f>
        <v/>
      </c>
      <c r="L3817" s="2" t="str">
        <f aca="false">IF($G3817="","","同時")</f>
        <v/>
      </c>
      <c r="M3817" s="2" t="str">
        <f aca="false">IF($G3817="","",IF(ISNA(MATCH($G3817,個別指定!$A:$A,0)),"行なし",""))</f>
        <v/>
      </c>
      <c r="N3817" s="2" t="str">
        <f aca="false">IF($G3817="","",IF(COUNTIF($G$2:$G$4460,$G3817)&gt;1,"重複",""))</f>
        <v/>
      </c>
    </row>
    <row r="3818" customFormat="false" ht="16.5" hidden="false" customHeight="true" outlineLevel="0" collapsed="false">
      <c r="A3818" s="2" t="s">
        <v>447</v>
      </c>
      <c r="B3818" s="2" t="s">
        <v>464</v>
      </c>
      <c r="C3818" s="2" t="s">
        <v>43</v>
      </c>
      <c r="D3818" s="2" t="str">
        <f aca="false">IF(4キー同時!$B$214="","",4キー同時!$B$214)</f>
        <v/>
      </c>
      <c r="E3818" s="2" t="str">
        <f aca="false">IF(4キー同時!$G$214="","",4キー同時!$G$214)</f>
        <v/>
      </c>
      <c r="F3818" s="2" t="str">
        <f aca="false">IF(4キー同時!$L$214="","",4キー同時!$L$214)</f>
        <v/>
      </c>
      <c r="G3818" s="2" t="str">
        <f aca="false">IF(OR(4キー同時!$B$214="",4キー同時!$G$214="",4キー同時!$L$214=""),"",IF(4キー同時!AQ222="","",SUBSTITUTE(SUBSTITUTE(4キー同時!AQ222," ",""),"　","")))</f>
        <v/>
      </c>
      <c r="H3818" s="2" t="str">
        <f aca="false">IF($G3818="","",4キー同時!$B$214)</f>
        <v/>
      </c>
      <c r="I3818" s="2" t="str">
        <f aca="false">IF($G3818="","",4キー同時!$G$214)</f>
        <v/>
      </c>
      <c r="J3818" s="2" t="str">
        <f aca="false">IF($G3818="","",4キー同時!$L$214)</f>
        <v/>
      </c>
      <c r="K3818" s="2" t="str">
        <f aca="false">IF($G3818="","",".")</f>
        <v/>
      </c>
      <c r="L3818" s="2" t="str">
        <f aca="false">IF($G3818="","","同時")</f>
        <v/>
      </c>
      <c r="M3818" s="2" t="str">
        <f aca="false">IF($G3818="","",IF(ISNA(MATCH($G3818,個別指定!$A:$A,0)),"行なし",""))</f>
        <v/>
      </c>
      <c r="N3818" s="2" t="str">
        <f aca="false">IF($G3818="","",IF(COUNTIF($G$2:$G$4460,$G3818)&gt;1,"重複",""))</f>
        <v/>
      </c>
    </row>
    <row r="3819" customFormat="false" ht="16.5" hidden="false" customHeight="true" outlineLevel="0" collapsed="false">
      <c r="A3819" s="2" t="s">
        <v>447</v>
      </c>
      <c r="B3819" s="2" t="s">
        <v>464</v>
      </c>
      <c r="C3819" s="2" t="s">
        <v>44</v>
      </c>
      <c r="D3819" s="2" t="str">
        <f aca="false">IF(4キー同時!$B$214="","",4キー同時!$B$214)</f>
        <v/>
      </c>
      <c r="E3819" s="2" t="str">
        <f aca="false">IF(4キー同時!$G$214="","",4キー同時!$G$214)</f>
        <v/>
      </c>
      <c r="F3819" s="2" t="str">
        <f aca="false">IF(4キー同時!$L$214="","",4キー同時!$L$214)</f>
        <v/>
      </c>
      <c r="G3819" s="2" t="str">
        <f aca="false">IF(OR(4キー同時!$B$214="",4キー同時!$G$214="",4キー同時!$L$214=""),"",IF(4キー同時!AU222="","",SUBSTITUTE(SUBSTITUTE(4キー同時!AU222," ",""),"　","")))</f>
        <v/>
      </c>
      <c r="H3819" s="2" t="str">
        <f aca="false">IF($G3819="","",4キー同時!$B$214)</f>
        <v/>
      </c>
      <c r="I3819" s="2" t="str">
        <f aca="false">IF($G3819="","",4キー同時!$G$214)</f>
        <v/>
      </c>
      <c r="J3819" s="2" t="str">
        <f aca="false">IF($G3819="","",4キー同時!$L$214)</f>
        <v/>
      </c>
      <c r="K3819" s="2" t="str">
        <f aca="false">IF($G3819="","","/")</f>
        <v/>
      </c>
      <c r="L3819" s="2" t="str">
        <f aca="false">IF($G3819="","","同時")</f>
        <v/>
      </c>
      <c r="M3819" s="2" t="str">
        <f aca="false">IF($G3819="","",IF(ISNA(MATCH($G3819,個別指定!$A:$A,0)),"行なし",""))</f>
        <v/>
      </c>
      <c r="N3819" s="2" t="str">
        <f aca="false">IF($G3819="","",IF(COUNTIF($G$2:$G$4460,$G3819)&gt;1,"重複",""))</f>
        <v/>
      </c>
    </row>
    <row r="3820" customFormat="false" ht="16.5" hidden="false" customHeight="true" outlineLevel="0" collapsed="false">
      <c r="A3820" s="2" t="s">
        <v>447</v>
      </c>
      <c r="B3820" s="2" t="s">
        <v>464</v>
      </c>
      <c r="C3820" s="2" t="s">
        <v>48</v>
      </c>
      <c r="D3820" s="2" t="str">
        <f aca="false">IF(4キー同時!$B$214="","",4キー同時!$B$214)</f>
        <v/>
      </c>
      <c r="E3820" s="2" t="str">
        <f aca="false">IF(4キー同時!$G$214="","",4キー同時!$G$214)</f>
        <v/>
      </c>
      <c r="F3820" s="2" t="str">
        <f aca="false">IF(4キー同時!$L$214="","",4キー同時!$L$214)</f>
        <v/>
      </c>
      <c r="G3820" s="2" t="str">
        <f aca="false">IF(OR(4キー同時!$B$214="",4キー同時!$G$214="",4キー同時!$L$214=""),"",IF(4キー同時!P224="","",SUBSTITUTE(SUBSTITUTE(4キー同時!P224," ",""),"　","")))</f>
        <v/>
      </c>
      <c r="H3820" s="2" t="str">
        <f aca="false">IF($G3820="","",4キー同時!$B$214)</f>
        <v/>
      </c>
      <c r="I3820" s="2" t="str">
        <f aca="false">IF($G3820="","",4キー同時!$G$214)</f>
        <v/>
      </c>
      <c r="J3820" s="2" t="str">
        <f aca="false">IF($G3820="","",4キー同時!$L$214)</f>
        <v/>
      </c>
      <c r="K3820" s="2" t="str">
        <f aca="false">IF($G3820="","","muhenkan")</f>
        <v/>
      </c>
      <c r="L3820" s="2" t="str">
        <f aca="false">IF($G3820="","","同時")</f>
        <v/>
      </c>
      <c r="M3820" s="2" t="str">
        <f aca="false">IF($G3820="","",IF(ISNA(MATCH($G3820,個別指定!$A:$A,0)),"行なし",""))</f>
        <v/>
      </c>
      <c r="N3820" s="2" t="str">
        <f aca="false">IF($G3820="","",IF(COUNTIF($G$2:$G$4460,$G3820)&gt;1,"重複",""))</f>
        <v/>
      </c>
    </row>
    <row r="3821" customFormat="false" ht="16.5" hidden="false" customHeight="true" outlineLevel="0" collapsed="false">
      <c r="A3821" s="2" t="s">
        <v>447</v>
      </c>
      <c r="B3821" s="2" t="s">
        <v>464</v>
      </c>
      <c r="C3821" s="2" t="s">
        <v>50</v>
      </c>
      <c r="D3821" s="2" t="str">
        <f aca="false">IF(4キー同時!$B$214="","",4キー同時!$B$214)</f>
        <v/>
      </c>
      <c r="E3821" s="2" t="str">
        <f aca="false">IF(4キー同時!$G$214="","",4キー同時!$G$214)</f>
        <v/>
      </c>
      <c r="F3821" s="2" t="str">
        <f aca="false">IF(4キー同時!$L$214="","",4キー同時!$L$214)</f>
        <v/>
      </c>
      <c r="G3821" s="2" t="str">
        <f aca="false">IF(OR(4キー同時!$B$214="",4キー同時!$G$214="",4キー同時!$L$214=""),"",IF(4キー同時!T224="","",SUBSTITUTE(SUBSTITUTE(4キー同時!T224," ",""),"　","")))</f>
        <v/>
      </c>
      <c r="H3821" s="2" t="str">
        <f aca="false">IF($G3821="","",4キー同時!$B$214)</f>
        <v/>
      </c>
      <c r="I3821" s="2" t="str">
        <f aca="false">IF($G3821="","",4キー同時!$G$214)</f>
        <v/>
      </c>
      <c r="J3821" s="2" t="str">
        <f aca="false">IF($G3821="","",4キー同時!$L$214)</f>
        <v/>
      </c>
      <c r="K3821" s="2" t="str">
        <f aca="false">IF($G3821="","","space")</f>
        <v/>
      </c>
      <c r="L3821" s="2" t="str">
        <f aca="false">IF($G3821="","","同時")</f>
        <v/>
      </c>
      <c r="M3821" s="2" t="str">
        <f aca="false">IF($G3821="","",IF(ISNA(MATCH($G3821,個別指定!$A:$A,0)),"行なし",""))</f>
        <v/>
      </c>
      <c r="N3821" s="2" t="str">
        <f aca="false">IF($G3821="","",IF(COUNTIF($G$2:$G$4460,$G3821)&gt;1,"重複",""))</f>
        <v/>
      </c>
    </row>
    <row r="3822" customFormat="false" ht="16.5" hidden="false" customHeight="true" outlineLevel="0" collapsed="false">
      <c r="A3822" s="2" t="s">
        <v>447</v>
      </c>
      <c r="B3822" s="2" t="s">
        <v>464</v>
      </c>
      <c r="C3822" s="2" t="s">
        <v>45</v>
      </c>
      <c r="D3822" s="2" t="str">
        <f aca="false">IF(4キー同時!$B$214="","",4キー同時!$B$214)</f>
        <v/>
      </c>
      <c r="E3822" s="2" t="str">
        <f aca="false">IF(4キー同時!$G$214="","",4キー同時!$G$214)</f>
        <v/>
      </c>
      <c r="F3822" s="2" t="str">
        <f aca="false">IF(4キー同時!$L$214="","",4キー同時!$L$214)</f>
        <v/>
      </c>
      <c r="G3822" s="2" t="str">
        <f aca="false">IF(OR(4キー同時!$B$214="",4キー同時!$G$214="",4キー同時!$L$214=""),"",IF(4キー同時!AL224="","",SUBSTITUTE(SUBSTITUTE(4キー同時!AL224," ",""),"　","")))</f>
        <v/>
      </c>
      <c r="H3822" s="2" t="str">
        <f aca="false">IF($G3822="","",4キー同時!$B$214)</f>
        <v/>
      </c>
      <c r="I3822" s="2" t="str">
        <f aca="false">IF($G3822="","",4キー同時!$G$214)</f>
        <v/>
      </c>
      <c r="J3822" s="2" t="str">
        <f aca="false">IF($G3822="","",4キー同時!$L$214)</f>
        <v/>
      </c>
      <c r="K3822" s="2" t="str">
        <f aca="false">IF($G3822="","","henkan")</f>
        <v/>
      </c>
      <c r="L3822" s="2" t="str">
        <f aca="false">IF($G3822="","","同時")</f>
        <v/>
      </c>
      <c r="M3822" s="2" t="str">
        <f aca="false">IF($G3822="","",IF(ISNA(MATCH($G3822,個別指定!$A:$A,0)),"行なし",""))</f>
        <v/>
      </c>
      <c r="N3822" s="2" t="str">
        <f aca="false">IF($G3822="","",IF(COUNTIF($G$2:$G$4460,$G3822)&gt;1,"重複",""))</f>
        <v/>
      </c>
    </row>
    <row r="3823" customFormat="false" ht="16.5" hidden="false" customHeight="true" outlineLevel="0" collapsed="false">
      <c r="A3823" s="2" t="s">
        <v>447</v>
      </c>
      <c r="B3823" s="2" t="s">
        <v>464</v>
      </c>
      <c r="C3823" s="2" t="s">
        <v>46</v>
      </c>
      <c r="D3823" s="2" t="str">
        <f aca="false">IF(4キー同時!$B$214="","",4キー同時!$B$214)</f>
        <v/>
      </c>
      <c r="E3823" s="2" t="str">
        <f aca="false">IF(4キー同時!$G$214="","",4キー同時!$G$214)</f>
        <v/>
      </c>
      <c r="F3823" s="2" t="str">
        <f aca="false">IF(4キー同時!$L$214="","",4キー同時!$L$214)</f>
        <v/>
      </c>
      <c r="G3823" s="2" t="str">
        <f aca="false">IF(OR(4キー同時!$B$214="",4キー同時!$G$214="",4キー同時!$L$214=""),"",IF(4キー同時!AP224="","",SUBSTITUTE(SUBSTITUTE(4キー同時!AP224," ",""),"　","")))</f>
        <v/>
      </c>
      <c r="H3823" s="2" t="str">
        <f aca="false">IF($G3823="","",4キー同時!$B$214)</f>
        <v/>
      </c>
      <c r="I3823" s="2" t="str">
        <f aca="false">IF($G3823="","",4キー同時!$G$214)</f>
        <v/>
      </c>
      <c r="J3823" s="2" t="str">
        <f aca="false">IF($G3823="","",4キー同時!$L$214)</f>
        <v/>
      </c>
      <c r="K3823" s="2" t="str">
        <f aca="false">IF($G3823="","","kana")</f>
        <v/>
      </c>
      <c r="L3823" s="2" t="str">
        <f aca="false">IF($G3823="","","同時")</f>
        <v/>
      </c>
      <c r="M3823" s="2" t="str">
        <f aca="false">IF($G3823="","",IF(ISNA(MATCH($G3823,個別指定!$A:$A,0)),"行なし",""))</f>
        <v/>
      </c>
      <c r="N3823" s="2" t="str">
        <f aca="false">IF($G3823="","",IF(COUNTIF($G$2:$G$4460,$G3823)&gt;1,"重複",""))</f>
        <v/>
      </c>
    </row>
    <row r="3824" customFormat="false" ht="16.5" hidden="false" customHeight="true" outlineLevel="0" collapsed="false">
      <c r="A3824" s="2" t="s">
        <v>447</v>
      </c>
      <c r="B3824" s="2" t="s">
        <v>465</v>
      </c>
      <c r="C3824" s="2" t="s">
        <v>0</v>
      </c>
      <c r="D3824" s="2" t="str">
        <f aca="false">IF(4キー同時!$B$227="","",4キー同時!$B$227)</f>
        <v/>
      </c>
      <c r="E3824" s="2" t="str">
        <f aca="false">IF(4キー同時!$G$227="","",4キー同時!$G$227)</f>
        <v/>
      </c>
      <c r="F3824" s="2" t="str">
        <f aca="false">IF(4キー同時!$L$227="","",4キー同時!$L$227)</f>
        <v/>
      </c>
      <c r="G3824" s="2" t="str">
        <f aca="false">IF(OR(4キー同時!$B$227="",4キー同時!$G$227="",4キー同時!$L$227=""),"",IF(4キー同時!F229="","",SUBSTITUTE(SUBSTITUTE(4キー同時!F229," ",""),"　","")))</f>
        <v/>
      </c>
      <c r="H3824" s="2" t="str">
        <f aca="false">IF($G3824="","",4キー同時!$B$227)</f>
        <v/>
      </c>
      <c r="I3824" s="2" t="str">
        <f aca="false">IF($G3824="","",4キー同時!$G$227)</f>
        <v/>
      </c>
      <c r="J3824" s="2" t="str">
        <f aca="false">IF($G3824="","",4キー同時!$L$227)</f>
        <v/>
      </c>
      <c r="K3824" s="2" t="str">
        <f aca="false">IF($G3824="","","1")</f>
        <v/>
      </c>
      <c r="L3824" s="2" t="str">
        <f aca="false">IF($G3824="","","同時")</f>
        <v/>
      </c>
      <c r="M3824" s="2" t="str">
        <f aca="false">IF($G3824="","",IF(ISNA(MATCH($G3824,個別指定!$A:$A,0)),"行なし",""))</f>
        <v/>
      </c>
      <c r="N3824" s="2" t="str">
        <f aca="false">IF($G3824="","",IF(COUNTIF($G$2:$G$4460,$G3824)&gt;1,"重複",""))</f>
        <v/>
      </c>
    </row>
    <row r="3825" customFormat="false" ht="16.5" hidden="false" customHeight="true" outlineLevel="0" collapsed="false">
      <c r="A3825" s="2" t="s">
        <v>447</v>
      </c>
      <c r="B3825" s="2" t="s">
        <v>465</v>
      </c>
      <c r="C3825" s="2" t="s">
        <v>1</v>
      </c>
      <c r="D3825" s="2" t="str">
        <f aca="false">IF(4キー同時!$B$227="","",4キー同時!$B$227)</f>
        <v/>
      </c>
      <c r="E3825" s="2" t="str">
        <f aca="false">IF(4キー同時!$G$227="","",4キー同時!$G$227)</f>
        <v/>
      </c>
      <c r="F3825" s="2" t="str">
        <f aca="false">IF(4キー同時!$L$227="","",4キー同時!$L$227)</f>
        <v/>
      </c>
      <c r="G3825" s="2" t="str">
        <f aca="false">IF(OR(4キー同時!$B$227="",4キー同時!$G$227="",4キー同時!$L$227=""),"",IF(4キー同時!J229="","",SUBSTITUTE(SUBSTITUTE(4キー同時!J229," ",""),"　","")))</f>
        <v/>
      </c>
      <c r="H3825" s="2" t="str">
        <f aca="false">IF($G3825="","",4キー同時!$B$227)</f>
        <v/>
      </c>
      <c r="I3825" s="2" t="str">
        <f aca="false">IF($G3825="","",4キー同時!$G$227)</f>
        <v/>
      </c>
      <c r="J3825" s="2" t="str">
        <f aca="false">IF($G3825="","",4キー同時!$L$227)</f>
        <v/>
      </c>
      <c r="K3825" s="2" t="str">
        <f aca="false">IF($G3825="","","2")</f>
        <v/>
      </c>
      <c r="L3825" s="2" t="str">
        <f aca="false">IF($G3825="","","同時")</f>
        <v/>
      </c>
      <c r="M3825" s="2" t="str">
        <f aca="false">IF($G3825="","",IF(ISNA(MATCH($G3825,個別指定!$A:$A,0)),"行なし",""))</f>
        <v/>
      </c>
      <c r="N3825" s="2" t="str">
        <f aca="false">IF($G3825="","",IF(COUNTIF($G$2:$G$4460,$G3825)&gt;1,"重複",""))</f>
        <v/>
      </c>
    </row>
    <row r="3826" customFormat="false" ht="16.5" hidden="false" customHeight="true" outlineLevel="0" collapsed="false">
      <c r="A3826" s="2" t="s">
        <v>447</v>
      </c>
      <c r="B3826" s="2" t="s">
        <v>465</v>
      </c>
      <c r="C3826" s="2" t="s">
        <v>2</v>
      </c>
      <c r="D3826" s="2" t="str">
        <f aca="false">IF(4キー同時!$B$227="","",4キー同時!$B$227)</f>
        <v/>
      </c>
      <c r="E3826" s="2" t="str">
        <f aca="false">IF(4キー同時!$G$227="","",4キー同時!$G$227)</f>
        <v/>
      </c>
      <c r="F3826" s="2" t="str">
        <f aca="false">IF(4キー同時!$L$227="","",4キー同時!$L$227)</f>
        <v/>
      </c>
      <c r="G3826" s="2" t="str">
        <f aca="false">IF(OR(4キー同時!$B$227="",4キー同時!$G$227="",4キー同時!$L$227=""),"",IF(4キー同時!N229="","",SUBSTITUTE(SUBSTITUTE(4キー同時!N229," ",""),"　","")))</f>
        <v/>
      </c>
      <c r="H3826" s="2" t="str">
        <f aca="false">IF($G3826="","",4キー同時!$B$227)</f>
        <v/>
      </c>
      <c r="I3826" s="2" t="str">
        <f aca="false">IF($G3826="","",4キー同時!$G$227)</f>
        <v/>
      </c>
      <c r="J3826" s="2" t="str">
        <f aca="false">IF($G3826="","",4キー同時!$L$227)</f>
        <v/>
      </c>
      <c r="K3826" s="2" t="str">
        <f aca="false">IF($G3826="","","3")</f>
        <v/>
      </c>
      <c r="L3826" s="2" t="str">
        <f aca="false">IF($G3826="","","同時")</f>
        <v/>
      </c>
      <c r="M3826" s="2" t="str">
        <f aca="false">IF($G3826="","",IF(ISNA(MATCH($G3826,個別指定!$A:$A,0)),"行なし",""))</f>
        <v/>
      </c>
      <c r="N3826" s="2" t="str">
        <f aca="false">IF($G3826="","",IF(COUNTIF($G$2:$G$4460,$G3826)&gt;1,"重複",""))</f>
        <v/>
      </c>
    </row>
    <row r="3827" customFormat="false" ht="16.5" hidden="false" customHeight="true" outlineLevel="0" collapsed="false">
      <c r="A3827" s="2" t="s">
        <v>447</v>
      </c>
      <c r="B3827" s="2" t="s">
        <v>465</v>
      </c>
      <c r="C3827" s="2" t="s">
        <v>3</v>
      </c>
      <c r="D3827" s="2" t="str">
        <f aca="false">IF(4キー同時!$B$227="","",4キー同時!$B$227)</f>
        <v/>
      </c>
      <c r="E3827" s="2" t="str">
        <f aca="false">IF(4キー同時!$G$227="","",4キー同時!$G$227)</f>
        <v/>
      </c>
      <c r="F3827" s="2" t="str">
        <f aca="false">IF(4キー同時!$L$227="","",4キー同時!$L$227)</f>
        <v/>
      </c>
      <c r="G3827" s="2" t="str">
        <f aca="false">IF(OR(4キー同時!$B$227="",4キー同時!$G$227="",4キー同時!$L$227=""),"",IF(4キー同時!R229="","",SUBSTITUTE(SUBSTITUTE(4キー同時!R229," ",""),"　","")))</f>
        <v/>
      </c>
      <c r="H3827" s="2" t="str">
        <f aca="false">IF($G3827="","",4キー同時!$B$227)</f>
        <v/>
      </c>
      <c r="I3827" s="2" t="str">
        <f aca="false">IF($G3827="","",4キー同時!$G$227)</f>
        <v/>
      </c>
      <c r="J3827" s="2" t="str">
        <f aca="false">IF($G3827="","",4キー同時!$L$227)</f>
        <v/>
      </c>
      <c r="K3827" s="2" t="str">
        <f aca="false">IF($G3827="","","4")</f>
        <v/>
      </c>
      <c r="L3827" s="2" t="str">
        <f aca="false">IF($G3827="","","同時")</f>
        <v/>
      </c>
      <c r="M3827" s="2" t="str">
        <f aca="false">IF($G3827="","",IF(ISNA(MATCH($G3827,個別指定!$A:$A,0)),"行なし",""))</f>
        <v/>
      </c>
      <c r="N3827" s="2" t="str">
        <f aca="false">IF($G3827="","",IF(COUNTIF($G$2:$G$4460,$G3827)&gt;1,"重複",""))</f>
        <v/>
      </c>
    </row>
    <row r="3828" customFormat="false" ht="16.5" hidden="false" customHeight="true" outlineLevel="0" collapsed="false">
      <c r="A3828" s="2" t="s">
        <v>447</v>
      </c>
      <c r="B3828" s="2" t="s">
        <v>465</v>
      </c>
      <c r="C3828" s="2" t="s">
        <v>4</v>
      </c>
      <c r="D3828" s="2" t="str">
        <f aca="false">IF(4キー同時!$B$227="","",4キー同時!$B$227)</f>
        <v/>
      </c>
      <c r="E3828" s="2" t="str">
        <f aca="false">IF(4キー同時!$G$227="","",4キー同時!$G$227)</f>
        <v/>
      </c>
      <c r="F3828" s="2" t="str">
        <f aca="false">IF(4キー同時!$L$227="","",4キー同時!$L$227)</f>
        <v/>
      </c>
      <c r="G3828" s="2" t="str">
        <f aca="false">IF(OR(4キー同時!$B$227="",4キー同時!$G$227="",4キー同時!$L$227=""),"",IF(4キー同時!V229="","",SUBSTITUTE(SUBSTITUTE(4キー同時!V229," ",""),"　","")))</f>
        <v/>
      </c>
      <c r="H3828" s="2" t="str">
        <f aca="false">IF($G3828="","",4キー同時!$B$227)</f>
        <v/>
      </c>
      <c r="I3828" s="2" t="str">
        <f aca="false">IF($G3828="","",4キー同時!$G$227)</f>
        <v/>
      </c>
      <c r="J3828" s="2" t="str">
        <f aca="false">IF($G3828="","",4キー同時!$L$227)</f>
        <v/>
      </c>
      <c r="K3828" s="2" t="str">
        <f aca="false">IF($G3828="","","5")</f>
        <v/>
      </c>
      <c r="L3828" s="2" t="str">
        <f aca="false">IF($G3828="","","同時")</f>
        <v/>
      </c>
      <c r="M3828" s="2" t="str">
        <f aca="false">IF($G3828="","",IF(ISNA(MATCH($G3828,個別指定!$A:$A,0)),"行なし",""))</f>
        <v/>
      </c>
      <c r="N3828" s="2" t="str">
        <f aca="false">IF($G3828="","",IF(COUNTIF($G$2:$G$4460,$G3828)&gt;1,"重複",""))</f>
        <v/>
      </c>
    </row>
    <row r="3829" customFormat="false" ht="16.5" hidden="false" customHeight="true" outlineLevel="0" collapsed="false">
      <c r="A3829" s="2" t="s">
        <v>447</v>
      </c>
      <c r="B3829" s="2" t="s">
        <v>465</v>
      </c>
      <c r="C3829" s="2" t="s">
        <v>5</v>
      </c>
      <c r="D3829" s="2" t="str">
        <f aca="false">IF(4キー同時!$B$227="","",4キー同時!$B$227)</f>
        <v/>
      </c>
      <c r="E3829" s="2" t="str">
        <f aca="false">IF(4キー同時!$G$227="","",4キー同時!$G$227)</f>
        <v/>
      </c>
      <c r="F3829" s="2" t="str">
        <f aca="false">IF(4キー同時!$L$227="","",4キー同時!$L$227)</f>
        <v/>
      </c>
      <c r="G3829" s="2" t="str">
        <f aca="false">IF(OR(4キー同時!$B$227="",4キー同時!$G$227="",4キー同時!$L$227=""),"",IF(4キー同時!Z229="","",SUBSTITUTE(SUBSTITUTE(4キー同時!Z229," ",""),"　","")))</f>
        <v/>
      </c>
      <c r="H3829" s="2" t="str">
        <f aca="false">IF($G3829="","",4キー同時!$B$227)</f>
        <v/>
      </c>
      <c r="I3829" s="2" t="str">
        <f aca="false">IF($G3829="","",4キー同時!$G$227)</f>
        <v/>
      </c>
      <c r="J3829" s="2" t="str">
        <f aca="false">IF($G3829="","",4キー同時!$L$227)</f>
        <v/>
      </c>
      <c r="K3829" s="2" t="str">
        <f aca="false">IF($G3829="","","6")</f>
        <v/>
      </c>
      <c r="L3829" s="2" t="str">
        <f aca="false">IF($G3829="","","同時")</f>
        <v/>
      </c>
      <c r="M3829" s="2" t="str">
        <f aca="false">IF($G3829="","",IF(ISNA(MATCH($G3829,個別指定!$A:$A,0)),"行なし",""))</f>
        <v/>
      </c>
      <c r="N3829" s="2" t="str">
        <f aca="false">IF($G3829="","",IF(COUNTIF($G$2:$G$4460,$G3829)&gt;1,"重複",""))</f>
        <v/>
      </c>
    </row>
    <row r="3830" customFormat="false" ht="16.5" hidden="false" customHeight="true" outlineLevel="0" collapsed="false">
      <c r="A3830" s="2" t="s">
        <v>447</v>
      </c>
      <c r="B3830" s="2" t="s">
        <v>465</v>
      </c>
      <c r="C3830" s="2" t="s">
        <v>6</v>
      </c>
      <c r="D3830" s="2" t="str">
        <f aca="false">IF(4キー同時!$B$227="","",4キー同時!$B$227)</f>
        <v/>
      </c>
      <c r="E3830" s="2" t="str">
        <f aca="false">IF(4キー同時!$G$227="","",4キー同時!$G$227)</f>
        <v/>
      </c>
      <c r="F3830" s="2" t="str">
        <f aca="false">IF(4キー同時!$L$227="","",4キー同時!$L$227)</f>
        <v/>
      </c>
      <c r="G3830" s="2" t="str">
        <f aca="false">IF(OR(4キー同時!$B$227="",4キー同時!$G$227="",4キー同時!$L$227=""),"",IF(4キー同時!AD229="","",SUBSTITUTE(SUBSTITUTE(4キー同時!AD229," ",""),"　","")))</f>
        <v/>
      </c>
      <c r="H3830" s="2" t="str">
        <f aca="false">IF($G3830="","",4キー同時!$B$227)</f>
        <v/>
      </c>
      <c r="I3830" s="2" t="str">
        <f aca="false">IF($G3830="","",4キー同時!$G$227)</f>
        <v/>
      </c>
      <c r="J3830" s="2" t="str">
        <f aca="false">IF($G3830="","",4キー同時!$L$227)</f>
        <v/>
      </c>
      <c r="K3830" s="2" t="str">
        <f aca="false">IF($G3830="","","7")</f>
        <v/>
      </c>
      <c r="L3830" s="2" t="str">
        <f aca="false">IF($G3830="","","同時")</f>
        <v/>
      </c>
      <c r="M3830" s="2" t="str">
        <f aca="false">IF($G3830="","",IF(ISNA(MATCH($G3830,個別指定!$A:$A,0)),"行なし",""))</f>
        <v/>
      </c>
      <c r="N3830" s="2" t="str">
        <f aca="false">IF($G3830="","",IF(COUNTIF($G$2:$G$4460,$G3830)&gt;1,"重複",""))</f>
        <v/>
      </c>
    </row>
    <row r="3831" customFormat="false" ht="16.5" hidden="false" customHeight="true" outlineLevel="0" collapsed="false">
      <c r="A3831" s="2" t="s">
        <v>447</v>
      </c>
      <c r="B3831" s="2" t="s">
        <v>465</v>
      </c>
      <c r="C3831" s="2" t="s">
        <v>7</v>
      </c>
      <c r="D3831" s="2" t="str">
        <f aca="false">IF(4キー同時!$B$227="","",4キー同時!$B$227)</f>
        <v/>
      </c>
      <c r="E3831" s="2" t="str">
        <f aca="false">IF(4キー同時!$G$227="","",4キー同時!$G$227)</f>
        <v/>
      </c>
      <c r="F3831" s="2" t="str">
        <f aca="false">IF(4キー同時!$L$227="","",4キー同時!$L$227)</f>
        <v/>
      </c>
      <c r="G3831" s="2" t="str">
        <f aca="false">IF(OR(4キー同時!$B$227="",4キー同時!$G$227="",4キー同時!$L$227=""),"",IF(4キー同時!AH229="","",SUBSTITUTE(SUBSTITUTE(4キー同時!AH229," ",""),"　","")))</f>
        <v/>
      </c>
      <c r="H3831" s="2" t="str">
        <f aca="false">IF($G3831="","",4キー同時!$B$227)</f>
        <v/>
      </c>
      <c r="I3831" s="2" t="str">
        <f aca="false">IF($G3831="","",4キー同時!$G$227)</f>
        <v/>
      </c>
      <c r="J3831" s="2" t="str">
        <f aca="false">IF($G3831="","",4キー同時!$L$227)</f>
        <v/>
      </c>
      <c r="K3831" s="2" t="str">
        <f aca="false">IF($G3831="","","8")</f>
        <v/>
      </c>
      <c r="L3831" s="2" t="str">
        <f aca="false">IF($G3831="","","同時")</f>
        <v/>
      </c>
      <c r="M3831" s="2" t="str">
        <f aca="false">IF($G3831="","",IF(ISNA(MATCH($G3831,個別指定!$A:$A,0)),"行なし",""))</f>
        <v/>
      </c>
      <c r="N3831" s="2" t="str">
        <f aca="false">IF($G3831="","",IF(COUNTIF($G$2:$G$4460,$G3831)&gt;1,"重複",""))</f>
        <v/>
      </c>
    </row>
    <row r="3832" customFormat="false" ht="16.5" hidden="false" customHeight="true" outlineLevel="0" collapsed="false">
      <c r="A3832" s="2" t="s">
        <v>447</v>
      </c>
      <c r="B3832" s="2" t="s">
        <v>465</v>
      </c>
      <c r="C3832" s="2" t="s">
        <v>8</v>
      </c>
      <c r="D3832" s="2" t="str">
        <f aca="false">IF(4キー同時!$B$227="","",4キー同時!$B$227)</f>
        <v/>
      </c>
      <c r="E3832" s="2" t="str">
        <f aca="false">IF(4キー同時!$G$227="","",4キー同時!$G$227)</f>
        <v/>
      </c>
      <c r="F3832" s="2" t="str">
        <f aca="false">IF(4キー同時!$L$227="","",4キー同時!$L$227)</f>
        <v/>
      </c>
      <c r="G3832" s="2" t="str">
        <f aca="false">IF(OR(4キー同時!$B$227="",4キー同時!$G$227="",4キー同時!$L$227=""),"",IF(4キー同時!AL229="","",SUBSTITUTE(SUBSTITUTE(4キー同時!AL229," ",""),"　","")))</f>
        <v/>
      </c>
      <c r="H3832" s="2" t="str">
        <f aca="false">IF($G3832="","",4キー同時!$B$227)</f>
        <v/>
      </c>
      <c r="I3832" s="2" t="str">
        <f aca="false">IF($G3832="","",4キー同時!$G$227)</f>
        <v/>
      </c>
      <c r="J3832" s="2" t="str">
        <f aca="false">IF($G3832="","",4キー同時!$L$227)</f>
        <v/>
      </c>
      <c r="K3832" s="2" t="str">
        <f aca="false">IF($G3832="","","9")</f>
        <v/>
      </c>
      <c r="L3832" s="2" t="str">
        <f aca="false">IF($G3832="","","同時")</f>
        <v/>
      </c>
      <c r="M3832" s="2" t="str">
        <f aca="false">IF($G3832="","",IF(ISNA(MATCH($G3832,個別指定!$A:$A,0)),"行なし",""))</f>
        <v/>
      </c>
      <c r="N3832" s="2" t="str">
        <f aca="false">IF($G3832="","",IF(COUNTIF($G$2:$G$4460,$G3832)&gt;1,"重複",""))</f>
        <v/>
      </c>
    </row>
    <row r="3833" customFormat="false" ht="16.5" hidden="false" customHeight="true" outlineLevel="0" collapsed="false">
      <c r="A3833" s="2" t="s">
        <v>447</v>
      </c>
      <c r="B3833" s="2" t="s">
        <v>465</v>
      </c>
      <c r="C3833" s="2" t="s">
        <v>9</v>
      </c>
      <c r="D3833" s="2" t="str">
        <f aca="false">IF(4キー同時!$B$227="","",4キー同時!$B$227)</f>
        <v/>
      </c>
      <c r="E3833" s="2" t="str">
        <f aca="false">IF(4キー同時!$G$227="","",4キー同時!$G$227)</f>
        <v/>
      </c>
      <c r="F3833" s="2" t="str">
        <f aca="false">IF(4キー同時!$L$227="","",4キー同時!$L$227)</f>
        <v/>
      </c>
      <c r="G3833" s="2" t="str">
        <f aca="false">IF(OR(4キー同時!$B$227="",4キー同時!$G$227="",4キー同時!$L$227=""),"",IF(4キー同時!AP229="","",SUBSTITUTE(SUBSTITUTE(4キー同時!AP229," ",""),"　","")))</f>
        <v/>
      </c>
      <c r="H3833" s="2" t="str">
        <f aca="false">IF($G3833="","",4キー同時!$B$227)</f>
        <v/>
      </c>
      <c r="I3833" s="2" t="str">
        <f aca="false">IF($G3833="","",4キー同時!$G$227)</f>
        <v/>
      </c>
      <c r="J3833" s="2" t="str">
        <f aca="false">IF($G3833="","",4キー同時!$L$227)</f>
        <v/>
      </c>
      <c r="K3833" s="2" t="str">
        <f aca="false">IF($G3833="","","0")</f>
        <v/>
      </c>
      <c r="L3833" s="2" t="str">
        <f aca="false">IF($G3833="","","同時")</f>
        <v/>
      </c>
      <c r="M3833" s="2" t="str">
        <f aca="false">IF($G3833="","",IF(ISNA(MATCH($G3833,個別指定!$A:$A,0)),"行なし",""))</f>
        <v/>
      </c>
      <c r="N3833" s="2" t="str">
        <f aca="false">IF($G3833="","",IF(COUNTIF($G$2:$G$4460,$G3833)&gt;1,"重複",""))</f>
        <v/>
      </c>
    </row>
    <row r="3834" customFormat="false" ht="16.5" hidden="false" customHeight="true" outlineLevel="0" collapsed="false">
      <c r="A3834" s="2" t="s">
        <v>447</v>
      </c>
      <c r="B3834" s="2" t="s">
        <v>465</v>
      </c>
      <c r="C3834" s="2" t="s">
        <v>10</v>
      </c>
      <c r="D3834" s="2" t="str">
        <f aca="false">IF(4キー同時!$B$227="","",4キー同時!$B$227)</f>
        <v/>
      </c>
      <c r="E3834" s="2" t="str">
        <f aca="false">IF(4キー同時!$G$227="","",4キー同時!$G$227)</f>
        <v/>
      </c>
      <c r="F3834" s="2" t="str">
        <f aca="false">IF(4キー同時!$L$227="","",4キー同時!$L$227)</f>
        <v/>
      </c>
      <c r="G3834" s="2" t="str">
        <f aca="false">IF(OR(4キー同時!$B$227="",4キー同時!$G$227="",4キー同時!$L$227=""),"",IF(4キー同時!AT229="","",SUBSTITUTE(SUBSTITUTE(4キー同時!AT229," ",""),"　","")))</f>
        <v/>
      </c>
      <c r="H3834" s="2" t="str">
        <f aca="false">IF($G3834="","",4キー同時!$B$227)</f>
        <v/>
      </c>
      <c r="I3834" s="2" t="str">
        <f aca="false">IF($G3834="","",4キー同時!$G$227)</f>
        <v/>
      </c>
      <c r="J3834" s="2" t="str">
        <f aca="false">IF($G3834="","",4キー同時!$L$227)</f>
        <v/>
      </c>
      <c r="K3834" s="2" t="str">
        <f aca="false">IF($G3834="","","-")</f>
        <v/>
      </c>
      <c r="L3834" s="2" t="str">
        <f aca="false">IF($G3834="","","同時")</f>
        <v/>
      </c>
      <c r="M3834" s="2" t="str">
        <f aca="false">IF($G3834="","",IF(ISNA(MATCH($G3834,個別指定!$A:$A,0)),"行なし",""))</f>
        <v/>
      </c>
      <c r="N3834" s="2" t="str">
        <f aca="false">IF($G3834="","",IF(COUNTIF($G$2:$G$4460,$G3834)&gt;1,"重複",""))</f>
        <v/>
      </c>
    </row>
    <row r="3835" customFormat="false" ht="16.5" hidden="false" customHeight="true" outlineLevel="0" collapsed="false">
      <c r="A3835" s="2" t="s">
        <v>447</v>
      </c>
      <c r="B3835" s="2" t="s">
        <v>465</v>
      </c>
      <c r="C3835" s="2" t="s">
        <v>11</v>
      </c>
      <c r="D3835" s="2" t="str">
        <f aca="false">IF(4キー同時!$B$227="","",4キー同時!$B$227)</f>
        <v/>
      </c>
      <c r="E3835" s="2" t="str">
        <f aca="false">IF(4キー同時!$G$227="","",4キー同時!$G$227)</f>
        <v/>
      </c>
      <c r="F3835" s="2" t="str">
        <f aca="false">IF(4キー同時!$L$227="","",4キー同時!$L$227)</f>
        <v/>
      </c>
      <c r="G3835" s="2" t="str">
        <f aca="false">IF(OR(4キー同時!$B$227="",4キー同時!$G$227="",4キー同時!$L$227=""),"",IF(4キー同時!AX229="","",SUBSTITUTE(SUBSTITUTE(4キー同時!AX229," ",""),"　","")))</f>
        <v/>
      </c>
      <c r="H3835" s="2" t="str">
        <f aca="false">IF($G3835="","",4キー同時!$B$227)</f>
        <v/>
      </c>
      <c r="I3835" s="2" t="str">
        <f aca="false">IF($G3835="","",4キー同時!$G$227)</f>
        <v/>
      </c>
      <c r="J3835" s="2" t="str">
        <f aca="false">IF($G3835="","",4キー同時!$L$227)</f>
        <v/>
      </c>
      <c r="K3835" s="2" t="str">
        <f aca="false">IF($G3835="","","=")</f>
        <v/>
      </c>
      <c r="L3835" s="2" t="str">
        <f aca="false">IF($G3835="","","同時")</f>
        <v/>
      </c>
      <c r="M3835" s="2" t="str">
        <f aca="false">IF($G3835="","",IF(ISNA(MATCH($G3835,個別指定!$A:$A,0)),"行なし",""))</f>
        <v/>
      </c>
      <c r="N3835" s="2" t="str">
        <f aca="false">IF($G3835="","",IF(COUNTIF($G$2:$G$4460,$G3835)&gt;1,"重複",""))</f>
        <v/>
      </c>
    </row>
    <row r="3836" customFormat="false" ht="16.5" hidden="false" customHeight="true" outlineLevel="0" collapsed="false">
      <c r="A3836" s="2" t="s">
        <v>447</v>
      </c>
      <c r="B3836" s="2" t="s">
        <v>465</v>
      </c>
      <c r="C3836" s="2" t="s">
        <v>12</v>
      </c>
      <c r="D3836" s="2" t="str">
        <f aca="false">IF(4キー同時!$B$227="","",4キー同時!$B$227)</f>
        <v/>
      </c>
      <c r="E3836" s="2" t="str">
        <f aca="false">IF(4キー同時!$G$227="","",4キー同時!$G$227)</f>
        <v/>
      </c>
      <c r="F3836" s="2" t="str">
        <f aca="false">IF(4キー同時!$L$227="","",4キー同時!$L$227)</f>
        <v/>
      </c>
      <c r="G3836" s="2" t="str">
        <f aca="false">IF(OR(4キー同時!$B$227="",4キー同時!$G$227="",4キー同時!$L$227=""),"",IF(4キー同時!H231="","",SUBSTITUTE(SUBSTITUTE(4キー同時!H231," ",""),"　","")))</f>
        <v/>
      </c>
      <c r="H3836" s="2" t="str">
        <f aca="false">IF($G3836="","",4キー同時!$B$227)</f>
        <v/>
      </c>
      <c r="I3836" s="2" t="str">
        <f aca="false">IF($G3836="","",4キー同時!$G$227)</f>
        <v/>
      </c>
      <c r="J3836" s="2" t="str">
        <f aca="false">IF($G3836="","",4キー同時!$L$227)</f>
        <v/>
      </c>
      <c r="K3836" s="2" t="str">
        <f aca="false">IF($G3836="","","q")</f>
        <v/>
      </c>
      <c r="L3836" s="2" t="str">
        <f aca="false">IF($G3836="","","同時")</f>
        <v/>
      </c>
      <c r="M3836" s="2" t="str">
        <f aca="false">IF($G3836="","",IF(ISNA(MATCH($G3836,個別指定!$A:$A,0)),"行なし",""))</f>
        <v/>
      </c>
      <c r="N3836" s="2" t="str">
        <f aca="false">IF($G3836="","",IF(COUNTIF($G$2:$G$4460,$G3836)&gt;1,"重複",""))</f>
        <v/>
      </c>
    </row>
    <row r="3837" customFormat="false" ht="16.5" hidden="false" customHeight="true" outlineLevel="0" collapsed="false">
      <c r="A3837" s="2" t="s">
        <v>447</v>
      </c>
      <c r="B3837" s="2" t="s">
        <v>465</v>
      </c>
      <c r="C3837" s="2" t="s">
        <v>13</v>
      </c>
      <c r="D3837" s="2" t="str">
        <f aca="false">IF(4キー同時!$B$227="","",4キー同時!$B$227)</f>
        <v/>
      </c>
      <c r="E3837" s="2" t="str">
        <f aca="false">IF(4キー同時!$G$227="","",4キー同時!$G$227)</f>
        <v/>
      </c>
      <c r="F3837" s="2" t="str">
        <f aca="false">IF(4キー同時!$L$227="","",4キー同時!$L$227)</f>
        <v/>
      </c>
      <c r="G3837" s="2" t="str">
        <f aca="false">IF(OR(4キー同時!$B$227="",4キー同時!$G$227="",4キー同時!$L$227=""),"",IF(4キー同時!L231="","",SUBSTITUTE(SUBSTITUTE(4キー同時!L231," ",""),"　","")))</f>
        <v/>
      </c>
      <c r="H3837" s="2" t="str">
        <f aca="false">IF($G3837="","",4キー同時!$B$227)</f>
        <v/>
      </c>
      <c r="I3837" s="2" t="str">
        <f aca="false">IF($G3837="","",4キー同時!$G$227)</f>
        <v/>
      </c>
      <c r="J3837" s="2" t="str">
        <f aca="false">IF($G3837="","",4キー同時!$L$227)</f>
        <v/>
      </c>
      <c r="K3837" s="2" t="str">
        <f aca="false">IF($G3837="","","w")</f>
        <v/>
      </c>
      <c r="L3837" s="2" t="str">
        <f aca="false">IF($G3837="","","同時")</f>
        <v/>
      </c>
      <c r="M3837" s="2" t="str">
        <f aca="false">IF($G3837="","",IF(ISNA(MATCH($G3837,個別指定!$A:$A,0)),"行なし",""))</f>
        <v/>
      </c>
      <c r="N3837" s="2" t="str">
        <f aca="false">IF($G3837="","",IF(COUNTIF($G$2:$G$4460,$G3837)&gt;1,"重複",""))</f>
        <v/>
      </c>
    </row>
    <row r="3838" customFormat="false" ht="16.5" hidden="false" customHeight="true" outlineLevel="0" collapsed="false">
      <c r="A3838" s="2" t="s">
        <v>447</v>
      </c>
      <c r="B3838" s="2" t="s">
        <v>465</v>
      </c>
      <c r="C3838" s="2" t="s">
        <v>14</v>
      </c>
      <c r="D3838" s="2" t="str">
        <f aca="false">IF(4キー同時!$B$227="","",4キー同時!$B$227)</f>
        <v/>
      </c>
      <c r="E3838" s="2" t="str">
        <f aca="false">IF(4キー同時!$G$227="","",4キー同時!$G$227)</f>
        <v/>
      </c>
      <c r="F3838" s="2" t="str">
        <f aca="false">IF(4キー同時!$L$227="","",4キー同時!$L$227)</f>
        <v/>
      </c>
      <c r="G3838" s="2" t="str">
        <f aca="false">IF(OR(4キー同時!$B$227="",4キー同時!$G$227="",4キー同時!$L$227=""),"",IF(4キー同時!P231="","",SUBSTITUTE(SUBSTITUTE(4キー同時!P231," ",""),"　","")))</f>
        <v/>
      </c>
      <c r="H3838" s="2" t="str">
        <f aca="false">IF($G3838="","",4キー同時!$B$227)</f>
        <v/>
      </c>
      <c r="I3838" s="2" t="str">
        <f aca="false">IF($G3838="","",4キー同時!$G$227)</f>
        <v/>
      </c>
      <c r="J3838" s="2" t="str">
        <f aca="false">IF($G3838="","",4キー同時!$L$227)</f>
        <v/>
      </c>
      <c r="K3838" s="2" t="str">
        <f aca="false">IF($G3838="","","e")</f>
        <v/>
      </c>
      <c r="L3838" s="2" t="str">
        <f aca="false">IF($G3838="","","同時")</f>
        <v/>
      </c>
      <c r="M3838" s="2" t="str">
        <f aca="false">IF($G3838="","",IF(ISNA(MATCH($G3838,個別指定!$A:$A,0)),"行なし",""))</f>
        <v/>
      </c>
      <c r="N3838" s="2" t="str">
        <f aca="false">IF($G3838="","",IF(COUNTIF($G$2:$G$4460,$G3838)&gt;1,"重複",""))</f>
        <v/>
      </c>
    </row>
    <row r="3839" customFormat="false" ht="16.5" hidden="false" customHeight="true" outlineLevel="0" collapsed="false">
      <c r="A3839" s="2" t="s">
        <v>447</v>
      </c>
      <c r="B3839" s="2" t="s">
        <v>465</v>
      </c>
      <c r="C3839" s="2" t="s">
        <v>15</v>
      </c>
      <c r="D3839" s="2" t="str">
        <f aca="false">IF(4キー同時!$B$227="","",4キー同時!$B$227)</f>
        <v/>
      </c>
      <c r="E3839" s="2" t="str">
        <f aca="false">IF(4キー同時!$G$227="","",4キー同時!$G$227)</f>
        <v/>
      </c>
      <c r="F3839" s="2" t="str">
        <f aca="false">IF(4キー同時!$L$227="","",4キー同時!$L$227)</f>
        <v/>
      </c>
      <c r="G3839" s="2" t="str">
        <f aca="false">IF(OR(4キー同時!$B$227="",4キー同時!$G$227="",4キー同時!$L$227=""),"",IF(4キー同時!T231="","",SUBSTITUTE(SUBSTITUTE(4キー同時!T231," ",""),"　","")))</f>
        <v/>
      </c>
      <c r="H3839" s="2" t="str">
        <f aca="false">IF($G3839="","",4キー同時!$B$227)</f>
        <v/>
      </c>
      <c r="I3839" s="2" t="str">
        <f aca="false">IF($G3839="","",4キー同時!$G$227)</f>
        <v/>
      </c>
      <c r="J3839" s="2" t="str">
        <f aca="false">IF($G3839="","",4キー同時!$L$227)</f>
        <v/>
      </c>
      <c r="K3839" s="2" t="str">
        <f aca="false">IF($G3839="","","r")</f>
        <v/>
      </c>
      <c r="L3839" s="2" t="str">
        <f aca="false">IF($G3839="","","同時")</f>
        <v/>
      </c>
      <c r="M3839" s="2" t="str">
        <f aca="false">IF($G3839="","",IF(ISNA(MATCH($G3839,個別指定!$A:$A,0)),"行なし",""))</f>
        <v/>
      </c>
      <c r="N3839" s="2" t="str">
        <f aca="false">IF($G3839="","",IF(COUNTIF($G$2:$G$4460,$G3839)&gt;1,"重複",""))</f>
        <v/>
      </c>
    </row>
    <row r="3840" customFormat="false" ht="16.5" hidden="false" customHeight="true" outlineLevel="0" collapsed="false">
      <c r="A3840" s="2" t="s">
        <v>447</v>
      </c>
      <c r="B3840" s="2" t="s">
        <v>465</v>
      </c>
      <c r="C3840" s="2" t="s">
        <v>16</v>
      </c>
      <c r="D3840" s="2" t="str">
        <f aca="false">IF(4キー同時!$B$227="","",4キー同時!$B$227)</f>
        <v/>
      </c>
      <c r="E3840" s="2" t="str">
        <f aca="false">IF(4キー同時!$G$227="","",4キー同時!$G$227)</f>
        <v/>
      </c>
      <c r="F3840" s="2" t="str">
        <f aca="false">IF(4キー同時!$L$227="","",4キー同時!$L$227)</f>
        <v/>
      </c>
      <c r="G3840" s="2" t="str">
        <f aca="false">IF(OR(4キー同時!$B$227="",4キー同時!$G$227="",4キー同時!$L$227=""),"",IF(4キー同時!X231="","",SUBSTITUTE(SUBSTITUTE(4キー同時!X231," ",""),"　","")))</f>
        <v/>
      </c>
      <c r="H3840" s="2" t="str">
        <f aca="false">IF($G3840="","",4キー同時!$B$227)</f>
        <v/>
      </c>
      <c r="I3840" s="2" t="str">
        <f aca="false">IF($G3840="","",4キー同時!$G$227)</f>
        <v/>
      </c>
      <c r="J3840" s="2" t="str">
        <f aca="false">IF($G3840="","",4キー同時!$L$227)</f>
        <v/>
      </c>
      <c r="K3840" s="2" t="str">
        <f aca="false">IF($G3840="","","t")</f>
        <v/>
      </c>
      <c r="L3840" s="2" t="str">
        <f aca="false">IF($G3840="","","同時")</f>
        <v/>
      </c>
      <c r="M3840" s="2" t="str">
        <f aca="false">IF($G3840="","",IF(ISNA(MATCH($G3840,個別指定!$A:$A,0)),"行なし",""))</f>
        <v/>
      </c>
      <c r="N3840" s="2" t="str">
        <f aca="false">IF($G3840="","",IF(COUNTIF($G$2:$G$4460,$G3840)&gt;1,"重複",""))</f>
        <v/>
      </c>
    </row>
    <row r="3841" customFormat="false" ht="16.5" hidden="false" customHeight="true" outlineLevel="0" collapsed="false">
      <c r="A3841" s="2" t="s">
        <v>447</v>
      </c>
      <c r="B3841" s="2" t="s">
        <v>465</v>
      </c>
      <c r="C3841" s="2" t="s">
        <v>17</v>
      </c>
      <c r="D3841" s="2" t="str">
        <f aca="false">IF(4キー同時!$B$227="","",4キー同時!$B$227)</f>
        <v/>
      </c>
      <c r="E3841" s="2" t="str">
        <f aca="false">IF(4キー同時!$G$227="","",4キー同時!$G$227)</f>
        <v/>
      </c>
      <c r="F3841" s="2" t="str">
        <f aca="false">IF(4キー同時!$L$227="","",4キー同時!$L$227)</f>
        <v/>
      </c>
      <c r="G3841" s="2" t="str">
        <f aca="false">IF(OR(4キー同時!$B$227="",4キー同時!$G$227="",4キー同時!$L$227=""),"",IF(4キー同時!AB231="","",SUBSTITUTE(SUBSTITUTE(4キー同時!AB231," ",""),"　","")))</f>
        <v/>
      </c>
      <c r="H3841" s="2" t="str">
        <f aca="false">IF($G3841="","",4キー同時!$B$227)</f>
        <v/>
      </c>
      <c r="I3841" s="2" t="str">
        <f aca="false">IF($G3841="","",4キー同時!$G$227)</f>
        <v/>
      </c>
      <c r="J3841" s="2" t="str">
        <f aca="false">IF($G3841="","",4キー同時!$L$227)</f>
        <v/>
      </c>
      <c r="K3841" s="2" t="str">
        <f aca="false">IF($G3841="","","y")</f>
        <v/>
      </c>
      <c r="L3841" s="2" t="str">
        <f aca="false">IF($G3841="","","同時")</f>
        <v/>
      </c>
      <c r="M3841" s="2" t="str">
        <f aca="false">IF($G3841="","",IF(ISNA(MATCH($G3841,個別指定!$A:$A,0)),"行なし",""))</f>
        <v/>
      </c>
      <c r="N3841" s="2" t="str">
        <f aca="false">IF($G3841="","",IF(COUNTIF($G$2:$G$4460,$G3841)&gt;1,"重複",""))</f>
        <v/>
      </c>
    </row>
    <row r="3842" customFormat="false" ht="16.5" hidden="false" customHeight="true" outlineLevel="0" collapsed="false">
      <c r="A3842" s="2" t="s">
        <v>447</v>
      </c>
      <c r="B3842" s="2" t="s">
        <v>465</v>
      </c>
      <c r="C3842" s="2" t="s">
        <v>18</v>
      </c>
      <c r="D3842" s="2" t="str">
        <f aca="false">IF(4キー同時!$B$227="","",4キー同時!$B$227)</f>
        <v/>
      </c>
      <c r="E3842" s="2" t="str">
        <f aca="false">IF(4キー同時!$G$227="","",4キー同時!$G$227)</f>
        <v/>
      </c>
      <c r="F3842" s="2" t="str">
        <f aca="false">IF(4キー同時!$L$227="","",4キー同時!$L$227)</f>
        <v/>
      </c>
      <c r="G3842" s="2" t="str">
        <f aca="false">IF(OR(4キー同時!$B$227="",4キー同時!$G$227="",4キー同時!$L$227=""),"",IF(4キー同時!AF231="","",SUBSTITUTE(SUBSTITUTE(4キー同時!AF231," ",""),"　","")))</f>
        <v/>
      </c>
      <c r="H3842" s="2" t="str">
        <f aca="false">IF($G3842="","",4キー同時!$B$227)</f>
        <v/>
      </c>
      <c r="I3842" s="2" t="str">
        <f aca="false">IF($G3842="","",4キー同時!$G$227)</f>
        <v/>
      </c>
      <c r="J3842" s="2" t="str">
        <f aca="false">IF($G3842="","",4キー同時!$L$227)</f>
        <v/>
      </c>
      <c r="K3842" s="2" t="str">
        <f aca="false">IF($G3842="","","u")</f>
        <v/>
      </c>
      <c r="L3842" s="2" t="str">
        <f aca="false">IF($G3842="","","同時")</f>
        <v/>
      </c>
      <c r="M3842" s="2" t="str">
        <f aca="false">IF($G3842="","",IF(ISNA(MATCH($G3842,個別指定!$A:$A,0)),"行なし",""))</f>
        <v/>
      </c>
      <c r="N3842" s="2" t="str">
        <f aca="false">IF($G3842="","",IF(COUNTIF($G$2:$G$4460,$G3842)&gt;1,"重複",""))</f>
        <v/>
      </c>
    </row>
    <row r="3843" customFormat="false" ht="16.5" hidden="false" customHeight="true" outlineLevel="0" collapsed="false">
      <c r="A3843" s="2" t="s">
        <v>447</v>
      </c>
      <c r="B3843" s="2" t="s">
        <v>465</v>
      </c>
      <c r="C3843" s="2" t="s">
        <v>19</v>
      </c>
      <c r="D3843" s="2" t="str">
        <f aca="false">IF(4キー同時!$B$227="","",4キー同時!$B$227)</f>
        <v/>
      </c>
      <c r="E3843" s="2" t="str">
        <f aca="false">IF(4キー同時!$G$227="","",4キー同時!$G$227)</f>
        <v/>
      </c>
      <c r="F3843" s="2" t="str">
        <f aca="false">IF(4キー同時!$L$227="","",4キー同時!$L$227)</f>
        <v/>
      </c>
      <c r="G3843" s="2" t="str">
        <f aca="false">IF(OR(4キー同時!$B$227="",4キー同時!$G$227="",4キー同時!$L$227=""),"",IF(4キー同時!AJ231="","",SUBSTITUTE(SUBSTITUTE(4キー同時!AJ231," ",""),"　","")))</f>
        <v/>
      </c>
      <c r="H3843" s="2" t="str">
        <f aca="false">IF($G3843="","",4キー同時!$B$227)</f>
        <v/>
      </c>
      <c r="I3843" s="2" t="str">
        <f aca="false">IF($G3843="","",4キー同時!$G$227)</f>
        <v/>
      </c>
      <c r="J3843" s="2" t="str">
        <f aca="false">IF($G3843="","",4キー同時!$L$227)</f>
        <v/>
      </c>
      <c r="K3843" s="2" t="str">
        <f aca="false">IF($G3843="","","i")</f>
        <v/>
      </c>
      <c r="L3843" s="2" t="str">
        <f aca="false">IF($G3843="","","同時")</f>
        <v/>
      </c>
      <c r="M3843" s="2" t="str">
        <f aca="false">IF($G3843="","",IF(ISNA(MATCH($G3843,個別指定!$A:$A,0)),"行なし",""))</f>
        <v/>
      </c>
      <c r="N3843" s="2" t="str">
        <f aca="false">IF($G3843="","",IF(COUNTIF($G$2:$G$4460,$G3843)&gt;1,"重複",""))</f>
        <v/>
      </c>
    </row>
    <row r="3844" customFormat="false" ht="16.5" hidden="false" customHeight="true" outlineLevel="0" collapsed="false">
      <c r="A3844" s="2" t="s">
        <v>447</v>
      </c>
      <c r="B3844" s="2" t="s">
        <v>465</v>
      </c>
      <c r="C3844" s="2" t="s">
        <v>20</v>
      </c>
      <c r="D3844" s="2" t="str">
        <f aca="false">IF(4キー同時!$B$227="","",4キー同時!$B$227)</f>
        <v/>
      </c>
      <c r="E3844" s="2" t="str">
        <f aca="false">IF(4キー同時!$G$227="","",4キー同時!$G$227)</f>
        <v/>
      </c>
      <c r="F3844" s="2" t="str">
        <f aca="false">IF(4キー同時!$L$227="","",4キー同時!$L$227)</f>
        <v/>
      </c>
      <c r="G3844" s="2" t="str">
        <f aca="false">IF(OR(4キー同時!$B$227="",4キー同時!$G$227="",4キー同時!$L$227=""),"",IF(4キー同時!AN231="","",SUBSTITUTE(SUBSTITUTE(4キー同時!AN231," ",""),"　","")))</f>
        <v/>
      </c>
      <c r="H3844" s="2" t="str">
        <f aca="false">IF($G3844="","",4キー同時!$B$227)</f>
        <v/>
      </c>
      <c r="I3844" s="2" t="str">
        <f aca="false">IF($G3844="","",4キー同時!$G$227)</f>
        <v/>
      </c>
      <c r="J3844" s="2" t="str">
        <f aca="false">IF($G3844="","",4キー同時!$L$227)</f>
        <v/>
      </c>
      <c r="K3844" s="2" t="str">
        <f aca="false">IF($G3844="","","o")</f>
        <v/>
      </c>
      <c r="L3844" s="2" t="str">
        <f aca="false">IF($G3844="","","同時")</f>
        <v/>
      </c>
      <c r="M3844" s="2" t="str">
        <f aca="false">IF($G3844="","",IF(ISNA(MATCH($G3844,個別指定!$A:$A,0)),"行なし",""))</f>
        <v/>
      </c>
      <c r="N3844" s="2" t="str">
        <f aca="false">IF($G3844="","",IF(COUNTIF($G$2:$G$4460,$G3844)&gt;1,"重複",""))</f>
        <v/>
      </c>
    </row>
    <row r="3845" customFormat="false" ht="16.5" hidden="false" customHeight="true" outlineLevel="0" collapsed="false">
      <c r="A3845" s="2" t="s">
        <v>447</v>
      </c>
      <c r="B3845" s="2" t="s">
        <v>465</v>
      </c>
      <c r="C3845" s="2" t="s">
        <v>21</v>
      </c>
      <c r="D3845" s="2" t="str">
        <f aca="false">IF(4キー同時!$B$227="","",4キー同時!$B$227)</f>
        <v/>
      </c>
      <c r="E3845" s="2" t="str">
        <f aca="false">IF(4キー同時!$G$227="","",4キー同時!$G$227)</f>
        <v/>
      </c>
      <c r="F3845" s="2" t="str">
        <f aca="false">IF(4キー同時!$L$227="","",4キー同時!$L$227)</f>
        <v/>
      </c>
      <c r="G3845" s="2" t="str">
        <f aca="false">IF(OR(4キー同時!$B$227="",4キー同時!$G$227="",4キー同時!$L$227=""),"",IF(4キー同時!AR231="","",SUBSTITUTE(SUBSTITUTE(4キー同時!AR231," ",""),"　","")))</f>
        <v/>
      </c>
      <c r="H3845" s="2" t="str">
        <f aca="false">IF($G3845="","",4キー同時!$B$227)</f>
        <v/>
      </c>
      <c r="I3845" s="2" t="str">
        <f aca="false">IF($G3845="","",4キー同時!$G$227)</f>
        <v/>
      </c>
      <c r="J3845" s="2" t="str">
        <f aca="false">IF($G3845="","",4キー同時!$L$227)</f>
        <v/>
      </c>
      <c r="K3845" s="2" t="str">
        <f aca="false">IF($G3845="","","p")</f>
        <v/>
      </c>
      <c r="L3845" s="2" t="str">
        <f aca="false">IF($G3845="","","同時")</f>
        <v/>
      </c>
      <c r="M3845" s="2" t="str">
        <f aca="false">IF($G3845="","",IF(ISNA(MATCH($G3845,個別指定!$A:$A,0)),"行なし",""))</f>
        <v/>
      </c>
      <c r="N3845" s="2" t="str">
        <f aca="false">IF($G3845="","",IF(COUNTIF($G$2:$G$4460,$G3845)&gt;1,"重複",""))</f>
        <v/>
      </c>
    </row>
    <row r="3846" customFormat="false" ht="16.5" hidden="false" customHeight="true" outlineLevel="0" collapsed="false">
      <c r="A3846" s="2" t="s">
        <v>447</v>
      </c>
      <c r="B3846" s="2" t="s">
        <v>465</v>
      </c>
      <c r="C3846" s="2" t="s">
        <v>22</v>
      </c>
      <c r="D3846" s="2" t="str">
        <f aca="false">IF(4キー同時!$B$227="","",4キー同時!$B$227)</f>
        <v/>
      </c>
      <c r="E3846" s="2" t="str">
        <f aca="false">IF(4キー同時!$G$227="","",4キー同時!$G$227)</f>
        <v/>
      </c>
      <c r="F3846" s="2" t="str">
        <f aca="false">IF(4キー同時!$L$227="","",4キー同時!$L$227)</f>
        <v/>
      </c>
      <c r="G3846" s="2" t="str">
        <f aca="false">IF(OR(4キー同時!$B$227="",4キー同時!$G$227="",4キー同時!$L$227=""),"",IF(4キー同時!AV231="","",SUBSTITUTE(SUBSTITUTE(4キー同時!AV231," ",""),"　","")))</f>
        <v/>
      </c>
      <c r="H3846" s="2" t="str">
        <f aca="false">IF($G3846="","",4キー同時!$B$227)</f>
        <v/>
      </c>
      <c r="I3846" s="2" t="str">
        <f aca="false">IF($G3846="","",4キー同時!$G$227)</f>
        <v/>
      </c>
      <c r="J3846" s="2" t="str">
        <f aca="false">IF($G3846="","",4キー同時!$L$227)</f>
        <v/>
      </c>
      <c r="K3846" s="2" t="str">
        <f aca="false">IF($G3846="","","[")</f>
        <v/>
      </c>
      <c r="L3846" s="2" t="str">
        <f aca="false">IF($G3846="","","同時")</f>
        <v/>
      </c>
      <c r="M3846" s="2" t="str">
        <f aca="false">IF($G3846="","",IF(ISNA(MATCH($G3846,個別指定!$A:$A,0)),"行なし",""))</f>
        <v/>
      </c>
      <c r="N3846" s="2" t="str">
        <f aca="false">IF($G3846="","",IF(COUNTIF($G$2:$G$4460,$G3846)&gt;1,"重複",""))</f>
        <v/>
      </c>
    </row>
    <row r="3847" customFormat="false" ht="16.5" hidden="false" customHeight="true" outlineLevel="0" collapsed="false">
      <c r="A3847" s="2" t="s">
        <v>447</v>
      </c>
      <c r="B3847" s="2" t="s">
        <v>465</v>
      </c>
      <c r="C3847" s="2" t="s">
        <v>23</v>
      </c>
      <c r="D3847" s="2" t="str">
        <f aca="false">IF(4キー同時!$B$227="","",4キー同時!$B$227)</f>
        <v/>
      </c>
      <c r="E3847" s="2" t="str">
        <f aca="false">IF(4キー同時!$G$227="","",4キー同時!$G$227)</f>
        <v/>
      </c>
      <c r="F3847" s="2" t="str">
        <f aca="false">IF(4キー同時!$L$227="","",4キー同時!$L$227)</f>
        <v/>
      </c>
      <c r="G3847" s="2" t="str">
        <f aca="false">IF(OR(4キー同時!$B$227="",4キー同時!$G$227="",4キー同時!$L$227=""),"",IF(4キー同時!AZ231="","",SUBSTITUTE(SUBSTITUTE(4キー同時!AZ231," ",""),"　","")))</f>
        <v/>
      </c>
      <c r="H3847" s="2" t="str">
        <f aca="false">IF($G3847="","",4キー同時!$B$227)</f>
        <v/>
      </c>
      <c r="I3847" s="2" t="str">
        <f aca="false">IF($G3847="","",4キー同時!$G$227)</f>
        <v/>
      </c>
      <c r="J3847" s="2" t="str">
        <f aca="false">IF($G3847="","",4キー同時!$L$227)</f>
        <v/>
      </c>
      <c r="K3847" s="2" t="str">
        <f aca="false">IF($G3847="","","]")</f>
        <v/>
      </c>
      <c r="L3847" s="2" t="str">
        <f aca="false">IF($G3847="","","同時")</f>
        <v/>
      </c>
      <c r="M3847" s="2" t="str">
        <f aca="false">IF($G3847="","",IF(ISNA(MATCH($G3847,個別指定!$A:$A,0)),"行なし",""))</f>
        <v/>
      </c>
      <c r="N3847" s="2" t="str">
        <f aca="false">IF($G3847="","",IF(COUNTIF($G$2:$G$4460,$G3847)&gt;1,"重複",""))</f>
        <v/>
      </c>
    </row>
    <row r="3848" customFormat="false" ht="16.5" hidden="false" customHeight="true" outlineLevel="0" collapsed="false">
      <c r="A3848" s="2" t="s">
        <v>447</v>
      </c>
      <c r="B3848" s="2" t="s">
        <v>465</v>
      </c>
      <c r="C3848" s="2" t="s">
        <v>24</v>
      </c>
      <c r="D3848" s="2" t="str">
        <f aca="false">IF(4キー同時!$B$227="","",4キー同時!$B$227)</f>
        <v/>
      </c>
      <c r="E3848" s="2" t="str">
        <f aca="false">IF(4キー同時!$G$227="","",4キー同時!$G$227)</f>
        <v/>
      </c>
      <c r="F3848" s="2" t="str">
        <f aca="false">IF(4キー同時!$L$227="","",4キー同時!$L$227)</f>
        <v/>
      </c>
      <c r="G3848" s="2" t="str">
        <f aca="false">IF(OR(4キー同時!$B$227="",4キー同時!$G$227="",4キー同時!$L$227=""),"",IF(4キー同時!I233="","",SUBSTITUTE(SUBSTITUTE(4キー同時!I233," ",""),"　","")))</f>
        <v/>
      </c>
      <c r="H3848" s="2" t="str">
        <f aca="false">IF($G3848="","",4キー同時!$B$227)</f>
        <v/>
      </c>
      <c r="I3848" s="2" t="str">
        <f aca="false">IF($G3848="","",4キー同時!$G$227)</f>
        <v/>
      </c>
      <c r="J3848" s="2" t="str">
        <f aca="false">IF($G3848="","",4キー同時!$L$227)</f>
        <v/>
      </c>
      <c r="K3848" s="2" t="str">
        <f aca="false">IF($G3848="","","a")</f>
        <v/>
      </c>
      <c r="L3848" s="2" t="str">
        <f aca="false">IF($G3848="","","同時")</f>
        <v/>
      </c>
      <c r="M3848" s="2" t="str">
        <f aca="false">IF($G3848="","",IF(ISNA(MATCH($G3848,個別指定!$A:$A,0)),"行なし",""))</f>
        <v/>
      </c>
      <c r="N3848" s="2" t="str">
        <f aca="false">IF($G3848="","",IF(COUNTIF($G$2:$G$4460,$G3848)&gt;1,"重複",""))</f>
        <v/>
      </c>
    </row>
    <row r="3849" customFormat="false" ht="16.5" hidden="false" customHeight="true" outlineLevel="0" collapsed="false">
      <c r="A3849" s="2" t="s">
        <v>447</v>
      </c>
      <c r="B3849" s="2" t="s">
        <v>465</v>
      </c>
      <c r="C3849" s="2" t="s">
        <v>25</v>
      </c>
      <c r="D3849" s="2" t="str">
        <f aca="false">IF(4キー同時!$B$227="","",4キー同時!$B$227)</f>
        <v/>
      </c>
      <c r="E3849" s="2" t="str">
        <f aca="false">IF(4キー同時!$G$227="","",4キー同時!$G$227)</f>
        <v/>
      </c>
      <c r="F3849" s="2" t="str">
        <f aca="false">IF(4キー同時!$L$227="","",4キー同時!$L$227)</f>
        <v/>
      </c>
      <c r="G3849" s="2" t="str">
        <f aca="false">IF(OR(4キー同時!$B$227="",4キー同時!$G$227="",4キー同時!$L$227=""),"",IF(4キー同時!M233="","",SUBSTITUTE(SUBSTITUTE(4キー同時!M233," ",""),"　","")))</f>
        <v/>
      </c>
      <c r="H3849" s="2" t="str">
        <f aca="false">IF($G3849="","",4キー同時!$B$227)</f>
        <v/>
      </c>
      <c r="I3849" s="2" t="str">
        <f aca="false">IF($G3849="","",4キー同時!$G$227)</f>
        <v/>
      </c>
      <c r="J3849" s="2" t="str">
        <f aca="false">IF($G3849="","",4キー同時!$L$227)</f>
        <v/>
      </c>
      <c r="K3849" s="2" t="str">
        <f aca="false">IF($G3849="","","s")</f>
        <v/>
      </c>
      <c r="L3849" s="2" t="str">
        <f aca="false">IF($G3849="","","同時")</f>
        <v/>
      </c>
      <c r="M3849" s="2" t="str">
        <f aca="false">IF($G3849="","",IF(ISNA(MATCH($G3849,個別指定!$A:$A,0)),"行なし",""))</f>
        <v/>
      </c>
      <c r="N3849" s="2" t="str">
        <f aca="false">IF($G3849="","",IF(COUNTIF($G$2:$G$4460,$G3849)&gt;1,"重複",""))</f>
        <v/>
      </c>
    </row>
    <row r="3850" customFormat="false" ht="16.5" hidden="false" customHeight="true" outlineLevel="0" collapsed="false">
      <c r="A3850" s="2" t="s">
        <v>447</v>
      </c>
      <c r="B3850" s="2" t="s">
        <v>465</v>
      </c>
      <c r="C3850" s="2" t="s">
        <v>26</v>
      </c>
      <c r="D3850" s="2" t="str">
        <f aca="false">IF(4キー同時!$B$227="","",4キー同時!$B$227)</f>
        <v/>
      </c>
      <c r="E3850" s="2" t="str">
        <f aca="false">IF(4キー同時!$G$227="","",4キー同時!$G$227)</f>
        <v/>
      </c>
      <c r="F3850" s="2" t="str">
        <f aca="false">IF(4キー同時!$L$227="","",4キー同時!$L$227)</f>
        <v/>
      </c>
      <c r="G3850" s="2" t="str">
        <f aca="false">IF(OR(4キー同時!$B$227="",4キー同時!$G$227="",4キー同時!$L$227=""),"",IF(4キー同時!Q233="","",SUBSTITUTE(SUBSTITUTE(4キー同時!Q233," ",""),"　","")))</f>
        <v/>
      </c>
      <c r="H3850" s="2" t="str">
        <f aca="false">IF($G3850="","",4キー同時!$B$227)</f>
        <v/>
      </c>
      <c r="I3850" s="2" t="str">
        <f aca="false">IF($G3850="","",4キー同時!$G$227)</f>
        <v/>
      </c>
      <c r="J3850" s="2" t="str">
        <f aca="false">IF($G3850="","",4キー同時!$L$227)</f>
        <v/>
      </c>
      <c r="K3850" s="2" t="str">
        <f aca="false">IF($G3850="","","d")</f>
        <v/>
      </c>
      <c r="L3850" s="2" t="str">
        <f aca="false">IF($G3850="","","同時")</f>
        <v/>
      </c>
      <c r="M3850" s="2" t="str">
        <f aca="false">IF($G3850="","",IF(ISNA(MATCH($G3850,個別指定!$A:$A,0)),"行なし",""))</f>
        <v/>
      </c>
      <c r="N3850" s="2" t="str">
        <f aca="false">IF($G3850="","",IF(COUNTIF($G$2:$G$4460,$G3850)&gt;1,"重複",""))</f>
        <v/>
      </c>
    </row>
    <row r="3851" customFormat="false" ht="16.5" hidden="false" customHeight="true" outlineLevel="0" collapsed="false">
      <c r="A3851" s="2" t="s">
        <v>447</v>
      </c>
      <c r="B3851" s="2" t="s">
        <v>465</v>
      </c>
      <c r="C3851" s="2" t="s">
        <v>27</v>
      </c>
      <c r="D3851" s="2" t="str">
        <f aca="false">IF(4キー同時!$B$227="","",4キー同時!$B$227)</f>
        <v/>
      </c>
      <c r="E3851" s="2" t="str">
        <f aca="false">IF(4キー同時!$G$227="","",4キー同時!$G$227)</f>
        <v/>
      </c>
      <c r="F3851" s="2" t="str">
        <f aca="false">IF(4キー同時!$L$227="","",4キー同時!$L$227)</f>
        <v/>
      </c>
      <c r="G3851" s="2" t="str">
        <f aca="false">IF(OR(4キー同時!$B$227="",4キー同時!$G$227="",4キー同時!$L$227=""),"",IF(4キー同時!U233="","",SUBSTITUTE(SUBSTITUTE(4キー同時!U233," ",""),"　","")))</f>
        <v/>
      </c>
      <c r="H3851" s="2" t="str">
        <f aca="false">IF($G3851="","",4キー同時!$B$227)</f>
        <v/>
      </c>
      <c r="I3851" s="2" t="str">
        <f aca="false">IF($G3851="","",4キー同時!$G$227)</f>
        <v/>
      </c>
      <c r="J3851" s="2" t="str">
        <f aca="false">IF($G3851="","",4キー同時!$L$227)</f>
        <v/>
      </c>
      <c r="K3851" s="2" t="str">
        <f aca="false">IF($G3851="","","f")</f>
        <v/>
      </c>
      <c r="L3851" s="2" t="str">
        <f aca="false">IF($G3851="","","同時")</f>
        <v/>
      </c>
      <c r="M3851" s="2" t="str">
        <f aca="false">IF($G3851="","",IF(ISNA(MATCH($G3851,個別指定!$A:$A,0)),"行なし",""))</f>
        <v/>
      </c>
      <c r="N3851" s="2" t="str">
        <f aca="false">IF($G3851="","",IF(COUNTIF($G$2:$G$4460,$G3851)&gt;1,"重複",""))</f>
        <v/>
      </c>
    </row>
    <row r="3852" customFormat="false" ht="16.5" hidden="false" customHeight="true" outlineLevel="0" collapsed="false">
      <c r="A3852" s="2" t="s">
        <v>447</v>
      </c>
      <c r="B3852" s="2" t="s">
        <v>465</v>
      </c>
      <c r="C3852" s="2" t="s">
        <v>28</v>
      </c>
      <c r="D3852" s="2" t="str">
        <f aca="false">IF(4キー同時!$B$227="","",4キー同時!$B$227)</f>
        <v/>
      </c>
      <c r="E3852" s="2" t="str">
        <f aca="false">IF(4キー同時!$G$227="","",4キー同時!$G$227)</f>
        <v/>
      </c>
      <c r="F3852" s="2" t="str">
        <f aca="false">IF(4キー同時!$L$227="","",4キー同時!$L$227)</f>
        <v/>
      </c>
      <c r="G3852" s="2" t="str">
        <f aca="false">IF(OR(4キー同時!$B$227="",4キー同時!$G$227="",4キー同時!$L$227=""),"",IF(4キー同時!Y233="","",SUBSTITUTE(SUBSTITUTE(4キー同時!Y233," ",""),"　","")))</f>
        <v/>
      </c>
      <c r="H3852" s="2" t="str">
        <f aca="false">IF($G3852="","",4キー同時!$B$227)</f>
        <v/>
      </c>
      <c r="I3852" s="2" t="str">
        <f aca="false">IF($G3852="","",4キー同時!$G$227)</f>
        <v/>
      </c>
      <c r="J3852" s="2" t="str">
        <f aca="false">IF($G3852="","",4キー同時!$L$227)</f>
        <v/>
      </c>
      <c r="K3852" s="2" t="str">
        <f aca="false">IF($G3852="","","g")</f>
        <v/>
      </c>
      <c r="L3852" s="2" t="str">
        <f aca="false">IF($G3852="","","同時")</f>
        <v/>
      </c>
      <c r="M3852" s="2" t="str">
        <f aca="false">IF($G3852="","",IF(ISNA(MATCH($G3852,個別指定!$A:$A,0)),"行なし",""))</f>
        <v/>
      </c>
      <c r="N3852" s="2" t="str">
        <f aca="false">IF($G3852="","",IF(COUNTIF($G$2:$G$4460,$G3852)&gt;1,"重複",""))</f>
        <v/>
      </c>
    </row>
    <row r="3853" customFormat="false" ht="16.5" hidden="false" customHeight="true" outlineLevel="0" collapsed="false">
      <c r="A3853" s="2" t="s">
        <v>447</v>
      </c>
      <c r="B3853" s="2" t="s">
        <v>465</v>
      </c>
      <c r="C3853" s="2" t="s">
        <v>29</v>
      </c>
      <c r="D3853" s="2" t="str">
        <f aca="false">IF(4キー同時!$B$227="","",4キー同時!$B$227)</f>
        <v/>
      </c>
      <c r="E3853" s="2" t="str">
        <f aca="false">IF(4キー同時!$G$227="","",4キー同時!$G$227)</f>
        <v/>
      </c>
      <c r="F3853" s="2" t="str">
        <f aca="false">IF(4キー同時!$L$227="","",4キー同時!$L$227)</f>
        <v/>
      </c>
      <c r="G3853" s="2" t="str">
        <f aca="false">IF(OR(4キー同時!$B$227="",4キー同時!$G$227="",4キー同時!$L$227=""),"",IF(4キー同時!AC233="","",SUBSTITUTE(SUBSTITUTE(4キー同時!AC233," ",""),"　","")))</f>
        <v/>
      </c>
      <c r="H3853" s="2" t="str">
        <f aca="false">IF($G3853="","",4キー同時!$B$227)</f>
        <v/>
      </c>
      <c r="I3853" s="2" t="str">
        <f aca="false">IF($G3853="","",4キー同時!$G$227)</f>
        <v/>
      </c>
      <c r="J3853" s="2" t="str">
        <f aca="false">IF($G3853="","",4キー同時!$L$227)</f>
        <v/>
      </c>
      <c r="K3853" s="2" t="str">
        <f aca="false">IF($G3853="","","h")</f>
        <v/>
      </c>
      <c r="L3853" s="2" t="str">
        <f aca="false">IF($G3853="","","同時")</f>
        <v/>
      </c>
      <c r="M3853" s="2" t="str">
        <f aca="false">IF($G3853="","",IF(ISNA(MATCH($G3853,個別指定!$A:$A,0)),"行なし",""))</f>
        <v/>
      </c>
      <c r="N3853" s="2" t="str">
        <f aca="false">IF($G3853="","",IF(COUNTIF($G$2:$G$4460,$G3853)&gt;1,"重複",""))</f>
        <v/>
      </c>
    </row>
    <row r="3854" customFormat="false" ht="16.5" hidden="false" customHeight="true" outlineLevel="0" collapsed="false">
      <c r="A3854" s="2" t="s">
        <v>447</v>
      </c>
      <c r="B3854" s="2" t="s">
        <v>465</v>
      </c>
      <c r="C3854" s="2" t="s">
        <v>30</v>
      </c>
      <c r="D3854" s="2" t="str">
        <f aca="false">IF(4キー同時!$B$227="","",4キー同時!$B$227)</f>
        <v/>
      </c>
      <c r="E3854" s="2" t="str">
        <f aca="false">IF(4キー同時!$G$227="","",4キー同時!$G$227)</f>
        <v/>
      </c>
      <c r="F3854" s="2" t="str">
        <f aca="false">IF(4キー同時!$L$227="","",4キー同時!$L$227)</f>
        <v/>
      </c>
      <c r="G3854" s="2" t="str">
        <f aca="false">IF(OR(4キー同時!$B$227="",4キー同時!$G$227="",4キー同時!$L$227=""),"",IF(4キー同時!AG233="","",SUBSTITUTE(SUBSTITUTE(4キー同時!AG233," ",""),"　","")))</f>
        <v/>
      </c>
      <c r="H3854" s="2" t="str">
        <f aca="false">IF($G3854="","",4キー同時!$B$227)</f>
        <v/>
      </c>
      <c r="I3854" s="2" t="str">
        <f aca="false">IF($G3854="","",4キー同時!$G$227)</f>
        <v/>
      </c>
      <c r="J3854" s="2" t="str">
        <f aca="false">IF($G3854="","",4キー同時!$L$227)</f>
        <v/>
      </c>
      <c r="K3854" s="2" t="str">
        <f aca="false">IF($G3854="","","j")</f>
        <v/>
      </c>
      <c r="L3854" s="2" t="str">
        <f aca="false">IF($G3854="","","同時")</f>
        <v/>
      </c>
      <c r="M3854" s="2" t="str">
        <f aca="false">IF($G3854="","",IF(ISNA(MATCH($G3854,個別指定!$A:$A,0)),"行なし",""))</f>
        <v/>
      </c>
      <c r="N3854" s="2" t="str">
        <f aca="false">IF($G3854="","",IF(COUNTIF($G$2:$G$4460,$G3854)&gt;1,"重複",""))</f>
        <v/>
      </c>
    </row>
    <row r="3855" customFormat="false" ht="16.5" hidden="false" customHeight="true" outlineLevel="0" collapsed="false">
      <c r="A3855" s="2" t="s">
        <v>447</v>
      </c>
      <c r="B3855" s="2" t="s">
        <v>465</v>
      </c>
      <c r="C3855" s="2" t="s">
        <v>31</v>
      </c>
      <c r="D3855" s="2" t="str">
        <f aca="false">IF(4キー同時!$B$227="","",4キー同時!$B$227)</f>
        <v/>
      </c>
      <c r="E3855" s="2" t="str">
        <f aca="false">IF(4キー同時!$G$227="","",4キー同時!$G$227)</f>
        <v/>
      </c>
      <c r="F3855" s="2" t="str">
        <f aca="false">IF(4キー同時!$L$227="","",4キー同時!$L$227)</f>
        <v/>
      </c>
      <c r="G3855" s="2" t="str">
        <f aca="false">IF(OR(4キー同時!$B$227="",4キー同時!$G$227="",4キー同時!$L$227=""),"",IF(4キー同時!AK233="","",SUBSTITUTE(SUBSTITUTE(4キー同時!AK233," ",""),"　","")))</f>
        <v/>
      </c>
      <c r="H3855" s="2" t="str">
        <f aca="false">IF($G3855="","",4キー同時!$B$227)</f>
        <v/>
      </c>
      <c r="I3855" s="2" t="str">
        <f aca="false">IF($G3855="","",4キー同時!$G$227)</f>
        <v/>
      </c>
      <c r="J3855" s="2" t="str">
        <f aca="false">IF($G3855="","",4キー同時!$L$227)</f>
        <v/>
      </c>
      <c r="K3855" s="2" t="str">
        <f aca="false">IF($G3855="","","k")</f>
        <v/>
      </c>
      <c r="L3855" s="2" t="str">
        <f aca="false">IF($G3855="","","同時")</f>
        <v/>
      </c>
      <c r="M3855" s="2" t="str">
        <f aca="false">IF($G3855="","",IF(ISNA(MATCH($G3855,個別指定!$A:$A,0)),"行なし",""))</f>
        <v/>
      </c>
      <c r="N3855" s="2" t="str">
        <f aca="false">IF($G3855="","",IF(COUNTIF($G$2:$G$4460,$G3855)&gt;1,"重複",""))</f>
        <v/>
      </c>
    </row>
    <row r="3856" customFormat="false" ht="16.5" hidden="false" customHeight="true" outlineLevel="0" collapsed="false">
      <c r="A3856" s="2" t="s">
        <v>447</v>
      </c>
      <c r="B3856" s="2" t="s">
        <v>465</v>
      </c>
      <c r="C3856" s="2" t="s">
        <v>32</v>
      </c>
      <c r="D3856" s="2" t="str">
        <f aca="false">IF(4キー同時!$B$227="","",4キー同時!$B$227)</f>
        <v/>
      </c>
      <c r="E3856" s="2" t="str">
        <f aca="false">IF(4キー同時!$G$227="","",4キー同時!$G$227)</f>
        <v/>
      </c>
      <c r="F3856" s="2" t="str">
        <f aca="false">IF(4キー同時!$L$227="","",4キー同時!$L$227)</f>
        <v/>
      </c>
      <c r="G3856" s="2" t="str">
        <f aca="false">IF(OR(4キー同時!$B$227="",4キー同時!$G$227="",4キー同時!$L$227=""),"",IF(4キー同時!AO233="","",SUBSTITUTE(SUBSTITUTE(4キー同時!AO233," ",""),"　","")))</f>
        <v/>
      </c>
      <c r="H3856" s="2" t="str">
        <f aca="false">IF($G3856="","",4キー同時!$B$227)</f>
        <v/>
      </c>
      <c r="I3856" s="2" t="str">
        <f aca="false">IF($G3856="","",4キー同時!$G$227)</f>
        <v/>
      </c>
      <c r="J3856" s="2" t="str">
        <f aca="false">IF($G3856="","",4キー同時!$L$227)</f>
        <v/>
      </c>
      <c r="K3856" s="2" t="str">
        <f aca="false">IF($G3856="","","l")</f>
        <v/>
      </c>
      <c r="L3856" s="2" t="str">
        <f aca="false">IF($G3856="","","同時")</f>
        <v/>
      </c>
      <c r="M3856" s="2" t="str">
        <f aca="false">IF($G3856="","",IF(ISNA(MATCH($G3856,個別指定!$A:$A,0)),"行なし",""))</f>
        <v/>
      </c>
      <c r="N3856" s="2" t="str">
        <f aca="false">IF($G3856="","",IF(COUNTIF($G$2:$G$4460,$G3856)&gt;1,"重複",""))</f>
        <v/>
      </c>
    </row>
    <row r="3857" customFormat="false" ht="16.5" hidden="false" customHeight="true" outlineLevel="0" collapsed="false">
      <c r="A3857" s="2" t="s">
        <v>447</v>
      </c>
      <c r="B3857" s="2" t="s">
        <v>465</v>
      </c>
      <c r="C3857" s="2" t="s">
        <v>33</v>
      </c>
      <c r="D3857" s="2" t="str">
        <f aca="false">IF(4キー同時!$B$227="","",4キー同時!$B$227)</f>
        <v/>
      </c>
      <c r="E3857" s="2" t="str">
        <f aca="false">IF(4キー同時!$G$227="","",4キー同時!$G$227)</f>
        <v/>
      </c>
      <c r="F3857" s="2" t="str">
        <f aca="false">IF(4キー同時!$L$227="","",4キー同時!$L$227)</f>
        <v/>
      </c>
      <c r="G3857" s="2" t="str">
        <f aca="false">IF(OR(4キー同時!$B$227="",4キー同時!$G$227="",4キー同時!$L$227=""),"",IF(4キー同時!AS233="","",SUBSTITUTE(SUBSTITUTE(4キー同時!AS233," ",""),"　","")))</f>
        <v/>
      </c>
      <c r="H3857" s="2" t="str">
        <f aca="false">IF($G3857="","",4キー同時!$B$227)</f>
        <v/>
      </c>
      <c r="I3857" s="2" t="str">
        <f aca="false">IF($G3857="","",4キー同時!$G$227)</f>
        <v/>
      </c>
      <c r="J3857" s="2" t="str">
        <f aca="false">IF($G3857="","",4キー同時!$L$227)</f>
        <v/>
      </c>
      <c r="K3857" s="2" t="str">
        <f aca="false">IF($G3857="","",";")</f>
        <v/>
      </c>
      <c r="L3857" s="2" t="str">
        <f aca="false">IF($G3857="","","同時")</f>
        <v/>
      </c>
      <c r="M3857" s="2" t="str">
        <f aca="false">IF($G3857="","",IF(ISNA(MATCH($G3857,個別指定!$A:$A,0)),"行なし",""))</f>
        <v/>
      </c>
      <c r="N3857" s="2" t="str">
        <f aca="false">IF($G3857="","",IF(COUNTIF($G$2:$G$4460,$G3857)&gt;1,"重複",""))</f>
        <v/>
      </c>
    </row>
    <row r="3858" customFormat="false" ht="16.5" hidden="false" customHeight="true" outlineLevel="0" collapsed="false">
      <c r="A3858" s="2" t="s">
        <v>447</v>
      </c>
      <c r="B3858" s="2" t="s">
        <v>465</v>
      </c>
      <c r="C3858" s="2" t="s">
        <v>34</v>
      </c>
      <c r="D3858" s="2" t="str">
        <f aca="false">IF(4キー同時!$B$227="","",4キー同時!$B$227)</f>
        <v/>
      </c>
      <c r="E3858" s="2" t="str">
        <f aca="false">IF(4キー同時!$G$227="","",4キー同時!$G$227)</f>
        <v/>
      </c>
      <c r="F3858" s="2" t="str">
        <f aca="false">IF(4キー同時!$L$227="","",4キー同時!$L$227)</f>
        <v/>
      </c>
      <c r="G3858" s="2" t="str">
        <f aca="false">IF(OR(4キー同時!$B$227="",4キー同時!$G$227="",4キー同時!$L$227=""),"",IF(4キー同時!AW233="","",SUBSTITUTE(SUBSTITUTE(4キー同時!AW233," ",""),"　","")))</f>
        <v/>
      </c>
      <c r="H3858" s="2" t="str">
        <f aca="false">IF($G3858="","",4キー同時!$B$227)</f>
        <v/>
      </c>
      <c r="I3858" s="2" t="str">
        <f aca="false">IF($G3858="","",4キー同時!$G$227)</f>
        <v/>
      </c>
      <c r="J3858" s="2" t="str">
        <f aca="false">IF($G3858="","",4キー同時!$L$227)</f>
        <v/>
      </c>
      <c r="K3858" s="2" t="str">
        <f aca="false">IF($G3858="","","'")</f>
        <v/>
      </c>
      <c r="L3858" s="2" t="str">
        <f aca="false">IF($G3858="","","同時")</f>
        <v/>
      </c>
      <c r="M3858" s="2" t="str">
        <f aca="false">IF($G3858="","",IF(ISNA(MATCH($G3858,個別指定!$A:$A,0)),"行なし",""))</f>
        <v/>
      </c>
      <c r="N3858" s="2" t="str">
        <f aca="false">IF($G3858="","",IF(COUNTIF($G$2:$G$4460,$G3858)&gt;1,"重複",""))</f>
        <v/>
      </c>
    </row>
    <row r="3859" customFormat="false" ht="16.5" hidden="false" customHeight="true" outlineLevel="0" collapsed="false">
      <c r="A3859" s="2" t="s">
        <v>447</v>
      </c>
      <c r="B3859" s="2" t="s">
        <v>465</v>
      </c>
      <c r="C3859" s="2" t="s">
        <v>35</v>
      </c>
      <c r="D3859" s="2" t="str">
        <f aca="false">IF(4キー同時!$B$227="","",4キー同時!$B$227)</f>
        <v/>
      </c>
      <c r="E3859" s="2" t="str">
        <f aca="false">IF(4キー同時!$G$227="","",4キー同時!$G$227)</f>
        <v/>
      </c>
      <c r="F3859" s="2" t="str">
        <f aca="false">IF(4キー同時!$L$227="","",4キー同時!$L$227)</f>
        <v/>
      </c>
      <c r="G3859" s="2" t="str">
        <f aca="false">IF(OR(4キー同時!$B$227="",4キー同時!$G$227="",4キー同時!$L$227=""),"",IF(4キー同時!K235="","",SUBSTITUTE(SUBSTITUTE(4キー同時!K235," ",""),"　","")))</f>
        <v/>
      </c>
      <c r="H3859" s="2" t="str">
        <f aca="false">IF($G3859="","",4キー同時!$B$227)</f>
        <v/>
      </c>
      <c r="I3859" s="2" t="str">
        <f aca="false">IF($G3859="","",4キー同時!$G$227)</f>
        <v/>
      </c>
      <c r="J3859" s="2" t="str">
        <f aca="false">IF($G3859="","",4キー同時!$L$227)</f>
        <v/>
      </c>
      <c r="K3859" s="2" t="str">
        <f aca="false">IF($G3859="","","z")</f>
        <v/>
      </c>
      <c r="L3859" s="2" t="str">
        <f aca="false">IF($G3859="","","同時")</f>
        <v/>
      </c>
      <c r="M3859" s="2" t="str">
        <f aca="false">IF($G3859="","",IF(ISNA(MATCH($G3859,個別指定!$A:$A,0)),"行なし",""))</f>
        <v/>
      </c>
      <c r="N3859" s="2" t="str">
        <f aca="false">IF($G3859="","",IF(COUNTIF($G$2:$G$4460,$G3859)&gt;1,"重複",""))</f>
        <v/>
      </c>
    </row>
    <row r="3860" customFormat="false" ht="16.5" hidden="false" customHeight="true" outlineLevel="0" collapsed="false">
      <c r="A3860" s="2" t="s">
        <v>447</v>
      </c>
      <c r="B3860" s="2" t="s">
        <v>465</v>
      </c>
      <c r="C3860" s="2" t="s">
        <v>36</v>
      </c>
      <c r="D3860" s="2" t="str">
        <f aca="false">IF(4キー同時!$B$227="","",4キー同時!$B$227)</f>
        <v/>
      </c>
      <c r="E3860" s="2" t="str">
        <f aca="false">IF(4キー同時!$G$227="","",4キー同時!$G$227)</f>
        <v/>
      </c>
      <c r="F3860" s="2" t="str">
        <f aca="false">IF(4キー同時!$L$227="","",4キー同時!$L$227)</f>
        <v/>
      </c>
      <c r="G3860" s="2" t="str">
        <f aca="false">IF(OR(4キー同時!$B$227="",4キー同時!$G$227="",4キー同時!$L$227=""),"",IF(4キー同時!O235="","",SUBSTITUTE(SUBSTITUTE(4キー同時!O235," ",""),"　","")))</f>
        <v/>
      </c>
      <c r="H3860" s="2" t="str">
        <f aca="false">IF($G3860="","",4キー同時!$B$227)</f>
        <v/>
      </c>
      <c r="I3860" s="2" t="str">
        <f aca="false">IF($G3860="","",4キー同時!$G$227)</f>
        <v/>
      </c>
      <c r="J3860" s="2" t="str">
        <f aca="false">IF($G3860="","",4キー同時!$L$227)</f>
        <v/>
      </c>
      <c r="K3860" s="2" t="str">
        <f aca="false">IF($G3860="","","x")</f>
        <v/>
      </c>
      <c r="L3860" s="2" t="str">
        <f aca="false">IF($G3860="","","同時")</f>
        <v/>
      </c>
      <c r="M3860" s="2" t="str">
        <f aca="false">IF($G3860="","",IF(ISNA(MATCH($G3860,個別指定!$A:$A,0)),"行なし",""))</f>
        <v/>
      </c>
      <c r="N3860" s="2" t="str">
        <f aca="false">IF($G3860="","",IF(COUNTIF($G$2:$G$4460,$G3860)&gt;1,"重複",""))</f>
        <v/>
      </c>
    </row>
    <row r="3861" customFormat="false" ht="16.5" hidden="false" customHeight="true" outlineLevel="0" collapsed="false">
      <c r="A3861" s="2" t="s">
        <v>447</v>
      </c>
      <c r="B3861" s="2" t="s">
        <v>465</v>
      </c>
      <c r="C3861" s="2" t="s">
        <v>37</v>
      </c>
      <c r="D3861" s="2" t="str">
        <f aca="false">IF(4キー同時!$B$227="","",4キー同時!$B$227)</f>
        <v/>
      </c>
      <c r="E3861" s="2" t="str">
        <f aca="false">IF(4キー同時!$G$227="","",4キー同時!$G$227)</f>
        <v/>
      </c>
      <c r="F3861" s="2" t="str">
        <f aca="false">IF(4キー同時!$L$227="","",4キー同時!$L$227)</f>
        <v/>
      </c>
      <c r="G3861" s="2" t="str">
        <f aca="false">IF(OR(4キー同時!$B$227="",4キー同時!$G$227="",4キー同時!$L$227=""),"",IF(4キー同時!S235="","",SUBSTITUTE(SUBSTITUTE(4キー同時!S235," ",""),"　","")))</f>
        <v/>
      </c>
      <c r="H3861" s="2" t="str">
        <f aca="false">IF($G3861="","",4キー同時!$B$227)</f>
        <v/>
      </c>
      <c r="I3861" s="2" t="str">
        <f aca="false">IF($G3861="","",4キー同時!$G$227)</f>
        <v/>
      </c>
      <c r="J3861" s="2" t="str">
        <f aca="false">IF($G3861="","",4キー同時!$L$227)</f>
        <v/>
      </c>
      <c r="K3861" s="2" t="str">
        <f aca="false">IF($G3861="","","c")</f>
        <v/>
      </c>
      <c r="L3861" s="2" t="str">
        <f aca="false">IF($G3861="","","同時")</f>
        <v/>
      </c>
      <c r="M3861" s="2" t="str">
        <f aca="false">IF($G3861="","",IF(ISNA(MATCH($G3861,個別指定!$A:$A,0)),"行なし",""))</f>
        <v/>
      </c>
      <c r="N3861" s="2" t="str">
        <f aca="false">IF($G3861="","",IF(COUNTIF($G$2:$G$4460,$G3861)&gt;1,"重複",""))</f>
        <v/>
      </c>
    </row>
    <row r="3862" customFormat="false" ht="16.5" hidden="false" customHeight="true" outlineLevel="0" collapsed="false">
      <c r="A3862" s="2" t="s">
        <v>447</v>
      </c>
      <c r="B3862" s="2" t="s">
        <v>465</v>
      </c>
      <c r="C3862" s="2" t="s">
        <v>38</v>
      </c>
      <c r="D3862" s="2" t="str">
        <f aca="false">IF(4キー同時!$B$227="","",4キー同時!$B$227)</f>
        <v/>
      </c>
      <c r="E3862" s="2" t="str">
        <f aca="false">IF(4キー同時!$G$227="","",4キー同時!$G$227)</f>
        <v/>
      </c>
      <c r="F3862" s="2" t="str">
        <f aca="false">IF(4キー同時!$L$227="","",4キー同時!$L$227)</f>
        <v/>
      </c>
      <c r="G3862" s="2" t="str">
        <f aca="false">IF(OR(4キー同時!$B$227="",4キー同時!$G$227="",4キー同時!$L$227=""),"",IF(4キー同時!W235="","",SUBSTITUTE(SUBSTITUTE(4キー同時!W235," ",""),"　","")))</f>
        <v/>
      </c>
      <c r="H3862" s="2" t="str">
        <f aca="false">IF($G3862="","",4キー同時!$B$227)</f>
        <v/>
      </c>
      <c r="I3862" s="2" t="str">
        <f aca="false">IF($G3862="","",4キー同時!$G$227)</f>
        <v/>
      </c>
      <c r="J3862" s="2" t="str">
        <f aca="false">IF($G3862="","",4キー同時!$L$227)</f>
        <v/>
      </c>
      <c r="K3862" s="2" t="str">
        <f aca="false">IF($G3862="","","v")</f>
        <v/>
      </c>
      <c r="L3862" s="2" t="str">
        <f aca="false">IF($G3862="","","同時")</f>
        <v/>
      </c>
      <c r="M3862" s="2" t="str">
        <f aca="false">IF($G3862="","",IF(ISNA(MATCH($G3862,個別指定!$A:$A,0)),"行なし",""))</f>
        <v/>
      </c>
      <c r="N3862" s="2" t="str">
        <f aca="false">IF($G3862="","",IF(COUNTIF($G$2:$G$4460,$G3862)&gt;1,"重複",""))</f>
        <v/>
      </c>
    </row>
    <row r="3863" customFormat="false" ht="16.5" hidden="false" customHeight="true" outlineLevel="0" collapsed="false">
      <c r="A3863" s="2" t="s">
        <v>447</v>
      </c>
      <c r="B3863" s="2" t="s">
        <v>465</v>
      </c>
      <c r="C3863" s="2" t="s">
        <v>39</v>
      </c>
      <c r="D3863" s="2" t="str">
        <f aca="false">IF(4キー同時!$B$227="","",4キー同時!$B$227)</f>
        <v/>
      </c>
      <c r="E3863" s="2" t="str">
        <f aca="false">IF(4キー同時!$G$227="","",4キー同時!$G$227)</f>
        <v/>
      </c>
      <c r="F3863" s="2" t="str">
        <f aca="false">IF(4キー同時!$L$227="","",4キー同時!$L$227)</f>
        <v/>
      </c>
      <c r="G3863" s="2" t="str">
        <f aca="false">IF(OR(4キー同時!$B$227="",4キー同時!$G$227="",4キー同時!$L$227=""),"",IF(4キー同時!AA235="","",SUBSTITUTE(SUBSTITUTE(4キー同時!AA235," ",""),"　","")))</f>
        <v/>
      </c>
      <c r="H3863" s="2" t="str">
        <f aca="false">IF($G3863="","",4キー同時!$B$227)</f>
        <v/>
      </c>
      <c r="I3863" s="2" t="str">
        <f aca="false">IF($G3863="","",4キー同時!$G$227)</f>
        <v/>
      </c>
      <c r="J3863" s="2" t="str">
        <f aca="false">IF($G3863="","",4キー同時!$L$227)</f>
        <v/>
      </c>
      <c r="K3863" s="2" t="str">
        <f aca="false">IF($G3863="","","b")</f>
        <v/>
      </c>
      <c r="L3863" s="2" t="str">
        <f aca="false">IF($G3863="","","同時")</f>
        <v/>
      </c>
      <c r="M3863" s="2" t="str">
        <f aca="false">IF($G3863="","",IF(ISNA(MATCH($G3863,個別指定!$A:$A,0)),"行なし",""))</f>
        <v/>
      </c>
      <c r="N3863" s="2" t="str">
        <f aca="false">IF($G3863="","",IF(COUNTIF($G$2:$G$4460,$G3863)&gt;1,"重複",""))</f>
        <v/>
      </c>
    </row>
    <row r="3864" customFormat="false" ht="16.5" hidden="false" customHeight="true" outlineLevel="0" collapsed="false">
      <c r="A3864" s="2" t="s">
        <v>447</v>
      </c>
      <c r="B3864" s="2" t="s">
        <v>465</v>
      </c>
      <c r="C3864" s="2" t="s">
        <v>40</v>
      </c>
      <c r="D3864" s="2" t="str">
        <f aca="false">IF(4キー同時!$B$227="","",4キー同時!$B$227)</f>
        <v/>
      </c>
      <c r="E3864" s="2" t="str">
        <f aca="false">IF(4キー同時!$G$227="","",4キー同時!$G$227)</f>
        <v/>
      </c>
      <c r="F3864" s="2" t="str">
        <f aca="false">IF(4キー同時!$L$227="","",4キー同時!$L$227)</f>
        <v/>
      </c>
      <c r="G3864" s="2" t="str">
        <f aca="false">IF(OR(4キー同時!$B$227="",4キー同時!$G$227="",4キー同時!$L$227=""),"",IF(4キー同時!AE235="","",SUBSTITUTE(SUBSTITUTE(4キー同時!AE235," ",""),"　","")))</f>
        <v/>
      </c>
      <c r="H3864" s="2" t="str">
        <f aca="false">IF($G3864="","",4キー同時!$B$227)</f>
        <v/>
      </c>
      <c r="I3864" s="2" t="str">
        <f aca="false">IF($G3864="","",4キー同時!$G$227)</f>
        <v/>
      </c>
      <c r="J3864" s="2" t="str">
        <f aca="false">IF($G3864="","",4キー同時!$L$227)</f>
        <v/>
      </c>
      <c r="K3864" s="2" t="str">
        <f aca="false">IF($G3864="","","n")</f>
        <v/>
      </c>
      <c r="L3864" s="2" t="str">
        <f aca="false">IF($G3864="","","同時")</f>
        <v/>
      </c>
      <c r="M3864" s="2" t="str">
        <f aca="false">IF($G3864="","",IF(ISNA(MATCH($G3864,個別指定!$A:$A,0)),"行なし",""))</f>
        <v/>
      </c>
      <c r="N3864" s="2" t="str">
        <f aca="false">IF($G3864="","",IF(COUNTIF($G$2:$G$4460,$G3864)&gt;1,"重複",""))</f>
        <v/>
      </c>
    </row>
    <row r="3865" customFormat="false" ht="16.5" hidden="false" customHeight="true" outlineLevel="0" collapsed="false">
      <c r="A3865" s="2" t="s">
        <v>447</v>
      </c>
      <c r="B3865" s="2" t="s">
        <v>465</v>
      </c>
      <c r="C3865" s="2" t="s">
        <v>41</v>
      </c>
      <c r="D3865" s="2" t="str">
        <f aca="false">IF(4キー同時!$B$227="","",4キー同時!$B$227)</f>
        <v/>
      </c>
      <c r="E3865" s="2" t="str">
        <f aca="false">IF(4キー同時!$G$227="","",4キー同時!$G$227)</f>
        <v/>
      </c>
      <c r="F3865" s="2" t="str">
        <f aca="false">IF(4キー同時!$L$227="","",4キー同時!$L$227)</f>
        <v/>
      </c>
      <c r="G3865" s="2" t="str">
        <f aca="false">IF(OR(4キー同時!$B$227="",4キー同時!$G$227="",4キー同時!$L$227=""),"",IF(4キー同時!AI235="","",SUBSTITUTE(SUBSTITUTE(4キー同時!AI235," ",""),"　","")))</f>
        <v/>
      </c>
      <c r="H3865" s="2" t="str">
        <f aca="false">IF($G3865="","",4キー同時!$B$227)</f>
        <v/>
      </c>
      <c r="I3865" s="2" t="str">
        <f aca="false">IF($G3865="","",4キー同時!$G$227)</f>
        <v/>
      </c>
      <c r="J3865" s="2" t="str">
        <f aca="false">IF($G3865="","",4キー同時!$L$227)</f>
        <v/>
      </c>
      <c r="K3865" s="2" t="str">
        <f aca="false">IF($G3865="","","m")</f>
        <v/>
      </c>
      <c r="L3865" s="2" t="str">
        <f aca="false">IF($G3865="","","同時")</f>
        <v/>
      </c>
      <c r="M3865" s="2" t="str">
        <f aca="false">IF($G3865="","",IF(ISNA(MATCH($G3865,個別指定!$A:$A,0)),"行なし",""))</f>
        <v/>
      </c>
      <c r="N3865" s="2" t="str">
        <f aca="false">IF($G3865="","",IF(COUNTIF($G$2:$G$4460,$G3865)&gt;1,"重複",""))</f>
        <v/>
      </c>
    </row>
    <row r="3866" customFormat="false" ht="16.5" hidden="false" customHeight="true" outlineLevel="0" collapsed="false">
      <c r="A3866" s="2" t="s">
        <v>447</v>
      </c>
      <c r="B3866" s="2" t="s">
        <v>465</v>
      </c>
      <c r="C3866" s="2" t="s">
        <v>42</v>
      </c>
      <c r="D3866" s="2" t="str">
        <f aca="false">IF(4キー同時!$B$227="","",4キー同時!$B$227)</f>
        <v/>
      </c>
      <c r="E3866" s="2" t="str">
        <f aca="false">IF(4キー同時!$G$227="","",4キー同時!$G$227)</f>
        <v/>
      </c>
      <c r="F3866" s="2" t="str">
        <f aca="false">IF(4キー同時!$L$227="","",4キー同時!$L$227)</f>
        <v/>
      </c>
      <c r="G3866" s="2" t="str">
        <f aca="false">IF(OR(4キー同時!$B$227="",4キー同時!$G$227="",4キー同時!$L$227=""),"",IF(4キー同時!AM235="","",SUBSTITUTE(SUBSTITUTE(4キー同時!AM235," ",""),"　","")))</f>
        <v/>
      </c>
      <c r="H3866" s="2" t="str">
        <f aca="false">IF($G3866="","",4キー同時!$B$227)</f>
        <v/>
      </c>
      <c r="I3866" s="2" t="str">
        <f aca="false">IF($G3866="","",4キー同時!$G$227)</f>
        <v/>
      </c>
      <c r="J3866" s="2" t="str">
        <f aca="false">IF($G3866="","",4キー同時!$L$227)</f>
        <v/>
      </c>
      <c r="K3866" s="2" t="str">
        <f aca="false">IF($G3866="","",",")</f>
        <v/>
      </c>
      <c r="L3866" s="2" t="str">
        <f aca="false">IF($G3866="","","同時")</f>
        <v/>
      </c>
      <c r="M3866" s="2" t="str">
        <f aca="false">IF($G3866="","",IF(ISNA(MATCH($G3866,個別指定!$A:$A,0)),"行なし",""))</f>
        <v/>
      </c>
      <c r="N3866" s="2" t="str">
        <f aca="false">IF($G3866="","",IF(COUNTIF($G$2:$G$4460,$G3866)&gt;1,"重複",""))</f>
        <v/>
      </c>
    </row>
    <row r="3867" customFormat="false" ht="16.5" hidden="false" customHeight="true" outlineLevel="0" collapsed="false">
      <c r="A3867" s="2" t="s">
        <v>447</v>
      </c>
      <c r="B3867" s="2" t="s">
        <v>465</v>
      </c>
      <c r="C3867" s="2" t="s">
        <v>43</v>
      </c>
      <c r="D3867" s="2" t="str">
        <f aca="false">IF(4キー同時!$B$227="","",4キー同時!$B$227)</f>
        <v/>
      </c>
      <c r="E3867" s="2" t="str">
        <f aca="false">IF(4キー同時!$G$227="","",4キー同時!$G$227)</f>
        <v/>
      </c>
      <c r="F3867" s="2" t="str">
        <f aca="false">IF(4キー同時!$L$227="","",4キー同時!$L$227)</f>
        <v/>
      </c>
      <c r="G3867" s="2" t="str">
        <f aca="false">IF(OR(4キー同時!$B$227="",4キー同時!$G$227="",4キー同時!$L$227=""),"",IF(4キー同時!AQ235="","",SUBSTITUTE(SUBSTITUTE(4キー同時!AQ235," ",""),"　","")))</f>
        <v/>
      </c>
      <c r="H3867" s="2" t="str">
        <f aca="false">IF($G3867="","",4キー同時!$B$227)</f>
        <v/>
      </c>
      <c r="I3867" s="2" t="str">
        <f aca="false">IF($G3867="","",4キー同時!$G$227)</f>
        <v/>
      </c>
      <c r="J3867" s="2" t="str">
        <f aca="false">IF($G3867="","",4キー同時!$L$227)</f>
        <v/>
      </c>
      <c r="K3867" s="2" t="str">
        <f aca="false">IF($G3867="","",".")</f>
        <v/>
      </c>
      <c r="L3867" s="2" t="str">
        <f aca="false">IF($G3867="","","同時")</f>
        <v/>
      </c>
      <c r="M3867" s="2" t="str">
        <f aca="false">IF($G3867="","",IF(ISNA(MATCH($G3867,個別指定!$A:$A,0)),"行なし",""))</f>
        <v/>
      </c>
      <c r="N3867" s="2" t="str">
        <f aca="false">IF($G3867="","",IF(COUNTIF($G$2:$G$4460,$G3867)&gt;1,"重複",""))</f>
        <v/>
      </c>
    </row>
    <row r="3868" customFormat="false" ht="16.5" hidden="false" customHeight="true" outlineLevel="0" collapsed="false">
      <c r="A3868" s="2" t="s">
        <v>447</v>
      </c>
      <c r="B3868" s="2" t="s">
        <v>465</v>
      </c>
      <c r="C3868" s="2" t="s">
        <v>44</v>
      </c>
      <c r="D3868" s="2" t="str">
        <f aca="false">IF(4キー同時!$B$227="","",4キー同時!$B$227)</f>
        <v/>
      </c>
      <c r="E3868" s="2" t="str">
        <f aca="false">IF(4キー同時!$G$227="","",4キー同時!$G$227)</f>
        <v/>
      </c>
      <c r="F3868" s="2" t="str">
        <f aca="false">IF(4キー同時!$L$227="","",4キー同時!$L$227)</f>
        <v/>
      </c>
      <c r="G3868" s="2" t="str">
        <f aca="false">IF(OR(4キー同時!$B$227="",4キー同時!$G$227="",4キー同時!$L$227=""),"",IF(4キー同時!AU235="","",SUBSTITUTE(SUBSTITUTE(4キー同時!AU235," ",""),"　","")))</f>
        <v/>
      </c>
      <c r="H3868" s="2" t="str">
        <f aca="false">IF($G3868="","",4キー同時!$B$227)</f>
        <v/>
      </c>
      <c r="I3868" s="2" t="str">
        <f aca="false">IF($G3868="","",4キー同時!$G$227)</f>
        <v/>
      </c>
      <c r="J3868" s="2" t="str">
        <f aca="false">IF($G3868="","",4キー同時!$L$227)</f>
        <v/>
      </c>
      <c r="K3868" s="2" t="str">
        <f aca="false">IF($G3868="","","/")</f>
        <v/>
      </c>
      <c r="L3868" s="2" t="str">
        <f aca="false">IF($G3868="","","同時")</f>
        <v/>
      </c>
      <c r="M3868" s="2" t="str">
        <f aca="false">IF($G3868="","",IF(ISNA(MATCH($G3868,個別指定!$A:$A,0)),"行なし",""))</f>
        <v/>
      </c>
      <c r="N3868" s="2" t="str">
        <f aca="false">IF($G3868="","",IF(COUNTIF($G$2:$G$4460,$G3868)&gt;1,"重複",""))</f>
        <v/>
      </c>
    </row>
    <row r="3869" customFormat="false" ht="16.5" hidden="false" customHeight="true" outlineLevel="0" collapsed="false">
      <c r="A3869" s="2" t="s">
        <v>447</v>
      </c>
      <c r="B3869" s="2" t="s">
        <v>465</v>
      </c>
      <c r="C3869" s="2" t="s">
        <v>48</v>
      </c>
      <c r="D3869" s="2" t="str">
        <f aca="false">IF(4キー同時!$B$227="","",4キー同時!$B$227)</f>
        <v/>
      </c>
      <c r="E3869" s="2" t="str">
        <f aca="false">IF(4キー同時!$G$227="","",4キー同時!$G$227)</f>
        <v/>
      </c>
      <c r="F3869" s="2" t="str">
        <f aca="false">IF(4キー同時!$L$227="","",4キー同時!$L$227)</f>
        <v/>
      </c>
      <c r="G3869" s="2" t="str">
        <f aca="false">IF(OR(4キー同時!$B$227="",4キー同時!$G$227="",4キー同時!$L$227=""),"",IF(4キー同時!P237="","",SUBSTITUTE(SUBSTITUTE(4キー同時!P237," ",""),"　","")))</f>
        <v/>
      </c>
      <c r="H3869" s="2" t="str">
        <f aca="false">IF($G3869="","",4キー同時!$B$227)</f>
        <v/>
      </c>
      <c r="I3869" s="2" t="str">
        <f aca="false">IF($G3869="","",4キー同時!$G$227)</f>
        <v/>
      </c>
      <c r="J3869" s="2" t="str">
        <f aca="false">IF($G3869="","",4キー同時!$L$227)</f>
        <v/>
      </c>
      <c r="K3869" s="2" t="str">
        <f aca="false">IF($G3869="","","muhenkan")</f>
        <v/>
      </c>
      <c r="L3869" s="2" t="str">
        <f aca="false">IF($G3869="","","同時")</f>
        <v/>
      </c>
      <c r="M3869" s="2" t="str">
        <f aca="false">IF($G3869="","",IF(ISNA(MATCH($G3869,個別指定!$A:$A,0)),"行なし",""))</f>
        <v/>
      </c>
      <c r="N3869" s="2" t="str">
        <f aca="false">IF($G3869="","",IF(COUNTIF($G$2:$G$4460,$G3869)&gt;1,"重複",""))</f>
        <v/>
      </c>
    </row>
    <row r="3870" customFormat="false" ht="16.5" hidden="false" customHeight="true" outlineLevel="0" collapsed="false">
      <c r="A3870" s="2" t="s">
        <v>447</v>
      </c>
      <c r="B3870" s="2" t="s">
        <v>465</v>
      </c>
      <c r="C3870" s="2" t="s">
        <v>50</v>
      </c>
      <c r="D3870" s="2" t="str">
        <f aca="false">IF(4キー同時!$B$227="","",4キー同時!$B$227)</f>
        <v/>
      </c>
      <c r="E3870" s="2" t="str">
        <f aca="false">IF(4キー同時!$G$227="","",4キー同時!$G$227)</f>
        <v/>
      </c>
      <c r="F3870" s="2" t="str">
        <f aca="false">IF(4キー同時!$L$227="","",4キー同時!$L$227)</f>
        <v/>
      </c>
      <c r="G3870" s="2" t="str">
        <f aca="false">IF(OR(4キー同時!$B$227="",4キー同時!$G$227="",4キー同時!$L$227=""),"",IF(4キー同時!T237="","",SUBSTITUTE(SUBSTITUTE(4キー同時!T237," ",""),"　","")))</f>
        <v/>
      </c>
      <c r="H3870" s="2" t="str">
        <f aca="false">IF($G3870="","",4キー同時!$B$227)</f>
        <v/>
      </c>
      <c r="I3870" s="2" t="str">
        <f aca="false">IF($G3870="","",4キー同時!$G$227)</f>
        <v/>
      </c>
      <c r="J3870" s="2" t="str">
        <f aca="false">IF($G3870="","",4キー同時!$L$227)</f>
        <v/>
      </c>
      <c r="K3870" s="2" t="str">
        <f aca="false">IF($G3870="","","space")</f>
        <v/>
      </c>
      <c r="L3870" s="2" t="str">
        <f aca="false">IF($G3870="","","同時")</f>
        <v/>
      </c>
      <c r="M3870" s="2" t="str">
        <f aca="false">IF($G3870="","",IF(ISNA(MATCH($G3870,個別指定!$A:$A,0)),"行なし",""))</f>
        <v/>
      </c>
      <c r="N3870" s="2" t="str">
        <f aca="false">IF($G3870="","",IF(COUNTIF($G$2:$G$4460,$G3870)&gt;1,"重複",""))</f>
        <v/>
      </c>
    </row>
    <row r="3871" customFormat="false" ht="16.5" hidden="false" customHeight="true" outlineLevel="0" collapsed="false">
      <c r="A3871" s="2" t="s">
        <v>447</v>
      </c>
      <c r="B3871" s="2" t="s">
        <v>465</v>
      </c>
      <c r="C3871" s="2" t="s">
        <v>45</v>
      </c>
      <c r="D3871" s="2" t="str">
        <f aca="false">IF(4キー同時!$B$227="","",4キー同時!$B$227)</f>
        <v/>
      </c>
      <c r="E3871" s="2" t="str">
        <f aca="false">IF(4キー同時!$G$227="","",4キー同時!$G$227)</f>
        <v/>
      </c>
      <c r="F3871" s="2" t="str">
        <f aca="false">IF(4キー同時!$L$227="","",4キー同時!$L$227)</f>
        <v/>
      </c>
      <c r="G3871" s="2" t="str">
        <f aca="false">IF(OR(4キー同時!$B$227="",4キー同時!$G$227="",4キー同時!$L$227=""),"",IF(4キー同時!AL237="","",SUBSTITUTE(SUBSTITUTE(4キー同時!AL237," ",""),"　","")))</f>
        <v/>
      </c>
      <c r="H3871" s="2" t="str">
        <f aca="false">IF($G3871="","",4キー同時!$B$227)</f>
        <v/>
      </c>
      <c r="I3871" s="2" t="str">
        <f aca="false">IF($G3871="","",4キー同時!$G$227)</f>
        <v/>
      </c>
      <c r="J3871" s="2" t="str">
        <f aca="false">IF($G3871="","",4キー同時!$L$227)</f>
        <v/>
      </c>
      <c r="K3871" s="2" t="str">
        <f aca="false">IF($G3871="","","henkan")</f>
        <v/>
      </c>
      <c r="L3871" s="2" t="str">
        <f aca="false">IF($G3871="","","同時")</f>
        <v/>
      </c>
      <c r="M3871" s="2" t="str">
        <f aca="false">IF($G3871="","",IF(ISNA(MATCH($G3871,個別指定!$A:$A,0)),"行なし",""))</f>
        <v/>
      </c>
      <c r="N3871" s="2" t="str">
        <f aca="false">IF($G3871="","",IF(COUNTIF($G$2:$G$4460,$G3871)&gt;1,"重複",""))</f>
        <v/>
      </c>
    </row>
    <row r="3872" customFormat="false" ht="16.5" hidden="false" customHeight="true" outlineLevel="0" collapsed="false">
      <c r="A3872" s="2" t="s">
        <v>447</v>
      </c>
      <c r="B3872" s="2" t="s">
        <v>465</v>
      </c>
      <c r="C3872" s="2" t="s">
        <v>46</v>
      </c>
      <c r="D3872" s="2" t="str">
        <f aca="false">IF(4キー同時!$B$227="","",4キー同時!$B$227)</f>
        <v/>
      </c>
      <c r="E3872" s="2" t="str">
        <f aca="false">IF(4キー同時!$G$227="","",4キー同時!$G$227)</f>
        <v/>
      </c>
      <c r="F3872" s="2" t="str">
        <f aca="false">IF(4キー同時!$L$227="","",4キー同時!$L$227)</f>
        <v/>
      </c>
      <c r="G3872" s="2" t="str">
        <f aca="false">IF(OR(4キー同時!$B$227="",4キー同時!$G$227="",4キー同時!$L$227=""),"",IF(4キー同時!AP237="","",SUBSTITUTE(SUBSTITUTE(4キー同時!AP237," ",""),"　","")))</f>
        <v/>
      </c>
      <c r="H3872" s="2" t="str">
        <f aca="false">IF($G3872="","",4キー同時!$B$227)</f>
        <v/>
      </c>
      <c r="I3872" s="2" t="str">
        <f aca="false">IF($G3872="","",4キー同時!$G$227)</f>
        <v/>
      </c>
      <c r="J3872" s="2" t="str">
        <f aca="false">IF($G3872="","",4キー同時!$L$227)</f>
        <v/>
      </c>
      <c r="K3872" s="2" t="str">
        <f aca="false">IF($G3872="","","kana")</f>
        <v/>
      </c>
      <c r="L3872" s="2" t="str">
        <f aca="false">IF($G3872="","","同時")</f>
        <v/>
      </c>
      <c r="M3872" s="2" t="str">
        <f aca="false">IF($G3872="","",IF(ISNA(MATCH($G3872,個別指定!$A:$A,0)),"行なし",""))</f>
        <v/>
      </c>
      <c r="N3872" s="2" t="str">
        <f aca="false">IF($G3872="","",IF(COUNTIF($G$2:$G$4460,$G3872)&gt;1,"重複",""))</f>
        <v/>
      </c>
    </row>
    <row r="3873" customFormat="false" ht="16.5" hidden="false" customHeight="true" outlineLevel="0" collapsed="false">
      <c r="A3873" s="2" t="s">
        <v>447</v>
      </c>
      <c r="B3873" s="2" t="s">
        <v>466</v>
      </c>
      <c r="C3873" s="2" t="s">
        <v>0</v>
      </c>
      <c r="D3873" s="2" t="str">
        <f aca="false">IF(4キー同時!$B$240="","",4キー同時!$B$240)</f>
        <v/>
      </c>
      <c r="E3873" s="2" t="str">
        <f aca="false">IF(4キー同時!$G$240="","",4キー同時!$G$240)</f>
        <v/>
      </c>
      <c r="F3873" s="2" t="str">
        <f aca="false">IF(4キー同時!$L$240="","",4キー同時!$L$240)</f>
        <v/>
      </c>
      <c r="G3873" s="2" t="str">
        <f aca="false">IF(OR(4キー同時!$B$240="",4キー同時!$G$240="",4キー同時!$L$240=""),"",IF(4キー同時!F242="","",SUBSTITUTE(SUBSTITUTE(4キー同時!F242," ",""),"　","")))</f>
        <v/>
      </c>
      <c r="H3873" s="2" t="str">
        <f aca="false">IF($G3873="","",4キー同時!$B$240)</f>
        <v/>
      </c>
      <c r="I3873" s="2" t="str">
        <f aca="false">IF($G3873="","",4キー同時!$G$240)</f>
        <v/>
      </c>
      <c r="J3873" s="2" t="str">
        <f aca="false">IF($G3873="","",4キー同時!$L$240)</f>
        <v/>
      </c>
      <c r="K3873" s="2" t="str">
        <f aca="false">IF($G3873="","","1")</f>
        <v/>
      </c>
      <c r="L3873" s="2" t="str">
        <f aca="false">IF($G3873="","","同時")</f>
        <v/>
      </c>
      <c r="M3873" s="2" t="str">
        <f aca="false">IF($G3873="","",IF(ISNA(MATCH($G3873,個別指定!$A:$A,0)),"行なし",""))</f>
        <v/>
      </c>
      <c r="N3873" s="2" t="str">
        <f aca="false">IF($G3873="","",IF(COUNTIF($G$2:$G$4460,$G3873)&gt;1,"重複",""))</f>
        <v/>
      </c>
    </row>
    <row r="3874" customFormat="false" ht="16.5" hidden="false" customHeight="true" outlineLevel="0" collapsed="false">
      <c r="A3874" s="2" t="s">
        <v>447</v>
      </c>
      <c r="B3874" s="2" t="s">
        <v>466</v>
      </c>
      <c r="C3874" s="2" t="s">
        <v>1</v>
      </c>
      <c r="D3874" s="2" t="str">
        <f aca="false">IF(4キー同時!$B$240="","",4キー同時!$B$240)</f>
        <v/>
      </c>
      <c r="E3874" s="2" t="str">
        <f aca="false">IF(4キー同時!$G$240="","",4キー同時!$G$240)</f>
        <v/>
      </c>
      <c r="F3874" s="2" t="str">
        <f aca="false">IF(4キー同時!$L$240="","",4キー同時!$L$240)</f>
        <v/>
      </c>
      <c r="G3874" s="2" t="str">
        <f aca="false">IF(OR(4キー同時!$B$240="",4キー同時!$G$240="",4キー同時!$L$240=""),"",IF(4キー同時!J242="","",SUBSTITUTE(SUBSTITUTE(4キー同時!J242," ",""),"　","")))</f>
        <v/>
      </c>
      <c r="H3874" s="2" t="str">
        <f aca="false">IF($G3874="","",4キー同時!$B$240)</f>
        <v/>
      </c>
      <c r="I3874" s="2" t="str">
        <f aca="false">IF($G3874="","",4キー同時!$G$240)</f>
        <v/>
      </c>
      <c r="J3874" s="2" t="str">
        <f aca="false">IF($G3874="","",4キー同時!$L$240)</f>
        <v/>
      </c>
      <c r="K3874" s="2" t="str">
        <f aca="false">IF($G3874="","","2")</f>
        <v/>
      </c>
      <c r="L3874" s="2" t="str">
        <f aca="false">IF($G3874="","","同時")</f>
        <v/>
      </c>
      <c r="M3874" s="2" t="str">
        <f aca="false">IF($G3874="","",IF(ISNA(MATCH($G3874,個別指定!$A:$A,0)),"行なし",""))</f>
        <v/>
      </c>
      <c r="N3874" s="2" t="str">
        <f aca="false">IF($G3874="","",IF(COUNTIF($G$2:$G$4460,$G3874)&gt;1,"重複",""))</f>
        <v/>
      </c>
    </row>
    <row r="3875" customFormat="false" ht="16.5" hidden="false" customHeight="true" outlineLevel="0" collapsed="false">
      <c r="A3875" s="2" t="s">
        <v>447</v>
      </c>
      <c r="B3875" s="2" t="s">
        <v>466</v>
      </c>
      <c r="C3875" s="2" t="s">
        <v>2</v>
      </c>
      <c r="D3875" s="2" t="str">
        <f aca="false">IF(4キー同時!$B$240="","",4キー同時!$B$240)</f>
        <v/>
      </c>
      <c r="E3875" s="2" t="str">
        <f aca="false">IF(4キー同時!$G$240="","",4キー同時!$G$240)</f>
        <v/>
      </c>
      <c r="F3875" s="2" t="str">
        <f aca="false">IF(4キー同時!$L$240="","",4キー同時!$L$240)</f>
        <v/>
      </c>
      <c r="G3875" s="2" t="str">
        <f aca="false">IF(OR(4キー同時!$B$240="",4キー同時!$G$240="",4キー同時!$L$240=""),"",IF(4キー同時!N242="","",SUBSTITUTE(SUBSTITUTE(4キー同時!N242," ",""),"　","")))</f>
        <v/>
      </c>
      <c r="H3875" s="2" t="str">
        <f aca="false">IF($G3875="","",4キー同時!$B$240)</f>
        <v/>
      </c>
      <c r="I3875" s="2" t="str">
        <f aca="false">IF($G3875="","",4キー同時!$G$240)</f>
        <v/>
      </c>
      <c r="J3875" s="2" t="str">
        <f aca="false">IF($G3875="","",4キー同時!$L$240)</f>
        <v/>
      </c>
      <c r="K3875" s="2" t="str">
        <f aca="false">IF($G3875="","","3")</f>
        <v/>
      </c>
      <c r="L3875" s="2" t="str">
        <f aca="false">IF($G3875="","","同時")</f>
        <v/>
      </c>
      <c r="M3875" s="2" t="str">
        <f aca="false">IF($G3875="","",IF(ISNA(MATCH($G3875,個別指定!$A:$A,0)),"行なし",""))</f>
        <v/>
      </c>
      <c r="N3875" s="2" t="str">
        <f aca="false">IF($G3875="","",IF(COUNTIF($G$2:$G$4460,$G3875)&gt;1,"重複",""))</f>
        <v/>
      </c>
    </row>
    <row r="3876" customFormat="false" ht="16.5" hidden="false" customHeight="true" outlineLevel="0" collapsed="false">
      <c r="A3876" s="2" t="s">
        <v>447</v>
      </c>
      <c r="B3876" s="2" t="s">
        <v>466</v>
      </c>
      <c r="C3876" s="2" t="s">
        <v>3</v>
      </c>
      <c r="D3876" s="2" t="str">
        <f aca="false">IF(4キー同時!$B$240="","",4キー同時!$B$240)</f>
        <v/>
      </c>
      <c r="E3876" s="2" t="str">
        <f aca="false">IF(4キー同時!$G$240="","",4キー同時!$G$240)</f>
        <v/>
      </c>
      <c r="F3876" s="2" t="str">
        <f aca="false">IF(4キー同時!$L$240="","",4キー同時!$L$240)</f>
        <v/>
      </c>
      <c r="G3876" s="2" t="str">
        <f aca="false">IF(OR(4キー同時!$B$240="",4キー同時!$G$240="",4キー同時!$L$240=""),"",IF(4キー同時!R242="","",SUBSTITUTE(SUBSTITUTE(4キー同時!R242," ",""),"　","")))</f>
        <v/>
      </c>
      <c r="H3876" s="2" t="str">
        <f aca="false">IF($G3876="","",4キー同時!$B$240)</f>
        <v/>
      </c>
      <c r="I3876" s="2" t="str">
        <f aca="false">IF($G3876="","",4キー同時!$G$240)</f>
        <v/>
      </c>
      <c r="J3876" s="2" t="str">
        <f aca="false">IF($G3876="","",4キー同時!$L$240)</f>
        <v/>
      </c>
      <c r="K3876" s="2" t="str">
        <f aca="false">IF($G3876="","","4")</f>
        <v/>
      </c>
      <c r="L3876" s="2" t="str">
        <f aca="false">IF($G3876="","","同時")</f>
        <v/>
      </c>
      <c r="M3876" s="2" t="str">
        <f aca="false">IF($G3876="","",IF(ISNA(MATCH($G3876,個別指定!$A:$A,0)),"行なし",""))</f>
        <v/>
      </c>
      <c r="N3876" s="2" t="str">
        <f aca="false">IF($G3876="","",IF(COUNTIF($G$2:$G$4460,$G3876)&gt;1,"重複",""))</f>
        <v/>
      </c>
    </row>
    <row r="3877" customFormat="false" ht="16.5" hidden="false" customHeight="true" outlineLevel="0" collapsed="false">
      <c r="A3877" s="2" t="s">
        <v>447</v>
      </c>
      <c r="B3877" s="2" t="s">
        <v>466</v>
      </c>
      <c r="C3877" s="2" t="s">
        <v>4</v>
      </c>
      <c r="D3877" s="2" t="str">
        <f aca="false">IF(4キー同時!$B$240="","",4キー同時!$B$240)</f>
        <v/>
      </c>
      <c r="E3877" s="2" t="str">
        <f aca="false">IF(4キー同時!$G$240="","",4キー同時!$G$240)</f>
        <v/>
      </c>
      <c r="F3877" s="2" t="str">
        <f aca="false">IF(4キー同時!$L$240="","",4キー同時!$L$240)</f>
        <v/>
      </c>
      <c r="G3877" s="2" t="str">
        <f aca="false">IF(OR(4キー同時!$B$240="",4キー同時!$G$240="",4キー同時!$L$240=""),"",IF(4キー同時!V242="","",SUBSTITUTE(SUBSTITUTE(4キー同時!V242," ",""),"　","")))</f>
        <v/>
      </c>
      <c r="H3877" s="2" t="str">
        <f aca="false">IF($G3877="","",4キー同時!$B$240)</f>
        <v/>
      </c>
      <c r="I3877" s="2" t="str">
        <f aca="false">IF($G3877="","",4キー同時!$G$240)</f>
        <v/>
      </c>
      <c r="J3877" s="2" t="str">
        <f aca="false">IF($G3877="","",4キー同時!$L$240)</f>
        <v/>
      </c>
      <c r="K3877" s="2" t="str">
        <f aca="false">IF($G3877="","","5")</f>
        <v/>
      </c>
      <c r="L3877" s="2" t="str">
        <f aca="false">IF($G3877="","","同時")</f>
        <v/>
      </c>
      <c r="M3877" s="2" t="str">
        <f aca="false">IF($G3877="","",IF(ISNA(MATCH($G3877,個別指定!$A:$A,0)),"行なし",""))</f>
        <v/>
      </c>
      <c r="N3877" s="2" t="str">
        <f aca="false">IF($G3877="","",IF(COUNTIF($G$2:$G$4460,$G3877)&gt;1,"重複",""))</f>
        <v/>
      </c>
    </row>
    <row r="3878" customFormat="false" ht="16.5" hidden="false" customHeight="true" outlineLevel="0" collapsed="false">
      <c r="A3878" s="2" t="s">
        <v>447</v>
      </c>
      <c r="B3878" s="2" t="s">
        <v>466</v>
      </c>
      <c r="C3878" s="2" t="s">
        <v>5</v>
      </c>
      <c r="D3878" s="2" t="str">
        <f aca="false">IF(4キー同時!$B$240="","",4キー同時!$B$240)</f>
        <v/>
      </c>
      <c r="E3878" s="2" t="str">
        <f aca="false">IF(4キー同時!$G$240="","",4キー同時!$G$240)</f>
        <v/>
      </c>
      <c r="F3878" s="2" t="str">
        <f aca="false">IF(4キー同時!$L$240="","",4キー同時!$L$240)</f>
        <v/>
      </c>
      <c r="G3878" s="2" t="str">
        <f aca="false">IF(OR(4キー同時!$B$240="",4キー同時!$G$240="",4キー同時!$L$240=""),"",IF(4キー同時!Z242="","",SUBSTITUTE(SUBSTITUTE(4キー同時!Z242," ",""),"　","")))</f>
        <v/>
      </c>
      <c r="H3878" s="2" t="str">
        <f aca="false">IF($G3878="","",4キー同時!$B$240)</f>
        <v/>
      </c>
      <c r="I3878" s="2" t="str">
        <f aca="false">IF($G3878="","",4キー同時!$G$240)</f>
        <v/>
      </c>
      <c r="J3878" s="2" t="str">
        <f aca="false">IF($G3878="","",4キー同時!$L$240)</f>
        <v/>
      </c>
      <c r="K3878" s="2" t="str">
        <f aca="false">IF($G3878="","","6")</f>
        <v/>
      </c>
      <c r="L3878" s="2" t="str">
        <f aca="false">IF($G3878="","","同時")</f>
        <v/>
      </c>
      <c r="M3878" s="2" t="str">
        <f aca="false">IF($G3878="","",IF(ISNA(MATCH($G3878,個別指定!$A:$A,0)),"行なし",""))</f>
        <v/>
      </c>
      <c r="N3878" s="2" t="str">
        <f aca="false">IF($G3878="","",IF(COUNTIF($G$2:$G$4460,$G3878)&gt;1,"重複",""))</f>
        <v/>
      </c>
    </row>
    <row r="3879" customFormat="false" ht="16.5" hidden="false" customHeight="true" outlineLevel="0" collapsed="false">
      <c r="A3879" s="2" t="s">
        <v>447</v>
      </c>
      <c r="B3879" s="2" t="s">
        <v>466</v>
      </c>
      <c r="C3879" s="2" t="s">
        <v>6</v>
      </c>
      <c r="D3879" s="2" t="str">
        <f aca="false">IF(4キー同時!$B$240="","",4キー同時!$B$240)</f>
        <v/>
      </c>
      <c r="E3879" s="2" t="str">
        <f aca="false">IF(4キー同時!$G$240="","",4キー同時!$G$240)</f>
        <v/>
      </c>
      <c r="F3879" s="2" t="str">
        <f aca="false">IF(4キー同時!$L$240="","",4キー同時!$L$240)</f>
        <v/>
      </c>
      <c r="G3879" s="2" t="str">
        <f aca="false">IF(OR(4キー同時!$B$240="",4キー同時!$G$240="",4キー同時!$L$240=""),"",IF(4キー同時!AD242="","",SUBSTITUTE(SUBSTITUTE(4キー同時!AD242," ",""),"　","")))</f>
        <v/>
      </c>
      <c r="H3879" s="2" t="str">
        <f aca="false">IF($G3879="","",4キー同時!$B$240)</f>
        <v/>
      </c>
      <c r="I3879" s="2" t="str">
        <f aca="false">IF($G3879="","",4キー同時!$G$240)</f>
        <v/>
      </c>
      <c r="J3879" s="2" t="str">
        <f aca="false">IF($G3879="","",4キー同時!$L$240)</f>
        <v/>
      </c>
      <c r="K3879" s="2" t="str">
        <f aca="false">IF($G3879="","","7")</f>
        <v/>
      </c>
      <c r="L3879" s="2" t="str">
        <f aca="false">IF($G3879="","","同時")</f>
        <v/>
      </c>
      <c r="M3879" s="2" t="str">
        <f aca="false">IF($G3879="","",IF(ISNA(MATCH($G3879,個別指定!$A:$A,0)),"行なし",""))</f>
        <v/>
      </c>
      <c r="N3879" s="2" t="str">
        <f aca="false">IF($G3879="","",IF(COUNTIF($G$2:$G$4460,$G3879)&gt;1,"重複",""))</f>
        <v/>
      </c>
    </row>
    <row r="3880" customFormat="false" ht="16.5" hidden="false" customHeight="true" outlineLevel="0" collapsed="false">
      <c r="A3880" s="2" t="s">
        <v>447</v>
      </c>
      <c r="B3880" s="2" t="s">
        <v>466</v>
      </c>
      <c r="C3880" s="2" t="s">
        <v>7</v>
      </c>
      <c r="D3880" s="2" t="str">
        <f aca="false">IF(4キー同時!$B$240="","",4キー同時!$B$240)</f>
        <v/>
      </c>
      <c r="E3880" s="2" t="str">
        <f aca="false">IF(4キー同時!$G$240="","",4キー同時!$G$240)</f>
        <v/>
      </c>
      <c r="F3880" s="2" t="str">
        <f aca="false">IF(4キー同時!$L$240="","",4キー同時!$L$240)</f>
        <v/>
      </c>
      <c r="G3880" s="2" t="str">
        <f aca="false">IF(OR(4キー同時!$B$240="",4キー同時!$G$240="",4キー同時!$L$240=""),"",IF(4キー同時!AH242="","",SUBSTITUTE(SUBSTITUTE(4キー同時!AH242," ",""),"　","")))</f>
        <v/>
      </c>
      <c r="H3880" s="2" t="str">
        <f aca="false">IF($G3880="","",4キー同時!$B$240)</f>
        <v/>
      </c>
      <c r="I3880" s="2" t="str">
        <f aca="false">IF($G3880="","",4キー同時!$G$240)</f>
        <v/>
      </c>
      <c r="J3880" s="2" t="str">
        <f aca="false">IF($G3880="","",4キー同時!$L$240)</f>
        <v/>
      </c>
      <c r="K3880" s="2" t="str">
        <f aca="false">IF($G3880="","","8")</f>
        <v/>
      </c>
      <c r="L3880" s="2" t="str">
        <f aca="false">IF($G3880="","","同時")</f>
        <v/>
      </c>
      <c r="M3880" s="2" t="str">
        <f aca="false">IF($G3880="","",IF(ISNA(MATCH($G3880,個別指定!$A:$A,0)),"行なし",""))</f>
        <v/>
      </c>
      <c r="N3880" s="2" t="str">
        <f aca="false">IF($G3880="","",IF(COUNTIF($G$2:$G$4460,$G3880)&gt;1,"重複",""))</f>
        <v/>
      </c>
    </row>
    <row r="3881" customFormat="false" ht="16.5" hidden="false" customHeight="true" outlineLevel="0" collapsed="false">
      <c r="A3881" s="2" t="s">
        <v>447</v>
      </c>
      <c r="B3881" s="2" t="s">
        <v>466</v>
      </c>
      <c r="C3881" s="2" t="s">
        <v>8</v>
      </c>
      <c r="D3881" s="2" t="str">
        <f aca="false">IF(4キー同時!$B$240="","",4キー同時!$B$240)</f>
        <v/>
      </c>
      <c r="E3881" s="2" t="str">
        <f aca="false">IF(4キー同時!$G$240="","",4キー同時!$G$240)</f>
        <v/>
      </c>
      <c r="F3881" s="2" t="str">
        <f aca="false">IF(4キー同時!$L$240="","",4キー同時!$L$240)</f>
        <v/>
      </c>
      <c r="G3881" s="2" t="str">
        <f aca="false">IF(OR(4キー同時!$B$240="",4キー同時!$G$240="",4キー同時!$L$240=""),"",IF(4キー同時!AL242="","",SUBSTITUTE(SUBSTITUTE(4キー同時!AL242," ",""),"　","")))</f>
        <v/>
      </c>
      <c r="H3881" s="2" t="str">
        <f aca="false">IF($G3881="","",4キー同時!$B$240)</f>
        <v/>
      </c>
      <c r="I3881" s="2" t="str">
        <f aca="false">IF($G3881="","",4キー同時!$G$240)</f>
        <v/>
      </c>
      <c r="J3881" s="2" t="str">
        <f aca="false">IF($G3881="","",4キー同時!$L$240)</f>
        <v/>
      </c>
      <c r="K3881" s="2" t="str">
        <f aca="false">IF($G3881="","","9")</f>
        <v/>
      </c>
      <c r="L3881" s="2" t="str">
        <f aca="false">IF($G3881="","","同時")</f>
        <v/>
      </c>
      <c r="M3881" s="2" t="str">
        <f aca="false">IF($G3881="","",IF(ISNA(MATCH($G3881,個別指定!$A:$A,0)),"行なし",""))</f>
        <v/>
      </c>
      <c r="N3881" s="2" t="str">
        <f aca="false">IF($G3881="","",IF(COUNTIF($G$2:$G$4460,$G3881)&gt;1,"重複",""))</f>
        <v/>
      </c>
    </row>
    <row r="3882" customFormat="false" ht="16.5" hidden="false" customHeight="true" outlineLevel="0" collapsed="false">
      <c r="A3882" s="2" t="s">
        <v>447</v>
      </c>
      <c r="B3882" s="2" t="s">
        <v>466</v>
      </c>
      <c r="C3882" s="2" t="s">
        <v>9</v>
      </c>
      <c r="D3882" s="2" t="str">
        <f aca="false">IF(4キー同時!$B$240="","",4キー同時!$B$240)</f>
        <v/>
      </c>
      <c r="E3882" s="2" t="str">
        <f aca="false">IF(4キー同時!$G$240="","",4キー同時!$G$240)</f>
        <v/>
      </c>
      <c r="F3882" s="2" t="str">
        <f aca="false">IF(4キー同時!$L$240="","",4キー同時!$L$240)</f>
        <v/>
      </c>
      <c r="G3882" s="2" t="str">
        <f aca="false">IF(OR(4キー同時!$B$240="",4キー同時!$G$240="",4キー同時!$L$240=""),"",IF(4キー同時!AP242="","",SUBSTITUTE(SUBSTITUTE(4キー同時!AP242," ",""),"　","")))</f>
        <v/>
      </c>
      <c r="H3882" s="2" t="str">
        <f aca="false">IF($G3882="","",4キー同時!$B$240)</f>
        <v/>
      </c>
      <c r="I3882" s="2" t="str">
        <f aca="false">IF($G3882="","",4キー同時!$G$240)</f>
        <v/>
      </c>
      <c r="J3882" s="2" t="str">
        <f aca="false">IF($G3882="","",4キー同時!$L$240)</f>
        <v/>
      </c>
      <c r="K3882" s="2" t="str">
        <f aca="false">IF($G3882="","","0")</f>
        <v/>
      </c>
      <c r="L3882" s="2" t="str">
        <f aca="false">IF($G3882="","","同時")</f>
        <v/>
      </c>
      <c r="M3882" s="2" t="str">
        <f aca="false">IF($G3882="","",IF(ISNA(MATCH($G3882,個別指定!$A:$A,0)),"行なし",""))</f>
        <v/>
      </c>
      <c r="N3882" s="2" t="str">
        <f aca="false">IF($G3882="","",IF(COUNTIF($G$2:$G$4460,$G3882)&gt;1,"重複",""))</f>
        <v/>
      </c>
    </row>
    <row r="3883" customFormat="false" ht="16.5" hidden="false" customHeight="true" outlineLevel="0" collapsed="false">
      <c r="A3883" s="2" t="s">
        <v>447</v>
      </c>
      <c r="B3883" s="2" t="s">
        <v>466</v>
      </c>
      <c r="C3883" s="2" t="s">
        <v>10</v>
      </c>
      <c r="D3883" s="2" t="str">
        <f aca="false">IF(4キー同時!$B$240="","",4キー同時!$B$240)</f>
        <v/>
      </c>
      <c r="E3883" s="2" t="str">
        <f aca="false">IF(4キー同時!$G$240="","",4キー同時!$G$240)</f>
        <v/>
      </c>
      <c r="F3883" s="2" t="str">
        <f aca="false">IF(4キー同時!$L$240="","",4キー同時!$L$240)</f>
        <v/>
      </c>
      <c r="G3883" s="2" t="str">
        <f aca="false">IF(OR(4キー同時!$B$240="",4キー同時!$G$240="",4キー同時!$L$240=""),"",IF(4キー同時!AT242="","",SUBSTITUTE(SUBSTITUTE(4キー同時!AT242," ",""),"　","")))</f>
        <v/>
      </c>
      <c r="H3883" s="2" t="str">
        <f aca="false">IF($G3883="","",4キー同時!$B$240)</f>
        <v/>
      </c>
      <c r="I3883" s="2" t="str">
        <f aca="false">IF($G3883="","",4キー同時!$G$240)</f>
        <v/>
      </c>
      <c r="J3883" s="2" t="str">
        <f aca="false">IF($G3883="","",4キー同時!$L$240)</f>
        <v/>
      </c>
      <c r="K3883" s="2" t="str">
        <f aca="false">IF($G3883="","","-")</f>
        <v/>
      </c>
      <c r="L3883" s="2" t="str">
        <f aca="false">IF($G3883="","","同時")</f>
        <v/>
      </c>
      <c r="M3883" s="2" t="str">
        <f aca="false">IF($G3883="","",IF(ISNA(MATCH($G3883,個別指定!$A:$A,0)),"行なし",""))</f>
        <v/>
      </c>
      <c r="N3883" s="2" t="str">
        <f aca="false">IF($G3883="","",IF(COUNTIF($G$2:$G$4460,$G3883)&gt;1,"重複",""))</f>
        <v/>
      </c>
    </row>
    <row r="3884" customFormat="false" ht="16.5" hidden="false" customHeight="true" outlineLevel="0" collapsed="false">
      <c r="A3884" s="2" t="s">
        <v>447</v>
      </c>
      <c r="B3884" s="2" t="s">
        <v>466</v>
      </c>
      <c r="C3884" s="2" t="s">
        <v>11</v>
      </c>
      <c r="D3884" s="2" t="str">
        <f aca="false">IF(4キー同時!$B$240="","",4キー同時!$B$240)</f>
        <v/>
      </c>
      <c r="E3884" s="2" t="str">
        <f aca="false">IF(4キー同時!$G$240="","",4キー同時!$G$240)</f>
        <v/>
      </c>
      <c r="F3884" s="2" t="str">
        <f aca="false">IF(4キー同時!$L$240="","",4キー同時!$L$240)</f>
        <v/>
      </c>
      <c r="G3884" s="2" t="str">
        <f aca="false">IF(OR(4キー同時!$B$240="",4キー同時!$G$240="",4キー同時!$L$240=""),"",IF(4キー同時!AX242="","",SUBSTITUTE(SUBSTITUTE(4キー同時!AX242," ",""),"　","")))</f>
        <v/>
      </c>
      <c r="H3884" s="2" t="str">
        <f aca="false">IF($G3884="","",4キー同時!$B$240)</f>
        <v/>
      </c>
      <c r="I3884" s="2" t="str">
        <f aca="false">IF($G3884="","",4キー同時!$G$240)</f>
        <v/>
      </c>
      <c r="J3884" s="2" t="str">
        <f aca="false">IF($G3884="","",4キー同時!$L$240)</f>
        <v/>
      </c>
      <c r="K3884" s="2" t="str">
        <f aca="false">IF($G3884="","","=")</f>
        <v/>
      </c>
      <c r="L3884" s="2" t="str">
        <f aca="false">IF($G3884="","","同時")</f>
        <v/>
      </c>
      <c r="M3884" s="2" t="str">
        <f aca="false">IF($G3884="","",IF(ISNA(MATCH($G3884,個別指定!$A:$A,0)),"行なし",""))</f>
        <v/>
      </c>
      <c r="N3884" s="2" t="str">
        <f aca="false">IF($G3884="","",IF(COUNTIF($G$2:$G$4460,$G3884)&gt;1,"重複",""))</f>
        <v/>
      </c>
    </row>
    <row r="3885" customFormat="false" ht="16.5" hidden="false" customHeight="true" outlineLevel="0" collapsed="false">
      <c r="A3885" s="2" t="s">
        <v>447</v>
      </c>
      <c r="B3885" s="2" t="s">
        <v>466</v>
      </c>
      <c r="C3885" s="2" t="s">
        <v>12</v>
      </c>
      <c r="D3885" s="2" t="str">
        <f aca="false">IF(4キー同時!$B$240="","",4キー同時!$B$240)</f>
        <v/>
      </c>
      <c r="E3885" s="2" t="str">
        <f aca="false">IF(4キー同時!$G$240="","",4キー同時!$G$240)</f>
        <v/>
      </c>
      <c r="F3885" s="2" t="str">
        <f aca="false">IF(4キー同時!$L$240="","",4キー同時!$L$240)</f>
        <v/>
      </c>
      <c r="G3885" s="2" t="str">
        <f aca="false">IF(OR(4キー同時!$B$240="",4キー同時!$G$240="",4キー同時!$L$240=""),"",IF(4キー同時!H244="","",SUBSTITUTE(SUBSTITUTE(4キー同時!H244," ",""),"　","")))</f>
        <v/>
      </c>
      <c r="H3885" s="2" t="str">
        <f aca="false">IF($G3885="","",4キー同時!$B$240)</f>
        <v/>
      </c>
      <c r="I3885" s="2" t="str">
        <f aca="false">IF($G3885="","",4キー同時!$G$240)</f>
        <v/>
      </c>
      <c r="J3885" s="2" t="str">
        <f aca="false">IF($G3885="","",4キー同時!$L$240)</f>
        <v/>
      </c>
      <c r="K3885" s="2" t="str">
        <f aca="false">IF($G3885="","","q")</f>
        <v/>
      </c>
      <c r="L3885" s="2" t="str">
        <f aca="false">IF($G3885="","","同時")</f>
        <v/>
      </c>
      <c r="M3885" s="2" t="str">
        <f aca="false">IF($G3885="","",IF(ISNA(MATCH($G3885,個別指定!$A:$A,0)),"行なし",""))</f>
        <v/>
      </c>
      <c r="N3885" s="2" t="str">
        <f aca="false">IF($G3885="","",IF(COUNTIF($G$2:$G$4460,$G3885)&gt;1,"重複",""))</f>
        <v/>
      </c>
    </row>
    <row r="3886" customFormat="false" ht="16.5" hidden="false" customHeight="true" outlineLevel="0" collapsed="false">
      <c r="A3886" s="2" t="s">
        <v>447</v>
      </c>
      <c r="B3886" s="2" t="s">
        <v>466</v>
      </c>
      <c r="C3886" s="2" t="s">
        <v>13</v>
      </c>
      <c r="D3886" s="2" t="str">
        <f aca="false">IF(4キー同時!$B$240="","",4キー同時!$B$240)</f>
        <v/>
      </c>
      <c r="E3886" s="2" t="str">
        <f aca="false">IF(4キー同時!$G$240="","",4キー同時!$G$240)</f>
        <v/>
      </c>
      <c r="F3886" s="2" t="str">
        <f aca="false">IF(4キー同時!$L$240="","",4キー同時!$L$240)</f>
        <v/>
      </c>
      <c r="G3886" s="2" t="str">
        <f aca="false">IF(OR(4キー同時!$B$240="",4キー同時!$G$240="",4キー同時!$L$240=""),"",IF(4キー同時!L244="","",SUBSTITUTE(SUBSTITUTE(4キー同時!L244," ",""),"　","")))</f>
        <v/>
      </c>
      <c r="H3886" s="2" t="str">
        <f aca="false">IF($G3886="","",4キー同時!$B$240)</f>
        <v/>
      </c>
      <c r="I3886" s="2" t="str">
        <f aca="false">IF($G3886="","",4キー同時!$G$240)</f>
        <v/>
      </c>
      <c r="J3886" s="2" t="str">
        <f aca="false">IF($G3886="","",4キー同時!$L$240)</f>
        <v/>
      </c>
      <c r="K3886" s="2" t="str">
        <f aca="false">IF($G3886="","","w")</f>
        <v/>
      </c>
      <c r="L3886" s="2" t="str">
        <f aca="false">IF($G3886="","","同時")</f>
        <v/>
      </c>
      <c r="M3886" s="2" t="str">
        <f aca="false">IF($G3886="","",IF(ISNA(MATCH($G3886,個別指定!$A:$A,0)),"行なし",""))</f>
        <v/>
      </c>
      <c r="N3886" s="2" t="str">
        <f aca="false">IF($G3886="","",IF(COUNTIF($G$2:$G$4460,$G3886)&gt;1,"重複",""))</f>
        <v/>
      </c>
    </row>
    <row r="3887" customFormat="false" ht="16.5" hidden="false" customHeight="true" outlineLevel="0" collapsed="false">
      <c r="A3887" s="2" t="s">
        <v>447</v>
      </c>
      <c r="B3887" s="2" t="s">
        <v>466</v>
      </c>
      <c r="C3887" s="2" t="s">
        <v>14</v>
      </c>
      <c r="D3887" s="2" t="str">
        <f aca="false">IF(4キー同時!$B$240="","",4キー同時!$B$240)</f>
        <v/>
      </c>
      <c r="E3887" s="2" t="str">
        <f aca="false">IF(4キー同時!$G$240="","",4キー同時!$G$240)</f>
        <v/>
      </c>
      <c r="F3887" s="2" t="str">
        <f aca="false">IF(4キー同時!$L$240="","",4キー同時!$L$240)</f>
        <v/>
      </c>
      <c r="G3887" s="2" t="str">
        <f aca="false">IF(OR(4キー同時!$B$240="",4キー同時!$G$240="",4キー同時!$L$240=""),"",IF(4キー同時!P244="","",SUBSTITUTE(SUBSTITUTE(4キー同時!P244," ",""),"　","")))</f>
        <v/>
      </c>
      <c r="H3887" s="2" t="str">
        <f aca="false">IF($G3887="","",4キー同時!$B$240)</f>
        <v/>
      </c>
      <c r="I3887" s="2" t="str">
        <f aca="false">IF($G3887="","",4キー同時!$G$240)</f>
        <v/>
      </c>
      <c r="J3887" s="2" t="str">
        <f aca="false">IF($G3887="","",4キー同時!$L$240)</f>
        <v/>
      </c>
      <c r="K3887" s="2" t="str">
        <f aca="false">IF($G3887="","","e")</f>
        <v/>
      </c>
      <c r="L3887" s="2" t="str">
        <f aca="false">IF($G3887="","","同時")</f>
        <v/>
      </c>
      <c r="M3887" s="2" t="str">
        <f aca="false">IF($G3887="","",IF(ISNA(MATCH($G3887,個別指定!$A:$A,0)),"行なし",""))</f>
        <v/>
      </c>
      <c r="N3887" s="2" t="str">
        <f aca="false">IF($G3887="","",IF(COUNTIF($G$2:$G$4460,$G3887)&gt;1,"重複",""))</f>
        <v/>
      </c>
    </row>
    <row r="3888" customFormat="false" ht="16.5" hidden="false" customHeight="true" outlineLevel="0" collapsed="false">
      <c r="A3888" s="2" t="s">
        <v>447</v>
      </c>
      <c r="B3888" s="2" t="s">
        <v>466</v>
      </c>
      <c r="C3888" s="2" t="s">
        <v>15</v>
      </c>
      <c r="D3888" s="2" t="str">
        <f aca="false">IF(4キー同時!$B$240="","",4キー同時!$B$240)</f>
        <v/>
      </c>
      <c r="E3888" s="2" t="str">
        <f aca="false">IF(4キー同時!$G$240="","",4キー同時!$G$240)</f>
        <v/>
      </c>
      <c r="F3888" s="2" t="str">
        <f aca="false">IF(4キー同時!$L$240="","",4キー同時!$L$240)</f>
        <v/>
      </c>
      <c r="G3888" s="2" t="str">
        <f aca="false">IF(OR(4キー同時!$B$240="",4キー同時!$G$240="",4キー同時!$L$240=""),"",IF(4キー同時!T244="","",SUBSTITUTE(SUBSTITUTE(4キー同時!T244," ",""),"　","")))</f>
        <v/>
      </c>
      <c r="H3888" s="2" t="str">
        <f aca="false">IF($G3888="","",4キー同時!$B$240)</f>
        <v/>
      </c>
      <c r="I3888" s="2" t="str">
        <f aca="false">IF($G3888="","",4キー同時!$G$240)</f>
        <v/>
      </c>
      <c r="J3888" s="2" t="str">
        <f aca="false">IF($G3888="","",4キー同時!$L$240)</f>
        <v/>
      </c>
      <c r="K3888" s="2" t="str">
        <f aca="false">IF($G3888="","","r")</f>
        <v/>
      </c>
      <c r="L3888" s="2" t="str">
        <f aca="false">IF($G3888="","","同時")</f>
        <v/>
      </c>
      <c r="M3888" s="2" t="str">
        <f aca="false">IF($G3888="","",IF(ISNA(MATCH($G3888,個別指定!$A:$A,0)),"行なし",""))</f>
        <v/>
      </c>
      <c r="N3888" s="2" t="str">
        <f aca="false">IF($G3888="","",IF(COUNTIF($G$2:$G$4460,$G3888)&gt;1,"重複",""))</f>
        <v/>
      </c>
    </row>
    <row r="3889" customFormat="false" ht="16.5" hidden="false" customHeight="true" outlineLevel="0" collapsed="false">
      <c r="A3889" s="2" t="s">
        <v>447</v>
      </c>
      <c r="B3889" s="2" t="s">
        <v>466</v>
      </c>
      <c r="C3889" s="2" t="s">
        <v>16</v>
      </c>
      <c r="D3889" s="2" t="str">
        <f aca="false">IF(4キー同時!$B$240="","",4キー同時!$B$240)</f>
        <v/>
      </c>
      <c r="E3889" s="2" t="str">
        <f aca="false">IF(4キー同時!$G$240="","",4キー同時!$G$240)</f>
        <v/>
      </c>
      <c r="F3889" s="2" t="str">
        <f aca="false">IF(4キー同時!$L$240="","",4キー同時!$L$240)</f>
        <v/>
      </c>
      <c r="G3889" s="2" t="str">
        <f aca="false">IF(OR(4キー同時!$B$240="",4キー同時!$G$240="",4キー同時!$L$240=""),"",IF(4キー同時!X244="","",SUBSTITUTE(SUBSTITUTE(4キー同時!X244," ",""),"　","")))</f>
        <v/>
      </c>
      <c r="H3889" s="2" t="str">
        <f aca="false">IF($G3889="","",4キー同時!$B$240)</f>
        <v/>
      </c>
      <c r="I3889" s="2" t="str">
        <f aca="false">IF($G3889="","",4キー同時!$G$240)</f>
        <v/>
      </c>
      <c r="J3889" s="2" t="str">
        <f aca="false">IF($G3889="","",4キー同時!$L$240)</f>
        <v/>
      </c>
      <c r="K3889" s="2" t="str">
        <f aca="false">IF($G3889="","","t")</f>
        <v/>
      </c>
      <c r="L3889" s="2" t="str">
        <f aca="false">IF($G3889="","","同時")</f>
        <v/>
      </c>
      <c r="M3889" s="2" t="str">
        <f aca="false">IF($G3889="","",IF(ISNA(MATCH($G3889,個別指定!$A:$A,0)),"行なし",""))</f>
        <v/>
      </c>
      <c r="N3889" s="2" t="str">
        <f aca="false">IF($G3889="","",IF(COUNTIF($G$2:$G$4460,$G3889)&gt;1,"重複",""))</f>
        <v/>
      </c>
    </row>
    <row r="3890" customFormat="false" ht="16.5" hidden="false" customHeight="true" outlineLevel="0" collapsed="false">
      <c r="A3890" s="2" t="s">
        <v>447</v>
      </c>
      <c r="B3890" s="2" t="s">
        <v>466</v>
      </c>
      <c r="C3890" s="2" t="s">
        <v>17</v>
      </c>
      <c r="D3890" s="2" t="str">
        <f aca="false">IF(4キー同時!$B$240="","",4キー同時!$B$240)</f>
        <v/>
      </c>
      <c r="E3890" s="2" t="str">
        <f aca="false">IF(4キー同時!$G$240="","",4キー同時!$G$240)</f>
        <v/>
      </c>
      <c r="F3890" s="2" t="str">
        <f aca="false">IF(4キー同時!$L$240="","",4キー同時!$L$240)</f>
        <v/>
      </c>
      <c r="G3890" s="2" t="str">
        <f aca="false">IF(OR(4キー同時!$B$240="",4キー同時!$G$240="",4キー同時!$L$240=""),"",IF(4キー同時!AB244="","",SUBSTITUTE(SUBSTITUTE(4キー同時!AB244," ",""),"　","")))</f>
        <v/>
      </c>
      <c r="H3890" s="2" t="str">
        <f aca="false">IF($G3890="","",4キー同時!$B$240)</f>
        <v/>
      </c>
      <c r="I3890" s="2" t="str">
        <f aca="false">IF($G3890="","",4キー同時!$G$240)</f>
        <v/>
      </c>
      <c r="J3890" s="2" t="str">
        <f aca="false">IF($G3890="","",4キー同時!$L$240)</f>
        <v/>
      </c>
      <c r="K3890" s="2" t="str">
        <f aca="false">IF($G3890="","","y")</f>
        <v/>
      </c>
      <c r="L3890" s="2" t="str">
        <f aca="false">IF($G3890="","","同時")</f>
        <v/>
      </c>
      <c r="M3890" s="2" t="str">
        <f aca="false">IF($G3890="","",IF(ISNA(MATCH($G3890,個別指定!$A:$A,0)),"行なし",""))</f>
        <v/>
      </c>
      <c r="N3890" s="2" t="str">
        <f aca="false">IF($G3890="","",IF(COUNTIF($G$2:$G$4460,$G3890)&gt;1,"重複",""))</f>
        <v/>
      </c>
    </row>
    <row r="3891" customFormat="false" ht="16.5" hidden="false" customHeight="true" outlineLevel="0" collapsed="false">
      <c r="A3891" s="2" t="s">
        <v>447</v>
      </c>
      <c r="B3891" s="2" t="s">
        <v>466</v>
      </c>
      <c r="C3891" s="2" t="s">
        <v>18</v>
      </c>
      <c r="D3891" s="2" t="str">
        <f aca="false">IF(4キー同時!$B$240="","",4キー同時!$B$240)</f>
        <v/>
      </c>
      <c r="E3891" s="2" t="str">
        <f aca="false">IF(4キー同時!$G$240="","",4キー同時!$G$240)</f>
        <v/>
      </c>
      <c r="F3891" s="2" t="str">
        <f aca="false">IF(4キー同時!$L$240="","",4キー同時!$L$240)</f>
        <v/>
      </c>
      <c r="G3891" s="2" t="str">
        <f aca="false">IF(OR(4キー同時!$B$240="",4キー同時!$G$240="",4キー同時!$L$240=""),"",IF(4キー同時!AF244="","",SUBSTITUTE(SUBSTITUTE(4キー同時!AF244," ",""),"　","")))</f>
        <v/>
      </c>
      <c r="H3891" s="2" t="str">
        <f aca="false">IF($G3891="","",4キー同時!$B$240)</f>
        <v/>
      </c>
      <c r="I3891" s="2" t="str">
        <f aca="false">IF($G3891="","",4キー同時!$G$240)</f>
        <v/>
      </c>
      <c r="J3891" s="2" t="str">
        <f aca="false">IF($G3891="","",4キー同時!$L$240)</f>
        <v/>
      </c>
      <c r="K3891" s="2" t="str">
        <f aca="false">IF($G3891="","","u")</f>
        <v/>
      </c>
      <c r="L3891" s="2" t="str">
        <f aca="false">IF($G3891="","","同時")</f>
        <v/>
      </c>
      <c r="M3891" s="2" t="str">
        <f aca="false">IF($G3891="","",IF(ISNA(MATCH($G3891,個別指定!$A:$A,0)),"行なし",""))</f>
        <v/>
      </c>
      <c r="N3891" s="2" t="str">
        <f aca="false">IF($G3891="","",IF(COUNTIF($G$2:$G$4460,$G3891)&gt;1,"重複",""))</f>
        <v/>
      </c>
    </row>
    <row r="3892" customFormat="false" ht="16.5" hidden="false" customHeight="true" outlineLevel="0" collapsed="false">
      <c r="A3892" s="2" t="s">
        <v>447</v>
      </c>
      <c r="B3892" s="2" t="s">
        <v>466</v>
      </c>
      <c r="C3892" s="2" t="s">
        <v>19</v>
      </c>
      <c r="D3892" s="2" t="str">
        <f aca="false">IF(4キー同時!$B$240="","",4キー同時!$B$240)</f>
        <v/>
      </c>
      <c r="E3892" s="2" t="str">
        <f aca="false">IF(4キー同時!$G$240="","",4キー同時!$G$240)</f>
        <v/>
      </c>
      <c r="F3892" s="2" t="str">
        <f aca="false">IF(4キー同時!$L$240="","",4キー同時!$L$240)</f>
        <v/>
      </c>
      <c r="G3892" s="2" t="str">
        <f aca="false">IF(OR(4キー同時!$B$240="",4キー同時!$G$240="",4キー同時!$L$240=""),"",IF(4キー同時!AJ244="","",SUBSTITUTE(SUBSTITUTE(4キー同時!AJ244," ",""),"　","")))</f>
        <v/>
      </c>
      <c r="H3892" s="2" t="str">
        <f aca="false">IF($G3892="","",4キー同時!$B$240)</f>
        <v/>
      </c>
      <c r="I3892" s="2" t="str">
        <f aca="false">IF($G3892="","",4キー同時!$G$240)</f>
        <v/>
      </c>
      <c r="J3892" s="2" t="str">
        <f aca="false">IF($G3892="","",4キー同時!$L$240)</f>
        <v/>
      </c>
      <c r="K3892" s="2" t="str">
        <f aca="false">IF($G3892="","","i")</f>
        <v/>
      </c>
      <c r="L3892" s="2" t="str">
        <f aca="false">IF($G3892="","","同時")</f>
        <v/>
      </c>
      <c r="M3892" s="2" t="str">
        <f aca="false">IF($G3892="","",IF(ISNA(MATCH($G3892,個別指定!$A:$A,0)),"行なし",""))</f>
        <v/>
      </c>
      <c r="N3892" s="2" t="str">
        <f aca="false">IF($G3892="","",IF(COUNTIF($G$2:$G$4460,$G3892)&gt;1,"重複",""))</f>
        <v/>
      </c>
    </row>
    <row r="3893" customFormat="false" ht="16.5" hidden="false" customHeight="true" outlineLevel="0" collapsed="false">
      <c r="A3893" s="2" t="s">
        <v>447</v>
      </c>
      <c r="B3893" s="2" t="s">
        <v>466</v>
      </c>
      <c r="C3893" s="2" t="s">
        <v>20</v>
      </c>
      <c r="D3893" s="2" t="str">
        <f aca="false">IF(4キー同時!$B$240="","",4キー同時!$B$240)</f>
        <v/>
      </c>
      <c r="E3893" s="2" t="str">
        <f aca="false">IF(4キー同時!$G$240="","",4キー同時!$G$240)</f>
        <v/>
      </c>
      <c r="F3893" s="2" t="str">
        <f aca="false">IF(4キー同時!$L$240="","",4キー同時!$L$240)</f>
        <v/>
      </c>
      <c r="G3893" s="2" t="str">
        <f aca="false">IF(OR(4キー同時!$B$240="",4キー同時!$G$240="",4キー同時!$L$240=""),"",IF(4キー同時!AN244="","",SUBSTITUTE(SUBSTITUTE(4キー同時!AN244," ",""),"　","")))</f>
        <v/>
      </c>
      <c r="H3893" s="2" t="str">
        <f aca="false">IF($G3893="","",4キー同時!$B$240)</f>
        <v/>
      </c>
      <c r="I3893" s="2" t="str">
        <f aca="false">IF($G3893="","",4キー同時!$G$240)</f>
        <v/>
      </c>
      <c r="J3893" s="2" t="str">
        <f aca="false">IF($G3893="","",4キー同時!$L$240)</f>
        <v/>
      </c>
      <c r="K3893" s="2" t="str">
        <f aca="false">IF($G3893="","","o")</f>
        <v/>
      </c>
      <c r="L3893" s="2" t="str">
        <f aca="false">IF($G3893="","","同時")</f>
        <v/>
      </c>
      <c r="M3893" s="2" t="str">
        <f aca="false">IF($G3893="","",IF(ISNA(MATCH($G3893,個別指定!$A:$A,0)),"行なし",""))</f>
        <v/>
      </c>
      <c r="N3893" s="2" t="str">
        <f aca="false">IF($G3893="","",IF(COUNTIF($G$2:$G$4460,$G3893)&gt;1,"重複",""))</f>
        <v/>
      </c>
    </row>
    <row r="3894" customFormat="false" ht="16.5" hidden="false" customHeight="true" outlineLevel="0" collapsed="false">
      <c r="A3894" s="2" t="s">
        <v>447</v>
      </c>
      <c r="B3894" s="2" t="s">
        <v>466</v>
      </c>
      <c r="C3894" s="2" t="s">
        <v>21</v>
      </c>
      <c r="D3894" s="2" t="str">
        <f aca="false">IF(4キー同時!$B$240="","",4キー同時!$B$240)</f>
        <v/>
      </c>
      <c r="E3894" s="2" t="str">
        <f aca="false">IF(4キー同時!$G$240="","",4キー同時!$G$240)</f>
        <v/>
      </c>
      <c r="F3894" s="2" t="str">
        <f aca="false">IF(4キー同時!$L$240="","",4キー同時!$L$240)</f>
        <v/>
      </c>
      <c r="G3894" s="2" t="str">
        <f aca="false">IF(OR(4キー同時!$B$240="",4キー同時!$G$240="",4キー同時!$L$240=""),"",IF(4キー同時!AR244="","",SUBSTITUTE(SUBSTITUTE(4キー同時!AR244," ",""),"　","")))</f>
        <v/>
      </c>
      <c r="H3894" s="2" t="str">
        <f aca="false">IF($G3894="","",4キー同時!$B$240)</f>
        <v/>
      </c>
      <c r="I3894" s="2" t="str">
        <f aca="false">IF($G3894="","",4キー同時!$G$240)</f>
        <v/>
      </c>
      <c r="J3894" s="2" t="str">
        <f aca="false">IF($G3894="","",4キー同時!$L$240)</f>
        <v/>
      </c>
      <c r="K3894" s="2" t="str">
        <f aca="false">IF($G3894="","","p")</f>
        <v/>
      </c>
      <c r="L3894" s="2" t="str">
        <f aca="false">IF($G3894="","","同時")</f>
        <v/>
      </c>
      <c r="M3894" s="2" t="str">
        <f aca="false">IF($G3894="","",IF(ISNA(MATCH($G3894,個別指定!$A:$A,0)),"行なし",""))</f>
        <v/>
      </c>
      <c r="N3894" s="2" t="str">
        <f aca="false">IF($G3894="","",IF(COUNTIF($G$2:$G$4460,$G3894)&gt;1,"重複",""))</f>
        <v/>
      </c>
    </row>
    <row r="3895" customFormat="false" ht="16.5" hidden="false" customHeight="true" outlineLevel="0" collapsed="false">
      <c r="A3895" s="2" t="s">
        <v>447</v>
      </c>
      <c r="B3895" s="2" t="s">
        <v>466</v>
      </c>
      <c r="C3895" s="2" t="s">
        <v>22</v>
      </c>
      <c r="D3895" s="2" t="str">
        <f aca="false">IF(4キー同時!$B$240="","",4キー同時!$B$240)</f>
        <v/>
      </c>
      <c r="E3895" s="2" t="str">
        <f aca="false">IF(4キー同時!$G$240="","",4キー同時!$G$240)</f>
        <v/>
      </c>
      <c r="F3895" s="2" t="str">
        <f aca="false">IF(4キー同時!$L$240="","",4キー同時!$L$240)</f>
        <v/>
      </c>
      <c r="G3895" s="2" t="str">
        <f aca="false">IF(OR(4キー同時!$B$240="",4キー同時!$G$240="",4キー同時!$L$240=""),"",IF(4キー同時!AV244="","",SUBSTITUTE(SUBSTITUTE(4キー同時!AV244," ",""),"　","")))</f>
        <v/>
      </c>
      <c r="H3895" s="2" t="str">
        <f aca="false">IF($G3895="","",4キー同時!$B$240)</f>
        <v/>
      </c>
      <c r="I3895" s="2" t="str">
        <f aca="false">IF($G3895="","",4キー同時!$G$240)</f>
        <v/>
      </c>
      <c r="J3895" s="2" t="str">
        <f aca="false">IF($G3895="","",4キー同時!$L$240)</f>
        <v/>
      </c>
      <c r="K3895" s="2" t="str">
        <f aca="false">IF($G3895="","","[")</f>
        <v/>
      </c>
      <c r="L3895" s="2" t="str">
        <f aca="false">IF($G3895="","","同時")</f>
        <v/>
      </c>
      <c r="M3895" s="2" t="str">
        <f aca="false">IF($G3895="","",IF(ISNA(MATCH($G3895,個別指定!$A:$A,0)),"行なし",""))</f>
        <v/>
      </c>
      <c r="N3895" s="2" t="str">
        <f aca="false">IF($G3895="","",IF(COUNTIF($G$2:$G$4460,$G3895)&gt;1,"重複",""))</f>
        <v/>
      </c>
    </row>
    <row r="3896" customFormat="false" ht="16.5" hidden="false" customHeight="true" outlineLevel="0" collapsed="false">
      <c r="A3896" s="2" t="s">
        <v>447</v>
      </c>
      <c r="B3896" s="2" t="s">
        <v>466</v>
      </c>
      <c r="C3896" s="2" t="s">
        <v>23</v>
      </c>
      <c r="D3896" s="2" t="str">
        <f aca="false">IF(4キー同時!$B$240="","",4キー同時!$B$240)</f>
        <v/>
      </c>
      <c r="E3896" s="2" t="str">
        <f aca="false">IF(4キー同時!$G$240="","",4キー同時!$G$240)</f>
        <v/>
      </c>
      <c r="F3896" s="2" t="str">
        <f aca="false">IF(4キー同時!$L$240="","",4キー同時!$L$240)</f>
        <v/>
      </c>
      <c r="G3896" s="2" t="str">
        <f aca="false">IF(OR(4キー同時!$B$240="",4キー同時!$G$240="",4キー同時!$L$240=""),"",IF(4キー同時!AZ244="","",SUBSTITUTE(SUBSTITUTE(4キー同時!AZ244," ",""),"　","")))</f>
        <v/>
      </c>
      <c r="H3896" s="2" t="str">
        <f aca="false">IF($G3896="","",4キー同時!$B$240)</f>
        <v/>
      </c>
      <c r="I3896" s="2" t="str">
        <f aca="false">IF($G3896="","",4キー同時!$G$240)</f>
        <v/>
      </c>
      <c r="J3896" s="2" t="str">
        <f aca="false">IF($G3896="","",4キー同時!$L$240)</f>
        <v/>
      </c>
      <c r="K3896" s="2" t="str">
        <f aca="false">IF($G3896="","","]")</f>
        <v/>
      </c>
      <c r="L3896" s="2" t="str">
        <f aca="false">IF($G3896="","","同時")</f>
        <v/>
      </c>
      <c r="M3896" s="2" t="str">
        <f aca="false">IF($G3896="","",IF(ISNA(MATCH($G3896,個別指定!$A:$A,0)),"行なし",""))</f>
        <v/>
      </c>
      <c r="N3896" s="2" t="str">
        <f aca="false">IF($G3896="","",IF(COUNTIF($G$2:$G$4460,$G3896)&gt;1,"重複",""))</f>
        <v/>
      </c>
    </row>
    <row r="3897" customFormat="false" ht="16.5" hidden="false" customHeight="true" outlineLevel="0" collapsed="false">
      <c r="A3897" s="2" t="s">
        <v>447</v>
      </c>
      <c r="B3897" s="2" t="s">
        <v>466</v>
      </c>
      <c r="C3897" s="2" t="s">
        <v>24</v>
      </c>
      <c r="D3897" s="2" t="str">
        <f aca="false">IF(4キー同時!$B$240="","",4キー同時!$B$240)</f>
        <v/>
      </c>
      <c r="E3897" s="2" t="str">
        <f aca="false">IF(4キー同時!$G$240="","",4キー同時!$G$240)</f>
        <v/>
      </c>
      <c r="F3897" s="2" t="str">
        <f aca="false">IF(4キー同時!$L$240="","",4キー同時!$L$240)</f>
        <v/>
      </c>
      <c r="G3897" s="2" t="str">
        <f aca="false">IF(OR(4キー同時!$B$240="",4キー同時!$G$240="",4キー同時!$L$240=""),"",IF(4キー同時!I246="","",SUBSTITUTE(SUBSTITUTE(4キー同時!I246," ",""),"　","")))</f>
        <v/>
      </c>
      <c r="H3897" s="2" t="str">
        <f aca="false">IF($G3897="","",4キー同時!$B$240)</f>
        <v/>
      </c>
      <c r="I3897" s="2" t="str">
        <f aca="false">IF($G3897="","",4キー同時!$G$240)</f>
        <v/>
      </c>
      <c r="J3897" s="2" t="str">
        <f aca="false">IF($G3897="","",4キー同時!$L$240)</f>
        <v/>
      </c>
      <c r="K3897" s="2" t="str">
        <f aca="false">IF($G3897="","","a")</f>
        <v/>
      </c>
      <c r="L3897" s="2" t="str">
        <f aca="false">IF($G3897="","","同時")</f>
        <v/>
      </c>
      <c r="M3897" s="2" t="str">
        <f aca="false">IF($G3897="","",IF(ISNA(MATCH($G3897,個別指定!$A:$A,0)),"行なし",""))</f>
        <v/>
      </c>
      <c r="N3897" s="2" t="str">
        <f aca="false">IF($G3897="","",IF(COUNTIF($G$2:$G$4460,$G3897)&gt;1,"重複",""))</f>
        <v/>
      </c>
    </row>
    <row r="3898" customFormat="false" ht="16.5" hidden="false" customHeight="true" outlineLevel="0" collapsed="false">
      <c r="A3898" s="2" t="s">
        <v>447</v>
      </c>
      <c r="B3898" s="2" t="s">
        <v>466</v>
      </c>
      <c r="C3898" s="2" t="s">
        <v>25</v>
      </c>
      <c r="D3898" s="2" t="str">
        <f aca="false">IF(4キー同時!$B$240="","",4キー同時!$B$240)</f>
        <v/>
      </c>
      <c r="E3898" s="2" t="str">
        <f aca="false">IF(4キー同時!$G$240="","",4キー同時!$G$240)</f>
        <v/>
      </c>
      <c r="F3898" s="2" t="str">
        <f aca="false">IF(4キー同時!$L$240="","",4キー同時!$L$240)</f>
        <v/>
      </c>
      <c r="G3898" s="2" t="str">
        <f aca="false">IF(OR(4キー同時!$B$240="",4キー同時!$G$240="",4キー同時!$L$240=""),"",IF(4キー同時!M246="","",SUBSTITUTE(SUBSTITUTE(4キー同時!M246," ",""),"　","")))</f>
        <v/>
      </c>
      <c r="H3898" s="2" t="str">
        <f aca="false">IF($G3898="","",4キー同時!$B$240)</f>
        <v/>
      </c>
      <c r="I3898" s="2" t="str">
        <f aca="false">IF($G3898="","",4キー同時!$G$240)</f>
        <v/>
      </c>
      <c r="J3898" s="2" t="str">
        <f aca="false">IF($G3898="","",4キー同時!$L$240)</f>
        <v/>
      </c>
      <c r="K3898" s="2" t="str">
        <f aca="false">IF($G3898="","","s")</f>
        <v/>
      </c>
      <c r="L3898" s="2" t="str">
        <f aca="false">IF($G3898="","","同時")</f>
        <v/>
      </c>
      <c r="M3898" s="2" t="str">
        <f aca="false">IF($G3898="","",IF(ISNA(MATCH($G3898,個別指定!$A:$A,0)),"行なし",""))</f>
        <v/>
      </c>
      <c r="N3898" s="2" t="str">
        <f aca="false">IF($G3898="","",IF(COUNTIF($G$2:$G$4460,$G3898)&gt;1,"重複",""))</f>
        <v/>
      </c>
    </row>
    <row r="3899" customFormat="false" ht="16.5" hidden="false" customHeight="true" outlineLevel="0" collapsed="false">
      <c r="A3899" s="2" t="s">
        <v>447</v>
      </c>
      <c r="B3899" s="2" t="s">
        <v>466</v>
      </c>
      <c r="C3899" s="2" t="s">
        <v>26</v>
      </c>
      <c r="D3899" s="2" t="str">
        <f aca="false">IF(4キー同時!$B$240="","",4キー同時!$B$240)</f>
        <v/>
      </c>
      <c r="E3899" s="2" t="str">
        <f aca="false">IF(4キー同時!$G$240="","",4キー同時!$G$240)</f>
        <v/>
      </c>
      <c r="F3899" s="2" t="str">
        <f aca="false">IF(4キー同時!$L$240="","",4キー同時!$L$240)</f>
        <v/>
      </c>
      <c r="G3899" s="2" t="str">
        <f aca="false">IF(OR(4キー同時!$B$240="",4キー同時!$G$240="",4キー同時!$L$240=""),"",IF(4キー同時!Q246="","",SUBSTITUTE(SUBSTITUTE(4キー同時!Q246," ",""),"　","")))</f>
        <v/>
      </c>
      <c r="H3899" s="2" t="str">
        <f aca="false">IF($G3899="","",4キー同時!$B$240)</f>
        <v/>
      </c>
      <c r="I3899" s="2" t="str">
        <f aca="false">IF($G3899="","",4キー同時!$G$240)</f>
        <v/>
      </c>
      <c r="J3899" s="2" t="str">
        <f aca="false">IF($G3899="","",4キー同時!$L$240)</f>
        <v/>
      </c>
      <c r="K3899" s="2" t="str">
        <f aca="false">IF($G3899="","","d")</f>
        <v/>
      </c>
      <c r="L3899" s="2" t="str">
        <f aca="false">IF($G3899="","","同時")</f>
        <v/>
      </c>
      <c r="M3899" s="2" t="str">
        <f aca="false">IF($G3899="","",IF(ISNA(MATCH($G3899,個別指定!$A:$A,0)),"行なし",""))</f>
        <v/>
      </c>
      <c r="N3899" s="2" t="str">
        <f aca="false">IF($G3899="","",IF(COUNTIF($G$2:$G$4460,$G3899)&gt;1,"重複",""))</f>
        <v/>
      </c>
    </row>
    <row r="3900" customFormat="false" ht="16.5" hidden="false" customHeight="true" outlineLevel="0" collapsed="false">
      <c r="A3900" s="2" t="s">
        <v>447</v>
      </c>
      <c r="B3900" s="2" t="s">
        <v>466</v>
      </c>
      <c r="C3900" s="2" t="s">
        <v>27</v>
      </c>
      <c r="D3900" s="2" t="str">
        <f aca="false">IF(4キー同時!$B$240="","",4キー同時!$B$240)</f>
        <v/>
      </c>
      <c r="E3900" s="2" t="str">
        <f aca="false">IF(4キー同時!$G$240="","",4キー同時!$G$240)</f>
        <v/>
      </c>
      <c r="F3900" s="2" t="str">
        <f aca="false">IF(4キー同時!$L$240="","",4キー同時!$L$240)</f>
        <v/>
      </c>
      <c r="G3900" s="2" t="str">
        <f aca="false">IF(OR(4キー同時!$B$240="",4キー同時!$G$240="",4キー同時!$L$240=""),"",IF(4キー同時!U246="","",SUBSTITUTE(SUBSTITUTE(4キー同時!U246," ",""),"　","")))</f>
        <v/>
      </c>
      <c r="H3900" s="2" t="str">
        <f aca="false">IF($G3900="","",4キー同時!$B$240)</f>
        <v/>
      </c>
      <c r="I3900" s="2" t="str">
        <f aca="false">IF($G3900="","",4キー同時!$G$240)</f>
        <v/>
      </c>
      <c r="J3900" s="2" t="str">
        <f aca="false">IF($G3900="","",4キー同時!$L$240)</f>
        <v/>
      </c>
      <c r="K3900" s="2" t="str">
        <f aca="false">IF($G3900="","","f")</f>
        <v/>
      </c>
      <c r="L3900" s="2" t="str">
        <f aca="false">IF($G3900="","","同時")</f>
        <v/>
      </c>
      <c r="M3900" s="2" t="str">
        <f aca="false">IF($G3900="","",IF(ISNA(MATCH($G3900,個別指定!$A:$A,0)),"行なし",""))</f>
        <v/>
      </c>
      <c r="N3900" s="2" t="str">
        <f aca="false">IF($G3900="","",IF(COUNTIF($G$2:$G$4460,$G3900)&gt;1,"重複",""))</f>
        <v/>
      </c>
    </row>
    <row r="3901" customFormat="false" ht="16.5" hidden="false" customHeight="true" outlineLevel="0" collapsed="false">
      <c r="A3901" s="2" t="s">
        <v>447</v>
      </c>
      <c r="B3901" s="2" t="s">
        <v>466</v>
      </c>
      <c r="C3901" s="2" t="s">
        <v>28</v>
      </c>
      <c r="D3901" s="2" t="str">
        <f aca="false">IF(4キー同時!$B$240="","",4キー同時!$B$240)</f>
        <v/>
      </c>
      <c r="E3901" s="2" t="str">
        <f aca="false">IF(4キー同時!$G$240="","",4キー同時!$G$240)</f>
        <v/>
      </c>
      <c r="F3901" s="2" t="str">
        <f aca="false">IF(4キー同時!$L$240="","",4キー同時!$L$240)</f>
        <v/>
      </c>
      <c r="G3901" s="2" t="str">
        <f aca="false">IF(OR(4キー同時!$B$240="",4キー同時!$G$240="",4キー同時!$L$240=""),"",IF(4キー同時!Y246="","",SUBSTITUTE(SUBSTITUTE(4キー同時!Y246," ",""),"　","")))</f>
        <v/>
      </c>
      <c r="H3901" s="2" t="str">
        <f aca="false">IF($G3901="","",4キー同時!$B$240)</f>
        <v/>
      </c>
      <c r="I3901" s="2" t="str">
        <f aca="false">IF($G3901="","",4キー同時!$G$240)</f>
        <v/>
      </c>
      <c r="J3901" s="2" t="str">
        <f aca="false">IF($G3901="","",4キー同時!$L$240)</f>
        <v/>
      </c>
      <c r="K3901" s="2" t="str">
        <f aca="false">IF($G3901="","","g")</f>
        <v/>
      </c>
      <c r="L3901" s="2" t="str">
        <f aca="false">IF($G3901="","","同時")</f>
        <v/>
      </c>
      <c r="M3901" s="2" t="str">
        <f aca="false">IF($G3901="","",IF(ISNA(MATCH($G3901,個別指定!$A:$A,0)),"行なし",""))</f>
        <v/>
      </c>
      <c r="N3901" s="2" t="str">
        <f aca="false">IF($G3901="","",IF(COUNTIF($G$2:$G$4460,$G3901)&gt;1,"重複",""))</f>
        <v/>
      </c>
    </row>
    <row r="3902" customFormat="false" ht="16.5" hidden="false" customHeight="true" outlineLevel="0" collapsed="false">
      <c r="A3902" s="2" t="s">
        <v>447</v>
      </c>
      <c r="B3902" s="2" t="s">
        <v>466</v>
      </c>
      <c r="C3902" s="2" t="s">
        <v>29</v>
      </c>
      <c r="D3902" s="2" t="str">
        <f aca="false">IF(4キー同時!$B$240="","",4キー同時!$B$240)</f>
        <v/>
      </c>
      <c r="E3902" s="2" t="str">
        <f aca="false">IF(4キー同時!$G$240="","",4キー同時!$G$240)</f>
        <v/>
      </c>
      <c r="F3902" s="2" t="str">
        <f aca="false">IF(4キー同時!$L$240="","",4キー同時!$L$240)</f>
        <v/>
      </c>
      <c r="G3902" s="2" t="str">
        <f aca="false">IF(OR(4キー同時!$B$240="",4キー同時!$G$240="",4キー同時!$L$240=""),"",IF(4キー同時!AC246="","",SUBSTITUTE(SUBSTITUTE(4キー同時!AC246," ",""),"　","")))</f>
        <v/>
      </c>
      <c r="H3902" s="2" t="str">
        <f aca="false">IF($G3902="","",4キー同時!$B$240)</f>
        <v/>
      </c>
      <c r="I3902" s="2" t="str">
        <f aca="false">IF($G3902="","",4キー同時!$G$240)</f>
        <v/>
      </c>
      <c r="J3902" s="2" t="str">
        <f aca="false">IF($G3902="","",4キー同時!$L$240)</f>
        <v/>
      </c>
      <c r="K3902" s="2" t="str">
        <f aca="false">IF($G3902="","","h")</f>
        <v/>
      </c>
      <c r="L3902" s="2" t="str">
        <f aca="false">IF($G3902="","","同時")</f>
        <v/>
      </c>
      <c r="M3902" s="2" t="str">
        <f aca="false">IF($G3902="","",IF(ISNA(MATCH($G3902,個別指定!$A:$A,0)),"行なし",""))</f>
        <v/>
      </c>
      <c r="N3902" s="2" t="str">
        <f aca="false">IF($G3902="","",IF(COUNTIF($G$2:$G$4460,$G3902)&gt;1,"重複",""))</f>
        <v/>
      </c>
    </row>
    <row r="3903" customFormat="false" ht="16.5" hidden="false" customHeight="true" outlineLevel="0" collapsed="false">
      <c r="A3903" s="2" t="s">
        <v>447</v>
      </c>
      <c r="B3903" s="2" t="s">
        <v>466</v>
      </c>
      <c r="C3903" s="2" t="s">
        <v>30</v>
      </c>
      <c r="D3903" s="2" t="str">
        <f aca="false">IF(4キー同時!$B$240="","",4キー同時!$B$240)</f>
        <v/>
      </c>
      <c r="E3903" s="2" t="str">
        <f aca="false">IF(4キー同時!$G$240="","",4キー同時!$G$240)</f>
        <v/>
      </c>
      <c r="F3903" s="2" t="str">
        <f aca="false">IF(4キー同時!$L$240="","",4キー同時!$L$240)</f>
        <v/>
      </c>
      <c r="G3903" s="2" t="str">
        <f aca="false">IF(OR(4キー同時!$B$240="",4キー同時!$G$240="",4キー同時!$L$240=""),"",IF(4キー同時!AG246="","",SUBSTITUTE(SUBSTITUTE(4キー同時!AG246," ",""),"　","")))</f>
        <v/>
      </c>
      <c r="H3903" s="2" t="str">
        <f aca="false">IF($G3903="","",4キー同時!$B$240)</f>
        <v/>
      </c>
      <c r="I3903" s="2" t="str">
        <f aca="false">IF($G3903="","",4キー同時!$G$240)</f>
        <v/>
      </c>
      <c r="J3903" s="2" t="str">
        <f aca="false">IF($G3903="","",4キー同時!$L$240)</f>
        <v/>
      </c>
      <c r="K3903" s="2" t="str">
        <f aca="false">IF($G3903="","","j")</f>
        <v/>
      </c>
      <c r="L3903" s="2" t="str">
        <f aca="false">IF($G3903="","","同時")</f>
        <v/>
      </c>
      <c r="M3903" s="2" t="str">
        <f aca="false">IF($G3903="","",IF(ISNA(MATCH($G3903,個別指定!$A:$A,0)),"行なし",""))</f>
        <v/>
      </c>
      <c r="N3903" s="2" t="str">
        <f aca="false">IF($G3903="","",IF(COUNTIF($G$2:$G$4460,$G3903)&gt;1,"重複",""))</f>
        <v/>
      </c>
    </row>
    <row r="3904" customFormat="false" ht="16.5" hidden="false" customHeight="true" outlineLevel="0" collapsed="false">
      <c r="A3904" s="2" t="s">
        <v>447</v>
      </c>
      <c r="B3904" s="2" t="s">
        <v>466</v>
      </c>
      <c r="C3904" s="2" t="s">
        <v>31</v>
      </c>
      <c r="D3904" s="2" t="str">
        <f aca="false">IF(4キー同時!$B$240="","",4キー同時!$B$240)</f>
        <v/>
      </c>
      <c r="E3904" s="2" t="str">
        <f aca="false">IF(4キー同時!$G$240="","",4キー同時!$G$240)</f>
        <v/>
      </c>
      <c r="F3904" s="2" t="str">
        <f aca="false">IF(4キー同時!$L$240="","",4キー同時!$L$240)</f>
        <v/>
      </c>
      <c r="G3904" s="2" t="str">
        <f aca="false">IF(OR(4キー同時!$B$240="",4キー同時!$G$240="",4キー同時!$L$240=""),"",IF(4キー同時!AK246="","",SUBSTITUTE(SUBSTITUTE(4キー同時!AK246," ",""),"　","")))</f>
        <v/>
      </c>
      <c r="H3904" s="2" t="str">
        <f aca="false">IF($G3904="","",4キー同時!$B$240)</f>
        <v/>
      </c>
      <c r="I3904" s="2" t="str">
        <f aca="false">IF($G3904="","",4キー同時!$G$240)</f>
        <v/>
      </c>
      <c r="J3904" s="2" t="str">
        <f aca="false">IF($G3904="","",4キー同時!$L$240)</f>
        <v/>
      </c>
      <c r="K3904" s="2" t="str">
        <f aca="false">IF($G3904="","","k")</f>
        <v/>
      </c>
      <c r="L3904" s="2" t="str">
        <f aca="false">IF($G3904="","","同時")</f>
        <v/>
      </c>
      <c r="M3904" s="2" t="str">
        <f aca="false">IF($G3904="","",IF(ISNA(MATCH($G3904,個別指定!$A:$A,0)),"行なし",""))</f>
        <v/>
      </c>
      <c r="N3904" s="2" t="str">
        <f aca="false">IF($G3904="","",IF(COUNTIF($G$2:$G$4460,$G3904)&gt;1,"重複",""))</f>
        <v/>
      </c>
    </row>
    <row r="3905" customFormat="false" ht="16.5" hidden="false" customHeight="true" outlineLevel="0" collapsed="false">
      <c r="A3905" s="2" t="s">
        <v>447</v>
      </c>
      <c r="B3905" s="2" t="s">
        <v>466</v>
      </c>
      <c r="C3905" s="2" t="s">
        <v>32</v>
      </c>
      <c r="D3905" s="2" t="str">
        <f aca="false">IF(4キー同時!$B$240="","",4キー同時!$B$240)</f>
        <v/>
      </c>
      <c r="E3905" s="2" t="str">
        <f aca="false">IF(4キー同時!$G$240="","",4キー同時!$G$240)</f>
        <v/>
      </c>
      <c r="F3905" s="2" t="str">
        <f aca="false">IF(4キー同時!$L$240="","",4キー同時!$L$240)</f>
        <v/>
      </c>
      <c r="G3905" s="2" t="str">
        <f aca="false">IF(OR(4キー同時!$B$240="",4キー同時!$G$240="",4キー同時!$L$240=""),"",IF(4キー同時!AO246="","",SUBSTITUTE(SUBSTITUTE(4キー同時!AO246," ",""),"　","")))</f>
        <v/>
      </c>
      <c r="H3905" s="2" t="str">
        <f aca="false">IF($G3905="","",4キー同時!$B$240)</f>
        <v/>
      </c>
      <c r="I3905" s="2" t="str">
        <f aca="false">IF($G3905="","",4キー同時!$G$240)</f>
        <v/>
      </c>
      <c r="J3905" s="2" t="str">
        <f aca="false">IF($G3905="","",4キー同時!$L$240)</f>
        <v/>
      </c>
      <c r="K3905" s="2" t="str">
        <f aca="false">IF($G3905="","","l")</f>
        <v/>
      </c>
      <c r="L3905" s="2" t="str">
        <f aca="false">IF($G3905="","","同時")</f>
        <v/>
      </c>
      <c r="M3905" s="2" t="str">
        <f aca="false">IF($G3905="","",IF(ISNA(MATCH($G3905,個別指定!$A:$A,0)),"行なし",""))</f>
        <v/>
      </c>
      <c r="N3905" s="2" t="str">
        <f aca="false">IF($G3905="","",IF(COUNTIF($G$2:$G$4460,$G3905)&gt;1,"重複",""))</f>
        <v/>
      </c>
    </row>
    <row r="3906" customFormat="false" ht="16.5" hidden="false" customHeight="true" outlineLevel="0" collapsed="false">
      <c r="A3906" s="2" t="s">
        <v>447</v>
      </c>
      <c r="B3906" s="2" t="s">
        <v>466</v>
      </c>
      <c r="C3906" s="2" t="s">
        <v>33</v>
      </c>
      <c r="D3906" s="2" t="str">
        <f aca="false">IF(4キー同時!$B$240="","",4キー同時!$B$240)</f>
        <v/>
      </c>
      <c r="E3906" s="2" t="str">
        <f aca="false">IF(4キー同時!$G$240="","",4キー同時!$G$240)</f>
        <v/>
      </c>
      <c r="F3906" s="2" t="str">
        <f aca="false">IF(4キー同時!$L$240="","",4キー同時!$L$240)</f>
        <v/>
      </c>
      <c r="G3906" s="2" t="str">
        <f aca="false">IF(OR(4キー同時!$B$240="",4キー同時!$G$240="",4キー同時!$L$240=""),"",IF(4キー同時!AS246="","",SUBSTITUTE(SUBSTITUTE(4キー同時!AS246," ",""),"　","")))</f>
        <v/>
      </c>
      <c r="H3906" s="2" t="str">
        <f aca="false">IF($G3906="","",4キー同時!$B$240)</f>
        <v/>
      </c>
      <c r="I3906" s="2" t="str">
        <f aca="false">IF($G3906="","",4キー同時!$G$240)</f>
        <v/>
      </c>
      <c r="J3906" s="2" t="str">
        <f aca="false">IF($G3906="","",4キー同時!$L$240)</f>
        <v/>
      </c>
      <c r="K3906" s="2" t="str">
        <f aca="false">IF($G3906="","",";")</f>
        <v/>
      </c>
      <c r="L3906" s="2" t="str">
        <f aca="false">IF($G3906="","","同時")</f>
        <v/>
      </c>
      <c r="M3906" s="2" t="str">
        <f aca="false">IF($G3906="","",IF(ISNA(MATCH($G3906,個別指定!$A:$A,0)),"行なし",""))</f>
        <v/>
      </c>
      <c r="N3906" s="2" t="str">
        <f aca="false">IF($G3906="","",IF(COUNTIF($G$2:$G$4460,$G3906)&gt;1,"重複",""))</f>
        <v/>
      </c>
    </row>
    <row r="3907" customFormat="false" ht="16.5" hidden="false" customHeight="true" outlineLevel="0" collapsed="false">
      <c r="A3907" s="2" t="s">
        <v>447</v>
      </c>
      <c r="B3907" s="2" t="s">
        <v>466</v>
      </c>
      <c r="C3907" s="2" t="s">
        <v>34</v>
      </c>
      <c r="D3907" s="2" t="str">
        <f aca="false">IF(4キー同時!$B$240="","",4キー同時!$B$240)</f>
        <v/>
      </c>
      <c r="E3907" s="2" t="str">
        <f aca="false">IF(4キー同時!$G$240="","",4キー同時!$G$240)</f>
        <v/>
      </c>
      <c r="F3907" s="2" t="str">
        <f aca="false">IF(4キー同時!$L$240="","",4キー同時!$L$240)</f>
        <v/>
      </c>
      <c r="G3907" s="2" t="str">
        <f aca="false">IF(OR(4キー同時!$B$240="",4キー同時!$G$240="",4キー同時!$L$240=""),"",IF(4キー同時!AW246="","",SUBSTITUTE(SUBSTITUTE(4キー同時!AW246," ",""),"　","")))</f>
        <v/>
      </c>
      <c r="H3907" s="2" t="str">
        <f aca="false">IF($G3907="","",4キー同時!$B$240)</f>
        <v/>
      </c>
      <c r="I3907" s="2" t="str">
        <f aca="false">IF($G3907="","",4キー同時!$G$240)</f>
        <v/>
      </c>
      <c r="J3907" s="2" t="str">
        <f aca="false">IF($G3907="","",4キー同時!$L$240)</f>
        <v/>
      </c>
      <c r="K3907" s="2" t="str">
        <f aca="false">IF($G3907="","","'")</f>
        <v/>
      </c>
      <c r="L3907" s="2" t="str">
        <f aca="false">IF($G3907="","","同時")</f>
        <v/>
      </c>
      <c r="M3907" s="2" t="str">
        <f aca="false">IF($G3907="","",IF(ISNA(MATCH($G3907,個別指定!$A:$A,0)),"行なし",""))</f>
        <v/>
      </c>
      <c r="N3907" s="2" t="str">
        <f aca="false">IF($G3907="","",IF(COUNTIF($G$2:$G$4460,$G3907)&gt;1,"重複",""))</f>
        <v/>
      </c>
    </row>
    <row r="3908" customFormat="false" ht="16.5" hidden="false" customHeight="true" outlineLevel="0" collapsed="false">
      <c r="A3908" s="2" t="s">
        <v>447</v>
      </c>
      <c r="B3908" s="2" t="s">
        <v>466</v>
      </c>
      <c r="C3908" s="2" t="s">
        <v>35</v>
      </c>
      <c r="D3908" s="2" t="str">
        <f aca="false">IF(4キー同時!$B$240="","",4キー同時!$B$240)</f>
        <v/>
      </c>
      <c r="E3908" s="2" t="str">
        <f aca="false">IF(4キー同時!$G$240="","",4キー同時!$G$240)</f>
        <v/>
      </c>
      <c r="F3908" s="2" t="str">
        <f aca="false">IF(4キー同時!$L$240="","",4キー同時!$L$240)</f>
        <v/>
      </c>
      <c r="G3908" s="2" t="str">
        <f aca="false">IF(OR(4キー同時!$B$240="",4キー同時!$G$240="",4キー同時!$L$240=""),"",IF(4キー同時!K248="","",SUBSTITUTE(SUBSTITUTE(4キー同時!K248," ",""),"　","")))</f>
        <v/>
      </c>
      <c r="H3908" s="2" t="str">
        <f aca="false">IF($G3908="","",4キー同時!$B$240)</f>
        <v/>
      </c>
      <c r="I3908" s="2" t="str">
        <f aca="false">IF($G3908="","",4キー同時!$G$240)</f>
        <v/>
      </c>
      <c r="J3908" s="2" t="str">
        <f aca="false">IF($G3908="","",4キー同時!$L$240)</f>
        <v/>
      </c>
      <c r="K3908" s="2" t="str">
        <f aca="false">IF($G3908="","","z")</f>
        <v/>
      </c>
      <c r="L3908" s="2" t="str">
        <f aca="false">IF($G3908="","","同時")</f>
        <v/>
      </c>
      <c r="M3908" s="2" t="str">
        <f aca="false">IF($G3908="","",IF(ISNA(MATCH($G3908,個別指定!$A:$A,0)),"行なし",""))</f>
        <v/>
      </c>
      <c r="N3908" s="2" t="str">
        <f aca="false">IF($G3908="","",IF(COUNTIF($G$2:$G$4460,$G3908)&gt;1,"重複",""))</f>
        <v/>
      </c>
    </row>
    <row r="3909" customFormat="false" ht="16.5" hidden="false" customHeight="true" outlineLevel="0" collapsed="false">
      <c r="A3909" s="2" t="s">
        <v>447</v>
      </c>
      <c r="B3909" s="2" t="s">
        <v>466</v>
      </c>
      <c r="C3909" s="2" t="s">
        <v>36</v>
      </c>
      <c r="D3909" s="2" t="str">
        <f aca="false">IF(4キー同時!$B$240="","",4キー同時!$B$240)</f>
        <v/>
      </c>
      <c r="E3909" s="2" t="str">
        <f aca="false">IF(4キー同時!$G$240="","",4キー同時!$G$240)</f>
        <v/>
      </c>
      <c r="F3909" s="2" t="str">
        <f aca="false">IF(4キー同時!$L$240="","",4キー同時!$L$240)</f>
        <v/>
      </c>
      <c r="G3909" s="2" t="str">
        <f aca="false">IF(OR(4キー同時!$B$240="",4キー同時!$G$240="",4キー同時!$L$240=""),"",IF(4キー同時!O248="","",SUBSTITUTE(SUBSTITUTE(4キー同時!O248," ",""),"　","")))</f>
        <v/>
      </c>
      <c r="H3909" s="2" t="str">
        <f aca="false">IF($G3909="","",4キー同時!$B$240)</f>
        <v/>
      </c>
      <c r="I3909" s="2" t="str">
        <f aca="false">IF($G3909="","",4キー同時!$G$240)</f>
        <v/>
      </c>
      <c r="J3909" s="2" t="str">
        <f aca="false">IF($G3909="","",4キー同時!$L$240)</f>
        <v/>
      </c>
      <c r="K3909" s="2" t="str">
        <f aca="false">IF($G3909="","","x")</f>
        <v/>
      </c>
      <c r="L3909" s="2" t="str">
        <f aca="false">IF($G3909="","","同時")</f>
        <v/>
      </c>
      <c r="M3909" s="2" t="str">
        <f aca="false">IF($G3909="","",IF(ISNA(MATCH($G3909,個別指定!$A:$A,0)),"行なし",""))</f>
        <v/>
      </c>
      <c r="N3909" s="2" t="str">
        <f aca="false">IF($G3909="","",IF(COUNTIF($G$2:$G$4460,$G3909)&gt;1,"重複",""))</f>
        <v/>
      </c>
    </row>
    <row r="3910" customFormat="false" ht="16.5" hidden="false" customHeight="true" outlineLevel="0" collapsed="false">
      <c r="A3910" s="2" t="s">
        <v>447</v>
      </c>
      <c r="B3910" s="2" t="s">
        <v>466</v>
      </c>
      <c r="C3910" s="2" t="s">
        <v>37</v>
      </c>
      <c r="D3910" s="2" t="str">
        <f aca="false">IF(4キー同時!$B$240="","",4キー同時!$B$240)</f>
        <v/>
      </c>
      <c r="E3910" s="2" t="str">
        <f aca="false">IF(4キー同時!$G$240="","",4キー同時!$G$240)</f>
        <v/>
      </c>
      <c r="F3910" s="2" t="str">
        <f aca="false">IF(4キー同時!$L$240="","",4キー同時!$L$240)</f>
        <v/>
      </c>
      <c r="G3910" s="2" t="str">
        <f aca="false">IF(OR(4キー同時!$B$240="",4キー同時!$G$240="",4キー同時!$L$240=""),"",IF(4キー同時!S248="","",SUBSTITUTE(SUBSTITUTE(4キー同時!S248," ",""),"　","")))</f>
        <v/>
      </c>
      <c r="H3910" s="2" t="str">
        <f aca="false">IF($G3910="","",4キー同時!$B$240)</f>
        <v/>
      </c>
      <c r="I3910" s="2" t="str">
        <f aca="false">IF($G3910="","",4キー同時!$G$240)</f>
        <v/>
      </c>
      <c r="J3910" s="2" t="str">
        <f aca="false">IF($G3910="","",4キー同時!$L$240)</f>
        <v/>
      </c>
      <c r="K3910" s="2" t="str">
        <f aca="false">IF($G3910="","","c")</f>
        <v/>
      </c>
      <c r="L3910" s="2" t="str">
        <f aca="false">IF($G3910="","","同時")</f>
        <v/>
      </c>
      <c r="M3910" s="2" t="str">
        <f aca="false">IF($G3910="","",IF(ISNA(MATCH($G3910,個別指定!$A:$A,0)),"行なし",""))</f>
        <v/>
      </c>
      <c r="N3910" s="2" t="str">
        <f aca="false">IF($G3910="","",IF(COUNTIF($G$2:$G$4460,$G3910)&gt;1,"重複",""))</f>
        <v/>
      </c>
    </row>
    <row r="3911" customFormat="false" ht="16.5" hidden="false" customHeight="true" outlineLevel="0" collapsed="false">
      <c r="A3911" s="2" t="s">
        <v>447</v>
      </c>
      <c r="B3911" s="2" t="s">
        <v>466</v>
      </c>
      <c r="C3911" s="2" t="s">
        <v>38</v>
      </c>
      <c r="D3911" s="2" t="str">
        <f aca="false">IF(4キー同時!$B$240="","",4キー同時!$B$240)</f>
        <v/>
      </c>
      <c r="E3911" s="2" t="str">
        <f aca="false">IF(4キー同時!$G$240="","",4キー同時!$G$240)</f>
        <v/>
      </c>
      <c r="F3911" s="2" t="str">
        <f aca="false">IF(4キー同時!$L$240="","",4キー同時!$L$240)</f>
        <v/>
      </c>
      <c r="G3911" s="2" t="str">
        <f aca="false">IF(OR(4キー同時!$B$240="",4キー同時!$G$240="",4キー同時!$L$240=""),"",IF(4キー同時!W248="","",SUBSTITUTE(SUBSTITUTE(4キー同時!W248," ",""),"　","")))</f>
        <v/>
      </c>
      <c r="H3911" s="2" t="str">
        <f aca="false">IF($G3911="","",4キー同時!$B$240)</f>
        <v/>
      </c>
      <c r="I3911" s="2" t="str">
        <f aca="false">IF($G3911="","",4キー同時!$G$240)</f>
        <v/>
      </c>
      <c r="J3911" s="2" t="str">
        <f aca="false">IF($G3911="","",4キー同時!$L$240)</f>
        <v/>
      </c>
      <c r="K3911" s="2" t="str">
        <f aca="false">IF($G3911="","","v")</f>
        <v/>
      </c>
      <c r="L3911" s="2" t="str">
        <f aca="false">IF($G3911="","","同時")</f>
        <v/>
      </c>
      <c r="M3911" s="2" t="str">
        <f aca="false">IF($G3911="","",IF(ISNA(MATCH($G3911,個別指定!$A:$A,0)),"行なし",""))</f>
        <v/>
      </c>
      <c r="N3911" s="2" t="str">
        <f aca="false">IF($G3911="","",IF(COUNTIF($G$2:$G$4460,$G3911)&gt;1,"重複",""))</f>
        <v/>
      </c>
    </row>
    <row r="3912" customFormat="false" ht="16.5" hidden="false" customHeight="true" outlineLevel="0" collapsed="false">
      <c r="A3912" s="2" t="s">
        <v>447</v>
      </c>
      <c r="B3912" s="2" t="s">
        <v>466</v>
      </c>
      <c r="C3912" s="2" t="s">
        <v>39</v>
      </c>
      <c r="D3912" s="2" t="str">
        <f aca="false">IF(4キー同時!$B$240="","",4キー同時!$B$240)</f>
        <v/>
      </c>
      <c r="E3912" s="2" t="str">
        <f aca="false">IF(4キー同時!$G$240="","",4キー同時!$G$240)</f>
        <v/>
      </c>
      <c r="F3912" s="2" t="str">
        <f aca="false">IF(4キー同時!$L$240="","",4キー同時!$L$240)</f>
        <v/>
      </c>
      <c r="G3912" s="2" t="str">
        <f aca="false">IF(OR(4キー同時!$B$240="",4キー同時!$G$240="",4キー同時!$L$240=""),"",IF(4キー同時!AA248="","",SUBSTITUTE(SUBSTITUTE(4キー同時!AA248," ",""),"　","")))</f>
        <v/>
      </c>
      <c r="H3912" s="2" t="str">
        <f aca="false">IF($G3912="","",4キー同時!$B$240)</f>
        <v/>
      </c>
      <c r="I3912" s="2" t="str">
        <f aca="false">IF($G3912="","",4キー同時!$G$240)</f>
        <v/>
      </c>
      <c r="J3912" s="2" t="str">
        <f aca="false">IF($G3912="","",4キー同時!$L$240)</f>
        <v/>
      </c>
      <c r="K3912" s="2" t="str">
        <f aca="false">IF($G3912="","","b")</f>
        <v/>
      </c>
      <c r="L3912" s="2" t="str">
        <f aca="false">IF($G3912="","","同時")</f>
        <v/>
      </c>
      <c r="M3912" s="2" t="str">
        <f aca="false">IF($G3912="","",IF(ISNA(MATCH($G3912,個別指定!$A:$A,0)),"行なし",""))</f>
        <v/>
      </c>
      <c r="N3912" s="2" t="str">
        <f aca="false">IF($G3912="","",IF(COUNTIF($G$2:$G$4460,$G3912)&gt;1,"重複",""))</f>
        <v/>
      </c>
    </row>
    <row r="3913" customFormat="false" ht="16.5" hidden="false" customHeight="true" outlineLevel="0" collapsed="false">
      <c r="A3913" s="2" t="s">
        <v>447</v>
      </c>
      <c r="B3913" s="2" t="s">
        <v>466</v>
      </c>
      <c r="C3913" s="2" t="s">
        <v>40</v>
      </c>
      <c r="D3913" s="2" t="str">
        <f aca="false">IF(4キー同時!$B$240="","",4キー同時!$B$240)</f>
        <v/>
      </c>
      <c r="E3913" s="2" t="str">
        <f aca="false">IF(4キー同時!$G$240="","",4キー同時!$G$240)</f>
        <v/>
      </c>
      <c r="F3913" s="2" t="str">
        <f aca="false">IF(4キー同時!$L$240="","",4キー同時!$L$240)</f>
        <v/>
      </c>
      <c r="G3913" s="2" t="str">
        <f aca="false">IF(OR(4キー同時!$B$240="",4キー同時!$G$240="",4キー同時!$L$240=""),"",IF(4キー同時!AE248="","",SUBSTITUTE(SUBSTITUTE(4キー同時!AE248," ",""),"　","")))</f>
        <v/>
      </c>
      <c r="H3913" s="2" t="str">
        <f aca="false">IF($G3913="","",4キー同時!$B$240)</f>
        <v/>
      </c>
      <c r="I3913" s="2" t="str">
        <f aca="false">IF($G3913="","",4キー同時!$G$240)</f>
        <v/>
      </c>
      <c r="J3913" s="2" t="str">
        <f aca="false">IF($G3913="","",4キー同時!$L$240)</f>
        <v/>
      </c>
      <c r="K3913" s="2" t="str">
        <f aca="false">IF($G3913="","","n")</f>
        <v/>
      </c>
      <c r="L3913" s="2" t="str">
        <f aca="false">IF($G3913="","","同時")</f>
        <v/>
      </c>
      <c r="M3913" s="2" t="str">
        <f aca="false">IF($G3913="","",IF(ISNA(MATCH($G3913,個別指定!$A:$A,0)),"行なし",""))</f>
        <v/>
      </c>
      <c r="N3913" s="2" t="str">
        <f aca="false">IF($G3913="","",IF(COUNTIF($G$2:$G$4460,$G3913)&gt;1,"重複",""))</f>
        <v/>
      </c>
    </row>
    <row r="3914" customFormat="false" ht="16.5" hidden="false" customHeight="true" outlineLevel="0" collapsed="false">
      <c r="A3914" s="2" t="s">
        <v>447</v>
      </c>
      <c r="B3914" s="2" t="s">
        <v>466</v>
      </c>
      <c r="C3914" s="2" t="s">
        <v>41</v>
      </c>
      <c r="D3914" s="2" t="str">
        <f aca="false">IF(4キー同時!$B$240="","",4キー同時!$B$240)</f>
        <v/>
      </c>
      <c r="E3914" s="2" t="str">
        <f aca="false">IF(4キー同時!$G$240="","",4キー同時!$G$240)</f>
        <v/>
      </c>
      <c r="F3914" s="2" t="str">
        <f aca="false">IF(4キー同時!$L$240="","",4キー同時!$L$240)</f>
        <v/>
      </c>
      <c r="G3914" s="2" t="str">
        <f aca="false">IF(OR(4キー同時!$B$240="",4キー同時!$G$240="",4キー同時!$L$240=""),"",IF(4キー同時!AI248="","",SUBSTITUTE(SUBSTITUTE(4キー同時!AI248," ",""),"　","")))</f>
        <v/>
      </c>
      <c r="H3914" s="2" t="str">
        <f aca="false">IF($G3914="","",4キー同時!$B$240)</f>
        <v/>
      </c>
      <c r="I3914" s="2" t="str">
        <f aca="false">IF($G3914="","",4キー同時!$G$240)</f>
        <v/>
      </c>
      <c r="J3914" s="2" t="str">
        <f aca="false">IF($G3914="","",4キー同時!$L$240)</f>
        <v/>
      </c>
      <c r="K3914" s="2" t="str">
        <f aca="false">IF($G3914="","","m")</f>
        <v/>
      </c>
      <c r="L3914" s="2" t="str">
        <f aca="false">IF($G3914="","","同時")</f>
        <v/>
      </c>
      <c r="M3914" s="2" t="str">
        <f aca="false">IF($G3914="","",IF(ISNA(MATCH($G3914,個別指定!$A:$A,0)),"行なし",""))</f>
        <v/>
      </c>
      <c r="N3914" s="2" t="str">
        <f aca="false">IF($G3914="","",IF(COUNTIF($G$2:$G$4460,$G3914)&gt;1,"重複",""))</f>
        <v/>
      </c>
    </row>
    <row r="3915" customFormat="false" ht="16.5" hidden="false" customHeight="true" outlineLevel="0" collapsed="false">
      <c r="A3915" s="2" t="s">
        <v>447</v>
      </c>
      <c r="B3915" s="2" t="s">
        <v>466</v>
      </c>
      <c r="C3915" s="2" t="s">
        <v>42</v>
      </c>
      <c r="D3915" s="2" t="str">
        <f aca="false">IF(4キー同時!$B$240="","",4キー同時!$B$240)</f>
        <v/>
      </c>
      <c r="E3915" s="2" t="str">
        <f aca="false">IF(4キー同時!$G$240="","",4キー同時!$G$240)</f>
        <v/>
      </c>
      <c r="F3915" s="2" t="str">
        <f aca="false">IF(4キー同時!$L$240="","",4キー同時!$L$240)</f>
        <v/>
      </c>
      <c r="G3915" s="2" t="str">
        <f aca="false">IF(OR(4キー同時!$B$240="",4キー同時!$G$240="",4キー同時!$L$240=""),"",IF(4キー同時!AM248="","",SUBSTITUTE(SUBSTITUTE(4キー同時!AM248," ",""),"　","")))</f>
        <v/>
      </c>
      <c r="H3915" s="2" t="str">
        <f aca="false">IF($G3915="","",4キー同時!$B$240)</f>
        <v/>
      </c>
      <c r="I3915" s="2" t="str">
        <f aca="false">IF($G3915="","",4キー同時!$G$240)</f>
        <v/>
      </c>
      <c r="J3915" s="2" t="str">
        <f aca="false">IF($G3915="","",4キー同時!$L$240)</f>
        <v/>
      </c>
      <c r="K3915" s="2" t="str">
        <f aca="false">IF($G3915="","",",")</f>
        <v/>
      </c>
      <c r="L3915" s="2" t="str">
        <f aca="false">IF($G3915="","","同時")</f>
        <v/>
      </c>
      <c r="M3915" s="2" t="str">
        <f aca="false">IF($G3915="","",IF(ISNA(MATCH($G3915,個別指定!$A:$A,0)),"行なし",""))</f>
        <v/>
      </c>
      <c r="N3915" s="2" t="str">
        <f aca="false">IF($G3915="","",IF(COUNTIF($G$2:$G$4460,$G3915)&gt;1,"重複",""))</f>
        <v/>
      </c>
    </row>
    <row r="3916" customFormat="false" ht="16.5" hidden="false" customHeight="true" outlineLevel="0" collapsed="false">
      <c r="A3916" s="2" t="s">
        <v>447</v>
      </c>
      <c r="B3916" s="2" t="s">
        <v>466</v>
      </c>
      <c r="C3916" s="2" t="s">
        <v>43</v>
      </c>
      <c r="D3916" s="2" t="str">
        <f aca="false">IF(4キー同時!$B$240="","",4キー同時!$B$240)</f>
        <v/>
      </c>
      <c r="E3916" s="2" t="str">
        <f aca="false">IF(4キー同時!$G$240="","",4キー同時!$G$240)</f>
        <v/>
      </c>
      <c r="F3916" s="2" t="str">
        <f aca="false">IF(4キー同時!$L$240="","",4キー同時!$L$240)</f>
        <v/>
      </c>
      <c r="G3916" s="2" t="str">
        <f aca="false">IF(OR(4キー同時!$B$240="",4キー同時!$G$240="",4キー同時!$L$240=""),"",IF(4キー同時!AQ248="","",SUBSTITUTE(SUBSTITUTE(4キー同時!AQ248," ",""),"　","")))</f>
        <v/>
      </c>
      <c r="H3916" s="2" t="str">
        <f aca="false">IF($G3916="","",4キー同時!$B$240)</f>
        <v/>
      </c>
      <c r="I3916" s="2" t="str">
        <f aca="false">IF($G3916="","",4キー同時!$G$240)</f>
        <v/>
      </c>
      <c r="J3916" s="2" t="str">
        <f aca="false">IF($G3916="","",4キー同時!$L$240)</f>
        <v/>
      </c>
      <c r="K3916" s="2" t="str">
        <f aca="false">IF($G3916="","",".")</f>
        <v/>
      </c>
      <c r="L3916" s="2" t="str">
        <f aca="false">IF($G3916="","","同時")</f>
        <v/>
      </c>
      <c r="M3916" s="2" t="str">
        <f aca="false">IF($G3916="","",IF(ISNA(MATCH($G3916,個別指定!$A:$A,0)),"行なし",""))</f>
        <v/>
      </c>
      <c r="N3916" s="2" t="str">
        <f aca="false">IF($G3916="","",IF(COUNTIF($G$2:$G$4460,$G3916)&gt;1,"重複",""))</f>
        <v/>
      </c>
    </row>
    <row r="3917" customFormat="false" ht="16.5" hidden="false" customHeight="true" outlineLevel="0" collapsed="false">
      <c r="A3917" s="2" t="s">
        <v>447</v>
      </c>
      <c r="B3917" s="2" t="s">
        <v>466</v>
      </c>
      <c r="C3917" s="2" t="s">
        <v>44</v>
      </c>
      <c r="D3917" s="2" t="str">
        <f aca="false">IF(4キー同時!$B$240="","",4キー同時!$B$240)</f>
        <v/>
      </c>
      <c r="E3917" s="2" t="str">
        <f aca="false">IF(4キー同時!$G$240="","",4キー同時!$G$240)</f>
        <v/>
      </c>
      <c r="F3917" s="2" t="str">
        <f aca="false">IF(4キー同時!$L$240="","",4キー同時!$L$240)</f>
        <v/>
      </c>
      <c r="G3917" s="2" t="str">
        <f aca="false">IF(OR(4キー同時!$B$240="",4キー同時!$G$240="",4キー同時!$L$240=""),"",IF(4キー同時!AU248="","",SUBSTITUTE(SUBSTITUTE(4キー同時!AU248," ",""),"　","")))</f>
        <v/>
      </c>
      <c r="H3917" s="2" t="str">
        <f aca="false">IF($G3917="","",4キー同時!$B$240)</f>
        <v/>
      </c>
      <c r="I3917" s="2" t="str">
        <f aca="false">IF($G3917="","",4キー同時!$G$240)</f>
        <v/>
      </c>
      <c r="J3917" s="2" t="str">
        <f aca="false">IF($G3917="","",4キー同時!$L$240)</f>
        <v/>
      </c>
      <c r="K3917" s="2" t="str">
        <f aca="false">IF($G3917="","","/")</f>
        <v/>
      </c>
      <c r="L3917" s="2" t="str">
        <f aca="false">IF($G3917="","","同時")</f>
        <v/>
      </c>
      <c r="M3917" s="2" t="str">
        <f aca="false">IF($G3917="","",IF(ISNA(MATCH($G3917,個別指定!$A:$A,0)),"行なし",""))</f>
        <v/>
      </c>
      <c r="N3917" s="2" t="str">
        <f aca="false">IF($G3917="","",IF(COUNTIF($G$2:$G$4460,$G3917)&gt;1,"重複",""))</f>
        <v/>
      </c>
    </row>
    <row r="3918" customFormat="false" ht="16.5" hidden="false" customHeight="true" outlineLevel="0" collapsed="false">
      <c r="A3918" s="2" t="s">
        <v>447</v>
      </c>
      <c r="B3918" s="2" t="s">
        <v>466</v>
      </c>
      <c r="C3918" s="2" t="s">
        <v>48</v>
      </c>
      <c r="D3918" s="2" t="str">
        <f aca="false">IF(4キー同時!$B$240="","",4キー同時!$B$240)</f>
        <v/>
      </c>
      <c r="E3918" s="2" t="str">
        <f aca="false">IF(4キー同時!$G$240="","",4キー同時!$G$240)</f>
        <v/>
      </c>
      <c r="F3918" s="2" t="str">
        <f aca="false">IF(4キー同時!$L$240="","",4キー同時!$L$240)</f>
        <v/>
      </c>
      <c r="G3918" s="2" t="str">
        <f aca="false">IF(OR(4キー同時!$B$240="",4キー同時!$G$240="",4キー同時!$L$240=""),"",IF(4キー同時!P250="","",SUBSTITUTE(SUBSTITUTE(4キー同時!P250," ",""),"　","")))</f>
        <v/>
      </c>
      <c r="H3918" s="2" t="str">
        <f aca="false">IF($G3918="","",4キー同時!$B$240)</f>
        <v/>
      </c>
      <c r="I3918" s="2" t="str">
        <f aca="false">IF($G3918="","",4キー同時!$G$240)</f>
        <v/>
      </c>
      <c r="J3918" s="2" t="str">
        <f aca="false">IF($G3918="","",4キー同時!$L$240)</f>
        <v/>
      </c>
      <c r="K3918" s="2" t="str">
        <f aca="false">IF($G3918="","","muhenkan")</f>
        <v/>
      </c>
      <c r="L3918" s="2" t="str">
        <f aca="false">IF($G3918="","","同時")</f>
        <v/>
      </c>
      <c r="M3918" s="2" t="str">
        <f aca="false">IF($G3918="","",IF(ISNA(MATCH($G3918,個別指定!$A:$A,0)),"行なし",""))</f>
        <v/>
      </c>
      <c r="N3918" s="2" t="str">
        <f aca="false">IF($G3918="","",IF(COUNTIF($G$2:$G$4460,$G3918)&gt;1,"重複",""))</f>
        <v/>
      </c>
    </row>
    <row r="3919" customFormat="false" ht="16.5" hidden="false" customHeight="true" outlineLevel="0" collapsed="false">
      <c r="A3919" s="2" t="s">
        <v>447</v>
      </c>
      <c r="B3919" s="2" t="s">
        <v>466</v>
      </c>
      <c r="C3919" s="2" t="s">
        <v>50</v>
      </c>
      <c r="D3919" s="2" t="str">
        <f aca="false">IF(4キー同時!$B$240="","",4キー同時!$B$240)</f>
        <v/>
      </c>
      <c r="E3919" s="2" t="str">
        <f aca="false">IF(4キー同時!$G$240="","",4キー同時!$G$240)</f>
        <v/>
      </c>
      <c r="F3919" s="2" t="str">
        <f aca="false">IF(4キー同時!$L$240="","",4キー同時!$L$240)</f>
        <v/>
      </c>
      <c r="G3919" s="2" t="str">
        <f aca="false">IF(OR(4キー同時!$B$240="",4キー同時!$G$240="",4キー同時!$L$240=""),"",IF(4キー同時!T250="","",SUBSTITUTE(SUBSTITUTE(4キー同時!T250," ",""),"　","")))</f>
        <v/>
      </c>
      <c r="H3919" s="2" t="str">
        <f aca="false">IF($G3919="","",4キー同時!$B$240)</f>
        <v/>
      </c>
      <c r="I3919" s="2" t="str">
        <f aca="false">IF($G3919="","",4キー同時!$G$240)</f>
        <v/>
      </c>
      <c r="J3919" s="2" t="str">
        <f aca="false">IF($G3919="","",4キー同時!$L$240)</f>
        <v/>
      </c>
      <c r="K3919" s="2" t="str">
        <f aca="false">IF($G3919="","","space")</f>
        <v/>
      </c>
      <c r="L3919" s="2" t="str">
        <f aca="false">IF($G3919="","","同時")</f>
        <v/>
      </c>
      <c r="M3919" s="2" t="str">
        <f aca="false">IF($G3919="","",IF(ISNA(MATCH($G3919,個別指定!$A:$A,0)),"行なし",""))</f>
        <v/>
      </c>
      <c r="N3919" s="2" t="str">
        <f aca="false">IF($G3919="","",IF(COUNTIF($G$2:$G$4460,$G3919)&gt;1,"重複",""))</f>
        <v/>
      </c>
    </row>
    <row r="3920" customFormat="false" ht="16.5" hidden="false" customHeight="true" outlineLevel="0" collapsed="false">
      <c r="A3920" s="2" t="s">
        <v>447</v>
      </c>
      <c r="B3920" s="2" t="s">
        <v>466</v>
      </c>
      <c r="C3920" s="2" t="s">
        <v>45</v>
      </c>
      <c r="D3920" s="2" t="str">
        <f aca="false">IF(4キー同時!$B$240="","",4キー同時!$B$240)</f>
        <v/>
      </c>
      <c r="E3920" s="2" t="str">
        <f aca="false">IF(4キー同時!$G$240="","",4キー同時!$G$240)</f>
        <v/>
      </c>
      <c r="F3920" s="2" t="str">
        <f aca="false">IF(4キー同時!$L$240="","",4キー同時!$L$240)</f>
        <v/>
      </c>
      <c r="G3920" s="2" t="str">
        <f aca="false">IF(OR(4キー同時!$B$240="",4キー同時!$G$240="",4キー同時!$L$240=""),"",IF(4キー同時!AL250="","",SUBSTITUTE(SUBSTITUTE(4キー同時!AL250," ",""),"　","")))</f>
        <v/>
      </c>
      <c r="H3920" s="2" t="str">
        <f aca="false">IF($G3920="","",4キー同時!$B$240)</f>
        <v/>
      </c>
      <c r="I3920" s="2" t="str">
        <f aca="false">IF($G3920="","",4キー同時!$G$240)</f>
        <v/>
      </c>
      <c r="J3920" s="2" t="str">
        <f aca="false">IF($G3920="","",4キー同時!$L$240)</f>
        <v/>
      </c>
      <c r="K3920" s="2" t="str">
        <f aca="false">IF($G3920="","","henkan")</f>
        <v/>
      </c>
      <c r="L3920" s="2" t="str">
        <f aca="false">IF($G3920="","","同時")</f>
        <v/>
      </c>
      <c r="M3920" s="2" t="str">
        <f aca="false">IF($G3920="","",IF(ISNA(MATCH($G3920,個別指定!$A:$A,0)),"行なし",""))</f>
        <v/>
      </c>
      <c r="N3920" s="2" t="str">
        <f aca="false">IF($G3920="","",IF(COUNTIF($G$2:$G$4460,$G3920)&gt;1,"重複",""))</f>
        <v/>
      </c>
    </row>
    <row r="3921" customFormat="false" ht="16.5" hidden="false" customHeight="true" outlineLevel="0" collapsed="false">
      <c r="A3921" s="2" t="s">
        <v>447</v>
      </c>
      <c r="B3921" s="2" t="s">
        <v>466</v>
      </c>
      <c r="C3921" s="2" t="s">
        <v>46</v>
      </c>
      <c r="D3921" s="2" t="str">
        <f aca="false">IF(4キー同時!$B$240="","",4キー同時!$B$240)</f>
        <v/>
      </c>
      <c r="E3921" s="2" t="str">
        <f aca="false">IF(4キー同時!$G$240="","",4キー同時!$G$240)</f>
        <v/>
      </c>
      <c r="F3921" s="2" t="str">
        <f aca="false">IF(4キー同時!$L$240="","",4キー同時!$L$240)</f>
        <v/>
      </c>
      <c r="G3921" s="2" t="str">
        <f aca="false">IF(OR(4キー同時!$B$240="",4キー同時!$G$240="",4キー同時!$L$240=""),"",IF(4キー同時!AP250="","",SUBSTITUTE(SUBSTITUTE(4キー同時!AP250," ",""),"　","")))</f>
        <v/>
      </c>
      <c r="H3921" s="2" t="str">
        <f aca="false">IF($G3921="","",4キー同時!$B$240)</f>
        <v/>
      </c>
      <c r="I3921" s="2" t="str">
        <f aca="false">IF($G3921="","",4キー同時!$G$240)</f>
        <v/>
      </c>
      <c r="J3921" s="2" t="str">
        <f aca="false">IF($G3921="","",4キー同時!$L$240)</f>
        <v/>
      </c>
      <c r="K3921" s="2" t="str">
        <f aca="false">IF($G3921="","","kana")</f>
        <v/>
      </c>
      <c r="L3921" s="2" t="str">
        <f aca="false">IF($G3921="","","同時")</f>
        <v/>
      </c>
      <c r="M3921" s="2" t="str">
        <f aca="false">IF($G3921="","",IF(ISNA(MATCH($G3921,個別指定!$A:$A,0)),"行なし",""))</f>
        <v/>
      </c>
      <c r="N3921" s="2" t="str">
        <f aca="false">IF($G3921="","",IF(COUNTIF($G$2:$G$4460,$G3921)&gt;1,"重複",""))</f>
        <v/>
      </c>
    </row>
    <row r="3922" customFormat="false" ht="16.5" hidden="false" customHeight="true" outlineLevel="0" collapsed="false">
      <c r="A3922" s="2" t="s">
        <v>447</v>
      </c>
      <c r="B3922" s="2" t="s">
        <v>467</v>
      </c>
      <c r="C3922" s="2" t="s">
        <v>0</v>
      </c>
      <c r="D3922" s="2" t="str">
        <f aca="false">IF(4キー同時!$B$253="","",4キー同時!$B$253)</f>
        <v/>
      </c>
      <c r="E3922" s="2" t="str">
        <f aca="false">IF(4キー同時!$G$253="","",4キー同時!$G$253)</f>
        <v/>
      </c>
      <c r="F3922" s="2" t="str">
        <f aca="false">IF(4キー同時!$L$253="","",4キー同時!$L$253)</f>
        <v/>
      </c>
      <c r="G3922" s="2" t="str">
        <f aca="false">IF(OR(4キー同時!$B$253="",4キー同時!$G$253="",4キー同時!$L$253=""),"",IF(4キー同時!F255="","",SUBSTITUTE(SUBSTITUTE(4キー同時!F255," ",""),"　","")))</f>
        <v/>
      </c>
      <c r="H3922" s="2" t="str">
        <f aca="false">IF($G3922="","",4キー同時!$B$253)</f>
        <v/>
      </c>
      <c r="I3922" s="2" t="str">
        <f aca="false">IF($G3922="","",4キー同時!$G$253)</f>
        <v/>
      </c>
      <c r="J3922" s="2" t="str">
        <f aca="false">IF($G3922="","",4キー同時!$L$253)</f>
        <v/>
      </c>
      <c r="K3922" s="2" t="str">
        <f aca="false">IF($G3922="","","1")</f>
        <v/>
      </c>
      <c r="L3922" s="2" t="str">
        <f aca="false">IF($G3922="","","同時")</f>
        <v/>
      </c>
      <c r="M3922" s="2" t="str">
        <f aca="false">IF($G3922="","",IF(ISNA(MATCH($G3922,個別指定!$A:$A,0)),"行なし",""))</f>
        <v/>
      </c>
      <c r="N3922" s="2" t="str">
        <f aca="false">IF($G3922="","",IF(COUNTIF($G$2:$G$4460,$G3922)&gt;1,"重複",""))</f>
        <v/>
      </c>
    </row>
    <row r="3923" customFormat="false" ht="16.5" hidden="false" customHeight="true" outlineLevel="0" collapsed="false">
      <c r="A3923" s="2" t="s">
        <v>447</v>
      </c>
      <c r="B3923" s="2" t="s">
        <v>467</v>
      </c>
      <c r="C3923" s="2" t="s">
        <v>1</v>
      </c>
      <c r="D3923" s="2" t="str">
        <f aca="false">IF(4キー同時!$B$253="","",4キー同時!$B$253)</f>
        <v/>
      </c>
      <c r="E3923" s="2" t="str">
        <f aca="false">IF(4キー同時!$G$253="","",4キー同時!$G$253)</f>
        <v/>
      </c>
      <c r="F3923" s="2" t="str">
        <f aca="false">IF(4キー同時!$L$253="","",4キー同時!$L$253)</f>
        <v/>
      </c>
      <c r="G3923" s="2" t="str">
        <f aca="false">IF(OR(4キー同時!$B$253="",4キー同時!$G$253="",4キー同時!$L$253=""),"",IF(4キー同時!J255="","",SUBSTITUTE(SUBSTITUTE(4キー同時!J255," ",""),"　","")))</f>
        <v/>
      </c>
      <c r="H3923" s="2" t="str">
        <f aca="false">IF($G3923="","",4キー同時!$B$253)</f>
        <v/>
      </c>
      <c r="I3923" s="2" t="str">
        <f aca="false">IF($G3923="","",4キー同時!$G$253)</f>
        <v/>
      </c>
      <c r="J3923" s="2" t="str">
        <f aca="false">IF($G3923="","",4キー同時!$L$253)</f>
        <v/>
      </c>
      <c r="K3923" s="2" t="str">
        <f aca="false">IF($G3923="","","2")</f>
        <v/>
      </c>
      <c r="L3923" s="2" t="str">
        <f aca="false">IF($G3923="","","同時")</f>
        <v/>
      </c>
      <c r="M3923" s="2" t="str">
        <f aca="false">IF($G3923="","",IF(ISNA(MATCH($G3923,個別指定!$A:$A,0)),"行なし",""))</f>
        <v/>
      </c>
      <c r="N3923" s="2" t="str">
        <f aca="false">IF($G3923="","",IF(COUNTIF($G$2:$G$4460,$G3923)&gt;1,"重複",""))</f>
        <v/>
      </c>
    </row>
    <row r="3924" customFormat="false" ht="16.5" hidden="false" customHeight="true" outlineLevel="0" collapsed="false">
      <c r="A3924" s="2" t="s">
        <v>447</v>
      </c>
      <c r="B3924" s="2" t="s">
        <v>467</v>
      </c>
      <c r="C3924" s="2" t="s">
        <v>2</v>
      </c>
      <c r="D3924" s="2" t="str">
        <f aca="false">IF(4キー同時!$B$253="","",4キー同時!$B$253)</f>
        <v/>
      </c>
      <c r="E3924" s="2" t="str">
        <f aca="false">IF(4キー同時!$G$253="","",4キー同時!$G$253)</f>
        <v/>
      </c>
      <c r="F3924" s="2" t="str">
        <f aca="false">IF(4キー同時!$L$253="","",4キー同時!$L$253)</f>
        <v/>
      </c>
      <c r="G3924" s="2" t="str">
        <f aca="false">IF(OR(4キー同時!$B$253="",4キー同時!$G$253="",4キー同時!$L$253=""),"",IF(4キー同時!N255="","",SUBSTITUTE(SUBSTITUTE(4キー同時!N255," ",""),"　","")))</f>
        <v/>
      </c>
      <c r="H3924" s="2" t="str">
        <f aca="false">IF($G3924="","",4キー同時!$B$253)</f>
        <v/>
      </c>
      <c r="I3924" s="2" t="str">
        <f aca="false">IF($G3924="","",4キー同時!$G$253)</f>
        <v/>
      </c>
      <c r="J3924" s="2" t="str">
        <f aca="false">IF($G3924="","",4キー同時!$L$253)</f>
        <v/>
      </c>
      <c r="K3924" s="2" t="str">
        <f aca="false">IF($G3924="","","3")</f>
        <v/>
      </c>
      <c r="L3924" s="2" t="str">
        <f aca="false">IF($G3924="","","同時")</f>
        <v/>
      </c>
      <c r="M3924" s="2" t="str">
        <f aca="false">IF($G3924="","",IF(ISNA(MATCH($G3924,個別指定!$A:$A,0)),"行なし",""))</f>
        <v/>
      </c>
      <c r="N3924" s="2" t="str">
        <f aca="false">IF($G3924="","",IF(COUNTIF($G$2:$G$4460,$G3924)&gt;1,"重複",""))</f>
        <v/>
      </c>
    </row>
    <row r="3925" customFormat="false" ht="16.5" hidden="false" customHeight="true" outlineLevel="0" collapsed="false">
      <c r="A3925" s="2" t="s">
        <v>447</v>
      </c>
      <c r="B3925" s="2" t="s">
        <v>467</v>
      </c>
      <c r="C3925" s="2" t="s">
        <v>3</v>
      </c>
      <c r="D3925" s="2" t="str">
        <f aca="false">IF(4キー同時!$B$253="","",4キー同時!$B$253)</f>
        <v/>
      </c>
      <c r="E3925" s="2" t="str">
        <f aca="false">IF(4キー同時!$G$253="","",4キー同時!$G$253)</f>
        <v/>
      </c>
      <c r="F3925" s="2" t="str">
        <f aca="false">IF(4キー同時!$L$253="","",4キー同時!$L$253)</f>
        <v/>
      </c>
      <c r="G3925" s="2" t="str">
        <f aca="false">IF(OR(4キー同時!$B$253="",4キー同時!$G$253="",4キー同時!$L$253=""),"",IF(4キー同時!R255="","",SUBSTITUTE(SUBSTITUTE(4キー同時!R255," ",""),"　","")))</f>
        <v/>
      </c>
      <c r="H3925" s="2" t="str">
        <f aca="false">IF($G3925="","",4キー同時!$B$253)</f>
        <v/>
      </c>
      <c r="I3925" s="2" t="str">
        <f aca="false">IF($G3925="","",4キー同時!$G$253)</f>
        <v/>
      </c>
      <c r="J3925" s="2" t="str">
        <f aca="false">IF($G3925="","",4キー同時!$L$253)</f>
        <v/>
      </c>
      <c r="K3925" s="2" t="str">
        <f aca="false">IF($G3925="","","4")</f>
        <v/>
      </c>
      <c r="L3925" s="2" t="str">
        <f aca="false">IF($G3925="","","同時")</f>
        <v/>
      </c>
      <c r="M3925" s="2" t="str">
        <f aca="false">IF($G3925="","",IF(ISNA(MATCH($G3925,個別指定!$A:$A,0)),"行なし",""))</f>
        <v/>
      </c>
      <c r="N3925" s="2" t="str">
        <f aca="false">IF($G3925="","",IF(COUNTIF($G$2:$G$4460,$G3925)&gt;1,"重複",""))</f>
        <v/>
      </c>
    </row>
    <row r="3926" customFormat="false" ht="16.5" hidden="false" customHeight="true" outlineLevel="0" collapsed="false">
      <c r="A3926" s="2" t="s">
        <v>447</v>
      </c>
      <c r="B3926" s="2" t="s">
        <v>467</v>
      </c>
      <c r="C3926" s="2" t="s">
        <v>4</v>
      </c>
      <c r="D3926" s="2" t="str">
        <f aca="false">IF(4キー同時!$B$253="","",4キー同時!$B$253)</f>
        <v/>
      </c>
      <c r="E3926" s="2" t="str">
        <f aca="false">IF(4キー同時!$G$253="","",4キー同時!$G$253)</f>
        <v/>
      </c>
      <c r="F3926" s="2" t="str">
        <f aca="false">IF(4キー同時!$L$253="","",4キー同時!$L$253)</f>
        <v/>
      </c>
      <c r="G3926" s="2" t="str">
        <f aca="false">IF(OR(4キー同時!$B$253="",4キー同時!$G$253="",4キー同時!$L$253=""),"",IF(4キー同時!V255="","",SUBSTITUTE(SUBSTITUTE(4キー同時!V255," ",""),"　","")))</f>
        <v/>
      </c>
      <c r="H3926" s="2" t="str">
        <f aca="false">IF($G3926="","",4キー同時!$B$253)</f>
        <v/>
      </c>
      <c r="I3926" s="2" t="str">
        <f aca="false">IF($G3926="","",4キー同時!$G$253)</f>
        <v/>
      </c>
      <c r="J3926" s="2" t="str">
        <f aca="false">IF($G3926="","",4キー同時!$L$253)</f>
        <v/>
      </c>
      <c r="K3926" s="2" t="str">
        <f aca="false">IF($G3926="","","5")</f>
        <v/>
      </c>
      <c r="L3926" s="2" t="str">
        <f aca="false">IF($G3926="","","同時")</f>
        <v/>
      </c>
      <c r="M3926" s="2" t="str">
        <f aca="false">IF($G3926="","",IF(ISNA(MATCH($G3926,個別指定!$A:$A,0)),"行なし",""))</f>
        <v/>
      </c>
      <c r="N3926" s="2" t="str">
        <f aca="false">IF($G3926="","",IF(COUNTIF($G$2:$G$4460,$G3926)&gt;1,"重複",""))</f>
        <v/>
      </c>
    </row>
    <row r="3927" customFormat="false" ht="16.5" hidden="false" customHeight="true" outlineLevel="0" collapsed="false">
      <c r="A3927" s="2" t="s">
        <v>447</v>
      </c>
      <c r="B3927" s="2" t="s">
        <v>467</v>
      </c>
      <c r="C3927" s="2" t="s">
        <v>5</v>
      </c>
      <c r="D3927" s="2" t="str">
        <f aca="false">IF(4キー同時!$B$253="","",4キー同時!$B$253)</f>
        <v/>
      </c>
      <c r="E3927" s="2" t="str">
        <f aca="false">IF(4キー同時!$G$253="","",4キー同時!$G$253)</f>
        <v/>
      </c>
      <c r="F3927" s="2" t="str">
        <f aca="false">IF(4キー同時!$L$253="","",4キー同時!$L$253)</f>
        <v/>
      </c>
      <c r="G3927" s="2" t="str">
        <f aca="false">IF(OR(4キー同時!$B$253="",4キー同時!$G$253="",4キー同時!$L$253=""),"",IF(4キー同時!Z255="","",SUBSTITUTE(SUBSTITUTE(4キー同時!Z255," ",""),"　","")))</f>
        <v/>
      </c>
      <c r="H3927" s="2" t="str">
        <f aca="false">IF($G3927="","",4キー同時!$B$253)</f>
        <v/>
      </c>
      <c r="I3927" s="2" t="str">
        <f aca="false">IF($G3927="","",4キー同時!$G$253)</f>
        <v/>
      </c>
      <c r="J3927" s="2" t="str">
        <f aca="false">IF($G3927="","",4キー同時!$L$253)</f>
        <v/>
      </c>
      <c r="K3927" s="2" t="str">
        <f aca="false">IF($G3927="","","6")</f>
        <v/>
      </c>
      <c r="L3927" s="2" t="str">
        <f aca="false">IF($G3927="","","同時")</f>
        <v/>
      </c>
      <c r="M3927" s="2" t="str">
        <f aca="false">IF($G3927="","",IF(ISNA(MATCH($G3927,個別指定!$A:$A,0)),"行なし",""))</f>
        <v/>
      </c>
      <c r="N3927" s="2" t="str">
        <f aca="false">IF($G3927="","",IF(COUNTIF($G$2:$G$4460,$G3927)&gt;1,"重複",""))</f>
        <v/>
      </c>
    </row>
    <row r="3928" customFormat="false" ht="16.5" hidden="false" customHeight="true" outlineLevel="0" collapsed="false">
      <c r="A3928" s="2" t="s">
        <v>447</v>
      </c>
      <c r="B3928" s="2" t="s">
        <v>467</v>
      </c>
      <c r="C3928" s="2" t="s">
        <v>6</v>
      </c>
      <c r="D3928" s="2" t="str">
        <f aca="false">IF(4キー同時!$B$253="","",4キー同時!$B$253)</f>
        <v/>
      </c>
      <c r="E3928" s="2" t="str">
        <f aca="false">IF(4キー同時!$G$253="","",4キー同時!$G$253)</f>
        <v/>
      </c>
      <c r="F3928" s="2" t="str">
        <f aca="false">IF(4キー同時!$L$253="","",4キー同時!$L$253)</f>
        <v/>
      </c>
      <c r="G3928" s="2" t="str">
        <f aca="false">IF(OR(4キー同時!$B$253="",4キー同時!$G$253="",4キー同時!$L$253=""),"",IF(4キー同時!AD255="","",SUBSTITUTE(SUBSTITUTE(4キー同時!AD255," ",""),"　","")))</f>
        <v/>
      </c>
      <c r="H3928" s="2" t="str">
        <f aca="false">IF($G3928="","",4キー同時!$B$253)</f>
        <v/>
      </c>
      <c r="I3928" s="2" t="str">
        <f aca="false">IF($G3928="","",4キー同時!$G$253)</f>
        <v/>
      </c>
      <c r="J3928" s="2" t="str">
        <f aca="false">IF($G3928="","",4キー同時!$L$253)</f>
        <v/>
      </c>
      <c r="K3928" s="2" t="str">
        <f aca="false">IF($G3928="","","7")</f>
        <v/>
      </c>
      <c r="L3928" s="2" t="str">
        <f aca="false">IF($G3928="","","同時")</f>
        <v/>
      </c>
      <c r="M3928" s="2" t="str">
        <f aca="false">IF($G3928="","",IF(ISNA(MATCH($G3928,個別指定!$A:$A,0)),"行なし",""))</f>
        <v/>
      </c>
      <c r="N3928" s="2" t="str">
        <f aca="false">IF($G3928="","",IF(COUNTIF($G$2:$G$4460,$G3928)&gt;1,"重複",""))</f>
        <v/>
      </c>
    </row>
    <row r="3929" customFormat="false" ht="16.5" hidden="false" customHeight="true" outlineLevel="0" collapsed="false">
      <c r="A3929" s="2" t="s">
        <v>447</v>
      </c>
      <c r="B3929" s="2" t="s">
        <v>467</v>
      </c>
      <c r="C3929" s="2" t="s">
        <v>7</v>
      </c>
      <c r="D3929" s="2" t="str">
        <f aca="false">IF(4キー同時!$B$253="","",4キー同時!$B$253)</f>
        <v/>
      </c>
      <c r="E3929" s="2" t="str">
        <f aca="false">IF(4キー同時!$G$253="","",4キー同時!$G$253)</f>
        <v/>
      </c>
      <c r="F3929" s="2" t="str">
        <f aca="false">IF(4キー同時!$L$253="","",4キー同時!$L$253)</f>
        <v/>
      </c>
      <c r="G3929" s="2" t="str">
        <f aca="false">IF(OR(4キー同時!$B$253="",4キー同時!$G$253="",4キー同時!$L$253=""),"",IF(4キー同時!AH255="","",SUBSTITUTE(SUBSTITUTE(4キー同時!AH255," ",""),"　","")))</f>
        <v/>
      </c>
      <c r="H3929" s="2" t="str">
        <f aca="false">IF($G3929="","",4キー同時!$B$253)</f>
        <v/>
      </c>
      <c r="I3929" s="2" t="str">
        <f aca="false">IF($G3929="","",4キー同時!$G$253)</f>
        <v/>
      </c>
      <c r="J3929" s="2" t="str">
        <f aca="false">IF($G3929="","",4キー同時!$L$253)</f>
        <v/>
      </c>
      <c r="K3929" s="2" t="str">
        <f aca="false">IF($G3929="","","8")</f>
        <v/>
      </c>
      <c r="L3929" s="2" t="str">
        <f aca="false">IF($G3929="","","同時")</f>
        <v/>
      </c>
      <c r="M3929" s="2" t="str">
        <f aca="false">IF($G3929="","",IF(ISNA(MATCH($G3929,個別指定!$A:$A,0)),"行なし",""))</f>
        <v/>
      </c>
      <c r="N3929" s="2" t="str">
        <f aca="false">IF($G3929="","",IF(COUNTIF($G$2:$G$4460,$G3929)&gt;1,"重複",""))</f>
        <v/>
      </c>
    </row>
    <row r="3930" customFormat="false" ht="16.5" hidden="false" customHeight="true" outlineLevel="0" collapsed="false">
      <c r="A3930" s="2" t="s">
        <v>447</v>
      </c>
      <c r="B3930" s="2" t="s">
        <v>467</v>
      </c>
      <c r="C3930" s="2" t="s">
        <v>8</v>
      </c>
      <c r="D3930" s="2" t="str">
        <f aca="false">IF(4キー同時!$B$253="","",4キー同時!$B$253)</f>
        <v/>
      </c>
      <c r="E3930" s="2" t="str">
        <f aca="false">IF(4キー同時!$G$253="","",4キー同時!$G$253)</f>
        <v/>
      </c>
      <c r="F3930" s="2" t="str">
        <f aca="false">IF(4キー同時!$L$253="","",4キー同時!$L$253)</f>
        <v/>
      </c>
      <c r="G3930" s="2" t="str">
        <f aca="false">IF(OR(4キー同時!$B$253="",4キー同時!$G$253="",4キー同時!$L$253=""),"",IF(4キー同時!AL255="","",SUBSTITUTE(SUBSTITUTE(4キー同時!AL255," ",""),"　","")))</f>
        <v/>
      </c>
      <c r="H3930" s="2" t="str">
        <f aca="false">IF($G3930="","",4キー同時!$B$253)</f>
        <v/>
      </c>
      <c r="I3930" s="2" t="str">
        <f aca="false">IF($G3930="","",4キー同時!$G$253)</f>
        <v/>
      </c>
      <c r="J3930" s="2" t="str">
        <f aca="false">IF($G3930="","",4キー同時!$L$253)</f>
        <v/>
      </c>
      <c r="K3930" s="2" t="str">
        <f aca="false">IF($G3930="","","9")</f>
        <v/>
      </c>
      <c r="L3930" s="2" t="str">
        <f aca="false">IF($G3930="","","同時")</f>
        <v/>
      </c>
      <c r="M3930" s="2" t="str">
        <f aca="false">IF($G3930="","",IF(ISNA(MATCH($G3930,個別指定!$A:$A,0)),"行なし",""))</f>
        <v/>
      </c>
      <c r="N3930" s="2" t="str">
        <f aca="false">IF($G3930="","",IF(COUNTIF($G$2:$G$4460,$G3930)&gt;1,"重複",""))</f>
        <v/>
      </c>
    </row>
    <row r="3931" customFormat="false" ht="16.5" hidden="false" customHeight="true" outlineLevel="0" collapsed="false">
      <c r="A3931" s="2" t="s">
        <v>447</v>
      </c>
      <c r="B3931" s="2" t="s">
        <v>467</v>
      </c>
      <c r="C3931" s="2" t="s">
        <v>9</v>
      </c>
      <c r="D3931" s="2" t="str">
        <f aca="false">IF(4キー同時!$B$253="","",4キー同時!$B$253)</f>
        <v/>
      </c>
      <c r="E3931" s="2" t="str">
        <f aca="false">IF(4キー同時!$G$253="","",4キー同時!$G$253)</f>
        <v/>
      </c>
      <c r="F3931" s="2" t="str">
        <f aca="false">IF(4キー同時!$L$253="","",4キー同時!$L$253)</f>
        <v/>
      </c>
      <c r="G3931" s="2" t="str">
        <f aca="false">IF(OR(4キー同時!$B$253="",4キー同時!$G$253="",4キー同時!$L$253=""),"",IF(4キー同時!AP255="","",SUBSTITUTE(SUBSTITUTE(4キー同時!AP255," ",""),"　","")))</f>
        <v/>
      </c>
      <c r="H3931" s="2" t="str">
        <f aca="false">IF($G3931="","",4キー同時!$B$253)</f>
        <v/>
      </c>
      <c r="I3931" s="2" t="str">
        <f aca="false">IF($G3931="","",4キー同時!$G$253)</f>
        <v/>
      </c>
      <c r="J3931" s="2" t="str">
        <f aca="false">IF($G3931="","",4キー同時!$L$253)</f>
        <v/>
      </c>
      <c r="K3931" s="2" t="str">
        <f aca="false">IF($G3931="","","0")</f>
        <v/>
      </c>
      <c r="L3931" s="2" t="str">
        <f aca="false">IF($G3931="","","同時")</f>
        <v/>
      </c>
      <c r="M3931" s="2" t="str">
        <f aca="false">IF($G3931="","",IF(ISNA(MATCH($G3931,個別指定!$A:$A,0)),"行なし",""))</f>
        <v/>
      </c>
      <c r="N3931" s="2" t="str">
        <f aca="false">IF($G3931="","",IF(COUNTIF($G$2:$G$4460,$G3931)&gt;1,"重複",""))</f>
        <v/>
      </c>
    </row>
    <row r="3932" customFormat="false" ht="16.5" hidden="false" customHeight="true" outlineLevel="0" collapsed="false">
      <c r="A3932" s="2" t="s">
        <v>447</v>
      </c>
      <c r="B3932" s="2" t="s">
        <v>467</v>
      </c>
      <c r="C3932" s="2" t="s">
        <v>10</v>
      </c>
      <c r="D3932" s="2" t="str">
        <f aca="false">IF(4キー同時!$B$253="","",4キー同時!$B$253)</f>
        <v/>
      </c>
      <c r="E3932" s="2" t="str">
        <f aca="false">IF(4キー同時!$G$253="","",4キー同時!$G$253)</f>
        <v/>
      </c>
      <c r="F3932" s="2" t="str">
        <f aca="false">IF(4キー同時!$L$253="","",4キー同時!$L$253)</f>
        <v/>
      </c>
      <c r="G3932" s="2" t="str">
        <f aca="false">IF(OR(4キー同時!$B$253="",4キー同時!$G$253="",4キー同時!$L$253=""),"",IF(4キー同時!AT255="","",SUBSTITUTE(SUBSTITUTE(4キー同時!AT255," ",""),"　","")))</f>
        <v/>
      </c>
      <c r="H3932" s="2" t="str">
        <f aca="false">IF($G3932="","",4キー同時!$B$253)</f>
        <v/>
      </c>
      <c r="I3932" s="2" t="str">
        <f aca="false">IF($G3932="","",4キー同時!$G$253)</f>
        <v/>
      </c>
      <c r="J3932" s="2" t="str">
        <f aca="false">IF($G3932="","",4キー同時!$L$253)</f>
        <v/>
      </c>
      <c r="K3932" s="2" t="str">
        <f aca="false">IF($G3932="","","-")</f>
        <v/>
      </c>
      <c r="L3932" s="2" t="str">
        <f aca="false">IF($G3932="","","同時")</f>
        <v/>
      </c>
      <c r="M3932" s="2" t="str">
        <f aca="false">IF($G3932="","",IF(ISNA(MATCH($G3932,個別指定!$A:$A,0)),"行なし",""))</f>
        <v/>
      </c>
      <c r="N3932" s="2" t="str">
        <f aca="false">IF($G3932="","",IF(COUNTIF($G$2:$G$4460,$G3932)&gt;1,"重複",""))</f>
        <v/>
      </c>
    </row>
    <row r="3933" customFormat="false" ht="16.5" hidden="false" customHeight="true" outlineLevel="0" collapsed="false">
      <c r="A3933" s="2" t="s">
        <v>447</v>
      </c>
      <c r="B3933" s="2" t="s">
        <v>467</v>
      </c>
      <c r="C3933" s="2" t="s">
        <v>11</v>
      </c>
      <c r="D3933" s="2" t="str">
        <f aca="false">IF(4キー同時!$B$253="","",4キー同時!$B$253)</f>
        <v/>
      </c>
      <c r="E3933" s="2" t="str">
        <f aca="false">IF(4キー同時!$G$253="","",4キー同時!$G$253)</f>
        <v/>
      </c>
      <c r="F3933" s="2" t="str">
        <f aca="false">IF(4キー同時!$L$253="","",4キー同時!$L$253)</f>
        <v/>
      </c>
      <c r="G3933" s="2" t="str">
        <f aca="false">IF(OR(4キー同時!$B$253="",4キー同時!$G$253="",4キー同時!$L$253=""),"",IF(4キー同時!AX255="","",SUBSTITUTE(SUBSTITUTE(4キー同時!AX255," ",""),"　","")))</f>
        <v/>
      </c>
      <c r="H3933" s="2" t="str">
        <f aca="false">IF($G3933="","",4キー同時!$B$253)</f>
        <v/>
      </c>
      <c r="I3933" s="2" t="str">
        <f aca="false">IF($G3933="","",4キー同時!$G$253)</f>
        <v/>
      </c>
      <c r="J3933" s="2" t="str">
        <f aca="false">IF($G3933="","",4キー同時!$L$253)</f>
        <v/>
      </c>
      <c r="K3933" s="2" t="str">
        <f aca="false">IF($G3933="","","=")</f>
        <v/>
      </c>
      <c r="L3933" s="2" t="str">
        <f aca="false">IF($G3933="","","同時")</f>
        <v/>
      </c>
      <c r="M3933" s="2" t="str">
        <f aca="false">IF($G3933="","",IF(ISNA(MATCH($G3933,個別指定!$A:$A,0)),"行なし",""))</f>
        <v/>
      </c>
      <c r="N3933" s="2" t="str">
        <f aca="false">IF($G3933="","",IF(COUNTIF($G$2:$G$4460,$G3933)&gt;1,"重複",""))</f>
        <v/>
      </c>
    </row>
    <row r="3934" customFormat="false" ht="16.5" hidden="false" customHeight="true" outlineLevel="0" collapsed="false">
      <c r="A3934" s="2" t="s">
        <v>447</v>
      </c>
      <c r="B3934" s="2" t="s">
        <v>467</v>
      </c>
      <c r="C3934" s="2" t="s">
        <v>12</v>
      </c>
      <c r="D3934" s="2" t="str">
        <f aca="false">IF(4キー同時!$B$253="","",4キー同時!$B$253)</f>
        <v/>
      </c>
      <c r="E3934" s="2" t="str">
        <f aca="false">IF(4キー同時!$G$253="","",4キー同時!$G$253)</f>
        <v/>
      </c>
      <c r="F3934" s="2" t="str">
        <f aca="false">IF(4キー同時!$L$253="","",4キー同時!$L$253)</f>
        <v/>
      </c>
      <c r="G3934" s="2" t="str">
        <f aca="false">IF(OR(4キー同時!$B$253="",4キー同時!$G$253="",4キー同時!$L$253=""),"",IF(4キー同時!H257="","",SUBSTITUTE(SUBSTITUTE(4キー同時!H257," ",""),"　","")))</f>
        <v/>
      </c>
      <c r="H3934" s="2" t="str">
        <f aca="false">IF($G3934="","",4キー同時!$B$253)</f>
        <v/>
      </c>
      <c r="I3934" s="2" t="str">
        <f aca="false">IF($G3934="","",4キー同時!$G$253)</f>
        <v/>
      </c>
      <c r="J3934" s="2" t="str">
        <f aca="false">IF($G3934="","",4キー同時!$L$253)</f>
        <v/>
      </c>
      <c r="K3934" s="2" t="str">
        <f aca="false">IF($G3934="","","q")</f>
        <v/>
      </c>
      <c r="L3934" s="2" t="str">
        <f aca="false">IF($G3934="","","同時")</f>
        <v/>
      </c>
      <c r="M3934" s="2" t="str">
        <f aca="false">IF($G3934="","",IF(ISNA(MATCH($G3934,個別指定!$A:$A,0)),"行なし",""))</f>
        <v/>
      </c>
      <c r="N3934" s="2" t="str">
        <f aca="false">IF($G3934="","",IF(COUNTIF($G$2:$G$4460,$G3934)&gt;1,"重複",""))</f>
        <v/>
      </c>
    </row>
    <row r="3935" customFormat="false" ht="16.5" hidden="false" customHeight="true" outlineLevel="0" collapsed="false">
      <c r="A3935" s="2" t="s">
        <v>447</v>
      </c>
      <c r="B3935" s="2" t="s">
        <v>467</v>
      </c>
      <c r="C3935" s="2" t="s">
        <v>13</v>
      </c>
      <c r="D3935" s="2" t="str">
        <f aca="false">IF(4キー同時!$B$253="","",4キー同時!$B$253)</f>
        <v/>
      </c>
      <c r="E3935" s="2" t="str">
        <f aca="false">IF(4キー同時!$G$253="","",4キー同時!$G$253)</f>
        <v/>
      </c>
      <c r="F3935" s="2" t="str">
        <f aca="false">IF(4キー同時!$L$253="","",4キー同時!$L$253)</f>
        <v/>
      </c>
      <c r="G3935" s="2" t="str">
        <f aca="false">IF(OR(4キー同時!$B$253="",4キー同時!$G$253="",4キー同時!$L$253=""),"",IF(4キー同時!L257="","",SUBSTITUTE(SUBSTITUTE(4キー同時!L257," ",""),"　","")))</f>
        <v/>
      </c>
      <c r="H3935" s="2" t="str">
        <f aca="false">IF($G3935="","",4キー同時!$B$253)</f>
        <v/>
      </c>
      <c r="I3935" s="2" t="str">
        <f aca="false">IF($G3935="","",4キー同時!$G$253)</f>
        <v/>
      </c>
      <c r="J3935" s="2" t="str">
        <f aca="false">IF($G3935="","",4キー同時!$L$253)</f>
        <v/>
      </c>
      <c r="K3935" s="2" t="str">
        <f aca="false">IF($G3935="","","w")</f>
        <v/>
      </c>
      <c r="L3935" s="2" t="str">
        <f aca="false">IF($G3935="","","同時")</f>
        <v/>
      </c>
      <c r="M3935" s="2" t="str">
        <f aca="false">IF($G3935="","",IF(ISNA(MATCH($G3935,個別指定!$A:$A,0)),"行なし",""))</f>
        <v/>
      </c>
      <c r="N3935" s="2" t="str">
        <f aca="false">IF($G3935="","",IF(COUNTIF($G$2:$G$4460,$G3935)&gt;1,"重複",""))</f>
        <v/>
      </c>
    </row>
    <row r="3936" customFormat="false" ht="16.5" hidden="false" customHeight="true" outlineLevel="0" collapsed="false">
      <c r="A3936" s="2" t="s">
        <v>447</v>
      </c>
      <c r="B3936" s="2" t="s">
        <v>467</v>
      </c>
      <c r="C3936" s="2" t="s">
        <v>14</v>
      </c>
      <c r="D3936" s="2" t="str">
        <f aca="false">IF(4キー同時!$B$253="","",4キー同時!$B$253)</f>
        <v/>
      </c>
      <c r="E3936" s="2" t="str">
        <f aca="false">IF(4キー同時!$G$253="","",4キー同時!$G$253)</f>
        <v/>
      </c>
      <c r="F3936" s="2" t="str">
        <f aca="false">IF(4キー同時!$L$253="","",4キー同時!$L$253)</f>
        <v/>
      </c>
      <c r="G3936" s="2" t="str">
        <f aca="false">IF(OR(4キー同時!$B$253="",4キー同時!$G$253="",4キー同時!$L$253=""),"",IF(4キー同時!P257="","",SUBSTITUTE(SUBSTITUTE(4キー同時!P257," ",""),"　","")))</f>
        <v/>
      </c>
      <c r="H3936" s="2" t="str">
        <f aca="false">IF($G3936="","",4キー同時!$B$253)</f>
        <v/>
      </c>
      <c r="I3936" s="2" t="str">
        <f aca="false">IF($G3936="","",4キー同時!$G$253)</f>
        <v/>
      </c>
      <c r="J3936" s="2" t="str">
        <f aca="false">IF($G3936="","",4キー同時!$L$253)</f>
        <v/>
      </c>
      <c r="K3936" s="2" t="str">
        <f aca="false">IF($G3936="","","e")</f>
        <v/>
      </c>
      <c r="L3936" s="2" t="str">
        <f aca="false">IF($G3936="","","同時")</f>
        <v/>
      </c>
      <c r="M3936" s="2" t="str">
        <f aca="false">IF($G3936="","",IF(ISNA(MATCH($G3936,個別指定!$A:$A,0)),"行なし",""))</f>
        <v/>
      </c>
      <c r="N3936" s="2" t="str">
        <f aca="false">IF($G3936="","",IF(COUNTIF($G$2:$G$4460,$G3936)&gt;1,"重複",""))</f>
        <v/>
      </c>
    </row>
    <row r="3937" customFormat="false" ht="16.5" hidden="false" customHeight="true" outlineLevel="0" collapsed="false">
      <c r="A3937" s="2" t="s">
        <v>447</v>
      </c>
      <c r="B3937" s="2" t="s">
        <v>467</v>
      </c>
      <c r="C3937" s="2" t="s">
        <v>15</v>
      </c>
      <c r="D3937" s="2" t="str">
        <f aca="false">IF(4キー同時!$B$253="","",4キー同時!$B$253)</f>
        <v/>
      </c>
      <c r="E3937" s="2" t="str">
        <f aca="false">IF(4キー同時!$G$253="","",4キー同時!$G$253)</f>
        <v/>
      </c>
      <c r="F3937" s="2" t="str">
        <f aca="false">IF(4キー同時!$L$253="","",4キー同時!$L$253)</f>
        <v/>
      </c>
      <c r="G3937" s="2" t="str">
        <f aca="false">IF(OR(4キー同時!$B$253="",4キー同時!$G$253="",4キー同時!$L$253=""),"",IF(4キー同時!T257="","",SUBSTITUTE(SUBSTITUTE(4キー同時!T257," ",""),"　","")))</f>
        <v/>
      </c>
      <c r="H3937" s="2" t="str">
        <f aca="false">IF($G3937="","",4キー同時!$B$253)</f>
        <v/>
      </c>
      <c r="I3937" s="2" t="str">
        <f aca="false">IF($G3937="","",4キー同時!$G$253)</f>
        <v/>
      </c>
      <c r="J3937" s="2" t="str">
        <f aca="false">IF($G3937="","",4キー同時!$L$253)</f>
        <v/>
      </c>
      <c r="K3937" s="2" t="str">
        <f aca="false">IF($G3937="","","r")</f>
        <v/>
      </c>
      <c r="L3937" s="2" t="str">
        <f aca="false">IF($G3937="","","同時")</f>
        <v/>
      </c>
      <c r="M3937" s="2" t="str">
        <f aca="false">IF($G3937="","",IF(ISNA(MATCH($G3937,個別指定!$A:$A,0)),"行なし",""))</f>
        <v/>
      </c>
      <c r="N3937" s="2" t="str">
        <f aca="false">IF($G3937="","",IF(COUNTIF($G$2:$G$4460,$G3937)&gt;1,"重複",""))</f>
        <v/>
      </c>
    </row>
    <row r="3938" customFormat="false" ht="16.5" hidden="false" customHeight="true" outlineLevel="0" collapsed="false">
      <c r="A3938" s="2" t="s">
        <v>447</v>
      </c>
      <c r="B3938" s="2" t="s">
        <v>467</v>
      </c>
      <c r="C3938" s="2" t="s">
        <v>16</v>
      </c>
      <c r="D3938" s="2" t="str">
        <f aca="false">IF(4キー同時!$B$253="","",4キー同時!$B$253)</f>
        <v/>
      </c>
      <c r="E3938" s="2" t="str">
        <f aca="false">IF(4キー同時!$G$253="","",4キー同時!$G$253)</f>
        <v/>
      </c>
      <c r="F3938" s="2" t="str">
        <f aca="false">IF(4キー同時!$L$253="","",4キー同時!$L$253)</f>
        <v/>
      </c>
      <c r="G3938" s="2" t="str">
        <f aca="false">IF(OR(4キー同時!$B$253="",4キー同時!$G$253="",4キー同時!$L$253=""),"",IF(4キー同時!X257="","",SUBSTITUTE(SUBSTITUTE(4キー同時!X257," ",""),"　","")))</f>
        <v/>
      </c>
      <c r="H3938" s="2" t="str">
        <f aca="false">IF($G3938="","",4キー同時!$B$253)</f>
        <v/>
      </c>
      <c r="I3938" s="2" t="str">
        <f aca="false">IF($G3938="","",4キー同時!$G$253)</f>
        <v/>
      </c>
      <c r="J3938" s="2" t="str">
        <f aca="false">IF($G3938="","",4キー同時!$L$253)</f>
        <v/>
      </c>
      <c r="K3938" s="2" t="str">
        <f aca="false">IF($G3938="","","t")</f>
        <v/>
      </c>
      <c r="L3938" s="2" t="str">
        <f aca="false">IF($G3938="","","同時")</f>
        <v/>
      </c>
      <c r="M3938" s="2" t="str">
        <f aca="false">IF($G3938="","",IF(ISNA(MATCH($G3938,個別指定!$A:$A,0)),"行なし",""))</f>
        <v/>
      </c>
      <c r="N3938" s="2" t="str">
        <f aca="false">IF($G3938="","",IF(COUNTIF($G$2:$G$4460,$G3938)&gt;1,"重複",""))</f>
        <v/>
      </c>
    </row>
    <row r="3939" customFormat="false" ht="16.5" hidden="false" customHeight="true" outlineLevel="0" collapsed="false">
      <c r="A3939" s="2" t="s">
        <v>447</v>
      </c>
      <c r="B3939" s="2" t="s">
        <v>467</v>
      </c>
      <c r="C3939" s="2" t="s">
        <v>17</v>
      </c>
      <c r="D3939" s="2" t="str">
        <f aca="false">IF(4キー同時!$B$253="","",4キー同時!$B$253)</f>
        <v/>
      </c>
      <c r="E3939" s="2" t="str">
        <f aca="false">IF(4キー同時!$G$253="","",4キー同時!$G$253)</f>
        <v/>
      </c>
      <c r="F3939" s="2" t="str">
        <f aca="false">IF(4キー同時!$L$253="","",4キー同時!$L$253)</f>
        <v/>
      </c>
      <c r="G3939" s="2" t="str">
        <f aca="false">IF(OR(4キー同時!$B$253="",4キー同時!$G$253="",4キー同時!$L$253=""),"",IF(4キー同時!AB257="","",SUBSTITUTE(SUBSTITUTE(4キー同時!AB257," ",""),"　","")))</f>
        <v/>
      </c>
      <c r="H3939" s="2" t="str">
        <f aca="false">IF($G3939="","",4キー同時!$B$253)</f>
        <v/>
      </c>
      <c r="I3939" s="2" t="str">
        <f aca="false">IF($G3939="","",4キー同時!$G$253)</f>
        <v/>
      </c>
      <c r="J3939" s="2" t="str">
        <f aca="false">IF($G3939="","",4キー同時!$L$253)</f>
        <v/>
      </c>
      <c r="K3939" s="2" t="str">
        <f aca="false">IF($G3939="","","y")</f>
        <v/>
      </c>
      <c r="L3939" s="2" t="str">
        <f aca="false">IF($G3939="","","同時")</f>
        <v/>
      </c>
      <c r="M3939" s="2" t="str">
        <f aca="false">IF($G3939="","",IF(ISNA(MATCH($G3939,個別指定!$A:$A,0)),"行なし",""))</f>
        <v/>
      </c>
      <c r="N3939" s="2" t="str">
        <f aca="false">IF($G3939="","",IF(COUNTIF($G$2:$G$4460,$G3939)&gt;1,"重複",""))</f>
        <v/>
      </c>
    </row>
    <row r="3940" customFormat="false" ht="16.5" hidden="false" customHeight="true" outlineLevel="0" collapsed="false">
      <c r="A3940" s="2" t="s">
        <v>447</v>
      </c>
      <c r="B3940" s="2" t="s">
        <v>467</v>
      </c>
      <c r="C3940" s="2" t="s">
        <v>18</v>
      </c>
      <c r="D3940" s="2" t="str">
        <f aca="false">IF(4キー同時!$B$253="","",4キー同時!$B$253)</f>
        <v/>
      </c>
      <c r="E3940" s="2" t="str">
        <f aca="false">IF(4キー同時!$G$253="","",4キー同時!$G$253)</f>
        <v/>
      </c>
      <c r="F3940" s="2" t="str">
        <f aca="false">IF(4キー同時!$L$253="","",4キー同時!$L$253)</f>
        <v/>
      </c>
      <c r="G3940" s="2" t="str">
        <f aca="false">IF(OR(4キー同時!$B$253="",4キー同時!$G$253="",4キー同時!$L$253=""),"",IF(4キー同時!AF257="","",SUBSTITUTE(SUBSTITUTE(4キー同時!AF257," ",""),"　","")))</f>
        <v/>
      </c>
      <c r="H3940" s="2" t="str">
        <f aca="false">IF($G3940="","",4キー同時!$B$253)</f>
        <v/>
      </c>
      <c r="I3940" s="2" t="str">
        <f aca="false">IF($G3940="","",4キー同時!$G$253)</f>
        <v/>
      </c>
      <c r="J3940" s="2" t="str">
        <f aca="false">IF($G3940="","",4キー同時!$L$253)</f>
        <v/>
      </c>
      <c r="K3940" s="2" t="str">
        <f aca="false">IF($G3940="","","u")</f>
        <v/>
      </c>
      <c r="L3940" s="2" t="str">
        <f aca="false">IF($G3940="","","同時")</f>
        <v/>
      </c>
      <c r="M3940" s="2" t="str">
        <f aca="false">IF($G3940="","",IF(ISNA(MATCH($G3940,個別指定!$A:$A,0)),"行なし",""))</f>
        <v/>
      </c>
      <c r="N3940" s="2" t="str">
        <f aca="false">IF($G3940="","",IF(COUNTIF($G$2:$G$4460,$G3940)&gt;1,"重複",""))</f>
        <v/>
      </c>
    </row>
    <row r="3941" customFormat="false" ht="16.5" hidden="false" customHeight="true" outlineLevel="0" collapsed="false">
      <c r="A3941" s="2" t="s">
        <v>447</v>
      </c>
      <c r="B3941" s="2" t="s">
        <v>467</v>
      </c>
      <c r="C3941" s="2" t="s">
        <v>19</v>
      </c>
      <c r="D3941" s="2" t="str">
        <f aca="false">IF(4キー同時!$B$253="","",4キー同時!$B$253)</f>
        <v/>
      </c>
      <c r="E3941" s="2" t="str">
        <f aca="false">IF(4キー同時!$G$253="","",4キー同時!$G$253)</f>
        <v/>
      </c>
      <c r="F3941" s="2" t="str">
        <f aca="false">IF(4キー同時!$L$253="","",4キー同時!$L$253)</f>
        <v/>
      </c>
      <c r="G3941" s="2" t="str">
        <f aca="false">IF(OR(4キー同時!$B$253="",4キー同時!$G$253="",4キー同時!$L$253=""),"",IF(4キー同時!AJ257="","",SUBSTITUTE(SUBSTITUTE(4キー同時!AJ257," ",""),"　","")))</f>
        <v/>
      </c>
      <c r="H3941" s="2" t="str">
        <f aca="false">IF($G3941="","",4キー同時!$B$253)</f>
        <v/>
      </c>
      <c r="I3941" s="2" t="str">
        <f aca="false">IF($G3941="","",4キー同時!$G$253)</f>
        <v/>
      </c>
      <c r="J3941" s="2" t="str">
        <f aca="false">IF($G3941="","",4キー同時!$L$253)</f>
        <v/>
      </c>
      <c r="K3941" s="2" t="str">
        <f aca="false">IF($G3941="","","i")</f>
        <v/>
      </c>
      <c r="L3941" s="2" t="str">
        <f aca="false">IF($G3941="","","同時")</f>
        <v/>
      </c>
      <c r="M3941" s="2" t="str">
        <f aca="false">IF($G3941="","",IF(ISNA(MATCH($G3941,個別指定!$A:$A,0)),"行なし",""))</f>
        <v/>
      </c>
      <c r="N3941" s="2" t="str">
        <f aca="false">IF($G3941="","",IF(COUNTIF($G$2:$G$4460,$G3941)&gt;1,"重複",""))</f>
        <v/>
      </c>
    </row>
    <row r="3942" customFormat="false" ht="16.5" hidden="false" customHeight="true" outlineLevel="0" collapsed="false">
      <c r="A3942" s="2" t="s">
        <v>447</v>
      </c>
      <c r="B3942" s="2" t="s">
        <v>467</v>
      </c>
      <c r="C3942" s="2" t="s">
        <v>20</v>
      </c>
      <c r="D3942" s="2" t="str">
        <f aca="false">IF(4キー同時!$B$253="","",4キー同時!$B$253)</f>
        <v/>
      </c>
      <c r="E3942" s="2" t="str">
        <f aca="false">IF(4キー同時!$G$253="","",4キー同時!$G$253)</f>
        <v/>
      </c>
      <c r="F3942" s="2" t="str">
        <f aca="false">IF(4キー同時!$L$253="","",4キー同時!$L$253)</f>
        <v/>
      </c>
      <c r="G3942" s="2" t="str">
        <f aca="false">IF(OR(4キー同時!$B$253="",4キー同時!$G$253="",4キー同時!$L$253=""),"",IF(4キー同時!AN257="","",SUBSTITUTE(SUBSTITUTE(4キー同時!AN257," ",""),"　","")))</f>
        <v/>
      </c>
      <c r="H3942" s="2" t="str">
        <f aca="false">IF($G3942="","",4キー同時!$B$253)</f>
        <v/>
      </c>
      <c r="I3942" s="2" t="str">
        <f aca="false">IF($G3942="","",4キー同時!$G$253)</f>
        <v/>
      </c>
      <c r="J3942" s="2" t="str">
        <f aca="false">IF($G3942="","",4キー同時!$L$253)</f>
        <v/>
      </c>
      <c r="K3942" s="2" t="str">
        <f aca="false">IF($G3942="","","o")</f>
        <v/>
      </c>
      <c r="L3942" s="2" t="str">
        <f aca="false">IF($G3942="","","同時")</f>
        <v/>
      </c>
      <c r="M3942" s="2" t="str">
        <f aca="false">IF($G3942="","",IF(ISNA(MATCH($G3942,個別指定!$A:$A,0)),"行なし",""))</f>
        <v/>
      </c>
      <c r="N3942" s="2" t="str">
        <f aca="false">IF($G3942="","",IF(COUNTIF($G$2:$G$4460,$G3942)&gt;1,"重複",""))</f>
        <v/>
      </c>
    </row>
    <row r="3943" customFormat="false" ht="16.5" hidden="false" customHeight="true" outlineLevel="0" collapsed="false">
      <c r="A3943" s="2" t="s">
        <v>447</v>
      </c>
      <c r="B3943" s="2" t="s">
        <v>467</v>
      </c>
      <c r="C3943" s="2" t="s">
        <v>21</v>
      </c>
      <c r="D3943" s="2" t="str">
        <f aca="false">IF(4キー同時!$B$253="","",4キー同時!$B$253)</f>
        <v/>
      </c>
      <c r="E3943" s="2" t="str">
        <f aca="false">IF(4キー同時!$G$253="","",4キー同時!$G$253)</f>
        <v/>
      </c>
      <c r="F3943" s="2" t="str">
        <f aca="false">IF(4キー同時!$L$253="","",4キー同時!$L$253)</f>
        <v/>
      </c>
      <c r="G3943" s="2" t="str">
        <f aca="false">IF(OR(4キー同時!$B$253="",4キー同時!$G$253="",4キー同時!$L$253=""),"",IF(4キー同時!AR257="","",SUBSTITUTE(SUBSTITUTE(4キー同時!AR257," ",""),"　","")))</f>
        <v/>
      </c>
      <c r="H3943" s="2" t="str">
        <f aca="false">IF($G3943="","",4キー同時!$B$253)</f>
        <v/>
      </c>
      <c r="I3943" s="2" t="str">
        <f aca="false">IF($G3943="","",4キー同時!$G$253)</f>
        <v/>
      </c>
      <c r="J3943" s="2" t="str">
        <f aca="false">IF($G3943="","",4キー同時!$L$253)</f>
        <v/>
      </c>
      <c r="K3943" s="2" t="str">
        <f aca="false">IF($G3943="","","p")</f>
        <v/>
      </c>
      <c r="L3943" s="2" t="str">
        <f aca="false">IF($G3943="","","同時")</f>
        <v/>
      </c>
      <c r="M3943" s="2" t="str">
        <f aca="false">IF($G3943="","",IF(ISNA(MATCH($G3943,個別指定!$A:$A,0)),"行なし",""))</f>
        <v/>
      </c>
      <c r="N3943" s="2" t="str">
        <f aca="false">IF($G3943="","",IF(COUNTIF($G$2:$G$4460,$G3943)&gt;1,"重複",""))</f>
        <v/>
      </c>
    </row>
    <row r="3944" customFormat="false" ht="16.5" hidden="false" customHeight="true" outlineLevel="0" collapsed="false">
      <c r="A3944" s="2" t="s">
        <v>447</v>
      </c>
      <c r="B3944" s="2" t="s">
        <v>467</v>
      </c>
      <c r="C3944" s="2" t="s">
        <v>22</v>
      </c>
      <c r="D3944" s="2" t="str">
        <f aca="false">IF(4キー同時!$B$253="","",4キー同時!$B$253)</f>
        <v/>
      </c>
      <c r="E3944" s="2" t="str">
        <f aca="false">IF(4キー同時!$G$253="","",4キー同時!$G$253)</f>
        <v/>
      </c>
      <c r="F3944" s="2" t="str">
        <f aca="false">IF(4キー同時!$L$253="","",4キー同時!$L$253)</f>
        <v/>
      </c>
      <c r="G3944" s="2" t="str">
        <f aca="false">IF(OR(4キー同時!$B$253="",4キー同時!$G$253="",4キー同時!$L$253=""),"",IF(4キー同時!AV257="","",SUBSTITUTE(SUBSTITUTE(4キー同時!AV257," ",""),"　","")))</f>
        <v/>
      </c>
      <c r="H3944" s="2" t="str">
        <f aca="false">IF($G3944="","",4キー同時!$B$253)</f>
        <v/>
      </c>
      <c r="I3944" s="2" t="str">
        <f aca="false">IF($G3944="","",4キー同時!$G$253)</f>
        <v/>
      </c>
      <c r="J3944" s="2" t="str">
        <f aca="false">IF($G3944="","",4キー同時!$L$253)</f>
        <v/>
      </c>
      <c r="K3944" s="2" t="str">
        <f aca="false">IF($G3944="","","[")</f>
        <v/>
      </c>
      <c r="L3944" s="2" t="str">
        <f aca="false">IF($G3944="","","同時")</f>
        <v/>
      </c>
      <c r="M3944" s="2" t="str">
        <f aca="false">IF($G3944="","",IF(ISNA(MATCH($G3944,個別指定!$A:$A,0)),"行なし",""))</f>
        <v/>
      </c>
      <c r="N3944" s="2" t="str">
        <f aca="false">IF($G3944="","",IF(COUNTIF($G$2:$G$4460,$G3944)&gt;1,"重複",""))</f>
        <v/>
      </c>
    </row>
    <row r="3945" customFormat="false" ht="16.5" hidden="false" customHeight="true" outlineLevel="0" collapsed="false">
      <c r="A3945" s="2" t="s">
        <v>447</v>
      </c>
      <c r="B3945" s="2" t="s">
        <v>467</v>
      </c>
      <c r="C3945" s="2" t="s">
        <v>23</v>
      </c>
      <c r="D3945" s="2" t="str">
        <f aca="false">IF(4キー同時!$B$253="","",4キー同時!$B$253)</f>
        <v/>
      </c>
      <c r="E3945" s="2" t="str">
        <f aca="false">IF(4キー同時!$G$253="","",4キー同時!$G$253)</f>
        <v/>
      </c>
      <c r="F3945" s="2" t="str">
        <f aca="false">IF(4キー同時!$L$253="","",4キー同時!$L$253)</f>
        <v/>
      </c>
      <c r="G3945" s="2" t="str">
        <f aca="false">IF(OR(4キー同時!$B$253="",4キー同時!$G$253="",4キー同時!$L$253=""),"",IF(4キー同時!AZ257="","",SUBSTITUTE(SUBSTITUTE(4キー同時!AZ257," ",""),"　","")))</f>
        <v/>
      </c>
      <c r="H3945" s="2" t="str">
        <f aca="false">IF($G3945="","",4キー同時!$B$253)</f>
        <v/>
      </c>
      <c r="I3945" s="2" t="str">
        <f aca="false">IF($G3945="","",4キー同時!$G$253)</f>
        <v/>
      </c>
      <c r="J3945" s="2" t="str">
        <f aca="false">IF($G3945="","",4キー同時!$L$253)</f>
        <v/>
      </c>
      <c r="K3945" s="2" t="str">
        <f aca="false">IF($G3945="","","]")</f>
        <v/>
      </c>
      <c r="L3945" s="2" t="str">
        <f aca="false">IF($G3945="","","同時")</f>
        <v/>
      </c>
      <c r="M3945" s="2" t="str">
        <f aca="false">IF($G3945="","",IF(ISNA(MATCH($G3945,個別指定!$A:$A,0)),"行なし",""))</f>
        <v/>
      </c>
      <c r="N3945" s="2" t="str">
        <f aca="false">IF($G3945="","",IF(COUNTIF($G$2:$G$4460,$G3945)&gt;1,"重複",""))</f>
        <v/>
      </c>
    </row>
    <row r="3946" customFormat="false" ht="16.5" hidden="false" customHeight="true" outlineLevel="0" collapsed="false">
      <c r="A3946" s="2" t="s">
        <v>447</v>
      </c>
      <c r="B3946" s="2" t="s">
        <v>467</v>
      </c>
      <c r="C3946" s="2" t="s">
        <v>24</v>
      </c>
      <c r="D3946" s="2" t="str">
        <f aca="false">IF(4キー同時!$B$253="","",4キー同時!$B$253)</f>
        <v/>
      </c>
      <c r="E3946" s="2" t="str">
        <f aca="false">IF(4キー同時!$G$253="","",4キー同時!$G$253)</f>
        <v/>
      </c>
      <c r="F3946" s="2" t="str">
        <f aca="false">IF(4キー同時!$L$253="","",4キー同時!$L$253)</f>
        <v/>
      </c>
      <c r="G3946" s="2" t="str">
        <f aca="false">IF(OR(4キー同時!$B$253="",4キー同時!$G$253="",4キー同時!$L$253=""),"",IF(4キー同時!I259="","",SUBSTITUTE(SUBSTITUTE(4キー同時!I259," ",""),"　","")))</f>
        <v/>
      </c>
      <c r="H3946" s="2" t="str">
        <f aca="false">IF($G3946="","",4キー同時!$B$253)</f>
        <v/>
      </c>
      <c r="I3946" s="2" t="str">
        <f aca="false">IF($G3946="","",4キー同時!$G$253)</f>
        <v/>
      </c>
      <c r="J3946" s="2" t="str">
        <f aca="false">IF($G3946="","",4キー同時!$L$253)</f>
        <v/>
      </c>
      <c r="K3946" s="2" t="str">
        <f aca="false">IF($G3946="","","a")</f>
        <v/>
      </c>
      <c r="L3946" s="2" t="str">
        <f aca="false">IF($G3946="","","同時")</f>
        <v/>
      </c>
      <c r="M3946" s="2" t="str">
        <f aca="false">IF($G3946="","",IF(ISNA(MATCH($G3946,個別指定!$A:$A,0)),"行なし",""))</f>
        <v/>
      </c>
      <c r="N3946" s="2" t="str">
        <f aca="false">IF($G3946="","",IF(COUNTIF($G$2:$G$4460,$G3946)&gt;1,"重複",""))</f>
        <v/>
      </c>
    </row>
    <row r="3947" customFormat="false" ht="16.5" hidden="false" customHeight="true" outlineLevel="0" collapsed="false">
      <c r="A3947" s="2" t="s">
        <v>447</v>
      </c>
      <c r="B3947" s="2" t="s">
        <v>467</v>
      </c>
      <c r="C3947" s="2" t="s">
        <v>25</v>
      </c>
      <c r="D3947" s="2" t="str">
        <f aca="false">IF(4キー同時!$B$253="","",4キー同時!$B$253)</f>
        <v/>
      </c>
      <c r="E3947" s="2" t="str">
        <f aca="false">IF(4キー同時!$G$253="","",4キー同時!$G$253)</f>
        <v/>
      </c>
      <c r="F3947" s="2" t="str">
        <f aca="false">IF(4キー同時!$L$253="","",4キー同時!$L$253)</f>
        <v/>
      </c>
      <c r="G3947" s="2" t="str">
        <f aca="false">IF(OR(4キー同時!$B$253="",4キー同時!$G$253="",4キー同時!$L$253=""),"",IF(4キー同時!M259="","",SUBSTITUTE(SUBSTITUTE(4キー同時!M259," ",""),"　","")))</f>
        <v/>
      </c>
      <c r="H3947" s="2" t="str">
        <f aca="false">IF($G3947="","",4キー同時!$B$253)</f>
        <v/>
      </c>
      <c r="I3947" s="2" t="str">
        <f aca="false">IF($G3947="","",4キー同時!$G$253)</f>
        <v/>
      </c>
      <c r="J3947" s="2" t="str">
        <f aca="false">IF($G3947="","",4キー同時!$L$253)</f>
        <v/>
      </c>
      <c r="K3947" s="2" t="str">
        <f aca="false">IF($G3947="","","s")</f>
        <v/>
      </c>
      <c r="L3947" s="2" t="str">
        <f aca="false">IF($G3947="","","同時")</f>
        <v/>
      </c>
      <c r="M3947" s="2" t="str">
        <f aca="false">IF($G3947="","",IF(ISNA(MATCH($G3947,個別指定!$A:$A,0)),"行なし",""))</f>
        <v/>
      </c>
      <c r="N3947" s="2" t="str">
        <f aca="false">IF($G3947="","",IF(COUNTIF($G$2:$G$4460,$G3947)&gt;1,"重複",""))</f>
        <v/>
      </c>
    </row>
    <row r="3948" customFormat="false" ht="16.5" hidden="false" customHeight="true" outlineLevel="0" collapsed="false">
      <c r="A3948" s="2" t="s">
        <v>447</v>
      </c>
      <c r="B3948" s="2" t="s">
        <v>467</v>
      </c>
      <c r="C3948" s="2" t="s">
        <v>26</v>
      </c>
      <c r="D3948" s="2" t="str">
        <f aca="false">IF(4キー同時!$B$253="","",4キー同時!$B$253)</f>
        <v/>
      </c>
      <c r="E3948" s="2" t="str">
        <f aca="false">IF(4キー同時!$G$253="","",4キー同時!$G$253)</f>
        <v/>
      </c>
      <c r="F3948" s="2" t="str">
        <f aca="false">IF(4キー同時!$L$253="","",4キー同時!$L$253)</f>
        <v/>
      </c>
      <c r="G3948" s="2" t="str">
        <f aca="false">IF(OR(4キー同時!$B$253="",4キー同時!$G$253="",4キー同時!$L$253=""),"",IF(4キー同時!Q259="","",SUBSTITUTE(SUBSTITUTE(4キー同時!Q259," ",""),"　","")))</f>
        <v/>
      </c>
      <c r="H3948" s="2" t="str">
        <f aca="false">IF($G3948="","",4キー同時!$B$253)</f>
        <v/>
      </c>
      <c r="I3948" s="2" t="str">
        <f aca="false">IF($G3948="","",4キー同時!$G$253)</f>
        <v/>
      </c>
      <c r="J3948" s="2" t="str">
        <f aca="false">IF($G3948="","",4キー同時!$L$253)</f>
        <v/>
      </c>
      <c r="K3948" s="2" t="str">
        <f aca="false">IF($G3948="","","d")</f>
        <v/>
      </c>
      <c r="L3948" s="2" t="str">
        <f aca="false">IF($G3948="","","同時")</f>
        <v/>
      </c>
      <c r="M3948" s="2" t="str">
        <f aca="false">IF($G3948="","",IF(ISNA(MATCH($G3948,個別指定!$A:$A,0)),"行なし",""))</f>
        <v/>
      </c>
      <c r="N3948" s="2" t="str">
        <f aca="false">IF($G3948="","",IF(COUNTIF($G$2:$G$4460,$G3948)&gt;1,"重複",""))</f>
        <v/>
      </c>
    </row>
    <row r="3949" customFormat="false" ht="16.5" hidden="false" customHeight="true" outlineLevel="0" collapsed="false">
      <c r="A3949" s="2" t="s">
        <v>447</v>
      </c>
      <c r="B3949" s="2" t="s">
        <v>467</v>
      </c>
      <c r="C3949" s="2" t="s">
        <v>27</v>
      </c>
      <c r="D3949" s="2" t="str">
        <f aca="false">IF(4キー同時!$B$253="","",4キー同時!$B$253)</f>
        <v/>
      </c>
      <c r="E3949" s="2" t="str">
        <f aca="false">IF(4キー同時!$G$253="","",4キー同時!$G$253)</f>
        <v/>
      </c>
      <c r="F3949" s="2" t="str">
        <f aca="false">IF(4キー同時!$L$253="","",4キー同時!$L$253)</f>
        <v/>
      </c>
      <c r="G3949" s="2" t="str">
        <f aca="false">IF(OR(4キー同時!$B$253="",4キー同時!$G$253="",4キー同時!$L$253=""),"",IF(4キー同時!U259="","",SUBSTITUTE(SUBSTITUTE(4キー同時!U259," ",""),"　","")))</f>
        <v/>
      </c>
      <c r="H3949" s="2" t="str">
        <f aca="false">IF($G3949="","",4キー同時!$B$253)</f>
        <v/>
      </c>
      <c r="I3949" s="2" t="str">
        <f aca="false">IF($G3949="","",4キー同時!$G$253)</f>
        <v/>
      </c>
      <c r="J3949" s="2" t="str">
        <f aca="false">IF($G3949="","",4キー同時!$L$253)</f>
        <v/>
      </c>
      <c r="K3949" s="2" t="str">
        <f aca="false">IF($G3949="","","f")</f>
        <v/>
      </c>
      <c r="L3949" s="2" t="str">
        <f aca="false">IF($G3949="","","同時")</f>
        <v/>
      </c>
      <c r="M3949" s="2" t="str">
        <f aca="false">IF($G3949="","",IF(ISNA(MATCH($G3949,個別指定!$A:$A,0)),"行なし",""))</f>
        <v/>
      </c>
      <c r="N3949" s="2" t="str">
        <f aca="false">IF($G3949="","",IF(COUNTIF($G$2:$G$4460,$G3949)&gt;1,"重複",""))</f>
        <v/>
      </c>
    </row>
    <row r="3950" customFormat="false" ht="16.5" hidden="false" customHeight="true" outlineLevel="0" collapsed="false">
      <c r="A3950" s="2" t="s">
        <v>447</v>
      </c>
      <c r="B3950" s="2" t="s">
        <v>467</v>
      </c>
      <c r="C3950" s="2" t="s">
        <v>28</v>
      </c>
      <c r="D3950" s="2" t="str">
        <f aca="false">IF(4キー同時!$B$253="","",4キー同時!$B$253)</f>
        <v/>
      </c>
      <c r="E3950" s="2" t="str">
        <f aca="false">IF(4キー同時!$G$253="","",4キー同時!$G$253)</f>
        <v/>
      </c>
      <c r="F3950" s="2" t="str">
        <f aca="false">IF(4キー同時!$L$253="","",4キー同時!$L$253)</f>
        <v/>
      </c>
      <c r="G3950" s="2" t="str">
        <f aca="false">IF(OR(4キー同時!$B$253="",4キー同時!$G$253="",4キー同時!$L$253=""),"",IF(4キー同時!Y259="","",SUBSTITUTE(SUBSTITUTE(4キー同時!Y259," ",""),"　","")))</f>
        <v/>
      </c>
      <c r="H3950" s="2" t="str">
        <f aca="false">IF($G3950="","",4キー同時!$B$253)</f>
        <v/>
      </c>
      <c r="I3950" s="2" t="str">
        <f aca="false">IF($G3950="","",4キー同時!$G$253)</f>
        <v/>
      </c>
      <c r="J3950" s="2" t="str">
        <f aca="false">IF($G3950="","",4キー同時!$L$253)</f>
        <v/>
      </c>
      <c r="K3950" s="2" t="str">
        <f aca="false">IF($G3950="","","g")</f>
        <v/>
      </c>
      <c r="L3950" s="2" t="str">
        <f aca="false">IF($G3950="","","同時")</f>
        <v/>
      </c>
      <c r="M3950" s="2" t="str">
        <f aca="false">IF($G3950="","",IF(ISNA(MATCH($G3950,個別指定!$A:$A,0)),"行なし",""))</f>
        <v/>
      </c>
      <c r="N3950" s="2" t="str">
        <f aca="false">IF($G3950="","",IF(COUNTIF($G$2:$G$4460,$G3950)&gt;1,"重複",""))</f>
        <v/>
      </c>
    </row>
    <row r="3951" customFormat="false" ht="16.5" hidden="false" customHeight="true" outlineLevel="0" collapsed="false">
      <c r="A3951" s="2" t="s">
        <v>447</v>
      </c>
      <c r="B3951" s="2" t="s">
        <v>467</v>
      </c>
      <c r="C3951" s="2" t="s">
        <v>29</v>
      </c>
      <c r="D3951" s="2" t="str">
        <f aca="false">IF(4キー同時!$B$253="","",4キー同時!$B$253)</f>
        <v/>
      </c>
      <c r="E3951" s="2" t="str">
        <f aca="false">IF(4キー同時!$G$253="","",4キー同時!$G$253)</f>
        <v/>
      </c>
      <c r="F3951" s="2" t="str">
        <f aca="false">IF(4キー同時!$L$253="","",4キー同時!$L$253)</f>
        <v/>
      </c>
      <c r="G3951" s="2" t="str">
        <f aca="false">IF(OR(4キー同時!$B$253="",4キー同時!$G$253="",4キー同時!$L$253=""),"",IF(4キー同時!AC259="","",SUBSTITUTE(SUBSTITUTE(4キー同時!AC259," ",""),"　","")))</f>
        <v/>
      </c>
      <c r="H3951" s="2" t="str">
        <f aca="false">IF($G3951="","",4キー同時!$B$253)</f>
        <v/>
      </c>
      <c r="I3951" s="2" t="str">
        <f aca="false">IF($G3951="","",4キー同時!$G$253)</f>
        <v/>
      </c>
      <c r="J3951" s="2" t="str">
        <f aca="false">IF($G3951="","",4キー同時!$L$253)</f>
        <v/>
      </c>
      <c r="K3951" s="2" t="str">
        <f aca="false">IF($G3951="","","h")</f>
        <v/>
      </c>
      <c r="L3951" s="2" t="str">
        <f aca="false">IF($G3951="","","同時")</f>
        <v/>
      </c>
      <c r="M3951" s="2" t="str">
        <f aca="false">IF($G3951="","",IF(ISNA(MATCH($G3951,個別指定!$A:$A,0)),"行なし",""))</f>
        <v/>
      </c>
      <c r="N3951" s="2" t="str">
        <f aca="false">IF($G3951="","",IF(COUNTIF($G$2:$G$4460,$G3951)&gt;1,"重複",""))</f>
        <v/>
      </c>
    </row>
    <row r="3952" customFormat="false" ht="16.5" hidden="false" customHeight="true" outlineLevel="0" collapsed="false">
      <c r="A3952" s="2" t="s">
        <v>447</v>
      </c>
      <c r="B3952" s="2" t="s">
        <v>467</v>
      </c>
      <c r="C3952" s="2" t="s">
        <v>30</v>
      </c>
      <c r="D3952" s="2" t="str">
        <f aca="false">IF(4キー同時!$B$253="","",4キー同時!$B$253)</f>
        <v/>
      </c>
      <c r="E3952" s="2" t="str">
        <f aca="false">IF(4キー同時!$G$253="","",4キー同時!$G$253)</f>
        <v/>
      </c>
      <c r="F3952" s="2" t="str">
        <f aca="false">IF(4キー同時!$L$253="","",4キー同時!$L$253)</f>
        <v/>
      </c>
      <c r="G3952" s="2" t="str">
        <f aca="false">IF(OR(4キー同時!$B$253="",4キー同時!$G$253="",4キー同時!$L$253=""),"",IF(4キー同時!AG259="","",SUBSTITUTE(SUBSTITUTE(4キー同時!AG259," ",""),"　","")))</f>
        <v/>
      </c>
      <c r="H3952" s="2" t="str">
        <f aca="false">IF($G3952="","",4キー同時!$B$253)</f>
        <v/>
      </c>
      <c r="I3952" s="2" t="str">
        <f aca="false">IF($G3952="","",4キー同時!$G$253)</f>
        <v/>
      </c>
      <c r="J3952" s="2" t="str">
        <f aca="false">IF($G3952="","",4キー同時!$L$253)</f>
        <v/>
      </c>
      <c r="K3952" s="2" t="str">
        <f aca="false">IF($G3952="","","j")</f>
        <v/>
      </c>
      <c r="L3952" s="2" t="str">
        <f aca="false">IF($G3952="","","同時")</f>
        <v/>
      </c>
      <c r="M3952" s="2" t="str">
        <f aca="false">IF($G3952="","",IF(ISNA(MATCH($G3952,個別指定!$A:$A,0)),"行なし",""))</f>
        <v/>
      </c>
      <c r="N3952" s="2" t="str">
        <f aca="false">IF($G3952="","",IF(COUNTIF($G$2:$G$4460,$G3952)&gt;1,"重複",""))</f>
        <v/>
      </c>
    </row>
    <row r="3953" customFormat="false" ht="16.5" hidden="false" customHeight="true" outlineLevel="0" collapsed="false">
      <c r="A3953" s="2" t="s">
        <v>447</v>
      </c>
      <c r="B3953" s="2" t="s">
        <v>467</v>
      </c>
      <c r="C3953" s="2" t="s">
        <v>31</v>
      </c>
      <c r="D3953" s="2" t="str">
        <f aca="false">IF(4キー同時!$B$253="","",4キー同時!$B$253)</f>
        <v/>
      </c>
      <c r="E3953" s="2" t="str">
        <f aca="false">IF(4キー同時!$G$253="","",4キー同時!$G$253)</f>
        <v/>
      </c>
      <c r="F3953" s="2" t="str">
        <f aca="false">IF(4キー同時!$L$253="","",4キー同時!$L$253)</f>
        <v/>
      </c>
      <c r="G3953" s="2" t="str">
        <f aca="false">IF(OR(4キー同時!$B$253="",4キー同時!$G$253="",4キー同時!$L$253=""),"",IF(4キー同時!AK259="","",SUBSTITUTE(SUBSTITUTE(4キー同時!AK259," ",""),"　","")))</f>
        <v/>
      </c>
      <c r="H3953" s="2" t="str">
        <f aca="false">IF($G3953="","",4キー同時!$B$253)</f>
        <v/>
      </c>
      <c r="I3953" s="2" t="str">
        <f aca="false">IF($G3953="","",4キー同時!$G$253)</f>
        <v/>
      </c>
      <c r="J3953" s="2" t="str">
        <f aca="false">IF($G3953="","",4キー同時!$L$253)</f>
        <v/>
      </c>
      <c r="K3953" s="2" t="str">
        <f aca="false">IF($G3953="","","k")</f>
        <v/>
      </c>
      <c r="L3953" s="2" t="str">
        <f aca="false">IF($G3953="","","同時")</f>
        <v/>
      </c>
      <c r="M3953" s="2" t="str">
        <f aca="false">IF($G3953="","",IF(ISNA(MATCH($G3953,個別指定!$A:$A,0)),"行なし",""))</f>
        <v/>
      </c>
      <c r="N3953" s="2" t="str">
        <f aca="false">IF($G3953="","",IF(COUNTIF($G$2:$G$4460,$G3953)&gt;1,"重複",""))</f>
        <v/>
      </c>
    </row>
    <row r="3954" customFormat="false" ht="16.5" hidden="false" customHeight="true" outlineLevel="0" collapsed="false">
      <c r="A3954" s="2" t="s">
        <v>447</v>
      </c>
      <c r="B3954" s="2" t="s">
        <v>467</v>
      </c>
      <c r="C3954" s="2" t="s">
        <v>32</v>
      </c>
      <c r="D3954" s="2" t="str">
        <f aca="false">IF(4キー同時!$B$253="","",4キー同時!$B$253)</f>
        <v/>
      </c>
      <c r="E3954" s="2" t="str">
        <f aca="false">IF(4キー同時!$G$253="","",4キー同時!$G$253)</f>
        <v/>
      </c>
      <c r="F3954" s="2" t="str">
        <f aca="false">IF(4キー同時!$L$253="","",4キー同時!$L$253)</f>
        <v/>
      </c>
      <c r="G3954" s="2" t="str">
        <f aca="false">IF(OR(4キー同時!$B$253="",4キー同時!$G$253="",4キー同時!$L$253=""),"",IF(4キー同時!AO259="","",SUBSTITUTE(SUBSTITUTE(4キー同時!AO259," ",""),"　","")))</f>
        <v/>
      </c>
      <c r="H3954" s="2" t="str">
        <f aca="false">IF($G3954="","",4キー同時!$B$253)</f>
        <v/>
      </c>
      <c r="I3954" s="2" t="str">
        <f aca="false">IF($G3954="","",4キー同時!$G$253)</f>
        <v/>
      </c>
      <c r="J3954" s="2" t="str">
        <f aca="false">IF($G3954="","",4キー同時!$L$253)</f>
        <v/>
      </c>
      <c r="K3954" s="2" t="str">
        <f aca="false">IF($G3954="","","l")</f>
        <v/>
      </c>
      <c r="L3954" s="2" t="str">
        <f aca="false">IF($G3954="","","同時")</f>
        <v/>
      </c>
      <c r="M3954" s="2" t="str">
        <f aca="false">IF($G3954="","",IF(ISNA(MATCH($G3954,個別指定!$A:$A,0)),"行なし",""))</f>
        <v/>
      </c>
      <c r="N3954" s="2" t="str">
        <f aca="false">IF($G3954="","",IF(COUNTIF($G$2:$G$4460,$G3954)&gt;1,"重複",""))</f>
        <v/>
      </c>
    </row>
    <row r="3955" customFormat="false" ht="16.5" hidden="false" customHeight="true" outlineLevel="0" collapsed="false">
      <c r="A3955" s="2" t="s">
        <v>447</v>
      </c>
      <c r="B3955" s="2" t="s">
        <v>467</v>
      </c>
      <c r="C3955" s="2" t="s">
        <v>33</v>
      </c>
      <c r="D3955" s="2" t="str">
        <f aca="false">IF(4キー同時!$B$253="","",4キー同時!$B$253)</f>
        <v/>
      </c>
      <c r="E3955" s="2" t="str">
        <f aca="false">IF(4キー同時!$G$253="","",4キー同時!$G$253)</f>
        <v/>
      </c>
      <c r="F3955" s="2" t="str">
        <f aca="false">IF(4キー同時!$L$253="","",4キー同時!$L$253)</f>
        <v/>
      </c>
      <c r="G3955" s="2" t="str">
        <f aca="false">IF(OR(4キー同時!$B$253="",4キー同時!$G$253="",4キー同時!$L$253=""),"",IF(4キー同時!AS259="","",SUBSTITUTE(SUBSTITUTE(4キー同時!AS259," ",""),"　","")))</f>
        <v/>
      </c>
      <c r="H3955" s="2" t="str">
        <f aca="false">IF($G3955="","",4キー同時!$B$253)</f>
        <v/>
      </c>
      <c r="I3955" s="2" t="str">
        <f aca="false">IF($G3955="","",4キー同時!$G$253)</f>
        <v/>
      </c>
      <c r="J3955" s="2" t="str">
        <f aca="false">IF($G3955="","",4キー同時!$L$253)</f>
        <v/>
      </c>
      <c r="K3955" s="2" t="str">
        <f aca="false">IF($G3955="","",";")</f>
        <v/>
      </c>
      <c r="L3955" s="2" t="str">
        <f aca="false">IF($G3955="","","同時")</f>
        <v/>
      </c>
      <c r="M3955" s="2" t="str">
        <f aca="false">IF($G3955="","",IF(ISNA(MATCH($G3955,個別指定!$A:$A,0)),"行なし",""))</f>
        <v/>
      </c>
      <c r="N3955" s="2" t="str">
        <f aca="false">IF($G3955="","",IF(COUNTIF($G$2:$G$4460,$G3955)&gt;1,"重複",""))</f>
        <v/>
      </c>
    </row>
    <row r="3956" customFormat="false" ht="16.5" hidden="false" customHeight="true" outlineLevel="0" collapsed="false">
      <c r="A3956" s="2" t="s">
        <v>447</v>
      </c>
      <c r="B3956" s="2" t="s">
        <v>467</v>
      </c>
      <c r="C3956" s="2" t="s">
        <v>34</v>
      </c>
      <c r="D3956" s="2" t="str">
        <f aca="false">IF(4キー同時!$B$253="","",4キー同時!$B$253)</f>
        <v/>
      </c>
      <c r="E3956" s="2" t="str">
        <f aca="false">IF(4キー同時!$G$253="","",4キー同時!$G$253)</f>
        <v/>
      </c>
      <c r="F3956" s="2" t="str">
        <f aca="false">IF(4キー同時!$L$253="","",4キー同時!$L$253)</f>
        <v/>
      </c>
      <c r="G3956" s="2" t="str">
        <f aca="false">IF(OR(4キー同時!$B$253="",4キー同時!$G$253="",4キー同時!$L$253=""),"",IF(4キー同時!AW259="","",SUBSTITUTE(SUBSTITUTE(4キー同時!AW259," ",""),"　","")))</f>
        <v/>
      </c>
      <c r="H3956" s="2" t="str">
        <f aca="false">IF($G3956="","",4キー同時!$B$253)</f>
        <v/>
      </c>
      <c r="I3956" s="2" t="str">
        <f aca="false">IF($G3956="","",4キー同時!$G$253)</f>
        <v/>
      </c>
      <c r="J3956" s="2" t="str">
        <f aca="false">IF($G3956="","",4キー同時!$L$253)</f>
        <v/>
      </c>
      <c r="K3956" s="2" t="str">
        <f aca="false">IF($G3956="","","'")</f>
        <v/>
      </c>
      <c r="L3956" s="2" t="str">
        <f aca="false">IF($G3956="","","同時")</f>
        <v/>
      </c>
      <c r="M3956" s="2" t="str">
        <f aca="false">IF($G3956="","",IF(ISNA(MATCH($G3956,個別指定!$A:$A,0)),"行なし",""))</f>
        <v/>
      </c>
      <c r="N3956" s="2" t="str">
        <f aca="false">IF($G3956="","",IF(COUNTIF($G$2:$G$4460,$G3956)&gt;1,"重複",""))</f>
        <v/>
      </c>
    </row>
    <row r="3957" customFormat="false" ht="16.5" hidden="false" customHeight="true" outlineLevel="0" collapsed="false">
      <c r="A3957" s="2" t="s">
        <v>447</v>
      </c>
      <c r="B3957" s="2" t="s">
        <v>467</v>
      </c>
      <c r="C3957" s="2" t="s">
        <v>35</v>
      </c>
      <c r="D3957" s="2" t="str">
        <f aca="false">IF(4キー同時!$B$253="","",4キー同時!$B$253)</f>
        <v/>
      </c>
      <c r="E3957" s="2" t="str">
        <f aca="false">IF(4キー同時!$G$253="","",4キー同時!$G$253)</f>
        <v/>
      </c>
      <c r="F3957" s="2" t="str">
        <f aca="false">IF(4キー同時!$L$253="","",4キー同時!$L$253)</f>
        <v/>
      </c>
      <c r="G3957" s="2" t="str">
        <f aca="false">IF(OR(4キー同時!$B$253="",4キー同時!$G$253="",4キー同時!$L$253=""),"",IF(4キー同時!K261="","",SUBSTITUTE(SUBSTITUTE(4キー同時!K261," ",""),"　","")))</f>
        <v/>
      </c>
      <c r="H3957" s="2" t="str">
        <f aca="false">IF($G3957="","",4キー同時!$B$253)</f>
        <v/>
      </c>
      <c r="I3957" s="2" t="str">
        <f aca="false">IF($G3957="","",4キー同時!$G$253)</f>
        <v/>
      </c>
      <c r="J3957" s="2" t="str">
        <f aca="false">IF($G3957="","",4キー同時!$L$253)</f>
        <v/>
      </c>
      <c r="K3957" s="2" t="str">
        <f aca="false">IF($G3957="","","z")</f>
        <v/>
      </c>
      <c r="L3957" s="2" t="str">
        <f aca="false">IF($G3957="","","同時")</f>
        <v/>
      </c>
      <c r="M3957" s="2" t="str">
        <f aca="false">IF($G3957="","",IF(ISNA(MATCH($G3957,個別指定!$A:$A,0)),"行なし",""))</f>
        <v/>
      </c>
      <c r="N3957" s="2" t="str">
        <f aca="false">IF($G3957="","",IF(COUNTIF($G$2:$G$4460,$G3957)&gt;1,"重複",""))</f>
        <v/>
      </c>
    </row>
    <row r="3958" customFormat="false" ht="16.5" hidden="false" customHeight="true" outlineLevel="0" collapsed="false">
      <c r="A3958" s="2" t="s">
        <v>447</v>
      </c>
      <c r="B3958" s="2" t="s">
        <v>467</v>
      </c>
      <c r="C3958" s="2" t="s">
        <v>36</v>
      </c>
      <c r="D3958" s="2" t="str">
        <f aca="false">IF(4キー同時!$B$253="","",4キー同時!$B$253)</f>
        <v/>
      </c>
      <c r="E3958" s="2" t="str">
        <f aca="false">IF(4キー同時!$G$253="","",4キー同時!$G$253)</f>
        <v/>
      </c>
      <c r="F3958" s="2" t="str">
        <f aca="false">IF(4キー同時!$L$253="","",4キー同時!$L$253)</f>
        <v/>
      </c>
      <c r="G3958" s="2" t="str">
        <f aca="false">IF(OR(4キー同時!$B$253="",4キー同時!$G$253="",4キー同時!$L$253=""),"",IF(4キー同時!O261="","",SUBSTITUTE(SUBSTITUTE(4キー同時!O261," ",""),"　","")))</f>
        <v/>
      </c>
      <c r="H3958" s="2" t="str">
        <f aca="false">IF($G3958="","",4キー同時!$B$253)</f>
        <v/>
      </c>
      <c r="I3958" s="2" t="str">
        <f aca="false">IF($G3958="","",4キー同時!$G$253)</f>
        <v/>
      </c>
      <c r="J3958" s="2" t="str">
        <f aca="false">IF($G3958="","",4キー同時!$L$253)</f>
        <v/>
      </c>
      <c r="K3958" s="2" t="str">
        <f aca="false">IF($G3958="","","x")</f>
        <v/>
      </c>
      <c r="L3958" s="2" t="str">
        <f aca="false">IF($G3958="","","同時")</f>
        <v/>
      </c>
      <c r="M3958" s="2" t="str">
        <f aca="false">IF($G3958="","",IF(ISNA(MATCH($G3958,個別指定!$A:$A,0)),"行なし",""))</f>
        <v/>
      </c>
      <c r="N3958" s="2" t="str">
        <f aca="false">IF($G3958="","",IF(COUNTIF($G$2:$G$4460,$G3958)&gt;1,"重複",""))</f>
        <v/>
      </c>
    </row>
    <row r="3959" customFormat="false" ht="16.5" hidden="false" customHeight="true" outlineLevel="0" collapsed="false">
      <c r="A3959" s="2" t="s">
        <v>447</v>
      </c>
      <c r="B3959" s="2" t="s">
        <v>467</v>
      </c>
      <c r="C3959" s="2" t="s">
        <v>37</v>
      </c>
      <c r="D3959" s="2" t="str">
        <f aca="false">IF(4キー同時!$B$253="","",4キー同時!$B$253)</f>
        <v/>
      </c>
      <c r="E3959" s="2" t="str">
        <f aca="false">IF(4キー同時!$G$253="","",4キー同時!$G$253)</f>
        <v/>
      </c>
      <c r="F3959" s="2" t="str">
        <f aca="false">IF(4キー同時!$L$253="","",4キー同時!$L$253)</f>
        <v/>
      </c>
      <c r="G3959" s="2" t="str">
        <f aca="false">IF(OR(4キー同時!$B$253="",4キー同時!$G$253="",4キー同時!$L$253=""),"",IF(4キー同時!S261="","",SUBSTITUTE(SUBSTITUTE(4キー同時!S261," ",""),"　","")))</f>
        <v/>
      </c>
      <c r="H3959" s="2" t="str">
        <f aca="false">IF($G3959="","",4キー同時!$B$253)</f>
        <v/>
      </c>
      <c r="I3959" s="2" t="str">
        <f aca="false">IF($G3959="","",4キー同時!$G$253)</f>
        <v/>
      </c>
      <c r="J3959" s="2" t="str">
        <f aca="false">IF($G3959="","",4キー同時!$L$253)</f>
        <v/>
      </c>
      <c r="K3959" s="2" t="str">
        <f aca="false">IF($G3959="","","c")</f>
        <v/>
      </c>
      <c r="L3959" s="2" t="str">
        <f aca="false">IF($G3959="","","同時")</f>
        <v/>
      </c>
      <c r="M3959" s="2" t="str">
        <f aca="false">IF($G3959="","",IF(ISNA(MATCH($G3959,個別指定!$A:$A,0)),"行なし",""))</f>
        <v/>
      </c>
      <c r="N3959" s="2" t="str">
        <f aca="false">IF($G3959="","",IF(COUNTIF($G$2:$G$4460,$G3959)&gt;1,"重複",""))</f>
        <v/>
      </c>
    </row>
    <row r="3960" customFormat="false" ht="16.5" hidden="false" customHeight="true" outlineLevel="0" collapsed="false">
      <c r="A3960" s="2" t="s">
        <v>447</v>
      </c>
      <c r="B3960" s="2" t="s">
        <v>467</v>
      </c>
      <c r="C3960" s="2" t="s">
        <v>38</v>
      </c>
      <c r="D3960" s="2" t="str">
        <f aca="false">IF(4キー同時!$B$253="","",4キー同時!$B$253)</f>
        <v/>
      </c>
      <c r="E3960" s="2" t="str">
        <f aca="false">IF(4キー同時!$G$253="","",4キー同時!$G$253)</f>
        <v/>
      </c>
      <c r="F3960" s="2" t="str">
        <f aca="false">IF(4キー同時!$L$253="","",4キー同時!$L$253)</f>
        <v/>
      </c>
      <c r="G3960" s="2" t="str">
        <f aca="false">IF(OR(4キー同時!$B$253="",4キー同時!$G$253="",4キー同時!$L$253=""),"",IF(4キー同時!W261="","",SUBSTITUTE(SUBSTITUTE(4キー同時!W261," ",""),"　","")))</f>
        <v/>
      </c>
      <c r="H3960" s="2" t="str">
        <f aca="false">IF($G3960="","",4キー同時!$B$253)</f>
        <v/>
      </c>
      <c r="I3960" s="2" t="str">
        <f aca="false">IF($G3960="","",4キー同時!$G$253)</f>
        <v/>
      </c>
      <c r="J3960" s="2" t="str">
        <f aca="false">IF($G3960="","",4キー同時!$L$253)</f>
        <v/>
      </c>
      <c r="K3960" s="2" t="str">
        <f aca="false">IF($G3960="","","v")</f>
        <v/>
      </c>
      <c r="L3960" s="2" t="str">
        <f aca="false">IF($G3960="","","同時")</f>
        <v/>
      </c>
      <c r="M3960" s="2" t="str">
        <f aca="false">IF($G3960="","",IF(ISNA(MATCH($G3960,個別指定!$A:$A,0)),"行なし",""))</f>
        <v/>
      </c>
      <c r="N3960" s="2" t="str">
        <f aca="false">IF($G3960="","",IF(COUNTIF($G$2:$G$4460,$G3960)&gt;1,"重複",""))</f>
        <v/>
      </c>
    </row>
    <row r="3961" customFormat="false" ht="16.5" hidden="false" customHeight="true" outlineLevel="0" collapsed="false">
      <c r="A3961" s="2" t="s">
        <v>447</v>
      </c>
      <c r="B3961" s="2" t="s">
        <v>467</v>
      </c>
      <c r="C3961" s="2" t="s">
        <v>39</v>
      </c>
      <c r="D3961" s="2" t="str">
        <f aca="false">IF(4キー同時!$B$253="","",4キー同時!$B$253)</f>
        <v/>
      </c>
      <c r="E3961" s="2" t="str">
        <f aca="false">IF(4キー同時!$G$253="","",4キー同時!$G$253)</f>
        <v/>
      </c>
      <c r="F3961" s="2" t="str">
        <f aca="false">IF(4キー同時!$L$253="","",4キー同時!$L$253)</f>
        <v/>
      </c>
      <c r="G3961" s="2" t="str">
        <f aca="false">IF(OR(4キー同時!$B$253="",4キー同時!$G$253="",4キー同時!$L$253=""),"",IF(4キー同時!AA261="","",SUBSTITUTE(SUBSTITUTE(4キー同時!AA261," ",""),"　","")))</f>
        <v/>
      </c>
      <c r="H3961" s="2" t="str">
        <f aca="false">IF($G3961="","",4キー同時!$B$253)</f>
        <v/>
      </c>
      <c r="I3961" s="2" t="str">
        <f aca="false">IF($G3961="","",4キー同時!$G$253)</f>
        <v/>
      </c>
      <c r="J3961" s="2" t="str">
        <f aca="false">IF($G3961="","",4キー同時!$L$253)</f>
        <v/>
      </c>
      <c r="K3961" s="2" t="str">
        <f aca="false">IF($G3961="","","b")</f>
        <v/>
      </c>
      <c r="L3961" s="2" t="str">
        <f aca="false">IF($G3961="","","同時")</f>
        <v/>
      </c>
      <c r="M3961" s="2" t="str">
        <f aca="false">IF($G3961="","",IF(ISNA(MATCH($G3961,個別指定!$A:$A,0)),"行なし",""))</f>
        <v/>
      </c>
      <c r="N3961" s="2" t="str">
        <f aca="false">IF($G3961="","",IF(COUNTIF($G$2:$G$4460,$G3961)&gt;1,"重複",""))</f>
        <v/>
      </c>
    </row>
    <row r="3962" customFormat="false" ht="16.5" hidden="false" customHeight="true" outlineLevel="0" collapsed="false">
      <c r="A3962" s="2" t="s">
        <v>447</v>
      </c>
      <c r="B3962" s="2" t="s">
        <v>467</v>
      </c>
      <c r="C3962" s="2" t="s">
        <v>40</v>
      </c>
      <c r="D3962" s="2" t="str">
        <f aca="false">IF(4キー同時!$B$253="","",4キー同時!$B$253)</f>
        <v/>
      </c>
      <c r="E3962" s="2" t="str">
        <f aca="false">IF(4キー同時!$G$253="","",4キー同時!$G$253)</f>
        <v/>
      </c>
      <c r="F3962" s="2" t="str">
        <f aca="false">IF(4キー同時!$L$253="","",4キー同時!$L$253)</f>
        <v/>
      </c>
      <c r="G3962" s="2" t="str">
        <f aca="false">IF(OR(4キー同時!$B$253="",4キー同時!$G$253="",4キー同時!$L$253=""),"",IF(4キー同時!AE261="","",SUBSTITUTE(SUBSTITUTE(4キー同時!AE261," ",""),"　","")))</f>
        <v/>
      </c>
      <c r="H3962" s="2" t="str">
        <f aca="false">IF($G3962="","",4キー同時!$B$253)</f>
        <v/>
      </c>
      <c r="I3962" s="2" t="str">
        <f aca="false">IF($G3962="","",4キー同時!$G$253)</f>
        <v/>
      </c>
      <c r="J3962" s="2" t="str">
        <f aca="false">IF($G3962="","",4キー同時!$L$253)</f>
        <v/>
      </c>
      <c r="K3962" s="2" t="str">
        <f aca="false">IF($G3962="","","n")</f>
        <v/>
      </c>
      <c r="L3962" s="2" t="str">
        <f aca="false">IF($G3962="","","同時")</f>
        <v/>
      </c>
      <c r="M3962" s="2" t="str">
        <f aca="false">IF($G3962="","",IF(ISNA(MATCH($G3962,個別指定!$A:$A,0)),"行なし",""))</f>
        <v/>
      </c>
      <c r="N3962" s="2" t="str">
        <f aca="false">IF($G3962="","",IF(COUNTIF($G$2:$G$4460,$G3962)&gt;1,"重複",""))</f>
        <v/>
      </c>
    </row>
    <row r="3963" customFormat="false" ht="16.5" hidden="false" customHeight="true" outlineLevel="0" collapsed="false">
      <c r="A3963" s="2" t="s">
        <v>447</v>
      </c>
      <c r="B3963" s="2" t="s">
        <v>467</v>
      </c>
      <c r="C3963" s="2" t="s">
        <v>41</v>
      </c>
      <c r="D3963" s="2" t="str">
        <f aca="false">IF(4キー同時!$B$253="","",4キー同時!$B$253)</f>
        <v/>
      </c>
      <c r="E3963" s="2" t="str">
        <f aca="false">IF(4キー同時!$G$253="","",4キー同時!$G$253)</f>
        <v/>
      </c>
      <c r="F3963" s="2" t="str">
        <f aca="false">IF(4キー同時!$L$253="","",4キー同時!$L$253)</f>
        <v/>
      </c>
      <c r="G3963" s="2" t="str">
        <f aca="false">IF(OR(4キー同時!$B$253="",4キー同時!$G$253="",4キー同時!$L$253=""),"",IF(4キー同時!AI261="","",SUBSTITUTE(SUBSTITUTE(4キー同時!AI261," ",""),"　","")))</f>
        <v/>
      </c>
      <c r="H3963" s="2" t="str">
        <f aca="false">IF($G3963="","",4キー同時!$B$253)</f>
        <v/>
      </c>
      <c r="I3963" s="2" t="str">
        <f aca="false">IF($G3963="","",4キー同時!$G$253)</f>
        <v/>
      </c>
      <c r="J3963" s="2" t="str">
        <f aca="false">IF($G3963="","",4キー同時!$L$253)</f>
        <v/>
      </c>
      <c r="K3963" s="2" t="str">
        <f aca="false">IF($G3963="","","m")</f>
        <v/>
      </c>
      <c r="L3963" s="2" t="str">
        <f aca="false">IF($G3963="","","同時")</f>
        <v/>
      </c>
      <c r="M3963" s="2" t="str">
        <f aca="false">IF($G3963="","",IF(ISNA(MATCH($G3963,個別指定!$A:$A,0)),"行なし",""))</f>
        <v/>
      </c>
      <c r="N3963" s="2" t="str">
        <f aca="false">IF($G3963="","",IF(COUNTIF($G$2:$G$4460,$G3963)&gt;1,"重複",""))</f>
        <v/>
      </c>
    </row>
    <row r="3964" customFormat="false" ht="16.5" hidden="false" customHeight="true" outlineLevel="0" collapsed="false">
      <c r="A3964" s="2" t="s">
        <v>447</v>
      </c>
      <c r="B3964" s="2" t="s">
        <v>467</v>
      </c>
      <c r="C3964" s="2" t="s">
        <v>42</v>
      </c>
      <c r="D3964" s="2" t="str">
        <f aca="false">IF(4キー同時!$B$253="","",4キー同時!$B$253)</f>
        <v/>
      </c>
      <c r="E3964" s="2" t="str">
        <f aca="false">IF(4キー同時!$G$253="","",4キー同時!$G$253)</f>
        <v/>
      </c>
      <c r="F3964" s="2" t="str">
        <f aca="false">IF(4キー同時!$L$253="","",4キー同時!$L$253)</f>
        <v/>
      </c>
      <c r="G3964" s="2" t="str">
        <f aca="false">IF(OR(4キー同時!$B$253="",4キー同時!$G$253="",4キー同時!$L$253=""),"",IF(4キー同時!AM261="","",SUBSTITUTE(SUBSTITUTE(4キー同時!AM261," ",""),"　","")))</f>
        <v/>
      </c>
      <c r="H3964" s="2" t="str">
        <f aca="false">IF($G3964="","",4キー同時!$B$253)</f>
        <v/>
      </c>
      <c r="I3964" s="2" t="str">
        <f aca="false">IF($G3964="","",4キー同時!$G$253)</f>
        <v/>
      </c>
      <c r="J3964" s="2" t="str">
        <f aca="false">IF($G3964="","",4キー同時!$L$253)</f>
        <v/>
      </c>
      <c r="K3964" s="2" t="str">
        <f aca="false">IF($G3964="","",",")</f>
        <v/>
      </c>
      <c r="L3964" s="2" t="str">
        <f aca="false">IF($G3964="","","同時")</f>
        <v/>
      </c>
      <c r="M3964" s="2" t="str">
        <f aca="false">IF($G3964="","",IF(ISNA(MATCH($G3964,個別指定!$A:$A,0)),"行なし",""))</f>
        <v/>
      </c>
      <c r="N3964" s="2" t="str">
        <f aca="false">IF($G3964="","",IF(COUNTIF($G$2:$G$4460,$G3964)&gt;1,"重複",""))</f>
        <v/>
      </c>
    </row>
    <row r="3965" customFormat="false" ht="16.5" hidden="false" customHeight="true" outlineLevel="0" collapsed="false">
      <c r="A3965" s="2" t="s">
        <v>447</v>
      </c>
      <c r="B3965" s="2" t="s">
        <v>467</v>
      </c>
      <c r="C3965" s="2" t="s">
        <v>43</v>
      </c>
      <c r="D3965" s="2" t="str">
        <f aca="false">IF(4キー同時!$B$253="","",4キー同時!$B$253)</f>
        <v/>
      </c>
      <c r="E3965" s="2" t="str">
        <f aca="false">IF(4キー同時!$G$253="","",4キー同時!$G$253)</f>
        <v/>
      </c>
      <c r="F3965" s="2" t="str">
        <f aca="false">IF(4キー同時!$L$253="","",4キー同時!$L$253)</f>
        <v/>
      </c>
      <c r="G3965" s="2" t="str">
        <f aca="false">IF(OR(4キー同時!$B$253="",4キー同時!$G$253="",4キー同時!$L$253=""),"",IF(4キー同時!AQ261="","",SUBSTITUTE(SUBSTITUTE(4キー同時!AQ261," ",""),"　","")))</f>
        <v/>
      </c>
      <c r="H3965" s="2" t="str">
        <f aca="false">IF($G3965="","",4キー同時!$B$253)</f>
        <v/>
      </c>
      <c r="I3965" s="2" t="str">
        <f aca="false">IF($G3965="","",4キー同時!$G$253)</f>
        <v/>
      </c>
      <c r="J3965" s="2" t="str">
        <f aca="false">IF($G3965="","",4キー同時!$L$253)</f>
        <v/>
      </c>
      <c r="K3965" s="2" t="str">
        <f aca="false">IF($G3965="","",".")</f>
        <v/>
      </c>
      <c r="L3965" s="2" t="str">
        <f aca="false">IF($G3965="","","同時")</f>
        <v/>
      </c>
      <c r="M3965" s="2" t="str">
        <f aca="false">IF($G3965="","",IF(ISNA(MATCH($G3965,個別指定!$A:$A,0)),"行なし",""))</f>
        <v/>
      </c>
      <c r="N3965" s="2" t="str">
        <f aca="false">IF($G3965="","",IF(COUNTIF($G$2:$G$4460,$G3965)&gt;1,"重複",""))</f>
        <v/>
      </c>
    </row>
    <row r="3966" customFormat="false" ht="16.5" hidden="false" customHeight="true" outlineLevel="0" collapsed="false">
      <c r="A3966" s="2" t="s">
        <v>447</v>
      </c>
      <c r="B3966" s="2" t="s">
        <v>467</v>
      </c>
      <c r="C3966" s="2" t="s">
        <v>44</v>
      </c>
      <c r="D3966" s="2" t="str">
        <f aca="false">IF(4キー同時!$B$253="","",4キー同時!$B$253)</f>
        <v/>
      </c>
      <c r="E3966" s="2" t="str">
        <f aca="false">IF(4キー同時!$G$253="","",4キー同時!$G$253)</f>
        <v/>
      </c>
      <c r="F3966" s="2" t="str">
        <f aca="false">IF(4キー同時!$L$253="","",4キー同時!$L$253)</f>
        <v/>
      </c>
      <c r="G3966" s="2" t="str">
        <f aca="false">IF(OR(4キー同時!$B$253="",4キー同時!$G$253="",4キー同時!$L$253=""),"",IF(4キー同時!AU261="","",SUBSTITUTE(SUBSTITUTE(4キー同時!AU261," ",""),"　","")))</f>
        <v/>
      </c>
      <c r="H3966" s="2" t="str">
        <f aca="false">IF($G3966="","",4キー同時!$B$253)</f>
        <v/>
      </c>
      <c r="I3966" s="2" t="str">
        <f aca="false">IF($G3966="","",4キー同時!$G$253)</f>
        <v/>
      </c>
      <c r="J3966" s="2" t="str">
        <f aca="false">IF($G3966="","",4キー同時!$L$253)</f>
        <v/>
      </c>
      <c r="K3966" s="2" t="str">
        <f aca="false">IF($G3966="","","/")</f>
        <v/>
      </c>
      <c r="L3966" s="2" t="str">
        <f aca="false">IF($G3966="","","同時")</f>
        <v/>
      </c>
      <c r="M3966" s="2" t="str">
        <f aca="false">IF($G3966="","",IF(ISNA(MATCH($G3966,個別指定!$A:$A,0)),"行なし",""))</f>
        <v/>
      </c>
      <c r="N3966" s="2" t="str">
        <f aca="false">IF($G3966="","",IF(COUNTIF($G$2:$G$4460,$G3966)&gt;1,"重複",""))</f>
        <v/>
      </c>
    </row>
    <row r="3967" customFormat="false" ht="16.5" hidden="false" customHeight="true" outlineLevel="0" collapsed="false">
      <c r="A3967" s="2" t="s">
        <v>447</v>
      </c>
      <c r="B3967" s="2" t="s">
        <v>467</v>
      </c>
      <c r="C3967" s="2" t="s">
        <v>48</v>
      </c>
      <c r="D3967" s="2" t="str">
        <f aca="false">IF(4キー同時!$B$253="","",4キー同時!$B$253)</f>
        <v/>
      </c>
      <c r="E3967" s="2" t="str">
        <f aca="false">IF(4キー同時!$G$253="","",4キー同時!$G$253)</f>
        <v/>
      </c>
      <c r="F3967" s="2" t="str">
        <f aca="false">IF(4キー同時!$L$253="","",4キー同時!$L$253)</f>
        <v/>
      </c>
      <c r="G3967" s="2" t="str">
        <f aca="false">IF(OR(4キー同時!$B$253="",4キー同時!$G$253="",4キー同時!$L$253=""),"",IF(4キー同時!P263="","",SUBSTITUTE(SUBSTITUTE(4キー同時!P263," ",""),"　","")))</f>
        <v/>
      </c>
      <c r="H3967" s="2" t="str">
        <f aca="false">IF($G3967="","",4キー同時!$B$253)</f>
        <v/>
      </c>
      <c r="I3967" s="2" t="str">
        <f aca="false">IF($G3967="","",4キー同時!$G$253)</f>
        <v/>
      </c>
      <c r="J3967" s="2" t="str">
        <f aca="false">IF($G3967="","",4キー同時!$L$253)</f>
        <v/>
      </c>
      <c r="K3967" s="2" t="str">
        <f aca="false">IF($G3967="","","muhenkan")</f>
        <v/>
      </c>
      <c r="L3967" s="2" t="str">
        <f aca="false">IF($G3967="","","同時")</f>
        <v/>
      </c>
      <c r="M3967" s="2" t="str">
        <f aca="false">IF($G3967="","",IF(ISNA(MATCH($G3967,個別指定!$A:$A,0)),"行なし",""))</f>
        <v/>
      </c>
      <c r="N3967" s="2" t="str">
        <f aca="false">IF($G3967="","",IF(COUNTIF($G$2:$G$4460,$G3967)&gt;1,"重複",""))</f>
        <v/>
      </c>
    </row>
    <row r="3968" customFormat="false" ht="16.5" hidden="false" customHeight="true" outlineLevel="0" collapsed="false">
      <c r="A3968" s="2" t="s">
        <v>447</v>
      </c>
      <c r="B3968" s="2" t="s">
        <v>467</v>
      </c>
      <c r="C3968" s="2" t="s">
        <v>50</v>
      </c>
      <c r="D3968" s="2" t="str">
        <f aca="false">IF(4キー同時!$B$253="","",4キー同時!$B$253)</f>
        <v/>
      </c>
      <c r="E3968" s="2" t="str">
        <f aca="false">IF(4キー同時!$G$253="","",4キー同時!$G$253)</f>
        <v/>
      </c>
      <c r="F3968" s="2" t="str">
        <f aca="false">IF(4キー同時!$L$253="","",4キー同時!$L$253)</f>
        <v/>
      </c>
      <c r="G3968" s="2" t="str">
        <f aca="false">IF(OR(4キー同時!$B$253="",4キー同時!$G$253="",4キー同時!$L$253=""),"",IF(4キー同時!T263="","",SUBSTITUTE(SUBSTITUTE(4キー同時!T263," ",""),"　","")))</f>
        <v/>
      </c>
      <c r="H3968" s="2" t="str">
        <f aca="false">IF($G3968="","",4キー同時!$B$253)</f>
        <v/>
      </c>
      <c r="I3968" s="2" t="str">
        <f aca="false">IF($G3968="","",4キー同時!$G$253)</f>
        <v/>
      </c>
      <c r="J3968" s="2" t="str">
        <f aca="false">IF($G3968="","",4キー同時!$L$253)</f>
        <v/>
      </c>
      <c r="K3968" s="2" t="str">
        <f aca="false">IF($G3968="","","space")</f>
        <v/>
      </c>
      <c r="L3968" s="2" t="str">
        <f aca="false">IF($G3968="","","同時")</f>
        <v/>
      </c>
      <c r="M3968" s="2" t="str">
        <f aca="false">IF($G3968="","",IF(ISNA(MATCH($G3968,個別指定!$A:$A,0)),"行なし",""))</f>
        <v/>
      </c>
      <c r="N3968" s="2" t="str">
        <f aca="false">IF($G3968="","",IF(COUNTIF($G$2:$G$4460,$G3968)&gt;1,"重複",""))</f>
        <v/>
      </c>
    </row>
    <row r="3969" customFormat="false" ht="16.5" hidden="false" customHeight="true" outlineLevel="0" collapsed="false">
      <c r="A3969" s="2" t="s">
        <v>447</v>
      </c>
      <c r="B3969" s="2" t="s">
        <v>467</v>
      </c>
      <c r="C3969" s="2" t="s">
        <v>45</v>
      </c>
      <c r="D3969" s="2" t="str">
        <f aca="false">IF(4キー同時!$B$253="","",4キー同時!$B$253)</f>
        <v/>
      </c>
      <c r="E3969" s="2" t="str">
        <f aca="false">IF(4キー同時!$G$253="","",4キー同時!$G$253)</f>
        <v/>
      </c>
      <c r="F3969" s="2" t="str">
        <f aca="false">IF(4キー同時!$L$253="","",4キー同時!$L$253)</f>
        <v/>
      </c>
      <c r="G3969" s="2" t="str">
        <f aca="false">IF(OR(4キー同時!$B$253="",4キー同時!$G$253="",4キー同時!$L$253=""),"",IF(4キー同時!AL263="","",SUBSTITUTE(SUBSTITUTE(4キー同時!AL263," ",""),"　","")))</f>
        <v/>
      </c>
      <c r="H3969" s="2" t="str">
        <f aca="false">IF($G3969="","",4キー同時!$B$253)</f>
        <v/>
      </c>
      <c r="I3969" s="2" t="str">
        <f aca="false">IF($G3969="","",4キー同時!$G$253)</f>
        <v/>
      </c>
      <c r="J3969" s="2" t="str">
        <f aca="false">IF($G3969="","",4キー同時!$L$253)</f>
        <v/>
      </c>
      <c r="K3969" s="2" t="str">
        <f aca="false">IF($G3969="","","henkan")</f>
        <v/>
      </c>
      <c r="L3969" s="2" t="str">
        <f aca="false">IF($G3969="","","同時")</f>
        <v/>
      </c>
      <c r="M3969" s="2" t="str">
        <f aca="false">IF($G3969="","",IF(ISNA(MATCH($G3969,個別指定!$A:$A,0)),"行なし",""))</f>
        <v/>
      </c>
      <c r="N3969" s="2" t="str">
        <f aca="false">IF($G3969="","",IF(COUNTIF($G$2:$G$4460,$G3969)&gt;1,"重複",""))</f>
        <v/>
      </c>
    </row>
    <row r="3970" customFormat="false" ht="16.5" hidden="false" customHeight="true" outlineLevel="0" collapsed="false">
      <c r="A3970" s="2" t="s">
        <v>447</v>
      </c>
      <c r="B3970" s="2" t="s">
        <v>467</v>
      </c>
      <c r="C3970" s="2" t="s">
        <v>46</v>
      </c>
      <c r="D3970" s="2" t="str">
        <f aca="false">IF(4キー同時!$B$253="","",4キー同時!$B$253)</f>
        <v/>
      </c>
      <c r="E3970" s="2" t="str">
        <f aca="false">IF(4キー同時!$G$253="","",4キー同時!$G$253)</f>
        <v/>
      </c>
      <c r="F3970" s="2" t="str">
        <f aca="false">IF(4キー同時!$L$253="","",4キー同時!$L$253)</f>
        <v/>
      </c>
      <c r="G3970" s="2" t="str">
        <f aca="false">IF(OR(4キー同時!$B$253="",4キー同時!$G$253="",4キー同時!$L$253=""),"",IF(4キー同時!AP263="","",SUBSTITUTE(SUBSTITUTE(4キー同時!AP263," ",""),"　","")))</f>
        <v/>
      </c>
      <c r="H3970" s="2" t="str">
        <f aca="false">IF($G3970="","",4キー同時!$B$253)</f>
        <v/>
      </c>
      <c r="I3970" s="2" t="str">
        <f aca="false">IF($G3970="","",4キー同時!$G$253)</f>
        <v/>
      </c>
      <c r="J3970" s="2" t="str">
        <f aca="false">IF($G3970="","",4キー同時!$L$253)</f>
        <v/>
      </c>
      <c r="K3970" s="2" t="str">
        <f aca="false">IF($G3970="","","kana")</f>
        <v/>
      </c>
      <c r="L3970" s="2" t="str">
        <f aca="false">IF($G3970="","","同時")</f>
        <v/>
      </c>
      <c r="M3970" s="2" t="str">
        <f aca="false">IF($G3970="","",IF(ISNA(MATCH($G3970,個別指定!$A:$A,0)),"行なし",""))</f>
        <v/>
      </c>
      <c r="N3970" s="2" t="str">
        <f aca="false">IF($G3970="","",IF(COUNTIF($G$2:$G$4460,$G3970)&gt;1,"重複",""))</f>
        <v/>
      </c>
    </row>
    <row r="3971" customFormat="false" ht="16.5" hidden="false" customHeight="true" outlineLevel="0" collapsed="false">
      <c r="A3971" s="2" t="s">
        <v>447</v>
      </c>
      <c r="B3971" s="2" t="s">
        <v>468</v>
      </c>
      <c r="C3971" s="2" t="s">
        <v>0</v>
      </c>
      <c r="D3971" s="2" t="str">
        <f aca="false">IF(4キー同時!$B$266="","",4キー同時!$B$266)</f>
        <v/>
      </c>
      <c r="E3971" s="2" t="str">
        <f aca="false">IF(4キー同時!$G$266="","",4キー同時!$G$266)</f>
        <v/>
      </c>
      <c r="F3971" s="2" t="str">
        <f aca="false">IF(4キー同時!$L$266="","",4キー同時!$L$266)</f>
        <v/>
      </c>
      <c r="G3971" s="2" t="str">
        <f aca="false">IF(OR(4キー同時!$B$266="",4キー同時!$G$266="",4キー同時!$L$266=""),"",IF(4キー同時!F268="","",SUBSTITUTE(SUBSTITUTE(4キー同時!F268," ",""),"　","")))</f>
        <v/>
      </c>
      <c r="H3971" s="2" t="str">
        <f aca="false">IF($G3971="","",4キー同時!$B$266)</f>
        <v/>
      </c>
      <c r="I3971" s="2" t="str">
        <f aca="false">IF($G3971="","",4キー同時!$G$266)</f>
        <v/>
      </c>
      <c r="J3971" s="2" t="str">
        <f aca="false">IF($G3971="","",4キー同時!$L$266)</f>
        <v/>
      </c>
      <c r="K3971" s="2" t="str">
        <f aca="false">IF($G3971="","","1")</f>
        <v/>
      </c>
      <c r="L3971" s="2" t="str">
        <f aca="false">IF($G3971="","","同時")</f>
        <v/>
      </c>
      <c r="M3971" s="2" t="str">
        <f aca="false">IF($G3971="","",IF(ISNA(MATCH($G3971,個別指定!$A:$A,0)),"行なし",""))</f>
        <v/>
      </c>
      <c r="N3971" s="2" t="str">
        <f aca="false">IF($G3971="","",IF(COUNTIF($G$2:$G$4460,$G3971)&gt;1,"重複",""))</f>
        <v/>
      </c>
    </row>
    <row r="3972" customFormat="false" ht="16.5" hidden="false" customHeight="true" outlineLevel="0" collapsed="false">
      <c r="A3972" s="2" t="s">
        <v>447</v>
      </c>
      <c r="B3972" s="2" t="s">
        <v>468</v>
      </c>
      <c r="C3972" s="2" t="s">
        <v>1</v>
      </c>
      <c r="D3972" s="2" t="str">
        <f aca="false">IF(4キー同時!$B$266="","",4キー同時!$B$266)</f>
        <v/>
      </c>
      <c r="E3972" s="2" t="str">
        <f aca="false">IF(4キー同時!$G$266="","",4キー同時!$G$266)</f>
        <v/>
      </c>
      <c r="F3972" s="2" t="str">
        <f aca="false">IF(4キー同時!$L$266="","",4キー同時!$L$266)</f>
        <v/>
      </c>
      <c r="G3972" s="2" t="str">
        <f aca="false">IF(OR(4キー同時!$B$266="",4キー同時!$G$266="",4キー同時!$L$266=""),"",IF(4キー同時!J268="","",SUBSTITUTE(SUBSTITUTE(4キー同時!J268," ",""),"　","")))</f>
        <v/>
      </c>
      <c r="H3972" s="2" t="str">
        <f aca="false">IF($G3972="","",4キー同時!$B$266)</f>
        <v/>
      </c>
      <c r="I3972" s="2" t="str">
        <f aca="false">IF($G3972="","",4キー同時!$G$266)</f>
        <v/>
      </c>
      <c r="J3972" s="2" t="str">
        <f aca="false">IF($G3972="","",4キー同時!$L$266)</f>
        <v/>
      </c>
      <c r="K3972" s="2" t="str">
        <f aca="false">IF($G3972="","","2")</f>
        <v/>
      </c>
      <c r="L3972" s="2" t="str">
        <f aca="false">IF($G3972="","","同時")</f>
        <v/>
      </c>
      <c r="M3972" s="2" t="str">
        <f aca="false">IF($G3972="","",IF(ISNA(MATCH($G3972,個別指定!$A:$A,0)),"行なし",""))</f>
        <v/>
      </c>
      <c r="N3972" s="2" t="str">
        <f aca="false">IF($G3972="","",IF(COUNTIF($G$2:$G$4460,$G3972)&gt;1,"重複",""))</f>
        <v/>
      </c>
    </row>
    <row r="3973" customFormat="false" ht="16.5" hidden="false" customHeight="true" outlineLevel="0" collapsed="false">
      <c r="A3973" s="2" t="s">
        <v>447</v>
      </c>
      <c r="B3973" s="2" t="s">
        <v>468</v>
      </c>
      <c r="C3973" s="2" t="s">
        <v>2</v>
      </c>
      <c r="D3973" s="2" t="str">
        <f aca="false">IF(4キー同時!$B$266="","",4キー同時!$B$266)</f>
        <v/>
      </c>
      <c r="E3973" s="2" t="str">
        <f aca="false">IF(4キー同時!$G$266="","",4キー同時!$G$266)</f>
        <v/>
      </c>
      <c r="F3973" s="2" t="str">
        <f aca="false">IF(4キー同時!$L$266="","",4キー同時!$L$266)</f>
        <v/>
      </c>
      <c r="G3973" s="2" t="str">
        <f aca="false">IF(OR(4キー同時!$B$266="",4キー同時!$G$266="",4キー同時!$L$266=""),"",IF(4キー同時!N268="","",SUBSTITUTE(SUBSTITUTE(4キー同時!N268," ",""),"　","")))</f>
        <v/>
      </c>
      <c r="H3973" s="2" t="str">
        <f aca="false">IF($G3973="","",4キー同時!$B$266)</f>
        <v/>
      </c>
      <c r="I3973" s="2" t="str">
        <f aca="false">IF($G3973="","",4キー同時!$G$266)</f>
        <v/>
      </c>
      <c r="J3973" s="2" t="str">
        <f aca="false">IF($G3973="","",4キー同時!$L$266)</f>
        <v/>
      </c>
      <c r="K3973" s="2" t="str">
        <f aca="false">IF($G3973="","","3")</f>
        <v/>
      </c>
      <c r="L3973" s="2" t="str">
        <f aca="false">IF($G3973="","","同時")</f>
        <v/>
      </c>
      <c r="M3973" s="2" t="str">
        <f aca="false">IF($G3973="","",IF(ISNA(MATCH($G3973,個別指定!$A:$A,0)),"行なし",""))</f>
        <v/>
      </c>
      <c r="N3973" s="2" t="str">
        <f aca="false">IF($G3973="","",IF(COUNTIF($G$2:$G$4460,$G3973)&gt;1,"重複",""))</f>
        <v/>
      </c>
    </row>
    <row r="3974" customFormat="false" ht="16.5" hidden="false" customHeight="true" outlineLevel="0" collapsed="false">
      <c r="A3974" s="2" t="s">
        <v>447</v>
      </c>
      <c r="B3974" s="2" t="s">
        <v>468</v>
      </c>
      <c r="C3974" s="2" t="s">
        <v>3</v>
      </c>
      <c r="D3974" s="2" t="str">
        <f aca="false">IF(4キー同時!$B$266="","",4キー同時!$B$266)</f>
        <v/>
      </c>
      <c r="E3974" s="2" t="str">
        <f aca="false">IF(4キー同時!$G$266="","",4キー同時!$G$266)</f>
        <v/>
      </c>
      <c r="F3974" s="2" t="str">
        <f aca="false">IF(4キー同時!$L$266="","",4キー同時!$L$266)</f>
        <v/>
      </c>
      <c r="G3974" s="2" t="str">
        <f aca="false">IF(OR(4キー同時!$B$266="",4キー同時!$G$266="",4キー同時!$L$266=""),"",IF(4キー同時!R268="","",SUBSTITUTE(SUBSTITUTE(4キー同時!R268," ",""),"　","")))</f>
        <v/>
      </c>
      <c r="H3974" s="2" t="str">
        <f aca="false">IF($G3974="","",4キー同時!$B$266)</f>
        <v/>
      </c>
      <c r="I3974" s="2" t="str">
        <f aca="false">IF($G3974="","",4キー同時!$G$266)</f>
        <v/>
      </c>
      <c r="J3974" s="2" t="str">
        <f aca="false">IF($G3974="","",4キー同時!$L$266)</f>
        <v/>
      </c>
      <c r="K3974" s="2" t="str">
        <f aca="false">IF($G3974="","","4")</f>
        <v/>
      </c>
      <c r="L3974" s="2" t="str">
        <f aca="false">IF($G3974="","","同時")</f>
        <v/>
      </c>
      <c r="M3974" s="2" t="str">
        <f aca="false">IF($G3974="","",IF(ISNA(MATCH($G3974,個別指定!$A:$A,0)),"行なし",""))</f>
        <v/>
      </c>
      <c r="N3974" s="2" t="str">
        <f aca="false">IF($G3974="","",IF(COUNTIF($G$2:$G$4460,$G3974)&gt;1,"重複",""))</f>
        <v/>
      </c>
    </row>
    <row r="3975" customFormat="false" ht="16.5" hidden="false" customHeight="true" outlineLevel="0" collapsed="false">
      <c r="A3975" s="2" t="s">
        <v>447</v>
      </c>
      <c r="B3975" s="2" t="s">
        <v>468</v>
      </c>
      <c r="C3975" s="2" t="s">
        <v>4</v>
      </c>
      <c r="D3975" s="2" t="str">
        <f aca="false">IF(4キー同時!$B$266="","",4キー同時!$B$266)</f>
        <v/>
      </c>
      <c r="E3975" s="2" t="str">
        <f aca="false">IF(4キー同時!$G$266="","",4キー同時!$G$266)</f>
        <v/>
      </c>
      <c r="F3975" s="2" t="str">
        <f aca="false">IF(4キー同時!$L$266="","",4キー同時!$L$266)</f>
        <v/>
      </c>
      <c r="G3975" s="2" t="str">
        <f aca="false">IF(OR(4キー同時!$B$266="",4キー同時!$G$266="",4キー同時!$L$266=""),"",IF(4キー同時!V268="","",SUBSTITUTE(SUBSTITUTE(4キー同時!V268," ",""),"　","")))</f>
        <v/>
      </c>
      <c r="H3975" s="2" t="str">
        <f aca="false">IF($G3975="","",4キー同時!$B$266)</f>
        <v/>
      </c>
      <c r="I3975" s="2" t="str">
        <f aca="false">IF($G3975="","",4キー同時!$G$266)</f>
        <v/>
      </c>
      <c r="J3975" s="2" t="str">
        <f aca="false">IF($G3975="","",4キー同時!$L$266)</f>
        <v/>
      </c>
      <c r="K3975" s="2" t="str">
        <f aca="false">IF($G3975="","","5")</f>
        <v/>
      </c>
      <c r="L3975" s="2" t="str">
        <f aca="false">IF($G3975="","","同時")</f>
        <v/>
      </c>
      <c r="M3975" s="2" t="str">
        <f aca="false">IF($G3975="","",IF(ISNA(MATCH($G3975,個別指定!$A:$A,0)),"行なし",""))</f>
        <v/>
      </c>
      <c r="N3975" s="2" t="str">
        <f aca="false">IF($G3975="","",IF(COUNTIF($G$2:$G$4460,$G3975)&gt;1,"重複",""))</f>
        <v/>
      </c>
    </row>
    <row r="3976" customFormat="false" ht="16.5" hidden="false" customHeight="true" outlineLevel="0" collapsed="false">
      <c r="A3976" s="2" t="s">
        <v>447</v>
      </c>
      <c r="B3976" s="2" t="s">
        <v>468</v>
      </c>
      <c r="C3976" s="2" t="s">
        <v>5</v>
      </c>
      <c r="D3976" s="2" t="str">
        <f aca="false">IF(4キー同時!$B$266="","",4キー同時!$B$266)</f>
        <v/>
      </c>
      <c r="E3976" s="2" t="str">
        <f aca="false">IF(4キー同時!$G$266="","",4キー同時!$G$266)</f>
        <v/>
      </c>
      <c r="F3976" s="2" t="str">
        <f aca="false">IF(4キー同時!$L$266="","",4キー同時!$L$266)</f>
        <v/>
      </c>
      <c r="G3976" s="2" t="str">
        <f aca="false">IF(OR(4キー同時!$B$266="",4キー同時!$G$266="",4キー同時!$L$266=""),"",IF(4キー同時!Z268="","",SUBSTITUTE(SUBSTITUTE(4キー同時!Z268," ",""),"　","")))</f>
        <v/>
      </c>
      <c r="H3976" s="2" t="str">
        <f aca="false">IF($G3976="","",4キー同時!$B$266)</f>
        <v/>
      </c>
      <c r="I3976" s="2" t="str">
        <f aca="false">IF($G3976="","",4キー同時!$G$266)</f>
        <v/>
      </c>
      <c r="J3976" s="2" t="str">
        <f aca="false">IF($G3976="","",4キー同時!$L$266)</f>
        <v/>
      </c>
      <c r="K3976" s="2" t="str">
        <f aca="false">IF($G3976="","","6")</f>
        <v/>
      </c>
      <c r="L3976" s="2" t="str">
        <f aca="false">IF($G3976="","","同時")</f>
        <v/>
      </c>
      <c r="M3976" s="2" t="str">
        <f aca="false">IF($G3976="","",IF(ISNA(MATCH($G3976,個別指定!$A:$A,0)),"行なし",""))</f>
        <v/>
      </c>
      <c r="N3976" s="2" t="str">
        <f aca="false">IF($G3976="","",IF(COUNTIF($G$2:$G$4460,$G3976)&gt;1,"重複",""))</f>
        <v/>
      </c>
    </row>
    <row r="3977" customFormat="false" ht="16.5" hidden="false" customHeight="true" outlineLevel="0" collapsed="false">
      <c r="A3977" s="2" t="s">
        <v>447</v>
      </c>
      <c r="B3977" s="2" t="s">
        <v>468</v>
      </c>
      <c r="C3977" s="2" t="s">
        <v>6</v>
      </c>
      <c r="D3977" s="2" t="str">
        <f aca="false">IF(4キー同時!$B$266="","",4キー同時!$B$266)</f>
        <v/>
      </c>
      <c r="E3977" s="2" t="str">
        <f aca="false">IF(4キー同時!$G$266="","",4キー同時!$G$266)</f>
        <v/>
      </c>
      <c r="F3977" s="2" t="str">
        <f aca="false">IF(4キー同時!$L$266="","",4キー同時!$L$266)</f>
        <v/>
      </c>
      <c r="G3977" s="2" t="str">
        <f aca="false">IF(OR(4キー同時!$B$266="",4キー同時!$G$266="",4キー同時!$L$266=""),"",IF(4キー同時!AD268="","",SUBSTITUTE(SUBSTITUTE(4キー同時!AD268," ",""),"　","")))</f>
        <v/>
      </c>
      <c r="H3977" s="2" t="str">
        <f aca="false">IF($G3977="","",4キー同時!$B$266)</f>
        <v/>
      </c>
      <c r="I3977" s="2" t="str">
        <f aca="false">IF($G3977="","",4キー同時!$G$266)</f>
        <v/>
      </c>
      <c r="J3977" s="2" t="str">
        <f aca="false">IF($G3977="","",4キー同時!$L$266)</f>
        <v/>
      </c>
      <c r="K3977" s="2" t="str">
        <f aca="false">IF($G3977="","","7")</f>
        <v/>
      </c>
      <c r="L3977" s="2" t="str">
        <f aca="false">IF($G3977="","","同時")</f>
        <v/>
      </c>
      <c r="M3977" s="2" t="str">
        <f aca="false">IF($G3977="","",IF(ISNA(MATCH($G3977,個別指定!$A:$A,0)),"行なし",""))</f>
        <v/>
      </c>
      <c r="N3977" s="2" t="str">
        <f aca="false">IF($G3977="","",IF(COUNTIF($G$2:$G$4460,$G3977)&gt;1,"重複",""))</f>
        <v/>
      </c>
    </row>
    <row r="3978" customFormat="false" ht="16.5" hidden="false" customHeight="true" outlineLevel="0" collapsed="false">
      <c r="A3978" s="2" t="s">
        <v>447</v>
      </c>
      <c r="B3978" s="2" t="s">
        <v>468</v>
      </c>
      <c r="C3978" s="2" t="s">
        <v>7</v>
      </c>
      <c r="D3978" s="2" t="str">
        <f aca="false">IF(4キー同時!$B$266="","",4キー同時!$B$266)</f>
        <v/>
      </c>
      <c r="E3978" s="2" t="str">
        <f aca="false">IF(4キー同時!$G$266="","",4キー同時!$G$266)</f>
        <v/>
      </c>
      <c r="F3978" s="2" t="str">
        <f aca="false">IF(4キー同時!$L$266="","",4キー同時!$L$266)</f>
        <v/>
      </c>
      <c r="G3978" s="2" t="str">
        <f aca="false">IF(OR(4キー同時!$B$266="",4キー同時!$G$266="",4キー同時!$L$266=""),"",IF(4キー同時!AH268="","",SUBSTITUTE(SUBSTITUTE(4キー同時!AH268," ",""),"　","")))</f>
        <v/>
      </c>
      <c r="H3978" s="2" t="str">
        <f aca="false">IF($G3978="","",4キー同時!$B$266)</f>
        <v/>
      </c>
      <c r="I3978" s="2" t="str">
        <f aca="false">IF($G3978="","",4キー同時!$G$266)</f>
        <v/>
      </c>
      <c r="J3978" s="2" t="str">
        <f aca="false">IF($G3978="","",4キー同時!$L$266)</f>
        <v/>
      </c>
      <c r="K3978" s="2" t="str">
        <f aca="false">IF($G3978="","","8")</f>
        <v/>
      </c>
      <c r="L3978" s="2" t="str">
        <f aca="false">IF($G3978="","","同時")</f>
        <v/>
      </c>
      <c r="M3978" s="2" t="str">
        <f aca="false">IF($G3978="","",IF(ISNA(MATCH($G3978,個別指定!$A:$A,0)),"行なし",""))</f>
        <v/>
      </c>
      <c r="N3978" s="2" t="str">
        <f aca="false">IF($G3978="","",IF(COUNTIF($G$2:$G$4460,$G3978)&gt;1,"重複",""))</f>
        <v/>
      </c>
    </row>
    <row r="3979" customFormat="false" ht="16.5" hidden="false" customHeight="true" outlineLevel="0" collapsed="false">
      <c r="A3979" s="2" t="s">
        <v>447</v>
      </c>
      <c r="B3979" s="2" t="s">
        <v>468</v>
      </c>
      <c r="C3979" s="2" t="s">
        <v>8</v>
      </c>
      <c r="D3979" s="2" t="str">
        <f aca="false">IF(4キー同時!$B$266="","",4キー同時!$B$266)</f>
        <v/>
      </c>
      <c r="E3979" s="2" t="str">
        <f aca="false">IF(4キー同時!$G$266="","",4キー同時!$G$266)</f>
        <v/>
      </c>
      <c r="F3979" s="2" t="str">
        <f aca="false">IF(4キー同時!$L$266="","",4キー同時!$L$266)</f>
        <v/>
      </c>
      <c r="G3979" s="2" t="str">
        <f aca="false">IF(OR(4キー同時!$B$266="",4キー同時!$G$266="",4キー同時!$L$266=""),"",IF(4キー同時!AL268="","",SUBSTITUTE(SUBSTITUTE(4キー同時!AL268," ",""),"　","")))</f>
        <v/>
      </c>
      <c r="H3979" s="2" t="str">
        <f aca="false">IF($G3979="","",4キー同時!$B$266)</f>
        <v/>
      </c>
      <c r="I3979" s="2" t="str">
        <f aca="false">IF($G3979="","",4キー同時!$G$266)</f>
        <v/>
      </c>
      <c r="J3979" s="2" t="str">
        <f aca="false">IF($G3979="","",4キー同時!$L$266)</f>
        <v/>
      </c>
      <c r="K3979" s="2" t="str">
        <f aca="false">IF($G3979="","","9")</f>
        <v/>
      </c>
      <c r="L3979" s="2" t="str">
        <f aca="false">IF($G3979="","","同時")</f>
        <v/>
      </c>
      <c r="M3979" s="2" t="str">
        <f aca="false">IF($G3979="","",IF(ISNA(MATCH($G3979,個別指定!$A:$A,0)),"行なし",""))</f>
        <v/>
      </c>
      <c r="N3979" s="2" t="str">
        <f aca="false">IF($G3979="","",IF(COUNTIF($G$2:$G$4460,$G3979)&gt;1,"重複",""))</f>
        <v/>
      </c>
    </row>
    <row r="3980" customFormat="false" ht="16.5" hidden="false" customHeight="true" outlineLevel="0" collapsed="false">
      <c r="A3980" s="2" t="s">
        <v>447</v>
      </c>
      <c r="B3980" s="2" t="s">
        <v>468</v>
      </c>
      <c r="C3980" s="2" t="s">
        <v>9</v>
      </c>
      <c r="D3980" s="2" t="str">
        <f aca="false">IF(4キー同時!$B$266="","",4キー同時!$B$266)</f>
        <v/>
      </c>
      <c r="E3980" s="2" t="str">
        <f aca="false">IF(4キー同時!$G$266="","",4キー同時!$G$266)</f>
        <v/>
      </c>
      <c r="F3980" s="2" t="str">
        <f aca="false">IF(4キー同時!$L$266="","",4キー同時!$L$266)</f>
        <v/>
      </c>
      <c r="G3980" s="2" t="str">
        <f aca="false">IF(OR(4キー同時!$B$266="",4キー同時!$G$266="",4キー同時!$L$266=""),"",IF(4キー同時!AP268="","",SUBSTITUTE(SUBSTITUTE(4キー同時!AP268," ",""),"　","")))</f>
        <v/>
      </c>
      <c r="H3980" s="2" t="str">
        <f aca="false">IF($G3980="","",4キー同時!$B$266)</f>
        <v/>
      </c>
      <c r="I3980" s="2" t="str">
        <f aca="false">IF($G3980="","",4キー同時!$G$266)</f>
        <v/>
      </c>
      <c r="J3980" s="2" t="str">
        <f aca="false">IF($G3980="","",4キー同時!$L$266)</f>
        <v/>
      </c>
      <c r="K3980" s="2" t="str">
        <f aca="false">IF($G3980="","","0")</f>
        <v/>
      </c>
      <c r="L3980" s="2" t="str">
        <f aca="false">IF($G3980="","","同時")</f>
        <v/>
      </c>
      <c r="M3980" s="2" t="str">
        <f aca="false">IF($G3980="","",IF(ISNA(MATCH($G3980,個別指定!$A:$A,0)),"行なし",""))</f>
        <v/>
      </c>
      <c r="N3980" s="2" t="str">
        <f aca="false">IF($G3980="","",IF(COUNTIF($G$2:$G$4460,$G3980)&gt;1,"重複",""))</f>
        <v/>
      </c>
    </row>
    <row r="3981" customFormat="false" ht="16.5" hidden="false" customHeight="true" outlineLevel="0" collapsed="false">
      <c r="A3981" s="2" t="s">
        <v>447</v>
      </c>
      <c r="B3981" s="2" t="s">
        <v>468</v>
      </c>
      <c r="C3981" s="2" t="s">
        <v>10</v>
      </c>
      <c r="D3981" s="2" t="str">
        <f aca="false">IF(4キー同時!$B$266="","",4キー同時!$B$266)</f>
        <v/>
      </c>
      <c r="E3981" s="2" t="str">
        <f aca="false">IF(4キー同時!$G$266="","",4キー同時!$G$266)</f>
        <v/>
      </c>
      <c r="F3981" s="2" t="str">
        <f aca="false">IF(4キー同時!$L$266="","",4キー同時!$L$266)</f>
        <v/>
      </c>
      <c r="G3981" s="2" t="str">
        <f aca="false">IF(OR(4キー同時!$B$266="",4キー同時!$G$266="",4キー同時!$L$266=""),"",IF(4キー同時!AT268="","",SUBSTITUTE(SUBSTITUTE(4キー同時!AT268," ",""),"　","")))</f>
        <v/>
      </c>
      <c r="H3981" s="2" t="str">
        <f aca="false">IF($G3981="","",4キー同時!$B$266)</f>
        <v/>
      </c>
      <c r="I3981" s="2" t="str">
        <f aca="false">IF($G3981="","",4キー同時!$G$266)</f>
        <v/>
      </c>
      <c r="J3981" s="2" t="str">
        <f aca="false">IF($G3981="","",4キー同時!$L$266)</f>
        <v/>
      </c>
      <c r="K3981" s="2" t="str">
        <f aca="false">IF($G3981="","","-")</f>
        <v/>
      </c>
      <c r="L3981" s="2" t="str">
        <f aca="false">IF($G3981="","","同時")</f>
        <v/>
      </c>
      <c r="M3981" s="2" t="str">
        <f aca="false">IF($G3981="","",IF(ISNA(MATCH($G3981,個別指定!$A:$A,0)),"行なし",""))</f>
        <v/>
      </c>
      <c r="N3981" s="2" t="str">
        <f aca="false">IF($G3981="","",IF(COUNTIF($G$2:$G$4460,$G3981)&gt;1,"重複",""))</f>
        <v/>
      </c>
    </row>
    <row r="3982" customFormat="false" ht="16.5" hidden="false" customHeight="true" outlineLevel="0" collapsed="false">
      <c r="A3982" s="2" t="s">
        <v>447</v>
      </c>
      <c r="B3982" s="2" t="s">
        <v>468</v>
      </c>
      <c r="C3982" s="2" t="s">
        <v>11</v>
      </c>
      <c r="D3982" s="2" t="str">
        <f aca="false">IF(4キー同時!$B$266="","",4キー同時!$B$266)</f>
        <v/>
      </c>
      <c r="E3982" s="2" t="str">
        <f aca="false">IF(4キー同時!$G$266="","",4キー同時!$G$266)</f>
        <v/>
      </c>
      <c r="F3982" s="2" t="str">
        <f aca="false">IF(4キー同時!$L$266="","",4キー同時!$L$266)</f>
        <v/>
      </c>
      <c r="G3982" s="2" t="str">
        <f aca="false">IF(OR(4キー同時!$B$266="",4キー同時!$G$266="",4キー同時!$L$266=""),"",IF(4キー同時!AX268="","",SUBSTITUTE(SUBSTITUTE(4キー同時!AX268," ",""),"　","")))</f>
        <v/>
      </c>
      <c r="H3982" s="2" t="str">
        <f aca="false">IF($G3982="","",4キー同時!$B$266)</f>
        <v/>
      </c>
      <c r="I3982" s="2" t="str">
        <f aca="false">IF($G3982="","",4キー同時!$G$266)</f>
        <v/>
      </c>
      <c r="J3982" s="2" t="str">
        <f aca="false">IF($G3982="","",4キー同時!$L$266)</f>
        <v/>
      </c>
      <c r="K3982" s="2" t="str">
        <f aca="false">IF($G3982="","","=")</f>
        <v/>
      </c>
      <c r="L3982" s="2" t="str">
        <f aca="false">IF($G3982="","","同時")</f>
        <v/>
      </c>
      <c r="M3982" s="2" t="str">
        <f aca="false">IF($G3982="","",IF(ISNA(MATCH($G3982,個別指定!$A:$A,0)),"行なし",""))</f>
        <v/>
      </c>
      <c r="N3982" s="2" t="str">
        <f aca="false">IF($G3982="","",IF(COUNTIF($G$2:$G$4460,$G3982)&gt;1,"重複",""))</f>
        <v/>
      </c>
    </row>
    <row r="3983" customFormat="false" ht="16.5" hidden="false" customHeight="true" outlineLevel="0" collapsed="false">
      <c r="A3983" s="2" t="s">
        <v>447</v>
      </c>
      <c r="B3983" s="2" t="s">
        <v>468</v>
      </c>
      <c r="C3983" s="2" t="s">
        <v>12</v>
      </c>
      <c r="D3983" s="2" t="str">
        <f aca="false">IF(4キー同時!$B$266="","",4キー同時!$B$266)</f>
        <v/>
      </c>
      <c r="E3983" s="2" t="str">
        <f aca="false">IF(4キー同時!$G$266="","",4キー同時!$G$266)</f>
        <v/>
      </c>
      <c r="F3983" s="2" t="str">
        <f aca="false">IF(4キー同時!$L$266="","",4キー同時!$L$266)</f>
        <v/>
      </c>
      <c r="G3983" s="2" t="str">
        <f aca="false">IF(OR(4キー同時!$B$266="",4キー同時!$G$266="",4キー同時!$L$266=""),"",IF(4キー同時!H270="","",SUBSTITUTE(SUBSTITUTE(4キー同時!H270," ",""),"　","")))</f>
        <v/>
      </c>
      <c r="H3983" s="2" t="str">
        <f aca="false">IF($G3983="","",4キー同時!$B$266)</f>
        <v/>
      </c>
      <c r="I3983" s="2" t="str">
        <f aca="false">IF($G3983="","",4キー同時!$G$266)</f>
        <v/>
      </c>
      <c r="J3983" s="2" t="str">
        <f aca="false">IF($G3983="","",4キー同時!$L$266)</f>
        <v/>
      </c>
      <c r="K3983" s="2" t="str">
        <f aca="false">IF($G3983="","","q")</f>
        <v/>
      </c>
      <c r="L3983" s="2" t="str">
        <f aca="false">IF($G3983="","","同時")</f>
        <v/>
      </c>
      <c r="M3983" s="2" t="str">
        <f aca="false">IF($G3983="","",IF(ISNA(MATCH($G3983,個別指定!$A:$A,0)),"行なし",""))</f>
        <v/>
      </c>
      <c r="N3983" s="2" t="str">
        <f aca="false">IF($G3983="","",IF(COUNTIF($G$2:$G$4460,$G3983)&gt;1,"重複",""))</f>
        <v/>
      </c>
    </row>
    <row r="3984" customFormat="false" ht="16.5" hidden="false" customHeight="true" outlineLevel="0" collapsed="false">
      <c r="A3984" s="2" t="s">
        <v>447</v>
      </c>
      <c r="B3984" s="2" t="s">
        <v>468</v>
      </c>
      <c r="C3984" s="2" t="s">
        <v>13</v>
      </c>
      <c r="D3984" s="2" t="str">
        <f aca="false">IF(4キー同時!$B$266="","",4キー同時!$B$266)</f>
        <v/>
      </c>
      <c r="E3984" s="2" t="str">
        <f aca="false">IF(4キー同時!$G$266="","",4キー同時!$G$266)</f>
        <v/>
      </c>
      <c r="F3984" s="2" t="str">
        <f aca="false">IF(4キー同時!$L$266="","",4キー同時!$L$266)</f>
        <v/>
      </c>
      <c r="G3984" s="2" t="str">
        <f aca="false">IF(OR(4キー同時!$B$266="",4キー同時!$G$266="",4キー同時!$L$266=""),"",IF(4キー同時!L270="","",SUBSTITUTE(SUBSTITUTE(4キー同時!L270," ",""),"　","")))</f>
        <v/>
      </c>
      <c r="H3984" s="2" t="str">
        <f aca="false">IF($G3984="","",4キー同時!$B$266)</f>
        <v/>
      </c>
      <c r="I3984" s="2" t="str">
        <f aca="false">IF($G3984="","",4キー同時!$G$266)</f>
        <v/>
      </c>
      <c r="J3984" s="2" t="str">
        <f aca="false">IF($G3984="","",4キー同時!$L$266)</f>
        <v/>
      </c>
      <c r="K3984" s="2" t="str">
        <f aca="false">IF($G3984="","","w")</f>
        <v/>
      </c>
      <c r="L3984" s="2" t="str">
        <f aca="false">IF($G3984="","","同時")</f>
        <v/>
      </c>
      <c r="M3984" s="2" t="str">
        <f aca="false">IF($G3984="","",IF(ISNA(MATCH($G3984,個別指定!$A:$A,0)),"行なし",""))</f>
        <v/>
      </c>
      <c r="N3984" s="2" t="str">
        <f aca="false">IF($G3984="","",IF(COUNTIF($G$2:$G$4460,$G3984)&gt;1,"重複",""))</f>
        <v/>
      </c>
    </row>
    <row r="3985" customFormat="false" ht="16.5" hidden="false" customHeight="true" outlineLevel="0" collapsed="false">
      <c r="A3985" s="2" t="s">
        <v>447</v>
      </c>
      <c r="B3985" s="2" t="s">
        <v>468</v>
      </c>
      <c r="C3985" s="2" t="s">
        <v>14</v>
      </c>
      <c r="D3985" s="2" t="str">
        <f aca="false">IF(4キー同時!$B$266="","",4キー同時!$B$266)</f>
        <v/>
      </c>
      <c r="E3985" s="2" t="str">
        <f aca="false">IF(4キー同時!$G$266="","",4キー同時!$G$266)</f>
        <v/>
      </c>
      <c r="F3985" s="2" t="str">
        <f aca="false">IF(4キー同時!$L$266="","",4キー同時!$L$266)</f>
        <v/>
      </c>
      <c r="G3985" s="2" t="str">
        <f aca="false">IF(OR(4キー同時!$B$266="",4キー同時!$G$266="",4キー同時!$L$266=""),"",IF(4キー同時!P270="","",SUBSTITUTE(SUBSTITUTE(4キー同時!P270," ",""),"　","")))</f>
        <v/>
      </c>
      <c r="H3985" s="2" t="str">
        <f aca="false">IF($G3985="","",4キー同時!$B$266)</f>
        <v/>
      </c>
      <c r="I3985" s="2" t="str">
        <f aca="false">IF($G3985="","",4キー同時!$G$266)</f>
        <v/>
      </c>
      <c r="J3985" s="2" t="str">
        <f aca="false">IF($G3985="","",4キー同時!$L$266)</f>
        <v/>
      </c>
      <c r="K3985" s="2" t="str">
        <f aca="false">IF($G3985="","","e")</f>
        <v/>
      </c>
      <c r="L3985" s="2" t="str">
        <f aca="false">IF($G3985="","","同時")</f>
        <v/>
      </c>
      <c r="M3985" s="2" t="str">
        <f aca="false">IF($G3985="","",IF(ISNA(MATCH($G3985,個別指定!$A:$A,0)),"行なし",""))</f>
        <v/>
      </c>
      <c r="N3985" s="2" t="str">
        <f aca="false">IF($G3985="","",IF(COUNTIF($G$2:$G$4460,$G3985)&gt;1,"重複",""))</f>
        <v/>
      </c>
    </row>
    <row r="3986" customFormat="false" ht="16.5" hidden="false" customHeight="true" outlineLevel="0" collapsed="false">
      <c r="A3986" s="2" t="s">
        <v>447</v>
      </c>
      <c r="B3986" s="2" t="s">
        <v>468</v>
      </c>
      <c r="C3986" s="2" t="s">
        <v>15</v>
      </c>
      <c r="D3986" s="2" t="str">
        <f aca="false">IF(4キー同時!$B$266="","",4キー同時!$B$266)</f>
        <v/>
      </c>
      <c r="E3986" s="2" t="str">
        <f aca="false">IF(4キー同時!$G$266="","",4キー同時!$G$266)</f>
        <v/>
      </c>
      <c r="F3986" s="2" t="str">
        <f aca="false">IF(4キー同時!$L$266="","",4キー同時!$L$266)</f>
        <v/>
      </c>
      <c r="G3986" s="2" t="str">
        <f aca="false">IF(OR(4キー同時!$B$266="",4キー同時!$G$266="",4キー同時!$L$266=""),"",IF(4キー同時!T270="","",SUBSTITUTE(SUBSTITUTE(4キー同時!T270," ",""),"　","")))</f>
        <v/>
      </c>
      <c r="H3986" s="2" t="str">
        <f aca="false">IF($G3986="","",4キー同時!$B$266)</f>
        <v/>
      </c>
      <c r="I3986" s="2" t="str">
        <f aca="false">IF($G3986="","",4キー同時!$G$266)</f>
        <v/>
      </c>
      <c r="J3986" s="2" t="str">
        <f aca="false">IF($G3986="","",4キー同時!$L$266)</f>
        <v/>
      </c>
      <c r="K3986" s="2" t="str">
        <f aca="false">IF($G3986="","","r")</f>
        <v/>
      </c>
      <c r="L3986" s="2" t="str">
        <f aca="false">IF($G3986="","","同時")</f>
        <v/>
      </c>
      <c r="M3986" s="2" t="str">
        <f aca="false">IF($G3986="","",IF(ISNA(MATCH($G3986,個別指定!$A:$A,0)),"行なし",""))</f>
        <v/>
      </c>
      <c r="N3986" s="2" t="str">
        <f aca="false">IF($G3986="","",IF(COUNTIF($G$2:$G$4460,$G3986)&gt;1,"重複",""))</f>
        <v/>
      </c>
    </row>
    <row r="3987" customFormat="false" ht="16.5" hidden="false" customHeight="true" outlineLevel="0" collapsed="false">
      <c r="A3987" s="2" t="s">
        <v>447</v>
      </c>
      <c r="B3987" s="2" t="s">
        <v>468</v>
      </c>
      <c r="C3987" s="2" t="s">
        <v>16</v>
      </c>
      <c r="D3987" s="2" t="str">
        <f aca="false">IF(4キー同時!$B$266="","",4キー同時!$B$266)</f>
        <v/>
      </c>
      <c r="E3987" s="2" t="str">
        <f aca="false">IF(4キー同時!$G$266="","",4キー同時!$G$266)</f>
        <v/>
      </c>
      <c r="F3987" s="2" t="str">
        <f aca="false">IF(4キー同時!$L$266="","",4キー同時!$L$266)</f>
        <v/>
      </c>
      <c r="G3987" s="2" t="str">
        <f aca="false">IF(OR(4キー同時!$B$266="",4キー同時!$G$266="",4キー同時!$L$266=""),"",IF(4キー同時!X270="","",SUBSTITUTE(SUBSTITUTE(4キー同時!X270," ",""),"　","")))</f>
        <v/>
      </c>
      <c r="H3987" s="2" t="str">
        <f aca="false">IF($G3987="","",4キー同時!$B$266)</f>
        <v/>
      </c>
      <c r="I3987" s="2" t="str">
        <f aca="false">IF($G3987="","",4キー同時!$G$266)</f>
        <v/>
      </c>
      <c r="J3987" s="2" t="str">
        <f aca="false">IF($G3987="","",4キー同時!$L$266)</f>
        <v/>
      </c>
      <c r="K3987" s="2" t="str">
        <f aca="false">IF($G3987="","","t")</f>
        <v/>
      </c>
      <c r="L3987" s="2" t="str">
        <f aca="false">IF($G3987="","","同時")</f>
        <v/>
      </c>
      <c r="M3987" s="2" t="str">
        <f aca="false">IF($G3987="","",IF(ISNA(MATCH($G3987,個別指定!$A:$A,0)),"行なし",""))</f>
        <v/>
      </c>
      <c r="N3987" s="2" t="str">
        <f aca="false">IF($G3987="","",IF(COUNTIF($G$2:$G$4460,$G3987)&gt;1,"重複",""))</f>
        <v/>
      </c>
    </row>
    <row r="3988" customFormat="false" ht="16.5" hidden="false" customHeight="true" outlineLevel="0" collapsed="false">
      <c r="A3988" s="2" t="s">
        <v>447</v>
      </c>
      <c r="B3988" s="2" t="s">
        <v>468</v>
      </c>
      <c r="C3988" s="2" t="s">
        <v>17</v>
      </c>
      <c r="D3988" s="2" t="str">
        <f aca="false">IF(4キー同時!$B$266="","",4キー同時!$B$266)</f>
        <v/>
      </c>
      <c r="E3988" s="2" t="str">
        <f aca="false">IF(4キー同時!$G$266="","",4キー同時!$G$266)</f>
        <v/>
      </c>
      <c r="F3988" s="2" t="str">
        <f aca="false">IF(4キー同時!$L$266="","",4キー同時!$L$266)</f>
        <v/>
      </c>
      <c r="G3988" s="2" t="str">
        <f aca="false">IF(OR(4キー同時!$B$266="",4キー同時!$G$266="",4キー同時!$L$266=""),"",IF(4キー同時!AB270="","",SUBSTITUTE(SUBSTITUTE(4キー同時!AB270," ",""),"　","")))</f>
        <v/>
      </c>
      <c r="H3988" s="2" t="str">
        <f aca="false">IF($G3988="","",4キー同時!$B$266)</f>
        <v/>
      </c>
      <c r="I3988" s="2" t="str">
        <f aca="false">IF($G3988="","",4キー同時!$G$266)</f>
        <v/>
      </c>
      <c r="J3988" s="2" t="str">
        <f aca="false">IF($G3988="","",4キー同時!$L$266)</f>
        <v/>
      </c>
      <c r="K3988" s="2" t="str">
        <f aca="false">IF($G3988="","","y")</f>
        <v/>
      </c>
      <c r="L3988" s="2" t="str">
        <f aca="false">IF($G3988="","","同時")</f>
        <v/>
      </c>
      <c r="M3988" s="2" t="str">
        <f aca="false">IF($G3988="","",IF(ISNA(MATCH($G3988,個別指定!$A:$A,0)),"行なし",""))</f>
        <v/>
      </c>
      <c r="N3988" s="2" t="str">
        <f aca="false">IF($G3988="","",IF(COUNTIF($G$2:$G$4460,$G3988)&gt;1,"重複",""))</f>
        <v/>
      </c>
    </row>
    <row r="3989" customFormat="false" ht="16.5" hidden="false" customHeight="true" outlineLevel="0" collapsed="false">
      <c r="A3989" s="2" t="s">
        <v>447</v>
      </c>
      <c r="B3989" s="2" t="s">
        <v>468</v>
      </c>
      <c r="C3989" s="2" t="s">
        <v>18</v>
      </c>
      <c r="D3989" s="2" t="str">
        <f aca="false">IF(4キー同時!$B$266="","",4キー同時!$B$266)</f>
        <v/>
      </c>
      <c r="E3989" s="2" t="str">
        <f aca="false">IF(4キー同時!$G$266="","",4キー同時!$G$266)</f>
        <v/>
      </c>
      <c r="F3989" s="2" t="str">
        <f aca="false">IF(4キー同時!$L$266="","",4キー同時!$L$266)</f>
        <v/>
      </c>
      <c r="G3989" s="2" t="str">
        <f aca="false">IF(OR(4キー同時!$B$266="",4キー同時!$G$266="",4キー同時!$L$266=""),"",IF(4キー同時!AF270="","",SUBSTITUTE(SUBSTITUTE(4キー同時!AF270," ",""),"　","")))</f>
        <v/>
      </c>
      <c r="H3989" s="2" t="str">
        <f aca="false">IF($G3989="","",4キー同時!$B$266)</f>
        <v/>
      </c>
      <c r="I3989" s="2" t="str">
        <f aca="false">IF($G3989="","",4キー同時!$G$266)</f>
        <v/>
      </c>
      <c r="J3989" s="2" t="str">
        <f aca="false">IF($G3989="","",4キー同時!$L$266)</f>
        <v/>
      </c>
      <c r="K3989" s="2" t="str">
        <f aca="false">IF($G3989="","","u")</f>
        <v/>
      </c>
      <c r="L3989" s="2" t="str">
        <f aca="false">IF($G3989="","","同時")</f>
        <v/>
      </c>
      <c r="M3989" s="2" t="str">
        <f aca="false">IF($G3989="","",IF(ISNA(MATCH($G3989,個別指定!$A:$A,0)),"行なし",""))</f>
        <v/>
      </c>
      <c r="N3989" s="2" t="str">
        <f aca="false">IF($G3989="","",IF(COUNTIF($G$2:$G$4460,$G3989)&gt;1,"重複",""))</f>
        <v/>
      </c>
    </row>
    <row r="3990" customFormat="false" ht="16.5" hidden="false" customHeight="true" outlineLevel="0" collapsed="false">
      <c r="A3990" s="2" t="s">
        <v>447</v>
      </c>
      <c r="B3990" s="2" t="s">
        <v>468</v>
      </c>
      <c r="C3990" s="2" t="s">
        <v>19</v>
      </c>
      <c r="D3990" s="2" t="str">
        <f aca="false">IF(4キー同時!$B$266="","",4キー同時!$B$266)</f>
        <v/>
      </c>
      <c r="E3990" s="2" t="str">
        <f aca="false">IF(4キー同時!$G$266="","",4キー同時!$G$266)</f>
        <v/>
      </c>
      <c r="F3990" s="2" t="str">
        <f aca="false">IF(4キー同時!$L$266="","",4キー同時!$L$266)</f>
        <v/>
      </c>
      <c r="G3990" s="2" t="str">
        <f aca="false">IF(OR(4キー同時!$B$266="",4キー同時!$G$266="",4キー同時!$L$266=""),"",IF(4キー同時!AJ270="","",SUBSTITUTE(SUBSTITUTE(4キー同時!AJ270," ",""),"　","")))</f>
        <v/>
      </c>
      <c r="H3990" s="2" t="str">
        <f aca="false">IF($G3990="","",4キー同時!$B$266)</f>
        <v/>
      </c>
      <c r="I3990" s="2" t="str">
        <f aca="false">IF($G3990="","",4キー同時!$G$266)</f>
        <v/>
      </c>
      <c r="J3990" s="2" t="str">
        <f aca="false">IF($G3990="","",4キー同時!$L$266)</f>
        <v/>
      </c>
      <c r="K3990" s="2" t="str">
        <f aca="false">IF($G3990="","","i")</f>
        <v/>
      </c>
      <c r="L3990" s="2" t="str">
        <f aca="false">IF($G3990="","","同時")</f>
        <v/>
      </c>
      <c r="M3990" s="2" t="str">
        <f aca="false">IF($G3990="","",IF(ISNA(MATCH($G3990,個別指定!$A:$A,0)),"行なし",""))</f>
        <v/>
      </c>
      <c r="N3990" s="2" t="str">
        <f aca="false">IF($G3990="","",IF(COUNTIF($G$2:$G$4460,$G3990)&gt;1,"重複",""))</f>
        <v/>
      </c>
    </row>
    <row r="3991" customFormat="false" ht="16.5" hidden="false" customHeight="true" outlineLevel="0" collapsed="false">
      <c r="A3991" s="2" t="s">
        <v>447</v>
      </c>
      <c r="B3991" s="2" t="s">
        <v>468</v>
      </c>
      <c r="C3991" s="2" t="s">
        <v>20</v>
      </c>
      <c r="D3991" s="2" t="str">
        <f aca="false">IF(4キー同時!$B$266="","",4キー同時!$B$266)</f>
        <v/>
      </c>
      <c r="E3991" s="2" t="str">
        <f aca="false">IF(4キー同時!$G$266="","",4キー同時!$G$266)</f>
        <v/>
      </c>
      <c r="F3991" s="2" t="str">
        <f aca="false">IF(4キー同時!$L$266="","",4キー同時!$L$266)</f>
        <v/>
      </c>
      <c r="G3991" s="2" t="str">
        <f aca="false">IF(OR(4キー同時!$B$266="",4キー同時!$G$266="",4キー同時!$L$266=""),"",IF(4キー同時!AN270="","",SUBSTITUTE(SUBSTITUTE(4キー同時!AN270," ",""),"　","")))</f>
        <v/>
      </c>
      <c r="H3991" s="2" t="str">
        <f aca="false">IF($G3991="","",4キー同時!$B$266)</f>
        <v/>
      </c>
      <c r="I3991" s="2" t="str">
        <f aca="false">IF($G3991="","",4キー同時!$G$266)</f>
        <v/>
      </c>
      <c r="J3991" s="2" t="str">
        <f aca="false">IF($G3991="","",4キー同時!$L$266)</f>
        <v/>
      </c>
      <c r="K3991" s="2" t="str">
        <f aca="false">IF($G3991="","","o")</f>
        <v/>
      </c>
      <c r="L3991" s="2" t="str">
        <f aca="false">IF($G3991="","","同時")</f>
        <v/>
      </c>
      <c r="M3991" s="2" t="str">
        <f aca="false">IF($G3991="","",IF(ISNA(MATCH($G3991,個別指定!$A:$A,0)),"行なし",""))</f>
        <v/>
      </c>
      <c r="N3991" s="2" t="str">
        <f aca="false">IF($G3991="","",IF(COUNTIF($G$2:$G$4460,$G3991)&gt;1,"重複",""))</f>
        <v/>
      </c>
    </row>
    <row r="3992" customFormat="false" ht="16.5" hidden="false" customHeight="true" outlineLevel="0" collapsed="false">
      <c r="A3992" s="2" t="s">
        <v>447</v>
      </c>
      <c r="B3992" s="2" t="s">
        <v>468</v>
      </c>
      <c r="C3992" s="2" t="s">
        <v>21</v>
      </c>
      <c r="D3992" s="2" t="str">
        <f aca="false">IF(4キー同時!$B$266="","",4キー同時!$B$266)</f>
        <v/>
      </c>
      <c r="E3992" s="2" t="str">
        <f aca="false">IF(4キー同時!$G$266="","",4キー同時!$G$266)</f>
        <v/>
      </c>
      <c r="F3992" s="2" t="str">
        <f aca="false">IF(4キー同時!$L$266="","",4キー同時!$L$266)</f>
        <v/>
      </c>
      <c r="G3992" s="2" t="str">
        <f aca="false">IF(OR(4キー同時!$B$266="",4キー同時!$G$266="",4キー同時!$L$266=""),"",IF(4キー同時!AR270="","",SUBSTITUTE(SUBSTITUTE(4キー同時!AR270," ",""),"　","")))</f>
        <v/>
      </c>
      <c r="H3992" s="2" t="str">
        <f aca="false">IF($G3992="","",4キー同時!$B$266)</f>
        <v/>
      </c>
      <c r="I3992" s="2" t="str">
        <f aca="false">IF($G3992="","",4キー同時!$G$266)</f>
        <v/>
      </c>
      <c r="J3992" s="2" t="str">
        <f aca="false">IF($G3992="","",4キー同時!$L$266)</f>
        <v/>
      </c>
      <c r="K3992" s="2" t="str">
        <f aca="false">IF($G3992="","","p")</f>
        <v/>
      </c>
      <c r="L3992" s="2" t="str">
        <f aca="false">IF($G3992="","","同時")</f>
        <v/>
      </c>
      <c r="M3992" s="2" t="str">
        <f aca="false">IF($G3992="","",IF(ISNA(MATCH($G3992,個別指定!$A:$A,0)),"行なし",""))</f>
        <v/>
      </c>
      <c r="N3992" s="2" t="str">
        <f aca="false">IF($G3992="","",IF(COUNTIF($G$2:$G$4460,$G3992)&gt;1,"重複",""))</f>
        <v/>
      </c>
    </row>
    <row r="3993" customFormat="false" ht="16.5" hidden="false" customHeight="true" outlineLevel="0" collapsed="false">
      <c r="A3993" s="2" t="s">
        <v>447</v>
      </c>
      <c r="B3993" s="2" t="s">
        <v>468</v>
      </c>
      <c r="C3993" s="2" t="s">
        <v>22</v>
      </c>
      <c r="D3993" s="2" t="str">
        <f aca="false">IF(4キー同時!$B$266="","",4キー同時!$B$266)</f>
        <v/>
      </c>
      <c r="E3993" s="2" t="str">
        <f aca="false">IF(4キー同時!$G$266="","",4キー同時!$G$266)</f>
        <v/>
      </c>
      <c r="F3993" s="2" t="str">
        <f aca="false">IF(4キー同時!$L$266="","",4キー同時!$L$266)</f>
        <v/>
      </c>
      <c r="G3993" s="2" t="str">
        <f aca="false">IF(OR(4キー同時!$B$266="",4キー同時!$G$266="",4キー同時!$L$266=""),"",IF(4キー同時!AV270="","",SUBSTITUTE(SUBSTITUTE(4キー同時!AV270," ",""),"　","")))</f>
        <v/>
      </c>
      <c r="H3993" s="2" t="str">
        <f aca="false">IF($G3993="","",4キー同時!$B$266)</f>
        <v/>
      </c>
      <c r="I3993" s="2" t="str">
        <f aca="false">IF($G3993="","",4キー同時!$G$266)</f>
        <v/>
      </c>
      <c r="J3993" s="2" t="str">
        <f aca="false">IF($G3993="","",4キー同時!$L$266)</f>
        <v/>
      </c>
      <c r="K3993" s="2" t="str">
        <f aca="false">IF($G3993="","","[")</f>
        <v/>
      </c>
      <c r="L3993" s="2" t="str">
        <f aca="false">IF($G3993="","","同時")</f>
        <v/>
      </c>
      <c r="M3993" s="2" t="str">
        <f aca="false">IF($G3993="","",IF(ISNA(MATCH($G3993,個別指定!$A:$A,0)),"行なし",""))</f>
        <v/>
      </c>
      <c r="N3993" s="2" t="str">
        <f aca="false">IF($G3993="","",IF(COUNTIF($G$2:$G$4460,$G3993)&gt;1,"重複",""))</f>
        <v/>
      </c>
    </row>
    <row r="3994" customFormat="false" ht="16.5" hidden="false" customHeight="true" outlineLevel="0" collapsed="false">
      <c r="A3994" s="2" t="s">
        <v>447</v>
      </c>
      <c r="B3994" s="2" t="s">
        <v>468</v>
      </c>
      <c r="C3994" s="2" t="s">
        <v>23</v>
      </c>
      <c r="D3994" s="2" t="str">
        <f aca="false">IF(4キー同時!$B$266="","",4キー同時!$B$266)</f>
        <v/>
      </c>
      <c r="E3994" s="2" t="str">
        <f aca="false">IF(4キー同時!$G$266="","",4キー同時!$G$266)</f>
        <v/>
      </c>
      <c r="F3994" s="2" t="str">
        <f aca="false">IF(4キー同時!$L$266="","",4キー同時!$L$266)</f>
        <v/>
      </c>
      <c r="G3994" s="2" t="str">
        <f aca="false">IF(OR(4キー同時!$B$266="",4キー同時!$G$266="",4キー同時!$L$266=""),"",IF(4キー同時!AZ270="","",SUBSTITUTE(SUBSTITUTE(4キー同時!AZ270," ",""),"　","")))</f>
        <v/>
      </c>
      <c r="H3994" s="2" t="str">
        <f aca="false">IF($G3994="","",4キー同時!$B$266)</f>
        <v/>
      </c>
      <c r="I3994" s="2" t="str">
        <f aca="false">IF($G3994="","",4キー同時!$G$266)</f>
        <v/>
      </c>
      <c r="J3994" s="2" t="str">
        <f aca="false">IF($G3994="","",4キー同時!$L$266)</f>
        <v/>
      </c>
      <c r="K3994" s="2" t="str">
        <f aca="false">IF($G3994="","","]")</f>
        <v/>
      </c>
      <c r="L3994" s="2" t="str">
        <f aca="false">IF($G3994="","","同時")</f>
        <v/>
      </c>
      <c r="M3994" s="2" t="str">
        <f aca="false">IF($G3994="","",IF(ISNA(MATCH($G3994,個別指定!$A:$A,0)),"行なし",""))</f>
        <v/>
      </c>
      <c r="N3994" s="2" t="str">
        <f aca="false">IF($G3994="","",IF(COUNTIF($G$2:$G$4460,$G3994)&gt;1,"重複",""))</f>
        <v/>
      </c>
    </row>
    <row r="3995" customFormat="false" ht="16.5" hidden="false" customHeight="true" outlineLevel="0" collapsed="false">
      <c r="A3995" s="2" t="s">
        <v>447</v>
      </c>
      <c r="B3995" s="2" t="s">
        <v>468</v>
      </c>
      <c r="C3995" s="2" t="s">
        <v>24</v>
      </c>
      <c r="D3995" s="2" t="str">
        <f aca="false">IF(4キー同時!$B$266="","",4キー同時!$B$266)</f>
        <v/>
      </c>
      <c r="E3995" s="2" t="str">
        <f aca="false">IF(4キー同時!$G$266="","",4キー同時!$G$266)</f>
        <v/>
      </c>
      <c r="F3995" s="2" t="str">
        <f aca="false">IF(4キー同時!$L$266="","",4キー同時!$L$266)</f>
        <v/>
      </c>
      <c r="G3995" s="2" t="str">
        <f aca="false">IF(OR(4キー同時!$B$266="",4キー同時!$G$266="",4キー同時!$L$266=""),"",IF(4キー同時!I272="","",SUBSTITUTE(SUBSTITUTE(4キー同時!I272," ",""),"　","")))</f>
        <v/>
      </c>
      <c r="H3995" s="2" t="str">
        <f aca="false">IF($G3995="","",4キー同時!$B$266)</f>
        <v/>
      </c>
      <c r="I3995" s="2" t="str">
        <f aca="false">IF($G3995="","",4キー同時!$G$266)</f>
        <v/>
      </c>
      <c r="J3995" s="2" t="str">
        <f aca="false">IF($G3995="","",4キー同時!$L$266)</f>
        <v/>
      </c>
      <c r="K3995" s="2" t="str">
        <f aca="false">IF($G3995="","","a")</f>
        <v/>
      </c>
      <c r="L3995" s="2" t="str">
        <f aca="false">IF($G3995="","","同時")</f>
        <v/>
      </c>
      <c r="M3995" s="2" t="str">
        <f aca="false">IF($G3995="","",IF(ISNA(MATCH($G3995,個別指定!$A:$A,0)),"行なし",""))</f>
        <v/>
      </c>
      <c r="N3995" s="2" t="str">
        <f aca="false">IF($G3995="","",IF(COUNTIF($G$2:$G$4460,$G3995)&gt;1,"重複",""))</f>
        <v/>
      </c>
    </row>
    <row r="3996" customFormat="false" ht="16.5" hidden="false" customHeight="true" outlineLevel="0" collapsed="false">
      <c r="A3996" s="2" t="s">
        <v>447</v>
      </c>
      <c r="B3996" s="2" t="s">
        <v>468</v>
      </c>
      <c r="C3996" s="2" t="s">
        <v>25</v>
      </c>
      <c r="D3996" s="2" t="str">
        <f aca="false">IF(4キー同時!$B$266="","",4キー同時!$B$266)</f>
        <v/>
      </c>
      <c r="E3996" s="2" t="str">
        <f aca="false">IF(4キー同時!$G$266="","",4キー同時!$G$266)</f>
        <v/>
      </c>
      <c r="F3996" s="2" t="str">
        <f aca="false">IF(4キー同時!$L$266="","",4キー同時!$L$266)</f>
        <v/>
      </c>
      <c r="G3996" s="2" t="str">
        <f aca="false">IF(OR(4キー同時!$B$266="",4キー同時!$G$266="",4キー同時!$L$266=""),"",IF(4キー同時!M272="","",SUBSTITUTE(SUBSTITUTE(4キー同時!M272," ",""),"　","")))</f>
        <v/>
      </c>
      <c r="H3996" s="2" t="str">
        <f aca="false">IF($G3996="","",4キー同時!$B$266)</f>
        <v/>
      </c>
      <c r="I3996" s="2" t="str">
        <f aca="false">IF($G3996="","",4キー同時!$G$266)</f>
        <v/>
      </c>
      <c r="J3996" s="2" t="str">
        <f aca="false">IF($G3996="","",4キー同時!$L$266)</f>
        <v/>
      </c>
      <c r="K3996" s="2" t="str">
        <f aca="false">IF($G3996="","","s")</f>
        <v/>
      </c>
      <c r="L3996" s="2" t="str">
        <f aca="false">IF($G3996="","","同時")</f>
        <v/>
      </c>
      <c r="M3996" s="2" t="str">
        <f aca="false">IF($G3996="","",IF(ISNA(MATCH($G3996,個別指定!$A:$A,0)),"行なし",""))</f>
        <v/>
      </c>
      <c r="N3996" s="2" t="str">
        <f aca="false">IF($G3996="","",IF(COUNTIF($G$2:$G$4460,$G3996)&gt;1,"重複",""))</f>
        <v/>
      </c>
    </row>
    <row r="3997" customFormat="false" ht="16.5" hidden="false" customHeight="true" outlineLevel="0" collapsed="false">
      <c r="A3997" s="2" t="s">
        <v>447</v>
      </c>
      <c r="B3997" s="2" t="s">
        <v>468</v>
      </c>
      <c r="C3997" s="2" t="s">
        <v>26</v>
      </c>
      <c r="D3997" s="2" t="str">
        <f aca="false">IF(4キー同時!$B$266="","",4キー同時!$B$266)</f>
        <v/>
      </c>
      <c r="E3997" s="2" t="str">
        <f aca="false">IF(4キー同時!$G$266="","",4キー同時!$G$266)</f>
        <v/>
      </c>
      <c r="F3997" s="2" t="str">
        <f aca="false">IF(4キー同時!$L$266="","",4キー同時!$L$266)</f>
        <v/>
      </c>
      <c r="G3997" s="2" t="str">
        <f aca="false">IF(OR(4キー同時!$B$266="",4キー同時!$G$266="",4キー同時!$L$266=""),"",IF(4キー同時!Q272="","",SUBSTITUTE(SUBSTITUTE(4キー同時!Q272," ",""),"　","")))</f>
        <v/>
      </c>
      <c r="H3997" s="2" t="str">
        <f aca="false">IF($G3997="","",4キー同時!$B$266)</f>
        <v/>
      </c>
      <c r="I3997" s="2" t="str">
        <f aca="false">IF($G3997="","",4キー同時!$G$266)</f>
        <v/>
      </c>
      <c r="J3997" s="2" t="str">
        <f aca="false">IF($G3997="","",4キー同時!$L$266)</f>
        <v/>
      </c>
      <c r="K3997" s="2" t="str">
        <f aca="false">IF($G3997="","","d")</f>
        <v/>
      </c>
      <c r="L3997" s="2" t="str">
        <f aca="false">IF($G3997="","","同時")</f>
        <v/>
      </c>
      <c r="M3997" s="2" t="str">
        <f aca="false">IF($G3997="","",IF(ISNA(MATCH($G3997,個別指定!$A:$A,0)),"行なし",""))</f>
        <v/>
      </c>
      <c r="N3997" s="2" t="str">
        <f aca="false">IF($G3997="","",IF(COUNTIF($G$2:$G$4460,$G3997)&gt;1,"重複",""))</f>
        <v/>
      </c>
    </row>
    <row r="3998" customFormat="false" ht="16.5" hidden="false" customHeight="true" outlineLevel="0" collapsed="false">
      <c r="A3998" s="2" t="s">
        <v>447</v>
      </c>
      <c r="B3998" s="2" t="s">
        <v>468</v>
      </c>
      <c r="C3998" s="2" t="s">
        <v>27</v>
      </c>
      <c r="D3998" s="2" t="str">
        <f aca="false">IF(4キー同時!$B$266="","",4キー同時!$B$266)</f>
        <v/>
      </c>
      <c r="E3998" s="2" t="str">
        <f aca="false">IF(4キー同時!$G$266="","",4キー同時!$G$266)</f>
        <v/>
      </c>
      <c r="F3998" s="2" t="str">
        <f aca="false">IF(4キー同時!$L$266="","",4キー同時!$L$266)</f>
        <v/>
      </c>
      <c r="G3998" s="2" t="str">
        <f aca="false">IF(OR(4キー同時!$B$266="",4キー同時!$G$266="",4キー同時!$L$266=""),"",IF(4キー同時!U272="","",SUBSTITUTE(SUBSTITUTE(4キー同時!U272," ",""),"　","")))</f>
        <v/>
      </c>
      <c r="H3998" s="2" t="str">
        <f aca="false">IF($G3998="","",4キー同時!$B$266)</f>
        <v/>
      </c>
      <c r="I3998" s="2" t="str">
        <f aca="false">IF($G3998="","",4キー同時!$G$266)</f>
        <v/>
      </c>
      <c r="J3998" s="2" t="str">
        <f aca="false">IF($G3998="","",4キー同時!$L$266)</f>
        <v/>
      </c>
      <c r="K3998" s="2" t="str">
        <f aca="false">IF($G3998="","","f")</f>
        <v/>
      </c>
      <c r="L3998" s="2" t="str">
        <f aca="false">IF($G3998="","","同時")</f>
        <v/>
      </c>
      <c r="M3998" s="2" t="str">
        <f aca="false">IF($G3998="","",IF(ISNA(MATCH($G3998,個別指定!$A:$A,0)),"行なし",""))</f>
        <v/>
      </c>
      <c r="N3998" s="2" t="str">
        <f aca="false">IF($G3998="","",IF(COUNTIF($G$2:$G$4460,$G3998)&gt;1,"重複",""))</f>
        <v/>
      </c>
    </row>
    <row r="3999" customFormat="false" ht="16.5" hidden="false" customHeight="true" outlineLevel="0" collapsed="false">
      <c r="A3999" s="2" t="s">
        <v>447</v>
      </c>
      <c r="B3999" s="2" t="s">
        <v>468</v>
      </c>
      <c r="C3999" s="2" t="s">
        <v>28</v>
      </c>
      <c r="D3999" s="2" t="str">
        <f aca="false">IF(4キー同時!$B$266="","",4キー同時!$B$266)</f>
        <v/>
      </c>
      <c r="E3999" s="2" t="str">
        <f aca="false">IF(4キー同時!$G$266="","",4キー同時!$G$266)</f>
        <v/>
      </c>
      <c r="F3999" s="2" t="str">
        <f aca="false">IF(4キー同時!$L$266="","",4キー同時!$L$266)</f>
        <v/>
      </c>
      <c r="G3999" s="2" t="str">
        <f aca="false">IF(OR(4キー同時!$B$266="",4キー同時!$G$266="",4キー同時!$L$266=""),"",IF(4キー同時!Y272="","",SUBSTITUTE(SUBSTITUTE(4キー同時!Y272," ",""),"　","")))</f>
        <v/>
      </c>
      <c r="H3999" s="2" t="str">
        <f aca="false">IF($G3999="","",4キー同時!$B$266)</f>
        <v/>
      </c>
      <c r="I3999" s="2" t="str">
        <f aca="false">IF($G3999="","",4キー同時!$G$266)</f>
        <v/>
      </c>
      <c r="J3999" s="2" t="str">
        <f aca="false">IF($G3999="","",4キー同時!$L$266)</f>
        <v/>
      </c>
      <c r="K3999" s="2" t="str">
        <f aca="false">IF($G3999="","","g")</f>
        <v/>
      </c>
      <c r="L3999" s="2" t="str">
        <f aca="false">IF($G3999="","","同時")</f>
        <v/>
      </c>
      <c r="M3999" s="2" t="str">
        <f aca="false">IF($G3999="","",IF(ISNA(MATCH($G3999,個別指定!$A:$A,0)),"行なし",""))</f>
        <v/>
      </c>
      <c r="N3999" s="2" t="str">
        <f aca="false">IF($G3999="","",IF(COUNTIF($G$2:$G$4460,$G3999)&gt;1,"重複",""))</f>
        <v/>
      </c>
    </row>
    <row r="4000" customFormat="false" ht="16.5" hidden="false" customHeight="true" outlineLevel="0" collapsed="false">
      <c r="A4000" s="2" t="s">
        <v>447</v>
      </c>
      <c r="B4000" s="2" t="s">
        <v>468</v>
      </c>
      <c r="C4000" s="2" t="s">
        <v>29</v>
      </c>
      <c r="D4000" s="2" t="str">
        <f aca="false">IF(4キー同時!$B$266="","",4キー同時!$B$266)</f>
        <v/>
      </c>
      <c r="E4000" s="2" t="str">
        <f aca="false">IF(4キー同時!$G$266="","",4キー同時!$G$266)</f>
        <v/>
      </c>
      <c r="F4000" s="2" t="str">
        <f aca="false">IF(4キー同時!$L$266="","",4キー同時!$L$266)</f>
        <v/>
      </c>
      <c r="G4000" s="2" t="str">
        <f aca="false">IF(OR(4キー同時!$B$266="",4キー同時!$G$266="",4キー同時!$L$266=""),"",IF(4キー同時!AC272="","",SUBSTITUTE(SUBSTITUTE(4キー同時!AC272," ",""),"　","")))</f>
        <v/>
      </c>
      <c r="H4000" s="2" t="str">
        <f aca="false">IF($G4000="","",4キー同時!$B$266)</f>
        <v/>
      </c>
      <c r="I4000" s="2" t="str">
        <f aca="false">IF($G4000="","",4キー同時!$G$266)</f>
        <v/>
      </c>
      <c r="J4000" s="2" t="str">
        <f aca="false">IF($G4000="","",4キー同時!$L$266)</f>
        <v/>
      </c>
      <c r="K4000" s="2" t="str">
        <f aca="false">IF($G4000="","","h")</f>
        <v/>
      </c>
      <c r="L4000" s="2" t="str">
        <f aca="false">IF($G4000="","","同時")</f>
        <v/>
      </c>
      <c r="M4000" s="2" t="str">
        <f aca="false">IF($G4000="","",IF(ISNA(MATCH($G4000,個別指定!$A:$A,0)),"行なし",""))</f>
        <v/>
      </c>
      <c r="N4000" s="2" t="str">
        <f aca="false">IF($G4000="","",IF(COUNTIF($G$2:$G$4460,$G4000)&gt;1,"重複",""))</f>
        <v/>
      </c>
    </row>
    <row r="4001" customFormat="false" ht="16.5" hidden="false" customHeight="true" outlineLevel="0" collapsed="false">
      <c r="A4001" s="2" t="s">
        <v>447</v>
      </c>
      <c r="B4001" s="2" t="s">
        <v>468</v>
      </c>
      <c r="C4001" s="2" t="s">
        <v>30</v>
      </c>
      <c r="D4001" s="2" t="str">
        <f aca="false">IF(4キー同時!$B$266="","",4キー同時!$B$266)</f>
        <v/>
      </c>
      <c r="E4001" s="2" t="str">
        <f aca="false">IF(4キー同時!$G$266="","",4キー同時!$G$266)</f>
        <v/>
      </c>
      <c r="F4001" s="2" t="str">
        <f aca="false">IF(4キー同時!$L$266="","",4キー同時!$L$266)</f>
        <v/>
      </c>
      <c r="G4001" s="2" t="str">
        <f aca="false">IF(OR(4キー同時!$B$266="",4キー同時!$G$266="",4キー同時!$L$266=""),"",IF(4キー同時!AG272="","",SUBSTITUTE(SUBSTITUTE(4キー同時!AG272," ",""),"　","")))</f>
        <v/>
      </c>
      <c r="H4001" s="2" t="str">
        <f aca="false">IF($G4001="","",4キー同時!$B$266)</f>
        <v/>
      </c>
      <c r="I4001" s="2" t="str">
        <f aca="false">IF($G4001="","",4キー同時!$G$266)</f>
        <v/>
      </c>
      <c r="J4001" s="2" t="str">
        <f aca="false">IF($G4001="","",4キー同時!$L$266)</f>
        <v/>
      </c>
      <c r="K4001" s="2" t="str">
        <f aca="false">IF($G4001="","","j")</f>
        <v/>
      </c>
      <c r="L4001" s="2" t="str">
        <f aca="false">IF($G4001="","","同時")</f>
        <v/>
      </c>
      <c r="M4001" s="2" t="str">
        <f aca="false">IF($G4001="","",IF(ISNA(MATCH($G4001,個別指定!$A:$A,0)),"行なし",""))</f>
        <v/>
      </c>
      <c r="N4001" s="2" t="str">
        <f aca="false">IF($G4001="","",IF(COUNTIF($G$2:$G$4460,$G4001)&gt;1,"重複",""))</f>
        <v/>
      </c>
    </row>
    <row r="4002" customFormat="false" ht="16.5" hidden="false" customHeight="true" outlineLevel="0" collapsed="false">
      <c r="A4002" s="2" t="s">
        <v>447</v>
      </c>
      <c r="B4002" s="2" t="s">
        <v>468</v>
      </c>
      <c r="C4002" s="2" t="s">
        <v>31</v>
      </c>
      <c r="D4002" s="2" t="str">
        <f aca="false">IF(4キー同時!$B$266="","",4キー同時!$B$266)</f>
        <v/>
      </c>
      <c r="E4002" s="2" t="str">
        <f aca="false">IF(4キー同時!$G$266="","",4キー同時!$G$266)</f>
        <v/>
      </c>
      <c r="F4002" s="2" t="str">
        <f aca="false">IF(4キー同時!$L$266="","",4キー同時!$L$266)</f>
        <v/>
      </c>
      <c r="G4002" s="2" t="str">
        <f aca="false">IF(OR(4キー同時!$B$266="",4キー同時!$G$266="",4キー同時!$L$266=""),"",IF(4キー同時!AK272="","",SUBSTITUTE(SUBSTITUTE(4キー同時!AK272," ",""),"　","")))</f>
        <v/>
      </c>
      <c r="H4002" s="2" t="str">
        <f aca="false">IF($G4002="","",4キー同時!$B$266)</f>
        <v/>
      </c>
      <c r="I4002" s="2" t="str">
        <f aca="false">IF($G4002="","",4キー同時!$G$266)</f>
        <v/>
      </c>
      <c r="J4002" s="2" t="str">
        <f aca="false">IF($G4002="","",4キー同時!$L$266)</f>
        <v/>
      </c>
      <c r="K4002" s="2" t="str">
        <f aca="false">IF($G4002="","","k")</f>
        <v/>
      </c>
      <c r="L4002" s="2" t="str">
        <f aca="false">IF($G4002="","","同時")</f>
        <v/>
      </c>
      <c r="M4002" s="2" t="str">
        <f aca="false">IF($G4002="","",IF(ISNA(MATCH($G4002,個別指定!$A:$A,0)),"行なし",""))</f>
        <v/>
      </c>
      <c r="N4002" s="2" t="str">
        <f aca="false">IF($G4002="","",IF(COUNTIF($G$2:$G$4460,$G4002)&gt;1,"重複",""))</f>
        <v/>
      </c>
    </row>
    <row r="4003" customFormat="false" ht="16.5" hidden="false" customHeight="true" outlineLevel="0" collapsed="false">
      <c r="A4003" s="2" t="s">
        <v>447</v>
      </c>
      <c r="B4003" s="2" t="s">
        <v>468</v>
      </c>
      <c r="C4003" s="2" t="s">
        <v>32</v>
      </c>
      <c r="D4003" s="2" t="str">
        <f aca="false">IF(4キー同時!$B$266="","",4キー同時!$B$266)</f>
        <v/>
      </c>
      <c r="E4003" s="2" t="str">
        <f aca="false">IF(4キー同時!$G$266="","",4キー同時!$G$266)</f>
        <v/>
      </c>
      <c r="F4003" s="2" t="str">
        <f aca="false">IF(4キー同時!$L$266="","",4キー同時!$L$266)</f>
        <v/>
      </c>
      <c r="G4003" s="2" t="str">
        <f aca="false">IF(OR(4キー同時!$B$266="",4キー同時!$G$266="",4キー同時!$L$266=""),"",IF(4キー同時!AO272="","",SUBSTITUTE(SUBSTITUTE(4キー同時!AO272," ",""),"　","")))</f>
        <v/>
      </c>
      <c r="H4003" s="2" t="str">
        <f aca="false">IF($G4003="","",4キー同時!$B$266)</f>
        <v/>
      </c>
      <c r="I4003" s="2" t="str">
        <f aca="false">IF($G4003="","",4キー同時!$G$266)</f>
        <v/>
      </c>
      <c r="J4003" s="2" t="str">
        <f aca="false">IF($G4003="","",4キー同時!$L$266)</f>
        <v/>
      </c>
      <c r="K4003" s="2" t="str">
        <f aca="false">IF($G4003="","","l")</f>
        <v/>
      </c>
      <c r="L4003" s="2" t="str">
        <f aca="false">IF($G4003="","","同時")</f>
        <v/>
      </c>
      <c r="M4003" s="2" t="str">
        <f aca="false">IF($G4003="","",IF(ISNA(MATCH($G4003,個別指定!$A:$A,0)),"行なし",""))</f>
        <v/>
      </c>
      <c r="N4003" s="2" t="str">
        <f aca="false">IF($G4003="","",IF(COUNTIF($G$2:$G$4460,$G4003)&gt;1,"重複",""))</f>
        <v/>
      </c>
    </row>
    <row r="4004" customFormat="false" ht="16.5" hidden="false" customHeight="true" outlineLevel="0" collapsed="false">
      <c r="A4004" s="2" t="s">
        <v>447</v>
      </c>
      <c r="B4004" s="2" t="s">
        <v>468</v>
      </c>
      <c r="C4004" s="2" t="s">
        <v>33</v>
      </c>
      <c r="D4004" s="2" t="str">
        <f aca="false">IF(4キー同時!$B$266="","",4キー同時!$B$266)</f>
        <v/>
      </c>
      <c r="E4004" s="2" t="str">
        <f aca="false">IF(4キー同時!$G$266="","",4キー同時!$G$266)</f>
        <v/>
      </c>
      <c r="F4004" s="2" t="str">
        <f aca="false">IF(4キー同時!$L$266="","",4キー同時!$L$266)</f>
        <v/>
      </c>
      <c r="G4004" s="2" t="str">
        <f aca="false">IF(OR(4キー同時!$B$266="",4キー同時!$G$266="",4キー同時!$L$266=""),"",IF(4キー同時!AS272="","",SUBSTITUTE(SUBSTITUTE(4キー同時!AS272," ",""),"　","")))</f>
        <v/>
      </c>
      <c r="H4004" s="2" t="str">
        <f aca="false">IF($G4004="","",4キー同時!$B$266)</f>
        <v/>
      </c>
      <c r="I4004" s="2" t="str">
        <f aca="false">IF($G4004="","",4キー同時!$G$266)</f>
        <v/>
      </c>
      <c r="J4004" s="2" t="str">
        <f aca="false">IF($G4004="","",4キー同時!$L$266)</f>
        <v/>
      </c>
      <c r="K4004" s="2" t="str">
        <f aca="false">IF($G4004="","",";")</f>
        <v/>
      </c>
      <c r="L4004" s="2" t="str">
        <f aca="false">IF($G4004="","","同時")</f>
        <v/>
      </c>
      <c r="M4004" s="2" t="str">
        <f aca="false">IF($G4004="","",IF(ISNA(MATCH($G4004,個別指定!$A:$A,0)),"行なし",""))</f>
        <v/>
      </c>
      <c r="N4004" s="2" t="str">
        <f aca="false">IF($G4004="","",IF(COUNTIF($G$2:$G$4460,$G4004)&gt;1,"重複",""))</f>
        <v/>
      </c>
    </row>
    <row r="4005" customFormat="false" ht="16.5" hidden="false" customHeight="true" outlineLevel="0" collapsed="false">
      <c r="A4005" s="2" t="s">
        <v>447</v>
      </c>
      <c r="B4005" s="2" t="s">
        <v>468</v>
      </c>
      <c r="C4005" s="2" t="s">
        <v>34</v>
      </c>
      <c r="D4005" s="2" t="str">
        <f aca="false">IF(4キー同時!$B$266="","",4キー同時!$B$266)</f>
        <v/>
      </c>
      <c r="E4005" s="2" t="str">
        <f aca="false">IF(4キー同時!$G$266="","",4キー同時!$G$266)</f>
        <v/>
      </c>
      <c r="F4005" s="2" t="str">
        <f aca="false">IF(4キー同時!$L$266="","",4キー同時!$L$266)</f>
        <v/>
      </c>
      <c r="G4005" s="2" t="str">
        <f aca="false">IF(OR(4キー同時!$B$266="",4キー同時!$G$266="",4キー同時!$L$266=""),"",IF(4キー同時!AW272="","",SUBSTITUTE(SUBSTITUTE(4キー同時!AW272," ",""),"　","")))</f>
        <v/>
      </c>
      <c r="H4005" s="2" t="str">
        <f aca="false">IF($G4005="","",4キー同時!$B$266)</f>
        <v/>
      </c>
      <c r="I4005" s="2" t="str">
        <f aca="false">IF($G4005="","",4キー同時!$G$266)</f>
        <v/>
      </c>
      <c r="J4005" s="2" t="str">
        <f aca="false">IF($G4005="","",4キー同時!$L$266)</f>
        <v/>
      </c>
      <c r="K4005" s="2" t="str">
        <f aca="false">IF($G4005="","","'")</f>
        <v/>
      </c>
      <c r="L4005" s="2" t="str">
        <f aca="false">IF($G4005="","","同時")</f>
        <v/>
      </c>
      <c r="M4005" s="2" t="str">
        <f aca="false">IF($G4005="","",IF(ISNA(MATCH($G4005,個別指定!$A:$A,0)),"行なし",""))</f>
        <v/>
      </c>
      <c r="N4005" s="2" t="str">
        <f aca="false">IF($G4005="","",IF(COUNTIF($G$2:$G$4460,$G4005)&gt;1,"重複",""))</f>
        <v/>
      </c>
    </row>
    <row r="4006" customFormat="false" ht="16.5" hidden="false" customHeight="true" outlineLevel="0" collapsed="false">
      <c r="A4006" s="2" t="s">
        <v>447</v>
      </c>
      <c r="B4006" s="2" t="s">
        <v>468</v>
      </c>
      <c r="C4006" s="2" t="s">
        <v>35</v>
      </c>
      <c r="D4006" s="2" t="str">
        <f aca="false">IF(4キー同時!$B$266="","",4キー同時!$B$266)</f>
        <v/>
      </c>
      <c r="E4006" s="2" t="str">
        <f aca="false">IF(4キー同時!$G$266="","",4キー同時!$G$266)</f>
        <v/>
      </c>
      <c r="F4006" s="2" t="str">
        <f aca="false">IF(4キー同時!$L$266="","",4キー同時!$L$266)</f>
        <v/>
      </c>
      <c r="G4006" s="2" t="str">
        <f aca="false">IF(OR(4キー同時!$B$266="",4キー同時!$G$266="",4キー同時!$L$266=""),"",IF(4キー同時!K274="","",SUBSTITUTE(SUBSTITUTE(4キー同時!K274," ",""),"　","")))</f>
        <v/>
      </c>
      <c r="H4006" s="2" t="str">
        <f aca="false">IF($G4006="","",4キー同時!$B$266)</f>
        <v/>
      </c>
      <c r="I4006" s="2" t="str">
        <f aca="false">IF($G4006="","",4キー同時!$G$266)</f>
        <v/>
      </c>
      <c r="J4006" s="2" t="str">
        <f aca="false">IF($G4006="","",4キー同時!$L$266)</f>
        <v/>
      </c>
      <c r="K4006" s="2" t="str">
        <f aca="false">IF($G4006="","","z")</f>
        <v/>
      </c>
      <c r="L4006" s="2" t="str">
        <f aca="false">IF($G4006="","","同時")</f>
        <v/>
      </c>
      <c r="M4006" s="2" t="str">
        <f aca="false">IF($G4006="","",IF(ISNA(MATCH($G4006,個別指定!$A:$A,0)),"行なし",""))</f>
        <v/>
      </c>
      <c r="N4006" s="2" t="str">
        <f aca="false">IF($G4006="","",IF(COUNTIF($G$2:$G$4460,$G4006)&gt;1,"重複",""))</f>
        <v/>
      </c>
    </row>
    <row r="4007" customFormat="false" ht="16.5" hidden="false" customHeight="true" outlineLevel="0" collapsed="false">
      <c r="A4007" s="2" t="s">
        <v>447</v>
      </c>
      <c r="B4007" s="2" t="s">
        <v>468</v>
      </c>
      <c r="C4007" s="2" t="s">
        <v>36</v>
      </c>
      <c r="D4007" s="2" t="str">
        <f aca="false">IF(4キー同時!$B$266="","",4キー同時!$B$266)</f>
        <v/>
      </c>
      <c r="E4007" s="2" t="str">
        <f aca="false">IF(4キー同時!$G$266="","",4キー同時!$G$266)</f>
        <v/>
      </c>
      <c r="F4007" s="2" t="str">
        <f aca="false">IF(4キー同時!$L$266="","",4キー同時!$L$266)</f>
        <v/>
      </c>
      <c r="G4007" s="2" t="str">
        <f aca="false">IF(OR(4キー同時!$B$266="",4キー同時!$G$266="",4キー同時!$L$266=""),"",IF(4キー同時!O274="","",SUBSTITUTE(SUBSTITUTE(4キー同時!O274," ",""),"　","")))</f>
        <v/>
      </c>
      <c r="H4007" s="2" t="str">
        <f aca="false">IF($G4007="","",4キー同時!$B$266)</f>
        <v/>
      </c>
      <c r="I4007" s="2" t="str">
        <f aca="false">IF($G4007="","",4キー同時!$G$266)</f>
        <v/>
      </c>
      <c r="J4007" s="2" t="str">
        <f aca="false">IF($G4007="","",4キー同時!$L$266)</f>
        <v/>
      </c>
      <c r="K4007" s="2" t="str">
        <f aca="false">IF($G4007="","","x")</f>
        <v/>
      </c>
      <c r="L4007" s="2" t="str">
        <f aca="false">IF($G4007="","","同時")</f>
        <v/>
      </c>
      <c r="M4007" s="2" t="str">
        <f aca="false">IF($G4007="","",IF(ISNA(MATCH($G4007,個別指定!$A:$A,0)),"行なし",""))</f>
        <v/>
      </c>
      <c r="N4007" s="2" t="str">
        <f aca="false">IF($G4007="","",IF(COUNTIF($G$2:$G$4460,$G4007)&gt;1,"重複",""))</f>
        <v/>
      </c>
    </row>
    <row r="4008" customFormat="false" ht="16.5" hidden="false" customHeight="true" outlineLevel="0" collapsed="false">
      <c r="A4008" s="2" t="s">
        <v>447</v>
      </c>
      <c r="B4008" s="2" t="s">
        <v>468</v>
      </c>
      <c r="C4008" s="2" t="s">
        <v>37</v>
      </c>
      <c r="D4008" s="2" t="str">
        <f aca="false">IF(4キー同時!$B$266="","",4キー同時!$B$266)</f>
        <v/>
      </c>
      <c r="E4008" s="2" t="str">
        <f aca="false">IF(4キー同時!$G$266="","",4キー同時!$G$266)</f>
        <v/>
      </c>
      <c r="F4008" s="2" t="str">
        <f aca="false">IF(4キー同時!$L$266="","",4キー同時!$L$266)</f>
        <v/>
      </c>
      <c r="G4008" s="2" t="str">
        <f aca="false">IF(OR(4キー同時!$B$266="",4キー同時!$G$266="",4キー同時!$L$266=""),"",IF(4キー同時!S274="","",SUBSTITUTE(SUBSTITUTE(4キー同時!S274," ",""),"　","")))</f>
        <v/>
      </c>
      <c r="H4008" s="2" t="str">
        <f aca="false">IF($G4008="","",4キー同時!$B$266)</f>
        <v/>
      </c>
      <c r="I4008" s="2" t="str">
        <f aca="false">IF($G4008="","",4キー同時!$G$266)</f>
        <v/>
      </c>
      <c r="J4008" s="2" t="str">
        <f aca="false">IF($G4008="","",4キー同時!$L$266)</f>
        <v/>
      </c>
      <c r="K4008" s="2" t="str">
        <f aca="false">IF($G4008="","","c")</f>
        <v/>
      </c>
      <c r="L4008" s="2" t="str">
        <f aca="false">IF($G4008="","","同時")</f>
        <v/>
      </c>
      <c r="M4008" s="2" t="str">
        <f aca="false">IF($G4008="","",IF(ISNA(MATCH($G4008,個別指定!$A:$A,0)),"行なし",""))</f>
        <v/>
      </c>
      <c r="N4008" s="2" t="str">
        <f aca="false">IF($G4008="","",IF(COUNTIF($G$2:$G$4460,$G4008)&gt;1,"重複",""))</f>
        <v/>
      </c>
    </row>
    <row r="4009" customFormat="false" ht="16.5" hidden="false" customHeight="true" outlineLevel="0" collapsed="false">
      <c r="A4009" s="2" t="s">
        <v>447</v>
      </c>
      <c r="B4009" s="2" t="s">
        <v>468</v>
      </c>
      <c r="C4009" s="2" t="s">
        <v>38</v>
      </c>
      <c r="D4009" s="2" t="str">
        <f aca="false">IF(4キー同時!$B$266="","",4キー同時!$B$266)</f>
        <v/>
      </c>
      <c r="E4009" s="2" t="str">
        <f aca="false">IF(4キー同時!$G$266="","",4キー同時!$G$266)</f>
        <v/>
      </c>
      <c r="F4009" s="2" t="str">
        <f aca="false">IF(4キー同時!$L$266="","",4キー同時!$L$266)</f>
        <v/>
      </c>
      <c r="G4009" s="2" t="str">
        <f aca="false">IF(OR(4キー同時!$B$266="",4キー同時!$G$266="",4キー同時!$L$266=""),"",IF(4キー同時!W274="","",SUBSTITUTE(SUBSTITUTE(4キー同時!W274," ",""),"　","")))</f>
        <v/>
      </c>
      <c r="H4009" s="2" t="str">
        <f aca="false">IF($G4009="","",4キー同時!$B$266)</f>
        <v/>
      </c>
      <c r="I4009" s="2" t="str">
        <f aca="false">IF($G4009="","",4キー同時!$G$266)</f>
        <v/>
      </c>
      <c r="J4009" s="2" t="str">
        <f aca="false">IF($G4009="","",4キー同時!$L$266)</f>
        <v/>
      </c>
      <c r="K4009" s="2" t="str">
        <f aca="false">IF($G4009="","","v")</f>
        <v/>
      </c>
      <c r="L4009" s="2" t="str">
        <f aca="false">IF($G4009="","","同時")</f>
        <v/>
      </c>
      <c r="M4009" s="2" t="str">
        <f aca="false">IF($G4009="","",IF(ISNA(MATCH($G4009,個別指定!$A:$A,0)),"行なし",""))</f>
        <v/>
      </c>
      <c r="N4009" s="2" t="str">
        <f aca="false">IF($G4009="","",IF(COUNTIF($G$2:$G$4460,$G4009)&gt;1,"重複",""))</f>
        <v/>
      </c>
    </row>
    <row r="4010" customFormat="false" ht="16.5" hidden="false" customHeight="true" outlineLevel="0" collapsed="false">
      <c r="A4010" s="2" t="s">
        <v>447</v>
      </c>
      <c r="B4010" s="2" t="s">
        <v>468</v>
      </c>
      <c r="C4010" s="2" t="s">
        <v>39</v>
      </c>
      <c r="D4010" s="2" t="str">
        <f aca="false">IF(4キー同時!$B$266="","",4キー同時!$B$266)</f>
        <v/>
      </c>
      <c r="E4010" s="2" t="str">
        <f aca="false">IF(4キー同時!$G$266="","",4キー同時!$G$266)</f>
        <v/>
      </c>
      <c r="F4010" s="2" t="str">
        <f aca="false">IF(4キー同時!$L$266="","",4キー同時!$L$266)</f>
        <v/>
      </c>
      <c r="G4010" s="2" t="str">
        <f aca="false">IF(OR(4キー同時!$B$266="",4キー同時!$G$266="",4キー同時!$L$266=""),"",IF(4キー同時!AA274="","",SUBSTITUTE(SUBSTITUTE(4キー同時!AA274," ",""),"　","")))</f>
        <v/>
      </c>
      <c r="H4010" s="2" t="str">
        <f aca="false">IF($G4010="","",4キー同時!$B$266)</f>
        <v/>
      </c>
      <c r="I4010" s="2" t="str">
        <f aca="false">IF($G4010="","",4キー同時!$G$266)</f>
        <v/>
      </c>
      <c r="J4010" s="2" t="str">
        <f aca="false">IF($G4010="","",4キー同時!$L$266)</f>
        <v/>
      </c>
      <c r="K4010" s="2" t="str">
        <f aca="false">IF($G4010="","","b")</f>
        <v/>
      </c>
      <c r="L4010" s="2" t="str">
        <f aca="false">IF($G4010="","","同時")</f>
        <v/>
      </c>
      <c r="M4010" s="2" t="str">
        <f aca="false">IF($G4010="","",IF(ISNA(MATCH($G4010,個別指定!$A:$A,0)),"行なし",""))</f>
        <v/>
      </c>
      <c r="N4010" s="2" t="str">
        <f aca="false">IF($G4010="","",IF(COUNTIF($G$2:$G$4460,$G4010)&gt;1,"重複",""))</f>
        <v/>
      </c>
    </row>
    <row r="4011" customFormat="false" ht="16.5" hidden="false" customHeight="true" outlineLevel="0" collapsed="false">
      <c r="A4011" s="2" t="s">
        <v>447</v>
      </c>
      <c r="B4011" s="2" t="s">
        <v>468</v>
      </c>
      <c r="C4011" s="2" t="s">
        <v>40</v>
      </c>
      <c r="D4011" s="2" t="str">
        <f aca="false">IF(4キー同時!$B$266="","",4キー同時!$B$266)</f>
        <v/>
      </c>
      <c r="E4011" s="2" t="str">
        <f aca="false">IF(4キー同時!$G$266="","",4キー同時!$G$266)</f>
        <v/>
      </c>
      <c r="F4011" s="2" t="str">
        <f aca="false">IF(4キー同時!$L$266="","",4キー同時!$L$266)</f>
        <v/>
      </c>
      <c r="G4011" s="2" t="str">
        <f aca="false">IF(OR(4キー同時!$B$266="",4キー同時!$G$266="",4キー同時!$L$266=""),"",IF(4キー同時!AE274="","",SUBSTITUTE(SUBSTITUTE(4キー同時!AE274," ",""),"　","")))</f>
        <v/>
      </c>
      <c r="H4011" s="2" t="str">
        <f aca="false">IF($G4011="","",4キー同時!$B$266)</f>
        <v/>
      </c>
      <c r="I4011" s="2" t="str">
        <f aca="false">IF($G4011="","",4キー同時!$G$266)</f>
        <v/>
      </c>
      <c r="J4011" s="2" t="str">
        <f aca="false">IF($G4011="","",4キー同時!$L$266)</f>
        <v/>
      </c>
      <c r="K4011" s="2" t="str">
        <f aca="false">IF($G4011="","","n")</f>
        <v/>
      </c>
      <c r="L4011" s="2" t="str">
        <f aca="false">IF($G4011="","","同時")</f>
        <v/>
      </c>
      <c r="M4011" s="2" t="str">
        <f aca="false">IF($G4011="","",IF(ISNA(MATCH($G4011,個別指定!$A:$A,0)),"行なし",""))</f>
        <v/>
      </c>
      <c r="N4011" s="2" t="str">
        <f aca="false">IF($G4011="","",IF(COUNTIF($G$2:$G$4460,$G4011)&gt;1,"重複",""))</f>
        <v/>
      </c>
    </row>
    <row r="4012" customFormat="false" ht="16.5" hidden="false" customHeight="true" outlineLevel="0" collapsed="false">
      <c r="A4012" s="2" t="s">
        <v>447</v>
      </c>
      <c r="B4012" s="2" t="s">
        <v>468</v>
      </c>
      <c r="C4012" s="2" t="s">
        <v>41</v>
      </c>
      <c r="D4012" s="2" t="str">
        <f aca="false">IF(4キー同時!$B$266="","",4キー同時!$B$266)</f>
        <v/>
      </c>
      <c r="E4012" s="2" t="str">
        <f aca="false">IF(4キー同時!$G$266="","",4キー同時!$G$266)</f>
        <v/>
      </c>
      <c r="F4012" s="2" t="str">
        <f aca="false">IF(4キー同時!$L$266="","",4キー同時!$L$266)</f>
        <v/>
      </c>
      <c r="G4012" s="2" t="str">
        <f aca="false">IF(OR(4キー同時!$B$266="",4キー同時!$G$266="",4キー同時!$L$266=""),"",IF(4キー同時!AI274="","",SUBSTITUTE(SUBSTITUTE(4キー同時!AI274," ",""),"　","")))</f>
        <v/>
      </c>
      <c r="H4012" s="2" t="str">
        <f aca="false">IF($G4012="","",4キー同時!$B$266)</f>
        <v/>
      </c>
      <c r="I4012" s="2" t="str">
        <f aca="false">IF($G4012="","",4キー同時!$G$266)</f>
        <v/>
      </c>
      <c r="J4012" s="2" t="str">
        <f aca="false">IF($G4012="","",4キー同時!$L$266)</f>
        <v/>
      </c>
      <c r="K4012" s="2" t="str">
        <f aca="false">IF($G4012="","","m")</f>
        <v/>
      </c>
      <c r="L4012" s="2" t="str">
        <f aca="false">IF($G4012="","","同時")</f>
        <v/>
      </c>
      <c r="M4012" s="2" t="str">
        <f aca="false">IF($G4012="","",IF(ISNA(MATCH($G4012,個別指定!$A:$A,0)),"行なし",""))</f>
        <v/>
      </c>
      <c r="N4012" s="2" t="str">
        <f aca="false">IF($G4012="","",IF(COUNTIF($G$2:$G$4460,$G4012)&gt;1,"重複",""))</f>
        <v/>
      </c>
    </row>
    <row r="4013" customFormat="false" ht="16.5" hidden="false" customHeight="true" outlineLevel="0" collapsed="false">
      <c r="A4013" s="2" t="s">
        <v>447</v>
      </c>
      <c r="B4013" s="2" t="s">
        <v>468</v>
      </c>
      <c r="C4013" s="2" t="s">
        <v>42</v>
      </c>
      <c r="D4013" s="2" t="str">
        <f aca="false">IF(4キー同時!$B$266="","",4キー同時!$B$266)</f>
        <v/>
      </c>
      <c r="E4013" s="2" t="str">
        <f aca="false">IF(4キー同時!$G$266="","",4キー同時!$G$266)</f>
        <v/>
      </c>
      <c r="F4013" s="2" t="str">
        <f aca="false">IF(4キー同時!$L$266="","",4キー同時!$L$266)</f>
        <v/>
      </c>
      <c r="G4013" s="2" t="str">
        <f aca="false">IF(OR(4キー同時!$B$266="",4キー同時!$G$266="",4キー同時!$L$266=""),"",IF(4キー同時!AM274="","",SUBSTITUTE(SUBSTITUTE(4キー同時!AM274," ",""),"　","")))</f>
        <v/>
      </c>
      <c r="H4013" s="2" t="str">
        <f aca="false">IF($G4013="","",4キー同時!$B$266)</f>
        <v/>
      </c>
      <c r="I4013" s="2" t="str">
        <f aca="false">IF($G4013="","",4キー同時!$G$266)</f>
        <v/>
      </c>
      <c r="J4013" s="2" t="str">
        <f aca="false">IF($G4013="","",4キー同時!$L$266)</f>
        <v/>
      </c>
      <c r="K4013" s="2" t="str">
        <f aca="false">IF($G4013="","",",")</f>
        <v/>
      </c>
      <c r="L4013" s="2" t="str">
        <f aca="false">IF($G4013="","","同時")</f>
        <v/>
      </c>
      <c r="M4013" s="2" t="str">
        <f aca="false">IF($G4013="","",IF(ISNA(MATCH($G4013,個別指定!$A:$A,0)),"行なし",""))</f>
        <v/>
      </c>
      <c r="N4013" s="2" t="str">
        <f aca="false">IF($G4013="","",IF(COUNTIF($G$2:$G$4460,$G4013)&gt;1,"重複",""))</f>
        <v/>
      </c>
    </row>
    <row r="4014" customFormat="false" ht="16.5" hidden="false" customHeight="true" outlineLevel="0" collapsed="false">
      <c r="A4014" s="2" t="s">
        <v>447</v>
      </c>
      <c r="B4014" s="2" t="s">
        <v>468</v>
      </c>
      <c r="C4014" s="2" t="s">
        <v>43</v>
      </c>
      <c r="D4014" s="2" t="str">
        <f aca="false">IF(4キー同時!$B$266="","",4キー同時!$B$266)</f>
        <v/>
      </c>
      <c r="E4014" s="2" t="str">
        <f aca="false">IF(4キー同時!$G$266="","",4キー同時!$G$266)</f>
        <v/>
      </c>
      <c r="F4014" s="2" t="str">
        <f aca="false">IF(4キー同時!$L$266="","",4キー同時!$L$266)</f>
        <v/>
      </c>
      <c r="G4014" s="2" t="str">
        <f aca="false">IF(OR(4キー同時!$B$266="",4キー同時!$G$266="",4キー同時!$L$266=""),"",IF(4キー同時!AQ274="","",SUBSTITUTE(SUBSTITUTE(4キー同時!AQ274," ",""),"　","")))</f>
        <v/>
      </c>
      <c r="H4014" s="2" t="str">
        <f aca="false">IF($G4014="","",4キー同時!$B$266)</f>
        <v/>
      </c>
      <c r="I4014" s="2" t="str">
        <f aca="false">IF($G4014="","",4キー同時!$G$266)</f>
        <v/>
      </c>
      <c r="J4014" s="2" t="str">
        <f aca="false">IF($G4014="","",4キー同時!$L$266)</f>
        <v/>
      </c>
      <c r="K4014" s="2" t="str">
        <f aca="false">IF($G4014="","",".")</f>
        <v/>
      </c>
      <c r="L4014" s="2" t="str">
        <f aca="false">IF($G4014="","","同時")</f>
        <v/>
      </c>
      <c r="M4014" s="2" t="str">
        <f aca="false">IF($G4014="","",IF(ISNA(MATCH($G4014,個別指定!$A:$A,0)),"行なし",""))</f>
        <v/>
      </c>
      <c r="N4014" s="2" t="str">
        <f aca="false">IF($G4014="","",IF(COUNTIF($G$2:$G$4460,$G4014)&gt;1,"重複",""))</f>
        <v/>
      </c>
    </row>
    <row r="4015" customFormat="false" ht="16.5" hidden="false" customHeight="true" outlineLevel="0" collapsed="false">
      <c r="A4015" s="2" t="s">
        <v>447</v>
      </c>
      <c r="B4015" s="2" t="s">
        <v>468</v>
      </c>
      <c r="C4015" s="2" t="s">
        <v>44</v>
      </c>
      <c r="D4015" s="2" t="str">
        <f aca="false">IF(4キー同時!$B$266="","",4キー同時!$B$266)</f>
        <v/>
      </c>
      <c r="E4015" s="2" t="str">
        <f aca="false">IF(4キー同時!$G$266="","",4キー同時!$G$266)</f>
        <v/>
      </c>
      <c r="F4015" s="2" t="str">
        <f aca="false">IF(4キー同時!$L$266="","",4キー同時!$L$266)</f>
        <v/>
      </c>
      <c r="G4015" s="2" t="str">
        <f aca="false">IF(OR(4キー同時!$B$266="",4キー同時!$G$266="",4キー同時!$L$266=""),"",IF(4キー同時!AU274="","",SUBSTITUTE(SUBSTITUTE(4キー同時!AU274," ",""),"　","")))</f>
        <v/>
      </c>
      <c r="H4015" s="2" t="str">
        <f aca="false">IF($G4015="","",4キー同時!$B$266)</f>
        <v/>
      </c>
      <c r="I4015" s="2" t="str">
        <f aca="false">IF($G4015="","",4キー同時!$G$266)</f>
        <v/>
      </c>
      <c r="J4015" s="2" t="str">
        <f aca="false">IF($G4015="","",4キー同時!$L$266)</f>
        <v/>
      </c>
      <c r="K4015" s="2" t="str">
        <f aca="false">IF($G4015="","","/")</f>
        <v/>
      </c>
      <c r="L4015" s="2" t="str">
        <f aca="false">IF($G4015="","","同時")</f>
        <v/>
      </c>
      <c r="M4015" s="2" t="str">
        <f aca="false">IF($G4015="","",IF(ISNA(MATCH($G4015,個別指定!$A:$A,0)),"行なし",""))</f>
        <v/>
      </c>
      <c r="N4015" s="2" t="str">
        <f aca="false">IF($G4015="","",IF(COUNTIF($G$2:$G$4460,$G4015)&gt;1,"重複",""))</f>
        <v/>
      </c>
    </row>
    <row r="4016" customFormat="false" ht="16.5" hidden="false" customHeight="true" outlineLevel="0" collapsed="false">
      <c r="A4016" s="2" t="s">
        <v>447</v>
      </c>
      <c r="B4016" s="2" t="s">
        <v>468</v>
      </c>
      <c r="C4016" s="2" t="s">
        <v>48</v>
      </c>
      <c r="D4016" s="2" t="str">
        <f aca="false">IF(4キー同時!$B$266="","",4キー同時!$B$266)</f>
        <v/>
      </c>
      <c r="E4016" s="2" t="str">
        <f aca="false">IF(4キー同時!$G$266="","",4キー同時!$G$266)</f>
        <v/>
      </c>
      <c r="F4016" s="2" t="str">
        <f aca="false">IF(4キー同時!$L$266="","",4キー同時!$L$266)</f>
        <v/>
      </c>
      <c r="G4016" s="2" t="str">
        <f aca="false">IF(OR(4キー同時!$B$266="",4キー同時!$G$266="",4キー同時!$L$266=""),"",IF(4キー同時!P276="","",SUBSTITUTE(SUBSTITUTE(4キー同時!P276," ",""),"　","")))</f>
        <v/>
      </c>
      <c r="H4016" s="2" t="str">
        <f aca="false">IF($G4016="","",4キー同時!$B$266)</f>
        <v/>
      </c>
      <c r="I4016" s="2" t="str">
        <f aca="false">IF($G4016="","",4キー同時!$G$266)</f>
        <v/>
      </c>
      <c r="J4016" s="2" t="str">
        <f aca="false">IF($G4016="","",4キー同時!$L$266)</f>
        <v/>
      </c>
      <c r="K4016" s="2" t="str">
        <f aca="false">IF($G4016="","","muhenkan")</f>
        <v/>
      </c>
      <c r="L4016" s="2" t="str">
        <f aca="false">IF($G4016="","","同時")</f>
        <v/>
      </c>
      <c r="M4016" s="2" t="str">
        <f aca="false">IF($G4016="","",IF(ISNA(MATCH($G4016,個別指定!$A:$A,0)),"行なし",""))</f>
        <v/>
      </c>
      <c r="N4016" s="2" t="str">
        <f aca="false">IF($G4016="","",IF(COUNTIF($G$2:$G$4460,$G4016)&gt;1,"重複",""))</f>
        <v/>
      </c>
    </row>
    <row r="4017" customFormat="false" ht="16.5" hidden="false" customHeight="true" outlineLevel="0" collapsed="false">
      <c r="A4017" s="2" t="s">
        <v>447</v>
      </c>
      <c r="B4017" s="2" t="s">
        <v>468</v>
      </c>
      <c r="C4017" s="2" t="s">
        <v>50</v>
      </c>
      <c r="D4017" s="2" t="str">
        <f aca="false">IF(4キー同時!$B$266="","",4キー同時!$B$266)</f>
        <v/>
      </c>
      <c r="E4017" s="2" t="str">
        <f aca="false">IF(4キー同時!$G$266="","",4キー同時!$G$266)</f>
        <v/>
      </c>
      <c r="F4017" s="2" t="str">
        <f aca="false">IF(4キー同時!$L$266="","",4キー同時!$L$266)</f>
        <v/>
      </c>
      <c r="G4017" s="2" t="str">
        <f aca="false">IF(OR(4キー同時!$B$266="",4キー同時!$G$266="",4キー同時!$L$266=""),"",IF(4キー同時!T276="","",SUBSTITUTE(SUBSTITUTE(4キー同時!T276," ",""),"　","")))</f>
        <v/>
      </c>
      <c r="H4017" s="2" t="str">
        <f aca="false">IF($G4017="","",4キー同時!$B$266)</f>
        <v/>
      </c>
      <c r="I4017" s="2" t="str">
        <f aca="false">IF($G4017="","",4キー同時!$G$266)</f>
        <v/>
      </c>
      <c r="J4017" s="2" t="str">
        <f aca="false">IF($G4017="","",4キー同時!$L$266)</f>
        <v/>
      </c>
      <c r="K4017" s="2" t="str">
        <f aca="false">IF($G4017="","","space")</f>
        <v/>
      </c>
      <c r="L4017" s="2" t="str">
        <f aca="false">IF($G4017="","","同時")</f>
        <v/>
      </c>
      <c r="M4017" s="2" t="str">
        <f aca="false">IF($G4017="","",IF(ISNA(MATCH($G4017,個別指定!$A:$A,0)),"行なし",""))</f>
        <v/>
      </c>
      <c r="N4017" s="2" t="str">
        <f aca="false">IF($G4017="","",IF(COUNTIF($G$2:$G$4460,$G4017)&gt;1,"重複",""))</f>
        <v/>
      </c>
    </row>
    <row r="4018" customFormat="false" ht="16.5" hidden="false" customHeight="true" outlineLevel="0" collapsed="false">
      <c r="A4018" s="2" t="s">
        <v>447</v>
      </c>
      <c r="B4018" s="2" t="s">
        <v>468</v>
      </c>
      <c r="C4018" s="2" t="s">
        <v>45</v>
      </c>
      <c r="D4018" s="2" t="str">
        <f aca="false">IF(4キー同時!$B$266="","",4キー同時!$B$266)</f>
        <v/>
      </c>
      <c r="E4018" s="2" t="str">
        <f aca="false">IF(4キー同時!$G$266="","",4キー同時!$G$266)</f>
        <v/>
      </c>
      <c r="F4018" s="2" t="str">
        <f aca="false">IF(4キー同時!$L$266="","",4キー同時!$L$266)</f>
        <v/>
      </c>
      <c r="G4018" s="2" t="str">
        <f aca="false">IF(OR(4キー同時!$B$266="",4キー同時!$G$266="",4キー同時!$L$266=""),"",IF(4キー同時!AL276="","",SUBSTITUTE(SUBSTITUTE(4キー同時!AL276," ",""),"　","")))</f>
        <v/>
      </c>
      <c r="H4018" s="2" t="str">
        <f aca="false">IF($G4018="","",4キー同時!$B$266)</f>
        <v/>
      </c>
      <c r="I4018" s="2" t="str">
        <f aca="false">IF($G4018="","",4キー同時!$G$266)</f>
        <v/>
      </c>
      <c r="J4018" s="2" t="str">
        <f aca="false">IF($G4018="","",4キー同時!$L$266)</f>
        <v/>
      </c>
      <c r="K4018" s="2" t="str">
        <f aca="false">IF($G4018="","","henkan")</f>
        <v/>
      </c>
      <c r="L4018" s="2" t="str">
        <f aca="false">IF($G4018="","","同時")</f>
        <v/>
      </c>
      <c r="M4018" s="2" t="str">
        <f aca="false">IF($G4018="","",IF(ISNA(MATCH($G4018,個別指定!$A:$A,0)),"行なし",""))</f>
        <v/>
      </c>
      <c r="N4018" s="2" t="str">
        <f aca="false">IF($G4018="","",IF(COUNTIF($G$2:$G$4460,$G4018)&gt;1,"重複",""))</f>
        <v/>
      </c>
    </row>
    <row r="4019" customFormat="false" ht="16.5" hidden="false" customHeight="true" outlineLevel="0" collapsed="false">
      <c r="A4019" s="2" t="s">
        <v>447</v>
      </c>
      <c r="B4019" s="2" t="s">
        <v>468</v>
      </c>
      <c r="C4019" s="2" t="s">
        <v>46</v>
      </c>
      <c r="D4019" s="2" t="str">
        <f aca="false">IF(4キー同時!$B$266="","",4キー同時!$B$266)</f>
        <v/>
      </c>
      <c r="E4019" s="2" t="str">
        <f aca="false">IF(4キー同時!$G$266="","",4キー同時!$G$266)</f>
        <v/>
      </c>
      <c r="F4019" s="2" t="str">
        <f aca="false">IF(4キー同時!$L$266="","",4キー同時!$L$266)</f>
        <v/>
      </c>
      <c r="G4019" s="2" t="str">
        <f aca="false">IF(OR(4キー同時!$B$266="",4キー同時!$G$266="",4キー同時!$L$266=""),"",IF(4キー同時!AP276="","",SUBSTITUTE(SUBSTITUTE(4キー同時!AP276," ",""),"　","")))</f>
        <v/>
      </c>
      <c r="H4019" s="2" t="str">
        <f aca="false">IF($G4019="","",4キー同時!$B$266)</f>
        <v/>
      </c>
      <c r="I4019" s="2" t="str">
        <f aca="false">IF($G4019="","",4キー同時!$G$266)</f>
        <v/>
      </c>
      <c r="J4019" s="2" t="str">
        <f aca="false">IF($G4019="","",4キー同時!$L$266)</f>
        <v/>
      </c>
      <c r="K4019" s="2" t="str">
        <f aca="false">IF($G4019="","","kana")</f>
        <v/>
      </c>
      <c r="L4019" s="2" t="str">
        <f aca="false">IF($G4019="","","同時")</f>
        <v/>
      </c>
      <c r="M4019" s="2" t="str">
        <f aca="false">IF($G4019="","",IF(ISNA(MATCH($G4019,個別指定!$A:$A,0)),"行なし",""))</f>
        <v/>
      </c>
      <c r="N4019" s="2" t="str">
        <f aca="false">IF($G4019="","",IF(COUNTIF($G$2:$G$4460,$G4019)&gt;1,"重複",""))</f>
        <v/>
      </c>
    </row>
    <row r="4020" customFormat="false" ht="16.5" hidden="false" customHeight="true" outlineLevel="0" collapsed="false">
      <c r="A4020" s="2" t="s">
        <v>447</v>
      </c>
      <c r="B4020" s="2" t="s">
        <v>469</v>
      </c>
      <c r="C4020" s="2" t="s">
        <v>0</v>
      </c>
      <c r="D4020" s="2" t="str">
        <f aca="false">IF(4キー同時!$B$279="","",4キー同時!$B$279)</f>
        <v/>
      </c>
      <c r="E4020" s="2" t="str">
        <f aca="false">IF(4キー同時!$G$279="","",4キー同時!$G$279)</f>
        <v/>
      </c>
      <c r="F4020" s="2" t="str">
        <f aca="false">IF(4キー同時!$L$279="","",4キー同時!$L$279)</f>
        <v/>
      </c>
      <c r="G4020" s="2" t="str">
        <f aca="false">IF(OR(4キー同時!$B$279="",4キー同時!$G$279="",4キー同時!$L$279=""),"",IF(4キー同時!F281="","",SUBSTITUTE(SUBSTITUTE(4キー同時!F281," ",""),"　","")))</f>
        <v/>
      </c>
      <c r="H4020" s="2" t="str">
        <f aca="false">IF($G4020="","",4キー同時!$B$279)</f>
        <v/>
      </c>
      <c r="I4020" s="2" t="str">
        <f aca="false">IF($G4020="","",4キー同時!$G$279)</f>
        <v/>
      </c>
      <c r="J4020" s="2" t="str">
        <f aca="false">IF($G4020="","",4キー同時!$L$279)</f>
        <v/>
      </c>
      <c r="K4020" s="2" t="str">
        <f aca="false">IF($G4020="","","1")</f>
        <v/>
      </c>
      <c r="L4020" s="2" t="str">
        <f aca="false">IF($G4020="","","同時")</f>
        <v/>
      </c>
      <c r="M4020" s="2" t="str">
        <f aca="false">IF($G4020="","",IF(ISNA(MATCH($G4020,個別指定!$A:$A,0)),"行なし",""))</f>
        <v/>
      </c>
      <c r="N4020" s="2" t="str">
        <f aca="false">IF($G4020="","",IF(COUNTIF($G$2:$G$4460,$G4020)&gt;1,"重複",""))</f>
        <v/>
      </c>
    </row>
    <row r="4021" customFormat="false" ht="16.5" hidden="false" customHeight="true" outlineLevel="0" collapsed="false">
      <c r="A4021" s="2" t="s">
        <v>447</v>
      </c>
      <c r="B4021" s="2" t="s">
        <v>469</v>
      </c>
      <c r="C4021" s="2" t="s">
        <v>1</v>
      </c>
      <c r="D4021" s="2" t="str">
        <f aca="false">IF(4キー同時!$B$279="","",4キー同時!$B$279)</f>
        <v/>
      </c>
      <c r="E4021" s="2" t="str">
        <f aca="false">IF(4キー同時!$G$279="","",4キー同時!$G$279)</f>
        <v/>
      </c>
      <c r="F4021" s="2" t="str">
        <f aca="false">IF(4キー同時!$L$279="","",4キー同時!$L$279)</f>
        <v/>
      </c>
      <c r="G4021" s="2" t="str">
        <f aca="false">IF(OR(4キー同時!$B$279="",4キー同時!$G$279="",4キー同時!$L$279=""),"",IF(4キー同時!J281="","",SUBSTITUTE(SUBSTITUTE(4キー同時!J281," ",""),"　","")))</f>
        <v/>
      </c>
      <c r="H4021" s="2" t="str">
        <f aca="false">IF($G4021="","",4キー同時!$B$279)</f>
        <v/>
      </c>
      <c r="I4021" s="2" t="str">
        <f aca="false">IF($G4021="","",4キー同時!$G$279)</f>
        <v/>
      </c>
      <c r="J4021" s="2" t="str">
        <f aca="false">IF($G4021="","",4キー同時!$L$279)</f>
        <v/>
      </c>
      <c r="K4021" s="2" t="str">
        <f aca="false">IF($G4021="","","2")</f>
        <v/>
      </c>
      <c r="L4021" s="2" t="str">
        <f aca="false">IF($G4021="","","同時")</f>
        <v/>
      </c>
      <c r="M4021" s="2" t="str">
        <f aca="false">IF($G4021="","",IF(ISNA(MATCH($G4021,個別指定!$A:$A,0)),"行なし",""))</f>
        <v/>
      </c>
      <c r="N4021" s="2" t="str">
        <f aca="false">IF($G4021="","",IF(COUNTIF($G$2:$G$4460,$G4021)&gt;1,"重複",""))</f>
        <v/>
      </c>
    </row>
    <row r="4022" customFormat="false" ht="16.5" hidden="false" customHeight="true" outlineLevel="0" collapsed="false">
      <c r="A4022" s="2" t="s">
        <v>447</v>
      </c>
      <c r="B4022" s="2" t="s">
        <v>469</v>
      </c>
      <c r="C4022" s="2" t="s">
        <v>2</v>
      </c>
      <c r="D4022" s="2" t="str">
        <f aca="false">IF(4キー同時!$B$279="","",4キー同時!$B$279)</f>
        <v/>
      </c>
      <c r="E4022" s="2" t="str">
        <f aca="false">IF(4キー同時!$G$279="","",4キー同時!$G$279)</f>
        <v/>
      </c>
      <c r="F4022" s="2" t="str">
        <f aca="false">IF(4キー同時!$L$279="","",4キー同時!$L$279)</f>
        <v/>
      </c>
      <c r="G4022" s="2" t="str">
        <f aca="false">IF(OR(4キー同時!$B$279="",4キー同時!$G$279="",4キー同時!$L$279=""),"",IF(4キー同時!N281="","",SUBSTITUTE(SUBSTITUTE(4キー同時!N281," ",""),"　","")))</f>
        <v/>
      </c>
      <c r="H4022" s="2" t="str">
        <f aca="false">IF($G4022="","",4キー同時!$B$279)</f>
        <v/>
      </c>
      <c r="I4022" s="2" t="str">
        <f aca="false">IF($G4022="","",4キー同時!$G$279)</f>
        <v/>
      </c>
      <c r="J4022" s="2" t="str">
        <f aca="false">IF($G4022="","",4キー同時!$L$279)</f>
        <v/>
      </c>
      <c r="K4022" s="2" t="str">
        <f aca="false">IF($G4022="","","3")</f>
        <v/>
      </c>
      <c r="L4022" s="2" t="str">
        <f aca="false">IF($G4022="","","同時")</f>
        <v/>
      </c>
      <c r="M4022" s="2" t="str">
        <f aca="false">IF($G4022="","",IF(ISNA(MATCH($G4022,個別指定!$A:$A,0)),"行なし",""))</f>
        <v/>
      </c>
      <c r="N4022" s="2" t="str">
        <f aca="false">IF($G4022="","",IF(COUNTIF($G$2:$G$4460,$G4022)&gt;1,"重複",""))</f>
        <v/>
      </c>
    </row>
    <row r="4023" customFormat="false" ht="16.5" hidden="false" customHeight="true" outlineLevel="0" collapsed="false">
      <c r="A4023" s="2" t="s">
        <v>447</v>
      </c>
      <c r="B4023" s="2" t="s">
        <v>469</v>
      </c>
      <c r="C4023" s="2" t="s">
        <v>3</v>
      </c>
      <c r="D4023" s="2" t="str">
        <f aca="false">IF(4キー同時!$B$279="","",4キー同時!$B$279)</f>
        <v/>
      </c>
      <c r="E4023" s="2" t="str">
        <f aca="false">IF(4キー同時!$G$279="","",4キー同時!$G$279)</f>
        <v/>
      </c>
      <c r="F4023" s="2" t="str">
        <f aca="false">IF(4キー同時!$L$279="","",4キー同時!$L$279)</f>
        <v/>
      </c>
      <c r="G4023" s="2" t="str">
        <f aca="false">IF(OR(4キー同時!$B$279="",4キー同時!$G$279="",4キー同時!$L$279=""),"",IF(4キー同時!R281="","",SUBSTITUTE(SUBSTITUTE(4キー同時!R281," ",""),"　","")))</f>
        <v/>
      </c>
      <c r="H4023" s="2" t="str">
        <f aca="false">IF($G4023="","",4キー同時!$B$279)</f>
        <v/>
      </c>
      <c r="I4023" s="2" t="str">
        <f aca="false">IF($G4023="","",4キー同時!$G$279)</f>
        <v/>
      </c>
      <c r="J4023" s="2" t="str">
        <f aca="false">IF($G4023="","",4キー同時!$L$279)</f>
        <v/>
      </c>
      <c r="K4023" s="2" t="str">
        <f aca="false">IF($G4023="","","4")</f>
        <v/>
      </c>
      <c r="L4023" s="2" t="str">
        <f aca="false">IF($G4023="","","同時")</f>
        <v/>
      </c>
      <c r="M4023" s="2" t="str">
        <f aca="false">IF($G4023="","",IF(ISNA(MATCH($G4023,個別指定!$A:$A,0)),"行なし",""))</f>
        <v/>
      </c>
      <c r="N4023" s="2" t="str">
        <f aca="false">IF($G4023="","",IF(COUNTIF($G$2:$G$4460,$G4023)&gt;1,"重複",""))</f>
        <v/>
      </c>
    </row>
    <row r="4024" customFormat="false" ht="16.5" hidden="false" customHeight="true" outlineLevel="0" collapsed="false">
      <c r="A4024" s="2" t="s">
        <v>447</v>
      </c>
      <c r="B4024" s="2" t="s">
        <v>469</v>
      </c>
      <c r="C4024" s="2" t="s">
        <v>4</v>
      </c>
      <c r="D4024" s="2" t="str">
        <f aca="false">IF(4キー同時!$B$279="","",4キー同時!$B$279)</f>
        <v/>
      </c>
      <c r="E4024" s="2" t="str">
        <f aca="false">IF(4キー同時!$G$279="","",4キー同時!$G$279)</f>
        <v/>
      </c>
      <c r="F4024" s="2" t="str">
        <f aca="false">IF(4キー同時!$L$279="","",4キー同時!$L$279)</f>
        <v/>
      </c>
      <c r="G4024" s="2" t="str">
        <f aca="false">IF(OR(4キー同時!$B$279="",4キー同時!$G$279="",4キー同時!$L$279=""),"",IF(4キー同時!V281="","",SUBSTITUTE(SUBSTITUTE(4キー同時!V281," ",""),"　","")))</f>
        <v/>
      </c>
      <c r="H4024" s="2" t="str">
        <f aca="false">IF($G4024="","",4キー同時!$B$279)</f>
        <v/>
      </c>
      <c r="I4024" s="2" t="str">
        <f aca="false">IF($G4024="","",4キー同時!$G$279)</f>
        <v/>
      </c>
      <c r="J4024" s="2" t="str">
        <f aca="false">IF($G4024="","",4キー同時!$L$279)</f>
        <v/>
      </c>
      <c r="K4024" s="2" t="str">
        <f aca="false">IF($G4024="","","5")</f>
        <v/>
      </c>
      <c r="L4024" s="2" t="str">
        <f aca="false">IF($G4024="","","同時")</f>
        <v/>
      </c>
      <c r="M4024" s="2" t="str">
        <f aca="false">IF($G4024="","",IF(ISNA(MATCH($G4024,個別指定!$A:$A,0)),"行なし",""))</f>
        <v/>
      </c>
      <c r="N4024" s="2" t="str">
        <f aca="false">IF($G4024="","",IF(COUNTIF($G$2:$G$4460,$G4024)&gt;1,"重複",""))</f>
        <v/>
      </c>
    </row>
    <row r="4025" customFormat="false" ht="16.5" hidden="false" customHeight="true" outlineLevel="0" collapsed="false">
      <c r="A4025" s="2" t="s">
        <v>447</v>
      </c>
      <c r="B4025" s="2" t="s">
        <v>469</v>
      </c>
      <c r="C4025" s="2" t="s">
        <v>5</v>
      </c>
      <c r="D4025" s="2" t="str">
        <f aca="false">IF(4キー同時!$B$279="","",4キー同時!$B$279)</f>
        <v/>
      </c>
      <c r="E4025" s="2" t="str">
        <f aca="false">IF(4キー同時!$G$279="","",4キー同時!$G$279)</f>
        <v/>
      </c>
      <c r="F4025" s="2" t="str">
        <f aca="false">IF(4キー同時!$L$279="","",4キー同時!$L$279)</f>
        <v/>
      </c>
      <c r="G4025" s="2" t="str">
        <f aca="false">IF(OR(4キー同時!$B$279="",4キー同時!$G$279="",4キー同時!$L$279=""),"",IF(4キー同時!Z281="","",SUBSTITUTE(SUBSTITUTE(4キー同時!Z281," ",""),"　","")))</f>
        <v/>
      </c>
      <c r="H4025" s="2" t="str">
        <f aca="false">IF($G4025="","",4キー同時!$B$279)</f>
        <v/>
      </c>
      <c r="I4025" s="2" t="str">
        <f aca="false">IF($G4025="","",4キー同時!$G$279)</f>
        <v/>
      </c>
      <c r="J4025" s="2" t="str">
        <f aca="false">IF($G4025="","",4キー同時!$L$279)</f>
        <v/>
      </c>
      <c r="K4025" s="2" t="str">
        <f aca="false">IF($G4025="","","6")</f>
        <v/>
      </c>
      <c r="L4025" s="2" t="str">
        <f aca="false">IF($G4025="","","同時")</f>
        <v/>
      </c>
      <c r="M4025" s="2" t="str">
        <f aca="false">IF($G4025="","",IF(ISNA(MATCH($G4025,個別指定!$A:$A,0)),"行なし",""))</f>
        <v/>
      </c>
      <c r="N4025" s="2" t="str">
        <f aca="false">IF($G4025="","",IF(COUNTIF($G$2:$G$4460,$G4025)&gt;1,"重複",""))</f>
        <v/>
      </c>
    </row>
    <row r="4026" customFormat="false" ht="16.5" hidden="false" customHeight="true" outlineLevel="0" collapsed="false">
      <c r="A4026" s="2" t="s">
        <v>447</v>
      </c>
      <c r="B4026" s="2" t="s">
        <v>469</v>
      </c>
      <c r="C4026" s="2" t="s">
        <v>6</v>
      </c>
      <c r="D4026" s="2" t="str">
        <f aca="false">IF(4キー同時!$B$279="","",4キー同時!$B$279)</f>
        <v/>
      </c>
      <c r="E4026" s="2" t="str">
        <f aca="false">IF(4キー同時!$G$279="","",4キー同時!$G$279)</f>
        <v/>
      </c>
      <c r="F4026" s="2" t="str">
        <f aca="false">IF(4キー同時!$L$279="","",4キー同時!$L$279)</f>
        <v/>
      </c>
      <c r="G4026" s="2" t="str">
        <f aca="false">IF(OR(4キー同時!$B$279="",4キー同時!$G$279="",4キー同時!$L$279=""),"",IF(4キー同時!AD281="","",SUBSTITUTE(SUBSTITUTE(4キー同時!AD281," ",""),"　","")))</f>
        <v/>
      </c>
      <c r="H4026" s="2" t="str">
        <f aca="false">IF($G4026="","",4キー同時!$B$279)</f>
        <v/>
      </c>
      <c r="I4026" s="2" t="str">
        <f aca="false">IF($G4026="","",4キー同時!$G$279)</f>
        <v/>
      </c>
      <c r="J4026" s="2" t="str">
        <f aca="false">IF($G4026="","",4キー同時!$L$279)</f>
        <v/>
      </c>
      <c r="K4026" s="2" t="str">
        <f aca="false">IF($G4026="","","7")</f>
        <v/>
      </c>
      <c r="L4026" s="2" t="str">
        <f aca="false">IF($G4026="","","同時")</f>
        <v/>
      </c>
      <c r="M4026" s="2" t="str">
        <f aca="false">IF($G4026="","",IF(ISNA(MATCH($G4026,個別指定!$A:$A,0)),"行なし",""))</f>
        <v/>
      </c>
      <c r="N4026" s="2" t="str">
        <f aca="false">IF($G4026="","",IF(COUNTIF($G$2:$G$4460,$G4026)&gt;1,"重複",""))</f>
        <v/>
      </c>
    </row>
    <row r="4027" customFormat="false" ht="16.5" hidden="false" customHeight="true" outlineLevel="0" collapsed="false">
      <c r="A4027" s="2" t="s">
        <v>447</v>
      </c>
      <c r="B4027" s="2" t="s">
        <v>469</v>
      </c>
      <c r="C4027" s="2" t="s">
        <v>7</v>
      </c>
      <c r="D4027" s="2" t="str">
        <f aca="false">IF(4キー同時!$B$279="","",4キー同時!$B$279)</f>
        <v/>
      </c>
      <c r="E4027" s="2" t="str">
        <f aca="false">IF(4キー同時!$G$279="","",4キー同時!$G$279)</f>
        <v/>
      </c>
      <c r="F4027" s="2" t="str">
        <f aca="false">IF(4キー同時!$L$279="","",4キー同時!$L$279)</f>
        <v/>
      </c>
      <c r="G4027" s="2" t="str">
        <f aca="false">IF(OR(4キー同時!$B$279="",4キー同時!$G$279="",4キー同時!$L$279=""),"",IF(4キー同時!AH281="","",SUBSTITUTE(SUBSTITUTE(4キー同時!AH281," ",""),"　","")))</f>
        <v/>
      </c>
      <c r="H4027" s="2" t="str">
        <f aca="false">IF($G4027="","",4キー同時!$B$279)</f>
        <v/>
      </c>
      <c r="I4027" s="2" t="str">
        <f aca="false">IF($G4027="","",4キー同時!$G$279)</f>
        <v/>
      </c>
      <c r="J4027" s="2" t="str">
        <f aca="false">IF($G4027="","",4キー同時!$L$279)</f>
        <v/>
      </c>
      <c r="K4027" s="2" t="str">
        <f aca="false">IF($G4027="","","8")</f>
        <v/>
      </c>
      <c r="L4027" s="2" t="str">
        <f aca="false">IF($G4027="","","同時")</f>
        <v/>
      </c>
      <c r="M4027" s="2" t="str">
        <f aca="false">IF($G4027="","",IF(ISNA(MATCH($G4027,個別指定!$A:$A,0)),"行なし",""))</f>
        <v/>
      </c>
      <c r="N4027" s="2" t="str">
        <f aca="false">IF($G4027="","",IF(COUNTIF($G$2:$G$4460,$G4027)&gt;1,"重複",""))</f>
        <v/>
      </c>
    </row>
    <row r="4028" customFormat="false" ht="16.5" hidden="false" customHeight="true" outlineLevel="0" collapsed="false">
      <c r="A4028" s="2" t="s">
        <v>447</v>
      </c>
      <c r="B4028" s="2" t="s">
        <v>469</v>
      </c>
      <c r="C4028" s="2" t="s">
        <v>8</v>
      </c>
      <c r="D4028" s="2" t="str">
        <f aca="false">IF(4キー同時!$B$279="","",4キー同時!$B$279)</f>
        <v/>
      </c>
      <c r="E4028" s="2" t="str">
        <f aca="false">IF(4キー同時!$G$279="","",4キー同時!$G$279)</f>
        <v/>
      </c>
      <c r="F4028" s="2" t="str">
        <f aca="false">IF(4キー同時!$L$279="","",4キー同時!$L$279)</f>
        <v/>
      </c>
      <c r="G4028" s="2" t="str">
        <f aca="false">IF(OR(4キー同時!$B$279="",4キー同時!$G$279="",4キー同時!$L$279=""),"",IF(4キー同時!AL281="","",SUBSTITUTE(SUBSTITUTE(4キー同時!AL281," ",""),"　","")))</f>
        <v/>
      </c>
      <c r="H4028" s="2" t="str">
        <f aca="false">IF($G4028="","",4キー同時!$B$279)</f>
        <v/>
      </c>
      <c r="I4028" s="2" t="str">
        <f aca="false">IF($G4028="","",4キー同時!$G$279)</f>
        <v/>
      </c>
      <c r="J4028" s="2" t="str">
        <f aca="false">IF($G4028="","",4キー同時!$L$279)</f>
        <v/>
      </c>
      <c r="K4028" s="2" t="str">
        <f aca="false">IF($G4028="","","9")</f>
        <v/>
      </c>
      <c r="L4028" s="2" t="str">
        <f aca="false">IF($G4028="","","同時")</f>
        <v/>
      </c>
      <c r="M4028" s="2" t="str">
        <f aca="false">IF($G4028="","",IF(ISNA(MATCH($G4028,個別指定!$A:$A,0)),"行なし",""))</f>
        <v/>
      </c>
      <c r="N4028" s="2" t="str">
        <f aca="false">IF($G4028="","",IF(COUNTIF($G$2:$G$4460,$G4028)&gt;1,"重複",""))</f>
        <v/>
      </c>
    </row>
    <row r="4029" customFormat="false" ht="16.5" hidden="false" customHeight="true" outlineLevel="0" collapsed="false">
      <c r="A4029" s="2" t="s">
        <v>447</v>
      </c>
      <c r="B4029" s="2" t="s">
        <v>469</v>
      </c>
      <c r="C4029" s="2" t="s">
        <v>9</v>
      </c>
      <c r="D4029" s="2" t="str">
        <f aca="false">IF(4キー同時!$B$279="","",4キー同時!$B$279)</f>
        <v/>
      </c>
      <c r="E4029" s="2" t="str">
        <f aca="false">IF(4キー同時!$G$279="","",4キー同時!$G$279)</f>
        <v/>
      </c>
      <c r="F4029" s="2" t="str">
        <f aca="false">IF(4キー同時!$L$279="","",4キー同時!$L$279)</f>
        <v/>
      </c>
      <c r="G4029" s="2" t="str">
        <f aca="false">IF(OR(4キー同時!$B$279="",4キー同時!$G$279="",4キー同時!$L$279=""),"",IF(4キー同時!AP281="","",SUBSTITUTE(SUBSTITUTE(4キー同時!AP281," ",""),"　","")))</f>
        <v/>
      </c>
      <c r="H4029" s="2" t="str">
        <f aca="false">IF($G4029="","",4キー同時!$B$279)</f>
        <v/>
      </c>
      <c r="I4029" s="2" t="str">
        <f aca="false">IF($G4029="","",4キー同時!$G$279)</f>
        <v/>
      </c>
      <c r="J4029" s="2" t="str">
        <f aca="false">IF($G4029="","",4キー同時!$L$279)</f>
        <v/>
      </c>
      <c r="K4029" s="2" t="str">
        <f aca="false">IF($G4029="","","0")</f>
        <v/>
      </c>
      <c r="L4029" s="2" t="str">
        <f aca="false">IF($G4029="","","同時")</f>
        <v/>
      </c>
      <c r="M4029" s="2" t="str">
        <f aca="false">IF($G4029="","",IF(ISNA(MATCH($G4029,個別指定!$A:$A,0)),"行なし",""))</f>
        <v/>
      </c>
      <c r="N4029" s="2" t="str">
        <f aca="false">IF($G4029="","",IF(COUNTIF($G$2:$G$4460,$G4029)&gt;1,"重複",""))</f>
        <v/>
      </c>
    </row>
    <row r="4030" customFormat="false" ht="16.5" hidden="false" customHeight="true" outlineLevel="0" collapsed="false">
      <c r="A4030" s="2" t="s">
        <v>447</v>
      </c>
      <c r="B4030" s="2" t="s">
        <v>469</v>
      </c>
      <c r="C4030" s="2" t="s">
        <v>10</v>
      </c>
      <c r="D4030" s="2" t="str">
        <f aca="false">IF(4キー同時!$B$279="","",4キー同時!$B$279)</f>
        <v/>
      </c>
      <c r="E4030" s="2" t="str">
        <f aca="false">IF(4キー同時!$G$279="","",4キー同時!$G$279)</f>
        <v/>
      </c>
      <c r="F4030" s="2" t="str">
        <f aca="false">IF(4キー同時!$L$279="","",4キー同時!$L$279)</f>
        <v/>
      </c>
      <c r="G4030" s="2" t="str">
        <f aca="false">IF(OR(4キー同時!$B$279="",4キー同時!$G$279="",4キー同時!$L$279=""),"",IF(4キー同時!AT281="","",SUBSTITUTE(SUBSTITUTE(4キー同時!AT281," ",""),"　","")))</f>
        <v/>
      </c>
      <c r="H4030" s="2" t="str">
        <f aca="false">IF($G4030="","",4キー同時!$B$279)</f>
        <v/>
      </c>
      <c r="I4030" s="2" t="str">
        <f aca="false">IF($G4030="","",4キー同時!$G$279)</f>
        <v/>
      </c>
      <c r="J4030" s="2" t="str">
        <f aca="false">IF($G4030="","",4キー同時!$L$279)</f>
        <v/>
      </c>
      <c r="K4030" s="2" t="str">
        <f aca="false">IF($G4030="","","-")</f>
        <v/>
      </c>
      <c r="L4030" s="2" t="str">
        <f aca="false">IF($G4030="","","同時")</f>
        <v/>
      </c>
      <c r="M4030" s="2" t="str">
        <f aca="false">IF($G4030="","",IF(ISNA(MATCH($G4030,個別指定!$A:$A,0)),"行なし",""))</f>
        <v/>
      </c>
      <c r="N4030" s="2" t="str">
        <f aca="false">IF($G4030="","",IF(COUNTIF($G$2:$G$4460,$G4030)&gt;1,"重複",""))</f>
        <v/>
      </c>
    </row>
    <row r="4031" customFormat="false" ht="16.5" hidden="false" customHeight="true" outlineLevel="0" collapsed="false">
      <c r="A4031" s="2" t="s">
        <v>447</v>
      </c>
      <c r="B4031" s="2" t="s">
        <v>469</v>
      </c>
      <c r="C4031" s="2" t="s">
        <v>11</v>
      </c>
      <c r="D4031" s="2" t="str">
        <f aca="false">IF(4キー同時!$B$279="","",4キー同時!$B$279)</f>
        <v/>
      </c>
      <c r="E4031" s="2" t="str">
        <f aca="false">IF(4キー同時!$G$279="","",4キー同時!$G$279)</f>
        <v/>
      </c>
      <c r="F4031" s="2" t="str">
        <f aca="false">IF(4キー同時!$L$279="","",4キー同時!$L$279)</f>
        <v/>
      </c>
      <c r="G4031" s="2" t="str">
        <f aca="false">IF(OR(4キー同時!$B$279="",4キー同時!$G$279="",4キー同時!$L$279=""),"",IF(4キー同時!AX281="","",SUBSTITUTE(SUBSTITUTE(4キー同時!AX281," ",""),"　","")))</f>
        <v/>
      </c>
      <c r="H4031" s="2" t="str">
        <f aca="false">IF($G4031="","",4キー同時!$B$279)</f>
        <v/>
      </c>
      <c r="I4031" s="2" t="str">
        <f aca="false">IF($G4031="","",4キー同時!$G$279)</f>
        <v/>
      </c>
      <c r="J4031" s="2" t="str">
        <f aca="false">IF($G4031="","",4キー同時!$L$279)</f>
        <v/>
      </c>
      <c r="K4031" s="2" t="str">
        <f aca="false">IF($G4031="","","=")</f>
        <v/>
      </c>
      <c r="L4031" s="2" t="str">
        <f aca="false">IF($G4031="","","同時")</f>
        <v/>
      </c>
      <c r="M4031" s="2" t="str">
        <f aca="false">IF($G4031="","",IF(ISNA(MATCH($G4031,個別指定!$A:$A,0)),"行なし",""))</f>
        <v/>
      </c>
      <c r="N4031" s="2" t="str">
        <f aca="false">IF($G4031="","",IF(COUNTIF($G$2:$G$4460,$G4031)&gt;1,"重複",""))</f>
        <v/>
      </c>
    </row>
    <row r="4032" customFormat="false" ht="16.5" hidden="false" customHeight="true" outlineLevel="0" collapsed="false">
      <c r="A4032" s="2" t="s">
        <v>447</v>
      </c>
      <c r="B4032" s="2" t="s">
        <v>469</v>
      </c>
      <c r="C4032" s="2" t="s">
        <v>12</v>
      </c>
      <c r="D4032" s="2" t="str">
        <f aca="false">IF(4キー同時!$B$279="","",4キー同時!$B$279)</f>
        <v/>
      </c>
      <c r="E4032" s="2" t="str">
        <f aca="false">IF(4キー同時!$G$279="","",4キー同時!$G$279)</f>
        <v/>
      </c>
      <c r="F4032" s="2" t="str">
        <f aca="false">IF(4キー同時!$L$279="","",4キー同時!$L$279)</f>
        <v/>
      </c>
      <c r="G4032" s="2" t="str">
        <f aca="false">IF(OR(4キー同時!$B$279="",4キー同時!$G$279="",4キー同時!$L$279=""),"",IF(4キー同時!H283="","",SUBSTITUTE(SUBSTITUTE(4キー同時!H283," ",""),"　","")))</f>
        <v/>
      </c>
      <c r="H4032" s="2" t="str">
        <f aca="false">IF($G4032="","",4キー同時!$B$279)</f>
        <v/>
      </c>
      <c r="I4032" s="2" t="str">
        <f aca="false">IF($G4032="","",4キー同時!$G$279)</f>
        <v/>
      </c>
      <c r="J4032" s="2" t="str">
        <f aca="false">IF($G4032="","",4キー同時!$L$279)</f>
        <v/>
      </c>
      <c r="K4032" s="2" t="str">
        <f aca="false">IF($G4032="","","q")</f>
        <v/>
      </c>
      <c r="L4032" s="2" t="str">
        <f aca="false">IF($G4032="","","同時")</f>
        <v/>
      </c>
      <c r="M4032" s="2" t="str">
        <f aca="false">IF($G4032="","",IF(ISNA(MATCH($G4032,個別指定!$A:$A,0)),"行なし",""))</f>
        <v/>
      </c>
      <c r="N4032" s="2" t="str">
        <f aca="false">IF($G4032="","",IF(COUNTIF($G$2:$G$4460,$G4032)&gt;1,"重複",""))</f>
        <v/>
      </c>
    </row>
    <row r="4033" customFormat="false" ht="16.5" hidden="false" customHeight="true" outlineLevel="0" collapsed="false">
      <c r="A4033" s="2" t="s">
        <v>447</v>
      </c>
      <c r="B4033" s="2" t="s">
        <v>469</v>
      </c>
      <c r="C4033" s="2" t="s">
        <v>13</v>
      </c>
      <c r="D4033" s="2" t="str">
        <f aca="false">IF(4キー同時!$B$279="","",4キー同時!$B$279)</f>
        <v/>
      </c>
      <c r="E4033" s="2" t="str">
        <f aca="false">IF(4キー同時!$G$279="","",4キー同時!$G$279)</f>
        <v/>
      </c>
      <c r="F4033" s="2" t="str">
        <f aca="false">IF(4キー同時!$L$279="","",4キー同時!$L$279)</f>
        <v/>
      </c>
      <c r="G4033" s="2" t="str">
        <f aca="false">IF(OR(4キー同時!$B$279="",4キー同時!$G$279="",4キー同時!$L$279=""),"",IF(4キー同時!L283="","",SUBSTITUTE(SUBSTITUTE(4キー同時!L283," ",""),"　","")))</f>
        <v/>
      </c>
      <c r="H4033" s="2" t="str">
        <f aca="false">IF($G4033="","",4キー同時!$B$279)</f>
        <v/>
      </c>
      <c r="I4033" s="2" t="str">
        <f aca="false">IF($G4033="","",4キー同時!$G$279)</f>
        <v/>
      </c>
      <c r="J4033" s="2" t="str">
        <f aca="false">IF($G4033="","",4キー同時!$L$279)</f>
        <v/>
      </c>
      <c r="K4033" s="2" t="str">
        <f aca="false">IF($G4033="","","w")</f>
        <v/>
      </c>
      <c r="L4033" s="2" t="str">
        <f aca="false">IF($G4033="","","同時")</f>
        <v/>
      </c>
      <c r="M4033" s="2" t="str">
        <f aca="false">IF($G4033="","",IF(ISNA(MATCH($G4033,個別指定!$A:$A,0)),"行なし",""))</f>
        <v/>
      </c>
      <c r="N4033" s="2" t="str">
        <f aca="false">IF($G4033="","",IF(COUNTIF($G$2:$G$4460,$G4033)&gt;1,"重複",""))</f>
        <v/>
      </c>
    </row>
    <row r="4034" customFormat="false" ht="16.5" hidden="false" customHeight="true" outlineLevel="0" collapsed="false">
      <c r="A4034" s="2" t="s">
        <v>447</v>
      </c>
      <c r="B4034" s="2" t="s">
        <v>469</v>
      </c>
      <c r="C4034" s="2" t="s">
        <v>14</v>
      </c>
      <c r="D4034" s="2" t="str">
        <f aca="false">IF(4キー同時!$B$279="","",4キー同時!$B$279)</f>
        <v/>
      </c>
      <c r="E4034" s="2" t="str">
        <f aca="false">IF(4キー同時!$G$279="","",4キー同時!$G$279)</f>
        <v/>
      </c>
      <c r="F4034" s="2" t="str">
        <f aca="false">IF(4キー同時!$L$279="","",4キー同時!$L$279)</f>
        <v/>
      </c>
      <c r="G4034" s="2" t="str">
        <f aca="false">IF(OR(4キー同時!$B$279="",4キー同時!$G$279="",4キー同時!$L$279=""),"",IF(4キー同時!P283="","",SUBSTITUTE(SUBSTITUTE(4キー同時!P283," ",""),"　","")))</f>
        <v/>
      </c>
      <c r="H4034" s="2" t="str">
        <f aca="false">IF($G4034="","",4キー同時!$B$279)</f>
        <v/>
      </c>
      <c r="I4034" s="2" t="str">
        <f aca="false">IF($G4034="","",4キー同時!$G$279)</f>
        <v/>
      </c>
      <c r="J4034" s="2" t="str">
        <f aca="false">IF($G4034="","",4キー同時!$L$279)</f>
        <v/>
      </c>
      <c r="K4034" s="2" t="str">
        <f aca="false">IF($G4034="","","e")</f>
        <v/>
      </c>
      <c r="L4034" s="2" t="str">
        <f aca="false">IF($G4034="","","同時")</f>
        <v/>
      </c>
      <c r="M4034" s="2" t="str">
        <f aca="false">IF($G4034="","",IF(ISNA(MATCH($G4034,個別指定!$A:$A,0)),"行なし",""))</f>
        <v/>
      </c>
      <c r="N4034" s="2" t="str">
        <f aca="false">IF($G4034="","",IF(COUNTIF($G$2:$G$4460,$G4034)&gt;1,"重複",""))</f>
        <v/>
      </c>
    </row>
    <row r="4035" customFormat="false" ht="16.5" hidden="false" customHeight="true" outlineLevel="0" collapsed="false">
      <c r="A4035" s="2" t="s">
        <v>447</v>
      </c>
      <c r="B4035" s="2" t="s">
        <v>469</v>
      </c>
      <c r="C4035" s="2" t="s">
        <v>15</v>
      </c>
      <c r="D4035" s="2" t="str">
        <f aca="false">IF(4キー同時!$B$279="","",4キー同時!$B$279)</f>
        <v/>
      </c>
      <c r="E4035" s="2" t="str">
        <f aca="false">IF(4キー同時!$G$279="","",4キー同時!$G$279)</f>
        <v/>
      </c>
      <c r="F4035" s="2" t="str">
        <f aca="false">IF(4キー同時!$L$279="","",4キー同時!$L$279)</f>
        <v/>
      </c>
      <c r="G4035" s="2" t="str">
        <f aca="false">IF(OR(4キー同時!$B$279="",4キー同時!$G$279="",4キー同時!$L$279=""),"",IF(4キー同時!T283="","",SUBSTITUTE(SUBSTITUTE(4キー同時!T283," ",""),"　","")))</f>
        <v/>
      </c>
      <c r="H4035" s="2" t="str">
        <f aca="false">IF($G4035="","",4キー同時!$B$279)</f>
        <v/>
      </c>
      <c r="I4035" s="2" t="str">
        <f aca="false">IF($G4035="","",4キー同時!$G$279)</f>
        <v/>
      </c>
      <c r="J4035" s="2" t="str">
        <f aca="false">IF($G4035="","",4キー同時!$L$279)</f>
        <v/>
      </c>
      <c r="K4035" s="2" t="str">
        <f aca="false">IF($G4035="","","r")</f>
        <v/>
      </c>
      <c r="L4035" s="2" t="str">
        <f aca="false">IF($G4035="","","同時")</f>
        <v/>
      </c>
      <c r="M4035" s="2" t="str">
        <f aca="false">IF($G4035="","",IF(ISNA(MATCH($G4035,個別指定!$A:$A,0)),"行なし",""))</f>
        <v/>
      </c>
      <c r="N4035" s="2" t="str">
        <f aca="false">IF($G4035="","",IF(COUNTIF($G$2:$G$4460,$G4035)&gt;1,"重複",""))</f>
        <v/>
      </c>
    </row>
    <row r="4036" customFormat="false" ht="16.5" hidden="false" customHeight="true" outlineLevel="0" collapsed="false">
      <c r="A4036" s="2" t="s">
        <v>447</v>
      </c>
      <c r="B4036" s="2" t="s">
        <v>469</v>
      </c>
      <c r="C4036" s="2" t="s">
        <v>16</v>
      </c>
      <c r="D4036" s="2" t="str">
        <f aca="false">IF(4キー同時!$B$279="","",4キー同時!$B$279)</f>
        <v/>
      </c>
      <c r="E4036" s="2" t="str">
        <f aca="false">IF(4キー同時!$G$279="","",4キー同時!$G$279)</f>
        <v/>
      </c>
      <c r="F4036" s="2" t="str">
        <f aca="false">IF(4キー同時!$L$279="","",4キー同時!$L$279)</f>
        <v/>
      </c>
      <c r="G4036" s="2" t="str">
        <f aca="false">IF(OR(4キー同時!$B$279="",4キー同時!$G$279="",4キー同時!$L$279=""),"",IF(4キー同時!X283="","",SUBSTITUTE(SUBSTITUTE(4キー同時!X283," ",""),"　","")))</f>
        <v/>
      </c>
      <c r="H4036" s="2" t="str">
        <f aca="false">IF($G4036="","",4キー同時!$B$279)</f>
        <v/>
      </c>
      <c r="I4036" s="2" t="str">
        <f aca="false">IF($G4036="","",4キー同時!$G$279)</f>
        <v/>
      </c>
      <c r="J4036" s="2" t="str">
        <f aca="false">IF($G4036="","",4キー同時!$L$279)</f>
        <v/>
      </c>
      <c r="K4036" s="2" t="str">
        <f aca="false">IF($G4036="","","t")</f>
        <v/>
      </c>
      <c r="L4036" s="2" t="str">
        <f aca="false">IF($G4036="","","同時")</f>
        <v/>
      </c>
      <c r="M4036" s="2" t="str">
        <f aca="false">IF($G4036="","",IF(ISNA(MATCH($G4036,個別指定!$A:$A,0)),"行なし",""))</f>
        <v/>
      </c>
      <c r="N4036" s="2" t="str">
        <f aca="false">IF($G4036="","",IF(COUNTIF($G$2:$G$4460,$G4036)&gt;1,"重複",""))</f>
        <v/>
      </c>
    </row>
    <row r="4037" customFormat="false" ht="16.5" hidden="false" customHeight="true" outlineLevel="0" collapsed="false">
      <c r="A4037" s="2" t="s">
        <v>447</v>
      </c>
      <c r="B4037" s="2" t="s">
        <v>469</v>
      </c>
      <c r="C4037" s="2" t="s">
        <v>17</v>
      </c>
      <c r="D4037" s="2" t="str">
        <f aca="false">IF(4キー同時!$B$279="","",4キー同時!$B$279)</f>
        <v/>
      </c>
      <c r="E4037" s="2" t="str">
        <f aca="false">IF(4キー同時!$G$279="","",4キー同時!$G$279)</f>
        <v/>
      </c>
      <c r="F4037" s="2" t="str">
        <f aca="false">IF(4キー同時!$L$279="","",4キー同時!$L$279)</f>
        <v/>
      </c>
      <c r="G4037" s="2" t="str">
        <f aca="false">IF(OR(4キー同時!$B$279="",4キー同時!$G$279="",4キー同時!$L$279=""),"",IF(4キー同時!AB283="","",SUBSTITUTE(SUBSTITUTE(4キー同時!AB283," ",""),"　","")))</f>
        <v/>
      </c>
      <c r="H4037" s="2" t="str">
        <f aca="false">IF($G4037="","",4キー同時!$B$279)</f>
        <v/>
      </c>
      <c r="I4037" s="2" t="str">
        <f aca="false">IF($G4037="","",4キー同時!$G$279)</f>
        <v/>
      </c>
      <c r="J4037" s="2" t="str">
        <f aca="false">IF($G4037="","",4キー同時!$L$279)</f>
        <v/>
      </c>
      <c r="K4037" s="2" t="str">
        <f aca="false">IF($G4037="","","y")</f>
        <v/>
      </c>
      <c r="L4037" s="2" t="str">
        <f aca="false">IF($G4037="","","同時")</f>
        <v/>
      </c>
      <c r="M4037" s="2" t="str">
        <f aca="false">IF($G4037="","",IF(ISNA(MATCH($G4037,個別指定!$A:$A,0)),"行なし",""))</f>
        <v/>
      </c>
      <c r="N4037" s="2" t="str">
        <f aca="false">IF($G4037="","",IF(COUNTIF($G$2:$G$4460,$G4037)&gt;1,"重複",""))</f>
        <v/>
      </c>
    </row>
    <row r="4038" customFormat="false" ht="16.5" hidden="false" customHeight="true" outlineLevel="0" collapsed="false">
      <c r="A4038" s="2" t="s">
        <v>447</v>
      </c>
      <c r="B4038" s="2" t="s">
        <v>469</v>
      </c>
      <c r="C4038" s="2" t="s">
        <v>18</v>
      </c>
      <c r="D4038" s="2" t="str">
        <f aca="false">IF(4キー同時!$B$279="","",4キー同時!$B$279)</f>
        <v/>
      </c>
      <c r="E4038" s="2" t="str">
        <f aca="false">IF(4キー同時!$G$279="","",4キー同時!$G$279)</f>
        <v/>
      </c>
      <c r="F4038" s="2" t="str">
        <f aca="false">IF(4キー同時!$L$279="","",4キー同時!$L$279)</f>
        <v/>
      </c>
      <c r="G4038" s="2" t="str">
        <f aca="false">IF(OR(4キー同時!$B$279="",4キー同時!$G$279="",4キー同時!$L$279=""),"",IF(4キー同時!AF283="","",SUBSTITUTE(SUBSTITUTE(4キー同時!AF283," ",""),"　","")))</f>
        <v/>
      </c>
      <c r="H4038" s="2" t="str">
        <f aca="false">IF($G4038="","",4キー同時!$B$279)</f>
        <v/>
      </c>
      <c r="I4038" s="2" t="str">
        <f aca="false">IF($G4038="","",4キー同時!$G$279)</f>
        <v/>
      </c>
      <c r="J4038" s="2" t="str">
        <f aca="false">IF($G4038="","",4キー同時!$L$279)</f>
        <v/>
      </c>
      <c r="K4038" s="2" t="str">
        <f aca="false">IF($G4038="","","u")</f>
        <v/>
      </c>
      <c r="L4038" s="2" t="str">
        <f aca="false">IF($G4038="","","同時")</f>
        <v/>
      </c>
      <c r="M4038" s="2" t="str">
        <f aca="false">IF($G4038="","",IF(ISNA(MATCH($G4038,個別指定!$A:$A,0)),"行なし",""))</f>
        <v/>
      </c>
      <c r="N4038" s="2" t="str">
        <f aca="false">IF($G4038="","",IF(COUNTIF($G$2:$G$4460,$G4038)&gt;1,"重複",""))</f>
        <v/>
      </c>
    </row>
    <row r="4039" customFormat="false" ht="16.5" hidden="false" customHeight="true" outlineLevel="0" collapsed="false">
      <c r="A4039" s="2" t="s">
        <v>447</v>
      </c>
      <c r="B4039" s="2" t="s">
        <v>469</v>
      </c>
      <c r="C4039" s="2" t="s">
        <v>19</v>
      </c>
      <c r="D4039" s="2" t="str">
        <f aca="false">IF(4キー同時!$B$279="","",4キー同時!$B$279)</f>
        <v/>
      </c>
      <c r="E4039" s="2" t="str">
        <f aca="false">IF(4キー同時!$G$279="","",4キー同時!$G$279)</f>
        <v/>
      </c>
      <c r="F4039" s="2" t="str">
        <f aca="false">IF(4キー同時!$L$279="","",4キー同時!$L$279)</f>
        <v/>
      </c>
      <c r="G4039" s="2" t="str">
        <f aca="false">IF(OR(4キー同時!$B$279="",4キー同時!$G$279="",4キー同時!$L$279=""),"",IF(4キー同時!AJ283="","",SUBSTITUTE(SUBSTITUTE(4キー同時!AJ283," ",""),"　","")))</f>
        <v/>
      </c>
      <c r="H4039" s="2" t="str">
        <f aca="false">IF($G4039="","",4キー同時!$B$279)</f>
        <v/>
      </c>
      <c r="I4039" s="2" t="str">
        <f aca="false">IF($G4039="","",4キー同時!$G$279)</f>
        <v/>
      </c>
      <c r="J4039" s="2" t="str">
        <f aca="false">IF($G4039="","",4キー同時!$L$279)</f>
        <v/>
      </c>
      <c r="K4039" s="2" t="str">
        <f aca="false">IF($G4039="","","i")</f>
        <v/>
      </c>
      <c r="L4039" s="2" t="str">
        <f aca="false">IF($G4039="","","同時")</f>
        <v/>
      </c>
      <c r="M4039" s="2" t="str">
        <f aca="false">IF($G4039="","",IF(ISNA(MATCH($G4039,個別指定!$A:$A,0)),"行なし",""))</f>
        <v/>
      </c>
      <c r="N4039" s="2" t="str">
        <f aca="false">IF($G4039="","",IF(COUNTIF($G$2:$G$4460,$G4039)&gt;1,"重複",""))</f>
        <v/>
      </c>
    </row>
    <row r="4040" customFormat="false" ht="16.5" hidden="false" customHeight="true" outlineLevel="0" collapsed="false">
      <c r="A4040" s="2" t="s">
        <v>447</v>
      </c>
      <c r="B4040" s="2" t="s">
        <v>469</v>
      </c>
      <c r="C4040" s="2" t="s">
        <v>20</v>
      </c>
      <c r="D4040" s="2" t="str">
        <f aca="false">IF(4キー同時!$B$279="","",4キー同時!$B$279)</f>
        <v/>
      </c>
      <c r="E4040" s="2" t="str">
        <f aca="false">IF(4キー同時!$G$279="","",4キー同時!$G$279)</f>
        <v/>
      </c>
      <c r="F4040" s="2" t="str">
        <f aca="false">IF(4キー同時!$L$279="","",4キー同時!$L$279)</f>
        <v/>
      </c>
      <c r="G4040" s="2" t="str">
        <f aca="false">IF(OR(4キー同時!$B$279="",4キー同時!$G$279="",4キー同時!$L$279=""),"",IF(4キー同時!AN283="","",SUBSTITUTE(SUBSTITUTE(4キー同時!AN283," ",""),"　","")))</f>
        <v/>
      </c>
      <c r="H4040" s="2" t="str">
        <f aca="false">IF($G4040="","",4キー同時!$B$279)</f>
        <v/>
      </c>
      <c r="I4040" s="2" t="str">
        <f aca="false">IF($G4040="","",4キー同時!$G$279)</f>
        <v/>
      </c>
      <c r="J4040" s="2" t="str">
        <f aca="false">IF($G4040="","",4キー同時!$L$279)</f>
        <v/>
      </c>
      <c r="K4040" s="2" t="str">
        <f aca="false">IF($G4040="","","o")</f>
        <v/>
      </c>
      <c r="L4040" s="2" t="str">
        <f aca="false">IF($G4040="","","同時")</f>
        <v/>
      </c>
      <c r="M4040" s="2" t="str">
        <f aca="false">IF($G4040="","",IF(ISNA(MATCH($G4040,個別指定!$A:$A,0)),"行なし",""))</f>
        <v/>
      </c>
      <c r="N4040" s="2" t="str">
        <f aca="false">IF($G4040="","",IF(COUNTIF($G$2:$G$4460,$G4040)&gt;1,"重複",""))</f>
        <v/>
      </c>
    </row>
    <row r="4041" customFormat="false" ht="16.5" hidden="false" customHeight="true" outlineLevel="0" collapsed="false">
      <c r="A4041" s="2" t="s">
        <v>447</v>
      </c>
      <c r="B4041" s="2" t="s">
        <v>469</v>
      </c>
      <c r="C4041" s="2" t="s">
        <v>21</v>
      </c>
      <c r="D4041" s="2" t="str">
        <f aca="false">IF(4キー同時!$B$279="","",4キー同時!$B$279)</f>
        <v/>
      </c>
      <c r="E4041" s="2" t="str">
        <f aca="false">IF(4キー同時!$G$279="","",4キー同時!$G$279)</f>
        <v/>
      </c>
      <c r="F4041" s="2" t="str">
        <f aca="false">IF(4キー同時!$L$279="","",4キー同時!$L$279)</f>
        <v/>
      </c>
      <c r="G4041" s="2" t="str">
        <f aca="false">IF(OR(4キー同時!$B$279="",4キー同時!$G$279="",4キー同時!$L$279=""),"",IF(4キー同時!AR283="","",SUBSTITUTE(SUBSTITUTE(4キー同時!AR283," ",""),"　","")))</f>
        <v/>
      </c>
      <c r="H4041" s="2" t="str">
        <f aca="false">IF($G4041="","",4キー同時!$B$279)</f>
        <v/>
      </c>
      <c r="I4041" s="2" t="str">
        <f aca="false">IF($G4041="","",4キー同時!$G$279)</f>
        <v/>
      </c>
      <c r="J4041" s="2" t="str">
        <f aca="false">IF($G4041="","",4キー同時!$L$279)</f>
        <v/>
      </c>
      <c r="K4041" s="2" t="str">
        <f aca="false">IF($G4041="","","p")</f>
        <v/>
      </c>
      <c r="L4041" s="2" t="str">
        <f aca="false">IF($G4041="","","同時")</f>
        <v/>
      </c>
      <c r="M4041" s="2" t="str">
        <f aca="false">IF($G4041="","",IF(ISNA(MATCH($G4041,個別指定!$A:$A,0)),"行なし",""))</f>
        <v/>
      </c>
      <c r="N4041" s="2" t="str">
        <f aca="false">IF($G4041="","",IF(COUNTIF($G$2:$G$4460,$G4041)&gt;1,"重複",""))</f>
        <v/>
      </c>
    </row>
    <row r="4042" customFormat="false" ht="16.5" hidden="false" customHeight="true" outlineLevel="0" collapsed="false">
      <c r="A4042" s="2" t="s">
        <v>447</v>
      </c>
      <c r="B4042" s="2" t="s">
        <v>469</v>
      </c>
      <c r="C4042" s="2" t="s">
        <v>22</v>
      </c>
      <c r="D4042" s="2" t="str">
        <f aca="false">IF(4キー同時!$B$279="","",4キー同時!$B$279)</f>
        <v/>
      </c>
      <c r="E4042" s="2" t="str">
        <f aca="false">IF(4キー同時!$G$279="","",4キー同時!$G$279)</f>
        <v/>
      </c>
      <c r="F4042" s="2" t="str">
        <f aca="false">IF(4キー同時!$L$279="","",4キー同時!$L$279)</f>
        <v/>
      </c>
      <c r="G4042" s="2" t="str">
        <f aca="false">IF(OR(4キー同時!$B$279="",4キー同時!$G$279="",4キー同時!$L$279=""),"",IF(4キー同時!AV283="","",SUBSTITUTE(SUBSTITUTE(4キー同時!AV283," ",""),"　","")))</f>
        <v/>
      </c>
      <c r="H4042" s="2" t="str">
        <f aca="false">IF($G4042="","",4キー同時!$B$279)</f>
        <v/>
      </c>
      <c r="I4042" s="2" t="str">
        <f aca="false">IF($G4042="","",4キー同時!$G$279)</f>
        <v/>
      </c>
      <c r="J4042" s="2" t="str">
        <f aca="false">IF($G4042="","",4キー同時!$L$279)</f>
        <v/>
      </c>
      <c r="K4042" s="2" t="str">
        <f aca="false">IF($G4042="","","[")</f>
        <v/>
      </c>
      <c r="L4042" s="2" t="str">
        <f aca="false">IF($G4042="","","同時")</f>
        <v/>
      </c>
      <c r="M4042" s="2" t="str">
        <f aca="false">IF($G4042="","",IF(ISNA(MATCH($G4042,個別指定!$A:$A,0)),"行なし",""))</f>
        <v/>
      </c>
      <c r="N4042" s="2" t="str">
        <f aca="false">IF($G4042="","",IF(COUNTIF($G$2:$G$4460,$G4042)&gt;1,"重複",""))</f>
        <v/>
      </c>
    </row>
    <row r="4043" customFormat="false" ht="16.5" hidden="false" customHeight="true" outlineLevel="0" collapsed="false">
      <c r="A4043" s="2" t="s">
        <v>447</v>
      </c>
      <c r="B4043" s="2" t="s">
        <v>469</v>
      </c>
      <c r="C4043" s="2" t="s">
        <v>23</v>
      </c>
      <c r="D4043" s="2" t="str">
        <f aca="false">IF(4キー同時!$B$279="","",4キー同時!$B$279)</f>
        <v/>
      </c>
      <c r="E4043" s="2" t="str">
        <f aca="false">IF(4キー同時!$G$279="","",4キー同時!$G$279)</f>
        <v/>
      </c>
      <c r="F4043" s="2" t="str">
        <f aca="false">IF(4キー同時!$L$279="","",4キー同時!$L$279)</f>
        <v/>
      </c>
      <c r="G4043" s="2" t="str">
        <f aca="false">IF(OR(4キー同時!$B$279="",4キー同時!$G$279="",4キー同時!$L$279=""),"",IF(4キー同時!AZ283="","",SUBSTITUTE(SUBSTITUTE(4キー同時!AZ283," ",""),"　","")))</f>
        <v/>
      </c>
      <c r="H4043" s="2" t="str">
        <f aca="false">IF($G4043="","",4キー同時!$B$279)</f>
        <v/>
      </c>
      <c r="I4043" s="2" t="str">
        <f aca="false">IF($G4043="","",4キー同時!$G$279)</f>
        <v/>
      </c>
      <c r="J4043" s="2" t="str">
        <f aca="false">IF($G4043="","",4キー同時!$L$279)</f>
        <v/>
      </c>
      <c r="K4043" s="2" t="str">
        <f aca="false">IF($G4043="","","]")</f>
        <v/>
      </c>
      <c r="L4043" s="2" t="str">
        <f aca="false">IF($G4043="","","同時")</f>
        <v/>
      </c>
      <c r="M4043" s="2" t="str">
        <f aca="false">IF($G4043="","",IF(ISNA(MATCH($G4043,個別指定!$A:$A,0)),"行なし",""))</f>
        <v/>
      </c>
      <c r="N4043" s="2" t="str">
        <f aca="false">IF($G4043="","",IF(COUNTIF($G$2:$G$4460,$G4043)&gt;1,"重複",""))</f>
        <v/>
      </c>
    </row>
    <row r="4044" customFormat="false" ht="16.5" hidden="false" customHeight="true" outlineLevel="0" collapsed="false">
      <c r="A4044" s="2" t="s">
        <v>447</v>
      </c>
      <c r="B4044" s="2" t="s">
        <v>469</v>
      </c>
      <c r="C4044" s="2" t="s">
        <v>24</v>
      </c>
      <c r="D4044" s="2" t="str">
        <f aca="false">IF(4キー同時!$B$279="","",4キー同時!$B$279)</f>
        <v/>
      </c>
      <c r="E4044" s="2" t="str">
        <f aca="false">IF(4キー同時!$G$279="","",4キー同時!$G$279)</f>
        <v/>
      </c>
      <c r="F4044" s="2" t="str">
        <f aca="false">IF(4キー同時!$L$279="","",4キー同時!$L$279)</f>
        <v/>
      </c>
      <c r="G4044" s="2" t="str">
        <f aca="false">IF(OR(4キー同時!$B$279="",4キー同時!$G$279="",4キー同時!$L$279=""),"",IF(4キー同時!I285="","",SUBSTITUTE(SUBSTITUTE(4キー同時!I285," ",""),"　","")))</f>
        <v/>
      </c>
      <c r="H4044" s="2" t="str">
        <f aca="false">IF($G4044="","",4キー同時!$B$279)</f>
        <v/>
      </c>
      <c r="I4044" s="2" t="str">
        <f aca="false">IF($G4044="","",4キー同時!$G$279)</f>
        <v/>
      </c>
      <c r="J4044" s="2" t="str">
        <f aca="false">IF($G4044="","",4キー同時!$L$279)</f>
        <v/>
      </c>
      <c r="K4044" s="2" t="str">
        <f aca="false">IF($G4044="","","a")</f>
        <v/>
      </c>
      <c r="L4044" s="2" t="str">
        <f aca="false">IF($G4044="","","同時")</f>
        <v/>
      </c>
      <c r="M4044" s="2" t="str">
        <f aca="false">IF($G4044="","",IF(ISNA(MATCH($G4044,個別指定!$A:$A,0)),"行なし",""))</f>
        <v/>
      </c>
      <c r="N4044" s="2" t="str">
        <f aca="false">IF($G4044="","",IF(COUNTIF($G$2:$G$4460,$G4044)&gt;1,"重複",""))</f>
        <v/>
      </c>
    </row>
    <row r="4045" customFormat="false" ht="16.5" hidden="false" customHeight="true" outlineLevel="0" collapsed="false">
      <c r="A4045" s="2" t="s">
        <v>447</v>
      </c>
      <c r="B4045" s="2" t="s">
        <v>469</v>
      </c>
      <c r="C4045" s="2" t="s">
        <v>25</v>
      </c>
      <c r="D4045" s="2" t="str">
        <f aca="false">IF(4キー同時!$B$279="","",4キー同時!$B$279)</f>
        <v/>
      </c>
      <c r="E4045" s="2" t="str">
        <f aca="false">IF(4キー同時!$G$279="","",4キー同時!$G$279)</f>
        <v/>
      </c>
      <c r="F4045" s="2" t="str">
        <f aca="false">IF(4キー同時!$L$279="","",4キー同時!$L$279)</f>
        <v/>
      </c>
      <c r="G4045" s="2" t="str">
        <f aca="false">IF(OR(4キー同時!$B$279="",4キー同時!$G$279="",4キー同時!$L$279=""),"",IF(4キー同時!M285="","",SUBSTITUTE(SUBSTITUTE(4キー同時!M285," ",""),"　","")))</f>
        <v/>
      </c>
      <c r="H4045" s="2" t="str">
        <f aca="false">IF($G4045="","",4キー同時!$B$279)</f>
        <v/>
      </c>
      <c r="I4045" s="2" t="str">
        <f aca="false">IF($G4045="","",4キー同時!$G$279)</f>
        <v/>
      </c>
      <c r="J4045" s="2" t="str">
        <f aca="false">IF($G4045="","",4キー同時!$L$279)</f>
        <v/>
      </c>
      <c r="K4045" s="2" t="str">
        <f aca="false">IF($G4045="","","s")</f>
        <v/>
      </c>
      <c r="L4045" s="2" t="str">
        <f aca="false">IF($G4045="","","同時")</f>
        <v/>
      </c>
      <c r="M4045" s="2" t="str">
        <f aca="false">IF($G4045="","",IF(ISNA(MATCH($G4045,個別指定!$A:$A,0)),"行なし",""))</f>
        <v/>
      </c>
      <c r="N4045" s="2" t="str">
        <f aca="false">IF($G4045="","",IF(COUNTIF($G$2:$G$4460,$G4045)&gt;1,"重複",""))</f>
        <v/>
      </c>
    </row>
    <row r="4046" customFormat="false" ht="16.5" hidden="false" customHeight="true" outlineLevel="0" collapsed="false">
      <c r="A4046" s="2" t="s">
        <v>447</v>
      </c>
      <c r="B4046" s="2" t="s">
        <v>469</v>
      </c>
      <c r="C4046" s="2" t="s">
        <v>26</v>
      </c>
      <c r="D4046" s="2" t="str">
        <f aca="false">IF(4キー同時!$B$279="","",4キー同時!$B$279)</f>
        <v/>
      </c>
      <c r="E4046" s="2" t="str">
        <f aca="false">IF(4キー同時!$G$279="","",4キー同時!$G$279)</f>
        <v/>
      </c>
      <c r="F4046" s="2" t="str">
        <f aca="false">IF(4キー同時!$L$279="","",4キー同時!$L$279)</f>
        <v/>
      </c>
      <c r="G4046" s="2" t="str">
        <f aca="false">IF(OR(4キー同時!$B$279="",4キー同時!$G$279="",4キー同時!$L$279=""),"",IF(4キー同時!Q285="","",SUBSTITUTE(SUBSTITUTE(4キー同時!Q285," ",""),"　","")))</f>
        <v/>
      </c>
      <c r="H4046" s="2" t="str">
        <f aca="false">IF($G4046="","",4キー同時!$B$279)</f>
        <v/>
      </c>
      <c r="I4046" s="2" t="str">
        <f aca="false">IF($G4046="","",4キー同時!$G$279)</f>
        <v/>
      </c>
      <c r="J4046" s="2" t="str">
        <f aca="false">IF($G4046="","",4キー同時!$L$279)</f>
        <v/>
      </c>
      <c r="K4046" s="2" t="str">
        <f aca="false">IF($G4046="","","d")</f>
        <v/>
      </c>
      <c r="L4046" s="2" t="str">
        <f aca="false">IF($G4046="","","同時")</f>
        <v/>
      </c>
      <c r="M4046" s="2" t="str">
        <f aca="false">IF($G4046="","",IF(ISNA(MATCH($G4046,個別指定!$A:$A,0)),"行なし",""))</f>
        <v/>
      </c>
      <c r="N4046" s="2" t="str">
        <f aca="false">IF($G4046="","",IF(COUNTIF($G$2:$G$4460,$G4046)&gt;1,"重複",""))</f>
        <v/>
      </c>
    </row>
    <row r="4047" customFormat="false" ht="16.5" hidden="false" customHeight="true" outlineLevel="0" collapsed="false">
      <c r="A4047" s="2" t="s">
        <v>447</v>
      </c>
      <c r="B4047" s="2" t="s">
        <v>469</v>
      </c>
      <c r="C4047" s="2" t="s">
        <v>27</v>
      </c>
      <c r="D4047" s="2" t="str">
        <f aca="false">IF(4キー同時!$B$279="","",4キー同時!$B$279)</f>
        <v/>
      </c>
      <c r="E4047" s="2" t="str">
        <f aca="false">IF(4キー同時!$G$279="","",4キー同時!$G$279)</f>
        <v/>
      </c>
      <c r="F4047" s="2" t="str">
        <f aca="false">IF(4キー同時!$L$279="","",4キー同時!$L$279)</f>
        <v/>
      </c>
      <c r="G4047" s="2" t="str">
        <f aca="false">IF(OR(4キー同時!$B$279="",4キー同時!$G$279="",4キー同時!$L$279=""),"",IF(4キー同時!U285="","",SUBSTITUTE(SUBSTITUTE(4キー同時!U285," ",""),"　","")))</f>
        <v/>
      </c>
      <c r="H4047" s="2" t="str">
        <f aca="false">IF($G4047="","",4キー同時!$B$279)</f>
        <v/>
      </c>
      <c r="I4047" s="2" t="str">
        <f aca="false">IF($G4047="","",4キー同時!$G$279)</f>
        <v/>
      </c>
      <c r="J4047" s="2" t="str">
        <f aca="false">IF($G4047="","",4キー同時!$L$279)</f>
        <v/>
      </c>
      <c r="K4047" s="2" t="str">
        <f aca="false">IF($G4047="","","f")</f>
        <v/>
      </c>
      <c r="L4047" s="2" t="str">
        <f aca="false">IF($G4047="","","同時")</f>
        <v/>
      </c>
      <c r="M4047" s="2" t="str">
        <f aca="false">IF($G4047="","",IF(ISNA(MATCH($G4047,個別指定!$A:$A,0)),"行なし",""))</f>
        <v/>
      </c>
      <c r="N4047" s="2" t="str">
        <f aca="false">IF($G4047="","",IF(COUNTIF($G$2:$G$4460,$G4047)&gt;1,"重複",""))</f>
        <v/>
      </c>
    </row>
    <row r="4048" customFormat="false" ht="16.5" hidden="false" customHeight="true" outlineLevel="0" collapsed="false">
      <c r="A4048" s="2" t="s">
        <v>447</v>
      </c>
      <c r="B4048" s="2" t="s">
        <v>469</v>
      </c>
      <c r="C4048" s="2" t="s">
        <v>28</v>
      </c>
      <c r="D4048" s="2" t="str">
        <f aca="false">IF(4キー同時!$B$279="","",4キー同時!$B$279)</f>
        <v/>
      </c>
      <c r="E4048" s="2" t="str">
        <f aca="false">IF(4キー同時!$G$279="","",4キー同時!$G$279)</f>
        <v/>
      </c>
      <c r="F4048" s="2" t="str">
        <f aca="false">IF(4キー同時!$L$279="","",4キー同時!$L$279)</f>
        <v/>
      </c>
      <c r="G4048" s="2" t="str">
        <f aca="false">IF(OR(4キー同時!$B$279="",4キー同時!$G$279="",4キー同時!$L$279=""),"",IF(4キー同時!Y285="","",SUBSTITUTE(SUBSTITUTE(4キー同時!Y285," ",""),"　","")))</f>
        <v/>
      </c>
      <c r="H4048" s="2" t="str">
        <f aca="false">IF($G4048="","",4キー同時!$B$279)</f>
        <v/>
      </c>
      <c r="I4048" s="2" t="str">
        <f aca="false">IF($G4048="","",4キー同時!$G$279)</f>
        <v/>
      </c>
      <c r="J4048" s="2" t="str">
        <f aca="false">IF($G4048="","",4キー同時!$L$279)</f>
        <v/>
      </c>
      <c r="K4048" s="2" t="str">
        <f aca="false">IF($G4048="","","g")</f>
        <v/>
      </c>
      <c r="L4048" s="2" t="str">
        <f aca="false">IF($G4048="","","同時")</f>
        <v/>
      </c>
      <c r="M4048" s="2" t="str">
        <f aca="false">IF($G4048="","",IF(ISNA(MATCH($G4048,個別指定!$A:$A,0)),"行なし",""))</f>
        <v/>
      </c>
      <c r="N4048" s="2" t="str">
        <f aca="false">IF($G4048="","",IF(COUNTIF($G$2:$G$4460,$G4048)&gt;1,"重複",""))</f>
        <v/>
      </c>
    </row>
    <row r="4049" customFormat="false" ht="16.5" hidden="false" customHeight="true" outlineLevel="0" collapsed="false">
      <c r="A4049" s="2" t="s">
        <v>447</v>
      </c>
      <c r="B4049" s="2" t="s">
        <v>469</v>
      </c>
      <c r="C4049" s="2" t="s">
        <v>29</v>
      </c>
      <c r="D4049" s="2" t="str">
        <f aca="false">IF(4キー同時!$B$279="","",4キー同時!$B$279)</f>
        <v/>
      </c>
      <c r="E4049" s="2" t="str">
        <f aca="false">IF(4キー同時!$G$279="","",4キー同時!$G$279)</f>
        <v/>
      </c>
      <c r="F4049" s="2" t="str">
        <f aca="false">IF(4キー同時!$L$279="","",4キー同時!$L$279)</f>
        <v/>
      </c>
      <c r="G4049" s="2" t="str">
        <f aca="false">IF(OR(4キー同時!$B$279="",4キー同時!$G$279="",4キー同時!$L$279=""),"",IF(4キー同時!AC285="","",SUBSTITUTE(SUBSTITUTE(4キー同時!AC285," ",""),"　","")))</f>
        <v/>
      </c>
      <c r="H4049" s="2" t="str">
        <f aca="false">IF($G4049="","",4キー同時!$B$279)</f>
        <v/>
      </c>
      <c r="I4049" s="2" t="str">
        <f aca="false">IF($G4049="","",4キー同時!$G$279)</f>
        <v/>
      </c>
      <c r="J4049" s="2" t="str">
        <f aca="false">IF($G4049="","",4キー同時!$L$279)</f>
        <v/>
      </c>
      <c r="K4049" s="2" t="str">
        <f aca="false">IF($G4049="","","h")</f>
        <v/>
      </c>
      <c r="L4049" s="2" t="str">
        <f aca="false">IF($G4049="","","同時")</f>
        <v/>
      </c>
      <c r="M4049" s="2" t="str">
        <f aca="false">IF($G4049="","",IF(ISNA(MATCH($G4049,個別指定!$A:$A,0)),"行なし",""))</f>
        <v/>
      </c>
      <c r="N4049" s="2" t="str">
        <f aca="false">IF($G4049="","",IF(COUNTIF($G$2:$G$4460,$G4049)&gt;1,"重複",""))</f>
        <v/>
      </c>
    </row>
    <row r="4050" customFormat="false" ht="16.5" hidden="false" customHeight="true" outlineLevel="0" collapsed="false">
      <c r="A4050" s="2" t="s">
        <v>447</v>
      </c>
      <c r="B4050" s="2" t="s">
        <v>469</v>
      </c>
      <c r="C4050" s="2" t="s">
        <v>30</v>
      </c>
      <c r="D4050" s="2" t="str">
        <f aca="false">IF(4キー同時!$B$279="","",4キー同時!$B$279)</f>
        <v/>
      </c>
      <c r="E4050" s="2" t="str">
        <f aca="false">IF(4キー同時!$G$279="","",4キー同時!$G$279)</f>
        <v/>
      </c>
      <c r="F4050" s="2" t="str">
        <f aca="false">IF(4キー同時!$L$279="","",4キー同時!$L$279)</f>
        <v/>
      </c>
      <c r="G4050" s="2" t="str">
        <f aca="false">IF(OR(4キー同時!$B$279="",4キー同時!$G$279="",4キー同時!$L$279=""),"",IF(4キー同時!AG285="","",SUBSTITUTE(SUBSTITUTE(4キー同時!AG285," ",""),"　","")))</f>
        <v/>
      </c>
      <c r="H4050" s="2" t="str">
        <f aca="false">IF($G4050="","",4キー同時!$B$279)</f>
        <v/>
      </c>
      <c r="I4050" s="2" t="str">
        <f aca="false">IF($G4050="","",4キー同時!$G$279)</f>
        <v/>
      </c>
      <c r="J4050" s="2" t="str">
        <f aca="false">IF($G4050="","",4キー同時!$L$279)</f>
        <v/>
      </c>
      <c r="K4050" s="2" t="str">
        <f aca="false">IF($G4050="","","j")</f>
        <v/>
      </c>
      <c r="L4050" s="2" t="str">
        <f aca="false">IF($G4050="","","同時")</f>
        <v/>
      </c>
      <c r="M4050" s="2" t="str">
        <f aca="false">IF($G4050="","",IF(ISNA(MATCH($G4050,個別指定!$A:$A,0)),"行なし",""))</f>
        <v/>
      </c>
      <c r="N4050" s="2" t="str">
        <f aca="false">IF($G4050="","",IF(COUNTIF($G$2:$G$4460,$G4050)&gt;1,"重複",""))</f>
        <v/>
      </c>
    </row>
    <row r="4051" customFormat="false" ht="16.5" hidden="false" customHeight="true" outlineLevel="0" collapsed="false">
      <c r="A4051" s="2" t="s">
        <v>447</v>
      </c>
      <c r="B4051" s="2" t="s">
        <v>469</v>
      </c>
      <c r="C4051" s="2" t="s">
        <v>31</v>
      </c>
      <c r="D4051" s="2" t="str">
        <f aca="false">IF(4キー同時!$B$279="","",4キー同時!$B$279)</f>
        <v/>
      </c>
      <c r="E4051" s="2" t="str">
        <f aca="false">IF(4キー同時!$G$279="","",4キー同時!$G$279)</f>
        <v/>
      </c>
      <c r="F4051" s="2" t="str">
        <f aca="false">IF(4キー同時!$L$279="","",4キー同時!$L$279)</f>
        <v/>
      </c>
      <c r="G4051" s="2" t="str">
        <f aca="false">IF(OR(4キー同時!$B$279="",4キー同時!$G$279="",4キー同時!$L$279=""),"",IF(4キー同時!AK285="","",SUBSTITUTE(SUBSTITUTE(4キー同時!AK285," ",""),"　","")))</f>
        <v/>
      </c>
      <c r="H4051" s="2" t="str">
        <f aca="false">IF($G4051="","",4キー同時!$B$279)</f>
        <v/>
      </c>
      <c r="I4051" s="2" t="str">
        <f aca="false">IF($G4051="","",4キー同時!$G$279)</f>
        <v/>
      </c>
      <c r="J4051" s="2" t="str">
        <f aca="false">IF($G4051="","",4キー同時!$L$279)</f>
        <v/>
      </c>
      <c r="K4051" s="2" t="str">
        <f aca="false">IF($G4051="","","k")</f>
        <v/>
      </c>
      <c r="L4051" s="2" t="str">
        <f aca="false">IF($G4051="","","同時")</f>
        <v/>
      </c>
      <c r="M4051" s="2" t="str">
        <f aca="false">IF($G4051="","",IF(ISNA(MATCH($G4051,個別指定!$A:$A,0)),"行なし",""))</f>
        <v/>
      </c>
      <c r="N4051" s="2" t="str">
        <f aca="false">IF($G4051="","",IF(COUNTIF($G$2:$G$4460,$G4051)&gt;1,"重複",""))</f>
        <v/>
      </c>
    </row>
    <row r="4052" customFormat="false" ht="16.5" hidden="false" customHeight="true" outlineLevel="0" collapsed="false">
      <c r="A4052" s="2" t="s">
        <v>447</v>
      </c>
      <c r="B4052" s="2" t="s">
        <v>469</v>
      </c>
      <c r="C4052" s="2" t="s">
        <v>32</v>
      </c>
      <c r="D4052" s="2" t="str">
        <f aca="false">IF(4キー同時!$B$279="","",4キー同時!$B$279)</f>
        <v/>
      </c>
      <c r="E4052" s="2" t="str">
        <f aca="false">IF(4キー同時!$G$279="","",4キー同時!$G$279)</f>
        <v/>
      </c>
      <c r="F4052" s="2" t="str">
        <f aca="false">IF(4キー同時!$L$279="","",4キー同時!$L$279)</f>
        <v/>
      </c>
      <c r="G4052" s="2" t="str">
        <f aca="false">IF(OR(4キー同時!$B$279="",4キー同時!$G$279="",4キー同時!$L$279=""),"",IF(4キー同時!AO285="","",SUBSTITUTE(SUBSTITUTE(4キー同時!AO285," ",""),"　","")))</f>
        <v/>
      </c>
      <c r="H4052" s="2" t="str">
        <f aca="false">IF($G4052="","",4キー同時!$B$279)</f>
        <v/>
      </c>
      <c r="I4052" s="2" t="str">
        <f aca="false">IF($G4052="","",4キー同時!$G$279)</f>
        <v/>
      </c>
      <c r="J4052" s="2" t="str">
        <f aca="false">IF($G4052="","",4キー同時!$L$279)</f>
        <v/>
      </c>
      <c r="K4052" s="2" t="str">
        <f aca="false">IF($G4052="","","l")</f>
        <v/>
      </c>
      <c r="L4052" s="2" t="str">
        <f aca="false">IF($G4052="","","同時")</f>
        <v/>
      </c>
      <c r="M4052" s="2" t="str">
        <f aca="false">IF($G4052="","",IF(ISNA(MATCH($G4052,個別指定!$A:$A,0)),"行なし",""))</f>
        <v/>
      </c>
      <c r="N4052" s="2" t="str">
        <f aca="false">IF($G4052="","",IF(COUNTIF($G$2:$G$4460,$G4052)&gt;1,"重複",""))</f>
        <v/>
      </c>
    </row>
    <row r="4053" customFormat="false" ht="16.5" hidden="false" customHeight="true" outlineLevel="0" collapsed="false">
      <c r="A4053" s="2" t="s">
        <v>447</v>
      </c>
      <c r="B4053" s="2" t="s">
        <v>469</v>
      </c>
      <c r="C4053" s="2" t="s">
        <v>33</v>
      </c>
      <c r="D4053" s="2" t="str">
        <f aca="false">IF(4キー同時!$B$279="","",4キー同時!$B$279)</f>
        <v/>
      </c>
      <c r="E4053" s="2" t="str">
        <f aca="false">IF(4キー同時!$G$279="","",4キー同時!$G$279)</f>
        <v/>
      </c>
      <c r="F4053" s="2" t="str">
        <f aca="false">IF(4キー同時!$L$279="","",4キー同時!$L$279)</f>
        <v/>
      </c>
      <c r="G4053" s="2" t="str">
        <f aca="false">IF(OR(4キー同時!$B$279="",4キー同時!$G$279="",4キー同時!$L$279=""),"",IF(4キー同時!AS285="","",SUBSTITUTE(SUBSTITUTE(4キー同時!AS285," ",""),"　","")))</f>
        <v/>
      </c>
      <c r="H4053" s="2" t="str">
        <f aca="false">IF($G4053="","",4キー同時!$B$279)</f>
        <v/>
      </c>
      <c r="I4053" s="2" t="str">
        <f aca="false">IF($G4053="","",4キー同時!$G$279)</f>
        <v/>
      </c>
      <c r="J4053" s="2" t="str">
        <f aca="false">IF($G4053="","",4キー同時!$L$279)</f>
        <v/>
      </c>
      <c r="K4053" s="2" t="str">
        <f aca="false">IF($G4053="","",";")</f>
        <v/>
      </c>
      <c r="L4053" s="2" t="str">
        <f aca="false">IF($G4053="","","同時")</f>
        <v/>
      </c>
      <c r="M4053" s="2" t="str">
        <f aca="false">IF($G4053="","",IF(ISNA(MATCH($G4053,個別指定!$A:$A,0)),"行なし",""))</f>
        <v/>
      </c>
      <c r="N4053" s="2" t="str">
        <f aca="false">IF($G4053="","",IF(COUNTIF($G$2:$G$4460,$G4053)&gt;1,"重複",""))</f>
        <v/>
      </c>
    </row>
    <row r="4054" customFormat="false" ht="16.5" hidden="false" customHeight="true" outlineLevel="0" collapsed="false">
      <c r="A4054" s="2" t="s">
        <v>447</v>
      </c>
      <c r="B4054" s="2" t="s">
        <v>469</v>
      </c>
      <c r="C4054" s="2" t="s">
        <v>34</v>
      </c>
      <c r="D4054" s="2" t="str">
        <f aca="false">IF(4キー同時!$B$279="","",4キー同時!$B$279)</f>
        <v/>
      </c>
      <c r="E4054" s="2" t="str">
        <f aca="false">IF(4キー同時!$G$279="","",4キー同時!$G$279)</f>
        <v/>
      </c>
      <c r="F4054" s="2" t="str">
        <f aca="false">IF(4キー同時!$L$279="","",4キー同時!$L$279)</f>
        <v/>
      </c>
      <c r="G4054" s="2" t="str">
        <f aca="false">IF(OR(4キー同時!$B$279="",4キー同時!$G$279="",4キー同時!$L$279=""),"",IF(4キー同時!AW285="","",SUBSTITUTE(SUBSTITUTE(4キー同時!AW285," ",""),"　","")))</f>
        <v/>
      </c>
      <c r="H4054" s="2" t="str">
        <f aca="false">IF($G4054="","",4キー同時!$B$279)</f>
        <v/>
      </c>
      <c r="I4054" s="2" t="str">
        <f aca="false">IF($G4054="","",4キー同時!$G$279)</f>
        <v/>
      </c>
      <c r="J4054" s="2" t="str">
        <f aca="false">IF($G4054="","",4キー同時!$L$279)</f>
        <v/>
      </c>
      <c r="K4054" s="2" t="str">
        <f aca="false">IF($G4054="","","'")</f>
        <v/>
      </c>
      <c r="L4054" s="2" t="str">
        <f aca="false">IF($G4054="","","同時")</f>
        <v/>
      </c>
      <c r="M4054" s="2" t="str">
        <f aca="false">IF($G4054="","",IF(ISNA(MATCH($G4054,個別指定!$A:$A,0)),"行なし",""))</f>
        <v/>
      </c>
      <c r="N4054" s="2" t="str">
        <f aca="false">IF($G4054="","",IF(COUNTIF($G$2:$G$4460,$G4054)&gt;1,"重複",""))</f>
        <v/>
      </c>
    </row>
    <row r="4055" customFormat="false" ht="16.5" hidden="false" customHeight="true" outlineLevel="0" collapsed="false">
      <c r="A4055" s="2" t="s">
        <v>447</v>
      </c>
      <c r="B4055" s="2" t="s">
        <v>469</v>
      </c>
      <c r="C4055" s="2" t="s">
        <v>35</v>
      </c>
      <c r="D4055" s="2" t="str">
        <f aca="false">IF(4キー同時!$B$279="","",4キー同時!$B$279)</f>
        <v/>
      </c>
      <c r="E4055" s="2" t="str">
        <f aca="false">IF(4キー同時!$G$279="","",4キー同時!$G$279)</f>
        <v/>
      </c>
      <c r="F4055" s="2" t="str">
        <f aca="false">IF(4キー同時!$L$279="","",4キー同時!$L$279)</f>
        <v/>
      </c>
      <c r="G4055" s="2" t="str">
        <f aca="false">IF(OR(4キー同時!$B$279="",4キー同時!$G$279="",4キー同時!$L$279=""),"",IF(4キー同時!K287="","",SUBSTITUTE(SUBSTITUTE(4キー同時!K287," ",""),"　","")))</f>
        <v/>
      </c>
      <c r="H4055" s="2" t="str">
        <f aca="false">IF($G4055="","",4キー同時!$B$279)</f>
        <v/>
      </c>
      <c r="I4055" s="2" t="str">
        <f aca="false">IF($G4055="","",4キー同時!$G$279)</f>
        <v/>
      </c>
      <c r="J4055" s="2" t="str">
        <f aca="false">IF($G4055="","",4キー同時!$L$279)</f>
        <v/>
      </c>
      <c r="K4055" s="2" t="str">
        <f aca="false">IF($G4055="","","z")</f>
        <v/>
      </c>
      <c r="L4055" s="2" t="str">
        <f aca="false">IF($G4055="","","同時")</f>
        <v/>
      </c>
      <c r="M4055" s="2" t="str">
        <f aca="false">IF($G4055="","",IF(ISNA(MATCH($G4055,個別指定!$A:$A,0)),"行なし",""))</f>
        <v/>
      </c>
      <c r="N4055" s="2" t="str">
        <f aca="false">IF($G4055="","",IF(COUNTIF($G$2:$G$4460,$G4055)&gt;1,"重複",""))</f>
        <v/>
      </c>
    </row>
    <row r="4056" customFormat="false" ht="16.5" hidden="false" customHeight="true" outlineLevel="0" collapsed="false">
      <c r="A4056" s="2" t="s">
        <v>447</v>
      </c>
      <c r="B4056" s="2" t="s">
        <v>469</v>
      </c>
      <c r="C4056" s="2" t="s">
        <v>36</v>
      </c>
      <c r="D4056" s="2" t="str">
        <f aca="false">IF(4キー同時!$B$279="","",4キー同時!$B$279)</f>
        <v/>
      </c>
      <c r="E4056" s="2" t="str">
        <f aca="false">IF(4キー同時!$G$279="","",4キー同時!$G$279)</f>
        <v/>
      </c>
      <c r="F4056" s="2" t="str">
        <f aca="false">IF(4キー同時!$L$279="","",4キー同時!$L$279)</f>
        <v/>
      </c>
      <c r="G4056" s="2" t="str">
        <f aca="false">IF(OR(4キー同時!$B$279="",4キー同時!$G$279="",4キー同時!$L$279=""),"",IF(4キー同時!O287="","",SUBSTITUTE(SUBSTITUTE(4キー同時!O287," ",""),"　","")))</f>
        <v/>
      </c>
      <c r="H4056" s="2" t="str">
        <f aca="false">IF($G4056="","",4キー同時!$B$279)</f>
        <v/>
      </c>
      <c r="I4056" s="2" t="str">
        <f aca="false">IF($G4056="","",4キー同時!$G$279)</f>
        <v/>
      </c>
      <c r="J4056" s="2" t="str">
        <f aca="false">IF($G4056="","",4キー同時!$L$279)</f>
        <v/>
      </c>
      <c r="K4056" s="2" t="str">
        <f aca="false">IF($G4056="","","x")</f>
        <v/>
      </c>
      <c r="L4056" s="2" t="str">
        <f aca="false">IF($G4056="","","同時")</f>
        <v/>
      </c>
      <c r="M4056" s="2" t="str">
        <f aca="false">IF($G4056="","",IF(ISNA(MATCH($G4056,個別指定!$A:$A,0)),"行なし",""))</f>
        <v/>
      </c>
      <c r="N4056" s="2" t="str">
        <f aca="false">IF($G4056="","",IF(COUNTIF($G$2:$G$4460,$G4056)&gt;1,"重複",""))</f>
        <v/>
      </c>
    </row>
    <row r="4057" customFormat="false" ht="16.5" hidden="false" customHeight="true" outlineLevel="0" collapsed="false">
      <c r="A4057" s="2" t="s">
        <v>447</v>
      </c>
      <c r="B4057" s="2" t="s">
        <v>469</v>
      </c>
      <c r="C4057" s="2" t="s">
        <v>37</v>
      </c>
      <c r="D4057" s="2" t="str">
        <f aca="false">IF(4キー同時!$B$279="","",4キー同時!$B$279)</f>
        <v/>
      </c>
      <c r="E4057" s="2" t="str">
        <f aca="false">IF(4キー同時!$G$279="","",4キー同時!$G$279)</f>
        <v/>
      </c>
      <c r="F4057" s="2" t="str">
        <f aca="false">IF(4キー同時!$L$279="","",4キー同時!$L$279)</f>
        <v/>
      </c>
      <c r="G4057" s="2" t="str">
        <f aca="false">IF(OR(4キー同時!$B$279="",4キー同時!$G$279="",4キー同時!$L$279=""),"",IF(4キー同時!S287="","",SUBSTITUTE(SUBSTITUTE(4キー同時!S287," ",""),"　","")))</f>
        <v/>
      </c>
      <c r="H4057" s="2" t="str">
        <f aca="false">IF($G4057="","",4キー同時!$B$279)</f>
        <v/>
      </c>
      <c r="I4057" s="2" t="str">
        <f aca="false">IF($G4057="","",4キー同時!$G$279)</f>
        <v/>
      </c>
      <c r="J4057" s="2" t="str">
        <f aca="false">IF($G4057="","",4キー同時!$L$279)</f>
        <v/>
      </c>
      <c r="K4057" s="2" t="str">
        <f aca="false">IF($G4057="","","c")</f>
        <v/>
      </c>
      <c r="L4057" s="2" t="str">
        <f aca="false">IF($G4057="","","同時")</f>
        <v/>
      </c>
      <c r="M4057" s="2" t="str">
        <f aca="false">IF($G4057="","",IF(ISNA(MATCH($G4057,個別指定!$A:$A,0)),"行なし",""))</f>
        <v/>
      </c>
      <c r="N4057" s="2" t="str">
        <f aca="false">IF($G4057="","",IF(COUNTIF($G$2:$G$4460,$G4057)&gt;1,"重複",""))</f>
        <v/>
      </c>
    </row>
    <row r="4058" customFormat="false" ht="16.5" hidden="false" customHeight="true" outlineLevel="0" collapsed="false">
      <c r="A4058" s="2" t="s">
        <v>447</v>
      </c>
      <c r="B4058" s="2" t="s">
        <v>469</v>
      </c>
      <c r="C4058" s="2" t="s">
        <v>38</v>
      </c>
      <c r="D4058" s="2" t="str">
        <f aca="false">IF(4キー同時!$B$279="","",4キー同時!$B$279)</f>
        <v/>
      </c>
      <c r="E4058" s="2" t="str">
        <f aca="false">IF(4キー同時!$G$279="","",4キー同時!$G$279)</f>
        <v/>
      </c>
      <c r="F4058" s="2" t="str">
        <f aca="false">IF(4キー同時!$L$279="","",4キー同時!$L$279)</f>
        <v/>
      </c>
      <c r="G4058" s="2" t="str">
        <f aca="false">IF(OR(4キー同時!$B$279="",4キー同時!$G$279="",4キー同時!$L$279=""),"",IF(4キー同時!W287="","",SUBSTITUTE(SUBSTITUTE(4キー同時!W287," ",""),"　","")))</f>
        <v/>
      </c>
      <c r="H4058" s="2" t="str">
        <f aca="false">IF($G4058="","",4キー同時!$B$279)</f>
        <v/>
      </c>
      <c r="I4058" s="2" t="str">
        <f aca="false">IF($G4058="","",4キー同時!$G$279)</f>
        <v/>
      </c>
      <c r="J4058" s="2" t="str">
        <f aca="false">IF($G4058="","",4キー同時!$L$279)</f>
        <v/>
      </c>
      <c r="K4058" s="2" t="str">
        <f aca="false">IF($G4058="","","v")</f>
        <v/>
      </c>
      <c r="L4058" s="2" t="str">
        <f aca="false">IF($G4058="","","同時")</f>
        <v/>
      </c>
      <c r="M4058" s="2" t="str">
        <f aca="false">IF($G4058="","",IF(ISNA(MATCH($G4058,個別指定!$A:$A,0)),"行なし",""))</f>
        <v/>
      </c>
      <c r="N4058" s="2" t="str">
        <f aca="false">IF($G4058="","",IF(COUNTIF($G$2:$G$4460,$G4058)&gt;1,"重複",""))</f>
        <v/>
      </c>
    </row>
    <row r="4059" customFormat="false" ht="16.5" hidden="false" customHeight="true" outlineLevel="0" collapsed="false">
      <c r="A4059" s="2" t="s">
        <v>447</v>
      </c>
      <c r="B4059" s="2" t="s">
        <v>469</v>
      </c>
      <c r="C4059" s="2" t="s">
        <v>39</v>
      </c>
      <c r="D4059" s="2" t="str">
        <f aca="false">IF(4キー同時!$B$279="","",4キー同時!$B$279)</f>
        <v/>
      </c>
      <c r="E4059" s="2" t="str">
        <f aca="false">IF(4キー同時!$G$279="","",4キー同時!$G$279)</f>
        <v/>
      </c>
      <c r="F4059" s="2" t="str">
        <f aca="false">IF(4キー同時!$L$279="","",4キー同時!$L$279)</f>
        <v/>
      </c>
      <c r="G4059" s="2" t="str">
        <f aca="false">IF(OR(4キー同時!$B$279="",4キー同時!$G$279="",4キー同時!$L$279=""),"",IF(4キー同時!AA287="","",SUBSTITUTE(SUBSTITUTE(4キー同時!AA287," ",""),"　","")))</f>
        <v/>
      </c>
      <c r="H4059" s="2" t="str">
        <f aca="false">IF($G4059="","",4キー同時!$B$279)</f>
        <v/>
      </c>
      <c r="I4059" s="2" t="str">
        <f aca="false">IF($G4059="","",4キー同時!$G$279)</f>
        <v/>
      </c>
      <c r="J4059" s="2" t="str">
        <f aca="false">IF($G4059="","",4キー同時!$L$279)</f>
        <v/>
      </c>
      <c r="K4059" s="2" t="str">
        <f aca="false">IF($G4059="","","b")</f>
        <v/>
      </c>
      <c r="L4059" s="2" t="str">
        <f aca="false">IF($G4059="","","同時")</f>
        <v/>
      </c>
      <c r="M4059" s="2" t="str">
        <f aca="false">IF($G4059="","",IF(ISNA(MATCH($G4059,個別指定!$A:$A,0)),"行なし",""))</f>
        <v/>
      </c>
      <c r="N4059" s="2" t="str">
        <f aca="false">IF($G4059="","",IF(COUNTIF($G$2:$G$4460,$G4059)&gt;1,"重複",""))</f>
        <v/>
      </c>
    </row>
    <row r="4060" customFormat="false" ht="16.5" hidden="false" customHeight="true" outlineLevel="0" collapsed="false">
      <c r="A4060" s="2" t="s">
        <v>447</v>
      </c>
      <c r="B4060" s="2" t="s">
        <v>469</v>
      </c>
      <c r="C4060" s="2" t="s">
        <v>40</v>
      </c>
      <c r="D4060" s="2" t="str">
        <f aca="false">IF(4キー同時!$B$279="","",4キー同時!$B$279)</f>
        <v/>
      </c>
      <c r="E4060" s="2" t="str">
        <f aca="false">IF(4キー同時!$G$279="","",4キー同時!$G$279)</f>
        <v/>
      </c>
      <c r="F4060" s="2" t="str">
        <f aca="false">IF(4キー同時!$L$279="","",4キー同時!$L$279)</f>
        <v/>
      </c>
      <c r="G4060" s="2" t="str">
        <f aca="false">IF(OR(4キー同時!$B$279="",4キー同時!$G$279="",4キー同時!$L$279=""),"",IF(4キー同時!AE287="","",SUBSTITUTE(SUBSTITUTE(4キー同時!AE287," ",""),"　","")))</f>
        <v/>
      </c>
      <c r="H4060" s="2" t="str">
        <f aca="false">IF($G4060="","",4キー同時!$B$279)</f>
        <v/>
      </c>
      <c r="I4060" s="2" t="str">
        <f aca="false">IF($G4060="","",4キー同時!$G$279)</f>
        <v/>
      </c>
      <c r="J4060" s="2" t="str">
        <f aca="false">IF($G4060="","",4キー同時!$L$279)</f>
        <v/>
      </c>
      <c r="K4060" s="2" t="str">
        <f aca="false">IF($G4060="","","n")</f>
        <v/>
      </c>
      <c r="L4060" s="2" t="str">
        <f aca="false">IF($G4060="","","同時")</f>
        <v/>
      </c>
      <c r="M4060" s="2" t="str">
        <f aca="false">IF($G4060="","",IF(ISNA(MATCH($G4060,個別指定!$A:$A,0)),"行なし",""))</f>
        <v/>
      </c>
      <c r="N4060" s="2" t="str">
        <f aca="false">IF($G4060="","",IF(COUNTIF($G$2:$G$4460,$G4060)&gt;1,"重複",""))</f>
        <v/>
      </c>
    </row>
    <row r="4061" customFormat="false" ht="16.5" hidden="false" customHeight="true" outlineLevel="0" collapsed="false">
      <c r="A4061" s="2" t="s">
        <v>447</v>
      </c>
      <c r="B4061" s="2" t="s">
        <v>469</v>
      </c>
      <c r="C4061" s="2" t="s">
        <v>41</v>
      </c>
      <c r="D4061" s="2" t="str">
        <f aca="false">IF(4キー同時!$B$279="","",4キー同時!$B$279)</f>
        <v/>
      </c>
      <c r="E4061" s="2" t="str">
        <f aca="false">IF(4キー同時!$G$279="","",4キー同時!$G$279)</f>
        <v/>
      </c>
      <c r="F4061" s="2" t="str">
        <f aca="false">IF(4キー同時!$L$279="","",4キー同時!$L$279)</f>
        <v/>
      </c>
      <c r="G4061" s="2" t="str">
        <f aca="false">IF(OR(4キー同時!$B$279="",4キー同時!$G$279="",4キー同時!$L$279=""),"",IF(4キー同時!AI287="","",SUBSTITUTE(SUBSTITUTE(4キー同時!AI287," ",""),"　","")))</f>
        <v/>
      </c>
      <c r="H4061" s="2" t="str">
        <f aca="false">IF($G4061="","",4キー同時!$B$279)</f>
        <v/>
      </c>
      <c r="I4061" s="2" t="str">
        <f aca="false">IF($G4061="","",4キー同時!$G$279)</f>
        <v/>
      </c>
      <c r="J4061" s="2" t="str">
        <f aca="false">IF($G4061="","",4キー同時!$L$279)</f>
        <v/>
      </c>
      <c r="K4061" s="2" t="str">
        <f aca="false">IF($G4061="","","m")</f>
        <v/>
      </c>
      <c r="L4061" s="2" t="str">
        <f aca="false">IF($G4061="","","同時")</f>
        <v/>
      </c>
      <c r="M4061" s="2" t="str">
        <f aca="false">IF($G4061="","",IF(ISNA(MATCH($G4061,個別指定!$A:$A,0)),"行なし",""))</f>
        <v/>
      </c>
      <c r="N4061" s="2" t="str">
        <f aca="false">IF($G4061="","",IF(COUNTIF($G$2:$G$4460,$G4061)&gt;1,"重複",""))</f>
        <v/>
      </c>
    </row>
    <row r="4062" customFormat="false" ht="16.5" hidden="false" customHeight="true" outlineLevel="0" collapsed="false">
      <c r="A4062" s="2" t="s">
        <v>447</v>
      </c>
      <c r="B4062" s="2" t="s">
        <v>469</v>
      </c>
      <c r="C4062" s="2" t="s">
        <v>42</v>
      </c>
      <c r="D4062" s="2" t="str">
        <f aca="false">IF(4キー同時!$B$279="","",4キー同時!$B$279)</f>
        <v/>
      </c>
      <c r="E4062" s="2" t="str">
        <f aca="false">IF(4キー同時!$G$279="","",4キー同時!$G$279)</f>
        <v/>
      </c>
      <c r="F4062" s="2" t="str">
        <f aca="false">IF(4キー同時!$L$279="","",4キー同時!$L$279)</f>
        <v/>
      </c>
      <c r="G4062" s="2" t="str">
        <f aca="false">IF(OR(4キー同時!$B$279="",4キー同時!$G$279="",4キー同時!$L$279=""),"",IF(4キー同時!AM287="","",SUBSTITUTE(SUBSTITUTE(4キー同時!AM287," ",""),"　","")))</f>
        <v/>
      </c>
      <c r="H4062" s="2" t="str">
        <f aca="false">IF($G4062="","",4キー同時!$B$279)</f>
        <v/>
      </c>
      <c r="I4062" s="2" t="str">
        <f aca="false">IF($G4062="","",4キー同時!$G$279)</f>
        <v/>
      </c>
      <c r="J4062" s="2" t="str">
        <f aca="false">IF($G4062="","",4キー同時!$L$279)</f>
        <v/>
      </c>
      <c r="K4062" s="2" t="str">
        <f aca="false">IF($G4062="","",",")</f>
        <v/>
      </c>
      <c r="L4062" s="2" t="str">
        <f aca="false">IF($G4062="","","同時")</f>
        <v/>
      </c>
      <c r="M4062" s="2" t="str">
        <f aca="false">IF($G4062="","",IF(ISNA(MATCH($G4062,個別指定!$A:$A,0)),"行なし",""))</f>
        <v/>
      </c>
      <c r="N4062" s="2" t="str">
        <f aca="false">IF($G4062="","",IF(COUNTIF($G$2:$G$4460,$G4062)&gt;1,"重複",""))</f>
        <v/>
      </c>
    </row>
    <row r="4063" customFormat="false" ht="16.5" hidden="false" customHeight="true" outlineLevel="0" collapsed="false">
      <c r="A4063" s="2" t="s">
        <v>447</v>
      </c>
      <c r="B4063" s="2" t="s">
        <v>469</v>
      </c>
      <c r="C4063" s="2" t="s">
        <v>43</v>
      </c>
      <c r="D4063" s="2" t="str">
        <f aca="false">IF(4キー同時!$B$279="","",4キー同時!$B$279)</f>
        <v/>
      </c>
      <c r="E4063" s="2" t="str">
        <f aca="false">IF(4キー同時!$G$279="","",4キー同時!$G$279)</f>
        <v/>
      </c>
      <c r="F4063" s="2" t="str">
        <f aca="false">IF(4キー同時!$L$279="","",4キー同時!$L$279)</f>
        <v/>
      </c>
      <c r="G4063" s="2" t="str">
        <f aca="false">IF(OR(4キー同時!$B$279="",4キー同時!$G$279="",4キー同時!$L$279=""),"",IF(4キー同時!AQ287="","",SUBSTITUTE(SUBSTITUTE(4キー同時!AQ287," ",""),"　","")))</f>
        <v/>
      </c>
      <c r="H4063" s="2" t="str">
        <f aca="false">IF($G4063="","",4キー同時!$B$279)</f>
        <v/>
      </c>
      <c r="I4063" s="2" t="str">
        <f aca="false">IF($G4063="","",4キー同時!$G$279)</f>
        <v/>
      </c>
      <c r="J4063" s="2" t="str">
        <f aca="false">IF($G4063="","",4キー同時!$L$279)</f>
        <v/>
      </c>
      <c r="K4063" s="2" t="str">
        <f aca="false">IF($G4063="","",".")</f>
        <v/>
      </c>
      <c r="L4063" s="2" t="str">
        <f aca="false">IF($G4063="","","同時")</f>
        <v/>
      </c>
      <c r="M4063" s="2" t="str">
        <f aca="false">IF($G4063="","",IF(ISNA(MATCH($G4063,個別指定!$A:$A,0)),"行なし",""))</f>
        <v/>
      </c>
      <c r="N4063" s="2" t="str">
        <f aca="false">IF($G4063="","",IF(COUNTIF($G$2:$G$4460,$G4063)&gt;1,"重複",""))</f>
        <v/>
      </c>
    </row>
    <row r="4064" customFormat="false" ht="16.5" hidden="false" customHeight="true" outlineLevel="0" collapsed="false">
      <c r="A4064" s="2" t="s">
        <v>447</v>
      </c>
      <c r="B4064" s="2" t="s">
        <v>469</v>
      </c>
      <c r="C4064" s="2" t="s">
        <v>44</v>
      </c>
      <c r="D4064" s="2" t="str">
        <f aca="false">IF(4キー同時!$B$279="","",4キー同時!$B$279)</f>
        <v/>
      </c>
      <c r="E4064" s="2" t="str">
        <f aca="false">IF(4キー同時!$G$279="","",4キー同時!$G$279)</f>
        <v/>
      </c>
      <c r="F4064" s="2" t="str">
        <f aca="false">IF(4キー同時!$L$279="","",4キー同時!$L$279)</f>
        <v/>
      </c>
      <c r="G4064" s="2" t="str">
        <f aca="false">IF(OR(4キー同時!$B$279="",4キー同時!$G$279="",4キー同時!$L$279=""),"",IF(4キー同時!AU287="","",SUBSTITUTE(SUBSTITUTE(4キー同時!AU287," ",""),"　","")))</f>
        <v/>
      </c>
      <c r="H4064" s="2" t="str">
        <f aca="false">IF($G4064="","",4キー同時!$B$279)</f>
        <v/>
      </c>
      <c r="I4064" s="2" t="str">
        <f aca="false">IF($G4064="","",4キー同時!$G$279)</f>
        <v/>
      </c>
      <c r="J4064" s="2" t="str">
        <f aca="false">IF($G4064="","",4キー同時!$L$279)</f>
        <v/>
      </c>
      <c r="K4064" s="2" t="str">
        <f aca="false">IF($G4064="","","/")</f>
        <v/>
      </c>
      <c r="L4064" s="2" t="str">
        <f aca="false">IF($G4064="","","同時")</f>
        <v/>
      </c>
      <c r="M4064" s="2" t="str">
        <f aca="false">IF($G4064="","",IF(ISNA(MATCH($G4064,個別指定!$A:$A,0)),"行なし",""))</f>
        <v/>
      </c>
      <c r="N4064" s="2" t="str">
        <f aca="false">IF($G4064="","",IF(COUNTIF($G$2:$G$4460,$G4064)&gt;1,"重複",""))</f>
        <v/>
      </c>
    </row>
    <row r="4065" customFormat="false" ht="16.5" hidden="false" customHeight="true" outlineLevel="0" collapsed="false">
      <c r="A4065" s="2" t="s">
        <v>447</v>
      </c>
      <c r="B4065" s="2" t="s">
        <v>469</v>
      </c>
      <c r="C4065" s="2" t="s">
        <v>48</v>
      </c>
      <c r="D4065" s="2" t="str">
        <f aca="false">IF(4キー同時!$B$279="","",4キー同時!$B$279)</f>
        <v/>
      </c>
      <c r="E4065" s="2" t="str">
        <f aca="false">IF(4キー同時!$G$279="","",4キー同時!$G$279)</f>
        <v/>
      </c>
      <c r="F4065" s="2" t="str">
        <f aca="false">IF(4キー同時!$L$279="","",4キー同時!$L$279)</f>
        <v/>
      </c>
      <c r="G4065" s="2" t="str">
        <f aca="false">IF(OR(4キー同時!$B$279="",4キー同時!$G$279="",4キー同時!$L$279=""),"",IF(4キー同時!P289="","",SUBSTITUTE(SUBSTITUTE(4キー同時!P289," ",""),"　","")))</f>
        <v/>
      </c>
      <c r="H4065" s="2" t="str">
        <f aca="false">IF($G4065="","",4キー同時!$B$279)</f>
        <v/>
      </c>
      <c r="I4065" s="2" t="str">
        <f aca="false">IF($G4065="","",4キー同時!$G$279)</f>
        <v/>
      </c>
      <c r="J4065" s="2" t="str">
        <f aca="false">IF($G4065="","",4キー同時!$L$279)</f>
        <v/>
      </c>
      <c r="K4065" s="2" t="str">
        <f aca="false">IF($G4065="","","muhenkan")</f>
        <v/>
      </c>
      <c r="L4065" s="2" t="str">
        <f aca="false">IF($G4065="","","同時")</f>
        <v/>
      </c>
      <c r="M4065" s="2" t="str">
        <f aca="false">IF($G4065="","",IF(ISNA(MATCH($G4065,個別指定!$A:$A,0)),"行なし",""))</f>
        <v/>
      </c>
      <c r="N4065" s="2" t="str">
        <f aca="false">IF($G4065="","",IF(COUNTIF($G$2:$G$4460,$G4065)&gt;1,"重複",""))</f>
        <v/>
      </c>
    </row>
    <row r="4066" customFormat="false" ht="16.5" hidden="false" customHeight="true" outlineLevel="0" collapsed="false">
      <c r="A4066" s="2" t="s">
        <v>447</v>
      </c>
      <c r="B4066" s="2" t="s">
        <v>469</v>
      </c>
      <c r="C4066" s="2" t="s">
        <v>50</v>
      </c>
      <c r="D4066" s="2" t="str">
        <f aca="false">IF(4キー同時!$B$279="","",4キー同時!$B$279)</f>
        <v/>
      </c>
      <c r="E4066" s="2" t="str">
        <f aca="false">IF(4キー同時!$G$279="","",4キー同時!$G$279)</f>
        <v/>
      </c>
      <c r="F4066" s="2" t="str">
        <f aca="false">IF(4キー同時!$L$279="","",4キー同時!$L$279)</f>
        <v/>
      </c>
      <c r="G4066" s="2" t="str">
        <f aca="false">IF(OR(4キー同時!$B$279="",4キー同時!$G$279="",4キー同時!$L$279=""),"",IF(4キー同時!T289="","",SUBSTITUTE(SUBSTITUTE(4キー同時!T289," ",""),"　","")))</f>
        <v/>
      </c>
      <c r="H4066" s="2" t="str">
        <f aca="false">IF($G4066="","",4キー同時!$B$279)</f>
        <v/>
      </c>
      <c r="I4066" s="2" t="str">
        <f aca="false">IF($G4066="","",4キー同時!$G$279)</f>
        <v/>
      </c>
      <c r="J4066" s="2" t="str">
        <f aca="false">IF($G4066="","",4キー同時!$L$279)</f>
        <v/>
      </c>
      <c r="K4066" s="2" t="str">
        <f aca="false">IF($G4066="","","space")</f>
        <v/>
      </c>
      <c r="L4066" s="2" t="str">
        <f aca="false">IF($G4066="","","同時")</f>
        <v/>
      </c>
      <c r="M4066" s="2" t="str">
        <f aca="false">IF($G4066="","",IF(ISNA(MATCH($G4066,個別指定!$A:$A,0)),"行なし",""))</f>
        <v/>
      </c>
      <c r="N4066" s="2" t="str">
        <f aca="false">IF($G4066="","",IF(COUNTIF($G$2:$G$4460,$G4066)&gt;1,"重複",""))</f>
        <v/>
      </c>
    </row>
    <row r="4067" customFormat="false" ht="16.5" hidden="false" customHeight="true" outlineLevel="0" collapsed="false">
      <c r="A4067" s="2" t="s">
        <v>447</v>
      </c>
      <c r="B4067" s="2" t="s">
        <v>469</v>
      </c>
      <c r="C4067" s="2" t="s">
        <v>45</v>
      </c>
      <c r="D4067" s="2" t="str">
        <f aca="false">IF(4キー同時!$B$279="","",4キー同時!$B$279)</f>
        <v/>
      </c>
      <c r="E4067" s="2" t="str">
        <f aca="false">IF(4キー同時!$G$279="","",4キー同時!$G$279)</f>
        <v/>
      </c>
      <c r="F4067" s="2" t="str">
        <f aca="false">IF(4キー同時!$L$279="","",4キー同時!$L$279)</f>
        <v/>
      </c>
      <c r="G4067" s="2" t="str">
        <f aca="false">IF(OR(4キー同時!$B$279="",4キー同時!$G$279="",4キー同時!$L$279=""),"",IF(4キー同時!AL289="","",SUBSTITUTE(SUBSTITUTE(4キー同時!AL289," ",""),"　","")))</f>
        <v/>
      </c>
      <c r="H4067" s="2" t="str">
        <f aca="false">IF($G4067="","",4キー同時!$B$279)</f>
        <v/>
      </c>
      <c r="I4067" s="2" t="str">
        <f aca="false">IF($G4067="","",4キー同時!$G$279)</f>
        <v/>
      </c>
      <c r="J4067" s="2" t="str">
        <f aca="false">IF($G4067="","",4キー同時!$L$279)</f>
        <v/>
      </c>
      <c r="K4067" s="2" t="str">
        <f aca="false">IF($G4067="","","henkan")</f>
        <v/>
      </c>
      <c r="L4067" s="2" t="str">
        <f aca="false">IF($G4067="","","同時")</f>
        <v/>
      </c>
      <c r="M4067" s="2" t="str">
        <f aca="false">IF($G4067="","",IF(ISNA(MATCH($G4067,個別指定!$A:$A,0)),"行なし",""))</f>
        <v/>
      </c>
      <c r="N4067" s="2" t="str">
        <f aca="false">IF($G4067="","",IF(COUNTIF($G$2:$G$4460,$G4067)&gt;1,"重複",""))</f>
        <v/>
      </c>
    </row>
    <row r="4068" customFormat="false" ht="16.5" hidden="false" customHeight="true" outlineLevel="0" collapsed="false">
      <c r="A4068" s="2" t="s">
        <v>447</v>
      </c>
      <c r="B4068" s="2" t="s">
        <v>469</v>
      </c>
      <c r="C4068" s="2" t="s">
        <v>46</v>
      </c>
      <c r="D4068" s="2" t="str">
        <f aca="false">IF(4キー同時!$B$279="","",4キー同時!$B$279)</f>
        <v/>
      </c>
      <c r="E4068" s="2" t="str">
        <f aca="false">IF(4キー同時!$G$279="","",4キー同時!$G$279)</f>
        <v/>
      </c>
      <c r="F4068" s="2" t="str">
        <f aca="false">IF(4キー同時!$L$279="","",4キー同時!$L$279)</f>
        <v/>
      </c>
      <c r="G4068" s="2" t="str">
        <f aca="false">IF(OR(4キー同時!$B$279="",4キー同時!$G$279="",4キー同時!$L$279=""),"",IF(4キー同時!AP289="","",SUBSTITUTE(SUBSTITUTE(4キー同時!AP289," ",""),"　","")))</f>
        <v/>
      </c>
      <c r="H4068" s="2" t="str">
        <f aca="false">IF($G4068="","",4キー同時!$B$279)</f>
        <v/>
      </c>
      <c r="I4068" s="2" t="str">
        <f aca="false">IF($G4068="","",4キー同時!$G$279)</f>
        <v/>
      </c>
      <c r="J4068" s="2" t="str">
        <f aca="false">IF($G4068="","",4キー同時!$L$279)</f>
        <v/>
      </c>
      <c r="K4068" s="2" t="str">
        <f aca="false">IF($G4068="","","kana")</f>
        <v/>
      </c>
      <c r="L4068" s="2" t="str">
        <f aca="false">IF($G4068="","","同時")</f>
        <v/>
      </c>
      <c r="M4068" s="2" t="str">
        <f aca="false">IF($G4068="","",IF(ISNA(MATCH($G4068,個別指定!$A:$A,0)),"行なし",""))</f>
        <v/>
      </c>
      <c r="N4068" s="2" t="str">
        <f aca="false">IF($G4068="","",IF(COUNTIF($G$2:$G$4460,$G4068)&gt;1,"重複",""))</f>
        <v/>
      </c>
    </row>
    <row r="4069" customFormat="false" ht="16.5" hidden="false" customHeight="true" outlineLevel="0" collapsed="false">
      <c r="A4069" s="2" t="s">
        <v>447</v>
      </c>
      <c r="B4069" s="2" t="s">
        <v>470</v>
      </c>
      <c r="C4069" s="2" t="s">
        <v>0</v>
      </c>
      <c r="D4069" s="2" t="str">
        <f aca="false">IF(4キー同時!$B$292="","",4キー同時!$B$292)</f>
        <v/>
      </c>
      <c r="E4069" s="2" t="str">
        <f aca="false">IF(4キー同時!$G$292="","",4キー同時!$G$292)</f>
        <v/>
      </c>
      <c r="F4069" s="2" t="str">
        <f aca="false">IF(4キー同時!$L$292="","",4キー同時!$L$292)</f>
        <v/>
      </c>
      <c r="G4069" s="2" t="str">
        <f aca="false">IF(OR(4キー同時!$B$292="",4キー同時!$G$292="",4キー同時!$L$292=""),"",IF(4キー同時!F294="","",SUBSTITUTE(SUBSTITUTE(4キー同時!F294," ",""),"　","")))</f>
        <v/>
      </c>
      <c r="H4069" s="2" t="str">
        <f aca="false">IF($G4069="","",4キー同時!$B$292)</f>
        <v/>
      </c>
      <c r="I4069" s="2" t="str">
        <f aca="false">IF($G4069="","",4キー同時!$G$292)</f>
        <v/>
      </c>
      <c r="J4069" s="2" t="str">
        <f aca="false">IF($G4069="","",4キー同時!$L$292)</f>
        <v/>
      </c>
      <c r="K4069" s="2" t="str">
        <f aca="false">IF($G4069="","","1")</f>
        <v/>
      </c>
      <c r="L4069" s="2" t="str">
        <f aca="false">IF($G4069="","","同時")</f>
        <v/>
      </c>
      <c r="M4069" s="2" t="str">
        <f aca="false">IF($G4069="","",IF(ISNA(MATCH($G4069,個別指定!$A:$A,0)),"行なし",""))</f>
        <v/>
      </c>
      <c r="N4069" s="2" t="str">
        <f aca="false">IF($G4069="","",IF(COUNTIF($G$2:$G$4460,$G4069)&gt;1,"重複",""))</f>
        <v/>
      </c>
    </row>
    <row r="4070" customFormat="false" ht="16.5" hidden="false" customHeight="true" outlineLevel="0" collapsed="false">
      <c r="A4070" s="2" t="s">
        <v>447</v>
      </c>
      <c r="B4070" s="2" t="s">
        <v>470</v>
      </c>
      <c r="C4070" s="2" t="s">
        <v>1</v>
      </c>
      <c r="D4070" s="2" t="str">
        <f aca="false">IF(4キー同時!$B$292="","",4キー同時!$B$292)</f>
        <v/>
      </c>
      <c r="E4070" s="2" t="str">
        <f aca="false">IF(4キー同時!$G$292="","",4キー同時!$G$292)</f>
        <v/>
      </c>
      <c r="F4070" s="2" t="str">
        <f aca="false">IF(4キー同時!$L$292="","",4キー同時!$L$292)</f>
        <v/>
      </c>
      <c r="G4070" s="2" t="str">
        <f aca="false">IF(OR(4キー同時!$B$292="",4キー同時!$G$292="",4キー同時!$L$292=""),"",IF(4キー同時!J294="","",SUBSTITUTE(SUBSTITUTE(4キー同時!J294," ",""),"　","")))</f>
        <v/>
      </c>
      <c r="H4070" s="2" t="str">
        <f aca="false">IF($G4070="","",4キー同時!$B$292)</f>
        <v/>
      </c>
      <c r="I4070" s="2" t="str">
        <f aca="false">IF($G4070="","",4キー同時!$G$292)</f>
        <v/>
      </c>
      <c r="J4070" s="2" t="str">
        <f aca="false">IF($G4070="","",4キー同時!$L$292)</f>
        <v/>
      </c>
      <c r="K4070" s="2" t="str">
        <f aca="false">IF($G4070="","","2")</f>
        <v/>
      </c>
      <c r="L4070" s="2" t="str">
        <f aca="false">IF($G4070="","","同時")</f>
        <v/>
      </c>
      <c r="M4070" s="2" t="str">
        <f aca="false">IF($G4070="","",IF(ISNA(MATCH($G4070,個別指定!$A:$A,0)),"行なし",""))</f>
        <v/>
      </c>
      <c r="N4070" s="2" t="str">
        <f aca="false">IF($G4070="","",IF(COUNTIF($G$2:$G$4460,$G4070)&gt;1,"重複",""))</f>
        <v/>
      </c>
    </row>
    <row r="4071" customFormat="false" ht="16.5" hidden="false" customHeight="true" outlineLevel="0" collapsed="false">
      <c r="A4071" s="2" t="s">
        <v>447</v>
      </c>
      <c r="B4071" s="2" t="s">
        <v>470</v>
      </c>
      <c r="C4071" s="2" t="s">
        <v>2</v>
      </c>
      <c r="D4071" s="2" t="str">
        <f aca="false">IF(4キー同時!$B$292="","",4キー同時!$B$292)</f>
        <v/>
      </c>
      <c r="E4071" s="2" t="str">
        <f aca="false">IF(4キー同時!$G$292="","",4キー同時!$G$292)</f>
        <v/>
      </c>
      <c r="F4071" s="2" t="str">
        <f aca="false">IF(4キー同時!$L$292="","",4キー同時!$L$292)</f>
        <v/>
      </c>
      <c r="G4071" s="2" t="str">
        <f aca="false">IF(OR(4キー同時!$B$292="",4キー同時!$G$292="",4キー同時!$L$292=""),"",IF(4キー同時!N294="","",SUBSTITUTE(SUBSTITUTE(4キー同時!N294," ",""),"　","")))</f>
        <v/>
      </c>
      <c r="H4071" s="2" t="str">
        <f aca="false">IF($G4071="","",4キー同時!$B$292)</f>
        <v/>
      </c>
      <c r="I4071" s="2" t="str">
        <f aca="false">IF($G4071="","",4キー同時!$G$292)</f>
        <v/>
      </c>
      <c r="J4071" s="2" t="str">
        <f aca="false">IF($G4071="","",4キー同時!$L$292)</f>
        <v/>
      </c>
      <c r="K4071" s="2" t="str">
        <f aca="false">IF($G4071="","","3")</f>
        <v/>
      </c>
      <c r="L4071" s="2" t="str">
        <f aca="false">IF($G4071="","","同時")</f>
        <v/>
      </c>
      <c r="M4071" s="2" t="str">
        <f aca="false">IF($G4071="","",IF(ISNA(MATCH($G4071,個別指定!$A:$A,0)),"行なし",""))</f>
        <v/>
      </c>
      <c r="N4071" s="2" t="str">
        <f aca="false">IF($G4071="","",IF(COUNTIF($G$2:$G$4460,$G4071)&gt;1,"重複",""))</f>
        <v/>
      </c>
    </row>
    <row r="4072" customFormat="false" ht="16.5" hidden="false" customHeight="true" outlineLevel="0" collapsed="false">
      <c r="A4072" s="2" t="s">
        <v>447</v>
      </c>
      <c r="B4072" s="2" t="s">
        <v>470</v>
      </c>
      <c r="C4072" s="2" t="s">
        <v>3</v>
      </c>
      <c r="D4072" s="2" t="str">
        <f aca="false">IF(4キー同時!$B$292="","",4キー同時!$B$292)</f>
        <v/>
      </c>
      <c r="E4072" s="2" t="str">
        <f aca="false">IF(4キー同時!$G$292="","",4キー同時!$G$292)</f>
        <v/>
      </c>
      <c r="F4072" s="2" t="str">
        <f aca="false">IF(4キー同時!$L$292="","",4キー同時!$L$292)</f>
        <v/>
      </c>
      <c r="G4072" s="2" t="str">
        <f aca="false">IF(OR(4キー同時!$B$292="",4キー同時!$G$292="",4キー同時!$L$292=""),"",IF(4キー同時!R294="","",SUBSTITUTE(SUBSTITUTE(4キー同時!R294," ",""),"　","")))</f>
        <v/>
      </c>
      <c r="H4072" s="2" t="str">
        <f aca="false">IF($G4072="","",4キー同時!$B$292)</f>
        <v/>
      </c>
      <c r="I4072" s="2" t="str">
        <f aca="false">IF($G4072="","",4キー同時!$G$292)</f>
        <v/>
      </c>
      <c r="J4072" s="2" t="str">
        <f aca="false">IF($G4072="","",4キー同時!$L$292)</f>
        <v/>
      </c>
      <c r="K4072" s="2" t="str">
        <f aca="false">IF($G4072="","","4")</f>
        <v/>
      </c>
      <c r="L4072" s="2" t="str">
        <f aca="false">IF($G4072="","","同時")</f>
        <v/>
      </c>
      <c r="M4072" s="2" t="str">
        <f aca="false">IF($G4072="","",IF(ISNA(MATCH($G4072,個別指定!$A:$A,0)),"行なし",""))</f>
        <v/>
      </c>
      <c r="N4072" s="2" t="str">
        <f aca="false">IF($G4072="","",IF(COUNTIF($G$2:$G$4460,$G4072)&gt;1,"重複",""))</f>
        <v/>
      </c>
    </row>
    <row r="4073" customFormat="false" ht="16.5" hidden="false" customHeight="true" outlineLevel="0" collapsed="false">
      <c r="A4073" s="2" t="s">
        <v>447</v>
      </c>
      <c r="B4073" s="2" t="s">
        <v>470</v>
      </c>
      <c r="C4073" s="2" t="s">
        <v>4</v>
      </c>
      <c r="D4073" s="2" t="str">
        <f aca="false">IF(4キー同時!$B$292="","",4キー同時!$B$292)</f>
        <v/>
      </c>
      <c r="E4073" s="2" t="str">
        <f aca="false">IF(4キー同時!$G$292="","",4キー同時!$G$292)</f>
        <v/>
      </c>
      <c r="F4073" s="2" t="str">
        <f aca="false">IF(4キー同時!$L$292="","",4キー同時!$L$292)</f>
        <v/>
      </c>
      <c r="G4073" s="2" t="str">
        <f aca="false">IF(OR(4キー同時!$B$292="",4キー同時!$G$292="",4キー同時!$L$292=""),"",IF(4キー同時!V294="","",SUBSTITUTE(SUBSTITUTE(4キー同時!V294," ",""),"　","")))</f>
        <v/>
      </c>
      <c r="H4073" s="2" t="str">
        <f aca="false">IF($G4073="","",4キー同時!$B$292)</f>
        <v/>
      </c>
      <c r="I4073" s="2" t="str">
        <f aca="false">IF($G4073="","",4キー同時!$G$292)</f>
        <v/>
      </c>
      <c r="J4073" s="2" t="str">
        <f aca="false">IF($G4073="","",4キー同時!$L$292)</f>
        <v/>
      </c>
      <c r="K4073" s="2" t="str">
        <f aca="false">IF($G4073="","","5")</f>
        <v/>
      </c>
      <c r="L4073" s="2" t="str">
        <f aca="false">IF($G4073="","","同時")</f>
        <v/>
      </c>
      <c r="M4073" s="2" t="str">
        <f aca="false">IF($G4073="","",IF(ISNA(MATCH($G4073,個別指定!$A:$A,0)),"行なし",""))</f>
        <v/>
      </c>
      <c r="N4073" s="2" t="str">
        <f aca="false">IF($G4073="","",IF(COUNTIF($G$2:$G$4460,$G4073)&gt;1,"重複",""))</f>
        <v/>
      </c>
    </row>
    <row r="4074" customFormat="false" ht="16.5" hidden="false" customHeight="true" outlineLevel="0" collapsed="false">
      <c r="A4074" s="2" t="s">
        <v>447</v>
      </c>
      <c r="B4074" s="2" t="s">
        <v>470</v>
      </c>
      <c r="C4074" s="2" t="s">
        <v>5</v>
      </c>
      <c r="D4074" s="2" t="str">
        <f aca="false">IF(4キー同時!$B$292="","",4キー同時!$B$292)</f>
        <v/>
      </c>
      <c r="E4074" s="2" t="str">
        <f aca="false">IF(4キー同時!$G$292="","",4キー同時!$G$292)</f>
        <v/>
      </c>
      <c r="F4074" s="2" t="str">
        <f aca="false">IF(4キー同時!$L$292="","",4キー同時!$L$292)</f>
        <v/>
      </c>
      <c r="G4074" s="2" t="str">
        <f aca="false">IF(OR(4キー同時!$B$292="",4キー同時!$G$292="",4キー同時!$L$292=""),"",IF(4キー同時!Z294="","",SUBSTITUTE(SUBSTITUTE(4キー同時!Z294," ",""),"　","")))</f>
        <v/>
      </c>
      <c r="H4074" s="2" t="str">
        <f aca="false">IF($G4074="","",4キー同時!$B$292)</f>
        <v/>
      </c>
      <c r="I4074" s="2" t="str">
        <f aca="false">IF($G4074="","",4キー同時!$G$292)</f>
        <v/>
      </c>
      <c r="J4074" s="2" t="str">
        <f aca="false">IF($G4074="","",4キー同時!$L$292)</f>
        <v/>
      </c>
      <c r="K4074" s="2" t="str">
        <f aca="false">IF($G4074="","","6")</f>
        <v/>
      </c>
      <c r="L4074" s="2" t="str">
        <f aca="false">IF($G4074="","","同時")</f>
        <v/>
      </c>
      <c r="M4074" s="2" t="str">
        <f aca="false">IF($G4074="","",IF(ISNA(MATCH($G4074,個別指定!$A:$A,0)),"行なし",""))</f>
        <v/>
      </c>
      <c r="N4074" s="2" t="str">
        <f aca="false">IF($G4074="","",IF(COUNTIF($G$2:$G$4460,$G4074)&gt;1,"重複",""))</f>
        <v/>
      </c>
    </row>
    <row r="4075" customFormat="false" ht="16.5" hidden="false" customHeight="true" outlineLevel="0" collapsed="false">
      <c r="A4075" s="2" t="s">
        <v>447</v>
      </c>
      <c r="B4075" s="2" t="s">
        <v>470</v>
      </c>
      <c r="C4075" s="2" t="s">
        <v>6</v>
      </c>
      <c r="D4075" s="2" t="str">
        <f aca="false">IF(4キー同時!$B$292="","",4キー同時!$B$292)</f>
        <v/>
      </c>
      <c r="E4075" s="2" t="str">
        <f aca="false">IF(4キー同時!$G$292="","",4キー同時!$G$292)</f>
        <v/>
      </c>
      <c r="F4075" s="2" t="str">
        <f aca="false">IF(4キー同時!$L$292="","",4キー同時!$L$292)</f>
        <v/>
      </c>
      <c r="G4075" s="2" t="str">
        <f aca="false">IF(OR(4キー同時!$B$292="",4キー同時!$G$292="",4キー同時!$L$292=""),"",IF(4キー同時!AD294="","",SUBSTITUTE(SUBSTITUTE(4キー同時!AD294," ",""),"　","")))</f>
        <v/>
      </c>
      <c r="H4075" s="2" t="str">
        <f aca="false">IF($G4075="","",4キー同時!$B$292)</f>
        <v/>
      </c>
      <c r="I4075" s="2" t="str">
        <f aca="false">IF($G4075="","",4キー同時!$G$292)</f>
        <v/>
      </c>
      <c r="J4075" s="2" t="str">
        <f aca="false">IF($G4075="","",4キー同時!$L$292)</f>
        <v/>
      </c>
      <c r="K4075" s="2" t="str">
        <f aca="false">IF($G4075="","","7")</f>
        <v/>
      </c>
      <c r="L4075" s="2" t="str">
        <f aca="false">IF($G4075="","","同時")</f>
        <v/>
      </c>
      <c r="M4075" s="2" t="str">
        <f aca="false">IF($G4075="","",IF(ISNA(MATCH($G4075,個別指定!$A:$A,0)),"行なし",""))</f>
        <v/>
      </c>
      <c r="N4075" s="2" t="str">
        <f aca="false">IF($G4075="","",IF(COUNTIF($G$2:$G$4460,$G4075)&gt;1,"重複",""))</f>
        <v/>
      </c>
    </row>
    <row r="4076" customFormat="false" ht="16.5" hidden="false" customHeight="true" outlineLevel="0" collapsed="false">
      <c r="A4076" s="2" t="s">
        <v>447</v>
      </c>
      <c r="B4076" s="2" t="s">
        <v>470</v>
      </c>
      <c r="C4076" s="2" t="s">
        <v>7</v>
      </c>
      <c r="D4076" s="2" t="str">
        <f aca="false">IF(4キー同時!$B$292="","",4キー同時!$B$292)</f>
        <v/>
      </c>
      <c r="E4076" s="2" t="str">
        <f aca="false">IF(4キー同時!$G$292="","",4キー同時!$G$292)</f>
        <v/>
      </c>
      <c r="F4076" s="2" t="str">
        <f aca="false">IF(4キー同時!$L$292="","",4キー同時!$L$292)</f>
        <v/>
      </c>
      <c r="G4076" s="2" t="str">
        <f aca="false">IF(OR(4キー同時!$B$292="",4キー同時!$G$292="",4キー同時!$L$292=""),"",IF(4キー同時!AH294="","",SUBSTITUTE(SUBSTITUTE(4キー同時!AH294," ",""),"　","")))</f>
        <v/>
      </c>
      <c r="H4076" s="2" t="str">
        <f aca="false">IF($G4076="","",4キー同時!$B$292)</f>
        <v/>
      </c>
      <c r="I4076" s="2" t="str">
        <f aca="false">IF($G4076="","",4キー同時!$G$292)</f>
        <v/>
      </c>
      <c r="J4076" s="2" t="str">
        <f aca="false">IF($G4076="","",4キー同時!$L$292)</f>
        <v/>
      </c>
      <c r="K4076" s="2" t="str">
        <f aca="false">IF($G4076="","","8")</f>
        <v/>
      </c>
      <c r="L4076" s="2" t="str">
        <f aca="false">IF($G4076="","","同時")</f>
        <v/>
      </c>
      <c r="M4076" s="2" t="str">
        <f aca="false">IF($G4076="","",IF(ISNA(MATCH($G4076,個別指定!$A:$A,0)),"行なし",""))</f>
        <v/>
      </c>
      <c r="N4076" s="2" t="str">
        <f aca="false">IF($G4076="","",IF(COUNTIF($G$2:$G$4460,$G4076)&gt;1,"重複",""))</f>
        <v/>
      </c>
    </row>
    <row r="4077" customFormat="false" ht="16.5" hidden="false" customHeight="true" outlineLevel="0" collapsed="false">
      <c r="A4077" s="2" t="s">
        <v>447</v>
      </c>
      <c r="B4077" s="2" t="s">
        <v>470</v>
      </c>
      <c r="C4077" s="2" t="s">
        <v>8</v>
      </c>
      <c r="D4077" s="2" t="str">
        <f aca="false">IF(4キー同時!$B$292="","",4キー同時!$B$292)</f>
        <v/>
      </c>
      <c r="E4077" s="2" t="str">
        <f aca="false">IF(4キー同時!$G$292="","",4キー同時!$G$292)</f>
        <v/>
      </c>
      <c r="F4077" s="2" t="str">
        <f aca="false">IF(4キー同時!$L$292="","",4キー同時!$L$292)</f>
        <v/>
      </c>
      <c r="G4077" s="2" t="str">
        <f aca="false">IF(OR(4キー同時!$B$292="",4キー同時!$G$292="",4キー同時!$L$292=""),"",IF(4キー同時!AL294="","",SUBSTITUTE(SUBSTITUTE(4キー同時!AL294," ",""),"　","")))</f>
        <v/>
      </c>
      <c r="H4077" s="2" t="str">
        <f aca="false">IF($G4077="","",4キー同時!$B$292)</f>
        <v/>
      </c>
      <c r="I4077" s="2" t="str">
        <f aca="false">IF($G4077="","",4キー同時!$G$292)</f>
        <v/>
      </c>
      <c r="J4077" s="2" t="str">
        <f aca="false">IF($G4077="","",4キー同時!$L$292)</f>
        <v/>
      </c>
      <c r="K4077" s="2" t="str">
        <f aca="false">IF($G4077="","","9")</f>
        <v/>
      </c>
      <c r="L4077" s="2" t="str">
        <f aca="false">IF($G4077="","","同時")</f>
        <v/>
      </c>
      <c r="M4077" s="2" t="str">
        <f aca="false">IF($G4077="","",IF(ISNA(MATCH($G4077,個別指定!$A:$A,0)),"行なし",""))</f>
        <v/>
      </c>
      <c r="N4077" s="2" t="str">
        <f aca="false">IF($G4077="","",IF(COUNTIF($G$2:$G$4460,$G4077)&gt;1,"重複",""))</f>
        <v/>
      </c>
    </row>
    <row r="4078" customFormat="false" ht="16.5" hidden="false" customHeight="true" outlineLevel="0" collapsed="false">
      <c r="A4078" s="2" t="s">
        <v>447</v>
      </c>
      <c r="B4078" s="2" t="s">
        <v>470</v>
      </c>
      <c r="C4078" s="2" t="s">
        <v>9</v>
      </c>
      <c r="D4078" s="2" t="str">
        <f aca="false">IF(4キー同時!$B$292="","",4キー同時!$B$292)</f>
        <v/>
      </c>
      <c r="E4078" s="2" t="str">
        <f aca="false">IF(4キー同時!$G$292="","",4キー同時!$G$292)</f>
        <v/>
      </c>
      <c r="F4078" s="2" t="str">
        <f aca="false">IF(4キー同時!$L$292="","",4キー同時!$L$292)</f>
        <v/>
      </c>
      <c r="G4078" s="2" t="str">
        <f aca="false">IF(OR(4キー同時!$B$292="",4キー同時!$G$292="",4キー同時!$L$292=""),"",IF(4キー同時!AP294="","",SUBSTITUTE(SUBSTITUTE(4キー同時!AP294," ",""),"　","")))</f>
        <v/>
      </c>
      <c r="H4078" s="2" t="str">
        <f aca="false">IF($G4078="","",4キー同時!$B$292)</f>
        <v/>
      </c>
      <c r="I4078" s="2" t="str">
        <f aca="false">IF($G4078="","",4キー同時!$G$292)</f>
        <v/>
      </c>
      <c r="J4078" s="2" t="str">
        <f aca="false">IF($G4078="","",4キー同時!$L$292)</f>
        <v/>
      </c>
      <c r="K4078" s="2" t="str">
        <f aca="false">IF($G4078="","","0")</f>
        <v/>
      </c>
      <c r="L4078" s="2" t="str">
        <f aca="false">IF($G4078="","","同時")</f>
        <v/>
      </c>
      <c r="M4078" s="2" t="str">
        <f aca="false">IF($G4078="","",IF(ISNA(MATCH($G4078,個別指定!$A:$A,0)),"行なし",""))</f>
        <v/>
      </c>
      <c r="N4078" s="2" t="str">
        <f aca="false">IF($G4078="","",IF(COUNTIF($G$2:$G$4460,$G4078)&gt;1,"重複",""))</f>
        <v/>
      </c>
    </row>
    <row r="4079" customFormat="false" ht="16.5" hidden="false" customHeight="true" outlineLevel="0" collapsed="false">
      <c r="A4079" s="2" t="s">
        <v>447</v>
      </c>
      <c r="B4079" s="2" t="s">
        <v>470</v>
      </c>
      <c r="C4079" s="2" t="s">
        <v>10</v>
      </c>
      <c r="D4079" s="2" t="str">
        <f aca="false">IF(4キー同時!$B$292="","",4キー同時!$B$292)</f>
        <v/>
      </c>
      <c r="E4079" s="2" t="str">
        <f aca="false">IF(4キー同時!$G$292="","",4キー同時!$G$292)</f>
        <v/>
      </c>
      <c r="F4079" s="2" t="str">
        <f aca="false">IF(4キー同時!$L$292="","",4キー同時!$L$292)</f>
        <v/>
      </c>
      <c r="G4079" s="2" t="str">
        <f aca="false">IF(OR(4キー同時!$B$292="",4キー同時!$G$292="",4キー同時!$L$292=""),"",IF(4キー同時!AT294="","",SUBSTITUTE(SUBSTITUTE(4キー同時!AT294," ",""),"　","")))</f>
        <v/>
      </c>
      <c r="H4079" s="2" t="str">
        <f aca="false">IF($G4079="","",4キー同時!$B$292)</f>
        <v/>
      </c>
      <c r="I4079" s="2" t="str">
        <f aca="false">IF($G4079="","",4キー同時!$G$292)</f>
        <v/>
      </c>
      <c r="J4079" s="2" t="str">
        <f aca="false">IF($G4079="","",4キー同時!$L$292)</f>
        <v/>
      </c>
      <c r="K4079" s="2" t="str">
        <f aca="false">IF($G4079="","","-")</f>
        <v/>
      </c>
      <c r="L4079" s="2" t="str">
        <f aca="false">IF($G4079="","","同時")</f>
        <v/>
      </c>
      <c r="M4079" s="2" t="str">
        <f aca="false">IF($G4079="","",IF(ISNA(MATCH($G4079,個別指定!$A:$A,0)),"行なし",""))</f>
        <v/>
      </c>
      <c r="N4079" s="2" t="str">
        <f aca="false">IF($G4079="","",IF(COUNTIF($G$2:$G$4460,$G4079)&gt;1,"重複",""))</f>
        <v/>
      </c>
    </row>
    <row r="4080" customFormat="false" ht="16.5" hidden="false" customHeight="true" outlineLevel="0" collapsed="false">
      <c r="A4080" s="2" t="s">
        <v>447</v>
      </c>
      <c r="B4080" s="2" t="s">
        <v>470</v>
      </c>
      <c r="C4080" s="2" t="s">
        <v>11</v>
      </c>
      <c r="D4080" s="2" t="str">
        <f aca="false">IF(4キー同時!$B$292="","",4キー同時!$B$292)</f>
        <v/>
      </c>
      <c r="E4080" s="2" t="str">
        <f aca="false">IF(4キー同時!$G$292="","",4キー同時!$G$292)</f>
        <v/>
      </c>
      <c r="F4080" s="2" t="str">
        <f aca="false">IF(4キー同時!$L$292="","",4キー同時!$L$292)</f>
        <v/>
      </c>
      <c r="G4080" s="2" t="str">
        <f aca="false">IF(OR(4キー同時!$B$292="",4キー同時!$G$292="",4キー同時!$L$292=""),"",IF(4キー同時!AX294="","",SUBSTITUTE(SUBSTITUTE(4キー同時!AX294," ",""),"　","")))</f>
        <v/>
      </c>
      <c r="H4080" s="2" t="str">
        <f aca="false">IF($G4080="","",4キー同時!$B$292)</f>
        <v/>
      </c>
      <c r="I4080" s="2" t="str">
        <f aca="false">IF($G4080="","",4キー同時!$G$292)</f>
        <v/>
      </c>
      <c r="J4080" s="2" t="str">
        <f aca="false">IF($G4080="","",4キー同時!$L$292)</f>
        <v/>
      </c>
      <c r="K4080" s="2" t="str">
        <f aca="false">IF($G4080="","","=")</f>
        <v/>
      </c>
      <c r="L4080" s="2" t="str">
        <f aca="false">IF($G4080="","","同時")</f>
        <v/>
      </c>
      <c r="M4080" s="2" t="str">
        <f aca="false">IF($G4080="","",IF(ISNA(MATCH($G4080,個別指定!$A:$A,0)),"行なし",""))</f>
        <v/>
      </c>
      <c r="N4080" s="2" t="str">
        <f aca="false">IF($G4080="","",IF(COUNTIF($G$2:$G$4460,$G4080)&gt;1,"重複",""))</f>
        <v/>
      </c>
    </row>
    <row r="4081" customFormat="false" ht="16.5" hidden="false" customHeight="true" outlineLevel="0" collapsed="false">
      <c r="A4081" s="2" t="s">
        <v>447</v>
      </c>
      <c r="B4081" s="2" t="s">
        <v>470</v>
      </c>
      <c r="C4081" s="2" t="s">
        <v>12</v>
      </c>
      <c r="D4081" s="2" t="str">
        <f aca="false">IF(4キー同時!$B$292="","",4キー同時!$B$292)</f>
        <v/>
      </c>
      <c r="E4081" s="2" t="str">
        <f aca="false">IF(4キー同時!$G$292="","",4キー同時!$G$292)</f>
        <v/>
      </c>
      <c r="F4081" s="2" t="str">
        <f aca="false">IF(4キー同時!$L$292="","",4キー同時!$L$292)</f>
        <v/>
      </c>
      <c r="G4081" s="2" t="str">
        <f aca="false">IF(OR(4キー同時!$B$292="",4キー同時!$G$292="",4キー同時!$L$292=""),"",IF(4キー同時!H296="","",SUBSTITUTE(SUBSTITUTE(4キー同時!H296," ",""),"　","")))</f>
        <v/>
      </c>
      <c r="H4081" s="2" t="str">
        <f aca="false">IF($G4081="","",4キー同時!$B$292)</f>
        <v/>
      </c>
      <c r="I4081" s="2" t="str">
        <f aca="false">IF($G4081="","",4キー同時!$G$292)</f>
        <v/>
      </c>
      <c r="J4081" s="2" t="str">
        <f aca="false">IF($G4081="","",4キー同時!$L$292)</f>
        <v/>
      </c>
      <c r="K4081" s="2" t="str">
        <f aca="false">IF($G4081="","","q")</f>
        <v/>
      </c>
      <c r="L4081" s="2" t="str">
        <f aca="false">IF($G4081="","","同時")</f>
        <v/>
      </c>
      <c r="M4081" s="2" t="str">
        <f aca="false">IF($G4081="","",IF(ISNA(MATCH($G4081,個別指定!$A:$A,0)),"行なし",""))</f>
        <v/>
      </c>
      <c r="N4081" s="2" t="str">
        <f aca="false">IF($G4081="","",IF(COUNTIF($G$2:$G$4460,$G4081)&gt;1,"重複",""))</f>
        <v/>
      </c>
    </row>
    <row r="4082" customFormat="false" ht="16.5" hidden="false" customHeight="true" outlineLevel="0" collapsed="false">
      <c r="A4082" s="2" t="s">
        <v>447</v>
      </c>
      <c r="B4082" s="2" t="s">
        <v>470</v>
      </c>
      <c r="C4082" s="2" t="s">
        <v>13</v>
      </c>
      <c r="D4082" s="2" t="str">
        <f aca="false">IF(4キー同時!$B$292="","",4キー同時!$B$292)</f>
        <v/>
      </c>
      <c r="E4082" s="2" t="str">
        <f aca="false">IF(4キー同時!$G$292="","",4キー同時!$G$292)</f>
        <v/>
      </c>
      <c r="F4082" s="2" t="str">
        <f aca="false">IF(4キー同時!$L$292="","",4キー同時!$L$292)</f>
        <v/>
      </c>
      <c r="G4082" s="2" t="str">
        <f aca="false">IF(OR(4キー同時!$B$292="",4キー同時!$G$292="",4キー同時!$L$292=""),"",IF(4キー同時!L296="","",SUBSTITUTE(SUBSTITUTE(4キー同時!L296," ",""),"　","")))</f>
        <v/>
      </c>
      <c r="H4082" s="2" t="str">
        <f aca="false">IF($G4082="","",4キー同時!$B$292)</f>
        <v/>
      </c>
      <c r="I4082" s="2" t="str">
        <f aca="false">IF($G4082="","",4キー同時!$G$292)</f>
        <v/>
      </c>
      <c r="J4082" s="2" t="str">
        <f aca="false">IF($G4082="","",4キー同時!$L$292)</f>
        <v/>
      </c>
      <c r="K4082" s="2" t="str">
        <f aca="false">IF($G4082="","","w")</f>
        <v/>
      </c>
      <c r="L4082" s="2" t="str">
        <f aca="false">IF($G4082="","","同時")</f>
        <v/>
      </c>
      <c r="M4082" s="2" t="str">
        <f aca="false">IF($G4082="","",IF(ISNA(MATCH($G4082,個別指定!$A:$A,0)),"行なし",""))</f>
        <v/>
      </c>
      <c r="N4082" s="2" t="str">
        <f aca="false">IF($G4082="","",IF(COUNTIF($G$2:$G$4460,$G4082)&gt;1,"重複",""))</f>
        <v/>
      </c>
    </row>
    <row r="4083" customFormat="false" ht="16.5" hidden="false" customHeight="true" outlineLevel="0" collapsed="false">
      <c r="A4083" s="2" t="s">
        <v>447</v>
      </c>
      <c r="B4083" s="2" t="s">
        <v>470</v>
      </c>
      <c r="C4083" s="2" t="s">
        <v>14</v>
      </c>
      <c r="D4083" s="2" t="str">
        <f aca="false">IF(4キー同時!$B$292="","",4キー同時!$B$292)</f>
        <v/>
      </c>
      <c r="E4083" s="2" t="str">
        <f aca="false">IF(4キー同時!$G$292="","",4キー同時!$G$292)</f>
        <v/>
      </c>
      <c r="F4083" s="2" t="str">
        <f aca="false">IF(4キー同時!$L$292="","",4キー同時!$L$292)</f>
        <v/>
      </c>
      <c r="G4083" s="2" t="str">
        <f aca="false">IF(OR(4キー同時!$B$292="",4キー同時!$G$292="",4キー同時!$L$292=""),"",IF(4キー同時!P296="","",SUBSTITUTE(SUBSTITUTE(4キー同時!P296," ",""),"　","")))</f>
        <v/>
      </c>
      <c r="H4083" s="2" t="str">
        <f aca="false">IF($G4083="","",4キー同時!$B$292)</f>
        <v/>
      </c>
      <c r="I4083" s="2" t="str">
        <f aca="false">IF($G4083="","",4キー同時!$G$292)</f>
        <v/>
      </c>
      <c r="J4083" s="2" t="str">
        <f aca="false">IF($G4083="","",4キー同時!$L$292)</f>
        <v/>
      </c>
      <c r="K4083" s="2" t="str">
        <f aca="false">IF($G4083="","","e")</f>
        <v/>
      </c>
      <c r="L4083" s="2" t="str">
        <f aca="false">IF($G4083="","","同時")</f>
        <v/>
      </c>
      <c r="M4083" s="2" t="str">
        <f aca="false">IF($G4083="","",IF(ISNA(MATCH($G4083,個別指定!$A:$A,0)),"行なし",""))</f>
        <v/>
      </c>
      <c r="N4083" s="2" t="str">
        <f aca="false">IF($G4083="","",IF(COUNTIF($G$2:$G$4460,$G4083)&gt;1,"重複",""))</f>
        <v/>
      </c>
    </row>
    <row r="4084" customFormat="false" ht="16.5" hidden="false" customHeight="true" outlineLevel="0" collapsed="false">
      <c r="A4084" s="2" t="s">
        <v>447</v>
      </c>
      <c r="B4084" s="2" t="s">
        <v>470</v>
      </c>
      <c r="C4084" s="2" t="s">
        <v>15</v>
      </c>
      <c r="D4084" s="2" t="str">
        <f aca="false">IF(4キー同時!$B$292="","",4キー同時!$B$292)</f>
        <v/>
      </c>
      <c r="E4084" s="2" t="str">
        <f aca="false">IF(4キー同時!$G$292="","",4キー同時!$G$292)</f>
        <v/>
      </c>
      <c r="F4084" s="2" t="str">
        <f aca="false">IF(4キー同時!$L$292="","",4キー同時!$L$292)</f>
        <v/>
      </c>
      <c r="G4084" s="2" t="str">
        <f aca="false">IF(OR(4キー同時!$B$292="",4キー同時!$G$292="",4キー同時!$L$292=""),"",IF(4キー同時!T296="","",SUBSTITUTE(SUBSTITUTE(4キー同時!T296," ",""),"　","")))</f>
        <v/>
      </c>
      <c r="H4084" s="2" t="str">
        <f aca="false">IF($G4084="","",4キー同時!$B$292)</f>
        <v/>
      </c>
      <c r="I4084" s="2" t="str">
        <f aca="false">IF($G4084="","",4キー同時!$G$292)</f>
        <v/>
      </c>
      <c r="J4084" s="2" t="str">
        <f aca="false">IF($G4084="","",4キー同時!$L$292)</f>
        <v/>
      </c>
      <c r="K4084" s="2" t="str">
        <f aca="false">IF($G4084="","","r")</f>
        <v/>
      </c>
      <c r="L4084" s="2" t="str">
        <f aca="false">IF($G4084="","","同時")</f>
        <v/>
      </c>
      <c r="M4084" s="2" t="str">
        <f aca="false">IF($G4084="","",IF(ISNA(MATCH($G4084,個別指定!$A:$A,0)),"行なし",""))</f>
        <v/>
      </c>
      <c r="N4084" s="2" t="str">
        <f aca="false">IF($G4084="","",IF(COUNTIF($G$2:$G$4460,$G4084)&gt;1,"重複",""))</f>
        <v/>
      </c>
    </row>
    <row r="4085" customFormat="false" ht="16.5" hidden="false" customHeight="true" outlineLevel="0" collapsed="false">
      <c r="A4085" s="2" t="s">
        <v>447</v>
      </c>
      <c r="B4085" s="2" t="s">
        <v>470</v>
      </c>
      <c r="C4085" s="2" t="s">
        <v>16</v>
      </c>
      <c r="D4085" s="2" t="str">
        <f aca="false">IF(4キー同時!$B$292="","",4キー同時!$B$292)</f>
        <v/>
      </c>
      <c r="E4085" s="2" t="str">
        <f aca="false">IF(4キー同時!$G$292="","",4キー同時!$G$292)</f>
        <v/>
      </c>
      <c r="F4085" s="2" t="str">
        <f aca="false">IF(4キー同時!$L$292="","",4キー同時!$L$292)</f>
        <v/>
      </c>
      <c r="G4085" s="2" t="str">
        <f aca="false">IF(OR(4キー同時!$B$292="",4キー同時!$G$292="",4キー同時!$L$292=""),"",IF(4キー同時!X296="","",SUBSTITUTE(SUBSTITUTE(4キー同時!X296," ",""),"　","")))</f>
        <v/>
      </c>
      <c r="H4085" s="2" t="str">
        <f aca="false">IF($G4085="","",4キー同時!$B$292)</f>
        <v/>
      </c>
      <c r="I4085" s="2" t="str">
        <f aca="false">IF($G4085="","",4キー同時!$G$292)</f>
        <v/>
      </c>
      <c r="J4085" s="2" t="str">
        <f aca="false">IF($G4085="","",4キー同時!$L$292)</f>
        <v/>
      </c>
      <c r="K4085" s="2" t="str">
        <f aca="false">IF($G4085="","","t")</f>
        <v/>
      </c>
      <c r="L4085" s="2" t="str">
        <f aca="false">IF($G4085="","","同時")</f>
        <v/>
      </c>
      <c r="M4085" s="2" t="str">
        <f aca="false">IF($G4085="","",IF(ISNA(MATCH($G4085,個別指定!$A:$A,0)),"行なし",""))</f>
        <v/>
      </c>
      <c r="N4085" s="2" t="str">
        <f aca="false">IF($G4085="","",IF(COUNTIF($G$2:$G$4460,$G4085)&gt;1,"重複",""))</f>
        <v/>
      </c>
    </row>
    <row r="4086" customFormat="false" ht="16.5" hidden="false" customHeight="true" outlineLevel="0" collapsed="false">
      <c r="A4086" s="2" t="s">
        <v>447</v>
      </c>
      <c r="B4086" s="2" t="s">
        <v>470</v>
      </c>
      <c r="C4086" s="2" t="s">
        <v>17</v>
      </c>
      <c r="D4086" s="2" t="str">
        <f aca="false">IF(4キー同時!$B$292="","",4キー同時!$B$292)</f>
        <v/>
      </c>
      <c r="E4086" s="2" t="str">
        <f aca="false">IF(4キー同時!$G$292="","",4キー同時!$G$292)</f>
        <v/>
      </c>
      <c r="F4086" s="2" t="str">
        <f aca="false">IF(4キー同時!$L$292="","",4キー同時!$L$292)</f>
        <v/>
      </c>
      <c r="G4086" s="2" t="str">
        <f aca="false">IF(OR(4キー同時!$B$292="",4キー同時!$G$292="",4キー同時!$L$292=""),"",IF(4キー同時!AB296="","",SUBSTITUTE(SUBSTITUTE(4キー同時!AB296," ",""),"　","")))</f>
        <v/>
      </c>
      <c r="H4086" s="2" t="str">
        <f aca="false">IF($G4086="","",4キー同時!$B$292)</f>
        <v/>
      </c>
      <c r="I4086" s="2" t="str">
        <f aca="false">IF($G4086="","",4キー同時!$G$292)</f>
        <v/>
      </c>
      <c r="J4086" s="2" t="str">
        <f aca="false">IF($G4086="","",4キー同時!$L$292)</f>
        <v/>
      </c>
      <c r="K4086" s="2" t="str">
        <f aca="false">IF($G4086="","","y")</f>
        <v/>
      </c>
      <c r="L4086" s="2" t="str">
        <f aca="false">IF($G4086="","","同時")</f>
        <v/>
      </c>
      <c r="M4086" s="2" t="str">
        <f aca="false">IF($G4086="","",IF(ISNA(MATCH($G4086,個別指定!$A:$A,0)),"行なし",""))</f>
        <v/>
      </c>
      <c r="N4086" s="2" t="str">
        <f aca="false">IF($G4086="","",IF(COUNTIF($G$2:$G$4460,$G4086)&gt;1,"重複",""))</f>
        <v/>
      </c>
    </row>
    <row r="4087" customFormat="false" ht="16.5" hidden="false" customHeight="true" outlineLevel="0" collapsed="false">
      <c r="A4087" s="2" t="s">
        <v>447</v>
      </c>
      <c r="B4087" s="2" t="s">
        <v>470</v>
      </c>
      <c r="C4087" s="2" t="s">
        <v>18</v>
      </c>
      <c r="D4087" s="2" t="str">
        <f aca="false">IF(4キー同時!$B$292="","",4キー同時!$B$292)</f>
        <v/>
      </c>
      <c r="E4087" s="2" t="str">
        <f aca="false">IF(4キー同時!$G$292="","",4キー同時!$G$292)</f>
        <v/>
      </c>
      <c r="F4087" s="2" t="str">
        <f aca="false">IF(4キー同時!$L$292="","",4キー同時!$L$292)</f>
        <v/>
      </c>
      <c r="G4087" s="2" t="str">
        <f aca="false">IF(OR(4キー同時!$B$292="",4キー同時!$G$292="",4キー同時!$L$292=""),"",IF(4キー同時!AF296="","",SUBSTITUTE(SUBSTITUTE(4キー同時!AF296," ",""),"　","")))</f>
        <v/>
      </c>
      <c r="H4087" s="2" t="str">
        <f aca="false">IF($G4087="","",4キー同時!$B$292)</f>
        <v/>
      </c>
      <c r="I4087" s="2" t="str">
        <f aca="false">IF($G4087="","",4キー同時!$G$292)</f>
        <v/>
      </c>
      <c r="J4087" s="2" t="str">
        <f aca="false">IF($G4087="","",4キー同時!$L$292)</f>
        <v/>
      </c>
      <c r="K4087" s="2" t="str">
        <f aca="false">IF($G4087="","","u")</f>
        <v/>
      </c>
      <c r="L4087" s="2" t="str">
        <f aca="false">IF($G4087="","","同時")</f>
        <v/>
      </c>
      <c r="M4087" s="2" t="str">
        <f aca="false">IF($G4087="","",IF(ISNA(MATCH($G4087,個別指定!$A:$A,0)),"行なし",""))</f>
        <v/>
      </c>
      <c r="N4087" s="2" t="str">
        <f aca="false">IF($G4087="","",IF(COUNTIF($G$2:$G$4460,$G4087)&gt;1,"重複",""))</f>
        <v/>
      </c>
    </row>
    <row r="4088" customFormat="false" ht="16.5" hidden="false" customHeight="true" outlineLevel="0" collapsed="false">
      <c r="A4088" s="2" t="s">
        <v>447</v>
      </c>
      <c r="B4088" s="2" t="s">
        <v>470</v>
      </c>
      <c r="C4088" s="2" t="s">
        <v>19</v>
      </c>
      <c r="D4088" s="2" t="str">
        <f aca="false">IF(4キー同時!$B$292="","",4キー同時!$B$292)</f>
        <v/>
      </c>
      <c r="E4088" s="2" t="str">
        <f aca="false">IF(4キー同時!$G$292="","",4キー同時!$G$292)</f>
        <v/>
      </c>
      <c r="F4088" s="2" t="str">
        <f aca="false">IF(4キー同時!$L$292="","",4キー同時!$L$292)</f>
        <v/>
      </c>
      <c r="G4088" s="2" t="str">
        <f aca="false">IF(OR(4キー同時!$B$292="",4キー同時!$G$292="",4キー同時!$L$292=""),"",IF(4キー同時!AJ296="","",SUBSTITUTE(SUBSTITUTE(4キー同時!AJ296," ",""),"　","")))</f>
        <v/>
      </c>
      <c r="H4088" s="2" t="str">
        <f aca="false">IF($G4088="","",4キー同時!$B$292)</f>
        <v/>
      </c>
      <c r="I4088" s="2" t="str">
        <f aca="false">IF($G4088="","",4キー同時!$G$292)</f>
        <v/>
      </c>
      <c r="J4088" s="2" t="str">
        <f aca="false">IF($G4088="","",4キー同時!$L$292)</f>
        <v/>
      </c>
      <c r="K4088" s="2" t="str">
        <f aca="false">IF($G4088="","","i")</f>
        <v/>
      </c>
      <c r="L4088" s="2" t="str">
        <f aca="false">IF($G4088="","","同時")</f>
        <v/>
      </c>
      <c r="M4088" s="2" t="str">
        <f aca="false">IF($G4088="","",IF(ISNA(MATCH($G4088,個別指定!$A:$A,0)),"行なし",""))</f>
        <v/>
      </c>
      <c r="N4088" s="2" t="str">
        <f aca="false">IF($G4088="","",IF(COUNTIF($G$2:$G$4460,$G4088)&gt;1,"重複",""))</f>
        <v/>
      </c>
    </row>
    <row r="4089" customFormat="false" ht="16.5" hidden="false" customHeight="true" outlineLevel="0" collapsed="false">
      <c r="A4089" s="2" t="s">
        <v>447</v>
      </c>
      <c r="B4089" s="2" t="s">
        <v>470</v>
      </c>
      <c r="C4089" s="2" t="s">
        <v>20</v>
      </c>
      <c r="D4089" s="2" t="str">
        <f aca="false">IF(4キー同時!$B$292="","",4キー同時!$B$292)</f>
        <v/>
      </c>
      <c r="E4089" s="2" t="str">
        <f aca="false">IF(4キー同時!$G$292="","",4キー同時!$G$292)</f>
        <v/>
      </c>
      <c r="F4089" s="2" t="str">
        <f aca="false">IF(4キー同時!$L$292="","",4キー同時!$L$292)</f>
        <v/>
      </c>
      <c r="G4089" s="2" t="str">
        <f aca="false">IF(OR(4キー同時!$B$292="",4キー同時!$G$292="",4キー同時!$L$292=""),"",IF(4キー同時!AN296="","",SUBSTITUTE(SUBSTITUTE(4キー同時!AN296," ",""),"　","")))</f>
        <v/>
      </c>
      <c r="H4089" s="2" t="str">
        <f aca="false">IF($G4089="","",4キー同時!$B$292)</f>
        <v/>
      </c>
      <c r="I4089" s="2" t="str">
        <f aca="false">IF($G4089="","",4キー同時!$G$292)</f>
        <v/>
      </c>
      <c r="J4089" s="2" t="str">
        <f aca="false">IF($G4089="","",4キー同時!$L$292)</f>
        <v/>
      </c>
      <c r="K4089" s="2" t="str">
        <f aca="false">IF($G4089="","","o")</f>
        <v/>
      </c>
      <c r="L4089" s="2" t="str">
        <f aca="false">IF($G4089="","","同時")</f>
        <v/>
      </c>
      <c r="M4089" s="2" t="str">
        <f aca="false">IF($G4089="","",IF(ISNA(MATCH($G4089,個別指定!$A:$A,0)),"行なし",""))</f>
        <v/>
      </c>
      <c r="N4089" s="2" t="str">
        <f aca="false">IF($G4089="","",IF(COUNTIF($G$2:$G$4460,$G4089)&gt;1,"重複",""))</f>
        <v/>
      </c>
    </row>
    <row r="4090" customFormat="false" ht="16.5" hidden="false" customHeight="true" outlineLevel="0" collapsed="false">
      <c r="A4090" s="2" t="s">
        <v>447</v>
      </c>
      <c r="B4090" s="2" t="s">
        <v>470</v>
      </c>
      <c r="C4090" s="2" t="s">
        <v>21</v>
      </c>
      <c r="D4090" s="2" t="str">
        <f aca="false">IF(4キー同時!$B$292="","",4キー同時!$B$292)</f>
        <v/>
      </c>
      <c r="E4090" s="2" t="str">
        <f aca="false">IF(4キー同時!$G$292="","",4キー同時!$G$292)</f>
        <v/>
      </c>
      <c r="F4090" s="2" t="str">
        <f aca="false">IF(4キー同時!$L$292="","",4キー同時!$L$292)</f>
        <v/>
      </c>
      <c r="G4090" s="2" t="str">
        <f aca="false">IF(OR(4キー同時!$B$292="",4キー同時!$G$292="",4キー同時!$L$292=""),"",IF(4キー同時!AR296="","",SUBSTITUTE(SUBSTITUTE(4キー同時!AR296," ",""),"　","")))</f>
        <v/>
      </c>
      <c r="H4090" s="2" t="str">
        <f aca="false">IF($G4090="","",4キー同時!$B$292)</f>
        <v/>
      </c>
      <c r="I4090" s="2" t="str">
        <f aca="false">IF($G4090="","",4キー同時!$G$292)</f>
        <v/>
      </c>
      <c r="J4090" s="2" t="str">
        <f aca="false">IF($G4090="","",4キー同時!$L$292)</f>
        <v/>
      </c>
      <c r="K4090" s="2" t="str">
        <f aca="false">IF($G4090="","","p")</f>
        <v/>
      </c>
      <c r="L4090" s="2" t="str">
        <f aca="false">IF($G4090="","","同時")</f>
        <v/>
      </c>
      <c r="M4090" s="2" t="str">
        <f aca="false">IF($G4090="","",IF(ISNA(MATCH($G4090,個別指定!$A:$A,0)),"行なし",""))</f>
        <v/>
      </c>
      <c r="N4090" s="2" t="str">
        <f aca="false">IF($G4090="","",IF(COUNTIF($G$2:$G$4460,$G4090)&gt;1,"重複",""))</f>
        <v/>
      </c>
    </row>
    <row r="4091" customFormat="false" ht="16.5" hidden="false" customHeight="true" outlineLevel="0" collapsed="false">
      <c r="A4091" s="2" t="s">
        <v>447</v>
      </c>
      <c r="B4091" s="2" t="s">
        <v>470</v>
      </c>
      <c r="C4091" s="2" t="s">
        <v>22</v>
      </c>
      <c r="D4091" s="2" t="str">
        <f aca="false">IF(4キー同時!$B$292="","",4キー同時!$B$292)</f>
        <v/>
      </c>
      <c r="E4091" s="2" t="str">
        <f aca="false">IF(4キー同時!$G$292="","",4キー同時!$G$292)</f>
        <v/>
      </c>
      <c r="F4091" s="2" t="str">
        <f aca="false">IF(4キー同時!$L$292="","",4キー同時!$L$292)</f>
        <v/>
      </c>
      <c r="G4091" s="2" t="str">
        <f aca="false">IF(OR(4キー同時!$B$292="",4キー同時!$G$292="",4キー同時!$L$292=""),"",IF(4キー同時!AV296="","",SUBSTITUTE(SUBSTITUTE(4キー同時!AV296," ",""),"　","")))</f>
        <v/>
      </c>
      <c r="H4091" s="2" t="str">
        <f aca="false">IF($G4091="","",4キー同時!$B$292)</f>
        <v/>
      </c>
      <c r="I4091" s="2" t="str">
        <f aca="false">IF($G4091="","",4キー同時!$G$292)</f>
        <v/>
      </c>
      <c r="J4091" s="2" t="str">
        <f aca="false">IF($G4091="","",4キー同時!$L$292)</f>
        <v/>
      </c>
      <c r="K4091" s="2" t="str">
        <f aca="false">IF($G4091="","","[")</f>
        <v/>
      </c>
      <c r="L4091" s="2" t="str">
        <f aca="false">IF($G4091="","","同時")</f>
        <v/>
      </c>
      <c r="M4091" s="2" t="str">
        <f aca="false">IF($G4091="","",IF(ISNA(MATCH($G4091,個別指定!$A:$A,0)),"行なし",""))</f>
        <v/>
      </c>
      <c r="N4091" s="2" t="str">
        <f aca="false">IF($G4091="","",IF(COUNTIF($G$2:$G$4460,$G4091)&gt;1,"重複",""))</f>
        <v/>
      </c>
    </row>
    <row r="4092" customFormat="false" ht="16.5" hidden="false" customHeight="true" outlineLevel="0" collapsed="false">
      <c r="A4092" s="2" t="s">
        <v>447</v>
      </c>
      <c r="B4092" s="2" t="s">
        <v>470</v>
      </c>
      <c r="C4092" s="2" t="s">
        <v>23</v>
      </c>
      <c r="D4092" s="2" t="str">
        <f aca="false">IF(4キー同時!$B$292="","",4キー同時!$B$292)</f>
        <v/>
      </c>
      <c r="E4092" s="2" t="str">
        <f aca="false">IF(4キー同時!$G$292="","",4キー同時!$G$292)</f>
        <v/>
      </c>
      <c r="F4092" s="2" t="str">
        <f aca="false">IF(4キー同時!$L$292="","",4キー同時!$L$292)</f>
        <v/>
      </c>
      <c r="G4092" s="2" t="str">
        <f aca="false">IF(OR(4キー同時!$B$292="",4キー同時!$G$292="",4キー同時!$L$292=""),"",IF(4キー同時!AZ296="","",SUBSTITUTE(SUBSTITUTE(4キー同時!AZ296," ",""),"　","")))</f>
        <v/>
      </c>
      <c r="H4092" s="2" t="str">
        <f aca="false">IF($G4092="","",4キー同時!$B$292)</f>
        <v/>
      </c>
      <c r="I4092" s="2" t="str">
        <f aca="false">IF($G4092="","",4キー同時!$G$292)</f>
        <v/>
      </c>
      <c r="J4092" s="2" t="str">
        <f aca="false">IF($G4092="","",4キー同時!$L$292)</f>
        <v/>
      </c>
      <c r="K4092" s="2" t="str">
        <f aca="false">IF($G4092="","","]")</f>
        <v/>
      </c>
      <c r="L4092" s="2" t="str">
        <f aca="false">IF($G4092="","","同時")</f>
        <v/>
      </c>
      <c r="M4092" s="2" t="str">
        <f aca="false">IF($G4092="","",IF(ISNA(MATCH($G4092,個別指定!$A:$A,0)),"行なし",""))</f>
        <v/>
      </c>
      <c r="N4092" s="2" t="str">
        <f aca="false">IF($G4092="","",IF(COUNTIF($G$2:$G$4460,$G4092)&gt;1,"重複",""))</f>
        <v/>
      </c>
    </row>
    <row r="4093" customFormat="false" ht="16.5" hidden="false" customHeight="true" outlineLevel="0" collapsed="false">
      <c r="A4093" s="2" t="s">
        <v>447</v>
      </c>
      <c r="B4093" s="2" t="s">
        <v>470</v>
      </c>
      <c r="C4093" s="2" t="s">
        <v>24</v>
      </c>
      <c r="D4093" s="2" t="str">
        <f aca="false">IF(4キー同時!$B$292="","",4キー同時!$B$292)</f>
        <v/>
      </c>
      <c r="E4093" s="2" t="str">
        <f aca="false">IF(4キー同時!$G$292="","",4キー同時!$G$292)</f>
        <v/>
      </c>
      <c r="F4093" s="2" t="str">
        <f aca="false">IF(4キー同時!$L$292="","",4キー同時!$L$292)</f>
        <v/>
      </c>
      <c r="G4093" s="2" t="str">
        <f aca="false">IF(OR(4キー同時!$B$292="",4キー同時!$G$292="",4キー同時!$L$292=""),"",IF(4キー同時!I298="","",SUBSTITUTE(SUBSTITUTE(4キー同時!I298," ",""),"　","")))</f>
        <v/>
      </c>
      <c r="H4093" s="2" t="str">
        <f aca="false">IF($G4093="","",4キー同時!$B$292)</f>
        <v/>
      </c>
      <c r="I4093" s="2" t="str">
        <f aca="false">IF($G4093="","",4キー同時!$G$292)</f>
        <v/>
      </c>
      <c r="J4093" s="2" t="str">
        <f aca="false">IF($G4093="","",4キー同時!$L$292)</f>
        <v/>
      </c>
      <c r="K4093" s="2" t="str">
        <f aca="false">IF($G4093="","","a")</f>
        <v/>
      </c>
      <c r="L4093" s="2" t="str">
        <f aca="false">IF($G4093="","","同時")</f>
        <v/>
      </c>
      <c r="M4093" s="2" t="str">
        <f aca="false">IF($G4093="","",IF(ISNA(MATCH($G4093,個別指定!$A:$A,0)),"行なし",""))</f>
        <v/>
      </c>
      <c r="N4093" s="2" t="str">
        <f aca="false">IF($G4093="","",IF(COUNTIF($G$2:$G$4460,$G4093)&gt;1,"重複",""))</f>
        <v/>
      </c>
    </row>
    <row r="4094" customFormat="false" ht="16.5" hidden="false" customHeight="true" outlineLevel="0" collapsed="false">
      <c r="A4094" s="2" t="s">
        <v>447</v>
      </c>
      <c r="B4094" s="2" t="s">
        <v>470</v>
      </c>
      <c r="C4094" s="2" t="s">
        <v>25</v>
      </c>
      <c r="D4094" s="2" t="str">
        <f aca="false">IF(4キー同時!$B$292="","",4キー同時!$B$292)</f>
        <v/>
      </c>
      <c r="E4094" s="2" t="str">
        <f aca="false">IF(4キー同時!$G$292="","",4キー同時!$G$292)</f>
        <v/>
      </c>
      <c r="F4094" s="2" t="str">
        <f aca="false">IF(4キー同時!$L$292="","",4キー同時!$L$292)</f>
        <v/>
      </c>
      <c r="G4094" s="2" t="str">
        <f aca="false">IF(OR(4キー同時!$B$292="",4キー同時!$G$292="",4キー同時!$L$292=""),"",IF(4キー同時!M298="","",SUBSTITUTE(SUBSTITUTE(4キー同時!M298," ",""),"　","")))</f>
        <v/>
      </c>
      <c r="H4094" s="2" t="str">
        <f aca="false">IF($G4094="","",4キー同時!$B$292)</f>
        <v/>
      </c>
      <c r="I4094" s="2" t="str">
        <f aca="false">IF($G4094="","",4キー同時!$G$292)</f>
        <v/>
      </c>
      <c r="J4094" s="2" t="str">
        <f aca="false">IF($G4094="","",4キー同時!$L$292)</f>
        <v/>
      </c>
      <c r="K4094" s="2" t="str">
        <f aca="false">IF($G4094="","","s")</f>
        <v/>
      </c>
      <c r="L4094" s="2" t="str">
        <f aca="false">IF($G4094="","","同時")</f>
        <v/>
      </c>
      <c r="M4094" s="2" t="str">
        <f aca="false">IF($G4094="","",IF(ISNA(MATCH($G4094,個別指定!$A:$A,0)),"行なし",""))</f>
        <v/>
      </c>
      <c r="N4094" s="2" t="str">
        <f aca="false">IF($G4094="","",IF(COUNTIF($G$2:$G$4460,$G4094)&gt;1,"重複",""))</f>
        <v/>
      </c>
    </row>
    <row r="4095" customFormat="false" ht="16.5" hidden="false" customHeight="true" outlineLevel="0" collapsed="false">
      <c r="A4095" s="2" t="s">
        <v>447</v>
      </c>
      <c r="B4095" s="2" t="s">
        <v>470</v>
      </c>
      <c r="C4095" s="2" t="s">
        <v>26</v>
      </c>
      <c r="D4095" s="2" t="str">
        <f aca="false">IF(4キー同時!$B$292="","",4キー同時!$B$292)</f>
        <v/>
      </c>
      <c r="E4095" s="2" t="str">
        <f aca="false">IF(4キー同時!$G$292="","",4キー同時!$G$292)</f>
        <v/>
      </c>
      <c r="F4095" s="2" t="str">
        <f aca="false">IF(4キー同時!$L$292="","",4キー同時!$L$292)</f>
        <v/>
      </c>
      <c r="G4095" s="2" t="str">
        <f aca="false">IF(OR(4キー同時!$B$292="",4キー同時!$G$292="",4キー同時!$L$292=""),"",IF(4キー同時!Q298="","",SUBSTITUTE(SUBSTITUTE(4キー同時!Q298," ",""),"　","")))</f>
        <v/>
      </c>
      <c r="H4095" s="2" t="str">
        <f aca="false">IF($G4095="","",4キー同時!$B$292)</f>
        <v/>
      </c>
      <c r="I4095" s="2" t="str">
        <f aca="false">IF($G4095="","",4キー同時!$G$292)</f>
        <v/>
      </c>
      <c r="J4095" s="2" t="str">
        <f aca="false">IF($G4095="","",4キー同時!$L$292)</f>
        <v/>
      </c>
      <c r="K4095" s="2" t="str">
        <f aca="false">IF($G4095="","","d")</f>
        <v/>
      </c>
      <c r="L4095" s="2" t="str">
        <f aca="false">IF($G4095="","","同時")</f>
        <v/>
      </c>
      <c r="M4095" s="2" t="str">
        <f aca="false">IF($G4095="","",IF(ISNA(MATCH($G4095,個別指定!$A:$A,0)),"行なし",""))</f>
        <v/>
      </c>
      <c r="N4095" s="2" t="str">
        <f aca="false">IF($G4095="","",IF(COUNTIF($G$2:$G$4460,$G4095)&gt;1,"重複",""))</f>
        <v/>
      </c>
    </row>
    <row r="4096" customFormat="false" ht="16.5" hidden="false" customHeight="true" outlineLevel="0" collapsed="false">
      <c r="A4096" s="2" t="s">
        <v>447</v>
      </c>
      <c r="B4096" s="2" t="s">
        <v>470</v>
      </c>
      <c r="C4096" s="2" t="s">
        <v>27</v>
      </c>
      <c r="D4096" s="2" t="str">
        <f aca="false">IF(4キー同時!$B$292="","",4キー同時!$B$292)</f>
        <v/>
      </c>
      <c r="E4096" s="2" t="str">
        <f aca="false">IF(4キー同時!$G$292="","",4キー同時!$G$292)</f>
        <v/>
      </c>
      <c r="F4096" s="2" t="str">
        <f aca="false">IF(4キー同時!$L$292="","",4キー同時!$L$292)</f>
        <v/>
      </c>
      <c r="G4096" s="2" t="str">
        <f aca="false">IF(OR(4キー同時!$B$292="",4キー同時!$G$292="",4キー同時!$L$292=""),"",IF(4キー同時!U298="","",SUBSTITUTE(SUBSTITUTE(4キー同時!U298," ",""),"　","")))</f>
        <v/>
      </c>
      <c r="H4096" s="2" t="str">
        <f aca="false">IF($G4096="","",4キー同時!$B$292)</f>
        <v/>
      </c>
      <c r="I4096" s="2" t="str">
        <f aca="false">IF($G4096="","",4キー同時!$G$292)</f>
        <v/>
      </c>
      <c r="J4096" s="2" t="str">
        <f aca="false">IF($G4096="","",4キー同時!$L$292)</f>
        <v/>
      </c>
      <c r="K4096" s="2" t="str">
        <f aca="false">IF($G4096="","","f")</f>
        <v/>
      </c>
      <c r="L4096" s="2" t="str">
        <f aca="false">IF($G4096="","","同時")</f>
        <v/>
      </c>
      <c r="M4096" s="2" t="str">
        <f aca="false">IF($G4096="","",IF(ISNA(MATCH($G4096,個別指定!$A:$A,0)),"行なし",""))</f>
        <v/>
      </c>
      <c r="N4096" s="2" t="str">
        <f aca="false">IF($G4096="","",IF(COUNTIF($G$2:$G$4460,$G4096)&gt;1,"重複",""))</f>
        <v/>
      </c>
    </row>
    <row r="4097" customFormat="false" ht="16.5" hidden="false" customHeight="true" outlineLevel="0" collapsed="false">
      <c r="A4097" s="2" t="s">
        <v>447</v>
      </c>
      <c r="B4097" s="2" t="s">
        <v>470</v>
      </c>
      <c r="C4097" s="2" t="s">
        <v>28</v>
      </c>
      <c r="D4097" s="2" t="str">
        <f aca="false">IF(4キー同時!$B$292="","",4キー同時!$B$292)</f>
        <v/>
      </c>
      <c r="E4097" s="2" t="str">
        <f aca="false">IF(4キー同時!$G$292="","",4キー同時!$G$292)</f>
        <v/>
      </c>
      <c r="F4097" s="2" t="str">
        <f aca="false">IF(4キー同時!$L$292="","",4キー同時!$L$292)</f>
        <v/>
      </c>
      <c r="G4097" s="2" t="str">
        <f aca="false">IF(OR(4キー同時!$B$292="",4キー同時!$G$292="",4キー同時!$L$292=""),"",IF(4キー同時!Y298="","",SUBSTITUTE(SUBSTITUTE(4キー同時!Y298," ",""),"　","")))</f>
        <v/>
      </c>
      <c r="H4097" s="2" t="str">
        <f aca="false">IF($G4097="","",4キー同時!$B$292)</f>
        <v/>
      </c>
      <c r="I4097" s="2" t="str">
        <f aca="false">IF($G4097="","",4キー同時!$G$292)</f>
        <v/>
      </c>
      <c r="J4097" s="2" t="str">
        <f aca="false">IF($G4097="","",4キー同時!$L$292)</f>
        <v/>
      </c>
      <c r="K4097" s="2" t="str">
        <f aca="false">IF($G4097="","","g")</f>
        <v/>
      </c>
      <c r="L4097" s="2" t="str">
        <f aca="false">IF($G4097="","","同時")</f>
        <v/>
      </c>
      <c r="M4097" s="2" t="str">
        <f aca="false">IF($G4097="","",IF(ISNA(MATCH($G4097,個別指定!$A:$A,0)),"行なし",""))</f>
        <v/>
      </c>
      <c r="N4097" s="2" t="str">
        <f aca="false">IF($G4097="","",IF(COUNTIF($G$2:$G$4460,$G4097)&gt;1,"重複",""))</f>
        <v/>
      </c>
    </row>
    <row r="4098" customFormat="false" ht="16.5" hidden="false" customHeight="true" outlineLevel="0" collapsed="false">
      <c r="A4098" s="2" t="s">
        <v>447</v>
      </c>
      <c r="B4098" s="2" t="s">
        <v>470</v>
      </c>
      <c r="C4098" s="2" t="s">
        <v>29</v>
      </c>
      <c r="D4098" s="2" t="str">
        <f aca="false">IF(4キー同時!$B$292="","",4キー同時!$B$292)</f>
        <v/>
      </c>
      <c r="E4098" s="2" t="str">
        <f aca="false">IF(4キー同時!$G$292="","",4キー同時!$G$292)</f>
        <v/>
      </c>
      <c r="F4098" s="2" t="str">
        <f aca="false">IF(4キー同時!$L$292="","",4キー同時!$L$292)</f>
        <v/>
      </c>
      <c r="G4098" s="2" t="str">
        <f aca="false">IF(OR(4キー同時!$B$292="",4キー同時!$G$292="",4キー同時!$L$292=""),"",IF(4キー同時!AC298="","",SUBSTITUTE(SUBSTITUTE(4キー同時!AC298," ",""),"　","")))</f>
        <v/>
      </c>
      <c r="H4098" s="2" t="str">
        <f aca="false">IF($G4098="","",4キー同時!$B$292)</f>
        <v/>
      </c>
      <c r="I4098" s="2" t="str">
        <f aca="false">IF($G4098="","",4キー同時!$G$292)</f>
        <v/>
      </c>
      <c r="J4098" s="2" t="str">
        <f aca="false">IF($G4098="","",4キー同時!$L$292)</f>
        <v/>
      </c>
      <c r="K4098" s="2" t="str">
        <f aca="false">IF($G4098="","","h")</f>
        <v/>
      </c>
      <c r="L4098" s="2" t="str">
        <f aca="false">IF($G4098="","","同時")</f>
        <v/>
      </c>
      <c r="M4098" s="2" t="str">
        <f aca="false">IF($G4098="","",IF(ISNA(MATCH($G4098,個別指定!$A:$A,0)),"行なし",""))</f>
        <v/>
      </c>
      <c r="N4098" s="2" t="str">
        <f aca="false">IF($G4098="","",IF(COUNTIF($G$2:$G$4460,$G4098)&gt;1,"重複",""))</f>
        <v/>
      </c>
    </row>
    <row r="4099" customFormat="false" ht="16.5" hidden="false" customHeight="true" outlineLevel="0" collapsed="false">
      <c r="A4099" s="2" t="s">
        <v>447</v>
      </c>
      <c r="B4099" s="2" t="s">
        <v>470</v>
      </c>
      <c r="C4099" s="2" t="s">
        <v>30</v>
      </c>
      <c r="D4099" s="2" t="str">
        <f aca="false">IF(4キー同時!$B$292="","",4キー同時!$B$292)</f>
        <v/>
      </c>
      <c r="E4099" s="2" t="str">
        <f aca="false">IF(4キー同時!$G$292="","",4キー同時!$G$292)</f>
        <v/>
      </c>
      <c r="F4099" s="2" t="str">
        <f aca="false">IF(4キー同時!$L$292="","",4キー同時!$L$292)</f>
        <v/>
      </c>
      <c r="G4099" s="2" t="str">
        <f aca="false">IF(OR(4キー同時!$B$292="",4キー同時!$G$292="",4キー同時!$L$292=""),"",IF(4キー同時!AG298="","",SUBSTITUTE(SUBSTITUTE(4キー同時!AG298," ",""),"　","")))</f>
        <v/>
      </c>
      <c r="H4099" s="2" t="str">
        <f aca="false">IF($G4099="","",4キー同時!$B$292)</f>
        <v/>
      </c>
      <c r="I4099" s="2" t="str">
        <f aca="false">IF($G4099="","",4キー同時!$G$292)</f>
        <v/>
      </c>
      <c r="J4099" s="2" t="str">
        <f aca="false">IF($G4099="","",4キー同時!$L$292)</f>
        <v/>
      </c>
      <c r="K4099" s="2" t="str">
        <f aca="false">IF($G4099="","","j")</f>
        <v/>
      </c>
      <c r="L4099" s="2" t="str">
        <f aca="false">IF($G4099="","","同時")</f>
        <v/>
      </c>
      <c r="M4099" s="2" t="str">
        <f aca="false">IF($G4099="","",IF(ISNA(MATCH($G4099,個別指定!$A:$A,0)),"行なし",""))</f>
        <v/>
      </c>
      <c r="N4099" s="2" t="str">
        <f aca="false">IF($G4099="","",IF(COUNTIF($G$2:$G$4460,$G4099)&gt;1,"重複",""))</f>
        <v/>
      </c>
    </row>
    <row r="4100" customFormat="false" ht="16.5" hidden="false" customHeight="true" outlineLevel="0" collapsed="false">
      <c r="A4100" s="2" t="s">
        <v>447</v>
      </c>
      <c r="B4100" s="2" t="s">
        <v>470</v>
      </c>
      <c r="C4100" s="2" t="s">
        <v>31</v>
      </c>
      <c r="D4100" s="2" t="str">
        <f aca="false">IF(4キー同時!$B$292="","",4キー同時!$B$292)</f>
        <v/>
      </c>
      <c r="E4100" s="2" t="str">
        <f aca="false">IF(4キー同時!$G$292="","",4キー同時!$G$292)</f>
        <v/>
      </c>
      <c r="F4100" s="2" t="str">
        <f aca="false">IF(4キー同時!$L$292="","",4キー同時!$L$292)</f>
        <v/>
      </c>
      <c r="G4100" s="2" t="str">
        <f aca="false">IF(OR(4キー同時!$B$292="",4キー同時!$G$292="",4キー同時!$L$292=""),"",IF(4キー同時!AK298="","",SUBSTITUTE(SUBSTITUTE(4キー同時!AK298," ",""),"　","")))</f>
        <v/>
      </c>
      <c r="H4100" s="2" t="str">
        <f aca="false">IF($G4100="","",4キー同時!$B$292)</f>
        <v/>
      </c>
      <c r="I4100" s="2" t="str">
        <f aca="false">IF($G4100="","",4キー同時!$G$292)</f>
        <v/>
      </c>
      <c r="J4100" s="2" t="str">
        <f aca="false">IF($G4100="","",4キー同時!$L$292)</f>
        <v/>
      </c>
      <c r="K4100" s="2" t="str">
        <f aca="false">IF($G4100="","","k")</f>
        <v/>
      </c>
      <c r="L4100" s="2" t="str">
        <f aca="false">IF($G4100="","","同時")</f>
        <v/>
      </c>
      <c r="M4100" s="2" t="str">
        <f aca="false">IF($G4100="","",IF(ISNA(MATCH($G4100,個別指定!$A:$A,0)),"行なし",""))</f>
        <v/>
      </c>
      <c r="N4100" s="2" t="str">
        <f aca="false">IF($G4100="","",IF(COUNTIF($G$2:$G$4460,$G4100)&gt;1,"重複",""))</f>
        <v/>
      </c>
    </row>
    <row r="4101" customFormat="false" ht="16.5" hidden="false" customHeight="true" outlineLevel="0" collapsed="false">
      <c r="A4101" s="2" t="s">
        <v>447</v>
      </c>
      <c r="B4101" s="2" t="s">
        <v>470</v>
      </c>
      <c r="C4101" s="2" t="s">
        <v>32</v>
      </c>
      <c r="D4101" s="2" t="str">
        <f aca="false">IF(4キー同時!$B$292="","",4キー同時!$B$292)</f>
        <v/>
      </c>
      <c r="E4101" s="2" t="str">
        <f aca="false">IF(4キー同時!$G$292="","",4キー同時!$G$292)</f>
        <v/>
      </c>
      <c r="F4101" s="2" t="str">
        <f aca="false">IF(4キー同時!$L$292="","",4キー同時!$L$292)</f>
        <v/>
      </c>
      <c r="G4101" s="2" t="str">
        <f aca="false">IF(OR(4キー同時!$B$292="",4キー同時!$G$292="",4キー同時!$L$292=""),"",IF(4キー同時!AO298="","",SUBSTITUTE(SUBSTITUTE(4キー同時!AO298," ",""),"　","")))</f>
        <v/>
      </c>
      <c r="H4101" s="2" t="str">
        <f aca="false">IF($G4101="","",4キー同時!$B$292)</f>
        <v/>
      </c>
      <c r="I4101" s="2" t="str">
        <f aca="false">IF($G4101="","",4キー同時!$G$292)</f>
        <v/>
      </c>
      <c r="J4101" s="2" t="str">
        <f aca="false">IF($G4101="","",4キー同時!$L$292)</f>
        <v/>
      </c>
      <c r="K4101" s="2" t="str">
        <f aca="false">IF($G4101="","","l")</f>
        <v/>
      </c>
      <c r="L4101" s="2" t="str">
        <f aca="false">IF($G4101="","","同時")</f>
        <v/>
      </c>
      <c r="M4101" s="2" t="str">
        <f aca="false">IF($G4101="","",IF(ISNA(MATCH($G4101,個別指定!$A:$A,0)),"行なし",""))</f>
        <v/>
      </c>
      <c r="N4101" s="2" t="str">
        <f aca="false">IF($G4101="","",IF(COUNTIF($G$2:$G$4460,$G4101)&gt;1,"重複",""))</f>
        <v/>
      </c>
    </row>
    <row r="4102" customFormat="false" ht="16.5" hidden="false" customHeight="true" outlineLevel="0" collapsed="false">
      <c r="A4102" s="2" t="s">
        <v>447</v>
      </c>
      <c r="B4102" s="2" t="s">
        <v>470</v>
      </c>
      <c r="C4102" s="2" t="s">
        <v>33</v>
      </c>
      <c r="D4102" s="2" t="str">
        <f aca="false">IF(4キー同時!$B$292="","",4キー同時!$B$292)</f>
        <v/>
      </c>
      <c r="E4102" s="2" t="str">
        <f aca="false">IF(4キー同時!$G$292="","",4キー同時!$G$292)</f>
        <v/>
      </c>
      <c r="F4102" s="2" t="str">
        <f aca="false">IF(4キー同時!$L$292="","",4キー同時!$L$292)</f>
        <v/>
      </c>
      <c r="G4102" s="2" t="str">
        <f aca="false">IF(OR(4キー同時!$B$292="",4キー同時!$G$292="",4キー同時!$L$292=""),"",IF(4キー同時!AS298="","",SUBSTITUTE(SUBSTITUTE(4キー同時!AS298," ",""),"　","")))</f>
        <v/>
      </c>
      <c r="H4102" s="2" t="str">
        <f aca="false">IF($G4102="","",4キー同時!$B$292)</f>
        <v/>
      </c>
      <c r="I4102" s="2" t="str">
        <f aca="false">IF($G4102="","",4キー同時!$G$292)</f>
        <v/>
      </c>
      <c r="J4102" s="2" t="str">
        <f aca="false">IF($G4102="","",4キー同時!$L$292)</f>
        <v/>
      </c>
      <c r="K4102" s="2" t="str">
        <f aca="false">IF($G4102="","",";")</f>
        <v/>
      </c>
      <c r="L4102" s="2" t="str">
        <f aca="false">IF($G4102="","","同時")</f>
        <v/>
      </c>
      <c r="M4102" s="2" t="str">
        <f aca="false">IF($G4102="","",IF(ISNA(MATCH($G4102,個別指定!$A:$A,0)),"行なし",""))</f>
        <v/>
      </c>
      <c r="N4102" s="2" t="str">
        <f aca="false">IF($G4102="","",IF(COUNTIF($G$2:$G$4460,$G4102)&gt;1,"重複",""))</f>
        <v/>
      </c>
    </row>
    <row r="4103" customFormat="false" ht="16.5" hidden="false" customHeight="true" outlineLevel="0" collapsed="false">
      <c r="A4103" s="2" t="s">
        <v>447</v>
      </c>
      <c r="B4103" s="2" t="s">
        <v>470</v>
      </c>
      <c r="C4103" s="2" t="s">
        <v>34</v>
      </c>
      <c r="D4103" s="2" t="str">
        <f aca="false">IF(4キー同時!$B$292="","",4キー同時!$B$292)</f>
        <v/>
      </c>
      <c r="E4103" s="2" t="str">
        <f aca="false">IF(4キー同時!$G$292="","",4キー同時!$G$292)</f>
        <v/>
      </c>
      <c r="F4103" s="2" t="str">
        <f aca="false">IF(4キー同時!$L$292="","",4キー同時!$L$292)</f>
        <v/>
      </c>
      <c r="G4103" s="2" t="str">
        <f aca="false">IF(OR(4キー同時!$B$292="",4キー同時!$G$292="",4キー同時!$L$292=""),"",IF(4キー同時!AW298="","",SUBSTITUTE(SUBSTITUTE(4キー同時!AW298," ",""),"　","")))</f>
        <v/>
      </c>
      <c r="H4103" s="2" t="str">
        <f aca="false">IF($G4103="","",4キー同時!$B$292)</f>
        <v/>
      </c>
      <c r="I4103" s="2" t="str">
        <f aca="false">IF($G4103="","",4キー同時!$G$292)</f>
        <v/>
      </c>
      <c r="J4103" s="2" t="str">
        <f aca="false">IF($G4103="","",4キー同時!$L$292)</f>
        <v/>
      </c>
      <c r="K4103" s="2" t="str">
        <f aca="false">IF($G4103="","","'")</f>
        <v/>
      </c>
      <c r="L4103" s="2" t="str">
        <f aca="false">IF($G4103="","","同時")</f>
        <v/>
      </c>
      <c r="M4103" s="2" t="str">
        <f aca="false">IF($G4103="","",IF(ISNA(MATCH($G4103,個別指定!$A:$A,0)),"行なし",""))</f>
        <v/>
      </c>
      <c r="N4103" s="2" t="str">
        <f aca="false">IF($G4103="","",IF(COUNTIF($G$2:$G$4460,$G4103)&gt;1,"重複",""))</f>
        <v/>
      </c>
    </row>
    <row r="4104" customFormat="false" ht="16.5" hidden="false" customHeight="true" outlineLevel="0" collapsed="false">
      <c r="A4104" s="2" t="s">
        <v>447</v>
      </c>
      <c r="B4104" s="2" t="s">
        <v>470</v>
      </c>
      <c r="C4104" s="2" t="s">
        <v>35</v>
      </c>
      <c r="D4104" s="2" t="str">
        <f aca="false">IF(4キー同時!$B$292="","",4キー同時!$B$292)</f>
        <v/>
      </c>
      <c r="E4104" s="2" t="str">
        <f aca="false">IF(4キー同時!$G$292="","",4キー同時!$G$292)</f>
        <v/>
      </c>
      <c r="F4104" s="2" t="str">
        <f aca="false">IF(4キー同時!$L$292="","",4キー同時!$L$292)</f>
        <v/>
      </c>
      <c r="G4104" s="2" t="str">
        <f aca="false">IF(OR(4キー同時!$B$292="",4キー同時!$G$292="",4キー同時!$L$292=""),"",IF(4キー同時!K300="","",SUBSTITUTE(SUBSTITUTE(4キー同時!K300," ",""),"　","")))</f>
        <v/>
      </c>
      <c r="H4104" s="2" t="str">
        <f aca="false">IF($G4104="","",4キー同時!$B$292)</f>
        <v/>
      </c>
      <c r="I4104" s="2" t="str">
        <f aca="false">IF($G4104="","",4キー同時!$G$292)</f>
        <v/>
      </c>
      <c r="J4104" s="2" t="str">
        <f aca="false">IF($G4104="","",4キー同時!$L$292)</f>
        <v/>
      </c>
      <c r="K4104" s="2" t="str">
        <f aca="false">IF($G4104="","","z")</f>
        <v/>
      </c>
      <c r="L4104" s="2" t="str">
        <f aca="false">IF($G4104="","","同時")</f>
        <v/>
      </c>
      <c r="M4104" s="2" t="str">
        <f aca="false">IF($G4104="","",IF(ISNA(MATCH($G4104,個別指定!$A:$A,0)),"行なし",""))</f>
        <v/>
      </c>
      <c r="N4104" s="2" t="str">
        <f aca="false">IF($G4104="","",IF(COUNTIF($G$2:$G$4460,$G4104)&gt;1,"重複",""))</f>
        <v/>
      </c>
    </row>
    <row r="4105" customFormat="false" ht="16.5" hidden="false" customHeight="true" outlineLevel="0" collapsed="false">
      <c r="A4105" s="2" t="s">
        <v>447</v>
      </c>
      <c r="B4105" s="2" t="s">
        <v>470</v>
      </c>
      <c r="C4105" s="2" t="s">
        <v>36</v>
      </c>
      <c r="D4105" s="2" t="str">
        <f aca="false">IF(4キー同時!$B$292="","",4キー同時!$B$292)</f>
        <v/>
      </c>
      <c r="E4105" s="2" t="str">
        <f aca="false">IF(4キー同時!$G$292="","",4キー同時!$G$292)</f>
        <v/>
      </c>
      <c r="F4105" s="2" t="str">
        <f aca="false">IF(4キー同時!$L$292="","",4キー同時!$L$292)</f>
        <v/>
      </c>
      <c r="G4105" s="2" t="str">
        <f aca="false">IF(OR(4キー同時!$B$292="",4キー同時!$G$292="",4キー同時!$L$292=""),"",IF(4キー同時!O300="","",SUBSTITUTE(SUBSTITUTE(4キー同時!O300," ",""),"　","")))</f>
        <v/>
      </c>
      <c r="H4105" s="2" t="str">
        <f aca="false">IF($G4105="","",4キー同時!$B$292)</f>
        <v/>
      </c>
      <c r="I4105" s="2" t="str">
        <f aca="false">IF($G4105="","",4キー同時!$G$292)</f>
        <v/>
      </c>
      <c r="J4105" s="2" t="str">
        <f aca="false">IF($G4105="","",4キー同時!$L$292)</f>
        <v/>
      </c>
      <c r="K4105" s="2" t="str">
        <f aca="false">IF($G4105="","","x")</f>
        <v/>
      </c>
      <c r="L4105" s="2" t="str">
        <f aca="false">IF($G4105="","","同時")</f>
        <v/>
      </c>
      <c r="M4105" s="2" t="str">
        <f aca="false">IF($G4105="","",IF(ISNA(MATCH($G4105,個別指定!$A:$A,0)),"行なし",""))</f>
        <v/>
      </c>
      <c r="N4105" s="2" t="str">
        <f aca="false">IF($G4105="","",IF(COUNTIF($G$2:$G$4460,$G4105)&gt;1,"重複",""))</f>
        <v/>
      </c>
    </row>
    <row r="4106" customFormat="false" ht="16.5" hidden="false" customHeight="true" outlineLevel="0" collapsed="false">
      <c r="A4106" s="2" t="s">
        <v>447</v>
      </c>
      <c r="B4106" s="2" t="s">
        <v>470</v>
      </c>
      <c r="C4106" s="2" t="s">
        <v>37</v>
      </c>
      <c r="D4106" s="2" t="str">
        <f aca="false">IF(4キー同時!$B$292="","",4キー同時!$B$292)</f>
        <v/>
      </c>
      <c r="E4106" s="2" t="str">
        <f aca="false">IF(4キー同時!$G$292="","",4キー同時!$G$292)</f>
        <v/>
      </c>
      <c r="F4106" s="2" t="str">
        <f aca="false">IF(4キー同時!$L$292="","",4キー同時!$L$292)</f>
        <v/>
      </c>
      <c r="G4106" s="2" t="str">
        <f aca="false">IF(OR(4キー同時!$B$292="",4キー同時!$G$292="",4キー同時!$L$292=""),"",IF(4キー同時!S300="","",SUBSTITUTE(SUBSTITUTE(4キー同時!S300," ",""),"　","")))</f>
        <v/>
      </c>
      <c r="H4106" s="2" t="str">
        <f aca="false">IF($G4106="","",4キー同時!$B$292)</f>
        <v/>
      </c>
      <c r="I4106" s="2" t="str">
        <f aca="false">IF($G4106="","",4キー同時!$G$292)</f>
        <v/>
      </c>
      <c r="J4106" s="2" t="str">
        <f aca="false">IF($G4106="","",4キー同時!$L$292)</f>
        <v/>
      </c>
      <c r="K4106" s="2" t="str">
        <f aca="false">IF($G4106="","","c")</f>
        <v/>
      </c>
      <c r="L4106" s="2" t="str">
        <f aca="false">IF($G4106="","","同時")</f>
        <v/>
      </c>
      <c r="M4106" s="2" t="str">
        <f aca="false">IF($G4106="","",IF(ISNA(MATCH($G4106,個別指定!$A:$A,0)),"行なし",""))</f>
        <v/>
      </c>
      <c r="N4106" s="2" t="str">
        <f aca="false">IF($G4106="","",IF(COUNTIF($G$2:$G$4460,$G4106)&gt;1,"重複",""))</f>
        <v/>
      </c>
    </row>
    <row r="4107" customFormat="false" ht="16.5" hidden="false" customHeight="true" outlineLevel="0" collapsed="false">
      <c r="A4107" s="2" t="s">
        <v>447</v>
      </c>
      <c r="B4107" s="2" t="s">
        <v>470</v>
      </c>
      <c r="C4107" s="2" t="s">
        <v>38</v>
      </c>
      <c r="D4107" s="2" t="str">
        <f aca="false">IF(4キー同時!$B$292="","",4キー同時!$B$292)</f>
        <v/>
      </c>
      <c r="E4107" s="2" t="str">
        <f aca="false">IF(4キー同時!$G$292="","",4キー同時!$G$292)</f>
        <v/>
      </c>
      <c r="F4107" s="2" t="str">
        <f aca="false">IF(4キー同時!$L$292="","",4キー同時!$L$292)</f>
        <v/>
      </c>
      <c r="G4107" s="2" t="str">
        <f aca="false">IF(OR(4キー同時!$B$292="",4キー同時!$G$292="",4キー同時!$L$292=""),"",IF(4キー同時!W300="","",SUBSTITUTE(SUBSTITUTE(4キー同時!W300," ",""),"　","")))</f>
        <v/>
      </c>
      <c r="H4107" s="2" t="str">
        <f aca="false">IF($G4107="","",4キー同時!$B$292)</f>
        <v/>
      </c>
      <c r="I4107" s="2" t="str">
        <f aca="false">IF($G4107="","",4キー同時!$G$292)</f>
        <v/>
      </c>
      <c r="J4107" s="2" t="str">
        <f aca="false">IF($G4107="","",4キー同時!$L$292)</f>
        <v/>
      </c>
      <c r="K4107" s="2" t="str">
        <f aca="false">IF($G4107="","","v")</f>
        <v/>
      </c>
      <c r="L4107" s="2" t="str">
        <f aca="false">IF($G4107="","","同時")</f>
        <v/>
      </c>
      <c r="M4107" s="2" t="str">
        <f aca="false">IF($G4107="","",IF(ISNA(MATCH($G4107,個別指定!$A:$A,0)),"行なし",""))</f>
        <v/>
      </c>
      <c r="N4107" s="2" t="str">
        <f aca="false">IF($G4107="","",IF(COUNTIF($G$2:$G$4460,$G4107)&gt;1,"重複",""))</f>
        <v/>
      </c>
    </row>
    <row r="4108" customFormat="false" ht="16.5" hidden="false" customHeight="true" outlineLevel="0" collapsed="false">
      <c r="A4108" s="2" t="s">
        <v>447</v>
      </c>
      <c r="B4108" s="2" t="s">
        <v>470</v>
      </c>
      <c r="C4108" s="2" t="s">
        <v>39</v>
      </c>
      <c r="D4108" s="2" t="str">
        <f aca="false">IF(4キー同時!$B$292="","",4キー同時!$B$292)</f>
        <v/>
      </c>
      <c r="E4108" s="2" t="str">
        <f aca="false">IF(4キー同時!$G$292="","",4キー同時!$G$292)</f>
        <v/>
      </c>
      <c r="F4108" s="2" t="str">
        <f aca="false">IF(4キー同時!$L$292="","",4キー同時!$L$292)</f>
        <v/>
      </c>
      <c r="G4108" s="2" t="str">
        <f aca="false">IF(OR(4キー同時!$B$292="",4キー同時!$G$292="",4キー同時!$L$292=""),"",IF(4キー同時!AA300="","",SUBSTITUTE(SUBSTITUTE(4キー同時!AA300," ",""),"　","")))</f>
        <v/>
      </c>
      <c r="H4108" s="2" t="str">
        <f aca="false">IF($G4108="","",4キー同時!$B$292)</f>
        <v/>
      </c>
      <c r="I4108" s="2" t="str">
        <f aca="false">IF($G4108="","",4キー同時!$G$292)</f>
        <v/>
      </c>
      <c r="J4108" s="2" t="str">
        <f aca="false">IF($G4108="","",4キー同時!$L$292)</f>
        <v/>
      </c>
      <c r="K4108" s="2" t="str">
        <f aca="false">IF($G4108="","","b")</f>
        <v/>
      </c>
      <c r="L4108" s="2" t="str">
        <f aca="false">IF($G4108="","","同時")</f>
        <v/>
      </c>
      <c r="M4108" s="2" t="str">
        <f aca="false">IF($G4108="","",IF(ISNA(MATCH($G4108,個別指定!$A:$A,0)),"行なし",""))</f>
        <v/>
      </c>
      <c r="N4108" s="2" t="str">
        <f aca="false">IF($G4108="","",IF(COUNTIF($G$2:$G$4460,$G4108)&gt;1,"重複",""))</f>
        <v/>
      </c>
    </row>
    <row r="4109" customFormat="false" ht="16.5" hidden="false" customHeight="true" outlineLevel="0" collapsed="false">
      <c r="A4109" s="2" t="s">
        <v>447</v>
      </c>
      <c r="B4109" s="2" t="s">
        <v>470</v>
      </c>
      <c r="C4109" s="2" t="s">
        <v>40</v>
      </c>
      <c r="D4109" s="2" t="str">
        <f aca="false">IF(4キー同時!$B$292="","",4キー同時!$B$292)</f>
        <v/>
      </c>
      <c r="E4109" s="2" t="str">
        <f aca="false">IF(4キー同時!$G$292="","",4キー同時!$G$292)</f>
        <v/>
      </c>
      <c r="F4109" s="2" t="str">
        <f aca="false">IF(4キー同時!$L$292="","",4キー同時!$L$292)</f>
        <v/>
      </c>
      <c r="G4109" s="2" t="str">
        <f aca="false">IF(OR(4キー同時!$B$292="",4キー同時!$G$292="",4キー同時!$L$292=""),"",IF(4キー同時!AE300="","",SUBSTITUTE(SUBSTITUTE(4キー同時!AE300," ",""),"　","")))</f>
        <v/>
      </c>
      <c r="H4109" s="2" t="str">
        <f aca="false">IF($G4109="","",4キー同時!$B$292)</f>
        <v/>
      </c>
      <c r="I4109" s="2" t="str">
        <f aca="false">IF($G4109="","",4キー同時!$G$292)</f>
        <v/>
      </c>
      <c r="J4109" s="2" t="str">
        <f aca="false">IF($G4109="","",4キー同時!$L$292)</f>
        <v/>
      </c>
      <c r="K4109" s="2" t="str">
        <f aca="false">IF($G4109="","","n")</f>
        <v/>
      </c>
      <c r="L4109" s="2" t="str">
        <f aca="false">IF($G4109="","","同時")</f>
        <v/>
      </c>
      <c r="M4109" s="2" t="str">
        <f aca="false">IF($G4109="","",IF(ISNA(MATCH($G4109,個別指定!$A:$A,0)),"行なし",""))</f>
        <v/>
      </c>
      <c r="N4109" s="2" t="str">
        <f aca="false">IF($G4109="","",IF(COUNTIF($G$2:$G$4460,$G4109)&gt;1,"重複",""))</f>
        <v/>
      </c>
    </row>
    <row r="4110" customFormat="false" ht="16.5" hidden="false" customHeight="true" outlineLevel="0" collapsed="false">
      <c r="A4110" s="2" t="s">
        <v>447</v>
      </c>
      <c r="B4110" s="2" t="s">
        <v>470</v>
      </c>
      <c r="C4110" s="2" t="s">
        <v>41</v>
      </c>
      <c r="D4110" s="2" t="str">
        <f aca="false">IF(4キー同時!$B$292="","",4キー同時!$B$292)</f>
        <v/>
      </c>
      <c r="E4110" s="2" t="str">
        <f aca="false">IF(4キー同時!$G$292="","",4キー同時!$G$292)</f>
        <v/>
      </c>
      <c r="F4110" s="2" t="str">
        <f aca="false">IF(4キー同時!$L$292="","",4キー同時!$L$292)</f>
        <v/>
      </c>
      <c r="G4110" s="2" t="str">
        <f aca="false">IF(OR(4キー同時!$B$292="",4キー同時!$G$292="",4キー同時!$L$292=""),"",IF(4キー同時!AI300="","",SUBSTITUTE(SUBSTITUTE(4キー同時!AI300," ",""),"　","")))</f>
        <v/>
      </c>
      <c r="H4110" s="2" t="str">
        <f aca="false">IF($G4110="","",4キー同時!$B$292)</f>
        <v/>
      </c>
      <c r="I4110" s="2" t="str">
        <f aca="false">IF($G4110="","",4キー同時!$G$292)</f>
        <v/>
      </c>
      <c r="J4110" s="2" t="str">
        <f aca="false">IF($G4110="","",4キー同時!$L$292)</f>
        <v/>
      </c>
      <c r="K4110" s="2" t="str">
        <f aca="false">IF($G4110="","","m")</f>
        <v/>
      </c>
      <c r="L4110" s="2" t="str">
        <f aca="false">IF($G4110="","","同時")</f>
        <v/>
      </c>
      <c r="M4110" s="2" t="str">
        <f aca="false">IF($G4110="","",IF(ISNA(MATCH($G4110,個別指定!$A:$A,0)),"行なし",""))</f>
        <v/>
      </c>
      <c r="N4110" s="2" t="str">
        <f aca="false">IF($G4110="","",IF(COUNTIF($G$2:$G$4460,$G4110)&gt;1,"重複",""))</f>
        <v/>
      </c>
    </row>
    <row r="4111" customFormat="false" ht="16.5" hidden="false" customHeight="true" outlineLevel="0" collapsed="false">
      <c r="A4111" s="2" t="s">
        <v>447</v>
      </c>
      <c r="B4111" s="2" t="s">
        <v>470</v>
      </c>
      <c r="C4111" s="2" t="s">
        <v>42</v>
      </c>
      <c r="D4111" s="2" t="str">
        <f aca="false">IF(4キー同時!$B$292="","",4キー同時!$B$292)</f>
        <v/>
      </c>
      <c r="E4111" s="2" t="str">
        <f aca="false">IF(4キー同時!$G$292="","",4キー同時!$G$292)</f>
        <v/>
      </c>
      <c r="F4111" s="2" t="str">
        <f aca="false">IF(4キー同時!$L$292="","",4キー同時!$L$292)</f>
        <v/>
      </c>
      <c r="G4111" s="2" t="str">
        <f aca="false">IF(OR(4キー同時!$B$292="",4キー同時!$G$292="",4キー同時!$L$292=""),"",IF(4キー同時!AM300="","",SUBSTITUTE(SUBSTITUTE(4キー同時!AM300," ",""),"　","")))</f>
        <v/>
      </c>
      <c r="H4111" s="2" t="str">
        <f aca="false">IF($G4111="","",4キー同時!$B$292)</f>
        <v/>
      </c>
      <c r="I4111" s="2" t="str">
        <f aca="false">IF($G4111="","",4キー同時!$G$292)</f>
        <v/>
      </c>
      <c r="J4111" s="2" t="str">
        <f aca="false">IF($G4111="","",4キー同時!$L$292)</f>
        <v/>
      </c>
      <c r="K4111" s="2" t="str">
        <f aca="false">IF($G4111="","",",")</f>
        <v/>
      </c>
      <c r="L4111" s="2" t="str">
        <f aca="false">IF($G4111="","","同時")</f>
        <v/>
      </c>
      <c r="M4111" s="2" t="str">
        <f aca="false">IF($G4111="","",IF(ISNA(MATCH($G4111,個別指定!$A:$A,0)),"行なし",""))</f>
        <v/>
      </c>
      <c r="N4111" s="2" t="str">
        <f aca="false">IF($G4111="","",IF(COUNTIF($G$2:$G$4460,$G4111)&gt;1,"重複",""))</f>
        <v/>
      </c>
    </row>
    <row r="4112" customFormat="false" ht="16.5" hidden="false" customHeight="true" outlineLevel="0" collapsed="false">
      <c r="A4112" s="2" t="s">
        <v>447</v>
      </c>
      <c r="B4112" s="2" t="s">
        <v>470</v>
      </c>
      <c r="C4112" s="2" t="s">
        <v>43</v>
      </c>
      <c r="D4112" s="2" t="str">
        <f aca="false">IF(4キー同時!$B$292="","",4キー同時!$B$292)</f>
        <v/>
      </c>
      <c r="E4112" s="2" t="str">
        <f aca="false">IF(4キー同時!$G$292="","",4キー同時!$G$292)</f>
        <v/>
      </c>
      <c r="F4112" s="2" t="str">
        <f aca="false">IF(4キー同時!$L$292="","",4キー同時!$L$292)</f>
        <v/>
      </c>
      <c r="G4112" s="2" t="str">
        <f aca="false">IF(OR(4キー同時!$B$292="",4キー同時!$G$292="",4キー同時!$L$292=""),"",IF(4キー同時!AQ300="","",SUBSTITUTE(SUBSTITUTE(4キー同時!AQ300," ",""),"　","")))</f>
        <v/>
      </c>
      <c r="H4112" s="2" t="str">
        <f aca="false">IF($G4112="","",4キー同時!$B$292)</f>
        <v/>
      </c>
      <c r="I4112" s="2" t="str">
        <f aca="false">IF($G4112="","",4キー同時!$G$292)</f>
        <v/>
      </c>
      <c r="J4112" s="2" t="str">
        <f aca="false">IF($G4112="","",4キー同時!$L$292)</f>
        <v/>
      </c>
      <c r="K4112" s="2" t="str">
        <f aca="false">IF($G4112="","",".")</f>
        <v/>
      </c>
      <c r="L4112" s="2" t="str">
        <f aca="false">IF($G4112="","","同時")</f>
        <v/>
      </c>
      <c r="M4112" s="2" t="str">
        <f aca="false">IF($G4112="","",IF(ISNA(MATCH($G4112,個別指定!$A:$A,0)),"行なし",""))</f>
        <v/>
      </c>
      <c r="N4112" s="2" t="str">
        <f aca="false">IF($G4112="","",IF(COUNTIF($G$2:$G$4460,$G4112)&gt;1,"重複",""))</f>
        <v/>
      </c>
    </row>
    <row r="4113" customFormat="false" ht="16.5" hidden="false" customHeight="true" outlineLevel="0" collapsed="false">
      <c r="A4113" s="2" t="s">
        <v>447</v>
      </c>
      <c r="B4113" s="2" t="s">
        <v>470</v>
      </c>
      <c r="C4113" s="2" t="s">
        <v>44</v>
      </c>
      <c r="D4113" s="2" t="str">
        <f aca="false">IF(4キー同時!$B$292="","",4キー同時!$B$292)</f>
        <v/>
      </c>
      <c r="E4113" s="2" t="str">
        <f aca="false">IF(4キー同時!$G$292="","",4キー同時!$G$292)</f>
        <v/>
      </c>
      <c r="F4113" s="2" t="str">
        <f aca="false">IF(4キー同時!$L$292="","",4キー同時!$L$292)</f>
        <v/>
      </c>
      <c r="G4113" s="2" t="str">
        <f aca="false">IF(OR(4キー同時!$B$292="",4キー同時!$G$292="",4キー同時!$L$292=""),"",IF(4キー同時!AU300="","",SUBSTITUTE(SUBSTITUTE(4キー同時!AU300," ",""),"　","")))</f>
        <v/>
      </c>
      <c r="H4113" s="2" t="str">
        <f aca="false">IF($G4113="","",4キー同時!$B$292)</f>
        <v/>
      </c>
      <c r="I4113" s="2" t="str">
        <f aca="false">IF($G4113="","",4キー同時!$G$292)</f>
        <v/>
      </c>
      <c r="J4113" s="2" t="str">
        <f aca="false">IF($G4113="","",4キー同時!$L$292)</f>
        <v/>
      </c>
      <c r="K4113" s="2" t="str">
        <f aca="false">IF($G4113="","","/")</f>
        <v/>
      </c>
      <c r="L4113" s="2" t="str">
        <f aca="false">IF($G4113="","","同時")</f>
        <v/>
      </c>
      <c r="M4113" s="2" t="str">
        <f aca="false">IF($G4113="","",IF(ISNA(MATCH($G4113,個別指定!$A:$A,0)),"行なし",""))</f>
        <v/>
      </c>
      <c r="N4113" s="2" t="str">
        <f aca="false">IF($G4113="","",IF(COUNTIF($G$2:$G$4460,$G4113)&gt;1,"重複",""))</f>
        <v/>
      </c>
    </row>
    <row r="4114" customFormat="false" ht="16.5" hidden="false" customHeight="true" outlineLevel="0" collapsed="false">
      <c r="A4114" s="2" t="s">
        <v>447</v>
      </c>
      <c r="B4114" s="2" t="s">
        <v>470</v>
      </c>
      <c r="C4114" s="2" t="s">
        <v>48</v>
      </c>
      <c r="D4114" s="2" t="str">
        <f aca="false">IF(4キー同時!$B$292="","",4キー同時!$B$292)</f>
        <v/>
      </c>
      <c r="E4114" s="2" t="str">
        <f aca="false">IF(4キー同時!$G$292="","",4キー同時!$G$292)</f>
        <v/>
      </c>
      <c r="F4114" s="2" t="str">
        <f aca="false">IF(4キー同時!$L$292="","",4キー同時!$L$292)</f>
        <v/>
      </c>
      <c r="G4114" s="2" t="str">
        <f aca="false">IF(OR(4キー同時!$B$292="",4キー同時!$G$292="",4キー同時!$L$292=""),"",IF(4キー同時!P302="","",SUBSTITUTE(SUBSTITUTE(4キー同時!P302," ",""),"　","")))</f>
        <v/>
      </c>
      <c r="H4114" s="2" t="str">
        <f aca="false">IF($G4114="","",4キー同時!$B$292)</f>
        <v/>
      </c>
      <c r="I4114" s="2" t="str">
        <f aca="false">IF($G4114="","",4キー同時!$G$292)</f>
        <v/>
      </c>
      <c r="J4114" s="2" t="str">
        <f aca="false">IF($G4114="","",4キー同時!$L$292)</f>
        <v/>
      </c>
      <c r="K4114" s="2" t="str">
        <f aca="false">IF($G4114="","","muhenkan")</f>
        <v/>
      </c>
      <c r="L4114" s="2" t="str">
        <f aca="false">IF($G4114="","","同時")</f>
        <v/>
      </c>
      <c r="M4114" s="2" t="str">
        <f aca="false">IF($G4114="","",IF(ISNA(MATCH($G4114,個別指定!$A:$A,0)),"行なし",""))</f>
        <v/>
      </c>
      <c r="N4114" s="2" t="str">
        <f aca="false">IF($G4114="","",IF(COUNTIF($G$2:$G$4460,$G4114)&gt;1,"重複",""))</f>
        <v/>
      </c>
    </row>
    <row r="4115" customFormat="false" ht="16.5" hidden="false" customHeight="true" outlineLevel="0" collapsed="false">
      <c r="A4115" s="2" t="s">
        <v>447</v>
      </c>
      <c r="B4115" s="2" t="s">
        <v>470</v>
      </c>
      <c r="C4115" s="2" t="s">
        <v>50</v>
      </c>
      <c r="D4115" s="2" t="str">
        <f aca="false">IF(4キー同時!$B$292="","",4キー同時!$B$292)</f>
        <v/>
      </c>
      <c r="E4115" s="2" t="str">
        <f aca="false">IF(4キー同時!$G$292="","",4キー同時!$G$292)</f>
        <v/>
      </c>
      <c r="F4115" s="2" t="str">
        <f aca="false">IF(4キー同時!$L$292="","",4キー同時!$L$292)</f>
        <v/>
      </c>
      <c r="G4115" s="2" t="str">
        <f aca="false">IF(OR(4キー同時!$B$292="",4キー同時!$G$292="",4キー同時!$L$292=""),"",IF(4キー同時!T302="","",SUBSTITUTE(SUBSTITUTE(4キー同時!T302," ",""),"　","")))</f>
        <v/>
      </c>
      <c r="H4115" s="2" t="str">
        <f aca="false">IF($G4115="","",4キー同時!$B$292)</f>
        <v/>
      </c>
      <c r="I4115" s="2" t="str">
        <f aca="false">IF($G4115="","",4キー同時!$G$292)</f>
        <v/>
      </c>
      <c r="J4115" s="2" t="str">
        <f aca="false">IF($G4115="","",4キー同時!$L$292)</f>
        <v/>
      </c>
      <c r="K4115" s="2" t="str">
        <f aca="false">IF($G4115="","","space")</f>
        <v/>
      </c>
      <c r="L4115" s="2" t="str">
        <f aca="false">IF($G4115="","","同時")</f>
        <v/>
      </c>
      <c r="M4115" s="2" t="str">
        <f aca="false">IF($G4115="","",IF(ISNA(MATCH($G4115,個別指定!$A:$A,0)),"行なし",""))</f>
        <v/>
      </c>
      <c r="N4115" s="2" t="str">
        <f aca="false">IF($G4115="","",IF(COUNTIF($G$2:$G$4460,$G4115)&gt;1,"重複",""))</f>
        <v/>
      </c>
    </row>
    <row r="4116" customFormat="false" ht="16.5" hidden="false" customHeight="true" outlineLevel="0" collapsed="false">
      <c r="A4116" s="2" t="s">
        <v>447</v>
      </c>
      <c r="B4116" s="2" t="s">
        <v>470</v>
      </c>
      <c r="C4116" s="2" t="s">
        <v>45</v>
      </c>
      <c r="D4116" s="2" t="str">
        <f aca="false">IF(4キー同時!$B$292="","",4キー同時!$B$292)</f>
        <v/>
      </c>
      <c r="E4116" s="2" t="str">
        <f aca="false">IF(4キー同時!$G$292="","",4キー同時!$G$292)</f>
        <v/>
      </c>
      <c r="F4116" s="2" t="str">
        <f aca="false">IF(4キー同時!$L$292="","",4キー同時!$L$292)</f>
        <v/>
      </c>
      <c r="G4116" s="2" t="str">
        <f aca="false">IF(OR(4キー同時!$B$292="",4キー同時!$G$292="",4キー同時!$L$292=""),"",IF(4キー同時!AL302="","",SUBSTITUTE(SUBSTITUTE(4キー同時!AL302," ",""),"　","")))</f>
        <v/>
      </c>
      <c r="H4116" s="2" t="str">
        <f aca="false">IF($G4116="","",4キー同時!$B$292)</f>
        <v/>
      </c>
      <c r="I4116" s="2" t="str">
        <f aca="false">IF($G4116="","",4キー同時!$G$292)</f>
        <v/>
      </c>
      <c r="J4116" s="2" t="str">
        <f aca="false">IF($G4116="","",4キー同時!$L$292)</f>
        <v/>
      </c>
      <c r="K4116" s="2" t="str">
        <f aca="false">IF($G4116="","","henkan")</f>
        <v/>
      </c>
      <c r="L4116" s="2" t="str">
        <f aca="false">IF($G4116="","","同時")</f>
        <v/>
      </c>
      <c r="M4116" s="2" t="str">
        <f aca="false">IF($G4116="","",IF(ISNA(MATCH($G4116,個別指定!$A:$A,0)),"行なし",""))</f>
        <v/>
      </c>
      <c r="N4116" s="2" t="str">
        <f aca="false">IF($G4116="","",IF(COUNTIF($G$2:$G$4460,$G4116)&gt;1,"重複",""))</f>
        <v/>
      </c>
    </row>
    <row r="4117" customFormat="false" ht="16.5" hidden="false" customHeight="true" outlineLevel="0" collapsed="false">
      <c r="A4117" s="2" t="s">
        <v>447</v>
      </c>
      <c r="B4117" s="2" t="s">
        <v>470</v>
      </c>
      <c r="C4117" s="2" t="s">
        <v>46</v>
      </c>
      <c r="D4117" s="2" t="str">
        <f aca="false">IF(4キー同時!$B$292="","",4キー同時!$B$292)</f>
        <v/>
      </c>
      <c r="E4117" s="2" t="str">
        <f aca="false">IF(4キー同時!$G$292="","",4キー同時!$G$292)</f>
        <v/>
      </c>
      <c r="F4117" s="2" t="str">
        <f aca="false">IF(4キー同時!$L$292="","",4キー同時!$L$292)</f>
        <v/>
      </c>
      <c r="G4117" s="2" t="str">
        <f aca="false">IF(OR(4キー同時!$B$292="",4キー同時!$G$292="",4キー同時!$L$292=""),"",IF(4キー同時!AP302="","",SUBSTITUTE(SUBSTITUTE(4キー同時!AP302," ",""),"　","")))</f>
        <v/>
      </c>
      <c r="H4117" s="2" t="str">
        <f aca="false">IF($G4117="","",4キー同時!$B$292)</f>
        <v/>
      </c>
      <c r="I4117" s="2" t="str">
        <f aca="false">IF($G4117="","",4キー同時!$G$292)</f>
        <v/>
      </c>
      <c r="J4117" s="2" t="str">
        <f aca="false">IF($G4117="","",4キー同時!$L$292)</f>
        <v/>
      </c>
      <c r="K4117" s="2" t="str">
        <f aca="false">IF($G4117="","","kana")</f>
        <v/>
      </c>
      <c r="L4117" s="2" t="str">
        <f aca="false">IF($G4117="","","同時")</f>
        <v/>
      </c>
      <c r="M4117" s="2" t="str">
        <f aca="false">IF($G4117="","",IF(ISNA(MATCH($G4117,個別指定!$A:$A,0)),"行なし",""))</f>
        <v/>
      </c>
      <c r="N4117" s="2" t="str">
        <f aca="false">IF($G4117="","",IF(COUNTIF($G$2:$G$4460,$G4117)&gt;1,"重複",""))</f>
        <v/>
      </c>
    </row>
    <row r="4118" customFormat="false" ht="16.5" hidden="false" customHeight="true" outlineLevel="0" collapsed="false">
      <c r="A4118" s="2" t="s">
        <v>447</v>
      </c>
      <c r="B4118" s="2" t="s">
        <v>471</v>
      </c>
      <c r="C4118" s="2" t="s">
        <v>0</v>
      </c>
      <c r="D4118" s="2" t="str">
        <f aca="false">IF(4キー同時!$B$305="","",4キー同時!$B$305)</f>
        <v/>
      </c>
      <c r="E4118" s="2" t="str">
        <f aca="false">IF(4キー同時!$G$305="","",4キー同時!$G$305)</f>
        <v/>
      </c>
      <c r="F4118" s="2" t="str">
        <f aca="false">IF(4キー同時!$L$305="","",4キー同時!$L$305)</f>
        <v/>
      </c>
      <c r="G4118" s="2" t="str">
        <f aca="false">IF(OR(4キー同時!$B$305="",4キー同時!$G$305="",4キー同時!$L$305=""),"",IF(4キー同時!F307="","",SUBSTITUTE(SUBSTITUTE(4キー同時!F307," ",""),"　","")))</f>
        <v/>
      </c>
      <c r="H4118" s="2" t="str">
        <f aca="false">IF($G4118="","",4キー同時!$B$305)</f>
        <v/>
      </c>
      <c r="I4118" s="2" t="str">
        <f aca="false">IF($G4118="","",4キー同時!$G$305)</f>
        <v/>
      </c>
      <c r="J4118" s="2" t="str">
        <f aca="false">IF($G4118="","",4キー同時!$L$305)</f>
        <v/>
      </c>
      <c r="K4118" s="2" t="str">
        <f aca="false">IF($G4118="","","1")</f>
        <v/>
      </c>
      <c r="L4118" s="2" t="str">
        <f aca="false">IF($G4118="","","同時")</f>
        <v/>
      </c>
      <c r="M4118" s="2" t="str">
        <f aca="false">IF($G4118="","",IF(ISNA(MATCH($G4118,個別指定!$A:$A,0)),"行なし",""))</f>
        <v/>
      </c>
      <c r="N4118" s="2" t="str">
        <f aca="false">IF($G4118="","",IF(COUNTIF($G$2:$G$4460,$G4118)&gt;1,"重複",""))</f>
        <v/>
      </c>
    </row>
    <row r="4119" customFormat="false" ht="16.5" hidden="false" customHeight="true" outlineLevel="0" collapsed="false">
      <c r="A4119" s="2" t="s">
        <v>447</v>
      </c>
      <c r="B4119" s="2" t="s">
        <v>471</v>
      </c>
      <c r="C4119" s="2" t="s">
        <v>1</v>
      </c>
      <c r="D4119" s="2" t="str">
        <f aca="false">IF(4キー同時!$B$305="","",4キー同時!$B$305)</f>
        <v/>
      </c>
      <c r="E4119" s="2" t="str">
        <f aca="false">IF(4キー同時!$G$305="","",4キー同時!$G$305)</f>
        <v/>
      </c>
      <c r="F4119" s="2" t="str">
        <f aca="false">IF(4キー同時!$L$305="","",4キー同時!$L$305)</f>
        <v/>
      </c>
      <c r="G4119" s="2" t="str">
        <f aca="false">IF(OR(4キー同時!$B$305="",4キー同時!$G$305="",4キー同時!$L$305=""),"",IF(4キー同時!J307="","",SUBSTITUTE(SUBSTITUTE(4キー同時!J307," ",""),"　","")))</f>
        <v/>
      </c>
      <c r="H4119" s="2" t="str">
        <f aca="false">IF($G4119="","",4キー同時!$B$305)</f>
        <v/>
      </c>
      <c r="I4119" s="2" t="str">
        <f aca="false">IF($G4119="","",4キー同時!$G$305)</f>
        <v/>
      </c>
      <c r="J4119" s="2" t="str">
        <f aca="false">IF($G4119="","",4キー同時!$L$305)</f>
        <v/>
      </c>
      <c r="K4119" s="2" t="str">
        <f aca="false">IF($G4119="","","2")</f>
        <v/>
      </c>
      <c r="L4119" s="2" t="str">
        <f aca="false">IF($G4119="","","同時")</f>
        <v/>
      </c>
      <c r="M4119" s="2" t="str">
        <f aca="false">IF($G4119="","",IF(ISNA(MATCH($G4119,個別指定!$A:$A,0)),"行なし",""))</f>
        <v/>
      </c>
      <c r="N4119" s="2" t="str">
        <f aca="false">IF($G4119="","",IF(COUNTIF($G$2:$G$4460,$G4119)&gt;1,"重複",""))</f>
        <v/>
      </c>
    </row>
    <row r="4120" customFormat="false" ht="16.5" hidden="false" customHeight="true" outlineLevel="0" collapsed="false">
      <c r="A4120" s="2" t="s">
        <v>447</v>
      </c>
      <c r="B4120" s="2" t="s">
        <v>471</v>
      </c>
      <c r="C4120" s="2" t="s">
        <v>2</v>
      </c>
      <c r="D4120" s="2" t="str">
        <f aca="false">IF(4キー同時!$B$305="","",4キー同時!$B$305)</f>
        <v/>
      </c>
      <c r="E4120" s="2" t="str">
        <f aca="false">IF(4キー同時!$G$305="","",4キー同時!$G$305)</f>
        <v/>
      </c>
      <c r="F4120" s="2" t="str">
        <f aca="false">IF(4キー同時!$L$305="","",4キー同時!$L$305)</f>
        <v/>
      </c>
      <c r="G4120" s="2" t="str">
        <f aca="false">IF(OR(4キー同時!$B$305="",4キー同時!$G$305="",4キー同時!$L$305=""),"",IF(4キー同時!N307="","",SUBSTITUTE(SUBSTITUTE(4キー同時!N307," ",""),"　","")))</f>
        <v/>
      </c>
      <c r="H4120" s="2" t="str">
        <f aca="false">IF($G4120="","",4キー同時!$B$305)</f>
        <v/>
      </c>
      <c r="I4120" s="2" t="str">
        <f aca="false">IF($G4120="","",4キー同時!$G$305)</f>
        <v/>
      </c>
      <c r="J4120" s="2" t="str">
        <f aca="false">IF($G4120="","",4キー同時!$L$305)</f>
        <v/>
      </c>
      <c r="K4120" s="2" t="str">
        <f aca="false">IF($G4120="","","3")</f>
        <v/>
      </c>
      <c r="L4120" s="2" t="str">
        <f aca="false">IF($G4120="","","同時")</f>
        <v/>
      </c>
      <c r="M4120" s="2" t="str">
        <f aca="false">IF($G4120="","",IF(ISNA(MATCH($G4120,個別指定!$A:$A,0)),"行なし",""))</f>
        <v/>
      </c>
      <c r="N4120" s="2" t="str">
        <f aca="false">IF($G4120="","",IF(COUNTIF($G$2:$G$4460,$G4120)&gt;1,"重複",""))</f>
        <v/>
      </c>
    </row>
    <row r="4121" customFormat="false" ht="16.5" hidden="false" customHeight="true" outlineLevel="0" collapsed="false">
      <c r="A4121" s="2" t="s">
        <v>447</v>
      </c>
      <c r="B4121" s="2" t="s">
        <v>471</v>
      </c>
      <c r="C4121" s="2" t="s">
        <v>3</v>
      </c>
      <c r="D4121" s="2" t="str">
        <f aca="false">IF(4キー同時!$B$305="","",4キー同時!$B$305)</f>
        <v/>
      </c>
      <c r="E4121" s="2" t="str">
        <f aca="false">IF(4キー同時!$G$305="","",4キー同時!$G$305)</f>
        <v/>
      </c>
      <c r="F4121" s="2" t="str">
        <f aca="false">IF(4キー同時!$L$305="","",4キー同時!$L$305)</f>
        <v/>
      </c>
      <c r="G4121" s="2" t="str">
        <f aca="false">IF(OR(4キー同時!$B$305="",4キー同時!$G$305="",4キー同時!$L$305=""),"",IF(4キー同時!R307="","",SUBSTITUTE(SUBSTITUTE(4キー同時!R307," ",""),"　","")))</f>
        <v/>
      </c>
      <c r="H4121" s="2" t="str">
        <f aca="false">IF($G4121="","",4キー同時!$B$305)</f>
        <v/>
      </c>
      <c r="I4121" s="2" t="str">
        <f aca="false">IF($G4121="","",4キー同時!$G$305)</f>
        <v/>
      </c>
      <c r="J4121" s="2" t="str">
        <f aca="false">IF($G4121="","",4キー同時!$L$305)</f>
        <v/>
      </c>
      <c r="K4121" s="2" t="str">
        <f aca="false">IF($G4121="","","4")</f>
        <v/>
      </c>
      <c r="L4121" s="2" t="str">
        <f aca="false">IF($G4121="","","同時")</f>
        <v/>
      </c>
      <c r="M4121" s="2" t="str">
        <f aca="false">IF($G4121="","",IF(ISNA(MATCH($G4121,個別指定!$A:$A,0)),"行なし",""))</f>
        <v/>
      </c>
      <c r="N4121" s="2" t="str">
        <f aca="false">IF($G4121="","",IF(COUNTIF($G$2:$G$4460,$G4121)&gt;1,"重複",""))</f>
        <v/>
      </c>
    </row>
    <row r="4122" customFormat="false" ht="16.5" hidden="false" customHeight="true" outlineLevel="0" collapsed="false">
      <c r="A4122" s="2" t="s">
        <v>447</v>
      </c>
      <c r="B4122" s="2" t="s">
        <v>471</v>
      </c>
      <c r="C4122" s="2" t="s">
        <v>4</v>
      </c>
      <c r="D4122" s="2" t="str">
        <f aca="false">IF(4キー同時!$B$305="","",4キー同時!$B$305)</f>
        <v/>
      </c>
      <c r="E4122" s="2" t="str">
        <f aca="false">IF(4キー同時!$G$305="","",4キー同時!$G$305)</f>
        <v/>
      </c>
      <c r="F4122" s="2" t="str">
        <f aca="false">IF(4キー同時!$L$305="","",4キー同時!$L$305)</f>
        <v/>
      </c>
      <c r="G4122" s="2" t="str">
        <f aca="false">IF(OR(4キー同時!$B$305="",4キー同時!$G$305="",4キー同時!$L$305=""),"",IF(4キー同時!V307="","",SUBSTITUTE(SUBSTITUTE(4キー同時!V307," ",""),"　","")))</f>
        <v/>
      </c>
      <c r="H4122" s="2" t="str">
        <f aca="false">IF($G4122="","",4キー同時!$B$305)</f>
        <v/>
      </c>
      <c r="I4122" s="2" t="str">
        <f aca="false">IF($G4122="","",4キー同時!$G$305)</f>
        <v/>
      </c>
      <c r="J4122" s="2" t="str">
        <f aca="false">IF($G4122="","",4キー同時!$L$305)</f>
        <v/>
      </c>
      <c r="K4122" s="2" t="str">
        <f aca="false">IF($G4122="","","5")</f>
        <v/>
      </c>
      <c r="L4122" s="2" t="str">
        <f aca="false">IF($G4122="","","同時")</f>
        <v/>
      </c>
      <c r="M4122" s="2" t="str">
        <f aca="false">IF($G4122="","",IF(ISNA(MATCH($G4122,個別指定!$A:$A,0)),"行なし",""))</f>
        <v/>
      </c>
      <c r="N4122" s="2" t="str">
        <f aca="false">IF($G4122="","",IF(COUNTIF($G$2:$G$4460,$G4122)&gt;1,"重複",""))</f>
        <v/>
      </c>
    </row>
    <row r="4123" customFormat="false" ht="16.5" hidden="false" customHeight="true" outlineLevel="0" collapsed="false">
      <c r="A4123" s="2" t="s">
        <v>447</v>
      </c>
      <c r="B4123" s="2" t="s">
        <v>471</v>
      </c>
      <c r="C4123" s="2" t="s">
        <v>5</v>
      </c>
      <c r="D4123" s="2" t="str">
        <f aca="false">IF(4キー同時!$B$305="","",4キー同時!$B$305)</f>
        <v/>
      </c>
      <c r="E4123" s="2" t="str">
        <f aca="false">IF(4キー同時!$G$305="","",4キー同時!$G$305)</f>
        <v/>
      </c>
      <c r="F4123" s="2" t="str">
        <f aca="false">IF(4キー同時!$L$305="","",4キー同時!$L$305)</f>
        <v/>
      </c>
      <c r="G4123" s="2" t="str">
        <f aca="false">IF(OR(4キー同時!$B$305="",4キー同時!$G$305="",4キー同時!$L$305=""),"",IF(4キー同時!Z307="","",SUBSTITUTE(SUBSTITUTE(4キー同時!Z307," ",""),"　","")))</f>
        <v/>
      </c>
      <c r="H4123" s="2" t="str">
        <f aca="false">IF($G4123="","",4キー同時!$B$305)</f>
        <v/>
      </c>
      <c r="I4123" s="2" t="str">
        <f aca="false">IF($G4123="","",4キー同時!$G$305)</f>
        <v/>
      </c>
      <c r="J4123" s="2" t="str">
        <f aca="false">IF($G4123="","",4キー同時!$L$305)</f>
        <v/>
      </c>
      <c r="K4123" s="2" t="str">
        <f aca="false">IF($G4123="","","6")</f>
        <v/>
      </c>
      <c r="L4123" s="2" t="str">
        <f aca="false">IF($G4123="","","同時")</f>
        <v/>
      </c>
      <c r="M4123" s="2" t="str">
        <f aca="false">IF($G4123="","",IF(ISNA(MATCH($G4123,個別指定!$A:$A,0)),"行なし",""))</f>
        <v/>
      </c>
      <c r="N4123" s="2" t="str">
        <f aca="false">IF($G4123="","",IF(COUNTIF($G$2:$G$4460,$G4123)&gt;1,"重複",""))</f>
        <v/>
      </c>
    </row>
    <row r="4124" customFormat="false" ht="16.5" hidden="false" customHeight="true" outlineLevel="0" collapsed="false">
      <c r="A4124" s="2" t="s">
        <v>447</v>
      </c>
      <c r="B4124" s="2" t="s">
        <v>471</v>
      </c>
      <c r="C4124" s="2" t="s">
        <v>6</v>
      </c>
      <c r="D4124" s="2" t="str">
        <f aca="false">IF(4キー同時!$B$305="","",4キー同時!$B$305)</f>
        <v/>
      </c>
      <c r="E4124" s="2" t="str">
        <f aca="false">IF(4キー同時!$G$305="","",4キー同時!$G$305)</f>
        <v/>
      </c>
      <c r="F4124" s="2" t="str">
        <f aca="false">IF(4キー同時!$L$305="","",4キー同時!$L$305)</f>
        <v/>
      </c>
      <c r="G4124" s="2" t="str">
        <f aca="false">IF(OR(4キー同時!$B$305="",4キー同時!$G$305="",4キー同時!$L$305=""),"",IF(4キー同時!AD307="","",SUBSTITUTE(SUBSTITUTE(4キー同時!AD307," ",""),"　","")))</f>
        <v/>
      </c>
      <c r="H4124" s="2" t="str">
        <f aca="false">IF($G4124="","",4キー同時!$B$305)</f>
        <v/>
      </c>
      <c r="I4124" s="2" t="str">
        <f aca="false">IF($G4124="","",4キー同時!$G$305)</f>
        <v/>
      </c>
      <c r="J4124" s="2" t="str">
        <f aca="false">IF($G4124="","",4キー同時!$L$305)</f>
        <v/>
      </c>
      <c r="K4124" s="2" t="str">
        <f aca="false">IF($G4124="","","7")</f>
        <v/>
      </c>
      <c r="L4124" s="2" t="str">
        <f aca="false">IF($G4124="","","同時")</f>
        <v/>
      </c>
      <c r="M4124" s="2" t="str">
        <f aca="false">IF($G4124="","",IF(ISNA(MATCH($G4124,個別指定!$A:$A,0)),"行なし",""))</f>
        <v/>
      </c>
      <c r="N4124" s="2" t="str">
        <f aca="false">IF($G4124="","",IF(COUNTIF($G$2:$G$4460,$G4124)&gt;1,"重複",""))</f>
        <v/>
      </c>
    </row>
    <row r="4125" customFormat="false" ht="16.5" hidden="false" customHeight="true" outlineLevel="0" collapsed="false">
      <c r="A4125" s="2" t="s">
        <v>447</v>
      </c>
      <c r="B4125" s="2" t="s">
        <v>471</v>
      </c>
      <c r="C4125" s="2" t="s">
        <v>7</v>
      </c>
      <c r="D4125" s="2" t="str">
        <f aca="false">IF(4キー同時!$B$305="","",4キー同時!$B$305)</f>
        <v/>
      </c>
      <c r="E4125" s="2" t="str">
        <f aca="false">IF(4キー同時!$G$305="","",4キー同時!$G$305)</f>
        <v/>
      </c>
      <c r="F4125" s="2" t="str">
        <f aca="false">IF(4キー同時!$L$305="","",4キー同時!$L$305)</f>
        <v/>
      </c>
      <c r="G4125" s="2" t="str">
        <f aca="false">IF(OR(4キー同時!$B$305="",4キー同時!$G$305="",4キー同時!$L$305=""),"",IF(4キー同時!AH307="","",SUBSTITUTE(SUBSTITUTE(4キー同時!AH307," ",""),"　","")))</f>
        <v/>
      </c>
      <c r="H4125" s="2" t="str">
        <f aca="false">IF($G4125="","",4キー同時!$B$305)</f>
        <v/>
      </c>
      <c r="I4125" s="2" t="str">
        <f aca="false">IF($G4125="","",4キー同時!$G$305)</f>
        <v/>
      </c>
      <c r="J4125" s="2" t="str">
        <f aca="false">IF($G4125="","",4キー同時!$L$305)</f>
        <v/>
      </c>
      <c r="K4125" s="2" t="str">
        <f aca="false">IF($G4125="","","8")</f>
        <v/>
      </c>
      <c r="L4125" s="2" t="str">
        <f aca="false">IF($G4125="","","同時")</f>
        <v/>
      </c>
      <c r="M4125" s="2" t="str">
        <f aca="false">IF($G4125="","",IF(ISNA(MATCH($G4125,個別指定!$A:$A,0)),"行なし",""))</f>
        <v/>
      </c>
      <c r="N4125" s="2" t="str">
        <f aca="false">IF($G4125="","",IF(COUNTIF($G$2:$G$4460,$G4125)&gt;1,"重複",""))</f>
        <v/>
      </c>
    </row>
    <row r="4126" customFormat="false" ht="16.5" hidden="false" customHeight="true" outlineLevel="0" collapsed="false">
      <c r="A4126" s="2" t="s">
        <v>447</v>
      </c>
      <c r="B4126" s="2" t="s">
        <v>471</v>
      </c>
      <c r="C4126" s="2" t="s">
        <v>8</v>
      </c>
      <c r="D4126" s="2" t="str">
        <f aca="false">IF(4キー同時!$B$305="","",4キー同時!$B$305)</f>
        <v/>
      </c>
      <c r="E4126" s="2" t="str">
        <f aca="false">IF(4キー同時!$G$305="","",4キー同時!$G$305)</f>
        <v/>
      </c>
      <c r="F4126" s="2" t="str">
        <f aca="false">IF(4キー同時!$L$305="","",4キー同時!$L$305)</f>
        <v/>
      </c>
      <c r="G4126" s="2" t="str">
        <f aca="false">IF(OR(4キー同時!$B$305="",4キー同時!$G$305="",4キー同時!$L$305=""),"",IF(4キー同時!AL307="","",SUBSTITUTE(SUBSTITUTE(4キー同時!AL307," ",""),"　","")))</f>
        <v/>
      </c>
      <c r="H4126" s="2" t="str">
        <f aca="false">IF($G4126="","",4キー同時!$B$305)</f>
        <v/>
      </c>
      <c r="I4126" s="2" t="str">
        <f aca="false">IF($G4126="","",4キー同時!$G$305)</f>
        <v/>
      </c>
      <c r="J4126" s="2" t="str">
        <f aca="false">IF($G4126="","",4キー同時!$L$305)</f>
        <v/>
      </c>
      <c r="K4126" s="2" t="str">
        <f aca="false">IF($G4126="","","9")</f>
        <v/>
      </c>
      <c r="L4126" s="2" t="str">
        <f aca="false">IF($G4126="","","同時")</f>
        <v/>
      </c>
      <c r="M4126" s="2" t="str">
        <f aca="false">IF($G4126="","",IF(ISNA(MATCH($G4126,個別指定!$A:$A,0)),"行なし",""))</f>
        <v/>
      </c>
      <c r="N4126" s="2" t="str">
        <f aca="false">IF($G4126="","",IF(COUNTIF($G$2:$G$4460,$G4126)&gt;1,"重複",""))</f>
        <v/>
      </c>
    </row>
    <row r="4127" customFormat="false" ht="16.5" hidden="false" customHeight="true" outlineLevel="0" collapsed="false">
      <c r="A4127" s="2" t="s">
        <v>447</v>
      </c>
      <c r="B4127" s="2" t="s">
        <v>471</v>
      </c>
      <c r="C4127" s="2" t="s">
        <v>9</v>
      </c>
      <c r="D4127" s="2" t="str">
        <f aca="false">IF(4キー同時!$B$305="","",4キー同時!$B$305)</f>
        <v/>
      </c>
      <c r="E4127" s="2" t="str">
        <f aca="false">IF(4キー同時!$G$305="","",4キー同時!$G$305)</f>
        <v/>
      </c>
      <c r="F4127" s="2" t="str">
        <f aca="false">IF(4キー同時!$L$305="","",4キー同時!$L$305)</f>
        <v/>
      </c>
      <c r="G4127" s="2" t="str">
        <f aca="false">IF(OR(4キー同時!$B$305="",4キー同時!$G$305="",4キー同時!$L$305=""),"",IF(4キー同時!AP307="","",SUBSTITUTE(SUBSTITUTE(4キー同時!AP307," ",""),"　","")))</f>
        <v/>
      </c>
      <c r="H4127" s="2" t="str">
        <f aca="false">IF($G4127="","",4キー同時!$B$305)</f>
        <v/>
      </c>
      <c r="I4127" s="2" t="str">
        <f aca="false">IF($G4127="","",4キー同時!$G$305)</f>
        <v/>
      </c>
      <c r="J4127" s="2" t="str">
        <f aca="false">IF($G4127="","",4キー同時!$L$305)</f>
        <v/>
      </c>
      <c r="K4127" s="2" t="str">
        <f aca="false">IF($G4127="","","0")</f>
        <v/>
      </c>
      <c r="L4127" s="2" t="str">
        <f aca="false">IF($G4127="","","同時")</f>
        <v/>
      </c>
      <c r="M4127" s="2" t="str">
        <f aca="false">IF($G4127="","",IF(ISNA(MATCH($G4127,個別指定!$A:$A,0)),"行なし",""))</f>
        <v/>
      </c>
      <c r="N4127" s="2" t="str">
        <f aca="false">IF($G4127="","",IF(COUNTIF($G$2:$G$4460,$G4127)&gt;1,"重複",""))</f>
        <v/>
      </c>
    </row>
    <row r="4128" customFormat="false" ht="16.5" hidden="false" customHeight="true" outlineLevel="0" collapsed="false">
      <c r="A4128" s="2" t="s">
        <v>447</v>
      </c>
      <c r="B4128" s="2" t="s">
        <v>471</v>
      </c>
      <c r="C4128" s="2" t="s">
        <v>10</v>
      </c>
      <c r="D4128" s="2" t="str">
        <f aca="false">IF(4キー同時!$B$305="","",4キー同時!$B$305)</f>
        <v/>
      </c>
      <c r="E4128" s="2" t="str">
        <f aca="false">IF(4キー同時!$G$305="","",4キー同時!$G$305)</f>
        <v/>
      </c>
      <c r="F4128" s="2" t="str">
        <f aca="false">IF(4キー同時!$L$305="","",4キー同時!$L$305)</f>
        <v/>
      </c>
      <c r="G4128" s="2" t="str">
        <f aca="false">IF(OR(4キー同時!$B$305="",4キー同時!$G$305="",4キー同時!$L$305=""),"",IF(4キー同時!AT307="","",SUBSTITUTE(SUBSTITUTE(4キー同時!AT307," ",""),"　","")))</f>
        <v/>
      </c>
      <c r="H4128" s="2" t="str">
        <f aca="false">IF($G4128="","",4キー同時!$B$305)</f>
        <v/>
      </c>
      <c r="I4128" s="2" t="str">
        <f aca="false">IF($G4128="","",4キー同時!$G$305)</f>
        <v/>
      </c>
      <c r="J4128" s="2" t="str">
        <f aca="false">IF($G4128="","",4キー同時!$L$305)</f>
        <v/>
      </c>
      <c r="K4128" s="2" t="str">
        <f aca="false">IF($G4128="","","-")</f>
        <v/>
      </c>
      <c r="L4128" s="2" t="str">
        <f aca="false">IF($G4128="","","同時")</f>
        <v/>
      </c>
      <c r="M4128" s="2" t="str">
        <f aca="false">IF($G4128="","",IF(ISNA(MATCH($G4128,個別指定!$A:$A,0)),"行なし",""))</f>
        <v/>
      </c>
      <c r="N4128" s="2" t="str">
        <f aca="false">IF($G4128="","",IF(COUNTIF($G$2:$G$4460,$G4128)&gt;1,"重複",""))</f>
        <v/>
      </c>
    </row>
    <row r="4129" customFormat="false" ht="16.5" hidden="false" customHeight="true" outlineLevel="0" collapsed="false">
      <c r="A4129" s="2" t="s">
        <v>447</v>
      </c>
      <c r="B4129" s="2" t="s">
        <v>471</v>
      </c>
      <c r="C4129" s="2" t="s">
        <v>11</v>
      </c>
      <c r="D4129" s="2" t="str">
        <f aca="false">IF(4キー同時!$B$305="","",4キー同時!$B$305)</f>
        <v/>
      </c>
      <c r="E4129" s="2" t="str">
        <f aca="false">IF(4キー同時!$G$305="","",4キー同時!$G$305)</f>
        <v/>
      </c>
      <c r="F4129" s="2" t="str">
        <f aca="false">IF(4キー同時!$L$305="","",4キー同時!$L$305)</f>
        <v/>
      </c>
      <c r="G4129" s="2" t="str">
        <f aca="false">IF(OR(4キー同時!$B$305="",4キー同時!$G$305="",4キー同時!$L$305=""),"",IF(4キー同時!AX307="","",SUBSTITUTE(SUBSTITUTE(4キー同時!AX307," ",""),"　","")))</f>
        <v/>
      </c>
      <c r="H4129" s="2" t="str">
        <f aca="false">IF($G4129="","",4キー同時!$B$305)</f>
        <v/>
      </c>
      <c r="I4129" s="2" t="str">
        <f aca="false">IF($G4129="","",4キー同時!$G$305)</f>
        <v/>
      </c>
      <c r="J4129" s="2" t="str">
        <f aca="false">IF($G4129="","",4キー同時!$L$305)</f>
        <v/>
      </c>
      <c r="K4129" s="2" t="str">
        <f aca="false">IF($G4129="","","=")</f>
        <v/>
      </c>
      <c r="L4129" s="2" t="str">
        <f aca="false">IF($G4129="","","同時")</f>
        <v/>
      </c>
      <c r="M4129" s="2" t="str">
        <f aca="false">IF($G4129="","",IF(ISNA(MATCH($G4129,個別指定!$A:$A,0)),"行なし",""))</f>
        <v/>
      </c>
      <c r="N4129" s="2" t="str">
        <f aca="false">IF($G4129="","",IF(COUNTIF($G$2:$G$4460,$G4129)&gt;1,"重複",""))</f>
        <v/>
      </c>
    </row>
    <row r="4130" customFormat="false" ht="16.5" hidden="false" customHeight="true" outlineLevel="0" collapsed="false">
      <c r="A4130" s="2" t="s">
        <v>447</v>
      </c>
      <c r="B4130" s="2" t="s">
        <v>471</v>
      </c>
      <c r="C4130" s="2" t="s">
        <v>12</v>
      </c>
      <c r="D4130" s="2" t="str">
        <f aca="false">IF(4キー同時!$B$305="","",4キー同時!$B$305)</f>
        <v/>
      </c>
      <c r="E4130" s="2" t="str">
        <f aca="false">IF(4キー同時!$G$305="","",4キー同時!$G$305)</f>
        <v/>
      </c>
      <c r="F4130" s="2" t="str">
        <f aca="false">IF(4キー同時!$L$305="","",4キー同時!$L$305)</f>
        <v/>
      </c>
      <c r="G4130" s="2" t="str">
        <f aca="false">IF(OR(4キー同時!$B$305="",4キー同時!$G$305="",4キー同時!$L$305=""),"",IF(4キー同時!H309="","",SUBSTITUTE(SUBSTITUTE(4キー同時!H309," ",""),"　","")))</f>
        <v/>
      </c>
      <c r="H4130" s="2" t="str">
        <f aca="false">IF($G4130="","",4キー同時!$B$305)</f>
        <v/>
      </c>
      <c r="I4130" s="2" t="str">
        <f aca="false">IF($G4130="","",4キー同時!$G$305)</f>
        <v/>
      </c>
      <c r="J4130" s="2" t="str">
        <f aca="false">IF($G4130="","",4キー同時!$L$305)</f>
        <v/>
      </c>
      <c r="K4130" s="2" t="str">
        <f aca="false">IF($G4130="","","q")</f>
        <v/>
      </c>
      <c r="L4130" s="2" t="str">
        <f aca="false">IF($G4130="","","同時")</f>
        <v/>
      </c>
      <c r="M4130" s="2" t="str">
        <f aca="false">IF($G4130="","",IF(ISNA(MATCH($G4130,個別指定!$A:$A,0)),"行なし",""))</f>
        <v/>
      </c>
      <c r="N4130" s="2" t="str">
        <f aca="false">IF($G4130="","",IF(COUNTIF($G$2:$G$4460,$G4130)&gt;1,"重複",""))</f>
        <v/>
      </c>
    </row>
    <row r="4131" customFormat="false" ht="16.5" hidden="false" customHeight="true" outlineLevel="0" collapsed="false">
      <c r="A4131" s="2" t="s">
        <v>447</v>
      </c>
      <c r="B4131" s="2" t="s">
        <v>471</v>
      </c>
      <c r="C4131" s="2" t="s">
        <v>13</v>
      </c>
      <c r="D4131" s="2" t="str">
        <f aca="false">IF(4キー同時!$B$305="","",4キー同時!$B$305)</f>
        <v/>
      </c>
      <c r="E4131" s="2" t="str">
        <f aca="false">IF(4キー同時!$G$305="","",4キー同時!$G$305)</f>
        <v/>
      </c>
      <c r="F4131" s="2" t="str">
        <f aca="false">IF(4キー同時!$L$305="","",4キー同時!$L$305)</f>
        <v/>
      </c>
      <c r="G4131" s="2" t="str">
        <f aca="false">IF(OR(4キー同時!$B$305="",4キー同時!$G$305="",4キー同時!$L$305=""),"",IF(4キー同時!L309="","",SUBSTITUTE(SUBSTITUTE(4キー同時!L309," ",""),"　","")))</f>
        <v/>
      </c>
      <c r="H4131" s="2" t="str">
        <f aca="false">IF($G4131="","",4キー同時!$B$305)</f>
        <v/>
      </c>
      <c r="I4131" s="2" t="str">
        <f aca="false">IF($G4131="","",4キー同時!$G$305)</f>
        <v/>
      </c>
      <c r="J4131" s="2" t="str">
        <f aca="false">IF($G4131="","",4キー同時!$L$305)</f>
        <v/>
      </c>
      <c r="K4131" s="2" t="str">
        <f aca="false">IF($G4131="","","w")</f>
        <v/>
      </c>
      <c r="L4131" s="2" t="str">
        <f aca="false">IF($G4131="","","同時")</f>
        <v/>
      </c>
      <c r="M4131" s="2" t="str">
        <f aca="false">IF($G4131="","",IF(ISNA(MATCH($G4131,個別指定!$A:$A,0)),"行なし",""))</f>
        <v/>
      </c>
      <c r="N4131" s="2" t="str">
        <f aca="false">IF($G4131="","",IF(COUNTIF($G$2:$G$4460,$G4131)&gt;1,"重複",""))</f>
        <v/>
      </c>
    </row>
    <row r="4132" customFormat="false" ht="16.5" hidden="false" customHeight="true" outlineLevel="0" collapsed="false">
      <c r="A4132" s="2" t="s">
        <v>447</v>
      </c>
      <c r="B4132" s="2" t="s">
        <v>471</v>
      </c>
      <c r="C4132" s="2" t="s">
        <v>14</v>
      </c>
      <c r="D4132" s="2" t="str">
        <f aca="false">IF(4キー同時!$B$305="","",4キー同時!$B$305)</f>
        <v/>
      </c>
      <c r="E4132" s="2" t="str">
        <f aca="false">IF(4キー同時!$G$305="","",4キー同時!$G$305)</f>
        <v/>
      </c>
      <c r="F4132" s="2" t="str">
        <f aca="false">IF(4キー同時!$L$305="","",4キー同時!$L$305)</f>
        <v/>
      </c>
      <c r="G4132" s="2" t="str">
        <f aca="false">IF(OR(4キー同時!$B$305="",4キー同時!$G$305="",4キー同時!$L$305=""),"",IF(4キー同時!P309="","",SUBSTITUTE(SUBSTITUTE(4キー同時!P309," ",""),"　","")))</f>
        <v/>
      </c>
      <c r="H4132" s="2" t="str">
        <f aca="false">IF($G4132="","",4キー同時!$B$305)</f>
        <v/>
      </c>
      <c r="I4132" s="2" t="str">
        <f aca="false">IF($G4132="","",4キー同時!$G$305)</f>
        <v/>
      </c>
      <c r="J4132" s="2" t="str">
        <f aca="false">IF($G4132="","",4キー同時!$L$305)</f>
        <v/>
      </c>
      <c r="K4132" s="2" t="str">
        <f aca="false">IF($G4132="","","e")</f>
        <v/>
      </c>
      <c r="L4132" s="2" t="str">
        <f aca="false">IF($G4132="","","同時")</f>
        <v/>
      </c>
      <c r="M4132" s="2" t="str">
        <f aca="false">IF($G4132="","",IF(ISNA(MATCH($G4132,個別指定!$A:$A,0)),"行なし",""))</f>
        <v/>
      </c>
      <c r="N4132" s="2" t="str">
        <f aca="false">IF($G4132="","",IF(COUNTIF($G$2:$G$4460,$G4132)&gt;1,"重複",""))</f>
        <v/>
      </c>
    </row>
    <row r="4133" customFormat="false" ht="16.5" hidden="false" customHeight="true" outlineLevel="0" collapsed="false">
      <c r="A4133" s="2" t="s">
        <v>447</v>
      </c>
      <c r="B4133" s="2" t="s">
        <v>471</v>
      </c>
      <c r="C4133" s="2" t="s">
        <v>15</v>
      </c>
      <c r="D4133" s="2" t="str">
        <f aca="false">IF(4キー同時!$B$305="","",4キー同時!$B$305)</f>
        <v/>
      </c>
      <c r="E4133" s="2" t="str">
        <f aca="false">IF(4キー同時!$G$305="","",4キー同時!$G$305)</f>
        <v/>
      </c>
      <c r="F4133" s="2" t="str">
        <f aca="false">IF(4キー同時!$L$305="","",4キー同時!$L$305)</f>
        <v/>
      </c>
      <c r="G4133" s="2" t="str">
        <f aca="false">IF(OR(4キー同時!$B$305="",4キー同時!$G$305="",4キー同時!$L$305=""),"",IF(4キー同時!T309="","",SUBSTITUTE(SUBSTITUTE(4キー同時!T309," ",""),"　","")))</f>
        <v/>
      </c>
      <c r="H4133" s="2" t="str">
        <f aca="false">IF($G4133="","",4キー同時!$B$305)</f>
        <v/>
      </c>
      <c r="I4133" s="2" t="str">
        <f aca="false">IF($G4133="","",4キー同時!$G$305)</f>
        <v/>
      </c>
      <c r="J4133" s="2" t="str">
        <f aca="false">IF($G4133="","",4キー同時!$L$305)</f>
        <v/>
      </c>
      <c r="K4133" s="2" t="str">
        <f aca="false">IF($G4133="","","r")</f>
        <v/>
      </c>
      <c r="L4133" s="2" t="str">
        <f aca="false">IF($G4133="","","同時")</f>
        <v/>
      </c>
      <c r="M4133" s="2" t="str">
        <f aca="false">IF($G4133="","",IF(ISNA(MATCH($G4133,個別指定!$A:$A,0)),"行なし",""))</f>
        <v/>
      </c>
      <c r="N4133" s="2" t="str">
        <f aca="false">IF($G4133="","",IF(COUNTIF($G$2:$G$4460,$G4133)&gt;1,"重複",""))</f>
        <v/>
      </c>
    </row>
    <row r="4134" customFormat="false" ht="16.5" hidden="false" customHeight="true" outlineLevel="0" collapsed="false">
      <c r="A4134" s="2" t="s">
        <v>447</v>
      </c>
      <c r="B4134" s="2" t="s">
        <v>471</v>
      </c>
      <c r="C4134" s="2" t="s">
        <v>16</v>
      </c>
      <c r="D4134" s="2" t="str">
        <f aca="false">IF(4キー同時!$B$305="","",4キー同時!$B$305)</f>
        <v/>
      </c>
      <c r="E4134" s="2" t="str">
        <f aca="false">IF(4キー同時!$G$305="","",4キー同時!$G$305)</f>
        <v/>
      </c>
      <c r="F4134" s="2" t="str">
        <f aca="false">IF(4キー同時!$L$305="","",4キー同時!$L$305)</f>
        <v/>
      </c>
      <c r="G4134" s="2" t="str">
        <f aca="false">IF(OR(4キー同時!$B$305="",4キー同時!$G$305="",4キー同時!$L$305=""),"",IF(4キー同時!X309="","",SUBSTITUTE(SUBSTITUTE(4キー同時!X309," ",""),"　","")))</f>
        <v/>
      </c>
      <c r="H4134" s="2" t="str">
        <f aca="false">IF($G4134="","",4キー同時!$B$305)</f>
        <v/>
      </c>
      <c r="I4134" s="2" t="str">
        <f aca="false">IF($G4134="","",4キー同時!$G$305)</f>
        <v/>
      </c>
      <c r="J4134" s="2" t="str">
        <f aca="false">IF($G4134="","",4キー同時!$L$305)</f>
        <v/>
      </c>
      <c r="K4134" s="2" t="str">
        <f aca="false">IF($G4134="","","t")</f>
        <v/>
      </c>
      <c r="L4134" s="2" t="str">
        <f aca="false">IF($G4134="","","同時")</f>
        <v/>
      </c>
      <c r="M4134" s="2" t="str">
        <f aca="false">IF($G4134="","",IF(ISNA(MATCH($G4134,個別指定!$A:$A,0)),"行なし",""))</f>
        <v/>
      </c>
      <c r="N4134" s="2" t="str">
        <f aca="false">IF($G4134="","",IF(COUNTIF($G$2:$G$4460,$G4134)&gt;1,"重複",""))</f>
        <v/>
      </c>
    </row>
    <row r="4135" customFormat="false" ht="16.5" hidden="false" customHeight="true" outlineLevel="0" collapsed="false">
      <c r="A4135" s="2" t="s">
        <v>447</v>
      </c>
      <c r="B4135" s="2" t="s">
        <v>471</v>
      </c>
      <c r="C4135" s="2" t="s">
        <v>17</v>
      </c>
      <c r="D4135" s="2" t="str">
        <f aca="false">IF(4キー同時!$B$305="","",4キー同時!$B$305)</f>
        <v/>
      </c>
      <c r="E4135" s="2" t="str">
        <f aca="false">IF(4キー同時!$G$305="","",4キー同時!$G$305)</f>
        <v/>
      </c>
      <c r="F4135" s="2" t="str">
        <f aca="false">IF(4キー同時!$L$305="","",4キー同時!$L$305)</f>
        <v/>
      </c>
      <c r="G4135" s="2" t="str">
        <f aca="false">IF(OR(4キー同時!$B$305="",4キー同時!$G$305="",4キー同時!$L$305=""),"",IF(4キー同時!AB309="","",SUBSTITUTE(SUBSTITUTE(4キー同時!AB309," ",""),"　","")))</f>
        <v/>
      </c>
      <c r="H4135" s="2" t="str">
        <f aca="false">IF($G4135="","",4キー同時!$B$305)</f>
        <v/>
      </c>
      <c r="I4135" s="2" t="str">
        <f aca="false">IF($G4135="","",4キー同時!$G$305)</f>
        <v/>
      </c>
      <c r="J4135" s="2" t="str">
        <f aca="false">IF($G4135="","",4キー同時!$L$305)</f>
        <v/>
      </c>
      <c r="K4135" s="2" t="str">
        <f aca="false">IF($G4135="","","y")</f>
        <v/>
      </c>
      <c r="L4135" s="2" t="str">
        <f aca="false">IF($G4135="","","同時")</f>
        <v/>
      </c>
      <c r="M4135" s="2" t="str">
        <f aca="false">IF($G4135="","",IF(ISNA(MATCH($G4135,個別指定!$A:$A,0)),"行なし",""))</f>
        <v/>
      </c>
      <c r="N4135" s="2" t="str">
        <f aca="false">IF($G4135="","",IF(COUNTIF($G$2:$G$4460,$G4135)&gt;1,"重複",""))</f>
        <v/>
      </c>
    </row>
    <row r="4136" customFormat="false" ht="16.5" hidden="false" customHeight="true" outlineLevel="0" collapsed="false">
      <c r="A4136" s="2" t="s">
        <v>447</v>
      </c>
      <c r="B4136" s="2" t="s">
        <v>471</v>
      </c>
      <c r="C4136" s="2" t="s">
        <v>18</v>
      </c>
      <c r="D4136" s="2" t="str">
        <f aca="false">IF(4キー同時!$B$305="","",4キー同時!$B$305)</f>
        <v/>
      </c>
      <c r="E4136" s="2" t="str">
        <f aca="false">IF(4キー同時!$G$305="","",4キー同時!$G$305)</f>
        <v/>
      </c>
      <c r="F4136" s="2" t="str">
        <f aca="false">IF(4キー同時!$L$305="","",4キー同時!$L$305)</f>
        <v/>
      </c>
      <c r="G4136" s="2" t="str">
        <f aca="false">IF(OR(4キー同時!$B$305="",4キー同時!$G$305="",4キー同時!$L$305=""),"",IF(4キー同時!AF309="","",SUBSTITUTE(SUBSTITUTE(4キー同時!AF309," ",""),"　","")))</f>
        <v/>
      </c>
      <c r="H4136" s="2" t="str">
        <f aca="false">IF($G4136="","",4キー同時!$B$305)</f>
        <v/>
      </c>
      <c r="I4136" s="2" t="str">
        <f aca="false">IF($G4136="","",4キー同時!$G$305)</f>
        <v/>
      </c>
      <c r="J4136" s="2" t="str">
        <f aca="false">IF($G4136="","",4キー同時!$L$305)</f>
        <v/>
      </c>
      <c r="K4136" s="2" t="str">
        <f aca="false">IF($G4136="","","u")</f>
        <v/>
      </c>
      <c r="L4136" s="2" t="str">
        <f aca="false">IF($G4136="","","同時")</f>
        <v/>
      </c>
      <c r="M4136" s="2" t="str">
        <f aca="false">IF($G4136="","",IF(ISNA(MATCH($G4136,個別指定!$A:$A,0)),"行なし",""))</f>
        <v/>
      </c>
      <c r="N4136" s="2" t="str">
        <f aca="false">IF($G4136="","",IF(COUNTIF($G$2:$G$4460,$G4136)&gt;1,"重複",""))</f>
        <v/>
      </c>
    </row>
    <row r="4137" customFormat="false" ht="16.5" hidden="false" customHeight="true" outlineLevel="0" collapsed="false">
      <c r="A4137" s="2" t="s">
        <v>447</v>
      </c>
      <c r="B4137" s="2" t="s">
        <v>471</v>
      </c>
      <c r="C4137" s="2" t="s">
        <v>19</v>
      </c>
      <c r="D4137" s="2" t="str">
        <f aca="false">IF(4キー同時!$B$305="","",4キー同時!$B$305)</f>
        <v/>
      </c>
      <c r="E4137" s="2" t="str">
        <f aca="false">IF(4キー同時!$G$305="","",4キー同時!$G$305)</f>
        <v/>
      </c>
      <c r="F4137" s="2" t="str">
        <f aca="false">IF(4キー同時!$L$305="","",4キー同時!$L$305)</f>
        <v/>
      </c>
      <c r="G4137" s="2" t="str">
        <f aca="false">IF(OR(4キー同時!$B$305="",4キー同時!$G$305="",4キー同時!$L$305=""),"",IF(4キー同時!AJ309="","",SUBSTITUTE(SUBSTITUTE(4キー同時!AJ309," ",""),"　","")))</f>
        <v/>
      </c>
      <c r="H4137" s="2" t="str">
        <f aca="false">IF($G4137="","",4キー同時!$B$305)</f>
        <v/>
      </c>
      <c r="I4137" s="2" t="str">
        <f aca="false">IF($G4137="","",4キー同時!$G$305)</f>
        <v/>
      </c>
      <c r="J4137" s="2" t="str">
        <f aca="false">IF($G4137="","",4キー同時!$L$305)</f>
        <v/>
      </c>
      <c r="K4137" s="2" t="str">
        <f aca="false">IF($G4137="","","i")</f>
        <v/>
      </c>
      <c r="L4137" s="2" t="str">
        <f aca="false">IF($G4137="","","同時")</f>
        <v/>
      </c>
      <c r="M4137" s="2" t="str">
        <f aca="false">IF($G4137="","",IF(ISNA(MATCH($G4137,個別指定!$A:$A,0)),"行なし",""))</f>
        <v/>
      </c>
      <c r="N4137" s="2" t="str">
        <f aca="false">IF($G4137="","",IF(COUNTIF($G$2:$G$4460,$G4137)&gt;1,"重複",""))</f>
        <v/>
      </c>
    </row>
    <row r="4138" customFormat="false" ht="16.5" hidden="false" customHeight="true" outlineLevel="0" collapsed="false">
      <c r="A4138" s="2" t="s">
        <v>447</v>
      </c>
      <c r="B4138" s="2" t="s">
        <v>471</v>
      </c>
      <c r="C4138" s="2" t="s">
        <v>20</v>
      </c>
      <c r="D4138" s="2" t="str">
        <f aca="false">IF(4キー同時!$B$305="","",4キー同時!$B$305)</f>
        <v/>
      </c>
      <c r="E4138" s="2" t="str">
        <f aca="false">IF(4キー同時!$G$305="","",4キー同時!$G$305)</f>
        <v/>
      </c>
      <c r="F4138" s="2" t="str">
        <f aca="false">IF(4キー同時!$L$305="","",4キー同時!$L$305)</f>
        <v/>
      </c>
      <c r="G4138" s="2" t="str">
        <f aca="false">IF(OR(4キー同時!$B$305="",4キー同時!$G$305="",4キー同時!$L$305=""),"",IF(4キー同時!AN309="","",SUBSTITUTE(SUBSTITUTE(4キー同時!AN309," ",""),"　","")))</f>
        <v/>
      </c>
      <c r="H4138" s="2" t="str">
        <f aca="false">IF($G4138="","",4キー同時!$B$305)</f>
        <v/>
      </c>
      <c r="I4138" s="2" t="str">
        <f aca="false">IF($G4138="","",4キー同時!$G$305)</f>
        <v/>
      </c>
      <c r="J4138" s="2" t="str">
        <f aca="false">IF($G4138="","",4キー同時!$L$305)</f>
        <v/>
      </c>
      <c r="K4138" s="2" t="str">
        <f aca="false">IF($G4138="","","o")</f>
        <v/>
      </c>
      <c r="L4138" s="2" t="str">
        <f aca="false">IF($G4138="","","同時")</f>
        <v/>
      </c>
      <c r="M4138" s="2" t="str">
        <f aca="false">IF($G4138="","",IF(ISNA(MATCH($G4138,個別指定!$A:$A,0)),"行なし",""))</f>
        <v/>
      </c>
      <c r="N4138" s="2" t="str">
        <f aca="false">IF($G4138="","",IF(COUNTIF($G$2:$G$4460,$G4138)&gt;1,"重複",""))</f>
        <v/>
      </c>
    </row>
    <row r="4139" customFormat="false" ht="16.5" hidden="false" customHeight="true" outlineLevel="0" collapsed="false">
      <c r="A4139" s="2" t="s">
        <v>447</v>
      </c>
      <c r="B4139" s="2" t="s">
        <v>471</v>
      </c>
      <c r="C4139" s="2" t="s">
        <v>21</v>
      </c>
      <c r="D4139" s="2" t="str">
        <f aca="false">IF(4キー同時!$B$305="","",4キー同時!$B$305)</f>
        <v/>
      </c>
      <c r="E4139" s="2" t="str">
        <f aca="false">IF(4キー同時!$G$305="","",4キー同時!$G$305)</f>
        <v/>
      </c>
      <c r="F4139" s="2" t="str">
        <f aca="false">IF(4キー同時!$L$305="","",4キー同時!$L$305)</f>
        <v/>
      </c>
      <c r="G4139" s="2" t="str">
        <f aca="false">IF(OR(4キー同時!$B$305="",4キー同時!$G$305="",4キー同時!$L$305=""),"",IF(4キー同時!AR309="","",SUBSTITUTE(SUBSTITUTE(4キー同時!AR309," ",""),"　","")))</f>
        <v/>
      </c>
      <c r="H4139" s="2" t="str">
        <f aca="false">IF($G4139="","",4キー同時!$B$305)</f>
        <v/>
      </c>
      <c r="I4139" s="2" t="str">
        <f aca="false">IF($G4139="","",4キー同時!$G$305)</f>
        <v/>
      </c>
      <c r="J4139" s="2" t="str">
        <f aca="false">IF($G4139="","",4キー同時!$L$305)</f>
        <v/>
      </c>
      <c r="K4139" s="2" t="str">
        <f aca="false">IF($G4139="","","p")</f>
        <v/>
      </c>
      <c r="L4139" s="2" t="str">
        <f aca="false">IF($G4139="","","同時")</f>
        <v/>
      </c>
      <c r="M4139" s="2" t="str">
        <f aca="false">IF($G4139="","",IF(ISNA(MATCH($G4139,個別指定!$A:$A,0)),"行なし",""))</f>
        <v/>
      </c>
      <c r="N4139" s="2" t="str">
        <f aca="false">IF($G4139="","",IF(COUNTIF($G$2:$G$4460,$G4139)&gt;1,"重複",""))</f>
        <v/>
      </c>
    </row>
    <row r="4140" customFormat="false" ht="16.5" hidden="false" customHeight="true" outlineLevel="0" collapsed="false">
      <c r="A4140" s="2" t="s">
        <v>447</v>
      </c>
      <c r="B4140" s="2" t="s">
        <v>471</v>
      </c>
      <c r="C4140" s="2" t="s">
        <v>22</v>
      </c>
      <c r="D4140" s="2" t="str">
        <f aca="false">IF(4キー同時!$B$305="","",4キー同時!$B$305)</f>
        <v/>
      </c>
      <c r="E4140" s="2" t="str">
        <f aca="false">IF(4キー同時!$G$305="","",4キー同時!$G$305)</f>
        <v/>
      </c>
      <c r="F4140" s="2" t="str">
        <f aca="false">IF(4キー同時!$L$305="","",4キー同時!$L$305)</f>
        <v/>
      </c>
      <c r="G4140" s="2" t="str">
        <f aca="false">IF(OR(4キー同時!$B$305="",4キー同時!$G$305="",4キー同時!$L$305=""),"",IF(4キー同時!AV309="","",SUBSTITUTE(SUBSTITUTE(4キー同時!AV309," ",""),"　","")))</f>
        <v/>
      </c>
      <c r="H4140" s="2" t="str">
        <f aca="false">IF($G4140="","",4キー同時!$B$305)</f>
        <v/>
      </c>
      <c r="I4140" s="2" t="str">
        <f aca="false">IF($G4140="","",4キー同時!$G$305)</f>
        <v/>
      </c>
      <c r="J4140" s="2" t="str">
        <f aca="false">IF($G4140="","",4キー同時!$L$305)</f>
        <v/>
      </c>
      <c r="K4140" s="2" t="str">
        <f aca="false">IF($G4140="","","[")</f>
        <v/>
      </c>
      <c r="L4140" s="2" t="str">
        <f aca="false">IF($G4140="","","同時")</f>
        <v/>
      </c>
      <c r="M4140" s="2" t="str">
        <f aca="false">IF($G4140="","",IF(ISNA(MATCH($G4140,個別指定!$A:$A,0)),"行なし",""))</f>
        <v/>
      </c>
      <c r="N4140" s="2" t="str">
        <f aca="false">IF($G4140="","",IF(COUNTIF($G$2:$G$4460,$G4140)&gt;1,"重複",""))</f>
        <v/>
      </c>
    </row>
    <row r="4141" customFormat="false" ht="16.5" hidden="false" customHeight="true" outlineLevel="0" collapsed="false">
      <c r="A4141" s="2" t="s">
        <v>447</v>
      </c>
      <c r="B4141" s="2" t="s">
        <v>471</v>
      </c>
      <c r="C4141" s="2" t="s">
        <v>23</v>
      </c>
      <c r="D4141" s="2" t="str">
        <f aca="false">IF(4キー同時!$B$305="","",4キー同時!$B$305)</f>
        <v/>
      </c>
      <c r="E4141" s="2" t="str">
        <f aca="false">IF(4キー同時!$G$305="","",4キー同時!$G$305)</f>
        <v/>
      </c>
      <c r="F4141" s="2" t="str">
        <f aca="false">IF(4キー同時!$L$305="","",4キー同時!$L$305)</f>
        <v/>
      </c>
      <c r="G4141" s="2" t="str">
        <f aca="false">IF(OR(4キー同時!$B$305="",4キー同時!$G$305="",4キー同時!$L$305=""),"",IF(4キー同時!AZ309="","",SUBSTITUTE(SUBSTITUTE(4キー同時!AZ309," ",""),"　","")))</f>
        <v/>
      </c>
      <c r="H4141" s="2" t="str">
        <f aca="false">IF($G4141="","",4キー同時!$B$305)</f>
        <v/>
      </c>
      <c r="I4141" s="2" t="str">
        <f aca="false">IF($G4141="","",4キー同時!$G$305)</f>
        <v/>
      </c>
      <c r="J4141" s="2" t="str">
        <f aca="false">IF($G4141="","",4キー同時!$L$305)</f>
        <v/>
      </c>
      <c r="K4141" s="2" t="str">
        <f aca="false">IF($G4141="","","]")</f>
        <v/>
      </c>
      <c r="L4141" s="2" t="str">
        <f aca="false">IF($G4141="","","同時")</f>
        <v/>
      </c>
      <c r="M4141" s="2" t="str">
        <f aca="false">IF($G4141="","",IF(ISNA(MATCH($G4141,個別指定!$A:$A,0)),"行なし",""))</f>
        <v/>
      </c>
      <c r="N4141" s="2" t="str">
        <f aca="false">IF($G4141="","",IF(COUNTIF($G$2:$G$4460,$G4141)&gt;1,"重複",""))</f>
        <v/>
      </c>
    </row>
    <row r="4142" customFormat="false" ht="16.5" hidden="false" customHeight="true" outlineLevel="0" collapsed="false">
      <c r="A4142" s="2" t="s">
        <v>447</v>
      </c>
      <c r="B4142" s="2" t="s">
        <v>471</v>
      </c>
      <c r="C4142" s="2" t="s">
        <v>24</v>
      </c>
      <c r="D4142" s="2" t="str">
        <f aca="false">IF(4キー同時!$B$305="","",4キー同時!$B$305)</f>
        <v/>
      </c>
      <c r="E4142" s="2" t="str">
        <f aca="false">IF(4キー同時!$G$305="","",4キー同時!$G$305)</f>
        <v/>
      </c>
      <c r="F4142" s="2" t="str">
        <f aca="false">IF(4キー同時!$L$305="","",4キー同時!$L$305)</f>
        <v/>
      </c>
      <c r="G4142" s="2" t="str">
        <f aca="false">IF(OR(4キー同時!$B$305="",4キー同時!$G$305="",4キー同時!$L$305=""),"",IF(4キー同時!I311="","",SUBSTITUTE(SUBSTITUTE(4キー同時!I311," ",""),"　","")))</f>
        <v/>
      </c>
      <c r="H4142" s="2" t="str">
        <f aca="false">IF($G4142="","",4キー同時!$B$305)</f>
        <v/>
      </c>
      <c r="I4142" s="2" t="str">
        <f aca="false">IF($G4142="","",4キー同時!$G$305)</f>
        <v/>
      </c>
      <c r="J4142" s="2" t="str">
        <f aca="false">IF($G4142="","",4キー同時!$L$305)</f>
        <v/>
      </c>
      <c r="K4142" s="2" t="str">
        <f aca="false">IF($G4142="","","a")</f>
        <v/>
      </c>
      <c r="L4142" s="2" t="str">
        <f aca="false">IF($G4142="","","同時")</f>
        <v/>
      </c>
      <c r="M4142" s="2" t="str">
        <f aca="false">IF($G4142="","",IF(ISNA(MATCH($G4142,個別指定!$A:$A,0)),"行なし",""))</f>
        <v/>
      </c>
      <c r="N4142" s="2" t="str">
        <f aca="false">IF($G4142="","",IF(COUNTIF($G$2:$G$4460,$G4142)&gt;1,"重複",""))</f>
        <v/>
      </c>
    </row>
    <row r="4143" customFormat="false" ht="16.5" hidden="false" customHeight="true" outlineLevel="0" collapsed="false">
      <c r="A4143" s="2" t="s">
        <v>447</v>
      </c>
      <c r="B4143" s="2" t="s">
        <v>471</v>
      </c>
      <c r="C4143" s="2" t="s">
        <v>25</v>
      </c>
      <c r="D4143" s="2" t="str">
        <f aca="false">IF(4キー同時!$B$305="","",4キー同時!$B$305)</f>
        <v/>
      </c>
      <c r="E4143" s="2" t="str">
        <f aca="false">IF(4キー同時!$G$305="","",4キー同時!$G$305)</f>
        <v/>
      </c>
      <c r="F4143" s="2" t="str">
        <f aca="false">IF(4キー同時!$L$305="","",4キー同時!$L$305)</f>
        <v/>
      </c>
      <c r="G4143" s="2" t="str">
        <f aca="false">IF(OR(4キー同時!$B$305="",4キー同時!$G$305="",4キー同時!$L$305=""),"",IF(4キー同時!M311="","",SUBSTITUTE(SUBSTITUTE(4キー同時!M311," ",""),"　","")))</f>
        <v/>
      </c>
      <c r="H4143" s="2" t="str">
        <f aca="false">IF($G4143="","",4キー同時!$B$305)</f>
        <v/>
      </c>
      <c r="I4143" s="2" t="str">
        <f aca="false">IF($G4143="","",4キー同時!$G$305)</f>
        <v/>
      </c>
      <c r="J4143" s="2" t="str">
        <f aca="false">IF($G4143="","",4キー同時!$L$305)</f>
        <v/>
      </c>
      <c r="K4143" s="2" t="str">
        <f aca="false">IF($G4143="","","s")</f>
        <v/>
      </c>
      <c r="L4143" s="2" t="str">
        <f aca="false">IF($G4143="","","同時")</f>
        <v/>
      </c>
      <c r="M4143" s="2" t="str">
        <f aca="false">IF($G4143="","",IF(ISNA(MATCH($G4143,個別指定!$A:$A,0)),"行なし",""))</f>
        <v/>
      </c>
      <c r="N4143" s="2" t="str">
        <f aca="false">IF($G4143="","",IF(COUNTIF($G$2:$G$4460,$G4143)&gt;1,"重複",""))</f>
        <v/>
      </c>
    </row>
    <row r="4144" customFormat="false" ht="16.5" hidden="false" customHeight="true" outlineLevel="0" collapsed="false">
      <c r="A4144" s="2" t="s">
        <v>447</v>
      </c>
      <c r="B4144" s="2" t="s">
        <v>471</v>
      </c>
      <c r="C4144" s="2" t="s">
        <v>26</v>
      </c>
      <c r="D4144" s="2" t="str">
        <f aca="false">IF(4キー同時!$B$305="","",4キー同時!$B$305)</f>
        <v/>
      </c>
      <c r="E4144" s="2" t="str">
        <f aca="false">IF(4キー同時!$G$305="","",4キー同時!$G$305)</f>
        <v/>
      </c>
      <c r="F4144" s="2" t="str">
        <f aca="false">IF(4キー同時!$L$305="","",4キー同時!$L$305)</f>
        <v/>
      </c>
      <c r="G4144" s="2" t="str">
        <f aca="false">IF(OR(4キー同時!$B$305="",4キー同時!$G$305="",4キー同時!$L$305=""),"",IF(4キー同時!Q311="","",SUBSTITUTE(SUBSTITUTE(4キー同時!Q311," ",""),"　","")))</f>
        <v/>
      </c>
      <c r="H4144" s="2" t="str">
        <f aca="false">IF($G4144="","",4キー同時!$B$305)</f>
        <v/>
      </c>
      <c r="I4144" s="2" t="str">
        <f aca="false">IF($G4144="","",4キー同時!$G$305)</f>
        <v/>
      </c>
      <c r="J4144" s="2" t="str">
        <f aca="false">IF($G4144="","",4キー同時!$L$305)</f>
        <v/>
      </c>
      <c r="K4144" s="2" t="str">
        <f aca="false">IF($G4144="","","d")</f>
        <v/>
      </c>
      <c r="L4144" s="2" t="str">
        <f aca="false">IF($G4144="","","同時")</f>
        <v/>
      </c>
      <c r="M4144" s="2" t="str">
        <f aca="false">IF($G4144="","",IF(ISNA(MATCH($G4144,個別指定!$A:$A,0)),"行なし",""))</f>
        <v/>
      </c>
      <c r="N4144" s="2" t="str">
        <f aca="false">IF($G4144="","",IF(COUNTIF($G$2:$G$4460,$G4144)&gt;1,"重複",""))</f>
        <v/>
      </c>
    </row>
    <row r="4145" customFormat="false" ht="16.5" hidden="false" customHeight="true" outlineLevel="0" collapsed="false">
      <c r="A4145" s="2" t="s">
        <v>447</v>
      </c>
      <c r="B4145" s="2" t="s">
        <v>471</v>
      </c>
      <c r="C4145" s="2" t="s">
        <v>27</v>
      </c>
      <c r="D4145" s="2" t="str">
        <f aca="false">IF(4キー同時!$B$305="","",4キー同時!$B$305)</f>
        <v/>
      </c>
      <c r="E4145" s="2" t="str">
        <f aca="false">IF(4キー同時!$G$305="","",4キー同時!$G$305)</f>
        <v/>
      </c>
      <c r="F4145" s="2" t="str">
        <f aca="false">IF(4キー同時!$L$305="","",4キー同時!$L$305)</f>
        <v/>
      </c>
      <c r="G4145" s="2" t="str">
        <f aca="false">IF(OR(4キー同時!$B$305="",4キー同時!$G$305="",4キー同時!$L$305=""),"",IF(4キー同時!U311="","",SUBSTITUTE(SUBSTITUTE(4キー同時!U311," ",""),"　","")))</f>
        <v/>
      </c>
      <c r="H4145" s="2" t="str">
        <f aca="false">IF($G4145="","",4キー同時!$B$305)</f>
        <v/>
      </c>
      <c r="I4145" s="2" t="str">
        <f aca="false">IF($G4145="","",4キー同時!$G$305)</f>
        <v/>
      </c>
      <c r="J4145" s="2" t="str">
        <f aca="false">IF($G4145="","",4キー同時!$L$305)</f>
        <v/>
      </c>
      <c r="K4145" s="2" t="str">
        <f aca="false">IF($G4145="","","f")</f>
        <v/>
      </c>
      <c r="L4145" s="2" t="str">
        <f aca="false">IF($G4145="","","同時")</f>
        <v/>
      </c>
      <c r="M4145" s="2" t="str">
        <f aca="false">IF($G4145="","",IF(ISNA(MATCH($G4145,個別指定!$A:$A,0)),"行なし",""))</f>
        <v/>
      </c>
      <c r="N4145" s="2" t="str">
        <f aca="false">IF($G4145="","",IF(COUNTIF($G$2:$G$4460,$G4145)&gt;1,"重複",""))</f>
        <v/>
      </c>
    </row>
    <row r="4146" customFormat="false" ht="16.5" hidden="false" customHeight="true" outlineLevel="0" collapsed="false">
      <c r="A4146" s="2" t="s">
        <v>447</v>
      </c>
      <c r="B4146" s="2" t="s">
        <v>471</v>
      </c>
      <c r="C4146" s="2" t="s">
        <v>28</v>
      </c>
      <c r="D4146" s="2" t="str">
        <f aca="false">IF(4キー同時!$B$305="","",4キー同時!$B$305)</f>
        <v/>
      </c>
      <c r="E4146" s="2" t="str">
        <f aca="false">IF(4キー同時!$G$305="","",4キー同時!$G$305)</f>
        <v/>
      </c>
      <c r="F4146" s="2" t="str">
        <f aca="false">IF(4キー同時!$L$305="","",4キー同時!$L$305)</f>
        <v/>
      </c>
      <c r="G4146" s="2" t="str">
        <f aca="false">IF(OR(4キー同時!$B$305="",4キー同時!$G$305="",4キー同時!$L$305=""),"",IF(4キー同時!Y311="","",SUBSTITUTE(SUBSTITUTE(4キー同時!Y311," ",""),"　","")))</f>
        <v/>
      </c>
      <c r="H4146" s="2" t="str">
        <f aca="false">IF($G4146="","",4キー同時!$B$305)</f>
        <v/>
      </c>
      <c r="I4146" s="2" t="str">
        <f aca="false">IF($G4146="","",4キー同時!$G$305)</f>
        <v/>
      </c>
      <c r="J4146" s="2" t="str">
        <f aca="false">IF($G4146="","",4キー同時!$L$305)</f>
        <v/>
      </c>
      <c r="K4146" s="2" t="str">
        <f aca="false">IF($G4146="","","g")</f>
        <v/>
      </c>
      <c r="L4146" s="2" t="str">
        <f aca="false">IF($G4146="","","同時")</f>
        <v/>
      </c>
      <c r="M4146" s="2" t="str">
        <f aca="false">IF($G4146="","",IF(ISNA(MATCH($G4146,個別指定!$A:$A,0)),"行なし",""))</f>
        <v/>
      </c>
      <c r="N4146" s="2" t="str">
        <f aca="false">IF($G4146="","",IF(COUNTIF($G$2:$G$4460,$G4146)&gt;1,"重複",""))</f>
        <v/>
      </c>
    </row>
    <row r="4147" customFormat="false" ht="16.5" hidden="false" customHeight="true" outlineLevel="0" collapsed="false">
      <c r="A4147" s="2" t="s">
        <v>447</v>
      </c>
      <c r="B4147" s="2" t="s">
        <v>471</v>
      </c>
      <c r="C4147" s="2" t="s">
        <v>29</v>
      </c>
      <c r="D4147" s="2" t="str">
        <f aca="false">IF(4キー同時!$B$305="","",4キー同時!$B$305)</f>
        <v/>
      </c>
      <c r="E4147" s="2" t="str">
        <f aca="false">IF(4キー同時!$G$305="","",4キー同時!$G$305)</f>
        <v/>
      </c>
      <c r="F4147" s="2" t="str">
        <f aca="false">IF(4キー同時!$L$305="","",4キー同時!$L$305)</f>
        <v/>
      </c>
      <c r="G4147" s="2" t="str">
        <f aca="false">IF(OR(4キー同時!$B$305="",4キー同時!$G$305="",4キー同時!$L$305=""),"",IF(4キー同時!AC311="","",SUBSTITUTE(SUBSTITUTE(4キー同時!AC311," ",""),"　","")))</f>
        <v/>
      </c>
      <c r="H4147" s="2" t="str">
        <f aca="false">IF($G4147="","",4キー同時!$B$305)</f>
        <v/>
      </c>
      <c r="I4147" s="2" t="str">
        <f aca="false">IF($G4147="","",4キー同時!$G$305)</f>
        <v/>
      </c>
      <c r="J4147" s="2" t="str">
        <f aca="false">IF($G4147="","",4キー同時!$L$305)</f>
        <v/>
      </c>
      <c r="K4147" s="2" t="str">
        <f aca="false">IF($G4147="","","h")</f>
        <v/>
      </c>
      <c r="L4147" s="2" t="str">
        <f aca="false">IF($G4147="","","同時")</f>
        <v/>
      </c>
      <c r="M4147" s="2" t="str">
        <f aca="false">IF($G4147="","",IF(ISNA(MATCH($G4147,個別指定!$A:$A,0)),"行なし",""))</f>
        <v/>
      </c>
      <c r="N4147" s="2" t="str">
        <f aca="false">IF($G4147="","",IF(COUNTIF($G$2:$G$4460,$G4147)&gt;1,"重複",""))</f>
        <v/>
      </c>
    </row>
    <row r="4148" customFormat="false" ht="16.5" hidden="false" customHeight="true" outlineLevel="0" collapsed="false">
      <c r="A4148" s="2" t="s">
        <v>447</v>
      </c>
      <c r="B4148" s="2" t="s">
        <v>471</v>
      </c>
      <c r="C4148" s="2" t="s">
        <v>30</v>
      </c>
      <c r="D4148" s="2" t="str">
        <f aca="false">IF(4キー同時!$B$305="","",4キー同時!$B$305)</f>
        <v/>
      </c>
      <c r="E4148" s="2" t="str">
        <f aca="false">IF(4キー同時!$G$305="","",4キー同時!$G$305)</f>
        <v/>
      </c>
      <c r="F4148" s="2" t="str">
        <f aca="false">IF(4キー同時!$L$305="","",4キー同時!$L$305)</f>
        <v/>
      </c>
      <c r="G4148" s="2" t="str">
        <f aca="false">IF(OR(4キー同時!$B$305="",4キー同時!$G$305="",4キー同時!$L$305=""),"",IF(4キー同時!AG311="","",SUBSTITUTE(SUBSTITUTE(4キー同時!AG311," ",""),"　","")))</f>
        <v/>
      </c>
      <c r="H4148" s="2" t="str">
        <f aca="false">IF($G4148="","",4キー同時!$B$305)</f>
        <v/>
      </c>
      <c r="I4148" s="2" t="str">
        <f aca="false">IF($G4148="","",4キー同時!$G$305)</f>
        <v/>
      </c>
      <c r="J4148" s="2" t="str">
        <f aca="false">IF($G4148="","",4キー同時!$L$305)</f>
        <v/>
      </c>
      <c r="K4148" s="2" t="str">
        <f aca="false">IF($G4148="","","j")</f>
        <v/>
      </c>
      <c r="L4148" s="2" t="str">
        <f aca="false">IF($G4148="","","同時")</f>
        <v/>
      </c>
      <c r="M4148" s="2" t="str">
        <f aca="false">IF($G4148="","",IF(ISNA(MATCH($G4148,個別指定!$A:$A,0)),"行なし",""))</f>
        <v/>
      </c>
      <c r="N4148" s="2" t="str">
        <f aca="false">IF($G4148="","",IF(COUNTIF($G$2:$G$4460,$G4148)&gt;1,"重複",""))</f>
        <v/>
      </c>
    </row>
    <row r="4149" customFormat="false" ht="16.5" hidden="false" customHeight="true" outlineLevel="0" collapsed="false">
      <c r="A4149" s="2" t="s">
        <v>447</v>
      </c>
      <c r="B4149" s="2" t="s">
        <v>471</v>
      </c>
      <c r="C4149" s="2" t="s">
        <v>31</v>
      </c>
      <c r="D4149" s="2" t="str">
        <f aca="false">IF(4キー同時!$B$305="","",4キー同時!$B$305)</f>
        <v/>
      </c>
      <c r="E4149" s="2" t="str">
        <f aca="false">IF(4キー同時!$G$305="","",4キー同時!$G$305)</f>
        <v/>
      </c>
      <c r="F4149" s="2" t="str">
        <f aca="false">IF(4キー同時!$L$305="","",4キー同時!$L$305)</f>
        <v/>
      </c>
      <c r="G4149" s="2" t="str">
        <f aca="false">IF(OR(4キー同時!$B$305="",4キー同時!$G$305="",4キー同時!$L$305=""),"",IF(4キー同時!AK311="","",SUBSTITUTE(SUBSTITUTE(4キー同時!AK311," ",""),"　","")))</f>
        <v/>
      </c>
      <c r="H4149" s="2" t="str">
        <f aca="false">IF($G4149="","",4キー同時!$B$305)</f>
        <v/>
      </c>
      <c r="I4149" s="2" t="str">
        <f aca="false">IF($G4149="","",4キー同時!$G$305)</f>
        <v/>
      </c>
      <c r="J4149" s="2" t="str">
        <f aca="false">IF($G4149="","",4キー同時!$L$305)</f>
        <v/>
      </c>
      <c r="K4149" s="2" t="str">
        <f aca="false">IF($G4149="","","k")</f>
        <v/>
      </c>
      <c r="L4149" s="2" t="str">
        <f aca="false">IF($G4149="","","同時")</f>
        <v/>
      </c>
      <c r="M4149" s="2" t="str">
        <f aca="false">IF($G4149="","",IF(ISNA(MATCH($G4149,個別指定!$A:$A,0)),"行なし",""))</f>
        <v/>
      </c>
      <c r="N4149" s="2" t="str">
        <f aca="false">IF($G4149="","",IF(COUNTIF($G$2:$G$4460,$G4149)&gt;1,"重複",""))</f>
        <v/>
      </c>
    </row>
    <row r="4150" customFormat="false" ht="16.5" hidden="false" customHeight="true" outlineLevel="0" collapsed="false">
      <c r="A4150" s="2" t="s">
        <v>447</v>
      </c>
      <c r="B4150" s="2" t="s">
        <v>471</v>
      </c>
      <c r="C4150" s="2" t="s">
        <v>32</v>
      </c>
      <c r="D4150" s="2" t="str">
        <f aca="false">IF(4キー同時!$B$305="","",4キー同時!$B$305)</f>
        <v/>
      </c>
      <c r="E4150" s="2" t="str">
        <f aca="false">IF(4キー同時!$G$305="","",4キー同時!$G$305)</f>
        <v/>
      </c>
      <c r="F4150" s="2" t="str">
        <f aca="false">IF(4キー同時!$L$305="","",4キー同時!$L$305)</f>
        <v/>
      </c>
      <c r="G4150" s="2" t="str">
        <f aca="false">IF(OR(4キー同時!$B$305="",4キー同時!$G$305="",4キー同時!$L$305=""),"",IF(4キー同時!AO311="","",SUBSTITUTE(SUBSTITUTE(4キー同時!AO311," ",""),"　","")))</f>
        <v/>
      </c>
      <c r="H4150" s="2" t="str">
        <f aca="false">IF($G4150="","",4キー同時!$B$305)</f>
        <v/>
      </c>
      <c r="I4150" s="2" t="str">
        <f aca="false">IF($G4150="","",4キー同時!$G$305)</f>
        <v/>
      </c>
      <c r="J4150" s="2" t="str">
        <f aca="false">IF($G4150="","",4キー同時!$L$305)</f>
        <v/>
      </c>
      <c r="K4150" s="2" t="str">
        <f aca="false">IF($G4150="","","l")</f>
        <v/>
      </c>
      <c r="L4150" s="2" t="str">
        <f aca="false">IF($G4150="","","同時")</f>
        <v/>
      </c>
      <c r="M4150" s="2" t="str">
        <f aca="false">IF($G4150="","",IF(ISNA(MATCH($G4150,個別指定!$A:$A,0)),"行なし",""))</f>
        <v/>
      </c>
      <c r="N4150" s="2" t="str">
        <f aca="false">IF($G4150="","",IF(COUNTIF($G$2:$G$4460,$G4150)&gt;1,"重複",""))</f>
        <v/>
      </c>
    </row>
    <row r="4151" customFormat="false" ht="16.5" hidden="false" customHeight="true" outlineLevel="0" collapsed="false">
      <c r="A4151" s="2" t="s">
        <v>447</v>
      </c>
      <c r="B4151" s="2" t="s">
        <v>471</v>
      </c>
      <c r="C4151" s="2" t="s">
        <v>33</v>
      </c>
      <c r="D4151" s="2" t="str">
        <f aca="false">IF(4キー同時!$B$305="","",4キー同時!$B$305)</f>
        <v/>
      </c>
      <c r="E4151" s="2" t="str">
        <f aca="false">IF(4キー同時!$G$305="","",4キー同時!$G$305)</f>
        <v/>
      </c>
      <c r="F4151" s="2" t="str">
        <f aca="false">IF(4キー同時!$L$305="","",4キー同時!$L$305)</f>
        <v/>
      </c>
      <c r="G4151" s="2" t="str">
        <f aca="false">IF(OR(4キー同時!$B$305="",4キー同時!$G$305="",4キー同時!$L$305=""),"",IF(4キー同時!AS311="","",SUBSTITUTE(SUBSTITUTE(4キー同時!AS311," ",""),"　","")))</f>
        <v/>
      </c>
      <c r="H4151" s="2" t="str">
        <f aca="false">IF($G4151="","",4キー同時!$B$305)</f>
        <v/>
      </c>
      <c r="I4151" s="2" t="str">
        <f aca="false">IF($G4151="","",4キー同時!$G$305)</f>
        <v/>
      </c>
      <c r="J4151" s="2" t="str">
        <f aca="false">IF($G4151="","",4キー同時!$L$305)</f>
        <v/>
      </c>
      <c r="K4151" s="2" t="str">
        <f aca="false">IF($G4151="","",";")</f>
        <v/>
      </c>
      <c r="L4151" s="2" t="str">
        <f aca="false">IF($G4151="","","同時")</f>
        <v/>
      </c>
      <c r="M4151" s="2" t="str">
        <f aca="false">IF($G4151="","",IF(ISNA(MATCH($G4151,個別指定!$A:$A,0)),"行なし",""))</f>
        <v/>
      </c>
      <c r="N4151" s="2" t="str">
        <f aca="false">IF($G4151="","",IF(COUNTIF($G$2:$G$4460,$G4151)&gt;1,"重複",""))</f>
        <v/>
      </c>
    </row>
    <row r="4152" customFormat="false" ht="16.5" hidden="false" customHeight="true" outlineLevel="0" collapsed="false">
      <c r="A4152" s="2" t="s">
        <v>447</v>
      </c>
      <c r="B4152" s="2" t="s">
        <v>471</v>
      </c>
      <c r="C4152" s="2" t="s">
        <v>34</v>
      </c>
      <c r="D4152" s="2" t="str">
        <f aca="false">IF(4キー同時!$B$305="","",4キー同時!$B$305)</f>
        <v/>
      </c>
      <c r="E4152" s="2" t="str">
        <f aca="false">IF(4キー同時!$G$305="","",4キー同時!$G$305)</f>
        <v/>
      </c>
      <c r="F4152" s="2" t="str">
        <f aca="false">IF(4キー同時!$L$305="","",4キー同時!$L$305)</f>
        <v/>
      </c>
      <c r="G4152" s="2" t="str">
        <f aca="false">IF(OR(4キー同時!$B$305="",4キー同時!$G$305="",4キー同時!$L$305=""),"",IF(4キー同時!AW311="","",SUBSTITUTE(SUBSTITUTE(4キー同時!AW311," ",""),"　","")))</f>
        <v/>
      </c>
      <c r="H4152" s="2" t="str">
        <f aca="false">IF($G4152="","",4キー同時!$B$305)</f>
        <v/>
      </c>
      <c r="I4152" s="2" t="str">
        <f aca="false">IF($G4152="","",4キー同時!$G$305)</f>
        <v/>
      </c>
      <c r="J4152" s="2" t="str">
        <f aca="false">IF($G4152="","",4キー同時!$L$305)</f>
        <v/>
      </c>
      <c r="K4152" s="2" t="str">
        <f aca="false">IF($G4152="","","'")</f>
        <v/>
      </c>
      <c r="L4152" s="2" t="str">
        <f aca="false">IF($G4152="","","同時")</f>
        <v/>
      </c>
      <c r="M4152" s="2" t="str">
        <f aca="false">IF($G4152="","",IF(ISNA(MATCH($G4152,個別指定!$A:$A,0)),"行なし",""))</f>
        <v/>
      </c>
      <c r="N4152" s="2" t="str">
        <f aca="false">IF($G4152="","",IF(COUNTIF($G$2:$G$4460,$G4152)&gt;1,"重複",""))</f>
        <v/>
      </c>
    </row>
    <row r="4153" customFormat="false" ht="16.5" hidden="false" customHeight="true" outlineLevel="0" collapsed="false">
      <c r="A4153" s="2" t="s">
        <v>447</v>
      </c>
      <c r="B4153" s="2" t="s">
        <v>471</v>
      </c>
      <c r="C4153" s="2" t="s">
        <v>35</v>
      </c>
      <c r="D4153" s="2" t="str">
        <f aca="false">IF(4キー同時!$B$305="","",4キー同時!$B$305)</f>
        <v/>
      </c>
      <c r="E4153" s="2" t="str">
        <f aca="false">IF(4キー同時!$G$305="","",4キー同時!$G$305)</f>
        <v/>
      </c>
      <c r="F4153" s="2" t="str">
        <f aca="false">IF(4キー同時!$L$305="","",4キー同時!$L$305)</f>
        <v/>
      </c>
      <c r="G4153" s="2" t="str">
        <f aca="false">IF(OR(4キー同時!$B$305="",4キー同時!$G$305="",4キー同時!$L$305=""),"",IF(4キー同時!K313="","",SUBSTITUTE(SUBSTITUTE(4キー同時!K313," ",""),"　","")))</f>
        <v/>
      </c>
      <c r="H4153" s="2" t="str">
        <f aca="false">IF($G4153="","",4キー同時!$B$305)</f>
        <v/>
      </c>
      <c r="I4153" s="2" t="str">
        <f aca="false">IF($G4153="","",4キー同時!$G$305)</f>
        <v/>
      </c>
      <c r="J4153" s="2" t="str">
        <f aca="false">IF($G4153="","",4キー同時!$L$305)</f>
        <v/>
      </c>
      <c r="K4153" s="2" t="str">
        <f aca="false">IF($G4153="","","z")</f>
        <v/>
      </c>
      <c r="L4153" s="2" t="str">
        <f aca="false">IF($G4153="","","同時")</f>
        <v/>
      </c>
      <c r="M4153" s="2" t="str">
        <f aca="false">IF($G4153="","",IF(ISNA(MATCH($G4153,個別指定!$A:$A,0)),"行なし",""))</f>
        <v/>
      </c>
      <c r="N4153" s="2" t="str">
        <f aca="false">IF($G4153="","",IF(COUNTIF($G$2:$G$4460,$G4153)&gt;1,"重複",""))</f>
        <v/>
      </c>
    </row>
    <row r="4154" customFormat="false" ht="16.5" hidden="false" customHeight="true" outlineLevel="0" collapsed="false">
      <c r="A4154" s="2" t="s">
        <v>447</v>
      </c>
      <c r="B4154" s="2" t="s">
        <v>471</v>
      </c>
      <c r="C4154" s="2" t="s">
        <v>36</v>
      </c>
      <c r="D4154" s="2" t="str">
        <f aca="false">IF(4キー同時!$B$305="","",4キー同時!$B$305)</f>
        <v/>
      </c>
      <c r="E4154" s="2" t="str">
        <f aca="false">IF(4キー同時!$G$305="","",4キー同時!$G$305)</f>
        <v/>
      </c>
      <c r="F4154" s="2" t="str">
        <f aca="false">IF(4キー同時!$L$305="","",4キー同時!$L$305)</f>
        <v/>
      </c>
      <c r="G4154" s="2" t="str">
        <f aca="false">IF(OR(4キー同時!$B$305="",4キー同時!$G$305="",4キー同時!$L$305=""),"",IF(4キー同時!O313="","",SUBSTITUTE(SUBSTITUTE(4キー同時!O313," ",""),"　","")))</f>
        <v/>
      </c>
      <c r="H4154" s="2" t="str">
        <f aca="false">IF($G4154="","",4キー同時!$B$305)</f>
        <v/>
      </c>
      <c r="I4154" s="2" t="str">
        <f aca="false">IF($G4154="","",4キー同時!$G$305)</f>
        <v/>
      </c>
      <c r="J4154" s="2" t="str">
        <f aca="false">IF($G4154="","",4キー同時!$L$305)</f>
        <v/>
      </c>
      <c r="K4154" s="2" t="str">
        <f aca="false">IF($G4154="","","x")</f>
        <v/>
      </c>
      <c r="L4154" s="2" t="str">
        <f aca="false">IF($G4154="","","同時")</f>
        <v/>
      </c>
      <c r="M4154" s="2" t="str">
        <f aca="false">IF($G4154="","",IF(ISNA(MATCH($G4154,個別指定!$A:$A,0)),"行なし",""))</f>
        <v/>
      </c>
      <c r="N4154" s="2" t="str">
        <f aca="false">IF($G4154="","",IF(COUNTIF($G$2:$G$4460,$G4154)&gt;1,"重複",""))</f>
        <v/>
      </c>
    </row>
    <row r="4155" customFormat="false" ht="16.5" hidden="false" customHeight="true" outlineLevel="0" collapsed="false">
      <c r="A4155" s="2" t="s">
        <v>447</v>
      </c>
      <c r="B4155" s="2" t="s">
        <v>471</v>
      </c>
      <c r="C4155" s="2" t="s">
        <v>37</v>
      </c>
      <c r="D4155" s="2" t="str">
        <f aca="false">IF(4キー同時!$B$305="","",4キー同時!$B$305)</f>
        <v/>
      </c>
      <c r="E4155" s="2" t="str">
        <f aca="false">IF(4キー同時!$G$305="","",4キー同時!$G$305)</f>
        <v/>
      </c>
      <c r="F4155" s="2" t="str">
        <f aca="false">IF(4キー同時!$L$305="","",4キー同時!$L$305)</f>
        <v/>
      </c>
      <c r="G4155" s="2" t="str">
        <f aca="false">IF(OR(4キー同時!$B$305="",4キー同時!$G$305="",4キー同時!$L$305=""),"",IF(4キー同時!S313="","",SUBSTITUTE(SUBSTITUTE(4キー同時!S313," ",""),"　","")))</f>
        <v/>
      </c>
      <c r="H4155" s="2" t="str">
        <f aca="false">IF($G4155="","",4キー同時!$B$305)</f>
        <v/>
      </c>
      <c r="I4155" s="2" t="str">
        <f aca="false">IF($G4155="","",4キー同時!$G$305)</f>
        <v/>
      </c>
      <c r="J4155" s="2" t="str">
        <f aca="false">IF($G4155="","",4キー同時!$L$305)</f>
        <v/>
      </c>
      <c r="K4155" s="2" t="str">
        <f aca="false">IF($G4155="","","c")</f>
        <v/>
      </c>
      <c r="L4155" s="2" t="str">
        <f aca="false">IF($G4155="","","同時")</f>
        <v/>
      </c>
      <c r="M4155" s="2" t="str">
        <f aca="false">IF($G4155="","",IF(ISNA(MATCH($G4155,個別指定!$A:$A,0)),"行なし",""))</f>
        <v/>
      </c>
      <c r="N4155" s="2" t="str">
        <f aca="false">IF($G4155="","",IF(COUNTIF($G$2:$G$4460,$G4155)&gt;1,"重複",""))</f>
        <v/>
      </c>
    </row>
    <row r="4156" customFormat="false" ht="16.5" hidden="false" customHeight="true" outlineLevel="0" collapsed="false">
      <c r="A4156" s="2" t="s">
        <v>447</v>
      </c>
      <c r="B4156" s="2" t="s">
        <v>471</v>
      </c>
      <c r="C4156" s="2" t="s">
        <v>38</v>
      </c>
      <c r="D4156" s="2" t="str">
        <f aca="false">IF(4キー同時!$B$305="","",4キー同時!$B$305)</f>
        <v/>
      </c>
      <c r="E4156" s="2" t="str">
        <f aca="false">IF(4キー同時!$G$305="","",4キー同時!$G$305)</f>
        <v/>
      </c>
      <c r="F4156" s="2" t="str">
        <f aca="false">IF(4キー同時!$L$305="","",4キー同時!$L$305)</f>
        <v/>
      </c>
      <c r="G4156" s="2" t="str">
        <f aca="false">IF(OR(4キー同時!$B$305="",4キー同時!$G$305="",4キー同時!$L$305=""),"",IF(4キー同時!W313="","",SUBSTITUTE(SUBSTITUTE(4キー同時!W313," ",""),"　","")))</f>
        <v/>
      </c>
      <c r="H4156" s="2" t="str">
        <f aca="false">IF($G4156="","",4キー同時!$B$305)</f>
        <v/>
      </c>
      <c r="I4156" s="2" t="str">
        <f aca="false">IF($G4156="","",4キー同時!$G$305)</f>
        <v/>
      </c>
      <c r="J4156" s="2" t="str">
        <f aca="false">IF($G4156="","",4キー同時!$L$305)</f>
        <v/>
      </c>
      <c r="K4156" s="2" t="str">
        <f aca="false">IF($G4156="","","v")</f>
        <v/>
      </c>
      <c r="L4156" s="2" t="str">
        <f aca="false">IF($G4156="","","同時")</f>
        <v/>
      </c>
      <c r="M4156" s="2" t="str">
        <f aca="false">IF($G4156="","",IF(ISNA(MATCH($G4156,個別指定!$A:$A,0)),"行なし",""))</f>
        <v/>
      </c>
      <c r="N4156" s="2" t="str">
        <f aca="false">IF($G4156="","",IF(COUNTIF($G$2:$G$4460,$G4156)&gt;1,"重複",""))</f>
        <v/>
      </c>
    </row>
    <row r="4157" customFormat="false" ht="16.5" hidden="false" customHeight="true" outlineLevel="0" collapsed="false">
      <c r="A4157" s="2" t="s">
        <v>447</v>
      </c>
      <c r="B4157" s="2" t="s">
        <v>471</v>
      </c>
      <c r="C4157" s="2" t="s">
        <v>39</v>
      </c>
      <c r="D4157" s="2" t="str">
        <f aca="false">IF(4キー同時!$B$305="","",4キー同時!$B$305)</f>
        <v/>
      </c>
      <c r="E4157" s="2" t="str">
        <f aca="false">IF(4キー同時!$G$305="","",4キー同時!$G$305)</f>
        <v/>
      </c>
      <c r="F4157" s="2" t="str">
        <f aca="false">IF(4キー同時!$L$305="","",4キー同時!$L$305)</f>
        <v/>
      </c>
      <c r="G4157" s="2" t="str">
        <f aca="false">IF(OR(4キー同時!$B$305="",4キー同時!$G$305="",4キー同時!$L$305=""),"",IF(4キー同時!AA313="","",SUBSTITUTE(SUBSTITUTE(4キー同時!AA313," ",""),"　","")))</f>
        <v/>
      </c>
      <c r="H4157" s="2" t="str">
        <f aca="false">IF($G4157="","",4キー同時!$B$305)</f>
        <v/>
      </c>
      <c r="I4157" s="2" t="str">
        <f aca="false">IF($G4157="","",4キー同時!$G$305)</f>
        <v/>
      </c>
      <c r="J4157" s="2" t="str">
        <f aca="false">IF($G4157="","",4キー同時!$L$305)</f>
        <v/>
      </c>
      <c r="K4157" s="2" t="str">
        <f aca="false">IF($G4157="","","b")</f>
        <v/>
      </c>
      <c r="L4157" s="2" t="str">
        <f aca="false">IF($G4157="","","同時")</f>
        <v/>
      </c>
      <c r="M4157" s="2" t="str">
        <f aca="false">IF($G4157="","",IF(ISNA(MATCH($G4157,個別指定!$A:$A,0)),"行なし",""))</f>
        <v/>
      </c>
      <c r="N4157" s="2" t="str">
        <f aca="false">IF($G4157="","",IF(COUNTIF($G$2:$G$4460,$G4157)&gt;1,"重複",""))</f>
        <v/>
      </c>
    </row>
    <row r="4158" customFormat="false" ht="16.5" hidden="false" customHeight="true" outlineLevel="0" collapsed="false">
      <c r="A4158" s="2" t="s">
        <v>447</v>
      </c>
      <c r="B4158" s="2" t="s">
        <v>471</v>
      </c>
      <c r="C4158" s="2" t="s">
        <v>40</v>
      </c>
      <c r="D4158" s="2" t="str">
        <f aca="false">IF(4キー同時!$B$305="","",4キー同時!$B$305)</f>
        <v/>
      </c>
      <c r="E4158" s="2" t="str">
        <f aca="false">IF(4キー同時!$G$305="","",4キー同時!$G$305)</f>
        <v/>
      </c>
      <c r="F4158" s="2" t="str">
        <f aca="false">IF(4キー同時!$L$305="","",4キー同時!$L$305)</f>
        <v/>
      </c>
      <c r="G4158" s="2" t="str">
        <f aca="false">IF(OR(4キー同時!$B$305="",4キー同時!$G$305="",4キー同時!$L$305=""),"",IF(4キー同時!AE313="","",SUBSTITUTE(SUBSTITUTE(4キー同時!AE313," ",""),"　","")))</f>
        <v/>
      </c>
      <c r="H4158" s="2" t="str">
        <f aca="false">IF($G4158="","",4キー同時!$B$305)</f>
        <v/>
      </c>
      <c r="I4158" s="2" t="str">
        <f aca="false">IF($G4158="","",4キー同時!$G$305)</f>
        <v/>
      </c>
      <c r="J4158" s="2" t="str">
        <f aca="false">IF($G4158="","",4キー同時!$L$305)</f>
        <v/>
      </c>
      <c r="K4158" s="2" t="str">
        <f aca="false">IF($G4158="","","n")</f>
        <v/>
      </c>
      <c r="L4158" s="2" t="str">
        <f aca="false">IF($G4158="","","同時")</f>
        <v/>
      </c>
      <c r="M4158" s="2" t="str">
        <f aca="false">IF($G4158="","",IF(ISNA(MATCH($G4158,個別指定!$A:$A,0)),"行なし",""))</f>
        <v/>
      </c>
      <c r="N4158" s="2" t="str">
        <f aca="false">IF($G4158="","",IF(COUNTIF($G$2:$G$4460,$G4158)&gt;1,"重複",""))</f>
        <v/>
      </c>
    </row>
    <row r="4159" customFormat="false" ht="16.5" hidden="false" customHeight="true" outlineLevel="0" collapsed="false">
      <c r="A4159" s="2" t="s">
        <v>447</v>
      </c>
      <c r="B4159" s="2" t="s">
        <v>471</v>
      </c>
      <c r="C4159" s="2" t="s">
        <v>41</v>
      </c>
      <c r="D4159" s="2" t="str">
        <f aca="false">IF(4キー同時!$B$305="","",4キー同時!$B$305)</f>
        <v/>
      </c>
      <c r="E4159" s="2" t="str">
        <f aca="false">IF(4キー同時!$G$305="","",4キー同時!$G$305)</f>
        <v/>
      </c>
      <c r="F4159" s="2" t="str">
        <f aca="false">IF(4キー同時!$L$305="","",4キー同時!$L$305)</f>
        <v/>
      </c>
      <c r="G4159" s="2" t="str">
        <f aca="false">IF(OR(4キー同時!$B$305="",4キー同時!$G$305="",4キー同時!$L$305=""),"",IF(4キー同時!AI313="","",SUBSTITUTE(SUBSTITUTE(4キー同時!AI313," ",""),"　","")))</f>
        <v/>
      </c>
      <c r="H4159" s="2" t="str">
        <f aca="false">IF($G4159="","",4キー同時!$B$305)</f>
        <v/>
      </c>
      <c r="I4159" s="2" t="str">
        <f aca="false">IF($G4159="","",4キー同時!$G$305)</f>
        <v/>
      </c>
      <c r="J4159" s="2" t="str">
        <f aca="false">IF($G4159="","",4キー同時!$L$305)</f>
        <v/>
      </c>
      <c r="K4159" s="2" t="str">
        <f aca="false">IF($G4159="","","m")</f>
        <v/>
      </c>
      <c r="L4159" s="2" t="str">
        <f aca="false">IF($G4159="","","同時")</f>
        <v/>
      </c>
      <c r="M4159" s="2" t="str">
        <f aca="false">IF($G4159="","",IF(ISNA(MATCH($G4159,個別指定!$A:$A,0)),"行なし",""))</f>
        <v/>
      </c>
      <c r="N4159" s="2" t="str">
        <f aca="false">IF($G4159="","",IF(COUNTIF($G$2:$G$4460,$G4159)&gt;1,"重複",""))</f>
        <v/>
      </c>
    </row>
    <row r="4160" customFormat="false" ht="16.5" hidden="false" customHeight="true" outlineLevel="0" collapsed="false">
      <c r="A4160" s="2" t="s">
        <v>447</v>
      </c>
      <c r="B4160" s="2" t="s">
        <v>471</v>
      </c>
      <c r="C4160" s="2" t="s">
        <v>42</v>
      </c>
      <c r="D4160" s="2" t="str">
        <f aca="false">IF(4キー同時!$B$305="","",4キー同時!$B$305)</f>
        <v/>
      </c>
      <c r="E4160" s="2" t="str">
        <f aca="false">IF(4キー同時!$G$305="","",4キー同時!$G$305)</f>
        <v/>
      </c>
      <c r="F4160" s="2" t="str">
        <f aca="false">IF(4キー同時!$L$305="","",4キー同時!$L$305)</f>
        <v/>
      </c>
      <c r="G4160" s="2" t="str">
        <f aca="false">IF(OR(4キー同時!$B$305="",4キー同時!$G$305="",4キー同時!$L$305=""),"",IF(4キー同時!AM313="","",SUBSTITUTE(SUBSTITUTE(4キー同時!AM313," ",""),"　","")))</f>
        <v/>
      </c>
      <c r="H4160" s="2" t="str">
        <f aca="false">IF($G4160="","",4キー同時!$B$305)</f>
        <v/>
      </c>
      <c r="I4160" s="2" t="str">
        <f aca="false">IF($G4160="","",4キー同時!$G$305)</f>
        <v/>
      </c>
      <c r="J4160" s="2" t="str">
        <f aca="false">IF($G4160="","",4キー同時!$L$305)</f>
        <v/>
      </c>
      <c r="K4160" s="2" t="str">
        <f aca="false">IF($G4160="","",",")</f>
        <v/>
      </c>
      <c r="L4160" s="2" t="str">
        <f aca="false">IF($G4160="","","同時")</f>
        <v/>
      </c>
      <c r="M4160" s="2" t="str">
        <f aca="false">IF($G4160="","",IF(ISNA(MATCH($G4160,個別指定!$A:$A,0)),"行なし",""))</f>
        <v/>
      </c>
      <c r="N4160" s="2" t="str">
        <f aca="false">IF($G4160="","",IF(COUNTIF($G$2:$G$4460,$G4160)&gt;1,"重複",""))</f>
        <v/>
      </c>
    </row>
    <row r="4161" customFormat="false" ht="16.5" hidden="false" customHeight="true" outlineLevel="0" collapsed="false">
      <c r="A4161" s="2" t="s">
        <v>447</v>
      </c>
      <c r="B4161" s="2" t="s">
        <v>471</v>
      </c>
      <c r="C4161" s="2" t="s">
        <v>43</v>
      </c>
      <c r="D4161" s="2" t="str">
        <f aca="false">IF(4キー同時!$B$305="","",4キー同時!$B$305)</f>
        <v/>
      </c>
      <c r="E4161" s="2" t="str">
        <f aca="false">IF(4キー同時!$G$305="","",4キー同時!$G$305)</f>
        <v/>
      </c>
      <c r="F4161" s="2" t="str">
        <f aca="false">IF(4キー同時!$L$305="","",4キー同時!$L$305)</f>
        <v/>
      </c>
      <c r="G4161" s="2" t="str">
        <f aca="false">IF(OR(4キー同時!$B$305="",4キー同時!$G$305="",4キー同時!$L$305=""),"",IF(4キー同時!AQ313="","",SUBSTITUTE(SUBSTITUTE(4キー同時!AQ313," ",""),"　","")))</f>
        <v/>
      </c>
      <c r="H4161" s="2" t="str">
        <f aca="false">IF($G4161="","",4キー同時!$B$305)</f>
        <v/>
      </c>
      <c r="I4161" s="2" t="str">
        <f aca="false">IF($G4161="","",4キー同時!$G$305)</f>
        <v/>
      </c>
      <c r="J4161" s="2" t="str">
        <f aca="false">IF($G4161="","",4キー同時!$L$305)</f>
        <v/>
      </c>
      <c r="K4161" s="2" t="str">
        <f aca="false">IF($G4161="","",".")</f>
        <v/>
      </c>
      <c r="L4161" s="2" t="str">
        <f aca="false">IF($G4161="","","同時")</f>
        <v/>
      </c>
      <c r="M4161" s="2" t="str">
        <f aca="false">IF($G4161="","",IF(ISNA(MATCH($G4161,個別指定!$A:$A,0)),"行なし",""))</f>
        <v/>
      </c>
      <c r="N4161" s="2" t="str">
        <f aca="false">IF($G4161="","",IF(COUNTIF($G$2:$G$4460,$G4161)&gt;1,"重複",""))</f>
        <v/>
      </c>
    </row>
    <row r="4162" customFormat="false" ht="16.5" hidden="false" customHeight="true" outlineLevel="0" collapsed="false">
      <c r="A4162" s="2" t="s">
        <v>447</v>
      </c>
      <c r="B4162" s="2" t="s">
        <v>471</v>
      </c>
      <c r="C4162" s="2" t="s">
        <v>44</v>
      </c>
      <c r="D4162" s="2" t="str">
        <f aca="false">IF(4キー同時!$B$305="","",4キー同時!$B$305)</f>
        <v/>
      </c>
      <c r="E4162" s="2" t="str">
        <f aca="false">IF(4キー同時!$G$305="","",4キー同時!$G$305)</f>
        <v/>
      </c>
      <c r="F4162" s="2" t="str">
        <f aca="false">IF(4キー同時!$L$305="","",4キー同時!$L$305)</f>
        <v/>
      </c>
      <c r="G4162" s="2" t="str">
        <f aca="false">IF(OR(4キー同時!$B$305="",4キー同時!$G$305="",4キー同時!$L$305=""),"",IF(4キー同時!AU313="","",SUBSTITUTE(SUBSTITUTE(4キー同時!AU313," ",""),"　","")))</f>
        <v/>
      </c>
      <c r="H4162" s="2" t="str">
        <f aca="false">IF($G4162="","",4キー同時!$B$305)</f>
        <v/>
      </c>
      <c r="I4162" s="2" t="str">
        <f aca="false">IF($G4162="","",4キー同時!$G$305)</f>
        <v/>
      </c>
      <c r="J4162" s="2" t="str">
        <f aca="false">IF($G4162="","",4キー同時!$L$305)</f>
        <v/>
      </c>
      <c r="K4162" s="2" t="str">
        <f aca="false">IF($G4162="","","/")</f>
        <v/>
      </c>
      <c r="L4162" s="2" t="str">
        <f aca="false">IF($G4162="","","同時")</f>
        <v/>
      </c>
      <c r="M4162" s="2" t="str">
        <f aca="false">IF($G4162="","",IF(ISNA(MATCH($G4162,個別指定!$A:$A,0)),"行なし",""))</f>
        <v/>
      </c>
      <c r="N4162" s="2" t="str">
        <f aca="false">IF($G4162="","",IF(COUNTIF($G$2:$G$4460,$G4162)&gt;1,"重複",""))</f>
        <v/>
      </c>
    </row>
    <row r="4163" customFormat="false" ht="16.5" hidden="false" customHeight="true" outlineLevel="0" collapsed="false">
      <c r="A4163" s="2" t="s">
        <v>447</v>
      </c>
      <c r="B4163" s="2" t="s">
        <v>471</v>
      </c>
      <c r="C4163" s="2" t="s">
        <v>48</v>
      </c>
      <c r="D4163" s="2" t="str">
        <f aca="false">IF(4キー同時!$B$305="","",4キー同時!$B$305)</f>
        <v/>
      </c>
      <c r="E4163" s="2" t="str">
        <f aca="false">IF(4キー同時!$G$305="","",4キー同時!$G$305)</f>
        <v/>
      </c>
      <c r="F4163" s="2" t="str">
        <f aca="false">IF(4キー同時!$L$305="","",4キー同時!$L$305)</f>
        <v/>
      </c>
      <c r="G4163" s="2" t="str">
        <f aca="false">IF(OR(4キー同時!$B$305="",4キー同時!$G$305="",4キー同時!$L$305=""),"",IF(4キー同時!P315="","",SUBSTITUTE(SUBSTITUTE(4キー同時!P315," ",""),"　","")))</f>
        <v/>
      </c>
      <c r="H4163" s="2" t="str">
        <f aca="false">IF($G4163="","",4キー同時!$B$305)</f>
        <v/>
      </c>
      <c r="I4163" s="2" t="str">
        <f aca="false">IF($G4163="","",4キー同時!$G$305)</f>
        <v/>
      </c>
      <c r="J4163" s="2" t="str">
        <f aca="false">IF($G4163="","",4キー同時!$L$305)</f>
        <v/>
      </c>
      <c r="K4163" s="2" t="str">
        <f aca="false">IF($G4163="","","muhenkan")</f>
        <v/>
      </c>
      <c r="L4163" s="2" t="str">
        <f aca="false">IF($G4163="","","同時")</f>
        <v/>
      </c>
      <c r="M4163" s="2" t="str">
        <f aca="false">IF($G4163="","",IF(ISNA(MATCH($G4163,個別指定!$A:$A,0)),"行なし",""))</f>
        <v/>
      </c>
      <c r="N4163" s="2" t="str">
        <f aca="false">IF($G4163="","",IF(COUNTIF($G$2:$G$4460,$G4163)&gt;1,"重複",""))</f>
        <v/>
      </c>
    </row>
    <row r="4164" customFormat="false" ht="16.5" hidden="false" customHeight="true" outlineLevel="0" collapsed="false">
      <c r="A4164" s="2" t="s">
        <v>447</v>
      </c>
      <c r="B4164" s="2" t="s">
        <v>471</v>
      </c>
      <c r="C4164" s="2" t="s">
        <v>50</v>
      </c>
      <c r="D4164" s="2" t="str">
        <f aca="false">IF(4キー同時!$B$305="","",4キー同時!$B$305)</f>
        <v/>
      </c>
      <c r="E4164" s="2" t="str">
        <f aca="false">IF(4キー同時!$G$305="","",4キー同時!$G$305)</f>
        <v/>
      </c>
      <c r="F4164" s="2" t="str">
        <f aca="false">IF(4キー同時!$L$305="","",4キー同時!$L$305)</f>
        <v/>
      </c>
      <c r="G4164" s="2" t="str">
        <f aca="false">IF(OR(4キー同時!$B$305="",4キー同時!$G$305="",4キー同時!$L$305=""),"",IF(4キー同時!T315="","",SUBSTITUTE(SUBSTITUTE(4キー同時!T315," ",""),"　","")))</f>
        <v/>
      </c>
      <c r="H4164" s="2" t="str">
        <f aca="false">IF($G4164="","",4キー同時!$B$305)</f>
        <v/>
      </c>
      <c r="I4164" s="2" t="str">
        <f aca="false">IF($G4164="","",4キー同時!$G$305)</f>
        <v/>
      </c>
      <c r="J4164" s="2" t="str">
        <f aca="false">IF($G4164="","",4キー同時!$L$305)</f>
        <v/>
      </c>
      <c r="K4164" s="2" t="str">
        <f aca="false">IF($G4164="","","space")</f>
        <v/>
      </c>
      <c r="L4164" s="2" t="str">
        <f aca="false">IF($G4164="","","同時")</f>
        <v/>
      </c>
      <c r="M4164" s="2" t="str">
        <f aca="false">IF($G4164="","",IF(ISNA(MATCH($G4164,個別指定!$A:$A,0)),"行なし",""))</f>
        <v/>
      </c>
      <c r="N4164" s="2" t="str">
        <f aca="false">IF($G4164="","",IF(COUNTIF($G$2:$G$4460,$G4164)&gt;1,"重複",""))</f>
        <v/>
      </c>
    </row>
    <row r="4165" customFormat="false" ht="16.5" hidden="false" customHeight="true" outlineLevel="0" collapsed="false">
      <c r="A4165" s="2" t="s">
        <v>447</v>
      </c>
      <c r="B4165" s="2" t="s">
        <v>471</v>
      </c>
      <c r="C4165" s="2" t="s">
        <v>45</v>
      </c>
      <c r="D4165" s="2" t="str">
        <f aca="false">IF(4キー同時!$B$305="","",4キー同時!$B$305)</f>
        <v/>
      </c>
      <c r="E4165" s="2" t="str">
        <f aca="false">IF(4キー同時!$G$305="","",4キー同時!$G$305)</f>
        <v/>
      </c>
      <c r="F4165" s="2" t="str">
        <f aca="false">IF(4キー同時!$L$305="","",4キー同時!$L$305)</f>
        <v/>
      </c>
      <c r="G4165" s="2" t="str">
        <f aca="false">IF(OR(4キー同時!$B$305="",4キー同時!$G$305="",4キー同時!$L$305=""),"",IF(4キー同時!AL315="","",SUBSTITUTE(SUBSTITUTE(4キー同時!AL315," ",""),"　","")))</f>
        <v/>
      </c>
      <c r="H4165" s="2" t="str">
        <f aca="false">IF($G4165="","",4キー同時!$B$305)</f>
        <v/>
      </c>
      <c r="I4165" s="2" t="str">
        <f aca="false">IF($G4165="","",4キー同時!$G$305)</f>
        <v/>
      </c>
      <c r="J4165" s="2" t="str">
        <f aca="false">IF($G4165="","",4キー同時!$L$305)</f>
        <v/>
      </c>
      <c r="K4165" s="2" t="str">
        <f aca="false">IF($G4165="","","henkan")</f>
        <v/>
      </c>
      <c r="L4165" s="2" t="str">
        <f aca="false">IF($G4165="","","同時")</f>
        <v/>
      </c>
      <c r="M4165" s="2" t="str">
        <f aca="false">IF($G4165="","",IF(ISNA(MATCH($G4165,個別指定!$A:$A,0)),"行なし",""))</f>
        <v/>
      </c>
      <c r="N4165" s="2" t="str">
        <f aca="false">IF($G4165="","",IF(COUNTIF($G$2:$G$4460,$G4165)&gt;1,"重複",""))</f>
        <v/>
      </c>
    </row>
    <row r="4166" customFormat="false" ht="16.5" hidden="false" customHeight="true" outlineLevel="0" collapsed="false">
      <c r="A4166" s="2" t="s">
        <v>447</v>
      </c>
      <c r="B4166" s="2" t="s">
        <v>471</v>
      </c>
      <c r="C4166" s="2" t="s">
        <v>46</v>
      </c>
      <c r="D4166" s="2" t="str">
        <f aca="false">IF(4キー同時!$B$305="","",4キー同時!$B$305)</f>
        <v/>
      </c>
      <c r="E4166" s="2" t="str">
        <f aca="false">IF(4キー同時!$G$305="","",4キー同時!$G$305)</f>
        <v/>
      </c>
      <c r="F4166" s="2" t="str">
        <f aca="false">IF(4キー同時!$L$305="","",4キー同時!$L$305)</f>
        <v/>
      </c>
      <c r="G4166" s="2" t="str">
        <f aca="false">IF(OR(4キー同時!$B$305="",4キー同時!$G$305="",4キー同時!$L$305=""),"",IF(4キー同時!AP315="","",SUBSTITUTE(SUBSTITUTE(4キー同時!AP315," ",""),"　","")))</f>
        <v/>
      </c>
      <c r="H4166" s="2" t="str">
        <f aca="false">IF($G4166="","",4キー同時!$B$305)</f>
        <v/>
      </c>
      <c r="I4166" s="2" t="str">
        <f aca="false">IF($G4166="","",4キー同時!$G$305)</f>
        <v/>
      </c>
      <c r="J4166" s="2" t="str">
        <f aca="false">IF($G4166="","",4キー同時!$L$305)</f>
        <v/>
      </c>
      <c r="K4166" s="2" t="str">
        <f aca="false">IF($G4166="","","kana")</f>
        <v/>
      </c>
      <c r="L4166" s="2" t="str">
        <f aca="false">IF($G4166="","","同時")</f>
        <v/>
      </c>
      <c r="M4166" s="2" t="str">
        <f aca="false">IF($G4166="","",IF(ISNA(MATCH($G4166,個別指定!$A:$A,0)),"行なし",""))</f>
        <v/>
      </c>
      <c r="N4166" s="2" t="str">
        <f aca="false">IF($G4166="","",IF(COUNTIF($G$2:$G$4460,$G4166)&gt;1,"重複",""))</f>
        <v/>
      </c>
    </row>
    <row r="4167" customFormat="false" ht="16.5" hidden="false" customHeight="true" outlineLevel="0" collapsed="false">
      <c r="A4167" s="2" t="s">
        <v>447</v>
      </c>
      <c r="B4167" s="2" t="s">
        <v>472</v>
      </c>
      <c r="C4167" s="2" t="s">
        <v>0</v>
      </c>
      <c r="D4167" s="2" t="str">
        <f aca="false">IF(4キー同時!$B$318="","",4キー同時!$B$318)</f>
        <v/>
      </c>
      <c r="E4167" s="2" t="str">
        <f aca="false">IF(4キー同時!$G$318="","",4キー同時!$G$318)</f>
        <v/>
      </c>
      <c r="F4167" s="2" t="str">
        <f aca="false">IF(4キー同時!$L$318="","",4キー同時!$L$318)</f>
        <v/>
      </c>
      <c r="G4167" s="2" t="str">
        <f aca="false">IF(OR(4キー同時!$B$318="",4キー同時!$G$318="",4キー同時!$L$318=""),"",IF(4キー同時!F320="","",SUBSTITUTE(SUBSTITUTE(4キー同時!F320," ",""),"　","")))</f>
        <v/>
      </c>
      <c r="H4167" s="2" t="str">
        <f aca="false">IF($G4167="","",4キー同時!$B$318)</f>
        <v/>
      </c>
      <c r="I4167" s="2" t="str">
        <f aca="false">IF($G4167="","",4キー同時!$G$318)</f>
        <v/>
      </c>
      <c r="J4167" s="2" t="str">
        <f aca="false">IF($G4167="","",4キー同時!$L$318)</f>
        <v/>
      </c>
      <c r="K4167" s="2" t="str">
        <f aca="false">IF($G4167="","","1")</f>
        <v/>
      </c>
      <c r="L4167" s="2" t="str">
        <f aca="false">IF($G4167="","","同時")</f>
        <v/>
      </c>
      <c r="M4167" s="2" t="str">
        <f aca="false">IF($G4167="","",IF(ISNA(MATCH($G4167,個別指定!$A:$A,0)),"行なし",""))</f>
        <v/>
      </c>
      <c r="N4167" s="2" t="str">
        <f aca="false">IF($G4167="","",IF(COUNTIF($G$2:$G$4460,$G4167)&gt;1,"重複",""))</f>
        <v/>
      </c>
    </row>
    <row r="4168" customFormat="false" ht="16.5" hidden="false" customHeight="true" outlineLevel="0" collapsed="false">
      <c r="A4168" s="2" t="s">
        <v>447</v>
      </c>
      <c r="B4168" s="2" t="s">
        <v>472</v>
      </c>
      <c r="C4168" s="2" t="s">
        <v>1</v>
      </c>
      <c r="D4168" s="2" t="str">
        <f aca="false">IF(4キー同時!$B$318="","",4キー同時!$B$318)</f>
        <v/>
      </c>
      <c r="E4168" s="2" t="str">
        <f aca="false">IF(4キー同時!$G$318="","",4キー同時!$G$318)</f>
        <v/>
      </c>
      <c r="F4168" s="2" t="str">
        <f aca="false">IF(4キー同時!$L$318="","",4キー同時!$L$318)</f>
        <v/>
      </c>
      <c r="G4168" s="2" t="str">
        <f aca="false">IF(OR(4キー同時!$B$318="",4キー同時!$G$318="",4キー同時!$L$318=""),"",IF(4キー同時!J320="","",SUBSTITUTE(SUBSTITUTE(4キー同時!J320," ",""),"　","")))</f>
        <v/>
      </c>
      <c r="H4168" s="2" t="str">
        <f aca="false">IF($G4168="","",4キー同時!$B$318)</f>
        <v/>
      </c>
      <c r="I4168" s="2" t="str">
        <f aca="false">IF($G4168="","",4キー同時!$G$318)</f>
        <v/>
      </c>
      <c r="J4168" s="2" t="str">
        <f aca="false">IF($G4168="","",4キー同時!$L$318)</f>
        <v/>
      </c>
      <c r="K4168" s="2" t="str">
        <f aca="false">IF($G4168="","","2")</f>
        <v/>
      </c>
      <c r="L4168" s="2" t="str">
        <f aca="false">IF($G4168="","","同時")</f>
        <v/>
      </c>
      <c r="M4168" s="2" t="str">
        <f aca="false">IF($G4168="","",IF(ISNA(MATCH($G4168,個別指定!$A:$A,0)),"行なし",""))</f>
        <v/>
      </c>
      <c r="N4168" s="2" t="str">
        <f aca="false">IF($G4168="","",IF(COUNTIF($G$2:$G$4460,$G4168)&gt;1,"重複",""))</f>
        <v/>
      </c>
    </row>
    <row r="4169" customFormat="false" ht="16.5" hidden="false" customHeight="true" outlineLevel="0" collapsed="false">
      <c r="A4169" s="2" t="s">
        <v>447</v>
      </c>
      <c r="B4169" s="2" t="s">
        <v>472</v>
      </c>
      <c r="C4169" s="2" t="s">
        <v>2</v>
      </c>
      <c r="D4169" s="2" t="str">
        <f aca="false">IF(4キー同時!$B$318="","",4キー同時!$B$318)</f>
        <v/>
      </c>
      <c r="E4169" s="2" t="str">
        <f aca="false">IF(4キー同時!$G$318="","",4キー同時!$G$318)</f>
        <v/>
      </c>
      <c r="F4169" s="2" t="str">
        <f aca="false">IF(4キー同時!$L$318="","",4キー同時!$L$318)</f>
        <v/>
      </c>
      <c r="G4169" s="2" t="str">
        <f aca="false">IF(OR(4キー同時!$B$318="",4キー同時!$G$318="",4キー同時!$L$318=""),"",IF(4キー同時!N320="","",SUBSTITUTE(SUBSTITUTE(4キー同時!N320," ",""),"　","")))</f>
        <v/>
      </c>
      <c r="H4169" s="2" t="str">
        <f aca="false">IF($G4169="","",4キー同時!$B$318)</f>
        <v/>
      </c>
      <c r="I4169" s="2" t="str">
        <f aca="false">IF($G4169="","",4キー同時!$G$318)</f>
        <v/>
      </c>
      <c r="J4169" s="2" t="str">
        <f aca="false">IF($G4169="","",4キー同時!$L$318)</f>
        <v/>
      </c>
      <c r="K4169" s="2" t="str">
        <f aca="false">IF($G4169="","","3")</f>
        <v/>
      </c>
      <c r="L4169" s="2" t="str">
        <f aca="false">IF($G4169="","","同時")</f>
        <v/>
      </c>
      <c r="M4169" s="2" t="str">
        <f aca="false">IF($G4169="","",IF(ISNA(MATCH($G4169,個別指定!$A:$A,0)),"行なし",""))</f>
        <v/>
      </c>
      <c r="N4169" s="2" t="str">
        <f aca="false">IF($G4169="","",IF(COUNTIF($G$2:$G$4460,$G4169)&gt;1,"重複",""))</f>
        <v/>
      </c>
    </row>
    <row r="4170" customFormat="false" ht="16.5" hidden="false" customHeight="true" outlineLevel="0" collapsed="false">
      <c r="A4170" s="2" t="s">
        <v>447</v>
      </c>
      <c r="B4170" s="2" t="s">
        <v>472</v>
      </c>
      <c r="C4170" s="2" t="s">
        <v>3</v>
      </c>
      <c r="D4170" s="2" t="str">
        <f aca="false">IF(4キー同時!$B$318="","",4キー同時!$B$318)</f>
        <v/>
      </c>
      <c r="E4170" s="2" t="str">
        <f aca="false">IF(4キー同時!$G$318="","",4キー同時!$G$318)</f>
        <v/>
      </c>
      <c r="F4170" s="2" t="str">
        <f aca="false">IF(4キー同時!$L$318="","",4キー同時!$L$318)</f>
        <v/>
      </c>
      <c r="G4170" s="2" t="str">
        <f aca="false">IF(OR(4キー同時!$B$318="",4キー同時!$G$318="",4キー同時!$L$318=""),"",IF(4キー同時!R320="","",SUBSTITUTE(SUBSTITUTE(4キー同時!R320," ",""),"　","")))</f>
        <v/>
      </c>
      <c r="H4170" s="2" t="str">
        <f aca="false">IF($G4170="","",4キー同時!$B$318)</f>
        <v/>
      </c>
      <c r="I4170" s="2" t="str">
        <f aca="false">IF($G4170="","",4キー同時!$G$318)</f>
        <v/>
      </c>
      <c r="J4170" s="2" t="str">
        <f aca="false">IF($G4170="","",4キー同時!$L$318)</f>
        <v/>
      </c>
      <c r="K4170" s="2" t="str">
        <f aca="false">IF($G4170="","","4")</f>
        <v/>
      </c>
      <c r="L4170" s="2" t="str">
        <f aca="false">IF($G4170="","","同時")</f>
        <v/>
      </c>
      <c r="M4170" s="2" t="str">
        <f aca="false">IF($G4170="","",IF(ISNA(MATCH($G4170,個別指定!$A:$A,0)),"行なし",""))</f>
        <v/>
      </c>
      <c r="N4170" s="2" t="str">
        <f aca="false">IF($G4170="","",IF(COUNTIF($G$2:$G$4460,$G4170)&gt;1,"重複",""))</f>
        <v/>
      </c>
    </row>
    <row r="4171" customFormat="false" ht="16.5" hidden="false" customHeight="true" outlineLevel="0" collapsed="false">
      <c r="A4171" s="2" t="s">
        <v>447</v>
      </c>
      <c r="B4171" s="2" t="s">
        <v>472</v>
      </c>
      <c r="C4171" s="2" t="s">
        <v>4</v>
      </c>
      <c r="D4171" s="2" t="str">
        <f aca="false">IF(4キー同時!$B$318="","",4キー同時!$B$318)</f>
        <v/>
      </c>
      <c r="E4171" s="2" t="str">
        <f aca="false">IF(4キー同時!$G$318="","",4キー同時!$G$318)</f>
        <v/>
      </c>
      <c r="F4171" s="2" t="str">
        <f aca="false">IF(4キー同時!$L$318="","",4キー同時!$L$318)</f>
        <v/>
      </c>
      <c r="G4171" s="2" t="str">
        <f aca="false">IF(OR(4キー同時!$B$318="",4キー同時!$G$318="",4キー同時!$L$318=""),"",IF(4キー同時!V320="","",SUBSTITUTE(SUBSTITUTE(4キー同時!V320," ",""),"　","")))</f>
        <v/>
      </c>
      <c r="H4171" s="2" t="str">
        <f aca="false">IF($G4171="","",4キー同時!$B$318)</f>
        <v/>
      </c>
      <c r="I4171" s="2" t="str">
        <f aca="false">IF($G4171="","",4キー同時!$G$318)</f>
        <v/>
      </c>
      <c r="J4171" s="2" t="str">
        <f aca="false">IF($G4171="","",4キー同時!$L$318)</f>
        <v/>
      </c>
      <c r="K4171" s="2" t="str">
        <f aca="false">IF($G4171="","","5")</f>
        <v/>
      </c>
      <c r="L4171" s="2" t="str">
        <f aca="false">IF($G4171="","","同時")</f>
        <v/>
      </c>
      <c r="M4171" s="2" t="str">
        <f aca="false">IF($G4171="","",IF(ISNA(MATCH($G4171,個別指定!$A:$A,0)),"行なし",""))</f>
        <v/>
      </c>
      <c r="N4171" s="2" t="str">
        <f aca="false">IF($G4171="","",IF(COUNTIF($G$2:$G$4460,$G4171)&gt;1,"重複",""))</f>
        <v/>
      </c>
    </row>
    <row r="4172" customFormat="false" ht="16.5" hidden="false" customHeight="true" outlineLevel="0" collapsed="false">
      <c r="A4172" s="2" t="s">
        <v>447</v>
      </c>
      <c r="B4172" s="2" t="s">
        <v>472</v>
      </c>
      <c r="C4172" s="2" t="s">
        <v>5</v>
      </c>
      <c r="D4172" s="2" t="str">
        <f aca="false">IF(4キー同時!$B$318="","",4キー同時!$B$318)</f>
        <v/>
      </c>
      <c r="E4172" s="2" t="str">
        <f aca="false">IF(4キー同時!$G$318="","",4キー同時!$G$318)</f>
        <v/>
      </c>
      <c r="F4172" s="2" t="str">
        <f aca="false">IF(4キー同時!$L$318="","",4キー同時!$L$318)</f>
        <v/>
      </c>
      <c r="G4172" s="2" t="str">
        <f aca="false">IF(OR(4キー同時!$B$318="",4キー同時!$G$318="",4キー同時!$L$318=""),"",IF(4キー同時!Z320="","",SUBSTITUTE(SUBSTITUTE(4キー同時!Z320," ",""),"　","")))</f>
        <v/>
      </c>
      <c r="H4172" s="2" t="str">
        <f aca="false">IF($G4172="","",4キー同時!$B$318)</f>
        <v/>
      </c>
      <c r="I4172" s="2" t="str">
        <f aca="false">IF($G4172="","",4キー同時!$G$318)</f>
        <v/>
      </c>
      <c r="J4172" s="2" t="str">
        <f aca="false">IF($G4172="","",4キー同時!$L$318)</f>
        <v/>
      </c>
      <c r="K4172" s="2" t="str">
        <f aca="false">IF($G4172="","","6")</f>
        <v/>
      </c>
      <c r="L4172" s="2" t="str">
        <f aca="false">IF($G4172="","","同時")</f>
        <v/>
      </c>
      <c r="M4172" s="2" t="str">
        <f aca="false">IF($G4172="","",IF(ISNA(MATCH($G4172,個別指定!$A:$A,0)),"行なし",""))</f>
        <v/>
      </c>
      <c r="N4172" s="2" t="str">
        <f aca="false">IF($G4172="","",IF(COUNTIF($G$2:$G$4460,$G4172)&gt;1,"重複",""))</f>
        <v/>
      </c>
    </row>
    <row r="4173" customFormat="false" ht="16.5" hidden="false" customHeight="true" outlineLevel="0" collapsed="false">
      <c r="A4173" s="2" t="s">
        <v>447</v>
      </c>
      <c r="B4173" s="2" t="s">
        <v>472</v>
      </c>
      <c r="C4173" s="2" t="s">
        <v>6</v>
      </c>
      <c r="D4173" s="2" t="str">
        <f aca="false">IF(4キー同時!$B$318="","",4キー同時!$B$318)</f>
        <v/>
      </c>
      <c r="E4173" s="2" t="str">
        <f aca="false">IF(4キー同時!$G$318="","",4キー同時!$G$318)</f>
        <v/>
      </c>
      <c r="F4173" s="2" t="str">
        <f aca="false">IF(4キー同時!$L$318="","",4キー同時!$L$318)</f>
        <v/>
      </c>
      <c r="G4173" s="2" t="str">
        <f aca="false">IF(OR(4キー同時!$B$318="",4キー同時!$G$318="",4キー同時!$L$318=""),"",IF(4キー同時!AD320="","",SUBSTITUTE(SUBSTITUTE(4キー同時!AD320," ",""),"　","")))</f>
        <v/>
      </c>
      <c r="H4173" s="2" t="str">
        <f aca="false">IF($G4173="","",4キー同時!$B$318)</f>
        <v/>
      </c>
      <c r="I4173" s="2" t="str">
        <f aca="false">IF($G4173="","",4キー同時!$G$318)</f>
        <v/>
      </c>
      <c r="J4173" s="2" t="str">
        <f aca="false">IF($G4173="","",4キー同時!$L$318)</f>
        <v/>
      </c>
      <c r="K4173" s="2" t="str">
        <f aca="false">IF($G4173="","","7")</f>
        <v/>
      </c>
      <c r="L4173" s="2" t="str">
        <f aca="false">IF($G4173="","","同時")</f>
        <v/>
      </c>
      <c r="M4173" s="2" t="str">
        <f aca="false">IF($G4173="","",IF(ISNA(MATCH($G4173,個別指定!$A:$A,0)),"行なし",""))</f>
        <v/>
      </c>
      <c r="N4173" s="2" t="str">
        <f aca="false">IF($G4173="","",IF(COUNTIF($G$2:$G$4460,$G4173)&gt;1,"重複",""))</f>
        <v/>
      </c>
    </row>
    <row r="4174" customFormat="false" ht="16.5" hidden="false" customHeight="true" outlineLevel="0" collapsed="false">
      <c r="A4174" s="2" t="s">
        <v>447</v>
      </c>
      <c r="B4174" s="2" t="s">
        <v>472</v>
      </c>
      <c r="C4174" s="2" t="s">
        <v>7</v>
      </c>
      <c r="D4174" s="2" t="str">
        <f aca="false">IF(4キー同時!$B$318="","",4キー同時!$B$318)</f>
        <v/>
      </c>
      <c r="E4174" s="2" t="str">
        <f aca="false">IF(4キー同時!$G$318="","",4キー同時!$G$318)</f>
        <v/>
      </c>
      <c r="F4174" s="2" t="str">
        <f aca="false">IF(4キー同時!$L$318="","",4キー同時!$L$318)</f>
        <v/>
      </c>
      <c r="G4174" s="2" t="str">
        <f aca="false">IF(OR(4キー同時!$B$318="",4キー同時!$G$318="",4キー同時!$L$318=""),"",IF(4キー同時!AH320="","",SUBSTITUTE(SUBSTITUTE(4キー同時!AH320," ",""),"　","")))</f>
        <v/>
      </c>
      <c r="H4174" s="2" t="str">
        <f aca="false">IF($G4174="","",4キー同時!$B$318)</f>
        <v/>
      </c>
      <c r="I4174" s="2" t="str">
        <f aca="false">IF($G4174="","",4キー同時!$G$318)</f>
        <v/>
      </c>
      <c r="J4174" s="2" t="str">
        <f aca="false">IF($G4174="","",4キー同時!$L$318)</f>
        <v/>
      </c>
      <c r="K4174" s="2" t="str">
        <f aca="false">IF($G4174="","","8")</f>
        <v/>
      </c>
      <c r="L4174" s="2" t="str">
        <f aca="false">IF($G4174="","","同時")</f>
        <v/>
      </c>
      <c r="M4174" s="2" t="str">
        <f aca="false">IF($G4174="","",IF(ISNA(MATCH($G4174,個別指定!$A:$A,0)),"行なし",""))</f>
        <v/>
      </c>
      <c r="N4174" s="2" t="str">
        <f aca="false">IF($G4174="","",IF(COUNTIF($G$2:$G$4460,$G4174)&gt;1,"重複",""))</f>
        <v/>
      </c>
    </row>
    <row r="4175" customFormat="false" ht="16.5" hidden="false" customHeight="true" outlineLevel="0" collapsed="false">
      <c r="A4175" s="2" t="s">
        <v>447</v>
      </c>
      <c r="B4175" s="2" t="s">
        <v>472</v>
      </c>
      <c r="C4175" s="2" t="s">
        <v>8</v>
      </c>
      <c r="D4175" s="2" t="str">
        <f aca="false">IF(4キー同時!$B$318="","",4キー同時!$B$318)</f>
        <v/>
      </c>
      <c r="E4175" s="2" t="str">
        <f aca="false">IF(4キー同時!$G$318="","",4キー同時!$G$318)</f>
        <v/>
      </c>
      <c r="F4175" s="2" t="str">
        <f aca="false">IF(4キー同時!$L$318="","",4キー同時!$L$318)</f>
        <v/>
      </c>
      <c r="G4175" s="2" t="str">
        <f aca="false">IF(OR(4キー同時!$B$318="",4キー同時!$G$318="",4キー同時!$L$318=""),"",IF(4キー同時!AL320="","",SUBSTITUTE(SUBSTITUTE(4キー同時!AL320," ",""),"　","")))</f>
        <v/>
      </c>
      <c r="H4175" s="2" t="str">
        <f aca="false">IF($G4175="","",4キー同時!$B$318)</f>
        <v/>
      </c>
      <c r="I4175" s="2" t="str">
        <f aca="false">IF($G4175="","",4キー同時!$G$318)</f>
        <v/>
      </c>
      <c r="J4175" s="2" t="str">
        <f aca="false">IF($G4175="","",4キー同時!$L$318)</f>
        <v/>
      </c>
      <c r="K4175" s="2" t="str">
        <f aca="false">IF($G4175="","","9")</f>
        <v/>
      </c>
      <c r="L4175" s="2" t="str">
        <f aca="false">IF($G4175="","","同時")</f>
        <v/>
      </c>
      <c r="M4175" s="2" t="str">
        <f aca="false">IF($G4175="","",IF(ISNA(MATCH($G4175,個別指定!$A:$A,0)),"行なし",""))</f>
        <v/>
      </c>
      <c r="N4175" s="2" t="str">
        <f aca="false">IF($G4175="","",IF(COUNTIF($G$2:$G$4460,$G4175)&gt;1,"重複",""))</f>
        <v/>
      </c>
    </row>
    <row r="4176" customFormat="false" ht="16.5" hidden="false" customHeight="true" outlineLevel="0" collapsed="false">
      <c r="A4176" s="2" t="s">
        <v>447</v>
      </c>
      <c r="B4176" s="2" t="s">
        <v>472</v>
      </c>
      <c r="C4176" s="2" t="s">
        <v>9</v>
      </c>
      <c r="D4176" s="2" t="str">
        <f aca="false">IF(4キー同時!$B$318="","",4キー同時!$B$318)</f>
        <v/>
      </c>
      <c r="E4176" s="2" t="str">
        <f aca="false">IF(4キー同時!$G$318="","",4キー同時!$G$318)</f>
        <v/>
      </c>
      <c r="F4176" s="2" t="str">
        <f aca="false">IF(4キー同時!$L$318="","",4キー同時!$L$318)</f>
        <v/>
      </c>
      <c r="G4176" s="2" t="str">
        <f aca="false">IF(OR(4キー同時!$B$318="",4キー同時!$G$318="",4キー同時!$L$318=""),"",IF(4キー同時!AP320="","",SUBSTITUTE(SUBSTITUTE(4キー同時!AP320," ",""),"　","")))</f>
        <v/>
      </c>
      <c r="H4176" s="2" t="str">
        <f aca="false">IF($G4176="","",4キー同時!$B$318)</f>
        <v/>
      </c>
      <c r="I4176" s="2" t="str">
        <f aca="false">IF($G4176="","",4キー同時!$G$318)</f>
        <v/>
      </c>
      <c r="J4176" s="2" t="str">
        <f aca="false">IF($G4176="","",4キー同時!$L$318)</f>
        <v/>
      </c>
      <c r="K4176" s="2" t="str">
        <f aca="false">IF($G4176="","","0")</f>
        <v/>
      </c>
      <c r="L4176" s="2" t="str">
        <f aca="false">IF($G4176="","","同時")</f>
        <v/>
      </c>
      <c r="M4176" s="2" t="str">
        <f aca="false">IF($G4176="","",IF(ISNA(MATCH($G4176,個別指定!$A:$A,0)),"行なし",""))</f>
        <v/>
      </c>
      <c r="N4176" s="2" t="str">
        <f aca="false">IF($G4176="","",IF(COUNTIF($G$2:$G$4460,$G4176)&gt;1,"重複",""))</f>
        <v/>
      </c>
    </row>
    <row r="4177" customFormat="false" ht="16.5" hidden="false" customHeight="true" outlineLevel="0" collapsed="false">
      <c r="A4177" s="2" t="s">
        <v>447</v>
      </c>
      <c r="B4177" s="2" t="s">
        <v>472</v>
      </c>
      <c r="C4177" s="2" t="s">
        <v>10</v>
      </c>
      <c r="D4177" s="2" t="str">
        <f aca="false">IF(4キー同時!$B$318="","",4キー同時!$B$318)</f>
        <v/>
      </c>
      <c r="E4177" s="2" t="str">
        <f aca="false">IF(4キー同時!$G$318="","",4キー同時!$G$318)</f>
        <v/>
      </c>
      <c r="F4177" s="2" t="str">
        <f aca="false">IF(4キー同時!$L$318="","",4キー同時!$L$318)</f>
        <v/>
      </c>
      <c r="G4177" s="2" t="str">
        <f aca="false">IF(OR(4キー同時!$B$318="",4キー同時!$G$318="",4キー同時!$L$318=""),"",IF(4キー同時!AT320="","",SUBSTITUTE(SUBSTITUTE(4キー同時!AT320," ",""),"　","")))</f>
        <v/>
      </c>
      <c r="H4177" s="2" t="str">
        <f aca="false">IF($G4177="","",4キー同時!$B$318)</f>
        <v/>
      </c>
      <c r="I4177" s="2" t="str">
        <f aca="false">IF($G4177="","",4キー同時!$G$318)</f>
        <v/>
      </c>
      <c r="J4177" s="2" t="str">
        <f aca="false">IF($G4177="","",4キー同時!$L$318)</f>
        <v/>
      </c>
      <c r="K4177" s="2" t="str">
        <f aca="false">IF($G4177="","","-")</f>
        <v/>
      </c>
      <c r="L4177" s="2" t="str">
        <f aca="false">IF($G4177="","","同時")</f>
        <v/>
      </c>
      <c r="M4177" s="2" t="str">
        <f aca="false">IF($G4177="","",IF(ISNA(MATCH($G4177,個別指定!$A:$A,0)),"行なし",""))</f>
        <v/>
      </c>
      <c r="N4177" s="2" t="str">
        <f aca="false">IF($G4177="","",IF(COUNTIF($G$2:$G$4460,$G4177)&gt;1,"重複",""))</f>
        <v/>
      </c>
    </row>
    <row r="4178" customFormat="false" ht="16.5" hidden="false" customHeight="true" outlineLevel="0" collapsed="false">
      <c r="A4178" s="2" t="s">
        <v>447</v>
      </c>
      <c r="B4178" s="2" t="s">
        <v>472</v>
      </c>
      <c r="C4178" s="2" t="s">
        <v>11</v>
      </c>
      <c r="D4178" s="2" t="str">
        <f aca="false">IF(4キー同時!$B$318="","",4キー同時!$B$318)</f>
        <v/>
      </c>
      <c r="E4178" s="2" t="str">
        <f aca="false">IF(4キー同時!$G$318="","",4キー同時!$G$318)</f>
        <v/>
      </c>
      <c r="F4178" s="2" t="str">
        <f aca="false">IF(4キー同時!$L$318="","",4キー同時!$L$318)</f>
        <v/>
      </c>
      <c r="G4178" s="2" t="str">
        <f aca="false">IF(OR(4キー同時!$B$318="",4キー同時!$G$318="",4キー同時!$L$318=""),"",IF(4キー同時!AX320="","",SUBSTITUTE(SUBSTITUTE(4キー同時!AX320," ",""),"　","")))</f>
        <v/>
      </c>
      <c r="H4178" s="2" t="str">
        <f aca="false">IF($G4178="","",4キー同時!$B$318)</f>
        <v/>
      </c>
      <c r="I4178" s="2" t="str">
        <f aca="false">IF($G4178="","",4キー同時!$G$318)</f>
        <v/>
      </c>
      <c r="J4178" s="2" t="str">
        <f aca="false">IF($G4178="","",4キー同時!$L$318)</f>
        <v/>
      </c>
      <c r="K4178" s="2" t="str">
        <f aca="false">IF($G4178="","","=")</f>
        <v/>
      </c>
      <c r="L4178" s="2" t="str">
        <f aca="false">IF($G4178="","","同時")</f>
        <v/>
      </c>
      <c r="M4178" s="2" t="str">
        <f aca="false">IF($G4178="","",IF(ISNA(MATCH($G4178,個別指定!$A:$A,0)),"行なし",""))</f>
        <v/>
      </c>
      <c r="N4178" s="2" t="str">
        <f aca="false">IF($G4178="","",IF(COUNTIF($G$2:$G$4460,$G4178)&gt;1,"重複",""))</f>
        <v/>
      </c>
    </row>
    <row r="4179" customFormat="false" ht="16.5" hidden="false" customHeight="true" outlineLevel="0" collapsed="false">
      <c r="A4179" s="2" t="s">
        <v>447</v>
      </c>
      <c r="B4179" s="2" t="s">
        <v>472</v>
      </c>
      <c r="C4179" s="2" t="s">
        <v>12</v>
      </c>
      <c r="D4179" s="2" t="str">
        <f aca="false">IF(4キー同時!$B$318="","",4キー同時!$B$318)</f>
        <v/>
      </c>
      <c r="E4179" s="2" t="str">
        <f aca="false">IF(4キー同時!$G$318="","",4キー同時!$G$318)</f>
        <v/>
      </c>
      <c r="F4179" s="2" t="str">
        <f aca="false">IF(4キー同時!$L$318="","",4キー同時!$L$318)</f>
        <v/>
      </c>
      <c r="G4179" s="2" t="str">
        <f aca="false">IF(OR(4キー同時!$B$318="",4キー同時!$G$318="",4キー同時!$L$318=""),"",IF(4キー同時!H322="","",SUBSTITUTE(SUBSTITUTE(4キー同時!H322," ",""),"　","")))</f>
        <v/>
      </c>
      <c r="H4179" s="2" t="str">
        <f aca="false">IF($G4179="","",4キー同時!$B$318)</f>
        <v/>
      </c>
      <c r="I4179" s="2" t="str">
        <f aca="false">IF($G4179="","",4キー同時!$G$318)</f>
        <v/>
      </c>
      <c r="J4179" s="2" t="str">
        <f aca="false">IF($G4179="","",4キー同時!$L$318)</f>
        <v/>
      </c>
      <c r="K4179" s="2" t="str">
        <f aca="false">IF($G4179="","","q")</f>
        <v/>
      </c>
      <c r="L4179" s="2" t="str">
        <f aca="false">IF($G4179="","","同時")</f>
        <v/>
      </c>
      <c r="M4179" s="2" t="str">
        <f aca="false">IF($G4179="","",IF(ISNA(MATCH($G4179,個別指定!$A:$A,0)),"行なし",""))</f>
        <v/>
      </c>
      <c r="N4179" s="2" t="str">
        <f aca="false">IF($G4179="","",IF(COUNTIF($G$2:$G$4460,$G4179)&gt;1,"重複",""))</f>
        <v/>
      </c>
    </row>
    <row r="4180" customFormat="false" ht="16.5" hidden="false" customHeight="true" outlineLevel="0" collapsed="false">
      <c r="A4180" s="2" t="s">
        <v>447</v>
      </c>
      <c r="B4180" s="2" t="s">
        <v>472</v>
      </c>
      <c r="C4180" s="2" t="s">
        <v>13</v>
      </c>
      <c r="D4180" s="2" t="str">
        <f aca="false">IF(4キー同時!$B$318="","",4キー同時!$B$318)</f>
        <v/>
      </c>
      <c r="E4180" s="2" t="str">
        <f aca="false">IF(4キー同時!$G$318="","",4キー同時!$G$318)</f>
        <v/>
      </c>
      <c r="F4180" s="2" t="str">
        <f aca="false">IF(4キー同時!$L$318="","",4キー同時!$L$318)</f>
        <v/>
      </c>
      <c r="G4180" s="2" t="str">
        <f aca="false">IF(OR(4キー同時!$B$318="",4キー同時!$G$318="",4キー同時!$L$318=""),"",IF(4キー同時!L322="","",SUBSTITUTE(SUBSTITUTE(4キー同時!L322," ",""),"　","")))</f>
        <v/>
      </c>
      <c r="H4180" s="2" t="str">
        <f aca="false">IF($G4180="","",4キー同時!$B$318)</f>
        <v/>
      </c>
      <c r="I4180" s="2" t="str">
        <f aca="false">IF($G4180="","",4キー同時!$G$318)</f>
        <v/>
      </c>
      <c r="J4180" s="2" t="str">
        <f aca="false">IF($G4180="","",4キー同時!$L$318)</f>
        <v/>
      </c>
      <c r="K4180" s="2" t="str">
        <f aca="false">IF($G4180="","","w")</f>
        <v/>
      </c>
      <c r="L4180" s="2" t="str">
        <f aca="false">IF($G4180="","","同時")</f>
        <v/>
      </c>
      <c r="M4180" s="2" t="str">
        <f aca="false">IF($G4180="","",IF(ISNA(MATCH($G4180,個別指定!$A:$A,0)),"行なし",""))</f>
        <v/>
      </c>
      <c r="N4180" s="2" t="str">
        <f aca="false">IF($G4180="","",IF(COUNTIF($G$2:$G$4460,$G4180)&gt;1,"重複",""))</f>
        <v/>
      </c>
    </row>
    <row r="4181" customFormat="false" ht="16.5" hidden="false" customHeight="true" outlineLevel="0" collapsed="false">
      <c r="A4181" s="2" t="s">
        <v>447</v>
      </c>
      <c r="B4181" s="2" t="s">
        <v>472</v>
      </c>
      <c r="C4181" s="2" t="s">
        <v>14</v>
      </c>
      <c r="D4181" s="2" t="str">
        <f aca="false">IF(4キー同時!$B$318="","",4キー同時!$B$318)</f>
        <v/>
      </c>
      <c r="E4181" s="2" t="str">
        <f aca="false">IF(4キー同時!$G$318="","",4キー同時!$G$318)</f>
        <v/>
      </c>
      <c r="F4181" s="2" t="str">
        <f aca="false">IF(4キー同時!$L$318="","",4キー同時!$L$318)</f>
        <v/>
      </c>
      <c r="G4181" s="2" t="str">
        <f aca="false">IF(OR(4キー同時!$B$318="",4キー同時!$G$318="",4キー同時!$L$318=""),"",IF(4キー同時!P322="","",SUBSTITUTE(SUBSTITUTE(4キー同時!P322," ",""),"　","")))</f>
        <v/>
      </c>
      <c r="H4181" s="2" t="str">
        <f aca="false">IF($G4181="","",4キー同時!$B$318)</f>
        <v/>
      </c>
      <c r="I4181" s="2" t="str">
        <f aca="false">IF($G4181="","",4キー同時!$G$318)</f>
        <v/>
      </c>
      <c r="J4181" s="2" t="str">
        <f aca="false">IF($G4181="","",4キー同時!$L$318)</f>
        <v/>
      </c>
      <c r="K4181" s="2" t="str">
        <f aca="false">IF($G4181="","","e")</f>
        <v/>
      </c>
      <c r="L4181" s="2" t="str">
        <f aca="false">IF($G4181="","","同時")</f>
        <v/>
      </c>
      <c r="M4181" s="2" t="str">
        <f aca="false">IF($G4181="","",IF(ISNA(MATCH($G4181,個別指定!$A:$A,0)),"行なし",""))</f>
        <v/>
      </c>
      <c r="N4181" s="2" t="str">
        <f aca="false">IF($G4181="","",IF(COUNTIF($G$2:$G$4460,$G4181)&gt;1,"重複",""))</f>
        <v/>
      </c>
    </row>
    <row r="4182" customFormat="false" ht="16.5" hidden="false" customHeight="true" outlineLevel="0" collapsed="false">
      <c r="A4182" s="2" t="s">
        <v>447</v>
      </c>
      <c r="B4182" s="2" t="s">
        <v>472</v>
      </c>
      <c r="C4182" s="2" t="s">
        <v>15</v>
      </c>
      <c r="D4182" s="2" t="str">
        <f aca="false">IF(4キー同時!$B$318="","",4キー同時!$B$318)</f>
        <v/>
      </c>
      <c r="E4182" s="2" t="str">
        <f aca="false">IF(4キー同時!$G$318="","",4キー同時!$G$318)</f>
        <v/>
      </c>
      <c r="F4182" s="2" t="str">
        <f aca="false">IF(4キー同時!$L$318="","",4キー同時!$L$318)</f>
        <v/>
      </c>
      <c r="G4182" s="2" t="str">
        <f aca="false">IF(OR(4キー同時!$B$318="",4キー同時!$G$318="",4キー同時!$L$318=""),"",IF(4キー同時!T322="","",SUBSTITUTE(SUBSTITUTE(4キー同時!T322," ",""),"　","")))</f>
        <v/>
      </c>
      <c r="H4182" s="2" t="str">
        <f aca="false">IF($G4182="","",4キー同時!$B$318)</f>
        <v/>
      </c>
      <c r="I4182" s="2" t="str">
        <f aca="false">IF($G4182="","",4キー同時!$G$318)</f>
        <v/>
      </c>
      <c r="J4182" s="2" t="str">
        <f aca="false">IF($G4182="","",4キー同時!$L$318)</f>
        <v/>
      </c>
      <c r="K4182" s="2" t="str">
        <f aca="false">IF($G4182="","","r")</f>
        <v/>
      </c>
      <c r="L4182" s="2" t="str">
        <f aca="false">IF($G4182="","","同時")</f>
        <v/>
      </c>
      <c r="M4182" s="2" t="str">
        <f aca="false">IF($G4182="","",IF(ISNA(MATCH($G4182,個別指定!$A:$A,0)),"行なし",""))</f>
        <v/>
      </c>
      <c r="N4182" s="2" t="str">
        <f aca="false">IF($G4182="","",IF(COUNTIF($G$2:$G$4460,$G4182)&gt;1,"重複",""))</f>
        <v/>
      </c>
    </row>
    <row r="4183" customFormat="false" ht="16.5" hidden="false" customHeight="true" outlineLevel="0" collapsed="false">
      <c r="A4183" s="2" t="s">
        <v>447</v>
      </c>
      <c r="B4183" s="2" t="s">
        <v>472</v>
      </c>
      <c r="C4183" s="2" t="s">
        <v>16</v>
      </c>
      <c r="D4183" s="2" t="str">
        <f aca="false">IF(4キー同時!$B$318="","",4キー同時!$B$318)</f>
        <v/>
      </c>
      <c r="E4183" s="2" t="str">
        <f aca="false">IF(4キー同時!$G$318="","",4キー同時!$G$318)</f>
        <v/>
      </c>
      <c r="F4183" s="2" t="str">
        <f aca="false">IF(4キー同時!$L$318="","",4キー同時!$L$318)</f>
        <v/>
      </c>
      <c r="G4183" s="2" t="str">
        <f aca="false">IF(OR(4キー同時!$B$318="",4キー同時!$G$318="",4キー同時!$L$318=""),"",IF(4キー同時!X322="","",SUBSTITUTE(SUBSTITUTE(4キー同時!X322," ",""),"　","")))</f>
        <v/>
      </c>
      <c r="H4183" s="2" t="str">
        <f aca="false">IF($G4183="","",4キー同時!$B$318)</f>
        <v/>
      </c>
      <c r="I4183" s="2" t="str">
        <f aca="false">IF($G4183="","",4キー同時!$G$318)</f>
        <v/>
      </c>
      <c r="J4183" s="2" t="str">
        <f aca="false">IF($G4183="","",4キー同時!$L$318)</f>
        <v/>
      </c>
      <c r="K4183" s="2" t="str">
        <f aca="false">IF($G4183="","","t")</f>
        <v/>
      </c>
      <c r="L4183" s="2" t="str">
        <f aca="false">IF($G4183="","","同時")</f>
        <v/>
      </c>
      <c r="M4183" s="2" t="str">
        <f aca="false">IF($G4183="","",IF(ISNA(MATCH($G4183,個別指定!$A:$A,0)),"行なし",""))</f>
        <v/>
      </c>
      <c r="N4183" s="2" t="str">
        <f aca="false">IF($G4183="","",IF(COUNTIF($G$2:$G$4460,$G4183)&gt;1,"重複",""))</f>
        <v/>
      </c>
    </row>
    <row r="4184" customFormat="false" ht="16.5" hidden="false" customHeight="true" outlineLevel="0" collapsed="false">
      <c r="A4184" s="2" t="s">
        <v>447</v>
      </c>
      <c r="B4184" s="2" t="s">
        <v>472</v>
      </c>
      <c r="C4184" s="2" t="s">
        <v>17</v>
      </c>
      <c r="D4184" s="2" t="str">
        <f aca="false">IF(4キー同時!$B$318="","",4キー同時!$B$318)</f>
        <v/>
      </c>
      <c r="E4184" s="2" t="str">
        <f aca="false">IF(4キー同時!$G$318="","",4キー同時!$G$318)</f>
        <v/>
      </c>
      <c r="F4184" s="2" t="str">
        <f aca="false">IF(4キー同時!$L$318="","",4キー同時!$L$318)</f>
        <v/>
      </c>
      <c r="G4184" s="2" t="str">
        <f aca="false">IF(OR(4キー同時!$B$318="",4キー同時!$G$318="",4キー同時!$L$318=""),"",IF(4キー同時!AB322="","",SUBSTITUTE(SUBSTITUTE(4キー同時!AB322," ",""),"　","")))</f>
        <v/>
      </c>
      <c r="H4184" s="2" t="str">
        <f aca="false">IF($G4184="","",4キー同時!$B$318)</f>
        <v/>
      </c>
      <c r="I4184" s="2" t="str">
        <f aca="false">IF($G4184="","",4キー同時!$G$318)</f>
        <v/>
      </c>
      <c r="J4184" s="2" t="str">
        <f aca="false">IF($G4184="","",4キー同時!$L$318)</f>
        <v/>
      </c>
      <c r="K4184" s="2" t="str">
        <f aca="false">IF($G4184="","","y")</f>
        <v/>
      </c>
      <c r="L4184" s="2" t="str">
        <f aca="false">IF($G4184="","","同時")</f>
        <v/>
      </c>
      <c r="M4184" s="2" t="str">
        <f aca="false">IF($G4184="","",IF(ISNA(MATCH($G4184,個別指定!$A:$A,0)),"行なし",""))</f>
        <v/>
      </c>
      <c r="N4184" s="2" t="str">
        <f aca="false">IF($G4184="","",IF(COUNTIF($G$2:$G$4460,$G4184)&gt;1,"重複",""))</f>
        <v/>
      </c>
    </row>
    <row r="4185" customFormat="false" ht="16.5" hidden="false" customHeight="true" outlineLevel="0" collapsed="false">
      <c r="A4185" s="2" t="s">
        <v>447</v>
      </c>
      <c r="B4185" s="2" t="s">
        <v>472</v>
      </c>
      <c r="C4185" s="2" t="s">
        <v>18</v>
      </c>
      <c r="D4185" s="2" t="str">
        <f aca="false">IF(4キー同時!$B$318="","",4キー同時!$B$318)</f>
        <v/>
      </c>
      <c r="E4185" s="2" t="str">
        <f aca="false">IF(4キー同時!$G$318="","",4キー同時!$G$318)</f>
        <v/>
      </c>
      <c r="F4185" s="2" t="str">
        <f aca="false">IF(4キー同時!$L$318="","",4キー同時!$L$318)</f>
        <v/>
      </c>
      <c r="G4185" s="2" t="str">
        <f aca="false">IF(OR(4キー同時!$B$318="",4キー同時!$G$318="",4キー同時!$L$318=""),"",IF(4キー同時!AF322="","",SUBSTITUTE(SUBSTITUTE(4キー同時!AF322," ",""),"　","")))</f>
        <v/>
      </c>
      <c r="H4185" s="2" t="str">
        <f aca="false">IF($G4185="","",4キー同時!$B$318)</f>
        <v/>
      </c>
      <c r="I4185" s="2" t="str">
        <f aca="false">IF($G4185="","",4キー同時!$G$318)</f>
        <v/>
      </c>
      <c r="J4185" s="2" t="str">
        <f aca="false">IF($G4185="","",4キー同時!$L$318)</f>
        <v/>
      </c>
      <c r="K4185" s="2" t="str">
        <f aca="false">IF($G4185="","","u")</f>
        <v/>
      </c>
      <c r="L4185" s="2" t="str">
        <f aca="false">IF($G4185="","","同時")</f>
        <v/>
      </c>
      <c r="M4185" s="2" t="str">
        <f aca="false">IF($G4185="","",IF(ISNA(MATCH($G4185,個別指定!$A:$A,0)),"行なし",""))</f>
        <v/>
      </c>
      <c r="N4185" s="2" t="str">
        <f aca="false">IF($G4185="","",IF(COUNTIF($G$2:$G$4460,$G4185)&gt;1,"重複",""))</f>
        <v/>
      </c>
    </row>
    <row r="4186" customFormat="false" ht="16.5" hidden="false" customHeight="true" outlineLevel="0" collapsed="false">
      <c r="A4186" s="2" t="s">
        <v>447</v>
      </c>
      <c r="B4186" s="2" t="s">
        <v>472</v>
      </c>
      <c r="C4186" s="2" t="s">
        <v>19</v>
      </c>
      <c r="D4186" s="2" t="str">
        <f aca="false">IF(4キー同時!$B$318="","",4キー同時!$B$318)</f>
        <v/>
      </c>
      <c r="E4186" s="2" t="str">
        <f aca="false">IF(4キー同時!$G$318="","",4キー同時!$G$318)</f>
        <v/>
      </c>
      <c r="F4186" s="2" t="str">
        <f aca="false">IF(4キー同時!$L$318="","",4キー同時!$L$318)</f>
        <v/>
      </c>
      <c r="G4186" s="2" t="str">
        <f aca="false">IF(OR(4キー同時!$B$318="",4キー同時!$G$318="",4キー同時!$L$318=""),"",IF(4キー同時!AJ322="","",SUBSTITUTE(SUBSTITUTE(4キー同時!AJ322," ",""),"　","")))</f>
        <v/>
      </c>
      <c r="H4186" s="2" t="str">
        <f aca="false">IF($G4186="","",4キー同時!$B$318)</f>
        <v/>
      </c>
      <c r="I4186" s="2" t="str">
        <f aca="false">IF($G4186="","",4キー同時!$G$318)</f>
        <v/>
      </c>
      <c r="J4186" s="2" t="str">
        <f aca="false">IF($G4186="","",4キー同時!$L$318)</f>
        <v/>
      </c>
      <c r="K4186" s="2" t="str">
        <f aca="false">IF($G4186="","","i")</f>
        <v/>
      </c>
      <c r="L4186" s="2" t="str">
        <f aca="false">IF($G4186="","","同時")</f>
        <v/>
      </c>
      <c r="M4186" s="2" t="str">
        <f aca="false">IF($G4186="","",IF(ISNA(MATCH($G4186,個別指定!$A:$A,0)),"行なし",""))</f>
        <v/>
      </c>
      <c r="N4186" s="2" t="str">
        <f aca="false">IF($G4186="","",IF(COUNTIF($G$2:$G$4460,$G4186)&gt;1,"重複",""))</f>
        <v/>
      </c>
    </row>
    <row r="4187" customFormat="false" ht="16.5" hidden="false" customHeight="true" outlineLevel="0" collapsed="false">
      <c r="A4187" s="2" t="s">
        <v>447</v>
      </c>
      <c r="B4187" s="2" t="s">
        <v>472</v>
      </c>
      <c r="C4187" s="2" t="s">
        <v>20</v>
      </c>
      <c r="D4187" s="2" t="str">
        <f aca="false">IF(4キー同時!$B$318="","",4キー同時!$B$318)</f>
        <v/>
      </c>
      <c r="E4187" s="2" t="str">
        <f aca="false">IF(4キー同時!$G$318="","",4キー同時!$G$318)</f>
        <v/>
      </c>
      <c r="F4187" s="2" t="str">
        <f aca="false">IF(4キー同時!$L$318="","",4キー同時!$L$318)</f>
        <v/>
      </c>
      <c r="G4187" s="2" t="str">
        <f aca="false">IF(OR(4キー同時!$B$318="",4キー同時!$G$318="",4キー同時!$L$318=""),"",IF(4キー同時!AN322="","",SUBSTITUTE(SUBSTITUTE(4キー同時!AN322," ",""),"　","")))</f>
        <v/>
      </c>
      <c r="H4187" s="2" t="str">
        <f aca="false">IF($G4187="","",4キー同時!$B$318)</f>
        <v/>
      </c>
      <c r="I4187" s="2" t="str">
        <f aca="false">IF($G4187="","",4キー同時!$G$318)</f>
        <v/>
      </c>
      <c r="J4187" s="2" t="str">
        <f aca="false">IF($G4187="","",4キー同時!$L$318)</f>
        <v/>
      </c>
      <c r="K4187" s="2" t="str">
        <f aca="false">IF($G4187="","","o")</f>
        <v/>
      </c>
      <c r="L4187" s="2" t="str">
        <f aca="false">IF($G4187="","","同時")</f>
        <v/>
      </c>
      <c r="M4187" s="2" t="str">
        <f aca="false">IF($G4187="","",IF(ISNA(MATCH($G4187,個別指定!$A:$A,0)),"行なし",""))</f>
        <v/>
      </c>
      <c r="N4187" s="2" t="str">
        <f aca="false">IF($G4187="","",IF(COUNTIF($G$2:$G$4460,$G4187)&gt;1,"重複",""))</f>
        <v/>
      </c>
    </row>
    <row r="4188" customFormat="false" ht="16.5" hidden="false" customHeight="true" outlineLevel="0" collapsed="false">
      <c r="A4188" s="2" t="s">
        <v>447</v>
      </c>
      <c r="B4188" s="2" t="s">
        <v>472</v>
      </c>
      <c r="C4188" s="2" t="s">
        <v>21</v>
      </c>
      <c r="D4188" s="2" t="str">
        <f aca="false">IF(4キー同時!$B$318="","",4キー同時!$B$318)</f>
        <v/>
      </c>
      <c r="E4188" s="2" t="str">
        <f aca="false">IF(4キー同時!$G$318="","",4キー同時!$G$318)</f>
        <v/>
      </c>
      <c r="F4188" s="2" t="str">
        <f aca="false">IF(4キー同時!$L$318="","",4キー同時!$L$318)</f>
        <v/>
      </c>
      <c r="G4188" s="2" t="str">
        <f aca="false">IF(OR(4キー同時!$B$318="",4キー同時!$G$318="",4キー同時!$L$318=""),"",IF(4キー同時!AR322="","",SUBSTITUTE(SUBSTITUTE(4キー同時!AR322," ",""),"　","")))</f>
        <v/>
      </c>
      <c r="H4188" s="2" t="str">
        <f aca="false">IF($G4188="","",4キー同時!$B$318)</f>
        <v/>
      </c>
      <c r="I4188" s="2" t="str">
        <f aca="false">IF($G4188="","",4キー同時!$G$318)</f>
        <v/>
      </c>
      <c r="J4188" s="2" t="str">
        <f aca="false">IF($G4188="","",4キー同時!$L$318)</f>
        <v/>
      </c>
      <c r="K4188" s="2" t="str">
        <f aca="false">IF($G4188="","","p")</f>
        <v/>
      </c>
      <c r="L4188" s="2" t="str">
        <f aca="false">IF($G4188="","","同時")</f>
        <v/>
      </c>
      <c r="M4188" s="2" t="str">
        <f aca="false">IF($G4188="","",IF(ISNA(MATCH($G4188,個別指定!$A:$A,0)),"行なし",""))</f>
        <v/>
      </c>
      <c r="N4188" s="2" t="str">
        <f aca="false">IF($G4188="","",IF(COUNTIF($G$2:$G$4460,$G4188)&gt;1,"重複",""))</f>
        <v/>
      </c>
    </row>
    <row r="4189" customFormat="false" ht="16.5" hidden="false" customHeight="true" outlineLevel="0" collapsed="false">
      <c r="A4189" s="2" t="s">
        <v>447</v>
      </c>
      <c r="B4189" s="2" t="s">
        <v>472</v>
      </c>
      <c r="C4189" s="2" t="s">
        <v>22</v>
      </c>
      <c r="D4189" s="2" t="str">
        <f aca="false">IF(4キー同時!$B$318="","",4キー同時!$B$318)</f>
        <v/>
      </c>
      <c r="E4189" s="2" t="str">
        <f aca="false">IF(4キー同時!$G$318="","",4キー同時!$G$318)</f>
        <v/>
      </c>
      <c r="F4189" s="2" t="str">
        <f aca="false">IF(4キー同時!$L$318="","",4キー同時!$L$318)</f>
        <v/>
      </c>
      <c r="G4189" s="2" t="str">
        <f aca="false">IF(OR(4キー同時!$B$318="",4キー同時!$G$318="",4キー同時!$L$318=""),"",IF(4キー同時!AV322="","",SUBSTITUTE(SUBSTITUTE(4キー同時!AV322," ",""),"　","")))</f>
        <v/>
      </c>
      <c r="H4189" s="2" t="str">
        <f aca="false">IF($G4189="","",4キー同時!$B$318)</f>
        <v/>
      </c>
      <c r="I4189" s="2" t="str">
        <f aca="false">IF($G4189="","",4キー同時!$G$318)</f>
        <v/>
      </c>
      <c r="J4189" s="2" t="str">
        <f aca="false">IF($G4189="","",4キー同時!$L$318)</f>
        <v/>
      </c>
      <c r="K4189" s="2" t="str">
        <f aca="false">IF($G4189="","","[")</f>
        <v/>
      </c>
      <c r="L4189" s="2" t="str">
        <f aca="false">IF($G4189="","","同時")</f>
        <v/>
      </c>
      <c r="M4189" s="2" t="str">
        <f aca="false">IF($G4189="","",IF(ISNA(MATCH($G4189,個別指定!$A:$A,0)),"行なし",""))</f>
        <v/>
      </c>
      <c r="N4189" s="2" t="str">
        <f aca="false">IF($G4189="","",IF(COUNTIF($G$2:$G$4460,$G4189)&gt;1,"重複",""))</f>
        <v/>
      </c>
    </row>
    <row r="4190" customFormat="false" ht="16.5" hidden="false" customHeight="true" outlineLevel="0" collapsed="false">
      <c r="A4190" s="2" t="s">
        <v>447</v>
      </c>
      <c r="B4190" s="2" t="s">
        <v>472</v>
      </c>
      <c r="C4190" s="2" t="s">
        <v>23</v>
      </c>
      <c r="D4190" s="2" t="str">
        <f aca="false">IF(4キー同時!$B$318="","",4キー同時!$B$318)</f>
        <v/>
      </c>
      <c r="E4190" s="2" t="str">
        <f aca="false">IF(4キー同時!$G$318="","",4キー同時!$G$318)</f>
        <v/>
      </c>
      <c r="F4190" s="2" t="str">
        <f aca="false">IF(4キー同時!$L$318="","",4キー同時!$L$318)</f>
        <v/>
      </c>
      <c r="G4190" s="2" t="str">
        <f aca="false">IF(OR(4キー同時!$B$318="",4キー同時!$G$318="",4キー同時!$L$318=""),"",IF(4キー同時!AZ322="","",SUBSTITUTE(SUBSTITUTE(4キー同時!AZ322," ",""),"　","")))</f>
        <v/>
      </c>
      <c r="H4190" s="2" t="str">
        <f aca="false">IF($G4190="","",4キー同時!$B$318)</f>
        <v/>
      </c>
      <c r="I4190" s="2" t="str">
        <f aca="false">IF($G4190="","",4キー同時!$G$318)</f>
        <v/>
      </c>
      <c r="J4190" s="2" t="str">
        <f aca="false">IF($G4190="","",4キー同時!$L$318)</f>
        <v/>
      </c>
      <c r="K4190" s="2" t="str">
        <f aca="false">IF($G4190="","","]")</f>
        <v/>
      </c>
      <c r="L4190" s="2" t="str">
        <f aca="false">IF($G4190="","","同時")</f>
        <v/>
      </c>
      <c r="M4190" s="2" t="str">
        <f aca="false">IF($G4190="","",IF(ISNA(MATCH($G4190,個別指定!$A:$A,0)),"行なし",""))</f>
        <v/>
      </c>
      <c r="N4190" s="2" t="str">
        <f aca="false">IF($G4190="","",IF(COUNTIF($G$2:$G$4460,$G4190)&gt;1,"重複",""))</f>
        <v/>
      </c>
    </row>
    <row r="4191" customFormat="false" ht="16.5" hidden="false" customHeight="true" outlineLevel="0" collapsed="false">
      <c r="A4191" s="2" t="s">
        <v>447</v>
      </c>
      <c r="B4191" s="2" t="s">
        <v>472</v>
      </c>
      <c r="C4191" s="2" t="s">
        <v>24</v>
      </c>
      <c r="D4191" s="2" t="str">
        <f aca="false">IF(4キー同時!$B$318="","",4キー同時!$B$318)</f>
        <v/>
      </c>
      <c r="E4191" s="2" t="str">
        <f aca="false">IF(4キー同時!$G$318="","",4キー同時!$G$318)</f>
        <v/>
      </c>
      <c r="F4191" s="2" t="str">
        <f aca="false">IF(4キー同時!$L$318="","",4キー同時!$L$318)</f>
        <v/>
      </c>
      <c r="G4191" s="2" t="str">
        <f aca="false">IF(OR(4キー同時!$B$318="",4キー同時!$G$318="",4キー同時!$L$318=""),"",IF(4キー同時!I324="","",SUBSTITUTE(SUBSTITUTE(4キー同時!I324," ",""),"　","")))</f>
        <v/>
      </c>
      <c r="H4191" s="2" t="str">
        <f aca="false">IF($G4191="","",4キー同時!$B$318)</f>
        <v/>
      </c>
      <c r="I4191" s="2" t="str">
        <f aca="false">IF($G4191="","",4キー同時!$G$318)</f>
        <v/>
      </c>
      <c r="J4191" s="2" t="str">
        <f aca="false">IF($G4191="","",4キー同時!$L$318)</f>
        <v/>
      </c>
      <c r="K4191" s="2" t="str">
        <f aca="false">IF($G4191="","","a")</f>
        <v/>
      </c>
      <c r="L4191" s="2" t="str">
        <f aca="false">IF($G4191="","","同時")</f>
        <v/>
      </c>
      <c r="M4191" s="2" t="str">
        <f aca="false">IF($G4191="","",IF(ISNA(MATCH($G4191,個別指定!$A:$A,0)),"行なし",""))</f>
        <v/>
      </c>
      <c r="N4191" s="2" t="str">
        <f aca="false">IF($G4191="","",IF(COUNTIF($G$2:$G$4460,$G4191)&gt;1,"重複",""))</f>
        <v/>
      </c>
    </row>
    <row r="4192" customFormat="false" ht="16.5" hidden="false" customHeight="true" outlineLevel="0" collapsed="false">
      <c r="A4192" s="2" t="s">
        <v>447</v>
      </c>
      <c r="B4192" s="2" t="s">
        <v>472</v>
      </c>
      <c r="C4192" s="2" t="s">
        <v>25</v>
      </c>
      <c r="D4192" s="2" t="str">
        <f aca="false">IF(4キー同時!$B$318="","",4キー同時!$B$318)</f>
        <v/>
      </c>
      <c r="E4192" s="2" t="str">
        <f aca="false">IF(4キー同時!$G$318="","",4キー同時!$G$318)</f>
        <v/>
      </c>
      <c r="F4192" s="2" t="str">
        <f aca="false">IF(4キー同時!$L$318="","",4キー同時!$L$318)</f>
        <v/>
      </c>
      <c r="G4192" s="2" t="str">
        <f aca="false">IF(OR(4キー同時!$B$318="",4キー同時!$G$318="",4キー同時!$L$318=""),"",IF(4キー同時!M324="","",SUBSTITUTE(SUBSTITUTE(4キー同時!M324," ",""),"　","")))</f>
        <v/>
      </c>
      <c r="H4192" s="2" t="str">
        <f aca="false">IF($G4192="","",4キー同時!$B$318)</f>
        <v/>
      </c>
      <c r="I4192" s="2" t="str">
        <f aca="false">IF($G4192="","",4キー同時!$G$318)</f>
        <v/>
      </c>
      <c r="J4192" s="2" t="str">
        <f aca="false">IF($G4192="","",4キー同時!$L$318)</f>
        <v/>
      </c>
      <c r="K4192" s="2" t="str">
        <f aca="false">IF($G4192="","","s")</f>
        <v/>
      </c>
      <c r="L4192" s="2" t="str">
        <f aca="false">IF($G4192="","","同時")</f>
        <v/>
      </c>
      <c r="M4192" s="2" t="str">
        <f aca="false">IF($G4192="","",IF(ISNA(MATCH($G4192,個別指定!$A:$A,0)),"行なし",""))</f>
        <v/>
      </c>
      <c r="N4192" s="2" t="str">
        <f aca="false">IF($G4192="","",IF(COUNTIF($G$2:$G$4460,$G4192)&gt;1,"重複",""))</f>
        <v/>
      </c>
    </row>
    <row r="4193" customFormat="false" ht="16.5" hidden="false" customHeight="true" outlineLevel="0" collapsed="false">
      <c r="A4193" s="2" t="s">
        <v>447</v>
      </c>
      <c r="B4193" s="2" t="s">
        <v>472</v>
      </c>
      <c r="C4193" s="2" t="s">
        <v>26</v>
      </c>
      <c r="D4193" s="2" t="str">
        <f aca="false">IF(4キー同時!$B$318="","",4キー同時!$B$318)</f>
        <v/>
      </c>
      <c r="E4193" s="2" t="str">
        <f aca="false">IF(4キー同時!$G$318="","",4キー同時!$G$318)</f>
        <v/>
      </c>
      <c r="F4193" s="2" t="str">
        <f aca="false">IF(4キー同時!$L$318="","",4キー同時!$L$318)</f>
        <v/>
      </c>
      <c r="G4193" s="2" t="str">
        <f aca="false">IF(OR(4キー同時!$B$318="",4キー同時!$G$318="",4キー同時!$L$318=""),"",IF(4キー同時!Q324="","",SUBSTITUTE(SUBSTITUTE(4キー同時!Q324," ",""),"　","")))</f>
        <v/>
      </c>
      <c r="H4193" s="2" t="str">
        <f aca="false">IF($G4193="","",4キー同時!$B$318)</f>
        <v/>
      </c>
      <c r="I4193" s="2" t="str">
        <f aca="false">IF($G4193="","",4キー同時!$G$318)</f>
        <v/>
      </c>
      <c r="J4193" s="2" t="str">
        <f aca="false">IF($G4193="","",4キー同時!$L$318)</f>
        <v/>
      </c>
      <c r="K4193" s="2" t="str">
        <f aca="false">IF($G4193="","","d")</f>
        <v/>
      </c>
      <c r="L4193" s="2" t="str">
        <f aca="false">IF($G4193="","","同時")</f>
        <v/>
      </c>
      <c r="M4193" s="2" t="str">
        <f aca="false">IF($G4193="","",IF(ISNA(MATCH($G4193,個別指定!$A:$A,0)),"行なし",""))</f>
        <v/>
      </c>
      <c r="N4193" s="2" t="str">
        <f aca="false">IF($G4193="","",IF(COUNTIF($G$2:$G$4460,$G4193)&gt;1,"重複",""))</f>
        <v/>
      </c>
    </row>
    <row r="4194" customFormat="false" ht="16.5" hidden="false" customHeight="true" outlineLevel="0" collapsed="false">
      <c r="A4194" s="2" t="s">
        <v>447</v>
      </c>
      <c r="B4194" s="2" t="s">
        <v>472</v>
      </c>
      <c r="C4194" s="2" t="s">
        <v>27</v>
      </c>
      <c r="D4194" s="2" t="str">
        <f aca="false">IF(4キー同時!$B$318="","",4キー同時!$B$318)</f>
        <v/>
      </c>
      <c r="E4194" s="2" t="str">
        <f aca="false">IF(4キー同時!$G$318="","",4キー同時!$G$318)</f>
        <v/>
      </c>
      <c r="F4194" s="2" t="str">
        <f aca="false">IF(4キー同時!$L$318="","",4キー同時!$L$318)</f>
        <v/>
      </c>
      <c r="G4194" s="2" t="str">
        <f aca="false">IF(OR(4キー同時!$B$318="",4キー同時!$G$318="",4キー同時!$L$318=""),"",IF(4キー同時!U324="","",SUBSTITUTE(SUBSTITUTE(4キー同時!U324," ",""),"　","")))</f>
        <v/>
      </c>
      <c r="H4194" s="2" t="str">
        <f aca="false">IF($G4194="","",4キー同時!$B$318)</f>
        <v/>
      </c>
      <c r="I4194" s="2" t="str">
        <f aca="false">IF($G4194="","",4キー同時!$G$318)</f>
        <v/>
      </c>
      <c r="J4194" s="2" t="str">
        <f aca="false">IF($G4194="","",4キー同時!$L$318)</f>
        <v/>
      </c>
      <c r="K4194" s="2" t="str">
        <f aca="false">IF($G4194="","","f")</f>
        <v/>
      </c>
      <c r="L4194" s="2" t="str">
        <f aca="false">IF($G4194="","","同時")</f>
        <v/>
      </c>
      <c r="M4194" s="2" t="str">
        <f aca="false">IF($G4194="","",IF(ISNA(MATCH($G4194,個別指定!$A:$A,0)),"行なし",""))</f>
        <v/>
      </c>
      <c r="N4194" s="2" t="str">
        <f aca="false">IF($G4194="","",IF(COUNTIF($G$2:$G$4460,$G4194)&gt;1,"重複",""))</f>
        <v/>
      </c>
    </row>
    <row r="4195" customFormat="false" ht="16.5" hidden="false" customHeight="true" outlineLevel="0" collapsed="false">
      <c r="A4195" s="2" t="s">
        <v>447</v>
      </c>
      <c r="B4195" s="2" t="s">
        <v>472</v>
      </c>
      <c r="C4195" s="2" t="s">
        <v>28</v>
      </c>
      <c r="D4195" s="2" t="str">
        <f aca="false">IF(4キー同時!$B$318="","",4キー同時!$B$318)</f>
        <v/>
      </c>
      <c r="E4195" s="2" t="str">
        <f aca="false">IF(4キー同時!$G$318="","",4キー同時!$G$318)</f>
        <v/>
      </c>
      <c r="F4195" s="2" t="str">
        <f aca="false">IF(4キー同時!$L$318="","",4キー同時!$L$318)</f>
        <v/>
      </c>
      <c r="G4195" s="2" t="str">
        <f aca="false">IF(OR(4キー同時!$B$318="",4キー同時!$G$318="",4キー同時!$L$318=""),"",IF(4キー同時!Y324="","",SUBSTITUTE(SUBSTITUTE(4キー同時!Y324," ",""),"　","")))</f>
        <v/>
      </c>
      <c r="H4195" s="2" t="str">
        <f aca="false">IF($G4195="","",4キー同時!$B$318)</f>
        <v/>
      </c>
      <c r="I4195" s="2" t="str">
        <f aca="false">IF($G4195="","",4キー同時!$G$318)</f>
        <v/>
      </c>
      <c r="J4195" s="2" t="str">
        <f aca="false">IF($G4195="","",4キー同時!$L$318)</f>
        <v/>
      </c>
      <c r="K4195" s="2" t="str">
        <f aca="false">IF($G4195="","","g")</f>
        <v/>
      </c>
      <c r="L4195" s="2" t="str">
        <f aca="false">IF($G4195="","","同時")</f>
        <v/>
      </c>
      <c r="M4195" s="2" t="str">
        <f aca="false">IF($G4195="","",IF(ISNA(MATCH($G4195,個別指定!$A:$A,0)),"行なし",""))</f>
        <v/>
      </c>
      <c r="N4195" s="2" t="str">
        <f aca="false">IF($G4195="","",IF(COUNTIF($G$2:$G$4460,$G4195)&gt;1,"重複",""))</f>
        <v/>
      </c>
    </row>
    <row r="4196" customFormat="false" ht="16.5" hidden="false" customHeight="true" outlineLevel="0" collapsed="false">
      <c r="A4196" s="2" t="s">
        <v>447</v>
      </c>
      <c r="B4196" s="2" t="s">
        <v>472</v>
      </c>
      <c r="C4196" s="2" t="s">
        <v>29</v>
      </c>
      <c r="D4196" s="2" t="str">
        <f aca="false">IF(4キー同時!$B$318="","",4キー同時!$B$318)</f>
        <v/>
      </c>
      <c r="E4196" s="2" t="str">
        <f aca="false">IF(4キー同時!$G$318="","",4キー同時!$G$318)</f>
        <v/>
      </c>
      <c r="F4196" s="2" t="str">
        <f aca="false">IF(4キー同時!$L$318="","",4キー同時!$L$318)</f>
        <v/>
      </c>
      <c r="G4196" s="2" t="str">
        <f aca="false">IF(OR(4キー同時!$B$318="",4キー同時!$G$318="",4キー同時!$L$318=""),"",IF(4キー同時!AC324="","",SUBSTITUTE(SUBSTITUTE(4キー同時!AC324," ",""),"　","")))</f>
        <v/>
      </c>
      <c r="H4196" s="2" t="str">
        <f aca="false">IF($G4196="","",4キー同時!$B$318)</f>
        <v/>
      </c>
      <c r="I4196" s="2" t="str">
        <f aca="false">IF($G4196="","",4キー同時!$G$318)</f>
        <v/>
      </c>
      <c r="J4196" s="2" t="str">
        <f aca="false">IF($G4196="","",4キー同時!$L$318)</f>
        <v/>
      </c>
      <c r="K4196" s="2" t="str">
        <f aca="false">IF($G4196="","","h")</f>
        <v/>
      </c>
      <c r="L4196" s="2" t="str">
        <f aca="false">IF($G4196="","","同時")</f>
        <v/>
      </c>
      <c r="M4196" s="2" t="str">
        <f aca="false">IF($G4196="","",IF(ISNA(MATCH($G4196,個別指定!$A:$A,0)),"行なし",""))</f>
        <v/>
      </c>
      <c r="N4196" s="2" t="str">
        <f aca="false">IF($G4196="","",IF(COUNTIF($G$2:$G$4460,$G4196)&gt;1,"重複",""))</f>
        <v/>
      </c>
    </row>
    <row r="4197" customFormat="false" ht="16.5" hidden="false" customHeight="true" outlineLevel="0" collapsed="false">
      <c r="A4197" s="2" t="s">
        <v>447</v>
      </c>
      <c r="B4197" s="2" t="s">
        <v>472</v>
      </c>
      <c r="C4197" s="2" t="s">
        <v>30</v>
      </c>
      <c r="D4197" s="2" t="str">
        <f aca="false">IF(4キー同時!$B$318="","",4キー同時!$B$318)</f>
        <v/>
      </c>
      <c r="E4197" s="2" t="str">
        <f aca="false">IF(4キー同時!$G$318="","",4キー同時!$G$318)</f>
        <v/>
      </c>
      <c r="F4197" s="2" t="str">
        <f aca="false">IF(4キー同時!$L$318="","",4キー同時!$L$318)</f>
        <v/>
      </c>
      <c r="G4197" s="2" t="str">
        <f aca="false">IF(OR(4キー同時!$B$318="",4キー同時!$G$318="",4キー同時!$L$318=""),"",IF(4キー同時!AG324="","",SUBSTITUTE(SUBSTITUTE(4キー同時!AG324," ",""),"　","")))</f>
        <v/>
      </c>
      <c r="H4197" s="2" t="str">
        <f aca="false">IF($G4197="","",4キー同時!$B$318)</f>
        <v/>
      </c>
      <c r="I4197" s="2" t="str">
        <f aca="false">IF($G4197="","",4キー同時!$G$318)</f>
        <v/>
      </c>
      <c r="J4197" s="2" t="str">
        <f aca="false">IF($G4197="","",4キー同時!$L$318)</f>
        <v/>
      </c>
      <c r="K4197" s="2" t="str">
        <f aca="false">IF($G4197="","","j")</f>
        <v/>
      </c>
      <c r="L4197" s="2" t="str">
        <f aca="false">IF($G4197="","","同時")</f>
        <v/>
      </c>
      <c r="M4197" s="2" t="str">
        <f aca="false">IF($G4197="","",IF(ISNA(MATCH($G4197,個別指定!$A:$A,0)),"行なし",""))</f>
        <v/>
      </c>
      <c r="N4197" s="2" t="str">
        <f aca="false">IF($G4197="","",IF(COUNTIF($G$2:$G$4460,$G4197)&gt;1,"重複",""))</f>
        <v/>
      </c>
    </row>
    <row r="4198" customFormat="false" ht="16.5" hidden="false" customHeight="true" outlineLevel="0" collapsed="false">
      <c r="A4198" s="2" t="s">
        <v>447</v>
      </c>
      <c r="B4198" s="2" t="s">
        <v>472</v>
      </c>
      <c r="C4198" s="2" t="s">
        <v>31</v>
      </c>
      <c r="D4198" s="2" t="str">
        <f aca="false">IF(4キー同時!$B$318="","",4キー同時!$B$318)</f>
        <v/>
      </c>
      <c r="E4198" s="2" t="str">
        <f aca="false">IF(4キー同時!$G$318="","",4キー同時!$G$318)</f>
        <v/>
      </c>
      <c r="F4198" s="2" t="str">
        <f aca="false">IF(4キー同時!$L$318="","",4キー同時!$L$318)</f>
        <v/>
      </c>
      <c r="G4198" s="2" t="str">
        <f aca="false">IF(OR(4キー同時!$B$318="",4キー同時!$G$318="",4キー同時!$L$318=""),"",IF(4キー同時!AK324="","",SUBSTITUTE(SUBSTITUTE(4キー同時!AK324," ",""),"　","")))</f>
        <v/>
      </c>
      <c r="H4198" s="2" t="str">
        <f aca="false">IF($G4198="","",4キー同時!$B$318)</f>
        <v/>
      </c>
      <c r="I4198" s="2" t="str">
        <f aca="false">IF($G4198="","",4キー同時!$G$318)</f>
        <v/>
      </c>
      <c r="J4198" s="2" t="str">
        <f aca="false">IF($G4198="","",4キー同時!$L$318)</f>
        <v/>
      </c>
      <c r="K4198" s="2" t="str">
        <f aca="false">IF($G4198="","","k")</f>
        <v/>
      </c>
      <c r="L4198" s="2" t="str">
        <f aca="false">IF($G4198="","","同時")</f>
        <v/>
      </c>
      <c r="M4198" s="2" t="str">
        <f aca="false">IF($G4198="","",IF(ISNA(MATCH($G4198,個別指定!$A:$A,0)),"行なし",""))</f>
        <v/>
      </c>
      <c r="N4198" s="2" t="str">
        <f aca="false">IF($G4198="","",IF(COUNTIF($G$2:$G$4460,$G4198)&gt;1,"重複",""))</f>
        <v/>
      </c>
    </row>
    <row r="4199" customFormat="false" ht="16.5" hidden="false" customHeight="true" outlineLevel="0" collapsed="false">
      <c r="A4199" s="2" t="s">
        <v>447</v>
      </c>
      <c r="B4199" s="2" t="s">
        <v>472</v>
      </c>
      <c r="C4199" s="2" t="s">
        <v>32</v>
      </c>
      <c r="D4199" s="2" t="str">
        <f aca="false">IF(4キー同時!$B$318="","",4キー同時!$B$318)</f>
        <v/>
      </c>
      <c r="E4199" s="2" t="str">
        <f aca="false">IF(4キー同時!$G$318="","",4キー同時!$G$318)</f>
        <v/>
      </c>
      <c r="F4199" s="2" t="str">
        <f aca="false">IF(4キー同時!$L$318="","",4キー同時!$L$318)</f>
        <v/>
      </c>
      <c r="G4199" s="2" t="str">
        <f aca="false">IF(OR(4キー同時!$B$318="",4キー同時!$G$318="",4キー同時!$L$318=""),"",IF(4キー同時!AO324="","",SUBSTITUTE(SUBSTITUTE(4キー同時!AO324," ",""),"　","")))</f>
        <v/>
      </c>
      <c r="H4199" s="2" t="str">
        <f aca="false">IF($G4199="","",4キー同時!$B$318)</f>
        <v/>
      </c>
      <c r="I4199" s="2" t="str">
        <f aca="false">IF($G4199="","",4キー同時!$G$318)</f>
        <v/>
      </c>
      <c r="J4199" s="2" t="str">
        <f aca="false">IF($G4199="","",4キー同時!$L$318)</f>
        <v/>
      </c>
      <c r="K4199" s="2" t="str">
        <f aca="false">IF($G4199="","","l")</f>
        <v/>
      </c>
      <c r="L4199" s="2" t="str">
        <f aca="false">IF($G4199="","","同時")</f>
        <v/>
      </c>
      <c r="M4199" s="2" t="str">
        <f aca="false">IF($G4199="","",IF(ISNA(MATCH($G4199,個別指定!$A:$A,0)),"行なし",""))</f>
        <v/>
      </c>
      <c r="N4199" s="2" t="str">
        <f aca="false">IF($G4199="","",IF(COUNTIF($G$2:$G$4460,$G4199)&gt;1,"重複",""))</f>
        <v/>
      </c>
    </row>
    <row r="4200" customFormat="false" ht="16.5" hidden="false" customHeight="true" outlineLevel="0" collapsed="false">
      <c r="A4200" s="2" t="s">
        <v>447</v>
      </c>
      <c r="B4200" s="2" t="s">
        <v>472</v>
      </c>
      <c r="C4200" s="2" t="s">
        <v>33</v>
      </c>
      <c r="D4200" s="2" t="str">
        <f aca="false">IF(4キー同時!$B$318="","",4キー同時!$B$318)</f>
        <v/>
      </c>
      <c r="E4200" s="2" t="str">
        <f aca="false">IF(4キー同時!$G$318="","",4キー同時!$G$318)</f>
        <v/>
      </c>
      <c r="F4200" s="2" t="str">
        <f aca="false">IF(4キー同時!$L$318="","",4キー同時!$L$318)</f>
        <v/>
      </c>
      <c r="G4200" s="2" t="str">
        <f aca="false">IF(OR(4キー同時!$B$318="",4キー同時!$G$318="",4キー同時!$L$318=""),"",IF(4キー同時!AS324="","",SUBSTITUTE(SUBSTITUTE(4キー同時!AS324," ",""),"　","")))</f>
        <v/>
      </c>
      <c r="H4200" s="2" t="str">
        <f aca="false">IF($G4200="","",4キー同時!$B$318)</f>
        <v/>
      </c>
      <c r="I4200" s="2" t="str">
        <f aca="false">IF($G4200="","",4キー同時!$G$318)</f>
        <v/>
      </c>
      <c r="J4200" s="2" t="str">
        <f aca="false">IF($G4200="","",4キー同時!$L$318)</f>
        <v/>
      </c>
      <c r="K4200" s="2" t="str">
        <f aca="false">IF($G4200="","",";")</f>
        <v/>
      </c>
      <c r="L4200" s="2" t="str">
        <f aca="false">IF($G4200="","","同時")</f>
        <v/>
      </c>
      <c r="M4200" s="2" t="str">
        <f aca="false">IF($G4200="","",IF(ISNA(MATCH($G4200,個別指定!$A:$A,0)),"行なし",""))</f>
        <v/>
      </c>
      <c r="N4200" s="2" t="str">
        <f aca="false">IF($G4200="","",IF(COUNTIF($G$2:$G$4460,$G4200)&gt;1,"重複",""))</f>
        <v/>
      </c>
    </row>
    <row r="4201" customFormat="false" ht="16.5" hidden="false" customHeight="true" outlineLevel="0" collapsed="false">
      <c r="A4201" s="2" t="s">
        <v>447</v>
      </c>
      <c r="B4201" s="2" t="s">
        <v>472</v>
      </c>
      <c r="C4201" s="2" t="s">
        <v>34</v>
      </c>
      <c r="D4201" s="2" t="str">
        <f aca="false">IF(4キー同時!$B$318="","",4キー同時!$B$318)</f>
        <v/>
      </c>
      <c r="E4201" s="2" t="str">
        <f aca="false">IF(4キー同時!$G$318="","",4キー同時!$G$318)</f>
        <v/>
      </c>
      <c r="F4201" s="2" t="str">
        <f aca="false">IF(4キー同時!$L$318="","",4キー同時!$L$318)</f>
        <v/>
      </c>
      <c r="G4201" s="2" t="str">
        <f aca="false">IF(OR(4キー同時!$B$318="",4キー同時!$G$318="",4キー同時!$L$318=""),"",IF(4キー同時!AW324="","",SUBSTITUTE(SUBSTITUTE(4キー同時!AW324," ",""),"　","")))</f>
        <v/>
      </c>
      <c r="H4201" s="2" t="str">
        <f aca="false">IF($G4201="","",4キー同時!$B$318)</f>
        <v/>
      </c>
      <c r="I4201" s="2" t="str">
        <f aca="false">IF($G4201="","",4キー同時!$G$318)</f>
        <v/>
      </c>
      <c r="J4201" s="2" t="str">
        <f aca="false">IF($G4201="","",4キー同時!$L$318)</f>
        <v/>
      </c>
      <c r="K4201" s="2" t="str">
        <f aca="false">IF($G4201="","","'")</f>
        <v/>
      </c>
      <c r="L4201" s="2" t="str">
        <f aca="false">IF($G4201="","","同時")</f>
        <v/>
      </c>
      <c r="M4201" s="2" t="str">
        <f aca="false">IF($G4201="","",IF(ISNA(MATCH($G4201,個別指定!$A:$A,0)),"行なし",""))</f>
        <v/>
      </c>
      <c r="N4201" s="2" t="str">
        <f aca="false">IF($G4201="","",IF(COUNTIF($G$2:$G$4460,$G4201)&gt;1,"重複",""))</f>
        <v/>
      </c>
    </row>
    <row r="4202" customFormat="false" ht="16.5" hidden="false" customHeight="true" outlineLevel="0" collapsed="false">
      <c r="A4202" s="2" t="s">
        <v>447</v>
      </c>
      <c r="B4202" s="2" t="s">
        <v>472</v>
      </c>
      <c r="C4202" s="2" t="s">
        <v>35</v>
      </c>
      <c r="D4202" s="2" t="str">
        <f aca="false">IF(4キー同時!$B$318="","",4キー同時!$B$318)</f>
        <v/>
      </c>
      <c r="E4202" s="2" t="str">
        <f aca="false">IF(4キー同時!$G$318="","",4キー同時!$G$318)</f>
        <v/>
      </c>
      <c r="F4202" s="2" t="str">
        <f aca="false">IF(4キー同時!$L$318="","",4キー同時!$L$318)</f>
        <v/>
      </c>
      <c r="G4202" s="2" t="str">
        <f aca="false">IF(OR(4キー同時!$B$318="",4キー同時!$G$318="",4キー同時!$L$318=""),"",IF(4キー同時!K326="","",SUBSTITUTE(SUBSTITUTE(4キー同時!K326," ",""),"　","")))</f>
        <v/>
      </c>
      <c r="H4202" s="2" t="str">
        <f aca="false">IF($G4202="","",4キー同時!$B$318)</f>
        <v/>
      </c>
      <c r="I4202" s="2" t="str">
        <f aca="false">IF($G4202="","",4キー同時!$G$318)</f>
        <v/>
      </c>
      <c r="J4202" s="2" t="str">
        <f aca="false">IF($G4202="","",4キー同時!$L$318)</f>
        <v/>
      </c>
      <c r="K4202" s="2" t="str">
        <f aca="false">IF($G4202="","","z")</f>
        <v/>
      </c>
      <c r="L4202" s="2" t="str">
        <f aca="false">IF($G4202="","","同時")</f>
        <v/>
      </c>
      <c r="M4202" s="2" t="str">
        <f aca="false">IF($G4202="","",IF(ISNA(MATCH($G4202,個別指定!$A:$A,0)),"行なし",""))</f>
        <v/>
      </c>
      <c r="N4202" s="2" t="str">
        <f aca="false">IF($G4202="","",IF(COUNTIF($G$2:$G$4460,$G4202)&gt;1,"重複",""))</f>
        <v/>
      </c>
    </row>
    <row r="4203" customFormat="false" ht="16.5" hidden="false" customHeight="true" outlineLevel="0" collapsed="false">
      <c r="A4203" s="2" t="s">
        <v>447</v>
      </c>
      <c r="B4203" s="2" t="s">
        <v>472</v>
      </c>
      <c r="C4203" s="2" t="s">
        <v>36</v>
      </c>
      <c r="D4203" s="2" t="str">
        <f aca="false">IF(4キー同時!$B$318="","",4キー同時!$B$318)</f>
        <v/>
      </c>
      <c r="E4203" s="2" t="str">
        <f aca="false">IF(4キー同時!$G$318="","",4キー同時!$G$318)</f>
        <v/>
      </c>
      <c r="F4203" s="2" t="str">
        <f aca="false">IF(4キー同時!$L$318="","",4キー同時!$L$318)</f>
        <v/>
      </c>
      <c r="G4203" s="2" t="str">
        <f aca="false">IF(OR(4キー同時!$B$318="",4キー同時!$G$318="",4キー同時!$L$318=""),"",IF(4キー同時!O326="","",SUBSTITUTE(SUBSTITUTE(4キー同時!O326," ",""),"　","")))</f>
        <v/>
      </c>
      <c r="H4203" s="2" t="str">
        <f aca="false">IF($G4203="","",4キー同時!$B$318)</f>
        <v/>
      </c>
      <c r="I4203" s="2" t="str">
        <f aca="false">IF($G4203="","",4キー同時!$G$318)</f>
        <v/>
      </c>
      <c r="J4203" s="2" t="str">
        <f aca="false">IF($G4203="","",4キー同時!$L$318)</f>
        <v/>
      </c>
      <c r="K4203" s="2" t="str">
        <f aca="false">IF($G4203="","","x")</f>
        <v/>
      </c>
      <c r="L4203" s="2" t="str">
        <f aca="false">IF($G4203="","","同時")</f>
        <v/>
      </c>
      <c r="M4203" s="2" t="str">
        <f aca="false">IF($G4203="","",IF(ISNA(MATCH($G4203,個別指定!$A:$A,0)),"行なし",""))</f>
        <v/>
      </c>
      <c r="N4203" s="2" t="str">
        <f aca="false">IF($G4203="","",IF(COUNTIF($G$2:$G$4460,$G4203)&gt;1,"重複",""))</f>
        <v/>
      </c>
    </row>
    <row r="4204" customFormat="false" ht="16.5" hidden="false" customHeight="true" outlineLevel="0" collapsed="false">
      <c r="A4204" s="2" t="s">
        <v>447</v>
      </c>
      <c r="B4204" s="2" t="s">
        <v>472</v>
      </c>
      <c r="C4204" s="2" t="s">
        <v>37</v>
      </c>
      <c r="D4204" s="2" t="str">
        <f aca="false">IF(4キー同時!$B$318="","",4キー同時!$B$318)</f>
        <v/>
      </c>
      <c r="E4204" s="2" t="str">
        <f aca="false">IF(4キー同時!$G$318="","",4キー同時!$G$318)</f>
        <v/>
      </c>
      <c r="F4204" s="2" t="str">
        <f aca="false">IF(4キー同時!$L$318="","",4キー同時!$L$318)</f>
        <v/>
      </c>
      <c r="G4204" s="2" t="str">
        <f aca="false">IF(OR(4キー同時!$B$318="",4キー同時!$G$318="",4キー同時!$L$318=""),"",IF(4キー同時!S326="","",SUBSTITUTE(SUBSTITUTE(4キー同時!S326," ",""),"　","")))</f>
        <v/>
      </c>
      <c r="H4204" s="2" t="str">
        <f aca="false">IF($G4204="","",4キー同時!$B$318)</f>
        <v/>
      </c>
      <c r="I4204" s="2" t="str">
        <f aca="false">IF($G4204="","",4キー同時!$G$318)</f>
        <v/>
      </c>
      <c r="J4204" s="2" t="str">
        <f aca="false">IF($G4204="","",4キー同時!$L$318)</f>
        <v/>
      </c>
      <c r="K4204" s="2" t="str">
        <f aca="false">IF($G4204="","","c")</f>
        <v/>
      </c>
      <c r="L4204" s="2" t="str">
        <f aca="false">IF($G4204="","","同時")</f>
        <v/>
      </c>
      <c r="M4204" s="2" t="str">
        <f aca="false">IF($G4204="","",IF(ISNA(MATCH($G4204,個別指定!$A:$A,0)),"行なし",""))</f>
        <v/>
      </c>
      <c r="N4204" s="2" t="str">
        <f aca="false">IF($G4204="","",IF(COUNTIF($G$2:$G$4460,$G4204)&gt;1,"重複",""))</f>
        <v/>
      </c>
    </row>
    <row r="4205" customFormat="false" ht="16.5" hidden="false" customHeight="true" outlineLevel="0" collapsed="false">
      <c r="A4205" s="2" t="s">
        <v>447</v>
      </c>
      <c r="B4205" s="2" t="s">
        <v>472</v>
      </c>
      <c r="C4205" s="2" t="s">
        <v>38</v>
      </c>
      <c r="D4205" s="2" t="str">
        <f aca="false">IF(4キー同時!$B$318="","",4キー同時!$B$318)</f>
        <v/>
      </c>
      <c r="E4205" s="2" t="str">
        <f aca="false">IF(4キー同時!$G$318="","",4キー同時!$G$318)</f>
        <v/>
      </c>
      <c r="F4205" s="2" t="str">
        <f aca="false">IF(4キー同時!$L$318="","",4キー同時!$L$318)</f>
        <v/>
      </c>
      <c r="G4205" s="2" t="str">
        <f aca="false">IF(OR(4キー同時!$B$318="",4キー同時!$G$318="",4キー同時!$L$318=""),"",IF(4キー同時!W326="","",SUBSTITUTE(SUBSTITUTE(4キー同時!W326," ",""),"　","")))</f>
        <v/>
      </c>
      <c r="H4205" s="2" t="str">
        <f aca="false">IF($G4205="","",4キー同時!$B$318)</f>
        <v/>
      </c>
      <c r="I4205" s="2" t="str">
        <f aca="false">IF($G4205="","",4キー同時!$G$318)</f>
        <v/>
      </c>
      <c r="J4205" s="2" t="str">
        <f aca="false">IF($G4205="","",4キー同時!$L$318)</f>
        <v/>
      </c>
      <c r="K4205" s="2" t="str">
        <f aca="false">IF($G4205="","","v")</f>
        <v/>
      </c>
      <c r="L4205" s="2" t="str">
        <f aca="false">IF($G4205="","","同時")</f>
        <v/>
      </c>
      <c r="M4205" s="2" t="str">
        <f aca="false">IF($G4205="","",IF(ISNA(MATCH($G4205,個別指定!$A:$A,0)),"行なし",""))</f>
        <v/>
      </c>
      <c r="N4205" s="2" t="str">
        <f aca="false">IF($G4205="","",IF(COUNTIF($G$2:$G$4460,$G4205)&gt;1,"重複",""))</f>
        <v/>
      </c>
    </row>
    <row r="4206" customFormat="false" ht="16.5" hidden="false" customHeight="true" outlineLevel="0" collapsed="false">
      <c r="A4206" s="2" t="s">
        <v>447</v>
      </c>
      <c r="B4206" s="2" t="s">
        <v>472</v>
      </c>
      <c r="C4206" s="2" t="s">
        <v>39</v>
      </c>
      <c r="D4206" s="2" t="str">
        <f aca="false">IF(4キー同時!$B$318="","",4キー同時!$B$318)</f>
        <v/>
      </c>
      <c r="E4206" s="2" t="str">
        <f aca="false">IF(4キー同時!$G$318="","",4キー同時!$G$318)</f>
        <v/>
      </c>
      <c r="F4206" s="2" t="str">
        <f aca="false">IF(4キー同時!$L$318="","",4キー同時!$L$318)</f>
        <v/>
      </c>
      <c r="G4206" s="2" t="str">
        <f aca="false">IF(OR(4キー同時!$B$318="",4キー同時!$G$318="",4キー同時!$L$318=""),"",IF(4キー同時!AA326="","",SUBSTITUTE(SUBSTITUTE(4キー同時!AA326," ",""),"　","")))</f>
        <v/>
      </c>
      <c r="H4206" s="2" t="str">
        <f aca="false">IF($G4206="","",4キー同時!$B$318)</f>
        <v/>
      </c>
      <c r="I4206" s="2" t="str">
        <f aca="false">IF($G4206="","",4キー同時!$G$318)</f>
        <v/>
      </c>
      <c r="J4206" s="2" t="str">
        <f aca="false">IF($G4206="","",4キー同時!$L$318)</f>
        <v/>
      </c>
      <c r="K4206" s="2" t="str">
        <f aca="false">IF($G4206="","","b")</f>
        <v/>
      </c>
      <c r="L4206" s="2" t="str">
        <f aca="false">IF($G4206="","","同時")</f>
        <v/>
      </c>
      <c r="M4206" s="2" t="str">
        <f aca="false">IF($G4206="","",IF(ISNA(MATCH($G4206,個別指定!$A:$A,0)),"行なし",""))</f>
        <v/>
      </c>
      <c r="N4206" s="2" t="str">
        <f aca="false">IF($G4206="","",IF(COUNTIF($G$2:$G$4460,$G4206)&gt;1,"重複",""))</f>
        <v/>
      </c>
    </row>
    <row r="4207" customFormat="false" ht="16.5" hidden="false" customHeight="true" outlineLevel="0" collapsed="false">
      <c r="A4207" s="2" t="s">
        <v>447</v>
      </c>
      <c r="B4207" s="2" t="s">
        <v>472</v>
      </c>
      <c r="C4207" s="2" t="s">
        <v>40</v>
      </c>
      <c r="D4207" s="2" t="str">
        <f aca="false">IF(4キー同時!$B$318="","",4キー同時!$B$318)</f>
        <v/>
      </c>
      <c r="E4207" s="2" t="str">
        <f aca="false">IF(4キー同時!$G$318="","",4キー同時!$G$318)</f>
        <v/>
      </c>
      <c r="F4207" s="2" t="str">
        <f aca="false">IF(4キー同時!$L$318="","",4キー同時!$L$318)</f>
        <v/>
      </c>
      <c r="G4207" s="2" t="str">
        <f aca="false">IF(OR(4キー同時!$B$318="",4キー同時!$G$318="",4キー同時!$L$318=""),"",IF(4キー同時!AE326="","",SUBSTITUTE(SUBSTITUTE(4キー同時!AE326," ",""),"　","")))</f>
        <v/>
      </c>
      <c r="H4207" s="2" t="str">
        <f aca="false">IF($G4207="","",4キー同時!$B$318)</f>
        <v/>
      </c>
      <c r="I4207" s="2" t="str">
        <f aca="false">IF($G4207="","",4キー同時!$G$318)</f>
        <v/>
      </c>
      <c r="J4207" s="2" t="str">
        <f aca="false">IF($G4207="","",4キー同時!$L$318)</f>
        <v/>
      </c>
      <c r="K4207" s="2" t="str">
        <f aca="false">IF($G4207="","","n")</f>
        <v/>
      </c>
      <c r="L4207" s="2" t="str">
        <f aca="false">IF($G4207="","","同時")</f>
        <v/>
      </c>
      <c r="M4207" s="2" t="str">
        <f aca="false">IF($G4207="","",IF(ISNA(MATCH($G4207,個別指定!$A:$A,0)),"行なし",""))</f>
        <v/>
      </c>
      <c r="N4207" s="2" t="str">
        <f aca="false">IF($G4207="","",IF(COUNTIF($G$2:$G$4460,$G4207)&gt;1,"重複",""))</f>
        <v/>
      </c>
    </row>
    <row r="4208" customFormat="false" ht="16.5" hidden="false" customHeight="true" outlineLevel="0" collapsed="false">
      <c r="A4208" s="2" t="s">
        <v>447</v>
      </c>
      <c r="B4208" s="2" t="s">
        <v>472</v>
      </c>
      <c r="C4208" s="2" t="s">
        <v>41</v>
      </c>
      <c r="D4208" s="2" t="str">
        <f aca="false">IF(4キー同時!$B$318="","",4キー同時!$B$318)</f>
        <v/>
      </c>
      <c r="E4208" s="2" t="str">
        <f aca="false">IF(4キー同時!$G$318="","",4キー同時!$G$318)</f>
        <v/>
      </c>
      <c r="F4208" s="2" t="str">
        <f aca="false">IF(4キー同時!$L$318="","",4キー同時!$L$318)</f>
        <v/>
      </c>
      <c r="G4208" s="2" t="str">
        <f aca="false">IF(OR(4キー同時!$B$318="",4キー同時!$G$318="",4キー同時!$L$318=""),"",IF(4キー同時!AI326="","",SUBSTITUTE(SUBSTITUTE(4キー同時!AI326," ",""),"　","")))</f>
        <v/>
      </c>
      <c r="H4208" s="2" t="str">
        <f aca="false">IF($G4208="","",4キー同時!$B$318)</f>
        <v/>
      </c>
      <c r="I4208" s="2" t="str">
        <f aca="false">IF($G4208="","",4キー同時!$G$318)</f>
        <v/>
      </c>
      <c r="J4208" s="2" t="str">
        <f aca="false">IF($G4208="","",4キー同時!$L$318)</f>
        <v/>
      </c>
      <c r="K4208" s="2" t="str">
        <f aca="false">IF($G4208="","","m")</f>
        <v/>
      </c>
      <c r="L4208" s="2" t="str">
        <f aca="false">IF($G4208="","","同時")</f>
        <v/>
      </c>
      <c r="M4208" s="2" t="str">
        <f aca="false">IF($G4208="","",IF(ISNA(MATCH($G4208,個別指定!$A:$A,0)),"行なし",""))</f>
        <v/>
      </c>
      <c r="N4208" s="2" t="str">
        <f aca="false">IF($G4208="","",IF(COUNTIF($G$2:$G$4460,$G4208)&gt;1,"重複",""))</f>
        <v/>
      </c>
    </row>
    <row r="4209" customFormat="false" ht="16.5" hidden="false" customHeight="true" outlineLevel="0" collapsed="false">
      <c r="A4209" s="2" t="s">
        <v>447</v>
      </c>
      <c r="B4209" s="2" t="s">
        <v>472</v>
      </c>
      <c r="C4209" s="2" t="s">
        <v>42</v>
      </c>
      <c r="D4209" s="2" t="str">
        <f aca="false">IF(4キー同時!$B$318="","",4キー同時!$B$318)</f>
        <v/>
      </c>
      <c r="E4209" s="2" t="str">
        <f aca="false">IF(4キー同時!$G$318="","",4キー同時!$G$318)</f>
        <v/>
      </c>
      <c r="F4209" s="2" t="str">
        <f aca="false">IF(4キー同時!$L$318="","",4キー同時!$L$318)</f>
        <v/>
      </c>
      <c r="G4209" s="2" t="str">
        <f aca="false">IF(OR(4キー同時!$B$318="",4キー同時!$G$318="",4キー同時!$L$318=""),"",IF(4キー同時!AM326="","",SUBSTITUTE(SUBSTITUTE(4キー同時!AM326," ",""),"　","")))</f>
        <v/>
      </c>
      <c r="H4209" s="2" t="str">
        <f aca="false">IF($G4209="","",4キー同時!$B$318)</f>
        <v/>
      </c>
      <c r="I4209" s="2" t="str">
        <f aca="false">IF($G4209="","",4キー同時!$G$318)</f>
        <v/>
      </c>
      <c r="J4209" s="2" t="str">
        <f aca="false">IF($G4209="","",4キー同時!$L$318)</f>
        <v/>
      </c>
      <c r="K4209" s="2" t="str">
        <f aca="false">IF($G4209="","",",")</f>
        <v/>
      </c>
      <c r="L4209" s="2" t="str">
        <f aca="false">IF($G4209="","","同時")</f>
        <v/>
      </c>
      <c r="M4209" s="2" t="str">
        <f aca="false">IF($G4209="","",IF(ISNA(MATCH($G4209,個別指定!$A:$A,0)),"行なし",""))</f>
        <v/>
      </c>
      <c r="N4209" s="2" t="str">
        <f aca="false">IF($G4209="","",IF(COUNTIF($G$2:$G$4460,$G4209)&gt;1,"重複",""))</f>
        <v/>
      </c>
    </row>
    <row r="4210" customFormat="false" ht="16.5" hidden="false" customHeight="true" outlineLevel="0" collapsed="false">
      <c r="A4210" s="2" t="s">
        <v>447</v>
      </c>
      <c r="B4210" s="2" t="s">
        <v>472</v>
      </c>
      <c r="C4210" s="2" t="s">
        <v>43</v>
      </c>
      <c r="D4210" s="2" t="str">
        <f aca="false">IF(4キー同時!$B$318="","",4キー同時!$B$318)</f>
        <v/>
      </c>
      <c r="E4210" s="2" t="str">
        <f aca="false">IF(4キー同時!$G$318="","",4キー同時!$G$318)</f>
        <v/>
      </c>
      <c r="F4210" s="2" t="str">
        <f aca="false">IF(4キー同時!$L$318="","",4キー同時!$L$318)</f>
        <v/>
      </c>
      <c r="G4210" s="2" t="str">
        <f aca="false">IF(OR(4キー同時!$B$318="",4キー同時!$G$318="",4キー同時!$L$318=""),"",IF(4キー同時!AQ326="","",SUBSTITUTE(SUBSTITUTE(4キー同時!AQ326," ",""),"　","")))</f>
        <v/>
      </c>
      <c r="H4210" s="2" t="str">
        <f aca="false">IF($G4210="","",4キー同時!$B$318)</f>
        <v/>
      </c>
      <c r="I4210" s="2" t="str">
        <f aca="false">IF($G4210="","",4キー同時!$G$318)</f>
        <v/>
      </c>
      <c r="J4210" s="2" t="str">
        <f aca="false">IF($G4210="","",4キー同時!$L$318)</f>
        <v/>
      </c>
      <c r="K4210" s="2" t="str">
        <f aca="false">IF($G4210="","",".")</f>
        <v/>
      </c>
      <c r="L4210" s="2" t="str">
        <f aca="false">IF($G4210="","","同時")</f>
        <v/>
      </c>
      <c r="M4210" s="2" t="str">
        <f aca="false">IF($G4210="","",IF(ISNA(MATCH($G4210,個別指定!$A:$A,0)),"行なし",""))</f>
        <v/>
      </c>
      <c r="N4210" s="2" t="str">
        <f aca="false">IF($G4210="","",IF(COUNTIF($G$2:$G$4460,$G4210)&gt;1,"重複",""))</f>
        <v/>
      </c>
    </row>
    <row r="4211" customFormat="false" ht="16.5" hidden="false" customHeight="true" outlineLevel="0" collapsed="false">
      <c r="A4211" s="2" t="s">
        <v>447</v>
      </c>
      <c r="B4211" s="2" t="s">
        <v>472</v>
      </c>
      <c r="C4211" s="2" t="s">
        <v>44</v>
      </c>
      <c r="D4211" s="2" t="str">
        <f aca="false">IF(4キー同時!$B$318="","",4キー同時!$B$318)</f>
        <v/>
      </c>
      <c r="E4211" s="2" t="str">
        <f aca="false">IF(4キー同時!$G$318="","",4キー同時!$G$318)</f>
        <v/>
      </c>
      <c r="F4211" s="2" t="str">
        <f aca="false">IF(4キー同時!$L$318="","",4キー同時!$L$318)</f>
        <v/>
      </c>
      <c r="G4211" s="2" t="str">
        <f aca="false">IF(OR(4キー同時!$B$318="",4キー同時!$G$318="",4キー同時!$L$318=""),"",IF(4キー同時!AU326="","",SUBSTITUTE(SUBSTITUTE(4キー同時!AU326," ",""),"　","")))</f>
        <v/>
      </c>
      <c r="H4211" s="2" t="str">
        <f aca="false">IF($G4211="","",4キー同時!$B$318)</f>
        <v/>
      </c>
      <c r="I4211" s="2" t="str">
        <f aca="false">IF($G4211="","",4キー同時!$G$318)</f>
        <v/>
      </c>
      <c r="J4211" s="2" t="str">
        <f aca="false">IF($G4211="","",4キー同時!$L$318)</f>
        <v/>
      </c>
      <c r="K4211" s="2" t="str">
        <f aca="false">IF($G4211="","","/")</f>
        <v/>
      </c>
      <c r="L4211" s="2" t="str">
        <f aca="false">IF($G4211="","","同時")</f>
        <v/>
      </c>
      <c r="M4211" s="2" t="str">
        <f aca="false">IF($G4211="","",IF(ISNA(MATCH($G4211,個別指定!$A:$A,0)),"行なし",""))</f>
        <v/>
      </c>
      <c r="N4211" s="2" t="str">
        <f aca="false">IF($G4211="","",IF(COUNTIF($G$2:$G$4460,$G4211)&gt;1,"重複",""))</f>
        <v/>
      </c>
    </row>
    <row r="4212" customFormat="false" ht="16.5" hidden="false" customHeight="true" outlineLevel="0" collapsed="false">
      <c r="A4212" s="2" t="s">
        <v>447</v>
      </c>
      <c r="B4212" s="2" t="s">
        <v>472</v>
      </c>
      <c r="C4212" s="2" t="s">
        <v>48</v>
      </c>
      <c r="D4212" s="2" t="str">
        <f aca="false">IF(4キー同時!$B$318="","",4キー同時!$B$318)</f>
        <v/>
      </c>
      <c r="E4212" s="2" t="str">
        <f aca="false">IF(4キー同時!$G$318="","",4キー同時!$G$318)</f>
        <v/>
      </c>
      <c r="F4212" s="2" t="str">
        <f aca="false">IF(4キー同時!$L$318="","",4キー同時!$L$318)</f>
        <v/>
      </c>
      <c r="G4212" s="2" t="str">
        <f aca="false">IF(OR(4キー同時!$B$318="",4キー同時!$G$318="",4キー同時!$L$318=""),"",IF(4キー同時!P328="","",SUBSTITUTE(SUBSTITUTE(4キー同時!P328," ",""),"　","")))</f>
        <v/>
      </c>
      <c r="H4212" s="2" t="str">
        <f aca="false">IF($G4212="","",4キー同時!$B$318)</f>
        <v/>
      </c>
      <c r="I4212" s="2" t="str">
        <f aca="false">IF($G4212="","",4キー同時!$G$318)</f>
        <v/>
      </c>
      <c r="J4212" s="2" t="str">
        <f aca="false">IF($G4212="","",4キー同時!$L$318)</f>
        <v/>
      </c>
      <c r="K4212" s="2" t="str">
        <f aca="false">IF($G4212="","","muhenkan")</f>
        <v/>
      </c>
      <c r="L4212" s="2" t="str">
        <f aca="false">IF($G4212="","","同時")</f>
        <v/>
      </c>
      <c r="M4212" s="2" t="str">
        <f aca="false">IF($G4212="","",IF(ISNA(MATCH($G4212,個別指定!$A:$A,0)),"行なし",""))</f>
        <v/>
      </c>
      <c r="N4212" s="2" t="str">
        <f aca="false">IF($G4212="","",IF(COUNTIF($G$2:$G$4460,$G4212)&gt;1,"重複",""))</f>
        <v/>
      </c>
    </row>
    <row r="4213" customFormat="false" ht="16.5" hidden="false" customHeight="true" outlineLevel="0" collapsed="false">
      <c r="A4213" s="2" t="s">
        <v>447</v>
      </c>
      <c r="B4213" s="2" t="s">
        <v>472</v>
      </c>
      <c r="C4213" s="2" t="s">
        <v>50</v>
      </c>
      <c r="D4213" s="2" t="str">
        <f aca="false">IF(4キー同時!$B$318="","",4キー同時!$B$318)</f>
        <v/>
      </c>
      <c r="E4213" s="2" t="str">
        <f aca="false">IF(4キー同時!$G$318="","",4キー同時!$G$318)</f>
        <v/>
      </c>
      <c r="F4213" s="2" t="str">
        <f aca="false">IF(4キー同時!$L$318="","",4キー同時!$L$318)</f>
        <v/>
      </c>
      <c r="G4213" s="2" t="str">
        <f aca="false">IF(OR(4キー同時!$B$318="",4キー同時!$G$318="",4キー同時!$L$318=""),"",IF(4キー同時!T328="","",SUBSTITUTE(SUBSTITUTE(4キー同時!T328," ",""),"　","")))</f>
        <v/>
      </c>
      <c r="H4213" s="2" t="str">
        <f aca="false">IF($G4213="","",4キー同時!$B$318)</f>
        <v/>
      </c>
      <c r="I4213" s="2" t="str">
        <f aca="false">IF($G4213="","",4キー同時!$G$318)</f>
        <v/>
      </c>
      <c r="J4213" s="2" t="str">
        <f aca="false">IF($G4213="","",4キー同時!$L$318)</f>
        <v/>
      </c>
      <c r="K4213" s="2" t="str">
        <f aca="false">IF($G4213="","","space")</f>
        <v/>
      </c>
      <c r="L4213" s="2" t="str">
        <f aca="false">IF($G4213="","","同時")</f>
        <v/>
      </c>
      <c r="M4213" s="2" t="str">
        <f aca="false">IF($G4213="","",IF(ISNA(MATCH($G4213,個別指定!$A:$A,0)),"行なし",""))</f>
        <v/>
      </c>
      <c r="N4213" s="2" t="str">
        <f aca="false">IF($G4213="","",IF(COUNTIF($G$2:$G$4460,$G4213)&gt;1,"重複",""))</f>
        <v/>
      </c>
    </row>
    <row r="4214" customFormat="false" ht="16.5" hidden="false" customHeight="true" outlineLevel="0" collapsed="false">
      <c r="A4214" s="2" t="s">
        <v>447</v>
      </c>
      <c r="B4214" s="2" t="s">
        <v>472</v>
      </c>
      <c r="C4214" s="2" t="s">
        <v>45</v>
      </c>
      <c r="D4214" s="2" t="str">
        <f aca="false">IF(4キー同時!$B$318="","",4キー同時!$B$318)</f>
        <v/>
      </c>
      <c r="E4214" s="2" t="str">
        <f aca="false">IF(4キー同時!$G$318="","",4キー同時!$G$318)</f>
        <v/>
      </c>
      <c r="F4214" s="2" t="str">
        <f aca="false">IF(4キー同時!$L$318="","",4キー同時!$L$318)</f>
        <v/>
      </c>
      <c r="G4214" s="2" t="str">
        <f aca="false">IF(OR(4キー同時!$B$318="",4キー同時!$G$318="",4キー同時!$L$318=""),"",IF(4キー同時!AL328="","",SUBSTITUTE(SUBSTITUTE(4キー同時!AL328," ",""),"　","")))</f>
        <v/>
      </c>
      <c r="H4214" s="2" t="str">
        <f aca="false">IF($G4214="","",4キー同時!$B$318)</f>
        <v/>
      </c>
      <c r="I4214" s="2" t="str">
        <f aca="false">IF($G4214="","",4キー同時!$G$318)</f>
        <v/>
      </c>
      <c r="J4214" s="2" t="str">
        <f aca="false">IF($G4214="","",4キー同時!$L$318)</f>
        <v/>
      </c>
      <c r="K4214" s="2" t="str">
        <f aca="false">IF($G4214="","","henkan")</f>
        <v/>
      </c>
      <c r="L4214" s="2" t="str">
        <f aca="false">IF($G4214="","","同時")</f>
        <v/>
      </c>
      <c r="M4214" s="2" t="str">
        <f aca="false">IF($G4214="","",IF(ISNA(MATCH($G4214,個別指定!$A:$A,0)),"行なし",""))</f>
        <v/>
      </c>
      <c r="N4214" s="2" t="str">
        <f aca="false">IF($G4214="","",IF(COUNTIF($G$2:$G$4460,$G4214)&gt;1,"重複",""))</f>
        <v/>
      </c>
    </row>
    <row r="4215" customFormat="false" ht="16.5" hidden="false" customHeight="true" outlineLevel="0" collapsed="false">
      <c r="A4215" s="2" t="s">
        <v>447</v>
      </c>
      <c r="B4215" s="2" t="s">
        <v>472</v>
      </c>
      <c r="C4215" s="2" t="s">
        <v>46</v>
      </c>
      <c r="D4215" s="2" t="str">
        <f aca="false">IF(4キー同時!$B$318="","",4キー同時!$B$318)</f>
        <v/>
      </c>
      <c r="E4215" s="2" t="str">
        <f aca="false">IF(4キー同時!$G$318="","",4キー同時!$G$318)</f>
        <v/>
      </c>
      <c r="F4215" s="2" t="str">
        <f aca="false">IF(4キー同時!$L$318="","",4キー同時!$L$318)</f>
        <v/>
      </c>
      <c r="G4215" s="2" t="str">
        <f aca="false">IF(OR(4キー同時!$B$318="",4キー同時!$G$318="",4キー同時!$L$318=""),"",IF(4キー同時!AP328="","",SUBSTITUTE(SUBSTITUTE(4キー同時!AP328," ",""),"　","")))</f>
        <v/>
      </c>
      <c r="H4215" s="2" t="str">
        <f aca="false">IF($G4215="","",4キー同時!$B$318)</f>
        <v/>
      </c>
      <c r="I4215" s="2" t="str">
        <f aca="false">IF($G4215="","",4キー同時!$G$318)</f>
        <v/>
      </c>
      <c r="J4215" s="2" t="str">
        <f aca="false">IF($G4215="","",4キー同時!$L$318)</f>
        <v/>
      </c>
      <c r="K4215" s="2" t="str">
        <f aca="false">IF($G4215="","","kana")</f>
        <v/>
      </c>
      <c r="L4215" s="2" t="str">
        <f aca="false">IF($G4215="","","同時")</f>
        <v/>
      </c>
      <c r="M4215" s="2" t="str">
        <f aca="false">IF($G4215="","",IF(ISNA(MATCH($G4215,個別指定!$A:$A,0)),"行なし",""))</f>
        <v/>
      </c>
      <c r="N4215" s="2" t="str">
        <f aca="false">IF($G4215="","",IF(COUNTIF($G$2:$G$4460,$G4215)&gt;1,"重複",""))</f>
        <v/>
      </c>
    </row>
    <row r="4216" customFormat="false" ht="16.5" hidden="false" customHeight="true" outlineLevel="0" collapsed="false">
      <c r="A4216" s="2" t="s">
        <v>447</v>
      </c>
      <c r="B4216" s="2" t="s">
        <v>473</v>
      </c>
      <c r="C4216" s="2" t="s">
        <v>0</v>
      </c>
      <c r="D4216" s="2" t="str">
        <f aca="false">IF(4キー同時!$B$331="","",4キー同時!$B$331)</f>
        <v/>
      </c>
      <c r="E4216" s="2" t="str">
        <f aca="false">IF(4キー同時!$G$331="","",4キー同時!$G$331)</f>
        <v/>
      </c>
      <c r="F4216" s="2" t="str">
        <f aca="false">IF(4キー同時!$L$331="","",4キー同時!$L$331)</f>
        <v/>
      </c>
      <c r="G4216" s="2" t="str">
        <f aca="false">IF(OR(4キー同時!$B$331="",4キー同時!$G$331="",4キー同時!$L$331=""),"",IF(4キー同時!F333="","",SUBSTITUTE(SUBSTITUTE(4キー同時!F333," ",""),"　","")))</f>
        <v/>
      </c>
      <c r="H4216" s="2" t="str">
        <f aca="false">IF($G4216="","",4キー同時!$B$331)</f>
        <v/>
      </c>
      <c r="I4216" s="2" t="str">
        <f aca="false">IF($G4216="","",4キー同時!$G$331)</f>
        <v/>
      </c>
      <c r="J4216" s="2" t="str">
        <f aca="false">IF($G4216="","",4キー同時!$L$331)</f>
        <v/>
      </c>
      <c r="K4216" s="2" t="str">
        <f aca="false">IF($G4216="","","1")</f>
        <v/>
      </c>
      <c r="L4216" s="2" t="str">
        <f aca="false">IF($G4216="","","同時")</f>
        <v/>
      </c>
      <c r="M4216" s="2" t="str">
        <f aca="false">IF($G4216="","",IF(ISNA(MATCH($G4216,個別指定!$A:$A,0)),"行なし",""))</f>
        <v/>
      </c>
      <c r="N4216" s="2" t="str">
        <f aca="false">IF($G4216="","",IF(COUNTIF($G$2:$G$4460,$G4216)&gt;1,"重複",""))</f>
        <v/>
      </c>
    </row>
    <row r="4217" customFormat="false" ht="16.5" hidden="false" customHeight="true" outlineLevel="0" collapsed="false">
      <c r="A4217" s="2" t="s">
        <v>447</v>
      </c>
      <c r="B4217" s="2" t="s">
        <v>473</v>
      </c>
      <c r="C4217" s="2" t="s">
        <v>1</v>
      </c>
      <c r="D4217" s="2" t="str">
        <f aca="false">IF(4キー同時!$B$331="","",4キー同時!$B$331)</f>
        <v/>
      </c>
      <c r="E4217" s="2" t="str">
        <f aca="false">IF(4キー同時!$G$331="","",4キー同時!$G$331)</f>
        <v/>
      </c>
      <c r="F4217" s="2" t="str">
        <f aca="false">IF(4キー同時!$L$331="","",4キー同時!$L$331)</f>
        <v/>
      </c>
      <c r="G4217" s="2" t="str">
        <f aca="false">IF(OR(4キー同時!$B$331="",4キー同時!$G$331="",4キー同時!$L$331=""),"",IF(4キー同時!J333="","",SUBSTITUTE(SUBSTITUTE(4キー同時!J333," ",""),"　","")))</f>
        <v/>
      </c>
      <c r="H4217" s="2" t="str">
        <f aca="false">IF($G4217="","",4キー同時!$B$331)</f>
        <v/>
      </c>
      <c r="I4217" s="2" t="str">
        <f aca="false">IF($G4217="","",4キー同時!$G$331)</f>
        <v/>
      </c>
      <c r="J4217" s="2" t="str">
        <f aca="false">IF($G4217="","",4キー同時!$L$331)</f>
        <v/>
      </c>
      <c r="K4217" s="2" t="str">
        <f aca="false">IF($G4217="","","2")</f>
        <v/>
      </c>
      <c r="L4217" s="2" t="str">
        <f aca="false">IF($G4217="","","同時")</f>
        <v/>
      </c>
      <c r="M4217" s="2" t="str">
        <f aca="false">IF($G4217="","",IF(ISNA(MATCH($G4217,個別指定!$A:$A,0)),"行なし",""))</f>
        <v/>
      </c>
      <c r="N4217" s="2" t="str">
        <f aca="false">IF($G4217="","",IF(COUNTIF($G$2:$G$4460,$G4217)&gt;1,"重複",""))</f>
        <v/>
      </c>
    </row>
    <row r="4218" customFormat="false" ht="16.5" hidden="false" customHeight="true" outlineLevel="0" collapsed="false">
      <c r="A4218" s="2" t="s">
        <v>447</v>
      </c>
      <c r="B4218" s="2" t="s">
        <v>473</v>
      </c>
      <c r="C4218" s="2" t="s">
        <v>2</v>
      </c>
      <c r="D4218" s="2" t="str">
        <f aca="false">IF(4キー同時!$B$331="","",4キー同時!$B$331)</f>
        <v/>
      </c>
      <c r="E4218" s="2" t="str">
        <f aca="false">IF(4キー同時!$G$331="","",4キー同時!$G$331)</f>
        <v/>
      </c>
      <c r="F4218" s="2" t="str">
        <f aca="false">IF(4キー同時!$L$331="","",4キー同時!$L$331)</f>
        <v/>
      </c>
      <c r="G4218" s="2" t="str">
        <f aca="false">IF(OR(4キー同時!$B$331="",4キー同時!$G$331="",4キー同時!$L$331=""),"",IF(4キー同時!N333="","",SUBSTITUTE(SUBSTITUTE(4キー同時!N333," ",""),"　","")))</f>
        <v/>
      </c>
      <c r="H4218" s="2" t="str">
        <f aca="false">IF($G4218="","",4キー同時!$B$331)</f>
        <v/>
      </c>
      <c r="I4218" s="2" t="str">
        <f aca="false">IF($G4218="","",4キー同時!$G$331)</f>
        <v/>
      </c>
      <c r="J4218" s="2" t="str">
        <f aca="false">IF($G4218="","",4キー同時!$L$331)</f>
        <v/>
      </c>
      <c r="K4218" s="2" t="str">
        <f aca="false">IF($G4218="","","3")</f>
        <v/>
      </c>
      <c r="L4218" s="2" t="str">
        <f aca="false">IF($G4218="","","同時")</f>
        <v/>
      </c>
      <c r="M4218" s="2" t="str">
        <f aca="false">IF($G4218="","",IF(ISNA(MATCH($G4218,個別指定!$A:$A,0)),"行なし",""))</f>
        <v/>
      </c>
      <c r="N4218" s="2" t="str">
        <f aca="false">IF($G4218="","",IF(COUNTIF($G$2:$G$4460,$G4218)&gt;1,"重複",""))</f>
        <v/>
      </c>
    </row>
    <row r="4219" customFormat="false" ht="16.5" hidden="false" customHeight="true" outlineLevel="0" collapsed="false">
      <c r="A4219" s="2" t="s">
        <v>447</v>
      </c>
      <c r="B4219" s="2" t="s">
        <v>473</v>
      </c>
      <c r="C4219" s="2" t="s">
        <v>3</v>
      </c>
      <c r="D4219" s="2" t="str">
        <f aca="false">IF(4キー同時!$B$331="","",4キー同時!$B$331)</f>
        <v/>
      </c>
      <c r="E4219" s="2" t="str">
        <f aca="false">IF(4キー同時!$G$331="","",4キー同時!$G$331)</f>
        <v/>
      </c>
      <c r="F4219" s="2" t="str">
        <f aca="false">IF(4キー同時!$L$331="","",4キー同時!$L$331)</f>
        <v/>
      </c>
      <c r="G4219" s="2" t="str">
        <f aca="false">IF(OR(4キー同時!$B$331="",4キー同時!$G$331="",4キー同時!$L$331=""),"",IF(4キー同時!R333="","",SUBSTITUTE(SUBSTITUTE(4キー同時!R333," ",""),"　","")))</f>
        <v/>
      </c>
      <c r="H4219" s="2" t="str">
        <f aca="false">IF($G4219="","",4キー同時!$B$331)</f>
        <v/>
      </c>
      <c r="I4219" s="2" t="str">
        <f aca="false">IF($G4219="","",4キー同時!$G$331)</f>
        <v/>
      </c>
      <c r="J4219" s="2" t="str">
        <f aca="false">IF($G4219="","",4キー同時!$L$331)</f>
        <v/>
      </c>
      <c r="K4219" s="2" t="str">
        <f aca="false">IF($G4219="","","4")</f>
        <v/>
      </c>
      <c r="L4219" s="2" t="str">
        <f aca="false">IF($G4219="","","同時")</f>
        <v/>
      </c>
      <c r="M4219" s="2" t="str">
        <f aca="false">IF($G4219="","",IF(ISNA(MATCH($G4219,個別指定!$A:$A,0)),"行なし",""))</f>
        <v/>
      </c>
      <c r="N4219" s="2" t="str">
        <f aca="false">IF($G4219="","",IF(COUNTIF($G$2:$G$4460,$G4219)&gt;1,"重複",""))</f>
        <v/>
      </c>
    </row>
    <row r="4220" customFormat="false" ht="16.5" hidden="false" customHeight="true" outlineLevel="0" collapsed="false">
      <c r="A4220" s="2" t="s">
        <v>447</v>
      </c>
      <c r="B4220" s="2" t="s">
        <v>473</v>
      </c>
      <c r="C4220" s="2" t="s">
        <v>4</v>
      </c>
      <c r="D4220" s="2" t="str">
        <f aca="false">IF(4キー同時!$B$331="","",4キー同時!$B$331)</f>
        <v/>
      </c>
      <c r="E4220" s="2" t="str">
        <f aca="false">IF(4キー同時!$G$331="","",4キー同時!$G$331)</f>
        <v/>
      </c>
      <c r="F4220" s="2" t="str">
        <f aca="false">IF(4キー同時!$L$331="","",4キー同時!$L$331)</f>
        <v/>
      </c>
      <c r="G4220" s="2" t="str">
        <f aca="false">IF(OR(4キー同時!$B$331="",4キー同時!$G$331="",4キー同時!$L$331=""),"",IF(4キー同時!V333="","",SUBSTITUTE(SUBSTITUTE(4キー同時!V333," ",""),"　","")))</f>
        <v/>
      </c>
      <c r="H4220" s="2" t="str">
        <f aca="false">IF($G4220="","",4キー同時!$B$331)</f>
        <v/>
      </c>
      <c r="I4220" s="2" t="str">
        <f aca="false">IF($G4220="","",4キー同時!$G$331)</f>
        <v/>
      </c>
      <c r="J4220" s="2" t="str">
        <f aca="false">IF($G4220="","",4キー同時!$L$331)</f>
        <v/>
      </c>
      <c r="K4220" s="2" t="str">
        <f aca="false">IF($G4220="","","5")</f>
        <v/>
      </c>
      <c r="L4220" s="2" t="str">
        <f aca="false">IF($G4220="","","同時")</f>
        <v/>
      </c>
      <c r="M4220" s="2" t="str">
        <f aca="false">IF($G4220="","",IF(ISNA(MATCH($G4220,個別指定!$A:$A,0)),"行なし",""))</f>
        <v/>
      </c>
      <c r="N4220" s="2" t="str">
        <f aca="false">IF($G4220="","",IF(COUNTIF($G$2:$G$4460,$G4220)&gt;1,"重複",""))</f>
        <v/>
      </c>
    </row>
    <row r="4221" customFormat="false" ht="16.5" hidden="false" customHeight="true" outlineLevel="0" collapsed="false">
      <c r="A4221" s="2" t="s">
        <v>447</v>
      </c>
      <c r="B4221" s="2" t="s">
        <v>473</v>
      </c>
      <c r="C4221" s="2" t="s">
        <v>5</v>
      </c>
      <c r="D4221" s="2" t="str">
        <f aca="false">IF(4キー同時!$B$331="","",4キー同時!$B$331)</f>
        <v/>
      </c>
      <c r="E4221" s="2" t="str">
        <f aca="false">IF(4キー同時!$G$331="","",4キー同時!$G$331)</f>
        <v/>
      </c>
      <c r="F4221" s="2" t="str">
        <f aca="false">IF(4キー同時!$L$331="","",4キー同時!$L$331)</f>
        <v/>
      </c>
      <c r="G4221" s="2" t="str">
        <f aca="false">IF(OR(4キー同時!$B$331="",4キー同時!$G$331="",4キー同時!$L$331=""),"",IF(4キー同時!Z333="","",SUBSTITUTE(SUBSTITUTE(4キー同時!Z333," ",""),"　","")))</f>
        <v/>
      </c>
      <c r="H4221" s="2" t="str">
        <f aca="false">IF($G4221="","",4キー同時!$B$331)</f>
        <v/>
      </c>
      <c r="I4221" s="2" t="str">
        <f aca="false">IF($G4221="","",4キー同時!$G$331)</f>
        <v/>
      </c>
      <c r="J4221" s="2" t="str">
        <f aca="false">IF($G4221="","",4キー同時!$L$331)</f>
        <v/>
      </c>
      <c r="K4221" s="2" t="str">
        <f aca="false">IF($G4221="","","6")</f>
        <v/>
      </c>
      <c r="L4221" s="2" t="str">
        <f aca="false">IF($G4221="","","同時")</f>
        <v/>
      </c>
      <c r="M4221" s="2" t="str">
        <f aca="false">IF($G4221="","",IF(ISNA(MATCH($G4221,個別指定!$A:$A,0)),"行なし",""))</f>
        <v/>
      </c>
      <c r="N4221" s="2" t="str">
        <f aca="false">IF($G4221="","",IF(COUNTIF($G$2:$G$4460,$G4221)&gt;1,"重複",""))</f>
        <v/>
      </c>
    </row>
    <row r="4222" customFormat="false" ht="16.5" hidden="false" customHeight="true" outlineLevel="0" collapsed="false">
      <c r="A4222" s="2" t="s">
        <v>447</v>
      </c>
      <c r="B4222" s="2" t="s">
        <v>473</v>
      </c>
      <c r="C4222" s="2" t="s">
        <v>6</v>
      </c>
      <c r="D4222" s="2" t="str">
        <f aca="false">IF(4キー同時!$B$331="","",4キー同時!$B$331)</f>
        <v/>
      </c>
      <c r="E4222" s="2" t="str">
        <f aca="false">IF(4キー同時!$G$331="","",4キー同時!$G$331)</f>
        <v/>
      </c>
      <c r="F4222" s="2" t="str">
        <f aca="false">IF(4キー同時!$L$331="","",4キー同時!$L$331)</f>
        <v/>
      </c>
      <c r="G4222" s="2" t="str">
        <f aca="false">IF(OR(4キー同時!$B$331="",4キー同時!$G$331="",4キー同時!$L$331=""),"",IF(4キー同時!AD333="","",SUBSTITUTE(SUBSTITUTE(4キー同時!AD333," ",""),"　","")))</f>
        <v/>
      </c>
      <c r="H4222" s="2" t="str">
        <f aca="false">IF($G4222="","",4キー同時!$B$331)</f>
        <v/>
      </c>
      <c r="I4222" s="2" t="str">
        <f aca="false">IF($G4222="","",4キー同時!$G$331)</f>
        <v/>
      </c>
      <c r="J4222" s="2" t="str">
        <f aca="false">IF($G4222="","",4キー同時!$L$331)</f>
        <v/>
      </c>
      <c r="K4222" s="2" t="str">
        <f aca="false">IF($G4222="","","7")</f>
        <v/>
      </c>
      <c r="L4222" s="2" t="str">
        <f aca="false">IF($G4222="","","同時")</f>
        <v/>
      </c>
      <c r="M4222" s="2" t="str">
        <f aca="false">IF($G4222="","",IF(ISNA(MATCH($G4222,個別指定!$A:$A,0)),"行なし",""))</f>
        <v/>
      </c>
      <c r="N4222" s="2" t="str">
        <f aca="false">IF($G4222="","",IF(COUNTIF($G$2:$G$4460,$G4222)&gt;1,"重複",""))</f>
        <v/>
      </c>
    </row>
    <row r="4223" customFormat="false" ht="16.5" hidden="false" customHeight="true" outlineLevel="0" collapsed="false">
      <c r="A4223" s="2" t="s">
        <v>447</v>
      </c>
      <c r="B4223" s="2" t="s">
        <v>473</v>
      </c>
      <c r="C4223" s="2" t="s">
        <v>7</v>
      </c>
      <c r="D4223" s="2" t="str">
        <f aca="false">IF(4キー同時!$B$331="","",4キー同時!$B$331)</f>
        <v/>
      </c>
      <c r="E4223" s="2" t="str">
        <f aca="false">IF(4キー同時!$G$331="","",4キー同時!$G$331)</f>
        <v/>
      </c>
      <c r="F4223" s="2" t="str">
        <f aca="false">IF(4キー同時!$L$331="","",4キー同時!$L$331)</f>
        <v/>
      </c>
      <c r="G4223" s="2" t="str">
        <f aca="false">IF(OR(4キー同時!$B$331="",4キー同時!$G$331="",4キー同時!$L$331=""),"",IF(4キー同時!AH333="","",SUBSTITUTE(SUBSTITUTE(4キー同時!AH333," ",""),"　","")))</f>
        <v/>
      </c>
      <c r="H4223" s="2" t="str">
        <f aca="false">IF($G4223="","",4キー同時!$B$331)</f>
        <v/>
      </c>
      <c r="I4223" s="2" t="str">
        <f aca="false">IF($G4223="","",4キー同時!$G$331)</f>
        <v/>
      </c>
      <c r="J4223" s="2" t="str">
        <f aca="false">IF($G4223="","",4キー同時!$L$331)</f>
        <v/>
      </c>
      <c r="K4223" s="2" t="str">
        <f aca="false">IF($G4223="","","8")</f>
        <v/>
      </c>
      <c r="L4223" s="2" t="str">
        <f aca="false">IF($G4223="","","同時")</f>
        <v/>
      </c>
      <c r="M4223" s="2" t="str">
        <f aca="false">IF($G4223="","",IF(ISNA(MATCH($G4223,個別指定!$A:$A,0)),"行なし",""))</f>
        <v/>
      </c>
      <c r="N4223" s="2" t="str">
        <f aca="false">IF($G4223="","",IF(COUNTIF($G$2:$G$4460,$G4223)&gt;1,"重複",""))</f>
        <v/>
      </c>
    </row>
    <row r="4224" customFormat="false" ht="16.5" hidden="false" customHeight="true" outlineLevel="0" collapsed="false">
      <c r="A4224" s="2" t="s">
        <v>447</v>
      </c>
      <c r="B4224" s="2" t="s">
        <v>473</v>
      </c>
      <c r="C4224" s="2" t="s">
        <v>8</v>
      </c>
      <c r="D4224" s="2" t="str">
        <f aca="false">IF(4キー同時!$B$331="","",4キー同時!$B$331)</f>
        <v/>
      </c>
      <c r="E4224" s="2" t="str">
        <f aca="false">IF(4キー同時!$G$331="","",4キー同時!$G$331)</f>
        <v/>
      </c>
      <c r="F4224" s="2" t="str">
        <f aca="false">IF(4キー同時!$L$331="","",4キー同時!$L$331)</f>
        <v/>
      </c>
      <c r="G4224" s="2" t="str">
        <f aca="false">IF(OR(4キー同時!$B$331="",4キー同時!$G$331="",4キー同時!$L$331=""),"",IF(4キー同時!AL333="","",SUBSTITUTE(SUBSTITUTE(4キー同時!AL333," ",""),"　","")))</f>
        <v/>
      </c>
      <c r="H4224" s="2" t="str">
        <f aca="false">IF($G4224="","",4キー同時!$B$331)</f>
        <v/>
      </c>
      <c r="I4224" s="2" t="str">
        <f aca="false">IF($G4224="","",4キー同時!$G$331)</f>
        <v/>
      </c>
      <c r="J4224" s="2" t="str">
        <f aca="false">IF($G4224="","",4キー同時!$L$331)</f>
        <v/>
      </c>
      <c r="K4224" s="2" t="str">
        <f aca="false">IF($G4224="","","9")</f>
        <v/>
      </c>
      <c r="L4224" s="2" t="str">
        <f aca="false">IF($G4224="","","同時")</f>
        <v/>
      </c>
      <c r="M4224" s="2" t="str">
        <f aca="false">IF($G4224="","",IF(ISNA(MATCH($G4224,個別指定!$A:$A,0)),"行なし",""))</f>
        <v/>
      </c>
      <c r="N4224" s="2" t="str">
        <f aca="false">IF($G4224="","",IF(COUNTIF($G$2:$G$4460,$G4224)&gt;1,"重複",""))</f>
        <v/>
      </c>
    </row>
    <row r="4225" customFormat="false" ht="16.5" hidden="false" customHeight="true" outlineLevel="0" collapsed="false">
      <c r="A4225" s="2" t="s">
        <v>447</v>
      </c>
      <c r="B4225" s="2" t="s">
        <v>473</v>
      </c>
      <c r="C4225" s="2" t="s">
        <v>9</v>
      </c>
      <c r="D4225" s="2" t="str">
        <f aca="false">IF(4キー同時!$B$331="","",4キー同時!$B$331)</f>
        <v/>
      </c>
      <c r="E4225" s="2" t="str">
        <f aca="false">IF(4キー同時!$G$331="","",4キー同時!$G$331)</f>
        <v/>
      </c>
      <c r="F4225" s="2" t="str">
        <f aca="false">IF(4キー同時!$L$331="","",4キー同時!$L$331)</f>
        <v/>
      </c>
      <c r="G4225" s="2" t="str">
        <f aca="false">IF(OR(4キー同時!$B$331="",4キー同時!$G$331="",4キー同時!$L$331=""),"",IF(4キー同時!AP333="","",SUBSTITUTE(SUBSTITUTE(4キー同時!AP333," ",""),"　","")))</f>
        <v/>
      </c>
      <c r="H4225" s="2" t="str">
        <f aca="false">IF($G4225="","",4キー同時!$B$331)</f>
        <v/>
      </c>
      <c r="I4225" s="2" t="str">
        <f aca="false">IF($G4225="","",4キー同時!$G$331)</f>
        <v/>
      </c>
      <c r="J4225" s="2" t="str">
        <f aca="false">IF($G4225="","",4キー同時!$L$331)</f>
        <v/>
      </c>
      <c r="K4225" s="2" t="str">
        <f aca="false">IF($G4225="","","0")</f>
        <v/>
      </c>
      <c r="L4225" s="2" t="str">
        <f aca="false">IF($G4225="","","同時")</f>
        <v/>
      </c>
      <c r="M4225" s="2" t="str">
        <f aca="false">IF($G4225="","",IF(ISNA(MATCH($G4225,個別指定!$A:$A,0)),"行なし",""))</f>
        <v/>
      </c>
      <c r="N4225" s="2" t="str">
        <f aca="false">IF($G4225="","",IF(COUNTIF($G$2:$G$4460,$G4225)&gt;1,"重複",""))</f>
        <v/>
      </c>
    </row>
    <row r="4226" customFormat="false" ht="16.5" hidden="false" customHeight="true" outlineLevel="0" collapsed="false">
      <c r="A4226" s="2" t="s">
        <v>447</v>
      </c>
      <c r="B4226" s="2" t="s">
        <v>473</v>
      </c>
      <c r="C4226" s="2" t="s">
        <v>10</v>
      </c>
      <c r="D4226" s="2" t="str">
        <f aca="false">IF(4キー同時!$B$331="","",4キー同時!$B$331)</f>
        <v/>
      </c>
      <c r="E4226" s="2" t="str">
        <f aca="false">IF(4キー同時!$G$331="","",4キー同時!$G$331)</f>
        <v/>
      </c>
      <c r="F4226" s="2" t="str">
        <f aca="false">IF(4キー同時!$L$331="","",4キー同時!$L$331)</f>
        <v/>
      </c>
      <c r="G4226" s="2" t="str">
        <f aca="false">IF(OR(4キー同時!$B$331="",4キー同時!$G$331="",4キー同時!$L$331=""),"",IF(4キー同時!AT333="","",SUBSTITUTE(SUBSTITUTE(4キー同時!AT333," ",""),"　","")))</f>
        <v/>
      </c>
      <c r="H4226" s="2" t="str">
        <f aca="false">IF($G4226="","",4キー同時!$B$331)</f>
        <v/>
      </c>
      <c r="I4226" s="2" t="str">
        <f aca="false">IF($G4226="","",4キー同時!$G$331)</f>
        <v/>
      </c>
      <c r="J4226" s="2" t="str">
        <f aca="false">IF($G4226="","",4キー同時!$L$331)</f>
        <v/>
      </c>
      <c r="K4226" s="2" t="str">
        <f aca="false">IF($G4226="","","-")</f>
        <v/>
      </c>
      <c r="L4226" s="2" t="str">
        <f aca="false">IF($G4226="","","同時")</f>
        <v/>
      </c>
      <c r="M4226" s="2" t="str">
        <f aca="false">IF($G4226="","",IF(ISNA(MATCH($G4226,個別指定!$A:$A,0)),"行なし",""))</f>
        <v/>
      </c>
      <c r="N4226" s="2" t="str">
        <f aca="false">IF($G4226="","",IF(COUNTIF($G$2:$G$4460,$G4226)&gt;1,"重複",""))</f>
        <v/>
      </c>
    </row>
    <row r="4227" customFormat="false" ht="16.5" hidden="false" customHeight="true" outlineLevel="0" collapsed="false">
      <c r="A4227" s="2" t="s">
        <v>447</v>
      </c>
      <c r="B4227" s="2" t="s">
        <v>473</v>
      </c>
      <c r="C4227" s="2" t="s">
        <v>11</v>
      </c>
      <c r="D4227" s="2" t="str">
        <f aca="false">IF(4キー同時!$B$331="","",4キー同時!$B$331)</f>
        <v/>
      </c>
      <c r="E4227" s="2" t="str">
        <f aca="false">IF(4キー同時!$G$331="","",4キー同時!$G$331)</f>
        <v/>
      </c>
      <c r="F4227" s="2" t="str">
        <f aca="false">IF(4キー同時!$L$331="","",4キー同時!$L$331)</f>
        <v/>
      </c>
      <c r="G4227" s="2" t="str">
        <f aca="false">IF(OR(4キー同時!$B$331="",4キー同時!$G$331="",4キー同時!$L$331=""),"",IF(4キー同時!AX333="","",SUBSTITUTE(SUBSTITUTE(4キー同時!AX333," ",""),"　","")))</f>
        <v/>
      </c>
      <c r="H4227" s="2" t="str">
        <f aca="false">IF($G4227="","",4キー同時!$B$331)</f>
        <v/>
      </c>
      <c r="I4227" s="2" t="str">
        <f aca="false">IF($G4227="","",4キー同時!$G$331)</f>
        <v/>
      </c>
      <c r="J4227" s="2" t="str">
        <f aca="false">IF($G4227="","",4キー同時!$L$331)</f>
        <v/>
      </c>
      <c r="K4227" s="2" t="str">
        <f aca="false">IF($G4227="","","=")</f>
        <v/>
      </c>
      <c r="L4227" s="2" t="str">
        <f aca="false">IF($G4227="","","同時")</f>
        <v/>
      </c>
      <c r="M4227" s="2" t="str">
        <f aca="false">IF($G4227="","",IF(ISNA(MATCH($G4227,個別指定!$A:$A,0)),"行なし",""))</f>
        <v/>
      </c>
      <c r="N4227" s="2" t="str">
        <f aca="false">IF($G4227="","",IF(COUNTIF($G$2:$G$4460,$G4227)&gt;1,"重複",""))</f>
        <v/>
      </c>
    </row>
    <row r="4228" customFormat="false" ht="16.5" hidden="false" customHeight="true" outlineLevel="0" collapsed="false">
      <c r="A4228" s="2" t="s">
        <v>447</v>
      </c>
      <c r="B4228" s="2" t="s">
        <v>473</v>
      </c>
      <c r="C4228" s="2" t="s">
        <v>12</v>
      </c>
      <c r="D4228" s="2" t="str">
        <f aca="false">IF(4キー同時!$B$331="","",4キー同時!$B$331)</f>
        <v/>
      </c>
      <c r="E4228" s="2" t="str">
        <f aca="false">IF(4キー同時!$G$331="","",4キー同時!$G$331)</f>
        <v/>
      </c>
      <c r="F4228" s="2" t="str">
        <f aca="false">IF(4キー同時!$L$331="","",4キー同時!$L$331)</f>
        <v/>
      </c>
      <c r="G4228" s="2" t="str">
        <f aca="false">IF(OR(4キー同時!$B$331="",4キー同時!$G$331="",4キー同時!$L$331=""),"",IF(4キー同時!H335="","",SUBSTITUTE(SUBSTITUTE(4キー同時!H335," ",""),"　","")))</f>
        <v/>
      </c>
      <c r="H4228" s="2" t="str">
        <f aca="false">IF($G4228="","",4キー同時!$B$331)</f>
        <v/>
      </c>
      <c r="I4228" s="2" t="str">
        <f aca="false">IF($G4228="","",4キー同時!$G$331)</f>
        <v/>
      </c>
      <c r="J4228" s="2" t="str">
        <f aca="false">IF($G4228="","",4キー同時!$L$331)</f>
        <v/>
      </c>
      <c r="K4228" s="2" t="str">
        <f aca="false">IF($G4228="","","q")</f>
        <v/>
      </c>
      <c r="L4228" s="2" t="str">
        <f aca="false">IF($G4228="","","同時")</f>
        <v/>
      </c>
      <c r="M4228" s="2" t="str">
        <f aca="false">IF($G4228="","",IF(ISNA(MATCH($G4228,個別指定!$A:$A,0)),"行なし",""))</f>
        <v/>
      </c>
      <c r="N4228" s="2" t="str">
        <f aca="false">IF($G4228="","",IF(COUNTIF($G$2:$G$4460,$G4228)&gt;1,"重複",""))</f>
        <v/>
      </c>
    </row>
    <row r="4229" customFormat="false" ht="16.5" hidden="false" customHeight="true" outlineLevel="0" collapsed="false">
      <c r="A4229" s="2" t="s">
        <v>447</v>
      </c>
      <c r="B4229" s="2" t="s">
        <v>473</v>
      </c>
      <c r="C4229" s="2" t="s">
        <v>13</v>
      </c>
      <c r="D4229" s="2" t="str">
        <f aca="false">IF(4キー同時!$B$331="","",4キー同時!$B$331)</f>
        <v/>
      </c>
      <c r="E4229" s="2" t="str">
        <f aca="false">IF(4キー同時!$G$331="","",4キー同時!$G$331)</f>
        <v/>
      </c>
      <c r="F4229" s="2" t="str">
        <f aca="false">IF(4キー同時!$L$331="","",4キー同時!$L$331)</f>
        <v/>
      </c>
      <c r="G4229" s="2" t="str">
        <f aca="false">IF(OR(4キー同時!$B$331="",4キー同時!$G$331="",4キー同時!$L$331=""),"",IF(4キー同時!L335="","",SUBSTITUTE(SUBSTITUTE(4キー同時!L335," ",""),"　","")))</f>
        <v/>
      </c>
      <c r="H4229" s="2" t="str">
        <f aca="false">IF($G4229="","",4キー同時!$B$331)</f>
        <v/>
      </c>
      <c r="I4229" s="2" t="str">
        <f aca="false">IF($G4229="","",4キー同時!$G$331)</f>
        <v/>
      </c>
      <c r="J4229" s="2" t="str">
        <f aca="false">IF($G4229="","",4キー同時!$L$331)</f>
        <v/>
      </c>
      <c r="K4229" s="2" t="str">
        <f aca="false">IF($G4229="","","w")</f>
        <v/>
      </c>
      <c r="L4229" s="2" t="str">
        <f aca="false">IF($G4229="","","同時")</f>
        <v/>
      </c>
      <c r="M4229" s="2" t="str">
        <f aca="false">IF($G4229="","",IF(ISNA(MATCH($G4229,個別指定!$A:$A,0)),"行なし",""))</f>
        <v/>
      </c>
      <c r="N4229" s="2" t="str">
        <f aca="false">IF($G4229="","",IF(COUNTIF($G$2:$G$4460,$G4229)&gt;1,"重複",""))</f>
        <v/>
      </c>
    </row>
    <row r="4230" customFormat="false" ht="16.5" hidden="false" customHeight="true" outlineLevel="0" collapsed="false">
      <c r="A4230" s="2" t="s">
        <v>447</v>
      </c>
      <c r="B4230" s="2" t="s">
        <v>473</v>
      </c>
      <c r="C4230" s="2" t="s">
        <v>14</v>
      </c>
      <c r="D4230" s="2" t="str">
        <f aca="false">IF(4キー同時!$B$331="","",4キー同時!$B$331)</f>
        <v/>
      </c>
      <c r="E4230" s="2" t="str">
        <f aca="false">IF(4キー同時!$G$331="","",4キー同時!$G$331)</f>
        <v/>
      </c>
      <c r="F4230" s="2" t="str">
        <f aca="false">IF(4キー同時!$L$331="","",4キー同時!$L$331)</f>
        <v/>
      </c>
      <c r="G4230" s="2" t="str">
        <f aca="false">IF(OR(4キー同時!$B$331="",4キー同時!$G$331="",4キー同時!$L$331=""),"",IF(4キー同時!P335="","",SUBSTITUTE(SUBSTITUTE(4キー同時!P335," ",""),"　","")))</f>
        <v/>
      </c>
      <c r="H4230" s="2" t="str">
        <f aca="false">IF($G4230="","",4キー同時!$B$331)</f>
        <v/>
      </c>
      <c r="I4230" s="2" t="str">
        <f aca="false">IF($G4230="","",4キー同時!$G$331)</f>
        <v/>
      </c>
      <c r="J4230" s="2" t="str">
        <f aca="false">IF($G4230="","",4キー同時!$L$331)</f>
        <v/>
      </c>
      <c r="K4230" s="2" t="str">
        <f aca="false">IF($G4230="","","e")</f>
        <v/>
      </c>
      <c r="L4230" s="2" t="str">
        <f aca="false">IF($G4230="","","同時")</f>
        <v/>
      </c>
      <c r="M4230" s="2" t="str">
        <f aca="false">IF($G4230="","",IF(ISNA(MATCH($G4230,個別指定!$A:$A,0)),"行なし",""))</f>
        <v/>
      </c>
      <c r="N4230" s="2" t="str">
        <f aca="false">IF($G4230="","",IF(COUNTIF($G$2:$G$4460,$G4230)&gt;1,"重複",""))</f>
        <v/>
      </c>
    </row>
    <row r="4231" customFormat="false" ht="16.5" hidden="false" customHeight="true" outlineLevel="0" collapsed="false">
      <c r="A4231" s="2" t="s">
        <v>447</v>
      </c>
      <c r="B4231" s="2" t="s">
        <v>473</v>
      </c>
      <c r="C4231" s="2" t="s">
        <v>15</v>
      </c>
      <c r="D4231" s="2" t="str">
        <f aca="false">IF(4キー同時!$B$331="","",4キー同時!$B$331)</f>
        <v/>
      </c>
      <c r="E4231" s="2" t="str">
        <f aca="false">IF(4キー同時!$G$331="","",4キー同時!$G$331)</f>
        <v/>
      </c>
      <c r="F4231" s="2" t="str">
        <f aca="false">IF(4キー同時!$L$331="","",4キー同時!$L$331)</f>
        <v/>
      </c>
      <c r="G4231" s="2" t="str">
        <f aca="false">IF(OR(4キー同時!$B$331="",4キー同時!$G$331="",4キー同時!$L$331=""),"",IF(4キー同時!T335="","",SUBSTITUTE(SUBSTITUTE(4キー同時!T335," ",""),"　","")))</f>
        <v/>
      </c>
      <c r="H4231" s="2" t="str">
        <f aca="false">IF($G4231="","",4キー同時!$B$331)</f>
        <v/>
      </c>
      <c r="I4231" s="2" t="str">
        <f aca="false">IF($G4231="","",4キー同時!$G$331)</f>
        <v/>
      </c>
      <c r="J4231" s="2" t="str">
        <f aca="false">IF($G4231="","",4キー同時!$L$331)</f>
        <v/>
      </c>
      <c r="K4231" s="2" t="str">
        <f aca="false">IF($G4231="","","r")</f>
        <v/>
      </c>
      <c r="L4231" s="2" t="str">
        <f aca="false">IF($G4231="","","同時")</f>
        <v/>
      </c>
      <c r="M4231" s="2" t="str">
        <f aca="false">IF($G4231="","",IF(ISNA(MATCH($G4231,個別指定!$A:$A,0)),"行なし",""))</f>
        <v/>
      </c>
      <c r="N4231" s="2" t="str">
        <f aca="false">IF($G4231="","",IF(COUNTIF($G$2:$G$4460,$G4231)&gt;1,"重複",""))</f>
        <v/>
      </c>
    </row>
    <row r="4232" customFormat="false" ht="16.5" hidden="false" customHeight="true" outlineLevel="0" collapsed="false">
      <c r="A4232" s="2" t="s">
        <v>447</v>
      </c>
      <c r="B4232" s="2" t="s">
        <v>473</v>
      </c>
      <c r="C4232" s="2" t="s">
        <v>16</v>
      </c>
      <c r="D4232" s="2" t="str">
        <f aca="false">IF(4キー同時!$B$331="","",4キー同時!$B$331)</f>
        <v/>
      </c>
      <c r="E4232" s="2" t="str">
        <f aca="false">IF(4キー同時!$G$331="","",4キー同時!$G$331)</f>
        <v/>
      </c>
      <c r="F4232" s="2" t="str">
        <f aca="false">IF(4キー同時!$L$331="","",4キー同時!$L$331)</f>
        <v/>
      </c>
      <c r="G4232" s="2" t="str">
        <f aca="false">IF(OR(4キー同時!$B$331="",4キー同時!$G$331="",4キー同時!$L$331=""),"",IF(4キー同時!X335="","",SUBSTITUTE(SUBSTITUTE(4キー同時!X335," ",""),"　","")))</f>
        <v/>
      </c>
      <c r="H4232" s="2" t="str">
        <f aca="false">IF($G4232="","",4キー同時!$B$331)</f>
        <v/>
      </c>
      <c r="I4232" s="2" t="str">
        <f aca="false">IF($G4232="","",4キー同時!$G$331)</f>
        <v/>
      </c>
      <c r="J4232" s="2" t="str">
        <f aca="false">IF($G4232="","",4キー同時!$L$331)</f>
        <v/>
      </c>
      <c r="K4232" s="2" t="str">
        <f aca="false">IF($G4232="","","t")</f>
        <v/>
      </c>
      <c r="L4232" s="2" t="str">
        <f aca="false">IF($G4232="","","同時")</f>
        <v/>
      </c>
      <c r="M4232" s="2" t="str">
        <f aca="false">IF($G4232="","",IF(ISNA(MATCH($G4232,個別指定!$A:$A,0)),"行なし",""))</f>
        <v/>
      </c>
      <c r="N4232" s="2" t="str">
        <f aca="false">IF($G4232="","",IF(COUNTIF($G$2:$G$4460,$G4232)&gt;1,"重複",""))</f>
        <v/>
      </c>
    </row>
    <row r="4233" customFormat="false" ht="16.5" hidden="false" customHeight="true" outlineLevel="0" collapsed="false">
      <c r="A4233" s="2" t="s">
        <v>447</v>
      </c>
      <c r="B4233" s="2" t="s">
        <v>473</v>
      </c>
      <c r="C4233" s="2" t="s">
        <v>17</v>
      </c>
      <c r="D4233" s="2" t="str">
        <f aca="false">IF(4キー同時!$B$331="","",4キー同時!$B$331)</f>
        <v/>
      </c>
      <c r="E4233" s="2" t="str">
        <f aca="false">IF(4キー同時!$G$331="","",4キー同時!$G$331)</f>
        <v/>
      </c>
      <c r="F4233" s="2" t="str">
        <f aca="false">IF(4キー同時!$L$331="","",4キー同時!$L$331)</f>
        <v/>
      </c>
      <c r="G4233" s="2" t="str">
        <f aca="false">IF(OR(4キー同時!$B$331="",4キー同時!$G$331="",4キー同時!$L$331=""),"",IF(4キー同時!AB335="","",SUBSTITUTE(SUBSTITUTE(4キー同時!AB335," ",""),"　","")))</f>
        <v/>
      </c>
      <c r="H4233" s="2" t="str">
        <f aca="false">IF($G4233="","",4キー同時!$B$331)</f>
        <v/>
      </c>
      <c r="I4233" s="2" t="str">
        <f aca="false">IF($G4233="","",4キー同時!$G$331)</f>
        <v/>
      </c>
      <c r="J4233" s="2" t="str">
        <f aca="false">IF($G4233="","",4キー同時!$L$331)</f>
        <v/>
      </c>
      <c r="K4233" s="2" t="str">
        <f aca="false">IF($G4233="","","y")</f>
        <v/>
      </c>
      <c r="L4233" s="2" t="str">
        <f aca="false">IF($G4233="","","同時")</f>
        <v/>
      </c>
      <c r="M4233" s="2" t="str">
        <f aca="false">IF($G4233="","",IF(ISNA(MATCH($G4233,個別指定!$A:$A,0)),"行なし",""))</f>
        <v/>
      </c>
      <c r="N4233" s="2" t="str">
        <f aca="false">IF($G4233="","",IF(COUNTIF($G$2:$G$4460,$G4233)&gt;1,"重複",""))</f>
        <v/>
      </c>
    </row>
    <row r="4234" customFormat="false" ht="16.5" hidden="false" customHeight="true" outlineLevel="0" collapsed="false">
      <c r="A4234" s="2" t="s">
        <v>447</v>
      </c>
      <c r="B4234" s="2" t="s">
        <v>473</v>
      </c>
      <c r="C4234" s="2" t="s">
        <v>18</v>
      </c>
      <c r="D4234" s="2" t="str">
        <f aca="false">IF(4キー同時!$B$331="","",4キー同時!$B$331)</f>
        <v/>
      </c>
      <c r="E4234" s="2" t="str">
        <f aca="false">IF(4キー同時!$G$331="","",4キー同時!$G$331)</f>
        <v/>
      </c>
      <c r="F4234" s="2" t="str">
        <f aca="false">IF(4キー同時!$L$331="","",4キー同時!$L$331)</f>
        <v/>
      </c>
      <c r="G4234" s="2" t="str">
        <f aca="false">IF(OR(4キー同時!$B$331="",4キー同時!$G$331="",4キー同時!$L$331=""),"",IF(4キー同時!AF335="","",SUBSTITUTE(SUBSTITUTE(4キー同時!AF335," ",""),"　","")))</f>
        <v/>
      </c>
      <c r="H4234" s="2" t="str">
        <f aca="false">IF($G4234="","",4キー同時!$B$331)</f>
        <v/>
      </c>
      <c r="I4234" s="2" t="str">
        <f aca="false">IF($G4234="","",4キー同時!$G$331)</f>
        <v/>
      </c>
      <c r="J4234" s="2" t="str">
        <f aca="false">IF($G4234="","",4キー同時!$L$331)</f>
        <v/>
      </c>
      <c r="K4234" s="2" t="str">
        <f aca="false">IF($G4234="","","u")</f>
        <v/>
      </c>
      <c r="L4234" s="2" t="str">
        <f aca="false">IF($G4234="","","同時")</f>
        <v/>
      </c>
      <c r="M4234" s="2" t="str">
        <f aca="false">IF($G4234="","",IF(ISNA(MATCH($G4234,個別指定!$A:$A,0)),"行なし",""))</f>
        <v/>
      </c>
      <c r="N4234" s="2" t="str">
        <f aca="false">IF($G4234="","",IF(COUNTIF($G$2:$G$4460,$G4234)&gt;1,"重複",""))</f>
        <v/>
      </c>
    </row>
    <row r="4235" customFormat="false" ht="16.5" hidden="false" customHeight="true" outlineLevel="0" collapsed="false">
      <c r="A4235" s="2" t="s">
        <v>447</v>
      </c>
      <c r="B4235" s="2" t="s">
        <v>473</v>
      </c>
      <c r="C4235" s="2" t="s">
        <v>19</v>
      </c>
      <c r="D4235" s="2" t="str">
        <f aca="false">IF(4キー同時!$B$331="","",4キー同時!$B$331)</f>
        <v/>
      </c>
      <c r="E4235" s="2" t="str">
        <f aca="false">IF(4キー同時!$G$331="","",4キー同時!$G$331)</f>
        <v/>
      </c>
      <c r="F4235" s="2" t="str">
        <f aca="false">IF(4キー同時!$L$331="","",4キー同時!$L$331)</f>
        <v/>
      </c>
      <c r="G4235" s="2" t="str">
        <f aca="false">IF(OR(4キー同時!$B$331="",4キー同時!$G$331="",4キー同時!$L$331=""),"",IF(4キー同時!AJ335="","",SUBSTITUTE(SUBSTITUTE(4キー同時!AJ335," ",""),"　","")))</f>
        <v/>
      </c>
      <c r="H4235" s="2" t="str">
        <f aca="false">IF($G4235="","",4キー同時!$B$331)</f>
        <v/>
      </c>
      <c r="I4235" s="2" t="str">
        <f aca="false">IF($G4235="","",4キー同時!$G$331)</f>
        <v/>
      </c>
      <c r="J4235" s="2" t="str">
        <f aca="false">IF($G4235="","",4キー同時!$L$331)</f>
        <v/>
      </c>
      <c r="K4235" s="2" t="str">
        <f aca="false">IF($G4235="","","i")</f>
        <v/>
      </c>
      <c r="L4235" s="2" t="str">
        <f aca="false">IF($G4235="","","同時")</f>
        <v/>
      </c>
      <c r="M4235" s="2" t="str">
        <f aca="false">IF($G4235="","",IF(ISNA(MATCH($G4235,個別指定!$A:$A,0)),"行なし",""))</f>
        <v/>
      </c>
      <c r="N4235" s="2" t="str">
        <f aca="false">IF($G4235="","",IF(COUNTIF($G$2:$G$4460,$G4235)&gt;1,"重複",""))</f>
        <v/>
      </c>
    </row>
    <row r="4236" customFormat="false" ht="16.5" hidden="false" customHeight="true" outlineLevel="0" collapsed="false">
      <c r="A4236" s="2" t="s">
        <v>447</v>
      </c>
      <c r="B4236" s="2" t="s">
        <v>473</v>
      </c>
      <c r="C4236" s="2" t="s">
        <v>20</v>
      </c>
      <c r="D4236" s="2" t="str">
        <f aca="false">IF(4キー同時!$B$331="","",4キー同時!$B$331)</f>
        <v/>
      </c>
      <c r="E4236" s="2" t="str">
        <f aca="false">IF(4キー同時!$G$331="","",4キー同時!$G$331)</f>
        <v/>
      </c>
      <c r="F4236" s="2" t="str">
        <f aca="false">IF(4キー同時!$L$331="","",4キー同時!$L$331)</f>
        <v/>
      </c>
      <c r="G4236" s="2" t="str">
        <f aca="false">IF(OR(4キー同時!$B$331="",4キー同時!$G$331="",4キー同時!$L$331=""),"",IF(4キー同時!AN335="","",SUBSTITUTE(SUBSTITUTE(4キー同時!AN335," ",""),"　","")))</f>
        <v/>
      </c>
      <c r="H4236" s="2" t="str">
        <f aca="false">IF($G4236="","",4キー同時!$B$331)</f>
        <v/>
      </c>
      <c r="I4236" s="2" t="str">
        <f aca="false">IF($G4236="","",4キー同時!$G$331)</f>
        <v/>
      </c>
      <c r="J4236" s="2" t="str">
        <f aca="false">IF($G4236="","",4キー同時!$L$331)</f>
        <v/>
      </c>
      <c r="K4236" s="2" t="str">
        <f aca="false">IF($G4236="","","o")</f>
        <v/>
      </c>
      <c r="L4236" s="2" t="str">
        <f aca="false">IF($G4236="","","同時")</f>
        <v/>
      </c>
      <c r="M4236" s="2" t="str">
        <f aca="false">IF($G4236="","",IF(ISNA(MATCH($G4236,個別指定!$A:$A,0)),"行なし",""))</f>
        <v/>
      </c>
      <c r="N4236" s="2" t="str">
        <f aca="false">IF($G4236="","",IF(COUNTIF($G$2:$G$4460,$G4236)&gt;1,"重複",""))</f>
        <v/>
      </c>
    </row>
    <row r="4237" customFormat="false" ht="16.5" hidden="false" customHeight="true" outlineLevel="0" collapsed="false">
      <c r="A4237" s="2" t="s">
        <v>447</v>
      </c>
      <c r="B4237" s="2" t="s">
        <v>473</v>
      </c>
      <c r="C4237" s="2" t="s">
        <v>21</v>
      </c>
      <c r="D4237" s="2" t="str">
        <f aca="false">IF(4キー同時!$B$331="","",4キー同時!$B$331)</f>
        <v/>
      </c>
      <c r="E4237" s="2" t="str">
        <f aca="false">IF(4キー同時!$G$331="","",4キー同時!$G$331)</f>
        <v/>
      </c>
      <c r="F4237" s="2" t="str">
        <f aca="false">IF(4キー同時!$L$331="","",4キー同時!$L$331)</f>
        <v/>
      </c>
      <c r="G4237" s="2" t="str">
        <f aca="false">IF(OR(4キー同時!$B$331="",4キー同時!$G$331="",4キー同時!$L$331=""),"",IF(4キー同時!AR335="","",SUBSTITUTE(SUBSTITUTE(4キー同時!AR335," ",""),"　","")))</f>
        <v/>
      </c>
      <c r="H4237" s="2" t="str">
        <f aca="false">IF($G4237="","",4キー同時!$B$331)</f>
        <v/>
      </c>
      <c r="I4237" s="2" t="str">
        <f aca="false">IF($G4237="","",4キー同時!$G$331)</f>
        <v/>
      </c>
      <c r="J4237" s="2" t="str">
        <f aca="false">IF($G4237="","",4キー同時!$L$331)</f>
        <v/>
      </c>
      <c r="K4237" s="2" t="str">
        <f aca="false">IF($G4237="","","p")</f>
        <v/>
      </c>
      <c r="L4237" s="2" t="str">
        <f aca="false">IF($G4237="","","同時")</f>
        <v/>
      </c>
      <c r="M4237" s="2" t="str">
        <f aca="false">IF($G4237="","",IF(ISNA(MATCH($G4237,個別指定!$A:$A,0)),"行なし",""))</f>
        <v/>
      </c>
      <c r="N4237" s="2" t="str">
        <f aca="false">IF($G4237="","",IF(COUNTIF($G$2:$G$4460,$G4237)&gt;1,"重複",""))</f>
        <v/>
      </c>
    </row>
    <row r="4238" customFormat="false" ht="16.5" hidden="false" customHeight="true" outlineLevel="0" collapsed="false">
      <c r="A4238" s="2" t="s">
        <v>447</v>
      </c>
      <c r="B4238" s="2" t="s">
        <v>473</v>
      </c>
      <c r="C4238" s="2" t="s">
        <v>22</v>
      </c>
      <c r="D4238" s="2" t="str">
        <f aca="false">IF(4キー同時!$B$331="","",4キー同時!$B$331)</f>
        <v/>
      </c>
      <c r="E4238" s="2" t="str">
        <f aca="false">IF(4キー同時!$G$331="","",4キー同時!$G$331)</f>
        <v/>
      </c>
      <c r="F4238" s="2" t="str">
        <f aca="false">IF(4キー同時!$L$331="","",4キー同時!$L$331)</f>
        <v/>
      </c>
      <c r="G4238" s="2" t="str">
        <f aca="false">IF(OR(4キー同時!$B$331="",4キー同時!$G$331="",4キー同時!$L$331=""),"",IF(4キー同時!AV335="","",SUBSTITUTE(SUBSTITUTE(4キー同時!AV335," ",""),"　","")))</f>
        <v/>
      </c>
      <c r="H4238" s="2" t="str">
        <f aca="false">IF($G4238="","",4キー同時!$B$331)</f>
        <v/>
      </c>
      <c r="I4238" s="2" t="str">
        <f aca="false">IF($G4238="","",4キー同時!$G$331)</f>
        <v/>
      </c>
      <c r="J4238" s="2" t="str">
        <f aca="false">IF($G4238="","",4キー同時!$L$331)</f>
        <v/>
      </c>
      <c r="K4238" s="2" t="str">
        <f aca="false">IF($G4238="","","[")</f>
        <v/>
      </c>
      <c r="L4238" s="2" t="str">
        <f aca="false">IF($G4238="","","同時")</f>
        <v/>
      </c>
      <c r="M4238" s="2" t="str">
        <f aca="false">IF($G4238="","",IF(ISNA(MATCH($G4238,個別指定!$A:$A,0)),"行なし",""))</f>
        <v/>
      </c>
      <c r="N4238" s="2" t="str">
        <f aca="false">IF($G4238="","",IF(COUNTIF($G$2:$G$4460,$G4238)&gt;1,"重複",""))</f>
        <v/>
      </c>
    </row>
    <row r="4239" customFormat="false" ht="16.5" hidden="false" customHeight="true" outlineLevel="0" collapsed="false">
      <c r="A4239" s="2" t="s">
        <v>447</v>
      </c>
      <c r="B4239" s="2" t="s">
        <v>473</v>
      </c>
      <c r="C4239" s="2" t="s">
        <v>23</v>
      </c>
      <c r="D4239" s="2" t="str">
        <f aca="false">IF(4キー同時!$B$331="","",4キー同時!$B$331)</f>
        <v/>
      </c>
      <c r="E4239" s="2" t="str">
        <f aca="false">IF(4キー同時!$G$331="","",4キー同時!$G$331)</f>
        <v/>
      </c>
      <c r="F4239" s="2" t="str">
        <f aca="false">IF(4キー同時!$L$331="","",4キー同時!$L$331)</f>
        <v/>
      </c>
      <c r="G4239" s="2" t="str">
        <f aca="false">IF(OR(4キー同時!$B$331="",4キー同時!$G$331="",4キー同時!$L$331=""),"",IF(4キー同時!AZ335="","",SUBSTITUTE(SUBSTITUTE(4キー同時!AZ335," ",""),"　","")))</f>
        <v/>
      </c>
      <c r="H4239" s="2" t="str">
        <f aca="false">IF($G4239="","",4キー同時!$B$331)</f>
        <v/>
      </c>
      <c r="I4239" s="2" t="str">
        <f aca="false">IF($G4239="","",4キー同時!$G$331)</f>
        <v/>
      </c>
      <c r="J4239" s="2" t="str">
        <f aca="false">IF($G4239="","",4キー同時!$L$331)</f>
        <v/>
      </c>
      <c r="K4239" s="2" t="str">
        <f aca="false">IF($G4239="","","]")</f>
        <v/>
      </c>
      <c r="L4239" s="2" t="str">
        <f aca="false">IF($G4239="","","同時")</f>
        <v/>
      </c>
      <c r="M4239" s="2" t="str">
        <f aca="false">IF($G4239="","",IF(ISNA(MATCH($G4239,個別指定!$A:$A,0)),"行なし",""))</f>
        <v/>
      </c>
      <c r="N4239" s="2" t="str">
        <f aca="false">IF($G4239="","",IF(COUNTIF($G$2:$G$4460,$G4239)&gt;1,"重複",""))</f>
        <v/>
      </c>
    </row>
    <row r="4240" customFormat="false" ht="16.5" hidden="false" customHeight="true" outlineLevel="0" collapsed="false">
      <c r="A4240" s="2" t="s">
        <v>447</v>
      </c>
      <c r="B4240" s="2" t="s">
        <v>473</v>
      </c>
      <c r="C4240" s="2" t="s">
        <v>24</v>
      </c>
      <c r="D4240" s="2" t="str">
        <f aca="false">IF(4キー同時!$B$331="","",4キー同時!$B$331)</f>
        <v/>
      </c>
      <c r="E4240" s="2" t="str">
        <f aca="false">IF(4キー同時!$G$331="","",4キー同時!$G$331)</f>
        <v/>
      </c>
      <c r="F4240" s="2" t="str">
        <f aca="false">IF(4キー同時!$L$331="","",4キー同時!$L$331)</f>
        <v/>
      </c>
      <c r="G4240" s="2" t="str">
        <f aca="false">IF(OR(4キー同時!$B$331="",4キー同時!$G$331="",4キー同時!$L$331=""),"",IF(4キー同時!I337="","",SUBSTITUTE(SUBSTITUTE(4キー同時!I337," ",""),"　","")))</f>
        <v/>
      </c>
      <c r="H4240" s="2" t="str">
        <f aca="false">IF($G4240="","",4キー同時!$B$331)</f>
        <v/>
      </c>
      <c r="I4240" s="2" t="str">
        <f aca="false">IF($G4240="","",4キー同時!$G$331)</f>
        <v/>
      </c>
      <c r="J4240" s="2" t="str">
        <f aca="false">IF($G4240="","",4キー同時!$L$331)</f>
        <v/>
      </c>
      <c r="K4240" s="2" t="str">
        <f aca="false">IF($G4240="","","a")</f>
        <v/>
      </c>
      <c r="L4240" s="2" t="str">
        <f aca="false">IF($G4240="","","同時")</f>
        <v/>
      </c>
      <c r="M4240" s="2" t="str">
        <f aca="false">IF($G4240="","",IF(ISNA(MATCH($G4240,個別指定!$A:$A,0)),"行なし",""))</f>
        <v/>
      </c>
      <c r="N4240" s="2" t="str">
        <f aca="false">IF($G4240="","",IF(COUNTIF($G$2:$G$4460,$G4240)&gt;1,"重複",""))</f>
        <v/>
      </c>
    </row>
    <row r="4241" customFormat="false" ht="16.5" hidden="false" customHeight="true" outlineLevel="0" collapsed="false">
      <c r="A4241" s="2" t="s">
        <v>447</v>
      </c>
      <c r="B4241" s="2" t="s">
        <v>473</v>
      </c>
      <c r="C4241" s="2" t="s">
        <v>25</v>
      </c>
      <c r="D4241" s="2" t="str">
        <f aca="false">IF(4キー同時!$B$331="","",4キー同時!$B$331)</f>
        <v/>
      </c>
      <c r="E4241" s="2" t="str">
        <f aca="false">IF(4キー同時!$G$331="","",4キー同時!$G$331)</f>
        <v/>
      </c>
      <c r="F4241" s="2" t="str">
        <f aca="false">IF(4キー同時!$L$331="","",4キー同時!$L$331)</f>
        <v/>
      </c>
      <c r="G4241" s="2" t="str">
        <f aca="false">IF(OR(4キー同時!$B$331="",4キー同時!$G$331="",4キー同時!$L$331=""),"",IF(4キー同時!M337="","",SUBSTITUTE(SUBSTITUTE(4キー同時!M337," ",""),"　","")))</f>
        <v/>
      </c>
      <c r="H4241" s="2" t="str">
        <f aca="false">IF($G4241="","",4キー同時!$B$331)</f>
        <v/>
      </c>
      <c r="I4241" s="2" t="str">
        <f aca="false">IF($G4241="","",4キー同時!$G$331)</f>
        <v/>
      </c>
      <c r="J4241" s="2" t="str">
        <f aca="false">IF($G4241="","",4キー同時!$L$331)</f>
        <v/>
      </c>
      <c r="K4241" s="2" t="str">
        <f aca="false">IF($G4241="","","s")</f>
        <v/>
      </c>
      <c r="L4241" s="2" t="str">
        <f aca="false">IF($G4241="","","同時")</f>
        <v/>
      </c>
      <c r="M4241" s="2" t="str">
        <f aca="false">IF($G4241="","",IF(ISNA(MATCH($G4241,個別指定!$A:$A,0)),"行なし",""))</f>
        <v/>
      </c>
      <c r="N4241" s="2" t="str">
        <f aca="false">IF($G4241="","",IF(COUNTIF($G$2:$G$4460,$G4241)&gt;1,"重複",""))</f>
        <v/>
      </c>
    </row>
    <row r="4242" customFormat="false" ht="16.5" hidden="false" customHeight="true" outlineLevel="0" collapsed="false">
      <c r="A4242" s="2" t="s">
        <v>447</v>
      </c>
      <c r="B4242" s="2" t="s">
        <v>473</v>
      </c>
      <c r="C4242" s="2" t="s">
        <v>26</v>
      </c>
      <c r="D4242" s="2" t="str">
        <f aca="false">IF(4キー同時!$B$331="","",4キー同時!$B$331)</f>
        <v/>
      </c>
      <c r="E4242" s="2" t="str">
        <f aca="false">IF(4キー同時!$G$331="","",4キー同時!$G$331)</f>
        <v/>
      </c>
      <c r="F4242" s="2" t="str">
        <f aca="false">IF(4キー同時!$L$331="","",4キー同時!$L$331)</f>
        <v/>
      </c>
      <c r="G4242" s="2" t="str">
        <f aca="false">IF(OR(4キー同時!$B$331="",4キー同時!$G$331="",4キー同時!$L$331=""),"",IF(4キー同時!Q337="","",SUBSTITUTE(SUBSTITUTE(4キー同時!Q337," ",""),"　","")))</f>
        <v/>
      </c>
      <c r="H4242" s="2" t="str">
        <f aca="false">IF($G4242="","",4キー同時!$B$331)</f>
        <v/>
      </c>
      <c r="I4242" s="2" t="str">
        <f aca="false">IF($G4242="","",4キー同時!$G$331)</f>
        <v/>
      </c>
      <c r="J4242" s="2" t="str">
        <f aca="false">IF($G4242="","",4キー同時!$L$331)</f>
        <v/>
      </c>
      <c r="K4242" s="2" t="str">
        <f aca="false">IF($G4242="","","d")</f>
        <v/>
      </c>
      <c r="L4242" s="2" t="str">
        <f aca="false">IF($G4242="","","同時")</f>
        <v/>
      </c>
      <c r="M4242" s="2" t="str">
        <f aca="false">IF($G4242="","",IF(ISNA(MATCH($G4242,個別指定!$A:$A,0)),"行なし",""))</f>
        <v/>
      </c>
      <c r="N4242" s="2" t="str">
        <f aca="false">IF($G4242="","",IF(COUNTIF($G$2:$G$4460,$G4242)&gt;1,"重複",""))</f>
        <v/>
      </c>
    </row>
    <row r="4243" customFormat="false" ht="16.5" hidden="false" customHeight="true" outlineLevel="0" collapsed="false">
      <c r="A4243" s="2" t="s">
        <v>447</v>
      </c>
      <c r="B4243" s="2" t="s">
        <v>473</v>
      </c>
      <c r="C4243" s="2" t="s">
        <v>27</v>
      </c>
      <c r="D4243" s="2" t="str">
        <f aca="false">IF(4キー同時!$B$331="","",4キー同時!$B$331)</f>
        <v/>
      </c>
      <c r="E4243" s="2" t="str">
        <f aca="false">IF(4キー同時!$G$331="","",4キー同時!$G$331)</f>
        <v/>
      </c>
      <c r="F4243" s="2" t="str">
        <f aca="false">IF(4キー同時!$L$331="","",4キー同時!$L$331)</f>
        <v/>
      </c>
      <c r="G4243" s="2" t="str">
        <f aca="false">IF(OR(4キー同時!$B$331="",4キー同時!$G$331="",4キー同時!$L$331=""),"",IF(4キー同時!U337="","",SUBSTITUTE(SUBSTITUTE(4キー同時!U337," ",""),"　","")))</f>
        <v/>
      </c>
      <c r="H4243" s="2" t="str">
        <f aca="false">IF($G4243="","",4キー同時!$B$331)</f>
        <v/>
      </c>
      <c r="I4243" s="2" t="str">
        <f aca="false">IF($G4243="","",4キー同時!$G$331)</f>
        <v/>
      </c>
      <c r="J4243" s="2" t="str">
        <f aca="false">IF($G4243="","",4キー同時!$L$331)</f>
        <v/>
      </c>
      <c r="K4243" s="2" t="str">
        <f aca="false">IF($G4243="","","f")</f>
        <v/>
      </c>
      <c r="L4243" s="2" t="str">
        <f aca="false">IF($G4243="","","同時")</f>
        <v/>
      </c>
      <c r="M4243" s="2" t="str">
        <f aca="false">IF($G4243="","",IF(ISNA(MATCH($G4243,個別指定!$A:$A,0)),"行なし",""))</f>
        <v/>
      </c>
      <c r="N4243" s="2" t="str">
        <f aca="false">IF($G4243="","",IF(COUNTIF($G$2:$G$4460,$G4243)&gt;1,"重複",""))</f>
        <v/>
      </c>
    </row>
    <row r="4244" customFormat="false" ht="16.5" hidden="false" customHeight="true" outlineLevel="0" collapsed="false">
      <c r="A4244" s="2" t="s">
        <v>447</v>
      </c>
      <c r="B4244" s="2" t="s">
        <v>473</v>
      </c>
      <c r="C4244" s="2" t="s">
        <v>28</v>
      </c>
      <c r="D4244" s="2" t="str">
        <f aca="false">IF(4キー同時!$B$331="","",4キー同時!$B$331)</f>
        <v/>
      </c>
      <c r="E4244" s="2" t="str">
        <f aca="false">IF(4キー同時!$G$331="","",4キー同時!$G$331)</f>
        <v/>
      </c>
      <c r="F4244" s="2" t="str">
        <f aca="false">IF(4キー同時!$L$331="","",4キー同時!$L$331)</f>
        <v/>
      </c>
      <c r="G4244" s="2" t="str">
        <f aca="false">IF(OR(4キー同時!$B$331="",4キー同時!$G$331="",4キー同時!$L$331=""),"",IF(4キー同時!Y337="","",SUBSTITUTE(SUBSTITUTE(4キー同時!Y337," ",""),"　","")))</f>
        <v/>
      </c>
      <c r="H4244" s="2" t="str">
        <f aca="false">IF($G4244="","",4キー同時!$B$331)</f>
        <v/>
      </c>
      <c r="I4244" s="2" t="str">
        <f aca="false">IF($G4244="","",4キー同時!$G$331)</f>
        <v/>
      </c>
      <c r="J4244" s="2" t="str">
        <f aca="false">IF($G4244="","",4キー同時!$L$331)</f>
        <v/>
      </c>
      <c r="K4244" s="2" t="str">
        <f aca="false">IF($G4244="","","g")</f>
        <v/>
      </c>
      <c r="L4244" s="2" t="str">
        <f aca="false">IF($G4244="","","同時")</f>
        <v/>
      </c>
      <c r="M4244" s="2" t="str">
        <f aca="false">IF($G4244="","",IF(ISNA(MATCH($G4244,個別指定!$A:$A,0)),"行なし",""))</f>
        <v/>
      </c>
      <c r="N4244" s="2" t="str">
        <f aca="false">IF($G4244="","",IF(COUNTIF($G$2:$G$4460,$G4244)&gt;1,"重複",""))</f>
        <v/>
      </c>
    </row>
    <row r="4245" customFormat="false" ht="16.5" hidden="false" customHeight="true" outlineLevel="0" collapsed="false">
      <c r="A4245" s="2" t="s">
        <v>447</v>
      </c>
      <c r="B4245" s="2" t="s">
        <v>473</v>
      </c>
      <c r="C4245" s="2" t="s">
        <v>29</v>
      </c>
      <c r="D4245" s="2" t="str">
        <f aca="false">IF(4キー同時!$B$331="","",4キー同時!$B$331)</f>
        <v/>
      </c>
      <c r="E4245" s="2" t="str">
        <f aca="false">IF(4キー同時!$G$331="","",4キー同時!$G$331)</f>
        <v/>
      </c>
      <c r="F4245" s="2" t="str">
        <f aca="false">IF(4キー同時!$L$331="","",4キー同時!$L$331)</f>
        <v/>
      </c>
      <c r="G4245" s="2" t="str">
        <f aca="false">IF(OR(4キー同時!$B$331="",4キー同時!$G$331="",4キー同時!$L$331=""),"",IF(4キー同時!AC337="","",SUBSTITUTE(SUBSTITUTE(4キー同時!AC337," ",""),"　","")))</f>
        <v/>
      </c>
      <c r="H4245" s="2" t="str">
        <f aca="false">IF($G4245="","",4キー同時!$B$331)</f>
        <v/>
      </c>
      <c r="I4245" s="2" t="str">
        <f aca="false">IF($G4245="","",4キー同時!$G$331)</f>
        <v/>
      </c>
      <c r="J4245" s="2" t="str">
        <f aca="false">IF($G4245="","",4キー同時!$L$331)</f>
        <v/>
      </c>
      <c r="K4245" s="2" t="str">
        <f aca="false">IF($G4245="","","h")</f>
        <v/>
      </c>
      <c r="L4245" s="2" t="str">
        <f aca="false">IF($G4245="","","同時")</f>
        <v/>
      </c>
      <c r="M4245" s="2" t="str">
        <f aca="false">IF($G4245="","",IF(ISNA(MATCH($G4245,個別指定!$A:$A,0)),"行なし",""))</f>
        <v/>
      </c>
      <c r="N4245" s="2" t="str">
        <f aca="false">IF($G4245="","",IF(COUNTIF($G$2:$G$4460,$G4245)&gt;1,"重複",""))</f>
        <v/>
      </c>
    </row>
    <row r="4246" customFormat="false" ht="16.5" hidden="false" customHeight="true" outlineLevel="0" collapsed="false">
      <c r="A4246" s="2" t="s">
        <v>447</v>
      </c>
      <c r="B4246" s="2" t="s">
        <v>473</v>
      </c>
      <c r="C4246" s="2" t="s">
        <v>30</v>
      </c>
      <c r="D4246" s="2" t="str">
        <f aca="false">IF(4キー同時!$B$331="","",4キー同時!$B$331)</f>
        <v/>
      </c>
      <c r="E4246" s="2" t="str">
        <f aca="false">IF(4キー同時!$G$331="","",4キー同時!$G$331)</f>
        <v/>
      </c>
      <c r="F4246" s="2" t="str">
        <f aca="false">IF(4キー同時!$L$331="","",4キー同時!$L$331)</f>
        <v/>
      </c>
      <c r="G4246" s="2" t="str">
        <f aca="false">IF(OR(4キー同時!$B$331="",4キー同時!$G$331="",4キー同時!$L$331=""),"",IF(4キー同時!AG337="","",SUBSTITUTE(SUBSTITUTE(4キー同時!AG337," ",""),"　","")))</f>
        <v/>
      </c>
      <c r="H4246" s="2" t="str">
        <f aca="false">IF($G4246="","",4キー同時!$B$331)</f>
        <v/>
      </c>
      <c r="I4246" s="2" t="str">
        <f aca="false">IF($G4246="","",4キー同時!$G$331)</f>
        <v/>
      </c>
      <c r="J4246" s="2" t="str">
        <f aca="false">IF($G4246="","",4キー同時!$L$331)</f>
        <v/>
      </c>
      <c r="K4246" s="2" t="str">
        <f aca="false">IF($G4246="","","j")</f>
        <v/>
      </c>
      <c r="L4246" s="2" t="str">
        <f aca="false">IF($G4246="","","同時")</f>
        <v/>
      </c>
      <c r="M4246" s="2" t="str">
        <f aca="false">IF($G4246="","",IF(ISNA(MATCH($G4246,個別指定!$A:$A,0)),"行なし",""))</f>
        <v/>
      </c>
      <c r="N4246" s="2" t="str">
        <f aca="false">IF($G4246="","",IF(COUNTIF($G$2:$G$4460,$G4246)&gt;1,"重複",""))</f>
        <v/>
      </c>
    </row>
    <row r="4247" customFormat="false" ht="16.5" hidden="false" customHeight="true" outlineLevel="0" collapsed="false">
      <c r="A4247" s="2" t="s">
        <v>447</v>
      </c>
      <c r="B4247" s="2" t="s">
        <v>473</v>
      </c>
      <c r="C4247" s="2" t="s">
        <v>31</v>
      </c>
      <c r="D4247" s="2" t="str">
        <f aca="false">IF(4キー同時!$B$331="","",4キー同時!$B$331)</f>
        <v/>
      </c>
      <c r="E4247" s="2" t="str">
        <f aca="false">IF(4キー同時!$G$331="","",4キー同時!$G$331)</f>
        <v/>
      </c>
      <c r="F4247" s="2" t="str">
        <f aca="false">IF(4キー同時!$L$331="","",4キー同時!$L$331)</f>
        <v/>
      </c>
      <c r="G4247" s="2" t="str">
        <f aca="false">IF(OR(4キー同時!$B$331="",4キー同時!$G$331="",4キー同時!$L$331=""),"",IF(4キー同時!AK337="","",SUBSTITUTE(SUBSTITUTE(4キー同時!AK337," ",""),"　","")))</f>
        <v/>
      </c>
      <c r="H4247" s="2" t="str">
        <f aca="false">IF($G4247="","",4キー同時!$B$331)</f>
        <v/>
      </c>
      <c r="I4247" s="2" t="str">
        <f aca="false">IF($G4247="","",4キー同時!$G$331)</f>
        <v/>
      </c>
      <c r="J4247" s="2" t="str">
        <f aca="false">IF($G4247="","",4キー同時!$L$331)</f>
        <v/>
      </c>
      <c r="K4247" s="2" t="str">
        <f aca="false">IF($G4247="","","k")</f>
        <v/>
      </c>
      <c r="L4247" s="2" t="str">
        <f aca="false">IF($G4247="","","同時")</f>
        <v/>
      </c>
      <c r="M4247" s="2" t="str">
        <f aca="false">IF($G4247="","",IF(ISNA(MATCH($G4247,個別指定!$A:$A,0)),"行なし",""))</f>
        <v/>
      </c>
      <c r="N4247" s="2" t="str">
        <f aca="false">IF($G4247="","",IF(COUNTIF($G$2:$G$4460,$G4247)&gt;1,"重複",""))</f>
        <v/>
      </c>
    </row>
    <row r="4248" customFormat="false" ht="16.5" hidden="false" customHeight="true" outlineLevel="0" collapsed="false">
      <c r="A4248" s="2" t="s">
        <v>447</v>
      </c>
      <c r="B4248" s="2" t="s">
        <v>473</v>
      </c>
      <c r="C4248" s="2" t="s">
        <v>32</v>
      </c>
      <c r="D4248" s="2" t="str">
        <f aca="false">IF(4キー同時!$B$331="","",4キー同時!$B$331)</f>
        <v/>
      </c>
      <c r="E4248" s="2" t="str">
        <f aca="false">IF(4キー同時!$G$331="","",4キー同時!$G$331)</f>
        <v/>
      </c>
      <c r="F4248" s="2" t="str">
        <f aca="false">IF(4キー同時!$L$331="","",4キー同時!$L$331)</f>
        <v/>
      </c>
      <c r="G4248" s="2" t="str">
        <f aca="false">IF(OR(4キー同時!$B$331="",4キー同時!$G$331="",4キー同時!$L$331=""),"",IF(4キー同時!AO337="","",SUBSTITUTE(SUBSTITUTE(4キー同時!AO337," ",""),"　","")))</f>
        <v/>
      </c>
      <c r="H4248" s="2" t="str">
        <f aca="false">IF($G4248="","",4キー同時!$B$331)</f>
        <v/>
      </c>
      <c r="I4248" s="2" t="str">
        <f aca="false">IF($G4248="","",4キー同時!$G$331)</f>
        <v/>
      </c>
      <c r="J4248" s="2" t="str">
        <f aca="false">IF($G4248="","",4キー同時!$L$331)</f>
        <v/>
      </c>
      <c r="K4248" s="2" t="str">
        <f aca="false">IF($G4248="","","l")</f>
        <v/>
      </c>
      <c r="L4248" s="2" t="str">
        <f aca="false">IF($G4248="","","同時")</f>
        <v/>
      </c>
      <c r="M4248" s="2" t="str">
        <f aca="false">IF($G4248="","",IF(ISNA(MATCH($G4248,個別指定!$A:$A,0)),"行なし",""))</f>
        <v/>
      </c>
      <c r="N4248" s="2" t="str">
        <f aca="false">IF($G4248="","",IF(COUNTIF($G$2:$G$4460,$G4248)&gt;1,"重複",""))</f>
        <v/>
      </c>
    </row>
    <row r="4249" customFormat="false" ht="16.5" hidden="false" customHeight="true" outlineLevel="0" collapsed="false">
      <c r="A4249" s="2" t="s">
        <v>447</v>
      </c>
      <c r="B4249" s="2" t="s">
        <v>473</v>
      </c>
      <c r="C4249" s="2" t="s">
        <v>33</v>
      </c>
      <c r="D4249" s="2" t="str">
        <f aca="false">IF(4キー同時!$B$331="","",4キー同時!$B$331)</f>
        <v/>
      </c>
      <c r="E4249" s="2" t="str">
        <f aca="false">IF(4キー同時!$G$331="","",4キー同時!$G$331)</f>
        <v/>
      </c>
      <c r="F4249" s="2" t="str">
        <f aca="false">IF(4キー同時!$L$331="","",4キー同時!$L$331)</f>
        <v/>
      </c>
      <c r="G4249" s="2" t="str">
        <f aca="false">IF(OR(4キー同時!$B$331="",4キー同時!$G$331="",4キー同時!$L$331=""),"",IF(4キー同時!AS337="","",SUBSTITUTE(SUBSTITUTE(4キー同時!AS337," ",""),"　","")))</f>
        <v/>
      </c>
      <c r="H4249" s="2" t="str">
        <f aca="false">IF($G4249="","",4キー同時!$B$331)</f>
        <v/>
      </c>
      <c r="I4249" s="2" t="str">
        <f aca="false">IF($G4249="","",4キー同時!$G$331)</f>
        <v/>
      </c>
      <c r="J4249" s="2" t="str">
        <f aca="false">IF($G4249="","",4キー同時!$L$331)</f>
        <v/>
      </c>
      <c r="K4249" s="2" t="str">
        <f aca="false">IF($G4249="","",";")</f>
        <v/>
      </c>
      <c r="L4249" s="2" t="str">
        <f aca="false">IF($G4249="","","同時")</f>
        <v/>
      </c>
      <c r="M4249" s="2" t="str">
        <f aca="false">IF($G4249="","",IF(ISNA(MATCH($G4249,個別指定!$A:$A,0)),"行なし",""))</f>
        <v/>
      </c>
      <c r="N4249" s="2" t="str">
        <f aca="false">IF($G4249="","",IF(COUNTIF($G$2:$G$4460,$G4249)&gt;1,"重複",""))</f>
        <v/>
      </c>
    </row>
    <row r="4250" customFormat="false" ht="16.5" hidden="false" customHeight="true" outlineLevel="0" collapsed="false">
      <c r="A4250" s="2" t="s">
        <v>447</v>
      </c>
      <c r="B4250" s="2" t="s">
        <v>473</v>
      </c>
      <c r="C4250" s="2" t="s">
        <v>34</v>
      </c>
      <c r="D4250" s="2" t="str">
        <f aca="false">IF(4キー同時!$B$331="","",4キー同時!$B$331)</f>
        <v/>
      </c>
      <c r="E4250" s="2" t="str">
        <f aca="false">IF(4キー同時!$G$331="","",4キー同時!$G$331)</f>
        <v/>
      </c>
      <c r="F4250" s="2" t="str">
        <f aca="false">IF(4キー同時!$L$331="","",4キー同時!$L$331)</f>
        <v/>
      </c>
      <c r="G4250" s="2" t="str">
        <f aca="false">IF(OR(4キー同時!$B$331="",4キー同時!$G$331="",4キー同時!$L$331=""),"",IF(4キー同時!AW337="","",SUBSTITUTE(SUBSTITUTE(4キー同時!AW337," ",""),"　","")))</f>
        <v/>
      </c>
      <c r="H4250" s="2" t="str">
        <f aca="false">IF($G4250="","",4キー同時!$B$331)</f>
        <v/>
      </c>
      <c r="I4250" s="2" t="str">
        <f aca="false">IF($G4250="","",4キー同時!$G$331)</f>
        <v/>
      </c>
      <c r="J4250" s="2" t="str">
        <f aca="false">IF($G4250="","",4キー同時!$L$331)</f>
        <v/>
      </c>
      <c r="K4250" s="2" t="str">
        <f aca="false">IF($G4250="","","'")</f>
        <v/>
      </c>
      <c r="L4250" s="2" t="str">
        <f aca="false">IF($G4250="","","同時")</f>
        <v/>
      </c>
      <c r="M4250" s="2" t="str">
        <f aca="false">IF($G4250="","",IF(ISNA(MATCH($G4250,個別指定!$A:$A,0)),"行なし",""))</f>
        <v/>
      </c>
      <c r="N4250" s="2" t="str">
        <f aca="false">IF($G4250="","",IF(COUNTIF($G$2:$G$4460,$G4250)&gt;1,"重複",""))</f>
        <v/>
      </c>
    </row>
    <row r="4251" customFormat="false" ht="16.5" hidden="false" customHeight="true" outlineLevel="0" collapsed="false">
      <c r="A4251" s="2" t="s">
        <v>447</v>
      </c>
      <c r="B4251" s="2" t="s">
        <v>473</v>
      </c>
      <c r="C4251" s="2" t="s">
        <v>35</v>
      </c>
      <c r="D4251" s="2" t="str">
        <f aca="false">IF(4キー同時!$B$331="","",4キー同時!$B$331)</f>
        <v/>
      </c>
      <c r="E4251" s="2" t="str">
        <f aca="false">IF(4キー同時!$G$331="","",4キー同時!$G$331)</f>
        <v/>
      </c>
      <c r="F4251" s="2" t="str">
        <f aca="false">IF(4キー同時!$L$331="","",4キー同時!$L$331)</f>
        <v/>
      </c>
      <c r="G4251" s="2" t="str">
        <f aca="false">IF(OR(4キー同時!$B$331="",4キー同時!$G$331="",4キー同時!$L$331=""),"",IF(4キー同時!K339="","",SUBSTITUTE(SUBSTITUTE(4キー同時!K339," ",""),"　","")))</f>
        <v/>
      </c>
      <c r="H4251" s="2" t="str">
        <f aca="false">IF($G4251="","",4キー同時!$B$331)</f>
        <v/>
      </c>
      <c r="I4251" s="2" t="str">
        <f aca="false">IF($G4251="","",4キー同時!$G$331)</f>
        <v/>
      </c>
      <c r="J4251" s="2" t="str">
        <f aca="false">IF($G4251="","",4キー同時!$L$331)</f>
        <v/>
      </c>
      <c r="K4251" s="2" t="str">
        <f aca="false">IF($G4251="","","z")</f>
        <v/>
      </c>
      <c r="L4251" s="2" t="str">
        <f aca="false">IF($G4251="","","同時")</f>
        <v/>
      </c>
      <c r="M4251" s="2" t="str">
        <f aca="false">IF($G4251="","",IF(ISNA(MATCH($G4251,個別指定!$A:$A,0)),"行なし",""))</f>
        <v/>
      </c>
      <c r="N4251" s="2" t="str">
        <f aca="false">IF($G4251="","",IF(COUNTIF($G$2:$G$4460,$G4251)&gt;1,"重複",""))</f>
        <v/>
      </c>
    </row>
    <row r="4252" customFormat="false" ht="16.5" hidden="false" customHeight="true" outlineLevel="0" collapsed="false">
      <c r="A4252" s="2" t="s">
        <v>447</v>
      </c>
      <c r="B4252" s="2" t="s">
        <v>473</v>
      </c>
      <c r="C4252" s="2" t="s">
        <v>36</v>
      </c>
      <c r="D4252" s="2" t="str">
        <f aca="false">IF(4キー同時!$B$331="","",4キー同時!$B$331)</f>
        <v/>
      </c>
      <c r="E4252" s="2" t="str">
        <f aca="false">IF(4キー同時!$G$331="","",4キー同時!$G$331)</f>
        <v/>
      </c>
      <c r="F4252" s="2" t="str">
        <f aca="false">IF(4キー同時!$L$331="","",4キー同時!$L$331)</f>
        <v/>
      </c>
      <c r="G4252" s="2" t="str">
        <f aca="false">IF(OR(4キー同時!$B$331="",4キー同時!$G$331="",4キー同時!$L$331=""),"",IF(4キー同時!O339="","",SUBSTITUTE(SUBSTITUTE(4キー同時!O339," ",""),"　","")))</f>
        <v/>
      </c>
      <c r="H4252" s="2" t="str">
        <f aca="false">IF($G4252="","",4キー同時!$B$331)</f>
        <v/>
      </c>
      <c r="I4252" s="2" t="str">
        <f aca="false">IF($G4252="","",4キー同時!$G$331)</f>
        <v/>
      </c>
      <c r="J4252" s="2" t="str">
        <f aca="false">IF($G4252="","",4キー同時!$L$331)</f>
        <v/>
      </c>
      <c r="K4252" s="2" t="str">
        <f aca="false">IF($G4252="","","x")</f>
        <v/>
      </c>
      <c r="L4252" s="2" t="str">
        <f aca="false">IF($G4252="","","同時")</f>
        <v/>
      </c>
      <c r="M4252" s="2" t="str">
        <f aca="false">IF($G4252="","",IF(ISNA(MATCH($G4252,個別指定!$A:$A,0)),"行なし",""))</f>
        <v/>
      </c>
      <c r="N4252" s="2" t="str">
        <f aca="false">IF($G4252="","",IF(COUNTIF($G$2:$G$4460,$G4252)&gt;1,"重複",""))</f>
        <v/>
      </c>
    </row>
    <row r="4253" customFormat="false" ht="16.5" hidden="false" customHeight="true" outlineLevel="0" collapsed="false">
      <c r="A4253" s="2" t="s">
        <v>447</v>
      </c>
      <c r="B4253" s="2" t="s">
        <v>473</v>
      </c>
      <c r="C4253" s="2" t="s">
        <v>37</v>
      </c>
      <c r="D4253" s="2" t="str">
        <f aca="false">IF(4キー同時!$B$331="","",4キー同時!$B$331)</f>
        <v/>
      </c>
      <c r="E4253" s="2" t="str">
        <f aca="false">IF(4キー同時!$G$331="","",4キー同時!$G$331)</f>
        <v/>
      </c>
      <c r="F4253" s="2" t="str">
        <f aca="false">IF(4キー同時!$L$331="","",4キー同時!$L$331)</f>
        <v/>
      </c>
      <c r="G4253" s="2" t="str">
        <f aca="false">IF(OR(4キー同時!$B$331="",4キー同時!$G$331="",4キー同時!$L$331=""),"",IF(4キー同時!S339="","",SUBSTITUTE(SUBSTITUTE(4キー同時!S339," ",""),"　","")))</f>
        <v/>
      </c>
      <c r="H4253" s="2" t="str">
        <f aca="false">IF($G4253="","",4キー同時!$B$331)</f>
        <v/>
      </c>
      <c r="I4253" s="2" t="str">
        <f aca="false">IF($G4253="","",4キー同時!$G$331)</f>
        <v/>
      </c>
      <c r="J4253" s="2" t="str">
        <f aca="false">IF($G4253="","",4キー同時!$L$331)</f>
        <v/>
      </c>
      <c r="K4253" s="2" t="str">
        <f aca="false">IF($G4253="","","c")</f>
        <v/>
      </c>
      <c r="L4253" s="2" t="str">
        <f aca="false">IF($G4253="","","同時")</f>
        <v/>
      </c>
      <c r="M4253" s="2" t="str">
        <f aca="false">IF($G4253="","",IF(ISNA(MATCH($G4253,個別指定!$A:$A,0)),"行なし",""))</f>
        <v/>
      </c>
      <c r="N4253" s="2" t="str">
        <f aca="false">IF($G4253="","",IF(COUNTIF($G$2:$G$4460,$G4253)&gt;1,"重複",""))</f>
        <v/>
      </c>
    </row>
    <row r="4254" customFormat="false" ht="16.5" hidden="false" customHeight="true" outlineLevel="0" collapsed="false">
      <c r="A4254" s="2" t="s">
        <v>447</v>
      </c>
      <c r="B4254" s="2" t="s">
        <v>473</v>
      </c>
      <c r="C4254" s="2" t="s">
        <v>38</v>
      </c>
      <c r="D4254" s="2" t="str">
        <f aca="false">IF(4キー同時!$B$331="","",4キー同時!$B$331)</f>
        <v/>
      </c>
      <c r="E4254" s="2" t="str">
        <f aca="false">IF(4キー同時!$G$331="","",4キー同時!$G$331)</f>
        <v/>
      </c>
      <c r="F4254" s="2" t="str">
        <f aca="false">IF(4キー同時!$L$331="","",4キー同時!$L$331)</f>
        <v/>
      </c>
      <c r="G4254" s="2" t="str">
        <f aca="false">IF(OR(4キー同時!$B$331="",4キー同時!$G$331="",4キー同時!$L$331=""),"",IF(4キー同時!W339="","",SUBSTITUTE(SUBSTITUTE(4キー同時!W339," ",""),"　","")))</f>
        <v/>
      </c>
      <c r="H4254" s="2" t="str">
        <f aca="false">IF($G4254="","",4キー同時!$B$331)</f>
        <v/>
      </c>
      <c r="I4254" s="2" t="str">
        <f aca="false">IF($G4254="","",4キー同時!$G$331)</f>
        <v/>
      </c>
      <c r="J4254" s="2" t="str">
        <f aca="false">IF($G4254="","",4キー同時!$L$331)</f>
        <v/>
      </c>
      <c r="K4254" s="2" t="str">
        <f aca="false">IF($G4254="","","v")</f>
        <v/>
      </c>
      <c r="L4254" s="2" t="str">
        <f aca="false">IF($G4254="","","同時")</f>
        <v/>
      </c>
      <c r="M4254" s="2" t="str">
        <f aca="false">IF($G4254="","",IF(ISNA(MATCH($G4254,個別指定!$A:$A,0)),"行なし",""))</f>
        <v/>
      </c>
      <c r="N4254" s="2" t="str">
        <f aca="false">IF($G4254="","",IF(COUNTIF($G$2:$G$4460,$G4254)&gt;1,"重複",""))</f>
        <v/>
      </c>
    </row>
    <row r="4255" customFormat="false" ht="16.5" hidden="false" customHeight="true" outlineLevel="0" collapsed="false">
      <c r="A4255" s="2" t="s">
        <v>447</v>
      </c>
      <c r="B4255" s="2" t="s">
        <v>473</v>
      </c>
      <c r="C4255" s="2" t="s">
        <v>39</v>
      </c>
      <c r="D4255" s="2" t="str">
        <f aca="false">IF(4キー同時!$B$331="","",4キー同時!$B$331)</f>
        <v/>
      </c>
      <c r="E4255" s="2" t="str">
        <f aca="false">IF(4キー同時!$G$331="","",4キー同時!$G$331)</f>
        <v/>
      </c>
      <c r="F4255" s="2" t="str">
        <f aca="false">IF(4キー同時!$L$331="","",4キー同時!$L$331)</f>
        <v/>
      </c>
      <c r="G4255" s="2" t="str">
        <f aca="false">IF(OR(4キー同時!$B$331="",4キー同時!$G$331="",4キー同時!$L$331=""),"",IF(4キー同時!AA339="","",SUBSTITUTE(SUBSTITUTE(4キー同時!AA339," ",""),"　","")))</f>
        <v/>
      </c>
      <c r="H4255" s="2" t="str">
        <f aca="false">IF($G4255="","",4キー同時!$B$331)</f>
        <v/>
      </c>
      <c r="I4255" s="2" t="str">
        <f aca="false">IF($G4255="","",4キー同時!$G$331)</f>
        <v/>
      </c>
      <c r="J4255" s="2" t="str">
        <f aca="false">IF($G4255="","",4キー同時!$L$331)</f>
        <v/>
      </c>
      <c r="K4255" s="2" t="str">
        <f aca="false">IF($G4255="","","b")</f>
        <v/>
      </c>
      <c r="L4255" s="2" t="str">
        <f aca="false">IF($G4255="","","同時")</f>
        <v/>
      </c>
      <c r="M4255" s="2" t="str">
        <f aca="false">IF($G4255="","",IF(ISNA(MATCH($G4255,個別指定!$A:$A,0)),"行なし",""))</f>
        <v/>
      </c>
      <c r="N4255" s="2" t="str">
        <f aca="false">IF($G4255="","",IF(COUNTIF($G$2:$G$4460,$G4255)&gt;1,"重複",""))</f>
        <v/>
      </c>
    </row>
    <row r="4256" customFormat="false" ht="16.5" hidden="false" customHeight="true" outlineLevel="0" collapsed="false">
      <c r="A4256" s="2" t="s">
        <v>447</v>
      </c>
      <c r="B4256" s="2" t="s">
        <v>473</v>
      </c>
      <c r="C4256" s="2" t="s">
        <v>40</v>
      </c>
      <c r="D4256" s="2" t="str">
        <f aca="false">IF(4キー同時!$B$331="","",4キー同時!$B$331)</f>
        <v/>
      </c>
      <c r="E4256" s="2" t="str">
        <f aca="false">IF(4キー同時!$G$331="","",4キー同時!$G$331)</f>
        <v/>
      </c>
      <c r="F4256" s="2" t="str">
        <f aca="false">IF(4キー同時!$L$331="","",4キー同時!$L$331)</f>
        <v/>
      </c>
      <c r="G4256" s="2" t="str">
        <f aca="false">IF(OR(4キー同時!$B$331="",4キー同時!$G$331="",4キー同時!$L$331=""),"",IF(4キー同時!AE339="","",SUBSTITUTE(SUBSTITUTE(4キー同時!AE339," ",""),"　","")))</f>
        <v/>
      </c>
      <c r="H4256" s="2" t="str">
        <f aca="false">IF($G4256="","",4キー同時!$B$331)</f>
        <v/>
      </c>
      <c r="I4256" s="2" t="str">
        <f aca="false">IF($G4256="","",4キー同時!$G$331)</f>
        <v/>
      </c>
      <c r="J4256" s="2" t="str">
        <f aca="false">IF($G4256="","",4キー同時!$L$331)</f>
        <v/>
      </c>
      <c r="K4256" s="2" t="str">
        <f aca="false">IF($G4256="","","n")</f>
        <v/>
      </c>
      <c r="L4256" s="2" t="str">
        <f aca="false">IF($G4256="","","同時")</f>
        <v/>
      </c>
      <c r="M4256" s="2" t="str">
        <f aca="false">IF($G4256="","",IF(ISNA(MATCH($G4256,個別指定!$A:$A,0)),"行なし",""))</f>
        <v/>
      </c>
      <c r="N4256" s="2" t="str">
        <f aca="false">IF($G4256="","",IF(COUNTIF($G$2:$G$4460,$G4256)&gt;1,"重複",""))</f>
        <v/>
      </c>
    </row>
    <row r="4257" customFormat="false" ht="16.5" hidden="false" customHeight="true" outlineLevel="0" collapsed="false">
      <c r="A4257" s="2" t="s">
        <v>447</v>
      </c>
      <c r="B4257" s="2" t="s">
        <v>473</v>
      </c>
      <c r="C4257" s="2" t="s">
        <v>41</v>
      </c>
      <c r="D4257" s="2" t="str">
        <f aca="false">IF(4キー同時!$B$331="","",4キー同時!$B$331)</f>
        <v/>
      </c>
      <c r="E4257" s="2" t="str">
        <f aca="false">IF(4キー同時!$G$331="","",4キー同時!$G$331)</f>
        <v/>
      </c>
      <c r="F4257" s="2" t="str">
        <f aca="false">IF(4キー同時!$L$331="","",4キー同時!$L$331)</f>
        <v/>
      </c>
      <c r="G4257" s="2" t="str">
        <f aca="false">IF(OR(4キー同時!$B$331="",4キー同時!$G$331="",4キー同時!$L$331=""),"",IF(4キー同時!AI339="","",SUBSTITUTE(SUBSTITUTE(4キー同時!AI339," ",""),"　","")))</f>
        <v/>
      </c>
      <c r="H4257" s="2" t="str">
        <f aca="false">IF($G4257="","",4キー同時!$B$331)</f>
        <v/>
      </c>
      <c r="I4257" s="2" t="str">
        <f aca="false">IF($G4257="","",4キー同時!$G$331)</f>
        <v/>
      </c>
      <c r="J4257" s="2" t="str">
        <f aca="false">IF($G4257="","",4キー同時!$L$331)</f>
        <v/>
      </c>
      <c r="K4257" s="2" t="str">
        <f aca="false">IF($G4257="","","m")</f>
        <v/>
      </c>
      <c r="L4257" s="2" t="str">
        <f aca="false">IF($G4257="","","同時")</f>
        <v/>
      </c>
      <c r="M4257" s="2" t="str">
        <f aca="false">IF($G4257="","",IF(ISNA(MATCH($G4257,個別指定!$A:$A,0)),"行なし",""))</f>
        <v/>
      </c>
      <c r="N4257" s="2" t="str">
        <f aca="false">IF($G4257="","",IF(COUNTIF($G$2:$G$4460,$G4257)&gt;1,"重複",""))</f>
        <v/>
      </c>
    </row>
    <row r="4258" customFormat="false" ht="16.5" hidden="false" customHeight="true" outlineLevel="0" collapsed="false">
      <c r="A4258" s="2" t="s">
        <v>447</v>
      </c>
      <c r="B4258" s="2" t="s">
        <v>473</v>
      </c>
      <c r="C4258" s="2" t="s">
        <v>42</v>
      </c>
      <c r="D4258" s="2" t="str">
        <f aca="false">IF(4キー同時!$B$331="","",4キー同時!$B$331)</f>
        <v/>
      </c>
      <c r="E4258" s="2" t="str">
        <f aca="false">IF(4キー同時!$G$331="","",4キー同時!$G$331)</f>
        <v/>
      </c>
      <c r="F4258" s="2" t="str">
        <f aca="false">IF(4キー同時!$L$331="","",4キー同時!$L$331)</f>
        <v/>
      </c>
      <c r="G4258" s="2" t="str">
        <f aca="false">IF(OR(4キー同時!$B$331="",4キー同時!$G$331="",4キー同時!$L$331=""),"",IF(4キー同時!AM339="","",SUBSTITUTE(SUBSTITUTE(4キー同時!AM339," ",""),"　","")))</f>
        <v/>
      </c>
      <c r="H4258" s="2" t="str">
        <f aca="false">IF($G4258="","",4キー同時!$B$331)</f>
        <v/>
      </c>
      <c r="I4258" s="2" t="str">
        <f aca="false">IF($G4258="","",4キー同時!$G$331)</f>
        <v/>
      </c>
      <c r="J4258" s="2" t="str">
        <f aca="false">IF($G4258="","",4キー同時!$L$331)</f>
        <v/>
      </c>
      <c r="K4258" s="2" t="str">
        <f aca="false">IF($G4258="","",",")</f>
        <v/>
      </c>
      <c r="L4258" s="2" t="str">
        <f aca="false">IF($G4258="","","同時")</f>
        <v/>
      </c>
      <c r="M4258" s="2" t="str">
        <f aca="false">IF($G4258="","",IF(ISNA(MATCH($G4258,個別指定!$A:$A,0)),"行なし",""))</f>
        <v/>
      </c>
      <c r="N4258" s="2" t="str">
        <f aca="false">IF($G4258="","",IF(COUNTIF($G$2:$G$4460,$G4258)&gt;1,"重複",""))</f>
        <v/>
      </c>
    </row>
    <row r="4259" customFormat="false" ht="16.5" hidden="false" customHeight="true" outlineLevel="0" collapsed="false">
      <c r="A4259" s="2" t="s">
        <v>447</v>
      </c>
      <c r="B4259" s="2" t="s">
        <v>473</v>
      </c>
      <c r="C4259" s="2" t="s">
        <v>43</v>
      </c>
      <c r="D4259" s="2" t="str">
        <f aca="false">IF(4キー同時!$B$331="","",4キー同時!$B$331)</f>
        <v/>
      </c>
      <c r="E4259" s="2" t="str">
        <f aca="false">IF(4キー同時!$G$331="","",4キー同時!$G$331)</f>
        <v/>
      </c>
      <c r="F4259" s="2" t="str">
        <f aca="false">IF(4キー同時!$L$331="","",4キー同時!$L$331)</f>
        <v/>
      </c>
      <c r="G4259" s="2" t="str">
        <f aca="false">IF(OR(4キー同時!$B$331="",4キー同時!$G$331="",4キー同時!$L$331=""),"",IF(4キー同時!AQ339="","",SUBSTITUTE(SUBSTITUTE(4キー同時!AQ339," ",""),"　","")))</f>
        <v/>
      </c>
      <c r="H4259" s="2" t="str">
        <f aca="false">IF($G4259="","",4キー同時!$B$331)</f>
        <v/>
      </c>
      <c r="I4259" s="2" t="str">
        <f aca="false">IF($G4259="","",4キー同時!$G$331)</f>
        <v/>
      </c>
      <c r="J4259" s="2" t="str">
        <f aca="false">IF($G4259="","",4キー同時!$L$331)</f>
        <v/>
      </c>
      <c r="K4259" s="2" t="str">
        <f aca="false">IF($G4259="","",".")</f>
        <v/>
      </c>
      <c r="L4259" s="2" t="str">
        <f aca="false">IF($G4259="","","同時")</f>
        <v/>
      </c>
      <c r="M4259" s="2" t="str">
        <f aca="false">IF($G4259="","",IF(ISNA(MATCH($G4259,個別指定!$A:$A,0)),"行なし",""))</f>
        <v/>
      </c>
      <c r="N4259" s="2" t="str">
        <f aca="false">IF($G4259="","",IF(COUNTIF($G$2:$G$4460,$G4259)&gt;1,"重複",""))</f>
        <v/>
      </c>
    </row>
    <row r="4260" customFormat="false" ht="16.5" hidden="false" customHeight="true" outlineLevel="0" collapsed="false">
      <c r="A4260" s="2" t="s">
        <v>447</v>
      </c>
      <c r="B4260" s="2" t="s">
        <v>473</v>
      </c>
      <c r="C4260" s="2" t="s">
        <v>44</v>
      </c>
      <c r="D4260" s="2" t="str">
        <f aca="false">IF(4キー同時!$B$331="","",4キー同時!$B$331)</f>
        <v/>
      </c>
      <c r="E4260" s="2" t="str">
        <f aca="false">IF(4キー同時!$G$331="","",4キー同時!$G$331)</f>
        <v/>
      </c>
      <c r="F4260" s="2" t="str">
        <f aca="false">IF(4キー同時!$L$331="","",4キー同時!$L$331)</f>
        <v/>
      </c>
      <c r="G4260" s="2" t="str">
        <f aca="false">IF(OR(4キー同時!$B$331="",4キー同時!$G$331="",4キー同時!$L$331=""),"",IF(4キー同時!AU339="","",SUBSTITUTE(SUBSTITUTE(4キー同時!AU339," ",""),"　","")))</f>
        <v/>
      </c>
      <c r="H4260" s="2" t="str">
        <f aca="false">IF($G4260="","",4キー同時!$B$331)</f>
        <v/>
      </c>
      <c r="I4260" s="2" t="str">
        <f aca="false">IF($G4260="","",4キー同時!$G$331)</f>
        <v/>
      </c>
      <c r="J4260" s="2" t="str">
        <f aca="false">IF($G4260="","",4キー同時!$L$331)</f>
        <v/>
      </c>
      <c r="K4260" s="2" t="str">
        <f aca="false">IF($G4260="","","/")</f>
        <v/>
      </c>
      <c r="L4260" s="2" t="str">
        <f aca="false">IF($G4260="","","同時")</f>
        <v/>
      </c>
      <c r="M4260" s="2" t="str">
        <f aca="false">IF($G4260="","",IF(ISNA(MATCH($G4260,個別指定!$A:$A,0)),"行なし",""))</f>
        <v/>
      </c>
      <c r="N4260" s="2" t="str">
        <f aca="false">IF($G4260="","",IF(COUNTIF($G$2:$G$4460,$G4260)&gt;1,"重複",""))</f>
        <v/>
      </c>
    </row>
    <row r="4261" customFormat="false" ht="16.5" hidden="false" customHeight="true" outlineLevel="0" collapsed="false">
      <c r="A4261" s="2" t="s">
        <v>447</v>
      </c>
      <c r="B4261" s="2" t="s">
        <v>473</v>
      </c>
      <c r="C4261" s="2" t="s">
        <v>48</v>
      </c>
      <c r="D4261" s="2" t="str">
        <f aca="false">IF(4キー同時!$B$331="","",4キー同時!$B$331)</f>
        <v/>
      </c>
      <c r="E4261" s="2" t="str">
        <f aca="false">IF(4キー同時!$G$331="","",4キー同時!$G$331)</f>
        <v/>
      </c>
      <c r="F4261" s="2" t="str">
        <f aca="false">IF(4キー同時!$L$331="","",4キー同時!$L$331)</f>
        <v/>
      </c>
      <c r="G4261" s="2" t="str">
        <f aca="false">IF(OR(4キー同時!$B$331="",4キー同時!$G$331="",4キー同時!$L$331=""),"",IF(4キー同時!P341="","",SUBSTITUTE(SUBSTITUTE(4キー同時!P341," ",""),"　","")))</f>
        <v/>
      </c>
      <c r="H4261" s="2" t="str">
        <f aca="false">IF($G4261="","",4キー同時!$B$331)</f>
        <v/>
      </c>
      <c r="I4261" s="2" t="str">
        <f aca="false">IF($G4261="","",4キー同時!$G$331)</f>
        <v/>
      </c>
      <c r="J4261" s="2" t="str">
        <f aca="false">IF($G4261="","",4キー同時!$L$331)</f>
        <v/>
      </c>
      <c r="K4261" s="2" t="str">
        <f aca="false">IF($G4261="","","muhenkan")</f>
        <v/>
      </c>
      <c r="L4261" s="2" t="str">
        <f aca="false">IF($G4261="","","同時")</f>
        <v/>
      </c>
      <c r="M4261" s="2" t="str">
        <f aca="false">IF($G4261="","",IF(ISNA(MATCH($G4261,個別指定!$A:$A,0)),"行なし",""))</f>
        <v/>
      </c>
      <c r="N4261" s="2" t="str">
        <f aca="false">IF($G4261="","",IF(COUNTIF($G$2:$G$4460,$G4261)&gt;1,"重複",""))</f>
        <v/>
      </c>
    </row>
    <row r="4262" customFormat="false" ht="16.5" hidden="false" customHeight="true" outlineLevel="0" collapsed="false">
      <c r="A4262" s="2" t="s">
        <v>447</v>
      </c>
      <c r="B4262" s="2" t="s">
        <v>473</v>
      </c>
      <c r="C4262" s="2" t="s">
        <v>50</v>
      </c>
      <c r="D4262" s="2" t="str">
        <f aca="false">IF(4キー同時!$B$331="","",4キー同時!$B$331)</f>
        <v/>
      </c>
      <c r="E4262" s="2" t="str">
        <f aca="false">IF(4キー同時!$G$331="","",4キー同時!$G$331)</f>
        <v/>
      </c>
      <c r="F4262" s="2" t="str">
        <f aca="false">IF(4キー同時!$L$331="","",4キー同時!$L$331)</f>
        <v/>
      </c>
      <c r="G4262" s="2" t="str">
        <f aca="false">IF(OR(4キー同時!$B$331="",4キー同時!$G$331="",4キー同時!$L$331=""),"",IF(4キー同時!T341="","",SUBSTITUTE(SUBSTITUTE(4キー同時!T341," ",""),"　","")))</f>
        <v/>
      </c>
      <c r="H4262" s="2" t="str">
        <f aca="false">IF($G4262="","",4キー同時!$B$331)</f>
        <v/>
      </c>
      <c r="I4262" s="2" t="str">
        <f aca="false">IF($G4262="","",4キー同時!$G$331)</f>
        <v/>
      </c>
      <c r="J4262" s="2" t="str">
        <f aca="false">IF($G4262="","",4キー同時!$L$331)</f>
        <v/>
      </c>
      <c r="K4262" s="2" t="str">
        <f aca="false">IF($G4262="","","space")</f>
        <v/>
      </c>
      <c r="L4262" s="2" t="str">
        <f aca="false">IF($G4262="","","同時")</f>
        <v/>
      </c>
      <c r="M4262" s="2" t="str">
        <f aca="false">IF($G4262="","",IF(ISNA(MATCH($G4262,個別指定!$A:$A,0)),"行なし",""))</f>
        <v/>
      </c>
      <c r="N4262" s="2" t="str">
        <f aca="false">IF($G4262="","",IF(COUNTIF($G$2:$G$4460,$G4262)&gt;1,"重複",""))</f>
        <v/>
      </c>
    </row>
    <row r="4263" customFormat="false" ht="16.5" hidden="false" customHeight="true" outlineLevel="0" collapsed="false">
      <c r="A4263" s="2" t="s">
        <v>447</v>
      </c>
      <c r="B4263" s="2" t="s">
        <v>473</v>
      </c>
      <c r="C4263" s="2" t="s">
        <v>45</v>
      </c>
      <c r="D4263" s="2" t="str">
        <f aca="false">IF(4キー同時!$B$331="","",4キー同時!$B$331)</f>
        <v/>
      </c>
      <c r="E4263" s="2" t="str">
        <f aca="false">IF(4キー同時!$G$331="","",4キー同時!$G$331)</f>
        <v/>
      </c>
      <c r="F4263" s="2" t="str">
        <f aca="false">IF(4キー同時!$L$331="","",4キー同時!$L$331)</f>
        <v/>
      </c>
      <c r="G4263" s="2" t="str">
        <f aca="false">IF(OR(4キー同時!$B$331="",4キー同時!$G$331="",4キー同時!$L$331=""),"",IF(4キー同時!AL341="","",SUBSTITUTE(SUBSTITUTE(4キー同時!AL341," ",""),"　","")))</f>
        <v/>
      </c>
      <c r="H4263" s="2" t="str">
        <f aca="false">IF($G4263="","",4キー同時!$B$331)</f>
        <v/>
      </c>
      <c r="I4263" s="2" t="str">
        <f aca="false">IF($G4263="","",4キー同時!$G$331)</f>
        <v/>
      </c>
      <c r="J4263" s="2" t="str">
        <f aca="false">IF($G4263="","",4キー同時!$L$331)</f>
        <v/>
      </c>
      <c r="K4263" s="2" t="str">
        <f aca="false">IF($G4263="","","henkan")</f>
        <v/>
      </c>
      <c r="L4263" s="2" t="str">
        <f aca="false">IF($G4263="","","同時")</f>
        <v/>
      </c>
      <c r="M4263" s="2" t="str">
        <f aca="false">IF($G4263="","",IF(ISNA(MATCH($G4263,個別指定!$A:$A,0)),"行なし",""))</f>
        <v/>
      </c>
      <c r="N4263" s="2" t="str">
        <f aca="false">IF($G4263="","",IF(COUNTIF($G$2:$G$4460,$G4263)&gt;1,"重複",""))</f>
        <v/>
      </c>
    </row>
    <row r="4264" customFormat="false" ht="16.5" hidden="false" customHeight="true" outlineLevel="0" collapsed="false">
      <c r="A4264" s="2" t="s">
        <v>447</v>
      </c>
      <c r="B4264" s="2" t="s">
        <v>473</v>
      </c>
      <c r="C4264" s="2" t="s">
        <v>46</v>
      </c>
      <c r="D4264" s="2" t="str">
        <f aca="false">IF(4キー同時!$B$331="","",4キー同時!$B$331)</f>
        <v/>
      </c>
      <c r="E4264" s="2" t="str">
        <f aca="false">IF(4キー同時!$G$331="","",4キー同時!$G$331)</f>
        <v/>
      </c>
      <c r="F4264" s="2" t="str">
        <f aca="false">IF(4キー同時!$L$331="","",4キー同時!$L$331)</f>
        <v/>
      </c>
      <c r="G4264" s="2" t="str">
        <f aca="false">IF(OR(4キー同時!$B$331="",4キー同時!$G$331="",4キー同時!$L$331=""),"",IF(4キー同時!AP341="","",SUBSTITUTE(SUBSTITUTE(4キー同時!AP341," ",""),"　","")))</f>
        <v/>
      </c>
      <c r="H4264" s="2" t="str">
        <f aca="false">IF($G4264="","",4キー同時!$B$331)</f>
        <v/>
      </c>
      <c r="I4264" s="2" t="str">
        <f aca="false">IF($G4264="","",4キー同時!$G$331)</f>
        <v/>
      </c>
      <c r="J4264" s="2" t="str">
        <f aca="false">IF($G4264="","",4キー同時!$L$331)</f>
        <v/>
      </c>
      <c r="K4264" s="2" t="str">
        <f aca="false">IF($G4264="","","kana")</f>
        <v/>
      </c>
      <c r="L4264" s="2" t="str">
        <f aca="false">IF($G4264="","","同時")</f>
        <v/>
      </c>
      <c r="M4264" s="2" t="str">
        <f aca="false">IF($G4264="","",IF(ISNA(MATCH($G4264,個別指定!$A:$A,0)),"行なし",""))</f>
        <v/>
      </c>
      <c r="N4264" s="2" t="str">
        <f aca="false">IF($G4264="","",IF(COUNTIF($G$2:$G$4460,$G4264)&gt;1,"重複",""))</f>
        <v/>
      </c>
    </row>
    <row r="4265" customFormat="false" ht="16.5" hidden="false" customHeight="true" outlineLevel="0" collapsed="false">
      <c r="A4265" s="2" t="s">
        <v>447</v>
      </c>
      <c r="B4265" s="2" t="s">
        <v>474</v>
      </c>
      <c r="C4265" s="2" t="s">
        <v>0</v>
      </c>
      <c r="D4265" s="2" t="str">
        <f aca="false">IF(4キー同時!$B$344="","",4キー同時!$B$344)</f>
        <v/>
      </c>
      <c r="E4265" s="2" t="str">
        <f aca="false">IF(4キー同時!$G$344="","",4キー同時!$G$344)</f>
        <v/>
      </c>
      <c r="F4265" s="2" t="str">
        <f aca="false">IF(4キー同時!$L$344="","",4キー同時!$L$344)</f>
        <v/>
      </c>
      <c r="G4265" s="2" t="str">
        <f aca="false">IF(OR(4キー同時!$B$344="",4キー同時!$G$344="",4キー同時!$L$344=""),"",IF(4キー同時!F346="","",SUBSTITUTE(SUBSTITUTE(4キー同時!F346," ",""),"　","")))</f>
        <v/>
      </c>
      <c r="H4265" s="2" t="str">
        <f aca="false">IF($G4265="","",4キー同時!$B$344)</f>
        <v/>
      </c>
      <c r="I4265" s="2" t="str">
        <f aca="false">IF($G4265="","",4キー同時!$G$344)</f>
        <v/>
      </c>
      <c r="J4265" s="2" t="str">
        <f aca="false">IF($G4265="","",4キー同時!$L$344)</f>
        <v/>
      </c>
      <c r="K4265" s="2" t="str">
        <f aca="false">IF($G4265="","","1")</f>
        <v/>
      </c>
      <c r="L4265" s="2" t="str">
        <f aca="false">IF($G4265="","","同時")</f>
        <v/>
      </c>
      <c r="M4265" s="2" t="str">
        <f aca="false">IF($G4265="","",IF(ISNA(MATCH($G4265,個別指定!$A:$A,0)),"行なし",""))</f>
        <v/>
      </c>
      <c r="N4265" s="2" t="str">
        <f aca="false">IF($G4265="","",IF(COUNTIF($G$2:$G$4460,$G4265)&gt;1,"重複",""))</f>
        <v/>
      </c>
    </row>
    <row r="4266" customFormat="false" ht="16.5" hidden="false" customHeight="true" outlineLevel="0" collapsed="false">
      <c r="A4266" s="2" t="s">
        <v>447</v>
      </c>
      <c r="B4266" s="2" t="s">
        <v>474</v>
      </c>
      <c r="C4266" s="2" t="s">
        <v>1</v>
      </c>
      <c r="D4266" s="2" t="str">
        <f aca="false">IF(4キー同時!$B$344="","",4キー同時!$B$344)</f>
        <v/>
      </c>
      <c r="E4266" s="2" t="str">
        <f aca="false">IF(4キー同時!$G$344="","",4キー同時!$G$344)</f>
        <v/>
      </c>
      <c r="F4266" s="2" t="str">
        <f aca="false">IF(4キー同時!$L$344="","",4キー同時!$L$344)</f>
        <v/>
      </c>
      <c r="G4266" s="2" t="str">
        <f aca="false">IF(OR(4キー同時!$B$344="",4キー同時!$G$344="",4キー同時!$L$344=""),"",IF(4キー同時!J346="","",SUBSTITUTE(SUBSTITUTE(4キー同時!J346," ",""),"　","")))</f>
        <v/>
      </c>
      <c r="H4266" s="2" t="str">
        <f aca="false">IF($G4266="","",4キー同時!$B$344)</f>
        <v/>
      </c>
      <c r="I4266" s="2" t="str">
        <f aca="false">IF($G4266="","",4キー同時!$G$344)</f>
        <v/>
      </c>
      <c r="J4266" s="2" t="str">
        <f aca="false">IF($G4266="","",4キー同時!$L$344)</f>
        <v/>
      </c>
      <c r="K4266" s="2" t="str">
        <f aca="false">IF($G4266="","","2")</f>
        <v/>
      </c>
      <c r="L4266" s="2" t="str">
        <f aca="false">IF($G4266="","","同時")</f>
        <v/>
      </c>
      <c r="M4266" s="2" t="str">
        <f aca="false">IF($G4266="","",IF(ISNA(MATCH($G4266,個別指定!$A:$A,0)),"行なし",""))</f>
        <v/>
      </c>
      <c r="N4266" s="2" t="str">
        <f aca="false">IF($G4266="","",IF(COUNTIF($G$2:$G$4460,$G4266)&gt;1,"重複",""))</f>
        <v/>
      </c>
    </row>
    <row r="4267" customFormat="false" ht="16.5" hidden="false" customHeight="true" outlineLevel="0" collapsed="false">
      <c r="A4267" s="2" t="s">
        <v>447</v>
      </c>
      <c r="B4267" s="2" t="s">
        <v>474</v>
      </c>
      <c r="C4267" s="2" t="s">
        <v>2</v>
      </c>
      <c r="D4267" s="2" t="str">
        <f aca="false">IF(4キー同時!$B$344="","",4キー同時!$B$344)</f>
        <v/>
      </c>
      <c r="E4267" s="2" t="str">
        <f aca="false">IF(4キー同時!$G$344="","",4キー同時!$G$344)</f>
        <v/>
      </c>
      <c r="F4267" s="2" t="str">
        <f aca="false">IF(4キー同時!$L$344="","",4キー同時!$L$344)</f>
        <v/>
      </c>
      <c r="G4267" s="2" t="str">
        <f aca="false">IF(OR(4キー同時!$B$344="",4キー同時!$G$344="",4キー同時!$L$344=""),"",IF(4キー同時!N346="","",SUBSTITUTE(SUBSTITUTE(4キー同時!N346," ",""),"　","")))</f>
        <v/>
      </c>
      <c r="H4267" s="2" t="str">
        <f aca="false">IF($G4267="","",4キー同時!$B$344)</f>
        <v/>
      </c>
      <c r="I4267" s="2" t="str">
        <f aca="false">IF($G4267="","",4キー同時!$G$344)</f>
        <v/>
      </c>
      <c r="J4267" s="2" t="str">
        <f aca="false">IF($G4267="","",4キー同時!$L$344)</f>
        <v/>
      </c>
      <c r="K4267" s="2" t="str">
        <f aca="false">IF($G4267="","","3")</f>
        <v/>
      </c>
      <c r="L4267" s="2" t="str">
        <f aca="false">IF($G4267="","","同時")</f>
        <v/>
      </c>
      <c r="M4267" s="2" t="str">
        <f aca="false">IF($G4267="","",IF(ISNA(MATCH($G4267,個別指定!$A:$A,0)),"行なし",""))</f>
        <v/>
      </c>
      <c r="N4267" s="2" t="str">
        <f aca="false">IF($G4267="","",IF(COUNTIF($G$2:$G$4460,$G4267)&gt;1,"重複",""))</f>
        <v/>
      </c>
    </row>
    <row r="4268" customFormat="false" ht="16.5" hidden="false" customHeight="true" outlineLevel="0" collapsed="false">
      <c r="A4268" s="2" t="s">
        <v>447</v>
      </c>
      <c r="B4268" s="2" t="s">
        <v>474</v>
      </c>
      <c r="C4268" s="2" t="s">
        <v>3</v>
      </c>
      <c r="D4268" s="2" t="str">
        <f aca="false">IF(4キー同時!$B$344="","",4キー同時!$B$344)</f>
        <v/>
      </c>
      <c r="E4268" s="2" t="str">
        <f aca="false">IF(4キー同時!$G$344="","",4キー同時!$G$344)</f>
        <v/>
      </c>
      <c r="F4268" s="2" t="str">
        <f aca="false">IF(4キー同時!$L$344="","",4キー同時!$L$344)</f>
        <v/>
      </c>
      <c r="G4268" s="2" t="str">
        <f aca="false">IF(OR(4キー同時!$B$344="",4キー同時!$G$344="",4キー同時!$L$344=""),"",IF(4キー同時!R346="","",SUBSTITUTE(SUBSTITUTE(4キー同時!R346," ",""),"　","")))</f>
        <v/>
      </c>
      <c r="H4268" s="2" t="str">
        <f aca="false">IF($G4268="","",4キー同時!$B$344)</f>
        <v/>
      </c>
      <c r="I4268" s="2" t="str">
        <f aca="false">IF($G4268="","",4キー同時!$G$344)</f>
        <v/>
      </c>
      <c r="J4268" s="2" t="str">
        <f aca="false">IF($G4268="","",4キー同時!$L$344)</f>
        <v/>
      </c>
      <c r="K4268" s="2" t="str">
        <f aca="false">IF($G4268="","","4")</f>
        <v/>
      </c>
      <c r="L4268" s="2" t="str">
        <f aca="false">IF($G4268="","","同時")</f>
        <v/>
      </c>
      <c r="M4268" s="2" t="str">
        <f aca="false">IF($G4268="","",IF(ISNA(MATCH($G4268,個別指定!$A:$A,0)),"行なし",""))</f>
        <v/>
      </c>
      <c r="N4268" s="2" t="str">
        <f aca="false">IF($G4268="","",IF(COUNTIF($G$2:$G$4460,$G4268)&gt;1,"重複",""))</f>
        <v/>
      </c>
    </row>
    <row r="4269" customFormat="false" ht="16.5" hidden="false" customHeight="true" outlineLevel="0" collapsed="false">
      <c r="A4269" s="2" t="s">
        <v>447</v>
      </c>
      <c r="B4269" s="2" t="s">
        <v>474</v>
      </c>
      <c r="C4269" s="2" t="s">
        <v>4</v>
      </c>
      <c r="D4269" s="2" t="str">
        <f aca="false">IF(4キー同時!$B$344="","",4キー同時!$B$344)</f>
        <v/>
      </c>
      <c r="E4269" s="2" t="str">
        <f aca="false">IF(4キー同時!$G$344="","",4キー同時!$G$344)</f>
        <v/>
      </c>
      <c r="F4269" s="2" t="str">
        <f aca="false">IF(4キー同時!$L$344="","",4キー同時!$L$344)</f>
        <v/>
      </c>
      <c r="G4269" s="2" t="str">
        <f aca="false">IF(OR(4キー同時!$B$344="",4キー同時!$G$344="",4キー同時!$L$344=""),"",IF(4キー同時!V346="","",SUBSTITUTE(SUBSTITUTE(4キー同時!V346," ",""),"　","")))</f>
        <v/>
      </c>
      <c r="H4269" s="2" t="str">
        <f aca="false">IF($G4269="","",4キー同時!$B$344)</f>
        <v/>
      </c>
      <c r="I4269" s="2" t="str">
        <f aca="false">IF($G4269="","",4キー同時!$G$344)</f>
        <v/>
      </c>
      <c r="J4269" s="2" t="str">
        <f aca="false">IF($G4269="","",4キー同時!$L$344)</f>
        <v/>
      </c>
      <c r="K4269" s="2" t="str">
        <f aca="false">IF($G4269="","","5")</f>
        <v/>
      </c>
      <c r="L4269" s="2" t="str">
        <f aca="false">IF($G4269="","","同時")</f>
        <v/>
      </c>
      <c r="M4269" s="2" t="str">
        <f aca="false">IF($G4269="","",IF(ISNA(MATCH($G4269,個別指定!$A:$A,0)),"行なし",""))</f>
        <v/>
      </c>
      <c r="N4269" s="2" t="str">
        <f aca="false">IF($G4269="","",IF(COUNTIF($G$2:$G$4460,$G4269)&gt;1,"重複",""))</f>
        <v/>
      </c>
    </row>
    <row r="4270" customFormat="false" ht="16.5" hidden="false" customHeight="true" outlineLevel="0" collapsed="false">
      <c r="A4270" s="2" t="s">
        <v>447</v>
      </c>
      <c r="B4270" s="2" t="s">
        <v>474</v>
      </c>
      <c r="C4270" s="2" t="s">
        <v>5</v>
      </c>
      <c r="D4270" s="2" t="str">
        <f aca="false">IF(4キー同時!$B$344="","",4キー同時!$B$344)</f>
        <v/>
      </c>
      <c r="E4270" s="2" t="str">
        <f aca="false">IF(4キー同時!$G$344="","",4キー同時!$G$344)</f>
        <v/>
      </c>
      <c r="F4270" s="2" t="str">
        <f aca="false">IF(4キー同時!$L$344="","",4キー同時!$L$344)</f>
        <v/>
      </c>
      <c r="G4270" s="2" t="str">
        <f aca="false">IF(OR(4キー同時!$B$344="",4キー同時!$G$344="",4キー同時!$L$344=""),"",IF(4キー同時!Z346="","",SUBSTITUTE(SUBSTITUTE(4キー同時!Z346," ",""),"　","")))</f>
        <v/>
      </c>
      <c r="H4270" s="2" t="str">
        <f aca="false">IF($G4270="","",4キー同時!$B$344)</f>
        <v/>
      </c>
      <c r="I4270" s="2" t="str">
        <f aca="false">IF($G4270="","",4キー同時!$G$344)</f>
        <v/>
      </c>
      <c r="J4270" s="2" t="str">
        <f aca="false">IF($G4270="","",4キー同時!$L$344)</f>
        <v/>
      </c>
      <c r="K4270" s="2" t="str">
        <f aca="false">IF($G4270="","","6")</f>
        <v/>
      </c>
      <c r="L4270" s="2" t="str">
        <f aca="false">IF($G4270="","","同時")</f>
        <v/>
      </c>
      <c r="M4270" s="2" t="str">
        <f aca="false">IF($G4270="","",IF(ISNA(MATCH($G4270,個別指定!$A:$A,0)),"行なし",""))</f>
        <v/>
      </c>
      <c r="N4270" s="2" t="str">
        <f aca="false">IF($G4270="","",IF(COUNTIF($G$2:$G$4460,$G4270)&gt;1,"重複",""))</f>
        <v/>
      </c>
    </row>
    <row r="4271" customFormat="false" ht="16.5" hidden="false" customHeight="true" outlineLevel="0" collapsed="false">
      <c r="A4271" s="2" t="s">
        <v>447</v>
      </c>
      <c r="B4271" s="2" t="s">
        <v>474</v>
      </c>
      <c r="C4271" s="2" t="s">
        <v>6</v>
      </c>
      <c r="D4271" s="2" t="str">
        <f aca="false">IF(4キー同時!$B$344="","",4キー同時!$B$344)</f>
        <v/>
      </c>
      <c r="E4271" s="2" t="str">
        <f aca="false">IF(4キー同時!$G$344="","",4キー同時!$G$344)</f>
        <v/>
      </c>
      <c r="F4271" s="2" t="str">
        <f aca="false">IF(4キー同時!$L$344="","",4キー同時!$L$344)</f>
        <v/>
      </c>
      <c r="G4271" s="2" t="str">
        <f aca="false">IF(OR(4キー同時!$B$344="",4キー同時!$G$344="",4キー同時!$L$344=""),"",IF(4キー同時!AD346="","",SUBSTITUTE(SUBSTITUTE(4キー同時!AD346," ",""),"　","")))</f>
        <v/>
      </c>
      <c r="H4271" s="2" t="str">
        <f aca="false">IF($G4271="","",4キー同時!$B$344)</f>
        <v/>
      </c>
      <c r="I4271" s="2" t="str">
        <f aca="false">IF($G4271="","",4キー同時!$G$344)</f>
        <v/>
      </c>
      <c r="J4271" s="2" t="str">
        <f aca="false">IF($G4271="","",4キー同時!$L$344)</f>
        <v/>
      </c>
      <c r="K4271" s="2" t="str">
        <f aca="false">IF($G4271="","","7")</f>
        <v/>
      </c>
      <c r="L4271" s="2" t="str">
        <f aca="false">IF($G4271="","","同時")</f>
        <v/>
      </c>
      <c r="M4271" s="2" t="str">
        <f aca="false">IF($G4271="","",IF(ISNA(MATCH($G4271,個別指定!$A:$A,0)),"行なし",""))</f>
        <v/>
      </c>
      <c r="N4271" s="2" t="str">
        <f aca="false">IF($G4271="","",IF(COUNTIF($G$2:$G$4460,$G4271)&gt;1,"重複",""))</f>
        <v/>
      </c>
    </row>
    <row r="4272" customFormat="false" ht="16.5" hidden="false" customHeight="true" outlineLevel="0" collapsed="false">
      <c r="A4272" s="2" t="s">
        <v>447</v>
      </c>
      <c r="B4272" s="2" t="s">
        <v>474</v>
      </c>
      <c r="C4272" s="2" t="s">
        <v>7</v>
      </c>
      <c r="D4272" s="2" t="str">
        <f aca="false">IF(4キー同時!$B$344="","",4キー同時!$B$344)</f>
        <v/>
      </c>
      <c r="E4272" s="2" t="str">
        <f aca="false">IF(4キー同時!$G$344="","",4キー同時!$G$344)</f>
        <v/>
      </c>
      <c r="F4272" s="2" t="str">
        <f aca="false">IF(4キー同時!$L$344="","",4キー同時!$L$344)</f>
        <v/>
      </c>
      <c r="G4272" s="2" t="str">
        <f aca="false">IF(OR(4キー同時!$B$344="",4キー同時!$G$344="",4キー同時!$L$344=""),"",IF(4キー同時!AH346="","",SUBSTITUTE(SUBSTITUTE(4キー同時!AH346," ",""),"　","")))</f>
        <v/>
      </c>
      <c r="H4272" s="2" t="str">
        <f aca="false">IF($G4272="","",4キー同時!$B$344)</f>
        <v/>
      </c>
      <c r="I4272" s="2" t="str">
        <f aca="false">IF($G4272="","",4キー同時!$G$344)</f>
        <v/>
      </c>
      <c r="J4272" s="2" t="str">
        <f aca="false">IF($G4272="","",4キー同時!$L$344)</f>
        <v/>
      </c>
      <c r="K4272" s="2" t="str">
        <f aca="false">IF($G4272="","","8")</f>
        <v/>
      </c>
      <c r="L4272" s="2" t="str">
        <f aca="false">IF($G4272="","","同時")</f>
        <v/>
      </c>
      <c r="M4272" s="2" t="str">
        <f aca="false">IF($G4272="","",IF(ISNA(MATCH($G4272,個別指定!$A:$A,0)),"行なし",""))</f>
        <v/>
      </c>
      <c r="N4272" s="2" t="str">
        <f aca="false">IF($G4272="","",IF(COUNTIF($G$2:$G$4460,$G4272)&gt;1,"重複",""))</f>
        <v/>
      </c>
    </row>
    <row r="4273" customFormat="false" ht="16.5" hidden="false" customHeight="true" outlineLevel="0" collapsed="false">
      <c r="A4273" s="2" t="s">
        <v>447</v>
      </c>
      <c r="B4273" s="2" t="s">
        <v>474</v>
      </c>
      <c r="C4273" s="2" t="s">
        <v>8</v>
      </c>
      <c r="D4273" s="2" t="str">
        <f aca="false">IF(4キー同時!$B$344="","",4キー同時!$B$344)</f>
        <v/>
      </c>
      <c r="E4273" s="2" t="str">
        <f aca="false">IF(4キー同時!$G$344="","",4キー同時!$G$344)</f>
        <v/>
      </c>
      <c r="F4273" s="2" t="str">
        <f aca="false">IF(4キー同時!$L$344="","",4キー同時!$L$344)</f>
        <v/>
      </c>
      <c r="G4273" s="2" t="str">
        <f aca="false">IF(OR(4キー同時!$B$344="",4キー同時!$G$344="",4キー同時!$L$344=""),"",IF(4キー同時!AL346="","",SUBSTITUTE(SUBSTITUTE(4キー同時!AL346," ",""),"　","")))</f>
        <v/>
      </c>
      <c r="H4273" s="2" t="str">
        <f aca="false">IF($G4273="","",4キー同時!$B$344)</f>
        <v/>
      </c>
      <c r="I4273" s="2" t="str">
        <f aca="false">IF($G4273="","",4キー同時!$G$344)</f>
        <v/>
      </c>
      <c r="J4273" s="2" t="str">
        <f aca="false">IF($G4273="","",4キー同時!$L$344)</f>
        <v/>
      </c>
      <c r="K4273" s="2" t="str">
        <f aca="false">IF($G4273="","","9")</f>
        <v/>
      </c>
      <c r="L4273" s="2" t="str">
        <f aca="false">IF($G4273="","","同時")</f>
        <v/>
      </c>
      <c r="M4273" s="2" t="str">
        <f aca="false">IF($G4273="","",IF(ISNA(MATCH($G4273,個別指定!$A:$A,0)),"行なし",""))</f>
        <v/>
      </c>
      <c r="N4273" s="2" t="str">
        <f aca="false">IF($G4273="","",IF(COUNTIF($G$2:$G$4460,$G4273)&gt;1,"重複",""))</f>
        <v/>
      </c>
    </row>
    <row r="4274" customFormat="false" ht="16.5" hidden="false" customHeight="true" outlineLevel="0" collapsed="false">
      <c r="A4274" s="2" t="s">
        <v>447</v>
      </c>
      <c r="B4274" s="2" t="s">
        <v>474</v>
      </c>
      <c r="C4274" s="2" t="s">
        <v>9</v>
      </c>
      <c r="D4274" s="2" t="str">
        <f aca="false">IF(4キー同時!$B$344="","",4キー同時!$B$344)</f>
        <v/>
      </c>
      <c r="E4274" s="2" t="str">
        <f aca="false">IF(4キー同時!$G$344="","",4キー同時!$G$344)</f>
        <v/>
      </c>
      <c r="F4274" s="2" t="str">
        <f aca="false">IF(4キー同時!$L$344="","",4キー同時!$L$344)</f>
        <v/>
      </c>
      <c r="G4274" s="2" t="str">
        <f aca="false">IF(OR(4キー同時!$B$344="",4キー同時!$G$344="",4キー同時!$L$344=""),"",IF(4キー同時!AP346="","",SUBSTITUTE(SUBSTITUTE(4キー同時!AP346," ",""),"　","")))</f>
        <v/>
      </c>
      <c r="H4274" s="2" t="str">
        <f aca="false">IF($G4274="","",4キー同時!$B$344)</f>
        <v/>
      </c>
      <c r="I4274" s="2" t="str">
        <f aca="false">IF($G4274="","",4キー同時!$G$344)</f>
        <v/>
      </c>
      <c r="J4274" s="2" t="str">
        <f aca="false">IF($G4274="","",4キー同時!$L$344)</f>
        <v/>
      </c>
      <c r="K4274" s="2" t="str">
        <f aca="false">IF($G4274="","","0")</f>
        <v/>
      </c>
      <c r="L4274" s="2" t="str">
        <f aca="false">IF($G4274="","","同時")</f>
        <v/>
      </c>
      <c r="M4274" s="2" t="str">
        <f aca="false">IF($G4274="","",IF(ISNA(MATCH($G4274,個別指定!$A:$A,0)),"行なし",""))</f>
        <v/>
      </c>
      <c r="N4274" s="2" t="str">
        <f aca="false">IF($G4274="","",IF(COUNTIF($G$2:$G$4460,$G4274)&gt;1,"重複",""))</f>
        <v/>
      </c>
    </row>
    <row r="4275" customFormat="false" ht="16.5" hidden="false" customHeight="true" outlineLevel="0" collapsed="false">
      <c r="A4275" s="2" t="s">
        <v>447</v>
      </c>
      <c r="B4275" s="2" t="s">
        <v>474</v>
      </c>
      <c r="C4275" s="2" t="s">
        <v>10</v>
      </c>
      <c r="D4275" s="2" t="str">
        <f aca="false">IF(4キー同時!$B$344="","",4キー同時!$B$344)</f>
        <v/>
      </c>
      <c r="E4275" s="2" t="str">
        <f aca="false">IF(4キー同時!$G$344="","",4キー同時!$G$344)</f>
        <v/>
      </c>
      <c r="F4275" s="2" t="str">
        <f aca="false">IF(4キー同時!$L$344="","",4キー同時!$L$344)</f>
        <v/>
      </c>
      <c r="G4275" s="2" t="str">
        <f aca="false">IF(OR(4キー同時!$B$344="",4キー同時!$G$344="",4キー同時!$L$344=""),"",IF(4キー同時!AT346="","",SUBSTITUTE(SUBSTITUTE(4キー同時!AT346," ",""),"　","")))</f>
        <v/>
      </c>
      <c r="H4275" s="2" t="str">
        <f aca="false">IF($G4275="","",4キー同時!$B$344)</f>
        <v/>
      </c>
      <c r="I4275" s="2" t="str">
        <f aca="false">IF($G4275="","",4キー同時!$G$344)</f>
        <v/>
      </c>
      <c r="J4275" s="2" t="str">
        <f aca="false">IF($G4275="","",4キー同時!$L$344)</f>
        <v/>
      </c>
      <c r="K4275" s="2" t="str">
        <f aca="false">IF($G4275="","","-")</f>
        <v/>
      </c>
      <c r="L4275" s="2" t="str">
        <f aca="false">IF($G4275="","","同時")</f>
        <v/>
      </c>
      <c r="M4275" s="2" t="str">
        <f aca="false">IF($G4275="","",IF(ISNA(MATCH($G4275,個別指定!$A:$A,0)),"行なし",""))</f>
        <v/>
      </c>
      <c r="N4275" s="2" t="str">
        <f aca="false">IF($G4275="","",IF(COUNTIF($G$2:$G$4460,$G4275)&gt;1,"重複",""))</f>
        <v/>
      </c>
    </row>
    <row r="4276" customFormat="false" ht="16.5" hidden="false" customHeight="true" outlineLevel="0" collapsed="false">
      <c r="A4276" s="2" t="s">
        <v>447</v>
      </c>
      <c r="B4276" s="2" t="s">
        <v>474</v>
      </c>
      <c r="C4276" s="2" t="s">
        <v>11</v>
      </c>
      <c r="D4276" s="2" t="str">
        <f aca="false">IF(4キー同時!$B$344="","",4キー同時!$B$344)</f>
        <v/>
      </c>
      <c r="E4276" s="2" t="str">
        <f aca="false">IF(4キー同時!$G$344="","",4キー同時!$G$344)</f>
        <v/>
      </c>
      <c r="F4276" s="2" t="str">
        <f aca="false">IF(4キー同時!$L$344="","",4キー同時!$L$344)</f>
        <v/>
      </c>
      <c r="G4276" s="2" t="str">
        <f aca="false">IF(OR(4キー同時!$B$344="",4キー同時!$G$344="",4キー同時!$L$344=""),"",IF(4キー同時!AX346="","",SUBSTITUTE(SUBSTITUTE(4キー同時!AX346," ",""),"　","")))</f>
        <v/>
      </c>
      <c r="H4276" s="2" t="str">
        <f aca="false">IF($G4276="","",4キー同時!$B$344)</f>
        <v/>
      </c>
      <c r="I4276" s="2" t="str">
        <f aca="false">IF($G4276="","",4キー同時!$G$344)</f>
        <v/>
      </c>
      <c r="J4276" s="2" t="str">
        <f aca="false">IF($G4276="","",4キー同時!$L$344)</f>
        <v/>
      </c>
      <c r="K4276" s="2" t="str">
        <f aca="false">IF($G4276="","","=")</f>
        <v/>
      </c>
      <c r="L4276" s="2" t="str">
        <f aca="false">IF($G4276="","","同時")</f>
        <v/>
      </c>
      <c r="M4276" s="2" t="str">
        <f aca="false">IF($G4276="","",IF(ISNA(MATCH($G4276,個別指定!$A:$A,0)),"行なし",""))</f>
        <v/>
      </c>
      <c r="N4276" s="2" t="str">
        <f aca="false">IF($G4276="","",IF(COUNTIF($G$2:$G$4460,$G4276)&gt;1,"重複",""))</f>
        <v/>
      </c>
    </row>
    <row r="4277" customFormat="false" ht="16.5" hidden="false" customHeight="true" outlineLevel="0" collapsed="false">
      <c r="A4277" s="2" t="s">
        <v>447</v>
      </c>
      <c r="B4277" s="2" t="s">
        <v>474</v>
      </c>
      <c r="C4277" s="2" t="s">
        <v>12</v>
      </c>
      <c r="D4277" s="2" t="str">
        <f aca="false">IF(4キー同時!$B$344="","",4キー同時!$B$344)</f>
        <v/>
      </c>
      <c r="E4277" s="2" t="str">
        <f aca="false">IF(4キー同時!$G$344="","",4キー同時!$G$344)</f>
        <v/>
      </c>
      <c r="F4277" s="2" t="str">
        <f aca="false">IF(4キー同時!$L$344="","",4キー同時!$L$344)</f>
        <v/>
      </c>
      <c r="G4277" s="2" t="str">
        <f aca="false">IF(OR(4キー同時!$B$344="",4キー同時!$G$344="",4キー同時!$L$344=""),"",IF(4キー同時!H348="","",SUBSTITUTE(SUBSTITUTE(4キー同時!H348," ",""),"　","")))</f>
        <v/>
      </c>
      <c r="H4277" s="2" t="str">
        <f aca="false">IF($G4277="","",4キー同時!$B$344)</f>
        <v/>
      </c>
      <c r="I4277" s="2" t="str">
        <f aca="false">IF($G4277="","",4キー同時!$G$344)</f>
        <v/>
      </c>
      <c r="J4277" s="2" t="str">
        <f aca="false">IF($G4277="","",4キー同時!$L$344)</f>
        <v/>
      </c>
      <c r="K4277" s="2" t="str">
        <f aca="false">IF($G4277="","","q")</f>
        <v/>
      </c>
      <c r="L4277" s="2" t="str">
        <f aca="false">IF($G4277="","","同時")</f>
        <v/>
      </c>
      <c r="M4277" s="2" t="str">
        <f aca="false">IF($G4277="","",IF(ISNA(MATCH($G4277,個別指定!$A:$A,0)),"行なし",""))</f>
        <v/>
      </c>
      <c r="N4277" s="2" t="str">
        <f aca="false">IF($G4277="","",IF(COUNTIF($G$2:$G$4460,$G4277)&gt;1,"重複",""))</f>
        <v/>
      </c>
    </row>
    <row r="4278" customFormat="false" ht="16.5" hidden="false" customHeight="true" outlineLevel="0" collapsed="false">
      <c r="A4278" s="2" t="s">
        <v>447</v>
      </c>
      <c r="B4278" s="2" t="s">
        <v>474</v>
      </c>
      <c r="C4278" s="2" t="s">
        <v>13</v>
      </c>
      <c r="D4278" s="2" t="str">
        <f aca="false">IF(4キー同時!$B$344="","",4キー同時!$B$344)</f>
        <v/>
      </c>
      <c r="E4278" s="2" t="str">
        <f aca="false">IF(4キー同時!$G$344="","",4キー同時!$G$344)</f>
        <v/>
      </c>
      <c r="F4278" s="2" t="str">
        <f aca="false">IF(4キー同時!$L$344="","",4キー同時!$L$344)</f>
        <v/>
      </c>
      <c r="G4278" s="2" t="str">
        <f aca="false">IF(OR(4キー同時!$B$344="",4キー同時!$G$344="",4キー同時!$L$344=""),"",IF(4キー同時!L348="","",SUBSTITUTE(SUBSTITUTE(4キー同時!L348," ",""),"　","")))</f>
        <v/>
      </c>
      <c r="H4278" s="2" t="str">
        <f aca="false">IF($G4278="","",4キー同時!$B$344)</f>
        <v/>
      </c>
      <c r="I4278" s="2" t="str">
        <f aca="false">IF($G4278="","",4キー同時!$G$344)</f>
        <v/>
      </c>
      <c r="J4278" s="2" t="str">
        <f aca="false">IF($G4278="","",4キー同時!$L$344)</f>
        <v/>
      </c>
      <c r="K4278" s="2" t="str">
        <f aca="false">IF($G4278="","","w")</f>
        <v/>
      </c>
      <c r="L4278" s="2" t="str">
        <f aca="false">IF($G4278="","","同時")</f>
        <v/>
      </c>
      <c r="M4278" s="2" t="str">
        <f aca="false">IF($G4278="","",IF(ISNA(MATCH($G4278,個別指定!$A:$A,0)),"行なし",""))</f>
        <v/>
      </c>
      <c r="N4278" s="2" t="str">
        <f aca="false">IF($G4278="","",IF(COUNTIF($G$2:$G$4460,$G4278)&gt;1,"重複",""))</f>
        <v/>
      </c>
    </row>
    <row r="4279" customFormat="false" ht="16.5" hidden="false" customHeight="true" outlineLevel="0" collapsed="false">
      <c r="A4279" s="2" t="s">
        <v>447</v>
      </c>
      <c r="B4279" s="2" t="s">
        <v>474</v>
      </c>
      <c r="C4279" s="2" t="s">
        <v>14</v>
      </c>
      <c r="D4279" s="2" t="str">
        <f aca="false">IF(4キー同時!$B$344="","",4キー同時!$B$344)</f>
        <v/>
      </c>
      <c r="E4279" s="2" t="str">
        <f aca="false">IF(4キー同時!$G$344="","",4キー同時!$G$344)</f>
        <v/>
      </c>
      <c r="F4279" s="2" t="str">
        <f aca="false">IF(4キー同時!$L$344="","",4キー同時!$L$344)</f>
        <v/>
      </c>
      <c r="G4279" s="2" t="str">
        <f aca="false">IF(OR(4キー同時!$B$344="",4キー同時!$G$344="",4キー同時!$L$344=""),"",IF(4キー同時!P348="","",SUBSTITUTE(SUBSTITUTE(4キー同時!P348," ",""),"　","")))</f>
        <v/>
      </c>
      <c r="H4279" s="2" t="str">
        <f aca="false">IF($G4279="","",4キー同時!$B$344)</f>
        <v/>
      </c>
      <c r="I4279" s="2" t="str">
        <f aca="false">IF($G4279="","",4キー同時!$G$344)</f>
        <v/>
      </c>
      <c r="J4279" s="2" t="str">
        <f aca="false">IF($G4279="","",4キー同時!$L$344)</f>
        <v/>
      </c>
      <c r="K4279" s="2" t="str">
        <f aca="false">IF($G4279="","","e")</f>
        <v/>
      </c>
      <c r="L4279" s="2" t="str">
        <f aca="false">IF($G4279="","","同時")</f>
        <v/>
      </c>
      <c r="M4279" s="2" t="str">
        <f aca="false">IF($G4279="","",IF(ISNA(MATCH($G4279,個別指定!$A:$A,0)),"行なし",""))</f>
        <v/>
      </c>
      <c r="N4279" s="2" t="str">
        <f aca="false">IF($G4279="","",IF(COUNTIF($G$2:$G$4460,$G4279)&gt;1,"重複",""))</f>
        <v/>
      </c>
    </row>
    <row r="4280" customFormat="false" ht="16.5" hidden="false" customHeight="true" outlineLevel="0" collapsed="false">
      <c r="A4280" s="2" t="s">
        <v>447</v>
      </c>
      <c r="B4280" s="2" t="s">
        <v>474</v>
      </c>
      <c r="C4280" s="2" t="s">
        <v>15</v>
      </c>
      <c r="D4280" s="2" t="str">
        <f aca="false">IF(4キー同時!$B$344="","",4キー同時!$B$344)</f>
        <v/>
      </c>
      <c r="E4280" s="2" t="str">
        <f aca="false">IF(4キー同時!$G$344="","",4キー同時!$G$344)</f>
        <v/>
      </c>
      <c r="F4280" s="2" t="str">
        <f aca="false">IF(4キー同時!$L$344="","",4キー同時!$L$344)</f>
        <v/>
      </c>
      <c r="G4280" s="2" t="str">
        <f aca="false">IF(OR(4キー同時!$B$344="",4キー同時!$G$344="",4キー同時!$L$344=""),"",IF(4キー同時!T348="","",SUBSTITUTE(SUBSTITUTE(4キー同時!T348," ",""),"　","")))</f>
        <v/>
      </c>
      <c r="H4280" s="2" t="str">
        <f aca="false">IF($G4280="","",4キー同時!$B$344)</f>
        <v/>
      </c>
      <c r="I4280" s="2" t="str">
        <f aca="false">IF($G4280="","",4キー同時!$G$344)</f>
        <v/>
      </c>
      <c r="J4280" s="2" t="str">
        <f aca="false">IF($G4280="","",4キー同時!$L$344)</f>
        <v/>
      </c>
      <c r="K4280" s="2" t="str">
        <f aca="false">IF($G4280="","","r")</f>
        <v/>
      </c>
      <c r="L4280" s="2" t="str">
        <f aca="false">IF($G4280="","","同時")</f>
        <v/>
      </c>
      <c r="M4280" s="2" t="str">
        <f aca="false">IF($G4280="","",IF(ISNA(MATCH($G4280,個別指定!$A:$A,0)),"行なし",""))</f>
        <v/>
      </c>
      <c r="N4280" s="2" t="str">
        <f aca="false">IF($G4280="","",IF(COUNTIF($G$2:$G$4460,$G4280)&gt;1,"重複",""))</f>
        <v/>
      </c>
    </row>
    <row r="4281" customFormat="false" ht="16.5" hidden="false" customHeight="true" outlineLevel="0" collapsed="false">
      <c r="A4281" s="2" t="s">
        <v>447</v>
      </c>
      <c r="B4281" s="2" t="s">
        <v>474</v>
      </c>
      <c r="C4281" s="2" t="s">
        <v>16</v>
      </c>
      <c r="D4281" s="2" t="str">
        <f aca="false">IF(4キー同時!$B$344="","",4キー同時!$B$344)</f>
        <v/>
      </c>
      <c r="E4281" s="2" t="str">
        <f aca="false">IF(4キー同時!$G$344="","",4キー同時!$G$344)</f>
        <v/>
      </c>
      <c r="F4281" s="2" t="str">
        <f aca="false">IF(4キー同時!$L$344="","",4キー同時!$L$344)</f>
        <v/>
      </c>
      <c r="G4281" s="2" t="str">
        <f aca="false">IF(OR(4キー同時!$B$344="",4キー同時!$G$344="",4キー同時!$L$344=""),"",IF(4キー同時!X348="","",SUBSTITUTE(SUBSTITUTE(4キー同時!X348," ",""),"　","")))</f>
        <v/>
      </c>
      <c r="H4281" s="2" t="str">
        <f aca="false">IF($G4281="","",4キー同時!$B$344)</f>
        <v/>
      </c>
      <c r="I4281" s="2" t="str">
        <f aca="false">IF($G4281="","",4キー同時!$G$344)</f>
        <v/>
      </c>
      <c r="J4281" s="2" t="str">
        <f aca="false">IF($G4281="","",4キー同時!$L$344)</f>
        <v/>
      </c>
      <c r="K4281" s="2" t="str">
        <f aca="false">IF($G4281="","","t")</f>
        <v/>
      </c>
      <c r="L4281" s="2" t="str">
        <f aca="false">IF($G4281="","","同時")</f>
        <v/>
      </c>
      <c r="M4281" s="2" t="str">
        <f aca="false">IF($G4281="","",IF(ISNA(MATCH($G4281,個別指定!$A:$A,0)),"行なし",""))</f>
        <v/>
      </c>
      <c r="N4281" s="2" t="str">
        <f aca="false">IF($G4281="","",IF(COUNTIF($G$2:$G$4460,$G4281)&gt;1,"重複",""))</f>
        <v/>
      </c>
    </row>
    <row r="4282" customFormat="false" ht="16.5" hidden="false" customHeight="true" outlineLevel="0" collapsed="false">
      <c r="A4282" s="2" t="s">
        <v>447</v>
      </c>
      <c r="B4282" s="2" t="s">
        <v>474</v>
      </c>
      <c r="C4282" s="2" t="s">
        <v>17</v>
      </c>
      <c r="D4282" s="2" t="str">
        <f aca="false">IF(4キー同時!$B$344="","",4キー同時!$B$344)</f>
        <v/>
      </c>
      <c r="E4282" s="2" t="str">
        <f aca="false">IF(4キー同時!$G$344="","",4キー同時!$G$344)</f>
        <v/>
      </c>
      <c r="F4282" s="2" t="str">
        <f aca="false">IF(4キー同時!$L$344="","",4キー同時!$L$344)</f>
        <v/>
      </c>
      <c r="G4282" s="2" t="str">
        <f aca="false">IF(OR(4キー同時!$B$344="",4キー同時!$G$344="",4キー同時!$L$344=""),"",IF(4キー同時!AB348="","",SUBSTITUTE(SUBSTITUTE(4キー同時!AB348," ",""),"　","")))</f>
        <v/>
      </c>
      <c r="H4282" s="2" t="str">
        <f aca="false">IF($G4282="","",4キー同時!$B$344)</f>
        <v/>
      </c>
      <c r="I4282" s="2" t="str">
        <f aca="false">IF($G4282="","",4キー同時!$G$344)</f>
        <v/>
      </c>
      <c r="J4282" s="2" t="str">
        <f aca="false">IF($G4282="","",4キー同時!$L$344)</f>
        <v/>
      </c>
      <c r="K4282" s="2" t="str">
        <f aca="false">IF($G4282="","","y")</f>
        <v/>
      </c>
      <c r="L4282" s="2" t="str">
        <f aca="false">IF($G4282="","","同時")</f>
        <v/>
      </c>
      <c r="M4282" s="2" t="str">
        <f aca="false">IF($G4282="","",IF(ISNA(MATCH($G4282,個別指定!$A:$A,0)),"行なし",""))</f>
        <v/>
      </c>
      <c r="N4282" s="2" t="str">
        <f aca="false">IF($G4282="","",IF(COUNTIF($G$2:$G$4460,$G4282)&gt;1,"重複",""))</f>
        <v/>
      </c>
    </row>
    <row r="4283" customFormat="false" ht="16.5" hidden="false" customHeight="true" outlineLevel="0" collapsed="false">
      <c r="A4283" s="2" t="s">
        <v>447</v>
      </c>
      <c r="B4283" s="2" t="s">
        <v>474</v>
      </c>
      <c r="C4283" s="2" t="s">
        <v>18</v>
      </c>
      <c r="D4283" s="2" t="str">
        <f aca="false">IF(4キー同時!$B$344="","",4キー同時!$B$344)</f>
        <v/>
      </c>
      <c r="E4283" s="2" t="str">
        <f aca="false">IF(4キー同時!$G$344="","",4キー同時!$G$344)</f>
        <v/>
      </c>
      <c r="F4283" s="2" t="str">
        <f aca="false">IF(4キー同時!$L$344="","",4キー同時!$L$344)</f>
        <v/>
      </c>
      <c r="G4283" s="2" t="str">
        <f aca="false">IF(OR(4キー同時!$B$344="",4キー同時!$G$344="",4キー同時!$L$344=""),"",IF(4キー同時!AF348="","",SUBSTITUTE(SUBSTITUTE(4キー同時!AF348," ",""),"　","")))</f>
        <v/>
      </c>
      <c r="H4283" s="2" t="str">
        <f aca="false">IF($G4283="","",4キー同時!$B$344)</f>
        <v/>
      </c>
      <c r="I4283" s="2" t="str">
        <f aca="false">IF($G4283="","",4キー同時!$G$344)</f>
        <v/>
      </c>
      <c r="J4283" s="2" t="str">
        <f aca="false">IF($G4283="","",4キー同時!$L$344)</f>
        <v/>
      </c>
      <c r="K4283" s="2" t="str">
        <f aca="false">IF($G4283="","","u")</f>
        <v/>
      </c>
      <c r="L4283" s="2" t="str">
        <f aca="false">IF($G4283="","","同時")</f>
        <v/>
      </c>
      <c r="M4283" s="2" t="str">
        <f aca="false">IF($G4283="","",IF(ISNA(MATCH($G4283,個別指定!$A:$A,0)),"行なし",""))</f>
        <v/>
      </c>
      <c r="N4283" s="2" t="str">
        <f aca="false">IF($G4283="","",IF(COUNTIF($G$2:$G$4460,$G4283)&gt;1,"重複",""))</f>
        <v/>
      </c>
    </row>
    <row r="4284" customFormat="false" ht="16.5" hidden="false" customHeight="true" outlineLevel="0" collapsed="false">
      <c r="A4284" s="2" t="s">
        <v>447</v>
      </c>
      <c r="B4284" s="2" t="s">
        <v>474</v>
      </c>
      <c r="C4284" s="2" t="s">
        <v>19</v>
      </c>
      <c r="D4284" s="2" t="str">
        <f aca="false">IF(4キー同時!$B$344="","",4キー同時!$B$344)</f>
        <v/>
      </c>
      <c r="E4284" s="2" t="str">
        <f aca="false">IF(4キー同時!$G$344="","",4キー同時!$G$344)</f>
        <v/>
      </c>
      <c r="F4284" s="2" t="str">
        <f aca="false">IF(4キー同時!$L$344="","",4キー同時!$L$344)</f>
        <v/>
      </c>
      <c r="G4284" s="2" t="str">
        <f aca="false">IF(OR(4キー同時!$B$344="",4キー同時!$G$344="",4キー同時!$L$344=""),"",IF(4キー同時!AJ348="","",SUBSTITUTE(SUBSTITUTE(4キー同時!AJ348," ",""),"　","")))</f>
        <v/>
      </c>
      <c r="H4284" s="2" t="str">
        <f aca="false">IF($G4284="","",4キー同時!$B$344)</f>
        <v/>
      </c>
      <c r="I4284" s="2" t="str">
        <f aca="false">IF($G4284="","",4キー同時!$G$344)</f>
        <v/>
      </c>
      <c r="J4284" s="2" t="str">
        <f aca="false">IF($G4284="","",4キー同時!$L$344)</f>
        <v/>
      </c>
      <c r="K4284" s="2" t="str">
        <f aca="false">IF($G4284="","","i")</f>
        <v/>
      </c>
      <c r="L4284" s="2" t="str">
        <f aca="false">IF($G4284="","","同時")</f>
        <v/>
      </c>
      <c r="M4284" s="2" t="str">
        <f aca="false">IF($G4284="","",IF(ISNA(MATCH($G4284,個別指定!$A:$A,0)),"行なし",""))</f>
        <v/>
      </c>
      <c r="N4284" s="2" t="str">
        <f aca="false">IF($G4284="","",IF(COUNTIF($G$2:$G$4460,$G4284)&gt;1,"重複",""))</f>
        <v/>
      </c>
    </row>
    <row r="4285" customFormat="false" ht="16.5" hidden="false" customHeight="true" outlineLevel="0" collapsed="false">
      <c r="A4285" s="2" t="s">
        <v>447</v>
      </c>
      <c r="B4285" s="2" t="s">
        <v>474</v>
      </c>
      <c r="C4285" s="2" t="s">
        <v>20</v>
      </c>
      <c r="D4285" s="2" t="str">
        <f aca="false">IF(4キー同時!$B$344="","",4キー同時!$B$344)</f>
        <v/>
      </c>
      <c r="E4285" s="2" t="str">
        <f aca="false">IF(4キー同時!$G$344="","",4キー同時!$G$344)</f>
        <v/>
      </c>
      <c r="F4285" s="2" t="str">
        <f aca="false">IF(4キー同時!$L$344="","",4キー同時!$L$344)</f>
        <v/>
      </c>
      <c r="G4285" s="2" t="str">
        <f aca="false">IF(OR(4キー同時!$B$344="",4キー同時!$G$344="",4キー同時!$L$344=""),"",IF(4キー同時!AN348="","",SUBSTITUTE(SUBSTITUTE(4キー同時!AN348," ",""),"　","")))</f>
        <v/>
      </c>
      <c r="H4285" s="2" t="str">
        <f aca="false">IF($G4285="","",4キー同時!$B$344)</f>
        <v/>
      </c>
      <c r="I4285" s="2" t="str">
        <f aca="false">IF($G4285="","",4キー同時!$G$344)</f>
        <v/>
      </c>
      <c r="J4285" s="2" t="str">
        <f aca="false">IF($G4285="","",4キー同時!$L$344)</f>
        <v/>
      </c>
      <c r="K4285" s="2" t="str">
        <f aca="false">IF($G4285="","","o")</f>
        <v/>
      </c>
      <c r="L4285" s="2" t="str">
        <f aca="false">IF($G4285="","","同時")</f>
        <v/>
      </c>
      <c r="M4285" s="2" t="str">
        <f aca="false">IF($G4285="","",IF(ISNA(MATCH($G4285,個別指定!$A:$A,0)),"行なし",""))</f>
        <v/>
      </c>
      <c r="N4285" s="2" t="str">
        <f aca="false">IF($G4285="","",IF(COUNTIF($G$2:$G$4460,$G4285)&gt;1,"重複",""))</f>
        <v/>
      </c>
    </row>
    <row r="4286" customFormat="false" ht="16.5" hidden="false" customHeight="true" outlineLevel="0" collapsed="false">
      <c r="A4286" s="2" t="s">
        <v>447</v>
      </c>
      <c r="B4286" s="2" t="s">
        <v>474</v>
      </c>
      <c r="C4286" s="2" t="s">
        <v>21</v>
      </c>
      <c r="D4286" s="2" t="str">
        <f aca="false">IF(4キー同時!$B$344="","",4キー同時!$B$344)</f>
        <v/>
      </c>
      <c r="E4286" s="2" t="str">
        <f aca="false">IF(4キー同時!$G$344="","",4キー同時!$G$344)</f>
        <v/>
      </c>
      <c r="F4286" s="2" t="str">
        <f aca="false">IF(4キー同時!$L$344="","",4キー同時!$L$344)</f>
        <v/>
      </c>
      <c r="G4286" s="2" t="str">
        <f aca="false">IF(OR(4キー同時!$B$344="",4キー同時!$G$344="",4キー同時!$L$344=""),"",IF(4キー同時!AR348="","",SUBSTITUTE(SUBSTITUTE(4キー同時!AR348," ",""),"　","")))</f>
        <v/>
      </c>
      <c r="H4286" s="2" t="str">
        <f aca="false">IF($G4286="","",4キー同時!$B$344)</f>
        <v/>
      </c>
      <c r="I4286" s="2" t="str">
        <f aca="false">IF($G4286="","",4キー同時!$G$344)</f>
        <v/>
      </c>
      <c r="J4286" s="2" t="str">
        <f aca="false">IF($G4286="","",4キー同時!$L$344)</f>
        <v/>
      </c>
      <c r="K4286" s="2" t="str">
        <f aca="false">IF($G4286="","","p")</f>
        <v/>
      </c>
      <c r="L4286" s="2" t="str">
        <f aca="false">IF($G4286="","","同時")</f>
        <v/>
      </c>
      <c r="M4286" s="2" t="str">
        <f aca="false">IF($G4286="","",IF(ISNA(MATCH($G4286,個別指定!$A:$A,0)),"行なし",""))</f>
        <v/>
      </c>
      <c r="N4286" s="2" t="str">
        <f aca="false">IF($G4286="","",IF(COUNTIF($G$2:$G$4460,$G4286)&gt;1,"重複",""))</f>
        <v/>
      </c>
    </row>
    <row r="4287" customFormat="false" ht="16.5" hidden="false" customHeight="true" outlineLevel="0" collapsed="false">
      <c r="A4287" s="2" t="s">
        <v>447</v>
      </c>
      <c r="B4287" s="2" t="s">
        <v>474</v>
      </c>
      <c r="C4287" s="2" t="s">
        <v>22</v>
      </c>
      <c r="D4287" s="2" t="str">
        <f aca="false">IF(4キー同時!$B$344="","",4キー同時!$B$344)</f>
        <v/>
      </c>
      <c r="E4287" s="2" t="str">
        <f aca="false">IF(4キー同時!$G$344="","",4キー同時!$G$344)</f>
        <v/>
      </c>
      <c r="F4287" s="2" t="str">
        <f aca="false">IF(4キー同時!$L$344="","",4キー同時!$L$344)</f>
        <v/>
      </c>
      <c r="G4287" s="2" t="str">
        <f aca="false">IF(OR(4キー同時!$B$344="",4キー同時!$G$344="",4キー同時!$L$344=""),"",IF(4キー同時!AV348="","",SUBSTITUTE(SUBSTITUTE(4キー同時!AV348," ",""),"　","")))</f>
        <v/>
      </c>
      <c r="H4287" s="2" t="str">
        <f aca="false">IF($G4287="","",4キー同時!$B$344)</f>
        <v/>
      </c>
      <c r="I4287" s="2" t="str">
        <f aca="false">IF($G4287="","",4キー同時!$G$344)</f>
        <v/>
      </c>
      <c r="J4287" s="2" t="str">
        <f aca="false">IF($G4287="","",4キー同時!$L$344)</f>
        <v/>
      </c>
      <c r="K4287" s="2" t="str">
        <f aca="false">IF($G4287="","","[")</f>
        <v/>
      </c>
      <c r="L4287" s="2" t="str">
        <f aca="false">IF($G4287="","","同時")</f>
        <v/>
      </c>
      <c r="M4287" s="2" t="str">
        <f aca="false">IF($G4287="","",IF(ISNA(MATCH($G4287,個別指定!$A:$A,0)),"行なし",""))</f>
        <v/>
      </c>
      <c r="N4287" s="2" t="str">
        <f aca="false">IF($G4287="","",IF(COUNTIF($G$2:$G$4460,$G4287)&gt;1,"重複",""))</f>
        <v/>
      </c>
    </row>
    <row r="4288" customFormat="false" ht="16.5" hidden="false" customHeight="true" outlineLevel="0" collapsed="false">
      <c r="A4288" s="2" t="s">
        <v>447</v>
      </c>
      <c r="B4288" s="2" t="s">
        <v>474</v>
      </c>
      <c r="C4288" s="2" t="s">
        <v>23</v>
      </c>
      <c r="D4288" s="2" t="str">
        <f aca="false">IF(4キー同時!$B$344="","",4キー同時!$B$344)</f>
        <v/>
      </c>
      <c r="E4288" s="2" t="str">
        <f aca="false">IF(4キー同時!$G$344="","",4キー同時!$G$344)</f>
        <v/>
      </c>
      <c r="F4288" s="2" t="str">
        <f aca="false">IF(4キー同時!$L$344="","",4キー同時!$L$344)</f>
        <v/>
      </c>
      <c r="G4288" s="2" t="str">
        <f aca="false">IF(OR(4キー同時!$B$344="",4キー同時!$G$344="",4キー同時!$L$344=""),"",IF(4キー同時!AZ348="","",SUBSTITUTE(SUBSTITUTE(4キー同時!AZ348," ",""),"　","")))</f>
        <v/>
      </c>
      <c r="H4288" s="2" t="str">
        <f aca="false">IF($G4288="","",4キー同時!$B$344)</f>
        <v/>
      </c>
      <c r="I4288" s="2" t="str">
        <f aca="false">IF($G4288="","",4キー同時!$G$344)</f>
        <v/>
      </c>
      <c r="J4288" s="2" t="str">
        <f aca="false">IF($G4288="","",4キー同時!$L$344)</f>
        <v/>
      </c>
      <c r="K4288" s="2" t="str">
        <f aca="false">IF($G4288="","","]")</f>
        <v/>
      </c>
      <c r="L4288" s="2" t="str">
        <f aca="false">IF($G4288="","","同時")</f>
        <v/>
      </c>
      <c r="M4288" s="2" t="str">
        <f aca="false">IF($G4288="","",IF(ISNA(MATCH($G4288,個別指定!$A:$A,0)),"行なし",""))</f>
        <v/>
      </c>
      <c r="N4288" s="2" t="str">
        <f aca="false">IF($G4288="","",IF(COUNTIF($G$2:$G$4460,$G4288)&gt;1,"重複",""))</f>
        <v/>
      </c>
    </row>
    <row r="4289" customFormat="false" ht="16.5" hidden="false" customHeight="true" outlineLevel="0" collapsed="false">
      <c r="A4289" s="2" t="s">
        <v>447</v>
      </c>
      <c r="B4289" s="2" t="s">
        <v>474</v>
      </c>
      <c r="C4289" s="2" t="s">
        <v>24</v>
      </c>
      <c r="D4289" s="2" t="str">
        <f aca="false">IF(4キー同時!$B$344="","",4キー同時!$B$344)</f>
        <v/>
      </c>
      <c r="E4289" s="2" t="str">
        <f aca="false">IF(4キー同時!$G$344="","",4キー同時!$G$344)</f>
        <v/>
      </c>
      <c r="F4289" s="2" t="str">
        <f aca="false">IF(4キー同時!$L$344="","",4キー同時!$L$344)</f>
        <v/>
      </c>
      <c r="G4289" s="2" t="str">
        <f aca="false">IF(OR(4キー同時!$B$344="",4キー同時!$G$344="",4キー同時!$L$344=""),"",IF(4キー同時!I350="","",SUBSTITUTE(SUBSTITUTE(4キー同時!I350," ",""),"　","")))</f>
        <v/>
      </c>
      <c r="H4289" s="2" t="str">
        <f aca="false">IF($G4289="","",4キー同時!$B$344)</f>
        <v/>
      </c>
      <c r="I4289" s="2" t="str">
        <f aca="false">IF($G4289="","",4キー同時!$G$344)</f>
        <v/>
      </c>
      <c r="J4289" s="2" t="str">
        <f aca="false">IF($G4289="","",4キー同時!$L$344)</f>
        <v/>
      </c>
      <c r="K4289" s="2" t="str">
        <f aca="false">IF($G4289="","","a")</f>
        <v/>
      </c>
      <c r="L4289" s="2" t="str">
        <f aca="false">IF($G4289="","","同時")</f>
        <v/>
      </c>
      <c r="M4289" s="2" t="str">
        <f aca="false">IF($G4289="","",IF(ISNA(MATCH($G4289,個別指定!$A:$A,0)),"行なし",""))</f>
        <v/>
      </c>
      <c r="N4289" s="2" t="str">
        <f aca="false">IF($G4289="","",IF(COUNTIF($G$2:$G$4460,$G4289)&gt;1,"重複",""))</f>
        <v/>
      </c>
    </row>
    <row r="4290" customFormat="false" ht="16.5" hidden="false" customHeight="true" outlineLevel="0" collapsed="false">
      <c r="A4290" s="2" t="s">
        <v>447</v>
      </c>
      <c r="B4290" s="2" t="s">
        <v>474</v>
      </c>
      <c r="C4290" s="2" t="s">
        <v>25</v>
      </c>
      <c r="D4290" s="2" t="str">
        <f aca="false">IF(4キー同時!$B$344="","",4キー同時!$B$344)</f>
        <v/>
      </c>
      <c r="E4290" s="2" t="str">
        <f aca="false">IF(4キー同時!$G$344="","",4キー同時!$G$344)</f>
        <v/>
      </c>
      <c r="F4290" s="2" t="str">
        <f aca="false">IF(4キー同時!$L$344="","",4キー同時!$L$344)</f>
        <v/>
      </c>
      <c r="G4290" s="2" t="str">
        <f aca="false">IF(OR(4キー同時!$B$344="",4キー同時!$G$344="",4キー同時!$L$344=""),"",IF(4キー同時!M350="","",SUBSTITUTE(SUBSTITUTE(4キー同時!M350," ",""),"　","")))</f>
        <v/>
      </c>
      <c r="H4290" s="2" t="str">
        <f aca="false">IF($G4290="","",4キー同時!$B$344)</f>
        <v/>
      </c>
      <c r="I4290" s="2" t="str">
        <f aca="false">IF($G4290="","",4キー同時!$G$344)</f>
        <v/>
      </c>
      <c r="J4290" s="2" t="str">
        <f aca="false">IF($G4290="","",4キー同時!$L$344)</f>
        <v/>
      </c>
      <c r="K4290" s="2" t="str">
        <f aca="false">IF($G4290="","","s")</f>
        <v/>
      </c>
      <c r="L4290" s="2" t="str">
        <f aca="false">IF($G4290="","","同時")</f>
        <v/>
      </c>
      <c r="M4290" s="2" t="str">
        <f aca="false">IF($G4290="","",IF(ISNA(MATCH($G4290,個別指定!$A:$A,0)),"行なし",""))</f>
        <v/>
      </c>
      <c r="N4290" s="2" t="str">
        <f aca="false">IF($G4290="","",IF(COUNTIF($G$2:$G$4460,$G4290)&gt;1,"重複",""))</f>
        <v/>
      </c>
    </row>
    <row r="4291" customFormat="false" ht="16.5" hidden="false" customHeight="true" outlineLevel="0" collapsed="false">
      <c r="A4291" s="2" t="s">
        <v>447</v>
      </c>
      <c r="B4291" s="2" t="s">
        <v>474</v>
      </c>
      <c r="C4291" s="2" t="s">
        <v>26</v>
      </c>
      <c r="D4291" s="2" t="str">
        <f aca="false">IF(4キー同時!$B$344="","",4キー同時!$B$344)</f>
        <v/>
      </c>
      <c r="E4291" s="2" t="str">
        <f aca="false">IF(4キー同時!$G$344="","",4キー同時!$G$344)</f>
        <v/>
      </c>
      <c r="F4291" s="2" t="str">
        <f aca="false">IF(4キー同時!$L$344="","",4キー同時!$L$344)</f>
        <v/>
      </c>
      <c r="G4291" s="2" t="str">
        <f aca="false">IF(OR(4キー同時!$B$344="",4キー同時!$G$344="",4キー同時!$L$344=""),"",IF(4キー同時!Q350="","",SUBSTITUTE(SUBSTITUTE(4キー同時!Q350," ",""),"　","")))</f>
        <v/>
      </c>
      <c r="H4291" s="2" t="str">
        <f aca="false">IF($G4291="","",4キー同時!$B$344)</f>
        <v/>
      </c>
      <c r="I4291" s="2" t="str">
        <f aca="false">IF($G4291="","",4キー同時!$G$344)</f>
        <v/>
      </c>
      <c r="J4291" s="2" t="str">
        <f aca="false">IF($G4291="","",4キー同時!$L$344)</f>
        <v/>
      </c>
      <c r="K4291" s="2" t="str">
        <f aca="false">IF($G4291="","","d")</f>
        <v/>
      </c>
      <c r="L4291" s="2" t="str">
        <f aca="false">IF($G4291="","","同時")</f>
        <v/>
      </c>
      <c r="M4291" s="2" t="str">
        <f aca="false">IF($G4291="","",IF(ISNA(MATCH($G4291,個別指定!$A:$A,0)),"行なし",""))</f>
        <v/>
      </c>
      <c r="N4291" s="2" t="str">
        <f aca="false">IF($G4291="","",IF(COUNTIF($G$2:$G$4460,$G4291)&gt;1,"重複",""))</f>
        <v/>
      </c>
    </row>
    <row r="4292" customFormat="false" ht="16.5" hidden="false" customHeight="true" outlineLevel="0" collapsed="false">
      <c r="A4292" s="2" t="s">
        <v>447</v>
      </c>
      <c r="B4292" s="2" t="s">
        <v>474</v>
      </c>
      <c r="C4292" s="2" t="s">
        <v>27</v>
      </c>
      <c r="D4292" s="2" t="str">
        <f aca="false">IF(4キー同時!$B$344="","",4キー同時!$B$344)</f>
        <v/>
      </c>
      <c r="E4292" s="2" t="str">
        <f aca="false">IF(4キー同時!$G$344="","",4キー同時!$G$344)</f>
        <v/>
      </c>
      <c r="F4292" s="2" t="str">
        <f aca="false">IF(4キー同時!$L$344="","",4キー同時!$L$344)</f>
        <v/>
      </c>
      <c r="G4292" s="2" t="str">
        <f aca="false">IF(OR(4キー同時!$B$344="",4キー同時!$G$344="",4キー同時!$L$344=""),"",IF(4キー同時!U350="","",SUBSTITUTE(SUBSTITUTE(4キー同時!U350," ",""),"　","")))</f>
        <v/>
      </c>
      <c r="H4292" s="2" t="str">
        <f aca="false">IF($G4292="","",4キー同時!$B$344)</f>
        <v/>
      </c>
      <c r="I4292" s="2" t="str">
        <f aca="false">IF($G4292="","",4キー同時!$G$344)</f>
        <v/>
      </c>
      <c r="J4292" s="2" t="str">
        <f aca="false">IF($G4292="","",4キー同時!$L$344)</f>
        <v/>
      </c>
      <c r="K4292" s="2" t="str">
        <f aca="false">IF($G4292="","","f")</f>
        <v/>
      </c>
      <c r="L4292" s="2" t="str">
        <f aca="false">IF($G4292="","","同時")</f>
        <v/>
      </c>
      <c r="M4292" s="2" t="str">
        <f aca="false">IF($G4292="","",IF(ISNA(MATCH($G4292,個別指定!$A:$A,0)),"行なし",""))</f>
        <v/>
      </c>
      <c r="N4292" s="2" t="str">
        <f aca="false">IF($G4292="","",IF(COUNTIF($G$2:$G$4460,$G4292)&gt;1,"重複",""))</f>
        <v/>
      </c>
    </row>
    <row r="4293" customFormat="false" ht="16.5" hidden="false" customHeight="true" outlineLevel="0" collapsed="false">
      <c r="A4293" s="2" t="s">
        <v>447</v>
      </c>
      <c r="B4293" s="2" t="s">
        <v>474</v>
      </c>
      <c r="C4293" s="2" t="s">
        <v>28</v>
      </c>
      <c r="D4293" s="2" t="str">
        <f aca="false">IF(4キー同時!$B$344="","",4キー同時!$B$344)</f>
        <v/>
      </c>
      <c r="E4293" s="2" t="str">
        <f aca="false">IF(4キー同時!$G$344="","",4キー同時!$G$344)</f>
        <v/>
      </c>
      <c r="F4293" s="2" t="str">
        <f aca="false">IF(4キー同時!$L$344="","",4キー同時!$L$344)</f>
        <v/>
      </c>
      <c r="G4293" s="2" t="str">
        <f aca="false">IF(OR(4キー同時!$B$344="",4キー同時!$G$344="",4キー同時!$L$344=""),"",IF(4キー同時!Y350="","",SUBSTITUTE(SUBSTITUTE(4キー同時!Y350," ",""),"　","")))</f>
        <v/>
      </c>
      <c r="H4293" s="2" t="str">
        <f aca="false">IF($G4293="","",4キー同時!$B$344)</f>
        <v/>
      </c>
      <c r="I4293" s="2" t="str">
        <f aca="false">IF($G4293="","",4キー同時!$G$344)</f>
        <v/>
      </c>
      <c r="J4293" s="2" t="str">
        <f aca="false">IF($G4293="","",4キー同時!$L$344)</f>
        <v/>
      </c>
      <c r="K4293" s="2" t="str">
        <f aca="false">IF($G4293="","","g")</f>
        <v/>
      </c>
      <c r="L4293" s="2" t="str">
        <f aca="false">IF($G4293="","","同時")</f>
        <v/>
      </c>
      <c r="M4293" s="2" t="str">
        <f aca="false">IF($G4293="","",IF(ISNA(MATCH($G4293,個別指定!$A:$A,0)),"行なし",""))</f>
        <v/>
      </c>
      <c r="N4293" s="2" t="str">
        <f aca="false">IF($G4293="","",IF(COUNTIF($G$2:$G$4460,$G4293)&gt;1,"重複",""))</f>
        <v/>
      </c>
    </row>
    <row r="4294" customFormat="false" ht="16.5" hidden="false" customHeight="true" outlineLevel="0" collapsed="false">
      <c r="A4294" s="2" t="s">
        <v>447</v>
      </c>
      <c r="B4294" s="2" t="s">
        <v>474</v>
      </c>
      <c r="C4294" s="2" t="s">
        <v>29</v>
      </c>
      <c r="D4294" s="2" t="str">
        <f aca="false">IF(4キー同時!$B$344="","",4キー同時!$B$344)</f>
        <v/>
      </c>
      <c r="E4294" s="2" t="str">
        <f aca="false">IF(4キー同時!$G$344="","",4キー同時!$G$344)</f>
        <v/>
      </c>
      <c r="F4294" s="2" t="str">
        <f aca="false">IF(4キー同時!$L$344="","",4キー同時!$L$344)</f>
        <v/>
      </c>
      <c r="G4294" s="2" t="str">
        <f aca="false">IF(OR(4キー同時!$B$344="",4キー同時!$G$344="",4キー同時!$L$344=""),"",IF(4キー同時!AC350="","",SUBSTITUTE(SUBSTITUTE(4キー同時!AC350," ",""),"　","")))</f>
        <v/>
      </c>
      <c r="H4294" s="2" t="str">
        <f aca="false">IF($G4294="","",4キー同時!$B$344)</f>
        <v/>
      </c>
      <c r="I4294" s="2" t="str">
        <f aca="false">IF($G4294="","",4キー同時!$G$344)</f>
        <v/>
      </c>
      <c r="J4294" s="2" t="str">
        <f aca="false">IF($G4294="","",4キー同時!$L$344)</f>
        <v/>
      </c>
      <c r="K4294" s="2" t="str">
        <f aca="false">IF($G4294="","","h")</f>
        <v/>
      </c>
      <c r="L4294" s="2" t="str">
        <f aca="false">IF($G4294="","","同時")</f>
        <v/>
      </c>
      <c r="M4294" s="2" t="str">
        <f aca="false">IF($G4294="","",IF(ISNA(MATCH($G4294,個別指定!$A:$A,0)),"行なし",""))</f>
        <v/>
      </c>
      <c r="N4294" s="2" t="str">
        <f aca="false">IF($G4294="","",IF(COUNTIF($G$2:$G$4460,$G4294)&gt;1,"重複",""))</f>
        <v/>
      </c>
    </row>
    <row r="4295" customFormat="false" ht="16.5" hidden="false" customHeight="true" outlineLevel="0" collapsed="false">
      <c r="A4295" s="2" t="s">
        <v>447</v>
      </c>
      <c r="B4295" s="2" t="s">
        <v>474</v>
      </c>
      <c r="C4295" s="2" t="s">
        <v>30</v>
      </c>
      <c r="D4295" s="2" t="str">
        <f aca="false">IF(4キー同時!$B$344="","",4キー同時!$B$344)</f>
        <v/>
      </c>
      <c r="E4295" s="2" t="str">
        <f aca="false">IF(4キー同時!$G$344="","",4キー同時!$G$344)</f>
        <v/>
      </c>
      <c r="F4295" s="2" t="str">
        <f aca="false">IF(4キー同時!$L$344="","",4キー同時!$L$344)</f>
        <v/>
      </c>
      <c r="G4295" s="2" t="str">
        <f aca="false">IF(OR(4キー同時!$B$344="",4キー同時!$G$344="",4キー同時!$L$344=""),"",IF(4キー同時!AG350="","",SUBSTITUTE(SUBSTITUTE(4キー同時!AG350," ",""),"　","")))</f>
        <v/>
      </c>
      <c r="H4295" s="2" t="str">
        <f aca="false">IF($G4295="","",4キー同時!$B$344)</f>
        <v/>
      </c>
      <c r="I4295" s="2" t="str">
        <f aca="false">IF($G4295="","",4キー同時!$G$344)</f>
        <v/>
      </c>
      <c r="J4295" s="2" t="str">
        <f aca="false">IF($G4295="","",4キー同時!$L$344)</f>
        <v/>
      </c>
      <c r="K4295" s="2" t="str">
        <f aca="false">IF($G4295="","","j")</f>
        <v/>
      </c>
      <c r="L4295" s="2" t="str">
        <f aca="false">IF($G4295="","","同時")</f>
        <v/>
      </c>
      <c r="M4295" s="2" t="str">
        <f aca="false">IF($G4295="","",IF(ISNA(MATCH($G4295,個別指定!$A:$A,0)),"行なし",""))</f>
        <v/>
      </c>
      <c r="N4295" s="2" t="str">
        <f aca="false">IF($G4295="","",IF(COUNTIF($G$2:$G$4460,$G4295)&gt;1,"重複",""))</f>
        <v/>
      </c>
    </row>
    <row r="4296" customFormat="false" ht="16.5" hidden="false" customHeight="true" outlineLevel="0" collapsed="false">
      <c r="A4296" s="2" t="s">
        <v>447</v>
      </c>
      <c r="B4296" s="2" t="s">
        <v>474</v>
      </c>
      <c r="C4296" s="2" t="s">
        <v>31</v>
      </c>
      <c r="D4296" s="2" t="str">
        <f aca="false">IF(4キー同時!$B$344="","",4キー同時!$B$344)</f>
        <v/>
      </c>
      <c r="E4296" s="2" t="str">
        <f aca="false">IF(4キー同時!$G$344="","",4キー同時!$G$344)</f>
        <v/>
      </c>
      <c r="F4296" s="2" t="str">
        <f aca="false">IF(4キー同時!$L$344="","",4キー同時!$L$344)</f>
        <v/>
      </c>
      <c r="G4296" s="2" t="str">
        <f aca="false">IF(OR(4キー同時!$B$344="",4キー同時!$G$344="",4キー同時!$L$344=""),"",IF(4キー同時!AK350="","",SUBSTITUTE(SUBSTITUTE(4キー同時!AK350," ",""),"　","")))</f>
        <v/>
      </c>
      <c r="H4296" s="2" t="str">
        <f aca="false">IF($G4296="","",4キー同時!$B$344)</f>
        <v/>
      </c>
      <c r="I4296" s="2" t="str">
        <f aca="false">IF($G4296="","",4キー同時!$G$344)</f>
        <v/>
      </c>
      <c r="J4296" s="2" t="str">
        <f aca="false">IF($G4296="","",4キー同時!$L$344)</f>
        <v/>
      </c>
      <c r="K4296" s="2" t="str">
        <f aca="false">IF($G4296="","","k")</f>
        <v/>
      </c>
      <c r="L4296" s="2" t="str">
        <f aca="false">IF($G4296="","","同時")</f>
        <v/>
      </c>
      <c r="M4296" s="2" t="str">
        <f aca="false">IF($G4296="","",IF(ISNA(MATCH($G4296,個別指定!$A:$A,0)),"行なし",""))</f>
        <v/>
      </c>
      <c r="N4296" s="2" t="str">
        <f aca="false">IF($G4296="","",IF(COUNTIF($G$2:$G$4460,$G4296)&gt;1,"重複",""))</f>
        <v/>
      </c>
    </row>
    <row r="4297" customFormat="false" ht="16.5" hidden="false" customHeight="true" outlineLevel="0" collapsed="false">
      <c r="A4297" s="2" t="s">
        <v>447</v>
      </c>
      <c r="B4297" s="2" t="s">
        <v>474</v>
      </c>
      <c r="C4297" s="2" t="s">
        <v>32</v>
      </c>
      <c r="D4297" s="2" t="str">
        <f aca="false">IF(4キー同時!$B$344="","",4キー同時!$B$344)</f>
        <v/>
      </c>
      <c r="E4297" s="2" t="str">
        <f aca="false">IF(4キー同時!$G$344="","",4キー同時!$G$344)</f>
        <v/>
      </c>
      <c r="F4297" s="2" t="str">
        <f aca="false">IF(4キー同時!$L$344="","",4キー同時!$L$344)</f>
        <v/>
      </c>
      <c r="G4297" s="2" t="str">
        <f aca="false">IF(OR(4キー同時!$B$344="",4キー同時!$G$344="",4キー同時!$L$344=""),"",IF(4キー同時!AO350="","",SUBSTITUTE(SUBSTITUTE(4キー同時!AO350," ",""),"　","")))</f>
        <v/>
      </c>
      <c r="H4297" s="2" t="str">
        <f aca="false">IF($G4297="","",4キー同時!$B$344)</f>
        <v/>
      </c>
      <c r="I4297" s="2" t="str">
        <f aca="false">IF($G4297="","",4キー同時!$G$344)</f>
        <v/>
      </c>
      <c r="J4297" s="2" t="str">
        <f aca="false">IF($G4297="","",4キー同時!$L$344)</f>
        <v/>
      </c>
      <c r="K4297" s="2" t="str">
        <f aca="false">IF($G4297="","","l")</f>
        <v/>
      </c>
      <c r="L4297" s="2" t="str">
        <f aca="false">IF($G4297="","","同時")</f>
        <v/>
      </c>
      <c r="M4297" s="2" t="str">
        <f aca="false">IF($G4297="","",IF(ISNA(MATCH($G4297,個別指定!$A:$A,0)),"行なし",""))</f>
        <v/>
      </c>
      <c r="N4297" s="2" t="str">
        <f aca="false">IF($G4297="","",IF(COUNTIF($G$2:$G$4460,$G4297)&gt;1,"重複",""))</f>
        <v/>
      </c>
    </row>
    <row r="4298" customFormat="false" ht="16.5" hidden="false" customHeight="true" outlineLevel="0" collapsed="false">
      <c r="A4298" s="2" t="s">
        <v>447</v>
      </c>
      <c r="B4298" s="2" t="s">
        <v>474</v>
      </c>
      <c r="C4298" s="2" t="s">
        <v>33</v>
      </c>
      <c r="D4298" s="2" t="str">
        <f aca="false">IF(4キー同時!$B$344="","",4キー同時!$B$344)</f>
        <v/>
      </c>
      <c r="E4298" s="2" t="str">
        <f aca="false">IF(4キー同時!$G$344="","",4キー同時!$G$344)</f>
        <v/>
      </c>
      <c r="F4298" s="2" t="str">
        <f aca="false">IF(4キー同時!$L$344="","",4キー同時!$L$344)</f>
        <v/>
      </c>
      <c r="G4298" s="2" t="str">
        <f aca="false">IF(OR(4キー同時!$B$344="",4キー同時!$G$344="",4キー同時!$L$344=""),"",IF(4キー同時!AS350="","",SUBSTITUTE(SUBSTITUTE(4キー同時!AS350," ",""),"　","")))</f>
        <v/>
      </c>
      <c r="H4298" s="2" t="str">
        <f aca="false">IF($G4298="","",4キー同時!$B$344)</f>
        <v/>
      </c>
      <c r="I4298" s="2" t="str">
        <f aca="false">IF($G4298="","",4キー同時!$G$344)</f>
        <v/>
      </c>
      <c r="J4298" s="2" t="str">
        <f aca="false">IF($G4298="","",4キー同時!$L$344)</f>
        <v/>
      </c>
      <c r="K4298" s="2" t="str">
        <f aca="false">IF($G4298="","",";")</f>
        <v/>
      </c>
      <c r="L4298" s="2" t="str">
        <f aca="false">IF($G4298="","","同時")</f>
        <v/>
      </c>
      <c r="M4298" s="2" t="str">
        <f aca="false">IF($G4298="","",IF(ISNA(MATCH($G4298,個別指定!$A:$A,0)),"行なし",""))</f>
        <v/>
      </c>
      <c r="N4298" s="2" t="str">
        <f aca="false">IF($G4298="","",IF(COUNTIF($G$2:$G$4460,$G4298)&gt;1,"重複",""))</f>
        <v/>
      </c>
    </row>
    <row r="4299" customFormat="false" ht="16.5" hidden="false" customHeight="true" outlineLevel="0" collapsed="false">
      <c r="A4299" s="2" t="s">
        <v>447</v>
      </c>
      <c r="B4299" s="2" t="s">
        <v>474</v>
      </c>
      <c r="C4299" s="2" t="s">
        <v>34</v>
      </c>
      <c r="D4299" s="2" t="str">
        <f aca="false">IF(4キー同時!$B$344="","",4キー同時!$B$344)</f>
        <v/>
      </c>
      <c r="E4299" s="2" t="str">
        <f aca="false">IF(4キー同時!$G$344="","",4キー同時!$G$344)</f>
        <v/>
      </c>
      <c r="F4299" s="2" t="str">
        <f aca="false">IF(4キー同時!$L$344="","",4キー同時!$L$344)</f>
        <v/>
      </c>
      <c r="G4299" s="2" t="str">
        <f aca="false">IF(OR(4キー同時!$B$344="",4キー同時!$G$344="",4キー同時!$L$344=""),"",IF(4キー同時!AW350="","",SUBSTITUTE(SUBSTITUTE(4キー同時!AW350," ",""),"　","")))</f>
        <v/>
      </c>
      <c r="H4299" s="2" t="str">
        <f aca="false">IF($G4299="","",4キー同時!$B$344)</f>
        <v/>
      </c>
      <c r="I4299" s="2" t="str">
        <f aca="false">IF($G4299="","",4キー同時!$G$344)</f>
        <v/>
      </c>
      <c r="J4299" s="2" t="str">
        <f aca="false">IF($G4299="","",4キー同時!$L$344)</f>
        <v/>
      </c>
      <c r="K4299" s="2" t="str">
        <f aca="false">IF($G4299="","","'")</f>
        <v/>
      </c>
      <c r="L4299" s="2" t="str">
        <f aca="false">IF($G4299="","","同時")</f>
        <v/>
      </c>
      <c r="M4299" s="2" t="str">
        <f aca="false">IF($G4299="","",IF(ISNA(MATCH($G4299,個別指定!$A:$A,0)),"行なし",""))</f>
        <v/>
      </c>
      <c r="N4299" s="2" t="str">
        <f aca="false">IF($G4299="","",IF(COUNTIF($G$2:$G$4460,$G4299)&gt;1,"重複",""))</f>
        <v/>
      </c>
    </row>
    <row r="4300" customFormat="false" ht="16.5" hidden="false" customHeight="true" outlineLevel="0" collapsed="false">
      <c r="A4300" s="2" t="s">
        <v>447</v>
      </c>
      <c r="B4300" s="2" t="s">
        <v>474</v>
      </c>
      <c r="C4300" s="2" t="s">
        <v>35</v>
      </c>
      <c r="D4300" s="2" t="str">
        <f aca="false">IF(4キー同時!$B$344="","",4キー同時!$B$344)</f>
        <v/>
      </c>
      <c r="E4300" s="2" t="str">
        <f aca="false">IF(4キー同時!$G$344="","",4キー同時!$G$344)</f>
        <v/>
      </c>
      <c r="F4300" s="2" t="str">
        <f aca="false">IF(4キー同時!$L$344="","",4キー同時!$L$344)</f>
        <v/>
      </c>
      <c r="G4300" s="2" t="str">
        <f aca="false">IF(OR(4キー同時!$B$344="",4キー同時!$G$344="",4キー同時!$L$344=""),"",IF(4キー同時!K352="","",SUBSTITUTE(SUBSTITUTE(4キー同時!K352," ",""),"　","")))</f>
        <v/>
      </c>
      <c r="H4300" s="2" t="str">
        <f aca="false">IF($G4300="","",4キー同時!$B$344)</f>
        <v/>
      </c>
      <c r="I4300" s="2" t="str">
        <f aca="false">IF($G4300="","",4キー同時!$G$344)</f>
        <v/>
      </c>
      <c r="J4300" s="2" t="str">
        <f aca="false">IF($G4300="","",4キー同時!$L$344)</f>
        <v/>
      </c>
      <c r="K4300" s="2" t="str">
        <f aca="false">IF($G4300="","","z")</f>
        <v/>
      </c>
      <c r="L4300" s="2" t="str">
        <f aca="false">IF($G4300="","","同時")</f>
        <v/>
      </c>
      <c r="M4300" s="2" t="str">
        <f aca="false">IF($G4300="","",IF(ISNA(MATCH($G4300,個別指定!$A:$A,0)),"行なし",""))</f>
        <v/>
      </c>
      <c r="N4300" s="2" t="str">
        <f aca="false">IF($G4300="","",IF(COUNTIF($G$2:$G$4460,$G4300)&gt;1,"重複",""))</f>
        <v/>
      </c>
    </row>
    <row r="4301" customFormat="false" ht="16.5" hidden="false" customHeight="true" outlineLevel="0" collapsed="false">
      <c r="A4301" s="2" t="s">
        <v>447</v>
      </c>
      <c r="B4301" s="2" t="s">
        <v>474</v>
      </c>
      <c r="C4301" s="2" t="s">
        <v>36</v>
      </c>
      <c r="D4301" s="2" t="str">
        <f aca="false">IF(4キー同時!$B$344="","",4キー同時!$B$344)</f>
        <v/>
      </c>
      <c r="E4301" s="2" t="str">
        <f aca="false">IF(4キー同時!$G$344="","",4キー同時!$G$344)</f>
        <v/>
      </c>
      <c r="F4301" s="2" t="str">
        <f aca="false">IF(4キー同時!$L$344="","",4キー同時!$L$344)</f>
        <v/>
      </c>
      <c r="G4301" s="2" t="str">
        <f aca="false">IF(OR(4キー同時!$B$344="",4キー同時!$G$344="",4キー同時!$L$344=""),"",IF(4キー同時!O352="","",SUBSTITUTE(SUBSTITUTE(4キー同時!O352," ",""),"　","")))</f>
        <v/>
      </c>
      <c r="H4301" s="2" t="str">
        <f aca="false">IF($G4301="","",4キー同時!$B$344)</f>
        <v/>
      </c>
      <c r="I4301" s="2" t="str">
        <f aca="false">IF($G4301="","",4キー同時!$G$344)</f>
        <v/>
      </c>
      <c r="J4301" s="2" t="str">
        <f aca="false">IF($G4301="","",4キー同時!$L$344)</f>
        <v/>
      </c>
      <c r="K4301" s="2" t="str">
        <f aca="false">IF($G4301="","","x")</f>
        <v/>
      </c>
      <c r="L4301" s="2" t="str">
        <f aca="false">IF($G4301="","","同時")</f>
        <v/>
      </c>
      <c r="M4301" s="2" t="str">
        <f aca="false">IF($G4301="","",IF(ISNA(MATCH($G4301,個別指定!$A:$A,0)),"行なし",""))</f>
        <v/>
      </c>
      <c r="N4301" s="2" t="str">
        <f aca="false">IF($G4301="","",IF(COUNTIF($G$2:$G$4460,$G4301)&gt;1,"重複",""))</f>
        <v/>
      </c>
    </row>
    <row r="4302" customFormat="false" ht="16.5" hidden="false" customHeight="true" outlineLevel="0" collapsed="false">
      <c r="A4302" s="2" t="s">
        <v>447</v>
      </c>
      <c r="B4302" s="2" t="s">
        <v>474</v>
      </c>
      <c r="C4302" s="2" t="s">
        <v>37</v>
      </c>
      <c r="D4302" s="2" t="str">
        <f aca="false">IF(4キー同時!$B$344="","",4キー同時!$B$344)</f>
        <v/>
      </c>
      <c r="E4302" s="2" t="str">
        <f aca="false">IF(4キー同時!$G$344="","",4キー同時!$G$344)</f>
        <v/>
      </c>
      <c r="F4302" s="2" t="str">
        <f aca="false">IF(4キー同時!$L$344="","",4キー同時!$L$344)</f>
        <v/>
      </c>
      <c r="G4302" s="2" t="str">
        <f aca="false">IF(OR(4キー同時!$B$344="",4キー同時!$G$344="",4キー同時!$L$344=""),"",IF(4キー同時!S352="","",SUBSTITUTE(SUBSTITUTE(4キー同時!S352," ",""),"　","")))</f>
        <v/>
      </c>
      <c r="H4302" s="2" t="str">
        <f aca="false">IF($G4302="","",4キー同時!$B$344)</f>
        <v/>
      </c>
      <c r="I4302" s="2" t="str">
        <f aca="false">IF($G4302="","",4キー同時!$G$344)</f>
        <v/>
      </c>
      <c r="J4302" s="2" t="str">
        <f aca="false">IF($G4302="","",4キー同時!$L$344)</f>
        <v/>
      </c>
      <c r="K4302" s="2" t="str">
        <f aca="false">IF($G4302="","","c")</f>
        <v/>
      </c>
      <c r="L4302" s="2" t="str">
        <f aca="false">IF($G4302="","","同時")</f>
        <v/>
      </c>
      <c r="M4302" s="2" t="str">
        <f aca="false">IF($G4302="","",IF(ISNA(MATCH($G4302,個別指定!$A:$A,0)),"行なし",""))</f>
        <v/>
      </c>
      <c r="N4302" s="2" t="str">
        <f aca="false">IF($G4302="","",IF(COUNTIF($G$2:$G$4460,$G4302)&gt;1,"重複",""))</f>
        <v/>
      </c>
    </row>
    <row r="4303" customFormat="false" ht="16.5" hidden="false" customHeight="true" outlineLevel="0" collapsed="false">
      <c r="A4303" s="2" t="s">
        <v>447</v>
      </c>
      <c r="B4303" s="2" t="s">
        <v>474</v>
      </c>
      <c r="C4303" s="2" t="s">
        <v>38</v>
      </c>
      <c r="D4303" s="2" t="str">
        <f aca="false">IF(4キー同時!$B$344="","",4キー同時!$B$344)</f>
        <v/>
      </c>
      <c r="E4303" s="2" t="str">
        <f aca="false">IF(4キー同時!$G$344="","",4キー同時!$G$344)</f>
        <v/>
      </c>
      <c r="F4303" s="2" t="str">
        <f aca="false">IF(4キー同時!$L$344="","",4キー同時!$L$344)</f>
        <v/>
      </c>
      <c r="G4303" s="2" t="str">
        <f aca="false">IF(OR(4キー同時!$B$344="",4キー同時!$G$344="",4キー同時!$L$344=""),"",IF(4キー同時!W352="","",SUBSTITUTE(SUBSTITUTE(4キー同時!W352," ",""),"　","")))</f>
        <v/>
      </c>
      <c r="H4303" s="2" t="str">
        <f aca="false">IF($G4303="","",4キー同時!$B$344)</f>
        <v/>
      </c>
      <c r="I4303" s="2" t="str">
        <f aca="false">IF($G4303="","",4キー同時!$G$344)</f>
        <v/>
      </c>
      <c r="J4303" s="2" t="str">
        <f aca="false">IF($G4303="","",4キー同時!$L$344)</f>
        <v/>
      </c>
      <c r="K4303" s="2" t="str">
        <f aca="false">IF($G4303="","","v")</f>
        <v/>
      </c>
      <c r="L4303" s="2" t="str">
        <f aca="false">IF($G4303="","","同時")</f>
        <v/>
      </c>
      <c r="M4303" s="2" t="str">
        <f aca="false">IF($G4303="","",IF(ISNA(MATCH($G4303,個別指定!$A:$A,0)),"行なし",""))</f>
        <v/>
      </c>
      <c r="N4303" s="2" t="str">
        <f aca="false">IF($G4303="","",IF(COUNTIF($G$2:$G$4460,$G4303)&gt;1,"重複",""))</f>
        <v/>
      </c>
    </row>
    <row r="4304" customFormat="false" ht="16.5" hidden="false" customHeight="true" outlineLevel="0" collapsed="false">
      <c r="A4304" s="2" t="s">
        <v>447</v>
      </c>
      <c r="B4304" s="2" t="s">
        <v>474</v>
      </c>
      <c r="C4304" s="2" t="s">
        <v>39</v>
      </c>
      <c r="D4304" s="2" t="str">
        <f aca="false">IF(4キー同時!$B$344="","",4キー同時!$B$344)</f>
        <v/>
      </c>
      <c r="E4304" s="2" t="str">
        <f aca="false">IF(4キー同時!$G$344="","",4キー同時!$G$344)</f>
        <v/>
      </c>
      <c r="F4304" s="2" t="str">
        <f aca="false">IF(4キー同時!$L$344="","",4キー同時!$L$344)</f>
        <v/>
      </c>
      <c r="G4304" s="2" t="str">
        <f aca="false">IF(OR(4キー同時!$B$344="",4キー同時!$G$344="",4キー同時!$L$344=""),"",IF(4キー同時!AA352="","",SUBSTITUTE(SUBSTITUTE(4キー同時!AA352," ",""),"　","")))</f>
        <v/>
      </c>
      <c r="H4304" s="2" t="str">
        <f aca="false">IF($G4304="","",4キー同時!$B$344)</f>
        <v/>
      </c>
      <c r="I4304" s="2" t="str">
        <f aca="false">IF($G4304="","",4キー同時!$G$344)</f>
        <v/>
      </c>
      <c r="J4304" s="2" t="str">
        <f aca="false">IF($G4304="","",4キー同時!$L$344)</f>
        <v/>
      </c>
      <c r="K4304" s="2" t="str">
        <f aca="false">IF($G4304="","","b")</f>
        <v/>
      </c>
      <c r="L4304" s="2" t="str">
        <f aca="false">IF($G4304="","","同時")</f>
        <v/>
      </c>
      <c r="M4304" s="2" t="str">
        <f aca="false">IF($G4304="","",IF(ISNA(MATCH($G4304,個別指定!$A:$A,0)),"行なし",""))</f>
        <v/>
      </c>
      <c r="N4304" s="2" t="str">
        <f aca="false">IF($G4304="","",IF(COUNTIF($G$2:$G$4460,$G4304)&gt;1,"重複",""))</f>
        <v/>
      </c>
    </row>
    <row r="4305" customFormat="false" ht="16.5" hidden="false" customHeight="true" outlineLevel="0" collapsed="false">
      <c r="A4305" s="2" t="s">
        <v>447</v>
      </c>
      <c r="B4305" s="2" t="s">
        <v>474</v>
      </c>
      <c r="C4305" s="2" t="s">
        <v>40</v>
      </c>
      <c r="D4305" s="2" t="str">
        <f aca="false">IF(4キー同時!$B$344="","",4キー同時!$B$344)</f>
        <v/>
      </c>
      <c r="E4305" s="2" t="str">
        <f aca="false">IF(4キー同時!$G$344="","",4キー同時!$G$344)</f>
        <v/>
      </c>
      <c r="F4305" s="2" t="str">
        <f aca="false">IF(4キー同時!$L$344="","",4キー同時!$L$344)</f>
        <v/>
      </c>
      <c r="G4305" s="2" t="str">
        <f aca="false">IF(OR(4キー同時!$B$344="",4キー同時!$G$344="",4キー同時!$L$344=""),"",IF(4キー同時!AE352="","",SUBSTITUTE(SUBSTITUTE(4キー同時!AE352," ",""),"　","")))</f>
        <v/>
      </c>
      <c r="H4305" s="2" t="str">
        <f aca="false">IF($G4305="","",4キー同時!$B$344)</f>
        <v/>
      </c>
      <c r="I4305" s="2" t="str">
        <f aca="false">IF($G4305="","",4キー同時!$G$344)</f>
        <v/>
      </c>
      <c r="J4305" s="2" t="str">
        <f aca="false">IF($G4305="","",4キー同時!$L$344)</f>
        <v/>
      </c>
      <c r="K4305" s="2" t="str">
        <f aca="false">IF($G4305="","","n")</f>
        <v/>
      </c>
      <c r="L4305" s="2" t="str">
        <f aca="false">IF($G4305="","","同時")</f>
        <v/>
      </c>
      <c r="M4305" s="2" t="str">
        <f aca="false">IF($G4305="","",IF(ISNA(MATCH($G4305,個別指定!$A:$A,0)),"行なし",""))</f>
        <v/>
      </c>
      <c r="N4305" s="2" t="str">
        <f aca="false">IF($G4305="","",IF(COUNTIF($G$2:$G$4460,$G4305)&gt;1,"重複",""))</f>
        <v/>
      </c>
    </row>
    <row r="4306" customFormat="false" ht="16.5" hidden="false" customHeight="true" outlineLevel="0" collapsed="false">
      <c r="A4306" s="2" t="s">
        <v>447</v>
      </c>
      <c r="B4306" s="2" t="s">
        <v>474</v>
      </c>
      <c r="C4306" s="2" t="s">
        <v>41</v>
      </c>
      <c r="D4306" s="2" t="str">
        <f aca="false">IF(4キー同時!$B$344="","",4キー同時!$B$344)</f>
        <v/>
      </c>
      <c r="E4306" s="2" t="str">
        <f aca="false">IF(4キー同時!$G$344="","",4キー同時!$G$344)</f>
        <v/>
      </c>
      <c r="F4306" s="2" t="str">
        <f aca="false">IF(4キー同時!$L$344="","",4キー同時!$L$344)</f>
        <v/>
      </c>
      <c r="G4306" s="2" t="str">
        <f aca="false">IF(OR(4キー同時!$B$344="",4キー同時!$G$344="",4キー同時!$L$344=""),"",IF(4キー同時!AI352="","",SUBSTITUTE(SUBSTITUTE(4キー同時!AI352," ",""),"　","")))</f>
        <v/>
      </c>
      <c r="H4306" s="2" t="str">
        <f aca="false">IF($G4306="","",4キー同時!$B$344)</f>
        <v/>
      </c>
      <c r="I4306" s="2" t="str">
        <f aca="false">IF($G4306="","",4キー同時!$G$344)</f>
        <v/>
      </c>
      <c r="J4306" s="2" t="str">
        <f aca="false">IF($G4306="","",4キー同時!$L$344)</f>
        <v/>
      </c>
      <c r="K4306" s="2" t="str">
        <f aca="false">IF($G4306="","","m")</f>
        <v/>
      </c>
      <c r="L4306" s="2" t="str">
        <f aca="false">IF($G4306="","","同時")</f>
        <v/>
      </c>
      <c r="M4306" s="2" t="str">
        <f aca="false">IF($G4306="","",IF(ISNA(MATCH($G4306,個別指定!$A:$A,0)),"行なし",""))</f>
        <v/>
      </c>
      <c r="N4306" s="2" t="str">
        <f aca="false">IF($G4306="","",IF(COUNTIF($G$2:$G$4460,$G4306)&gt;1,"重複",""))</f>
        <v/>
      </c>
    </row>
    <row r="4307" customFormat="false" ht="16.5" hidden="false" customHeight="true" outlineLevel="0" collapsed="false">
      <c r="A4307" s="2" t="s">
        <v>447</v>
      </c>
      <c r="B4307" s="2" t="s">
        <v>474</v>
      </c>
      <c r="C4307" s="2" t="s">
        <v>42</v>
      </c>
      <c r="D4307" s="2" t="str">
        <f aca="false">IF(4キー同時!$B$344="","",4キー同時!$B$344)</f>
        <v/>
      </c>
      <c r="E4307" s="2" t="str">
        <f aca="false">IF(4キー同時!$G$344="","",4キー同時!$G$344)</f>
        <v/>
      </c>
      <c r="F4307" s="2" t="str">
        <f aca="false">IF(4キー同時!$L$344="","",4キー同時!$L$344)</f>
        <v/>
      </c>
      <c r="G4307" s="2" t="str">
        <f aca="false">IF(OR(4キー同時!$B$344="",4キー同時!$G$344="",4キー同時!$L$344=""),"",IF(4キー同時!AM352="","",SUBSTITUTE(SUBSTITUTE(4キー同時!AM352," ",""),"　","")))</f>
        <v/>
      </c>
      <c r="H4307" s="2" t="str">
        <f aca="false">IF($G4307="","",4キー同時!$B$344)</f>
        <v/>
      </c>
      <c r="I4307" s="2" t="str">
        <f aca="false">IF($G4307="","",4キー同時!$G$344)</f>
        <v/>
      </c>
      <c r="J4307" s="2" t="str">
        <f aca="false">IF($G4307="","",4キー同時!$L$344)</f>
        <v/>
      </c>
      <c r="K4307" s="2" t="str">
        <f aca="false">IF($G4307="","",",")</f>
        <v/>
      </c>
      <c r="L4307" s="2" t="str">
        <f aca="false">IF($G4307="","","同時")</f>
        <v/>
      </c>
      <c r="M4307" s="2" t="str">
        <f aca="false">IF($G4307="","",IF(ISNA(MATCH($G4307,個別指定!$A:$A,0)),"行なし",""))</f>
        <v/>
      </c>
      <c r="N4307" s="2" t="str">
        <f aca="false">IF($G4307="","",IF(COUNTIF($G$2:$G$4460,$G4307)&gt;1,"重複",""))</f>
        <v/>
      </c>
    </row>
    <row r="4308" customFormat="false" ht="16.5" hidden="false" customHeight="true" outlineLevel="0" collapsed="false">
      <c r="A4308" s="2" t="s">
        <v>447</v>
      </c>
      <c r="B4308" s="2" t="s">
        <v>474</v>
      </c>
      <c r="C4308" s="2" t="s">
        <v>43</v>
      </c>
      <c r="D4308" s="2" t="str">
        <f aca="false">IF(4キー同時!$B$344="","",4キー同時!$B$344)</f>
        <v/>
      </c>
      <c r="E4308" s="2" t="str">
        <f aca="false">IF(4キー同時!$G$344="","",4キー同時!$G$344)</f>
        <v/>
      </c>
      <c r="F4308" s="2" t="str">
        <f aca="false">IF(4キー同時!$L$344="","",4キー同時!$L$344)</f>
        <v/>
      </c>
      <c r="G4308" s="2" t="str">
        <f aca="false">IF(OR(4キー同時!$B$344="",4キー同時!$G$344="",4キー同時!$L$344=""),"",IF(4キー同時!AQ352="","",SUBSTITUTE(SUBSTITUTE(4キー同時!AQ352," ",""),"　","")))</f>
        <v/>
      </c>
      <c r="H4308" s="2" t="str">
        <f aca="false">IF($G4308="","",4キー同時!$B$344)</f>
        <v/>
      </c>
      <c r="I4308" s="2" t="str">
        <f aca="false">IF($G4308="","",4キー同時!$G$344)</f>
        <v/>
      </c>
      <c r="J4308" s="2" t="str">
        <f aca="false">IF($G4308="","",4キー同時!$L$344)</f>
        <v/>
      </c>
      <c r="K4308" s="2" t="str">
        <f aca="false">IF($G4308="","",".")</f>
        <v/>
      </c>
      <c r="L4308" s="2" t="str">
        <f aca="false">IF($G4308="","","同時")</f>
        <v/>
      </c>
      <c r="M4308" s="2" t="str">
        <f aca="false">IF($G4308="","",IF(ISNA(MATCH($G4308,個別指定!$A:$A,0)),"行なし",""))</f>
        <v/>
      </c>
      <c r="N4308" s="2" t="str">
        <f aca="false">IF($G4308="","",IF(COUNTIF($G$2:$G$4460,$G4308)&gt;1,"重複",""))</f>
        <v/>
      </c>
    </row>
    <row r="4309" customFormat="false" ht="16.5" hidden="false" customHeight="true" outlineLevel="0" collapsed="false">
      <c r="A4309" s="2" t="s">
        <v>447</v>
      </c>
      <c r="B4309" s="2" t="s">
        <v>474</v>
      </c>
      <c r="C4309" s="2" t="s">
        <v>44</v>
      </c>
      <c r="D4309" s="2" t="str">
        <f aca="false">IF(4キー同時!$B$344="","",4キー同時!$B$344)</f>
        <v/>
      </c>
      <c r="E4309" s="2" t="str">
        <f aca="false">IF(4キー同時!$G$344="","",4キー同時!$G$344)</f>
        <v/>
      </c>
      <c r="F4309" s="2" t="str">
        <f aca="false">IF(4キー同時!$L$344="","",4キー同時!$L$344)</f>
        <v/>
      </c>
      <c r="G4309" s="2" t="str">
        <f aca="false">IF(OR(4キー同時!$B$344="",4キー同時!$G$344="",4キー同時!$L$344=""),"",IF(4キー同時!AU352="","",SUBSTITUTE(SUBSTITUTE(4キー同時!AU352," ",""),"　","")))</f>
        <v/>
      </c>
      <c r="H4309" s="2" t="str">
        <f aca="false">IF($G4309="","",4キー同時!$B$344)</f>
        <v/>
      </c>
      <c r="I4309" s="2" t="str">
        <f aca="false">IF($G4309="","",4キー同時!$G$344)</f>
        <v/>
      </c>
      <c r="J4309" s="2" t="str">
        <f aca="false">IF($G4309="","",4キー同時!$L$344)</f>
        <v/>
      </c>
      <c r="K4309" s="2" t="str">
        <f aca="false">IF($G4309="","","/")</f>
        <v/>
      </c>
      <c r="L4309" s="2" t="str">
        <f aca="false">IF($G4309="","","同時")</f>
        <v/>
      </c>
      <c r="M4309" s="2" t="str">
        <f aca="false">IF($G4309="","",IF(ISNA(MATCH($G4309,個別指定!$A:$A,0)),"行なし",""))</f>
        <v/>
      </c>
      <c r="N4309" s="2" t="str">
        <f aca="false">IF($G4309="","",IF(COUNTIF($G$2:$G$4460,$G4309)&gt;1,"重複",""))</f>
        <v/>
      </c>
    </row>
    <row r="4310" customFormat="false" ht="16.5" hidden="false" customHeight="true" outlineLevel="0" collapsed="false">
      <c r="A4310" s="2" t="s">
        <v>447</v>
      </c>
      <c r="B4310" s="2" t="s">
        <v>474</v>
      </c>
      <c r="C4310" s="2" t="s">
        <v>48</v>
      </c>
      <c r="D4310" s="2" t="str">
        <f aca="false">IF(4キー同時!$B$344="","",4キー同時!$B$344)</f>
        <v/>
      </c>
      <c r="E4310" s="2" t="str">
        <f aca="false">IF(4キー同時!$G$344="","",4キー同時!$G$344)</f>
        <v/>
      </c>
      <c r="F4310" s="2" t="str">
        <f aca="false">IF(4キー同時!$L$344="","",4キー同時!$L$344)</f>
        <v/>
      </c>
      <c r="G4310" s="2" t="str">
        <f aca="false">IF(OR(4キー同時!$B$344="",4キー同時!$G$344="",4キー同時!$L$344=""),"",IF(4キー同時!P354="","",SUBSTITUTE(SUBSTITUTE(4キー同時!P354," ",""),"　","")))</f>
        <v/>
      </c>
      <c r="H4310" s="2" t="str">
        <f aca="false">IF($G4310="","",4キー同時!$B$344)</f>
        <v/>
      </c>
      <c r="I4310" s="2" t="str">
        <f aca="false">IF($G4310="","",4キー同時!$G$344)</f>
        <v/>
      </c>
      <c r="J4310" s="2" t="str">
        <f aca="false">IF($G4310="","",4キー同時!$L$344)</f>
        <v/>
      </c>
      <c r="K4310" s="2" t="str">
        <f aca="false">IF($G4310="","","muhenkan")</f>
        <v/>
      </c>
      <c r="L4310" s="2" t="str">
        <f aca="false">IF($G4310="","","同時")</f>
        <v/>
      </c>
      <c r="M4310" s="2" t="str">
        <f aca="false">IF($G4310="","",IF(ISNA(MATCH($G4310,個別指定!$A:$A,0)),"行なし",""))</f>
        <v/>
      </c>
      <c r="N4310" s="2" t="str">
        <f aca="false">IF($G4310="","",IF(COUNTIF($G$2:$G$4460,$G4310)&gt;1,"重複",""))</f>
        <v/>
      </c>
    </row>
    <row r="4311" customFormat="false" ht="16.5" hidden="false" customHeight="true" outlineLevel="0" collapsed="false">
      <c r="A4311" s="2" t="s">
        <v>447</v>
      </c>
      <c r="B4311" s="2" t="s">
        <v>474</v>
      </c>
      <c r="C4311" s="2" t="s">
        <v>50</v>
      </c>
      <c r="D4311" s="2" t="str">
        <f aca="false">IF(4キー同時!$B$344="","",4キー同時!$B$344)</f>
        <v/>
      </c>
      <c r="E4311" s="2" t="str">
        <f aca="false">IF(4キー同時!$G$344="","",4キー同時!$G$344)</f>
        <v/>
      </c>
      <c r="F4311" s="2" t="str">
        <f aca="false">IF(4キー同時!$L$344="","",4キー同時!$L$344)</f>
        <v/>
      </c>
      <c r="G4311" s="2" t="str">
        <f aca="false">IF(OR(4キー同時!$B$344="",4キー同時!$G$344="",4キー同時!$L$344=""),"",IF(4キー同時!T354="","",SUBSTITUTE(SUBSTITUTE(4キー同時!T354," ",""),"　","")))</f>
        <v/>
      </c>
      <c r="H4311" s="2" t="str">
        <f aca="false">IF($G4311="","",4キー同時!$B$344)</f>
        <v/>
      </c>
      <c r="I4311" s="2" t="str">
        <f aca="false">IF($G4311="","",4キー同時!$G$344)</f>
        <v/>
      </c>
      <c r="J4311" s="2" t="str">
        <f aca="false">IF($G4311="","",4キー同時!$L$344)</f>
        <v/>
      </c>
      <c r="K4311" s="2" t="str">
        <f aca="false">IF($G4311="","","space")</f>
        <v/>
      </c>
      <c r="L4311" s="2" t="str">
        <f aca="false">IF($G4311="","","同時")</f>
        <v/>
      </c>
      <c r="M4311" s="2" t="str">
        <f aca="false">IF($G4311="","",IF(ISNA(MATCH($G4311,個別指定!$A:$A,0)),"行なし",""))</f>
        <v/>
      </c>
      <c r="N4311" s="2" t="str">
        <f aca="false">IF($G4311="","",IF(COUNTIF($G$2:$G$4460,$G4311)&gt;1,"重複",""))</f>
        <v/>
      </c>
    </row>
    <row r="4312" customFormat="false" ht="16.5" hidden="false" customHeight="true" outlineLevel="0" collapsed="false">
      <c r="A4312" s="2" t="s">
        <v>447</v>
      </c>
      <c r="B4312" s="2" t="s">
        <v>474</v>
      </c>
      <c r="C4312" s="2" t="s">
        <v>45</v>
      </c>
      <c r="D4312" s="2" t="str">
        <f aca="false">IF(4キー同時!$B$344="","",4キー同時!$B$344)</f>
        <v/>
      </c>
      <c r="E4312" s="2" t="str">
        <f aca="false">IF(4キー同時!$G$344="","",4キー同時!$G$344)</f>
        <v/>
      </c>
      <c r="F4312" s="2" t="str">
        <f aca="false">IF(4キー同時!$L$344="","",4キー同時!$L$344)</f>
        <v/>
      </c>
      <c r="G4312" s="2" t="str">
        <f aca="false">IF(OR(4キー同時!$B$344="",4キー同時!$G$344="",4キー同時!$L$344=""),"",IF(4キー同時!AL354="","",SUBSTITUTE(SUBSTITUTE(4キー同時!AL354," ",""),"　","")))</f>
        <v/>
      </c>
      <c r="H4312" s="2" t="str">
        <f aca="false">IF($G4312="","",4キー同時!$B$344)</f>
        <v/>
      </c>
      <c r="I4312" s="2" t="str">
        <f aca="false">IF($G4312="","",4キー同時!$G$344)</f>
        <v/>
      </c>
      <c r="J4312" s="2" t="str">
        <f aca="false">IF($G4312="","",4キー同時!$L$344)</f>
        <v/>
      </c>
      <c r="K4312" s="2" t="str">
        <f aca="false">IF($G4312="","","henkan")</f>
        <v/>
      </c>
      <c r="L4312" s="2" t="str">
        <f aca="false">IF($G4312="","","同時")</f>
        <v/>
      </c>
      <c r="M4312" s="2" t="str">
        <f aca="false">IF($G4312="","",IF(ISNA(MATCH($G4312,個別指定!$A:$A,0)),"行なし",""))</f>
        <v/>
      </c>
      <c r="N4312" s="2" t="str">
        <f aca="false">IF($G4312="","",IF(COUNTIF($G$2:$G$4460,$G4312)&gt;1,"重複",""))</f>
        <v/>
      </c>
    </row>
    <row r="4313" customFormat="false" ht="16.5" hidden="false" customHeight="true" outlineLevel="0" collapsed="false">
      <c r="A4313" s="2" t="s">
        <v>447</v>
      </c>
      <c r="B4313" s="2" t="s">
        <v>474</v>
      </c>
      <c r="C4313" s="2" t="s">
        <v>46</v>
      </c>
      <c r="D4313" s="2" t="str">
        <f aca="false">IF(4キー同時!$B$344="","",4キー同時!$B$344)</f>
        <v/>
      </c>
      <c r="E4313" s="2" t="str">
        <f aca="false">IF(4キー同時!$G$344="","",4キー同時!$G$344)</f>
        <v/>
      </c>
      <c r="F4313" s="2" t="str">
        <f aca="false">IF(4キー同時!$L$344="","",4キー同時!$L$344)</f>
        <v/>
      </c>
      <c r="G4313" s="2" t="str">
        <f aca="false">IF(OR(4キー同時!$B$344="",4キー同時!$G$344="",4キー同時!$L$344=""),"",IF(4キー同時!AP354="","",SUBSTITUTE(SUBSTITUTE(4キー同時!AP354," ",""),"　","")))</f>
        <v/>
      </c>
      <c r="H4313" s="2" t="str">
        <f aca="false">IF($G4313="","",4キー同時!$B$344)</f>
        <v/>
      </c>
      <c r="I4313" s="2" t="str">
        <f aca="false">IF($G4313="","",4キー同時!$G$344)</f>
        <v/>
      </c>
      <c r="J4313" s="2" t="str">
        <f aca="false">IF($G4313="","",4キー同時!$L$344)</f>
        <v/>
      </c>
      <c r="K4313" s="2" t="str">
        <f aca="false">IF($G4313="","","kana")</f>
        <v/>
      </c>
      <c r="L4313" s="2" t="str">
        <f aca="false">IF($G4313="","","同時")</f>
        <v/>
      </c>
      <c r="M4313" s="2" t="str">
        <f aca="false">IF($G4313="","",IF(ISNA(MATCH($G4313,個別指定!$A:$A,0)),"行なし",""))</f>
        <v/>
      </c>
      <c r="N4313" s="2" t="str">
        <f aca="false">IF($G4313="","",IF(COUNTIF($G$2:$G$4460,$G4313)&gt;1,"重複",""))</f>
        <v/>
      </c>
    </row>
    <row r="4314" customFormat="false" ht="16.5" hidden="false" customHeight="true" outlineLevel="0" collapsed="false">
      <c r="A4314" s="2" t="s">
        <v>447</v>
      </c>
      <c r="B4314" s="2" t="s">
        <v>475</v>
      </c>
      <c r="C4314" s="2" t="s">
        <v>0</v>
      </c>
      <c r="D4314" s="2" t="str">
        <f aca="false">IF(4キー同時!$B$357="","",4キー同時!$B$357)</f>
        <v/>
      </c>
      <c r="E4314" s="2" t="str">
        <f aca="false">IF(4キー同時!$G$357="","",4キー同時!$G$357)</f>
        <v/>
      </c>
      <c r="F4314" s="2" t="str">
        <f aca="false">IF(4キー同時!$L$357="","",4キー同時!$L$357)</f>
        <v/>
      </c>
      <c r="G4314" s="2" t="str">
        <f aca="false">IF(OR(4キー同時!$B$357="",4キー同時!$G$357="",4キー同時!$L$357=""),"",IF(4キー同時!F359="","",SUBSTITUTE(SUBSTITUTE(4キー同時!F359," ",""),"　","")))</f>
        <v/>
      </c>
      <c r="H4314" s="2" t="str">
        <f aca="false">IF($G4314="","",4キー同時!$B$357)</f>
        <v/>
      </c>
      <c r="I4314" s="2" t="str">
        <f aca="false">IF($G4314="","",4キー同時!$G$357)</f>
        <v/>
      </c>
      <c r="J4314" s="2" t="str">
        <f aca="false">IF($G4314="","",4キー同時!$L$357)</f>
        <v/>
      </c>
      <c r="K4314" s="2" t="str">
        <f aca="false">IF($G4314="","","1")</f>
        <v/>
      </c>
      <c r="L4314" s="2" t="str">
        <f aca="false">IF($G4314="","","同時")</f>
        <v/>
      </c>
      <c r="M4314" s="2" t="str">
        <f aca="false">IF($G4314="","",IF(ISNA(MATCH($G4314,個別指定!$A:$A,0)),"行なし",""))</f>
        <v/>
      </c>
      <c r="N4314" s="2" t="str">
        <f aca="false">IF($G4314="","",IF(COUNTIF($G$2:$G$4460,$G4314)&gt;1,"重複",""))</f>
        <v/>
      </c>
    </row>
    <row r="4315" customFormat="false" ht="16.5" hidden="false" customHeight="true" outlineLevel="0" collapsed="false">
      <c r="A4315" s="2" t="s">
        <v>447</v>
      </c>
      <c r="B4315" s="2" t="s">
        <v>475</v>
      </c>
      <c r="C4315" s="2" t="s">
        <v>1</v>
      </c>
      <c r="D4315" s="2" t="str">
        <f aca="false">IF(4キー同時!$B$357="","",4キー同時!$B$357)</f>
        <v/>
      </c>
      <c r="E4315" s="2" t="str">
        <f aca="false">IF(4キー同時!$G$357="","",4キー同時!$G$357)</f>
        <v/>
      </c>
      <c r="F4315" s="2" t="str">
        <f aca="false">IF(4キー同時!$L$357="","",4キー同時!$L$357)</f>
        <v/>
      </c>
      <c r="G4315" s="2" t="str">
        <f aca="false">IF(OR(4キー同時!$B$357="",4キー同時!$G$357="",4キー同時!$L$357=""),"",IF(4キー同時!J359="","",SUBSTITUTE(SUBSTITUTE(4キー同時!J359," ",""),"　","")))</f>
        <v/>
      </c>
      <c r="H4315" s="2" t="str">
        <f aca="false">IF($G4315="","",4キー同時!$B$357)</f>
        <v/>
      </c>
      <c r="I4315" s="2" t="str">
        <f aca="false">IF($G4315="","",4キー同時!$G$357)</f>
        <v/>
      </c>
      <c r="J4315" s="2" t="str">
        <f aca="false">IF($G4315="","",4キー同時!$L$357)</f>
        <v/>
      </c>
      <c r="K4315" s="2" t="str">
        <f aca="false">IF($G4315="","","2")</f>
        <v/>
      </c>
      <c r="L4315" s="2" t="str">
        <f aca="false">IF($G4315="","","同時")</f>
        <v/>
      </c>
      <c r="M4315" s="2" t="str">
        <f aca="false">IF($G4315="","",IF(ISNA(MATCH($G4315,個別指定!$A:$A,0)),"行なし",""))</f>
        <v/>
      </c>
      <c r="N4315" s="2" t="str">
        <f aca="false">IF($G4315="","",IF(COUNTIF($G$2:$G$4460,$G4315)&gt;1,"重複",""))</f>
        <v/>
      </c>
    </row>
    <row r="4316" customFormat="false" ht="16.5" hidden="false" customHeight="true" outlineLevel="0" collapsed="false">
      <c r="A4316" s="2" t="s">
        <v>447</v>
      </c>
      <c r="B4316" s="2" t="s">
        <v>475</v>
      </c>
      <c r="C4316" s="2" t="s">
        <v>2</v>
      </c>
      <c r="D4316" s="2" t="str">
        <f aca="false">IF(4キー同時!$B$357="","",4キー同時!$B$357)</f>
        <v/>
      </c>
      <c r="E4316" s="2" t="str">
        <f aca="false">IF(4キー同時!$G$357="","",4キー同時!$G$357)</f>
        <v/>
      </c>
      <c r="F4316" s="2" t="str">
        <f aca="false">IF(4キー同時!$L$357="","",4キー同時!$L$357)</f>
        <v/>
      </c>
      <c r="G4316" s="2" t="str">
        <f aca="false">IF(OR(4キー同時!$B$357="",4キー同時!$G$357="",4キー同時!$L$357=""),"",IF(4キー同時!N359="","",SUBSTITUTE(SUBSTITUTE(4キー同時!N359," ",""),"　","")))</f>
        <v/>
      </c>
      <c r="H4316" s="2" t="str">
        <f aca="false">IF($G4316="","",4キー同時!$B$357)</f>
        <v/>
      </c>
      <c r="I4316" s="2" t="str">
        <f aca="false">IF($G4316="","",4キー同時!$G$357)</f>
        <v/>
      </c>
      <c r="J4316" s="2" t="str">
        <f aca="false">IF($G4316="","",4キー同時!$L$357)</f>
        <v/>
      </c>
      <c r="K4316" s="2" t="str">
        <f aca="false">IF($G4316="","","3")</f>
        <v/>
      </c>
      <c r="L4316" s="2" t="str">
        <f aca="false">IF($G4316="","","同時")</f>
        <v/>
      </c>
      <c r="M4316" s="2" t="str">
        <f aca="false">IF($G4316="","",IF(ISNA(MATCH($G4316,個別指定!$A:$A,0)),"行なし",""))</f>
        <v/>
      </c>
      <c r="N4316" s="2" t="str">
        <f aca="false">IF($G4316="","",IF(COUNTIF($G$2:$G$4460,$G4316)&gt;1,"重複",""))</f>
        <v/>
      </c>
    </row>
    <row r="4317" customFormat="false" ht="16.5" hidden="false" customHeight="true" outlineLevel="0" collapsed="false">
      <c r="A4317" s="2" t="s">
        <v>447</v>
      </c>
      <c r="B4317" s="2" t="s">
        <v>475</v>
      </c>
      <c r="C4317" s="2" t="s">
        <v>3</v>
      </c>
      <c r="D4317" s="2" t="str">
        <f aca="false">IF(4キー同時!$B$357="","",4キー同時!$B$357)</f>
        <v/>
      </c>
      <c r="E4317" s="2" t="str">
        <f aca="false">IF(4キー同時!$G$357="","",4キー同時!$G$357)</f>
        <v/>
      </c>
      <c r="F4317" s="2" t="str">
        <f aca="false">IF(4キー同時!$L$357="","",4キー同時!$L$357)</f>
        <v/>
      </c>
      <c r="G4317" s="2" t="str">
        <f aca="false">IF(OR(4キー同時!$B$357="",4キー同時!$G$357="",4キー同時!$L$357=""),"",IF(4キー同時!R359="","",SUBSTITUTE(SUBSTITUTE(4キー同時!R359," ",""),"　","")))</f>
        <v/>
      </c>
      <c r="H4317" s="2" t="str">
        <f aca="false">IF($G4317="","",4キー同時!$B$357)</f>
        <v/>
      </c>
      <c r="I4317" s="2" t="str">
        <f aca="false">IF($G4317="","",4キー同時!$G$357)</f>
        <v/>
      </c>
      <c r="J4317" s="2" t="str">
        <f aca="false">IF($G4317="","",4キー同時!$L$357)</f>
        <v/>
      </c>
      <c r="K4317" s="2" t="str">
        <f aca="false">IF($G4317="","","4")</f>
        <v/>
      </c>
      <c r="L4317" s="2" t="str">
        <f aca="false">IF($G4317="","","同時")</f>
        <v/>
      </c>
      <c r="M4317" s="2" t="str">
        <f aca="false">IF($G4317="","",IF(ISNA(MATCH($G4317,個別指定!$A:$A,0)),"行なし",""))</f>
        <v/>
      </c>
      <c r="N4317" s="2" t="str">
        <f aca="false">IF($G4317="","",IF(COUNTIF($G$2:$G$4460,$G4317)&gt;1,"重複",""))</f>
        <v/>
      </c>
    </row>
    <row r="4318" customFormat="false" ht="16.5" hidden="false" customHeight="true" outlineLevel="0" collapsed="false">
      <c r="A4318" s="2" t="s">
        <v>447</v>
      </c>
      <c r="B4318" s="2" t="s">
        <v>475</v>
      </c>
      <c r="C4318" s="2" t="s">
        <v>4</v>
      </c>
      <c r="D4318" s="2" t="str">
        <f aca="false">IF(4キー同時!$B$357="","",4キー同時!$B$357)</f>
        <v/>
      </c>
      <c r="E4318" s="2" t="str">
        <f aca="false">IF(4キー同時!$G$357="","",4キー同時!$G$357)</f>
        <v/>
      </c>
      <c r="F4318" s="2" t="str">
        <f aca="false">IF(4キー同時!$L$357="","",4キー同時!$L$357)</f>
        <v/>
      </c>
      <c r="G4318" s="2" t="str">
        <f aca="false">IF(OR(4キー同時!$B$357="",4キー同時!$G$357="",4キー同時!$L$357=""),"",IF(4キー同時!V359="","",SUBSTITUTE(SUBSTITUTE(4キー同時!V359," ",""),"　","")))</f>
        <v/>
      </c>
      <c r="H4318" s="2" t="str">
        <f aca="false">IF($G4318="","",4キー同時!$B$357)</f>
        <v/>
      </c>
      <c r="I4318" s="2" t="str">
        <f aca="false">IF($G4318="","",4キー同時!$G$357)</f>
        <v/>
      </c>
      <c r="J4318" s="2" t="str">
        <f aca="false">IF($G4318="","",4キー同時!$L$357)</f>
        <v/>
      </c>
      <c r="K4318" s="2" t="str">
        <f aca="false">IF($G4318="","","5")</f>
        <v/>
      </c>
      <c r="L4318" s="2" t="str">
        <f aca="false">IF($G4318="","","同時")</f>
        <v/>
      </c>
      <c r="M4318" s="2" t="str">
        <f aca="false">IF($G4318="","",IF(ISNA(MATCH($G4318,個別指定!$A:$A,0)),"行なし",""))</f>
        <v/>
      </c>
      <c r="N4318" s="2" t="str">
        <f aca="false">IF($G4318="","",IF(COUNTIF($G$2:$G$4460,$G4318)&gt;1,"重複",""))</f>
        <v/>
      </c>
    </row>
    <row r="4319" customFormat="false" ht="16.5" hidden="false" customHeight="true" outlineLevel="0" collapsed="false">
      <c r="A4319" s="2" t="s">
        <v>447</v>
      </c>
      <c r="B4319" s="2" t="s">
        <v>475</v>
      </c>
      <c r="C4319" s="2" t="s">
        <v>5</v>
      </c>
      <c r="D4319" s="2" t="str">
        <f aca="false">IF(4キー同時!$B$357="","",4キー同時!$B$357)</f>
        <v/>
      </c>
      <c r="E4319" s="2" t="str">
        <f aca="false">IF(4キー同時!$G$357="","",4キー同時!$G$357)</f>
        <v/>
      </c>
      <c r="F4319" s="2" t="str">
        <f aca="false">IF(4キー同時!$L$357="","",4キー同時!$L$357)</f>
        <v/>
      </c>
      <c r="G4319" s="2" t="str">
        <f aca="false">IF(OR(4キー同時!$B$357="",4キー同時!$G$357="",4キー同時!$L$357=""),"",IF(4キー同時!Z359="","",SUBSTITUTE(SUBSTITUTE(4キー同時!Z359," ",""),"　","")))</f>
        <v/>
      </c>
      <c r="H4319" s="2" t="str">
        <f aca="false">IF($G4319="","",4キー同時!$B$357)</f>
        <v/>
      </c>
      <c r="I4319" s="2" t="str">
        <f aca="false">IF($G4319="","",4キー同時!$G$357)</f>
        <v/>
      </c>
      <c r="J4319" s="2" t="str">
        <f aca="false">IF($G4319="","",4キー同時!$L$357)</f>
        <v/>
      </c>
      <c r="K4319" s="2" t="str">
        <f aca="false">IF($G4319="","","6")</f>
        <v/>
      </c>
      <c r="L4319" s="2" t="str">
        <f aca="false">IF($G4319="","","同時")</f>
        <v/>
      </c>
      <c r="M4319" s="2" t="str">
        <f aca="false">IF($G4319="","",IF(ISNA(MATCH($G4319,個別指定!$A:$A,0)),"行なし",""))</f>
        <v/>
      </c>
      <c r="N4319" s="2" t="str">
        <f aca="false">IF($G4319="","",IF(COUNTIF($G$2:$G$4460,$G4319)&gt;1,"重複",""))</f>
        <v/>
      </c>
    </row>
    <row r="4320" customFormat="false" ht="16.5" hidden="false" customHeight="true" outlineLevel="0" collapsed="false">
      <c r="A4320" s="2" t="s">
        <v>447</v>
      </c>
      <c r="B4320" s="2" t="s">
        <v>475</v>
      </c>
      <c r="C4320" s="2" t="s">
        <v>6</v>
      </c>
      <c r="D4320" s="2" t="str">
        <f aca="false">IF(4キー同時!$B$357="","",4キー同時!$B$357)</f>
        <v/>
      </c>
      <c r="E4320" s="2" t="str">
        <f aca="false">IF(4キー同時!$G$357="","",4キー同時!$G$357)</f>
        <v/>
      </c>
      <c r="F4320" s="2" t="str">
        <f aca="false">IF(4キー同時!$L$357="","",4キー同時!$L$357)</f>
        <v/>
      </c>
      <c r="G4320" s="2" t="str">
        <f aca="false">IF(OR(4キー同時!$B$357="",4キー同時!$G$357="",4キー同時!$L$357=""),"",IF(4キー同時!AD359="","",SUBSTITUTE(SUBSTITUTE(4キー同時!AD359," ",""),"　","")))</f>
        <v/>
      </c>
      <c r="H4320" s="2" t="str">
        <f aca="false">IF($G4320="","",4キー同時!$B$357)</f>
        <v/>
      </c>
      <c r="I4320" s="2" t="str">
        <f aca="false">IF($G4320="","",4キー同時!$G$357)</f>
        <v/>
      </c>
      <c r="J4320" s="2" t="str">
        <f aca="false">IF($G4320="","",4キー同時!$L$357)</f>
        <v/>
      </c>
      <c r="K4320" s="2" t="str">
        <f aca="false">IF($G4320="","","7")</f>
        <v/>
      </c>
      <c r="L4320" s="2" t="str">
        <f aca="false">IF($G4320="","","同時")</f>
        <v/>
      </c>
      <c r="M4320" s="2" t="str">
        <f aca="false">IF($G4320="","",IF(ISNA(MATCH($G4320,個別指定!$A:$A,0)),"行なし",""))</f>
        <v/>
      </c>
      <c r="N4320" s="2" t="str">
        <f aca="false">IF($G4320="","",IF(COUNTIF($G$2:$G$4460,$G4320)&gt;1,"重複",""))</f>
        <v/>
      </c>
    </row>
    <row r="4321" customFormat="false" ht="16.5" hidden="false" customHeight="true" outlineLevel="0" collapsed="false">
      <c r="A4321" s="2" t="s">
        <v>447</v>
      </c>
      <c r="B4321" s="2" t="s">
        <v>475</v>
      </c>
      <c r="C4321" s="2" t="s">
        <v>7</v>
      </c>
      <c r="D4321" s="2" t="str">
        <f aca="false">IF(4キー同時!$B$357="","",4キー同時!$B$357)</f>
        <v/>
      </c>
      <c r="E4321" s="2" t="str">
        <f aca="false">IF(4キー同時!$G$357="","",4キー同時!$G$357)</f>
        <v/>
      </c>
      <c r="F4321" s="2" t="str">
        <f aca="false">IF(4キー同時!$L$357="","",4キー同時!$L$357)</f>
        <v/>
      </c>
      <c r="G4321" s="2" t="str">
        <f aca="false">IF(OR(4キー同時!$B$357="",4キー同時!$G$357="",4キー同時!$L$357=""),"",IF(4キー同時!AH359="","",SUBSTITUTE(SUBSTITUTE(4キー同時!AH359," ",""),"　","")))</f>
        <v/>
      </c>
      <c r="H4321" s="2" t="str">
        <f aca="false">IF($G4321="","",4キー同時!$B$357)</f>
        <v/>
      </c>
      <c r="I4321" s="2" t="str">
        <f aca="false">IF($G4321="","",4キー同時!$G$357)</f>
        <v/>
      </c>
      <c r="J4321" s="2" t="str">
        <f aca="false">IF($G4321="","",4キー同時!$L$357)</f>
        <v/>
      </c>
      <c r="K4321" s="2" t="str">
        <f aca="false">IF($G4321="","","8")</f>
        <v/>
      </c>
      <c r="L4321" s="2" t="str">
        <f aca="false">IF($G4321="","","同時")</f>
        <v/>
      </c>
      <c r="M4321" s="2" t="str">
        <f aca="false">IF($G4321="","",IF(ISNA(MATCH($G4321,個別指定!$A:$A,0)),"行なし",""))</f>
        <v/>
      </c>
      <c r="N4321" s="2" t="str">
        <f aca="false">IF($G4321="","",IF(COUNTIF($G$2:$G$4460,$G4321)&gt;1,"重複",""))</f>
        <v/>
      </c>
    </row>
    <row r="4322" customFormat="false" ht="16.5" hidden="false" customHeight="true" outlineLevel="0" collapsed="false">
      <c r="A4322" s="2" t="s">
        <v>447</v>
      </c>
      <c r="B4322" s="2" t="s">
        <v>475</v>
      </c>
      <c r="C4322" s="2" t="s">
        <v>8</v>
      </c>
      <c r="D4322" s="2" t="str">
        <f aca="false">IF(4キー同時!$B$357="","",4キー同時!$B$357)</f>
        <v/>
      </c>
      <c r="E4322" s="2" t="str">
        <f aca="false">IF(4キー同時!$G$357="","",4キー同時!$G$357)</f>
        <v/>
      </c>
      <c r="F4322" s="2" t="str">
        <f aca="false">IF(4キー同時!$L$357="","",4キー同時!$L$357)</f>
        <v/>
      </c>
      <c r="G4322" s="2" t="str">
        <f aca="false">IF(OR(4キー同時!$B$357="",4キー同時!$G$357="",4キー同時!$L$357=""),"",IF(4キー同時!AL359="","",SUBSTITUTE(SUBSTITUTE(4キー同時!AL359," ",""),"　","")))</f>
        <v/>
      </c>
      <c r="H4322" s="2" t="str">
        <f aca="false">IF($G4322="","",4キー同時!$B$357)</f>
        <v/>
      </c>
      <c r="I4322" s="2" t="str">
        <f aca="false">IF($G4322="","",4キー同時!$G$357)</f>
        <v/>
      </c>
      <c r="J4322" s="2" t="str">
        <f aca="false">IF($G4322="","",4キー同時!$L$357)</f>
        <v/>
      </c>
      <c r="K4322" s="2" t="str">
        <f aca="false">IF($G4322="","","9")</f>
        <v/>
      </c>
      <c r="L4322" s="2" t="str">
        <f aca="false">IF($G4322="","","同時")</f>
        <v/>
      </c>
      <c r="M4322" s="2" t="str">
        <f aca="false">IF($G4322="","",IF(ISNA(MATCH($G4322,個別指定!$A:$A,0)),"行なし",""))</f>
        <v/>
      </c>
      <c r="N4322" s="2" t="str">
        <f aca="false">IF($G4322="","",IF(COUNTIF($G$2:$G$4460,$G4322)&gt;1,"重複",""))</f>
        <v/>
      </c>
    </row>
    <row r="4323" customFormat="false" ht="16.5" hidden="false" customHeight="true" outlineLevel="0" collapsed="false">
      <c r="A4323" s="2" t="s">
        <v>447</v>
      </c>
      <c r="B4323" s="2" t="s">
        <v>475</v>
      </c>
      <c r="C4323" s="2" t="s">
        <v>9</v>
      </c>
      <c r="D4323" s="2" t="str">
        <f aca="false">IF(4キー同時!$B$357="","",4キー同時!$B$357)</f>
        <v/>
      </c>
      <c r="E4323" s="2" t="str">
        <f aca="false">IF(4キー同時!$G$357="","",4キー同時!$G$357)</f>
        <v/>
      </c>
      <c r="F4323" s="2" t="str">
        <f aca="false">IF(4キー同時!$L$357="","",4キー同時!$L$357)</f>
        <v/>
      </c>
      <c r="G4323" s="2" t="str">
        <f aca="false">IF(OR(4キー同時!$B$357="",4キー同時!$G$357="",4キー同時!$L$357=""),"",IF(4キー同時!AP359="","",SUBSTITUTE(SUBSTITUTE(4キー同時!AP359," ",""),"　","")))</f>
        <v/>
      </c>
      <c r="H4323" s="2" t="str">
        <f aca="false">IF($G4323="","",4キー同時!$B$357)</f>
        <v/>
      </c>
      <c r="I4323" s="2" t="str">
        <f aca="false">IF($G4323="","",4キー同時!$G$357)</f>
        <v/>
      </c>
      <c r="J4323" s="2" t="str">
        <f aca="false">IF($G4323="","",4キー同時!$L$357)</f>
        <v/>
      </c>
      <c r="K4323" s="2" t="str">
        <f aca="false">IF($G4323="","","0")</f>
        <v/>
      </c>
      <c r="L4323" s="2" t="str">
        <f aca="false">IF($G4323="","","同時")</f>
        <v/>
      </c>
      <c r="M4323" s="2" t="str">
        <f aca="false">IF($G4323="","",IF(ISNA(MATCH($G4323,個別指定!$A:$A,0)),"行なし",""))</f>
        <v/>
      </c>
      <c r="N4323" s="2" t="str">
        <f aca="false">IF($G4323="","",IF(COUNTIF($G$2:$G$4460,$G4323)&gt;1,"重複",""))</f>
        <v/>
      </c>
    </row>
    <row r="4324" customFormat="false" ht="16.5" hidden="false" customHeight="true" outlineLevel="0" collapsed="false">
      <c r="A4324" s="2" t="s">
        <v>447</v>
      </c>
      <c r="B4324" s="2" t="s">
        <v>475</v>
      </c>
      <c r="C4324" s="2" t="s">
        <v>10</v>
      </c>
      <c r="D4324" s="2" t="str">
        <f aca="false">IF(4キー同時!$B$357="","",4キー同時!$B$357)</f>
        <v/>
      </c>
      <c r="E4324" s="2" t="str">
        <f aca="false">IF(4キー同時!$G$357="","",4キー同時!$G$357)</f>
        <v/>
      </c>
      <c r="F4324" s="2" t="str">
        <f aca="false">IF(4キー同時!$L$357="","",4キー同時!$L$357)</f>
        <v/>
      </c>
      <c r="G4324" s="2" t="str">
        <f aca="false">IF(OR(4キー同時!$B$357="",4キー同時!$G$357="",4キー同時!$L$357=""),"",IF(4キー同時!AT359="","",SUBSTITUTE(SUBSTITUTE(4キー同時!AT359," ",""),"　","")))</f>
        <v/>
      </c>
      <c r="H4324" s="2" t="str">
        <f aca="false">IF($G4324="","",4キー同時!$B$357)</f>
        <v/>
      </c>
      <c r="I4324" s="2" t="str">
        <f aca="false">IF($G4324="","",4キー同時!$G$357)</f>
        <v/>
      </c>
      <c r="J4324" s="2" t="str">
        <f aca="false">IF($G4324="","",4キー同時!$L$357)</f>
        <v/>
      </c>
      <c r="K4324" s="2" t="str">
        <f aca="false">IF($G4324="","","-")</f>
        <v/>
      </c>
      <c r="L4324" s="2" t="str">
        <f aca="false">IF($G4324="","","同時")</f>
        <v/>
      </c>
      <c r="M4324" s="2" t="str">
        <f aca="false">IF($G4324="","",IF(ISNA(MATCH($G4324,個別指定!$A:$A,0)),"行なし",""))</f>
        <v/>
      </c>
      <c r="N4324" s="2" t="str">
        <f aca="false">IF($G4324="","",IF(COUNTIF($G$2:$G$4460,$G4324)&gt;1,"重複",""))</f>
        <v/>
      </c>
    </row>
    <row r="4325" customFormat="false" ht="16.5" hidden="false" customHeight="true" outlineLevel="0" collapsed="false">
      <c r="A4325" s="2" t="s">
        <v>447</v>
      </c>
      <c r="B4325" s="2" t="s">
        <v>475</v>
      </c>
      <c r="C4325" s="2" t="s">
        <v>11</v>
      </c>
      <c r="D4325" s="2" t="str">
        <f aca="false">IF(4キー同時!$B$357="","",4キー同時!$B$357)</f>
        <v/>
      </c>
      <c r="E4325" s="2" t="str">
        <f aca="false">IF(4キー同時!$G$357="","",4キー同時!$G$357)</f>
        <v/>
      </c>
      <c r="F4325" s="2" t="str">
        <f aca="false">IF(4キー同時!$L$357="","",4キー同時!$L$357)</f>
        <v/>
      </c>
      <c r="G4325" s="2" t="str">
        <f aca="false">IF(OR(4キー同時!$B$357="",4キー同時!$G$357="",4キー同時!$L$357=""),"",IF(4キー同時!AX359="","",SUBSTITUTE(SUBSTITUTE(4キー同時!AX359," ",""),"　","")))</f>
        <v/>
      </c>
      <c r="H4325" s="2" t="str">
        <f aca="false">IF($G4325="","",4キー同時!$B$357)</f>
        <v/>
      </c>
      <c r="I4325" s="2" t="str">
        <f aca="false">IF($G4325="","",4キー同時!$G$357)</f>
        <v/>
      </c>
      <c r="J4325" s="2" t="str">
        <f aca="false">IF($G4325="","",4キー同時!$L$357)</f>
        <v/>
      </c>
      <c r="K4325" s="2" t="str">
        <f aca="false">IF($G4325="","","=")</f>
        <v/>
      </c>
      <c r="L4325" s="2" t="str">
        <f aca="false">IF($G4325="","","同時")</f>
        <v/>
      </c>
      <c r="M4325" s="2" t="str">
        <f aca="false">IF($G4325="","",IF(ISNA(MATCH($G4325,個別指定!$A:$A,0)),"行なし",""))</f>
        <v/>
      </c>
      <c r="N4325" s="2" t="str">
        <f aca="false">IF($G4325="","",IF(COUNTIF($G$2:$G$4460,$G4325)&gt;1,"重複",""))</f>
        <v/>
      </c>
    </row>
    <row r="4326" customFormat="false" ht="16.5" hidden="false" customHeight="true" outlineLevel="0" collapsed="false">
      <c r="A4326" s="2" t="s">
        <v>447</v>
      </c>
      <c r="B4326" s="2" t="s">
        <v>475</v>
      </c>
      <c r="C4326" s="2" t="s">
        <v>12</v>
      </c>
      <c r="D4326" s="2" t="str">
        <f aca="false">IF(4キー同時!$B$357="","",4キー同時!$B$357)</f>
        <v/>
      </c>
      <c r="E4326" s="2" t="str">
        <f aca="false">IF(4キー同時!$G$357="","",4キー同時!$G$357)</f>
        <v/>
      </c>
      <c r="F4326" s="2" t="str">
        <f aca="false">IF(4キー同時!$L$357="","",4キー同時!$L$357)</f>
        <v/>
      </c>
      <c r="G4326" s="2" t="str">
        <f aca="false">IF(OR(4キー同時!$B$357="",4キー同時!$G$357="",4キー同時!$L$357=""),"",IF(4キー同時!H361="","",SUBSTITUTE(SUBSTITUTE(4キー同時!H361," ",""),"　","")))</f>
        <v/>
      </c>
      <c r="H4326" s="2" t="str">
        <f aca="false">IF($G4326="","",4キー同時!$B$357)</f>
        <v/>
      </c>
      <c r="I4326" s="2" t="str">
        <f aca="false">IF($G4326="","",4キー同時!$G$357)</f>
        <v/>
      </c>
      <c r="J4326" s="2" t="str">
        <f aca="false">IF($G4326="","",4キー同時!$L$357)</f>
        <v/>
      </c>
      <c r="K4326" s="2" t="str">
        <f aca="false">IF($G4326="","","q")</f>
        <v/>
      </c>
      <c r="L4326" s="2" t="str">
        <f aca="false">IF($G4326="","","同時")</f>
        <v/>
      </c>
      <c r="M4326" s="2" t="str">
        <f aca="false">IF($G4326="","",IF(ISNA(MATCH($G4326,個別指定!$A:$A,0)),"行なし",""))</f>
        <v/>
      </c>
      <c r="N4326" s="2" t="str">
        <f aca="false">IF($G4326="","",IF(COUNTIF($G$2:$G$4460,$G4326)&gt;1,"重複",""))</f>
        <v/>
      </c>
    </row>
    <row r="4327" customFormat="false" ht="16.5" hidden="false" customHeight="true" outlineLevel="0" collapsed="false">
      <c r="A4327" s="2" t="s">
        <v>447</v>
      </c>
      <c r="B4327" s="2" t="s">
        <v>475</v>
      </c>
      <c r="C4327" s="2" t="s">
        <v>13</v>
      </c>
      <c r="D4327" s="2" t="str">
        <f aca="false">IF(4キー同時!$B$357="","",4キー同時!$B$357)</f>
        <v/>
      </c>
      <c r="E4327" s="2" t="str">
        <f aca="false">IF(4キー同時!$G$357="","",4キー同時!$G$357)</f>
        <v/>
      </c>
      <c r="F4327" s="2" t="str">
        <f aca="false">IF(4キー同時!$L$357="","",4キー同時!$L$357)</f>
        <v/>
      </c>
      <c r="G4327" s="2" t="str">
        <f aca="false">IF(OR(4キー同時!$B$357="",4キー同時!$G$357="",4キー同時!$L$357=""),"",IF(4キー同時!L361="","",SUBSTITUTE(SUBSTITUTE(4キー同時!L361," ",""),"　","")))</f>
        <v/>
      </c>
      <c r="H4327" s="2" t="str">
        <f aca="false">IF($G4327="","",4キー同時!$B$357)</f>
        <v/>
      </c>
      <c r="I4327" s="2" t="str">
        <f aca="false">IF($G4327="","",4キー同時!$G$357)</f>
        <v/>
      </c>
      <c r="J4327" s="2" t="str">
        <f aca="false">IF($G4327="","",4キー同時!$L$357)</f>
        <v/>
      </c>
      <c r="K4327" s="2" t="str">
        <f aca="false">IF($G4327="","","w")</f>
        <v/>
      </c>
      <c r="L4327" s="2" t="str">
        <f aca="false">IF($G4327="","","同時")</f>
        <v/>
      </c>
      <c r="M4327" s="2" t="str">
        <f aca="false">IF($G4327="","",IF(ISNA(MATCH($G4327,個別指定!$A:$A,0)),"行なし",""))</f>
        <v/>
      </c>
      <c r="N4327" s="2" t="str">
        <f aca="false">IF($G4327="","",IF(COUNTIF($G$2:$G$4460,$G4327)&gt;1,"重複",""))</f>
        <v/>
      </c>
    </row>
    <row r="4328" customFormat="false" ht="16.5" hidden="false" customHeight="true" outlineLevel="0" collapsed="false">
      <c r="A4328" s="2" t="s">
        <v>447</v>
      </c>
      <c r="B4328" s="2" t="s">
        <v>475</v>
      </c>
      <c r="C4328" s="2" t="s">
        <v>14</v>
      </c>
      <c r="D4328" s="2" t="str">
        <f aca="false">IF(4キー同時!$B$357="","",4キー同時!$B$357)</f>
        <v/>
      </c>
      <c r="E4328" s="2" t="str">
        <f aca="false">IF(4キー同時!$G$357="","",4キー同時!$G$357)</f>
        <v/>
      </c>
      <c r="F4328" s="2" t="str">
        <f aca="false">IF(4キー同時!$L$357="","",4キー同時!$L$357)</f>
        <v/>
      </c>
      <c r="G4328" s="2" t="str">
        <f aca="false">IF(OR(4キー同時!$B$357="",4キー同時!$G$357="",4キー同時!$L$357=""),"",IF(4キー同時!P361="","",SUBSTITUTE(SUBSTITUTE(4キー同時!P361," ",""),"　","")))</f>
        <v/>
      </c>
      <c r="H4328" s="2" t="str">
        <f aca="false">IF($G4328="","",4キー同時!$B$357)</f>
        <v/>
      </c>
      <c r="I4328" s="2" t="str">
        <f aca="false">IF($G4328="","",4キー同時!$G$357)</f>
        <v/>
      </c>
      <c r="J4328" s="2" t="str">
        <f aca="false">IF($G4328="","",4キー同時!$L$357)</f>
        <v/>
      </c>
      <c r="K4328" s="2" t="str">
        <f aca="false">IF($G4328="","","e")</f>
        <v/>
      </c>
      <c r="L4328" s="2" t="str">
        <f aca="false">IF($G4328="","","同時")</f>
        <v/>
      </c>
      <c r="M4328" s="2" t="str">
        <f aca="false">IF($G4328="","",IF(ISNA(MATCH($G4328,個別指定!$A:$A,0)),"行なし",""))</f>
        <v/>
      </c>
      <c r="N4328" s="2" t="str">
        <f aca="false">IF($G4328="","",IF(COUNTIF($G$2:$G$4460,$G4328)&gt;1,"重複",""))</f>
        <v/>
      </c>
    </row>
    <row r="4329" customFormat="false" ht="16.5" hidden="false" customHeight="true" outlineLevel="0" collapsed="false">
      <c r="A4329" s="2" t="s">
        <v>447</v>
      </c>
      <c r="B4329" s="2" t="s">
        <v>475</v>
      </c>
      <c r="C4329" s="2" t="s">
        <v>15</v>
      </c>
      <c r="D4329" s="2" t="str">
        <f aca="false">IF(4キー同時!$B$357="","",4キー同時!$B$357)</f>
        <v/>
      </c>
      <c r="E4329" s="2" t="str">
        <f aca="false">IF(4キー同時!$G$357="","",4キー同時!$G$357)</f>
        <v/>
      </c>
      <c r="F4329" s="2" t="str">
        <f aca="false">IF(4キー同時!$L$357="","",4キー同時!$L$357)</f>
        <v/>
      </c>
      <c r="G4329" s="2" t="str">
        <f aca="false">IF(OR(4キー同時!$B$357="",4キー同時!$G$357="",4キー同時!$L$357=""),"",IF(4キー同時!T361="","",SUBSTITUTE(SUBSTITUTE(4キー同時!T361," ",""),"　","")))</f>
        <v/>
      </c>
      <c r="H4329" s="2" t="str">
        <f aca="false">IF($G4329="","",4キー同時!$B$357)</f>
        <v/>
      </c>
      <c r="I4329" s="2" t="str">
        <f aca="false">IF($G4329="","",4キー同時!$G$357)</f>
        <v/>
      </c>
      <c r="J4329" s="2" t="str">
        <f aca="false">IF($G4329="","",4キー同時!$L$357)</f>
        <v/>
      </c>
      <c r="K4329" s="2" t="str">
        <f aca="false">IF($G4329="","","r")</f>
        <v/>
      </c>
      <c r="L4329" s="2" t="str">
        <f aca="false">IF($G4329="","","同時")</f>
        <v/>
      </c>
      <c r="M4329" s="2" t="str">
        <f aca="false">IF($G4329="","",IF(ISNA(MATCH($G4329,個別指定!$A:$A,0)),"行なし",""))</f>
        <v/>
      </c>
      <c r="N4329" s="2" t="str">
        <f aca="false">IF($G4329="","",IF(COUNTIF($G$2:$G$4460,$G4329)&gt;1,"重複",""))</f>
        <v/>
      </c>
    </row>
    <row r="4330" customFormat="false" ht="16.5" hidden="false" customHeight="true" outlineLevel="0" collapsed="false">
      <c r="A4330" s="2" t="s">
        <v>447</v>
      </c>
      <c r="B4330" s="2" t="s">
        <v>475</v>
      </c>
      <c r="C4330" s="2" t="s">
        <v>16</v>
      </c>
      <c r="D4330" s="2" t="str">
        <f aca="false">IF(4キー同時!$B$357="","",4キー同時!$B$357)</f>
        <v/>
      </c>
      <c r="E4330" s="2" t="str">
        <f aca="false">IF(4キー同時!$G$357="","",4キー同時!$G$357)</f>
        <v/>
      </c>
      <c r="F4330" s="2" t="str">
        <f aca="false">IF(4キー同時!$L$357="","",4キー同時!$L$357)</f>
        <v/>
      </c>
      <c r="G4330" s="2" t="str">
        <f aca="false">IF(OR(4キー同時!$B$357="",4キー同時!$G$357="",4キー同時!$L$357=""),"",IF(4キー同時!X361="","",SUBSTITUTE(SUBSTITUTE(4キー同時!X361," ",""),"　","")))</f>
        <v/>
      </c>
      <c r="H4330" s="2" t="str">
        <f aca="false">IF($G4330="","",4キー同時!$B$357)</f>
        <v/>
      </c>
      <c r="I4330" s="2" t="str">
        <f aca="false">IF($G4330="","",4キー同時!$G$357)</f>
        <v/>
      </c>
      <c r="J4330" s="2" t="str">
        <f aca="false">IF($G4330="","",4キー同時!$L$357)</f>
        <v/>
      </c>
      <c r="K4330" s="2" t="str">
        <f aca="false">IF($G4330="","","t")</f>
        <v/>
      </c>
      <c r="L4330" s="2" t="str">
        <f aca="false">IF($G4330="","","同時")</f>
        <v/>
      </c>
      <c r="M4330" s="2" t="str">
        <f aca="false">IF($G4330="","",IF(ISNA(MATCH($G4330,個別指定!$A:$A,0)),"行なし",""))</f>
        <v/>
      </c>
      <c r="N4330" s="2" t="str">
        <f aca="false">IF($G4330="","",IF(COUNTIF($G$2:$G$4460,$G4330)&gt;1,"重複",""))</f>
        <v/>
      </c>
    </row>
    <row r="4331" customFormat="false" ht="16.5" hidden="false" customHeight="true" outlineLevel="0" collapsed="false">
      <c r="A4331" s="2" t="s">
        <v>447</v>
      </c>
      <c r="B4331" s="2" t="s">
        <v>475</v>
      </c>
      <c r="C4331" s="2" t="s">
        <v>17</v>
      </c>
      <c r="D4331" s="2" t="str">
        <f aca="false">IF(4キー同時!$B$357="","",4キー同時!$B$357)</f>
        <v/>
      </c>
      <c r="E4331" s="2" t="str">
        <f aca="false">IF(4キー同時!$G$357="","",4キー同時!$G$357)</f>
        <v/>
      </c>
      <c r="F4331" s="2" t="str">
        <f aca="false">IF(4キー同時!$L$357="","",4キー同時!$L$357)</f>
        <v/>
      </c>
      <c r="G4331" s="2" t="str">
        <f aca="false">IF(OR(4キー同時!$B$357="",4キー同時!$G$357="",4キー同時!$L$357=""),"",IF(4キー同時!AB361="","",SUBSTITUTE(SUBSTITUTE(4キー同時!AB361," ",""),"　","")))</f>
        <v/>
      </c>
      <c r="H4331" s="2" t="str">
        <f aca="false">IF($G4331="","",4キー同時!$B$357)</f>
        <v/>
      </c>
      <c r="I4331" s="2" t="str">
        <f aca="false">IF($G4331="","",4キー同時!$G$357)</f>
        <v/>
      </c>
      <c r="J4331" s="2" t="str">
        <f aca="false">IF($G4331="","",4キー同時!$L$357)</f>
        <v/>
      </c>
      <c r="K4331" s="2" t="str">
        <f aca="false">IF($G4331="","","y")</f>
        <v/>
      </c>
      <c r="L4331" s="2" t="str">
        <f aca="false">IF($G4331="","","同時")</f>
        <v/>
      </c>
      <c r="M4331" s="2" t="str">
        <f aca="false">IF($G4331="","",IF(ISNA(MATCH($G4331,個別指定!$A:$A,0)),"行なし",""))</f>
        <v/>
      </c>
      <c r="N4331" s="2" t="str">
        <f aca="false">IF($G4331="","",IF(COUNTIF($G$2:$G$4460,$G4331)&gt;1,"重複",""))</f>
        <v/>
      </c>
    </row>
    <row r="4332" customFormat="false" ht="16.5" hidden="false" customHeight="true" outlineLevel="0" collapsed="false">
      <c r="A4332" s="2" t="s">
        <v>447</v>
      </c>
      <c r="B4332" s="2" t="s">
        <v>475</v>
      </c>
      <c r="C4332" s="2" t="s">
        <v>18</v>
      </c>
      <c r="D4332" s="2" t="str">
        <f aca="false">IF(4キー同時!$B$357="","",4キー同時!$B$357)</f>
        <v/>
      </c>
      <c r="E4332" s="2" t="str">
        <f aca="false">IF(4キー同時!$G$357="","",4キー同時!$G$357)</f>
        <v/>
      </c>
      <c r="F4332" s="2" t="str">
        <f aca="false">IF(4キー同時!$L$357="","",4キー同時!$L$357)</f>
        <v/>
      </c>
      <c r="G4332" s="2" t="str">
        <f aca="false">IF(OR(4キー同時!$B$357="",4キー同時!$G$357="",4キー同時!$L$357=""),"",IF(4キー同時!AF361="","",SUBSTITUTE(SUBSTITUTE(4キー同時!AF361," ",""),"　","")))</f>
        <v/>
      </c>
      <c r="H4332" s="2" t="str">
        <f aca="false">IF($G4332="","",4キー同時!$B$357)</f>
        <v/>
      </c>
      <c r="I4332" s="2" t="str">
        <f aca="false">IF($G4332="","",4キー同時!$G$357)</f>
        <v/>
      </c>
      <c r="J4332" s="2" t="str">
        <f aca="false">IF($G4332="","",4キー同時!$L$357)</f>
        <v/>
      </c>
      <c r="K4332" s="2" t="str">
        <f aca="false">IF($G4332="","","u")</f>
        <v/>
      </c>
      <c r="L4332" s="2" t="str">
        <f aca="false">IF($G4332="","","同時")</f>
        <v/>
      </c>
      <c r="M4332" s="2" t="str">
        <f aca="false">IF($G4332="","",IF(ISNA(MATCH($G4332,個別指定!$A:$A,0)),"行なし",""))</f>
        <v/>
      </c>
      <c r="N4332" s="2" t="str">
        <f aca="false">IF($G4332="","",IF(COUNTIF($G$2:$G$4460,$G4332)&gt;1,"重複",""))</f>
        <v/>
      </c>
    </row>
    <row r="4333" customFormat="false" ht="16.5" hidden="false" customHeight="true" outlineLevel="0" collapsed="false">
      <c r="A4333" s="2" t="s">
        <v>447</v>
      </c>
      <c r="B4333" s="2" t="s">
        <v>475</v>
      </c>
      <c r="C4333" s="2" t="s">
        <v>19</v>
      </c>
      <c r="D4333" s="2" t="str">
        <f aca="false">IF(4キー同時!$B$357="","",4キー同時!$B$357)</f>
        <v/>
      </c>
      <c r="E4333" s="2" t="str">
        <f aca="false">IF(4キー同時!$G$357="","",4キー同時!$G$357)</f>
        <v/>
      </c>
      <c r="F4333" s="2" t="str">
        <f aca="false">IF(4キー同時!$L$357="","",4キー同時!$L$357)</f>
        <v/>
      </c>
      <c r="G4333" s="2" t="str">
        <f aca="false">IF(OR(4キー同時!$B$357="",4キー同時!$G$357="",4キー同時!$L$357=""),"",IF(4キー同時!AJ361="","",SUBSTITUTE(SUBSTITUTE(4キー同時!AJ361," ",""),"　","")))</f>
        <v/>
      </c>
      <c r="H4333" s="2" t="str">
        <f aca="false">IF($G4333="","",4キー同時!$B$357)</f>
        <v/>
      </c>
      <c r="I4333" s="2" t="str">
        <f aca="false">IF($G4333="","",4キー同時!$G$357)</f>
        <v/>
      </c>
      <c r="J4333" s="2" t="str">
        <f aca="false">IF($G4333="","",4キー同時!$L$357)</f>
        <v/>
      </c>
      <c r="K4333" s="2" t="str">
        <f aca="false">IF($G4333="","","i")</f>
        <v/>
      </c>
      <c r="L4333" s="2" t="str">
        <f aca="false">IF($G4333="","","同時")</f>
        <v/>
      </c>
      <c r="M4333" s="2" t="str">
        <f aca="false">IF($G4333="","",IF(ISNA(MATCH($G4333,個別指定!$A:$A,0)),"行なし",""))</f>
        <v/>
      </c>
      <c r="N4333" s="2" t="str">
        <f aca="false">IF($G4333="","",IF(COUNTIF($G$2:$G$4460,$G4333)&gt;1,"重複",""))</f>
        <v/>
      </c>
    </row>
    <row r="4334" customFormat="false" ht="16.5" hidden="false" customHeight="true" outlineLevel="0" collapsed="false">
      <c r="A4334" s="2" t="s">
        <v>447</v>
      </c>
      <c r="B4334" s="2" t="s">
        <v>475</v>
      </c>
      <c r="C4334" s="2" t="s">
        <v>20</v>
      </c>
      <c r="D4334" s="2" t="str">
        <f aca="false">IF(4キー同時!$B$357="","",4キー同時!$B$357)</f>
        <v/>
      </c>
      <c r="E4334" s="2" t="str">
        <f aca="false">IF(4キー同時!$G$357="","",4キー同時!$G$357)</f>
        <v/>
      </c>
      <c r="F4334" s="2" t="str">
        <f aca="false">IF(4キー同時!$L$357="","",4キー同時!$L$357)</f>
        <v/>
      </c>
      <c r="G4334" s="2" t="str">
        <f aca="false">IF(OR(4キー同時!$B$357="",4キー同時!$G$357="",4キー同時!$L$357=""),"",IF(4キー同時!AN361="","",SUBSTITUTE(SUBSTITUTE(4キー同時!AN361," ",""),"　","")))</f>
        <v/>
      </c>
      <c r="H4334" s="2" t="str">
        <f aca="false">IF($G4334="","",4キー同時!$B$357)</f>
        <v/>
      </c>
      <c r="I4334" s="2" t="str">
        <f aca="false">IF($G4334="","",4キー同時!$G$357)</f>
        <v/>
      </c>
      <c r="J4334" s="2" t="str">
        <f aca="false">IF($G4334="","",4キー同時!$L$357)</f>
        <v/>
      </c>
      <c r="K4334" s="2" t="str">
        <f aca="false">IF($G4334="","","o")</f>
        <v/>
      </c>
      <c r="L4334" s="2" t="str">
        <f aca="false">IF($G4334="","","同時")</f>
        <v/>
      </c>
      <c r="M4334" s="2" t="str">
        <f aca="false">IF($G4334="","",IF(ISNA(MATCH($G4334,個別指定!$A:$A,0)),"行なし",""))</f>
        <v/>
      </c>
      <c r="N4334" s="2" t="str">
        <f aca="false">IF($G4334="","",IF(COUNTIF($G$2:$G$4460,$G4334)&gt;1,"重複",""))</f>
        <v/>
      </c>
    </row>
    <row r="4335" customFormat="false" ht="16.5" hidden="false" customHeight="true" outlineLevel="0" collapsed="false">
      <c r="A4335" s="2" t="s">
        <v>447</v>
      </c>
      <c r="B4335" s="2" t="s">
        <v>475</v>
      </c>
      <c r="C4335" s="2" t="s">
        <v>21</v>
      </c>
      <c r="D4335" s="2" t="str">
        <f aca="false">IF(4キー同時!$B$357="","",4キー同時!$B$357)</f>
        <v/>
      </c>
      <c r="E4335" s="2" t="str">
        <f aca="false">IF(4キー同時!$G$357="","",4キー同時!$G$357)</f>
        <v/>
      </c>
      <c r="F4335" s="2" t="str">
        <f aca="false">IF(4キー同時!$L$357="","",4キー同時!$L$357)</f>
        <v/>
      </c>
      <c r="G4335" s="2" t="str">
        <f aca="false">IF(OR(4キー同時!$B$357="",4キー同時!$G$357="",4キー同時!$L$357=""),"",IF(4キー同時!AR361="","",SUBSTITUTE(SUBSTITUTE(4キー同時!AR361," ",""),"　","")))</f>
        <v/>
      </c>
      <c r="H4335" s="2" t="str">
        <f aca="false">IF($G4335="","",4キー同時!$B$357)</f>
        <v/>
      </c>
      <c r="I4335" s="2" t="str">
        <f aca="false">IF($G4335="","",4キー同時!$G$357)</f>
        <v/>
      </c>
      <c r="J4335" s="2" t="str">
        <f aca="false">IF($G4335="","",4キー同時!$L$357)</f>
        <v/>
      </c>
      <c r="K4335" s="2" t="str">
        <f aca="false">IF($G4335="","","p")</f>
        <v/>
      </c>
      <c r="L4335" s="2" t="str">
        <f aca="false">IF($G4335="","","同時")</f>
        <v/>
      </c>
      <c r="M4335" s="2" t="str">
        <f aca="false">IF($G4335="","",IF(ISNA(MATCH($G4335,個別指定!$A:$A,0)),"行なし",""))</f>
        <v/>
      </c>
      <c r="N4335" s="2" t="str">
        <f aca="false">IF($G4335="","",IF(COUNTIF($G$2:$G$4460,$G4335)&gt;1,"重複",""))</f>
        <v/>
      </c>
    </row>
    <row r="4336" customFormat="false" ht="16.5" hidden="false" customHeight="true" outlineLevel="0" collapsed="false">
      <c r="A4336" s="2" t="s">
        <v>447</v>
      </c>
      <c r="B4336" s="2" t="s">
        <v>475</v>
      </c>
      <c r="C4336" s="2" t="s">
        <v>22</v>
      </c>
      <c r="D4336" s="2" t="str">
        <f aca="false">IF(4キー同時!$B$357="","",4キー同時!$B$357)</f>
        <v/>
      </c>
      <c r="E4336" s="2" t="str">
        <f aca="false">IF(4キー同時!$G$357="","",4キー同時!$G$357)</f>
        <v/>
      </c>
      <c r="F4336" s="2" t="str">
        <f aca="false">IF(4キー同時!$L$357="","",4キー同時!$L$357)</f>
        <v/>
      </c>
      <c r="G4336" s="2" t="str">
        <f aca="false">IF(OR(4キー同時!$B$357="",4キー同時!$G$357="",4キー同時!$L$357=""),"",IF(4キー同時!AV361="","",SUBSTITUTE(SUBSTITUTE(4キー同時!AV361," ",""),"　","")))</f>
        <v/>
      </c>
      <c r="H4336" s="2" t="str">
        <f aca="false">IF($G4336="","",4キー同時!$B$357)</f>
        <v/>
      </c>
      <c r="I4336" s="2" t="str">
        <f aca="false">IF($G4336="","",4キー同時!$G$357)</f>
        <v/>
      </c>
      <c r="J4336" s="2" t="str">
        <f aca="false">IF($G4336="","",4キー同時!$L$357)</f>
        <v/>
      </c>
      <c r="K4336" s="2" t="str">
        <f aca="false">IF($G4336="","","[")</f>
        <v/>
      </c>
      <c r="L4336" s="2" t="str">
        <f aca="false">IF($G4336="","","同時")</f>
        <v/>
      </c>
      <c r="M4336" s="2" t="str">
        <f aca="false">IF($G4336="","",IF(ISNA(MATCH($G4336,個別指定!$A:$A,0)),"行なし",""))</f>
        <v/>
      </c>
      <c r="N4336" s="2" t="str">
        <f aca="false">IF($G4336="","",IF(COUNTIF($G$2:$G$4460,$G4336)&gt;1,"重複",""))</f>
        <v/>
      </c>
    </row>
    <row r="4337" customFormat="false" ht="16.5" hidden="false" customHeight="true" outlineLevel="0" collapsed="false">
      <c r="A4337" s="2" t="s">
        <v>447</v>
      </c>
      <c r="B4337" s="2" t="s">
        <v>475</v>
      </c>
      <c r="C4337" s="2" t="s">
        <v>23</v>
      </c>
      <c r="D4337" s="2" t="str">
        <f aca="false">IF(4キー同時!$B$357="","",4キー同時!$B$357)</f>
        <v/>
      </c>
      <c r="E4337" s="2" t="str">
        <f aca="false">IF(4キー同時!$G$357="","",4キー同時!$G$357)</f>
        <v/>
      </c>
      <c r="F4337" s="2" t="str">
        <f aca="false">IF(4キー同時!$L$357="","",4キー同時!$L$357)</f>
        <v/>
      </c>
      <c r="G4337" s="2" t="str">
        <f aca="false">IF(OR(4キー同時!$B$357="",4キー同時!$G$357="",4キー同時!$L$357=""),"",IF(4キー同時!AZ361="","",SUBSTITUTE(SUBSTITUTE(4キー同時!AZ361," ",""),"　","")))</f>
        <v/>
      </c>
      <c r="H4337" s="2" t="str">
        <f aca="false">IF($G4337="","",4キー同時!$B$357)</f>
        <v/>
      </c>
      <c r="I4337" s="2" t="str">
        <f aca="false">IF($G4337="","",4キー同時!$G$357)</f>
        <v/>
      </c>
      <c r="J4337" s="2" t="str">
        <f aca="false">IF($G4337="","",4キー同時!$L$357)</f>
        <v/>
      </c>
      <c r="K4337" s="2" t="str">
        <f aca="false">IF($G4337="","","]")</f>
        <v/>
      </c>
      <c r="L4337" s="2" t="str">
        <f aca="false">IF($G4337="","","同時")</f>
        <v/>
      </c>
      <c r="M4337" s="2" t="str">
        <f aca="false">IF($G4337="","",IF(ISNA(MATCH($G4337,個別指定!$A:$A,0)),"行なし",""))</f>
        <v/>
      </c>
      <c r="N4337" s="2" t="str">
        <f aca="false">IF($G4337="","",IF(COUNTIF($G$2:$G$4460,$G4337)&gt;1,"重複",""))</f>
        <v/>
      </c>
    </row>
    <row r="4338" customFormat="false" ht="16.5" hidden="false" customHeight="true" outlineLevel="0" collapsed="false">
      <c r="A4338" s="2" t="s">
        <v>447</v>
      </c>
      <c r="B4338" s="2" t="s">
        <v>475</v>
      </c>
      <c r="C4338" s="2" t="s">
        <v>24</v>
      </c>
      <c r="D4338" s="2" t="str">
        <f aca="false">IF(4キー同時!$B$357="","",4キー同時!$B$357)</f>
        <v/>
      </c>
      <c r="E4338" s="2" t="str">
        <f aca="false">IF(4キー同時!$G$357="","",4キー同時!$G$357)</f>
        <v/>
      </c>
      <c r="F4338" s="2" t="str">
        <f aca="false">IF(4キー同時!$L$357="","",4キー同時!$L$357)</f>
        <v/>
      </c>
      <c r="G4338" s="2" t="str">
        <f aca="false">IF(OR(4キー同時!$B$357="",4キー同時!$G$357="",4キー同時!$L$357=""),"",IF(4キー同時!I363="","",SUBSTITUTE(SUBSTITUTE(4キー同時!I363," ",""),"　","")))</f>
        <v/>
      </c>
      <c r="H4338" s="2" t="str">
        <f aca="false">IF($G4338="","",4キー同時!$B$357)</f>
        <v/>
      </c>
      <c r="I4338" s="2" t="str">
        <f aca="false">IF($G4338="","",4キー同時!$G$357)</f>
        <v/>
      </c>
      <c r="J4338" s="2" t="str">
        <f aca="false">IF($G4338="","",4キー同時!$L$357)</f>
        <v/>
      </c>
      <c r="K4338" s="2" t="str">
        <f aca="false">IF($G4338="","","a")</f>
        <v/>
      </c>
      <c r="L4338" s="2" t="str">
        <f aca="false">IF($G4338="","","同時")</f>
        <v/>
      </c>
      <c r="M4338" s="2" t="str">
        <f aca="false">IF($G4338="","",IF(ISNA(MATCH($G4338,個別指定!$A:$A,0)),"行なし",""))</f>
        <v/>
      </c>
      <c r="N4338" s="2" t="str">
        <f aca="false">IF($G4338="","",IF(COUNTIF($G$2:$G$4460,$G4338)&gt;1,"重複",""))</f>
        <v/>
      </c>
    </row>
    <row r="4339" customFormat="false" ht="16.5" hidden="false" customHeight="true" outlineLevel="0" collapsed="false">
      <c r="A4339" s="2" t="s">
        <v>447</v>
      </c>
      <c r="B4339" s="2" t="s">
        <v>475</v>
      </c>
      <c r="C4339" s="2" t="s">
        <v>25</v>
      </c>
      <c r="D4339" s="2" t="str">
        <f aca="false">IF(4キー同時!$B$357="","",4キー同時!$B$357)</f>
        <v/>
      </c>
      <c r="E4339" s="2" t="str">
        <f aca="false">IF(4キー同時!$G$357="","",4キー同時!$G$357)</f>
        <v/>
      </c>
      <c r="F4339" s="2" t="str">
        <f aca="false">IF(4キー同時!$L$357="","",4キー同時!$L$357)</f>
        <v/>
      </c>
      <c r="G4339" s="2" t="str">
        <f aca="false">IF(OR(4キー同時!$B$357="",4キー同時!$G$357="",4キー同時!$L$357=""),"",IF(4キー同時!M363="","",SUBSTITUTE(SUBSTITUTE(4キー同時!M363," ",""),"　","")))</f>
        <v/>
      </c>
      <c r="H4339" s="2" t="str">
        <f aca="false">IF($G4339="","",4キー同時!$B$357)</f>
        <v/>
      </c>
      <c r="I4339" s="2" t="str">
        <f aca="false">IF($G4339="","",4キー同時!$G$357)</f>
        <v/>
      </c>
      <c r="J4339" s="2" t="str">
        <f aca="false">IF($G4339="","",4キー同時!$L$357)</f>
        <v/>
      </c>
      <c r="K4339" s="2" t="str">
        <f aca="false">IF($G4339="","","s")</f>
        <v/>
      </c>
      <c r="L4339" s="2" t="str">
        <f aca="false">IF($G4339="","","同時")</f>
        <v/>
      </c>
      <c r="M4339" s="2" t="str">
        <f aca="false">IF($G4339="","",IF(ISNA(MATCH($G4339,個別指定!$A:$A,0)),"行なし",""))</f>
        <v/>
      </c>
      <c r="N4339" s="2" t="str">
        <f aca="false">IF($G4339="","",IF(COUNTIF($G$2:$G$4460,$G4339)&gt;1,"重複",""))</f>
        <v/>
      </c>
    </row>
    <row r="4340" customFormat="false" ht="16.5" hidden="false" customHeight="true" outlineLevel="0" collapsed="false">
      <c r="A4340" s="2" t="s">
        <v>447</v>
      </c>
      <c r="B4340" s="2" t="s">
        <v>475</v>
      </c>
      <c r="C4340" s="2" t="s">
        <v>26</v>
      </c>
      <c r="D4340" s="2" t="str">
        <f aca="false">IF(4キー同時!$B$357="","",4キー同時!$B$357)</f>
        <v/>
      </c>
      <c r="E4340" s="2" t="str">
        <f aca="false">IF(4キー同時!$G$357="","",4キー同時!$G$357)</f>
        <v/>
      </c>
      <c r="F4340" s="2" t="str">
        <f aca="false">IF(4キー同時!$L$357="","",4キー同時!$L$357)</f>
        <v/>
      </c>
      <c r="G4340" s="2" t="str">
        <f aca="false">IF(OR(4キー同時!$B$357="",4キー同時!$G$357="",4キー同時!$L$357=""),"",IF(4キー同時!Q363="","",SUBSTITUTE(SUBSTITUTE(4キー同時!Q363," ",""),"　","")))</f>
        <v/>
      </c>
      <c r="H4340" s="2" t="str">
        <f aca="false">IF($G4340="","",4キー同時!$B$357)</f>
        <v/>
      </c>
      <c r="I4340" s="2" t="str">
        <f aca="false">IF($G4340="","",4キー同時!$G$357)</f>
        <v/>
      </c>
      <c r="J4340" s="2" t="str">
        <f aca="false">IF($G4340="","",4キー同時!$L$357)</f>
        <v/>
      </c>
      <c r="K4340" s="2" t="str">
        <f aca="false">IF($G4340="","","d")</f>
        <v/>
      </c>
      <c r="L4340" s="2" t="str">
        <f aca="false">IF($G4340="","","同時")</f>
        <v/>
      </c>
      <c r="M4340" s="2" t="str">
        <f aca="false">IF($G4340="","",IF(ISNA(MATCH($G4340,個別指定!$A:$A,0)),"行なし",""))</f>
        <v/>
      </c>
      <c r="N4340" s="2" t="str">
        <f aca="false">IF($G4340="","",IF(COUNTIF($G$2:$G$4460,$G4340)&gt;1,"重複",""))</f>
        <v/>
      </c>
    </row>
    <row r="4341" customFormat="false" ht="16.5" hidden="false" customHeight="true" outlineLevel="0" collapsed="false">
      <c r="A4341" s="2" t="s">
        <v>447</v>
      </c>
      <c r="B4341" s="2" t="s">
        <v>475</v>
      </c>
      <c r="C4341" s="2" t="s">
        <v>27</v>
      </c>
      <c r="D4341" s="2" t="str">
        <f aca="false">IF(4キー同時!$B$357="","",4キー同時!$B$357)</f>
        <v/>
      </c>
      <c r="E4341" s="2" t="str">
        <f aca="false">IF(4キー同時!$G$357="","",4キー同時!$G$357)</f>
        <v/>
      </c>
      <c r="F4341" s="2" t="str">
        <f aca="false">IF(4キー同時!$L$357="","",4キー同時!$L$357)</f>
        <v/>
      </c>
      <c r="G4341" s="2" t="str">
        <f aca="false">IF(OR(4キー同時!$B$357="",4キー同時!$G$357="",4キー同時!$L$357=""),"",IF(4キー同時!U363="","",SUBSTITUTE(SUBSTITUTE(4キー同時!U363," ",""),"　","")))</f>
        <v/>
      </c>
      <c r="H4341" s="2" t="str">
        <f aca="false">IF($G4341="","",4キー同時!$B$357)</f>
        <v/>
      </c>
      <c r="I4341" s="2" t="str">
        <f aca="false">IF($G4341="","",4キー同時!$G$357)</f>
        <v/>
      </c>
      <c r="J4341" s="2" t="str">
        <f aca="false">IF($G4341="","",4キー同時!$L$357)</f>
        <v/>
      </c>
      <c r="K4341" s="2" t="str">
        <f aca="false">IF($G4341="","","f")</f>
        <v/>
      </c>
      <c r="L4341" s="2" t="str">
        <f aca="false">IF($G4341="","","同時")</f>
        <v/>
      </c>
      <c r="M4341" s="2" t="str">
        <f aca="false">IF($G4341="","",IF(ISNA(MATCH($G4341,個別指定!$A:$A,0)),"行なし",""))</f>
        <v/>
      </c>
      <c r="N4341" s="2" t="str">
        <f aca="false">IF($G4341="","",IF(COUNTIF($G$2:$G$4460,$G4341)&gt;1,"重複",""))</f>
        <v/>
      </c>
    </row>
    <row r="4342" customFormat="false" ht="16.5" hidden="false" customHeight="true" outlineLevel="0" collapsed="false">
      <c r="A4342" s="2" t="s">
        <v>447</v>
      </c>
      <c r="B4342" s="2" t="s">
        <v>475</v>
      </c>
      <c r="C4342" s="2" t="s">
        <v>28</v>
      </c>
      <c r="D4342" s="2" t="str">
        <f aca="false">IF(4キー同時!$B$357="","",4キー同時!$B$357)</f>
        <v/>
      </c>
      <c r="E4342" s="2" t="str">
        <f aca="false">IF(4キー同時!$G$357="","",4キー同時!$G$357)</f>
        <v/>
      </c>
      <c r="F4342" s="2" t="str">
        <f aca="false">IF(4キー同時!$L$357="","",4キー同時!$L$357)</f>
        <v/>
      </c>
      <c r="G4342" s="2" t="str">
        <f aca="false">IF(OR(4キー同時!$B$357="",4キー同時!$G$357="",4キー同時!$L$357=""),"",IF(4キー同時!Y363="","",SUBSTITUTE(SUBSTITUTE(4キー同時!Y363," ",""),"　","")))</f>
        <v/>
      </c>
      <c r="H4342" s="2" t="str">
        <f aca="false">IF($G4342="","",4キー同時!$B$357)</f>
        <v/>
      </c>
      <c r="I4342" s="2" t="str">
        <f aca="false">IF($G4342="","",4キー同時!$G$357)</f>
        <v/>
      </c>
      <c r="J4342" s="2" t="str">
        <f aca="false">IF($G4342="","",4キー同時!$L$357)</f>
        <v/>
      </c>
      <c r="K4342" s="2" t="str">
        <f aca="false">IF($G4342="","","g")</f>
        <v/>
      </c>
      <c r="L4342" s="2" t="str">
        <f aca="false">IF($G4342="","","同時")</f>
        <v/>
      </c>
      <c r="M4342" s="2" t="str">
        <f aca="false">IF($G4342="","",IF(ISNA(MATCH($G4342,個別指定!$A:$A,0)),"行なし",""))</f>
        <v/>
      </c>
      <c r="N4342" s="2" t="str">
        <f aca="false">IF($G4342="","",IF(COUNTIF($G$2:$G$4460,$G4342)&gt;1,"重複",""))</f>
        <v/>
      </c>
    </row>
    <row r="4343" customFormat="false" ht="16.5" hidden="false" customHeight="true" outlineLevel="0" collapsed="false">
      <c r="A4343" s="2" t="s">
        <v>447</v>
      </c>
      <c r="B4343" s="2" t="s">
        <v>475</v>
      </c>
      <c r="C4343" s="2" t="s">
        <v>29</v>
      </c>
      <c r="D4343" s="2" t="str">
        <f aca="false">IF(4キー同時!$B$357="","",4キー同時!$B$357)</f>
        <v/>
      </c>
      <c r="E4343" s="2" t="str">
        <f aca="false">IF(4キー同時!$G$357="","",4キー同時!$G$357)</f>
        <v/>
      </c>
      <c r="F4343" s="2" t="str">
        <f aca="false">IF(4キー同時!$L$357="","",4キー同時!$L$357)</f>
        <v/>
      </c>
      <c r="G4343" s="2" t="str">
        <f aca="false">IF(OR(4キー同時!$B$357="",4キー同時!$G$357="",4キー同時!$L$357=""),"",IF(4キー同時!AC363="","",SUBSTITUTE(SUBSTITUTE(4キー同時!AC363," ",""),"　","")))</f>
        <v/>
      </c>
      <c r="H4343" s="2" t="str">
        <f aca="false">IF($G4343="","",4キー同時!$B$357)</f>
        <v/>
      </c>
      <c r="I4343" s="2" t="str">
        <f aca="false">IF($G4343="","",4キー同時!$G$357)</f>
        <v/>
      </c>
      <c r="J4343" s="2" t="str">
        <f aca="false">IF($G4343="","",4キー同時!$L$357)</f>
        <v/>
      </c>
      <c r="K4343" s="2" t="str">
        <f aca="false">IF($G4343="","","h")</f>
        <v/>
      </c>
      <c r="L4343" s="2" t="str">
        <f aca="false">IF($G4343="","","同時")</f>
        <v/>
      </c>
      <c r="M4343" s="2" t="str">
        <f aca="false">IF($G4343="","",IF(ISNA(MATCH($G4343,個別指定!$A:$A,0)),"行なし",""))</f>
        <v/>
      </c>
      <c r="N4343" s="2" t="str">
        <f aca="false">IF($G4343="","",IF(COUNTIF($G$2:$G$4460,$G4343)&gt;1,"重複",""))</f>
        <v/>
      </c>
    </row>
    <row r="4344" customFormat="false" ht="16.5" hidden="false" customHeight="true" outlineLevel="0" collapsed="false">
      <c r="A4344" s="2" t="s">
        <v>447</v>
      </c>
      <c r="B4344" s="2" t="s">
        <v>475</v>
      </c>
      <c r="C4344" s="2" t="s">
        <v>30</v>
      </c>
      <c r="D4344" s="2" t="str">
        <f aca="false">IF(4キー同時!$B$357="","",4キー同時!$B$357)</f>
        <v/>
      </c>
      <c r="E4344" s="2" t="str">
        <f aca="false">IF(4キー同時!$G$357="","",4キー同時!$G$357)</f>
        <v/>
      </c>
      <c r="F4344" s="2" t="str">
        <f aca="false">IF(4キー同時!$L$357="","",4キー同時!$L$357)</f>
        <v/>
      </c>
      <c r="G4344" s="2" t="str">
        <f aca="false">IF(OR(4キー同時!$B$357="",4キー同時!$G$357="",4キー同時!$L$357=""),"",IF(4キー同時!AG363="","",SUBSTITUTE(SUBSTITUTE(4キー同時!AG363," ",""),"　","")))</f>
        <v/>
      </c>
      <c r="H4344" s="2" t="str">
        <f aca="false">IF($G4344="","",4キー同時!$B$357)</f>
        <v/>
      </c>
      <c r="I4344" s="2" t="str">
        <f aca="false">IF($G4344="","",4キー同時!$G$357)</f>
        <v/>
      </c>
      <c r="J4344" s="2" t="str">
        <f aca="false">IF($G4344="","",4キー同時!$L$357)</f>
        <v/>
      </c>
      <c r="K4344" s="2" t="str">
        <f aca="false">IF($G4344="","","j")</f>
        <v/>
      </c>
      <c r="L4344" s="2" t="str">
        <f aca="false">IF($G4344="","","同時")</f>
        <v/>
      </c>
      <c r="M4344" s="2" t="str">
        <f aca="false">IF($G4344="","",IF(ISNA(MATCH($G4344,個別指定!$A:$A,0)),"行なし",""))</f>
        <v/>
      </c>
      <c r="N4344" s="2" t="str">
        <f aca="false">IF($G4344="","",IF(COUNTIF($G$2:$G$4460,$G4344)&gt;1,"重複",""))</f>
        <v/>
      </c>
    </row>
    <row r="4345" customFormat="false" ht="16.5" hidden="false" customHeight="true" outlineLevel="0" collapsed="false">
      <c r="A4345" s="2" t="s">
        <v>447</v>
      </c>
      <c r="B4345" s="2" t="s">
        <v>475</v>
      </c>
      <c r="C4345" s="2" t="s">
        <v>31</v>
      </c>
      <c r="D4345" s="2" t="str">
        <f aca="false">IF(4キー同時!$B$357="","",4キー同時!$B$357)</f>
        <v/>
      </c>
      <c r="E4345" s="2" t="str">
        <f aca="false">IF(4キー同時!$G$357="","",4キー同時!$G$357)</f>
        <v/>
      </c>
      <c r="F4345" s="2" t="str">
        <f aca="false">IF(4キー同時!$L$357="","",4キー同時!$L$357)</f>
        <v/>
      </c>
      <c r="G4345" s="2" t="str">
        <f aca="false">IF(OR(4キー同時!$B$357="",4キー同時!$G$357="",4キー同時!$L$357=""),"",IF(4キー同時!AK363="","",SUBSTITUTE(SUBSTITUTE(4キー同時!AK363," ",""),"　","")))</f>
        <v/>
      </c>
      <c r="H4345" s="2" t="str">
        <f aca="false">IF($G4345="","",4キー同時!$B$357)</f>
        <v/>
      </c>
      <c r="I4345" s="2" t="str">
        <f aca="false">IF($G4345="","",4キー同時!$G$357)</f>
        <v/>
      </c>
      <c r="J4345" s="2" t="str">
        <f aca="false">IF($G4345="","",4キー同時!$L$357)</f>
        <v/>
      </c>
      <c r="K4345" s="2" t="str">
        <f aca="false">IF($G4345="","","k")</f>
        <v/>
      </c>
      <c r="L4345" s="2" t="str">
        <f aca="false">IF($G4345="","","同時")</f>
        <v/>
      </c>
      <c r="M4345" s="2" t="str">
        <f aca="false">IF($G4345="","",IF(ISNA(MATCH($G4345,個別指定!$A:$A,0)),"行なし",""))</f>
        <v/>
      </c>
      <c r="N4345" s="2" t="str">
        <f aca="false">IF($G4345="","",IF(COUNTIF($G$2:$G$4460,$G4345)&gt;1,"重複",""))</f>
        <v/>
      </c>
    </row>
    <row r="4346" customFormat="false" ht="16.5" hidden="false" customHeight="true" outlineLevel="0" collapsed="false">
      <c r="A4346" s="2" t="s">
        <v>447</v>
      </c>
      <c r="B4346" s="2" t="s">
        <v>475</v>
      </c>
      <c r="C4346" s="2" t="s">
        <v>32</v>
      </c>
      <c r="D4346" s="2" t="str">
        <f aca="false">IF(4キー同時!$B$357="","",4キー同時!$B$357)</f>
        <v/>
      </c>
      <c r="E4346" s="2" t="str">
        <f aca="false">IF(4キー同時!$G$357="","",4キー同時!$G$357)</f>
        <v/>
      </c>
      <c r="F4346" s="2" t="str">
        <f aca="false">IF(4キー同時!$L$357="","",4キー同時!$L$357)</f>
        <v/>
      </c>
      <c r="G4346" s="2" t="str">
        <f aca="false">IF(OR(4キー同時!$B$357="",4キー同時!$G$357="",4キー同時!$L$357=""),"",IF(4キー同時!AO363="","",SUBSTITUTE(SUBSTITUTE(4キー同時!AO363," ",""),"　","")))</f>
        <v/>
      </c>
      <c r="H4346" s="2" t="str">
        <f aca="false">IF($G4346="","",4キー同時!$B$357)</f>
        <v/>
      </c>
      <c r="I4346" s="2" t="str">
        <f aca="false">IF($G4346="","",4キー同時!$G$357)</f>
        <v/>
      </c>
      <c r="J4346" s="2" t="str">
        <f aca="false">IF($G4346="","",4キー同時!$L$357)</f>
        <v/>
      </c>
      <c r="K4346" s="2" t="str">
        <f aca="false">IF($G4346="","","l")</f>
        <v/>
      </c>
      <c r="L4346" s="2" t="str">
        <f aca="false">IF($G4346="","","同時")</f>
        <v/>
      </c>
      <c r="M4346" s="2" t="str">
        <f aca="false">IF($G4346="","",IF(ISNA(MATCH($G4346,個別指定!$A:$A,0)),"行なし",""))</f>
        <v/>
      </c>
      <c r="N4346" s="2" t="str">
        <f aca="false">IF($G4346="","",IF(COUNTIF($G$2:$G$4460,$G4346)&gt;1,"重複",""))</f>
        <v/>
      </c>
    </row>
    <row r="4347" customFormat="false" ht="16.5" hidden="false" customHeight="true" outlineLevel="0" collapsed="false">
      <c r="A4347" s="2" t="s">
        <v>447</v>
      </c>
      <c r="B4347" s="2" t="s">
        <v>475</v>
      </c>
      <c r="C4347" s="2" t="s">
        <v>33</v>
      </c>
      <c r="D4347" s="2" t="str">
        <f aca="false">IF(4キー同時!$B$357="","",4キー同時!$B$357)</f>
        <v/>
      </c>
      <c r="E4347" s="2" t="str">
        <f aca="false">IF(4キー同時!$G$357="","",4キー同時!$G$357)</f>
        <v/>
      </c>
      <c r="F4347" s="2" t="str">
        <f aca="false">IF(4キー同時!$L$357="","",4キー同時!$L$357)</f>
        <v/>
      </c>
      <c r="G4347" s="2" t="str">
        <f aca="false">IF(OR(4キー同時!$B$357="",4キー同時!$G$357="",4キー同時!$L$357=""),"",IF(4キー同時!AS363="","",SUBSTITUTE(SUBSTITUTE(4キー同時!AS363," ",""),"　","")))</f>
        <v/>
      </c>
      <c r="H4347" s="2" t="str">
        <f aca="false">IF($G4347="","",4キー同時!$B$357)</f>
        <v/>
      </c>
      <c r="I4347" s="2" t="str">
        <f aca="false">IF($G4347="","",4キー同時!$G$357)</f>
        <v/>
      </c>
      <c r="J4347" s="2" t="str">
        <f aca="false">IF($G4347="","",4キー同時!$L$357)</f>
        <v/>
      </c>
      <c r="K4347" s="2" t="str">
        <f aca="false">IF($G4347="","",";")</f>
        <v/>
      </c>
      <c r="L4347" s="2" t="str">
        <f aca="false">IF($G4347="","","同時")</f>
        <v/>
      </c>
      <c r="M4347" s="2" t="str">
        <f aca="false">IF($G4347="","",IF(ISNA(MATCH($G4347,個別指定!$A:$A,0)),"行なし",""))</f>
        <v/>
      </c>
      <c r="N4347" s="2" t="str">
        <f aca="false">IF($G4347="","",IF(COUNTIF($G$2:$G$4460,$G4347)&gt;1,"重複",""))</f>
        <v/>
      </c>
    </row>
    <row r="4348" customFormat="false" ht="16.5" hidden="false" customHeight="true" outlineLevel="0" collapsed="false">
      <c r="A4348" s="2" t="s">
        <v>447</v>
      </c>
      <c r="B4348" s="2" t="s">
        <v>475</v>
      </c>
      <c r="C4348" s="2" t="s">
        <v>34</v>
      </c>
      <c r="D4348" s="2" t="str">
        <f aca="false">IF(4キー同時!$B$357="","",4キー同時!$B$357)</f>
        <v/>
      </c>
      <c r="E4348" s="2" t="str">
        <f aca="false">IF(4キー同時!$G$357="","",4キー同時!$G$357)</f>
        <v/>
      </c>
      <c r="F4348" s="2" t="str">
        <f aca="false">IF(4キー同時!$L$357="","",4キー同時!$L$357)</f>
        <v/>
      </c>
      <c r="G4348" s="2" t="str">
        <f aca="false">IF(OR(4キー同時!$B$357="",4キー同時!$G$357="",4キー同時!$L$357=""),"",IF(4キー同時!AW363="","",SUBSTITUTE(SUBSTITUTE(4キー同時!AW363," ",""),"　","")))</f>
        <v/>
      </c>
      <c r="H4348" s="2" t="str">
        <f aca="false">IF($G4348="","",4キー同時!$B$357)</f>
        <v/>
      </c>
      <c r="I4348" s="2" t="str">
        <f aca="false">IF($G4348="","",4キー同時!$G$357)</f>
        <v/>
      </c>
      <c r="J4348" s="2" t="str">
        <f aca="false">IF($G4348="","",4キー同時!$L$357)</f>
        <v/>
      </c>
      <c r="K4348" s="2" t="str">
        <f aca="false">IF($G4348="","","'")</f>
        <v/>
      </c>
      <c r="L4348" s="2" t="str">
        <f aca="false">IF($G4348="","","同時")</f>
        <v/>
      </c>
      <c r="M4348" s="2" t="str">
        <f aca="false">IF($G4348="","",IF(ISNA(MATCH($G4348,個別指定!$A:$A,0)),"行なし",""))</f>
        <v/>
      </c>
      <c r="N4348" s="2" t="str">
        <f aca="false">IF($G4348="","",IF(COUNTIF($G$2:$G$4460,$G4348)&gt;1,"重複",""))</f>
        <v/>
      </c>
    </row>
    <row r="4349" customFormat="false" ht="16.5" hidden="false" customHeight="true" outlineLevel="0" collapsed="false">
      <c r="A4349" s="2" t="s">
        <v>447</v>
      </c>
      <c r="B4349" s="2" t="s">
        <v>475</v>
      </c>
      <c r="C4349" s="2" t="s">
        <v>35</v>
      </c>
      <c r="D4349" s="2" t="str">
        <f aca="false">IF(4キー同時!$B$357="","",4キー同時!$B$357)</f>
        <v/>
      </c>
      <c r="E4349" s="2" t="str">
        <f aca="false">IF(4キー同時!$G$357="","",4キー同時!$G$357)</f>
        <v/>
      </c>
      <c r="F4349" s="2" t="str">
        <f aca="false">IF(4キー同時!$L$357="","",4キー同時!$L$357)</f>
        <v/>
      </c>
      <c r="G4349" s="2" t="str">
        <f aca="false">IF(OR(4キー同時!$B$357="",4キー同時!$G$357="",4キー同時!$L$357=""),"",IF(4キー同時!K365="","",SUBSTITUTE(SUBSTITUTE(4キー同時!K365," ",""),"　","")))</f>
        <v/>
      </c>
      <c r="H4349" s="2" t="str">
        <f aca="false">IF($G4349="","",4キー同時!$B$357)</f>
        <v/>
      </c>
      <c r="I4349" s="2" t="str">
        <f aca="false">IF($G4349="","",4キー同時!$G$357)</f>
        <v/>
      </c>
      <c r="J4349" s="2" t="str">
        <f aca="false">IF($G4349="","",4キー同時!$L$357)</f>
        <v/>
      </c>
      <c r="K4349" s="2" t="str">
        <f aca="false">IF($G4349="","","z")</f>
        <v/>
      </c>
      <c r="L4349" s="2" t="str">
        <f aca="false">IF($G4349="","","同時")</f>
        <v/>
      </c>
      <c r="M4349" s="2" t="str">
        <f aca="false">IF($G4349="","",IF(ISNA(MATCH($G4349,個別指定!$A:$A,0)),"行なし",""))</f>
        <v/>
      </c>
      <c r="N4349" s="2" t="str">
        <f aca="false">IF($G4349="","",IF(COUNTIF($G$2:$G$4460,$G4349)&gt;1,"重複",""))</f>
        <v/>
      </c>
    </row>
    <row r="4350" customFormat="false" ht="16.5" hidden="false" customHeight="true" outlineLevel="0" collapsed="false">
      <c r="A4350" s="2" t="s">
        <v>447</v>
      </c>
      <c r="B4350" s="2" t="s">
        <v>475</v>
      </c>
      <c r="C4350" s="2" t="s">
        <v>36</v>
      </c>
      <c r="D4350" s="2" t="str">
        <f aca="false">IF(4キー同時!$B$357="","",4キー同時!$B$357)</f>
        <v/>
      </c>
      <c r="E4350" s="2" t="str">
        <f aca="false">IF(4キー同時!$G$357="","",4キー同時!$G$357)</f>
        <v/>
      </c>
      <c r="F4350" s="2" t="str">
        <f aca="false">IF(4キー同時!$L$357="","",4キー同時!$L$357)</f>
        <v/>
      </c>
      <c r="G4350" s="2" t="str">
        <f aca="false">IF(OR(4キー同時!$B$357="",4キー同時!$G$357="",4キー同時!$L$357=""),"",IF(4キー同時!O365="","",SUBSTITUTE(SUBSTITUTE(4キー同時!O365," ",""),"　","")))</f>
        <v/>
      </c>
      <c r="H4350" s="2" t="str">
        <f aca="false">IF($G4350="","",4キー同時!$B$357)</f>
        <v/>
      </c>
      <c r="I4350" s="2" t="str">
        <f aca="false">IF($G4350="","",4キー同時!$G$357)</f>
        <v/>
      </c>
      <c r="J4350" s="2" t="str">
        <f aca="false">IF($G4350="","",4キー同時!$L$357)</f>
        <v/>
      </c>
      <c r="K4350" s="2" t="str">
        <f aca="false">IF($G4350="","","x")</f>
        <v/>
      </c>
      <c r="L4350" s="2" t="str">
        <f aca="false">IF($G4350="","","同時")</f>
        <v/>
      </c>
      <c r="M4350" s="2" t="str">
        <f aca="false">IF($G4350="","",IF(ISNA(MATCH($G4350,個別指定!$A:$A,0)),"行なし",""))</f>
        <v/>
      </c>
      <c r="N4350" s="2" t="str">
        <f aca="false">IF($G4350="","",IF(COUNTIF($G$2:$G$4460,$G4350)&gt;1,"重複",""))</f>
        <v/>
      </c>
    </row>
    <row r="4351" customFormat="false" ht="16.5" hidden="false" customHeight="true" outlineLevel="0" collapsed="false">
      <c r="A4351" s="2" t="s">
        <v>447</v>
      </c>
      <c r="B4351" s="2" t="s">
        <v>475</v>
      </c>
      <c r="C4351" s="2" t="s">
        <v>37</v>
      </c>
      <c r="D4351" s="2" t="str">
        <f aca="false">IF(4キー同時!$B$357="","",4キー同時!$B$357)</f>
        <v/>
      </c>
      <c r="E4351" s="2" t="str">
        <f aca="false">IF(4キー同時!$G$357="","",4キー同時!$G$357)</f>
        <v/>
      </c>
      <c r="F4351" s="2" t="str">
        <f aca="false">IF(4キー同時!$L$357="","",4キー同時!$L$357)</f>
        <v/>
      </c>
      <c r="G4351" s="2" t="str">
        <f aca="false">IF(OR(4キー同時!$B$357="",4キー同時!$G$357="",4キー同時!$L$357=""),"",IF(4キー同時!S365="","",SUBSTITUTE(SUBSTITUTE(4キー同時!S365," ",""),"　","")))</f>
        <v/>
      </c>
      <c r="H4351" s="2" t="str">
        <f aca="false">IF($G4351="","",4キー同時!$B$357)</f>
        <v/>
      </c>
      <c r="I4351" s="2" t="str">
        <f aca="false">IF($G4351="","",4キー同時!$G$357)</f>
        <v/>
      </c>
      <c r="J4351" s="2" t="str">
        <f aca="false">IF($G4351="","",4キー同時!$L$357)</f>
        <v/>
      </c>
      <c r="K4351" s="2" t="str">
        <f aca="false">IF($G4351="","","c")</f>
        <v/>
      </c>
      <c r="L4351" s="2" t="str">
        <f aca="false">IF($G4351="","","同時")</f>
        <v/>
      </c>
      <c r="M4351" s="2" t="str">
        <f aca="false">IF($G4351="","",IF(ISNA(MATCH($G4351,個別指定!$A:$A,0)),"行なし",""))</f>
        <v/>
      </c>
      <c r="N4351" s="2" t="str">
        <f aca="false">IF($G4351="","",IF(COUNTIF($G$2:$G$4460,$G4351)&gt;1,"重複",""))</f>
        <v/>
      </c>
    </row>
    <row r="4352" customFormat="false" ht="16.5" hidden="false" customHeight="true" outlineLevel="0" collapsed="false">
      <c r="A4352" s="2" t="s">
        <v>447</v>
      </c>
      <c r="B4352" s="2" t="s">
        <v>475</v>
      </c>
      <c r="C4352" s="2" t="s">
        <v>38</v>
      </c>
      <c r="D4352" s="2" t="str">
        <f aca="false">IF(4キー同時!$B$357="","",4キー同時!$B$357)</f>
        <v/>
      </c>
      <c r="E4352" s="2" t="str">
        <f aca="false">IF(4キー同時!$G$357="","",4キー同時!$G$357)</f>
        <v/>
      </c>
      <c r="F4352" s="2" t="str">
        <f aca="false">IF(4キー同時!$L$357="","",4キー同時!$L$357)</f>
        <v/>
      </c>
      <c r="G4352" s="2" t="str">
        <f aca="false">IF(OR(4キー同時!$B$357="",4キー同時!$G$357="",4キー同時!$L$357=""),"",IF(4キー同時!W365="","",SUBSTITUTE(SUBSTITUTE(4キー同時!W365," ",""),"　","")))</f>
        <v/>
      </c>
      <c r="H4352" s="2" t="str">
        <f aca="false">IF($G4352="","",4キー同時!$B$357)</f>
        <v/>
      </c>
      <c r="I4352" s="2" t="str">
        <f aca="false">IF($G4352="","",4キー同時!$G$357)</f>
        <v/>
      </c>
      <c r="J4352" s="2" t="str">
        <f aca="false">IF($G4352="","",4キー同時!$L$357)</f>
        <v/>
      </c>
      <c r="K4352" s="2" t="str">
        <f aca="false">IF($G4352="","","v")</f>
        <v/>
      </c>
      <c r="L4352" s="2" t="str">
        <f aca="false">IF($G4352="","","同時")</f>
        <v/>
      </c>
      <c r="M4352" s="2" t="str">
        <f aca="false">IF($G4352="","",IF(ISNA(MATCH($G4352,個別指定!$A:$A,0)),"行なし",""))</f>
        <v/>
      </c>
      <c r="N4352" s="2" t="str">
        <f aca="false">IF($G4352="","",IF(COUNTIF($G$2:$G$4460,$G4352)&gt;1,"重複",""))</f>
        <v/>
      </c>
    </row>
    <row r="4353" customFormat="false" ht="16.5" hidden="false" customHeight="true" outlineLevel="0" collapsed="false">
      <c r="A4353" s="2" t="s">
        <v>447</v>
      </c>
      <c r="B4353" s="2" t="s">
        <v>475</v>
      </c>
      <c r="C4353" s="2" t="s">
        <v>39</v>
      </c>
      <c r="D4353" s="2" t="str">
        <f aca="false">IF(4キー同時!$B$357="","",4キー同時!$B$357)</f>
        <v/>
      </c>
      <c r="E4353" s="2" t="str">
        <f aca="false">IF(4キー同時!$G$357="","",4キー同時!$G$357)</f>
        <v/>
      </c>
      <c r="F4353" s="2" t="str">
        <f aca="false">IF(4キー同時!$L$357="","",4キー同時!$L$357)</f>
        <v/>
      </c>
      <c r="G4353" s="2" t="str">
        <f aca="false">IF(OR(4キー同時!$B$357="",4キー同時!$G$357="",4キー同時!$L$357=""),"",IF(4キー同時!AA365="","",SUBSTITUTE(SUBSTITUTE(4キー同時!AA365," ",""),"　","")))</f>
        <v/>
      </c>
      <c r="H4353" s="2" t="str">
        <f aca="false">IF($G4353="","",4キー同時!$B$357)</f>
        <v/>
      </c>
      <c r="I4353" s="2" t="str">
        <f aca="false">IF($G4353="","",4キー同時!$G$357)</f>
        <v/>
      </c>
      <c r="J4353" s="2" t="str">
        <f aca="false">IF($G4353="","",4キー同時!$L$357)</f>
        <v/>
      </c>
      <c r="K4353" s="2" t="str">
        <f aca="false">IF($G4353="","","b")</f>
        <v/>
      </c>
      <c r="L4353" s="2" t="str">
        <f aca="false">IF($G4353="","","同時")</f>
        <v/>
      </c>
      <c r="M4353" s="2" t="str">
        <f aca="false">IF($G4353="","",IF(ISNA(MATCH($G4353,個別指定!$A:$A,0)),"行なし",""))</f>
        <v/>
      </c>
      <c r="N4353" s="2" t="str">
        <f aca="false">IF($G4353="","",IF(COUNTIF($G$2:$G$4460,$G4353)&gt;1,"重複",""))</f>
        <v/>
      </c>
    </row>
    <row r="4354" customFormat="false" ht="16.5" hidden="false" customHeight="true" outlineLevel="0" collapsed="false">
      <c r="A4354" s="2" t="s">
        <v>447</v>
      </c>
      <c r="B4354" s="2" t="s">
        <v>475</v>
      </c>
      <c r="C4354" s="2" t="s">
        <v>40</v>
      </c>
      <c r="D4354" s="2" t="str">
        <f aca="false">IF(4キー同時!$B$357="","",4キー同時!$B$357)</f>
        <v/>
      </c>
      <c r="E4354" s="2" t="str">
        <f aca="false">IF(4キー同時!$G$357="","",4キー同時!$G$357)</f>
        <v/>
      </c>
      <c r="F4354" s="2" t="str">
        <f aca="false">IF(4キー同時!$L$357="","",4キー同時!$L$357)</f>
        <v/>
      </c>
      <c r="G4354" s="2" t="str">
        <f aca="false">IF(OR(4キー同時!$B$357="",4キー同時!$G$357="",4キー同時!$L$357=""),"",IF(4キー同時!AE365="","",SUBSTITUTE(SUBSTITUTE(4キー同時!AE365," ",""),"　","")))</f>
        <v/>
      </c>
      <c r="H4354" s="2" t="str">
        <f aca="false">IF($G4354="","",4キー同時!$B$357)</f>
        <v/>
      </c>
      <c r="I4354" s="2" t="str">
        <f aca="false">IF($G4354="","",4キー同時!$G$357)</f>
        <v/>
      </c>
      <c r="J4354" s="2" t="str">
        <f aca="false">IF($G4354="","",4キー同時!$L$357)</f>
        <v/>
      </c>
      <c r="K4354" s="2" t="str">
        <f aca="false">IF($G4354="","","n")</f>
        <v/>
      </c>
      <c r="L4354" s="2" t="str">
        <f aca="false">IF($G4354="","","同時")</f>
        <v/>
      </c>
      <c r="M4354" s="2" t="str">
        <f aca="false">IF($G4354="","",IF(ISNA(MATCH($G4354,個別指定!$A:$A,0)),"行なし",""))</f>
        <v/>
      </c>
      <c r="N4354" s="2" t="str">
        <f aca="false">IF($G4354="","",IF(COUNTIF($G$2:$G$4460,$G4354)&gt;1,"重複",""))</f>
        <v/>
      </c>
    </row>
    <row r="4355" customFormat="false" ht="16.5" hidden="false" customHeight="true" outlineLevel="0" collapsed="false">
      <c r="A4355" s="2" t="s">
        <v>447</v>
      </c>
      <c r="B4355" s="2" t="s">
        <v>475</v>
      </c>
      <c r="C4355" s="2" t="s">
        <v>41</v>
      </c>
      <c r="D4355" s="2" t="str">
        <f aca="false">IF(4キー同時!$B$357="","",4キー同時!$B$357)</f>
        <v/>
      </c>
      <c r="E4355" s="2" t="str">
        <f aca="false">IF(4キー同時!$G$357="","",4キー同時!$G$357)</f>
        <v/>
      </c>
      <c r="F4355" s="2" t="str">
        <f aca="false">IF(4キー同時!$L$357="","",4キー同時!$L$357)</f>
        <v/>
      </c>
      <c r="G4355" s="2" t="str">
        <f aca="false">IF(OR(4キー同時!$B$357="",4キー同時!$G$357="",4キー同時!$L$357=""),"",IF(4キー同時!AI365="","",SUBSTITUTE(SUBSTITUTE(4キー同時!AI365," ",""),"　","")))</f>
        <v/>
      </c>
      <c r="H4355" s="2" t="str">
        <f aca="false">IF($G4355="","",4キー同時!$B$357)</f>
        <v/>
      </c>
      <c r="I4355" s="2" t="str">
        <f aca="false">IF($G4355="","",4キー同時!$G$357)</f>
        <v/>
      </c>
      <c r="J4355" s="2" t="str">
        <f aca="false">IF($G4355="","",4キー同時!$L$357)</f>
        <v/>
      </c>
      <c r="K4355" s="2" t="str">
        <f aca="false">IF($G4355="","","m")</f>
        <v/>
      </c>
      <c r="L4355" s="2" t="str">
        <f aca="false">IF($G4355="","","同時")</f>
        <v/>
      </c>
      <c r="M4355" s="2" t="str">
        <f aca="false">IF($G4355="","",IF(ISNA(MATCH($G4355,個別指定!$A:$A,0)),"行なし",""))</f>
        <v/>
      </c>
      <c r="N4355" s="2" t="str">
        <f aca="false">IF($G4355="","",IF(COUNTIF($G$2:$G$4460,$G4355)&gt;1,"重複",""))</f>
        <v/>
      </c>
    </row>
    <row r="4356" customFormat="false" ht="16.5" hidden="false" customHeight="true" outlineLevel="0" collapsed="false">
      <c r="A4356" s="2" t="s">
        <v>447</v>
      </c>
      <c r="B4356" s="2" t="s">
        <v>475</v>
      </c>
      <c r="C4356" s="2" t="s">
        <v>42</v>
      </c>
      <c r="D4356" s="2" t="str">
        <f aca="false">IF(4キー同時!$B$357="","",4キー同時!$B$357)</f>
        <v/>
      </c>
      <c r="E4356" s="2" t="str">
        <f aca="false">IF(4キー同時!$G$357="","",4キー同時!$G$357)</f>
        <v/>
      </c>
      <c r="F4356" s="2" t="str">
        <f aca="false">IF(4キー同時!$L$357="","",4キー同時!$L$357)</f>
        <v/>
      </c>
      <c r="G4356" s="2" t="str">
        <f aca="false">IF(OR(4キー同時!$B$357="",4キー同時!$G$357="",4キー同時!$L$357=""),"",IF(4キー同時!AM365="","",SUBSTITUTE(SUBSTITUTE(4キー同時!AM365," ",""),"　","")))</f>
        <v/>
      </c>
      <c r="H4356" s="2" t="str">
        <f aca="false">IF($G4356="","",4キー同時!$B$357)</f>
        <v/>
      </c>
      <c r="I4356" s="2" t="str">
        <f aca="false">IF($G4356="","",4キー同時!$G$357)</f>
        <v/>
      </c>
      <c r="J4356" s="2" t="str">
        <f aca="false">IF($G4356="","",4キー同時!$L$357)</f>
        <v/>
      </c>
      <c r="K4356" s="2" t="str">
        <f aca="false">IF($G4356="","",",")</f>
        <v/>
      </c>
      <c r="L4356" s="2" t="str">
        <f aca="false">IF($G4356="","","同時")</f>
        <v/>
      </c>
      <c r="M4356" s="2" t="str">
        <f aca="false">IF($G4356="","",IF(ISNA(MATCH($G4356,個別指定!$A:$A,0)),"行なし",""))</f>
        <v/>
      </c>
      <c r="N4356" s="2" t="str">
        <f aca="false">IF($G4356="","",IF(COUNTIF($G$2:$G$4460,$G4356)&gt;1,"重複",""))</f>
        <v/>
      </c>
    </row>
    <row r="4357" customFormat="false" ht="16.5" hidden="false" customHeight="true" outlineLevel="0" collapsed="false">
      <c r="A4357" s="2" t="s">
        <v>447</v>
      </c>
      <c r="B4357" s="2" t="s">
        <v>475</v>
      </c>
      <c r="C4357" s="2" t="s">
        <v>43</v>
      </c>
      <c r="D4357" s="2" t="str">
        <f aca="false">IF(4キー同時!$B$357="","",4キー同時!$B$357)</f>
        <v/>
      </c>
      <c r="E4357" s="2" t="str">
        <f aca="false">IF(4キー同時!$G$357="","",4キー同時!$G$357)</f>
        <v/>
      </c>
      <c r="F4357" s="2" t="str">
        <f aca="false">IF(4キー同時!$L$357="","",4キー同時!$L$357)</f>
        <v/>
      </c>
      <c r="G4357" s="2" t="str">
        <f aca="false">IF(OR(4キー同時!$B$357="",4キー同時!$G$357="",4キー同時!$L$357=""),"",IF(4キー同時!AQ365="","",SUBSTITUTE(SUBSTITUTE(4キー同時!AQ365," ",""),"　","")))</f>
        <v/>
      </c>
      <c r="H4357" s="2" t="str">
        <f aca="false">IF($G4357="","",4キー同時!$B$357)</f>
        <v/>
      </c>
      <c r="I4357" s="2" t="str">
        <f aca="false">IF($G4357="","",4キー同時!$G$357)</f>
        <v/>
      </c>
      <c r="J4357" s="2" t="str">
        <f aca="false">IF($G4357="","",4キー同時!$L$357)</f>
        <v/>
      </c>
      <c r="K4357" s="2" t="str">
        <f aca="false">IF($G4357="","",".")</f>
        <v/>
      </c>
      <c r="L4357" s="2" t="str">
        <f aca="false">IF($G4357="","","同時")</f>
        <v/>
      </c>
      <c r="M4357" s="2" t="str">
        <f aca="false">IF($G4357="","",IF(ISNA(MATCH($G4357,個別指定!$A:$A,0)),"行なし",""))</f>
        <v/>
      </c>
      <c r="N4357" s="2" t="str">
        <f aca="false">IF($G4357="","",IF(COUNTIF($G$2:$G$4460,$G4357)&gt;1,"重複",""))</f>
        <v/>
      </c>
    </row>
    <row r="4358" customFormat="false" ht="16.5" hidden="false" customHeight="true" outlineLevel="0" collapsed="false">
      <c r="A4358" s="2" t="s">
        <v>447</v>
      </c>
      <c r="B4358" s="2" t="s">
        <v>475</v>
      </c>
      <c r="C4358" s="2" t="s">
        <v>44</v>
      </c>
      <c r="D4358" s="2" t="str">
        <f aca="false">IF(4キー同時!$B$357="","",4キー同時!$B$357)</f>
        <v/>
      </c>
      <c r="E4358" s="2" t="str">
        <f aca="false">IF(4キー同時!$G$357="","",4キー同時!$G$357)</f>
        <v/>
      </c>
      <c r="F4358" s="2" t="str">
        <f aca="false">IF(4キー同時!$L$357="","",4キー同時!$L$357)</f>
        <v/>
      </c>
      <c r="G4358" s="2" t="str">
        <f aca="false">IF(OR(4キー同時!$B$357="",4キー同時!$G$357="",4キー同時!$L$357=""),"",IF(4キー同時!AU365="","",SUBSTITUTE(SUBSTITUTE(4キー同時!AU365," ",""),"　","")))</f>
        <v/>
      </c>
      <c r="H4358" s="2" t="str">
        <f aca="false">IF($G4358="","",4キー同時!$B$357)</f>
        <v/>
      </c>
      <c r="I4358" s="2" t="str">
        <f aca="false">IF($G4358="","",4キー同時!$G$357)</f>
        <v/>
      </c>
      <c r="J4358" s="2" t="str">
        <f aca="false">IF($G4358="","",4キー同時!$L$357)</f>
        <v/>
      </c>
      <c r="K4358" s="2" t="str">
        <f aca="false">IF($G4358="","","/")</f>
        <v/>
      </c>
      <c r="L4358" s="2" t="str">
        <f aca="false">IF($G4358="","","同時")</f>
        <v/>
      </c>
      <c r="M4358" s="2" t="str">
        <f aca="false">IF($G4358="","",IF(ISNA(MATCH($G4358,個別指定!$A:$A,0)),"行なし",""))</f>
        <v/>
      </c>
      <c r="N4358" s="2" t="str">
        <f aca="false">IF($G4358="","",IF(COUNTIF($G$2:$G$4460,$G4358)&gt;1,"重複",""))</f>
        <v/>
      </c>
    </row>
    <row r="4359" customFormat="false" ht="16.5" hidden="false" customHeight="true" outlineLevel="0" collapsed="false">
      <c r="A4359" s="2" t="s">
        <v>447</v>
      </c>
      <c r="B4359" s="2" t="s">
        <v>475</v>
      </c>
      <c r="C4359" s="2" t="s">
        <v>48</v>
      </c>
      <c r="D4359" s="2" t="str">
        <f aca="false">IF(4キー同時!$B$357="","",4キー同時!$B$357)</f>
        <v/>
      </c>
      <c r="E4359" s="2" t="str">
        <f aca="false">IF(4キー同時!$G$357="","",4キー同時!$G$357)</f>
        <v/>
      </c>
      <c r="F4359" s="2" t="str">
        <f aca="false">IF(4キー同時!$L$357="","",4キー同時!$L$357)</f>
        <v/>
      </c>
      <c r="G4359" s="2" t="str">
        <f aca="false">IF(OR(4キー同時!$B$357="",4キー同時!$G$357="",4キー同時!$L$357=""),"",IF(4キー同時!P367="","",SUBSTITUTE(SUBSTITUTE(4キー同時!P367," ",""),"　","")))</f>
        <v/>
      </c>
      <c r="H4359" s="2" t="str">
        <f aca="false">IF($G4359="","",4キー同時!$B$357)</f>
        <v/>
      </c>
      <c r="I4359" s="2" t="str">
        <f aca="false">IF($G4359="","",4キー同時!$G$357)</f>
        <v/>
      </c>
      <c r="J4359" s="2" t="str">
        <f aca="false">IF($G4359="","",4キー同時!$L$357)</f>
        <v/>
      </c>
      <c r="K4359" s="2" t="str">
        <f aca="false">IF($G4359="","","muhenkan")</f>
        <v/>
      </c>
      <c r="L4359" s="2" t="str">
        <f aca="false">IF($G4359="","","同時")</f>
        <v/>
      </c>
      <c r="M4359" s="2" t="str">
        <f aca="false">IF($G4359="","",IF(ISNA(MATCH($G4359,個別指定!$A:$A,0)),"行なし",""))</f>
        <v/>
      </c>
      <c r="N4359" s="2" t="str">
        <f aca="false">IF($G4359="","",IF(COUNTIF($G$2:$G$4460,$G4359)&gt;1,"重複",""))</f>
        <v/>
      </c>
    </row>
    <row r="4360" customFormat="false" ht="16.5" hidden="false" customHeight="true" outlineLevel="0" collapsed="false">
      <c r="A4360" s="2" t="s">
        <v>447</v>
      </c>
      <c r="B4360" s="2" t="s">
        <v>475</v>
      </c>
      <c r="C4360" s="2" t="s">
        <v>50</v>
      </c>
      <c r="D4360" s="2" t="str">
        <f aca="false">IF(4キー同時!$B$357="","",4キー同時!$B$357)</f>
        <v/>
      </c>
      <c r="E4360" s="2" t="str">
        <f aca="false">IF(4キー同時!$G$357="","",4キー同時!$G$357)</f>
        <v/>
      </c>
      <c r="F4360" s="2" t="str">
        <f aca="false">IF(4キー同時!$L$357="","",4キー同時!$L$357)</f>
        <v/>
      </c>
      <c r="G4360" s="2" t="str">
        <f aca="false">IF(OR(4キー同時!$B$357="",4キー同時!$G$357="",4キー同時!$L$357=""),"",IF(4キー同時!T367="","",SUBSTITUTE(SUBSTITUTE(4キー同時!T367," ",""),"　","")))</f>
        <v/>
      </c>
      <c r="H4360" s="2" t="str">
        <f aca="false">IF($G4360="","",4キー同時!$B$357)</f>
        <v/>
      </c>
      <c r="I4360" s="2" t="str">
        <f aca="false">IF($G4360="","",4キー同時!$G$357)</f>
        <v/>
      </c>
      <c r="J4360" s="2" t="str">
        <f aca="false">IF($G4360="","",4キー同時!$L$357)</f>
        <v/>
      </c>
      <c r="K4360" s="2" t="str">
        <f aca="false">IF($G4360="","","space")</f>
        <v/>
      </c>
      <c r="L4360" s="2" t="str">
        <f aca="false">IF($G4360="","","同時")</f>
        <v/>
      </c>
      <c r="M4360" s="2" t="str">
        <f aca="false">IF($G4360="","",IF(ISNA(MATCH($G4360,個別指定!$A:$A,0)),"行なし",""))</f>
        <v/>
      </c>
      <c r="N4360" s="2" t="str">
        <f aca="false">IF($G4360="","",IF(COUNTIF($G$2:$G$4460,$G4360)&gt;1,"重複",""))</f>
        <v/>
      </c>
    </row>
    <row r="4361" customFormat="false" ht="16.5" hidden="false" customHeight="true" outlineLevel="0" collapsed="false">
      <c r="A4361" s="2" t="s">
        <v>447</v>
      </c>
      <c r="B4361" s="2" t="s">
        <v>475</v>
      </c>
      <c r="C4361" s="2" t="s">
        <v>45</v>
      </c>
      <c r="D4361" s="2" t="str">
        <f aca="false">IF(4キー同時!$B$357="","",4キー同時!$B$357)</f>
        <v/>
      </c>
      <c r="E4361" s="2" t="str">
        <f aca="false">IF(4キー同時!$G$357="","",4キー同時!$G$357)</f>
        <v/>
      </c>
      <c r="F4361" s="2" t="str">
        <f aca="false">IF(4キー同時!$L$357="","",4キー同時!$L$357)</f>
        <v/>
      </c>
      <c r="G4361" s="2" t="str">
        <f aca="false">IF(OR(4キー同時!$B$357="",4キー同時!$G$357="",4キー同時!$L$357=""),"",IF(4キー同時!AL367="","",SUBSTITUTE(SUBSTITUTE(4キー同時!AL367," ",""),"　","")))</f>
        <v/>
      </c>
      <c r="H4361" s="2" t="str">
        <f aca="false">IF($G4361="","",4キー同時!$B$357)</f>
        <v/>
      </c>
      <c r="I4361" s="2" t="str">
        <f aca="false">IF($G4361="","",4キー同時!$G$357)</f>
        <v/>
      </c>
      <c r="J4361" s="2" t="str">
        <f aca="false">IF($G4361="","",4キー同時!$L$357)</f>
        <v/>
      </c>
      <c r="K4361" s="2" t="str">
        <f aca="false">IF($G4361="","","henkan")</f>
        <v/>
      </c>
      <c r="L4361" s="2" t="str">
        <f aca="false">IF($G4361="","","同時")</f>
        <v/>
      </c>
      <c r="M4361" s="2" t="str">
        <f aca="false">IF($G4361="","",IF(ISNA(MATCH($G4361,個別指定!$A:$A,0)),"行なし",""))</f>
        <v/>
      </c>
      <c r="N4361" s="2" t="str">
        <f aca="false">IF($G4361="","",IF(COUNTIF($G$2:$G$4460,$G4361)&gt;1,"重複",""))</f>
        <v/>
      </c>
    </row>
    <row r="4362" customFormat="false" ht="16.5" hidden="false" customHeight="true" outlineLevel="0" collapsed="false">
      <c r="A4362" s="2" t="s">
        <v>447</v>
      </c>
      <c r="B4362" s="2" t="s">
        <v>475</v>
      </c>
      <c r="C4362" s="2" t="s">
        <v>46</v>
      </c>
      <c r="D4362" s="2" t="str">
        <f aca="false">IF(4キー同時!$B$357="","",4キー同時!$B$357)</f>
        <v/>
      </c>
      <c r="E4362" s="2" t="str">
        <f aca="false">IF(4キー同時!$G$357="","",4キー同時!$G$357)</f>
        <v/>
      </c>
      <c r="F4362" s="2" t="str">
        <f aca="false">IF(4キー同時!$L$357="","",4キー同時!$L$357)</f>
        <v/>
      </c>
      <c r="G4362" s="2" t="str">
        <f aca="false">IF(OR(4キー同時!$B$357="",4キー同時!$G$357="",4キー同時!$L$357=""),"",IF(4キー同時!AP367="","",SUBSTITUTE(SUBSTITUTE(4キー同時!AP367," ",""),"　","")))</f>
        <v/>
      </c>
      <c r="H4362" s="2" t="str">
        <f aca="false">IF($G4362="","",4キー同時!$B$357)</f>
        <v/>
      </c>
      <c r="I4362" s="2" t="str">
        <f aca="false">IF($G4362="","",4キー同時!$G$357)</f>
        <v/>
      </c>
      <c r="J4362" s="2" t="str">
        <f aca="false">IF($G4362="","",4キー同時!$L$357)</f>
        <v/>
      </c>
      <c r="K4362" s="2" t="str">
        <f aca="false">IF($G4362="","","kana")</f>
        <v/>
      </c>
      <c r="L4362" s="2" t="str">
        <f aca="false">IF($G4362="","","同時")</f>
        <v/>
      </c>
      <c r="M4362" s="2" t="str">
        <f aca="false">IF($G4362="","",IF(ISNA(MATCH($G4362,個別指定!$A:$A,0)),"行なし",""))</f>
        <v/>
      </c>
      <c r="N4362" s="2" t="str">
        <f aca="false">IF($G4362="","",IF(COUNTIF($G$2:$G$4460,$G4362)&gt;1,"重複",""))</f>
        <v/>
      </c>
    </row>
    <row r="4363" customFormat="false" ht="16.5" hidden="false" customHeight="true" outlineLevel="0" collapsed="false">
      <c r="A4363" s="2" t="s">
        <v>447</v>
      </c>
      <c r="B4363" s="2" t="s">
        <v>476</v>
      </c>
      <c r="C4363" s="2" t="s">
        <v>0</v>
      </c>
      <c r="D4363" s="2" t="str">
        <f aca="false">IF(4キー同時!$B$370="","",4キー同時!$B$370)</f>
        <v/>
      </c>
      <c r="E4363" s="2" t="str">
        <f aca="false">IF(4キー同時!$G$370="","",4キー同時!$G$370)</f>
        <v/>
      </c>
      <c r="F4363" s="2" t="str">
        <f aca="false">IF(4キー同時!$L$370="","",4キー同時!$L$370)</f>
        <v/>
      </c>
      <c r="G4363" s="2" t="str">
        <f aca="false">IF(OR(4キー同時!$B$370="",4キー同時!$G$370="",4キー同時!$L$370=""),"",IF(4キー同時!F372="","",SUBSTITUTE(SUBSTITUTE(4キー同時!F372," ",""),"　","")))</f>
        <v/>
      </c>
      <c r="H4363" s="2" t="str">
        <f aca="false">IF($G4363="","",4キー同時!$B$370)</f>
        <v/>
      </c>
      <c r="I4363" s="2" t="str">
        <f aca="false">IF($G4363="","",4キー同時!$G$370)</f>
        <v/>
      </c>
      <c r="J4363" s="2" t="str">
        <f aca="false">IF($G4363="","",4キー同時!$L$370)</f>
        <v/>
      </c>
      <c r="K4363" s="2" t="str">
        <f aca="false">IF($G4363="","","1")</f>
        <v/>
      </c>
      <c r="L4363" s="2" t="str">
        <f aca="false">IF($G4363="","","同時")</f>
        <v/>
      </c>
      <c r="M4363" s="2" t="str">
        <f aca="false">IF($G4363="","",IF(ISNA(MATCH($G4363,個別指定!$A:$A,0)),"行なし",""))</f>
        <v/>
      </c>
      <c r="N4363" s="2" t="str">
        <f aca="false">IF($G4363="","",IF(COUNTIF($G$2:$G$4460,$G4363)&gt;1,"重複",""))</f>
        <v/>
      </c>
    </row>
    <row r="4364" customFormat="false" ht="16.5" hidden="false" customHeight="true" outlineLevel="0" collapsed="false">
      <c r="A4364" s="2" t="s">
        <v>447</v>
      </c>
      <c r="B4364" s="2" t="s">
        <v>476</v>
      </c>
      <c r="C4364" s="2" t="s">
        <v>1</v>
      </c>
      <c r="D4364" s="2" t="str">
        <f aca="false">IF(4キー同時!$B$370="","",4キー同時!$B$370)</f>
        <v/>
      </c>
      <c r="E4364" s="2" t="str">
        <f aca="false">IF(4キー同時!$G$370="","",4キー同時!$G$370)</f>
        <v/>
      </c>
      <c r="F4364" s="2" t="str">
        <f aca="false">IF(4キー同時!$L$370="","",4キー同時!$L$370)</f>
        <v/>
      </c>
      <c r="G4364" s="2" t="str">
        <f aca="false">IF(OR(4キー同時!$B$370="",4キー同時!$G$370="",4キー同時!$L$370=""),"",IF(4キー同時!J372="","",SUBSTITUTE(SUBSTITUTE(4キー同時!J372," ",""),"　","")))</f>
        <v/>
      </c>
      <c r="H4364" s="2" t="str">
        <f aca="false">IF($G4364="","",4キー同時!$B$370)</f>
        <v/>
      </c>
      <c r="I4364" s="2" t="str">
        <f aca="false">IF($G4364="","",4キー同時!$G$370)</f>
        <v/>
      </c>
      <c r="J4364" s="2" t="str">
        <f aca="false">IF($G4364="","",4キー同時!$L$370)</f>
        <v/>
      </c>
      <c r="K4364" s="2" t="str">
        <f aca="false">IF($G4364="","","2")</f>
        <v/>
      </c>
      <c r="L4364" s="2" t="str">
        <f aca="false">IF($G4364="","","同時")</f>
        <v/>
      </c>
      <c r="M4364" s="2" t="str">
        <f aca="false">IF($G4364="","",IF(ISNA(MATCH($G4364,個別指定!$A:$A,0)),"行なし",""))</f>
        <v/>
      </c>
      <c r="N4364" s="2" t="str">
        <f aca="false">IF($G4364="","",IF(COUNTIF($G$2:$G$4460,$G4364)&gt;1,"重複",""))</f>
        <v/>
      </c>
    </row>
    <row r="4365" customFormat="false" ht="16.5" hidden="false" customHeight="true" outlineLevel="0" collapsed="false">
      <c r="A4365" s="2" t="s">
        <v>447</v>
      </c>
      <c r="B4365" s="2" t="s">
        <v>476</v>
      </c>
      <c r="C4365" s="2" t="s">
        <v>2</v>
      </c>
      <c r="D4365" s="2" t="str">
        <f aca="false">IF(4キー同時!$B$370="","",4キー同時!$B$370)</f>
        <v/>
      </c>
      <c r="E4365" s="2" t="str">
        <f aca="false">IF(4キー同時!$G$370="","",4キー同時!$G$370)</f>
        <v/>
      </c>
      <c r="F4365" s="2" t="str">
        <f aca="false">IF(4キー同時!$L$370="","",4キー同時!$L$370)</f>
        <v/>
      </c>
      <c r="G4365" s="2" t="str">
        <f aca="false">IF(OR(4キー同時!$B$370="",4キー同時!$G$370="",4キー同時!$L$370=""),"",IF(4キー同時!N372="","",SUBSTITUTE(SUBSTITUTE(4キー同時!N372," ",""),"　","")))</f>
        <v/>
      </c>
      <c r="H4365" s="2" t="str">
        <f aca="false">IF($G4365="","",4キー同時!$B$370)</f>
        <v/>
      </c>
      <c r="I4365" s="2" t="str">
        <f aca="false">IF($G4365="","",4キー同時!$G$370)</f>
        <v/>
      </c>
      <c r="J4365" s="2" t="str">
        <f aca="false">IF($G4365="","",4キー同時!$L$370)</f>
        <v/>
      </c>
      <c r="K4365" s="2" t="str">
        <f aca="false">IF($G4365="","","3")</f>
        <v/>
      </c>
      <c r="L4365" s="2" t="str">
        <f aca="false">IF($G4365="","","同時")</f>
        <v/>
      </c>
      <c r="M4365" s="2" t="str">
        <f aca="false">IF($G4365="","",IF(ISNA(MATCH($G4365,個別指定!$A:$A,0)),"行なし",""))</f>
        <v/>
      </c>
      <c r="N4365" s="2" t="str">
        <f aca="false">IF($G4365="","",IF(COUNTIF($G$2:$G$4460,$G4365)&gt;1,"重複",""))</f>
        <v/>
      </c>
    </row>
    <row r="4366" customFormat="false" ht="16.5" hidden="false" customHeight="true" outlineLevel="0" collapsed="false">
      <c r="A4366" s="2" t="s">
        <v>447</v>
      </c>
      <c r="B4366" s="2" t="s">
        <v>476</v>
      </c>
      <c r="C4366" s="2" t="s">
        <v>3</v>
      </c>
      <c r="D4366" s="2" t="str">
        <f aca="false">IF(4キー同時!$B$370="","",4キー同時!$B$370)</f>
        <v/>
      </c>
      <c r="E4366" s="2" t="str">
        <f aca="false">IF(4キー同時!$G$370="","",4キー同時!$G$370)</f>
        <v/>
      </c>
      <c r="F4366" s="2" t="str">
        <f aca="false">IF(4キー同時!$L$370="","",4キー同時!$L$370)</f>
        <v/>
      </c>
      <c r="G4366" s="2" t="str">
        <f aca="false">IF(OR(4キー同時!$B$370="",4キー同時!$G$370="",4キー同時!$L$370=""),"",IF(4キー同時!R372="","",SUBSTITUTE(SUBSTITUTE(4キー同時!R372," ",""),"　","")))</f>
        <v/>
      </c>
      <c r="H4366" s="2" t="str">
        <f aca="false">IF($G4366="","",4キー同時!$B$370)</f>
        <v/>
      </c>
      <c r="I4366" s="2" t="str">
        <f aca="false">IF($G4366="","",4キー同時!$G$370)</f>
        <v/>
      </c>
      <c r="J4366" s="2" t="str">
        <f aca="false">IF($G4366="","",4キー同時!$L$370)</f>
        <v/>
      </c>
      <c r="K4366" s="2" t="str">
        <f aca="false">IF($G4366="","","4")</f>
        <v/>
      </c>
      <c r="L4366" s="2" t="str">
        <f aca="false">IF($G4366="","","同時")</f>
        <v/>
      </c>
      <c r="M4366" s="2" t="str">
        <f aca="false">IF($G4366="","",IF(ISNA(MATCH($G4366,個別指定!$A:$A,0)),"行なし",""))</f>
        <v/>
      </c>
      <c r="N4366" s="2" t="str">
        <f aca="false">IF($G4366="","",IF(COUNTIF($G$2:$G$4460,$G4366)&gt;1,"重複",""))</f>
        <v/>
      </c>
    </row>
    <row r="4367" customFormat="false" ht="16.5" hidden="false" customHeight="true" outlineLevel="0" collapsed="false">
      <c r="A4367" s="2" t="s">
        <v>447</v>
      </c>
      <c r="B4367" s="2" t="s">
        <v>476</v>
      </c>
      <c r="C4367" s="2" t="s">
        <v>4</v>
      </c>
      <c r="D4367" s="2" t="str">
        <f aca="false">IF(4キー同時!$B$370="","",4キー同時!$B$370)</f>
        <v/>
      </c>
      <c r="E4367" s="2" t="str">
        <f aca="false">IF(4キー同時!$G$370="","",4キー同時!$G$370)</f>
        <v/>
      </c>
      <c r="F4367" s="2" t="str">
        <f aca="false">IF(4キー同時!$L$370="","",4キー同時!$L$370)</f>
        <v/>
      </c>
      <c r="G4367" s="2" t="str">
        <f aca="false">IF(OR(4キー同時!$B$370="",4キー同時!$G$370="",4キー同時!$L$370=""),"",IF(4キー同時!V372="","",SUBSTITUTE(SUBSTITUTE(4キー同時!V372," ",""),"　","")))</f>
        <v/>
      </c>
      <c r="H4367" s="2" t="str">
        <f aca="false">IF($G4367="","",4キー同時!$B$370)</f>
        <v/>
      </c>
      <c r="I4367" s="2" t="str">
        <f aca="false">IF($G4367="","",4キー同時!$G$370)</f>
        <v/>
      </c>
      <c r="J4367" s="2" t="str">
        <f aca="false">IF($G4367="","",4キー同時!$L$370)</f>
        <v/>
      </c>
      <c r="K4367" s="2" t="str">
        <f aca="false">IF($G4367="","","5")</f>
        <v/>
      </c>
      <c r="L4367" s="2" t="str">
        <f aca="false">IF($G4367="","","同時")</f>
        <v/>
      </c>
      <c r="M4367" s="2" t="str">
        <f aca="false">IF($G4367="","",IF(ISNA(MATCH($G4367,個別指定!$A:$A,0)),"行なし",""))</f>
        <v/>
      </c>
      <c r="N4367" s="2" t="str">
        <f aca="false">IF($G4367="","",IF(COUNTIF($G$2:$G$4460,$G4367)&gt;1,"重複",""))</f>
        <v/>
      </c>
    </row>
    <row r="4368" customFormat="false" ht="16.5" hidden="false" customHeight="true" outlineLevel="0" collapsed="false">
      <c r="A4368" s="2" t="s">
        <v>447</v>
      </c>
      <c r="B4368" s="2" t="s">
        <v>476</v>
      </c>
      <c r="C4368" s="2" t="s">
        <v>5</v>
      </c>
      <c r="D4368" s="2" t="str">
        <f aca="false">IF(4キー同時!$B$370="","",4キー同時!$B$370)</f>
        <v/>
      </c>
      <c r="E4368" s="2" t="str">
        <f aca="false">IF(4キー同時!$G$370="","",4キー同時!$G$370)</f>
        <v/>
      </c>
      <c r="F4368" s="2" t="str">
        <f aca="false">IF(4キー同時!$L$370="","",4キー同時!$L$370)</f>
        <v/>
      </c>
      <c r="G4368" s="2" t="str">
        <f aca="false">IF(OR(4キー同時!$B$370="",4キー同時!$G$370="",4キー同時!$L$370=""),"",IF(4キー同時!Z372="","",SUBSTITUTE(SUBSTITUTE(4キー同時!Z372," ",""),"　","")))</f>
        <v/>
      </c>
      <c r="H4368" s="2" t="str">
        <f aca="false">IF($G4368="","",4キー同時!$B$370)</f>
        <v/>
      </c>
      <c r="I4368" s="2" t="str">
        <f aca="false">IF($G4368="","",4キー同時!$G$370)</f>
        <v/>
      </c>
      <c r="J4368" s="2" t="str">
        <f aca="false">IF($G4368="","",4キー同時!$L$370)</f>
        <v/>
      </c>
      <c r="K4368" s="2" t="str">
        <f aca="false">IF($G4368="","","6")</f>
        <v/>
      </c>
      <c r="L4368" s="2" t="str">
        <f aca="false">IF($G4368="","","同時")</f>
        <v/>
      </c>
      <c r="M4368" s="2" t="str">
        <f aca="false">IF($G4368="","",IF(ISNA(MATCH($G4368,個別指定!$A:$A,0)),"行なし",""))</f>
        <v/>
      </c>
      <c r="N4368" s="2" t="str">
        <f aca="false">IF($G4368="","",IF(COUNTIF($G$2:$G$4460,$G4368)&gt;1,"重複",""))</f>
        <v/>
      </c>
    </row>
    <row r="4369" customFormat="false" ht="16.5" hidden="false" customHeight="true" outlineLevel="0" collapsed="false">
      <c r="A4369" s="2" t="s">
        <v>447</v>
      </c>
      <c r="B4369" s="2" t="s">
        <v>476</v>
      </c>
      <c r="C4369" s="2" t="s">
        <v>6</v>
      </c>
      <c r="D4369" s="2" t="str">
        <f aca="false">IF(4キー同時!$B$370="","",4キー同時!$B$370)</f>
        <v/>
      </c>
      <c r="E4369" s="2" t="str">
        <f aca="false">IF(4キー同時!$G$370="","",4キー同時!$G$370)</f>
        <v/>
      </c>
      <c r="F4369" s="2" t="str">
        <f aca="false">IF(4キー同時!$L$370="","",4キー同時!$L$370)</f>
        <v/>
      </c>
      <c r="G4369" s="2" t="str">
        <f aca="false">IF(OR(4キー同時!$B$370="",4キー同時!$G$370="",4キー同時!$L$370=""),"",IF(4キー同時!AD372="","",SUBSTITUTE(SUBSTITUTE(4キー同時!AD372," ",""),"　","")))</f>
        <v/>
      </c>
      <c r="H4369" s="2" t="str">
        <f aca="false">IF($G4369="","",4キー同時!$B$370)</f>
        <v/>
      </c>
      <c r="I4369" s="2" t="str">
        <f aca="false">IF($G4369="","",4キー同時!$G$370)</f>
        <v/>
      </c>
      <c r="J4369" s="2" t="str">
        <f aca="false">IF($G4369="","",4キー同時!$L$370)</f>
        <v/>
      </c>
      <c r="K4369" s="2" t="str">
        <f aca="false">IF($G4369="","","7")</f>
        <v/>
      </c>
      <c r="L4369" s="2" t="str">
        <f aca="false">IF($G4369="","","同時")</f>
        <v/>
      </c>
      <c r="M4369" s="2" t="str">
        <f aca="false">IF($G4369="","",IF(ISNA(MATCH($G4369,個別指定!$A:$A,0)),"行なし",""))</f>
        <v/>
      </c>
      <c r="N4369" s="2" t="str">
        <f aca="false">IF($G4369="","",IF(COUNTIF($G$2:$G$4460,$G4369)&gt;1,"重複",""))</f>
        <v/>
      </c>
    </row>
    <row r="4370" customFormat="false" ht="16.5" hidden="false" customHeight="true" outlineLevel="0" collapsed="false">
      <c r="A4370" s="2" t="s">
        <v>447</v>
      </c>
      <c r="B4370" s="2" t="s">
        <v>476</v>
      </c>
      <c r="C4370" s="2" t="s">
        <v>7</v>
      </c>
      <c r="D4370" s="2" t="str">
        <f aca="false">IF(4キー同時!$B$370="","",4キー同時!$B$370)</f>
        <v/>
      </c>
      <c r="E4370" s="2" t="str">
        <f aca="false">IF(4キー同時!$G$370="","",4キー同時!$G$370)</f>
        <v/>
      </c>
      <c r="F4370" s="2" t="str">
        <f aca="false">IF(4キー同時!$L$370="","",4キー同時!$L$370)</f>
        <v/>
      </c>
      <c r="G4370" s="2" t="str">
        <f aca="false">IF(OR(4キー同時!$B$370="",4キー同時!$G$370="",4キー同時!$L$370=""),"",IF(4キー同時!AH372="","",SUBSTITUTE(SUBSTITUTE(4キー同時!AH372," ",""),"　","")))</f>
        <v/>
      </c>
      <c r="H4370" s="2" t="str">
        <f aca="false">IF($G4370="","",4キー同時!$B$370)</f>
        <v/>
      </c>
      <c r="I4370" s="2" t="str">
        <f aca="false">IF($G4370="","",4キー同時!$G$370)</f>
        <v/>
      </c>
      <c r="J4370" s="2" t="str">
        <f aca="false">IF($G4370="","",4キー同時!$L$370)</f>
        <v/>
      </c>
      <c r="K4370" s="2" t="str">
        <f aca="false">IF($G4370="","","8")</f>
        <v/>
      </c>
      <c r="L4370" s="2" t="str">
        <f aca="false">IF($G4370="","","同時")</f>
        <v/>
      </c>
      <c r="M4370" s="2" t="str">
        <f aca="false">IF($G4370="","",IF(ISNA(MATCH($G4370,個別指定!$A:$A,0)),"行なし",""))</f>
        <v/>
      </c>
      <c r="N4370" s="2" t="str">
        <f aca="false">IF($G4370="","",IF(COUNTIF($G$2:$G$4460,$G4370)&gt;1,"重複",""))</f>
        <v/>
      </c>
    </row>
    <row r="4371" customFormat="false" ht="16.5" hidden="false" customHeight="true" outlineLevel="0" collapsed="false">
      <c r="A4371" s="2" t="s">
        <v>447</v>
      </c>
      <c r="B4371" s="2" t="s">
        <v>476</v>
      </c>
      <c r="C4371" s="2" t="s">
        <v>8</v>
      </c>
      <c r="D4371" s="2" t="str">
        <f aca="false">IF(4キー同時!$B$370="","",4キー同時!$B$370)</f>
        <v/>
      </c>
      <c r="E4371" s="2" t="str">
        <f aca="false">IF(4キー同時!$G$370="","",4キー同時!$G$370)</f>
        <v/>
      </c>
      <c r="F4371" s="2" t="str">
        <f aca="false">IF(4キー同時!$L$370="","",4キー同時!$L$370)</f>
        <v/>
      </c>
      <c r="G4371" s="2" t="str">
        <f aca="false">IF(OR(4キー同時!$B$370="",4キー同時!$G$370="",4キー同時!$L$370=""),"",IF(4キー同時!AL372="","",SUBSTITUTE(SUBSTITUTE(4キー同時!AL372," ",""),"　","")))</f>
        <v/>
      </c>
      <c r="H4371" s="2" t="str">
        <f aca="false">IF($G4371="","",4キー同時!$B$370)</f>
        <v/>
      </c>
      <c r="I4371" s="2" t="str">
        <f aca="false">IF($G4371="","",4キー同時!$G$370)</f>
        <v/>
      </c>
      <c r="J4371" s="2" t="str">
        <f aca="false">IF($G4371="","",4キー同時!$L$370)</f>
        <v/>
      </c>
      <c r="K4371" s="2" t="str">
        <f aca="false">IF($G4371="","","9")</f>
        <v/>
      </c>
      <c r="L4371" s="2" t="str">
        <f aca="false">IF($G4371="","","同時")</f>
        <v/>
      </c>
      <c r="M4371" s="2" t="str">
        <f aca="false">IF($G4371="","",IF(ISNA(MATCH($G4371,個別指定!$A:$A,0)),"行なし",""))</f>
        <v/>
      </c>
      <c r="N4371" s="2" t="str">
        <f aca="false">IF($G4371="","",IF(COUNTIF($G$2:$G$4460,$G4371)&gt;1,"重複",""))</f>
        <v/>
      </c>
    </row>
    <row r="4372" customFormat="false" ht="16.5" hidden="false" customHeight="true" outlineLevel="0" collapsed="false">
      <c r="A4372" s="2" t="s">
        <v>447</v>
      </c>
      <c r="B4372" s="2" t="s">
        <v>476</v>
      </c>
      <c r="C4372" s="2" t="s">
        <v>9</v>
      </c>
      <c r="D4372" s="2" t="str">
        <f aca="false">IF(4キー同時!$B$370="","",4キー同時!$B$370)</f>
        <v/>
      </c>
      <c r="E4372" s="2" t="str">
        <f aca="false">IF(4キー同時!$G$370="","",4キー同時!$G$370)</f>
        <v/>
      </c>
      <c r="F4372" s="2" t="str">
        <f aca="false">IF(4キー同時!$L$370="","",4キー同時!$L$370)</f>
        <v/>
      </c>
      <c r="G4372" s="2" t="str">
        <f aca="false">IF(OR(4キー同時!$B$370="",4キー同時!$G$370="",4キー同時!$L$370=""),"",IF(4キー同時!AP372="","",SUBSTITUTE(SUBSTITUTE(4キー同時!AP372," ",""),"　","")))</f>
        <v/>
      </c>
      <c r="H4372" s="2" t="str">
        <f aca="false">IF($G4372="","",4キー同時!$B$370)</f>
        <v/>
      </c>
      <c r="I4372" s="2" t="str">
        <f aca="false">IF($G4372="","",4キー同時!$G$370)</f>
        <v/>
      </c>
      <c r="J4372" s="2" t="str">
        <f aca="false">IF($G4372="","",4キー同時!$L$370)</f>
        <v/>
      </c>
      <c r="K4372" s="2" t="str">
        <f aca="false">IF($G4372="","","0")</f>
        <v/>
      </c>
      <c r="L4372" s="2" t="str">
        <f aca="false">IF($G4372="","","同時")</f>
        <v/>
      </c>
      <c r="M4372" s="2" t="str">
        <f aca="false">IF($G4372="","",IF(ISNA(MATCH($G4372,個別指定!$A:$A,0)),"行なし",""))</f>
        <v/>
      </c>
      <c r="N4372" s="2" t="str">
        <f aca="false">IF($G4372="","",IF(COUNTIF($G$2:$G$4460,$G4372)&gt;1,"重複",""))</f>
        <v/>
      </c>
    </row>
    <row r="4373" customFormat="false" ht="16.5" hidden="false" customHeight="true" outlineLevel="0" collapsed="false">
      <c r="A4373" s="2" t="s">
        <v>447</v>
      </c>
      <c r="B4373" s="2" t="s">
        <v>476</v>
      </c>
      <c r="C4373" s="2" t="s">
        <v>10</v>
      </c>
      <c r="D4373" s="2" t="str">
        <f aca="false">IF(4キー同時!$B$370="","",4キー同時!$B$370)</f>
        <v/>
      </c>
      <c r="E4373" s="2" t="str">
        <f aca="false">IF(4キー同時!$G$370="","",4キー同時!$G$370)</f>
        <v/>
      </c>
      <c r="F4373" s="2" t="str">
        <f aca="false">IF(4キー同時!$L$370="","",4キー同時!$L$370)</f>
        <v/>
      </c>
      <c r="G4373" s="2" t="str">
        <f aca="false">IF(OR(4キー同時!$B$370="",4キー同時!$G$370="",4キー同時!$L$370=""),"",IF(4キー同時!AT372="","",SUBSTITUTE(SUBSTITUTE(4キー同時!AT372," ",""),"　","")))</f>
        <v/>
      </c>
      <c r="H4373" s="2" t="str">
        <f aca="false">IF($G4373="","",4キー同時!$B$370)</f>
        <v/>
      </c>
      <c r="I4373" s="2" t="str">
        <f aca="false">IF($G4373="","",4キー同時!$G$370)</f>
        <v/>
      </c>
      <c r="J4373" s="2" t="str">
        <f aca="false">IF($G4373="","",4キー同時!$L$370)</f>
        <v/>
      </c>
      <c r="K4373" s="2" t="str">
        <f aca="false">IF($G4373="","","-")</f>
        <v/>
      </c>
      <c r="L4373" s="2" t="str">
        <f aca="false">IF($G4373="","","同時")</f>
        <v/>
      </c>
      <c r="M4373" s="2" t="str">
        <f aca="false">IF($G4373="","",IF(ISNA(MATCH($G4373,個別指定!$A:$A,0)),"行なし",""))</f>
        <v/>
      </c>
      <c r="N4373" s="2" t="str">
        <f aca="false">IF($G4373="","",IF(COUNTIF($G$2:$G$4460,$G4373)&gt;1,"重複",""))</f>
        <v/>
      </c>
    </row>
    <row r="4374" customFormat="false" ht="16.5" hidden="false" customHeight="true" outlineLevel="0" collapsed="false">
      <c r="A4374" s="2" t="s">
        <v>447</v>
      </c>
      <c r="B4374" s="2" t="s">
        <v>476</v>
      </c>
      <c r="C4374" s="2" t="s">
        <v>11</v>
      </c>
      <c r="D4374" s="2" t="str">
        <f aca="false">IF(4キー同時!$B$370="","",4キー同時!$B$370)</f>
        <v/>
      </c>
      <c r="E4374" s="2" t="str">
        <f aca="false">IF(4キー同時!$G$370="","",4キー同時!$G$370)</f>
        <v/>
      </c>
      <c r="F4374" s="2" t="str">
        <f aca="false">IF(4キー同時!$L$370="","",4キー同時!$L$370)</f>
        <v/>
      </c>
      <c r="G4374" s="2" t="str">
        <f aca="false">IF(OR(4キー同時!$B$370="",4キー同時!$G$370="",4キー同時!$L$370=""),"",IF(4キー同時!AX372="","",SUBSTITUTE(SUBSTITUTE(4キー同時!AX372," ",""),"　","")))</f>
        <v/>
      </c>
      <c r="H4374" s="2" t="str">
        <f aca="false">IF($G4374="","",4キー同時!$B$370)</f>
        <v/>
      </c>
      <c r="I4374" s="2" t="str">
        <f aca="false">IF($G4374="","",4キー同時!$G$370)</f>
        <v/>
      </c>
      <c r="J4374" s="2" t="str">
        <f aca="false">IF($G4374="","",4キー同時!$L$370)</f>
        <v/>
      </c>
      <c r="K4374" s="2" t="str">
        <f aca="false">IF($G4374="","","=")</f>
        <v/>
      </c>
      <c r="L4374" s="2" t="str">
        <f aca="false">IF($G4374="","","同時")</f>
        <v/>
      </c>
      <c r="M4374" s="2" t="str">
        <f aca="false">IF($G4374="","",IF(ISNA(MATCH($G4374,個別指定!$A:$A,0)),"行なし",""))</f>
        <v/>
      </c>
      <c r="N4374" s="2" t="str">
        <f aca="false">IF($G4374="","",IF(COUNTIF($G$2:$G$4460,$G4374)&gt;1,"重複",""))</f>
        <v/>
      </c>
    </row>
    <row r="4375" customFormat="false" ht="16.5" hidden="false" customHeight="true" outlineLevel="0" collapsed="false">
      <c r="A4375" s="2" t="s">
        <v>447</v>
      </c>
      <c r="B4375" s="2" t="s">
        <v>476</v>
      </c>
      <c r="C4375" s="2" t="s">
        <v>12</v>
      </c>
      <c r="D4375" s="2" t="str">
        <f aca="false">IF(4キー同時!$B$370="","",4キー同時!$B$370)</f>
        <v/>
      </c>
      <c r="E4375" s="2" t="str">
        <f aca="false">IF(4キー同時!$G$370="","",4キー同時!$G$370)</f>
        <v/>
      </c>
      <c r="F4375" s="2" t="str">
        <f aca="false">IF(4キー同時!$L$370="","",4キー同時!$L$370)</f>
        <v/>
      </c>
      <c r="G4375" s="2" t="str">
        <f aca="false">IF(OR(4キー同時!$B$370="",4キー同時!$G$370="",4キー同時!$L$370=""),"",IF(4キー同時!H374="","",SUBSTITUTE(SUBSTITUTE(4キー同時!H374," ",""),"　","")))</f>
        <v/>
      </c>
      <c r="H4375" s="2" t="str">
        <f aca="false">IF($G4375="","",4キー同時!$B$370)</f>
        <v/>
      </c>
      <c r="I4375" s="2" t="str">
        <f aca="false">IF($G4375="","",4キー同時!$G$370)</f>
        <v/>
      </c>
      <c r="J4375" s="2" t="str">
        <f aca="false">IF($G4375="","",4キー同時!$L$370)</f>
        <v/>
      </c>
      <c r="K4375" s="2" t="str">
        <f aca="false">IF($G4375="","","q")</f>
        <v/>
      </c>
      <c r="L4375" s="2" t="str">
        <f aca="false">IF($G4375="","","同時")</f>
        <v/>
      </c>
      <c r="M4375" s="2" t="str">
        <f aca="false">IF($G4375="","",IF(ISNA(MATCH($G4375,個別指定!$A:$A,0)),"行なし",""))</f>
        <v/>
      </c>
      <c r="N4375" s="2" t="str">
        <f aca="false">IF($G4375="","",IF(COUNTIF($G$2:$G$4460,$G4375)&gt;1,"重複",""))</f>
        <v/>
      </c>
    </row>
    <row r="4376" customFormat="false" ht="16.5" hidden="false" customHeight="true" outlineLevel="0" collapsed="false">
      <c r="A4376" s="2" t="s">
        <v>447</v>
      </c>
      <c r="B4376" s="2" t="s">
        <v>476</v>
      </c>
      <c r="C4376" s="2" t="s">
        <v>13</v>
      </c>
      <c r="D4376" s="2" t="str">
        <f aca="false">IF(4キー同時!$B$370="","",4キー同時!$B$370)</f>
        <v/>
      </c>
      <c r="E4376" s="2" t="str">
        <f aca="false">IF(4キー同時!$G$370="","",4キー同時!$G$370)</f>
        <v/>
      </c>
      <c r="F4376" s="2" t="str">
        <f aca="false">IF(4キー同時!$L$370="","",4キー同時!$L$370)</f>
        <v/>
      </c>
      <c r="G4376" s="2" t="str">
        <f aca="false">IF(OR(4キー同時!$B$370="",4キー同時!$G$370="",4キー同時!$L$370=""),"",IF(4キー同時!L374="","",SUBSTITUTE(SUBSTITUTE(4キー同時!L374," ",""),"　","")))</f>
        <v/>
      </c>
      <c r="H4376" s="2" t="str">
        <f aca="false">IF($G4376="","",4キー同時!$B$370)</f>
        <v/>
      </c>
      <c r="I4376" s="2" t="str">
        <f aca="false">IF($G4376="","",4キー同時!$G$370)</f>
        <v/>
      </c>
      <c r="J4376" s="2" t="str">
        <f aca="false">IF($G4376="","",4キー同時!$L$370)</f>
        <v/>
      </c>
      <c r="K4376" s="2" t="str">
        <f aca="false">IF($G4376="","","w")</f>
        <v/>
      </c>
      <c r="L4376" s="2" t="str">
        <f aca="false">IF($G4376="","","同時")</f>
        <v/>
      </c>
      <c r="M4376" s="2" t="str">
        <f aca="false">IF($G4376="","",IF(ISNA(MATCH($G4376,個別指定!$A:$A,0)),"行なし",""))</f>
        <v/>
      </c>
      <c r="N4376" s="2" t="str">
        <f aca="false">IF($G4376="","",IF(COUNTIF($G$2:$G$4460,$G4376)&gt;1,"重複",""))</f>
        <v/>
      </c>
    </row>
    <row r="4377" customFormat="false" ht="16.5" hidden="false" customHeight="true" outlineLevel="0" collapsed="false">
      <c r="A4377" s="2" t="s">
        <v>447</v>
      </c>
      <c r="B4377" s="2" t="s">
        <v>476</v>
      </c>
      <c r="C4377" s="2" t="s">
        <v>14</v>
      </c>
      <c r="D4377" s="2" t="str">
        <f aca="false">IF(4キー同時!$B$370="","",4キー同時!$B$370)</f>
        <v/>
      </c>
      <c r="E4377" s="2" t="str">
        <f aca="false">IF(4キー同時!$G$370="","",4キー同時!$G$370)</f>
        <v/>
      </c>
      <c r="F4377" s="2" t="str">
        <f aca="false">IF(4キー同時!$L$370="","",4キー同時!$L$370)</f>
        <v/>
      </c>
      <c r="G4377" s="2" t="str">
        <f aca="false">IF(OR(4キー同時!$B$370="",4キー同時!$G$370="",4キー同時!$L$370=""),"",IF(4キー同時!P374="","",SUBSTITUTE(SUBSTITUTE(4キー同時!P374," ",""),"　","")))</f>
        <v/>
      </c>
      <c r="H4377" s="2" t="str">
        <f aca="false">IF($G4377="","",4キー同時!$B$370)</f>
        <v/>
      </c>
      <c r="I4377" s="2" t="str">
        <f aca="false">IF($G4377="","",4キー同時!$G$370)</f>
        <v/>
      </c>
      <c r="J4377" s="2" t="str">
        <f aca="false">IF($G4377="","",4キー同時!$L$370)</f>
        <v/>
      </c>
      <c r="K4377" s="2" t="str">
        <f aca="false">IF($G4377="","","e")</f>
        <v/>
      </c>
      <c r="L4377" s="2" t="str">
        <f aca="false">IF($G4377="","","同時")</f>
        <v/>
      </c>
      <c r="M4377" s="2" t="str">
        <f aca="false">IF($G4377="","",IF(ISNA(MATCH($G4377,個別指定!$A:$A,0)),"行なし",""))</f>
        <v/>
      </c>
      <c r="N4377" s="2" t="str">
        <f aca="false">IF($G4377="","",IF(COUNTIF($G$2:$G$4460,$G4377)&gt;1,"重複",""))</f>
        <v/>
      </c>
    </row>
    <row r="4378" customFormat="false" ht="16.5" hidden="false" customHeight="true" outlineLevel="0" collapsed="false">
      <c r="A4378" s="2" t="s">
        <v>447</v>
      </c>
      <c r="B4378" s="2" t="s">
        <v>476</v>
      </c>
      <c r="C4378" s="2" t="s">
        <v>15</v>
      </c>
      <c r="D4378" s="2" t="str">
        <f aca="false">IF(4キー同時!$B$370="","",4キー同時!$B$370)</f>
        <v/>
      </c>
      <c r="E4378" s="2" t="str">
        <f aca="false">IF(4キー同時!$G$370="","",4キー同時!$G$370)</f>
        <v/>
      </c>
      <c r="F4378" s="2" t="str">
        <f aca="false">IF(4キー同時!$L$370="","",4キー同時!$L$370)</f>
        <v/>
      </c>
      <c r="G4378" s="2" t="str">
        <f aca="false">IF(OR(4キー同時!$B$370="",4キー同時!$G$370="",4キー同時!$L$370=""),"",IF(4キー同時!T374="","",SUBSTITUTE(SUBSTITUTE(4キー同時!T374," ",""),"　","")))</f>
        <v/>
      </c>
      <c r="H4378" s="2" t="str">
        <f aca="false">IF($G4378="","",4キー同時!$B$370)</f>
        <v/>
      </c>
      <c r="I4378" s="2" t="str">
        <f aca="false">IF($G4378="","",4キー同時!$G$370)</f>
        <v/>
      </c>
      <c r="J4378" s="2" t="str">
        <f aca="false">IF($G4378="","",4キー同時!$L$370)</f>
        <v/>
      </c>
      <c r="K4378" s="2" t="str">
        <f aca="false">IF($G4378="","","r")</f>
        <v/>
      </c>
      <c r="L4378" s="2" t="str">
        <f aca="false">IF($G4378="","","同時")</f>
        <v/>
      </c>
      <c r="M4378" s="2" t="str">
        <f aca="false">IF($G4378="","",IF(ISNA(MATCH($G4378,個別指定!$A:$A,0)),"行なし",""))</f>
        <v/>
      </c>
      <c r="N4378" s="2" t="str">
        <f aca="false">IF($G4378="","",IF(COUNTIF($G$2:$G$4460,$G4378)&gt;1,"重複",""))</f>
        <v/>
      </c>
    </row>
    <row r="4379" customFormat="false" ht="16.5" hidden="false" customHeight="true" outlineLevel="0" collapsed="false">
      <c r="A4379" s="2" t="s">
        <v>447</v>
      </c>
      <c r="B4379" s="2" t="s">
        <v>476</v>
      </c>
      <c r="C4379" s="2" t="s">
        <v>16</v>
      </c>
      <c r="D4379" s="2" t="str">
        <f aca="false">IF(4キー同時!$B$370="","",4キー同時!$B$370)</f>
        <v/>
      </c>
      <c r="E4379" s="2" t="str">
        <f aca="false">IF(4キー同時!$G$370="","",4キー同時!$G$370)</f>
        <v/>
      </c>
      <c r="F4379" s="2" t="str">
        <f aca="false">IF(4キー同時!$L$370="","",4キー同時!$L$370)</f>
        <v/>
      </c>
      <c r="G4379" s="2" t="str">
        <f aca="false">IF(OR(4キー同時!$B$370="",4キー同時!$G$370="",4キー同時!$L$370=""),"",IF(4キー同時!X374="","",SUBSTITUTE(SUBSTITUTE(4キー同時!X374," ",""),"　","")))</f>
        <v/>
      </c>
      <c r="H4379" s="2" t="str">
        <f aca="false">IF($G4379="","",4キー同時!$B$370)</f>
        <v/>
      </c>
      <c r="I4379" s="2" t="str">
        <f aca="false">IF($G4379="","",4キー同時!$G$370)</f>
        <v/>
      </c>
      <c r="J4379" s="2" t="str">
        <f aca="false">IF($G4379="","",4キー同時!$L$370)</f>
        <v/>
      </c>
      <c r="K4379" s="2" t="str">
        <f aca="false">IF($G4379="","","t")</f>
        <v/>
      </c>
      <c r="L4379" s="2" t="str">
        <f aca="false">IF($G4379="","","同時")</f>
        <v/>
      </c>
      <c r="M4379" s="2" t="str">
        <f aca="false">IF($G4379="","",IF(ISNA(MATCH($G4379,個別指定!$A:$A,0)),"行なし",""))</f>
        <v/>
      </c>
      <c r="N4379" s="2" t="str">
        <f aca="false">IF($G4379="","",IF(COUNTIF($G$2:$G$4460,$G4379)&gt;1,"重複",""))</f>
        <v/>
      </c>
    </row>
    <row r="4380" customFormat="false" ht="16.5" hidden="false" customHeight="true" outlineLevel="0" collapsed="false">
      <c r="A4380" s="2" t="s">
        <v>447</v>
      </c>
      <c r="B4380" s="2" t="s">
        <v>476</v>
      </c>
      <c r="C4380" s="2" t="s">
        <v>17</v>
      </c>
      <c r="D4380" s="2" t="str">
        <f aca="false">IF(4キー同時!$B$370="","",4キー同時!$B$370)</f>
        <v/>
      </c>
      <c r="E4380" s="2" t="str">
        <f aca="false">IF(4キー同時!$G$370="","",4キー同時!$G$370)</f>
        <v/>
      </c>
      <c r="F4380" s="2" t="str">
        <f aca="false">IF(4キー同時!$L$370="","",4キー同時!$L$370)</f>
        <v/>
      </c>
      <c r="G4380" s="2" t="str">
        <f aca="false">IF(OR(4キー同時!$B$370="",4キー同時!$G$370="",4キー同時!$L$370=""),"",IF(4キー同時!AB374="","",SUBSTITUTE(SUBSTITUTE(4キー同時!AB374," ",""),"　","")))</f>
        <v/>
      </c>
      <c r="H4380" s="2" t="str">
        <f aca="false">IF($G4380="","",4キー同時!$B$370)</f>
        <v/>
      </c>
      <c r="I4380" s="2" t="str">
        <f aca="false">IF($G4380="","",4キー同時!$G$370)</f>
        <v/>
      </c>
      <c r="J4380" s="2" t="str">
        <f aca="false">IF($G4380="","",4キー同時!$L$370)</f>
        <v/>
      </c>
      <c r="K4380" s="2" t="str">
        <f aca="false">IF($G4380="","","y")</f>
        <v/>
      </c>
      <c r="L4380" s="2" t="str">
        <f aca="false">IF($G4380="","","同時")</f>
        <v/>
      </c>
      <c r="M4380" s="2" t="str">
        <f aca="false">IF($G4380="","",IF(ISNA(MATCH($G4380,個別指定!$A:$A,0)),"行なし",""))</f>
        <v/>
      </c>
      <c r="N4380" s="2" t="str">
        <f aca="false">IF($G4380="","",IF(COUNTIF($G$2:$G$4460,$G4380)&gt;1,"重複",""))</f>
        <v/>
      </c>
    </row>
    <row r="4381" customFormat="false" ht="16.5" hidden="false" customHeight="true" outlineLevel="0" collapsed="false">
      <c r="A4381" s="2" t="s">
        <v>447</v>
      </c>
      <c r="B4381" s="2" t="s">
        <v>476</v>
      </c>
      <c r="C4381" s="2" t="s">
        <v>18</v>
      </c>
      <c r="D4381" s="2" t="str">
        <f aca="false">IF(4キー同時!$B$370="","",4キー同時!$B$370)</f>
        <v/>
      </c>
      <c r="E4381" s="2" t="str">
        <f aca="false">IF(4キー同時!$G$370="","",4キー同時!$G$370)</f>
        <v/>
      </c>
      <c r="F4381" s="2" t="str">
        <f aca="false">IF(4キー同時!$L$370="","",4キー同時!$L$370)</f>
        <v/>
      </c>
      <c r="G4381" s="2" t="str">
        <f aca="false">IF(OR(4キー同時!$B$370="",4キー同時!$G$370="",4キー同時!$L$370=""),"",IF(4キー同時!AF374="","",SUBSTITUTE(SUBSTITUTE(4キー同時!AF374," ",""),"　","")))</f>
        <v/>
      </c>
      <c r="H4381" s="2" t="str">
        <f aca="false">IF($G4381="","",4キー同時!$B$370)</f>
        <v/>
      </c>
      <c r="I4381" s="2" t="str">
        <f aca="false">IF($G4381="","",4キー同時!$G$370)</f>
        <v/>
      </c>
      <c r="J4381" s="2" t="str">
        <f aca="false">IF($G4381="","",4キー同時!$L$370)</f>
        <v/>
      </c>
      <c r="K4381" s="2" t="str">
        <f aca="false">IF($G4381="","","u")</f>
        <v/>
      </c>
      <c r="L4381" s="2" t="str">
        <f aca="false">IF($G4381="","","同時")</f>
        <v/>
      </c>
      <c r="M4381" s="2" t="str">
        <f aca="false">IF($G4381="","",IF(ISNA(MATCH($G4381,個別指定!$A:$A,0)),"行なし",""))</f>
        <v/>
      </c>
      <c r="N4381" s="2" t="str">
        <f aca="false">IF($G4381="","",IF(COUNTIF($G$2:$G$4460,$G4381)&gt;1,"重複",""))</f>
        <v/>
      </c>
    </row>
    <row r="4382" customFormat="false" ht="16.5" hidden="false" customHeight="true" outlineLevel="0" collapsed="false">
      <c r="A4382" s="2" t="s">
        <v>447</v>
      </c>
      <c r="B4382" s="2" t="s">
        <v>476</v>
      </c>
      <c r="C4382" s="2" t="s">
        <v>19</v>
      </c>
      <c r="D4382" s="2" t="str">
        <f aca="false">IF(4キー同時!$B$370="","",4キー同時!$B$370)</f>
        <v/>
      </c>
      <c r="E4382" s="2" t="str">
        <f aca="false">IF(4キー同時!$G$370="","",4キー同時!$G$370)</f>
        <v/>
      </c>
      <c r="F4382" s="2" t="str">
        <f aca="false">IF(4キー同時!$L$370="","",4キー同時!$L$370)</f>
        <v/>
      </c>
      <c r="G4382" s="2" t="str">
        <f aca="false">IF(OR(4キー同時!$B$370="",4キー同時!$G$370="",4キー同時!$L$370=""),"",IF(4キー同時!AJ374="","",SUBSTITUTE(SUBSTITUTE(4キー同時!AJ374," ",""),"　","")))</f>
        <v/>
      </c>
      <c r="H4382" s="2" t="str">
        <f aca="false">IF($G4382="","",4キー同時!$B$370)</f>
        <v/>
      </c>
      <c r="I4382" s="2" t="str">
        <f aca="false">IF($G4382="","",4キー同時!$G$370)</f>
        <v/>
      </c>
      <c r="J4382" s="2" t="str">
        <f aca="false">IF($G4382="","",4キー同時!$L$370)</f>
        <v/>
      </c>
      <c r="K4382" s="2" t="str">
        <f aca="false">IF($G4382="","","i")</f>
        <v/>
      </c>
      <c r="L4382" s="2" t="str">
        <f aca="false">IF($G4382="","","同時")</f>
        <v/>
      </c>
      <c r="M4382" s="2" t="str">
        <f aca="false">IF($G4382="","",IF(ISNA(MATCH($G4382,個別指定!$A:$A,0)),"行なし",""))</f>
        <v/>
      </c>
      <c r="N4382" s="2" t="str">
        <f aca="false">IF($G4382="","",IF(COUNTIF($G$2:$G$4460,$G4382)&gt;1,"重複",""))</f>
        <v/>
      </c>
    </row>
    <row r="4383" customFormat="false" ht="16.5" hidden="false" customHeight="true" outlineLevel="0" collapsed="false">
      <c r="A4383" s="2" t="s">
        <v>447</v>
      </c>
      <c r="B4383" s="2" t="s">
        <v>476</v>
      </c>
      <c r="C4383" s="2" t="s">
        <v>20</v>
      </c>
      <c r="D4383" s="2" t="str">
        <f aca="false">IF(4キー同時!$B$370="","",4キー同時!$B$370)</f>
        <v/>
      </c>
      <c r="E4383" s="2" t="str">
        <f aca="false">IF(4キー同時!$G$370="","",4キー同時!$G$370)</f>
        <v/>
      </c>
      <c r="F4383" s="2" t="str">
        <f aca="false">IF(4キー同時!$L$370="","",4キー同時!$L$370)</f>
        <v/>
      </c>
      <c r="G4383" s="2" t="str">
        <f aca="false">IF(OR(4キー同時!$B$370="",4キー同時!$G$370="",4キー同時!$L$370=""),"",IF(4キー同時!AN374="","",SUBSTITUTE(SUBSTITUTE(4キー同時!AN374," ",""),"　","")))</f>
        <v/>
      </c>
      <c r="H4383" s="2" t="str">
        <f aca="false">IF($G4383="","",4キー同時!$B$370)</f>
        <v/>
      </c>
      <c r="I4383" s="2" t="str">
        <f aca="false">IF($G4383="","",4キー同時!$G$370)</f>
        <v/>
      </c>
      <c r="J4383" s="2" t="str">
        <f aca="false">IF($G4383="","",4キー同時!$L$370)</f>
        <v/>
      </c>
      <c r="K4383" s="2" t="str">
        <f aca="false">IF($G4383="","","o")</f>
        <v/>
      </c>
      <c r="L4383" s="2" t="str">
        <f aca="false">IF($G4383="","","同時")</f>
        <v/>
      </c>
      <c r="M4383" s="2" t="str">
        <f aca="false">IF($G4383="","",IF(ISNA(MATCH($G4383,個別指定!$A:$A,0)),"行なし",""))</f>
        <v/>
      </c>
      <c r="N4383" s="2" t="str">
        <f aca="false">IF($G4383="","",IF(COUNTIF($G$2:$G$4460,$G4383)&gt;1,"重複",""))</f>
        <v/>
      </c>
    </row>
    <row r="4384" customFormat="false" ht="16.5" hidden="false" customHeight="true" outlineLevel="0" collapsed="false">
      <c r="A4384" s="2" t="s">
        <v>447</v>
      </c>
      <c r="B4384" s="2" t="s">
        <v>476</v>
      </c>
      <c r="C4384" s="2" t="s">
        <v>21</v>
      </c>
      <c r="D4384" s="2" t="str">
        <f aca="false">IF(4キー同時!$B$370="","",4キー同時!$B$370)</f>
        <v/>
      </c>
      <c r="E4384" s="2" t="str">
        <f aca="false">IF(4キー同時!$G$370="","",4キー同時!$G$370)</f>
        <v/>
      </c>
      <c r="F4384" s="2" t="str">
        <f aca="false">IF(4キー同時!$L$370="","",4キー同時!$L$370)</f>
        <v/>
      </c>
      <c r="G4384" s="2" t="str">
        <f aca="false">IF(OR(4キー同時!$B$370="",4キー同時!$G$370="",4キー同時!$L$370=""),"",IF(4キー同時!AR374="","",SUBSTITUTE(SUBSTITUTE(4キー同時!AR374," ",""),"　","")))</f>
        <v/>
      </c>
      <c r="H4384" s="2" t="str">
        <f aca="false">IF($G4384="","",4キー同時!$B$370)</f>
        <v/>
      </c>
      <c r="I4384" s="2" t="str">
        <f aca="false">IF($G4384="","",4キー同時!$G$370)</f>
        <v/>
      </c>
      <c r="J4384" s="2" t="str">
        <f aca="false">IF($G4384="","",4キー同時!$L$370)</f>
        <v/>
      </c>
      <c r="K4384" s="2" t="str">
        <f aca="false">IF($G4384="","","p")</f>
        <v/>
      </c>
      <c r="L4384" s="2" t="str">
        <f aca="false">IF($G4384="","","同時")</f>
        <v/>
      </c>
      <c r="M4384" s="2" t="str">
        <f aca="false">IF($G4384="","",IF(ISNA(MATCH($G4384,個別指定!$A:$A,0)),"行なし",""))</f>
        <v/>
      </c>
      <c r="N4384" s="2" t="str">
        <f aca="false">IF($G4384="","",IF(COUNTIF($G$2:$G$4460,$G4384)&gt;1,"重複",""))</f>
        <v/>
      </c>
    </row>
    <row r="4385" customFormat="false" ht="16.5" hidden="false" customHeight="true" outlineLevel="0" collapsed="false">
      <c r="A4385" s="2" t="s">
        <v>447</v>
      </c>
      <c r="B4385" s="2" t="s">
        <v>476</v>
      </c>
      <c r="C4385" s="2" t="s">
        <v>22</v>
      </c>
      <c r="D4385" s="2" t="str">
        <f aca="false">IF(4キー同時!$B$370="","",4キー同時!$B$370)</f>
        <v/>
      </c>
      <c r="E4385" s="2" t="str">
        <f aca="false">IF(4キー同時!$G$370="","",4キー同時!$G$370)</f>
        <v/>
      </c>
      <c r="F4385" s="2" t="str">
        <f aca="false">IF(4キー同時!$L$370="","",4キー同時!$L$370)</f>
        <v/>
      </c>
      <c r="G4385" s="2" t="str">
        <f aca="false">IF(OR(4キー同時!$B$370="",4キー同時!$G$370="",4キー同時!$L$370=""),"",IF(4キー同時!AV374="","",SUBSTITUTE(SUBSTITUTE(4キー同時!AV374," ",""),"　","")))</f>
        <v/>
      </c>
      <c r="H4385" s="2" t="str">
        <f aca="false">IF($G4385="","",4キー同時!$B$370)</f>
        <v/>
      </c>
      <c r="I4385" s="2" t="str">
        <f aca="false">IF($G4385="","",4キー同時!$G$370)</f>
        <v/>
      </c>
      <c r="J4385" s="2" t="str">
        <f aca="false">IF($G4385="","",4キー同時!$L$370)</f>
        <v/>
      </c>
      <c r="K4385" s="2" t="str">
        <f aca="false">IF($G4385="","","[")</f>
        <v/>
      </c>
      <c r="L4385" s="2" t="str">
        <f aca="false">IF($G4385="","","同時")</f>
        <v/>
      </c>
      <c r="M4385" s="2" t="str">
        <f aca="false">IF($G4385="","",IF(ISNA(MATCH($G4385,個別指定!$A:$A,0)),"行なし",""))</f>
        <v/>
      </c>
      <c r="N4385" s="2" t="str">
        <f aca="false">IF($G4385="","",IF(COUNTIF($G$2:$G$4460,$G4385)&gt;1,"重複",""))</f>
        <v/>
      </c>
    </row>
    <row r="4386" customFormat="false" ht="16.5" hidden="false" customHeight="true" outlineLevel="0" collapsed="false">
      <c r="A4386" s="2" t="s">
        <v>447</v>
      </c>
      <c r="B4386" s="2" t="s">
        <v>476</v>
      </c>
      <c r="C4386" s="2" t="s">
        <v>23</v>
      </c>
      <c r="D4386" s="2" t="str">
        <f aca="false">IF(4キー同時!$B$370="","",4キー同時!$B$370)</f>
        <v/>
      </c>
      <c r="E4386" s="2" t="str">
        <f aca="false">IF(4キー同時!$G$370="","",4キー同時!$G$370)</f>
        <v/>
      </c>
      <c r="F4386" s="2" t="str">
        <f aca="false">IF(4キー同時!$L$370="","",4キー同時!$L$370)</f>
        <v/>
      </c>
      <c r="G4386" s="2" t="str">
        <f aca="false">IF(OR(4キー同時!$B$370="",4キー同時!$G$370="",4キー同時!$L$370=""),"",IF(4キー同時!AZ374="","",SUBSTITUTE(SUBSTITUTE(4キー同時!AZ374," ",""),"　","")))</f>
        <v/>
      </c>
      <c r="H4386" s="2" t="str">
        <f aca="false">IF($G4386="","",4キー同時!$B$370)</f>
        <v/>
      </c>
      <c r="I4386" s="2" t="str">
        <f aca="false">IF($G4386="","",4キー同時!$G$370)</f>
        <v/>
      </c>
      <c r="J4386" s="2" t="str">
        <f aca="false">IF($G4386="","",4キー同時!$L$370)</f>
        <v/>
      </c>
      <c r="K4386" s="2" t="str">
        <f aca="false">IF($G4386="","","]")</f>
        <v/>
      </c>
      <c r="L4386" s="2" t="str">
        <f aca="false">IF($G4386="","","同時")</f>
        <v/>
      </c>
      <c r="M4386" s="2" t="str">
        <f aca="false">IF($G4386="","",IF(ISNA(MATCH($G4386,個別指定!$A:$A,0)),"行なし",""))</f>
        <v/>
      </c>
      <c r="N4386" s="2" t="str">
        <f aca="false">IF($G4386="","",IF(COUNTIF($G$2:$G$4460,$G4386)&gt;1,"重複",""))</f>
        <v/>
      </c>
    </row>
    <row r="4387" customFormat="false" ht="16.5" hidden="false" customHeight="true" outlineLevel="0" collapsed="false">
      <c r="A4387" s="2" t="s">
        <v>447</v>
      </c>
      <c r="B4387" s="2" t="s">
        <v>476</v>
      </c>
      <c r="C4387" s="2" t="s">
        <v>24</v>
      </c>
      <c r="D4387" s="2" t="str">
        <f aca="false">IF(4キー同時!$B$370="","",4キー同時!$B$370)</f>
        <v/>
      </c>
      <c r="E4387" s="2" t="str">
        <f aca="false">IF(4キー同時!$G$370="","",4キー同時!$G$370)</f>
        <v/>
      </c>
      <c r="F4387" s="2" t="str">
        <f aca="false">IF(4キー同時!$L$370="","",4キー同時!$L$370)</f>
        <v/>
      </c>
      <c r="G4387" s="2" t="str">
        <f aca="false">IF(OR(4キー同時!$B$370="",4キー同時!$G$370="",4キー同時!$L$370=""),"",IF(4キー同時!I376="","",SUBSTITUTE(SUBSTITUTE(4キー同時!I376," ",""),"　","")))</f>
        <v/>
      </c>
      <c r="H4387" s="2" t="str">
        <f aca="false">IF($G4387="","",4キー同時!$B$370)</f>
        <v/>
      </c>
      <c r="I4387" s="2" t="str">
        <f aca="false">IF($G4387="","",4キー同時!$G$370)</f>
        <v/>
      </c>
      <c r="J4387" s="2" t="str">
        <f aca="false">IF($G4387="","",4キー同時!$L$370)</f>
        <v/>
      </c>
      <c r="K4387" s="2" t="str">
        <f aca="false">IF($G4387="","","a")</f>
        <v/>
      </c>
      <c r="L4387" s="2" t="str">
        <f aca="false">IF($G4387="","","同時")</f>
        <v/>
      </c>
      <c r="M4387" s="2" t="str">
        <f aca="false">IF($G4387="","",IF(ISNA(MATCH($G4387,個別指定!$A:$A,0)),"行なし",""))</f>
        <v/>
      </c>
      <c r="N4387" s="2" t="str">
        <f aca="false">IF($G4387="","",IF(COUNTIF($G$2:$G$4460,$G4387)&gt;1,"重複",""))</f>
        <v/>
      </c>
    </row>
    <row r="4388" customFormat="false" ht="16.5" hidden="false" customHeight="true" outlineLevel="0" collapsed="false">
      <c r="A4388" s="2" t="s">
        <v>447</v>
      </c>
      <c r="B4388" s="2" t="s">
        <v>476</v>
      </c>
      <c r="C4388" s="2" t="s">
        <v>25</v>
      </c>
      <c r="D4388" s="2" t="str">
        <f aca="false">IF(4キー同時!$B$370="","",4キー同時!$B$370)</f>
        <v/>
      </c>
      <c r="E4388" s="2" t="str">
        <f aca="false">IF(4キー同時!$G$370="","",4キー同時!$G$370)</f>
        <v/>
      </c>
      <c r="F4388" s="2" t="str">
        <f aca="false">IF(4キー同時!$L$370="","",4キー同時!$L$370)</f>
        <v/>
      </c>
      <c r="G4388" s="2" t="str">
        <f aca="false">IF(OR(4キー同時!$B$370="",4キー同時!$G$370="",4キー同時!$L$370=""),"",IF(4キー同時!M376="","",SUBSTITUTE(SUBSTITUTE(4キー同時!M376," ",""),"　","")))</f>
        <v/>
      </c>
      <c r="H4388" s="2" t="str">
        <f aca="false">IF($G4388="","",4キー同時!$B$370)</f>
        <v/>
      </c>
      <c r="I4388" s="2" t="str">
        <f aca="false">IF($G4388="","",4キー同時!$G$370)</f>
        <v/>
      </c>
      <c r="J4388" s="2" t="str">
        <f aca="false">IF($G4388="","",4キー同時!$L$370)</f>
        <v/>
      </c>
      <c r="K4388" s="2" t="str">
        <f aca="false">IF($G4388="","","s")</f>
        <v/>
      </c>
      <c r="L4388" s="2" t="str">
        <f aca="false">IF($G4388="","","同時")</f>
        <v/>
      </c>
      <c r="M4388" s="2" t="str">
        <f aca="false">IF($G4388="","",IF(ISNA(MATCH($G4388,個別指定!$A:$A,0)),"行なし",""))</f>
        <v/>
      </c>
      <c r="N4388" s="2" t="str">
        <f aca="false">IF($G4388="","",IF(COUNTIF($G$2:$G$4460,$G4388)&gt;1,"重複",""))</f>
        <v/>
      </c>
    </row>
    <row r="4389" customFormat="false" ht="16.5" hidden="false" customHeight="true" outlineLevel="0" collapsed="false">
      <c r="A4389" s="2" t="s">
        <v>447</v>
      </c>
      <c r="B4389" s="2" t="s">
        <v>476</v>
      </c>
      <c r="C4389" s="2" t="s">
        <v>26</v>
      </c>
      <c r="D4389" s="2" t="str">
        <f aca="false">IF(4キー同時!$B$370="","",4キー同時!$B$370)</f>
        <v/>
      </c>
      <c r="E4389" s="2" t="str">
        <f aca="false">IF(4キー同時!$G$370="","",4キー同時!$G$370)</f>
        <v/>
      </c>
      <c r="F4389" s="2" t="str">
        <f aca="false">IF(4キー同時!$L$370="","",4キー同時!$L$370)</f>
        <v/>
      </c>
      <c r="G4389" s="2" t="str">
        <f aca="false">IF(OR(4キー同時!$B$370="",4キー同時!$G$370="",4キー同時!$L$370=""),"",IF(4キー同時!Q376="","",SUBSTITUTE(SUBSTITUTE(4キー同時!Q376," ",""),"　","")))</f>
        <v/>
      </c>
      <c r="H4389" s="2" t="str">
        <f aca="false">IF($G4389="","",4キー同時!$B$370)</f>
        <v/>
      </c>
      <c r="I4389" s="2" t="str">
        <f aca="false">IF($G4389="","",4キー同時!$G$370)</f>
        <v/>
      </c>
      <c r="J4389" s="2" t="str">
        <f aca="false">IF($G4389="","",4キー同時!$L$370)</f>
        <v/>
      </c>
      <c r="K4389" s="2" t="str">
        <f aca="false">IF($G4389="","","d")</f>
        <v/>
      </c>
      <c r="L4389" s="2" t="str">
        <f aca="false">IF($G4389="","","同時")</f>
        <v/>
      </c>
      <c r="M4389" s="2" t="str">
        <f aca="false">IF($G4389="","",IF(ISNA(MATCH($G4389,個別指定!$A:$A,0)),"行なし",""))</f>
        <v/>
      </c>
      <c r="N4389" s="2" t="str">
        <f aca="false">IF($G4389="","",IF(COUNTIF($G$2:$G$4460,$G4389)&gt;1,"重複",""))</f>
        <v/>
      </c>
    </row>
    <row r="4390" customFormat="false" ht="16.5" hidden="false" customHeight="true" outlineLevel="0" collapsed="false">
      <c r="A4390" s="2" t="s">
        <v>447</v>
      </c>
      <c r="B4390" s="2" t="s">
        <v>476</v>
      </c>
      <c r="C4390" s="2" t="s">
        <v>27</v>
      </c>
      <c r="D4390" s="2" t="str">
        <f aca="false">IF(4キー同時!$B$370="","",4キー同時!$B$370)</f>
        <v/>
      </c>
      <c r="E4390" s="2" t="str">
        <f aca="false">IF(4キー同時!$G$370="","",4キー同時!$G$370)</f>
        <v/>
      </c>
      <c r="F4390" s="2" t="str">
        <f aca="false">IF(4キー同時!$L$370="","",4キー同時!$L$370)</f>
        <v/>
      </c>
      <c r="G4390" s="2" t="str">
        <f aca="false">IF(OR(4キー同時!$B$370="",4キー同時!$G$370="",4キー同時!$L$370=""),"",IF(4キー同時!U376="","",SUBSTITUTE(SUBSTITUTE(4キー同時!U376," ",""),"　","")))</f>
        <v/>
      </c>
      <c r="H4390" s="2" t="str">
        <f aca="false">IF($G4390="","",4キー同時!$B$370)</f>
        <v/>
      </c>
      <c r="I4390" s="2" t="str">
        <f aca="false">IF($G4390="","",4キー同時!$G$370)</f>
        <v/>
      </c>
      <c r="J4390" s="2" t="str">
        <f aca="false">IF($G4390="","",4キー同時!$L$370)</f>
        <v/>
      </c>
      <c r="K4390" s="2" t="str">
        <f aca="false">IF($G4390="","","f")</f>
        <v/>
      </c>
      <c r="L4390" s="2" t="str">
        <f aca="false">IF($G4390="","","同時")</f>
        <v/>
      </c>
      <c r="M4390" s="2" t="str">
        <f aca="false">IF($G4390="","",IF(ISNA(MATCH($G4390,個別指定!$A:$A,0)),"行なし",""))</f>
        <v/>
      </c>
      <c r="N4390" s="2" t="str">
        <f aca="false">IF($G4390="","",IF(COUNTIF($G$2:$G$4460,$G4390)&gt;1,"重複",""))</f>
        <v/>
      </c>
    </row>
    <row r="4391" customFormat="false" ht="16.5" hidden="false" customHeight="true" outlineLevel="0" collapsed="false">
      <c r="A4391" s="2" t="s">
        <v>447</v>
      </c>
      <c r="B4391" s="2" t="s">
        <v>476</v>
      </c>
      <c r="C4391" s="2" t="s">
        <v>28</v>
      </c>
      <c r="D4391" s="2" t="str">
        <f aca="false">IF(4キー同時!$B$370="","",4キー同時!$B$370)</f>
        <v/>
      </c>
      <c r="E4391" s="2" t="str">
        <f aca="false">IF(4キー同時!$G$370="","",4キー同時!$G$370)</f>
        <v/>
      </c>
      <c r="F4391" s="2" t="str">
        <f aca="false">IF(4キー同時!$L$370="","",4キー同時!$L$370)</f>
        <v/>
      </c>
      <c r="G4391" s="2" t="str">
        <f aca="false">IF(OR(4キー同時!$B$370="",4キー同時!$G$370="",4キー同時!$L$370=""),"",IF(4キー同時!Y376="","",SUBSTITUTE(SUBSTITUTE(4キー同時!Y376," ",""),"　","")))</f>
        <v/>
      </c>
      <c r="H4391" s="2" t="str">
        <f aca="false">IF($G4391="","",4キー同時!$B$370)</f>
        <v/>
      </c>
      <c r="I4391" s="2" t="str">
        <f aca="false">IF($G4391="","",4キー同時!$G$370)</f>
        <v/>
      </c>
      <c r="J4391" s="2" t="str">
        <f aca="false">IF($G4391="","",4キー同時!$L$370)</f>
        <v/>
      </c>
      <c r="K4391" s="2" t="str">
        <f aca="false">IF($G4391="","","g")</f>
        <v/>
      </c>
      <c r="L4391" s="2" t="str">
        <f aca="false">IF($G4391="","","同時")</f>
        <v/>
      </c>
      <c r="M4391" s="2" t="str">
        <f aca="false">IF($G4391="","",IF(ISNA(MATCH($G4391,個別指定!$A:$A,0)),"行なし",""))</f>
        <v/>
      </c>
      <c r="N4391" s="2" t="str">
        <f aca="false">IF($G4391="","",IF(COUNTIF($G$2:$G$4460,$G4391)&gt;1,"重複",""))</f>
        <v/>
      </c>
    </row>
    <row r="4392" customFormat="false" ht="16.5" hidden="false" customHeight="true" outlineLevel="0" collapsed="false">
      <c r="A4392" s="2" t="s">
        <v>447</v>
      </c>
      <c r="B4392" s="2" t="s">
        <v>476</v>
      </c>
      <c r="C4392" s="2" t="s">
        <v>29</v>
      </c>
      <c r="D4392" s="2" t="str">
        <f aca="false">IF(4キー同時!$B$370="","",4キー同時!$B$370)</f>
        <v/>
      </c>
      <c r="E4392" s="2" t="str">
        <f aca="false">IF(4キー同時!$G$370="","",4キー同時!$G$370)</f>
        <v/>
      </c>
      <c r="F4392" s="2" t="str">
        <f aca="false">IF(4キー同時!$L$370="","",4キー同時!$L$370)</f>
        <v/>
      </c>
      <c r="G4392" s="2" t="str">
        <f aca="false">IF(OR(4キー同時!$B$370="",4キー同時!$G$370="",4キー同時!$L$370=""),"",IF(4キー同時!AC376="","",SUBSTITUTE(SUBSTITUTE(4キー同時!AC376," ",""),"　","")))</f>
        <v/>
      </c>
      <c r="H4392" s="2" t="str">
        <f aca="false">IF($G4392="","",4キー同時!$B$370)</f>
        <v/>
      </c>
      <c r="I4392" s="2" t="str">
        <f aca="false">IF($G4392="","",4キー同時!$G$370)</f>
        <v/>
      </c>
      <c r="J4392" s="2" t="str">
        <f aca="false">IF($G4392="","",4キー同時!$L$370)</f>
        <v/>
      </c>
      <c r="K4392" s="2" t="str">
        <f aca="false">IF($G4392="","","h")</f>
        <v/>
      </c>
      <c r="L4392" s="2" t="str">
        <f aca="false">IF($G4392="","","同時")</f>
        <v/>
      </c>
      <c r="M4392" s="2" t="str">
        <f aca="false">IF($G4392="","",IF(ISNA(MATCH($G4392,個別指定!$A:$A,0)),"行なし",""))</f>
        <v/>
      </c>
      <c r="N4392" s="2" t="str">
        <f aca="false">IF($G4392="","",IF(COUNTIF($G$2:$G$4460,$G4392)&gt;1,"重複",""))</f>
        <v/>
      </c>
    </row>
    <row r="4393" customFormat="false" ht="16.5" hidden="false" customHeight="true" outlineLevel="0" collapsed="false">
      <c r="A4393" s="2" t="s">
        <v>447</v>
      </c>
      <c r="B4393" s="2" t="s">
        <v>476</v>
      </c>
      <c r="C4393" s="2" t="s">
        <v>30</v>
      </c>
      <c r="D4393" s="2" t="str">
        <f aca="false">IF(4キー同時!$B$370="","",4キー同時!$B$370)</f>
        <v/>
      </c>
      <c r="E4393" s="2" t="str">
        <f aca="false">IF(4キー同時!$G$370="","",4キー同時!$G$370)</f>
        <v/>
      </c>
      <c r="F4393" s="2" t="str">
        <f aca="false">IF(4キー同時!$L$370="","",4キー同時!$L$370)</f>
        <v/>
      </c>
      <c r="G4393" s="2" t="str">
        <f aca="false">IF(OR(4キー同時!$B$370="",4キー同時!$G$370="",4キー同時!$L$370=""),"",IF(4キー同時!AG376="","",SUBSTITUTE(SUBSTITUTE(4キー同時!AG376," ",""),"　","")))</f>
        <v/>
      </c>
      <c r="H4393" s="2" t="str">
        <f aca="false">IF($G4393="","",4キー同時!$B$370)</f>
        <v/>
      </c>
      <c r="I4393" s="2" t="str">
        <f aca="false">IF($G4393="","",4キー同時!$G$370)</f>
        <v/>
      </c>
      <c r="J4393" s="2" t="str">
        <f aca="false">IF($G4393="","",4キー同時!$L$370)</f>
        <v/>
      </c>
      <c r="K4393" s="2" t="str">
        <f aca="false">IF($G4393="","","j")</f>
        <v/>
      </c>
      <c r="L4393" s="2" t="str">
        <f aca="false">IF($G4393="","","同時")</f>
        <v/>
      </c>
      <c r="M4393" s="2" t="str">
        <f aca="false">IF($G4393="","",IF(ISNA(MATCH($G4393,個別指定!$A:$A,0)),"行なし",""))</f>
        <v/>
      </c>
      <c r="N4393" s="2" t="str">
        <f aca="false">IF($G4393="","",IF(COUNTIF($G$2:$G$4460,$G4393)&gt;1,"重複",""))</f>
        <v/>
      </c>
    </row>
    <row r="4394" customFormat="false" ht="16.5" hidden="false" customHeight="true" outlineLevel="0" collapsed="false">
      <c r="A4394" s="2" t="s">
        <v>447</v>
      </c>
      <c r="B4394" s="2" t="s">
        <v>476</v>
      </c>
      <c r="C4394" s="2" t="s">
        <v>31</v>
      </c>
      <c r="D4394" s="2" t="str">
        <f aca="false">IF(4キー同時!$B$370="","",4キー同時!$B$370)</f>
        <v/>
      </c>
      <c r="E4394" s="2" t="str">
        <f aca="false">IF(4キー同時!$G$370="","",4キー同時!$G$370)</f>
        <v/>
      </c>
      <c r="F4394" s="2" t="str">
        <f aca="false">IF(4キー同時!$L$370="","",4キー同時!$L$370)</f>
        <v/>
      </c>
      <c r="G4394" s="2" t="str">
        <f aca="false">IF(OR(4キー同時!$B$370="",4キー同時!$G$370="",4キー同時!$L$370=""),"",IF(4キー同時!AK376="","",SUBSTITUTE(SUBSTITUTE(4キー同時!AK376," ",""),"　","")))</f>
        <v/>
      </c>
      <c r="H4394" s="2" t="str">
        <f aca="false">IF($G4394="","",4キー同時!$B$370)</f>
        <v/>
      </c>
      <c r="I4394" s="2" t="str">
        <f aca="false">IF($G4394="","",4キー同時!$G$370)</f>
        <v/>
      </c>
      <c r="J4394" s="2" t="str">
        <f aca="false">IF($G4394="","",4キー同時!$L$370)</f>
        <v/>
      </c>
      <c r="K4394" s="2" t="str">
        <f aca="false">IF($G4394="","","k")</f>
        <v/>
      </c>
      <c r="L4394" s="2" t="str">
        <f aca="false">IF($G4394="","","同時")</f>
        <v/>
      </c>
      <c r="M4394" s="2" t="str">
        <f aca="false">IF($G4394="","",IF(ISNA(MATCH($G4394,個別指定!$A:$A,0)),"行なし",""))</f>
        <v/>
      </c>
      <c r="N4394" s="2" t="str">
        <f aca="false">IF($G4394="","",IF(COUNTIF($G$2:$G$4460,$G4394)&gt;1,"重複",""))</f>
        <v/>
      </c>
    </row>
    <row r="4395" customFormat="false" ht="16.5" hidden="false" customHeight="true" outlineLevel="0" collapsed="false">
      <c r="A4395" s="2" t="s">
        <v>447</v>
      </c>
      <c r="B4395" s="2" t="s">
        <v>476</v>
      </c>
      <c r="C4395" s="2" t="s">
        <v>32</v>
      </c>
      <c r="D4395" s="2" t="str">
        <f aca="false">IF(4キー同時!$B$370="","",4キー同時!$B$370)</f>
        <v/>
      </c>
      <c r="E4395" s="2" t="str">
        <f aca="false">IF(4キー同時!$G$370="","",4キー同時!$G$370)</f>
        <v/>
      </c>
      <c r="F4395" s="2" t="str">
        <f aca="false">IF(4キー同時!$L$370="","",4キー同時!$L$370)</f>
        <v/>
      </c>
      <c r="G4395" s="2" t="str">
        <f aca="false">IF(OR(4キー同時!$B$370="",4キー同時!$G$370="",4キー同時!$L$370=""),"",IF(4キー同時!AO376="","",SUBSTITUTE(SUBSTITUTE(4キー同時!AO376," ",""),"　","")))</f>
        <v/>
      </c>
      <c r="H4395" s="2" t="str">
        <f aca="false">IF($G4395="","",4キー同時!$B$370)</f>
        <v/>
      </c>
      <c r="I4395" s="2" t="str">
        <f aca="false">IF($G4395="","",4キー同時!$G$370)</f>
        <v/>
      </c>
      <c r="J4395" s="2" t="str">
        <f aca="false">IF($G4395="","",4キー同時!$L$370)</f>
        <v/>
      </c>
      <c r="K4395" s="2" t="str">
        <f aca="false">IF($G4395="","","l")</f>
        <v/>
      </c>
      <c r="L4395" s="2" t="str">
        <f aca="false">IF($G4395="","","同時")</f>
        <v/>
      </c>
      <c r="M4395" s="2" t="str">
        <f aca="false">IF($G4395="","",IF(ISNA(MATCH($G4395,個別指定!$A:$A,0)),"行なし",""))</f>
        <v/>
      </c>
      <c r="N4395" s="2" t="str">
        <f aca="false">IF($G4395="","",IF(COUNTIF($G$2:$G$4460,$G4395)&gt;1,"重複",""))</f>
        <v/>
      </c>
    </row>
    <row r="4396" customFormat="false" ht="16.5" hidden="false" customHeight="true" outlineLevel="0" collapsed="false">
      <c r="A4396" s="2" t="s">
        <v>447</v>
      </c>
      <c r="B4396" s="2" t="s">
        <v>476</v>
      </c>
      <c r="C4396" s="2" t="s">
        <v>33</v>
      </c>
      <c r="D4396" s="2" t="str">
        <f aca="false">IF(4キー同時!$B$370="","",4キー同時!$B$370)</f>
        <v/>
      </c>
      <c r="E4396" s="2" t="str">
        <f aca="false">IF(4キー同時!$G$370="","",4キー同時!$G$370)</f>
        <v/>
      </c>
      <c r="F4396" s="2" t="str">
        <f aca="false">IF(4キー同時!$L$370="","",4キー同時!$L$370)</f>
        <v/>
      </c>
      <c r="G4396" s="2" t="str">
        <f aca="false">IF(OR(4キー同時!$B$370="",4キー同時!$G$370="",4キー同時!$L$370=""),"",IF(4キー同時!AS376="","",SUBSTITUTE(SUBSTITUTE(4キー同時!AS376," ",""),"　","")))</f>
        <v/>
      </c>
      <c r="H4396" s="2" t="str">
        <f aca="false">IF($G4396="","",4キー同時!$B$370)</f>
        <v/>
      </c>
      <c r="I4396" s="2" t="str">
        <f aca="false">IF($G4396="","",4キー同時!$G$370)</f>
        <v/>
      </c>
      <c r="J4396" s="2" t="str">
        <f aca="false">IF($G4396="","",4キー同時!$L$370)</f>
        <v/>
      </c>
      <c r="K4396" s="2" t="str">
        <f aca="false">IF($G4396="","",";")</f>
        <v/>
      </c>
      <c r="L4396" s="2" t="str">
        <f aca="false">IF($G4396="","","同時")</f>
        <v/>
      </c>
      <c r="M4396" s="2" t="str">
        <f aca="false">IF($G4396="","",IF(ISNA(MATCH($G4396,個別指定!$A:$A,0)),"行なし",""))</f>
        <v/>
      </c>
      <c r="N4396" s="2" t="str">
        <f aca="false">IF($G4396="","",IF(COUNTIF($G$2:$G$4460,$G4396)&gt;1,"重複",""))</f>
        <v/>
      </c>
    </row>
    <row r="4397" customFormat="false" ht="16.5" hidden="false" customHeight="true" outlineLevel="0" collapsed="false">
      <c r="A4397" s="2" t="s">
        <v>447</v>
      </c>
      <c r="B4397" s="2" t="s">
        <v>476</v>
      </c>
      <c r="C4397" s="2" t="s">
        <v>34</v>
      </c>
      <c r="D4397" s="2" t="str">
        <f aca="false">IF(4キー同時!$B$370="","",4キー同時!$B$370)</f>
        <v/>
      </c>
      <c r="E4397" s="2" t="str">
        <f aca="false">IF(4キー同時!$G$370="","",4キー同時!$G$370)</f>
        <v/>
      </c>
      <c r="F4397" s="2" t="str">
        <f aca="false">IF(4キー同時!$L$370="","",4キー同時!$L$370)</f>
        <v/>
      </c>
      <c r="G4397" s="2" t="str">
        <f aca="false">IF(OR(4キー同時!$B$370="",4キー同時!$G$370="",4キー同時!$L$370=""),"",IF(4キー同時!AW376="","",SUBSTITUTE(SUBSTITUTE(4キー同時!AW376," ",""),"　","")))</f>
        <v/>
      </c>
      <c r="H4397" s="2" t="str">
        <f aca="false">IF($G4397="","",4キー同時!$B$370)</f>
        <v/>
      </c>
      <c r="I4397" s="2" t="str">
        <f aca="false">IF($G4397="","",4キー同時!$G$370)</f>
        <v/>
      </c>
      <c r="J4397" s="2" t="str">
        <f aca="false">IF($G4397="","",4キー同時!$L$370)</f>
        <v/>
      </c>
      <c r="K4397" s="2" t="str">
        <f aca="false">IF($G4397="","","'")</f>
        <v/>
      </c>
      <c r="L4397" s="2" t="str">
        <f aca="false">IF($G4397="","","同時")</f>
        <v/>
      </c>
      <c r="M4397" s="2" t="str">
        <f aca="false">IF($G4397="","",IF(ISNA(MATCH($G4397,個別指定!$A:$A,0)),"行なし",""))</f>
        <v/>
      </c>
      <c r="N4397" s="2" t="str">
        <f aca="false">IF($G4397="","",IF(COUNTIF($G$2:$G$4460,$G4397)&gt;1,"重複",""))</f>
        <v/>
      </c>
    </row>
    <row r="4398" customFormat="false" ht="16.5" hidden="false" customHeight="true" outlineLevel="0" collapsed="false">
      <c r="A4398" s="2" t="s">
        <v>447</v>
      </c>
      <c r="B4398" s="2" t="s">
        <v>476</v>
      </c>
      <c r="C4398" s="2" t="s">
        <v>35</v>
      </c>
      <c r="D4398" s="2" t="str">
        <f aca="false">IF(4キー同時!$B$370="","",4キー同時!$B$370)</f>
        <v/>
      </c>
      <c r="E4398" s="2" t="str">
        <f aca="false">IF(4キー同時!$G$370="","",4キー同時!$G$370)</f>
        <v/>
      </c>
      <c r="F4398" s="2" t="str">
        <f aca="false">IF(4キー同時!$L$370="","",4キー同時!$L$370)</f>
        <v/>
      </c>
      <c r="G4398" s="2" t="str">
        <f aca="false">IF(OR(4キー同時!$B$370="",4キー同時!$G$370="",4キー同時!$L$370=""),"",IF(4キー同時!K378="","",SUBSTITUTE(SUBSTITUTE(4キー同時!K378," ",""),"　","")))</f>
        <v/>
      </c>
      <c r="H4398" s="2" t="str">
        <f aca="false">IF($G4398="","",4キー同時!$B$370)</f>
        <v/>
      </c>
      <c r="I4398" s="2" t="str">
        <f aca="false">IF($G4398="","",4キー同時!$G$370)</f>
        <v/>
      </c>
      <c r="J4398" s="2" t="str">
        <f aca="false">IF($G4398="","",4キー同時!$L$370)</f>
        <v/>
      </c>
      <c r="K4398" s="2" t="str">
        <f aca="false">IF($G4398="","","z")</f>
        <v/>
      </c>
      <c r="L4398" s="2" t="str">
        <f aca="false">IF($G4398="","","同時")</f>
        <v/>
      </c>
      <c r="M4398" s="2" t="str">
        <f aca="false">IF($G4398="","",IF(ISNA(MATCH($G4398,個別指定!$A:$A,0)),"行なし",""))</f>
        <v/>
      </c>
      <c r="N4398" s="2" t="str">
        <f aca="false">IF($G4398="","",IF(COUNTIF($G$2:$G$4460,$G4398)&gt;1,"重複",""))</f>
        <v/>
      </c>
    </row>
    <row r="4399" customFormat="false" ht="16.5" hidden="false" customHeight="true" outlineLevel="0" collapsed="false">
      <c r="A4399" s="2" t="s">
        <v>447</v>
      </c>
      <c r="B4399" s="2" t="s">
        <v>476</v>
      </c>
      <c r="C4399" s="2" t="s">
        <v>36</v>
      </c>
      <c r="D4399" s="2" t="str">
        <f aca="false">IF(4キー同時!$B$370="","",4キー同時!$B$370)</f>
        <v/>
      </c>
      <c r="E4399" s="2" t="str">
        <f aca="false">IF(4キー同時!$G$370="","",4キー同時!$G$370)</f>
        <v/>
      </c>
      <c r="F4399" s="2" t="str">
        <f aca="false">IF(4キー同時!$L$370="","",4キー同時!$L$370)</f>
        <v/>
      </c>
      <c r="G4399" s="2" t="str">
        <f aca="false">IF(OR(4キー同時!$B$370="",4キー同時!$G$370="",4キー同時!$L$370=""),"",IF(4キー同時!O378="","",SUBSTITUTE(SUBSTITUTE(4キー同時!O378," ",""),"　","")))</f>
        <v/>
      </c>
      <c r="H4399" s="2" t="str">
        <f aca="false">IF($G4399="","",4キー同時!$B$370)</f>
        <v/>
      </c>
      <c r="I4399" s="2" t="str">
        <f aca="false">IF($G4399="","",4キー同時!$G$370)</f>
        <v/>
      </c>
      <c r="J4399" s="2" t="str">
        <f aca="false">IF($G4399="","",4キー同時!$L$370)</f>
        <v/>
      </c>
      <c r="K4399" s="2" t="str">
        <f aca="false">IF($G4399="","","x")</f>
        <v/>
      </c>
      <c r="L4399" s="2" t="str">
        <f aca="false">IF($G4399="","","同時")</f>
        <v/>
      </c>
      <c r="M4399" s="2" t="str">
        <f aca="false">IF($G4399="","",IF(ISNA(MATCH($G4399,個別指定!$A:$A,0)),"行なし",""))</f>
        <v/>
      </c>
      <c r="N4399" s="2" t="str">
        <f aca="false">IF($G4399="","",IF(COUNTIF($G$2:$G$4460,$G4399)&gt;1,"重複",""))</f>
        <v/>
      </c>
    </row>
    <row r="4400" customFormat="false" ht="16.5" hidden="false" customHeight="true" outlineLevel="0" collapsed="false">
      <c r="A4400" s="2" t="s">
        <v>447</v>
      </c>
      <c r="B4400" s="2" t="s">
        <v>476</v>
      </c>
      <c r="C4400" s="2" t="s">
        <v>37</v>
      </c>
      <c r="D4400" s="2" t="str">
        <f aca="false">IF(4キー同時!$B$370="","",4キー同時!$B$370)</f>
        <v/>
      </c>
      <c r="E4400" s="2" t="str">
        <f aca="false">IF(4キー同時!$G$370="","",4キー同時!$G$370)</f>
        <v/>
      </c>
      <c r="F4400" s="2" t="str">
        <f aca="false">IF(4キー同時!$L$370="","",4キー同時!$L$370)</f>
        <v/>
      </c>
      <c r="G4400" s="2" t="str">
        <f aca="false">IF(OR(4キー同時!$B$370="",4キー同時!$G$370="",4キー同時!$L$370=""),"",IF(4キー同時!S378="","",SUBSTITUTE(SUBSTITUTE(4キー同時!S378," ",""),"　","")))</f>
        <v/>
      </c>
      <c r="H4400" s="2" t="str">
        <f aca="false">IF($G4400="","",4キー同時!$B$370)</f>
        <v/>
      </c>
      <c r="I4400" s="2" t="str">
        <f aca="false">IF($G4400="","",4キー同時!$G$370)</f>
        <v/>
      </c>
      <c r="J4400" s="2" t="str">
        <f aca="false">IF($G4400="","",4キー同時!$L$370)</f>
        <v/>
      </c>
      <c r="K4400" s="2" t="str">
        <f aca="false">IF($G4400="","","c")</f>
        <v/>
      </c>
      <c r="L4400" s="2" t="str">
        <f aca="false">IF($G4400="","","同時")</f>
        <v/>
      </c>
      <c r="M4400" s="2" t="str">
        <f aca="false">IF($G4400="","",IF(ISNA(MATCH($G4400,個別指定!$A:$A,0)),"行なし",""))</f>
        <v/>
      </c>
      <c r="N4400" s="2" t="str">
        <f aca="false">IF($G4400="","",IF(COUNTIF($G$2:$G$4460,$G4400)&gt;1,"重複",""))</f>
        <v/>
      </c>
    </row>
    <row r="4401" customFormat="false" ht="16.5" hidden="false" customHeight="true" outlineLevel="0" collapsed="false">
      <c r="A4401" s="2" t="s">
        <v>447</v>
      </c>
      <c r="B4401" s="2" t="s">
        <v>476</v>
      </c>
      <c r="C4401" s="2" t="s">
        <v>38</v>
      </c>
      <c r="D4401" s="2" t="str">
        <f aca="false">IF(4キー同時!$B$370="","",4キー同時!$B$370)</f>
        <v/>
      </c>
      <c r="E4401" s="2" t="str">
        <f aca="false">IF(4キー同時!$G$370="","",4キー同時!$G$370)</f>
        <v/>
      </c>
      <c r="F4401" s="2" t="str">
        <f aca="false">IF(4キー同時!$L$370="","",4キー同時!$L$370)</f>
        <v/>
      </c>
      <c r="G4401" s="2" t="str">
        <f aca="false">IF(OR(4キー同時!$B$370="",4キー同時!$G$370="",4キー同時!$L$370=""),"",IF(4キー同時!W378="","",SUBSTITUTE(SUBSTITUTE(4キー同時!W378," ",""),"　","")))</f>
        <v/>
      </c>
      <c r="H4401" s="2" t="str">
        <f aca="false">IF($G4401="","",4キー同時!$B$370)</f>
        <v/>
      </c>
      <c r="I4401" s="2" t="str">
        <f aca="false">IF($G4401="","",4キー同時!$G$370)</f>
        <v/>
      </c>
      <c r="J4401" s="2" t="str">
        <f aca="false">IF($G4401="","",4キー同時!$L$370)</f>
        <v/>
      </c>
      <c r="K4401" s="2" t="str">
        <f aca="false">IF($G4401="","","v")</f>
        <v/>
      </c>
      <c r="L4401" s="2" t="str">
        <f aca="false">IF($G4401="","","同時")</f>
        <v/>
      </c>
      <c r="M4401" s="2" t="str">
        <f aca="false">IF($G4401="","",IF(ISNA(MATCH($G4401,個別指定!$A:$A,0)),"行なし",""))</f>
        <v/>
      </c>
      <c r="N4401" s="2" t="str">
        <f aca="false">IF($G4401="","",IF(COUNTIF($G$2:$G$4460,$G4401)&gt;1,"重複",""))</f>
        <v/>
      </c>
    </row>
    <row r="4402" customFormat="false" ht="16.5" hidden="false" customHeight="true" outlineLevel="0" collapsed="false">
      <c r="A4402" s="2" t="s">
        <v>447</v>
      </c>
      <c r="B4402" s="2" t="s">
        <v>476</v>
      </c>
      <c r="C4402" s="2" t="s">
        <v>39</v>
      </c>
      <c r="D4402" s="2" t="str">
        <f aca="false">IF(4キー同時!$B$370="","",4キー同時!$B$370)</f>
        <v/>
      </c>
      <c r="E4402" s="2" t="str">
        <f aca="false">IF(4キー同時!$G$370="","",4キー同時!$G$370)</f>
        <v/>
      </c>
      <c r="F4402" s="2" t="str">
        <f aca="false">IF(4キー同時!$L$370="","",4キー同時!$L$370)</f>
        <v/>
      </c>
      <c r="G4402" s="2" t="str">
        <f aca="false">IF(OR(4キー同時!$B$370="",4キー同時!$G$370="",4キー同時!$L$370=""),"",IF(4キー同時!AA378="","",SUBSTITUTE(SUBSTITUTE(4キー同時!AA378," ",""),"　","")))</f>
        <v/>
      </c>
      <c r="H4402" s="2" t="str">
        <f aca="false">IF($G4402="","",4キー同時!$B$370)</f>
        <v/>
      </c>
      <c r="I4402" s="2" t="str">
        <f aca="false">IF($G4402="","",4キー同時!$G$370)</f>
        <v/>
      </c>
      <c r="J4402" s="2" t="str">
        <f aca="false">IF($G4402="","",4キー同時!$L$370)</f>
        <v/>
      </c>
      <c r="K4402" s="2" t="str">
        <f aca="false">IF($G4402="","","b")</f>
        <v/>
      </c>
      <c r="L4402" s="2" t="str">
        <f aca="false">IF($G4402="","","同時")</f>
        <v/>
      </c>
      <c r="M4402" s="2" t="str">
        <f aca="false">IF($G4402="","",IF(ISNA(MATCH($G4402,個別指定!$A:$A,0)),"行なし",""))</f>
        <v/>
      </c>
      <c r="N4402" s="2" t="str">
        <f aca="false">IF($G4402="","",IF(COUNTIF($G$2:$G$4460,$G4402)&gt;1,"重複",""))</f>
        <v/>
      </c>
    </row>
    <row r="4403" customFormat="false" ht="16.5" hidden="false" customHeight="true" outlineLevel="0" collapsed="false">
      <c r="A4403" s="2" t="s">
        <v>447</v>
      </c>
      <c r="B4403" s="2" t="s">
        <v>476</v>
      </c>
      <c r="C4403" s="2" t="s">
        <v>40</v>
      </c>
      <c r="D4403" s="2" t="str">
        <f aca="false">IF(4キー同時!$B$370="","",4キー同時!$B$370)</f>
        <v/>
      </c>
      <c r="E4403" s="2" t="str">
        <f aca="false">IF(4キー同時!$G$370="","",4キー同時!$G$370)</f>
        <v/>
      </c>
      <c r="F4403" s="2" t="str">
        <f aca="false">IF(4キー同時!$L$370="","",4キー同時!$L$370)</f>
        <v/>
      </c>
      <c r="G4403" s="2" t="str">
        <f aca="false">IF(OR(4キー同時!$B$370="",4キー同時!$G$370="",4キー同時!$L$370=""),"",IF(4キー同時!AE378="","",SUBSTITUTE(SUBSTITUTE(4キー同時!AE378," ",""),"　","")))</f>
        <v/>
      </c>
      <c r="H4403" s="2" t="str">
        <f aca="false">IF($G4403="","",4キー同時!$B$370)</f>
        <v/>
      </c>
      <c r="I4403" s="2" t="str">
        <f aca="false">IF($G4403="","",4キー同時!$G$370)</f>
        <v/>
      </c>
      <c r="J4403" s="2" t="str">
        <f aca="false">IF($G4403="","",4キー同時!$L$370)</f>
        <v/>
      </c>
      <c r="K4403" s="2" t="str">
        <f aca="false">IF($G4403="","","n")</f>
        <v/>
      </c>
      <c r="L4403" s="2" t="str">
        <f aca="false">IF($G4403="","","同時")</f>
        <v/>
      </c>
      <c r="M4403" s="2" t="str">
        <f aca="false">IF($G4403="","",IF(ISNA(MATCH($G4403,個別指定!$A:$A,0)),"行なし",""))</f>
        <v/>
      </c>
      <c r="N4403" s="2" t="str">
        <f aca="false">IF($G4403="","",IF(COUNTIF($G$2:$G$4460,$G4403)&gt;1,"重複",""))</f>
        <v/>
      </c>
    </row>
    <row r="4404" customFormat="false" ht="16.5" hidden="false" customHeight="true" outlineLevel="0" collapsed="false">
      <c r="A4404" s="2" t="s">
        <v>447</v>
      </c>
      <c r="B4404" s="2" t="s">
        <v>476</v>
      </c>
      <c r="C4404" s="2" t="s">
        <v>41</v>
      </c>
      <c r="D4404" s="2" t="str">
        <f aca="false">IF(4キー同時!$B$370="","",4キー同時!$B$370)</f>
        <v/>
      </c>
      <c r="E4404" s="2" t="str">
        <f aca="false">IF(4キー同時!$G$370="","",4キー同時!$G$370)</f>
        <v/>
      </c>
      <c r="F4404" s="2" t="str">
        <f aca="false">IF(4キー同時!$L$370="","",4キー同時!$L$370)</f>
        <v/>
      </c>
      <c r="G4404" s="2" t="str">
        <f aca="false">IF(OR(4キー同時!$B$370="",4キー同時!$G$370="",4キー同時!$L$370=""),"",IF(4キー同時!AI378="","",SUBSTITUTE(SUBSTITUTE(4キー同時!AI378," ",""),"　","")))</f>
        <v/>
      </c>
      <c r="H4404" s="2" t="str">
        <f aca="false">IF($G4404="","",4キー同時!$B$370)</f>
        <v/>
      </c>
      <c r="I4404" s="2" t="str">
        <f aca="false">IF($G4404="","",4キー同時!$G$370)</f>
        <v/>
      </c>
      <c r="J4404" s="2" t="str">
        <f aca="false">IF($G4404="","",4キー同時!$L$370)</f>
        <v/>
      </c>
      <c r="K4404" s="2" t="str">
        <f aca="false">IF($G4404="","","m")</f>
        <v/>
      </c>
      <c r="L4404" s="2" t="str">
        <f aca="false">IF($G4404="","","同時")</f>
        <v/>
      </c>
      <c r="M4404" s="2" t="str">
        <f aca="false">IF($G4404="","",IF(ISNA(MATCH($G4404,個別指定!$A:$A,0)),"行なし",""))</f>
        <v/>
      </c>
      <c r="N4404" s="2" t="str">
        <f aca="false">IF($G4404="","",IF(COUNTIF($G$2:$G$4460,$G4404)&gt;1,"重複",""))</f>
        <v/>
      </c>
    </row>
    <row r="4405" customFormat="false" ht="16.5" hidden="false" customHeight="true" outlineLevel="0" collapsed="false">
      <c r="A4405" s="2" t="s">
        <v>447</v>
      </c>
      <c r="B4405" s="2" t="s">
        <v>476</v>
      </c>
      <c r="C4405" s="2" t="s">
        <v>42</v>
      </c>
      <c r="D4405" s="2" t="str">
        <f aca="false">IF(4キー同時!$B$370="","",4キー同時!$B$370)</f>
        <v/>
      </c>
      <c r="E4405" s="2" t="str">
        <f aca="false">IF(4キー同時!$G$370="","",4キー同時!$G$370)</f>
        <v/>
      </c>
      <c r="F4405" s="2" t="str">
        <f aca="false">IF(4キー同時!$L$370="","",4キー同時!$L$370)</f>
        <v/>
      </c>
      <c r="G4405" s="2" t="str">
        <f aca="false">IF(OR(4キー同時!$B$370="",4キー同時!$G$370="",4キー同時!$L$370=""),"",IF(4キー同時!AM378="","",SUBSTITUTE(SUBSTITUTE(4キー同時!AM378," ",""),"　","")))</f>
        <v/>
      </c>
      <c r="H4405" s="2" t="str">
        <f aca="false">IF($G4405="","",4キー同時!$B$370)</f>
        <v/>
      </c>
      <c r="I4405" s="2" t="str">
        <f aca="false">IF($G4405="","",4キー同時!$G$370)</f>
        <v/>
      </c>
      <c r="J4405" s="2" t="str">
        <f aca="false">IF($G4405="","",4キー同時!$L$370)</f>
        <v/>
      </c>
      <c r="K4405" s="2" t="str">
        <f aca="false">IF($G4405="","",",")</f>
        <v/>
      </c>
      <c r="L4405" s="2" t="str">
        <f aca="false">IF($G4405="","","同時")</f>
        <v/>
      </c>
      <c r="M4405" s="2" t="str">
        <f aca="false">IF($G4405="","",IF(ISNA(MATCH($G4405,個別指定!$A:$A,0)),"行なし",""))</f>
        <v/>
      </c>
      <c r="N4405" s="2" t="str">
        <f aca="false">IF($G4405="","",IF(COUNTIF($G$2:$G$4460,$G4405)&gt;1,"重複",""))</f>
        <v/>
      </c>
    </row>
    <row r="4406" customFormat="false" ht="16.5" hidden="false" customHeight="true" outlineLevel="0" collapsed="false">
      <c r="A4406" s="2" t="s">
        <v>447</v>
      </c>
      <c r="B4406" s="2" t="s">
        <v>476</v>
      </c>
      <c r="C4406" s="2" t="s">
        <v>43</v>
      </c>
      <c r="D4406" s="2" t="str">
        <f aca="false">IF(4キー同時!$B$370="","",4キー同時!$B$370)</f>
        <v/>
      </c>
      <c r="E4406" s="2" t="str">
        <f aca="false">IF(4キー同時!$G$370="","",4キー同時!$G$370)</f>
        <v/>
      </c>
      <c r="F4406" s="2" t="str">
        <f aca="false">IF(4キー同時!$L$370="","",4キー同時!$L$370)</f>
        <v/>
      </c>
      <c r="G4406" s="2" t="str">
        <f aca="false">IF(OR(4キー同時!$B$370="",4キー同時!$G$370="",4キー同時!$L$370=""),"",IF(4キー同時!AQ378="","",SUBSTITUTE(SUBSTITUTE(4キー同時!AQ378," ",""),"　","")))</f>
        <v/>
      </c>
      <c r="H4406" s="2" t="str">
        <f aca="false">IF($G4406="","",4キー同時!$B$370)</f>
        <v/>
      </c>
      <c r="I4406" s="2" t="str">
        <f aca="false">IF($G4406="","",4キー同時!$G$370)</f>
        <v/>
      </c>
      <c r="J4406" s="2" t="str">
        <f aca="false">IF($G4406="","",4キー同時!$L$370)</f>
        <v/>
      </c>
      <c r="K4406" s="2" t="str">
        <f aca="false">IF($G4406="","",".")</f>
        <v/>
      </c>
      <c r="L4406" s="2" t="str">
        <f aca="false">IF($G4406="","","同時")</f>
        <v/>
      </c>
      <c r="M4406" s="2" t="str">
        <f aca="false">IF($G4406="","",IF(ISNA(MATCH($G4406,個別指定!$A:$A,0)),"行なし",""))</f>
        <v/>
      </c>
      <c r="N4406" s="2" t="str">
        <f aca="false">IF($G4406="","",IF(COUNTIF($G$2:$G$4460,$G4406)&gt;1,"重複",""))</f>
        <v/>
      </c>
    </row>
    <row r="4407" customFormat="false" ht="16.5" hidden="false" customHeight="true" outlineLevel="0" collapsed="false">
      <c r="A4407" s="2" t="s">
        <v>447</v>
      </c>
      <c r="B4407" s="2" t="s">
        <v>476</v>
      </c>
      <c r="C4407" s="2" t="s">
        <v>44</v>
      </c>
      <c r="D4407" s="2" t="str">
        <f aca="false">IF(4キー同時!$B$370="","",4キー同時!$B$370)</f>
        <v/>
      </c>
      <c r="E4407" s="2" t="str">
        <f aca="false">IF(4キー同時!$G$370="","",4キー同時!$G$370)</f>
        <v/>
      </c>
      <c r="F4407" s="2" t="str">
        <f aca="false">IF(4キー同時!$L$370="","",4キー同時!$L$370)</f>
        <v/>
      </c>
      <c r="G4407" s="2" t="str">
        <f aca="false">IF(OR(4キー同時!$B$370="",4キー同時!$G$370="",4キー同時!$L$370=""),"",IF(4キー同時!AU378="","",SUBSTITUTE(SUBSTITUTE(4キー同時!AU378," ",""),"　","")))</f>
        <v/>
      </c>
      <c r="H4407" s="2" t="str">
        <f aca="false">IF($G4407="","",4キー同時!$B$370)</f>
        <v/>
      </c>
      <c r="I4407" s="2" t="str">
        <f aca="false">IF($G4407="","",4キー同時!$G$370)</f>
        <v/>
      </c>
      <c r="J4407" s="2" t="str">
        <f aca="false">IF($G4407="","",4キー同時!$L$370)</f>
        <v/>
      </c>
      <c r="K4407" s="2" t="str">
        <f aca="false">IF($G4407="","","/")</f>
        <v/>
      </c>
      <c r="L4407" s="2" t="str">
        <f aca="false">IF($G4407="","","同時")</f>
        <v/>
      </c>
      <c r="M4407" s="2" t="str">
        <f aca="false">IF($G4407="","",IF(ISNA(MATCH($G4407,個別指定!$A:$A,0)),"行なし",""))</f>
        <v/>
      </c>
      <c r="N4407" s="2" t="str">
        <f aca="false">IF($G4407="","",IF(COUNTIF($G$2:$G$4460,$G4407)&gt;1,"重複",""))</f>
        <v/>
      </c>
    </row>
    <row r="4408" customFormat="false" ht="16.5" hidden="false" customHeight="true" outlineLevel="0" collapsed="false">
      <c r="A4408" s="2" t="s">
        <v>447</v>
      </c>
      <c r="B4408" s="2" t="s">
        <v>476</v>
      </c>
      <c r="C4408" s="2" t="s">
        <v>48</v>
      </c>
      <c r="D4408" s="2" t="str">
        <f aca="false">IF(4キー同時!$B$370="","",4キー同時!$B$370)</f>
        <v/>
      </c>
      <c r="E4408" s="2" t="str">
        <f aca="false">IF(4キー同時!$G$370="","",4キー同時!$G$370)</f>
        <v/>
      </c>
      <c r="F4408" s="2" t="str">
        <f aca="false">IF(4キー同時!$L$370="","",4キー同時!$L$370)</f>
        <v/>
      </c>
      <c r="G4408" s="2" t="str">
        <f aca="false">IF(OR(4キー同時!$B$370="",4キー同時!$G$370="",4キー同時!$L$370=""),"",IF(4キー同時!P380="","",SUBSTITUTE(SUBSTITUTE(4キー同時!P380," ",""),"　","")))</f>
        <v/>
      </c>
      <c r="H4408" s="2" t="str">
        <f aca="false">IF($G4408="","",4キー同時!$B$370)</f>
        <v/>
      </c>
      <c r="I4408" s="2" t="str">
        <f aca="false">IF($G4408="","",4キー同時!$G$370)</f>
        <v/>
      </c>
      <c r="J4408" s="2" t="str">
        <f aca="false">IF($G4408="","",4キー同時!$L$370)</f>
        <v/>
      </c>
      <c r="K4408" s="2" t="str">
        <f aca="false">IF($G4408="","","muhenkan")</f>
        <v/>
      </c>
      <c r="L4408" s="2" t="str">
        <f aca="false">IF($G4408="","","同時")</f>
        <v/>
      </c>
      <c r="M4408" s="2" t="str">
        <f aca="false">IF($G4408="","",IF(ISNA(MATCH($G4408,個別指定!$A:$A,0)),"行なし",""))</f>
        <v/>
      </c>
      <c r="N4408" s="2" t="str">
        <f aca="false">IF($G4408="","",IF(COUNTIF($G$2:$G$4460,$G4408)&gt;1,"重複",""))</f>
        <v/>
      </c>
    </row>
    <row r="4409" customFormat="false" ht="16.5" hidden="false" customHeight="true" outlineLevel="0" collapsed="false">
      <c r="A4409" s="2" t="s">
        <v>447</v>
      </c>
      <c r="B4409" s="2" t="s">
        <v>476</v>
      </c>
      <c r="C4409" s="2" t="s">
        <v>50</v>
      </c>
      <c r="D4409" s="2" t="str">
        <f aca="false">IF(4キー同時!$B$370="","",4キー同時!$B$370)</f>
        <v/>
      </c>
      <c r="E4409" s="2" t="str">
        <f aca="false">IF(4キー同時!$G$370="","",4キー同時!$G$370)</f>
        <v/>
      </c>
      <c r="F4409" s="2" t="str">
        <f aca="false">IF(4キー同時!$L$370="","",4キー同時!$L$370)</f>
        <v/>
      </c>
      <c r="G4409" s="2" t="str">
        <f aca="false">IF(OR(4キー同時!$B$370="",4キー同時!$G$370="",4キー同時!$L$370=""),"",IF(4キー同時!T380="","",SUBSTITUTE(SUBSTITUTE(4キー同時!T380," ",""),"　","")))</f>
        <v/>
      </c>
      <c r="H4409" s="2" t="str">
        <f aca="false">IF($G4409="","",4キー同時!$B$370)</f>
        <v/>
      </c>
      <c r="I4409" s="2" t="str">
        <f aca="false">IF($G4409="","",4キー同時!$G$370)</f>
        <v/>
      </c>
      <c r="J4409" s="2" t="str">
        <f aca="false">IF($G4409="","",4キー同時!$L$370)</f>
        <v/>
      </c>
      <c r="K4409" s="2" t="str">
        <f aca="false">IF($G4409="","","space")</f>
        <v/>
      </c>
      <c r="L4409" s="2" t="str">
        <f aca="false">IF($G4409="","","同時")</f>
        <v/>
      </c>
      <c r="M4409" s="2" t="str">
        <f aca="false">IF($G4409="","",IF(ISNA(MATCH($G4409,個別指定!$A:$A,0)),"行なし",""))</f>
        <v/>
      </c>
      <c r="N4409" s="2" t="str">
        <f aca="false">IF($G4409="","",IF(COUNTIF($G$2:$G$4460,$G4409)&gt;1,"重複",""))</f>
        <v/>
      </c>
    </row>
    <row r="4410" customFormat="false" ht="16.5" hidden="false" customHeight="true" outlineLevel="0" collapsed="false">
      <c r="A4410" s="2" t="s">
        <v>447</v>
      </c>
      <c r="B4410" s="2" t="s">
        <v>476</v>
      </c>
      <c r="C4410" s="2" t="s">
        <v>45</v>
      </c>
      <c r="D4410" s="2" t="str">
        <f aca="false">IF(4キー同時!$B$370="","",4キー同時!$B$370)</f>
        <v/>
      </c>
      <c r="E4410" s="2" t="str">
        <f aca="false">IF(4キー同時!$G$370="","",4キー同時!$G$370)</f>
        <v/>
      </c>
      <c r="F4410" s="2" t="str">
        <f aca="false">IF(4キー同時!$L$370="","",4キー同時!$L$370)</f>
        <v/>
      </c>
      <c r="G4410" s="2" t="str">
        <f aca="false">IF(OR(4キー同時!$B$370="",4キー同時!$G$370="",4キー同時!$L$370=""),"",IF(4キー同時!AL380="","",SUBSTITUTE(SUBSTITUTE(4キー同時!AL380," ",""),"　","")))</f>
        <v/>
      </c>
      <c r="H4410" s="2" t="str">
        <f aca="false">IF($G4410="","",4キー同時!$B$370)</f>
        <v/>
      </c>
      <c r="I4410" s="2" t="str">
        <f aca="false">IF($G4410="","",4キー同時!$G$370)</f>
        <v/>
      </c>
      <c r="J4410" s="2" t="str">
        <f aca="false">IF($G4410="","",4キー同時!$L$370)</f>
        <v/>
      </c>
      <c r="K4410" s="2" t="str">
        <f aca="false">IF($G4410="","","henkan")</f>
        <v/>
      </c>
      <c r="L4410" s="2" t="str">
        <f aca="false">IF($G4410="","","同時")</f>
        <v/>
      </c>
      <c r="M4410" s="2" t="str">
        <f aca="false">IF($G4410="","",IF(ISNA(MATCH($G4410,個別指定!$A:$A,0)),"行なし",""))</f>
        <v/>
      </c>
      <c r="N4410" s="2" t="str">
        <f aca="false">IF($G4410="","",IF(COUNTIF($G$2:$G$4460,$G4410)&gt;1,"重複",""))</f>
        <v/>
      </c>
    </row>
    <row r="4411" customFormat="false" ht="16.5" hidden="false" customHeight="true" outlineLevel="0" collapsed="false">
      <c r="A4411" s="2" t="s">
        <v>447</v>
      </c>
      <c r="B4411" s="2" t="s">
        <v>476</v>
      </c>
      <c r="C4411" s="2" t="s">
        <v>46</v>
      </c>
      <c r="D4411" s="2" t="str">
        <f aca="false">IF(4キー同時!$B$370="","",4キー同時!$B$370)</f>
        <v/>
      </c>
      <c r="E4411" s="2" t="str">
        <f aca="false">IF(4キー同時!$G$370="","",4キー同時!$G$370)</f>
        <v/>
      </c>
      <c r="F4411" s="2" t="str">
        <f aca="false">IF(4キー同時!$L$370="","",4キー同時!$L$370)</f>
        <v/>
      </c>
      <c r="G4411" s="2" t="str">
        <f aca="false">IF(OR(4キー同時!$B$370="",4キー同時!$G$370="",4キー同時!$L$370=""),"",IF(4キー同時!AP380="","",SUBSTITUTE(SUBSTITUTE(4キー同時!AP380," ",""),"　","")))</f>
        <v/>
      </c>
      <c r="H4411" s="2" t="str">
        <f aca="false">IF($G4411="","",4キー同時!$B$370)</f>
        <v/>
      </c>
      <c r="I4411" s="2" t="str">
        <f aca="false">IF($G4411="","",4キー同時!$G$370)</f>
        <v/>
      </c>
      <c r="J4411" s="2" t="str">
        <f aca="false">IF($G4411="","",4キー同時!$L$370)</f>
        <v/>
      </c>
      <c r="K4411" s="2" t="str">
        <f aca="false">IF($G4411="","","kana")</f>
        <v/>
      </c>
      <c r="L4411" s="2" t="str">
        <f aca="false">IF($G4411="","","同時")</f>
        <v/>
      </c>
      <c r="M4411" s="2" t="str">
        <f aca="false">IF($G4411="","",IF(ISNA(MATCH($G4411,個別指定!$A:$A,0)),"行なし",""))</f>
        <v/>
      </c>
      <c r="N4411" s="2" t="str">
        <f aca="false">IF($G4411="","",IF(COUNTIF($G$2:$G$4460,$G4411)&gt;1,"重複",""))</f>
        <v/>
      </c>
    </row>
    <row r="4412" customFormat="false" ht="16.5" hidden="false" customHeight="true" outlineLevel="0" collapsed="false">
      <c r="A4412" s="2" t="s">
        <v>447</v>
      </c>
      <c r="B4412" s="2" t="s">
        <v>477</v>
      </c>
      <c r="C4412" s="2" t="s">
        <v>0</v>
      </c>
      <c r="D4412" s="2" t="str">
        <f aca="false">IF(4キー同時!$B$383="","",4キー同時!$B$383)</f>
        <v/>
      </c>
      <c r="E4412" s="2" t="str">
        <f aca="false">IF(4キー同時!$G$383="","",4キー同時!$G$383)</f>
        <v/>
      </c>
      <c r="F4412" s="2" t="str">
        <f aca="false">IF(4キー同時!$L$383="","",4キー同時!$L$383)</f>
        <v/>
      </c>
      <c r="G4412" s="2" t="str">
        <f aca="false">IF(OR(4キー同時!$B$383="",4キー同時!$G$383="",4キー同時!$L$383=""),"",IF(4キー同時!F385="","",SUBSTITUTE(SUBSTITUTE(4キー同時!F385," ",""),"　","")))</f>
        <v/>
      </c>
      <c r="H4412" s="2" t="str">
        <f aca="false">IF($G4412="","",4キー同時!$B$383)</f>
        <v/>
      </c>
      <c r="I4412" s="2" t="str">
        <f aca="false">IF($G4412="","",4キー同時!$G$383)</f>
        <v/>
      </c>
      <c r="J4412" s="2" t="str">
        <f aca="false">IF($G4412="","",4キー同時!$L$383)</f>
        <v/>
      </c>
      <c r="K4412" s="2" t="str">
        <f aca="false">IF($G4412="","","1")</f>
        <v/>
      </c>
      <c r="L4412" s="2" t="str">
        <f aca="false">IF($G4412="","","同時")</f>
        <v/>
      </c>
      <c r="M4412" s="2" t="str">
        <f aca="false">IF($G4412="","",IF(ISNA(MATCH($G4412,個別指定!$A:$A,0)),"行なし",""))</f>
        <v/>
      </c>
      <c r="N4412" s="2" t="str">
        <f aca="false">IF($G4412="","",IF(COUNTIF($G$2:$G$4460,$G4412)&gt;1,"重複",""))</f>
        <v/>
      </c>
    </row>
    <row r="4413" customFormat="false" ht="16.5" hidden="false" customHeight="true" outlineLevel="0" collapsed="false">
      <c r="A4413" s="2" t="s">
        <v>447</v>
      </c>
      <c r="B4413" s="2" t="s">
        <v>477</v>
      </c>
      <c r="C4413" s="2" t="s">
        <v>1</v>
      </c>
      <c r="D4413" s="2" t="str">
        <f aca="false">IF(4キー同時!$B$383="","",4キー同時!$B$383)</f>
        <v/>
      </c>
      <c r="E4413" s="2" t="str">
        <f aca="false">IF(4キー同時!$G$383="","",4キー同時!$G$383)</f>
        <v/>
      </c>
      <c r="F4413" s="2" t="str">
        <f aca="false">IF(4キー同時!$L$383="","",4キー同時!$L$383)</f>
        <v/>
      </c>
      <c r="G4413" s="2" t="str">
        <f aca="false">IF(OR(4キー同時!$B$383="",4キー同時!$G$383="",4キー同時!$L$383=""),"",IF(4キー同時!J385="","",SUBSTITUTE(SUBSTITUTE(4キー同時!J385," ",""),"　","")))</f>
        <v/>
      </c>
      <c r="H4413" s="2" t="str">
        <f aca="false">IF($G4413="","",4キー同時!$B$383)</f>
        <v/>
      </c>
      <c r="I4413" s="2" t="str">
        <f aca="false">IF($G4413="","",4キー同時!$G$383)</f>
        <v/>
      </c>
      <c r="J4413" s="2" t="str">
        <f aca="false">IF($G4413="","",4キー同時!$L$383)</f>
        <v/>
      </c>
      <c r="K4413" s="2" t="str">
        <f aca="false">IF($G4413="","","2")</f>
        <v/>
      </c>
      <c r="L4413" s="2" t="str">
        <f aca="false">IF($G4413="","","同時")</f>
        <v/>
      </c>
      <c r="M4413" s="2" t="str">
        <f aca="false">IF($G4413="","",IF(ISNA(MATCH($G4413,個別指定!$A:$A,0)),"行なし",""))</f>
        <v/>
      </c>
      <c r="N4413" s="2" t="str">
        <f aca="false">IF($G4413="","",IF(COUNTIF($G$2:$G$4460,$G4413)&gt;1,"重複",""))</f>
        <v/>
      </c>
    </row>
    <row r="4414" customFormat="false" ht="16.5" hidden="false" customHeight="true" outlineLevel="0" collapsed="false">
      <c r="A4414" s="2" t="s">
        <v>447</v>
      </c>
      <c r="B4414" s="2" t="s">
        <v>477</v>
      </c>
      <c r="C4414" s="2" t="s">
        <v>2</v>
      </c>
      <c r="D4414" s="2" t="str">
        <f aca="false">IF(4キー同時!$B$383="","",4キー同時!$B$383)</f>
        <v/>
      </c>
      <c r="E4414" s="2" t="str">
        <f aca="false">IF(4キー同時!$G$383="","",4キー同時!$G$383)</f>
        <v/>
      </c>
      <c r="F4414" s="2" t="str">
        <f aca="false">IF(4キー同時!$L$383="","",4キー同時!$L$383)</f>
        <v/>
      </c>
      <c r="G4414" s="2" t="str">
        <f aca="false">IF(OR(4キー同時!$B$383="",4キー同時!$G$383="",4キー同時!$L$383=""),"",IF(4キー同時!N385="","",SUBSTITUTE(SUBSTITUTE(4キー同時!N385," ",""),"　","")))</f>
        <v/>
      </c>
      <c r="H4414" s="2" t="str">
        <f aca="false">IF($G4414="","",4キー同時!$B$383)</f>
        <v/>
      </c>
      <c r="I4414" s="2" t="str">
        <f aca="false">IF($G4414="","",4キー同時!$G$383)</f>
        <v/>
      </c>
      <c r="J4414" s="2" t="str">
        <f aca="false">IF($G4414="","",4キー同時!$L$383)</f>
        <v/>
      </c>
      <c r="K4414" s="2" t="str">
        <f aca="false">IF($G4414="","","3")</f>
        <v/>
      </c>
      <c r="L4414" s="2" t="str">
        <f aca="false">IF($G4414="","","同時")</f>
        <v/>
      </c>
      <c r="M4414" s="2" t="str">
        <f aca="false">IF($G4414="","",IF(ISNA(MATCH($G4414,個別指定!$A:$A,0)),"行なし",""))</f>
        <v/>
      </c>
      <c r="N4414" s="2" t="str">
        <f aca="false">IF($G4414="","",IF(COUNTIF($G$2:$G$4460,$G4414)&gt;1,"重複",""))</f>
        <v/>
      </c>
    </row>
    <row r="4415" customFormat="false" ht="16.5" hidden="false" customHeight="true" outlineLevel="0" collapsed="false">
      <c r="A4415" s="2" t="s">
        <v>447</v>
      </c>
      <c r="B4415" s="2" t="s">
        <v>477</v>
      </c>
      <c r="C4415" s="2" t="s">
        <v>3</v>
      </c>
      <c r="D4415" s="2" t="str">
        <f aca="false">IF(4キー同時!$B$383="","",4キー同時!$B$383)</f>
        <v/>
      </c>
      <c r="E4415" s="2" t="str">
        <f aca="false">IF(4キー同時!$G$383="","",4キー同時!$G$383)</f>
        <v/>
      </c>
      <c r="F4415" s="2" t="str">
        <f aca="false">IF(4キー同時!$L$383="","",4キー同時!$L$383)</f>
        <v/>
      </c>
      <c r="G4415" s="2" t="str">
        <f aca="false">IF(OR(4キー同時!$B$383="",4キー同時!$G$383="",4キー同時!$L$383=""),"",IF(4キー同時!R385="","",SUBSTITUTE(SUBSTITUTE(4キー同時!R385," ",""),"　","")))</f>
        <v/>
      </c>
      <c r="H4415" s="2" t="str">
        <f aca="false">IF($G4415="","",4キー同時!$B$383)</f>
        <v/>
      </c>
      <c r="I4415" s="2" t="str">
        <f aca="false">IF($G4415="","",4キー同時!$G$383)</f>
        <v/>
      </c>
      <c r="J4415" s="2" t="str">
        <f aca="false">IF($G4415="","",4キー同時!$L$383)</f>
        <v/>
      </c>
      <c r="K4415" s="2" t="str">
        <f aca="false">IF($G4415="","","4")</f>
        <v/>
      </c>
      <c r="L4415" s="2" t="str">
        <f aca="false">IF($G4415="","","同時")</f>
        <v/>
      </c>
      <c r="M4415" s="2" t="str">
        <f aca="false">IF($G4415="","",IF(ISNA(MATCH($G4415,個別指定!$A:$A,0)),"行なし",""))</f>
        <v/>
      </c>
      <c r="N4415" s="2" t="str">
        <f aca="false">IF($G4415="","",IF(COUNTIF($G$2:$G$4460,$G4415)&gt;1,"重複",""))</f>
        <v/>
      </c>
    </row>
    <row r="4416" customFormat="false" ht="16.5" hidden="false" customHeight="true" outlineLevel="0" collapsed="false">
      <c r="A4416" s="2" t="s">
        <v>447</v>
      </c>
      <c r="B4416" s="2" t="s">
        <v>477</v>
      </c>
      <c r="C4416" s="2" t="s">
        <v>4</v>
      </c>
      <c r="D4416" s="2" t="str">
        <f aca="false">IF(4キー同時!$B$383="","",4キー同時!$B$383)</f>
        <v/>
      </c>
      <c r="E4416" s="2" t="str">
        <f aca="false">IF(4キー同時!$G$383="","",4キー同時!$G$383)</f>
        <v/>
      </c>
      <c r="F4416" s="2" t="str">
        <f aca="false">IF(4キー同時!$L$383="","",4キー同時!$L$383)</f>
        <v/>
      </c>
      <c r="G4416" s="2" t="str">
        <f aca="false">IF(OR(4キー同時!$B$383="",4キー同時!$G$383="",4キー同時!$L$383=""),"",IF(4キー同時!V385="","",SUBSTITUTE(SUBSTITUTE(4キー同時!V385," ",""),"　","")))</f>
        <v/>
      </c>
      <c r="H4416" s="2" t="str">
        <f aca="false">IF($G4416="","",4キー同時!$B$383)</f>
        <v/>
      </c>
      <c r="I4416" s="2" t="str">
        <f aca="false">IF($G4416="","",4キー同時!$G$383)</f>
        <v/>
      </c>
      <c r="J4416" s="2" t="str">
        <f aca="false">IF($G4416="","",4キー同時!$L$383)</f>
        <v/>
      </c>
      <c r="K4416" s="2" t="str">
        <f aca="false">IF($G4416="","","5")</f>
        <v/>
      </c>
      <c r="L4416" s="2" t="str">
        <f aca="false">IF($G4416="","","同時")</f>
        <v/>
      </c>
      <c r="M4416" s="2" t="str">
        <f aca="false">IF($G4416="","",IF(ISNA(MATCH($G4416,個別指定!$A:$A,0)),"行なし",""))</f>
        <v/>
      </c>
      <c r="N4416" s="2" t="str">
        <f aca="false">IF($G4416="","",IF(COUNTIF($G$2:$G$4460,$G4416)&gt;1,"重複",""))</f>
        <v/>
      </c>
    </row>
    <row r="4417" customFormat="false" ht="16.5" hidden="false" customHeight="true" outlineLevel="0" collapsed="false">
      <c r="A4417" s="2" t="s">
        <v>447</v>
      </c>
      <c r="B4417" s="2" t="s">
        <v>477</v>
      </c>
      <c r="C4417" s="2" t="s">
        <v>5</v>
      </c>
      <c r="D4417" s="2" t="str">
        <f aca="false">IF(4キー同時!$B$383="","",4キー同時!$B$383)</f>
        <v/>
      </c>
      <c r="E4417" s="2" t="str">
        <f aca="false">IF(4キー同時!$G$383="","",4キー同時!$G$383)</f>
        <v/>
      </c>
      <c r="F4417" s="2" t="str">
        <f aca="false">IF(4キー同時!$L$383="","",4キー同時!$L$383)</f>
        <v/>
      </c>
      <c r="G4417" s="2" t="str">
        <f aca="false">IF(OR(4キー同時!$B$383="",4キー同時!$G$383="",4キー同時!$L$383=""),"",IF(4キー同時!Z385="","",SUBSTITUTE(SUBSTITUTE(4キー同時!Z385," ",""),"　","")))</f>
        <v/>
      </c>
      <c r="H4417" s="2" t="str">
        <f aca="false">IF($G4417="","",4キー同時!$B$383)</f>
        <v/>
      </c>
      <c r="I4417" s="2" t="str">
        <f aca="false">IF($G4417="","",4キー同時!$G$383)</f>
        <v/>
      </c>
      <c r="J4417" s="2" t="str">
        <f aca="false">IF($G4417="","",4キー同時!$L$383)</f>
        <v/>
      </c>
      <c r="K4417" s="2" t="str">
        <f aca="false">IF($G4417="","","6")</f>
        <v/>
      </c>
      <c r="L4417" s="2" t="str">
        <f aca="false">IF($G4417="","","同時")</f>
        <v/>
      </c>
      <c r="M4417" s="2" t="str">
        <f aca="false">IF($G4417="","",IF(ISNA(MATCH($G4417,個別指定!$A:$A,0)),"行なし",""))</f>
        <v/>
      </c>
      <c r="N4417" s="2" t="str">
        <f aca="false">IF($G4417="","",IF(COUNTIF($G$2:$G$4460,$G4417)&gt;1,"重複",""))</f>
        <v/>
      </c>
    </row>
    <row r="4418" customFormat="false" ht="16.5" hidden="false" customHeight="true" outlineLevel="0" collapsed="false">
      <c r="A4418" s="2" t="s">
        <v>447</v>
      </c>
      <c r="B4418" s="2" t="s">
        <v>477</v>
      </c>
      <c r="C4418" s="2" t="s">
        <v>6</v>
      </c>
      <c r="D4418" s="2" t="str">
        <f aca="false">IF(4キー同時!$B$383="","",4キー同時!$B$383)</f>
        <v/>
      </c>
      <c r="E4418" s="2" t="str">
        <f aca="false">IF(4キー同時!$G$383="","",4キー同時!$G$383)</f>
        <v/>
      </c>
      <c r="F4418" s="2" t="str">
        <f aca="false">IF(4キー同時!$L$383="","",4キー同時!$L$383)</f>
        <v/>
      </c>
      <c r="G4418" s="2" t="str">
        <f aca="false">IF(OR(4キー同時!$B$383="",4キー同時!$G$383="",4キー同時!$L$383=""),"",IF(4キー同時!AD385="","",SUBSTITUTE(SUBSTITUTE(4キー同時!AD385," ",""),"　","")))</f>
        <v/>
      </c>
      <c r="H4418" s="2" t="str">
        <f aca="false">IF($G4418="","",4キー同時!$B$383)</f>
        <v/>
      </c>
      <c r="I4418" s="2" t="str">
        <f aca="false">IF($G4418="","",4キー同時!$G$383)</f>
        <v/>
      </c>
      <c r="J4418" s="2" t="str">
        <f aca="false">IF($G4418="","",4キー同時!$L$383)</f>
        <v/>
      </c>
      <c r="K4418" s="2" t="str">
        <f aca="false">IF($G4418="","","7")</f>
        <v/>
      </c>
      <c r="L4418" s="2" t="str">
        <f aca="false">IF($G4418="","","同時")</f>
        <v/>
      </c>
      <c r="M4418" s="2" t="str">
        <f aca="false">IF($G4418="","",IF(ISNA(MATCH($G4418,個別指定!$A:$A,0)),"行なし",""))</f>
        <v/>
      </c>
      <c r="N4418" s="2" t="str">
        <f aca="false">IF($G4418="","",IF(COUNTIF($G$2:$G$4460,$G4418)&gt;1,"重複",""))</f>
        <v/>
      </c>
    </row>
    <row r="4419" customFormat="false" ht="16.5" hidden="false" customHeight="true" outlineLevel="0" collapsed="false">
      <c r="A4419" s="2" t="s">
        <v>447</v>
      </c>
      <c r="B4419" s="2" t="s">
        <v>477</v>
      </c>
      <c r="C4419" s="2" t="s">
        <v>7</v>
      </c>
      <c r="D4419" s="2" t="str">
        <f aca="false">IF(4キー同時!$B$383="","",4キー同時!$B$383)</f>
        <v/>
      </c>
      <c r="E4419" s="2" t="str">
        <f aca="false">IF(4キー同時!$G$383="","",4キー同時!$G$383)</f>
        <v/>
      </c>
      <c r="F4419" s="2" t="str">
        <f aca="false">IF(4キー同時!$L$383="","",4キー同時!$L$383)</f>
        <v/>
      </c>
      <c r="G4419" s="2" t="str">
        <f aca="false">IF(OR(4キー同時!$B$383="",4キー同時!$G$383="",4キー同時!$L$383=""),"",IF(4キー同時!AH385="","",SUBSTITUTE(SUBSTITUTE(4キー同時!AH385," ",""),"　","")))</f>
        <v/>
      </c>
      <c r="H4419" s="2" t="str">
        <f aca="false">IF($G4419="","",4キー同時!$B$383)</f>
        <v/>
      </c>
      <c r="I4419" s="2" t="str">
        <f aca="false">IF($G4419="","",4キー同時!$G$383)</f>
        <v/>
      </c>
      <c r="J4419" s="2" t="str">
        <f aca="false">IF($G4419="","",4キー同時!$L$383)</f>
        <v/>
      </c>
      <c r="K4419" s="2" t="str">
        <f aca="false">IF($G4419="","","8")</f>
        <v/>
      </c>
      <c r="L4419" s="2" t="str">
        <f aca="false">IF($G4419="","","同時")</f>
        <v/>
      </c>
      <c r="M4419" s="2" t="str">
        <f aca="false">IF($G4419="","",IF(ISNA(MATCH($G4419,個別指定!$A:$A,0)),"行なし",""))</f>
        <v/>
      </c>
      <c r="N4419" s="2" t="str">
        <f aca="false">IF($G4419="","",IF(COUNTIF($G$2:$G$4460,$G4419)&gt;1,"重複",""))</f>
        <v/>
      </c>
    </row>
    <row r="4420" customFormat="false" ht="16.5" hidden="false" customHeight="true" outlineLevel="0" collapsed="false">
      <c r="A4420" s="2" t="s">
        <v>447</v>
      </c>
      <c r="B4420" s="2" t="s">
        <v>477</v>
      </c>
      <c r="C4420" s="2" t="s">
        <v>8</v>
      </c>
      <c r="D4420" s="2" t="str">
        <f aca="false">IF(4キー同時!$B$383="","",4キー同時!$B$383)</f>
        <v/>
      </c>
      <c r="E4420" s="2" t="str">
        <f aca="false">IF(4キー同時!$G$383="","",4キー同時!$G$383)</f>
        <v/>
      </c>
      <c r="F4420" s="2" t="str">
        <f aca="false">IF(4キー同時!$L$383="","",4キー同時!$L$383)</f>
        <v/>
      </c>
      <c r="G4420" s="2" t="str">
        <f aca="false">IF(OR(4キー同時!$B$383="",4キー同時!$G$383="",4キー同時!$L$383=""),"",IF(4キー同時!AL385="","",SUBSTITUTE(SUBSTITUTE(4キー同時!AL385," ",""),"　","")))</f>
        <v/>
      </c>
      <c r="H4420" s="2" t="str">
        <f aca="false">IF($G4420="","",4キー同時!$B$383)</f>
        <v/>
      </c>
      <c r="I4420" s="2" t="str">
        <f aca="false">IF($G4420="","",4キー同時!$G$383)</f>
        <v/>
      </c>
      <c r="J4420" s="2" t="str">
        <f aca="false">IF($G4420="","",4キー同時!$L$383)</f>
        <v/>
      </c>
      <c r="K4420" s="2" t="str">
        <f aca="false">IF($G4420="","","9")</f>
        <v/>
      </c>
      <c r="L4420" s="2" t="str">
        <f aca="false">IF($G4420="","","同時")</f>
        <v/>
      </c>
      <c r="M4420" s="2" t="str">
        <f aca="false">IF($G4420="","",IF(ISNA(MATCH($G4420,個別指定!$A:$A,0)),"行なし",""))</f>
        <v/>
      </c>
      <c r="N4420" s="2" t="str">
        <f aca="false">IF($G4420="","",IF(COUNTIF($G$2:$G$4460,$G4420)&gt;1,"重複",""))</f>
        <v/>
      </c>
    </row>
    <row r="4421" customFormat="false" ht="16.5" hidden="false" customHeight="true" outlineLevel="0" collapsed="false">
      <c r="A4421" s="2" t="s">
        <v>447</v>
      </c>
      <c r="B4421" s="2" t="s">
        <v>477</v>
      </c>
      <c r="C4421" s="2" t="s">
        <v>9</v>
      </c>
      <c r="D4421" s="2" t="str">
        <f aca="false">IF(4キー同時!$B$383="","",4キー同時!$B$383)</f>
        <v/>
      </c>
      <c r="E4421" s="2" t="str">
        <f aca="false">IF(4キー同時!$G$383="","",4キー同時!$G$383)</f>
        <v/>
      </c>
      <c r="F4421" s="2" t="str">
        <f aca="false">IF(4キー同時!$L$383="","",4キー同時!$L$383)</f>
        <v/>
      </c>
      <c r="G4421" s="2" t="str">
        <f aca="false">IF(OR(4キー同時!$B$383="",4キー同時!$G$383="",4キー同時!$L$383=""),"",IF(4キー同時!AP385="","",SUBSTITUTE(SUBSTITUTE(4キー同時!AP385," ",""),"　","")))</f>
        <v/>
      </c>
      <c r="H4421" s="2" t="str">
        <f aca="false">IF($G4421="","",4キー同時!$B$383)</f>
        <v/>
      </c>
      <c r="I4421" s="2" t="str">
        <f aca="false">IF($G4421="","",4キー同時!$G$383)</f>
        <v/>
      </c>
      <c r="J4421" s="2" t="str">
        <f aca="false">IF($G4421="","",4キー同時!$L$383)</f>
        <v/>
      </c>
      <c r="K4421" s="2" t="str">
        <f aca="false">IF($G4421="","","0")</f>
        <v/>
      </c>
      <c r="L4421" s="2" t="str">
        <f aca="false">IF($G4421="","","同時")</f>
        <v/>
      </c>
      <c r="M4421" s="2" t="str">
        <f aca="false">IF($G4421="","",IF(ISNA(MATCH($G4421,個別指定!$A:$A,0)),"行なし",""))</f>
        <v/>
      </c>
      <c r="N4421" s="2" t="str">
        <f aca="false">IF($G4421="","",IF(COUNTIF($G$2:$G$4460,$G4421)&gt;1,"重複",""))</f>
        <v/>
      </c>
    </row>
    <row r="4422" customFormat="false" ht="16.5" hidden="false" customHeight="true" outlineLevel="0" collapsed="false">
      <c r="A4422" s="2" t="s">
        <v>447</v>
      </c>
      <c r="B4422" s="2" t="s">
        <v>477</v>
      </c>
      <c r="C4422" s="2" t="s">
        <v>10</v>
      </c>
      <c r="D4422" s="2" t="str">
        <f aca="false">IF(4キー同時!$B$383="","",4キー同時!$B$383)</f>
        <v/>
      </c>
      <c r="E4422" s="2" t="str">
        <f aca="false">IF(4キー同時!$G$383="","",4キー同時!$G$383)</f>
        <v/>
      </c>
      <c r="F4422" s="2" t="str">
        <f aca="false">IF(4キー同時!$L$383="","",4キー同時!$L$383)</f>
        <v/>
      </c>
      <c r="G4422" s="2" t="str">
        <f aca="false">IF(OR(4キー同時!$B$383="",4キー同時!$G$383="",4キー同時!$L$383=""),"",IF(4キー同時!AT385="","",SUBSTITUTE(SUBSTITUTE(4キー同時!AT385," ",""),"　","")))</f>
        <v/>
      </c>
      <c r="H4422" s="2" t="str">
        <f aca="false">IF($G4422="","",4キー同時!$B$383)</f>
        <v/>
      </c>
      <c r="I4422" s="2" t="str">
        <f aca="false">IF($G4422="","",4キー同時!$G$383)</f>
        <v/>
      </c>
      <c r="J4422" s="2" t="str">
        <f aca="false">IF($G4422="","",4キー同時!$L$383)</f>
        <v/>
      </c>
      <c r="K4422" s="2" t="str">
        <f aca="false">IF($G4422="","","-")</f>
        <v/>
      </c>
      <c r="L4422" s="2" t="str">
        <f aca="false">IF($G4422="","","同時")</f>
        <v/>
      </c>
      <c r="M4422" s="2" t="str">
        <f aca="false">IF($G4422="","",IF(ISNA(MATCH($G4422,個別指定!$A:$A,0)),"行なし",""))</f>
        <v/>
      </c>
      <c r="N4422" s="2" t="str">
        <f aca="false">IF($G4422="","",IF(COUNTIF($G$2:$G$4460,$G4422)&gt;1,"重複",""))</f>
        <v/>
      </c>
    </row>
    <row r="4423" customFormat="false" ht="16.5" hidden="false" customHeight="true" outlineLevel="0" collapsed="false">
      <c r="A4423" s="2" t="s">
        <v>447</v>
      </c>
      <c r="B4423" s="2" t="s">
        <v>477</v>
      </c>
      <c r="C4423" s="2" t="s">
        <v>11</v>
      </c>
      <c r="D4423" s="2" t="str">
        <f aca="false">IF(4キー同時!$B$383="","",4キー同時!$B$383)</f>
        <v/>
      </c>
      <c r="E4423" s="2" t="str">
        <f aca="false">IF(4キー同時!$G$383="","",4キー同時!$G$383)</f>
        <v/>
      </c>
      <c r="F4423" s="2" t="str">
        <f aca="false">IF(4キー同時!$L$383="","",4キー同時!$L$383)</f>
        <v/>
      </c>
      <c r="G4423" s="2" t="str">
        <f aca="false">IF(OR(4キー同時!$B$383="",4キー同時!$G$383="",4キー同時!$L$383=""),"",IF(4キー同時!AX385="","",SUBSTITUTE(SUBSTITUTE(4キー同時!AX385," ",""),"　","")))</f>
        <v/>
      </c>
      <c r="H4423" s="2" t="str">
        <f aca="false">IF($G4423="","",4キー同時!$B$383)</f>
        <v/>
      </c>
      <c r="I4423" s="2" t="str">
        <f aca="false">IF($G4423="","",4キー同時!$G$383)</f>
        <v/>
      </c>
      <c r="J4423" s="2" t="str">
        <f aca="false">IF($G4423="","",4キー同時!$L$383)</f>
        <v/>
      </c>
      <c r="K4423" s="2" t="str">
        <f aca="false">IF($G4423="","","=")</f>
        <v/>
      </c>
      <c r="L4423" s="2" t="str">
        <f aca="false">IF($G4423="","","同時")</f>
        <v/>
      </c>
      <c r="M4423" s="2" t="str">
        <f aca="false">IF($G4423="","",IF(ISNA(MATCH($G4423,個別指定!$A:$A,0)),"行なし",""))</f>
        <v/>
      </c>
      <c r="N4423" s="2" t="str">
        <f aca="false">IF($G4423="","",IF(COUNTIF($G$2:$G$4460,$G4423)&gt;1,"重複",""))</f>
        <v/>
      </c>
    </row>
    <row r="4424" customFormat="false" ht="16.5" hidden="false" customHeight="true" outlineLevel="0" collapsed="false">
      <c r="A4424" s="2" t="s">
        <v>447</v>
      </c>
      <c r="B4424" s="2" t="s">
        <v>477</v>
      </c>
      <c r="C4424" s="2" t="s">
        <v>12</v>
      </c>
      <c r="D4424" s="2" t="str">
        <f aca="false">IF(4キー同時!$B$383="","",4キー同時!$B$383)</f>
        <v/>
      </c>
      <c r="E4424" s="2" t="str">
        <f aca="false">IF(4キー同時!$G$383="","",4キー同時!$G$383)</f>
        <v/>
      </c>
      <c r="F4424" s="2" t="str">
        <f aca="false">IF(4キー同時!$L$383="","",4キー同時!$L$383)</f>
        <v/>
      </c>
      <c r="G4424" s="2" t="str">
        <f aca="false">IF(OR(4キー同時!$B$383="",4キー同時!$G$383="",4キー同時!$L$383=""),"",IF(4キー同時!H387="","",SUBSTITUTE(SUBSTITUTE(4キー同時!H387," ",""),"　","")))</f>
        <v/>
      </c>
      <c r="H4424" s="2" t="str">
        <f aca="false">IF($G4424="","",4キー同時!$B$383)</f>
        <v/>
      </c>
      <c r="I4424" s="2" t="str">
        <f aca="false">IF($G4424="","",4キー同時!$G$383)</f>
        <v/>
      </c>
      <c r="J4424" s="2" t="str">
        <f aca="false">IF($G4424="","",4キー同時!$L$383)</f>
        <v/>
      </c>
      <c r="K4424" s="2" t="str">
        <f aca="false">IF($G4424="","","q")</f>
        <v/>
      </c>
      <c r="L4424" s="2" t="str">
        <f aca="false">IF($G4424="","","同時")</f>
        <v/>
      </c>
      <c r="M4424" s="2" t="str">
        <f aca="false">IF($G4424="","",IF(ISNA(MATCH($G4424,個別指定!$A:$A,0)),"行なし",""))</f>
        <v/>
      </c>
      <c r="N4424" s="2" t="str">
        <f aca="false">IF($G4424="","",IF(COUNTIF($G$2:$G$4460,$G4424)&gt;1,"重複",""))</f>
        <v/>
      </c>
    </row>
    <row r="4425" customFormat="false" ht="16.5" hidden="false" customHeight="true" outlineLevel="0" collapsed="false">
      <c r="A4425" s="2" t="s">
        <v>447</v>
      </c>
      <c r="B4425" s="2" t="s">
        <v>477</v>
      </c>
      <c r="C4425" s="2" t="s">
        <v>13</v>
      </c>
      <c r="D4425" s="2" t="str">
        <f aca="false">IF(4キー同時!$B$383="","",4キー同時!$B$383)</f>
        <v/>
      </c>
      <c r="E4425" s="2" t="str">
        <f aca="false">IF(4キー同時!$G$383="","",4キー同時!$G$383)</f>
        <v/>
      </c>
      <c r="F4425" s="2" t="str">
        <f aca="false">IF(4キー同時!$L$383="","",4キー同時!$L$383)</f>
        <v/>
      </c>
      <c r="G4425" s="2" t="str">
        <f aca="false">IF(OR(4キー同時!$B$383="",4キー同時!$G$383="",4キー同時!$L$383=""),"",IF(4キー同時!L387="","",SUBSTITUTE(SUBSTITUTE(4キー同時!L387," ",""),"　","")))</f>
        <v/>
      </c>
      <c r="H4425" s="2" t="str">
        <f aca="false">IF($G4425="","",4キー同時!$B$383)</f>
        <v/>
      </c>
      <c r="I4425" s="2" t="str">
        <f aca="false">IF($G4425="","",4キー同時!$G$383)</f>
        <v/>
      </c>
      <c r="J4425" s="2" t="str">
        <f aca="false">IF($G4425="","",4キー同時!$L$383)</f>
        <v/>
      </c>
      <c r="K4425" s="2" t="str">
        <f aca="false">IF($G4425="","","w")</f>
        <v/>
      </c>
      <c r="L4425" s="2" t="str">
        <f aca="false">IF($G4425="","","同時")</f>
        <v/>
      </c>
      <c r="M4425" s="2" t="str">
        <f aca="false">IF($G4425="","",IF(ISNA(MATCH($G4425,個別指定!$A:$A,0)),"行なし",""))</f>
        <v/>
      </c>
      <c r="N4425" s="2" t="str">
        <f aca="false">IF($G4425="","",IF(COUNTIF($G$2:$G$4460,$G4425)&gt;1,"重複",""))</f>
        <v/>
      </c>
    </row>
    <row r="4426" customFormat="false" ht="16.5" hidden="false" customHeight="true" outlineLevel="0" collapsed="false">
      <c r="A4426" s="2" t="s">
        <v>447</v>
      </c>
      <c r="B4426" s="2" t="s">
        <v>477</v>
      </c>
      <c r="C4426" s="2" t="s">
        <v>14</v>
      </c>
      <c r="D4426" s="2" t="str">
        <f aca="false">IF(4キー同時!$B$383="","",4キー同時!$B$383)</f>
        <v/>
      </c>
      <c r="E4426" s="2" t="str">
        <f aca="false">IF(4キー同時!$G$383="","",4キー同時!$G$383)</f>
        <v/>
      </c>
      <c r="F4426" s="2" t="str">
        <f aca="false">IF(4キー同時!$L$383="","",4キー同時!$L$383)</f>
        <v/>
      </c>
      <c r="G4426" s="2" t="str">
        <f aca="false">IF(OR(4キー同時!$B$383="",4キー同時!$G$383="",4キー同時!$L$383=""),"",IF(4キー同時!P387="","",SUBSTITUTE(SUBSTITUTE(4キー同時!P387," ",""),"　","")))</f>
        <v/>
      </c>
      <c r="H4426" s="2" t="str">
        <f aca="false">IF($G4426="","",4キー同時!$B$383)</f>
        <v/>
      </c>
      <c r="I4426" s="2" t="str">
        <f aca="false">IF($G4426="","",4キー同時!$G$383)</f>
        <v/>
      </c>
      <c r="J4426" s="2" t="str">
        <f aca="false">IF($G4426="","",4キー同時!$L$383)</f>
        <v/>
      </c>
      <c r="K4426" s="2" t="str">
        <f aca="false">IF($G4426="","","e")</f>
        <v/>
      </c>
      <c r="L4426" s="2" t="str">
        <f aca="false">IF($G4426="","","同時")</f>
        <v/>
      </c>
      <c r="M4426" s="2" t="str">
        <f aca="false">IF($G4426="","",IF(ISNA(MATCH($G4426,個別指定!$A:$A,0)),"行なし",""))</f>
        <v/>
      </c>
      <c r="N4426" s="2" t="str">
        <f aca="false">IF($G4426="","",IF(COUNTIF($G$2:$G$4460,$G4426)&gt;1,"重複",""))</f>
        <v/>
      </c>
    </row>
    <row r="4427" customFormat="false" ht="16.5" hidden="false" customHeight="true" outlineLevel="0" collapsed="false">
      <c r="A4427" s="2" t="s">
        <v>447</v>
      </c>
      <c r="B4427" s="2" t="s">
        <v>477</v>
      </c>
      <c r="C4427" s="2" t="s">
        <v>15</v>
      </c>
      <c r="D4427" s="2" t="str">
        <f aca="false">IF(4キー同時!$B$383="","",4キー同時!$B$383)</f>
        <v/>
      </c>
      <c r="E4427" s="2" t="str">
        <f aca="false">IF(4キー同時!$G$383="","",4キー同時!$G$383)</f>
        <v/>
      </c>
      <c r="F4427" s="2" t="str">
        <f aca="false">IF(4キー同時!$L$383="","",4キー同時!$L$383)</f>
        <v/>
      </c>
      <c r="G4427" s="2" t="str">
        <f aca="false">IF(OR(4キー同時!$B$383="",4キー同時!$G$383="",4キー同時!$L$383=""),"",IF(4キー同時!T387="","",SUBSTITUTE(SUBSTITUTE(4キー同時!T387," ",""),"　","")))</f>
        <v/>
      </c>
      <c r="H4427" s="2" t="str">
        <f aca="false">IF($G4427="","",4キー同時!$B$383)</f>
        <v/>
      </c>
      <c r="I4427" s="2" t="str">
        <f aca="false">IF($G4427="","",4キー同時!$G$383)</f>
        <v/>
      </c>
      <c r="J4427" s="2" t="str">
        <f aca="false">IF($G4427="","",4キー同時!$L$383)</f>
        <v/>
      </c>
      <c r="K4427" s="2" t="str">
        <f aca="false">IF($G4427="","","r")</f>
        <v/>
      </c>
      <c r="L4427" s="2" t="str">
        <f aca="false">IF($G4427="","","同時")</f>
        <v/>
      </c>
      <c r="M4427" s="2" t="str">
        <f aca="false">IF($G4427="","",IF(ISNA(MATCH($G4427,個別指定!$A:$A,0)),"行なし",""))</f>
        <v/>
      </c>
      <c r="N4427" s="2" t="str">
        <f aca="false">IF($G4427="","",IF(COUNTIF($G$2:$G$4460,$G4427)&gt;1,"重複",""))</f>
        <v/>
      </c>
    </row>
    <row r="4428" customFormat="false" ht="16.5" hidden="false" customHeight="true" outlineLevel="0" collapsed="false">
      <c r="A4428" s="2" t="s">
        <v>447</v>
      </c>
      <c r="B4428" s="2" t="s">
        <v>477</v>
      </c>
      <c r="C4428" s="2" t="s">
        <v>16</v>
      </c>
      <c r="D4428" s="2" t="str">
        <f aca="false">IF(4キー同時!$B$383="","",4キー同時!$B$383)</f>
        <v/>
      </c>
      <c r="E4428" s="2" t="str">
        <f aca="false">IF(4キー同時!$G$383="","",4キー同時!$G$383)</f>
        <v/>
      </c>
      <c r="F4428" s="2" t="str">
        <f aca="false">IF(4キー同時!$L$383="","",4キー同時!$L$383)</f>
        <v/>
      </c>
      <c r="G4428" s="2" t="str">
        <f aca="false">IF(OR(4キー同時!$B$383="",4キー同時!$G$383="",4キー同時!$L$383=""),"",IF(4キー同時!X387="","",SUBSTITUTE(SUBSTITUTE(4キー同時!X387," ",""),"　","")))</f>
        <v/>
      </c>
      <c r="H4428" s="2" t="str">
        <f aca="false">IF($G4428="","",4キー同時!$B$383)</f>
        <v/>
      </c>
      <c r="I4428" s="2" t="str">
        <f aca="false">IF($G4428="","",4キー同時!$G$383)</f>
        <v/>
      </c>
      <c r="J4428" s="2" t="str">
        <f aca="false">IF($G4428="","",4キー同時!$L$383)</f>
        <v/>
      </c>
      <c r="K4428" s="2" t="str">
        <f aca="false">IF($G4428="","","t")</f>
        <v/>
      </c>
      <c r="L4428" s="2" t="str">
        <f aca="false">IF($G4428="","","同時")</f>
        <v/>
      </c>
      <c r="M4428" s="2" t="str">
        <f aca="false">IF($G4428="","",IF(ISNA(MATCH($G4428,個別指定!$A:$A,0)),"行なし",""))</f>
        <v/>
      </c>
      <c r="N4428" s="2" t="str">
        <f aca="false">IF($G4428="","",IF(COUNTIF($G$2:$G$4460,$G4428)&gt;1,"重複",""))</f>
        <v/>
      </c>
    </row>
    <row r="4429" customFormat="false" ht="16.5" hidden="false" customHeight="true" outlineLevel="0" collapsed="false">
      <c r="A4429" s="2" t="s">
        <v>447</v>
      </c>
      <c r="B4429" s="2" t="s">
        <v>477</v>
      </c>
      <c r="C4429" s="2" t="s">
        <v>17</v>
      </c>
      <c r="D4429" s="2" t="str">
        <f aca="false">IF(4キー同時!$B$383="","",4キー同時!$B$383)</f>
        <v/>
      </c>
      <c r="E4429" s="2" t="str">
        <f aca="false">IF(4キー同時!$G$383="","",4キー同時!$G$383)</f>
        <v/>
      </c>
      <c r="F4429" s="2" t="str">
        <f aca="false">IF(4キー同時!$L$383="","",4キー同時!$L$383)</f>
        <v/>
      </c>
      <c r="G4429" s="2" t="str">
        <f aca="false">IF(OR(4キー同時!$B$383="",4キー同時!$G$383="",4キー同時!$L$383=""),"",IF(4キー同時!AB387="","",SUBSTITUTE(SUBSTITUTE(4キー同時!AB387," ",""),"　","")))</f>
        <v/>
      </c>
      <c r="H4429" s="2" t="str">
        <f aca="false">IF($G4429="","",4キー同時!$B$383)</f>
        <v/>
      </c>
      <c r="I4429" s="2" t="str">
        <f aca="false">IF($G4429="","",4キー同時!$G$383)</f>
        <v/>
      </c>
      <c r="J4429" s="2" t="str">
        <f aca="false">IF($G4429="","",4キー同時!$L$383)</f>
        <v/>
      </c>
      <c r="K4429" s="2" t="str">
        <f aca="false">IF($G4429="","","y")</f>
        <v/>
      </c>
      <c r="L4429" s="2" t="str">
        <f aca="false">IF($G4429="","","同時")</f>
        <v/>
      </c>
      <c r="M4429" s="2" t="str">
        <f aca="false">IF($G4429="","",IF(ISNA(MATCH($G4429,個別指定!$A:$A,0)),"行なし",""))</f>
        <v/>
      </c>
      <c r="N4429" s="2" t="str">
        <f aca="false">IF($G4429="","",IF(COUNTIF($G$2:$G$4460,$G4429)&gt;1,"重複",""))</f>
        <v/>
      </c>
    </row>
    <row r="4430" customFormat="false" ht="16.5" hidden="false" customHeight="true" outlineLevel="0" collapsed="false">
      <c r="A4430" s="2" t="s">
        <v>447</v>
      </c>
      <c r="B4430" s="2" t="s">
        <v>477</v>
      </c>
      <c r="C4430" s="2" t="s">
        <v>18</v>
      </c>
      <c r="D4430" s="2" t="str">
        <f aca="false">IF(4キー同時!$B$383="","",4キー同時!$B$383)</f>
        <v/>
      </c>
      <c r="E4430" s="2" t="str">
        <f aca="false">IF(4キー同時!$G$383="","",4キー同時!$G$383)</f>
        <v/>
      </c>
      <c r="F4430" s="2" t="str">
        <f aca="false">IF(4キー同時!$L$383="","",4キー同時!$L$383)</f>
        <v/>
      </c>
      <c r="G4430" s="2" t="str">
        <f aca="false">IF(OR(4キー同時!$B$383="",4キー同時!$G$383="",4キー同時!$L$383=""),"",IF(4キー同時!AF387="","",SUBSTITUTE(SUBSTITUTE(4キー同時!AF387," ",""),"　","")))</f>
        <v/>
      </c>
      <c r="H4430" s="2" t="str">
        <f aca="false">IF($G4430="","",4キー同時!$B$383)</f>
        <v/>
      </c>
      <c r="I4430" s="2" t="str">
        <f aca="false">IF($G4430="","",4キー同時!$G$383)</f>
        <v/>
      </c>
      <c r="J4430" s="2" t="str">
        <f aca="false">IF($G4430="","",4キー同時!$L$383)</f>
        <v/>
      </c>
      <c r="K4430" s="2" t="str">
        <f aca="false">IF($G4430="","","u")</f>
        <v/>
      </c>
      <c r="L4430" s="2" t="str">
        <f aca="false">IF($G4430="","","同時")</f>
        <v/>
      </c>
      <c r="M4430" s="2" t="str">
        <f aca="false">IF($G4430="","",IF(ISNA(MATCH($G4430,個別指定!$A:$A,0)),"行なし",""))</f>
        <v/>
      </c>
      <c r="N4430" s="2" t="str">
        <f aca="false">IF($G4430="","",IF(COUNTIF($G$2:$G$4460,$G4430)&gt;1,"重複",""))</f>
        <v/>
      </c>
    </row>
    <row r="4431" customFormat="false" ht="16.5" hidden="false" customHeight="true" outlineLevel="0" collapsed="false">
      <c r="A4431" s="2" t="s">
        <v>447</v>
      </c>
      <c r="B4431" s="2" t="s">
        <v>477</v>
      </c>
      <c r="C4431" s="2" t="s">
        <v>19</v>
      </c>
      <c r="D4431" s="2" t="str">
        <f aca="false">IF(4キー同時!$B$383="","",4キー同時!$B$383)</f>
        <v/>
      </c>
      <c r="E4431" s="2" t="str">
        <f aca="false">IF(4キー同時!$G$383="","",4キー同時!$G$383)</f>
        <v/>
      </c>
      <c r="F4431" s="2" t="str">
        <f aca="false">IF(4キー同時!$L$383="","",4キー同時!$L$383)</f>
        <v/>
      </c>
      <c r="G4431" s="2" t="str">
        <f aca="false">IF(OR(4キー同時!$B$383="",4キー同時!$G$383="",4キー同時!$L$383=""),"",IF(4キー同時!AJ387="","",SUBSTITUTE(SUBSTITUTE(4キー同時!AJ387," ",""),"　","")))</f>
        <v/>
      </c>
      <c r="H4431" s="2" t="str">
        <f aca="false">IF($G4431="","",4キー同時!$B$383)</f>
        <v/>
      </c>
      <c r="I4431" s="2" t="str">
        <f aca="false">IF($G4431="","",4キー同時!$G$383)</f>
        <v/>
      </c>
      <c r="J4431" s="2" t="str">
        <f aca="false">IF($G4431="","",4キー同時!$L$383)</f>
        <v/>
      </c>
      <c r="K4431" s="2" t="str">
        <f aca="false">IF($G4431="","","i")</f>
        <v/>
      </c>
      <c r="L4431" s="2" t="str">
        <f aca="false">IF($G4431="","","同時")</f>
        <v/>
      </c>
      <c r="M4431" s="2" t="str">
        <f aca="false">IF($G4431="","",IF(ISNA(MATCH($G4431,個別指定!$A:$A,0)),"行なし",""))</f>
        <v/>
      </c>
      <c r="N4431" s="2" t="str">
        <f aca="false">IF($G4431="","",IF(COUNTIF($G$2:$G$4460,$G4431)&gt;1,"重複",""))</f>
        <v/>
      </c>
    </row>
    <row r="4432" customFormat="false" ht="16.5" hidden="false" customHeight="true" outlineLevel="0" collapsed="false">
      <c r="A4432" s="2" t="s">
        <v>447</v>
      </c>
      <c r="B4432" s="2" t="s">
        <v>477</v>
      </c>
      <c r="C4432" s="2" t="s">
        <v>20</v>
      </c>
      <c r="D4432" s="2" t="str">
        <f aca="false">IF(4キー同時!$B$383="","",4キー同時!$B$383)</f>
        <v/>
      </c>
      <c r="E4432" s="2" t="str">
        <f aca="false">IF(4キー同時!$G$383="","",4キー同時!$G$383)</f>
        <v/>
      </c>
      <c r="F4432" s="2" t="str">
        <f aca="false">IF(4キー同時!$L$383="","",4キー同時!$L$383)</f>
        <v/>
      </c>
      <c r="G4432" s="2" t="str">
        <f aca="false">IF(OR(4キー同時!$B$383="",4キー同時!$G$383="",4キー同時!$L$383=""),"",IF(4キー同時!AN387="","",SUBSTITUTE(SUBSTITUTE(4キー同時!AN387," ",""),"　","")))</f>
        <v/>
      </c>
      <c r="H4432" s="2" t="str">
        <f aca="false">IF($G4432="","",4キー同時!$B$383)</f>
        <v/>
      </c>
      <c r="I4432" s="2" t="str">
        <f aca="false">IF($G4432="","",4キー同時!$G$383)</f>
        <v/>
      </c>
      <c r="J4432" s="2" t="str">
        <f aca="false">IF($G4432="","",4キー同時!$L$383)</f>
        <v/>
      </c>
      <c r="K4432" s="2" t="str">
        <f aca="false">IF($G4432="","","o")</f>
        <v/>
      </c>
      <c r="L4432" s="2" t="str">
        <f aca="false">IF($G4432="","","同時")</f>
        <v/>
      </c>
      <c r="M4432" s="2" t="str">
        <f aca="false">IF($G4432="","",IF(ISNA(MATCH($G4432,個別指定!$A:$A,0)),"行なし",""))</f>
        <v/>
      </c>
      <c r="N4432" s="2" t="str">
        <f aca="false">IF($G4432="","",IF(COUNTIF($G$2:$G$4460,$G4432)&gt;1,"重複",""))</f>
        <v/>
      </c>
    </row>
    <row r="4433" customFormat="false" ht="16.5" hidden="false" customHeight="true" outlineLevel="0" collapsed="false">
      <c r="A4433" s="2" t="s">
        <v>447</v>
      </c>
      <c r="B4433" s="2" t="s">
        <v>477</v>
      </c>
      <c r="C4433" s="2" t="s">
        <v>21</v>
      </c>
      <c r="D4433" s="2" t="str">
        <f aca="false">IF(4キー同時!$B$383="","",4キー同時!$B$383)</f>
        <v/>
      </c>
      <c r="E4433" s="2" t="str">
        <f aca="false">IF(4キー同時!$G$383="","",4キー同時!$G$383)</f>
        <v/>
      </c>
      <c r="F4433" s="2" t="str">
        <f aca="false">IF(4キー同時!$L$383="","",4キー同時!$L$383)</f>
        <v/>
      </c>
      <c r="G4433" s="2" t="str">
        <f aca="false">IF(OR(4キー同時!$B$383="",4キー同時!$G$383="",4キー同時!$L$383=""),"",IF(4キー同時!AR387="","",SUBSTITUTE(SUBSTITUTE(4キー同時!AR387," ",""),"　","")))</f>
        <v/>
      </c>
      <c r="H4433" s="2" t="str">
        <f aca="false">IF($G4433="","",4キー同時!$B$383)</f>
        <v/>
      </c>
      <c r="I4433" s="2" t="str">
        <f aca="false">IF($G4433="","",4キー同時!$G$383)</f>
        <v/>
      </c>
      <c r="J4433" s="2" t="str">
        <f aca="false">IF($G4433="","",4キー同時!$L$383)</f>
        <v/>
      </c>
      <c r="K4433" s="2" t="str">
        <f aca="false">IF($G4433="","","p")</f>
        <v/>
      </c>
      <c r="L4433" s="2" t="str">
        <f aca="false">IF($G4433="","","同時")</f>
        <v/>
      </c>
      <c r="M4433" s="2" t="str">
        <f aca="false">IF($G4433="","",IF(ISNA(MATCH($G4433,個別指定!$A:$A,0)),"行なし",""))</f>
        <v/>
      </c>
      <c r="N4433" s="2" t="str">
        <f aca="false">IF($G4433="","",IF(COUNTIF($G$2:$G$4460,$G4433)&gt;1,"重複",""))</f>
        <v/>
      </c>
    </row>
    <row r="4434" customFormat="false" ht="16.5" hidden="false" customHeight="true" outlineLevel="0" collapsed="false">
      <c r="A4434" s="2" t="s">
        <v>447</v>
      </c>
      <c r="B4434" s="2" t="s">
        <v>477</v>
      </c>
      <c r="C4434" s="2" t="s">
        <v>22</v>
      </c>
      <c r="D4434" s="2" t="str">
        <f aca="false">IF(4キー同時!$B$383="","",4キー同時!$B$383)</f>
        <v/>
      </c>
      <c r="E4434" s="2" t="str">
        <f aca="false">IF(4キー同時!$G$383="","",4キー同時!$G$383)</f>
        <v/>
      </c>
      <c r="F4434" s="2" t="str">
        <f aca="false">IF(4キー同時!$L$383="","",4キー同時!$L$383)</f>
        <v/>
      </c>
      <c r="G4434" s="2" t="str">
        <f aca="false">IF(OR(4キー同時!$B$383="",4キー同時!$G$383="",4キー同時!$L$383=""),"",IF(4キー同時!AV387="","",SUBSTITUTE(SUBSTITUTE(4キー同時!AV387," ",""),"　","")))</f>
        <v/>
      </c>
      <c r="H4434" s="2" t="str">
        <f aca="false">IF($G4434="","",4キー同時!$B$383)</f>
        <v/>
      </c>
      <c r="I4434" s="2" t="str">
        <f aca="false">IF($G4434="","",4キー同時!$G$383)</f>
        <v/>
      </c>
      <c r="J4434" s="2" t="str">
        <f aca="false">IF($G4434="","",4キー同時!$L$383)</f>
        <v/>
      </c>
      <c r="K4434" s="2" t="str">
        <f aca="false">IF($G4434="","","[")</f>
        <v/>
      </c>
      <c r="L4434" s="2" t="str">
        <f aca="false">IF($G4434="","","同時")</f>
        <v/>
      </c>
      <c r="M4434" s="2" t="str">
        <f aca="false">IF($G4434="","",IF(ISNA(MATCH($G4434,個別指定!$A:$A,0)),"行なし",""))</f>
        <v/>
      </c>
      <c r="N4434" s="2" t="str">
        <f aca="false">IF($G4434="","",IF(COUNTIF($G$2:$G$4460,$G4434)&gt;1,"重複",""))</f>
        <v/>
      </c>
    </row>
    <row r="4435" customFormat="false" ht="16.5" hidden="false" customHeight="true" outlineLevel="0" collapsed="false">
      <c r="A4435" s="2" t="s">
        <v>447</v>
      </c>
      <c r="B4435" s="2" t="s">
        <v>477</v>
      </c>
      <c r="C4435" s="2" t="s">
        <v>23</v>
      </c>
      <c r="D4435" s="2" t="str">
        <f aca="false">IF(4キー同時!$B$383="","",4キー同時!$B$383)</f>
        <v/>
      </c>
      <c r="E4435" s="2" t="str">
        <f aca="false">IF(4キー同時!$G$383="","",4キー同時!$G$383)</f>
        <v/>
      </c>
      <c r="F4435" s="2" t="str">
        <f aca="false">IF(4キー同時!$L$383="","",4キー同時!$L$383)</f>
        <v/>
      </c>
      <c r="G4435" s="2" t="str">
        <f aca="false">IF(OR(4キー同時!$B$383="",4キー同時!$G$383="",4キー同時!$L$383=""),"",IF(4キー同時!AZ387="","",SUBSTITUTE(SUBSTITUTE(4キー同時!AZ387," ",""),"　","")))</f>
        <v/>
      </c>
      <c r="H4435" s="2" t="str">
        <f aca="false">IF($G4435="","",4キー同時!$B$383)</f>
        <v/>
      </c>
      <c r="I4435" s="2" t="str">
        <f aca="false">IF($G4435="","",4キー同時!$G$383)</f>
        <v/>
      </c>
      <c r="J4435" s="2" t="str">
        <f aca="false">IF($G4435="","",4キー同時!$L$383)</f>
        <v/>
      </c>
      <c r="K4435" s="2" t="str">
        <f aca="false">IF($G4435="","","]")</f>
        <v/>
      </c>
      <c r="L4435" s="2" t="str">
        <f aca="false">IF($G4435="","","同時")</f>
        <v/>
      </c>
      <c r="M4435" s="2" t="str">
        <f aca="false">IF($G4435="","",IF(ISNA(MATCH($G4435,個別指定!$A:$A,0)),"行なし",""))</f>
        <v/>
      </c>
      <c r="N4435" s="2" t="str">
        <f aca="false">IF($G4435="","",IF(COUNTIF($G$2:$G$4460,$G4435)&gt;1,"重複",""))</f>
        <v/>
      </c>
    </row>
    <row r="4436" customFormat="false" ht="16.5" hidden="false" customHeight="true" outlineLevel="0" collapsed="false">
      <c r="A4436" s="2" t="s">
        <v>447</v>
      </c>
      <c r="B4436" s="2" t="s">
        <v>477</v>
      </c>
      <c r="C4436" s="2" t="s">
        <v>24</v>
      </c>
      <c r="D4436" s="2" t="str">
        <f aca="false">IF(4キー同時!$B$383="","",4キー同時!$B$383)</f>
        <v/>
      </c>
      <c r="E4436" s="2" t="str">
        <f aca="false">IF(4キー同時!$G$383="","",4キー同時!$G$383)</f>
        <v/>
      </c>
      <c r="F4436" s="2" t="str">
        <f aca="false">IF(4キー同時!$L$383="","",4キー同時!$L$383)</f>
        <v/>
      </c>
      <c r="G4436" s="2" t="str">
        <f aca="false">IF(OR(4キー同時!$B$383="",4キー同時!$G$383="",4キー同時!$L$383=""),"",IF(4キー同時!I389="","",SUBSTITUTE(SUBSTITUTE(4キー同時!I389," ",""),"　","")))</f>
        <v/>
      </c>
      <c r="H4436" s="2" t="str">
        <f aca="false">IF($G4436="","",4キー同時!$B$383)</f>
        <v/>
      </c>
      <c r="I4436" s="2" t="str">
        <f aca="false">IF($G4436="","",4キー同時!$G$383)</f>
        <v/>
      </c>
      <c r="J4436" s="2" t="str">
        <f aca="false">IF($G4436="","",4キー同時!$L$383)</f>
        <v/>
      </c>
      <c r="K4436" s="2" t="str">
        <f aca="false">IF($G4436="","","a")</f>
        <v/>
      </c>
      <c r="L4436" s="2" t="str">
        <f aca="false">IF($G4436="","","同時")</f>
        <v/>
      </c>
      <c r="M4436" s="2" t="str">
        <f aca="false">IF($G4436="","",IF(ISNA(MATCH($G4436,個別指定!$A:$A,0)),"行なし",""))</f>
        <v/>
      </c>
      <c r="N4436" s="2" t="str">
        <f aca="false">IF($G4436="","",IF(COUNTIF($G$2:$G$4460,$G4436)&gt;1,"重複",""))</f>
        <v/>
      </c>
    </row>
    <row r="4437" customFormat="false" ht="16.5" hidden="false" customHeight="true" outlineLevel="0" collapsed="false">
      <c r="A4437" s="2" t="s">
        <v>447</v>
      </c>
      <c r="B4437" s="2" t="s">
        <v>477</v>
      </c>
      <c r="C4437" s="2" t="s">
        <v>25</v>
      </c>
      <c r="D4437" s="2" t="str">
        <f aca="false">IF(4キー同時!$B$383="","",4キー同時!$B$383)</f>
        <v/>
      </c>
      <c r="E4437" s="2" t="str">
        <f aca="false">IF(4キー同時!$G$383="","",4キー同時!$G$383)</f>
        <v/>
      </c>
      <c r="F4437" s="2" t="str">
        <f aca="false">IF(4キー同時!$L$383="","",4キー同時!$L$383)</f>
        <v/>
      </c>
      <c r="G4437" s="2" t="str">
        <f aca="false">IF(OR(4キー同時!$B$383="",4キー同時!$G$383="",4キー同時!$L$383=""),"",IF(4キー同時!M389="","",SUBSTITUTE(SUBSTITUTE(4キー同時!M389," ",""),"　","")))</f>
        <v/>
      </c>
      <c r="H4437" s="2" t="str">
        <f aca="false">IF($G4437="","",4キー同時!$B$383)</f>
        <v/>
      </c>
      <c r="I4437" s="2" t="str">
        <f aca="false">IF($G4437="","",4キー同時!$G$383)</f>
        <v/>
      </c>
      <c r="J4437" s="2" t="str">
        <f aca="false">IF($G4437="","",4キー同時!$L$383)</f>
        <v/>
      </c>
      <c r="K4437" s="2" t="str">
        <f aca="false">IF($G4437="","","s")</f>
        <v/>
      </c>
      <c r="L4437" s="2" t="str">
        <f aca="false">IF($G4437="","","同時")</f>
        <v/>
      </c>
      <c r="M4437" s="2" t="str">
        <f aca="false">IF($G4437="","",IF(ISNA(MATCH($G4437,個別指定!$A:$A,0)),"行なし",""))</f>
        <v/>
      </c>
      <c r="N4437" s="2" t="str">
        <f aca="false">IF($G4437="","",IF(COUNTIF($G$2:$G$4460,$G4437)&gt;1,"重複",""))</f>
        <v/>
      </c>
    </row>
    <row r="4438" customFormat="false" ht="16.5" hidden="false" customHeight="true" outlineLevel="0" collapsed="false">
      <c r="A4438" s="2" t="s">
        <v>447</v>
      </c>
      <c r="B4438" s="2" t="s">
        <v>477</v>
      </c>
      <c r="C4438" s="2" t="s">
        <v>26</v>
      </c>
      <c r="D4438" s="2" t="str">
        <f aca="false">IF(4キー同時!$B$383="","",4キー同時!$B$383)</f>
        <v/>
      </c>
      <c r="E4438" s="2" t="str">
        <f aca="false">IF(4キー同時!$G$383="","",4キー同時!$G$383)</f>
        <v/>
      </c>
      <c r="F4438" s="2" t="str">
        <f aca="false">IF(4キー同時!$L$383="","",4キー同時!$L$383)</f>
        <v/>
      </c>
      <c r="G4438" s="2" t="str">
        <f aca="false">IF(OR(4キー同時!$B$383="",4キー同時!$G$383="",4キー同時!$L$383=""),"",IF(4キー同時!Q389="","",SUBSTITUTE(SUBSTITUTE(4キー同時!Q389," ",""),"　","")))</f>
        <v/>
      </c>
      <c r="H4438" s="2" t="str">
        <f aca="false">IF($G4438="","",4キー同時!$B$383)</f>
        <v/>
      </c>
      <c r="I4438" s="2" t="str">
        <f aca="false">IF($G4438="","",4キー同時!$G$383)</f>
        <v/>
      </c>
      <c r="J4438" s="2" t="str">
        <f aca="false">IF($G4438="","",4キー同時!$L$383)</f>
        <v/>
      </c>
      <c r="K4438" s="2" t="str">
        <f aca="false">IF($G4438="","","d")</f>
        <v/>
      </c>
      <c r="L4438" s="2" t="str">
        <f aca="false">IF($G4438="","","同時")</f>
        <v/>
      </c>
      <c r="M4438" s="2" t="str">
        <f aca="false">IF($G4438="","",IF(ISNA(MATCH($G4438,個別指定!$A:$A,0)),"行なし",""))</f>
        <v/>
      </c>
      <c r="N4438" s="2" t="str">
        <f aca="false">IF($G4438="","",IF(COUNTIF($G$2:$G$4460,$G4438)&gt;1,"重複",""))</f>
        <v/>
      </c>
    </row>
    <row r="4439" customFormat="false" ht="16.5" hidden="false" customHeight="true" outlineLevel="0" collapsed="false">
      <c r="A4439" s="2" t="s">
        <v>447</v>
      </c>
      <c r="B4439" s="2" t="s">
        <v>477</v>
      </c>
      <c r="C4439" s="2" t="s">
        <v>27</v>
      </c>
      <c r="D4439" s="2" t="str">
        <f aca="false">IF(4キー同時!$B$383="","",4キー同時!$B$383)</f>
        <v/>
      </c>
      <c r="E4439" s="2" t="str">
        <f aca="false">IF(4キー同時!$G$383="","",4キー同時!$G$383)</f>
        <v/>
      </c>
      <c r="F4439" s="2" t="str">
        <f aca="false">IF(4キー同時!$L$383="","",4キー同時!$L$383)</f>
        <v/>
      </c>
      <c r="G4439" s="2" t="str">
        <f aca="false">IF(OR(4キー同時!$B$383="",4キー同時!$G$383="",4キー同時!$L$383=""),"",IF(4キー同時!U389="","",SUBSTITUTE(SUBSTITUTE(4キー同時!U389," ",""),"　","")))</f>
        <v/>
      </c>
      <c r="H4439" s="2" t="str">
        <f aca="false">IF($G4439="","",4キー同時!$B$383)</f>
        <v/>
      </c>
      <c r="I4439" s="2" t="str">
        <f aca="false">IF($G4439="","",4キー同時!$G$383)</f>
        <v/>
      </c>
      <c r="J4439" s="2" t="str">
        <f aca="false">IF($G4439="","",4キー同時!$L$383)</f>
        <v/>
      </c>
      <c r="K4439" s="2" t="str">
        <f aca="false">IF($G4439="","","f")</f>
        <v/>
      </c>
      <c r="L4439" s="2" t="str">
        <f aca="false">IF($G4439="","","同時")</f>
        <v/>
      </c>
      <c r="M4439" s="2" t="str">
        <f aca="false">IF($G4439="","",IF(ISNA(MATCH($G4439,個別指定!$A:$A,0)),"行なし",""))</f>
        <v/>
      </c>
      <c r="N4439" s="2" t="str">
        <f aca="false">IF($G4439="","",IF(COUNTIF($G$2:$G$4460,$G4439)&gt;1,"重複",""))</f>
        <v/>
      </c>
    </row>
    <row r="4440" customFormat="false" ht="16.5" hidden="false" customHeight="true" outlineLevel="0" collapsed="false">
      <c r="A4440" s="2" t="s">
        <v>447</v>
      </c>
      <c r="B4440" s="2" t="s">
        <v>477</v>
      </c>
      <c r="C4440" s="2" t="s">
        <v>28</v>
      </c>
      <c r="D4440" s="2" t="str">
        <f aca="false">IF(4キー同時!$B$383="","",4キー同時!$B$383)</f>
        <v/>
      </c>
      <c r="E4440" s="2" t="str">
        <f aca="false">IF(4キー同時!$G$383="","",4キー同時!$G$383)</f>
        <v/>
      </c>
      <c r="F4440" s="2" t="str">
        <f aca="false">IF(4キー同時!$L$383="","",4キー同時!$L$383)</f>
        <v/>
      </c>
      <c r="G4440" s="2" t="str">
        <f aca="false">IF(OR(4キー同時!$B$383="",4キー同時!$G$383="",4キー同時!$L$383=""),"",IF(4キー同時!Y389="","",SUBSTITUTE(SUBSTITUTE(4キー同時!Y389," ",""),"　","")))</f>
        <v/>
      </c>
      <c r="H4440" s="2" t="str">
        <f aca="false">IF($G4440="","",4キー同時!$B$383)</f>
        <v/>
      </c>
      <c r="I4440" s="2" t="str">
        <f aca="false">IF($G4440="","",4キー同時!$G$383)</f>
        <v/>
      </c>
      <c r="J4440" s="2" t="str">
        <f aca="false">IF($G4440="","",4キー同時!$L$383)</f>
        <v/>
      </c>
      <c r="K4440" s="2" t="str">
        <f aca="false">IF($G4440="","","g")</f>
        <v/>
      </c>
      <c r="L4440" s="2" t="str">
        <f aca="false">IF($G4440="","","同時")</f>
        <v/>
      </c>
      <c r="M4440" s="2" t="str">
        <f aca="false">IF($G4440="","",IF(ISNA(MATCH($G4440,個別指定!$A:$A,0)),"行なし",""))</f>
        <v/>
      </c>
      <c r="N4440" s="2" t="str">
        <f aca="false">IF($G4440="","",IF(COUNTIF($G$2:$G$4460,$G4440)&gt;1,"重複",""))</f>
        <v/>
      </c>
    </row>
    <row r="4441" customFormat="false" ht="16.5" hidden="false" customHeight="true" outlineLevel="0" collapsed="false">
      <c r="A4441" s="2" t="s">
        <v>447</v>
      </c>
      <c r="B4441" s="2" t="s">
        <v>477</v>
      </c>
      <c r="C4441" s="2" t="s">
        <v>29</v>
      </c>
      <c r="D4441" s="2" t="str">
        <f aca="false">IF(4キー同時!$B$383="","",4キー同時!$B$383)</f>
        <v/>
      </c>
      <c r="E4441" s="2" t="str">
        <f aca="false">IF(4キー同時!$G$383="","",4キー同時!$G$383)</f>
        <v/>
      </c>
      <c r="F4441" s="2" t="str">
        <f aca="false">IF(4キー同時!$L$383="","",4キー同時!$L$383)</f>
        <v/>
      </c>
      <c r="G4441" s="2" t="str">
        <f aca="false">IF(OR(4キー同時!$B$383="",4キー同時!$G$383="",4キー同時!$L$383=""),"",IF(4キー同時!AC389="","",SUBSTITUTE(SUBSTITUTE(4キー同時!AC389," ",""),"　","")))</f>
        <v/>
      </c>
      <c r="H4441" s="2" t="str">
        <f aca="false">IF($G4441="","",4キー同時!$B$383)</f>
        <v/>
      </c>
      <c r="I4441" s="2" t="str">
        <f aca="false">IF($G4441="","",4キー同時!$G$383)</f>
        <v/>
      </c>
      <c r="J4441" s="2" t="str">
        <f aca="false">IF($G4441="","",4キー同時!$L$383)</f>
        <v/>
      </c>
      <c r="K4441" s="2" t="str">
        <f aca="false">IF($G4441="","","h")</f>
        <v/>
      </c>
      <c r="L4441" s="2" t="str">
        <f aca="false">IF($G4441="","","同時")</f>
        <v/>
      </c>
      <c r="M4441" s="2" t="str">
        <f aca="false">IF($G4441="","",IF(ISNA(MATCH($G4441,個別指定!$A:$A,0)),"行なし",""))</f>
        <v/>
      </c>
      <c r="N4441" s="2" t="str">
        <f aca="false">IF($G4441="","",IF(COUNTIF($G$2:$G$4460,$G4441)&gt;1,"重複",""))</f>
        <v/>
      </c>
    </row>
    <row r="4442" customFormat="false" ht="16.5" hidden="false" customHeight="true" outlineLevel="0" collapsed="false">
      <c r="A4442" s="2" t="s">
        <v>447</v>
      </c>
      <c r="B4442" s="2" t="s">
        <v>477</v>
      </c>
      <c r="C4442" s="2" t="s">
        <v>30</v>
      </c>
      <c r="D4442" s="2" t="str">
        <f aca="false">IF(4キー同時!$B$383="","",4キー同時!$B$383)</f>
        <v/>
      </c>
      <c r="E4442" s="2" t="str">
        <f aca="false">IF(4キー同時!$G$383="","",4キー同時!$G$383)</f>
        <v/>
      </c>
      <c r="F4442" s="2" t="str">
        <f aca="false">IF(4キー同時!$L$383="","",4キー同時!$L$383)</f>
        <v/>
      </c>
      <c r="G4442" s="2" t="str">
        <f aca="false">IF(OR(4キー同時!$B$383="",4キー同時!$G$383="",4キー同時!$L$383=""),"",IF(4キー同時!AG389="","",SUBSTITUTE(SUBSTITUTE(4キー同時!AG389," ",""),"　","")))</f>
        <v/>
      </c>
      <c r="H4442" s="2" t="str">
        <f aca="false">IF($G4442="","",4キー同時!$B$383)</f>
        <v/>
      </c>
      <c r="I4442" s="2" t="str">
        <f aca="false">IF($G4442="","",4キー同時!$G$383)</f>
        <v/>
      </c>
      <c r="J4442" s="2" t="str">
        <f aca="false">IF($G4442="","",4キー同時!$L$383)</f>
        <v/>
      </c>
      <c r="K4442" s="2" t="str">
        <f aca="false">IF($G4442="","","j")</f>
        <v/>
      </c>
      <c r="L4442" s="2" t="str">
        <f aca="false">IF($G4442="","","同時")</f>
        <v/>
      </c>
      <c r="M4442" s="2" t="str">
        <f aca="false">IF($G4442="","",IF(ISNA(MATCH($G4442,個別指定!$A:$A,0)),"行なし",""))</f>
        <v/>
      </c>
      <c r="N4442" s="2" t="str">
        <f aca="false">IF($G4442="","",IF(COUNTIF($G$2:$G$4460,$G4442)&gt;1,"重複",""))</f>
        <v/>
      </c>
    </row>
    <row r="4443" customFormat="false" ht="16.5" hidden="false" customHeight="true" outlineLevel="0" collapsed="false">
      <c r="A4443" s="2" t="s">
        <v>447</v>
      </c>
      <c r="B4443" s="2" t="s">
        <v>477</v>
      </c>
      <c r="C4443" s="2" t="s">
        <v>31</v>
      </c>
      <c r="D4443" s="2" t="str">
        <f aca="false">IF(4キー同時!$B$383="","",4キー同時!$B$383)</f>
        <v/>
      </c>
      <c r="E4443" s="2" t="str">
        <f aca="false">IF(4キー同時!$G$383="","",4キー同時!$G$383)</f>
        <v/>
      </c>
      <c r="F4443" s="2" t="str">
        <f aca="false">IF(4キー同時!$L$383="","",4キー同時!$L$383)</f>
        <v/>
      </c>
      <c r="G4443" s="2" t="str">
        <f aca="false">IF(OR(4キー同時!$B$383="",4キー同時!$G$383="",4キー同時!$L$383=""),"",IF(4キー同時!AK389="","",SUBSTITUTE(SUBSTITUTE(4キー同時!AK389," ",""),"　","")))</f>
        <v/>
      </c>
      <c r="H4443" s="2" t="str">
        <f aca="false">IF($G4443="","",4キー同時!$B$383)</f>
        <v/>
      </c>
      <c r="I4443" s="2" t="str">
        <f aca="false">IF($G4443="","",4キー同時!$G$383)</f>
        <v/>
      </c>
      <c r="J4443" s="2" t="str">
        <f aca="false">IF($G4443="","",4キー同時!$L$383)</f>
        <v/>
      </c>
      <c r="K4443" s="2" t="str">
        <f aca="false">IF($G4443="","","k")</f>
        <v/>
      </c>
      <c r="L4443" s="2" t="str">
        <f aca="false">IF($G4443="","","同時")</f>
        <v/>
      </c>
      <c r="M4443" s="2" t="str">
        <f aca="false">IF($G4443="","",IF(ISNA(MATCH($G4443,個別指定!$A:$A,0)),"行なし",""))</f>
        <v/>
      </c>
      <c r="N4443" s="2" t="str">
        <f aca="false">IF($G4443="","",IF(COUNTIF($G$2:$G$4460,$G4443)&gt;1,"重複",""))</f>
        <v/>
      </c>
    </row>
    <row r="4444" customFormat="false" ht="16.5" hidden="false" customHeight="true" outlineLevel="0" collapsed="false">
      <c r="A4444" s="2" t="s">
        <v>447</v>
      </c>
      <c r="B4444" s="2" t="s">
        <v>477</v>
      </c>
      <c r="C4444" s="2" t="s">
        <v>32</v>
      </c>
      <c r="D4444" s="2" t="str">
        <f aca="false">IF(4キー同時!$B$383="","",4キー同時!$B$383)</f>
        <v/>
      </c>
      <c r="E4444" s="2" t="str">
        <f aca="false">IF(4キー同時!$G$383="","",4キー同時!$G$383)</f>
        <v/>
      </c>
      <c r="F4444" s="2" t="str">
        <f aca="false">IF(4キー同時!$L$383="","",4キー同時!$L$383)</f>
        <v/>
      </c>
      <c r="G4444" s="2" t="str">
        <f aca="false">IF(OR(4キー同時!$B$383="",4キー同時!$G$383="",4キー同時!$L$383=""),"",IF(4キー同時!AO389="","",SUBSTITUTE(SUBSTITUTE(4キー同時!AO389," ",""),"　","")))</f>
        <v/>
      </c>
      <c r="H4444" s="2" t="str">
        <f aca="false">IF($G4444="","",4キー同時!$B$383)</f>
        <v/>
      </c>
      <c r="I4444" s="2" t="str">
        <f aca="false">IF($G4444="","",4キー同時!$G$383)</f>
        <v/>
      </c>
      <c r="J4444" s="2" t="str">
        <f aca="false">IF($G4444="","",4キー同時!$L$383)</f>
        <v/>
      </c>
      <c r="K4444" s="2" t="str">
        <f aca="false">IF($G4444="","","l")</f>
        <v/>
      </c>
      <c r="L4444" s="2" t="str">
        <f aca="false">IF($G4444="","","同時")</f>
        <v/>
      </c>
      <c r="M4444" s="2" t="str">
        <f aca="false">IF($G4444="","",IF(ISNA(MATCH($G4444,個別指定!$A:$A,0)),"行なし",""))</f>
        <v/>
      </c>
      <c r="N4444" s="2" t="str">
        <f aca="false">IF($G4444="","",IF(COUNTIF($G$2:$G$4460,$G4444)&gt;1,"重複",""))</f>
        <v/>
      </c>
    </row>
    <row r="4445" customFormat="false" ht="16.5" hidden="false" customHeight="true" outlineLevel="0" collapsed="false">
      <c r="A4445" s="2" t="s">
        <v>447</v>
      </c>
      <c r="B4445" s="2" t="s">
        <v>477</v>
      </c>
      <c r="C4445" s="2" t="s">
        <v>33</v>
      </c>
      <c r="D4445" s="2" t="str">
        <f aca="false">IF(4キー同時!$B$383="","",4キー同時!$B$383)</f>
        <v/>
      </c>
      <c r="E4445" s="2" t="str">
        <f aca="false">IF(4キー同時!$G$383="","",4キー同時!$G$383)</f>
        <v/>
      </c>
      <c r="F4445" s="2" t="str">
        <f aca="false">IF(4キー同時!$L$383="","",4キー同時!$L$383)</f>
        <v/>
      </c>
      <c r="G4445" s="2" t="str">
        <f aca="false">IF(OR(4キー同時!$B$383="",4キー同時!$G$383="",4キー同時!$L$383=""),"",IF(4キー同時!AS389="","",SUBSTITUTE(SUBSTITUTE(4キー同時!AS389," ",""),"　","")))</f>
        <v/>
      </c>
      <c r="H4445" s="2" t="str">
        <f aca="false">IF($G4445="","",4キー同時!$B$383)</f>
        <v/>
      </c>
      <c r="I4445" s="2" t="str">
        <f aca="false">IF($G4445="","",4キー同時!$G$383)</f>
        <v/>
      </c>
      <c r="J4445" s="2" t="str">
        <f aca="false">IF($G4445="","",4キー同時!$L$383)</f>
        <v/>
      </c>
      <c r="K4445" s="2" t="str">
        <f aca="false">IF($G4445="","",";")</f>
        <v/>
      </c>
      <c r="L4445" s="2" t="str">
        <f aca="false">IF($G4445="","","同時")</f>
        <v/>
      </c>
      <c r="M4445" s="2" t="str">
        <f aca="false">IF($G4445="","",IF(ISNA(MATCH($G4445,個別指定!$A:$A,0)),"行なし",""))</f>
        <v/>
      </c>
      <c r="N4445" s="2" t="str">
        <f aca="false">IF($G4445="","",IF(COUNTIF($G$2:$G$4460,$G4445)&gt;1,"重複",""))</f>
        <v/>
      </c>
    </row>
    <row r="4446" customFormat="false" ht="16.5" hidden="false" customHeight="true" outlineLevel="0" collapsed="false">
      <c r="A4446" s="2" t="s">
        <v>447</v>
      </c>
      <c r="B4446" s="2" t="s">
        <v>477</v>
      </c>
      <c r="C4446" s="2" t="s">
        <v>34</v>
      </c>
      <c r="D4446" s="2" t="str">
        <f aca="false">IF(4キー同時!$B$383="","",4キー同時!$B$383)</f>
        <v/>
      </c>
      <c r="E4446" s="2" t="str">
        <f aca="false">IF(4キー同時!$G$383="","",4キー同時!$G$383)</f>
        <v/>
      </c>
      <c r="F4446" s="2" t="str">
        <f aca="false">IF(4キー同時!$L$383="","",4キー同時!$L$383)</f>
        <v/>
      </c>
      <c r="G4446" s="2" t="str">
        <f aca="false">IF(OR(4キー同時!$B$383="",4キー同時!$G$383="",4キー同時!$L$383=""),"",IF(4キー同時!AW389="","",SUBSTITUTE(SUBSTITUTE(4キー同時!AW389," ",""),"　","")))</f>
        <v/>
      </c>
      <c r="H4446" s="2" t="str">
        <f aca="false">IF($G4446="","",4キー同時!$B$383)</f>
        <v/>
      </c>
      <c r="I4446" s="2" t="str">
        <f aca="false">IF($G4446="","",4キー同時!$G$383)</f>
        <v/>
      </c>
      <c r="J4446" s="2" t="str">
        <f aca="false">IF($G4446="","",4キー同時!$L$383)</f>
        <v/>
      </c>
      <c r="K4446" s="2" t="str">
        <f aca="false">IF($G4446="","","'")</f>
        <v/>
      </c>
      <c r="L4446" s="2" t="str">
        <f aca="false">IF($G4446="","","同時")</f>
        <v/>
      </c>
      <c r="M4446" s="2" t="str">
        <f aca="false">IF($G4446="","",IF(ISNA(MATCH($G4446,個別指定!$A:$A,0)),"行なし",""))</f>
        <v/>
      </c>
      <c r="N4446" s="2" t="str">
        <f aca="false">IF($G4446="","",IF(COUNTIF($G$2:$G$4460,$G4446)&gt;1,"重複",""))</f>
        <v/>
      </c>
    </row>
    <row r="4447" customFormat="false" ht="16.5" hidden="false" customHeight="true" outlineLevel="0" collapsed="false">
      <c r="A4447" s="2" t="s">
        <v>447</v>
      </c>
      <c r="B4447" s="2" t="s">
        <v>477</v>
      </c>
      <c r="C4447" s="2" t="s">
        <v>35</v>
      </c>
      <c r="D4447" s="2" t="str">
        <f aca="false">IF(4キー同時!$B$383="","",4キー同時!$B$383)</f>
        <v/>
      </c>
      <c r="E4447" s="2" t="str">
        <f aca="false">IF(4キー同時!$G$383="","",4キー同時!$G$383)</f>
        <v/>
      </c>
      <c r="F4447" s="2" t="str">
        <f aca="false">IF(4キー同時!$L$383="","",4キー同時!$L$383)</f>
        <v/>
      </c>
      <c r="G4447" s="2" t="str">
        <f aca="false">IF(OR(4キー同時!$B$383="",4キー同時!$G$383="",4キー同時!$L$383=""),"",IF(4キー同時!K391="","",SUBSTITUTE(SUBSTITUTE(4キー同時!K391," ",""),"　","")))</f>
        <v/>
      </c>
      <c r="H4447" s="2" t="str">
        <f aca="false">IF($G4447="","",4キー同時!$B$383)</f>
        <v/>
      </c>
      <c r="I4447" s="2" t="str">
        <f aca="false">IF($G4447="","",4キー同時!$G$383)</f>
        <v/>
      </c>
      <c r="J4447" s="2" t="str">
        <f aca="false">IF($G4447="","",4キー同時!$L$383)</f>
        <v/>
      </c>
      <c r="K4447" s="2" t="str">
        <f aca="false">IF($G4447="","","z")</f>
        <v/>
      </c>
      <c r="L4447" s="2" t="str">
        <f aca="false">IF($G4447="","","同時")</f>
        <v/>
      </c>
      <c r="M4447" s="2" t="str">
        <f aca="false">IF($G4447="","",IF(ISNA(MATCH($G4447,個別指定!$A:$A,0)),"行なし",""))</f>
        <v/>
      </c>
      <c r="N4447" s="2" t="str">
        <f aca="false">IF($G4447="","",IF(COUNTIF($G$2:$G$4460,$G4447)&gt;1,"重複",""))</f>
        <v/>
      </c>
    </row>
    <row r="4448" customFormat="false" ht="16.5" hidden="false" customHeight="true" outlineLevel="0" collapsed="false">
      <c r="A4448" s="2" t="s">
        <v>447</v>
      </c>
      <c r="B4448" s="2" t="s">
        <v>477</v>
      </c>
      <c r="C4448" s="2" t="s">
        <v>36</v>
      </c>
      <c r="D4448" s="2" t="str">
        <f aca="false">IF(4キー同時!$B$383="","",4キー同時!$B$383)</f>
        <v/>
      </c>
      <c r="E4448" s="2" t="str">
        <f aca="false">IF(4キー同時!$G$383="","",4キー同時!$G$383)</f>
        <v/>
      </c>
      <c r="F4448" s="2" t="str">
        <f aca="false">IF(4キー同時!$L$383="","",4キー同時!$L$383)</f>
        <v/>
      </c>
      <c r="G4448" s="2" t="str">
        <f aca="false">IF(OR(4キー同時!$B$383="",4キー同時!$G$383="",4キー同時!$L$383=""),"",IF(4キー同時!O391="","",SUBSTITUTE(SUBSTITUTE(4キー同時!O391," ",""),"　","")))</f>
        <v/>
      </c>
      <c r="H4448" s="2" t="str">
        <f aca="false">IF($G4448="","",4キー同時!$B$383)</f>
        <v/>
      </c>
      <c r="I4448" s="2" t="str">
        <f aca="false">IF($G4448="","",4キー同時!$G$383)</f>
        <v/>
      </c>
      <c r="J4448" s="2" t="str">
        <f aca="false">IF($G4448="","",4キー同時!$L$383)</f>
        <v/>
      </c>
      <c r="K4448" s="2" t="str">
        <f aca="false">IF($G4448="","","x")</f>
        <v/>
      </c>
      <c r="L4448" s="2" t="str">
        <f aca="false">IF($G4448="","","同時")</f>
        <v/>
      </c>
      <c r="M4448" s="2" t="str">
        <f aca="false">IF($G4448="","",IF(ISNA(MATCH($G4448,個別指定!$A:$A,0)),"行なし",""))</f>
        <v/>
      </c>
      <c r="N4448" s="2" t="str">
        <f aca="false">IF($G4448="","",IF(COUNTIF($G$2:$G$4460,$G4448)&gt;1,"重複",""))</f>
        <v/>
      </c>
    </row>
    <row r="4449" customFormat="false" ht="16.5" hidden="false" customHeight="true" outlineLevel="0" collapsed="false">
      <c r="A4449" s="2" t="s">
        <v>447</v>
      </c>
      <c r="B4449" s="2" t="s">
        <v>477</v>
      </c>
      <c r="C4449" s="2" t="s">
        <v>37</v>
      </c>
      <c r="D4449" s="2" t="str">
        <f aca="false">IF(4キー同時!$B$383="","",4キー同時!$B$383)</f>
        <v/>
      </c>
      <c r="E4449" s="2" t="str">
        <f aca="false">IF(4キー同時!$G$383="","",4キー同時!$G$383)</f>
        <v/>
      </c>
      <c r="F4449" s="2" t="str">
        <f aca="false">IF(4キー同時!$L$383="","",4キー同時!$L$383)</f>
        <v/>
      </c>
      <c r="G4449" s="2" t="str">
        <f aca="false">IF(OR(4キー同時!$B$383="",4キー同時!$G$383="",4キー同時!$L$383=""),"",IF(4キー同時!S391="","",SUBSTITUTE(SUBSTITUTE(4キー同時!S391," ",""),"　","")))</f>
        <v/>
      </c>
      <c r="H4449" s="2" t="str">
        <f aca="false">IF($G4449="","",4キー同時!$B$383)</f>
        <v/>
      </c>
      <c r="I4449" s="2" t="str">
        <f aca="false">IF($G4449="","",4キー同時!$G$383)</f>
        <v/>
      </c>
      <c r="J4449" s="2" t="str">
        <f aca="false">IF($G4449="","",4キー同時!$L$383)</f>
        <v/>
      </c>
      <c r="K4449" s="2" t="str">
        <f aca="false">IF($G4449="","","c")</f>
        <v/>
      </c>
      <c r="L4449" s="2" t="str">
        <f aca="false">IF($G4449="","","同時")</f>
        <v/>
      </c>
      <c r="M4449" s="2" t="str">
        <f aca="false">IF($G4449="","",IF(ISNA(MATCH($G4449,個別指定!$A:$A,0)),"行なし",""))</f>
        <v/>
      </c>
      <c r="N4449" s="2" t="str">
        <f aca="false">IF($G4449="","",IF(COUNTIF($G$2:$G$4460,$G4449)&gt;1,"重複",""))</f>
        <v/>
      </c>
    </row>
    <row r="4450" customFormat="false" ht="16.5" hidden="false" customHeight="true" outlineLevel="0" collapsed="false">
      <c r="A4450" s="2" t="s">
        <v>447</v>
      </c>
      <c r="B4450" s="2" t="s">
        <v>477</v>
      </c>
      <c r="C4450" s="2" t="s">
        <v>38</v>
      </c>
      <c r="D4450" s="2" t="str">
        <f aca="false">IF(4キー同時!$B$383="","",4キー同時!$B$383)</f>
        <v/>
      </c>
      <c r="E4450" s="2" t="str">
        <f aca="false">IF(4キー同時!$G$383="","",4キー同時!$G$383)</f>
        <v/>
      </c>
      <c r="F4450" s="2" t="str">
        <f aca="false">IF(4キー同時!$L$383="","",4キー同時!$L$383)</f>
        <v/>
      </c>
      <c r="G4450" s="2" t="str">
        <f aca="false">IF(OR(4キー同時!$B$383="",4キー同時!$G$383="",4キー同時!$L$383=""),"",IF(4キー同時!W391="","",SUBSTITUTE(SUBSTITUTE(4キー同時!W391," ",""),"　","")))</f>
        <v/>
      </c>
      <c r="H4450" s="2" t="str">
        <f aca="false">IF($G4450="","",4キー同時!$B$383)</f>
        <v/>
      </c>
      <c r="I4450" s="2" t="str">
        <f aca="false">IF($G4450="","",4キー同時!$G$383)</f>
        <v/>
      </c>
      <c r="J4450" s="2" t="str">
        <f aca="false">IF($G4450="","",4キー同時!$L$383)</f>
        <v/>
      </c>
      <c r="K4450" s="2" t="str">
        <f aca="false">IF($G4450="","","v")</f>
        <v/>
      </c>
      <c r="L4450" s="2" t="str">
        <f aca="false">IF($G4450="","","同時")</f>
        <v/>
      </c>
      <c r="M4450" s="2" t="str">
        <f aca="false">IF($G4450="","",IF(ISNA(MATCH($G4450,個別指定!$A:$A,0)),"行なし",""))</f>
        <v/>
      </c>
      <c r="N4450" s="2" t="str">
        <f aca="false">IF($G4450="","",IF(COUNTIF($G$2:$G$4460,$G4450)&gt;1,"重複",""))</f>
        <v/>
      </c>
    </row>
    <row r="4451" customFormat="false" ht="16.5" hidden="false" customHeight="true" outlineLevel="0" collapsed="false">
      <c r="A4451" s="2" t="s">
        <v>447</v>
      </c>
      <c r="B4451" s="2" t="s">
        <v>477</v>
      </c>
      <c r="C4451" s="2" t="s">
        <v>39</v>
      </c>
      <c r="D4451" s="2" t="str">
        <f aca="false">IF(4キー同時!$B$383="","",4キー同時!$B$383)</f>
        <v/>
      </c>
      <c r="E4451" s="2" t="str">
        <f aca="false">IF(4キー同時!$G$383="","",4キー同時!$G$383)</f>
        <v/>
      </c>
      <c r="F4451" s="2" t="str">
        <f aca="false">IF(4キー同時!$L$383="","",4キー同時!$L$383)</f>
        <v/>
      </c>
      <c r="G4451" s="2" t="str">
        <f aca="false">IF(OR(4キー同時!$B$383="",4キー同時!$G$383="",4キー同時!$L$383=""),"",IF(4キー同時!AA391="","",SUBSTITUTE(SUBSTITUTE(4キー同時!AA391," ",""),"　","")))</f>
        <v/>
      </c>
      <c r="H4451" s="2" t="str">
        <f aca="false">IF($G4451="","",4キー同時!$B$383)</f>
        <v/>
      </c>
      <c r="I4451" s="2" t="str">
        <f aca="false">IF($G4451="","",4キー同時!$G$383)</f>
        <v/>
      </c>
      <c r="J4451" s="2" t="str">
        <f aca="false">IF($G4451="","",4キー同時!$L$383)</f>
        <v/>
      </c>
      <c r="K4451" s="2" t="str">
        <f aca="false">IF($G4451="","","b")</f>
        <v/>
      </c>
      <c r="L4451" s="2" t="str">
        <f aca="false">IF($G4451="","","同時")</f>
        <v/>
      </c>
      <c r="M4451" s="2" t="str">
        <f aca="false">IF($G4451="","",IF(ISNA(MATCH($G4451,個別指定!$A:$A,0)),"行なし",""))</f>
        <v/>
      </c>
      <c r="N4451" s="2" t="str">
        <f aca="false">IF($G4451="","",IF(COUNTIF($G$2:$G$4460,$G4451)&gt;1,"重複",""))</f>
        <v/>
      </c>
    </row>
    <row r="4452" customFormat="false" ht="16.5" hidden="false" customHeight="true" outlineLevel="0" collapsed="false">
      <c r="A4452" s="2" t="s">
        <v>447</v>
      </c>
      <c r="B4452" s="2" t="s">
        <v>477</v>
      </c>
      <c r="C4452" s="2" t="s">
        <v>40</v>
      </c>
      <c r="D4452" s="2" t="str">
        <f aca="false">IF(4キー同時!$B$383="","",4キー同時!$B$383)</f>
        <v/>
      </c>
      <c r="E4452" s="2" t="str">
        <f aca="false">IF(4キー同時!$G$383="","",4キー同時!$G$383)</f>
        <v/>
      </c>
      <c r="F4452" s="2" t="str">
        <f aca="false">IF(4キー同時!$L$383="","",4キー同時!$L$383)</f>
        <v/>
      </c>
      <c r="G4452" s="2" t="str">
        <f aca="false">IF(OR(4キー同時!$B$383="",4キー同時!$G$383="",4キー同時!$L$383=""),"",IF(4キー同時!AE391="","",SUBSTITUTE(SUBSTITUTE(4キー同時!AE391," ",""),"　","")))</f>
        <v/>
      </c>
      <c r="H4452" s="2" t="str">
        <f aca="false">IF($G4452="","",4キー同時!$B$383)</f>
        <v/>
      </c>
      <c r="I4452" s="2" t="str">
        <f aca="false">IF($G4452="","",4キー同時!$G$383)</f>
        <v/>
      </c>
      <c r="J4452" s="2" t="str">
        <f aca="false">IF($G4452="","",4キー同時!$L$383)</f>
        <v/>
      </c>
      <c r="K4452" s="2" t="str">
        <f aca="false">IF($G4452="","","n")</f>
        <v/>
      </c>
      <c r="L4452" s="2" t="str">
        <f aca="false">IF($G4452="","","同時")</f>
        <v/>
      </c>
      <c r="M4452" s="2" t="str">
        <f aca="false">IF($G4452="","",IF(ISNA(MATCH($G4452,個別指定!$A:$A,0)),"行なし",""))</f>
        <v/>
      </c>
      <c r="N4452" s="2" t="str">
        <f aca="false">IF($G4452="","",IF(COUNTIF($G$2:$G$4460,$G4452)&gt;1,"重複",""))</f>
        <v/>
      </c>
    </row>
    <row r="4453" customFormat="false" ht="16.5" hidden="false" customHeight="true" outlineLevel="0" collapsed="false">
      <c r="A4453" s="2" t="s">
        <v>447</v>
      </c>
      <c r="B4453" s="2" t="s">
        <v>477</v>
      </c>
      <c r="C4453" s="2" t="s">
        <v>41</v>
      </c>
      <c r="D4453" s="2" t="str">
        <f aca="false">IF(4キー同時!$B$383="","",4キー同時!$B$383)</f>
        <v/>
      </c>
      <c r="E4453" s="2" t="str">
        <f aca="false">IF(4キー同時!$G$383="","",4キー同時!$G$383)</f>
        <v/>
      </c>
      <c r="F4453" s="2" t="str">
        <f aca="false">IF(4キー同時!$L$383="","",4キー同時!$L$383)</f>
        <v/>
      </c>
      <c r="G4453" s="2" t="str">
        <f aca="false">IF(OR(4キー同時!$B$383="",4キー同時!$G$383="",4キー同時!$L$383=""),"",IF(4キー同時!AI391="","",SUBSTITUTE(SUBSTITUTE(4キー同時!AI391," ",""),"　","")))</f>
        <v/>
      </c>
      <c r="H4453" s="2" t="str">
        <f aca="false">IF($G4453="","",4キー同時!$B$383)</f>
        <v/>
      </c>
      <c r="I4453" s="2" t="str">
        <f aca="false">IF($G4453="","",4キー同時!$G$383)</f>
        <v/>
      </c>
      <c r="J4453" s="2" t="str">
        <f aca="false">IF($G4453="","",4キー同時!$L$383)</f>
        <v/>
      </c>
      <c r="K4453" s="2" t="str">
        <f aca="false">IF($G4453="","","m")</f>
        <v/>
      </c>
      <c r="L4453" s="2" t="str">
        <f aca="false">IF($G4453="","","同時")</f>
        <v/>
      </c>
      <c r="M4453" s="2" t="str">
        <f aca="false">IF($G4453="","",IF(ISNA(MATCH($G4453,個別指定!$A:$A,0)),"行なし",""))</f>
        <v/>
      </c>
      <c r="N4453" s="2" t="str">
        <f aca="false">IF($G4453="","",IF(COUNTIF($G$2:$G$4460,$G4453)&gt;1,"重複",""))</f>
        <v/>
      </c>
    </row>
    <row r="4454" customFormat="false" ht="16.5" hidden="false" customHeight="true" outlineLevel="0" collapsed="false">
      <c r="A4454" s="2" t="s">
        <v>447</v>
      </c>
      <c r="B4454" s="2" t="s">
        <v>477</v>
      </c>
      <c r="C4454" s="2" t="s">
        <v>42</v>
      </c>
      <c r="D4454" s="2" t="str">
        <f aca="false">IF(4キー同時!$B$383="","",4キー同時!$B$383)</f>
        <v/>
      </c>
      <c r="E4454" s="2" t="str">
        <f aca="false">IF(4キー同時!$G$383="","",4キー同時!$G$383)</f>
        <v/>
      </c>
      <c r="F4454" s="2" t="str">
        <f aca="false">IF(4キー同時!$L$383="","",4キー同時!$L$383)</f>
        <v/>
      </c>
      <c r="G4454" s="2" t="str">
        <f aca="false">IF(OR(4キー同時!$B$383="",4キー同時!$G$383="",4キー同時!$L$383=""),"",IF(4キー同時!AM391="","",SUBSTITUTE(SUBSTITUTE(4キー同時!AM391," ",""),"　","")))</f>
        <v/>
      </c>
      <c r="H4454" s="2" t="str">
        <f aca="false">IF($G4454="","",4キー同時!$B$383)</f>
        <v/>
      </c>
      <c r="I4454" s="2" t="str">
        <f aca="false">IF($G4454="","",4キー同時!$G$383)</f>
        <v/>
      </c>
      <c r="J4454" s="2" t="str">
        <f aca="false">IF($G4454="","",4キー同時!$L$383)</f>
        <v/>
      </c>
      <c r="K4454" s="2" t="str">
        <f aca="false">IF($G4454="","",",")</f>
        <v/>
      </c>
      <c r="L4454" s="2" t="str">
        <f aca="false">IF($G4454="","","同時")</f>
        <v/>
      </c>
      <c r="M4454" s="2" t="str">
        <f aca="false">IF($G4454="","",IF(ISNA(MATCH($G4454,個別指定!$A:$A,0)),"行なし",""))</f>
        <v/>
      </c>
      <c r="N4454" s="2" t="str">
        <f aca="false">IF($G4454="","",IF(COUNTIF($G$2:$G$4460,$G4454)&gt;1,"重複",""))</f>
        <v/>
      </c>
    </row>
    <row r="4455" customFormat="false" ht="16.5" hidden="false" customHeight="true" outlineLevel="0" collapsed="false">
      <c r="A4455" s="2" t="s">
        <v>447</v>
      </c>
      <c r="B4455" s="2" t="s">
        <v>477</v>
      </c>
      <c r="C4455" s="2" t="s">
        <v>43</v>
      </c>
      <c r="D4455" s="2" t="str">
        <f aca="false">IF(4キー同時!$B$383="","",4キー同時!$B$383)</f>
        <v/>
      </c>
      <c r="E4455" s="2" t="str">
        <f aca="false">IF(4キー同時!$G$383="","",4キー同時!$G$383)</f>
        <v/>
      </c>
      <c r="F4455" s="2" t="str">
        <f aca="false">IF(4キー同時!$L$383="","",4キー同時!$L$383)</f>
        <v/>
      </c>
      <c r="G4455" s="2" t="str">
        <f aca="false">IF(OR(4キー同時!$B$383="",4キー同時!$G$383="",4キー同時!$L$383=""),"",IF(4キー同時!AQ391="","",SUBSTITUTE(SUBSTITUTE(4キー同時!AQ391," ",""),"　","")))</f>
        <v/>
      </c>
      <c r="H4455" s="2" t="str">
        <f aca="false">IF($G4455="","",4キー同時!$B$383)</f>
        <v/>
      </c>
      <c r="I4455" s="2" t="str">
        <f aca="false">IF($G4455="","",4キー同時!$G$383)</f>
        <v/>
      </c>
      <c r="J4455" s="2" t="str">
        <f aca="false">IF($G4455="","",4キー同時!$L$383)</f>
        <v/>
      </c>
      <c r="K4455" s="2" t="str">
        <f aca="false">IF($G4455="","",".")</f>
        <v/>
      </c>
      <c r="L4455" s="2" t="str">
        <f aca="false">IF($G4455="","","同時")</f>
        <v/>
      </c>
      <c r="M4455" s="2" t="str">
        <f aca="false">IF($G4455="","",IF(ISNA(MATCH($G4455,個別指定!$A:$A,0)),"行なし",""))</f>
        <v/>
      </c>
      <c r="N4455" s="2" t="str">
        <f aca="false">IF($G4455="","",IF(COUNTIF($G$2:$G$4460,$G4455)&gt;1,"重複",""))</f>
        <v/>
      </c>
    </row>
    <row r="4456" customFormat="false" ht="16.5" hidden="false" customHeight="true" outlineLevel="0" collapsed="false">
      <c r="A4456" s="2" t="s">
        <v>447</v>
      </c>
      <c r="B4456" s="2" t="s">
        <v>477</v>
      </c>
      <c r="C4456" s="2" t="s">
        <v>44</v>
      </c>
      <c r="D4456" s="2" t="str">
        <f aca="false">IF(4キー同時!$B$383="","",4キー同時!$B$383)</f>
        <v/>
      </c>
      <c r="E4456" s="2" t="str">
        <f aca="false">IF(4キー同時!$G$383="","",4キー同時!$G$383)</f>
        <v/>
      </c>
      <c r="F4456" s="2" t="str">
        <f aca="false">IF(4キー同時!$L$383="","",4キー同時!$L$383)</f>
        <v/>
      </c>
      <c r="G4456" s="2" t="str">
        <f aca="false">IF(OR(4キー同時!$B$383="",4キー同時!$G$383="",4キー同時!$L$383=""),"",IF(4キー同時!AU391="","",SUBSTITUTE(SUBSTITUTE(4キー同時!AU391," ",""),"　","")))</f>
        <v/>
      </c>
      <c r="H4456" s="2" t="str">
        <f aca="false">IF($G4456="","",4キー同時!$B$383)</f>
        <v/>
      </c>
      <c r="I4456" s="2" t="str">
        <f aca="false">IF($G4456="","",4キー同時!$G$383)</f>
        <v/>
      </c>
      <c r="J4456" s="2" t="str">
        <f aca="false">IF($G4456="","",4キー同時!$L$383)</f>
        <v/>
      </c>
      <c r="K4456" s="2" t="str">
        <f aca="false">IF($G4456="","","/")</f>
        <v/>
      </c>
      <c r="L4456" s="2" t="str">
        <f aca="false">IF($G4456="","","同時")</f>
        <v/>
      </c>
      <c r="M4456" s="2" t="str">
        <f aca="false">IF($G4456="","",IF(ISNA(MATCH($G4456,個別指定!$A:$A,0)),"行なし",""))</f>
        <v/>
      </c>
      <c r="N4456" s="2" t="str">
        <f aca="false">IF($G4456="","",IF(COUNTIF($G$2:$G$4460,$G4456)&gt;1,"重複",""))</f>
        <v/>
      </c>
    </row>
    <row r="4457" customFormat="false" ht="16.5" hidden="false" customHeight="true" outlineLevel="0" collapsed="false">
      <c r="A4457" s="2" t="s">
        <v>447</v>
      </c>
      <c r="B4457" s="2" t="s">
        <v>477</v>
      </c>
      <c r="C4457" s="2" t="s">
        <v>48</v>
      </c>
      <c r="D4457" s="2" t="str">
        <f aca="false">IF(4キー同時!$B$383="","",4キー同時!$B$383)</f>
        <v/>
      </c>
      <c r="E4457" s="2" t="str">
        <f aca="false">IF(4キー同時!$G$383="","",4キー同時!$G$383)</f>
        <v/>
      </c>
      <c r="F4457" s="2" t="str">
        <f aca="false">IF(4キー同時!$L$383="","",4キー同時!$L$383)</f>
        <v/>
      </c>
      <c r="G4457" s="2" t="str">
        <f aca="false">IF(OR(4キー同時!$B$383="",4キー同時!$G$383="",4キー同時!$L$383=""),"",IF(4キー同時!P393="","",SUBSTITUTE(SUBSTITUTE(4キー同時!P393," ",""),"　","")))</f>
        <v/>
      </c>
      <c r="H4457" s="2" t="str">
        <f aca="false">IF($G4457="","",4キー同時!$B$383)</f>
        <v/>
      </c>
      <c r="I4457" s="2" t="str">
        <f aca="false">IF($G4457="","",4キー同時!$G$383)</f>
        <v/>
      </c>
      <c r="J4457" s="2" t="str">
        <f aca="false">IF($G4457="","",4キー同時!$L$383)</f>
        <v/>
      </c>
      <c r="K4457" s="2" t="str">
        <f aca="false">IF($G4457="","","muhenkan")</f>
        <v/>
      </c>
      <c r="L4457" s="2" t="str">
        <f aca="false">IF($G4457="","","同時")</f>
        <v/>
      </c>
      <c r="M4457" s="2" t="str">
        <f aca="false">IF($G4457="","",IF(ISNA(MATCH($G4457,個別指定!$A:$A,0)),"行なし",""))</f>
        <v/>
      </c>
      <c r="N4457" s="2" t="str">
        <f aca="false">IF($G4457="","",IF(COUNTIF($G$2:$G$4460,$G4457)&gt;1,"重複",""))</f>
        <v/>
      </c>
    </row>
    <row r="4458" customFormat="false" ht="16.5" hidden="false" customHeight="true" outlineLevel="0" collapsed="false">
      <c r="A4458" s="2" t="s">
        <v>447</v>
      </c>
      <c r="B4458" s="2" t="s">
        <v>477</v>
      </c>
      <c r="C4458" s="2" t="s">
        <v>50</v>
      </c>
      <c r="D4458" s="2" t="str">
        <f aca="false">IF(4キー同時!$B$383="","",4キー同時!$B$383)</f>
        <v/>
      </c>
      <c r="E4458" s="2" t="str">
        <f aca="false">IF(4キー同時!$G$383="","",4キー同時!$G$383)</f>
        <v/>
      </c>
      <c r="F4458" s="2" t="str">
        <f aca="false">IF(4キー同時!$L$383="","",4キー同時!$L$383)</f>
        <v/>
      </c>
      <c r="G4458" s="2" t="str">
        <f aca="false">IF(OR(4キー同時!$B$383="",4キー同時!$G$383="",4キー同時!$L$383=""),"",IF(4キー同時!T393="","",SUBSTITUTE(SUBSTITUTE(4キー同時!T393," ",""),"　","")))</f>
        <v/>
      </c>
      <c r="H4458" s="2" t="str">
        <f aca="false">IF($G4458="","",4キー同時!$B$383)</f>
        <v/>
      </c>
      <c r="I4458" s="2" t="str">
        <f aca="false">IF($G4458="","",4キー同時!$G$383)</f>
        <v/>
      </c>
      <c r="J4458" s="2" t="str">
        <f aca="false">IF($G4458="","",4キー同時!$L$383)</f>
        <v/>
      </c>
      <c r="K4458" s="2" t="str">
        <f aca="false">IF($G4458="","","space")</f>
        <v/>
      </c>
      <c r="L4458" s="2" t="str">
        <f aca="false">IF($G4458="","","同時")</f>
        <v/>
      </c>
      <c r="M4458" s="2" t="str">
        <f aca="false">IF($G4458="","",IF(ISNA(MATCH($G4458,個別指定!$A:$A,0)),"行なし",""))</f>
        <v/>
      </c>
      <c r="N4458" s="2" t="str">
        <f aca="false">IF($G4458="","",IF(COUNTIF($G$2:$G$4460,$G4458)&gt;1,"重複",""))</f>
        <v/>
      </c>
    </row>
    <row r="4459" customFormat="false" ht="16.5" hidden="false" customHeight="true" outlineLevel="0" collapsed="false">
      <c r="A4459" s="2" t="s">
        <v>447</v>
      </c>
      <c r="B4459" s="2" t="s">
        <v>477</v>
      </c>
      <c r="C4459" s="2" t="s">
        <v>45</v>
      </c>
      <c r="D4459" s="2" t="str">
        <f aca="false">IF(4キー同時!$B$383="","",4キー同時!$B$383)</f>
        <v/>
      </c>
      <c r="E4459" s="2" t="str">
        <f aca="false">IF(4キー同時!$G$383="","",4キー同時!$G$383)</f>
        <v/>
      </c>
      <c r="F4459" s="2" t="str">
        <f aca="false">IF(4キー同時!$L$383="","",4キー同時!$L$383)</f>
        <v/>
      </c>
      <c r="G4459" s="2" t="str">
        <f aca="false">IF(OR(4キー同時!$B$383="",4キー同時!$G$383="",4キー同時!$L$383=""),"",IF(4キー同時!AL393="","",SUBSTITUTE(SUBSTITUTE(4キー同時!AL393," ",""),"　","")))</f>
        <v/>
      </c>
      <c r="H4459" s="2" t="str">
        <f aca="false">IF($G4459="","",4キー同時!$B$383)</f>
        <v/>
      </c>
      <c r="I4459" s="2" t="str">
        <f aca="false">IF($G4459="","",4キー同時!$G$383)</f>
        <v/>
      </c>
      <c r="J4459" s="2" t="str">
        <f aca="false">IF($G4459="","",4キー同時!$L$383)</f>
        <v/>
      </c>
      <c r="K4459" s="2" t="str">
        <f aca="false">IF($G4459="","","henkan")</f>
        <v/>
      </c>
      <c r="L4459" s="2" t="str">
        <f aca="false">IF($G4459="","","同時")</f>
        <v/>
      </c>
      <c r="M4459" s="2" t="str">
        <f aca="false">IF($G4459="","",IF(ISNA(MATCH($G4459,個別指定!$A:$A,0)),"行なし",""))</f>
        <v/>
      </c>
      <c r="N4459" s="2" t="str">
        <f aca="false">IF($G4459="","",IF(COUNTIF($G$2:$G$4460,$G4459)&gt;1,"重複",""))</f>
        <v/>
      </c>
    </row>
    <row r="4460" customFormat="false" ht="16.5" hidden="false" customHeight="true" outlineLevel="0" collapsed="false">
      <c r="A4460" s="2" t="s">
        <v>447</v>
      </c>
      <c r="B4460" s="2" t="s">
        <v>477</v>
      </c>
      <c r="C4460" s="2" t="s">
        <v>46</v>
      </c>
      <c r="D4460" s="2" t="str">
        <f aca="false">IF(4キー同時!$B$383="","",4キー同時!$B$383)</f>
        <v/>
      </c>
      <c r="E4460" s="2" t="str">
        <f aca="false">IF(4キー同時!$G$383="","",4キー同時!$G$383)</f>
        <v/>
      </c>
      <c r="F4460" s="2" t="str">
        <f aca="false">IF(4キー同時!$L$383="","",4キー同時!$L$383)</f>
        <v/>
      </c>
      <c r="G4460" s="2" t="str">
        <f aca="false">IF(OR(4キー同時!$B$383="",4キー同時!$G$383="",4キー同時!$L$383=""),"",IF(4キー同時!AP393="","",SUBSTITUTE(SUBSTITUTE(4キー同時!AP393," ",""),"　","")))</f>
        <v/>
      </c>
      <c r="H4460" s="2" t="str">
        <f aca="false">IF($G4460="","",4キー同時!$B$383)</f>
        <v/>
      </c>
      <c r="I4460" s="2" t="str">
        <f aca="false">IF($G4460="","",4キー同時!$G$383)</f>
        <v/>
      </c>
      <c r="J4460" s="2" t="str">
        <f aca="false">IF($G4460="","",4キー同時!$L$383)</f>
        <v/>
      </c>
      <c r="K4460" s="2" t="str">
        <f aca="false">IF($G4460="","","kana")</f>
        <v/>
      </c>
      <c r="L4460" s="2" t="str">
        <f aca="false">IF($G4460="","","同時")</f>
        <v/>
      </c>
      <c r="M4460" s="2" t="str">
        <f aca="false">IF($G4460="","",IF(ISNA(MATCH($G4460,個別指定!$A:$A,0)),"行なし",""))</f>
        <v/>
      </c>
      <c r="N4460" s="2" t="str">
        <f aca="false">IF($G4460="","",IF(COUNTIF($G$2:$G$4460,$G4460)&gt;1,"重複",""))</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2" width="32"/>
    <col collapsed="false" customWidth="true" hidden="false" outlineLevel="0" max="2" min="2" style="2" width="78"/>
  </cols>
  <sheetData>
    <row r="1" customFormat="false" ht="15" hidden="false" customHeight="true" outlineLevel="0" collapsed="false">
      <c r="A1" s="26" t="s">
        <v>478</v>
      </c>
      <c r="B1" s="27"/>
    </row>
    <row r="2" customFormat="false" ht="15" hidden="false" customHeight="true" outlineLevel="0" collapsed="false">
      <c r="A2" s="1"/>
      <c r="B2" s="27"/>
    </row>
    <row r="3" customFormat="false" ht="16.5" hidden="false" customHeight="true" outlineLevel="0" collapsed="false">
      <c r="A3" s="28" t="s">
        <v>479</v>
      </c>
      <c r="B3" s="27"/>
    </row>
    <row r="4" customFormat="false" ht="16.5" hidden="false" customHeight="true" outlineLevel="0" collapsed="false">
      <c r="A4" s="29" t="s">
        <v>384</v>
      </c>
      <c r="B4" s="30" t="s">
        <v>480</v>
      </c>
    </row>
    <row r="5" customFormat="false" ht="16.5" hidden="false" customHeight="true" outlineLevel="0" collapsed="false">
      <c r="A5" s="31" t="s">
        <v>481</v>
      </c>
      <c r="B5" s="30" t="s">
        <v>482</v>
      </c>
    </row>
    <row r="6" customFormat="false" ht="16.5" hidden="false" customHeight="true" outlineLevel="0" collapsed="false">
      <c r="A6" s="31" t="s">
        <v>483</v>
      </c>
      <c r="B6" s="30" t="s">
        <v>484</v>
      </c>
    </row>
    <row r="7" customFormat="false" ht="16.5" hidden="false" customHeight="true" outlineLevel="0" collapsed="false">
      <c r="A7" s="31" t="s">
        <v>485</v>
      </c>
      <c r="B7" s="30" t="s">
        <v>486</v>
      </c>
    </row>
    <row r="8" customFormat="false" ht="16.5" hidden="false" customHeight="true" outlineLevel="0" collapsed="false">
      <c r="A8" s="29" t="s">
        <v>487</v>
      </c>
      <c r="B8" s="30" t="s">
        <v>488</v>
      </c>
    </row>
    <row r="9" customFormat="false" ht="15" hidden="false" customHeight="true" outlineLevel="0" collapsed="false">
      <c r="A9" s="1"/>
      <c r="B9" s="27"/>
    </row>
    <row r="10" customFormat="false" ht="16.5" hidden="false" customHeight="true" outlineLevel="0" collapsed="false">
      <c r="A10" s="28" t="s">
        <v>489</v>
      </c>
      <c r="B10" s="27"/>
    </row>
    <row r="11" customFormat="false" ht="16.5" hidden="false" customHeight="true" outlineLevel="0" collapsed="false">
      <c r="A11" s="29" t="s">
        <v>490</v>
      </c>
      <c r="B11" s="30" t="s">
        <v>491</v>
      </c>
    </row>
    <row r="12" customFormat="false" ht="16.5" hidden="false" customHeight="true" outlineLevel="0" collapsed="false">
      <c r="A12" s="29" t="s">
        <v>492</v>
      </c>
      <c r="B12" s="30" t="s">
        <v>493</v>
      </c>
    </row>
    <row r="13" customFormat="false" ht="16.5" hidden="false" customHeight="true" outlineLevel="0" collapsed="false">
      <c r="A13" s="29" t="s">
        <v>494</v>
      </c>
      <c r="B13" s="30" t="s">
        <v>495</v>
      </c>
    </row>
    <row r="14" customFormat="false" ht="16.5" hidden="false" customHeight="true" outlineLevel="0" collapsed="false">
      <c r="A14" s="29" t="s">
        <v>496</v>
      </c>
      <c r="B14" s="30" t="s">
        <v>497</v>
      </c>
    </row>
    <row r="15" customFormat="false" ht="15" hidden="false" customHeight="true" outlineLevel="0" collapsed="false">
      <c r="A15" s="1"/>
      <c r="B15" s="27"/>
    </row>
    <row r="16" customFormat="false" ht="16.5" hidden="false" customHeight="true" outlineLevel="0" collapsed="false">
      <c r="A16" s="28" t="s">
        <v>498</v>
      </c>
      <c r="B16" s="27"/>
    </row>
    <row r="17" customFormat="false" ht="16.5" hidden="false" customHeight="true" outlineLevel="0" collapsed="false">
      <c r="A17" s="29" t="s">
        <v>499</v>
      </c>
      <c r="B17" s="30" t="s">
        <v>500</v>
      </c>
    </row>
    <row r="18" customFormat="false" ht="16.5" hidden="false" customHeight="true" outlineLevel="0" collapsed="false">
      <c r="A18" s="31" t="s">
        <v>501</v>
      </c>
      <c r="B18" s="30" t="s">
        <v>502</v>
      </c>
    </row>
    <row r="19" customFormat="false" ht="15" hidden="false" customHeight="true" outlineLevel="0" collapsed="false">
      <c r="A19" s="1"/>
      <c r="B19" s="27"/>
    </row>
    <row r="20" customFormat="false" ht="16.5" hidden="false" customHeight="true" outlineLevel="0" collapsed="false">
      <c r="A20" s="28" t="s">
        <v>503</v>
      </c>
      <c r="B20" s="27"/>
    </row>
    <row r="21" customFormat="false" ht="16.5" hidden="false" customHeight="true" outlineLevel="0" collapsed="false">
      <c r="A21" s="29" t="s">
        <v>58</v>
      </c>
      <c r="B21" s="30" t="s">
        <v>504</v>
      </c>
    </row>
    <row r="22" customFormat="false" ht="16.5" hidden="false" customHeight="true" outlineLevel="0" collapsed="false">
      <c r="A22" s="29" t="s">
        <v>60</v>
      </c>
      <c r="B22" s="30" t="s">
        <v>505</v>
      </c>
    </row>
    <row r="23" customFormat="false" ht="16.5" hidden="false" customHeight="true" outlineLevel="0" collapsed="false">
      <c r="A23" s="29" t="s">
        <v>61</v>
      </c>
      <c r="B23" s="30" t="s">
        <v>506</v>
      </c>
    </row>
    <row r="24" customFormat="false" ht="15" hidden="false" customHeight="true" outlineLevel="0" collapsed="false">
      <c r="A24" s="1"/>
      <c r="B24" s="27"/>
    </row>
    <row r="25" customFormat="false" ht="16.5" hidden="false" customHeight="true" outlineLevel="0" collapsed="false">
      <c r="A25" s="28" t="s">
        <v>507</v>
      </c>
      <c r="B25" s="27"/>
    </row>
    <row r="26" customFormat="false" ht="16.5" hidden="false" customHeight="true" outlineLevel="0" collapsed="false">
      <c r="A26" s="1" t="s">
        <v>508</v>
      </c>
      <c r="B26" s="30" t="s">
        <v>509</v>
      </c>
    </row>
    <row r="27" customFormat="false" ht="16.5" hidden="false" customHeight="true" outlineLevel="0" collapsed="false">
      <c r="A27" s="1" t="s">
        <v>510</v>
      </c>
      <c r="B27" s="30" t="s">
        <v>511</v>
      </c>
    </row>
    <row r="28" customFormat="false" ht="16.5" hidden="false" customHeight="true" outlineLevel="0" collapsed="false">
      <c r="A28" s="1" t="s">
        <v>512</v>
      </c>
      <c r="B28" s="30" t="s">
        <v>513</v>
      </c>
    </row>
    <row r="29" customFormat="false" ht="16.5" hidden="false" customHeight="true" outlineLevel="0" collapsed="false">
      <c r="A29" s="31" t="s">
        <v>514</v>
      </c>
      <c r="B29" s="30"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2" width="18"/>
    <col collapsed="false" customWidth="true" hidden="false" outlineLevel="0" max="14" min="2" style="2" width="11"/>
  </cols>
  <sheetData>
    <row r="1" customFormat="false" ht="19.5" hidden="false" customHeight="true" outlineLevel="0" collapsed="false">
      <c r="A1" s="32" t="s">
        <v>516</v>
      </c>
    </row>
    <row r="3" customFormat="false" ht="15" hidden="false" customHeight="true" outlineLevel="0" collapsed="false">
      <c r="A3" s="6" t="s">
        <v>64</v>
      </c>
      <c r="B3" s="33" t="s">
        <v>0</v>
      </c>
      <c r="C3" s="33" t="s">
        <v>1</v>
      </c>
      <c r="D3" s="33" t="s">
        <v>2</v>
      </c>
      <c r="E3" s="33" t="s">
        <v>3</v>
      </c>
      <c r="F3" s="33" t="s">
        <v>4</v>
      </c>
      <c r="G3" s="33" t="s">
        <v>5</v>
      </c>
      <c r="H3" s="33" t="s">
        <v>6</v>
      </c>
      <c r="I3" s="33" t="s">
        <v>7</v>
      </c>
      <c r="J3" s="33" t="s">
        <v>8</v>
      </c>
      <c r="K3" s="33" t="s">
        <v>9</v>
      </c>
      <c r="L3" s="33" t="s">
        <v>10</v>
      </c>
      <c r="M3" s="33" t="s">
        <v>11</v>
      </c>
    </row>
    <row r="4" customFormat="false" ht="15" hidden="false" customHeight="true" outlineLevel="0" collapsed="false">
      <c r="A4" s="6" t="s">
        <v>65</v>
      </c>
      <c r="B4" s="33" t="s">
        <v>12</v>
      </c>
      <c r="C4" s="33" t="s">
        <v>13</v>
      </c>
      <c r="D4" s="33" t="s">
        <v>14</v>
      </c>
      <c r="E4" s="33" t="s">
        <v>15</v>
      </c>
      <c r="F4" s="33" t="s">
        <v>16</v>
      </c>
      <c r="G4" s="33" t="s">
        <v>17</v>
      </c>
      <c r="H4" s="33" t="s">
        <v>18</v>
      </c>
      <c r="I4" s="33" t="s">
        <v>19</v>
      </c>
      <c r="J4" s="33" t="s">
        <v>20</v>
      </c>
      <c r="K4" s="33" t="s">
        <v>21</v>
      </c>
      <c r="L4" s="33" t="s">
        <v>22</v>
      </c>
      <c r="M4" s="33" t="s">
        <v>23</v>
      </c>
    </row>
    <row r="5" customFormat="false" ht="15" hidden="false" customHeight="true" outlineLevel="0" collapsed="false">
      <c r="A5" s="6" t="s">
        <v>82</v>
      </c>
      <c r="B5" s="33" t="s">
        <v>24</v>
      </c>
      <c r="C5" s="33" t="s">
        <v>25</v>
      </c>
      <c r="D5" s="33" t="s">
        <v>26</v>
      </c>
      <c r="E5" s="33" t="s">
        <v>27</v>
      </c>
      <c r="F5" s="33" t="s">
        <v>28</v>
      </c>
      <c r="G5" s="33" t="s">
        <v>29</v>
      </c>
      <c r="H5" s="33" t="s">
        <v>30</v>
      </c>
      <c r="I5" s="33" t="s">
        <v>31</v>
      </c>
      <c r="J5" s="33" t="s">
        <v>32</v>
      </c>
      <c r="K5" s="33" t="s">
        <v>33</v>
      </c>
      <c r="L5" s="33" t="s">
        <v>34</v>
      </c>
    </row>
    <row r="6" customFormat="false" ht="15" hidden="false" customHeight="true" outlineLevel="0" collapsed="false">
      <c r="A6" s="6" t="s">
        <v>102</v>
      </c>
      <c r="B6" s="33" t="s">
        <v>35</v>
      </c>
      <c r="C6" s="33" t="s">
        <v>36</v>
      </c>
      <c r="D6" s="33" t="s">
        <v>37</v>
      </c>
      <c r="E6" s="33" t="s">
        <v>38</v>
      </c>
      <c r="F6" s="33" t="s">
        <v>39</v>
      </c>
      <c r="G6" s="33" t="s">
        <v>40</v>
      </c>
      <c r="H6" s="33" t="s">
        <v>41</v>
      </c>
      <c r="I6" s="33" t="s">
        <v>42</v>
      </c>
      <c r="J6" s="33" t="s">
        <v>43</v>
      </c>
      <c r="K6" s="33" t="s">
        <v>44</v>
      </c>
    </row>
    <row r="8" customFormat="false" ht="15" hidden="false" customHeight="true" outlineLevel="0" collapsed="false">
      <c r="A8" s="6" t="s">
        <v>517</v>
      </c>
      <c r="B8" s="34" t="s">
        <v>45</v>
      </c>
      <c r="C8" s="34" t="s">
        <v>46</v>
      </c>
      <c r="D8" s="34" t="s">
        <v>47</v>
      </c>
      <c r="E8" s="34" t="s">
        <v>48</v>
      </c>
      <c r="F8" s="34" t="s">
        <v>49</v>
      </c>
      <c r="G8" s="34" t="s">
        <v>50</v>
      </c>
    </row>
    <row r="9" customFormat="false" ht="15" hidden="false" customHeight="true" outlineLevel="0" collapsed="false">
      <c r="A9" s="6" t="s">
        <v>124</v>
      </c>
      <c r="B9" s="34" t="s">
        <v>51</v>
      </c>
      <c r="C9" s="34"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sheetData>
    <row r="1" customFormat="false" ht="15" hidden="false" customHeight="true" outlineLevel="0" collapsed="false">
      <c r="A1" s="2" t="s">
        <v>518</v>
      </c>
      <c r="B1" s="2" t="s">
        <v>519</v>
      </c>
      <c r="C1" s="2" t="s">
        <v>520</v>
      </c>
      <c r="D1" s="2" t="s">
        <v>521</v>
      </c>
      <c r="E1" s="2" t="s">
        <v>522</v>
      </c>
      <c r="F1" s="2" t="s">
        <v>523</v>
      </c>
      <c r="G1" s="2" t="s">
        <v>524</v>
      </c>
    </row>
    <row r="2" customFormat="false" ht="15" hidden="false" customHeight="true" outlineLevel="0" collapsed="false">
      <c r="A2" s="25" t="s">
        <v>384</v>
      </c>
      <c r="B2" s="25" t="s">
        <v>384</v>
      </c>
      <c r="C2" s="2" t="n">
        <v>0</v>
      </c>
      <c r="E2" s="2" t="s">
        <v>0</v>
      </c>
      <c r="F2" s="2" t="n">
        <v>11</v>
      </c>
      <c r="G2" s="2" t="n">
        <v>6</v>
      </c>
    </row>
    <row r="3" customFormat="false" ht="15" hidden="false" customHeight="true" outlineLevel="0" collapsed="false">
      <c r="A3" s="25" t="s">
        <v>384</v>
      </c>
      <c r="B3" s="25" t="s">
        <v>384</v>
      </c>
      <c r="C3" s="2" t="n">
        <v>0</v>
      </c>
      <c r="E3" s="2" t="s">
        <v>1</v>
      </c>
      <c r="F3" s="2" t="n">
        <v>11</v>
      </c>
      <c r="G3" s="2" t="n">
        <v>10</v>
      </c>
    </row>
    <row r="4" customFormat="false" ht="15" hidden="false" customHeight="true" outlineLevel="0" collapsed="false">
      <c r="A4" s="25" t="s">
        <v>384</v>
      </c>
      <c r="B4" s="25" t="s">
        <v>384</v>
      </c>
      <c r="C4" s="2" t="n">
        <v>0</v>
      </c>
      <c r="E4" s="2" t="s">
        <v>2</v>
      </c>
      <c r="F4" s="2" t="n">
        <v>11</v>
      </c>
      <c r="G4" s="2" t="n">
        <v>14</v>
      </c>
    </row>
    <row r="5" customFormat="false" ht="15" hidden="false" customHeight="true" outlineLevel="0" collapsed="false">
      <c r="A5" s="25" t="s">
        <v>384</v>
      </c>
      <c r="B5" s="25" t="s">
        <v>384</v>
      </c>
      <c r="C5" s="2" t="n">
        <v>0</v>
      </c>
      <c r="E5" s="2" t="s">
        <v>3</v>
      </c>
      <c r="F5" s="2" t="n">
        <v>11</v>
      </c>
      <c r="G5" s="2" t="n">
        <v>18</v>
      </c>
    </row>
    <row r="6" customFormat="false" ht="15" hidden="false" customHeight="true" outlineLevel="0" collapsed="false">
      <c r="A6" s="25" t="s">
        <v>384</v>
      </c>
      <c r="B6" s="25" t="s">
        <v>384</v>
      </c>
      <c r="C6" s="2" t="n">
        <v>0</v>
      </c>
      <c r="E6" s="2" t="s">
        <v>4</v>
      </c>
      <c r="F6" s="2" t="n">
        <v>11</v>
      </c>
      <c r="G6" s="2" t="n">
        <v>22</v>
      </c>
    </row>
    <row r="7" customFormat="false" ht="15" hidden="false" customHeight="true" outlineLevel="0" collapsed="false">
      <c r="A7" s="25" t="s">
        <v>384</v>
      </c>
      <c r="B7" s="25" t="s">
        <v>384</v>
      </c>
      <c r="C7" s="2" t="n">
        <v>0</v>
      </c>
      <c r="E7" s="2" t="s">
        <v>5</v>
      </c>
      <c r="F7" s="2" t="n">
        <v>11</v>
      </c>
      <c r="G7" s="2" t="n">
        <v>26</v>
      </c>
    </row>
    <row r="8" customFormat="false" ht="15" hidden="false" customHeight="true" outlineLevel="0" collapsed="false">
      <c r="A8" s="25" t="s">
        <v>384</v>
      </c>
      <c r="B8" s="25" t="s">
        <v>384</v>
      </c>
      <c r="C8" s="2" t="n">
        <v>0</v>
      </c>
      <c r="E8" s="2" t="s">
        <v>6</v>
      </c>
      <c r="F8" s="2" t="n">
        <v>11</v>
      </c>
      <c r="G8" s="2" t="n">
        <v>30</v>
      </c>
    </row>
    <row r="9" customFormat="false" ht="15" hidden="false" customHeight="true" outlineLevel="0" collapsed="false">
      <c r="A9" s="25" t="s">
        <v>384</v>
      </c>
      <c r="B9" s="25" t="s">
        <v>384</v>
      </c>
      <c r="C9" s="2" t="n">
        <v>0</v>
      </c>
      <c r="E9" s="2" t="s">
        <v>7</v>
      </c>
      <c r="F9" s="2" t="n">
        <v>11</v>
      </c>
      <c r="G9" s="2" t="n">
        <v>34</v>
      </c>
    </row>
    <row r="10" customFormat="false" ht="15" hidden="false" customHeight="true" outlineLevel="0" collapsed="false">
      <c r="A10" s="25" t="s">
        <v>384</v>
      </c>
      <c r="B10" s="25" t="s">
        <v>384</v>
      </c>
      <c r="C10" s="2" t="n">
        <v>0</v>
      </c>
      <c r="E10" s="2" t="s">
        <v>8</v>
      </c>
      <c r="F10" s="2" t="n">
        <v>11</v>
      </c>
      <c r="G10" s="2" t="n">
        <v>38</v>
      </c>
    </row>
    <row r="11" customFormat="false" ht="15" hidden="false" customHeight="true" outlineLevel="0" collapsed="false">
      <c r="A11" s="25" t="s">
        <v>384</v>
      </c>
      <c r="B11" s="25" t="s">
        <v>384</v>
      </c>
      <c r="C11" s="2" t="n">
        <v>0</v>
      </c>
      <c r="E11" s="2" t="s">
        <v>9</v>
      </c>
      <c r="F11" s="2" t="n">
        <v>11</v>
      </c>
      <c r="G11" s="2" t="n">
        <v>42</v>
      </c>
    </row>
    <row r="12" customFormat="false" ht="15" hidden="false" customHeight="true" outlineLevel="0" collapsed="false">
      <c r="A12" s="25" t="s">
        <v>384</v>
      </c>
      <c r="B12" s="25" t="s">
        <v>384</v>
      </c>
      <c r="C12" s="2" t="n">
        <v>0</v>
      </c>
      <c r="E12" s="2" t="s">
        <v>10</v>
      </c>
      <c r="F12" s="2" t="n">
        <v>11</v>
      </c>
      <c r="G12" s="2" t="n">
        <v>46</v>
      </c>
    </row>
    <row r="13" customFormat="false" ht="15" hidden="false" customHeight="true" outlineLevel="0" collapsed="false">
      <c r="A13" s="25" t="s">
        <v>384</v>
      </c>
      <c r="B13" s="25" t="s">
        <v>384</v>
      </c>
      <c r="C13" s="2" t="n">
        <v>0</v>
      </c>
      <c r="E13" s="2" t="s">
        <v>11</v>
      </c>
      <c r="F13" s="2" t="n">
        <v>11</v>
      </c>
      <c r="G13" s="2" t="n">
        <v>50</v>
      </c>
    </row>
    <row r="14" customFormat="false" ht="15" hidden="false" customHeight="true" outlineLevel="0" collapsed="false">
      <c r="A14" s="25" t="s">
        <v>384</v>
      </c>
      <c r="B14" s="25" t="s">
        <v>384</v>
      </c>
      <c r="C14" s="2" t="n">
        <v>0</v>
      </c>
      <c r="E14" s="2" t="s">
        <v>12</v>
      </c>
      <c r="F14" s="2" t="n">
        <v>13</v>
      </c>
      <c r="G14" s="2" t="n">
        <v>8</v>
      </c>
    </row>
    <row r="15" customFormat="false" ht="15" hidden="false" customHeight="true" outlineLevel="0" collapsed="false">
      <c r="A15" s="25" t="s">
        <v>384</v>
      </c>
      <c r="B15" s="25" t="s">
        <v>384</v>
      </c>
      <c r="C15" s="2" t="n">
        <v>0</v>
      </c>
      <c r="E15" s="2" t="s">
        <v>13</v>
      </c>
      <c r="F15" s="2" t="n">
        <v>13</v>
      </c>
      <c r="G15" s="2" t="n">
        <v>12</v>
      </c>
    </row>
    <row r="16" customFormat="false" ht="15" hidden="false" customHeight="true" outlineLevel="0" collapsed="false">
      <c r="A16" s="25" t="s">
        <v>384</v>
      </c>
      <c r="B16" s="25" t="s">
        <v>384</v>
      </c>
      <c r="C16" s="2" t="n">
        <v>0</v>
      </c>
      <c r="E16" s="2" t="s">
        <v>14</v>
      </c>
      <c r="F16" s="2" t="n">
        <v>13</v>
      </c>
      <c r="G16" s="2" t="n">
        <v>16</v>
      </c>
    </row>
    <row r="17" customFormat="false" ht="15" hidden="false" customHeight="true" outlineLevel="0" collapsed="false">
      <c r="A17" s="25" t="s">
        <v>384</v>
      </c>
      <c r="B17" s="25" t="s">
        <v>384</v>
      </c>
      <c r="C17" s="2" t="n">
        <v>0</v>
      </c>
      <c r="E17" s="2" t="s">
        <v>15</v>
      </c>
      <c r="F17" s="2" t="n">
        <v>13</v>
      </c>
      <c r="G17" s="2" t="n">
        <v>20</v>
      </c>
    </row>
    <row r="18" customFormat="false" ht="15" hidden="false" customHeight="true" outlineLevel="0" collapsed="false">
      <c r="A18" s="25" t="s">
        <v>384</v>
      </c>
      <c r="B18" s="25" t="s">
        <v>384</v>
      </c>
      <c r="C18" s="2" t="n">
        <v>0</v>
      </c>
      <c r="E18" s="2" t="s">
        <v>16</v>
      </c>
      <c r="F18" s="2" t="n">
        <v>13</v>
      </c>
      <c r="G18" s="2" t="n">
        <v>24</v>
      </c>
    </row>
    <row r="19" customFormat="false" ht="15" hidden="false" customHeight="true" outlineLevel="0" collapsed="false">
      <c r="A19" s="25" t="s">
        <v>384</v>
      </c>
      <c r="B19" s="25" t="s">
        <v>384</v>
      </c>
      <c r="C19" s="2" t="n">
        <v>0</v>
      </c>
      <c r="E19" s="2" t="s">
        <v>17</v>
      </c>
      <c r="F19" s="2" t="n">
        <v>13</v>
      </c>
      <c r="G19" s="2" t="n">
        <v>28</v>
      </c>
    </row>
    <row r="20" customFormat="false" ht="15" hidden="false" customHeight="true" outlineLevel="0" collapsed="false">
      <c r="A20" s="25" t="s">
        <v>384</v>
      </c>
      <c r="B20" s="25" t="s">
        <v>384</v>
      </c>
      <c r="C20" s="2" t="n">
        <v>0</v>
      </c>
      <c r="E20" s="2" t="s">
        <v>18</v>
      </c>
      <c r="F20" s="2" t="n">
        <v>13</v>
      </c>
      <c r="G20" s="2" t="n">
        <v>32</v>
      </c>
    </row>
    <row r="21" customFormat="false" ht="15" hidden="false" customHeight="true" outlineLevel="0" collapsed="false">
      <c r="A21" s="25" t="s">
        <v>384</v>
      </c>
      <c r="B21" s="25" t="s">
        <v>384</v>
      </c>
      <c r="C21" s="2" t="n">
        <v>0</v>
      </c>
      <c r="E21" s="2" t="s">
        <v>19</v>
      </c>
      <c r="F21" s="2" t="n">
        <v>13</v>
      </c>
      <c r="G21" s="2" t="n">
        <v>36</v>
      </c>
    </row>
    <row r="22" customFormat="false" ht="15" hidden="false" customHeight="true" outlineLevel="0" collapsed="false">
      <c r="A22" s="25" t="s">
        <v>384</v>
      </c>
      <c r="B22" s="25" t="s">
        <v>384</v>
      </c>
      <c r="C22" s="2" t="n">
        <v>0</v>
      </c>
      <c r="E22" s="2" t="s">
        <v>20</v>
      </c>
      <c r="F22" s="2" t="n">
        <v>13</v>
      </c>
      <c r="G22" s="2" t="n">
        <v>40</v>
      </c>
    </row>
    <row r="23" customFormat="false" ht="15" hidden="false" customHeight="true" outlineLevel="0" collapsed="false">
      <c r="A23" s="25" t="s">
        <v>384</v>
      </c>
      <c r="B23" s="25" t="s">
        <v>384</v>
      </c>
      <c r="C23" s="2" t="n">
        <v>0</v>
      </c>
      <c r="E23" s="2" t="s">
        <v>21</v>
      </c>
      <c r="F23" s="2" t="n">
        <v>13</v>
      </c>
      <c r="G23" s="2" t="n">
        <v>44</v>
      </c>
    </row>
    <row r="24" customFormat="false" ht="15" hidden="false" customHeight="true" outlineLevel="0" collapsed="false">
      <c r="A24" s="25" t="s">
        <v>384</v>
      </c>
      <c r="B24" s="25" t="s">
        <v>384</v>
      </c>
      <c r="C24" s="2" t="n">
        <v>0</v>
      </c>
      <c r="E24" s="2" t="s">
        <v>22</v>
      </c>
      <c r="F24" s="2" t="n">
        <v>13</v>
      </c>
      <c r="G24" s="2" t="n">
        <v>48</v>
      </c>
    </row>
    <row r="25" customFormat="false" ht="15" hidden="false" customHeight="true" outlineLevel="0" collapsed="false">
      <c r="A25" s="25" t="s">
        <v>384</v>
      </c>
      <c r="B25" s="25" t="s">
        <v>384</v>
      </c>
      <c r="C25" s="2" t="n">
        <v>0</v>
      </c>
      <c r="E25" s="2" t="s">
        <v>23</v>
      </c>
      <c r="F25" s="2" t="n">
        <v>13</v>
      </c>
      <c r="G25" s="2" t="n">
        <v>52</v>
      </c>
    </row>
    <row r="26" customFormat="false" ht="15" hidden="false" customHeight="true" outlineLevel="0" collapsed="false">
      <c r="A26" s="25" t="s">
        <v>384</v>
      </c>
      <c r="B26" s="25" t="s">
        <v>384</v>
      </c>
      <c r="C26" s="2" t="n">
        <v>0</v>
      </c>
      <c r="E26" s="2" t="s">
        <v>24</v>
      </c>
      <c r="F26" s="2" t="n">
        <v>15</v>
      </c>
      <c r="G26" s="2" t="n">
        <v>9</v>
      </c>
    </row>
    <row r="27" customFormat="false" ht="15" hidden="false" customHeight="true" outlineLevel="0" collapsed="false">
      <c r="A27" s="25" t="s">
        <v>384</v>
      </c>
      <c r="B27" s="25" t="s">
        <v>384</v>
      </c>
      <c r="C27" s="2" t="n">
        <v>0</v>
      </c>
      <c r="E27" s="2" t="s">
        <v>25</v>
      </c>
      <c r="F27" s="2" t="n">
        <v>15</v>
      </c>
      <c r="G27" s="2" t="n">
        <v>13</v>
      </c>
    </row>
    <row r="28" customFormat="false" ht="15" hidden="false" customHeight="true" outlineLevel="0" collapsed="false">
      <c r="A28" s="25" t="s">
        <v>384</v>
      </c>
      <c r="B28" s="25" t="s">
        <v>384</v>
      </c>
      <c r="C28" s="2" t="n">
        <v>0</v>
      </c>
      <c r="E28" s="2" t="s">
        <v>26</v>
      </c>
      <c r="F28" s="2" t="n">
        <v>15</v>
      </c>
      <c r="G28" s="2" t="n">
        <v>17</v>
      </c>
    </row>
    <row r="29" customFormat="false" ht="15" hidden="false" customHeight="true" outlineLevel="0" collapsed="false">
      <c r="A29" s="25" t="s">
        <v>384</v>
      </c>
      <c r="B29" s="25" t="s">
        <v>384</v>
      </c>
      <c r="C29" s="2" t="n">
        <v>0</v>
      </c>
      <c r="E29" s="2" t="s">
        <v>27</v>
      </c>
      <c r="F29" s="2" t="n">
        <v>15</v>
      </c>
      <c r="G29" s="2" t="n">
        <v>21</v>
      </c>
    </row>
    <row r="30" customFormat="false" ht="15" hidden="false" customHeight="true" outlineLevel="0" collapsed="false">
      <c r="A30" s="25" t="s">
        <v>384</v>
      </c>
      <c r="B30" s="25" t="s">
        <v>384</v>
      </c>
      <c r="C30" s="2" t="n">
        <v>0</v>
      </c>
      <c r="E30" s="2" t="s">
        <v>28</v>
      </c>
      <c r="F30" s="2" t="n">
        <v>15</v>
      </c>
      <c r="G30" s="2" t="n">
        <v>25</v>
      </c>
    </row>
    <row r="31" customFormat="false" ht="15" hidden="false" customHeight="true" outlineLevel="0" collapsed="false">
      <c r="A31" s="25" t="s">
        <v>384</v>
      </c>
      <c r="B31" s="25" t="s">
        <v>384</v>
      </c>
      <c r="C31" s="2" t="n">
        <v>0</v>
      </c>
      <c r="E31" s="2" t="s">
        <v>29</v>
      </c>
      <c r="F31" s="2" t="n">
        <v>15</v>
      </c>
      <c r="G31" s="2" t="n">
        <v>29</v>
      </c>
    </row>
    <row r="32" customFormat="false" ht="15" hidden="false" customHeight="true" outlineLevel="0" collapsed="false">
      <c r="A32" s="25" t="s">
        <v>384</v>
      </c>
      <c r="B32" s="25" t="s">
        <v>384</v>
      </c>
      <c r="C32" s="2" t="n">
        <v>0</v>
      </c>
      <c r="E32" s="2" t="s">
        <v>30</v>
      </c>
      <c r="F32" s="2" t="n">
        <v>15</v>
      </c>
      <c r="G32" s="2" t="n">
        <v>33</v>
      </c>
    </row>
    <row r="33" customFormat="false" ht="15" hidden="false" customHeight="true" outlineLevel="0" collapsed="false">
      <c r="A33" s="25" t="s">
        <v>384</v>
      </c>
      <c r="B33" s="25" t="s">
        <v>384</v>
      </c>
      <c r="C33" s="2" t="n">
        <v>0</v>
      </c>
      <c r="E33" s="2" t="s">
        <v>31</v>
      </c>
      <c r="F33" s="2" t="n">
        <v>15</v>
      </c>
      <c r="G33" s="2" t="n">
        <v>37</v>
      </c>
    </row>
    <row r="34" customFormat="false" ht="15" hidden="false" customHeight="true" outlineLevel="0" collapsed="false">
      <c r="A34" s="25" t="s">
        <v>384</v>
      </c>
      <c r="B34" s="25" t="s">
        <v>384</v>
      </c>
      <c r="C34" s="2" t="n">
        <v>0</v>
      </c>
      <c r="E34" s="2" t="s">
        <v>32</v>
      </c>
      <c r="F34" s="2" t="n">
        <v>15</v>
      </c>
      <c r="G34" s="2" t="n">
        <v>41</v>
      </c>
    </row>
    <row r="35" customFormat="false" ht="15" hidden="false" customHeight="true" outlineLevel="0" collapsed="false">
      <c r="A35" s="25" t="s">
        <v>384</v>
      </c>
      <c r="B35" s="25" t="s">
        <v>384</v>
      </c>
      <c r="C35" s="2" t="n">
        <v>0</v>
      </c>
      <c r="E35" s="2" t="s">
        <v>33</v>
      </c>
      <c r="F35" s="2" t="n">
        <v>15</v>
      </c>
      <c r="G35" s="2" t="n">
        <v>45</v>
      </c>
    </row>
    <row r="36" customFormat="false" ht="15" hidden="false" customHeight="true" outlineLevel="0" collapsed="false">
      <c r="A36" s="25" t="s">
        <v>384</v>
      </c>
      <c r="B36" s="25" t="s">
        <v>384</v>
      </c>
      <c r="C36" s="2" t="n">
        <v>0</v>
      </c>
      <c r="E36" s="2" t="s">
        <v>34</v>
      </c>
      <c r="F36" s="2" t="n">
        <v>15</v>
      </c>
      <c r="G36" s="2" t="n">
        <v>49</v>
      </c>
    </row>
    <row r="37" customFormat="false" ht="15" hidden="false" customHeight="true" outlineLevel="0" collapsed="false">
      <c r="A37" s="25" t="s">
        <v>384</v>
      </c>
      <c r="B37" s="25" t="s">
        <v>384</v>
      </c>
      <c r="C37" s="2" t="n">
        <v>0</v>
      </c>
      <c r="E37" s="2" t="s">
        <v>35</v>
      </c>
      <c r="F37" s="2" t="n">
        <v>17</v>
      </c>
      <c r="G37" s="2" t="n">
        <v>11</v>
      </c>
    </row>
    <row r="38" customFormat="false" ht="15" hidden="false" customHeight="true" outlineLevel="0" collapsed="false">
      <c r="A38" s="25" t="s">
        <v>384</v>
      </c>
      <c r="B38" s="25" t="s">
        <v>384</v>
      </c>
      <c r="C38" s="2" t="n">
        <v>0</v>
      </c>
      <c r="E38" s="2" t="s">
        <v>36</v>
      </c>
      <c r="F38" s="2" t="n">
        <v>17</v>
      </c>
      <c r="G38" s="2" t="n">
        <v>15</v>
      </c>
    </row>
    <row r="39" customFormat="false" ht="15" hidden="false" customHeight="true" outlineLevel="0" collapsed="false">
      <c r="A39" s="25" t="s">
        <v>384</v>
      </c>
      <c r="B39" s="25" t="s">
        <v>384</v>
      </c>
      <c r="C39" s="2" t="n">
        <v>0</v>
      </c>
      <c r="E39" s="2" t="s">
        <v>37</v>
      </c>
      <c r="F39" s="2" t="n">
        <v>17</v>
      </c>
      <c r="G39" s="2" t="n">
        <v>19</v>
      </c>
    </row>
    <row r="40" customFormat="false" ht="15" hidden="false" customHeight="true" outlineLevel="0" collapsed="false">
      <c r="A40" s="25" t="s">
        <v>384</v>
      </c>
      <c r="B40" s="25" t="s">
        <v>384</v>
      </c>
      <c r="C40" s="2" t="n">
        <v>0</v>
      </c>
      <c r="E40" s="2" t="s">
        <v>38</v>
      </c>
      <c r="F40" s="2" t="n">
        <v>17</v>
      </c>
      <c r="G40" s="2" t="n">
        <v>23</v>
      </c>
    </row>
    <row r="41" customFormat="false" ht="15" hidden="false" customHeight="true" outlineLevel="0" collapsed="false">
      <c r="A41" s="25" t="s">
        <v>384</v>
      </c>
      <c r="B41" s="25" t="s">
        <v>384</v>
      </c>
      <c r="C41" s="2" t="n">
        <v>0</v>
      </c>
      <c r="E41" s="2" t="s">
        <v>39</v>
      </c>
      <c r="F41" s="2" t="n">
        <v>17</v>
      </c>
      <c r="G41" s="2" t="n">
        <v>27</v>
      </c>
    </row>
    <row r="42" customFormat="false" ht="15" hidden="false" customHeight="true" outlineLevel="0" collapsed="false">
      <c r="A42" s="25" t="s">
        <v>384</v>
      </c>
      <c r="B42" s="25" t="s">
        <v>384</v>
      </c>
      <c r="C42" s="2" t="n">
        <v>0</v>
      </c>
      <c r="E42" s="2" t="s">
        <v>40</v>
      </c>
      <c r="F42" s="2" t="n">
        <v>17</v>
      </c>
      <c r="G42" s="2" t="n">
        <v>31</v>
      </c>
    </row>
    <row r="43" customFormat="false" ht="15" hidden="false" customHeight="true" outlineLevel="0" collapsed="false">
      <c r="A43" s="25" t="s">
        <v>384</v>
      </c>
      <c r="B43" s="25" t="s">
        <v>384</v>
      </c>
      <c r="C43" s="2" t="n">
        <v>0</v>
      </c>
      <c r="E43" s="2" t="s">
        <v>41</v>
      </c>
      <c r="F43" s="2" t="n">
        <v>17</v>
      </c>
      <c r="G43" s="2" t="n">
        <v>35</v>
      </c>
    </row>
    <row r="44" customFormat="false" ht="15" hidden="false" customHeight="true" outlineLevel="0" collapsed="false">
      <c r="A44" s="25" t="s">
        <v>384</v>
      </c>
      <c r="B44" s="25" t="s">
        <v>384</v>
      </c>
      <c r="C44" s="2" t="n">
        <v>0</v>
      </c>
      <c r="E44" s="2" t="s">
        <v>42</v>
      </c>
      <c r="F44" s="2" t="n">
        <v>17</v>
      </c>
      <c r="G44" s="2" t="n">
        <v>39</v>
      </c>
    </row>
    <row r="45" customFormat="false" ht="15" hidden="false" customHeight="true" outlineLevel="0" collapsed="false">
      <c r="A45" s="25" t="s">
        <v>384</v>
      </c>
      <c r="B45" s="25" t="s">
        <v>384</v>
      </c>
      <c r="C45" s="2" t="n">
        <v>0</v>
      </c>
      <c r="E45" s="2" t="s">
        <v>43</v>
      </c>
      <c r="F45" s="2" t="n">
        <v>17</v>
      </c>
      <c r="G45" s="2" t="n">
        <v>43</v>
      </c>
    </row>
    <row r="46" customFormat="false" ht="15" hidden="false" customHeight="true" outlineLevel="0" collapsed="false">
      <c r="A46" s="25" t="s">
        <v>384</v>
      </c>
      <c r="B46" s="25" t="s">
        <v>384</v>
      </c>
      <c r="C46" s="2" t="n">
        <v>0</v>
      </c>
      <c r="E46" s="2" t="s">
        <v>44</v>
      </c>
      <c r="F46" s="2" t="n">
        <v>17</v>
      </c>
      <c r="G46" s="2" t="n">
        <v>47</v>
      </c>
    </row>
    <row r="47" customFormat="false" ht="15" hidden="false" customHeight="true" outlineLevel="0" collapsed="false">
      <c r="A47" s="25" t="s">
        <v>384</v>
      </c>
      <c r="B47" s="25" t="s">
        <v>384</v>
      </c>
      <c r="C47" s="2" t="n">
        <v>0</v>
      </c>
      <c r="E47" s="2" t="s">
        <v>48</v>
      </c>
      <c r="F47" s="2" t="n">
        <v>19</v>
      </c>
      <c r="G47" s="2" t="n">
        <v>16</v>
      </c>
    </row>
    <row r="48" customFormat="false" ht="15" hidden="false" customHeight="true" outlineLevel="0" collapsed="false">
      <c r="A48" s="25" t="s">
        <v>384</v>
      </c>
      <c r="B48" s="25" t="s">
        <v>384</v>
      </c>
      <c r="C48" s="2" t="n">
        <v>0</v>
      </c>
      <c r="E48" s="2" t="s">
        <v>50</v>
      </c>
      <c r="F48" s="2" t="n">
        <v>19</v>
      </c>
      <c r="G48" s="2" t="n">
        <v>20</v>
      </c>
    </row>
    <row r="49" customFormat="false" ht="15" hidden="false" customHeight="true" outlineLevel="0" collapsed="false">
      <c r="A49" s="25" t="s">
        <v>384</v>
      </c>
      <c r="B49" s="25" t="s">
        <v>384</v>
      </c>
      <c r="C49" s="2" t="n">
        <v>0</v>
      </c>
      <c r="E49" s="2" t="s">
        <v>45</v>
      </c>
      <c r="F49" s="2" t="n">
        <v>19</v>
      </c>
      <c r="G49" s="2" t="n">
        <v>38</v>
      </c>
    </row>
    <row r="50" customFormat="false" ht="15" hidden="false" customHeight="true" outlineLevel="0" collapsed="false">
      <c r="A50" s="25" t="s">
        <v>384</v>
      </c>
      <c r="B50" s="25" t="s">
        <v>384</v>
      </c>
      <c r="C50" s="2" t="n">
        <v>0</v>
      </c>
      <c r="E50" s="2" t="s">
        <v>46</v>
      </c>
      <c r="F50" s="2" t="n">
        <v>19</v>
      </c>
      <c r="G50" s="2" t="n">
        <v>42</v>
      </c>
    </row>
    <row r="51" customFormat="false" ht="16.5" hidden="false" customHeight="true" outlineLevel="0" collapsed="false">
      <c r="A51" s="2" t="s">
        <v>385</v>
      </c>
      <c r="B51" s="2" t="s">
        <v>386</v>
      </c>
      <c r="C51" s="2" t="n">
        <v>1</v>
      </c>
      <c r="D51" s="2" t="s">
        <v>525</v>
      </c>
      <c r="E51" s="2" t="s">
        <v>0</v>
      </c>
      <c r="F51" s="2" t="n">
        <v>8</v>
      </c>
      <c r="G51" s="2" t="n">
        <v>6</v>
      </c>
    </row>
    <row r="52" customFormat="false" ht="16.5" hidden="false" customHeight="true" outlineLevel="0" collapsed="false">
      <c r="A52" s="2" t="s">
        <v>385</v>
      </c>
      <c r="B52" s="2" t="s">
        <v>386</v>
      </c>
      <c r="C52" s="2" t="n">
        <v>1</v>
      </c>
      <c r="D52" s="2" t="s">
        <v>525</v>
      </c>
      <c r="E52" s="2" t="s">
        <v>1</v>
      </c>
      <c r="F52" s="2" t="n">
        <v>8</v>
      </c>
      <c r="G52" s="2" t="n">
        <v>10</v>
      </c>
    </row>
    <row r="53" customFormat="false" ht="16.5" hidden="false" customHeight="true" outlineLevel="0" collapsed="false">
      <c r="A53" s="2" t="s">
        <v>385</v>
      </c>
      <c r="B53" s="2" t="s">
        <v>386</v>
      </c>
      <c r="C53" s="2" t="n">
        <v>1</v>
      </c>
      <c r="D53" s="2" t="s">
        <v>525</v>
      </c>
      <c r="E53" s="2" t="s">
        <v>2</v>
      </c>
      <c r="F53" s="2" t="n">
        <v>8</v>
      </c>
      <c r="G53" s="2" t="n">
        <v>14</v>
      </c>
    </row>
    <row r="54" customFormat="false" ht="16.5" hidden="false" customHeight="true" outlineLevel="0" collapsed="false">
      <c r="A54" s="2" t="s">
        <v>385</v>
      </c>
      <c r="B54" s="2" t="s">
        <v>386</v>
      </c>
      <c r="C54" s="2" t="n">
        <v>1</v>
      </c>
      <c r="D54" s="2" t="s">
        <v>525</v>
      </c>
      <c r="E54" s="2" t="s">
        <v>3</v>
      </c>
      <c r="F54" s="2" t="n">
        <v>8</v>
      </c>
      <c r="G54" s="2" t="n">
        <v>18</v>
      </c>
    </row>
    <row r="55" customFormat="false" ht="16.5" hidden="false" customHeight="true" outlineLevel="0" collapsed="false">
      <c r="A55" s="2" t="s">
        <v>385</v>
      </c>
      <c r="B55" s="2" t="s">
        <v>386</v>
      </c>
      <c r="C55" s="2" t="n">
        <v>1</v>
      </c>
      <c r="D55" s="2" t="s">
        <v>525</v>
      </c>
      <c r="E55" s="2" t="s">
        <v>4</v>
      </c>
      <c r="F55" s="2" t="n">
        <v>8</v>
      </c>
      <c r="G55" s="2" t="n">
        <v>22</v>
      </c>
    </row>
    <row r="56" customFormat="false" ht="16.5" hidden="false" customHeight="true" outlineLevel="0" collapsed="false">
      <c r="A56" s="2" t="s">
        <v>385</v>
      </c>
      <c r="B56" s="2" t="s">
        <v>386</v>
      </c>
      <c r="C56" s="2" t="n">
        <v>1</v>
      </c>
      <c r="D56" s="2" t="s">
        <v>525</v>
      </c>
      <c r="E56" s="2" t="s">
        <v>5</v>
      </c>
      <c r="F56" s="2" t="n">
        <v>8</v>
      </c>
      <c r="G56" s="2" t="n">
        <v>26</v>
      </c>
    </row>
    <row r="57" customFormat="false" ht="16.5" hidden="false" customHeight="true" outlineLevel="0" collapsed="false">
      <c r="A57" s="2" t="s">
        <v>385</v>
      </c>
      <c r="B57" s="2" t="s">
        <v>386</v>
      </c>
      <c r="C57" s="2" t="n">
        <v>1</v>
      </c>
      <c r="D57" s="2" t="s">
        <v>525</v>
      </c>
      <c r="E57" s="2" t="s">
        <v>6</v>
      </c>
      <c r="F57" s="2" t="n">
        <v>8</v>
      </c>
      <c r="G57" s="2" t="n">
        <v>30</v>
      </c>
    </row>
    <row r="58" customFormat="false" ht="16.5" hidden="false" customHeight="true" outlineLevel="0" collapsed="false">
      <c r="A58" s="2" t="s">
        <v>385</v>
      </c>
      <c r="B58" s="2" t="s">
        <v>386</v>
      </c>
      <c r="C58" s="2" t="n">
        <v>1</v>
      </c>
      <c r="D58" s="2" t="s">
        <v>525</v>
      </c>
      <c r="E58" s="2" t="s">
        <v>7</v>
      </c>
      <c r="F58" s="2" t="n">
        <v>8</v>
      </c>
      <c r="G58" s="2" t="n">
        <v>34</v>
      </c>
    </row>
    <row r="59" customFormat="false" ht="16.5" hidden="false" customHeight="true" outlineLevel="0" collapsed="false">
      <c r="A59" s="2" t="s">
        <v>385</v>
      </c>
      <c r="B59" s="2" t="s">
        <v>386</v>
      </c>
      <c r="C59" s="2" t="n">
        <v>1</v>
      </c>
      <c r="D59" s="2" t="s">
        <v>525</v>
      </c>
      <c r="E59" s="2" t="s">
        <v>8</v>
      </c>
      <c r="F59" s="2" t="n">
        <v>8</v>
      </c>
      <c r="G59" s="2" t="n">
        <v>38</v>
      </c>
    </row>
    <row r="60" customFormat="false" ht="16.5" hidden="false" customHeight="true" outlineLevel="0" collapsed="false">
      <c r="A60" s="2" t="s">
        <v>385</v>
      </c>
      <c r="B60" s="2" t="s">
        <v>386</v>
      </c>
      <c r="C60" s="2" t="n">
        <v>1</v>
      </c>
      <c r="D60" s="2" t="s">
        <v>525</v>
      </c>
      <c r="E60" s="2" t="s">
        <v>9</v>
      </c>
      <c r="F60" s="2" t="n">
        <v>8</v>
      </c>
      <c r="G60" s="2" t="n">
        <v>42</v>
      </c>
    </row>
    <row r="61" customFormat="false" ht="16.5" hidden="false" customHeight="true" outlineLevel="0" collapsed="false">
      <c r="A61" s="2" t="s">
        <v>385</v>
      </c>
      <c r="B61" s="2" t="s">
        <v>386</v>
      </c>
      <c r="C61" s="2" t="n">
        <v>1</v>
      </c>
      <c r="D61" s="2" t="s">
        <v>525</v>
      </c>
      <c r="E61" s="2" t="s">
        <v>10</v>
      </c>
      <c r="F61" s="2" t="n">
        <v>8</v>
      </c>
      <c r="G61" s="2" t="n">
        <v>46</v>
      </c>
    </row>
    <row r="62" customFormat="false" ht="16.5" hidden="false" customHeight="true" outlineLevel="0" collapsed="false">
      <c r="A62" s="2" t="s">
        <v>385</v>
      </c>
      <c r="B62" s="2" t="s">
        <v>386</v>
      </c>
      <c r="C62" s="2" t="n">
        <v>1</v>
      </c>
      <c r="D62" s="2" t="s">
        <v>525</v>
      </c>
      <c r="E62" s="2" t="s">
        <v>11</v>
      </c>
      <c r="F62" s="2" t="n">
        <v>8</v>
      </c>
      <c r="G62" s="2" t="n">
        <v>50</v>
      </c>
    </row>
    <row r="63" customFormat="false" ht="16.5" hidden="false" customHeight="true" outlineLevel="0" collapsed="false">
      <c r="A63" s="2" t="s">
        <v>385</v>
      </c>
      <c r="B63" s="2" t="s">
        <v>386</v>
      </c>
      <c r="C63" s="2" t="n">
        <v>1</v>
      </c>
      <c r="D63" s="2" t="s">
        <v>525</v>
      </c>
      <c r="E63" s="2" t="s">
        <v>12</v>
      </c>
      <c r="F63" s="2" t="n">
        <v>10</v>
      </c>
      <c r="G63" s="2" t="n">
        <v>8</v>
      </c>
    </row>
    <row r="64" customFormat="false" ht="16.5" hidden="false" customHeight="true" outlineLevel="0" collapsed="false">
      <c r="A64" s="2" t="s">
        <v>385</v>
      </c>
      <c r="B64" s="2" t="s">
        <v>386</v>
      </c>
      <c r="C64" s="2" t="n">
        <v>1</v>
      </c>
      <c r="D64" s="2" t="s">
        <v>525</v>
      </c>
      <c r="E64" s="2" t="s">
        <v>13</v>
      </c>
      <c r="F64" s="2" t="n">
        <v>10</v>
      </c>
      <c r="G64" s="2" t="n">
        <v>12</v>
      </c>
    </row>
    <row r="65" customFormat="false" ht="16.5" hidden="false" customHeight="true" outlineLevel="0" collapsed="false">
      <c r="A65" s="2" t="s">
        <v>385</v>
      </c>
      <c r="B65" s="2" t="s">
        <v>386</v>
      </c>
      <c r="C65" s="2" t="n">
        <v>1</v>
      </c>
      <c r="D65" s="2" t="s">
        <v>525</v>
      </c>
      <c r="E65" s="2" t="s">
        <v>14</v>
      </c>
      <c r="F65" s="2" t="n">
        <v>10</v>
      </c>
      <c r="G65" s="2" t="n">
        <v>16</v>
      </c>
    </row>
    <row r="66" customFormat="false" ht="16.5" hidden="false" customHeight="true" outlineLevel="0" collapsed="false">
      <c r="A66" s="2" t="s">
        <v>385</v>
      </c>
      <c r="B66" s="2" t="s">
        <v>386</v>
      </c>
      <c r="C66" s="2" t="n">
        <v>1</v>
      </c>
      <c r="D66" s="2" t="s">
        <v>525</v>
      </c>
      <c r="E66" s="2" t="s">
        <v>15</v>
      </c>
      <c r="F66" s="2" t="n">
        <v>10</v>
      </c>
      <c r="G66" s="2" t="n">
        <v>20</v>
      </c>
    </row>
    <row r="67" customFormat="false" ht="16.5" hidden="false" customHeight="true" outlineLevel="0" collapsed="false">
      <c r="A67" s="2" t="s">
        <v>385</v>
      </c>
      <c r="B67" s="2" t="s">
        <v>386</v>
      </c>
      <c r="C67" s="2" t="n">
        <v>1</v>
      </c>
      <c r="D67" s="2" t="s">
        <v>525</v>
      </c>
      <c r="E67" s="2" t="s">
        <v>16</v>
      </c>
      <c r="F67" s="2" t="n">
        <v>10</v>
      </c>
      <c r="G67" s="2" t="n">
        <v>24</v>
      </c>
    </row>
    <row r="68" customFormat="false" ht="16.5" hidden="false" customHeight="true" outlineLevel="0" collapsed="false">
      <c r="A68" s="2" t="s">
        <v>385</v>
      </c>
      <c r="B68" s="2" t="s">
        <v>386</v>
      </c>
      <c r="C68" s="2" t="n">
        <v>1</v>
      </c>
      <c r="D68" s="2" t="s">
        <v>525</v>
      </c>
      <c r="E68" s="2" t="s">
        <v>17</v>
      </c>
      <c r="F68" s="2" t="n">
        <v>10</v>
      </c>
      <c r="G68" s="2" t="n">
        <v>28</v>
      </c>
    </row>
    <row r="69" customFormat="false" ht="16.5" hidden="false" customHeight="true" outlineLevel="0" collapsed="false">
      <c r="A69" s="2" t="s">
        <v>385</v>
      </c>
      <c r="B69" s="2" t="s">
        <v>386</v>
      </c>
      <c r="C69" s="2" t="n">
        <v>1</v>
      </c>
      <c r="D69" s="2" t="s">
        <v>525</v>
      </c>
      <c r="E69" s="2" t="s">
        <v>18</v>
      </c>
      <c r="F69" s="2" t="n">
        <v>10</v>
      </c>
      <c r="G69" s="2" t="n">
        <v>32</v>
      </c>
    </row>
    <row r="70" customFormat="false" ht="16.5" hidden="false" customHeight="true" outlineLevel="0" collapsed="false">
      <c r="A70" s="2" t="s">
        <v>385</v>
      </c>
      <c r="B70" s="2" t="s">
        <v>386</v>
      </c>
      <c r="C70" s="2" t="n">
        <v>1</v>
      </c>
      <c r="D70" s="2" t="s">
        <v>525</v>
      </c>
      <c r="E70" s="2" t="s">
        <v>19</v>
      </c>
      <c r="F70" s="2" t="n">
        <v>10</v>
      </c>
      <c r="G70" s="2" t="n">
        <v>36</v>
      </c>
    </row>
    <row r="71" customFormat="false" ht="16.5" hidden="false" customHeight="true" outlineLevel="0" collapsed="false">
      <c r="A71" s="2" t="s">
        <v>385</v>
      </c>
      <c r="B71" s="2" t="s">
        <v>386</v>
      </c>
      <c r="C71" s="2" t="n">
        <v>1</v>
      </c>
      <c r="D71" s="2" t="s">
        <v>525</v>
      </c>
      <c r="E71" s="2" t="s">
        <v>20</v>
      </c>
      <c r="F71" s="2" t="n">
        <v>10</v>
      </c>
      <c r="G71" s="2" t="n">
        <v>40</v>
      </c>
    </row>
    <row r="72" customFormat="false" ht="16.5" hidden="false" customHeight="true" outlineLevel="0" collapsed="false">
      <c r="A72" s="2" t="s">
        <v>385</v>
      </c>
      <c r="B72" s="2" t="s">
        <v>386</v>
      </c>
      <c r="C72" s="2" t="n">
        <v>1</v>
      </c>
      <c r="D72" s="2" t="s">
        <v>525</v>
      </c>
      <c r="E72" s="2" t="s">
        <v>21</v>
      </c>
      <c r="F72" s="2" t="n">
        <v>10</v>
      </c>
      <c r="G72" s="2" t="n">
        <v>44</v>
      </c>
    </row>
    <row r="73" customFormat="false" ht="16.5" hidden="false" customHeight="true" outlineLevel="0" collapsed="false">
      <c r="A73" s="2" t="s">
        <v>385</v>
      </c>
      <c r="B73" s="2" t="s">
        <v>386</v>
      </c>
      <c r="C73" s="2" t="n">
        <v>1</v>
      </c>
      <c r="D73" s="2" t="s">
        <v>525</v>
      </c>
      <c r="E73" s="2" t="s">
        <v>22</v>
      </c>
      <c r="F73" s="2" t="n">
        <v>10</v>
      </c>
      <c r="G73" s="2" t="n">
        <v>48</v>
      </c>
    </row>
    <row r="74" customFormat="false" ht="16.5" hidden="false" customHeight="true" outlineLevel="0" collapsed="false">
      <c r="A74" s="2" t="s">
        <v>385</v>
      </c>
      <c r="B74" s="2" t="s">
        <v>386</v>
      </c>
      <c r="C74" s="2" t="n">
        <v>1</v>
      </c>
      <c r="D74" s="2" t="s">
        <v>525</v>
      </c>
      <c r="E74" s="2" t="s">
        <v>23</v>
      </c>
      <c r="F74" s="2" t="n">
        <v>10</v>
      </c>
      <c r="G74" s="2" t="n">
        <v>52</v>
      </c>
    </row>
    <row r="75" customFormat="false" ht="16.5" hidden="false" customHeight="true" outlineLevel="0" collapsed="false">
      <c r="A75" s="2" t="s">
        <v>385</v>
      </c>
      <c r="B75" s="2" t="s">
        <v>386</v>
      </c>
      <c r="C75" s="2" t="n">
        <v>1</v>
      </c>
      <c r="D75" s="2" t="s">
        <v>525</v>
      </c>
      <c r="E75" s="2" t="s">
        <v>24</v>
      </c>
      <c r="F75" s="2" t="n">
        <v>12</v>
      </c>
      <c r="G75" s="2" t="n">
        <v>9</v>
      </c>
    </row>
    <row r="76" customFormat="false" ht="16.5" hidden="false" customHeight="true" outlineLevel="0" collapsed="false">
      <c r="A76" s="2" t="s">
        <v>385</v>
      </c>
      <c r="B76" s="2" t="s">
        <v>386</v>
      </c>
      <c r="C76" s="2" t="n">
        <v>1</v>
      </c>
      <c r="D76" s="2" t="s">
        <v>525</v>
      </c>
      <c r="E76" s="2" t="s">
        <v>25</v>
      </c>
      <c r="F76" s="2" t="n">
        <v>12</v>
      </c>
      <c r="G76" s="2" t="n">
        <v>13</v>
      </c>
    </row>
    <row r="77" customFormat="false" ht="16.5" hidden="false" customHeight="true" outlineLevel="0" collapsed="false">
      <c r="A77" s="2" t="s">
        <v>385</v>
      </c>
      <c r="B77" s="2" t="s">
        <v>386</v>
      </c>
      <c r="C77" s="2" t="n">
        <v>1</v>
      </c>
      <c r="D77" s="2" t="s">
        <v>525</v>
      </c>
      <c r="E77" s="2" t="s">
        <v>26</v>
      </c>
      <c r="F77" s="2" t="n">
        <v>12</v>
      </c>
      <c r="G77" s="2" t="n">
        <v>17</v>
      </c>
    </row>
    <row r="78" customFormat="false" ht="16.5" hidden="false" customHeight="true" outlineLevel="0" collapsed="false">
      <c r="A78" s="2" t="s">
        <v>385</v>
      </c>
      <c r="B78" s="2" t="s">
        <v>386</v>
      </c>
      <c r="C78" s="2" t="n">
        <v>1</v>
      </c>
      <c r="D78" s="2" t="s">
        <v>525</v>
      </c>
      <c r="E78" s="2" t="s">
        <v>27</v>
      </c>
      <c r="F78" s="2" t="n">
        <v>12</v>
      </c>
      <c r="G78" s="2" t="n">
        <v>21</v>
      </c>
    </row>
    <row r="79" customFormat="false" ht="16.5" hidden="false" customHeight="true" outlineLevel="0" collapsed="false">
      <c r="A79" s="2" t="s">
        <v>385</v>
      </c>
      <c r="B79" s="2" t="s">
        <v>386</v>
      </c>
      <c r="C79" s="2" t="n">
        <v>1</v>
      </c>
      <c r="D79" s="2" t="s">
        <v>525</v>
      </c>
      <c r="E79" s="2" t="s">
        <v>28</v>
      </c>
      <c r="F79" s="2" t="n">
        <v>12</v>
      </c>
      <c r="G79" s="2" t="n">
        <v>25</v>
      </c>
    </row>
    <row r="80" customFormat="false" ht="16.5" hidden="false" customHeight="true" outlineLevel="0" collapsed="false">
      <c r="A80" s="2" t="s">
        <v>385</v>
      </c>
      <c r="B80" s="2" t="s">
        <v>386</v>
      </c>
      <c r="C80" s="2" t="n">
        <v>1</v>
      </c>
      <c r="D80" s="2" t="s">
        <v>525</v>
      </c>
      <c r="E80" s="2" t="s">
        <v>29</v>
      </c>
      <c r="F80" s="2" t="n">
        <v>12</v>
      </c>
      <c r="G80" s="2" t="n">
        <v>29</v>
      </c>
    </row>
    <row r="81" customFormat="false" ht="16.5" hidden="false" customHeight="true" outlineLevel="0" collapsed="false">
      <c r="A81" s="2" t="s">
        <v>385</v>
      </c>
      <c r="B81" s="2" t="s">
        <v>386</v>
      </c>
      <c r="C81" s="2" t="n">
        <v>1</v>
      </c>
      <c r="D81" s="2" t="s">
        <v>525</v>
      </c>
      <c r="E81" s="2" t="s">
        <v>30</v>
      </c>
      <c r="F81" s="2" t="n">
        <v>12</v>
      </c>
      <c r="G81" s="2" t="n">
        <v>33</v>
      </c>
    </row>
    <row r="82" customFormat="false" ht="16.5" hidden="false" customHeight="true" outlineLevel="0" collapsed="false">
      <c r="A82" s="2" t="s">
        <v>385</v>
      </c>
      <c r="B82" s="2" t="s">
        <v>386</v>
      </c>
      <c r="C82" s="2" t="n">
        <v>1</v>
      </c>
      <c r="D82" s="2" t="s">
        <v>525</v>
      </c>
      <c r="E82" s="2" t="s">
        <v>31</v>
      </c>
      <c r="F82" s="2" t="n">
        <v>12</v>
      </c>
      <c r="G82" s="2" t="n">
        <v>37</v>
      </c>
    </row>
    <row r="83" customFormat="false" ht="16.5" hidden="false" customHeight="true" outlineLevel="0" collapsed="false">
      <c r="A83" s="2" t="s">
        <v>385</v>
      </c>
      <c r="B83" s="2" t="s">
        <v>386</v>
      </c>
      <c r="C83" s="2" t="n">
        <v>1</v>
      </c>
      <c r="D83" s="2" t="s">
        <v>525</v>
      </c>
      <c r="E83" s="2" t="s">
        <v>32</v>
      </c>
      <c r="F83" s="2" t="n">
        <v>12</v>
      </c>
      <c r="G83" s="2" t="n">
        <v>41</v>
      </c>
    </row>
    <row r="84" customFormat="false" ht="16.5" hidden="false" customHeight="true" outlineLevel="0" collapsed="false">
      <c r="A84" s="2" t="s">
        <v>385</v>
      </c>
      <c r="B84" s="2" t="s">
        <v>386</v>
      </c>
      <c r="C84" s="2" t="n">
        <v>1</v>
      </c>
      <c r="D84" s="2" t="s">
        <v>525</v>
      </c>
      <c r="E84" s="2" t="s">
        <v>33</v>
      </c>
      <c r="F84" s="2" t="n">
        <v>12</v>
      </c>
      <c r="G84" s="2" t="n">
        <v>45</v>
      </c>
    </row>
    <row r="85" customFormat="false" ht="16.5" hidden="false" customHeight="true" outlineLevel="0" collapsed="false">
      <c r="A85" s="2" t="s">
        <v>385</v>
      </c>
      <c r="B85" s="2" t="s">
        <v>386</v>
      </c>
      <c r="C85" s="2" t="n">
        <v>1</v>
      </c>
      <c r="D85" s="2" t="s">
        <v>525</v>
      </c>
      <c r="E85" s="2" t="s">
        <v>34</v>
      </c>
      <c r="F85" s="2" t="n">
        <v>12</v>
      </c>
      <c r="G85" s="2" t="n">
        <v>49</v>
      </c>
    </row>
    <row r="86" customFormat="false" ht="16.5" hidden="false" customHeight="true" outlineLevel="0" collapsed="false">
      <c r="A86" s="2" t="s">
        <v>385</v>
      </c>
      <c r="B86" s="2" t="s">
        <v>386</v>
      </c>
      <c r="C86" s="2" t="n">
        <v>1</v>
      </c>
      <c r="D86" s="2" t="s">
        <v>525</v>
      </c>
      <c r="E86" s="2" t="s">
        <v>35</v>
      </c>
      <c r="F86" s="2" t="n">
        <v>14</v>
      </c>
      <c r="G86" s="2" t="n">
        <v>11</v>
      </c>
    </row>
    <row r="87" customFormat="false" ht="16.5" hidden="false" customHeight="true" outlineLevel="0" collapsed="false">
      <c r="A87" s="2" t="s">
        <v>385</v>
      </c>
      <c r="B87" s="2" t="s">
        <v>386</v>
      </c>
      <c r="C87" s="2" t="n">
        <v>1</v>
      </c>
      <c r="D87" s="2" t="s">
        <v>525</v>
      </c>
      <c r="E87" s="2" t="s">
        <v>36</v>
      </c>
      <c r="F87" s="2" t="n">
        <v>14</v>
      </c>
      <c r="G87" s="2" t="n">
        <v>15</v>
      </c>
    </row>
    <row r="88" customFormat="false" ht="16.5" hidden="false" customHeight="true" outlineLevel="0" collapsed="false">
      <c r="A88" s="2" t="s">
        <v>385</v>
      </c>
      <c r="B88" s="2" t="s">
        <v>386</v>
      </c>
      <c r="C88" s="2" t="n">
        <v>1</v>
      </c>
      <c r="D88" s="2" t="s">
        <v>525</v>
      </c>
      <c r="E88" s="2" t="s">
        <v>37</v>
      </c>
      <c r="F88" s="2" t="n">
        <v>14</v>
      </c>
      <c r="G88" s="2" t="n">
        <v>19</v>
      </c>
    </row>
    <row r="89" customFormat="false" ht="16.5" hidden="false" customHeight="true" outlineLevel="0" collapsed="false">
      <c r="A89" s="2" t="s">
        <v>385</v>
      </c>
      <c r="B89" s="2" t="s">
        <v>386</v>
      </c>
      <c r="C89" s="2" t="n">
        <v>1</v>
      </c>
      <c r="D89" s="2" t="s">
        <v>525</v>
      </c>
      <c r="E89" s="2" t="s">
        <v>38</v>
      </c>
      <c r="F89" s="2" t="n">
        <v>14</v>
      </c>
      <c r="G89" s="2" t="n">
        <v>23</v>
      </c>
    </row>
    <row r="90" customFormat="false" ht="16.5" hidden="false" customHeight="true" outlineLevel="0" collapsed="false">
      <c r="A90" s="2" t="s">
        <v>385</v>
      </c>
      <c r="B90" s="2" t="s">
        <v>386</v>
      </c>
      <c r="C90" s="2" t="n">
        <v>1</v>
      </c>
      <c r="D90" s="2" t="s">
        <v>525</v>
      </c>
      <c r="E90" s="2" t="s">
        <v>39</v>
      </c>
      <c r="F90" s="2" t="n">
        <v>14</v>
      </c>
      <c r="G90" s="2" t="n">
        <v>27</v>
      </c>
    </row>
    <row r="91" customFormat="false" ht="16.5" hidden="false" customHeight="true" outlineLevel="0" collapsed="false">
      <c r="A91" s="2" t="s">
        <v>385</v>
      </c>
      <c r="B91" s="2" t="s">
        <v>386</v>
      </c>
      <c r="C91" s="2" t="n">
        <v>1</v>
      </c>
      <c r="D91" s="2" t="s">
        <v>525</v>
      </c>
      <c r="E91" s="2" t="s">
        <v>40</v>
      </c>
      <c r="F91" s="2" t="n">
        <v>14</v>
      </c>
      <c r="G91" s="2" t="n">
        <v>31</v>
      </c>
    </row>
    <row r="92" customFormat="false" ht="16.5" hidden="false" customHeight="true" outlineLevel="0" collapsed="false">
      <c r="A92" s="2" t="s">
        <v>385</v>
      </c>
      <c r="B92" s="2" t="s">
        <v>386</v>
      </c>
      <c r="C92" s="2" t="n">
        <v>1</v>
      </c>
      <c r="D92" s="2" t="s">
        <v>525</v>
      </c>
      <c r="E92" s="2" t="s">
        <v>41</v>
      </c>
      <c r="F92" s="2" t="n">
        <v>14</v>
      </c>
      <c r="G92" s="2" t="n">
        <v>35</v>
      </c>
    </row>
    <row r="93" customFormat="false" ht="16.5" hidden="false" customHeight="true" outlineLevel="0" collapsed="false">
      <c r="A93" s="2" t="s">
        <v>385</v>
      </c>
      <c r="B93" s="2" t="s">
        <v>386</v>
      </c>
      <c r="C93" s="2" t="n">
        <v>1</v>
      </c>
      <c r="D93" s="2" t="s">
        <v>525</v>
      </c>
      <c r="E93" s="2" t="s">
        <v>42</v>
      </c>
      <c r="F93" s="2" t="n">
        <v>14</v>
      </c>
      <c r="G93" s="2" t="n">
        <v>39</v>
      </c>
    </row>
    <row r="94" customFormat="false" ht="16.5" hidden="false" customHeight="true" outlineLevel="0" collapsed="false">
      <c r="A94" s="2" t="s">
        <v>385</v>
      </c>
      <c r="B94" s="2" t="s">
        <v>386</v>
      </c>
      <c r="C94" s="2" t="n">
        <v>1</v>
      </c>
      <c r="D94" s="2" t="s">
        <v>525</v>
      </c>
      <c r="E94" s="2" t="s">
        <v>43</v>
      </c>
      <c r="F94" s="2" t="n">
        <v>14</v>
      </c>
      <c r="G94" s="2" t="n">
        <v>43</v>
      </c>
    </row>
    <row r="95" customFormat="false" ht="16.5" hidden="false" customHeight="true" outlineLevel="0" collapsed="false">
      <c r="A95" s="2" t="s">
        <v>385</v>
      </c>
      <c r="B95" s="2" t="s">
        <v>386</v>
      </c>
      <c r="C95" s="2" t="n">
        <v>1</v>
      </c>
      <c r="D95" s="2" t="s">
        <v>525</v>
      </c>
      <c r="E95" s="2" t="s">
        <v>44</v>
      </c>
      <c r="F95" s="2" t="n">
        <v>14</v>
      </c>
      <c r="G95" s="2" t="n">
        <v>47</v>
      </c>
    </row>
    <row r="96" customFormat="false" ht="16.5" hidden="false" customHeight="true" outlineLevel="0" collapsed="false">
      <c r="A96" s="2" t="s">
        <v>385</v>
      </c>
      <c r="B96" s="2" t="s">
        <v>386</v>
      </c>
      <c r="C96" s="2" t="n">
        <v>1</v>
      </c>
      <c r="D96" s="2" t="s">
        <v>525</v>
      </c>
      <c r="E96" s="2" t="s">
        <v>48</v>
      </c>
      <c r="F96" s="2" t="n">
        <v>16</v>
      </c>
      <c r="G96" s="2" t="n">
        <v>16</v>
      </c>
    </row>
    <row r="97" customFormat="false" ht="16.5" hidden="false" customHeight="true" outlineLevel="0" collapsed="false">
      <c r="A97" s="2" t="s">
        <v>385</v>
      </c>
      <c r="B97" s="2" t="s">
        <v>386</v>
      </c>
      <c r="C97" s="2" t="n">
        <v>1</v>
      </c>
      <c r="D97" s="2" t="s">
        <v>525</v>
      </c>
      <c r="E97" s="2" t="s">
        <v>50</v>
      </c>
      <c r="F97" s="2" t="n">
        <v>16</v>
      </c>
      <c r="G97" s="2" t="n">
        <v>20</v>
      </c>
    </row>
    <row r="98" customFormat="false" ht="16.5" hidden="false" customHeight="true" outlineLevel="0" collapsed="false">
      <c r="A98" s="2" t="s">
        <v>385</v>
      </c>
      <c r="B98" s="2" t="s">
        <v>386</v>
      </c>
      <c r="C98" s="2" t="n">
        <v>1</v>
      </c>
      <c r="D98" s="2" t="s">
        <v>525</v>
      </c>
      <c r="E98" s="2" t="s">
        <v>45</v>
      </c>
      <c r="F98" s="2" t="n">
        <v>16</v>
      </c>
      <c r="G98" s="2" t="n">
        <v>38</v>
      </c>
    </row>
    <row r="99" customFormat="false" ht="16.5" hidden="false" customHeight="true" outlineLevel="0" collapsed="false">
      <c r="A99" s="2" t="s">
        <v>385</v>
      </c>
      <c r="B99" s="2" t="s">
        <v>386</v>
      </c>
      <c r="C99" s="2" t="n">
        <v>1</v>
      </c>
      <c r="D99" s="2" t="s">
        <v>525</v>
      </c>
      <c r="E99" s="2" t="s">
        <v>46</v>
      </c>
      <c r="F99" s="2" t="n">
        <v>16</v>
      </c>
      <c r="G99" s="2" t="n">
        <v>42</v>
      </c>
    </row>
    <row r="100" customFormat="false" ht="16.5" hidden="false" customHeight="true" outlineLevel="0" collapsed="false">
      <c r="A100" s="2" t="s">
        <v>385</v>
      </c>
      <c r="B100" s="2" t="s">
        <v>387</v>
      </c>
      <c r="C100" s="2" t="n">
        <v>1</v>
      </c>
      <c r="D100" s="2" t="s">
        <v>526</v>
      </c>
      <c r="E100" s="2" t="s">
        <v>0</v>
      </c>
      <c r="F100" s="2" t="n">
        <v>21</v>
      </c>
      <c r="G100" s="2" t="n">
        <v>6</v>
      </c>
    </row>
    <row r="101" customFormat="false" ht="16.5" hidden="false" customHeight="true" outlineLevel="0" collapsed="false">
      <c r="A101" s="2" t="s">
        <v>385</v>
      </c>
      <c r="B101" s="2" t="s">
        <v>387</v>
      </c>
      <c r="C101" s="2" t="n">
        <v>1</v>
      </c>
      <c r="D101" s="2" t="s">
        <v>526</v>
      </c>
      <c r="E101" s="2" t="s">
        <v>1</v>
      </c>
      <c r="F101" s="2" t="n">
        <v>21</v>
      </c>
      <c r="G101" s="2" t="n">
        <v>10</v>
      </c>
    </row>
    <row r="102" customFormat="false" ht="16.5" hidden="false" customHeight="true" outlineLevel="0" collapsed="false">
      <c r="A102" s="2" t="s">
        <v>385</v>
      </c>
      <c r="B102" s="2" t="s">
        <v>387</v>
      </c>
      <c r="C102" s="2" t="n">
        <v>1</v>
      </c>
      <c r="D102" s="2" t="s">
        <v>526</v>
      </c>
      <c r="E102" s="2" t="s">
        <v>2</v>
      </c>
      <c r="F102" s="2" t="n">
        <v>21</v>
      </c>
      <c r="G102" s="2" t="n">
        <v>14</v>
      </c>
    </row>
    <row r="103" customFormat="false" ht="16.5" hidden="false" customHeight="true" outlineLevel="0" collapsed="false">
      <c r="A103" s="2" t="s">
        <v>385</v>
      </c>
      <c r="B103" s="2" t="s">
        <v>387</v>
      </c>
      <c r="C103" s="2" t="n">
        <v>1</v>
      </c>
      <c r="D103" s="2" t="s">
        <v>526</v>
      </c>
      <c r="E103" s="2" t="s">
        <v>3</v>
      </c>
      <c r="F103" s="2" t="n">
        <v>21</v>
      </c>
      <c r="G103" s="2" t="n">
        <v>18</v>
      </c>
    </row>
    <row r="104" customFormat="false" ht="16.5" hidden="false" customHeight="true" outlineLevel="0" collapsed="false">
      <c r="A104" s="2" t="s">
        <v>385</v>
      </c>
      <c r="B104" s="2" t="s">
        <v>387</v>
      </c>
      <c r="C104" s="2" t="n">
        <v>1</v>
      </c>
      <c r="D104" s="2" t="s">
        <v>526</v>
      </c>
      <c r="E104" s="2" t="s">
        <v>4</v>
      </c>
      <c r="F104" s="2" t="n">
        <v>21</v>
      </c>
      <c r="G104" s="2" t="n">
        <v>22</v>
      </c>
    </row>
    <row r="105" customFormat="false" ht="16.5" hidden="false" customHeight="true" outlineLevel="0" collapsed="false">
      <c r="A105" s="2" t="s">
        <v>385</v>
      </c>
      <c r="B105" s="2" t="s">
        <v>387</v>
      </c>
      <c r="C105" s="2" t="n">
        <v>1</v>
      </c>
      <c r="D105" s="2" t="s">
        <v>526</v>
      </c>
      <c r="E105" s="2" t="s">
        <v>5</v>
      </c>
      <c r="F105" s="2" t="n">
        <v>21</v>
      </c>
      <c r="G105" s="2" t="n">
        <v>26</v>
      </c>
    </row>
    <row r="106" customFormat="false" ht="16.5" hidden="false" customHeight="true" outlineLevel="0" collapsed="false">
      <c r="A106" s="2" t="s">
        <v>385</v>
      </c>
      <c r="B106" s="2" t="s">
        <v>387</v>
      </c>
      <c r="C106" s="2" t="n">
        <v>1</v>
      </c>
      <c r="D106" s="2" t="s">
        <v>526</v>
      </c>
      <c r="E106" s="2" t="s">
        <v>6</v>
      </c>
      <c r="F106" s="2" t="n">
        <v>21</v>
      </c>
      <c r="G106" s="2" t="n">
        <v>30</v>
      </c>
    </row>
    <row r="107" customFormat="false" ht="16.5" hidden="false" customHeight="true" outlineLevel="0" collapsed="false">
      <c r="A107" s="2" t="s">
        <v>385</v>
      </c>
      <c r="B107" s="2" t="s">
        <v>387</v>
      </c>
      <c r="C107" s="2" t="n">
        <v>1</v>
      </c>
      <c r="D107" s="2" t="s">
        <v>526</v>
      </c>
      <c r="E107" s="2" t="s">
        <v>7</v>
      </c>
      <c r="F107" s="2" t="n">
        <v>21</v>
      </c>
      <c r="G107" s="2" t="n">
        <v>34</v>
      </c>
    </row>
    <row r="108" customFormat="false" ht="16.5" hidden="false" customHeight="true" outlineLevel="0" collapsed="false">
      <c r="A108" s="2" t="s">
        <v>385</v>
      </c>
      <c r="B108" s="2" t="s">
        <v>387</v>
      </c>
      <c r="C108" s="2" t="n">
        <v>1</v>
      </c>
      <c r="D108" s="2" t="s">
        <v>526</v>
      </c>
      <c r="E108" s="2" t="s">
        <v>8</v>
      </c>
      <c r="F108" s="2" t="n">
        <v>21</v>
      </c>
      <c r="G108" s="2" t="n">
        <v>38</v>
      </c>
    </row>
    <row r="109" customFormat="false" ht="16.5" hidden="false" customHeight="true" outlineLevel="0" collapsed="false">
      <c r="A109" s="2" t="s">
        <v>385</v>
      </c>
      <c r="B109" s="2" t="s">
        <v>387</v>
      </c>
      <c r="C109" s="2" t="n">
        <v>1</v>
      </c>
      <c r="D109" s="2" t="s">
        <v>526</v>
      </c>
      <c r="E109" s="2" t="s">
        <v>9</v>
      </c>
      <c r="F109" s="2" t="n">
        <v>21</v>
      </c>
      <c r="G109" s="2" t="n">
        <v>42</v>
      </c>
    </row>
    <row r="110" customFormat="false" ht="16.5" hidden="false" customHeight="true" outlineLevel="0" collapsed="false">
      <c r="A110" s="2" t="s">
        <v>385</v>
      </c>
      <c r="B110" s="2" t="s">
        <v>387</v>
      </c>
      <c r="C110" s="2" t="n">
        <v>1</v>
      </c>
      <c r="D110" s="2" t="s">
        <v>526</v>
      </c>
      <c r="E110" s="2" t="s">
        <v>10</v>
      </c>
      <c r="F110" s="2" t="n">
        <v>21</v>
      </c>
      <c r="G110" s="2" t="n">
        <v>46</v>
      </c>
    </row>
    <row r="111" customFormat="false" ht="16.5" hidden="false" customHeight="true" outlineLevel="0" collapsed="false">
      <c r="A111" s="2" t="s">
        <v>385</v>
      </c>
      <c r="B111" s="2" t="s">
        <v>387</v>
      </c>
      <c r="C111" s="2" t="n">
        <v>1</v>
      </c>
      <c r="D111" s="2" t="s">
        <v>526</v>
      </c>
      <c r="E111" s="2" t="s">
        <v>11</v>
      </c>
      <c r="F111" s="2" t="n">
        <v>21</v>
      </c>
      <c r="G111" s="2" t="n">
        <v>50</v>
      </c>
    </row>
    <row r="112" customFormat="false" ht="16.5" hidden="false" customHeight="true" outlineLevel="0" collapsed="false">
      <c r="A112" s="2" t="s">
        <v>385</v>
      </c>
      <c r="B112" s="2" t="s">
        <v>387</v>
      </c>
      <c r="C112" s="2" t="n">
        <v>1</v>
      </c>
      <c r="D112" s="2" t="s">
        <v>526</v>
      </c>
      <c r="E112" s="2" t="s">
        <v>12</v>
      </c>
      <c r="F112" s="2" t="n">
        <v>23</v>
      </c>
      <c r="G112" s="2" t="n">
        <v>8</v>
      </c>
    </row>
    <row r="113" customFormat="false" ht="16.5" hidden="false" customHeight="true" outlineLevel="0" collapsed="false">
      <c r="A113" s="2" t="s">
        <v>385</v>
      </c>
      <c r="B113" s="2" t="s">
        <v>387</v>
      </c>
      <c r="C113" s="2" t="n">
        <v>1</v>
      </c>
      <c r="D113" s="2" t="s">
        <v>526</v>
      </c>
      <c r="E113" s="2" t="s">
        <v>13</v>
      </c>
      <c r="F113" s="2" t="n">
        <v>23</v>
      </c>
      <c r="G113" s="2" t="n">
        <v>12</v>
      </c>
    </row>
    <row r="114" customFormat="false" ht="16.5" hidden="false" customHeight="true" outlineLevel="0" collapsed="false">
      <c r="A114" s="2" t="s">
        <v>385</v>
      </c>
      <c r="B114" s="2" t="s">
        <v>387</v>
      </c>
      <c r="C114" s="2" t="n">
        <v>1</v>
      </c>
      <c r="D114" s="2" t="s">
        <v>526</v>
      </c>
      <c r="E114" s="2" t="s">
        <v>14</v>
      </c>
      <c r="F114" s="2" t="n">
        <v>23</v>
      </c>
      <c r="G114" s="2" t="n">
        <v>16</v>
      </c>
    </row>
    <row r="115" customFormat="false" ht="16.5" hidden="false" customHeight="true" outlineLevel="0" collapsed="false">
      <c r="A115" s="2" t="s">
        <v>385</v>
      </c>
      <c r="B115" s="2" t="s">
        <v>387</v>
      </c>
      <c r="C115" s="2" t="n">
        <v>1</v>
      </c>
      <c r="D115" s="2" t="s">
        <v>526</v>
      </c>
      <c r="E115" s="2" t="s">
        <v>15</v>
      </c>
      <c r="F115" s="2" t="n">
        <v>23</v>
      </c>
      <c r="G115" s="2" t="n">
        <v>20</v>
      </c>
    </row>
    <row r="116" customFormat="false" ht="16.5" hidden="false" customHeight="true" outlineLevel="0" collapsed="false">
      <c r="A116" s="2" t="s">
        <v>385</v>
      </c>
      <c r="B116" s="2" t="s">
        <v>387</v>
      </c>
      <c r="C116" s="2" t="n">
        <v>1</v>
      </c>
      <c r="D116" s="2" t="s">
        <v>526</v>
      </c>
      <c r="E116" s="2" t="s">
        <v>16</v>
      </c>
      <c r="F116" s="2" t="n">
        <v>23</v>
      </c>
      <c r="G116" s="2" t="n">
        <v>24</v>
      </c>
    </row>
    <row r="117" customFormat="false" ht="16.5" hidden="false" customHeight="true" outlineLevel="0" collapsed="false">
      <c r="A117" s="2" t="s">
        <v>385</v>
      </c>
      <c r="B117" s="2" t="s">
        <v>387</v>
      </c>
      <c r="C117" s="2" t="n">
        <v>1</v>
      </c>
      <c r="D117" s="2" t="s">
        <v>526</v>
      </c>
      <c r="E117" s="2" t="s">
        <v>17</v>
      </c>
      <c r="F117" s="2" t="n">
        <v>23</v>
      </c>
      <c r="G117" s="2" t="n">
        <v>28</v>
      </c>
    </row>
    <row r="118" customFormat="false" ht="16.5" hidden="false" customHeight="true" outlineLevel="0" collapsed="false">
      <c r="A118" s="2" t="s">
        <v>385</v>
      </c>
      <c r="B118" s="2" t="s">
        <v>387</v>
      </c>
      <c r="C118" s="2" t="n">
        <v>1</v>
      </c>
      <c r="D118" s="2" t="s">
        <v>526</v>
      </c>
      <c r="E118" s="2" t="s">
        <v>18</v>
      </c>
      <c r="F118" s="2" t="n">
        <v>23</v>
      </c>
      <c r="G118" s="2" t="n">
        <v>32</v>
      </c>
    </row>
    <row r="119" customFormat="false" ht="16.5" hidden="false" customHeight="true" outlineLevel="0" collapsed="false">
      <c r="A119" s="2" t="s">
        <v>385</v>
      </c>
      <c r="B119" s="2" t="s">
        <v>387</v>
      </c>
      <c r="C119" s="2" t="n">
        <v>1</v>
      </c>
      <c r="D119" s="2" t="s">
        <v>526</v>
      </c>
      <c r="E119" s="2" t="s">
        <v>19</v>
      </c>
      <c r="F119" s="2" t="n">
        <v>23</v>
      </c>
      <c r="G119" s="2" t="n">
        <v>36</v>
      </c>
    </row>
    <row r="120" customFormat="false" ht="16.5" hidden="false" customHeight="true" outlineLevel="0" collapsed="false">
      <c r="A120" s="2" t="s">
        <v>385</v>
      </c>
      <c r="B120" s="2" t="s">
        <v>387</v>
      </c>
      <c r="C120" s="2" t="n">
        <v>1</v>
      </c>
      <c r="D120" s="2" t="s">
        <v>526</v>
      </c>
      <c r="E120" s="2" t="s">
        <v>20</v>
      </c>
      <c r="F120" s="2" t="n">
        <v>23</v>
      </c>
      <c r="G120" s="2" t="n">
        <v>40</v>
      </c>
    </row>
    <row r="121" customFormat="false" ht="16.5" hidden="false" customHeight="true" outlineLevel="0" collapsed="false">
      <c r="A121" s="2" t="s">
        <v>385</v>
      </c>
      <c r="B121" s="2" t="s">
        <v>387</v>
      </c>
      <c r="C121" s="2" t="n">
        <v>1</v>
      </c>
      <c r="D121" s="2" t="s">
        <v>526</v>
      </c>
      <c r="E121" s="2" t="s">
        <v>21</v>
      </c>
      <c r="F121" s="2" t="n">
        <v>23</v>
      </c>
      <c r="G121" s="2" t="n">
        <v>44</v>
      </c>
    </row>
    <row r="122" customFormat="false" ht="16.5" hidden="false" customHeight="true" outlineLevel="0" collapsed="false">
      <c r="A122" s="2" t="s">
        <v>385</v>
      </c>
      <c r="B122" s="2" t="s">
        <v>387</v>
      </c>
      <c r="C122" s="2" t="n">
        <v>1</v>
      </c>
      <c r="D122" s="2" t="s">
        <v>526</v>
      </c>
      <c r="E122" s="2" t="s">
        <v>22</v>
      </c>
      <c r="F122" s="2" t="n">
        <v>23</v>
      </c>
      <c r="G122" s="2" t="n">
        <v>48</v>
      </c>
    </row>
    <row r="123" customFormat="false" ht="16.5" hidden="false" customHeight="true" outlineLevel="0" collapsed="false">
      <c r="A123" s="2" t="s">
        <v>385</v>
      </c>
      <c r="B123" s="2" t="s">
        <v>387</v>
      </c>
      <c r="C123" s="2" t="n">
        <v>1</v>
      </c>
      <c r="D123" s="2" t="s">
        <v>526</v>
      </c>
      <c r="E123" s="2" t="s">
        <v>23</v>
      </c>
      <c r="F123" s="2" t="n">
        <v>23</v>
      </c>
      <c r="G123" s="2" t="n">
        <v>52</v>
      </c>
    </row>
    <row r="124" customFormat="false" ht="16.5" hidden="false" customHeight="true" outlineLevel="0" collapsed="false">
      <c r="A124" s="2" t="s">
        <v>385</v>
      </c>
      <c r="B124" s="2" t="s">
        <v>387</v>
      </c>
      <c r="C124" s="2" t="n">
        <v>1</v>
      </c>
      <c r="D124" s="2" t="s">
        <v>526</v>
      </c>
      <c r="E124" s="2" t="s">
        <v>24</v>
      </c>
      <c r="F124" s="2" t="n">
        <v>25</v>
      </c>
      <c r="G124" s="2" t="n">
        <v>9</v>
      </c>
    </row>
    <row r="125" customFormat="false" ht="16.5" hidden="false" customHeight="true" outlineLevel="0" collapsed="false">
      <c r="A125" s="2" t="s">
        <v>385</v>
      </c>
      <c r="B125" s="2" t="s">
        <v>387</v>
      </c>
      <c r="C125" s="2" t="n">
        <v>1</v>
      </c>
      <c r="D125" s="2" t="s">
        <v>526</v>
      </c>
      <c r="E125" s="2" t="s">
        <v>25</v>
      </c>
      <c r="F125" s="2" t="n">
        <v>25</v>
      </c>
      <c r="G125" s="2" t="n">
        <v>13</v>
      </c>
    </row>
    <row r="126" customFormat="false" ht="16.5" hidden="false" customHeight="true" outlineLevel="0" collapsed="false">
      <c r="A126" s="2" t="s">
        <v>385</v>
      </c>
      <c r="B126" s="2" t="s">
        <v>387</v>
      </c>
      <c r="C126" s="2" t="n">
        <v>1</v>
      </c>
      <c r="D126" s="2" t="s">
        <v>526</v>
      </c>
      <c r="E126" s="2" t="s">
        <v>26</v>
      </c>
      <c r="F126" s="2" t="n">
        <v>25</v>
      </c>
      <c r="G126" s="2" t="n">
        <v>17</v>
      </c>
    </row>
    <row r="127" customFormat="false" ht="16.5" hidden="false" customHeight="true" outlineLevel="0" collapsed="false">
      <c r="A127" s="2" t="s">
        <v>385</v>
      </c>
      <c r="B127" s="2" t="s">
        <v>387</v>
      </c>
      <c r="C127" s="2" t="n">
        <v>1</v>
      </c>
      <c r="D127" s="2" t="s">
        <v>526</v>
      </c>
      <c r="E127" s="2" t="s">
        <v>27</v>
      </c>
      <c r="F127" s="2" t="n">
        <v>25</v>
      </c>
      <c r="G127" s="2" t="n">
        <v>21</v>
      </c>
    </row>
    <row r="128" customFormat="false" ht="16.5" hidden="false" customHeight="true" outlineLevel="0" collapsed="false">
      <c r="A128" s="2" t="s">
        <v>385</v>
      </c>
      <c r="B128" s="2" t="s">
        <v>387</v>
      </c>
      <c r="C128" s="2" t="n">
        <v>1</v>
      </c>
      <c r="D128" s="2" t="s">
        <v>526</v>
      </c>
      <c r="E128" s="2" t="s">
        <v>28</v>
      </c>
      <c r="F128" s="2" t="n">
        <v>25</v>
      </c>
      <c r="G128" s="2" t="n">
        <v>25</v>
      </c>
    </row>
    <row r="129" customFormat="false" ht="16.5" hidden="false" customHeight="true" outlineLevel="0" collapsed="false">
      <c r="A129" s="2" t="s">
        <v>385</v>
      </c>
      <c r="B129" s="2" t="s">
        <v>387</v>
      </c>
      <c r="C129" s="2" t="n">
        <v>1</v>
      </c>
      <c r="D129" s="2" t="s">
        <v>526</v>
      </c>
      <c r="E129" s="2" t="s">
        <v>29</v>
      </c>
      <c r="F129" s="2" t="n">
        <v>25</v>
      </c>
      <c r="G129" s="2" t="n">
        <v>29</v>
      </c>
    </row>
    <row r="130" customFormat="false" ht="16.5" hidden="false" customHeight="true" outlineLevel="0" collapsed="false">
      <c r="A130" s="2" t="s">
        <v>385</v>
      </c>
      <c r="B130" s="2" t="s">
        <v>387</v>
      </c>
      <c r="C130" s="2" t="n">
        <v>1</v>
      </c>
      <c r="D130" s="2" t="s">
        <v>526</v>
      </c>
      <c r="E130" s="2" t="s">
        <v>30</v>
      </c>
      <c r="F130" s="2" t="n">
        <v>25</v>
      </c>
      <c r="G130" s="2" t="n">
        <v>33</v>
      </c>
    </row>
    <row r="131" customFormat="false" ht="16.5" hidden="false" customHeight="true" outlineLevel="0" collapsed="false">
      <c r="A131" s="2" t="s">
        <v>385</v>
      </c>
      <c r="B131" s="2" t="s">
        <v>387</v>
      </c>
      <c r="C131" s="2" t="n">
        <v>1</v>
      </c>
      <c r="D131" s="2" t="s">
        <v>526</v>
      </c>
      <c r="E131" s="2" t="s">
        <v>31</v>
      </c>
      <c r="F131" s="2" t="n">
        <v>25</v>
      </c>
      <c r="G131" s="2" t="n">
        <v>37</v>
      </c>
    </row>
    <row r="132" customFormat="false" ht="16.5" hidden="false" customHeight="true" outlineLevel="0" collapsed="false">
      <c r="A132" s="2" t="s">
        <v>385</v>
      </c>
      <c r="B132" s="2" t="s">
        <v>387</v>
      </c>
      <c r="C132" s="2" t="n">
        <v>1</v>
      </c>
      <c r="D132" s="2" t="s">
        <v>526</v>
      </c>
      <c r="E132" s="2" t="s">
        <v>32</v>
      </c>
      <c r="F132" s="2" t="n">
        <v>25</v>
      </c>
      <c r="G132" s="2" t="n">
        <v>41</v>
      </c>
    </row>
    <row r="133" customFormat="false" ht="16.5" hidden="false" customHeight="true" outlineLevel="0" collapsed="false">
      <c r="A133" s="2" t="s">
        <v>385</v>
      </c>
      <c r="B133" s="2" t="s">
        <v>387</v>
      </c>
      <c r="C133" s="2" t="n">
        <v>1</v>
      </c>
      <c r="D133" s="2" t="s">
        <v>526</v>
      </c>
      <c r="E133" s="2" t="s">
        <v>33</v>
      </c>
      <c r="F133" s="2" t="n">
        <v>25</v>
      </c>
      <c r="G133" s="2" t="n">
        <v>45</v>
      </c>
    </row>
    <row r="134" customFormat="false" ht="16.5" hidden="false" customHeight="true" outlineLevel="0" collapsed="false">
      <c r="A134" s="2" t="s">
        <v>385</v>
      </c>
      <c r="B134" s="2" t="s">
        <v>387</v>
      </c>
      <c r="C134" s="2" t="n">
        <v>1</v>
      </c>
      <c r="D134" s="2" t="s">
        <v>526</v>
      </c>
      <c r="E134" s="2" t="s">
        <v>34</v>
      </c>
      <c r="F134" s="2" t="n">
        <v>25</v>
      </c>
      <c r="G134" s="2" t="n">
        <v>49</v>
      </c>
    </row>
    <row r="135" customFormat="false" ht="16.5" hidden="false" customHeight="true" outlineLevel="0" collapsed="false">
      <c r="A135" s="2" t="s">
        <v>385</v>
      </c>
      <c r="B135" s="2" t="s">
        <v>387</v>
      </c>
      <c r="C135" s="2" t="n">
        <v>1</v>
      </c>
      <c r="D135" s="2" t="s">
        <v>526</v>
      </c>
      <c r="E135" s="2" t="s">
        <v>35</v>
      </c>
      <c r="F135" s="2" t="n">
        <v>27</v>
      </c>
      <c r="G135" s="2" t="n">
        <v>11</v>
      </c>
    </row>
    <row r="136" customFormat="false" ht="16.5" hidden="false" customHeight="true" outlineLevel="0" collapsed="false">
      <c r="A136" s="2" t="s">
        <v>385</v>
      </c>
      <c r="B136" s="2" t="s">
        <v>387</v>
      </c>
      <c r="C136" s="2" t="n">
        <v>1</v>
      </c>
      <c r="D136" s="2" t="s">
        <v>526</v>
      </c>
      <c r="E136" s="2" t="s">
        <v>36</v>
      </c>
      <c r="F136" s="2" t="n">
        <v>27</v>
      </c>
      <c r="G136" s="2" t="n">
        <v>15</v>
      </c>
    </row>
    <row r="137" customFormat="false" ht="16.5" hidden="false" customHeight="true" outlineLevel="0" collapsed="false">
      <c r="A137" s="2" t="s">
        <v>385</v>
      </c>
      <c r="B137" s="2" t="s">
        <v>387</v>
      </c>
      <c r="C137" s="2" t="n">
        <v>1</v>
      </c>
      <c r="D137" s="2" t="s">
        <v>526</v>
      </c>
      <c r="E137" s="2" t="s">
        <v>37</v>
      </c>
      <c r="F137" s="2" t="n">
        <v>27</v>
      </c>
      <c r="G137" s="2" t="n">
        <v>19</v>
      </c>
    </row>
    <row r="138" customFormat="false" ht="16.5" hidden="false" customHeight="true" outlineLevel="0" collapsed="false">
      <c r="A138" s="2" t="s">
        <v>385</v>
      </c>
      <c r="B138" s="2" t="s">
        <v>387</v>
      </c>
      <c r="C138" s="2" t="n">
        <v>1</v>
      </c>
      <c r="D138" s="2" t="s">
        <v>526</v>
      </c>
      <c r="E138" s="2" t="s">
        <v>38</v>
      </c>
      <c r="F138" s="2" t="n">
        <v>27</v>
      </c>
      <c r="G138" s="2" t="n">
        <v>23</v>
      </c>
    </row>
    <row r="139" customFormat="false" ht="16.5" hidden="false" customHeight="true" outlineLevel="0" collapsed="false">
      <c r="A139" s="2" t="s">
        <v>385</v>
      </c>
      <c r="B139" s="2" t="s">
        <v>387</v>
      </c>
      <c r="C139" s="2" t="n">
        <v>1</v>
      </c>
      <c r="D139" s="2" t="s">
        <v>526</v>
      </c>
      <c r="E139" s="2" t="s">
        <v>39</v>
      </c>
      <c r="F139" s="2" t="n">
        <v>27</v>
      </c>
      <c r="G139" s="2" t="n">
        <v>27</v>
      </c>
    </row>
    <row r="140" customFormat="false" ht="16.5" hidden="false" customHeight="true" outlineLevel="0" collapsed="false">
      <c r="A140" s="2" t="s">
        <v>385</v>
      </c>
      <c r="B140" s="2" t="s">
        <v>387</v>
      </c>
      <c r="C140" s="2" t="n">
        <v>1</v>
      </c>
      <c r="D140" s="2" t="s">
        <v>526</v>
      </c>
      <c r="E140" s="2" t="s">
        <v>40</v>
      </c>
      <c r="F140" s="2" t="n">
        <v>27</v>
      </c>
      <c r="G140" s="2" t="n">
        <v>31</v>
      </c>
    </row>
    <row r="141" customFormat="false" ht="16.5" hidden="false" customHeight="true" outlineLevel="0" collapsed="false">
      <c r="A141" s="2" t="s">
        <v>385</v>
      </c>
      <c r="B141" s="2" t="s">
        <v>387</v>
      </c>
      <c r="C141" s="2" t="n">
        <v>1</v>
      </c>
      <c r="D141" s="2" t="s">
        <v>526</v>
      </c>
      <c r="E141" s="2" t="s">
        <v>41</v>
      </c>
      <c r="F141" s="2" t="n">
        <v>27</v>
      </c>
      <c r="G141" s="2" t="n">
        <v>35</v>
      </c>
    </row>
    <row r="142" customFormat="false" ht="16.5" hidden="false" customHeight="true" outlineLevel="0" collapsed="false">
      <c r="A142" s="2" t="s">
        <v>385</v>
      </c>
      <c r="B142" s="2" t="s">
        <v>387</v>
      </c>
      <c r="C142" s="2" t="n">
        <v>1</v>
      </c>
      <c r="D142" s="2" t="s">
        <v>526</v>
      </c>
      <c r="E142" s="2" t="s">
        <v>42</v>
      </c>
      <c r="F142" s="2" t="n">
        <v>27</v>
      </c>
      <c r="G142" s="2" t="n">
        <v>39</v>
      </c>
    </row>
    <row r="143" customFormat="false" ht="16.5" hidden="false" customHeight="true" outlineLevel="0" collapsed="false">
      <c r="A143" s="2" t="s">
        <v>385</v>
      </c>
      <c r="B143" s="2" t="s">
        <v>387</v>
      </c>
      <c r="C143" s="2" t="n">
        <v>1</v>
      </c>
      <c r="D143" s="2" t="s">
        <v>526</v>
      </c>
      <c r="E143" s="2" t="s">
        <v>43</v>
      </c>
      <c r="F143" s="2" t="n">
        <v>27</v>
      </c>
      <c r="G143" s="2" t="n">
        <v>43</v>
      </c>
    </row>
    <row r="144" customFormat="false" ht="16.5" hidden="false" customHeight="true" outlineLevel="0" collapsed="false">
      <c r="A144" s="2" t="s">
        <v>385</v>
      </c>
      <c r="B144" s="2" t="s">
        <v>387</v>
      </c>
      <c r="C144" s="2" t="n">
        <v>1</v>
      </c>
      <c r="D144" s="2" t="s">
        <v>526</v>
      </c>
      <c r="E144" s="2" t="s">
        <v>44</v>
      </c>
      <c r="F144" s="2" t="n">
        <v>27</v>
      </c>
      <c r="G144" s="2" t="n">
        <v>47</v>
      </c>
    </row>
    <row r="145" customFormat="false" ht="16.5" hidden="false" customHeight="true" outlineLevel="0" collapsed="false">
      <c r="A145" s="2" t="s">
        <v>385</v>
      </c>
      <c r="B145" s="2" t="s">
        <v>387</v>
      </c>
      <c r="C145" s="2" t="n">
        <v>1</v>
      </c>
      <c r="D145" s="2" t="s">
        <v>526</v>
      </c>
      <c r="E145" s="2" t="s">
        <v>48</v>
      </c>
      <c r="F145" s="2" t="n">
        <v>29</v>
      </c>
      <c r="G145" s="2" t="n">
        <v>16</v>
      </c>
    </row>
    <row r="146" customFormat="false" ht="16.5" hidden="false" customHeight="true" outlineLevel="0" collapsed="false">
      <c r="A146" s="2" t="s">
        <v>385</v>
      </c>
      <c r="B146" s="2" t="s">
        <v>387</v>
      </c>
      <c r="C146" s="2" t="n">
        <v>1</v>
      </c>
      <c r="D146" s="2" t="s">
        <v>526</v>
      </c>
      <c r="E146" s="2" t="s">
        <v>50</v>
      </c>
      <c r="F146" s="2" t="n">
        <v>29</v>
      </c>
      <c r="G146" s="2" t="n">
        <v>20</v>
      </c>
    </row>
    <row r="147" customFormat="false" ht="16.5" hidden="false" customHeight="true" outlineLevel="0" collapsed="false">
      <c r="A147" s="2" t="s">
        <v>385</v>
      </c>
      <c r="B147" s="2" t="s">
        <v>387</v>
      </c>
      <c r="C147" s="2" t="n">
        <v>1</v>
      </c>
      <c r="D147" s="2" t="s">
        <v>526</v>
      </c>
      <c r="E147" s="2" t="s">
        <v>45</v>
      </c>
      <c r="F147" s="2" t="n">
        <v>29</v>
      </c>
      <c r="G147" s="2" t="n">
        <v>38</v>
      </c>
    </row>
    <row r="148" customFormat="false" ht="16.5" hidden="false" customHeight="true" outlineLevel="0" collapsed="false">
      <c r="A148" s="2" t="s">
        <v>385</v>
      </c>
      <c r="B148" s="2" t="s">
        <v>387</v>
      </c>
      <c r="C148" s="2" t="n">
        <v>1</v>
      </c>
      <c r="D148" s="2" t="s">
        <v>526</v>
      </c>
      <c r="E148" s="2" t="s">
        <v>46</v>
      </c>
      <c r="F148" s="2" t="n">
        <v>29</v>
      </c>
      <c r="G148" s="2" t="n">
        <v>42</v>
      </c>
    </row>
    <row r="149" customFormat="false" ht="16.5" hidden="false" customHeight="true" outlineLevel="0" collapsed="false">
      <c r="A149" s="2" t="s">
        <v>385</v>
      </c>
      <c r="B149" s="2" t="s">
        <v>388</v>
      </c>
      <c r="C149" s="2" t="n">
        <v>1</v>
      </c>
      <c r="D149" s="2" t="s">
        <v>527</v>
      </c>
      <c r="E149" s="2" t="s">
        <v>0</v>
      </c>
      <c r="F149" s="2" t="n">
        <v>34</v>
      </c>
      <c r="G149" s="2" t="n">
        <v>6</v>
      </c>
    </row>
    <row r="150" customFormat="false" ht="16.5" hidden="false" customHeight="true" outlineLevel="0" collapsed="false">
      <c r="A150" s="2" t="s">
        <v>385</v>
      </c>
      <c r="B150" s="2" t="s">
        <v>388</v>
      </c>
      <c r="C150" s="2" t="n">
        <v>1</v>
      </c>
      <c r="D150" s="2" t="s">
        <v>527</v>
      </c>
      <c r="E150" s="2" t="s">
        <v>1</v>
      </c>
      <c r="F150" s="2" t="n">
        <v>34</v>
      </c>
      <c r="G150" s="2" t="n">
        <v>10</v>
      </c>
    </row>
    <row r="151" customFormat="false" ht="16.5" hidden="false" customHeight="true" outlineLevel="0" collapsed="false">
      <c r="A151" s="2" t="s">
        <v>385</v>
      </c>
      <c r="B151" s="2" t="s">
        <v>388</v>
      </c>
      <c r="C151" s="2" t="n">
        <v>1</v>
      </c>
      <c r="D151" s="2" t="s">
        <v>527</v>
      </c>
      <c r="E151" s="2" t="s">
        <v>2</v>
      </c>
      <c r="F151" s="2" t="n">
        <v>34</v>
      </c>
      <c r="G151" s="2" t="n">
        <v>14</v>
      </c>
    </row>
    <row r="152" customFormat="false" ht="16.5" hidden="false" customHeight="true" outlineLevel="0" collapsed="false">
      <c r="A152" s="2" t="s">
        <v>385</v>
      </c>
      <c r="B152" s="2" t="s">
        <v>388</v>
      </c>
      <c r="C152" s="2" t="n">
        <v>1</v>
      </c>
      <c r="D152" s="2" t="s">
        <v>527</v>
      </c>
      <c r="E152" s="2" t="s">
        <v>3</v>
      </c>
      <c r="F152" s="2" t="n">
        <v>34</v>
      </c>
      <c r="G152" s="2" t="n">
        <v>18</v>
      </c>
    </row>
    <row r="153" customFormat="false" ht="16.5" hidden="false" customHeight="true" outlineLevel="0" collapsed="false">
      <c r="A153" s="2" t="s">
        <v>385</v>
      </c>
      <c r="B153" s="2" t="s">
        <v>388</v>
      </c>
      <c r="C153" s="2" t="n">
        <v>1</v>
      </c>
      <c r="D153" s="2" t="s">
        <v>527</v>
      </c>
      <c r="E153" s="2" t="s">
        <v>4</v>
      </c>
      <c r="F153" s="2" t="n">
        <v>34</v>
      </c>
      <c r="G153" s="2" t="n">
        <v>22</v>
      </c>
    </row>
    <row r="154" customFormat="false" ht="16.5" hidden="false" customHeight="true" outlineLevel="0" collapsed="false">
      <c r="A154" s="2" t="s">
        <v>385</v>
      </c>
      <c r="B154" s="2" t="s">
        <v>388</v>
      </c>
      <c r="C154" s="2" t="n">
        <v>1</v>
      </c>
      <c r="D154" s="2" t="s">
        <v>527</v>
      </c>
      <c r="E154" s="2" t="s">
        <v>5</v>
      </c>
      <c r="F154" s="2" t="n">
        <v>34</v>
      </c>
      <c r="G154" s="2" t="n">
        <v>26</v>
      </c>
    </row>
    <row r="155" customFormat="false" ht="16.5" hidden="false" customHeight="true" outlineLevel="0" collapsed="false">
      <c r="A155" s="2" t="s">
        <v>385</v>
      </c>
      <c r="B155" s="2" t="s">
        <v>388</v>
      </c>
      <c r="C155" s="2" t="n">
        <v>1</v>
      </c>
      <c r="D155" s="2" t="s">
        <v>527</v>
      </c>
      <c r="E155" s="2" t="s">
        <v>6</v>
      </c>
      <c r="F155" s="2" t="n">
        <v>34</v>
      </c>
      <c r="G155" s="2" t="n">
        <v>30</v>
      </c>
    </row>
    <row r="156" customFormat="false" ht="16.5" hidden="false" customHeight="true" outlineLevel="0" collapsed="false">
      <c r="A156" s="2" t="s">
        <v>385</v>
      </c>
      <c r="B156" s="2" t="s">
        <v>388</v>
      </c>
      <c r="C156" s="2" t="n">
        <v>1</v>
      </c>
      <c r="D156" s="2" t="s">
        <v>527</v>
      </c>
      <c r="E156" s="2" t="s">
        <v>7</v>
      </c>
      <c r="F156" s="2" t="n">
        <v>34</v>
      </c>
      <c r="G156" s="2" t="n">
        <v>34</v>
      </c>
    </row>
    <row r="157" customFormat="false" ht="16.5" hidden="false" customHeight="true" outlineLevel="0" collapsed="false">
      <c r="A157" s="2" t="s">
        <v>385</v>
      </c>
      <c r="B157" s="2" t="s">
        <v>388</v>
      </c>
      <c r="C157" s="2" t="n">
        <v>1</v>
      </c>
      <c r="D157" s="2" t="s">
        <v>527</v>
      </c>
      <c r="E157" s="2" t="s">
        <v>8</v>
      </c>
      <c r="F157" s="2" t="n">
        <v>34</v>
      </c>
      <c r="G157" s="2" t="n">
        <v>38</v>
      </c>
    </row>
    <row r="158" customFormat="false" ht="16.5" hidden="false" customHeight="true" outlineLevel="0" collapsed="false">
      <c r="A158" s="2" t="s">
        <v>385</v>
      </c>
      <c r="B158" s="2" t="s">
        <v>388</v>
      </c>
      <c r="C158" s="2" t="n">
        <v>1</v>
      </c>
      <c r="D158" s="2" t="s">
        <v>527</v>
      </c>
      <c r="E158" s="2" t="s">
        <v>9</v>
      </c>
      <c r="F158" s="2" t="n">
        <v>34</v>
      </c>
      <c r="G158" s="2" t="n">
        <v>42</v>
      </c>
    </row>
    <row r="159" customFormat="false" ht="16.5" hidden="false" customHeight="true" outlineLevel="0" collapsed="false">
      <c r="A159" s="2" t="s">
        <v>385</v>
      </c>
      <c r="B159" s="2" t="s">
        <v>388</v>
      </c>
      <c r="C159" s="2" t="n">
        <v>1</v>
      </c>
      <c r="D159" s="2" t="s">
        <v>527</v>
      </c>
      <c r="E159" s="2" t="s">
        <v>10</v>
      </c>
      <c r="F159" s="2" t="n">
        <v>34</v>
      </c>
      <c r="G159" s="2" t="n">
        <v>46</v>
      </c>
    </row>
    <row r="160" customFormat="false" ht="16.5" hidden="false" customHeight="true" outlineLevel="0" collapsed="false">
      <c r="A160" s="2" t="s">
        <v>385</v>
      </c>
      <c r="B160" s="2" t="s">
        <v>388</v>
      </c>
      <c r="C160" s="2" t="n">
        <v>1</v>
      </c>
      <c r="D160" s="2" t="s">
        <v>527</v>
      </c>
      <c r="E160" s="2" t="s">
        <v>11</v>
      </c>
      <c r="F160" s="2" t="n">
        <v>34</v>
      </c>
      <c r="G160" s="2" t="n">
        <v>50</v>
      </c>
    </row>
    <row r="161" customFormat="false" ht="16.5" hidden="false" customHeight="true" outlineLevel="0" collapsed="false">
      <c r="A161" s="2" t="s">
        <v>385</v>
      </c>
      <c r="B161" s="2" t="s">
        <v>388</v>
      </c>
      <c r="C161" s="2" t="n">
        <v>1</v>
      </c>
      <c r="D161" s="2" t="s">
        <v>527</v>
      </c>
      <c r="E161" s="2" t="s">
        <v>12</v>
      </c>
      <c r="F161" s="2" t="n">
        <v>36</v>
      </c>
      <c r="G161" s="2" t="n">
        <v>8</v>
      </c>
    </row>
    <row r="162" customFormat="false" ht="16.5" hidden="false" customHeight="true" outlineLevel="0" collapsed="false">
      <c r="A162" s="2" t="s">
        <v>385</v>
      </c>
      <c r="B162" s="2" t="s">
        <v>388</v>
      </c>
      <c r="C162" s="2" t="n">
        <v>1</v>
      </c>
      <c r="D162" s="2" t="s">
        <v>527</v>
      </c>
      <c r="E162" s="2" t="s">
        <v>13</v>
      </c>
      <c r="F162" s="2" t="n">
        <v>36</v>
      </c>
      <c r="G162" s="2" t="n">
        <v>12</v>
      </c>
    </row>
    <row r="163" customFormat="false" ht="16.5" hidden="false" customHeight="true" outlineLevel="0" collapsed="false">
      <c r="A163" s="2" t="s">
        <v>385</v>
      </c>
      <c r="B163" s="2" t="s">
        <v>388</v>
      </c>
      <c r="C163" s="2" t="n">
        <v>1</v>
      </c>
      <c r="D163" s="2" t="s">
        <v>527</v>
      </c>
      <c r="E163" s="2" t="s">
        <v>14</v>
      </c>
      <c r="F163" s="2" t="n">
        <v>36</v>
      </c>
      <c r="G163" s="2" t="n">
        <v>16</v>
      </c>
    </row>
    <row r="164" customFormat="false" ht="16.5" hidden="false" customHeight="true" outlineLevel="0" collapsed="false">
      <c r="A164" s="2" t="s">
        <v>385</v>
      </c>
      <c r="B164" s="2" t="s">
        <v>388</v>
      </c>
      <c r="C164" s="2" t="n">
        <v>1</v>
      </c>
      <c r="D164" s="2" t="s">
        <v>527</v>
      </c>
      <c r="E164" s="2" t="s">
        <v>15</v>
      </c>
      <c r="F164" s="2" t="n">
        <v>36</v>
      </c>
      <c r="G164" s="2" t="n">
        <v>20</v>
      </c>
    </row>
    <row r="165" customFormat="false" ht="16.5" hidden="false" customHeight="true" outlineLevel="0" collapsed="false">
      <c r="A165" s="2" t="s">
        <v>385</v>
      </c>
      <c r="B165" s="2" t="s">
        <v>388</v>
      </c>
      <c r="C165" s="2" t="n">
        <v>1</v>
      </c>
      <c r="D165" s="2" t="s">
        <v>527</v>
      </c>
      <c r="E165" s="2" t="s">
        <v>16</v>
      </c>
      <c r="F165" s="2" t="n">
        <v>36</v>
      </c>
      <c r="G165" s="2" t="n">
        <v>24</v>
      </c>
    </row>
    <row r="166" customFormat="false" ht="16.5" hidden="false" customHeight="true" outlineLevel="0" collapsed="false">
      <c r="A166" s="2" t="s">
        <v>385</v>
      </c>
      <c r="B166" s="2" t="s">
        <v>388</v>
      </c>
      <c r="C166" s="2" t="n">
        <v>1</v>
      </c>
      <c r="D166" s="2" t="s">
        <v>527</v>
      </c>
      <c r="E166" s="2" t="s">
        <v>17</v>
      </c>
      <c r="F166" s="2" t="n">
        <v>36</v>
      </c>
      <c r="G166" s="2" t="n">
        <v>28</v>
      </c>
    </row>
    <row r="167" customFormat="false" ht="16.5" hidden="false" customHeight="true" outlineLevel="0" collapsed="false">
      <c r="A167" s="2" t="s">
        <v>385</v>
      </c>
      <c r="B167" s="2" t="s">
        <v>388</v>
      </c>
      <c r="C167" s="2" t="n">
        <v>1</v>
      </c>
      <c r="D167" s="2" t="s">
        <v>527</v>
      </c>
      <c r="E167" s="2" t="s">
        <v>18</v>
      </c>
      <c r="F167" s="2" t="n">
        <v>36</v>
      </c>
      <c r="G167" s="2" t="n">
        <v>32</v>
      </c>
    </row>
    <row r="168" customFormat="false" ht="16.5" hidden="false" customHeight="true" outlineLevel="0" collapsed="false">
      <c r="A168" s="2" t="s">
        <v>385</v>
      </c>
      <c r="B168" s="2" t="s">
        <v>388</v>
      </c>
      <c r="C168" s="2" t="n">
        <v>1</v>
      </c>
      <c r="D168" s="2" t="s">
        <v>527</v>
      </c>
      <c r="E168" s="2" t="s">
        <v>19</v>
      </c>
      <c r="F168" s="2" t="n">
        <v>36</v>
      </c>
      <c r="G168" s="2" t="n">
        <v>36</v>
      </c>
    </row>
    <row r="169" customFormat="false" ht="16.5" hidden="false" customHeight="true" outlineLevel="0" collapsed="false">
      <c r="A169" s="2" t="s">
        <v>385</v>
      </c>
      <c r="B169" s="2" t="s">
        <v>388</v>
      </c>
      <c r="C169" s="2" t="n">
        <v>1</v>
      </c>
      <c r="D169" s="2" t="s">
        <v>527</v>
      </c>
      <c r="E169" s="2" t="s">
        <v>20</v>
      </c>
      <c r="F169" s="2" t="n">
        <v>36</v>
      </c>
      <c r="G169" s="2" t="n">
        <v>40</v>
      </c>
    </row>
    <row r="170" customFormat="false" ht="16.5" hidden="false" customHeight="true" outlineLevel="0" collapsed="false">
      <c r="A170" s="2" t="s">
        <v>385</v>
      </c>
      <c r="B170" s="2" t="s">
        <v>388</v>
      </c>
      <c r="C170" s="2" t="n">
        <v>1</v>
      </c>
      <c r="D170" s="2" t="s">
        <v>527</v>
      </c>
      <c r="E170" s="2" t="s">
        <v>21</v>
      </c>
      <c r="F170" s="2" t="n">
        <v>36</v>
      </c>
      <c r="G170" s="2" t="n">
        <v>44</v>
      </c>
    </row>
    <row r="171" customFormat="false" ht="16.5" hidden="false" customHeight="true" outlineLevel="0" collapsed="false">
      <c r="A171" s="2" t="s">
        <v>385</v>
      </c>
      <c r="B171" s="2" t="s">
        <v>388</v>
      </c>
      <c r="C171" s="2" t="n">
        <v>1</v>
      </c>
      <c r="D171" s="2" t="s">
        <v>527</v>
      </c>
      <c r="E171" s="2" t="s">
        <v>22</v>
      </c>
      <c r="F171" s="2" t="n">
        <v>36</v>
      </c>
      <c r="G171" s="2" t="n">
        <v>48</v>
      </c>
    </row>
    <row r="172" customFormat="false" ht="16.5" hidden="false" customHeight="true" outlineLevel="0" collapsed="false">
      <c r="A172" s="2" t="s">
        <v>385</v>
      </c>
      <c r="B172" s="2" t="s">
        <v>388</v>
      </c>
      <c r="C172" s="2" t="n">
        <v>1</v>
      </c>
      <c r="D172" s="2" t="s">
        <v>527</v>
      </c>
      <c r="E172" s="2" t="s">
        <v>23</v>
      </c>
      <c r="F172" s="2" t="n">
        <v>36</v>
      </c>
      <c r="G172" s="2" t="n">
        <v>52</v>
      </c>
    </row>
    <row r="173" customFormat="false" ht="16.5" hidden="false" customHeight="true" outlineLevel="0" collapsed="false">
      <c r="A173" s="2" t="s">
        <v>385</v>
      </c>
      <c r="B173" s="2" t="s">
        <v>388</v>
      </c>
      <c r="C173" s="2" t="n">
        <v>1</v>
      </c>
      <c r="D173" s="2" t="s">
        <v>527</v>
      </c>
      <c r="E173" s="2" t="s">
        <v>24</v>
      </c>
      <c r="F173" s="2" t="n">
        <v>38</v>
      </c>
      <c r="G173" s="2" t="n">
        <v>9</v>
      </c>
    </row>
    <row r="174" customFormat="false" ht="16.5" hidden="false" customHeight="true" outlineLevel="0" collapsed="false">
      <c r="A174" s="2" t="s">
        <v>385</v>
      </c>
      <c r="B174" s="2" t="s">
        <v>388</v>
      </c>
      <c r="C174" s="2" t="n">
        <v>1</v>
      </c>
      <c r="D174" s="2" t="s">
        <v>527</v>
      </c>
      <c r="E174" s="2" t="s">
        <v>25</v>
      </c>
      <c r="F174" s="2" t="n">
        <v>38</v>
      </c>
      <c r="G174" s="2" t="n">
        <v>13</v>
      </c>
    </row>
    <row r="175" customFormat="false" ht="16.5" hidden="false" customHeight="true" outlineLevel="0" collapsed="false">
      <c r="A175" s="2" t="s">
        <v>385</v>
      </c>
      <c r="B175" s="2" t="s">
        <v>388</v>
      </c>
      <c r="C175" s="2" t="n">
        <v>1</v>
      </c>
      <c r="D175" s="2" t="s">
        <v>527</v>
      </c>
      <c r="E175" s="2" t="s">
        <v>26</v>
      </c>
      <c r="F175" s="2" t="n">
        <v>38</v>
      </c>
      <c r="G175" s="2" t="n">
        <v>17</v>
      </c>
    </row>
    <row r="176" customFormat="false" ht="16.5" hidden="false" customHeight="true" outlineLevel="0" collapsed="false">
      <c r="A176" s="2" t="s">
        <v>385</v>
      </c>
      <c r="B176" s="2" t="s">
        <v>388</v>
      </c>
      <c r="C176" s="2" t="n">
        <v>1</v>
      </c>
      <c r="D176" s="2" t="s">
        <v>527</v>
      </c>
      <c r="E176" s="2" t="s">
        <v>27</v>
      </c>
      <c r="F176" s="2" t="n">
        <v>38</v>
      </c>
      <c r="G176" s="2" t="n">
        <v>21</v>
      </c>
    </row>
    <row r="177" customFormat="false" ht="16.5" hidden="false" customHeight="true" outlineLevel="0" collapsed="false">
      <c r="A177" s="2" t="s">
        <v>385</v>
      </c>
      <c r="B177" s="2" t="s">
        <v>388</v>
      </c>
      <c r="C177" s="2" t="n">
        <v>1</v>
      </c>
      <c r="D177" s="2" t="s">
        <v>527</v>
      </c>
      <c r="E177" s="2" t="s">
        <v>28</v>
      </c>
      <c r="F177" s="2" t="n">
        <v>38</v>
      </c>
      <c r="G177" s="2" t="n">
        <v>25</v>
      </c>
    </row>
    <row r="178" customFormat="false" ht="16.5" hidden="false" customHeight="true" outlineLevel="0" collapsed="false">
      <c r="A178" s="2" t="s">
        <v>385</v>
      </c>
      <c r="B178" s="2" t="s">
        <v>388</v>
      </c>
      <c r="C178" s="2" t="n">
        <v>1</v>
      </c>
      <c r="D178" s="2" t="s">
        <v>527</v>
      </c>
      <c r="E178" s="2" t="s">
        <v>29</v>
      </c>
      <c r="F178" s="2" t="n">
        <v>38</v>
      </c>
      <c r="G178" s="2" t="n">
        <v>29</v>
      </c>
    </row>
    <row r="179" customFormat="false" ht="16.5" hidden="false" customHeight="true" outlineLevel="0" collapsed="false">
      <c r="A179" s="2" t="s">
        <v>385</v>
      </c>
      <c r="B179" s="2" t="s">
        <v>388</v>
      </c>
      <c r="C179" s="2" t="n">
        <v>1</v>
      </c>
      <c r="D179" s="2" t="s">
        <v>527</v>
      </c>
      <c r="E179" s="2" t="s">
        <v>30</v>
      </c>
      <c r="F179" s="2" t="n">
        <v>38</v>
      </c>
      <c r="G179" s="2" t="n">
        <v>33</v>
      </c>
    </row>
    <row r="180" customFormat="false" ht="16.5" hidden="false" customHeight="true" outlineLevel="0" collapsed="false">
      <c r="A180" s="2" t="s">
        <v>385</v>
      </c>
      <c r="B180" s="2" t="s">
        <v>388</v>
      </c>
      <c r="C180" s="2" t="n">
        <v>1</v>
      </c>
      <c r="D180" s="2" t="s">
        <v>527</v>
      </c>
      <c r="E180" s="2" t="s">
        <v>31</v>
      </c>
      <c r="F180" s="2" t="n">
        <v>38</v>
      </c>
      <c r="G180" s="2" t="n">
        <v>37</v>
      </c>
    </row>
    <row r="181" customFormat="false" ht="16.5" hidden="false" customHeight="true" outlineLevel="0" collapsed="false">
      <c r="A181" s="2" t="s">
        <v>385</v>
      </c>
      <c r="B181" s="2" t="s">
        <v>388</v>
      </c>
      <c r="C181" s="2" t="n">
        <v>1</v>
      </c>
      <c r="D181" s="2" t="s">
        <v>527</v>
      </c>
      <c r="E181" s="2" t="s">
        <v>32</v>
      </c>
      <c r="F181" s="2" t="n">
        <v>38</v>
      </c>
      <c r="G181" s="2" t="n">
        <v>41</v>
      </c>
    </row>
    <row r="182" customFormat="false" ht="16.5" hidden="false" customHeight="true" outlineLevel="0" collapsed="false">
      <c r="A182" s="2" t="s">
        <v>385</v>
      </c>
      <c r="B182" s="2" t="s">
        <v>388</v>
      </c>
      <c r="C182" s="2" t="n">
        <v>1</v>
      </c>
      <c r="D182" s="2" t="s">
        <v>527</v>
      </c>
      <c r="E182" s="2" t="s">
        <v>33</v>
      </c>
      <c r="F182" s="2" t="n">
        <v>38</v>
      </c>
      <c r="G182" s="2" t="n">
        <v>45</v>
      </c>
    </row>
    <row r="183" customFormat="false" ht="16.5" hidden="false" customHeight="true" outlineLevel="0" collapsed="false">
      <c r="A183" s="2" t="s">
        <v>385</v>
      </c>
      <c r="B183" s="2" t="s">
        <v>388</v>
      </c>
      <c r="C183" s="2" t="n">
        <v>1</v>
      </c>
      <c r="D183" s="2" t="s">
        <v>527</v>
      </c>
      <c r="E183" s="2" t="s">
        <v>34</v>
      </c>
      <c r="F183" s="2" t="n">
        <v>38</v>
      </c>
      <c r="G183" s="2" t="n">
        <v>49</v>
      </c>
    </row>
    <row r="184" customFormat="false" ht="16.5" hidden="false" customHeight="true" outlineLevel="0" collapsed="false">
      <c r="A184" s="2" t="s">
        <v>385</v>
      </c>
      <c r="B184" s="2" t="s">
        <v>388</v>
      </c>
      <c r="C184" s="2" t="n">
        <v>1</v>
      </c>
      <c r="D184" s="2" t="s">
        <v>527</v>
      </c>
      <c r="E184" s="2" t="s">
        <v>35</v>
      </c>
      <c r="F184" s="2" t="n">
        <v>40</v>
      </c>
      <c r="G184" s="2" t="n">
        <v>11</v>
      </c>
    </row>
    <row r="185" customFormat="false" ht="16.5" hidden="false" customHeight="true" outlineLevel="0" collapsed="false">
      <c r="A185" s="2" t="s">
        <v>385</v>
      </c>
      <c r="B185" s="2" t="s">
        <v>388</v>
      </c>
      <c r="C185" s="2" t="n">
        <v>1</v>
      </c>
      <c r="D185" s="2" t="s">
        <v>527</v>
      </c>
      <c r="E185" s="2" t="s">
        <v>36</v>
      </c>
      <c r="F185" s="2" t="n">
        <v>40</v>
      </c>
      <c r="G185" s="2" t="n">
        <v>15</v>
      </c>
    </row>
    <row r="186" customFormat="false" ht="16.5" hidden="false" customHeight="true" outlineLevel="0" collapsed="false">
      <c r="A186" s="2" t="s">
        <v>385</v>
      </c>
      <c r="B186" s="2" t="s">
        <v>388</v>
      </c>
      <c r="C186" s="2" t="n">
        <v>1</v>
      </c>
      <c r="D186" s="2" t="s">
        <v>527</v>
      </c>
      <c r="E186" s="2" t="s">
        <v>37</v>
      </c>
      <c r="F186" s="2" t="n">
        <v>40</v>
      </c>
      <c r="G186" s="2" t="n">
        <v>19</v>
      </c>
    </row>
    <row r="187" customFormat="false" ht="16.5" hidden="false" customHeight="true" outlineLevel="0" collapsed="false">
      <c r="A187" s="2" t="s">
        <v>385</v>
      </c>
      <c r="B187" s="2" t="s">
        <v>388</v>
      </c>
      <c r="C187" s="2" t="n">
        <v>1</v>
      </c>
      <c r="D187" s="2" t="s">
        <v>527</v>
      </c>
      <c r="E187" s="2" t="s">
        <v>38</v>
      </c>
      <c r="F187" s="2" t="n">
        <v>40</v>
      </c>
      <c r="G187" s="2" t="n">
        <v>23</v>
      </c>
    </row>
    <row r="188" customFormat="false" ht="16.5" hidden="false" customHeight="true" outlineLevel="0" collapsed="false">
      <c r="A188" s="2" t="s">
        <v>385</v>
      </c>
      <c r="B188" s="2" t="s">
        <v>388</v>
      </c>
      <c r="C188" s="2" t="n">
        <v>1</v>
      </c>
      <c r="D188" s="2" t="s">
        <v>527</v>
      </c>
      <c r="E188" s="2" t="s">
        <v>39</v>
      </c>
      <c r="F188" s="2" t="n">
        <v>40</v>
      </c>
      <c r="G188" s="2" t="n">
        <v>27</v>
      </c>
    </row>
    <row r="189" customFormat="false" ht="16.5" hidden="false" customHeight="true" outlineLevel="0" collapsed="false">
      <c r="A189" s="2" t="s">
        <v>385</v>
      </c>
      <c r="B189" s="2" t="s">
        <v>388</v>
      </c>
      <c r="C189" s="2" t="n">
        <v>1</v>
      </c>
      <c r="D189" s="2" t="s">
        <v>527</v>
      </c>
      <c r="E189" s="2" t="s">
        <v>40</v>
      </c>
      <c r="F189" s="2" t="n">
        <v>40</v>
      </c>
      <c r="G189" s="2" t="n">
        <v>31</v>
      </c>
    </row>
    <row r="190" customFormat="false" ht="16.5" hidden="false" customHeight="true" outlineLevel="0" collapsed="false">
      <c r="A190" s="2" t="s">
        <v>385</v>
      </c>
      <c r="B190" s="2" t="s">
        <v>388</v>
      </c>
      <c r="C190" s="2" t="n">
        <v>1</v>
      </c>
      <c r="D190" s="2" t="s">
        <v>527</v>
      </c>
      <c r="E190" s="2" t="s">
        <v>41</v>
      </c>
      <c r="F190" s="2" t="n">
        <v>40</v>
      </c>
      <c r="G190" s="2" t="n">
        <v>35</v>
      </c>
    </row>
    <row r="191" customFormat="false" ht="16.5" hidden="false" customHeight="true" outlineLevel="0" collapsed="false">
      <c r="A191" s="2" t="s">
        <v>385</v>
      </c>
      <c r="B191" s="2" t="s">
        <v>388</v>
      </c>
      <c r="C191" s="2" t="n">
        <v>1</v>
      </c>
      <c r="D191" s="2" t="s">
        <v>527</v>
      </c>
      <c r="E191" s="2" t="s">
        <v>42</v>
      </c>
      <c r="F191" s="2" t="n">
        <v>40</v>
      </c>
      <c r="G191" s="2" t="n">
        <v>39</v>
      </c>
    </row>
    <row r="192" customFormat="false" ht="16.5" hidden="false" customHeight="true" outlineLevel="0" collapsed="false">
      <c r="A192" s="2" t="s">
        <v>385</v>
      </c>
      <c r="B192" s="2" t="s">
        <v>388</v>
      </c>
      <c r="C192" s="2" t="n">
        <v>1</v>
      </c>
      <c r="D192" s="2" t="s">
        <v>527</v>
      </c>
      <c r="E192" s="2" t="s">
        <v>43</v>
      </c>
      <c r="F192" s="2" t="n">
        <v>40</v>
      </c>
      <c r="G192" s="2" t="n">
        <v>43</v>
      </c>
    </row>
    <row r="193" customFormat="false" ht="16.5" hidden="false" customHeight="true" outlineLevel="0" collapsed="false">
      <c r="A193" s="2" t="s">
        <v>385</v>
      </c>
      <c r="B193" s="2" t="s">
        <v>388</v>
      </c>
      <c r="C193" s="2" t="n">
        <v>1</v>
      </c>
      <c r="D193" s="2" t="s">
        <v>527</v>
      </c>
      <c r="E193" s="2" t="s">
        <v>44</v>
      </c>
      <c r="F193" s="2" t="n">
        <v>40</v>
      </c>
      <c r="G193" s="2" t="n">
        <v>47</v>
      </c>
    </row>
    <row r="194" customFormat="false" ht="16.5" hidden="false" customHeight="true" outlineLevel="0" collapsed="false">
      <c r="A194" s="2" t="s">
        <v>385</v>
      </c>
      <c r="B194" s="2" t="s">
        <v>388</v>
      </c>
      <c r="C194" s="2" t="n">
        <v>1</v>
      </c>
      <c r="D194" s="2" t="s">
        <v>527</v>
      </c>
      <c r="E194" s="2" t="s">
        <v>48</v>
      </c>
      <c r="F194" s="2" t="n">
        <v>42</v>
      </c>
      <c r="G194" s="2" t="n">
        <v>16</v>
      </c>
    </row>
    <row r="195" customFormat="false" ht="16.5" hidden="false" customHeight="true" outlineLevel="0" collapsed="false">
      <c r="A195" s="2" t="s">
        <v>385</v>
      </c>
      <c r="B195" s="2" t="s">
        <v>388</v>
      </c>
      <c r="C195" s="2" t="n">
        <v>1</v>
      </c>
      <c r="D195" s="2" t="s">
        <v>527</v>
      </c>
      <c r="E195" s="2" t="s">
        <v>50</v>
      </c>
      <c r="F195" s="2" t="n">
        <v>42</v>
      </c>
      <c r="G195" s="2" t="n">
        <v>20</v>
      </c>
    </row>
    <row r="196" customFormat="false" ht="16.5" hidden="false" customHeight="true" outlineLevel="0" collapsed="false">
      <c r="A196" s="2" t="s">
        <v>385</v>
      </c>
      <c r="B196" s="2" t="s">
        <v>388</v>
      </c>
      <c r="C196" s="2" t="n">
        <v>1</v>
      </c>
      <c r="D196" s="2" t="s">
        <v>527</v>
      </c>
      <c r="E196" s="2" t="s">
        <v>45</v>
      </c>
      <c r="F196" s="2" t="n">
        <v>42</v>
      </c>
      <c r="G196" s="2" t="n">
        <v>38</v>
      </c>
    </row>
    <row r="197" customFormat="false" ht="16.5" hidden="false" customHeight="true" outlineLevel="0" collapsed="false">
      <c r="A197" s="2" t="s">
        <v>385</v>
      </c>
      <c r="B197" s="2" t="s">
        <v>388</v>
      </c>
      <c r="C197" s="2" t="n">
        <v>1</v>
      </c>
      <c r="D197" s="2" t="s">
        <v>527</v>
      </c>
      <c r="E197" s="2" t="s">
        <v>46</v>
      </c>
      <c r="F197" s="2" t="n">
        <v>42</v>
      </c>
      <c r="G197" s="2" t="n">
        <v>42</v>
      </c>
    </row>
    <row r="198" customFormat="false" ht="16.5" hidden="false" customHeight="true" outlineLevel="0" collapsed="false">
      <c r="A198" s="2" t="s">
        <v>385</v>
      </c>
      <c r="B198" s="2" t="s">
        <v>389</v>
      </c>
      <c r="C198" s="2" t="n">
        <v>1</v>
      </c>
      <c r="D198" s="2" t="s">
        <v>528</v>
      </c>
      <c r="E198" s="2" t="s">
        <v>0</v>
      </c>
      <c r="F198" s="2" t="n">
        <v>47</v>
      </c>
      <c r="G198" s="2" t="n">
        <v>6</v>
      </c>
    </row>
    <row r="199" customFormat="false" ht="16.5" hidden="false" customHeight="true" outlineLevel="0" collapsed="false">
      <c r="A199" s="2" t="s">
        <v>385</v>
      </c>
      <c r="B199" s="2" t="s">
        <v>389</v>
      </c>
      <c r="C199" s="2" t="n">
        <v>1</v>
      </c>
      <c r="D199" s="2" t="s">
        <v>528</v>
      </c>
      <c r="E199" s="2" t="s">
        <v>1</v>
      </c>
      <c r="F199" s="2" t="n">
        <v>47</v>
      </c>
      <c r="G199" s="2" t="n">
        <v>10</v>
      </c>
    </row>
    <row r="200" customFormat="false" ht="16.5" hidden="false" customHeight="true" outlineLevel="0" collapsed="false">
      <c r="A200" s="2" t="s">
        <v>385</v>
      </c>
      <c r="B200" s="2" t="s">
        <v>389</v>
      </c>
      <c r="C200" s="2" t="n">
        <v>1</v>
      </c>
      <c r="D200" s="2" t="s">
        <v>528</v>
      </c>
      <c r="E200" s="2" t="s">
        <v>2</v>
      </c>
      <c r="F200" s="2" t="n">
        <v>47</v>
      </c>
      <c r="G200" s="2" t="n">
        <v>14</v>
      </c>
    </row>
    <row r="201" customFormat="false" ht="16.5" hidden="false" customHeight="true" outlineLevel="0" collapsed="false">
      <c r="A201" s="2" t="s">
        <v>385</v>
      </c>
      <c r="B201" s="2" t="s">
        <v>389</v>
      </c>
      <c r="C201" s="2" t="n">
        <v>1</v>
      </c>
      <c r="D201" s="2" t="s">
        <v>528</v>
      </c>
      <c r="E201" s="2" t="s">
        <v>3</v>
      </c>
      <c r="F201" s="2" t="n">
        <v>47</v>
      </c>
      <c r="G201" s="2" t="n">
        <v>18</v>
      </c>
    </row>
    <row r="202" customFormat="false" ht="16.5" hidden="false" customHeight="true" outlineLevel="0" collapsed="false">
      <c r="A202" s="2" t="s">
        <v>385</v>
      </c>
      <c r="B202" s="2" t="s">
        <v>389</v>
      </c>
      <c r="C202" s="2" t="n">
        <v>1</v>
      </c>
      <c r="D202" s="2" t="s">
        <v>528</v>
      </c>
      <c r="E202" s="2" t="s">
        <v>4</v>
      </c>
      <c r="F202" s="2" t="n">
        <v>47</v>
      </c>
      <c r="G202" s="2" t="n">
        <v>22</v>
      </c>
    </row>
    <row r="203" customFormat="false" ht="16.5" hidden="false" customHeight="true" outlineLevel="0" collapsed="false">
      <c r="A203" s="2" t="s">
        <v>385</v>
      </c>
      <c r="B203" s="2" t="s">
        <v>389</v>
      </c>
      <c r="C203" s="2" t="n">
        <v>1</v>
      </c>
      <c r="D203" s="2" t="s">
        <v>528</v>
      </c>
      <c r="E203" s="2" t="s">
        <v>5</v>
      </c>
      <c r="F203" s="2" t="n">
        <v>47</v>
      </c>
      <c r="G203" s="2" t="n">
        <v>26</v>
      </c>
    </row>
    <row r="204" customFormat="false" ht="16.5" hidden="false" customHeight="true" outlineLevel="0" collapsed="false">
      <c r="A204" s="2" t="s">
        <v>385</v>
      </c>
      <c r="B204" s="2" t="s">
        <v>389</v>
      </c>
      <c r="C204" s="2" t="n">
        <v>1</v>
      </c>
      <c r="D204" s="2" t="s">
        <v>528</v>
      </c>
      <c r="E204" s="2" t="s">
        <v>6</v>
      </c>
      <c r="F204" s="2" t="n">
        <v>47</v>
      </c>
      <c r="G204" s="2" t="n">
        <v>30</v>
      </c>
    </row>
    <row r="205" customFormat="false" ht="16.5" hidden="false" customHeight="true" outlineLevel="0" collapsed="false">
      <c r="A205" s="2" t="s">
        <v>385</v>
      </c>
      <c r="B205" s="2" t="s">
        <v>389</v>
      </c>
      <c r="C205" s="2" t="n">
        <v>1</v>
      </c>
      <c r="D205" s="2" t="s">
        <v>528</v>
      </c>
      <c r="E205" s="2" t="s">
        <v>7</v>
      </c>
      <c r="F205" s="2" t="n">
        <v>47</v>
      </c>
      <c r="G205" s="2" t="n">
        <v>34</v>
      </c>
    </row>
    <row r="206" customFormat="false" ht="16.5" hidden="false" customHeight="true" outlineLevel="0" collapsed="false">
      <c r="A206" s="2" t="s">
        <v>385</v>
      </c>
      <c r="B206" s="2" t="s">
        <v>389</v>
      </c>
      <c r="C206" s="2" t="n">
        <v>1</v>
      </c>
      <c r="D206" s="2" t="s">
        <v>528</v>
      </c>
      <c r="E206" s="2" t="s">
        <v>8</v>
      </c>
      <c r="F206" s="2" t="n">
        <v>47</v>
      </c>
      <c r="G206" s="2" t="n">
        <v>38</v>
      </c>
    </row>
    <row r="207" customFormat="false" ht="16.5" hidden="false" customHeight="true" outlineLevel="0" collapsed="false">
      <c r="A207" s="2" t="s">
        <v>385</v>
      </c>
      <c r="B207" s="2" t="s">
        <v>389</v>
      </c>
      <c r="C207" s="2" t="n">
        <v>1</v>
      </c>
      <c r="D207" s="2" t="s">
        <v>528</v>
      </c>
      <c r="E207" s="2" t="s">
        <v>9</v>
      </c>
      <c r="F207" s="2" t="n">
        <v>47</v>
      </c>
      <c r="G207" s="2" t="n">
        <v>42</v>
      </c>
    </row>
    <row r="208" customFormat="false" ht="16.5" hidden="false" customHeight="true" outlineLevel="0" collapsed="false">
      <c r="A208" s="2" t="s">
        <v>385</v>
      </c>
      <c r="B208" s="2" t="s">
        <v>389</v>
      </c>
      <c r="C208" s="2" t="n">
        <v>1</v>
      </c>
      <c r="D208" s="2" t="s">
        <v>528</v>
      </c>
      <c r="E208" s="2" t="s">
        <v>10</v>
      </c>
      <c r="F208" s="2" t="n">
        <v>47</v>
      </c>
      <c r="G208" s="2" t="n">
        <v>46</v>
      </c>
    </row>
    <row r="209" customFormat="false" ht="16.5" hidden="false" customHeight="true" outlineLevel="0" collapsed="false">
      <c r="A209" s="2" t="s">
        <v>385</v>
      </c>
      <c r="B209" s="2" t="s">
        <v>389</v>
      </c>
      <c r="C209" s="2" t="n">
        <v>1</v>
      </c>
      <c r="D209" s="2" t="s">
        <v>528</v>
      </c>
      <c r="E209" s="2" t="s">
        <v>11</v>
      </c>
      <c r="F209" s="2" t="n">
        <v>47</v>
      </c>
      <c r="G209" s="2" t="n">
        <v>50</v>
      </c>
    </row>
    <row r="210" customFormat="false" ht="16.5" hidden="false" customHeight="true" outlineLevel="0" collapsed="false">
      <c r="A210" s="2" t="s">
        <v>385</v>
      </c>
      <c r="B210" s="2" t="s">
        <v>389</v>
      </c>
      <c r="C210" s="2" t="n">
        <v>1</v>
      </c>
      <c r="D210" s="2" t="s">
        <v>528</v>
      </c>
      <c r="E210" s="2" t="s">
        <v>12</v>
      </c>
      <c r="F210" s="2" t="n">
        <v>49</v>
      </c>
      <c r="G210" s="2" t="n">
        <v>8</v>
      </c>
    </row>
    <row r="211" customFormat="false" ht="16.5" hidden="false" customHeight="true" outlineLevel="0" collapsed="false">
      <c r="A211" s="2" t="s">
        <v>385</v>
      </c>
      <c r="B211" s="2" t="s">
        <v>389</v>
      </c>
      <c r="C211" s="2" t="n">
        <v>1</v>
      </c>
      <c r="D211" s="2" t="s">
        <v>528</v>
      </c>
      <c r="E211" s="2" t="s">
        <v>13</v>
      </c>
      <c r="F211" s="2" t="n">
        <v>49</v>
      </c>
      <c r="G211" s="2" t="n">
        <v>12</v>
      </c>
    </row>
    <row r="212" customFormat="false" ht="16.5" hidden="false" customHeight="true" outlineLevel="0" collapsed="false">
      <c r="A212" s="2" t="s">
        <v>385</v>
      </c>
      <c r="B212" s="2" t="s">
        <v>389</v>
      </c>
      <c r="C212" s="2" t="n">
        <v>1</v>
      </c>
      <c r="D212" s="2" t="s">
        <v>528</v>
      </c>
      <c r="E212" s="2" t="s">
        <v>14</v>
      </c>
      <c r="F212" s="2" t="n">
        <v>49</v>
      </c>
      <c r="G212" s="2" t="n">
        <v>16</v>
      </c>
    </row>
    <row r="213" customFormat="false" ht="16.5" hidden="false" customHeight="true" outlineLevel="0" collapsed="false">
      <c r="A213" s="2" t="s">
        <v>385</v>
      </c>
      <c r="B213" s="2" t="s">
        <v>389</v>
      </c>
      <c r="C213" s="2" t="n">
        <v>1</v>
      </c>
      <c r="D213" s="2" t="s">
        <v>528</v>
      </c>
      <c r="E213" s="2" t="s">
        <v>15</v>
      </c>
      <c r="F213" s="2" t="n">
        <v>49</v>
      </c>
      <c r="G213" s="2" t="n">
        <v>20</v>
      </c>
    </row>
    <row r="214" customFormat="false" ht="16.5" hidden="false" customHeight="true" outlineLevel="0" collapsed="false">
      <c r="A214" s="2" t="s">
        <v>385</v>
      </c>
      <c r="B214" s="2" t="s">
        <v>389</v>
      </c>
      <c r="C214" s="2" t="n">
        <v>1</v>
      </c>
      <c r="D214" s="2" t="s">
        <v>528</v>
      </c>
      <c r="E214" s="2" t="s">
        <v>16</v>
      </c>
      <c r="F214" s="2" t="n">
        <v>49</v>
      </c>
      <c r="G214" s="2" t="n">
        <v>24</v>
      </c>
    </row>
    <row r="215" customFormat="false" ht="16.5" hidden="false" customHeight="true" outlineLevel="0" collapsed="false">
      <c r="A215" s="2" t="s">
        <v>385</v>
      </c>
      <c r="B215" s="2" t="s">
        <v>389</v>
      </c>
      <c r="C215" s="2" t="n">
        <v>1</v>
      </c>
      <c r="D215" s="2" t="s">
        <v>528</v>
      </c>
      <c r="E215" s="2" t="s">
        <v>17</v>
      </c>
      <c r="F215" s="2" t="n">
        <v>49</v>
      </c>
      <c r="G215" s="2" t="n">
        <v>28</v>
      </c>
    </row>
    <row r="216" customFormat="false" ht="16.5" hidden="false" customHeight="true" outlineLevel="0" collapsed="false">
      <c r="A216" s="2" t="s">
        <v>385</v>
      </c>
      <c r="B216" s="2" t="s">
        <v>389</v>
      </c>
      <c r="C216" s="2" t="n">
        <v>1</v>
      </c>
      <c r="D216" s="2" t="s">
        <v>528</v>
      </c>
      <c r="E216" s="2" t="s">
        <v>18</v>
      </c>
      <c r="F216" s="2" t="n">
        <v>49</v>
      </c>
      <c r="G216" s="2" t="n">
        <v>32</v>
      </c>
    </row>
    <row r="217" customFormat="false" ht="16.5" hidden="false" customHeight="true" outlineLevel="0" collapsed="false">
      <c r="A217" s="2" t="s">
        <v>385</v>
      </c>
      <c r="B217" s="2" t="s">
        <v>389</v>
      </c>
      <c r="C217" s="2" t="n">
        <v>1</v>
      </c>
      <c r="D217" s="2" t="s">
        <v>528</v>
      </c>
      <c r="E217" s="2" t="s">
        <v>19</v>
      </c>
      <c r="F217" s="2" t="n">
        <v>49</v>
      </c>
      <c r="G217" s="2" t="n">
        <v>36</v>
      </c>
    </row>
    <row r="218" customFormat="false" ht="16.5" hidden="false" customHeight="true" outlineLevel="0" collapsed="false">
      <c r="A218" s="2" t="s">
        <v>385</v>
      </c>
      <c r="B218" s="2" t="s">
        <v>389</v>
      </c>
      <c r="C218" s="2" t="n">
        <v>1</v>
      </c>
      <c r="D218" s="2" t="s">
        <v>528</v>
      </c>
      <c r="E218" s="2" t="s">
        <v>20</v>
      </c>
      <c r="F218" s="2" t="n">
        <v>49</v>
      </c>
      <c r="G218" s="2" t="n">
        <v>40</v>
      </c>
    </row>
    <row r="219" customFormat="false" ht="16.5" hidden="false" customHeight="true" outlineLevel="0" collapsed="false">
      <c r="A219" s="2" t="s">
        <v>385</v>
      </c>
      <c r="B219" s="2" t="s">
        <v>389</v>
      </c>
      <c r="C219" s="2" t="n">
        <v>1</v>
      </c>
      <c r="D219" s="2" t="s">
        <v>528</v>
      </c>
      <c r="E219" s="2" t="s">
        <v>21</v>
      </c>
      <c r="F219" s="2" t="n">
        <v>49</v>
      </c>
      <c r="G219" s="2" t="n">
        <v>44</v>
      </c>
    </row>
    <row r="220" customFormat="false" ht="16.5" hidden="false" customHeight="true" outlineLevel="0" collapsed="false">
      <c r="A220" s="2" t="s">
        <v>385</v>
      </c>
      <c r="B220" s="2" t="s">
        <v>389</v>
      </c>
      <c r="C220" s="2" t="n">
        <v>1</v>
      </c>
      <c r="D220" s="2" t="s">
        <v>528</v>
      </c>
      <c r="E220" s="2" t="s">
        <v>22</v>
      </c>
      <c r="F220" s="2" t="n">
        <v>49</v>
      </c>
      <c r="G220" s="2" t="n">
        <v>48</v>
      </c>
    </row>
    <row r="221" customFormat="false" ht="16.5" hidden="false" customHeight="true" outlineLevel="0" collapsed="false">
      <c r="A221" s="2" t="s">
        <v>385</v>
      </c>
      <c r="B221" s="2" t="s">
        <v>389</v>
      </c>
      <c r="C221" s="2" t="n">
        <v>1</v>
      </c>
      <c r="D221" s="2" t="s">
        <v>528</v>
      </c>
      <c r="E221" s="2" t="s">
        <v>23</v>
      </c>
      <c r="F221" s="2" t="n">
        <v>49</v>
      </c>
      <c r="G221" s="2" t="n">
        <v>52</v>
      </c>
    </row>
    <row r="222" customFormat="false" ht="16.5" hidden="false" customHeight="true" outlineLevel="0" collapsed="false">
      <c r="A222" s="2" t="s">
        <v>385</v>
      </c>
      <c r="B222" s="2" t="s">
        <v>389</v>
      </c>
      <c r="C222" s="2" t="n">
        <v>1</v>
      </c>
      <c r="D222" s="2" t="s">
        <v>528</v>
      </c>
      <c r="E222" s="2" t="s">
        <v>24</v>
      </c>
      <c r="F222" s="2" t="n">
        <v>51</v>
      </c>
      <c r="G222" s="2" t="n">
        <v>9</v>
      </c>
    </row>
    <row r="223" customFormat="false" ht="16.5" hidden="false" customHeight="true" outlineLevel="0" collapsed="false">
      <c r="A223" s="2" t="s">
        <v>385</v>
      </c>
      <c r="B223" s="2" t="s">
        <v>389</v>
      </c>
      <c r="C223" s="2" t="n">
        <v>1</v>
      </c>
      <c r="D223" s="2" t="s">
        <v>528</v>
      </c>
      <c r="E223" s="2" t="s">
        <v>25</v>
      </c>
      <c r="F223" s="2" t="n">
        <v>51</v>
      </c>
      <c r="G223" s="2" t="n">
        <v>13</v>
      </c>
    </row>
    <row r="224" customFormat="false" ht="16.5" hidden="false" customHeight="true" outlineLevel="0" collapsed="false">
      <c r="A224" s="2" t="s">
        <v>385</v>
      </c>
      <c r="B224" s="2" t="s">
        <v>389</v>
      </c>
      <c r="C224" s="2" t="n">
        <v>1</v>
      </c>
      <c r="D224" s="2" t="s">
        <v>528</v>
      </c>
      <c r="E224" s="2" t="s">
        <v>26</v>
      </c>
      <c r="F224" s="2" t="n">
        <v>51</v>
      </c>
      <c r="G224" s="2" t="n">
        <v>17</v>
      </c>
    </row>
    <row r="225" customFormat="false" ht="16.5" hidden="false" customHeight="true" outlineLevel="0" collapsed="false">
      <c r="A225" s="2" t="s">
        <v>385</v>
      </c>
      <c r="B225" s="2" t="s">
        <v>389</v>
      </c>
      <c r="C225" s="2" t="n">
        <v>1</v>
      </c>
      <c r="D225" s="2" t="s">
        <v>528</v>
      </c>
      <c r="E225" s="2" t="s">
        <v>27</v>
      </c>
      <c r="F225" s="2" t="n">
        <v>51</v>
      </c>
      <c r="G225" s="2" t="n">
        <v>21</v>
      </c>
    </row>
    <row r="226" customFormat="false" ht="16.5" hidden="false" customHeight="true" outlineLevel="0" collapsed="false">
      <c r="A226" s="2" t="s">
        <v>385</v>
      </c>
      <c r="B226" s="2" t="s">
        <v>389</v>
      </c>
      <c r="C226" s="2" t="n">
        <v>1</v>
      </c>
      <c r="D226" s="2" t="s">
        <v>528</v>
      </c>
      <c r="E226" s="2" t="s">
        <v>28</v>
      </c>
      <c r="F226" s="2" t="n">
        <v>51</v>
      </c>
      <c r="G226" s="2" t="n">
        <v>25</v>
      </c>
    </row>
    <row r="227" customFormat="false" ht="16.5" hidden="false" customHeight="true" outlineLevel="0" collapsed="false">
      <c r="A227" s="2" t="s">
        <v>385</v>
      </c>
      <c r="B227" s="2" t="s">
        <v>389</v>
      </c>
      <c r="C227" s="2" t="n">
        <v>1</v>
      </c>
      <c r="D227" s="2" t="s">
        <v>528</v>
      </c>
      <c r="E227" s="2" t="s">
        <v>29</v>
      </c>
      <c r="F227" s="2" t="n">
        <v>51</v>
      </c>
      <c r="G227" s="2" t="n">
        <v>29</v>
      </c>
    </row>
    <row r="228" customFormat="false" ht="16.5" hidden="false" customHeight="true" outlineLevel="0" collapsed="false">
      <c r="A228" s="2" t="s">
        <v>385</v>
      </c>
      <c r="B228" s="2" t="s">
        <v>389</v>
      </c>
      <c r="C228" s="2" t="n">
        <v>1</v>
      </c>
      <c r="D228" s="2" t="s">
        <v>528</v>
      </c>
      <c r="E228" s="2" t="s">
        <v>30</v>
      </c>
      <c r="F228" s="2" t="n">
        <v>51</v>
      </c>
      <c r="G228" s="2" t="n">
        <v>33</v>
      </c>
    </row>
    <row r="229" customFormat="false" ht="16.5" hidden="false" customHeight="true" outlineLevel="0" collapsed="false">
      <c r="A229" s="2" t="s">
        <v>385</v>
      </c>
      <c r="B229" s="2" t="s">
        <v>389</v>
      </c>
      <c r="C229" s="2" t="n">
        <v>1</v>
      </c>
      <c r="D229" s="2" t="s">
        <v>528</v>
      </c>
      <c r="E229" s="2" t="s">
        <v>31</v>
      </c>
      <c r="F229" s="2" t="n">
        <v>51</v>
      </c>
      <c r="G229" s="2" t="n">
        <v>37</v>
      </c>
    </row>
    <row r="230" customFormat="false" ht="16.5" hidden="false" customHeight="true" outlineLevel="0" collapsed="false">
      <c r="A230" s="2" t="s">
        <v>385</v>
      </c>
      <c r="B230" s="2" t="s">
        <v>389</v>
      </c>
      <c r="C230" s="2" t="n">
        <v>1</v>
      </c>
      <c r="D230" s="2" t="s">
        <v>528</v>
      </c>
      <c r="E230" s="2" t="s">
        <v>32</v>
      </c>
      <c r="F230" s="2" t="n">
        <v>51</v>
      </c>
      <c r="G230" s="2" t="n">
        <v>41</v>
      </c>
    </row>
    <row r="231" customFormat="false" ht="16.5" hidden="false" customHeight="true" outlineLevel="0" collapsed="false">
      <c r="A231" s="2" t="s">
        <v>385</v>
      </c>
      <c r="B231" s="2" t="s">
        <v>389</v>
      </c>
      <c r="C231" s="2" t="n">
        <v>1</v>
      </c>
      <c r="D231" s="2" t="s">
        <v>528</v>
      </c>
      <c r="E231" s="2" t="s">
        <v>33</v>
      </c>
      <c r="F231" s="2" t="n">
        <v>51</v>
      </c>
      <c r="G231" s="2" t="n">
        <v>45</v>
      </c>
    </row>
    <row r="232" customFormat="false" ht="16.5" hidden="false" customHeight="true" outlineLevel="0" collapsed="false">
      <c r="A232" s="2" t="s">
        <v>385</v>
      </c>
      <c r="B232" s="2" t="s">
        <v>389</v>
      </c>
      <c r="C232" s="2" t="n">
        <v>1</v>
      </c>
      <c r="D232" s="2" t="s">
        <v>528</v>
      </c>
      <c r="E232" s="2" t="s">
        <v>34</v>
      </c>
      <c r="F232" s="2" t="n">
        <v>51</v>
      </c>
      <c r="G232" s="2" t="n">
        <v>49</v>
      </c>
    </row>
    <row r="233" customFormat="false" ht="16.5" hidden="false" customHeight="true" outlineLevel="0" collapsed="false">
      <c r="A233" s="2" t="s">
        <v>385</v>
      </c>
      <c r="B233" s="2" t="s">
        <v>389</v>
      </c>
      <c r="C233" s="2" t="n">
        <v>1</v>
      </c>
      <c r="D233" s="2" t="s">
        <v>528</v>
      </c>
      <c r="E233" s="2" t="s">
        <v>35</v>
      </c>
      <c r="F233" s="2" t="n">
        <v>53</v>
      </c>
      <c r="G233" s="2" t="n">
        <v>11</v>
      </c>
    </row>
    <row r="234" customFormat="false" ht="16.5" hidden="false" customHeight="true" outlineLevel="0" collapsed="false">
      <c r="A234" s="2" t="s">
        <v>385</v>
      </c>
      <c r="B234" s="2" t="s">
        <v>389</v>
      </c>
      <c r="C234" s="2" t="n">
        <v>1</v>
      </c>
      <c r="D234" s="2" t="s">
        <v>528</v>
      </c>
      <c r="E234" s="2" t="s">
        <v>36</v>
      </c>
      <c r="F234" s="2" t="n">
        <v>53</v>
      </c>
      <c r="G234" s="2" t="n">
        <v>15</v>
      </c>
    </row>
    <row r="235" customFormat="false" ht="16.5" hidden="false" customHeight="true" outlineLevel="0" collapsed="false">
      <c r="A235" s="2" t="s">
        <v>385</v>
      </c>
      <c r="B235" s="2" t="s">
        <v>389</v>
      </c>
      <c r="C235" s="2" t="n">
        <v>1</v>
      </c>
      <c r="D235" s="2" t="s">
        <v>528</v>
      </c>
      <c r="E235" s="2" t="s">
        <v>37</v>
      </c>
      <c r="F235" s="2" t="n">
        <v>53</v>
      </c>
      <c r="G235" s="2" t="n">
        <v>19</v>
      </c>
    </row>
    <row r="236" customFormat="false" ht="16.5" hidden="false" customHeight="true" outlineLevel="0" collapsed="false">
      <c r="A236" s="2" t="s">
        <v>385</v>
      </c>
      <c r="B236" s="2" t="s">
        <v>389</v>
      </c>
      <c r="C236" s="2" t="n">
        <v>1</v>
      </c>
      <c r="D236" s="2" t="s">
        <v>528</v>
      </c>
      <c r="E236" s="2" t="s">
        <v>38</v>
      </c>
      <c r="F236" s="2" t="n">
        <v>53</v>
      </c>
      <c r="G236" s="2" t="n">
        <v>23</v>
      </c>
    </row>
    <row r="237" customFormat="false" ht="16.5" hidden="false" customHeight="true" outlineLevel="0" collapsed="false">
      <c r="A237" s="2" t="s">
        <v>385</v>
      </c>
      <c r="B237" s="2" t="s">
        <v>389</v>
      </c>
      <c r="C237" s="2" t="n">
        <v>1</v>
      </c>
      <c r="D237" s="2" t="s">
        <v>528</v>
      </c>
      <c r="E237" s="2" t="s">
        <v>39</v>
      </c>
      <c r="F237" s="2" t="n">
        <v>53</v>
      </c>
      <c r="G237" s="2" t="n">
        <v>27</v>
      </c>
    </row>
    <row r="238" customFormat="false" ht="16.5" hidden="false" customHeight="true" outlineLevel="0" collapsed="false">
      <c r="A238" s="2" t="s">
        <v>385</v>
      </c>
      <c r="B238" s="2" t="s">
        <v>389</v>
      </c>
      <c r="C238" s="2" t="n">
        <v>1</v>
      </c>
      <c r="D238" s="2" t="s">
        <v>528</v>
      </c>
      <c r="E238" s="2" t="s">
        <v>40</v>
      </c>
      <c r="F238" s="2" t="n">
        <v>53</v>
      </c>
      <c r="G238" s="2" t="n">
        <v>31</v>
      </c>
    </row>
    <row r="239" customFormat="false" ht="16.5" hidden="false" customHeight="true" outlineLevel="0" collapsed="false">
      <c r="A239" s="2" t="s">
        <v>385</v>
      </c>
      <c r="B239" s="2" t="s">
        <v>389</v>
      </c>
      <c r="C239" s="2" t="n">
        <v>1</v>
      </c>
      <c r="D239" s="2" t="s">
        <v>528</v>
      </c>
      <c r="E239" s="2" t="s">
        <v>41</v>
      </c>
      <c r="F239" s="2" t="n">
        <v>53</v>
      </c>
      <c r="G239" s="2" t="n">
        <v>35</v>
      </c>
    </row>
    <row r="240" customFormat="false" ht="16.5" hidden="false" customHeight="true" outlineLevel="0" collapsed="false">
      <c r="A240" s="2" t="s">
        <v>385</v>
      </c>
      <c r="B240" s="2" t="s">
        <v>389</v>
      </c>
      <c r="C240" s="2" t="n">
        <v>1</v>
      </c>
      <c r="D240" s="2" t="s">
        <v>528</v>
      </c>
      <c r="E240" s="2" t="s">
        <v>42</v>
      </c>
      <c r="F240" s="2" t="n">
        <v>53</v>
      </c>
      <c r="G240" s="2" t="n">
        <v>39</v>
      </c>
    </row>
    <row r="241" customFormat="false" ht="16.5" hidden="false" customHeight="true" outlineLevel="0" collapsed="false">
      <c r="A241" s="2" t="s">
        <v>385</v>
      </c>
      <c r="B241" s="2" t="s">
        <v>389</v>
      </c>
      <c r="C241" s="2" t="n">
        <v>1</v>
      </c>
      <c r="D241" s="2" t="s">
        <v>528</v>
      </c>
      <c r="E241" s="2" t="s">
        <v>43</v>
      </c>
      <c r="F241" s="2" t="n">
        <v>53</v>
      </c>
      <c r="G241" s="2" t="n">
        <v>43</v>
      </c>
    </row>
    <row r="242" customFormat="false" ht="16.5" hidden="false" customHeight="true" outlineLevel="0" collapsed="false">
      <c r="A242" s="2" t="s">
        <v>385</v>
      </c>
      <c r="B242" s="2" t="s">
        <v>389</v>
      </c>
      <c r="C242" s="2" t="n">
        <v>1</v>
      </c>
      <c r="D242" s="2" t="s">
        <v>528</v>
      </c>
      <c r="E242" s="2" t="s">
        <v>44</v>
      </c>
      <c r="F242" s="2" t="n">
        <v>53</v>
      </c>
      <c r="G242" s="2" t="n">
        <v>47</v>
      </c>
    </row>
    <row r="243" customFormat="false" ht="16.5" hidden="false" customHeight="true" outlineLevel="0" collapsed="false">
      <c r="A243" s="2" t="s">
        <v>385</v>
      </c>
      <c r="B243" s="2" t="s">
        <v>389</v>
      </c>
      <c r="C243" s="2" t="n">
        <v>1</v>
      </c>
      <c r="D243" s="2" t="s">
        <v>528</v>
      </c>
      <c r="E243" s="2" t="s">
        <v>48</v>
      </c>
      <c r="F243" s="2" t="n">
        <v>55</v>
      </c>
      <c r="G243" s="2" t="n">
        <v>16</v>
      </c>
    </row>
    <row r="244" customFormat="false" ht="16.5" hidden="false" customHeight="true" outlineLevel="0" collapsed="false">
      <c r="A244" s="2" t="s">
        <v>385</v>
      </c>
      <c r="B244" s="2" t="s">
        <v>389</v>
      </c>
      <c r="C244" s="2" t="n">
        <v>1</v>
      </c>
      <c r="D244" s="2" t="s">
        <v>528</v>
      </c>
      <c r="E244" s="2" t="s">
        <v>50</v>
      </c>
      <c r="F244" s="2" t="n">
        <v>55</v>
      </c>
      <c r="G244" s="2" t="n">
        <v>20</v>
      </c>
    </row>
    <row r="245" customFormat="false" ht="16.5" hidden="false" customHeight="true" outlineLevel="0" collapsed="false">
      <c r="A245" s="2" t="s">
        <v>385</v>
      </c>
      <c r="B245" s="2" t="s">
        <v>389</v>
      </c>
      <c r="C245" s="2" t="n">
        <v>1</v>
      </c>
      <c r="D245" s="2" t="s">
        <v>528</v>
      </c>
      <c r="E245" s="2" t="s">
        <v>45</v>
      </c>
      <c r="F245" s="2" t="n">
        <v>55</v>
      </c>
      <c r="G245" s="2" t="n">
        <v>38</v>
      </c>
    </row>
    <row r="246" customFormat="false" ht="16.5" hidden="false" customHeight="true" outlineLevel="0" collapsed="false">
      <c r="A246" s="2" t="s">
        <v>385</v>
      </c>
      <c r="B246" s="2" t="s">
        <v>389</v>
      </c>
      <c r="C246" s="2" t="n">
        <v>1</v>
      </c>
      <c r="D246" s="2" t="s">
        <v>528</v>
      </c>
      <c r="E246" s="2" t="s">
        <v>46</v>
      </c>
      <c r="F246" s="2" t="n">
        <v>55</v>
      </c>
      <c r="G246" s="2" t="n">
        <v>42</v>
      </c>
    </row>
    <row r="247" customFormat="false" ht="16.5" hidden="false" customHeight="true" outlineLevel="0" collapsed="false">
      <c r="A247" s="2" t="s">
        <v>385</v>
      </c>
      <c r="B247" s="2" t="s">
        <v>390</v>
      </c>
      <c r="C247" s="2" t="n">
        <v>1</v>
      </c>
      <c r="D247" s="2" t="s">
        <v>529</v>
      </c>
      <c r="E247" s="2" t="s">
        <v>0</v>
      </c>
      <c r="F247" s="2" t="n">
        <v>60</v>
      </c>
      <c r="G247" s="2" t="n">
        <v>6</v>
      </c>
    </row>
    <row r="248" customFormat="false" ht="16.5" hidden="false" customHeight="true" outlineLevel="0" collapsed="false">
      <c r="A248" s="2" t="s">
        <v>385</v>
      </c>
      <c r="B248" s="2" t="s">
        <v>390</v>
      </c>
      <c r="C248" s="2" t="n">
        <v>1</v>
      </c>
      <c r="D248" s="2" t="s">
        <v>529</v>
      </c>
      <c r="E248" s="2" t="s">
        <v>1</v>
      </c>
      <c r="F248" s="2" t="n">
        <v>60</v>
      </c>
      <c r="G248" s="2" t="n">
        <v>10</v>
      </c>
    </row>
    <row r="249" customFormat="false" ht="16.5" hidden="false" customHeight="true" outlineLevel="0" collapsed="false">
      <c r="A249" s="2" t="s">
        <v>385</v>
      </c>
      <c r="B249" s="2" t="s">
        <v>390</v>
      </c>
      <c r="C249" s="2" t="n">
        <v>1</v>
      </c>
      <c r="D249" s="2" t="s">
        <v>529</v>
      </c>
      <c r="E249" s="2" t="s">
        <v>2</v>
      </c>
      <c r="F249" s="2" t="n">
        <v>60</v>
      </c>
      <c r="G249" s="2" t="n">
        <v>14</v>
      </c>
    </row>
    <row r="250" customFormat="false" ht="16.5" hidden="false" customHeight="true" outlineLevel="0" collapsed="false">
      <c r="A250" s="2" t="s">
        <v>385</v>
      </c>
      <c r="B250" s="2" t="s">
        <v>390</v>
      </c>
      <c r="C250" s="2" t="n">
        <v>1</v>
      </c>
      <c r="D250" s="2" t="s">
        <v>529</v>
      </c>
      <c r="E250" s="2" t="s">
        <v>3</v>
      </c>
      <c r="F250" s="2" t="n">
        <v>60</v>
      </c>
      <c r="G250" s="2" t="n">
        <v>18</v>
      </c>
    </row>
    <row r="251" customFormat="false" ht="16.5" hidden="false" customHeight="true" outlineLevel="0" collapsed="false">
      <c r="A251" s="2" t="s">
        <v>385</v>
      </c>
      <c r="B251" s="2" t="s">
        <v>390</v>
      </c>
      <c r="C251" s="2" t="n">
        <v>1</v>
      </c>
      <c r="D251" s="2" t="s">
        <v>529</v>
      </c>
      <c r="E251" s="2" t="s">
        <v>4</v>
      </c>
      <c r="F251" s="2" t="n">
        <v>60</v>
      </c>
      <c r="G251" s="2" t="n">
        <v>22</v>
      </c>
    </row>
    <row r="252" customFormat="false" ht="16.5" hidden="false" customHeight="true" outlineLevel="0" collapsed="false">
      <c r="A252" s="2" t="s">
        <v>385</v>
      </c>
      <c r="B252" s="2" t="s">
        <v>390</v>
      </c>
      <c r="C252" s="2" t="n">
        <v>1</v>
      </c>
      <c r="D252" s="2" t="s">
        <v>529</v>
      </c>
      <c r="E252" s="2" t="s">
        <v>5</v>
      </c>
      <c r="F252" s="2" t="n">
        <v>60</v>
      </c>
      <c r="G252" s="2" t="n">
        <v>26</v>
      </c>
    </row>
    <row r="253" customFormat="false" ht="16.5" hidden="false" customHeight="true" outlineLevel="0" collapsed="false">
      <c r="A253" s="2" t="s">
        <v>385</v>
      </c>
      <c r="B253" s="2" t="s">
        <v>390</v>
      </c>
      <c r="C253" s="2" t="n">
        <v>1</v>
      </c>
      <c r="D253" s="2" t="s">
        <v>529</v>
      </c>
      <c r="E253" s="2" t="s">
        <v>6</v>
      </c>
      <c r="F253" s="2" t="n">
        <v>60</v>
      </c>
      <c r="G253" s="2" t="n">
        <v>30</v>
      </c>
    </row>
    <row r="254" customFormat="false" ht="16.5" hidden="false" customHeight="true" outlineLevel="0" collapsed="false">
      <c r="A254" s="2" t="s">
        <v>385</v>
      </c>
      <c r="B254" s="2" t="s">
        <v>390</v>
      </c>
      <c r="C254" s="2" t="n">
        <v>1</v>
      </c>
      <c r="D254" s="2" t="s">
        <v>529</v>
      </c>
      <c r="E254" s="2" t="s">
        <v>7</v>
      </c>
      <c r="F254" s="2" t="n">
        <v>60</v>
      </c>
      <c r="G254" s="2" t="n">
        <v>34</v>
      </c>
    </row>
    <row r="255" customFormat="false" ht="16.5" hidden="false" customHeight="true" outlineLevel="0" collapsed="false">
      <c r="A255" s="2" t="s">
        <v>385</v>
      </c>
      <c r="B255" s="2" t="s">
        <v>390</v>
      </c>
      <c r="C255" s="2" t="n">
        <v>1</v>
      </c>
      <c r="D255" s="2" t="s">
        <v>529</v>
      </c>
      <c r="E255" s="2" t="s">
        <v>8</v>
      </c>
      <c r="F255" s="2" t="n">
        <v>60</v>
      </c>
      <c r="G255" s="2" t="n">
        <v>38</v>
      </c>
    </row>
    <row r="256" customFormat="false" ht="16.5" hidden="false" customHeight="true" outlineLevel="0" collapsed="false">
      <c r="A256" s="2" t="s">
        <v>385</v>
      </c>
      <c r="B256" s="2" t="s">
        <v>390</v>
      </c>
      <c r="C256" s="2" t="n">
        <v>1</v>
      </c>
      <c r="D256" s="2" t="s">
        <v>529</v>
      </c>
      <c r="E256" s="2" t="s">
        <v>9</v>
      </c>
      <c r="F256" s="2" t="n">
        <v>60</v>
      </c>
      <c r="G256" s="2" t="n">
        <v>42</v>
      </c>
    </row>
    <row r="257" customFormat="false" ht="16.5" hidden="false" customHeight="true" outlineLevel="0" collapsed="false">
      <c r="A257" s="2" t="s">
        <v>385</v>
      </c>
      <c r="B257" s="2" t="s">
        <v>390</v>
      </c>
      <c r="C257" s="2" t="n">
        <v>1</v>
      </c>
      <c r="D257" s="2" t="s">
        <v>529</v>
      </c>
      <c r="E257" s="2" t="s">
        <v>10</v>
      </c>
      <c r="F257" s="2" t="n">
        <v>60</v>
      </c>
      <c r="G257" s="2" t="n">
        <v>46</v>
      </c>
    </row>
    <row r="258" customFormat="false" ht="16.5" hidden="false" customHeight="true" outlineLevel="0" collapsed="false">
      <c r="A258" s="2" t="s">
        <v>385</v>
      </c>
      <c r="B258" s="2" t="s">
        <v>390</v>
      </c>
      <c r="C258" s="2" t="n">
        <v>1</v>
      </c>
      <c r="D258" s="2" t="s">
        <v>529</v>
      </c>
      <c r="E258" s="2" t="s">
        <v>11</v>
      </c>
      <c r="F258" s="2" t="n">
        <v>60</v>
      </c>
      <c r="G258" s="2" t="n">
        <v>50</v>
      </c>
    </row>
    <row r="259" customFormat="false" ht="16.5" hidden="false" customHeight="true" outlineLevel="0" collapsed="false">
      <c r="A259" s="2" t="s">
        <v>385</v>
      </c>
      <c r="B259" s="2" t="s">
        <v>390</v>
      </c>
      <c r="C259" s="2" t="n">
        <v>1</v>
      </c>
      <c r="D259" s="2" t="s">
        <v>529</v>
      </c>
      <c r="E259" s="2" t="s">
        <v>12</v>
      </c>
      <c r="F259" s="2" t="n">
        <v>62</v>
      </c>
      <c r="G259" s="2" t="n">
        <v>8</v>
      </c>
    </row>
    <row r="260" customFormat="false" ht="16.5" hidden="false" customHeight="true" outlineLevel="0" collapsed="false">
      <c r="A260" s="2" t="s">
        <v>385</v>
      </c>
      <c r="B260" s="2" t="s">
        <v>390</v>
      </c>
      <c r="C260" s="2" t="n">
        <v>1</v>
      </c>
      <c r="D260" s="2" t="s">
        <v>529</v>
      </c>
      <c r="E260" s="2" t="s">
        <v>13</v>
      </c>
      <c r="F260" s="2" t="n">
        <v>62</v>
      </c>
      <c r="G260" s="2" t="n">
        <v>12</v>
      </c>
    </row>
    <row r="261" customFormat="false" ht="16.5" hidden="false" customHeight="true" outlineLevel="0" collapsed="false">
      <c r="A261" s="2" t="s">
        <v>385</v>
      </c>
      <c r="B261" s="2" t="s">
        <v>390</v>
      </c>
      <c r="C261" s="2" t="n">
        <v>1</v>
      </c>
      <c r="D261" s="2" t="s">
        <v>529</v>
      </c>
      <c r="E261" s="2" t="s">
        <v>14</v>
      </c>
      <c r="F261" s="2" t="n">
        <v>62</v>
      </c>
      <c r="G261" s="2" t="n">
        <v>16</v>
      </c>
    </row>
    <row r="262" customFormat="false" ht="16.5" hidden="false" customHeight="true" outlineLevel="0" collapsed="false">
      <c r="A262" s="2" t="s">
        <v>385</v>
      </c>
      <c r="B262" s="2" t="s">
        <v>390</v>
      </c>
      <c r="C262" s="2" t="n">
        <v>1</v>
      </c>
      <c r="D262" s="2" t="s">
        <v>529</v>
      </c>
      <c r="E262" s="2" t="s">
        <v>15</v>
      </c>
      <c r="F262" s="2" t="n">
        <v>62</v>
      </c>
      <c r="G262" s="2" t="n">
        <v>20</v>
      </c>
    </row>
    <row r="263" customFormat="false" ht="16.5" hidden="false" customHeight="true" outlineLevel="0" collapsed="false">
      <c r="A263" s="2" t="s">
        <v>385</v>
      </c>
      <c r="B263" s="2" t="s">
        <v>390</v>
      </c>
      <c r="C263" s="2" t="n">
        <v>1</v>
      </c>
      <c r="D263" s="2" t="s">
        <v>529</v>
      </c>
      <c r="E263" s="2" t="s">
        <v>16</v>
      </c>
      <c r="F263" s="2" t="n">
        <v>62</v>
      </c>
      <c r="G263" s="2" t="n">
        <v>24</v>
      </c>
    </row>
    <row r="264" customFormat="false" ht="16.5" hidden="false" customHeight="true" outlineLevel="0" collapsed="false">
      <c r="A264" s="2" t="s">
        <v>385</v>
      </c>
      <c r="B264" s="2" t="s">
        <v>390</v>
      </c>
      <c r="C264" s="2" t="n">
        <v>1</v>
      </c>
      <c r="D264" s="2" t="s">
        <v>529</v>
      </c>
      <c r="E264" s="2" t="s">
        <v>17</v>
      </c>
      <c r="F264" s="2" t="n">
        <v>62</v>
      </c>
      <c r="G264" s="2" t="n">
        <v>28</v>
      </c>
    </row>
    <row r="265" customFormat="false" ht="16.5" hidden="false" customHeight="true" outlineLevel="0" collapsed="false">
      <c r="A265" s="2" t="s">
        <v>385</v>
      </c>
      <c r="B265" s="2" t="s">
        <v>390</v>
      </c>
      <c r="C265" s="2" t="n">
        <v>1</v>
      </c>
      <c r="D265" s="2" t="s">
        <v>529</v>
      </c>
      <c r="E265" s="2" t="s">
        <v>18</v>
      </c>
      <c r="F265" s="2" t="n">
        <v>62</v>
      </c>
      <c r="G265" s="2" t="n">
        <v>32</v>
      </c>
    </row>
    <row r="266" customFormat="false" ht="16.5" hidden="false" customHeight="true" outlineLevel="0" collapsed="false">
      <c r="A266" s="2" t="s">
        <v>385</v>
      </c>
      <c r="B266" s="2" t="s">
        <v>390</v>
      </c>
      <c r="C266" s="2" t="n">
        <v>1</v>
      </c>
      <c r="D266" s="2" t="s">
        <v>529</v>
      </c>
      <c r="E266" s="2" t="s">
        <v>19</v>
      </c>
      <c r="F266" s="2" t="n">
        <v>62</v>
      </c>
      <c r="G266" s="2" t="n">
        <v>36</v>
      </c>
    </row>
    <row r="267" customFormat="false" ht="16.5" hidden="false" customHeight="true" outlineLevel="0" collapsed="false">
      <c r="A267" s="2" t="s">
        <v>385</v>
      </c>
      <c r="B267" s="2" t="s">
        <v>390</v>
      </c>
      <c r="C267" s="2" t="n">
        <v>1</v>
      </c>
      <c r="D267" s="2" t="s">
        <v>529</v>
      </c>
      <c r="E267" s="2" t="s">
        <v>20</v>
      </c>
      <c r="F267" s="2" t="n">
        <v>62</v>
      </c>
      <c r="G267" s="2" t="n">
        <v>40</v>
      </c>
    </row>
    <row r="268" customFormat="false" ht="16.5" hidden="false" customHeight="true" outlineLevel="0" collapsed="false">
      <c r="A268" s="2" t="s">
        <v>385</v>
      </c>
      <c r="B268" s="2" t="s">
        <v>390</v>
      </c>
      <c r="C268" s="2" t="n">
        <v>1</v>
      </c>
      <c r="D268" s="2" t="s">
        <v>529</v>
      </c>
      <c r="E268" s="2" t="s">
        <v>21</v>
      </c>
      <c r="F268" s="2" t="n">
        <v>62</v>
      </c>
      <c r="G268" s="2" t="n">
        <v>44</v>
      </c>
    </row>
    <row r="269" customFormat="false" ht="16.5" hidden="false" customHeight="true" outlineLevel="0" collapsed="false">
      <c r="A269" s="2" t="s">
        <v>385</v>
      </c>
      <c r="B269" s="2" t="s">
        <v>390</v>
      </c>
      <c r="C269" s="2" t="n">
        <v>1</v>
      </c>
      <c r="D269" s="2" t="s">
        <v>529</v>
      </c>
      <c r="E269" s="2" t="s">
        <v>22</v>
      </c>
      <c r="F269" s="2" t="n">
        <v>62</v>
      </c>
      <c r="G269" s="2" t="n">
        <v>48</v>
      </c>
    </row>
    <row r="270" customFormat="false" ht="16.5" hidden="false" customHeight="true" outlineLevel="0" collapsed="false">
      <c r="A270" s="2" t="s">
        <v>385</v>
      </c>
      <c r="B270" s="2" t="s">
        <v>390</v>
      </c>
      <c r="C270" s="2" t="n">
        <v>1</v>
      </c>
      <c r="D270" s="2" t="s">
        <v>529</v>
      </c>
      <c r="E270" s="2" t="s">
        <v>23</v>
      </c>
      <c r="F270" s="2" t="n">
        <v>62</v>
      </c>
      <c r="G270" s="2" t="n">
        <v>52</v>
      </c>
    </row>
    <row r="271" customFormat="false" ht="16.5" hidden="false" customHeight="true" outlineLevel="0" collapsed="false">
      <c r="A271" s="2" t="s">
        <v>385</v>
      </c>
      <c r="B271" s="2" t="s">
        <v>390</v>
      </c>
      <c r="C271" s="2" t="n">
        <v>1</v>
      </c>
      <c r="D271" s="2" t="s">
        <v>529</v>
      </c>
      <c r="E271" s="2" t="s">
        <v>24</v>
      </c>
      <c r="F271" s="2" t="n">
        <v>64</v>
      </c>
      <c r="G271" s="2" t="n">
        <v>9</v>
      </c>
    </row>
    <row r="272" customFormat="false" ht="16.5" hidden="false" customHeight="true" outlineLevel="0" collapsed="false">
      <c r="A272" s="2" t="s">
        <v>385</v>
      </c>
      <c r="B272" s="2" t="s">
        <v>390</v>
      </c>
      <c r="C272" s="2" t="n">
        <v>1</v>
      </c>
      <c r="D272" s="2" t="s">
        <v>529</v>
      </c>
      <c r="E272" s="2" t="s">
        <v>25</v>
      </c>
      <c r="F272" s="2" t="n">
        <v>64</v>
      </c>
      <c r="G272" s="2" t="n">
        <v>13</v>
      </c>
    </row>
    <row r="273" customFormat="false" ht="16.5" hidden="false" customHeight="true" outlineLevel="0" collapsed="false">
      <c r="A273" s="2" t="s">
        <v>385</v>
      </c>
      <c r="B273" s="2" t="s">
        <v>390</v>
      </c>
      <c r="C273" s="2" t="n">
        <v>1</v>
      </c>
      <c r="D273" s="2" t="s">
        <v>529</v>
      </c>
      <c r="E273" s="2" t="s">
        <v>26</v>
      </c>
      <c r="F273" s="2" t="n">
        <v>64</v>
      </c>
      <c r="G273" s="2" t="n">
        <v>17</v>
      </c>
    </row>
    <row r="274" customFormat="false" ht="16.5" hidden="false" customHeight="true" outlineLevel="0" collapsed="false">
      <c r="A274" s="2" t="s">
        <v>385</v>
      </c>
      <c r="B274" s="2" t="s">
        <v>390</v>
      </c>
      <c r="C274" s="2" t="n">
        <v>1</v>
      </c>
      <c r="D274" s="2" t="s">
        <v>529</v>
      </c>
      <c r="E274" s="2" t="s">
        <v>27</v>
      </c>
      <c r="F274" s="2" t="n">
        <v>64</v>
      </c>
      <c r="G274" s="2" t="n">
        <v>21</v>
      </c>
    </row>
    <row r="275" customFormat="false" ht="16.5" hidden="false" customHeight="true" outlineLevel="0" collapsed="false">
      <c r="A275" s="2" t="s">
        <v>385</v>
      </c>
      <c r="B275" s="2" t="s">
        <v>390</v>
      </c>
      <c r="C275" s="2" t="n">
        <v>1</v>
      </c>
      <c r="D275" s="2" t="s">
        <v>529</v>
      </c>
      <c r="E275" s="2" t="s">
        <v>28</v>
      </c>
      <c r="F275" s="2" t="n">
        <v>64</v>
      </c>
      <c r="G275" s="2" t="n">
        <v>25</v>
      </c>
    </row>
    <row r="276" customFormat="false" ht="16.5" hidden="false" customHeight="true" outlineLevel="0" collapsed="false">
      <c r="A276" s="2" t="s">
        <v>385</v>
      </c>
      <c r="B276" s="2" t="s">
        <v>390</v>
      </c>
      <c r="C276" s="2" t="n">
        <v>1</v>
      </c>
      <c r="D276" s="2" t="s">
        <v>529</v>
      </c>
      <c r="E276" s="2" t="s">
        <v>29</v>
      </c>
      <c r="F276" s="2" t="n">
        <v>64</v>
      </c>
      <c r="G276" s="2" t="n">
        <v>29</v>
      </c>
    </row>
    <row r="277" customFormat="false" ht="16.5" hidden="false" customHeight="true" outlineLevel="0" collapsed="false">
      <c r="A277" s="2" t="s">
        <v>385</v>
      </c>
      <c r="B277" s="2" t="s">
        <v>390</v>
      </c>
      <c r="C277" s="2" t="n">
        <v>1</v>
      </c>
      <c r="D277" s="2" t="s">
        <v>529</v>
      </c>
      <c r="E277" s="2" t="s">
        <v>30</v>
      </c>
      <c r="F277" s="2" t="n">
        <v>64</v>
      </c>
      <c r="G277" s="2" t="n">
        <v>33</v>
      </c>
    </row>
    <row r="278" customFormat="false" ht="16.5" hidden="false" customHeight="true" outlineLevel="0" collapsed="false">
      <c r="A278" s="2" t="s">
        <v>385</v>
      </c>
      <c r="B278" s="2" t="s">
        <v>390</v>
      </c>
      <c r="C278" s="2" t="n">
        <v>1</v>
      </c>
      <c r="D278" s="2" t="s">
        <v>529</v>
      </c>
      <c r="E278" s="2" t="s">
        <v>31</v>
      </c>
      <c r="F278" s="2" t="n">
        <v>64</v>
      </c>
      <c r="G278" s="2" t="n">
        <v>37</v>
      </c>
    </row>
    <row r="279" customFormat="false" ht="16.5" hidden="false" customHeight="true" outlineLevel="0" collapsed="false">
      <c r="A279" s="2" t="s">
        <v>385</v>
      </c>
      <c r="B279" s="2" t="s">
        <v>390</v>
      </c>
      <c r="C279" s="2" t="n">
        <v>1</v>
      </c>
      <c r="D279" s="2" t="s">
        <v>529</v>
      </c>
      <c r="E279" s="2" t="s">
        <v>32</v>
      </c>
      <c r="F279" s="2" t="n">
        <v>64</v>
      </c>
      <c r="G279" s="2" t="n">
        <v>41</v>
      </c>
    </row>
    <row r="280" customFormat="false" ht="16.5" hidden="false" customHeight="true" outlineLevel="0" collapsed="false">
      <c r="A280" s="2" t="s">
        <v>385</v>
      </c>
      <c r="B280" s="2" t="s">
        <v>390</v>
      </c>
      <c r="C280" s="2" t="n">
        <v>1</v>
      </c>
      <c r="D280" s="2" t="s">
        <v>529</v>
      </c>
      <c r="E280" s="2" t="s">
        <v>33</v>
      </c>
      <c r="F280" s="2" t="n">
        <v>64</v>
      </c>
      <c r="G280" s="2" t="n">
        <v>45</v>
      </c>
    </row>
    <row r="281" customFormat="false" ht="16.5" hidden="false" customHeight="true" outlineLevel="0" collapsed="false">
      <c r="A281" s="2" t="s">
        <v>385</v>
      </c>
      <c r="B281" s="2" t="s">
        <v>390</v>
      </c>
      <c r="C281" s="2" t="n">
        <v>1</v>
      </c>
      <c r="D281" s="2" t="s">
        <v>529</v>
      </c>
      <c r="E281" s="2" t="s">
        <v>34</v>
      </c>
      <c r="F281" s="2" t="n">
        <v>64</v>
      </c>
      <c r="G281" s="2" t="n">
        <v>49</v>
      </c>
    </row>
    <row r="282" customFormat="false" ht="16.5" hidden="false" customHeight="true" outlineLevel="0" collapsed="false">
      <c r="A282" s="2" t="s">
        <v>385</v>
      </c>
      <c r="B282" s="2" t="s">
        <v>390</v>
      </c>
      <c r="C282" s="2" t="n">
        <v>1</v>
      </c>
      <c r="D282" s="2" t="s">
        <v>529</v>
      </c>
      <c r="E282" s="2" t="s">
        <v>35</v>
      </c>
      <c r="F282" s="2" t="n">
        <v>66</v>
      </c>
      <c r="G282" s="2" t="n">
        <v>11</v>
      </c>
    </row>
    <row r="283" customFormat="false" ht="16.5" hidden="false" customHeight="true" outlineLevel="0" collapsed="false">
      <c r="A283" s="2" t="s">
        <v>385</v>
      </c>
      <c r="B283" s="2" t="s">
        <v>390</v>
      </c>
      <c r="C283" s="2" t="n">
        <v>1</v>
      </c>
      <c r="D283" s="2" t="s">
        <v>529</v>
      </c>
      <c r="E283" s="2" t="s">
        <v>36</v>
      </c>
      <c r="F283" s="2" t="n">
        <v>66</v>
      </c>
      <c r="G283" s="2" t="n">
        <v>15</v>
      </c>
    </row>
    <row r="284" customFormat="false" ht="16.5" hidden="false" customHeight="true" outlineLevel="0" collapsed="false">
      <c r="A284" s="2" t="s">
        <v>385</v>
      </c>
      <c r="B284" s="2" t="s">
        <v>390</v>
      </c>
      <c r="C284" s="2" t="n">
        <v>1</v>
      </c>
      <c r="D284" s="2" t="s">
        <v>529</v>
      </c>
      <c r="E284" s="2" t="s">
        <v>37</v>
      </c>
      <c r="F284" s="2" t="n">
        <v>66</v>
      </c>
      <c r="G284" s="2" t="n">
        <v>19</v>
      </c>
    </row>
    <row r="285" customFormat="false" ht="16.5" hidden="false" customHeight="true" outlineLevel="0" collapsed="false">
      <c r="A285" s="2" t="s">
        <v>385</v>
      </c>
      <c r="B285" s="2" t="s">
        <v>390</v>
      </c>
      <c r="C285" s="2" t="n">
        <v>1</v>
      </c>
      <c r="D285" s="2" t="s">
        <v>529</v>
      </c>
      <c r="E285" s="2" t="s">
        <v>38</v>
      </c>
      <c r="F285" s="2" t="n">
        <v>66</v>
      </c>
      <c r="G285" s="2" t="n">
        <v>23</v>
      </c>
    </row>
    <row r="286" customFormat="false" ht="16.5" hidden="false" customHeight="true" outlineLevel="0" collapsed="false">
      <c r="A286" s="2" t="s">
        <v>385</v>
      </c>
      <c r="B286" s="2" t="s">
        <v>390</v>
      </c>
      <c r="C286" s="2" t="n">
        <v>1</v>
      </c>
      <c r="D286" s="2" t="s">
        <v>529</v>
      </c>
      <c r="E286" s="2" t="s">
        <v>39</v>
      </c>
      <c r="F286" s="2" t="n">
        <v>66</v>
      </c>
      <c r="G286" s="2" t="n">
        <v>27</v>
      </c>
    </row>
    <row r="287" customFormat="false" ht="16.5" hidden="false" customHeight="true" outlineLevel="0" collapsed="false">
      <c r="A287" s="2" t="s">
        <v>385</v>
      </c>
      <c r="B287" s="2" t="s">
        <v>390</v>
      </c>
      <c r="C287" s="2" t="n">
        <v>1</v>
      </c>
      <c r="D287" s="2" t="s">
        <v>529</v>
      </c>
      <c r="E287" s="2" t="s">
        <v>40</v>
      </c>
      <c r="F287" s="2" t="n">
        <v>66</v>
      </c>
      <c r="G287" s="2" t="n">
        <v>31</v>
      </c>
    </row>
    <row r="288" customFormat="false" ht="16.5" hidden="false" customHeight="true" outlineLevel="0" collapsed="false">
      <c r="A288" s="2" t="s">
        <v>385</v>
      </c>
      <c r="B288" s="2" t="s">
        <v>390</v>
      </c>
      <c r="C288" s="2" t="n">
        <v>1</v>
      </c>
      <c r="D288" s="2" t="s">
        <v>529</v>
      </c>
      <c r="E288" s="2" t="s">
        <v>41</v>
      </c>
      <c r="F288" s="2" t="n">
        <v>66</v>
      </c>
      <c r="G288" s="2" t="n">
        <v>35</v>
      </c>
    </row>
    <row r="289" customFormat="false" ht="16.5" hidden="false" customHeight="true" outlineLevel="0" collapsed="false">
      <c r="A289" s="2" t="s">
        <v>385</v>
      </c>
      <c r="B289" s="2" t="s">
        <v>390</v>
      </c>
      <c r="C289" s="2" t="n">
        <v>1</v>
      </c>
      <c r="D289" s="2" t="s">
        <v>529</v>
      </c>
      <c r="E289" s="2" t="s">
        <v>42</v>
      </c>
      <c r="F289" s="2" t="n">
        <v>66</v>
      </c>
      <c r="G289" s="2" t="n">
        <v>39</v>
      </c>
    </row>
    <row r="290" customFormat="false" ht="16.5" hidden="false" customHeight="true" outlineLevel="0" collapsed="false">
      <c r="A290" s="2" t="s">
        <v>385</v>
      </c>
      <c r="B290" s="2" t="s">
        <v>390</v>
      </c>
      <c r="C290" s="2" t="n">
        <v>1</v>
      </c>
      <c r="D290" s="2" t="s">
        <v>529</v>
      </c>
      <c r="E290" s="2" t="s">
        <v>43</v>
      </c>
      <c r="F290" s="2" t="n">
        <v>66</v>
      </c>
      <c r="G290" s="2" t="n">
        <v>43</v>
      </c>
    </row>
    <row r="291" customFormat="false" ht="16.5" hidden="false" customHeight="true" outlineLevel="0" collapsed="false">
      <c r="A291" s="2" t="s">
        <v>385</v>
      </c>
      <c r="B291" s="2" t="s">
        <v>390</v>
      </c>
      <c r="C291" s="2" t="n">
        <v>1</v>
      </c>
      <c r="D291" s="2" t="s">
        <v>529</v>
      </c>
      <c r="E291" s="2" t="s">
        <v>44</v>
      </c>
      <c r="F291" s="2" t="n">
        <v>66</v>
      </c>
      <c r="G291" s="2" t="n">
        <v>47</v>
      </c>
    </row>
    <row r="292" customFormat="false" ht="16.5" hidden="false" customHeight="true" outlineLevel="0" collapsed="false">
      <c r="A292" s="2" t="s">
        <v>385</v>
      </c>
      <c r="B292" s="2" t="s">
        <v>390</v>
      </c>
      <c r="C292" s="2" t="n">
        <v>1</v>
      </c>
      <c r="D292" s="2" t="s">
        <v>529</v>
      </c>
      <c r="E292" s="2" t="s">
        <v>48</v>
      </c>
      <c r="F292" s="2" t="n">
        <v>68</v>
      </c>
      <c r="G292" s="2" t="n">
        <v>16</v>
      </c>
    </row>
    <row r="293" customFormat="false" ht="16.5" hidden="false" customHeight="true" outlineLevel="0" collapsed="false">
      <c r="A293" s="2" t="s">
        <v>385</v>
      </c>
      <c r="B293" s="2" t="s">
        <v>390</v>
      </c>
      <c r="C293" s="2" t="n">
        <v>1</v>
      </c>
      <c r="D293" s="2" t="s">
        <v>529</v>
      </c>
      <c r="E293" s="2" t="s">
        <v>50</v>
      </c>
      <c r="F293" s="2" t="n">
        <v>68</v>
      </c>
      <c r="G293" s="2" t="n">
        <v>20</v>
      </c>
    </row>
    <row r="294" customFormat="false" ht="16.5" hidden="false" customHeight="true" outlineLevel="0" collapsed="false">
      <c r="A294" s="2" t="s">
        <v>385</v>
      </c>
      <c r="B294" s="2" t="s">
        <v>390</v>
      </c>
      <c r="C294" s="2" t="n">
        <v>1</v>
      </c>
      <c r="D294" s="2" t="s">
        <v>529</v>
      </c>
      <c r="E294" s="2" t="s">
        <v>45</v>
      </c>
      <c r="F294" s="2" t="n">
        <v>68</v>
      </c>
      <c r="G294" s="2" t="n">
        <v>38</v>
      </c>
    </row>
    <row r="295" customFormat="false" ht="16.5" hidden="false" customHeight="true" outlineLevel="0" collapsed="false">
      <c r="A295" s="2" t="s">
        <v>385</v>
      </c>
      <c r="B295" s="2" t="s">
        <v>390</v>
      </c>
      <c r="C295" s="2" t="n">
        <v>1</v>
      </c>
      <c r="D295" s="2" t="s">
        <v>529</v>
      </c>
      <c r="E295" s="2" t="s">
        <v>46</v>
      </c>
      <c r="F295" s="2" t="n">
        <v>68</v>
      </c>
      <c r="G295" s="2" t="n">
        <v>42</v>
      </c>
    </row>
    <row r="296" customFormat="false" ht="16.5" hidden="false" customHeight="true" outlineLevel="0" collapsed="false">
      <c r="A296" s="2" t="s">
        <v>385</v>
      </c>
      <c r="B296" s="2" t="s">
        <v>391</v>
      </c>
      <c r="C296" s="2" t="n">
        <v>1</v>
      </c>
      <c r="D296" s="2" t="s">
        <v>530</v>
      </c>
      <c r="E296" s="2" t="s">
        <v>0</v>
      </c>
      <c r="F296" s="2" t="n">
        <v>73</v>
      </c>
      <c r="G296" s="2" t="n">
        <v>6</v>
      </c>
    </row>
    <row r="297" customFormat="false" ht="16.5" hidden="false" customHeight="true" outlineLevel="0" collapsed="false">
      <c r="A297" s="2" t="s">
        <v>385</v>
      </c>
      <c r="B297" s="2" t="s">
        <v>391</v>
      </c>
      <c r="C297" s="2" t="n">
        <v>1</v>
      </c>
      <c r="D297" s="2" t="s">
        <v>530</v>
      </c>
      <c r="E297" s="2" t="s">
        <v>1</v>
      </c>
      <c r="F297" s="2" t="n">
        <v>73</v>
      </c>
      <c r="G297" s="2" t="n">
        <v>10</v>
      </c>
    </row>
    <row r="298" customFormat="false" ht="16.5" hidden="false" customHeight="true" outlineLevel="0" collapsed="false">
      <c r="A298" s="2" t="s">
        <v>385</v>
      </c>
      <c r="B298" s="2" t="s">
        <v>391</v>
      </c>
      <c r="C298" s="2" t="n">
        <v>1</v>
      </c>
      <c r="D298" s="2" t="s">
        <v>530</v>
      </c>
      <c r="E298" s="2" t="s">
        <v>2</v>
      </c>
      <c r="F298" s="2" t="n">
        <v>73</v>
      </c>
      <c r="G298" s="2" t="n">
        <v>14</v>
      </c>
    </row>
    <row r="299" customFormat="false" ht="16.5" hidden="false" customHeight="true" outlineLevel="0" collapsed="false">
      <c r="A299" s="2" t="s">
        <v>385</v>
      </c>
      <c r="B299" s="2" t="s">
        <v>391</v>
      </c>
      <c r="C299" s="2" t="n">
        <v>1</v>
      </c>
      <c r="D299" s="2" t="s">
        <v>530</v>
      </c>
      <c r="E299" s="2" t="s">
        <v>3</v>
      </c>
      <c r="F299" s="2" t="n">
        <v>73</v>
      </c>
      <c r="G299" s="2" t="n">
        <v>18</v>
      </c>
    </row>
    <row r="300" customFormat="false" ht="16.5" hidden="false" customHeight="true" outlineLevel="0" collapsed="false">
      <c r="A300" s="2" t="s">
        <v>385</v>
      </c>
      <c r="B300" s="2" t="s">
        <v>391</v>
      </c>
      <c r="C300" s="2" t="n">
        <v>1</v>
      </c>
      <c r="D300" s="2" t="s">
        <v>530</v>
      </c>
      <c r="E300" s="2" t="s">
        <v>4</v>
      </c>
      <c r="F300" s="2" t="n">
        <v>73</v>
      </c>
      <c r="G300" s="2" t="n">
        <v>22</v>
      </c>
    </row>
    <row r="301" customFormat="false" ht="16.5" hidden="false" customHeight="true" outlineLevel="0" collapsed="false">
      <c r="A301" s="2" t="s">
        <v>385</v>
      </c>
      <c r="B301" s="2" t="s">
        <v>391</v>
      </c>
      <c r="C301" s="2" t="n">
        <v>1</v>
      </c>
      <c r="D301" s="2" t="s">
        <v>530</v>
      </c>
      <c r="E301" s="2" t="s">
        <v>5</v>
      </c>
      <c r="F301" s="2" t="n">
        <v>73</v>
      </c>
      <c r="G301" s="2" t="n">
        <v>26</v>
      </c>
    </row>
    <row r="302" customFormat="false" ht="16.5" hidden="false" customHeight="true" outlineLevel="0" collapsed="false">
      <c r="A302" s="2" t="s">
        <v>385</v>
      </c>
      <c r="B302" s="2" t="s">
        <v>391</v>
      </c>
      <c r="C302" s="2" t="n">
        <v>1</v>
      </c>
      <c r="D302" s="2" t="s">
        <v>530</v>
      </c>
      <c r="E302" s="2" t="s">
        <v>6</v>
      </c>
      <c r="F302" s="2" t="n">
        <v>73</v>
      </c>
      <c r="G302" s="2" t="n">
        <v>30</v>
      </c>
    </row>
    <row r="303" customFormat="false" ht="16.5" hidden="false" customHeight="true" outlineLevel="0" collapsed="false">
      <c r="A303" s="2" t="s">
        <v>385</v>
      </c>
      <c r="B303" s="2" t="s">
        <v>391</v>
      </c>
      <c r="C303" s="2" t="n">
        <v>1</v>
      </c>
      <c r="D303" s="2" t="s">
        <v>530</v>
      </c>
      <c r="E303" s="2" t="s">
        <v>7</v>
      </c>
      <c r="F303" s="2" t="n">
        <v>73</v>
      </c>
      <c r="G303" s="2" t="n">
        <v>34</v>
      </c>
    </row>
    <row r="304" customFormat="false" ht="16.5" hidden="false" customHeight="true" outlineLevel="0" collapsed="false">
      <c r="A304" s="2" t="s">
        <v>385</v>
      </c>
      <c r="B304" s="2" t="s">
        <v>391</v>
      </c>
      <c r="C304" s="2" t="n">
        <v>1</v>
      </c>
      <c r="D304" s="2" t="s">
        <v>530</v>
      </c>
      <c r="E304" s="2" t="s">
        <v>8</v>
      </c>
      <c r="F304" s="2" t="n">
        <v>73</v>
      </c>
      <c r="G304" s="2" t="n">
        <v>38</v>
      </c>
    </row>
    <row r="305" customFormat="false" ht="16.5" hidden="false" customHeight="true" outlineLevel="0" collapsed="false">
      <c r="A305" s="2" t="s">
        <v>385</v>
      </c>
      <c r="B305" s="2" t="s">
        <v>391</v>
      </c>
      <c r="C305" s="2" t="n">
        <v>1</v>
      </c>
      <c r="D305" s="2" t="s">
        <v>530</v>
      </c>
      <c r="E305" s="2" t="s">
        <v>9</v>
      </c>
      <c r="F305" s="2" t="n">
        <v>73</v>
      </c>
      <c r="G305" s="2" t="n">
        <v>42</v>
      </c>
    </row>
    <row r="306" customFormat="false" ht="16.5" hidden="false" customHeight="true" outlineLevel="0" collapsed="false">
      <c r="A306" s="2" t="s">
        <v>385</v>
      </c>
      <c r="B306" s="2" t="s">
        <v>391</v>
      </c>
      <c r="C306" s="2" t="n">
        <v>1</v>
      </c>
      <c r="D306" s="2" t="s">
        <v>530</v>
      </c>
      <c r="E306" s="2" t="s">
        <v>10</v>
      </c>
      <c r="F306" s="2" t="n">
        <v>73</v>
      </c>
      <c r="G306" s="2" t="n">
        <v>46</v>
      </c>
    </row>
    <row r="307" customFormat="false" ht="16.5" hidden="false" customHeight="true" outlineLevel="0" collapsed="false">
      <c r="A307" s="2" t="s">
        <v>385</v>
      </c>
      <c r="B307" s="2" t="s">
        <v>391</v>
      </c>
      <c r="C307" s="2" t="n">
        <v>1</v>
      </c>
      <c r="D307" s="2" t="s">
        <v>530</v>
      </c>
      <c r="E307" s="2" t="s">
        <v>11</v>
      </c>
      <c r="F307" s="2" t="n">
        <v>73</v>
      </c>
      <c r="G307" s="2" t="n">
        <v>50</v>
      </c>
    </row>
    <row r="308" customFormat="false" ht="16.5" hidden="false" customHeight="true" outlineLevel="0" collapsed="false">
      <c r="A308" s="2" t="s">
        <v>385</v>
      </c>
      <c r="B308" s="2" t="s">
        <v>391</v>
      </c>
      <c r="C308" s="2" t="n">
        <v>1</v>
      </c>
      <c r="D308" s="2" t="s">
        <v>530</v>
      </c>
      <c r="E308" s="2" t="s">
        <v>12</v>
      </c>
      <c r="F308" s="2" t="n">
        <v>75</v>
      </c>
      <c r="G308" s="2" t="n">
        <v>8</v>
      </c>
    </row>
    <row r="309" customFormat="false" ht="16.5" hidden="false" customHeight="true" outlineLevel="0" collapsed="false">
      <c r="A309" s="2" t="s">
        <v>385</v>
      </c>
      <c r="B309" s="2" t="s">
        <v>391</v>
      </c>
      <c r="C309" s="2" t="n">
        <v>1</v>
      </c>
      <c r="D309" s="2" t="s">
        <v>530</v>
      </c>
      <c r="E309" s="2" t="s">
        <v>13</v>
      </c>
      <c r="F309" s="2" t="n">
        <v>75</v>
      </c>
      <c r="G309" s="2" t="n">
        <v>12</v>
      </c>
    </row>
    <row r="310" customFormat="false" ht="16.5" hidden="false" customHeight="true" outlineLevel="0" collapsed="false">
      <c r="A310" s="2" t="s">
        <v>385</v>
      </c>
      <c r="B310" s="2" t="s">
        <v>391</v>
      </c>
      <c r="C310" s="2" t="n">
        <v>1</v>
      </c>
      <c r="D310" s="2" t="s">
        <v>530</v>
      </c>
      <c r="E310" s="2" t="s">
        <v>14</v>
      </c>
      <c r="F310" s="2" t="n">
        <v>75</v>
      </c>
      <c r="G310" s="2" t="n">
        <v>16</v>
      </c>
    </row>
    <row r="311" customFormat="false" ht="16.5" hidden="false" customHeight="true" outlineLevel="0" collapsed="false">
      <c r="A311" s="2" t="s">
        <v>385</v>
      </c>
      <c r="B311" s="2" t="s">
        <v>391</v>
      </c>
      <c r="C311" s="2" t="n">
        <v>1</v>
      </c>
      <c r="D311" s="2" t="s">
        <v>530</v>
      </c>
      <c r="E311" s="2" t="s">
        <v>15</v>
      </c>
      <c r="F311" s="2" t="n">
        <v>75</v>
      </c>
      <c r="G311" s="2" t="n">
        <v>20</v>
      </c>
    </row>
    <row r="312" customFormat="false" ht="16.5" hidden="false" customHeight="true" outlineLevel="0" collapsed="false">
      <c r="A312" s="2" t="s">
        <v>385</v>
      </c>
      <c r="B312" s="2" t="s">
        <v>391</v>
      </c>
      <c r="C312" s="2" t="n">
        <v>1</v>
      </c>
      <c r="D312" s="2" t="s">
        <v>530</v>
      </c>
      <c r="E312" s="2" t="s">
        <v>16</v>
      </c>
      <c r="F312" s="2" t="n">
        <v>75</v>
      </c>
      <c r="G312" s="2" t="n">
        <v>24</v>
      </c>
    </row>
    <row r="313" customFormat="false" ht="16.5" hidden="false" customHeight="true" outlineLevel="0" collapsed="false">
      <c r="A313" s="2" t="s">
        <v>385</v>
      </c>
      <c r="B313" s="2" t="s">
        <v>391</v>
      </c>
      <c r="C313" s="2" t="n">
        <v>1</v>
      </c>
      <c r="D313" s="2" t="s">
        <v>530</v>
      </c>
      <c r="E313" s="2" t="s">
        <v>17</v>
      </c>
      <c r="F313" s="2" t="n">
        <v>75</v>
      </c>
      <c r="G313" s="2" t="n">
        <v>28</v>
      </c>
    </row>
    <row r="314" customFormat="false" ht="16.5" hidden="false" customHeight="true" outlineLevel="0" collapsed="false">
      <c r="A314" s="2" t="s">
        <v>385</v>
      </c>
      <c r="B314" s="2" t="s">
        <v>391</v>
      </c>
      <c r="C314" s="2" t="n">
        <v>1</v>
      </c>
      <c r="D314" s="2" t="s">
        <v>530</v>
      </c>
      <c r="E314" s="2" t="s">
        <v>18</v>
      </c>
      <c r="F314" s="2" t="n">
        <v>75</v>
      </c>
      <c r="G314" s="2" t="n">
        <v>32</v>
      </c>
    </row>
    <row r="315" customFormat="false" ht="16.5" hidden="false" customHeight="true" outlineLevel="0" collapsed="false">
      <c r="A315" s="2" t="s">
        <v>385</v>
      </c>
      <c r="B315" s="2" t="s">
        <v>391</v>
      </c>
      <c r="C315" s="2" t="n">
        <v>1</v>
      </c>
      <c r="D315" s="2" t="s">
        <v>530</v>
      </c>
      <c r="E315" s="2" t="s">
        <v>19</v>
      </c>
      <c r="F315" s="2" t="n">
        <v>75</v>
      </c>
      <c r="G315" s="2" t="n">
        <v>36</v>
      </c>
    </row>
    <row r="316" customFormat="false" ht="16.5" hidden="false" customHeight="true" outlineLevel="0" collapsed="false">
      <c r="A316" s="2" t="s">
        <v>385</v>
      </c>
      <c r="B316" s="2" t="s">
        <v>391</v>
      </c>
      <c r="C316" s="2" t="n">
        <v>1</v>
      </c>
      <c r="D316" s="2" t="s">
        <v>530</v>
      </c>
      <c r="E316" s="2" t="s">
        <v>20</v>
      </c>
      <c r="F316" s="2" t="n">
        <v>75</v>
      </c>
      <c r="G316" s="2" t="n">
        <v>40</v>
      </c>
    </row>
    <row r="317" customFormat="false" ht="16.5" hidden="false" customHeight="true" outlineLevel="0" collapsed="false">
      <c r="A317" s="2" t="s">
        <v>385</v>
      </c>
      <c r="B317" s="2" t="s">
        <v>391</v>
      </c>
      <c r="C317" s="2" t="n">
        <v>1</v>
      </c>
      <c r="D317" s="2" t="s">
        <v>530</v>
      </c>
      <c r="E317" s="2" t="s">
        <v>21</v>
      </c>
      <c r="F317" s="2" t="n">
        <v>75</v>
      </c>
      <c r="G317" s="2" t="n">
        <v>44</v>
      </c>
    </row>
    <row r="318" customFormat="false" ht="16.5" hidden="false" customHeight="true" outlineLevel="0" collapsed="false">
      <c r="A318" s="2" t="s">
        <v>385</v>
      </c>
      <c r="B318" s="2" t="s">
        <v>391</v>
      </c>
      <c r="C318" s="2" t="n">
        <v>1</v>
      </c>
      <c r="D318" s="2" t="s">
        <v>530</v>
      </c>
      <c r="E318" s="2" t="s">
        <v>22</v>
      </c>
      <c r="F318" s="2" t="n">
        <v>75</v>
      </c>
      <c r="G318" s="2" t="n">
        <v>48</v>
      </c>
    </row>
    <row r="319" customFormat="false" ht="16.5" hidden="false" customHeight="true" outlineLevel="0" collapsed="false">
      <c r="A319" s="2" t="s">
        <v>385</v>
      </c>
      <c r="B319" s="2" t="s">
        <v>391</v>
      </c>
      <c r="C319" s="2" t="n">
        <v>1</v>
      </c>
      <c r="D319" s="2" t="s">
        <v>530</v>
      </c>
      <c r="E319" s="2" t="s">
        <v>23</v>
      </c>
      <c r="F319" s="2" t="n">
        <v>75</v>
      </c>
      <c r="G319" s="2" t="n">
        <v>52</v>
      </c>
    </row>
    <row r="320" customFormat="false" ht="16.5" hidden="false" customHeight="true" outlineLevel="0" collapsed="false">
      <c r="A320" s="2" t="s">
        <v>385</v>
      </c>
      <c r="B320" s="2" t="s">
        <v>391</v>
      </c>
      <c r="C320" s="2" t="n">
        <v>1</v>
      </c>
      <c r="D320" s="2" t="s">
        <v>530</v>
      </c>
      <c r="E320" s="2" t="s">
        <v>24</v>
      </c>
      <c r="F320" s="2" t="n">
        <v>77</v>
      </c>
      <c r="G320" s="2" t="n">
        <v>9</v>
      </c>
    </row>
    <row r="321" customFormat="false" ht="16.5" hidden="false" customHeight="true" outlineLevel="0" collapsed="false">
      <c r="A321" s="2" t="s">
        <v>385</v>
      </c>
      <c r="B321" s="2" t="s">
        <v>391</v>
      </c>
      <c r="C321" s="2" t="n">
        <v>1</v>
      </c>
      <c r="D321" s="2" t="s">
        <v>530</v>
      </c>
      <c r="E321" s="2" t="s">
        <v>25</v>
      </c>
      <c r="F321" s="2" t="n">
        <v>77</v>
      </c>
      <c r="G321" s="2" t="n">
        <v>13</v>
      </c>
    </row>
    <row r="322" customFormat="false" ht="16.5" hidden="false" customHeight="true" outlineLevel="0" collapsed="false">
      <c r="A322" s="2" t="s">
        <v>385</v>
      </c>
      <c r="B322" s="2" t="s">
        <v>391</v>
      </c>
      <c r="C322" s="2" t="n">
        <v>1</v>
      </c>
      <c r="D322" s="2" t="s">
        <v>530</v>
      </c>
      <c r="E322" s="2" t="s">
        <v>26</v>
      </c>
      <c r="F322" s="2" t="n">
        <v>77</v>
      </c>
      <c r="G322" s="2" t="n">
        <v>17</v>
      </c>
    </row>
    <row r="323" customFormat="false" ht="16.5" hidden="false" customHeight="true" outlineLevel="0" collapsed="false">
      <c r="A323" s="2" t="s">
        <v>385</v>
      </c>
      <c r="B323" s="2" t="s">
        <v>391</v>
      </c>
      <c r="C323" s="2" t="n">
        <v>1</v>
      </c>
      <c r="D323" s="2" t="s">
        <v>530</v>
      </c>
      <c r="E323" s="2" t="s">
        <v>27</v>
      </c>
      <c r="F323" s="2" t="n">
        <v>77</v>
      </c>
      <c r="G323" s="2" t="n">
        <v>21</v>
      </c>
    </row>
    <row r="324" customFormat="false" ht="16.5" hidden="false" customHeight="true" outlineLevel="0" collapsed="false">
      <c r="A324" s="2" t="s">
        <v>385</v>
      </c>
      <c r="B324" s="2" t="s">
        <v>391</v>
      </c>
      <c r="C324" s="2" t="n">
        <v>1</v>
      </c>
      <c r="D324" s="2" t="s">
        <v>530</v>
      </c>
      <c r="E324" s="2" t="s">
        <v>28</v>
      </c>
      <c r="F324" s="2" t="n">
        <v>77</v>
      </c>
      <c r="G324" s="2" t="n">
        <v>25</v>
      </c>
    </row>
    <row r="325" customFormat="false" ht="16.5" hidden="false" customHeight="true" outlineLevel="0" collapsed="false">
      <c r="A325" s="2" t="s">
        <v>385</v>
      </c>
      <c r="B325" s="2" t="s">
        <v>391</v>
      </c>
      <c r="C325" s="2" t="n">
        <v>1</v>
      </c>
      <c r="D325" s="2" t="s">
        <v>530</v>
      </c>
      <c r="E325" s="2" t="s">
        <v>29</v>
      </c>
      <c r="F325" s="2" t="n">
        <v>77</v>
      </c>
      <c r="G325" s="2" t="n">
        <v>29</v>
      </c>
    </row>
    <row r="326" customFormat="false" ht="16.5" hidden="false" customHeight="true" outlineLevel="0" collapsed="false">
      <c r="A326" s="2" t="s">
        <v>385</v>
      </c>
      <c r="B326" s="2" t="s">
        <v>391</v>
      </c>
      <c r="C326" s="2" t="n">
        <v>1</v>
      </c>
      <c r="D326" s="2" t="s">
        <v>530</v>
      </c>
      <c r="E326" s="2" t="s">
        <v>30</v>
      </c>
      <c r="F326" s="2" t="n">
        <v>77</v>
      </c>
      <c r="G326" s="2" t="n">
        <v>33</v>
      </c>
    </row>
    <row r="327" customFormat="false" ht="16.5" hidden="false" customHeight="true" outlineLevel="0" collapsed="false">
      <c r="A327" s="2" t="s">
        <v>385</v>
      </c>
      <c r="B327" s="2" t="s">
        <v>391</v>
      </c>
      <c r="C327" s="2" t="n">
        <v>1</v>
      </c>
      <c r="D327" s="2" t="s">
        <v>530</v>
      </c>
      <c r="E327" s="2" t="s">
        <v>31</v>
      </c>
      <c r="F327" s="2" t="n">
        <v>77</v>
      </c>
      <c r="G327" s="2" t="n">
        <v>37</v>
      </c>
    </row>
    <row r="328" customFormat="false" ht="16.5" hidden="false" customHeight="true" outlineLevel="0" collapsed="false">
      <c r="A328" s="2" t="s">
        <v>385</v>
      </c>
      <c r="B328" s="2" t="s">
        <v>391</v>
      </c>
      <c r="C328" s="2" t="n">
        <v>1</v>
      </c>
      <c r="D328" s="2" t="s">
        <v>530</v>
      </c>
      <c r="E328" s="2" t="s">
        <v>32</v>
      </c>
      <c r="F328" s="2" t="n">
        <v>77</v>
      </c>
      <c r="G328" s="2" t="n">
        <v>41</v>
      </c>
    </row>
    <row r="329" customFormat="false" ht="16.5" hidden="false" customHeight="true" outlineLevel="0" collapsed="false">
      <c r="A329" s="2" t="s">
        <v>385</v>
      </c>
      <c r="B329" s="2" t="s">
        <v>391</v>
      </c>
      <c r="C329" s="2" t="n">
        <v>1</v>
      </c>
      <c r="D329" s="2" t="s">
        <v>530</v>
      </c>
      <c r="E329" s="2" t="s">
        <v>33</v>
      </c>
      <c r="F329" s="2" t="n">
        <v>77</v>
      </c>
      <c r="G329" s="2" t="n">
        <v>45</v>
      </c>
    </row>
    <row r="330" customFormat="false" ht="16.5" hidden="false" customHeight="true" outlineLevel="0" collapsed="false">
      <c r="A330" s="2" t="s">
        <v>385</v>
      </c>
      <c r="B330" s="2" t="s">
        <v>391</v>
      </c>
      <c r="C330" s="2" t="n">
        <v>1</v>
      </c>
      <c r="D330" s="2" t="s">
        <v>530</v>
      </c>
      <c r="E330" s="2" t="s">
        <v>34</v>
      </c>
      <c r="F330" s="2" t="n">
        <v>77</v>
      </c>
      <c r="G330" s="2" t="n">
        <v>49</v>
      </c>
    </row>
    <row r="331" customFormat="false" ht="16.5" hidden="false" customHeight="true" outlineLevel="0" collapsed="false">
      <c r="A331" s="2" t="s">
        <v>385</v>
      </c>
      <c r="B331" s="2" t="s">
        <v>391</v>
      </c>
      <c r="C331" s="2" t="n">
        <v>1</v>
      </c>
      <c r="D331" s="2" t="s">
        <v>530</v>
      </c>
      <c r="E331" s="2" t="s">
        <v>35</v>
      </c>
      <c r="F331" s="2" t="n">
        <v>79</v>
      </c>
      <c r="G331" s="2" t="n">
        <v>11</v>
      </c>
    </row>
    <row r="332" customFormat="false" ht="16.5" hidden="false" customHeight="true" outlineLevel="0" collapsed="false">
      <c r="A332" s="2" t="s">
        <v>385</v>
      </c>
      <c r="B332" s="2" t="s">
        <v>391</v>
      </c>
      <c r="C332" s="2" t="n">
        <v>1</v>
      </c>
      <c r="D332" s="2" t="s">
        <v>530</v>
      </c>
      <c r="E332" s="2" t="s">
        <v>36</v>
      </c>
      <c r="F332" s="2" t="n">
        <v>79</v>
      </c>
      <c r="G332" s="2" t="n">
        <v>15</v>
      </c>
    </row>
    <row r="333" customFormat="false" ht="16.5" hidden="false" customHeight="true" outlineLevel="0" collapsed="false">
      <c r="A333" s="2" t="s">
        <v>385</v>
      </c>
      <c r="B333" s="2" t="s">
        <v>391</v>
      </c>
      <c r="C333" s="2" t="n">
        <v>1</v>
      </c>
      <c r="D333" s="2" t="s">
        <v>530</v>
      </c>
      <c r="E333" s="2" t="s">
        <v>37</v>
      </c>
      <c r="F333" s="2" t="n">
        <v>79</v>
      </c>
      <c r="G333" s="2" t="n">
        <v>19</v>
      </c>
    </row>
    <row r="334" customFormat="false" ht="16.5" hidden="false" customHeight="true" outlineLevel="0" collapsed="false">
      <c r="A334" s="2" t="s">
        <v>385</v>
      </c>
      <c r="B334" s="2" t="s">
        <v>391</v>
      </c>
      <c r="C334" s="2" t="n">
        <v>1</v>
      </c>
      <c r="D334" s="2" t="s">
        <v>530</v>
      </c>
      <c r="E334" s="2" t="s">
        <v>38</v>
      </c>
      <c r="F334" s="2" t="n">
        <v>79</v>
      </c>
      <c r="G334" s="2" t="n">
        <v>23</v>
      </c>
    </row>
    <row r="335" customFormat="false" ht="16.5" hidden="false" customHeight="true" outlineLevel="0" collapsed="false">
      <c r="A335" s="2" t="s">
        <v>385</v>
      </c>
      <c r="B335" s="2" t="s">
        <v>391</v>
      </c>
      <c r="C335" s="2" t="n">
        <v>1</v>
      </c>
      <c r="D335" s="2" t="s">
        <v>530</v>
      </c>
      <c r="E335" s="2" t="s">
        <v>39</v>
      </c>
      <c r="F335" s="2" t="n">
        <v>79</v>
      </c>
      <c r="G335" s="2" t="n">
        <v>27</v>
      </c>
    </row>
    <row r="336" customFormat="false" ht="16.5" hidden="false" customHeight="true" outlineLevel="0" collapsed="false">
      <c r="A336" s="2" t="s">
        <v>385</v>
      </c>
      <c r="B336" s="2" t="s">
        <v>391</v>
      </c>
      <c r="C336" s="2" t="n">
        <v>1</v>
      </c>
      <c r="D336" s="2" t="s">
        <v>530</v>
      </c>
      <c r="E336" s="2" t="s">
        <v>40</v>
      </c>
      <c r="F336" s="2" t="n">
        <v>79</v>
      </c>
      <c r="G336" s="2" t="n">
        <v>31</v>
      </c>
    </row>
    <row r="337" customFormat="false" ht="16.5" hidden="false" customHeight="true" outlineLevel="0" collapsed="false">
      <c r="A337" s="2" t="s">
        <v>385</v>
      </c>
      <c r="B337" s="2" t="s">
        <v>391</v>
      </c>
      <c r="C337" s="2" t="n">
        <v>1</v>
      </c>
      <c r="D337" s="2" t="s">
        <v>530</v>
      </c>
      <c r="E337" s="2" t="s">
        <v>41</v>
      </c>
      <c r="F337" s="2" t="n">
        <v>79</v>
      </c>
      <c r="G337" s="2" t="n">
        <v>35</v>
      </c>
    </row>
    <row r="338" customFormat="false" ht="16.5" hidden="false" customHeight="true" outlineLevel="0" collapsed="false">
      <c r="A338" s="2" t="s">
        <v>385</v>
      </c>
      <c r="B338" s="2" t="s">
        <v>391</v>
      </c>
      <c r="C338" s="2" t="n">
        <v>1</v>
      </c>
      <c r="D338" s="2" t="s">
        <v>530</v>
      </c>
      <c r="E338" s="2" t="s">
        <v>42</v>
      </c>
      <c r="F338" s="2" t="n">
        <v>79</v>
      </c>
      <c r="G338" s="2" t="n">
        <v>39</v>
      </c>
    </row>
    <row r="339" customFormat="false" ht="16.5" hidden="false" customHeight="true" outlineLevel="0" collapsed="false">
      <c r="A339" s="2" t="s">
        <v>385</v>
      </c>
      <c r="B339" s="2" t="s">
        <v>391</v>
      </c>
      <c r="C339" s="2" t="n">
        <v>1</v>
      </c>
      <c r="D339" s="2" t="s">
        <v>530</v>
      </c>
      <c r="E339" s="2" t="s">
        <v>43</v>
      </c>
      <c r="F339" s="2" t="n">
        <v>79</v>
      </c>
      <c r="G339" s="2" t="n">
        <v>43</v>
      </c>
    </row>
    <row r="340" customFormat="false" ht="16.5" hidden="false" customHeight="true" outlineLevel="0" collapsed="false">
      <c r="A340" s="2" t="s">
        <v>385</v>
      </c>
      <c r="B340" s="2" t="s">
        <v>391</v>
      </c>
      <c r="C340" s="2" t="n">
        <v>1</v>
      </c>
      <c r="D340" s="2" t="s">
        <v>530</v>
      </c>
      <c r="E340" s="2" t="s">
        <v>44</v>
      </c>
      <c r="F340" s="2" t="n">
        <v>79</v>
      </c>
      <c r="G340" s="2" t="n">
        <v>47</v>
      </c>
    </row>
    <row r="341" customFormat="false" ht="16.5" hidden="false" customHeight="true" outlineLevel="0" collapsed="false">
      <c r="A341" s="2" t="s">
        <v>385</v>
      </c>
      <c r="B341" s="2" t="s">
        <v>391</v>
      </c>
      <c r="C341" s="2" t="n">
        <v>1</v>
      </c>
      <c r="D341" s="2" t="s">
        <v>530</v>
      </c>
      <c r="E341" s="2" t="s">
        <v>48</v>
      </c>
      <c r="F341" s="2" t="n">
        <v>81</v>
      </c>
      <c r="G341" s="2" t="n">
        <v>16</v>
      </c>
    </row>
    <row r="342" customFormat="false" ht="16.5" hidden="false" customHeight="true" outlineLevel="0" collapsed="false">
      <c r="A342" s="2" t="s">
        <v>385</v>
      </c>
      <c r="B342" s="2" t="s">
        <v>391</v>
      </c>
      <c r="C342" s="2" t="n">
        <v>1</v>
      </c>
      <c r="D342" s="2" t="s">
        <v>530</v>
      </c>
      <c r="E342" s="2" t="s">
        <v>50</v>
      </c>
      <c r="F342" s="2" t="n">
        <v>81</v>
      </c>
      <c r="G342" s="2" t="n">
        <v>20</v>
      </c>
    </row>
    <row r="343" customFormat="false" ht="16.5" hidden="false" customHeight="true" outlineLevel="0" collapsed="false">
      <c r="A343" s="2" t="s">
        <v>385</v>
      </c>
      <c r="B343" s="2" t="s">
        <v>391</v>
      </c>
      <c r="C343" s="2" t="n">
        <v>1</v>
      </c>
      <c r="D343" s="2" t="s">
        <v>530</v>
      </c>
      <c r="E343" s="2" t="s">
        <v>45</v>
      </c>
      <c r="F343" s="2" t="n">
        <v>81</v>
      </c>
      <c r="G343" s="2" t="n">
        <v>38</v>
      </c>
    </row>
    <row r="344" customFormat="false" ht="16.5" hidden="false" customHeight="true" outlineLevel="0" collapsed="false">
      <c r="A344" s="2" t="s">
        <v>385</v>
      </c>
      <c r="B344" s="2" t="s">
        <v>391</v>
      </c>
      <c r="C344" s="2" t="n">
        <v>1</v>
      </c>
      <c r="D344" s="2" t="s">
        <v>530</v>
      </c>
      <c r="E344" s="2" t="s">
        <v>46</v>
      </c>
      <c r="F344" s="2" t="n">
        <v>81</v>
      </c>
      <c r="G344" s="2" t="n">
        <v>42</v>
      </c>
    </row>
    <row r="345" customFormat="false" ht="16.5" hidden="false" customHeight="true" outlineLevel="0" collapsed="false">
      <c r="A345" s="2" t="s">
        <v>385</v>
      </c>
      <c r="B345" s="2" t="s">
        <v>392</v>
      </c>
      <c r="C345" s="2" t="n">
        <v>1</v>
      </c>
      <c r="D345" s="2" t="s">
        <v>531</v>
      </c>
      <c r="E345" s="2" t="s">
        <v>0</v>
      </c>
      <c r="F345" s="2" t="n">
        <v>86</v>
      </c>
      <c r="G345" s="2" t="n">
        <v>6</v>
      </c>
    </row>
    <row r="346" customFormat="false" ht="16.5" hidden="false" customHeight="true" outlineLevel="0" collapsed="false">
      <c r="A346" s="2" t="s">
        <v>385</v>
      </c>
      <c r="B346" s="2" t="s">
        <v>392</v>
      </c>
      <c r="C346" s="2" t="n">
        <v>1</v>
      </c>
      <c r="D346" s="2" t="s">
        <v>531</v>
      </c>
      <c r="E346" s="2" t="s">
        <v>1</v>
      </c>
      <c r="F346" s="2" t="n">
        <v>86</v>
      </c>
      <c r="G346" s="2" t="n">
        <v>10</v>
      </c>
    </row>
    <row r="347" customFormat="false" ht="16.5" hidden="false" customHeight="true" outlineLevel="0" collapsed="false">
      <c r="A347" s="2" t="s">
        <v>385</v>
      </c>
      <c r="B347" s="2" t="s">
        <v>392</v>
      </c>
      <c r="C347" s="2" t="n">
        <v>1</v>
      </c>
      <c r="D347" s="2" t="s">
        <v>531</v>
      </c>
      <c r="E347" s="2" t="s">
        <v>2</v>
      </c>
      <c r="F347" s="2" t="n">
        <v>86</v>
      </c>
      <c r="G347" s="2" t="n">
        <v>14</v>
      </c>
    </row>
    <row r="348" customFormat="false" ht="16.5" hidden="false" customHeight="true" outlineLevel="0" collapsed="false">
      <c r="A348" s="2" t="s">
        <v>385</v>
      </c>
      <c r="B348" s="2" t="s">
        <v>392</v>
      </c>
      <c r="C348" s="2" t="n">
        <v>1</v>
      </c>
      <c r="D348" s="2" t="s">
        <v>531</v>
      </c>
      <c r="E348" s="2" t="s">
        <v>3</v>
      </c>
      <c r="F348" s="2" t="n">
        <v>86</v>
      </c>
      <c r="G348" s="2" t="n">
        <v>18</v>
      </c>
    </row>
    <row r="349" customFormat="false" ht="16.5" hidden="false" customHeight="true" outlineLevel="0" collapsed="false">
      <c r="A349" s="2" t="s">
        <v>385</v>
      </c>
      <c r="B349" s="2" t="s">
        <v>392</v>
      </c>
      <c r="C349" s="2" t="n">
        <v>1</v>
      </c>
      <c r="D349" s="2" t="s">
        <v>531</v>
      </c>
      <c r="E349" s="2" t="s">
        <v>4</v>
      </c>
      <c r="F349" s="2" t="n">
        <v>86</v>
      </c>
      <c r="G349" s="2" t="n">
        <v>22</v>
      </c>
    </row>
    <row r="350" customFormat="false" ht="16.5" hidden="false" customHeight="true" outlineLevel="0" collapsed="false">
      <c r="A350" s="2" t="s">
        <v>385</v>
      </c>
      <c r="B350" s="2" t="s">
        <v>392</v>
      </c>
      <c r="C350" s="2" t="n">
        <v>1</v>
      </c>
      <c r="D350" s="2" t="s">
        <v>531</v>
      </c>
      <c r="E350" s="2" t="s">
        <v>5</v>
      </c>
      <c r="F350" s="2" t="n">
        <v>86</v>
      </c>
      <c r="G350" s="2" t="n">
        <v>26</v>
      </c>
    </row>
    <row r="351" customFormat="false" ht="16.5" hidden="false" customHeight="true" outlineLevel="0" collapsed="false">
      <c r="A351" s="2" t="s">
        <v>385</v>
      </c>
      <c r="B351" s="2" t="s">
        <v>392</v>
      </c>
      <c r="C351" s="2" t="n">
        <v>1</v>
      </c>
      <c r="D351" s="2" t="s">
        <v>531</v>
      </c>
      <c r="E351" s="2" t="s">
        <v>6</v>
      </c>
      <c r="F351" s="2" t="n">
        <v>86</v>
      </c>
      <c r="G351" s="2" t="n">
        <v>30</v>
      </c>
    </row>
    <row r="352" customFormat="false" ht="16.5" hidden="false" customHeight="true" outlineLevel="0" collapsed="false">
      <c r="A352" s="2" t="s">
        <v>385</v>
      </c>
      <c r="B352" s="2" t="s">
        <v>392</v>
      </c>
      <c r="C352" s="2" t="n">
        <v>1</v>
      </c>
      <c r="D352" s="2" t="s">
        <v>531</v>
      </c>
      <c r="E352" s="2" t="s">
        <v>7</v>
      </c>
      <c r="F352" s="2" t="n">
        <v>86</v>
      </c>
      <c r="G352" s="2" t="n">
        <v>34</v>
      </c>
    </row>
    <row r="353" customFormat="false" ht="16.5" hidden="false" customHeight="true" outlineLevel="0" collapsed="false">
      <c r="A353" s="2" t="s">
        <v>385</v>
      </c>
      <c r="B353" s="2" t="s">
        <v>392</v>
      </c>
      <c r="C353" s="2" t="n">
        <v>1</v>
      </c>
      <c r="D353" s="2" t="s">
        <v>531</v>
      </c>
      <c r="E353" s="2" t="s">
        <v>8</v>
      </c>
      <c r="F353" s="2" t="n">
        <v>86</v>
      </c>
      <c r="G353" s="2" t="n">
        <v>38</v>
      </c>
    </row>
    <row r="354" customFormat="false" ht="16.5" hidden="false" customHeight="true" outlineLevel="0" collapsed="false">
      <c r="A354" s="2" t="s">
        <v>385</v>
      </c>
      <c r="B354" s="2" t="s">
        <v>392</v>
      </c>
      <c r="C354" s="2" t="n">
        <v>1</v>
      </c>
      <c r="D354" s="2" t="s">
        <v>531</v>
      </c>
      <c r="E354" s="2" t="s">
        <v>9</v>
      </c>
      <c r="F354" s="2" t="n">
        <v>86</v>
      </c>
      <c r="G354" s="2" t="n">
        <v>42</v>
      </c>
    </row>
    <row r="355" customFormat="false" ht="16.5" hidden="false" customHeight="true" outlineLevel="0" collapsed="false">
      <c r="A355" s="2" t="s">
        <v>385</v>
      </c>
      <c r="B355" s="2" t="s">
        <v>392</v>
      </c>
      <c r="C355" s="2" t="n">
        <v>1</v>
      </c>
      <c r="D355" s="2" t="s">
        <v>531</v>
      </c>
      <c r="E355" s="2" t="s">
        <v>10</v>
      </c>
      <c r="F355" s="2" t="n">
        <v>86</v>
      </c>
      <c r="G355" s="2" t="n">
        <v>46</v>
      </c>
    </row>
    <row r="356" customFormat="false" ht="16.5" hidden="false" customHeight="true" outlineLevel="0" collapsed="false">
      <c r="A356" s="2" t="s">
        <v>385</v>
      </c>
      <c r="B356" s="2" t="s">
        <v>392</v>
      </c>
      <c r="C356" s="2" t="n">
        <v>1</v>
      </c>
      <c r="D356" s="2" t="s">
        <v>531</v>
      </c>
      <c r="E356" s="2" t="s">
        <v>11</v>
      </c>
      <c r="F356" s="2" t="n">
        <v>86</v>
      </c>
      <c r="G356" s="2" t="n">
        <v>50</v>
      </c>
    </row>
    <row r="357" customFormat="false" ht="16.5" hidden="false" customHeight="true" outlineLevel="0" collapsed="false">
      <c r="A357" s="2" t="s">
        <v>385</v>
      </c>
      <c r="B357" s="2" t="s">
        <v>392</v>
      </c>
      <c r="C357" s="2" t="n">
        <v>1</v>
      </c>
      <c r="D357" s="2" t="s">
        <v>531</v>
      </c>
      <c r="E357" s="2" t="s">
        <v>12</v>
      </c>
      <c r="F357" s="2" t="n">
        <v>88</v>
      </c>
      <c r="G357" s="2" t="n">
        <v>8</v>
      </c>
    </row>
    <row r="358" customFormat="false" ht="16.5" hidden="false" customHeight="true" outlineLevel="0" collapsed="false">
      <c r="A358" s="2" t="s">
        <v>385</v>
      </c>
      <c r="B358" s="2" t="s">
        <v>392</v>
      </c>
      <c r="C358" s="2" t="n">
        <v>1</v>
      </c>
      <c r="D358" s="2" t="s">
        <v>531</v>
      </c>
      <c r="E358" s="2" t="s">
        <v>13</v>
      </c>
      <c r="F358" s="2" t="n">
        <v>88</v>
      </c>
      <c r="G358" s="2" t="n">
        <v>12</v>
      </c>
    </row>
    <row r="359" customFormat="false" ht="16.5" hidden="false" customHeight="true" outlineLevel="0" collapsed="false">
      <c r="A359" s="2" t="s">
        <v>385</v>
      </c>
      <c r="B359" s="2" t="s">
        <v>392</v>
      </c>
      <c r="C359" s="2" t="n">
        <v>1</v>
      </c>
      <c r="D359" s="2" t="s">
        <v>531</v>
      </c>
      <c r="E359" s="2" t="s">
        <v>14</v>
      </c>
      <c r="F359" s="2" t="n">
        <v>88</v>
      </c>
      <c r="G359" s="2" t="n">
        <v>16</v>
      </c>
    </row>
    <row r="360" customFormat="false" ht="16.5" hidden="false" customHeight="true" outlineLevel="0" collapsed="false">
      <c r="A360" s="2" t="s">
        <v>385</v>
      </c>
      <c r="B360" s="2" t="s">
        <v>392</v>
      </c>
      <c r="C360" s="2" t="n">
        <v>1</v>
      </c>
      <c r="D360" s="2" t="s">
        <v>531</v>
      </c>
      <c r="E360" s="2" t="s">
        <v>15</v>
      </c>
      <c r="F360" s="2" t="n">
        <v>88</v>
      </c>
      <c r="G360" s="2" t="n">
        <v>20</v>
      </c>
    </row>
    <row r="361" customFormat="false" ht="16.5" hidden="false" customHeight="true" outlineLevel="0" collapsed="false">
      <c r="A361" s="2" t="s">
        <v>385</v>
      </c>
      <c r="B361" s="2" t="s">
        <v>392</v>
      </c>
      <c r="C361" s="2" t="n">
        <v>1</v>
      </c>
      <c r="D361" s="2" t="s">
        <v>531</v>
      </c>
      <c r="E361" s="2" t="s">
        <v>16</v>
      </c>
      <c r="F361" s="2" t="n">
        <v>88</v>
      </c>
      <c r="G361" s="2" t="n">
        <v>24</v>
      </c>
    </row>
    <row r="362" customFormat="false" ht="16.5" hidden="false" customHeight="true" outlineLevel="0" collapsed="false">
      <c r="A362" s="2" t="s">
        <v>385</v>
      </c>
      <c r="B362" s="2" t="s">
        <v>392</v>
      </c>
      <c r="C362" s="2" t="n">
        <v>1</v>
      </c>
      <c r="D362" s="2" t="s">
        <v>531</v>
      </c>
      <c r="E362" s="2" t="s">
        <v>17</v>
      </c>
      <c r="F362" s="2" t="n">
        <v>88</v>
      </c>
      <c r="G362" s="2" t="n">
        <v>28</v>
      </c>
    </row>
    <row r="363" customFormat="false" ht="16.5" hidden="false" customHeight="true" outlineLevel="0" collapsed="false">
      <c r="A363" s="2" t="s">
        <v>385</v>
      </c>
      <c r="B363" s="2" t="s">
        <v>392</v>
      </c>
      <c r="C363" s="2" t="n">
        <v>1</v>
      </c>
      <c r="D363" s="2" t="s">
        <v>531</v>
      </c>
      <c r="E363" s="2" t="s">
        <v>18</v>
      </c>
      <c r="F363" s="2" t="n">
        <v>88</v>
      </c>
      <c r="G363" s="2" t="n">
        <v>32</v>
      </c>
    </row>
    <row r="364" customFormat="false" ht="16.5" hidden="false" customHeight="true" outlineLevel="0" collapsed="false">
      <c r="A364" s="2" t="s">
        <v>385</v>
      </c>
      <c r="B364" s="2" t="s">
        <v>392</v>
      </c>
      <c r="C364" s="2" t="n">
        <v>1</v>
      </c>
      <c r="D364" s="2" t="s">
        <v>531</v>
      </c>
      <c r="E364" s="2" t="s">
        <v>19</v>
      </c>
      <c r="F364" s="2" t="n">
        <v>88</v>
      </c>
      <c r="G364" s="2" t="n">
        <v>36</v>
      </c>
    </row>
    <row r="365" customFormat="false" ht="16.5" hidden="false" customHeight="true" outlineLevel="0" collapsed="false">
      <c r="A365" s="2" t="s">
        <v>385</v>
      </c>
      <c r="B365" s="2" t="s">
        <v>392</v>
      </c>
      <c r="C365" s="2" t="n">
        <v>1</v>
      </c>
      <c r="D365" s="2" t="s">
        <v>531</v>
      </c>
      <c r="E365" s="2" t="s">
        <v>20</v>
      </c>
      <c r="F365" s="2" t="n">
        <v>88</v>
      </c>
      <c r="G365" s="2" t="n">
        <v>40</v>
      </c>
    </row>
    <row r="366" customFormat="false" ht="16.5" hidden="false" customHeight="true" outlineLevel="0" collapsed="false">
      <c r="A366" s="2" t="s">
        <v>385</v>
      </c>
      <c r="B366" s="2" t="s">
        <v>392</v>
      </c>
      <c r="C366" s="2" t="n">
        <v>1</v>
      </c>
      <c r="D366" s="2" t="s">
        <v>531</v>
      </c>
      <c r="E366" s="2" t="s">
        <v>21</v>
      </c>
      <c r="F366" s="2" t="n">
        <v>88</v>
      </c>
      <c r="G366" s="2" t="n">
        <v>44</v>
      </c>
    </row>
    <row r="367" customFormat="false" ht="16.5" hidden="false" customHeight="true" outlineLevel="0" collapsed="false">
      <c r="A367" s="2" t="s">
        <v>385</v>
      </c>
      <c r="B367" s="2" t="s">
        <v>392</v>
      </c>
      <c r="C367" s="2" t="n">
        <v>1</v>
      </c>
      <c r="D367" s="2" t="s">
        <v>531</v>
      </c>
      <c r="E367" s="2" t="s">
        <v>22</v>
      </c>
      <c r="F367" s="2" t="n">
        <v>88</v>
      </c>
      <c r="G367" s="2" t="n">
        <v>48</v>
      </c>
    </row>
    <row r="368" customFormat="false" ht="16.5" hidden="false" customHeight="true" outlineLevel="0" collapsed="false">
      <c r="A368" s="2" t="s">
        <v>385</v>
      </c>
      <c r="B368" s="2" t="s">
        <v>392</v>
      </c>
      <c r="C368" s="2" t="n">
        <v>1</v>
      </c>
      <c r="D368" s="2" t="s">
        <v>531</v>
      </c>
      <c r="E368" s="2" t="s">
        <v>23</v>
      </c>
      <c r="F368" s="2" t="n">
        <v>88</v>
      </c>
      <c r="G368" s="2" t="n">
        <v>52</v>
      </c>
    </row>
    <row r="369" customFormat="false" ht="16.5" hidden="false" customHeight="true" outlineLevel="0" collapsed="false">
      <c r="A369" s="2" t="s">
        <v>385</v>
      </c>
      <c r="B369" s="2" t="s">
        <v>392</v>
      </c>
      <c r="C369" s="2" t="n">
        <v>1</v>
      </c>
      <c r="D369" s="2" t="s">
        <v>531</v>
      </c>
      <c r="E369" s="2" t="s">
        <v>24</v>
      </c>
      <c r="F369" s="2" t="n">
        <v>90</v>
      </c>
      <c r="G369" s="2" t="n">
        <v>9</v>
      </c>
    </row>
    <row r="370" customFormat="false" ht="16.5" hidden="false" customHeight="true" outlineLevel="0" collapsed="false">
      <c r="A370" s="2" t="s">
        <v>385</v>
      </c>
      <c r="B370" s="2" t="s">
        <v>392</v>
      </c>
      <c r="C370" s="2" t="n">
        <v>1</v>
      </c>
      <c r="D370" s="2" t="s">
        <v>531</v>
      </c>
      <c r="E370" s="2" t="s">
        <v>25</v>
      </c>
      <c r="F370" s="2" t="n">
        <v>90</v>
      </c>
      <c r="G370" s="2" t="n">
        <v>13</v>
      </c>
    </row>
    <row r="371" customFormat="false" ht="16.5" hidden="false" customHeight="true" outlineLevel="0" collapsed="false">
      <c r="A371" s="2" t="s">
        <v>385</v>
      </c>
      <c r="B371" s="2" t="s">
        <v>392</v>
      </c>
      <c r="C371" s="2" t="n">
        <v>1</v>
      </c>
      <c r="D371" s="2" t="s">
        <v>531</v>
      </c>
      <c r="E371" s="2" t="s">
        <v>26</v>
      </c>
      <c r="F371" s="2" t="n">
        <v>90</v>
      </c>
      <c r="G371" s="2" t="n">
        <v>17</v>
      </c>
    </row>
    <row r="372" customFormat="false" ht="16.5" hidden="false" customHeight="true" outlineLevel="0" collapsed="false">
      <c r="A372" s="2" t="s">
        <v>385</v>
      </c>
      <c r="B372" s="2" t="s">
        <v>392</v>
      </c>
      <c r="C372" s="2" t="n">
        <v>1</v>
      </c>
      <c r="D372" s="2" t="s">
        <v>531</v>
      </c>
      <c r="E372" s="2" t="s">
        <v>27</v>
      </c>
      <c r="F372" s="2" t="n">
        <v>90</v>
      </c>
      <c r="G372" s="2" t="n">
        <v>21</v>
      </c>
    </row>
    <row r="373" customFormat="false" ht="16.5" hidden="false" customHeight="true" outlineLevel="0" collapsed="false">
      <c r="A373" s="2" t="s">
        <v>385</v>
      </c>
      <c r="B373" s="2" t="s">
        <v>392</v>
      </c>
      <c r="C373" s="2" t="n">
        <v>1</v>
      </c>
      <c r="D373" s="2" t="s">
        <v>531</v>
      </c>
      <c r="E373" s="2" t="s">
        <v>28</v>
      </c>
      <c r="F373" s="2" t="n">
        <v>90</v>
      </c>
      <c r="G373" s="2" t="n">
        <v>25</v>
      </c>
    </row>
    <row r="374" customFormat="false" ht="16.5" hidden="false" customHeight="true" outlineLevel="0" collapsed="false">
      <c r="A374" s="2" t="s">
        <v>385</v>
      </c>
      <c r="B374" s="2" t="s">
        <v>392</v>
      </c>
      <c r="C374" s="2" t="n">
        <v>1</v>
      </c>
      <c r="D374" s="2" t="s">
        <v>531</v>
      </c>
      <c r="E374" s="2" t="s">
        <v>29</v>
      </c>
      <c r="F374" s="2" t="n">
        <v>90</v>
      </c>
      <c r="G374" s="2" t="n">
        <v>29</v>
      </c>
    </row>
    <row r="375" customFormat="false" ht="16.5" hidden="false" customHeight="true" outlineLevel="0" collapsed="false">
      <c r="A375" s="2" t="s">
        <v>385</v>
      </c>
      <c r="B375" s="2" t="s">
        <v>392</v>
      </c>
      <c r="C375" s="2" t="n">
        <v>1</v>
      </c>
      <c r="D375" s="2" t="s">
        <v>531</v>
      </c>
      <c r="E375" s="2" t="s">
        <v>30</v>
      </c>
      <c r="F375" s="2" t="n">
        <v>90</v>
      </c>
      <c r="G375" s="2" t="n">
        <v>33</v>
      </c>
    </row>
    <row r="376" customFormat="false" ht="16.5" hidden="false" customHeight="true" outlineLevel="0" collapsed="false">
      <c r="A376" s="2" t="s">
        <v>385</v>
      </c>
      <c r="B376" s="2" t="s">
        <v>392</v>
      </c>
      <c r="C376" s="2" t="n">
        <v>1</v>
      </c>
      <c r="D376" s="2" t="s">
        <v>531</v>
      </c>
      <c r="E376" s="2" t="s">
        <v>31</v>
      </c>
      <c r="F376" s="2" t="n">
        <v>90</v>
      </c>
      <c r="G376" s="2" t="n">
        <v>37</v>
      </c>
    </row>
    <row r="377" customFormat="false" ht="16.5" hidden="false" customHeight="true" outlineLevel="0" collapsed="false">
      <c r="A377" s="2" t="s">
        <v>385</v>
      </c>
      <c r="B377" s="2" t="s">
        <v>392</v>
      </c>
      <c r="C377" s="2" t="n">
        <v>1</v>
      </c>
      <c r="D377" s="2" t="s">
        <v>531</v>
      </c>
      <c r="E377" s="2" t="s">
        <v>32</v>
      </c>
      <c r="F377" s="2" t="n">
        <v>90</v>
      </c>
      <c r="G377" s="2" t="n">
        <v>41</v>
      </c>
    </row>
    <row r="378" customFormat="false" ht="16.5" hidden="false" customHeight="true" outlineLevel="0" collapsed="false">
      <c r="A378" s="2" t="s">
        <v>385</v>
      </c>
      <c r="B378" s="2" t="s">
        <v>392</v>
      </c>
      <c r="C378" s="2" t="n">
        <v>1</v>
      </c>
      <c r="D378" s="2" t="s">
        <v>531</v>
      </c>
      <c r="E378" s="2" t="s">
        <v>33</v>
      </c>
      <c r="F378" s="2" t="n">
        <v>90</v>
      </c>
      <c r="G378" s="2" t="n">
        <v>45</v>
      </c>
    </row>
    <row r="379" customFormat="false" ht="16.5" hidden="false" customHeight="true" outlineLevel="0" collapsed="false">
      <c r="A379" s="2" t="s">
        <v>385</v>
      </c>
      <c r="B379" s="2" t="s">
        <v>392</v>
      </c>
      <c r="C379" s="2" t="n">
        <v>1</v>
      </c>
      <c r="D379" s="2" t="s">
        <v>531</v>
      </c>
      <c r="E379" s="2" t="s">
        <v>34</v>
      </c>
      <c r="F379" s="2" t="n">
        <v>90</v>
      </c>
      <c r="G379" s="2" t="n">
        <v>49</v>
      </c>
    </row>
    <row r="380" customFormat="false" ht="16.5" hidden="false" customHeight="true" outlineLevel="0" collapsed="false">
      <c r="A380" s="2" t="s">
        <v>385</v>
      </c>
      <c r="B380" s="2" t="s">
        <v>392</v>
      </c>
      <c r="C380" s="2" t="n">
        <v>1</v>
      </c>
      <c r="D380" s="2" t="s">
        <v>531</v>
      </c>
      <c r="E380" s="2" t="s">
        <v>35</v>
      </c>
      <c r="F380" s="2" t="n">
        <v>92</v>
      </c>
      <c r="G380" s="2" t="n">
        <v>11</v>
      </c>
    </row>
    <row r="381" customFormat="false" ht="16.5" hidden="false" customHeight="true" outlineLevel="0" collapsed="false">
      <c r="A381" s="2" t="s">
        <v>385</v>
      </c>
      <c r="B381" s="2" t="s">
        <v>392</v>
      </c>
      <c r="C381" s="2" t="n">
        <v>1</v>
      </c>
      <c r="D381" s="2" t="s">
        <v>531</v>
      </c>
      <c r="E381" s="2" t="s">
        <v>36</v>
      </c>
      <c r="F381" s="2" t="n">
        <v>92</v>
      </c>
      <c r="G381" s="2" t="n">
        <v>15</v>
      </c>
    </row>
    <row r="382" customFormat="false" ht="16.5" hidden="false" customHeight="true" outlineLevel="0" collapsed="false">
      <c r="A382" s="2" t="s">
        <v>385</v>
      </c>
      <c r="B382" s="2" t="s">
        <v>392</v>
      </c>
      <c r="C382" s="2" t="n">
        <v>1</v>
      </c>
      <c r="D382" s="2" t="s">
        <v>531</v>
      </c>
      <c r="E382" s="2" t="s">
        <v>37</v>
      </c>
      <c r="F382" s="2" t="n">
        <v>92</v>
      </c>
      <c r="G382" s="2" t="n">
        <v>19</v>
      </c>
    </row>
    <row r="383" customFormat="false" ht="16.5" hidden="false" customHeight="true" outlineLevel="0" collapsed="false">
      <c r="A383" s="2" t="s">
        <v>385</v>
      </c>
      <c r="B383" s="2" t="s">
        <v>392</v>
      </c>
      <c r="C383" s="2" t="n">
        <v>1</v>
      </c>
      <c r="D383" s="2" t="s">
        <v>531</v>
      </c>
      <c r="E383" s="2" t="s">
        <v>38</v>
      </c>
      <c r="F383" s="2" t="n">
        <v>92</v>
      </c>
      <c r="G383" s="2" t="n">
        <v>23</v>
      </c>
    </row>
    <row r="384" customFormat="false" ht="16.5" hidden="false" customHeight="true" outlineLevel="0" collapsed="false">
      <c r="A384" s="2" t="s">
        <v>385</v>
      </c>
      <c r="B384" s="2" t="s">
        <v>392</v>
      </c>
      <c r="C384" s="2" t="n">
        <v>1</v>
      </c>
      <c r="D384" s="2" t="s">
        <v>531</v>
      </c>
      <c r="E384" s="2" t="s">
        <v>39</v>
      </c>
      <c r="F384" s="2" t="n">
        <v>92</v>
      </c>
      <c r="G384" s="2" t="n">
        <v>27</v>
      </c>
    </row>
    <row r="385" customFormat="false" ht="16.5" hidden="false" customHeight="true" outlineLevel="0" collapsed="false">
      <c r="A385" s="2" t="s">
        <v>385</v>
      </c>
      <c r="B385" s="2" t="s">
        <v>392</v>
      </c>
      <c r="C385" s="2" t="n">
        <v>1</v>
      </c>
      <c r="D385" s="2" t="s">
        <v>531</v>
      </c>
      <c r="E385" s="2" t="s">
        <v>40</v>
      </c>
      <c r="F385" s="2" t="n">
        <v>92</v>
      </c>
      <c r="G385" s="2" t="n">
        <v>31</v>
      </c>
    </row>
    <row r="386" customFormat="false" ht="16.5" hidden="false" customHeight="true" outlineLevel="0" collapsed="false">
      <c r="A386" s="2" t="s">
        <v>385</v>
      </c>
      <c r="B386" s="2" t="s">
        <v>392</v>
      </c>
      <c r="C386" s="2" t="n">
        <v>1</v>
      </c>
      <c r="D386" s="2" t="s">
        <v>531</v>
      </c>
      <c r="E386" s="2" t="s">
        <v>41</v>
      </c>
      <c r="F386" s="2" t="n">
        <v>92</v>
      </c>
      <c r="G386" s="2" t="n">
        <v>35</v>
      </c>
    </row>
    <row r="387" customFormat="false" ht="16.5" hidden="false" customHeight="true" outlineLevel="0" collapsed="false">
      <c r="A387" s="2" t="s">
        <v>385</v>
      </c>
      <c r="B387" s="2" t="s">
        <v>392</v>
      </c>
      <c r="C387" s="2" t="n">
        <v>1</v>
      </c>
      <c r="D387" s="2" t="s">
        <v>531</v>
      </c>
      <c r="E387" s="2" t="s">
        <v>42</v>
      </c>
      <c r="F387" s="2" t="n">
        <v>92</v>
      </c>
      <c r="G387" s="2" t="n">
        <v>39</v>
      </c>
    </row>
    <row r="388" customFormat="false" ht="16.5" hidden="false" customHeight="true" outlineLevel="0" collapsed="false">
      <c r="A388" s="2" t="s">
        <v>385</v>
      </c>
      <c r="B388" s="2" t="s">
        <v>392</v>
      </c>
      <c r="C388" s="2" t="n">
        <v>1</v>
      </c>
      <c r="D388" s="2" t="s">
        <v>531</v>
      </c>
      <c r="E388" s="2" t="s">
        <v>43</v>
      </c>
      <c r="F388" s="2" t="n">
        <v>92</v>
      </c>
      <c r="G388" s="2" t="n">
        <v>43</v>
      </c>
    </row>
    <row r="389" customFormat="false" ht="16.5" hidden="false" customHeight="true" outlineLevel="0" collapsed="false">
      <c r="A389" s="2" t="s">
        <v>385</v>
      </c>
      <c r="B389" s="2" t="s">
        <v>392</v>
      </c>
      <c r="C389" s="2" t="n">
        <v>1</v>
      </c>
      <c r="D389" s="2" t="s">
        <v>531</v>
      </c>
      <c r="E389" s="2" t="s">
        <v>44</v>
      </c>
      <c r="F389" s="2" t="n">
        <v>92</v>
      </c>
      <c r="G389" s="2" t="n">
        <v>47</v>
      </c>
    </row>
    <row r="390" customFormat="false" ht="16.5" hidden="false" customHeight="true" outlineLevel="0" collapsed="false">
      <c r="A390" s="2" t="s">
        <v>385</v>
      </c>
      <c r="B390" s="2" t="s">
        <v>392</v>
      </c>
      <c r="C390" s="2" t="n">
        <v>1</v>
      </c>
      <c r="D390" s="2" t="s">
        <v>531</v>
      </c>
      <c r="E390" s="2" t="s">
        <v>48</v>
      </c>
      <c r="F390" s="2" t="n">
        <v>94</v>
      </c>
      <c r="G390" s="2" t="n">
        <v>16</v>
      </c>
    </row>
    <row r="391" customFormat="false" ht="16.5" hidden="false" customHeight="true" outlineLevel="0" collapsed="false">
      <c r="A391" s="2" t="s">
        <v>385</v>
      </c>
      <c r="B391" s="2" t="s">
        <v>392</v>
      </c>
      <c r="C391" s="2" t="n">
        <v>1</v>
      </c>
      <c r="D391" s="2" t="s">
        <v>531</v>
      </c>
      <c r="E391" s="2" t="s">
        <v>50</v>
      </c>
      <c r="F391" s="2" t="n">
        <v>94</v>
      </c>
      <c r="G391" s="2" t="n">
        <v>20</v>
      </c>
    </row>
    <row r="392" customFormat="false" ht="16.5" hidden="false" customHeight="true" outlineLevel="0" collapsed="false">
      <c r="A392" s="2" t="s">
        <v>385</v>
      </c>
      <c r="B392" s="2" t="s">
        <v>392</v>
      </c>
      <c r="C392" s="2" t="n">
        <v>1</v>
      </c>
      <c r="D392" s="2" t="s">
        <v>531</v>
      </c>
      <c r="E392" s="2" t="s">
        <v>45</v>
      </c>
      <c r="F392" s="2" t="n">
        <v>94</v>
      </c>
      <c r="G392" s="2" t="n">
        <v>38</v>
      </c>
    </row>
    <row r="393" customFormat="false" ht="16.5" hidden="false" customHeight="true" outlineLevel="0" collapsed="false">
      <c r="A393" s="2" t="s">
        <v>385</v>
      </c>
      <c r="B393" s="2" t="s">
        <v>392</v>
      </c>
      <c r="C393" s="2" t="n">
        <v>1</v>
      </c>
      <c r="D393" s="2" t="s">
        <v>531</v>
      </c>
      <c r="E393" s="2" t="s">
        <v>46</v>
      </c>
      <c r="F393" s="2" t="n">
        <v>94</v>
      </c>
      <c r="G393" s="2" t="n">
        <v>42</v>
      </c>
    </row>
    <row r="394" customFormat="false" ht="16.5" hidden="false" customHeight="true" outlineLevel="0" collapsed="false">
      <c r="A394" s="2" t="s">
        <v>385</v>
      </c>
      <c r="B394" s="2" t="s">
        <v>393</v>
      </c>
      <c r="C394" s="2" t="n">
        <v>1</v>
      </c>
      <c r="D394" s="2" t="s">
        <v>532</v>
      </c>
      <c r="E394" s="2" t="s">
        <v>0</v>
      </c>
      <c r="F394" s="2" t="n">
        <v>99</v>
      </c>
      <c r="G394" s="2" t="n">
        <v>6</v>
      </c>
    </row>
    <row r="395" customFormat="false" ht="16.5" hidden="false" customHeight="true" outlineLevel="0" collapsed="false">
      <c r="A395" s="2" t="s">
        <v>385</v>
      </c>
      <c r="B395" s="2" t="s">
        <v>393</v>
      </c>
      <c r="C395" s="2" t="n">
        <v>1</v>
      </c>
      <c r="D395" s="2" t="s">
        <v>532</v>
      </c>
      <c r="E395" s="2" t="s">
        <v>1</v>
      </c>
      <c r="F395" s="2" t="n">
        <v>99</v>
      </c>
      <c r="G395" s="2" t="n">
        <v>10</v>
      </c>
    </row>
    <row r="396" customFormat="false" ht="16.5" hidden="false" customHeight="true" outlineLevel="0" collapsed="false">
      <c r="A396" s="2" t="s">
        <v>385</v>
      </c>
      <c r="B396" s="2" t="s">
        <v>393</v>
      </c>
      <c r="C396" s="2" t="n">
        <v>1</v>
      </c>
      <c r="D396" s="2" t="s">
        <v>532</v>
      </c>
      <c r="E396" s="2" t="s">
        <v>2</v>
      </c>
      <c r="F396" s="2" t="n">
        <v>99</v>
      </c>
      <c r="G396" s="2" t="n">
        <v>14</v>
      </c>
    </row>
    <row r="397" customFormat="false" ht="16.5" hidden="false" customHeight="true" outlineLevel="0" collapsed="false">
      <c r="A397" s="2" t="s">
        <v>385</v>
      </c>
      <c r="B397" s="2" t="s">
        <v>393</v>
      </c>
      <c r="C397" s="2" t="n">
        <v>1</v>
      </c>
      <c r="D397" s="2" t="s">
        <v>532</v>
      </c>
      <c r="E397" s="2" t="s">
        <v>3</v>
      </c>
      <c r="F397" s="2" t="n">
        <v>99</v>
      </c>
      <c r="G397" s="2" t="n">
        <v>18</v>
      </c>
    </row>
    <row r="398" customFormat="false" ht="16.5" hidden="false" customHeight="true" outlineLevel="0" collapsed="false">
      <c r="A398" s="2" t="s">
        <v>385</v>
      </c>
      <c r="B398" s="2" t="s">
        <v>393</v>
      </c>
      <c r="C398" s="2" t="n">
        <v>1</v>
      </c>
      <c r="D398" s="2" t="s">
        <v>532</v>
      </c>
      <c r="E398" s="2" t="s">
        <v>4</v>
      </c>
      <c r="F398" s="2" t="n">
        <v>99</v>
      </c>
      <c r="G398" s="2" t="n">
        <v>22</v>
      </c>
    </row>
    <row r="399" customFormat="false" ht="16.5" hidden="false" customHeight="true" outlineLevel="0" collapsed="false">
      <c r="A399" s="2" t="s">
        <v>385</v>
      </c>
      <c r="B399" s="2" t="s">
        <v>393</v>
      </c>
      <c r="C399" s="2" t="n">
        <v>1</v>
      </c>
      <c r="D399" s="2" t="s">
        <v>532</v>
      </c>
      <c r="E399" s="2" t="s">
        <v>5</v>
      </c>
      <c r="F399" s="2" t="n">
        <v>99</v>
      </c>
      <c r="G399" s="2" t="n">
        <v>26</v>
      </c>
    </row>
    <row r="400" customFormat="false" ht="16.5" hidden="false" customHeight="true" outlineLevel="0" collapsed="false">
      <c r="A400" s="2" t="s">
        <v>385</v>
      </c>
      <c r="B400" s="2" t="s">
        <v>393</v>
      </c>
      <c r="C400" s="2" t="n">
        <v>1</v>
      </c>
      <c r="D400" s="2" t="s">
        <v>532</v>
      </c>
      <c r="E400" s="2" t="s">
        <v>6</v>
      </c>
      <c r="F400" s="2" t="n">
        <v>99</v>
      </c>
      <c r="G400" s="2" t="n">
        <v>30</v>
      </c>
    </row>
    <row r="401" customFormat="false" ht="16.5" hidden="false" customHeight="true" outlineLevel="0" collapsed="false">
      <c r="A401" s="2" t="s">
        <v>385</v>
      </c>
      <c r="B401" s="2" t="s">
        <v>393</v>
      </c>
      <c r="C401" s="2" t="n">
        <v>1</v>
      </c>
      <c r="D401" s="2" t="s">
        <v>532</v>
      </c>
      <c r="E401" s="2" t="s">
        <v>7</v>
      </c>
      <c r="F401" s="2" t="n">
        <v>99</v>
      </c>
      <c r="G401" s="2" t="n">
        <v>34</v>
      </c>
    </row>
    <row r="402" customFormat="false" ht="16.5" hidden="false" customHeight="true" outlineLevel="0" collapsed="false">
      <c r="A402" s="2" t="s">
        <v>385</v>
      </c>
      <c r="B402" s="2" t="s">
        <v>393</v>
      </c>
      <c r="C402" s="2" t="n">
        <v>1</v>
      </c>
      <c r="D402" s="2" t="s">
        <v>532</v>
      </c>
      <c r="E402" s="2" t="s">
        <v>8</v>
      </c>
      <c r="F402" s="2" t="n">
        <v>99</v>
      </c>
      <c r="G402" s="2" t="n">
        <v>38</v>
      </c>
    </row>
    <row r="403" customFormat="false" ht="16.5" hidden="false" customHeight="true" outlineLevel="0" collapsed="false">
      <c r="A403" s="2" t="s">
        <v>385</v>
      </c>
      <c r="B403" s="2" t="s">
        <v>393</v>
      </c>
      <c r="C403" s="2" t="n">
        <v>1</v>
      </c>
      <c r="D403" s="2" t="s">
        <v>532</v>
      </c>
      <c r="E403" s="2" t="s">
        <v>9</v>
      </c>
      <c r="F403" s="2" t="n">
        <v>99</v>
      </c>
      <c r="G403" s="2" t="n">
        <v>42</v>
      </c>
    </row>
    <row r="404" customFormat="false" ht="16.5" hidden="false" customHeight="true" outlineLevel="0" collapsed="false">
      <c r="A404" s="2" t="s">
        <v>385</v>
      </c>
      <c r="B404" s="2" t="s">
        <v>393</v>
      </c>
      <c r="C404" s="2" t="n">
        <v>1</v>
      </c>
      <c r="D404" s="2" t="s">
        <v>532</v>
      </c>
      <c r="E404" s="2" t="s">
        <v>10</v>
      </c>
      <c r="F404" s="2" t="n">
        <v>99</v>
      </c>
      <c r="G404" s="2" t="n">
        <v>46</v>
      </c>
    </row>
    <row r="405" customFormat="false" ht="16.5" hidden="false" customHeight="true" outlineLevel="0" collapsed="false">
      <c r="A405" s="2" t="s">
        <v>385</v>
      </c>
      <c r="B405" s="2" t="s">
        <v>393</v>
      </c>
      <c r="C405" s="2" t="n">
        <v>1</v>
      </c>
      <c r="D405" s="2" t="s">
        <v>532</v>
      </c>
      <c r="E405" s="2" t="s">
        <v>11</v>
      </c>
      <c r="F405" s="2" t="n">
        <v>99</v>
      </c>
      <c r="G405" s="2" t="n">
        <v>50</v>
      </c>
    </row>
    <row r="406" customFormat="false" ht="16.5" hidden="false" customHeight="true" outlineLevel="0" collapsed="false">
      <c r="A406" s="2" t="s">
        <v>385</v>
      </c>
      <c r="B406" s="2" t="s">
        <v>393</v>
      </c>
      <c r="C406" s="2" t="n">
        <v>1</v>
      </c>
      <c r="D406" s="2" t="s">
        <v>532</v>
      </c>
      <c r="E406" s="2" t="s">
        <v>12</v>
      </c>
      <c r="F406" s="2" t="n">
        <v>101</v>
      </c>
      <c r="G406" s="2" t="n">
        <v>8</v>
      </c>
    </row>
    <row r="407" customFormat="false" ht="16.5" hidden="false" customHeight="true" outlineLevel="0" collapsed="false">
      <c r="A407" s="2" t="s">
        <v>385</v>
      </c>
      <c r="B407" s="2" t="s">
        <v>393</v>
      </c>
      <c r="C407" s="2" t="n">
        <v>1</v>
      </c>
      <c r="D407" s="2" t="s">
        <v>532</v>
      </c>
      <c r="E407" s="2" t="s">
        <v>13</v>
      </c>
      <c r="F407" s="2" t="n">
        <v>101</v>
      </c>
      <c r="G407" s="2" t="n">
        <v>12</v>
      </c>
    </row>
    <row r="408" customFormat="false" ht="16.5" hidden="false" customHeight="true" outlineLevel="0" collapsed="false">
      <c r="A408" s="2" t="s">
        <v>385</v>
      </c>
      <c r="B408" s="2" t="s">
        <v>393</v>
      </c>
      <c r="C408" s="2" t="n">
        <v>1</v>
      </c>
      <c r="D408" s="2" t="s">
        <v>532</v>
      </c>
      <c r="E408" s="2" t="s">
        <v>14</v>
      </c>
      <c r="F408" s="2" t="n">
        <v>101</v>
      </c>
      <c r="G408" s="2" t="n">
        <v>16</v>
      </c>
    </row>
    <row r="409" customFormat="false" ht="16.5" hidden="false" customHeight="true" outlineLevel="0" collapsed="false">
      <c r="A409" s="2" t="s">
        <v>385</v>
      </c>
      <c r="B409" s="2" t="s">
        <v>393</v>
      </c>
      <c r="C409" s="2" t="n">
        <v>1</v>
      </c>
      <c r="D409" s="2" t="s">
        <v>532</v>
      </c>
      <c r="E409" s="2" t="s">
        <v>15</v>
      </c>
      <c r="F409" s="2" t="n">
        <v>101</v>
      </c>
      <c r="G409" s="2" t="n">
        <v>20</v>
      </c>
    </row>
    <row r="410" customFormat="false" ht="16.5" hidden="false" customHeight="true" outlineLevel="0" collapsed="false">
      <c r="A410" s="2" t="s">
        <v>385</v>
      </c>
      <c r="B410" s="2" t="s">
        <v>393</v>
      </c>
      <c r="C410" s="2" t="n">
        <v>1</v>
      </c>
      <c r="D410" s="2" t="s">
        <v>532</v>
      </c>
      <c r="E410" s="2" t="s">
        <v>16</v>
      </c>
      <c r="F410" s="2" t="n">
        <v>101</v>
      </c>
      <c r="G410" s="2" t="n">
        <v>24</v>
      </c>
    </row>
    <row r="411" customFormat="false" ht="16.5" hidden="false" customHeight="true" outlineLevel="0" collapsed="false">
      <c r="A411" s="2" t="s">
        <v>385</v>
      </c>
      <c r="B411" s="2" t="s">
        <v>393</v>
      </c>
      <c r="C411" s="2" t="n">
        <v>1</v>
      </c>
      <c r="D411" s="2" t="s">
        <v>532</v>
      </c>
      <c r="E411" s="2" t="s">
        <v>17</v>
      </c>
      <c r="F411" s="2" t="n">
        <v>101</v>
      </c>
      <c r="G411" s="2" t="n">
        <v>28</v>
      </c>
    </row>
    <row r="412" customFormat="false" ht="16.5" hidden="false" customHeight="true" outlineLevel="0" collapsed="false">
      <c r="A412" s="2" t="s">
        <v>385</v>
      </c>
      <c r="B412" s="2" t="s">
        <v>393</v>
      </c>
      <c r="C412" s="2" t="n">
        <v>1</v>
      </c>
      <c r="D412" s="2" t="s">
        <v>532</v>
      </c>
      <c r="E412" s="2" t="s">
        <v>18</v>
      </c>
      <c r="F412" s="2" t="n">
        <v>101</v>
      </c>
      <c r="G412" s="2" t="n">
        <v>32</v>
      </c>
    </row>
    <row r="413" customFormat="false" ht="16.5" hidden="false" customHeight="true" outlineLevel="0" collapsed="false">
      <c r="A413" s="2" t="s">
        <v>385</v>
      </c>
      <c r="B413" s="2" t="s">
        <v>393</v>
      </c>
      <c r="C413" s="2" t="n">
        <v>1</v>
      </c>
      <c r="D413" s="2" t="s">
        <v>532</v>
      </c>
      <c r="E413" s="2" t="s">
        <v>19</v>
      </c>
      <c r="F413" s="2" t="n">
        <v>101</v>
      </c>
      <c r="G413" s="2" t="n">
        <v>36</v>
      </c>
    </row>
    <row r="414" customFormat="false" ht="16.5" hidden="false" customHeight="true" outlineLevel="0" collapsed="false">
      <c r="A414" s="2" t="s">
        <v>385</v>
      </c>
      <c r="B414" s="2" t="s">
        <v>393</v>
      </c>
      <c r="C414" s="2" t="n">
        <v>1</v>
      </c>
      <c r="D414" s="2" t="s">
        <v>532</v>
      </c>
      <c r="E414" s="2" t="s">
        <v>20</v>
      </c>
      <c r="F414" s="2" t="n">
        <v>101</v>
      </c>
      <c r="G414" s="2" t="n">
        <v>40</v>
      </c>
    </row>
    <row r="415" customFormat="false" ht="16.5" hidden="false" customHeight="true" outlineLevel="0" collapsed="false">
      <c r="A415" s="2" t="s">
        <v>385</v>
      </c>
      <c r="B415" s="2" t="s">
        <v>393</v>
      </c>
      <c r="C415" s="2" t="n">
        <v>1</v>
      </c>
      <c r="D415" s="2" t="s">
        <v>532</v>
      </c>
      <c r="E415" s="2" t="s">
        <v>21</v>
      </c>
      <c r="F415" s="2" t="n">
        <v>101</v>
      </c>
      <c r="G415" s="2" t="n">
        <v>44</v>
      </c>
    </row>
    <row r="416" customFormat="false" ht="16.5" hidden="false" customHeight="true" outlineLevel="0" collapsed="false">
      <c r="A416" s="2" t="s">
        <v>385</v>
      </c>
      <c r="B416" s="2" t="s">
        <v>393</v>
      </c>
      <c r="C416" s="2" t="n">
        <v>1</v>
      </c>
      <c r="D416" s="2" t="s">
        <v>532</v>
      </c>
      <c r="E416" s="2" t="s">
        <v>22</v>
      </c>
      <c r="F416" s="2" t="n">
        <v>101</v>
      </c>
      <c r="G416" s="2" t="n">
        <v>48</v>
      </c>
    </row>
    <row r="417" customFormat="false" ht="16.5" hidden="false" customHeight="true" outlineLevel="0" collapsed="false">
      <c r="A417" s="2" t="s">
        <v>385</v>
      </c>
      <c r="B417" s="2" t="s">
        <v>393</v>
      </c>
      <c r="C417" s="2" t="n">
        <v>1</v>
      </c>
      <c r="D417" s="2" t="s">
        <v>532</v>
      </c>
      <c r="E417" s="2" t="s">
        <v>23</v>
      </c>
      <c r="F417" s="2" t="n">
        <v>101</v>
      </c>
      <c r="G417" s="2" t="n">
        <v>52</v>
      </c>
    </row>
    <row r="418" customFormat="false" ht="16.5" hidden="false" customHeight="true" outlineLevel="0" collapsed="false">
      <c r="A418" s="2" t="s">
        <v>385</v>
      </c>
      <c r="B418" s="2" t="s">
        <v>393</v>
      </c>
      <c r="C418" s="2" t="n">
        <v>1</v>
      </c>
      <c r="D418" s="2" t="s">
        <v>532</v>
      </c>
      <c r="E418" s="2" t="s">
        <v>24</v>
      </c>
      <c r="F418" s="2" t="n">
        <v>103</v>
      </c>
      <c r="G418" s="2" t="n">
        <v>9</v>
      </c>
    </row>
    <row r="419" customFormat="false" ht="16.5" hidden="false" customHeight="true" outlineLevel="0" collapsed="false">
      <c r="A419" s="2" t="s">
        <v>385</v>
      </c>
      <c r="B419" s="2" t="s">
        <v>393</v>
      </c>
      <c r="C419" s="2" t="n">
        <v>1</v>
      </c>
      <c r="D419" s="2" t="s">
        <v>532</v>
      </c>
      <c r="E419" s="2" t="s">
        <v>25</v>
      </c>
      <c r="F419" s="2" t="n">
        <v>103</v>
      </c>
      <c r="G419" s="2" t="n">
        <v>13</v>
      </c>
    </row>
    <row r="420" customFormat="false" ht="16.5" hidden="false" customHeight="true" outlineLevel="0" collapsed="false">
      <c r="A420" s="2" t="s">
        <v>385</v>
      </c>
      <c r="B420" s="2" t="s">
        <v>393</v>
      </c>
      <c r="C420" s="2" t="n">
        <v>1</v>
      </c>
      <c r="D420" s="2" t="s">
        <v>532</v>
      </c>
      <c r="E420" s="2" t="s">
        <v>26</v>
      </c>
      <c r="F420" s="2" t="n">
        <v>103</v>
      </c>
      <c r="G420" s="2" t="n">
        <v>17</v>
      </c>
    </row>
    <row r="421" customFormat="false" ht="16.5" hidden="false" customHeight="true" outlineLevel="0" collapsed="false">
      <c r="A421" s="2" t="s">
        <v>385</v>
      </c>
      <c r="B421" s="2" t="s">
        <v>393</v>
      </c>
      <c r="C421" s="2" t="n">
        <v>1</v>
      </c>
      <c r="D421" s="2" t="s">
        <v>532</v>
      </c>
      <c r="E421" s="2" t="s">
        <v>27</v>
      </c>
      <c r="F421" s="2" t="n">
        <v>103</v>
      </c>
      <c r="G421" s="2" t="n">
        <v>21</v>
      </c>
    </row>
    <row r="422" customFormat="false" ht="16.5" hidden="false" customHeight="true" outlineLevel="0" collapsed="false">
      <c r="A422" s="2" t="s">
        <v>385</v>
      </c>
      <c r="B422" s="2" t="s">
        <v>393</v>
      </c>
      <c r="C422" s="2" t="n">
        <v>1</v>
      </c>
      <c r="D422" s="2" t="s">
        <v>532</v>
      </c>
      <c r="E422" s="2" t="s">
        <v>28</v>
      </c>
      <c r="F422" s="2" t="n">
        <v>103</v>
      </c>
      <c r="G422" s="2" t="n">
        <v>25</v>
      </c>
    </row>
    <row r="423" customFormat="false" ht="16.5" hidden="false" customHeight="true" outlineLevel="0" collapsed="false">
      <c r="A423" s="2" t="s">
        <v>385</v>
      </c>
      <c r="B423" s="2" t="s">
        <v>393</v>
      </c>
      <c r="C423" s="2" t="n">
        <v>1</v>
      </c>
      <c r="D423" s="2" t="s">
        <v>532</v>
      </c>
      <c r="E423" s="2" t="s">
        <v>29</v>
      </c>
      <c r="F423" s="2" t="n">
        <v>103</v>
      </c>
      <c r="G423" s="2" t="n">
        <v>29</v>
      </c>
    </row>
    <row r="424" customFormat="false" ht="16.5" hidden="false" customHeight="true" outlineLevel="0" collapsed="false">
      <c r="A424" s="2" t="s">
        <v>385</v>
      </c>
      <c r="B424" s="2" t="s">
        <v>393</v>
      </c>
      <c r="C424" s="2" t="n">
        <v>1</v>
      </c>
      <c r="D424" s="2" t="s">
        <v>532</v>
      </c>
      <c r="E424" s="2" t="s">
        <v>30</v>
      </c>
      <c r="F424" s="2" t="n">
        <v>103</v>
      </c>
      <c r="G424" s="2" t="n">
        <v>33</v>
      </c>
    </row>
    <row r="425" customFormat="false" ht="16.5" hidden="false" customHeight="true" outlineLevel="0" collapsed="false">
      <c r="A425" s="2" t="s">
        <v>385</v>
      </c>
      <c r="B425" s="2" t="s">
        <v>393</v>
      </c>
      <c r="C425" s="2" t="n">
        <v>1</v>
      </c>
      <c r="D425" s="2" t="s">
        <v>532</v>
      </c>
      <c r="E425" s="2" t="s">
        <v>31</v>
      </c>
      <c r="F425" s="2" t="n">
        <v>103</v>
      </c>
      <c r="G425" s="2" t="n">
        <v>37</v>
      </c>
    </row>
    <row r="426" customFormat="false" ht="16.5" hidden="false" customHeight="true" outlineLevel="0" collapsed="false">
      <c r="A426" s="2" t="s">
        <v>385</v>
      </c>
      <c r="B426" s="2" t="s">
        <v>393</v>
      </c>
      <c r="C426" s="2" t="n">
        <v>1</v>
      </c>
      <c r="D426" s="2" t="s">
        <v>532</v>
      </c>
      <c r="E426" s="2" t="s">
        <v>32</v>
      </c>
      <c r="F426" s="2" t="n">
        <v>103</v>
      </c>
      <c r="G426" s="2" t="n">
        <v>41</v>
      </c>
    </row>
    <row r="427" customFormat="false" ht="16.5" hidden="false" customHeight="true" outlineLevel="0" collapsed="false">
      <c r="A427" s="2" t="s">
        <v>385</v>
      </c>
      <c r="B427" s="2" t="s">
        <v>393</v>
      </c>
      <c r="C427" s="2" t="n">
        <v>1</v>
      </c>
      <c r="D427" s="2" t="s">
        <v>532</v>
      </c>
      <c r="E427" s="2" t="s">
        <v>33</v>
      </c>
      <c r="F427" s="2" t="n">
        <v>103</v>
      </c>
      <c r="G427" s="2" t="n">
        <v>45</v>
      </c>
    </row>
    <row r="428" customFormat="false" ht="16.5" hidden="false" customHeight="true" outlineLevel="0" collapsed="false">
      <c r="A428" s="2" t="s">
        <v>385</v>
      </c>
      <c r="B428" s="2" t="s">
        <v>393</v>
      </c>
      <c r="C428" s="2" t="n">
        <v>1</v>
      </c>
      <c r="D428" s="2" t="s">
        <v>532</v>
      </c>
      <c r="E428" s="2" t="s">
        <v>34</v>
      </c>
      <c r="F428" s="2" t="n">
        <v>103</v>
      </c>
      <c r="G428" s="2" t="n">
        <v>49</v>
      </c>
    </row>
    <row r="429" customFormat="false" ht="16.5" hidden="false" customHeight="true" outlineLevel="0" collapsed="false">
      <c r="A429" s="2" t="s">
        <v>385</v>
      </c>
      <c r="B429" s="2" t="s">
        <v>393</v>
      </c>
      <c r="C429" s="2" t="n">
        <v>1</v>
      </c>
      <c r="D429" s="2" t="s">
        <v>532</v>
      </c>
      <c r="E429" s="2" t="s">
        <v>35</v>
      </c>
      <c r="F429" s="2" t="n">
        <v>105</v>
      </c>
      <c r="G429" s="2" t="n">
        <v>11</v>
      </c>
    </row>
    <row r="430" customFormat="false" ht="16.5" hidden="false" customHeight="true" outlineLevel="0" collapsed="false">
      <c r="A430" s="2" t="s">
        <v>385</v>
      </c>
      <c r="B430" s="2" t="s">
        <v>393</v>
      </c>
      <c r="C430" s="2" t="n">
        <v>1</v>
      </c>
      <c r="D430" s="2" t="s">
        <v>532</v>
      </c>
      <c r="E430" s="2" t="s">
        <v>36</v>
      </c>
      <c r="F430" s="2" t="n">
        <v>105</v>
      </c>
      <c r="G430" s="2" t="n">
        <v>15</v>
      </c>
    </row>
    <row r="431" customFormat="false" ht="16.5" hidden="false" customHeight="true" outlineLevel="0" collapsed="false">
      <c r="A431" s="2" t="s">
        <v>385</v>
      </c>
      <c r="B431" s="2" t="s">
        <v>393</v>
      </c>
      <c r="C431" s="2" t="n">
        <v>1</v>
      </c>
      <c r="D431" s="2" t="s">
        <v>532</v>
      </c>
      <c r="E431" s="2" t="s">
        <v>37</v>
      </c>
      <c r="F431" s="2" t="n">
        <v>105</v>
      </c>
      <c r="G431" s="2" t="n">
        <v>19</v>
      </c>
    </row>
    <row r="432" customFormat="false" ht="16.5" hidden="false" customHeight="true" outlineLevel="0" collapsed="false">
      <c r="A432" s="2" t="s">
        <v>385</v>
      </c>
      <c r="B432" s="2" t="s">
        <v>393</v>
      </c>
      <c r="C432" s="2" t="n">
        <v>1</v>
      </c>
      <c r="D432" s="2" t="s">
        <v>532</v>
      </c>
      <c r="E432" s="2" t="s">
        <v>38</v>
      </c>
      <c r="F432" s="2" t="n">
        <v>105</v>
      </c>
      <c r="G432" s="2" t="n">
        <v>23</v>
      </c>
    </row>
    <row r="433" customFormat="false" ht="16.5" hidden="false" customHeight="true" outlineLevel="0" collapsed="false">
      <c r="A433" s="2" t="s">
        <v>385</v>
      </c>
      <c r="B433" s="2" t="s">
        <v>393</v>
      </c>
      <c r="C433" s="2" t="n">
        <v>1</v>
      </c>
      <c r="D433" s="2" t="s">
        <v>532</v>
      </c>
      <c r="E433" s="2" t="s">
        <v>39</v>
      </c>
      <c r="F433" s="2" t="n">
        <v>105</v>
      </c>
      <c r="G433" s="2" t="n">
        <v>27</v>
      </c>
    </row>
    <row r="434" customFormat="false" ht="16.5" hidden="false" customHeight="true" outlineLevel="0" collapsed="false">
      <c r="A434" s="2" t="s">
        <v>385</v>
      </c>
      <c r="B434" s="2" t="s">
        <v>393</v>
      </c>
      <c r="C434" s="2" t="n">
        <v>1</v>
      </c>
      <c r="D434" s="2" t="s">
        <v>532</v>
      </c>
      <c r="E434" s="2" t="s">
        <v>40</v>
      </c>
      <c r="F434" s="2" t="n">
        <v>105</v>
      </c>
      <c r="G434" s="2" t="n">
        <v>31</v>
      </c>
    </row>
    <row r="435" customFormat="false" ht="16.5" hidden="false" customHeight="true" outlineLevel="0" collapsed="false">
      <c r="A435" s="2" t="s">
        <v>385</v>
      </c>
      <c r="B435" s="2" t="s">
        <v>393</v>
      </c>
      <c r="C435" s="2" t="n">
        <v>1</v>
      </c>
      <c r="D435" s="2" t="s">
        <v>532</v>
      </c>
      <c r="E435" s="2" t="s">
        <v>41</v>
      </c>
      <c r="F435" s="2" t="n">
        <v>105</v>
      </c>
      <c r="G435" s="2" t="n">
        <v>35</v>
      </c>
    </row>
    <row r="436" customFormat="false" ht="16.5" hidden="false" customHeight="true" outlineLevel="0" collapsed="false">
      <c r="A436" s="2" t="s">
        <v>385</v>
      </c>
      <c r="B436" s="2" t="s">
        <v>393</v>
      </c>
      <c r="C436" s="2" t="n">
        <v>1</v>
      </c>
      <c r="D436" s="2" t="s">
        <v>532</v>
      </c>
      <c r="E436" s="2" t="s">
        <v>42</v>
      </c>
      <c r="F436" s="2" t="n">
        <v>105</v>
      </c>
      <c r="G436" s="2" t="n">
        <v>39</v>
      </c>
    </row>
    <row r="437" customFormat="false" ht="16.5" hidden="false" customHeight="true" outlineLevel="0" collapsed="false">
      <c r="A437" s="2" t="s">
        <v>385</v>
      </c>
      <c r="B437" s="2" t="s">
        <v>393</v>
      </c>
      <c r="C437" s="2" t="n">
        <v>1</v>
      </c>
      <c r="D437" s="2" t="s">
        <v>532</v>
      </c>
      <c r="E437" s="2" t="s">
        <v>43</v>
      </c>
      <c r="F437" s="2" t="n">
        <v>105</v>
      </c>
      <c r="G437" s="2" t="n">
        <v>43</v>
      </c>
    </row>
    <row r="438" customFormat="false" ht="16.5" hidden="false" customHeight="true" outlineLevel="0" collapsed="false">
      <c r="A438" s="2" t="s">
        <v>385</v>
      </c>
      <c r="B438" s="2" t="s">
        <v>393</v>
      </c>
      <c r="C438" s="2" t="n">
        <v>1</v>
      </c>
      <c r="D438" s="2" t="s">
        <v>532</v>
      </c>
      <c r="E438" s="2" t="s">
        <v>44</v>
      </c>
      <c r="F438" s="2" t="n">
        <v>105</v>
      </c>
      <c r="G438" s="2" t="n">
        <v>47</v>
      </c>
    </row>
    <row r="439" customFormat="false" ht="16.5" hidden="false" customHeight="true" outlineLevel="0" collapsed="false">
      <c r="A439" s="2" t="s">
        <v>385</v>
      </c>
      <c r="B439" s="2" t="s">
        <v>393</v>
      </c>
      <c r="C439" s="2" t="n">
        <v>1</v>
      </c>
      <c r="D439" s="2" t="s">
        <v>532</v>
      </c>
      <c r="E439" s="2" t="s">
        <v>48</v>
      </c>
      <c r="F439" s="2" t="n">
        <v>107</v>
      </c>
      <c r="G439" s="2" t="n">
        <v>16</v>
      </c>
    </row>
    <row r="440" customFormat="false" ht="16.5" hidden="false" customHeight="true" outlineLevel="0" collapsed="false">
      <c r="A440" s="2" t="s">
        <v>385</v>
      </c>
      <c r="B440" s="2" t="s">
        <v>393</v>
      </c>
      <c r="C440" s="2" t="n">
        <v>1</v>
      </c>
      <c r="D440" s="2" t="s">
        <v>532</v>
      </c>
      <c r="E440" s="2" t="s">
        <v>50</v>
      </c>
      <c r="F440" s="2" t="n">
        <v>107</v>
      </c>
      <c r="G440" s="2" t="n">
        <v>20</v>
      </c>
    </row>
    <row r="441" customFormat="false" ht="16.5" hidden="false" customHeight="true" outlineLevel="0" collapsed="false">
      <c r="A441" s="2" t="s">
        <v>385</v>
      </c>
      <c r="B441" s="2" t="s">
        <v>393</v>
      </c>
      <c r="C441" s="2" t="n">
        <v>1</v>
      </c>
      <c r="D441" s="2" t="s">
        <v>532</v>
      </c>
      <c r="E441" s="2" t="s">
        <v>45</v>
      </c>
      <c r="F441" s="2" t="n">
        <v>107</v>
      </c>
      <c r="G441" s="2" t="n">
        <v>38</v>
      </c>
    </row>
    <row r="442" customFormat="false" ht="16.5" hidden="false" customHeight="true" outlineLevel="0" collapsed="false">
      <c r="A442" s="2" t="s">
        <v>385</v>
      </c>
      <c r="B442" s="2" t="s">
        <v>393</v>
      </c>
      <c r="C442" s="2" t="n">
        <v>1</v>
      </c>
      <c r="D442" s="2" t="s">
        <v>532</v>
      </c>
      <c r="E442" s="2" t="s">
        <v>46</v>
      </c>
      <c r="F442" s="2" t="n">
        <v>107</v>
      </c>
      <c r="G442" s="2" t="n">
        <v>42</v>
      </c>
    </row>
    <row r="443" customFormat="false" ht="16.5" hidden="false" customHeight="true" outlineLevel="0" collapsed="false">
      <c r="A443" s="2" t="s">
        <v>385</v>
      </c>
      <c r="B443" s="2" t="s">
        <v>394</v>
      </c>
      <c r="C443" s="2" t="n">
        <v>1</v>
      </c>
      <c r="D443" s="2" t="s">
        <v>533</v>
      </c>
      <c r="E443" s="2" t="s">
        <v>0</v>
      </c>
      <c r="F443" s="2" t="n">
        <v>112</v>
      </c>
      <c r="G443" s="2" t="n">
        <v>6</v>
      </c>
    </row>
    <row r="444" customFormat="false" ht="16.5" hidden="false" customHeight="true" outlineLevel="0" collapsed="false">
      <c r="A444" s="2" t="s">
        <v>385</v>
      </c>
      <c r="B444" s="2" t="s">
        <v>394</v>
      </c>
      <c r="C444" s="2" t="n">
        <v>1</v>
      </c>
      <c r="D444" s="2" t="s">
        <v>533</v>
      </c>
      <c r="E444" s="2" t="s">
        <v>1</v>
      </c>
      <c r="F444" s="2" t="n">
        <v>112</v>
      </c>
      <c r="G444" s="2" t="n">
        <v>10</v>
      </c>
    </row>
    <row r="445" customFormat="false" ht="16.5" hidden="false" customHeight="true" outlineLevel="0" collapsed="false">
      <c r="A445" s="2" t="s">
        <v>385</v>
      </c>
      <c r="B445" s="2" t="s">
        <v>394</v>
      </c>
      <c r="C445" s="2" t="n">
        <v>1</v>
      </c>
      <c r="D445" s="2" t="s">
        <v>533</v>
      </c>
      <c r="E445" s="2" t="s">
        <v>2</v>
      </c>
      <c r="F445" s="2" t="n">
        <v>112</v>
      </c>
      <c r="G445" s="2" t="n">
        <v>14</v>
      </c>
    </row>
    <row r="446" customFormat="false" ht="16.5" hidden="false" customHeight="true" outlineLevel="0" collapsed="false">
      <c r="A446" s="2" t="s">
        <v>385</v>
      </c>
      <c r="B446" s="2" t="s">
        <v>394</v>
      </c>
      <c r="C446" s="2" t="n">
        <v>1</v>
      </c>
      <c r="D446" s="2" t="s">
        <v>533</v>
      </c>
      <c r="E446" s="2" t="s">
        <v>3</v>
      </c>
      <c r="F446" s="2" t="n">
        <v>112</v>
      </c>
      <c r="G446" s="2" t="n">
        <v>18</v>
      </c>
    </row>
    <row r="447" customFormat="false" ht="16.5" hidden="false" customHeight="true" outlineLevel="0" collapsed="false">
      <c r="A447" s="2" t="s">
        <v>385</v>
      </c>
      <c r="B447" s="2" t="s">
        <v>394</v>
      </c>
      <c r="C447" s="2" t="n">
        <v>1</v>
      </c>
      <c r="D447" s="2" t="s">
        <v>533</v>
      </c>
      <c r="E447" s="2" t="s">
        <v>4</v>
      </c>
      <c r="F447" s="2" t="n">
        <v>112</v>
      </c>
      <c r="G447" s="2" t="n">
        <v>22</v>
      </c>
    </row>
    <row r="448" customFormat="false" ht="16.5" hidden="false" customHeight="true" outlineLevel="0" collapsed="false">
      <c r="A448" s="2" t="s">
        <v>385</v>
      </c>
      <c r="B448" s="2" t="s">
        <v>394</v>
      </c>
      <c r="C448" s="2" t="n">
        <v>1</v>
      </c>
      <c r="D448" s="2" t="s">
        <v>533</v>
      </c>
      <c r="E448" s="2" t="s">
        <v>5</v>
      </c>
      <c r="F448" s="2" t="n">
        <v>112</v>
      </c>
      <c r="G448" s="2" t="n">
        <v>26</v>
      </c>
    </row>
    <row r="449" customFormat="false" ht="16.5" hidden="false" customHeight="true" outlineLevel="0" collapsed="false">
      <c r="A449" s="2" t="s">
        <v>385</v>
      </c>
      <c r="B449" s="2" t="s">
        <v>394</v>
      </c>
      <c r="C449" s="2" t="n">
        <v>1</v>
      </c>
      <c r="D449" s="2" t="s">
        <v>533</v>
      </c>
      <c r="E449" s="2" t="s">
        <v>6</v>
      </c>
      <c r="F449" s="2" t="n">
        <v>112</v>
      </c>
      <c r="G449" s="2" t="n">
        <v>30</v>
      </c>
    </row>
    <row r="450" customFormat="false" ht="16.5" hidden="false" customHeight="true" outlineLevel="0" collapsed="false">
      <c r="A450" s="2" t="s">
        <v>385</v>
      </c>
      <c r="B450" s="2" t="s">
        <v>394</v>
      </c>
      <c r="C450" s="2" t="n">
        <v>1</v>
      </c>
      <c r="D450" s="2" t="s">
        <v>533</v>
      </c>
      <c r="E450" s="2" t="s">
        <v>7</v>
      </c>
      <c r="F450" s="2" t="n">
        <v>112</v>
      </c>
      <c r="G450" s="2" t="n">
        <v>34</v>
      </c>
    </row>
    <row r="451" customFormat="false" ht="16.5" hidden="false" customHeight="true" outlineLevel="0" collapsed="false">
      <c r="A451" s="2" t="s">
        <v>385</v>
      </c>
      <c r="B451" s="2" t="s">
        <v>394</v>
      </c>
      <c r="C451" s="2" t="n">
        <v>1</v>
      </c>
      <c r="D451" s="2" t="s">
        <v>533</v>
      </c>
      <c r="E451" s="2" t="s">
        <v>8</v>
      </c>
      <c r="F451" s="2" t="n">
        <v>112</v>
      </c>
      <c r="G451" s="2" t="n">
        <v>38</v>
      </c>
    </row>
    <row r="452" customFormat="false" ht="16.5" hidden="false" customHeight="true" outlineLevel="0" collapsed="false">
      <c r="A452" s="2" t="s">
        <v>385</v>
      </c>
      <c r="B452" s="2" t="s">
        <v>394</v>
      </c>
      <c r="C452" s="2" t="n">
        <v>1</v>
      </c>
      <c r="D452" s="2" t="s">
        <v>533</v>
      </c>
      <c r="E452" s="2" t="s">
        <v>9</v>
      </c>
      <c r="F452" s="2" t="n">
        <v>112</v>
      </c>
      <c r="G452" s="2" t="n">
        <v>42</v>
      </c>
    </row>
    <row r="453" customFormat="false" ht="16.5" hidden="false" customHeight="true" outlineLevel="0" collapsed="false">
      <c r="A453" s="2" t="s">
        <v>385</v>
      </c>
      <c r="B453" s="2" t="s">
        <v>394</v>
      </c>
      <c r="C453" s="2" t="n">
        <v>1</v>
      </c>
      <c r="D453" s="2" t="s">
        <v>533</v>
      </c>
      <c r="E453" s="2" t="s">
        <v>10</v>
      </c>
      <c r="F453" s="2" t="n">
        <v>112</v>
      </c>
      <c r="G453" s="2" t="n">
        <v>46</v>
      </c>
    </row>
    <row r="454" customFormat="false" ht="16.5" hidden="false" customHeight="true" outlineLevel="0" collapsed="false">
      <c r="A454" s="2" t="s">
        <v>385</v>
      </c>
      <c r="B454" s="2" t="s">
        <v>394</v>
      </c>
      <c r="C454" s="2" t="n">
        <v>1</v>
      </c>
      <c r="D454" s="2" t="s">
        <v>533</v>
      </c>
      <c r="E454" s="2" t="s">
        <v>11</v>
      </c>
      <c r="F454" s="2" t="n">
        <v>112</v>
      </c>
      <c r="G454" s="2" t="n">
        <v>50</v>
      </c>
    </row>
    <row r="455" customFormat="false" ht="16.5" hidden="false" customHeight="true" outlineLevel="0" collapsed="false">
      <c r="A455" s="2" t="s">
        <v>385</v>
      </c>
      <c r="B455" s="2" t="s">
        <v>394</v>
      </c>
      <c r="C455" s="2" t="n">
        <v>1</v>
      </c>
      <c r="D455" s="2" t="s">
        <v>533</v>
      </c>
      <c r="E455" s="2" t="s">
        <v>12</v>
      </c>
      <c r="F455" s="2" t="n">
        <v>114</v>
      </c>
      <c r="G455" s="2" t="n">
        <v>8</v>
      </c>
    </row>
    <row r="456" customFormat="false" ht="16.5" hidden="false" customHeight="true" outlineLevel="0" collapsed="false">
      <c r="A456" s="2" t="s">
        <v>385</v>
      </c>
      <c r="B456" s="2" t="s">
        <v>394</v>
      </c>
      <c r="C456" s="2" t="n">
        <v>1</v>
      </c>
      <c r="D456" s="2" t="s">
        <v>533</v>
      </c>
      <c r="E456" s="2" t="s">
        <v>13</v>
      </c>
      <c r="F456" s="2" t="n">
        <v>114</v>
      </c>
      <c r="G456" s="2" t="n">
        <v>12</v>
      </c>
    </row>
    <row r="457" customFormat="false" ht="16.5" hidden="false" customHeight="true" outlineLevel="0" collapsed="false">
      <c r="A457" s="2" t="s">
        <v>385</v>
      </c>
      <c r="B457" s="2" t="s">
        <v>394</v>
      </c>
      <c r="C457" s="2" t="n">
        <v>1</v>
      </c>
      <c r="D457" s="2" t="s">
        <v>533</v>
      </c>
      <c r="E457" s="2" t="s">
        <v>14</v>
      </c>
      <c r="F457" s="2" t="n">
        <v>114</v>
      </c>
      <c r="G457" s="2" t="n">
        <v>16</v>
      </c>
    </row>
    <row r="458" customFormat="false" ht="16.5" hidden="false" customHeight="true" outlineLevel="0" collapsed="false">
      <c r="A458" s="2" t="s">
        <v>385</v>
      </c>
      <c r="B458" s="2" t="s">
        <v>394</v>
      </c>
      <c r="C458" s="2" t="n">
        <v>1</v>
      </c>
      <c r="D458" s="2" t="s">
        <v>533</v>
      </c>
      <c r="E458" s="2" t="s">
        <v>15</v>
      </c>
      <c r="F458" s="2" t="n">
        <v>114</v>
      </c>
      <c r="G458" s="2" t="n">
        <v>20</v>
      </c>
    </row>
    <row r="459" customFormat="false" ht="16.5" hidden="false" customHeight="true" outlineLevel="0" collapsed="false">
      <c r="A459" s="2" t="s">
        <v>385</v>
      </c>
      <c r="B459" s="2" t="s">
        <v>394</v>
      </c>
      <c r="C459" s="2" t="n">
        <v>1</v>
      </c>
      <c r="D459" s="2" t="s">
        <v>533</v>
      </c>
      <c r="E459" s="2" t="s">
        <v>16</v>
      </c>
      <c r="F459" s="2" t="n">
        <v>114</v>
      </c>
      <c r="G459" s="2" t="n">
        <v>24</v>
      </c>
    </row>
    <row r="460" customFormat="false" ht="16.5" hidden="false" customHeight="true" outlineLevel="0" collapsed="false">
      <c r="A460" s="2" t="s">
        <v>385</v>
      </c>
      <c r="B460" s="2" t="s">
        <v>394</v>
      </c>
      <c r="C460" s="2" t="n">
        <v>1</v>
      </c>
      <c r="D460" s="2" t="s">
        <v>533</v>
      </c>
      <c r="E460" s="2" t="s">
        <v>17</v>
      </c>
      <c r="F460" s="2" t="n">
        <v>114</v>
      </c>
      <c r="G460" s="2" t="n">
        <v>28</v>
      </c>
    </row>
    <row r="461" customFormat="false" ht="16.5" hidden="false" customHeight="true" outlineLevel="0" collapsed="false">
      <c r="A461" s="2" t="s">
        <v>385</v>
      </c>
      <c r="B461" s="2" t="s">
        <v>394</v>
      </c>
      <c r="C461" s="2" t="n">
        <v>1</v>
      </c>
      <c r="D461" s="2" t="s">
        <v>533</v>
      </c>
      <c r="E461" s="2" t="s">
        <v>18</v>
      </c>
      <c r="F461" s="2" t="n">
        <v>114</v>
      </c>
      <c r="G461" s="2" t="n">
        <v>32</v>
      </c>
    </row>
    <row r="462" customFormat="false" ht="16.5" hidden="false" customHeight="true" outlineLevel="0" collapsed="false">
      <c r="A462" s="2" t="s">
        <v>385</v>
      </c>
      <c r="B462" s="2" t="s">
        <v>394</v>
      </c>
      <c r="C462" s="2" t="n">
        <v>1</v>
      </c>
      <c r="D462" s="2" t="s">
        <v>533</v>
      </c>
      <c r="E462" s="2" t="s">
        <v>19</v>
      </c>
      <c r="F462" s="2" t="n">
        <v>114</v>
      </c>
      <c r="G462" s="2" t="n">
        <v>36</v>
      </c>
    </row>
    <row r="463" customFormat="false" ht="16.5" hidden="false" customHeight="true" outlineLevel="0" collapsed="false">
      <c r="A463" s="2" t="s">
        <v>385</v>
      </c>
      <c r="B463" s="2" t="s">
        <v>394</v>
      </c>
      <c r="C463" s="2" t="n">
        <v>1</v>
      </c>
      <c r="D463" s="2" t="s">
        <v>533</v>
      </c>
      <c r="E463" s="2" t="s">
        <v>20</v>
      </c>
      <c r="F463" s="2" t="n">
        <v>114</v>
      </c>
      <c r="G463" s="2" t="n">
        <v>40</v>
      </c>
    </row>
    <row r="464" customFormat="false" ht="16.5" hidden="false" customHeight="true" outlineLevel="0" collapsed="false">
      <c r="A464" s="2" t="s">
        <v>385</v>
      </c>
      <c r="B464" s="2" t="s">
        <v>394</v>
      </c>
      <c r="C464" s="2" t="n">
        <v>1</v>
      </c>
      <c r="D464" s="2" t="s">
        <v>533</v>
      </c>
      <c r="E464" s="2" t="s">
        <v>21</v>
      </c>
      <c r="F464" s="2" t="n">
        <v>114</v>
      </c>
      <c r="G464" s="2" t="n">
        <v>44</v>
      </c>
    </row>
    <row r="465" customFormat="false" ht="16.5" hidden="false" customHeight="true" outlineLevel="0" collapsed="false">
      <c r="A465" s="2" t="s">
        <v>385</v>
      </c>
      <c r="B465" s="2" t="s">
        <v>394</v>
      </c>
      <c r="C465" s="2" t="n">
        <v>1</v>
      </c>
      <c r="D465" s="2" t="s">
        <v>533</v>
      </c>
      <c r="E465" s="2" t="s">
        <v>22</v>
      </c>
      <c r="F465" s="2" t="n">
        <v>114</v>
      </c>
      <c r="G465" s="2" t="n">
        <v>48</v>
      </c>
    </row>
    <row r="466" customFormat="false" ht="16.5" hidden="false" customHeight="true" outlineLevel="0" collapsed="false">
      <c r="A466" s="2" t="s">
        <v>385</v>
      </c>
      <c r="B466" s="2" t="s">
        <v>394</v>
      </c>
      <c r="C466" s="2" t="n">
        <v>1</v>
      </c>
      <c r="D466" s="2" t="s">
        <v>533</v>
      </c>
      <c r="E466" s="2" t="s">
        <v>23</v>
      </c>
      <c r="F466" s="2" t="n">
        <v>114</v>
      </c>
      <c r="G466" s="2" t="n">
        <v>52</v>
      </c>
    </row>
    <row r="467" customFormat="false" ht="16.5" hidden="false" customHeight="true" outlineLevel="0" collapsed="false">
      <c r="A467" s="2" t="s">
        <v>385</v>
      </c>
      <c r="B467" s="2" t="s">
        <v>394</v>
      </c>
      <c r="C467" s="2" t="n">
        <v>1</v>
      </c>
      <c r="D467" s="2" t="s">
        <v>533</v>
      </c>
      <c r="E467" s="2" t="s">
        <v>24</v>
      </c>
      <c r="F467" s="2" t="n">
        <v>116</v>
      </c>
      <c r="G467" s="2" t="n">
        <v>9</v>
      </c>
    </row>
    <row r="468" customFormat="false" ht="16.5" hidden="false" customHeight="true" outlineLevel="0" collapsed="false">
      <c r="A468" s="2" t="s">
        <v>385</v>
      </c>
      <c r="B468" s="2" t="s">
        <v>394</v>
      </c>
      <c r="C468" s="2" t="n">
        <v>1</v>
      </c>
      <c r="D468" s="2" t="s">
        <v>533</v>
      </c>
      <c r="E468" s="2" t="s">
        <v>25</v>
      </c>
      <c r="F468" s="2" t="n">
        <v>116</v>
      </c>
      <c r="G468" s="2" t="n">
        <v>13</v>
      </c>
    </row>
    <row r="469" customFormat="false" ht="16.5" hidden="false" customHeight="true" outlineLevel="0" collapsed="false">
      <c r="A469" s="2" t="s">
        <v>385</v>
      </c>
      <c r="B469" s="2" t="s">
        <v>394</v>
      </c>
      <c r="C469" s="2" t="n">
        <v>1</v>
      </c>
      <c r="D469" s="2" t="s">
        <v>533</v>
      </c>
      <c r="E469" s="2" t="s">
        <v>26</v>
      </c>
      <c r="F469" s="2" t="n">
        <v>116</v>
      </c>
      <c r="G469" s="2" t="n">
        <v>17</v>
      </c>
    </row>
    <row r="470" customFormat="false" ht="16.5" hidden="false" customHeight="true" outlineLevel="0" collapsed="false">
      <c r="A470" s="2" t="s">
        <v>385</v>
      </c>
      <c r="B470" s="2" t="s">
        <v>394</v>
      </c>
      <c r="C470" s="2" t="n">
        <v>1</v>
      </c>
      <c r="D470" s="2" t="s">
        <v>533</v>
      </c>
      <c r="E470" s="2" t="s">
        <v>27</v>
      </c>
      <c r="F470" s="2" t="n">
        <v>116</v>
      </c>
      <c r="G470" s="2" t="n">
        <v>21</v>
      </c>
    </row>
    <row r="471" customFormat="false" ht="16.5" hidden="false" customHeight="true" outlineLevel="0" collapsed="false">
      <c r="A471" s="2" t="s">
        <v>385</v>
      </c>
      <c r="B471" s="2" t="s">
        <v>394</v>
      </c>
      <c r="C471" s="2" t="n">
        <v>1</v>
      </c>
      <c r="D471" s="2" t="s">
        <v>533</v>
      </c>
      <c r="E471" s="2" t="s">
        <v>28</v>
      </c>
      <c r="F471" s="2" t="n">
        <v>116</v>
      </c>
      <c r="G471" s="2" t="n">
        <v>25</v>
      </c>
    </row>
    <row r="472" customFormat="false" ht="16.5" hidden="false" customHeight="true" outlineLevel="0" collapsed="false">
      <c r="A472" s="2" t="s">
        <v>385</v>
      </c>
      <c r="B472" s="2" t="s">
        <v>394</v>
      </c>
      <c r="C472" s="2" t="n">
        <v>1</v>
      </c>
      <c r="D472" s="2" t="s">
        <v>533</v>
      </c>
      <c r="E472" s="2" t="s">
        <v>29</v>
      </c>
      <c r="F472" s="2" t="n">
        <v>116</v>
      </c>
      <c r="G472" s="2" t="n">
        <v>29</v>
      </c>
    </row>
    <row r="473" customFormat="false" ht="16.5" hidden="false" customHeight="true" outlineLevel="0" collapsed="false">
      <c r="A473" s="2" t="s">
        <v>385</v>
      </c>
      <c r="B473" s="2" t="s">
        <v>394</v>
      </c>
      <c r="C473" s="2" t="n">
        <v>1</v>
      </c>
      <c r="D473" s="2" t="s">
        <v>533</v>
      </c>
      <c r="E473" s="2" t="s">
        <v>30</v>
      </c>
      <c r="F473" s="2" t="n">
        <v>116</v>
      </c>
      <c r="G473" s="2" t="n">
        <v>33</v>
      </c>
    </row>
    <row r="474" customFormat="false" ht="16.5" hidden="false" customHeight="true" outlineLevel="0" collapsed="false">
      <c r="A474" s="2" t="s">
        <v>385</v>
      </c>
      <c r="B474" s="2" t="s">
        <v>394</v>
      </c>
      <c r="C474" s="2" t="n">
        <v>1</v>
      </c>
      <c r="D474" s="2" t="s">
        <v>533</v>
      </c>
      <c r="E474" s="2" t="s">
        <v>31</v>
      </c>
      <c r="F474" s="2" t="n">
        <v>116</v>
      </c>
      <c r="G474" s="2" t="n">
        <v>37</v>
      </c>
    </row>
    <row r="475" customFormat="false" ht="16.5" hidden="false" customHeight="true" outlineLevel="0" collapsed="false">
      <c r="A475" s="2" t="s">
        <v>385</v>
      </c>
      <c r="B475" s="2" t="s">
        <v>394</v>
      </c>
      <c r="C475" s="2" t="n">
        <v>1</v>
      </c>
      <c r="D475" s="2" t="s">
        <v>533</v>
      </c>
      <c r="E475" s="2" t="s">
        <v>32</v>
      </c>
      <c r="F475" s="2" t="n">
        <v>116</v>
      </c>
      <c r="G475" s="2" t="n">
        <v>41</v>
      </c>
    </row>
    <row r="476" customFormat="false" ht="16.5" hidden="false" customHeight="true" outlineLevel="0" collapsed="false">
      <c r="A476" s="2" t="s">
        <v>385</v>
      </c>
      <c r="B476" s="2" t="s">
        <v>394</v>
      </c>
      <c r="C476" s="2" t="n">
        <v>1</v>
      </c>
      <c r="D476" s="2" t="s">
        <v>533</v>
      </c>
      <c r="E476" s="2" t="s">
        <v>33</v>
      </c>
      <c r="F476" s="2" t="n">
        <v>116</v>
      </c>
      <c r="G476" s="2" t="n">
        <v>45</v>
      </c>
    </row>
    <row r="477" customFormat="false" ht="16.5" hidden="false" customHeight="true" outlineLevel="0" collapsed="false">
      <c r="A477" s="2" t="s">
        <v>385</v>
      </c>
      <c r="B477" s="2" t="s">
        <v>394</v>
      </c>
      <c r="C477" s="2" t="n">
        <v>1</v>
      </c>
      <c r="D477" s="2" t="s">
        <v>533</v>
      </c>
      <c r="E477" s="2" t="s">
        <v>34</v>
      </c>
      <c r="F477" s="2" t="n">
        <v>116</v>
      </c>
      <c r="G477" s="2" t="n">
        <v>49</v>
      </c>
    </row>
    <row r="478" customFormat="false" ht="16.5" hidden="false" customHeight="true" outlineLevel="0" collapsed="false">
      <c r="A478" s="2" t="s">
        <v>385</v>
      </c>
      <c r="B478" s="2" t="s">
        <v>394</v>
      </c>
      <c r="C478" s="2" t="n">
        <v>1</v>
      </c>
      <c r="D478" s="2" t="s">
        <v>533</v>
      </c>
      <c r="E478" s="2" t="s">
        <v>35</v>
      </c>
      <c r="F478" s="2" t="n">
        <v>118</v>
      </c>
      <c r="G478" s="2" t="n">
        <v>11</v>
      </c>
    </row>
    <row r="479" customFormat="false" ht="16.5" hidden="false" customHeight="true" outlineLevel="0" collapsed="false">
      <c r="A479" s="2" t="s">
        <v>385</v>
      </c>
      <c r="B479" s="2" t="s">
        <v>394</v>
      </c>
      <c r="C479" s="2" t="n">
        <v>1</v>
      </c>
      <c r="D479" s="2" t="s">
        <v>533</v>
      </c>
      <c r="E479" s="2" t="s">
        <v>36</v>
      </c>
      <c r="F479" s="2" t="n">
        <v>118</v>
      </c>
      <c r="G479" s="2" t="n">
        <v>15</v>
      </c>
    </row>
    <row r="480" customFormat="false" ht="16.5" hidden="false" customHeight="true" outlineLevel="0" collapsed="false">
      <c r="A480" s="2" t="s">
        <v>385</v>
      </c>
      <c r="B480" s="2" t="s">
        <v>394</v>
      </c>
      <c r="C480" s="2" t="n">
        <v>1</v>
      </c>
      <c r="D480" s="2" t="s">
        <v>533</v>
      </c>
      <c r="E480" s="2" t="s">
        <v>37</v>
      </c>
      <c r="F480" s="2" t="n">
        <v>118</v>
      </c>
      <c r="G480" s="2" t="n">
        <v>19</v>
      </c>
    </row>
    <row r="481" customFormat="false" ht="16.5" hidden="false" customHeight="true" outlineLevel="0" collapsed="false">
      <c r="A481" s="2" t="s">
        <v>385</v>
      </c>
      <c r="B481" s="2" t="s">
        <v>394</v>
      </c>
      <c r="C481" s="2" t="n">
        <v>1</v>
      </c>
      <c r="D481" s="2" t="s">
        <v>533</v>
      </c>
      <c r="E481" s="2" t="s">
        <v>38</v>
      </c>
      <c r="F481" s="2" t="n">
        <v>118</v>
      </c>
      <c r="G481" s="2" t="n">
        <v>23</v>
      </c>
    </row>
    <row r="482" customFormat="false" ht="16.5" hidden="false" customHeight="true" outlineLevel="0" collapsed="false">
      <c r="A482" s="2" t="s">
        <v>385</v>
      </c>
      <c r="B482" s="2" t="s">
        <v>394</v>
      </c>
      <c r="C482" s="2" t="n">
        <v>1</v>
      </c>
      <c r="D482" s="2" t="s">
        <v>533</v>
      </c>
      <c r="E482" s="2" t="s">
        <v>39</v>
      </c>
      <c r="F482" s="2" t="n">
        <v>118</v>
      </c>
      <c r="G482" s="2" t="n">
        <v>27</v>
      </c>
    </row>
    <row r="483" customFormat="false" ht="16.5" hidden="false" customHeight="true" outlineLevel="0" collapsed="false">
      <c r="A483" s="2" t="s">
        <v>385</v>
      </c>
      <c r="B483" s="2" t="s">
        <v>394</v>
      </c>
      <c r="C483" s="2" t="n">
        <v>1</v>
      </c>
      <c r="D483" s="2" t="s">
        <v>533</v>
      </c>
      <c r="E483" s="2" t="s">
        <v>40</v>
      </c>
      <c r="F483" s="2" t="n">
        <v>118</v>
      </c>
      <c r="G483" s="2" t="n">
        <v>31</v>
      </c>
    </row>
    <row r="484" customFormat="false" ht="16.5" hidden="false" customHeight="true" outlineLevel="0" collapsed="false">
      <c r="A484" s="2" t="s">
        <v>385</v>
      </c>
      <c r="B484" s="2" t="s">
        <v>394</v>
      </c>
      <c r="C484" s="2" t="n">
        <v>1</v>
      </c>
      <c r="D484" s="2" t="s">
        <v>533</v>
      </c>
      <c r="E484" s="2" t="s">
        <v>41</v>
      </c>
      <c r="F484" s="2" t="n">
        <v>118</v>
      </c>
      <c r="G484" s="2" t="n">
        <v>35</v>
      </c>
    </row>
    <row r="485" customFormat="false" ht="16.5" hidden="false" customHeight="true" outlineLevel="0" collapsed="false">
      <c r="A485" s="2" t="s">
        <v>385</v>
      </c>
      <c r="B485" s="2" t="s">
        <v>394</v>
      </c>
      <c r="C485" s="2" t="n">
        <v>1</v>
      </c>
      <c r="D485" s="2" t="s">
        <v>533</v>
      </c>
      <c r="E485" s="2" t="s">
        <v>42</v>
      </c>
      <c r="F485" s="2" t="n">
        <v>118</v>
      </c>
      <c r="G485" s="2" t="n">
        <v>39</v>
      </c>
    </row>
    <row r="486" customFormat="false" ht="16.5" hidden="false" customHeight="true" outlineLevel="0" collapsed="false">
      <c r="A486" s="2" t="s">
        <v>385</v>
      </c>
      <c r="B486" s="2" t="s">
        <v>394</v>
      </c>
      <c r="C486" s="2" t="n">
        <v>1</v>
      </c>
      <c r="D486" s="2" t="s">
        <v>533</v>
      </c>
      <c r="E486" s="2" t="s">
        <v>43</v>
      </c>
      <c r="F486" s="2" t="n">
        <v>118</v>
      </c>
      <c r="G486" s="2" t="n">
        <v>43</v>
      </c>
    </row>
    <row r="487" customFormat="false" ht="16.5" hidden="false" customHeight="true" outlineLevel="0" collapsed="false">
      <c r="A487" s="2" t="s">
        <v>385</v>
      </c>
      <c r="B487" s="2" t="s">
        <v>394</v>
      </c>
      <c r="C487" s="2" t="n">
        <v>1</v>
      </c>
      <c r="D487" s="2" t="s">
        <v>533</v>
      </c>
      <c r="E487" s="2" t="s">
        <v>44</v>
      </c>
      <c r="F487" s="2" t="n">
        <v>118</v>
      </c>
      <c r="G487" s="2" t="n">
        <v>47</v>
      </c>
    </row>
    <row r="488" customFormat="false" ht="16.5" hidden="false" customHeight="true" outlineLevel="0" collapsed="false">
      <c r="A488" s="2" t="s">
        <v>385</v>
      </c>
      <c r="B488" s="2" t="s">
        <v>394</v>
      </c>
      <c r="C488" s="2" t="n">
        <v>1</v>
      </c>
      <c r="D488" s="2" t="s">
        <v>533</v>
      </c>
      <c r="E488" s="2" t="s">
        <v>48</v>
      </c>
      <c r="F488" s="2" t="n">
        <v>120</v>
      </c>
      <c r="G488" s="2" t="n">
        <v>16</v>
      </c>
    </row>
    <row r="489" customFormat="false" ht="16.5" hidden="false" customHeight="true" outlineLevel="0" collapsed="false">
      <c r="A489" s="2" t="s">
        <v>385</v>
      </c>
      <c r="B489" s="2" t="s">
        <v>394</v>
      </c>
      <c r="C489" s="2" t="n">
        <v>1</v>
      </c>
      <c r="D489" s="2" t="s">
        <v>533</v>
      </c>
      <c r="E489" s="2" t="s">
        <v>50</v>
      </c>
      <c r="F489" s="2" t="n">
        <v>120</v>
      </c>
      <c r="G489" s="2" t="n">
        <v>20</v>
      </c>
    </row>
    <row r="490" customFormat="false" ht="16.5" hidden="false" customHeight="true" outlineLevel="0" collapsed="false">
      <c r="A490" s="2" t="s">
        <v>385</v>
      </c>
      <c r="B490" s="2" t="s">
        <v>394</v>
      </c>
      <c r="C490" s="2" t="n">
        <v>1</v>
      </c>
      <c r="D490" s="2" t="s">
        <v>533</v>
      </c>
      <c r="E490" s="2" t="s">
        <v>45</v>
      </c>
      <c r="F490" s="2" t="n">
        <v>120</v>
      </c>
      <c r="G490" s="2" t="n">
        <v>38</v>
      </c>
    </row>
    <row r="491" customFormat="false" ht="16.5" hidden="false" customHeight="true" outlineLevel="0" collapsed="false">
      <c r="A491" s="2" t="s">
        <v>385</v>
      </c>
      <c r="B491" s="2" t="s">
        <v>394</v>
      </c>
      <c r="C491" s="2" t="n">
        <v>1</v>
      </c>
      <c r="D491" s="2" t="s">
        <v>533</v>
      </c>
      <c r="E491" s="2" t="s">
        <v>46</v>
      </c>
      <c r="F491" s="2" t="n">
        <v>120</v>
      </c>
      <c r="G491" s="2" t="n">
        <v>42</v>
      </c>
    </row>
    <row r="492" customFormat="false" ht="16.5" hidden="false" customHeight="true" outlineLevel="0" collapsed="false">
      <c r="A492" s="2" t="s">
        <v>385</v>
      </c>
      <c r="B492" s="2" t="s">
        <v>395</v>
      </c>
      <c r="C492" s="2" t="n">
        <v>1</v>
      </c>
      <c r="D492" s="2" t="s">
        <v>534</v>
      </c>
      <c r="E492" s="2" t="s">
        <v>0</v>
      </c>
      <c r="F492" s="2" t="n">
        <v>125</v>
      </c>
      <c r="G492" s="2" t="n">
        <v>6</v>
      </c>
    </row>
    <row r="493" customFormat="false" ht="16.5" hidden="false" customHeight="true" outlineLevel="0" collapsed="false">
      <c r="A493" s="2" t="s">
        <v>385</v>
      </c>
      <c r="B493" s="2" t="s">
        <v>395</v>
      </c>
      <c r="C493" s="2" t="n">
        <v>1</v>
      </c>
      <c r="D493" s="2" t="s">
        <v>534</v>
      </c>
      <c r="E493" s="2" t="s">
        <v>1</v>
      </c>
      <c r="F493" s="2" t="n">
        <v>125</v>
      </c>
      <c r="G493" s="2" t="n">
        <v>10</v>
      </c>
    </row>
    <row r="494" customFormat="false" ht="16.5" hidden="false" customHeight="true" outlineLevel="0" collapsed="false">
      <c r="A494" s="2" t="s">
        <v>385</v>
      </c>
      <c r="B494" s="2" t="s">
        <v>395</v>
      </c>
      <c r="C494" s="2" t="n">
        <v>1</v>
      </c>
      <c r="D494" s="2" t="s">
        <v>534</v>
      </c>
      <c r="E494" s="2" t="s">
        <v>2</v>
      </c>
      <c r="F494" s="2" t="n">
        <v>125</v>
      </c>
      <c r="G494" s="2" t="n">
        <v>14</v>
      </c>
    </row>
    <row r="495" customFormat="false" ht="16.5" hidden="false" customHeight="true" outlineLevel="0" collapsed="false">
      <c r="A495" s="2" t="s">
        <v>385</v>
      </c>
      <c r="B495" s="2" t="s">
        <v>395</v>
      </c>
      <c r="C495" s="2" t="n">
        <v>1</v>
      </c>
      <c r="D495" s="2" t="s">
        <v>534</v>
      </c>
      <c r="E495" s="2" t="s">
        <v>3</v>
      </c>
      <c r="F495" s="2" t="n">
        <v>125</v>
      </c>
      <c r="G495" s="2" t="n">
        <v>18</v>
      </c>
    </row>
    <row r="496" customFormat="false" ht="16.5" hidden="false" customHeight="true" outlineLevel="0" collapsed="false">
      <c r="A496" s="2" t="s">
        <v>385</v>
      </c>
      <c r="B496" s="2" t="s">
        <v>395</v>
      </c>
      <c r="C496" s="2" t="n">
        <v>1</v>
      </c>
      <c r="D496" s="2" t="s">
        <v>534</v>
      </c>
      <c r="E496" s="2" t="s">
        <v>4</v>
      </c>
      <c r="F496" s="2" t="n">
        <v>125</v>
      </c>
      <c r="G496" s="2" t="n">
        <v>22</v>
      </c>
    </row>
    <row r="497" customFormat="false" ht="16.5" hidden="false" customHeight="true" outlineLevel="0" collapsed="false">
      <c r="A497" s="2" t="s">
        <v>385</v>
      </c>
      <c r="B497" s="2" t="s">
        <v>395</v>
      </c>
      <c r="C497" s="2" t="n">
        <v>1</v>
      </c>
      <c r="D497" s="2" t="s">
        <v>534</v>
      </c>
      <c r="E497" s="2" t="s">
        <v>5</v>
      </c>
      <c r="F497" s="2" t="n">
        <v>125</v>
      </c>
      <c r="G497" s="2" t="n">
        <v>26</v>
      </c>
    </row>
    <row r="498" customFormat="false" ht="16.5" hidden="false" customHeight="true" outlineLevel="0" collapsed="false">
      <c r="A498" s="2" t="s">
        <v>385</v>
      </c>
      <c r="B498" s="2" t="s">
        <v>395</v>
      </c>
      <c r="C498" s="2" t="n">
        <v>1</v>
      </c>
      <c r="D498" s="2" t="s">
        <v>534</v>
      </c>
      <c r="E498" s="2" t="s">
        <v>6</v>
      </c>
      <c r="F498" s="2" t="n">
        <v>125</v>
      </c>
      <c r="G498" s="2" t="n">
        <v>30</v>
      </c>
    </row>
    <row r="499" customFormat="false" ht="16.5" hidden="false" customHeight="true" outlineLevel="0" collapsed="false">
      <c r="A499" s="2" t="s">
        <v>385</v>
      </c>
      <c r="B499" s="2" t="s">
        <v>395</v>
      </c>
      <c r="C499" s="2" t="n">
        <v>1</v>
      </c>
      <c r="D499" s="2" t="s">
        <v>534</v>
      </c>
      <c r="E499" s="2" t="s">
        <v>7</v>
      </c>
      <c r="F499" s="2" t="n">
        <v>125</v>
      </c>
      <c r="G499" s="2" t="n">
        <v>34</v>
      </c>
    </row>
    <row r="500" customFormat="false" ht="16.5" hidden="false" customHeight="true" outlineLevel="0" collapsed="false">
      <c r="A500" s="2" t="s">
        <v>385</v>
      </c>
      <c r="B500" s="2" t="s">
        <v>395</v>
      </c>
      <c r="C500" s="2" t="n">
        <v>1</v>
      </c>
      <c r="D500" s="2" t="s">
        <v>534</v>
      </c>
      <c r="E500" s="2" t="s">
        <v>8</v>
      </c>
      <c r="F500" s="2" t="n">
        <v>125</v>
      </c>
      <c r="G500" s="2" t="n">
        <v>38</v>
      </c>
    </row>
    <row r="501" customFormat="false" ht="16.5" hidden="false" customHeight="true" outlineLevel="0" collapsed="false">
      <c r="A501" s="2" t="s">
        <v>385</v>
      </c>
      <c r="B501" s="2" t="s">
        <v>395</v>
      </c>
      <c r="C501" s="2" t="n">
        <v>1</v>
      </c>
      <c r="D501" s="2" t="s">
        <v>534</v>
      </c>
      <c r="E501" s="2" t="s">
        <v>9</v>
      </c>
      <c r="F501" s="2" t="n">
        <v>125</v>
      </c>
      <c r="G501" s="2" t="n">
        <v>42</v>
      </c>
    </row>
    <row r="502" customFormat="false" ht="16.5" hidden="false" customHeight="true" outlineLevel="0" collapsed="false">
      <c r="A502" s="2" t="s">
        <v>385</v>
      </c>
      <c r="B502" s="2" t="s">
        <v>395</v>
      </c>
      <c r="C502" s="2" t="n">
        <v>1</v>
      </c>
      <c r="D502" s="2" t="s">
        <v>534</v>
      </c>
      <c r="E502" s="2" t="s">
        <v>10</v>
      </c>
      <c r="F502" s="2" t="n">
        <v>125</v>
      </c>
      <c r="G502" s="2" t="n">
        <v>46</v>
      </c>
    </row>
    <row r="503" customFormat="false" ht="16.5" hidden="false" customHeight="true" outlineLevel="0" collapsed="false">
      <c r="A503" s="2" t="s">
        <v>385</v>
      </c>
      <c r="B503" s="2" t="s">
        <v>395</v>
      </c>
      <c r="C503" s="2" t="n">
        <v>1</v>
      </c>
      <c r="D503" s="2" t="s">
        <v>534</v>
      </c>
      <c r="E503" s="2" t="s">
        <v>11</v>
      </c>
      <c r="F503" s="2" t="n">
        <v>125</v>
      </c>
      <c r="G503" s="2" t="n">
        <v>50</v>
      </c>
    </row>
    <row r="504" customFormat="false" ht="16.5" hidden="false" customHeight="true" outlineLevel="0" collapsed="false">
      <c r="A504" s="2" t="s">
        <v>385</v>
      </c>
      <c r="B504" s="2" t="s">
        <v>395</v>
      </c>
      <c r="C504" s="2" t="n">
        <v>1</v>
      </c>
      <c r="D504" s="2" t="s">
        <v>534</v>
      </c>
      <c r="E504" s="2" t="s">
        <v>12</v>
      </c>
      <c r="F504" s="2" t="n">
        <v>127</v>
      </c>
      <c r="G504" s="2" t="n">
        <v>8</v>
      </c>
    </row>
    <row r="505" customFormat="false" ht="16.5" hidden="false" customHeight="true" outlineLevel="0" collapsed="false">
      <c r="A505" s="2" t="s">
        <v>385</v>
      </c>
      <c r="B505" s="2" t="s">
        <v>395</v>
      </c>
      <c r="C505" s="2" t="n">
        <v>1</v>
      </c>
      <c r="D505" s="2" t="s">
        <v>534</v>
      </c>
      <c r="E505" s="2" t="s">
        <v>13</v>
      </c>
      <c r="F505" s="2" t="n">
        <v>127</v>
      </c>
      <c r="G505" s="2" t="n">
        <v>12</v>
      </c>
    </row>
    <row r="506" customFormat="false" ht="16.5" hidden="false" customHeight="true" outlineLevel="0" collapsed="false">
      <c r="A506" s="2" t="s">
        <v>385</v>
      </c>
      <c r="B506" s="2" t="s">
        <v>395</v>
      </c>
      <c r="C506" s="2" t="n">
        <v>1</v>
      </c>
      <c r="D506" s="2" t="s">
        <v>534</v>
      </c>
      <c r="E506" s="2" t="s">
        <v>14</v>
      </c>
      <c r="F506" s="2" t="n">
        <v>127</v>
      </c>
      <c r="G506" s="2" t="n">
        <v>16</v>
      </c>
    </row>
    <row r="507" customFormat="false" ht="16.5" hidden="false" customHeight="true" outlineLevel="0" collapsed="false">
      <c r="A507" s="2" t="s">
        <v>385</v>
      </c>
      <c r="B507" s="2" t="s">
        <v>395</v>
      </c>
      <c r="C507" s="2" t="n">
        <v>1</v>
      </c>
      <c r="D507" s="2" t="s">
        <v>534</v>
      </c>
      <c r="E507" s="2" t="s">
        <v>15</v>
      </c>
      <c r="F507" s="2" t="n">
        <v>127</v>
      </c>
      <c r="G507" s="2" t="n">
        <v>20</v>
      </c>
    </row>
    <row r="508" customFormat="false" ht="16.5" hidden="false" customHeight="true" outlineLevel="0" collapsed="false">
      <c r="A508" s="2" t="s">
        <v>385</v>
      </c>
      <c r="B508" s="2" t="s">
        <v>395</v>
      </c>
      <c r="C508" s="2" t="n">
        <v>1</v>
      </c>
      <c r="D508" s="2" t="s">
        <v>534</v>
      </c>
      <c r="E508" s="2" t="s">
        <v>16</v>
      </c>
      <c r="F508" s="2" t="n">
        <v>127</v>
      </c>
      <c r="G508" s="2" t="n">
        <v>24</v>
      </c>
    </row>
    <row r="509" customFormat="false" ht="16.5" hidden="false" customHeight="true" outlineLevel="0" collapsed="false">
      <c r="A509" s="2" t="s">
        <v>385</v>
      </c>
      <c r="B509" s="2" t="s">
        <v>395</v>
      </c>
      <c r="C509" s="2" t="n">
        <v>1</v>
      </c>
      <c r="D509" s="2" t="s">
        <v>534</v>
      </c>
      <c r="E509" s="2" t="s">
        <v>17</v>
      </c>
      <c r="F509" s="2" t="n">
        <v>127</v>
      </c>
      <c r="G509" s="2" t="n">
        <v>28</v>
      </c>
    </row>
    <row r="510" customFormat="false" ht="16.5" hidden="false" customHeight="true" outlineLevel="0" collapsed="false">
      <c r="A510" s="2" t="s">
        <v>385</v>
      </c>
      <c r="B510" s="2" t="s">
        <v>395</v>
      </c>
      <c r="C510" s="2" t="n">
        <v>1</v>
      </c>
      <c r="D510" s="2" t="s">
        <v>534</v>
      </c>
      <c r="E510" s="2" t="s">
        <v>18</v>
      </c>
      <c r="F510" s="2" t="n">
        <v>127</v>
      </c>
      <c r="G510" s="2" t="n">
        <v>32</v>
      </c>
    </row>
    <row r="511" customFormat="false" ht="16.5" hidden="false" customHeight="true" outlineLevel="0" collapsed="false">
      <c r="A511" s="2" t="s">
        <v>385</v>
      </c>
      <c r="B511" s="2" t="s">
        <v>395</v>
      </c>
      <c r="C511" s="2" t="n">
        <v>1</v>
      </c>
      <c r="D511" s="2" t="s">
        <v>534</v>
      </c>
      <c r="E511" s="2" t="s">
        <v>19</v>
      </c>
      <c r="F511" s="2" t="n">
        <v>127</v>
      </c>
      <c r="G511" s="2" t="n">
        <v>36</v>
      </c>
    </row>
    <row r="512" customFormat="false" ht="16.5" hidden="false" customHeight="true" outlineLevel="0" collapsed="false">
      <c r="A512" s="2" t="s">
        <v>385</v>
      </c>
      <c r="B512" s="2" t="s">
        <v>395</v>
      </c>
      <c r="C512" s="2" t="n">
        <v>1</v>
      </c>
      <c r="D512" s="2" t="s">
        <v>534</v>
      </c>
      <c r="E512" s="2" t="s">
        <v>20</v>
      </c>
      <c r="F512" s="2" t="n">
        <v>127</v>
      </c>
      <c r="G512" s="2" t="n">
        <v>40</v>
      </c>
    </row>
    <row r="513" customFormat="false" ht="16.5" hidden="false" customHeight="true" outlineLevel="0" collapsed="false">
      <c r="A513" s="2" t="s">
        <v>385</v>
      </c>
      <c r="B513" s="2" t="s">
        <v>395</v>
      </c>
      <c r="C513" s="2" t="n">
        <v>1</v>
      </c>
      <c r="D513" s="2" t="s">
        <v>534</v>
      </c>
      <c r="E513" s="2" t="s">
        <v>21</v>
      </c>
      <c r="F513" s="2" t="n">
        <v>127</v>
      </c>
      <c r="G513" s="2" t="n">
        <v>44</v>
      </c>
    </row>
    <row r="514" customFormat="false" ht="16.5" hidden="false" customHeight="true" outlineLevel="0" collapsed="false">
      <c r="A514" s="2" t="s">
        <v>385</v>
      </c>
      <c r="B514" s="2" t="s">
        <v>395</v>
      </c>
      <c r="C514" s="2" t="n">
        <v>1</v>
      </c>
      <c r="D514" s="2" t="s">
        <v>534</v>
      </c>
      <c r="E514" s="2" t="s">
        <v>22</v>
      </c>
      <c r="F514" s="2" t="n">
        <v>127</v>
      </c>
      <c r="G514" s="2" t="n">
        <v>48</v>
      </c>
    </row>
    <row r="515" customFormat="false" ht="16.5" hidden="false" customHeight="true" outlineLevel="0" collapsed="false">
      <c r="A515" s="2" t="s">
        <v>385</v>
      </c>
      <c r="B515" s="2" t="s">
        <v>395</v>
      </c>
      <c r="C515" s="2" t="n">
        <v>1</v>
      </c>
      <c r="D515" s="2" t="s">
        <v>534</v>
      </c>
      <c r="E515" s="2" t="s">
        <v>23</v>
      </c>
      <c r="F515" s="2" t="n">
        <v>127</v>
      </c>
      <c r="G515" s="2" t="n">
        <v>52</v>
      </c>
    </row>
    <row r="516" customFormat="false" ht="16.5" hidden="false" customHeight="true" outlineLevel="0" collapsed="false">
      <c r="A516" s="2" t="s">
        <v>385</v>
      </c>
      <c r="B516" s="2" t="s">
        <v>395</v>
      </c>
      <c r="C516" s="2" t="n">
        <v>1</v>
      </c>
      <c r="D516" s="2" t="s">
        <v>534</v>
      </c>
      <c r="E516" s="2" t="s">
        <v>24</v>
      </c>
      <c r="F516" s="2" t="n">
        <v>129</v>
      </c>
      <c r="G516" s="2" t="n">
        <v>9</v>
      </c>
    </row>
    <row r="517" customFormat="false" ht="16.5" hidden="false" customHeight="true" outlineLevel="0" collapsed="false">
      <c r="A517" s="2" t="s">
        <v>385</v>
      </c>
      <c r="B517" s="2" t="s">
        <v>395</v>
      </c>
      <c r="C517" s="2" t="n">
        <v>1</v>
      </c>
      <c r="D517" s="2" t="s">
        <v>534</v>
      </c>
      <c r="E517" s="2" t="s">
        <v>25</v>
      </c>
      <c r="F517" s="2" t="n">
        <v>129</v>
      </c>
      <c r="G517" s="2" t="n">
        <v>13</v>
      </c>
    </row>
    <row r="518" customFormat="false" ht="16.5" hidden="false" customHeight="true" outlineLevel="0" collapsed="false">
      <c r="A518" s="2" t="s">
        <v>385</v>
      </c>
      <c r="B518" s="2" t="s">
        <v>395</v>
      </c>
      <c r="C518" s="2" t="n">
        <v>1</v>
      </c>
      <c r="D518" s="2" t="s">
        <v>534</v>
      </c>
      <c r="E518" s="2" t="s">
        <v>26</v>
      </c>
      <c r="F518" s="2" t="n">
        <v>129</v>
      </c>
      <c r="G518" s="2" t="n">
        <v>17</v>
      </c>
    </row>
    <row r="519" customFormat="false" ht="16.5" hidden="false" customHeight="true" outlineLevel="0" collapsed="false">
      <c r="A519" s="2" t="s">
        <v>385</v>
      </c>
      <c r="B519" s="2" t="s">
        <v>395</v>
      </c>
      <c r="C519" s="2" t="n">
        <v>1</v>
      </c>
      <c r="D519" s="2" t="s">
        <v>534</v>
      </c>
      <c r="E519" s="2" t="s">
        <v>27</v>
      </c>
      <c r="F519" s="2" t="n">
        <v>129</v>
      </c>
      <c r="G519" s="2" t="n">
        <v>21</v>
      </c>
    </row>
    <row r="520" customFormat="false" ht="16.5" hidden="false" customHeight="true" outlineLevel="0" collapsed="false">
      <c r="A520" s="2" t="s">
        <v>385</v>
      </c>
      <c r="B520" s="2" t="s">
        <v>395</v>
      </c>
      <c r="C520" s="2" t="n">
        <v>1</v>
      </c>
      <c r="D520" s="2" t="s">
        <v>534</v>
      </c>
      <c r="E520" s="2" t="s">
        <v>28</v>
      </c>
      <c r="F520" s="2" t="n">
        <v>129</v>
      </c>
      <c r="G520" s="2" t="n">
        <v>25</v>
      </c>
    </row>
    <row r="521" customFormat="false" ht="16.5" hidden="false" customHeight="true" outlineLevel="0" collapsed="false">
      <c r="A521" s="2" t="s">
        <v>385</v>
      </c>
      <c r="B521" s="2" t="s">
        <v>395</v>
      </c>
      <c r="C521" s="2" t="n">
        <v>1</v>
      </c>
      <c r="D521" s="2" t="s">
        <v>534</v>
      </c>
      <c r="E521" s="2" t="s">
        <v>29</v>
      </c>
      <c r="F521" s="2" t="n">
        <v>129</v>
      </c>
      <c r="G521" s="2" t="n">
        <v>29</v>
      </c>
    </row>
    <row r="522" customFormat="false" ht="16.5" hidden="false" customHeight="true" outlineLevel="0" collapsed="false">
      <c r="A522" s="2" t="s">
        <v>385</v>
      </c>
      <c r="B522" s="2" t="s">
        <v>395</v>
      </c>
      <c r="C522" s="2" t="n">
        <v>1</v>
      </c>
      <c r="D522" s="2" t="s">
        <v>534</v>
      </c>
      <c r="E522" s="2" t="s">
        <v>30</v>
      </c>
      <c r="F522" s="2" t="n">
        <v>129</v>
      </c>
      <c r="G522" s="2" t="n">
        <v>33</v>
      </c>
    </row>
    <row r="523" customFormat="false" ht="16.5" hidden="false" customHeight="true" outlineLevel="0" collapsed="false">
      <c r="A523" s="2" t="s">
        <v>385</v>
      </c>
      <c r="B523" s="2" t="s">
        <v>395</v>
      </c>
      <c r="C523" s="2" t="n">
        <v>1</v>
      </c>
      <c r="D523" s="2" t="s">
        <v>534</v>
      </c>
      <c r="E523" s="2" t="s">
        <v>31</v>
      </c>
      <c r="F523" s="2" t="n">
        <v>129</v>
      </c>
      <c r="G523" s="2" t="n">
        <v>37</v>
      </c>
    </row>
    <row r="524" customFormat="false" ht="16.5" hidden="false" customHeight="true" outlineLevel="0" collapsed="false">
      <c r="A524" s="2" t="s">
        <v>385</v>
      </c>
      <c r="B524" s="2" t="s">
        <v>395</v>
      </c>
      <c r="C524" s="2" t="n">
        <v>1</v>
      </c>
      <c r="D524" s="2" t="s">
        <v>534</v>
      </c>
      <c r="E524" s="2" t="s">
        <v>32</v>
      </c>
      <c r="F524" s="2" t="n">
        <v>129</v>
      </c>
      <c r="G524" s="2" t="n">
        <v>41</v>
      </c>
    </row>
    <row r="525" customFormat="false" ht="16.5" hidden="false" customHeight="true" outlineLevel="0" collapsed="false">
      <c r="A525" s="2" t="s">
        <v>385</v>
      </c>
      <c r="B525" s="2" t="s">
        <v>395</v>
      </c>
      <c r="C525" s="2" t="n">
        <v>1</v>
      </c>
      <c r="D525" s="2" t="s">
        <v>534</v>
      </c>
      <c r="E525" s="2" t="s">
        <v>33</v>
      </c>
      <c r="F525" s="2" t="n">
        <v>129</v>
      </c>
      <c r="G525" s="2" t="n">
        <v>45</v>
      </c>
    </row>
    <row r="526" customFormat="false" ht="16.5" hidden="false" customHeight="true" outlineLevel="0" collapsed="false">
      <c r="A526" s="2" t="s">
        <v>385</v>
      </c>
      <c r="B526" s="2" t="s">
        <v>395</v>
      </c>
      <c r="C526" s="2" t="n">
        <v>1</v>
      </c>
      <c r="D526" s="2" t="s">
        <v>534</v>
      </c>
      <c r="E526" s="2" t="s">
        <v>34</v>
      </c>
      <c r="F526" s="2" t="n">
        <v>129</v>
      </c>
      <c r="G526" s="2" t="n">
        <v>49</v>
      </c>
    </row>
    <row r="527" customFormat="false" ht="16.5" hidden="false" customHeight="true" outlineLevel="0" collapsed="false">
      <c r="A527" s="2" t="s">
        <v>385</v>
      </c>
      <c r="B527" s="2" t="s">
        <v>395</v>
      </c>
      <c r="C527" s="2" t="n">
        <v>1</v>
      </c>
      <c r="D527" s="2" t="s">
        <v>534</v>
      </c>
      <c r="E527" s="2" t="s">
        <v>35</v>
      </c>
      <c r="F527" s="2" t="n">
        <v>131</v>
      </c>
      <c r="G527" s="2" t="n">
        <v>11</v>
      </c>
    </row>
    <row r="528" customFormat="false" ht="16.5" hidden="false" customHeight="true" outlineLevel="0" collapsed="false">
      <c r="A528" s="2" t="s">
        <v>385</v>
      </c>
      <c r="B528" s="2" t="s">
        <v>395</v>
      </c>
      <c r="C528" s="2" t="n">
        <v>1</v>
      </c>
      <c r="D528" s="2" t="s">
        <v>534</v>
      </c>
      <c r="E528" s="2" t="s">
        <v>36</v>
      </c>
      <c r="F528" s="2" t="n">
        <v>131</v>
      </c>
      <c r="G528" s="2" t="n">
        <v>15</v>
      </c>
    </row>
    <row r="529" customFormat="false" ht="16.5" hidden="false" customHeight="true" outlineLevel="0" collapsed="false">
      <c r="A529" s="2" t="s">
        <v>385</v>
      </c>
      <c r="B529" s="2" t="s">
        <v>395</v>
      </c>
      <c r="C529" s="2" t="n">
        <v>1</v>
      </c>
      <c r="D529" s="2" t="s">
        <v>534</v>
      </c>
      <c r="E529" s="2" t="s">
        <v>37</v>
      </c>
      <c r="F529" s="2" t="n">
        <v>131</v>
      </c>
      <c r="G529" s="2" t="n">
        <v>19</v>
      </c>
    </row>
    <row r="530" customFormat="false" ht="16.5" hidden="false" customHeight="true" outlineLevel="0" collapsed="false">
      <c r="A530" s="2" t="s">
        <v>385</v>
      </c>
      <c r="B530" s="2" t="s">
        <v>395</v>
      </c>
      <c r="C530" s="2" t="n">
        <v>1</v>
      </c>
      <c r="D530" s="2" t="s">
        <v>534</v>
      </c>
      <c r="E530" s="2" t="s">
        <v>38</v>
      </c>
      <c r="F530" s="2" t="n">
        <v>131</v>
      </c>
      <c r="G530" s="2" t="n">
        <v>23</v>
      </c>
    </row>
    <row r="531" customFormat="false" ht="16.5" hidden="false" customHeight="true" outlineLevel="0" collapsed="false">
      <c r="A531" s="2" t="s">
        <v>385</v>
      </c>
      <c r="B531" s="2" t="s">
        <v>395</v>
      </c>
      <c r="C531" s="2" t="n">
        <v>1</v>
      </c>
      <c r="D531" s="2" t="s">
        <v>534</v>
      </c>
      <c r="E531" s="2" t="s">
        <v>39</v>
      </c>
      <c r="F531" s="2" t="n">
        <v>131</v>
      </c>
      <c r="G531" s="2" t="n">
        <v>27</v>
      </c>
    </row>
    <row r="532" customFormat="false" ht="16.5" hidden="false" customHeight="true" outlineLevel="0" collapsed="false">
      <c r="A532" s="2" t="s">
        <v>385</v>
      </c>
      <c r="B532" s="2" t="s">
        <v>395</v>
      </c>
      <c r="C532" s="2" t="n">
        <v>1</v>
      </c>
      <c r="D532" s="2" t="s">
        <v>534</v>
      </c>
      <c r="E532" s="2" t="s">
        <v>40</v>
      </c>
      <c r="F532" s="2" t="n">
        <v>131</v>
      </c>
      <c r="G532" s="2" t="n">
        <v>31</v>
      </c>
    </row>
    <row r="533" customFormat="false" ht="16.5" hidden="false" customHeight="true" outlineLevel="0" collapsed="false">
      <c r="A533" s="2" t="s">
        <v>385</v>
      </c>
      <c r="B533" s="2" t="s">
        <v>395</v>
      </c>
      <c r="C533" s="2" t="n">
        <v>1</v>
      </c>
      <c r="D533" s="2" t="s">
        <v>534</v>
      </c>
      <c r="E533" s="2" t="s">
        <v>41</v>
      </c>
      <c r="F533" s="2" t="n">
        <v>131</v>
      </c>
      <c r="G533" s="2" t="n">
        <v>35</v>
      </c>
    </row>
    <row r="534" customFormat="false" ht="16.5" hidden="false" customHeight="true" outlineLevel="0" collapsed="false">
      <c r="A534" s="2" t="s">
        <v>385</v>
      </c>
      <c r="B534" s="2" t="s">
        <v>395</v>
      </c>
      <c r="C534" s="2" t="n">
        <v>1</v>
      </c>
      <c r="D534" s="2" t="s">
        <v>534</v>
      </c>
      <c r="E534" s="2" t="s">
        <v>42</v>
      </c>
      <c r="F534" s="2" t="n">
        <v>131</v>
      </c>
      <c r="G534" s="2" t="n">
        <v>39</v>
      </c>
    </row>
    <row r="535" customFormat="false" ht="16.5" hidden="false" customHeight="true" outlineLevel="0" collapsed="false">
      <c r="A535" s="2" t="s">
        <v>385</v>
      </c>
      <c r="B535" s="2" t="s">
        <v>395</v>
      </c>
      <c r="C535" s="2" t="n">
        <v>1</v>
      </c>
      <c r="D535" s="2" t="s">
        <v>534</v>
      </c>
      <c r="E535" s="2" t="s">
        <v>43</v>
      </c>
      <c r="F535" s="2" t="n">
        <v>131</v>
      </c>
      <c r="G535" s="2" t="n">
        <v>43</v>
      </c>
    </row>
    <row r="536" customFormat="false" ht="16.5" hidden="false" customHeight="true" outlineLevel="0" collapsed="false">
      <c r="A536" s="2" t="s">
        <v>385</v>
      </c>
      <c r="B536" s="2" t="s">
        <v>395</v>
      </c>
      <c r="C536" s="2" t="n">
        <v>1</v>
      </c>
      <c r="D536" s="2" t="s">
        <v>534</v>
      </c>
      <c r="E536" s="2" t="s">
        <v>44</v>
      </c>
      <c r="F536" s="2" t="n">
        <v>131</v>
      </c>
      <c r="G536" s="2" t="n">
        <v>47</v>
      </c>
    </row>
    <row r="537" customFormat="false" ht="16.5" hidden="false" customHeight="true" outlineLevel="0" collapsed="false">
      <c r="A537" s="2" t="s">
        <v>385</v>
      </c>
      <c r="B537" s="2" t="s">
        <v>395</v>
      </c>
      <c r="C537" s="2" t="n">
        <v>1</v>
      </c>
      <c r="D537" s="2" t="s">
        <v>534</v>
      </c>
      <c r="E537" s="2" t="s">
        <v>48</v>
      </c>
      <c r="F537" s="2" t="n">
        <v>133</v>
      </c>
      <c r="G537" s="2" t="n">
        <v>16</v>
      </c>
    </row>
    <row r="538" customFormat="false" ht="16.5" hidden="false" customHeight="true" outlineLevel="0" collapsed="false">
      <c r="A538" s="2" t="s">
        <v>385</v>
      </c>
      <c r="B538" s="2" t="s">
        <v>395</v>
      </c>
      <c r="C538" s="2" t="n">
        <v>1</v>
      </c>
      <c r="D538" s="2" t="s">
        <v>534</v>
      </c>
      <c r="E538" s="2" t="s">
        <v>50</v>
      </c>
      <c r="F538" s="2" t="n">
        <v>133</v>
      </c>
      <c r="G538" s="2" t="n">
        <v>20</v>
      </c>
    </row>
    <row r="539" customFormat="false" ht="16.5" hidden="false" customHeight="true" outlineLevel="0" collapsed="false">
      <c r="A539" s="2" t="s">
        <v>385</v>
      </c>
      <c r="B539" s="2" t="s">
        <v>395</v>
      </c>
      <c r="C539" s="2" t="n">
        <v>1</v>
      </c>
      <c r="D539" s="2" t="s">
        <v>534</v>
      </c>
      <c r="E539" s="2" t="s">
        <v>45</v>
      </c>
      <c r="F539" s="2" t="n">
        <v>133</v>
      </c>
      <c r="G539" s="2" t="n">
        <v>38</v>
      </c>
    </row>
    <row r="540" customFormat="false" ht="16.5" hidden="false" customHeight="true" outlineLevel="0" collapsed="false">
      <c r="A540" s="2" t="s">
        <v>385</v>
      </c>
      <c r="B540" s="2" t="s">
        <v>395</v>
      </c>
      <c r="C540" s="2" t="n">
        <v>1</v>
      </c>
      <c r="D540" s="2" t="s">
        <v>534</v>
      </c>
      <c r="E540" s="2" t="s">
        <v>46</v>
      </c>
      <c r="F540" s="2" t="n">
        <v>133</v>
      </c>
      <c r="G540" s="2" t="n">
        <v>42</v>
      </c>
    </row>
    <row r="541" customFormat="false" ht="16.5" hidden="false" customHeight="true" outlineLevel="0" collapsed="false">
      <c r="A541" s="2" t="s">
        <v>385</v>
      </c>
      <c r="B541" s="2" t="s">
        <v>396</v>
      </c>
      <c r="C541" s="2" t="n">
        <v>1</v>
      </c>
      <c r="D541" s="2" t="s">
        <v>535</v>
      </c>
      <c r="E541" s="2" t="s">
        <v>0</v>
      </c>
      <c r="F541" s="2" t="n">
        <v>138</v>
      </c>
      <c r="G541" s="2" t="n">
        <v>6</v>
      </c>
    </row>
    <row r="542" customFormat="false" ht="16.5" hidden="false" customHeight="true" outlineLevel="0" collapsed="false">
      <c r="A542" s="2" t="s">
        <v>385</v>
      </c>
      <c r="B542" s="2" t="s">
        <v>396</v>
      </c>
      <c r="C542" s="2" t="n">
        <v>1</v>
      </c>
      <c r="D542" s="2" t="s">
        <v>535</v>
      </c>
      <c r="E542" s="2" t="s">
        <v>1</v>
      </c>
      <c r="F542" s="2" t="n">
        <v>138</v>
      </c>
      <c r="G542" s="2" t="n">
        <v>10</v>
      </c>
    </row>
    <row r="543" customFormat="false" ht="16.5" hidden="false" customHeight="true" outlineLevel="0" collapsed="false">
      <c r="A543" s="2" t="s">
        <v>385</v>
      </c>
      <c r="B543" s="2" t="s">
        <v>396</v>
      </c>
      <c r="C543" s="2" t="n">
        <v>1</v>
      </c>
      <c r="D543" s="2" t="s">
        <v>535</v>
      </c>
      <c r="E543" s="2" t="s">
        <v>2</v>
      </c>
      <c r="F543" s="2" t="n">
        <v>138</v>
      </c>
      <c r="G543" s="2" t="n">
        <v>14</v>
      </c>
    </row>
    <row r="544" customFormat="false" ht="16.5" hidden="false" customHeight="true" outlineLevel="0" collapsed="false">
      <c r="A544" s="2" t="s">
        <v>385</v>
      </c>
      <c r="B544" s="2" t="s">
        <v>396</v>
      </c>
      <c r="C544" s="2" t="n">
        <v>1</v>
      </c>
      <c r="D544" s="2" t="s">
        <v>535</v>
      </c>
      <c r="E544" s="2" t="s">
        <v>3</v>
      </c>
      <c r="F544" s="2" t="n">
        <v>138</v>
      </c>
      <c r="G544" s="2" t="n">
        <v>18</v>
      </c>
    </row>
    <row r="545" customFormat="false" ht="16.5" hidden="false" customHeight="true" outlineLevel="0" collapsed="false">
      <c r="A545" s="2" t="s">
        <v>385</v>
      </c>
      <c r="B545" s="2" t="s">
        <v>396</v>
      </c>
      <c r="C545" s="2" t="n">
        <v>1</v>
      </c>
      <c r="D545" s="2" t="s">
        <v>535</v>
      </c>
      <c r="E545" s="2" t="s">
        <v>4</v>
      </c>
      <c r="F545" s="2" t="n">
        <v>138</v>
      </c>
      <c r="G545" s="2" t="n">
        <v>22</v>
      </c>
    </row>
    <row r="546" customFormat="false" ht="16.5" hidden="false" customHeight="true" outlineLevel="0" collapsed="false">
      <c r="A546" s="2" t="s">
        <v>385</v>
      </c>
      <c r="B546" s="2" t="s">
        <v>396</v>
      </c>
      <c r="C546" s="2" t="n">
        <v>1</v>
      </c>
      <c r="D546" s="2" t="s">
        <v>535</v>
      </c>
      <c r="E546" s="2" t="s">
        <v>5</v>
      </c>
      <c r="F546" s="2" t="n">
        <v>138</v>
      </c>
      <c r="G546" s="2" t="n">
        <v>26</v>
      </c>
    </row>
    <row r="547" customFormat="false" ht="16.5" hidden="false" customHeight="true" outlineLevel="0" collapsed="false">
      <c r="A547" s="2" t="s">
        <v>385</v>
      </c>
      <c r="B547" s="2" t="s">
        <v>396</v>
      </c>
      <c r="C547" s="2" t="n">
        <v>1</v>
      </c>
      <c r="D547" s="2" t="s">
        <v>535</v>
      </c>
      <c r="E547" s="2" t="s">
        <v>6</v>
      </c>
      <c r="F547" s="2" t="n">
        <v>138</v>
      </c>
      <c r="G547" s="2" t="n">
        <v>30</v>
      </c>
    </row>
    <row r="548" customFormat="false" ht="16.5" hidden="false" customHeight="true" outlineLevel="0" collapsed="false">
      <c r="A548" s="2" t="s">
        <v>385</v>
      </c>
      <c r="B548" s="2" t="s">
        <v>396</v>
      </c>
      <c r="C548" s="2" t="n">
        <v>1</v>
      </c>
      <c r="D548" s="2" t="s">
        <v>535</v>
      </c>
      <c r="E548" s="2" t="s">
        <v>7</v>
      </c>
      <c r="F548" s="2" t="n">
        <v>138</v>
      </c>
      <c r="G548" s="2" t="n">
        <v>34</v>
      </c>
    </row>
    <row r="549" customFormat="false" ht="16.5" hidden="false" customHeight="true" outlineLevel="0" collapsed="false">
      <c r="A549" s="2" t="s">
        <v>385</v>
      </c>
      <c r="B549" s="2" t="s">
        <v>396</v>
      </c>
      <c r="C549" s="2" t="n">
        <v>1</v>
      </c>
      <c r="D549" s="2" t="s">
        <v>535</v>
      </c>
      <c r="E549" s="2" t="s">
        <v>8</v>
      </c>
      <c r="F549" s="2" t="n">
        <v>138</v>
      </c>
      <c r="G549" s="2" t="n">
        <v>38</v>
      </c>
    </row>
    <row r="550" customFormat="false" ht="16.5" hidden="false" customHeight="true" outlineLevel="0" collapsed="false">
      <c r="A550" s="2" t="s">
        <v>385</v>
      </c>
      <c r="B550" s="2" t="s">
        <v>396</v>
      </c>
      <c r="C550" s="2" t="n">
        <v>1</v>
      </c>
      <c r="D550" s="2" t="s">
        <v>535</v>
      </c>
      <c r="E550" s="2" t="s">
        <v>9</v>
      </c>
      <c r="F550" s="2" t="n">
        <v>138</v>
      </c>
      <c r="G550" s="2" t="n">
        <v>42</v>
      </c>
    </row>
    <row r="551" customFormat="false" ht="16.5" hidden="false" customHeight="true" outlineLevel="0" collapsed="false">
      <c r="A551" s="2" t="s">
        <v>385</v>
      </c>
      <c r="B551" s="2" t="s">
        <v>396</v>
      </c>
      <c r="C551" s="2" t="n">
        <v>1</v>
      </c>
      <c r="D551" s="2" t="s">
        <v>535</v>
      </c>
      <c r="E551" s="2" t="s">
        <v>10</v>
      </c>
      <c r="F551" s="2" t="n">
        <v>138</v>
      </c>
      <c r="G551" s="2" t="n">
        <v>46</v>
      </c>
    </row>
    <row r="552" customFormat="false" ht="16.5" hidden="false" customHeight="true" outlineLevel="0" collapsed="false">
      <c r="A552" s="2" t="s">
        <v>385</v>
      </c>
      <c r="B552" s="2" t="s">
        <v>396</v>
      </c>
      <c r="C552" s="2" t="n">
        <v>1</v>
      </c>
      <c r="D552" s="2" t="s">
        <v>535</v>
      </c>
      <c r="E552" s="2" t="s">
        <v>11</v>
      </c>
      <c r="F552" s="2" t="n">
        <v>138</v>
      </c>
      <c r="G552" s="2" t="n">
        <v>50</v>
      </c>
    </row>
    <row r="553" customFormat="false" ht="16.5" hidden="false" customHeight="true" outlineLevel="0" collapsed="false">
      <c r="A553" s="2" t="s">
        <v>385</v>
      </c>
      <c r="B553" s="2" t="s">
        <v>396</v>
      </c>
      <c r="C553" s="2" t="n">
        <v>1</v>
      </c>
      <c r="D553" s="2" t="s">
        <v>535</v>
      </c>
      <c r="E553" s="2" t="s">
        <v>12</v>
      </c>
      <c r="F553" s="2" t="n">
        <v>140</v>
      </c>
      <c r="G553" s="2" t="n">
        <v>8</v>
      </c>
    </row>
    <row r="554" customFormat="false" ht="16.5" hidden="false" customHeight="true" outlineLevel="0" collapsed="false">
      <c r="A554" s="2" t="s">
        <v>385</v>
      </c>
      <c r="B554" s="2" t="s">
        <v>396</v>
      </c>
      <c r="C554" s="2" t="n">
        <v>1</v>
      </c>
      <c r="D554" s="2" t="s">
        <v>535</v>
      </c>
      <c r="E554" s="2" t="s">
        <v>13</v>
      </c>
      <c r="F554" s="2" t="n">
        <v>140</v>
      </c>
      <c r="G554" s="2" t="n">
        <v>12</v>
      </c>
    </row>
    <row r="555" customFormat="false" ht="16.5" hidden="false" customHeight="true" outlineLevel="0" collapsed="false">
      <c r="A555" s="2" t="s">
        <v>385</v>
      </c>
      <c r="B555" s="2" t="s">
        <v>396</v>
      </c>
      <c r="C555" s="2" t="n">
        <v>1</v>
      </c>
      <c r="D555" s="2" t="s">
        <v>535</v>
      </c>
      <c r="E555" s="2" t="s">
        <v>14</v>
      </c>
      <c r="F555" s="2" t="n">
        <v>140</v>
      </c>
      <c r="G555" s="2" t="n">
        <v>16</v>
      </c>
    </row>
    <row r="556" customFormat="false" ht="16.5" hidden="false" customHeight="true" outlineLevel="0" collapsed="false">
      <c r="A556" s="2" t="s">
        <v>385</v>
      </c>
      <c r="B556" s="2" t="s">
        <v>396</v>
      </c>
      <c r="C556" s="2" t="n">
        <v>1</v>
      </c>
      <c r="D556" s="2" t="s">
        <v>535</v>
      </c>
      <c r="E556" s="2" t="s">
        <v>15</v>
      </c>
      <c r="F556" s="2" t="n">
        <v>140</v>
      </c>
      <c r="G556" s="2" t="n">
        <v>20</v>
      </c>
    </row>
    <row r="557" customFormat="false" ht="16.5" hidden="false" customHeight="true" outlineLevel="0" collapsed="false">
      <c r="A557" s="2" t="s">
        <v>385</v>
      </c>
      <c r="B557" s="2" t="s">
        <v>396</v>
      </c>
      <c r="C557" s="2" t="n">
        <v>1</v>
      </c>
      <c r="D557" s="2" t="s">
        <v>535</v>
      </c>
      <c r="E557" s="2" t="s">
        <v>16</v>
      </c>
      <c r="F557" s="2" t="n">
        <v>140</v>
      </c>
      <c r="G557" s="2" t="n">
        <v>24</v>
      </c>
    </row>
    <row r="558" customFormat="false" ht="16.5" hidden="false" customHeight="true" outlineLevel="0" collapsed="false">
      <c r="A558" s="2" t="s">
        <v>385</v>
      </c>
      <c r="B558" s="2" t="s">
        <v>396</v>
      </c>
      <c r="C558" s="2" t="n">
        <v>1</v>
      </c>
      <c r="D558" s="2" t="s">
        <v>535</v>
      </c>
      <c r="E558" s="2" t="s">
        <v>17</v>
      </c>
      <c r="F558" s="2" t="n">
        <v>140</v>
      </c>
      <c r="G558" s="2" t="n">
        <v>28</v>
      </c>
    </row>
    <row r="559" customFormat="false" ht="16.5" hidden="false" customHeight="true" outlineLevel="0" collapsed="false">
      <c r="A559" s="2" t="s">
        <v>385</v>
      </c>
      <c r="B559" s="2" t="s">
        <v>396</v>
      </c>
      <c r="C559" s="2" t="n">
        <v>1</v>
      </c>
      <c r="D559" s="2" t="s">
        <v>535</v>
      </c>
      <c r="E559" s="2" t="s">
        <v>18</v>
      </c>
      <c r="F559" s="2" t="n">
        <v>140</v>
      </c>
      <c r="G559" s="2" t="n">
        <v>32</v>
      </c>
    </row>
    <row r="560" customFormat="false" ht="16.5" hidden="false" customHeight="true" outlineLevel="0" collapsed="false">
      <c r="A560" s="2" t="s">
        <v>385</v>
      </c>
      <c r="B560" s="2" t="s">
        <v>396</v>
      </c>
      <c r="C560" s="2" t="n">
        <v>1</v>
      </c>
      <c r="D560" s="2" t="s">
        <v>535</v>
      </c>
      <c r="E560" s="2" t="s">
        <v>19</v>
      </c>
      <c r="F560" s="2" t="n">
        <v>140</v>
      </c>
      <c r="G560" s="2" t="n">
        <v>36</v>
      </c>
    </row>
    <row r="561" customFormat="false" ht="16.5" hidden="false" customHeight="true" outlineLevel="0" collapsed="false">
      <c r="A561" s="2" t="s">
        <v>385</v>
      </c>
      <c r="B561" s="2" t="s">
        <v>396</v>
      </c>
      <c r="C561" s="2" t="n">
        <v>1</v>
      </c>
      <c r="D561" s="2" t="s">
        <v>535</v>
      </c>
      <c r="E561" s="2" t="s">
        <v>20</v>
      </c>
      <c r="F561" s="2" t="n">
        <v>140</v>
      </c>
      <c r="G561" s="2" t="n">
        <v>40</v>
      </c>
    </row>
    <row r="562" customFormat="false" ht="16.5" hidden="false" customHeight="true" outlineLevel="0" collapsed="false">
      <c r="A562" s="2" t="s">
        <v>385</v>
      </c>
      <c r="B562" s="2" t="s">
        <v>396</v>
      </c>
      <c r="C562" s="2" t="n">
        <v>1</v>
      </c>
      <c r="D562" s="2" t="s">
        <v>535</v>
      </c>
      <c r="E562" s="2" t="s">
        <v>21</v>
      </c>
      <c r="F562" s="2" t="n">
        <v>140</v>
      </c>
      <c r="G562" s="2" t="n">
        <v>44</v>
      </c>
    </row>
    <row r="563" customFormat="false" ht="16.5" hidden="false" customHeight="true" outlineLevel="0" collapsed="false">
      <c r="A563" s="2" t="s">
        <v>385</v>
      </c>
      <c r="B563" s="2" t="s">
        <v>396</v>
      </c>
      <c r="C563" s="2" t="n">
        <v>1</v>
      </c>
      <c r="D563" s="2" t="s">
        <v>535</v>
      </c>
      <c r="E563" s="2" t="s">
        <v>22</v>
      </c>
      <c r="F563" s="2" t="n">
        <v>140</v>
      </c>
      <c r="G563" s="2" t="n">
        <v>48</v>
      </c>
    </row>
    <row r="564" customFormat="false" ht="16.5" hidden="false" customHeight="true" outlineLevel="0" collapsed="false">
      <c r="A564" s="2" t="s">
        <v>385</v>
      </c>
      <c r="B564" s="2" t="s">
        <v>396</v>
      </c>
      <c r="C564" s="2" t="n">
        <v>1</v>
      </c>
      <c r="D564" s="2" t="s">
        <v>535</v>
      </c>
      <c r="E564" s="2" t="s">
        <v>23</v>
      </c>
      <c r="F564" s="2" t="n">
        <v>140</v>
      </c>
      <c r="G564" s="2" t="n">
        <v>52</v>
      </c>
    </row>
    <row r="565" customFormat="false" ht="16.5" hidden="false" customHeight="true" outlineLevel="0" collapsed="false">
      <c r="A565" s="2" t="s">
        <v>385</v>
      </c>
      <c r="B565" s="2" t="s">
        <v>396</v>
      </c>
      <c r="C565" s="2" t="n">
        <v>1</v>
      </c>
      <c r="D565" s="2" t="s">
        <v>535</v>
      </c>
      <c r="E565" s="2" t="s">
        <v>24</v>
      </c>
      <c r="F565" s="2" t="n">
        <v>142</v>
      </c>
      <c r="G565" s="2" t="n">
        <v>9</v>
      </c>
    </row>
    <row r="566" customFormat="false" ht="16.5" hidden="false" customHeight="true" outlineLevel="0" collapsed="false">
      <c r="A566" s="2" t="s">
        <v>385</v>
      </c>
      <c r="B566" s="2" t="s">
        <v>396</v>
      </c>
      <c r="C566" s="2" t="n">
        <v>1</v>
      </c>
      <c r="D566" s="2" t="s">
        <v>535</v>
      </c>
      <c r="E566" s="2" t="s">
        <v>25</v>
      </c>
      <c r="F566" s="2" t="n">
        <v>142</v>
      </c>
      <c r="G566" s="2" t="n">
        <v>13</v>
      </c>
    </row>
    <row r="567" customFormat="false" ht="16.5" hidden="false" customHeight="true" outlineLevel="0" collapsed="false">
      <c r="A567" s="2" t="s">
        <v>385</v>
      </c>
      <c r="B567" s="2" t="s">
        <v>396</v>
      </c>
      <c r="C567" s="2" t="n">
        <v>1</v>
      </c>
      <c r="D567" s="2" t="s">
        <v>535</v>
      </c>
      <c r="E567" s="2" t="s">
        <v>26</v>
      </c>
      <c r="F567" s="2" t="n">
        <v>142</v>
      </c>
      <c r="G567" s="2" t="n">
        <v>17</v>
      </c>
    </row>
    <row r="568" customFormat="false" ht="16.5" hidden="false" customHeight="true" outlineLevel="0" collapsed="false">
      <c r="A568" s="2" t="s">
        <v>385</v>
      </c>
      <c r="B568" s="2" t="s">
        <v>396</v>
      </c>
      <c r="C568" s="2" t="n">
        <v>1</v>
      </c>
      <c r="D568" s="2" t="s">
        <v>535</v>
      </c>
      <c r="E568" s="2" t="s">
        <v>27</v>
      </c>
      <c r="F568" s="2" t="n">
        <v>142</v>
      </c>
      <c r="G568" s="2" t="n">
        <v>21</v>
      </c>
    </row>
    <row r="569" customFormat="false" ht="16.5" hidden="false" customHeight="true" outlineLevel="0" collapsed="false">
      <c r="A569" s="2" t="s">
        <v>385</v>
      </c>
      <c r="B569" s="2" t="s">
        <v>396</v>
      </c>
      <c r="C569" s="2" t="n">
        <v>1</v>
      </c>
      <c r="D569" s="2" t="s">
        <v>535</v>
      </c>
      <c r="E569" s="2" t="s">
        <v>28</v>
      </c>
      <c r="F569" s="2" t="n">
        <v>142</v>
      </c>
      <c r="G569" s="2" t="n">
        <v>25</v>
      </c>
    </row>
    <row r="570" customFormat="false" ht="16.5" hidden="false" customHeight="true" outlineLevel="0" collapsed="false">
      <c r="A570" s="2" t="s">
        <v>385</v>
      </c>
      <c r="B570" s="2" t="s">
        <v>396</v>
      </c>
      <c r="C570" s="2" t="n">
        <v>1</v>
      </c>
      <c r="D570" s="2" t="s">
        <v>535</v>
      </c>
      <c r="E570" s="2" t="s">
        <v>29</v>
      </c>
      <c r="F570" s="2" t="n">
        <v>142</v>
      </c>
      <c r="G570" s="2" t="n">
        <v>29</v>
      </c>
    </row>
    <row r="571" customFormat="false" ht="16.5" hidden="false" customHeight="true" outlineLevel="0" collapsed="false">
      <c r="A571" s="2" t="s">
        <v>385</v>
      </c>
      <c r="B571" s="2" t="s">
        <v>396</v>
      </c>
      <c r="C571" s="2" t="n">
        <v>1</v>
      </c>
      <c r="D571" s="2" t="s">
        <v>535</v>
      </c>
      <c r="E571" s="2" t="s">
        <v>30</v>
      </c>
      <c r="F571" s="2" t="n">
        <v>142</v>
      </c>
      <c r="G571" s="2" t="n">
        <v>33</v>
      </c>
    </row>
    <row r="572" customFormat="false" ht="16.5" hidden="false" customHeight="true" outlineLevel="0" collapsed="false">
      <c r="A572" s="2" t="s">
        <v>385</v>
      </c>
      <c r="B572" s="2" t="s">
        <v>396</v>
      </c>
      <c r="C572" s="2" t="n">
        <v>1</v>
      </c>
      <c r="D572" s="2" t="s">
        <v>535</v>
      </c>
      <c r="E572" s="2" t="s">
        <v>31</v>
      </c>
      <c r="F572" s="2" t="n">
        <v>142</v>
      </c>
      <c r="G572" s="2" t="n">
        <v>37</v>
      </c>
    </row>
    <row r="573" customFormat="false" ht="16.5" hidden="false" customHeight="true" outlineLevel="0" collapsed="false">
      <c r="A573" s="2" t="s">
        <v>385</v>
      </c>
      <c r="B573" s="2" t="s">
        <v>396</v>
      </c>
      <c r="C573" s="2" t="n">
        <v>1</v>
      </c>
      <c r="D573" s="2" t="s">
        <v>535</v>
      </c>
      <c r="E573" s="2" t="s">
        <v>32</v>
      </c>
      <c r="F573" s="2" t="n">
        <v>142</v>
      </c>
      <c r="G573" s="2" t="n">
        <v>41</v>
      </c>
    </row>
    <row r="574" customFormat="false" ht="16.5" hidden="false" customHeight="true" outlineLevel="0" collapsed="false">
      <c r="A574" s="2" t="s">
        <v>385</v>
      </c>
      <c r="B574" s="2" t="s">
        <v>396</v>
      </c>
      <c r="C574" s="2" t="n">
        <v>1</v>
      </c>
      <c r="D574" s="2" t="s">
        <v>535</v>
      </c>
      <c r="E574" s="2" t="s">
        <v>33</v>
      </c>
      <c r="F574" s="2" t="n">
        <v>142</v>
      </c>
      <c r="G574" s="2" t="n">
        <v>45</v>
      </c>
    </row>
    <row r="575" customFormat="false" ht="16.5" hidden="false" customHeight="true" outlineLevel="0" collapsed="false">
      <c r="A575" s="2" t="s">
        <v>385</v>
      </c>
      <c r="B575" s="2" t="s">
        <v>396</v>
      </c>
      <c r="C575" s="2" t="n">
        <v>1</v>
      </c>
      <c r="D575" s="2" t="s">
        <v>535</v>
      </c>
      <c r="E575" s="2" t="s">
        <v>34</v>
      </c>
      <c r="F575" s="2" t="n">
        <v>142</v>
      </c>
      <c r="G575" s="2" t="n">
        <v>49</v>
      </c>
    </row>
    <row r="576" customFormat="false" ht="16.5" hidden="false" customHeight="true" outlineLevel="0" collapsed="false">
      <c r="A576" s="2" t="s">
        <v>385</v>
      </c>
      <c r="B576" s="2" t="s">
        <v>396</v>
      </c>
      <c r="C576" s="2" t="n">
        <v>1</v>
      </c>
      <c r="D576" s="2" t="s">
        <v>535</v>
      </c>
      <c r="E576" s="2" t="s">
        <v>35</v>
      </c>
      <c r="F576" s="2" t="n">
        <v>144</v>
      </c>
      <c r="G576" s="2" t="n">
        <v>11</v>
      </c>
    </row>
    <row r="577" customFormat="false" ht="16.5" hidden="false" customHeight="true" outlineLevel="0" collapsed="false">
      <c r="A577" s="2" t="s">
        <v>385</v>
      </c>
      <c r="B577" s="2" t="s">
        <v>396</v>
      </c>
      <c r="C577" s="2" t="n">
        <v>1</v>
      </c>
      <c r="D577" s="2" t="s">
        <v>535</v>
      </c>
      <c r="E577" s="2" t="s">
        <v>36</v>
      </c>
      <c r="F577" s="2" t="n">
        <v>144</v>
      </c>
      <c r="G577" s="2" t="n">
        <v>15</v>
      </c>
    </row>
    <row r="578" customFormat="false" ht="16.5" hidden="false" customHeight="true" outlineLevel="0" collapsed="false">
      <c r="A578" s="2" t="s">
        <v>385</v>
      </c>
      <c r="B578" s="2" t="s">
        <v>396</v>
      </c>
      <c r="C578" s="2" t="n">
        <v>1</v>
      </c>
      <c r="D578" s="2" t="s">
        <v>535</v>
      </c>
      <c r="E578" s="2" t="s">
        <v>37</v>
      </c>
      <c r="F578" s="2" t="n">
        <v>144</v>
      </c>
      <c r="G578" s="2" t="n">
        <v>19</v>
      </c>
    </row>
    <row r="579" customFormat="false" ht="16.5" hidden="false" customHeight="true" outlineLevel="0" collapsed="false">
      <c r="A579" s="2" t="s">
        <v>385</v>
      </c>
      <c r="B579" s="2" t="s">
        <v>396</v>
      </c>
      <c r="C579" s="2" t="n">
        <v>1</v>
      </c>
      <c r="D579" s="2" t="s">
        <v>535</v>
      </c>
      <c r="E579" s="2" t="s">
        <v>38</v>
      </c>
      <c r="F579" s="2" t="n">
        <v>144</v>
      </c>
      <c r="G579" s="2" t="n">
        <v>23</v>
      </c>
    </row>
    <row r="580" customFormat="false" ht="16.5" hidden="false" customHeight="true" outlineLevel="0" collapsed="false">
      <c r="A580" s="2" t="s">
        <v>385</v>
      </c>
      <c r="B580" s="2" t="s">
        <v>396</v>
      </c>
      <c r="C580" s="2" t="n">
        <v>1</v>
      </c>
      <c r="D580" s="2" t="s">
        <v>535</v>
      </c>
      <c r="E580" s="2" t="s">
        <v>39</v>
      </c>
      <c r="F580" s="2" t="n">
        <v>144</v>
      </c>
      <c r="G580" s="2" t="n">
        <v>27</v>
      </c>
    </row>
    <row r="581" customFormat="false" ht="16.5" hidden="false" customHeight="true" outlineLevel="0" collapsed="false">
      <c r="A581" s="2" t="s">
        <v>385</v>
      </c>
      <c r="B581" s="2" t="s">
        <v>396</v>
      </c>
      <c r="C581" s="2" t="n">
        <v>1</v>
      </c>
      <c r="D581" s="2" t="s">
        <v>535</v>
      </c>
      <c r="E581" s="2" t="s">
        <v>40</v>
      </c>
      <c r="F581" s="2" t="n">
        <v>144</v>
      </c>
      <c r="G581" s="2" t="n">
        <v>31</v>
      </c>
    </row>
    <row r="582" customFormat="false" ht="16.5" hidden="false" customHeight="true" outlineLevel="0" collapsed="false">
      <c r="A582" s="2" t="s">
        <v>385</v>
      </c>
      <c r="B582" s="2" t="s">
        <v>396</v>
      </c>
      <c r="C582" s="2" t="n">
        <v>1</v>
      </c>
      <c r="D582" s="2" t="s">
        <v>535</v>
      </c>
      <c r="E582" s="2" t="s">
        <v>41</v>
      </c>
      <c r="F582" s="2" t="n">
        <v>144</v>
      </c>
      <c r="G582" s="2" t="n">
        <v>35</v>
      </c>
    </row>
    <row r="583" customFormat="false" ht="16.5" hidden="false" customHeight="true" outlineLevel="0" collapsed="false">
      <c r="A583" s="2" t="s">
        <v>385</v>
      </c>
      <c r="B583" s="2" t="s">
        <v>396</v>
      </c>
      <c r="C583" s="2" t="n">
        <v>1</v>
      </c>
      <c r="D583" s="2" t="s">
        <v>535</v>
      </c>
      <c r="E583" s="2" t="s">
        <v>42</v>
      </c>
      <c r="F583" s="2" t="n">
        <v>144</v>
      </c>
      <c r="G583" s="2" t="n">
        <v>39</v>
      </c>
    </row>
    <row r="584" customFormat="false" ht="16.5" hidden="false" customHeight="true" outlineLevel="0" collapsed="false">
      <c r="A584" s="2" t="s">
        <v>385</v>
      </c>
      <c r="B584" s="2" t="s">
        <v>396</v>
      </c>
      <c r="C584" s="2" t="n">
        <v>1</v>
      </c>
      <c r="D584" s="2" t="s">
        <v>535</v>
      </c>
      <c r="E584" s="2" t="s">
        <v>43</v>
      </c>
      <c r="F584" s="2" t="n">
        <v>144</v>
      </c>
      <c r="G584" s="2" t="n">
        <v>43</v>
      </c>
    </row>
    <row r="585" customFormat="false" ht="16.5" hidden="false" customHeight="true" outlineLevel="0" collapsed="false">
      <c r="A585" s="2" t="s">
        <v>385</v>
      </c>
      <c r="B585" s="2" t="s">
        <v>396</v>
      </c>
      <c r="C585" s="2" t="n">
        <v>1</v>
      </c>
      <c r="D585" s="2" t="s">
        <v>535</v>
      </c>
      <c r="E585" s="2" t="s">
        <v>44</v>
      </c>
      <c r="F585" s="2" t="n">
        <v>144</v>
      </c>
      <c r="G585" s="2" t="n">
        <v>47</v>
      </c>
    </row>
    <row r="586" customFormat="false" ht="16.5" hidden="false" customHeight="true" outlineLevel="0" collapsed="false">
      <c r="A586" s="2" t="s">
        <v>385</v>
      </c>
      <c r="B586" s="2" t="s">
        <v>396</v>
      </c>
      <c r="C586" s="2" t="n">
        <v>1</v>
      </c>
      <c r="D586" s="2" t="s">
        <v>535</v>
      </c>
      <c r="E586" s="2" t="s">
        <v>48</v>
      </c>
      <c r="F586" s="2" t="n">
        <v>146</v>
      </c>
      <c r="G586" s="2" t="n">
        <v>16</v>
      </c>
    </row>
    <row r="587" customFormat="false" ht="16.5" hidden="false" customHeight="true" outlineLevel="0" collapsed="false">
      <c r="A587" s="2" t="s">
        <v>385</v>
      </c>
      <c r="B587" s="2" t="s">
        <v>396</v>
      </c>
      <c r="C587" s="2" t="n">
        <v>1</v>
      </c>
      <c r="D587" s="2" t="s">
        <v>535</v>
      </c>
      <c r="E587" s="2" t="s">
        <v>50</v>
      </c>
      <c r="F587" s="2" t="n">
        <v>146</v>
      </c>
      <c r="G587" s="2" t="n">
        <v>20</v>
      </c>
    </row>
    <row r="588" customFormat="false" ht="16.5" hidden="false" customHeight="true" outlineLevel="0" collapsed="false">
      <c r="A588" s="2" t="s">
        <v>385</v>
      </c>
      <c r="B588" s="2" t="s">
        <v>396</v>
      </c>
      <c r="C588" s="2" t="n">
        <v>1</v>
      </c>
      <c r="D588" s="2" t="s">
        <v>535</v>
      </c>
      <c r="E588" s="2" t="s">
        <v>45</v>
      </c>
      <c r="F588" s="2" t="n">
        <v>146</v>
      </c>
      <c r="G588" s="2" t="n">
        <v>38</v>
      </c>
    </row>
    <row r="589" customFormat="false" ht="16.5" hidden="false" customHeight="true" outlineLevel="0" collapsed="false">
      <c r="A589" s="2" t="s">
        <v>385</v>
      </c>
      <c r="B589" s="2" t="s">
        <v>396</v>
      </c>
      <c r="C589" s="2" t="n">
        <v>1</v>
      </c>
      <c r="D589" s="2" t="s">
        <v>535</v>
      </c>
      <c r="E589" s="2" t="s">
        <v>46</v>
      </c>
      <c r="F589" s="2" t="n">
        <v>146</v>
      </c>
      <c r="G589" s="2" t="n">
        <v>42</v>
      </c>
    </row>
    <row r="590" customFormat="false" ht="16.5" hidden="false" customHeight="true" outlineLevel="0" collapsed="false">
      <c r="A590" s="2" t="s">
        <v>385</v>
      </c>
      <c r="B590" s="2" t="s">
        <v>397</v>
      </c>
      <c r="C590" s="2" t="n">
        <v>1</v>
      </c>
      <c r="D590" s="2" t="s">
        <v>536</v>
      </c>
      <c r="E590" s="2" t="s">
        <v>0</v>
      </c>
      <c r="F590" s="2" t="n">
        <v>151</v>
      </c>
      <c r="G590" s="2" t="n">
        <v>6</v>
      </c>
    </row>
    <row r="591" customFormat="false" ht="16.5" hidden="false" customHeight="true" outlineLevel="0" collapsed="false">
      <c r="A591" s="2" t="s">
        <v>385</v>
      </c>
      <c r="B591" s="2" t="s">
        <v>397</v>
      </c>
      <c r="C591" s="2" t="n">
        <v>1</v>
      </c>
      <c r="D591" s="2" t="s">
        <v>536</v>
      </c>
      <c r="E591" s="2" t="s">
        <v>1</v>
      </c>
      <c r="F591" s="2" t="n">
        <v>151</v>
      </c>
      <c r="G591" s="2" t="n">
        <v>10</v>
      </c>
    </row>
    <row r="592" customFormat="false" ht="16.5" hidden="false" customHeight="true" outlineLevel="0" collapsed="false">
      <c r="A592" s="2" t="s">
        <v>385</v>
      </c>
      <c r="B592" s="2" t="s">
        <v>397</v>
      </c>
      <c r="C592" s="2" t="n">
        <v>1</v>
      </c>
      <c r="D592" s="2" t="s">
        <v>536</v>
      </c>
      <c r="E592" s="2" t="s">
        <v>2</v>
      </c>
      <c r="F592" s="2" t="n">
        <v>151</v>
      </c>
      <c r="G592" s="2" t="n">
        <v>14</v>
      </c>
    </row>
    <row r="593" customFormat="false" ht="16.5" hidden="false" customHeight="true" outlineLevel="0" collapsed="false">
      <c r="A593" s="2" t="s">
        <v>385</v>
      </c>
      <c r="B593" s="2" t="s">
        <v>397</v>
      </c>
      <c r="C593" s="2" t="n">
        <v>1</v>
      </c>
      <c r="D593" s="2" t="s">
        <v>536</v>
      </c>
      <c r="E593" s="2" t="s">
        <v>3</v>
      </c>
      <c r="F593" s="2" t="n">
        <v>151</v>
      </c>
      <c r="G593" s="2" t="n">
        <v>18</v>
      </c>
    </row>
    <row r="594" customFormat="false" ht="16.5" hidden="false" customHeight="true" outlineLevel="0" collapsed="false">
      <c r="A594" s="2" t="s">
        <v>385</v>
      </c>
      <c r="B594" s="2" t="s">
        <v>397</v>
      </c>
      <c r="C594" s="2" t="n">
        <v>1</v>
      </c>
      <c r="D594" s="2" t="s">
        <v>536</v>
      </c>
      <c r="E594" s="2" t="s">
        <v>4</v>
      </c>
      <c r="F594" s="2" t="n">
        <v>151</v>
      </c>
      <c r="G594" s="2" t="n">
        <v>22</v>
      </c>
    </row>
    <row r="595" customFormat="false" ht="16.5" hidden="false" customHeight="true" outlineLevel="0" collapsed="false">
      <c r="A595" s="2" t="s">
        <v>385</v>
      </c>
      <c r="B595" s="2" t="s">
        <v>397</v>
      </c>
      <c r="C595" s="2" t="n">
        <v>1</v>
      </c>
      <c r="D595" s="2" t="s">
        <v>536</v>
      </c>
      <c r="E595" s="2" t="s">
        <v>5</v>
      </c>
      <c r="F595" s="2" t="n">
        <v>151</v>
      </c>
      <c r="G595" s="2" t="n">
        <v>26</v>
      </c>
    </row>
    <row r="596" customFormat="false" ht="16.5" hidden="false" customHeight="true" outlineLevel="0" collapsed="false">
      <c r="A596" s="2" t="s">
        <v>385</v>
      </c>
      <c r="B596" s="2" t="s">
        <v>397</v>
      </c>
      <c r="C596" s="2" t="n">
        <v>1</v>
      </c>
      <c r="D596" s="2" t="s">
        <v>536</v>
      </c>
      <c r="E596" s="2" t="s">
        <v>6</v>
      </c>
      <c r="F596" s="2" t="n">
        <v>151</v>
      </c>
      <c r="G596" s="2" t="n">
        <v>30</v>
      </c>
    </row>
    <row r="597" customFormat="false" ht="16.5" hidden="false" customHeight="true" outlineLevel="0" collapsed="false">
      <c r="A597" s="2" t="s">
        <v>385</v>
      </c>
      <c r="B597" s="2" t="s">
        <v>397</v>
      </c>
      <c r="C597" s="2" t="n">
        <v>1</v>
      </c>
      <c r="D597" s="2" t="s">
        <v>536</v>
      </c>
      <c r="E597" s="2" t="s">
        <v>7</v>
      </c>
      <c r="F597" s="2" t="n">
        <v>151</v>
      </c>
      <c r="G597" s="2" t="n">
        <v>34</v>
      </c>
    </row>
    <row r="598" customFormat="false" ht="16.5" hidden="false" customHeight="true" outlineLevel="0" collapsed="false">
      <c r="A598" s="2" t="s">
        <v>385</v>
      </c>
      <c r="B598" s="2" t="s">
        <v>397</v>
      </c>
      <c r="C598" s="2" t="n">
        <v>1</v>
      </c>
      <c r="D598" s="2" t="s">
        <v>536</v>
      </c>
      <c r="E598" s="2" t="s">
        <v>8</v>
      </c>
      <c r="F598" s="2" t="n">
        <v>151</v>
      </c>
      <c r="G598" s="2" t="n">
        <v>38</v>
      </c>
    </row>
    <row r="599" customFormat="false" ht="16.5" hidden="false" customHeight="true" outlineLevel="0" collapsed="false">
      <c r="A599" s="2" t="s">
        <v>385</v>
      </c>
      <c r="B599" s="2" t="s">
        <v>397</v>
      </c>
      <c r="C599" s="2" t="n">
        <v>1</v>
      </c>
      <c r="D599" s="2" t="s">
        <v>536</v>
      </c>
      <c r="E599" s="2" t="s">
        <v>9</v>
      </c>
      <c r="F599" s="2" t="n">
        <v>151</v>
      </c>
      <c r="G599" s="2" t="n">
        <v>42</v>
      </c>
    </row>
    <row r="600" customFormat="false" ht="16.5" hidden="false" customHeight="true" outlineLevel="0" collapsed="false">
      <c r="A600" s="2" t="s">
        <v>385</v>
      </c>
      <c r="B600" s="2" t="s">
        <v>397</v>
      </c>
      <c r="C600" s="2" t="n">
        <v>1</v>
      </c>
      <c r="D600" s="2" t="s">
        <v>536</v>
      </c>
      <c r="E600" s="2" t="s">
        <v>10</v>
      </c>
      <c r="F600" s="2" t="n">
        <v>151</v>
      </c>
      <c r="G600" s="2" t="n">
        <v>46</v>
      </c>
    </row>
    <row r="601" customFormat="false" ht="16.5" hidden="false" customHeight="true" outlineLevel="0" collapsed="false">
      <c r="A601" s="2" t="s">
        <v>385</v>
      </c>
      <c r="B601" s="2" t="s">
        <v>397</v>
      </c>
      <c r="C601" s="2" t="n">
        <v>1</v>
      </c>
      <c r="D601" s="2" t="s">
        <v>536</v>
      </c>
      <c r="E601" s="2" t="s">
        <v>11</v>
      </c>
      <c r="F601" s="2" t="n">
        <v>151</v>
      </c>
      <c r="G601" s="2" t="n">
        <v>50</v>
      </c>
    </row>
    <row r="602" customFormat="false" ht="16.5" hidden="false" customHeight="true" outlineLevel="0" collapsed="false">
      <c r="A602" s="2" t="s">
        <v>385</v>
      </c>
      <c r="B602" s="2" t="s">
        <v>397</v>
      </c>
      <c r="C602" s="2" t="n">
        <v>1</v>
      </c>
      <c r="D602" s="2" t="s">
        <v>536</v>
      </c>
      <c r="E602" s="2" t="s">
        <v>12</v>
      </c>
      <c r="F602" s="2" t="n">
        <v>153</v>
      </c>
      <c r="G602" s="2" t="n">
        <v>8</v>
      </c>
    </row>
    <row r="603" customFormat="false" ht="16.5" hidden="false" customHeight="true" outlineLevel="0" collapsed="false">
      <c r="A603" s="2" t="s">
        <v>385</v>
      </c>
      <c r="B603" s="2" t="s">
        <v>397</v>
      </c>
      <c r="C603" s="2" t="n">
        <v>1</v>
      </c>
      <c r="D603" s="2" t="s">
        <v>536</v>
      </c>
      <c r="E603" s="2" t="s">
        <v>13</v>
      </c>
      <c r="F603" s="2" t="n">
        <v>153</v>
      </c>
      <c r="G603" s="2" t="n">
        <v>12</v>
      </c>
    </row>
    <row r="604" customFormat="false" ht="16.5" hidden="false" customHeight="true" outlineLevel="0" collapsed="false">
      <c r="A604" s="2" t="s">
        <v>385</v>
      </c>
      <c r="B604" s="2" t="s">
        <v>397</v>
      </c>
      <c r="C604" s="2" t="n">
        <v>1</v>
      </c>
      <c r="D604" s="2" t="s">
        <v>536</v>
      </c>
      <c r="E604" s="2" t="s">
        <v>14</v>
      </c>
      <c r="F604" s="2" t="n">
        <v>153</v>
      </c>
      <c r="G604" s="2" t="n">
        <v>16</v>
      </c>
    </row>
    <row r="605" customFormat="false" ht="16.5" hidden="false" customHeight="true" outlineLevel="0" collapsed="false">
      <c r="A605" s="2" t="s">
        <v>385</v>
      </c>
      <c r="B605" s="2" t="s">
        <v>397</v>
      </c>
      <c r="C605" s="2" t="n">
        <v>1</v>
      </c>
      <c r="D605" s="2" t="s">
        <v>536</v>
      </c>
      <c r="E605" s="2" t="s">
        <v>15</v>
      </c>
      <c r="F605" s="2" t="n">
        <v>153</v>
      </c>
      <c r="G605" s="2" t="n">
        <v>20</v>
      </c>
    </row>
    <row r="606" customFormat="false" ht="16.5" hidden="false" customHeight="true" outlineLevel="0" collapsed="false">
      <c r="A606" s="2" t="s">
        <v>385</v>
      </c>
      <c r="B606" s="2" t="s">
        <v>397</v>
      </c>
      <c r="C606" s="2" t="n">
        <v>1</v>
      </c>
      <c r="D606" s="2" t="s">
        <v>536</v>
      </c>
      <c r="E606" s="2" t="s">
        <v>16</v>
      </c>
      <c r="F606" s="2" t="n">
        <v>153</v>
      </c>
      <c r="G606" s="2" t="n">
        <v>24</v>
      </c>
    </row>
    <row r="607" customFormat="false" ht="16.5" hidden="false" customHeight="true" outlineLevel="0" collapsed="false">
      <c r="A607" s="2" t="s">
        <v>385</v>
      </c>
      <c r="B607" s="2" t="s">
        <v>397</v>
      </c>
      <c r="C607" s="2" t="n">
        <v>1</v>
      </c>
      <c r="D607" s="2" t="s">
        <v>536</v>
      </c>
      <c r="E607" s="2" t="s">
        <v>17</v>
      </c>
      <c r="F607" s="2" t="n">
        <v>153</v>
      </c>
      <c r="G607" s="2" t="n">
        <v>28</v>
      </c>
    </row>
    <row r="608" customFormat="false" ht="16.5" hidden="false" customHeight="true" outlineLevel="0" collapsed="false">
      <c r="A608" s="2" t="s">
        <v>385</v>
      </c>
      <c r="B608" s="2" t="s">
        <v>397</v>
      </c>
      <c r="C608" s="2" t="n">
        <v>1</v>
      </c>
      <c r="D608" s="2" t="s">
        <v>536</v>
      </c>
      <c r="E608" s="2" t="s">
        <v>18</v>
      </c>
      <c r="F608" s="2" t="n">
        <v>153</v>
      </c>
      <c r="G608" s="2" t="n">
        <v>32</v>
      </c>
    </row>
    <row r="609" customFormat="false" ht="16.5" hidden="false" customHeight="true" outlineLevel="0" collapsed="false">
      <c r="A609" s="2" t="s">
        <v>385</v>
      </c>
      <c r="B609" s="2" t="s">
        <v>397</v>
      </c>
      <c r="C609" s="2" t="n">
        <v>1</v>
      </c>
      <c r="D609" s="2" t="s">
        <v>536</v>
      </c>
      <c r="E609" s="2" t="s">
        <v>19</v>
      </c>
      <c r="F609" s="2" t="n">
        <v>153</v>
      </c>
      <c r="G609" s="2" t="n">
        <v>36</v>
      </c>
    </row>
    <row r="610" customFormat="false" ht="16.5" hidden="false" customHeight="true" outlineLevel="0" collapsed="false">
      <c r="A610" s="2" t="s">
        <v>385</v>
      </c>
      <c r="B610" s="2" t="s">
        <v>397</v>
      </c>
      <c r="C610" s="2" t="n">
        <v>1</v>
      </c>
      <c r="D610" s="2" t="s">
        <v>536</v>
      </c>
      <c r="E610" s="2" t="s">
        <v>20</v>
      </c>
      <c r="F610" s="2" t="n">
        <v>153</v>
      </c>
      <c r="G610" s="2" t="n">
        <v>40</v>
      </c>
    </row>
    <row r="611" customFormat="false" ht="16.5" hidden="false" customHeight="true" outlineLevel="0" collapsed="false">
      <c r="A611" s="2" t="s">
        <v>385</v>
      </c>
      <c r="B611" s="2" t="s">
        <v>397</v>
      </c>
      <c r="C611" s="2" t="n">
        <v>1</v>
      </c>
      <c r="D611" s="2" t="s">
        <v>536</v>
      </c>
      <c r="E611" s="2" t="s">
        <v>21</v>
      </c>
      <c r="F611" s="2" t="n">
        <v>153</v>
      </c>
      <c r="G611" s="2" t="n">
        <v>44</v>
      </c>
    </row>
    <row r="612" customFormat="false" ht="16.5" hidden="false" customHeight="true" outlineLevel="0" collapsed="false">
      <c r="A612" s="2" t="s">
        <v>385</v>
      </c>
      <c r="B612" s="2" t="s">
        <v>397</v>
      </c>
      <c r="C612" s="2" t="n">
        <v>1</v>
      </c>
      <c r="D612" s="2" t="s">
        <v>536</v>
      </c>
      <c r="E612" s="2" t="s">
        <v>22</v>
      </c>
      <c r="F612" s="2" t="n">
        <v>153</v>
      </c>
      <c r="G612" s="2" t="n">
        <v>48</v>
      </c>
    </row>
    <row r="613" customFormat="false" ht="16.5" hidden="false" customHeight="true" outlineLevel="0" collapsed="false">
      <c r="A613" s="2" t="s">
        <v>385</v>
      </c>
      <c r="B613" s="2" t="s">
        <v>397</v>
      </c>
      <c r="C613" s="2" t="n">
        <v>1</v>
      </c>
      <c r="D613" s="2" t="s">
        <v>536</v>
      </c>
      <c r="E613" s="2" t="s">
        <v>23</v>
      </c>
      <c r="F613" s="2" t="n">
        <v>153</v>
      </c>
      <c r="G613" s="2" t="n">
        <v>52</v>
      </c>
    </row>
    <row r="614" customFormat="false" ht="16.5" hidden="false" customHeight="true" outlineLevel="0" collapsed="false">
      <c r="A614" s="2" t="s">
        <v>385</v>
      </c>
      <c r="B614" s="2" t="s">
        <v>397</v>
      </c>
      <c r="C614" s="2" t="n">
        <v>1</v>
      </c>
      <c r="D614" s="2" t="s">
        <v>536</v>
      </c>
      <c r="E614" s="2" t="s">
        <v>24</v>
      </c>
      <c r="F614" s="2" t="n">
        <v>155</v>
      </c>
      <c r="G614" s="2" t="n">
        <v>9</v>
      </c>
    </row>
    <row r="615" customFormat="false" ht="16.5" hidden="false" customHeight="true" outlineLevel="0" collapsed="false">
      <c r="A615" s="2" t="s">
        <v>385</v>
      </c>
      <c r="B615" s="2" t="s">
        <v>397</v>
      </c>
      <c r="C615" s="2" t="n">
        <v>1</v>
      </c>
      <c r="D615" s="2" t="s">
        <v>536</v>
      </c>
      <c r="E615" s="2" t="s">
        <v>25</v>
      </c>
      <c r="F615" s="2" t="n">
        <v>155</v>
      </c>
      <c r="G615" s="2" t="n">
        <v>13</v>
      </c>
    </row>
    <row r="616" customFormat="false" ht="16.5" hidden="false" customHeight="true" outlineLevel="0" collapsed="false">
      <c r="A616" s="2" t="s">
        <v>385</v>
      </c>
      <c r="B616" s="2" t="s">
        <v>397</v>
      </c>
      <c r="C616" s="2" t="n">
        <v>1</v>
      </c>
      <c r="D616" s="2" t="s">
        <v>536</v>
      </c>
      <c r="E616" s="2" t="s">
        <v>26</v>
      </c>
      <c r="F616" s="2" t="n">
        <v>155</v>
      </c>
      <c r="G616" s="2" t="n">
        <v>17</v>
      </c>
    </row>
    <row r="617" customFormat="false" ht="16.5" hidden="false" customHeight="true" outlineLevel="0" collapsed="false">
      <c r="A617" s="2" t="s">
        <v>385</v>
      </c>
      <c r="B617" s="2" t="s">
        <v>397</v>
      </c>
      <c r="C617" s="2" t="n">
        <v>1</v>
      </c>
      <c r="D617" s="2" t="s">
        <v>536</v>
      </c>
      <c r="E617" s="2" t="s">
        <v>27</v>
      </c>
      <c r="F617" s="2" t="n">
        <v>155</v>
      </c>
      <c r="G617" s="2" t="n">
        <v>21</v>
      </c>
    </row>
    <row r="618" customFormat="false" ht="16.5" hidden="false" customHeight="true" outlineLevel="0" collapsed="false">
      <c r="A618" s="2" t="s">
        <v>385</v>
      </c>
      <c r="B618" s="2" t="s">
        <v>397</v>
      </c>
      <c r="C618" s="2" t="n">
        <v>1</v>
      </c>
      <c r="D618" s="2" t="s">
        <v>536</v>
      </c>
      <c r="E618" s="2" t="s">
        <v>28</v>
      </c>
      <c r="F618" s="2" t="n">
        <v>155</v>
      </c>
      <c r="G618" s="2" t="n">
        <v>25</v>
      </c>
    </row>
    <row r="619" customFormat="false" ht="16.5" hidden="false" customHeight="true" outlineLevel="0" collapsed="false">
      <c r="A619" s="2" t="s">
        <v>385</v>
      </c>
      <c r="B619" s="2" t="s">
        <v>397</v>
      </c>
      <c r="C619" s="2" t="n">
        <v>1</v>
      </c>
      <c r="D619" s="2" t="s">
        <v>536</v>
      </c>
      <c r="E619" s="2" t="s">
        <v>29</v>
      </c>
      <c r="F619" s="2" t="n">
        <v>155</v>
      </c>
      <c r="G619" s="2" t="n">
        <v>29</v>
      </c>
    </row>
    <row r="620" customFormat="false" ht="16.5" hidden="false" customHeight="true" outlineLevel="0" collapsed="false">
      <c r="A620" s="2" t="s">
        <v>385</v>
      </c>
      <c r="B620" s="2" t="s">
        <v>397</v>
      </c>
      <c r="C620" s="2" t="n">
        <v>1</v>
      </c>
      <c r="D620" s="2" t="s">
        <v>536</v>
      </c>
      <c r="E620" s="2" t="s">
        <v>30</v>
      </c>
      <c r="F620" s="2" t="n">
        <v>155</v>
      </c>
      <c r="G620" s="2" t="n">
        <v>33</v>
      </c>
    </row>
    <row r="621" customFormat="false" ht="16.5" hidden="false" customHeight="true" outlineLevel="0" collapsed="false">
      <c r="A621" s="2" t="s">
        <v>385</v>
      </c>
      <c r="B621" s="2" t="s">
        <v>397</v>
      </c>
      <c r="C621" s="2" t="n">
        <v>1</v>
      </c>
      <c r="D621" s="2" t="s">
        <v>536</v>
      </c>
      <c r="E621" s="2" t="s">
        <v>31</v>
      </c>
      <c r="F621" s="2" t="n">
        <v>155</v>
      </c>
      <c r="G621" s="2" t="n">
        <v>37</v>
      </c>
    </row>
    <row r="622" customFormat="false" ht="16.5" hidden="false" customHeight="true" outlineLevel="0" collapsed="false">
      <c r="A622" s="2" t="s">
        <v>385</v>
      </c>
      <c r="B622" s="2" t="s">
        <v>397</v>
      </c>
      <c r="C622" s="2" t="n">
        <v>1</v>
      </c>
      <c r="D622" s="2" t="s">
        <v>536</v>
      </c>
      <c r="E622" s="2" t="s">
        <v>32</v>
      </c>
      <c r="F622" s="2" t="n">
        <v>155</v>
      </c>
      <c r="G622" s="2" t="n">
        <v>41</v>
      </c>
    </row>
    <row r="623" customFormat="false" ht="16.5" hidden="false" customHeight="true" outlineLevel="0" collapsed="false">
      <c r="A623" s="2" t="s">
        <v>385</v>
      </c>
      <c r="B623" s="2" t="s">
        <v>397</v>
      </c>
      <c r="C623" s="2" t="n">
        <v>1</v>
      </c>
      <c r="D623" s="2" t="s">
        <v>536</v>
      </c>
      <c r="E623" s="2" t="s">
        <v>33</v>
      </c>
      <c r="F623" s="2" t="n">
        <v>155</v>
      </c>
      <c r="G623" s="2" t="n">
        <v>45</v>
      </c>
    </row>
    <row r="624" customFormat="false" ht="16.5" hidden="false" customHeight="true" outlineLevel="0" collapsed="false">
      <c r="A624" s="2" t="s">
        <v>385</v>
      </c>
      <c r="B624" s="2" t="s">
        <v>397</v>
      </c>
      <c r="C624" s="2" t="n">
        <v>1</v>
      </c>
      <c r="D624" s="2" t="s">
        <v>536</v>
      </c>
      <c r="E624" s="2" t="s">
        <v>34</v>
      </c>
      <c r="F624" s="2" t="n">
        <v>155</v>
      </c>
      <c r="G624" s="2" t="n">
        <v>49</v>
      </c>
    </row>
    <row r="625" customFormat="false" ht="16.5" hidden="false" customHeight="true" outlineLevel="0" collapsed="false">
      <c r="A625" s="2" t="s">
        <v>385</v>
      </c>
      <c r="B625" s="2" t="s">
        <v>397</v>
      </c>
      <c r="C625" s="2" t="n">
        <v>1</v>
      </c>
      <c r="D625" s="2" t="s">
        <v>536</v>
      </c>
      <c r="E625" s="2" t="s">
        <v>35</v>
      </c>
      <c r="F625" s="2" t="n">
        <v>157</v>
      </c>
      <c r="G625" s="2" t="n">
        <v>11</v>
      </c>
    </row>
    <row r="626" customFormat="false" ht="16.5" hidden="false" customHeight="true" outlineLevel="0" collapsed="false">
      <c r="A626" s="2" t="s">
        <v>385</v>
      </c>
      <c r="B626" s="2" t="s">
        <v>397</v>
      </c>
      <c r="C626" s="2" t="n">
        <v>1</v>
      </c>
      <c r="D626" s="2" t="s">
        <v>536</v>
      </c>
      <c r="E626" s="2" t="s">
        <v>36</v>
      </c>
      <c r="F626" s="2" t="n">
        <v>157</v>
      </c>
      <c r="G626" s="2" t="n">
        <v>15</v>
      </c>
    </row>
    <row r="627" customFormat="false" ht="16.5" hidden="false" customHeight="true" outlineLevel="0" collapsed="false">
      <c r="A627" s="2" t="s">
        <v>385</v>
      </c>
      <c r="B627" s="2" t="s">
        <v>397</v>
      </c>
      <c r="C627" s="2" t="n">
        <v>1</v>
      </c>
      <c r="D627" s="2" t="s">
        <v>536</v>
      </c>
      <c r="E627" s="2" t="s">
        <v>37</v>
      </c>
      <c r="F627" s="2" t="n">
        <v>157</v>
      </c>
      <c r="G627" s="2" t="n">
        <v>19</v>
      </c>
    </row>
    <row r="628" customFormat="false" ht="16.5" hidden="false" customHeight="true" outlineLevel="0" collapsed="false">
      <c r="A628" s="2" t="s">
        <v>385</v>
      </c>
      <c r="B628" s="2" t="s">
        <v>397</v>
      </c>
      <c r="C628" s="2" t="n">
        <v>1</v>
      </c>
      <c r="D628" s="2" t="s">
        <v>536</v>
      </c>
      <c r="E628" s="2" t="s">
        <v>38</v>
      </c>
      <c r="F628" s="2" t="n">
        <v>157</v>
      </c>
      <c r="G628" s="2" t="n">
        <v>23</v>
      </c>
    </row>
    <row r="629" customFormat="false" ht="16.5" hidden="false" customHeight="true" outlineLevel="0" collapsed="false">
      <c r="A629" s="2" t="s">
        <v>385</v>
      </c>
      <c r="B629" s="2" t="s">
        <v>397</v>
      </c>
      <c r="C629" s="2" t="n">
        <v>1</v>
      </c>
      <c r="D629" s="2" t="s">
        <v>536</v>
      </c>
      <c r="E629" s="2" t="s">
        <v>39</v>
      </c>
      <c r="F629" s="2" t="n">
        <v>157</v>
      </c>
      <c r="G629" s="2" t="n">
        <v>27</v>
      </c>
    </row>
    <row r="630" customFormat="false" ht="16.5" hidden="false" customHeight="true" outlineLevel="0" collapsed="false">
      <c r="A630" s="2" t="s">
        <v>385</v>
      </c>
      <c r="B630" s="2" t="s">
        <v>397</v>
      </c>
      <c r="C630" s="2" t="n">
        <v>1</v>
      </c>
      <c r="D630" s="2" t="s">
        <v>536</v>
      </c>
      <c r="E630" s="2" t="s">
        <v>40</v>
      </c>
      <c r="F630" s="2" t="n">
        <v>157</v>
      </c>
      <c r="G630" s="2" t="n">
        <v>31</v>
      </c>
    </row>
    <row r="631" customFormat="false" ht="16.5" hidden="false" customHeight="true" outlineLevel="0" collapsed="false">
      <c r="A631" s="2" t="s">
        <v>385</v>
      </c>
      <c r="B631" s="2" t="s">
        <v>397</v>
      </c>
      <c r="C631" s="2" t="n">
        <v>1</v>
      </c>
      <c r="D631" s="2" t="s">
        <v>536</v>
      </c>
      <c r="E631" s="2" t="s">
        <v>41</v>
      </c>
      <c r="F631" s="2" t="n">
        <v>157</v>
      </c>
      <c r="G631" s="2" t="n">
        <v>35</v>
      </c>
    </row>
    <row r="632" customFormat="false" ht="16.5" hidden="false" customHeight="true" outlineLevel="0" collapsed="false">
      <c r="A632" s="2" t="s">
        <v>385</v>
      </c>
      <c r="B632" s="2" t="s">
        <v>397</v>
      </c>
      <c r="C632" s="2" t="n">
        <v>1</v>
      </c>
      <c r="D632" s="2" t="s">
        <v>536</v>
      </c>
      <c r="E632" s="2" t="s">
        <v>42</v>
      </c>
      <c r="F632" s="2" t="n">
        <v>157</v>
      </c>
      <c r="G632" s="2" t="n">
        <v>39</v>
      </c>
    </row>
    <row r="633" customFormat="false" ht="16.5" hidden="false" customHeight="true" outlineLevel="0" collapsed="false">
      <c r="A633" s="2" t="s">
        <v>385</v>
      </c>
      <c r="B633" s="2" t="s">
        <v>397</v>
      </c>
      <c r="C633" s="2" t="n">
        <v>1</v>
      </c>
      <c r="D633" s="2" t="s">
        <v>536</v>
      </c>
      <c r="E633" s="2" t="s">
        <v>43</v>
      </c>
      <c r="F633" s="2" t="n">
        <v>157</v>
      </c>
      <c r="G633" s="2" t="n">
        <v>43</v>
      </c>
    </row>
    <row r="634" customFormat="false" ht="16.5" hidden="false" customHeight="true" outlineLevel="0" collapsed="false">
      <c r="A634" s="2" t="s">
        <v>385</v>
      </c>
      <c r="B634" s="2" t="s">
        <v>397</v>
      </c>
      <c r="C634" s="2" t="n">
        <v>1</v>
      </c>
      <c r="D634" s="2" t="s">
        <v>536</v>
      </c>
      <c r="E634" s="2" t="s">
        <v>44</v>
      </c>
      <c r="F634" s="2" t="n">
        <v>157</v>
      </c>
      <c r="G634" s="2" t="n">
        <v>47</v>
      </c>
    </row>
    <row r="635" customFormat="false" ht="16.5" hidden="false" customHeight="true" outlineLevel="0" collapsed="false">
      <c r="A635" s="2" t="s">
        <v>385</v>
      </c>
      <c r="B635" s="2" t="s">
        <v>397</v>
      </c>
      <c r="C635" s="2" t="n">
        <v>1</v>
      </c>
      <c r="D635" s="2" t="s">
        <v>536</v>
      </c>
      <c r="E635" s="2" t="s">
        <v>48</v>
      </c>
      <c r="F635" s="2" t="n">
        <v>159</v>
      </c>
      <c r="G635" s="2" t="n">
        <v>16</v>
      </c>
    </row>
    <row r="636" customFormat="false" ht="16.5" hidden="false" customHeight="true" outlineLevel="0" collapsed="false">
      <c r="A636" s="2" t="s">
        <v>385</v>
      </c>
      <c r="B636" s="2" t="s">
        <v>397</v>
      </c>
      <c r="C636" s="2" t="n">
        <v>1</v>
      </c>
      <c r="D636" s="2" t="s">
        <v>536</v>
      </c>
      <c r="E636" s="2" t="s">
        <v>50</v>
      </c>
      <c r="F636" s="2" t="n">
        <v>159</v>
      </c>
      <c r="G636" s="2" t="n">
        <v>20</v>
      </c>
    </row>
    <row r="637" customFormat="false" ht="16.5" hidden="false" customHeight="true" outlineLevel="0" collapsed="false">
      <c r="A637" s="2" t="s">
        <v>385</v>
      </c>
      <c r="B637" s="2" t="s">
        <v>397</v>
      </c>
      <c r="C637" s="2" t="n">
        <v>1</v>
      </c>
      <c r="D637" s="2" t="s">
        <v>536</v>
      </c>
      <c r="E637" s="2" t="s">
        <v>45</v>
      </c>
      <c r="F637" s="2" t="n">
        <v>159</v>
      </c>
      <c r="G637" s="2" t="n">
        <v>38</v>
      </c>
    </row>
    <row r="638" customFormat="false" ht="16.5" hidden="false" customHeight="true" outlineLevel="0" collapsed="false">
      <c r="A638" s="2" t="s">
        <v>385</v>
      </c>
      <c r="B638" s="2" t="s">
        <v>397</v>
      </c>
      <c r="C638" s="2" t="n">
        <v>1</v>
      </c>
      <c r="D638" s="2" t="s">
        <v>536</v>
      </c>
      <c r="E638" s="2" t="s">
        <v>46</v>
      </c>
      <c r="F638" s="2" t="n">
        <v>159</v>
      </c>
      <c r="G638" s="2" t="n">
        <v>42</v>
      </c>
    </row>
    <row r="639" customFormat="false" ht="16.5" hidden="false" customHeight="true" outlineLevel="0" collapsed="false">
      <c r="A639" s="2" t="s">
        <v>385</v>
      </c>
      <c r="B639" s="2" t="s">
        <v>398</v>
      </c>
      <c r="C639" s="2" t="n">
        <v>1</v>
      </c>
      <c r="D639" s="2" t="s">
        <v>537</v>
      </c>
      <c r="E639" s="2" t="s">
        <v>0</v>
      </c>
      <c r="F639" s="2" t="n">
        <v>164</v>
      </c>
      <c r="G639" s="2" t="n">
        <v>6</v>
      </c>
    </row>
    <row r="640" customFormat="false" ht="16.5" hidden="false" customHeight="true" outlineLevel="0" collapsed="false">
      <c r="A640" s="2" t="s">
        <v>385</v>
      </c>
      <c r="B640" s="2" t="s">
        <v>398</v>
      </c>
      <c r="C640" s="2" t="n">
        <v>1</v>
      </c>
      <c r="D640" s="2" t="s">
        <v>537</v>
      </c>
      <c r="E640" s="2" t="s">
        <v>1</v>
      </c>
      <c r="F640" s="2" t="n">
        <v>164</v>
      </c>
      <c r="G640" s="2" t="n">
        <v>10</v>
      </c>
    </row>
    <row r="641" customFormat="false" ht="16.5" hidden="false" customHeight="true" outlineLevel="0" collapsed="false">
      <c r="A641" s="2" t="s">
        <v>385</v>
      </c>
      <c r="B641" s="2" t="s">
        <v>398</v>
      </c>
      <c r="C641" s="2" t="n">
        <v>1</v>
      </c>
      <c r="D641" s="2" t="s">
        <v>537</v>
      </c>
      <c r="E641" s="2" t="s">
        <v>2</v>
      </c>
      <c r="F641" s="2" t="n">
        <v>164</v>
      </c>
      <c r="G641" s="2" t="n">
        <v>14</v>
      </c>
    </row>
    <row r="642" customFormat="false" ht="16.5" hidden="false" customHeight="true" outlineLevel="0" collapsed="false">
      <c r="A642" s="2" t="s">
        <v>385</v>
      </c>
      <c r="B642" s="2" t="s">
        <v>398</v>
      </c>
      <c r="C642" s="2" t="n">
        <v>1</v>
      </c>
      <c r="D642" s="2" t="s">
        <v>537</v>
      </c>
      <c r="E642" s="2" t="s">
        <v>3</v>
      </c>
      <c r="F642" s="2" t="n">
        <v>164</v>
      </c>
      <c r="G642" s="2" t="n">
        <v>18</v>
      </c>
    </row>
    <row r="643" customFormat="false" ht="16.5" hidden="false" customHeight="true" outlineLevel="0" collapsed="false">
      <c r="A643" s="2" t="s">
        <v>385</v>
      </c>
      <c r="B643" s="2" t="s">
        <v>398</v>
      </c>
      <c r="C643" s="2" t="n">
        <v>1</v>
      </c>
      <c r="D643" s="2" t="s">
        <v>537</v>
      </c>
      <c r="E643" s="2" t="s">
        <v>4</v>
      </c>
      <c r="F643" s="2" t="n">
        <v>164</v>
      </c>
      <c r="G643" s="2" t="n">
        <v>22</v>
      </c>
    </row>
    <row r="644" customFormat="false" ht="16.5" hidden="false" customHeight="true" outlineLevel="0" collapsed="false">
      <c r="A644" s="2" t="s">
        <v>385</v>
      </c>
      <c r="B644" s="2" t="s">
        <v>398</v>
      </c>
      <c r="C644" s="2" t="n">
        <v>1</v>
      </c>
      <c r="D644" s="2" t="s">
        <v>537</v>
      </c>
      <c r="E644" s="2" t="s">
        <v>5</v>
      </c>
      <c r="F644" s="2" t="n">
        <v>164</v>
      </c>
      <c r="G644" s="2" t="n">
        <v>26</v>
      </c>
    </row>
    <row r="645" customFormat="false" ht="16.5" hidden="false" customHeight="true" outlineLevel="0" collapsed="false">
      <c r="A645" s="2" t="s">
        <v>385</v>
      </c>
      <c r="B645" s="2" t="s">
        <v>398</v>
      </c>
      <c r="C645" s="2" t="n">
        <v>1</v>
      </c>
      <c r="D645" s="2" t="s">
        <v>537</v>
      </c>
      <c r="E645" s="2" t="s">
        <v>6</v>
      </c>
      <c r="F645" s="2" t="n">
        <v>164</v>
      </c>
      <c r="G645" s="2" t="n">
        <v>30</v>
      </c>
    </row>
    <row r="646" customFormat="false" ht="16.5" hidden="false" customHeight="true" outlineLevel="0" collapsed="false">
      <c r="A646" s="2" t="s">
        <v>385</v>
      </c>
      <c r="B646" s="2" t="s">
        <v>398</v>
      </c>
      <c r="C646" s="2" t="n">
        <v>1</v>
      </c>
      <c r="D646" s="2" t="s">
        <v>537</v>
      </c>
      <c r="E646" s="2" t="s">
        <v>7</v>
      </c>
      <c r="F646" s="2" t="n">
        <v>164</v>
      </c>
      <c r="G646" s="2" t="n">
        <v>34</v>
      </c>
    </row>
    <row r="647" customFormat="false" ht="16.5" hidden="false" customHeight="true" outlineLevel="0" collapsed="false">
      <c r="A647" s="2" t="s">
        <v>385</v>
      </c>
      <c r="B647" s="2" t="s">
        <v>398</v>
      </c>
      <c r="C647" s="2" t="n">
        <v>1</v>
      </c>
      <c r="D647" s="2" t="s">
        <v>537</v>
      </c>
      <c r="E647" s="2" t="s">
        <v>8</v>
      </c>
      <c r="F647" s="2" t="n">
        <v>164</v>
      </c>
      <c r="G647" s="2" t="n">
        <v>38</v>
      </c>
    </row>
    <row r="648" customFormat="false" ht="16.5" hidden="false" customHeight="true" outlineLevel="0" collapsed="false">
      <c r="A648" s="2" t="s">
        <v>385</v>
      </c>
      <c r="B648" s="2" t="s">
        <v>398</v>
      </c>
      <c r="C648" s="2" t="n">
        <v>1</v>
      </c>
      <c r="D648" s="2" t="s">
        <v>537</v>
      </c>
      <c r="E648" s="2" t="s">
        <v>9</v>
      </c>
      <c r="F648" s="2" t="n">
        <v>164</v>
      </c>
      <c r="G648" s="2" t="n">
        <v>42</v>
      </c>
    </row>
    <row r="649" customFormat="false" ht="16.5" hidden="false" customHeight="true" outlineLevel="0" collapsed="false">
      <c r="A649" s="2" t="s">
        <v>385</v>
      </c>
      <c r="B649" s="2" t="s">
        <v>398</v>
      </c>
      <c r="C649" s="2" t="n">
        <v>1</v>
      </c>
      <c r="D649" s="2" t="s">
        <v>537</v>
      </c>
      <c r="E649" s="2" t="s">
        <v>10</v>
      </c>
      <c r="F649" s="2" t="n">
        <v>164</v>
      </c>
      <c r="G649" s="2" t="n">
        <v>46</v>
      </c>
    </row>
    <row r="650" customFormat="false" ht="16.5" hidden="false" customHeight="true" outlineLevel="0" collapsed="false">
      <c r="A650" s="2" t="s">
        <v>385</v>
      </c>
      <c r="B650" s="2" t="s">
        <v>398</v>
      </c>
      <c r="C650" s="2" t="n">
        <v>1</v>
      </c>
      <c r="D650" s="2" t="s">
        <v>537</v>
      </c>
      <c r="E650" s="2" t="s">
        <v>11</v>
      </c>
      <c r="F650" s="2" t="n">
        <v>164</v>
      </c>
      <c r="G650" s="2" t="n">
        <v>50</v>
      </c>
    </row>
    <row r="651" customFormat="false" ht="16.5" hidden="false" customHeight="true" outlineLevel="0" collapsed="false">
      <c r="A651" s="2" t="s">
        <v>385</v>
      </c>
      <c r="B651" s="2" t="s">
        <v>398</v>
      </c>
      <c r="C651" s="2" t="n">
        <v>1</v>
      </c>
      <c r="D651" s="2" t="s">
        <v>537</v>
      </c>
      <c r="E651" s="2" t="s">
        <v>12</v>
      </c>
      <c r="F651" s="2" t="n">
        <v>166</v>
      </c>
      <c r="G651" s="2" t="n">
        <v>8</v>
      </c>
    </row>
    <row r="652" customFormat="false" ht="16.5" hidden="false" customHeight="true" outlineLevel="0" collapsed="false">
      <c r="A652" s="2" t="s">
        <v>385</v>
      </c>
      <c r="B652" s="2" t="s">
        <v>398</v>
      </c>
      <c r="C652" s="2" t="n">
        <v>1</v>
      </c>
      <c r="D652" s="2" t="s">
        <v>537</v>
      </c>
      <c r="E652" s="2" t="s">
        <v>13</v>
      </c>
      <c r="F652" s="2" t="n">
        <v>166</v>
      </c>
      <c r="G652" s="2" t="n">
        <v>12</v>
      </c>
    </row>
    <row r="653" customFormat="false" ht="16.5" hidden="false" customHeight="true" outlineLevel="0" collapsed="false">
      <c r="A653" s="2" t="s">
        <v>385</v>
      </c>
      <c r="B653" s="2" t="s">
        <v>398</v>
      </c>
      <c r="C653" s="2" t="n">
        <v>1</v>
      </c>
      <c r="D653" s="2" t="s">
        <v>537</v>
      </c>
      <c r="E653" s="2" t="s">
        <v>14</v>
      </c>
      <c r="F653" s="2" t="n">
        <v>166</v>
      </c>
      <c r="G653" s="2" t="n">
        <v>16</v>
      </c>
    </row>
    <row r="654" customFormat="false" ht="16.5" hidden="false" customHeight="true" outlineLevel="0" collapsed="false">
      <c r="A654" s="2" t="s">
        <v>385</v>
      </c>
      <c r="B654" s="2" t="s">
        <v>398</v>
      </c>
      <c r="C654" s="2" t="n">
        <v>1</v>
      </c>
      <c r="D654" s="2" t="s">
        <v>537</v>
      </c>
      <c r="E654" s="2" t="s">
        <v>15</v>
      </c>
      <c r="F654" s="2" t="n">
        <v>166</v>
      </c>
      <c r="G654" s="2" t="n">
        <v>20</v>
      </c>
    </row>
    <row r="655" customFormat="false" ht="16.5" hidden="false" customHeight="true" outlineLevel="0" collapsed="false">
      <c r="A655" s="2" t="s">
        <v>385</v>
      </c>
      <c r="B655" s="2" t="s">
        <v>398</v>
      </c>
      <c r="C655" s="2" t="n">
        <v>1</v>
      </c>
      <c r="D655" s="2" t="s">
        <v>537</v>
      </c>
      <c r="E655" s="2" t="s">
        <v>16</v>
      </c>
      <c r="F655" s="2" t="n">
        <v>166</v>
      </c>
      <c r="G655" s="2" t="n">
        <v>24</v>
      </c>
    </row>
    <row r="656" customFormat="false" ht="16.5" hidden="false" customHeight="true" outlineLevel="0" collapsed="false">
      <c r="A656" s="2" t="s">
        <v>385</v>
      </c>
      <c r="B656" s="2" t="s">
        <v>398</v>
      </c>
      <c r="C656" s="2" t="n">
        <v>1</v>
      </c>
      <c r="D656" s="2" t="s">
        <v>537</v>
      </c>
      <c r="E656" s="2" t="s">
        <v>17</v>
      </c>
      <c r="F656" s="2" t="n">
        <v>166</v>
      </c>
      <c r="G656" s="2" t="n">
        <v>28</v>
      </c>
    </row>
    <row r="657" customFormat="false" ht="16.5" hidden="false" customHeight="true" outlineLevel="0" collapsed="false">
      <c r="A657" s="2" t="s">
        <v>385</v>
      </c>
      <c r="B657" s="2" t="s">
        <v>398</v>
      </c>
      <c r="C657" s="2" t="n">
        <v>1</v>
      </c>
      <c r="D657" s="2" t="s">
        <v>537</v>
      </c>
      <c r="E657" s="2" t="s">
        <v>18</v>
      </c>
      <c r="F657" s="2" t="n">
        <v>166</v>
      </c>
      <c r="G657" s="2" t="n">
        <v>32</v>
      </c>
    </row>
    <row r="658" customFormat="false" ht="16.5" hidden="false" customHeight="true" outlineLevel="0" collapsed="false">
      <c r="A658" s="2" t="s">
        <v>385</v>
      </c>
      <c r="B658" s="2" t="s">
        <v>398</v>
      </c>
      <c r="C658" s="2" t="n">
        <v>1</v>
      </c>
      <c r="D658" s="2" t="s">
        <v>537</v>
      </c>
      <c r="E658" s="2" t="s">
        <v>19</v>
      </c>
      <c r="F658" s="2" t="n">
        <v>166</v>
      </c>
      <c r="G658" s="2" t="n">
        <v>36</v>
      </c>
    </row>
    <row r="659" customFormat="false" ht="16.5" hidden="false" customHeight="true" outlineLevel="0" collapsed="false">
      <c r="A659" s="2" t="s">
        <v>385</v>
      </c>
      <c r="B659" s="2" t="s">
        <v>398</v>
      </c>
      <c r="C659" s="2" t="n">
        <v>1</v>
      </c>
      <c r="D659" s="2" t="s">
        <v>537</v>
      </c>
      <c r="E659" s="2" t="s">
        <v>20</v>
      </c>
      <c r="F659" s="2" t="n">
        <v>166</v>
      </c>
      <c r="G659" s="2" t="n">
        <v>40</v>
      </c>
    </row>
    <row r="660" customFormat="false" ht="16.5" hidden="false" customHeight="true" outlineLevel="0" collapsed="false">
      <c r="A660" s="2" t="s">
        <v>385</v>
      </c>
      <c r="B660" s="2" t="s">
        <v>398</v>
      </c>
      <c r="C660" s="2" t="n">
        <v>1</v>
      </c>
      <c r="D660" s="2" t="s">
        <v>537</v>
      </c>
      <c r="E660" s="2" t="s">
        <v>21</v>
      </c>
      <c r="F660" s="2" t="n">
        <v>166</v>
      </c>
      <c r="G660" s="2" t="n">
        <v>44</v>
      </c>
    </row>
    <row r="661" customFormat="false" ht="16.5" hidden="false" customHeight="true" outlineLevel="0" collapsed="false">
      <c r="A661" s="2" t="s">
        <v>385</v>
      </c>
      <c r="B661" s="2" t="s">
        <v>398</v>
      </c>
      <c r="C661" s="2" t="n">
        <v>1</v>
      </c>
      <c r="D661" s="2" t="s">
        <v>537</v>
      </c>
      <c r="E661" s="2" t="s">
        <v>22</v>
      </c>
      <c r="F661" s="2" t="n">
        <v>166</v>
      </c>
      <c r="G661" s="2" t="n">
        <v>48</v>
      </c>
    </row>
    <row r="662" customFormat="false" ht="16.5" hidden="false" customHeight="true" outlineLevel="0" collapsed="false">
      <c r="A662" s="2" t="s">
        <v>385</v>
      </c>
      <c r="B662" s="2" t="s">
        <v>398</v>
      </c>
      <c r="C662" s="2" t="n">
        <v>1</v>
      </c>
      <c r="D662" s="2" t="s">
        <v>537</v>
      </c>
      <c r="E662" s="2" t="s">
        <v>23</v>
      </c>
      <c r="F662" s="2" t="n">
        <v>166</v>
      </c>
      <c r="G662" s="2" t="n">
        <v>52</v>
      </c>
    </row>
    <row r="663" customFormat="false" ht="16.5" hidden="false" customHeight="true" outlineLevel="0" collapsed="false">
      <c r="A663" s="2" t="s">
        <v>385</v>
      </c>
      <c r="B663" s="2" t="s">
        <v>398</v>
      </c>
      <c r="C663" s="2" t="n">
        <v>1</v>
      </c>
      <c r="D663" s="2" t="s">
        <v>537</v>
      </c>
      <c r="E663" s="2" t="s">
        <v>24</v>
      </c>
      <c r="F663" s="2" t="n">
        <v>168</v>
      </c>
      <c r="G663" s="2" t="n">
        <v>9</v>
      </c>
    </row>
    <row r="664" customFormat="false" ht="16.5" hidden="false" customHeight="true" outlineLevel="0" collapsed="false">
      <c r="A664" s="2" t="s">
        <v>385</v>
      </c>
      <c r="B664" s="2" t="s">
        <v>398</v>
      </c>
      <c r="C664" s="2" t="n">
        <v>1</v>
      </c>
      <c r="D664" s="2" t="s">
        <v>537</v>
      </c>
      <c r="E664" s="2" t="s">
        <v>25</v>
      </c>
      <c r="F664" s="2" t="n">
        <v>168</v>
      </c>
      <c r="G664" s="2" t="n">
        <v>13</v>
      </c>
    </row>
    <row r="665" customFormat="false" ht="16.5" hidden="false" customHeight="true" outlineLevel="0" collapsed="false">
      <c r="A665" s="2" t="s">
        <v>385</v>
      </c>
      <c r="B665" s="2" t="s">
        <v>398</v>
      </c>
      <c r="C665" s="2" t="n">
        <v>1</v>
      </c>
      <c r="D665" s="2" t="s">
        <v>537</v>
      </c>
      <c r="E665" s="2" t="s">
        <v>26</v>
      </c>
      <c r="F665" s="2" t="n">
        <v>168</v>
      </c>
      <c r="G665" s="2" t="n">
        <v>17</v>
      </c>
    </row>
    <row r="666" customFormat="false" ht="16.5" hidden="false" customHeight="true" outlineLevel="0" collapsed="false">
      <c r="A666" s="2" t="s">
        <v>385</v>
      </c>
      <c r="B666" s="2" t="s">
        <v>398</v>
      </c>
      <c r="C666" s="2" t="n">
        <v>1</v>
      </c>
      <c r="D666" s="2" t="s">
        <v>537</v>
      </c>
      <c r="E666" s="2" t="s">
        <v>27</v>
      </c>
      <c r="F666" s="2" t="n">
        <v>168</v>
      </c>
      <c r="G666" s="2" t="n">
        <v>21</v>
      </c>
    </row>
    <row r="667" customFormat="false" ht="16.5" hidden="false" customHeight="true" outlineLevel="0" collapsed="false">
      <c r="A667" s="2" t="s">
        <v>385</v>
      </c>
      <c r="B667" s="2" t="s">
        <v>398</v>
      </c>
      <c r="C667" s="2" t="n">
        <v>1</v>
      </c>
      <c r="D667" s="2" t="s">
        <v>537</v>
      </c>
      <c r="E667" s="2" t="s">
        <v>28</v>
      </c>
      <c r="F667" s="2" t="n">
        <v>168</v>
      </c>
      <c r="G667" s="2" t="n">
        <v>25</v>
      </c>
    </row>
    <row r="668" customFormat="false" ht="16.5" hidden="false" customHeight="true" outlineLevel="0" collapsed="false">
      <c r="A668" s="2" t="s">
        <v>385</v>
      </c>
      <c r="B668" s="2" t="s">
        <v>398</v>
      </c>
      <c r="C668" s="2" t="n">
        <v>1</v>
      </c>
      <c r="D668" s="2" t="s">
        <v>537</v>
      </c>
      <c r="E668" s="2" t="s">
        <v>29</v>
      </c>
      <c r="F668" s="2" t="n">
        <v>168</v>
      </c>
      <c r="G668" s="2" t="n">
        <v>29</v>
      </c>
    </row>
    <row r="669" customFormat="false" ht="16.5" hidden="false" customHeight="true" outlineLevel="0" collapsed="false">
      <c r="A669" s="2" t="s">
        <v>385</v>
      </c>
      <c r="B669" s="2" t="s">
        <v>398</v>
      </c>
      <c r="C669" s="2" t="n">
        <v>1</v>
      </c>
      <c r="D669" s="2" t="s">
        <v>537</v>
      </c>
      <c r="E669" s="2" t="s">
        <v>30</v>
      </c>
      <c r="F669" s="2" t="n">
        <v>168</v>
      </c>
      <c r="G669" s="2" t="n">
        <v>33</v>
      </c>
    </row>
    <row r="670" customFormat="false" ht="16.5" hidden="false" customHeight="true" outlineLevel="0" collapsed="false">
      <c r="A670" s="2" t="s">
        <v>385</v>
      </c>
      <c r="B670" s="2" t="s">
        <v>398</v>
      </c>
      <c r="C670" s="2" t="n">
        <v>1</v>
      </c>
      <c r="D670" s="2" t="s">
        <v>537</v>
      </c>
      <c r="E670" s="2" t="s">
        <v>31</v>
      </c>
      <c r="F670" s="2" t="n">
        <v>168</v>
      </c>
      <c r="G670" s="2" t="n">
        <v>37</v>
      </c>
    </row>
    <row r="671" customFormat="false" ht="16.5" hidden="false" customHeight="true" outlineLevel="0" collapsed="false">
      <c r="A671" s="2" t="s">
        <v>385</v>
      </c>
      <c r="B671" s="2" t="s">
        <v>398</v>
      </c>
      <c r="C671" s="2" t="n">
        <v>1</v>
      </c>
      <c r="D671" s="2" t="s">
        <v>537</v>
      </c>
      <c r="E671" s="2" t="s">
        <v>32</v>
      </c>
      <c r="F671" s="2" t="n">
        <v>168</v>
      </c>
      <c r="G671" s="2" t="n">
        <v>41</v>
      </c>
    </row>
    <row r="672" customFormat="false" ht="16.5" hidden="false" customHeight="true" outlineLevel="0" collapsed="false">
      <c r="A672" s="2" t="s">
        <v>385</v>
      </c>
      <c r="B672" s="2" t="s">
        <v>398</v>
      </c>
      <c r="C672" s="2" t="n">
        <v>1</v>
      </c>
      <c r="D672" s="2" t="s">
        <v>537</v>
      </c>
      <c r="E672" s="2" t="s">
        <v>33</v>
      </c>
      <c r="F672" s="2" t="n">
        <v>168</v>
      </c>
      <c r="G672" s="2" t="n">
        <v>45</v>
      </c>
    </row>
    <row r="673" customFormat="false" ht="16.5" hidden="false" customHeight="true" outlineLevel="0" collapsed="false">
      <c r="A673" s="2" t="s">
        <v>385</v>
      </c>
      <c r="B673" s="2" t="s">
        <v>398</v>
      </c>
      <c r="C673" s="2" t="n">
        <v>1</v>
      </c>
      <c r="D673" s="2" t="s">
        <v>537</v>
      </c>
      <c r="E673" s="2" t="s">
        <v>34</v>
      </c>
      <c r="F673" s="2" t="n">
        <v>168</v>
      </c>
      <c r="G673" s="2" t="n">
        <v>49</v>
      </c>
    </row>
    <row r="674" customFormat="false" ht="16.5" hidden="false" customHeight="true" outlineLevel="0" collapsed="false">
      <c r="A674" s="2" t="s">
        <v>385</v>
      </c>
      <c r="B674" s="2" t="s">
        <v>398</v>
      </c>
      <c r="C674" s="2" t="n">
        <v>1</v>
      </c>
      <c r="D674" s="2" t="s">
        <v>537</v>
      </c>
      <c r="E674" s="2" t="s">
        <v>35</v>
      </c>
      <c r="F674" s="2" t="n">
        <v>170</v>
      </c>
      <c r="G674" s="2" t="n">
        <v>11</v>
      </c>
    </row>
    <row r="675" customFormat="false" ht="16.5" hidden="false" customHeight="true" outlineLevel="0" collapsed="false">
      <c r="A675" s="2" t="s">
        <v>385</v>
      </c>
      <c r="B675" s="2" t="s">
        <v>398</v>
      </c>
      <c r="C675" s="2" t="n">
        <v>1</v>
      </c>
      <c r="D675" s="2" t="s">
        <v>537</v>
      </c>
      <c r="E675" s="2" t="s">
        <v>36</v>
      </c>
      <c r="F675" s="2" t="n">
        <v>170</v>
      </c>
      <c r="G675" s="2" t="n">
        <v>15</v>
      </c>
    </row>
    <row r="676" customFormat="false" ht="16.5" hidden="false" customHeight="true" outlineLevel="0" collapsed="false">
      <c r="A676" s="2" t="s">
        <v>385</v>
      </c>
      <c r="B676" s="2" t="s">
        <v>398</v>
      </c>
      <c r="C676" s="2" t="n">
        <v>1</v>
      </c>
      <c r="D676" s="2" t="s">
        <v>537</v>
      </c>
      <c r="E676" s="2" t="s">
        <v>37</v>
      </c>
      <c r="F676" s="2" t="n">
        <v>170</v>
      </c>
      <c r="G676" s="2" t="n">
        <v>19</v>
      </c>
    </row>
    <row r="677" customFormat="false" ht="16.5" hidden="false" customHeight="true" outlineLevel="0" collapsed="false">
      <c r="A677" s="2" t="s">
        <v>385</v>
      </c>
      <c r="B677" s="2" t="s">
        <v>398</v>
      </c>
      <c r="C677" s="2" t="n">
        <v>1</v>
      </c>
      <c r="D677" s="2" t="s">
        <v>537</v>
      </c>
      <c r="E677" s="2" t="s">
        <v>38</v>
      </c>
      <c r="F677" s="2" t="n">
        <v>170</v>
      </c>
      <c r="G677" s="2" t="n">
        <v>23</v>
      </c>
    </row>
    <row r="678" customFormat="false" ht="16.5" hidden="false" customHeight="true" outlineLevel="0" collapsed="false">
      <c r="A678" s="2" t="s">
        <v>385</v>
      </c>
      <c r="B678" s="2" t="s">
        <v>398</v>
      </c>
      <c r="C678" s="2" t="n">
        <v>1</v>
      </c>
      <c r="D678" s="2" t="s">
        <v>537</v>
      </c>
      <c r="E678" s="2" t="s">
        <v>39</v>
      </c>
      <c r="F678" s="2" t="n">
        <v>170</v>
      </c>
      <c r="G678" s="2" t="n">
        <v>27</v>
      </c>
    </row>
    <row r="679" customFormat="false" ht="16.5" hidden="false" customHeight="true" outlineLevel="0" collapsed="false">
      <c r="A679" s="2" t="s">
        <v>385</v>
      </c>
      <c r="B679" s="2" t="s">
        <v>398</v>
      </c>
      <c r="C679" s="2" t="n">
        <v>1</v>
      </c>
      <c r="D679" s="2" t="s">
        <v>537</v>
      </c>
      <c r="E679" s="2" t="s">
        <v>40</v>
      </c>
      <c r="F679" s="2" t="n">
        <v>170</v>
      </c>
      <c r="G679" s="2" t="n">
        <v>31</v>
      </c>
    </row>
    <row r="680" customFormat="false" ht="16.5" hidden="false" customHeight="true" outlineLevel="0" collapsed="false">
      <c r="A680" s="2" t="s">
        <v>385</v>
      </c>
      <c r="B680" s="2" t="s">
        <v>398</v>
      </c>
      <c r="C680" s="2" t="n">
        <v>1</v>
      </c>
      <c r="D680" s="2" t="s">
        <v>537</v>
      </c>
      <c r="E680" s="2" t="s">
        <v>41</v>
      </c>
      <c r="F680" s="2" t="n">
        <v>170</v>
      </c>
      <c r="G680" s="2" t="n">
        <v>35</v>
      </c>
    </row>
    <row r="681" customFormat="false" ht="16.5" hidden="false" customHeight="true" outlineLevel="0" collapsed="false">
      <c r="A681" s="2" t="s">
        <v>385</v>
      </c>
      <c r="B681" s="2" t="s">
        <v>398</v>
      </c>
      <c r="C681" s="2" t="n">
        <v>1</v>
      </c>
      <c r="D681" s="2" t="s">
        <v>537</v>
      </c>
      <c r="E681" s="2" t="s">
        <v>42</v>
      </c>
      <c r="F681" s="2" t="n">
        <v>170</v>
      </c>
      <c r="G681" s="2" t="n">
        <v>39</v>
      </c>
    </row>
    <row r="682" customFormat="false" ht="16.5" hidden="false" customHeight="true" outlineLevel="0" collapsed="false">
      <c r="A682" s="2" t="s">
        <v>385</v>
      </c>
      <c r="B682" s="2" t="s">
        <v>398</v>
      </c>
      <c r="C682" s="2" t="n">
        <v>1</v>
      </c>
      <c r="D682" s="2" t="s">
        <v>537</v>
      </c>
      <c r="E682" s="2" t="s">
        <v>43</v>
      </c>
      <c r="F682" s="2" t="n">
        <v>170</v>
      </c>
      <c r="G682" s="2" t="n">
        <v>43</v>
      </c>
    </row>
    <row r="683" customFormat="false" ht="16.5" hidden="false" customHeight="true" outlineLevel="0" collapsed="false">
      <c r="A683" s="2" t="s">
        <v>385</v>
      </c>
      <c r="B683" s="2" t="s">
        <v>398</v>
      </c>
      <c r="C683" s="2" t="n">
        <v>1</v>
      </c>
      <c r="D683" s="2" t="s">
        <v>537</v>
      </c>
      <c r="E683" s="2" t="s">
        <v>44</v>
      </c>
      <c r="F683" s="2" t="n">
        <v>170</v>
      </c>
      <c r="G683" s="2" t="n">
        <v>47</v>
      </c>
    </row>
    <row r="684" customFormat="false" ht="16.5" hidden="false" customHeight="true" outlineLevel="0" collapsed="false">
      <c r="A684" s="2" t="s">
        <v>385</v>
      </c>
      <c r="B684" s="2" t="s">
        <v>398</v>
      </c>
      <c r="C684" s="2" t="n">
        <v>1</v>
      </c>
      <c r="D684" s="2" t="s">
        <v>537</v>
      </c>
      <c r="E684" s="2" t="s">
        <v>48</v>
      </c>
      <c r="F684" s="2" t="n">
        <v>172</v>
      </c>
      <c r="G684" s="2" t="n">
        <v>16</v>
      </c>
    </row>
    <row r="685" customFormat="false" ht="16.5" hidden="false" customHeight="true" outlineLevel="0" collapsed="false">
      <c r="A685" s="2" t="s">
        <v>385</v>
      </c>
      <c r="B685" s="2" t="s">
        <v>398</v>
      </c>
      <c r="C685" s="2" t="n">
        <v>1</v>
      </c>
      <c r="D685" s="2" t="s">
        <v>537</v>
      </c>
      <c r="E685" s="2" t="s">
        <v>50</v>
      </c>
      <c r="F685" s="2" t="n">
        <v>172</v>
      </c>
      <c r="G685" s="2" t="n">
        <v>20</v>
      </c>
    </row>
    <row r="686" customFormat="false" ht="16.5" hidden="false" customHeight="true" outlineLevel="0" collapsed="false">
      <c r="A686" s="2" t="s">
        <v>385</v>
      </c>
      <c r="B686" s="2" t="s">
        <v>398</v>
      </c>
      <c r="C686" s="2" t="n">
        <v>1</v>
      </c>
      <c r="D686" s="2" t="s">
        <v>537</v>
      </c>
      <c r="E686" s="2" t="s">
        <v>45</v>
      </c>
      <c r="F686" s="2" t="n">
        <v>172</v>
      </c>
      <c r="G686" s="2" t="n">
        <v>38</v>
      </c>
    </row>
    <row r="687" customFormat="false" ht="16.5" hidden="false" customHeight="true" outlineLevel="0" collapsed="false">
      <c r="A687" s="2" t="s">
        <v>385</v>
      </c>
      <c r="B687" s="2" t="s">
        <v>398</v>
      </c>
      <c r="C687" s="2" t="n">
        <v>1</v>
      </c>
      <c r="D687" s="2" t="s">
        <v>537</v>
      </c>
      <c r="E687" s="2" t="s">
        <v>46</v>
      </c>
      <c r="F687" s="2" t="n">
        <v>172</v>
      </c>
      <c r="G687" s="2" t="n">
        <v>42</v>
      </c>
    </row>
    <row r="688" customFormat="false" ht="16.5" hidden="false" customHeight="true" outlineLevel="0" collapsed="false">
      <c r="A688" s="2" t="s">
        <v>385</v>
      </c>
      <c r="B688" s="2" t="s">
        <v>399</v>
      </c>
      <c r="C688" s="2" t="n">
        <v>1</v>
      </c>
      <c r="D688" s="2" t="s">
        <v>538</v>
      </c>
      <c r="E688" s="2" t="s">
        <v>0</v>
      </c>
      <c r="F688" s="2" t="n">
        <v>177</v>
      </c>
      <c r="G688" s="2" t="n">
        <v>6</v>
      </c>
    </row>
    <row r="689" customFormat="false" ht="16.5" hidden="false" customHeight="true" outlineLevel="0" collapsed="false">
      <c r="A689" s="2" t="s">
        <v>385</v>
      </c>
      <c r="B689" s="2" t="s">
        <v>399</v>
      </c>
      <c r="C689" s="2" t="n">
        <v>1</v>
      </c>
      <c r="D689" s="2" t="s">
        <v>538</v>
      </c>
      <c r="E689" s="2" t="s">
        <v>1</v>
      </c>
      <c r="F689" s="2" t="n">
        <v>177</v>
      </c>
      <c r="G689" s="2" t="n">
        <v>10</v>
      </c>
    </row>
    <row r="690" customFormat="false" ht="16.5" hidden="false" customHeight="true" outlineLevel="0" collapsed="false">
      <c r="A690" s="2" t="s">
        <v>385</v>
      </c>
      <c r="B690" s="2" t="s">
        <v>399</v>
      </c>
      <c r="C690" s="2" t="n">
        <v>1</v>
      </c>
      <c r="D690" s="2" t="s">
        <v>538</v>
      </c>
      <c r="E690" s="2" t="s">
        <v>2</v>
      </c>
      <c r="F690" s="2" t="n">
        <v>177</v>
      </c>
      <c r="G690" s="2" t="n">
        <v>14</v>
      </c>
    </row>
    <row r="691" customFormat="false" ht="16.5" hidden="false" customHeight="true" outlineLevel="0" collapsed="false">
      <c r="A691" s="2" t="s">
        <v>385</v>
      </c>
      <c r="B691" s="2" t="s">
        <v>399</v>
      </c>
      <c r="C691" s="2" t="n">
        <v>1</v>
      </c>
      <c r="D691" s="2" t="s">
        <v>538</v>
      </c>
      <c r="E691" s="2" t="s">
        <v>3</v>
      </c>
      <c r="F691" s="2" t="n">
        <v>177</v>
      </c>
      <c r="G691" s="2" t="n">
        <v>18</v>
      </c>
    </row>
    <row r="692" customFormat="false" ht="16.5" hidden="false" customHeight="true" outlineLevel="0" collapsed="false">
      <c r="A692" s="2" t="s">
        <v>385</v>
      </c>
      <c r="B692" s="2" t="s">
        <v>399</v>
      </c>
      <c r="C692" s="2" t="n">
        <v>1</v>
      </c>
      <c r="D692" s="2" t="s">
        <v>538</v>
      </c>
      <c r="E692" s="2" t="s">
        <v>4</v>
      </c>
      <c r="F692" s="2" t="n">
        <v>177</v>
      </c>
      <c r="G692" s="2" t="n">
        <v>22</v>
      </c>
    </row>
    <row r="693" customFormat="false" ht="16.5" hidden="false" customHeight="true" outlineLevel="0" collapsed="false">
      <c r="A693" s="2" t="s">
        <v>385</v>
      </c>
      <c r="B693" s="2" t="s">
        <v>399</v>
      </c>
      <c r="C693" s="2" t="n">
        <v>1</v>
      </c>
      <c r="D693" s="2" t="s">
        <v>538</v>
      </c>
      <c r="E693" s="2" t="s">
        <v>5</v>
      </c>
      <c r="F693" s="2" t="n">
        <v>177</v>
      </c>
      <c r="G693" s="2" t="n">
        <v>26</v>
      </c>
    </row>
    <row r="694" customFormat="false" ht="16.5" hidden="false" customHeight="true" outlineLevel="0" collapsed="false">
      <c r="A694" s="2" t="s">
        <v>385</v>
      </c>
      <c r="B694" s="2" t="s">
        <v>399</v>
      </c>
      <c r="C694" s="2" t="n">
        <v>1</v>
      </c>
      <c r="D694" s="2" t="s">
        <v>538</v>
      </c>
      <c r="E694" s="2" t="s">
        <v>6</v>
      </c>
      <c r="F694" s="2" t="n">
        <v>177</v>
      </c>
      <c r="G694" s="2" t="n">
        <v>30</v>
      </c>
    </row>
    <row r="695" customFormat="false" ht="16.5" hidden="false" customHeight="true" outlineLevel="0" collapsed="false">
      <c r="A695" s="2" t="s">
        <v>385</v>
      </c>
      <c r="B695" s="2" t="s">
        <v>399</v>
      </c>
      <c r="C695" s="2" t="n">
        <v>1</v>
      </c>
      <c r="D695" s="2" t="s">
        <v>538</v>
      </c>
      <c r="E695" s="2" t="s">
        <v>7</v>
      </c>
      <c r="F695" s="2" t="n">
        <v>177</v>
      </c>
      <c r="G695" s="2" t="n">
        <v>34</v>
      </c>
    </row>
    <row r="696" customFormat="false" ht="16.5" hidden="false" customHeight="true" outlineLevel="0" collapsed="false">
      <c r="A696" s="2" t="s">
        <v>385</v>
      </c>
      <c r="B696" s="2" t="s">
        <v>399</v>
      </c>
      <c r="C696" s="2" t="n">
        <v>1</v>
      </c>
      <c r="D696" s="2" t="s">
        <v>538</v>
      </c>
      <c r="E696" s="2" t="s">
        <v>8</v>
      </c>
      <c r="F696" s="2" t="n">
        <v>177</v>
      </c>
      <c r="G696" s="2" t="n">
        <v>38</v>
      </c>
    </row>
    <row r="697" customFormat="false" ht="16.5" hidden="false" customHeight="true" outlineLevel="0" collapsed="false">
      <c r="A697" s="2" t="s">
        <v>385</v>
      </c>
      <c r="B697" s="2" t="s">
        <v>399</v>
      </c>
      <c r="C697" s="2" t="n">
        <v>1</v>
      </c>
      <c r="D697" s="2" t="s">
        <v>538</v>
      </c>
      <c r="E697" s="2" t="s">
        <v>9</v>
      </c>
      <c r="F697" s="2" t="n">
        <v>177</v>
      </c>
      <c r="G697" s="2" t="n">
        <v>42</v>
      </c>
    </row>
    <row r="698" customFormat="false" ht="16.5" hidden="false" customHeight="true" outlineLevel="0" collapsed="false">
      <c r="A698" s="2" t="s">
        <v>385</v>
      </c>
      <c r="B698" s="2" t="s">
        <v>399</v>
      </c>
      <c r="C698" s="2" t="n">
        <v>1</v>
      </c>
      <c r="D698" s="2" t="s">
        <v>538</v>
      </c>
      <c r="E698" s="2" t="s">
        <v>10</v>
      </c>
      <c r="F698" s="2" t="n">
        <v>177</v>
      </c>
      <c r="G698" s="2" t="n">
        <v>46</v>
      </c>
    </row>
    <row r="699" customFormat="false" ht="16.5" hidden="false" customHeight="true" outlineLevel="0" collapsed="false">
      <c r="A699" s="2" t="s">
        <v>385</v>
      </c>
      <c r="B699" s="2" t="s">
        <v>399</v>
      </c>
      <c r="C699" s="2" t="n">
        <v>1</v>
      </c>
      <c r="D699" s="2" t="s">
        <v>538</v>
      </c>
      <c r="E699" s="2" t="s">
        <v>11</v>
      </c>
      <c r="F699" s="2" t="n">
        <v>177</v>
      </c>
      <c r="G699" s="2" t="n">
        <v>50</v>
      </c>
    </row>
    <row r="700" customFormat="false" ht="16.5" hidden="false" customHeight="true" outlineLevel="0" collapsed="false">
      <c r="A700" s="2" t="s">
        <v>385</v>
      </c>
      <c r="B700" s="2" t="s">
        <v>399</v>
      </c>
      <c r="C700" s="2" t="n">
        <v>1</v>
      </c>
      <c r="D700" s="2" t="s">
        <v>538</v>
      </c>
      <c r="E700" s="2" t="s">
        <v>12</v>
      </c>
      <c r="F700" s="2" t="n">
        <v>179</v>
      </c>
      <c r="G700" s="2" t="n">
        <v>8</v>
      </c>
    </row>
    <row r="701" customFormat="false" ht="16.5" hidden="false" customHeight="true" outlineLevel="0" collapsed="false">
      <c r="A701" s="2" t="s">
        <v>385</v>
      </c>
      <c r="B701" s="2" t="s">
        <v>399</v>
      </c>
      <c r="C701" s="2" t="n">
        <v>1</v>
      </c>
      <c r="D701" s="2" t="s">
        <v>538</v>
      </c>
      <c r="E701" s="2" t="s">
        <v>13</v>
      </c>
      <c r="F701" s="2" t="n">
        <v>179</v>
      </c>
      <c r="G701" s="2" t="n">
        <v>12</v>
      </c>
    </row>
    <row r="702" customFormat="false" ht="16.5" hidden="false" customHeight="true" outlineLevel="0" collapsed="false">
      <c r="A702" s="2" t="s">
        <v>385</v>
      </c>
      <c r="B702" s="2" t="s">
        <v>399</v>
      </c>
      <c r="C702" s="2" t="n">
        <v>1</v>
      </c>
      <c r="D702" s="2" t="s">
        <v>538</v>
      </c>
      <c r="E702" s="2" t="s">
        <v>14</v>
      </c>
      <c r="F702" s="2" t="n">
        <v>179</v>
      </c>
      <c r="G702" s="2" t="n">
        <v>16</v>
      </c>
    </row>
    <row r="703" customFormat="false" ht="16.5" hidden="false" customHeight="true" outlineLevel="0" collapsed="false">
      <c r="A703" s="2" t="s">
        <v>385</v>
      </c>
      <c r="B703" s="2" t="s">
        <v>399</v>
      </c>
      <c r="C703" s="2" t="n">
        <v>1</v>
      </c>
      <c r="D703" s="2" t="s">
        <v>538</v>
      </c>
      <c r="E703" s="2" t="s">
        <v>15</v>
      </c>
      <c r="F703" s="2" t="n">
        <v>179</v>
      </c>
      <c r="G703" s="2" t="n">
        <v>20</v>
      </c>
    </row>
    <row r="704" customFormat="false" ht="16.5" hidden="false" customHeight="true" outlineLevel="0" collapsed="false">
      <c r="A704" s="2" t="s">
        <v>385</v>
      </c>
      <c r="B704" s="2" t="s">
        <v>399</v>
      </c>
      <c r="C704" s="2" t="n">
        <v>1</v>
      </c>
      <c r="D704" s="2" t="s">
        <v>538</v>
      </c>
      <c r="E704" s="2" t="s">
        <v>16</v>
      </c>
      <c r="F704" s="2" t="n">
        <v>179</v>
      </c>
      <c r="G704" s="2" t="n">
        <v>24</v>
      </c>
    </row>
    <row r="705" customFormat="false" ht="16.5" hidden="false" customHeight="true" outlineLevel="0" collapsed="false">
      <c r="A705" s="2" t="s">
        <v>385</v>
      </c>
      <c r="B705" s="2" t="s">
        <v>399</v>
      </c>
      <c r="C705" s="2" t="n">
        <v>1</v>
      </c>
      <c r="D705" s="2" t="s">
        <v>538</v>
      </c>
      <c r="E705" s="2" t="s">
        <v>17</v>
      </c>
      <c r="F705" s="2" t="n">
        <v>179</v>
      </c>
      <c r="G705" s="2" t="n">
        <v>28</v>
      </c>
    </row>
    <row r="706" customFormat="false" ht="16.5" hidden="false" customHeight="true" outlineLevel="0" collapsed="false">
      <c r="A706" s="2" t="s">
        <v>385</v>
      </c>
      <c r="B706" s="2" t="s">
        <v>399</v>
      </c>
      <c r="C706" s="2" t="n">
        <v>1</v>
      </c>
      <c r="D706" s="2" t="s">
        <v>538</v>
      </c>
      <c r="E706" s="2" t="s">
        <v>18</v>
      </c>
      <c r="F706" s="2" t="n">
        <v>179</v>
      </c>
      <c r="G706" s="2" t="n">
        <v>32</v>
      </c>
    </row>
    <row r="707" customFormat="false" ht="16.5" hidden="false" customHeight="true" outlineLevel="0" collapsed="false">
      <c r="A707" s="2" t="s">
        <v>385</v>
      </c>
      <c r="B707" s="2" t="s">
        <v>399</v>
      </c>
      <c r="C707" s="2" t="n">
        <v>1</v>
      </c>
      <c r="D707" s="2" t="s">
        <v>538</v>
      </c>
      <c r="E707" s="2" t="s">
        <v>19</v>
      </c>
      <c r="F707" s="2" t="n">
        <v>179</v>
      </c>
      <c r="G707" s="2" t="n">
        <v>36</v>
      </c>
    </row>
    <row r="708" customFormat="false" ht="16.5" hidden="false" customHeight="true" outlineLevel="0" collapsed="false">
      <c r="A708" s="2" t="s">
        <v>385</v>
      </c>
      <c r="B708" s="2" t="s">
        <v>399</v>
      </c>
      <c r="C708" s="2" t="n">
        <v>1</v>
      </c>
      <c r="D708" s="2" t="s">
        <v>538</v>
      </c>
      <c r="E708" s="2" t="s">
        <v>20</v>
      </c>
      <c r="F708" s="2" t="n">
        <v>179</v>
      </c>
      <c r="G708" s="2" t="n">
        <v>40</v>
      </c>
    </row>
    <row r="709" customFormat="false" ht="16.5" hidden="false" customHeight="true" outlineLevel="0" collapsed="false">
      <c r="A709" s="2" t="s">
        <v>385</v>
      </c>
      <c r="B709" s="2" t="s">
        <v>399</v>
      </c>
      <c r="C709" s="2" t="n">
        <v>1</v>
      </c>
      <c r="D709" s="2" t="s">
        <v>538</v>
      </c>
      <c r="E709" s="2" t="s">
        <v>21</v>
      </c>
      <c r="F709" s="2" t="n">
        <v>179</v>
      </c>
      <c r="G709" s="2" t="n">
        <v>44</v>
      </c>
    </row>
    <row r="710" customFormat="false" ht="16.5" hidden="false" customHeight="true" outlineLevel="0" collapsed="false">
      <c r="A710" s="2" t="s">
        <v>385</v>
      </c>
      <c r="B710" s="2" t="s">
        <v>399</v>
      </c>
      <c r="C710" s="2" t="n">
        <v>1</v>
      </c>
      <c r="D710" s="2" t="s">
        <v>538</v>
      </c>
      <c r="E710" s="2" t="s">
        <v>22</v>
      </c>
      <c r="F710" s="2" t="n">
        <v>179</v>
      </c>
      <c r="G710" s="2" t="n">
        <v>48</v>
      </c>
    </row>
    <row r="711" customFormat="false" ht="16.5" hidden="false" customHeight="true" outlineLevel="0" collapsed="false">
      <c r="A711" s="2" t="s">
        <v>385</v>
      </c>
      <c r="B711" s="2" t="s">
        <v>399</v>
      </c>
      <c r="C711" s="2" t="n">
        <v>1</v>
      </c>
      <c r="D711" s="2" t="s">
        <v>538</v>
      </c>
      <c r="E711" s="2" t="s">
        <v>23</v>
      </c>
      <c r="F711" s="2" t="n">
        <v>179</v>
      </c>
      <c r="G711" s="2" t="n">
        <v>52</v>
      </c>
    </row>
    <row r="712" customFormat="false" ht="16.5" hidden="false" customHeight="true" outlineLevel="0" collapsed="false">
      <c r="A712" s="2" t="s">
        <v>385</v>
      </c>
      <c r="B712" s="2" t="s">
        <v>399</v>
      </c>
      <c r="C712" s="2" t="n">
        <v>1</v>
      </c>
      <c r="D712" s="2" t="s">
        <v>538</v>
      </c>
      <c r="E712" s="2" t="s">
        <v>24</v>
      </c>
      <c r="F712" s="2" t="n">
        <v>181</v>
      </c>
      <c r="G712" s="2" t="n">
        <v>9</v>
      </c>
    </row>
    <row r="713" customFormat="false" ht="16.5" hidden="false" customHeight="true" outlineLevel="0" collapsed="false">
      <c r="A713" s="2" t="s">
        <v>385</v>
      </c>
      <c r="B713" s="2" t="s">
        <v>399</v>
      </c>
      <c r="C713" s="2" t="n">
        <v>1</v>
      </c>
      <c r="D713" s="2" t="s">
        <v>538</v>
      </c>
      <c r="E713" s="2" t="s">
        <v>25</v>
      </c>
      <c r="F713" s="2" t="n">
        <v>181</v>
      </c>
      <c r="G713" s="2" t="n">
        <v>13</v>
      </c>
    </row>
    <row r="714" customFormat="false" ht="16.5" hidden="false" customHeight="true" outlineLevel="0" collapsed="false">
      <c r="A714" s="2" t="s">
        <v>385</v>
      </c>
      <c r="B714" s="2" t="s">
        <v>399</v>
      </c>
      <c r="C714" s="2" t="n">
        <v>1</v>
      </c>
      <c r="D714" s="2" t="s">
        <v>538</v>
      </c>
      <c r="E714" s="2" t="s">
        <v>26</v>
      </c>
      <c r="F714" s="2" t="n">
        <v>181</v>
      </c>
      <c r="G714" s="2" t="n">
        <v>17</v>
      </c>
    </row>
    <row r="715" customFormat="false" ht="16.5" hidden="false" customHeight="true" outlineLevel="0" collapsed="false">
      <c r="A715" s="2" t="s">
        <v>385</v>
      </c>
      <c r="B715" s="2" t="s">
        <v>399</v>
      </c>
      <c r="C715" s="2" t="n">
        <v>1</v>
      </c>
      <c r="D715" s="2" t="s">
        <v>538</v>
      </c>
      <c r="E715" s="2" t="s">
        <v>27</v>
      </c>
      <c r="F715" s="2" t="n">
        <v>181</v>
      </c>
      <c r="G715" s="2" t="n">
        <v>21</v>
      </c>
    </row>
    <row r="716" customFormat="false" ht="16.5" hidden="false" customHeight="true" outlineLevel="0" collapsed="false">
      <c r="A716" s="2" t="s">
        <v>385</v>
      </c>
      <c r="B716" s="2" t="s">
        <v>399</v>
      </c>
      <c r="C716" s="2" t="n">
        <v>1</v>
      </c>
      <c r="D716" s="2" t="s">
        <v>538</v>
      </c>
      <c r="E716" s="2" t="s">
        <v>28</v>
      </c>
      <c r="F716" s="2" t="n">
        <v>181</v>
      </c>
      <c r="G716" s="2" t="n">
        <v>25</v>
      </c>
    </row>
    <row r="717" customFormat="false" ht="16.5" hidden="false" customHeight="true" outlineLevel="0" collapsed="false">
      <c r="A717" s="2" t="s">
        <v>385</v>
      </c>
      <c r="B717" s="2" t="s">
        <v>399</v>
      </c>
      <c r="C717" s="2" t="n">
        <v>1</v>
      </c>
      <c r="D717" s="2" t="s">
        <v>538</v>
      </c>
      <c r="E717" s="2" t="s">
        <v>29</v>
      </c>
      <c r="F717" s="2" t="n">
        <v>181</v>
      </c>
      <c r="G717" s="2" t="n">
        <v>29</v>
      </c>
    </row>
    <row r="718" customFormat="false" ht="16.5" hidden="false" customHeight="true" outlineLevel="0" collapsed="false">
      <c r="A718" s="2" t="s">
        <v>385</v>
      </c>
      <c r="B718" s="2" t="s">
        <v>399</v>
      </c>
      <c r="C718" s="2" t="n">
        <v>1</v>
      </c>
      <c r="D718" s="2" t="s">
        <v>538</v>
      </c>
      <c r="E718" s="2" t="s">
        <v>30</v>
      </c>
      <c r="F718" s="2" t="n">
        <v>181</v>
      </c>
      <c r="G718" s="2" t="n">
        <v>33</v>
      </c>
    </row>
    <row r="719" customFormat="false" ht="16.5" hidden="false" customHeight="true" outlineLevel="0" collapsed="false">
      <c r="A719" s="2" t="s">
        <v>385</v>
      </c>
      <c r="B719" s="2" t="s">
        <v>399</v>
      </c>
      <c r="C719" s="2" t="n">
        <v>1</v>
      </c>
      <c r="D719" s="2" t="s">
        <v>538</v>
      </c>
      <c r="E719" s="2" t="s">
        <v>31</v>
      </c>
      <c r="F719" s="2" t="n">
        <v>181</v>
      </c>
      <c r="G719" s="2" t="n">
        <v>37</v>
      </c>
    </row>
    <row r="720" customFormat="false" ht="16.5" hidden="false" customHeight="true" outlineLevel="0" collapsed="false">
      <c r="A720" s="2" t="s">
        <v>385</v>
      </c>
      <c r="B720" s="2" t="s">
        <v>399</v>
      </c>
      <c r="C720" s="2" t="n">
        <v>1</v>
      </c>
      <c r="D720" s="2" t="s">
        <v>538</v>
      </c>
      <c r="E720" s="2" t="s">
        <v>32</v>
      </c>
      <c r="F720" s="2" t="n">
        <v>181</v>
      </c>
      <c r="G720" s="2" t="n">
        <v>41</v>
      </c>
    </row>
    <row r="721" customFormat="false" ht="16.5" hidden="false" customHeight="true" outlineLevel="0" collapsed="false">
      <c r="A721" s="2" t="s">
        <v>385</v>
      </c>
      <c r="B721" s="2" t="s">
        <v>399</v>
      </c>
      <c r="C721" s="2" t="n">
        <v>1</v>
      </c>
      <c r="D721" s="2" t="s">
        <v>538</v>
      </c>
      <c r="E721" s="2" t="s">
        <v>33</v>
      </c>
      <c r="F721" s="2" t="n">
        <v>181</v>
      </c>
      <c r="G721" s="2" t="n">
        <v>45</v>
      </c>
    </row>
    <row r="722" customFormat="false" ht="16.5" hidden="false" customHeight="true" outlineLevel="0" collapsed="false">
      <c r="A722" s="2" t="s">
        <v>385</v>
      </c>
      <c r="B722" s="2" t="s">
        <v>399</v>
      </c>
      <c r="C722" s="2" t="n">
        <v>1</v>
      </c>
      <c r="D722" s="2" t="s">
        <v>538</v>
      </c>
      <c r="E722" s="2" t="s">
        <v>34</v>
      </c>
      <c r="F722" s="2" t="n">
        <v>181</v>
      </c>
      <c r="G722" s="2" t="n">
        <v>49</v>
      </c>
    </row>
    <row r="723" customFormat="false" ht="16.5" hidden="false" customHeight="true" outlineLevel="0" collapsed="false">
      <c r="A723" s="2" t="s">
        <v>385</v>
      </c>
      <c r="B723" s="2" t="s">
        <v>399</v>
      </c>
      <c r="C723" s="2" t="n">
        <v>1</v>
      </c>
      <c r="D723" s="2" t="s">
        <v>538</v>
      </c>
      <c r="E723" s="2" t="s">
        <v>35</v>
      </c>
      <c r="F723" s="2" t="n">
        <v>183</v>
      </c>
      <c r="G723" s="2" t="n">
        <v>11</v>
      </c>
    </row>
    <row r="724" customFormat="false" ht="16.5" hidden="false" customHeight="true" outlineLevel="0" collapsed="false">
      <c r="A724" s="2" t="s">
        <v>385</v>
      </c>
      <c r="B724" s="2" t="s">
        <v>399</v>
      </c>
      <c r="C724" s="2" t="n">
        <v>1</v>
      </c>
      <c r="D724" s="2" t="s">
        <v>538</v>
      </c>
      <c r="E724" s="2" t="s">
        <v>36</v>
      </c>
      <c r="F724" s="2" t="n">
        <v>183</v>
      </c>
      <c r="G724" s="2" t="n">
        <v>15</v>
      </c>
    </row>
    <row r="725" customFormat="false" ht="16.5" hidden="false" customHeight="true" outlineLevel="0" collapsed="false">
      <c r="A725" s="2" t="s">
        <v>385</v>
      </c>
      <c r="B725" s="2" t="s">
        <v>399</v>
      </c>
      <c r="C725" s="2" t="n">
        <v>1</v>
      </c>
      <c r="D725" s="2" t="s">
        <v>538</v>
      </c>
      <c r="E725" s="2" t="s">
        <v>37</v>
      </c>
      <c r="F725" s="2" t="n">
        <v>183</v>
      </c>
      <c r="G725" s="2" t="n">
        <v>19</v>
      </c>
    </row>
    <row r="726" customFormat="false" ht="16.5" hidden="false" customHeight="true" outlineLevel="0" collapsed="false">
      <c r="A726" s="2" t="s">
        <v>385</v>
      </c>
      <c r="B726" s="2" t="s">
        <v>399</v>
      </c>
      <c r="C726" s="2" t="n">
        <v>1</v>
      </c>
      <c r="D726" s="2" t="s">
        <v>538</v>
      </c>
      <c r="E726" s="2" t="s">
        <v>38</v>
      </c>
      <c r="F726" s="2" t="n">
        <v>183</v>
      </c>
      <c r="G726" s="2" t="n">
        <v>23</v>
      </c>
    </row>
    <row r="727" customFormat="false" ht="16.5" hidden="false" customHeight="true" outlineLevel="0" collapsed="false">
      <c r="A727" s="2" t="s">
        <v>385</v>
      </c>
      <c r="B727" s="2" t="s">
        <v>399</v>
      </c>
      <c r="C727" s="2" t="n">
        <v>1</v>
      </c>
      <c r="D727" s="2" t="s">
        <v>538</v>
      </c>
      <c r="E727" s="2" t="s">
        <v>39</v>
      </c>
      <c r="F727" s="2" t="n">
        <v>183</v>
      </c>
      <c r="G727" s="2" t="n">
        <v>27</v>
      </c>
    </row>
    <row r="728" customFormat="false" ht="16.5" hidden="false" customHeight="true" outlineLevel="0" collapsed="false">
      <c r="A728" s="2" t="s">
        <v>385</v>
      </c>
      <c r="B728" s="2" t="s">
        <v>399</v>
      </c>
      <c r="C728" s="2" t="n">
        <v>1</v>
      </c>
      <c r="D728" s="2" t="s">
        <v>538</v>
      </c>
      <c r="E728" s="2" t="s">
        <v>40</v>
      </c>
      <c r="F728" s="2" t="n">
        <v>183</v>
      </c>
      <c r="G728" s="2" t="n">
        <v>31</v>
      </c>
    </row>
    <row r="729" customFormat="false" ht="16.5" hidden="false" customHeight="true" outlineLevel="0" collapsed="false">
      <c r="A729" s="2" t="s">
        <v>385</v>
      </c>
      <c r="B729" s="2" t="s">
        <v>399</v>
      </c>
      <c r="C729" s="2" t="n">
        <v>1</v>
      </c>
      <c r="D729" s="2" t="s">
        <v>538</v>
      </c>
      <c r="E729" s="2" t="s">
        <v>41</v>
      </c>
      <c r="F729" s="2" t="n">
        <v>183</v>
      </c>
      <c r="G729" s="2" t="n">
        <v>35</v>
      </c>
    </row>
    <row r="730" customFormat="false" ht="16.5" hidden="false" customHeight="true" outlineLevel="0" collapsed="false">
      <c r="A730" s="2" t="s">
        <v>385</v>
      </c>
      <c r="B730" s="2" t="s">
        <v>399</v>
      </c>
      <c r="C730" s="2" t="n">
        <v>1</v>
      </c>
      <c r="D730" s="2" t="s">
        <v>538</v>
      </c>
      <c r="E730" s="2" t="s">
        <v>42</v>
      </c>
      <c r="F730" s="2" t="n">
        <v>183</v>
      </c>
      <c r="G730" s="2" t="n">
        <v>39</v>
      </c>
    </row>
    <row r="731" customFormat="false" ht="16.5" hidden="false" customHeight="true" outlineLevel="0" collapsed="false">
      <c r="A731" s="2" t="s">
        <v>385</v>
      </c>
      <c r="B731" s="2" t="s">
        <v>399</v>
      </c>
      <c r="C731" s="2" t="n">
        <v>1</v>
      </c>
      <c r="D731" s="2" t="s">
        <v>538</v>
      </c>
      <c r="E731" s="2" t="s">
        <v>43</v>
      </c>
      <c r="F731" s="2" t="n">
        <v>183</v>
      </c>
      <c r="G731" s="2" t="n">
        <v>43</v>
      </c>
    </row>
    <row r="732" customFormat="false" ht="16.5" hidden="false" customHeight="true" outlineLevel="0" collapsed="false">
      <c r="A732" s="2" t="s">
        <v>385</v>
      </c>
      <c r="B732" s="2" t="s">
        <v>399</v>
      </c>
      <c r="C732" s="2" t="n">
        <v>1</v>
      </c>
      <c r="D732" s="2" t="s">
        <v>538</v>
      </c>
      <c r="E732" s="2" t="s">
        <v>44</v>
      </c>
      <c r="F732" s="2" t="n">
        <v>183</v>
      </c>
      <c r="G732" s="2" t="n">
        <v>47</v>
      </c>
    </row>
    <row r="733" customFormat="false" ht="16.5" hidden="false" customHeight="true" outlineLevel="0" collapsed="false">
      <c r="A733" s="2" t="s">
        <v>385</v>
      </c>
      <c r="B733" s="2" t="s">
        <v>399</v>
      </c>
      <c r="C733" s="2" t="n">
        <v>1</v>
      </c>
      <c r="D733" s="2" t="s">
        <v>538</v>
      </c>
      <c r="E733" s="2" t="s">
        <v>48</v>
      </c>
      <c r="F733" s="2" t="n">
        <v>185</v>
      </c>
      <c r="G733" s="2" t="n">
        <v>16</v>
      </c>
    </row>
    <row r="734" customFormat="false" ht="16.5" hidden="false" customHeight="true" outlineLevel="0" collapsed="false">
      <c r="A734" s="2" t="s">
        <v>385</v>
      </c>
      <c r="B734" s="2" t="s">
        <v>399</v>
      </c>
      <c r="C734" s="2" t="n">
        <v>1</v>
      </c>
      <c r="D734" s="2" t="s">
        <v>538</v>
      </c>
      <c r="E734" s="2" t="s">
        <v>50</v>
      </c>
      <c r="F734" s="2" t="n">
        <v>185</v>
      </c>
      <c r="G734" s="2" t="n">
        <v>20</v>
      </c>
    </row>
    <row r="735" customFormat="false" ht="16.5" hidden="false" customHeight="true" outlineLevel="0" collapsed="false">
      <c r="A735" s="2" t="s">
        <v>385</v>
      </c>
      <c r="B735" s="2" t="s">
        <v>399</v>
      </c>
      <c r="C735" s="2" t="n">
        <v>1</v>
      </c>
      <c r="D735" s="2" t="s">
        <v>538</v>
      </c>
      <c r="E735" s="2" t="s">
        <v>45</v>
      </c>
      <c r="F735" s="2" t="n">
        <v>185</v>
      </c>
      <c r="G735" s="2" t="n">
        <v>38</v>
      </c>
    </row>
    <row r="736" customFormat="false" ht="16.5" hidden="false" customHeight="true" outlineLevel="0" collapsed="false">
      <c r="A736" s="2" t="s">
        <v>385</v>
      </c>
      <c r="B736" s="2" t="s">
        <v>399</v>
      </c>
      <c r="C736" s="2" t="n">
        <v>1</v>
      </c>
      <c r="D736" s="2" t="s">
        <v>538</v>
      </c>
      <c r="E736" s="2" t="s">
        <v>46</v>
      </c>
      <c r="F736" s="2" t="n">
        <v>185</v>
      </c>
      <c r="G736" s="2" t="n">
        <v>42</v>
      </c>
    </row>
    <row r="737" customFormat="false" ht="16.5" hidden="false" customHeight="true" outlineLevel="0" collapsed="false">
      <c r="A737" s="2" t="s">
        <v>385</v>
      </c>
      <c r="B737" s="2" t="s">
        <v>400</v>
      </c>
      <c r="C737" s="2" t="n">
        <v>1</v>
      </c>
      <c r="D737" s="2" t="s">
        <v>539</v>
      </c>
      <c r="E737" s="2" t="s">
        <v>0</v>
      </c>
      <c r="F737" s="2" t="n">
        <v>190</v>
      </c>
      <c r="G737" s="2" t="n">
        <v>6</v>
      </c>
    </row>
    <row r="738" customFormat="false" ht="16.5" hidden="false" customHeight="true" outlineLevel="0" collapsed="false">
      <c r="A738" s="2" t="s">
        <v>385</v>
      </c>
      <c r="B738" s="2" t="s">
        <v>400</v>
      </c>
      <c r="C738" s="2" t="n">
        <v>1</v>
      </c>
      <c r="D738" s="2" t="s">
        <v>539</v>
      </c>
      <c r="E738" s="2" t="s">
        <v>1</v>
      </c>
      <c r="F738" s="2" t="n">
        <v>190</v>
      </c>
      <c r="G738" s="2" t="n">
        <v>10</v>
      </c>
    </row>
    <row r="739" customFormat="false" ht="16.5" hidden="false" customHeight="true" outlineLevel="0" collapsed="false">
      <c r="A739" s="2" t="s">
        <v>385</v>
      </c>
      <c r="B739" s="2" t="s">
        <v>400</v>
      </c>
      <c r="C739" s="2" t="n">
        <v>1</v>
      </c>
      <c r="D739" s="2" t="s">
        <v>539</v>
      </c>
      <c r="E739" s="2" t="s">
        <v>2</v>
      </c>
      <c r="F739" s="2" t="n">
        <v>190</v>
      </c>
      <c r="G739" s="2" t="n">
        <v>14</v>
      </c>
    </row>
    <row r="740" customFormat="false" ht="16.5" hidden="false" customHeight="true" outlineLevel="0" collapsed="false">
      <c r="A740" s="2" t="s">
        <v>385</v>
      </c>
      <c r="B740" s="2" t="s">
        <v>400</v>
      </c>
      <c r="C740" s="2" t="n">
        <v>1</v>
      </c>
      <c r="D740" s="2" t="s">
        <v>539</v>
      </c>
      <c r="E740" s="2" t="s">
        <v>3</v>
      </c>
      <c r="F740" s="2" t="n">
        <v>190</v>
      </c>
      <c r="G740" s="2" t="n">
        <v>18</v>
      </c>
    </row>
    <row r="741" customFormat="false" ht="16.5" hidden="false" customHeight="true" outlineLevel="0" collapsed="false">
      <c r="A741" s="2" t="s">
        <v>385</v>
      </c>
      <c r="B741" s="2" t="s">
        <v>400</v>
      </c>
      <c r="C741" s="2" t="n">
        <v>1</v>
      </c>
      <c r="D741" s="2" t="s">
        <v>539</v>
      </c>
      <c r="E741" s="2" t="s">
        <v>4</v>
      </c>
      <c r="F741" s="2" t="n">
        <v>190</v>
      </c>
      <c r="G741" s="2" t="n">
        <v>22</v>
      </c>
    </row>
    <row r="742" customFormat="false" ht="16.5" hidden="false" customHeight="true" outlineLevel="0" collapsed="false">
      <c r="A742" s="2" t="s">
        <v>385</v>
      </c>
      <c r="B742" s="2" t="s">
        <v>400</v>
      </c>
      <c r="C742" s="2" t="n">
        <v>1</v>
      </c>
      <c r="D742" s="2" t="s">
        <v>539</v>
      </c>
      <c r="E742" s="2" t="s">
        <v>5</v>
      </c>
      <c r="F742" s="2" t="n">
        <v>190</v>
      </c>
      <c r="G742" s="2" t="n">
        <v>26</v>
      </c>
    </row>
    <row r="743" customFormat="false" ht="16.5" hidden="false" customHeight="true" outlineLevel="0" collapsed="false">
      <c r="A743" s="2" t="s">
        <v>385</v>
      </c>
      <c r="B743" s="2" t="s">
        <v>400</v>
      </c>
      <c r="C743" s="2" t="n">
        <v>1</v>
      </c>
      <c r="D743" s="2" t="s">
        <v>539</v>
      </c>
      <c r="E743" s="2" t="s">
        <v>6</v>
      </c>
      <c r="F743" s="2" t="n">
        <v>190</v>
      </c>
      <c r="G743" s="2" t="n">
        <v>30</v>
      </c>
    </row>
    <row r="744" customFormat="false" ht="16.5" hidden="false" customHeight="true" outlineLevel="0" collapsed="false">
      <c r="A744" s="2" t="s">
        <v>385</v>
      </c>
      <c r="B744" s="2" t="s">
        <v>400</v>
      </c>
      <c r="C744" s="2" t="n">
        <v>1</v>
      </c>
      <c r="D744" s="2" t="s">
        <v>539</v>
      </c>
      <c r="E744" s="2" t="s">
        <v>7</v>
      </c>
      <c r="F744" s="2" t="n">
        <v>190</v>
      </c>
      <c r="G744" s="2" t="n">
        <v>34</v>
      </c>
    </row>
    <row r="745" customFormat="false" ht="16.5" hidden="false" customHeight="true" outlineLevel="0" collapsed="false">
      <c r="A745" s="2" t="s">
        <v>385</v>
      </c>
      <c r="B745" s="2" t="s">
        <v>400</v>
      </c>
      <c r="C745" s="2" t="n">
        <v>1</v>
      </c>
      <c r="D745" s="2" t="s">
        <v>539</v>
      </c>
      <c r="E745" s="2" t="s">
        <v>8</v>
      </c>
      <c r="F745" s="2" t="n">
        <v>190</v>
      </c>
      <c r="G745" s="2" t="n">
        <v>38</v>
      </c>
    </row>
    <row r="746" customFormat="false" ht="16.5" hidden="false" customHeight="true" outlineLevel="0" collapsed="false">
      <c r="A746" s="2" t="s">
        <v>385</v>
      </c>
      <c r="B746" s="2" t="s">
        <v>400</v>
      </c>
      <c r="C746" s="2" t="n">
        <v>1</v>
      </c>
      <c r="D746" s="2" t="s">
        <v>539</v>
      </c>
      <c r="E746" s="2" t="s">
        <v>9</v>
      </c>
      <c r="F746" s="2" t="n">
        <v>190</v>
      </c>
      <c r="G746" s="2" t="n">
        <v>42</v>
      </c>
    </row>
    <row r="747" customFormat="false" ht="16.5" hidden="false" customHeight="true" outlineLevel="0" collapsed="false">
      <c r="A747" s="2" t="s">
        <v>385</v>
      </c>
      <c r="B747" s="2" t="s">
        <v>400</v>
      </c>
      <c r="C747" s="2" t="n">
        <v>1</v>
      </c>
      <c r="D747" s="2" t="s">
        <v>539</v>
      </c>
      <c r="E747" s="2" t="s">
        <v>10</v>
      </c>
      <c r="F747" s="2" t="n">
        <v>190</v>
      </c>
      <c r="G747" s="2" t="n">
        <v>46</v>
      </c>
    </row>
    <row r="748" customFormat="false" ht="16.5" hidden="false" customHeight="true" outlineLevel="0" collapsed="false">
      <c r="A748" s="2" t="s">
        <v>385</v>
      </c>
      <c r="B748" s="2" t="s">
        <v>400</v>
      </c>
      <c r="C748" s="2" t="n">
        <v>1</v>
      </c>
      <c r="D748" s="2" t="s">
        <v>539</v>
      </c>
      <c r="E748" s="2" t="s">
        <v>11</v>
      </c>
      <c r="F748" s="2" t="n">
        <v>190</v>
      </c>
      <c r="G748" s="2" t="n">
        <v>50</v>
      </c>
    </row>
    <row r="749" customFormat="false" ht="16.5" hidden="false" customHeight="true" outlineLevel="0" collapsed="false">
      <c r="A749" s="2" t="s">
        <v>385</v>
      </c>
      <c r="B749" s="2" t="s">
        <v>400</v>
      </c>
      <c r="C749" s="2" t="n">
        <v>1</v>
      </c>
      <c r="D749" s="2" t="s">
        <v>539</v>
      </c>
      <c r="E749" s="2" t="s">
        <v>12</v>
      </c>
      <c r="F749" s="2" t="n">
        <v>192</v>
      </c>
      <c r="G749" s="2" t="n">
        <v>8</v>
      </c>
    </row>
    <row r="750" customFormat="false" ht="16.5" hidden="false" customHeight="true" outlineLevel="0" collapsed="false">
      <c r="A750" s="2" t="s">
        <v>385</v>
      </c>
      <c r="B750" s="2" t="s">
        <v>400</v>
      </c>
      <c r="C750" s="2" t="n">
        <v>1</v>
      </c>
      <c r="D750" s="2" t="s">
        <v>539</v>
      </c>
      <c r="E750" s="2" t="s">
        <v>13</v>
      </c>
      <c r="F750" s="2" t="n">
        <v>192</v>
      </c>
      <c r="G750" s="2" t="n">
        <v>12</v>
      </c>
    </row>
    <row r="751" customFormat="false" ht="16.5" hidden="false" customHeight="true" outlineLevel="0" collapsed="false">
      <c r="A751" s="2" t="s">
        <v>385</v>
      </c>
      <c r="B751" s="2" t="s">
        <v>400</v>
      </c>
      <c r="C751" s="2" t="n">
        <v>1</v>
      </c>
      <c r="D751" s="2" t="s">
        <v>539</v>
      </c>
      <c r="E751" s="2" t="s">
        <v>14</v>
      </c>
      <c r="F751" s="2" t="n">
        <v>192</v>
      </c>
      <c r="G751" s="2" t="n">
        <v>16</v>
      </c>
    </row>
    <row r="752" customFormat="false" ht="16.5" hidden="false" customHeight="true" outlineLevel="0" collapsed="false">
      <c r="A752" s="2" t="s">
        <v>385</v>
      </c>
      <c r="B752" s="2" t="s">
        <v>400</v>
      </c>
      <c r="C752" s="2" t="n">
        <v>1</v>
      </c>
      <c r="D752" s="2" t="s">
        <v>539</v>
      </c>
      <c r="E752" s="2" t="s">
        <v>15</v>
      </c>
      <c r="F752" s="2" t="n">
        <v>192</v>
      </c>
      <c r="G752" s="2" t="n">
        <v>20</v>
      </c>
    </row>
    <row r="753" customFormat="false" ht="16.5" hidden="false" customHeight="true" outlineLevel="0" collapsed="false">
      <c r="A753" s="2" t="s">
        <v>385</v>
      </c>
      <c r="B753" s="2" t="s">
        <v>400</v>
      </c>
      <c r="C753" s="2" t="n">
        <v>1</v>
      </c>
      <c r="D753" s="2" t="s">
        <v>539</v>
      </c>
      <c r="E753" s="2" t="s">
        <v>16</v>
      </c>
      <c r="F753" s="2" t="n">
        <v>192</v>
      </c>
      <c r="G753" s="2" t="n">
        <v>24</v>
      </c>
    </row>
    <row r="754" customFormat="false" ht="16.5" hidden="false" customHeight="true" outlineLevel="0" collapsed="false">
      <c r="A754" s="2" t="s">
        <v>385</v>
      </c>
      <c r="B754" s="2" t="s">
        <v>400</v>
      </c>
      <c r="C754" s="2" t="n">
        <v>1</v>
      </c>
      <c r="D754" s="2" t="s">
        <v>539</v>
      </c>
      <c r="E754" s="2" t="s">
        <v>17</v>
      </c>
      <c r="F754" s="2" t="n">
        <v>192</v>
      </c>
      <c r="G754" s="2" t="n">
        <v>28</v>
      </c>
    </row>
    <row r="755" customFormat="false" ht="16.5" hidden="false" customHeight="true" outlineLevel="0" collapsed="false">
      <c r="A755" s="2" t="s">
        <v>385</v>
      </c>
      <c r="B755" s="2" t="s">
        <v>400</v>
      </c>
      <c r="C755" s="2" t="n">
        <v>1</v>
      </c>
      <c r="D755" s="2" t="s">
        <v>539</v>
      </c>
      <c r="E755" s="2" t="s">
        <v>18</v>
      </c>
      <c r="F755" s="2" t="n">
        <v>192</v>
      </c>
      <c r="G755" s="2" t="n">
        <v>32</v>
      </c>
    </row>
    <row r="756" customFormat="false" ht="16.5" hidden="false" customHeight="true" outlineLevel="0" collapsed="false">
      <c r="A756" s="2" t="s">
        <v>385</v>
      </c>
      <c r="B756" s="2" t="s">
        <v>400</v>
      </c>
      <c r="C756" s="2" t="n">
        <v>1</v>
      </c>
      <c r="D756" s="2" t="s">
        <v>539</v>
      </c>
      <c r="E756" s="2" t="s">
        <v>19</v>
      </c>
      <c r="F756" s="2" t="n">
        <v>192</v>
      </c>
      <c r="G756" s="2" t="n">
        <v>36</v>
      </c>
    </row>
    <row r="757" customFormat="false" ht="16.5" hidden="false" customHeight="true" outlineLevel="0" collapsed="false">
      <c r="A757" s="2" t="s">
        <v>385</v>
      </c>
      <c r="B757" s="2" t="s">
        <v>400</v>
      </c>
      <c r="C757" s="2" t="n">
        <v>1</v>
      </c>
      <c r="D757" s="2" t="s">
        <v>539</v>
      </c>
      <c r="E757" s="2" t="s">
        <v>20</v>
      </c>
      <c r="F757" s="2" t="n">
        <v>192</v>
      </c>
      <c r="G757" s="2" t="n">
        <v>40</v>
      </c>
    </row>
    <row r="758" customFormat="false" ht="16.5" hidden="false" customHeight="true" outlineLevel="0" collapsed="false">
      <c r="A758" s="2" t="s">
        <v>385</v>
      </c>
      <c r="B758" s="2" t="s">
        <v>400</v>
      </c>
      <c r="C758" s="2" t="n">
        <v>1</v>
      </c>
      <c r="D758" s="2" t="s">
        <v>539</v>
      </c>
      <c r="E758" s="2" t="s">
        <v>21</v>
      </c>
      <c r="F758" s="2" t="n">
        <v>192</v>
      </c>
      <c r="G758" s="2" t="n">
        <v>44</v>
      </c>
    </row>
    <row r="759" customFormat="false" ht="16.5" hidden="false" customHeight="true" outlineLevel="0" collapsed="false">
      <c r="A759" s="2" t="s">
        <v>385</v>
      </c>
      <c r="B759" s="2" t="s">
        <v>400</v>
      </c>
      <c r="C759" s="2" t="n">
        <v>1</v>
      </c>
      <c r="D759" s="2" t="s">
        <v>539</v>
      </c>
      <c r="E759" s="2" t="s">
        <v>22</v>
      </c>
      <c r="F759" s="2" t="n">
        <v>192</v>
      </c>
      <c r="G759" s="2" t="n">
        <v>48</v>
      </c>
    </row>
    <row r="760" customFormat="false" ht="16.5" hidden="false" customHeight="true" outlineLevel="0" collapsed="false">
      <c r="A760" s="2" t="s">
        <v>385</v>
      </c>
      <c r="B760" s="2" t="s">
        <v>400</v>
      </c>
      <c r="C760" s="2" t="n">
        <v>1</v>
      </c>
      <c r="D760" s="2" t="s">
        <v>539</v>
      </c>
      <c r="E760" s="2" t="s">
        <v>23</v>
      </c>
      <c r="F760" s="2" t="n">
        <v>192</v>
      </c>
      <c r="G760" s="2" t="n">
        <v>52</v>
      </c>
    </row>
    <row r="761" customFormat="false" ht="16.5" hidden="false" customHeight="true" outlineLevel="0" collapsed="false">
      <c r="A761" s="2" t="s">
        <v>385</v>
      </c>
      <c r="B761" s="2" t="s">
        <v>400</v>
      </c>
      <c r="C761" s="2" t="n">
        <v>1</v>
      </c>
      <c r="D761" s="2" t="s">
        <v>539</v>
      </c>
      <c r="E761" s="2" t="s">
        <v>24</v>
      </c>
      <c r="F761" s="2" t="n">
        <v>194</v>
      </c>
      <c r="G761" s="2" t="n">
        <v>9</v>
      </c>
    </row>
    <row r="762" customFormat="false" ht="16.5" hidden="false" customHeight="true" outlineLevel="0" collapsed="false">
      <c r="A762" s="2" t="s">
        <v>385</v>
      </c>
      <c r="B762" s="2" t="s">
        <v>400</v>
      </c>
      <c r="C762" s="2" t="n">
        <v>1</v>
      </c>
      <c r="D762" s="2" t="s">
        <v>539</v>
      </c>
      <c r="E762" s="2" t="s">
        <v>25</v>
      </c>
      <c r="F762" s="2" t="n">
        <v>194</v>
      </c>
      <c r="G762" s="2" t="n">
        <v>13</v>
      </c>
    </row>
    <row r="763" customFormat="false" ht="16.5" hidden="false" customHeight="true" outlineLevel="0" collapsed="false">
      <c r="A763" s="2" t="s">
        <v>385</v>
      </c>
      <c r="B763" s="2" t="s">
        <v>400</v>
      </c>
      <c r="C763" s="2" t="n">
        <v>1</v>
      </c>
      <c r="D763" s="2" t="s">
        <v>539</v>
      </c>
      <c r="E763" s="2" t="s">
        <v>26</v>
      </c>
      <c r="F763" s="2" t="n">
        <v>194</v>
      </c>
      <c r="G763" s="2" t="n">
        <v>17</v>
      </c>
    </row>
    <row r="764" customFormat="false" ht="16.5" hidden="false" customHeight="true" outlineLevel="0" collapsed="false">
      <c r="A764" s="2" t="s">
        <v>385</v>
      </c>
      <c r="B764" s="2" t="s">
        <v>400</v>
      </c>
      <c r="C764" s="2" t="n">
        <v>1</v>
      </c>
      <c r="D764" s="2" t="s">
        <v>539</v>
      </c>
      <c r="E764" s="2" t="s">
        <v>27</v>
      </c>
      <c r="F764" s="2" t="n">
        <v>194</v>
      </c>
      <c r="G764" s="2" t="n">
        <v>21</v>
      </c>
    </row>
    <row r="765" customFormat="false" ht="16.5" hidden="false" customHeight="true" outlineLevel="0" collapsed="false">
      <c r="A765" s="2" t="s">
        <v>385</v>
      </c>
      <c r="B765" s="2" t="s">
        <v>400</v>
      </c>
      <c r="C765" s="2" t="n">
        <v>1</v>
      </c>
      <c r="D765" s="2" t="s">
        <v>539</v>
      </c>
      <c r="E765" s="2" t="s">
        <v>28</v>
      </c>
      <c r="F765" s="2" t="n">
        <v>194</v>
      </c>
      <c r="G765" s="2" t="n">
        <v>25</v>
      </c>
    </row>
    <row r="766" customFormat="false" ht="16.5" hidden="false" customHeight="true" outlineLevel="0" collapsed="false">
      <c r="A766" s="2" t="s">
        <v>385</v>
      </c>
      <c r="B766" s="2" t="s">
        <v>400</v>
      </c>
      <c r="C766" s="2" t="n">
        <v>1</v>
      </c>
      <c r="D766" s="2" t="s">
        <v>539</v>
      </c>
      <c r="E766" s="2" t="s">
        <v>29</v>
      </c>
      <c r="F766" s="2" t="n">
        <v>194</v>
      </c>
      <c r="G766" s="2" t="n">
        <v>29</v>
      </c>
    </row>
    <row r="767" customFormat="false" ht="16.5" hidden="false" customHeight="true" outlineLevel="0" collapsed="false">
      <c r="A767" s="2" t="s">
        <v>385</v>
      </c>
      <c r="B767" s="2" t="s">
        <v>400</v>
      </c>
      <c r="C767" s="2" t="n">
        <v>1</v>
      </c>
      <c r="D767" s="2" t="s">
        <v>539</v>
      </c>
      <c r="E767" s="2" t="s">
        <v>30</v>
      </c>
      <c r="F767" s="2" t="n">
        <v>194</v>
      </c>
      <c r="G767" s="2" t="n">
        <v>33</v>
      </c>
    </row>
    <row r="768" customFormat="false" ht="16.5" hidden="false" customHeight="true" outlineLevel="0" collapsed="false">
      <c r="A768" s="2" t="s">
        <v>385</v>
      </c>
      <c r="B768" s="2" t="s">
        <v>400</v>
      </c>
      <c r="C768" s="2" t="n">
        <v>1</v>
      </c>
      <c r="D768" s="2" t="s">
        <v>539</v>
      </c>
      <c r="E768" s="2" t="s">
        <v>31</v>
      </c>
      <c r="F768" s="2" t="n">
        <v>194</v>
      </c>
      <c r="G768" s="2" t="n">
        <v>37</v>
      </c>
    </row>
    <row r="769" customFormat="false" ht="16.5" hidden="false" customHeight="true" outlineLevel="0" collapsed="false">
      <c r="A769" s="2" t="s">
        <v>385</v>
      </c>
      <c r="B769" s="2" t="s">
        <v>400</v>
      </c>
      <c r="C769" s="2" t="n">
        <v>1</v>
      </c>
      <c r="D769" s="2" t="s">
        <v>539</v>
      </c>
      <c r="E769" s="2" t="s">
        <v>32</v>
      </c>
      <c r="F769" s="2" t="n">
        <v>194</v>
      </c>
      <c r="G769" s="2" t="n">
        <v>41</v>
      </c>
    </row>
    <row r="770" customFormat="false" ht="16.5" hidden="false" customHeight="true" outlineLevel="0" collapsed="false">
      <c r="A770" s="2" t="s">
        <v>385</v>
      </c>
      <c r="B770" s="2" t="s">
        <v>400</v>
      </c>
      <c r="C770" s="2" t="n">
        <v>1</v>
      </c>
      <c r="D770" s="2" t="s">
        <v>539</v>
      </c>
      <c r="E770" s="2" t="s">
        <v>33</v>
      </c>
      <c r="F770" s="2" t="n">
        <v>194</v>
      </c>
      <c r="G770" s="2" t="n">
        <v>45</v>
      </c>
    </row>
    <row r="771" customFormat="false" ht="16.5" hidden="false" customHeight="true" outlineLevel="0" collapsed="false">
      <c r="A771" s="2" t="s">
        <v>385</v>
      </c>
      <c r="B771" s="2" t="s">
        <v>400</v>
      </c>
      <c r="C771" s="2" t="n">
        <v>1</v>
      </c>
      <c r="D771" s="2" t="s">
        <v>539</v>
      </c>
      <c r="E771" s="2" t="s">
        <v>34</v>
      </c>
      <c r="F771" s="2" t="n">
        <v>194</v>
      </c>
      <c r="G771" s="2" t="n">
        <v>49</v>
      </c>
    </row>
    <row r="772" customFormat="false" ht="16.5" hidden="false" customHeight="true" outlineLevel="0" collapsed="false">
      <c r="A772" s="2" t="s">
        <v>385</v>
      </c>
      <c r="B772" s="2" t="s">
        <v>400</v>
      </c>
      <c r="C772" s="2" t="n">
        <v>1</v>
      </c>
      <c r="D772" s="2" t="s">
        <v>539</v>
      </c>
      <c r="E772" s="2" t="s">
        <v>35</v>
      </c>
      <c r="F772" s="2" t="n">
        <v>196</v>
      </c>
      <c r="G772" s="2" t="n">
        <v>11</v>
      </c>
    </row>
    <row r="773" customFormat="false" ht="16.5" hidden="false" customHeight="true" outlineLevel="0" collapsed="false">
      <c r="A773" s="2" t="s">
        <v>385</v>
      </c>
      <c r="B773" s="2" t="s">
        <v>400</v>
      </c>
      <c r="C773" s="2" t="n">
        <v>1</v>
      </c>
      <c r="D773" s="2" t="s">
        <v>539</v>
      </c>
      <c r="E773" s="2" t="s">
        <v>36</v>
      </c>
      <c r="F773" s="2" t="n">
        <v>196</v>
      </c>
      <c r="G773" s="2" t="n">
        <v>15</v>
      </c>
    </row>
    <row r="774" customFormat="false" ht="16.5" hidden="false" customHeight="true" outlineLevel="0" collapsed="false">
      <c r="A774" s="2" t="s">
        <v>385</v>
      </c>
      <c r="B774" s="2" t="s">
        <v>400</v>
      </c>
      <c r="C774" s="2" t="n">
        <v>1</v>
      </c>
      <c r="D774" s="2" t="s">
        <v>539</v>
      </c>
      <c r="E774" s="2" t="s">
        <v>37</v>
      </c>
      <c r="F774" s="2" t="n">
        <v>196</v>
      </c>
      <c r="G774" s="2" t="n">
        <v>19</v>
      </c>
    </row>
    <row r="775" customFormat="false" ht="16.5" hidden="false" customHeight="true" outlineLevel="0" collapsed="false">
      <c r="A775" s="2" t="s">
        <v>385</v>
      </c>
      <c r="B775" s="2" t="s">
        <v>400</v>
      </c>
      <c r="C775" s="2" t="n">
        <v>1</v>
      </c>
      <c r="D775" s="2" t="s">
        <v>539</v>
      </c>
      <c r="E775" s="2" t="s">
        <v>38</v>
      </c>
      <c r="F775" s="2" t="n">
        <v>196</v>
      </c>
      <c r="G775" s="2" t="n">
        <v>23</v>
      </c>
    </row>
    <row r="776" customFormat="false" ht="16.5" hidden="false" customHeight="true" outlineLevel="0" collapsed="false">
      <c r="A776" s="2" t="s">
        <v>385</v>
      </c>
      <c r="B776" s="2" t="s">
        <v>400</v>
      </c>
      <c r="C776" s="2" t="n">
        <v>1</v>
      </c>
      <c r="D776" s="2" t="s">
        <v>539</v>
      </c>
      <c r="E776" s="2" t="s">
        <v>39</v>
      </c>
      <c r="F776" s="2" t="n">
        <v>196</v>
      </c>
      <c r="G776" s="2" t="n">
        <v>27</v>
      </c>
    </row>
    <row r="777" customFormat="false" ht="16.5" hidden="false" customHeight="true" outlineLevel="0" collapsed="false">
      <c r="A777" s="2" t="s">
        <v>385</v>
      </c>
      <c r="B777" s="2" t="s">
        <v>400</v>
      </c>
      <c r="C777" s="2" t="n">
        <v>1</v>
      </c>
      <c r="D777" s="2" t="s">
        <v>539</v>
      </c>
      <c r="E777" s="2" t="s">
        <v>40</v>
      </c>
      <c r="F777" s="2" t="n">
        <v>196</v>
      </c>
      <c r="G777" s="2" t="n">
        <v>31</v>
      </c>
    </row>
    <row r="778" customFormat="false" ht="16.5" hidden="false" customHeight="true" outlineLevel="0" collapsed="false">
      <c r="A778" s="2" t="s">
        <v>385</v>
      </c>
      <c r="B778" s="2" t="s">
        <v>400</v>
      </c>
      <c r="C778" s="2" t="n">
        <v>1</v>
      </c>
      <c r="D778" s="2" t="s">
        <v>539</v>
      </c>
      <c r="E778" s="2" t="s">
        <v>41</v>
      </c>
      <c r="F778" s="2" t="n">
        <v>196</v>
      </c>
      <c r="G778" s="2" t="n">
        <v>35</v>
      </c>
    </row>
    <row r="779" customFormat="false" ht="16.5" hidden="false" customHeight="true" outlineLevel="0" collapsed="false">
      <c r="A779" s="2" t="s">
        <v>385</v>
      </c>
      <c r="B779" s="2" t="s">
        <v>400</v>
      </c>
      <c r="C779" s="2" t="n">
        <v>1</v>
      </c>
      <c r="D779" s="2" t="s">
        <v>539</v>
      </c>
      <c r="E779" s="2" t="s">
        <v>42</v>
      </c>
      <c r="F779" s="2" t="n">
        <v>196</v>
      </c>
      <c r="G779" s="2" t="n">
        <v>39</v>
      </c>
    </row>
    <row r="780" customFormat="false" ht="16.5" hidden="false" customHeight="true" outlineLevel="0" collapsed="false">
      <c r="A780" s="2" t="s">
        <v>385</v>
      </c>
      <c r="B780" s="2" t="s">
        <v>400</v>
      </c>
      <c r="C780" s="2" t="n">
        <v>1</v>
      </c>
      <c r="D780" s="2" t="s">
        <v>539</v>
      </c>
      <c r="E780" s="2" t="s">
        <v>43</v>
      </c>
      <c r="F780" s="2" t="n">
        <v>196</v>
      </c>
      <c r="G780" s="2" t="n">
        <v>43</v>
      </c>
    </row>
    <row r="781" customFormat="false" ht="16.5" hidden="false" customHeight="true" outlineLevel="0" collapsed="false">
      <c r="A781" s="2" t="s">
        <v>385</v>
      </c>
      <c r="B781" s="2" t="s">
        <v>400</v>
      </c>
      <c r="C781" s="2" t="n">
        <v>1</v>
      </c>
      <c r="D781" s="2" t="s">
        <v>539</v>
      </c>
      <c r="E781" s="2" t="s">
        <v>44</v>
      </c>
      <c r="F781" s="2" t="n">
        <v>196</v>
      </c>
      <c r="G781" s="2" t="n">
        <v>47</v>
      </c>
    </row>
    <row r="782" customFormat="false" ht="16.5" hidden="false" customHeight="true" outlineLevel="0" collapsed="false">
      <c r="A782" s="2" t="s">
        <v>385</v>
      </c>
      <c r="B782" s="2" t="s">
        <v>400</v>
      </c>
      <c r="C782" s="2" t="n">
        <v>1</v>
      </c>
      <c r="D782" s="2" t="s">
        <v>539</v>
      </c>
      <c r="E782" s="2" t="s">
        <v>48</v>
      </c>
      <c r="F782" s="2" t="n">
        <v>198</v>
      </c>
      <c r="G782" s="2" t="n">
        <v>16</v>
      </c>
    </row>
    <row r="783" customFormat="false" ht="16.5" hidden="false" customHeight="true" outlineLevel="0" collapsed="false">
      <c r="A783" s="2" t="s">
        <v>385</v>
      </c>
      <c r="B783" s="2" t="s">
        <v>400</v>
      </c>
      <c r="C783" s="2" t="n">
        <v>1</v>
      </c>
      <c r="D783" s="2" t="s">
        <v>539</v>
      </c>
      <c r="E783" s="2" t="s">
        <v>50</v>
      </c>
      <c r="F783" s="2" t="n">
        <v>198</v>
      </c>
      <c r="G783" s="2" t="n">
        <v>20</v>
      </c>
    </row>
    <row r="784" customFormat="false" ht="16.5" hidden="false" customHeight="true" outlineLevel="0" collapsed="false">
      <c r="A784" s="2" t="s">
        <v>385</v>
      </c>
      <c r="B784" s="2" t="s">
        <v>400</v>
      </c>
      <c r="C784" s="2" t="n">
        <v>1</v>
      </c>
      <c r="D784" s="2" t="s">
        <v>539</v>
      </c>
      <c r="E784" s="2" t="s">
        <v>45</v>
      </c>
      <c r="F784" s="2" t="n">
        <v>198</v>
      </c>
      <c r="G784" s="2" t="n">
        <v>38</v>
      </c>
    </row>
    <row r="785" customFormat="false" ht="16.5" hidden="false" customHeight="true" outlineLevel="0" collapsed="false">
      <c r="A785" s="2" t="s">
        <v>385</v>
      </c>
      <c r="B785" s="2" t="s">
        <v>400</v>
      </c>
      <c r="C785" s="2" t="n">
        <v>1</v>
      </c>
      <c r="D785" s="2" t="s">
        <v>539</v>
      </c>
      <c r="E785" s="2" t="s">
        <v>46</v>
      </c>
      <c r="F785" s="2" t="n">
        <v>198</v>
      </c>
      <c r="G785" s="2" t="n">
        <v>42</v>
      </c>
    </row>
    <row r="786" customFormat="false" ht="16.5" hidden="false" customHeight="true" outlineLevel="0" collapsed="false">
      <c r="A786" s="2" t="s">
        <v>385</v>
      </c>
      <c r="B786" s="2" t="s">
        <v>401</v>
      </c>
      <c r="C786" s="2" t="n">
        <v>1</v>
      </c>
      <c r="D786" s="2" t="s">
        <v>540</v>
      </c>
      <c r="E786" s="2" t="s">
        <v>0</v>
      </c>
      <c r="F786" s="2" t="n">
        <v>203</v>
      </c>
      <c r="G786" s="2" t="n">
        <v>6</v>
      </c>
    </row>
    <row r="787" customFormat="false" ht="16.5" hidden="false" customHeight="true" outlineLevel="0" collapsed="false">
      <c r="A787" s="2" t="s">
        <v>385</v>
      </c>
      <c r="B787" s="2" t="s">
        <v>401</v>
      </c>
      <c r="C787" s="2" t="n">
        <v>1</v>
      </c>
      <c r="D787" s="2" t="s">
        <v>540</v>
      </c>
      <c r="E787" s="2" t="s">
        <v>1</v>
      </c>
      <c r="F787" s="2" t="n">
        <v>203</v>
      </c>
      <c r="G787" s="2" t="n">
        <v>10</v>
      </c>
    </row>
    <row r="788" customFormat="false" ht="16.5" hidden="false" customHeight="true" outlineLevel="0" collapsed="false">
      <c r="A788" s="2" t="s">
        <v>385</v>
      </c>
      <c r="B788" s="2" t="s">
        <v>401</v>
      </c>
      <c r="C788" s="2" t="n">
        <v>1</v>
      </c>
      <c r="D788" s="2" t="s">
        <v>540</v>
      </c>
      <c r="E788" s="2" t="s">
        <v>2</v>
      </c>
      <c r="F788" s="2" t="n">
        <v>203</v>
      </c>
      <c r="G788" s="2" t="n">
        <v>14</v>
      </c>
    </row>
    <row r="789" customFormat="false" ht="16.5" hidden="false" customHeight="true" outlineLevel="0" collapsed="false">
      <c r="A789" s="2" t="s">
        <v>385</v>
      </c>
      <c r="B789" s="2" t="s">
        <v>401</v>
      </c>
      <c r="C789" s="2" t="n">
        <v>1</v>
      </c>
      <c r="D789" s="2" t="s">
        <v>540</v>
      </c>
      <c r="E789" s="2" t="s">
        <v>3</v>
      </c>
      <c r="F789" s="2" t="n">
        <v>203</v>
      </c>
      <c r="G789" s="2" t="n">
        <v>18</v>
      </c>
    </row>
    <row r="790" customFormat="false" ht="16.5" hidden="false" customHeight="true" outlineLevel="0" collapsed="false">
      <c r="A790" s="2" t="s">
        <v>385</v>
      </c>
      <c r="B790" s="2" t="s">
        <v>401</v>
      </c>
      <c r="C790" s="2" t="n">
        <v>1</v>
      </c>
      <c r="D790" s="2" t="s">
        <v>540</v>
      </c>
      <c r="E790" s="2" t="s">
        <v>4</v>
      </c>
      <c r="F790" s="2" t="n">
        <v>203</v>
      </c>
      <c r="G790" s="2" t="n">
        <v>22</v>
      </c>
    </row>
    <row r="791" customFormat="false" ht="16.5" hidden="false" customHeight="true" outlineLevel="0" collapsed="false">
      <c r="A791" s="2" t="s">
        <v>385</v>
      </c>
      <c r="B791" s="2" t="s">
        <v>401</v>
      </c>
      <c r="C791" s="2" t="n">
        <v>1</v>
      </c>
      <c r="D791" s="2" t="s">
        <v>540</v>
      </c>
      <c r="E791" s="2" t="s">
        <v>5</v>
      </c>
      <c r="F791" s="2" t="n">
        <v>203</v>
      </c>
      <c r="G791" s="2" t="n">
        <v>26</v>
      </c>
    </row>
    <row r="792" customFormat="false" ht="16.5" hidden="false" customHeight="true" outlineLevel="0" collapsed="false">
      <c r="A792" s="2" t="s">
        <v>385</v>
      </c>
      <c r="B792" s="2" t="s">
        <v>401</v>
      </c>
      <c r="C792" s="2" t="n">
        <v>1</v>
      </c>
      <c r="D792" s="2" t="s">
        <v>540</v>
      </c>
      <c r="E792" s="2" t="s">
        <v>6</v>
      </c>
      <c r="F792" s="2" t="n">
        <v>203</v>
      </c>
      <c r="G792" s="2" t="n">
        <v>30</v>
      </c>
    </row>
    <row r="793" customFormat="false" ht="16.5" hidden="false" customHeight="true" outlineLevel="0" collapsed="false">
      <c r="A793" s="2" t="s">
        <v>385</v>
      </c>
      <c r="B793" s="2" t="s">
        <v>401</v>
      </c>
      <c r="C793" s="2" t="n">
        <v>1</v>
      </c>
      <c r="D793" s="2" t="s">
        <v>540</v>
      </c>
      <c r="E793" s="2" t="s">
        <v>7</v>
      </c>
      <c r="F793" s="2" t="n">
        <v>203</v>
      </c>
      <c r="G793" s="2" t="n">
        <v>34</v>
      </c>
    </row>
    <row r="794" customFormat="false" ht="16.5" hidden="false" customHeight="true" outlineLevel="0" collapsed="false">
      <c r="A794" s="2" t="s">
        <v>385</v>
      </c>
      <c r="B794" s="2" t="s">
        <v>401</v>
      </c>
      <c r="C794" s="2" t="n">
        <v>1</v>
      </c>
      <c r="D794" s="2" t="s">
        <v>540</v>
      </c>
      <c r="E794" s="2" t="s">
        <v>8</v>
      </c>
      <c r="F794" s="2" t="n">
        <v>203</v>
      </c>
      <c r="G794" s="2" t="n">
        <v>38</v>
      </c>
    </row>
    <row r="795" customFormat="false" ht="16.5" hidden="false" customHeight="true" outlineLevel="0" collapsed="false">
      <c r="A795" s="2" t="s">
        <v>385</v>
      </c>
      <c r="B795" s="2" t="s">
        <v>401</v>
      </c>
      <c r="C795" s="2" t="n">
        <v>1</v>
      </c>
      <c r="D795" s="2" t="s">
        <v>540</v>
      </c>
      <c r="E795" s="2" t="s">
        <v>9</v>
      </c>
      <c r="F795" s="2" t="n">
        <v>203</v>
      </c>
      <c r="G795" s="2" t="n">
        <v>42</v>
      </c>
    </row>
    <row r="796" customFormat="false" ht="16.5" hidden="false" customHeight="true" outlineLevel="0" collapsed="false">
      <c r="A796" s="2" t="s">
        <v>385</v>
      </c>
      <c r="B796" s="2" t="s">
        <v>401</v>
      </c>
      <c r="C796" s="2" t="n">
        <v>1</v>
      </c>
      <c r="D796" s="2" t="s">
        <v>540</v>
      </c>
      <c r="E796" s="2" t="s">
        <v>10</v>
      </c>
      <c r="F796" s="2" t="n">
        <v>203</v>
      </c>
      <c r="G796" s="2" t="n">
        <v>46</v>
      </c>
    </row>
    <row r="797" customFormat="false" ht="16.5" hidden="false" customHeight="true" outlineLevel="0" collapsed="false">
      <c r="A797" s="2" t="s">
        <v>385</v>
      </c>
      <c r="B797" s="2" t="s">
        <v>401</v>
      </c>
      <c r="C797" s="2" t="n">
        <v>1</v>
      </c>
      <c r="D797" s="2" t="s">
        <v>540</v>
      </c>
      <c r="E797" s="2" t="s">
        <v>11</v>
      </c>
      <c r="F797" s="2" t="n">
        <v>203</v>
      </c>
      <c r="G797" s="2" t="n">
        <v>50</v>
      </c>
    </row>
    <row r="798" customFormat="false" ht="16.5" hidden="false" customHeight="true" outlineLevel="0" collapsed="false">
      <c r="A798" s="2" t="s">
        <v>385</v>
      </c>
      <c r="B798" s="2" t="s">
        <v>401</v>
      </c>
      <c r="C798" s="2" t="n">
        <v>1</v>
      </c>
      <c r="D798" s="2" t="s">
        <v>540</v>
      </c>
      <c r="E798" s="2" t="s">
        <v>12</v>
      </c>
      <c r="F798" s="2" t="n">
        <v>205</v>
      </c>
      <c r="G798" s="2" t="n">
        <v>8</v>
      </c>
    </row>
    <row r="799" customFormat="false" ht="16.5" hidden="false" customHeight="true" outlineLevel="0" collapsed="false">
      <c r="A799" s="2" t="s">
        <v>385</v>
      </c>
      <c r="B799" s="2" t="s">
        <v>401</v>
      </c>
      <c r="C799" s="2" t="n">
        <v>1</v>
      </c>
      <c r="D799" s="2" t="s">
        <v>540</v>
      </c>
      <c r="E799" s="2" t="s">
        <v>13</v>
      </c>
      <c r="F799" s="2" t="n">
        <v>205</v>
      </c>
      <c r="G799" s="2" t="n">
        <v>12</v>
      </c>
    </row>
    <row r="800" customFormat="false" ht="16.5" hidden="false" customHeight="true" outlineLevel="0" collapsed="false">
      <c r="A800" s="2" t="s">
        <v>385</v>
      </c>
      <c r="B800" s="2" t="s">
        <v>401</v>
      </c>
      <c r="C800" s="2" t="n">
        <v>1</v>
      </c>
      <c r="D800" s="2" t="s">
        <v>540</v>
      </c>
      <c r="E800" s="2" t="s">
        <v>14</v>
      </c>
      <c r="F800" s="2" t="n">
        <v>205</v>
      </c>
      <c r="G800" s="2" t="n">
        <v>16</v>
      </c>
    </row>
    <row r="801" customFormat="false" ht="16.5" hidden="false" customHeight="true" outlineLevel="0" collapsed="false">
      <c r="A801" s="2" t="s">
        <v>385</v>
      </c>
      <c r="B801" s="2" t="s">
        <v>401</v>
      </c>
      <c r="C801" s="2" t="n">
        <v>1</v>
      </c>
      <c r="D801" s="2" t="s">
        <v>540</v>
      </c>
      <c r="E801" s="2" t="s">
        <v>15</v>
      </c>
      <c r="F801" s="2" t="n">
        <v>205</v>
      </c>
      <c r="G801" s="2" t="n">
        <v>20</v>
      </c>
    </row>
    <row r="802" customFormat="false" ht="16.5" hidden="false" customHeight="true" outlineLevel="0" collapsed="false">
      <c r="A802" s="2" t="s">
        <v>385</v>
      </c>
      <c r="B802" s="2" t="s">
        <v>401</v>
      </c>
      <c r="C802" s="2" t="n">
        <v>1</v>
      </c>
      <c r="D802" s="2" t="s">
        <v>540</v>
      </c>
      <c r="E802" s="2" t="s">
        <v>16</v>
      </c>
      <c r="F802" s="2" t="n">
        <v>205</v>
      </c>
      <c r="G802" s="2" t="n">
        <v>24</v>
      </c>
    </row>
    <row r="803" customFormat="false" ht="16.5" hidden="false" customHeight="true" outlineLevel="0" collapsed="false">
      <c r="A803" s="2" t="s">
        <v>385</v>
      </c>
      <c r="B803" s="2" t="s">
        <v>401</v>
      </c>
      <c r="C803" s="2" t="n">
        <v>1</v>
      </c>
      <c r="D803" s="2" t="s">
        <v>540</v>
      </c>
      <c r="E803" s="2" t="s">
        <v>17</v>
      </c>
      <c r="F803" s="2" t="n">
        <v>205</v>
      </c>
      <c r="G803" s="2" t="n">
        <v>28</v>
      </c>
    </row>
    <row r="804" customFormat="false" ht="16.5" hidden="false" customHeight="true" outlineLevel="0" collapsed="false">
      <c r="A804" s="2" t="s">
        <v>385</v>
      </c>
      <c r="B804" s="2" t="s">
        <v>401</v>
      </c>
      <c r="C804" s="2" t="n">
        <v>1</v>
      </c>
      <c r="D804" s="2" t="s">
        <v>540</v>
      </c>
      <c r="E804" s="2" t="s">
        <v>18</v>
      </c>
      <c r="F804" s="2" t="n">
        <v>205</v>
      </c>
      <c r="G804" s="2" t="n">
        <v>32</v>
      </c>
    </row>
    <row r="805" customFormat="false" ht="16.5" hidden="false" customHeight="true" outlineLevel="0" collapsed="false">
      <c r="A805" s="2" t="s">
        <v>385</v>
      </c>
      <c r="B805" s="2" t="s">
        <v>401</v>
      </c>
      <c r="C805" s="2" t="n">
        <v>1</v>
      </c>
      <c r="D805" s="2" t="s">
        <v>540</v>
      </c>
      <c r="E805" s="2" t="s">
        <v>19</v>
      </c>
      <c r="F805" s="2" t="n">
        <v>205</v>
      </c>
      <c r="G805" s="2" t="n">
        <v>36</v>
      </c>
    </row>
    <row r="806" customFormat="false" ht="16.5" hidden="false" customHeight="true" outlineLevel="0" collapsed="false">
      <c r="A806" s="2" t="s">
        <v>385</v>
      </c>
      <c r="B806" s="2" t="s">
        <v>401</v>
      </c>
      <c r="C806" s="2" t="n">
        <v>1</v>
      </c>
      <c r="D806" s="2" t="s">
        <v>540</v>
      </c>
      <c r="E806" s="2" t="s">
        <v>20</v>
      </c>
      <c r="F806" s="2" t="n">
        <v>205</v>
      </c>
      <c r="G806" s="2" t="n">
        <v>40</v>
      </c>
    </row>
    <row r="807" customFormat="false" ht="16.5" hidden="false" customHeight="true" outlineLevel="0" collapsed="false">
      <c r="A807" s="2" t="s">
        <v>385</v>
      </c>
      <c r="B807" s="2" t="s">
        <v>401</v>
      </c>
      <c r="C807" s="2" t="n">
        <v>1</v>
      </c>
      <c r="D807" s="2" t="s">
        <v>540</v>
      </c>
      <c r="E807" s="2" t="s">
        <v>21</v>
      </c>
      <c r="F807" s="2" t="n">
        <v>205</v>
      </c>
      <c r="G807" s="2" t="n">
        <v>44</v>
      </c>
    </row>
    <row r="808" customFormat="false" ht="16.5" hidden="false" customHeight="true" outlineLevel="0" collapsed="false">
      <c r="A808" s="2" t="s">
        <v>385</v>
      </c>
      <c r="B808" s="2" t="s">
        <v>401</v>
      </c>
      <c r="C808" s="2" t="n">
        <v>1</v>
      </c>
      <c r="D808" s="2" t="s">
        <v>540</v>
      </c>
      <c r="E808" s="2" t="s">
        <v>22</v>
      </c>
      <c r="F808" s="2" t="n">
        <v>205</v>
      </c>
      <c r="G808" s="2" t="n">
        <v>48</v>
      </c>
    </row>
    <row r="809" customFormat="false" ht="16.5" hidden="false" customHeight="true" outlineLevel="0" collapsed="false">
      <c r="A809" s="2" t="s">
        <v>385</v>
      </c>
      <c r="B809" s="2" t="s">
        <v>401</v>
      </c>
      <c r="C809" s="2" t="n">
        <v>1</v>
      </c>
      <c r="D809" s="2" t="s">
        <v>540</v>
      </c>
      <c r="E809" s="2" t="s">
        <v>23</v>
      </c>
      <c r="F809" s="2" t="n">
        <v>205</v>
      </c>
      <c r="G809" s="2" t="n">
        <v>52</v>
      </c>
    </row>
    <row r="810" customFormat="false" ht="16.5" hidden="false" customHeight="true" outlineLevel="0" collapsed="false">
      <c r="A810" s="2" t="s">
        <v>385</v>
      </c>
      <c r="B810" s="2" t="s">
        <v>401</v>
      </c>
      <c r="C810" s="2" t="n">
        <v>1</v>
      </c>
      <c r="D810" s="2" t="s">
        <v>540</v>
      </c>
      <c r="E810" s="2" t="s">
        <v>24</v>
      </c>
      <c r="F810" s="2" t="n">
        <v>207</v>
      </c>
      <c r="G810" s="2" t="n">
        <v>9</v>
      </c>
    </row>
    <row r="811" customFormat="false" ht="16.5" hidden="false" customHeight="true" outlineLevel="0" collapsed="false">
      <c r="A811" s="2" t="s">
        <v>385</v>
      </c>
      <c r="B811" s="2" t="s">
        <v>401</v>
      </c>
      <c r="C811" s="2" t="n">
        <v>1</v>
      </c>
      <c r="D811" s="2" t="s">
        <v>540</v>
      </c>
      <c r="E811" s="2" t="s">
        <v>25</v>
      </c>
      <c r="F811" s="2" t="n">
        <v>207</v>
      </c>
      <c r="G811" s="2" t="n">
        <v>13</v>
      </c>
    </row>
    <row r="812" customFormat="false" ht="16.5" hidden="false" customHeight="true" outlineLevel="0" collapsed="false">
      <c r="A812" s="2" t="s">
        <v>385</v>
      </c>
      <c r="B812" s="2" t="s">
        <v>401</v>
      </c>
      <c r="C812" s="2" t="n">
        <v>1</v>
      </c>
      <c r="D812" s="2" t="s">
        <v>540</v>
      </c>
      <c r="E812" s="2" t="s">
        <v>26</v>
      </c>
      <c r="F812" s="2" t="n">
        <v>207</v>
      </c>
      <c r="G812" s="2" t="n">
        <v>17</v>
      </c>
    </row>
    <row r="813" customFormat="false" ht="16.5" hidden="false" customHeight="true" outlineLevel="0" collapsed="false">
      <c r="A813" s="2" t="s">
        <v>385</v>
      </c>
      <c r="B813" s="2" t="s">
        <v>401</v>
      </c>
      <c r="C813" s="2" t="n">
        <v>1</v>
      </c>
      <c r="D813" s="2" t="s">
        <v>540</v>
      </c>
      <c r="E813" s="2" t="s">
        <v>27</v>
      </c>
      <c r="F813" s="2" t="n">
        <v>207</v>
      </c>
      <c r="G813" s="2" t="n">
        <v>21</v>
      </c>
    </row>
    <row r="814" customFormat="false" ht="16.5" hidden="false" customHeight="true" outlineLevel="0" collapsed="false">
      <c r="A814" s="2" t="s">
        <v>385</v>
      </c>
      <c r="B814" s="2" t="s">
        <v>401</v>
      </c>
      <c r="C814" s="2" t="n">
        <v>1</v>
      </c>
      <c r="D814" s="2" t="s">
        <v>540</v>
      </c>
      <c r="E814" s="2" t="s">
        <v>28</v>
      </c>
      <c r="F814" s="2" t="n">
        <v>207</v>
      </c>
      <c r="G814" s="2" t="n">
        <v>25</v>
      </c>
    </row>
    <row r="815" customFormat="false" ht="16.5" hidden="false" customHeight="true" outlineLevel="0" collapsed="false">
      <c r="A815" s="2" t="s">
        <v>385</v>
      </c>
      <c r="B815" s="2" t="s">
        <v>401</v>
      </c>
      <c r="C815" s="2" t="n">
        <v>1</v>
      </c>
      <c r="D815" s="2" t="s">
        <v>540</v>
      </c>
      <c r="E815" s="2" t="s">
        <v>29</v>
      </c>
      <c r="F815" s="2" t="n">
        <v>207</v>
      </c>
      <c r="G815" s="2" t="n">
        <v>29</v>
      </c>
    </row>
    <row r="816" customFormat="false" ht="16.5" hidden="false" customHeight="true" outlineLevel="0" collapsed="false">
      <c r="A816" s="2" t="s">
        <v>385</v>
      </c>
      <c r="B816" s="2" t="s">
        <v>401</v>
      </c>
      <c r="C816" s="2" t="n">
        <v>1</v>
      </c>
      <c r="D816" s="2" t="s">
        <v>540</v>
      </c>
      <c r="E816" s="2" t="s">
        <v>30</v>
      </c>
      <c r="F816" s="2" t="n">
        <v>207</v>
      </c>
      <c r="G816" s="2" t="n">
        <v>33</v>
      </c>
    </row>
    <row r="817" customFormat="false" ht="16.5" hidden="false" customHeight="true" outlineLevel="0" collapsed="false">
      <c r="A817" s="2" t="s">
        <v>385</v>
      </c>
      <c r="B817" s="2" t="s">
        <v>401</v>
      </c>
      <c r="C817" s="2" t="n">
        <v>1</v>
      </c>
      <c r="D817" s="2" t="s">
        <v>540</v>
      </c>
      <c r="E817" s="2" t="s">
        <v>31</v>
      </c>
      <c r="F817" s="2" t="n">
        <v>207</v>
      </c>
      <c r="G817" s="2" t="n">
        <v>37</v>
      </c>
    </row>
    <row r="818" customFormat="false" ht="16.5" hidden="false" customHeight="true" outlineLevel="0" collapsed="false">
      <c r="A818" s="2" t="s">
        <v>385</v>
      </c>
      <c r="B818" s="2" t="s">
        <v>401</v>
      </c>
      <c r="C818" s="2" t="n">
        <v>1</v>
      </c>
      <c r="D818" s="2" t="s">
        <v>540</v>
      </c>
      <c r="E818" s="2" t="s">
        <v>32</v>
      </c>
      <c r="F818" s="2" t="n">
        <v>207</v>
      </c>
      <c r="G818" s="2" t="n">
        <v>41</v>
      </c>
    </row>
    <row r="819" customFormat="false" ht="16.5" hidden="false" customHeight="true" outlineLevel="0" collapsed="false">
      <c r="A819" s="2" t="s">
        <v>385</v>
      </c>
      <c r="B819" s="2" t="s">
        <v>401</v>
      </c>
      <c r="C819" s="2" t="n">
        <v>1</v>
      </c>
      <c r="D819" s="2" t="s">
        <v>540</v>
      </c>
      <c r="E819" s="2" t="s">
        <v>33</v>
      </c>
      <c r="F819" s="2" t="n">
        <v>207</v>
      </c>
      <c r="G819" s="2" t="n">
        <v>45</v>
      </c>
    </row>
    <row r="820" customFormat="false" ht="16.5" hidden="false" customHeight="true" outlineLevel="0" collapsed="false">
      <c r="A820" s="2" t="s">
        <v>385</v>
      </c>
      <c r="B820" s="2" t="s">
        <v>401</v>
      </c>
      <c r="C820" s="2" t="n">
        <v>1</v>
      </c>
      <c r="D820" s="2" t="s">
        <v>540</v>
      </c>
      <c r="E820" s="2" t="s">
        <v>34</v>
      </c>
      <c r="F820" s="2" t="n">
        <v>207</v>
      </c>
      <c r="G820" s="2" t="n">
        <v>49</v>
      </c>
    </row>
    <row r="821" customFormat="false" ht="16.5" hidden="false" customHeight="true" outlineLevel="0" collapsed="false">
      <c r="A821" s="2" t="s">
        <v>385</v>
      </c>
      <c r="B821" s="2" t="s">
        <v>401</v>
      </c>
      <c r="C821" s="2" t="n">
        <v>1</v>
      </c>
      <c r="D821" s="2" t="s">
        <v>540</v>
      </c>
      <c r="E821" s="2" t="s">
        <v>35</v>
      </c>
      <c r="F821" s="2" t="n">
        <v>209</v>
      </c>
      <c r="G821" s="2" t="n">
        <v>11</v>
      </c>
    </row>
    <row r="822" customFormat="false" ht="16.5" hidden="false" customHeight="true" outlineLevel="0" collapsed="false">
      <c r="A822" s="2" t="s">
        <v>385</v>
      </c>
      <c r="B822" s="2" t="s">
        <v>401</v>
      </c>
      <c r="C822" s="2" t="n">
        <v>1</v>
      </c>
      <c r="D822" s="2" t="s">
        <v>540</v>
      </c>
      <c r="E822" s="2" t="s">
        <v>36</v>
      </c>
      <c r="F822" s="2" t="n">
        <v>209</v>
      </c>
      <c r="G822" s="2" t="n">
        <v>15</v>
      </c>
    </row>
    <row r="823" customFormat="false" ht="16.5" hidden="false" customHeight="true" outlineLevel="0" collapsed="false">
      <c r="A823" s="2" t="s">
        <v>385</v>
      </c>
      <c r="B823" s="2" t="s">
        <v>401</v>
      </c>
      <c r="C823" s="2" t="n">
        <v>1</v>
      </c>
      <c r="D823" s="2" t="s">
        <v>540</v>
      </c>
      <c r="E823" s="2" t="s">
        <v>37</v>
      </c>
      <c r="F823" s="2" t="n">
        <v>209</v>
      </c>
      <c r="G823" s="2" t="n">
        <v>19</v>
      </c>
    </row>
    <row r="824" customFormat="false" ht="16.5" hidden="false" customHeight="true" outlineLevel="0" collapsed="false">
      <c r="A824" s="2" t="s">
        <v>385</v>
      </c>
      <c r="B824" s="2" t="s">
        <v>401</v>
      </c>
      <c r="C824" s="2" t="n">
        <v>1</v>
      </c>
      <c r="D824" s="2" t="s">
        <v>540</v>
      </c>
      <c r="E824" s="2" t="s">
        <v>38</v>
      </c>
      <c r="F824" s="2" t="n">
        <v>209</v>
      </c>
      <c r="G824" s="2" t="n">
        <v>23</v>
      </c>
    </row>
    <row r="825" customFormat="false" ht="16.5" hidden="false" customHeight="true" outlineLevel="0" collapsed="false">
      <c r="A825" s="2" t="s">
        <v>385</v>
      </c>
      <c r="B825" s="2" t="s">
        <v>401</v>
      </c>
      <c r="C825" s="2" t="n">
        <v>1</v>
      </c>
      <c r="D825" s="2" t="s">
        <v>540</v>
      </c>
      <c r="E825" s="2" t="s">
        <v>39</v>
      </c>
      <c r="F825" s="2" t="n">
        <v>209</v>
      </c>
      <c r="G825" s="2" t="n">
        <v>27</v>
      </c>
    </row>
    <row r="826" customFormat="false" ht="16.5" hidden="false" customHeight="true" outlineLevel="0" collapsed="false">
      <c r="A826" s="2" t="s">
        <v>385</v>
      </c>
      <c r="B826" s="2" t="s">
        <v>401</v>
      </c>
      <c r="C826" s="2" t="n">
        <v>1</v>
      </c>
      <c r="D826" s="2" t="s">
        <v>540</v>
      </c>
      <c r="E826" s="2" t="s">
        <v>40</v>
      </c>
      <c r="F826" s="2" t="n">
        <v>209</v>
      </c>
      <c r="G826" s="2" t="n">
        <v>31</v>
      </c>
    </row>
    <row r="827" customFormat="false" ht="16.5" hidden="false" customHeight="true" outlineLevel="0" collapsed="false">
      <c r="A827" s="2" t="s">
        <v>385</v>
      </c>
      <c r="B827" s="2" t="s">
        <v>401</v>
      </c>
      <c r="C827" s="2" t="n">
        <v>1</v>
      </c>
      <c r="D827" s="2" t="s">
        <v>540</v>
      </c>
      <c r="E827" s="2" t="s">
        <v>41</v>
      </c>
      <c r="F827" s="2" t="n">
        <v>209</v>
      </c>
      <c r="G827" s="2" t="n">
        <v>35</v>
      </c>
    </row>
    <row r="828" customFormat="false" ht="16.5" hidden="false" customHeight="true" outlineLevel="0" collapsed="false">
      <c r="A828" s="2" t="s">
        <v>385</v>
      </c>
      <c r="B828" s="2" t="s">
        <v>401</v>
      </c>
      <c r="C828" s="2" t="n">
        <v>1</v>
      </c>
      <c r="D828" s="2" t="s">
        <v>540</v>
      </c>
      <c r="E828" s="2" t="s">
        <v>42</v>
      </c>
      <c r="F828" s="2" t="n">
        <v>209</v>
      </c>
      <c r="G828" s="2" t="n">
        <v>39</v>
      </c>
    </row>
    <row r="829" customFormat="false" ht="16.5" hidden="false" customHeight="true" outlineLevel="0" collapsed="false">
      <c r="A829" s="2" t="s">
        <v>385</v>
      </c>
      <c r="B829" s="2" t="s">
        <v>401</v>
      </c>
      <c r="C829" s="2" t="n">
        <v>1</v>
      </c>
      <c r="D829" s="2" t="s">
        <v>540</v>
      </c>
      <c r="E829" s="2" t="s">
        <v>43</v>
      </c>
      <c r="F829" s="2" t="n">
        <v>209</v>
      </c>
      <c r="G829" s="2" t="n">
        <v>43</v>
      </c>
    </row>
    <row r="830" customFormat="false" ht="16.5" hidden="false" customHeight="true" outlineLevel="0" collapsed="false">
      <c r="A830" s="2" t="s">
        <v>385</v>
      </c>
      <c r="B830" s="2" t="s">
        <v>401</v>
      </c>
      <c r="C830" s="2" t="n">
        <v>1</v>
      </c>
      <c r="D830" s="2" t="s">
        <v>540</v>
      </c>
      <c r="E830" s="2" t="s">
        <v>44</v>
      </c>
      <c r="F830" s="2" t="n">
        <v>209</v>
      </c>
      <c r="G830" s="2" t="n">
        <v>47</v>
      </c>
    </row>
    <row r="831" customFormat="false" ht="16.5" hidden="false" customHeight="true" outlineLevel="0" collapsed="false">
      <c r="A831" s="2" t="s">
        <v>385</v>
      </c>
      <c r="B831" s="2" t="s">
        <v>401</v>
      </c>
      <c r="C831" s="2" t="n">
        <v>1</v>
      </c>
      <c r="D831" s="2" t="s">
        <v>540</v>
      </c>
      <c r="E831" s="2" t="s">
        <v>48</v>
      </c>
      <c r="F831" s="2" t="n">
        <v>211</v>
      </c>
      <c r="G831" s="2" t="n">
        <v>16</v>
      </c>
    </row>
    <row r="832" customFormat="false" ht="16.5" hidden="false" customHeight="true" outlineLevel="0" collapsed="false">
      <c r="A832" s="2" t="s">
        <v>385</v>
      </c>
      <c r="B832" s="2" t="s">
        <v>401</v>
      </c>
      <c r="C832" s="2" t="n">
        <v>1</v>
      </c>
      <c r="D832" s="2" t="s">
        <v>540</v>
      </c>
      <c r="E832" s="2" t="s">
        <v>50</v>
      </c>
      <c r="F832" s="2" t="n">
        <v>211</v>
      </c>
      <c r="G832" s="2" t="n">
        <v>20</v>
      </c>
    </row>
    <row r="833" customFormat="false" ht="16.5" hidden="false" customHeight="true" outlineLevel="0" collapsed="false">
      <c r="A833" s="2" t="s">
        <v>385</v>
      </c>
      <c r="B833" s="2" t="s">
        <v>401</v>
      </c>
      <c r="C833" s="2" t="n">
        <v>1</v>
      </c>
      <c r="D833" s="2" t="s">
        <v>540</v>
      </c>
      <c r="E833" s="2" t="s">
        <v>45</v>
      </c>
      <c r="F833" s="2" t="n">
        <v>211</v>
      </c>
      <c r="G833" s="2" t="n">
        <v>38</v>
      </c>
    </row>
    <row r="834" customFormat="false" ht="16.5" hidden="false" customHeight="true" outlineLevel="0" collapsed="false">
      <c r="A834" s="2" t="s">
        <v>385</v>
      </c>
      <c r="B834" s="2" t="s">
        <v>401</v>
      </c>
      <c r="C834" s="2" t="n">
        <v>1</v>
      </c>
      <c r="D834" s="2" t="s">
        <v>540</v>
      </c>
      <c r="E834" s="2" t="s">
        <v>46</v>
      </c>
      <c r="F834" s="2" t="n">
        <v>211</v>
      </c>
      <c r="G834" s="2" t="n">
        <v>42</v>
      </c>
    </row>
    <row r="835" customFormat="false" ht="16.5" hidden="false" customHeight="true" outlineLevel="0" collapsed="false">
      <c r="A835" s="2" t="s">
        <v>385</v>
      </c>
      <c r="B835" s="2" t="s">
        <v>402</v>
      </c>
      <c r="C835" s="2" t="n">
        <v>1</v>
      </c>
      <c r="D835" s="2" t="s">
        <v>541</v>
      </c>
      <c r="E835" s="2" t="s">
        <v>0</v>
      </c>
      <c r="F835" s="2" t="n">
        <v>216</v>
      </c>
      <c r="G835" s="2" t="n">
        <v>6</v>
      </c>
    </row>
    <row r="836" customFormat="false" ht="16.5" hidden="false" customHeight="true" outlineLevel="0" collapsed="false">
      <c r="A836" s="2" t="s">
        <v>385</v>
      </c>
      <c r="B836" s="2" t="s">
        <v>402</v>
      </c>
      <c r="C836" s="2" t="n">
        <v>1</v>
      </c>
      <c r="D836" s="2" t="s">
        <v>541</v>
      </c>
      <c r="E836" s="2" t="s">
        <v>1</v>
      </c>
      <c r="F836" s="2" t="n">
        <v>216</v>
      </c>
      <c r="G836" s="2" t="n">
        <v>10</v>
      </c>
    </row>
    <row r="837" customFormat="false" ht="16.5" hidden="false" customHeight="true" outlineLevel="0" collapsed="false">
      <c r="A837" s="2" t="s">
        <v>385</v>
      </c>
      <c r="B837" s="2" t="s">
        <v>402</v>
      </c>
      <c r="C837" s="2" t="n">
        <v>1</v>
      </c>
      <c r="D837" s="2" t="s">
        <v>541</v>
      </c>
      <c r="E837" s="2" t="s">
        <v>2</v>
      </c>
      <c r="F837" s="2" t="n">
        <v>216</v>
      </c>
      <c r="G837" s="2" t="n">
        <v>14</v>
      </c>
    </row>
    <row r="838" customFormat="false" ht="16.5" hidden="false" customHeight="true" outlineLevel="0" collapsed="false">
      <c r="A838" s="2" t="s">
        <v>385</v>
      </c>
      <c r="B838" s="2" t="s">
        <v>402</v>
      </c>
      <c r="C838" s="2" t="n">
        <v>1</v>
      </c>
      <c r="D838" s="2" t="s">
        <v>541</v>
      </c>
      <c r="E838" s="2" t="s">
        <v>3</v>
      </c>
      <c r="F838" s="2" t="n">
        <v>216</v>
      </c>
      <c r="G838" s="2" t="n">
        <v>18</v>
      </c>
    </row>
    <row r="839" customFormat="false" ht="16.5" hidden="false" customHeight="true" outlineLevel="0" collapsed="false">
      <c r="A839" s="2" t="s">
        <v>385</v>
      </c>
      <c r="B839" s="2" t="s">
        <v>402</v>
      </c>
      <c r="C839" s="2" t="n">
        <v>1</v>
      </c>
      <c r="D839" s="2" t="s">
        <v>541</v>
      </c>
      <c r="E839" s="2" t="s">
        <v>4</v>
      </c>
      <c r="F839" s="2" t="n">
        <v>216</v>
      </c>
      <c r="G839" s="2" t="n">
        <v>22</v>
      </c>
    </row>
    <row r="840" customFormat="false" ht="16.5" hidden="false" customHeight="true" outlineLevel="0" collapsed="false">
      <c r="A840" s="2" t="s">
        <v>385</v>
      </c>
      <c r="B840" s="2" t="s">
        <v>402</v>
      </c>
      <c r="C840" s="2" t="n">
        <v>1</v>
      </c>
      <c r="D840" s="2" t="s">
        <v>541</v>
      </c>
      <c r="E840" s="2" t="s">
        <v>5</v>
      </c>
      <c r="F840" s="2" t="n">
        <v>216</v>
      </c>
      <c r="G840" s="2" t="n">
        <v>26</v>
      </c>
    </row>
    <row r="841" customFormat="false" ht="16.5" hidden="false" customHeight="true" outlineLevel="0" collapsed="false">
      <c r="A841" s="2" t="s">
        <v>385</v>
      </c>
      <c r="B841" s="2" t="s">
        <v>402</v>
      </c>
      <c r="C841" s="2" t="n">
        <v>1</v>
      </c>
      <c r="D841" s="2" t="s">
        <v>541</v>
      </c>
      <c r="E841" s="2" t="s">
        <v>6</v>
      </c>
      <c r="F841" s="2" t="n">
        <v>216</v>
      </c>
      <c r="G841" s="2" t="n">
        <v>30</v>
      </c>
    </row>
    <row r="842" customFormat="false" ht="16.5" hidden="false" customHeight="true" outlineLevel="0" collapsed="false">
      <c r="A842" s="2" t="s">
        <v>385</v>
      </c>
      <c r="B842" s="2" t="s">
        <v>402</v>
      </c>
      <c r="C842" s="2" t="n">
        <v>1</v>
      </c>
      <c r="D842" s="2" t="s">
        <v>541</v>
      </c>
      <c r="E842" s="2" t="s">
        <v>7</v>
      </c>
      <c r="F842" s="2" t="n">
        <v>216</v>
      </c>
      <c r="G842" s="2" t="n">
        <v>34</v>
      </c>
    </row>
    <row r="843" customFormat="false" ht="16.5" hidden="false" customHeight="true" outlineLevel="0" collapsed="false">
      <c r="A843" s="2" t="s">
        <v>385</v>
      </c>
      <c r="B843" s="2" t="s">
        <v>402</v>
      </c>
      <c r="C843" s="2" t="n">
        <v>1</v>
      </c>
      <c r="D843" s="2" t="s">
        <v>541</v>
      </c>
      <c r="E843" s="2" t="s">
        <v>8</v>
      </c>
      <c r="F843" s="2" t="n">
        <v>216</v>
      </c>
      <c r="G843" s="2" t="n">
        <v>38</v>
      </c>
    </row>
    <row r="844" customFormat="false" ht="16.5" hidden="false" customHeight="true" outlineLevel="0" collapsed="false">
      <c r="A844" s="2" t="s">
        <v>385</v>
      </c>
      <c r="B844" s="2" t="s">
        <v>402</v>
      </c>
      <c r="C844" s="2" t="n">
        <v>1</v>
      </c>
      <c r="D844" s="2" t="s">
        <v>541</v>
      </c>
      <c r="E844" s="2" t="s">
        <v>9</v>
      </c>
      <c r="F844" s="2" t="n">
        <v>216</v>
      </c>
      <c r="G844" s="2" t="n">
        <v>42</v>
      </c>
    </row>
    <row r="845" customFormat="false" ht="16.5" hidden="false" customHeight="true" outlineLevel="0" collapsed="false">
      <c r="A845" s="2" t="s">
        <v>385</v>
      </c>
      <c r="B845" s="2" t="s">
        <v>402</v>
      </c>
      <c r="C845" s="2" t="n">
        <v>1</v>
      </c>
      <c r="D845" s="2" t="s">
        <v>541</v>
      </c>
      <c r="E845" s="2" t="s">
        <v>10</v>
      </c>
      <c r="F845" s="2" t="n">
        <v>216</v>
      </c>
      <c r="G845" s="2" t="n">
        <v>46</v>
      </c>
    </row>
    <row r="846" customFormat="false" ht="16.5" hidden="false" customHeight="true" outlineLevel="0" collapsed="false">
      <c r="A846" s="2" t="s">
        <v>385</v>
      </c>
      <c r="B846" s="2" t="s">
        <v>402</v>
      </c>
      <c r="C846" s="2" t="n">
        <v>1</v>
      </c>
      <c r="D846" s="2" t="s">
        <v>541</v>
      </c>
      <c r="E846" s="2" t="s">
        <v>11</v>
      </c>
      <c r="F846" s="2" t="n">
        <v>216</v>
      </c>
      <c r="G846" s="2" t="n">
        <v>50</v>
      </c>
    </row>
    <row r="847" customFormat="false" ht="16.5" hidden="false" customHeight="true" outlineLevel="0" collapsed="false">
      <c r="A847" s="2" t="s">
        <v>385</v>
      </c>
      <c r="B847" s="2" t="s">
        <v>402</v>
      </c>
      <c r="C847" s="2" t="n">
        <v>1</v>
      </c>
      <c r="D847" s="2" t="s">
        <v>541</v>
      </c>
      <c r="E847" s="2" t="s">
        <v>12</v>
      </c>
      <c r="F847" s="2" t="n">
        <v>218</v>
      </c>
      <c r="G847" s="2" t="n">
        <v>8</v>
      </c>
    </row>
    <row r="848" customFormat="false" ht="16.5" hidden="false" customHeight="true" outlineLevel="0" collapsed="false">
      <c r="A848" s="2" t="s">
        <v>385</v>
      </c>
      <c r="B848" s="2" t="s">
        <v>402</v>
      </c>
      <c r="C848" s="2" t="n">
        <v>1</v>
      </c>
      <c r="D848" s="2" t="s">
        <v>541</v>
      </c>
      <c r="E848" s="2" t="s">
        <v>13</v>
      </c>
      <c r="F848" s="2" t="n">
        <v>218</v>
      </c>
      <c r="G848" s="2" t="n">
        <v>12</v>
      </c>
    </row>
    <row r="849" customFormat="false" ht="16.5" hidden="false" customHeight="true" outlineLevel="0" collapsed="false">
      <c r="A849" s="2" t="s">
        <v>385</v>
      </c>
      <c r="B849" s="2" t="s">
        <v>402</v>
      </c>
      <c r="C849" s="2" t="n">
        <v>1</v>
      </c>
      <c r="D849" s="2" t="s">
        <v>541</v>
      </c>
      <c r="E849" s="2" t="s">
        <v>14</v>
      </c>
      <c r="F849" s="2" t="n">
        <v>218</v>
      </c>
      <c r="G849" s="2" t="n">
        <v>16</v>
      </c>
    </row>
    <row r="850" customFormat="false" ht="16.5" hidden="false" customHeight="true" outlineLevel="0" collapsed="false">
      <c r="A850" s="2" t="s">
        <v>385</v>
      </c>
      <c r="B850" s="2" t="s">
        <v>402</v>
      </c>
      <c r="C850" s="2" t="n">
        <v>1</v>
      </c>
      <c r="D850" s="2" t="s">
        <v>541</v>
      </c>
      <c r="E850" s="2" t="s">
        <v>15</v>
      </c>
      <c r="F850" s="2" t="n">
        <v>218</v>
      </c>
      <c r="G850" s="2" t="n">
        <v>20</v>
      </c>
    </row>
    <row r="851" customFormat="false" ht="16.5" hidden="false" customHeight="true" outlineLevel="0" collapsed="false">
      <c r="A851" s="2" t="s">
        <v>385</v>
      </c>
      <c r="B851" s="2" t="s">
        <v>402</v>
      </c>
      <c r="C851" s="2" t="n">
        <v>1</v>
      </c>
      <c r="D851" s="2" t="s">
        <v>541</v>
      </c>
      <c r="E851" s="2" t="s">
        <v>16</v>
      </c>
      <c r="F851" s="2" t="n">
        <v>218</v>
      </c>
      <c r="G851" s="2" t="n">
        <v>24</v>
      </c>
    </row>
    <row r="852" customFormat="false" ht="16.5" hidden="false" customHeight="true" outlineLevel="0" collapsed="false">
      <c r="A852" s="2" t="s">
        <v>385</v>
      </c>
      <c r="B852" s="2" t="s">
        <v>402</v>
      </c>
      <c r="C852" s="2" t="n">
        <v>1</v>
      </c>
      <c r="D852" s="2" t="s">
        <v>541</v>
      </c>
      <c r="E852" s="2" t="s">
        <v>17</v>
      </c>
      <c r="F852" s="2" t="n">
        <v>218</v>
      </c>
      <c r="G852" s="2" t="n">
        <v>28</v>
      </c>
    </row>
    <row r="853" customFormat="false" ht="16.5" hidden="false" customHeight="true" outlineLevel="0" collapsed="false">
      <c r="A853" s="2" t="s">
        <v>385</v>
      </c>
      <c r="B853" s="2" t="s">
        <v>402</v>
      </c>
      <c r="C853" s="2" t="n">
        <v>1</v>
      </c>
      <c r="D853" s="2" t="s">
        <v>541</v>
      </c>
      <c r="E853" s="2" t="s">
        <v>18</v>
      </c>
      <c r="F853" s="2" t="n">
        <v>218</v>
      </c>
      <c r="G853" s="2" t="n">
        <v>32</v>
      </c>
    </row>
    <row r="854" customFormat="false" ht="16.5" hidden="false" customHeight="true" outlineLevel="0" collapsed="false">
      <c r="A854" s="2" t="s">
        <v>385</v>
      </c>
      <c r="B854" s="2" t="s">
        <v>402</v>
      </c>
      <c r="C854" s="2" t="n">
        <v>1</v>
      </c>
      <c r="D854" s="2" t="s">
        <v>541</v>
      </c>
      <c r="E854" s="2" t="s">
        <v>19</v>
      </c>
      <c r="F854" s="2" t="n">
        <v>218</v>
      </c>
      <c r="G854" s="2" t="n">
        <v>36</v>
      </c>
    </row>
    <row r="855" customFormat="false" ht="16.5" hidden="false" customHeight="true" outlineLevel="0" collapsed="false">
      <c r="A855" s="2" t="s">
        <v>385</v>
      </c>
      <c r="B855" s="2" t="s">
        <v>402</v>
      </c>
      <c r="C855" s="2" t="n">
        <v>1</v>
      </c>
      <c r="D855" s="2" t="s">
        <v>541</v>
      </c>
      <c r="E855" s="2" t="s">
        <v>20</v>
      </c>
      <c r="F855" s="2" t="n">
        <v>218</v>
      </c>
      <c r="G855" s="2" t="n">
        <v>40</v>
      </c>
    </row>
    <row r="856" customFormat="false" ht="16.5" hidden="false" customHeight="true" outlineLevel="0" collapsed="false">
      <c r="A856" s="2" t="s">
        <v>385</v>
      </c>
      <c r="B856" s="2" t="s">
        <v>402</v>
      </c>
      <c r="C856" s="2" t="n">
        <v>1</v>
      </c>
      <c r="D856" s="2" t="s">
        <v>541</v>
      </c>
      <c r="E856" s="2" t="s">
        <v>21</v>
      </c>
      <c r="F856" s="2" t="n">
        <v>218</v>
      </c>
      <c r="G856" s="2" t="n">
        <v>44</v>
      </c>
    </row>
    <row r="857" customFormat="false" ht="16.5" hidden="false" customHeight="true" outlineLevel="0" collapsed="false">
      <c r="A857" s="2" t="s">
        <v>385</v>
      </c>
      <c r="B857" s="2" t="s">
        <v>402</v>
      </c>
      <c r="C857" s="2" t="n">
        <v>1</v>
      </c>
      <c r="D857" s="2" t="s">
        <v>541</v>
      </c>
      <c r="E857" s="2" t="s">
        <v>22</v>
      </c>
      <c r="F857" s="2" t="n">
        <v>218</v>
      </c>
      <c r="G857" s="2" t="n">
        <v>48</v>
      </c>
    </row>
    <row r="858" customFormat="false" ht="16.5" hidden="false" customHeight="true" outlineLevel="0" collapsed="false">
      <c r="A858" s="2" t="s">
        <v>385</v>
      </c>
      <c r="B858" s="2" t="s">
        <v>402</v>
      </c>
      <c r="C858" s="2" t="n">
        <v>1</v>
      </c>
      <c r="D858" s="2" t="s">
        <v>541</v>
      </c>
      <c r="E858" s="2" t="s">
        <v>23</v>
      </c>
      <c r="F858" s="2" t="n">
        <v>218</v>
      </c>
      <c r="G858" s="2" t="n">
        <v>52</v>
      </c>
    </row>
    <row r="859" customFormat="false" ht="16.5" hidden="false" customHeight="true" outlineLevel="0" collapsed="false">
      <c r="A859" s="2" t="s">
        <v>385</v>
      </c>
      <c r="B859" s="2" t="s">
        <v>402</v>
      </c>
      <c r="C859" s="2" t="n">
        <v>1</v>
      </c>
      <c r="D859" s="2" t="s">
        <v>541</v>
      </c>
      <c r="E859" s="2" t="s">
        <v>24</v>
      </c>
      <c r="F859" s="2" t="n">
        <v>220</v>
      </c>
      <c r="G859" s="2" t="n">
        <v>9</v>
      </c>
    </row>
    <row r="860" customFormat="false" ht="16.5" hidden="false" customHeight="true" outlineLevel="0" collapsed="false">
      <c r="A860" s="2" t="s">
        <v>385</v>
      </c>
      <c r="B860" s="2" t="s">
        <v>402</v>
      </c>
      <c r="C860" s="2" t="n">
        <v>1</v>
      </c>
      <c r="D860" s="2" t="s">
        <v>541</v>
      </c>
      <c r="E860" s="2" t="s">
        <v>25</v>
      </c>
      <c r="F860" s="2" t="n">
        <v>220</v>
      </c>
      <c r="G860" s="2" t="n">
        <v>13</v>
      </c>
    </row>
    <row r="861" customFormat="false" ht="16.5" hidden="false" customHeight="true" outlineLevel="0" collapsed="false">
      <c r="A861" s="2" t="s">
        <v>385</v>
      </c>
      <c r="B861" s="2" t="s">
        <v>402</v>
      </c>
      <c r="C861" s="2" t="n">
        <v>1</v>
      </c>
      <c r="D861" s="2" t="s">
        <v>541</v>
      </c>
      <c r="E861" s="2" t="s">
        <v>26</v>
      </c>
      <c r="F861" s="2" t="n">
        <v>220</v>
      </c>
      <c r="G861" s="2" t="n">
        <v>17</v>
      </c>
    </row>
    <row r="862" customFormat="false" ht="16.5" hidden="false" customHeight="true" outlineLevel="0" collapsed="false">
      <c r="A862" s="2" t="s">
        <v>385</v>
      </c>
      <c r="B862" s="2" t="s">
        <v>402</v>
      </c>
      <c r="C862" s="2" t="n">
        <v>1</v>
      </c>
      <c r="D862" s="2" t="s">
        <v>541</v>
      </c>
      <c r="E862" s="2" t="s">
        <v>27</v>
      </c>
      <c r="F862" s="2" t="n">
        <v>220</v>
      </c>
      <c r="G862" s="2" t="n">
        <v>21</v>
      </c>
    </row>
    <row r="863" customFormat="false" ht="16.5" hidden="false" customHeight="true" outlineLevel="0" collapsed="false">
      <c r="A863" s="2" t="s">
        <v>385</v>
      </c>
      <c r="B863" s="2" t="s">
        <v>402</v>
      </c>
      <c r="C863" s="2" t="n">
        <v>1</v>
      </c>
      <c r="D863" s="2" t="s">
        <v>541</v>
      </c>
      <c r="E863" s="2" t="s">
        <v>28</v>
      </c>
      <c r="F863" s="2" t="n">
        <v>220</v>
      </c>
      <c r="G863" s="2" t="n">
        <v>25</v>
      </c>
    </row>
    <row r="864" customFormat="false" ht="16.5" hidden="false" customHeight="true" outlineLevel="0" collapsed="false">
      <c r="A864" s="2" t="s">
        <v>385</v>
      </c>
      <c r="B864" s="2" t="s">
        <v>402</v>
      </c>
      <c r="C864" s="2" t="n">
        <v>1</v>
      </c>
      <c r="D864" s="2" t="s">
        <v>541</v>
      </c>
      <c r="E864" s="2" t="s">
        <v>29</v>
      </c>
      <c r="F864" s="2" t="n">
        <v>220</v>
      </c>
      <c r="G864" s="2" t="n">
        <v>29</v>
      </c>
    </row>
    <row r="865" customFormat="false" ht="16.5" hidden="false" customHeight="true" outlineLevel="0" collapsed="false">
      <c r="A865" s="2" t="s">
        <v>385</v>
      </c>
      <c r="B865" s="2" t="s">
        <v>402</v>
      </c>
      <c r="C865" s="2" t="n">
        <v>1</v>
      </c>
      <c r="D865" s="2" t="s">
        <v>541</v>
      </c>
      <c r="E865" s="2" t="s">
        <v>30</v>
      </c>
      <c r="F865" s="2" t="n">
        <v>220</v>
      </c>
      <c r="G865" s="2" t="n">
        <v>33</v>
      </c>
    </row>
    <row r="866" customFormat="false" ht="16.5" hidden="false" customHeight="true" outlineLevel="0" collapsed="false">
      <c r="A866" s="2" t="s">
        <v>385</v>
      </c>
      <c r="B866" s="2" t="s">
        <v>402</v>
      </c>
      <c r="C866" s="2" t="n">
        <v>1</v>
      </c>
      <c r="D866" s="2" t="s">
        <v>541</v>
      </c>
      <c r="E866" s="2" t="s">
        <v>31</v>
      </c>
      <c r="F866" s="2" t="n">
        <v>220</v>
      </c>
      <c r="G866" s="2" t="n">
        <v>37</v>
      </c>
    </row>
    <row r="867" customFormat="false" ht="16.5" hidden="false" customHeight="true" outlineLevel="0" collapsed="false">
      <c r="A867" s="2" t="s">
        <v>385</v>
      </c>
      <c r="B867" s="2" t="s">
        <v>402</v>
      </c>
      <c r="C867" s="2" t="n">
        <v>1</v>
      </c>
      <c r="D867" s="2" t="s">
        <v>541</v>
      </c>
      <c r="E867" s="2" t="s">
        <v>32</v>
      </c>
      <c r="F867" s="2" t="n">
        <v>220</v>
      </c>
      <c r="G867" s="2" t="n">
        <v>41</v>
      </c>
    </row>
    <row r="868" customFormat="false" ht="16.5" hidden="false" customHeight="true" outlineLevel="0" collapsed="false">
      <c r="A868" s="2" t="s">
        <v>385</v>
      </c>
      <c r="B868" s="2" t="s">
        <v>402</v>
      </c>
      <c r="C868" s="2" t="n">
        <v>1</v>
      </c>
      <c r="D868" s="2" t="s">
        <v>541</v>
      </c>
      <c r="E868" s="2" t="s">
        <v>33</v>
      </c>
      <c r="F868" s="2" t="n">
        <v>220</v>
      </c>
      <c r="G868" s="2" t="n">
        <v>45</v>
      </c>
    </row>
    <row r="869" customFormat="false" ht="16.5" hidden="false" customHeight="true" outlineLevel="0" collapsed="false">
      <c r="A869" s="2" t="s">
        <v>385</v>
      </c>
      <c r="B869" s="2" t="s">
        <v>402</v>
      </c>
      <c r="C869" s="2" t="n">
        <v>1</v>
      </c>
      <c r="D869" s="2" t="s">
        <v>541</v>
      </c>
      <c r="E869" s="2" t="s">
        <v>34</v>
      </c>
      <c r="F869" s="2" t="n">
        <v>220</v>
      </c>
      <c r="G869" s="2" t="n">
        <v>49</v>
      </c>
    </row>
    <row r="870" customFormat="false" ht="16.5" hidden="false" customHeight="true" outlineLevel="0" collapsed="false">
      <c r="A870" s="2" t="s">
        <v>385</v>
      </c>
      <c r="B870" s="2" t="s">
        <v>402</v>
      </c>
      <c r="C870" s="2" t="n">
        <v>1</v>
      </c>
      <c r="D870" s="2" t="s">
        <v>541</v>
      </c>
      <c r="E870" s="2" t="s">
        <v>35</v>
      </c>
      <c r="F870" s="2" t="n">
        <v>222</v>
      </c>
      <c r="G870" s="2" t="n">
        <v>11</v>
      </c>
    </row>
    <row r="871" customFormat="false" ht="16.5" hidden="false" customHeight="true" outlineLevel="0" collapsed="false">
      <c r="A871" s="2" t="s">
        <v>385</v>
      </c>
      <c r="B871" s="2" t="s">
        <v>402</v>
      </c>
      <c r="C871" s="2" t="n">
        <v>1</v>
      </c>
      <c r="D871" s="2" t="s">
        <v>541</v>
      </c>
      <c r="E871" s="2" t="s">
        <v>36</v>
      </c>
      <c r="F871" s="2" t="n">
        <v>222</v>
      </c>
      <c r="G871" s="2" t="n">
        <v>15</v>
      </c>
    </row>
    <row r="872" customFormat="false" ht="16.5" hidden="false" customHeight="true" outlineLevel="0" collapsed="false">
      <c r="A872" s="2" t="s">
        <v>385</v>
      </c>
      <c r="B872" s="2" t="s">
        <v>402</v>
      </c>
      <c r="C872" s="2" t="n">
        <v>1</v>
      </c>
      <c r="D872" s="2" t="s">
        <v>541</v>
      </c>
      <c r="E872" s="2" t="s">
        <v>37</v>
      </c>
      <c r="F872" s="2" t="n">
        <v>222</v>
      </c>
      <c r="G872" s="2" t="n">
        <v>19</v>
      </c>
    </row>
    <row r="873" customFormat="false" ht="16.5" hidden="false" customHeight="true" outlineLevel="0" collapsed="false">
      <c r="A873" s="2" t="s">
        <v>385</v>
      </c>
      <c r="B873" s="2" t="s">
        <v>402</v>
      </c>
      <c r="C873" s="2" t="n">
        <v>1</v>
      </c>
      <c r="D873" s="2" t="s">
        <v>541</v>
      </c>
      <c r="E873" s="2" t="s">
        <v>38</v>
      </c>
      <c r="F873" s="2" t="n">
        <v>222</v>
      </c>
      <c r="G873" s="2" t="n">
        <v>23</v>
      </c>
    </row>
    <row r="874" customFormat="false" ht="16.5" hidden="false" customHeight="true" outlineLevel="0" collapsed="false">
      <c r="A874" s="2" t="s">
        <v>385</v>
      </c>
      <c r="B874" s="2" t="s">
        <v>402</v>
      </c>
      <c r="C874" s="2" t="n">
        <v>1</v>
      </c>
      <c r="D874" s="2" t="s">
        <v>541</v>
      </c>
      <c r="E874" s="2" t="s">
        <v>39</v>
      </c>
      <c r="F874" s="2" t="n">
        <v>222</v>
      </c>
      <c r="G874" s="2" t="n">
        <v>27</v>
      </c>
    </row>
    <row r="875" customFormat="false" ht="16.5" hidden="false" customHeight="true" outlineLevel="0" collapsed="false">
      <c r="A875" s="2" t="s">
        <v>385</v>
      </c>
      <c r="B875" s="2" t="s">
        <v>402</v>
      </c>
      <c r="C875" s="2" t="n">
        <v>1</v>
      </c>
      <c r="D875" s="2" t="s">
        <v>541</v>
      </c>
      <c r="E875" s="2" t="s">
        <v>40</v>
      </c>
      <c r="F875" s="2" t="n">
        <v>222</v>
      </c>
      <c r="G875" s="2" t="n">
        <v>31</v>
      </c>
    </row>
    <row r="876" customFormat="false" ht="16.5" hidden="false" customHeight="true" outlineLevel="0" collapsed="false">
      <c r="A876" s="2" t="s">
        <v>385</v>
      </c>
      <c r="B876" s="2" t="s">
        <v>402</v>
      </c>
      <c r="C876" s="2" t="n">
        <v>1</v>
      </c>
      <c r="D876" s="2" t="s">
        <v>541</v>
      </c>
      <c r="E876" s="2" t="s">
        <v>41</v>
      </c>
      <c r="F876" s="2" t="n">
        <v>222</v>
      </c>
      <c r="G876" s="2" t="n">
        <v>35</v>
      </c>
    </row>
    <row r="877" customFormat="false" ht="16.5" hidden="false" customHeight="true" outlineLevel="0" collapsed="false">
      <c r="A877" s="2" t="s">
        <v>385</v>
      </c>
      <c r="B877" s="2" t="s">
        <v>402</v>
      </c>
      <c r="C877" s="2" t="n">
        <v>1</v>
      </c>
      <c r="D877" s="2" t="s">
        <v>541</v>
      </c>
      <c r="E877" s="2" t="s">
        <v>42</v>
      </c>
      <c r="F877" s="2" t="n">
        <v>222</v>
      </c>
      <c r="G877" s="2" t="n">
        <v>39</v>
      </c>
    </row>
    <row r="878" customFormat="false" ht="16.5" hidden="false" customHeight="true" outlineLevel="0" collapsed="false">
      <c r="A878" s="2" t="s">
        <v>385</v>
      </c>
      <c r="B878" s="2" t="s">
        <v>402</v>
      </c>
      <c r="C878" s="2" t="n">
        <v>1</v>
      </c>
      <c r="D878" s="2" t="s">
        <v>541</v>
      </c>
      <c r="E878" s="2" t="s">
        <v>43</v>
      </c>
      <c r="F878" s="2" t="n">
        <v>222</v>
      </c>
      <c r="G878" s="2" t="n">
        <v>43</v>
      </c>
    </row>
    <row r="879" customFormat="false" ht="16.5" hidden="false" customHeight="true" outlineLevel="0" collapsed="false">
      <c r="A879" s="2" t="s">
        <v>385</v>
      </c>
      <c r="B879" s="2" t="s">
        <v>402</v>
      </c>
      <c r="C879" s="2" t="n">
        <v>1</v>
      </c>
      <c r="D879" s="2" t="s">
        <v>541</v>
      </c>
      <c r="E879" s="2" t="s">
        <v>44</v>
      </c>
      <c r="F879" s="2" t="n">
        <v>222</v>
      </c>
      <c r="G879" s="2" t="n">
        <v>47</v>
      </c>
    </row>
    <row r="880" customFormat="false" ht="16.5" hidden="false" customHeight="true" outlineLevel="0" collapsed="false">
      <c r="A880" s="2" t="s">
        <v>385</v>
      </c>
      <c r="B880" s="2" t="s">
        <v>402</v>
      </c>
      <c r="C880" s="2" t="n">
        <v>1</v>
      </c>
      <c r="D880" s="2" t="s">
        <v>541</v>
      </c>
      <c r="E880" s="2" t="s">
        <v>48</v>
      </c>
      <c r="F880" s="2" t="n">
        <v>224</v>
      </c>
      <c r="G880" s="2" t="n">
        <v>16</v>
      </c>
    </row>
    <row r="881" customFormat="false" ht="16.5" hidden="false" customHeight="true" outlineLevel="0" collapsed="false">
      <c r="A881" s="2" t="s">
        <v>385</v>
      </c>
      <c r="B881" s="2" t="s">
        <v>402</v>
      </c>
      <c r="C881" s="2" t="n">
        <v>1</v>
      </c>
      <c r="D881" s="2" t="s">
        <v>541</v>
      </c>
      <c r="E881" s="2" t="s">
        <v>50</v>
      </c>
      <c r="F881" s="2" t="n">
        <v>224</v>
      </c>
      <c r="G881" s="2" t="n">
        <v>20</v>
      </c>
    </row>
    <row r="882" customFormat="false" ht="16.5" hidden="false" customHeight="true" outlineLevel="0" collapsed="false">
      <c r="A882" s="2" t="s">
        <v>385</v>
      </c>
      <c r="B882" s="2" t="s">
        <v>402</v>
      </c>
      <c r="C882" s="2" t="n">
        <v>1</v>
      </c>
      <c r="D882" s="2" t="s">
        <v>541</v>
      </c>
      <c r="E882" s="2" t="s">
        <v>45</v>
      </c>
      <c r="F882" s="2" t="n">
        <v>224</v>
      </c>
      <c r="G882" s="2" t="n">
        <v>38</v>
      </c>
    </row>
    <row r="883" customFormat="false" ht="16.5" hidden="false" customHeight="true" outlineLevel="0" collapsed="false">
      <c r="A883" s="2" t="s">
        <v>385</v>
      </c>
      <c r="B883" s="2" t="s">
        <v>402</v>
      </c>
      <c r="C883" s="2" t="n">
        <v>1</v>
      </c>
      <c r="D883" s="2" t="s">
        <v>541</v>
      </c>
      <c r="E883" s="2" t="s">
        <v>46</v>
      </c>
      <c r="F883" s="2" t="n">
        <v>224</v>
      </c>
      <c r="G883" s="2" t="n">
        <v>42</v>
      </c>
    </row>
    <row r="884" customFormat="false" ht="16.5" hidden="false" customHeight="true" outlineLevel="0" collapsed="false">
      <c r="A884" s="2" t="s">
        <v>385</v>
      </c>
      <c r="B884" s="2" t="s">
        <v>403</v>
      </c>
      <c r="C884" s="2" t="n">
        <v>1</v>
      </c>
      <c r="D884" s="2" t="s">
        <v>542</v>
      </c>
      <c r="E884" s="2" t="s">
        <v>0</v>
      </c>
      <c r="F884" s="2" t="n">
        <v>229</v>
      </c>
      <c r="G884" s="2" t="n">
        <v>6</v>
      </c>
    </row>
    <row r="885" customFormat="false" ht="16.5" hidden="false" customHeight="true" outlineLevel="0" collapsed="false">
      <c r="A885" s="2" t="s">
        <v>385</v>
      </c>
      <c r="B885" s="2" t="s">
        <v>403</v>
      </c>
      <c r="C885" s="2" t="n">
        <v>1</v>
      </c>
      <c r="D885" s="2" t="s">
        <v>542</v>
      </c>
      <c r="E885" s="2" t="s">
        <v>1</v>
      </c>
      <c r="F885" s="2" t="n">
        <v>229</v>
      </c>
      <c r="G885" s="2" t="n">
        <v>10</v>
      </c>
    </row>
    <row r="886" customFormat="false" ht="16.5" hidden="false" customHeight="true" outlineLevel="0" collapsed="false">
      <c r="A886" s="2" t="s">
        <v>385</v>
      </c>
      <c r="B886" s="2" t="s">
        <v>403</v>
      </c>
      <c r="C886" s="2" t="n">
        <v>1</v>
      </c>
      <c r="D886" s="2" t="s">
        <v>542</v>
      </c>
      <c r="E886" s="2" t="s">
        <v>2</v>
      </c>
      <c r="F886" s="2" t="n">
        <v>229</v>
      </c>
      <c r="G886" s="2" t="n">
        <v>14</v>
      </c>
    </row>
    <row r="887" customFormat="false" ht="16.5" hidden="false" customHeight="true" outlineLevel="0" collapsed="false">
      <c r="A887" s="2" t="s">
        <v>385</v>
      </c>
      <c r="B887" s="2" t="s">
        <v>403</v>
      </c>
      <c r="C887" s="2" t="n">
        <v>1</v>
      </c>
      <c r="D887" s="2" t="s">
        <v>542</v>
      </c>
      <c r="E887" s="2" t="s">
        <v>3</v>
      </c>
      <c r="F887" s="2" t="n">
        <v>229</v>
      </c>
      <c r="G887" s="2" t="n">
        <v>18</v>
      </c>
    </row>
    <row r="888" customFormat="false" ht="16.5" hidden="false" customHeight="true" outlineLevel="0" collapsed="false">
      <c r="A888" s="2" t="s">
        <v>385</v>
      </c>
      <c r="B888" s="2" t="s">
        <v>403</v>
      </c>
      <c r="C888" s="2" t="n">
        <v>1</v>
      </c>
      <c r="D888" s="2" t="s">
        <v>542</v>
      </c>
      <c r="E888" s="2" t="s">
        <v>4</v>
      </c>
      <c r="F888" s="2" t="n">
        <v>229</v>
      </c>
      <c r="G888" s="2" t="n">
        <v>22</v>
      </c>
    </row>
    <row r="889" customFormat="false" ht="16.5" hidden="false" customHeight="true" outlineLevel="0" collapsed="false">
      <c r="A889" s="2" t="s">
        <v>385</v>
      </c>
      <c r="B889" s="2" t="s">
        <v>403</v>
      </c>
      <c r="C889" s="2" t="n">
        <v>1</v>
      </c>
      <c r="D889" s="2" t="s">
        <v>542</v>
      </c>
      <c r="E889" s="2" t="s">
        <v>5</v>
      </c>
      <c r="F889" s="2" t="n">
        <v>229</v>
      </c>
      <c r="G889" s="2" t="n">
        <v>26</v>
      </c>
    </row>
    <row r="890" customFormat="false" ht="16.5" hidden="false" customHeight="true" outlineLevel="0" collapsed="false">
      <c r="A890" s="2" t="s">
        <v>385</v>
      </c>
      <c r="B890" s="2" t="s">
        <v>403</v>
      </c>
      <c r="C890" s="2" t="n">
        <v>1</v>
      </c>
      <c r="D890" s="2" t="s">
        <v>542</v>
      </c>
      <c r="E890" s="2" t="s">
        <v>6</v>
      </c>
      <c r="F890" s="2" t="n">
        <v>229</v>
      </c>
      <c r="G890" s="2" t="n">
        <v>30</v>
      </c>
    </row>
    <row r="891" customFormat="false" ht="16.5" hidden="false" customHeight="true" outlineLevel="0" collapsed="false">
      <c r="A891" s="2" t="s">
        <v>385</v>
      </c>
      <c r="B891" s="2" t="s">
        <v>403</v>
      </c>
      <c r="C891" s="2" t="n">
        <v>1</v>
      </c>
      <c r="D891" s="2" t="s">
        <v>542</v>
      </c>
      <c r="E891" s="2" t="s">
        <v>7</v>
      </c>
      <c r="F891" s="2" t="n">
        <v>229</v>
      </c>
      <c r="G891" s="2" t="n">
        <v>34</v>
      </c>
    </row>
    <row r="892" customFormat="false" ht="16.5" hidden="false" customHeight="true" outlineLevel="0" collapsed="false">
      <c r="A892" s="2" t="s">
        <v>385</v>
      </c>
      <c r="B892" s="2" t="s">
        <v>403</v>
      </c>
      <c r="C892" s="2" t="n">
        <v>1</v>
      </c>
      <c r="D892" s="2" t="s">
        <v>542</v>
      </c>
      <c r="E892" s="2" t="s">
        <v>8</v>
      </c>
      <c r="F892" s="2" t="n">
        <v>229</v>
      </c>
      <c r="G892" s="2" t="n">
        <v>38</v>
      </c>
    </row>
    <row r="893" customFormat="false" ht="16.5" hidden="false" customHeight="true" outlineLevel="0" collapsed="false">
      <c r="A893" s="2" t="s">
        <v>385</v>
      </c>
      <c r="B893" s="2" t="s">
        <v>403</v>
      </c>
      <c r="C893" s="2" t="n">
        <v>1</v>
      </c>
      <c r="D893" s="2" t="s">
        <v>542</v>
      </c>
      <c r="E893" s="2" t="s">
        <v>9</v>
      </c>
      <c r="F893" s="2" t="n">
        <v>229</v>
      </c>
      <c r="G893" s="2" t="n">
        <v>42</v>
      </c>
    </row>
    <row r="894" customFormat="false" ht="16.5" hidden="false" customHeight="true" outlineLevel="0" collapsed="false">
      <c r="A894" s="2" t="s">
        <v>385</v>
      </c>
      <c r="B894" s="2" t="s">
        <v>403</v>
      </c>
      <c r="C894" s="2" t="n">
        <v>1</v>
      </c>
      <c r="D894" s="2" t="s">
        <v>542</v>
      </c>
      <c r="E894" s="2" t="s">
        <v>10</v>
      </c>
      <c r="F894" s="2" t="n">
        <v>229</v>
      </c>
      <c r="G894" s="2" t="n">
        <v>46</v>
      </c>
    </row>
    <row r="895" customFormat="false" ht="16.5" hidden="false" customHeight="true" outlineLevel="0" collapsed="false">
      <c r="A895" s="2" t="s">
        <v>385</v>
      </c>
      <c r="B895" s="2" t="s">
        <v>403</v>
      </c>
      <c r="C895" s="2" t="n">
        <v>1</v>
      </c>
      <c r="D895" s="2" t="s">
        <v>542</v>
      </c>
      <c r="E895" s="2" t="s">
        <v>11</v>
      </c>
      <c r="F895" s="2" t="n">
        <v>229</v>
      </c>
      <c r="G895" s="2" t="n">
        <v>50</v>
      </c>
    </row>
    <row r="896" customFormat="false" ht="16.5" hidden="false" customHeight="true" outlineLevel="0" collapsed="false">
      <c r="A896" s="2" t="s">
        <v>385</v>
      </c>
      <c r="B896" s="2" t="s">
        <v>403</v>
      </c>
      <c r="C896" s="2" t="n">
        <v>1</v>
      </c>
      <c r="D896" s="2" t="s">
        <v>542</v>
      </c>
      <c r="E896" s="2" t="s">
        <v>12</v>
      </c>
      <c r="F896" s="2" t="n">
        <v>231</v>
      </c>
      <c r="G896" s="2" t="n">
        <v>8</v>
      </c>
    </row>
    <row r="897" customFormat="false" ht="16.5" hidden="false" customHeight="true" outlineLevel="0" collapsed="false">
      <c r="A897" s="2" t="s">
        <v>385</v>
      </c>
      <c r="B897" s="2" t="s">
        <v>403</v>
      </c>
      <c r="C897" s="2" t="n">
        <v>1</v>
      </c>
      <c r="D897" s="2" t="s">
        <v>542</v>
      </c>
      <c r="E897" s="2" t="s">
        <v>13</v>
      </c>
      <c r="F897" s="2" t="n">
        <v>231</v>
      </c>
      <c r="G897" s="2" t="n">
        <v>12</v>
      </c>
    </row>
    <row r="898" customFormat="false" ht="16.5" hidden="false" customHeight="true" outlineLevel="0" collapsed="false">
      <c r="A898" s="2" t="s">
        <v>385</v>
      </c>
      <c r="B898" s="2" t="s">
        <v>403</v>
      </c>
      <c r="C898" s="2" t="n">
        <v>1</v>
      </c>
      <c r="D898" s="2" t="s">
        <v>542</v>
      </c>
      <c r="E898" s="2" t="s">
        <v>14</v>
      </c>
      <c r="F898" s="2" t="n">
        <v>231</v>
      </c>
      <c r="G898" s="2" t="n">
        <v>16</v>
      </c>
    </row>
    <row r="899" customFormat="false" ht="16.5" hidden="false" customHeight="true" outlineLevel="0" collapsed="false">
      <c r="A899" s="2" t="s">
        <v>385</v>
      </c>
      <c r="B899" s="2" t="s">
        <v>403</v>
      </c>
      <c r="C899" s="2" t="n">
        <v>1</v>
      </c>
      <c r="D899" s="2" t="s">
        <v>542</v>
      </c>
      <c r="E899" s="2" t="s">
        <v>15</v>
      </c>
      <c r="F899" s="2" t="n">
        <v>231</v>
      </c>
      <c r="G899" s="2" t="n">
        <v>20</v>
      </c>
    </row>
    <row r="900" customFormat="false" ht="16.5" hidden="false" customHeight="true" outlineLevel="0" collapsed="false">
      <c r="A900" s="2" t="s">
        <v>385</v>
      </c>
      <c r="B900" s="2" t="s">
        <v>403</v>
      </c>
      <c r="C900" s="2" t="n">
        <v>1</v>
      </c>
      <c r="D900" s="2" t="s">
        <v>542</v>
      </c>
      <c r="E900" s="2" t="s">
        <v>16</v>
      </c>
      <c r="F900" s="2" t="n">
        <v>231</v>
      </c>
      <c r="G900" s="2" t="n">
        <v>24</v>
      </c>
    </row>
    <row r="901" customFormat="false" ht="16.5" hidden="false" customHeight="true" outlineLevel="0" collapsed="false">
      <c r="A901" s="2" t="s">
        <v>385</v>
      </c>
      <c r="B901" s="2" t="s">
        <v>403</v>
      </c>
      <c r="C901" s="2" t="n">
        <v>1</v>
      </c>
      <c r="D901" s="2" t="s">
        <v>542</v>
      </c>
      <c r="E901" s="2" t="s">
        <v>17</v>
      </c>
      <c r="F901" s="2" t="n">
        <v>231</v>
      </c>
      <c r="G901" s="2" t="n">
        <v>28</v>
      </c>
    </row>
    <row r="902" customFormat="false" ht="16.5" hidden="false" customHeight="true" outlineLevel="0" collapsed="false">
      <c r="A902" s="2" t="s">
        <v>385</v>
      </c>
      <c r="B902" s="2" t="s">
        <v>403</v>
      </c>
      <c r="C902" s="2" t="n">
        <v>1</v>
      </c>
      <c r="D902" s="2" t="s">
        <v>542</v>
      </c>
      <c r="E902" s="2" t="s">
        <v>18</v>
      </c>
      <c r="F902" s="2" t="n">
        <v>231</v>
      </c>
      <c r="G902" s="2" t="n">
        <v>32</v>
      </c>
    </row>
    <row r="903" customFormat="false" ht="16.5" hidden="false" customHeight="true" outlineLevel="0" collapsed="false">
      <c r="A903" s="2" t="s">
        <v>385</v>
      </c>
      <c r="B903" s="2" t="s">
        <v>403</v>
      </c>
      <c r="C903" s="2" t="n">
        <v>1</v>
      </c>
      <c r="D903" s="2" t="s">
        <v>542</v>
      </c>
      <c r="E903" s="2" t="s">
        <v>19</v>
      </c>
      <c r="F903" s="2" t="n">
        <v>231</v>
      </c>
      <c r="G903" s="2" t="n">
        <v>36</v>
      </c>
    </row>
    <row r="904" customFormat="false" ht="16.5" hidden="false" customHeight="true" outlineLevel="0" collapsed="false">
      <c r="A904" s="2" t="s">
        <v>385</v>
      </c>
      <c r="B904" s="2" t="s">
        <v>403</v>
      </c>
      <c r="C904" s="2" t="n">
        <v>1</v>
      </c>
      <c r="D904" s="2" t="s">
        <v>542</v>
      </c>
      <c r="E904" s="2" t="s">
        <v>20</v>
      </c>
      <c r="F904" s="2" t="n">
        <v>231</v>
      </c>
      <c r="G904" s="2" t="n">
        <v>40</v>
      </c>
    </row>
    <row r="905" customFormat="false" ht="16.5" hidden="false" customHeight="true" outlineLevel="0" collapsed="false">
      <c r="A905" s="2" t="s">
        <v>385</v>
      </c>
      <c r="B905" s="2" t="s">
        <v>403</v>
      </c>
      <c r="C905" s="2" t="n">
        <v>1</v>
      </c>
      <c r="D905" s="2" t="s">
        <v>542</v>
      </c>
      <c r="E905" s="2" t="s">
        <v>21</v>
      </c>
      <c r="F905" s="2" t="n">
        <v>231</v>
      </c>
      <c r="G905" s="2" t="n">
        <v>44</v>
      </c>
    </row>
    <row r="906" customFormat="false" ht="16.5" hidden="false" customHeight="true" outlineLevel="0" collapsed="false">
      <c r="A906" s="2" t="s">
        <v>385</v>
      </c>
      <c r="B906" s="2" t="s">
        <v>403</v>
      </c>
      <c r="C906" s="2" t="n">
        <v>1</v>
      </c>
      <c r="D906" s="2" t="s">
        <v>542</v>
      </c>
      <c r="E906" s="2" t="s">
        <v>22</v>
      </c>
      <c r="F906" s="2" t="n">
        <v>231</v>
      </c>
      <c r="G906" s="2" t="n">
        <v>48</v>
      </c>
    </row>
    <row r="907" customFormat="false" ht="16.5" hidden="false" customHeight="true" outlineLevel="0" collapsed="false">
      <c r="A907" s="2" t="s">
        <v>385</v>
      </c>
      <c r="B907" s="2" t="s">
        <v>403</v>
      </c>
      <c r="C907" s="2" t="n">
        <v>1</v>
      </c>
      <c r="D907" s="2" t="s">
        <v>542</v>
      </c>
      <c r="E907" s="2" t="s">
        <v>23</v>
      </c>
      <c r="F907" s="2" t="n">
        <v>231</v>
      </c>
      <c r="G907" s="2" t="n">
        <v>52</v>
      </c>
    </row>
    <row r="908" customFormat="false" ht="16.5" hidden="false" customHeight="true" outlineLevel="0" collapsed="false">
      <c r="A908" s="2" t="s">
        <v>385</v>
      </c>
      <c r="B908" s="2" t="s">
        <v>403</v>
      </c>
      <c r="C908" s="2" t="n">
        <v>1</v>
      </c>
      <c r="D908" s="2" t="s">
        <v>542</v>
      </c>
      <c r="E908" s="2" t="s">
        <v>24</v>
      </c>
      <c r="F908" s="2" t="n">
        <v>233</v>
      </c>
      <c r="G908" s="2" t="n">
        <v>9</v>
      </c>
    </row>
    <row r="909" customFormat="false" ht="16.5" hidden="false" customHeight="true" outlineLevel="0" collapsed="false">
      <c r="A909" s="2" t="s">
        <v>385</v>
      </c>
      <c r="B909" s="2" t="s">
        <v>403</v>
      </c>
      <c r="C909" s="2" t="n">
        <v>1</v>
      </c>
      <c r="D909" s="2" t="s">
        <v>542</v>
      </c>
      <c r="E909" s="2" t="s">
        <v>25</v>
      </c>
      <c r="F909" s="2" t="n">
        <v>233</v>
      </c>
      <c r="G909" s="2" t="n">
        <v>13</v>
      </c>
    </row>
    <row r="910" customFormat="false" ht="16.5" hidden="false" customHeight="true" outlineLevel="0" collapsed="false">
      <c r="A910" s="2" t="s">
        <v>385</v>
      </c>
      <c r="B910" s="2" t="s">
        <v>403</v>
      </c>
      <c r="C910" s="2" t="n">
        <v>1</v>
      </c>
      <c r="D910" s="2" t="s">
        <v>542</v>
      </c>
      <c r="E910" s="2" t="s">
        <v>26</v>
      </c>
      <c r="F910" s="2" t="n">
        <v>233</v>
      </c>
      <c r="G910" s="2" t="n">
        <v>17</v>
      </c>
    </row>
    <row r="911" customFormat="false" ht="16.5" hidden="false" customHeight="true" outlineLevel="0" collapsed="false">
      <c r="A911" s="2" t="s">
        <v>385</v>
      </c>
      <c r="B911" s="2" t="s">
        <v>403</v>
      </c>
      <c r="C911" s="2" t="n">
        <v>1</v>
      </c>
      <c r="D911" s="2" t="s">
        <v>542</v>
      </c>
      <c r="E911" s="2" t="s">
        <v>27</v>
      </c>
      <c r="F911" s="2" t="n">
        <v>233</v>
      </c>
      <c r="G911" s="2" t="n">
        <v>21</v>
      </c>
    </row>
    <row r="912" customFormat="false" ht="16.5" hidden="false" customHeight="true" outlineLevel="0" collapsed="false">
      <c r="A912" s="2" t="s">
        <v>385</v>
      </c>
      <c r="B912" s="2" t="s">
        <v>403</v>
      </c>
      <c r="C912" s="2" t="n">
        <v>1</v>
      </c>
      <c r="D912" s="2" t="s">
        <v>542</v>
      </c>
      <c r="E912" s="2" t="s">
        <v>28</v>
      </c>
      <c r="F912" s="2" t="n">
        <v>233</v>
      </c>
      <c r="G912" s="2" t="n">
        <v>25</v>
      </c>
    </row>
    <row r="913" customFormat="false" ht="16.5" hidden="false" customHeight="true" outlineLevel="0" collapsed="false">
      <c r="A913" s="2" t="s">
        <v>385</v>
      </c>
      <c r="B913" s="2" t="s">
        <v>403</v>
      </c>
      <c r="C913" s="2" t="n">
        <v>1</v>
      </c>
      <c r="D913" s="2" t="s">
        <v>542</v>
      </c>
      <c r="E913" s="2" t="s">
        <v>29</v>
      </c>
      <c r="F913" s="2" t="n">
        <v>233</v>
      </c>
      <c r="G913" s="2" t="n">
        <v>29</v>
      </c>
    </row>
    <row r="914" customFormat="false" ht="16.5" hidden="false" customHeight="true" outlineLevel="0" collapsed="false">
      <c r="A914" s="2" t="s">
        <v>385</v>
      </c>
      <c r="B914" s="2" t="s">
        <v>403</v>
      </c>
      <c r="C914" s="2" t="n">
        <v>1</v>
      </c>
      <c r="D914" s="2" t="s">
        <v>542</v>
      </c>
      <c r="E914" s="2" t="s">
        <v>30</v>
      </c>
      <c r="F914" s="2" t="n">
        <v>233</v>
      </c>
      <c r="G914" s="2" t="n">
        <v>33</v>
      </c>
    </row>
    <row r="915" customFormat="false" ht="16.5" hidden="false" customHeight="true" outlineLevel="0" collapsed="false">
      <c r="A915" s="2" t="s">
        <v>385</v>
      </c>
      <c r="B915" s="2" t="s">
        <v>403</v>
      </c>
      <c r="C915" s="2" t="n">
        <v>1</v>
      </c>
      <c r="D915" s="2" t="s">
        <v>542</v>
      </c>
      <c r="E915" s="2" t="s">
        <v>31</v>
      </c>
      <c r="F915" s="2" t="n">
        <v>233</v>
      </c>
      <c r="G915" s="2" t="n">
        <v>37</v>
      </c>
    </row>
    <row r="916" customFormat="false" ht="16.5" hidden="false" customHeight="true" outlineLevel="0" collapsed="false">
      <c r="A916" s="2" t="s">
        <v>385</v>
      </c>
      <c r="B916" s="2" t="s">
        <v>403</v>
      </c>
      <c r="C916" s="2" t="n">
        <v>1</v>
      </c>
      <c r="D916" s="2" t="s">
        <v>542</v>
      </c>
      <c r="E916" s="2" t="s">
        <v>32</v>
      </c>
      <c r="F916" s="2" t="n">
        <v>233</v>
      </c>
      <c r="G916" s="2" t="n">
        <v>41</v>
      </c>
    </row>
    <row r="917" customFormat="false" ht="16.5" hidden="false" customHeight="true" outlineLevel="0" collapsed="false">
      <c r="A917" s="2" t="s">
        <v>385</v>
      </c>
      <c r="B917" s="2" t="s">
        <v>403</v>
      </c>
      <c r="C917" s="2" t="n">
        <v>1</v>
      </c>
      <c r="D917" s="2" t="s">
        <v>542</v>
      </c>
      <c r="E917" s="2" t="s">
        <v>33</v>
      </c>
      <c r="F917" s="2" t="n">
        <v>233</v>
      </c>
      <c r="G917" s="2" t="n">
        <v>45</v>
      </c>
    </row>
    <row r="918" customFormat="false" ht="16.5" hidden="false" customHeight="true" outlineLevel="0" collapsed="false">
      <c r="A918" s="2" t="s">
        <v>385</v>
      </c>
      <c r="B918" s="2" t="s">
        <v>403</v>
      </c>
      <c r="C918" s="2" t="n">
        <v>1</v>
      </c>
      <c r="D918" s="2" t="s">
        <v>542</v>
      </c>
      <c r="E918" s="2" t="s">
        <v>34</v>
      </c>
      <c r="F918" s="2" t="n">
        <v>233</v>
      </c>
      <c r="G918" s="2" t="n">
        <v>49</v>
      </c>
    </row>
    <row r="919" customFormat="false" ht="16.5" hidden="false" customHeight="true" outlineLevel="0" collapsed="false">
      <c r="A919" s="2" t="s">
        <v>385</v>
      </c>
      <c r="B919" s="2" t="s">
        <v>403</v>
      </c>
      <c r="C919" s="2" t="n">
        <v>1</v>
      </c>
      <c r="D919" s="2" t="s">
        <v>542</v>
      </c>
      <c r="E919" s="2" t="s">
        <v>35</v>
      </c>
      <c r="F919" s="2" t="n">
        <v>235</v>
      </c>
      <c r="G919" s="2" t="n">
        <v>11</v>
      </c>
    </row>
    <row r="920" customFormat="false" ht="16.5" hidden="false" customHeight="true" outlineLevel="0" collapsed="false">
      <c r="A920" s="2" t="s">
        <v>385</v>
      </c>
      <c r="B920" s="2" t="s">
        <v>403</v>
      </c>
      <c r="C920" s="2" t="n">
        <v>1</v>
      </c>
      <c r="D920" s="2" t="s">
        <v>542</v>
      </c>
      <c r="E920" s="2" t="s">
        <v>36</v>
      </c>
      <c r="F920" s="2" t="n">
        <v>235</v>
      </c>
      <c r="G920" s="2" t="n">
        <v>15</v>
      </c>
    </row>
    <row r="921" customFormat="false" ht="16.5" hidden="false" customHeight="true" outlineLevel="0" collapsed="false">
      <c r="A921" s="2" t="s">
        <v>385</v>
      </c>
      <c r="B921" s="2" t="s">
        <v>403</v>
      </c>
      <c r="C921" s="2" t="n">
        <v>1</v>
      </c>
      <c r="D921" s="2" t="s">
        <v>542</v>
      </c>
      <c r="E921" s="2" t="s">
        <v>37</v>
      </c>
      <c r="F921" s="2" t="n">
        <v>235</v>
      </c>
      <c r="G921" s="2" t="n">
        <v>19</v>
      </c>
    </row>
    <row r="922" customFormat="false" ht="16.5" hidden="false" customHeight="true" outlineLevel="0" collapsed="false">
      <c r="A922" s="2" t="s">
        <v>385</v>
      </c>
      <c r="B922" s="2" t="s">
        <v>403</v>
      </c>
      <c r="C922" s="2" t="n">
        <v>1</v>
      </c>
      <c r="D922" s="2" t="s">
        <v>542</v>
      </c>
      <c r="E922" s="2" t="s">
        <v>38</v>
      </c>
      <c r="F922" s="2" t="n">
        <v>235</v>
      </c>
      <c r="G922" s="2" t="n">
        <v>23</v>
      </c>
    </row>
    <row r="923" customFormat="false" ht="16.5" hidden="false" customHeight="true" outlineLevel="0" collapsed="false">
      <c r="A923" s="2" t="s">
        <v>385</v>
      </c>
      <c r="B923" s="2" t="s">
        <v>403</v>
      </c>
      <c r="C923" s="2" t="n">
        <v>1</v>
      </c>
      <c r="D923" s="2" t="s">
        <v>542</v>
      </c>
      <c r="E923" s="2" t="s">
        <v>39</v>
      </c>
      <c r="F923" s="2" t="n">
        <v>235</v>
      </c>
      <c r="G923" s="2" t="n">
        <v>27</v>
      </c>
    </row>
    <row r="924" customFormat="false" ht="16.5" hidden="false" customHeight="true" outlineLevel="0" collapsed="false">
      <c r="A924" s="2" t="s">
        <v>385</v>
      </c>
      <c r="B924" s="2" t="s">
        <v>403</v>
      </c>
      <c r="C924" s="2" t="n">
        <v>1</v>
      </c>
      <c r="D924" s="2" t="s">
        <v>542</v>
      </c>
      <c r="E924" s="2" t="s">
        <v>40</v>
      </c>
      <c r="F924" s="2" t="n">
        <v>235</v>
      </c>
      <c r="G924" s="2" t="n">
        <v>31</v>
      </c>
    </row>
    <row r="925" customFormat="false" ht="16.5" hidden="false" customHeight="true" outlineLevel="0" collapsed="false">
      <c r="A925" s="2" t="s">
        <v>385</v>
      </c>
      <c r="B925" s="2" t="s">
        <v>403</v>
      </c>
      <c r="C925" s="2" t="n">
        <v>1</v>
      </c>
      <c r="D925" s="2" t="s">
        <v>542</v>
      </c>
      <c r="E925" s="2" t="s">
        <v>41</v>
      </c>
      <c r="F925" s="2" t="n">
        <v>235</v>
      </c>
      <c r="G925" s="2" t="n">
        <v>35</v>
      </c>
    </row>
    <row r="926" customFormat="false" ht="16.5" hidden="false" customHeight="true" outlineLevel="0" collapsed="false">
      <c r="A926" s="2" t="s">
        <v>385</v>
      </c>
      <c r="B926" s="2" t="s">
        <v>403</v>
      </c>
      <c r="C926" s="2" t="n">
        <v>1</v>
      </c>
      <c r="D926" s="2" t="s">
        <v>542</v>
      </c>
      <c r="E926" s="2" t="s">
        <v>42</v>
      </c>
      <c r="F926" s="2" t="n">
        <v>235</v>
      </c>
      <c r="G926" s="2" t="n">
        <v>39</v>
      </c>
    </row>
    <row r="927" customFormat="false" ht="16.5" hidden="false" customHeight="true" outlineLevel="0" collapsed="false">
      <c r="A927" s="2" t="s">
        <v>385</v>
      </c>
      <c r="B927" s="2" t="s">
        <v>403</v>
      </c>
      <c r="C927" s="2" t="n">
        <v>1</v>
      </c>
      <c r="D927" s="2" t="s">
        <v>542</v>
      </c>
      <c r="E927" s="2" t="s">
        <v>43</v>
      </c>
      <c r="F927" s="2" t="n">
        <v>235</v>
      </c>
      <c r="G927" s="2" t="n">
        <v>43</v>
      </c>
    </row>
    <row r="928" customFormat="false" ht="16.5" hidden="false" customHeight="true" outlineLevel="0" collapsed="false">
      <c r="A928" s="2" t="s">
        <v>385</v>
      </c>
      <c r="B928" s="2" t="s">
        <v>403</v>
      </c>
      <c r="C928" s="2" t="n">
        <v>1</v>
      </c>
      <c r="D928" s="2" t="s">
        <v>542</v>
      </c>
      <c r="E928" s="2" t="s">
        <v>44</v>
      </c>
      <c r="F928" s="2" t="n">
        <v>235</v>
      </c>
      <c r="G928" s="2" t="n">
        <v>47</v>
      </c>
    </row>
    <row r="929" customFormat="false" ht="16.5" hidden="false" customHeight="true" outlineLevel="0" collapsed="false">
      <c r="A929" s="2" t="s">
        <v>385</v>
      </c>
      <c r="B929" s="2" t="s">
        <v>403</v>
      </c>
      <c r="C929" s="2" t="n">
        <v>1</v>
      </c>
      <c r="D929" s="2" t="s">
        <v>542</v>
      </c>
      <c r="E929" s="2" t="s">
        <v>48</v>
      </c>
      <c r="F929" s="2" t="n">
        <v>237</v>
      </c>
      <c r="G929" s="2" t="n">
        <v>16</v>
      </c>
    </row>
    <row r="930" customFormat="false" ht="16.5" hidden="false" customHeight="true" outlineLevel="0" collapsed="false">
      <c r="A930" s="2" t="s">
        <v>385</v>
      </c>
      <c r="B930" s="2" t="s">
        <v>403</v>
      </c>
      <c r="C930" s="2" t="n">
        <v>1</v>
      </c>
      <c r="D930" s="2" t="s">
        <v>542</v>
      </c>
      <c r="E930" s="2" t="s">
        <v>50</v>
      </c>
      <c r="F930" s="2" t="n">
        <v>237</v>
      </c>
      <c r="G930" s="2" t="n">
        <v>20</v>
      </c>
    </row>
    <row r="931" customFormat="false" ht="16.5" hidden="false" customHeight="true" outlineLevel="0" collapsed="false">
      <c r="A931" s="2" t="s">
        <v>385</v>
      </c>
      <c r="B931" s="2" t="s">
        <v>403</v>
      </c>
      <c r="C931" s="2" t="n">
        <v>1</v>
      </c>
      <c r="D931" s="2" t="s">
        <v>542</v>
      </c>
      <c r="E931" s="2" t="s">
        <v>45</v>
      </c>
      <c r="F931" s="2" t="n">
        <v>237</v>
      </c>
      <c r="G931" s="2" t="n">
        <v>38</v>
      </c>
    </row>
    <row r="932" customFormat="false" ht="16.5" hidden="false" customHeight="true" outlineLevel="0" collapsed="false">
      <c r="A932" s="2" t="s">
        <v>385</v>
      </c>
      <c r="B932" s="2" t="s">
        <v>403</v>
      </c>
      <c r="C932" s="2" t="n">
        <v>1</v>
      </c>
      <c r="D932" s="2" t="s">
        <v>542</v>
      </c>
      <c r="E932" s="2" t="s">
        <v>46</v>
      </c>
      <c r="F932" s="2" t="n">
        <v>237</v>
      </c>
      <c r="G932" s="2" t="n">
        <v>42</v>
      </c>
    </row>
    <row r="933" customFormat="false" ht="16.5" hidden="false" customHeight="true" outlineLevel="0" collapsed="false">
      <c r="A933" s="2" t="s">
        <v>385</v>
      </c>
      <c r="B933" s="2" t="s">
        <v>404</v>
      </c>
      <c r="C933" s="2" t="n">
        <v>1</v>
      </c>
      <c r="D933" s="2" t="s">
        <v>543</v>
      </c>
      <c r="E933" s="2" t="s">
        <v>0</v>
      </c>
      <c r="F933" s="2" t="n">
        <v>242</v>
      </c>
      <c r="G933" s="2" t="n">
        <v>6</v>
      </c>
    </row>
    <row r="934" customFormat="false" ht="16.5" hidden="false" customHeight="true" outlineLevel="0" collapsed="false">
      <c r="A934" s="2" t="s">
        <v>385</v>
      </c>
      <c r="B934" s="2" t="s">
        <v>404</v>
      </c>
      <c r="C934" s="2" t="n">
        <v>1</v>
      </c>
      <c r="D934" s="2" t="s">
        <v>543</v>
      </c>
      <c r="E934" s="2" t="s">
        <v>1</v>
      </c>
      <c r="F934" s="2" t="n">
        <v>242</v>
      </c>
      <c r="G934" s="2" t="n">
        <v>10</v>
      </c>
    </row>
    <row r="935" customFormat="false" ht="16.5" hidden="false" customHeight="true" outlineLevel="0" collapsed="false">
      <c r="A935" s="2" t="s">
        <v>385</v>
      </c>
      <c r="B935" s="2" t="s">
        <v>404</v>
      </c>
      <c r="C935" s="2" t="n">
        <v>1</v>
      </c>
      <c r="D935" s="2" t="s">
        <v>543</v>
      </c>
      <c r="E935" s="2" t="s">
        <v>2</v>
      </c>
      <c r="F935" s="2" t="n">
        <v>242</v>
      </c>
      <c r="G935" s="2" t="n">
        <v>14</v>
      </c>
    </row>
    <row r="936" customFormat="false" ht="16.5" hidden="false" customHeight="true" outlineLevel="0" collapsed="false">
      <c r="A936" s="2" t="s">
        <v>385</v>
      </c>
      <c r="B936" s="2" t="s">
        <v>404</v>
      </c>
      <c r="C936" s="2" t="n">
        <v>1</v>
      </c>
      <c r="D936" s="2" t="s">
        <v>543</v>
      </c>
      <c r="E936" s="2" t="s">
        <v>3</v>
      </c>
      <c r="F936" s="2" t="n">
        <v>242</v>
      </c>
      <c r="G936" s="2" t="n">
        <v>18</v>
      </c>
    </row>
    <row r="937" customFormat="false" ht="16.5" hidden="false" customHeight="true" outlineLevel="0" collapsed="false">
      <c r="A937" s="2" t="s">
        <v>385</v>
      </c>
      <c r="B937" s="2" t="s">
        <v>404</v>
      </c>
      <c r="C937" s="2" t="n">
        <v>1</v>
      </c>
      <c r="D937" s="2" t="s">
        <v>543</v>
      </c>
      <c r="E937" s="2" t="s">
        <v>4</v>
      </c>
      <c r="F937" s="2" t="n">
        <v>242</v>
      </c>
      <c r="G937" s="2" t="n">
        <v>22</v>
      </c>
    </row>
    <row r="938" customFormat="false" ht="16.5" hidden="false" customHeight="true" outlineLevel="0" collapsed="false">
      <c r="A938" s="2" t="s">
        <v>385</v>
      </c>
      <c r="B938" s="2" t="s">
        <v>404</v>
      </c>
      <c r="C938" s="2" t="n">
        <v>1</v>
      </c>
      <c r="D938" s="2" t="s">
        <v>543</v>
      </c>
      <c r="E938" s="2" t="s">
        <v>5</v>
      </c>
      <c r="F938" s="2" t="n">
        <v>242</v>
      </c>
      <c r="G938" s="2" t="n">
        <v>26</v>
      </c>
    </row>
    <row r="939" customFormat="false" ht="16.5" hidden="false" customHeight="true" outlineLevel="0" collapsed="false">
      <c r="A939" s="2" t="s">
        <v>385</v>
      </c>
      <c r="B939" s="2" t="s">
        <v>404</v>
      </c>
      <c r="C939" s="2" t="n">
        <v>1</v>
      </c>
      <c r="D939" s="2" t="s">
        <v>543</v>
      </c>
      <c r="E939" s="2" t="s">
        <v>6</v>
      </c>
      <c r="F939" s="2" t="n">
        <v>242</v>
      </c>
      <c r="G939" s="2" t="n">
        <v>30</v>
      </c>
    </row>
    <row r="940" customFormat="false" ht="16.5" hidden="false" customHeight="true" outlineLevel="0" collapsed="false">
      <c r="A940" s="2" t="s">
        <v>385</v>
      </c>
      <c r="B940" s="2" t="s">
        <v>404</v>
      </c>
      <c r="C940" s="2" t="n">
        <v>1</v>
      </c>
      <c r="D940" s="2" t="s">
        <v>543</v>
      </c>
      <c r="E940" s="2" t="s">
        <v>7</v>
      </c>
      <c r="F940" s="2" t="n">
        <v>242</v>
      </c>
      <c r="G940" s="2" t="n">
        <v>34</v>
      </c>
    </row>
    <row r="941" customFormat="false" ht="16.5" hidden="false" customHeight="true" outlineLevel="0" collapsed="false">
      <c r="A941" s="2" t="s">
        <v>385</v>
      </c>
      <c r="B941" s="2" t="s">
        <v>404</v>
      </c>
      <c r="C941" s="2" t="n">
        <v>1</v>
      </c>
      <c r="D941" s="2" t="s">
        <v>543</v>
      </c>
      <c r="E941" s="2" t="s">
        <v>8</v>
      </c>
      <c r="F941" s="2" t="n">
        <v>242</v>
      </c>
      <c r="G941" s="2" t="n">
        <v>38</v>
      </c>
    </row>
    <row r="942" customFormat="false" ht="16.5" hidden="false" customHeight="true" outlineLevel="0" collapsed="false">
      <c r="A942" s="2" t="s">
        <v>385</v>
      </c>
      <c r="B942" s="2" t="s">
        <v>404</v>
      </c>
      <c r="C942" s="2" t="n">
        <v>1</v>
      </c>
      <c r="D942" s="2" t="s">
        <v>543</v>
      </c>
      <c r="E942" s="2" t="s">
        <v>9</v>
      </c>
      <c r="F942" s="2" t="n">
        <v>242</v>
      </c>
      <c r="G942" s="2" t="n">
        <v>42</v>
      </c>
    </row>
    <row r="943" customFormat="false" ht="16.5" hidden="false" customHeight="true" outlineLevel="0" collapsed="false">
      <c r="A943" s="2" t="s">
        <v>385</v>
      </c>
      <c r="B943" s="2" t="s">
        <v>404</v>
      </c>
      <c r="C943" s="2" t="n">
        <v>1</v>
      </c>
      <c r="D943" s="2" t="s">
        <v>543</v>
      </c>
      <c r="E943" s="2" t="s">
        <v>10</v>
      </c>
      <c r="F943" s="2" t="n">
        <v>242</v>
      </c>
      <c r="G943" s="2" t="n">
        <v>46</v>
      </c>
    </row>
    <row r="944" customFormat="false" ht="16.5" hidden="false" customHeight="true" outlineLevel="0" collapsed="false">
      <c r="A944" s="2" t="s">
        <v>385</v>
      </c>
      <c r="B944" s="2" t="s">
        <v>404</v>
      </c>
      <c r="C944" s="2" t="n">
        <v>1</v>
      </c>
      <c r="D944" s="2" t="s">
        <v>543</v>
      </c>
      <c r="E944" s="2" t="s">
        <v>11</v>
      </c>
      <c r="F944" s="2" t="n">
        <v>242</v>
      </c>
      <c r="G944" s="2" t="n">
        <v>50</v>
      </c>
    </row>
    <row r="945" customFormat="false" ht="16.5" hidden="false" customHeight="true" outlineLevel="0" collapsed="false">
      <c r="A945" s="2" t="s">
        <v>385</v>
      </c>
      <c r="B945" s="2" t="s">
        <v>404</v>
      </c>
      <c r="C945" s="2" t="n">
        <v>1</v>
      </c>
      <c r="D945" s="2" t="s">
        <v>543</v>
      </c>
      <c r="E945" s="2" t="s">
        <v>12</v>
      </c>
      <c r="F945" s="2" t="n">
        <v>244</v>
      </c>
      <c r="G945" s="2" t="n">
        <v>8</v>
      </c>
    </row>
    <row r="946" customFormat="false" ht="16.5" hidden="false" customHeight="true" outlineLevel="0" collapsed="false">
      <c r="A946" s="2" t="s">
        <v>385</v>
      </c>
      <c r="B946" s="2" t="s">
        <v>404</v>
      </c>
      <c r="C946" s="2" t="n">
        <v>1</v>
      </c>
      <c r="D946" s="2" t="s">
        <v>543</v>
      </c>
      <c r="E946" s="2" t="s">
        <v>13</v>
      </c>
      <c r="F946" s="2" t="n">
        <v>244</v>
      </c>
      <c r="G946" s="2" t="n">
        <v>12</v>
      </c>
    </row>
    <row r="947" customFormat="false" ht="16.5" hidden="false" customHeight="true" outlineLevel="0" collapsed="false">
      <c r="A947" s="2" t="s">
        <v>385</v>
      </c>
      <c r="B947" s="2" t="s">
        <v>404</v>
      </c>
      <c r="C947" s="2" t="n">
        <v>1</v>
      </c>
      <c r="D947" s="2" t="s">
        <v>543</v>
      </c>
      <c r="E947" s="2" t="s">
        <v>14</v>
      </c>
      <c r="F947" s="2" t="n">
        <v>244</v>
      </c>
      <c r="G947" s="2" t="n">
        <v>16</v>
      </c>
    </row>
    <row r="948" customFormat="false" ht="16.5" hidden="false" customHeight="true" outlineLevel="0" collapsed="false">
      <c r="A948" s="2" t="s">
        <v>385</v>
      </c>
      <c r="B948" s="2" t="s">
        <v>404</v>
      </c>
      <c r="C948" s="2" t="n">
        <v>1</v>
      </c>
      <c r="D948" s="2" t="s">
        <v>543</v>
      </c>
      <c r="E948" s="2" t="s">
        <v>15</v>
      </c>
      <c r="F948" s="2" t="n">
        <v>244</v>
      </c>
      <c r="G948" s="2" t="n">
        <v>20</v>
      </c>
    </row>
    <row r="949" customFormat="false" ht="16.5" hidden="false" customHeight="true" outlineLevel="0" collapsed="false">
      <c r="A949" s="2" t="s">
        <v>385</v>
      </c>
      <c r="B949" s="2" t="s">
        <v>404</v>
      </c>
      <c r="C949" s="2" t="n">
        <v>1</v>
      </c>
      <c r="D949" s="2" t="s">
        <v>543</v>
      </c>
      <c r="E949" s="2" t="s">
        <v>16</v>
      </c>
      <c r="F949" s="2" t="n">
        <v>244</v>
      </c>
      <c r="G949" s="2" t="n">
        <v>24</v>
      </c>
    </row>
    <row r="950" customFormat="false" ht="16.5" hidden="false" customHeight="true" outlineLevel="0" collapsed="false">
      <c r="A950" s="2" t="s">
        <v>385</v>
      </c>
      <c r="B950" s="2" t="s">
        <v>404</v>
      </c>
      <c r="C950" s="2" t="n">
        <v>1</v>
      </c>
      <c r="D950" s="2" t="s">
        <v>543</v>
      </c>
      <c r="E950" s="2" t="s">
        <v>17</v>
      </c>
      <c r="F950" s="2" t="n">
        <v>244</v>
      </c>
      <c r="G950" s="2" t="n">
        <v>28</v>
      </c>
    </row>
    <row r="951" customFormat="false" ht="16.5" hidden="false" customHeight="true" outlineLevel="0" collapsed="false">
      <c r="A951" s="2" t="s">
        <v>385</v>
      </c>
      <c r="B951" s="2" t="s">
        <v>404</v>
      </c>
      <c r="C951" s="2" t="n">
        <v>1</v>
      </c>
      <c r="D951" s="2" t="s">
        <v>543</v>
      </c>
      <c r="E951" s="2" t="s">
        <v>18</v>
      </c>
      <c r="F951" s="2" t="n">
        <v>244</v>
      </c>
      <c r="G951" s="2" t="n">
        <v>32</v>
      </c>
    </row>
    <row r="952" customFormat="false" ht="16.5" hidden="false" customHeight="true" outlineLevel="0" collapsed="false">
      <c r="A952" s="2" t="s">
        <v>385</v>
      </c>
      <c r="B952" s="2" t="s">
        <v>404</v>
      </c>
      <c r="C952" s="2" t="n">
        <v>1</v>
      </c>
      <c r="D952" s="2" t="s">
        <v>543</v>
      </c>
      <c r="E952" s="2" t="s">
        <v>19</v>
      </c>
      <c r="F952" s="2" t="n">
        <v>244</v>
      </c>
      <c r="G952" s="2" t="n">
        <v>36</v>
      </c>
    </row>
    <row r="953" customFormat="false" ht="16.5" hidden="false" customHeight="true" outlineLevel="0" collapsed="false">
      <c r="A953" s="2" t="s">
        <v>385</v>
      </c>
      <c r="B953" s="2" t="s">
        <v>404</v>
      </c>
      <c r="C953" s="2" t="n">
        <v>1</v>
      </c>
      <c r="D953" s="2" t="s">
        <v>543</v>
      </c>
      <c r="E953" s="2" t="s">
        <v>20</v>
      </c>
      <c r="F953" s="2" t="n">
        <v>244</v>
      </c>
      <c r="G953" s="2" t="n">
        <v>40</v>
      </c>
    </row>
    <row r="954" customFormat="false" ht="16.5" hidden="false" customHeight="true" outlineLevel="0" collapsed="false">
      <c r="A954" s="2" t="s">
        <v>385</v>
      </c>
      <c r="B954" s="2" t="s">
        <v>404</v>
      </c>
      <c r="C954" s="2" t="n">
        <v>1</v>
      </c>
      <c r="D954" s="2" t="s">
        <v>543</v>
      </c>
      <c r="E954" s="2" t="s">
        <v>21</v>
      </c>
      <c r="F954" s="2" t="n">
        <v>244</v>
      </c>
      <c r="G954" s="2" t="n">
        <v>44</v>
      </c>
    </row>
    <row r="955" customFormat="false" ht="16.5" hidden="false" customHeight="true" outlineLevel="0" collapsed="false">
      <c r="A955" s="2" t="s">
        <v>385</v>
      </c>
      <c r="B955" s="2" t="s">
        <v>404</v>
      </c>
      <c r="C955" s="2" t="n">
        <v>1</v>
      </c>
      <c r="D955" s="2" t="s">
        <v>543</v>
      </c>
      <c r="E955" s="2" t="s">
        <v>22</v>
      </c>
      <c r="F955" s="2" t="n">
        <v>244</v>
      </c>
      <c r="G955" s="2" t="n">
        <v>48</v>
      </c>
    </row>
    <row r="956" customFormat="false" ht="16.5" hidden="false" customHeight="true" outlineLevel="0" collapsed="false">
      <c r="A956" s="2" t="s">
        <v>385</v>
      </c>
      <c r="B956" s="2" t="s">
        <v>404</v>
      </c>
      <c r="C956" s="2" t="n">
        <v>1</v>
      </c>
      <c r="D956" s="2" t="s">
        <v>543</v>
      </c>
      <c r="E956" s="2" t="s">
        <v>23</v>
      </c>
      <c r="F956" s="2" t="n">
        <v>244</v>
      </c>
      <c r="G956" s="2" t="n">
        <v>52</v>
      </c>
    </row>
    <row r="957" customFormat="false" ht="16.5" hidden="false" customHeight="true" outlineLevel="0" collapsed="false">
      <c r="A957" s="2" t="s">
        <v>385</v>
      </c>
      <c r="B957" s="2" t="s">
        <v>404</v>
      </c>
      <c r="C957" s="2" t="n">
        <v>1</v>
      </c>
      <c r="D957" s="2" t="s">
        <v>543</v>
      </c>
      <c r="E957" s="2" t="s">
        <v>24</v>
      </c>
      <c r="F957" s="2" t="n">
        <v>246</v>
      </c>
      <c r="G957" s="2" t="n">
        <v>9</v>
      </c>
    </row>
    <row r="958" customFormat="false" ht="16.5" hidden="false" customHeight="true" outlineLevel="0" collapsed="false">
      <c r="A958" s="2" t="s">
        <v>385</v>
      </c>
      <c r="B958" s="2" t="s">
        <v>404</v>
      </c>
      <c r="C958" s="2" t="n">
        <v>1</v>
      </c>
      <c r="D958" s="2" t="s">
        <v>543</v>
      </c>
      <c r="E958" s="2" t="s">
        <v>25</v>
      </c>
      <c r="F958" s="2" t="n">
        <v>246</v>
      </c>
      <c r="G958" s="2" t="n">
        <v>13</v>
      </c>
    </row>
    <row r="959" customFormat="false" ht="16.5" hidden="false" customHeight="true" outlineLevel="0" collapsed="false">
      <c r="A959" s="2" t="s">
        <v>385</v>
      </c>
      <c r="B959" s="2" t="s">
        <v>404</v>
      </c>
      <c r="C959" s="2" t="n">
        <v>1</v>
      </c>
      <c r="D959" s="2" t="s">
        <v>543</v>
      </c>
      <c r="E959" s="2" t="s">
        <v>26</v>
      </c>
      <c r="F959" s="2" t="n">
        <v>246</v>
      </c>
      <c r="G959" s="2" t="n">
        <v>17</v>
      </c>
    </row>
    <row r="960" customFormat="false" ht="16.5" hidden="false" customHeight="true" outlineLevel="0" collapsed="false">
      <c r="A960" s="2" t="s">
        <v>385</v>
      </c>
      <c r="B960" s="2" t="s">
        <v>404</v>
      </c>
      <c r="C960" s="2" t="n">
        <v>1</v>
      </c>
      <c r="D960" s="2" t="s">
        <v>543</v>
      </c>
      <c r="E960" s="2" t="s">
        <v>27</v>
      </c>
      <c r="F960" s="2" t="n">
        <v>246</v>
      </c>
      <c r="G960" s="2" t="n">
        <v>21</v>
      </c>
    </row>
    <row r="961" customFormat="false" ht="16.5" hidden="false" customHeight="true" outlineLevel="0" collapsed="false">
      <c r="A961" s="2" t="s">
        <v>385</v>
      </c>
      <c r="B961" s="2" t="s">
        <v>404</v>
      </c>
      <c r="C961" s="2" t="n">
        <v>1</v>
      </c>
      <c r="D961" s="2" t="s">
        <v>543</v>
      </c>
      <c r="E961" s="2" t="s">
        <v>28</v>
      </c>
      <c r="F961" s="2" t="n">
        <v>246</v>
      </c>
      <c r="G961" s="2" t="n">
        <v>25</v>
      </c>
    </row>
    <row r="962" customFormat="false" ht="16.5" hidden="false" customHeight="true" outlineLevel="0" collapsed="false">
      <c r="A962" s="2" t="s">
        <v>385</v>
      </c>
      <c r="B962" s="2" t="s">
        <v>404</v>
      </c>
      <c r="C962" s="2" t="n">
        <v>1</v>
      </c>
      <c r="D962" s="2" t="s">
        <v>543</v>
      </c>
      <c r="E962" s="2" t="s">
        <v>29</v>
      </c>
      <c r="F962" s="2" t="n">
        <v>246</v>
      </c>
      <c r="G962" s="2" t="n">
        <v>29</v>
      </c>
    </row>
    <row r="963" customFormat="false" ht="16.5" hidden="false" customHeight="true" outlineLevel="0" collapsed="false">
      <c r="A963" s="2" t="s">
        <v>385</v>
      </c>
      <c r="B963" s="2" t="s">
        <v>404</v>
      </c>
      <c r="C963" s="2" t="n">
        <v>1</v>
      </c>
      <c r="D963" s="2" t="s">
        <v>543</v>
      </c>
      <c r="E963" s="2" t="s">
        <v>30</v>
      </c>
      <c r="F963" s="2" t="n">
        <v>246</v>
      </c>
      <c r="G963" s="2" t="n">
        <v>33</v>
      </c>
    </row>
    <row r="964" customFormat="false" ht="16.5" hidden="false" customHeight="true" outlineLevel="0" collapsed="false">
      <c r="A964" s="2" t="s">
        <v>385</v>
      </c>
      <c r="B964" s="2" t="s">
        <v>404</v>
      </c>
      <c r="C964" s="2" t="n">
        <v>1</v>
      </c>
      <c r="D964" s="2" t="s">
        <v>543</v>
      </c>
      <c r="E964" s="2" t="s">
        <v>31</v>
      </c>
      <c r="F964" s="2" t="n">
        <v>246</v>
      </c>
      <c r="G964" s="2" t="n">
        <v>37</v>
      </c>
    </row>
    <row r="965" customFormat="false" ht="16.5" hidden="false" customHeight="true" outlineLevel="0" collapsed="false">
      <c r="A965" s="2" t="s">
        <v>385</v>
      </c>
      <c r="B965" s="2" t="s">
        <v>404</v>
      </c>
      <c r="C965" s="2" t="n">
        <v>1</v>
      </c>
      <c r="D965" s="2" t="s">
        <v>543</v>
      </c>
      <c r="E965" s="2" t="s">
        <v>32</v>
      </c>
      <c r="F965" s="2" t="n">
        <v>246</v>
      </c>
      <c r="G965" s="2" t="n">
        <v>41</v>
      </c>
    </row>
    <row r="966" customFormat="false" ht="16.5" hidden="false" customHeight="true" outlineLevel="0" collapsed="false">
      <c r="A966" s="2" t="s">
        <v>385</v>
      </c>
      <c r="B966" s="2" t="s">
        <v>404</v>
      </c>
      <c r="C966" s="2" t="n">
        <v>1</v>
      </c>
      <c r="D966" s="2" t="s">
        <v>543</v>
      </c>
      <c r="E966" s="2" t="s">
        <v>33</v>
      </c>
      <c r="F966" s="2" t="n">
        <v>246</v>
      </c>
      <c r="G966" s="2" t="n">
        <v>45</v>
      </c>
    </row>
    <row r="967" customFormat="false" ht="16.5" hidden="false" customHeight="true" outlineLevel="0" collapsed="false">
      <c r="A967" s="2" t="s">
        <v>385</v>
      </c>
      <c r="B967" s="2" t="s">
        <v>404</v>
      </c>
      <c r="C967" s="2" t="n">
        <v>1</v>
      </c>
      <c r="D967" s="2" t="s">
        <v>543</v>
      </c>
      <c r="E967" s="2" t="s">
        <v>34</v>
      </c>
      <c r="F967" s="2" t="n">
        <v>246</v>
      </c>
      <c r="G967" s="2" t="n">
        <v>49</v>
      </c>
    </row>
    <row r="968" customFormat="false" ht="16.5" hidden="false" customHeight="true" outlineLevel="0" collapsed="false">
      <c r="A968" s="2" t="s">
        <v>385</v>
      </c>
      <c r="B968" s="2" t="s">
        <v>404</v>
      </c>
      <c r="C968" s="2" t="n">
        <v>1</v>
      </c>
      <c r="D968" s="2" t="s">
        <v>543</v>
      </c>
      <c r="E968" s="2" t="s">
        <v>35</v>
      </c>
      <c r="F968" s="2" t="n">
        <v>248</v>
      </c>
      <c r="G968" s="2" t="n">
        <v>11</v>
      </c>
    </row>
    <row r="969" customFormat="false" ht="16.5" hidden="false" customHeight="true" outlineLevel="0" collapsed="false">
      <c r="A969" s="2" t="s">
        <v>385</v>
      </c>
      <c r="B969" s="2" t="s">
        <v>404</v>
      </c>
      <c r="C969" s="2" t="n">
        <v>1</v>
      </c>
      <c r="D969" s="2" t="s">
        <v>543</v>
      </c>
      <c r="E969" s="2" t="s">
        <v>36</v>
      </c>
      <c r="F969" s="2" t="n">
        <v>248</v>
      </c>
      <c r="G969" s="2" t="n">
        <v>15</v>
      </c>
    </row>
    <row r="970" customFormat="false" ht="16.5" hidden="false" customHeight="true" outlineLevel="0" collapsed="false">
      <c r="A970" s="2" t="s">
        <v>385</v>
      </c>
      <c r="B970" s="2" t="s">
        <v>404</v>
      </c>
      <c r="C970" s="2" t="n">
        <v>1</v>
      </c>
      <c r="D970" s="2" t="s">
        <v>543</v>
      </c>
      <c r="E970" s="2" t="s">
        <v>37</v>
      </c>
      <c r="F970" s="2" t="n">
        <v>248</v>
      </c>
      <c r="G970" s="2" t="n">
        <v>19</v>
      </c>
    </row>
    <row r="971" customFormat="false" ht="16.5" hidden="false" customHeight="true" outlineLevel="0" collapsed="false">
      <c r="A971" s="2" t="s">
        <v>385</v>
      </c>
      <c r="B971" s="2" t="s">
        <v>404</v>
      </c>
      <c r="C971" s="2" t="n">
        <v>1</v>
      </c>
      <c r="D971" s="2" t="s">
        <v>543</v>
      </c>
      <c r="E971" s="2" t="s">
        <v>38</v>
      </c>
      <c r="F971" s="2" t="n">
        <v>248</v>
      </c>
      <c r="G971" s="2" t="n">
        <v>23</v>
      </c>
    </row>
    <row r="972" customFormat="false" ht="16.5" hidden="false" customHeight="true" outlineLevel="0" collapsed="false">
      <c r="A972" s="2" t="s">
        <v>385</v>
      </c>
      <c r="B972" s="2" t="s">
        <v>404</v>
      </c>
      <c r="C972" s="2" t="n">
        <v>1</v>
      </c>
      <c r="D972" s="2" t="s">
        <v>543</v>
      </c>
      <c r="E972" s="2" t="s">
        <v>39</v>
      </c>
      <c r="F972" s="2" t="n">
        <v>248</v>
      </c>
      <c r="G972" s="2" t="n">
        <v>27</v>
      </c>
    </row>
    <row r="973" customFormat="false" ht="16.5" hidden="false" customHeight="true" outlineLevel="0" collapsed="false">
      <c r="A973" s="2" t="s">
        <v>385</v>
      </c>
      <c r="B973" s="2" t="s">
        <v>404</v>
      </c>
      <c r="C973" s="2" t="n">
        <v>1</v>
      </c>
      <c r="D973" s="2" t="s">
        <v>543</v>
      </c>
      <c r="E973" s="2" t="s">
        <v>40</v>
      </c>
      <c r="F973" s="2" t="n">
        <v>248</v>
      </c>
      <c r="G973" s="2" t="n">
        <v>31</v>
      </c>
    </row>
    <row r="974" customFormat="false" ht="16.5" hidden="false" customHeight="true" outlineLevel="0" collapsed="false">
      <c r="A974" s="2" t="s">
        <v>385</v>
      </c>
      <c r="B974" s="2" t="s">
        <v>404</v>
      </c>
      <c r="C974" s="2" t="n">
        <v>1</v>
      </c>
      <c r="D974" s="2" t="s">
        <v>543</v>
      </c>
      <c r="E974" s="2" t="s">
        <v>41</v>
      </c>
      <c r="F974" s="2" t="n">
        <v>248</v>
      </c>
      <c r="G974" s="2" t="n">
        <v>35</v>
      </c>
    </row>
    <row r="975" customFormat="false" ht="16.5" hidden="false" customHeight="true" outlineLevel="0" collapsed="false">
      <c r="A975" s="2" t="s">
        <v>385</v>
      </c>
      <c r="B975" s="2" t="s">
        <v>404</v>
      </c>
      <c r="C975" s="2" t="n">
        <v>1</v>
      </c>
      <c r="D975" s="2" t="s">
        <v>543</v>
      </c>
      <c r="E975" s="2" t="s">
        <v>42</v>
      </c>
      <c r="F975" s="2" t="n">
        <v>248</v>
      </c>
      <c r="G975" s="2" t="n">
        <v>39</v>
      </c>
    </row>
    <row r="976" customFormat="false" ht="16.5" hidden="false" customHeight="true" outlineLevel="0" collapsed="false">
      <c r="A976" s="2" t="s">
        <v>385</v>
      </c>
      <c r="B976" s="2" t="s">
        <v>404</v>
      </c>
      <c r="C976" s="2" t="n">
        <v>1</v>
      </c>
      <c r="D976" s="2" t="s">
        <v>543</v>
      </c>
      <c r="E976" s="2" t="s">
        <v>43</v>
      </c>
      <c r="F976" s="2" t="n">
        <v>248</v>
      </c>
      <c r="G976" s="2" t="n">
        <v>43</v>
      </c>
    </row>
    <row r="977" customFormat="false" ht="16.5" hidden="false" customHeight="true" outlineLevel="0" collapsed="false">
      <c r="A977" s="2" t="s">
        <v>385</v>
      </c>
      <c r="B977" s="2" t="s">
        <v>404</v>
      </c>
      <c r="C977" s="2" t="n">
        <v>1</v>
      </c>
      <c r="D977" s="2" t="s">
        <v>543</v>
      </c>
      <c r="E977" s="2" t="s">
        <v>44</v>
      </c>
      <c r="F977" s="2" t="n">
        <v>248</v>
      </c>
      <c r="G977" s="2" t="n">
        <v>47</v>
      </c>
    </row>
    <row r="978" customFormat="false" ht="16.5" hidden="false" customHeight="true" outlineLevel="0" collapsed="false">
      <c r="A978" s="2" t="s">
        <v>385</v>
      </c>
      <c r="B978" s="2" t="s">
        <v>404</v>
      </c>
      <c r="C978" s="2" t="n">
        <v>1</v>
      </c>
      <c r="D978" s="2" t="s">
        <v>543</v>
      </c>
      <c r="E978" s="2" t="s">
        <v>48</v>
      </c>
      <c r="F978" s="2" t="n">
        <v>250</v>
      </c>
      <c r="G978" s="2" t="n">
        <v>16</v>
      </c>
    </row>
    <row r="979" customFormat="false" ht="16.5" hidden="false" customHeight="true" outlineLevel="0" collapsed="false">
      <c r="A979" s="2" t="s">
        <v>385</v>
      </c>
      <c r="B979" s="2" t="s">
        <v>404</v>
      </c>
      <c r="C979" s="2" t="n">
        <v>1</v>
      </c>
      <c r="D979" s="2" t="s">
        <v>543</v>
      </c>
      <c r="E979" s="2" t="s">
        <v>50</v>
      </c>
      <c r="F979" s="2" t="n">
        <v>250</v>
      </c>
      <c r="G979" s="2" t="n">
        <v>20</v>
      </c>
    </row>
    <row r="980" customFormat="false" ht="16.5" hidden="false" customHeight="true" outlineLevel="0" collapsed="false">
      <c r="A980" s="2" t="s">
        <v>385</v>
      </c>
      <c r="B980" s="2" t="s">
        <v>404</v>
      </c>
      <c r="C980" s="2" t="n">
        <v>1</v>
      </c>
      <c r="D980" s="2" t="s">
        <v>543</v>
      </c>
      <c r="E980" s="2" t="s">
        <v>45</v>
      </c>
      <c r="F980" s="2" t="n">
        <v>250</v>
      </c>
      <c r="G980" s="2" t="n">
        <v>38</v>
      </c>
    </row>
    <row r="981" customFormat="false" ht="16.5" hidden="false" customHeight="true" outlineLevel="0" collapsed="false">
      <c r="A981" s="2" t="s">
        <v>385</v>
      </c>
      <c r="B981" s="2" t="s">
        <v>404</v>
      </c>
      <c r="C981" s="2" t="n">
        <v>1</v>
      </c>
      <c r="D981" s="2" t="s">
        <v>543</v>
      </c>
      <c r="E981" s="2" t="s">
        <v>46</v>
      </c>
      <c r="F981" s="2" t="n">
        <v>250</v>
      </c>
      <c r="G981" s="2" t="n">
        <v>42</v>
      </c>
    </row>
    <row r="982" customFormat="false" ht="16.5" hidden="false" customHeight="true" outlineLevel="0" collapsed="false">
      <c r="A982" s="2" t="s">
        <v>385</v>
      </c>
      <c r="B982" s="2" t="s">
        <v>405</v>
      </c>
      <c r="C982" s="2" t="n">
        <v>1</v>
      </c>
      <c r="D982" s="2" t="s">
        <v>544</v>
      </c>
      <c r="E982" s="2" t="s">
        <v>0</v>
      </c>
      <c r="F982" s="2" t="n">
        <v>255</v>
      </c>
      <c r="G982" s="2" t="n">
        <v>6</v>
      </c>
    </row>
    <row r="983" customFormat="false" ht="16.5" hidden="false" customHeight="true" outlineLevel="0" collapsed="false">
      <c r="A983" s="2" t="s">
        <v>385</v>
      </c>
      <c r="B983" s="2" t="s">
        <v>405</v>
      </c>
      <c r="C983" s="2" t="n">
        <v>1</v>
      </c>
      <c r="D983" s="2" t="s">
        <v>544</v>
      </c>
      <c r="E983" s="2" t="s">
        <v>1</v>
      </c>
      <c r="F983" s="2" t="n">
        <v>255</v>
      </c>
      <c r="G983" s="2" t="n">
        <v>10</v>
      </c>
    </row>
    <row r="984" customFormat="false" ht="16.5" hidden="false" customHeight="true" outlineLevel="0" collapsed="false">
      <c r="A984" s="2" t="s">
        <v>385</v>
      </c>
      <c r="B984" s="2" t="s">
        <v>405</v>
      </c>
      <c r="C984" s="2" t="n">
        <v>1</v>
      </c>
      <c r="D984" s="2" t="s">
        <v>544</v>
      </c>
      <c r="E984" s="2" t="s">
        <v>2</v>
      </c>
      <c r="F984" s="2" t="n">
        <v>255</v>
      </c>
      <c r="G984" s="2" t="n">
        <v>14</v>
      </c>
    </row>
    <row r="985" customFormat="false" ht="16.5" hidden="false" customHeight="true" outlineLevel="0" collapsed="false">
      <c r="A985" s="2" t="s">
        <v>385</v>
      </c>
      <c r="B985" s="2" t="s">
        <v>405</v>
      </c>
      <c r="C985" s="2" t="n">
        <v>1</v>
      </c>
      <c r="D985" s="2" t="s">
        <v>544</v>
      </c>
      <c r="E985" s="2" t="s">
        <v>3</v>
      </c>
      <c r="F985" s="2" t="n">
        <v>255</v>
      </c>
      <c r="G985" s="2" t="n">
        <v>18</v>
      </c>
    </row>
    <row r="986" customFormat="false" ht="16.5" hidden="false" customHeight="true" outlineLevel="0" collapsed="false">
      <c r="A986" s="2" t="s">
        <v>385</v>
      </c>
      <c r="B986" s="2" t="s">
        <v>405</v>
      </c>
      <c r="C986" s="2" t="n">
        <v>1</v>
      </c>
      <c r="D986" s="2" t="s">
        <v>544</v>
      </c>
      <c r="E986" s="2" t="s">
        <v>4</v>
      </c>
      <c r="F986" s="2" t="n">
        <v>255</v>
      </c>
      <c r="G986" s="2" t="n">
        <v>22</v>
      </c>
    </row>
    <row r="987" customFormat="false" ht="16.5" hidden="false" customHeight="true" outlineLevel="0" collapsed="false">
      <c r="A987" s="2" t="s">
        <v>385</v>
      </c>
      <c r="B987" s="2" t="s">
        <v>405</v>
      </c>
      <c r="C987" s="2" t="n">
        <v>1</v>
      </c>
      <c r="D987" s="2" t="s">
        <v>544</v>
      </c>
      <c r="E987" s="2" t="s">
        <v>5</v>
      </c>
      <c r="F987" s="2" t="n">
        <v>255</v>
      </c>
      <c r="G987" s="2" t="n">
        <v>26</v>
      </c>
    </row>
    <row r="988" customFormat="false" ht="16.5" hidden="false" customHeight="true" outlineLevel="0" collapsed="false">
      <c r="A988" s="2" t="s">
        <v>385</v>
      </c>
      <c r="B988" s="2" t="s">
        <v>405</v>
      </c>
      <c r="C988" s="2" t="n">
        <v>1</v>
      </c>
      <c r="D988" s="2" t="s">
        <v>544</v>
      </c>
      <c r="E988" s="2" t="s">
        <v>6</v>
      </c>
      <c r="F988" s="2" t="n">
        <v>255</v>
      </c>
      <c r="G988" s="2" t="n">
        <v>30</v>
      </c>
    </row>
    <row r="989" customFormat="false" ht="16.5" hidden="false" customHeight="true" outlineLevel="0" collapsed="false">
      <c r="A989" s="2" t="s">
        <v>385</v>
      </c>
      <c r="B989" s="2" t="s">
        <v>405</v>
      </c>
      <c r="C989" s="2" t="n">
        <v>1</v>
      </c>
      <c r="D989" s="2" t="s">
        <v>544</v>
      </c>
      <c r="E989" s="2" t="s">
        <v>7</v>
      </c>
      <c r="F989" s="2" t="n">
        <v>255</v>
      </c>
      <c r="G989" s="2" t="n">
        <v>34</v>
      </c>
    </row>
    <row r="990" customFormat="false" ht="16.5" hidden="false" customHeight="true" outlineLevel="0" collapsed="false">
      <c r="A990" s="2" t="s">
        <v>385</v>
      </c>
      <c r="B990" s="2" t="s">
        <v>405</v>
      </c>
      <c r="C990" s="2" t="n">
        <v>1</v>
      </c>
      <c r="D990" s="2" t="s">
        <v>544</v>
      </c>
      <c r="E990" s="2" t="s">
        <v>8</v>
      </c>
      <c r="F990" s="2" t="n">
        <v>255</v>
      </c>
      <c r="G990" s="2" t="n">
        <v>38</v>
      </c>
    </row>
    <row r="991" customFormat="false" ht="16.5" hidden="false" customHeight="true" outlineLevel="0" collapsed="false">
      <c r="A991" s="2" t="s">
        <v>385</v>
      </c>
      <c r="B991" s="2" t="s">
        <v>405</v>
      </c>
      <c r="C991" s="2" t="n">
        <v>1</v>
      </c>
      <c r="D991" s="2" t="s">
        <v>544</v>
      </c>
      <c r="E991" s="2" t="s">
        <v>9</v>
      </c>
      <c r="F991" s="2" t="n">
        <v>255</v>
      </c>
      <c r="G991" s="2" t="n">
        <v>42</v>
      </c>
    </row>
    <row r="992" customFormat="false" ht="16.5" hidden="false" customHeight="true" outlineLevel="0" collapsed="false">
      <c r="A992" s="2" t="s">
        <v>385</v>
      </c>
      <c r="B992" s="2" t="s">
        <v>405</v>
      </c>
      <c r="C992" s="2" t="n">
        <v>1</v>
      </c>
      <c r="D992" s="2" t="s">
        <v>544</v>
      </c>
      <c r="E992" s="2" t="s">
        <v>10</v>
      </c>
      <c r="F992" s="2" t="n">
        <v>255</v>
      </c>
      <c r="G992" s="2" t="n">
        <v>46</v>
      </c>
    </row>
    <row r="993" customFormat="false" ht="16.5" hidden="false" customHeight="true" outlineLevel="0" collapsed="false">
      <c r="A993" s="2" t="s">
        <v>385</v>
      </c>
      <c r="B993" s="2" t="s">
        <v>405</v>
      </c>
      <c r="C993" s="2" t="n">
        <v>1</v>
      </c>
      <c r="D993" s="2" t="s">
        <v>544</v>
      </c>
      <c r="E993" s="2" t="s">
        <v>11</v>
      </c>
      <c r="F993" s="2" t="n">
        <v>255</v>
      </c>
      <c r="G993" s="2" t="n">
        <v>50</v>
      </c>
    </row>
    <row r="994" customFormat="false" ht="16.5" hidden="false" customHeight="true" outlineLevel="0" collapsed="false">
      <c r="A994" s="2" t="s">
        <v>385</v>
      </c>
      <c r="B994" s="2" t="s">
        <v>405</v>
      </c>
      <c r="C994" s="2" t="n">
        <v>1</v>
      </c>
      <c r="D994" s="2" t="s">
        <v>544</v>
      </c>
      <c r="E994" s="2" t="s">
        <v>12</v>
      </c>
      <c r="F994" s="2" t="n">
        <v>257</v>
      </c>
      <c r="G994" s="2" t="n">
        <v>8</v>
      </c>
    </row>
    <row r="995" customFormat="false" ht="16.5" hidden="false" customHeight="true" outlineLevel="0" collapsed="false">
      <c r="A995" s="2" t="s">
        <v>385</v>
      </c>
      <c r="B995" s="2" t="s">
        <v>405</v>
      </c>
      <c r="C995" s="2" t="n">
        <v>1</v>
      </c>
      <c r="D995" s="2" t="s">
        <v>544</v>
      </c>
      <c r="E995" s="2" t="s">
        <v>13</v>
      </c>
      <c r="F995" s="2" t="n">
        <v>257</v>
      </c>
      <c r="G995" s="2" t="n">
        <v>12</v>
      </c>
    </row>
    <row r="996" customFormat="false" ht="16.5" hidden="false" customHeight="true" outlineLevel="0" collapsed="false">
      <c r="A996" s="2" t="s">
        <v>385</v>
      </c>
      <c r="B996" s="2" t="s">
        <v>405</v>
      </c>
      <c r="C996" s="2" t="n">
        <v>1</v>
      </c>
      <c r="D996" s="2" t="s">
        <v>544</v>
      </c>
      <c r="E996" s="2" t="s">
        <v>14</v>
      </c>
      <c r="F996" s="2" t="n">
        <v>257</v>
      </c>
      <c r="G996" s="2" t="n">
        <v>16</v>
      </c>
    </row>
    <row r="997" customFormat="false" ht="16.5" hidden="false" customHeight="true" outlineLevel="0" collapsed="false">
      <c r="A997" s="2" t="s">
        <v>385</v>
      </c>
      <c r="B997" s="2" t="s">
        <v>405</v>
      </c>
      <c r="C997" s="2" t="n">
        <v>1</v>
      </c>
      <c r="D997" s="2" t="s">
        <v>544</v>
      </c>
      <c r="E997" s="2" t="s">
        <v>15</v>
      </c>
      <c r="F997" s="2" t="n">
        <v>257</v>
      </c>
      <c r="G997" s="2" t="n">
        <v>20</v>
      </c>
    </row>
    <row r="998" customFormat="false" ht="16.5" hidden="false" customHeight="true" outlineLevel="0" collapsed="false">
      <c r="A998" s="2" t="s">
        <v>385</v>
      </c>
      <c r="B998" s="2" t="s">
        <v>405</v>
      </c>
      <c r="C998" s="2" t="n">
        <v>1</v>
      </c>
      <c r="D998" s="2" t="s">
        <v>544</v>
      </c>
      <c r="E998" s="2" t="s">
        <v>16</v>
      </c>
      <c r="F998" s="2" t="n">
        <v>257</v>
      </c>
      <c r="G998" s="2" t="n">
        <v>24</v>
      </c>
    </row>
    <row r="999" customFormat="false" ht="16.5" hidden="false" customHeight="true" outlineLevel="0" collapsed="false">
      <c r="A999" s="2" t="s">
        <v>385</v>
      </c>
      <c r="B999" s="2" t="s">
        <v>405</v>
      </c>
      <c r="C999" s="2" t="n">
        <v>1</v>
      </c>
      <c r="D999" s="2" t="s">
        <v>544</v>
      </c>
      <c r="E999" s="2" t="s">
        <v>17</v>
      </c>
      <c r="F999" s="2" t="n">
        <v>257</v>
      </c>
      <c r="G999" s="2" t="n">
        <v>28</v>
      </c>
    </row>
    <row r="1000" customFormat="false" ht="16.5" hidden="false" customHeight="true" outlineLevel="0" collapsed="false">
      <c r="A1000" s="2" t="s">
        <v>385</v>
      </c>
      <c r="B1000" s="2" t="s">
        <v>405</v>
      </c>
      <c r="C1000" s="2" t="n">
        <v>1</v>
      </c>
      <c r="D1000" s="2" t="s">
        <v>544</v>
      </c>
      <c r="E1000" s="2" t="s">
        <v>18</v>
      </c>
      <c r="F1000" s="2" t="n">
        <v>257</v>
      </c>
      <c r="G1000" s="2" t="n">
        <v>32</v>
      </c>
    </row>
    <row r="1001" customFormat="false" ht="16.5" hidden="false" customHeight="true" outlineLevel="0" collapsed="false">
      <c r="A1001" s="2" t="s">
        <v>385</v>
      </c>
      <c r="B1001" s="2" t="s">
        <v>405</v>
      </c>
      <c r="C1001" s="2" t="n">
        <v>1</v>
      </c>
      <c r="D1001" s="2" t="s">
        <v>544</v>
      </c>
      <c r="E1001" s="2" t="s">
        <v>19</v>
      </c>
      <c r="F1001" s="2" t="n">
        <v>257</v>
      </c>
      <c r="G1001" s="2" t="n">
        <v>36</v>
      </c>
    </row>
    <row r="1002" customFormat="false" ht="16.5" hidden="false" customHeight="true" outlineLevel="0" collapsed="false">
      <c r="A1002" s="2" t="s">
        <v>385</v>
      </c>
      <c r="B1002" s="2" t="s">
        <v>405</v>
      </c>
      <c r="C1002" s="2" t="n">
        <v>1</v>
      </c>
      <c r="D1002" s="2" t="s">
        <v>544</v>
      </c>
      <c r="E1002" s="2" t="s">
        <v>20</v>
      </c>
      <c r="F1002" s="2" t="n">
        <v>257</v>
      </c>
      <c r="G1002" s="2" t="n">
        <v>40</v>
      </c>
    </row>
    <row r="1003" customFormat="false" ht="16.5" hidden="false" customHeight="true" outlineLevel="0" collapsed="false">
      <c r="A1003" s="2" t="s">
        <v>385</v>
      </c>
      <c r="B1003" s="2" t="s">
        <v>405</v>
      </c>
      <c r="C1003" s="2" t="n">
        <v>1</v>
      </c>
      <c r="D1003" s="2" t="s">
        <v>544</v>
      </c>
      <c r="E1003" s="2" t="s">
        <v>21</v>
      </c>
      <c r="F1003" s="2" t="n">
        <v>257</v>
      </c>
      <c r="G1003" s="2" t="n">
        <v>44</v>
      </c>
    </row>
    <row r="1004" customFormat="false" ht="16.5" hidden="false" customHeight="true" outlineLevel="0" collapsed="false">
      <c r="A1004" s="2" t="s">
        <v>385</v>
      </c>
      <c r="B1004" s="2" t="s">
        <v>405</v>
      </c>
      <c r="C1004" s="2" t="n">
        <v>1</v>
      </c>
      <c r="D1004" s="2" t="s">
        <v>544</v>
      </c>
      <c r="E1004" s="2" t="s">
        <v>22</v>
      </c>
      <c r="F1004" s="2" t="n">
        <v>257</v>
      </c>
      <c r="G1004" s="2" t="n">
        <v>48</v>
      </c>
    </row>
    <row r="1005" customFormat="false" ht="16.5" hidden="false" customHeight="true" outlineLevel="0" collapsed="false">
      <c r="A1005" s="2" t="s">
        <v>385</v>
      </c>
      <c r="B1005" s="2" t="s">
        <v>405</v>
      </c>
      <c r="C1005" s="2" t="n">
        <v>1</v>
      </c>
      <c r="D1005" s="2" t="s">
        <v>544</v>
      </c>
      <c r="E1005" s="2" t="s">
        <v>23</v>
      </c>
      <c r="F1005" s="2" t="n">
        <v>257</v>
      </c>
      <c r="G1005" s="2" t="n">
        <v>52</v>
      </c>
    </row>
    <row r="1006" customFormat="false" ht="16.5" hidden="false" customHeight="true" outlineLevel="0" collapsed="false">
      <c r="A1006" s="2" t="s">
        <v>385</v>
      </c>
      <c r="B1006" s="2" t="s">
        <v>405</v>
      </c>
      <c r="C1006" s="2" t="n">
        <v>1</v>
      </c>
      <c r="D1006" s="2" t="s">
        <v>544</v>
      </c>
      <c r="E1006" s="2" t="s">
        <v>24</v>
      </c>
      <c r="F1006" s="2" t="n">
        <v>259</v>
      </c>
      <c r="G1006" s="2" t="n">
        <v>9</v>
      </c>
    </row>
    <row r="1007" customFormat="false" ht="16.5" hidden="false" customHeight="true" outlineLevel="0" collapsed="false">
      <c r="A1007" s="2" t="s">
        <v>385</v>
      </c>
      <c r="B1007" s="2" t="s">
        <v>405</v>
      </c>
      <c r="C1007" s="2" t="n">
        <v>1</v>
      </c>
      <c r="D1007" s="2" t="s">
        <v>544</v>
      </c>
      <c r="E1007" s="2" t="s">
        <v>25</v>
      </c>
      <c r="F1007" s="2" t="n">
        <v>259</v>
      </c>
      <c r="G1007" s="2" t="n">
        <v>13</v>
      </c>
    </row>
    <row r="1008" customFormat="false" ht="16.5" hidden="false" customHeight="true" outlineLevel="0" collapsed="false">
      <c r="A1008" s="2" t="s">
        <v>385</v>
      </c>
      <c r="B1008" s="2" t="s">
        <v>405</v>
      </c>
      <c r="C1008" s="2" t="n">
        <v>1</v>
      </c>
      <c r="D1008" s="2" t="s">
        <v>544</v>
      </c>
      <c r="E1008" s="2" t="s">
        <v>26</v>
      </c>
      <c r="F1008" s="2" t="n">
        <v>259</v>
      </c>
      <c r="G1008" s="2" t="n">
        <v>17</v>
      </c>
    </row>
    <row r="1009" customFormat="false" ht="16.5" hidden="false" customHeight="true" outlineLevel="0" collapsed="false">
      <c r="A1009" s="2" t="s">
        <v>385</v>
      </c>
      <c r="B1009" s="2" t="s">
        <v>405</v>
      </c>
      <c r="C1009" s="2" t="n">
        <v>1</v>
      </c>
      <c r="D1009" s="2" t="s">
        <v>544</v>
      </c>
      <c r="E1009" s="2" t="s">
        <v>27</v>
      </c>
      <c r="F1009" s="2" t="n">
        <v>259</v>
      </c>
      <c r="G1009" s="2" t="n">
        <v>21</v>
      </c>
    </row>
    <row r="1010" customFormat="false" ht="16.5" hidden="false" customHeight="true" outlineLevel="0" collapsed="false">
      <c r="A1010" s="2" t="s">
        <v>385</v>
      </c>
      <c r="B1010" s="2" t="s">
        <v>405</v>
      </c>
      <c r="C1010" s="2" t="n">
        <v>1</v>
      </c>
      <c r="D1010" s="2" t="s">
        <v>544</v>
      </c>
      <c r="E1010" s="2" t="s">
        <v>28</v>
      </c>
      <c r="F1010" s="2" t="n">
        <v>259</v>
      </c>
      <c r="G1010" s="2" t="n">
        <v>25</v>
      </c>
    </row>
    <row r="1011" customFormat="false" ht="16.5" hidden="false" customHeight="true" outlineLevel="0" collapsed="false">
      <c r="A1011" s="2" t="s">
        <v>385</v>
      </c>
      <c r="B1011" s="2" t="s">
        <v>405</v>
      </c>
      <c r="C1011" s="2" t="n">
        <v>1</v>
      </c>
      <c r="D1011" s="2" t="s">
        <v>544</v>
      </c>
      <c r="E1011" s="2" t="s">
        <v>29</v>
      </c>
      <c r="F1011" s="2" t="n">
        <v>259</v>
      </c>
      <c r="G1011" s="2" t="n">
        <v>29</v>
      </c>
    </row>
    <row r="1012" customFormat="false" ht="16.5" hidden="false" customHeight="true" outlineLevel="0" collapsed="false">
      <c r="A1012" s="2" t="s">
        <v>385</v>
      </c>
      <c r="B1012" s="2" t="s">
        <v>405</v>
      </c>
      <c r="C1012" s="2" t="n">
        <v>1</v>
      </c>
      <c r="D1012" s="2" t="s">
        <v>544</v>
      </c>
      <c r="E1012" s="2" t="s">
        <v>30</v>
      </c>
      <c r="F1012" s="2" t="n">
        <v>259</v>
      </c>
      <c r="G1012" s="2" t="n">
        <v>33</v>
      </c>
    </row>
    <row r="1013" customFormat="false" ht="16.5" hidden="false" customHeight="true" outlineLevel="0" collapsed="false">
      <c r="A1013" s="2" t="s">
        <v>385</v>
      </c>
      <c r="B1013" s="2" t="s">
        <v>405</v>
      </c>
      <c r="C1013" s="2" t="n">
        <v>1</v>
      </c>
      <c r="D1013" s="2" t="s">
        <v>544</v>
      </c>
      <c r="E1013" s="2" t="s">
        <v>31</v>
      </c>
      <c r="F1013" s="2" t="n">
        <v>259</v>
      </c>
      <c r="G1013" s="2" t="n">
        <v>37</v>
      </c>
    </row>
    <row r="1014" customFormat="false" ht="16.5" hidden="false" customHeight="true" outlineLevel="0" collapsed="false">
      <c r="A1014" s="2" t="s">
        <v>385</v>
      </c>
      <c r="B1014" s="2" t="s">
        <v>405</v>
      </c>
      <c r="C1014" s="2" t="n">
        <v>1</v>
      </c>
      <c r="D1014" s="2" t="s">
        <v>544</v>
      </c>
      <c r="E1014" s="2" t="s">
        <v>32</v>
      </c>
      <c r="F1014" s="2" t="n">
        <v>259</v>
      </c>
      <c r="G1014" s="2" t="n">
        <v>41</v>
      </c>
    </row>
    <row r="1015" customFormat="false" ht="16.5" hidden="false" customHeight="true" outlineLevel="0" collapsed="false">
      <c r="A1015" s="2" t="s">
        <v>385</v>
      </c>
      <c r="B1015" s="2" t="s">
        <v>405</v>
      </c>
      <c r="C1015" s="2" t="n">
        <v>1</v>
      </c>
      <c r="D1015" s="2" t="s">
        <v>544</v>
      </c>
      <c r="E1015" s="2" t="s">
        <v>33</v>
      </c>
      <c r="F1015" s="2" t="n">
        <v>259</v>
      </c>
      <c r="G1015" s="2" t="n">
        <v>45</v>
      </c>
    </row>
    <row r="1016" customFormat="false" ht="16.5" hidden="false" customHeight="true" outlineLevel="0" collapsed="false">
      <c r="A1016" s="2" t="s">
        <v>385</v>
      </c>
      <c r="B1016" s="2" t="s">
        <v>405</v>
      </c>
      <c r="C1016" s="2" t="n">
        <v>1</v>
      </c>
      <c r="D1016" s="2" t="s">
        <v>544</v>
      </c>
      <c r="E1016" s="2" t="s">
        <v>34</v>
      </c>
      <c r="F1016" s="2" t="n">
        <v>259</v>
      </c>
      <c r="G1016" s="2" t="n">
        <v>49</v>
      </c>
    </row>
    <row r="1017" customFormat="false" ht="16.5" hidden="false" customHeight="true" outlineLevel="0" collapsed="false">
      <c r="A1017" s="2" t="s">
        <v>385</v>
      </c>
      <c r="B1017" s="2" t="s">
        <v>405</v>
      </c>
      <c r="C1017" s="2" t="n">
        <v>1</v>
      </c>
      <c r="D1017" s="2" t="s">
        <v>544</v>
      </c>
      <c r="E1017" s="2" t="s">
        <v>35</v>
      </c>
      <c r="F1017" s="2" t="n">
        <v>261</v>
      </c>
      <c r="G1017" s="2" t="n">
        <v>11</v>
      </c>
    </row>
    <row r="1018" customFormat="false" ht="16.5" hidden="false" customHeight="true" outlineLevel="0" collapsed="false">
      <c r="A1018" s="2" t="s">
        <v>385</v>
      </c>
      <c r="B1018" s="2" t="s">
        <v>405</v>
      </c>
      <c r="C1018" s="2" t="n">
        <v>1</v>
      </c>
      <c r="D1018" s="2" t="s">
        <v>544</v>
      </c>
      <c r="E1018" s="2" t="s">
        <v>36</v>
      </c>
      <c r="F1018" s="2" t="n">
        <v>261</v>
      </c>
      <c r="G1018" s="2" t="n">
        <v>15</v>
      </c>
    </row>
    <row r="1019" customFormat="false" ht="16.5" hidden="false" customHeight="true" outlineLevel="0" collapsed="false">
      <c r="A1019" s="2" t="s">
        <v>385</v>
      </c>
      <c r="B1019" s="2" t="s">
        <v>405</v>
      </c>
      <c r="C1019" s="2" t="n">
        <v>1</v>
      </c>
      <c r="D1019" s="2" t="s">
        <v>544</v>
      </c>
      <c r="E1019" s="2" t="s">
        <v>37</v>
      </c>
      <c r="F1019" s="2" t="n">
        <v>261</v>
      </c>
      <c r="G1019" s="2" t="n">
        <v>19</v>
      </c>
    </row>
    <row r="1020" customFormat="false" ht="16.5" hidden="false" customHeight="true" outlineLevel="0" collapsed="false">
      <c r="A1020" s="2" t="s">
        <v>385</v>
      </c>
      <c r="B1020" s="2" t="s">
        <v>405</v>
      </c>
      <c r="C1020" s="2" t="n">
        <v>1</v>
      </c>
      <c r="D1020" s="2" t="s">
        <v>544</v>
      </c>
      <c r="E1020" s="2" t="s">
        <v>38</v>
      </c>
      <c r="F1020" s="2" t="n">
        <v>261</v>
      </c>
      <c r="G1020" s="2" t="n">
        <v>23</v>
      </c>
    </row>
    <row r="1021" customFormat="false" ht="16.5" hidden="false" customHeight="true" outlineLevel="0" collapsed="false">
      <c r="A1021" s="2" t="s">
        <v>385</v>
      </c>
      <c r="B1021" s="2" t="s">
        <v>405</v>
      </c>
      <c r="C1021" s="2" t="n">
        <v>1</v>
      </c>
      <c r="D1021" s="2" t="s">
        <v>544</v>
      </c>
      <c r="E1021" s="2" t="s">
        <v>39</v>
      </c>
      <c r="F1021" s="2" t="n">
        <v>261</v>
      </c>
      <c r="G1021" s="2" t="n">
        <v>27</v>
      </c>
    </row>
    <row r="1022" customFormat="false" ht="16.5" hidden="false" customHeight="true" outlineLevel="0" collapsed="false">
      <c r="A1022" s="2" t="s">
        <v>385</v>
      </c>
      <c r="B1022" s="2" t="s">
        <v>405</v>
      </c>
      <c r="C1022" s="2" t="n">
        <v>1</v>
      </c>
      <c r="D1022" s="2" t="s">
        <v>544</v>
      </c>
      <c r="E1022" s="2" t="s">
        <v>40</v>
      </c>
      <c r="F1022" s="2" t="n">
        <v>261</v>
      </c>
      <c r="G1022" s="2" t="n">
        <v>31</v>
      </c>
    </row>
    <row r="1023" customFormat="false" ht="16.5" hidden="false" customHeight="true" outlineLevel="0" collapsed="false">
      <c r="A1023" s="2" t="s">
        <v>385</v>
      </c>
      <c r="B1023" s="2" t="s">
        <v>405</v>
      </c>
      <c r="C1023" s="2" t="n">
        <v>1</v>
      </c>
      <c r="D1023" s="2" t="s">
        <v>544</v>
      </c>
      <c r="E1023" s="2" t="s">
        <v>41</v>
      </c>
      <c r="F1023" s="2" t="n">
        <v>261</v>
      </c>
      <c r="G1023" s="2" t="n">
        <v>35</v>
      </c>
    </row>
    <row r="1024" customFormat="false" ht="16.5" hidden="false" customHeight="true" outlineLevel="0" collapsed="false">
      <c r="A1024" s="2" t="s">
        <v>385</v>
      </c>
      <c r="B1024" s="2" t="s">
        <v>405</v>
      </c>
      <c r="C1024" s="2" t="n">
        <v>1</v>
      </c>
      <c r="D1024" s="2" t="s">
        <v>544</v>
      </c>
      <c r="E1024" s="2" t="s">
        <v>42</v>
      </c>
      <c r="F1024" s="2" t="n">
        <v>261</v>
      </c>
      <c r="G1024" s="2" t="n">
        <v>39</v>
      </c>
    </row>
    <row r="1025" customFormat="false" ht="16.5" hidden="false" customHeight="true" outlineLevel="0" collapsed="false">
      <c r="A1025" s="2" t="s">
        <v>385</v>
      </c>
      <c r="B1025" s="2" t="s">
        <v>405</v>
      </c>
      <c r="C1025" s="2" t="n">
        <v>1</v>
      </c>
      <c r="D1025" s="2" t="s">
        <v>544</v>
      </c>
      <c r="E1025" s="2" t="s">
        <v>43</v>
      </c>
      <c r="F1025" s="2" t="n">
        <v>261</v>
      </c>
      <c r="G1025" s="2" t="n">
        <v>43</v>
      </c>
    </row>
    <row r="1026" customFormat="false" ht="16.5" hidden="false" customHeight="true" outlineLevel="0" collapsed="false">
      <c r="A1026" s="2" t="s">
        <v>385</v>
      </c>
      <c r="B1026" s="2" t="s">
        <v>405</v>
      </c>
      <c r="C1026" s="2" t="n">
        <v>1</v>
      </c>
      <c r="D1026" s="2" t="s">
        <v>544</v>
      </c>
      <c r="E1026" s="2" t="s">
        <v>44</v>
      </c>
      <c r="F1026" s="2" t="n">
        <v>261</v>
      </c>
      <c r="G1026" s="2" t="n">
        <v>47</v>
      </c>
    </row>
    <row r="1027" customFormat="false" ht="16.5" hidden="false" customHeight="true" outlineLevel="0" collapsed="false">
      <c r="A1027" s="2" t="s">
        <v>385</v>
      </c>
      <c r="B1027" s="2" t="s">
        <v>405</v>
      </c>
      <c r="C1027" s="2" t="n">
        <v>1</v>
      </c>
      <c r="D1027" s="2" t="s">
        <v>544</v>
      </c>
      <c r="E1027" s="2" t="s">
        <v>48</v>
      </c>
      <c r="F1027" s="2" t="n">
        <v>263</v>
      </c>
      <c r="G1027" s="2" t="n">
        <v>16</v>
      </c>
    </row>
    <row r="1028" customFormat="false" ht="16.5" hidden="false" customHeight="true" outlineLevel="0" collapsed="false">
      <c r="A1028" s="2" t="s">
        <v>385</v>
      </c>
      <c r="B1028" s="2" t="s">
        <v>405</v>
      </c>
      <c r="C1028" s="2" t="n">
        <v>1</v>
      </c>
      <c r="D1028" s="2" t="s">
        <v>544</v>
      </c>
      <c r="E1028" s="2" t="s">
        <v>50</v>
      </c>
      <c r="F1028" s="2" t="n">
        <v>263</v>
      </c>
      <c r="G1028" s="2" t="n">
        <v>20</v>
      </c>
    </row>
    <row r="1029" customFormat="false" ht="16.5" hidden="false" customHeight="true" outlineLevel="0" collapsed="false">
      <c r="A1029" s="2" t="s">
        <v>385</v>
      </c>
      <c r="B1029" s="2" t="s">
        <v>405</v>
      </c>
      <c r="C1029" s="2" t="n">
        <v>1</v>
      </c>
      <c r="D1029" s="2" t="s">
        <v>544</v>
      </c>
      <c r="E1029" s="2" t="s">
        <v>45</v>
      </c>
      <c r="F1029" s="2" t="n">
        <v>263</v>
      </c>
      <c r="G1029" s="2" t="n">
        <v>38</v>
      </c>
    </row>
    <row r="1030" customFormat="false" ht="16.5" hidden="false" customHeight="true" outlineLevel="0" collapsed="false">
      <c r="A1030" s="2" t="s">
        <v>385</v>
      </c>
      <c r="B1030" s="2" t="s">
        <v>405</v>
      </c>
      <c r="C1030" s="2" t="n">
        <v>1</v>
      </c>
      <c r="D1030" s="2" t="s">
        <v>544</v>
      </c>
      <c r="E1030" s="2" t="s">
        <v>46</v>
      </c>
      <c r="F1030" s="2" t="n">
        <v>263</v>
      </c>
      <c r="G1030" s="2" t="n">
        <v>42</v>
      </c>
    </row>
    <row r="1031" customFormat="false" ht="16.5" hidden="false" customHeight="true" outlineLevel="0" collapsed="false">
      <c r="A1031" s="2" t="s">
        <v>385</v>
      </c>
      <c r="B1031" s="2" t="s">
        <v>406</v>
      </c>
      <c r="C1031" s="2" t="n">
        <v>1</v>
      </c>
      <c r="D1031" s="2" t="s">
        <v>545</v>
      </c>
      <c r="E1031" s="2" t="s">
        <v>0</v>
      </c>
      <c r="F1031" s="2" t="n">
        <v>268</v>
      </c>
      <c r="G1031" s="2" t="n">
        <v>6</v>
      </c>
    </row>
    <row r="1032" customFormat="false" ht="16.5" hidden="false" customHeight="true" outlineLevel="0" collapsed="false">
      <c r="A1032" s="2" t="s">
        <v>385</v>
      </c>
      <c r="B1032" s="2" t="s">
        <v>406</v>
      </c>
      <c r="C1032" s="2" t="n">
        <v>1</v>
      </c>
      <c r="D1032" s="2" t="s">
        <v>545</v>
      </c>
      <c r="E1032" s="2" t="s">
        <v>1</v>
      </c>
      <c r="F1032" s="2" t="n">
        <v>268</v>
      </c>
      <c r="G1032" s="2" t="n">
        <v>10</v>
      </c>
    </row>
    <row r="1033" customFormat="false" ht="16.5" hidden="false" customHeight="true" outlineLevel="0" collapsed="false">
      <c r="A1033" s="2" t="s">
        <v>385</v>
      </c>
      <c r="B1033" s="2" t="s">
        <v>406</v>
      </c>
      <c r="C1033" s="2" t="n">
        <v>1</v>
      </c>
      <c r="D1033" s="2" t="s">
        <v>545</v>
      </c>
      <c r="E1033" s="2" t="s">
        <v>2</v>
      </c>
      <c r="F1033" s="2" t="n">
        <v>268</v>
      </c>
      <c r="G1033" s="2" t="n">
        <v>14</v>
      </c>
    </row>
    <row r="1034" customFormat="false" ht="16.5" hidden="false" customHeight="true" outlineLevel="0" collapsed="false">
      <c r="A1034" s="2" t="s">
        <v>385</v>
      </c>
      <c r="B1034" s="2" t="s">
        <v>406</v>
      </c>
      <c r="C1034" s="2" t="n">
        <v>1</v>
      </c>
      <c r="D1034" s="2" t="s">
        <v>545</v>
      </c>
      <c r="E1034" s="2" t="s">
        <v>3</v>
      </c>
      <c r="F1034" s="2" t="n">
        <v>268</v>
      </c>
      <c r="G1034" s="2" t="n">
        <v>18</v>
      </c>
    </row>
    <row r="1035" customFormat="false" ht="16.5" hidden="false" customHeight="true" outlineLevel="0" collapsed="false">
      <c r="A1035" s="2" t="s">
        <v>385</v>
      </c>
      <c r="B1035" s="2" t="s">
        <v>406</v>
      </c>
      <c r="C1035" s="2" t="n">
        <v>1</v>
      </c>
      <c r="D1035" s="2" t="s">
        <v>545</v>
      </c>
      <c r="E1035" s="2" t="s">
        <v>4</v>
      </c>
      <c r="F1035" s="2" t="n">
        <v>268</v>
      </c>
      <c r="G1035" s="2" t="n">
        <v>22</v>
      </c>
    </row>
    <row r="1036" customFormat="false" ht="16.5" hidden="false" customHeight="true" outlineLevel="0" collapsed="false">
      <c r="A1036" s="2" t="s">
        <v>385</v>
      </c>
      <c r="B1036" s="2" t="s">
        <v>406</v>
      </c>
      <c r="C1036" s="2" t="n">
        <v>1</v>
      </c>
      <c r="D1036" s="2" t="s">
        <v>545</v>
      </c>
      <c r="E1036" s="2" t="s">
        <v>5</v>
      </c>
      <c r="F1036" s="2" t="n">
        <v>268</v>
      </c>
      <c r="G1036" s="2" t="n">
        <v>26</v>
      </c>
    </row>
    <row r="1037" customFormat="false" ht="16.5" hidden="false" customHeight="true" outlineLevel="0" collapsed="false">
      <c r="A1037" s="2" t="s">
        <v>385</v>
      </c>
      <c r="B1037" s="2" t="s">
        <v>406</v>
      </c>
      <c r="C1037" s="2" t="n">
        <v>1</v>
      </c>
      <c r="D1037" s="2" t="s">
        <v>545</v>
      </c>
      <c r="E1037" s="2" t="s">
        <v>6</v>
      </c>
      <c r="F1037" s="2" t="n">
        <v>268</v>
      </c>
      <c r="G1037" s="2" t="n">
        <v>30</v>
      </c>
    </row>
    <row r="1038" customFormat="false" ht="16.5" hidden="false" customHeight="true" outlineLevel="0" collapsed="false">
      <c r="A1038" s="2" t="s">
        <v>385</v>
      </c>
      <c r="B1038" s="2" t="s">
        <v>406</v>
      </c>
      <c r="C1038" s="2" t="n">
        <v>1</v>
      </c>
      <c r="D1038" s="2" t="s">
        <v>545</v>
      </c>
      <c r="E1038" s="2" t="s">
        <v>7</v>
      </c>
      <c r="F1038" s="2" t="n">
        <v>268</v>
      </c>
      <c r="G1038" s="2" t="n">
        <v>34</v>
      </c>
    </row>
    <row r="1039" customFormat="false" ht="16.5" hidden="false" customHeight="true" outlineLevel="0" collapsed="false">
      <c r="A1039" s="2" t="s">
        <v>385</v>
      </c>
      <c r="B1039" s="2" t="s">
        <v>406</v>
      </c>
      <c r="C1039" s="2" t="n">
        <v>1</v>
      </c>
      <c r="D1039" s="2" t="s">
        <v>545</v>
      </c>
      <c r="E1039" s="2" t="s">
        <v>8</v>
      </c>
      <c r="F1039" s="2" t="n">
        <v>268</v>
      </c>
      <c r="G1039" s="2" t="n">
        <v>38</v>
      </c>
    </row>
    <row r="1040" customFormat="false" ht="16.5" hidden="false" customHeight="true" outlineLevel="0" collapsed="false">
      <c r="A1040" s="2" t="s">
        <v>385</v>
      </c>
      <c r="B1040" s="2" t="s">
        <v>406</v>
      </c>
      <c r="C1040" s="2" t="n">
        <v>1</v>
      </c>
      <c r="D1040" s="2" t="s">
        <v>545</v>
      </c>
      <c r="E1040" s="2" t="s">
        <v>9</v>
      </c>
      <c r="F1040" s="2" t="n">
        <v>268</v>
      </c>
      <c r="G1040" s="2" t="n">
        <v>42</v>
      </c>
    </row>
    <row r="1041" customFormat="false" ht="16.5" hidden="false" customHeight="true" outlineLevel="0" collapsed="false">
      <c r="A1041" s="2" t="s">
        <v>385</v>
      </c>
      <c r="B1041" s="2" t="s">
        <v>406</v>
      </c>
      <c r="C1041" s="2" t="n">
        <v>1</v>
      </c>
      <c r="D1041" s="2" t="s">
        <v>545</v>
      </c>
      <c r="E1041" s="2" t="s">
        <v>10</v>
      </c>
      <c r="F1041" s="2" t="n">
        <v>268</v>
      </c>
      <c r="G1041" s="2" t="n">
        <v>46</v>
      </c>
    </row>
    <row r="1042" customFormat="false" ht="16.5" hidden="false" customHeight="true" outlineLevel="0" collapsed="false">
      <c r="A1042" s="2" t="s">
        <v>385</v>
      </c>
      <c r="B1042" s="2" t="s">
        <v>406</v>
      </c>
      <c r="C1042" s="2" t="n">
        <v>1</v>
      </c>
      <c r="D1042" s="2" t="s">
        <v>545</v>
      </c>
      <c r="E1042" s="2" t="s">
        <v>11</v>
      </c>
      <c r="F1042" s="2" t="n">
        <v>268</v>
      </c>
      <c r="G1042" s="2" t="n">
        <v>50</v>
      </c>
    </row>
    <row r="1043" customFormat="false" ht="16.5" hidden="false" customHeight="true" outlineLevel="0" collapsed="false">
      <c r="A1043" s="2" t="s">
        <v>385</v>
      </c>
      <c r="B1043" s="2" t="s">
        <v>406</v>
      </c>
      <c r="C1043" s="2" t="n">
        <v>1</v>
      </c>
      <c r="D1043" s="2" t="s">
        <v>545</v>
      </c>
      <c r="E1043" s="2" t="s">
        <v>12</v>
      </c>
      <c r="F1043" s="2" t="n">
        <v>270</v>
      </c>
      <c r="G1043" s="2" t="n">
        <v>8</v>
      </c>
    </row>
    <row r="1044" customFormat="false" ht="16.5" hidden="false" customHeight="true" outlineLevel="0" collapsed="false">
      <c r="A1044" s="2" t="s">
        <v>385</v>
      </c>
      <c r="B1044" s="2" t="s">
        <v>406</v>
      </c>
      <c r="C1044" s="2" t="n">
        <v>1</v>
      </c>
      <c r="D1044" s="2" t="s">
        <v>545</v>
      </c>
      <c r="E1044" s="2" t="s">
        <v>13</v>
      </c>
      <c r="F1044" s="2" t="n">
        <v>270</v>
      </c>
      <c r="G1044" s="2" t="n">
        <v>12</v>
      </c>
    </row>
    <row r="1045" customFormat="false" ht="16.5" hidden="false" customHeight="true" outlineLevel="0" collapsed="false">
      <c r="A1045" s="2" t="s">
        <v>385</v>
      </c>
      <c r="B1045" s="2" t="s">
        <v>406</v>
      </c>
      <c r="C1045" s="2" t="n">
        <v>1</v>
      </c>
      <c r="D1045" s="2" t="s">
        <v>545</v>
      </c>
      <c r="E1045" s="2" t="s">
        <v>14</v>
      </c>
      <c r="F1045" s="2" t="n">
        <v>270</v>
      </c>
      <c r="G1045" s="2" t="n">
        <v>16</v>
      </c>
    </row>
    <row r="1046" customFormat="false" ht="16.5" hidden="false" customHeight="true" outlineLevel="0" collapsed="false">
      <c r="A1046" s="2" t="s">
        <v>385</v>
      </c>
      <c r="B1046" s="2" t="s">
        <v>406</v>
      </c>
      <c r="C1046" s="2" t="n">
        <v>1</v>
      </c>
      <c r="D1046" s="2" t="s">
        <v>545</v>
      </c>
      <c r="E1046" s="2" t="s">
        <v>15</v>
      </c>
      <c r="F1046" s="2" t="n">
        <v>270</v>
      </c>
      <c r="G1046" s="2" t="n">
        <v>20</v>
      </c>
    </row>
    <row r="1047" customFormat="false" ht="16.5" hidden="false" customHeight="true" outlineLevel="0" collapsed="false">
      <c r="A1047" s="2" t="s">
        <v>385</v>
      </c>
      <c r="B1047" s="2" t="s">
        <v>406</v>
      </c>
      <c r="C1047" s="2" t="n">
        <v>1</v>
      </c>
      <c r="D1047" s="2" t="s">
        <v>545</v>
      </c>
      <c r="E1047" s="2" t="s">
        <v>16</v>
      </c>
      <c r="F1047" s="2" t="n">
        <v>270</v>
      </c>
      <c r="G1047" s="2" t="n">
        <v>24</v>
      </c>
    </row>
    <row r="1048" customFormat="false" ht="16.5" hidden="false" customHeight="true" outlineLevel="0" collapsed="false">
      <c r="A1048" s="2" t="s">
        <v>385</v>
      </c>
      <c r="B1048" s="2" t="s">
        <v>406</v>
      </c>
      <c r="C1048" s="2" t="n">
        <v>1</v>
      </c>
      <c r="D1048" s="2" t="s">
        <v>545</v>
      </c>
      <c r="E1048" s="2" t="s">
        <v>17</v>
      </c>
      <c r="F1048" s="2" t="n">
        <v>270</v>
      </c>
      <c r="G1048" s="2" t="n">
        <v>28</v>
      </c>
    </row>
    <row r="1049" customFormat="false" ht="16.5" hidden="false" customHeight="true" outlineLevel="0" collapsed="false">
      <c r="A1049" s="2" t="s">
        <v>385</v>
      </c>
      <c r="B1049" s="2" t="s">
        <v>406</v>
      </c>
      <c r="C1049" s="2" t="n">
        <v>1</v>
      </c>
      <c r="D1049" s="2" t="s">
        <v>545</v>
      </c>
      <c r="E1049" s="2" t="s">
        <v>18</v>
      </c>
      <c r="F1049" s="2" t="n">
        <v>270</v>
      </c>
      <c r="G1049" s="2" t="n">
        <v>32</v>
      </c>
    </row>
    <row r="1050" customFormat="false" ht="16.5" hidden="false" customHeight="true" outlineLevel="0" collapsed="false">
      <c r="A1050" s="2" t="s">
        <v>385</v>
      </c>
      <c r="B1050" s="2" t="s">
        <v>406</v>
      </c>
      <c r="C1050" s="2" t="n">
        <v>1</v>
      </c>
      <c r="D1050" s="2" t="s">
        <v>545</v>
      </c>
      <c r="E1050" s="2" t="s">
        <v>19</v>
      </c>
      <c r="F1050" s="2" t="n">
        <v>270</v>
      </c>
      <c r="G1050" s="2" t="n">
        <v>36</v>
      </c>
    </row>
    <row r="1051" customFormat="false" ht="16.5" hidden="false" customHeight="true" outlineLevel="0" collapsed="false">
      <c r="A1051" s="2" t="s">
        <v>385</v>
      </c>
      <c r="B1051" s="2" t="s">
        <v>406</v>
      </c>
      <c r="C1051" s="2" t="n">
        <v>1</v>
      </c>
      <c r="D1051" s="2" t="s">
        <v>545</v>
      </c>
      <c r="E1051" s="2" t="s">
        <v>20</v>
      </c>
      <c r="F1051" s="2" t="n">
        <v>270</v>
      </c>
      <c r="G1051" s="2" t="n">
        <v>40</v>
      </c>
    </row>
    <row r="1052" customFormat="false" ht="16.5" hidden="false" customHeight="true" outlineLevel="0" collapsed="false">
      <c r="A1052" s="2" t="s">
        <v>385</v>
      </c>
      <c r="B1052" s="2" t="s">
        <v>406</v>
      </c>
      <c r="C1052" s="2" t="n">
        <v>1</v>
      </c>
      <c r="D1052" s="2" t="s">
        <v>545</v>
      </c>
      <c r="E1052" s="2" t="s">
        <v>21</v>
      </c>
      <c r="F1052" s="2" t="n">
        <v>270</v>
      </c>
      <c r="G1052" s="2" t="n">
        <v>44</v>
      </c>
    </row>
    <row r="1053" customFormat="false" ht="16.5" hidden="false" customHeight="true" outlineLevel="0" collapsed="false">
      <c r="A1053" s="2" t="s">
        <v>385</v>
      </c>
      <c r="B1053" s="2" t="s">
        <v>406</v>
      </c>
      <c r="C1053" s="2" t="n">
        <v>1</v>
      </c>
      <c r="D1053" s="2" t="s">
        <v>545</v>
      </c>
      <c r="E1053" s="2" t="s">
        <v>22</v>
      </c>
      <c r="F1053" s="2" t="n">
        <v>270</v>
      </c>
      <c r="G1053" s="2" t="n">
        <v>48</v>
      </c>
    </row>
    <row r="1054" customFormat="false" ht="16.5" hidden="false" customHeight="true" outlineLevel="0" collapsed="false">
      <c r="A1054" s="2" t="s">
        <v>385</v>
      </c>
      <c r="B1054" s="2" t="s">
        <v>406</v>
      </c>
      <c r="C1054" s="2" t="n">
        <v>1</v>
      </c>
      <c r="D1054" s="2" t="s">
        <v>545</v>
      </c>
      <c r="E1054" s="2" t="s">
        <v>23</v>
      </c>
      <c r="F1054" s="2" t="n">
        <v>270</v>
      </c>
      <c r="G1054" s="2" t="n">
        <v>52</v>
      </c>
    </row>
    <row r="1055" customFormat="false" ht="16.5" hidden="false" customHeight="true" outlineLevel="0" collapsed="false">
      <c r="A1055" s="2" t="s">
        <v>385</v>
      </c>
      <c r="B1055" s="2" t="s">
        <v>406</v>
      </c>
      <c r="C1055" s="2" t="n">
        <v>1</v>
      </c>
      <c r="D1055" s="2" t="s">
        <v>545</v>
      </c>
      <c r="E1055" s="2" t="s">
        <v>24</v>
      </c>
      <c r="F1055" s="2" t="n">
        <v>272</v>
      </c>
      <c r="G1055" s="2" t="n">
        <v>9</v>
      </c>
    </row>
    <row r="1056" customFormat="false" ht="16.5" hidden="false" customHeight="true" outlineLevel="0" collapsed="false">
      <c r="A1056" s="2" t="s">
        <v>385</v>
      </c>
      <c r="B1056" s="2" t="s">
        <v>406</v>
      </c>
      <c r="C1056" s="2" t="n">
        <v>1</v>
      </c>
      <c r="D1056" s="2" t="s">
        <v>545</v>
      </c>
      <c r="E1056" s="2" t="s">
        <v>25</v>
      </c>
      <c r="F1056" s="2" t="n">
        <v>272</v>
      </c>
      <c r="G1056" s="2" t="n">
        <v>13</v>
      </c>
    </row>
    <row r="1057" customFormat="false" ht="16.5" hidden="false" customHeight="true" outlineLevel="0" collapsed="false">
      <c r="A1057" s="2" t="s">
        <v>385</v>
      </c>
      <c r="B1057" s="2" t="s">
        <v>406</v>
      </c>
      <c r="C1057" s="2" t="n">
        <v>1</v>
      </c>
      <c r="D1057" s="2" t="s">
        <v>545</v>
      </c>
      <c r="E1057" s="2" t="s">
        <v>26</v>
      </c>
      <c r="F1057" s="2" t="n">
        <v>272</v>
      </c>
      <c r="G1057" s="2" t="n">
        <v>17</v>
      </c>
    </row>
    <row r="1058" customFormat="false" ht="16.5" hidden="false" customHeight="true" outlineLevel="0" collapsed="false">
      <c r="A1058" s="2" t="s">
        <v>385</v>
      </c>
      <c r="B1058" s="2" t="s">
        <v>406</v>
      </c>
      <c r="C1058" s="2" t="n">
        <v>1</v>
      </c>
      <c r="D1058" s="2" t="s">
        <v>545</v>
      </c>
      <c r="E1058" s="2" t="s">
        <v>27</v>
      </c>
      <c r="F1058" s="2" t="n">
        <v>272</v>
      </c>
      <c r="G1058" s="2" t="n">
        <v>21</v>
      </c>
    </row>
    <row r="1059" customFormat="false" ht="16.5" hidden="false" customHeight="true" outlineLevel="0" collapsed="false">
      <c r="A1059" s="2" t="s">
        <v>385</v>
      </c>
      <c r="B1059" s="2" t="s">
        <v>406</v>
      </c>
      <c r="C1059" s="2" t="n">
        <v>1</v>
      </c>
      <c r="D1059" s="2" t="s">
        <v>545</v>
      </c>
      <c r="E1059" s="2" t="s">
        <v>28</v>
      </c>
      <c r="F1059" s="2" t="n">
        <v>272</v>
      </c>
      <c r="G1059" s="2" t="n">
        <v>25</v>
      </c>
    </row>
    <row r="1060" customFormat="false" ht="16.5" hidden="false" customHeight="true" outlineLevel="0" collapsed="false">
      <c r="A1060" s="2" t="s">
        <v>385</v>
      </c>
      <c r="B1060" s="2" t="s">
        <v>406</v>
      </c>
      <c r="C1060" s="2" t="n">
        <v>1</v>
      </c>
      <c r="D1060" s="2" t="s">
        <v>545</v>
      </c>
      <c r="E1060" s="2" t="s">
        <v>29</v>
      </c>
      <c r="F1060" s="2" t="n">
        <v>272</v>
      </c>
      <c r="G1060" s="2" t="n">
        <v>29</v>
      </c>
    </row>
    <row r="1061" customFormat="false" ht="16.5" hidden="false" customHeight="true" outlineLevel="0" collapsed="false">
      <c r="A1061" s="2" t="s">
        <v>385</v>
      </c>
      <c r="B1061" s="2" t="s">
        <v>406</v>
      </c>
      <c r="C1061" s="2" t="n">
        <v>1</v>
      </c>
      <c r="D1061" s="2" t="s">
        <v>545</v>
      </c>
      <c r="E1061" s="2" t="s">
        <v>30</v>
      </c>
      <c r="F1061" s="2" t="n">
        <v>272</v>
      </c>
      <c r="G1061" s="2" t="n">
        <v>33</v>
      </c>
    </row>
    <row r="1062" customFormat="false" ht="16.5" hidden="false" customHeight="true" outlineLevel="0" collapsed="false">
      <c r="A1062" s="2" t="s">
        <v>385</v>
      </c>
      <c r="B1062" s="2" t="s">
        <v>406</v>
      </c>
      <c r="C1062" s="2" t="n">
        <v>1</v>
      </c>
      <c r="D1062" s="2" t="s">
        <v>545</v>
      </c>
      <c r="E1062" s="2" t="s">
        <v>31</v>
      </c>
      <c r="F1062" s="2" t="n">
        <v>272</v>
      </c>
      <c r="G1062" s="2" t="n">
        <v>37</v>
      </c>
    </row>
    <row r="1063" customFormat="false" ht="16.5" hidden="false" customHeight="true" outlineLevel="0" collapsed="false">
      <c r="A1063" s="2" t="s">
        <v>385</v>
      </c>
      <c r="B1063" s="2" t="s">
        <v>406</v>
      </c>
      <c r="C1063" s="2" t="n">
        <v>1</v>
      </c>
      <c r="D1063" s="2" t="s">
        <v>545</v>
      </c>
      <c r="E1063" s="2" t="s">
        <v>32</v>
      </c>
      <c r="F1063" s="2" t="n">
        <v>272</v>
      </c>
      <c r="G1063" s="2" t="n">
        <v>41</v>
      </c>
    </row>
    <row r="1064" customFormat="false" ht="16.5" hidden="false" customHeight="true" outlineLevel="0" collapsed="false">
      <c r="A1064" s="2" t="s">
        <v>385</v>
      </c>
      <c r="B1064" s="2" t="s">
        <v>406</v>
      </c>
      <c r="C1064" s="2" t="n">
        <v>1</v>
      </c>
      <c r="D1064" s="2" t="s">
        <v>545</v>
      </c>
      <c r="E1064" s="2" t="s">
        <v>33</v>
      </c>
      <c r="F1064" s="2" t="n">
        <v>272</v>
      </c>
      <c r="G1064" s="2" t="n">
        <v>45</v>
      </c>
    </row>
    <row r="1065" customFormat="false" ht="16.5" hidden="false" customHeight="true" outlineLevel="0" collapsed="false">
      <c r="A1065" s="2" t="s">
        <v>385</v>
      </c>
      <c r="B1065" s="2" t="s">
        <v>406</v>
      </c>
      <c r="C1065" s="2" t="n">
        <v>1</v>
      </c>
      <c r="D1065" s="2" t="s">
        <v>545</v>
      </c>
      <c r="E1065" s="2" t="s">
        <v>34</v>
      </c>
      <c r="F1065" s="2" t="n">
        <v>272</v>
      </c>
      <c r="G1065" s="2" t="n">
        <v>49</v>
      </c>
    </row>
    <row r="1066" customFormat="false" ht="16.5" hidden="false" customHeight="true" outlineLevel="0" collapsed="false">
      <c r="A1066" s="2" t="s">
        <v>385</v>
      </c>
      <c r="B1066" s="2" t="s">
        <v>406</v>
      </c>
      <c r="C1066" s="2" t="n">
        <v>1</v>
      </c>
      <c r="D1066" s="2" t="s">
        <v>545</v>
      </c>
      <c r="E1066" s="2" t="s">
        <v>35</v>
      </c>
      <c r="F1066" s="2" t="n">
        <v>274</v>
      </c>
      <c r="G1066" s="2" t="n">
        <v>11</v>
      </c>
    </row>
    <row r="1067" customFormat="false" ht="16.5" hidden="false" customHeight="true" outlineLevel="0" collapsed="false">
      <c r="A1067" s="2" t="s">
        <v>385</v>
      </c>
      <c r="B1067" s="2" t="s">
        <v>406</v>
      </c>
      <c r="C1067" s="2" t="n">
        <v>1</v>
      </c>
      <c r="D1067" s="2" t="s">
        <v>545</v>
      </c>
      <c r="E1067" s="2" t="s">
        <v>36</v>
      </c>
      <c r="F1067" s="2" t="n">
        <v>274</v>
      </c>
      <c r="G1067" s="2" t="n">
        <v>15</v>
      </c>
    </row>
    <row r="1068" customFormat="false" ht="16.5" hidden="false" customHeight="true" outlineLevel="0" collapsed="false">
      <c r="A1068" s="2" t="s">
        <v>385</v>
      </c>
      <c r="B1068" s="2" t="s">
        <v>406</v>
      </c>
      <c r="C1068" s="2" t="n">
        <v>1</v>
      </c>
      <c r="D1068" s="2" t="s">
        <v>545</v>
      </c>
      <c r="E1068" s="2" t="s">
        <v>37</v>
      </c>
      <c r="F1068" s="2" t="n">
        <v>274</v>
      </c>
      <c r="G1068" s="2" t="n">
        <v>19</v>
      </c>
    </row>
    <row r="1069" customFormat="false" ht="16.5" hidden="false" customHeight="true" outlineLevel="0" collapsed="false">
      <c r="A1069" s="2" t="s">
        <v>385</v>
      </c>
      <c r="B1069" s="2" t="s">
        <v>406</v>
      </c>
      <c r="C1069" s="2" t="n">
        <v>1</v>
      </c>
      <c r="D1069" s="2" t="s">
        <v>545</v>
      </c>
      <c r="E1069" s="2" t="s">
        <v>38</v>
      </c>
      <c r="F1069" s="2" t="n">
        <v>274</v>
      </c>
      <c r="G1069" s="2" t="n">
        <v>23</v>
      </c>
    </row>
    <row r="1070" customFormat="false" ht="16.5" hidden="false" customHeight="true" outlineLevel="0" collapsed="false">
      <c r="A1070" s="2" t="s">
        <v>385</v>
      </c>
      <c r="B1070" s="2" t="s">
        <v>406</v>
      </c>
      <c r="C1070" s="2" t="n">
        <v>1</v>
      </c>
      <c r="D1070" s="2" t="s">
        <v>545</v>
      </c>
      <c r="E1070" s="2" t="s">
        <v>39</v>
      </c>
      <c r="F1070" s="2" t="n">
        <v>274</v>
      </c>
      <c r="G1070" s="2" t="n">
        <v>27</v>
      </c>
    </row>
    <row r="1071" customFormat="false" ht="16.5" hidden="false" customHeight="true" outlineLevel="0" collapsed="false">
      <c r="A1071" s="2" t="s">
        <v>385</v>
      </c>
      <c r="B1071" s="2" t="s">
        <v>406</v>
      </c>
      <c r="C1071" s="2" t="n">
        <v>1</v>
      </c>
      <c r="D1071" s="2" t="s">
        <v>545</v>
      </c>
      <c r="E1071" s="2" t="s">
        <v>40</v>
      </c>
      <c r="F1071" s="2" t="n">
        <v>274</v>
      </c>
      <c r="G1071" s="2" t="n">
        <v>31</v>
      </c>
    </row>
    <row r="1072" customFormat="false" ht="16.5" hidden="false" customHeight="true" outlineLevel="0" collapsed="false">
      <c r="A1072" s="2" t="s">
        <v>385</v>
      </c>
      <c r="B1072" s="2" t="s">
        <v>406</v>
      </c>
      <c r="C1072" s="2" t="n">
        <v>1</v>
      </c>
      <c r="D1072" s="2" t="s">
        <v>545</v>
      </c>
      <c r="E1072" s="2" t="s">
        <v>41</v>
      </c>
      <c r="F1072" s="2" t="n">
        <v>274</v>
      </c>
      <c r="G1072" s="2" t="n">
        <v>35</v>
      </c>
    </row>
    <row r="1073" customFormat="false" ht="16.5" hidden="false" customHeight="true" outlineLevel="0" collapsed="false">
      <c r="A1073" s="2" t="s">
        <v>385</v>
      </c>
      <c r="B1073" s="2" t="s">
        <v>406</v>
      </c>
      <c r="C1073" s="2" t="n">
        <v>1</v>
      </c>
      <c r="D1073" s="2" t="s">
        <v>545</v>
      </c>
      <c r="E1073" s="2" t="s">
        <v>42</v>
      </c>
      <c r="F1073" s="2" t="n">
        <v>274</v>
      </c>
      <c r="G1073" s="2" t="n">
        <v>39</v>
      </c>
    </row>
    <row r="1074" customFormat="false" ht="16.5" hidden="false" customHeight="true" outlineLevel="0" collapsed="false">
      <c r="A1074" s="2" t="s">
        <v>385</v>
      </c>
      <c r="B1074" s="2" t="s">
        <v>406</v>
      </c>
      <c r="C1074" s="2" t="n">
        <v>1</v>
      </c>
      <c r="D1074" s="2" t="s">
        <v>545</v>
      </c>
      <c r="E1074" s="2" t="s">
        <v>43</v>
      </c>
      <c r="F1074" s="2" t="n">
        <v>274</v>
      </c>
      <c r="G1074" s="2" t="n">
        <v>43</v>
      </c>
    </row>
    <row r="1075" customFormat="false" ht="16.5" hidden="false" customHeight="true" outlineLevel="0" collapsed="false">
      <c r="A1075" s="2" t="s">
        <v>385</v>
      </c>
      <c r="B1075" s="2" t="s">
        <v>406</v>
      </c>
      <c r="C1075" s="2" t="n">
        <v>1</v>
      </c>
      <c r="D1075" s="2" t="s">
        <v>545</v>
      </c>
      <c r="E1075" s="2" t="s">
        <v>44</v>
      </c>
      <c r="F1075" s="2" t="n">
        <v>274</v>
      </c>
      <c r="G1075" s="2" t="n">
        <v>47</v>
      </c>
    </row>
    <row r="1076" customFormat="false" ht="16.5" hidden="false" customHeight="true" outlineLevel="0" collapsed="false">
      <c r="A1076" s="2" t="s">
        <v>385</v>
      </c>
      <c r="B1076" s="2" t="s">
        <v>406</v>
      </c>
      <c r="C1076" s="2" t="n">
        <v>1</v>
      </c>
      <c r="D1076" s="2" t="s">
        <v>545</v>
      </c>
      <c r="E1076" s="2" t="s">
        <v>48</v>
      </c>
      <c r="F1076" s="2" t="n">
        <v>276</v>
      </c>
      <c r="G1076" s="2" t="n">
        <v>16</v>
      </c>
    </row>
    <row r="1077" customFormat="false" ht="16.5" hidden="false" customHeight="true" outlineLevel="0" collapsed="false">
      <c r="A1077" s="2" t="s">
        <v>385</v>
      </c>
      <c r="B1077" s="2" t="s">
        <v>406</v>
      </c>
      <c r="C1077" s="2" t="n">
        <v>1</v>
      </c>
      <c r="D1077" s="2" t="s">
        <v>545</v>
      </c>
      <c r="E1077" s="2" t="s">
        <v>50</v>
      </c>
      <c r="F1077" s="2" t="n">
        <v>276</v>
      </c>
      <c r="G1077" s="2" t="n">
        <v>20</v>
      </c>
    </row>
    <row r="1078" customFormat="false" ht="16.5" hidden="false" customHeight="true" outlineLevel="0" collapsed="false">
      <c r="A1078" s="2" t="s">
        <v>385</v>
      </c>
      <c r="B1078" s="2" t="s">
        <v>406</v>
      </c>
      <c r="C1078" s="2" t="n">
        <v>1</v>
      </c>
      <c r="D1078" s="2" t="s">
        <v>545</v>
      </c>
      <c r="E1078" s="2" t="s">
        <v>45</v>
      </c>
      <c r="F1078" s="2" t="n">
        <v>276</v>
      </c>
      <c r="G1078" s="2" t="n">
        <v>38</v>
      </c>
    </row>
    <row r="1079" customFormat="false" ht="16.5" hidden="false" customHeight="true" outlineLevel="0" collapsed="false">
      <c r="A1079" s="2" t="s">
        <v>385</v>
      </c>
      <c r="B1079" s="2" t="s">
        <v>406</v>
      </c>
      <c r="C1079" s="2" t="n">
        <v>1</v>
      </c>
      <c r="D1079" s="2" t="s">
        <v>545</v>
      </c>
      <c r="E1079" s="2" t="s">
        <v>46</v>
      </c>
      <c r="F1079" s="2" t="n">
        <v>276</v>
      </c>
      <c r="G1079" s="2" t="n">
        <v>42</v>
      </c>
    </row>
    <row r="1080" customFormat="false" ht="16.5" hidden="false" customHeight="true" outlineLevel="0" collapsed="false">
      <c r="A1080" s="2" t="s">
        <v>385</v>
      </c>
      <c r="B1080" s="2" t="s">
        <v>407</v>
      </c>
      <c r="C1080" s="2" t="n">
        <v>1</v>
      </c>
      <c r="D1080" s="2" t="s">
        <v>546</v>
      </c>
      <c r="E1080" s="2" t="s">
        <v>0</v>
      </c>
      <c r="F1080" s="2" t="n">
        <v>281</v>
      </c>
      <c r="G1080" s="2" t="n">
        <v>6</v>
      </c>
    </row>
    <row r="1081" customFormat="false" ht="16.5" hidden="false" customHeight="true" outlineLevel="0" collapsed="false">
      <c r="A1081" s="2" t="s">
        <v>385</v>
      </c>
      <c r="B1081" s="2" t="s">
        <v>407</v>
      </c>
      <c r="C1081" s="2" t="n">
        <v>1</v>
      </c>
      <c r="D1081" s="2" t="s">
        <v>546</v>
      </c>
      <c r="E1081" s="2" t="s">
        <v>1</v>
      </c>
      <c r="F1081" s="2" t="n">
        <v>281</v>
      </c>
      <c r="G1081" s="2" t="n">
        <v>10</v>
      </c>
    </row>
    <row r="1082" customFormat="false" ht="16.5" hidden="false" customHeight="true" outlineLevel="0" collapsed="false">
      <c r="A1082" s="2" t="s">
        <v>385</v>
      </c>
      <c r="B1082" s="2" t="s">
        <v>407</v>
      </c>
      <c r="C1082" s="2" t="n">
        <v>1</v>
      </c>
      <c r="D1082" s="2" t="s">
        <v>546</v>
      </c>
      <c r="E1082" s="2" t="s">
        <v>2</v>
      </c>
      <c r="F1082" s="2" t="n">
        <v>281</v>
      </c>
      <c r="G1082" s="2" t="n">
        <v>14</v>
      </c>
    </row>
    <row r="1083" customFormat="false" ht="16.5" hidden="false" customHeight="true" outlineLevel="0" collapsed="false">
      <c r="A1083" s="2" t="s">
        <v>385</v>
      </c>
      <c r="B1083" s="2" t="s">
        <v>407</v>
      </c>
      <c r="C1083" s="2" t="n">
        <v>1</v>
      </c>
      <c r="D1083" s="2" t="s">
        <v>546</v>
      </c>
      <c r="E1083" s="2" t="s">
        <v>3</v>
      </c>
      <c r="F1083" s="2" t="n">
        <v>281</v>
      </c>
      <c r="G1083" s="2" t="n">
        <v>18</v>
      </c>
    </row>
    <row r="1084" customFormat="false" ht="16.5" hidden="false" customHeight="true" outlineLevel="0" collapsed="false">
      <c r="A1084" s="2" t="s">
        <v>385</v>
      </c>
      <c r="B1084" s="2" t="s">
        <v>407</v>
      </c>
      <c r="C1084" s="2" t="n">
        <v>1</v>
      </c>
      <c r="D1084" s="2" t="s">
        <v>546</v>
      </c>
      <c r="E1084" s="2" t="s">
        <v>4</v>
      </c>
      <c r="F1084" s="2" t="n">
        <v>281</v>
      </c>
      <c r="G1084" s="2" t="n">
        <v>22</v>
      </c>
    </row>
    <row r="1085" customFormat="false" ht="16.5" hidden="false" customHeight="true" outlineLevel="0" collapsed="false">
      <c r="A1085" s="2" t="s">
        <v>385</v>
      </c>
      <c r="B1085" s="2" t="s">
        <v>407</v>
      </c>
      <c r="C1085" s="2" t="n">
        <v>1</v>
      </c>
      <c r="D1085" s="2" t="s">
        <v>546</v>
      </c>
      <c r="E1085" s="2" t="s">
        <v>5</v>
      </c>
      <c r="F1085" s="2" t="n">
        <v>281</v>
      </c>
      <c r="G1085" s="2" t="n">
        <v>26</v>
      </c>
    </row>
    <row r="1086" customFormat="false" ht="16.5" hidden="false" customHeight="true" outlineLevel="0" collapsed="false">
      <c r="A1086" s="2" t="s">
        <v>385</v>
      </c>
      <c r="B1086" s="2" t="s">
        <v>407</v>
      </c>
      <c r="C1086" s="2" t="n">
        <v>1</v>
      </c>
      <c r="D1086" s="2" t="s">
        <v>546</v>
      </c>
      <c r="E1086" s="2" t="s">
        <v>6</v>
      </c>
      <c r="F1086" s="2" t="n">
        <v>281</v>
      </c>
      <c r="G1086" s="2" t="n">
        <v>30</v>
      </c>
    </row>
    <row r="1087" customFormat="false" ht="16.5" hidden="false" customHeight="true" outlineLevel="0" collapsed="false">
      <c r="A1087" s="2" t="s">
        <v>385</v>
      </c>
      <c r="B1087" s="2" t="s">
        <v>407</v>
      </c>
      <c r="C1087" s="2" t="n">
        <v>1</v>
      </c>
      <c r="D1087" s="2" t="s">
        <v>546</v>
      </c>
      <c r="E1087" s="2" t="s">
        <v>7</v>
      </c>
      <c r="F1087" s="2" t="n">
        <v>281</v>
      </c>
      <c r="G1087" s="2" t="n">
        <v>34</v>
      </c>
    </row>
    <row r="1088" customFormat="false" ht="16.5" hidden="false" customHeight="true" outlineLevel="0" collapsed="false">
      <c r="A1088" s="2" t="s">
        <v>385</v>
      </c>
      <c r="B1088" s="2" t="s">
        <v>407</v>
      </c>
      <c r="C1088" s="2" t="n">
        <v>1</v>
      </c>
      <c r="D1088" s="2" t="s">
        <v>546</v>
      </c>
      <c r="E1088" s="2" t="s">
        <v>8</v>
      </c>
      <c r="F1088" s="2" t="n">
        <v>281</v>
      </c>
      <c r="G1088" s="2" t="n">
        <v>38</v>
      </c>
    </row>
    <row r="1089" customFormat="false" ht="16.5" hidden="false" customHeight="true" outlineLevel="0" collapsed="false">
      <c r="A1089" s="2" t="s">
        <v>385</v>
      </c>
      <c r="B1089" s="2" t="s">
        <v>407</v>
      </c>
      <c r="C1089" s="2" t="n">
        <v>1</v>
      </c>
      <c r="D1089" s="2" t="s">
        <v>546</v>
      </c>
      <c r="E1089" s="2" t="s">
        <v>9</v>
      </c>
      <c r="F1089" s="2" t="n">
        <v>281</v>
      </c>
      <c r="G1089" s="2" t="n">
        <v>42</v>
      </c>
    </row>
    <row r="1090" customFormat="false" ht="16.5" hidden="false" customHeight="true" outlineLevel="0" collapsed="false">
      <c r="A1090" s="2" t="s">
        <v>385</v>
      </c>
      <c r="B1090" s="2" t="s">
        <v>407</v>
      </c>
      <c r="C1090" s="2" t="n">
        <v>1</v>
      </c>
      <c r="D1090" s="2" t="s">
        <v>546</v>
      </c>
      <c r="E1090" s="2" t="s">
        <v>10</v>
      </c>
      <c r="F1090" s="2" t="n">
        <v>281</v>
      </c>
      <c r="G1090" s="2" t="n">
        <v>46</v>
      </c>
    </row>
    <row r="1091" customFormat="false" ht="16.5" hidden="false" customHeight="true" outlineLevel="0" collapsed="false">
      <c r="A1091" s="2" t="s">
        <v>385</v>
      </c>
      <c r="B1091" s="2" t="s">
        <v>407</v>
      </c>
      <c r="C1091" s="2" t="n">
        <v>1</v>
      </c>
      <c r="D1091" s="2" t="s">
        <v>546</v>
      </c>
      <c r="E1091" s="2" t="s">
        <v>11</v>
      </c>
      <c r="F1091" s="2" t="n">
        <v>281</v>
      </c>
      <c r="G1091" s="2" t="n">
        <v>50</v>
      </c>
    </row>
    <row r="1092" customFormat="false" ht="16.5" hidden="false" customHeight="true" outlineLevel="0" collapsed="false">
      <c r="A1092" s="2" t="s">
        <v>385</v>
      </c>
      <c r="B1092" s="2" t="s">
        <v>407</v>
      </c>
      <c r="C1092" s="2" t="n">
        <v>1</v>
      </c>
      <c r="D1092" s="2" t="s">
        <v>546</v>
      </c>
      <c r="E1092" s="2" t="s">
        <v>12</v>
      </c>
      <c r="F1092" s="2" t="n">
        <v>283</v>
      </c>
      <c r="G1092" s="2" t="n">
        <v>8</v>
      </c>
    </row>
    <row r="1093" customFormat="false" ht="16.5" hidden="false" customHeight="true" outlineLevel="0" collapsed="false">
      <c r="A1093" s="2" t="s">
        <v>385</v>
      </c>
      <c r="B1093" s="2" t="s">
        <v>407</v>
      </c>
      <c r="C1093" s="2" t="n">
        <v>1</v>
      </c>
      <c r="D1093" s="2" t="s">
        <v>546</v>
      </c>
      <c r="E1093" s="2" t="s">
        <v>13</v>
      </c>
      <c r="F1093" s="2" t="n">
        <v>283</v>
      </c>
      <c r="G1093" s="2" t="n">
        <v>12</v>
      </c>
    </row>
    <row r="1094" customFormat="false" ht="16.5" hidden="false" customHeight="true" outlineLevel="0" collapsed="false">
      <c r="A1094" s="2" t="s">
        <v>385</v>
      </c>
      <c r="B1094" s="2" t="s">
        <v>407</v>
      </c>
      <c r="C1094" s="2" t="n">
        <v>1</v>
      </c>
      <c r="D1094" s="2" t="s">
        <v>546</v>
      </c>
      <c r="E1094" s="2" t="s">
        <v>14</v>
      </c>
      <c r="F1094" s="2" t="n">
        <v>283</v>
      </c>
      <c r="G1094" s="2" t="n">
        <v>16</v>
      </c>
    </row>
    <row r="1095" customFormat="false" ht="16.5" hidden="false" customHeight="true" outlineLevel="0" collapsed="false">
      <c r="A1095" s="2" t="s">
        <v>385</v>
      </c>
      <c r="B1095" s="2" t="s">
        <v>407</v>
      </c>
      <c r="C1095" s="2" t="n">
        <v>1</v>
      </c>
      <c r="D1095" s="2" t="s">
        <v>546</v>
      </c>
      <c r="E1095" s="2" t="s">
        <v>15</v>
      </c>
      <c r="F1095" s="2" t="n">
        <v>283</v>
      </c>
      <c r="G1095" s="2" t="n">
        <v>20</v>
      </c>
    </row>
    <row r="1096" customFormat="false" ht="16.5" hidden="false" customHeight="true" outlineLevel="0" collapsed="false">
      <c r="A1096" s="2" t="s">
        <v>385</v>
      </c>
      <c r="B1096" s="2" t="s">
        <v>407</v>
      </c>
      <c r="C1096" s="2" t="n">
        <v>1</v>
      </c>
      <c r="D1096" s="2" t="s">
        <v>546</v>
      </c>
      <c r="E1096" s="2" t="s">
        <v>16</v>
      </c>
      <c r="F1096" s="2" t="n">
        <v>283</v>
      </c>
      <c r="G1096" s="2" t="n">
        <v>24</v>
      </c>
    </row>
    <row r="1097" customFormat="false" ht="16.5" hidden="false" customHeight="true" outlineLevel="0" collapsed="false">
      <c r="A1097" s="2" t="s">
        <v>385</v>
      </c>
      <c r="B1097" s="2" t="s">
        <v>407</v>
      </c>
      <c r="C1097" s="2" t="n">
        <v>1</v>
      </c>
      <c r="D1097" s="2" t="s">
        <v>546</v>
      </c>
      <c r="E1097" s="2" t="s">
        <v>17</v>
      </c>
      <c r="F1097" s="2" t="n">
        <v>283</v>
      </c>
      <c r="G1097" s="2" t="n">
        <v>28</v>
      </c>
    </row>
    <row r="1098" customFormat="false" ht="16.5" hidden="false" customHeight="true" outlineLevel="0" collapsed="false">
      <c r="A1098" s="2" t="s">
        <v>385</v>
      </c>
      <c r="B1098" s="2" t="s">
        <v>407</v>
      </c>
      <c r="C1098" s="2" t="n">
        <v>1</v>
      </c>
      <c r="D1098" s="2" t="s">
        <v>546</v>
      </c>
      <c r="E1098" s="2" t="s">
        <v>18</v>
      </c>
      <c r="F1098" s="2" t="n">
        <v>283</v>
      </c>
      <c r="G1098" s="2" t="n">
        <v>32</v>
      </c>
    </row>
    <row r="1099" customFormat="false" ht="16.5" hidden="false" customHeight="true" outlineLevel="0" collapsed="false">
      <c r="A1099" s="2" t="s">
        <v>385</v>
      </c>
      <c r="B1099" s="2" t="s">
        <v>407</v>
      </c>
      <c r="C1099" s="2" t="n">
        <v>1</v>
      </c>
      <c r="D1099" s="2" t="s">
        <v>546</v>
      </c>
      <c r="E1099" s="2" t="s">
        <v>19</v>
      </c>
      <c r="F1099" s="2" t="n">
        <v>283</v>
      </c>
      <c r="G1099" s="2" t="n">
        <v>36</v>
      </c>
    </row>
    <row r="1100" customFormat="false" ht="16.5" hidden="false" customHeight="true" outlineLevel="0" collapsed="false">
      <c r="A1100" s="2" t="s">
        <v>385</v>
      </c>
      <c r="B1100" s="2" t="s">
        <v>407</v>
      </c>
      <c r="C1100" s="2" t="n">
        <v>1</v>
      </c>
      <c r="D1100" s="2" t="s">
        <v>546</v>
      </c>
      <c r="E1100" s="2" t="s">
        <v>20</v>
      </c>
      <c r="F1100" s="2" t="n">
        <v>283</v>
      </c>
      <c r="G1100" s="2" t="n">
        <v>40</v>
      </c>
    </row>
    <row r="1101" customFormat="false" ht="16.5" hidden="false" customHeight="true" outlineLevel="0" collapsed="false">
      <c r="A1101" s="2" t="s">
        <v>385</v>
      </c>
      <c r="B1101" s="2" t="s">
        <v>407</v>
      </c>
      <c r="C1101" s="2" t="n">
        <v>1</v>
      </c>
      <c r="D1101" s="2" t="s">
        <v>546</v>
      </c>
      <c r="E1101" s="2" t="s">
        <v>21</v>
      </c>
      <c r="F1101" s="2" t="n">
        <v>283</v>
      </c>
      <c r="G1101" s="2" t="n">
        <v>44</v>
      </c>
    </row>
    <row r="1102" customFormat="false" ht="16.5" hidden="false" customHeight="true" outlineLevel="0" collapsed="false">
      <c r="A1102" s="2" t="s">
        <v>385</v>
      </c>
      <c r="B1102" s="2" t="s">
        <v>407</v>
      </c>
      <c r="C1102" s="2" t="n">
        <v>1</v>
      </c>
      <c r="D1102" s="2" t="s">
        <v>546</v>
      </c>
      <c r="E1102" s="2" t="s">
        <v>22</v>
      </c>
      <c r="F1102" s="2" t="n">
        <v>283</v>
      </c>
      <c r="G1102" s="2" t="n">
        <v>48</v>
      </c>
    </row>
    <row r="1103" customFormat="false" ht="16.5" hidden="false" customHeight="true" outlineLevel="0" collapsed="false">
      <c r="A1103" s="2" t="s">
        <v>385</v>
      </c>
      <c r="B1103" s="2" t="s">
        <v>407</v>
      </c>
      <c r="C1103" s="2" t="n">
        <v>1</v>
      </c>
      <c r="D1103" s="2" t="s">
        <v>546</v>
      </c>
      <c r="E1103" s="2" t="s">
        <v>23</v>
      </c>
      <c r="F1103" s="2" t="n">
        <v>283</v>
      </c>
      <c r="G1103" s="2" t="n">
        <v>52</v>
      </c>
    </row>
    <row r="1104" customFormat="false" ht="16.5" hidden="false" customHeight="true" outlineLevel="0" collapsed="false">
      <c r="A1104" s="2" t="s">
        <v>385</v>
      </c>
      <c r="B1104" s="2" t="s">
        <v>407</v>
      </c>
      <c r="C1104" s="2" t="n">
        <v>1</v>
      </c>
      <c r="D1104" s="2" t="s">
        <v>546</v>
      </c>
      <c r="E1104" s="2" t="s">
        <v>24</v>
      </c>
      <c r="F1104" s="2" t="n">
        <v>285</v>
      </c>
      <c r="G1104" s="2" t="n">
        <v>9</v>
      </c>
    </row>
    <row r="1105" customFormat="false" ht="16.5" hidden="false" customHeight="true" outlineLevel="0" collapsed="false">
      <c r="A1105" s="2" t="s">
        <v>385</v>
      </c>
      <c r="B1105" s="2" t="s">
        <v>407</v>
      </c>
      <c r="C1105" s="2" t="n">
        <v>1</v>
      </c>
      <c r="D1105" s="2" t="s">
        <v>546</v>
      </c>
      <c r="E1105" s="2" t="s">
        <v>25</v>
      </c>
      <c r="F1105" s="2" t="n">
        <v>285</v>
      </c>
      <c r="G1105" s="2" t="n">
        <v>13</v>
      </c>
    </row>
    <row r="1106" customFormat="false" ht="16.5" hidden="false" customHeight="true" outlineLevel="0" collapsed="false">
      <c r="A1106" s="2" t="s">
        <v>385</v>
      </c>
      <c r="B1106" s="2" t="s">
        <v>407</v>
      </c>
      <c r="C1106" s="2" t="n">
        <v>1</v>
      </c>
      <c r="D1106" s="2" t="s">
        <v>546</v>
      </c>
      <c r="E1106" s="2" t="s">
        <v>26</v>
      </c>
      <c r="F1106" s="2" t="n">
        <v>285</v>
      </c>
      <c r="G1106" s="2" t="n">
        <v>17</v>
      </c>
    </row>
    <row r="1107" customFormat="false" ht="16.5" hidden="false" customHeight="true" outlineLevel="0" collapsed="false">
      <c r="A1107" s="2" t="s">
        <v>385</v>
      </c>
      <c r="B1107" s="2" t="s">
        <v>407</v>
      </c>
      <c r="C1107" s="2" t="n">
        <v>1</v>
      </c>
      <c r="D1107" s="2" t="s">
        <v>546</v>
      </c>
      <c r="E1107" s="2" t="s">
        <v>27</v>
      </c>
      <c r="F1107" s="2" t="n">
        <v>285</v>
      </c>
      <c r="G1107" s="2" t="n">
        <v>21</v>
      </c>
    </row>
    <row r="1108" customFormat="false" ht="16.5" hidden="false" customHeight="true" outlineLevel="0" collapsed="false">
      <c r="A1108" s="2" t="s">
        <v>385</v>
      </c>
      <c r="B1108" s="2" t="s">
        <v>407</v>
      </c>
      <c r="C1108" s="2" t="n">
        <v>1</v>
      </c>
      <c r="D1108" s="2" t="s">
        <v>546</v>
      </c>
      <c r="E1108" s="2" t="s">
        <v>28</v>
      </c>
      <c r="F1108" s="2" t="n">
        <v>285</v>
      </c>
      <c r="G1108" s="2" t="n">
        <v>25</v>
      </c>
    </row>
    <row r="1109" customFormat="false" ht="16.5" hidden="false" customHeight="true" outlineLevel="0" collapsed="false">
      <c r="A1109" s="2" t="s">
        <v>385</v>
      </c>
      <c r="B1109" s="2" t="s">
        <v>407</v>
      </c>
      <c r="C1109" s="2" t="n">
        <v>1</v>
      </c>
      <c r="D1109" s="2" t="s">
        <v>546</v>
      </c>
      <c r="E1109" s="2" t="s">
        <v>29</v>
      </c>
      <c r="F1109" s="2" t="n">
        <v>285</v>
      </c>
      <c r="G1109" s="2" t="n">
        <v>29</v>
      </c>
    </row>
    <row r="1110" customFormat="false" ht="16.5" hidden="false" customHeight="true" outlineLevel="0" collapsed="false">
      <c r="A1110" s="2" t="s">
        <v>385</v>
      </c>
      <c r="B1110" s="2" t="s">
        <v>407</v>
      </c>
      <c r="C1110" s="2" t="n">
        <v>1</v>
      </c>
      <c r="D1110" s="2" t="s">
        <v>546</v>
      </c>
      <c r="E1110" s="2" t="s">
        <v>30</v>
      </c>
      <c r="F1110" s="2" t="n">
        <v>285</v>
      </c>
      <c r="G1110" s="2" t="n">
        <v>33</v>
      </c>
    </row>
    <row r="1111" customFormat="false" ht="16.5" hidden="false" customHeight="true" outlineLevel="0" collapsed="false">
      <c r="A1111" s="2" t="s">
        <v>385</v>
      </c>
      <c r="B1111" s="2" t="s">
        <v>407</v>
      </c>
      <c r="C1111" s="2" t="n">
        <v>1</v>
      </c>
      <c r="D1111" s="2" t="s">
        <v>546</v>
      </c>
      <c r="E1111" s="2" t="s">
        <v>31</v>
      </c>
      <c r="F1111" s="2" t="n">
        <v>285</v>
      </c>
      <c r="G1111" s="2" t="n">
        <v>37</v>
      </c>
    </row>
    <row r="1112" customFormat="false" ht="16.5" hidden="false" customHeight="true" outlineLevel="0" collapsed="false">
      <c r="A1112" s="2" t="s">
        <v>385</v>
      </c>
      <c r="B1112" s="2" t="s">
        <v>407</v>
      </c>
      <c r="C1112" s="2" t="n">
        <v>1</v>
      </c>
      <c r="D1112" s="2" t="s">
        <v>546</v>
      </c>
      <c r="E1112" s="2" t="s">
        <v>32</v>
      </c>
      <c r="F1112" s="2" t="n">
        <v>285</v>
      </c>
      <c r="G1112" s="2" t="n">
        <v>41</v>
      </c>
    </row>
    <row r="1113" customFormat="false" ht="16.5" hidden="false" customHeight="true" outlineLevel="0" collapsed="false">
      <c r="A1113" s="2" t="s">
        <v>385</v>
      </c>
      <c r="B1113" s="2" t="s">
        <v>407</v>
      </c>
      <c r="C1113" s="2" t="n">
        <v>1</v>
      </c>
      <c r="D1113" s="2" t="s">
        <v>546</v>
      </c>
      <c r="E1113" s="2" t="s">
        <v>33</v>
      </c>
      <c r="F1113" s="2" t="n">
        <v>285</v>
      </c>
      <c r="G1113" s="2" t="n">
        <v>45</v>
      </c>
    </row>
    <row r="1114" customFormat="false" ht="16.5" hidden="false" customHeight="true" outlineLevel="0" collapsed="false">
      <c r="A1114" s="2" t="s">
        <v>385</v>
      </c>
      <c r="B1114" s="2" t="s">
        <v>407</v>
      </c>
      <c r="C1114" s="2" t="n">
        <v>1</v>
      </c>
      <c r="D1114" s="2" t="s">
        <v>546</v>
      </c>
      <c r="E1114" s="2" t="s">
        <v>34</v>
      </c>
      <c r="F1114" s="2" t="n">
        <v>285</v>
      </c>
      <c r="G1114" s="2" t="n">
        <v>49</v>
      </c>
    </row>
    <row r="1115" customFormat="false" ht="16.5" hidden="false" customHeight="true" outlineLevel="0" collapsed="false">
      <c r="A1115" s="2" t="s">
        <v>385</v>
      </c>
      <c r="B1115" s="2" t="s">
        <v>407</v>
      </c>
      <c r="C1115" s="2" t="n">
        <v>1</v>
      </c>
      <c r="D1115" s="2" t="s">
        <v>546</v>
      </c>
      <c r="E1115" s="2" t="s">
        <v>35</v>
      </c>
      <c r="F1115" s="2" t="n">
        <v>287</v>
      </c>
      <c r="G1115" s="2" t="n">
        <v>11</v>
      </c>
    </row>
    <row r="1116" customFormat="false" ht="16.5" hidden="false" customHeight="true" outlineLevel="0" collapsed="false">
      <c r="A1116" s="2" t="s">
        <v>385</v>
      </c>
      <c r="B1116" s="2" t="s">
        <v>407</v>
      </c>
      <c r="C1116" s="2" t="n">
        <v>1</v>
      </c>
      <c r="D1116" s="2" t="s">
        <v>546</v>
      </c>
      <c r="E1116" s="2" t="s">
        <v>36</v>
      </c>
      <c r="F1116" s="2" t="n">
        <v>287</v>
      </c>
      <c r="G1116" s="2" t="n">
        <v>15</v>
      </c>
    </row>
    <row r="1117" customFormat="false" ht="16.5" hidden="false" customHeight="true" outlineLevel="0" collapsed="false">
      <c r="A1117" s="2" t="s">
        <v>385</v>
      </c>
      <c r="B1117" s="2" t="s">
        <v>407</v>
      </c>
      <c r="C1117" s="2" t="n">
        <v>1</v>
      </c>
      <c r="D1117" s="2" t="s">
        <v>546</v>
      </c>
      <c r="E1117" s="2" t="s">
        <v>37</v>
      </c>
      <c r="F1117" s="2" t="n">
        <v>287</v>
      </c>
      <c r="G1117" s="2" t="n">
        <v>19</v>
      </c>
    </row>
    <row r="1118" customFormat="false" ht="16.5" hidden="false" customHeight="true" outlineLevel="0" collapsed="false">
      <c r="A1118" s="2" t="s">
        <v>385</v>
      </c>
      <c r="B1118" s="2" t="s">
        <v>407</v>
      </c>
      <c r="C1118" s="2" t="n">
        <v>1</v>
      </c>
      <c r="D1118" s="2" t="s">
        <v>546</v>
      </c>
      <c r="E1118" s="2" t="s">
        <v>38</v>
      </c>
      <c r="F1118" s="2" t="n">
        <v>287</v>
      </c>
      <c r="G1118" s="2" t="n">
        <v>23</v>
      </c>
    </row>
    <row r="1119" customFormat="false" ht="16.5" hidden="false" customHeight="true" outlineLevel="0" collapsed="false">
      <c r="A1119" s="2" t="s">
        <v>385</v>
      </c>
      <c r="B1119" s="2" t="s">
        <v>407</v>
      </c>
      <c r="C1119" s="2" t="n">
        <v>1</v>
      </c>
      <c r="D1119" s="2" t="s">
        <v>546</v>
      </c>
      <c r="E1119" s="2" t="s">
        <v>39</v>
      </c>
      <c r="F1119" s="2" t="n">
        <v>287</v>
      </c>
      <c r="G1119" s="2" t="n">
        <v>27</v>
      </c>
    </row>
    <row r="1120" customFormat="false" ht="16.5" hidden="false" customHeight="true" outlineLevel="0" collapsed="false">
      <c r="A1120" s="2" t="s">
        <v>385</v>
      </c>
      <c r="B1120" s="2" t="s">
        <v>407</v>
      </c>
      <c r="C1120" s="2" t="n">
        <v>1</v>
      </c>
      <c r="D1120" s="2" t="s">
        <v>546</v>
      </c>
      <c r="E1120" s="2" t="s">
        <v>40</v>
      </c>
      <c r="F1120" s="2" t="n">
        <v>287</v>
      </c>
      <c r="G1120" s="2" t="n">
        <v>31</v>
      </c>
    </row>
    <row r="1121" customFormat="false" ht="16.5" hidden="false" customHeight="true" outlineLevel="0" collapsed="false">
      <c r="A1121" s="2" t="s">
        <v>385</v>
      </c>
      <c r="B1121" s="2" t="s">
        <v>407</v>
      </c>
      <c r="C1121" s="2" t="n">
        <v>1</v>
      </c>
      <c r="D1121" s="2" t="s">
        <v>546</v>
      </c>
      <c r="E1121" s="2" t="s">
        <v>41</v>
      </c>
      <c r="F1121" s="2" t="n">
        <v>287</v>
      </c>
      <c r="G1121" s="2" t="n">
        <v>35</v>
      </c>
    </row>
    <row r="1122" customFormat="false" ht="16.5" hidden="false" customHeight="true" outlineLevel="0" collapsed="false">
      <c r="A1122" s="2" t="s">
        <v>385</v>
      </c>
      <c r="B1122" s="2" t="s">
        <v>407</v>
      </c>
      <c r="C1122" s="2" t="n">
        <v>1</v>
      </c>
      <c r="D1122" s="2" t="s">
        <v>546</v>
      </c>
      <c r="E1122" s="2" t="s">
        <v>42</v>
      </c>
      <c r="F1122" s="2" t="n">
        <v>287</v>
      </c>
      <c r="G1122" s="2" t="n">
        <v>39</v>
      </c>
    </row>
    <row r="1123" customFormat="false" ht="16.5" hidden="false" customHeight="true" outlineLevel="0" collapsed="false">
      <c r="A1123" s="2" t="s">
        <v>385</v>
      </c>
      <c r="B1123" s="2" t="s">
        <v>407</v>
      </c>
      <c r="C1123" s="2" t="n">
        <v>1</v>
      </c>
      <c r="D1123" s="2" t="s">
        <v>546</v>
      </c>
      <c r="E1123" s="2" t="s">
        <v>43</v>
      </c>
      <c r="F1123" s="2" t="n">
        <v>287</v>
      </c>
      <c r="G1123" s="2" t="n">
        <v>43</v>
      </c>
    </row>
    <row r="1124" customFormat="false" ht="16.5" hidden="false" customHeight="true" outlineLevel="0" collapsed="false">
      <c r="A1124" s="2" t="s">
        <v>385</v>
      </c>
      <c r="B1124" s="2" t="s">
        <v>407</v>
      </c>
      <c r="C1124" s="2" t="n">
        <v>1</v>
      </c>
      <c r="D1124" s="2" t="s">
        <v>546</v>
      </c>
      <c r="E1124" s="2" t="s">
        <v>44</v>
      </c>
      <c r="F1124" s="2" t="n">
        <v>287</v>
      </c>
      <c r="G1124" s="2" t="n">
        <v>47</v>
      </c>
    </row>
    <row r="1125" customFormat="false" ht="16.5" hidden="false" customHeight="true" outlineLevel="0" collapsed="false">
      <c r="A1125" s="2" t="s">
        <v>385</v>
      </c>
      <c r="B1125" s="2" t="s">
        <v>407</v>
      </c>
      <c r="C1125" s="2" t="n">
        <v>1</v>
      </c>
      <c r="D1125" s="2" t="s">
        <v>546</v>
      </c>
      <c r="E1125" s="2" t="s">
        <v>48</v>
      </c>
      <c r="F1125" s="2" t="n">
        <v>289</v>
      </c>
      <c r="G1125" s="2" t="n">
        <v>16</v>
      </c>
    </row>
    <row r="1126" customFormat="false" ht="16.5" hidden="false" customHeight="true" outlineLevel="0" collapsed="false">
      <c r="A1126" s="2" t="s">
        <v>385</v>
      </c>
      <c r="B1126" s="2" t="s">
        <v>407</v>
      </c>
      <c r="C1126" s="2" t="n">
        <v>1</v>
      </c>
      <c r="D1126" s="2" t="s">
        <v>546</v>
      </c>
      <c r="E1126" s="2" t="s">
        <v>50</v>
      </c>
      <c r="F1126" s="2" t="n">
        <v>289</v>
      </c>
      <c r="G1126" s="2" t="n">
        <v>20</v>
      </c>
    </row>
    <row r="1127" customFormat="false" ht="16.5" hidden="false" customHeight="true" outlineLevel="0" collapsed="false">
      <c r="A1127" s="2" t="s">
        <v>385</v>
      </c>
      <c r="B1127" s="2" t="s">
        <v>407</v>
      </c>
      <c r="C1127" s="2" t="n">
        <v>1</v>
      </c>
      <c r="D1127" s="2" t="s">
        <v>546</v>
      </c>
      <c r="E1127" s="2" t="s">
        <v>45</v>
      </c>
      <c r="F1127" s="2" t="n">
        <v>289</v>
      </c>
      <c r="G1127" s="2" t="n">
        <v>38</v>
      </c>
    </row>
    <row r="1128" customFormat="false" ht="16.5" hidden="false" customHeight="true" outlineLevel="0" collapsed="false">
      <c r="A1128" s="2" t="s">
        <v>385</v>
      </c>
      <c r="B1128" s="2" t="s">
        <v>407</v>
      </c>
      <c r="C1128" s="2" t="n">
        <v>1</v>
      </c>
      <c r="D1128" s="2" t="s">
        <v>546</v>
      </c>
      <c r="E1128" s="2" t="s">
        <v>46</v>
      </c>
      <c r="F1128" s="2" t="n">
        <v>289</v>
      </c>
      <c r="G1128" s="2" t="n">
        <v>42</v>
      </c>
    </row>
    <row r="1129" customFormat="false" ht="16.5" hidden="false" customHeight="true" outlineLevel="0" collapsed="false">
      <c r="A1129" s="2" t="s">
        <v>385</v>
      </c>
      <c r="B1129" s="2" t="s">
        <v>408</v>
      </c>
      <c r="C1129" s="2" t="n">
        <v>1</v>
      </c>
      <c r="D1129" s="2" t="s">
        <v>547</v>
      </c>
      <c r="E1129" s="2" t="s">
        <v>0</v>
      </c>
      <c r="F1129" s="2" t="n">
        <v>294</v>
      </c>
      <c r="G1129" s="2" t="n">
        <v>6</v>
      </c>
    </row>
    <row r="1130" customFormat="false" ht="16.5" hidden="false" customHeight="true" outlineLevel="0" collapsed="false">
      <c r="A1130" s="2" t="s">
        <v>385</v>
      </c>
      <c r="B1130" s="2" t="s">
        <v>408</v>
      </c>
      <c r="C1130" s="2" t="n">
        <v>1</v>
      </c>
      <c r="D1130" s="2" t="s">
        <v>547</v>
      </c>
      <c r="E1130" s="2" t="s">
        <v>1</v>
      </c>
      <c r="F1130" s="2" t="n">
        <v>294</v>
      </c>
      <c r="G1130" s="2" t="n">
        <v>10</v>
      </c>
    </row>
    <row r="1131" customFormat="false" ht="16.5" hidden="false" customHeight="true" outlineLevel="0" collapsed="false">
      <c r="A1131" s="2" t="s">
        <v>385</v>
      </c>
      <c r="B1131" s="2" t="s">
        <v>408</v>
      </c>
      <c r="C1131" s="2" t="n">
        <v>1</v>
      </c>
      <c r="D1131" s="2" t="s">
        <v>547</v>
      </c>
      <c r="E1131" s="2" t="s">
        <v>2</v>
      </c>
      <c r="F1131" s="2" t="n">
        <v>294</v>
      </c>
      <c r="G1131" s="2" t="n">
        <v>14</v>
      </c>
    </row>
    <row r="1132" customFormat="false" ht="16.5" hidden="false" customHeight="true" outlineLevel="0" collapsed="false">
      <c r="A1132" s="2" t="s">
        <v>385</v>
      </c>
      <c r="B1132" s="2" t="s">
        <v>408</v>
      </c>
      <c r="C1132" s="2" t="n">
        <v>1</v>
      </c>
      <c r="D1132" s="2" t="s">
        <v>547</v>
      </c>
      <c r="E1132" s="2" t="s">
        <v>3</v>
      </c>
      <c r="F1132" s="2" t="n">
        <v>294</v>
      </c>
      <c r="G1132" s="2" t="n">
        <v>18</v>
      </c>
    </row>
    <row r="1133" customFormat="false" ht="16.5" hidden="false" customHeight="true" outlineLevel="0" collapsed="false">
      <c r="A1133" s="2" t="s">
        <v>385</v>
      </c>
      <c r="B1133" s="2" t="s">
        <v>408</v>
      </c>
      <c r="C1133" s="2" t="n">
        <v>1</v>
      </c>
      <c r="D1133" s="2" t="s">
        <v>547</v>
      </c>
      <c r="E1133" s="2" t="s">
        <v>4</v>
      </c>
      <c r="F1133" s="2" t="n">
        <v>294</v>
      </c>
      <c r="G1133" s="2" t="n">
        <v>22</v>
      </c>
    </row>
    <row r="1134" customFormat="false" ht="16.5" hidden="false" customHeight="true" outlineLevel="0" collapsed="false">
      <c r="A1134" s="2" t="s">
        <v>385</v>
      </c>
      <c r="B1134" s="2" t="s">
        <v>408</v>
      </c>
      <c r="C1134" s="2" t="n">
        <v>1</v>
      </c>
      <c r="D1134" s="2" t="s">
        <v>547</v>
      </c>
      <c r="E1134" s="2" t="s">
        <v>5</v>
      </c>
      <c r="F1134" s="2" t="n">
        <v>294</v>
      </c>
      <c r="G1134" s="2" t="n">
        <v>26</v>
      </c>
    </row>
    <row r="1135" customFormat="false" ht="16.5" hidden="false" customHeight="true" outlineLevel="0" collapsed="false">
      <c r="A1135" s="2" t="s">
        <v>385</v>
      </c>
      <c r="B1135" s="2" t="s">
        <v>408</v>
      </c>
      <c r="C1135" s="2" t="n">
        <v>1</v>
      </c>
      <c r="D1135" s="2" t="s">
        <v>547</v>
      </c>
      <c r="E1135" s="2" t="s">
        <v>6</v>
      </c>
      <c r="F1135" s="2" t="n">
        <v>294</v>
      </c>
      <c r="G1135" s="2" t="n">
        <v>30</v>
      </c>
    </row>
    <row r="1136" customFormat="false" ht="16.5" hidden="false" customHeight="true" outlineLevel="0" collapsed="false">
      <c r="A1136" s="2" t="s">
        <v>385</v>
      </c>
      <c r="B1136" s="2" t="s">
        <v>408</v>
      </c>
      <c r="C1136" s="2" t="n">
        <v>1</v>
      </c>
      <c r="D1136" s="2" t="s">
        <v>547</v>
      </c>
      <c r="E1136" s="2" t="s">
        <v>7</v>
      </c>
      <c r="F1136" s="2" t="n">
        <v>294</v>
      </c>
      <c r="G1136" s="2" t="n">
        <v>34</v>
      </c>
    </row>
    <row r="1137" customFormat="false" ht="16.5" hidden="false" customHeight="true" outlineLevel="0" collapsed="false">
      <c r="A1137" s="2" t="s">
        <v>385</v>
      </c>
      <c r="B1137" s="2" t="s">
        <v>408</v>
      </c>
      <c r="C1137" s="2" t="n">
        <v>1</v>
      </c>
      <c r="D1137" s="2" t="s">
        <v>547</v>
      </c>
      <c r="E1137" s="2" t="s">
        <v>8</v>
      </c>
      <c r="F1137" s="2" t="n">
        <v>294</v>
      </c>
      <c r="G1137" s="2" t="n">
        <v>38</v>
      </c>
    </row>
    <row r="1138" customFormat="false" ht="16.5" hidden="false" customHeight="true" outlineLevel="0" collapsed="false">
      <c r="A1138" s="2" t="s">
        <v>385</v>
      </c>
      <c r="B1138" s="2" t="s">
        <v>408</v>
      </c>
      <c r="C1138" s="2" t="n">
        <v>1</v>
      </c>
      <c r="D1138" s="2" t="s">
        <v>547</v>
      </c>
      <c r="E1138" s="2" t="s">
        <v>9</v>
      </c>
      <c r="F1138" s="2" t="n">
        <v>294</v>
      </c>
      <c r="G1138" s="2" t="n">
        <v>42</v>
      </c>
    </row>
    <row r="1139" customFormat="false" ht="16.5" hidden="false" customHeight="true" outlineLevel="0" collapsed="false">
      <c r="A1139" s="2" t="s">
        <v>385</v>
      </c>
      <c r="B1139" s="2" t="s">
        <v>408</v>
      </c>
      <c r="C1139" s="2" t="n">
        <v>1</v>
      </c>
      <c r="D1139" s="2" t="s">
        <v>547</v>
      </c>
      <c r="E1139" s="2" t="s">
        <v>10</v>
      </c>
      <c r="F1139" s="2" t="n">
        <v>294</v>
      </c>
      <c r="G1139" s="2" t="n">
        <v>46</v>
      </c>
    </row>
    <row r="1140" customFormat="false" ht="16.5" hidden="false" customHeight="true" outlineLevel="0" collapsed="false">
      <c r="A1140" s="2" t="s">
        <v>385</v>
      </c>
      <c r="B1140" s="2" t="s">
        <v>408</v>
      </c>
      <c r="C1140" s="2" t="n">
        <v>1</v>
      </c>
      <c r="D1140" s="2" t="s">
        <v>547</v>
      </c>
      <c r="E1140" s="2" t="s">
        <v>11</v>
      </c>
      <c r="F1140" s="2" t="n">
        <v>294</v>
      </c>
      <c r="G1140" s="2" t="n">
        <v>50</v>
      </c>
    </row>
    <row r="1141" customFormat="false" ht="16.5" hidden="false" customHeight="true" outlineLevel="0" collapsed="false">
      <c r="A1141" s="2" t="s">
        <v>385</v>
      </c>
      <c r="B1141" s="2" t="s">
        <v>408</v>
      </c>
      <c r="C1141" s="2" t="n">
        <v>1</v>
      </c>
      <c r="D1141" s="2" t="s">
        <v>547</v>
      </c>
      <c r="E1141" s="2" t="s">
        <v>12</v>
      </c>
      <c r="F1141" s="2" t="n">
        <v>296</v>
      </c>
      <c r="G1141" s="2" t="n">
        <v>8</v>
      </c>
    </row>
    <row r="1142" customFormat="false" ht="16.5" hidden="false" customHeight="true" outlineLevel="0" collapsed="false">
      <c r="A1142" s="2" t="s">
        <v>385</v>
      </c>
      <c r="B1142" s="2" t="s">
        <v>408</v>
      </c>
      <c r="C1142" s="2" t="n">
        <v>1</v>
      </c>
      <c r="D1142" s="2" t="s">
        <v>547</v>
      </c>
      <c r="E1142" s="2" t="s">
        <v>13</v>
      </c>
      <c r="F1142" s="2" t="n">
        <v>296</v>
      </c>
      <c r="G1142" s="2" t="n">
        <v>12</v>
      </c>
    </row>
    <row r="1143" customFormat="false" ht="16.5" hidden="false" customHeight="true" outlineLevel="0" collapsed="false">
      <c r="A1143" s="2" t="s">
        <v>385</v>
      </c>
      <c r="B1143" s="2" t="s">
        <v>408</v>
      </c>
      <c r="C1143" s="2" t="n">
        <v>1</v>
      </c>
      <c r="D1143" s="2" t="s">
        <v>547</v>
      </c>
      <c r="E1143" s="2" t="s">
        <v>14</v>
      </c>
      <c r="F1143" s="2" t="n">
        <v>296</v>
      </c>
      <c r="G1143" s="2" t="n">
        <v>16</v>
      </c>
    </row>
    <row r="1144" customFormat="false" ht="16.5" hidden="false" customHeight="true" outlineLevel="0" collapsed="false">
      <c r="A1144" s="2" t="s">
        <v>385</v>
      </c>
      <c r="B1144" s="2" t="s">
        <v>408</v>
      </c>
      <c r="C1144" s="2" t="n">
        <v>1</v>
      </c>
      <c r="D1144" s="2" t="s">
        <v>547</v>
      </c>
      <c r="E1144" s="2" t="s">
        <v>15</v>
      </c>
      <c r="F1144" s="2" t="n">
        <v>296</v>
      </c>
      <c r="G1144" s="2" t="n">
        <v>20</v>
      </c>
    </row>
    <row r="1145" customFormat="false" ht="16.5" hidden="false" customHeight="true" outlineLevel="0" collapsed="false">
      <c r="A1145" s="2" t="s">
        <v>385</v>
      </c>
      <c r="B1145" s="2" t="s">
        <v>408</v>
      </c>
      <c r="C1145" s="2" t="n">
        <v>1</v>
      </c>
      <c r="D1145" s="2" t="s">
        <v>547</v>
      </c>
      <c r="E1145" s="2" t="s">
        <v>16</v>
      </c>
      <c r="F1145" s="2" t="n">
        <v>296</v>
      </c>
      <c r="G1145" s="2" t="n">
        <v>24</v>
      </c>
    </row>
    <row r="1146" customFormat="false" ht="16.5" hidden="false" customHeight="true" outlineLevel="0" collapsed="false">
      <c r="A1146" s="2" t="s">
        <v>385</v>
      </c>
      <c r="B1146" s="2" t="s">
        <v>408</v>
      </c>
      <c r="C1146" s="2" t="n">
        <v>1</v>
      </c>
      <c r="D1146" s="2" t="s">
        <v>547</v>
      </c>
      <c r="E1146" s="2" t="s">
        <v>17</v>
      </c>
      <c r="F1146" s="2" t="n">
        <v>296</v>
      </c>
      <c r="G1146" s="2" t="n">
        <v>28</v>
      </c>
    </row>
    <row r="1147" customFormat="false" ht="16.5" hidden="false" customHeight="true" outlineLevel="0" collapsed="false">
      <c r="A1147" s="2" t="s">
        <v>385</v>
      </c>
      <c r="B1147" s="2" t="s">
        <v>408</v>
      </c>
      <c r="C1147" s="2" t="n">
        <v>1</v>
      </c>
      <c r="D1147" s="2" t="s">
        <v>547</v>
      </c>
      <c r="E1147" s="2" t="s">
        <v>18</v>
      </c>
      <c r="F1147" s="2" t="n">
        <v>296</v>
      </c>
      <c r="G1147" s="2" t="n">
        <v>32</v>
      </c>
    </row>
    <row r="1148" customFormat="false" ht="16.5" hidden="false" customHeight="true" outlineLevel="0" collapsed="false">
      <c r="A1148" s="2" t="s">
        <v>385</v>
      </c>
      <c r="B1148" s="2" t="s">
        <v>408</v>
      </c>
      <c r="C1148" s="2" t="n">
        <v>1</v>
      </c>
      <c r="D1148" s="2" t="s">
        <v>547</v>
      </c>
      <c r="E1148" s="2" t="s">
        <v>19</v>
      </c>
      <c r="F1148" s="2" t="n">
        <v>296</v>
      </c>
      <c r="G1148" s="2" t="n">
        <v>36</v>
      </c>
    </row>
    <row r="1149" customFormat="false" ht="16.5" hidden="false" customHeight="true" outlineLevel="0" collapsed="false">
      <c r="A1149" s="2" t="s">
        <v>385</v>
      </c>
      <c r="B1149" s="2" t="s">
        <v>408</v>
      </c>
      <c r="C1149" s="2" t="n">
        <v>1</v>
      </c>
      <c r="D1149" s="2" t="s">
        <v>547</v>
      </c>
      <c r="E1149" s="2" t="s">
        <v>20</v>
      </c>
      <c r="F1149" s="2" t="n">
        <v>296</v>
      </c>
      <c r="G1149" s="2" t="n">
        <v>40</v>
      </c>
    </row>
    <row r="1150" customFormat="false" ht="16.5" hidden="false" customHeight="true" outlineLevel="0" collapsed="false">
      <c r="A1150" s="2" t="s">
        <v>385</v>
      </c>
      <c r="B1150" s="2" t="s">
        <v>408</v>
      </c>
      <c r="C1150" s="2" t="n">
        <v>1</v>
      </c>
      <c r="D1150" s="2" t="s">
        <v>547</v>
      </c>
      <c r="E1150" s="2" t="s">
        <v>21</v>
      </c>
      <c r="F1150" s="2" t="n">
        <v>296</v>
      </c>
      <c r="G1150" s="2" t="n">
        <v>44</v>
      </c>
    </row>
    <row r="1151" customFormat="false" ht="16.5" hidden="false" customHeight="true" outlineLevel="0" collapsed="false">
      <c r="A1151" s="2" t="s">
        <v>385</v>
      </c>
      <c r="B1151" s="2" t="s">
        <v>408</v>
      </c>
      <c r="C1151" s="2" t="n">
        <v>1</v>
      </c>
      <c r="D1151" s="2" t="s">
        <v>547</v>
      </c>
      <c r="E1151" s="2" t="s">
        <v>22</v>
      </c>
      <c r="F1151" s="2" t="n">
        <v>296</v>
      </c>
      <c r="G1151" s="2" t="n">
        <v>48</v>
      </c>
    </row>
    <row r="1152" customFormat="false" ht="16.5" hidden="false" customHeight="true" outlineLevel="0" collapsed="false">
      <c r="A1152" s="2" t="s">
        <v>385</v>
      </c>
      <c r="B1152" s="2" t="s">
        <v>408</v>
      </c>
      <c r="C1152" s="2" t="n">
        <v>1</v>
      </c>
      <c r="D1152" s="2" t="s">
        <v>547</v>
      </c>
      <c r="E1152" s="2" t="s">
        <v>23</v>
      </c>
      <c r="F1152" s="2" t="n">
        <v>296</v>
      </c>
      <c r="G1152" s="2" t="n">
        <v>52</v>
      </c>
    </row>
    <row r="1153" customFormat="false" ht="16.5" hidden="false" customHeight="true" outlineLevel="0" collapsed="false">
      <c r="A1153" s="2" t="s">
        <v>385</v>
      </c>
      <c r="B1153" s="2" t="s">
        <v>408</v>
      </c>
      <c r="C1153" s="2" t="n">
        <v>1</v>
      </c>
      <c r="D1153" s="2" t="s">
        <v>547</v>
      </c>
      <c r="E1153" s="2" t="s">
        <v>24</v>
      </c>
      <c r="F1153" s="2" t="n">
        <v>298</v>
      </c>
      <c r="G1153" s="2" t="n">
        <v>9</v>
      </c>
    </row>
    <row r="1154" customFormat="false" ht="16.5" hidden="false" customHeight="true" outlineLevel="0" collapsed="false">
      <c r="A1154" s="2" t="s">
        <v>385</v>
      </c>
      <c r="B1154" s="2" t="s">
        <v>408</v>
      </c>
      <c r="C1154" s="2" t="n">
        <v>1</v>
      </c>
      <c r="D1154" s="2" t="s">
        <v>547</v>
      </c>
      <c r="E1154" s="2" t="s">
        <v>25</v>
      </c>
      <c r="F1154" s="2" t="n">
        <v>298</v>
      </c>
      <c r="G1154" s="2" t="n">
        <v>13</v>
      </c>
    </row>
    <row r="1155" customFormat="false" ht="16.5" hidden="false" customHeight="true" outlineLevel="0" collapsed="false">
      <c r="A1155" s="2" t="s">
        <v>385</v>
      </c>
      <c r="B1155" s="2" t="s">
        <v>408</v>
      </c>
      <c r="C1155" s="2" t="n">
        <v>1</v>
      </c>
      <c r="D1155" s="2" t="s">
        <v>547</v>
      </c>
      <c r="E1155" s="2" t="s">
        <v>26</v>
      </c>
      <c r="F1155" s="2" t="n">
        <v>298</v>
      </c>
      <c r="G1155" s="2" t="n">
        <v>17</v>
      </c>
    </row>
    <row r="1156" customFormat="false" ht="16.5" hidden="false" customHeight="true" outlineLevel="0" collapsed="false">
      <c r="A1156" s="2" t="s">
        <v>385</v>
      </c>
      <c r="B1156" s="2" t="s">
        <v>408</v>
      </c>
      <c r="C1156" s="2" t="n">
        <v>1</v>
      </c>
      <c r="D1156" s="2" t="s">
        <v>547</v>
      </c>
      <c r="E1156" s="2" t="s">
        <v>27</v>
      </c>
      <c r="F1156" s="2" t="n">
        <v>298</v>
      </c>
      <c r="G1156" s="2" t="n">
        <v>21</v>
      </c>
    </row>
    <row r="1157" customFormat="false" ht="16.5" hidden="false" customHeight="true" outlineLevel="0" collapsed="false">
      <c r="A1157" s="2" t="s">
        <v>385</v>
      </c>
      <c r="B1157" s="2" t="s">
        <v>408</v>
      </c>
      <c r="C1157" s="2" t="n">
        <v>1</v>
      </c>
      <c r="D1157" s="2" t="s">
        <v>547</v>
      </c>
      <c r="E1157" s="2" t="s">
        <v>28</v>
      </c>
      <c r="F1157" s="2" t="n">
        <v>298</v>
      </c>
      <c r="G1157" s="2" t="n">
        <v>25</v>
      </c>
    </row>
    <row r="1158" customFormat="false" ht="16.5" hidden="false" customHeight="true" outlineLevel="0" collapsed="false">
      <c r="A1158" s="2" t="s">
        <v>385</v>
      </c>
      <c r="B1158" s="2" t="s">
        <v>408</v>
      </c>
      <c r="C1158" s="2" t="n">
        <v>1</v>
      </c>
      <c r="D1158" s="2" t="s">
        <v>547</v>
      </c>
      <c r="E1158" s="2" t="s">
        <v>29</v>
      </c>
      <c r="F1158" s="2" t="n">
        <v>298</v>
      </c>
      <c r="G1158" s="2" t="n">
        <v>29</v>
      </c>
    </row>
    <row r="1159" customFormat="false" ht="16.5" hidden="false" customHeight="true" outlineLevel="0" collapsed="false">
      <c r="A1159" s="2" t="s">
        <v>385</v>
      </c>
      <c r="B1159" s="2" t="s">
        <v>408</v>
      </c>
      <c r="C1159" s="2" t="n">
        <v>1</v>
      </c>
      <c r="D1159" s="2" t="s">
        <v>547</v>
      </c>
      <c r="E1159" s="2" t="s">
        <v>30</v>
      </c>
      <c r="F1159" s="2" t="n">
        <v>298</v>
      </c>
      <c r="G1159" s="2" t="n">
        <v>33</v>
      </c>
    </row>
    <row r="1160" customFormat="false" ht="16.5" hidden="false" customHeight="true" outlineLevel="0" collapsed="false">
      <c r="A1160" s="2" t="s">
        <v>385</v>
      </c>
      <c r="B1160" s="2" t="s">
        <v>408</v>
      </c>
      <c r="C1160" s="2" t="n">
        <v>1</v>
      </c>
      <c r="D1160" s="2" t="s">
        <v>547</v>
      </c>
      <c r="E1160" s="2" t="s">
        <v>31</v>
      </c>
      <c r="F1160" s="2" t="n">
        <v>298</v>
      </c>
      <c r="G1160" s="2" t="n">
        <v>37</v>
      </c>
    </row>
    <row r="1161" customFormat="false" ht="16.5" hidden="false" customHeight="true" outlineLevel="0" collapsed="false">
      <c r="A1161" s="2" t="s">
        <v>385</v>
      </c>
      <c r="B1161" s="2" t="s">
        <v>408</v>
      </c>
      <c r="C1161" s="2" t="n">
        <v>1</v>
      </c>
      <c r="D1161" s="2" t="s">
        <v>547</v>
      </c>
      <c r="E1161" s="2" t="s">
        <v>32</v>
      </c>
      <c r="F1161" s="2" t="n">
        <v>298</v>
      </c>
      <c r="G1161" s="2" t="n">
        <v>41</v>
      </c>
    </row>
    <row r="1162" customFormat="false" ht="16.5" hidden="false" customHeight="true" outlineLevel="0" collapsed="false">
      <c r="A1162" s="2" t="s">
        <v>385</v>
      </c>
      <c r="B1162" s="2" t="s">
        <v>408</v>
      </c>
      <c r="C1162" s="2" t="n">
        <v>1</v>
      </c>
      <c r="D1162" s="2" t="s">
        <v>547</v>
      </c>
      <c r="E1162" s="2" t="s">
        <v>33</v>
      </c>
      <c r="F1162" s="2" t="n">
        <v>298</v>
      </c>
      <c r="G1162" s="2" t="n">
        <v>45</v>
      </c>
    </row>
    <row r="1163" customFormat="false" ht="16.5" hidden="false" customHeight="true" outlineLevel="0" collapsed="false">
      <c r="A1163" s="2" t="s">
        <v>385</v>
      </c>
      <c r="B1163" s="2" t="s">
        <v>408</v>
      </c>
      <c r="C1163" s="2" t="n">
        <v>1</v>
      </c>
      <c r="D1163" s="2" t="s">
        <v>547</v>
      </c>
      <c r="E1163" s="2" t="s">
        <v>34</v>
      </c>
      <c r="F1163" s="2" t="n">
        <v>298</v>
      </c>
      <c r="G1163" s="2" t="n">
        <v>49</v>
      </c>
    </row>
    <row r="1164" customFormat="false" ht="16.5" hidden="false" customHeight="true" outlineLevel="0" collapsed="false">
      <c r="A1164" s="2" t="s">
        <v>385</v>
      </c>
      <c r="B1164" s="2" t="s">
        <v>408</v>
      </c>
      <c r="C1164" s="2" t="n">
        <v>1</v>
      </c>
      <c r="D1164" s="2" t="s">
        <v>547</v>
      </c>
      <c r="E1164" s="2" t="s">
        <v>35</v>
      </c>
      <c r="F1164" s="2" t="n">
        <v>300</v>
      </c>
      <c r="G1164" s="2" t="n">
        <v>11</v>
      </c>
    </row>
    <row r="1165" customFormat="false" ht="16.5" hidden="false" customHeight="true" outlineLevel="0" collapsed="false">
      <c r="A1165" s="2" t="s">
        <v>385</v>
      </c>
      <c r="B1165" s="2" t="s">
        <v>408</v>
      </c>
      <c r="C1165" s="2" t="n">
        <v>1</v>
      </c>
      <c r="D1165" s="2" t="s">
        <v>547</v>
      </c>
      <c r="E1165" s="2" t="s">
        <v>36</v>
      </c>
      <c r="F1165" s="2" t="n">
        <v>300</v>
      </c>
      <c r="G1165" s="2" t="n">
        <v>15</v>
      </c>
    </row>
    <row r="1166" customFormat="false" ht="16.5" hidden="false" customHeight="true" outlineLevel="0" collapsed="false">
      <c r="A1166" s="2" t="s">
        <v>385</v>
      </c>
      <c r="B1166" s="2" t="s">
        <v>408</v>
      </c>
      <c r="C1166" s="2" t="n">
        <v>1</v>
      </c>
      <c r="D1166" s="2" t="s">
        <v>547</v>
      </c>
      <c r="E1166" s="2" t="s">
        <v>37</v>
      </c>
      <c r="F1166" s="2" t="n">
        <v>300</v>
      </c>
      <c r="G1166" s="2" t="n">
        <v>19</v>
      </c>
    </row>
    <row r="1167" customFormat="false" ht="16.5" hidden="false" customHeight="true" outlineLevel="0" collapsed="false">
      <c r="A1167" s="2" t="s">
        <v>385</v>
      </c>
      <c r="B1167" s="2" t="s">
        <v>408</v>
      </c>
      <c r="C1167" s="2" t="n">
        <v>1</v>
      </c>
      <c r="D1167" s="2" t="s">
        <v>547</v>
      </c>
      <c r="E1167" s="2" t="s">
        <v>38</v>
      </c>
      <c r="F1167" s="2" t="n">
        <v>300</v>
      </c>
      <c r="G1167" s="2" t="n">
        <v>23</v>
      </c>
    </row>
    <row r="1168" customFormat="false" ht="16.5" hidden="false" customHeight="true" outlineLevel="0" collapsed="false">
      <c r="A1168" s="2" t="s">
        <v>385</v>
      </c>
      <c r="B1168" s="2" t="s">
        <v>408</v>
      </c>
      <c r="C1168" s="2" t="n">
        <v>1</v>
      </c>
      <c r="D1168" s="2" t="s">
        <v>547</v>
      </c>
      <c r="E1168" s="2" t="s">
        <v>39</v>
      </c>
      <c r="F1168" s="2" t="n">
        <v>300</v>
      </c>
      <c r="G1168" s="2" t="n">
        <v>27</v>
      </c>
    </row>
    <row r="1169" customFormat="false" ht="16.5" hidden="false" customHeight="true" outlineLevel="0" collapsed="false">
      <c r="A1169" s="2" t="s">
        <v>385</v>
      </c>
      <c r="B1169" s="2" t="s">
        <v>408</v>
      </c>
      <c r="C1169" s="2" t="n">
        <v>1</v>
      </c>
      <c r="D1169" s="2" t="s">
        <v>547</v>
      </c>
      <c r="E1169" s="2" t="s">
        <v>40</v>
      </c>
      <c r="F1169" s="2" t="n">
        <v>300</v>
      </c>
      <c r="G1169" s="2" t="n">
        <v>31</v>
      </c>
    </row>
    <row r="1170" customFormat="false" ht="16.5" hidden="false" customHeight="true" outlineLevel="0" collapsed="false">
      <c r="A1170" s="2" t="s">
        <v>385</v>
      </c>
      <c r="B1170" s="2" t="s">
        <v>408</v>
      </c>
      <c r="C1170" s="2" t="n">
        <v>1</v>
      </c>
      <c r="D1170" s="2" t="s">
        <v>547</v>
      </c>
      <c r="E1170" s="2" t="s">
        <v>41</v>
      </c>
      <c r="F1170" s="2" t="n">
        <v>300</v>
      </c>
      <c r="G1170" s="2" t="n">
        <v>35</v>
      </c>
    </row>
    <row r="1171" customFormat="false" ht="16.5" hidden="false" customHeight="true" outlineLevel="0" collapsed="false">
      <c r="A1171" s="2" t="s">
        <v>385</v>
      </c>
      <c r="B1171" s="2" t="s">
        <v>408</v>
      </c>
      <c r="C1171" s="2" t="n">
        <v>1</v>
      </c>
      <c r="D1171" s="2" t="s">
        <v>547</v>
      </c>
      <c r="E1171" s="2" t="s">
        <v>42</v>
      </c>
      <c r="F1171" s="2" t="n">
        <v>300</v>
      </c>
      <c r="G1171" s="2" t="n">
        <v>39</v>
      </c>
    </row>
    <row r="1172" customFormat="false" ht="16.5" hidden="false" customHeight="true" outlineLevel="0" collapsed="false">
      <c r="A1172" s="2" t="s">
        <v>385</v>
      </c>
      <c r="B1172" s="2" t="s">
        <v>408</v>
      </c>
      <c r="C1172" s="2" t="n">
        <v>1</v>
      </c>
      <c r="D1172" s="2" t="s">
        <v>547</v>
      </c>
      <c r="E1172" s="2" t="s">
        <v>43</v>
      </c>
      <c r="F1172" s="2" t="n">
        <v>300</v>
      </c>
      <c r="G1172" s="2" t="n">
        <v>43</v>
      </c>
    </row>
    <row r="1173" customFormat="false" ht="16.5" hidden="false" customHeight="true" outlineLevel="0" collapsed="false">
      <c r="A1173" s="2" t="s">
        <v>385</v>
      </c>
      <c r="B1173" s="2" t="s">
        <v>408</v>
      </c>
      <c r="C1173" s="2" t="n">
        <v>1</v>
      </c>
      <c r="D1173" s="2" t="s">
        <v>547</v>
      </c>
      <c r="E1173" s="2" t="s">
        <v>44</v>
      </c>
      <c r="F1173" s="2" t="n">
        <v>300</v>
      </c>
      <c r="G1173" s="2" t="n">
        <v>47</v>
      </c>
    </row>
    <row r="1174" customFormat="false" ht="16.5" hidden="false" customHeight="true" outlineLevel="0" collapsed="false">
      <c r="A1174" s="2" t="s">
        <v>385</v>
      </c>
      <c r="B1174" s="2" t="s">
        <v>408</v>
      </c>
      <c r="C1174" s="2" t="n">
        <v>1</v>
      </c>
      <c r="D1174" s="2" t="s">
        <v>547</v>
      </c>
      <c r="E1174" s="2" t="s">
        <v>48</v>
      </c>
      <c r="F1174" s="2" t="n">
        <v>302</v>
      </c>
      <c r="G1174" s="2" t="n">
        <v>16</v>
      </c>
    </row>
    <row r="1175" customFormat="false" ht="16.5" hidden="false" customHeight="true" outlineLevel="0" collapsed="false">
      <c r="A1175" s="2" t="s">
        <v>385</v>
      </c>
      <c r="B1175" s="2" t="s">
        <v>408</v>
      </c>
      <c r="C1175" s="2" t="n">
        <v>1</v>
      </c>
      <c r="D1175" s="2" t="s">
        <v>547</v>
      </c>
      <c r="E1175" s="2" t="s">
        <v>50</v>
      </c>
      <c r="F1175" s="2" t="n">
        <v>302</v>
      </c>
      <c r="G1175" s="2" t="n">
        <v>20</v>
      </c>
    </row>
    <row r="1176" customFormat="false" ht="16.5" hidden="false" customHeight="true" outlineLevel="0" collapsed="false">
      <c r="A1176" s="2" t="s">
        <v>385</v>
      </c>
      <c r="B1176" s="2" t="s">
        <v>408</v>
      </c>
      <c r="C1176" s="2" t="n">
        <v>1</v>
      </c>
      <c r="D1176" s="2" t="s">
        <v>547</v>
      </c>
      <c r="E1176" s="2" t="s">
        <v>45</v>
      </c>
      <c r="F1176" s="2" t="n">
        <v>302</v>
      </c>
      <c r="G1176" s="2" t="n">
        <v>38</v>
      </c>
    </row>
    <row r="1177" customFormat="false" ht="16.5" hidden="false" customHeight="true" outlineLevel="0" collapsed="false">
      <c r="A1177" s="2" t="s">
        <v>385</v>
      </c>
      <c r="B1177" s="2" t="s">
        <v>408</v>
      </c>
      <c r="C1177" s="2" t="n">
        <v>1</v>
      </c>
      <c r="D1177" s="2" t="s">
        <v>547</v>
      </c>
      <c r="E1177" s="2" t="s">
        <v>46</v>
      </c>
      <c r="F1177" s="2" t="n">
        <v>302</v>
      </c>
      <c r="G1177" s="2" t="n">
        <v>42</v>
      </c>
    </row>
    <row r="1178" customFormat="false" ht="16.5" hidden="false" customHeight="true" outlineLevel="0" collapsed="false">
      <c r="A1178" s="2" t="s">
        <v>385</v>
      </c>
      <c r="B1178" s="2" t="s">
        <v>409</v>
      </c>
      <c r="C1178" s="2" t="n">
        <v>1</v>
      </c>
      <c r="D1178" s="2" t="s">
        <v>548</v>
      </c>
      <c r="E1178" s="2" t="s">
        <v>0</v>
      </c>
      <c r="F1178" s="2" t="n">
        <v>307</v>
      </c>
      <c r="G1178" s="2" t="n">
        <v>6</v>
      </c>
    </row>
    <row r="1179" customFormat="false" ht="16.5" hidden="false" customHeight="true" outlineLevel="0" collapsed="false">
      <c r="A1179" s="2" t="s">
        <v>385</v>
      </c>
      <c r="B1179" s="2" t="s">
        <v>409</v>
      </c>
      <c r="C1179" s="2" t="n">
        <v>1</v>
      </c>
      <c r="D1179" s="2" t="s">
        <v>548</v>
      </c>
      <c r="E1179" s="2" t="s">
        <v>1</v>
      </c>
      <c r="F1179" s="2" t="n">
        <v>307</v>
      </c>
      <c r="G1179" s="2" t="n">
        <v>10</v>
      </c>
    </row>
    <row r="1180" customFormat="false" ht="16.5" hidden="false" customHeight="true" outlineLevel="0" collapsed="false">
      <c r="A1180" s="2" t="s">
        <v>385</v>
      </c>
      <c r="B1180" s="2" t="s">
        <v>409</v>
      </c>
      <c r="C1180" s="2" t="n">
        <v>1</v>
      </c>
      <c r="D1180" s="2" t="s">
        <v>548</v>
      </c>
      <c r="E1180" s="2" t="s">
        <v>2</v>
      </c>
      <c r="F1180" s="2" t="n">
        <v>307</v>
      </c>
      <c r="G1180" s="2" t="n">
        <v>14</v>
      </c>
    </row>
    <row r="1181" customFormat="false" ht="16.5" hidden="false" customHeight="true" outlineLevel="0" collapsed="false">
      <c r="A1181" s="2" t="s">
        <v>385</v>
      </c>
      <c r="B1181" s="2" t="s">
        <v>409</v>
      </c>
      <c r="C1181" s="2" t="n">
        <v>1</v>
      </c>
      <c r="D1181" s="2" t="s">
        <v>548</v>
      </c>
      <c r="E1181" s="2" t="s">
        <v>3</v>
      </c>
      <c r="F1181" s="2" t="n">
        <v>307</v>
      </c>
      <c r="G1181" s="2" t="n">
        <v>18</v>
      </c>
    </row>
    <row r="1182" customFormat="false" ht="16.5" hidden="false" customHeight="true" outlineLevel="0" collapsed="false">
      <c r="A1182" s="2" t="s">
        <v>385</v>
      </c>
      <c r="B1182" s="2" t="s">
        <v>409</v>
      </c>
      <c r="C1182" s="2" t="n">
        <v>1</v>
      </c>
      <c r="D1182" s="2" t="s">
        <v>548</v>
      </c>
      <c r="E1182" s="2" t="s">
        <v>4</v>
      </c>
      <c r="F1182" s="2" t="n">
        <v>307</v>
      </c>
      <c r="G1182" s="2" t="n">
        <v>22</v>
      </c>
    </row>
    <row r="1183" customFormat="false" ht="16.5" hidden="false" customHeight="true" outlineLevel="0" collapsed="false">
      <c r="A1183" s="2" t="s">
        <v>385</v>
      </c>
      <c r="B1183" s="2" t="s">
        <v>409</v>
      </c>
      <c r="C1183" s="2" t="n">
        <v>1</v>
      </c>
      <c r="D1183" s="2" t="s">
        <v>548</v>
      </c>
      <c r="E1183" s="2" t="s">
        <v>5</v>
      </c>
      <c r="F1183" s="2" t="n">
        <v>307</v>
      </c>
      <c r="G1183" s="2" t="n">
        <v>26</v>
      </c>
    </row>
    <row r="1184" customFormat="false" ht="16.5" hidden="false" customHeight="true" outlineLevel="0" collapsed="false">
      <c r="A1184" s="2" t="s">
        <v>385</v>
      </c>
      <c r="B1184" s="2" t="s">
        <v>409</v>
      </c>
      <c r="C1184" s="2" t="n">
        <v>1</v>
      </c>
      <c r="D1184" s="2" t="s">
        <v>548</v>
      </c>
      <c r="E1184" s="2" t="s">
        <v>6</v>
      </c>
      <c r="F1184" s="2" t="n">
        <v>307</v>
      </c>
      <c r="G1184" s="2" t="n">
        <v>30</v>
      </c>
    </row>
    <row r="1185" customFormat="false" ht="16.5" hidden="false" customHeight="true" outlineLevel="0" collapsed="false">
      <c r="A1185" s="2" t="s">
        <v>385</v>
      </c>
      <c r="B1185" s="2" t="s">
        <v>409</v>
      </c>
      <c r="C1185" s="2" t="n">
        <v>1</v>
      </c>
      <c r="D1185" s="2" t="s">
        <v>548</v>
      </c>
      <c r="E1185" s="2" t="s">
        <v>7</v>
      </c>
      <c r="F1185" s="2" t="n">
        <v>307</v>
      </c>
      <c r="G1185" s="2" t="n">
        <v>34</v>
      </c>
    </row>
    <row r="1186" customFormat="false" ht="16.5" hidden="false" customHeight="true" outlineLevel="0" collapsed="false">
      <c r="A1186" s="2" t="s">
        <v>385</v>
      </c>
      <c r="B1186" s="2" t="s">
        <v>409</v>
      </c>
      <c r="C1186" s="2" t="n">
        <v>1</v>
      </c>
      <c r="D1186" s="2" t="s">
        <v>548</v>
      </c>
      <c r="E1186" s="2" t="s">
        <v>8</v>
      </c>
      <c r="F1186" s="2" t="n">
        <v>307</v>
      </c>
      <c r="G1186" s="2" t="n">
        <v>38</v>
      </c>
    </row>
    <row r="1187" customFormat="false" ht="16.5" hidden="false" customHeight="true" outlineLevel="0" collapsed="false">
      <c r="A1187" s="2" t="s">
        <v>385</v>
      </c>
      <c r="B1187" s="2" t="s">
        <v>409</v>
      </c>
      <c r="C1187" s="2" t="n">
        <v>1</v>
      </c>
      <c r="D1187" s="2" t="s">
        <v>548</v>
      </c>
      <c r="E1187" s="2" t="s">
        <v>9</v>
      </c>
      <c r="F1187" s="2" t="n">
        <v>307</v>
      </c>
      <c r="G1187" s="2" t="n">
        <v>42</v>
      </c>
    </row>
    <row r="1188" customFormat="false" ht="16.5" hidden="false" customHeight="true" outlineLevel="0" collapsed="false">
      <c r="A1188" s="2" t="s">
        <v>385</v>
      </c>
      <c r="B1188" s="2" t="s">
        <v>409</v>
      </c>
      <c r="C1188" s="2" t="n">
        <v>1</v>
      </c>
      <c r="D1188" s="2" t="s">
        <v>548</v>
      </c>
      <c r="E1188" s="2" t="s">
        <v>10</v>
      </c>
      <c r="F1188" s="2" t="n">
        <v>307</v>
      </c>
      <c r="G1188" s="2" t="n">
        <v>46</v>
      </c>
    </row>
    <row r="1189" customFormat="false" ht="16.5" hidden="false" customHeight="true" outlineLevel="0" collapsed="false">
      <c r="A1189" s="2" t="s">
        <v>385</v>
      </c>
      <c r="B1189" s="2" t="s">
        <v>409</v>
      </c>
      <c r="C1189" s="2" t="n">
        <v>1</v>
      </c>
      <c r="D1189" s="2" t="s">
        <v>548</v>
      </c>
      <c r="E1189" s="2" t="s">
        <v>11</v>
      </c>
      <c r="F1189" s="2" t="n">
        <v>307</v>
      </c>
      <c r="G1189" s="2" t="n">
        <v>50</v>
      </c>
    </row>
    <row r="1190" customFormat="false" ht="16.5" hidden="false" customHeight="true" outlineLevel="0" collapsed="false">
      <c r="A1190" s="2" t="s">
        <v>385</v>
      </c>
      <c r="B1190" s="2" t="s">
        <v>409</v>
      </c>
      <c r="C1190" s="2" t="n">
        <v>1</v>
      </c>
      <c r="D1190" s="2" t="s">
        <v>548</v>
      </c>
      <c r="E1190" s="2" t="s">
        <v>12</v>
      </c>
      <c r="F1190" s="2" t="n">
        <v>309</v>
      </c>
      <c r="G1190" s="2" t="n">
        <v>8</v>
      </c>
    </row>
    <row r="1191" customFormat="false" ht="16.5" hidden="false" customHeight="true" outlineLevel="0" collapsed="false">
      <c r="A1191" s="2" t="s">
        <v>385</v>
      </c>
      <c r="B1191" s="2" t="s">
        <v>409</v>
      </c>
      <c r="C1191" s="2" t="n">
        <v>1</v>
      </c>
      <c r="D1191" s="2" t="s">
        <v>548</v>
      </c>
      <c r="E1191" s="2" t="s">
        <v>13</v>
      </c>
      <c r="F1191" s="2" t="n">
        <v>309</v>
      </c>
      <c r="G1191" s="2" t="n">
        <v>12</v>
      </c>
    </row>
    <row r="1192" customFormat="false" ht="16.5" hidden="false" customHeight="true" outlineLevel="0" collapsed="false">
      <c r="A1192" s="2" t="s">
        <v>385</v>
      </c>
      <c r="B1192" s="2" t="s">
        <v>409</v>
      </c>
      <c r="C1192" s="2" t="n">
        <v>1</v>
      </c>
      <c r="D1192" s="2" t="s">
        <v>548</v>
      </c>
      <c r="E1192" s="2" t="s">
        <v>14</v>
      </c>
      <c r="F1192" s="2" t="n">
        <v>309</v>
      </c>
      <c r="G1192" s="2" t="n">
        <v>16</v>
      </c>
    </row>
    <row r="1193" customFormat="false" ht="16.5" hidden="false" customHeight="true" outlineLevel="0" collapsed="false">
      <c r="A1193" s="2" t="s">
        <v>385</v>
      </c>
      <c r="B1193" s="2" t="s">
        <v>409</v>
      </c>
      <c r="C1193" s="2" t="n">
        <v>1</v>
      </c>
      <c r="D1193" s="2" t="s">
        <v>548</v>
      </c>
      <c r="E1193" s="2" t="s">
        <v>15</v>
      </c>
      <c r="F1193" s="2" t="n">
        <v>309</v>
      </c>
      <c r="G1193" s="2" t="n">
        <v>20</v>
      </c>
    </row>
    <row r="1194" customFormat="false" ht="16.5" hidden="false" customHeight="true" outlineLevel="0" collapsed="false">
      <c r="A1194" s="2" t="s">
        <v>385</v>
      </c>
      <c r="B1194" s="2" t="s">
        <v>409</v>
      </c>
      <c r="C1194" s="2" t="n">
        <v>1</v>
      </c>
      <c r="D1194" s="2" t="s">
        <v>548</v>
      </c>
      <c r="E1194" s="2" t="s">
        <v>16</v>
      </c>
      <c r="F1194" s="2" t="n">
        <v>309</v>
      </c>
      <c r="G1194" s="2" t="n">
        <v>24</v>
      </c>
    </row>
    <row r="1195" customFormat="false" ht="16.5" hidden="false" customHeight="true" outlineLevel="0" collapsed="false">
      <c r="A1195" s="2" t="s">
        <v>385</v>
      </c>
      <c r="B1195" s="2" t="s">
        <v>409</v>
      </c>
      <c r="C1195" s="2" t="n">
        <v>1</v>
      </c>
      <c r="D1195" s="2" t="s">
        <v>548</v>
      </c>
      <c r="E1195" s="2" t="s">
        <v>17</v>
      </c>
      <c r="F1195" s="2" t="n">
        <v>309</v>
      </c>
      <c r="G1195" s="2" t="n">
        <v>28</v>
      </c>
    </row>
    <row r="1196" customFormat="false" ht="16.5" hidden="false" customHeight="true" outlineLevel="0" collapsed="false">
      <c r="A1196" s="2" t="s">
        <v>385</v>
      </c>
      <c r="B1196" s="2" t="s">
        <v>409</v>
      </c>
      <c r="C1196" s="2" t="n">
        <v>1</v>
      </c>
      <c r="D1196" s="2" t="s">
        <v>548</v>
      </c>
      <c r="E1196" s="2" t="s">
        <v>18</v>
      </c>
      <c r="F1196" s="2" t="n">
        <v>309</v>
      </c>
      <c r="G1196" s="2" t="n">
        <v>32</v>
      </c>
    </row>
    <row r="1197" customFormat="false" ht="16.5" hidden="false" customHeight="true" outlineLevel="0" collapsed="false">
      <c r="A1197" s="2" t="s">
        <v>385</v>
      </c>
      <c r="B1197" s="2" t="s">
        <v>409</v>
      </c>
      <c r="C1197" s="2" t="n">
        <v>1</v>
      </c>
      <c r="D1197" s="2" t="s">
        <v>548</v>
      </c>
      <c r="E1197" s="2" t="s">
        <v>19</v>
      </c>
      <c r="F1197" s="2" t="n">
        <v>309</v>
      </c>
      <c r="G1197" s="2" t="n">
        <v>36</v>
      </c>
    </row>
    <row r="1198" customFormat="false" ht="16.5" hidden="false" customHeight="true" outlineLevel="0" collapsed="false">
      <c r="A1198" s="2" t="s">
        <v>385</v>
      </c>
      <c r="B1198" s="2" t="s">
        <v>409</v>
      </c>
      <c r="C1198" s="2" t="n">
        <v>1</v>
      </c>
      <c r="D1198" s="2" t="s">
        <v>548</v>
      </c>
      <c r="E1198" s="2" t="s">
        <v>20</v>
      </c>
      <c r="F1198" s="2" t="n">
        <v>309</v>
      </c>
      <c r="G1198" s="2" t="n">
        <v>40</v>
      </c>
    </row>
    <row r="1199" customFormat="false" ht="16.5" hidden="false" customHeight="true" outlineLevel="0" collapsed="false">
      <c r="A1199" s="2" t="s">
        <v>385</v>
      </c>
      <c r="B1199" s="2" t="s">
        <v>409</v>
      </c>
      <c r="C1199" s="2" t="n">
        <v>1</v>
      </c>
      <c r="D1199" s="2" t="s">
        <v>548</v>
      </c>
      <c r="E1199" s="2" t="s">
        <v>21</v>
      </c>
      <c r="F1199" s="2" t="n">
        <v>309</v>
      </c>
      <c r="G1199" s="2" t="n">
        <v>44</v>
      </c>
    </row>
    <row r="1200" customFormat="false" ht="16.5" hidden="false" customHeight="true" outlineLevel="0" collapsed="false">
      <c r="A1200" s="2" t="s">
        <v>385</v>
      </c>
      <c r="B1200" s="2" t="s">
        <v>409</v>
      </c>
      <c r="C1200" s="2" t="n">
        <v>1</v>
      </c>
      <c r="D1200" s="2" t="s">
        <v>548</v>
      </c>
      <c r="E1200" s="2" t="s">
        <v>22</v>
      </c>
      <c r="F1200" s="2" t="n">
        <v>309</v>
      </c>
      <c r="G1200" s="2" t="n">
        <v>48</v>
      </c>
    </row>
    <row r="1201" customFormat="false" ht="16.5" hidden="false" customHeight="true" outlineLevel="0" collapsed="false">
      <c r="A1201" s="2" t="s">
        <v>385</v>
      </c>
      <c r="B1201" s="2" t="s">
        <v>409</v>
      </c>
      <c r="C1201" s="2" t="n">
        <v>1</v>
      </c>
      <c r="D1201" s="2" t="s">
        <v>548</v>
      </c>
      <c r="E1201" s="2" t="s">
        <v>23</v>
      </c>
      <c r="F1201" s="2" t="n">
        <v>309</v>
      </c>
      <c r="G1201" s="2" t="n">
        <v>52</v>
      </c>
    </row>
    <row r="1202" customFormat="false" ht="16.5" hidden="false" customHeight="true" outlineLevel="0" collapsed="false">
      <c r="A1202" s="2" t="s">
        <v>385</v>
      </c>
      <c r="B1202" s="2" t="s">
        <v>409</v>
      </c>
      <c r="C1202" s="2" t="n">
        <v>1</v>
      </c>
      <c r="D1202" s="2" t="s">
        <v>548</v>
      </c>
      <c r="E1202" s="2" t="s">
        <v>24</v>
      </c>
      <c r="F1202" s="2" t="n">
        <v>311</v>
      </c>
      <c r="G1202" s="2" t="n">
        <v>9</v>
      </c>
    </row>
    <row r="1203" customFormat="false" ht="16.5" hidden="false" customHeight="true" outlineLevel="0" collapsed="false">
      <c r="A1203" s="2" t="s">
        <v>385</v>
      </c>
      <c r="B1203" s="2" t="s">
        <v>409</v>
      </c>
      <c r="C1203" s="2" t="n">
        <v>1</v>
      </c>
      <c r="D1203" s="2" t="s">
        <v>548</v>
      </c>
      <c r="E1203" s="2" t="s">
        <v>25</v>
      </c>
      <c r="F1203" s="2" t="n">
        <v>311</v>
      </c>
      <c r="G1203" s="2" t="n">
        <v>13</v>
      </c>
    </row>
    <row r="1204" customFormat="false" ht="16.5" hidden="false" customHeight="true" outlineLevel="0" collapsed="false">
      <c r="A1204" s="2" t="s">
        <v>385</v>
      </c>
      <c r="B1204" s="2" t="s">
        <v>409</v>
      </c>
      <c r="C1204" s="2" t="n">
        <v>1</v>
      </c>
      <c r="D1204" s="2" t="s">
        <v>548</v>
      </c>
      <c r="E1204" s="2" t="s">
        <v>26</v>
      </c>
      <c r="F1204" s="2" t="n">
        <v>311</v>
      </c>
      <c r="G1204" s="2" t="n">
        <v>17</v>
      </c>
    </row>
    <row r="1205" customFormat="false" ht="16.5" hidden="false" customHeight="true" outlineLevel="0" collapsed="false">
      <c r="A1205" s="2" t="s">
        <v>385</v>
      </c>
      <c r="B1205" s="2" t="s">
        <v>409</v>
      </c>
      <c r="C1205" s="2" t="n">
        <v>1</v>
      </c>
      <c r="D1205" s="2" t="s">
        <v>548</v>
      </c>
      <c r="E1205" s="2" t="s">
        <v>27</v>
      </c>
      <c r="F1205" s="2" t="n">
        <v>311</v>
      </c>
      <c r="G1205" s="2" t="n">
        <v>21</v>
      </c>
    </row>
    <row r="1206" customFormat="false" ht="16.5" hidden="false" customHeight="true" outlineLevel="0" collapsed="false">
      <c r="A1206" s="2" t="s">
        <v>385</v>
      </c>
      <c r="B1206" s="2" t="s">
        <v>409</v>
      </c>
      <c r="C1206" s="2" t="n">
        <v>1</v>
      </c>
      <c r="D1206" s="2" t="s">
        <v>548</v>
      </c>
      <c r="E1206" s="2" t="s">
        <v>28</v>
      </c>
      <c r="F1206" s="2" t="n">
        <v>311</v>
      </c>
      <c r="G1206" s="2" t="n">
        <v>25</v>
      </c>
    </row>
    <row r="1207" customFormat="false" ht="16.5" hidden="false" customHeight="true" outlineLevel="0" collapsed="false">
      <c r="A1207" s="2" t="s">
        <v>385</v>
      </c>
      <c r="B1207" s="2" t="s">
        <v>409</v>
      </c>
      <c r="C1207" s="2" t="n">
        <v>1</v>
      </c>
      <c r="D1207" s="2" t="s">
        <v>548</v>
      </c>
      <c r="E1207" s="2" t="s">
        <v>29</v>
      </c>
      <c r="F1207" s="2" t="n">
        <v>311</v>
      </c>
      <c r="G1207" s="2" t="n">
        <v>29</v>
      </c>
    </row>
    <row r="1208" customFormat="false" ht="16.5" hidden="false" customHeight="true" outlineLevel="0" collapsed="false">
      <c r="A1208" s="2" t="s">
        <v>385</v>
      </c>
      <c r="B1208" s="2" t="s">
        <v>409</v>
      </c>
      <c r="C1208" s="2" t="n">
        <v>1</v>
      </c>
      <c r="D1208" s="2" t="s">
        <v>548</v>
      </c>
      <c r="E1208" s="2" t="s">
        <v>30</v>
      </c>
      <c r="F1208" s="2" t="n">
        <v>311</v>
      </c>
      <c r="G1208" s="2" t="n">
        <v>33</v>
      </c>
    </row>
    <row r="1209" customFormat="false" ht="16.5" hidden="false" customHeight="true" outlineLevel="0" collapsed="false">
      <c r="A1209" s="2" t="s">
        <v>385</v>
      </c>
      <c r="B1209" s="2" t="s">
        <v>409</v>
      </c>
      <c r="C1209" s="2" t="n">
        <v>1</v>
      </c>
      <c r="D1209" s="2" t="s">
        <v>548</v>
      </c>
      <c r="E1209" s="2" t="s">
        <v>31</v>
      </c>
      <c r="F1209" s="2" t="n">
        <v>311</v>
      </c>
      <c r="G1209" s="2" t="n">
        <v>37</v>
      </c>
    </row>
    <row r="1210" customFormat="false" ht="16.5" hidden="false" customHeight="true" outlineLevel="0" collapsed="false">
      <c r="A1210" s="2" t="s">
        <v>385</v>
      </c>
      <c r="B1210" s="2" t="s">
        <v>409</v>
      </c>
      <c r="C1210" s="2" t="n">
        <v>1</v>
      </c>
      <c r="D1210" s="2" t="s">
        <v>548</v>
      </c>
      <c r="E1210" s="2" t="s">
        <v>32</v>
      </c>
      <c r="F1210" s="2" t="n">
        <v>311</v>
      </c>
      <c r="G1210" s="2" t="n">
        <v>41</v>
      </c>
    </row>
    <row r="1211" customFormat="false" ht="16.5" hidden="false" customHeight="true" outlineLevel="0" collapsed="false">
      <c r="A1211" s="2" t="s">
        <v>385</v>
      </c>
      <c r="B1211" s="2" t="s">
        <v>409</v>
      </c>
      <c r="C1211" s="2" t="n">
        <v>1</v>
      </c>
      <c r="D1211" s="2" t="s">
        <v>548</v>
      </c>
      <c r="E1211" s="2" t="s">
        <v>33</v>
      </c>
      <c r="F1211" s="2" t="n">
        <v>311</v>
      </c>
      <c r="G1211" s="2" t="n">
        <v>45</v>
      </c>
    </row>
    <row r="1212" customFormat="false" ht="16.5" hidden="false" customHeight="true" outlineLevel="0" collapsed="false">
      <c r="A1212" s="2" t="s">
        <v>385</v>
      </c>
      <c r="B1212" s="2" t="s">
        <v>409</v>
      </c>
      <c r="C1212" s="2" t="n">
        <v>1</v>
      </c>
      <c r="D1212" s="2" t="s">
        <v>548</v>
      </c>
      <c r="E1212" s="2" t="s">
        <v>34</v>
      </c>
      <c r="F1212" s="2" t="n">
        <v>311</v>
      </c>
      <c r="G1212" s="2" t="n">
        <v>49</v>
      </c>
    </row>
    <row r="1213" customFormat="false" ht="16.5" hidden="false" customHeight="true" outlineLevel="0" collapsed="false">
      <c r="A1213" s="2" t="s">
        <v>385</v>
      </c>
      <c r="B1213" s="2" t="s">
        <v>409</v>
      </c>
      <c r="C1213" s="2" t="n">
        <v>1</v>
      </c>
      <c r="D1213" s="2" t="s">
        <v>548</v>
      </c>
      <c r="E1213" s="2" t="s">
        <v>35</v>
      </c>
      <c r="F1213" s="2" t="n">
        <v>313</v>
      </c>
      <c r="G1213" s="2" t="n">
        <v>11</v>
      </c>
    </row>
    <row r="1214" customFormat="false" ht="16.5" hidden="false" customHeight="true" outlineLevel="0" collapsed="false">
      <c r="A1214" s="2" t="s">
        <v>385</v>
      </c>
      <c r="B1214" s="2" t="s">
        <v>409</v>
      </c>
      <c r="C1214" s="2" t="n">
        <v>1</v>
      </c>
      <c r="D1214" s="2" t="s">
        <v>548</v>
      </c>
      <c r="E1214" s="2" t="s">
        <v>36</v>
      </c>
      <c r="F1214" s="2" t="n">
        <v>313</v>
      </c>
      <c r="G1214" s="2" t="n">
        <v>15</v>
      </c>
    </row>
    <row r="1215" customFormat="false" ht="16.5" hidden="false" customHeight="true" outlineLevel="0" collapsed="false">
      <c r="A1215" s="2" t="s">
        <v>385</v>
      </c>
      <c r="B1215" s="2" t="s">
        <v>409</v>
      </c>
      <c r="C1215" s="2" t="n">
        <v>1</v>
      </c>
      <c r="D1215" s="2" t="s">
        <v>548</v>
      </c>
      <c r="E1215" s="2" t="s">
        <v>37</v>
      </c>
      <c r="F1215" s="2" t="n">
        <v>313</v>
      </c>
      <c r="G1215" s="2" t="n">
        <v>19</v>
      </c>
    </row>
    <row r="1216" customFormat="false" ht="16.5" hidden="false" customHeight="true" outlineLevel="0" collapsed="false">
      <c r="A1216" s="2" t="s">
        <v>385</v>
      </c>
      <c r="B1216" s="2" t="s">
        <v>409</v>
      </c>
      <c r="C1216" s="2" t="n">
        <v>1</v>
      </c>
      <c r="D1216" s="2" t="s">
        <v>548</v>
      </c>
      <c r="E1216" s="2" t="s">
        <v>38</v>
      </c>
      <c r="F1216" s="2" t="n">
        <v>313</v>
      </c>
      <c r="G1216" s="2" t="n">
        <v>23</v>
      </c>
    </row>
    <row r="1217" customFormat="false" ht="16.5" hidden="false" customHeight="true" outlineLevel="0" collapsed="false">
      <c r="A1217" s="2" t="s">
        <v>385</v>
      </c>
      <c r="B1217" s="2" t="s">
        <v>409</v>
      </c>
      <c r="C1217" s="2" t="n">
        <v>1</v>
      </c>
      <c r="D1217" s="2" t="s">
        <v>548</v>
      </c>
      <c r="E1217" s="2" t="s">
        <v>39</v>
      </c>
      <c r="F1217" s="2" t="n">
        <v>313</v>
      </c>
      <c r="G1217" s="2" t="n">
        <v>27</v>
      </c>
    </row>
    <row r="1218" customFormat="false" ht="16.5" hidden="false" customHeight="true" outlineLevel="0" collapsed="false">
      <c r="A1218" s="2" t="s">
        <v>385</v>
      </c>
      <c r="B1218" s="2" t="s">
        <v>409</v>
      </c>
      <c r="C1218" s="2" t="n">
        <v>1</v>
      </c>
      <c r="D1218" s="2" t="s">
        <v>548</v>
      </c>
      <c r="E1218" s="2" t="s">
        <v>40</v>
      </c>
      <c r="F1218" s="2" t="n">
        <v>313</v>
      </c>
      <c r="G1218" s="2" t="n">
        <v>31</v>
      </c>
    </row>
    <row r="1219" customFormat="false" ht="16.5" hidden="false" customHeight="true" outlineLevel="0" collapsed="false">
      <c r="A1219" s="2" t="s">
        <v>385</v>
      </c>
      <c r="B1219" s="2" t="s">
        <v>409</v>
      </c>
      <c r="C1219" s="2" t="n">
        <v>1</v>
      </c>
      <c r="D1219" s="2" t="s">
        <v>548</v>
      </c>
      <c r="E1219" s="2" t="s">
        <v>41</v>
      </c>
      <c r="F1219" s="2" t="n">
        <v>313</v>
      </c>
      <c r="G1219" s="2" t="n">
        <v>35</v>
      </c>
    </row>
    <row r="1220" customFormat="false" ht="16.5" hidden="false" customHeight="true" outlineLevel="0" collapsed="false">
      <c r="A1220" s="2" t="s">
        <v>385</v>
      </c>
      <c r="B1220" s="2" t="s">
        <v>409</v>
      </c>
      <c r="C1220" s="2" t="n">
        <v>1</v>
      </c>
      <c r="D1220" s="2" t="s">
        <v>548</v>
      </c>
      <c r="E1220" s="2" t="s">
        <v>42</v>
      </c>
      <c r="F1220" s="2" t="n">
        <v>313</v>
      </c>
      <c r="G1220" s="2" t="n">
        <v>39</v>
      </c>
    </row>
    <row r="1221" customFormat="false" ht="16.5" hidden="false" customHeight="true" outlineLevel="0" collapsed="false">
      <c r="A1221" s="2" t="s">
        <v>385</v>
      </c>
      <c r="B1221" s="2" t="s">
        <v>409</v>
      </c>
      <c r="C1221" s="2" t="n">
        <v>1</v>
      </c>
      <c r="D1221" s="2" t="s">
        <v>548</v>
      </c>
      <c r="E1221" s="2" t="s">
        <v>43</v>
      </c>
      <c r="F1221" s="2" t="n">
        <v>313</v>
      </c>
      <c r="G1221" s="2" t="n">
        <v>43</v>
      </c>
    </row>
    <row r="1222" customFormat="false" ht="16.5" hidden="false" customHeight="true" outlineLevel="0" collapsed="false">
      <c r="A1222" s="2" t="s">
        <v>385</v>
      </c>
      <c r="B1222" s="2" t="s">
        <v>409</v>
      </c>
      <c r="C1222" s="2" t="n">
        <v>1</v>
      </c>
      <c r="D1222" s="2" t="s">
        <v>548</v>
      </c>
      <c r="E1222" s="2" t="s">
        <v>44</v>
      </c>
      <c r="F1222" s="2" t="n">
        <v>313</v>
      </c>
      <c r="G1222" s="2" t="n">
        <v>47</v>
      </c>
    </row>
    <row r="1223" customFormat="false" ht="16.5" hidden="false" customHeight="true" outlineLevel="0" collapsed="false">
      <c r="A1223" s="2" t="s">
        <v>385</v>
      </c>
      <c r="B1223" s="2" t="s">
        <v>409</v>
      </c>
      <c r="C1223" s="2" t="n">
        <v>1</v>
      </c>
      <c r="D1223" s="2" t="s">
        <v>548</v>
      </c>
      <c r="E1223" s="2" t="s">
        <v>48</v>
      </c>
      <c r="F1223" s="2" t="n">
        <v>315</v>
      </c>
      <c r="G1223" s="2" t="n">
        <v>16</v>
      </c>
    </row>
    <row r="1224" customFormat="false" ht="16.5" hidden="false" customHeight="true" outlineLevel="0" collapsed="false">
      <c r="A1224" s="2" t="s">
        <v>385</v>
      </c>
      <c r="B1224" s="2" t="s">
        <v>409</v>
      </c>
      <c r="C1224" s="2" t="n">
        <v>1</v>
      </c>
      <c r="D1224" s="2" t="s">
        <v>548</v>
      </c>
      <c r="E1224" s="2" t="s">
        <v>50</v>
      </c>
      <c r="F1224" s="2" t="n">
        <v>315</v>
      </c>
      <c r="G1224" s="2" t="n">
        <v>20</v>
      </c>
    </row>
    <row r="1225" customFormat="false" ht="16.5" hidden="false" customHeight="true" outlineLevel="0" collapsed="false">
      <c r="A1225" s="2" t="s">
        <v>385</v>
      </c>
      <c r="B1225" s="2" t="s">
        <v>409</v>
      </c>
      <c r="C1225" s="2" t="n">
        <v>1</v>
      </c>
      <c r="D1225" s="2" t="s">
        <v>548</v>
      </c>
      <c r="E1225" s="2" t="s">
        <v>45</v>
      </c>
      <c r="F1225" s="2" t="n">
        <v>315</v>
      </c>
      <c r="G1225" s="2" t="n">
        <v>38</v>
      </c>
    </row>
    <row r="1226" customFormat="false" ht="16.5" hidden="false" customHeight="true" outlineLevel="0" collapsed="false">
      <c r="A1226" s="2" t="s">
        <v>385</v>
      </c>
      <c r="B1226" s="2" t="s">
        <v>409</v>
      </c>
      <c r="C1226" s="2" t="n">
        <v>1</v>
      </c>
      <c r="D1226" s="2" t="s">
        <v>548</v>
      </c>
      <c r="E1226" s="2" t="s">
        <v>46</v>
      </c>
      <c r="F1226" s="2" t="n">
        <v>315</v>
      </c>
      <c r="G1226" s="2" t="n">
        <v>42</v>
      </c>
    </row>
    <row r="1227" customFormat="false" ht="16.5" hidden="false" customHeight="true" outlineLevel="0" collapsed="false">
      <c r="A1227" s="2" t="s">
        <v>385</v>
      </c>
      <c r="B1227" s="2" t="s">
        <v>410</v>
      </c>
      <c r="C1227" s="2" t="n">
        <v>1</v>
      </c>
      <c r="D1227" s="2" t="s">
        <v>549</v>
      </c>
      <c r="E1227" s="2" t="s">
        <v>0</v>
      </c>
      <c r="F1227" s="2" t="n">
        <v>320</v>
      </c>
      <c r="G1227" s="2" t="n">
        <v>6</v>
      </c>
    </row>
    <row r="1228" customFormat="false" ht="16.5" hidden="false" customHeight="true" outlineLevel="0" collapsed="false">
      <c r="A1228" s="2" t="s">
        <v>385</v>
      </c>
      <c r="B1228" s="2" t="s">
        <v>410</v>
      </c>
      <c r="C1228" s="2" t="n">
        <v>1</v>
      </c>
      <c r="D1228" s="2" t="s">
        <v>549</v>
      </c>
      <c r="E1228" s="2" t="s">
        <v>1</v>
      </c>
      <c r="F1228" s="2" t="n">
        <v>320</v>
      </c>
      <c r="G1228" s="2" t="n">
        <v>10</v>
      </c>
    </row>
    <row r="1229" customFormat="false" ht="16.5" hidden="false" customHeight="true" outlineLevel="0" collapsed="false">
      <c r="A1229" s="2" t="s">
        <v>385</v>
      </c>
      <c r="B1229" s="2" t="s">
        <v>410</v>
      </c>
      <c r="C1229" s="2" t="n">
        <v>1</v>
      </c>
      <c r="D1229" s="2" t="s">
        <v>549</v>
      </c>
      <c r="E1229" s="2" t="s">
        <v>2</v>
      </c>
      <c r="F1229" s="2" t="n">
        <v>320</v>
      </c>
      <c r="G1229" s="2" t="n">
        <v>14</v>
      </c>
    </row>
    <row r="1230" customFormat="false" ht="16.5" hidden="false" customHeight="true" outlineLevel="0" collapsed="false">
      <c r="A1230" s="2" t="s">
        <v>385</v>
      </c>
      <c r="B1230" s="2" t="s">
        <v>410</v>
      </c>
      <c r="C1230" s="2" t="n">
        <v>1</v>
      </c>
      <c r="D1230" s="2" t="s">
        <v>549</v>
      </c>
      <c r="E1230" s="2" t="s">
        <v>3</v>
      </c>
      <c r="F1230" s="2" t="n">
        <v>320</v>
      </c>
      <c r="G1230" s="2" t="n">
        <v>18</v>
      </c>
    </row>
    <row r="1231" customFormat="false" ht="16.5" hidden="false" customHeight="true" outlineLevel="0" collapsed="false">
      <c r="A1231" s="2" t="s">
        <v>385</v>
      </c>
      <c r="B1231" s="2" t="s">
        <v>410</v>
      </c>
      <c r="C1231" s="2" t="n">
        <v>1</v>
      </c>
      <c r="D1231" s="2" t="s">
        <v>549</v>
      </c>
      <c r="E1231" s="2" t="s">
        <v>4</v>
      </c>
      <c r="F1231" s="2" t="n">
        <v>320</v>
      </c>
      <c r="G1231" s="2" t="n">
        <v>22</v>
      </c>
    </row>
    <row r="1232" customFormat="false" ht="16.5" hidden="false" customHeight="true" outlineLevel="0" collapsed="false">
      <c r="A1232" s="2" t="s">
        <v>385</v>
      </c>
      <c r="B1232" s="2" t="s">
        <v>410</v>
      </c>
      <c r="C1232" s="2" t="n">
        <v>1</v>
      </c>
      <c r="D1232" s="2" t="s">
        <v>549</v>
      </c>
      <c r="E1232" s="2" t="s">
        <v>5</v>
      </c>
      <c r="F1232" s="2" t="n">
        <v>320</v>
      </c>
      <c r="G1232" s="2" t="n">
        <v>26</v>
      </c>
    </row>
    <row r="1233" customFormat="false" ht="16.5" hidden="false" customHeight="true" outlineLevel="0" collapsed="false">
      <c r="A1233" s="2" t="s">
        <v>385</v>
      </c>
      <c r="B1233" s="2" t="s">
        <v>410</v>
      </c>
      <c r="C1233" s="2" t="n">
        <v>1</v>
      </c>
      <c r="D1233" s="2" t="s">
        <v>549</v>
      </c>
      <c r="E1233" s="2" t="s">
        <v>6</v>
      </c>
      <c r="F1233" s="2" t="n">
        <v>320</v>
      </c>
      <c r="G1233" s="2" t="n">
        <v>30</v>
      </c>
    </row>
    <row r="1234" customFormat="false" ht="16.5" hidden="false" customHeight="true" outlineLevel="0" collapsed="false">
      <c r="A1234" s="2" t="s">
        <v>385</v>
      </c>
      <c r="B1234" s="2" t="s">
        <v>410</v>
      </c>
      <c r="C1234" s="2" t="n">
        <v>1</v>
      </c>
      <c r="D1234" s="2" t="s">
        <v>549</v>
      </c>
      <c r="E1234" s="2" t="s">
        <v>7</v>
      </c>
      <c r="F1234" s="2" t="n">
        <v>320</v>
      </c>
      <c r="G1234" s="2" t="n">
        <v>34</v>
      </c>
    </row>
    <row r="1235" customFormat="false" ht="16.5" hidden="false" customHeight="true" outlineLevel="0" collapsed="false">
      <c r="A1235" s="2" t="s">
        <v>385</v>
      </c>
      <c r="B1235" s="2" t="s">
        <v>410</v>
      </c>
      <c r="C1235" s="2" t="n">
        <v>1</v>
      </c>
      <c r="D1235" s="2" t="s">
        <v>549</v>
      </c>
      <c r="E1235" s="2" t="s">
        <v>8</v>
      </c>
      <c r="F1235" s="2" t="n">
        <v>320</v>
      </c>
      <c r="G1235" s="2" t="n">
        <v>38</v>
      </c>
    </row>
    <row r="1236" customFormat="false" ht="16.5" hidden="false" customHeight="true" outlineLevel="0" collapsed="false">
      <c r="A1236" s="2" t="s">
        <v>385</v>
      </c>
      <c r="B1236" s="2" t="s">
        <v>410</v>
      </c>
      <c r="C1236" s="2" t="n">
        <v>1</v>
      </c>
      <c r="D1236" s="2" t="s">
        <v>549</v>
      </c>
      <c r="E1236" s="2" t="s">
        <v>9</v>
      </c>
      <c r="F1236" s="2" t="n">
        <v>320</v>
      </c>
      <c r="G1236" s="2" t="n">
        <v>42</v>
      </c>
    </row>
    <row r="1237" customFormat="false" ht="16.5" hidden="false" customHeight="true" outlineLevel="0" collapsed="false">
      <c r="A1237" s="2" t="s">
        <v>385</v>
      </c>
      <c r="B1237" s="2" t="s">
        <v>410</v>
      </c>
      <c r="C1237" s="2" t="n">
        <v>1</v>
      </c>
      <c r="D1237" s="2" t="s">
        <v>549</v>
      </c>
      <c r="E1237" s="2" t="s">
        <v>10</v>
      </c>
      <c r="F1237" s="2" t="n">
        <v>320</v>
      </c>
      <c r="G1237" s="2" t="n">
        <v>46</v>
      </c>
    </row>
    <row r="1238" customFormat="false" ht="16.5" hidden="false" customHeight="true" outlineLevel="0" collapsed="false">
      <c r="A1238" s="2" t="s">
        <v>385</v>
      </c>
      <c r="B1238" s="2" t="s">
        <v>410</v>
      </c>
      <c r="C1238" s="2" t="n">
        <v>1</v>
      </c>
      <c r="D1238" s="2" t="s">
        <v>549</v>
      </c>
      <c r="E1238" s="2" t="s">
        <v>11</v>
      </c>
      <c r="F1238" s="2" t="n">
        <v>320</v>
      </c>
      <c r="G1238" s="2" t="n">
        <v>50</v>
      </c>
    </row>
    <row r="1239" customFormat="false" ht="16.5" hidden="false" customHeight="true" outlineLevel="0" collapsed="false">
      <c r="A1239" s="2" t="s">
        <v>385</v>
      </c>
      <c r="B1239" s="2" t="s">
        <v>410</v>
      </c>
      <c r="C1239" s="2" t="n">
        <v>1</v>
      </c>
      <c r="D1239" s="2" t="s">
        <v>549</v>
      </c>
      <c r="E1239" s="2" t="s">
        <v>12</v>
      </c>
      <c r="F1239" s="2" t="n">
        <v>322</v>
      </c>
      <c r="G1239" s="2" t="n">
        <v>8</v>
      </c>
    </row>
    <row r="1240" customFormat="false" ht="16.5" hidden="false" customHeight="true" outlineLevel="0" collapsed="false">
      <c r="A1240" s="2" t="s">
        <v>385</v>
      </c>
      <c r="B1240" s="2" t="s">
        <v>410</v>
      </c>
      <c r="C1240" s="2" t="n">
        <v>1</v>
      </c>
      <c r="D1240" s="2" t="s">
        <v>549</v>
      </c>
      <c r="E1240" s="2" t="s">
        <v>13</v>
      </c>
      <c r="F1240" s="2" t="n">
        <v>322</v>
      </c>
      <c r="G1240" s="2" t="n">
        <v>12</v>
      </c>
    </row>
    <row r="1241" customFormat="false" ht="16.5" hidden="false" customHeight="true" outlineLevel="0" collapsed="false">
      <c r="A1241" s="2" t="s">
        <v>385</v>
      </c>
      <c r="B1241" s="2" t="s">
        <v>410</v>
      </c>
      <c r="C1241" s="2" t="n">
        <v>1</v>
      </c>
      <c r="D1241" s="2" t="s">
        <v>549</v>
      </c>
      <c r="E1241" s="2" t="s">
        <v>14</v>
      </c>
      <c r="F1241" s="2" t="n">
        <v>322</v>
      </c>
      <c r="G1241" s="2" t="n">
        <v>16</v>
      </c>
    </row>
    <row r="1242" customFormat="false" ht="16.5" hidden="false" customHeight="true" outlineLevel="0" collapsed="false">
      <c r="A1242" s="2" t="s">
        <v>385</v>
      </c>
      <c r="B1242" s="2" t="s">
        <v>410</v>
      </c>
      <c r="C1242" s="2" t="n">
        <v>1</v>
      </c>
      <c r="D1242" s="2" t="s">
        <v>549</v>
      </c>
      <c r="E1242" s="2" t="s">
        <v>15</v>
      </c>
      <c r="F1242" s="2" t="n">
        <v>322</v>
      </c>
      <c r="G1242" s="2" t="n">
        <v>20</v>
      </c>
    </row>
    <row r="1243" customFormat="false" ht="16.5" hidden="false" customHeight="true" outlineLevel="0" collapsed="false">
      <c r="A1243" s="2" t="s">
        <v>385</v>
      </c>
      <c r="B1243" s="2" t="s">
        <v>410</v>
      </c>
      <c r="C1243" s="2" t="n">
        <v>1</v>
      </c>
      <c r="D1243" s="2" t="s">
        <v>549</v>
      </c>
      <c r="E1243" s="2" t="s">
        <v>16</v>
      </c>
      <c r="F1243" s="2" t="n">
        <v>322</v>
      </c>
      <c r="G1243" s="2" t="n">
        <v>24</v>
      </c>
    </row>
    <row r="1244" customFormat="false" ht="16.5" hidden="false" customHeight="true" outlineLevel="0" collapsed="false">
      <c r="A1244" s="2" t="s">
        <v>385</v>
      </c>
      <c r="B1244" s="2" t="s">
        <v>410</v>
      </c>
      <c r="C1244" s="2" t="n">
        <v>1</v>
      </c>
      <c r="D1244" s="2" t="s">
        <v>549</v>
      </c>
      <c r="E1244" s="2" t="s">
        <v>17</v>
      </c>
      <c r="F1244" s="2" t="n">
        <v>322</v>
      </c>
      <c r="G1244" s="2" t="n">
        <v>28</v>
      </c>
    </row>
    <row r="1245" customFormat="false" ht="16.5" hidden="false" customHeight="true" outlineLevel="0" collapsed="false">
      <c r="A1245" s="2" t="s">
        <v>385</v>
      </c>
      <c r="B1245" s="2" t="s">
        <v>410</v>
      </c>
      <c r="C1245" s="2" t="n">
        <v>1</v>
      </c>
      <c r="D1245" s="2" t="s">
        <v>549</v>
      </c>
      <c r="E1245" s="2" t="s">
        <v>18</v>
      </c>
      <c r="F1245" s="2" t="n">
        <v>322</v>
      </c>
      <c r="G1245" s="2" t="n">
        <v>32</v>
      </c>
    </row>
    <row r="1246" customFormat="false" ht="16.5" hidden="false" customHeight="true" outlineLevel="0" collapsed="false">
      <c r="A1246" s="2" t="s">
        <v>385</v>
      </c>
      <c r="B1246" s="2" t="s">
        <v>410</v>
      </c>
      <c r="C1246" s="2" t="n">
        <v>1</v>
      </c>
      <c r="D1246" s="2" t="s">
        <v>549</v>
      </c>
      <c r="E1246" s="2" t="s">
        <v>19</v>
      </c>
      <c r="F1246" s="2" t="n">
        <v>322</v>
      </c>
      <c r="G1246" s="2" t="n">
        <v>36</v>
      </c>
    </row>
    <row r="1247" customFormat="false" ht="16.5" hidden="false" customHeight="true" outlineLevel="0" collapsed="false">
      <c r="A1247" s="2" t="s">
        <v>385</v>
      </c>
      <c r="B1247" s="2" t="s">
        <v>410</v>
      </c>
      <c r="C1247" s="2" t="n">
        <v>1</v>
      </c>
      <c r="D1247" s="2" t="s">
        <v>549</v>
      </c>
      <c r="E1247" s="2" t="s">
        <v>20</v>
      </c>
      <c r="F1247" s="2" t="n">
        <v>322</v>
      </c>
      <c r="G1247" s="2" t="n">
        <v>40</v>
      </c>
    </row>
    <row r="1248" customFormat="false" ht="16.5" hidden="false" customHeight="true" outlineLevel="0" collapsed="false">
      <c r="A1248" s="2" t="s">
        <v>385</v>
      </c>
      <c r="B1248" s="2" t="s">
        <v>410</v>
      </c>
      <c r="C1248" s="2" t="n">
        <v>1</v>
      </c>
      <c r="D1248" s="2" t="s">
        <v>549</v>
      </c>
      <c r="E1248" s="2" t="s">
        <v>21</v>
      </c>
      <c r="F1248" s="2" t="n">
        <v>322</v>
      </c>
      <c r="G1248" s="2" t="n">
        <v>44</v>
      </c>
    </row>
    <row r="1249" customFormat="false" ht="16.5" hidden="false" customHeight="true" outlineLevel="0" collapsed="false">
      <c r="A1249" s="2" t="s">
        <v>385</v>
      </c>
      <c r="B1249" s="2" t="s">
        <v>410</v>
      </c>
      <c r="C1249" s="2" t="n">
        <v>1</v>
      </c>
      <c r="D1249" s="2" t="s">
        <v>549</v>
      </c>
      <c r="E1249" s="2" t="s">
        <v>22</v>
      </c>
      <c r="F1249" s="2" t="n">
        <v>322</v>
      </c>
      <c r="G1249" s="2" t="n">
        <v>48</v>
      </c>
    </row>
    <row r="1250" customFormat="false" ht="16.5" hidden="false" customHeight="true" outlineLevel="0" collapsed="false">
      <c r="A1250" s="2" t="s">
        <v>385</v>
      </c>
      <c r="B1250" s="2" t="s">
        <v>410</v>
      </c>
      <c r="C1250" s="2" t="n">
        <v>1</v>
      </c>
      <c r="D1250" s="2" t="s">
        <v>549</v>
      </c>
      <c r="E1250" s="2" t="s">
        <v>23</v>
      </c>
      <c r="F1250" s="2" t="n">
        <v>322</v>
      </c>
      <c r="G1250" s="2" t="n">
        <v>52</v>
      </c>
    </row>
    <row r="1251" customFormat="false" ht="16.5" hidden="false" customHeight="true" outlineLevel="0" collapsed="false">
      <c r="A1251" s="2" t="s">
        <v>385</v>
      </c>
      <c r="B1251" s="2" t="s">
        <v>410</v>
      </c>
      <c r="C1251" s="2" t="n">
        <v>1</v>
      </c>
      <c r="D1251" s="2" t="s">
        <v>549</v>
      </c>
      <c r="E1251" s="2" t="s">
        <v>24</v>
      </c>
      <c r="F1251" s="2" t="n">
        <v>324</v>
      </c>
      <c r="G1251" s="2" t="n">
        <v>9</v>
      </c>
    </row>
    <row r="1252" customFormat="false" ht="16.5" hidden="false" customHeight="true" outlineLevel="0" collapsed="false">
      <c r="A1252" s="2" t="s">
        <v>385</v>
      </c>
      <c r="B1252" s="2" t="s">
        <v>410</v>
      </c>
      <c r="C1252" s="2" t="n">
        <v>1</v>
      </c>
      <c r="D1252" s="2" t="s">
        <v>549</v>
      </c>
      <c r="E1252" s="2" t="s">
        <v>25</v>
      </c>
      <c r="F1252" s="2" t="n">
        <v>324</v>
      </c>
      <c r="G1252" s="2" t="n">
        <v>13</v>
      </c>
    </row>
    <row r="1253" customFormat="false" ht="16.5" hidden="false" customHeight="true" outlineLevel="0" collapsed="false">
      <c r="A1253" s="2" t="s">
        <v>385</v>
      </c>
      <c r="B1253" s="2" t="s">
        <v>410</v>
      </c>
      <c r="C1253" s="2" t="n">
        <v>1</v>
      </c>
      <c r="D1253" s="2" t="s">
        <v>549</v>
      </c>
      <c r="E1253" s="2" t="s">
        <v>26</v>
      </c>
      <c r="F1253" s="2" t="n">
        <v>324</v>
      </c>
      <c r="G1253" s="2" t="n">
        <v>17</v>
      </c>
    </row>
    <row r="1254" customFormat="false" ht="16.5" hidden="false" customHeight="true" outlineLevel="0" collapsed="false">
      <c r="A1254" s="2" t="s">
        <v>385</v>
      </c>
      <c r="B1254" s="2" t="s">
        <v>410</v>
      </c>
      <c r="C1254" s="2" t="n">
        <v>1</v>
      </c>
      <c r="D1254" s="2" t="s">
        <v>549</v>
      </c>
      <c r="E1254" s="2" t="s">
        <v>27</v>
      </c>
      <c r="F1254" s="2" t="n">
        <v>324</v>
      </c>
      <c r="G1254" s="2" t="n">
        <v>21</v>
      </c>
    </row>
    <row r="1255" customFormat="false" ht="16.5" hidden="false" customHeight="true" outlineLevel="0" collapsed="false">
      <c r="A1255" s="2" t="s">
        <v>385</v>
      </c>
      <c r="B1255" s="2" t="s">
        <v>410</v>
      </c>
      <c r="C1255" s="2" t="n">
        <v>1</v>
      </c>
      <c r="D1255" s="2" t="s">
        <v>549</v>
      </c>
      <c r="E1255" s="2" t="s">
        <v>28</v>
      </c>
      <c r="F1255" s="2" t="n">
        <v>324</v>
      </c>
      <c r="G1255" s="2" t="n">
        <v>25</v>
      </c>
    </row>
    <row r="1256" customFormat="false" ht="16.5" hidden="false" customHeight="true" outlineLevel="0" collapsed="false">
      <c r="A1256" s="2" t="s">
        <v>385</v>
      </c>
      <c r="B1256" s="2" t="s">
        <v>410</v>
      </c>
      <c r="C1256" s="2" t="n">
        <v>1</v>
      </c>
      <c r="D1256" s="2" t="s">
        <v>549</v>
      </c>
      <c r="E1256" s="2" t="s">
        <v>29</v>
      </c>
      <c r="F1256" s="2" t="n">
        <v>324</v>
      </c>
      <c r="G1256" s="2" t="n">
        <v>29</v>
      </c>
    </row>
    <row r="1257" customFormat="false" ht="16.5" hidden="false" customHeight="true" outlineLevel="0" collapsed="false">
      <c r="A1257" s="2" t="s">
        <v>385</v>
      </c>
      <c r="B1257" s="2" t="s">
        <v>410</v>
      </c>
      <c r="C1257" s="2" t="n">
        <v>1</v>
      </c>
      <c r="D1257" s="2" t="s">
        <v>549</v>
      </c>
      <c r="E1257" s="2" t="s">
        <v>30</v>
      </c>
      <c r="F1257" s="2" t="n">
        <v>324</v>
      </c>
      <c r="G1257" s="2" t="n">
        <v>33</v>
      </c>
    </row>
    <row r="1258" customFormat="false" ht="16.5" hidden="false" customHeight="true" outlineLevel="0" collapsed="false">
      <c r="A1258" s="2" t="s">
        <v>385</v>
      </c>
      <c r="B1258" s="2" t="s">
        <v>410</v>
      </c>
      <c r="C1258" s="2" t="n">
        <v>1</v>
      </c>
      <c r="D1258" s="2" t="s">
        <v>549</v>
      </c>
      <c r="E1258" s="2" t="s">
        <v>31</v>
      </c>
      <c r="F1258" s="2" t="n">
        <v>324</v>
      </c>
      <c r="G1258" s="2" t="n">
        <v>37</v>
      </c>
    </row>
    <row r="1259" customFormat="false" ht="16.5" hidden="false" customHeight="true" outlineLevel="0" collapsed="false">
      <c r="A1259" s="2" t="s">
        <v>385</v>
      </c>
      <c r="B1259" s="2" t="s">
        <v>410</v>
      </c>
      <c r="C1259" s="2" t="n">
        <v>1</v>
      </c>
      <c r="D1259" s="2" t="s">
        <v>549</v>
      </c>
      <c r="E1259" s="2" t="s">
        <v>32</v>
      </c>
      <c r="F1259" s="2" t="n">
        <v>324</v>
      </c>
      <c r="G1259" s="2" t="n">
        <v>41</v>
      </c>
    </row>
    <row r="1260" customFormat="false" ht="16.5" hidden="false" customHeight="true" outlineLevel="0" collapsed="false">
      <c r="A1260" s="2" t="s">
        <v>385</v>
      </c>
      <c r="B1260" s="2" t="s">
        <v>410</v>
      </c>
      <c r="C1260" s="2" t="n">
        <v>1</v>
      </c>
      <c r="D1260" s="2" t="s">
        <v>549</v>
      </c>
      <c r="E1260" s="2" t="s">
        <v>33</v>
      </c>
      <c r="F1260" s="2" t="n">
        <v>324</v>
      </c>
      <c r="G1260" s="2" t="n">
        <v>45</v>
      </c>
    </row>
    <row r="1261" customFormat="false" ht="16.5" hidden="false" customHeight="true" outlineLevel="0" collapsed="false">
      <c r="A1261" s="2" t="s">
        <v>385</v>
      </c>
      <c r="B1261" s="2" t="s">
        <v>410</v>
      </c>
      <c r="C1261" s="2" t="n">
        <v>1</v>
      </c>
      <c r="D1261" s="2" t="s">
        <v>549</v>
      </c>
      <c r="E1261" s="2" t="s">
        <v>34</v>
      </c>
      <c r="F1261" s="2" t="n">
        <v>324</v>
      </c>
      <c r="G1261" s="2" t="n">
        <v>49</v>
      </c>
    </row>
    <row r="1262" customFormat="false" ht="16.5" hidden="false" customHeight="true" outlineLevel="0" collapsed="false">
      <c r="A1262" s="2" t="s">
        <v>385</v>
      </c>
      <c r="B1262" s="2" t="s">
        <v>410</v>
      </c>
      <c r="C1262" s="2" t="n">
        <v>1</v>
      </c>
      <c r="D1262" s="2" t="s">
        <v>549</v>
      </c>
      <c r="E1262" s="2" t="s">
        <v>35</v>
      </c>
      <c r="F1262" s="2" t="n">
        <v>326</v>
      </c>
      <c r="G1262" s="2" t="n">
        <v>11</v>
      </c>
    </row>
    <row r="1263" customFormat="false" ht="16.5" hidden="false" customHeight="true" outlineLevel="0" collapsed="false">
      <c r="A1263" s="2" t="s">
        <v>385</v>
      </c>
      <c r="B1263" s="2" t="s">
        <v>410</v>
      </c>
      <c r="C1263" s="2" t="n">
        <v>1</v>
      </c>
      <c r="D1263" s="2" t="s">
        <v>549</v>
      </c>
      <c r="E1263" s="2" t="s">
        <v>36</v>
      </c>
      <c r="F1263" s="2" t="n">
        <v>326</v>
      </c>
      <c r="G1263" s="2" t="n">
        <v>15</v>
      </c>
    </row>
    <row r="1264" customFormat="false" ht="16.5" hidden="false" customHeight="true" outlineLevel="0" collapsed="false">
      <c r="A1264" s="2" t="s">
        <v>385</v>
      </c>
      <c r="B1264" s="2" t="s">
        <v>410</v>
      </c>
      <c r="C1264" s="2" t="n">
        <v>1</v>
      </c>
      <c r="D1264" s="2" t="s">
        <v>549</v>
      </c>
      <c r="E1264" s="2" t="s">
        <v>37</v>
      </c>
      <c r="F1264" s="2" t="n">
        <v>326</v>
      </c>
      <c r="G1264" s="2" t="n">
        <v>19</v>
      </c>
    </row>
    <row r="1265" customFormat="false" ht="16.5" hidden="false" customHeight="true" outlineLevel="0" collapsed="false">
      <c r="A1265" s="2" t="s">
        <v>385</v>
      </c>
      <c r="B1265" s="2" t="s">
        <v>410</v>
      </c>
      <c r="C1265" s="2" t="n">
        <v>1</v>
      </c>
      <c r="D1265" s="2" t="s">
        <v>549</v>
      </c>
      <c r="E1265" s="2" t="s">
        <v>38</v>
      </c>
      <c r="F1265" s="2" t="n">
        <v>326</v>
      </c>
      <c r="G1265" s="2" t="n">
        <v>23</v>
      </c>
    </row>
    <row r="1266" customFormat="false" ht="16.5" hidden="false" customHeight="true" outlineLevel="0" collapsed="false">
      <c r="A1266" s="2" t="s">
        <v>385</v>
      </c>
      <c r="B1266" s="2" t="s">
        <v>410</v>
      </c>
      <c r="C1266" s="2" t="n">
        <v>1</v>
      </c>
      <c r="D1266" s="2" t="s">
        <v>549</v>
      </c>
      <c r="E1266" s="2" t="s">
        <v>39</v>
      </c>
      <c r="F1266" s="2" t="n">
        <v>326</v>
      </c>
      <c r="G1266" s="2" t="n">
        <v>27</v>
      </c>
    </row>
    <row r="1267" customFormat="false" ht="16.5" hidden="false" customHeight="true" outlineLevel="0" collapsed="false">
      <c r="A1267" s="2" t="s">
        <v>385</v>
      </c>
      <c r="B1267" s="2" t="s">
        <v>410</v>
      </c>
      <c r="C1267" s="2" t="n">
        <v>1</v>
      </c>
      <c r="D1267" s="2" t="s">
        <v>549</v>
      </c>
      <c r="E1267" s="2" t="s">
        <v>40</v>
      </c>
      <c r="F1267" s="2" t="n">
        <v>326</v>
      </c>
      <c r="G1267" s="2" t="n">
        <v>31</v>
      </c>
    </row>
    <row r="1268" customFormat="false" ht="16.5" hidden="false" customHeight="true" outlineLevel="0" collapsed="false">
      <c r="A1268" s="2" t="s">
        <v>385</v>
      </c>
      <c r="B1268" s="2" t="s">
        <v>410</v>
      </c>
      <c r="C1268" s="2" t="n">
        <v>1</v>
      </c>
      <c r="D1268" s="2" t="s">
        <v>549</v>
      </c>
      <c r="E1268" s="2" t="s">
        <v>41</v>
      </c>
      <c r="F1268" s="2" t="n">
        <v>326</v>
      </c>
      <c r="G1268" s="2" t="n">
        <v>35</v>
      </c>
    </row>
    <row r="1269" customFormat="false" ht="16.5" hidden="false" customHeight="true" outlineLevel="0" collapsed="false">
      <c r="A1269" s="2" t="s">
        <v>385</v>
      </c>
      <c r="B1269" s="2" t="s">
        <v>410</v>
      </c>
      <c r="C1269" s="2" t="n">
        <v>1</v>
      </c>
      <c r="D1269" s="2" t="s">
        <v>549</v>
      </c>
      <c r="E1269" s="2" t="s">
        <v>42</v>
      </c>
      <c r="F1269" s="2" t="n">
        <v>326</v>
      </c>
      <c r="G1269" s="2" t="n">
        <v>39</v>
      </c>
    </row>
    <row r="1270" customFormat="false" ht="16.5" hidden="false" customHeight="true" outlineLevel="0" collapsed="false">
      <c r="A1270" s="2" t="s">
        <v>385</v>
      </c>
      <c r="B1270" s="2" t="s">
        <v>410</v>
      </c>
      <c r="C1270" s="2" t="n">
        <v>1</v>
      </c>
      <c r="D1270" s="2" t="s">
        <v>549</v>
      </c>
      <c r="E1270" s="2" t="s">
        <v>43</v>
      </c>
      <c r="F1270" s="2" t="n">
        <v>326</v>
      </c>
      <c r="G1270" s="2" t="n">
        <v>43</v>
      </c>
    </row>
    <row r="1271" customFormat="false" ht="16.5" hidden="false" customHeight="true" outlineLevel="0" collapsed="false">
      <c r="A1271" s="2" t="s">
        <v>385</v>
      </c>
      <c r="B1271" s="2" t="s">
        <v>410</v>
      </c>
      <c r="C1271" s="2" t="n">
        <v>1</v>
      </c>
      <c r="D1271" s="2" t="s">
        <v>549</v>
      </c>
      <c r="E1271" s="2" t="s">
        <v>44</v>
      </c>
      <c r="F1271" s="2" t="n">
        <v>326</v>
      </c>
      <c r="G1271" s="2" t="n">
        <v>47</v>
      </c>
    </row>
    <row r="1272" customFormat="false" ht="16.5" hidden="false" customHeight="true" outlineLevel="0" collapsed="false">
      <c r="A1272" s="2" t="s">
        <v>385</v>
      </c>
      <c r="B1272" s="2" t="s">
        <v>410</v>
      </c>
      <c r="C1272" s="2" t="n">
        <v>1</v>
      </c>
      <c r="D1272" s="2" t="s">
        <v>549</v>
      </c>
      <c r="E1272" s="2" t="s">
        <v>48</v>
      </c>
      <c r="F1272" s="2" t="n">
        <v>328</v>
      </c>
      <c r="G1272" s="2" t="n">
        <v>16</v>
      </c>
    </row>
    <row r="1273" customFormat="false" ht="16.5" hidden="false" customHeight="true" outlineLevel="0" collapsed="false">
      <c r="A1273" s="2" t="s">
        <v>385</v>
      </c>
      <c r="B1273" s="2" t="s">
        <v>410</v>
      </c>
      <c r="C1273" s="2" t="n">
        <v>1</v>
      </c>
      <c r="D1273" s="2" t="s">
        <v>549</v>
      </c>
      <c r="E1273" s="2" t="s">
        <v>50</v>
      </c>
      <c r="F1273" s="2" t="n">
        <v>328</v>
      </c>
      <c r="G1273" s="2" t="n">
        <v>20</v>
      </c>
    </row>
    <row r="1274" customFormat="false" ht="16.5" hidden="false" customHeight="true" outlineLevel="0" collapsed="false">
      <c r="A1274" s="2" t="s">
        <v>385</v>
      </c>
      <c r="B1274" s="2" t="s">
        <v>410</v>
      </c>
      <c r="C1274" s="2" t="n">
        <v>1</v>
      </c>
      <c r="D1274" s="2" t="s">
        <v>549</v>
      </c>
      <c r="E1274" s="2" t="s">
        <v>45</v>
      </c>
      <c r="F1274" s="2" t="n">
        <v>328</v>
      </c>
      <c r="G1274" s="2" t="n">
        <v>38</v>
      </c>
    </row>
    <row r="1275" customFormat="false" ht="16.5" hidden="false" customHeight="true" outlineLevel="0" collapsed="false">
      <c r="A1275" s="2" t="s">
        <v>385</v>
      </c>
      <c r="B1275" s="2" t="s">
        <v>410</v>
      </c>
      <c r="C1275" s="2" t="n">
        <v>1</v>
      </c>
      <c r="D1275" s="2" t="s">
        <v>549</v>
      </c>
      <c r="E1275" s="2" t="s">
        <v>46</v>
      </c>
      <c r="F1275" s="2" t="n">
        <v>328</v>
      </c>
      <c r="G1275" s="2" t="n">
        <v>42</v>
      </c>
    </row>
    <row r="1276" customFormat="false" ht="16.5" hidden="false" customHeight="true" outlineLevel="0" collapsed="false">
      <c r="A1276" s="2" t="s">
        <v>385</v>
      </c>
      <c r="B1276" s="2" t="s">
        <v>411</v>
      </c>
      <c r="C1276" s="2" t="n">
        <v>1</v>
      </c>
      <c r="D1276" s="2" t="s">
        <v>550</v>
      </c>
      <c r="E1276" s="2" t="s">
        <v>0</v>
      </c>
      <c r="F1276" s="2" t="n">
        <v>333</v>
      </c>
      <c r="G1276" s="2" t="n">
        <v>6</v>
      </c>
    </row>
    <row r="1277" customFormat="false" ht="16.5" hidden="false" customHeight="true" outlineLevel="0" collapsed="false">
      <c r="A1277" s="2" t="s">
        <v>385</v>
      </c>
      <c r="B1277" s="2" t="s">
        <v>411</v>
      </c>
      <c r="C1277" s="2" t="n">
        <v>1</v>
      </c>
      <c r="D1277" s="2" t="s">
        <v>550</v>
      </c>
      <c r="E1277" s="2" t="s">
        <v>1</v>
      </c>
      <c r="F1277" s="2" t="n">
        <v>333</v>
      </c>
      <c r="G1277" s="2" t="n">
        <v>10</v>
      </c>
    </row>
    <row r="1278" customFormat="false" ht="16.5" hidden="false" customHeight="true" outlineLevel="0" collapsed="false">
      <c r="A1278" s="2" t="s">
        <v>385</v>
      </c>
      <c r="B1278" s="2" t="s">
        <v>411</v>
      </c>
      <c r="C1278" s="2" t="n">
        <v>1</v>
      </c>
      <c r="D1278" s="2" t="s">
        <v>550</v>
      </c>
      <c r="E1278" s="2" t="s">
        <v>2</v>
      </c>
      <c r="F1278" s="2" t="n">
        <v>333</v>
      </c>
      <c r="G1278" s="2" t="n">
        <v>14</v>
      </c>
    </row>
    <row r="1279" customFormat="false" ht="16.5" hidden="false" customHeight="true" outlineLevel="0" collapsed="false">
      <c r="A1279" s="2" t="s">
        <v>385</v>
      </c>
      <c r="B1279" s="2" t="s">
        <v>411</v>
      </c>
      <c r="C1279" s="2" t="n">
        <v>1</v>
      </c>
      <c r="D1279" s="2" t="s">
        <v>550</v>
      </c>
      <c r="E1279" s="2" t="s">
        <v>3</v>
      </c>
      <c r="F1279" s="2" t="n">
        <v>333</v>
      </c>
      <c r="G1279" s="2" t="n">
        <v>18</v>
      </c>
    </row>
    <row r="1280" customFormat="false" ht="16.5" hidden="false" customHeight="true" outlineLevel="0" collapsed="false">
      <c r="A1280" s="2" t="s">
        <v>385</v>
      </c>
      <c r="B1280" s="2" t="s">
        <v>411</v>
      </c>
      <c r="C1280" s="2" t="n">
        <v>1</v>
      </c>
      <c r="D1280" s="2" t="s">
        <v>550</v>
      </c>
      <c r="E1280" s="2" t="s">
        <v>4</v>
      </c>
      <c r="F1280" s="2" t="n">
        <v>333</v>
      </c>
      <c r="G1280" s="2" t="n">
        <v>22</v>
      </c>
    </row>
    <row r="1281" customFormat="false" ht="16.5" hidden="false" customHeight="true" outlineLevel="0" collapsed="false">
      <c r="A1281" s="2" t="s">
        <v>385</v>
      </c>
      <c r="B1281" s="2" t="s">
        <v>411</v>
      </c>
      <c r="C1281" s="2" t="n">
        <v>1</v>
      </c>
      <c r="D1281" s="2" t="s">
        <v>550</v>
      </c>
      <c r="E1281" s="2" t="s">
        <v>5</v>
      </c>
      <c r="F1281" s="2" t="n">
        <v>333</v>
      </c>
      <c r="G1281" s="2" t="n">
        <v>26</v>
      </c>
    </row>
    <row r="1282" customFormat="false" ht="16.5" hidden="false" customHeight="true" outlineLevel="0" collapsed="false">
      <c r="A1282" s="2" t="s">
        <v>385</v>
      </c>
      <c r="B1282" s="2" t="s">
        <v>411</v>
      </c>
      <c r="C1282" s="2" t="n">
        <v>1</v>
      </c>
      <c r="D1282" s="2" t="s">
        <v>550</v>
      </c>
      <c r="E1282" s="2" t="s">
        <v>6</v>
      </c>
      <c r="F1282" s="2" t="n">
        <v>333</v>
      </c>
      <c r="G1282" s="2" t="n">
        <v>30</v>
      </c>
    </row>
    <row r="1283" customFormat="false" ht="16.5" hidden="false" customHeight="true" outlineLevel="0" collapsed="false">
      <c r="A1283" s="2" t="s">
        <v>385</v>
      </c>
      <c r="B1283" s="2" t="s">
        <v>411</v>
      </c>
      <c r="C1283" s="2" t="n">
        <v>1</v>
      </c>
      <c r="D1283" s="2" t="s">
        <v>550</v>
      </c>
      <c r="E1283" s="2" t="s">
        <v>7</v>
      </c>
      <c r="F1283" s="2" t="n">
        <v>333</v>
      </c>
      <c r="G1283" s="2" t="n">
        <v>34</v>
      </c>
    </row>
    <row r="1284" customFormat="false" ht="16.5" hidden="false" customHeight="true" outlineLevel="0" collapsed="false">
      <c r="A1284" s="2" t="s">
        <v>385</v>
      </c>
      <c r="B1284" s="2" t="s">
        <v>411</v>
      </c>
      <c r="C1284" s="2" t="n">
        <v>1</v>
      </c>
      <c r="D1284" s="2" t="s">
        <v>550</v>
      </c>
      <c r="E1284" s="2" t="s">
        <v>8</v>
      </c>
      <c r="F1284" s="2" t="n">
        <v>333</v>
      </c>
      <c r="G1284" s="2" t="n">
        <v>38</v>
      </c>
    </row>
    <row r="1285" customFormat="false" ht="16.5" hidden="false" customHeight="true" outlineLevel="0" collapsed="false">
      <c r="A1285" s="2" t="s">
        <v>385</v>
      </c>
      <c r="B1285" s="2" t="s">
        <v>411</v>
      </c>
      <c r="C1285" s="2" t="n">
        <v>1</v>
      </c>
      <c r="D1285" s="2" t="s">
        <v>550</v>
      </c>
      <c r="E1285" s="2" t="s">
        <v>9</v>
      </c>
      <c r="F1285" s="2" t="n">
        <v>333</v>
      </c>
      <c r="G1285" s="2" t="n">
        <v>42</v>
      </c>
    </row>
    <row r="1286" customFormat="false" ht="16.5" hidden="false" customHeight="true" outlineLevel="0" collapsed="false">
      <c r="A1286" s="2" t="s">
        <v>385</v>
      </c>
      <c r="B1286" s="2" t="s">
        <v>411</v>
      </c>
      <c r="C1286" s="2" t="n">
        <v>1</v>
      </c>
      <c r="D1286" s="2" t="s">
        <v>550</v>
      </c>
      <c r="E1286" s="2" t="s">
        <v>10</v>
      </c>
      <c r="F1286" s="2" t="n">
        <v>333</v>
      </c>
      <c r="G1286" s="2" t="n">
        <v>46</v>
      </c>
    </row>
    <row r="1287" customFormat="false" ht="16.5" hidden="false" customHeight="true" outlineLevel="0" collapsed="false">
      <c r="A1287" s="2" t="s">
        <v>385</v>
      </c>
      <c r="B1287" s="2" t="s">
        <v>411</v>
      </c>
      <c r="C1287" s="2" t="n">
        <v>1</v>
      </c>
      <c r="D1287" s="2" t="s">
        <v>550</v>
      </c>
      <c r="E1287" s="2" t="s">
        <v>11</v>
      </c>
      <c r="F1287" s="2" t="n">
        <v>333</v>
      </c>
      <c r="G1287" s="2" t="n">
        <v>50</v>
      </c>
    </row>
    <row r="1288" customFormat="false" ht="16.5" hidden="false" customHeight="true" outlineLevel="0" collapsed="false">
      <c r="A1288" s="2" t="s">
        <v>385</v>
      </c>
      <c r="B1288" s="2" t="s">
        <v>411</v>
      </c>
      <c r="C1288" s="2" t="n">
        <v>1</v>
      </c>
      <c r="D1288" s="2" t="s">
        <v>550</v>
      </c>
      <c r="E1288" s="2" t="s">
        <v>12</v>
      </c>
      <c r="F1288" s="2" t="n">
        <v>335</v>
      </c>
      <c r="G1288" s="2" t="n">
        <v>8</v>
      </c>
    </row>
    <row r="1289" customFormat="false" ht="16.5" hidden="false" customHeight="true" outlineLevel="0" collapsed="false">
      <c r="A1289" s="2" t="s">
        <v>385</v>
      </c>
      <c r="B1289" s="2" t="s">
        <v>411</v>
      </c>
      <c r="C1289" s="2" t="n">
        <v>1</v>
      </c>
      <c r="D1289" s="2" t="s">
        <v>550</v>
      </c>
      <c r="E1289" s="2" t="s">
        <v>13</v>
      </c>
      <c r="F1289" s="2" t="n">
        <v>335</v>
      </c>
      <c r="G1289" s="2" t="n">
        <v>12</v>
      </c>
    </row>
    <row r="1290" customFormat="false" ht="16.5" hidden="false" customHeight="true" outlineLevel="0" collapsed="false">
      <c r="A1290" s="2" t="s">
        <v>385</v>
      </c>
      <c r="B1290" s="2" t="s">
        <v>411</v>
      </c>
      <c r="C1290" s="2" t="n">
        <v>1</v>
      </c>
      <c r="D1290" s="2" t="s">
        <v>550</v>
      </c>
      <c r="E1290" s="2" t="s">
        <v>14</v>
      </c>
      <c r="F1290" s="2" t="n">
        <v>335</v>
      </c>
      <c r="G1290" s="2" t="n">
        <v>16</v>
      </c>
    </row>
    <row r="1291" customFormat="false" ht="16.5" hidden="false" customHeight="true" outlineLevel="0" collapsed="false">
      <c r="A1291" s="2" t="s">
        <v>385</v>
      </c>
      <c r="B1291" s="2" t="s">
        <v>411</v>
      </c>
      <c r="C1291" s="2" t="n">
        <v>1</v>
      </c>
      <c r="D1291" s="2" t="s">
        <v>550</v>
      </c>
      <c r="E1291" s="2" t="s">
        <v>15</v>
      </c>
      <c r="F1291" s="2" t="n">
        <v>335</v>
      </c>
      <c r="G1291" s="2" t="n">
        <v>20</v>
      </c>
    </row>
    <row r="1292" customFormat="false" ht="16.5" hidden="false" customHeight="true" outlineLevel="0" collapsed="false">
      <c r="A1292" s="2" t="s">
        <v>385</v>
      </c>
      <c r="B1292" s="2" t="s">
        <v>411</v>
      </c>
      <c r="C1292" s="2" t="n">
        <v>1</v>
      </c>
      <c r="D1292" s="2" t="s">
        <v>550</v>
      </c>
      <c r="E1292" s="2" t="s">
        <v>16</v>
      </c>
      <c r="F1292" s="2" t="n">
        <v>335</v>
      </c>
      <c r="G1292" s="2" t="n">
        <v>24</v>
      </c>
    </row>
    <row r="1293" customFormat="false" ht="16.5" hidden="false" customHeight="true" outlineLevel="0" collapsed="false">
      <c r="A1293" s="2" t="s">
        <v>385</v>
      </c>
      <c r="B1293" s="2" t="s">
        <v>411</v>
      </c>
      <c r="C1293" s="2" t="n">
        <v>1</v>
      </c>
      <c r="D1293" s="2" t="s">
        <v>550</v>
      </c>
      <c r="E1293" s="2" t="s">
        <v>17</v>
      </c>
      <c r="F1293" s="2" t="n">
        <v>335</v>
      </c>
      <c r="G1293" s="2" t="n">
        <v>28</v>
      </c>
    </row>
    <row r="1294" customFormat="false" ht="16.5" hidden="false" customHeight="true" outlineLevel="0" collapsed="false">
      <c r="A1294" s="2" t="s">
        <v>385</v>
      </c>
      <c r="B1294" s="2" t="s">
        <v>411</v>
      </c>
      <c r="C1294" s="2" t="n">
        <v>1</v>
      </c>
      <c r="D1294" s="2" t="s">
        <v>550</v>
      </c>
      <c r="E1294" s="2" t="s">
        <v>18</v>
      </c>
      <c r="F1294" s="2" t="n">
        <v>335</v>
      </c>
      <c r="G1294" s="2" t="n">
        <v>32</v>
      </c>
    </row>
    <row r="1295" customFormat="false" ht="16.5" hidden="false" customHeight="true" outlineLevel="0" collapsed="false">
      <c r="A1295" s="2" t="s">
        <v>385</v>
      </c>
      <c r="B1295" s="2" t="s">
        <v>411</v>
      </c>
      <c r="C1295" s="2" t="n">
        <v>1</v>
      </c>
      <c r="D1295" s="2" t="s">
        <v>550</v>
      </c>
      <c r="E1295" s="2" t="s">
        <v>19</v>
      </c>
      <c r="F1295" s="2" t="n">
        <v>335</v>
      </c>
      <c r="G1295" s="2" t="n">
        <v>36</v>
      </c>
    </row>
    <row r="1296" customFormat="false" ht="16.5" hidden="false" customHeight="true" outlineLevel="0" collapsed="false">
      <c r="A1296" s="2" t="s">
        <v>385</v>
      </c>
      <c r="B1296" s="2" t="s">
        <v>411</v>
      </c>
      <c r="C1296" s="2" t="n">
        <v>1</v>
      </c>
      <c r="D1296" s="2" t="s">
        <v>550</v>
      </c>
      <c r="E1296" s="2" t="s">
        <v>20</v>
      </c>
      <c r="F1296" s="2" t="n">
        <v>335</v>
      </c>
      <c r="G1296" s="2" t="n">
        <v>40</v>
      </c>
    </row>
    <row r="1297" customFormat="false" ht="16.5" hidden="false" customHeight="true" outlineLevel="0" collapsed="false">
      <c r="A1297" s="2" t="s">
        <v>385</v>
      </c>
      <c r="B1297" s="2" t="s">
        <v>411</v>
      </c>
      <c r="C1297" s="2" t="n">
        <v>1</v>
      </c>
      <c r="D1297" s="2" t="s">
        <v>550</v>
      </c>
      <c r="E1297" s="2" t="s">
        <v>21</v>
      </c>
      <c r="F1297" s="2" t="n">
        <v>335</v>
      </c>
      <c r="G1297" s="2" t="n">
        <v>44</v>
      </c>
    </row>
    <row r="1298" customFormat="false" ht="16.5" hidden="false" customHeight="true" outlineLevel="0" collapsed="false">
      <c r="A1298" s="2" t="s">
        <v>385</v>
      </c>
      <c r="B1298" s="2" t="s">
        <v>411</v>
      </c>
      <c r="C1298" s="2" t="n">
        <v>1</v>
      </c>
      <c r="D1298" s="2" t="s">
        <v>550</v>
      </c>
      <c r="E1298" s="2" t="s">
        <v>22</v>
      </c>
      <c r="F1298" s="2" t="n">
        <v>335</v>
      </c>
      <c r="G1298" s="2" t="n">
        <v>48</v>
      </c>
    </row>
    <row r="1299" customFormat="false" ht="16.5" hidden="false" customHeight="true" outlineLevel="0" collapsed="false">
      <c r="A1299" s="2" t="s">
        <v>385</v>
      </c>
      <c r="B1299" s="2" t="s">
        <v>411</v>
      </c>
      <c r="C1299" s="2" t="n">
        <v>1</v>
      </c>
      <c r="D1299" s="2" t="s">
        <v>550</v>
      </c>
      <c r="E1299" s="2" t="s">
        <v>23</v>
      </c>
      <c r="F1299" s="2" t="n">
        <v>335</v>
      </c>
      <c r="G1299" s="2" t="n">
        <v>52</v>
      </c>
    </row>
    <row r="1300" customFormat="false" ht="16.5" hidden="false" customHeight="true" outlineLevel="0" collapsed="false">
      <c r="A1300" s="2" t="s">
        <v>385</v>
      </c>
      <c r="B1300" s="2" t="s">
        <v>411</v>
      </c>
      <c r="C1300" s="2" t="n">
        <v>1</v>
      </c>
      <c r="D1300" s="2" t="s">
        <v>550</v>
      </c>
      <c r="E1300" s="2" t="s">
        <v>24</v>
      </c>
      <c r="F1300" s="2" t="n">
        <v>337</v>
      </c>
      <c r="G1300" s="2" t="n">
        <v>9</v>
      </c>
    </row>
    <row r="1301" customFormat="false" ht="16.5" hidden="false" customHeight="true" outlineLevel="0" collapsed="false">
      <c r="A1301" s="2" t="s">
        <v>385</v>
      </c>
      <c r="B1301" s="2" t="s">
        <v>411</v>
      </c>
      <c r="C1301" s="2" t="n">
        <v>1</v>
      </c>
      <c r="D1301" s="2" t="s">
        <v>550</v>
      </c>
      <c r="E1301" s="2" t="s">
        <v>25</v>
      </c>
      <c r="F1301" s="2" t="n">
        <v>337</v>
      </c>
      <c r="G1301" s="2" t="n">
        <v>13</v>
      </c>
    </row>
    <row r="1302" customFormat="false" ht="16.5" hidden="false" customHeight="true" outlineLevel="0" collapsed="false">
      <c r="A1302" s="2" t="s">
        <v>385</v>
      </c>
      <c r="B1302" s="2" t="s">
        <v>411</v>
      </c>
      <c r="C1302" s="2" t="n">
        <v>1</v>
      </c>
      <c r="D1302" s="2" t="s">
        <v>550</v>
      </c>
      <c r="E1302" s="2" t="s">
        <v>26</v>
      </c>
      <c r="F1302" s="2" t="n">
        <v>337</v>
      </c>
      <c r="G1302" s="2" t="n">
        <v>17</v>
      </c>
    </row>
    <row r="1303" customFormat="false" ht="16.5" hidden="false" customHeight="true" outlineLevel="0" collapsed="false">
      <c r="A1303" s="2" t="s">
        <v>385</v>
      </c>
      <c r="B1303" s="2" t="s">
        <v>411</v>
      </c>
      <c r="C1303" s="2" t="n">
        <v>1</v>
      </c>
      <c r="D1303" s="2" t="s">
        <v>550</v>
      </c>
      <c r="E1303" s="2" t="s">
        <v>27</v>
      </c>
      <c r="F1303" s="2" t="n">
        <v>337</v>
      </c>
      <c r="G1303" s="2" t="n">
        <v>21</v>
      </c>
    </row>
    <row r="1304" customFormat="false" ht="16.5" hidden="false" customHeight="true" outlineLevel="0" collapsed="false">
      <c r="A1304" s="2" t="s">
        <v>385</v>
      </c>
      <c r="B1304" s="2" t="s">
        <v>411</v>
      </c>
      <c r="C1304" s="2" t="n">
        <v>1</v>
      </c>
      <c r="D1304" s="2" t="s">
        <v>550</v>
      </c>
      <c r="E1304" s="2" t="s">
        <v>28</v>
      </c>
      <c r="F1304" s="2" t="n">
        <v>337</v>
      </c>
      <c r="G1304" s="2" t="n">
        <v>25</v>
      </c>
    </row>
    <row r="1305" customFormat="false" ht="16.5" hidden="false" customHeight="true" outlineLevel="0" collapsed="false">
      <c r="A1305" s="2" t="s">
        <v>385</v>
      </c>
      <c r="B1305" s="2" t="s">
        <v>411</v>
      </c>
      <c r="C1305" s="2" t="n">
        <v>1</v>
      </c>
      <c r="D1305" s="2" t="s">
        <v>550</v>
      </c>
      <c r="E1305" s="2" t="s">
        <v>29</v>
      </c>
      <c r="F1305" s="2" t="n">
        <v>337</v>
      </c>
      <c r="G1305" s="2" t="n">
        <v>29</v>
      </c>
    </row>
    <row r="1306" customFormat="false" ht="16.5" hidden="false" customHeight="true" outlineLevel="0" collapsed="false">
      <c r="A1306" s="2" t="s">
        <v>385</v>
      </c>
      <c r="B1306" s="2" t="s">
        <v>411</v>
      </c>
      <c r="C1306" s="2" t="n">
        <v>1</v>
      </c>
      <c r="D1306" s="2" t="s">
        <v>550</v>
      </c>
      <c r="E1306" s="2" t="s">
        <v>30</v>
      </c>
      <c r="F1306" s="2" t="n">
        <v>337</v>
      </c>
      <c r="G1306" s="2" t="n">
        <v>33</v>
      </c>
    </row>
    <row r="1307" customFormat="false" ht="16.5" hidden="false" customHeight="true" outlineLevel="0" collapsed="false">
      <c r="A1307" s="2" t="s">
        <v>385</v>
      </c>
      <c r="B1307" s="2" t="s">
        <v>411</v>
      </c>
      <c r="C1307" s="2" t="n">
        <v>1</v>
      </c>
      <c r="D1307" s="2" t="s">
        <v>550</v>
      </c>
      <c r="E1307" s="2" t="s">
        <v>31</v>
      </c>
      <c r="F1307" s="2" t="n">
        <v>337</v>
      </c>
      <c r="G1307" s="2" t="n">
        <v>37</v>
      </c>
    </row>
    <row r="1308" customFormat="false" ht="16.5" hidden="false" customHeight="true" outlineLevel="0" collapsed="false">
      <c r="A1308" s="2" t="s">
        <v>385</v>
      </c>
      <c r="B1308" s="2" t="s">
        <v>411</v>
      </c>
      <c r="C1308" s="2" t="n">
        <v>1</v>
      </c>
      <c r="D1308" s="2" t="s">
        <v>550</v>
      </c>
      <c r="E1308" s="2" t="s">
        <v>32</v>
      </c>
      <c r="F1308" s="2" t="n">
        <v>337</v>
      </c>
      <c r="G1308" s="2" t="n">
        <v>41</v>
      </c>
    </row>
    <row r="1309" customFormat="false" ht="16.5" hidden="false" customHeight="true" outlineLevel="0" collapsed="false">
      <c r="A1309" s="2" t="s">
        <v>385</v>
      </c>
      <c r="B1309" s="2" t="s">
        <v>411</v>
      </c>
      <c r="C1309" s="2" t="n">
        <v>1</v>
      </c>
      <c r="D1309" s="2" t="s">
        <v>550</v>
      </c>
      <c r="E1309" s="2" t="s">
        <v>33</v>
      </c>
      <c r="F1309" s="2" t="n">
        <v>337</v>
      </c>
      <c r="G1309" s="2" t="n">
        <v>45</v>
      </c>
    </row>
    <row r="1310" customFormat="false" ht="16.5" hidden="false" customHeight="true" outlineLevel="0" collapsed="false">
      <c r="A1310" s="2" t="s">
        <v>385</v>
      </c>
      <c r="B1310" s="2" t="s">
        <v>411</v>
      </c>
      <c r="C1310" s="2" t="n">
        <v>1</v>
      </c>
      <c r="D1310" s="2" t="s">
        <v>550</v>
      </c>
      <c r="E1310" s="2" t="s">
        <v>34</v>
      </c>
      <c r="F1310" s="2" t="n">
        <v>337</v>
      </c>
      <c r="G1310" s="2" t="n">
        <v>49</v>
      </c>
    </row>
    <row r="1311" customFormat="false" ht="16.5" hidden="false" customHeight="true" outlineLevel="0" collapsed="false">
      <c r="A1311" s="2" t="s">
        <v>385</v>
      </c>
      <c r="B1311" s="2" t="s">
        <v>411</v>
      </c>
      <c r="C1311" s="2" t="n">
        <v>1</v>
      </c>
      <c r="D1311" s="2" t="s">
        <v>550</v>
      </c>
      <c r="E1311" s="2" t="s">
        <v>35</v>
      </c>
      <c r="F1311" s="2" t="n">
        <v>339</v>
      </c>
      <c r="G1311" s="2" t="n">
        <v>11</v>
      </c>
    </row>
    <row r="1312" customFormat="false" ht="16.5" hidden="false" customHeight="true" outlineLevel="0" collapsed="false">
      <c r="A1312" s="2" t="s">
        <v>385</v>
      </c>
      <c r="B1312" s="2" t="s">
        <v>411</v>
      </c>
      <c r="C1312" s="2" t="n">
        <v>1</v>
      </c>
      <c r="D1312" s="2" t="s">
        <v>550</v>
      </c>
      <c r="E1312" s="2" t="s">
        <v>36</v>
      </c>
      <c r="F1312" s="2" t="n">
        <v>339</v>
      </c>
      <c r="G1312" s="2" t="n">
        <v>15</v>
      </c>
    </row>
    <row r="1313" customFormat="false" ht="16.5" hidden="false" customHeight="true" outlineLevel="0" collapsed="false">
      <c r="A1313" s="2" t="s">
        <v>385</v>
      </c>
      <c r="B1313" s="2" t="s">
        <v>411</v>
      </c>
      <c r="C1313" s="2" t="n">
        <v>1</v>
      </c>
      <c r="D1313" s="2" t="s">
        <v>550</v>
      </c>
      <c r="E1313" s="2" t="s">
        <v>37</v>
      </c>
      <c r="F1313" s="2" t="n">
        <v>339</v>
      </c>
      <c r="G1313" s="2" t="n">
        <v>19</v>
      </c>
    </row>
    <row r="1314" customFormat="false" ht="16.5" hidden="false" customHeight="true" outlineLevel="0" collapsed="false">
      <c r="A1314" s="2" t="s">
        <v>385</v>
      </c>
      <c r="B1314" s="2" t="s">
        <v>411</v>
      </c>
      <c r="C1314" s="2" t="n">
        <v>1</v>
      </c>
      <c r="D1314" s="2" t="s">
        <v>550</v>
      </c>
      <c r="E1314" s="2" t="s">
        <v>38</v>
      </c>
      <c r="F1314" s="2" t="n">
        <v>339</v>
      </c>
      <c r="G1314" s="2" t="n">
        <v>23</v>
      </c>
    </row>
    <row r="1315" customFormat="false" ht="16.5" hidden="false" customHeight="true" outlineLevel="0" collapsed="false">
      <c r="A1315" s="2" t="s">
        <v>385</v>
      </c>
      <c r="B1315" s="2" t="s">
        <v>411</v>
      </c>
      <c r="C1315" s="2" t="n">
        <v>1</v>
      </c>
      <c r="D1315" s="2" t="s">
        <v>550</v>
      </c>
      <c r="E1315" s="2" t="s">
        <v>39</v>
      </c>
      <c r="F1315" s="2" t="n">
        <v>339</v>
      </c>
      <c r="G1315" s="2" t="n">
        <v>27</v>
      </c>
    </row>
    <row r="1316" customFormat="false" ht="16.5" hidden="false" customHeight="true" outlineLevel="0" collapsed="false">
      <c r="A1316" s="2" t="s">
        <v>385</v>
      </c>
      <c r="B1316" s="2" t="s">
        <v>411</v>
      </c>
      <c r="C1316" s="2" t="n">
        <v>1</v>
      </c>
      <c r="D1316" s="2" t="s">
        <v>550</v>
      </c>
      <c r="E1316" s="2" t="s">
        <v>40</v>
      </c>
      <c r="F1316" s="2" t="n">
        <v>339</v>
      </c>
      <c r="G1316" s="2" t="n">
        <v>31</v>
      </c>
    </row>
    <row r="1317" customFormat="false" ht="16.5" hidden="false" customHeight="true" outlineLevel="0" collapsed="false">
      <c r="A1317" s="2" t="s">
        <v>385</v>
      </c>
      <c r="B1317" s="2" t="s">
        <v>411</v>
      </c>
      <c r="C1317" s="2" t="n">
        <v>1</v>
      </c>
      <c r="D1317" s="2" t="s">
        <v>550</v>
      </c>
      <c r="E1317" s="2" t="s">
        <v>41</v>
      </c>
      <c r="F1317" s="2" t="n">
        <v>339</v>
      </c>
      <c r="G1317" s="2" t="n">
        <v>35</v>
      </c>
    </row>
    <row r="1318" customFormat="false" ht="16.5" hidden="false" customHeight="true" outlineLevel="0" collapsed="false">
      <c r="A1318" s="2" t="s">
        <v>385</v>
      </c>
      <c r="B1318" s="2" t="s">
        <v>411</v>
      </c>
      <c r="C1318" s="2" t="n">
        <v>1</v>
      </c>
      <c r="D1318" s="2" t="s">
        <v>550</v>
      </c>
      <c r="E1318" s="2" t="s">
        <v>42</v>
      </c>
      <c r="F1318" s="2" t="n">
        <v>339</v>
      </c>
      <c r="G1318" s="2" t="n">
        <v>39</v>
      </c>
    </row>
    <row r="1319" customFormat="false" ht="16.5" hidden="false" customHeight="true" outlineLevel="0" collapsed="false">
      <c r="A1319" s="2" t="s">
        <v>385</v>
      </c>
      <c r="B1319" s="2" t="s">
        <v>411</v>
      </c>
      <c r="C1319" s="2" t="n">
        <v>1</v>
      </c>
      <c r="D1319" s="2" t="s">
        <v>550</v>
      </c>
      <c r="E1319" s="2" t="s">
        <v>43</v>
      </c>
      <c r="F1319" s="2" t="n">
        <v>339</v>
      </c>
      <c r="G1319" s="2" t="n">
        <v>43</v>
      </c>
    </row>
    <row r="1320" customFormat="false" ht="16.5" hidden="false" customHeight="true" outlineLevel="0" collapsed="false">
      <c r="A1320" s="2" t="s">
        <v>385</v>
      </c>
      <c r="B1320" s="2" t="s">
        <v>411</v>
      </c>
      <c r="C1320" s="2" t="n">
        <v>1</v>
      </c>
      <c r="D1320" s="2" t="s">
        <v>550</v>
      </c>
      <c r="E1320" s="2" t="s">
        <v>44</v>
      </c>
      <c r="F1320" s="2" t="n">
        <v>339</v>
      </c>
      <c r="G1320" s="2" t="n">
        <v>47</v>
      </c>
    </row>
    <row r="1321" customFormat="false" ht="16.5" hidden="false" customHeight="true" outlineLevel="0" collapsed="false">
      <c r="A1321" s="2" t="s">
        <v>385</v>
      </c>
      <c r="B1321" s="2" t="s">
        <v>411</v>
      </c>
      <c r="C1321" s="2" t="n">
        <v>1</v>
      </c>
      <c r="D1321" s="2" t="s">
        <v>550</v>
      </c>
      <c r="E1321" s="2" t="s">
        <v>48</v>
      </c>
      <c r="F1321" s="2" t="n">
        <v>341</v>
      </c>
      <c r="G1321" s="2" t="n">
        <v>16</v>
      </c>
    </row>
    <row r="1322" customFormat="false" ht="16.5" hidden="false" customHeight="true" outlineLevel="0" collapsed="false">
      <c r="A1322" s="2" t="s">
        <v>385</v>
      </c>
      <c r="B1322" s="2" t="s">
        <v>411</v>
      </c>
      <c r="C1322" s="2" t="n">
        <v>1</v>
      </c>
      <c r="D1322" s="2" t="s">
        <v>550</v>
      </c>
      <c r="E1322" s="2" t="s">
        <v>50</v>
      </c>
      <c r="F1322" s="2" t="n">
        <v>341</v>
      </c>
      <c r="G1322" s="2" t="n">
        <v>20</v>
      </c>
    </row>
    <row r="1323" customFormat="false" ht="16.5" hidden="false" customHeight="true" outlineLevel="0" collapsed="false">
      <c r="A1323" s="2" t="s">
        <v>385</v>
      </c>
      <c r="B1323" s="2" t="s">
        <v>411</v>
      </c>
      <c r="C1323" s="2" t="n">
        <v>1</v>
      </c>
      <c r="D1323" s="2" t="s">
        <v>550</v>
      </c>
      <c r="E1323" s="2" t="s">
        <v>45</v>
      </c>
      <c r="F1323" s="2" t="n">
        <v>341</v>
      </c>
      <c r="G1323" s="2" t="n">
        <v>38</v>
      </c>
    </row>
    <row r="1324" customFormat="false" ht="16.5" hidden="false" customHeight="true" outlineLevel="0" collapsed="false">
      <c r="A1324" s="2" t="s">
        <v>385</v>
      </c>
      <c r="B1324" s="2" t="s">
        <v>411</v>
      </c>
      <c r="C1324" s="2" t="n">
        <v>1</v>
      </c>
      <c r="D1324" s="2" t="s">
        <v>550</v>
      </c>
      <c r="E1324" s="2" t="s">
        <v>46</v>
      </c>
      <c r="F1324" s="2" t="n">
        <v>341</v>
      </c>
      <c r="G1324" s="2" t="n">
        <v>42</v>
      </c>
    </row>
    <row r="1325" customFormat="false" ht="16.5" hidden="false" customHeight="true" outlineLevel="0" collapsed="false">
      <c r="A1325" s="2" t="s">
        <v>385</v>
      </c>
      <c r="B1325" s="2" t="s">
        <v>412</v>
      </c>
      <c r="C1325" s="2" t="n">
        <v>1</v>
      </c>
      <c r="D1325" s="2" t="s">
        <v>551</v>
      </c>
      <c r="E1325" s="2" t="s">
        <v>0</v>
      </c>
      <c r="F1325" s="2" t="n">
        <v>346</v>
      </c>
      <c r="G1325" s="2" t="n">
        <v>6</v>
      </c>
    </row>
    <row r="1326" customFormat="false" ht="16.5" hidden="false" customHeight="true" outlineLevel="0" collapsed="false">
      <c r="A1326" s="2" t="s">
        <v>385</v>
      </c>
      <c r="B1326" s="2" t="s">
        <v>412</v>
      </c>
      <c r="C1326" s="2" t="n">
        <v>1</v>
      </c>
      <c r="D1326" s="2" t="s">
        <v>551</v>
      </c>
      <c r="E1326" s="2" t="s">
        <v>1</v>
      </c>
      <c r="F1326" s="2" t="n">
        <v>346</v>
      </c>
      <c r="G1326" s="2" t="n">
        <v>10</v>
      </c>
    </row>
    <row r="1327" customFormat="false" ht="16.5" hidden="false" customHeight="true" outlineLevel="0" collapsed="false">
      <c r="A1327" s="2" t="s">
        <v>385</v>
      </c>
      <c r="B1327" s="2" t="s">
        <v>412</v>
      </c>
      <c r="C1327" s="2" t="n">
        <v>1</v>
      </c>
      <c r="D1327" s="2" t="s">
        <v>551</v>
      </c>
      <c r="E1327" s="2" t="s">
        <v>2</v>
      </c>
      <c r="F1327" s="2" t="n">
        <v>346</v>
      </c>
      <c r="G1327" s="2" t="n">
        <v>14</v>
      </c>
    </row>
    <row r="1328" customFormat="false" ht="16.5" hidden="false" customHeight="true" outlineLevel="0" collapsed="false">
      <c r="A1328" s="2" t="s">
        <v>385</v>
      </c>
      <c r="B1328" s="2" t="s">
        <v>412</v>
      </c>
      <c r="C1328" s="2" t="n">
        <v>1</v>
      </c>
      <c r="D1328" s="2" t="s">
        <v>551</v>
      </c>
      <c r="E1328" s="2" t="s">
        <v>3</v>
      </c>
      <c r="F1328" s="2" t="n">
        <v>346</v>
      </c>
      <c r="G1328" s="2" t="n">
        <v>18</v>
      </c>
    </row>
    <row r="1329" customFormat="false" ht="16.5" hidden="false" customHeight="true" outlineLevel="0" collapsed="false">
      <c r="A1329" s="2" t="s">
        <v>385</v>
      </c>
      <c r="B1329" s="2" t="s">
        <v>412</v>
      </c>
      <c r="C1329" s="2" t="n">
        <v>1</v>
      </c>
      <c r="D1329" s="2" t="s">
        <v>551</v>
      </c>
      <c r="E1329" s="2" t="s">
        <v>4</v>
      </c>
      <c r="F1329" s="2" t="n">
        <v>346</v>
      </c>
      <c r="G1329" s="2" t="n">
        <v>22</v>
      </c>
    </row>
    <row r="1330" customFormat="false" ht="16.5" hidden="false" customHeight="true" outlineLevel="0" collapsed="false">
      <c r="A1330" s="2" t="s">
        <v>385</v>
      </c>
      <c r="B1330" s="2" t="s">
        <v>412</v>
      </c>
      <c r="C1330" s="2" t="n">
        <v>1</v>
      </c>
      <c r="D1330" s="2" t="s">
        <v>551</v>
      </c>
      <c r="E1330" s="2" t="s">
        <v>5</v>
      </c>
      <c r="F1330" s="2" t="n">
        <v>346</v>
      </c>
      <c r="G1330" s="2" t="n">
        <v>26</v>
      </c>
    </row>
    <row r="1331" customFormat="false" ht="16.5" hidden="false" customHeight="true" outlineLevel="0" collapsed="false">
      <c r="A1331" s="2" t="s">
        <v>385</v>
      </c>
      <c r="B1331" s="2" t="s">
        <v>412</v>
      </c>
      <c r="C1331" s="2" t="n">
        <v>1</v>
      </c>
      <c r="D1331" s="2" t="s">
        <v>551</v>
      </c>
      <c r="E1331" s="2" t="s">
        <v>6</v>
      </c>
      <c r="F1331" s="2" t="n">
        <v>346</v>
      </c>
      <c r="G1331" s="2" t="n">
        <v>30</v>
      </c>
    </row>
    <row r="1332" customFormat="false" ht="16.5" hidden="false" customHeight="true" outlineLevel="0" collapsed="false">
      <c r="A1332" s="2" t="s">
        <v>385</v>
      </c>
      <c r="B1332" s="2" t="s">
        <v>412</v>
      </c>
      <c r="C1332" s="2" t="n">
        <v>1</v>
      </c>
      <c r="D1332" s="2" t="s">
        <v>551</v>
      </c>
      <c r="E1332" s="2" t="s">
        <v>7</v>
      </c>
      <c r="F1332" s="2" t="n">
        <v>346</v>
      </c>
      <c r="G1332" s="2" t="n">
        <v>34</v>
      </c>
    </row>
    <row r="1333" customFormat="false" ht="16.5" hidden="false" customHeight="true" outlineLevel="0" collapsed="false">
      <c r="A1333" s="2" t="s">
        <v>385</v>
      </c>
      <c r="B1333" s="2" t="s">
        <v>412</v>
      </c>
      <c r="C1333" s="2" t="n">
        <v>1</v>
      </c>
      <c r="D1333" s="2" t="s">
        <v>551</v>
      </c>
      <c r="E1333" s="2" t="s">
        <v>8</v>
      </c>
      <c r="F1333" s="2" t="n">
        <v>346</v>
      </c>
      <c r="G1333" s="2" t="n">
        <v>38</v>
      </c>
    </row>
    <row r="1334" customFormat="false" ht="16.5" hidden="false" customHeight="true" outlineLevel="0" collapsed="false">
      <c r="A1334" s="2" t="s">
        <v>385</v>
      </c>
      <c r="B1334" s="2" t="s">
        <v>412</v>
      </c>
      <c r="C1334" s="2" t="n">
        <v>1</v>
      </c>
      <c r="D1334" s="2" t="s">
        <v>551</v>
      </c>
      <c r="E1334" s="2" t="s">
        <v>9</v>
      </c>
      <c r="F1334" s="2" t="n">
        <v>346</v>
      </c>
      <c r="G1334" s="2" t="n">
        <v>42</v>
      </c>
    </row>
    <row r="1335" customFormat="false" ht="16.5" hidden="false" customHeight="true" outlineLevel="0" collapsed="false">
      <c r="A1335" s="2" t="s">
        <v>385</v>
      </c>
      <c r="B1335" s="2" t="s">
        <v>412</v>
      </c>
      <c r="C1335" s="2" t="n">
        <v>1</v>
      </c>
      <c r="D1335" s="2" t="s">
        <v>551</v>
      </c>
      <c r="E1335" s="2" t="s">
        <v>10</v>
      </c>
      <c r="F1335" s="2" t="n">
        <v>346</v>
      </c>
      <c r="G1335" s="2" t="n">
        <v>46</v>
      </c>
    </row>
    <row r="1336" customFormat="false" ht="16.5" hidden="false" customHeight="true" outlineLevel="0" collapsed="false">
      <c r="A1336" s="2" t="s">
        <v>385</v>
      </c>
      <c r="B1336" s="2" t="s">
        <v>412</v>
      </c>
      <c r="C1336" s="2" t="n">
        <v>1</v>
      </c>
      <c r="D1336" s="2" t="s">
        <v>551</v>
      </c>
      <c r="E1336" s="2" t="s">
        <v>11</v>
      </c>
      <c r="F1336" s="2" t="n">
        <v>346</v>
      </c>
      <c r="G1336" s="2" t="n">
        <v>50</v>
      </c>
    </row>
    <row r="1337" customFormat="false" ht="16.5" hidden="false" customHeight="true" outlineLevel="0" collapsed="false">
      <c r="A1337" s="2" t="s">
        <v>385</v>
      </c>
      <c r="B1337" s="2" t="s">
        <v>412</v>
      </c>
      <c r="C1337" s="2" t="n">
        <v>1</v>
      </c>
      <c r="D1337" s="2" t="s">
        <v>551</v>
      </c>
      <c r="E1337" s="2" t="s">
        <v>12</v>
      </c>
      <c r="F1337" s="2" t="n">
        <v>348</v>
      </c>
      <c r="G1337" s="2" t="n">
        <v>8</v>
      </c>
    </row>
    <row r="1338" customFormat="false" ht="16.5" hidden="false" customHeight="true" outlineLevel="0" collapsed="false">
      <c r="A1338" s="2" t="s">
        <v>385</v>
      </c>
      <c r="B1338" s="2" t="s">
        <v>412</v>
      </c>
      <c r="C1338" s="2" t="n">
        <v>1</v>
      </c>
      <c r="D1338" s="2" t="s">
        <v>551</v>
      </c>
      <c r="E1338" s="2" t="s">
        <v>13</v>
      </c>
      <c r="F1338" s="2" t="n">
        <v>348</v>
      </c>
      <c r="G1338" s="2" t="n">
        <v>12</v>
      </c>
    </row>
    <row r="1339" customFormat="false" ht="16.5" hidden="false" customHeight="true" outlineLevel="0" collapsed="false">
      <c r="A1339" s="2" t="s">
        <v>385</v>
      </c>
      <c r="B1339" s="2" t="s">
        <v>412</v>
      </c>
      <c r="C1339" s="2" t="n">
        <v>1</v>
      </c>
      <c r="D1339" s="2" t="s">
        <v>551</v>
      </c>
      <c r="E1339" s="2" t="s">
        <v>14</v>
      </c>
      <c r="F1339" s="2" t="n">
        <v>348</v>
      </c>
      <c r="G1339" s="2" t="n">
        <v>16</v>
      </c>
    </row>
    <row r="1340" customFormat="false" ht="16.5" hidden="false" customHeight="true" outlineLevel="0" collapsed="false">
      <c r="A1340" s="2" t="s">
        <v>385</v>
      </c>
      <c r="B1340" s="2" t="s">
        <v>412</v>
      </c>
      <c r="C1340" s="2" t="n">
        <v>1</v>
      </c>
      <c r="D1340" s="2" t="s">
        <v>551</v>
      </c>
      <c r="E1340" s="2" t="s">
        <v>15</v>
      </c>
      <c r="F1340" s="2" t="n">
        <v>348</v>
      </c>
      <c r="G1340" s="2" t="n">
        <v>20</v>
      </c>
    </row>
    <row r="1341" customFormat="false" ht="16.5" hidden="false" customHeight="true" outlineLevel="0" collapsed="false">
      <c r="A1341" s="2" t="s">
        <v>385</v>
      </c>
      <c r="B1341" s="2" t="s">
        <v>412</v>
      </c>
      <c r="C1341" s="2" t="n">
        <v>1</v>
      </c>
      <c r="D1341" s="2" t="s">
        <v>551</v>
      </c>
      <c r="E1341" s="2" t="s">
        <v>16</v>
      </c>
      <c r="F1341" s="2" t="n">
        <v>348</v>
      </c>
      <c r="G1341" s="2" t="n">
        <v>24</v>
      </c>
    </row>
    <row r="1342" customFormat="false" ht="16.5" hidden="false" customHeight="true" outlineLevel="0" collapsed="false">
      <c r="A1342" s="2" t="s">
        <v>385</v>
      </c>
      <c r="B1342" s="2" t="s">
        <v>412</v>
      </c>
      <c r="C1342" s="2" t="n">
        <v>1</v>
      </c>
      <c r="D1342" s="2" t="s">
        <v>551</v>
      </c>
      <c r="E1342" s="2" t="s">
        <v>17</v>
      </c>
      <c r="F1342" s="2" t="n">
        <v>348</v>
      </c>
      <c r="G1342" s="2" t="n">
        <v>28</v>
      </c>
    </row>
    <row r="1343" customFormat="false" ht="16.5" hidden="false" customHeight="true" outlineLevel="0" collapsed="false">
      <c r="A1343" s="2" t="s">
        <v>385</v>
      </c>
      <c r="B1343" s="2" t="s">
        <v>412</v>
      </c>
      <c r="C1343" s="2" t="n">
        <v>1</v>
      </c>
      <c r="D1343" s="2" t="s">
        <v>551</v>
      </c>
      <c r="E1343" s="2" t="s">
        <v>18</v>
      </c>
      <c r="F1343" s="2" t="n">
        <v>348</v>
      </c>
      <c r="G1343" s="2" t="n">
        <v>32</v>
      </c>
    </row>
    <row r="1344" customFormat="false" ht="16.5" hidden="false" customHeight="true" outlineLevel="0" collapsed="false">
      <c r="A1344" s="2" t="s">
        <v>385</v>
      </c>
      <c r="B1344" s="2" t="s">
        <v>412</v>
      </c>
      <c r="C1344" s="2" t="n">
        <v>1</v>
      </c>
      <c r="D1344" s="2" t="s">
        <v>551</v>
      </c>
      <c r="E1344" s="2" t="s">
        <v>19</v>
      </c>
      <c r="F1344" s="2" t="n">
        <v>348</v>
      </c>
      <c r="G1344" s="2" t="n">
        <v>36</v>
      </c>
    </row>
    <row r="1345" customFormat="false" ht="16.5" hidden="false" customHeight="true" outlineLevel="0" collapsed="false">
      <c r="A1345" s="2" t="s">
        <v>385</v>
      </c>
      <c r="B1345" s="2" t="s">
        <v>412</v>
      </c>
      <c r="C1345" s="2" t="n">
        <v>1</v>
      </c>
      <c r="D1345" s="2" t="s">
        <v>551</v>
      </c>
      <c r="E1345" s="2" t="s">
        <v>20</v>
      </c>
      <c r="F1345" s="2" t="n">
        <v>348</v>
      </c>
      <c r="G1345" s="2" t="n">
        <v>40</v>
      </c>
    </row>
    <row r="1346" customFormat="false" ht="16.5" hidden="false" customHeight="true" outlineLevel="0" collapsed="false">
      <c r="A1346" s="2" t="s">
        <v>385</v>
      </c>
      <c r="B1346" s="2" t="s">
        <v>412</v>
      </c>
      <c r="C1346" s="2" t="n">
        <v>1</v>
      </c>
      <c r="D1346" s="2" t="s">
        <v>551</v>
      </c>
      <c r="E1346" s="2" t="s">
        <v>21</v>
      </c>
      <c r="F1346" s="2" t="n">
        <v>348</v>
      </c>
      <c r="G1346" s="2" t="n">
        <v>44</v>
      </c>
    </row>
    <row r="1347" customFormat="false" ht="16.5" hidden="false" customHeight="true" outlineLevel="0" collapsed="false">
      <c r="A1347" s="2" t="s">
        <v>385</v>
      </c>
      <c r="B1347" s="2" t="s">
        <v>412</v>
      </c>
      <c r="C1347" s="2" t="n">
        <v>1</v>
      </c>
      <c r="D1347" s="2" t="s">
        <v>551</v>
      </c>
      <c r="E1347" s="2" t="s">
        <v>22</v>
      </c>
      <c r="F1347" s="2" t="n">
        <v>348</v>
      </c>
      <c r="G1347" s="2" t="n">
        <v>48</v>
      </c>
    </row>
    <row r="1348" customFormat="false" ht="16.5" hidden="false" customHeight="true" outlineLevel="0" collapsed="false">
      <c r="A1348" s="2" t="s">
        <v>385</v>
      </c>
      <c r="B1348" s="2" t="s">
        <v>412</v>
      </c>
      <c r="C1348" s="2" t="n">
        <v>1</v>
      </c>
      <c r="D1348" s="2" t="s">
        <v>551</v>
      </c>
      <c r="E1348" s="2" t="s">
        <v>23</v>
      </c>
      <c r="F1348" s="2" t="n">
        <v>348</v>
      </c>
      <c r="G1348" s="2" t="n">
        <v>52</v>
      </c>
    </row>
    <row r="1349" customFormat="false" ht="16.5" hidden="false" customHeight="true" outlineLevel="0" collapsed="false">
      <c r="A1349" s="2" t="s">
        <v>385</v>
      </c>
      <c r="B1349" s="2" t="s">
        <v>412</v>
      </c>
      <c r="C1349" s="2" t="n">
        <v>1</v>
      </c>
      <c r="D1349" s="2" t="s">
        <v>551</v>
      </c>
      <c r="E1349" s="2" t="s">
        <v>24</v>
      </c>
      <c r="F1349" s="2" t="n">
        <v>350</v>
      </c>
      <c r="G1349" s="2" t="n">
        <v>9</v>
      </c>
    </row>
    <row r="1350" customFormat="false" ht="16.5" hidden="false" customHeight="true" outlineLevel="0" collapsed="false">
      <c r="A1350" s="2" t="s">
        <v>385</v>
      </c>
      <c r="B1350" s="2" t="s">
        <v>412</v>
      </c>
      <c r="C1350" s="2" t="n">
        <v>1</v>
      </c>
      <c r="D1350" s="2" t="s">
        <v>551</v>
      </c>
      <c r="E1350" s="2" t="s">
        <v>25</v>
      </c>
      <c r="F1350" s="2" t="n">
        <v>350</v>
      </c>
      <c r="G1350" s="2" t="n">
        <v>13</v>
      </c>
    </row>
    <row r="1351" customFormat="false" ht="16.5" hidden="false" customHeight="true" outlineLevel="0" collapsed="false">
      <c r="A1351" s="2" t="s">
        <v>385</v>
      </c>
      <c r="B1351" s="2" t="s">
        <v>412</v>
      </c>
      <c r="C1351" s="2" t="n">
        <v>1</v>
      </c>
      <c r="D1351" s="2" t="s">
        <v>551</v>
      </c>
      <c r="E1351" s="2" t="s">
        <v>26</v>
      </c>
      <c r="F1351" s="2" t="n">
        <v>350</v>
      </c>
      <c r="G1351" s="2" t="n">
        <v>17</v>
      </c>
    </row>
    <row r="1352" customFormat="false" ht="16.5" hidden="false" customHeight="true" outlineLevel="0" collapsed="false">
      <c r="A1352" s="2" t="s">
        <v>385</v>
      </c>
      <c r="B1352" s="2" t="s">
        <v>412</v>
      </c>
      <c r="C1352" s="2" t="n">
        <v>1</v>
      </c>
      <c r="D1352" s="2" t="s">
        <v>551</v>
      </c>
      <c r="E1352" s="2" t="s">
        <v>27</v>
      </c>
      <c r="F1352" s="2" t="n">
        <v>350</v>
      </c>
      <c r="G1352" s="2" t="n">
        <v>21</v>
      </c>
    </row>
    <row r="1353" customFormat="false" ht="16.5" hidden="false" customHeight="true" outlineLevel="0" collapsed="false">
      <c r="A1353" s="2" t="s">
        <v>385</v>
      </c>
      <c r="B1353" s="2" t="s">
        <v>412</v>
      </c>
      <c r="C1353" s="2" t="n">
        <v>1</v>
      </c>
      <c r="D1353" s="2" t="s">
        <v>551</v>
      </c>
      <c r="E1353" s="2" t="s">
        <v>28</v>
      </c>
      <c r="F1353" s="2" t="n">
        <v>350</v>
      </c>
      <c r="G1353" s="2" t="n">
        <v>25</v>
      </c>
    </row>
    <row r="1354" customFormat="false" ht="16.5" hidden="false" customHeight="true" outlineLevel="0" collapsed="false">
      <c r="A1354" s="2" t="s">
        <v>385</v>
      </c>
      <c r="B1354" s="2" t="s">
        <v>412</v>
      </c>
      <c r="C1354" s="2" t="n">
        <v>1</v>
      </c>
      <c r="D1354" s="2" t="s">
        <v>551</v>
      </c>
      <c r="E1354" s="2" t="s">
        <v>29</v>
      </c>
      <c r="F1354" s="2" t="n">
        <v>350</v>
      </c>
      <c r="G1354" s="2" t="n">
        <v>29</v>
      </c>
    </row>
    <row r="1355" customFormat="false" ht="16.5" hidden="false" customHeight="true" outlineLevel="0" collapsed="false">
      <c r="A1355" s="2" t="s">
        <v>385</v>
      </c>
      <c r="B1355" s="2" t="s">
        <v>412</v>
      </c>
      <c r="C1355" s="2" t="n">
        <v>1</v>
      </c>
      <c r="D1355" s="2" t="s">
        <v>551</v>
      </c>
      <c r="E1355" s="2" t="s">
        <v>30</v>
      </c>
      <c r="F1355" s="2" t="n">
        <v>350</v>
      </c>
      <c r="G1355" s="2" t="n">
        <v>33</v>
      </c>
    </row>
    <row r="1356" customFormat="false" ht="16.5" hidden="false" customHeight="true" outlineLevel="0" collapsed="false">
      <c r="A1356" s="2" t="s">
        <v>385</v>
      </c>
      <c r="B1356" s="2" t="s">
        <v>412</v>
      </c>
      <c r="C1356" s="2" t="n">
        <v>1</v>
      </c>
      <c r="D1356" s="2" t="s">
        <v>551</v>
      </c>
      <c r="E1356" s="2" t="s">
        <v>31</v>
      </c>
      <c r="F1356" s="2" t="n">
        <v>350</v>
      </c>
      <c r="G1356" s="2" t="n">
        <v>37</v>
      </c>
    </row>
    <row r="1357" customFormat="false" ht="16.5" hidden="false" customHeight="true" outlineLevel="0" collapsed="false">
      <c r="A1357" s="2" t="s">
        <v>385</v>
      </c>
      <c r="B1357" s="2" t="s">
        <v>412</v>
      </c>
      <c r="C1357" s="2" t="n">
        <v>1</v>
      </c>
      <c r="D1357" s="2" t="s">
        <v>551</v>
      </c>
      <c r="E1357" s="2" t="s">
        <v>32</v>
      </c>
      <c r="F1357" s="2" t="n">
        <v>350</v>
      </c>
      <c r="G1357" s="2" t="n">
        <v>41</v>
      </c>
    </row>
    <row r="1358" customFormat="false" ht="16.5" hidden="false" customHeight="true" outlineLevel="0" collapsed="false">
      <c r="A1358" s="2" t="s">
        <v>385</v>
      </c>
      <c r="B1358" s="2" t="s">
        <v>412</v>
      </c>
      <c r="C1358" s="2" t="n">
        <v>1</v>
      </c>
      <c r="D1358" s="2" t="s">
        <v>551</v>
      </c>
      <c r="E1358" s="2" t="s">
        <v>33</v>
      </c>
      <c r="F1358" s="2" t="n">
        <v>350</v>
      </c>
      <c r="G1358" s="2" t="n">
        <v>45</v>
      </c>
    </row>
    <row r="1359" customFormat="false" ht="16.5" hidden="false" customHeight="true" outlineLevel="0" collapsed="false">
      <c r="A1359" s="2" t="s">
        <v>385</v>
      </c>
      <c r="B1359" s="2" t="s">
        <v>412</v>
      </c>
      <c r="C1359" s="2" t="n">
        <v>1</v>
      </c>
      <c r="D1359" s="2" t="s">
        <v>551</v>
      </c>
      <c r="E1359" s="2" t="s">
        <v>34</v>
      </c>
      <c r="F1359" s="2" t="n">
        <v>350</v>
      </c>
      <c r="G1359" s="2" t="n">
        <v>49</v>
      </c>
    </row>
    <row r="1360" customFormat="false" ht="16.5" hidden="false" customHeight="true" outlineLevel="0" collapsed="false">
      <c r="A1360" s="2" t="s">
        <v>385</v>
      </c>
      <c r="B1360" s="2" t="s">
        <v>412</v>
      </c>
      <c r="C1360" s="2" t="n">
        <v>1</v>
      </c>
      <c r="D1360" s="2" t="s">
        <v>551</v>
      </c>
      <c r="E1360" s="2" t="s">
        <v>35</v>
      </c>
      <c r="F1360" s="2" t="n">
        <v>352</v>
      </c>
      <c r="G1360" s="2" t="n">
        <v>11</v>
      </c>
    </row>
    <row r="1361" customFormat="false" ht="16.5" hidden="false" customHeight="true" outlineLevel="0" collapsed="false">
      <c r="A1361" s="2" t="s">
        <v>385</v>
      </c>
      <c r="B1361" s="2" t="s">
        <v>412</v>
      </c>
      <c r="C1361" s="2" t="n">
        <v>1</v>
      </c>
      <c r="D1361" s="2" t="s">
        <v>551</v>
      </c>
      <c r="E1361" s="2" t="s">
        <v>36</v>
      </c>
      <c r="F1361" s="2" t="n">
        <v>352</v>
      </c>
      <c r="G1361" s="2" t="n">
        <v>15</v>
      </c>
    </row>
    <row r="1362" customFormat="false" ht="16.5" hidden="false" customHeight="true" outlineLevel="0" collapsed="false">
      <c r="A1362" s="2" t="s">
        <v>385</v>
      </c>
      <c r="B1362" s="2" t="s">
        <v>412</v>
      </c>
      <c r="C1362" s="2" t="n">
        <v>1</v>
      </c>
      <c r="D1362" s="2" t="s">
        <v>551</v>
      </c>
      <c r="E1362" s="2" t="s">
        <v>37</v>
      </c>
      <c r="F1362" s="2" t="n">
        <v>352</v>
      </c>
      <c r="G1362" s="2" t="n">
        <v>19</v>
      </c>
    </row>
    <row r="1363" customFormat="false" ht="16.5" hidden="false" customHeight="true" outlineLevel="0" collapsed="false">
      <c r="A1363" s="2" t="s">
        <v>385</v>
      </c>
      <c r="B1363" s="2" t="s">
        <v>412</v>
      </c>
      <c r="C1363" s="2" t="n">
        <v>1</v>
      </c>
      <c r="D1363" s="2" t="s">
        <v>551</v>
      </c>
      <c r="E1363" s="2" t="s">
        <v>38</v>
      </c>
      <c r="F1363" s="2" t="n">
        <v>352</v>
      </c>
      <c r="G1363" s="2" t="n">
        <v>23</v>
      </c>
    </row>
    <row r="1364" customFormat="false" ht="16.5" hidden="false" customHeight="true" outlineLevel="0" collapsed="false">
      <c r="A1364" s="2" t="s">
        <v>385</v>
      </c>
      <c r="B1364" s="2" t="s">
        <v>412</v>
      </c>
      <c r="C1364" s="2" t="n">
        <v>1</v>
      </c>
      <c r="D1364" s="2" t="s">
        <v>551</v>
      </c>
      <c r="E1364" s="2" t="s">
        <v>39</v>
      </c>
      <c r="F1364" s="2" t="n">
        <v>352</v>
      </c>
      <c r="G1364" s="2" t="n">
        <v>27</v>
      </c>
    </row>
    <row r="1365" customFormat="false" ht="16.5" hidden="false" customHeight="true" outlineLevel="0" collapsed="false">
      <c r="A1365" s="2" t="s">
        <v>385</v>
      </c>
      <c r="B1365" s="2" t="s">
        <v>412</v>
      </c>
      <c r="C1365" s="2" t="n">
        <v>1</v>
      </c>
      <c r="D1365" s="2" t="s">
        <v>551</v>
      </c>
      <c r="E1365" s="2" t="s">
        <v>40</v>
      </c>
      <c r="F1365" s="2" t="n">
        <v>352</v>
      </c>
      <c r="G1365" s="2" t="n">
        <v>31</v>
      </c>
    </row>
    <row r="1366" customFormat="false" ht="16.5" hidden="false" customHeight="true" outlineLevel="0" collapsed="false">
      <c r="A1366" s="2" t="s">
        <v>385</v>
      </c>
      <c r="B1366" s="2" t="s">
        <v>412</v>
      </c>
      <c r="C1366" s="2" t="n">
        <v>1</v>
      </c>
      <c r="D1366" s="2" t="s">
        <v>551</v>
      </c>
      <c r="E1366" s="2" t="s">
        <v>41</v>
      </c>
      <c r="F1366" s="2" t="n">
        <v>352</v>
      </c>
      <c r="G1366" s="2" t="n">
        <v>35</v>
      </c>
    </row>
    <row r="1367" customFormat="false" ht="16.5" hidden="false" customHeight="true" outlineLevel="0" collapsed="false">
      <c r="A1367" s="2" t="s">
        <v>385</v>
      </c>
      <c r="B1367" s="2" t="s">
        <v>412</v>
      </c>
      <c r="C1367" s="2" t="n">
        <v>1</v>
      </c>
      <c r="D1367" s="2" t="s">
        <v>551</v>
      </c>
      <c r="E1367" s="2" t="s">
        <v>42</v>
      </c>
      <c r="F1367" s="2" t="n">
        <v>352</v>
      </c>
      <c r="G1367" s="2" t="n">
        <v>39</v>
      </c>
    </row>
    <row r="1368" customFormat="false" ht="16.5" hidden="false" customHeight="true" outlineLevel="0" collapsed="false">
      <c r="A1368" s="2" t="s">
        <v>385</v>
      </c>
      <c r="B1368" s="2" t="s">
        <v>412</v>
      </c>
      <c r="C1368" s="2" t="n">
        <v>1</v>
      </c>
      <c r="D1368" s="2" t="s">
        <v>551</v>
      </c>
      <c r="E1368" s="2" t="s">
        <v>43</v>
      </c>
      <c r="F1368" s="2" t="n">
        <v>352</v>
      </c>
      <c r="G1368" s="2" t="n">
        <v>43</v>
      </c>
    </row>
    <row r="1369" customFormat="false" ht="16.5" hidden="false" customHeight="true" outlineLevel="0" collapsed="false">
      <c r="A1369" s="2" t="s">
        <v>385</v>
      </c>
      <c r="B1369" s="2" t="s">
        <v>412</v>
      </c>
      <c r="C1369" s="2" t="n">
        <v>1</v>
      </c>
      <c r="D1369" s="2" t="s">
        <v>551</v>
      </c>
      <c r="E1369" s="2" t="s">
        <v>44</v>
      </c>
      <c r="F1369" s="2" t="n">
        <v>352</v>
      </c>
      <c r="G1369" s="2" t="n">
        <v>47</v>
      </c>
    </row>
    <row r="1370" customFormat="false" ht="16.5" hidden="false" customHeight="true" outlineLevel="0" collapsed="false">
      <c r="A1370" s="2" t="s">
        <v>385</v>
      </c>
      <c r="B1370" s="2" t="s">
        <v>412</v>
      </c>
      <c r="C1370" s="2" t="n">
        <v>1</v>
      </c>
      <c r="D1370" s="2" t="s">
        <v>551</v>
      </c>
      <c r="E1370" s="2" t="s">
        <v>48</v>
      </c>
      <c r="F1370" s="2" t="n">
        <v>354</v>
      </c>
      <c r="G1370" s="2" t="n">
        <v>16</v>
      </c>
    </row>
    <row r="1371" customFormat="false" ht="16.5" hidden="false" customHeight="true" outlineLevel="0" collapsed="false">
      <c r="A1371" s="2" t="s">
        <v>385</v>
      </c>
      <c r="B1371" s="2" t="s">
        <v>412</v>
      </c>
      <c r="C1371" s="2" t="n">
        <v>1</v>
      </c>
      <c r="D1371" s="2" t="s">
        <v>551</v>
      </c>
      <c r="E1371" s="2" t="s">
        <v>50</v>
      </c>
      <c r="F1371" s="2" t="n">
        <v>354</v>
      </c>
      <c r="G1371" s="2" t="n">
        <v>20</v>
      </c>
    </row>
    <row r="1372" customFormat="false" ht="16.5" hidden="false" customHeight="true" outlineLevel="0" collapsed="false">
      <c r="A1372" s="2" t="s">
        <v>385</v>
      </c>
      <c r="B1372" s="2" t="s">
        <v>412</v>
      </c>
      <c r="C1372" s="2" t="n">
        <v>1</v>
      </c>
      <c r="D1372" s="2" t="s">
        <v>551</v>
      </c>
      <c r="E1372" s="2" t="s">
        <v>45</v>
      </c>
      <c r="F1372" s="2" t="n">
        <v>354</v>
      </c>
      <c r="G1372" s="2" t="n">
        <v>38</v>
      </c>
    </row>
    <row r="1373" customFormat="false" ht="16.5" hidden="false" customHeight="true" outlineLevel="0" collapsed="false">
      <c r="A1373" s="2" t="s">
        <v>385</v>
      </c>
      <c r="B1373" s="2" t="s">
        <v>412</v>
      </c>
      <c r="C1373" s="2" t="n">
        <v>1</v>
      </c>
      <c r="D1373" s="2" t="s">
        <v>551</v>
      </c>
      <c r="E1373" s="2" t="s">
        <v>46</v>
      </c>
      <c r="F1373" s="2" t="n">
        <v>354</v>
      </c>
      <c r="G1373" s="2" t="n">
        <v>42</v>
      </c>
    </row>
    <row r="1374" customFormat="false" ht="16.5" hidden="false" customHeight="true" outlineLevel="0" collapsed="false">
      <c r="A1374" s="2" t="s">
        <v>385</v>
      </c>
      <c r="B1374" s="2" t="s">
        <v>413</v>
      </c>
      <c r="C1374" s="2" t="n">
        <v>1</v>
      </c>
      <c r="D1374" s="2" t="s">
        <v>552</v>
      </c>
      <c r="E1374" s="2" t="s">
        <v>0</v>
      </c>
      <c r="F1374" s="2" t="n">
        <v>359</v>
      </c>
      <c r="G1374" s="2" t="n">
        <v>6</v>
      </c>
    </row>
    <row r="1375" customFormat="false" ht="16.5" hidden="false" customHeight="true" outlineLevel="0" collapsed="false">
      <c r="A1375" s="2" t="s">
        <v>385</v>
      </c>
      <c r="B1375" s="2" t="s">
        <v>413</v>
      </c>
      <c r="C1375" s="2" t="n">
        <v>1</v>
      </c>
      <c r="D1375" s="2" t="s">
        <v>552</v>
      </c>
      <c r="E1375" s="2" t="s">
        <v>1</v>
      </c>
      <c r="F1375" s="2" t="n">
        <v>359</v>
      </c>
      <c r="G1375" s="2" t="n">
        <v>10</v>
      </c>
    </row>
    <row r="1376" customFormat="false" ht="16.5" hidden="false" customHeight="true" outlineLevel="0" collapsed="false">
      <c r="A1376" s="2" t="s">
        <v>385</v>
      </c>
      <c r="B1376" s="2" t="s">
        <v>413</v>
      </c>
      <c r="C1376" s="2" t="n">
        <v>1</v>
      </c>
      <c r="D1376" s="2" t="s">
        <v>552</v>
      </c>
      <c r="E1376" s="2" t="s">
        <v>2</v>
      </c>
      <c r="F1376" s="2" t="n">
        <v>359</v>
      </c>
      <c r="G1376" s="2" t="n">
        <v>14</v>
      </c>
    </row>
    <row r="1377" customFormat="false" ht="16.5" hidden="false" customHeight="true" outlineLevel="0" collapsed="false">
      <c r="A1377" s="2" t="s">
        <v>385</v>
      </c>
      <c r="B1377" s="2" t="s">
        <v>413</v>
      </c>
      <c r="C1377" s="2" t="n">
        <v>1</v>
      </c>
      <c r="D1377" s="2" t="s">
        <v>552</v>
      </c>
      <c r="E1377" s="2" t="s">
        <v>3</v>
      </c>
      <c r="F1377" s="2" t="n">
        <v>359</v>
      </c>
      <c r="G1377" s="2" t="n">
        <v>18</v>
      </c>
    </row>
    <row r="1378" customFormat="false" ht="16.5" hidden="false" customHeight="true" outlineLevel="0" collapsed="false">
      <c r="A1378" s="2" t="s">
        <v>385</v>
      </c>
      <c r="B1378" s="2" t="s">
        <v>413</v>
      </c>
      <c r="C1378" s="2" t="n">
        <v>1</v>
      </c>
      <c r="D1378" s="2" t="s">
        <v>552</v>
      </c>
      <c r="E1378" s="2" t="s">
        <v>4</v>
      </c>
      <c r="F1378" s="2" t="n">
        <v>359</v>
      </c>
      <c r="G1378" s="2" t="n">
        <v>22</v>
      </c>
    </row>
    <row r="1379" customFormat="false" ht="16.5" hidden="false" customHeight="true" outlineLevel="0" collapsed="false">
      <c r="A1379" s="2" t="s">
        <v>385</v>
      </c>
      <c r="B1379" s="2" t="s">
        <v>413</v>
      </c>
      <c r="C1379" s="2" t="n">
        <v>1</v>
      </c>
      <c r="D1379" s="2" t="s">
        <v>552</v>
      </c>
      <c r="E1379" s="2" t="s">
        <v>5</v>
      </c>
      <c r="F1379" s="2" t="n">
        <v>359</v>
      </c>
      <c r="G1379" s="2" t="n">
        <v>26</v>
      </c>
    </row>
    <row r="1380" customFormat="false" ht="16.5" hidden="false" customHeight="true" outlineLevel="0" collapsed="false">
      <c r="A1380" s="2" t="s">
        <v>385</v>
      </c>
      <c r="B1380" s="2" t="s">
        <v>413</v>
      </c>
      <c r="C1380" s="2" t="n">
        <v>1</v>
      </c>
      <c r="D1380" s="2" t="s">
        <v>552</v>
      </c>
      <c r="E1380" s="2" t="s">
        <v>6</v>
      </c>
      <c r="F1380" s="2" t="n">
        <v>359</v>
      </c>
      <c r="G1380" s="2" t="n">
        <v>30</v>
      </c>
    </row>
    <row r="1381" customFormat="false" ht="16.5" hidden="false" customHeight="true" outlineLevel="0" collapsed="false">
      <c r="A1381" s="2" t="s">
        <v>385</v>
      </c>
      <c r="B1381" s="2" t="s">
        <v>413</v>
      </c>
      <c r="C1381" s="2" t="n">
        <v>1</v>
      </c>
      <c r="D1381" s="2" t="s">
        <v>552</v>
      </c>
      <c r="E1381" s="2" t="s">
        <v>7</v>
      </c>
      <c r="F1381" s="2" t="n">
        <v>359</v>
      </c>
      <c r="G1381" s="2" t="n">
        <v>34</v>
      </c>
    </row>
    <row r="1382" customFormat="false" ht="16.5" hidden="false" customHeight="true" outlineLevel="0" collapsed="false">
      <c r="A1382" s="2" t="s">
        <v>385</v>
      </c>
      <c r="B1382" s="2" t="s">
        <v>413</v>
      </c>
      <c r="C1382" s="2" t="n">
        <v>1</v>
      </c>
      <c r="D1382" s="2" t="s">
        <v>552</v>
      </c>
      <c r="E1382" s="2" t="s">
        <v>8</v>
      </c>
      <c r="F1382" s="2" t="n">
        <v>359</v>
      </c>
      <c r="G1382" s="2" t="n">
        <v>38</v>
      </c>
    </row>
    <row r="1383" customFormat="false" ht="16.5" hidden="false" customHeight="true" outlineLevel="0" collapsed="false">
      <c r="A1383" s="2" t="s">
        <v>385</v>
      </c>
      <c r="B1383" s="2" t="s">
        <v>413</v>
      </c>
      <c r="C1383" s="2" t="n">
        <v>1</v>
      </c>
      <c r="D1383" s="2" t="s">
        <v>552</v>
      </c>
      <c r="E1383" s="2" t="s">
        <v>9</v>
      </c>
      <c r="F1383" s="2" t="n">
        <v>359</v>
      </c>
      <c r="G1383" s="2" t="n">
        <v>42</v>
      </c>
    </row>
    <row r="1384" customFormat="false" ht="16.5" hidden="false" customHeight="true" outlineLevel="0" collapsed="false">
      <c r="A1384" s="2" t="s">
        <v>385</v>
      </c>
      <c r="B1384" s="2" t="s">
        <v>413</v>
      </c>
      <c r="C1384" s="2" t="n">
        <v>1</v>
      </c>
      <c r="D1384" s="2" t="s">
        <v>552</v>
      </c>
      <c r="E1384" s="2" t="s">
        <v>10</v>
      </c>
      <c r="F1384" s="2" t="n">
        <v>359</v>
      </c>
      <c r="G1384" s="2" t="n">
        <v>46</v>
      </c>
    </row>
    <row r="1385" customFormat="false" ht="16.5" hidden="false" customHeight="true" outlineLevel="0" collapsed="false">
      <c r="A1385" s="2" t="s">
        <v>385</v>
      </c>
      <c r="B1385" s="2" t="s">
        <v>413</v>
      </c>
      <c r="C1385" s="2" t="n">
        <v>1</v>
      </c>
      <c r="D1385" s="2" t="s">
        <v>552</v>
      </c>
      <c r="E1385" s="2" t="s">
        <v>11</v>
      </c>
      <c r="F1385" s="2" t="n">
        <v>359</v>
      </c>
      <c r="G1385" s="2" t="n">
        <v>50</v>
      </c>
    </row>
    <row r="1386" customFormat="false" ht="16.5" hidden="false" customHeight="true" outlineLevel="0" collapsed="false">
      <c r="A1386" s="2" t="s">
        <v>385</v>
      </c>
      <c r="B1386" s="2" t="s">
        <v>413</v>
      </c>
      <c r="C1386" s="2" t="n">
        <v>1</v>
      </c>
      <c r="D1386" s="2" t="s">
        <v>552</v>
      </c>
      <c r="E1386" s="2" t="s">
        <v>12</v>
      </c>
      <c r="F1386" s="2" t="n">
        <v>361</v>
      </c>
      <c r="G1386" s="2" t="n">
        <v>8</v>
      </c>
    </row>
    <row r="1387" customFormat="false" ht="16.5" hidden="false" customHeight="true" outlineLevel="0" collapsed="false">
      <c r="A1387" s="2" t="s">
        <v>385</v>
      </c>
      <c r="B1387" s="2" t="s">
        <v>413</v>
      </c>
      <c r="C1387" s="2" t="n">
        <v>1</v>
      </c>
      <c r="D1387" s="2" t="s">
        <v>552</v>
      </c>
      <c r="E1387" s="2" t="s">
        <v>13</v>
      </c>
      <c r="F1387" s="2" t="n">
        <v>361</v>
      </c>
      <c r="G1387" s="2" t="n">
        <v>12</v>
      </c>
    </row>
    <row r="1388" customFormat="false" ht="16.5" hidden="false" customHeight="true" outlineLevel="0" collapsed="false">
      <c r="A1388" s="2" t="s">
        <v>385</v>
      </c>
      <c r="B1388" s="2" t="s">
        <v>413</v>
      </c>
      <c r="C1388" s="2" t="n">
        <v>1</v>
      </c>
      <c r="D1388" s="2" t="s">
        <v>552</v>
      </c>
      <c r="E1388" s="2" t="s">
        <v>14</v>
      </c>
      <c r="F1388" s="2" t="n">
        <v>361</v>
      </c>
      <c r="G1388" s="2" t="n">
        <v>16</v>
      </c>
    </row>
    <row r="1389" customFormat="false" ht="16.5" hidden="false" customHeight="true" outlineLevel="0" collapsed="false">
      <c r="A1389" s="2" t="s">
        <v>385</v>
      </c>
      <c r="B1389" s="2" t="s">
        <v>413</v>
      </c>
      <c r="C1389" s="2" t="n">
        <v>1</v>
      </c>
      <c r="D1389" s="2" t="s">
        <v>552</v>
      </c>
      <c r="E1389" s="2" t="s">
        <v>15</v>
      </c>
      <c r="F1389" s="2" t="n">
        <v>361</v>
      </c>
      <c r="G1389" s="2" t="n">
        <v>20</v>
      </c>
    </row>
    <row r="1390" customFormat="false" ht="16.5" hidden="false" customHeight="true" outlineLevel="0" collapsed="false">
      <c r="A1390" s="2" t="s">
        <v>385</v>
      </c>
      <c r="B1390" s="2" t="s">
        <v>413</v>
      </c>
      <c r="C1390" s="2" t="n">
        <v>1</v>
      </c>
      <c r="D1390" s="2" t="s">
        <v>552</v>
      </c>
      <c r="E1390" s="2" t="s">
        <v>16</v>
      </c>
      <c r="F1390" s="2" t="n">
        <v>361</v>
      </c>
      <c r="G1390" s="2" t="n">
        <v>24</v>
      </c>
    </row>
    <row r="1391" customFormat="false" ht="16.5" hidden="false" customHeight="true" outlineLevel="0" collapsed="false">
      <c r="A1391" s="2" t="s">
        <v>385</v>
      </c>
      <c r="B1391" s="2" t="s">
        <v>413</v>
      </c>
      <c r="C1391" s="2" t="n">
        <v>1</v>
      </c>
      <c r="D1391" s="2" t="s">
        <v>552</v>
      </c>
      <c r="E1391" s="2" t="s">
        <v>17</v>
      </c>
      <c r="F1391" s="2" t="n">
        <v>361</v>
      </c>
      <c r="G1391" s="2" t="n">
        <v>28</v>
      </c>
    </row>
    <row r="1392" customFormat="false" ht="16.5" hidden="false" customHeight="true" outlineLevel="0" collapsed="false">
      <c r="A1392" s="2" t="s">
        <v>385</v>
      </c>
      <c r="B1392" s="2" t="s">
        <v>413</v>
      </c>
      <c r="C1392" s="2" t="n">
        <v>1</v>
      </c>
      <c r="D1392" s="2" t="s">
        <v>552</v>
      </c>
      <c r="E1392" s="2" t="s">
        <v>18</v>
      </c>
      <c r="F1392" s="2" t="n">
        <v>361</v>
      </c>
      <c r="G1392" s="2" t="n">
        <v>32</v>
      </c>
    </row>
    <row r="1393" customFormat="false" ht="16.5" hidden="false" customHeight="true" outlineLevel="0" collapsed="false">
      <c r="A1393" s="2" t="s">
        <v>385</v>
      </c>
      <c r="B1393" s="2" t="s">
        <v>413</v>
      </c>
      <c r="C1393" s="2" t="n">
        <v>1</v>
      </c>
      <c r="D1393" s="2" t="s">
        <v>552</v>
      </c>
      <c r="E1393" s="2" t="s">
        <v>19</v>
      </c>
      <c r="F1393" s="2" t="n">
        <v>361</v>
      </c>
      <c r="G1393" s="2" t="n">
        <v>36</v>
      </c>
    </row>
    <row r="1394" customFormat="false" ht="16.5" hidden="false" customHeight="true" outlineLevel="0" collapsed="false">
      <c r="A1394" s="2" t="s">
        <v>385</v>
      </c>
      <c r="B1394" s="2" t="s">
        <v>413</v>
      </c>
      <c r="C1394" s="2" t="n">
        <v>1</v>
      </c>
      <c r="D1394" s="2" t="s">
        <v>552</v>
      </c>
      <c r="E1394" s="2" t="s">
        <v>20</v>
      </c>
      <c r="F1394" s="2" t="n">
        <v>361</v>
      </c>
      <c r="G1394" s="2" t="n">
        <v>40</v>
      </c>
    </row>
    <row r="1395" customFormat="false" ht="16.5" hidden="false" customHeight="true" outlineLevel="0" collapsed="false">
      <c r="A1395" s="2" t="s">
        <v>385</v>
      </c>
      <c r="B1395" s="2" t="s">
        <v>413</v>
      </c>
      <c r="C1395" s="2" t="n">
        <v>1</v>
      </c>
      <c r="D1395" s="2" t="s">
        <v>552</v>
      </c>
      <c r="E1395" s="2" t="s">
        <v>21</v>
      </c>
      <c r="F1395" s="2" t="n">
        <v>361</v>
      </c>
      <c r="G1395" s="2" t="n">
        <v>44</v>
      </c>
    </row>
    <row r="1396" customFormat="false" ht="16.5" hidden="false" customHeight="true" outlineLevel="0" collapsed="false">
      <c r="A1396" s="2" t="s">
        <v>385</v>
      </c>
      <c r="B1396" s="2" t="s">
        <v>413</v>
      </c>
      <c r="C1396" s="2" t="n">
        <v>1</v>
      </c>
      <c r="D1396" s="2" t="s">
        <v>552</v>
      </c>
      <c r="E1396" s="2" t="s">
        <v>22</v>
      </c>
      <c r="F1396" s="2" t="n">
        <v>361</v>
      </c>
      <c r="G1396" s="2" t="n">
        <v>48</v>
      </c>
    </row>
    <row r="1397" customFormat="false" ht="16.5" hidden="false" customHeight="true" outlineLevel="0" collapsed="false">
      <c r="A1397" s="2" t="s">
        <v>385</v>
      </c>
      <c r="B1397" s="2" t="s">
        <v>413</v>
      </c>
      <c r="C1397" s="2" t="n">
        <v>1</v>
      </c>
      <c r="D1397" s="2" t="s">
        <v>552</v>
      </c>
      <c r="E1397" s="2" t="s">
        <v>23</v>
      </c>
      <c r="F1397" s="2" t="n">
        <v>361</v>
      </c>
      <c r="G1397" s="2" t="n">
        <v>52</v>
      </c>
    </row>
    <row r="1398" customFormat="false" ht="16.5" hidden="false" customHeight="true" outlineLevel="0" collapsed="false">
      <c r="A1398" s="2" t="s">
        <v>385</v>
      </c>
      <c r="B1398" s="2" t="s">
        <v>413</v>
      </c>
      <c r="C1398" s="2" t="n">
        <v>1</v>
      </c>
      <c r="D1398" s="2" t="s">
        <v>552</v>
      </c>
      <c r="E1398" s="2" t="s">
        <v>24</v>
      </c>
      <c r="F1398" s="2" t="n">
        <v>363</v>
      </c>
      <c r="G1398" s="2" t="n">
        <v>9</v>
      </c>
    </row>
    <row r="1399" customFormat="false" ht="16.5" hidden="false" customHeight="true" outlineLevel="0" collapsed="false">
      <c r="A1399" s="2" t="s">
        <v>385</v>
      </c>
      <c r="B1399" s="2" t="s">
        <v>413</v>
      </c>
      <c r="C1399" s="2" t="n">
        <v>1</v>
      </c>
      <c r="D1399" s="2" t="s">
        <v>552</v>
      </c>
      <c r="E1399" s="2" t="s">
        <v>25</v>
      </c>
      <c r="F1399" s="2" t="n">
        <v>363</v>
      </c>
      <c r="G1399" s="2" t="n">
        <v>13</v>
      </c>
    </row>
    <row r="1400" customFormat="false" ht="16.5" hidden="false" customHeight="true" outlineLevel="0" collapsed="false">
      <c r="A1400" s="2" t="s">
        <v>385</v>
      </c>
      <c r="B1400" s="2" t="s">
        <v>413</v>
      </c>
      <c r="C1400" s="2" t="n">
        <v>1</v>
      </c>
      <c r="D1400" s="2" t="s">
        <v>552</v>
      </c>
      <c r="E1400" s="2" t="s">
        <v>26</v>
      </c>
      <c r="F1400" s="2" t="n">
        <v>363</v>
      </c>
      <c r="G1400" s="2" t="n">
        <v>17</v>
      </c>
    </row>
    <row r="1401" customFormat="false" ht="16.5" hidden="false" customHeight="true" outlineLevel="0" collapsed="false">
      <c r="A1401" s="2" t="s">
        <v>385</v>
      </c>
      <c r="B1401" s="2" t="s">
        <v>413</v>
      </c>
      <c r="C1401" s="2" t="n">
        <v>1</v>
      </c>
      <c r="D1401" s="2" t="s">
        <v>552</v>
      </c>
      <c r="E1401" s="2" t="s">
        <v>27</v>
      </c>
      <c r="F1401" s="2" t="n">
        <v>363</v>
      </c>
      <c r="G1401" s="2" t="n">
        <v>21</v>
      </c>
    </row>
    <row r="1402" customFormat="false" ht="16.5" hidden="false" customHeight="true" outlineLevel="0" collapsed="false">
      <c r="A1402" s="2" t="s">
        <v>385</v>
      </c>
      <c r="B1402" s="2" t="s">
        <v>413</v>
      </c>
      <c r="C1402" s="2" t="n">
        <v>1</v>
      </c>
      <c r="D1402" s="2" t="s">
        <v>552</v>
      </c>
      <c r="E1402" s="2" t="s">
        <v>28</v>
      </c>
      <c r="F1402" s="2" t="n">
        <v>363</v>
      </c>
      <c r="G1402" s="2" t="n">
        <v>25</v>
      </c>
    </row>
    <row r="1403" customFormat="false" ht="16.5" hidden="false" customHeight="true" outlineLevel="0" collapsed="false">
      <c r="A1403" s="2" t="s">
        <v>385</v>
      </c>
      <c r="B1403" s="2" t="s">
        <v>413</v>
      </c>
      <c r="C1403" s="2" t="n">
        <v>1</v>
      </c>
      <c r="D1403" s="2" t="s">
        <v>552</v>
      </c>
      <c r="E1403" s="2" t="s">
        <v>29</v>
      </c>
      <c r="F1403" s="2" t="n">
        <v>363</v>
      </c>
      <c r="G1403" s="2" t="n">
        <v>29</v>
      </c>
    </row>
    <row r="1404" customFormat="false" ht="16.5" hidden="false" customHeight="true" outlineLevel="0" collapsed="false">
      <c r="A1404" s="2" t="s">
        <v>385</v>
      </c>
      <c r="B1404" s="2" t="s">
        <v>413</v>
      </c>
      <c r="C1404" s="2" t="n">
        <v>1</v>
      </c>
      <c r="D1404" s="2" t="s">
        <v>552</v>
      </c>
      <c r="E1404" s="2" t="s">
        <v>30</v>
      </c>
      <c r="F1404" s="2" t="n">
        <v>363</v>
      </c>
      <c r="G1404" s="2" t="n">
        <v>33</v>
      </c>
    </row>
    <row r="1405" customFormat="false" ht="16.5" hidden="false" customHeight="true" outlineLevel="0" collapsed="false">
      <c r="A1405" s="2" t="s">
        <v>385</v>
      </c>
      <c r="B1405" s="2" t="s">
        <v>413</v>
      </c>
      <c r="C1405" s="2" t="n">
        <v>1</v>
      </c>
      <c r="D1405" s="2" t="s">
        <v>552</v>
      </c>
      <c r="E1405" s="2" t="s">
        <v>31</v>
      </c>
      <c r="F1405" s="2" t="n">
        <v>363</v>
      </c>
      <c r="G1405" s="2" t="n">
        <v>37</v>
      </c>
    </row>
    <row r="1406" customFormat="false" ht="16.5" hidden="false" customHeight="true" outlineLevel="0" collapsed="false">
      <c r="A1406" s="2" t="s">
        <v>385</v>
      </c>
      <c r="B1406" s="2" t="s">
        <v>413</v>
      </c>
      <c r="C1406" s="2" t="n">
        <v>1</v>
      </c>
      <c r="D1406" s="2" t="s">
        <v>552</v>
      </c>
      <c r="E1406" s="2" t="s">
        <v>32</v>
      </c>
      <c r="F1406" s="2" t="n">
        <v>363</v>
      </c>
      <c r="G1406" s="2" t="n">
        <v>41</v>
      </c>
    </row>
    <row r="1407" customFormat="false" ht="16.5" hidden="false" customHeight="true" outlineLevel="0" collapsed="false">
      <c r="A1407" s="2" t="s">
        <v>385</v>
      </c>
      <c r="B1407" s="2" t="s">
        <v>413</v>
      </c>
      <c r="C1407" s="2" t="n">
        <v>1</v>
      </c>
      <c r="D1407" s="2" t="s">
        <v>552</v>
      </c>
      <c r="E1407" s="2" t="s">
        <v>33</v>
      </c>
      <c r="F1407" s="2" t="n">
        <v>363</v>
      </c>
      <c r="G1407" s="2" t="n">
        <v>45</v>
      </c>
    </row>
    <row r="1408" customFormat="false" ht="16.5" hidden="false" customHeight="true" outlineLevel="0" collapsed="false">
      <c r="A1408" s="2" t="s">
        <v>385</v>
      </c>
      <c r="B1408" s="2" t="s">
        <v>413</v>
      </c>
      <c r="C1408" s="2" t="n">
        <v>1</v>
      </c>
      <c r="D1408" s="2" t="s">
        <v>552</v>
      </c>
      <c r="E1408" s="2" t="s">
        <v>34</v>
      </c>
      <c r="F1408" s="2" t="n">
        <v>363</v>
      </c>
      <c r="G1408" s="2" t="n">
        <v>49</v>
      </c>
    </row>
    <row r="1409" customFormat="false" ht="16.5" hidden="false" customHeight="true" outlineLevel="0" collapsed="false">
      <c r="A1409" s="2" t="s">
        <v>385</v>
      </c>
      <c r="B1409" s="2" t="s">
        <v>413</v>
      </c>
      <c r="C1409" s="2" t="n">
        <v>1</v>
      </c>
      <c r="D1409" s="2" t="s">
        <v>552</v>
      </c>
      <c r="E1409" s="2" t="s">
        <v>35</v>
      </c>
      <c r="F1409" s="2" t="n">
        <v>365</v>
      </c>
      <c r="G1409" s="2" t="n">
        <v>11</v>
      </c>
    </row>
    <row r="1410" customFormat="false" ht="16.5" hidden="false" customHeight="true" outlineLevel="0" collapsed="false">
      <c r="A1410" s="2" t="s">
        <v>385</v>
      </c>
      <c r="B1410" s="2" t="s">
        <v>413</v>
      </c>
      <c r="C1410" s="2" t="n">
        <v>1</v>
      </c>
      <c r="D1410" s="2" t="s">
        <v>552</v>
      </c>
      <c r="E1410" s="2" t="s">
        <v>36</v>
      </c>
      <c r="F1410" s="2" t="n">
        <v>365</v>
      </c>
      <c r="G1410" s="2" t="n">
        <v>15</v>
      </c>
    </row>
    <row r="1411" customFormat="false" ht="16.5" hidden="false" customHeight="true" outlineLevel="0" collapsed="false">
      <c r="A1411" s="2" t="s">
        <v>385</v>
      </c>
      <c r="B1411" s="2" t="s">
        <v>413</v>
      </c>
      <c r="C1411" s="2" t="n">
        <v>1</v>
      </c>
      <c r="D1411" s="2" t="s">
        <v>552</v>
      </c>
      <c r="E1411" s="2" t="s">
        <v>37</v>
      </c>
      <c r="F1411" s="2" t="n">
        <v>365</v>
      </c>
      <c r="G1411" s="2" t="n">
        <v>19</v>
      </c>
    </row>
    <row r="1412" customFormat="false" ht="16.5" hidden="false" customHeight="true" outlineLevel="0" collapsed="false">
      <c r="A1412" s="2" t="s">
        <v>385</v>
      </c>
      <c r="B1412" s="2" t="s">
        <v>413</v>
      </c>
      <c r="C1412" s="2" t="n">
        <v>1</v>
      </c>
      <c r="D1412" s="2" t="s">
        <v>552</v>
      </c>
      <c r="E1412" s="2" t="s">
        <v>38</v>
      </c>
      <c r="F1412" s="2" t="n">
        <v>365</v>
      </c>
      <c r="G1412" s="2" t="n">
        <v>23</v>
      </c>
    </row>
    <row r="1413" customFormat="false" ht="16.5" hidden="false" customHeight="true" outlineLevel="0" collapsed="false">
      <c r="A1413" s="2" t="s">
        <v>385</v>
      </c>
      <c r="B1413" s="2" t="s">
        <v>413</v>
      </c>
      <c r="C1413" s="2" t="n">
        <v>1</v>
      </c>
      <c r="D1413" s="2" t="s">
        <v>552</v>
      </c>
      <c r="E1413" s="2" t="s">
        <v>39</v>
      </c>
      <c r="F1413" s="2" t="n">
        <v>365</v>
      </c>
      <c r="G1413" s="2" t="n">
        <v>27</v>
      </c>
    </row>
    <row r="1414" customFormat="false" ht="16.5" hidden="false" customHeight="true" outlineLevel="0" collapsed="false">
      <c r="A1414" s="2" t="s">
        <v>385</v>
      </c>
      <c r="B1414" s="2" t="s">
        <v>413</v>
      </c>
      <c r="C1414" s="2" t="n">
        <v>1</v>
      </c>
      <c r="D1414" s="2" t="s">
        <v>552</v>
      </c>
      <c r="E1414" s="2" t="s">
        <v>40</v>
      </c>
      <c r="F1414" s="2" t="n">
        <v>365</v>
      </c>
      <c r="G1414" s="2" t="n">
        <v>31</v>
      </c>
    </row>
    <row r="1415" customFormat="false" ht="16.5" hidden="false" customHeight="true" outlineLevel="0" collapsed="false">
      <c r="A1415" s="2" t="s">
        <v>385</v>
      </c>
      <c r="B1415" s="2" t="s">
        <v>413</v>
      </c>
      <c r="C1415" s="2" t="n">
        <v>1</v>
      </c>
      <c r="D1415" s="2" t="s">
        <v>552</v>
      </c>
      <c r="E1415" s="2" t="s">
        <v>41</v>
      </c>
      <c r="F1415" s="2" t="n">
        <v>365</v>
      </c>
      <c r="G1415" s="2" t="n">
        <v>35</v>
      </c>
    </row>
    <row r="1416" customFormat="false" ht="16.5" hidden="false" customHeight="true" outlineLevel="0" collapsed="false">
      <c r="A1416" s="2" t="s">
        <v>385</v>
      </c>
      <c r="B1416" s="2" t="s">
        <v>413</v>
      </c>
      <c r="C1416" s="2" t="n">
        <v>1</v>
      </c>
      <c r="D1416" s="2" t="s">
        <v>552</v>
      </c>
      <c r="E1416" s="2" t="s">
        <v>42</v>
      </c>
      <c r="F1416" s="2" t="n">
        <v>365</v>
      </c>
      <c r="G1416" s="2" t="n">
        <v>39</v>
      </c>
    </row>
    <row r="1417" customFormat="false" ht="16.5" hidden="false" customHeight="true" outlineLevel="0" collapsed="false">
      <c r="A1417" s="2" t="s">
        <v>385</v>
      </c>
      <c r="B1417" s="2" t="s">
        <v>413</v>
      </c>
      <c r="C1417" s="2" t="n">
        <v>1</v>
      </c>
      <c r="D1417" s="2" t="s">
        <v>552</v>
      </c>
      <c r="E1417" s="2" t="s">
        <v>43</v>
      </c>
      <c r="F1417" s="2" t="n">
        <v>365</v>
      </c>
      <c r="G1417" s="2" t="n">
        <v>43</v>
      </c>
    </row>
    <row r="1418" customFormat="false" ht="16.5" hidden="false" customHeight="true" outlineLevel="0" collapsed="false">
      <c r="A1418" s="2" t="s">
        <v>385</v>
      </c>
      <c r="B1418" s="2" t="s">
        <v>413</v>
      </c>
      <c r="C1418" s="2" t="n">
        <v>1</v>
      </c>
      <c r="D1418" s="2" t="s">
        <v>552</v>
      </c>
      <c r="E1418" s="2" t="s">
        <v>44</v>
      </c>
      <c r="F1418" s="2" t="n">
        <v>365</v>
      </c>
      <c r="G1418" s="2" t="n">
        <v>47</v>
      </c>
    </row>
    <row r="1419" customFormat="false" ht="16.5" hidden="false" customHeight="true" outlineLevel="0" collapsed="false">
      <c r="A1419" s="2" t="s">
        <v>385</v>
      </c>
      <c r="B1419" s="2" t="s">
        <v>413</v>
      </c>
      <c r="C1419" s="2" t="n">
        <v>1</v>
      </c>
      <c r="D1419" s="2" t="s">
        <v>552</v>
      </c>
      <c r="E1419" s="2" t="s">
        <v>48</v>
      </c>
      <c r="F1419" s="2" t="n">
        <v>367</v>
      </c>
      <c r="G1419" s="2" t="n">
        <v>16</v>
      </c>
    </row>
    <row r="1420" customFormat="false" ht="16.5" hidden="false" customHeight="true" outlineLevel="0" collapsed="false">
      <c r="A1420" s="2" t="s">
        <v>385</v>
      </c>
      <c r="B1420" s="2" t="s">
        <v>413</v>
      </c>
      <c r="C1420" s="2" t="n">
        <v>1</v>
      </c>
      <c r="D1420" s="2" t="s">
        <v>552</v>
      </c>
      <c r="E1420" s="2" t="s">
        <v>50</v>
      </c>
      <c r="F1420" s="2" t="n">
        <v>367</v>
      </c>
      <c r="G1420" s="2" t="n">
        <v>20</v>
      </c>
    </row>
    <row r="1421" customFormat="false" ht="16.5" hidden="false" customHeight="true" outlineLevel="0" collapsed="false">
      <c r="A1421" s="2" t="s">
        <v>385</v>
      </c>
      <c r="B1421" s="2" t="s">
        <v>413</v>
      </c>
      <c r="C1421" s="2" t="n">
        <v>1</v>
      </c>
      <c r="D1421" s="2" t="s">
        <v>552</v>
      </c>
      <c r="E1421" s="2" t="s">
        <v>45</v>
      </c>
      <c r="F1421" s="2" t="n">
        <v>367</v>
      </c>
      <c r="G1421" s="2" t="n">
        <v>38</v>
      </c>
    </row>
    <row r="1422" customFormat="false" ht="16.5" hidden="false" customHeight="true" outlineLevel="0" collapsed="false">
      <c r="A1422" s="2" t="s">
        <v>385</v>
      </c>
      <c r="B1422" s="2" t="s">
        <v>413</v>
      </c>
      <c r="C1422" s="2" t="n">
        <v>1</v>
      </c>
      <c r="D1422" s="2" t="s">
        <v>552</v>
      </c>
      <c r="E1422" s="2" t="s">
        <v>46</v>
      </c>
      <c r="F1422" s="2" t="n">
        <v>367</v>
      </c>
      <c r="G1422" s="2" t="n">
        <v>42</v>
      </c>
    </row>
    <row r="1423" customFormat="false" ht="16.5" hidden="false" customHeight="true" outlineLevel="0" collapsed="false">
      <c r="A1423" s="2" t="s">
        <v>385</v>
      </c>
      <c r="B1423" s="2" t="s">
        <v>414</v>
      </c>
      <c r="C1423" s="2" t="n">
        <v>1</v>
      </c>
      <c r="D1423" s="2" t="s">
        <v>553</v>
      </c>
      <c r="E1423" s="2" t="s">
        <v>0</v>
      </c>
      <c r="F1423" s="2" t="n">
        <v>372</v>
      </c>
      <c r="G1423" s="2" t="n">
        <v>6</v>
      </c>
    </row>
    <row r="1424" customFormat="false" ht="16.5" hidden="false" customHeight="true" outlineLevel="0" collapsed="false">
      <c r="A1424" s="2" t="s">
        <v>385</v>
      </c>
      <c r="B1424" s="2" t="s">
        <v>414</v>
      </c>
      <c r="C1424" s="2" t="n">
        <v>1</v>
      </c>
      <c r="D1424" s="2" t="s">
        <v>553</v>
      </c>
      <c r="E1424" s="2" t="s">
        <v>1</v>
      </c>
      <c r="F1424" s="2" t="n">
        <v>372</v>
      </c>
      <c r="G1424" s="2" t="n">
        <v>10</v>
      </c>
    </row>
    <row r="1425" customFormat="false" ht="16.5" hidden="false" customHeight="true" outlineLevel="0" collapsed="false">
      <c r="A1425" s="2" t="s">
        <v>385</v>
      </c>
      <c r="B1425" s="2" t="s">
        <v>414</v>
      </c>
      <c r="C1425" s="2" t="n">
        <v>1</v>
      </c>
      <c r="D1425" s="2" t="s">
        <v>553</v>
      </c>
      <c r="E1425" s="2" t="s">
        <v>2</v>
      </c>
      <c r="F1425" s="2" t="n">
        <v>372</v>
      </c>
      <c r="G1425" s="2" t="n">
        <v>14</v>
      </c>
    </row>
    <row r="1426" customFormat="false" ht="16.5" hidden="false" customHeight="true" outlineLevel="0" collapsed="false">
      <c r="A1426" s="2" t="s">
        <v>385</v>
      </c>
      <c r="B1426" s="2" t="s">
        <v>414</v>
      </c>
      <c r="C1426" s="2" t="n">
        <v>1</v>
      </c>
      <c r="D1426" s="2" t="s">
        <v>553</v>
      </c>
      <c r="E1426" s="2" t="s">
        <v>3</v>
      </c>
      <c r="F1426" s="2" t="n">
        <v>372</v>
      </c>
      <c r="G1426" s="2" t="n">
        <v>18</v>
      </c>
    </row>
    <row r="1427" customFormat="false" ht="16.5" hidden="false" customHeight="true" outlineLevel="0" collapsed="false">
      <c r="A1427" s="2" t="s">
        <v>385</v>
      </c>
      <c r="B1427" s="2" t="s">
        <v>414</v>
      </c>
      <c r="C1427" s="2" t="n">
        <v>1</v>
      </c>
      <c r="D1427" s="2" t="s">
        <v>553</v>
      </c>
      <c r="E1427" s="2" t="s">
        <v>4</v>
      </c>
      <c r="F1427" s="2" t="n">
        <v>372</v>
      </c>
      <c r="G1427" s="2" t="n">
        <v>22</v>
      </c>
    </row>
    <row r="1428" customFormat="false" ht="16.5" hidden="false" customHeight="true" outlineLevel="0" collapsed="false">
      <c r="A1428" s="2" t="s">
        <v>385</v>
      </c>
      <c r="B1428" s="2" t="s">
        <v>414</v>
      </c>
      <c r="C1428" s="2" t="n">
        <v>1</v>
      </c>
      <c r="D1428" s="2" t="s">
        <v>553</v>
      </c>
      <c r="E1428" s="2" t="s">
        <v>5</v>
      </c>
      <c r="F1428" s="2" t="n">
        <v>372</v>
      </c>
      <c r="G1428" s="2" t="n">
        <v>26</v>
      </c>
    </row>
    <row r="1429" customFormat="false" ht="16.5" hidden="false" customHeight="true" outlineLevel="0" collapsed="false">
      <c r="A1429" s="2" t="s">
        <v>385</v>
      </c>
      <c r="B1429" s="2" t="s">
        <v>414</v>
      </c>
      <c r="C1429" s="2" t="n">
        <v>1</v>
      </c>
      <c r="D1429" s="2" t="s">
        <v>553</v>
      </c>
      <c r="E1429" s="2" t="s">
        <v>6</v>
      </c>
      <c r="F1429" s="2" t="n">
        <v>372</v>
      </c>
      <c r="G1429" s="2" t="n">
        <v>30</v>
      </c>
    </row>
    <row r="1430" customFormat="false" ht="16.5" hidden="false" customHeight="true" outlineLevel="0" collapsed="false">
      <c r="A1430" s="2" t="s">
        <v>385</v>
      </c>
      <c r="B1430" s="2" t="s">
        <v>414</v>
      </c>
      <c r="C1430" s="2" t="n">
        <v>1</v>
      </c>
      <c r="D1430" s="2" t="s">
        <v>553</v>
      </c>
      <c r="E1430" s="2" t="s">
        <v>7</v>
      </c>
      <c r="F1430" s="2" t="n">
        <v>372</v>
      </c>
      <c r="G1430" s="2" t="n">
        <v>34</v>
      </c>
    </row>
    <row r="1431" customFormat="false" ht="16.5" hidden="false" customHeight="true" outlineLevel="0" collapsed="false">
      <c r="A1431" s="2" t="s">
        <v>385</v>
      </c>
      <c r="B1431" s="2" t="s">
        <v>414</v>
      </c>
      <c r="C1431" s="2" t="n">
        <v>1</v>
      </c>
      <c r="D1431" s="2" t="s">
        <v>553</v>
      </c>
      <c r="E1431" s="2" t="s">
        <v>8</v>
      </c>
      <c r="F1431" s="2" t="n">
        <v>372</v>
      </c>
      <c r="G1431" s="2" t="n">
        <v>38</v>
      </c>
    </row>
    <row r="1432" customFormat="false" ht="16.5" hidden="false" customHeight="true" outlineLevel="0" collapsed="false">
      <c r="A1432" s="2" t="s">
        <v>385</v>
      </c>
      <c r="B1432" s="2" t="s">
        <v>414</v>
      </c>
      <c r="C1432" s="2" t="n">
        <v>1</v>
      </c>
      <c r="D1432" s="2" t="s">
        <v>553</v>
      </c>
      <c r="E1432" s="2" t="s">
        <v>9</v>
      </c>
      <c r="F1432" s="2" t="n">
        <v>372</v>
      </c>
      <c r="G1432" s="2" t="n">
        <v>42</v>
      </c>
    </row>
    <row r="1433" customFormat="false" ht="16.5" hidden="false" customHeight="true" outlineLevel="0" collapsed="false">
      <c r="A1433" s="2" t="s">
        <v>385</v>
      </c>
      <c r="B1433" s="2" t="s">
        <v>414</v>
      </c>
      <c r="C1433" s="2" t="n">
        <v>1</v>
      </c>
      <c r="D1433" s="2" t="s">
        <v>553</v>
      </c>
      <c r="E1433" s="2" t="s">
        <v>10</v>
      </c>
      <c r="F1433" s="2" t="n">
        <v>372</v>
      </c>
      <c r="G1433" s="2" t="n">
        <v>46</v>
      </c>
    </row>
    <row r="1434" customFormat="false" ht="16.5" hidden="false" customHeight="true" outlineLevel="0" collapsed="false">
      <c r="A1434" s="2" t="s">
        <v>385</v>
      </c>
      <c r="B1434" s="2" t="s">
        <v>414</v>
      </c>
      <c r="C1434" s="2" t="n">
        <v>1</v>
      </c>
      <c r="D1434" s="2" t="s">
        <v>553</v>
      </c>
      <c r="E1434" s="2" t="s">
        <v>11</v>
      </c>
      <c r="F1434" s="2" t="n">
        <v>372</v>
      </c>
      <c r="G1434" s="2" t="n">
        <v>50</v>
      </c>
    </row>
    <row r="1435" customFormat="false" ht="16.5" hidden="false" customHeight="true" outlineLevel="0" collapsed="false">
      <c r="A1435" s="2" t="s">
        <v>385</v>
      </c>
      <c r="B1435" s="2" t="s">
        <v>414</v>
      </c>
      <c r="C1435" s="2" t="n">
        <v>1</v>
      </c>
      <c r="D1435" s="2" t="s">
        <v>553</v>
      </c>
      <c r="E1435" s="2" t="s">
        <v>12</v>
      </c>
      <c r="F1435" s="2" t="n">
        <v>374</v>
      </c>
      <c r="G1435" s="2" t="n">
        <v>8</v>
      </c>
    </row>
    <row r="1436" customFormat="false" ht="16.5" hidden="false" customHeight="true" outlineLevel="0" collapsed="false">
      <c r="A1436" s="2" t="s">
        <v>385</v>
      </c>
      <c r="B1436" s="2" t="s">
        <v>414</v>
      </c>
      <c r="C1436" s="2" t="n">
        <v>1</v>
      </c>
      <c r="D1436" s="2" t="s">
        <v>553</v>
      </c>
      <c r="E1436" s="2" t="s">
        <v>13</v>
      </c>
      <c r="F1436" s="2" t="n">
        <v>374</v>
      </c>
      <c r="G1436" s="2" t="n">
        <v>12</v>
      </c>
    </row>
    <row r="1437" customFormat="false" ht="16.5" hidden="false" customHeight="true" outlineLevel="0" collapsed="false">
      <c r="A1437" s="2" t="s">
        <v>385</v>
      </c>
      <c r="B1437" s="2" t="s">
        <v>414</v>
      </c>
      <c r="C1437" s="2" t="n">
        <v>1</v>
      </c>
      <c r="D1437" s="2" t="s">
        <v>553</v>
      </c>
      <c r="E1437" s="2" t="s">
        <v>14</v>
      </c>
      <c r="F1437" s="2" t="n">
        <v>374</v>
      </c>
      <c r="G1437" s="2" t="n">
        <v>16</v>
      </c>
    </row>
    <row r="1438" customFormat="false" ht="16.5" hidden="false" customHeight="true" outlineLevel="0" collapsed="false">
      <c r="A1438" s="2" t="s">
        <v>385</v>
      </c>
      <c r="B1438" s="2" t="s">
        <v>414</v>
      </c>
      <c r="C1438" s="2" t="n">
        <v>1</v>
      </c>
      <c r="D1438" s="2" t="s">
        <v>553</v>
      </c>
      <c r="E1438" s="2" t="s">
        <v>15</v>
      </c>
      <c r="F1438" s="2" t="n">
        <v>374</v>
      </c>
      <c r="G1438" s="2" t="n">
        <v>20</v>
      </c>
    </row>
    <row r="1439" customFormat="false" ht="16.5" hidden="false" customHeight="true" outlineLevel="0" collapsed="false">
      <c r="A1439" s="2" t="s">
        <v>385</v>
      </c>
      <c r="B1439" s="2" t="s">
        <v>414</v>
      </c>
      <c r="C1439" s="2" t="n">
        <v>1</v>
      </c>
      <c r="D1439" s="2" t="s">
        <v>553</v>
      </c>
      <c r="E1439" s="2" t="s">
        <v>16</v>
      </c>
      <c r="F1439" s="2" t="n">
        <v>374</v>
      </c>
      <c r="G1439" s="2" t="n">
        <v>24</v>
      </c>
    </row>
    <row r="1440" customFormat="false" ht="16.5" hidden="false" customHeight="true" outlineLevel="0" collapsed="false">
      <c r="A1440" s="2" t="s">
        <v>385</v>
      </c>
      <c r="B1440" s="2" t="s">
        <v>414</v>
      </c>
      <c r="C1440" s="2" t="n">
        <v>1</v>
      </c>
      <c r="D1440" s="2" t="s">
        <v>553</v>
      </c>
      <c r="E1440" s="2" t="s">
        <v>17</v>
      </c>
      <c r="F1440" s="2" t="n">
        <v>374</v>
      </c>
      <c r="G1440" s="2" t="n">
        <v>28</v>
      </c>
    </row>
    <row r="1441" customFormat="false" ht="16.5" hidden="false" customHeight="true" outlineLevel="0" collapsed="false">
      <c r="A1441" s="2" t="s">
        <v>385</v>
      </c>
      <c r="B1441" s="2" t="s">
        <v>414</v>
      </c>
      <c r="C1441" s="2" t="n">
        <v>1</v>
      </c>
      <c r="D1441" s="2" t="s">
        <v>553</v>
      </c>
      <c r="E1441" s="2" t="s">
        <v>18</v>
      </c>
      <c r="F1441" s="2" t="n">
        <v>374</v>
      </c>
      <c r="G1441" s="2" t="n">
        <v>32</v>
      </c>
    </row>
    <row r="1442" customFormat="false" ht="16.5" hidden="false" customHeight="true" outlineLevel="0" collapsed="false">
      <c r="A1442" s="2" t="s">
        <v>385</v>
      </c>
      <c r="B1442" s="2" t="s">
        <v>414</v>
      </c>
      <c r="C1442" s="2" t="n">
        <v>1</v>
      </c>
      <c r="D1442" s="2" t="s">
        <v>553</v>
      </c>
      <c r="E1442" s="2" t="s">
        <v>19</v>
      </c>
      <c r="F1442" s="2" t="n">
        <v>374</v>
      </c>
      <c r="G1442" s="2" t="n">
        <v>36</v>
      </c>
    </row>
    <row r="1443" customFormat="false" ht="16.5" hidden="false" customHeight="true" outlineLevel="0" collapsed="false">
      <c r="A1443" s="2" t="s">
        <v>385</v>
      </c>
      <c r="B1443" s="2" t="s">
        <v>414</v>
      </c>
      <c r="C1443" s="2" t="n">
        <v>1</v>
      </c>
      <c r="D1443" s="2" t="s">
        <v>553</v>
      </c>
      <c r="E1443" s="2" t="s">
        <v>20</v>
      </c>
      <c r="F1443" s="2" t="n">
        <v>374</v>
      </c>
      <c r="G1443" s="2" t="n">
        <v>40</v>
      </c>
    </row>
    <row r="1444" customFormat="false" ht="16.5" hidden="false" customHeight="true" outlineLevel="0" collapsed="false">
      <c r="A1444" s="2" t="s">
        <v>385</v>
      </c>
      <c r="B1444" s="2" t="s">
        <v>414</v>
      </c>
      <c r="C1444" s="2" t="n">
        <v>1</v>
      </c>
      <c r="D1444" s="2" t="s">
        <v>553</v>
      </c>
      <c r="E1444" s="2" t="s">
        <v>21</v>
      </c>
      <c r="F1444" s="2" t="n">
        <v>374</v>
      </c>
      <c r="G1444" s="2" t="n">
        <v>44</v>
      </c>
    </row>
    <row r="1445" customFormat="false" ht="16.5" hidden="false" customHeight="true" outlineLevel="0" collapsed="false">
      <c r="A1445" s="2" t="s">
        <v>385</v>
      </c>
      <c r="B1445" s="2" t="s">
        <v>414</v>
      </c>
      <c r="C1445" s="2" t="n">
        <v>1</v>
      </c>
      <c r="D1445" s="2" t="s">
        <v>553</v>
      </c>
      <c r="E1445" s="2" t="s">
        <v>22</v>
      </c>
      <c r="F1445" s="2" t="n">
        <v>374</v>
      </c>
      <c r="G1445" s="2" t="n">
        <v>48</v>
      </c>
    </row>
    <row r="1446" customFormat="false" ht="16.5" hidden="false" customHeight="true" outlineLevel="0" collapsed="false">
      <c r="A1446" s="2" t="s">
        <v>385</v>
      </c>
      <c r="B1446" s="2" t="s">
        <v>414</v>
      </c>
      <c r="C1446" s="2" t="n">
        <v>1</v>
      </c>
      <c r="D1446" s="2" t="s">
        <v>553</v>
      </c>
      <c r="E1446" s="2" t="s">
        <v>23</v>
      </c>
      <c r="F1446" s="2" t="n">
        <v>374</v>
      </c>
      <c r="G1446" s="2" t="n">
        <v>52</v>
      </c>
    </row>
    <row r="1447" customFormat="false" ht="16.5" hidden="false" customHeight="true" outlineLevel="0" collapsed="false">
      <c r="A1447" s="2" t="s">
        <v>385</v>
      </c>
      <c r="B1447" s="2" t="s">
        <v>414</v>
      </c>
      <c r="C1447" s="2" t="n">
        <v>1</v>
      </c>
      <c r="D1447" s="2" t="s">
        <v>553</v>
      </c>
      <c r="E1447" s="2" t="s">
        <v>24</v>
      </c>
      <c r="F1447" s="2" t="n">
        <v>376</v>
      </c>
      <c r="G1447" s="2" t="n">
        <v>9</v>
      </c>
    </row>
    <row r="1448" customFormat="false" ht="16.5" hidden="false" customHeight="true" outlineLevel="0" collapsed="false">
      <c r="A1448" s="2" t="s">
        <v>385</v>
      </c>
      <c r="B1448" s="2" t="s">
        <v>414</v>
      </c>
      <c r="C1448" s="2" t="n">
        <v>1</v>
      </c>
      <c r="D1448" s="2" t="s">
        <v>553</v>
      </c>
      <c r="E1448" s="2" t="s">
        <v>25</v>
      </c>
      <c r="F1448" s="2" t="n">
        <v>376</v>
      </c>
      <c r="G1448" s="2" t="n">
        <v>13</v>
      </c>
    </row>
    <row r="1449" customFormat="false" ht="16.5" hidden="false" customHeight="true" outlineLevel="0" collapsed="false">
      <c r="A1449" s="2" t="s">
        <v>385</v>
      </c>
      <c r="B1449" s="2" t="s">
        <v>414</v>
      </c>
      <c r="C1449" s="2" t="n">
        <v>1</v>
      </c>
      <c r="D1449" s="2" t="s">
        <v>553</v>
      </c>
      <c r="E1449" s="2" t="s">
        <v>26</v>
      </c>
      <c r="F1449" s="2" t="n">
        <v>376</v>
      </c>
      <c r="G1449" s="2" t="n">
        <v>17</v>
      </c>
    </row>
    <row r="1450" customFormat="false" ht="16.5" hidden="false" customHeight="true" outlineLevel="0" collapsed="false">
      <c r="A1450" s="2" t="s">
        <v>385</v>
      </c>
      <c r="B1450" s="2" t="s">
        <v>414</v>
      </c>
      <c r="C1450" s="2" t="n">
        <v>1</v>
      </c>
      <c r="D1450" s="2" t="s">
        <v>553</v>
      </c>
      <c r="E1450" s="2" t="s">
        <v>27</v>
      </c>
      <c r="F1450" s="2" t="n">
        <v>376</v>
      </c>
      <c r="G1450" s="2" t="n">
        <v>21</v>
      </c>
    </row>
    <row r="1451" customFormat="false" ht="16.5" hidden="false" customHeight="true" outlineLevel="0" collapsed="false">
      <c r="A1451" s="2" t="s">
        <v>385</v>
      </c>
      <c r="B1451" s="2" t="s">
        <v>414</v>
      </c>
      <c r="C1451" s="2" t="n">
        <v>1</v>
      </c>
      <c r="D1451" s="2" t="s">
        <v>553</v>
      </c>
      <c r="E1451" s="2" t="s">
        <v>28</v>
      </c>
      <c r="F1451" s="2" t="n">
        <v>376</v>
      </c>
      <c r="G1451" s="2" t="n">
        <v>25</v>
      </c>
    </row>
    <row r="1452" customFormat="false" ht="16.5" hidden="false" customHeight="true" outlineLevel="0" collapsed="false">
      <c r="A1452" s="2" t="s">
        <v>385</v>
      </c>
      <c r="B1452" s="2" t="s">
        <v>414</v>
      </c>
      <c r="C1452" s="2" t="n">
        <v>1</v>
      </c>
      <c r="D1452" s="2" t="s">
        <v>553</v>
      </c>
      <c r="E1452" s="2" t="s">
        <v>29</v>
      </c>
      <c r="F1452" s="2" t="n">
        <v>376</v>
      </c>
      <c r="G1452" s="2" t="n">
        <v>29</v>
      </c>
    </row>
    <row r="1453" customFormat="false" ht="16.5" hidden="false" customHeight="true" outlineLevel="0" collapsed="false">
      <c r="A1453" s="2" t="s">
        <v>385</v>
      </c>
      <c r="B1453" s="2" t="s">
        <v>414</v>
      </c>
      <c r="C1453" s="2" t="n">
        <v>1</v>
      </c>
      <c r="D1453" s="2" t="s">
        <v>553</v>
      </c>
      <c r="E1453" s="2" t="s">
        <v>30</v>
      </c>
      <c r="F1453" s="2" t="n">
        <v>376</v>
      </c>
      <c r="G1453" s="2" t="n">
        <v>33</v>
      </c>
    </row>
    <row r="1454" customFormat="false" ht="16.5" hidden="false" customHeight="true" outlineLevel="0" collapsed="false">
      <c r="A1454" s="2" t="s">
        <v>385</v>
      </c>
      <c r="B1454" s="2" t="s">
        <v>414</v>
      </c>
      <c r="C1454" s="2" t="n">
        <v>1</v>
      </c>
      <c r="D1454" s="2" t="s">
        <v>553</v>
      </c>
      <c r="E1454" s="2" t="s">
        <v>31</v>
      </c>
      <c r="F1454" s="2" t="n">
        <v>376</v>
      </c>
      <c r="G1454" s="2" t="n">
        <v>37</v>
      </c>
    </row>
    <row r="1455" customFormat="false" ht="16.5" hidden="false" customHeight="true" outlineLevel="0" collapsed="false">
      <c r="A1455" s="2" t="s">
        <v>385</v>
      </c>
      <c r="B1455" s="2" t="s">
        <v>414</v>
      </c>
      <c r="C1455" s="2" t="n">
        <v>1</v>
      </c>
      <c r="D1455" s="2" t="s">
        <v>553</v>
      </c>
      <c r="E1455" s="2" t="s">
        <v>32</v>
      </c>
      <c r="F1455" s="2" t="n">
        <v>376</v>
      </c>
      <c r="G1455" s="2" t="n">
        <v>41</v>
      </c>
    </row>
    <row r="1456" customFormat="false" ht="16.5" hidden="false" customHeight="true" outlineLevel="0" collapsed="false">
      <c r="A1456" s="2" t="s">
        <v>385</v>
      </c>
      <c r="B1456" s="2" t="s">
        <v>414</v>
      </c>
      <c r="C1456" s="2" t="n">
        <v>1</v>
      </c>
      <c r="D1456" s="2" t="s">
        <v>553</v>
      </c>
      <c r="E1456" s="2" t="s">
        <v>33</v>
      </c>
      <c r="F1456" s="2" t="n">
        <v>376</v>
      </c>
      <c r="G1456" s="2" t="n">
        <v>45</v>
      </c>
    </row>
    <row r="1457" customFormat="false" ht="16.5" hidden="false" customHeight="true" outlineLevel="0" collapsed="false">
      <c r="A1457" s="2" t="s">
        <v>385</v>
      </c>
      <c r="B1457" s="2" t="s">
        <v>414</v>
      </c>
      <c r="C1457" s="2" t="n">
        <v>1</v>
      </c>
      <c r="D1457" s="2" t="s">
        <v>553</v>
      </c>
      <c r="E1457" s="2" t="s">
        <v>34</v>
      </c>
      <c r="F1457" s="2" t="n">
        <v>376</v>
      </c>
      <c r="G1457" s="2" t="n">
        <v>49</v>
      </c>
    </row>
    <row r="1458" customFormat="false" ht="16.5" hidden="false" customHeight="true" outlineLevel="0" collapsed="false">
      <c r="A1458" s="2" t="s">
        <v>385</v>
      </c>
      <c r="B1458" s="2" t="s">
        <v>414</v>
      </c>
      <c r="C1458" s="2" t="n">
        <v>1</v>
      </c>
      <c r="D1458" s="2" t="s">
        <v>553</v>
      </c>
      <c r="E1458" s="2" t="s">
        <v>35</v>
      </c>
      <c r="F1458" s="2" t="n">
        <v>378</v>
      </c>
      <c r="G1458" s="2" t="n">
        <v>11</v>
      </c>
    </row>
    <row r="1459" customFormat="false" ht="16.5" hidden="false" customHeight="true" outlineLevel="0" collapsed="false">
      <c r="A1459" s="2" t="s">
        <v>385</v>
      </c>
      <c r="B1459" s="2" t="s">
        <v>414</v>
      </c>
      <c r="C1459" s="2" t="n">
        <v>1</v>
      </c>
      <c r="D1459" s="2" t="s">
        <v>553</v>
      </c>
      <c r="E1459" s="2" t="s">
        <v>36</v>
      </c>
      <c r="F1459" s="2" t="n">
        <v>378</v>
      </c>
      <c r="G1459" s="2" t="n">
        <v>15</v>
      </c>
    </row>
    <row r="1460" customFormat="false" ht="16.5" hidden="false" customHeight="true" outlineLevel="0" collapsed="false">
      <c r="A1460" s="2" t="s">
        <v>385</v>
      </c>
      <c r="B1460" s="2" t="s">
        <v>414</v>
      </c>
      <c r="C1460" s="2" t="n">
        <v>1</v>
      </c>
      <c r="D1460" s="2" t="s">
        <v>553</v>
      </c>
      <c r="E1460" s="2" t="s">
        <v>37</v>
      </c>
      <c r="F1460" s="2" t="n">
        <v>378</v>
      </c>
      <c r="G1460" s="2" t="n">
        <v>19</v>
      </c>
    </row>
    <row r="1461" customFormat="false" ht="16.5" hidden="false" customHeight="true" outlineLevel="0" collapsed="false">
      <c r="A1461" s="2" t="s">
        <v>385</v>
      </c>
      <c r="B1461" s="2" t="s">
        <v>414</v>
      </c>
      <c r="C1461" s="2" t="n">
        <v>1</v>
      </c>
      <c r="D1461" s="2" t="s">
        <v>553</v>
      </c>
      <c r="E1461" s="2" t="s">
        <v>38</v>
      </c>
      <c r="F1461" s="2" t="n">
        <v>378</v>
      </c>
      <c r="G1461" s="2" t="n">
        <v>23</v>
      </c>
    </row>
    <row r="1462" customFormat="false" ht="16.5" hidden="false" customHeight="true" outlineLevel="0" collapsed="false">
      <c r="A1462" s="2" t="s">
        <v>385</v>
      </c>
      <c r="B1462" s="2" t="s">
        <v>414</v>
      </c>
      <c r="C1462" s="2" t="n">
        <v>1</v>
      </c>
      <c r="D1462" s="2" t="s">
        <v>553</v>
      </c>
      <c r="E1462" s="2" t="s">
        <v>39</v>
      </c>
      <c r="F1462" s="2" t="n">
        <v>378</v>
      </c>
      <c r="G1462" s="2" t="n">
        <v>27</v>
      </c>
    </row>
    <row r="1463" customFormat="false" ht="16.5" hidden="false" customHeight="true" outlineLevel="0" collapsed="false">
      <c r="A1463" s="2" t="s">
        <v>385</v>
      </c>
      <c r="B1463" s="2" t="s">
        <v>414</v>
      </c>
      <c r="C1463" s="2" t="n">
        <v>1</v>
      </c>
      <c r="D1463" s="2" t="s">
        <v>553</v>
      </c>
      <c r="E1463" s="2" t="s">
        <v>40</v>
      </c>
      <c r="F1463" s="2" t="n">
        <v>378</v>
      </c>
      <c r="G1463" s="2" t="n">
        <v>31</v>
      </c>
    </row>
    <row r="1464" customFormat="false" ht="16.5" hidden="false" customHeight="true" outlineLevel="0" collapsed="false">
      <c r="A1464" s="2" t="s">
        <v>385</v>
      </c>
      <c r="B1464" s="2" t="s">
        <v>414</v>
      </c>
      <c r="C1464" s="2" t="n">
        <v>1</v>
      </c>
      <c r="D1464" s="2" t="s">
        <v>553</v>
      </c>
      <c r="E1464" s="2" t="s">
        <v>41</v>
      </c>
      <c r="F1464" s="2" t="n">
        <v>378</v>
      </c>
      <c r="G1464" s="2" t="n">
        <v>35</v>
      </c>
    </row>
    <row r="1465" customFormat="false" ht="16.5" hidden="false" customHeight="true" outlineLevel="0" collapsed="false">
      <c r="A1465" s="2" t="s">
        <v>385</v>
      </c>
      <c r="B1465" s="2" t="s">
        <v>414</v>
      </c>
      <c r="C1465" s="2" t="n">
        <v>1</v>
      </c>
      <c r="D1465" s="2" t="s">
        <v>553</v>
      </c>
      <c r="E1465" s="2" t="s">
        <v>42</v>
      </c>
      <c r="F1465" s="2" t="n">
        <v>378</v>
      </c>
      <c r="G1465" s="2" t="n">
        <v>39</v>
      </c>
    </row>
    <row r="1466" customFormat="false" ht="16.5" hidden="false" customHeight="true" outlineLevel="0" collapsed="false">
      <c r="A1466" s="2" t="s">
        <v>385</v>
      </c>
      <c r="B1466" s="2" t="s">
        <v>414</v>
      </c>
      <c r="C1466" s="2" t="n">
        <v>1</v>
      </c>
      <c r="D1466" s="2" t="s">
        <v>553</v>
      </c>
      <c r="E1466" s="2" t="s">
        <v>43</v>
      </c>
      <c r="F1466" s="2" t="n">
        <v>378</v>
      </c>
      <c r="G1466" s="2" t="n">
        <v>43</v>
      </c>
    </row>
    <row r="1467" customFormat="false" ht="16.5" hidden="false" customHeight="true" outlineLevel="0" collapsed="false">
      <c r="A1467" s="2" t="s">
        <v>385</v>
      </c>
      <c r="B1467" s="2" t="s">
        <v>414</v>
      </c>
      <c r="C1467" s="2" t="n">
        <v>1</v>
      </c>
      <c r="D1467" s="2" t="s">
        <v>553</v>
      </c>
      <c r="E1467" s="2" t="s">
        <v>44</v>
      </c>
      <c r="F1467" s="2" t="n">
        <v>378</v>
      </c>
      <c r="G1467" s="2" t="n">
        <v>47</v>
      </c>
    </row>
    <row r="1468" customFormat="false" ht="16.5" hidden="false" customHeight="true" outlineLevel="0" collapsed="false">
      <c r="A1468" s="2" t="s">
        <v>385</v>
      </c>
      <c r="B1468" s="2" t="s">
        <v>414</v>
      </c>
      <c r="C1468" s="2" t="n">
        <v>1</v>
      </c>
      <c r="D1468" s="2" t="s">
        <v>553</v>
      </c>
      <c r="E1468" s="2" t="s">
        <v>48</v>
      </c>
      <c r="F1468" s="2" t="n">
        <v>380</v>
      </c>
      <c r="G1468" s="2" t="n">
        <v>16</v>
      </c>
    </row>
    <row r="1469" customFormat="false" ht="16.5" hidden="false" customHeight="true" outlineLevel="0" collapsed="false">
      <c r="A1469" s="2" t="s">
        <v>385</v>
      </c>
      <c r="B1469" s="2" t="s">
        <v>414</v>
      </c>
      <c r="C1469" s="2" t="n">
        <v>1</v>
      </c>
      <c r="D1469" s="2" t="s">
        <v>553</v>
      </c>
      <c r="E1469" s="2" t="s">
        <v>50</v>
      </c>
      <c r="F1469" s="2" t="n">
        <v>380</v>
      </c>
      <c r="G1469" s="2" t="n">
        <v>20</v>
      </c>
    </row>
    <row r="1470" customFormat="false" ht="16.5" hidden="false" customHeight="true" outlineLevel="0" collapsed="false">
      <c r="A1470" s="2" t="s">
        <v>385</v>
      </c>
      <c r="B1470" s="2" t="s">
        <v>414</v>
      </c>
      <c r="C1470" s="2" t="n">
        <v>1</v>
      </c>
      <c r="D1470" s="2" t="s">
        <v>553</v>
      </c>
      <c r="E1470" s="2" t="s">
        <v>45</v>
      </c>
      <c r="F1470" s="2" t="n">
        <v>380</v>
      </c>
      <c r="G1470" s="2" t="n">
        <v>38</v>
      </c>
    </row>
    <row r="1471" customFormat="false" ht="16.5" hidden="false" customHeight="true" outlineLevel="0" collapsed="false">
      <c r="A1471" s="2" t="s">
        <v>385</v>
      </c>
      <c r="B1471" s="2" t="s">
        <v>414</v>
      </c>
      <c r="C1471" s="2" t="n">
        <v>1</v>
      </c>
      <c r="D1471" s="2" t="s">
        <v>553</v>
      </c>
      <c r="E1471" s="2" t="s">
        <v>46</v>
      </c>
      <c r="F1471" s="2" t="n">
        <v>380</v>
      </c>
      <c r="G1471" s="2" t="n">
        <v>42</v>
      </c>
    </row>
    <row r="1472" customFormat="false" ht="16.5" hidden="false" customHeight="true" outlineLevel="0" collapsed="false">
      <c r="A1472" s="2" t="s">
        <v>385</v>
      </c>
      <c r="B1472" s="2" t="s">
        <v>415</v>
      </c>
      <c r="C1472" s="2" t="n">
        <v>1</v>
      </c>
      <c r="D1472" s="2" t="s">
        <v>554</v>
      </c>
      <c r="E1472" s="2" t="s">
        <v>0</v>
      </c>
      <c r="F1472" s="2" t="n">
        <v>385</v>
      </c>
      <c r="G1472" s="2" t="n">
        <v>6</v>
      </c>
    </row>
    <row r="1473" customFormat="false" ht="16.5" hidden="false" customHeight="true" outlineLevel="0" collapsed="false">
      <c r="A1473" s="2" t="s">
        <v>385</v>
      </c>
      <c r="B1473" s="2" t="s">
        <v>415</v>
      </c>
      <c r="C1473" s="2" t="n">
        <v>1</v>
      </c>
      <c r="D1473" s="2" t="s">
        <v>554</v>
      </c>
      <c r="E1473" s="2" t="s">
        <v>1</v>
      </c>
      <c r="F1473" s="2" t="n">
        <v>385</v>
      </c>
      <c r="G1473" s="2" t="n">
        <v>10</v>
      </c>
    </row>
    <row r="1474" customFormat="false" ht="16.5" hidden="false" customHeight="true" outlineLevel="0" collapsed="false">
      <c r="A1474" s="2" t="s">
        <v>385</v>
      </c>
      <c r="B1474" s="2" t="s">
        <v>415</v>
      </c>
      <c r="C1474" s="2" t="n">
        <v>1</v>
      </c>
      <c r="D1474" s="2" t="s">
        <v>554</v>
      </c>
      <c r="E1474" s="2" t="s">
        <v>2</v>
      </c>
      <c r="F1474" s="2" t="n">
        <v>385</v>
      </c>
      <c r="G1474" s="2" t="n">
        <v>14</v>
      </c>
    </row>
    <row r="1475" customFormat="false" ht="16.5" hidden="false" customHeight="true" outlineLevel="0" collapsed="false">
      <c r="A1475" s="2" t="s">
        <v>385</v>
      </c>
      <c r="B1475" s="2" t="s">
        <v>415</v>
      </c>
      <c r="C1475" s="2" t="n">
        <v>1</v>
      </c>
      <c r="D1475" s="2" t="s">
        <v>554</v>
      </c>
      <c r="E1475" s="2" t="s">
        <v>3</v>
      </c>
      <c r="F1475" s="2" t="n">
        <v>385</v>
      </c>
      <c r="G1475" s="2" t="n">
        <v>18</v>
      </c>
    </row>
    <row r="1476" customFormat="false" ht="16.5" hidden="false" customHeight="true" outlineLevel="0" collapsed="false">
      <c r="A1476" s="2" t="s">
        <v>385</v>
      </c>
      <c r="B1476" s="2" t="s">
        <v>415</v>
      </c>
      <c r="C1476" s="2" t="n">
        <v>1</v>
      </c>
      <c r="D1476" s="2" t="s">
        <v>554</v>
      </c>
      <c r="E1476" s="2" t="s">
        <v>4</v>
      </c>
      <c r="F1476" s="2" t="n">
        <v>385</v>
      </c>
      <c r="G1476" s="2" t="n">
        <v>22</v>
      </c>
    </row>
    <row r="1477" customFormat="false" ht="16.5" hidden="false" customHeight="true" outlineLevel="0" collapsed="false">
      <c r="A1477" s="2" t="s">
        <v>385</v>
      </c>
      <c r="B1477" s="2" t="s">
        <v>415</v>
      </c>
      <c r="C1477" s="2" t="n">
        <v>1</v>
      </c>
      <c r="D1477" s="2" t="s">
        <v>554</v>
      </c>
      <c r="E1477" s="2" t="s">
        <v>5</v>
      </c>
      <c r="F1477" s="2" t="n">
        <v>385</v>
      </c>
      <c r="G1477" s="2" t="n">
        <v>26</v>
      </c>
    </row>
    <row r="1478" customFormat="false" ht="16.5" hidden="false" customHeight="true" outlineLevel="0" collapsed="false">
      <c r="A1478" s="2" t="s">
        <v>385</v>
      </c>
      <c r="B1478" s="2" t="s">
        <v>415</v>
      </c>
      <c r="C1478" s="2" t="n">
        <v>1</v>
      </c>
      <c r="D1478" s="2" t="s">
        <v>554</v>
      </c>
      <c r="E1478" s="2" t="s">
        <v>6</v>
      </c>
      <c r="F1478" s="2" t="n">
        <v>385</v>
      </c>
      <c r="G1478" s="2" t="n">
        <v>30</v>
      </c>
    </row>
    <row r="1479" customFormat="false" ht="16.5" hidden="false" customHeight="true" outlineLevel="0" collapsed="false">
      <c r="A1479" s="2" t="s">
        <v>385</v>
      </c>
      <c r="B1479" s="2" t="s">
        <v>415</v>
      </c>
      <c r="C1479" s="2" t="n">
        <v>1</v>
      </c>
      <c r="D1479" s="2" t="s">
        <v>554</v>
      </c>
      <c r="E1479" s="2" t="s">
        <v>7</v>
      </c>
      <c r="F1479" s="2" t="n">
        <v>385</v>
      </c>
      <c r="G1479" s="2" t="n">
        <v>34</v>
      </c>
    </row>
    <row r="1480" customFormat="false" ht="16.5" hidden="false" customHeight="true" outlineLevel="0" collapsed="false">
      <c r="A1480" s="2" t="s">
        <v>385</v>
      </c>
      <c r="B1480" s="2" t="s">
        <v>415</v>
      </c>
      <c r="C1480" s="2" t="n">
        <v>1</v>
      </c>
      <c r="D1480" s="2" t="s">
        <v>554</v>
      </c>
      <c r="E1480" s="2" t="s">
        <v>8</v>
      </c>
      <c r="F1480" s="2" t="n">
        <v>385</v>
      </c>
      <c r="G1480" s="2" t="n">
        <v>38</v>
      </c>
    </row>
    <row r="1481" customFormat="false" ht="16.5" hidden="false" customHeight="true" outlineLevel="0" collapsed="false">
      <c r="A1481" s="2" t="s">
        <v>385</v>
      </c>
      <c r="B1481" s="2" t="s">
        <v>415</v>
      </c>
      <c r="C1481" s="2" t="n">
        <v>1</v>
      </c>
      <c r="D1481" s="2" t="s">
        <v>554</v>
      </c>
      <c r="E1481" s="2" t="s">
        <v>9</v>
      </c>
      <c r="F1481" s="2" t="n">
        <v>385</v>
      </c>
      <c r="G1481" s="2" t="n">
        <v>42</v>
      </c>
    </row>
    <row r="1482" customFormat="false" ht="16.5" hidden="false" customHeight="true" outlineLevel="0" collapsed="false">
      <c r="A1482" s="2" t="s">
        <v>385</v>
      </c>
      <c r="B1482" s="2" t="s">
        <v>415</v>
      </c>
      <c r="C1482" s="2" t="n">
        <v>1</v>
      </c>
      <c r="D1482" s="2" t="s">
        <v>554</v>
      </c>
      <c r="E1482" s="2" t="s">
        <v>10</v>
      </c>
      <c r="F1482" s="2" t="n">
        <v>385</v>
      </c>
      <c r="G1482" s="2" t="n">
        <v>46</v>
      </c>
    </row>
    <row r="1483" customFormat="false" ht="16.5" hidden="false" customHeight="true" outlineLevel="0" collapsed="false">
      <c r="A1483" s="2" t="s">
        <v>385</v>
      </c>
      <c r="B1483" s="2" t="s">
        <v>415</v>
      </c>
      <c r="C1483" s="2" t="n">
        <v>1</v>
      </c>
      <c r="D1483" s="2" t="s">
        <v>554</v>
      </c>
      <c r="E1483" s="2" t="s">
        <v>11</v>
      </c>
      <c r="F1483" s="2" t="n">
        <v>385</v>
      </c>
      <c r="G1483" s="2" t="n">
        <v>50</v>
      </c>
    </row>
    <row r="1484" customFormat="false" ht="16.5" hidden="false" customHeight="true" outlineLevel="0" collapsed="false">
      <c r="A1484" s="2" t="s">
        <v>385</v>
      </c>
      <c r="B1484" s="2" t="s">
        <v>415</v>
      </c>
      <c r="C1484" s="2" t="n">
        <v>1</v>
      </c>
      <c r="D1484" s="2" t="s">
        <v>554</v>
      </c>
      <c r="E1484" s="2" t="s">
        <v>12</v>
      </c>
      <c r="F1484" s="2" t="n">
        <v>387</v>
      </c>
      <c r="G1484" s="2" t="n">
        <v>8</v>
      </c>
    </row>
    <row r="1485" customFormat="false" ht="16.5" hidden="false" customHeight="true" outlineLevel="0" collapsed="false">
      <c r="A1485" s="2" t="s">
        <v>385</v>
      </c>
      <c r="B1485" s="2" t="s">
        <v>415</v>
      </c>
      <c r="C1485" s="2" t="n">
        <v>1</v>
      </c>
      <c r="D1485" s="2" t="s">
        <v>554</v>
      </c>
      <c r="E1485" s="2" t="s">
        <v>13</v>
      </c>
      <c r="F1485" s="2" t="n">
        <v>387</v>
      </c>
      <c r="G1485" s="2" t="n">
        <v>12</v>
      </c>
    </row>
    <row r="1486" customFormat="false" ht="16.5" hidden="false" customHeight="true" outlineLevel="0" collapsed="false">
      <c r="A1486" s="2" t="s">
        <v>385</v>
      </c>
      <c r="B1486" s="2" t="s">
        <v>415</v>
      </c>
      <c r="C1486" s="2" t="n">
        <v>1</v>
      </c>
      <c r="D1486" s="2" t="s">
        <v>554</v>
      </c>
      <c r="E1486" s="2" t="s">
        <v>14</v>
      </c>
      <c r="F1486" s="2" t="n">
        <v>387</v>
      </c>
      <c r="G1486" s="2" t="n">
        <v>16</v>
      </c>
    </row>
    <row r="1487" customFormat="false" ht="16.5" hidden="false" customHeight="true" outlineLevel="0" collapsed="false">
      <c r="A1487" s="2" t="s">
        <v>385</v>
      </c>
      <c r="B1487" s="2" t="s">
        <v>415</v>
      </c>
      <c r="C1487" s="2" t="n">
        <v>1</v>
      </c>
      <c r="D1487" s="2" t="s">
        <v>554</v>
      </c>
      <c r="E1487" s="2" t="s">
        <v>15</v>
      </c>
      <c r="F1487" s="2" t="n">
        <v>387</v>
      </c>
      <c r="G1487" s="2" t="n">
        <v>20</v>
      </c>
    </row>
    <row r="1488" customFormat="false" ht="16.5" hidden="false" customHeight="true" outlineLevel="0" collapsed="false">
      <c r="A1488" s="2" t="s">
        <v>385</v>
      </c>
      <c r="B1488" s="2" t="s">
        <v>415</v>
      </c>
      <c r="C1488" s="2" t="n">
        <v>1</v>
      </c>
      <c r="D1488" s="2" t="s">
        <v>554</v>
      </c>
      <c r="E1488" s="2" t="s">
        <v>16</v>
      </c>
      <c r="F1488" s="2" t="n">
        <v>387</v>
      </c>
      <c r="G1488" s="2" t="n">
        <v>24</v>
      </c>
    </row>
    <row r="1489" customFormat="false" ht="16.5" hidden="false" customHeight="true" outlineLevel="0" collapsed="false">
      <c r="A1489" s="2" t="s">
        <v>385</v>
      </c>
      <c r="B1489" s="2" t="s">
        <v>415</v>
      </c>
      <c r="C1489" s="2" t="n">
        <v>1</v>
      </c>
      <c r="D1489" s="2" t="s">
        <v>554</v>
      </c>
      <c r="E1489" s="2" t="s">
        <v>17</v>
      </c>
      <c r="F1489" s="2" t="n">
        <v>387</v>
      </c>
      <c r="G1489" s="2" t="n">
        <v>28</v>
      </c>
    </row>
    <row r="1490" customFormat="false" ht="16.5" hidden="false" customHeight="true" outlineLevel="0" collapsed="false">
      <c r="A1490" s="2" t="s">
        <v>385</v>
      </c>
      <c r="B1490" s="2" t="s">
        <v>415</v>
      </c>
      <c r="C1490" s="2" t="n">
        <v>1</v>
      </c>
      <c r="D1490" s="2" t="s">
        <v>554</v>
      </c>
      <c r="E1490" s="2" t="s">
        <v>18</v>
      </c>
      <c r="F1490" s="2" t="n">
        <v>387</v>
      </c>
      <c r="G1490" s="2" t="n">
        <v>32</v>
      </c>
    </row>
    <row r="1491" customFormat="false" ht="16.5" hidden="false" customHeight="true" outlineLevel="0" collapsed="false">
      <c r="A1491" s="2" t="s">
        <v>385</v>
      </c>
      <c r="B1491" s="2" t="s">
        <v>415</v>
      </c>
      <c r="C1491" s="2" t="n">
        <v>1</v>
      </c>
      <c r="D1491" s="2" t="s">
        <v>554</v>
      </c>
      <c r="E1491" s="2" t="s">
        <v>19</v>
      </c>
      <c r="F1491" s="2" t="n">
        <v>387</v>
      </c>
      <c r="G1491" s="2" t="n">
        <v>36</v>
      </c>
    </row>
    <row r="1492" customFormat="false" ht="16.5" hidden="false" customHeight="true" outlineLevel="0" collapsed="false">
      <c r="A1492" s="2" t="s">
        <v>385</v>
      </c>
      <c r="B1492" s="2" t="s">
        <v>415</v>
      </c>
      <c r="C1492" s="2" t="n">
        <v>1</v>
      </c>
      <c r="D1492" s="2" t="s">
        <v>554</v>
      </c>
      <c r="E1492" s="2" t="s">
        <v>20</v>
      </c>
      <c r="F1492" s="2" t="n">
        <v>387</v>
      </c>
      <c r="G1492" s="2" t="n">
        <v>40</v>
      </c>
    </row>
    <row r="1493" customFormat="false" ht="16.5" hidden="false" customHeight="true" outlineLevel="0" collapsed="false">
      <c r="A1493" s="2" t="s">
        <v>385</v>
      </c>
      <c r="B1493" s="2" t="s">
        <v>415</v>
      </c>
      <c r="C1493" s="2" t="n">
        <v>1</v>
      </c>
      <c r="D1493" s="2" t="s">
        <v>554</v>
      </c>
      <c r="E1493" s="2" t="s">
        <v>21</v>
      </c>
      <c r="F1493" s="2" t="n">
        <v>387</v>
      </c>
      <c r="G1493" s="2" t="n">
        <v>44</v>
      </c>
    </row>
    <row r="1494" customFormat="false" ht="16.5" hidden="false" customHeight="true" outlineLevel="0" collapsed="false">
      <c r="A1494" s="2" t="s">
        <v>385</v>
      </c>
      <c r="B1494" s="2" t="s">
        <v>415</v>
      </c>
      <c r="C1494" s="2" t="n">
        <v>1</v>
      </c>
      <c r="D1494" s="2" t="s">
        <v>554</v>
      </c>
      <c r="E1494" s="2" t="s">
        <v>22</v>
      </c>
      <c r="F1494" s="2" t="n">
        <v>387</v>
      </c>
      <c r="G1494" s="2" t="n">
        <v>48</v>
      </c>
    </row>
    <row r="1495" customFormat="false" ht="16.5" hidden="false" customHeight="true" outlineLevel="0" collapsed="false">
      <c r="A1495" s="2" t="s">
        <v>385</v>
      </c>
      <c r="B1495" s="2" t="s">
        <v>415</v>
      </c>
      <c r="C1495" s="2" t="n">
        <v>1</v>
      </c>
      <c r="D1495" s="2" t="s">
        <v>554</v>
      </c>
      <c r="E1495" s="2" t="s">
        <v>23</v>
      </c>
      <c r="F1495" s="2" t="n">
        <v>387</v>
      </c>
      <c r="G1495" s="2" t="n">
        <v>52</v>
      </c>
    </row>
    <row r="1496" customFormat="false" ht="16.5" hidden="false" customHeight="true" outlineLevel="0" collapsed="false">
      <c r="A1496" s="2" t="s">
        <v>385</v>
      </c>
      <c r="B1496" s="2" t="s">
        <v>415</v>
      </c>
      <c r="C1496" s="2" t="n">
        <v>1</v>
      </c>
      <c r="D1496" s="2" t="s">
        <v>554</v>
      </c>
      <c r="E1496" s="2" t="s">
        <v>24</v>
      </c>
      <c r="F1496" s="2" t="n">
        <v>389</v>
      </c>
      <c r="G1496" s="2" t="n">
        <v>9</v>
      </c>
    </row>
    <row r="1497" customFormat="false" ht="16.5" hidden="false" customHeight="true" outlineLevel="0" collapsed="false">
      <c r="A1497" s="2" t="s">
        <v>385</v>
      </c>
      <c r="B1497" s="2" t="s">
        <v>415</v>
      </c>
      <c r="C1497" s="2" t="n">
        <v>1</v>
      </c>
      <c r="D1497" s="2" t="s">
        <v>554</v>
      </c>
      <c r="E1497" s="2" t="s">
        <v>25</v>
      </c>
      <c r="F1497" s="2" t="n">
        <v>389</v>
      </c>
      <c r="G1497" s="2" t="n">
        <v>13</v>
      </c>
    </row>
    <row r="1498" customFormat="false" ht="16.5" hidden="false" customHeight="true" outlineLevel="0" collapsed="false">
      <c r="A1498" s="2" t="s">
        <v>385</v>
      </c>
      <c r="B1498" s="2" t="s">
        <v>415</v>
      </c>
      <c r="C1498" s="2" t="n">
        <v>1</v>
      </c>
      <c r="D1498" s="2" t="s">
        <v>554</v>
      </c>
      <c r="E1498" s="2" t="s">
        <v>26</v>
      </c>
      <c r="F1498" s="2" t="n">
        <v>389</v>
      </c>
      <c r="G1498" s="2" t="n">
        <v>17</v>
      </c>
    </row>
    <row r="1499" customFormat="false" ht="16.5" hidden="false" customHeight="true" outlineLevel="0" collapsed="false">
      <c r="A1499" s="2" t="s">
        <v>385</v>
      </c>
      <c r="B1499" s="2" t="s">
        <v>415</v>
      </c>
      <c r="C1499" s="2" t="n">
        <v>1</v>
      </c>
      <c r="D1499" s="2" t="s">
        <v>554</v>
      </c>
      <c r="E1499" s="2" t="s">
        <v>27</v>
      </c>
      <c r="F1499" s="2" t="n">
        <v>389</v>
      </c>
      <c r="G1499" s="2" t="n">
        <v>21</v>
      </c>
    </row>
    <row r="1500" customFormat="false" ht="16.5" hidden="false" customHeight="true" outlineLevel="0" collapsed="false">
      <c r="A1500" s="2" t="s">
        <v>385</v>
      </c>
      <c r="B1500" s="2" t="s">
        <v>415</v>
      </c>
      <c r="C1500" s="2" t="n">
        <v>1</v>
      </c>
      <c r="D1500" s="2" t="s">
        <v>554</v>
      </c>
      <c r="E1500" s="2" t="s">
        <v>28</v>
      </c>
      <c r="F1500" s="2" t="n">
        <v>389</v>
      </c>
      <c r="G1500" s="2" t="n">
        <v>25</v>
      </c>
    </row>
    <row r="1501" customFormat="false" ht="16.5" hidden="false" customHeight="true" outlineLevel="0" collapsed="false">
      <c r="A1501" s="2" t="s">
        <v>385</v>
      </c>
      <c r="B1501" s="2" t="s">
        <v>415</v>
      </c>
      <c r="C1501" s="2" t="n">
        <v>1</v>
      </c>
      <c r="D1501" s="2" t="s">
        <v>554</v>
      </c>
      <c r="E1501" s="2" t="s">
        <v>29</v>
      </c>
      <c r="F1501" s="2" t="n">
        <v>389</v>
      </c>
      <c r="G1501" s="2" t="n">
        <v>29</v>
      </c>
    </row>
    <row r="1502" customFormat="false" ht="16.5" hidden="false" customHeight="true" outlineLevel="0" collapsed="false">
      <c r="A1502" s="2" t="s">
        <v>385</v>
      </c>
      <c r="B1502" s="2" t="s">
        <v>415</v>
      </c>
      <c r="C1502" s="2" t="n">
        <v>1</v>
      </c>
      <c r="D1502" s="2" t="s">
        <v>554</v>
      </c>
      <c r="E1502" s="2" t="s">
        <v>30</v>
      </c>
      <c r="F1502" s="2" t="n">
        <v>389</v>
      </c>
      <c r="G1502" s="2" t="n">
        <v>33</v>
      </c>
    </row>
    <row r="1503" customFormat="false" ht="16.5" hidden="false" customHeight="true" outlineLevel="0" collapsed="false">
      <c r="A1503" s="2" t="s">
        <v>385</v>
      </c>
      <c r="B1503" s="2" t="s">
        <v>415</v>
      </c>
      <c r="C1503" s="2" t="n">
        <v>1</v>
      </c>
      <c r="D1503" s="2" t="s">
        <v>554</v>
      </c>
      <c r="E1503" s="2" t="s">
        <v>31</v>
      </c>
      <c r="F1503" s="2" t="n">
        <v>389</v>
      </c>
      <c r="G1503" s="2" t="n">
        <v>37</v>
      </c>
    </row>
    <row r="1504" customFormat="false" ht="16.5" hidden="false" customHeight="true" outlineLevel="0" collapsed="false">
      <c r="A1504" s="2" t="s">
        <v>385</v>
      </c>
      <c r="B1504" s="2" t="s">
        <v>415</v>
      </c>
      <c r="C1504" s="2" t="n">
        <v>1</v>
      </c>
      <c r="D1504" s="2" t="s">
        <v>554</v>
      </c>
      <c r="E1504" s="2" t="s">
        <v>32</v>
      </c>
      <c r="F1504" s="2" t="n">
        <v>389</v>
      </c>
      <c r="G1504" s="2" t="n">
        <v>41</v>
      </c>
    </row>
    <row r="1505" customFormat="false" ht="16.5" hidden="false" customHeight="true" outlineLevel="0" collapsed="false">
      <c r="A1505" s="2" t="s">
        <v>385</v>
      </c>
      <c r="B1505" s="2" t="s">
        <v>415</v>
      </c>
      <c r="C1505" s="2" t="n">
        <v>1</v>
      </c>
      <c r="D1505" s="2" t="s">
        <v>554</v>
      </c>
      <c r="E1505" s="2" t="s">
        <v>33</v>
      </c>
      <c r="F1505" s="2" t="n">
        <v>389</v>
      </c>
      <c r="G1505" s="2" t="n">
        <v>45</v>
      </c>
    </row>
    <row r="1506" customFormat="false" ht="16.5" hidden="false" customHeight="true" outlineLevel="0" collapsed="false">
      <c r="A1506" s="2" t="s">
        <v>385</v>
      </c>
      <c r="B1506" s="2" t="s">
        <v>415</v>
      </c>
      <c r="C1506" s="2" t="n">
        <v>1</v>
      </c>
      <c r="D1506" s="2" t="s">
        <v>554</v>
      </c>
      <c r="E1506" s="2" t="s">
        <v>34</v>
      </c>
      <c r="F1506" s="2" t="n">
        <v>389</v>
      </c>
      <c r="G1506" s="2" t="n">
        <v>49</v>
      </c>
    </row>
    <row r="1507" customFormat="false" ht="16.5" hidden="false" customHeight="true" outlineLevel="0" collapsed="false">
      <c r="A1507" s="2" t="s">
        <v>385</v>
      </c>
      <c r="B1507" s="2" t="s">
        <v>415</v>
      </c>
      <c r="C1507" s="2" t="n">
        <v>1</v>
      </c>
      <c r="D1507" s="2" t="s">
        <v>554</v>
      </c>
      <c r="E1507" s="2" t="s">
        <v>35</v>
      </c>
      <c r="F1507" s="2" t="n">
        <v>391</v>
      </c>
      <c r="G1507" s="2" t="n">
        <v>11</v>
      </c>
    </row>
    <row r="1508" customFormat="false" ht="16.5" hidden="false" customHeight="true" outlineLevel="0" collapsed="false">
      <c r="A1508" s="2" t="s">
        <v>385</v>
      </c>
      <c r="B1508" s="2" t="s">
        <v>415</v>
      </c>
      <c r="C1508" s="2" t="n">
        <v>1</v>
      </c>
      <c r="D1508" s="2" t="s">
        <v>554</v>
      </c>
      <c r="E1508" s="2" t="s">
        <v>36</v>
      </c>
      <c r="F1508" s="2" t="n">
        <v>391</v>
      </c>
      <c r="G1508" s="2" t="n">
        <v>15</v>
      </c>
    </row>
    <row r="1509" customFormat="false" ht="16.5" hidden="false" customHeight="true" outlineLevel="0" collapsed="false">
      <c r="A1509" s="2" t="s">
        <v>385</v>
      </c>
      <c r="B1509" s="2" t="s">
        <v>415</v>
      </c>
      <c r="C1509" s="2" t="n">
        <v>1</v>
      </c>
      <c r="D1509" s="2" t="s">
        <v>554</v>
      </c>
      <c r="E1509" s="2" t="s">
        <v>37</v>
      </c>
      <c r="F1509" s="2" t="n">
        <v>391</v>
      </c>
      <c r="G1509" s="2" t="n">
        <v>19</v>
      </c>
    </row>
    <row r="1510" customFormat="false" ht="16.5" hidden="false" customHeight="true" outlineLevel="0" collapsed="false">
      <c r="A1510" s="2" t="s">
        <v>385</v>
      </c>
      <c r="B1510" s="2" t="s">
        <v>415</v>
      </c>
      <c r="C1510" s="2" t="n">
        <v>1</v>
      </c>
      <c r="D1510" s="2" t="s">
        <v>554</v>
      </c>
      <c r="E1510" s="2" t="s">
        <v>38</v>
      </c>
      <c r="F1510" s="2" t="n">
        <v>391</v>
      </c>
      <c r="G1510" s="2" t="n">
        <v>23</v>
      </c>
    </row>
    <row r="1511" customFormat="false" ht="16.5" hidden="false" customHeight="true" outlineLevel="0" collapsed="false">
      <c r="A1511" s="2" t="s">
        <v>385</v>
      </c>
      <c r="B1511" s="2" t="s">
        <v>415</v>
      </c>
      <c r="C1511" s="2" t="n">
        <v>1</v>
      </c>
      <c r="D1511" s="2" t="s">
        <v>554</v>
      </c>
      <c r="E1511" s="2" t="s">
        <v>39</v>
      </c>
      <c r="F1511" s="2" t="n">
        <v>391</v>
      </c>
      <c r="G1511" s="2" t="n">
        <v>27</v>
      </c>
    </row>
    <row r="1512" customFormat="false" ht="16.5" hidden="false" customHeight="true" outlineLevel="0" collapsed="false">
      <c r="A1512" s="2" t="s">
        <v>385</v>
      </c>
      <c r="B1512" s="2" t="s">
        <v>415</v>
      </c>
      <c r="C1512" s="2" t="n">
        <v>1</v>
      </c>
      <c r="D1512" s="2" t="s">
        <v>554</v>
      </c>
      <c r="E1512" s="2" t="s">
        <v>40</v>
      </c>
      <c r="F1512" s="2" t="n">
        <v>391</v>
      </c>
      <c r="G1512" s="2" t="n">
        <v>31</v>
      </c>
    </row>
    <row r="1513" customFormat="false" ht="16.5" hidden="false" customHeight="true" outlineLevel="0" collapsed="false">
      <c r="A1513" s="2" t="s">
        <v>385</v>
      </c>
      <c r="B1513" s="2" t="s">
        <v>415</v>
      </c>
      <c r="C1513" s="2" t="n">
        <v>1</v>
      </c>
      <c r="D1513" s="2" t="s">
        <v>554</v>
      </c>
      <c r="E1513" s="2" t="s">
        <v>41</v>
      </c>
      <c r="F1513" s="2" t="n">
        <v>391</v>
      </c>
      <c r="G1513" s="2" t="n">
        <v>35</v>
      </c>
    </row>
    <row r="1514" customFormat="false" ht="16.5" hidden="false" customHeight="true" outlineLevel="0" collapsed="false">
      <c r="A1514" s="2" t="s">
        <v>385</v>
      </c>
      <c r="B1514" s="2" t="s">
        <v>415</v>
      </c>
      <c r="C1514" s="2" t="n">
        <v>1</v>
      </c>
      <c r="D1514" s="2" t="s">
        <v>554</v>
      </c>
      <c r="E1514" s="2" t="s">
        <v>42</v>
      </c>
      <c r="F1514" s="2" t="n">
        <v>391</v>
      </c>
      <c r="G1514" s="2" t="n">
        <v>39</v>
      </c>
    </row>
    <row r="1515" customFormat="false" ht="16.5" hidden="false" customHeight="true" outlineLevel="0" collapsed="false">
      <c r="A1515" s="2" t="s">
        <v>385</v>
      </c>
      <c r="B1515" s="2" t="s">
        <v>415</v>
      </c>
      <c r="C1515" s="2" t="n">
        <v>1</v>
      </c>
      <c r="D1515" s="2" t="s">
        <v>554</v>
      </c>
      <c r="E1515" s="2" t="s">
        <v>43</v>
      </c>
      <c r="F1515" s="2" t="n">
        <v>391</v>
      </c>
      <c r="G1515" s="2" t="n">
        <v>43</v>
      </c>
    </row>
    <row r="1516" customFormat="false" ht="16.5" hidden="false" customHeight="true" outlineLevel="0" collapsed="false">
      <c r="A1516" s="2" t="s">
        <v>385</v>
      </c>
      <c r="B1516" s="2" t="s">
        <v>415</v>
      </c>
      <c r="C1516" s="2" t="n">
        <v>1</v>
      </c>
      <c r="D1516" s="2" t="s">
        <v>554</v>
      </c>
      <c r="E1516" s="2" t="s">
        <v>44</v>
      </c>
      <c r="F1516" s="2" t="n">
        <v>391</v>
      </c>
      <c r="G1516" s="2" t="n">
        <v>47</v>
      </c>
    </row>
    <row r="1517" customFormat="false" ht="16.5" hidden="false" customHeight="true" outlineLevel="0" collapsed="false">
      <c r="A1517" s="2" t="s">
        <v>385</v>
      </c>
      <c r="B1517" s="2" t="s">
        <v>415</v>
      </c>
      <c r="C1517" s="2" t="n">
        <v>1</v>
      </c>
      <c r="D1517" s="2" t="s">
        <v>554</v>
      </c>
      <c r="E1517" s="2" t="s">
        <v>48</v>
      </c>
      <c r="F1517" s="2" t="n">
        <v>393</v>
      </c>
      <c r="G1517" s="2" t="n">
        <v>16</v>
      </c>
    </row>
    <row r="1518" customFormat="false" ht="16.5" hidden="false" customHeight="true" outlineLevel="0" collapsed="false">
      <c r="A1518" s="2" t="s">
        <v>385</v>
      </c>
      <c r="B1518" s="2" t="s">
        <v>415</v>
      </c>
      <c r="C1518" s="2" t="n">
        <v>1</v>
      </c>
      <c r="D1518" s="2" t="s">
        <v>554</v>
      </c>
      <c r="E1518" s="2" t="s">
        <v>50</v>
      </c>
      <c r="F1518" s="2" t="n">
        <v>393</v>
      </c>
      <c r="G1518" s="2" t="n">
        <v>20</v>
      </c>
    </row>
    <row r="1519" customFormat="false" ht="16.5" hidden="false" customHeight="true" outlineLevel="0" collapsed="false">
      <c r="A1519" s="2" t="s">
        <v>385</v>
      </c>
      <c r="B1519" s="2" t="s">
        <v>415</v>
      </c>
      <c r="C1519" s="2" t="n">
        <v>1</v>
      </c>
      <c r="D1519" s="2" t="s">
        <v>554</v>
      </c>
      <c r="E1519" s="2" t="s">
        <v>45</v>
      </c>
      <c r="F1519" s="2" t="n">
        <v>393</v>
      </c>
      <c r="G1519" s="2" t="n">
        <v>38</v>
      </c>
    </row>
    <row r="1520" customFormat="false" ht="16.5" hidden="false" customHeight="true" outlineLevel="0" collapsed="false">
      <c r="A1520" s="2" t="s">
        <v>385</v>
      </c>
      <c r="B1520" s="2" t="s">
        <v>415</v>
      </c>
      <c r="C1520" s="2" t="n">
        <v>1</v>
      </c>
      <c r="D1520" s="2" t="s">
        <v>554</v>
      </c>
      <c r="E1520" s="2" t="s">
        <v>46</v>
      </c>
      <c r="F1520" s="2" t="n">
        <v>393</v>
      </c>
      <c r="G1520" s="2" t="n">
        <v>42</v>
      </c>
    </row>
    <row r="1521" customFormat="false" ht="16.5" hidden="false" customHeight="true" outlineLevel="0" collapsed="false">
      <c r="A1521" s="2" t="s">
        <v>416</v>
      </c>
      <c r="B1521" s="2" t="s">
        <v>417</v>
      </c>
      <c r="C1521" s="2" t="n">
        <v>2</v>
      </c>
      <c r="D1521" s="2" t="s">
        <v>555</v>
      </c>
      <c r="E1521" s="2" t="s">
        <v>0</v>
      </c>
      <c r="F1521" s="2" t="n">
        <v>8</v>
      </c>
      <c r="G1521" s="2" t="n">
        <v>6</v>
      </c>
    </row>
    <row r="1522" customFormat="false" ht="16.5" hidden="false" customHeight="true" outlineLevel="0" collapsed="false">
      <c r="A1522" s="2" t="s">
        <v>416</v>
      </c>
      <c r="B1522" s="2" t="s">
        <v>417</v>
      </c>
      <c r="C1522" s="2" t="n">
        <v>2</v>
      </c>
      <c r="D1522" s="2" t="s">
        <v>555</v>
      </c>
      <c r="E1522" s="2" t="s">
        <v>1</v>
      </c>
      <c r="F1522" s="2" t="n">
        <v>8</v>
      </c>
      <c r="G1522" s="2" t="n">
        <v>10</v>
      </c>
    </row>
    <row r="1523" customFormat="false" ht="16.5" hidden="false" customHeight="true" outlineLevel="0" collapsed="false">
      <c r="A1523" s="2" t="s">
        <v>416</v>
      </c>
      <c r="B1523" s="2" t="s">
        <v>417</v>
      </c>
      <c r="C1523" s="2" t="n">
        <v>2</v>
      </c>
      <c r="D1523" s="2" t="s">
        <v>555</v>
      </c>
      <c r="E1523" s="2" t="s">
        <v>2</v>
      </c>
      <c r="F1523" s="2" t="n">
        <v>8</v>
      </c>
      <c r="G1523" s="2" t="n">
        <v>14</v>
      </c>
    </row>
    <row r="1524" customFormat="false" ht="16.5" hidden="false" customHeight="true" outlineLevel="0" collapsed="false">
      <c r="A1524" s="2" t="s">
        <v>416</v>
      </c>
      <c r="B1524" s="2" t="s">
        <v>417</v>
      </c>
      <c r="C1524" s="2" t="n">
        <v>2</v>
      </c>
      <c r="D1524" s="2" t="s">
        <v>555</v>
      </c>
      <c r="E1524" s="2" t="s">
        <v>3</v>
      </c>
      <c r="F1524" s="2" t="n">
        <v>8</v>
      </c>
      <c r="G1524" s="2" t="n">
        <v>18</v>
      </c>
    </row>
    <row r="1525" customFormat="false" ht="16.5" hidden="false" customHeight="true" outlineLevel="0" collapsed="false">
      <c r="A1525" s="2" t="s">
        <v>416</v>
      </c>
      <c r="B1525" s="2" t="s">
        <v>417</v>
      </c>
      <c r="C1525" s="2" t="n">
        <v>2</v>
      </c>
      <c r="D1525" s="2" t="s">
        <v>555</v>
      </c>
      <c r="E1525" s="2" t="s">
        <v>4</v>
      </c>
      <c r="F1525" s="2" t="n">
        <v>8</v>
      </c>
      <c r="G1525" s="2" t="n">
        <v>22</v>
      </c>
    </row>
    <row r="1526" customFormat="false" ht="16.5" hidden="false" customHeight="true" outlineLevel="0" collapsed="false">
      <c r="A1526" s="2" t="s">
        <v>416</v>
      </c>
      <c r="B1526" s="2" t="s">
        <v>417</v>
      </c>
      <c r="C1526" s="2" t="n">
        <v>2</v>
      </c>
      <c r="D1526" s="2" t="s">
        <v>555</v>
      </c>
      <c r="E1526" s="2" t="s">
        <v>5</v>
      </c>
      <c r="F1526" s="2" t="n">
        <v>8</v>
      </c>
      <c r="G1526" s="2" t="n">
        <v>26</v>
      </c>
    </row>
    <row r="1527" customFormat="false" ht="16.5" hidden="false" customHeight="true" outlineLevel="0" collapsed="false">
      <c r="A1527" s="2" t="s">
        <v>416</v>
      </c>
      <c r="B1527" s="2" t="s">
        <v>417</v>
      </c>
      <c r="C1527" s="2" t="n">
        <v>2</v>
      </c>
      <c r="D1527" s="2" t="s">
        <v>555</v>
      </c>
      <c r="E1527" s="2" t="s">
        <v>6</v>
      </c>
      <c r="F1527" s="2" t="n">
        <v>8</v>
      </c>
      <c r="G1527" s="2" t="n">
        <v>30</v>
      </c>
    </row>
    <row r="1528" customFormat="false" ht="16.5" hidden="false" customHeight="true" outlineLevel="0" collapsed="false">
      <c r="A1528" s="2" t="s">
        <v>416</v>
      </c>
      <c r="B1528" s="2" t="s">
        <v>417</v>
      </c>
      <c r="C1528" s="2" t="n">
        <v>2</v>
      </c>
      <c r="D1528" s="2" t="s">
        <v>555</v>
      </c>
      <c r="E1528" s="2" t="s">
        <v>7</v>
      </c>
      <c r="F1528" s="2" t="n">
        <v>8</v>
      </c>
      <c r="G1528" s="2" t="n">
        <v>34</v>
      </c>
    </row>
    <row r="1529" customFormat="false" ht="16.5" hidden="false" customHeight="true" outlineLevel="0" collapsed="false">
      <c r="A1529" s="2" t="s">
        <v>416</v>
      </c>
      <c r="B1529" s="2" t="s">
        <v>417</v>
      </c>
      <c r="C1529" s="2" t="n">
        <v>2</v>
      </c>
      <c r="D1529" s="2" t="s">
        <v>555</v>
      </c>
      <c r="E1529" s="2" t="s">
        <v>8</v>
      </c>
      <c r="F1529" s="2" t="n">
        <v>8</v>
      </c>
      <c r="G1529" s="2" t="n">
        <v>38</v>
      </c>
    </row>
    <row r="1530" customFormat="false" ht="16.5" hidden="false" customHeight="true" outlineLevel="0" collapsed="false">
      <c r="A1530" s="2" t="s">
        <v>416</v>
      </c>
      <c r="B1530" s="2" t="s">
        <v>417</v>
      </c>
      <c r="C1530" s="2" t="n">
        <v>2</v>
      </c>
      <c r="D1530" s="2" t="s">
        <v>555</v>
      </c>
      <c r="E1530" s="2" t="s">
        <v>9</v>
      </c>
      <c r="F1530" s="2" t="n">
        <v>8</v>
      </c>
      <c r="G1530" s="2" t="n">
        <v>42</v>
      </c>
    </row>
    <row r="1531" customFormat="false" ht="16.5" hidden="false" customHeight="true" outlineLevel="0" collapsed="false">
      <c r="A1531" s="2" t="s">
        <v>416</v>
      </c>
      <c r="B1531" s="2" t="s">
        <v>417</v>
      </c>
      <c r="C1531" s="2" t="n">
        <v>2</v>
      </c>
      <c r="D1531" s="2" t="s">
        <v>555</v>
      </c>
      <c r="E1531" s="2" t="s">
        <v>10</v>
      </c>
      <c r="F1531" s="2" t="n">
        <v>8</v>
      </c>
      <c r="G1531" s="2" t="n">
        <v>46</v>
      </c>
    </row>
    <row r="1532" customFormat="false" ht="16.5" hidden="false" customHeight="true" outlineLevel="0" collapsed="false">
      <c r="A1532" s="2" t="s">
        <v>416</v>
      </c>
      <c r="B1532" s="2" t="s">
        <v>417</v>
      </c>
      <c r="C1532" s="2" t="n">
        <v>2</v>
      </c>
      <c r="D1532" s="2" t="s">
        <v>555</v>
      </c>
      <c r="E1532" s="2" t="s">
        <v>11</v>
      </c>
      <c r="F1532" s="2" t="n">
        <v>8</v>
      </c>
      <c r="G1532" s="2" t="n">
        <v>50</v>
      </c>
    </row>
    <row r="1533" customFormat="false" ht="16.5" hidden="false" customHeight="true" outlineLevel="0" collapsed="false">
      <c r="A1533" s="2" t="s">
        <v>416</v>
      </c>
      <c r="B1533" s="2" t="s">
        <v>417</v>
      </c>
      <c r="C1533" s="2" t="n">
        <v>2</v>
      </c>
      <c r="D1533" s="2" t="s">
        <v>555</v>
      </c>
      <c r="E1533" s="2" t="s">
        <v>12</v>
      </c>
      <c r="F1533" s="2" t="n">
        <v>10</v>
      </c>
      <c r="G1533" s="2" t="n">
        <v>8</v>
      </c>
    </row>
    <row r="1534" customFormat="false" ht="16.5" hidden="false" customHeight="true" outlineLevel="0" collapsed="false">
      <c r="A1534" s="2" t="s">
        <v>416</v>
      </c>
      <c r="B1534" s="2" t="s">
        <v>417</v>
      </c>
      <c r="C1534" s="2" t="n">
        <v>2</v>
      </c>
      <c r="D1534" s="2" t="s">
        <v>555</v>
      </c>
      <c r="E1534" s="2" t="s">
        <v>13</v>
      </c>
      <c r="F1534" s="2" t="n">
        <v>10</v>
      </c>
      <c r="G1534" s="2" t="n">
        <v>12</v>
      </c>
    </row>
    <row r="1535" customFormat="false" ht="16.5" hidden="false" customHeight="true" outlineLevel="0" collapsed="false">
      <c r="A1535" s="2" t="s">
        <v>416</v>
      </c>
      <c r="B1535" s="2" t="s">
        <v>417</v>
      </c>
      <c r="C1535" s="2" t="n">
        <v>2</v>
      </c>
      <c r="D1535" s="2" t="s">
        <v>555</v>
      </c>
      <c r="E1535" s="2" t="s">
        <v>14</v>
      </c>
      <c r="F1535" s="2" t="n">
        <v>10</v>
      </c>
      <c r="G1535" s="2" t="n">
        <v>16</v>
      </c>
    </row>
    <row r="1536" customFormat="false" ht="16.5" hidden="false" customHeight="true" outlineLevel="0" collapsed="false">
      <c r="A1536" s="2" t="s">
        <v>416</v>
      </c>
      <c r="B1536" s="2" t="s">
        <v>417</v>
      </c>
      <c r="C1536" s="2" t="n">
        <v>2</v>
      </c>
      <c r="D1536" s="2" t="s">
        <v>555</v>
      </c>
      <c r="E1536" s="2" t="s">
        <v>15</v>
      </c>
      <c r="F1536" s="2" t="n">
        <v>10</v>
      </c>
      <c r="G1536" s="2" t="n">
        <v>20</v>
      </c>
    </row>
    <row r="1537" customFormat="false" ht="16.5" hidden="false" customHeight="true" outlineLevel="0" collapsed="false">
      <c r="A1537" s="2" t="s">
        <v>416</v>
      </c>
      <c r="B1537" s="2" t="s">
        <v>417</v>
      </c>
      <c r="C1537" s="2" t="n">
        <v>2</v>
      </c>
      <c r="D1537" s="2" t="s">
        <v>555</v>
      </c>
      <c r="E1537" s="2" t="s">
        <v>16</v>
      </c>
      <c r="F1537" s="2" t="n">
        <v>10</v>
      </c>
      <c r="G1537" s="2" t="n">
        <v>24</v>
      </c>
    </row>
    <row r="1538" customFormat="false" ht="16.5" hidden="false" customHeight="true" outlineLevel="0" collapsed="false">
      <c r="A1538" s="2" t="s">
        <v>416</v>
      </c>
      <c r="B1538" s="2" t="s">
        <v>417</v>
      </c>
      <c r="C1538" s="2" t="n">
        <v>2</v>
      </c>
      <c r="D1538" s="2" t="s">
        <v>555</v>
      </c>
      <c r="E1538" s="2" t="s">
        <v>17</v>
      </c>
      <c r="F1538" s="2" t="n">
        <v>10</v>
      </c>
      <c r="G1538" s="2" t="n">
        <v>28</v>
      </c>
    </row>
    <row r="1539" customFormat="false" ht="16.5" hidden="false" customHeight="true" outlineLevel="0" collapsed="false">
      <c r="A1539" s="2" t="s">
        <v>416</v>
      </c>
      <c r="B1539" s="2" t="s">
        <v>417</v>
      </c>
      <c r="C1539" s="2" t="n">
        <v>2</v>
      </c>
      <c r="D1539" s="2" t="s">
        <v>555</v>
      </c>
      <c r="E1539" s="2" t="s">
        <v>18</v>
      </c>
      <c r="F1539" s="2" t="n">
        <v>10</v>
      </c>
      <c r="G1539" s="2" t="n">
        <v>32</v>
      </c>
    </row>
    <row r="1540" customFormat="false" ht="16.5" hidden="false" customHeight="true" outlineLevel="0" collapsed="false">
      <c r="A1540" s="2" t="s">
        <v>416</v>
      </c>
      <c r="B1540" s="2" t="s">
        <v>417</v>
      </c>
      <c r="C1540" s="2" t="n">
        <v>2</v>
      </c>
      <c r="D1540" s="2" t="s">
        <v>555</v>
      </c>
      <c r="E1540" s="2" t="s">
        <v>19</v>
      </c>
      <c r="F1540" s="2" t="n">
        <v>10</v>
      </c>
      <c r="G1540" s="2" t="n">
        <v>36</v>
      </c>
    </row>
    <row r="1541" customFormat="false" ht="16.5" hidden="false" customHeight="true" outlineLevel="0" collapsed="false">
      <c r="A1541" s="2" t="s">
        <v>416</v>
      </c>
      <c r="B1541" s="2" t="s">
        <v>417</v>
      </c>
      <c r="C1541" s="2" t="n">
        <v>2</v>
      </c>
      <c r="D1541" s="2" t="s">
        <v>555</v>
      </c>
      <c r="E1541" s="2" t="s">
        <v>20</v>
      </c>
      <c r="F1541" s="2" t="n">
        <v>10</v>
      </c>
      <c r="G1541" s="2" t="n">
        <v>40</v>
      </c>
    </row>
    <row r="1542" customFormat="false" ht="16.5" hidden="false" customHeight="true" outlineLevel="0" collapsed="false">
      <c r="A1542" s="2" t="s">
        <v>416</v>
      </c>
      <c r="B1542" s="2" t="s">
        <v>417</v>
      </c>
      <c r="C1542" s="2" t="n">
        <v>2</v>
      </c>
      <c r="D1542" s="2" t="s">
        <v>555</v>
      </c>
      <c r="E1542" s="2" t="s">
        <v>21</v>
      </c>
      <c r="F1542" s="2" t="n">
        <v>10</v>
      </c>
      <c r="G1542" s="2" t="n">
        <v>44</v>
      </c>
    </row>
    <row r="1543" customFormat="false" ht="16.5" hidden="false" customHeight="true" outlineLevel="0" collapsed="false">
      <c r="A1543" s="2" t="s">
        <v>416</v>
      </c>
      <c r="B1543" s="2" t="s">
        <v>417</v>
      </c>
      <c r="C1543" s="2" t="n">
        <v>2</v>
      </c>
      <c r="D1543" s="2" t="s">
        <v>555</v>
      </c>
      <c r="E1543" s="2" t="s">
        <v>22</v>
      </c>
      <c r="F1543" s="2" t="n">
        <v>10</v>
      </c>
      <c r="G1543" s="2" t="n">
        <v>48</v>
      </c>
    </row>
    <row r="1544" customFormat="false" ht="16.5" hidden="false" customHeight="true" outlineLevel="0" collapsed="false">
      <c r="A1544" s="2" t="s">
        <v>416</v>
      </c>
      <c r="B1544" s="2" t="s">
        <v>417</v>
      </c>
      <c r="C1544" s="2" t="n">
        <v>2</v>
      </c>
      <c r="D1544" s="2" t="s">
        <v>555</v>
      </c>
      <c r="E1544" s="2" t="s">
        <v>23</v>
      </c>
      <c r="F1544" s="2" t="n">
        <v>10</v>
      </c>
      <c r="G1544" s="2" t="n">
        <v>52</v>
      </c>
    </row>
    <row r="1545" customFormat="false" ht="16.5" hidden="false" customHeight="true" outlineLevel="0" collapsed="false">
      <c r="A1545" s="2" t="s">
        <v>416</v>
      </c>
      <c r="B1545" s="2" t="s">
        <v>417</v>
      </c>
      <c r="C1545" s="2" t="n">
        <v>2</v>
      </c>
      <c r="D1545" s="2" t="s">
        <v>555</v>
      </c>
      <c r="E1545" s="2" t="s">
        <v>24</v>
      </c>
      <c r="F1545" s="2" t="n">
        <v>12</v>
      </c>
      <c r="G1545" s="2" t="n">
        <v>9</v>
      </c>
    </row>
    <row r="1546" customFormat="false" ht="16.5" hidden="false" customHeight="true" outlineLevel="0" collapsed="false">
      <c r="A1546" s="2" t="s">
        <v>416</v>
      </c>
      <c r="B1546" s="2" t="s">
        <v>417</v>
      </c>
      <c r="C1546" s="2" t="n">
        <v>2</v>
      </c>
      <c r="D1546" s="2" t="s">
        <v>555</v>
      </c>
      <c r="E1546" s="2" t="s">
        <v>25</v>
      </c>
      <c r="F1546" s="2" t="n">
        <v>12</v>
      </c>
      <c r="G1546" s="2" t="n">
        <v>13</v>
      </c>
    </row>
    <row r="1547" customFormat="false" ht="16.5" hidden="false" customHeight="true" outlineLevel="0" collapsed="false">
      <c r="A1547" s="2" t="s">
        <v>416</v>
      </c>
      <c r="B1547" s="2" t="s">
        <v>417</v>
      </c>
      <c r="C1547" s="2" t="n">
        <v>2</v>
      </c>
      <c r="D1547" s="2" t="s">
        <v>555</v>
      </c>
      <c r="E1547" s="2" t="s">
        <v>26</v>
      </c>
      <c r="F1547" s="2" t="n">
        <v>12</v>
      </c>
      <c r="G1547" s="2" t="n">
        <v>17</v>
      </c>
    </row>
    <row r="1548" customFormat="false" ht="16.5" hidden="false" customHeight="true" outlineLevel="0" collapsed="false">
      <c r="A1548" s="2" t="s">
        <v>416</v>
      </c>
      <c r="B1548" s="2" t="s">
        <v>417</v>
      </c>
      <c r="C1548" s="2" t="n">
        <v>2</v>
      </c>
      <c r="D1548" s="2" t="s">
        <v>555</v>
      </c>
      <c r="E1548" s="2" t="s">
        <v>27</v>
      </c>
      <c r="F1548" s="2" t="n">
        <v>12</v>
      </c>
      <c r="G1548" s="2" t="n">
        <v>21</v>
      </c>
    </row>
    <row r="1549" customFormat="false" ht="16.5" hidden="false" customHeight="true" outlineLevel="0" collapsed="false">
      <c r="A1549" s="2" t="s">
        <v>416</v>
      </c>
      <c r="B1549" s="2" t="s">
        <v>417</v>
      </c>
      <c r="C1549" s="2" t="n">
        <v>2</v>
      </c>
      <c r="D1549" s="2" t="s">
        <v>555</v>
      </c>
      <c r="E1549" s="2" t="s">
        <v>28</v>
      </c>
      <c r="F1549" s="2" t="n">
        <v>12</v>
      </c>
      <c r="G1549" s="2" t="n">
        <v>25</v>
      </c>
    </row>
    <row r="1550" customFormat="false" ht="16.5" hidden="false" customHeight="true" outlineLevel="0" collapsed="false">
      <c r="A1550" s="2" t="s">
        <v>416</v>
      </c>
      <c r="B1550" s="2" t="s">
        <v>417</v>
      </c>
      <c r="C1550" s="2" t="n">
        <v>2</v>
      </c>
      <c r="D1550" s="2" t="s">
        <v>555</v>
      </c>
      <c r="E1550" s="2" t="s">
        <v>29</v>
      </c>
      <c r="F1550" s="2" t="n">
        <v>12</v>
      </c>
      <c r="G1550" s="2" t="n">
        <v>29</v>
      </c>
    </row>
    <row r="1551" customFormat="false" ht="16.5" hidden="false" customHeight="true" outlineLevel="0" collapsed="false">
      <c r="A1551" s="2" t="s">
        <v>416</v>
      </c>
      <c r="B1551" s="2" t="s">
        <v>417</v>
      </c>
      <c r="C1551" s="2" t="n">
        <v>2</v>
      </c>
      <c r="D1551" s="2" t="s">
        <v>555</v>
      </c>
      <c r="E1551" s="2" t="s">
        <v>30</v>
      </c>
      <c r="F1551" s="2" t="n">
        <v>12</v>
      </c>
      <c r="G1551" s="2" t="n">
        <v>33</v>
      </c>
    </row>
    <row r="1552" customFormat="false" ht="16.5" hidden="false" customHeight="true" outlineLevel="0" collapsed="false">
      <c r="A1552" s="2" t="s">
        <v>416</v>
      </c>
      <c r="B1552" s="2" t="s">
        <v>417</v>
      </c>
      <c r="C1552" s="2" t="n">
        <v>2</v>
      </c>
      <c r="D1552" s="2" t="s">
        <v>555</v>
      </c>
      <c r="E1552" s="2" t="s">
        <v>31</v>
      </c>
      <c r="F1552" s="2" t="n">
        <v>12</v>
      </c>
      <c r="G1552" s="2" t="n">
        <v>37</v>
      </c>
    </row>
    <row r="1553" customFormat="false" ht="16.5" hidden="false" customHeight="true" outlineLevel="0" collapsed="false">
      <c r="A1553" s="2" t="s">
        <v>416</v>
      </c>
      <c r="B1553" s="2" t="s">
        <v>417</v>
      </c>
      <c r="C1553" s="2" t="n">
        <v>2</v>
      </c>
      <c r="D1553" s="2" t="s">
        <v>555</v>
      </c>
      <c r="E1553" s="2" t="s">
        <v>32</v>
      </c>
      <c r="F1553" s="2" t="n">
        <v>12</v>
      </c>
      <c r="G1553" s="2" t="n">
        <v>41</v>
      </c>
    </row>
    <row r="1554" customFormat="false" ht="16.5" hidden="false" customHeight="true" outlineLevel="0" collapsed="false">
      <c r="A1554" s="2" t="s">
        <v>416</v>
      </c>
      <c r="B1554" s="2" t="s">
        <v>417</v>
      </c>
      <c r="C1554" s="2" t="n">
        <v>2</v>
      </c>
      <c r="D1554" s="2" t="s">
        <v>555</v>
      </c>
      <c r="E1554" s="2" t="s">
        <v>33</v>
      </c>
      <c r="F1554" s="2" t="n">
        <v>12</v>
      </c>
      <c r="G1554" s="2" t="n">
        <v>45</v>
      </c>
    </row>
    <row r="1555" customFormat="false" ht="16.5" hidden="false" customHeight="true" outlineLevel="0" collapsed="false">
      <c r="A1555" s="2" t="s">
        <v>416</v>
      </c>
      <c r="B1555" s="2" t="s">
        <v>417</v>
      </c>
      <c r="C1555" s="2" t="n">
        <v>2</v>
      </c>
      <c r="D1555" s="2" t="s">
        <v>555</v>
      </c>
      <c r="E1555" s="2" t="s">
        <v>34</v>
      </c>
      <c r="F1555" s="2" t="n">
        <v>12</v>
      </c>
      <c r="G1555" s="2" t="n">
        <v>49</v>
      </c>
    </row>
    <row r="1556" customFormat="false" ht="16.5" hidden="false" customHeight="true" outlineLevel="0" collapsed="false">
      <c r="A1556" s="2" t="s">
        <v>416</v>
      </c>
      <c r="B1556" s="2" t="s">
        <v>417</v>
      </c>
      <c r="C1556" s="2" t="n">
        <v>2</v>
      </c>
      <c r="D1556" s="2" t="s">
        <v>555</v>
      </c>
      <c r="E1556" s="2" t="s">
        <v>35</v>
      </c>
      <c r="F1556" s="2" t="n">
        <v>14</v>
      </c>
      <c r="G1556" s="2" t="n">
        <v>11</v>
      </c>
    </row>
    <row r="1557" customFormat="false" ht="16.5" hidden="false" customHeight="true" outlineLevel="0" collapsed="false">
      <c r="A1557" s="2" t="s">
        <v>416</v>
      </c>
      <c r="B1557" s="2" t="s">
        <v>417</v>
      </c>
      <c r="C1557" s="2" t="n">
        <v>2</v>
      </c>
      <c r="D1557" s="2" t="s">
        <v>555</v>
      </c>
      <c r="E1557" s="2" t="s">
        <v>36</v>
      </c>
      <c r="F1557" s="2" t="n">
        <v>14</v>
      </c>
      <c r="G1557" s="2" t="n">
        <v>15</v>
      </c>
    </row>
    <row r="1558" customFormat="false" ht="16.5" hidden="false" customHeight="true" outlineLevel="0" collapsed="false">
      <c r="A1558" s="2" t="s">
        <v>416</v>
      </c>
      <c r="B1558" s="2" t="s">
        <v>417</v>
      </c>
      <c r="C1558" s="2" t="n">
        <v>2</v>
      </c>
      <c r="D1558" s="2" t="s">
        <v>555</v>
      </c>
      <c r="E1558" s="2" t="s">
        <v>37</v>
      </c>
      <c r="F1558" s="2" t="n">
        <v>14</v>
      </c>
      <c r="G1558" s="2" t="n">
        <v>19</v>
      </c>
    </row>
    <row r="1559" customFormat="false" ht="16.5" hidden="false" customHeight="true" outlineLevel="0" collapsed="false">
      <c r="A1559" s="2" t="s">
        <v>416</v>
      </c>
      <c r="B1559" s="2" t="s">
        <v>417</v>
      </c>
      <c r="C1559" s="2" t="n">
        <v>2</v>
      </c>
      <c r="D1559" s="2" t="s">
        <v>555</v>
      </c>
      <c r="E1559" s="2" t="s">
        <v>38</v>
      </c>
      <c r="F1559" s="2" t="n">
        <v>14</v>
      </c>
      <c r="G1559" s="2" t="n">
        <v>23</v>
      </c>
    </row>
    <row r="1560" customFormat="false" ht="16.5" hidden="false" customHeight="true" outlineLevel="0" collapsed="false">
      <c r="A1560" s="2" t="s">
        <v>416</v>
      </c>
      <c r="B1560" s="2" t="s">
        <v>417</v>
      </c>
      <c r="C1560" s="2" t="n">
        <v>2</v>
      </c>
      <c r="D1560" s="2" t="s">
        <v>555</v>
      </c>
      <c r="E1560" s="2" t="s">
        <v>39</v>
      </c>
      <c r="F1560" s="2" t="n">
        <v>14</v>
      </c>
      <c r="G1560" s="2" t="n">
        <v>27</v>
      </c>
    </row>
    <row r="1561" customFormat="false" ht="16.5" hidden="false" customHeight="true" outlineLevel="0" collapsed="false">
      <c r="A1561" s="2" t="s">
        <v>416</v>
      </c>
      <c r="B1561" s="2" t="s">
        <v>417</v>
      </c>
      <c r="C1561" s="2" t="n">
        <v>2</v>
      </c>
      <c r="D1561" s="2" t="s">
        <v>555</v>
      </c>
      <c r="E1561" s="2" t="s">
        <v>40</v>
      </c>
      <c r="F1561" s="2" t="n">
        <v>14</v>
      </c>
      <c r="G1561" s="2" t="n">
        <v>31</v>
      </c>
    </row>
    <row r="1562" customFormat="false" ht="16.5" hidden="false" customHeight="true" outlineLevel="0" collapsed="false">
      <c r="A1562" s="2" t="s">
        <v>416</v>
      </c>
      <c r="B1562" s="2" t="s">
        <v>417</v>
      </c>
      <c r="C1562" s="2" t="n">
        <v>2</v>
      </c>
      <c r="D1562" s="2" t="s">
        <v>555</v>
      </c>
      <c r="E1562" s="2" t="s">
        <v>41</v>
      </c>
      <c r="F1562" s="2" t="n">
        <v>14</v>
      </c>
      <c r="G1562" s="2" t="n">
        <v>35</v>
      </c>
    </row>
    <row r="1563" customFormat="false" ht="16.5" hidden="false" customHeight="true" outlineLevel="0" collapsed="false">
      <c r="A1563" s="2" t="s">
        <v>416</v>
      </c>
      <c r="B1563" s="2" t="s">
        <v>417</v>
      </c>
      <c r="C1563" s="2" t="n">
        <v>2</v>
      </c>
      <c r="D1563" s="2" t="s">
        <v>555</v>
      </c>
      <c r="E1563" s="2" t="s">
        <v>42</v>
      </c>
      <c r="F1563" s="2" t="n">
        <v>14</v>
      </c>
      <c r="G1563" s="2" t="n">
        <v>39</v>
      </c>
    </row>
    <row r="1564" customFormat="false" ht="16.5" hidden="false" customHeight="true" outlineLevel="0" collapsed="false">
      <c r="A1564" s="2" t="s">
        <v>416</v>
      </c>
      <c r="B1564" s="2" t="s">
        <v>417</v>
      </c>
      <c r="C1564" s="2" t="n">
        <v>2</v>
      </c>
      <c r="D1564" s="2" t="s">
        <v>555</v>
      </c>
      <c r="E1564" s="2" t="s">
        <v>43</v>
      </c>
      <c r="F1564" s="2" t="n">
        <v>14</v>
      </c>
      <c r="G1564" s="2" t="n">
        <v>43</v>
      </c>
    </row>
    <row r="1565" customFormat="false" ht="16.5" hidden="false" customHeight="true" outlineLevel="0" collapsed="false">
      <c r="A1565" s="2" t="s">
        <v>416</v>
      </c>
      <c r="B1565" s="2" t="s">
        <v>417</v>
      </c>
      <c r="C1565" s="2" t="n">
        <v>2</v>
      </c>
      <c r="D1565" s="2" t="s">
        <v>555</v>
      </c>
      <c r="E1565" s="2" t="s">
        <v>44</v>
      </c>
      <c r="F1565" s="2" t="n">
        <v>14</v>
      </c>
      <c r="G1565" s="2" t="n">
        <v>47</v>
      </c>
    </row>
    <row r="1566" customFormat="false" ht="16.5" hidden="false" customHeight="true" outlineLevel="0" collapsed="false">
      <c r="A1566" s="2" t="s">
        <v>416</v>
      </c>
      <c r="B1566" s="2" t="s">
        <v>417</v>
      </c>
      <c r="C1566" s="2" t="n">
        <v>2</v>
      </c>
      <c r="D1566" s="2" t="s">
        <v>555</v>
      </c>
      <c r="E1566" s="2" t="s">
        <v>48</v>
      </c>
      <c r="F1566" s="2" t="n">
        <v>16</v>
      </c>
      <c r="G1566" s="2" t="n">
        <v>16</v>
      </c>
    </row>
    <row r="1567" customFormat="false" ht="16.5" hidden="false" customHeight="true" outlineLevel="0" collapsed="false">
      <c r="A1567" s="2" t="s">
        <v>416</v>
      </c>
      <c r="B1567" s="2" t="s">
        <v>417</v>
      </c>
      <c r="C1567" s="2" t="n">
        <v>2</v>
      </c>
      <c r="D1567" s="2" t="s">
        <v>555</v>
      </c>
      <c r="E1567" s="2" t="s">
        <v>50</v>
      </c>
      <c r="F1567" s="2" t="n">
        <v>16</v>
      </c>
      <c r="G1567" s="2" t="n">
        <v>20</v>
      </c>
    </row>
    <row r="1568" customFormat="false" ht="16.5" hidden="false" customHeight="true" outlineLevel="0" collapsed="false">
      <c r="A1568" s="2" t="s">
        <v>416</v>
      </c>
      <c r="B1568" s="2" t="s">
        <v>417</v>
      </c>
      <c r="C1568" s="2" t="n">
        <v>2</v>
      </c>
      <c r="D1568" s="2" t="s">
        <v>555</v>
      </c>
      <c r="E1568" s="2" t="s">
        <v>45</v>
      </c>
      <c r="F1568" s="2" t="n">
        <v>16</v>
      </c>
      <c r="G1568" s="2" t="n">
        <v>38</v>
      </c>
    </row>
    <row r="1569" customFormat="false" ht="16.5" hidden="false" customHeight="true" outlineLevel="0" collapsed="false">
      <c r="A1569" s="2" t="s">
        <v>416</v>
      </c>
      <c r="B1569" s="2" t="s">
        <v>417</v>
      </c>
      <c r="C1569" s="2" t="n">
        <v>2</v>
      </c>
      <c r="D1569" s="2" t="s">
        <v>555</v>
      </c>
      <c r="E1569" s="2" t="s">
        <v>46</v>
      </c>
      <c r="F1569" s="2" t="n">
        <v>16</v>
      </c>
      <c r="G1569" s="2" t="n">
        <v>42</v>
      </c>
    </row>
    <row r="1570" customFormat="false" ht="16.5" hidden="false" customHeight="true" outlineLevel="0" collapsed="false">
      <c r="A1570" s="2" t="s">
        <v>416</v>
      </c>
      <c r="B1570" s="2" t="s">
        <v>418</v>
      </c>
      <c r="C1570" s="2" t="n">
        <v>2</v>
      </c>
      <c r="D1570" s="2" t="s">
        <v>556</v>
      </c>
      <c r="E1570" s="2" t="s">
        <v>0</v>
      </c>
      <c r="F1570" s="2" t="n">
        <v>21</v>
      </c>
      <c r="G1570" s="2" t="n">
        <v>6</v>
      </c>
    </row>
    <row r="1571" customFormat="false" ht="16.5" hidden="false" customHeight="true" outlineLevel="0" collapsed="false">
      <c r="A1571" s="2" t="s">
        <v>416</v>
      </c>
      <c r="B1571" s="2" t="s">
        <v>418</v>
      </c>
      <c r="C1571" s="2" t="n">
        <v>2</v>
      </c>
      <c r="D1571" s="2" t="s">
        <v>556</v>
      </c>
      <c r="E1571" s="2" t="s">
        <v>1</v>
      </c>
      <c r="F1571" s="2" t="n">
        <v>21</v>
      </c>
      <c r="G1571" s="2" t="n">
        <v>10</v>
      </c>
    </row>
    <row r="1572" customFormat="false" ht="16.5" hidden="false" customHeight="true" outlineLevel="0" collapsed="false">
      <c r="A1572" s="2" t="s">
        <v>416</v>
      </c>
      <c r="B1572" s="2" t="s">
        <v>418</v>
      </c>
      <c r="C1572" s="2" t="n">
        <v>2</v>
      </c>
      <c r="D1572" s="2" t="s">
        <v>556</v>
      </c>
      <c r="E1572" s="2" t="s">
        <v>2</v>
      </c>
      <c r="F1572" s="2" t="n">
        <v>21</v>
      </c>
      <c r="G1572" s="2" t="n">
        <v>14</v>
      </c>
    </row>
    <row r="1573" customFormat="false" ht="16.5" hidden="false" customHeight="true" outlineLevel="0" collapsed="false">
      <c r="A1573" s="2" t="s">
        <v>416</v>
      </c>
      <c r="B1573" s="2" t="s">
        <v>418</v>
      </c>
      <c r="C1573" s="2" t="n">
        <v>2</v>
      </c>
      <c r="D1573" s="2" t="s">
        <v>556</v>
      </c>
      <c r="E1573" s="2" t="s">
        <v>3</v>
      </c>
      <c r="F1573" s="2" t="n">
        <v>21</v>
      </c>
      <c r="G1573" s="2" t="n">
        <v>18</v>
      </c>
    </row>
    <row r="1574" customFormat="false" ht="16.5" hidden="false" customHeight="true" outlineLevel="0" collapsed="false">
      <c r="A1574" s="2" t="s">
        <v>416</v>
      </c>
      <c r="B1574" s="2" t="s">
        <v>418</v>
      </c>
      <c r="C1574" s="2" t="n">
        <v>2</v>
      </c>
      <c r="D1574" s="2" t="s">
        <v>556</v>
      </c>
      <c r="E1574" s="2" t="s">
        <v>4</v>
      </c>
      <c r="F1574" s="2" t="n">
        <v>21</v>
      </c>
      <c r="G1574" s="2" t="n">
        <v>22</v>
      </c>
    </row>
    <row r="1575" customFormat="false" ht="16.5" hidden="false" customHeight="true" outlineLevel="0" collapsed="false">
      <c r="A1575" s="2" t="s">
        <v>416</v>
      </c>
      <c r="B1575" s="2" t="s">
        <v>418</v>
      </c>
      <c r="C1575" s="2" t="n">
        <v>2</v>
      </c>
      <c r="D1575" s="2" t="s">
        <v>556</v>
      </c>
      <c r="E1575" s="2" t="s">
        <v>5</v>
      </c>
      <c r="F1575" s="2" t="n">
        <v>21</v>
      </c>
      <c r="G1575" s="2" t="n">
        <v>26</v>
      </c>
    </row>
    <row r="1576" customFormat="false" ht="16.5" hidden="false" customHeight="true" outlineLevel="0" collapsed="false">
      <c r="A1576" s="2" t="s">
        <v>416</v>
      </c>
      <c r="B1576" s="2" t="s">
        <v>418</v>
      </c>
      <c r="C1576" s="2" t="n">
        <v>2</v>
      </c>
      <c r="D1576" s="2" t="s">
        <v>556</v>
      </c>
      <c r="E1576" s="2" t="s">
        <v>6</v>
      </c>
      <c r="F1576" s="2" t="n">
        <v>21</v>
      </c>
      <c r="G1576" s="2" t="n">
        <v>30</v>
      </c>
    </row>
    <row r="1577" customFormat="false" ht="16.5" hidden="false" customHeight="true" outlineLevel="0" collapsed="false">
      <c r="A1577" s="2" t="s">
        <v>416</v>
      </c>
      <c r="B1577" s="2" t="s">
        <v>418</v>
      </c>
      <c r="C1577" s="2" t="n">
        <v>2</v>
      </c>
      <c r="D1577" s="2" t="s">
        <v>556</v>
      </c>
      <c r="E1577" s="2" t="s">
        <v>7</v>
      </c>
      <c r="F1577" s="2" t="n">
        <v>21</v>
      </c>
      <c r="G1577" s="2" t="n">
        <v>34</v>
      </c>
    </row>
    <row r="1578" customFormat="false" ht="16.5" hidden="false" customHeight="true" outlineLevel="0" collapsed="false">
      <c r="A1578" s="2" t="s">
        <v>416</v>
      </c>
      <c r="B1578" s="2" t="s">
        <v>418</v>
      </c>
      <c r="C1578" s="2" t="n">
        <v>2</v>
      </c>
      <c r="D1578" s="2" t="s">
        <v>556</v>
      </c>
      <c r="E1578" s="2" t="s">
        <v>8</v>
      </c>
      <c r="F1578" s="2" t="n">
        <v>21</v>
      </c>
      <c r="G1578" s="2" t="n">
        <v>38</v>
      </c>
    </row>
    <row r="1579" customFormat="false" ht="16.5" hidden="false" customHeight="true" outlineLevel="0" collapsed="false">
      <c r="A1579" s="2" t="s">
        <v>416</v>
      </c>
      <c r="B1579" s="2" t="s">
        <v>418</v>
      </c>
      <c r="C1579" s="2" t="n">
        <v>2</v>
      </c>
      <c r="D1579" s="2" t="s">
        <v>556</v>
      </c>
      <c r="E1579" s="2" t="s">
        <v>9</v>
      </c>
      <c r="F1579" s="2" t="n">
        <v>21</v>
      </c>
      <c r="G1579" s="2" t="n">
        <v>42</v>
      </c>
    </row>
    <row r="1580" customFormat="false" ht="16.5" hidden="false" customHeight="true" outlineLevel="0" collapsed="false">
      <c r="A1580" s="2" t="s">
        <v>416</v>
      </c>
      <c r="B1580" s="2" t="s">
        <v>418</v>
      </c>
      <c r="C1580" s="2" t="n">
        <v>2</v>
      </c>
      <c r="D1580" s="2" t="s">
        <v>556</v>
      </c>
      <c r="E1580" s="2" t="s">
        <v>10</v>
      </c>
      <c r="F1580" s="2" t="n">
        <v>21</v>
      </c>
      <c r="G1580" s="2" t="n">
        <v>46</v>
      </c>
    </row>
    <row r="1581" customFormat="false" ht="16.5" hidden="false" customHeight="true" outlineLevel="0" collapsed="false">
      <c r="A1581" s="2" t="s">
        <v>416</v>
      </c>
      <c r="B1581" s="2" t="s">
        <v>418</v>
      </c>
      <c r="C1581" s="2" t="n">
        <v>2</v>
      </c>
      <c r="D1581" s="2" t="s">
        <v>556</v>
      </c>
      <c r="E1581" s="2" t="s">
        <v>11</v>
      </c>
      <c r="F1581" s="2" t="n">
        <v>21</v>
      </c>
      <c r="G1581" s="2" t="n">
        <v>50</v>
      </c>
    </row>
    <row r="1582" customFormat="false" ht="16.5" hidden="false" customHeight="true" outlineLevel="0" collapsed="false">
      <c r="A1582" s="2" t="s">
        <v>416</v>
      </c>
      <c r="B1582" s="2" t="s">
        <v>418</v>
      </c>
      <c r="C1582" s="2" t="n">
        <v>2</v>
      </c>
      <c r="D1582" s="2" t="s">
        <v>556</v>
      </c>
      <c r="E1582" s="2" t="s">
        <v>12</v>
      </c>
      <c r="F1582" s="2" t="n">
        <v>23</v>
      </c>
      <c r="G1582" s="2" t="n">
        <v>8</v>
      </c>
    </row>
    <row r="1583" customFormat="false" ht="16.5" hidden="false" customHeight="true" outlineLevel="0" collapsed="false">
      <c r="A1583" s="2" t="s">
        <v>416</v>
      </c>
      <c r="B1583" s="2" t="s">
        <v>418</v>
      </c>
      <c r="C1583" s="2" t="n">
        <v>2</v>
      </c>
      <c r="D1583" s="2" t="s">
        <v>556</v>
      </c>
      <c r="E1583" s="2" t="s">
        <v>13</v>
      </c>
      <c r="F1583" s="2" t="n">
        <v>23</v>
      </c>
      <c r="G1583" s="2" t="n">
        <v>12</v>
      </c>
    </row>
    <row r="1584" customFormat="false" ht="16.5" hidden="false" customHeight="true" outlineLevel="0" collapsed="false">
      <c r="A1584" s="2" t="s">
        <v>416</v>
      </c>
      <c r="B1584" s="2" t="s">
        <v>418</v>
      </c>
      <c r="C1584" s="2" t="n">
        <v>2</v>
      </c>
      <c r="D1584" s="2" t="s">
        <v>556</v>
      </c>
      <c r="E1584" s="2" t="s">
        <v>14</v>
      </c>
      <c r="F1584" s="2" t="n">
        <v>23</v>
      </c>
      <c r="G1584" s="2" t="n">
        <v>16</v>
      </c>
    </row>
    <row r="1585" customFormat="false" ht="16.5" hidden="false" customHeight="true" outlineLevel="0" collapsed="false">
      <c r="A1585" s="2" t="s">
        <v>416</v>
      </c>
      <c r="B1585" s="2" t="s">
        <v>418</v>
      </c>
      <c r="C1585" s="2" t="n">
        <v>2</v>
      </c>
      <c r="D1585" s="2" t="s">
        <v>556</v>
      </c>
      <c r="E1585" s="2" t="s">
        <v>15</v>
      </c>
      <c r="F1585" s="2" t="n">
        <v>23</v>
      </c>
      <c r="G1585" s="2" t="n">
        <v>20</v>
      </c>
    </row>
    <row r="1586" customFormat="false" ht="16.5" hidden="false" customHeight="true" outlineLevel="0" collapsed="false">
      <c r="A1586" s="2" t="s">
        <v>416</v>
      </c>
      <c r="B1586" s="2" t="s">
        <v>418</v>
      </c>
      <c r="C1586" s="2" t="n">
        <v>2</v>
      </c>
      <c r="D1586" s="2" t="s">
        <v>556</v>
      </c>
      <c r="E1586" s="2" t="s">
        <v>16</v>
      </c>
      <c r="F1586" s="2" t="n">
        <v>23</v>
      </c>
      <c r="G1586" s="2" t="n">
        <v>24</v>
      </c>
    </row>
    <row r="1587" customFormat="false" ht="16.5" hidden="false" customHeight="true" outlineLevel="0" collapsed="false">
      <c r="A1587" s="2" t="s">
        <v>416</v>
      </c>
      <c r="B1587" s="2" t="s">
        <v>418</v>
      </c>
      <c r="C1587" s="2" t="n">
        <v>2</v>
      </c>
      <c r="D1587" s="2" t="s">
        <v>556</v>
      </c>
      <c r="E1587" s="2" t="s">
        <v>17</v>
      </c>
      <c r="F1587" s="2" t="n">
        <v>23</v>
      </c>
      <c r="G1587" s="2" t="n">
        <v>28</v>
      </c>
    </row>
    <row r="1588" customFormat="false" ht="16.5" hidden="false" customHeight="true" outlineLevel="0" collapsed="false">
      <c r="A1588" s="2" t="s">
        <v>416</v>
      </c>
      <c r="B1588" s="2" t="s">
        <v>418</v>
      </c>
      <c r="C1588" s="2" t="n">
        <v>2</v>
      </c>
      <c r="D1588" s="2" t="s">
        <v>556</v>
      </c>
      <c r="E1588" s="2" t="s">
        <v>18</v>
      </c>
      <c r="F1588" s="2" t="n">
        <v>23</v>
      </c>
      <c r="G1588" s="2" t="n">
        <v>32</v>
      </c>
    </row>
    <row r="1589" customFormat="false" ht="16.5" hidden="false" customHeight="true" outlineLevel="0" collapsed="false">
      <c r="A1589" s="2" t="s">
        <v>416</v>
      </c>
      <c r="B1589" s="2" t="s">
        <v>418</v>
      </c>
      <c r="C1589" s="2" t="n">
        <v>2</v>
      </c>
      <c r="D1589" s="2" t="s">
        <v>556</v>
      </c>
      <c r="E1589" s="2" t="s">
        <v>19</v>
      </c>
      <c r="F1589" s="2" t="n">
        <v>23</v>
      </c>
      <c r="G1589" s="2" t="n">
        <v>36</v>
      </c>
    </row>
    <row r="1590" customFormat="false" ht="16.5" hidden="false" customHeight="true" outlineLevel="0" collapsed="false">
      <c r="A1590" s="2" t="s">
        <v>416</v>
      </c>
      <c r="B1590" s="2" t="s">
        <v>418</v>
      </c>
      <c r="C1590" s="2" t="n">
        <v>2</v>
      </c>
      <c r="D1590" s="2" t="s">
        <v>556</v>
      </c>
      <c r="E1590" s="2" t="s">
        <v>20</v>
      </c>
      <c r="F1590" s="2" t="n">
        <v>23</v>
      </c>
      <c r="G1590" s="2" t="n">
        <v>40</v>
      </c>
    </row>
    <row r="1591" customFormat="false" ht="16.5" hidden="false" customHeight="true" outlineLevel="0" collapsed="false">
      <c r="A1591" s="2" t="s">
        <v>416</v>
      </c>
      <c r="B1591" s="2" t="s">
        <v>418</v>
      </c>
      <c r="C1591" s="2" t="n">
        <v>2</v>
      </c>
      <c r="D1591" s="2" t="s">
        <v>556</v>
      </c>
      <c r="E1591" s="2" t="s">
        <v>21</v>
      </c>
      <c r="F1591" s="2" t="n">
        <v>23</v>
      </c>
      <c r="G1591" s="2" t="n">
        <v>44</v>
      </c>
    </row>
    <row r="1592" customFormat="false" ht="16.5" hidden="false" customHeight="true" outlineLevel="0" collapsed="false">
      <c r="A1592" s="2" t="s">
        <v>416</v>
      </c>
      <c r="B1592" s="2" t="s">
        <v>418</v>
      </c>
      <c r="C1592" s="2" t="n">
        <v>2</v>
      </c>
      <c r="D1592" s="2" t="s">
        <v>556</v>
      </c>
      <c r="E1592" s="2" t="s">
        <v>22</v>
      </c>
      <c r="F1592" s="2" t="n">
        <v>23</v>
      </c>
      <c r="G1592" s="2" t="n">
        <v>48</v>
      </c>
    </row>
    <row r="1593" customFormat="false" ht="16.5" hidden="false" customHeight="true" outlineLevel="0" collapsed="false">
      <c r="A1593" s="2" t="s">
        <v>416</v>
      </c>
      <c r="B1593" s="2" t="s">
        <v>418</v>
      </c>
      <c r="C1593" s="2" t="n">
        <v>2</v>
      </c>
      <c r="D1593" s="2" t="s">
        <v>556</v>
      </c>
      <c r="E1593" s="2" t="s">
        <v>23</v>
      </c>
      <c r="F1593" s="2" t="n">
        <v>23</v>
      </c>
      <c r="G1593" s="2" t="n">
        <v>52</v>
      </c>
    </row>
    <row r="1594" customFormat="false" ht="16.5" hidden="false" customHeight="true" outlineLevel="0" collapsed="false">
      <c r="A1594" s="2" t="s">
        <v>416</v>
      </c>
      <c r="B1594" s="2" t="s">
        <v>418</v>
      </c>
      <c r="C1594" s="2" t="n">
        <v>2</v>
      </c>
      <c r="D1594" s="2" t="s">
        <v>556</v>
      </c>
      <c r="E1594" s="2" t="s">
        <v>24</v>
      </c>
      <c r="F1594" s="2" t="n">
        <v>25</v>
      </c>
      <c r="G1594" s="2" t="n">
        <v>9</v>
      </c>
    </row>
    <row r="1595" customFormat="false" ht="16.5" hidden="false" customHeight="true" outlineLevel="0" collapsed="false">
      <c r="A1595" s="2" t="s">
        <v>416</v>
      </c>
      <c r="B1595" s="2" t="s">
        <v>418</v>
      </c>
      <c r="C1595" s="2" t="n">
        <v>2</v>
      </c>
      <c r="D1595" s="2" t="s">
        <v>556</v>
      </c>
      <c r="E1595" s="2" t="s">
        <v>25</v>
      </c>
      <c r="F1595" s="2" t="n">
        <v>25</v>
      </c>
      <c r="G1595" s="2" t="n">
        <v>13</v>
      </c>
    </row>
    <row r="1596" customFormat="false" ht="16.5" hidden="false" customHeight="true" outlineLevel="0" collapsed="false">
      <c r="A1596" s="2" t="s">
        <v>416</v>
      </c>
      <c r="B1596" s="2" t="s">
        <v>418</v>
      </c>
      <c r="C1596" s="2" t="n">
        <v>2</v>
      </c>
      <c r="D1596" s="2" t="s">
        <v>556</v>
      </c>
      <c r="E1596" s="2" t="s">
        <v>26</v>
      </c>
      <c r="F1596" s="2" t="n">
        <v>25</v>
      </c>
      <c r="G1596" s="2" t="n">
        <v>17</v>
      </c>
    </row>
    <row r="1597" customFormat="false" ht="16.5" hidden="false" customHeight="true" outlineLevel="0" collapsed="false">
      <c r="A1597" s="2" t="s">
        <v>416</v>
      </c>
      <c r="B1597" s="2" t="s">
        <v>418</v>
      </c>
      <c r="C1597" s="2" t="n">
        <v>2</v>
      </c>
      <c r="D1597" s="2" t="s">
        <v>556</v>
      </c>
      <c r="E1597" s="2" t="s">
        <v>27</v>
      </c>
      <c r="F1597" s="2" t="n">
        <v>25</v>
      </c>
      <c r="G1597" s="2" t="n">
        <v>21</v>
      </c>
    </row>
    <row r="1598" customFormat="false" ht="16.5" hidden="false" customHeight="true" outlineLevel="0" collapsed="false">
      <c r="A1598" s="2" t="s">
        <v>416</v>
      </c>
      <c r="B1598" s="2" t="s">
        <v>418</v>
      </c>
      <c r="C1598" s="2" t="n">
        <v>2</v>
      </c>
      <c r="D1598" s="2" t="s">
        <v>556</v>
      </c>
      <c r="E1598" s="2" t="s">
        <v>28</v>
      </c>
      <c r="F1598" s="2" t="n">
        <v>25</v>
      </c>
      <c r="G1598" s="2" t="n">
        <v>25</v>
      </c>
    </row>
    <row r="1599" customFormat="false" ht="16.5" hidden="false" customHeight="true" outlineLevel="0" collapsed="false">
      <c r="A1599" s="2" t="s">
        <v>416</v>
      </c>
      <c r="B1599" s="2" t="s">
        <v>418</v>
      </c>
      <c r="C1599" s="2" t="n">
        <v>2</v>
      </c>
      <c r="D1599" s="2" t="s">
        <v>556</v>
      </c>
      <c r="E1599" s="2" t="s">
        <v>29</v>
      </c>
      <c r="F1599" s="2" t="n">
        <v>25</v>
      </c>
      <c r="G1599" s="2" t="n">
        <v>29</v>
      </c>
    </row>
    <row r="1600" customFormat="false" ht="16.5" hidden="false" customHeight="true" outlineLevel="0" collapsed="false">
      <c r="A1600" s="2" t="s">
        <v>416</v>
      </c>
      <c r="B1600" s="2" t="s">
        <v>418</v>
      </c>
      <c r="C1600" s="2" t="n">
        <v>2</v>
      </c>
      <c r="D1600" s="2" t="s">
        <v>556</v>
      </c>
      <c r="E1600" s="2" t="s">
        <v>30</v>
      </c>
      <c r="F1600" s="2" t="n">
        <v>25</v>
      </c>
      <c r="G1600" s="2" t="n">
        <v>33</v>
      </c>
    </row>
    <row r="1601" customFormat="false" ht="16.5" hidden="false" customHeight="true" outlineLevel="0" collapsed="false">
      <c r="A1601" s="2" t="s">
        <v>416</v>
      </c>
      <c r="B1601" s="2" t="s">
        <v>418</v>
      </c>
      <c r="C1601" s="2" t="n">
        <v>2</v>
      </c>
      <c r="D1601" s="2" t="s">
        <v>556</v>
      </c>
      <c r="E1601" s="2" t="s">
        <v>31</v>
      </c>
      <c r="F1601" s="2" t="n">
        <v>25</v>
      </c>
      <c r="G1601" s="2" t="n">
        <v>37</v>
      </c>
    </row>
    <row r="1602" customFormat="false" ht="16.5" hidden="false" customHeight="true" outlineLevel="0" collapsed="false">
      <c r="A1602" s="2" t="s">
        <v>416</v>
      </c>
      <c r="B1602" s="2" t="s">
        <v>418</v>
      </c>
      <c r="C1602" s="2" t="n">
        <v>2</v>
      </c>
      <c r="D1602" s="2" t="s">
        <v>556</v>
      </c>
      <c r="E1602" s="2" t="s">
        <v>32</v>
      </c>
      <c r="F1602" s="2" t="n">
        <v>25</v>
      </c>
      <c r="G1602" s="2" t="n">
        <v>41</v>
      </c>
    </row>
    <row r="1603" customFormat="false" ht="16.5" hidden="false" customHeight="true" outlineLevel="0" collapsed="false">
      <c r="A1603" s="2" t="s">
        <v>416</v>
      </c>
      <c r="B1603" s="2" t="s">
        <v>418</v>
      </c>
      <c r="C1603" s="2" t="n">
        <v>2</v>
      </c>
      <c r="D1603" s="2" t="s">
        <v>556</v>
      </c>
      <c r="E1603" s="2" t="s">
        <v>33</v>
      </c>
      <c r="F1603" s="2" t="n">
        <v>25</v>
      </c>
      <c r="G1603" s="2" t="n">
        <v>45</v>
      </c>
    </row>
    <row r="1604" customFormat="false" ht="16.5" hidden="false" customHeight="true" outlineLevel="0" collapsed="false">
      <c r="A1604" s="2" t="s">
        <v>416</v>
      </c>
      <c r="B1604" s="2" t="s">
        <v>418</v>
      </c>
      <c r="C1604" s="2" t="n">
        <v>2</v>
      </c>
      <c r="D1604" s="2" t="s">
        <v>556</v>
      </c>
      <c r="E1604" s="2" t="s">
        <v>34</v>
      </c>
      <c r="F1604" s="2" t="n">
        <v>25</v>
      </c>
      <c r="G1604" s="2" t="n">
        <v>49</v>
      </c>
    </row>
    <row r="1605" customFormat="false" ht="16.5" hidden="false" customHeight="true" outlineLevel="0" collapsed="false">
      <c r="A1605" s="2" t="s">
        <v>416</v>
      </c>
      <c r="B1605" s="2" t="s">
        <v>418</v>
      </c>
      <c r="C1605" s="2" t="n">
        <v>2</v>
      </c>
      <c r="D1605" s="2" t="s">
        <v>556</v>
      </c>
      <c r="E1605" s="2" t="s">
        <v>35</v>
      </c>
      <c r="F1605" s="2" t="n">
        <v>27</v>
      </c>
      <c r="G1605" s="2" t="n">
        <v>11</v>
      </c>
    </row>
    <row r="1606" customFormat="false" ht="16.5" hidden="false" customHeight="true" outlineLevel="0" collapsed="false">
      <c r="A1606" s="2" t="s">
        <v>416</v>
      </c>
      <c r="B1606" s="2" t="s">
        <v>418</v>
      </c>
      <c r="C1606" s="2" t="n">
        <v>2</v>
      </c>
      <c r="D1606" s="2" t="s">
        <v>556</v>
      </c>
      <c r="E1606" s="2" t="s">
        <v>36</v>
      </c>
      <c r="F1606" s="2" t="n">
        <v>27</v>
      </c>
      <c r="G1606" s="2" t="n">
        <v>15</v>
      </c>
    </row>
    <row r="1607" customFormat="false" ht="16.5" hidden="false" customHeight="true" outlineLevel="0" collapsed="false">
      <c r="A1607" s="2" t="s">
        <v>416</v>
      </c>
      <c r="B1607" s="2" t="s">
        <v>418</v>
      </c>
      <c r="C1607" s="2" t="n">
        <v>2</v>
      </c>
      <c r="D1607" s="2" t="s">
        <v>556</v>
      </c>
      <c r="E1607" s="2" t="s">
        <v>37</v>
      </c>
      <c r="F1607" s="2" t="n">
        <v>27</v>
      </c>
      <c r="G1607" s="2" t="n">
        <v>19</v>
      </c>
    </row>
    <row r="1608" customFormat="false" ht="16.5" hidden="false" customHeight="true" outlineLevel="0" collapsed="false">
      <c r="A1608" s="2" t="s">
        <v>416</v>
      </c>
      <c r="B1608" s="2" t="s">
        <v>418</v>
      </c>
      <c r="C1608" s="2" t="n">
        <v>2</v>
      </c>
      <c r="D1608" s="2" t="s">
        <v>556</v>
      </c>
      <c r="E1608" s="2" t="s">
        <v>38</v>
      </c>
      <c r="F1608" s="2" t="n">
        <v>27</v>
      </c>
      <c r="G1608" s="2" t="n">
        <v>23</v>
      </c>
    </row>
    <row r="1609" customFormat="false" ht="16.5" hidden="false" customHeight="true" outlineLevel="0" collapsed="false">
      <c r="A1609" s="2" t="s">
        <v>416</v>
      </c>
      <c r="B1609" s="2" t="s">
        <v>418</v>
      </c>
      <c r="C1609" s="2" t="n">
        <v>2</v>
      </c>
      <c r="D1609" s="2" t="s">
        <v>556</v>
      </c>
      <c r="E1609" s="2" t="s">
        <v>39</v>
      </c>
      <c r="F1609" s="2" t="n">
        <v>27</v>
      </c>
      <c r="G1609" s="2" t="n">
        <v>27</v>
      </c>
    </row>
    <row r="1610" customFormat="false" ht="16.5" hidden="false" customHeight="true" outlineLevel="0" collapsed="false">
      <c r="A1610" s="2" t="s">
        <v>416</v>
      </c>
      <c r="B1610" s="2" t="s">
        <v>418</v>
      </c>
      <c r="C1610" s="2" t="n">
        <v>2</v>
      </c>
      <c r="D1610" s="2" t="s">
        <v>556</v>
      </c>
      <c r="E1610" s="2" t="s">
        <v>40</v>
      </c>
      <c r="F1610" s="2" t="n">
        <v>27</v>
      </c>
      <c r="G1610" s="2" t="n">
        <v>31</v>
      </c>
    </row>
    <row r="1611" customFormat="false" ht="16.5" hidden="false" customHeight="true" outlineLevel="0" collapsed="false">
      <c r="A1611" s="2" t="s">
        <v>416</v>
      </c>
      <c r="B1611" s="2" t="s">
        <v>418</v>
      </c>
      <c r="C1611" s="2" t="n">
        <v>2</v>
      </c>
      <c r="D1611" s="2" t="s">
        <v>556</v>
      </c>
      <c r="E1611" s="2" t="s">
        <v>41</v>
      </c>
      <c r="F1611" s="2" t="n">
        <v>27</v>
      </c>
      <c r="G1611" s="2" t="n">
        <v>35</v>
      </c>
    </row>
    <row r="1612" customFormat="false" ht="16.5" hidden="false" customHeight="true" outlineLevel="0" collapsed="false">
      <c r="A1612" s="2" t="s">
        <v>416</v>
      </c>
      <c r="B1612" s="2" t="s">
        <v>418</v>
      </c>
      <c r="C1612" s="2" t="n">
        <v>2</v>
      </c>
      <c r="D1612" s="2" t="s">
        <v>556</v>
      </c>
      <c r="E1612" s="2" t="s">
        <v>42</v>
      </c>
      <c r="F1612" s="2" t="n">
        <v>27</v>
      </c>
      <c r="G1612" s="2" t="n">
        <v>39</v>
      </c>
    </row>
    <row r="1613" customFormat="false" ht="16.5" hidden="false" customHeight="true" outlineLevel="0" collapsed="false">
      <c r="A1613" s="2" t="s">
        <v>416</v>
      </c>
      <c r="B1613" s="2" t="s">
        <v>418</v>
      </c>
      <c r="C1613" s="2" t="n">
        <v>2</v>
      </c>
      <c r="D1613" s="2" t="s">
        <v>556</v>
      </c>
      <c r="E1613" s="2" t="s">
        <v>43</v>
      </c>
      <c r="F1613" s="2" t="n">
        <v>27</v>
      </c>
      <c r="G1613" s="2" t="n">
        <v>43</v>
      </c>
    </row>
    <row r="1614" customFormat="false" ht="16.5" hidden="false" customHeight="true" outlineLevel="0" collapsed="false">
      <c r="A1614" s="2" t="s">
        <v>416</v>
      </c>
      <c r="B1614" s="2" t="s">
        <v>418</v>
      </c>
      <c r="C1614" s="2" t="n">
        <v>2</v>
      </c>
      <c r="D1614" s="2" t="s">
        <v>556</v>
      </c>
      <c r="E1614" s="2" t="s">
        <v>44</v>
      </c>
      <c r="F1614" s="2" t="n">
        <v>27</v>
      </c>
      <c r="G1614" s="2" t="n">
        <v>47</v>
      </c>
    </row>
    <row r="1615" customFormat="false" ht="16.5" hidden="false" customHeight="true" outlineLevel="0" collapsed="false">
      <c r="A1615" s="2" t="s">
        <v>416</v>
      </c>
      <c r="B1615" s="2" t="s">
        <v>418</v>
      </c>
      <c r="C1615" s="2" t="n">
        <v>2</v>
      </c>
      <c r="D1615" s="2" t="s">
        <v>556</v>
      </c>
      <c r="E1615" s="2" t="s">
        <v>48</v>
      </c>
      <c r="F1615" s="2" t="n">
        <v>29</v>
      </c>
      <c r="G1615" s="2" t="n">
        <v>16</v>
      </c>
    </row>
    <row r="1616" customFormat="false" ht="16.5" hidden="false" customHeight="true" outlineLevel="0" collapsed="false">
      <c r="A1616" s="2" t="s">
        <v>416</v>
      </c>
      <c r="B1616" s="2" t="s">
        <v>418</v>
      </c>
      <c r="C1616" s="2" t="n">
        <v>2</v>
      </c>
      <c r="D1616" s="2" t="s">
        <v>556</v>
      </c>
      <c r="E1616" s="2" t="s">
        <v>50</v>
      </c>
      <c r="F1616" s="2" t="n">
        <v>29</v>
      </c>
      <c r="G1616" s="2" t="n">
        <v>20</v>
      </c>
    </row>
    <row r="1617" customFormat="false" ht="16.5" hidden="false" customHeight="true" outlineLevel="0" collapsed="false">
      <c r="A1617" s="2" t="s">
        <v>416</v>
      </c>
      <c r="B1617" s="2" t="s">
        <v>418</v>
      </c>
      <c r="C1617" s="2" t="n">
        <v>2</v>
      </c>
      <c r="D1617" s="2" t="s">
        <v>556</v>
      </c>
      <c r="E1617" s="2" t="s">
        <v>45</v>
      </c>
      <c r="F1617" s="2" t="n">
        <v>29</v>
      </c>
      <c r="G1617" s="2" t="n">
        <v>38</v>
      </c>
    </row>
    <row r="1618" customFormat="false" ht="16.5" hidden="false" customHeight="true" outlineLevel="0" collapsed="false">
      <c r="A1618" s="2" t="s">
        <v>416</v>
      </c>
      <c r="B1618" s="2" t="s">
        <v>418</v>
      </c>
      <c r="C1618" s="2" t="n">
        <v>2</v>
      </c>
      <c r="D1618" s="2" t="s">
        <v>556</v>
      </c>
      <c r="E1618" s="2" t="s">
        <v>46</v>
      </c>
      <c r="F1618" s="2" t="n">
        <v>29</v>
      </c>
      <c r="G1618" s="2" t="n">
        <v>42</v>
      </c>
    </row>
    <row r="1619" customFormat="false" ht="16.5" hidden="false" customHeight="true" outlineLevel="0" collapsed="false">
      <c r="A1619" s="2" t="s">
        <v>416</v>
      </c>
      <c r="B1619" s="2" t="s">
        <v>419</v>
      </c>
      <c r="C1619" s="2" t="n">
        <v>2</v>
      </c>
      <c r="D1619" s="2" t="s">
        <v>557</v>
      </c>
      <c r="E1619" s="2" t="s">
        <v>0</v>
      </c>
      <c r="F1619" s="2" t="n">
        <v>34</v>
      </c>
      <c r="G1619" s="2" t="n">
        <v>6</v>
      </c>
    </row>
    <row r="1620" customFormat="false" ht="16.5" hidden="false" customHeight="true" outlineLevel="0" collapsed="false">
      <c r="A1620" s="2" t="s">
        <v>416</v>
      </c>
      <c r="B1620" s="2" t="s">
        <v>419</v>
      </c>
      <c r="C1620" s="2" t="n">
        <v>2</v>
      </c>
      <c r="D1620" s="2" t="s">
        <v>557</v>
      </c>
      <c r="E1620" s="2" t="s">
        <v>1</v>
      </c>
      <c r="F1620" s="2" t="n">
        <v>34</v>
      </c>
      <c r="G1620" s="2" t="n">
        <v>10</v>
      </c>
    </row>
    <row r="1621" customFormat="false" ht="16.5" hidden="false" customHeight="true" outlineLevel="0" collapsed="false">
      <c r="A1621" s="2" t="s">
        <v>416</v>
      </c>
      <c r="B1621" s="2" t="s">
        <v>419</v>
      </c>
      <c r="C1621" s="2" t="n">
        <v>2</v>
      </c>
      <c r="D1621" s="2" t="s">
        <v>557</v>
      </c>
      <c r="E1621" s="2" t="s">
        <v>2</v>
      </c>
      <c r="F1621" s="2" t="n">
        <v>34</v>
      </c>
      <c r="G1621" s="2" t="n">
        <v>14</v>
      </c>
    </row>
    <row r="1622" customFormat="false" ht="16.5" hidden="false" customHeight="true" outlineLevel="0" collapsed="false">
      <c r="A1622" s="2" t="s">
        <v>416</v>
      </c>
      <c r="B1622" s="2" t="s">
        <v>419</v>
      </c>
      <c r="C1622" s="2" t="n">
        <v>2</v>
      </c>
      <c r="D1622" s="2" t="s">
        <v>557</v>
      </c>
      <c r="E1622" s="2" t="s">
        <v>3</v>
      </c>
      <c r="F1622" s="2" t="n">
        <v>34</v>
      </c>
      <c r="G1622" s="2" t="n">
        <v>18</v>
      </c>
    </row>
    <row r="1623" customFormat="false" ht="16.5" hidden="false" customHeight="true" outlineLevel="0" collapsed="false">
      <c r="A1623" s="2" t="s">
        <v>416</v>
      </c>
      <c r="B1623" s="2" t="s">
        <v>419</v>
      </c>
      <c r="C1623" s="2" t="n">
        <v>2</v>
      </c>
      <c r="D1623" s="2" t="s">
        <v>557</v>
      </c>
      <c r="E1623" s="2" t="s">
        <v>4</v>
      </c>
      <c r="F1623" s="2" t="n">
        <v>34</v>
      </c>
      <c r="G1623" s="2" t="n">
        <v>22</v>
      </c>
    </row>
    <row r="1624" customFormat="false" ht="16.5" hidden="false" customHeight="true" outlineLevel="0" collapsed="false">
      <c r="A1624" s="2" t="s">
        <v>416</v>
      </c>
      <c r="B1624" s="2" t="s">
        <v>419</v>
      </c>
      <c r="C1624" s="2" t="n">
        <v>2</v>
      </c>
      <c r="D1624" s="2" t="s">
        <v>557</v>
      </c>
      <c r="E1624" s="2" t="s">
        <v>5</v>
      </c>
      <c r="F1624" s="2" t="n">
        <v>34</v>
      </c>
      <c r="G1624" s="2" t="n">
        <v>26</v>
      </c>
    </row>
    <row r="1625" customFormat="false" ht="16.5" hidden="false" customHeight="true" outlineLevel="0" collapsed="false">
      <c r="A1625" s="2" t="s">
        <v>416</v>
      </c>
      <c r="B1625" s="2" t="s">
        <v>419</v>
      </c>
      <c r="C1625" s="2" t="n">
        <v>2</v>
      </c>
      <c r="D1625" s="2" t="s">
        <v>557</v>
      </c>
      <c r="E1625" s="2" t="s">
        <v>6</v>
      </c>
      <c r="F1625" s="2" t="n">
        <v>34</v>
      </c>
      <c r="G1625" s="2" t="n">
        <v>30</v>
      </c>
    </row>
    <row r="1626" customFormat="false" ht="16.5" hidden="false" customHeight="true" outlineLevel="0" collapsed="false">
      <c r="A1626" s="2" t="s">
        <v>416</v>
      </c>
      <c r="B1626" s="2" t="s">
        <v>419</v>
      </c>
      <c r="C1626" s="2" t="n">
        <v>2</v>
      </c>
      <c r="D1626" s="2" t="s">
        <v>557</v>
      </c>
      <c r="E1626" s="2" t="s">
        <v>7</v>
      </c>
      <c r="F1626" s="2" t="n">
        <v>34</v>
      </c>
      <c r="G1626" s="2" t="n">
        <v>34</v>
      </c>
    </row>
    <row r="1627" customFormat="false" ht="16.5" hidden="false" customHeight="true" outlineLevel="0" collapsed="false">
      <c r="A1627" s="2" t="s">
        <v>416</v>
      </c>
      <c r="B1627" s="2" t="s">
        <v>419</v>
      </c>
      <c r="C1627" s="2" t="n">
        <v>2</v>
      </c>
      <c r="D1627" s="2" t="s">
        <v>557</v>
      </c>
      <c r="E1627" s="2" t="s">
        <v>8</v>
      </c>
      <c r="F1627" s="2" t="n">
        <v>34</v>
      </c>
      <c r="G1627" s="2" t="n">
        <v>38</v>
      </c>
    </row>
    <row r="1628" customFormat="false" ht="16.5" hidden="false" customHeight="true" outlineLevel="0" collapsed="false">
      <c r="A1628" s="2" t="s">
        <v>416</v>
      </c>
      <c r="B1628" s="2" t="s">
        <v>419</v>
      </c>
      <c r="C1628" s="2" t="n">
        <v>2</v>
      </c>
      <c r="D1628" s="2" t="s">
        <v>557</v>
      </c>
      <c r="E1628" s="2" t="s">
        <v>9</v>
      </c>
      <c r="F1628" s="2" t="n">
        <v>34</v>
      </c>
      <c r="G1628" s="2" t="n">
        <v>42</v>
      </c>
    </row>
    <row r="1629" customFormat="false" ht="16.5" hidden="false" customHeight="true" outlineLevel="0" collapsed="false">
      <c r="A1629" s="2" t="s">
        <v>416</v>
      </c>
      <c r="B1629" s="2" t="s">
        <v>419</v>
      </c>
      <c r="C1629" s="2" t="n">
        <v>2</v>
      </c>
      <c r="D1629" s="2" t="s">
        <v>557</v>
      </c>
      <c r="E1629" s="2" t="s">
        <v>10</v>
      </c>
      <c r="F1629" s="2" t="n">
        <v>34</v>
      </c>
      <c r="G1629" s="2" t="n">
        <v>46</v>
      </c>
    </row>
    <row r="1630" customFormat="false" ht="16.5" hidden="false" customHeight="true" outlineLevel="0" collapsed="false">
      <c r="A1630" s="2" t="s">
        <v>416</v>
      </c>
      <c r="B1630" s="2" t="s">
        <v>419</v>
      </c>
      <c r="C1630" s="2" t="n">
        <v>2</v>
      </c>
      <c r="D1630" s="2" t="s">
        <v>557</v>
      </c>
      <c r="E1630" s="2" t="s">
        <v>11</v>
      </c>
      <c r="F1630" s="2" t="n">
        <v>34</v>
      </c>
      <c r="G1630" s="2" t="n">
        <v>50</v>
      </c>
    </row>
    <row r="1631" customFormat="false" ht="16.5" hidden="false" customHeight="true" outlineLevel="0" collapsed="false">
      <c r="A1631" s="2" t="s">
        <v>416</v>
      </c>
      <c r="B1631" s="2" t="s">
        <v>419</v>
      </c>
      <c r="C1631" s="2" t="n">
        <v>2</v>
      </c>
      <c r="D1631" s="2" t="s">
        <v>557</v>
      </c>
      <c r="E1631" s="2" t="s">
        <v>12</v>
      </c>
      <c r="F1631" s="2" t="n">
        <v>36</v>
      </c>
      <c r="G1631" s="2" t="n">
        <v>8</v>
      </c>
    </row>
    <row r="1632" customFormat="false" ht="16.5" hidden="false" customHeight="true" outlineLevel="0" collapsed="false">
      <c r="A1632" s="2" t="s">
        <v>416</v>
      </c>
      <c r="B1632" s="2" t="s">
        <v>419</v>
      </c>
      <c r="C1632" s="2" t="n">
        <v>2</v>
      </c>
      <c r="D1632" s="2" t="s">
        <v>557</v>
      </c>
      <c r="E1632" s="2" t="s">
        <v>13</v>
      </c>
      <c r="F1632" s="2" t="n">
        <v>36</v>
      </c>
      <c r="G1632" s="2" t="n">
        <v>12</v>
      </c>
    </row>
    <row r="1633" customFormat="false" ht="16.5" hidden="false" customHeight="true" outlineLevel="0" collapsed="false">
      <c r="A1633" s="2" t="s">
        <v>416</v>
      </c>
      <c r="B1633" s="2" t="s">
        <v>419</v>
      </c>
      <c r="C1633" s="2" t="n">
        <v>2</v>
      </c>
      <c r="D1633" s="2" t="s">
        <v>557</v>
      </c>
      <c r="E1633" s="2" t="s">
        <v>14</v>
      </c>
      <c r="F1633" s="2" t="n">
        <v>36</v>
      </c>
      <c r="G1633" s="2" t="n">
        <v>16</v>
      </c>
    </row>
    <row r="1634" customFormat="false" ht="16.5" hidden="false" customHeight="true" outlineLevel="0" collapsed="false">
      <c r="A1634" s="2" t="s">
        <v>416</v>
      </c>
      <c r="B1634" s="2" t="s">
        <v>419</v>
      </c>
      <c r="C1634" s="2" t="n">
        <v>2</v>
      </c>
      <c r="D1634" s="2" t="s">
        <v>557</v>
      </c>
      <c r="E1634" s="2" t="s">
        <v>15</v>
      </c>
      <c r="F1634" s="2" t="n">
        <v>36</v>
      </c>
      <c r="G1634" s="2" t="n">
        <v>20</v>
      </c>
    </row>
    <row r="1635" customFormat="false" ht="16.5" hidden="false" customHeight="true" outlineLevel="0" collapsed="false">
      <c r="A1635" s="2" t="s">
        <v>416</v>
      </c>
      <c r="B1635" s="2" t="s">
        <v>419</v>
      </c>
      <c r="C1635" s="2" t="n">
        <v>2</v>
      </c>
      <c r="D1635" s="2" t="s">
        <v>557</v>
      </c>
      <c r="E1635" s="2" t="s">
        <v>16</v>
      </c>
      <c r="F1635" s="2" t="n">
        <v>36</v>
      </c>
      <c r="G1635" s="2" t="n">
        <v>24</v>
      </c>
    </row>
    <row r="1636" customFormat="false" ht="16.5" hidden="false" customHeight="true" outlineLevel="0" collapsed="false">
      <c r="A1636" s="2" t="s">
        <v>416</v>
      </c>
      <c r="B1636" s="2" t="s">
        <v>419</v>
      </c>
      <c r="C1636" s="2" t="n">
        <v>2</v>
      </c>
      <c r="D1636" s="2" t="s">
        <v>557</v>
      </c>
      <c r="E1636" s="2" t="s">
        <v>17</v>
      </c>
      <c r="F1636" s="2" t="n">
        <v>36</v>
      </c>
      <c r="G1636" s="2" t="n">
        <v>28</v>
      </c>
    </row>
    <row r="1637" customFormat="false" ht="16.5" hidden="false" customHeight="true" outlineLevel="0" collapsed="false">
      <c r="A1637" s="2" t="s">
        <v>416</v>
      </c>
      <c r="B1637" s="2" t="s">
        <v>419</v>
      </c>
      <c r="C1637" s="2" t="n">
        <v>2</v>
      </c>
      <c r="D1637" s="2" t="s">
        <v>557</v>
      </c>
      <c r="E1637" s="2" t="s">
        <v>18</v>
      </c>
      <c r="F1637" s="2" t="n">
        <v>36</v>
      </c>
      <c r="G1637" s="2" t="n">
        <v>32</v>
      </c>
    </row>
    <row r="1638" customFormat="false" ht="16.5" hidden="false" customHeight="true" outlineLevel="0" collapsed="false">
      <c r="A1638" s="2" t="s">
        <v>416</v>
      </c>
      <c r="B1638" s="2" t="s">
        <v>419</v>
      </c>
      <c r="C1638" s="2" t="n">
        <v>2</v>
      </c>
      <c r="D1638" s="2" t="s">
        <v>557</v>
      </c>
      <c r="E1638" s="2" t="s">
        <v>19</v>
      </c>
      <c r="F1638" s="2" t="n">
        <v>36</v>
      </c>
      <c r="G1638" s="2" t="n">
        <v>36</v>
      </c>
    </row>
    <row r="1639" customFormat="false" ht="16.5" hidden="false" customHeight="true" outlineLevel="0" collapsed="false">
      <c r="A1639" s="2" t="s">
        <v>416</v>
      </c>
      <c r="B1639" s="2" t="s">
        <v>419</v>
      </c>
      <c r="C1639" s="2" t="n">
        <v>2</v>
      </c>
      <c r="D1639" s="2" t="s">
        <v>557</v>
      </c>
      <c r="E1639" s="2" t="s">
        <v>20</v>
      </c>
      <c r="F1639" s="2" t="n">
        <v>36</v>
      </c>
      <c r="G1639" s="2" t="n">
        <v>40</v>
      </c>
    </row>
    <row r="1640" customFormat="false" ht="16.5" hidden="false" customHeight="true" outlineLevel="0" collapsed="false">
      <c r="A1640" s="2" t="s">
        <v>416</v>
      </c>
      <c r="B1640" s="2" t="s">
        <v>419</v>
      </c>
      <c r="C1640" s="2" t="n">
        <v>2</v>
      </c>
      <c r="D1640" s="2" t="s">
        <v>557</v>
      </c>
      <c r="E1640" s="2" t="s">
        <v>21</v>
      </c>
      <c r="F1640" s="2" t="n">
        <v>36</v>
      </c>
      <c r="G1640" s="2" t="n">
        <v>44</v>
      </c>
    </row>
    <row r="1641" customFormat="false" ht="16.5" hidden="false" customHeight="true" outlineLevel="0" collapsed="false">
      <c r="A1641" s="2" t="s">
        <v>416</v>
      </c>
      <c r="B1641" s="2" t="s">
        <v>419</v>
      </c>
      <c r="C1641" s="2" t="n">
        <v>2</v>
      </c>
      <c r="D1641" s="2" t="s">
        <v>557</v>
      </c>
      <c r="E1641" s="2" t="s">
        <v>22</v>
      </c>
      <c r="F1641" s="2" t="n">
        <v>36</v>
      </c>
      <c r="G1641" s="2" t="n">
        <v>48</v>
      </c>
    </row>
    <row r="1642" customFormat="false" ht="16.5" hidden="false" customHeight="true" outlineLevel="0" collapsed="false">
      <c r="A1642" s="2" t="s">
        <v>416</v>
      </c>
      <c r="B1642" s="2" t="s">
        <v>419</v>
      </c>
      <c r="C1642" s="2" t="n">
        <v>2</v>
      </c>
      <c r="D1642" s="2" t="s">
        <v>557</v>
      </c>
      <c r="E1642" s="2" t="s">
        <v>23</v>
      </c>
      <c r="F1642" s="2" t="n">
        <v>36</v>
      </c>
      <c r="G1642" s="2" t="n">
        <v>52</v>
      </c>
    </row>
    <row r="1643" customFormat="false" ht="16.5" hidden="false" customHeight="true" outlineLevel="0" collapsed="false">
      <c r="A1643" s="2" t="s">
        <v>416</v>
      </c>
      <c r="B1643" s="2" t="s">
        <v>419</v>
      </c>
      <c r="C1643" s="2" t="n">
        <v>2</v>
      </c>
      <c r="D1643" s="2" t="s">
        <v>557</v>
      </c>
      <c r="E1643" s="2" t="s">
        <v>24</v>
      </c>
      <c r="F1643" s="2" t="n">
        <v>38</v>
      </c>
      <c r="G1643" s="2" t="n">
        <v>9</v>
      </c>
    </row>
    <row r="1644" customFormat="false" ht="16.5" hidden="false" customHeight="true" outlineLevel="0" collapsed="false">
      <c r="A1644" s="2" t="s">
        <v>416</v>
      </c>
      <c r="B1644" s="2" t="s">
        <v>419</v>
      </c>
      <c r="C1644" s="2" t="n">
        <v>2</v>
      </c>
      <c r="D1644" s="2" t="s">
        <v>557</v>
      </c>
      <c r="E1644" s="2" t="s">
        <v>25</v>
      </c>
      <c r="F1644" s="2" t="n">
        <v>38</v>
      </c>
      <c r="G1644" s="2" t="n">
        <v>13</v>
      </c>
    </row>
    <row r="1645" customFormat="false" ht="16.5" hidden="false" customHeight="true" outlineLevel="0" collapsed="false">
      <c r="A1645" s="2" t="s">
        <v>416</v>
      </c>
      <c r="B1645" s="2" t="s">
        <v>419</v>
      </c>
      <c r="C1645" s="2" t="n">
        <v>2</v>
      </c>
      <c r="D1645" s="2" t="s">
        <v>557</v>
      </c>
      <c r="E1645" s="2" t="s">
        <v>26</v>
      </c>
      <c r="F1645" s="2" t="n">
        <v>38</v>
      </c>
      <c r="G1645" s="2" t="n">
        <v>17</v>
      </c>
    </row>
    <row r="1646" customFormat="false" ht="16.5" hidden="false" customHeight="true" outlineLevel="0" collapsed="false">
      <c r="A1646" s="2" t="s">
        <v>416</v>
      </c>
      <c r="B1646" s="2" t="s">
        <v>419</v>
      </c>
      <c r="C1646" s="2" t="n">
        <v>2</v>
      </c>
      <c r="D1646" s="2" t="s">
        <v>557</v>
      </c>
      <c r="E1646" s="2" t="s">
        <v>27</v>
      </c>
      <c r="F1646" s="2" t="n">
        <v>38</v>
      </c>
      <c r="G1646" s="2" t="n">
        <v>21</v>
      </c>
    </row>
    <row r="1647" customFormat="false" ht="16.5" hidden="false" customHeight="true" outlineLevel="0" collapsed="false">
      <c r="A1647" s="2" t="s">
        <v>416</v>
      </c>
      <c r="B1647" s="2" t="s">
        <v>419</v>
      </c>
      <c r="C1647" s="2" t="n">
        <v>2</v>
      </c>
      <c r="D1647" s="2" t="s">
        <v>557</v>
      </c>
      <c r="E1647" s="2" t="s">
        <v>28</v>
      </c>
      <c r="F1647" s="2" t="n">
        <v>38</v>
      </c>
      <c r="G1647" s="2" t="n">
        <v>25</v>
      </c>
    </row>
    <row r="1648" customFormat="false" ht="16.5" hidden="false" customHeight="true" outlineLevel="0" collapsed="false">
      <c r="A1648" s="2" t="s">
        <v>416</v>
      </c>
      <c r="B1648" s="2" t="s">
        <v>419</v>
      </c>
      <c r="C1648" s="2" t="n">
        <v>2</v>
      </c>
      <c r="D1648" s="2" t="s">
        <v>557</v>
      </c>
      <c r="E1648" s="2" t="s">
        <v>29</v>
      </c>
      <c r="F1648" s="2" t="n">
        <v>38</v>
      </c>
      <c r="G1648" s="2" t="n">
        <v>29</v>
      </c>
    </row>
    <row r="1649" customFormat="false" ht="16.5" hidden="false" customHeight="true" outlineLevel="0" collapsed="false">
      <c r="A1649" s="2" t="s">
        <v>416</v>
      </c>
      <c r="B1649" s="2" t="s">
        <v>419</v>
      </c>
      <c r="C1649" s="2" t="n">
        <v>2</v>
      </c>
      <c r="D1649" s="2" t="s">
        <v>557</v>
      </c>
      <c r="E1649" s="2" t="s">
        <v>30</v>
      </c>
      <c r="F1649" s="2" t="n">
        <v>38</v>
      </c>
      <c r="G1649" s="2" t="n">
        <v>33</v>
      </c>
    </row>
    <row r="1650" customFormat="false" ht="16.5" hidden="false" customHeight="true" outlineLevel="0" collapsed="false">
      <c r="A1650" s="2" t="s">
        <v>416</v>
      </c>
      <c r="B1650" s="2" t="s">
        <v>419</v>
      </c>
      <c r="C1650" s="2" t="n">
        <v>2</v>
      </c>
      <c r="D1650" s="2" t="s">
        <v>557</v>
      </c>
      <c r="E1650" s="2" t="s">
        <v>31</v>
      </c>
      <c r="F1650" s="2" t="n">
        <v>38</v>
      </c>
      <c r="G1650" s="2" t="n">
        <v>37</v>
      </c>
    </row>
    <row r="1651" customFormat="false" ht="16.5" hidden="false" customHeight="true" outlineLevel="0" collapsed="false">
      <c r="A1651" s="2" t="s">
        <v>416</v>
      </c>
      <c r="B1651" s="2" t="s">
        <v>419</v>
      </c>
      <c r="C1651" s="2" t="n">
        <v>2</v>
      </c>
      <c r="D1651" s="2" t="s">
        <v>557</v>
      </c>
      <c r="E1651" s="2" t="s">
        <v>32</v>
      </c>
      <c r="F1651" s="2" t="n">
        <v>38</v>
      </c>
      <c r="G1651" s="2" t="n">
        <v>41</v>
      </c>
    </row>
    <row r="1652" customFormat="false" ht="16.5" hidden="false" customHeight="true" outlineLevel="0" collapsed="false">
      <c r="A1652" s="2" t="s">
        <v>416</v>
      </c>
      <c r="B1652" s="2" t="s">
        <v>419</v>
      </c>
      <c r="C1652" s="2" t="n">
        <v>2</v>
      </c>
      <c r="D1652" s="2" t="s">
        <v>557</v>
      </c>
      <c r="E1652" s="2" t="s">
        <v>33</v>
      </c>
      <c r="F1652" s="2" t="n">
        <v>38</v>
      </c>
      <c r="G1652" s="2" t="n">
        <v>45</v>
      </c>
    </row>
    <row r="1653" customFormat="false" ht="16.5" hidden="false" customHeight="true" outlineLevel="0" collapsed="false">
      <c r="A1653" s="2" t="s">
        <v>416</v>
      </c>
      <c r="B1653" s="2" t="s">
        <v>419</v>
      </c>
      <c r="C1653" s="2" t="n">
        <v>2</v>
      </c>
      <c r="D1653" s="2" t="s">
        <v>557</v>
      </c>
      <c r="E1653" s="2" t="s">
        <v>34</v>
      </c>
      <c r="F1653" s="2" t="n">
        <v>38</v>
      </c>
      <c r="G1653" s="2" t="n">
        <v>49</v>
      </c>
    </row>
    <row r="1654" customFormat="false" ht="16.5" hidden="false" customHeight="true" outlineLevel="0" collapsed="false">
      <c r="A1654" s="2" t="s">
        <v>416</v>
      </c>
      <c r="B1654" s="2" t="s">
        <v>419</v>
      </c>
      <c r="C1654" s="2" t="n">
        <v>2</v>
      </c>
      <c r="D1654" s="2" t="s">
        <v>557</v>
      </c>
      <c r="E1654" s="2" t="s">
        <v>35</v>
      </c>
      <c r="F1654" s="2" t="n">
        <v>40</v>
      </c>
      <c r="G1654" s="2" t="n">
        <v>11</v>
      </c>
    </row>
    <row r="1655" customFormat="false" ht="16.5" hidden="false" customHeight="true" outlineLevel="0" collapsed="false">
      <c r="A1655" s="2" t="s">
        <v>416</v>
      </c>
      <c r="B1655" s="2" t="s">
        <v>419</v>
      </c>
      <c r="C1655" s="2" t="n">
        <v>2</v>
      </c>
      <c r="D1655" s="2" t="s">
        <v>557</v>
      </c>
      <c r="E1655" s="2" t="s">
        <v>36</v>
      </c>
      <c r="F1655" s="2" t="n">
        <v>40</v>
      </c>
      <c r="G1655" s="2" t="n">
        <v>15</v>
      </c>
    </row>
    <row r="1656" customFormat="false" ht="16.5" hidden="false" customHeight="true" outlineLevel="0" collapsed="false">
      <c r="A1656" s="2" t="s">
        <v>416</v>
      </c>
      <c r="B1656" s="2" t="s">
        <v>419</v>
      </c>
      <c r="C1656" s="2" t="n">
        <v>2</v>
      </c>
      <c r="D1656" s="2" t="s">
        <v>557</v>
      </c>
      <c r="E1656" s="2" t="s">
        <v>37</v>
      </c>
      <c r="F1656" s="2" t="n">
        <v>40</v>
      </c>
      <c r="G1656" s="2" t="n">
        <v>19</v>
      </c>
    </row>
    <row r="1657" customFormat="false" ht="16.5" hidden="false" customHeight="true" outlineLevel="0" collapsed="false">
      <c r="A1657" s="2" t="s">
        <v>416</v>
      </c>
      <c r="B1657" s="2" t="s">
        <v>419</v>
      </c>
      <c r="C1657" s="2" t="n">
        <v>2</v>
      </c>
      <c r="D1657" s="2" t="s">
        <v>557</v>
      </c>
      <c r="E1657" s="2" t="s">
        <v>38</v>
      </c>
      <c r="F1657" s="2" t="n">
        <v>40</v>
      </c>
      <c r="G1657" s="2" t="n">
        <v>23</v>
      </c>
    </row>
    <row r="1658" customFormat="false" ht="16.5" hidden="false" customHeight="true" outlineLevel="0" collapsed="false">
      <c r="A1658" s="2" t="s">
        <v>416</v>
      </c>
      <c r="B1658" s="2" t="s">
        <v>419</v>
      </c>
      <c r="C1658" s="2" t="n">
        <v>2</v>
      </c>
      <c r="D1658" s="2" t="s">
        <v>557</v>
      </c>
      <c r="E1658" s="2" t="s">
        <v>39</v>
      </c>
      <c r="F1658" s="2" t="n">
        <v>40</v>
      </c>
      <c r="G1658" s="2" t="n">
        <v>27</v>
      </c>
    </row>
    <row r="1659" customFormat="false" ht="16.5" hidden="false" customHeight="true" outlineLevel="0" collapsed="false">
      <c r="A1659" s="2" t="s">
        <v>416</v>
      </c>
      <c r="B1659" s="2" t="s">
        <v>419</v>
      </c>
      <c r="C1659" s="2" t="n">
        <v>2</v>
      </c>
      <c r="D1659" s="2" t="s">
        <v>557</v>
      </c>
      <c r="E1659" s="2" t="s">
        <v>40</v>
      </c>
      <c r="F1659" s="2" t="n">
        <v>40</v>
      </c>
      <c r="G1659" s="2" t="n">
        <v>31</v>
      </c>
    </row>
    <row r="1660" customFormat="false" ht="16.5" hidden="false" customHeight="true" outlineLevel="0" collapsed="false">
      <c r="A1660" s="2" t="s">
        <v>416</v>
      </c>
      <c r="B1660" s="2" t="s">
        <v>419</v>
      </c>
      <c r="C1660" s="2" t="n">
        <v>2</v>
      </c>
      <c r="D1660" s="2" t="s">
        <v>557</v>
      </c>
      <c r="E1660" s="2" t="s">
        <v>41</v>
      </c>
      <c r="F1660" s="2" t="n">
        <v>40</v>
      </c>
      <c r="G1660" s="2" t="n">
        <v>35</v>
      </c>
    </row>
    <row r="1661" customFormat="false" ht="16.5" hidden="false" customHeight="true" outlineLevel="0" collapsed="false">
      <c r="A1661" s="2" t="s">
        <v>416</v>
      </c>
      <c r="B1661" s="2" t="s">
        <v>419</v>
      </c>
      <c r="C1661" s="2" t="n">
        <v>2</v>
      </c>
      <c r="D1661" s="2" t="s">
        <v>557</v>
      </c>
      <c r="E1661" s="2" t="s">
        <v>42</v>
      </c>
      <c r="F1661" s="2" t="n">
        <v>40</v>
      </c>
      <c r="G1661" s="2" t="n">
        <v>39</v>
      </c>
    </row>
    <row r="1662" customFormat="false" ht="16.5" hidden="false" customHeight="true" outlineLevel="0" collapsed="false">
      <c r="A1662" s="2" t="s">
        <v>416</v>
      </c>
      <c r="B1662" s="2" t="s">
        <v>419</v>
      </c>
      <c r="C1662" s="2" t="n">
        <v>2</v>
      </c>
      <c r="D1662" s="2" t="s">
        <v>557</v>
      </c>
      <c r="E1662" s="2" t="s">
        <v>43</v>
      </c>
      <c r="F1662" s="2" t="n">
        <v>40</v>
      </c>
      <c r="G1662" s="2" t="n">
        <v>43</v>
      </c>
    </row>
    <row r="1663" customFormat="false" ht="16.5" hidden="false" customHeight="true" outlineLevel="0" collapsed="false">
      <c r="A1663" s="2" t="s">
        <v>416</v>
      </c>
      <c r="B1663" s="2" t="s">
        <v>419</v>
      </c>
      <c r="C1663" s="2" t="n">
        <v>2</v>
      </c>
      <c r="D1663" s="2" t="s">
        <v>557</v>
      </c>
      <c r="E1663" s="2" t="s">
        <v>44</v>
      </c>
      <c r="F1663" s="2" t="n">
        <v>40</v>
      </c>
      <c r="G1663" s="2" t="n">
        <v>47</v>
      </c>
    </row>
    <row r="1664" customFormat="false" ht="16.5" hidden="false" customHeight="true" outlineLevel="0" collapsed="false">
      <c r="A1664" s="2" t="s">
        <v>416</v>
      </c>
      <c r="B1664" s="2" t="s">
        <v>419</v>
      </c>
      <c r="C1664" s="2" t="n">
        <v>2</v>
      </c>
      <c r="D1664" s="2" t="s">
        <v>557</v>
      </c>
      <c r="E1664" s="2" t="s">
        <v>48</v>
      </c>
      <c r="F1664" s="2" t="n">
        <v>42</v>
      </c>
      <c r="G1664" s="2" t="n">
        <v>16</v>
      </c>
    </row>
    <row r="1665" customFormat="false" ht="16.5" hidden="false" customHeight="true" outlineLevel="0" collapsed="false">
      <c r="A1665" s="2" t="s">
        <v>416</v>
      </c>
      <c r="B1665" s="2" t="s">
        <v>419</v>
      </c>
      <c r="C1665" s="2" t="n">
        <v>2</v>
      </c>
      <c r="D1665" s="2" t="s">
        <v>557</v>
      </c>
      <c r="E1665" s="2" t="s">
        <v>50</v>
      </c>
      <c r="F1665" s="2" t="n">
        <v>42</v>
      </c>
      <c r="G1665" s="2" t="n">
        <v>20</v>
      </c>
    </row>
    <row r="1666" customFormat="false" ht="16.5" hidden="false" customHeight="true" outlineLevel="0" collapsed="false">
      <c r="A1666" s="2" t="s">
        <v>416</v>
      </c>
      <c r="B1666" s="2" t="s">
        <v>419</v>
      </c>
      <c r="C1666" s="2" t="n">
        <v>2</v>
      </c>
      <c r="D1666" s="2" t="s">
        <v>557</v>
      </c>
      <c r="E1666" s="2" t="s">
        <v>45</v>
      </c>
      <c r="F1666" s="2" t="n">
        <v>42</v>
      </c>
      <c r="G1666" s="2" t="n">
        <v>38</v>
      </c>
    </row>
    <row r="1667" customFormat="false" ht="16.5" hidden="false" customHeight="true" outlineLevel="0" collapsed="false">
      <c r="A1667" s="2" t="s">
        <v>416</v>
      </c>
      <c r="B1667" s="2" t="s">
        <v>419</v>
      </c>
      <c r="C1667" s="2" t="n">
        <v>2</v>
      </c>
      <c r="D1667" s="2" t="s">
        <v>557</v>
      </c>
      <c r="E1667" s="2" t="s">
        <v>46</v>
      </c>
      <c r="F1667" s="2" t="n">
        <v>42</v>
      </c>
      <c r="G1667" s="2" t="n">
        <v>42</v>
      </c>
    </row>
    <row r="1668" customFormat="false" ht="16.5" hidden="false" customHeight="true" outlineLevel="0" collapsed="false">
      <c r="A1668" s="2" t="s">
        <v>416</v>
      </c>
      <c r="B1668" s="2" t="s">
        <v>420</v>
      </c>
      <c r="C1668" s="2" t="n">
        <v>2</v>
      </c>
      <c r="D1668" s="2" t="s">
        <v>558</v>
      </c>
      <c r="E1668" s="2" t="s">
        <v>0</v>
      </c>
      <c r="F1668" s="2" t="n">
        <v>47</v>
      </c>
      <c r="G1668" s="2" t="n">
        <v>6</v>
      </c>
    </row>
    <row r="1669" customFormat="false" ht="16.5" hidden="false" customHeight="true" outlineLevel="0" collapsed="false">
      <c r="A1669" s="2" t="s">
        <v>416</v>
      </c>
      <c r="B1669" s="2" t="s">
        <v>420</v>
      </c>
      <c r="C1669" s="2" t="n">
        <v>2</v>
      </c>
      <c r="D1669" s="2" t="s">
        <v>558</v>
      </c>
      <c r="E1669" s="2" t="s">
        <v>1</v>
      </c>
      <c r="F1669" s="2" t="n">
        <v>47</v>
      </c>
      <c r="G1669" s="2" t="n">
        <v>10</v>
      </c>
    </row>
    <row r="1670" customFormat="false" ht="16.5" hidden="false" customHeight="true" outlineLevel="0" collapsed="false">
      <c r="A1670" s="2" t="s">
        <v>416</v>
      </c>
      <c r="B1670" s="2" t="s">
        <v>420</v>
      </c>
      <c r="C1670" s="2" t="n">
        <v>2</v>
      </c>
      <c r="D1670" s="2" t="s">
        <v>558</v>
      </c>
      <c r="E1670" s="2" t="s">
        <v>2</v>
      </c>
      <c r="F1670" s="2" t="n">
        <v>47</v>
      </c>
      <c r="G1670" s="2" t="n">
        <v>14</v>
      </c>
    </row>
    <row r="1671" customFormat="false" ht="16.5" hidden="false" customHeight="true" outlineLevel="0" collapsed="false">
      <c r="A1671" s="2" t="s">
        <v>416</v>
      </c>
      <c r="B1671" s="2" t="s">
        <v>420</v>
      </c>
      <c r="C1671" s="2" t="n">
        <v>2</v>
      </c>
      <c r="D1671" s="2" t="s">
        <v>558</v>
      </c>
      <c r="E1671" s="2" t="s">
        <v>3</v>
      </c>
      <c r="F1671" s="2" t="n">
        <v>47</v>
      </c>
      <c r="G1671" s="2" t="n">
        <v>18</v>
      </c>
    </row>
    <row r="1672" customFormat="false" ht="16.5" hidden="false" customHeight="true" outlineLevel="0" collapsed="false">
      <c r="A1672" s="2" t="s">
        <v>416</v>
      </c>
      <c r="B1672" s="2" t="s">
        <v>420</v>
      </c>
      <c r="C1672" s="2" t="n">
        <v>2</v>
      </c>
      <c r="D1672" s="2" t="s">
        <v>558</v>
      </c>
      <c r="E1672" s="2" t="s">
        <v>4</v>
      </c>
      <c r="F1672" s="2" t="n">
        <v>47</v>
      </c>
      <c r="G1672" s="2" t="n">
        <v>22</v>
      </c>
    </row>
    <row r="1673" customFormat="false" ht="16.5" hidden="false" customHeight="true" outlineLevel="0" collapsed="false">
      <c r="A1673" s="2" t="s">
        <v>416</v>
      </c>
      <c r="B1673" s="2" t="s">
        <v>420</v>
      </c>
      <c r="C1673" s="2" t="n">
        <v>2</v>
      </c>
      <c r="D1673" s="2" t="s">
        <v>558</v>
      </c>
      <c r="E1673" s="2" t="s">
        <v>5</v>
      </c>
      <c r="F1673" s="2" t="n">
        <v>47</v>
      </c>
      <c r="G1673" s="2" t="n">
        <v>26</v>
      </c>
    </row>
    <row r="1674" customFormat="false" ht="16.5" hidden="false" customHeight="true" outlineLevel="0" collapsed="false">
      <c r="A1674" s="2" t="s">
        <v>416</v>
      </c>
      <c r="B1674" s="2" t="s">
        <v>420</v>
      </c>
      <c r="C1674" s="2" t="n">
        <v>2</v>
      </c>
      <c r="D1674" s="2" t="s">
        <v>558</v>
      </c>
      <c r="E1674" s="2" t="s">
        <v>6</v>
      </c>
      <c r="F1674" s="2" t="n">
        <v>47</v>
      </c>
      <c r="G1674" s="2" t="n">
        <v>30</v>
      </c>
    </row>
    <row r="1675" customFormat="false" ht="16.5" hidden="false" customHeight="true" outlineLevel="0" collapsed="false">
      <c r="A1675" s="2" t="s">
        <v>416</v>
      </c>
      <c r="B1675" s="2" t="s">
        <v>420</v>
      </c>
      <c r="C1675" s="2" t="n">
        <v>2</v>
      </c>
      <c r="D1675" s="2" t="s">
        <v>558</v>
      </c>
      <c r="E1675" s="2" t="s">
        <v>7</v>
      </c>
      <c r="F1675" s="2" t="n">
        <v>47</v>
      </c>
      <c r="G1675" s="2" t="n">
        <v>34</v>
      </c>
    </row>
    <row r="1676" customFormat="false" ht="16.5" hidden="false" customHeight="true" outlineLevel="0" collapsed="false">
      <c r="A1676" s="2" t="s">
        <v>416</v>
      </c>
      <c r="B1676" s="2" t="s">
        <v>420</v>
      </c>
      <c r="C1676" s="2" t="n">
        <v>2</v>
      </c>
      <c r="D1676" s="2" t="s">
        <v>558</v>
      </c>
      <c r="E1676" s="2" t="s">
        <v>8</v>
      </c>
      <c r="F1676" s="2" t="n">
        <v>47</v>
      </c>
      <c r="G1676" s="2" t="n">
        <v>38</v>
      </c>
    </row>
    <row r="1677" customFormat="false" ht="16.5" hidden="false" customHeight="true" outlineLevel="0" collapsed="false">
      <c r="A1677" s="2" t="s">
        <v>416</v>
      </c>
      <c r="B1677" s="2" t="s">
        <v>420</v>
      </c>
      <c r="C1677" s="2" t="n">
        <v>2</v>
      </c>
      <c r="D1677" s="2" t="s">
        <v>558</v>
      </c>
      <c r="E1677" s="2" t="s">
        <v>9</v>
      </c>
      <c r="F1677" s="2" t="n">
        <v>47</v>
      </c>
      <c r="G1677" s="2" t="n">
        <v>42</v>
      </c>
    </row>
    <row r="1678" customFormat="false" ht="16.5" hidden="false" customHeight="true" outlineLevel="0" collapsed="false">
      <c r="A1678" s="2" t="s">
        <v>416</v>
      </c>
      <c r="B1678" s="2" t="s">
        <v>420</v>
      </c>
      <c r="C1678" s="2" t="n">
        <v>2</v>
      </c>
      <c r="D1678" s="2" t="s">
        <v>558</v>
      </c>
      <c r="E1678" s="2" t="s">
        <v>10</v>
      </c>
      <c r="F1678" s="2" t="n">
        <v>47</v>
      </c>
      <c r="G1678" s="2" t="n">
        <v>46</v>
      </c>
    </row>
    <row r="1679" customFormat="false" ht="16.5" hidden="false" customHeight="true" outlineLevel="0" collapsed="false">
      <c r="A1679" s="2" t="s">
        <v>416</v>
      </c>
      <c r="B1679" s="2" t="s">
        <v>420</v>
      </c>
      <c r="C1679" s="2" t="n">
        <v>2</v>
      </c>
      <c r="D1679" s="2" t="s">
        <v>558</v>
      </c>
      <c r="E1679" s="2" t="s">
        <v>11</v>
      </c>
      <c r="F1679" s="2" t="n">
        <v>47</v>
      </c>
      <c r="G1679" s="2" t="n">
        <v>50</v>
      </c>
    </row>
    <row r="1680" customFormat="false" ht="16.5" hidden="false" customHeight="true" outlineLevel="0" collapsed="false">
      <c r="A1680" s="2" t="s">
        <v>416</v>
      </c>
      <c r="B1680" s="2" t="s">
        <v>420</v>
      </c>
      <c r="C1680" s="2" t="n">
        <v>2</v>
      </c>
      <c r="D1680" s="2" t="s">
        <v>558</v>
      </c>
      <c r="E1680" s="2" t="s">
        <v>12</v>
      </c>
      <c r="F1680" s="2" t="n">
        <v>49</v>
      </c>
      <c r="G1680" s="2" t="n">
        <v>8</v>
      </c>
    </row>
    <row r="1681" customFormat="false" ht="16.5" hidden="false" customHeight="true" outlineLevel="0" collapsed="false">
      <c r="A1681" s="2" t="s">
        <v>416</v>
      </c>
      <c r="B1681" s="2" t="s">
        <v>420</v>
      </c>
      <c r="C1681" s="2" t="n">
        <v>2</v>
      </c>
      <c r="D1681" s="2" t="s">
        <v>558</v>
      </c>
      <c r="E1681" s="2" t="s">
        <v>13</v>
      </c>
      <c r="F1681" s="2" t="n">
        <v>49</v>
      </c>
      <c r="G1681" s="2" t="n">
        <v>12</v>
      </c>
    </row>
    <row r="1682" customFormat="false" ht="16.5" hidden="false" customHeight="true" outlineLevel="0" collapsed="false">
      <c r="A1682" s="2" t="s">
        <v>416</v>
      </c>
      <c r="B1682" s="2" t="s">
        <v>420</v>
      </c>
      <c r="C1682" s="2" t="n">
        <v>2</v>
      </c>
      <c r="D1682" s="2" t="s">
        <v>558</v>
      </c>
      <c r="E1682" s="2" t="s">
        <v>14</v>
      </c>
      <c r="F1682" s="2" t="n">
        <v>49</v>
      </c>
      <c r="G1682" s="2" t="n">
        <v>16</v>
      </c>
    </row>
    <row r="1683" customFormat="false" ht="16.5" hidden="false" customHeight="true" outlineLevel="0" collapsed="false">
      <c r="A1683" s="2" t="s">
        <v>416</v>
      </c>
      <c r="B1683" s="2" t="s">
        <v>420</v>
      </c>
      <c r="C1683" s="2" t="n">
        <v>2</v>
      </c>
      <c r="D1683" s="2" t="s">
        <v>558</v>
      </c>
      <c r="E1683" s="2" t="s">
        <v>15</v>
      </c>
      <c r="F1683" s="2" t="n">
        <v>49</v>
      </c>
      <c r="G1683" s="2" t="n">
        <v>20</v>
      </c>
    </row>
    <row r="1684" customFormat="false" ht="16.5" hidden="false" customHeight="true" outlineLevel="0" collapsed="false">
      <c r="A1684" s="2" t="s">
        <v>416</v>
      </c>
      <c r="B1684" s="2" t="s">
        <v>420</v>
      </c>
      <c r="C1684" s="2" t="n">
        <v>2</v>
      </c>
      <c r="D1684" s="2" t="s">
        <v>558</v>
      </c>
      <c r="E1684" s="2" t="s">
        <v>16</v>
      </c>
      <c r="F1684" s="2" t="n">
        <v>49</v>
      </c>
      <c r="G1684" s="2" t="n">
        <v>24</v>
      </c>
    </row>
    <row r="1685" customFormat="false" ht="16.5" hidden="false" customHeight="true" outlineLevel="0" collapsed="false">
      <c r="A1685" s="2" t="s">
        <v>416</v>
      </c>
      <c r="B1685" s="2" t="s">
        <v>420</v>
      </c>
      <c r="C1685" s="2" t="n">
        <v>2</v>
      </c>
      <c r="D1685" s="2" t="s">
        <v>558</v>
      </c>
      <c r="E1685" s="2" t="s">
        <v>17</v>
      </c>
      <c r="F1685" s="2" t="n">
        <v>49</v>
      </c>
      <c r="G1685" s="2" t="n">
        <v>28</v>
      </c>
    </row>
    <row r="1686" customFormat="false" ht="16.5" hidden="false" customHeight="true" outlineLevel="0" collapsed="false">
      <c r="A1686" s="2" t="s">
        <v>416</v>
      </c>
      <c r="B1686" s="2" t="s">
        <v>420</v>
      </c>
      <c r="C1686" s="2" t="n">
        <v>2</v>
      </c>
      <c r="D1686" s="2" t="s">
        <v>558</v>
      </c>
      <c r="E1686" s="2" t="s">
        <v>18</v>
      </c>
      <c r="F1686" s="2" t="n">
        <v>49</v>
      </c>
      <c r="G1686" s="2" t="n">
        <v>32</v>
      </c>
    </row>
    <row r="1687" customFormat="false" ht="16.5" hidden="false" customHeight="true" outlineLevel="0" collapsed="false">
      <c r="A1687" s="2" t="s">
        <v>416</v>
      </c>
      <c r="B1687" s="2" t="s">
        <v>420</v>
      </c>
      <c r="C1687" s="2" t="n">
        <v>2</v>
      </c>
      <c r="D1687" s="2" t="s">
        <v>558</v>
      </c>
      <c r="E1687" s="2" t="s">
        <v>19</v>
      </c>
      <c r="F1687" s="2" t="n">
        <v>49</v>
      </c>
      <c r="G1687" s="2" t="n">
        <v>36</v>
      </c>
    </row>
    <row r="1688" customFormat="false" ht="16.5" hidden="false" customHeight="true" outlineLevel="0" collapsed="false">
      <c r="A1688" s="2" t="s">
        <v>416</v>
      </c>
      <c r="B1688" s="2" t="s">
        <v>420</v>
      </c>
      <c r="C1688" s="2" t="n">
        <v>2</v>
      </c>
      <c r="D1688" s="2" t="s">
        <v>558</v>
      </c>
      <c r="E1688" s="2" t="s">
        <v>20</v>
      </c>
      <c r="F1688" s="2" t="n">
        <v>49</v>
      </c>
      <c r="G1688" s="2" t="n">
        <v>40</v>
      </c>
    </row>
    <row r="1689" customFormat="false" ht="16.5" hidden="false" customHeight="true" outlineLevel="0" collapsed="false">
      <c r="A1689" s="2" t="s">
        <v>416</v>
      </c>
      <c r="B1689" s="2" t="s">
        <v>420</v>
      </c>
      <c r="C1689" s="2" t="n">
        <v>2</v>
      </c>
      <c r="D1689" s="2" t="s">
        <v>558</v>
      </c>
      <c r="E1689" s="2" t="s">
        <v>21</v>
      </c>
      <c r="F1689" s="2" t="n">
        <v>49</v>
      </c>
      <c r="G1689" s="2" t="n">
        <v>44</v>
      </c>
    </row>
    <row r="1690" customFormat="false" ht="16.5" hidden="false" customHeight="true" outlineLevel="0" collapsed="false">
      <c r="A1690" s="2" t="s">
        <v>416</v>
      </c>
      <c r="B1690" s="2" t="s">
        <v>420</v>
      </c>
      <c r="C1690" s="2" t="n">
        <v>2</v>
      </c>
      <c r="D1690" s="2" t="s">
        <v>558</v>
      </c>
      <c r="E1690" s="2" t="s">
        <v>22</v>
      </c>
      <c r="F1690" s="2" t="n">
        <v>49</v>
      </c>
      <c r="G1690" s="2" t="n">
        <v>48</v>
      </c>
    </row>
    <row r="1691" customFormat="false" ht="16.5" hidden="false" customHeight="true" outlineLevel="0" collapsed="false">
      <c r="A1691" s="2" t="s">
        <v>416</v>
      </c>
      <c r="B1691" s="2" t="s">
        <v>420</v>
      </c>
      <c r="C1691" s="2" t="n">
        <v>2</v>
      </c>
      <c r="D1691" s="2" t="s">
        <v>558</v>
      </c>
      <c r="E1691" s="2" t="s">
        <v>23</v>
      </c>
      <c r="F1691" s="2" t="n">
        <v>49</v>
      </c>
      <c r="G1691" s="2" t="n">
        <v>52</v>
      </c>
    </row>
    <row r="1692" customFormat="false" ht="16.5" hidden="false" customHeight="true" outlineLevel="0" collapsed="false">
      <c r="A1692" s="2" t="s">
        <v>416</v>
      </c>
      <c r="B1692" s="2" t="s">
        <v>420</v>
      </c>
      <c r="C1692" s="2" t="n">
        <v>2</v>
      </c>
      <c r="D1692" s="2" t="s">
        <v>558</v>
      </c>
      <c r="E1692" s="2" t="s">
        <v>24</v>
      </c>
      <c r="F1692" s="2" t="n">
        <v>51</v>
      </c>
      <c r="G1692" s="2" t="n">
        <v>9</v>
      </c>
    </row>
    <row r="1693" customFormat="false" ht="16.5" hidden="false" customHeight="true" outlineLevel="0" collapsed="false">
      <c r="A1693" s="2" t="s">
        <v>416</v>
      </c>
      <c r="B1693" s="2" t="s">
        <v>420</v>
      </c>
      <c r="C1693" s="2" t="n">
        <v>2</v>
      </c>
      <c r="D1693" s="2" t="s">
        <v>558</v>
      </c>
      <c r="E1693" s="2" t="s">
        <v>25</v>
      </c>
      <c r="F1693" s="2" t="n">
        <v>51</v>
      </c>
      <c r="G1693" s="2" t="n">
        <v>13</v>
      </c>
    </row>
    <row r="1694" customFormat="false" ht="16.5" hidden="false" customHeight="true" outlineLevel="0" collapsed="false">
      <c r="A1694" s="2" t="s">
        <v>416</v>
      </c>
      <c r="B1694" s="2" t="s">
        <v>420</v>
      </c>
      <c r="C1694" s="2" t="n">
        <v>2</v>
      </c>
      <c r="D1694" s="2" t="s">
        <v>558</v>
      </c>
      <c r="E1694" s="2" t="s">
        <v>26</v>
      </c>
      <c r="F1694" s="2" t="n">
        <v>51</v>
      </c>
      <c r="G1694" s="2" t="n">
        <v>17</v>
      </c>
    </row>
    <row r="1695" customFormat="false" ht="16.5" hidden="false" customHeight="true" outlineLevel="0" collapsed="false">
      <c r="A1695" s="2" t="s">
        <v>416</v>
      </c>
      <c r="B1695" s="2" t="s">
        <v>420</v>
      </c>
      <c r="C1695" s="2" t="n">
        <v>2</v>
      </c>
      <c r="D1695" s="2" t="s">
        <v>558</v>
      </c>
      <c r="E1695" s="2" t="s">
        <v>27</v>
      </c>
      <c r="F1695" s="2" t="n">
        <v>51</v>
      </c>
      <c r="G1695" s="2" t="n">
        <v>21</v>
      </c>
    </row>
    <row r="1696" customFormat="false" ht="16.5" hidden="false" customHeight="true" outlineLevel="0" collapsed="false">
      <c r="A1696" s="2" t="s">
        <v>416</v>
      </c>
      <c r="B1696" s="2" t="s">
        <v>420</v>
      </c>
      <c r="C1696" s="2" t="n">
        <v>2</v>
      </c>
      <c r="D1696" s="2" t="s">
        <v>558</v>
      </c>
      <c r="E1696" s="2" t="s">
        <v>28</v>
      </c>
      <c r="F1696" s="2" t="n">
        <v>51</v>
      </c>
      <c r="G1696" s="2" t="n">
        <v>25</v>
      </c>
    </row>
    <row r="1697" customFormat="false" ht="16.5" hidden="false" customHeight="true" outlineLevel="0" collapsed="false">
      <c r="A1697" s="2" t="s">
        <v>416</v>
      </c>
      <c r="B1697" s="2" t="s">
        <v>420</v>
      </c>
      <c r="C1697" s="2" t="n">
        <v>2</v>
      </c>
      <c r="D1697" s="2" t="s">
        <v>558</v>
      </c>
      <c r="E1697" s="2" t="s">
        <v>29</v>
      </c>
      <c r="F1697" s="2" t="n">
        <v>51</v>
      </c>
      <c r="G1697" s="2" t="n">
        <v>29</v>
      </c>
    </row>
    <row r="1698" customFormat="false" ht="16.5" hidden="false" customHeight="true" outlineLevel="0" collapsed="false">
      <c r="A1698" s="2" t="s">
        <v>416</v>
      </c>
      <c r="B1698" s="2" t="s">
        <v>420</v>
      </c>
      <c r="C1698" s="2" t="n">
        <v>2</v>
      </c>
      <c r="D1698" s="2" t="s">
        <v>558</v>
      </c>
      <c r="E1698" s="2" t="s">
        <v>30</v>
      </c>
      <c r="F1698" s="2" t="n">
        <v>51</v>
      </c>
      <c r="G1698" s="2" t="n">
        <v>33</v>
      </c>
    </row>
    <row r="1699" customFormat="false" ht="16.5" hidden="false" customHeight="true" outlineLevel="0" collapsed="false">
      <c r="A1699" s="2" t="s">
        <v>416</v>
      </c>
      <c r="B1699" s="2" t="s">
        <v>420</v>
      </c>
      <c r="C1699" s="2" t="n">
        <v>2</v>
      </c>
      <c r="D1699" s="2" t="s">
        <v>558</v>
      </c>
      <c r="E1699" s="2" t="s">
        <v>31</v>
      </c>
      <c r="F1699" s="2" t="n">
        <v>51</v>
      </c>
      <c r="G1699" s="2" t="n">
        <v>37</v>
      </c>
    </row>
    <row r="1700" customFormat="false" ht="16.5" hidden="false" customHeight="true" outlineLevel="0" collapsed="false">
      <c r="A1700" s="2" t="s">
        <v>416</v>
      </c>
      <c r="B1700" s="2" t="s">
        <v>420</v>
      </c>
      <c r="C1700" s="2" t="n">
        <v>2</v>
      </c>
      <c r="D1700" s="2" t="s">
        <v>558</v>
      </c>
      <c r="E1700" s="2" t="s">
        <v>32</v>
      </c>
      <c r="F1700" s="2" t="n">
        <v>51</v>
      </c>
      <c r="G1700" s="2" t="n">
        <v>41</v>
      </c>
    </row>
    <row r="1701" customFormat="false" ht="16.5" hidden="false" customHeight="true" outlineLevel="0" collapsed="false">
      <c r="A1701" s="2" t="s">
        <v>416</v>
      </c>
      <c r="B1701" s="2" t="s">
        <v>420</v>
      </c>
      <c r="C1701" s="2" t="n">
        <v>2</v>
      </c>
      <c r="D1701" s="2" t="s">
        <v>558</v>
      </c>
      <c r="E1701" s="2" t="s">
        <v>33</v>
      </c>
      <c r="F1701" s="2" t="n">
        <v>51</v>
      </c>
      <c r="G1701" s="2" t="n">
        <v>45</v>
      </c>
    </row>
    <row r="1702" customFormat="false" ht="16.5" hidden="false" customHeight="true" outlineLevel="0" collapsed="false">
      <c r="A1702" s="2" t="s">
        <v>416</v>
      </c>
      <c r="B1702" s="2" t="s">
        <v>420</v>
      </c>
      <c r="C1702" s="2" t="n">
        <v>2</v>
      </c>
      <c r="D1702" s="2" t="s">
        <v>558</v>
      </c>
      <c r="E1702" s="2" t="s">
        <v>34</v>
      </c>
      <c r="F1702" s="2" t="n">
        <v>51</v>
      </c>
      <c r="G1702" s="2" t="n">
        <v>49</v>
      </c>
    </row>
    <row r="1703" customFormat="false" ht="16.5" hidden="false" customHeight="true" outlineLevel="0" collapsed="false">
      <c r="A1703" s="2" t="s">
        <v>416</v>
      </c>
      <c r="B1703" s="2" t="s">
        <v>420</v>
      </c>
      <c r="C1703" s="2" t="n">
        <v>2</v>
      </c>
      <c r="D1703" s="2" t="s">
        <v>558</v>
      </c>
      <c r="E1703" s="2" t="s">
        <v>35</v>
      </c>
      <c r="F1703" s="2" t="n">
        <v>53</v>
      </c>
      <c r="G1703" s="2" t="n">
        <v>11</v>
      </c>
    </row>
    <row r="1704" customFormat="false" ht="16.5" hidden="false" customHeight="true" outlineLevel="0" collapsed="false">
      <c r="A1704" s="2" t="s">
        <v>416</v>
      </c>
      <c r="B1704" s="2" t="s">
        <v>420</v>
      </c>
      <c r="C1704" s="2" t="n">
        <v>2</v>
      </c>
      <c r="D1704" s="2" t="s">
        <v>558</v>
      </c>
      <c r="E1704" s="2" t="s">
        <v>36</v>
      </c>
      <c r="F1704" s="2" t="n">
        <v>53</v>
      </c>
      <c r="G1704" s="2" t="n">
        <v>15</v>
      </c>
    </row>
    <row r="1705" customFormat="false" ht="16.5" hidden="false" customHeight="true" outlineLevel="0" collapsed="false">
      <c r="A1705" s="2" t="s">
        <v>416</v>
      </c>
      <c r="B1705" s="2" t="s">
        <v>420</v>
      </c>
      <c r="C1705" s="2" t="n">
        <v>2</v>
      </c>
      <c r="D1705" s="2" t="s">
        <v>558</v>
      </c>
      <c r="E1705" s="2" t="s">
        <v>37</v>
      </c>
      <c r="F1705" s="2" t="n">
        <v>53</v>
      </c>
      <c r="G1705" s="2" t="n">
        <v>19</v>
      </c>
    </row>
    <row r="1706" customFormat="false" ht="16.5" hidden="false" customHeight="true" outlineLevel="0" collapsed="false">
      <c r="A1706" s="2" t="s">
        <v>416</v>
      </c>
      <c r="B1706" s="2" t="s">
        <v>420</v>
      </c>
      <c r="C1706" s="2" t="n">
        <v>2</v>
      </c>
      <c r="D1706" s="2" t="s">
        <v>558</v>
      </c>
      <c r="E1706" s="2" t="s">
        <v>38</v>
      </c>
      <c r="F1706" s="2" t="n">
        <v>53</v>
      </c>
      <c r="G1706" s="2" t="n">
        <v>23</v>
      </c>
    </row>
    <row r="1707" customFormat="false" ht="16.5" hidden="false" customHeight="true" outlineLevel="0" collapsed="false">
      <c r="A1707" s="2" t="s">
        <v>416</v>
      </c>
      <c r="B1707" s="2" t="s">
        <v>420</v>
      </c>
      <c r="C1707" s="2" t="n">
        <v>2</v>
      </c>
      <c r="D1707" s="2" t="s">
        <v>558</v>
      </c>
      <c r="E1707" s="2" t="s">
        <v>39</v>
      </c>
      <c r="F1707" s="2" t="n">
        <v>53</v>
      </c>
      <c r="G1707" s="2" t="n">
        <v>27</v>
      </c>
    </row>
    <row r="1708" customFormat="false" ht="16.5" hidden="false" customHeight="true" outlineLevel="0" collapsed="false">
      <c r="A1708" s="2" t="s">
        <v>416</v>
      </c>
      <c r="B1708" s="2" t="s">
        <v>420</v>
      </c>
      <c r="C1708" s="2" t="n">
        <v>2</v>
      </c>
      <c r="D1708" s="2" t="s">
        <v>558</v>
      </c>
      <c r="E1708" s="2" t="s">
        <v>40</v>
      </c>
      <c r="F1708" s="2" t="n">
        <v>53</v>
      </c>
      <c r="G1708" s="2" t="n">
        <v>31</v>
      </c>
    </row>
    <row r="1709" customFormat="false" ht="16.5" hidden="false" customHeight="true" outlineLevel="0" collapsed="false">
      <c r="A1709" s="2" t="s">
        <v>416</v>
      </c>
      <c r="B1709" s="2" t="s">
        <v>420</v>
      </c>
      <c r="C1709" s="2" t="n">
        <v>2</v>
      </c>
      <c r="D1709" s="2" t="s">
        <v>558</v>
      </c>
      <c r="E1709" s="2" t="s">
        <v>41</v>
      </c>
      <c r="F1709" s="2" t="n">
        <v>53</v>
      </c>
      <c r="G1709" s="2" t="n">
        <v>35</v>
      </c>
    </row>
    <row r="1710" customFormat="false" ht="16.5" hidden="false" customHeight="true" outlineLevel="0" collapsed="false">
      <c r="A1710" s="2" t="s">
        <v>416</v>
      </c>
      <c r="B1710" s="2" t="s">
        <v>420</v>
      </c>
      <c r="C1710" s="2" t="n">
        <v>2</v>
      </c>
      <c r="D1710" s="2" t="s">
        <v>558</v>
      </c>
      <c r="E1710" s="2" t="s">
        <v>42</v>
      </c>
      <c r="F1710" s="2" t="n">
        <v>53</v>
      </c>
      <c r="G1710" s="2" t="n">
        <v>39</v>
      </c>
    </row>
    <row r="1711" customFormat="false" ht="16.5" hidden="false" customHeight="true" outlineLevel="0" collapsed="false">
      <c r="A1711" s="2" t="s">
        <v>416</v>
      </c>
      <c r="B1711" s="2" t="s">
        <v>420</v>
      </c>
      <c r="C1711" s="2" t="n">
        <v>2</v>
      </c>
      <c r="D1711" s="2" t="s">
        <v>558</v>
      </c>
      <c r="E1711" s="2" t="s">
        <v>43</v>
      </c>
      <c r="F1711" s="2" t="n">
        <v>53</v>
      </c>
      <c r="G1711" s="2" t="n">
        <v>43</v>
      </c>
    </row>
    <row r="1712" customFormat="false" ht="16.5" hidden="false" customHeight="true" outlineLevel="0" collapsed="false">
      <c r="A1712" s="2" t="s">
        <v>416</v>
      </c>
      <c r="B1712" s="2" t="s">
        <v>420</v>
      </c>
      <c r="C1712" s="2" t="n">
        <v>2</v>
      </c>
      <c r="D1712" s="2" t="s">
        <v>558</v>
      </c>
      <c r="E1712" s="2" t="s">
        <v>44</v>
      </c>
      <c r="F1712" s="2" t="n">
        <v>53</v>
      </c>
      <c r="G1712" s="2" t="n">
        <v>47</v>
      </c>
    </row>
    <row r="1713" customFormat="false" ht="16.5" hidden="false" customHeight="true" outlineLevel="0" collapsed="false">
      <c r="A1713" s="2" t="s">
        <v>416</v>
      </c>
      <c r="B1713" s="2" t="s">
        <v>420</v>
      </c>
      <c r="C1713" s="2" t="n">
        <v>2</v>
      </c>
      <c r="D1713" s="2" t="s">
        <v>558</v>
      </c>
      <c r="E1713" s="2" t="s">
        <v>48</v>
      </c>
      <c r="F1713" s="2" t="n">
        <v>55</v>
      </c>
      <c r="G1713" s="2" t="n">
        <v>16</v>
      </c>
    </row>
    <row r="1714" customFormat="false" ht="16.5" hidden="false" customHeight="true" outlineLevel="0" collapsed="false">
      <c r="A1714" s="2" t="s">
        <v>416</v>
      </c>
      <c r="B1714" s="2" t="s">
        <v>420</v>
      </c>
      <c r="C1714" s="2" t="n">
        <v>2</v>
      </c>
      <c r="D1714" s="2" t="s">
        <v>558</v>
      </c>
      <c r="E1714" s="2" t="s">
        <v>50</v>
      </c>
      <c r="F1714" s="2" t="n">
        <v>55</v>
      </c>
      <c r="G1714" s="2" t="n">
        <v>20</v>
      </c>
    </row>
    <row r="1715" customFormat="false" ht="16.5" hidden="false" customHeight="true" outlineLevel="0" collapsed="false">
      <c r="A1715" s="2" t="s">
        <v>416</v>
      </c>
      <c r="B1715" s="2" t="s">
        <v>420</v>
      </c>
      <c r="C1715" s="2" t="n">
        <v>2</v>
      </c>
      <c r="D1715" s="2" t="s">
        <v>558</v>
      </c>
      <c r="E1715" s="2" t="s">
        <v>45</v>
      </c>
      <c r="F1715" s="2" t="n">
        <v>55</v>
      </c>
      <c r="G1715" s="2" t="n">
        <v>38</v>
      </c>
    </row>
    <row r="1716" customFormat="false" ht="16.5" hidden="false" customHeight="true" outlineLevel="0" collapsed="false">
      <c r="A1716" s="2" t="s">
        <v>416</v>
      </c>
      <c r="B1716" s="2" t="s">
        <v>420</v>
      </c>
      <c r="C1716" s="2" t="n">
        <v>2</v>
      </c>
      <c r="D1716" s="2" t="s">
        <v>558</v>
      </c>
      <c r="E1716" s="2" t="s">
        <v>46</v>
      </c>
      <c r="F1716" s="2" t="n">
        <v>55</v>
      </c>
      <c r="G1716" s="2" t="n">
        <v>42</v>
      </c>
    </row>
    <row r="1717" customFormat="false" ht="16.5" hidden="false" customHeight="true" outlineLevel="0" collapsed="false">
      <c r="A1717" s="2" t="s">
        <v>416</v>
      </c>
      <c r="B1717" s="2" t="s">
        <v>421</v>
      </c>
      <c r="C1717" s="2" t="n">
        <v>2</v>
      </c>
      <c r="D1717" s="2" t="s">
        <v>559</v>
      </c>
      <c r="E1717" s="2" t="s">
        <v>0</v>
      </c>
      <c r="F1717" s="2" t="n">
        <v>60</v>
      </c>
      <c r="G1717" s="2" t="n">
        <v>6</v>
      </c>
    </row>
    <row r="1718" customFormat="false" ht="16.5" hidden="false" customHeight="true" outlineLevel="0" collapsed="false">
      <c r="A1718" s="2" t="s">
        <v>416</v>
      </c>
      <c r="B1718" s="2" t="s">
        <v>421</v>
      </c>
      <c r="C1718" s="2" t="n">
        <v>2</v>
      </c>
      <c r="D1718" s="2" t="s">
        <v>559</v>
      </c>
      <c r="E1718" s="2" t="s">
        <v>1</v>
      </c>
      <c r="F1718" s="2" t="n">
        <v>60</v>
      </c>
      <c r="G1718" s="2" t="n">
        <v>10</v>
      </c>
    </row>
    <row r="1719" customFormat="false" ht="16.5" hidden="false" customHeight="true" outlineLevel="0" collapsed="false">
      <c r="A1719" s="2" t="s">
        <v>416</v>
      </c>
      <c r="B1719" s="2" t="s">
        <v>421</v>
      </c>
      <c r="C1719" s="2" t="n">
        <v>2</v>
      </c>
      <c r="D1719" s="2" t="s">
        <v>559</v>
      </c>
      <c r="E1719" s="2" t="s">
        <v>2</v>
      </c>
      <c r="F1719" s="2" t="n">
        <v>60</v>
      </c>
      <c r="G1719" s="2" t="n">
        <v>14</v>
      </c>
    </row>
    <row r="1720" customFormat="false" ht="16.5" hidden="false" customHeight="true" outlineLevel="0" collapsed="false">
      <c r="A1720" s="2" t="s">
        <v>416</v>
      </c>
      <c r="B1720" s="2" t="s">
        <v>421</v>
      </c>
      <c r="C1720" s="2" t="n">
        <v>2</v>
      </c>
      <c r="D1720" s="2" t="s">
        <v>559</v>
      </c>
      <c r="E1720" s="2" t="s">
        <v>3</v>
      </c>
      <c r="F1720" s="2" t="n">
        <v>60</v>
      </c>
      <c r="G1720" s="2" t="n">
        <v>18</v>
      </c>
    </row>
    <row r="1721" customFormat="false" ht="16.5" hidden="false" customHeight="true" outlineLevel="0" collapsed="false">
      <c r="A1721" s="2" t="s">
        <v>416</v>
      </c>
      <c r="B1721" s="2" t="s">
        <v>421</v>
      </c>
      <c r="C1721" s="2" t="n">
        <v>2</v>
      </c>
      <c r="D1721" s="2" t="s">
        <v>559</v>
      </c>
      <c r="E1721" s="2" t="s">
        <v>4</v>
      </c>
      <c r="F1721" s="2" t="n">
        <v>60</v>
      </c>
      <c r="G1721" s="2" t="n">
        <v>22</v>
      </c>
    </row>
    <row r="1722" customFormat="false" ht="16.5" hidden="false" customHeight="true" outlineLevel="0" collapsed="false">
      <c r="A1722" s="2" t="s">
        <v>416</v>
      </c>
      <c r="B1722" s="2" t="s">
        <v>421</v>
      </c>
      <c r="C1722" s="2" t="n">
        <v>2</v>
      </c>
      <c r="D1722" s="2" t="s">
        <v>559</v>
      </c>
      <c r="E1722" s="2" t="s">
        <v>5</v>
      </c>
      <c r="F1722" s="2" t="n">
        <v>60</v>
      </c>
      <c r="G1722" s="2" t="n">
        <v>26</v>
      </c>
    </row>
    <row r="1723" customFormat="false" ht="16.5" hidden="false" customHeight="true" outlineLevel="0" collapsed="false">
      <c r="A1723" s="2" t="s">
        <v>416</v>
      </c>
      <c r="B1723" s="2" t="s">
        <v>421</v>
      </c>
      <c r="C1723" s="2" t="n">
        <v>2</v>
      </c>
      <c r="D1723" s="2" t="s">
        <v>559</v>
      </c>
      <c r="E1723" s="2" t="s">
        <v>6</v>
      </c>
      <c r="F1723" s="2" t="n">
        <v>60</v>
      </c>
      <c r="G1723" s="2" t="n">
        <v>30</v>
      </c>
    </row>
    <row r="1724" customFormat="false" ht="16.5" hidden="false" customHeight="true" outlineLevel="0" collapsed="false">
      <c r="A1724" s="2" t="s">
        <v>416</v>
      </c>
      <c r="B1724" s="2" t="s">
        <v>421</v>
      </c>
      <c r="C1724" s="2" t="n">
        <v>2</v>
      </c>
      <c r="D1724" s="2" t="s">
        <v>559</v>
      </c>
      <c r="E1724" s="2" t="s">
        <v>7</v>
      </c>
      <c r="F1724" s="2" t="n">
        <v>60</v>
      </c>
      <c r="G1724" s="2" t="n">
        <v>34</v>
      </c>
    </row>
    <row r="1725" customFormat="false" ht="16.5" hidden="false" customHeight="true" outlineLevel="0" collapsed="false">
      <c r="A1725" s="2" t="s">
        <v>416</v>
      </c>
      <c r="B1725" s="2" t="s">
        <v>421</v>
      </c>
      <c r="C1725" s="2" t="n">
        <v>2</v>
      </c>
      <c r="D1725" s="2" t="s">
        <v>559</v>
      </c>
      <c r="E1725" s="2" t="s">
        <v>8</v>
      </c>
      <c r="F1725" s="2" t="n">
        <v>60</v>
      </c>
      <c r="G1725" s="2" t="n">
        <v>38</v>
      </c>
    </row>
    <row r="1726" customFormat="false" ht="16.5" hidden="false" customHeight="true" outlineLevel="0" collapsed="false">
      <c r="A1726" s="2" t="s">
        <v>416</v>
      </c>
      <c r="B1726" s="2" t="s">
        <v>421</v>
      </c>
      <c r="C1726" s="2" t="n">
        <v>2</v>
      </c>
      <c r="D1726" s="2" t="s">
        <v>559</v>
      </c>
      <c r="E1726" s="2" t="s">
        <v>9</v>
      </c>
      <c r="F1726" s="2" t="n">
        <v>60</v>
      </c>
      <c r="G1726" s="2" t="n">
        <v>42</v>
      </c>
    </row>
    <row r="1727" customFormat="false" ht="16.5" hidden="false" customHeight="true" outlineLevel="0" collapsed="false">
      <c r="A1727" s="2" t="s">
        <v>416</v>
      </c>
      <c r="B1727" s="2" t="s">
        <v>421</v>
      </c>
      <c r="C1727" s="2" t="n">
        <v>2</v>
      </c>
      <c r="D1727" s="2" t="s">
        <v>559</v>
      </c>
      <c r="E1727" s="2" t="s">
        <v>10</v>
      </c>
      <c r="F1727" s="2" t="n">
        <v>60</v>
      </c>
      <c r="G1727" s="2" t="n">
        <v>46</v>
      </c>
    </row>
    <row r="1728" customFormat="false" ht="16.5" hidden="false" customHeight="true" outlineLevel="0" collapsed="false">
      <c r="A1728" s="2" t="s">
        <v>416</v>
      </c>
      <c r="B1728" s="2" t="s">
        <v>421</v>
      </c>
      <c r="C1728" s="2" t="n">
        <v>2</v>
      </c>
      <c r="D1728" s="2" t="s">
        <v>559</v>
      </c>
      <c r="E1728" s="2" t="s">
        <v>11</v>
      </c>
      <c r="F1728" s="2" t="n">
        <v>60</v>
      </c>
      <c r="G1728" s="2" t="n">
        <v>50</v>
      </c>
    </row>
    <row r="1729" customFormat="false" ht="16.5" hidden="false" customHeight="true" outlineLevel="0" collapsed="false">
      <c r="A1729" s="2" t="s">
        <v>416</v>
      </c>
      <c r="B1729" s="2" t="s">
        <v>421</v>
      </c>
      <c r="C1729" s="2" t="n">
        <v>2</v>
      </c>
      <c r="D1729" s="2" t="s">
        <v>559</v>
      </c>
      <c r="E1729" s="2" t="s">
        <v>12</v>
      </c>
      <c r="F1729" s="2" t="n">
        <v>62</v>
      </c>
      <c r="G1729" s="2" t="n">
        <v>8</v>
      </c>
    </row>
    <row r="1730" customFormat="false" ht="16.5" hidden="false" customHeight="true" outlineLevel="0" collapsed="false">
      <c r="A1730" s="2" t="s">
        <v>416</v>
      </c>
      <c r="B1730" s="2" t="s">
        <v>421</v>
      </c>
      <c r="C1730" s="2" t="n">
        <v>2</v>
      </c>
      <c r="D1730" s="2" t="s">
        <v>559</v>
      </c>
      <c r="E1730" s="2" t="s">
        <v>13</v>
      </c>
      <c r="F1730" s="2" t="n">
        <v>62</v>
      </c>
      <c r="G1730" s="2" t="n">
        <v>12</v>
      </c>
    </row>
    <row r="1731" customFormat="false" ht="16.5" hidden="false" customHeight="true" outlineLevel="0" collapsed="false">
      <c r="A1731" s="2" t="s">
        <v>416</v>
      </c>
      <c r="B1731" s="2" t="s">
        <v>421</v>
      </c>
      <c r="C1731" s="2" t="n">
        <v>2</v>
      </c>
      <c r="D1731" s="2" t="s">
        <v>559</v>
      </c>
      <c r="E1731" s="2" t="s">
        <v>14</v>
      </c>
      <c r="F1731" s="2" t="n">
        <v>62</v>
      </c>
      <c r="G1731" s="2" t="n">
        <v>16</v>
      </c>
    </row>
    <row r="1732" customFormat="false" ht="16.5" hidden="false" customHeight="true" outlineLevel="0" collapsed="false">
      <c r="A1732" s="2" t="s">
        <v>416</v>
      </c>
      <c r="B1732" s="2" t="s">
        <v>421</v>
      </c>
      <c r="C1732" s="2" t="n">
        <v>2</v>
      </c>
      <c r="D1732" s="2" t="s">
        <v>559</v>
      </c>
      <c r="E1732" s="2" t="s">
        <v>15</v>
      </c>
      <c r="F1732" s="2" t="n">
        <v>62</v>
      </c>
      <c r="G1732" s="2" t="n">
        <v>20</v>
      </c>
    </row>
    <row r="1733" customFormat="false" ht="16.5" hidden="false" customHeight="true" outlineLevel="0" collapsed="false">
      <c r="A1733" s="2" t="s">
        <v>416</v>
      </c>
      <c r="B1733" s="2" t="s">
        <v>421</v>
      </c>
      <c r="C1733" s="2" t="n">
        <v>2</v>
      </c>
      <c r="D1733" s="2" t="s">
        <v>559</v>
      </c>
      <c r="E1733" s="2" t="s">
        <v>16</v>
      </c>
      <c r="F1733" s="2" t="n">
        <v>62</v>
      </c>
      <c r="G1733" s="2" t="n">
        <v>24</v>
      </c>
    </row>
    <row r="1734" customFormat="false" ht="16.5" hidden="false" customHeight="true" outlineLevel="0" collapsed="false">
      <c r="A1734" s="2" t="s">
        <v>416</v>
      </c>
      <c r="B1734" s="2" t="s">
        <v>421</v>
      </c>
      <c r="C1734" s="2" t="n">
        <v>2</v>
      </c>
      <c r="D1734" s="2" t="s">
        <v>559</v>
      </c>
      <c r="E1734" s="2" t="s">
        <v>17</v>
      </c>
      <c r="F1734" s="2" t="n">
        <v>62</v>
      </c>
      <c r="G1734" s="2" t="n">
        <v>28</v>
      </c>
    </row>
    <row r="1735" customFormat="false" ht="16.5" hidden="false" customHeight="true" outlineLevel="0" collapsed="false">
      <c r="A1735" s="2" t="s">
        <v>416</v>
      </c>
      <c r="B1735" s="2" t="s">
        <v>421</v>
      </c>
      <c r="C1735" s="2" t="n">
        <v>2</v>
      </c>
      <c r="D1735" s="2" t="s">
        <v>559</v>
      </c>
      <c r="E1735" s="2" t="s">
        <v>18</v>
      </c>
      <c r="F1735" s="2" t="n">
        <v>62</v>
      </c>
      <c r="G1735" s="2" t="n">
        <v>32</v>
      </c>
    </row>
    <row r="1736" customFormat="false" ht="16.5" hidden="false" customHeight="true" outlineLevel="0" collapsed="false">
      <c r="A1736" s="2" t="s">
        <v>416</v>
      </c>
      <c r="B1736" s="2" t="s">
        <v>421</v>
      </c>
      <c r="C1736" s="2" t="n">
        <v>2</v>
      </c>
      <c r="D1736" s="2" t="s">
        <v>559</v>
      </c>
      <c r="E1736" s="2" t="s">
        <v>19</v>
      </c>
      <c r="F1736" s="2" t="n">
        <v>62</v>
      </c>
      <c r="G1736" s="2" t="n">
        <v>36</v>
      </c>
    </row>
    <row r="1737" customFormat="false" ht="16.5" hidden="false" customHeight="true" outlineLevel="0" collapsed="false">
      <c r="A1737" s="2" t="s">
        <v>416</v>
      </c>
      <c r="B1737" s="2" t="s">
        <v>421</v>
      </c>
      <c r="C1737" s="2" t="n">
        <v>2</v>
      </c>
      <c r="D1737" s="2" t="s">
        <v>559</v>
      </c>
      <c r="E1737" s="2" t="s">
        <v>20</v>
      </c>
      <c r="F1737" s="2" t="n">
        <v>62</v>
      </c>
      <c r="G1737" s="2" t="n">
        <v>40</v>
      </c>
    </row>
    <row r="1738" customFormat="false" ht="16.5" hidden="false" customHeight="true" outlineLevel="0" collapsed="false">
      <c r="A1738" s="2" t="s">
        <v>416</v>
      </c>
      <c r="B1738" s="2" t="s">
        <v>421</v>
      </c>
      <c r="C1738" s="2" t="n">
        <v>2</v>
      </c>
      <c r="D1738" s="2" t="s">
        <v>559</v>
      </c>
      <c r="E1738" s="2" t="s">
        <v>21</v>
      </c>
      <c r="F1738" s="2" t="n">
        <v>62</v>
      </c>
      <c r="G1738" s="2" t="n">
        <v>44</v>
      </c>
    </row>
    <row r="1739" customFormat="false" ht="16.5" hidden="false" customHeight="true" outlineLevel="0" collapsed="false">
      <c r="A1739" s="2" t="s">
        <v>416</v>
      </c>
      <c r="B1739" s="2" t="s">
        <v>421</v>
      </c>
      <c r="C1739" s="2" t="n">
        <v>2</v>
      </c>
      <c r="D1739" s="2" t="s">
        <v>559</v>
      </c>
      <c r="E1739" s="2" t="s">
        <v>22</v>
      </c>
      <c r="F1739" s="2" t="n">
        <v>62</v>
      </c>
      <c r="G1739" s="2" t="n">
        <v>48</v>
      </c>
    </row>
    <row r="1740" customFormat="false" ht="16.5" hidden="false" customHeight="true" outlineLevel="0" collapsed="false">
      <c r="A1740" s="2" t="s">
        <v>416</v>
      </c>
      <c r="B1740" s="2" t="s">
        <v>421</v>
      </c>
      <c r="C1740" s="2" t="n">
        <v>2</v>
      </c>
      <c r="D1740" s="2" t="s">
        <v>559</v>
      </c>
      <c r="E1740" s="2" t="s">
        <v>23</v>
      </c>
      <c r="F1740" s="2" t="n">
        <v>62</v>
      </c>
      <c r="G1740" s="2" t="n">
        <v>52</v>
      </c>
    </row>
    <row r="1741" customFormat="false" ht="16.5" hidden="false" customHeight="true" outlineLevel="0" collapsed="false">
      <c r="A1741" s="2" t="s">
        <v>416</v>
      </c>
      <c r="B1741" s="2" t="s">
        <v>421</v>
      </c>
      <c r="C1741" s="2" t="n">
        <v>2</v>
      </c>
      <c r="D1741" s="2" t="s">
        <v>559</v>
      </c>
      <c r="E1741" s="2" t="s">
        <v>24</v>
      </c>
      <c r="F1741" s="2" t="n">
        <v>64</v>
      </c>
      <c r="G1741" s="2" t="n">
        <v>9</v>
      </c>
    </row>
    <row r="1742" customFormat="false" ht="16.5" hidden="false" customHeight="true" outlineLevel="0" collapsed="false">
      <c r="A1742" s="2" t="s">
        <v>416</v>
      </c>
      <c r="B1742" s="2" t="s">
        <v>421</v>
      </c>
      <c r="C1742" s="2" t="n">
        <v>2</v>
      </c>
      <c r="D1742" s="2" t="s">
        <v>559</v>
      </c>
      <c r="E1742" s="2" t="s">
        <v>25</v>
      </c>
      <c r="F1742" s="2" t="n">
        <v>64</v>
      </c>
      <c r="G1742" s="2" t="n">
        <v>13</v>
      </c>
    </row>
    <row r="1743" customFormat="false" ht="16.5" hidden="false" customHeight="true" outlineLevel="0" collapsed="false">
      <c r="A1743" s="2" t="s">
        <v>416</v>
      </c>
      <c r="B1743" s="2" t="s">
        <v>421</v>
      </c>
      <c r="C1743" s="2" t="n">
        <v>2</v>
      </c>
      <c r="D1743" s="2" t="s">
        <v>559</v>
      </c>
      <c r="E1743" s="2" t="s">
        <v>26</v>
      </c>
      <c r="F1743" s="2" t="n">
        <v>64</v>
      </c>
      <c r="G1743" s="2" t="n">
        <v>17</v>
      </c>
    </row>
    <row r="1744" customFormat="false" ht="16.5" hidden="false" customHeight="true" outlineLevel="0" collapsed="false">
      <c r="A1744" s="2" t="s">
        <v>416</v>
      </c>
      <c r="B1744" s="2" t="s">
        <v>421</v>
      </c>
      <c r="C1744" s="2" t="n">
        <v>2</v>
      </c>
      <c r="D1744" s="2" t="s">
        <v>559</v>
      </c>
      <c r="E1744" s="2" t="s">
        <v>27</v>
      </c>
      <c r="F1744" s="2" t="n">
        <v>64</v>
      </c>
      <c r="G1744" s="2" t="n">
        <v>21</v>
      </c>
    </row>
    <row r="1745" customFormat="false" ht="16.5" hidden="false" customHeight="true" outlineLevel="0" collapsed="false">
      <c r="A1745" s="2" t="s">
        <v>416</v>
      </c>
      <c r="B1745" s="2" t="s">
        <v>421</v>
      </c>
      <c r="C1745" s="2" t="n">
        <v>2</v>
      </c>
      <c r="D1745" s="2" t="s">
        <v>559</v>
      </c>
      <c r="E1745" s="2" t="s">
        <v>28</v>
      </c>
      <c r="F1745" s="2" t="n">
        <v>64</v>
      </c>
      <c r="G1745" s="2" t="n">
        <v>25</v>
      </c>
    </row>
    <row r="1746" customFormat="false" ht="16.5" hidden="false" customHeight="true" outlineLevel="0" collapsed="false">
      <c r="A1746" s="2" t="s">
        <v>416</v>
      </c>
      <c r="B1746" s="2" t="s">
        <v>421</v>
      </c>
      <c r="C1746" s="2" t="n">
        <v>2</v>
      </c>
      <c r="D1746" s="2" t="s">
        <v>559</v>
      </c>
      <c r="E1746" s="2" t="s">
        <v>29</v>
      </c>
      <c r="F1746" s="2" t="n">
        <v>64</v>
      </c>
      <c r="G1746" s="2" t="n">
        <v>29</v>
      </c>
    </row>
    <row r="1747" customFormat="false" ht="16.5" hidden="false" customHeight="true" outlineLevel="0" collapsed="false">
      <c r="A1747" s="2" t="s">
        <v>416</v>
      </c>
      <c r="B1747" s="2" t="s">
        <v>421</v>
      </c>
      <c r="C1747" s="2" t="n">
        <v>2</v>
      </c>
      <c r="D1747" s="2" t="s">
        <v>559</v>
      </c>
      <c r="E1747" s="2" t="s">
        <v>30</v>
      </c>
      <c r="F1747" s="2" t="n">
        <v>64</v>
      </c>
      <c r="G1747" s="2" t="n">
        <v>33</v>
      </c>
    </row>
    <row r="1748" customFormat="false" ht="16.5" hidden="false" customHeight="true" outlineLevel="0" collapsed="false">
      <c r="A1748" s="2" t="s">
        <v>416</v>
      </c>
      <c r="B1748" s="2" t="s">
        <v>421</v>
      </c>
      <c r="C1748" s="2" t="n">
        <v>2</v>
      </c>
      <c r="D1748" s="2" t="s">
        <v>559</v>
      </c>
      <c r="E1748" s="2" t="s">
        <v>31</v>
      </c>
      <c r="F1748" s="2" t="n">
        <v>64</v>
      </c>
      <c r="G1748" s="2" t="n">
        <v>37</v>
      </c>
    </row>
    <row r="1749" customFormat="false" ht="16.5" hidden="false" customHeight="true" outlineLevel="0" collapsed="false">
      <c r="A1749" s="2" t="s">
        <v>416</v>
      </c>
      <c r="B1749" s="2" t="s">
        <v>421</v>
      </c>
      <c r="C1749" s="2" t="n">
        <v>2</v>
      </c>
      <c r="D1749" s="2" t="s">
        <v>559</v>
      </c>
      <c r="E1749" s="2" t="s">
        <v>32</v>
      </c>
      <c r="F1749" s="2" t="n">
        <v>64</v>
      </c>
      <c r="G1749" s="2" t="n">
        <v>41</v>
      </c>
    </row>
    <row r="1750" customFormat="false" ht="16.5" hidden="false" customHeight="true" outlineLevel="0" collapsed="false">
      <c r="A1750" s="2" t="s">
        <v>416</v>
      </c>
      <c r="B1750" s="2" t="s">
        <v>421</v>
      </c>
      <c r="C1750" s="2" t="n">
        <v>2</v>
      </c>
      <c r="D1750" s="2" t="s">
        <v>559</v>
      </c>
      <c r="E1750" s="2" t="s">
        <v>33</v>
      </c>
      <c r="F1750" s="2" t="n">
        <v>64</v>
      </c>
      <c r="G1750" s="2" t="n">
        <v>45</v>
      </c>
    </row>
    <row r="1751" customFormat="false" ht="16.5" hidden="false" customHeight="true" outlineLevel="0" collapsed="false">
      <c r="A1751" s="2" t="s">
        <v>416</v>
      </c>
      <c r="B1751" s="2" t="s">
        <v>421</v>
      </c>
      <c r="C1751" s="2" t="n">
        <v>2</v>
      </c>
      <c r="D1751" s="2" t="s">
        <v>559</v>
      </c>
      <c r="E1751" s="2" t="s">
        <v>34</v>
      </c>
      <c r="F1751" s="2" t="n">
        <v>64</v>
      </c>
      <c r="G1751" s="2" t="n">
        <v>49</v>
      </c>
    </row>
    <row r="1752" customFormat="false" ht="16.5" hidden="false" customHeight="true" outlineLevel="0" collapsed="false">
      <c r="A1752" s="2" t="s">
        <v>416</v>
      </c>
      <c r="B1752" s="2" t="s">
        <v>421</v>
      </c>
      <c r="C1752" s="2" t="n">
        <v>2</v>
      </c>
      <c r="D1752" s="2" t="s">
        <v>559</v>
      </c>
      <c r="E1752" s="2" t="s">
        <v>35</v>
      </c>
      <c r="F1752" s="2" t="n">
        <v>66</v>
      </c>
      <c r="G1752" s="2" t="n">
        <v>11</v>
      </c>
    </row>
    <row r="1753" customFormat="false" ht="16.5" hidden="false" customHeight="true" outlineLevel="0" collapsed="false">
      <c r="A1753" s="2" t="s">
        <v>416</v>
      </c>
      <c r="B1753" s="2" t="s">
        <v>421</v>
      </c>
      <c r="C1753" s="2" t="n">
        <v>2</v>
      </c>
      <c r="D1753" s="2" t="s">
        <v>559</v>
      </c>
      <c r="E1753" s="2" t="s">
        <v>36</v>
      </c>
      <c r="F1753" s="2" t="n">
        <v>66</v>
      </c>
      <c r="G1753" s="2" t="n">
        <v>15</v>
      </c>
    </row>
    <row r="1754" customFormat="false" ht="16.5" hidden="false" customHeight="true" outlineLevel="0" collapsed="false">
      <c r="A1754" s="2" t="s">
        <v>416</v>
      </c>
      <c r="B1754" s="2" t="s">
        <v>421</v>
      </c>
      <c r="C1754" s="2" t="n">
        <v>2</v>
      </c>
      <c r="D1754" s="2" t="s">
        <v>559</v>
      </c>
      <c r="E1754" s="2" t="s">
        <v>37</v>
      </c>
      <c r="F1754" s="2" t="n">
        <v>66</v>
      </c>
      <c r="G1754" s="2" t="n">
        <v>19</v>
      </c>
    </row>
    <row r="1755" customFormat="false" ht="16.5" hidden="false" customHeight="true" outlineLevel="0" collapsed="false">
      <c r="A1755" s="2" t="s">
        <v>416</v>
      </c>
      <c r="B1755" s="2" t="s">
        <v>421</v>
      </c>
      <c r="C1755" s="2" t="n">
        <v>2</v>
      </c>
      <c r="D1755" s="2" t="s">
        <v>559</v>
      </c>
      <c r="E1755" s="2" t="s">
        <v>38</v>
      </c>
      <c r="F1755" s="2" t="n">
        <v>66</v>
      </c>
      <c r="G1755" s="2" t="n">
        <v>23</v>
      </c>
    </row>
    <row r="1756" customFormat="false" ht="16.5" hidden="false" customHeight="true" outlineLevel="0" collapsed="false">
      <c r="A1756" s="2" t="s">
        <v>416</v>
      </c>
      <c r="B1756" s="2" t="s">
        <v>421</v>
      </c>
      <c r="C1756" s="2" t="n">
        <v>2</v>
      </c>
      <c r="D1756" s="2" t="s">
        <v>559</v>
      </c>
      <c r="E1756" s="2" t="s">
        <v>39</v>
      </c>
      <c r="F1756" s="2" t="n">
        <v>66</v>
      </c>
      <c r="G1756" s="2" t="n">
        <v>27</v>
      </c>
    </row>
    <row r="1757" customFormat="false" ht="16.5" hidden="false" customHeight="true" outlineLevel="0" collapsed="false">
      <c r="A1757" s="2" t="s">
        <v>416</v>
      </c>
      <c r="B1757" s="2" t="s">
        <v>421</v>
      </c>
      <c r="C1757" s="2" t="n">
        <v>2</v>
      </c>
      <c r="D1757" s="2" t="s">
        <v>559</v>
      </c>
      <c r="E1757" s="2" t="s">
        <v>40</v>
      </c>
      <c r="F1757" s="2" t="n">
        <v>66</v>
      </c>
      <c r="G1757" s="2" t="n">
        <v>31</v>
      </c>
    </row>
    <row r="1758" customFormat="false" ht="16.5" hidden="false" customHeight="true" outlineLevel="0" collapsed="false">
      <c r="A1758" s="2" t="s">
        <v>416</v>
      </c>
      <c r="B1758" s="2" t="s">
        <v>421</v>
      </c>
      <c r="C1758" s="2" t="n">
        <v>2</v>
      </c>
      <c r="D1758" s="2" t="s">
        <v>559</v>
      </c>
      <c r="E1758" s="2" t="s">
        <v>41</v>
      </c>
      <c r="F1758" s="2" t="n">
        <v>66</v>
      </c>
      <c r="G1758" s="2" t="n">
        <v>35</v>
      </c>
    </row>
    <row r="1759" customFormat="false" ht="16.5" hidden="false" customHeight="true" outlineLevel="0" collapsed="false">
      <c r="A1759" s="2" t="s">
        <v>416</v>
      </c>
      <c r="B1759" s="2" t="s">
        <v>421</v>
      </c>
      <c r="C1759" s="2" t="n">
        <v>2</v>
      </c>
      <c r="D1759" s="2" t="s">
        <v>559</v>
      </c>
      <c r="E1759" s="2" t="s">
        <v>42</v>
      </c>
      <c r="F1759" s="2" t="n">
        <v>66</v>
      </c>
      <c r="G1759" s="2" t="n">
        <v>39</v>
      </c>
    </row>
    <row r="1760" customFormat="false" ht="16.5" hidden="false" customHeight="true" outlineLevel="0" collapsed="false">
      <c r="A1760" s="2" t="s">
        <v>416</v>
      </c>
      <c r="B1760" s="2" t="s">
        <v>421</v>
      </c>
      <c r="C1760" s="2" t="n">
        <v>2</v>
      </c>
      <c r="D1760" s="2" t="s">
        <v>559</v>
      </c>
      <c r="E1760" s="2" t="s">
        <v>43</v>
      </c>
      <c r="F1760" s="2" t="n">
        <v>66</v>
      </c>
      <c r="G1760" s="2" t="n">
        <v>43</v>
      </c>
    </row>
    <row r="1761" customFormat="false" ht="16.5" hidden="false" customHeight="true" outlineLevel="0" collapsed="false">
      <c r="A1761" s="2" t="s">
        <v>416</v>
      </c>
      <c r="B1761" s="2" t="s">
        <v>421</v>
      </c>
      <c r="C1761" s="2" t="n">
        <v>2</v>
      </c>
      <c r="D1761" s="2" t="s">
        <v>559</v>
      </c>
      <c r="E1761" s="2" t="s">
        <v>44</v>
      </c>
      <c r="F1761" s="2" t="n">
        <v>66</v>
      </c>
      <c r="G1761" s="2" t="n">
        <v>47</v>
      </c>
    </row>
    <row r="1762" customFormat="false" ht="16.5" hidden="false" customHeight="true" outlineLevel="0" collapsed="false">
      <c r="A1762" s="2" t="s">
        <v>416</v>
      </c>
      <c r="B1762" s="2" t="s">
        <v>421</v>
      </c>
      <c r="C1762" s="2" t="n">
        <v>2</v>
      </c>
      <c r="D1762" s="2" t="s">
        <v>559</v>
      </c>
      <c r="E1762" s="2" t="s">
        <v>48</v>
      </c>
      <c r="F1762" s="2" t="n">
        <v>68</v>
      </c>
      <c r="G1762" s="2" t="n">
        <v>16</v>
      </c>
    </row>
    <row r="1763" customFormat="false" ht="16.5" hidden="false" customHeight="true" outlineLevel="0" collapsed="false">
      <c r="A1763" s="2" t="s">
        <v>416</v>
      </c>
      <c r="B1763" s="2" t="s">
        <v>421</v>
      </c>
      <c r="C1763" s="2" t="n">
        <v>2</v>
      </c>
      <c r="D1763" s="2" t="s">
        <v>559</v>
      </c>
      <c r="E1763" s="2" t="s">
        <v>50</v>
      </c>
      <c r="F1763" s="2" t="n">
        <v>68</v>
      </c>
      <c r="G1763" s="2" t="n">
        <v>20</v>
      </c>
    </row>
    <row r="1764" customFormat="false" ht="16.5" hidden="false" customHeight="true" outlineLevel="0" collapsed="false">
      <c r="A1764" s="2" t="s">
        <v>416</v>
      </c>
      <c r="B1764" s="2" t="s">
        <v>421</v>
      </c>
      <c r="C1764" s="2" t="n">
        <v>2</v>
      </c>
      <c r="D1764" s="2" t="s">
        <v>559</v>
      </c>
      <c r="E1764" s="2" t="s">
        <v>45</v>
      </c>
      <c r="F1764" s="2" t="n">
        <v>68</v>
      </c>
      <c r="G1764" s="2" t="n">
        <v>38</v>
      </c>
    </row>
    <row r="1765" customFormat="false" ht="16.5" hidden="false" customHeight="true" outlineLevel="0" collapsed="false">
      <c r="A1765" s="2" t="s">
        <v>416</v>
      </c>
      <c r="B1765" s="2" t="s">
        <v>421</v>
      </c>
      <c r="C1765" s="2" t="n">
        <v>2</v>
      </c>
      <c r="D1765" s="2" t="s">
        <v>559</v>
      </c>
      <c r="E1765" s="2" t="s">
        <v>46</v>
      </c>
      <c r="F1765" s="2" t="n">
        <v>68</v>
      </c>
      <c r="G1765" s="2" t="n">
        <v>42</v>
      </c>
    </row>
    <row r="1766" customFormat="false" ht="16.5" hidden="false" customHeight="true" outlineLevel="0" collapsed="false">
      <c r="A1766" s="2" t="s">
        <v>416</v>
      </c>
      <c r="B1766" s="2" t="s">
        <v>422</v>
      </c>
      <c r="C1766" s="2" t="n">
        <v>2</v>
      </c>
      <c r="D1766" s="2" t="s">
        <v>560</v>
      </c>
      <c r="E1766" s="2" t="s">
        <v>0</v>
      </c>
      <c r="F1766" s="2" t="n">
        <v>73</v>
      </c>
      <c r="G1766" s="2" t="n">
        <v>6</v>
      </c>
    </row>
    <row r="1767" customFormat="false" ht="16.5" hidden="false" customHeight="true" outlineLevel="0" collapsed="false">
      <c r="A1767" s="2" t="s">
        <v>416</v>
      </c>
      <c r="B1767" s="2" t="s">
        <v>422</v>
      </c>
      <c r="C1767" s="2" t="n">
        <v>2</v>
      </c>
      <c r="D1767" s="2" t="s">
        <v>560</v>
      </c>
      <c r="E1767" s="2" t="s">
        <v>1</v>
      </c>
      <c r="F1767" s="2" t="n">
        <v>73</v>
      </c>
      <c r="G1767" s="2" t="n">
        <v>10</v>
      </c>
    </row>
    <row r="1768" customFormat="false" ht="16.5" hidden="false" customHeight="true" outlineLevel="0" collapsed="false">
      <c r="A1768" s="2" t="s">
        <v>416</v>
      </c>
      <c r="B1768" s="2" t="s">
        <v>422</v>
      </c>
      <c r="C1768" s="2" t="n">
        <v>2</v>
      </c>
      <c r="D1768" s="2" t="s">
        <v>560</v>
      </c>
      <c r="E1768" s="2" t="s">
        <v>2</v>
      </c>
      <c r="F1768" s="2" t="n">
        <v>73</v>
      </c>
      <c r="G1768" s="2" t="n">
        <v>14</v>
      </c>
    </row>
    <row r="1769" customFormat="false" ht="16.5" hidden="false" customHeight="true" outlineLevel="0" collapsed="false">
      <c r="A1769" s="2" t="s">
        <v>416</v>
      </c>
      <c r="B1769" s="2" t="s">
        <v>422</v>
      </c>
      <c r="C1769" s="2" t="n">
        <v>2</v>
      </c>
      <c r="D1769" s="2" t="s">
        <v>560</v>
      </c>
      <c r="E1769" s="2" t="s">
        <v>3</v>
      </c>
      <c r="F1769" s="2" t="n">
        <v>73</v>
      </c>
      <c r="G1769" s="2" t="n">
        <v>18</v>
      </c>
    </row>
    <row r="1770" customFormat="false" ht="16.5" hidden="false" customHeight="true" outlineLevel="0" collapsed="false">
      <c r="A1770" s="2" t="s">
        <v>416</v>
      </c>
      <c r="B1770" s="2" t="s">
        <v>422</v>
      </c>
      <c r="C1770" s="2" t="n">
        <v>2</v>
      </c>
      <c r="D1770" s="2" t="s">
        <v>560</v>
      </c>
      <c r="E1770" s="2" t="s">
        <v>4</v>
      </c>
      <c r="F1770" s="2" t="n">
        <v>73</v>
      </c>
      <c r="G1770" s="2" t="n">
        <v>22</v>
      </c>
    </row>
    <row r="1771" customFormat="false" ht="16.5" hidden="false" customHeight="true" outlineLevel="0" collapsed="false">
      <c r="A1771" s="2" t="s">
        <v>416</v>
      </c>
      <c r="B1771" s="2" t="s">
        <v>422</v>
      </c>
      <c r="C1771" s="2" t="n">
        <v>2</v>
      </c>
      <c r="D1771" s="2" t="s">
        <v>560</v>
      </c>
      <c r="E1771" s="2" t="s">
        <v>5</v>
      </c>
      <c r="F1771" s="2" t="n">
        <v>73</v>
      </c>
      <c r="G1771" s="2" t="n">
        <v>26</v>
      </c>
    </row>
    <row r="1772" customFormat="false" ht="16.5" hidden="false" customHeight="true" outlineLevel="0" collapsed="false">
      <c r="A1772" s="2" t="s">
        <v>416</v>
      </c>
      <c r="B1772" s="2" t="s">
        <v>422</v>
      </c>
      <c r="C1772" s="2" t="n">
        <v>2</v>
      </c>
      <c r="D1772" s="2" t="s">
        <v>560</v>
      </c>
      <c r="E1772" s="2" t="s">
        <v>6</v>
      </c>
      <c r="F1772" s="2" t="n">
        <v>73</v>
      </c>
      <c r="G1772" s="2" t="n">
        <v>30</v>
      </c>
    </row>
    <row r="1773" customFormat="false" ht="16.5" hidden="false" customHeight="true" outlineLevel="0" collapsed="false">
      <c r="A1773" s="2" t="s">
        <v>416</v>
      </c>
      <c r="B1773" s="2" t="s">
        <v>422</v>
      </c>
      <c r="C1773" s="2" t="n">
        <v>2</v>
      </c>
      <c r="D1773" s="2" t="s">
        <v>560</v>
      </c>
      <c r="E1773" s="2" t="s">
        <v>7</v>
      </c>
      <c r="F1773" s="2" t="n">
        <v>73</v>
      </c>
      <c r="G1773" s="2" t="n">
        <v>34</v>
      </c>
    </row>
    <row r="1774" customFormat="false" ht="16.5" hidden="false" customHeight="true" outlineLevel="0" collapsed="false">
      <c r="A1774" s="2" t="s">
        <v>416</v>
      </c>
      <c r="B1774" s="2" t="s">
        <v>422</v>
      </c>
      <c r="C1774" s="2" t="n">
        <v>2</v>
      </c>
      <c r="D1774" s="2" t="s">
        <v>560</v>
      </c>
      <c r="E1774" s="2" t="s">
        <v>8</v>
      </c>
      <c r="F1774" s="2" t="n">
        <v>73</v>
      </c>
      <c r="G1774" s="2" t="n">
        <v>38</v>
      </c>
    </row>
    <row r="1775" customFormat="false" ht="16.5" hidden="false" customHeight="true" outlineLevel="0" collapsed="false">
      <c r="A1775" s="2" t="s">
        <v>416</v>
      </c>
      <c r="B1775" s="2" t="s">
        <v>422</v>
      </c>
      <c r="C1775" s="2" t="n">
        <v>2</v>
      </c>
      <c r="D1775" s="2" t="s">
        <v>560</v>
      </c>
      <c r="E1775" s="2" t="s">
        <v>9</v>
      </c>
      <c r="F1775" s="2" t="n">
        <v>73</v>
      </c>
      <c r="G1775" s="2" t="n">
        <v>42</v>
      </c>
    </row>
    <row r="1776" customFormat="false" ht="16.5" hidden="false" customHeight="true" outlineLevel="0" collapsed="false">
      <c r="A1776" s="2" t="s">
        <v>416</v>
      </c>
      <c r="B1776" s="2" t="s">
        <v>422</v>
      </c>
      <c r="C1776" s="2" t="n">
        <v>2</v>
      </c>
      <c r="D1776" s="2" t="s">
        <v>560</v>
      </c>
      <c r="E1776" s="2" t="s">
        <v>10</v>
      </c>
      <c r="F1776" s="2" t="n">
        <v>73</v>
      </c>
      <c r="G1776" s="2" t="n">
        <v>46</v>
      </c>
    </row>
    <row r="1777" customFormat="false" ht="16.5" hidden="false" customHeight="true" outlineLevel="0" collapsed="false">
      <c r="A1777" s="2" t="s">
        <v>416</v>
      </c>
      <c r="B1777" s="2" t="s">
        <v>422</v>
      </c>
      <c r="C1777" s="2" t="n">
        <v>2</v>
      </c>
      <c r="D1777" s="2" t="s">
        <v>560</v>
      </c>
      <c r="E1777" s="2" t="s">
        <v>11</v>
      </c>
      <c r="F1777" s="2" t="n">
        <v>73</v>
      </c>
      <c r="G1777" s="2" t="n">
        <v>50</v>
      </c>
    </row>
    <row r="1778" customFormat="false" ht="16.5" hidden="false" customHeight="true" outlineLevel="0" collapsed="false">
      <c r="A1778" s="2" t="s">
        <v>416</v>
      </c>
      <c r="B1778" s="2" t="s">
        <v>422</v>
      </c>
      <c r="C1778" s="2" t="n">
        <v>2</v>
      </c>
      <c r="D1778" s="2" t="s">
        <v>560</v>
      </c>
      <c r="E1778" s="2" t="s">
        <v>12</v>
      </c>
      <c r="F1778" s="2" t="n">
        <v>75</v>
      </c>
      <c r="G1778" s="2" t="n">
        <v>8</v>
      </c>
    </row>
    <row r="1779" customFormat="false" ht="16.5" hidden="false" customHeight="true" outlineLevel="0" collapsed="false">
      <c r="A1779" s="2" t="s">
        <v>416</v>
      </c>
      <c r="B1779" s="2" t="s">
        <v>422</v>
      </c>
      <c r="C1779" s="2" t="n">
        <v>2</v>
      </c>
      <c r="D1779" s="2" t="s">
        <v>560</v>
      </c>
      <c r="E1779" s="2" t="s">
        <v>13</v>
      </c>
      <c r="F1779" s="2" t="n">
        <v>75</v>
      </c>
      <c r="G1779" s="2" t="n">
        <v>12</v>
      </c>
    </row>
    <row r="1780" customFormat="false" ht="16.5" hidden="false" customHeight="true" outlineLevel="0" collapsed="false">
      <c r="A1780" s="2" t="s">
        <v>416</v>
      </c>
      <c r="B1780" s="2" t="s">
        <v>422</v>
      </c>
      <c r="C1780" s="2" t="n">
        <v>2</v>
      </c>
      <c r="D1780" s="2" t="s">
        <v>560</v>
      </c>
      <c r="E1780" s="2" t="s">
        <v>14</v>
      </c>
      <c r="F1780" s="2" t="n">
        <v>75</v>
      </c>
      <c r="G1780" s="2" t="n">
        <v>16</v>
      </c>
    </row>
    <row r="1781" customFormat="false" ht="16.5" hidden="false" customHeight="true" outlineLevel="0" collapsed="false">
      <c r="A1781" s="2" t="s">
        <v>416</v>
      </c>
      <c r="B1781" s="2" t="s">
        <v>422</v>
      </c>
      <c r="C1781" s="2" t="n">
        <v>2</v>
      </c>
      <c r="D1781" s="2" t="s">
        <v>560</v>
      </c>
      <c r="E1781" s="2" t="s">
        <v>15</v>
      </c>
      <c r="F1781" s="2" t="n">
        <v>75</v>
      </c>
      <c r="G1781" s="2" t="n">
        <v>20</v>
      </c>
    </row>
    <row r="1782" customFormat="false" ht="16.5" hidden="false" customHeight="true" outlineLevel="0" collapsed="false">
      <c r="A1782" s="2" t="s">
        <v>416</v>
      </c>
      <c r="B1782" s="2" t="s">
        <v>422</v>
      </c>
      <c r="C1782" s="2" t="n">
        <v>2</v>
      </c>
      <c r="D1782" s="2" t="s">
        <v>560</v>
      </c>
      <c r="E1782" s="2" t="s">
        <v>16</v>
      </c>
      <c r="F1782" s="2" t="n">
        <v>75</v>
      </c>
      <c r="G1782" s="2" t="n">
        <v>24</v>
      </c>
    </row>
    <row r="1783" customFormat="false" ht="16.5" hidden="false" customHeight="true" outlineLevel="0" collapsed="false">
      <c r="A1783" s="2" t="s">
        <v>416</v>
      </c>
      <c r="B1783" s="2" t="s">
        <v>422</v>
      </c>
      <c r="C1783" s="2" t="n">
        <v>2</v>
      </c>
      <c r="D1783" s="2" t="s">
        <v>560</v>
      </c>
      <c r="E1783" s="2" t="s">
        <v>17</v>
      </c>
      <c r="F1783" s="2" t="n">
        <v>75</v>
      </c>
      <c r="G1783" s="2" t="n">
        <v>28</v>
      </c>
    </row>
    <row r="1784" customFormat="false" ht="16.5" hidden="false" customHeight="true" outlineLevel="0" collapsed="false">
      <c r="A1784" s="2" t="s">
        <v>416</v>
      </c>
      <c r="B1784" s="2" t="s">
        <v>422</v>
      </c>
      <c r="C1784" s="2" t="n">
        <v>2</v>
      </c>
      <c r="D1784" s="2" t="s">
        <v>560</v>
      </c>
      <c r="E1784" s="2" t="s">
        <v>18</v>
      </c>
      <c r="F1784" s="2" t="n">
        <v>75</v>
      </c>
      <c r="G1784" s="2" t="n">
        <v>32</v>
      </c>
    </row>
    <row r="1785" customFormat="false" ht="16.5" hidden="false" customHeight="true" outlineLevel="0" collapsed="false">
      <c r="A1785" s="2" t="s">
        <v>416</v>
      </c>
      <c r="B1785" s="2" t="s">
        <v>422</v>
      </c>
      <c r="C1785" s="2" t="n">
        <v>2</v>
      </c>
      <c r="D1785" s="2" t="s">
        <v>560</v>
      </c>
      <c r="E1785" s="2" t="s">
        <v>19</v>
      </c>
      <c r="F1785" s="2" t="n">
        <v>75</v>
      </c>
      <c r="G1785" s="2" t="n">
        <v>36</v>
      </c>
    </row>
    <row r="1786" customFormat="false" ht="16.5" hidden="false" customHeight="true" outlineLevel="0" collapsed="false">
      <c r="A1786" s="2" t="s">
        <v>416</v>
      </c>
      <c r="B1786" s="2" t="s">
        <v>422</v>
      </c>
      <c r="C1786" s="2" t="n">
        <v>2</v>
      </c>
      <c r="D1786" s="2" t="s">
        <v>560</v>
      </c>
      <c r="E1786" s="2" t="s">
        <v>20</v>
      </c>
      <c r="F1786" s="2" t="n">
        <v>75</v>
      </c>
      <c r="G1786" s="2" t="n">
        <v>40</v>
      </c>
    </row>
    <row r="1787" customFormat="false" ht="16.5" hidden="false" customHeight="true" outlineLevel="0" collapsed="false">
      <c r="A1787" s="2" t="s">
        <v>416</v>
      </c>
      <c r="B1787" s="2" t="s">
        <v>422</v>
      </c>
      <c r="C1787" s="2" t="n">
        <v>2</v>
      </c>
      <c r="D1787" s="2" t="s">
        <v>560</v>
      </c>
      <c r="E1787" s="2" t="s">
        <v>21</v>
      </c>
      <c r="F1787" s="2" t="n">
        <v>75</v>
      </c>
      <c r="G1787" s="2" t="n">
        <v>44</v>
      </c>
    </row>
    <row r="1788" customFormat="false" ht="16.5" hidden="false" customHeight="true" outlineLevel="0" collapsed="false">
      <c r="A1788" s="2" t="s">
        <v>416</v>
      </c>
      <c r="B1788" s="2" t="s">
        <v>422</v>
      </c>
      <c r="C1788" s="2" t="n">
        <v>2</v>
      </c>
      <c r="D1788" s="2" t="s">
        <v>560</v>
      </c>
      <c r="E1788" s="2" t="s">
        <v>22</v>
      </c>
      <c r="F1788" s="2" t="n">
        <v>75</v>
      </c>
      <c r="G1788" s="2" t="n">
        <v>48</v>
      </c>
    </row>
    <row r="1789" customFormat="false" ht="16.5" hidden="false" customHeight="true" outlineLevel="0" collapsed="false">
      <c r="A1789" s="2" t="s">
        <v>416</v>
      </c>
      <c r="B1789" s="2" t="s">
        <v>422</v>
      </c>
      <c r="C1789" s="2" t="n">
        <v>2</v>
      </c>
      <c r="D1789" s="2" t="s">
        <v>560</v>
      </c>
      <c r="E1789" s="2" t="s">
        <v>23</v>
      </c>
      <c r="F1789" s="2" t="n">
        <v>75</v>
      </c>
      <c r="G1789" s="2" t="n">
        <v>52</v>
      </c>
    </row>
    <row r="1790" customFormat="false" ht="16.5" hidden="false" customHeight="true" outlineLevel="0" collapsed="false">
      <c r="A1790" s="2" t="s">
        <v>416</v>
      </c>
      <c r="B1790" s="2" t="s">
        <v>422</v>
      </c>
      <c r="C1790" s="2" t="n">
        <v>2</v>
      </c>
      <c r="D1790" s="2" t="s">
        <v>560</v>
      </c>
      <c r="E1790" s="2" t="s">
        <v>24</v>
      </c>
      <c r="F1790" s="2" t="n">
        <v>77</v>
      </c>
      <c r="G1790" s="2" t="n">
        <v>9</v>
      </c>
    </row>
    <row r="1791" customFormat="false" ht="16.5" hidden="false" customHeight="true" outlineLevel="0" collapsed="false">
      <c r="A1791" s="2" t="s">
        <v>416</v>
      </c>
      <c r="B1791" s="2" t="s">
        <v>422</v>
      </c>
      <c r="C1791" s="2" t="n">
        <v>2</v>
      </c>
      <c r="D1791" s="2" t="s">
        <v>560</v>
      </c>
      <c r="E1791" s="2" t="s">
        <v>25</v>
      </c>
      <c r="F1791" s="2" t="n">
        <v>77</v>
      </c>
      <c r="G1791" s="2" t="n">
        <v>13</v>
      </c>
    </row>
    <row r="1792" customFormat="false" ht="16.5" hidden="false" customHeight="true" outlineLevel="0" collapsed="false">
      <c r="A1792" s="2" t="s">
        <v>416</v>
      </c>
      <c r="B1792" s="2" t="s">
        <v>422</v>
      </c>
      <c r="C1792" s="2" t="n">
        <v>2</v>
      </c>
      <c r="D1792" s="2" t="s">
        <v>560</v>
      </c>
      <c r="E1792" s="2" t="s">
        <v>26</v>
      </c>
      <c r="F1792" s="2" t="n">
        <v>77</v>
      </c>
      <c r="G1792" s="2" t="n">
        <v>17</v>
      </c>
    </row>
    <row r="1793" customFormat="false" ht="16.5" hidden="false" customHeight="true" outlineLevel="0" collapsed="false">
      <c r="A1793" s="2" t="s">
        <v>416</v>
      </c>
      <c r="B1793" s="2" t="s">
        <v>422</v>
      </c>
      <c r="C1793" s="2" t="n">
        <v>2</v>
      </c>
      <c r="D1793" s="2" t="s">
        <v>560</v>
      </c>
      <c r="E1793" s="2" t="s">
        <v>27</v>
      </c>
      <c r="F1793" s="2" t="n">
        <v>77</v>
      </c>
      <c r="G1793" s="2" t="n">
        <v>21</v>
      </c>
    </row>
    <row r="1794" customFormat="false" ht="16.5" hidden="false" customHeight="true" outlineLevel="0" collapsed="false">
      <c r="A1794" s="2" t="s">
        <v>416</v>
      </c>
      <c r="B1794" s="2" t="s">
        <v>422</v>
      </c>
      <c r="C1794" s="2" t="n">
        <v>2</v>
      </c>
      <c r="D1794" s="2" t="s">
        <v>560</v>
      </c>
      <c r="E1794" s="2" t="s">
        <v>28</v>
      </c>
      <c r="F1794" s="2" t="n">
        <v>77</v>
      </c>
      <c r="G1794" s="2" t="n">
        <v>25</v>
      </c>
    </row>
    <row r="1795" customFormat="false" ht="16.5" hidden="false" customHeight="true" outlineLevel="0" collapsed="false">
      <c r="A1795" s="2" t="s">
        <v>416</v>
      </c>
      <c r="B1795" s="2" t="s">
        <v>422</v>
      </c>
      <c r="C1795" s="2" t="n">
        <v>2</v>
      </c>
      <c r="D1795" s="2" t="s">
        <v>560</v>
      </c>
      <c r="E1795" s="2" t="s">
        <v>29</v>
      </c>
      <c r="F1795" s="2" t="n">
        <v>77</v>
      </c>
      <c r="G1795" s="2" t="n">
        <v>29</v>
      </c>
    </row>
    <row r="1796" customFormat="false" ht="16.5" hidden="false" customHeight="true" outlineLevel="0" collapsed="false">
      <c r="A1796" s="2" t="s">
        <v>416</v>
      </c>
      <c r="B1796" s="2" t="s">
        <v>422</v>
      </c>
      <c r="C1796" s="2" t="n">
        <v>2</v>
      </c>
      <c r="D1796" s="2" t="s">
        <v>560</v>
      </c>
      <c r="E1796" s="2" t="s">
        <v>30</v>
      </c>
      <c r="F1796" s="2" t="n">
        <v>77</v>
      </c>
      <c r="G1796" s="2" t="n">
        <v>33</v>
      </c>
    </row>
    <row r="1797" customFormat="false" ht="16.5" hidden="false" customHeight="true" outlineLevel="0" collapsed="false">
      <c r="A1797" s="2" t="s">
        <v>416</v>
      </c>
      <c r="B1797" s="2" t="s">
        <v>422</v>
      </c>
      <c r="C1797" s="2" t="n">
        <v>2</v>
      </c>
      <c r="D1797" s="2" t="s">
        <v>560</v>
      </c>
      <c r="E1797" s="2" t="s">
        <v>31</v>
      </c>
      <c r="F1797" s="2" t="n">
        <v>77</v>
      </c>
      <c r="G1797" s="2" t="n">
        <v>37</v>
      </c>
    </row>
    <row r="1798" customFormat="false" ht="16.5" hidden="false" customHeight="true" outlineLevel="0" collapsed="false">
      <c r="A1798" s="2" t="s">
        <v>416</v>
      </c>
      <c r="B1798" s="2" t="s">
        <v>422</v>
      </c>
      <c r="C1798" s="2" t="n">
        <v>2</v>
      </c>
      <c r="D1798" s="2" t="s">
        <v>560</v>
      </c>
      <c r="E1798" s="2" t="s">
        <v>32</v>
      </c>
      <c r="F1798" s="2" t="n">
        <v>77</v>
      </c>
      <c r="G1798" s="2" t="n">
        <v>41</v>
      </c>
    </row>
    <row r="1799" customFormat="false" ht="16.5" hidden="false" customHeight="true" outlineLevel="0" collapsed="false">
      <c r="A1799" s="2" t="s">
        <v>416</v>
      </c>
      <c r="B1799" s="2" t="s">
        <v>422</v>
      </c>
      <c r="C1799" s="2" t="n">
        <v>2</v>
      </c>
      <c r="D1799" s="2" t="s">
        <v>560</v>
      </c>
      <c r="E1799" s="2" t="s">
        <v>33</v>
      </c>
      <c r="F1799" s="2" t="n">
        <v>77</v>
      </c>
      <c r="G1799" s="2" t="n">
        <v>45</v>
      </c>
    </row>
    <row r="1800" customFormat="false" ht="16.5" hidden="false" customHeight="true" outlineLevel="0" collapsed="false">
      <c r="A1800" s="2" t="s">
        <v>416</v>
      </c>
      <c r="B1800" s="2" t="s">
        <v>422</v>
      </c>
      <c r="C1800" s="2" t="n">
        <v>2</v>
      </c>
      <c r="D1800" s="2" t="s">
        <v>560</v>
      </c>
      <c r="E1800" s="2" t="s">
        <v>34</v>
      </c>
      <c r="F1800" s="2" t="n">
        <v>77</v>
      </c>
      <c r="G1800" s="2" t="n">
        <v>49</v>
      </c>
    </row>
    <row r="1801" customFormat="false" ht="16.5" hidden="false" customHeight="true" outlineLevel="0" collapsed="false">
      <c r="A1801" s="2" t="s">
        <v>416</v>
      </c>
      <c r="B1801" s="2" t="s">
        <v>422</v>
      </c>
      <c r="C1801" s="2" t="n">
        <v>2</v>
      </c>
      <c r="D1801" s="2" t="s">
        <v>560</v>
      </c>
      <c r="E1801" s="2" t="s">
        <v>35</v>
      </c>
      <c r="F1801" s="2" t="n">
        <v>79</v>
      </c>
      <c r="G1801" s="2" t="n">
        <v>11</v>
      </c>
    </row>
    <row r="1802" customFormat="false" ht="16.5" hidden="false" customHeight="true" outlineLevel="0" collapsed="false">
      <c r="A1802" s="2" t="s">
        <v>416</v>
      </c>
      <c r="B1802" s="2" t="s">
        <v>422</v>
      </c>
      <c r="C1802" s="2" t="n">
        <v>2</v>
      </c>
      <c r="D1802" s="2" t="s">
        <v>560</v>
      </c>
      <c r="E1802" s="2" t="s">
        <v>36</v>
      </c>
      <c r="F1802" s="2" t="n">
        <v>79</v>
      </c>
      <c r="G1802" s="2" t="n">
        <v>15</v>
      </c>
    </row>
    <row r="1803" customFormat="false" ht="16.5" hidden="false" customHeight="true" outlineLevel="0" collapsed="false">
      <c r="A1803" s="2" t="s">
        <v>416</v>
      </c>
      <c r="B1803" s="2" t="s">
        <v>422</v>
      </c>
      <c r="C1803" s="2" t="n">
        <v>2</v>
      </c>
      <c r="D1803" s="2" t="s">
        <v>560</v>
      </c>
      <c r="E1803" s="2" t="s">
        <v>37</v>
      </c>
      <c r="F1803" s="2" t="n">
        <v>79</v>
      </c>
      <c r="G1803" s="2" t="n">
        <v>19</v>
      </c>
    </row>
    <row r="1804" customFormat="false" ht="16.5" hidden="false" customHeight="true" outlineLevel="0" collapsed="false">
      <c r="A1804" s="2" t="s">
        <v>416</v>
      </c>
      <c r="B1804" s="2" t="s">
        <v>422</v>
      </c>
      <c r="C1804" s="2" t="n">
        <v>2</v>
      </c>
      <c r="D1804" s="2" t="s">
        <v>560</v>
      </c>
      <c r="E1804" s="2" t="s">
        <v>38</v>
      </c>
      <c r="F1804" s="2" t="n">
        <v>79</v>
      </c>
      <c r="G1804" s="2" t="n">
        <v>23</v>
      </c>
    </row>
    <row r="1805" customFormat="false" ht="16.5" hidden="false" customHeight="true" outlineLevel="0" collapsed="false">
      <c r="A1805" s="2" t="s">
        <v>416</v>
      </c>
      <c r="B1805" s="2" t="s">
        <v>422</v>
      </c>
      <c r="C1805" s="2" t="n">
        <v>2</v>
      </c>
      <c r="D1805" s="2" t="s">
        <v>560</v>
      </c>
      <c r="E1805" s="2" t="s">
        <v>39</v>
      </c>
      <c r="F1805" s="2" t="n">
        <v>79</v>
      </c>
      <c r="G1805" s="2" t="n">
        <v>27</v>
      </c>
    </row>
    <row r="1806" customFormat="false" ht="16.5" hidden="false" customHeight="true" outlineLevel="0" collapsed="false">
      <c r="A1806" s="2" t="s">
        <v>416</v>
      </c>
      <c r="B1806" s="2" t="s">
        <v>422</v>
      </c>
      <c r="C1806" s="2" t="n">
        <v>2</v>
      </c>
      <c r="D1806" s="2" t="s">
        <v>560</v>
      </c>
      <c r="E1806" s="2" t="s">
        <v>40</v>
      </c>
      <c r="F1806" s="2" t="n">
        <v>79</v>
      </c>
      <c r="G1806" s="2" t="n">
        <v>31</v>
      </c>
    </row>
    <row r="1807" customFormat="false" ht="16.5" hidden="false" customHeight="true" outlineLevel="0" collapsed="false">
      <c r="A1807" s="2" t="s">
        <v>416</v>
      </c>
      <c r="B1807" s="2" t="s">
        <v>422</v>
      </c>
      <c r="C1807" s="2" t="n">
        <v>2</v>
      </c>
      <c r="D1807" s="2" t="s">
        <v>560</v>
      </c>
      <c r="E1807" s="2" t="s">
        <v>41</v>
      </c>
      <c r="F1807" s="2" t="n">
        <v>79</v>
      </c>
      <c r="G1807" s="2" t="n">
        <v>35</v>
      </c>
    </row>
    <row r="1808" customFormat="false" ht="16.5" hidden="false" customHeight="true" outlineLevel="0" collapsed="false">
      <c r="A1808" s="2" t="s">
        <v>416</v>
      </c>
      <c r="B1808" s="2" t="s">
        <v>422</v>
      </c>
      <c r="C1808" s="2" t="n">
        <v>2</v>
      </c>
      <c r="D1808" s="2" t="s">
        <v>560</v>
      </c>
      <c r="E1808" s="2" t="s">
        <v>42</v>
      </c>
      <c r="F1808" s="2" t="n">
        <v>79</v>
      </c>
      <c r="G1808" s="2" t="n">
        <v>39</v>
      </c>
    </row>
    <row r="1809" customFormat="false" ht="16.5" hidden="false" customHeight="true" outlineLevel="0" collapsed="false">
      <c r="A1809" s="2" t="s">
        <v>416</v>
      </c>
      <c r="B1809" s="2" t="s">
        <v>422</v>
      </c>
      <c r="C1809" s="2" t="n">
        <v>2</v>
      </c>
      <c r="D1809" s="2" t="s">
        <v>560</v>
      </c>
      <c r="E1809" s="2" t="s">
        <v>43</v>
      </c>
      <c r="F1809" s="2" t="n">
        <v>79</v>
      </c>
      <c r="G1809" s="2" t="n">
        <v>43</v>
      </c>
    </row>
    <row r="1810" customFormat="false" ht="16.5" hidden="false" customHeight="true" outlineLevel="0" collapsed="false">
      <c r="A1810" s="2" t="s">
        <v>416</v>
      </c>
      <c r="B1810" s="2" t="s">
        <v>422</v>
      </c>
      <c r="C1810" s="2" t="n">
        <v>2</v>
      </c>
      <c r="D1810" s="2" t="s">
        <v>560</v>
      </c>
      <c r="E1810" s="2" t="s">
        <v>44</v>
      </c>
      <c r="F1810" s="2" t="n">
        <v>79</v>
      </c>
      <c r="G1810" s="2" t="n">
        <v>47</v>
      </c>
    </row>
    <row r="1811" customFormat="false" ht="16.5" hidden="false" customHeight="true" outlineLevel="0" collapsed="false">
      <c r="A1811" s="2" t="s">
        <v>416</v>
      </c>
      <c r="B1811" s="2" t="s">
        <v>422</v>
      </c>
      <c r="C1811" s="2" t="n">
        <v>2</v>
      </c>
      <c r="D1811" s="2" t="s">
        <v>560</v>
      </c>
      <c r="E1811" s="2" t="s">
        <v>48</v>
      </c>
      <c r="F1811" s="2" t="n">
        <v>81</v>
      </c>
      <c r="G1811" s="2" t="n">
        <v>16</v>
      </c>
    </row>
    <row r="1812" customFormat="false" ht="16.5" hidden="false" customHeight="true" outlineLevel="0" collapsed="false">
      <c r="A1812" s="2" t="s">
        <v>416</v>
      </c>
      <c r="B1812" s="2" t="s">
        <v>422</v>
      </c>
      <c r="C1812" s="2" t="n">
        <v>2</v>
      </c>
      <c r="D1812" s="2" t="s">
        <v>560</v>
      </c>
      <c r="E1812" s="2" t="s">
        <v>50</v>
      </c>
      <c r="F1812" s="2" t="n">
        <v>81</v>
      </c>
      <c r="G1812" s="2" t="n">
        <v>20</v>
      </c>
    </row>
    <row r="1813" customFormat="false" ht="16.5" hidden="false" customHeight="true" outlineLevel="0" collapsed="false">
      <c r="A1813" s="2" t="s">
        <v>416</v>
      </c>
      <c r="B1813" s="2" t="s">
        <v>422</v>
      </c>
      <c r="C1813" s="2" t="n">
        <v>2</v>
      </c>
      <c r="D1813" s="2" t="s">
        <v>560</v>
      </c>
      <c r="E1813" s="2" t="s">
        <v>45</v>
      </c>
      <c r="F1813" s="2" t="n">
        <v>81</v>
      </c>
      <c r="G1813" s="2" t="n">
        <v>38</v>
      </c>
    </row>
    <row r="1814" customFormat="false" ht="16.5" hidden="false" customHeight="true" outlineLevel="0" collapsed="false">
      <c r="A1814" s="2" t="s">
        <v>416</v>
      </c>
      <c r="B1814" s="2" t="s">
        <v>422</v>
      </c>
      <c r="C1814" s="2" t="n">
        <v>2</v>
      </c>
      <c r="D1814" s="2" t="s">
        <v>560</v>
      </c>
      <c r="E1814" s="2" t="s">
        <v>46</v>
      </c>
      <c r="F1814" s="2" t="n">
        <v>81</v>
      </c>
      <c r="G1814" s="2" t="n">
        <v>42</v>
      </c>
    </row>
    <row r="1815" customFormat="false" ht="16.5" hidden="false" customHeight="true" outlineLevel="0" collapsed="false">
      <c r="A1815" s="2" t="s">
        <v>416</v>
      </c>
      <c r="B1815" s="2" t="s">
        <v>423</v>
      </c>
      <c r="C1815" s="2" t="n">
        <v>2</v>
      </c>
      <c r="D1815" s="2" t="s">
        <v>561</v>
      </c>
      <c r="E1815" s="2" t="s">
        <v>0</v>
      </c>
      <c r="F1815" s="2" t="n">
        <v>86</v>
      </c>
      <c r="G1815" s="2" t="n">
        <v>6</v>
      </c>
    </row>
    <row r="1816" customFormat="false" ht="16.5" hidden="false" customHeight="true" outlineLevel="0" collapsed="false">
      <c r="A1816" s="2" t="s">
        <v>416</v>
      </c>
      <c r="B1816" s="2" t="s">
        <v>423</v>
      </c>
      <c r="C1816" s="2" t="n">
        <v>2</v>
      </c>
      <c r="D1816" s="2" t="s">
        <v>561</v>
      </c>
      <c r="E1816" s="2" t="s">
        <v>1</v>
      </c>
      <c r="F1816" s="2" t="n">
        <v>86</v>
      </c>
      <c r="G1816" s="2" t="n">
        <v>10</v>
      </c>
    </row>
    <row r="1817" customFormat="false" ht="16.5" hidden="false" customHeight="true" outlineLevel="0" collapsed="false">
      <c r="A1817" s="2" t="s">
        <v>416</v>
      </c>
      <c r="B1817" s="2" t="s">
        <v>423</v>
      </c>
      <c r="C1817" s="2" t="n">
        <v>2</v>
      </c>
      <c r="D1817" s="2" t="s">
        <v>561</v>
      </c>
      <c r="E1817" s="2" t="s">
        <v>2</v>
      </c>
      <c r="F1817" s="2" t="n">
        <v>86</v>
      </c>
      <c r="G1817" s="2" t="n">
        <v>14</v>
      </c>
    </row>
    <row r="1818" customFormat="false" ht="16.5" hidden="false" customHeight="true" outlineLevel="0" collapsed="false">
      <c r="A1818" s="2" t="s">
        <v>416</v>
      </c>
      <c r="B1818" s="2" t="s">
        <v>423</v>
      </c>
      <c r="C1818" s="2" t="n">
        <v>2</v>
      </c>
      <c r="D1818" s="2" t="s">
        <v>561</v>
      </c>
      <c r="E1818" s="2" t="s">
        <v>3</v>
      </c>
      <c r="F1818" s="2" t="n">
        <v>86</v>
      </c>
      <c r="G1818" s="2" t="n">
        <v>18</v>
      </c>
    </row>
    <row r="1819" customFormat="false" ht="16.5" hidden="false" customHeight="true" outlineLevel="0" collapsed="false">
      <c r="A1819" s="2" t="s">
        <v>416</v>
      </c>
      <c r="B1819" s="2" t="s">
        <v>423</v>
      </c>
      <c r="C1819" s="2" t="n">
        <v>2</v>
      </c>
      <c r="D1819" s="2" t="s">
        <v>561</v>
      </c>
      <c r="E1819" s="2" t="s">
        <v>4</v>
      </c>
      <c r="F1819" s="2" t="n">
        <v>86</v>
      </c>
      <c r="G1819" s="2" t="n">
        <v>22</v>
      </c>
    </row>
    <row r="1820" customFormat="false" ht="16.5" hidden="false" customHeight="true" outlineLevel="0" collapsed="false">
      <c r="A1820" s="2" t="s">
        <v>416</v>
      </c>
      <c r="B1820" s="2" t="s">
        <v>423</v>
      </c>
      <c r="C1820" s="2" t="n">
        <v>2</v>
      </c>
      <c r="D1820" s="2" t="s">
        <v>561</v>
      </c>
      <c r="E1820" s="2" t="s">
        <v>5</v>
      </c>
      <c r="F1820" s="2" t="n">
        <v>86</v>
      </c>
      <c r="G1820" s="2" t="n">
        <v>26</v>
      </c>
    </row>
    <row r="1821" customFormat="false" ht="16.5" hidden="false" customHeight="true" outlineLevel="0" collapsed="false">
      <c r="A1821" s="2" t="s">
        <v>416</v>
      </c>
      <c r="B1821" s="2" t="s">
        <v>423</v>
      </c>
      <c r="C1821" s="2" t="n">
        <v>2</v>
      </c>
      <c r="D1821" s="2" t="s">
        <v>561</v>
      </c>
      <c r="E1821" s="2" t="s">
        <v>6</v>
      </c>
      <c r="F1821" s="2" t="n">
        <v>86</v>
      </c>
      <c r="G1821" s="2" t="n">
        <v>30</v>
      </c>
    </row>
    <row r="1822" customFormat="false" ht="16.5" hidden="false" customHeight="true" outlineLevel="0" collapsed="false">
      <c r="A1822" s="2" t="s">
        <v>416</v>
      </c>
      <c r="B1822" s="2" t="s">
        <v>423</v>
      </c>
      <c r="C1822" s="2" t="n">
        <v>2</v>
      </c>
      <c r="D1822" s="2" t="s">
        <v>561</v>
      </c>
      <c r="E1822" s="2" t="s">
        <v>7</v>
      </c>
      <c r="F1822" s="2" t="n">
        <v>86</v>
      </c>
      <c r="G1822" s="2" t="n">
        <v>34</v>
      </c>
    </row>
    <row r="1823" customFormat="false" ht="16.5" hidden="false" customHeight="true" outlineLevel="0" collapsed="false">
      <c r="A1823" s="2" t="s">
        <v>416</v>
      </c>
      <c r="B1823" s="2" t="s">
        <v>423</v>
      </c>
      <c r="C1823" s="2" t="n">
        <v>2</v>
      </c>
      <c r="D1823" s="2" t="s">
        <v>561</v>
      </c>
      <c r="E1823" s="2" t="s">
        <v>8</v>
      </c>
      <c r="F1823" s="2" t="n">
        <v>86</v>
      </c>
      <c r="G1823" s="2" t="n">
        <v>38</v>
      </c>
    </row>
    <row r="1824" customFormat="false" ht="16.5" hidden="false" customHeight="true" outlineLevel="0" collapsed="false">
      <c r="A1824" s="2" t="s">
        <v>416</v>
      </c>
      <c r="B1824" s="2" t="s">
        <v>423</v>
      </c>
      <c r="C1824" s="2" t="n">
        <v>2</v>
      </c>
      <c r="D1824" s="2" t="s">
        <v>561</v>
      </c>
      <c r="E1824" s="2" t="s">
        <v>9</v>
      </c>
      <c r="F1824" s="2" t="n">
        <v>86</v>
      </c>
      <c r="G1824" s="2" t="n">
        <v>42</v>
      </c>
    </row>
    <row r="1825" customFormat="false" ht="16.5" hidden="false" customHeight="true" outlineLevel="0" collapsed="false">
      <c r="A1825" s="2" t="s">
        <v>416</v>
      </c>
      <c r="B1825" s="2" t="s">
        <v>423</v>
      </c>
      <c r="C1825" s="2" t="n">
        <v>2</v>
      </c>
      <c r="D1825" s="2" t="s">
        <v>561</v>
      </c>
      <c r="E1825" s="2" t="s">
        <v>10</v>
      </c>
      <c r="F1825" s="2" t="n">
        <v>86</v>
      </c>
      <c r="G1825" s="2" t="n">
        <v>46</v>
      </c>
    </row>
    <row r="1826" customFormat="false" ht="16.5" hidden="false" customHeight="true" outlineLevel="0" collapsed="false">
      <c r="A1826" s="2" t="s">
        <v>416</v>
      </c>
      <c r="B1826" s="2" t="s">
        <v>423</v>
      </c>
      <c r="C1826" s="2" t="n">
        <v>2</v>
      </c>
      <c r="D1826" s="2" t="s">
        <v>561</v>
      </c>
      <c r="E1826" s="2" t="s">
        <v>11</v>
      </c>
      <c r="F1826" s="2" t="n">
        <v>86</v>
      </c>
      <c r="G1826" s="2" t="n">
        <v>50</v>
      </c>
    </row>
    <row r="1827" customFormat="false" ht="16.5" hidden="false" customHeight="true" outlineLevel="0" collapsed="false">
      <c r="A1827" s="2" t="s">
        <v>416</v>
      </c>
      <c r="B1827" s="2" t="s">
        <v>423</v>
      </c>
      <c r="C1827" s="2" t="n">
        <v>2</v>
      </c>
      <c r="D1827" s="2" t="s">
        <v>561</v>
      </c>
      <c r="E1827" s="2" t="s">
        <v>12</v>
      </c>
      <c r="F1827" s="2" t="n">
        <v>88</v>
      </c>
      <c r="G1827" s="2" t="n">
        <v>8</v>
      </c>
    </row>
    <row r="1828" customFormat="false" ht="16.5" hidden="false" customHeight="true" outlineLevel="0" collapsed="false">
      <c r="A1828" s="2" t="s">
        <v>416</v>
      </c>
      <c r="B1828" s="2" t="s">
        <v>423</v>
      </c>
      <c r="C1828" s="2" t="n">
        <v>2</v>
      </c>
      <c r="D1828" s="2" t="s">
        <v>561</v>
      </c>
      <c r="E1828" s="2" t="s">
        <v>13</v>
      </c>
      <c r="F1828" s="2" t="n">
        <v>88</v>
      </c>
      <c r="G1828" s="2" t="n">
        <v>12</v>
      </c>
    </row>
    <row r="1829" customFormat="false" ht="16.5" hidden="false" customHeight="true" outlineLevel="0" collapsed="false">
      <c r="A1829" s="2" t="s">
        <v>416</v>
      </c>
      <c r="B1829" s="2" t="s">
        <v>423</v>
      </c>
      <c r="C1829" s="2" t="n">
        <v>2</v>
      </c>
      <c r="D1829" s="2" t="s">
        <v>561</v>
      </c>
      <c r="E1829" s="2" t="s">
        <v>14</v>
      </c>
      <c r="F1829" s="2" t="n">
        <v>88</v>
      </c>
      <c r="G1829" s="2" t="n">
        <v>16</v>
      </c>
    </row>
    <row r="1830" customFormat="false" ht="16.5" hidden="false" customHeight="true" outlineLevel="0" collapsed="false">
      <c r="A1830" s="2" t="s">
        <v>416</v>
      </c>
      <c r="B1830" s="2" t="s">
        <v>423</v>
      </c>
      <c r="C1830" s="2" t="n">
        <v>2</v>
      </c>
      <c r="D1830" s="2" t="s">
        <v>561</v>
      </c>
      <c r="E1830" s="2" t="s">
        <v>15</v>
      </c>
      <c r="F1830" s="2" t="n">
        <v>88</v>
      </c>
      <c r="G1830" s="2" t="n">
        <v>20</v>
      </c>
    </row>
    <row r="1831" customFormat="false" ht="16.5" hidden="false" customHeight="true" outlineLevel="0" collapsed="false">
      <c r="A1831" s="2" t="s">
        <v>416</v>
      </c>
      <c r="B1831" s="2" t="s">
        <v>423</v>
      </c>
      <c r="C1831" s="2" t="n">
        <v>2</v>
      </c>
      <c r="D1831" s="2" t="s">
        <v>561</v>
      </c>
      <c r="E1831" s="2" t="s">
        <v>16</v>
      </c>
      <c r="F1831" s="2" t="n">
        <v>88</v>
      </c>
      <c r="G1831" s="2" t="n">
        <v>24</v>
      </c>
    </row>
    <row r="1832" customFormat="false" ht="16.5" hidden="false" customHeight="true" outlineLevel="0" collapsed="false">
      <c r="A1832" s="2" t="s">
        <v>416</v>
      </c>
      <c r="B1832" s="2" t="s">
        <v>423</v>
      </c>
      <c r="C1832" s="2" t="n">
        <v>2</v>
      </c>
      <c r="D1832" s="2" t="s">
        <v>561</v>
      </c>
      <c r="E1832" s="2" t="s">
        <v>17</v>
      </c>
      <c r="F1832" s="2" t="n">
        <v>88</v>
      </c>
      <c r="G1832" s="2" t="n">
        <v>28</v>
      </c>
    </row>
    <row r="1833" customFormat="false" ht="16.5" hidden="false" customHeight="true" outlineLevel="0" collapsed="false">
      <c r="A1833" s="2" t="s">
        <v>416</v>
      </c>
      <c r="B1833" s="2" t="s">
        <v>423</v>
      </c>
      <c r="C1833" s="2" t="n">
        <v>2</v>
      </c>
      <c r="D1833" s="2" t="s">
        <v>561</v>
      </c>
      <c r="E1833" s="2" t="s">
        <v>18</v>
      </c>
      <c r="F1833" s="2" t="n">
        <v>88</v>
      </c>
      <c r="G1833" s="2" t="n">
        <v>32</v>
      </c>
    </row>
    <row r="1834" customFormat="false" ht="16.5" hidden="false" customHeight="true" outlineLevel="0" collapsed="false">
      <c r="A1834" s="2" t="s">
        <v>416</v>
      </c>
      <c r="B1834" s="2" t="s">
        <v>423</v>
      </c>
      <c r="C1834" s="2" t="n">
        <v>2</v>
      </c>
      <c r="D1834" s="2" t="s">
        <v>561</v>
      </c>
      <c r="E1834" s="2" t="s">
        <v>19</v>
      </c>
      <c r="F1834" s="2" t="n">
        <v>88</v>
      </c>
      <c r="G1834" s="2" t="n">
        <v>36</v>
      </c>
    </row>
    <row r="1835" customFormat="false" ht="16.5" hidden="false" customHeight="true" outlineLevel="0" collapsed="false">
      <c r="A1835" s="2" t="s">
        <v>416</v>
      </c>
      <c r="B1835" s="2" t="s">
        <v>423</v>
      </c>
      <c r="C1835" s="2" t="n">
        <v>2</v>
      </c>
      <c r="D1835" s="2" t="s">
        <v>561</v>
      </c>
      <c r="E1835" s="2" t="s">
        <v>20</v>
      </c>
      <c r="F1835" s="2" t="n">
        <v>88</v>
      </c>
      <c r="G1835" s="2" t="n">
        <v>40</v>
      </c>
    </row>
    <row r="1836" customFormat="false" ht="16.5" hidden="false" customHeight="true" outlineLevel="0" collapsed="false">
      <c r="A1836" s="2" t="s">
        <v>416</v>
      </c>
      <c r="B1836" s="2" t="s">
        <v>423</v>
      </c>
      <c r="C1836" s="2" t="n">
        <v>2</v>
      </c>
      <c r="D1836" s="2" t="s">
        <v>561</v>
      </c>
      <c r="E1836" s="2" t="s">
        <v>21</v>
      </c>
      <c r="F1836" s="2" t="n">
        <v>88</v>
      </c>
      <c r="G1836" s="2" t="n">
        <v>44</v>
      </c>
    </row>
    <row r="1837" customFormat="false" ht="16.5" hidden="false" customHeight="true" outlineLevel="0" collapsed="false">
      <c r="A1837" s="2" t="s">
        <v>416</v>
      </c>
      <c r="B1837" s="2" t="s">
        <v>423</v>
      </c>
      <c r="C1837" s="2" t="n">
        <v>2</v>
      </c>
      <c r="D1837" s="2" t="s">
        <v>561</v>
      </c>
      <c r="E1837" s="2" t="s">
        <v>22</v>
      </c>
      <c r="F1837" s="2" t="n">
        <v>88</v>
      </c>
      <c r="G1837" s="2" t="n">
        <v>48</v>
      </c>
    </row>
    <row r="1838" customFormat="false" ht="16.5" hidden="false" customHeight="true" outlineLevel="0" collapsed="false">
      <c r="A1838" s="2" t="s">
        <v>416</v>
      </c>
      <c r="B1838" s="2" t="s">
        <v>423</v>
      </c>
      <c r="C1838" s="2" t="n">
        <v>2</v>
      </c>
      <c r="D1838" s="2" t="s">
        <v>561</v>
      </c>
      <c r="E1838" s="2" t="s">
        <v>23</v>
      </c>
      <c r="F1838" s="2" t="n">
        <v>88</v>
      </c>
      <c r="G1838" s="2" t="n">
        <v>52</v>
      </c>
    </row>
    <row r="1839" customFormat="false" ht="16.5" hidden="false" customHeight="true" outlineLevel="0" collapsed="false">
      <c r="A1839" s="2" t="s">
        <v>416</v>
      </c>
      <c r="B1839" s="2" t="s">
        <v>423</v>
      </c>
      <c r="C1839" s="2" t="n">
        <v>2</v>
      </c>
      <c r="D1839" s="2" t="s">
        <v>561</v>
      </c>
      <c r="E1839" s="2" t="s">
        <v>24</v>
      </c>
      <c r="F1839" s="2" t="n">
        <v>90</v>
      </c>
      <c r="G1839" s="2" t="n">
        <v>9</v>
      </c>
    </row>
    <row r="1840" customFormat="false" ht="16.5" hidden="false" customHeight="true" outlineLevel="0" collapsed="false">
      <c r="A1840" s="2" t="s">
        <v>416</v>
      </c>
      <c r="B1840" s="2" t="s">
        <v>423</v>
      </c>
      <c r="C1840" s="2" t="n">
        <v>2</v>
      </c>
      <c r="D1840" s="2" t="s">
        <v>561</v>
      </c>
      <c r="E1840" s="2" t="s">
        <v>25</v>
      </c>
      <c r="F1840" s="2" t="n">
        <v>90</v>
      </c>
      <c r="G1840" s="2" t="n">
        <v>13</v>
      </c>
    </row>
    <row r="1841" customFormat="false" ht="16.5" hidden="false" customHeight="true" outlineLevel="0" collapsed="false">
      <c r="A1841" s="2" t="s">
        <v>416</v>
      </c>
      <c r="B1841" s="2" t="s">
        <v>423</v>
      </c>
      <c r="C1841" s="2" t="n">
        <v>2</v>
      </c>
      <c r="D1841" s="2" t="s">
        <v>561</v>
      </c>
      <c r="E1841" s="2" t="s">
        <v>26</v>
      </c>
      <c r="F1841" s="2" t="n">
        <v>90</v>
      </c>
      <c r="G1841" s="2" t="n">
        <v>17</v>
      </c>
    </row>
    <row r="1842" customFormat="false" ht="16.5" hidden="false" customHeight="true" outlineLevel="0" collapsed="false">
      <c r="A1842" s="2" t="s">
        <v>416</v>
      </c>
      <c r="B1842" s="2" t="s">
        <v>423</v>
      </c>
      <c r="C1842" s="2" t="n">
        <v>2</v>
      </c>
      <c r="D1842" s="2" t="s">
        <v>561</v>
      </c>
      <c r="E1842" s="2" t="s">
        <v>27</v>
      </c>
      <c r="F1842" s="2" t="n">
        <v>90</v>
      </c>
      <c r="G1842" s="2" t="n">
        <v>21</v>
      </c>
    </row>
    <row r="1843" customFormat="false" ht="16.5" hidden="false" customHeight="true" outlineLevel="0" collapsed="false">
      <c r="A1843" s="2" t="s">
        <v>416</v>
      </c>
      <c r="B1843" s="2" t="s">
        <v>423</v>
      </c>
      <c r="C1843" s="2" t="n">
        <v>2</v>
      </c>
      <c r="D1843" s="2" t="s">
        <v>561</v>
      </c>
      <c r="E1843" s="2" t="s">
        <v>28</v>
      </c>
      <c r="F1843" s="2" t="n">
        <v>90</v>
      </c>
      <c r="G1843" s="2" t="n">
        <v>25</v>
      </c>
    </row>
    <row r="1844" customFormat="false" ht="16.5" hidden="false" customHeight="true" outlineLevel="0" collapsed="false">
      <c r="A1844" s="2" t="s">
        <v>416</v>
      </c>
      <c r="B1844" s="2" t="s">
        <v>423</v>
      </c>
      <c r="C1844" s="2" t="n">
        <v>2</v>
      </c>
      <c r="D1844" s="2" t="s">
        <v>561</v>
      </c>
      <c r="E1844" s="2" t="s">
        <v>29</v>
      </c>
      <c r="F1844" s="2" t="n">
        <v>90</v>
      </c>
      <c r="G1844" s="2" t="n">
        <v>29</v>
      </c>
    </row>
    <row r="1845" customFormat="false" ht="16.5" hidden="false" customHeight="true" outlineLevel="0" collapsed="false">
      <c r="A1845" s="2" t="s">
        <v>416</v>
      </c>
      <c r="B1845" s="2" t="s">
        <v>423</v>
      </c>
      <c r="C1845" s="2" t="n">
        <v>2</v>
      </c>
      <c r="D1845" s="2" t="s">
        <v>561</v>
      </c>
      <c r="E1845" s="2" t="s">
        <v>30</v>
      </c>
      <c r="F1845" s="2" t="n">
        <v>90</v>
      </c>
      <c r="G1845" s="2" t="n">
        <v>33</v>
      </c>
    </row>
    <row r="1846" customFormat="false" ht="16.5" hidden="false" customHeight="true" outlineLevel="0" collapsed="false">
      <c r="A1846" s="2" t="s">
        <v>416</v>
      </c>
      <c r="B1846" s="2" t="s">
        <v>423</v>
      </c>
      <c r="C1846" s="2" t="n">
        <v>2</v>
      </c>
      <c r="D1846" s="2" t="s">
        <v>561</v>
      </c>
      <c r="E1846" s="2" t="s">
        <v>31</v>
      </c>
      <c r="F1846" s="2" t="n">
        <v>90</v>
      </c>
      <c r="G1846" s="2" t="n">
        <v>37</v>
      </c>
    </row>
    <row r="1847" customFormat="false" ht="16.5" hidden="false" customHeight="true" outlineLevel="0" collapsed="false">
      <c r="A1847" s="2" t="s">
        <v>416</v>
      </c>
      <c r="B1847" s="2" t="s">
        <v>423</v>
      </c>
      <c r="C1847" s="2" t="n">
        <v>2</v>
      </c>
      <c r="D1847" s="2" t="s">
        <v>561</v>
      </c>
      <c r="E1847" s="2" t="s">
        <v>32</v>
      </c>
      <c r="F1847" s="2" t="n">
        <v>90</v>
      </c>
      <c r="G1847" s="2" t="n">
        <v>41</v>
      </c>
    </row>
    <row r="1848" customFormat="false" ht="16.5" hidden="false" customHeight="true" outlineLevel="0" collapsed="false">
      <c r="A1848" s="2" t="s">
        <v>416</v>
      </c>
      <c r="B1848" s="2" t="s">
        <v>423</v>
      </c>
      <c r="C1848" s="2" t="n">
        <v>2</v>
      </c>
      <c r="D1848" s="2" t="s">
        <v>561</v>
      </c>
      <c r="E1848" s="2" t="s">
        <v>33</v>
      </c>
      <c r="F1848" s="2" t="n">
        <v>90</v>
      </c>
      <c r="G1848" s="2" t="n">
        <v>45</v>
      </c>
    </row>
    <row r="1849" customFormat="false" ht="16.5" hidden="false" customHeight="true" outlineLevel="0" collapsed="false">
      <c r="A1849" s="2" t="s">
        <v>416</v>
      </c>
      <c r="B1849" s="2" t="s">
        <v>423</v>
      </c>
      <c r="C1849" s="2" t="n">
        <v>2</v>
      </c>
      <c r="D1849" s="2" t="s">
        <v>561</v>
      </c>
      <c r="E1849" s="2" t="s">
        <v>34</v>
      </c>
      <c r="F1849" s="2" t="n">
        <v>90</v>
      </c>
      <c r="G1849" s="2" t="n">
        <v>49</v>
      </c>
    </row>
    <row r="1850" customFormat="false" ht="16.5" hidden="false" customHeight="true" outlineLevel="0" collapsed="false">
      <c r="A1850" s="2" t="s">
        <v>416</v>
      </c>
      <c r="B1850" s="2" t="s">
        <v>423</v>
      </c>
      <c r="C1850" s="2" t="n">
        <v>2</v>
      </c>
      <c r="D1850" s="2" t="s">
        <v>561</v>
      </c>
      <c r="E1850" s="2" t="s">
        <v>35</v>
      </c>
      <c r="F1850" s="2" t="n">
        <v>92</v>
      </c>
      <c r="G1850" s="2" t="n">
        <v>11</v>
      </c>
    </row>
    <row r="1851" customFormat="false" ht="16.5" hidden="false" customHeight="true" outlineLevel="0" collapsed="false">
      <c r="A1851" s="2" t="s">
        <v>416</v>
      </c>
      <c r="B1851" s="2" t="s">
        <v>423</v>
      </c>
      <c r="C1851" s="2" t="n">
        <v>2</v>
      </c>
      <c r="D1851" s="2" t="s">
        <v>561</v>
      </c>
      <c r="E1851" s="2" t="s">
        <v>36</v>
      </c>
      <c r="F1851" s="2" t="n">
        <v>92</v>
      </c>
      <c r="G1851" s="2" t="n">
        <v>15</v>
      </c>
    </row>
    <row r="1852" customFormat="false" ht="16.5" hidden="false" customHeight="true" outlineLevel="0" collapsed="false">
      <c r="A1852" s="2" t="s">
        <v>416</v>
      </c>
      <c r="B1852" s="2" t="s">
        <v>423</v>
      </c>
      <c r="C1852" s="2" t="n">
        <v>2</v>
      </c>
      <c r="D1852" s="2" t="s">
        <v>561</v>
      </c>
      <c r="E1852" s="2" t="s">
        <v>37</v>
      </c>
      <c r="F1852" s="2" t="n">
        <v>92</v>
      </c>
      <c r="G1852" s="2" t="n">
        <v>19</v>
      </c>
    </row>
    <row r="1853" customFormat="false" ht="16.5" hidden="false" customHeight="true" outlineLevel="0" collapsed="false">
      <c r="A1853" s="2" t="s">
        <v>416</v>
      </c>
      <c r="B1853" s="2" t="s">
        <v>423</v>
      </c>
      <c r="C1853" s="2" t="n">
        <v>2</v>
      </c>
      <c r="D1853" s="2" t="s">
        <v>561</v>
      </c>
      <c r="E1853" s="2" t="s">
        <v>38</v>
      </c>
      <c r="F1853" s="2" t="n">
        <v>92</v>
      </c>
      <c r="G1853" s="2" t="n">
        <v>23</v>
      </c>
    </row>
    <row r="1854" customFormat="false" ht="16.5" hidden="false" customHeight="true" outlineLevel="0" collapsed="false">
      <c r="A1854" s="2" t="s">
        <v>416</v>
      </c>
      <c r="B1854" s="2" t="s">
        <v>423</v>
      </c>
      <c r="C1854" s="2" t="n">
        <v>2</v>
      </c>
      <c r="D1854" s="2" t="s">
        <v>561</v>
      </c>
      <c r="E1854" s="2" t="s">
        <v>39</v>
      </c>
      <c r="F1854" s="2" t="n">
        <v>92</v>
      </c>
      <c r="G1854" s="2" t="n">
        <v>27</v>
      </c>
    </row>
    <row r="1855" customFormat="false" ht="16.5" hidden="false" customHeight="true" outlineLevel="0" collapsed="false">
      <c r="A1855" s="2" t="s">
        <v>416</v>
      </c>
      <c r="B1855" s="2" t="s">
        <v>423</v>
      </c>
      <c r="C1855" s="2" t="n">
        <v>2</v>
      </c>
      <c r="D1855" s="2" t="s">
        <v>561</v>
      </c>
      <c r="E1855" s="2" t="s">
        <v>40</v>
      </c>
      <c r="F1855" s="2" t="n">
        <v>92</v>
      </c>
      <c r="G1855" s="2" t="n">
        <v>31</v>
      </c>
    </row>
    <row r="1856" customFormat="false" ht="16.5" hidden="false" customHeight="true" outlineLevel="0" collapsed="false">
      <c r="A1856" s="2" t="s">
        <v>416</v>
      </c>
      <c r="B1856" s="2" t="s">
        <v>423</v>
      </c>
      <c r="C1856" s="2" t="n">
        <v>2</v>
      </c>
      <c r="D1856" s="2" t="s">
        <v>561</v>
      </c>
      <c r="E1856" s="2" t="s">
        <v>41</v>
      </c>
      <c r="F1856" s="2" t="n">
        <v>92</v>
      </c>
      <c r="G1856" s="2" t="n">
        <v>35</v>
      </c>
    </row>
    <row r="1857" customFormat="false" ht="16.5" hidden="false" customHeight="true" outlineLevel="0" collapsed="false">
      <c r="A1857" s="2" t="s">
        <v>416</v>
      </c>
      <c r="B1857" s="2" t="s">
        <v>423</v>
      </c>
      <c r="C1857" s="2" t="n">
        <v>2</v>
      </c>
      <c r="D1857" s="2" t="s">
        <v>561</v>
      </c>
      <c r="E1857" s="2" t="s">
        <v>42</v>
      </c>
      <c r="F1857" s="2" t="n">
        <v>92</v>
      </c>
      <c r="G1857" s="2" t="n">
        <v>39</v>
      </c>
    </row>
    <row r="1858" customFormat="false" ht="16.5" hidden="false" customHeight="true" outlineLevel="0" collapsed="false">
      <c r="A1858" s="2" t="s">
        <v>416</v>
      </c>
      <c r="B1858" s="2" t="s">
        <v>423</v>
      </c>
      <c r="C1858" s="2" t="n">
        <v>2</v>
      </c>
      <c r="D1858" s="2" t="s">
        <v>561</v>
      </c>
      <c r="E1858" s="2" t="s">
        <v>43</v>
      </c>
      <c r="F1858" s="2" t="n">
        <v>92</v>
      </c>
      <c r="G1858" s="2" t="n">
        <v>43</v>
      </c>
    </row>
    <row r="1859" customFormat="false" ht="16.5" hidden="false" customHeight="true" outlineLevel="0" collapsed="false">
      <c r="A1859" s="2" t="s">
        <v>416</v>
      </c>
      <c r="B1859" s="2" t="s">
        <v>423</v>
      </c>
      <c r="C1859" s="2" t="n">
        <v>2</v>
      </c>
      <c r="D1859" s="2" t="s">
        <v>561</v>
      </c>
      <c r="E1859" s="2" t="s">
        <v>44</v>
      </c>
      <c r="F1859" s="2" t="n">
        <v>92</v>
      </c>
      <c r="G1859" s="2" t="n">
        <v>47</v>
      </c>
    </row>
    <row r="1860" customFormat="false" ht="16.5" hidden="false" customHeight="true" outlineLevel="0" collapsed="false">
      <c r="A1860" s="2" t="s">
        <v>416</v>
      </c>
      <c r="B1860" s="2" t="s">
        <v>423</v>
      </c>
      <c r="C1860" s="2" t="n">
        <v>2</v>
      </c>
      <c r="D1860" s="2" t="s">
        <v>561</v>
      </c>
      <c r="E1860" s="2" t="s">
        <v>48</v>
      </c>
      <c r="F1860" s="2" t="n">
        <v>94</v>
      </c>
      <c r="G1860" s="2" t="n">
        <v>16</v>
      </c>
    </row>
    <row r="1861" customFormat="false" ht="16.5" hidden="false" customHeight="true" outlineLevel="0" collapsed="false">
      <c r="A1861" s="2" t="s">
        <v>416</v>
      </c>
      <c r="B1861" s="2" t="s">
        <v>423</v>
      </c>
      <c r="C1861" s="2" t="n">
        <v>2</v>
      </c>
      <c r="D1861" s="2" t="s">
        <v>561</v>
      </c>
      <c r="E1861" s="2" t="s">
        <v>50</v>
      </c>
      <c r="F1861" s="2" t="n">
        <v>94</v>
      </c>
      <c r="G1861" s="2" t="n">
        <v>20</v>
      </c>
    </row>
    <row r="1862" customFormat="false" ht="16.5" hidden="false" customHeight="true" outlineLevel="0" collapsed="false">
      <c r="A1862" s="2" t="s">
        <v>416</v>
      </c>
      <c r="B1862" s="2" t="s">
        <v>423</v>
      </c>
      <c r="C1862" s="2" t="n">
        <v>2</v>
      </c>
      <c r="D1862" s="2" t="s">
        <v>561</v>
      </c>
      <c r="E1862" s="2" t="s">
        <v>45</v>
      </c>
      <c r="F1862" s="2" t="n">
        <v>94</v>
      </c>
      <c r="G1862" s="2" t="n">
        <v>38</v>
      </c>
    </row>
    <row r="1863" customFormat="false" ht="16.5" hidden="false" customHeight="true" outlineLevel="0" collapsed="false">
      <c r="A1863" s="2" t="s">
        <v>416</v>
      </c>
      <c r="B1863" s="2" t="s">
        <v>423</v>
      </c>
      <c r="C1863" s="2" t="n">
        <v>2</v>
      </c>
      <c r="D1863" s="2" t="s">
        <v>561</v>
      </c>
      <c r="E1863" s="2" t="s">
        <v>46</v>
      </c>
      <c r="F1863" s="2" t="n">
        <v>94</v>
      </c>
      <c r="G1863" s="2" t="n">
        <v>42</v>
      </c>
    </row>
    <row r="1864" customFormat="false" ht="16.5" hidden="false" customHeight="true" outlineLevel="0" collapsed="false">
      <c r="A1864" s="2" t="s">
        <v>416</v>
      </c>
      <c r="B1864" s="2" t="s">
        <v>424</v>
      </c>
      <c r="C1864" s="2" t="n">
        <v>2</v>
      </c>
      <c r="D1864" s="2" t="s">
        <v>562</v>
      </c>
      <c r="E1864" s="2" t="s">
        <v>0</v>
      </c>
      <c r="F1864" s="2" t="n">
        <v>99</v>
      </c>
      <c r="G1864" s="2" t="n">
        <v>6</v>
      </c>
    </row>
    <row r="1865" customFormat="false" ht="16.5" hidden="false" customHeight="true" outlineLevel="0" collapsed="false">
      <c r="A1865" s="2" t="s">
        <v>416</v>
      </c>
      <c r="B1865" s="2" t="s">
        <v>424</v>
      </c>
      <c r="C1865" s="2" t="n">
        <v>2</v>
      </c>
      <c r="D1865" s="2" t="s">
        <v>562</v>
      </c>
      <c r="E1865" s="2" t="s">
        <v>1</v>
      </c>
      <c r="F1865" s="2" t="n">
        <v>99</v>
      </c>
      <c r="G1865" s="2" t="n">
        <v>10</v>
      </c>
    </row>
    <row r="1866" customFormat="false" ht="16.5" hidden="false" customHeight="true" outlineLevel="0" collapsed="false">
      <c r="A1866" s="2" t="s">
        <v>416</v>
      </c>
      <c r="B1866" s="2" t="s">
        <v>424</v>
      </c>
      <c r="C1866" s="2" t="n">
        <v>2</v>
      </c>
      <c r="D1866" s="2" t="s">
        <v>562</v>
      </c>
      <c r="E1866" s="2" t="s">
        <v>2</v>
      </c>
      <c r="F1866" s="2" t="n">
        <v>99</v>
      </c>
      <c r="G1866" s="2" t="n">
        <v>14</v>
      </c>
    </row>
    <row r="1867" customFormat="false" ht="16.5" hidden="false" customHeight="true" outlineLevel="0" collapsed="false">
      <c r="A1867" s="2" t="s">
        <v>416</v>
      </c>
      <c r="B1867" s="2" t="s">
        <v>424</v>
      </c>
      <c r="C1867" s="2" t="n">
        <v>2</v>
      </c>
      <c r="D1867" s="2" t="s">
        <v>562</v>
      </c>
      <c r="E1867" s="2" t="s">
        <v>3</v>
      </c>
      <c r="F1867" s="2" t="n">
        <v>99</v>
      </c>
      <c r="G1867" s="2" t="n">
        <v>18</v>
      </c>
    </row>
    <row r="1868" customFormat="false" ht="16.5" hidden="false" customHeight="true" outlineLevel="0" collapsed="false">
      <c r="A1868" s="2" t="s">
        <v>416</v>
      </c>
      <c r="B1868" s="2" t="s">
        <v>424</v>
      </c>
      <c r="C1868" s="2" t="n">
        <v>2</v>
      </c>
      <c r="D1868" s="2" t="s">
        <v>562</v>
      </c>
      <c r="E1868" s="2" t="s">
        <v>4</v>
      </c>
      <c r="F1868" s="2" t="n">
        <v>99</v>
      </c>
      <c r="G1868" s="2" t="n">
        <v>22</v>
      </c>
    </row>
    <row r="1869" customFormat="false" ht="16.5" hidden="false" customHeight="true" outlineLevel="0" collapsed="false">
      <c r="A1869" s="2" t="s">
        <v>416</v>
      </c>
      <c r="B1869" s="2" t="s">
        <v>424</v>
      </c>
      <c r="C1869" s="2" t="n">
        <v>2</v>
      </c>
      <c r="D1869" s="2" t="s">
        <v>562</v>
      </c>
      <c r="E1869" s="2" t="s">
        <v>5</v>
      </c>
      <c r="F1869" s="2" t="n">
        <v>99</v>
      </c>
      <c r="G1869" s="2" t="n">
        <v>26</v>
      </c>
    </row>
    <row r="1870" customFormat="false" ht="16.5" hidden="false" customHeight="true" outlineLevel="0" collapsed="false">
      <c r="A1870" s="2" t="s">
        <v>416</v>
      </c>
      <c r="B1870" s="2" t="s">
        <v>424</v>
      </c>
      <c r="C1870" s="2" t="n">
        <v>2</v>
      </c>
      <c r="D1870" s="2" t="s">
        <v>562</v>
      </c>
      <c r="E1870" s="2" t="s">
        <v>6</v>
      </c>
      <c r="F1870" s="2" t="n">
        <v>99</v>
      </c>
      <c r="G1870" s="2" t="n">
        <v>30</v>
      </c>
    </row>
    <row r="1871" customFormat="false" ht="16.5" hidden="false" customHeight="true" outlineLevel="0" collapsed="false">
      <c r="A1871" s="2" t="s">
        <v>416</v>
      </c>
      <c r="B1871" s="2" t="s">
        <v>424</v>
      </c>
      <c r="C1871" s="2" t="n">
        <v>2</v>
      </c>
      <c r="D1871" s="2" t="s">
        <v>562</v>
      </c>
      <c r="E1871" s="2" t="s">
        <v>7</v>
      </c>
      <c r="F1871" s="2" t="n">
        <v>99</v>
      </c>
      <c r="G1871" s="2" t="n">
        <v>34</v>
      </c>
    </row>
    <row r="1872" customFormat="false" ht="16.5" hidden="false" customHeight="true" outlineLevel="0" collapsed="false">
      <c r="A1872" s="2" t="s">
        <v>416</v>
      </c>
      <c r="B1872" s="2" t="s">
        <v>424</v>
      </c>
      <c r="C1872" s="2" t="n">
        <v>2</v>
      </c>
      <c r="D1872" s="2" t="s">
        <v>562</v>
      </c>
      <c r="E1872" s="2" t="s">
        <v>8</v>
      </c>
      <c r="F1872" s="2" t="n">
        <v>99</v>
      </c>
      <c r="G1872" s="2" t="n">
        <v>38</v>
      </c>
    </row>
    <row r="1873" customFormat="false" ht="16.5" hidden="false" customHeight="true" outlineLevel="0" collapsed="false">
      <c r="A1873" s="2" t="s">
        <v>416</v>
      </c>
      <c r="B1873" s="2" t="s">
        <v>424</v>
      </c>
      <c r="C1873" s="2" t="n">
        <v>2</v>
      </c>
      <c r="D1873" s="2" t="s">
        <v>562</v>
      </c>
      <c r="E1873" s="2" t="s">
        <v>9</v>
      </c>
      <c r="F1873" s="2" t="n">
        <v>99</v>
      </c>
      <c r="G1873" s="2" t="n">
        <v>42</v>
      </c>
    </row>
    <row r="1874" customFormat="false" ht="16.5" hidden="false" customHeight="true" outlineLevel="0" collapsed="false">
      <c r="A1874" s="2" t="s">
        <v>416</v>
      </c>
      <c r="B1874" s="2" t="s">
        <v>424</v>
      </c>
      <c r="C1874" s="2" t="n">
        <v>2</v>
      </c>
      <c r="D1874" s="2" t="s">
        <v>562</v>
      </c>
      <c r="E1874" s="2" t="s">
        <v>10</v>
      </c>
      <c r="F1874" s="2" t="n">
        <v>99</v>
      </c>
      <c r="G1874" s="2" t="n">
        <v>46</v>
      </c>
    </row>
    <row r="1875" customFormat="false" ht="16.5" hidden="false" customHeight="true" outlineLevel="0" collapsed="false">
      <c r="A1875" s="2" t="s">
        <v>416</v>
      </c>
      <c r="B1875" s="2" t="s">
        <v>424</v>
      </c>
      <c r="C1875" s="2" t="n">
        <v>2</v>
      </c>
      <c r="D1875" s="2" t="s">
        <v>562</v>
      </c>
      <c r="E1875" s="2" t="s">
        <v>11</v>
      </c>
      <c r="F1875" s="2" t="n">
        <v>99</v>
      </c>
      <c r="G1875" s="2" t="n">
        <v>50</v>
      </c>
    </row>
    <row r="1876" customFormat="false" ht="16.5" hidden="false" customHeight="true" outlineLevel="0" collapsed="false">
      <c r="A1876" s="2" t="s">
        <v>416</v>
      </c>
      <c r="B1876" s="2" t="s">
        <v>424</v>
      </c>
      <c r="C1876" s="2" t="n">
        <v>2</v>
      </c>
      <c r="D1876" s="2" t="s">
        <v>562</v>
      </c>
      <c r="E1876" s="2" t="s">
        <v>12</v>
      </c>
      <c r="F1876" s="2" t="n">
        <v>101</v>
      </c>
      <c r="G1876" s="2" t="n">
        <v>8</v>
      </c>
    </row>
    <row r="1877" customFormat="false" ht="16.5" hidden="false" customHeight="true" outlineLevel="0" collapsed="false">
      <c r="A1877" s="2" t="s">
        <v>416</v>
      </c>
      <c r="B1877" s="2" t="s">
        <v>424</v>
      </c>
      <c r="C1877" s="2" t="n">
        <v>2</v>
      </c>
      <c r="D1877" s="2" t="s">
        <v>562</v>
      </c>
      <c r="E1877" s="2" t="s">
        <v>13</v>
      </c>
      <c r="F1877" s="2" t="n">
        <v>101</v>
      </c>
      <c r="G1877" s="2" t="n">
        <v>12</v>
      </c>
    </row>
    <row r="1878" customFormat="false" ht="16.5" hidden="false" customHeight="true" outlineLevel="0" collapsed="false">
      <c r="A1878" s="2" t="s">
        <v>416</v>
      </c>
      <c r="B1878" s="2" t="s">
        <v>424</v>
      </c>
      <c r="C1878" s="2" t="n">
        <v>2</v>
      </c>
      <c r="D1878" s="2" t="s">
        <v>562</v>
      </c>
      <c r="E1878" s="2" t="s">
        <v>14</v>
      </c>
      <c r="F1878" s="2" t="n">
        <v>101</v>
      </c>
      <c r="G1878" s="2" t="n">
        <v>16</v>
      </c>
    </row>
    <row r="1879" customFormat="false" ht="16.5" hidden="false" customHeight="true" outlineLevel="0" collapsed="false">
      <c r="A1879" s="2" t="s">
        <v>416</v>
      </c>
      <c r="B1879" s="2" t="s">
        <v>424</v>
      </c>
      <c r="C1879" s="2" t="n">
        <v>2</v>
      </c>
      <c r="D1879" s="2" t="s">
        <v>562</v>
      </c>
      <c r="E1879" s="2" t="s">
        <v>15</v>
      </c>
      <c r="F1879" s="2" t="n">
        <v>101</v>
      </c>
      <c r="G1879" s="2" t="n">
        <v>20</v>
      </c>
    </row>
    <row r="1880" customFormat="false" ht="16.5" hidden="false" customHeight="true" outlineLevel="0" collapsed="false">
      <c r="A1880" s="2" t="s">
        <v>416</v>
      </c>
      <c r="B1880" s="2" t="s">
        <v>424</v>
      </c>
      <c r="C1880" s="2" t="n">
        <v>2</v>
      </c>
      <c r="D1880" s="2" t="s">
        <v>562</v>
      </c>
      <c r="E1880" s="2" t="s">
        <v>16</v>
      </c>
      <c r="F1880" s="2" t="n">
        <v>101</v>
      </c>
      <c r="G1880" s="2" t="n">
        <v>24</v>
      </c>
    </row>
    <row r="1881" customFormat="false" ht="16.5" hidden="false" customHeight="true" outlineLevel="0" collapsed="false">
      <c r="A1881" s="2" t="s">
        <v>416</v>
      </c>
      <c r="B1881" s="2" t="s">
        <v>424</v>
      </c>
      <c r="C1881" s="2" t="n">
        <v>2</v>
      </c>
      <c r="D1881" s="2" t="s">
        <v>562</v>
      </c>
      <c r="E1881" s="2" t="s">
        <v>17</v>
      </c>
      <c r="F1881" s="2" t="n">
        <v>101</v>
      </c>
      <c r="G1881" s="2" t="n">
        <v>28</v>
      </c>
    </row>
    <row r="1882" customFormat="false" ht="16.5" hidden="false" customHeight="true" outlineLevel="0" collapsed="false">
      <c r="A1882" s="2" t="s">
        <v>416</v>
      </c>
      <c r="B1882" s="2" t="s">
        <v>424</v>
      </c>
      <c r="C1882" s="2" t="n">
        <v>2</v>
      </c>
      <c r="D1882" s="2" t="s">
        <v>562</v>
      </c>
      <c r="E1882" s="2" t="s">
        <v>18</v>
      </c>
      <c r="F1882" s="2" t="n">
        <v>101</v>
      </c>
      <c r="G1882" s="2" t="n">
        <v>32</v>
      </c>
    </row>
    <row r="1883" customFormat="false" ht="16.5" hidden="false" customHeight="true" outlineLevel="0" collapsed="false">
      <c r="A1883" s="2" t="s">
        <v>416</v>
      </c>
      <c r="B1883" s="2" t="s">
        <v>424</v>
      </c>
      <c r="C1883" s="2" t="n">
        <v>2</v>
      </c>
      <c r="D1883" s="2" t="s">
        <v>562</v>
      </c>
      <c r="E1883" s="2" t="s">
        <v>19</v>
      </c>
      <c r="F1883" s="2" t="n">
        <v>101</v>
      </c>
      <c r="G1883" s="2" t="n">
        <v>36</v>
      </c>
    </row>
    <row r="1884" customFormat="false" ht="16.5" hidden="false" customHeight="true" outlineLevel="0" collapsed="false">
      <c r="A1884" s="2" t="s">
        <v>416</v>
      </c>
      <c r="B1884" s="2" t="s">
        <v>424</v>
      </c>
      <c r="C1884" s="2" t="n">
        <v>2</v>
      </c>
      <c r="D1884" s="2" t="s">
        <v>562</v>
      </c>
      <c r="E1884" s="2" t="s">
        <v>20</v>
      </c>
      <c r="F1884" s="2" t="n">
        <v>101</v>
      </c>
      <c r="G1884" s="2" t="n">
        <v>40</v>
      </c>
    </row>
    <row r="1885" customFormat="false" ht="16.5" hidden="false" customHeight="true" outlineLevel="0" collapsed="false">
      <c r="A1885" s="2" t="s">
        <v>416</v>
      </c>
      <c r="B1885" s="2" t="s">
        <v>424</v>
      </c>
      <c r="C1885" s="2" t="n">
        <v>2</v>
      </c>
      <c r="D1885" s="2" t="s">
        <v>562</v>
      </c>
      <c r="E1885" s="2" t="s">
        <v>21</v>
      </c>
      <c r="F1885" s="2" t="n">
        <v>101</v>
      </c>
      <c r="G1885" s="2" t="n">
        <v>44</v>
      </c>
    </row>
    <row r="1886" customFormat="false" ht="16.5" hidden="false" customHeight="true" outlineLevel="0" collapsed="false">
      <c r="A1886" s="2" t="s">
        <v>416</v>
      </c>
      <c r="B1886" s="2" t="s">
        <v>424</v>
      </c>
      <c r="C1886" s="2" t="n">
        <v>2</v>
      </c>
      <c r="D1886" s="2" t="s">
        <v>562</v>
      </c>
      <c r="E1886" s="2" t="s">
        <v>22</v>
      </c>
      <c r="F1886" s="2" t="n">
        <v>101</v>
      </c>
      <c r="G1886" s="2" t="n">
        <v>48</v>
      </c>
    </row>
    <row r="1887" customFormat="false" ht="16.5" hidden="false" customHeight="true" outlineLevel="0" collapsed="false">
      <c r="A1887" s="2" t="s">
        <v>416</v>
      </c>
      <c r="B1887" s="2" t="s">
        <v>424</v>
      </c>
      <c r="C1887" s="2" t="n">
        <v>2</v>
      </c>
      <c r="D1887" s="2" t="s">
        <v>562</v>
      </c>
      <c r="E1887" s="2" t="s">
        <v>23</v>
      </c>
      <c r="F1887" s="2" t="n">
        <v>101</v>
      </c>
      <c r="G1887" s="2" t="n">
        <v>52</v>
      </c>
    </row>
    <row r="1888" customFormat="false" ht="16.5" hidden="false" customHeight="true" outlineLevel="0" collapsed="false">
      <c r="A1888" s="2" t="s">
        <v>416</v>
      </c>
      <c r="B1888" s="2" t="s">
        <v>424</v>
      </c>
      <c r="C1888" s="2" t="n">
        <v>2</v>
      </c>
      <c r="D1888" s="2" t="s">
        <v>562</v>
      </c>
      <c r="E1888" s="2" t="s">
        <v>24</v>
      </c>
      <c r="F1888" s="2" t="n">
        <v>103</v>
      </c>
      <c r="G1888" s="2" t="n">
        <v>9</v>
      </c>
    </row>
    <row r="1889" customFormat="false" ht="16.5" hidden="false" customHeight="true" outlineLevel="0" collapsed="false">
      <c r="A1889" s="2" t="s">
        <v>416</v>
      </c>
      <c r="B1889" s="2" t="s">
        <v>424</v>
      </c>
      <c r="C1889" s="2" t="n">
        <v>2</v>
      </c>
      <c r="D1889" s="2" t="s">
        <v>562</v>
      </c>
      <c r="E1889" s="2" t="s">
        <v>25</v>
      </c>
      <c r="F1889" s="2" t="n">
        <v>103</v>
      </c>
      <c r="G1889" s="2" t="n">
        <v>13</v>
      </c>
    </row>
    <row r="1890" customFormat="false" ht="16.5" hidden="false" customHeight="true" outlineLevel="0" collapsed="false">
      <c r="A1890" s="2" t="s">
        <v>416</v>
      </c>
      <c r="B1890" s="2" t="s">
        <v>424</v>
      </c>
      <c r="C1890" s="2" t="n">
        <v>2</v>
      </c>
      <c r="D1890" s="2" t="s">
        <v>562</v>
      </c>
      <c r="E1890" s="2" t="s">
        <v>26</v>
      </c>
      <c r="F1890" s="2" t="n">
        <v>103</v>
      </c>
      <c r="G1890" s="2" t="n">
        <v>17</v>
      </c>
    </row>
    <row r="1891" customFormat="false" ht="16.5" hidden="false" customHeight="true" outlineLevel="0" collapsed="false">
      <c r="A1891" s="2" t="s">
        <v>416</v>
      </c>
      <c r="B1891" s="2" t="s">
        <v>424</v>
      </c>
      <c r="C1891" s="2" t="n">
        <v>2</v>
      </c>
      <c r="D1891" s="2" t="s">
        <v>562</v>
      </c>
      <c r="E1891" s="2" t="s">
        <v>27</v>
      </c>
      <c r="F1891" s="2" t="n">
        <v>103</v>
      </c>
      <c r="G1891" s="2" t="n">
        <v>21</v>
      </c>
    </row>
    <row r="1892" customFormat="false" ht="16.5" hidden="false" customHeight="true" outlineLevel="0" collapsed="false">
      <c r="A1892" s="2" t="s">
        <v>416</v>
      </c>
      <c r="B1892" s="2" t="s">
        <v>424</v>
      </c>
      <c r="C1892" s="2" t="n">
        <v>2</v>
      </c>
      <c r="D1892" s="2" t="s">
        <v>562</v>
      </c>
      <c r="E1892" s="2" t="s">
        <v>28</v>
      </c>
      <c r="F1892" s="2" t="n">
        <v>103</v>
      </c>
      <c r="G1892" s="2" t="n">
        <v>25</v>
      </c>
    </row>
    <row r="1893" customFormat="false" ht="16.5" hidden="false" customHeight="true" outlineLevel="0" collapsed="false">
      <c r="A1893" s="2" t="s">
        <v>416</v>
      </c>
      <c r="B1893" s="2" t="s">
        <v>424</v>
      </c>
      <c r="C1893" s="2" t="n">
        <v>2</v>
      </c>
      <c r="D1893" s="2" t="s">
        <v>562</v>
      </c>
      <c r="E1893" s="2" t="s">
        <v>29</v>
      </c>
      <c r="F1893" s="2" t="n">
        <v>103</v>
      </c>
      <c r="G1893" s="2" t="n">
        <v>29</v>
      </c>
    </row>
    <row r="1894" customFormat="false" ht="16.5" hidden="false" customHeight="true" outlineLevel="0" collapsed="false">
      <c r="A1894" s="2" t="s">
        <v>416</v>
      </c>
      <c r="B1894" s="2" t="s">
        <v>424</v>
      </c>
      <c r="C1894" s="2" t="n">
        <v>2</v>
      </c>
      <c r="D1894" s="2" t="s">
        <v>562</v>
      </c>
      <c r="E1894" s="2" t="s">
        <v>30</v>
      </c>
      <c r="F1894" s="2" t="n">
        <v>103</v>
      </c>
      <c r="G1894" s="2" t="n">
        <v>33</v>
      </c>
    </row>
    <row r="1895" customFormat="false" ht="16.5" hidden="false" customHeight="true" outlineLevel="0" collapsed="false">
      <c r="A1895" s="2" t="s">
        <v>416</v>
      </c>
      <c r="B1895" s="2" t="s">
        <v>424</v>
      </c>
      <c r="C1895" s="2" t="n">
        <v>2</v>
      </c>
      <c r="D1895" s="2" t="s">
        <v>562</v>
      </c>
      <c r="E1895" s="2" t="s">
        <v>31</v>
      </c>
      <c r="F1895" s="2" t="n">
        <v>103</v>
      </c>
      <c r="G1895" s="2" t="n">
        <v>37</v>
      </c>
    </row>
    <row r="1896" customFormat="false" ht="16.5" hidden="false" customHeight="true" outlineLevel="0" collapsed="false">
      <c r="A1896" s="2" t="s">
        <v>416</v>
      </c>
      <c r="B1896" s="2" t="s">
        <v>424</v>
      </c>
      <c r="C1896" s="2" t="n">
        <v>2</v>
      </c>
      <c r="D1896" s="2" t="s">
        <v>562</v>
      </c>
      <c r="E1896" s="2" t="s">
        <v>32</v>
      </c>
      <c r="F1896" s="2" t="n">
        <v>103</v>
      </c>
      <c r="G1896" s="2" t="n">
        <v>41</v>
      </c>
    </row>
    <row r="1897" customFormat="false" ht="16.5" hidden="false" customHeight="true" outlineLevel="0" collapsed="false">
      <c r="A1897" s="2" t="s">
        <v>416</v>
      </c>
      <c r="B1897" s="2" t="s">
        <v>424</v>
      </c>
      <c r="C1897" s="2" t="n">
        <v>2</v>
      </c>
      <c r="D1897" s="2" t="s">
        <v>562</v>
      </c>
      <c r="E1897" s="2" t="s">
        <v>33</v>
      </c>
      <c r="F1897" s="2" t="n">
        <v>103</v>
      </c>
      <c r="G1897" s="2" t="n">
        <v>45</v>
      </c>
    </row>
    <row r="1898" customFormat="false" ht="16.5" hidden="false" customHeight="true" outlineLevel="0" collapsed="false">
      <c r="A1898" s="2" t="s">
        <v>416</v>
      </c>
      <c r="B1898" s="2" t="s">
        <v>424</v>
      </c>
      <c r="C1898" s="2" t="n">
        <v>2</v>
      </c>
      <c r="D1898" s="2" t="s">
        <v>562</v>
      </c>
      <c r="E1898" s="2" t="s">
        <v>34</v>
      </c>
      <c r="F1898" s="2" t="n">
        <v>103</v>
      </c>
      <c r="G1898" s="2" t="n">
        <v>49</v>
      </c>
    </row>
    <row r="1899" customFormat="false" ht="16.5" hidden="false" customHeight="true" outlineLevel="0" collapsed="false">
      <c r="A1899" s="2" t="s">
        <v>416</v>
      </c>
      <c r="B1899" s="2" t="s">
        <v>424</v>
      </c>
      <c r="C1899" s="2" t="n">
        <v>2</v>
      </c>
      <c r="D1899" s="2" t="s">
        <v>562</v>
      </c>
      <c r="E1899" s="2" t="s">
        <v>35</v>
      </c>
      <c r="F1899" s="2" t="n">
        <v>105</v>
      </c>
      <c r="G1899" s="2" t="n">
        <v>11</v>
      </c>
    </row>
    <row r="1900" customFormat="false" ht="16.5" hidden="false" customHeight="true" outlineLevel="0" collapsed="false">
      <c r="A1900" s="2" t="s">
        <v>416</v>
      </c>
      <c r="B1900" s="2" t="s">
        <v>424</v>
      </c>
      <c r="C1900" s="2" t="n">
        <v>2</v>
      </c>
      <c r="D1900" s="2" t="s">
        <v>562</v>
      </c>
      <c r="E1900" s="2" t="s">
        <v>36</v>
      </c>
      <c r="F1900" s="2" t="n">
        <v>105</v>
      </c>
      <c r="G1900" s="2" t="n">
        <v>15</v>
      </c>
    </row>
    <row r="1901" customFormat="false" ht="16.5" hidden="false" customHeight="true" outlineLevel="0" collapsed="false">
      <c r="A1901" s="2" t="s">
        <v>416</v>
      </c>
      <c r="B1901" s="2" t="s">
        <v>424</v>
      </c>
      <c r="C1901" s="2" t="n">
        <v>2</v>
      </c>
      <c r="D1901" s="2" t="s">
        <v>562</v>
      </c>
      <c r="E1901" s="2" t="s">
        <v>37</v>
      </c>
      <c r="F1901" s="2" t="n">
        <v>105</v>
      </c>
      <c r="G1901" s="2" t="n">
        <v>19</v>
      </c>
    </row>
    <row r="1902" customFormat="false" ht="16.5" hidden="false" customHeight="true" outlineLevel="0" collapsed="false">
      <c r="A1902" s="2" t="s">
        <v>416</v>
      </c>
      <c r="B1902" s="2" t="s">
        <v>424</v>
      </c>
      <c r="C1902" s="2" t="n">
        <v>2</v>
      </c>
      <c r="D1902" s="2" t="s">
        <v>562</v>
      </c>
      <c r="E1902" s="2" t="s">
        <v>38</v>
      </c>
      <c r="F1902" s="2" t="n">
        <v>105</v>
      </c>
      <c r="G1902" s="2" t="n">
        <v>23</v>
      </c>
    </row>
    <row r="1903" customFormat="false" ht="16.5" hidden="false" customHeight="true" outlineLevel="0" collapsed="false">
      <c r="A1903" s="2" t="s">
        <v>416</v>
      </c>
      <c r="B1903" s="2" t="s">
        <v>424</v>
      </c>
      <c r="C1903" s="2" t="n">
        <v>2</v>
      </c>
      <c r="D1903" s="2" t="s">
        <v>562</v>
      </c>
      <c r="E1903" s="2" t="s">
        <v>39</v>
      </c>
      <c r="F1903" s="2" t="n">
        <v>105</v>
      </c>
      <c r="G1903" s="2" t="n">
        <v>27</v>
      </c>
    </row>
    <row r="1904" customFormat="false" ht="16.5" hidden="false" customHeight="true" outlineLevel="0" collapsed="false">
      <c r="A1904" s="2" t="s">
        <v>416</v>
      </c>
      <c r="B1904" s="2" t="s">
        <v>424</v>
      </c>
      <c r="C1904" s="2" t="n">
        <v>2</v>
      </c>
      <c r="D1904" s="2" t="s">
        <v>562</v>
      </c>
      <c r="E1904" s="2" t="s">
        <v>40</v>
      </c>
      <c r="F1904" s="2" t="n">
        <v>105</v>
      </c>
      <c r="G1904" s="2" t="n">
        <v>31</v>
      </c>
    </row>
    <row r="1905" customFormat="false" ht="16.5" hidden="false" customHeight="true" outlineLevel="0" collapsed="false">
      <c r="A1905" s="2" t="s">
        <v>416</v>
      </c>
      <c r="B1905" s="2" t="s">
        <v>424</v>
      </c>
      <c r="C1905" s="2" t="n">
        <v>2</v>
      </c>
      <c r="D1905" s="2" t="s">
        <v>562</v>
      </c>
      <c r="E1905" s="2" t="s">
        <v>41</v>
      </c>
      <c r="F1905" s="2" t="n">
        <v>105</v>
      </c>
      <c r="G1905" s="2" t="n">
        <v>35</v>
      </c>
    </row>
    <row r="1906" customFormat="false" ht="16.5" hidden="false" customHeight="true" outlineLevel="0" collapsed="false">
      <c r="A1906" s="2" t="s">
        <v>416</v>
      </c>
      <c r="B1906" s="2" t="s">
        <v>424</v>
      </c>
      <c r="C1906" s="2" t="n">
        <v>2</v>
      </c>
      <c r="D1906" s="2" t="s">
        <v>562</v>
      </c>
      <c r="E1906" s="2" t="s">
        <v>42</v>
      </c>
      <c r="F1906" s="2" t="n">
        <v>105</v>
      </c>
      <c r="G1906" s="2" t="n">
        <v>39</v>
      </c>
    </row>
    <row r="1907" customFormat="false" ht="16.5" hidden="false" customHeight="true" outlineLevel="0" collapsed="false">
      <c r="A1907" s="2" t="s">
        <v>416</v>
      </c>
      <c r="B1907" s="2" t="s">
        <v>424</v>
      </c>
      <c r="C1907" s="2" t="n">
        <v>2</v>
      </c>
      <c r="D1907" s="2" t="s">
        <v>562</v>
      </c>
      <c r="E1907" s="2" t="s">
        <v>43</v>
      </c>
      <c r="F1907" s="2" t="n">
        <v>105</v>
      </c>
      <c r="G1907" s="2" t="n">
        <v>43</v>
      </c>
    </row>
    <row r="1908" customFormat="false" ht="16.5" hidden="false" customHeight="true" outlineLevel="0" collapsed="false">
      <c r="A1908" s="2" t="s">
        <v>416</v>
      </c>
      <c r="B1908" s="2" t="s">
        <v>424</v>
      </c>
      <c r="C1908" s="2" t="n">
        <v>2</v>
      </c>
      <c r="D1908" s="2" t="s">
        <v>562</v>
      </c>
      <c r="E1908" s="2" t="s">
        <v>44</v>
      </c>
      <c r="F1908" s="2" t="n">
        <v>105</v>
      </c>
      <c r="G1908" s="2" t="n">
        <v>47</v>
      </c>
    </row>
    <row r="1909" customFormat="false" ht="16.5" hidden="false" customHeight="true" outlineLevel="0" collapsed="false">
      <c r="A1909" s="2" t="s">
        <v>416</v>
      </c>
      <c r="B1909" s="2" t="s">
        <v>424</v>
      </c>
      <c r="C1909" s="2" t="n">
        <v>2</v>
      </c>
      <c r="D1909" s="2" t="s">
        <v>562</v>
      </c>
      <c r="E1909" s="2" t="s">
        <v>48</v>
      </c>
      <c r="F1909" s="2" t="n">
        <v>107</v>
      </c>
      <c r="G1909" s="2" t="n">
        <v>16</v>
      </c>
    </row>
    <row r="1910" customFormat="false" ht="16.5" hidden="false" customHeight="true" outlineLevel="0" collapsed="false">
      <c r="A1910" s="2" t="s">
        <v>416</v>
      </c>
      <c r="B1910" s="2" t="s">
        <v>424</v>
      </c>
      <c r="C1910" s="2" t="n">
        <v>2</v>
      </c>
      <c r="D1910" s="2" t="s">
        <v>562</v>
      </c>
      <c r="E1910" s="2" t="s">
        <v>50</v>
      </c>
      <c r="F1910" s="2" t="n">
        <v>107</v>
      </c>
      <c r="G1910" s="2" t="n">
        <v>20</v>
      </c>
    </row>
    <row r="1911" customFormat="false" ht="16.5" hidden="false" customHeight="true" outlineLevel="0" collapsed="false">
      <c r="A1911" s="2" t="s">
        <v>416</v>
      </c>
      <c r="B1911" s="2" t="s">
        <v>424</v>
      </c>
      <c r="C1911" s="2" t="n">
        <v>2</v>
      </c>
      <c r="D1911" s="2" t="s">
        <v>562</v>
      </c>
      <c r="E1911" s="2" t="s">
        <v>45</v>
      </c>
      <c r="F1911" s="2" t="n">
        <v>107</v>
      </c>
      <c r="G1911" s="2" t="n">
        <v>38</v>
      </c>
    </row>
    <row r="1912" customFormat="false" ht="16.5" hidden="false" customHeight="true" outlineLevel="0" collapsed="false">
      <c r="A1912" s="2" t="s">
        <v>416</v>
      </c>
      <c r="B1912" s="2" t="s">
        <v>424</v>
      </c>
      <c r="C1912" s="2" t="n">
        <v>2</v>
      </c>
      <c r="D1912" s="2" t="s">
        <v>562</v>
      </c>
      <c r="E1912" s="2" t="s">
        <v>46</v>
      </c>
      <c r="F1912" s="2" t="n">
        <v>107</v>
      </c>
      <c r="G1912" s="2" t="n">
        <v>42</v>
      </c>
    </row>
    <row r="1913" customFormat="false" ht="16.5" hidden="false" customHeight="true" outlineLevel="0" collapsed="false">
      <c r="A1913" s="2" t="s">
        <v>416</v>
      </c>
      <c r="B1913" s="2" t="s">
        <v>425</v>
      </c>
      <c r="C1913" s="2" t="n">
        <v>2</v>
      </c>
      <c r="D1913" s="2" t="s">
        <v>563</v>
      </c>
      <c r="E1913" s="2" t="s">
        <v>0</v>
      </c>
      <c r="F1913" s="2" t="n">
        <v>112</v>
      </c>
      <c r="G1913" s="2" t="n">
        <v>6</v>
      </c>
    </row>
    <row r="1914" customFormat="false" ht="16.5" hidden="false" customHeight="true" outlineLevel="0" collapsed="false">
      <c r="A1914" s="2" t="s">
        <v>416</v>
      </c>
      <c r="B1914" s="2" t="s">
        <v>425</v>
      </c>
      <c r="C1914" s="2" t="n">
        <v>2</v>
      </c>
      <c r="D1914" s="2" t="s">
        <v>563</v>
      </c>
      <c r="E1914" s="2" t="s">
        <v>1</v>
      </c>
      <c r="F1914" s="2" t="n">
        <v>112</v>
      </c>
      <c r="G1914" s="2" t="n">
        <v>10</v>
      </c>
    </row>
    <row r="1915" customFormat="false" ht="16.5" hidden="false" customHeight="true" outlineLevel="0" collapsed="false">
      <c r="A1915" s="2" t="s">
        <v>416</v>
      </c>
      <c r="B1915" s="2" t="s">
        <v>425</v>
      </c>
      <c r="C1915" s="2" t="n">
        <v>2</v>
      </c>
      <c r="D1915" s="2" t="s">
        <v>563</v>
      </c>
      <c r="E1915" s="2" t="s">
        <v>2</v>
      </c>
      <c r="F1915" s="2" t="n">
        <v>112</v>
      </c>
      <c r="G1915" s="2" t="n">
        <v>14</v>
      </c>
    </row>
    <row r="1916" customFormat="false" ht="16.5" hidden="false" customHeight="true" outlineLevel="0" collapsed="false">
      <c r="A1916" s="2" t="s">
        <v>416</v>
      </c>
      <c r="B1916" s="2" t="s">
        <v>425</v>
      </c>
      <c r="C1916" s="2" t="n">
        <v>2</v>
      </c>
      <c r="D1916" s="2" t="s">
        <v>563</v>
      </c>
      <c r="E1916" s="2" t="s">
        <v>3</v>
      </c>
      <c r="F1916" s="2" t="n">
        <v>112</v>
      </c>
      <c r="G1916" s="2" t="n">
        <v>18</v>
      </c>
    </row>
    <row r="1917" customFormat="false" ht="16.5" hidden="false" customHeight="true" outlineLevel="0" collapsed="false">
      <c r="A1917" s="2" t="s">
        <v>416</v>
      </c>
      <c r="B1917" s="2" t="s">
        <v>425</v>
      </c>
      <c r="C1917" s="2" t="n">
        <v>2</v>
      </c>
      <c r="D1917" s="2" t="s">
        <v>563</v>
      </c>
      <c r="E1917" s="2" t="s">
        <v>4</v>
      </c>
      <c r="F1917" s="2" t="n">
        <v>112</v>
      </c>
      <c r="G1917" s="2" t="n">
        <v>22</v>
      </c>
    </row>
    <row r="1918" customFormat="false" ht="16.5" hidden="false" customHeight="true" outlineLevel="0" collapsed="false">
      <c r="A1918" s="2" t="s">
        <v>416</v>
      </c>
      <c r="B1918" s="2" t="s">
        <v>425</v>
      </c>
      <c r="C1918" s="2" t="n">
        <v>2</v>
      </c>
      <c r="D1918" s="2" t="s">
        <v>563</v>
      </c>
      <c r="E1918" s="2" t="s">
        <v>5</v>
      </c>
      <c r="F1918" s="2" t="n">
        <v>112</v>
      </c>
      <c r="G1918" s="2" t="n">
        <v>26</v>
      </c>
    </row>
    <row r="1919" customFormat="false" ht="16.5" hidden="false" customHeight="true" outlineLevel="0" collapsed="false">
      <c r="A1919" s="2" t="s">
        <v>416</v>
      </c>
      <c r="B1919" s="2" t="s">
        <v>425</v>
      </c>
      <c r="C1919" s="2" t="n">
        <v>2</v>
      </c>
      <c r="D1919" s="2" t="s">
        <v>563</v>
      </c>
      <c r="E1919" s="2" t="s">
        <v>6</v>
      </c>
      <c r="F1919" s="2" t="n">
        <v>112</v>
      </c>
      <c r="G1919" s="2" t="n">
        <v>30</v>
      </c>
    </row>
    <row r="1920" customFormat="false" ht="16.5" hidden="false" customHeight="true" outlineLevel="0" collapsed="false">
      <c r="A1920" s="2" t="s">
        <v>416</v>
      </c>
      <c r="B1920" s="2" t="s">
        <v>425</v>
      </c>
      <c r="C1920" s="2" t="n">
        <v>2</v>
      </c>
      <c r="D1920" s="2" t="s">
        <v>563</v>
      </c>
      <c r="E1920" s="2" t="s">
        <v>7</v>
      </c>
      <c r="F1920" s="2" t="n">
        <v>112</v>
      </c>
      <c r="G1920" s="2" t="n">
        <v>34</v>
      </c>
    </row>
    <row r="1921" customFormat="false" ht="16.5" hidden="false" customHeight="true" outlineLevel="0" collapsed="false">
      <c r="A1921" s="2" t="s">
        <v>416</v>
      </c>
      <c r="B1921" s="2" t="s">
        <v>425</v>
      </c>
      <c r="C1921" s="2" t="n">
        <v>2</v>
      </c>
      <c r="D1921" s="2" t="s">
        <v>563</v>
      </c>
      <c r="E1921" s="2" t="s">
        <v>8</v>
      </c>
      <c r="F1921" s="2" t="n">
        <v>112</v>
      </c>
      <c r="G1921" s="2" t="n">
        <v>38</v>
      </c>
    </row>
    <row r="1922" customFormat="false" ht="16.5" hidden="false" customHeight="true" outlineLevel="0" collapsed="false">
      <c r="A1922" s="2" t="s">
        <v>416</v>
      </c>
      <c r="B1922" s="2" t="s">
        <v>425</v>
      </c>
      <c r="C1922" s="2" t="n">
        <v>2</v>
      </c>
      <c r="D1922" s="2" t="s">
        <v>563</v>
      </c>
      <c r="E1922" s="2" t="s">
        <v>9</v>
      </c>
      <c r="F1922" s="2" t="n">
        <v>112</v>
      </c>
      <c r="G1922" s="2" t="n">
        <v>42</v>
      </c>
    </row>
    <row r="1923" customFormat="false" ht="16.5" hidden="false" customHeight="true" outlineLevel="0" collapsed="false">
      <c r="A1923" s="2" t="s">
        <v>416</v>
      </c>
      <c r="B1923" s="2" t="s">
        <v>425</v>
      </c>
      <c r="C1923" s="2" t="n">
        <v>2</v>
      </c>
      <c r="D1923" s="2" t="s">
        <v>563</v>
      </c>
      <c r="E1923" s="2" t="s">
        <v>10</v>
      </c>
      <c r="F1923" s="2" t="n">
        <v>112</v>
      </c>
      <c r="G1923" s="2" t="n">
        <v>46</v>
      </c>
    </row>
    <row r="1924" customFormat="false" ht="16.5" hidden="false" customHeight="true" outlineLevel="0" collapsed="false">
      <c r="A1924" s="2" t="s">
        <v>416</v>
      </c>
      <c r="B1924" s="2" t="s">
        <v>425</v>
      </c>
      <c r="C1924" s="2" t="n">
        <v>2</v>
      </c>
      <c r="D1924" s="2" t="s">
        <v>563</v>
      </c>
      <c r="E1924" s="2" t="s">
        <v>11</v>
      </c>
      <c r="F1924" s="2" t="n">
        <v>112</v>
      </c>
      <c r="G1924" s="2" t="n">
        <v>50</v>
      </c>
    </row>
    <row r="1925" customFormat="false" ht="16.5" hidden="false" customHeight="true" outlineLevel="0" collapsed="false">
      <c r="A1925" s="2" t="s">
        <v>416</v>
      </c>
      <c r="B1925" s="2" t="s">
        <v>425</v>
      </c>
      <c r="C1925" s="2" t="n">
        <v>2</v>
      </c>
      <c r="D1925" s="2" t="s">
        <v>563</v>
      </c>
      <c r="E1925" s="2" t="s">
        <v>12</v>
      </c>
      <c r="F1925" s="2" t="n">
        <v>114</v>
      </c>
      <c r="G1925" s="2" t="n">
        <v>8</v>
      </c>
    </row>
    <row r="1926" customFormat="false" ht="16.5" hidden="false" customHeight="true" outlineLevel="0" collapsed="false">
      <c r="A1926" s="2" t="s">
        <v>416</v>
      </c>
      <c r="B1926" s="2" t="s">
        <v>425</v>
      </c>
      <c r="C1926" s="2" t="n">
        <v>2</v>
      </c>
      <c r="D1926" s="2" t="s">
        <v>563</v>
      </c>
      <c r="E1926" s="2" t="s">
        <v>13</v>
      </c>
      <c r="F1926" s="2" t="n">
        <v>114</v>
      </c>
      <c r="G1926" s="2" t="n">
        <v>12</v>
      </c>
    </row>
    <row r="1927" customFormat="false" ht="16.5" hidden="false" customHeight="true" outlineLevel="0" collapsed="false">
      <c r="A1927" s="2" t="s">
        <v>416</v>
      </c>
      <c r="B1927" s="2" t="s">
        <v>425</v>
      </c>
      <c r="C1927" s="2" t="n">
        <v>2</v>
      </c>
      <c r="D1927" s="2" t="s">
        <v>563</v>
      </c>
      <c r="E1927" s="2" t="s">
        <v>14</v>
      </c>
      <c r="F1927" s="2" t="n">
        <v>114</v>
      </c>
      <c r="G1927" s="2" t="n">
        <v>16</v>
      </c>
    </row>
    <row r="1928" customFormat="false" ht="16.5" hidden="false" customHeight="true" outlineLevel="0" collapsed="false">
      <c r="A1928" s="2" t="s">
        <v>416</v>
      </c>
      <c r="B1928" s="2" t="s">
        <v>425</v>
      </c>
      <c r="C1928" s="2" t="n">
        <v>2</v>
      </c>
      <c r="D1928" s="2" t="s">
        <v>563</v>
      </c>
      <c r="E1928" s="2" t="s">
        <v>15</v>
      </c>
      <c r="F1928" s="2" t="n">
        <v>114</v>
      </c>
      <c r="G1928" s="2" t="n">
        <v>20</v>
      </c>
    </row>
    <row r="1929" customFormat="false" ht="16.5" hidden="false" customHeight="true" outlineLevel="0" collapsed="false">
      <c r="A1929" s="2" t="s">
        <v>416</v>
      </c>
      <c r="B1929" s="2" t="s">
        <v>425</v>
      </c>
      <c r="C1929" s="2" t="n">
        <v>2</v>
      </c>
      <c r="D1929" s="2" t="s">
        <v>563</v>
      </c>
      <c r="E1929" s="2" t="s">
        <v>16</v>
      </c>
      <c r="F1929" s="2" t="n">
        <v>114</v>
      </c>
      <c r="G1929" s="2" t="n">
        <v>24</v>
      </c>
    </row>
    <row r="1930" customFormat="false" ht="16.5" hidden="false" customHeight="true" outlineLevel="0" collapsed="false">
      <c r="A1930" s="2" t="s">
        <v>416</v>
      </c>
      <c r="B1930" s="2" t="s">
        <v>425</v>
      </c>
      <c r="C1930" s="2" t="n">
        <v>2</v>
      </c>
      <c r="D1930" s="2" t="s">
        <v>563</v>
      </c>
      <c r="E1930" s="2" t="s">
        <v>17</v>
      </c>
      <c r="F1930" s="2" t="n">
        <v>114</v>
      </c>
      <c r="G1930" s="2" t="n">
        <v>28</v>
      </c>
    </row>
    <row r="1931" customFormat="false" ht="16.5" hidden="false" customHeight="true" outlineLevel="0" collapsed="false">
      <c r="A1931" s="2" t="s">
        <v>416</v>
      </c>
      <c r="B1931" s="2" t="s">
        <v>425</v>
      </c>
      <c r="C1931" s="2" t="n">
        <v>2</v>
      </c>
      <c r="D1931" s="2" t="s">
        <v>563</v>
      </c>
      <c r="E1931" s="2" t="s">
        <v>18</v>
      </c>
      <c r="F1931" s="2" t="n">
        <v>114</v>
      </c>
      <c r="G1931" s="2" t="n">
        <v>32</v>
      </c>
    </row>
    <row r="1932" customFormat="false" ht="16.5" hidden="false" customHeight="true" outlineLevel="0" collapsed="false">
      <c r="A1932" s="2" t="s">
        <v>416</v>
      </c>
      <c r="B1932" s="2" t="s">
        <v>425</v>
      </c>
      <c r="C1932" s="2" t="n">
        <v>2</v>
      </c>
      <c r="D1932" s="2" t="s">
        <v>563</v>
      </c>
      <c r="E1932" s="2" t="s">
        <v>19</v>
      </c>
      <c r="F1932" s="2" t="n">
        <v>114</v>
      </c>
      <c r="G1932" s="2" t="n">
        <v>36</v>
      </c>
    </row>
    <row r="1933" customFormat="false" ht="16.5" hidden="false" customHeight="true" outlineLevel="0" collapsed="false">
      <c r="A1933" s="2" t="s">
        <v>416</v>
      </c>
      <c r="B1933" s="2" t="s">
        <v>425</v>
      </c>
      <c r="C1933" s="2" t="n">
        <v>2</v>
      </c>
      <c r="D1933" s="2" t="s">
        <v>563</v>
      </c>
      <c r="E1933" s="2" t="s">
        <v>20</v>
      </c>
      <c r="F1933" s="2" t="n">
        <v>114</v>
      </c>
      <c r="G1933" s="2" t="n">
        <v>40</v>
      </c>
    </row>
    <row r="1934" customFormat="false" ht="16.5" hidden="false" customHeight="true" outlineLevel="0" collapsed="false">
      <c r="A1934" s="2" t="s">
        <v>416</v>
      </c>
      <c r="B1934" s="2" t="s">
        <v>425</v>
      </c>
      <c r="C1934" s="2" t="n">
        <v>2</v>
      </c>
      <c r="D1934" s="2" t="s">
        <v>563</v>
      </c>
      <c r="E1934" s="2" t="s">
        <v>21</v>
      </c>
      <c r="F1934" s="2" t="n">
        <v>114</v>
      </c>
      <c r="G1934" s="2" t="n">
        <v>44</v>
      </c>
    </row>
    <row r="1935" customFormat="false" ht="16.5" hidden="false" customHeight="true" outlineLevel="0" collapsed="false">
      <c r="A1935" s="2" t="s">
        <v>416</v>
      </c>
      <c r="B1935" s="2" t="s">
        <v>425</v>
      </c>
      <c r="C1935" s="2" t="n">
        <v>2</v>
      </c>
      <c r="D1935" s="2" t="s">
        <v>563</v>
      </c>
      <c r="E1935" s="2" t="s">
        <v>22</v>
      </c>
      <c r="F1935" s="2" t="n">
        <v>114</v>
      </c>
      <c r="G1935" s="2" t="n">
        <v>48</v>
      </c>
    </row>
    <row r="1936" customFormat="false" ht="16.5" hidden="false" customHeight="true" outlineLevel="0" collapsed="false">
      <c r="A1936" s="2" t="s">
        <v>416</v>
      </c>
      <c r="B1936" s="2" t="s">
        <v>425</v>
      </c>
      <c r="C1936" s="2" t="n">
        <v>2</v>
      </c>
      <c r="D1936" s="2" t="s">
        <v>563</v>
      </c>
      <c r="E1936" s="2" t="s">
        <v>23</v>
      </c>
      <c r="F1936" s="2" t="n">
        <v>114</v>
      </c>
      <c r="G1936" s="2" t="n">
        <v>52</v>
      </c>
    </row>
    <row r="1937" customFormat="false" ht="16.5" hidden="false" customHeight="true" outlineLevel="0" collapsed="false">
      <c r="A1937" s="2" t="s">
        <v>416</v>
      </c>
      <c r="B1937" s="2" t="s">
        <v>425</v>
      </c>
      <c r="C1937" s="2" t="n">
        <v>2</v>
      </c>
      <c r="D1937" s="2" t="s">
        <v>563</v>
      </c>
      <c r="E1937" s="2" t="s">
        <v>24</v>
      </c>
      <c r="F1937" s="2" t="n">
        <v>116</v>
      </c>
      <c r="G1937" s="2" t="n">
        <v>9</v>
      </c>
    </row>
    <row r="1938" customFormat="false" ht="16.5" hidden="false" customHeight="true" outlineLevel="0" collapsed="false">
      <c r="A1938" s="2" t="s">
        <v>416</v>
      </c>
      <c r="B1938" s="2" t="s">
        <v>425</v>
      </c>
      <c r="C1938" s="2" t="n">
        <v>2</v>
      </c>
      <c r="D1938" s="2" t="s">
        <v>563</v>
      </c>
      <c r="E1938" s="2" t="s">
        <v>25</v>
      </c>
      <c r="F1938" s="2" t="n">
        <v>116</v>
      </c>
      <c r="G1938" s="2" t="n">
        <v>13</v>
      </c>
    </row>
    <row r="1939" customFormat="false" ht="16.5" hidden="false" customHeight="true" outlineLevel="0" collapsed="false">
      <c r="A1939" s="2" t="s">
        <v>416</v>
      </c>
      <c r="B1939" s="2" t="s">
        <v>425</v>
      </c>
      <c r="C1939" s="2" t="n">
        <v>2</v>
      </c>
      <c r="D1939" s="2" t="s">
        <v>563</v>
      </c>
      <c r="E1939" s="2" t="s">
        <v>26</v>
      </c>
      <c r="F1939" s="2" t="n">
        <v>116</v>
      </c>
      <c r="G1939" s="2" t="n">
        <v>17</v>
      </c>
    </row>
    <row r="1940" customFormat="false" ht="16.5" hidden="false" customHeight="true" outlineLevel="0" collapsed="false">
      <c r="A1940" s="2" t="s">
        <v>416</v>
      </c>
      <c r="B1940" s="2" t="s">
        <v>425</v>
      </c>
      <c r="C1940" s="2" t="n">
        <v>2</v>
      </c>
      <c r="D1940" s="2" t="s">
        <v>563</v>
      </c>
      <c r="E1940" s="2" t="s">
        <v>27</v>
      </c>
      <c r="F1940" s="2" t="n">
        <v>116</v>
      </c>
      <c r="G1940" s="2" t="n">
        <v>21</v>
      </c>
    </row>
    <row r="1941" customFormat="false" ht="16.5" hidden="false" customHeight="true" outlineLevel="0" collapsed="false">
      <c r="A1941" s="2" t="s">
        <v>416</v>
      </c>
      <c r="B1941" s="2" t="s">
        <v>425</v>
      </c>
      <c r="C1941" s="2" t="n">
        <v>2</v>
      </c>
      <c r="D1941" s="2" t="s">
        <v>563</v>
      </c>
      <c r="E1941" s="2" t="s">
        <v>28</v>
      </c>
      <c r="F1941" s="2" t="n">
        <v>116</v>
      </c>
      <c r="G1941" s="2" t="n">
        <v>25</v>
      </c>
    </row>
    <row r="1942" customFormat="false" ht="16.5" hidden="false" customHeight="true" outlineLevel="0" collapsed="false">
      <c r="A1942" s="2" t="s">
        <v>416</v>
      </c>
      <c r="B1942" s="2" t="s">
        <v>425</v>
      </c>
      <c r="C1942" s="2" t="n">
        <v>2</v>
      </c>
      <c r="D1942" s="2" t="s">
        <v>563</v>
      </c>
      <c r="E1942" s="2" t="s">
        <v>29</v>
      </c>
      <c r="F1942" s="2" t="n">
        <v>116</v>
      </c>
      <c r="G1942" s="2" t="n">
        <v>29</v>
      </c>
    </row>
    <row r="1943" customFormat="false" ht="16.5" hidden="false" customHeight="true" outlineLevel="0" collapsed="false">
      <c r="A1943" s="2" t="s">
        <v>416</v>
      </c>
      <c r="B1943" s="2" t="s">
        <v>425</v>
      </c>
      <c r="C1943" s="2" t="n">
        <v>2</v>
      </c>
      <c r="D1943" s="2" t="s">
        <v>563</v>
      </c>
      <c r="E1943" s="2" t="s">
        <v>30</v>
      </c>
      <c r="F1943" s="2" t="n">
        <v>116</v>
      </c>
      <c r="G1943" s="2" t="n">
        <v>33</v>
      </c>
    </row>
    <row r="1944" customFormat="false" ht="16.5" hidden="false" customHeight="true" outlineLevel="0" collapsed="false">
      <c r="A1944" s="2" t="s">
        <v>416</v>
      </c>
      <c r="B1944" s="2" t="s">
        <v>425</v>
      </c>
      <c r="C1944" s="2" t="n">
        <v>2</v>
      </c>
      <c r="D1944" s="2" t="s">
        <v>563</v>
      </c>
      <c r="E1944" s="2" t="s">
        <v>31</v>
      </c>
      <c r="F1944" s="2" t="n">
        <v>116</v>
      </c>
      <c r="G1944" s="2" t="n">
        <v>37</v>
      </c>
    </row>
    <row r="1945" customFormat="false" ht="16.5" hidden="false" customHeight="true" outlineLevel="0" collapsed="false">
      <c r="A1945" s="2" t="s">
        <v>416</v>
      </c>
      <c r="B1945" s="2" t="s">
        <v>425</v>
      </c>
      <c r="C1945" s="2" t="n">
        <v>2</v>
      </c>
      <c r="D1945" s="2" t="s">
        <v>563</v>
      </c>
      <c r="E1945" s="2" t="s">
        <v>32</v>
      </c>
      <c r="F1945" s="2" t="n">
        <v>116</v>
      </c>
      <c r="G1945" s="2" t="n">
        <v>41</v>
      </c>
    </row>
    <row r="1946" customFormat="false" ht="16.5" hidden="false" customHeight="true" outlineLevel="0" collapsed="false">
      <c r="A1946" s="2" t="s">
        <v>416</v>
      </c>
      <c r="B1946" s="2" t="s">
        <v>425</v>
      </c>
      <c r="C1946" s="2" t="n">
        <v>2</v>
      </c>
      <c r="D1946" s="2" t="s">
        <v>563</v>
      </c>
      <c r="E1946" s="2" t="s">
        <v>33</v>
      </c>
      <c r="F1946" s="2" t="n">
        <v>116</v>
      </c>
      <c r="G1946" s="2" t="n">
        <v>45</v>
      </c>
    </row>
    <row r="1947" customFormat="false" ht="16.5" hidden="false" customHeight="true" outlineLevel="0" collapsed="false">
      <c r="A1947" s="2" t="s">
        <v>416</v>
      </c>
      <c r="B1947" s="2" t="s">
        <v>425</v>
      </c>
      <c r="C1947" s="2" t="n">
        <v>2</v>
      </c>
      <c r="D1947" s="2" t="s">
        <v>563</v>
      </c>
      <c r="E1947" s="2" t="s">
        <v>34</v>
      </c>
      <c r="F1947" s="2" t="n">
        <v>116</v>
      </c>
      <c r="G1947" s="2" t="n">
        <v>49</v>
      </c>
    </row>
    <row r="1948" customFormat="false" ht="16.5" hidden="false" customHeight="true" outlineLevel="0" collapsed="false">
      <c r="A1948" s="2" t="s">
        <v>416</v>
      </c>
      <c r="B1948" s="2" t="s">
        <v>425</v>
      </c>
      <c r="C1948" s="2" t="n">
        <v>2</v>
      </c>
      <c r="D1948" s="2" t="s">
        <v>563</v>
      </c>
      <c r="E1948" s="2" t="s">
        <v>35</v>
      </c>
      <c r="F1948" s="2" t="n">
        <v>118</v>
      </c>
      <c r="G1948" s="2" t="n">
        <v>11</v>
      </c>
    </row>
    <row r="1949" customFormat="false" ht="16.5" hidden="false" customHeight="true" outlineLevel="0" collapsed="false">
      <c r="A1949" s="2" t="s">
        <v>416</v>
      </c>
      <c r="B1949" s="2" t="s">
        <v>425</v>
      </c>
      <c r="C1949" s="2" t="n">
        <v>2</v>
      </c>
      <c r="D1949" s="2" t="s">
        <v>563</v>
      </c>
      <c r="E1949" s="2" t="s">
        <v>36</v>
      </c>
      <c r="F1949" s="2" t="n">
        <v>118</v>
      </c>
      <c r="G1949" s="2" t="n">
        <v>15</v>
      </c>
    </row>
    <row r="1950" customFormat="false" ht="16.5" hidden="false" customHeight="true" outlineLevel="0" collapsed="false">
      <c r="A1950" s="2" t="s">
        <v>416</v>
      </c>
      <c r="B1950" s="2" t="s">
        <v>425</v>
      </c>
      <c r="C1950" s="2" t="n">
        <v>2</v>
      </c>
      <c r="D1950" s="2" t="s">
        <v>563</v>
      </c>
      <c r="E1950" s="2" t="s">
        <v>37</v>
      </c>
      <c r="F1950" s="2" t="n">
        <v>118</v>
      </c>
      <c r="G1950" s="2" t="n">
        <v>19</v>
      </c>
    </row>
    <row r="1951" customFormat="false" ht="16.5" hidden="false" customHeight="true" outlineLevel="0" collapsed="false">
      <c r="A1951" s="2" t="s">
        <v>416</v>
      </c>
      <c r="B1951" s="2" t="s">
        <v>425</v>
      </c>
      <c r="C1951" s="2" t="n">
        <v>2</v>
      </c>
      <c r="D1951" s="2" t="s">
        <v>563</v>
      </c>
      <c r="E1951" s="2" t="s">
        <v>38</v>
      </c>
      <c r="F1951" s="2" t="n">
        <v>118</v>
      </c>
      <c r="G1951" s="2" t="n">
        <v>23</v>
      </c>
    </row>
    <row r="1952" customFormat="false" ht="16.5" hidden="false" customHeight="true" outlineLevel="0" collapsed="false">
      <c r="A1952" s="2" t="s">
        <v>416</v>
      </c>
      <c r="B1952" s="2" t="s">
        <v>425</v>
      </c>
      <c r="C1952" s="2" t="n">
        <v>2</v>
      </c>
      <c r="D1952" s="2" t="s">
        <v>563</v>
      </c>
      <c r="E1952" s="2" t="s">
        <v>39</v>
      </c>
      <c r="F1952" s="2" t="n">
        <v>118</v>
      </c>
      <c r="G1952" s="2" t="n">
        <v>27</v>
      </c>
    </row>
    <row r="1953" customFormat="false" ht="16.5" hidden="false" customHeight="true" outlineLevel="0" collapsed="false">
      <c r="A1953" s="2" t="s">
        <v>416</v>
      </c>
      <c r="B1953" s="2" t="s">
        <v>425</v>
      </c>
      <c r="C1953" s="2" t="n">
        <v>2</v>
      </c>
      <c r="D1953" s="2" t="s">
        <v>563</v>
      </c>
      <c r="E1953" s="2" t="s">
        <v>40</v>
      </c>
      <c r="F1953" s="2" t="n">
        <v>118</v>
      </c>
      <c r="G1953" s="2" t="n">
        <v>31</v>
      </c>
    </row>
    <row r="1954" customFormat="false" ht="16.5" hidden="false" customHeight="true" outlineLevel="0" collapsed="false">
      <c r="A1954" s="2" t="s">
        <v>416</v>
      </c>
      <c r="B1954" s="2" t="s">
        <v>425</v>
      </c>
      <c r="C1954" s="2" t="n">
        <v>2</v>
      </c>
      <c r="D1954" s="2" t="s">
        <v>563</v>
      </c>
      <c r="E1954" s="2" t="s">
        <v>41</v>
      </c>
      <c r="F1954" s="2" t="n">
        <v>118</v>
      </c>
      <c r="G1954" s="2" t="n">
        <v>35</v>
      </c>
    </row>
    <row r="1955" customFormat="false" ht="16.5" hidden="false" customHeight="true" outlineLevel="0" collapsed="false">
      <c r="A1955" s="2" t="s">
        <v>416</v>
      </c>
      <c r="B1955" s="2" t="s">
        <v>425</v>
      </c>
      <c r="C1955" s="2" t="n">
        <v>2</v>
      </c>
      <c r="D1955" s="2" t="s">
        <v>563</v>
      </c>
      <c r="E1955" s="2" t="s">
        <v>42</v>
      </c>
      <c r="F1955" s="2" t="n">
        <v>118</v>
      </c>
      <c r="G1955" s="2" t="n">
        <v>39</v>
      </c>
    </row>
    <row r="1956" customFormat="false" ht="16.5" hidden="false" customHeight="true" outlineLevel="0" collapsed="false">
      <c r="A1956" s="2" t="s">
        <v>416</v>
      </c>
      <c r="B1956" s="2" t="s">
        <v>425</v>
      </c>
      <c r="C1956" s="2" t="n">
        <v>2</v>
      </c>
      <c r="D1956" s="2" t="s">
        <v>563</v>
      </c>
      <c r="E1956" s="2" t="s">
        <v>43</v>
      </c>
      <c r="F1956" s="2" t="n">
        <v>118</v>
      </c>
      <c r="G1956" s="2" t="n">
        <v>43</v>
      </c>
    </row>
    <row r="1957" customFormat="false" ht="16.5" hidden="false" customHeight="true" outlineLevel="0" collapsed="false">
      <c r="A1957" s="2" t="s">
        <v>416</v>
      </c>
      <c r="B1957" s="2" t="s">
        <v>425</v>
      </c>
      <c r="C1957" s="2" t="n">
        <v>2</v>
      </c>
      <c r="D1957" s="2" t="s">
        <v>563</v>
      </c>
      <c r="E1957" s="2" t="s">
        <v>44</v>
      </c>
      <c r="F1957" s="2" t="n">
        <v>118</v>
      </c>
      <c r="G1957" s="2" t="n">
        <v>47</v>
      </c>
    </row>
    <row r="1958" customFormat="false" ht="16.5" hidden="false" customHeight="true" outlineLevel="0" collapsed="false">
      <c r="A1958" s="2" t="s">
        <v>416</v>
      </c>
      <c r="B1958" s="2" t="s">
        <v>425</v>
      </c>
      <c r="C1958" s="2" t="n">
        <v>2</v>
      </c>
      <c r="D1958" s="2" t="s">
        <v>563</v>
      </c>
      <c r="E1958" s="2" t="s">
        <v>48</v>
      </c>
      <c r="F1958" s="2" t="n">
        <v>120</v>
      </c>
      <c r="G1958" s="2" t="n">
        <v>16</v>
      </c>
    </row>
    <row r="1959" customFormat="false" ht="16.5" hidden="false" customHeight="true" outlineLevel="0" collapsed="false">
      <c r="A1959" s="2" t="s">
        <v>416</v>
      </c>
      <c r="B1959" s="2" t="s">
        <v>425</v>
      </c>
      <c r="C1959" s="2" t="n">
        <v>2</v>
      </c>
      <c r="D1959" s="2" t="s">
        <v>563</v>
      </c>
      <c r="E1959" s="2" t="s">
        <v>50</v>
      </c>
      <c r="F1959" s="2" t="n">
        <v>120</v>
      </c>
      <c r="G1959" s="2" t="n">
        <v>20</v>
      </c>
    </row>
    <row r="1960" customFormat="false" ht="16.5" hidden="false" customHeight="true" outlineLevel="0" collapsed="false">
      <c r="A1960" s="2" t="s">
        <v>416</v>
      </c>
      <c r="B1960" s="2" t="s">
        <v>425</v>
      </c>
      <c r="C1960" s="2" t="n">
        <v>2</v>
      </c>
      <c r="D1960" s="2" t="s">
        <v>563</v>
      </c>
      <c r="E1960" s="2" t="s">
        <v>45</v>
      </c>
      <c r="F1960" s="2" t="n">
        <v>120</v>
      </c>
      <c r="G1960" s="2" t="n">
        <v>38</v>
      </c>
    </row>
    <row r="1961" customFormat="false" ht="16.5" hidden="false" customHeight="true" outlineLevel="0" collapsed="false">
      <c r="A1961" s="2" t="s">
        <v>416</v>
      </c>
      <c r="B1961" s="2" t="s">
        <v>425</v>
      </c>
      <c r="C1961" s="2" t="n">
        <v>2</v>
      </c>
      <c r="D1961" s="2" t="s">
        <v>563</v>
      </c>
      <c r="E1961" s="2" t="s">
        <v>46</v>
      </c>
      <c r="F1961" s="2" t="n">
        <v>120</v>
      </c>
      <c r="G1961" s="2" t="n">
        <v>42</v>
      </c>
    </row>
    <row r="1962" customFormat="false" ht="16.5" hidden="false" customHeight="true" outlineLevel="0" collapsed="false">
      <c r="A1962" s="2" t="s">
        <v>416</v>
      </c>
      <c r="B1962" s="2" t="s">
        <v>426</v>
      </c>
      <c r="C1962" s="2" t="n">
        <v>2</v>
      </c>
      <c r="D1962" s="2" t="s">
        <v>564</v>
      </c>
      <c r="E1962" s="2" t="s">
        <v>0</v>
      </c>
      <c r="F1962" s="2" t="n">
        <v>125</v>
      </c>
      <c r="G1962" s="2" t="n">
        <v>6</v>
      </c>
    </row>
    <row r="1963" customFormat="false" ht="16.5" hidden="false" customHeight="true" outlineLevel="0" collapsed="false">
      <c r="A1963" s="2" t="s">
        <v>416</v>
      </c>
      <c r="B1963" s="2" t="s">
        <v>426</v>
      </c>
      <c r="C1963" s="2" t="n">
        <v>2</v>
      </c>
      <c r="D1963" s="2" t="s">
        <v>564</v>
      </c>
      <c r="E1963" s="2" t="s">
        <v>1</v>
      </c>
      <c r="F1963" s="2" t="n">
        <v>125</v>
      </c>
      <c r="G1963" s="2" t="n">
        <v>10</v>
      </c>
    </row>
    <row r="1964" customFormat="false" ht="16.5" hidden="false" customHeight="true" outlineLevel="0" collapsed="false">
      <c r="A1964" s="2" t="s">
        <v>416</v>
      </c>
      <c r="B1964" s="2" t="s">
        <v>426</v>
      </c>
      <c r="C1964" s="2" t="n">
        <v>2</v>
      </c>
      <c r="D1964" s="2" t="s">
        <v>564</v>
      </c>
      <c r="E1964" s="2" t="s">
        <v>2</v>
      </c>
      <c r="F1964" s="2" t="n">
        <v>125</v>
      </c>
      <c r="G1964" s="2" t="n">
        <v>14</v>
      </c>
    </row>
    <row r="1965" customFormat="false" ht="16.5" hidden="false" customHeight="true" outlineLevel="0" collapsed="false">
      <c r="A1965" s="2" t="s">
        <v>416</v>
      </c>
      <c r="B1965" s="2" t="s">
        <v>426</v>
      </c>
      <c r="C1965" s="2" t="n">
        <v>2</v>
      </c>
      <c r="D1965" s="2" t="s">
        <v>564</v>
      </c>
      <c r="E1965" s="2" t="s">
        <v>3</v>
      </c>
      <c r="F1965" s="2" t="n">
        <v>125</v>
      </c>
      <c r="G1965" s="2" t="n">
        <v>18</v>
      </c>
    </row>
    <row r="1966" customFormat="false" ht="16.5" hidden="false" customHeight="true" outlineLevel="0" collapsed="false">
      <c r="A1966" s="2" t="s">
        <v>416</v>
      </c>
      <c r="B1966" s="2" t="s">
        <v>426</v>
      </c>
      <c r="C1966" s="2" t="n">
        <v>2</v>
      </c>
      <c r="D1966" s="2" t="s">
        <v>564</v>
      </c>
      <c r="E1966" s="2" t="s">
        <v>4</v>
      </c>
      <c r="F1966" s="2" t="n">
        <v>125</v>
      </c>
      <c r="G1966" s="2" t="n">
        <v>22</v>
      </c>
    </row>
    <row r="1967" customFormat="false" ht="16.5" hidden="false" customHeight="true" outlineLevel="0" collapsed="false">
      <c r="A1967" s="2" t="s">
        <v>416</v>
      </c>
      <c r="B1967" s="2" t="s">
        <v>426</v>
      </c>
      <c r="C1967" s="2" t="n">
        <v>2</v>
      </c>
      <c r="D1967" s="2" t="s">
        <v>564</v>
      </c>
      <c r="E1967" s="2" t="s">
        <v>5</v>
      </c>
      <c r="F1967" s="2" t="n">
        <v>125</v>
      </c>
      <c r="G1967" s="2" t="n">
        <v>26</v>
      </c>
    </row>
    <row r="1968" customFormat="false" ht="16.5" hidden="false" customHeight="true" outlineLevel="0" collapsed="false">
      <c r="A1968" s="2" t="s">
        <v>416</v>
      </c>
      <c r="B1968" s="2" t="s">
        <v>426</v>
      </c>
      <c r="C1968" s="2" t="n">
        <v>2</v>
      </c>
      <c r="D1968" s="2" t="s">
        <v>564</v>
      </c>
      <c r="E1968" s="2" t="s">
        <v>6</v>
      </c>
      <c r="F1968" s="2" t="n">
        <v>125</v>
      </c>
      <c r="G1968" s="2" t="n">
        <v>30</v>
      </c>
    </row>
    <row r="1969" customFormat="false" ht="16.5" hidden="false" customHeight="true" outlineLevel="0" collapsed="false">
      <c r="A1969" s="2" t="s">
        <v>416</v>
      </c>
      <c r="B1969" s="2" t="s">
        <v>426</v>
      </c>
      <c r="C1969" s="2" t="n">
        <v>2</v>
      </c>
      <c r="D1969" s="2" t="s">
        <v>564</v>
      </c>
      <c r="E1969" s="2" t="s">
        <v>7</v>
      </c>
      <c r="F1969" s="2" t="n">
        <v>125</v>
      </c>
      <c r="G1969" s="2" t="n">
        <v>34</v>
      </c>
    </row>
    <row r="1970" customFormat="false" ht="16.5" hidden="false" customHeight="true" outlineLevel="0" collapsed="false">
      <c r="A1970" s="2" t="s">
        <v>416</v>
      </c>
      <c r="B1970" s="2" t="s">
        <v>426</v>
      </c>
      <c r="C1970" s="2" t="n">
        <v>2</v>
      </c>
      <c r="D1970" s="2" t="s">
        <v>564</v>
      </c>
      <c r="E1970" s="2" t="s">
        <v>8</v>
      </c>
      <c r="F1970" s="2" t="n">
        <v>125</v>
      </c>
      <c r="G1970" s="2" t="n">
        <v>38</v>
      </c>
    </row>
    <row r="1971" customFormat="false" ht="16.5" hidden="false" customHeight="true" outlineLevel="0" collapsed="false">
      <c r="A1971" s="2" t="s">
        <v>416</v>
      </c>
      <c r="B1971" s="2" t="s">
        <v>426</v>
      </c>
      <c r="C1971" s="2" t="n">
        <v>2</v>
      </c>
      <c r="D1971" s="2" t="s">
        <v>564</v>
      </c>
      <c r="E1971" s="2" t="s">
        <v>9</v>
      </c>
      <c r="F1971" s="2" t="n">
        <v>125</v>
      </c>
      <c r="G1971" s="2" t="n">
        <v>42</v>
      </c>
    </row>
    <row r="1972" customFormat="false" ht="16.5" hidden="false" customHeight="true" outlineLevel="0" collapsed="false">
      <c r="A1972" s="2" t="s">
        <v>416</v>
      </c>
      <c r="B1972" s="2" t="s">
        <v>426</v>
      </c>
      <c r="C1972" s="2" t="n">
        <v>2</v>
      </c>
      <c r="D1972" s="2" t="s">
        <v>564</v>
      </c>
      <c r="E1972" s="2" t="s">
        <v>10</v>
      </c>
      <c r="F1972" s="2" t="n">
        <v>125</v>
      </c>
      <c r="G1972" s="2" t="n">
        <v>46</v>
      </c>
    </row>
    <row r="1973" customFormat="false" ht="16.5" hidden="false" customHeight="true" outlineLevel="0" collapsed="false">
      <c r="A1973" s="2" t="s">
        <v>416</v>
      </c>
      <c r="B1973" s="2" t="s">
        <v>426</v>
      </c>
      <c r="C1973" s="2" t="n">
        <v>2</v>
      </c>
      <c r="D1973" s="2" t="s">
        <v>564</v>
      </c>
      <c r="E1973" s="2" t="s">
        <v>11</v>
      </c>
      <c r="F1973" s="2" t="n">
        <v>125</v>
      </c>
      <c r="G1973" s="2" t="n">
        <v>50</v>
      </c>
    </row>
    <row r="1974" customFormat="false" ht="16.5" hidden="false" customHeight="true" outlineLevel="0" collapsed="false">
      <c r="A1974" s="2" t="s">
        <v>416</v>
      </c>
      <c r="B1974" s="2" t="s">
        <v>426</v>
      </c>
      <c r="C1974" s="2" t="n">
        <v>2</v>
      </c>
      <c r="D1974" s="2" t="s">
        <v>564</v>
      </c>
      <c r="E1974" s="2" t="s">
        <v>12</v>
      </c>
      <c r="F1974" s="2" t="n">
        <v>127</v>
      </c>
      <c r="G1974" s="2" t="n">
        <v>8</v>
      </c>
    </row>
    <row r="1975" customFormat="false" ht="16.5" hidden="false" customHeight="true" outlineLevel="0" collapsed="false">
      <c r="A1975" s="2" t="s">
        <v>416</v>
      </c>
      <c r="B1975" s="2" t="s">
        <v>426</v>
      </c>
      <c r="C1975" s="2" t="n">
        <v>2</v>
      </c>
      <c r="D1975" s="2" t="s">
        <v>564</v>
      </c>
      <c r="E1975" s="2" t="s">
        <v>13</v>
      </c>
      <c r="F1975" s="2" t="n">
        <v>127</v>
      </c>
      <c r="G1975" s="2" t="n">
        <v>12</v>
      </c>
    </row>
    <row r="1976" customFormat="false" ht="16.5" hidden="false" customHeight="true" outlineLevel="0" collapsed="false">
      <c r="A1976" s="2" t="s">
        <v>416</v>
      </c>
      <c r="B1976" s="2" t="s">
        <v>426</v>
      </c>
      <c r="C1976" s="2" t="n">
        <v>2</v>
      </c>
      <c r="D1976" s="2" t="s">
        <v>564</v>
      </c>
      <c r="E1976" s="2" t="s">
        <v>14</v>
      </c>
      <c r="F1976" s="2" t="n">
        <v>127</v>
      </c>
      <c r="G1976" s="2" t="n">
        <v>16</v>
      </c>
    </row>
    <row r="1977" customFormat="false" ht="16.5" hidden="false" customHeight="true" outlineLevel="0" collapsed="false">
      <c r="A1977" s="2" t="s">
        <v>416</v>
      </c>
      <c r="B1977" s="2" t="s">
        <v>426</v>
      </c>
      <c r="C1977" s="2" t="n">
        <v>2</v>
      </c>
      <c r="D1977" s="2" t="s">
        <v>564</v>
      </c>
      <c r="E1977" s="2" t="s">
        <v>15</v>
      </c>
      <c r="F1977" s="2" t="n">
        <v>127</v>
      </c>
      <c r="G1977" s="2" t="n">
        <v>20</v>
      </c>
    </row>
    <row r="1978" customFormat="false" ht="16.5" hidden="false" customHeight="true" outlineLevel="0" collapsed="false">
      <c r="A1978" s="2" t="s">
        <v>416</v>
      </c>
      <c r="B1978" s="2" t="s">
        <v>426</v>
      </c>
      <c r="C1978" s="2" t="n">
        <v>2</v>
      </c>
      <c r="D1978" s="2" t="s">
        <v>564</v>
      </c>
      <c r="E1978" s="2" t="s">
        <v>16</v>
      </c>
      <c r="F1978" s="2" t="n">
        <v>127</v>
      </c>
      <c r="G1978" s="2" t="n">
        <v>24</v>
      </c>
    </row>
    <row r="1979" customFormat="false" ht="16.5" hidden="false" customHeight="true" outlineLevel="0" collapsed="false">
      <c r="A1979" s="2" t="s">
        <v>416</v>
      </c>
      <c r="B1979" s="2" t="s">
        <v>426</v>
      </c>
      <c r="C1979" s="2" t="n">
        <v>2</v>
      </c>
      <c r="D1979" s="2" t="s">
        <v>564</v>
      </c>
      <c r="E1979" s="2" t="s">
        <v>17</v>
      </c>
      <c r="F1979" s="2" t="n">
        <v>127</v>
      </c>
      <c r="G1979" s="2" t="n">
        <v>28</v>
      </c>
    </row>
    <row r="1980" customFormat="false" ht="16.5" hidden="false" customHeight="true" outlineLevel="0" collapsed="false">
      <c r="A1980" s="2" t="s">
        <v>416</v>
      </c>
      <c r="B1980" s="2" t="s">
        <v>426</v>
      </c>
      <c r="C1980" s="2" t="n">
        <v>2</v>
      </c>
      <c r="D1980" s="2" t="s">
        <v>564</v>
      </c>
      <c r="E1980" s="2" t="s">
        <v>18</v>
      </c>
      <c r="F1980" s="2" t="n">
        <v>127</v>
      </c>
      <c r="G1980" s="2" t="n">
        <v>32</v>
      </c>
    </row>
    <row r="1981" customFormat="false" ht="16.5" hidden="false" customHeight="true" outlineLevel="0" collapsed="false">
      <c r="A1981" s="2" t="s">
        <v>416</v>
      </c>
      <c r="B1981" s="2" t="s">
        <v>426</v>
      </c>
      <c r="C1981" s="2" t="n">
        <v>2</v>
      </c>
      <c r="D1981" s="2" t="s">
        <v>564</v>
      </c>
      <c r="E1981" s="2" t="s">
        <v>19</v>
      </c>
      <c r="F1981" s="2" t="n">
        <v>127</v>
      </c>
      <c r="G1981" s="2" t="n">
        <v>36</v>
      </c>
    </row>
    <row r="1982" customFormat="false" ht="16.5" hidden="false" customHeight="true" outlineLevel="0" collapsed="false">
      <c r="A1982" s="2" t="s">
        <v>416</v>
      </c>
      <c r="B1982" s="2" t="s">
        <v>426</v>
      </c>
      <c r="C1982" s="2" t="n">
        <v>2</v>
      </c>
      <c r="D1982" s="2" t="s">
        <v>564</v>
      </c>
      <c r="E1982" s="2" t="s">
        <v>20</v>
      </c>
      <c r="F1982" s="2" t="n">
        <v>127</v>
      </c>
      <c r="G1982" s="2" t="n">
        <v>40</v>
      </c>
    </row>
    <row r="1983" customFormat="false" ht="16.5" hidden="false" customHeight="true" outlineLevel="0" collapsed="false">
      <c r="A1983" s="2" t="s">
        <v>416</v>
      </c>
      <c r="B1983" s="2" t="s">
        <v>426</v>
      </c>
      <c r="C1983" s="2" t="n">
        <v>2</v>
      </c>
      <c r="D1983" s="2" t="s">
        <v>564</v>
      </c>
      <c r="E1983" s="2" t="s">
        <v>21</v>
      </c>
      <c r="F1983" s="2" t="n">
        <v>127</v>
      </c>
      <c r="G1983" s="2" t="n">
        <v>44</v>
      </c>
    </row>
    <row r="1984" customFormat="false" ht="16.5" hidden="false" customHeight="true" outlineLevel="0" collapsed="false">
      <c r="A1984" s="2" t="s">
        <v>416</v>
      </c>
      <c r="B1984" s="2" t="s">
        <v>426</v>
      </c>
      <c r="C1984" s="2" t="n">
        <v>2</v>
      </c>
      <c r="D1984" s="2" t="s">
        <v>564</v>
      </c>
      <c r="E1984" s="2" t="s">
        <v>22</v>
      </c>
      <c r="F1984" s="2" t="n">
        <v>127</v>
      </c>
      <c r="G1984" s="2" t="n">
        <v>48</v>
      </c>
    </row>
    <row r="1985" customFormat="false" ht="16.5" hidden="false" customHeight="true" outlineLevel="0" collapsed="false">
      <c r="A1985" s="2" t="s">
        <v>416</v>
      </c>
      <c r="B1985" s="2" t="s">
        <v>426</v>
      </c>
      <c r="C1985" s="2" t="n">
        <v>2</v>
      </c>
      <c r="D1985" s="2" t="s">
        <v>564</v>
      </c>
      <c r="E1985" s="2" t="s">
        <v>23</v>
      </c>
      <c r="F1985" s="2" t="n">
        <v>127</v>
      </c>
      <c r="G1985" s="2" t="n">
        <v>52</v>
      </c>
    </row>
    <row r="1986" customFormat="false" ht="16.5" hidden="false" customHeight="true" outlineLevel="0" collapsed="false">
      <c r="A1986" s="2" t="s">
        <v>416</v>
      </c>
      <c r="B1986" s="2" t="s">
        <v>426</v>
      </c>
      <c r="C1986" s="2" t="n">
        <v>2</v>
      </c>
      <c r="D1986" s="2" t="s">
        <v>564</v>
      </c>
      <c r="E1986" s="2" t="s">
        <v>24</v>
      </c>
      <c r="F1986" s="2" t="n">
        <v>129</v>
      </c>
      <c r="G1986" s="2" t="n">
        <v>9</v>
      </c>
    </row>
    <row r="1987" customFormat="false" ht="16.5" hidden="false" customHeight="true" outlineLevel="0" collapsed="false">
      <c r="A1987" s="2" t="s">
        <v>416</v>
      </c>
      <c r="B1987" s="2" t="s">
        <v>426</v>
      </c>
      <c r="C1987" s="2" t="n">
        <v>2</v>
      </c>
      <c r="D1987" s="2" t="s">
        <v>564</v>
      </c>
      <c r="E1987" s="2" t="s">
        <v>25</v>
      </c>
      <c r="F1987" s="2" t="n">
        <v>129</v>
      </c>
      <c r="G1987" s="2" t="n">
        <v>13</v>
      </c>
    </row>
    <row r="1988" customFormat="false" ht="16.5" hidden="false" customHeight="true" outlineLevel="0" collapsed="false">
      <c r="A1988" s="2" t="s">
        <v>416</v>
      </c>
      <c r="B1988" s="2" t="s">
        <v>426</v>
      </c>
      <c r="C1988" s="2" t="n">
        <v>2</v>
      </c>
      <c r="D1988" s="2" t="s">
        <v>564</v>
      </c>
      <c r="E1988" s="2" t="s">
        <v>26</v>
      </c>
      <c r="F1988" s="2" t="n">
        <v>129</v>
      </c>
      <c r="G1988" s="2" t="n">
        <v>17</v>
      </c>
    </row>
    <row r="1989" customFormat="false" ht="16.5" hidden="false" customHeight="true" outlineLevel="0" collapsed="false">
      <c r="A1989" s="2" t="s">
        <v>416</v>
      </c>
      <c r="B1989" s="2" t="s">
        <v>426</v>
      </c>
      <c r="C1989" s="2" t="n">
        <v>2</v>
      </c>
      <c r="D1989" s="2" t="s">
        <v>564</v>
      </c>
      <c r="E1989" s="2" t="s">
        <v>27</v>
      </c>
      <c r="F1989" s="2" t="n">
        <v>129</v>
      </c>
      <c r="G1989" s="2" t="n">
        <v>21</v>
      </c>
    </row>
    <row r="1990" customFormat="false" ht="16.5" hidden="false" customHeight="true" outlineLevel="0" collapsed="false">
      <c r="A1990" s="2" t="s">
        <v>416</v>
      </c>
      <c r="B1990" s="2" t="s">
        <v>426</v>
      </c>
      <c r="C1990" s="2" t="n">
        <v>2</v>
      </c>
      <c r="D1990" s="2" t="s">
        <v>564</v>
      </c>
      <c r="E1990" s="2" t="s">
        <v>28</v>
      </c>
      <c r="F1990" s="2" t="n">
        <v>129</v>
      </c>
      <c r="G1990" s="2" t="n">
        <v>25</v>
      </c>
    </row>
    <row r="1991" customFormat="false" ht="16.5" hidden="false" customHeight="true" outlineLevel="0" collapsed="false">
      <c r="A1991" s="2" t="s">
        <v>416</v>
      </c>
      <c r="B1991" s="2" t="s">
        <v>426</v>
      </c>
      <c r="C1991" s="2" t="n">
        <v>2</v>
      </c>
      <c r="D1991" s="2" t="s">
        <v>564</v>
      </c>
      <c r="E1991" s="2" t="s">
        <v>29</v>
      </c>
      <c r="F1991" s="2" t="n">
        <v>129</v>
      </c>
      <c r="G1991" s="2" t="n">
        <v>29</v>
      </c>
    </row>
    <row r="1992" customFormat="false" ht="16.5" hidden="false" customHeight="true" outlineLevel="0" collapsed="false">
      <c r="A1992" s="2" t="s">
        <v>416</v>
      </c>
      <c r="B1992" s="2" t="s">
        <v>426</v>
      </c>
      <c r="C1992" s="2" t="n">
        <v>2</v>
      </c>
      <c r="D1992" s="2" t="s">
        <v>564</v>
      </c>
      <c r="E1992" s="2" t="s">
        <v>30</v>
      </c>
      <c r="F1992" s="2" t="n">
        <v>129</v>
      </c>
      <c r="G1992" s="2" t="n">
        <v>33</v>
      </c>
    </row>
    <row r="1993" customFormat="false" ht="16.5" hidden="false" customHeight="true" outlineLevel="0" collapsed="false">
      <c r="A1993" s="2" t="s">
        <v>416</v>
      </c>
      <c r="B1993" s="2" t="s">
        <v>426</v>
      </c>
      <c r="C1993" s="2" t="n">
        <v>2</v>
      </c>
      <c r="D1993" s="2" t="s">
        <v>564</v>
      </c>
      <c r="E1993" s="2" t="s">
        <v>31</v>
      </c>
      <c r="F1993" s="2" t="n">
        <v>129</v>
      </c>
      <c r="G1993" s="2" t="n">
        <v>37</v>
      </c>
    </row>
    <row r="1994" customFormat="false" ht="16.5" hidden="false" customHeight="true" outlineLevel="0" collapsed="false">
      <c r="A1994" s="2" t="s">
        <v>416</v>
      </c>
      <c r="B1994" s="2" t="s">
        <v>426</v>
      </c>
      <c r="C1994" s="2" t="n">
        <v>2</v>
      </c>
      <c r="D1994" s="2" t="s">
        <v>564</v>
      </c>
      <c r="E1994" s="2" t="s">
        <v>32</v>
      </c>
      <c r="F1994" s="2" t="n">
        <v>129</v>
      </c>
      <c r="G1994" s="2" t="n">
        <v>41</v>
      </c>
    </row>
    <row r="1995" customFormat="false" ht="16.5" hidden="false" customHeight="true" outlineLevel="0" collapsed="false">
      <c r="A1995" s="2" t="s">
        <v>416</v>
      </c>
      <c r="B1995" s="2" t="s">
        <v>426</v>
      </c>
      <c r="C1995" s="2" t="n">
        <v>2</v>
      </c>
      <c r="D1995" s="2" t="s">
        <v>564</v>
      </c>
      <c r="E1995" s="2" t="s">
        <v>33</v>
      </c>
      <c r="F1995" s="2" t="n">
        <v>129</v>
      </c>
      <c r="G1995" s="2" t="n">
        <v>45</v>
      </c>
    </row>
    <row r="1996" customFormat="false" ht="16.5" hidden="false" customHeight="true" outlineLevel="0" collapsed="false">
      <c r="A1996" s="2" t="s">
        <v>416</v>
      </c>
      <c r="B1996" s="2" t="s">
        <v>426</v>
      </c>
      <c r="C1996" s="2" t="n">
        <v>2</v>
      </c>
      <c r="D1996" s="2" t="s">
        <v>564</v>
      </c>
      <c r="E1996" s="2" t="s">
        <v>34</v>
      </c>
      <c r="F1996" s="2" t="n">
        <v>129</v>
      </c>
      <c r="G1996" s="2" t="n">
        <v>49</v>
      </c>
    </row>
    <row r="1997" customFormat="false" ht="16.5" hidden="false" customHeight="true" outlineLevel="0" collapsed="false">
      <c r="A1997" s="2" t="s">
        <v>416</v>
      </c>
      <c r="B1997" s="2" t="s">
        <v>426</v>
      </c>
      <c r="C1997" s="2" t="n">
        <v>2</v>
      </c>
      <c r="D1997" s="2" t="s">
        <v>564</v>
      </c>
      <c r="E1997" s="2" t="s">
        <v>35</v>
      </c>
      <c r="F1997" s="2" t="n">
        <v>131</v>
      </c>
      <c r="G1997" s="2" t="n">
        <v>11</v>
      </c>
    </row>
    <row r="1998" customFormat="false" ht="16.5" hidden="false" customHeight="true" outlineLevel="0" collapsed="false">
      <c r="A1998" s="2" t="s">
        <v>416</v>
      </c>
      <c r="B1998" s="2" t="s">
        <v>426</v>
      </c>
      <c r="C1998" s="2" t="n">
        <v>2</v>
      </c>
      <c r="D1998" s="2" t="s">
        <v>564</v>
      </c>
      <c r="E1998" s="2" t="s">
        <v>36</v>
      </c>
      <c r="F1998" s="2" t="n">
        <v>131</v>
      </c>
      <c r="G1998" s="2" t="n">
        <v>15</v>
      </c>
    </row>
    <row r="1999" customFormat="false" ht="16.5" hidden="false" customHeight="true" outlineLevel="0" collapsed="false">
      <c r="A1999" s="2" t="s">
        <v>416</v>
      </c>
      <c r="B1999" s="2" t="s">
        <v>426</v>
      </c>
      <c r="C1999" s="2" t="n">
        <v>2</v>
      </c>
      <c r="D1999" s="2" t="s">
        <v>564</v>
      </c>
      <c r="E1999" s="2" t="s">
        <v>37</v>
      </c>
      <c r="F1999" s="2" t="n">
        <v>131</v>
      </c>
      <c r="G1999" s="2" t="n">
        <v>19</v>
      </c>
    </row>
    <row r="2000" customFormat="false" ht="16.5" hidden="false" customHeight="true" outlineLevel="0" collapsed="false">
      <c r="A2000" s="2" t="s">
        <v>416</v>
      </c>
      <c r="B2000" s="2" t="s">
        <v>426</v>
      </c>
      <c r="C2000" s="2" t="n">
        <v>2</v>
      </c>
      <c r="D2000" s="2" t="s">
        <v>564</v>
      </c>
      <c r="E2000" s="2" t="s">
        <v>38</v>
      </c>
      <c r="F2000" s="2" t="n">
        <v>131</v>
      </c>
      <c r="G2000" s="2" t="n">
        <v>23</v>
      </c>
    </row>
    <row r="2001" customFormat="false" ht="16.5" hidden="false" customHeight="true" outlineLevel="0" collapsed="false">
      <c r="A2001" s="2" t="s">
        <v>416</v>
      </c>
      <c r="B2001" s="2" t="s">
        <v>426</v>
      </c>
      <c r="C2001" s="2" t="n">
        <v>2</v>
      </c>
      <c r="D2001" s="2" t="s">
        <v>564</v>
      </c>
      <c r="E2001" s="2" t="s">
        <v>39</v>
      </c>
      <c r="F2001" s="2" t="n">
        <v>131</v>
      </c>
      <c r="G2001" s="2" t="n">
        <v>27</v>
      </c>
    </row>
    <row r="2002" customFormat="false" ht="16.5" hidden="false" customHeight="true" outlineLevel="0" collapsed="false">
      <c r="A2002" s="2" t="s">
        <v>416</v>
      </c>
      <c r="B2002" s="2" t="s">
        <v>426</v>
      </c>
      <c r="C2002" s="2" t="n">
        <v>2</v>
      </c>
      <c r="D2002" s="2" t="s">
        <v>564</v>
      </c>
      <c r="E2002" s="2" t="s">
        <v>40</v>
      </c>
      <c r="F2002" s="2" t="n">
        <v>131</v>
      </c>
      <c r="G2002" s="2" t="n">
        <v>31</v>
      </c>
    </row>
    <row r="2003" customFormat="false" ht="16.5" hidden="false" customHeight="true" outlineLevel="0" collapsed="false">
      <c r="A2003" s="2" t="s">
        <v>416</v>
      </c>
      <c r="B2003" s="2" t="s">
        <v>426</v>
      </c>
      <c r="C2003" s="2" t="n">
        <v>2</v>
      </c>
      <c r="D2003" s="2" t="s">
        <v>564</v>
      </c>
      <c r="E2003" s="2" t="s">
        <v>41</v>
      </c>
      <c r="F2003" s="2" t="n">
        <v>131</v>
      </c>
      <c r="G2003" s="2" t="n">
        <v>35</v>
      </c>
    </row>
    <row r="2004" customFormat="false" ht="16.5" hidden="false" customHeight="true" outlineLevel="0" collapsed="false">
      <c r="A2004" s="2" t="s">
        <v>416</v>
      </c>
      <c r="B2004" s="2" t="s">
        <v>426</v>
      </c>
      <c r="C2004" s="2" t="n">
        <v>2</v>
      </c>
      <c r="D2004" s="2" t="s">
        <v>564</v>
      </c>
      <c r="E2004" s="2" t="s">
        <v>42</v>
      </c>
      <c r="F2004" s="2" t="n">
        <v>131</v>
      </c>
      <c r="G2004" s="2" t="n">
        <v>39</v>
      </c>
    </row>
    <row r="2005" customFormat="false" ht="16.5" hidden="false" customHeight="true" outlineLevel="0" collapsed="false">
      <c r="A2005" s="2" t="s">
        <v>416</v>
      </c>
      <c r="B2005" s="2" t="s">
        <v>426</v>
      </c>
      <c r="C2005" s="2" t="n">
        <v>2</v>
      </c>
      <c r="D2005" s="2" t="s">
        <v>564</v>
      </c>
      <c r="E2005" s="2" t="s">
        <v>43</v>
      </c>
      <c r="F2005" s="2" t="n">
        <v>131</v>
      </c>
      <c r="G2005" s="2" t="n">
        <v>43</v>
      </c>
    </row>
    <row r="2006" customFormat="false" ht="16.5" hidden="false" customHeight="true" outlineLevel="0" collapsed="false">
      <c r="A2006" s="2" t="s">
        <v>416</v>
      </c>
      <c r="B2006" s="2" t="s">
        <v>426</v>
      </c>
      <c r="C2006" s="2" t="n">
        <v>2</v>
      </c>
      <c r="D2006" s="2" t="s">
        <v>564</v>
      </c>
      <c r="E2006" s="2" t="s">
        <v>44</v>
      </c>
      <c r="F2006" s="2" t="n">
        <v>131</v>
      </c>
      <c r="G2006" s="2" t="n">
        <v>47</v>
      </c>
    </row>
    <row r="2007" customFormat="false" ht="16.5" hidden="false" customHeight="true" outlineLevel="0" collapsed="false">
      <c r="A2007" s="2" t="s">
        <v>416</v>
      </c>
      <c r="B2007" s="2" t="s">
        <v>426</v>
      </c>
      <c r="C2007" s="2" t="n">
        <v>2</v>
      </c>
      <c r="D2007" s="2" t="s">
        <v>564</v>
      </c>
      <c r="E2007" s="2" t="s">
        <v>48</v>
      </c>
      <c r="F2007" s="2" t="n">
        <v>133</v>
      </c>
      <c r="G2007" s="2" t="n">
        <v>16</v>
      </c>
    </row>
    <row r="2008" customFormat="false" ht="16.5" hidden="false" customHeight="true" outlineLevel="0" collapsed="false">
      <c r="A2008" s="2" t="s">
        <v>416</v>
      </c>
      <c r="B2008" s="2" t="s">
        <v>426</v>
      </c>
      <c r="C2008" s="2" t="n">
        <v>2</v>
      </c>
      <c r="D2008" s="2" t="s">
        <v>564</v>
      </c>
      <c r="E2008" s="2" t="s">
        <v>50</v>
      </c>
      <c r="F2008" s="2" t="n">
        <v>133</v>
      </c>
      <c r="G2008" s="2" t="n">
        <v>20</v>
      </c>
    </row>
    <row r="2009" customFormat="false" ht="16.5" hidden="false" customHeight="true" outlineLevel="0" collapsed="false">
      <c r="A2009" s="2" t="s">
        <v>416</v>
      </c>
      <c r="B2009" s="2" t="s">
        <v>426</v>
      </c>
      <c r="C2009" s="2" t="n">
        <v>2</v>
      </c>
      <c r="D2009" s="2" t="s">
        <v>564</v>
      </c>
      <c r="E2009" s="2" t="s">
        <v>45</v>
      </c>
      <c r="F2009" s="2" t="n">
        <v>133</v>
      </c>
      <c r="G2009" s="2" t="n">
        <v>38</v>
      </c>
    </row>
    <row r="2010" customFormat="false" ht="16.5" hidden="false" customHeight="true" outlineLevel="0" collapsed="false">
      <c r="A2010" s="2" t="s">
        <v>416</v>
      </c>
      <c r="B2010" s="2" t="s">
        <v>426</v>
      </c>
      <c r="C2010" s="2" t="n">
        <v>2</v>
      </c>
      <c r="D2010" s="2" t="s">
        <v>564</v>
      </c>
      <c r="E2010" s="2" t="s">
        <v>46</v>
      </c>
      <c r="F2010" s="2" t="n">
        <v>133</v>
      </c>
      <c r="G2010" s="2" t="n">
        <v>42</v>
      </c>
    </row>
    <row r="2011" customFormat="false" ht="16.5" hidden="false" customHeight="true" outlineLevel="0" collapsed="false">
      <c r="A2011" s="2" t="s">
        <v>416</v>
      </c>
      <c r="B2011" s="2" t="s">
        <v>427</v>
      </c>
      <c r="C2011" s="2" t="n">
        <v>2</v>
      </c>
      <c r="D2011" s="2" t="s">
        <v>565</v>
      </c>
      <c r="E2011" s="2" t="s">
        <v>0</v>
      </c>
      <c r="F2011" s="2" t="n">
        <v>138</v>
      </c>
      <c r="G2011" s="2" t="n">
        <v>6</v>
      </c>
    </row>
    <row r="2012" customFormat="false" ht="16.5" hidden="false" customHeight="true" outlineLevel="0" collapsed="false">
      <c r="A2012" s="2" t="s">
        <v>416</v>
      </c>
      <c r="B2012" s="2" t="s">
        <v>427</v>
      </c>
      <c r="C2012" s="2" t="n">
        <v>2</v>
      </c>
      <c r="D2012" s="2" t="s">
        <v>565</v>
      </c>
      <c r="E2012" s="2" t="s">
        <v>1</v>
      </c>
      <c r="F2012" s="2" t="n">
        <v>138</v>
      </c>
      <c r="G2012" s="2" t="n">
        <v>10</v>
      </c>
    </row>
    <row r="2013" customFormat="false" ht="16.5" hidden="false" customHeight="true" outlineLevel="0" collapsed="false">
      <c r="A2013" s="2" t="s">
        <v>416</v>
      </c>
      <c r="B2013" s="2" t="s">
        <v>427</v>
      </c>
      <c r="C2013" s="2" t="n">
        <v>2</v>
      </c>
      <c r="D2013" s="2" t="s">
        <v>565</v>
      </c>
      <c r="E2013" s="2" t="s">
        <v>2</v>
      </c>
      <c r="F2013" s="2" t="n">
        <v>138</v>
      </c>
      <c r="G2013" s="2" t="n">
        <v>14</v>
      </c>
    </row>
    <row r="2014" customFormat="false" ht="16.5" hidden="false" customHeight="true" outlineLevel="0" collapsed="false">
      <c r="A2014" s="2" t="s">
        <v>416</v>
      </c>
      <c r="B2014" s="2" t="s">
        <v>427</v>
      </c>
      <c r="C2014" s="2" t="n">
        <v>2</v>
      </c>
      <c r="D2014" s="2" t="s">
        <v>565</v>
      </c>
      <c r="E2014" s="2" t="s">
        <v>3</v>
      </c>
      <c r="F2014" s="2" t="n">
        <v>138</v>
      </c>
      <c r="G2014" s="2" t="n">
        <v>18</v>
      </c>
    </row>
    <row r="2015" customFormat="false" ht="16.5" hidden="false" customHeight="true" outlineLevel="0" collapsed="false">
      <c r="A2015" s="2" t="s">
        <v>416</v>
      </c>
      <c r="B2015" s="2" t="s">
        <v>427</v>
      </c>
      <c r="C2015" s="2" t="n">
        <v>2</v>
      </c>
      <c r="D2015" s="2" t="s">
        <v>565</v>
      </c>
      <c r="E2015" s="2" t="s">
        <v>4</v>
      </c>
      <c r="F2015" s="2" t="n">
        <v>138</v>
      </c>
      <c r="G2015" s="2" t="n">
        <v>22</v>
      </c>
    </row>
    <row r="2016" customFormat="false" ht="16.5" hidden="false" customHeight="true" outlineLevel="0" collapsed="false">
      <c r="A2016" s="2" t="s">
        <v>416</v>
      </c>
      <c r="B2016" s="2" t="s">
        <v>427</v>
      </c>
      <c r="C2016" s="2" t="n">
        <v>2</v>
      </c>
      <c r="D2016" s="2" t="s">
        <v>565</v>
      </c>
      <c r="E2016" s="2" t="s">
        <v>5</v>
      </c>
      <c r="F2016" s="2" t="n">
        <v>138</v>
      </c>
      <c r="G2016" s="2" t="n">
        <v>26</v>
      </c>
    </row>
    <row r="2017" customFormat="false" ht="16.5" hidden="false" customHeight="true" outlineLevel="0" collapsed="false">
      <c r="A2017" s="2" t="s">
        <v>416</v>
      </c>
      <c r="B2017" s="2" t="s">
        <v>427</v>
      </c>
      <c r="C2017" s="2" t="n">
        <v>2</v>
      </c>
      <c r="D2017" s="2" t="s">
        <v>565</v>
      </c>
      <c r="E2017" s="2" t="s">
        <v>6</v>
      </c>
      <c r="F2017" s="2" t="n">
        <v>138</v>
      </c>
      <c r="G2017" s="2" t="n">
        <v>30</v>
      </c>
    </row>
    <row r="2018" customFormat="false" ht="16.5" hidden="false" customHeight="true" outlineLevel="0" collapsed="false">
      <c r="A2018" s="2" t="s">
        <v>416</v>
      </c>
      <c r="B2018" s="2" t="s">
        <v>427</v>
      </c>
      <c r="C2018" s="2" t="n">
        <v>2</v>
      </c>
      <c r="D2018" s="2" t="s">
        <v>565</v>
      </c>
      <c r="E2018" s="2" t="s">
        <v>7</v>
      </c>
      <c r="F2018" s="2" t="n">
        <v>138</v>
      </c>
      <c r="G2018" s="2" t="n">
        <v>34</v>
      </c>
    </row>
    <row r="2019" customFormat="false" ht="16.5" hidden="false" customHeight="true" outlineLevel="0" collapsed="false">
      <c r="A2019" s="2" t="s">
        <v>416</v>
      </c>
      <c r="B2019" s="2" t="s">
        <v>427</v>
      </c>
      <c r="C2019" s="2" t="n">
        <v>2</v>
      </c>
      <c r="D2019" s="2" t="s">
        <v>565</v>
      </c>
      <c r="E2019" s="2" t="s">
        <v>8</v>
      </c>
      <c r="F2019" s="2" t="n">
        <v>138</v>
      </c>
      <c r="G2019" s="2" t="n">
        <v>38</v>
      </c>
    </row>
    <row r="2020" customFormat="false" ht="16.5" hidden="false" customHeight="true" outlineLevel="0" collapsed="false">
      <c r="A2020" s="2" t="s">
        <v>416</v>
      </c>
      <c r="B2020" s="2" t="s">
        <v>427</v>
      </c>
      <c r="C2020" s="2" t="n">
        <v>2</v>
      </c>
      <c r="D2020" s="2" t="s">
        <v>565</v>
      </c>
      <c r="E2020" s="2" t="s">
        <v>9</v>
      </c>
      <c r="F2020" s="2" t="n">
        <v>138</v>
      </c>
      <c r="G2020" s="2" t="n">
        <v>42</v>
      </c>
    </row>
    <row r="2021" customFormat="false" ht="16.5" hidden="false" customHeight="true" outlineLevel="0" collapsed="false">
      <c r="A2021" s="2" t="s">
        <v>416</v>
      </c>
      <c r="B2021" s="2" t="s">
        <v>427</v>
      </c>
      <c r="C2021" s="2" t="n">
        <v>2</v>
      </c>
      <c r="D2021" s="2" t="s">
        <v>565</v>
      </c>
      <c r="E2021" s="2" t="s">
        <v>10</v>
      </c>
      <c r="F2021" s="2" t="n">
        <v>138</v>
      </c>
      <c r="G2021" s="2" t="n">
        <v>46</v>
      </c>
    </row>
    <row r="2022" customFormat="false" ht="16.5" hidden="false" customHeight="true" outlineLevel="0" collapsed="false">
      <c r="A2022" s="2" t="s">
        <v>416</v>
      </c>
      <c r="B2022" s="2" t="s">
        <v>427</v>
      </c>
      <c r="C2022" s="2" t="n">
        <v>2</v>
      </c>
      <c r="D2022" s="2" t="s">
        <v>565</v>
      </c>
      <c r="E2022" s="2" t="s">
        <v>11</v>
      </c>
      <c r="F2022" s="2" t="n">
        <v>138</v>
      </c>
      <c r="G2022" s="2" t="n">
        <v>50</v>
      </c>
    </row>
    <row r="2023" customFormat="false" ht="16.5" hidden="false" customHeight="true" outlineLevel="0" collapsed="false">
      <c r="A2023" s="2" t="s">
        <v>416</v>
      </c>
      <c r="B2023" s="2" t="s">
        <v>427</v>
      </c>
      <c r="C2023" s="2" t="n">
        <v>2</v>
      </c>
      <c r="D2023" s="2" t="s">
        <v>565</v>
      </c>
      <c r="E2023" s="2" t="s">
        <v>12</v>
      </c>
      <c r="F2023" s="2" t="n">
        <v>140</v>
      </c>
      <c r="G2023" s="2" t="n">
        <v>8</v>
      </c>
    </row>
    <row r="2024" customFormat="false" ht="16.5" hidden="false" customHeight="true" outlineLevel="0" collapsed="false">
      <c r="A2024" s="2" t="s">
        <v>416</v>
      </c>
      <c r="B2024" s="2" t="s">
        <v>427</v>
      </c>
      <c r="C2024" s="2" t="n">
        <v>2</v>
      </c>
      <c r="D2024" s="2" t="s">
        <v>565</v>
      </c>
      <c r="E2024" s="2" t="s">
        <v>13</v>
      </c>
      <c r="F2024" s="2" t="n">
        <v>140</v>
      </c>
      <c r="G2024" s="2" t="n">
        <v>12</v>
      </c>
    </row>
    <row r="2025" customFormat="false" ht="16.5" hidden="false" customHeight="true" outlineLevel="0" collapsed="false">
      <c r="A2025" s="2" t="s">
        <v>416</v>
      </c>
      <c r="B2025" s="2" t="s">
        <v>427</v>
      </c>
      <c r="C2025" s="2" t="n">
        <v>2</v>
      </c>
      <c r="D2025" s="2" t="s">
        <v>565</v>
      </c>
      <c r="E2025" s="2" t="s">
        <v>14</v>
      </c>
      <c r="F2025" s="2" t="n">
        <v>140</v>
      </c>
      <c r="G2025" s="2" t="n">
        <v>16</v>
      </c>
    </row>
    <row r="2026" customFormat="false" ht="16.5" hidden="false" customHeight="true" outlineLevel="0" collapsed="false">
      <c r="A2026" s="2" t="s">
        <v>416</v>
      </c>
      <c r="B2026" s="2" t="s">
        <v>427</v>
      </c>
      <c r="C2026" s="2" t="n">
        <v>2</v>
      </c>
      <c r="D2026" s="2" t="s">
        <v>565</v>
      </c>
      <c r="E2026" s="2" t="s">
        <v>15</v>
      </c>
      <c r="F2026" s="2" t="n">
        <v>140</v>
      </c>
      <c r="G2026" s="2" t="n">
        <v>20</v>
      </c>
    </row>
    <row r="2027" customFormat="false" ht="16.5" hidden="false" customHeight="true" outlineLevel="0" collapsed="false">
      <c r="A2027" s="2" t="s">
        <v>416</v>
      </c>
      <c r="B2027" s="2" t="s">
        <v>427</v>
      </c>
      <c r="C2027" s="2" t="n">
        <v>2</v>
      </c>
      <c r="D2027" s="2" t="s">
        <v>565</v>
      </c>
      <c r="E2027" s="2" t="s">
        <v>16</v>
      </c>
      <c r="F2027" s="2" t="n">
        <v>140</v>
      </c>
      <c r="G2027" s="2" t="n">
        <v>24</v>
      </c>
    </row>
    <row r="2028" customFormat="false" ht="16.5" hidden="false" customHeight="true" outlineLevel="0" collapsed="false">
      <c r="A2028" s="2" t="s">
        <v>416</v>
      </c>
      <c r="B2028" s="2" t="s">
        <v>427</v>
      </c>
      <c r="C2028" s="2" t="n">
        <v>2</v>
      </c>
      <c r="D2028" s="2" t="s">
        <v>565</v>
      </c>
      <c r="E2028" s="2" t="s">
        <v>17</v>
      </c>
      <c r="F2028" s="2" t="n">
        <v>140</v>
      </c>
      <c r="G2028" s="2" t="n">
        <v>28</v>
      </c>
    </row>
    <row r="2029" customFormat="false" ht="16.5" hidden="false" customHeight="true" outlineLevel="0" collapsed="false">
      <c r="A2029" s="2" t="s">
        <v>416</v>
      </c>
      <c r="B2029" s="2" t="s">
        <v>427</v>
      </c>
      <c r="C2029" s="2" t="n">
        <v>2</v>
      </c>
      <c r="D2029" s="2" t="s">
        <v>565</v>
      </c>
      <c r="E2029" s="2" t="s">
        <v>18</v>
      </c>
      <c r="F2029" s="2" t="n">
        <v>140</v>
      </c>
      <c r="G2029" s="2" t="n">
        <v>32</v>
      </c>
    </row>
    <row r="2030" customFormat="false" ht="16.5" hidden="false" customHeight="true" outlineLevel="0" collapsed="false">
      <c r="A2030" s="2" t="s">
        <v>416</v>
      </c>
      <c r="B2030" s="2" t="s">
        <v>427</v>
      </c>
      <c r="C2030" s="2" t="n">
        <v>2</v>
      </c>
      <c r="D2030" s="2" t="s">
        <v>565</v>
      </c>
      <c r="E2030" s="2" t="s">
        <v>19</v>
      </c>
      <c r="F2030" s="2" t="n">
        <v>140</v>
      </c>
      <c r="G2030" s="2" t="n">
        <v>36</v>
      </c>
    </row>
    <row r="2031" customFormat="false" ht="16.5" hidden="false" customHeight="true" outlineLevel="0" collapsed="false">
      <c r="A2031" s="2" t="s">
        <v>416</v>
      </c>
      <c r="B2031" s="2" t="s">
        <v>427</v>
      </c>
      <c r="C2031" s="2" t="n">
        <v>2</v>
      </c>
      <c r="D2031" s="2" t="s">
        <v>565</v>
      </c>
      <c r="E2031" s="2" t="s">
        <v>20</v>
      </c>
      <c r="F2031" s="2" t="n">
        <v>140</v>
      </c>
      <c r="G2031" s="2" t="n">
        <v>40</v>
      </c>
    </row>
    <row r="2032" customFormat="false" ht="16.5" hidden="false" customHeight="true" outlineLevel="0" collapsed="false">
      <c r="A2032" s="2" t="s">
        <v>416</v>
      </c>
      <c r="B2032" s="2" t="s">
        <v>427</v>
      </c>
      <c r="C2032" s="2" t="n">
        <v>2</v>
      </c>
      <c r="D2032" s="2" t="s">
        <v>565</v>
      </c>
      <c r="E2032" s="2" t="s">
        <v>21</v>
      </c>
      <c r="F2032" s="2" t="n">
        <v>140</v>
      </c>
      <c r="G2032" s="2" t="n">
        <v>44</v>
      </c>
    </row>
    <row r="2033" customFormat="false" ht="16.5" hidden="false" customHeight="true" outlineLevel="0" collapsed="false">
      <c r="A2033" s="2" t="s">
        <v>416</v>
      </c>
      <c r="B2033" s="2" t="s">
        <v>427</v>
      </c>
      <c r="C2033" s="2" t="n">
        <v>2</v>
      </c>
      <c r="D2033" s="2" t="s">
        <v>565</v>
      </c>
      <c r="E2033" s="2" t="s">
        <v>22</v>
      </c>
      <c r="F2033" s="2" t="n">
        <v>140</v>
      </c>
      <c r="G2033" s="2" t="n">
        <v>48</v>
      </c>
    </row>
    <row r="2034" customFormat="false" ht="16.5" hidden="false" customHeight="true" outlineLevel="0" collapsed="false">
      <c r="A2034" s="2" t="s">
        <v>416</v>
      </c>
      <c r="B2034" s="2" t="s">
        <v>427</v>
      </c>
      <c r="C2034" s="2" t="n">
        <v>2</v>
      </c>
      <c r="D2034" s="2" t="s">
        <v>565</v>
      </c>
      <c r="E2034" s="2" t="s">
        <v>23</v>
      </c>
      <c r="F2034" s="2" t="n">
        <v>140</v>
      </c>
      <c r="G2034" s="2" t="n">
        <v>52</v>
      </c>
    </row>
    <row r="2035" customFormat="false" ht="16.5" hidden="false" customHeight="true" outlineLevel="0" collapsed="false">
      <c r="A2035" s="2" t="s">
        <v>416</v>
      </c>
      <c r="B2035" s="2" t="s">
        <v>427</v>
      </c>
      <c r="C2035" s="2" t="n">
        <v>2</v>
      </c>
      <c r="D2035" s="2" t="s">
        <v>565</v>
      </c>
      <c r="E2035" s="2" t="s">
        <v>24</v>
      </c>
      <c r="F2035" s="2" t="n">
        <v>142</v>
      </c>
      <c r="G2035" s="2" t="n">
        <v>9</v>
      </c>
    </row>
    <row r="2036" customFormat="false" ht="16.5" hidden="false" customHeight="true" outlineLevel="0" collapsed="false">
      <c r="A2036" s="2" t="s">
        <v>416</v>
      </c>
      <c r="B2036" s="2" t="s">
        <v>427</v>
      </c>
      <c r="C2036" s="2" t="n">
        <v>2</v>
      </c>
      <c r="D2036" s="2" t="s">
        <v>565</v>
      </c>
      <c r="E2036" s="2" t="s">
        <v>25</v>
      </c>
      <c r="F2036" s="2" t="n">
        <v>142</v>
      </c>
      <c r="G2036" s="2" t="n">
        <v>13</v>
      </c>
    </row>
    <row r="2037" customFormat="false" ht="16.5" hidden="false" customHeight="true" outlineLevel="0" collapsed="false">
      <c r="A2037" s="2" t="s">
        <v>416</v>
      </c>
      <c r="B2037" s="2" t="s">
        <v>427</v>
      </c>
      <c r="C2037" s="2" t="n">
        <v>2</v>
      </c>
      <c r="D2037" s="2" t="s">
        <v>565</v>
      </c>
      <c r="E2037" s="2" t="s">
        <v>26</v>
      </c>
      <c r="F2037" s="2" t="n">
        <v>142</v>
      </c>
      <c r="G2037" s="2" t="n">
        <v>17</v>
      </c>
    </row>
    <row r="2038" customFormat="false" ht="16.5" hidden="false" customHeight="true" outlineLevel="0" collapsed="false">
      <c r="A2038" s="2" t="s">
        <v>416</v>
      </c>
      <c r="B2038" s="2" t="s">
        <v>427</v>
      </c>
      <c r="C2038" s="2" t="n">
        <v>2</v>
      </c>
      <c r="D2038" s="2" t="s">
        <v>565</v>
      </c>
      <c r="E2038" s="2" t="s">
        <v>27</v>
      </c>
      <c r="F2038" s="2" t="n">
        <v>142</v>
      </c>
      <c r="G2038" s="2" t="n">
        <v>21</v>
      </c>
    </row>
    <row r="2039" customFormat="false" ht="16.5" hidden="false" customHeight="true" outlineLevel="0" collapsed="false">
      <c r="A2039" s="2" t="s">
        <v>416</v>
      </c>
      <c r="B2039" s="2" t="s">
        <v>427</v>
      </c>
      <c r="C2039" s="2" t="n">
        <v>2</v>
      </c>
      <c r="D2039" s="2" t="s">
        <v>565</v>
      </c>
      <c r="E2039" s="2" t="s">
        <v>28</v>
      </c>
      <c r="F2039" s="2" t="n">
        <v>142</v>
      </c>
      <c r="G2039" s="2" t="n">
        <v>25</v>
      </c>
    </row>
    <row r="2040" customFormat="false" ht="16.5" hidden="false" customHeight="true" outlineLevel="0" collapsed="false">
      <c r="A2040" s="2" t="s">
        <v>416</v>
      </c>
      <c r="B2040" s="2" t="s">
        <v>427</v>
      </c>
      <c r="C2040" s="2" t="n">
        <v>2</v>
      </c>
      <c r="D2040" s="2" t="s">
        <v>565</v>
      </c>
      <c r="E2040" s="2" t="s">
        <v>29</v>
      </c>
      <c r="F2040" s="2" t="n">
        <v>142</v>
      </c>
      <c r="G2040" s="2" t="n">
        <v>29</v>
      </c>
    </row>
    <row r="2041" customFormat="false" ht="16.5" hidden="false" customHeight="true" outlineLevel="0" collapsed="false">
      <c r="A2041" s="2" t="s">
        <v>416</v>
      </c>
      <c r="B2041" s="2" t="s">
        <v>427</v>
      </c>
      <c r="C2041" s="2" t="n">
        <v>2</v>
      </c>
      <c r="D2041" s="2" t="s">
        <v>565</v>
      </c>
      <c r="E2041" s="2" t="s">
        <v>30</v>
      </c>
      <c r="F2041" s="2" t="n">
        <v>142</v>
      </c>
      <c r="G2041" s="2" t="n">
        <v>33</v>
      </c>
    </row>
    <row r="2042" customFormat="false" ht="16.5" hidden="false" customHeight="true" outlineLevel="0" collapsed="false">
      <c r="A2042" s="2" t="s">
        <v>416</v>
      </c>
      <c r="B2042" s="2" t="s">
        <v>427</v>
      </c>
      <c r="C2042" s="2" t="n">
        <v>2</v>
      </c>
      <c r="D2042" s="2" t="s">
        <v>565</v>
      </c>
      <c r="E2042" s="2" t="s">
        <v>31</v>
      </c>
      <c r="F2042" s="2" t="n">
        <v>142</v>
      </c>
      <c r="G2042" s="2" t="n">
        <v>37</v>
      </c>
    </row>
    <row r="2043" customFormat="false" ht="16.5" hidden="false" customHeight="true" outlineLevel="0" collapsed="false">
      <c r="A2043" s="2" t="s">
        <v>416</v>
      </c>
      <c r="B2043" s="2" t="s">
        <v>427</v>
      </c>
      <c r="C2043" s="2" t="n">
        <v>2</v>
      </c>
      <c r="D2043" s="2" t="s">
        <v>565</v>
      </c>
      <c r="E2043" s="2" t="s">
        <v>32</v>
      </c>
      <c r="F2043" s="2" t="n">
        <v>142</v>
      </c>
      <c r="G2043" s="2" t="n">
        <v>41</v>
      </c>
    </row>
    <row r="2044" customFormat="false" ht="16.5" hidden="false" customHeight="true" outlineLevel="0" collapsed="false">
      <c r="A2044" s="2" t="s">
        <v>416</v>
      </c>
      <c r="B2044" s="2" t="s">
        <v>427</v>
      </c>
      <c r="C2044" s="2" t="n">
        <v>2</v>
      </c>
      <c r="D2044" s="2" t="s">
        <v>565</v>
      </c>
      <c r="E2044" s="2" t="s">
        <v>33</v>
      </c>
      <c r="F2044" s="2" t="n">
        <v>142</v>
      </c>
      <c r="G2044" s="2" t="n">
        <v>45</v>
      </c>
    </row>
    <row r="2045" customFormat="false" ht="16.5" hidden="false" customHeight="true" outlineLevel="0" collapsed="false">
      <c r="A2045" s="2" t="s">
        <v>416</v>
      </c>
      <c r="B2045" s="2" t="s">
        <v>427</v>
      </c>
      <c r="C2045" s="2" t="n">
        <v>2</v>
      </c>
      <c r="D2045" s="2" t="s">
        <v>565</v>
      </c>
      <c r="E2045" s="2" t="s">
        <v>34</v>
      </c>
      <c r="F2045" s="2" t="n">
        <v>142</v>
      </c>
      <c r="G2045" s="2" t="n">
        <v>49</v>
      </c>
    </row>
    <row r="2046" customFormat="false" ht="16.5" hidden="false" customHeight="true" outlineLevel="0" collapsed="false">
      <c r="A2046" s="2" t="s">
        <v>416</v>
      </c>
      <c r="B2046" s="2" t="s">
        <v>427</v>
      </c>
      <c r="C2046" s="2" t="n">
        <v>2</v>
      </c>
      <c r="D2046" s="2" t="s">
        <v>565</v>
      </c>
      <c r="E2046" s="2" t="s">
        <v>35</v>
      </c>
      <c r="F2046" s="2" t="n">
        <v>144</v>
      </c>
      <c r="G2046" s="2" t="n">
        <v>11</v>
      </c>
    </row>
    <row r="2047" customFormat="false" ht="16.5" hidden="false" customHeight="true" outlineLevel="0" collapsed="false">
      <c r="A2047" s="2" t="s">
        <v>416</v>
      </c>
      <c r="B2047" s="2" t="s">
        <v>427</v>
      </c>
      <c r="C2047" s="2" t="n">
        <v>2</v>
      </c>
      <c r="D2047" s="2" t="s">
        <v>565</v>
      </c>
      <c r="E2047" s="2" t="s">
        <v>36</v>
      </c>
      <c r="F2047" s="2" t="n">
        <v>144</v>
      </c>
      <c r="G2047" s="2" t="n">
        <v>15</v>
      </c>
    </row>
    <row r="2048" customFormat="false" ht="16.5" hidden="false" customHeight="true" outlineLevel="0" collapsed="false">
      <c r="A2048" s="2" t="s">
        <v>416</v>
      </c>
      <c r="B2048" s="2" t="s">
        <v>427</v>
      </c>
      <c r="C2048" s="2" t="n">
        <v>2</v>
      </c>
      <c r="D2048" s="2" t="s">
        <v>565</v>
      </c>
      <c r="E2048" s="2" t="s">
        <v>37</v>
      </c>
      <c r="F2048" s="2" t="n">
        <v>144</v>
      </c>
      <c r="G2048" s="2" t="n">
        <v>19</v>
      </c>
    </row>
    <row r="2049" customFormat="false" ht="16.5" hidden="false" customHeight="true" outlineLevel="0" collapsed="false">
      <c r="A2049" s="2" t="s">
        <v>416</v>
      </c>
      <c r="B2049" s="2" t="s">
        <v>427</v>
      </c>
      <c r="C2049" s="2" t="n">
        <v>2</v>
      </c>
      <c r="D2049" s="2" t="s">
        <v>565</v>
      </c>
      <c r="E2049" s="2" t="s">
        <v>38</v>
      </c>
      <c r="F2049" s="2" t="n">
        <v>144</v>
      </c>
      <c r="G2049" s="2" t="n">
        <v>23</v>
      </c>
    </row>
    <row r="2050" customFormat="false" ht="16.5" hidden="false" customHeight="true" outlineLevel="0" collapsed="false">
      <c r="A2050" s="2" t="s">
        <v>416</v>
      </c>
      <c r="B2050" s="2" t="s">
        <v>427</v>
      </c>
      <c r="C2050" s="2" t="n">
        <v>2</v>
      </c>
      <c r="D2050" s="2" t="s">
        <v>565</v>
      </c>
      <c r="E2050" s="2" t="s">
        <v>39</v>
      </c>
      <c r="F2050" s="2" t="n">
        <v>144</v>
      </c>
      <c r="G2050" s="2" t="n">
        <v>27</v>
      </c>
    </row>
    <row r="2051" customFormat="false" ht="16.5" hidden="false" customHeight="true" outlineLevel="0" collapsed="false">
      <c r="A2051" s="2" t="s">
        <v>416</v>
      </c>
      <c r="B2051" s="2" t="s">
        <v>427</v>
      </c>
      <c r="C2051" s="2" t="n">
        <v>2</v>
      </c>
      <c r="D2051" s="2" t="s">
        <v>565</v>
      </c>
      <c r="E2051" s="2" t="s">
        <v>40</v>
      </c>
      <c r="F2051" s="2" t="n">
        <v>144</v>
      </c>
      <c r="G2051" s="2" t="n">
        <v>31</v>
      </c>
    </row>
    <row r="2052" customFormat="false" ht="16.5" hidden="false" customHeight="true" outlineLevel="0" collapsed="false">
      <c r="A2052" s="2" t="s">
        <v>416</v>
      </c>
      <c r="B2052" s="2" t="s">
        <v>427</v>
      </c>
      <c r="C2052" s="2" t="n">
        <v>2</v>
      </c>
      <c r="D2052" s="2" t="s">
        <v>565</v>
      </c>
      <c r="E2052" s="2" t="s">
        <v>41</v>
      </c>
      <c r="F2052" s="2" t="n">
        <v>144</v>
      </c>
      <c r="G2052" s="2" t="n">
        <v>35</v>
      </c>
    </row>
    <row r="2053" customFormat="false" ht="16.5" hidden="false" customHeight="true" outlineLevel="0" collapsed="false">
      <c r="A2053" s="2" t="s">
        <v>416</v>
      </c>
      <c r="B2053" s="2" t="s">
        <v>427</v>
      </c>
      <c r="C2053" s="2" t="n">
        <v>2</v>
      </c>
      <c r="D2053" s="2" t="s">
        <v>565</v>
      </c>
      <c r="E2053" s="2" t="s">
        <v>42</v>
      </c>
      <c r="F2053" s="2" t="n">
        <v>144</v>
      </c>
      <c r="G2053" s="2" t="n">
        <v>39</v>
      </c>
    </row>
    <row r="2054" customFormat="false" ht="16.5" hidden="false" customHeight="true" outlineLevel="0" collapsed="false">
      <c r="A2054" s="2" t="s">
        <v>416</v>
      </c>
      <c r="B2054" s="2" t="s">
        <v>427</v>
      </c>
      <c r="C2054" s="2" t="n">
        <v>2</v>
      </c>
      <c r="D2054" s="2" t="s">
        <v>565</v>
      </c>
      <c r="E2054" s="2" t="s">
        <v>43</v>
      </c>
      <c r="F2054" s="2" t="n">
        <v>144</v>
      </c>
      <c r="G2054" s="2" t="n">
        <v>43</v>
      </c>
    </row>
    <row r="2055" customFormat="false" ht="16.5" hidden="false" customHeight="true" outlineLevel="0" collapsed="false">
      <c r="A2055" s="2" t="s">
        <v>416</v>
      </c>
      <c r="B2055" s="2" t="s">
        <v>427</v>
      </c>
      <c r="C2055" s="2" t="n">
        <v>2</v>
      </c>
      <c r="D2055" s="2" t="s">
        <v>565</v>
      </c>
      <c r="E2055" s="2" t="s">
        <v>44</v>
      </c>
      <c r="F2055" s="2" t="n">
        <v>144</v>
      </c>
      <c r="G2055" s="2" t="n">
        <v>47</v>
      </c>
    </row>
    <row r="2056" customFormat="false" ht="16.5" hidden="false" customHeight="true" outlineLevel="0" collapsed="false">
      <c r="A2056" s="2" t="s">
        <v>416</v>
      </c>
      <c r="B2056" s="2" t="s">
        <v>427</v>
      </c>
      <c r="C2056" s="2" t="n">
        <v>2</v>
      </c>
      <c r="D2056" s="2" t="s">
        <v>565</v>
      </c>
      <c r="E2056" s="2" t="s">
        <v>48</v>
      </c>
      <c r="F2056" s="2" t="n">
        <v>146</v>
      </c>
      <c r="G2056" s="2" t="n">
        <v>16</v>
      </c>
    </row>
    <row r="2057" customFormat="false" ht="16.5" hidden="false" customHeight="true" outlineLevel="0" collapsed="false">
      <c r="A2057" s="2" t="s">
        <v>416</v>
      </c>
      <c r="B2057" s="2" t="s">
        <v>427</v>
      </c>
      <c r="C2057" s="2" t="n">
        <v>2</v>
      </c>
      <c r="D2057" s="2" t="s">
        <v>565</v>
      </c>
      <c r="E2057" s="2" t="s">
        <v>50</v>
      </c>
      <c r="F2057" s="2" t="n">
        <v>146</v>
      </c>
      <c r="G2057" s="2" t="n">
        <v>20</v>
      </c>
    </row>
    <row r="2058" customFormat="false" ht="16.5" hidden="false" customHeight="true" outlineLevel="0" collapsed="false">
      <c r="A2058" s="2" t="s">
        <v>416</v>
      </c>
      <c r="B2058" s="2" t="s">
        <v>427</v>
      </c>
      <c r="C2058" s="2" t="n">
        <v>2</v>
      </c>
      <c r="D2058" s="2" t="s">
        <v>565</v>
      </c>
      <c r="E2058" s="2" t="s">
        <v>45</v>
      </c>
      <c r="F2058" s="2" t="n">
        <v>146</v>
      </c>
      <c r="G2058" s="2" t="n">
        <v>38</v>
      </c>
    </row>
    <row r="2059" customFormat="false" ht="16.5" hidden="false" customHeight="true" outlineLevel="0" collapsed="false">
      <c r="A2059" s="2" t="s">
        <v>416</v>
      </c>
      <c r="B2059" s="2" t="s">
        <v>427</v>
      </c>
      <c r="C2059" s="2" t="n">
        <v>2</v>
      </c>
      <c r="D2059" s="2" t="s">
        <v>565</v>
      </c>
      <c r="E2059" s="2" t="s">
        <v>46</v>
      </c>
      <c r="F2059" s="2" t="n">
        <v>146</v>
      </c>
      <c r="G2059" s="2" t="n">
        <v>42</v>
      </c>
    </row>
    <row r="2060" customFormat="false" ht="16.5" hidden="false" customHeight="true" outlineLevel="0" collapsed="false">
      <c r="A2060" s="2" t="s">
        <v>416</v>
      </c>
      <c r="B2060" s="2" t="s">
        <v>428</v>
      </c>
      <c r="C2060" s="2" t="n">
        <v>2</v>
      </c>
      <c r="D2060" s="2" t="s">
        <v>566</v>
      </c>
      <c r="E2060" s="2" t="s">
        <v>0</v>
      </c>
      <c r="F2060" s="2" t="n">
        <v>151</v>
      </c>
      <c r="G2060" s="2" t="n">
        <v>6</v>
      </c>
    </row>
    <row r="2061" customFormat="false" ht="16.5" hidden="false" customHeight="true" outlineLevel="0" collapsed="false">
      <c r="A2061" s="2" t="s">
        <v>416</v>
      </c>
      <c r="B2061" s="2" t="s">
        <v>428</v>
      </c>
      <c r="C2061" s="2" t="n">
        <v>2</v>
      </c>
      <c r="D2061" s="2" t="s">
        <v>566</v>
      </c>
      <c r="E2061" s="2" t="s">
        <v>1</v>
      </c>
      <c r="F2061" s="2" t="n">
        <v>151</v>
      </c>
      <c r="G2061" s="2" t="n">
        <v>10</v>
      </c>
    </row>
    <row r="2062" customFormat="false" ht="16.5" hidden="false" customHeight="true" outlineLevel="0" collapsed="false">
      <c r="A2062" s="2" t="s">
        <v>416</v>
      </c>
      <c r="B2062" s="2" t="s">
        <v>428</v>
      </c>
      <c r="C2062" s="2" t="n">
        <v>2</v>
      </c>
      <c r="D2062" s="2" t="s">
        <v>566</v>
      </c>
      <c r="E2062" s="2" t="s">
        <v>2</v>
      </c>
      <c r="F2062" s="2" t="n">
        <v>151</v>
      </c>
      <c r="G2062" s="2" t="n">
        <v>14</v>
      </c>
    </row>
    <row r="2063" customFormat="false" ht="16.5" hidden="false" customHeight="true" outlineLevel="0" collapsed="false">
      <c r="A2063" s="2" t="s">
        <v>416</v>
      </c>
      <c r="B2063" s="2" t="s">
        <v>428</v>
      </c>
      <c r="C2063" s="2" t="n">
        <v>2</v>
      </c>
      <c r="D2063" s="2" t="s">
        <v>566</v>
      </c>
      <c r="E2063" s="2" t="s">
        <v>3</v>
      </c>
      <c r="F2063" s="2" t="n">
        <v>151</v>
      </c>
      <c r="G2063" s="2" t="n">
        <v>18</v>
      </c>
    </row>
    <row r="2064" customFormat="false" ht="16.5" hidden="false" customHeight="true" outlineLevel="0" collapsed="false">
      <c r="A2064" s="2" t="s">
        <v>416</v>
      </c>
      <c r="B2064" s="2" t="s">
        <v>428</v>
      </c>
      <c r="C2064" s="2" t="n">
        <v>2</v>
      </c>
      <c r="D2064" s="2" t="s">
        <v>566</v>
      </c>
      <c r="E2064" s="2" t="s">
        <v>4</v>
      </c>
      <c r="F2064" s="2" t="n">
        <v>151</v>
      </c>
      <c r="G2064" s="2" t="n">
        <v>22</v>
      </c>
    </row>
    <row r="2065" customFormat="false" ht="16.5" hidden="false" customHeight="true" outlineLevel="0" collapsed="false">
      <c r="A2065" s="2" t="s">
        <v>416</v>
      </c>
      <c r="B2065" s="2" t="s">
        <v>428</v>
      </c>
      <c r="C2065" s="2" t="n">
        <v>2</v>
      </c>
      <c r="D2065" s="2" t="s">
        <v>566</v>
      </c>
      <c r="E2065" s="2" t="s">
        <v>5</v>
      </c>
      <c r="F2065" s="2" t="n">
        <v>151</v>
      </c>
      <c r="G2065" s="2" t="n">
        <v>26</v>
      </c>
    </row>
    <row r="2066" customFormat="false" ht="16.5" hidden="false" customHeight="true" outlineLevel="0" collapsed="false">
      <c r="A2066" s="2" t="s">
        <v>416</v>
      </c>
      <c r="B2066" s="2" t="s">
        <v>428</v>
      </c>
      <c r="C2066" s="2" t="n">
        <v>2</v>
      </c>
      <c r="D2066" s="2" t="s">
        <v>566</v>
      </c>
      <c r="E2066" s="2" t="s">
        <v>6</v>
      </c>
      <c r="F2066" s="2" t="n">
        <v>151</v>
      </c>
      <c r="G2066" s="2" t="n">
        <v>30</v>
      </c>
    </row>
    <row r="2067" customFormat="false" ht="16.5" hidden="false" customHeight="true" outlineLevel="0" collapsed="false">
      <c r="A2067" s="2" t="s">
        <v>416</v>
      </c>
      <c r="B2067" s="2" t="s">
        <v>428</v>
      </c>
      <c r="C2067" s="2" t="n">
        <v>2</v>
      </c>
      <c r="D2067" s="2" t="s">
        <v>566</v>
      </c>
      <c r="E2067" s="2" t="s">
        <v>7</v>
      </c>
      <c r="F2067" s="2" t="n">
        <v>151</v>
      </c>
      <c r="G2067" s="2" t="n">
        <v>34</v>
      </c>
    </row>
    <row r="2068" customFormat="false" ht="16.5" hidden="false" customHeight="true" outlineLevel="0" collapsed="false">
      <c r="A2068" s="2" t="s">
        <v>416</v>
      </c>
      <c r="B2068" s="2" t="s">
        <v>428</v>
      </c>
      <c r="C2068" s="2" t="n">
        <v>2</v>
      </c>
      <c r="D2068" s="2" t="s">
        <v>566</v>
      </c>
      <c r="E2068" s="2" t="s">
        <v>8</v>
      </c>
      <c r="F2068" s="2" t="n">
        <v>151</v>
      </c>
      <c r="G2068" s="2" t="n">
        <v>38</v>
      </c>
    </row>
    <row r="2069" customFormat="false" ht="16.5" hidden="false" customHeight="true" outlineLevel="0" collapsed="false">
      <c r="A2069" s="2" t="s">
        <v>416</v>
      </c>
      <c r="B2069" s="2" t="s">
        <v>428</v>
      </c>
      <c r="C2069" s="2" t="n">
        <v>2</v>
      </c>
      <c r="D2069" s="2" t="s">
        <v>566</v>
      </c>
      <c r="E2069" s="2" t="s">
        <v>9</v>
      </c>
      <c r="F2069" s="2" t="n">
        <v>151</v>
      </c>
      <c r="G2069" s="2" t="n">
        <v>42</v>
      </c>
    </row>
    <row r="2070" customFormat="false" ht="16.5" hidden="false" customHeight="true" outlineLevel="0" collapsed="false">
      <c r="A2070" s="2" t="s">
        <v>416</v>
      </c>
      <c r="B2070" s="2" t="s">
        <v>428</v>
      </c>
      <c r="C2070" s="2" t="n">
        <v>2</v>
      </c>
      <c r="D2070" s="2" t="s">
        <v>566</v>
      </c>
      <c r="E2070" s="2" t="s">
        <v>10</v>
      </c>
      <c r="F2070" s="2" t="n">
        <v>151</v>
      </c>
      <c r="G2070" s="2" t="n">
        <v>46</v>
      </c>
    </row>
    <row r="2071" customFormat="false" ht="16.5" hidden="false" customHeight="true" outlineLevel="0" collapsed="false">
      <c r="A2071" s="2" t="s">
        <v>416</v>
      </c>
      <c r="B2071" s="2" t="s">
        <v>428</v>
      </c>
      <c r="C2071" s="2" t="n">
        <v>2</v>
      </c>
      <c r="D2071" s="2" t="s">
        <v>566</v>
      </c>
      <c r="E2071" s="2" t="s">
        <v>11</v>
      </c>
      <c r="F2071" s="2" t="n">
        <v>151</v>
      </c>
      <c r="G2071" s="2" t="n">
        <v>50</v>
      </c>
    </row>
    <row r="2072" customFormat="false" ht="16.5" hidden="false" customHeight="true" outlineLevel="0" collapsed="false">
      <c r="A2072" s="2" t="s">
        <v>416</v>
      </c>
      <c r="B2072" s="2" t="s">
        <v>428</v>
      </c>
      <c r="C2072" s="2" t="n">
        <v>2</v>
      </c>
      <c r="D2072" s="2" t="s">
        <v>566</v>
      </c>
      <c r="E2072" s="2" t="s">
        <v>12</v>
      </c>
      <c r="F2072" s="2" t="n">
        <v>153</v>
      </c>
      <c r="G2072" s="2" t="n">
        <v>8</v>
      </c>
    </row>
    <row r="2073" customFormat="false" ht="16.5" hidden="false" customHeight="true" outlineLevel="0" collapsed="false">
      <c r="A2073" s="2" t="s">
        <v>416</v>
      </c>
      <c r="B2073" s="2" t="s">
        <v>428</v>
      </c>
      <c r="C2073" s="2" t="n">
        <v>2</v>
      </c>
      <c r="D2073" s="2" t="s">
        <v>566</v>
      </c>
      <c r="E2073" s="2" t="s">
        <v>13</v>
      </c>
      <c r="F2073" s="2" t="n">
        <v>153</v>
      </c>
      <c r="G2073" s="2" t="n">
        <v>12</v>
      </c>
    </row>
    <row r="2074" customFormat="false" ht="16.5" hidden="false" customHeight="true" outlineLevel="0" collapsed="false">
      <c r="A2074" s="2" t="s">
        <v>416</v>
      </c>
      <c r="B2074" s="2" t="s">
        <v>428</v>
      </c>
      <c r="C2074" s="2" t="n">
        <v>2</v>
      </c>
      <c r="D2074" s="2" t="s">
        <v>566</v>
      </c>
      <c r="E2074" s="2" t="s">
        <v>14</v>
      </c>
      <c r="F2074" s="2" t="n">
        <v>153</v>
      </c>
      <c r="G2074" s="2" t="n">
        <v>16</v>
      </c>
    </row>
    <row r="2075" customFormat="false" ht="16.5" hidden="false" customHeight="true" outlineLevel="0" collapsed="false">
      <c r="A2075" s="2" t="s">
        <v>416</v>
      </c>
      <c r="B2075" s="2" t="s">
        <v>428</v>
      </c>
      <c r="C2075" s="2" t="n">
        <v>2</v>
      </c>
      <c r="D2075" s="2" t="s">
        <v>566</v>
      </c>
      <c r="E2075" s="2" t="s">
        <v>15</v>
      </c>
      <c r="F2075" s="2" t="n">
        <v>153</v>
      </c>
      <c r="G2075" s="2" t="n">
        <v>20</v>
      </c>
    </row>
    <row r="2076" customFormat="false" ht="16.5" hidden="false" customHeight="true" outlineLevel="0" collapsed="false">
      <c r="A2076" s="2" t="s">
        <v>416</v>
      </c>
      <c r="B2076" s="2" t="s">
        <v>428</v>
      </c>
      <c r="C2076" s="2" t="n">
        <v>2</v>
      </c>
      <c r="D2076" s="2" t="s">
        <v>566</v>
      </c>
      <c r="E2076" s="2" t="s">
        <v>16</v>
      </c>
      <c r="F2076" s="2" t="n">
        <v>153</v>
      </c>
      <c r="G2076" s="2" t="n">
        <v>24</v>
      </c>
    </row>
    <row r="2077" customFormat="false" ht="16.5" hidden="false" customHeight="true" outlineLevel="0" collapsed="false">
      <c r="A2077" s="2" t="s">
        <v>416</v>
      </c>
      <c r="B2077" s="2" t="s">
        <v>428</v>
      </c>
      <c r="C2077" s="2" t="n">
        <v>2</v>
      </c>
      <c r="D2077" s="2" t="s">
        <v>566</v>
      </c>
      <c r="E2077" s="2" t="s">
        <v>17</v>
      </c>
      <c r="F2077" s="2" t="n">
        <v>153</v>
      </c>
      <c r="G2077" s="2" t="n">
        <v>28</v>
      </c>
    </row>
    <row r="2078" customFormat="false" ht="16.5" hidden="false" customHeight="true" outlineLevel="0" collapsed="false">
      <c r="A2078" s="2" t="s">
        <v>416</v>
      </c>
      <c r="B2078" s="2" t="s">
        <v>428</v>
      </c>
      <c r="C2078" s="2" t="n">
        <v>2</v>
      </c>
      <c r="D2078" s="2" t="s">
        <v>566</v>
      </c>
      <c r="E2078" s="2" t="s">
        <v>18</v>
      </c>
      <c r="F2078" s="2" t="n">
        <v>153</v>
      </c>
      <c r="G2078" s="2" t="n">
        <v>32</v>
      </c>
    </row>
    <row r="2079" customFormat="false" ht="16.5" hidden="false" customHeight="true" outlineLevel="0" collapsed="false">
      <c r="A2079" s="2" t="s">
        <v>416</v>
      </c>
      <c r="B2079" s="2" t="s">
        <v>428</v>
      </c>
      <c r="C2079" s="2" t="n">
        <v>2</v>
      </c>
      <c r="D2079" s="2" t="s">
        <v>566</v>
      </c>
      <c r="E2079" s="2" t="s">
        <v>19</v>
      </c>
      <c r="F2079" s="2" t="n">
        <v>153</v>
      </c>
      <c r="G2079" s="2" t="n">
        <v>36</v>
      </c>
    </row>
    <row r="2080" customFormat="false" ht="16.5" hidden="false" customHeight="true" outlineLevel="0" collapsed="false">
      <c r="A2080" s="2" t="s">
        <v>416</v>
      </c>
      <c r="B2080" s="2" t="s">
        <v>428</v>
      </c>
      <c r="C2080" s="2" t="n">
        <v>2</v>
      </c>
      <c r="D2080" s="2" t="s">
        <v>566</v>
      </c>
      <c r="E2080" s="2" t="s">
        <v>20</v>
      </c>
      <c r="F2080" s="2" t="n">
        <v>153</v>
      </c>
      <c r="G2080" s="2" t="n">
        <v>40</v>
      </c>
    </row>
    <row r="2081" customFormat="false" ht="16.5" hidden="false" customHeight="true" outlineLevel="0" collapsed="false">
      <c r="A2081" s="2" t="s">
        <v>416</v>
      </c>
      <c r="B2081" s="2" t="s">
        <v>428</v>
      </c>
      <c r="C2081" s="2" t="n">
        <v>2</v>
      </c>
      <c r="D2081" s="2" t="s">
        <v>566</v>
      </c>
      <c r="E2081" s="2" t="s">
        <v>21</v>
      </c>
      <c r="F2081" s="2" t="n">
        <v>153</v>
      </c>
      <c r="G2081" s="2" t="n">
        <v>44</v>
      </c>
    </row>
    <row r="2082" customFormat="false" ht="16.5" hidden="false" customHeight="true" outlineLevel="0" collapsed="false">
      <c r="A2082" s="2" t="s">
        <v>416</v>
      </c>
      <c r="B2082" s="2" t="s">
        <v>428</v>
      </c>
      <c r="C2082" s="2" t="n">
        <v>2</v>
      </c>
      <c r="D2082" s="2" t="s">
        <v>566</v>
      </c>
      <c r="E2082" s="2" t="s">
        <v>22</v>
      </c>
      <c r="F2082" s="2" t="n">
        <v>153</v>
      </c>
      <c r="G2082" s="2" t="n">
        <v>48</v>
      </c>
    </row>
    <row r="2083" customFormat="false" ht="16.5" hidden="false" customHeight="true" outlineLevel="0" collapsed="false">
      <c r="A2083" s="2" t="s">
        <v>416</v>
      </c>
      <c r="B2083" s="2" t="s">
        <v>428</v>
      </c>
      <c r="C2083" s="2" t="n">
        <v>2</v>
      </c>
      <c r="D2083" s="2" t="s">
        <v>566</v>
      </c>
      <c r="E2083" s="2" t="s">
        <v>23</v>
      </c>
      <c r="F2083" s="2" t="n">
        <v>153</v>
      </c>
      <c r="G2083" s="2" t="n">
        <v>52</v>
      </c>
    </row>
    <row r="2084" customFormat="false" ht="16.5" hidden="false" customHeight="true" outlineLevel="0" collapsed="false">
      <c r="A2084" s="2" t="s">
        <v>416</v>
      </c>
      <c r="B2084" s="2" t="s">
        <v>428</v>
      </c>
      <c r="C2084" s="2" t="n">
        <v>2</v>
      </c>
      <c r="D2084" s="2" t="s">
        <v>566</v>
      </c>
      <c r="E2084" s="2" t="s">
        <v>24</v>
      </c>
      <c r="F2084" s="2" t="n">
        <v>155</v>
      </c>
      <c r="G2084" s="2" t="n">
        <v>9</v>
      </c>
    </row>
    <row r="2085" customFormat="false" ht="16.5" hidden="false" customHeight="true" outlineLevel="0" collapsed="false">
      <c r="A2085" s="2" t="s">
        <v>416</v>
      </c>
      <c r="B2085" s="2" t="s">
        <v>428</v>
      </c>
      <c r="C2085" s="2" t="n">
        <v>2</v>
      </c>
      <c r="D2085" s="2" t="s">
        <v>566</v>
      </c>
      <c r="E2085" s="2" t="s">
        <v>25</v>
      </c>
      <c r="F2085" s="2" t="n">
        <v>155</v>
      </c>
      <c r="G2085" s="2" t="n">
        <v>13</v>
      </c>
    </row>
    <row r="2086" customFormat="false" ht="16.5" hidden="false" customHeight="true" outlineLevel="0" collapsed="false">
      <c r="A2086" s="2" t="s">
        <v>416</v>
      </c>
      <c r="B2086" s="2" t="s">
        <v>428</v>
      </c>
      <c r="C2086" s="2" t="n">
        <v>2</v>
      </c>
      <c r="D2086" s="2" t="s">
        <v>566</v>
      </c>
      <c r="E2086" s="2" t="s">
        <v>26</v>
      </c>
      <c r="F2086" s="2" t="n">
        <v>155</v>
      </c>
      <c r="G2086" s="2" t="n">
        <v>17</v>
      </c>
    </row>
    <row r="2087" customFormat="false" ht="16.5" hidden="false" customHeight="true" outlineLevel="0" collapsed="false">
      <c r="A2087" s="2" t="s">
        <v>416</v>
      </c>
      <c r="B2087" s="2" t="s">
        <v>428</v>
      </c>
      <c r="C2087" s="2" t="n">
        <v>2</v>
      </c>
      <c r="D2087" s="2" t="s">
        <v>566</v>
      </c>
      <c r="E2087" s="2" t="s">
        <v>27</v>
      </c>
      <c r="F2087" s="2" t="n">
        <v>155</v>
      </c>
      <c r="G2087" s="2" t="n">
        <v>21</v>
      </c>
    </row>
    <row r="2088" customFormat="false" ht="16.5" hidden="false" customHeight="true" outlineLevel="0" collapsed="false">
      <c r="A2088" s="2" t="s">
        <v>416</v>
      </c>
      <c r="B2088" s="2" t="s">
        <v>428</v>
      </c>
      <c r="C2088" s="2" t="n">
        <v>2</v>
      </c>
      <c r="D2088" s="2" t="s">
        <v>566</v>
      </c>
      <c r="E2088" s="2" t="s">
        <v>28</v>
      </c>
      <c r="F2088" s="2" t="n">
        <v>155</v>
      </c>
      <c r="G2088" s="2" t="n">
        <v>25</v>
      </c>
    </row>
    <row r="2089" customFormat="false" ht="16.5" hidden="false" customHeight="true" outlineLevel="0" collapsed="false">
      <c r="A2089" s="2" t="s">
        <v>416</v>
      </c>
      <c r="B2089" s="2" t="s">
        <v>428</v>
      </c>
      <c r="C2089" s="2" t="n">
        <v>2</v>
      </c>
      <c r="D2089" s="2" t="s">
        <v>566</v>
      </c>
      <c r="E2089" s="2" t="s">
        <v>29</v>
      </c>
      <c r="F2089" s="2" t="n">
        <v>155</v>
      </c>
      <c r="G2089" s="2" t="n">
        <v>29</v>
      </c>
    </row>
    <row r="2090" customFormat="false" ht="16.5" hidden="false" customHeight="true" outlineLevel="0" collapsed="false">
      <c r="A2090" s="2" t="s">
        <v>416</v>
      </c>
      <c r="B2090" s="2" t="s">
        <v>428</v>
      </c>
      <c r="C2090" s="2" t="n">
        <v>2</v>
      </c>
      <c r="D2090" s="2" t="s">
        <v>566</v>
      </c>
      <c r="E2090" s="2" t="s">
        <v>30</v>
      </c>
      <c r="F2090" s="2" t="n">
        <v>155</v>
      </c>
      <c r="G2090" s="2" t="n">
        <v>33</v>
      </c>
    </row>
    <row r="2091" customFormat="false" ht="16.5" hidden="false" customHeight="true" outlineLevel="0" collapsed="false">
      <c r="A2091" s="2" t="s">
        <v>416</v>
      </c>
      <c r="B2091" s="2" t="s">
        <v>428</v>
      </c>
      <c r="C2091" s="2" t="n">
        <v>2</v>
      </c>
      <c r="D2091" s="2" t="s">
        <v>566</v>
      </c>
      <c r="E2091" s="2" t="s">
        <v>31</v>
      </c>
      <c r="F2091" s="2" t="n">
        <v>155</v>
      </c>
      <c r="G2091" s="2" t="n">
        <v>37</v>
      </c>
    </row>
    <row r="2092" customFormat="false" ht="16.5" hidden="false" customHeight="true" outlineLevel="0" collapsed="false">
      <c r="A2092" s="2" t="s">
        <v>416</v>
      </c>
      <c r="B2092" s="2" t="s">
        <v>428</v>
      </c>
      <c r="C2092" s="2" t="n">
        <v>2</v>
      </c>
      <c r="D2092" s="2" t="s">
        <v>566</v>
      </c>
      <c r="E2092" s="2" t="s">
        <v>32</v>
      </c>
      <c r="F2092" s="2" t="n">
        <v>155</v>
      </c>
      <c r="G2092" s="2" t="n">
        <v>41</v>
      </c>
    </row>
    <row r="2093" customFormat="false" ht="16.5" hidden="false" customHeight="true" outlineLevel="0" collapsed="false">
      <c r="A2093" s="2" t="s">
        <v>416</v>
      </c>
      <c r="B2093" s="2" t="s">
        <v>428</v>
      </c>
      <c r="C2093" s="2" t="n">
        <v>2</v>
      </c>
      <c r="D2093" s="2" t="s">
        <v>566</v>
      </c>
      <c r="E2093" s="2" t="s">
        <v>33</v>
      </c>
      <c r="F2093" s="2" t="n">
        <v>155</v>
      </c>
      <c r="G2093" s="2" t="n">
        <v>45</v>
      </c>
    </row>
    <row r="2094" customFormat="false" ht="16.5" hidden="false" customHeight="true" outlineLevel="0" collapsed="false">
      <c r="A2094" s="2" t="s">
        <v>416</v>
      </c>
      <c r="B2094" s="2" t="s">
        <v>428</v>
      </c>
      <c r="C2094" s="2" t="n">
        <v>2</v>
      </c>
      <c r="D2094" s="2" t="s">
        <v>566</v>
      </c>
      <c r="E2094" s="2" t="s">
        <v>34</v>
      </c>
      <c r="F2094" s="2" t="n">
        <v>155</v>
      </c>
      <c r="G2094" s="2" t="n">
        <v>49</v>
      </c>
    </row>
    <row r="2095" customFormat="false" ht="16.5" hidden="false" customHeight="true" outlineLevel="0" collapsed="false">
      <c r="A2095" s="2" t="s">
        <v>416</v>
      </c>
      <c r="B2095" s="2" t="s">
        <v>428</v>
      </c>
      <c r="C2095" s="2" t="n">
        <v>2</v>
      </c>
      <c r="D2095" s="2" t="s">
        <v>566</v>
      </c>
      <c r="E2095" s="2" t="s">
        <v>35</v>
      </c>
      <c r="F2095" s="2" t="n">
        <v>157</v>
      </c>
      <c r="G2095" s="2" t="n">
        <v>11</v>
      </c>
    </row>
    <row r="2096" customFormat="false" ht="16.5" hidden="false" customHeight="true" outlineLevel="0" collapsed="false">
      <c r="A2096" s="2" t="s">
        <v>416</v>
      </c>
      <c r="B2096" s="2" t="s">
        <v>428</v>
      </c>
      <c r="C2096" s="2" t="n">
        <v>2</v>
      </c>
      <c r="D2096" s="2" t="s">
        <v>566</v>
      </c>
      <c r="E2096" s="2" t="s">
        <v>36</v>
      </c>
      <c r="F2096" s="2" t="n">
        <v>157</v>
      </c>
      <c r="G2096" s="2" t="n">
        <v>15</v>
      </c>
    </row>
    <row r="2097" customFormat="false" ht="16.5" hidden="false" customHeight="true" outlineLevel="0" collapsed="false">
      <c r="A2097" s="2" t="s">
        <v>416</v>
      </c>
      <c r="B2097" s="2" t="s">
        <v>428</v>
      </c>
      <c r="C2097" s="2" t="n">
        <v>2</v>
      </c>
      <c r="D2097" s="2" t="s">
        <v>566</v>
      </c>
      <c r="E2097" s="2" t="s">
        <v>37</v>
      </c>
      <c r="F2097" s="2" t="n">
        <v>157</v>
      </c>
      <c r="G2097" s="2" t="n">
        <v>19</v>
      </c>
    </row>
    <row r="2098" customFormat="false" ht="16.5" hidden="false" customHeight="true" outlineLevel="0" collapsed="false">
      <c r="A2098" s="2" t="s">
        <v>416</v>
      </c>
      <c r="B2098" s="2" t="s">
        <v>428</v>
      </c>
      <c r="C2098" s="2" t="n">
        <v>2</v>
      </c>
      <c r="D2098" s="2" t="s">
        <v>566</v>
      </c>
      <c r="E2098" s="2" t="s">
        <v>38</v>
      </c>
      <c r="F2098" s="2" t="n">
        <v>157</v>
      </c>
      <c r="G2098" s="2" t="n">
        <v>23</v>
      </c>
    </row>
    <row r="2099" customFormat="false" ht="16.5" hidden="false" customHeight="true" outlineLevel="0" collapsed="false">
      <c r="A2099" s="2" t="s">
        <v>416</v>
      </c>
      <c r="B2099" s="2" t="s">
        <v>428</v>
      </c>
      <c r="C2099" s="2" t="n">
        <v>2</v>
      </c>
      <c r="D2099" s="2" t="s">
        <v>566</v>
      </c>
      <c r="E2099" s="2" t="s">
        <v>39</v>
      </c>
      <c r="F2099" s="2" t="n">
        <v>157</v>
      </c>
      <c r="G2099" s="2" t="n">
        <v>27</v>
      </c>
    </row>
    <row r="2100" customFormat="false" ht="16.5" hidden="false" customHeight="true" outlineLevel="0" collapsed="false">
      <c r="A2100" s="2" t="s">
        <v>416</v>
      </c>
      <c r="B2100" s="2" t="s">
        <v>428</v>
      </c>
      <c r="C2100" s="2" t="n">
        <v>2</v>
      </c>
      <c r="D2100" s="2" t="s">
        <v>566</v>
      </c>
      <c r="E2100" s="2" t="s">
        <v>40</v>
      </c>
      <c r="F2100" s="2" t="n">
        <v>157</v>
      </c>
      <c r="G2100" s="2" t="n">
        <v>31</v>
      </c>
    </row>
    <row r="2101" customFormat="false" ht="16.5" hidden="false" customHeight="true" outlineLevel="0" collapsed="false">
      <c r="A2101" s="2" t="s">
        <v>416</v>
      </c>
      <c r="B2101" s="2" t="s">
        <v>428</v>
      </c>
      <c r="C2101" s="2" t="n">
        <v>2</v>
      </c>
      <c r="D2101" s="2" t="s">
        <v>566</v>
      </c>
      <c r="E2101" s="2" t="s">
        <v>41</v>
      </c>
      <c r="F2101" s="2" t="n">
        <v>157</v>
      </c>
      <c r="G2101" s="2" t="n">
        <v>35</v>
      </c>
    </row>
    <row r="2102" customFormat="false" ht="16.5" hidden="false" customHeight="true" outlineLevel="0" collapsed="false">
      <c r="A2102" s="2" t="s">
        <v>416</v>
      </c>
      <c r="B2102" s="2" t="s">
        <v>428</v>
      </c>
      <c r="C2102" s="2" t="n">
        <v>2</v>
      </c>
      <c r="D2102" s="2" t="s">
        <v>566</v>
      </c>
      <c r="E2102" s="2" t="s">
        <v>42</v>
      </c>
      <c r="F2102" s="2" t="n">
        <v>157</v>
      </c>
      <c r="G2102" s="2" t="n">
        <v>39</v>
      </c>
    </row>
    <row r="2103" customFormat="false" ht="16.5" hidden="false" customHeight="true" outlineLevel="0" collapsed="false">
      <c r="A2103" s="2" t="s">
        <v>416</v>
      </c>
      <c r="B2103" s="2" t="s">
        <v>428</v>
      </c>
      <c r="C2103" s="2" t="n">
        <v>2</v>
      </c>
      <c r="D2103" s="2" t="s">
        <v>566</v>
      </c>
      <c r="E2103" s="2" t="s">
        <v>43</v>
      </c>
      <c r="F2103" s="2" t="n">
        <v>157</v>
      </c>
      <c r="G2103" s="2" t="n">
        <v>43</v>
      </c>
    </row>
    <row r="2104" customFormat="false" ht="16.5" hidden="false" customHeight="true" outlineLevel="0" collapsed="false">
      <c r="A2104" s="2" t="s">
        <v>416</v>
      </c>
      <c r="B2104" s="2" t="s">
        <v>428</v>
      </c>
      <c r="C2104" s="2" t="n">
        <v>2</v>
      </c>
      <c r="D2104" s="2" t="s">
        <v>566</v>
      </c>
      <c r="E2104" s="2" t="s">
        <v>44</v>
      </c>
      <c r="F2104" s="2" t="n">
        <v>157</v>
      </c>
      <c r="G2104" s="2" t="n">
        <v>47</v>
      </c>
    </row>
    <row r="2105" customFormat="false" ht="16.5" hidden="false" customHeight="true" outlineLevel="0" collapsed="false">
      <c r="A2105" s="2" t="s">
        <v>416</v>
      </c>
      <c r="B2105" s="2" t="s">
        <v>428</v>
      </c>
      <c r="C2105" s="2" t="n">
        <v>2</v>
      </c>
      <c r="D2105" s="2" t="s">
        <v>566</v>
      </c>
      <c r="E2105" s="2" t="s">
        <v>48</v>
      </c>
      <c r="F2105" s="2" t="n">
        <v>159</v>
      </c>
      <c r="G2105" s="2" t="n">
        <v>16</v>
      </c>
    </row>
    <row r="2106" customFormat="false" ht="16.5" hidden="false" customHeight="true" outlineLevel="0" collapsed="false">
      <c r="A2106" s="2" t="s">
        <v>416</v>
      </c>
      <c r="B2106" s="2" t="s">
        <v>428</v>
      </c>
      <c r="C2106" s="2" t="n">
        <v>2</v>
      </c>
      <c r="D2106" s="2" t="s">
        <v>566</v>
      </c>
      <c r="E2106" s="2" t="s">
        <v>50</v>
      </c>
      <c r="F2106" s="2" t="n">
        <v>159</v>
      </c>
      <c r="G2106" s="2" t="n">
        <v>20</v>
      </c>
    </row>
    <row r="2107" customFormat="false" ht="16.5" hidden="false" customHeight="true" outlineLevel="0" collapsed="false">
      <c r="A2107" s="2" t="s">
        <v>416</v>
      </c>
      <c r="B2107" s="2" t="s">
        <v>428</v>
      </c>
      <c r="C2107" s="2" t="n">
        <v>2</v>
      </c>
      <c r="D2107" s="2" t="s">
        <v>566</v>
      </c>
      <c r="E2107" s="2" t="s">
        <v>45</v>
      </c>
      <c r="F2107" s="2" t="n">
        <v>159</v>
      </c>
      <c r="G2107" s="2" t="n">
        <v>38</v>
      </c>
    </row>
    <row r="2108" customFormat="false" ht="16.5" hidden="false" customHeight="true" outlineLevel="0" collapsed="false">
      <c r="A2108" s="2" t="s">
        <v>416</v>
      </c>
      <c r="B2108" s="2" t="s">
        <v>428</v>
      </c>
      <c r="C2108" s="2" t="n">
        <v>2</v>
      </c>
      <c r="D2108" s="2" t="s">
        <v>566</v>
      </c>
      <c r="E2108" s="2" t="s">
        <v>46</v>
      </c>
      <c r="F2108" s="2" t="n">
        <v>159</v>
      </c>
      <c r="G2108" s="2" t="n">
        <v>42</v>
      </c>
    </row>
    <row r="2109" customFormat="false" ht="16.5" hidden="false" customHeight="true" outlineLevel="0" collapsed="false">
      <c r="A2109" s="2" t="s">
        <v>416</v>
      </c>
      <c r="B2109" s="2" t="s">
        <v>429</v>
      </c>
      <c r="C2109" s="2" t="n">
        <v>2</v>
      </c>
      <c r="D2109" s="2" t="s">
        <v>567</v>
      </c>
      <c r="E2109" s="2" t="s">
        <v>0</v>
      </c>
      <c r="F2109" s="2" t="n">
        <v>164</v>
      </c>
      <c r="G2109" s="2" t="n">
        <v>6</v>
      </c>
    </row>
    <row r="2110" customFormat="false" ht="16.5" hidden="false" customHeight="true" outlineLevel="0" collapsed="false">
      <c r="A2110" s="2" t="s">
        <v>416</v>
      </c>
      <c r="B2110" s="2" t="s">
        <v>429</v>
      </c>
      <c r="C2110" s="2" t="n">
        <v>2</v>
      </c>
      <c r="D2110" s="2" t="s">
        <v>567</v>
      </c>
      <c r="E2110" s="2" t="s">
        <v>1</v>
      </c>
      <c r="F2110" s="2" t="n">
        <v>164</v>
      </c>
      <c r="G2110" s="2" t="n">
        <v>10</v>
      </c>
    </row>
    <row r="2111" customFormat="false" ht="16.5" hidden="false" customHeight="true" outlineLevel="0" collapsed="false">
      <c r="A2111" s="2" t="s">
        <v>416</v>
      </c>
      <c r="B2111" s="2" t="s">
        <v>429</v>
      </c>
      <c r="C2111" s="2" t="n">
        <v>2</v>
      </c>
      <c r="D2111" s="2" t="s">
        <v>567</v>
      </c>
      <c r="E2111" s="2" t="s">
        <v>2</v>
      </c>
      <c r="F2111" s="2" t="n">
        <v>164</v>
      </c>
      <c r="G2111" s="2" t="n">
        <v>14</v>
      </c>
    </row>
    <row r="2112" customFormat="false" ht="16.5" hidden="false" customHeight="true" outlineLevel="0" collapsed="false">
      <c r="A2112" s="2" t="s">
        <v>416</v>
      </c>
      <c r="B2112" s="2" t="s">
        <v>429</v>
      </c>
      <c r="C2112" s="2" t="n">
        <v>2</v>
      </c>
      <c r="D2112" s="2" t="s">
        <v>567</v>
      </c>
      <c r="E2112" s="2" t="s">
        <v>3</v>
      </c>
      <c r="F2112" s="2" t="n">
        <v>164</v>
      </c>
      <c r="G2112" s="2" t="n">
        <v>18</v>
      </c>
    </row>
    <row r="2113" customFormat="false" ht="16.5" hidden="false" customHeight="true" outlineLevel="0" collapsed="false">
      <c r="A2113" s="2" t="s">
        <v>416</v>
      </c>
      <c r="B2113" s="2" t="s">
        <v>429</v>
      </c>
      <c r="C2113" s="2" t="n">
        <v>2</v>
      </c>
      <c r="D2113" s="2" t="s">
        <v>567</v>
      </c>
      <c r="E2113" s="2" t="s">
        <v>4</v>
      </c>
      <c r="F2113" s="2" t="n">
        <v>164</v>
      </c>
      <c r="G2113" s="2" t="n">
        <v>22</v>
      </c>
    </row>
    <row r="2114" customFormat="false" ht="16.5" hidden="false" customHeight="true" outlineLevel="0" collapsed="false">
      <c r="A2114" s="2" t="s">
        <v>416</v>
      </c>
      <c r="B2114" s="2" t="s">
        <v>429</v>
      </c>
      <c r="C2114" s="2" t="n">
        <v>2</v>
      </c>
      <c r="D2114" s="2" t="s">
        <v>567</v>
      </c>
      <c r="E2114" s="2" t="s">
        <v>5</v>
      </c>
      <c r="F2114" s="2" t="n">
        <v>164</v>
      </c>
      <c r="G2114" s="2" t="n">
        <v>26</v>
      </c>
    </row>
    <row r="2115" customFormat="false" ht="16.5" hidden="false" customHeight="true" outlineLevel="0" collapsed="false">
      <c r="A2115" s="2" t="s">
        <v>416</v>
      </c>
      <c r="B2115" s="2" t="s">
        <v>429</v>
      </c>
      <c r="C2115" s="2" t="n">
        <v>2</v>
      </c>
      <c r="D2115" s="2" t="s">
        <v>567</v>
      </c>
      <c r="E2115" s="2" t="s">
        <v>6</v>
      </c>
      <c r="F2115" s="2" t="n">
        <v>164</v>
      </c>
      <c r="G2115" s="2" t="n">
        <v>30</v>
      </c>
    </row>
    <row r="2116" customFormat="false" ht="16.5" hidden="false" customHeight="true" outlineLevel="0" collapsed="false">
      <c r="A2116" s="2" t="s">
        <v>416</v>
      </c>
      <c r="B2116" s="2" t="s">
        <v>429</v>
      </c>
      <c r="C2116" s="2" t="n">
        <v>2</v>
      </c>
      <c r="D2116" s="2" t="s">
        <v>567</v>
      </c>
      <c r="E2116" s="2" t="s">
        <v>7</v>
      </c>
      <c r="F2116" s="2" t="n">
        <v>164</v>
      </c>
      <c r="G2116" s="2" t="n">
        <v>34</v>
      </c>
    </row>
    <row r="2117" customFormat="false" ht="16.5" hidden="false" customHeight="true" outlineLevel="0" collapsed="false">
      <c r="A2117" s="2" t="s">
        <v>416</v>
      </c>
      <c r="B2117" s="2" t="s">
        <v>429</v>
      </c>
      <c r="C2117" s="2" t="n">
        <v>2</v>
      </c>
      <c r="D2117" s="2" t="s">
        <v>567</v>
      </c>
      <c r="E2117" s="2" t="s">
        <v>8</v>
      </c>
      <c r="F2117" s="2" t="n">
        <v>164</v>
      </c>
      <c r="G2117" s="2" t="n">
        <v>38</v>
      </c>
    </row>
    <row r="2118" customFormat="false" ht="16.5" hidden="false" customHeight="true" outlineLevel="0" collapsed="false">
      <c r="A2118" s="2" t="s">
        <v>416</v>
      </c>
      <c r="B2118" s="2" t="s">
        <v>429</v>
      </c>
      <c r="C2118" s="2" t="n">
        <v>2</v>
      </c>
      <c r="D2118" s="2" t="s">
        <v>567</v>
      </c>
      <c r="E2118" s="2" t="s">
        <v>9</v>
      </c>
      <c r="F2118" s="2" t="n">
        <v>164</v>
      </c>
      <c r="G2118" s="2" t="n">
        <v>42</v>
      </c>
    </row>
    <row r="2119" customFormat="false" ht="16.5" hidden="false" customHeight="true" outlineLevel="0" collapsed="false">
      <c r="A2119" s="2" t="s">
        <v>416</v>
      </c>
      <c r="B2119" s="2" t="s">
        <v>429</v>
      </c>
      <c r="C2119" s="2" t="n">
        <v>2</v>
      </c>
      <c r="D2119" s="2" t="s">
        <v>567</v>
      </c>
      <c r="E2119" s="2" t="s">
        <v>10</v>
      </c>
      <c r="F2119" s="2" t="n">
        <v>164</v>
      </c>
      <c r="G2119" s="2" t="n">
        <v>46</v>
      </c>
    </row>
    <row r="2120" customFormat="false" ht="16.5" hidden="false" customHeight="true" outlineLevel="0" collapsed="false">
      <c r="A2120" s="2" t="s">
        <v>416</v>
      </c>
      <c r="B2120" s="2" t="s">
        <v>429</v>
      </c>
      <c r="C2120" s="2" t="n">
        <v>2</v>
      </c>
      <c r="D2120" s="2" t="s">
        <v>567</v>
      </c>
      <c r="E2120" s="2" t="s">
        <v>11</v>
      </c>
      <c r="F2120" s="2" t="n">
        <v>164</v>
      </c>
      <c r="G2120" s="2" t="n">
        <v>50</v>
      </c>
    </row>
    <row r="2121" customFormat="false" ht="16.5" hidden="false" customHeight="true" outlineLevel="0" collapsed="false">
      <c r="A2121" s="2" t="s">
        <v>416</v>
      </c>
      <c r="B2121" s="2" t="s">
        <v>429</v>
      </c>
      <c r="C2121" s="2" t="n">
        <v>2</v>
      </c>
      <c r="D2121" s="2" t="s">
        <v>567</v>
      </c>
      <c r="E2121" s="2" t="s">
        <v>12</v>
      </c>
      <c r="F2121" s="2" t="n">
        <v>166</v>
      </c>
      <c r="G2121" s="2" t="n">
        <v>8</v>
      </c>
    </row>
    <row r="2122" customFormat="false" ht="16.5" hidden="false" customHeight="true" outlineLevel="0" collapsed="false">
      <c r="A2122" s="2" t="s">
        <v>416</v>
      </c>
      <c r="B2122" s="2" t="s">
        <v>429</v>
      </c>
      <c r="C2122" s="2" t="n">
        <v>2</v>
      </c>
      <c r="D2122" s="2" t="s">
        <v>567</v>
      </c>
      <c r="E2122" s="2" t="s">
        <v>13</v>
      </c>
      <c r="F2122" s="2" t="n">
        <v>166</v>
      </c>
      <c r="G2122" s="2" t="n">
        <v>12</v>
      </c>
    </row>
    <row r="2123" customFormat="false" ht="16.5" hidden="false" customHeight="true" outlineLevel="0" collapsed="false">
      <c r="A2123" s="2" t="s">
        <v>416</v>
      </c>
      <c r="B2123" s="2" t="s">
        <v>429</v>
      </c>
      <c r="C2123" s="2" t="n">
        <v>2</v>
      </c>
      <c r="D2123" s="2" t="s">
        <v>567</v>
      </c>
      <c r="E2123" s="2" t="s">
        <v>14</v>
      </c>
      <c r="F2123" s="2" t="n">
        <v>166</v>
      </c>
      <c r="G2123" s="2" t="n">
        <v>16</v>
      </c>
    </row>
    <row r="2124" customFormat="false" ht="16.5" hidden="false" customHeight="true" outlineLevel="0" collapsed="false">
      <c r="A2124" s="2" t="s">
        <v>416</v>
      </c>
      <c r="B2124" s="2" t="s">
        <v>429</v>
      </c>
      <c r="C2124" s="2" t="n">
        <v>2</v>
      </c>
      <c r="D2124" s="2" t="s">
        <v>567</v>
      </c>
      <c r="E2124" s="2" t="s">
        <v>15</v>
      </c>
      <c r="F2124" s="2" t="n">
        <v>166</v>
      </c>
      <c r="G2124" s="2" t="n">
        <v>20</v>
      </c>
    </row>
    <row r="2125" customFormat="false" ht="16.5" hidden="false" customHeight="true" outlineLevel="0" collapsed="false">
      <c r="A2125" s="2" t="s">
        <v>416</v>
      </c>
      <c r="B2125" s="2" t="s">
        <v>429</v>
      </c>
      <c r="C2125" s="2" t="n">
        <v>2</v>
      </c>
      <c r="D2125" s="2" t="s">
        <v>567</v>
      </c>
      <c r="E2125" s="2" t="s">
        <v>16</v>
      </c>
      <c r="F2125" s="2" t="n">
        <v>166</v>
      </c>
      <c r="G2125" s="2" t="n">
        <v>24</v>
      </c>
    </row>
    <row r="2126" customFormat="false" ht="16.5" hidden="false" customHeight="true" outlineLevel="0" collapsed="false">
      <c r="A2126" s="2" t="s">
        <v>416</v>
      </c>
      <c r="B2126" s="2" t="s">
        <v>429</v>
      </c>
      <c r="C2126" s="2" t="n">
        <v>2</v>
      </c>
      <c r="D2126" s="2" t="s">
        <v>567</v>
      </c>
      <c r="E2126" s="2" t="s">
        <v>17</v>
      </c>
      <c r="F2126" s="2" t="n">
        <v>166</v>
      </c>
      <c r="G2126" s="2" t="n">
        <v>28</v>
      </c>
    </row>
    <row r="2127" customFormat="false" ht="16.5" hidden="false" customHeight="true" outlineLevel="0" collapsed="false">
      <c r="A2127" s="2" t="s">
        <v>416</v>
      </c>
      <c r="B2127" s="2" t="s">
        <v>429</v>
      </c>
      <c r="C2127" s="2" t="n">
        <v>2</v>
      </c>
      <c r="D2127" s="2" t="s">
        <v>567</v>
      </c>
      <c r="E2127" s="2" t="s">
        <v>18</v>
      </c>
      <c r="F2127" s="2" t="n">
        <v>166</v>
      </c>
      <c r="G2127" s="2" t="n">
        <v>32</v>
      </c>
    </row>
    <row r="2128" customFormat="false" ht="16.5" hidden="false" customHeight="true" outlineLevel="0" collapsed="false">
      <c r="A2128" s="2" t="s">
        <v>416</v>
      </c>
      <c r="B2128" s="2" t="s">
        <v>429</v>
      </c>
      <c r="C2128" s="2" t="n">
        <v>2</v>
      </c>
      <c r="D2128" s="2" t="s">
        <v>567</v>
      </c>
      <c r="E2128" s="2" t="s">
        <v>19</v>
      </c>
      <c r="F2128" s="2" t="n">
        <v>166</v>
      </c>
      <c r="G2128" s="2" t="n">
        <v>36</v>
      </c>
    </row>
    <row r="2129" customFormat="false" ht="16.5" hidden="false" customHeight="true" outlineLevel="0" collapsed="false">
      <c r="A2129" s="2" t="s">
        <v>416</v>
      </c>
      <c r="B2129" s="2" t="s">
        <v>429</v>
      </c>
      <c r="C2129" s="2" t="n">
        <v>2</v>
      </c>
      <c r="D2129" s="2" t="s">
        <v>567</v>
      </c>
      <c r="E2129" s="2" t="s">
        <v>20</v>
      </c>
      <c r="F2129" s="2" t="n">
        <v>166</v>
      </c>
      <c r="G2129" s="2" t="n">
        <v>40</v>
      </c>
    </row>
    <row r="2130" customFormat="false" ht="16.5" hidden="false" customHeight="true" outlineLevel="0" collapsed="false">
      <c r="A2130" s="2" t="s">
        <v>416</v>
      </c>
      <c r="B2130" s="2" t="s">
        <v>429</v>
      </c>
      <c r="C2130" s="2" t="n">
        <v>2</v>
      </c>
      <c r="D2130" s="2" t="s">
        <v>567</v>
      </c>
      <c r="E2130" s="2" t="s">
        <v>21</v>
      </c>
      <c r="F2130" s="2" t="n">
        <v>166</v>
      </c>
      <c r="G2130" s="2" t="n">
        <v>44</v>
      </c>
    </row>
    <row r="2131" customFormat="false" ht="16.5" hidden="false" customHeight="true" outlineLevel="0" collapsed="false">
      <c r="A2131" s="2" t="s">
        <v>416</v>
      </c>
      <c r="B2131" s="2" t="s">
        <v>429</v>
      </c>
      <c r="C2131" s="2" t="n">
        <v>2</v>
      </c>
      <c r="D2131" s="2" t="s">
        <v>567</v>
      </c>
      <c r="E2131" s="2" t="s">
        <v>22</v>
      </c>
      <c r="F2131" s="2" t="n">
        <v>166</v>
      </c>
      <c r="G2131" s="2" t="n">
        <v>48</v>
      </c>
    </row>
    <row r="2132" customFormat="false" ht="16.5" hidden="false" customHeight="true" outlineLevel="0" collapsed="false">
      <c r="A2132" s="2" t="s">
        <v>416</v>
      </c>
      <c r="B2132" s="2" t="s">
        <v>429</v>
      </c>
      <c r="C2132" s="2" t="n">
        <v>2</v>
      </c>
      <c r="D2132" s="2" t="s">
        <v>567</v>
      </c>
      <c r="E2132" s="2" t="s">
        <v>23</v>
      </c>
      <c r="F2132" s="2" t="n">
        <v>166</v>
      </c>
      <c r="G2132" s="2" t="n">
        <v>52</v>
      </c>
    </row>
    <row r="2133" customFormat="false" ht="16.5" hidden="false" customHeight="true" outlineLevel="0" collapsed="false">
      <c r="A2133" s="2" t="s">
        <v>416</v>
      </c>
      <c r="B2133" s="2" t="s">
        <v>429</v>
      </c>
      <c r="C2133" s="2" t="n">
        <v>2</v>
      </c>
      <c r="D2133" s="2" t="s">
        <v>567</v>
      </c>
      <c r="E2133" s="2" t="s">
        <v>24</v>
      </c>
      <c r="F2133" s="2" t="n">
        <v>168</v>
      </c>
      <c r="G2133" s="2" t="n">
        <v>9</v>
      </c>
    </row>
    <row r="2134" customFormat="false" ht="16.5" hidden="false" customHeight="true" outlineLevel="0" collapsed="false">
      <c r="A2134" s="2" t="s">
        <v>416</v>
      </c>
      <c r="B2134" s="2" t="s">
        <v>429</v>
      </c>
      <c r="C2134" s="2" t="n">
        <v>2</v>
      </c>
      <c r="D2134" s="2" t="s">
        <v>567</v>
      </c>
      <c r="E2134" s="2" t="s">
        <v>25</v>
      </c>
      <c r="F2134" s="2" t="n">
        <v>168</v>
      </c>
      <c r="G2134" s="2" t="n">
        <v>13</v>
      </c>
    </row>
    <row r="2135" customFormat="false" ht="16.5" hidden="false" customHeight="true" outlineLevel="0" collapsed="false">
      <c r="A2135" s="2" t="s">
        <v>416</v>
      </c>
      <c r="B2135" s="2" t="s">
        <v>429</v>
      </c>
      <c r="C2135" s="2" t="n">
        <v>2</v>
      </c>
      <c r="D2135" s="2" t="s">
        <v>567</v>
      </c>
      <c r="E2135" s="2" t="s">
        <v>26</v>
      </c>
      <c r="F2135" s="2" t="n">
        <v>168</v>
      </c>
      <c r="G2135" s="2" t="n">
        <v>17</v>
      </c>
    </row>
    <row r="2136" customFormat="false" ht="16.5" hidden="false" customHeight="true" outlineLevel="0" collapsed="false">
      <c r="A2136" s="2" t="s">
        <v>416</v>
      </c>
      <c r="B2136" s="2" t="s">
        <v>429</v>
      </c>
      <c r="C2136" s="2" t="n">
        <v>2</v>
      </c>
      <c r="D2136" s="2" t="s">
        <v>567</v>
      </c>
      <c r="E2136" s="2" t="s">
        <v>27</v>
      </c>
      <c r="F2136" s="2" t="n">
        <v>168</v>
      </c>
      <c r="G2136" s="2" t="n">
        <v>21</v>
      </c>
    </row>
    <row r="2137" customFormat="false" ht="16.5" hidden="false" customHeight="true" outlineLevel="0" collapsed="false">
      <c r="A2137" s="2" t="s">
        <v>416</v>
      </c>
      <c r="B2137" s="2" t="s">
        <v>429</v>
      </c>
      <c r="C2137" s="2" t="n">
        <v>2</v>
      </c>
      <c r="D2137" s="2" t="s">
        <v>567</v>
      </c>
      <c r="E2137" s="2" t="s">
        <v>28</v>
      </c>
      <c r="F2137" s="2" t="n">
        <v>168</v>
      </c>
      <c r="G2137" s="2" t="n">
        <v>25</v>
      </c>
    </row>
    <row r="2138" customFormat="false" ht="16.5" hidden="false" customHeight="true" outlineLevel="0" collapsed="false">
      <c r="A2138" s="2" t="s">
        <v>416</v>
      </c>
      <c r="B2138" s="2" t="s">
        <v>429</v>
      </c>
      <c r="C2138" s="2" t="n">
        <v>2</v>
      </c>
      <c r="D2138" s="2" t="s">
        <v>567</v>
      </c>
      <c r="E2138" s="2" t="s">
        <v>29</v>
      </c>
      <c r="F2138" s="2" t="n">
        <v>168</v>
      </c>
      <c r="G2138" s="2" t="n">
        <v>29</v>
      </c>
    </row>
    <row r="2139" customFormat="false" ht="16.5" hidden="false" customHeight="true" outlineLevel="0" collapsed="false">
      <c r="A2139" s="2" t="s">
        <v>416</v>
      </c>
      <c r="B2139" s="2" t="s">
        <v>429</v>
      </c>
      <c r="C2139" s="2" t="n">
        <v>2</v>
      </c>
      <c r="D2139" s="2" t="s">
        <v>567</v>
      </c>
      <c r="E2139" s="2" t="s">
        <v>30</v>
      </c>
      <c r="F2139" s="2" t="n">
        <v>168</v>
      </c>
      <c r="G2139" s="2" t="n">
        <v>33</v>
      </c>
    </row>
    <row r="2140" customFormat="false" ht="16.5" hidden="false" customHeight="true" outlineLevel="0" collapsed="false">
      <c r="A2140" s="2" t="s">
        <v>416</v>
      </c>
      <c r="B2140" s="2" t="s">
        <v>429</v>
      </c>
      <c r="C2140" s="2" t="n">
        <v>2</v>
      </c>
      <c r="D2140" s="2" t="s">
        <v>567</v>
      </c>
      <c r="E2140" s="2" t="s">
        <v>31</v>
      </c>
      <c r="F2140" s="2" t="n">
        <v>168</v>
      </c>
      <c r="G2140" s="2" t="n">
        <v>37</v>
      </c>
    </row>
    <row r="2141" customFormat="false" ht="16.5" hidden="false" customHeight="true" outlineLevel="0" collapsed="false">
      <c r="A2141" s="2" t="s">
        <v>416</v>
      </c>
      <c r="B2141" s="2" t="s">
        <v>429</v>
      </c>
      <c r="C2141" s="2" t="n">
        <v>2</v>
      </c>
      <c r="D2141" s="2" t="s">
        <v>567</v>
      </c>
      <c r="E2141" s="2" t="s">
        <v>32</v>
      </c>
      <c r="F2141" s="2" t="n">
        <v>168</v>
      </c>
      <c r="G2141" s="2" t="n">
        <v>41</v>
      </c>
    </row>
    <row r="2142" customFormat="false" ht="16.5" hidden="false" customHeight="true" outlineLevel="0" collapsed="false">
      <c r="A2142" s="2" t="s">
        <v>416</v>
      </c>
      <c r="B2142" s="2" t="s">
        <v>429</v>
      </c>
      <c r="C2142" s="2" t="n">
        <v>2</v>
      </c>
      <c r="D2142" s="2" t="s">
        <v>567</v>
      </c>
      <c r="E2142" s="2" t="s">
        <v>33</v>
      </c>
      <c r="F2142" s="2" t="n">
        <v>168</v>
      </c>
      <c r="G2142" s="2" t="n">
        <v>45</v>
      </c>
    </row>
    <row r="2143" customFormat="false" ht="16.5" hidden="false" customHeight="true" outlineLevel="0" collapsed="false">
      <c r="A2143" s="2" t="s">
        <v>416</v>
      </c>
      <c r="B2143" s="2" t="s">
        <v>429</v>
      </c>
      <c r="C2143" s="2" t="n">
        <v>2</v>
      </c>
      <c r="D2143" s="2" t="s">
        <v>567</v>
      </c>
      <c r="E2143" s="2" t="s">
        <v>34</v>
      </c>
      <c r="F2143" s="2" t="n">
        <v>168</v>
      </c>
      <c r="G2143" s="2" t="n">
        <v>49</v>
      </c>
    </row>
    <row r="2144" customFormat="false" ht="16.5" hidden="false" customHeight="true" outlineLevel="0" collapsed="false">
      <c r="A2144" s="2" t="s">
        <v>416</v>
      </c>
      <c r="B2144" s="2" t="s">
        <v>429</v>
      </c>
      <c r="C2144" s="2" t="n">
        <v>2</v>
      </c>
      <c r="D2144" s="2" t="s">
        <v>567</v>
      </c>
      <c r="E2144" s="2" t="s">
        <v>35</v>
      </c>
      <c r="F2144" s="2" t="n">
        <v>170</v>
      </c>
      <c r="G2144" s="2" t="n">
        <v>11</v>
      </c>
    </row>
    <row r="2145" customFormat="false" ht="16.5" hidden="false" customHeight="true" outlineLevel="0" collapsed="false">
      <c r="A2145" s="2" t="s">
        <v>416</v>
      </c>
      <c r="B2145" s="2" t="s">
        <v>429</v>
      </c>
      <c r="C2145" s="2" t="n">
        <v>2</v>
      </c>
      <c r="D2145" s="2" t="s">
        <v>567</v>
      </c>
      <c r="E2145" s="2" t="s">
        <v>36</v>
      </c>
      <c r="F2145" s="2" t="n">
        <v>170</v>
      </c>
      <c r="G2145" s="2" t="n">
        <v>15</v>
      </c>
    </row>
    <row r="2146" customFormat="false" ht="16.5" hidden="false" customHeight="true" outlineLevel="0" collapsed="false">
      <c r="A2146" s="2" t="s">
        <v>416</v>
      </c>
      <c r="B2146" s="2" t="s">
        <v>429</v>
      </c>
      <c r="C2146" s="2" t="n">
        <v>2</v>
      </c>
      <c r="D2146" s="2" t="s">
        <v>567</v>
      </c>
      <c r="E2146" s="2" t="s">
        <v>37</v>
      </c>
      <c r="F2146" s="2" t="n">
        <v>170</v>
      </c>
      <c r="G2146" s="2" t="n">
        <v>19</v>
      </c>
    </row>
    <row r="2147" customFormat="false" ht="16.5" hidden="false" customHeight="true" outlineLevel="0" collapsed="false">
      <c r="A2147" s="2" t="s">
        <v>416</v>
      </c>
      <c r="B2147" s="2" t="s">
        <v>429</v>
      </c>
      <c r="C2147" s="2" t="n">
        <v>2</v>
      </c>
      <c r="D2147" s="2" t="s">
        <v>567</v>
      </c>
      <c r="E2147" s="2" t="s">
        <v>38</v>
      </c>
      <c r="F2147" s="2" t="n">
        <v>170</v>
      </c>
      <c r="G2147" s="2" t="n">
        <v>23</v>
      </c>
    </row>
    <row r="2148" customFormat="false" ht="16.5" hidden="false" customHeight="true" outlineLevel="0" collapsed="false">
      <c r="A2148" s="2" t="s">
        <v>416</v>
      </c>
      <c r="B2148" s="2" t="s">
        <v>429</v>
      </c>
      <c r="C2148" s="2" t="n">
        <v>2</v>
      </c>
      <c r="D2148" s="2" t="s">
        <v>567</v>
      </c>
      <c r="E2148" s="2" t="s">
        <v>39</v>
      </c>
      <c r="F2148" s="2" t="n">
        <v>170</v>
      </c>
      <c r="G2148" s="2" t="n">
        <v>27</v>
      </c>
    </row>
    <row r="2149" customFormat="false" ht="16.5" hidden="false" customHeight="true" outlineLevel="0" collapsed="false">
      <c r="A2149" s="2" t="s">
        <v>416</v>
      </c>
      <c r="B2149" s="2" t="s">
        <v>429</v>
      </c>
      <c r="C2149" s="2" t="n">
        <v>2</v>
      </c>
      <c r="D2149" s="2" t="s">
        <v>567</v>
      </c>
      <c r="E2149" s="2" t="s">
        <v>40</v>
      </c>
      <c r="F2149" s="2" t="n">
        <v>170</v>
      </c>
      <c r="G2149" s="2" t="n">
        <v>31</v>
      </c>
    </row>
    <row r="2150" customFormat="false" ht="16.5" hidden="false" customHeight="true" outlineLevel="0" collapsed="false">
      <c r="A2150" s="2" t="s">
        <v>416</v>
      </c>
      <c r="B2150" s="2" t="s">
        <v>429</v>
      </c>
      <c r="C2150" s="2" t="n">
        <v>2</v>
      </c>
      <c r="D2150" s="2" t="s">
        <v>567</v>
      </c>
      <c r="E2150" s="2" t="s">
        <v>41</v>
      </c>
      <c r="F2150" s="2" t="n">
        <v>170</v>
      </c>
      <c r="G2150" s="2" t="n">
        <v>35</v>
      </c>
    </row>
    <row r="2151" customFormat="false" ht="16.5" hidden="false" customHeight="true" outlineLevel="0" collapsed="false">
      <c r="A2151" s="2" t="s">
        <v>416</v>
      </c>
      <c r="B2151" s="2" t="s">
        <v>429</v>
      </c>
      <c r="C2151" s="2" t="n">
        <v>2</v>
      </c>
      <c r="D2151" s="2" t="s">
        <v>567</v>
      </c>
      <c r="E2151" s="2" t="s">
        <v>42</v>
      </c>
      <c r="F2151" s="2" t="n">
        <v>170</v>
      </c>
      <c r="G2151" s="2" t="n">
        <v>39</v>
      </c>
    </row>
    <row r="2152" customFormat="false" ht="16.5" hidden="false" customHeight="true" outlineLevel="0" collapsed="false">
      <c r="A2152" s="2" t="s">
        <v>416</v>
      </c>
      <c r="B2152" s="2" t="s">
        <v>429</v>
      </c>
      <c r="C2152" s="2" t="n">
        <v>2</v>
      </c>
      <c r="D2152" s="2" t="s">
        <v>567</v>
      </c>
      <c r="E2152" s="2" t="s">
        <v>43</v>
      </c>
      <c r="F2152" s="2" t="n">
        <v>170</v>
      </c>
      <c r="G2152" s="2" t="n">
        <v>43</v>
      </c>
    </row>
    <row r="2153" customFormat="false" ht="16.5" hidden="false" customHeight="true" outlineLevel="0" collapsed="false">
      <c r="A2153" s="2" t="s">
        <v>416</v>
      </c>
      <c r="B2153" s="2" t="s">
        <v>429</v>
      </c>
      <c r="C2153" s="2" t="n">
        <v>2</v>
      </c>
      <c r="D2153" s="2" t="s">
        <v>567</v>
      </c>
      <c r="E2153" s="2" t="s">
        <v>44</v>
      </c>
      <c r="F2153" s="2" t="n">
        <v>170</v>
      </c>
      <c r="G2153" s="2" t="n">
        <v>47</v>
      </c>
    </row>
    <row r="2154" customFormat="false" ht="16.5" hidden="false" customHeight="true" outlineLevel="0" collapsed="false">
      <c r="A2154" s="2" t="s">
        <v>416</v>
      </c>
      <c r="B2154" s="2" t="s">
        <v>429</v>
      </c>
      <c r="C2154" s="2" t="n">
        <v>2</v>
      </c>
      <c r="D2154" s="2" t="s">
        <v>567</v>
      </c>
      <c r="E2154" s="2" t="s">
        <v>48</v>
      </c>
      <c r="F2154" s="2" t="n">
        <v>172</v>
      </c>
      <c r="G2154" s="2" t="n">
        <v>16</v>
      </c>
    </row>
    <row r="2155" customFormat="false" ht="16.5" hidden="false" customHeight="true" outlineLevel="0" collapsed="false">
      <c r="A2155" s="2" t="s">
        <v>416</v>
      </c>
      <c r="B2155" s="2" t="s">
        <v>429</v>
      </c>
      <c r="C2155" s="2" t="n">
        <v>2</v>
      </c>
      <c r="D2155" s="2" t="s">
        <v>567</v>
      </c>
      <c r="E2155" s="2" t="s">
        <v>50</v>
      </c>
      <c r="F2155" s="2" t="n">
        <v>172</v>
      </c>
      <c r="G2155" s="2" t="n">
        <v>20</v>
      </c>
    </row>
    <row r="2156" customFormat="false" ht="16.5" hidden="false" customHeight="true" outlineLevel="0" collapsed="false">
      <c r="A2156" s="2" t="s">
        <v>416</v>
      </c>
      <c r="B2156" s="2" t="s">
        <v>429</v>
      </c>
      <c r="C2156" s="2" t="n">
        <v>2</v>
      </c>
      <c r="D2156" s="2" t="s">
        <v>567</v>
      </c>
      <c r="E2156" s="2" t="s">
        <v>45</v>
      </c>
      <c r="F2156" s="2" t="n">
        <v>172</v>
      </c>
      <c r="G2156" s="2" t="n">
        <v>38</v>
      </c>
    </row>
    <row r="2157" customFormat="false" ht="16.5" hidden="false" customHeight="true" outlineLevel="0" collapsed="false">
      <c r="A2157" s="2" t="s">
        <v>416</v>
      </c>
      <c r="B2157" s="2" t="s">
        <v>429</v>
      </c>
      <c r="C2157" s="2" t="n">
        <v>2</v>
      </c>
      <c r="D2157" s="2" t="s">
        <v>567</v>
      </c>
      <c r="E2157" s="2" t="s">
        <v>46</v>
      </c>
      <c r="F2157" s="2" t="n">
        <v>172</v>
      </c>
      <c r="G2157" s="2" t="n">
        <v>42</v>
      </c>
    </row>
    <row r="2158" customFormat="false" ht="16.5" hidden="false" customHeight="true" outlineLevel="0" collapsed="false">
      <c r="A2158" s="2" t="s">
        <v>416</v>
      </c>
      <c r="B2158" s="2" t="s">
        <v>430</v>
      </c>
      <c r="C2158" s="2" t="n">
        <v>2</v>
      </c>
      <c r="D2158" s="2" t="s">
        <v>568</v>
      </c>
      <c r="E2158" s="2" t="s">
        <v>0</v>
      </c>
      <c r="F2158" s="2" t="n">
        <v>177</v>
      </c>
      <c r="G2158" s="2" t="n">
        <v>6</v>
      </c>
    </row>
    <row r="2159" customFormat="false" ht="16.5" hidden="false" customHeight="true" outlineLevel="0" collapsed="false">
      <c r="A2159" s="2" t="s">
        <v>416</v>
      </c>
      <c r="B2159" s="2" t="s">
        <v>430</v>
      </c>
      <c r="C2159" s="2" t="n">
        <v>2</v>
      </c>
      <c r="D2159" s="2" t="s">
        <v>568</v>
      </c>
      <c r="E2159" s="2" t="s">
        <v>1</v>
      </c>
      <c r="F2159" s="2" t="n">
        <v>177</v>
      </c>
      <c r="G2159" s="2" t="n">
        <v>10</v>
      </c>
    </row>
    <row r="2160" customFormat="false" ht="16.5" hidden="false" customHeight="true" outlineLevel="0" collapsed="false">
      <c r="A2160" s="2" t="s">
        <v>416</v>
      </c>
      <c r="B2160" s="2" t="s">
        <v>430</v>
      </c>
      <c r="C2160" s="2" t="n">
        <v>2</v>
      </c>
      <c r="D2160" s="2" t="s">
        <v>568</v>
      </c>
      <c r="E2160" s="2" t="s">
        <v>2</v>
      </c>
      <c r="F2160" s="2" t="n">
        <v>177</v>
      </c>
      <c r="G2160" s="2" t="n">
        <v>14</v>
      </c>
    </row>
    <row r="2161" customFormat="false" ht="16.5" hidden="false" customHeight="true" outlineLevel="0" collapsed="false">
      <c r="A2161" s="2" t="s">
        <v>416</v>
      </c>
      <c r="B2161" s="2" t="s">
        <v>430</v>
      </c>
      <c r="C2161" s="2" t="n">
        <v>2</v>
      </c>
      <c r="D2161" s="2" t="s">
        <v>568</v>
      </c>
      <c r="E2161" s="2" t="s">
        <v>3</v>
      </c>
      <c r="F2161" s="2" t="n">
        <v>177</v>
      </c>
      <c r="G2161" s="2" t="n">
        <v>18</v>
      </c>
    </row>
    <row r="2162" customFormat="false" ht="16.5" hidden="false" customHeight="true" outlineLevel="0" collapsed="false">
      <c r="A2162" s="2" t="s">
        <v>416</v>
      </c>
      <c r="B2162" s="2" t="s">
        <v>430</v>
      </c>
      <c r="C2162" s="2" t="n">
        <v>2</v>
      </c>
      <c r="D2162" s="2" t="s">
        <v>568</v>
      </c>
      <c r="E2162" s="2" t="s">
        <v>4</v>
      </c>
      <c r="F2162" s="2" t="n">
        <v>177</v>
      </c>
      <c r="G2162" s="2" t="n">
        <v>22</v>
      </c>
    </row>
    <row r="2163" customFormat="false" ht="16.5" hidden="false" customHeight="true" outlineLevel="0" collapsed="false">
      <c r="A2163" s="2" t="s">
        <v>416</v>
      </c>
      <c r="B2163" s="2" t="s">
        <v>430</v>
      </c>
      <c r="C2163" s="2" t="n">
        <v>2</v>
      </c>
      <c r="D2163" s="2" t="s">
        <v>568</v>
      </c>
      <c r="E2163" s="2" t="s">
        <v>5</v>
      </c>
      <c r="F2163" s="2" t="n">
        <v>177</v>
      </c>
      <c r="G2163" s="2" t="n">
        <v>26</v>
      </c>
    </row>
    <row r="2164" customFormat="false" ht="16.5" hidden="false" customHeight="true" outlineLevel="0" collapsed="false">
      <c r="A2164" s="2" t="s">
        <v>416</v>
      </c>
      <c r="B2164" s="2" t="s">
        <v>430</v>
      </c>
      <c r="C2164" s="2" t="n">
        <v>2</v>
      </c>
      <c r="D2164" s="2" t="s">
        <v>568</v>
      </c>
      <c r="E2164" s="2" t="s">
        <v>6</v>
      </c>
      <c r="F2164" s="2" t="n">
        <v>177</v>
      </c>
      <c r="G2164" s="2" t="n">
        <v>30</v>
      </c>
    </row>
    <row r="2165" customFormat="false" ht="16.5" hidden="false" customHeight="true" outlineLevel="0" collapsed="false">
      <c r="A2165" s="2" t="s">
        <v>416</v>
      </c>
      <c r="B2165" s="2" t="s">
        <v>430</v>
      </c>
      <c r="C2165" s="2" t="n">
        <v>2</v>
      </c>
      <c r="D2165" s="2" t="s">
        <v>568</v>
      </c>
      <c r="E2165" s="2" t="s">
        <v>7</v>
      </c>
      <c r="F2165" s="2" t="n">
        <v>177</v>
      </c>
      <c r="G2165" s="2" t="n">
        <v>34</v>
      </c>
    </row>
    <row r="2166" customFormat="false" ht="16.5" hidden="false" customHeight="true" outlineLevel="0" collapsed="false">
      <c r="A2166" s="2" t="s">
        <v>416</v>
      </c>
      <c r="B2166" s="2" t="s">
        <v>430</v>
      </c>
      <c r="C2166" s="2" t="n">
        <v>2</v>
      </c>
      <c r="D2166" s="2" t="s">
        <v>568</v>
      </c>
      <c r="E2166" s="2" t="s">
        <v>8</v>
      </c>
      <c r="F2166" s="2" t="n">
        <v>177</v>
      </c>
      <c r="G2166" s="2" t="n">
        <v>38</v>
      </c>
    </row>
    <row r="2167" customFormat="false" ht="16.5" hidden="false" customHeight="true" outlineLevel="0" collapsed="false">
      <c r="A2167" s="2" t="s">
        <v>416</v>
      </c>
      <c r="B2167" s="2" t="s">
        <v>430</v>
      </c>
      <c r="C2167" s="2" t="n">
        <v>2</v>
      </c>
      <c r="D2167" s="2" t="s">
        <v>568</v>
      </c>
      <c r="E2167" s="2" t="s">
        <v>9</v>
      </c>
      <c r="F2167" s="2" t="n">
        <v>177</v>
      </c>
      <c r="G2167" s="2" t="n">
        <v>42</v>
      </c>
    </row>
    <row r="2168" customFormat="false" ht="16.5" hidden="false" customHeight="true" outlineLevel="0" collapsed="false">
      <c r="A2168" s="2" t="s">
        <v>416</v>
      </c>
      <c r="B2168" s="2" t="s">
        <v>430</v>
      </c>
      <c r="C2168" s="2" t="n">
        <v>2</v>
      </c>
      <c r="D2168" s="2" t="s">
        <v>568</v>
      </c>
      <c r="E2168" s="2" t="s">
        <v>10</v>
      </c>
      <c r="F2168" s="2" t="n">
        <v>177</v>
      </c>
      <c r="G2168" s="2" t="n">
        <v>46</v>
      </c>
    </row>
    <row r="2169" customFormat="false" ht="16.5" hidden="false" customHeight="true" outlineLevel="0" collapsed="false">
      <c r="A2169" s="2" t="s">
        <v>416</v>
      </c>
      <c r="B2169" s="2" t="s">
        <v>430</v>
      </c>
      <c r="C2169" s="2" t="n">
        <v>2</v>
      </c>
      <c r="D2169" s="2" t="s">
        <v>568</v>
      </c>
      <c r="E2169" s="2" t="s">
        <v>11</v>
      </c>
      <c r="F2169" s="2" t="n">
        <v>177</v>
      </c>
      <c r="G2169" s="2" t="n">
        <v>50</v>
      </c>
    </row>
    <row r="2170" customFormat="false" ht="16.5" hidden="false" customHeight="true" outlineLevel="0" collapsed="false">
      <c r="A2170" s="2" t="s">
        <v>416</v>
      </c>
      <c r="B2170" s="2" t="s">
        <v>430</v>
      </c>
      <c r="C2170" s="2" t="n">
        <v>2</v>
      </c>
      <c r="D2170" s="2" t="s">
        <v>568</v>
      </c>
      <c r="E2170" s="2" t="s">
        <v>12</v>
      </c>
      <c r="F2170" s="2" t="n">
        <v>179</v>
      </c>
      <c r="G2170" s="2" t="n">
        <v>8</v>
      </c>
    </row>
    <row r="2171" customFormat="false" ht="16.5" hidden="false" customHeight="true" outlineLevel="0" collapsed="false">
      <c r="A2171" s="2" t="s">
        <v>416</v>
      </c>
      <c r="B2171" s="2" t="s">
        <v>430</v>
      </c>
      <c r="C2171" s="2" t="n">
        <v>2</v>
      </c>
      <c r="D2171" s="2" t="s">
        <v>568</v>
      </c>
      <c r="E2171" s="2" t="s">
        <v>13</v>
      </c>
      <c r="F2171" s="2" t="n">
        <v>179</v>
      </c>
      <c r="G2171" s="2" t="n">
        <v>12</v>
      </c>
    </row>
    <row r="2172" customFormat="false" ht="16.5" hidden="false" customHeight="true" outlineLevel="0" collapsed="false">
      <c r="A2172" s="2" t="s">
        <v>416</v>
      </c>
      <c r="B2172" s="2" t="s">
        <v>430</v>
      </c>
      <c r="C2172" s="2" t="n">
        <v>2</v>
      </c>
      <c r="D2172" s="2" t="s">
        <v>568</v>
      </c>
      <c r="E2172" s="2" t="s">
        <v>14</v>
      </c>
      <c r="F2172" s="2" t="n">
        <v>179</v>
      </c>
      <c r="G2172" s="2" t="n">
        <v>16</v>
      </c>
    </row>
    <row r="2173" customFormat="false" ht="16.5" hidden="false" customHeight="true" outlineLevel="0" collapsed="false">
      <c r="A2173" s="2" t="s">
        <v>416</v>
      </c>
      <c r="B2173" s="2" t="s">
        <v>430</v>
      </c>
      <c r="C2173" s="2" t="n">
        <v>2</v>
      </c>
      <c r="D2173" s="2" t="s">
        <v>568</v>
      </c>
      <c r="E2173" s="2" t="s">
        <v>15</v>
      </c>
      <c r="F2173" s="2" t="n">
        <v>179</v>
      </c>
      <c r="G2173" s="2" t="n">
        <v>20</v>
      </c>
    </row>
    <row r="2174" customFormat="false" ht="16.5" hidden="false" customHeight="true" outlineLevel="0" collapsed="false">
      <c r="A2174" s="2" t="s">
        <v>416</v>
      </c>
      <c r="B2174" s="2" t="s">
        <v>430</v>
      </c>
      <c r="C2174" s="2" t="n">
        <v>2</v>
      </c>
      <c r="D2174" s="2" t="s">
        <v>568</v>
      </c>
      <c r="E2174" s="2" t="s">
        <v>16</v>
      </c>
      <c r="F2174" s="2" t="n">
        <v>179</v>
      </c>
      <c r="G2174" s="2" t="n">
        <v>24</v>
      </c>
    </row>
    <row r="2175" customFormat="false" ht="16.5" hidden="false" customHeight="true" outlineLevel="0" collapsed="false">
      <c r="A2175" s="2" t="s">
        <v>416</v>
      </c>
      <c r="B2175" s="2" t="s">
        <v>430</v>
      </c>
      <c r="C2175" s="2" t="n">
        <v>2</v>
      </c>
      <c r="D2175" s="2" t="s">
        <v>568</v>
      </c>
      <c r="E2175" s="2" t="s">
        <v>17</v>
      </c>
      <c r="F2175" s="2" t="n">
        <v>179</v>
      </c>
      <c r="G2175" s="2" t="n">
        <v>28</v>
      </c>
    </row>
    <row r="2176" customFormat="false" ht="16.5" hidden="false" customHeight="true" outlineLevel="0" collapsed="false">
      <c r="A2176" s="2" t="s">
        <v>416</v>
      </c>
      <c r="B2176" s="2" t="s">
        <v>430</v>
      </c>
      <c r="C2176" s="2" t="n">
        <v>2</v>
      </c>
      <c r="D2176" s="2" t="s">
        <v>568</v>
      </c>
      <c r="E2176" s="2" t="s">
        <v>18</v>
      </c>
      <c r="F2176" s="2" t="n">
        <v>179</v>
      </c>
      <c r="G2176" s="2" t="n">
        <v>32</v>
      </c>
    </row>
    <row r="2177" customFormat="false" ht="16.5" hidden="false" customHeight="true" outlineLevel="0" collapsed="false">
      <c r="A2177" s="2" t="s">
        <v>416</v>
      </c>
      <c r="B2177" s="2" t="s">
        <v>430</v>
      </c>
      <c r="C2177" s="2" t="n">
        <v>2</v>
      </c>
      <c r="D2177" s="2" t="s">
        <v>568</v>
      </c>
      <c r="E2177" s="2" t="s">
        <v>19</v>
      </c>
      <c r="F2177" s="2" t="n">
        <v>179</v>
      </c>
      <c r="G2177" s="2" t="n">
        <v>36</v>
      </c>
    </row>
    <row r="2178" customFormat="false" ht="16.5" hidden="false" customHeight="true" outlineLevel="0" collapsed="false">
      <c r="A2178" s="2" t="s">
        <v>416</v>
      </c>
      <c r="B2178" s="2" t="s">
        <v>430</v>
      </c>
      <c r="C2178" s="2" t="n">
        <v>2</v>
      </c>
      <c r="D2178" s="2" t="s">
        <v>568</v>
      </c>
      <c r="E2178" s="2" t="s">
        <v>20</v>
      </c>
      <c r="F2178" s="2" t="n">
        <v>179</v>
      </c>
      <c r="G2178" s="2" t="n">
        <v>40</v>
      </c>
    </row>
    <row r="2179" customFormat="false" ht="16.5" hidden="false" customHeight="true" outlineLevel="0" collapsed="false">
      <c r="A2179" s="2" t="s">
        <v>416</v>
      </c>
      <c r="B2179" s="2" t="s">
        <v>430</v>
      </c>
      <c r="C2179" s="2" t="n">
        <v>2</v>
      </c>
      <c r="D2179" s="2" t="s">
        <v>568</v>
      </c>
      <c r="E2179" s="2" t="s">
        <v>21</v>
      </c>
      <c r="F2179" s="2" t="n">
        <v>179</v>
      </c>
      <c r="G2179" s="2" t="n">
        <v>44</v>
      </c>
    </row>
    <row r="2180" customFormat="false" ht="16.5" hidden="false" customHeight="true" outlineLevel="0" collapsed="false">
      <c r="A2180" s="2" t="s">
        <v>416</v>
      </c>
      <c r="B2180" s="2" t="s">
        <v>430</v>
      </c>
      <c r="C2180" s="2" t="n">
        <v>2</v>
      </c>
      <c r="D2180" s="2" t="s">
        <v>568</v>
      </c>
      <c r="E2180" s="2" t="s">
        <v>22</v>
      </c>
      <c r="F2180" s="2" t="n">
        <v>179</v>
      </c>
      <c r="G2180" s="2" t="n">
        <v>48</v>
      </c>
    </row>
    <row r="2181" customFormat="false" ht="16.5" hidden="false" customHeight="true" outlineLevel="0" collapsed="false">
      <c r="A2181" s="2" t="s">
        <v>416</v>
      </c>
      <c r="B2181" s="2" t="s">
        <v>430</v>
      </c>
      <c r="C2181" s="2" t="n">
        <v>2</v>
      </c>
      <c r="D2181" s="2" t="s">
        <v>568</v>
      </c>
      <c r="E2181" s="2" t="s">
        <v>23</v>
      </c>
      <c r="F2181" s="2" t="n">
        <v>179</v>
      </c>
      <c r="G2181" s="2" t="n">
        <v>52</v>
      </c>
    </row>
    <row r="2182" customFormat="false" ht="16.5" hidden="false" customHeight="true" outlineLevel="0" collapsed="false">
      <c r="A2182" s="2" t="s">
        <v>416</v>
      </c>
      <c r="B2182" s="2" t="s">
        <v>430</v>
      </c>
      <c r="C2182" s="2" t="n">
        <v>2</v>
      </c>
      <c r="D2182" s="2" t="s">
        <v>568</v>
      </c>
      <c r="E2182" s="2" t="s">
        <v>24</v>
      </c>
      <c r="F2182" s="2" t="n">
        <v>181</v>
      </c>
      <c r="G2182" s="2" t="n">
        <v>9</v>
      </c>
    </row>
    <row r="2183" customFormat="false" ht="16.5" hidden="false" customHeight="true" outlineLevel="0" collapsed="false">
      <c r="A2183" s="2" t="s">
        <v>416</v>
      </c>
      <c r="B2183" s="2" t="s">
        <v>430</v>
      </c>
      <c r="C2183" s="2" t="n">
        <v>2</v>
      </c>
      <c r="D2183" s="2" t="s">
        <v>568</v>
      </c>
      <c r="E2183" s="2" t="s">
        <v>25</v>
      </c>
      <c r="F2183" s="2" t="n">
        <v>181</v>
      </c>
      <c r="G2183" s="2" t="n">
        <v>13</v>
      </c>
    </row>
    <row r="2184" customFormat="false" ht="16.5" hidden="false" customHeight="true" outlineLevel="0" collapsed="false">
      <c r="A2184" s="2" t="s">
        <v>416</v>
      </c>
      <c r="B2184" s="2" t="s">
        <v>430</v>
      </c>
      <c r="C2184" s="2" t="n">
        <v>2</v>
      </c>
      <c r="D2184" s="2" t="s">
        <v>568</v>
      </c>
      <c r="E2184" s="2" t="s">
        <v>26</v>
      </c>
      <c r="F2184" s="2" t="n">
        <v>181</v>
      </c>
      <c r="G2184" s="2" t="n">
        <v>17</v>
      </c>
    </row>
    <row r="2185" customFormat="false" ht="16.5" hidden="false" customHeight="true" outlineLevel="0" collapsed="false">
      <c r="A2185" s="2" t="s">
        <v>416</v>
      </c>
      <c r="B2185" s="2" t="s">
        <v>430</v>
      </c>
      <c r="C2185" s="2" t="n">
        <v>2</v>
      </c>
      <c r="D2185" s="2" t="s">
        <v>568</v>
      </c>
      <c r="E2185" s="2" t="s">
        <v>27</v>
      </c>
      <c r="F2185" s="2" t="n">
        <v>181</v>
      </c>
      <c r="G2185" s="2" t="n">
        <v>21</v>
      </c>
    </row>
    <row r="2186" customFormat="false" ht="16.5" hidden="false" customHeight="true" outlineLevel="0" collapsed="false">
      <c r="A2186" s="2" t="s">
        <v>416</v>
      </c>
      <c r="B2186" s="2" t="s">
        <v>430</v>
      </c>
      <c r="C2186" s="2" t="n">
        <v>2</v>
      </c>
      <c r="D2186" s="2" t="s">
        <v>568</v>
      </c>
      <c r="E2186" s="2" t="s">
        <v>28</v>
      </c>
      <c r="F2186" s="2" t="n">
        <v>181</v>
      </c>
      <c r="G2186" s="2" t="n">
        <v>25</v>
      </c>
    </row>
    <row r="2187" customFormat="false" ht="16.5" hidden="false" customHeight="true" outlineLevel="0" collapsed="false">
      <c r="A2187" s="2" t="s">
        <v>416</v>
      </c>
      <c r="B2187" s="2" t="s">
        <v>430</v>
      </c>
      <c r="C2187" s="2" t="n">
        <v>2</v>
      </c>
      <c r="D2187" s="2" t="s">
        <v>568</v>
      </c>
      <c r="E2187" s="2" t="s">
        <v>29</v>
      </c>
      <c r="F2187" s="2" t="n">
        <v>181</v>
      </c>
      <c r="G2187" s="2" t="n">
        <v>29</v>
      </c>
    </row>
    <row r="2188" customFormat="false" ht="16.5" hidden="false" customHeight="true" outlineLevel="0" collapsed="false">
      <c r="A2188" s="2" t="s">
        <v>416</v>
      </c>
      <c r="B2188" s="2" t="s">
        <v>430</v>
      </c>
      <c r="C2188" s="2" t="n">
        <v>2</v>
      </c>
      <c r="D2188" s="2" t="s">
        <v>568</v>
      </c>
      <c r="E2188" s="2" t="s">
        <v>30</v>
      </c>
      <c r="F2188" s="2" t="n">
        <v>181</v>
      </c>
      <c r="G2188" s="2" t="n">
        <v>33</v>
      </c>
    </row>
    <row r="2189" customFormat="false" ht="16.5" hidden="false" customHeight="true" outlineLevel="0" collapsed="false">
      <c r="A2189" s="2" t="s">
        <v>416</v>
      </c>
      <c r="B2189" s="2" t="s">
        <v>430</v>
      </c>
      <c r="C2189" s="2" t="n">
        <v>2</v>
      </c>
      <c r="D2189" s="2" t="s">
        <v>568</v>
      </c>
      <c r="E2189" s="2" t="s">
        <v>31</v>
      </c>
      <c r="F2189" s="2" t="n">
        <v>181</v>
      </c>
      <c r="G2189" s="2" t="n">
        <v>37</v>
      </c>
    </row>
    <row r="2190" customFormat="false" ht="16.5" hidden="false" customHeight="true" outlineLevel="0" collapsed="false">
      <c r="A2190" s="2" t="s">
        <v>416</v>
      </c>
      <c r="B2190" s="2" t="s">
        <v>430</v>
      </c>
      <c r="C2190" s="2" t="n">
        <v>2</v>
      </c>
      <c r="D2190" s="2" t="s">
        <v>568</v>
      </c>
      <c r="E2190" s="2" t="s">
        <v>32</v>
      </c>
      <c r="F2190" s="2" t="n">
        <v>181</v>
      </c>
      <c r="G2190" s="2" t="n">
        <v>41</v>
      </c>
    </row>
    <row r="2191" customFormat="false" ht="16.5" hidden="false" customHeight="true" outlineLevel="0" collapsed="false">
      <c r="A2191" s="2" t="s">
        <v>416</v>
      </c>
      <c r="B2191" s="2" t="s">
        <v>430</v>
      </c>
      <c r="C2191" s="2" t="n">
        <v>2</v>
      </c>
      <c r="D2191" s="2" t="s">
        <v>568</v>
      </c>
      <c r="E2191" s="2" t="s">
        <v>33</v>
      </c>
      <c r="F2191" s="2" t="n">
        <v>181</v>
      </c>
      <c r="G2191" s="2" t="n">
        <v>45</v>
      </c>
    </row>
    <row r="2192" customFormat="false" ht="16.5" hidden="false" customHeight="true" outlineLevel="0" collapsed="false">
      <c r="A2192" s="2" t="s">
        <v>416</v>
      </c>
      <c r="B2192" s="2" t="s">
        <v>430</v>
      </c>
      <c r="C2192" s="2" t="n">
        <v>2</v>
      </c>
      <c r="D2192" s="2" t="s">
        <v>568</v>
      </c>
      <c r="E2192" s="2" t="s">
        <v>34</v>
      </c>
      <c r="F2192" s="2" t="n">
        <v>181</v>
      </c>
      <c r="G2192" s="2" t="n">
        <v>49</v>
      </c>
    </row>
    <row r="2193" customFormat="false" ht="16.5" hidden="false" customHeight="true" outlineLevel="0" collapsed="false">
      <c r="A2193" s="2" t="s">
        <v>416</v>
      </c>
      <c r="B2193" s="2" t="s">
        <v>430</v>
      </c>
      <c r="C2193" s="2" t="n">
        <v>2</v>
      </c>
      <c r="D2193" s="2" t="s">
        <v>568</v>
      </c>
      <c r="E2193" s="2" t="s">
        <v>35</v>
      </c>
      <c r="F2193" s="2" t="n">
        <v>183</v>
      </c>
      <c r="G2193" s="2" t="n">
        <v>11</v>
      </c>
    </row>
    <row r="2194" customFormat="false" ht="16.5" hidden="false" customHeight="true" outlineLevel="0" collapsed="false">
      <c r="A2194" s="2" t="s">
        <v>416</v>
      </c>
      <c r="B2194" s="2" t="s">
        <v>430</v>
      </c>
      <c r="C2194" s="2" t="n">
        <v>2</v>
      </c>
      <c r="D2194" s="2" t="s">
        <v>568</v>
      </c>
      <c r="E2194" s="2" t="s">
        <v>36</v>
      </c>
      <c r="F2194" s="2" t="n">
        <v>183</v>
      </c>
      <c r="G2194" s="2" t="n">
        <v>15</v>
      </c>
    </row>
    <row r="2195" customFormat="false" ht="16.5" hidden="false" customHeight="true" outlineLevel="0" collapsed="false">
      <c r="A2195" s="2" t="s">
        <v>416</v>
      </c>
      <c r="B2195" s="2" t="s">
        <v>430</v>
      </c>
      <c r="C2195" s="2" t="n">
        <v>2</v>
      </c>
      <c r="D2195" s="2" t="s">
        <v>568</v>
      </c>
      <c r="E2195" s="2" t="s">
        <v>37</v>
      </c>
      <c r="F2195" s="2" t="n">
        <v>183</v>
      </c>
      <c r="G2195" s="2" t="n">
        <v>19</v>
      </c>
    </row>
    <row r="2196" customFormat="false" ht="16.5" hidden="false" customHeight="true" outlineLevel="0" collapsed="false">
      <c r="A2196" s="2" t="s">
        <v>416</v>
      </c>
      <c r="B2196" s="2" t="s">
        <v>430</v>
      </c>
      <c r="C2196" s="2" t="n">
        <v>2</v>
      </c>
      <c r="D2196" s="2" t="s">
        <v>568</v>
      </c>
      <c r="E2196" s="2" t="s">
        <v>38</v>
      </c>
      <c r="F2196" s="2" t="n">
        <v>183</v>
      </c>
      <c r="G2196" s="2" t="n">
        <v>23</v>
      </c>
    </row>
    <row r="2197" customFormat="false" ht="16.5" hidden="false" customHeight="true" outlineLevel="0" collapsed="false">
      <c r="A2197" s="2" t="s">
        <v>416</v>
      </c>
      <c r="B2197" s="2" t="s">
        <v>430</v>
      </c>
      <c r="C2197" s="2" t="n">
        <v>2</v>
      </c>
      <c r="D2197" s="2" t="s">
        <v>568</v>
      </c>
      <c r="E2197" s="2" t="s">
        <v>39</v>
      </c>
      <c r="F2197" s="2" t="n">
        <v>183</v>
      </c>
      <c r="G2197" s="2" t="n">
        <v>27</v>
      </c>
    </row>
    <row r="2198" customFormat="false" ht="16.5" hidden="false" customHeight="true" outlineLevel="0" collapsed="false">
      <c r="A2198" s="2" t="s">
        <v>416</v>
      </c>
      <c r="B2198" s="2" t="s">
        <v>430</v>
      </c>
      <c r="C2198" s="2" t="n">
        <v>2</v>
      </c>
      <c r="D2198" s="2" t="s">
        <v>568</v>
      </c>
      <c r="E2198" s="2" t="s">
        <v>40</v>
      </c>
      <c r="F2198" s="2" t="n">
        <v>183</v>
      </c>
      <c r="G2198" s="2" t="n">
        <v>31</v>
      </c>
    </row>
    <row r="2199" customFormat="false" ht="16.5" hidden="false" customHeight="true" outlineLevel="0" collapsed="false">
      <c r="A2199" s="2" t="s">
        <v>416</v>
      </c>
      <c r="B2199" s="2" t="s">
        <v>430</v>
      </c>
      <c r="C2199" s="2" t="n">
        <v>2</v>
      </c>
      <c r="D2199" s="2" t="s">
        <v>568</v>
      </c>
      <c r="E2199" s="2" t="s">
        <v>41</v>
      </c>
      <c r="F2199" s="2" t="n">
        <v>183</v>
      </c>
      <c r="G2199" s="2" t="n">
        <v>35</v>
      </c>
    </row>
    <row r="2200" customFormat="false" ht="16.5" hidden="false" customHeight="true" outlineLevel="0" collapsed="false">
      <c r="A2200" s="2" t="s">
        <v>416</v>
      </c>
      <c r="B2200" s="2" t="s">
        <v>430</v>
      </c>
      <c r="C2200" s="2" t="n">
        <v>2</v>
      </c>
      <c r="D2200" s="2" t="s">
        <v>568</v>
      </c>
      <c r="E2200" s="2" t="s">
        <v>42</v>
      </c>
      <c r="F2200" s="2" t="n">
        <v>183</v>
      </c>
      <c r="G2200" s="2" t="n">
        <v>39</v>
      </c>
    </row>
    <row r="2201" customFormat="false" ht="16.5" hidden="false" customHeight="true" outlineLevel="0" collapsed="false">
      <c r="A2201" s="2" t="s">
        <v>416</v>
      </c>
      <c r="B2201" s="2" t="s">
        <v>430</v>
      </c>
      <c r="C2201" s="2" t="n">
        <v>2</v>
      </c>
      <c r="D2201" s="2" t="s">
        <v>568</v>
      </c>
      <c r="E2201" s="2" t="s">
        <v>43</v>
      </c>
      <c r="F2201" s="2" t="n">
        <v>183</v>
      </c>
      <c r="G2201" s="2" t="n">
        <v>43</v>
      </c>
    </row>
    <row r="2202" customFormat="false" ht="16.5" hidden="false" customHeight="true" outlineLevel="0" collapsed="false">
      <c r="A2202" s="2" t="s">
        <v>416</v>
      </c>
      <c r="B2202" s="2" t="s">
        <v>430</v>
      </c>
      <c r="C2202" s="2" t="n">
        <v>2</v>
      </c>
      <c r="D2202" s="2" t="s">
        <v>568</v>
      </c>
      <c r="E2202" s="2" t="s">
        <v>44</v>
      </c>
      <c r="F2202" s="2" t="n">
        <v>183</v>
      </c>
      <c r="G2202" s="2" t="n">
        <v>47</v>
      </c>
    </row>
    <row r="2203" customFormat="false" ht="16.5" hidden="false" customHeight="true" outlineLevel="0" collapsed="false">
      <c r="A2203" s="2" t="s">
        <v>416</v>
      </c>
      <c r="B2203" s="2" t="s">
        <v>430</v>
      </c>
      <c r="C2203" s="2" t="n">
        <v>2</v>
      </c>
      <c r="D2203" s="2" t="s">
        <v>568</v>
      </c>
      <c r="E2203" s="2" t="s">
        <v>48</v>
      </c>
      <c r="F2203" s="2" t="n">
        <v>185</v>
      </c>
      <c r="G2203" s="2" t="n">
        <v>16</v>
      </c>
    </row>
    <row r="2204" customFormat="false" ht="16.5" hidden="false" customHeight="true" outlineLevel="0" collapsed="false">
      <c r="A2204" s="2" t="s">
        <v>416</v>
      </c>
      <c r="B2204" s="2" t="s">
        <v>430</v>
      </c>
      <c r="C2204" s="2" t="n">
        <v>2</v>
      </c>
      <c r="D2204" s="2" t="s">
        <v>568</v>
      </c>
      <c r="E2204" s="2" t="s">
        <v>50</v>
      </c>
      <c r="F2204" s="2" t="n">
        <v>185</v>
      </c>
      <c r="G2204" s="2" t="n">
        <v>20</v>
      </c>
    </row>
    <row r="2205" customFormat="false" ht="16.5" hidden="false" customHeight="true" outlineLevel="0" collapsed="false">
      <c r="A2205" s="2" t="s">
        <v>416</v>
      </c>
      <c r="B2205" s="2" t="s">
        <v>430</v>
      </c>
      <c r="C2205" s="2" t="n">
        <v>2</v>
      </c>
      <c r="D2205" s="2" t="s">
        <v>568</v>
      </c>
      <c r="E2205" s="2" t="s">
        <v>45</v>
      </c>
      <c r="F2205" s="2" t="n">
        <v>185</v>
      </c>
      <c r="G2205" s="2" t="n">
        <v>38</v>
      </c>
    </row>
    <row r="2206" customFormat="false" ht="16.5" hidden="false" customHeight="true" outlineLevel="0" collapsed="false">
      <c r="A2206" s="2" t="s">
        <v>416</v>
      </c>
      <c r="B2206" s="2" t="s">
        <v>430</v>
      </c>
      <c r="C2206" s="2" t="n">
        <v>2</v>
      </c>
      <c r="D2206" s="2" t="s">
        <v>568</v>
      </c>
      <c r="E2206" s="2" t="s">
        <v>46</v>
      </c>
      <c r="F2206" s="2" t="n">
        <v>185</v>
      </c>
      <c r="G2206" s="2" t="n">
        <v>42</v>
      </c>
    </row>
    <row r="2207" customFormat="false" ht="16.5" hidden="false" customHeight="true" outlineLevel="0" collapsed="false">
      <c r="A2207" s="2" t="s">
        <v>416</v>
      </c>
      <c r="B2207" s="2" t="s">
        <v>431</v>
      </c>
      <c r="C2207" s="2" t="n">
        <v>2</v>
      </c>
      <c r="D2207" s="2" t="s">
        <v>569</v>
      </c>
      <c r="E2207" s="2" t="s">
        <v>0</v>
      </c>
      <c r="F2207" s="2" t="n">
        <v>190</v>
      </c>
      <c r="G2207" s="2" t="n">
        <v>6</v>
      </c>
    </row>
    <row r="2208" customFormat="false" ht="16.5" hidden="false" customHeight="true" outlineLevel="0" collapsed="false">
      <c r="A2208" s="2" t="s">
        <v>416</v>
      </c>
      <c r="B2208" s="2" t="s">
        <v>431</v>
      </c>
      <c r="C2208" s="2" t="n">
        <v>2</v>
      </c>
      <c r="D2208" s="2" t="s">
        <v>569</v>
      </c>
      <c r="E2208" s="2" t="s">
        <v>1</v>
      </c>
      <c r="F2208" s="2" t="n">
        <v>190</v>
      </c>
      <c r="G2208" s="2" t="n">
        <v>10</v>
      </c>
    </row>
    <row r="2209" customFormat="false" ht="16.5" hidden="false" customHeight="true" outlineLevel="0" collapsed="false">
      <c r="A2209" s="2" t="s">
        <v>416</v>
      </c>
      <c r="B2209" s="2" t="s">
        <v>431</v>
      </c>
      <c r="C2209" s="2" t="n">
        <v>2</v>
      </c>
      <c r="D2209" s="2" t="s">
        <v>569</v>
      </c>
      <c r="E2209" s="2" t="s">
        <v>2</v>
      </c>
      <c r="F2209" s="2" t="n">
        <v>190</v>
      </c>
      <c r="G2209" s="2" t="n">
        <v>14</v>
      </c>
    </row>
    <row r="2210" customFormat="false" ht="16.5" hidden="false" customHeight="true" outlineLevel="0" collapsed="false">
      <c r="A2210" s="2" t="s">
        <v>416</v>
      </c>
      <c r="B2210" s="2" t="s">
        <v>431</v>
      </c>
      <c r="C2210" s="2" t="n">
        <v>2</v>
      </c>
      <c r="D2210" s="2" t="s">
        <v>569</v>
      </c>
      <c r="E2210" s="2" t="s">
        <v>3</v>
      </c>
      <c r="F2210" s="2" t="n">
        <v>190</v>
      </c>
      <c r="G2210" s="2" t="n">
        <v>18</v>
      </c>
    </row>
    <row r="2211" customFormat="false" ht="16.5" hidden="false" customHeight="true" outlineLevel="0" collapsed="false">
      <c r="A2211" s="2" t="s">
        <v>416</v>
      </c>
      <c r="B2211" s="2" t="s">
        <v>431</v>
      </c>
      <c r="C2211" s="2" t="n">
        <v>2</v>
      </c>
      <c r="D2211" s="2" t="s">
        <v>569</v>
      </c>
      <c r="E2211" s="2" t="s">
        <v>4</v>
      </c>
      <c r="F2211" s="2" t="n">
        <v>190</v>
      </c>
      <c r="G2211" s="2" t="n">
        <v>22</v>
      </c>
    </row>
    <row r="2212" customFormat="false" ht="16.5" hidden="false" customHeight="true" outlineLevel="0" collapsed="false">
      <c r="A2212" s="2" t="s">
        <v>416</v>
      </c>
      <c r="B2212" s="2" t="s">
        <v>431</v>
      </c>
      <c r="C2212" s="2" t="n">
        <v>2</v>
      </c>
      <c r="D2212" s="2" t="s">
        <v>569</v>
      </c>
      <c r="E2212" s="2" t="s">
        <v>5</v>
      </c>
      <c r="F2212" s="2" t="n">
        <v>190</v>
      </c>
      <c r="G2212" s="2" t="n">
        <v>26</v>
      </c>
    </row>
    <row r="2213" customFormat="false" ht="16.5" hidden="false" customHeight="true" outlineLevel="0" collapsed="false">
      <c r="A2213" s="2" t="s">
        <v>416</v>
      </c>
      <c r="B2213" s="2" t="s">
        <v>431</v>
      </c>
      <c r="C2213" s="2" t="n">
        <v>2</v>
      </c>
      <c r="D2213" s="2" t="s">
        <v>569</v>
      </c>
      <c r="E2213" s="2" t="s">
        <v>6</v>
      </c>
      <c r="F2213" s="2" t="n">
        <v>190</v>
      </c>
      <c r="G2213" s="2" t="n">
        <v>30</v>
      </c>
    </row>
    <row r="2214" customFormat="false" ht="16.5" hidden="false" customHeight="true" outlineLevel="0" collapsed="false">
      <c r="A2214" s="2" t="s">
        <v>416</v>
      </c>
      <c r="B2214" s="2" t="s">
        <v>431</v>
      </c>
      <c r="C2214" s="2" t="n">
        <v>2</v>
      </c>
      <c r="D2214" s="2" t="s">
        <v>569</v>
      </c>
      <c r="E2214" s="2" t="s">
        <v>7</v>
      </c>
      <c r="F2214" s="2" t="n">
        <v>190</v>
      </c>
      <c r="G2214" s="2" t="n">
        <v>34</v>
      </c>
    </row>
    <row r="2215" customFormat="false" ht="16.5" hidden="false" customHeight="true" outlineLevel="0" collapsed="false">
      <c r="A2215" s="2" t="s">
        <v>416</v>
      </c>
      <c r="B2215" s="2" t="s">
        <v>431</v>
      </c>
      <c r="C2215" s="2" t="n">
        <v>2</v>
      </c>
      <c r="D2215" s="2" t="s">
        <v>569</v>
      </c>
      <c r="E2215" s="2" t="s">
        <v>8</v>
      </c>
      <c r="F2215" s="2" t="n">
        <v>190</v>
      </c>
      <c r="G2215" s="2" t="n">
        <v>38</v>
      </c>
    </row>
    <row r="2216" customFormat="false" ht="16.5" hidden="false" customHeight="true" outlineLevel="0" collapsed="false">
      <c r="A2216" s="2" t="s">
        <v>416</v>
      </c>
      <c r="B2216" s="2" t="s">
        <v>431</v>
      </c>
      <c r="C2216" s="2" t="n">
        <v>2</v>
      </c>
      <c r="D2216" s="2" t="s">
        <v>569</v>
      </c>
      <c r="E2216" s="2" t="s">
        <v>9</v>
      </c>
      <c r="F2216" s="2" t="n">
        <v>190</v>
      </c>
      <c r="G2216" s="2" t="n">
        <v>42</v>
      </c>
    </row>
    <row r="2217" customFormat="false" ht="16.5" hidden="false" customHeight="true" outlineLevel="0" collapsed="false">
      <c r="A2217" s="2" t="s">
        <v>416</v>
      </c>
      <c r="B2217" s="2" t="s">
        <v>431</v>
      </c>
      <c r="C2217" s="2" t="n">
        <v>2</v>
      </c>
      <c r="D2217" s="2" t="s">
        <v>569</v>
      </c>
      <c r="E2217" s="2" t="s">
        <v>10</v>
      </c>
      <c r="F2217" s="2" t="n">
        <v>190</v>
      </c>
      <c r="G2217" s="2" t="n">
        <v>46</v>
      </c>
    </row>
    <row r="2218" customFormat="false" ht="16.5" hidden="false" customHeight="true" outlineLevel="0" collapsed="false">
      <c r="A2218" s="2" t="s">
        <v>416</v>
      </c>
      <c r="B2218" s="2" t="s">
        <v>431</v>
      </c>
      <c r="C2218" s="2" t="n">
        <v>2</v>
      </c>
      <c r="D2218" s="2" t="s">
        <v>569</v>
      </c>
      <c r="E2218" s="2" t="s">
        <v>11</v>
      </c>
      <c r="F2218" s="2" t="n">
        <v>190</v>
      </c>
      <c r="G2218" s="2" t="n">
        <v>50</v>
      </c>
    </row>
    <row r="2219" customFormat="false" ht="16.5" hidden="false" customHeight="true" outlineLevel="0" collapsed="false">
      <c r="A2219" s="2" t="s">
        <v>416</v>
      </c>
      <c r="B2219" s="2" t="s">
        <v>431</v>
      </c>
      <c r="C2219" s="2" t="n">
        <v>2</v>
      </c>
      <c r="D2219" s="2" t="s">
        <v>569</v>
      </c>
      <c r="E2219" s="2" t="s">
        <v>12</v>
      </c>
      <c r="F2219" s="2" t="n">
        <v>192</v>
      </c>
      <c r="G2219" s="2" t="n">
        <v>8</v>
      </c>
    </row>
    <row r="2220" customFormat="false" ht="16.5" hidden="false" customHeight="true" outlineLevel="0" collapsed="false">
      <c r="A2220" s="2" t="s">
        <v>416</v>
      </c>
      <c r="B2220" s="2" t="s">
        <v>431</v>
      </c>
      <c r="C2220" s="2" t="n">
        <v>2</v>
      </c>
      <c r="D2220" s="2" t="s">
        <v>569</v>
      </c>
      <c r="E2220" s="2" t="s">
        <v>13</v>
      </c>
      <c r="F2220" s="2" t="n">
        <v>192</v>
      </c>
      <c r="G2220" s="2" t="n">
        <v>12</v>
      </c>
    </row>
    <row r="2221" customFormat="false" ht="16.5" hidden="false" customHeight="true" outlineLevel="0" collapsed="false">
      <c r="A2221" s="2" t="s">
        <v>416</v>
      </c>
      <c r="B2221" s="2" t="s">
        <v>431</v>
      </c>
      <c r="C2221" s="2" t="n">
        <v>2</v>
      </c>
      <c r="D2221" s="2" t="s">
        <v>569</v>
      </c>
      <c r="E2221" s="2" t="s">
        <v>14</v>
      </c>
      <c r="F2221" s="2" t="n">
        <v>192</v>
      </c>
      <c r="G2221" s="2" t="n">
        <v>16</v>
      </c>
    </row>
    <row r="2222" customFormat="false" ht="16.5" hidden="false" customHeight="true" outlineLevel="0" collapsed="false">
      <c r="A2222" s="2" t="s">
        <v>416</v>
      </c>
      <c r="B2222" s="2" t="s">
        <v>431</v>
      </c>
      <c r="C2222" s="2" t="n">
        <v>2</v>
      </c>
      <c r="D2222" s="2" t="s">
        <v>569</v>
      </c>
      <c r="E2222" s="2" t="s">
        <v>15</v>
      </c>
      <c r="F2222" s="2" t="n">
        <v>192</v>
      </c>
      <c r="G2222" s="2" t="n">
        <v>20</v>
      </c>
    </row>
    <row r="2223" customFormat="false" ht="16.5" hidden="false" customHeight="true" outlineLevel="0" collapsed="false">
      <c r="A2223" s="2" t="s">
        <v>416</v>
      </c>
      <c r="B2223" s="2" t="s">
        <v>431</v>
      </c>
      <c r="C2223" s="2" t="n">
        <v>2</v>
      </c>
      <c r="D2223" s="2" t="s">
        <v>569</v>
      </c>
      <c r="E2223" s="2" t="s">
        <v>16</v>
      </c>
      <c r="F2223" s="2" t="n">
        <v>192</v>
      </c>
      <c r="G2223" s="2" t="n">
        <v>24</v>
      </c>
    </row>
    <row r="2224" customFormat="false" ht="16.5" hidden="false" customHeight="true" outlineLevel="0" collapsed="false">
      <c r="A2224" s="2" t="s">
        <v>416</v>
      </c>
      <c r="B2224" s="2" t="s">
        <v>431</v>
      </c>
      <c r="C2224" s="2" t="n">
        <v>2</v>
      </c>
      <c r="D2224" s="2" t="s">
        <v>569</v>
      </c>
      <c r="E2224" s="2" t="s">
        <v>17</v>
      </c>
      <c r="F2224" s="2" t="n">
        <v>192</v>
      </c>
      <c r="G2224" s="2" t="n">
        <v>28</v>
      </c>
    </row>
    <row r="2225" customFormat="false" ht="16.5" hidden="false" customHeight="true" outlineLevel="0" collapsed="false">
      <c r="A2225" s="2" t="s">
        <v>416</v>
      </c>
      <c r="B2225" s="2" t="s">
        <v>431</v>
      </c>
      <c r="C2225" s="2" t="n">
        <v>2</v>
      </c>
      <c r="D2225" s="2" t="s">
        <v>569</v>
      </c>
      <c r="E2225" s="2" t="s">
        <v>18</v>
      </c>
      <c r="F2225" s="2" t="n">
        <v>192</v>
      </c>
      <c r="G2225" s="2" t="n">
        <v>32</v>
      </c>
    </row>
    <row r="2226" customFormat="false" ht="16.5" hidden="false" customHeight="true" outlineLevel="0" collapsed="false">
      <c r="A2226" s="2" t="s">
        <v>416</v>
      </c>
      <c r="B2226" s="2" t="s">
        <v>431</v>
      </c>
      <c r="C2226" s="2" t="n">
        <v>2</v>
      </c>
      <c r="D2226" s="2" t="s">
        <v>569</v>
      </c>
      <c r="E2226" s="2" t="s">
        <v>19</v>
      </c>
      <c r="F2226" s="2" t="n">
        <v>192</v>
      </c>
      <c r="G2226" s="2" t="n">
        <v>36</v>
      </c>
    </row>
    <row r="2227" customFormat="false" ht="16.5" hidden="false" customHeight="true" outlineLevel="0" collapsed="false">
      <c r="A2227" s="2" t="s">
        <v>416</v>
      </c>
      <c r="B2227" s="2" t="s">
        <v>431</v>
      </c>
      <c r="C2227" s="2" t="n">
        <v>2</v>
      </c>
      <c r="D2227" s="2" t="s">
        <v>569</v>
      </c>
      <c r="E2227" s="2" t="s">
        <v>20</v>
      </c>
      <c r="F2227" s="2" t="n">
        <v>192</v>
      </c>
      <c r="G2227" s="2" t="n">
        <v>40</v>
      </c>
    </row>
    <row r="2228" customFormat="false" ht="16.5" hidden="false" customHeight="true" outlineLevel="0" collapsed="false">
      <c r="A2228" s="2" t="s">
        <v>416</v>
      </c>
      <c r="B2228" s="2" t="s">
        <v>431</v>
      </c>
      <c r="C2228" s="2" t="n">
        <v>2</v>
      </c>
      <c r="D2228" s="2" t="s">
        <v>569</v>
      </c>
      <c r="E2228" s="2" t="s">
        <v>21</v>
      </c>
      <c r="F2228" s="2" t="n">
        <v>192</v>
      </c>
      <c r="G2228" s="2" t="n">
        <v>44</v>
      </c>
    </row>
    <row r="2229" customFormat="false" ht="16.5" hidden="false" customHeight="true" outlineLevel="0" collapsed="false">
      <c r="A2229" s="2" t="s">
        <v>416</v>
      </c>
      <c r="B2229" s="2" t="s">
        <v>431</v>
      </c>
      <c r="C2229" s="2" t="n">
        <v>2</v>
      </c>
      <c r="D2229" s="2" t="s">
        <v>569</v>
      </c>
      <c r="E2229" s="2" t="s">
        <v>22</v>
      </c>
      <c r="F2229" s="2" t="n">
        <v>192</v>
      </c>
      <c r="G2229" s="2" t="n">
        <v>48</v>
      </c>
    </row>
    <row r="2230" customFormat="false" ht="16.5" hidden="false" customHeight="true" outlineLevel="0" collapsed="false">
      <c r="A2230" s="2" t="s">
        <v>416</v>
      </c>
      <c r="B2230" s="2" t="s">
        <v>431</v>
      </c>
      <c r="C2230" s="2" t="n">
        <v>2</v>
      </c>
      <c r="D2230" s="2" t="s">
        <v>569</v>
      </c>
      <c r="E2230" s="2" t="s">
        <v>23</v>
      </c>
      <c r="F2230" s="2" t="n">
        <v>192</v>
      </c>
      <c r="G2230" s="2" t="n">
        <v>52</v>
      </c>
    </row>
    <row r="2231" customFormat="false" ht="16.5" hidden="false" customHeight="true" outlineLevel="0" collapsed="false">
      <c r="A2231" s="2" t="s">
        <v>416</v>
      </c>
      <c r="B2231" s="2" t="s">
        <v>431</v>
      </c>
      <c r="C2231" s="2" t="n">
        <v>2</v>
      </c>
      <c r="D2231" s="2" t="s">
        <v>569</v>
      </c>
      <c r="E2231" s="2" t="s">
        <v>24</v>
      </c>
      <c r="F2231" s="2" t="n">
        <v>194</v>
      </c>
      <c r="G2231" s="2" t="n">
        <v>9</v>
      </c>
    </row>
    <row r="2232" customFormat="false" ht="16.5" hidden="false" customHeight="true" outlineLevel="0" collapsed="false">
      <c r="A2232" s="2" t="s">
        <v>416</v>
      </c>
      <c r="B2232" s="2" t="s">
        <v>431</v>
      </c>
      <c r="C2232" s="2" t="n">
        <v>2</v>
      </c>
      <c r="D2232" s="2" t="s">
        <v>569</v>
      </c>
      <c r="E2232" s="2" t="s">
        <v>25</v>
      </c>
      <c r="F2232" s="2" t="n">
        <v>194</v>
      </c>
      <c r="G2232" s="2" t="n">
        <v>13</v>
      </c>
    </row>
    <row r="2233" customFormat="false" ht="16.5" hidden="false" customHeight="true" outlineLevel="0" collapsed="false">
      <c r="A2233" s="2" t="s">
        <v>416</v>
      </c>
      <c r="B2233" s="2" t="s">
        <v>431</v>
      </c>
      <c r="C2233" s="2" t="n">
        <v>2</v>
      </c>
      <c r="D2233" s="2" t="s">
        <v>569</v>
      </c>
      <c r="E2233" s="2" t="s">
        <v>26</v>
      </c>
      <c r="F2233" s="2" t="n">
        <v>194</v>
      </c>
      <c r="G2233" s="2" t="n">
        <v>17</v>
      </c>
    </row>
    <row r="2234" customFormat="false" ht="16.5" hidden="false" customHeight="true" outlineLevel="0" collapsed="false">
      <c r="A2234" s="2" t="s">
        <v>416</v>
      </c>
      <c r="B2234" s="2" t="s">
        <v>431</v>
      </c>
      <c r="C2234" s="2" t="n">
        <v>2</v>
      </c>
      <c r="D2234" s="2" t="s">
        <v>569</v>
      </c>
      <c r="E2234" s="2" t="s">
        <v>27</v>
      </c>
      <c r="F2234" s="2" t="n">
        <v>194</v>
      </c>
      <c r="G2234" s="2" t="n">
        <v>21</v>
      </c>
    </row>
    <row r="2235" customFormat="false" ht="16.5" hidden="false" customHeight="true" outlineLevel="0" collapsed="false">
      <c r="A2235" s="2" t="s">
        <v>416</v>
      </c>
      <c r="B2235" s="2" t="s">
        <v>431</v>
      </c>
      <c r="C2235" s="2" t="n">
        <v>2</v>
      </c>
      <c r="D2235" s="2" t="s">
        <v>569</v>
      </c>
      <c r="E2235" s="2" t="s">
        <v>28</v>
      </c>
      <c r="F2235" s="2" t="n">
        <v>194</v>
      </c>
      <c r="G2235" s="2" t="n">
        <v>25</v>
      </c>
    </row>
    <row r="2236" customFormat="false" ht="16.5" hidden="false" customHeight="true" outlineLevel="0" collapsed="false">
      <c r="A2236" s="2" t="s">
        <v>416</v>
      </c>
      <c r="B2236" s="2" t="s">
        <v>431</v>
      </c>
      <c r="C2236" s="2" t="n">
        <v>2</v>
      </c>
      <c r="D2236" s="2" t="s">
        <v>569</v>
      </c>
      <c r="E2236" s="2" t="s">
        <v>29</v>
      </c>
      <c r="F2236" s="2" t="n">
        <v>194</v>
      </c>
      <c r="G2236" s="2" t="n">
        <v>29</v>
      </c>
    </row>
    <row r="2237" customFormat="false" ht="16.5" hidden="false" customHeight="true" outlineLevel="0" collapsed="false">
      <c r="A2237" s="2" t="s">
        <v>416</v>
      </c>
      <c r="B2237" s="2" t="s">
        <v>431</v>
      </c>
      <c r="C2237" s="2" t="n">
        <v>2</v>
      </c>
      <c r="D2237" s="2" t="s">
        <v>569</v>
      </c>
      <c r="E2237" s="2" t="s">
        <v>30</v>
      </c>
      <c r="F2237" s="2" t="n">
        <v>194</v>
      </c>
      <c r="G2237" s="2" t="n">
        <v>33</v>
      </c>
    </row>
    <row r="2238" customFormat="false" ht="16.5" hidden="false" customHeight="true" outlineLevel="0" collapsed="false">
      <c r="A2238" s="2" t="s">
        <v>416</v>
      </c>
      <c r="B2238" s="2" t="s">
        <v>431</v>
      </c>
      <c r="C2238" s="2" t="n">
        <v>2</v>
      </c>
      <c r="D2238" s="2" t="s">
        <v>569</v>
      </c>
      <c r="E2238" s="2" t="s">
        <v>31</v>
      </c>
      <c r="F2238" s="2" t="n">
        <v>194</v>
      </c>
      <c r="G2238" s="2" t="n">
        <v>37</v>
      </c>
    </row>
    <row r="2239" customFormat="false" ht="16.5" hidden="false" customHeight="true" outlineLevel="0" collapsed="false">
      <c r="A2239" s="2" t="s">
        <v>416</v>
      </c>
      <c r="B2239" s="2" t="s">
        <v>431</v>
      </c>
      <c r="C2239" s="2" t="n">
        <v>2</v>
      </c>
      <c r="D2239" s="2" t="s">
        <v>569</v>
      </c>
      <c r="E2239" s="2" t="s">
        <v>32</v>
      </c>
      <c r="F2239" s="2" t="n">
        <v>194</v>
      </c>
      <c r="G2239" s="2" t="n">
        <v>41</v>
      </c>
    </row>
    <row r="2240" customFormat="false" ht="16.5" hidden="false" customHeight="true" outlineLevel="0" collapsed="false">
      <c r="A2240" s="2" t="s">
        <v>416</v>
      </c>
      <c r="B2240" s="2" t="s">
        <v>431</v>
      </c>
      <c r="C2240" s="2" t="n">
        <v>2</v>
      </c>
      <c r="D2240" s="2" t="s">
        <v>569</v>
      </c>
      <c r="E2240" s="2" t="s">
        <v>33</v>
      </c>
      <c r="F2240" s="2" t="n">
        <v>194</v>
      </c>
      <c r="G2240" s="2" t="n">
        <v>45</v>
      </c>
    </row>
    <row r="2241" customFormat="false" ht="16.5" hidden="false" customHeight="true" outlineLevel="0" collapsed="false">
      <c r="A2241" s="2" t="s">
        <v>416</v>
      </c>
      <c r="B2241" s="2" t="s">
        <v>431</v>
      </c>
      <c r="C2241" s="2" t="n">
        <v>2</v>
      </c>
      <c r="D2241" s="2" t="s">
        <v>569</v>
      </c>
      <c r="E2241" s="2" t="s">
        <v>34</v>
      </c>
      <c r="F2241" s="2" t="n">
        <v>194</v>
      </c>
      <c r="G2241" s="2" t="n">
        <v>49</v>
      </c>
    </row>
    <row r="2242" customFormat="false" ht="16.5" hidden="false" customHeight="true" outlineLevel="0" collapsed="false">
      <c r="A2242" s="2" t="s">
        <v>416</v>
      </c>
      <c r="B2242" s="2" t="s">
        <v>431</v>
      </c>
      <c r="C2242" s="2" t="n">
        <v>2</v>
      </c>
      <c r="D2242" s="2" t="s">
        <v>569</v>
      </c>
      <c r="E2242" s="2" t="s">
        <v>35</v>
      </c>
      <c r="F2242" s="2" t="n">
        <v>196</v>
      </c>
      <c r="G2242" s="2" t="n">
        <v>11</v>
      </c>
    </row>
    <row r="2243" customFormat="false" ht="16.5" hidden="false" customHeight="true" outlineLevel="0" collapsed="false">
      <c r="A2243" s="2" t="s">
        <v>416</v>
      </c>
      <c r="B2243" s="2" t="s">
        <v>431</v>
      </c>
      <c r="C2243" s="2" t="n">
        <v>2</v>
      </c>
      <c r="D2243" s="2" t="s">
        <v>569</v>
      </c>
      <c r="E2243" s="2" t="s">
        <v>36</v>
      </c>
      <c r="F2243" s="2" t="n">
        <v>196</v>
      </c>
      <c r="G2243" s="2" t="n">
        <v>15</v>
      </c>
    </row>
    <row r="2244" customFormat="false" ht="16.5" hidden="false" customHeight="true" outlineLevel="0" collapsed="false">
      <c r="A2244" s="2" t="s">
        <v>416</v>
      </c>
      <c r="B2244" s="2" t="s">
        <v>431</v>
      </c>
      <c r="C2244" s="2" t="n">
        <v>2</v>
      </c>
      <c r="D2244" s="2" t="s">
        <v>569</v>
      </c>
      <c r="E2244" s="2" t="s">
        <v>37</v>
      </c>
      <c r="F2244" s="2" t="n">
        <v>196</v>
      </c>
      <c r="G2244" s="2" t="n">
        <v>19</v>
      </c>
    </row>
    <row r="2245" customFormat="false" ht="16.5" hidden="false" customHeight="true" outlineLevel="0" collapsed="false">
      <c r="A2245" s="2" t="s">
        <v>416</v>
      </c>
      <c r="B2245" s="2" t="s">
        <v>431</v>
      </c>
      <c r="C2245" s="2" t="n">
        <v>2</v>
      </c>
      <c r="D2245" s="2" t="s">
        <v>569</v>
      </c>
      <c r="E2245" s="2" t="s">
        <v>38</v>
      </c>
      <c r="F2245" s="2" t="n">
        <v>196</v>
      </c>
      <c r="G2245" s="2" t="n">
        <v>23</v>
      </c>
    </row>
    <row r="2246" customFormat="false" ht="16.5" hidden="false" customHeight="true" outlineLevel="0" collapsed="false">
      <c r="A2246" s="2" t="s">
        <v>416</v>
      </c>
      <c r="B2246" s="2" t="s">
        <v>431</v>
      </c>
      <c r="C2246" s="2" t="n">
        <v>2</v>
      </c>
      <c r="D2246" s="2" t="s">
        <v>569</v>
      </c>
      <c r="E2246" s="2" t="s">
        <v>39</v>
      </c>
      <c r="F2246" s="2" t="n">
        <v>196</v>
      </c>
      <c r="G2246" s="2" t="n">
        <v>27</v>
      </c>
    </row>
    <row r="2247" customFormat="false" ht="16.5" hidden="false" customHeight="true" outlineLevel="0" collapsed="false">
      <c r="A2247" s="2" t="s">
        <v>416</v>
      </c>
      <c r="B2247" s="2" t="s">
        <v>431</v>
      </c>
      <c r="C2247" s="2" t="n">
        <v>2</v>
      </c>
      <c r="D2247" s="2" t="s">
        <v>569</v>
      </c>
      <c r="E2247" s="2" t="s">
        <v>40</v>
      </c>
      <c r="F2247" s="2" t="n">
        <v>196</v>
      </c>
      <c r="G2247" s="2" t="n">
        <v>31</v>
      </c>
    </row>
    <row r="2248" customFormat="false" ht="16.5" hidden="false" customHeight="true" outlineLevel="0" collapsed="false">
      <c r="A2248" s="2" t="s">
        <v>416</v>
      </c>
      <c r="B2248" s="2" t="s">
        <v>431</v>
      </c>
      <c r="C2248" s="2" t="n">
        <v>2</v>
      </c>
      <c r="D2248" s="2" t="s">
        <v>569</v>
      </c>
      <c r="E2248" s="2" t="s">
        <v>41</v>
      </c>
      <c r="F2248" s="2" t="n">
        <v>196</v>
      </c>
      <c r="G2248" s="2" t="n">
        <v>35</v>
      </c>
    </row>
    <row r="2249" customFormat="false" ht="16.5" hidden="false" customHeight="true" outlineLevel="0" collapsed="false">
      <c r="A2249" s="2" t="s">
        <v>416</v>
      </c>
      <c r="B2249" s="2" t="s">
        <v>431</v>
      </c>
      <c r="C2249" s="2" t="n">
        <v>2</v>
      </c>
      <c r="D2249" s="2" t="s">
        <v>569</v>
      </c>
      <c r="E2249" s="2" t="s">
        <v>42</v>
      </c>
      <c r="F2249" s="2" t="n">
        <v>196</v>
      </c>
      <c r="G2249" s="2" t="n">
        <v>39</v>
      </c>
    </row>
    <row r="2250" customFormat="false" ht="16.5" hidden="false" customHeight="true" outlineLevel="0" collapsed="false">
      <c r="A2250" s="2" t="s">
        <v>416</v>
      </c>
      <c r="B2250" s="2" t="s">
        <v>431</v>
      </c>
      <c r="C2250" s="2" t="n">
        <v>2</v>
      </c>
      <c r="D2250" s="2" t="s">
        <v>569</v>
      </c>
      <c r="E2250" s="2" t="s">
        <v>43</v>
      </c>
      <c r="F2250" s="2" t="n">
        <v>196</v>
      </c>
      <c r="G2250" s="2" t="n">
        <v>43</v>
      </c>
    </row>
    <row r="2251" customFormat="false" ht="16.5" hidden="false" customHeight="true" outlineLevel="0" collapsed="false">
      <c r="A2251" s="2" t="s">
        <v>416</v>
      </c>
      <c r="B2251" s="2" t="s">
        <v>431</v>
      </c>
      <c r="C2251" s="2" t="n">
        <v>2</v>
      </c>
      <c r="D2251" s="2" t="s">
        <v>569</v>
      </c>
      <c r="E2251" s="2" t="s">
        <v>44</v>
      </c>
      <c r="F2251" s="2" t="n">
        <v>196</v>
      </c>
      <c r="G2251" s="2" t="n">
        <v>47</v>
      </c>
    </row>
    <row r="2252" customFormat="false" ht="16.5" hidden="false" customHeight="true" outlineLevel="0" collapsed="false">
      <c r="A2252" s="2" t="s">
        <v>416</v>
      </c>
      <c r="B2252" s="2" t="s">
        <v>431</v>
      </c>
      <c r="C2252" s="2" t="n">
        <v>2</v>
      </c>
      <c r="D2252" s="2" t="s">
        <v>569</v>
      </c>
      <c r="E2252" s="2" t="s">
        <v>48</v>
      </c>
      <c r="F2252" s="2" t="n">
        <v>198</v>
      </c>
      <c r="G2252" s="2" t="n">
        <v>16</v>
      </c>
    </row>
    <row r="2253" customFormat="false" ht="16.5" hidden="false" customHeight="true" outlineLevel="0" collapsed="false">
      <c r="A2253" s="2" t="s">
        <v>416</v>
      </c>
      <c r="B2253" s="2" t="s">
        <v>431</v>
      </c>
      <c r="C2253" s="2" t="n">
        <v>2</v>
      </c>
      <c r="D2253" s="2" t="s">
        <v>569</v>
      </c>
      <c r="E2253" s="2" t="s">
        <v>50</v>
      </c>
      <c r="F2253" s="2" t="n">
        <v>198</v>
      </c>
      <c r="G2253" s="2" t="n">
        <v>20</v>
      </c>
    </row>
    <row r="2254" customFormat="false" ht="16.5" hidden="false" customHeight="true" outlineLevel="0" collapsed="false">
      <c r="A2254" s="2" t="s">
        <v>416</v>
      </c>
      <c r="B2254" s="2" t="s">
        <v>431</v>
      </c>
      <c r="C2254" s="2" t="n">
        <v>2</v>
      </c>
      <c r="D2254" s="2" t="s">
        <v>569</v>
      </c>
      <c r="E2254" s="2" t="s">
        <v>45</v>
      </c>
      <c r="F2254" s="2" t="n">
        <v>198</v>
      </c>
      <c r="G2254" s="2" t="n">
        <v>38</v>
      </c>
    </row>
    <row r="2255" customFormat="false" ht="16.5" hidden="false" customHeight="true" outlineLevel="0" collapsed="false">
      <c r="A2255" s="2" t="s">
        <v>416</v>
      </c>
      <c r="B2255" s="2" t="s">
        <v>431</v>
      </c>
      <c r="C2255" s="2" t="n">
        <v>2</v>
      </c>
      <c r="D2255" s="2" t="s">
        <v>569</v>
      </c>
      <c r="E2255" s="2" t="s">
        <v>46</v>
      </c>
      <c r="F2255" s="2" t="n">
        <v>198</v>
      </c>
      <c r="G2255" s="2" t="n">
        <v>42</v>
      </c>
    </row>
    <row r="2256" customFormat="false" ht="16.5" hidden="false" customHeight="true" outlineLevel="0" collapsed="false">
      <c r="A2256" s="2" t="s">
        <v>416</v>
      </c>
      <c r="B2256" s="2" t="s">
        <v>432</v>
      </c>
      <c r="C2256" s="2" t="n">
        <v>2</v>
      </c>
      <c r="D2256" s="2" t="s">
        <v>570</v>
      </c>
      <c r="E2256" s="2" t="s">
        <v>0</v>
      </c>
      <c r="F2256" s="2" t="n">
        <v>203</v>
      </c>
      <c r="G2256" s="2" t="n">
        <v>6</v>
      </c>
    </row>
    <row r="2257" customFormat="false" ht="16.5" hidden="false" customHeight="true" outlineLevel="0" collapsed="false">
      <c r="A2257" s="2" t="s">
        <v>416</v>
      </c>
      <c r="B2257" s="2" t="s">
        <v>432</v>
      </c>
      <c r="C2257" s="2" t="n">
        <v>2</v>
      </c>
      <c r="D2257" s="2" t="s">
        <v>570</v>
      </c>
      <c r="E2257" s="2" t="s">
        <v>1</v>
      </c>
      <c r="F2257" s="2" t="n">
        <v>203</v>
      </c>
      <c r="G2257" s="2" t="n">
        <v>10</v>
      </c>
    </row>
    <row r="2258" customFormat="false" ht="16.5" hidden="false" customHeight="true" outlineLevel="0" collapsed="false">
      <c r="A2258" s="2" t="s">
        <v>416</v>
      </c>
      <c r="B2258" s="2" t="s">
        <v>432</v>
      </c>
      <c r="C2258" s="2" t="n">
        <v>2</v>
      </c>
      <c r="D2258" s="2" t="s">
        <v>570</v>
      </c>
      <c r="E2258" s="2" t="s">
        <v>2</v>
      </c>
      <c r="F2258" s="2" t="n">
        <v>203</v>
      </c>
      <c r="G2258" s="2" t="n">
        <v>14</v>
      </c>
    </row>
    <row r="2259" customFormat="false" ht="16.5" hidden="false" customHeight="true" outlineLevel="0" collapsed="false">
      <c r="A2259" s="2" t="s">
        <v>416</v>
      </c>
      <c r="B2259" s="2" t="s">
        <v>432</v>
      </c>
      <c r="C2259" s="2" t="n">
        <v>2</v>
      </c>
      <c r="D2259" s="2" t="s">
        <v>570</v>
      </c>
      <c r="E2259" s="2" t="s">
        <v>3</v>
      </c>
      <c r="F2259" s="2" t="n">
        <v>203</v>
      </c>
      <c r="G2259" s="2" t="n">
        <v>18</v>
      </c>
    </row>
    <row r="2260" customFormat="false" ht="16.5" hidden="false" customHeight="true" outlineLevel="0" collapsed="false">
      <c r="A2260" s="2" t="s">
        <v>416</v>
      </c>
      <c r="B2260" s="2" t="s">
        <v>432</v>
      </c>
      <c r="C2260" s="2" t="n">
        <v>2</v>
      </c>
      <c r="D2260" s="2" t="s">
        <v>570</v>
      </c>
      <c r="E2260" s="2" t="s">
        <v>4</v>
      </c>
      <c r="F2260" s="2" t="n">
        <v>203</v>
      </c>
      <c r="G2260" s="2" t="n">
        <v>22</v>
      </c>
    </row>
    <row r="2261" customFormat="false" ht="16.5" hidden="false" customHeight="true" outlineLevel="0" collapsed="false">
      <c r="A2261" s="2" t="s">
        <v>416</v>
      </c>
      <c r="B2261" s="2" t="s">
        <v>432</v>
      </c>
      <c r="C2261" s="2" t="n">
        <v>2</v>
      </c>
      <c r="D2261" s="2" t="s">
        <v>570</v>
      </c>
      <c r="E2261" s="2" t="s">
        <v>5</v>
      </c>
      <c r="F2261" s="2" t="n">
        <v>203</v>
      </c>
      <c r="G2261" s="2" t="n">
        <v>26</v>
      </c>
    </row>
    <row r="2262" customFormat="false" ht="16.5" hidden="false" customHeight="true" outlineLevel="0" collapsed="false">
      <c r="A2262" s="2" t="s">
        <v>416</v>
      </c>
      <c r="B2262" s="2" t="s">
        <v>432</v>
      </c>
      <c r="C2262" s="2" t="n">
        <v>2</v>
      </c>
      <c r="D2262" s="2" t="s">
        <v>570</v>
      </c>
      <c r="E2262" s="2" t="s">
        <v>6</v>
      </c>
      <c r="F2262" s="2" t="n">
        <v>203</v>
      </c>
      <c r="G2262" s="2" t="n">
        <v>30</v>
      </c>
    </row>
    <row r="2263" customFormat="false" ht="16.5" hidden="false" customHeight="true" outlineLevel="0" collapsed="false">
      <c r="A2263" s="2" t="s">
        <v>416</v>
      </c>
      <c r="B2263" s="2" t="s">
        <v>432</v>
      </c>
      <c r="C2263" s="2" t="n">
        <v>2</v>
      </c>
      <c r="D2263" s="2" t="s">
        <v>570</v>
      </c>
      <c r="E2263" s="2" t="s">
        <v>7</v>
      </c>
      <c r="F2263" s="2" t="n">
        <v>203</v>
      </c>
      <c r="G2263" s="2" t="n">
        <v>34</v>
      </c>
    </row>
    <row r="2264" customFormat="false" ht="16.5" hidden="false" customHeight="true" outlineLevel="0" collapsed="false">
      <c r="A2264" s="2" t="s">
        <v>416</v>
      </c>
      <c r="B2264" s="2" t="s">
        <v>432</v>
      </c>
      <c r="C2264" s="2" t="n">
        <v>2</v>
      </c>
      <c r="D2264" s="2" t="s">
        <v>570</v>
      </c>
      <c r="E2264" s="2" t="s">
        <v>8</v>
      </c>
      <c r="F2264" s="2" t="n">
        <v>203</v>
      </c>
      <c r="G2264" s="2" t="n">
        <v>38</v>
      </c>
    </row>
    <row r="2265" customFormat="false" ht="16.5" hidden="false" customHeight="true" outlineLevel="0" collapsed="false">
      <c r="A2265" s="2" t="s">
        <v>416</v>
      </c>
      <c r="B2265" s="2" t="s">
        <v>432</v>
      </c>
      <c r="C2265" s="2" t="n">
        <v>2</v>
      </c>
      <c r="D2265" s="2" t="s">
        <v>570</v>
      </c>
      <c r="E2265" s="2" t="s">
        <v>9</v>
      </c>
      <c r="F2265" s="2" t="n">
        <v>203</v>
      </c>
      <c r="G2265" s="2" t="n">
        <v>42</v>
      </c>
    </row>
    <row r="2266" customFormat="false" ht="16.5" hidden="false" customHeight="true" outlineLevel="0" collapsed="false">
      <c r="A2266" s="2" t="s">
        <v>416</v>
      </c>
      <c r="B2266" s="2" t="s">
        <v>432</v>
      </c>
      <c r="C2266" s="2" t="n">
        <v>2</v>
      </c>
      <c r="D2266" s="2" t="s">
        <v>570</v>
      </c>
      <c r="E2266" s="2" t="s">
        <v>10</v>
      </c>
      <c r="F2266" s="2" t="n">
        <v>203</v>
      </c>
      <c r="G2266" s="2" t="n">
        <v>46</v>
      </c>
    </row>
    <row r="2267" customFormat="false" ht="16.5" hidden="false" customHeight="true" outlineLevel="0" collapsed="false">
      <c r="A2267" s="2" t="s">
        <v>416</v>
      </c>
      <c r="B2267" s="2" t="s">
        <v>432</v>
      </c>
      <c r="C2267" s="2" t="n">
        <v>2</v>
      </c>
      <c r="D2267" s="2" t="s">
        <v>570</v>
      </c>
      <c r="E2267" s="2" t="s">
        <v>11</v>
      </c>
      <c r="F2267" s="2" t="n">
        <v>203</v>
      </c>
      <c r="G2267" s="2" t="n">
        <v>50</v>
      </c>
    </row>
    <row r="2268" customFormat="false" ht="16.5" hidden="false" customHeight="true" outlineLevel="0" collapsed="false">
      <c r="A2268" s="2" t="s">
        <v>416</v>
      </c>
      <c r="B2268" s="2" t="s">
        <v>432</v>
      </c>
      <c r="C2268" s="2" t="n">
        <v>2</v>
      </c>
      <c r="D2268" s="2" t="s">
        <v>570</v>
      </c>
      <c r="E2268" s="2" t="s">
        <v>12</v>
      </c>
      <c r="F2268" s="2" t="n">
        <v>205</v>
      </c>
      <c r="G2268" s="2" t="n">
        <v>8</v>
      </c>
    </row>
    <row r="2269" customFormat="false" ht="16.5" hidden="false" customHeight="true" outlineLevel="0" collapsed="false">
      <c r="A2269" s="2" t="s">
        <v>416</v>
      </c>
      <c r="B2269" s="2" t="s">
        <v>432</v>
      </c>
      <c r="C2269" s="2" t="n">
        <v>2</v>
      </c>
      <c r="D2269" s="2" t="s">
        <v>570</v>
      </c>
      <c r="E2269" s="2" t="s">
        <v>13</v>
      </c>
      <c r="F2269" s="2" t="n">
        <v>205</v>
      </c>
      <c r="G2269" s="2" t="n">
        <v>12</v>
      </c>
    </row>
    <row r="2270" customFormat="false" ht="16.5" hidden="false" customHeight="true" outlineLevel="0" collapsed="false">
      <c r="A2270" s="2" t="s">
        <v>416</v>
      </c>
      <c r="B2270" s="2" t="s">
        <v>432</v>
      </c>
      <c r="C2270" s="2" t="n">
        <v>2</v>
      </c>
      <c r="D2270" s="2" t="s">
        <v>570</v>
      </c>
      <c r="E2270" s="2" t="s">
        <v>14</v>
      </c>
      <c r="F2270" s="2" t="n">
        <v>205</v>
      </c>
      <c r="G2270" s="2" t="n">
        <v>16</v>
      </c>
    </row>
    <row r="2271" customFormat="false" ht="16.5" hidden="false" customHeight="true" outlineLevel="0" collapsed="false">
      <c r="A2271" s="2" t="s">
        <v>416</v>
      </c>
      <c r="B2271" s="2" t="s">
        <v>432</v>
      </c>
      <c r="C2271" s="2" t="n">
        <v>2</v>
      </c>
      <c r="D2271" s="2" t="s">
        <v>570</v>
      </c>
      <c r="E2271" s="2" t="s">
        <v>15</v>
      </c>
      <c r="F2271" s="2" t="n">
        <v>205</v>
      </c>
      <c r="G2271" s="2" t="n">
        <v>20</v>
      </c>
    </row>
    <row r="2272" customFormat="false" ht="16.5" hidden="false" customHeight="true" outlineLevel="0" collapsed="false">
      <c r="A2272" s="2" t="s">
        <v>416</v>
      </c>
      <c r="B2272" s="2" t="s">
        <v>432</v>
      </c>
      <c r="C2272" s="2" t="n">
        <v>2</v>
      </c>
      <c r="D2272" s="2" t="s">
        <v>570</v>
      </c>
      <c r="E2272" s="2" t="s">
        <v>16</v>
      </c>
      <c r="F2272" s="2" t="n">
        <v>205</v>
      </c>
      <c r="G2272" s="2" t="n">
        <v>24</v>
      </c>
    </row>
    <row r="2273" customFormat="false" ht="16.5" hidden="false" customHeight="true" outlineLevel="0" collapsed="false">
      <c r="A2273" s="2" t="s">
        <v>416</v>
      </c>
      <c r="B2273" s="2" t="s">
        <v>432</v>
      </c>
      <c r="C2273" s="2" t="n">
        <v>2</v>
      </c>
      <c r="D2273" s="2" t="s">
        <v>570</v>
      </c>
      <c r="E2273" s="2" t="s">
        <v>17</v>
      </c>
      <c r="F2273" s="2" t="n">
        <v>205</v>
      </c>
      <c r="G2273" s="2" t="n">
        <v>28</v>
      </c>
    </row>
    <row r="2274" customFormat="false" ht="16.5" hidden="false" customHeight="true" outlineLevel="0" collapsed="false">
      <c r="A2274" s="2" t="s">
        <v>416</v>
      </c>
      <c r="B2274" s="2" t="s">
        <v>432</v>
      </c>
      <c r="C2274" s="2" t="n">
        <v>2</v>
      </c>
      <c r="D2274" s="2" t="s">
        <v>570</v>
      </c>
      <c r="E2274" s="2" t="s">
        <v>18</v>
      </c>
      <c r="F2274" s="2" t="n">
        <v>205</v>
      </c>
      <c r="G2274" s="2" t="n">
        <v>32</v>
      </c>
    </row>
    <row r="2275" customFormat="false" ht="16.5" hidden="false" customHeight="true" outlineLevel="0" collapsed="false">
      <c r="A2275" s="2" t="s">
        <v>416</v>
      </c>
      <c r="B2275" s="2" t="s">
        <v>432</v>
      </c>
      <c r="C2275" s="2" t="n">
        <v>2</v>
      </c>
      <c r="D2275" s="2" t="s">
        <v>570</v>
      </c>
      <c r="E2275" s="2" t="s">
        <v>19</v>
      </c>
      <c r="F2275" s="2" t="n">
        <v>205</v>
      </c>
      <c r="G2275" s="2" t="n">
        <v>36</v>
      </c>
    </row>
    <row r="2276" customFormat="false" ht="16.5" hidden="false" customHeight="true" outlineLevel="0" collapsed="false">
      <c r="A2276" s="2" t="s">
        <v>416</v>
      </c>
      <c r="B2276" s="2" t="s">
        <v>432</v>
      </c>
      <c r="C2276" s="2" t="n">
        <v>2</v>
      </c>
      <c r="D2276" s="2" t="s">
        <v>570</v>
      </c>
      <c r="E2276" s="2" t="s">
        <v>20</v>
      </c>
      <c r="F2276" s="2" t="n">
        <v>205</v>
      </c>
      <c r="G2276" s="2" t="n">
        <v>40</v>
      </c>
    </row>
    <row r="2277" customFormat="false" ht="16.5" hidden="false" customHeight="true" outlineLevel="0" collapsed="false">
      <c r="A2277" s="2" t="s">
        <v>416</v>
      </c>
      <c r="B2277" s="2" t="s">
        <v>432</v>
      </c>
      <c r="C2277" s="2" t="n">
        <v>2</v>
      </c>
      <c r="D2277" s="2" t="s">
        <v>570</v>
      </c>
      <c r="E2277" s="2" t="s">
        <v>21</v>
      </c>
      <c r="F2277" s="2" t="n">
        <v>205</v>
      </c>
      <c r="G2277" s="2" t="n">
        <v>44</v>
      </c>
    </row>
    <row r="2278" customFormat="false" ht="16.5" hidden="false" customHeight="true" outlineLevel="0" collapsed="false">
      <c r="A2278" s="2" t="s">
        <v>416</v>
      </c>
      <c r="B2278" s="2" t="s">
        <v>432</v>
      </c>
      <c r="C2278" s="2" t="n">
        <v>2</v>
      </c>
      <c r="D2278" s="2" t="s">
        <v>570</v>
      </c>
      <c r="E2278" s="2" t="s">
        <v>22</v>
      </c>
      <c r="F2278" s="2" t="n">
        <v>205</v>
      </c>
      <c r="G2278" s="2" t="n">
        <v>48</v>
      </c>
    </row>
    <row r="2279" customFormat="false" ht="16.5" hidden="false" customHeight="true" outlineLevel="0" collapsed="false">
      <c r="A2279" s="2" t="s">
        <v>416</v>
      </c>
      <c r="B2279" s="2" t="s">
        <v>432</v>
      </c>
      <c r="C2279" s="2" t="n">
        <v>2</v>
      </c>
      <c r="D2279" s="2" t="s">
        <v>570</v>
      </c>
      <c r="E2279" s="2" t="s">
        <v>23</v>
      </c>
      <c r="F2279" s="2" t="n">
        <v>205</v>
      </c>
      <c r="G2279" s="2" t="n">
        <v>52</v>
      </c>
    </row>
    <row r="2280" customFormat="false" ht="16.5" hidden="false" customHeight="true" outlineLevel="0" collapsed="false">
      <c r="A2280" s="2" t="s">
        <v>416</v>
      </c>
      <c r="B2280" s="2" t="s">
        <v>432</v>
      </c>
      <c r="C2280" s="2" t="n">
        <v>2</v>
      </c>
      <c r="D2280" s="2" t="s">
        <v>570</v>
      </c>
      <c r="E2280" s="2" t="s">
        <v>24</v>
      </c>
      <c r="F2280" s="2" t="n">
        <v>207</v>
      </c>
      <c r="G2280" s="2" t="n">
        <v>9</v>
      </c>
    </row>
    <row r="2281" customFormat="false" ht="16.5" hidden="false" customHeight="true" outlineLevel="0" collapsed="false">
      <c r="A2281" s="2" t="s">
        <v>416</v>
      </c>
      <c r="B2281" s="2" t="s">
        <v>432</v>
      </c>
      <c r="C2281" s="2" t="n">
        <v>2</v>
      </c>
      <c r="D2281" s="2" t="s">
        <v>570</v>
      </c>
      <c r="E2281" s="2" t="s">
        <v>25</v>
      </c>
      <c r="F2281" s="2" t="n">
        <v>207</v>
      </c>
      <c r="G2281" s="2" t="n">
        <v>13</v>
      </c>
    </row>
    <row r="2282" customFormat="false" ht="16.5" hidden="false" customHeight="true" outlineLevel="0" collapsed="false">
      <c r="A2282" s="2" t="s">
        <v>416</v>
      </c>
      <c r="B2282" s="2" t="s">
        <v>432</v>
      </c>
      <c r="C2282" s="2" t="n">
        <v>2</v>
      </c>
      <c r="D2282" s="2" t="s">
        <v>570</v>
      </c>
      <c r="E2282" s="2" t="s">
        <v>26</v>
      </c>
      <c r="F2282" s="2" t="n">
        <v>207</v>
      </c>
      <c r="G2282" s="2" t="n">
        <v>17</v>
      </c>
    </row>
    <row r="2283" customFormat="false" ht="16.5" hidden="false" customHeight="true" outlineLevel="0" collapsed="false">
      <c r="A2283" s="2" t="s">
        <v>416</v>
      </c>
      <c r="B2283" s="2" t="s">
        <v>432</v>
      </c>
      <c r="C2283" s="2" t="n">
        <v>2</v>
      </c>
      <c r="D2283" s="2" t="s">
        <v>570</v>
      </c>
      <c r="E2283" s="2" t="s">
        <v>27</v>
      </c>
      <c r="F2283" s="2" t="n">
        <v>207</v>
      </c>
      <c r="G2283" s="2" t="n">
        <v>21</v>
      </c>
    </row>
    <row r="2284" customFormat="false" ht="16.5" hidden="false" customHeight="true" outlineLevel="0" collapsed="false">
      <c r="A2284" s="2" t="s">
        <v>416</v>
      </c>
      <c r="B2284" s="2" t="s">
        <v>432</v>
      </c>
      <c r="C2284" s="2" t="n">
        <v>2</v>
      </c>
      <c r="D2284" s="2" t="s">
        <v>570</v>
      </c>
      <c r="E2284" s="2" t="s">
        <v>28</v>
      </c>
      <c r="F2284" s="2" t="n">
        <v>207</v>
      </c>
      <c r="G2284" s="2" t="n">
        <v>25</v>
      </c>
    </row>
    <row r="2285" customFormat="false" ht="16.5" hidden="false" customHeight="true" outlineLevel="0" collapsed="false">
      <c r="A2285" s="2" t="s">
        <v>416</v>
      </c>
      <c r="B2285" s="2" t="s">
        <v>432</v>
      </c>
      <c r="C2285" s="2" t="n">
        <v>2</v>
      </c>
      <c r="D2285" s="2" t="s">
        <v>570</v>
      </c>
      <c r="E2285" s="2" t="s">
        <v>29</v>
      </c>
      <c r="F2285" s="2" t="n">
        <v>207</v>
      </c>
      <c r="G2285" s="2" t="n">
        <v>29</v>
      </c>
    </row>
    <row r="2286" customFormat="false" ht="16.5" hidden="false" customHeight="true" outlineLevel="0" collapsed="false">
      <c r="A2286" s="2" t="s">
        <v>416</v>
      </c>
      <c r="B2286" s="2" t="s">
        <v>432</v>
      </c>
      <c r="C2286" s="2" t="n">
        <v>2</v>
      </c>
      <c r="D2286" s="2" t="s">
        <v>570</v>
      </c>
      <c r="E2286" s="2" t="s">
        <v>30</v>
      </c>
      <c r="F2286" s="2" t="n">
        <v>207</v>
      </c>
      <c r="G2286" s="2" t="n">
        <v>33</v>
      </c>
    </row>
    <row r="2287" customFormat="false" ht="16.5" hidden="false" customHeight="true" outlineLevel="0" collapsed="false">
      <c r="A2287" s="2" t="s">
        <v>416</v>
      </c>
      <c r="B2287" s="2" t="s">
        <v>432</v>
      </c>
      <c r="C2287" s="2" t="n">
        <v>2</v>
      </c>
      <c r="D2287" s="2" t="s">
        <v>570</v>
      </c>
      <c r="E2287" s="2" t="s">
        <v>31</v>
      </c>
      <c r="F2287" s="2" t="n">
        <v>207</v>
      </c>
      <c r="G2287" s="2" t="n">
        <v>37</v>
      </c>
    </row>
    <row r="2288" customFormat="false" ht="16.5" hidden="false" customHeight="true" outlineLevel="0" collapsed="false">
      <c r="A2288" s="2" t="s">
        <v>416</v>
      </c>
      <c r="B2288" s="2" t="s">
        <v>432</v>
      </c>
      <c r="C2288" s="2" t="n">
        <v>2</v>
      </c>
      <c r="D2288" s="2" t="s">
        <v>570</v>
      </c>
      <c r="E2288" s="2" t="s">
        <v>32</v>
      </c>
      <c r="F2288" s="2" t="n">
        <v>207</v>
      </c>
      <c r="G2288" s="2" t="n">
        <v>41</v>
      </c>
    </row>
    <row r="2289" customFormat="false" ht="16.5" hidden="false" customHeight="true" outlineLevel="0" collapsed="false">
      <c r="A2289" s="2" t="s">
        <v>416</v>
      </c>
      <c r="B2289" s="2" t="s">
        <v>432</v>
      </c>
      <c r="C2289" s="2" t="n">
        <v>2</v>
      </c>
      <c r="D2289" s="2" t="s">
        <v>570</v>
      </c>
      <c r="E2289" s="2" t="s">
        <v>33</v>
      </c>
      <c r="F2289" s="2" t="n">
        <v>207</v>
      </c>
      <c r="G2289" s="2" t="n">
        <v>45</v>
      </c>
    </row>
    <row r="2290" customFormat="false" ht="16.5" hidden="false" customHeight="true" outlineLevel="0" collapsed="false">
      <c r="A2290" s="2" t="s">
        <v>416</v>
      </c>
      <c r="B2290" s="2" t="s">
        <v>432</v>
      </c>
      <c r="C2290" s="2" t="n">
        <v>2</v>
      </c>
      <c r="D2290" s="2" t="s">
        <v>570</v>
      </c>
      <c r="E2290" s="2" t="s">
        <v>34</v>
      </c>
      <c r="F2290" s="2" t="n">
        <v>207</v>
      </c>
      <c r="G2290" s="2" t="n">
        <v>49</v>
      </c>
    </row>
    <row r="2291" customFormat="false" ht="16.5" hidden="false" customHeight="true" outlineLevel="0" collapsed="false">
      <c r="A2291" s="2" t="s">
        <v>416</v>
      </c>
      <c r="B2291" s="2" t="s">
        <v>432</v>
      </c>
      <c r="C2291" s="2" t="n">
        <v>2</v>
      </c>
      <c r="D2291" s="2" t="s">
        <v>570</v>
      </c>
      <c r="E2291" s="2" t="s">
        <v>35</v>
      </c>
      <c r="F2291" s="2" t="n">
        <v>209</v>
      </c>
      <c r="G2291" s="2" t="n">
        <v>11</v>
      </c>
    </row>
    <row r="2292" customFormat="false" ht="16.5" hidden="false" customHeight="true" outlineLevel="0" collapsed="false">
      <c r="A2292" s="2" t="s">
        <v>416</v>
      </c>
      <c r="B2292" s="2" t="s">
        <v>432</v>
      </c>
      <c r="C2292" s="2" t="n">
        <v>2</v>
      </c>
      <c r="D2292" s="2" t="s">
        <v>570</v>
      </c>
      <c r="E2292" s="2" t="s">
        <v>36</v>
      </c>
      <c r="F2292" s="2" t="n">
        <v>209</v>
      </c>
      <c r="G2292" s="2" t="n">
        <v>15</v>
      </c>
    </row>
    <row r="2293" customFormat="false" ht="16.5" hidden="false" customHeight="true" outlineLevel="0" collapsed="false">
      <c r="A2293" s="2" t="s">
        <v>416</v>
      </c>
      <c r="B2293" s="2" t="s">
        <v>432</v>
      </c>
      <c r="C2293" s="2" t="n">
        <v>2</v>
      </c>
      <c r="D2293" s="2" t="s">
        <v>570</v>
      </c>
      <c r="E2293" s="2" t="s">
        <v>37</v>
      </c>
      <c r="F2293" s="2" t="n">
        <v>209</v>
      </c>
      <c r="G2293" s="2" t="n">
        <v>19</v>
      </c>
    </row>
    <row r="2294" customFormat="false" ht="16.5" hidden="false" customHeight="true" outlineLevel="0" collapsed="false">
      <c r="A2294" s="2" t="s">
        <v>416</v>
      </c>
      <c r="B2294" s="2" t="s">
        <v>432</v>
      </c>
      <c r="C2294" s="2" t="n">
        <v>2</v>
      </c>
      <c r="D2294" s="2" t="s">
        <v>570</v>
      </c>
      <c r="E2294" s="2" t="s">
        <v>38</v>
      </c>
      <c r="F2294" s="2" t="n">
        <v>209</v>
      </c>
      <c r="G2294" s="2" t="n">
        <v>23</v>
      </c>
    </row>
    <row r="2295" customFormat="false" ht="16.5" hidden="false" customHeight="true" outlineLevel="0" collapsed="false">
      <c r="A2295" s="2" t="s">
        <v>416</v>
      </c>
      <c r="B2295" s="2" t="s">
        <v>432</v>
      </c>
      <c r="C2295" s="2" t="n">
        <v>2</v>
      </c>
      <c r="D2295" s="2" t="s">
        <v>570</v>
      </c>
      <c r="E2295" s="2" t="s">
        <v>39</v>
      </c>
      <c r="F2295" s="2" t="n">
        <v>209</v>
      </c>
      <c r="G2295" s="2" t="n">
        <v>27</v>
      </c>
    </row>
    <row r="2296" customFormat="false" ht="16.5" hidden="false" customHeight="true" outlineLevel="0" collapsed="false">
      <c r="A2296" s="2" t="s">
        <v>416</v>
      </c>
      <c r="B2296" s="2" t="s">
        <v>432</v>
      </c>
      <c r="C2296" s="2" t="n">
        <v>2</v>
      </c>
      <c r="D2296" s="2" t="s">
        <v>570</v>
      </c>
      <c r="E2296" s="2" t="s">
        <v>40</v>
      </c>
      <c r="F2296" s="2" t="n">
        <v>209</v>
      </c>
      <c r="G2296" s="2" t="n">
        <v>31</v>
      </c>
    </row>
    <row r="2297" customFormat="false" ht="16.5" hidden="false" customHeight="true" outlineLevel="0" collapsed="false">
      <c r="A2297" s="2" t="s">
        <v>416</v>
      </c>
      <c r="B2297" s="2" t="s">
        <v>432</v>
      </c>
      <c r="C2297" s="2" t="n">
        <v>2</v>
      </c>
      <c r="D2297" s="2" t="s">
        <v>570</v>
      </c>
      <c r="E2297" s="2" t="s">
        <v>41</v>
      </c>
      <c r="F2297" s="2" t="n">
        <v>209</v>
      </c>
      <c r="G2297" s="2" t="n">
        <v>35</v>
      </c>
    </row>
    <row r="2298" customFormat="false" ht="16.5" hidden="false" customHeight="true" outlineLevel="0" collapsed="false">
      <c r="A2298" s="2" t="s">
        <v>416</v>
      </c>
      <c r="B2298" s="2" t="s">
        <v>432</v>
      </c>
      <c r="C2298" s="2" t="n">
        <v>2</v>
      </c>
      <c r="D2298" s="2" t="s">
        <v>570</v>
      </c>
      <c r="E2298" s="2" t="s">
        <v>42</v>
      </c>
      <c r="F2298" s="2" t="n">
        <v>209</v>
      </c>
      <c r="G2298" s="2" t="n">
        <v>39</v>
      </c>
    </row>
    <row r="2299" customFormat="false" ht="16.5" hidden="false" customHeight="true" outlineLevel="0" collapsed="false">
      <c r="A2299" s="2" t="s">
        <v>416</v>
      </c>
      <c r="B2299" s="2" t="s">
        <v>432</v>
      </c>
      <c r="C2299" s="2" t="n">
        <v>2</v>
      </c>
      <c r="D2299" s="2" t="s">
        <v>570</v>
      </c>
      <c r="E2299" s="2" t="s">
        <v>43</v>
      </c>
      <c r="F2299" s="2" t="n">
        <v>209</v>
      </c>
      <c r="G2299" s="2" t="n">
        <v>43</v>
      </c>
    </row>
    <row r="2300" customFormat="false" ht="16.5" hidden="false" customHeight="true" outlineLevel="0" collapsed="false">
      <c r="A2300" s="2" t="s">
        <v>416</v>
      </c>
      <c r="B2300" s="2" t="s">
        <v>432</v>
      </c>
      <c r="C2300" s="2" t="n">
        <v>2</v>
      </c>
      <c r="D2300" s="2" t="s">
        <v>570</v>
      </c>
      <c r="E2300" s="2" t="s">
        <v>44</v>
      </c>
      <c r="F2300" s="2" t="n">
        <v>209</v>
      </c>
      <c r="G2300" s="2" t="n">
        <v>47</v>
      </c>
    </row>
    <row r="2301" customFormat="false" ht="16.5" hidden="false" customHeight="true" outlineLevel="0" collapsed="false">
      <c r="A2301" s="2" t="s">
        <v>416</v>
      </c>
      <c r="B2301" s="2" t="s">
        <v>432</v>
      </c>
      <c r="C2301" s="2" t="n">
        <v>2</v>
      </c>
      <c r="D2301" s="2" t="s">
        <v>570</v>
      </c>
      <c r="E2301" s="2" t="s">
        <v>48</v>
      </c>
      <c r="F2301" s="2" t="n">
        <v>211</v>
      </c>
      <c r="G2301" s="2" t="n">
        <v>16</v>
      </c>
    </row>
    <row r="2302" customFormat="false" ht="16.5" hidden="false" customHeight="true" outlineLevel="0" collapsed="false">
      <c r="A2302" s="2" t="s">
        <v>416</v>
      </c>
      <c r="B2302" s="2" t="s">
        <v>432</v>
      </c>
      <c r="C2302" s="2" t="n">
        <v>2</v>
      </c>
      <c r="D2302" s="2" t="s">
        <v>570</v>
      </c>
      <c r="E2302" s="2" t="s">
        <v>50</v>
      </c>
      <c r="F2302" s="2" t="n">
        <v>211</v>
      </c>
      <c r="G2302" s="2" t="n">
        <v>20</v>
      </c>
    </row>
    <row r="2303" customFormat="false" ht="16.5" hidden="false" customHeight="true" outlineLevel="0" collapsed="false">
      <c r="A2303" s="2" t="s">
        <v>416</v>
      </c>
      <c r="B2303" s="2" t="s">
        <v>432</v>
      </c>
      <c r="C2303" s="2" t="n">
        <v>2</v>
      </c>
      <c r="D2303" s="2" t="s">
        <v>570</v>
      </c>
      <c r="E2303" s="2" t="s">
        <v>45</v>
      </c>
      <c r="F2303" s="2" t="n">
        <v>211</v>
      </c>
      <c r="G2303" s="2" t="n">
        <v>38</v>
      </c>
    </row>
    <row r="2304" customFormat="false" ht="16.5" hidden="false" customHeight="true" outlineLevel="0" collapsed="false">
      <c r="A2304" s="2" t="s">
        <v>416</v>
      </c>
      <c r="B2304" s="2" t="s">
        <v>432</v>
      </c>
      <c r="C2304" s="2" t="n">
        <v>2</v>
      </c>
      <c r="D2304" s="2" t="s">
        <v>570</v>
      </c>
      <c r="E2304" s="2" t="s">
        <v>46</v>
      </c>
      <c r="F2304" s="2" t="n">
        <v>211</v>
      </c>
      <c r="G2304" s="2" t="n">
        <v>42</v>
      </c>
    </row>
    <row r="2305" customFormat="false" ht="16.5" hidden="false" customHeight="true" outlineLevel="0" collapsed="false">
      <c r="A2305" s="2" t="s">
        <v>416</v>
      </c>
      <c r="B2305" s="2" t="s">
        <v>433</v>
      </c>
      <c r="C2305" s="2" t="n">
        <v>2</v>
      </c>
      <c r="D2305" s="2" t="s">
        <v>571</v>
      </c>
      <c r="E2305" s="2" t="s">
        <v>0</v>
      </c>
      <c r="F2305" s="2" t="n">
        <v>216</v>
      </c>
      <c r="G2305" s="2" t="n">
        <v>6</v>
      </c>
    </row>
    <row r="2306" customFormat="false" ht="16.5" hidden="false" customHeight="true" outlineLevel="0" collapsed="false">
      <c r="A2306" s="2" t="s">
        <v>416</v>
      </c>
      <c r="B2306" s="2" t="s">
        <v>433</v>
      </c>
      <c r="C2306" s="2" t="n">
        <v>2</v>
      </c>
      <c r="D2306" s="2" t="s">
        <v>571</v>
      </c>
      <c r="E2306" s="2" t="s">
        <v>1</v>
      </c>
      <c r="F2306" s="2" t="n">
        <v>216</v>
      </c>
      <c r="G2306" s="2" t="n">
        <v>10</v>
      </c>
    </row>
    <row r="2307" customFormat="false" ht="16.5" hidden="false" customHeight="true" outlineLevel="0" collapsed="false">
      <c r="A2307" s="2" t="s">
        <v>416</v>
      </c>
      <c r="B2307" s="2" t="s">
        <v>433</v>
      </c>
      <c r="C2307" s="2" t="n">
        <v>2</v>
      </c>
      <c r="D2307" s="2" t="s">
        <v>571</v>
      </c>
      <c r="E2307" s="2" t="s">
        <v>2</v>
      </c>
      <c r="F2307" s="2" t="n">
        <v>216</v>
      </c>
      <c r="G2307" s="2" t="n">
        <v>14</v>
      </c>
    </row>
    <row r="2308" customFormat="false" ht="16.5" hidden="false" customHeight="true" outlineLevel="0" collapsed="false">
      <c r="A2308" s="2" t="s">
        <v>416</v>
      </c>
      <c r="B2308" s="2" t="s">
        <v>433</v>
      </c>
      <c r="C2308" s="2" t="n">
        <v>2</v>
      </c>
      <c r="D2308" s="2" t="s">
        <v>571</v>
      </c>
      <c r="E2308" s="2" t="s">
        <v>3</v>
      </c>
      <c r="F2308" s="2" t="n">
        <v>216</v>
      </c>
      <c r="G2308" s="2" t="n">
        <v>18</v>
      </c>
    </row>
    <row r="2309" customFormat="false" ht="16.5" hidden="false" customHeight="true" outlineLevel="0" collapsed="false">
      <c r="A2309" s="2" t="s">
        <v>416</v>
      </c>
      <c r="B2309" s="2" t="s">
        <v>433</v>
      </c>
      <c r="C2309" s="2" t="n">
        <v>2</v>
      </c>
      <c r="D2309" s="2" t="s">
        <v>571</v>
      </c>
      <c r="E2309" s="2" t="s">
        <v>4</v>
      </c>
      <c r="F2309" s="2" t="n">
        <v>216</v>
      </c>
      <c r="G2309" s="2" t="n">
        <v>22</v>
      </c>
    </row>
    <row r="2310" customFormat="false" ht="16.5" hidden="false" customHeight="true" outlineLevel="0" collapsed="false">
      <c r="A2310" s="2" t="s">
        <v>416</v>
      </c>
      <c r="B2310" s="2" t="s">
        <v>433</v>
      </c>
      <c r="C2310" s="2" t="n">
        <v>2</v>
      </c>
      <c r="D2310" s="2" t="s">
        <v>571</v>
      </c>
      <c r="E2310" s="2" t="s">
        <v>5</v>
      </c>
      <c r="F2310" s="2" t="n">
        <v>216</v>
      </c>
      <c r="G2310" s="2" t="n">
        <v>26</v>
      </c>
    </row>
    <row r="2311" customFormat="false" ht="16.5" hidden="false" customHeight="true" outlineLevel="0" collapsed="false">
      <c r="A2311" s="2" t="s">
        <v>416</v>
      </c>
      <c r="B2311" s="2" t="s">
        <v>433</v>
      </c>
      <c r="C2311" s="2" t="n">
        <v>2</v>
      </c>
      <c r="D2311" s="2" t="s">
        <v>571</v>
      </c>
      <c r="E2311" s="2" t="s">
        <v>6</v>
      </c>
      <c r="F2311" s="2" t="n">
        <v>216</v>
      </c>
      <c r="G2311" s="2" t="n">
        <v>30</v>
      </c>
    </row>
    <row r="2312" customFormat="false" ht="16.5" hidden="false" customHeight="true" outlineLevel="0" collapsed="false">
      <c r="A2312" s="2" t="s">
        <v>416</v>
      </c>
      <c r="B2312" s="2" t="s">
        <v>433</v>
      </c>
      <c r="C2312" s="2" t="n">
        <v>2</v>
      </c>
      <c r="D2312" s="2" t="s">
        <v>571</v>
      </c>
      <c r="E2312" s="2" t="s">
        <v>7</v>
      </c>
      <c r="F2312" s="2" t="n">
        <v>216</v>
      </c>
      <c r="G2312" s="2" t="n">
        <v>34</v>
      </c>
    </row>
    <row r="2313" customFormat="false" ht="16.5" hidden="false" customHeight="true" outlineLevel="0" collapsed="false">
      <c r="A2313" s="2" t="s">
        <v>416</v>
      </c>
      <c r="B2313" s="2" t="s">
        <v>433</v>
      </c>
      <c r="C2313" s="2" t="n">
        <v>2</v>
      </c>
      <c r="D2313" s="2" t="s">
        <v>571</v>
      </c>
      <c r="E2313" s="2" t="s">
        <v>8</v>
      </c>
      <c r="F2313" s="2" t="n">
        <v>216</v>
      </c>
      <c r="G2313" s="2" t="n">
        <v>38</v>
      </c>
    </row>
    <row r="2314" customFormat="false" ht="16.5" hidden="false" customHeight="true" outlineLevel="0" collapsed="false">
      <c r="A2314" s="2" t="s">
        <v>416</v>
      </c>
      <c r="B2314" s="2" t="s">
        <v>433</v>
      </c>
      <c r="C2314" s="2" t="n">
        <v>2</v>
      </c>
      <c r="D2314" s="2" t="s">
        <v>571</v>
      </c>
      <c r="E2314" s="2" t="s">
        <v>9</v>
      </c>
      <c r="F2314" s="2" t="n">
        <v>216</v>
      </c>
      <c r="G2314" s="2" t="n">
        <v>42</v>
      </c>
    </row>
    <row r="2315" customFormat="false" ht="16.5" hidden="false" customHeight="true" outlineLevel="0" collapsed="false">
      <c r="A2315" s="2" t="s">
        <v>416</v>
      </c>
      <c r="B2315" s="2" t="s">
        <v>433</v>
      </c>
      <c r="C2315" s="2" t="n">
        <v>2</v>
      </c>
      <c r="D2315" s="2" t="s">
        <v>571</v>
      </c>
      <c r="E2315" s="2" t="s">
        <v>10</v>
      </c>
      <c r="F2315" s="2" t="n">
        <v>216</v>
      </c>
      <c r="G2315" s="2" t="n">
        <v>46</v>
      </c>
    </row>
    <row r="2316" customFormat="false" ht="16.5" hidden="false" customHeight="true" outlineLevel="0" collapsed="false">
      <c r="A2316" s="2" t="s">
        <v>416</v>
      </c>
      <c r="B2316" s="2" t="s">
        <v>433</v>
      </c>
      <c r="C2316" s="2" t="n">
        <v>2</v>
      </c>
      <c r="D2316" s="2" t="s">
        <v>571</v>
      </c>
      <c r="E2316" s="2" t="s">
        <v>11</v>
      </c>
      <c r="F2316" s="2" t="n">
        <v>216</v>
      </c>
      <c r="G2316" s="2" t="n">
        <v>50</v>
      </c>
    </row>
    <row r="2317" customFormat="false" ht="16.5" hidden="false" customHeight="true" outlineLevel="0" collapsed="false">
      <c r="A2317" s="2" t="s">
        <v>416</v>
      </c>
      <c r="B2317" s="2" t="s">
        <v>433</v>
      </c>
      <c r="C2317" s="2" t="n">
        <v>2</v>
      </c>
      <c r="D2317" s="2" t="s">
        <v>571</v>
      </c>
      <c r="E2317" s="2" t="s">
        <v>12</v>
      </c>
      <c r="F2317" s="2" t="n">
        <v>218</v>
      </c>
      <c r="G2317" s="2" t="n">
        <v>8</v>
      </c>
    </row>
    <row r="2318" customFormat="false" ht="16.5" hidden="false" customHeight="true" outlineLevel="0" collapsed="false">
      <c r="A2318" s="2" t="s">
        <v>416</v>
      </c>
      <c r="B2318" s="2" t="s">
        <v>433</v>
      </c>
      <c r="C2318" s="2" t="n">
        <v>2</v>
      </c>
      <c r="D2318" s="2" t="s">
        <v>571</v>
      </c>
      <c r="E2318" s="2" t="s">
        <v>13</v>
      </c>
      <c r="F2318" s="2" t="n">
        <v>218</v>
      </c>
      <c r="G2318" s="2" t="n">
        <v>12</v>
      </c>
    </row>
    <row r="2319" customFormat="false" ht="16.5" hidden="false" customHeight="true" outlineLevel="0" collapsed="false">
      <c r="A2319" s="2" t="s">
        <v>416</v>
      </c>
      <c r="B2319" s="2" t="s">
        <v>433</v>
      </c>
      <c r="C2319" s="2" t="n">
        <v>2</v>
      </c>
      <c r="D2319" s="2" t="s">
        <v>571</v>
      </c>
      <c r="E2319" s="2" t="s">
        <v>14</v>
      </c>
      <c r="F2319" s="2" t="n">
        <v>218</v>
      </c>
      <c r="G2319" s="2" t="n">
        <v>16</v>
      </c>
    </row>
    <row r="2320" customFormat="false" ht="16.5" hidden="false" customHeight="true" outlineLevel="0" collapsed="false">
      <c r="A2320" s="2" t="s">
        <v>416</v>
      </c>
      <c r="B2320" s="2" t="s">
        <v>433</v>
      </c>
      <c r="C2320" s="2" t="n">
        <v>2</v>
      </c>
      <c r="D2320" s="2" t="s">
        <v>571</v>
      </c>
      <c r="E2320" s="2" t="s">
        <v>15</v>
      </c>
      <c r="F2320" s="2" t="n">
        <v>218</v>
      </c>
      <c r="G2320" s="2" t="n">
        <v>20</v>
      </c>
    </row>
    <row r="2321" customFormat="false" ht="16.5" hidden="false" customHeight="true" outlineLevel="0" collapsed="false">
      <c r="A2321" s="2" t="s">
        <v>416</v>
      </c>
      <c r="B2321" s="2" t="s">
        <v>433</v>
      </c>
      <c r="C2321" s="2" t="n">
        <v>2</v>
      </c>
      <c r="D2321" s="2" t="s">
        <v>571</v>
      </c>
      <c r="E2321" s="2" t="s">
        <v>16</v>
      </c>
      <c r="F2321" s="2" t="n">
        <v>218</v>
      </c>
      <c r="G2321" s="2" t="n">
        <v>24</v>
      </c>
    </row>
    <row r="2322" customFormat="false" ht="16.5" hidden="false" customHeight="true" outlineLevel="0" collapsed="false">
      <c r="A2322" s="2" t="s">
        <v>416</v>
      </c>
      <c r="B2322" s="2" t="s">
        <v>433</v>
      </c>
      <c r="C2322" s="2" t="n">
        <v>2</v>
      </c>
      <c r="D2322" s="2" t="s">
        <v>571</v>
      </c>
      <c r="E2322" s="2" t="s">
        <v>17</v>
      </c>
      <c r="F2322" s="2" t="n">
        <v>218</v>
      </c>
      <c r="G2322" s="2" t="n">
        <v>28</v>
      </c>
    </row>
    <row r="2323" customFormat="false" ht="16.5" hidden="false" customHeight="true" outlineLevel="0" collapsed="false">
      <c r="A2323" s="2" t="s">
        <v>416</v>
      </c>
      <c r="B2323" s="2" t="s">
        <v>433</v>
      </c>
      <c r="C2323" s="2" t="n">
        <v>2</v>
      </c>
      <c r="D2323" s="2" t="s">
        <v>571</v>
      </c>
      <c r="E2323" s="2" t="s">
        <v>18</v>
      </c>
      <c r="F2323" s="2" t="n">
        <v>218</v>
      </c>
      <c r="G2323" s="2" t="n">
        <v>32</v>
      </c>
    </row>
    <row r="2324" customFormat="false" ht="16.5" hidden="false" customHeight="true" outlineLevel="0" collapsed="false">
      <c r="A2324" s="2" t="s">
        <v>416</v>
      </c>
      <c r="B2324" s="2" t="s">
        <v>433</v>
      </c>
      <c r="C2324" s="2" t="n">
        <v>2</v>
      </c>
      <c r="D2324" s="2" t="s">
        <v>571</v>
      </c>
      <c r="E2324" s="2" t="s">
        <v>19</v>
      </c>
      <c r="F2324" s="2" t="n">
        <v>218</v>
      </c>
      <c r="G2324" s="2" t="n">
        <v>36</v>
      </c>
    </row>
    <row r="2325" customFormat="false" ht="16.5" hidden="false" customHeight="true" outlineLevel="0" collapsed="false">
      <c r="A2325" s="2" t="s">
        <v>416</v>
      </c>
      <c r="B2325" s="2" t="s">
        <v>433</v>
      </c>
      <c r="C2325" s="2" t="n">
        <v>2</v>
      </c>
      <c r="D2325" s="2" t="s">
        <v>571</v>
      </c>
      <c r="E2325" s="2" t="s">
        <v>20</v>
      </c>
      <c r="F2325" s="2" t="n">
        <v>218</v>
      </c>
      <c r="G2325" s="2" t="n">
        <v>40</v>
      </c>
    </row>
    <row r="2326" customFormat="false" ht="16.5" hidden="false" customHeight="true" outlineLevel="0" collapsed="false">
      <c r="A2326" s="2" t="s">
        <v>416</v>
      </c>
      <c r="B2326" s="2" t="s">
        <v>433</v>
      </c>
      <c r="C2326" s="2" t="n">
        <v>2</v>
      </c>
      <c r="D2326" s="2" t="s">
        <v>571</v>
      </c>
      <c r="E2326" s="2" t="s">
        <v>21</v>
      </c>
      <c r="F2326" s="2" t="n">
        <v>218</v>
      </c>
      <c r="G2326" s="2" t="n">
        <v>44</v>
      </c>
    </row>
    <row r="2327" customFormat="false" ht="16.5" hidden="false" customHeight="true" outlineLevel="0" collapsed="false">
      <c r="A2327" s="2" t="s">
        <v>416</v>
      </c>
      <c r="B2327" s="2" t="s">
        <v>433</v>
      </c>
      <c r="C2327" s="2" t="n">
        <v>2</v>
      </c>
      <c r="D2327" s="2" t="s">
        <v>571</v>
      </c>
      <c r="E2327" s="2" t="s">
        <v>22</v>
      </c>
      <c r="F2327" s="2" t="n">
        <v>218</v>
      </c>
      <c r="G2327" s="2" t="n">
        <v>48</v>
      </c>
    </row>
    <row r="2328" customFormat="false" ht="16.5" hidden="false" customHeight="true" outlineLevel="0" collapsed="false">
      <c r="A2328" s="2" t="s">
        <v>416</v>
      </c>
      <c r="B2328" s="2" t="s">
        <v>433</v>
      </c>
      <c r="C2328" s="2" t="n">
        <v>2</v>
      </c>
      <c r="D2328" s="2" t="s">
        <v>571</v>
      </c>
      <c r="E2328" s="2" t="s">
        <v>23</v>
      </c>
      <c r="F2328" s="2" t="n">
        <v>218</v>
      </c>
      <c r="G2328" s="2" t="n">
        <v>52</v>
      </c>
    </row>
    <row r="2329" customFormat="false" ht="16.5" hidden="false" customHeight="true" outlineLevel="0" collapsed="false">
      <c r="A2329" s="2" t="s">
        <v>416</v>
      </c>
      <c r="B2329" s="2" t="s">
        <v>433</v>
      </c>
      <c r="C2329" s="2" t="n">
        <v>2</v>
      </c>
      <c r="D2329" s="2" t="s">
        <v>571</v>
      </c>
      <c r="E2329" s="2" t="s">
        <v>24</v>
      </c>
      <c r="F2329" s="2" t="n">
        <v>220</v>
      </c>
      <c r="G2329" s="2" t="n">
        <v>9</v>
      </c>
    </row>
    <row r="2330" customFormat="false" ht="16.5" hidden="false" customHeight="true" outlineLevel="0" collapsed="false">
      <c r="A2330" s="2" t="s">
        <v>416</v>
      </c>
      <c r="B2330" s="2" t="s">
        <v>433</v>
      </c>
      <c r="C2330" s="2" t="n">
        <v>2</v>
      </c>
      <c r="D2330" s="2" t="s">
        <v>571</v>
      </c>
      <c r="E2330" s="2" t="s">
        <v>25</v>
      </c>
      <c r="F2330" s="2" t="n">
        <v>220</v>
      </c>
      <c r="G2330" s="2" t="n">
        <v>13</v>
      </c>
    </row>
    <row r="2331" customFormat="false" ht="16.5" hidden="false" customHeight="true" outlineLevel="0" collapsed="false">
      <c r="A2331" s="2" t="s">
        <v>416</v>
      </c>
      <c r="B2331" s="2" t="s">
        <v>433</v>
      </c>
      <c r="C2331" s="2" t="n">
        <v>2</v>
      </c>
      <c r="D2331" s="2" t="s">
        <v>571</v>
      </c>
      <c r="E2331" s="2" t="s">
        <v>26</v>
      </c>
      <c r="F2331" s="2" t="n">
        <v>220</v>
      </c>
      <c r="G2331" s="2" t="n">
        <v>17</v>
      </c>
    </row>
    <row r="2332" customFormat="false" ht="16.5" hidden="false" customHeight="true" outlineLevel="0" collapsed="false">
      <c r="A2332" s="2" t="s">
        <v>416</v>
      </c>
      <c r="B2332" s="2" t="s">
        <v>433</v>
      </c>
      <c r="C2332" s="2" t="n">
        <v>2</v>
      </c>
      <c r="D2332" s="2" t="s">
        <v>571</v>
      </c>
      <c r="E2332" s="2" t="s">
        <v>27</v>
      </c>
      <c r="F2332" s="2" t="n">
        <v>220</v>
      </c>
      <c r="G2332" s="2" t="n">
        <v>21</v>
      </c>
    </row>
    <row r="2333" customFormat="false" ht="16.5" hidden="false" customHeight="true" outlineLevel="0" collapsed="false">
      <c r="A2333" s="2" t="s">
        <v>416</v>
      </c>
      <c r="B2333" s="2" t="s">
        <v>433</v>
      </c>
      <c r="C2333" s="2" t="n">
        <v>2</v>
      </c>
      <c r="D2333" s="2" t="s">
        <v>571</v>
      </c>
      <c r="E2333" s="2" t="s">
        <v>28</v>
      </c>
      <c r="F2333" s="2" t="n">
        <v>220</v>
      </c>
      <c r="G2333" s="2" t="n">
        <v>25</v>
      </c>
    </row>
    <row r="2334" customFormat="false" ht="16.5" hidden="false" customHeight="true" outlineLevel="0" collapsed="false">
      <c r="A2334" s="2" t="s">
        <v>416</v>
      </c>
      <c r="B2334" s="2" t="s">
        <v>433</v>
      </c>
      <c r="C2334" s="2" t="n">
        <v>2</v>
      </c>
      <c r="D2334" s="2" t="s">
        <v>571</v>
      </c>
      <c r="E2334" s="2" t="s">
        <v>29</v>
      </c>
      <c r="F2334" s="2" t="n">
        <v>220</v>
      </c>
      <c r="G2334" s="2" t="n">
        <v>29</v>
      </c>
    </row>
    <row r="2335" customFormat="false" ht="16.5" hidden="false" customHeight="true" outlineLevel="0" collapsed="false">
      <c r="A2335" s="2" t="s">
        <v>416</v>
      </c>
      <c r="B2335" s="2" t="s">
        <v>433</v>
      </c>
      <c r="C2335" s="2" t="n">
        <v>2</v>
      </c>
      <c r="D2335" s="2" t="s">
        <v>571</v>
      </c>
      <c r="E2335" s="2" t="s">
        <v>30</v>
      </c>
      <c r="F2335" s="2" t="n">
        <v>220</v>
      </c>
      <c r="G2335" s="2" t="n">
        <v>33</v>
      </c>
    </row>
    <row r="2336" customFormat="false" ht="16.5" hidden="false" customHeight="true" outlineLevel="0" collapsed="false">
      <c r="A2336" s="2" t="s">
        <v>416</v>
      </c>
      <c r="B2336" s="2" t="s">
        <v>433</v>
      </c>
      <c r="C2336" s="2" t="n">
        <v>2</v>
      </c>
      <c r="D2336" s="2" t="s">
        <v>571</v>
      </c>
      <c r="E2336" s="2" t="s">
        <v>31</v>
      </c>
      <c r="F2336" s="2" t="n">
        <v>220</v>
      </c>
      <c r="G2336" s="2" t="n">
        <v>37</v>
      </c>
    </row>
    <row r="2337" customFormat="false" ht="16.5" hidden="false" customHeight="true" outlineLevel="0" collapsed="false">
      <c r="A2337" s="2" t="s">
        <v>416</v>
      </c>
      <c r="B2337" s="2" t="s">
        <v>433</v>
      </c>
      <c r="C2337" s="2" t="n">
        <v>2</v>
      </c>
      <c r="D2337" s="2" t="s">
        <v>571</v>
      </c>
      <c r="E2337" s="2" t="s">
        <v>32</v>
      </c>
      <c r="F2337" s="2" t="n">
        <v>220</v>
      </c>
      <c r="G2337" s="2" t="n">
        <v>41</v>
      </c>
    </row>
    <row r="2338" customFormat="false" ht="16.5" hidden="false" customHeight="true" outlineLevel="0" collapsed="false">
      <c r="A2338" s="2" t="s">
        <v>416</v>
      </c>
      <c r="B2338" s="2" t="s">
        <v>433</v>
      </c>
      <c r="C2338" s="2" t="n">
        <v>2</v>
      </c>
      <c r="D2338" s="2" t="s">
        <v>571</v>
      </c>
      <c r="E2338" s="2" t="s">
        <v>33</v>
      </c>
      <c r="F2338" s="2" t="n">
        <v>220</v>
      </c>
      <c r="G2338" s="2" t="n">
        <v>45</v>
      </c>
    </row>
    <row r="2339" customFormat="false" ht="16.5" hidden="false" customHeight="true" outlineLevel="0" collapsed="false">
      <c r="A2339" s="2" t="s">
        <v>416</v>
      </c>
      <c r="B2339" s="2" t="s">
        <v>433</v>
      </c>
      <c r="C2339" s="2" t="n">
        <v>2</v>
      </c>
      <c r="D2339" s="2" t="s">
        <v>571</v>
      </c>
      <c r="E2339" s="2" t="s">
        <v>34</v>
      </c>
      <c r="F2339" s="2" t="n">
        <v>220</v>
      </c>
      <c r="G2339" s="2" t="n">
        <v>49</v>
      </c>
    </row>
    <row r="2340" customFormat="false" ht="16.5" hidden="false" customHeight="true" outlineLevel="0" collapsed="false">
      <c r="A2340" s="2" t="s">
        <v>416</v>
      </c>
      <c r="B2340" s="2" t="s">
        <v>433</v>
      </c>
      <c r="C2340" s="2" t="n">
        <v>2</v>
      </c>
      <c r="D2340" s="2" t="s">
        <v>571</v>
      </c>
      <c r="E2340" s="2" t="s">
        <v>35</v>
      </c>
      <c r="F2340" s="2" t="n">
        <v>222</v>
      </c>
      <c r="G2340" s="2" t="n">
        <v>11</v>
      </c>
    </row>
    <row r="2341" customFormat="false" ht="16.5" hidden="false" customHeight="true" outlineLevel="0" collapsed="false">
      <c r="A2341" s="2" t="s">
        <v>416</v>
      </c>
      <c r="B2341" s="2" t="s">
        <v>433</v>
      </c>
      <c r="C2341" s="2" t="n">
        <v>2</v>
      </c>
      <c r="D2341" s="2" t="s">
        <v>571</v>
      </c>
      <c r="E2341" s="2" t="s">
        <v>36</v>
      </c>
      <c r="F2341" s="2" t="n">
        <v>222</v>
      </c>
      <c r="G2341" s="2" t="n">
        <v>15</v>
      </c>
    </row>
    <row r="2342" customFormat="false" ht="16.5" hidden="false" customHeight="true" outlineLevel="0" collapsed="false">
      <c r="A2342" s="2" t="s">
        <v>416</v>
      </c>
      <c r="B2342" s="2" t="s">
        <v>433</v>
      </c>
      <c r="C2342" s="2" t="n">
        <v>2</v>
      </c>
      <c r="D2342" s="2" t="s">
        <v>571</v>
      </c>
      <c r="E2342" s="2" t="s">
        <v>37</v>
      </c>
      <c r="F2342" s="2" t="n">
        <v>222</v>
      </c>
      <c r="G2342" s="2" t="n">
        <v>19</v>
      </c>
    </row>
    <row r="2343" customFormat="false" ht="16.5" hidden="false" customHeight="true" outlineLevel="0" collapsed="false">
      <c r="A2343" s="2" t="s">
        <v>416</v>
      </c>
      <c r="B2343" s="2" t="s">
        <v>433</v>
      </c>
      <c r="C2343" s="2" t="n">
        <v>2</v>
      </c>
      <c r="D2343" s="2" t="s">
        <v>571</v>
      </c>
      <c r="E2343" s="2" t="s">
        <v>38</v>
      </c>
      <c r="F2343" s="2" t="n">
        <v>222</v>
      </c>
      <c r="G2343" s="2" t="n">
        <v>23</v>
      </c>
    </row>
    <row r="2344" customFormat="false" ht="16.5" hidden="false" customHeight="true" outlineLevel="0" collapsed="false">
      <c r="A2344" s="2" t="s">
        <v>416</v>
      </c>
      <c r="B2344" s="2" t="s">
        <v>433</v>
      </c>
      <c r="C2344" s="2" t="n">
        <v>2</v>
      </c>
      <c r="D2344" s="2" t="s">
        <v>571</v>
      </c>
      <c r="E2344" s="2" t="s">
        <v>39</v>
      </c>
      <c r="F2344" s="2" t="n">
        <v>222</v>
      </c>
      <c r="G2344" s="2" t="n">
        <v>27</v>
      </c>
    </row>
    <row r="2345" customFormat="false" ht="16.5" hidden="false" customHeight="true" outlineLevel="0" collapsed="false">
      <c r="A2345" s="2" t="s">
        <v>416</v>
      </c>
      <c r="B2345" s="2" t="s">
        <v>433</v>
      </c>
      <c r="C2345" s="2" t="n">
        <v>2</v>
      </c>
      <c r="D2345" s="2" t="s">
        <v>571</v>
      </c>
      <c r="E2345" s="2" t="s">
        <v>40</v>
      </c>
      <c r="F2345" s="2" t="n">
        <v>222</v>
      </c>
      <c r="G2345" s="2" t="n">
        <v>31</v>
      </c>
    </row>
    <row r="2346" customFormat="false" ht="16.5" hidden="false" customHeight="true" outlineLevel="0" collapsed="false">
      <c r="A2346" s="2" t="s">
        <v>416</v>
      </c>
      <c r="B2346" s="2" t="s">
        <v>433</v>
      </c>
      <c r="C2346" s="2" t="n">
        <v>2</v>
      </c>
      <c r="D2346" s="2" t="s">
        <v>571</v>
      </c>
      <c r="E2346" s="2" t="s">
        <v>41</v>
      </c>
      <c r="F2346" s="2" t="n">
        <v>222</v>
      </c>
      <c r="G2346" s="2" t="n">
        <v>35</v>
      </c>
    </row>
    <row r="2347" customFormat="false" ht="16.5" hidden="false" customHeight="true" outlineLevel="0" collapsed="false">
      <c r="A2347" s="2" t="s">
        <v>416</v>
      </c>
      <c r="B2347" s="2" t="s">
        <v>433</v>
      </c>
      <c r="C2347" s="2" t="n">
        <v>2</v>
      </c>
      <c r="D2347" s="2" t="s">
        <v>571</v>
      </c>
      <c r="E2347" s="2" t="s">
        <v>42</v>
      </c>
      <c r="F2347" s="2" t="n">
        <v>222</v>
      </c>
      <c r="G2347" s="2" t="n">
        <v>39</v>
      </c>
    </row>
    <row r="2348" customFormat="false" ht="16.5" hidden="false" customHeight="true" outlineLevel="0" collapsed="false">
      <c r="A2348" s="2" t="s">
        <v>416</v>
      </c>
      <c r="B2348" s="2" t="s">
        <v>433</v>
      </c>
      <c r="C2348" s="2" t="n">
        <v>2</v>
      </c>
      <c r="D2348" s="2" t="s">
        <v>571</v>
      </c>
      <c r="E2348" s="2" t="s">
        <v>43</v>
      </c>
      <c r="F2348" s="2" t="n">
        <v>222</v>
      </c>
      <c r="G2348" s="2" t="n">
        <v>43</v>
      </c>
    </row>
    <row r="2349" customFormat="false" ht="16.5" hidden="false" customHeight="true" outlineLevel="0" collapsed="false">
      <c r="A2349" s="2" t="s">
        <v>416</v>
      </c>
      <c r="B2349" s="2" t="s">
        <v>433</v>
      </c>
      <c r="C2349" s="2" t="n">
        <v>2</v>
      </c>
      <c r="D2349" s="2" t="s">
        <v>571</v>
      </c>
      <c r="E2349" s="2" t="s">
        <v>44</v>
      </c>
      <c r="F2349" s="2" t="n">
        <v>222</v>
      </c>
      <c r="G2349" s="2" t="n">
        <v>47</v>
      </c>
    </row>
    <row r="2350" customFormat="false" ht="16.5" hidden="false" customHeight="true" outlineLevel="0" collapsed="false">
      <c r="A2350" s="2" t="s">
        <v>416</v>
      </c>
      <c r="B2350" s="2" t="s">
        <v>433</v>
      </c>
      <c r="C2350" s="2" t="n">
        <v>2</v>
      </c>
      <c r="D2350" s="2" t="s">
        <v>571</v>
      </c>
      <c r="E2350" s="2" t="s">
        <v>48</v>
      </c>
      <c r="F2350" s="2" t="n">
        <v>224</v>
      </c>
      <c r="G2350" s="2" t="n">
        <v>16</v>
      </c>
    </row>
    <row r="2351" customFormat="false" ht="16.5" hidden="false" customHeight="true" outlineLevel="0" collapsed="false">
      <c r="A2351" s="2" t="s">
        <v>416</v>
      </c>
      <c r="B2351" s="2" t="s">
        <v>433</v>
      </c>
      <c r="C2351" s="2" t="n">
        <v>2</v>
      </c>
      <c r="D2351" s="2" t="s">
        <v>571</v>
      </c>
      <c r="E2351" s="2" t="s">
        <v>50</v>
      </c>
      <c r="F2351" s="2" t="n">
        <v>224</v>
      </c>
      <c r="G2351" s="2" t="n">
        <v>20</v>
      </c>
    </row>
    <row r="2352" customFormat="false" ht="16.5" hidden="false" customHeight="true" outlineLevel="0" collapsed="false">
      <c r="A2352" s="2" t="s">
        <v>416</v>
      </c>
      <c r="B2352" s="2" t="s">
        <v>433</v>
      </c>
      <c r="C2352" s="2" t="n">
        <v>2</v>
      </c>
      <c r="D2352" s="2" t="s">
        <v>571</v>
      </c>
      <c r="E2352" s="2" t="s">
        <v>45</v>
      </c>
      <c r="F2352" s="2" t="n">
        <v>224</v>
      </c>
      <c r="G2352" s="2" t="n">
        <v>38</v>
      </c>
    </row>
    <row r="2353" customFormat="false" ht="16.5" hidden="false" customHeight="true" outlineLevel="0" collapsed="false">
      <c r="A2353" s="2" t="s">
        <v>416</v>
      </c>
      <c r="B2353" s="2" t="s">
        <v>433</v>
      </c>
      <c r="C2353" s="2" t="n">
        <v>2</v>
      </c>
      <c r="D2353" s="2" t="s">
        <v>571</v>
      </c>
      <c r="E2353" s="2" t="s">
        <v>46</v>
      </c>
      <c r="F2353" s="2" t="n">
        <v>224</v>
      </c>
      <c r="G2353" s="2" t="n">
        <v>42</v>
      </c>
    </row>
    <row r="2354" customFormat="false" ht="16.5" hidden="false" customHeight="true" outlineLevel="0" collapsed="false">
      <c r="A2354" s="2" t="s">
        <v>416</v>
      </c>
      <c r="B2354" s="2" t="s">
        <v>434</v>
      </c>
      <c r="C2354" s="2" t="n">
        <v>2</v>
      </c>
      <c r="D2354" s="2" t="s">
        <v>572</v>
      </c>
      <c r="E2354" s="2" t="s">
        <v>0</v>
      </c>
      <c r="F2354" s="2" t="n">
        <v>229</v>
      </c>
      <c r="G2354" s="2" t="n">
        <v>6</v>
      </c>
    </row>
    <row r="2355" customFormat="false" ht="16.5" hidden="false" customHeight="true" outlineLevel="0" collapsed="false">
      <c r="A2355" s="2" t="s">
        <v>416</v>
      </c>
      <c r="B2355" s="2" t="s">
        <v>434</v>
      </c>
      <c r="C2355" s="2" t="n">
        <v>2</v>
      </c>
      <c r="D2355" s="2" t="s">
        <v>572</v>
      </c>
      <c r="E2355" s="2" t="s">
        <v>1</v>
      </c>
      <c r="F2355" s="2" t="n">
        <v>229</v>
      </c>
      <c r="G2355" s="2" t="n">
        <v>10</v>
      </c>
    </row>
    <row r="2356" customFormat="false" ht="16.5" hidden="false" customHeight="true" outlineLevel="0" collapsed="false">
      <c r="A2356" s="2" t="s">
        <v>416</v>
      </c>
      <c r="B2356" s="2" t="s">
        <v>434</v>
      </c>
      <c r="C2356" s="2" t="n">
        <v>2</v>
      </c>
      <c r="D2356" s="2" t="s">
        <v>572</v>
      </c>
      <c r="E2356" s="2" t="s">
        <v>2</v>
      </c>
      <c r="F2356" s="2" t="n">
        <v>229</v>
      </c>
      <c r="G2356" s="2" t="n">
        <v>14</v>
      </c>
    </row>
    <row r="2357" customFormat="false" ht="16.5" hidden="false" customHeight="true" outlineLevel="0" collapsed="false">
      <c r="A2357" s="2" t="s">
        <v>416</v>
      </c>
      <c r="B2357" s="2" t="s">
        <v>434</v>
      </c>
      <c r="C2357" s="2" t="n">
        <v>2</v>
      </c>
      <c r="D2357" s="2" t="s">
        <v>572</v>
      </c>
      <c r="E2357" s="2" t="s">
        <v>3</v>
      </c>
      <c r="F2357" s="2" t="n">
        <v>229</v>
      </c>
      <c r="G2357" s="2" t="n">
        <v>18</v>
      </c>
    </row>
    <row r="2358" customFormat="false" ht="16.5" hidden="false" customHeight="true" outlineLevel="0" collapsed="false">
      <c r="A2358" s="2" t="s">
        <v>416</v>
      </c>
      <c r="B2358" s="2" t="s">
        <v>434</v>
      </c>
      <c r="C2358" s="2" t="n">
        <v>2</v>
      </c>
      <c r="D2358" s="2" t="s">
        <v>572</v>
      </c>
      <c r="E2358" s="2" t="s">
        <v>4</v>
      </c>
      <c r="F2358" s="2" t="n">
        <v>229</v>
      </c>
      <c r="G2358" s="2" t="n">
        <v>22</v>
      </c>
    </row>
    <row r="2359" customFormat="false" ht="16.5" hidden="false" customHeight="true" outlineLevel="0" collapsed="false">
      <c r="A2359" s="2" t="s">
        <v>416</v>
      </c>
      <c r="B2359" s="2" t="s">
        <v>434</v>
      </c>
      <c r="C2359" s="2" t="n">
        <v>2</v>
      </c>
      <c r="D2359" s="2" t="s">
        <v>572</v>
      </c>
      <c r="E2359" s="2" t="s">
        <v>5</v>
      </c>
      <c r="F2359" s="2" t="n">
        <v>229</v>
      </c>
      <c r="G2359" s="2" t="n">
        <v>26</v>
      </c>
    </row>
    <row r="2360" customFormat="false" ht="16.5" hidden="false" customHeight="true" outlineLevel="0" collapsed="false">
      <c r="A2360" s="2" t="s">
        <v>416</v>
      </c>
      <c r="B2360" s="2" t="s">
        <v>434</v>
      </c>
      <c r="C2360" s="2" t="n">
        <v>2</v>
      </c>
      <c r="D2360" s="2" t="s">
        <v>572</v>
      </c>
      <c r="E2360" s="2" t="s">
        <v>6</v>
      </c>
      <c r="F2360" s="2" t="n">
        <v>229</v>
      </c>
      <c r="G2360" s="2" t="n">
        <v>30</v>
      </c>
    </row>
    <row r="2361" customFormat="false" ht="16.5" hidden="false" customHeight="true" outlineLevel="0" collapsed="false">
      <c r="A2361" s="2" t="s">
        <v>416</v>
      </c>
      <c r="B2361" s="2" t="s">
        <v>434</v>
      </c>
      <c r="C2361" s="2" t="n">
        <v>2</v>
      </c>
      <c r="D2361" s="2" t="s">
        <v>572</v>
      </c>
      <c r="E2361" s="2" t="s">
        <v>7</v>
      </c>
      <c r="F2361" s="2" t="n">
        <v>229</v>
      </c>
      <c r="G2361" s="2" t="n">
        <v>34</v>
      </c>
    </row>
    <row r="2362" customFormat="false" ht="16.5" hidden="false" customHeight="true" outlineLevel="0" collapsed="false">
      <c r="A2362" s="2" t="s">
        <v>416</v>
      </c>
      <c r="B2362" s="2" t="s">
        <v>434</v>
      </c>
      <c r="C2362" s="2" t="n">
        <v>2</v>
      </c>
      <c r="D2362" s="2" t="s">
        <v>572</v>
      </c>
      <c r="E2362" s="2" t="s">
        <v>8</v>
      </c>
      <c r="F2362" s="2" t="n">
        <v>229</v>
      </c>
      <c r="G2362" s="2" t="n">
        <v>38</v>
      </c>
    </row>
    <row r="2363" customFormat="false" ht="16.5" hidden="false" customHeight="true" outlineLevel="0" collapsed="false">
      <c r="A2363" s="2" t="s">
        <v>416</v>
      </c>
      <c r="B2363" s="2" t="s">
        <v>434</v>
      </c>
      <c r="C2363" s="2" t="n">
        <v>2</v>
      </c>
      <c r="D2363" s="2" t="s">
        <v>572</v>
      </c>
      <c r="E2363" s="2" t="s">
        <v>9</v>
      </c>
      <c r="F2363" s="2" t="n">
        <v>229</v>
      </c>
      <c r="G2363" s="2" t="n">
        <v>42</v>
      </c>
    </row>
    <row r="2364" customFormat="false" ht="16.5" hidden="false" customHeight="true" outlineLevel="0" collapsed="false">
      <c r="A2364" s="2" t="s">
        <v>416</v>
      </c>
      <c r="B2364" s="2" t="s">
        <v>434</v>
      </c>
      <c r="C2364" s="2" t="n">
        <v>2</v>
      </c>
      <c r="D2364" s="2" t="s">
        <v>572</v>
      </c>
      <c r="E2364" s="2" t="s">
        <v>10</v>
      </c>
      <c r="F2364" s="2" t="n">
        <v>229</v>
      </c>
      <c r="G2364" s="2" t="n">
        <v>46</v>
      </c>
    </row>
    <row r="2365" customFormat="false" ht="16.5" hidden="false" customHeight="true" outlineLevel="0" collapsed="false">
      <c r="A2365" s="2" t="s">
        <v>416</v>
      </c>
      <c r="B2365" s="2" t="s">
        <v>434</v>
      </c>
      <c r="C2365" s="2" t="n">
        <v>2</v>
      </c>
      <c r="D2365" s="2" t="s">
        <v>572</v>
      </c>
      <c r="E2365" s="2" t="s">
        <v>11</v>
      </c>
      <c r="F2365" s="2" t="n">
        <v>229</v>
      </c>
      <c r="G2365" s="2" t="n">
        <v>50</v>
      </c>
    </row>
    <row r="2366" customFormat="false" ht="16.5" hidden="false" customHeight="true" outlineLevel="0" collapsed="false">
      <c r="A2366" s="2" t="s">
        <v>416</v>
      </c>
      <c r="B2366" s="2" t="s">
        <v>434</v>
      </c>
      <c r="C2366" s="2" t="n">
        <v>2</v>
      </c>
      <c r="D2366" s="2" t="s">
        <v>572</v>
      </c>
      <c r="E2366" s="2" t="s">
        <v>12</v>
      </c>
      <c r="F2366" s="2" t="n">
        <v>231</v>
      </c>
      <c r="G2366" s="2" t="n">
        <v>8</v>
      </c>
    </row>
    <row r="2367" customFormat="false" ht="16.5" hidden="false" customHeight="true" outlineLevel="0" collapsed="false">
      <c r="A2367" s="2" t="s">
        <v>416</v>
      </c>
      <c r="B2367" s="2" t="s">
        <v>434</v>
      </c>
      <c r="C2367" s="2" t="n">
        <v>2</v>
      </c>
      <c r="D2367" s="2" t="s">
        <v>572</v>
      </c>
      <c r="E2367" s="2" t="s">
        <v>13</v>
      </c>
      <c r="F2367" s="2" t="n">
        <v>231</v>
      </c>
      <c r="G2367" s="2" t="n">
        <v>12</v>
      </c>
    </row>
    <row r="2368" customFormat="false" ht="16.5" hidden="false" customHeight="true" outlineLevel="0" collapsed="false">
      <c r="A2368" s="2" t="s">
        <v>416</v>
      </c>
      <c r="B2368" s="2" t="s">
        <v>434</v>
      </c>
      <c r="C2368" s="2" t="n">
        <v>2</v>
      </c>
      <c r="D2368" s="2" t="s">
        <v>572</v>
      </c>
      <c r="E2368" s="2" t="s">
        <v>14</v>
      </c>
      <c r="F2368" s="2" t="n">
        <v>231</v>
      </c>
      <c r="G2368" s="2" t="n">
        <v>16</v>
      </c>
    </row>
    <row r="2369" customFormat="false" ht="16.5" hidden="false" customHeight="true" outlineLevel="0" collapsed="false">
      <c r="A2369" s="2" t="s">
        <v>416</v>
      </c>
      <c r="B2369" s="2" t="s">
        <v>434</v>
      </c>
      <c r="C2369" s="2" t="n">
        <v>2</v>
      </c>
      <c r="D2369" s="2" t="s">
        <v>572</v>
      </c>
      <c r="E2369" s="2" t="s">
        <v>15</v>
      </c>
      <c r="F2369" s="2" t="n">
        <v>231</v>
      </c>
      <c r="G2369" s="2" t="n">
        <v>20</v>
      </c>
    </row>
    <row r="2370" customFormat="false" ht="16.5" hidden="false" customHeight="true" outlineLevel="0" collapsed="false">
      <c r="A2370" s="2" t="s">
        <v>416</v>
      </c>
      <c r="B2370" s="2" t="s">
        <v>434</v>
      </c>
      <c r="C2370" s="2" t="n">
        <v>2</v>
      </c>
      <c r="D2370" s="2" t="s">
        <v>572</v>
      </c>
      <c r="E2370" s="2" t="s">
        <v>16</v>
      </c>
      <c r="F2370" s="2" t="n">
        <v>231</v>
      </c>
      <c r="G2370" s="2" t="n">
        <v>24</v>
      </c>
    </row>
    <row r="2371" customFormat="false" ht="16.5" hidden="false" customHeight="true" outlineLevel="0" collapsed="false">
      <c r="A2371" s="2" t="s">
        <v>416</v>
      </c>
      <c r="B2371" s="2" t="s">
        <v>434</v>
      </c>
      <c r="C2371" s="2" t="n">
        <v>2</v>
      </c>
      <c r="D2371" s="2" t="s">
        <v>572</v>
      </c>
      <c r="E2371" s="2" t="s">
        <v>17</v>
      </c>
      <c r="F2371" s="2" t="n">
        <v>231</v>
      </c>
      <c r="G2371" s="2" t="n">
        <v>28</v>
      </c>
    </row>
    <row r="2372" customFormat="false" ht="16.5" hidden="false" customHeight="true" outlineLevel="0" collapsed="false">
      <c r="A2372" s="2" t="s">
        <v>416</v>
      </c>
      <c r="B2372" s="2" t="s">
        <v>434</v>
      </c>
      <c r="C2372" s="2" t="n">
        <v>2</v>
      </c>
      <c r="D2372" s="2" t="s">
        <v>572</v>
      </c>
      <c r="E2372" s="2" t="s">
        <v>18</v>
      </c>
      <c r="F2372" s="2" t="n">
        <v>231</v>
      </c>
      <c r="G2372" s="2" t="n">
        <v>32</v>
      </c>
    </row>
    <row r="2373" customFormat="false" ht="16.5" hidden="false" customHeight="true" outlineLevel="0" collapsed="false">
      <c r="A2373" s="2" t="s">
        <v>416</v>
      </c>
      <c r="B2373" s="2" t="s">
        <v>434</v>
      </c>
      <c r="C2373" s="2" t="n">
        <v>2</v>
      </c>
      <c r="D2373" s="2" t="s">
        <v>572</v>
      </c>
      <c r="E2373" s="2" t="s">
        <v>19</v>
      </c>
      <c r="F2373" s="2" t="n">
        <v>231</v>
      </c>
      <c r="G2373" s="2" t="n">
        <v>36</v>
      </c>
    </row>
    <row r="2374" customFormat="false" ht="16.5" hidden="false" customHeight="true" outlineLevel="0" collapsed="false">
      <c r="A2374" s="2" t="s">
        <v>416</v>
      </c>
      <c r="B2374" s="2" t="s">
        <v>434</v>
      </c>
      <c r="C2374" s="2" t="n">
        <v>2</v>
      </c>
      <c r="D2374" s="2" t="s">
        <v>572</v>
      </c>
      <c r="E2374" s="2" t="s">
        <v>20</v>
      </c>
      <c r="F2374" s="2" t="n">
        <v>231</v>
      </c>
      <c r="G2374" s="2" t="n">
        <v>40</v>
      </c>
    </row>
    <row r="2375" customFormat="false" ht="16.5" hidden="false" customHeight="true" outlineLevel="0" collapsed="false">
      <c r="A2375" s="2" t="s">
        <v>416</v>
      </c>
      <c r="B2375" s="2" t="s">
        <v>434</v>
      </c>
      <c r="C2375" s="2" t="n">
        <v>2</v>
      </c>
      <c r="D2375" s="2" t="s">
        <v>572</v>
      </c>
      <c r="E2375" s="2" t="s">
        <v>21</v>
      </c>
      <c r="F2375" s="2" t="n">
        <v>231</v>
      </c>
      <c r="G2375" s="2" t="n">
        <v>44</v>
      </c>
    </row>
    <row r="2376" customFormat="false" ht="16.5" hidden="false" customHeight="true" outlineLevel="0" collapsed="false">
      <c r="A2376" s="2" t="s">
        <v>416</v>
      </c>
      <c r="B2376" s="2" t="s">
        <v>434</v>
      </c>
      <c r="C2376" s="2" t="n">
        <v>2</v>
      </c>
      <c r="D2376" s="2" t="s">
        <v>572</v>
      </c>
      <c r="E2376" s="2" t="s">
        <v>22</v>
      </c>
      <c r="F2376" s="2" t="n">
        <v>231</v>
      </c>
      <c r="G2376" s="2" t="n">
        <v>48</v>
      </c>
    </row>
    <row r="2377" customFormat="false" ht="16.5" hidden="false" customHeight="true" outlineLevel="0" collapsed="false">
      <c r="A2377" s="2" t="s">
        <v>416</v>
      </c>
      <c r="B2377" s="2" t="s">
        <v>434</v>
      </c>
      <c r="C2377" s="2" t="n">
        <v>2</v>
      </c>
      <c r="D2377" s="2" t="s">
        <v>572</v>
      </c>
      <c r="E2377" s="2" t="s">
        <v>23</v>
      </c>
      <c r="F2377" s="2" t="n">
        <v>231</v>
      </c>
      <c r="G2377" s="2" t="n">
        <v>52</v>
      </c>
    </row>
    <row r="2378" customFormat="false" ht="16.5" hidden="false" customHeight="true" outlineLevel="0" collapsed="false">
      <c r="A2378" s="2" t="s">
        <v>416</v>
      </c>
      <c r="B2378" s="2" t="s">
        <v>434</v>
      </c>
      <c r="C2378" s="2" t="n">
        <v>2</v>
      </c>
      <c r="D2378" s="2" t="s">
        <v>572</v>
      </c>
      <c r="E2378" s="2" t="s">
        <v>24</v>
      </c>
      <c r="F2378" s="2" t="n">
        <v>233</v>
      </c>
      <c r="G2378" s="2" t="n">
        <v>9</v>
      </c>
    </row>
    <row r="2379" customFormat="false" ht="16.5" hidden="false" customHeight="true" outlineLevel="0" collapsed="false">
      <c r="A2379" s="2" t="s">
        <v>416</v>
      </c>
      <c r="B2379" s="2" t="s">
        <v>434</v>
      </c>
      <c r="C2379" s="2" t="n">
        <v>2</v>
      </c>
      <c r="D2379" s="2" t="s">
        <v>572</v>
      </c>
      <c r="E2379" s="2" t="s">
        <v>25</v>
      </c>
      <c r="F2379" s="2" t="n">
        <v>233</v>
      </c>
      <c r="G2379" s="2" t="n">
        <v>13</v>
      </c>
    </row>
    <row r="2380" customFormat="false" ht="16.5" hidden="false" customHeight="true" outlineLevel="0" collapsed="false">
      <c r="A2380" s="2" t="s">
        <v>416</v>
      </c>
      <c r="B2380" s="2" t="s">
        <v>434</v>
      </c>
      <c r="C2380" s="2" t="n">
        <v>2</v>
      </c>
      <c r="D2380" s="2" t="s">
        <v>572</v>
      </c>
      <c r="E2380" s="2" t="s">
        <v>26</v>
      </c>
      <c r="F2380" s="2" t="n">
        <v>233</v>
      </c>
      <c r="G2380" s="2" t="n">
        <v>17</v>
      </c>
    </row>
    <row r="2381" customFormat="false" ht="16.5" hidden="false" customHeight="true" outlineLevel="0" collapsed="false">
      <c r="A2381" s="2" t="s">
        <v>416</v>
      </c>
      <c r="B2381" s="2" t="s">
        <v>434</v>
      </c>
      <c r="C2381" s="2" t="n">
        <v>2</v>
      </c>
      <c r="D2381" s="2" t="s">
        <v>572</v>
      </c>
      <c r="E2381" s="2" t="s">
        <v>27</v>
      </c>
      <c r="F2381" s="2" t="n">
        <v>233</v>
      </c>
      <c r="G2381" s="2" t="n">
        <v>21</v>
      </c>
    </row>
    <row r="2382" customFormat="false" ht="16.5" hidden="false" customHeight="true" outlineLevel="0" collapsed="false">
      <c r="A2382" s="2" t="s">
        <v>416</v>
      </c>
      <c r="B2382" s="2" t="s">
        <v>434</v>
      </c>
      <c r="C2382" s="2" t="n">
        <v>2</v>
      </c>
      <c r="D2382" s="2" t="s">
        <v>572</v>
      </c>
      <c r="E2382" s="2" t="s">
        <v>28</v>
      </c>
      <c r="F2382" s="2" t="n">
        <v>233</v>
      </c>
      <c r="G2382" s="2" t="n">
        <v>25</v>
      </c>
    </row>
    <row r="2383" customFormat="false" ht="16.5" hidden="false" customHeight="true" outlineLevel="0" collapsed="false">
      <c r="A2383" s="2" t="s">
        <v>416</v>
      </c>
      <c r="B2383" s="2" t="s">
        <v>434</v>
      </c>
      <c r="C2383" s="2" t="n">
        <v>2</v>
      </c>
      <c r="D2383" s="2" t="s">
        <v>572</v>
      </c>
      <c r="E2383" s="2" t="s">
        <v>29</v>
      </c>
      <c r="F2383" s="2" t="n">
        <v>233</v>
      </c>
      <c r="G2383" s="2" t="n">
        <v>29</v>
      </c>
    </row>
    <row r="2384" customFormat="false" ht="16.5" hidden="false" customHeight="true" outlineLevel="0" collapsed="false">
      <c r="A2384" s="2" t="s">
        <v>416</v>
      </c>
      <c r="B2384" s="2" t="s">
        <v>434</v>
      </c>
      <c r="C2384" s="2" t="n">
        <v>2</v>
      </c>
      <c r="D2384" s="2" t="s">
        <v>572</v>
      </c>
      <c r="E2384" s="2" t="s">
        <v>30</v>
      </c>
      <c r="F2384" s="2" t="n">
        <v>233</v>
      </c>
      <c r="G2384" s="2" t="n">
        <v>33</v>
      </c>
    </row>
    <row r="2385" customFormat="false" ht="16.5" hidden="false" customHeight="true" outlineLevel="0" collapsed="false">
      <c r="A2385" s="2" t="s">
        <v>416</v>
      </c>
      <c r="B2385" s="2" t="s">
        <v>434</v>
      </c>
      <c r="C2385" s="2" t="n">
        <v>2</v>
      </c>
      <c r="D2385" s="2" t="s">
        <v>572</v>
      </c>
      <c r="E2385" s="2" t="s">
        <v>31</v>
      </c>
      <c r="F2385" s="2" t="n">
        <v>233</v>
      </c>
      <c r="G2385" s="2" t="n">
        <v>37</v>
      </c>
    </row>
    <row r="2386" customFormat="false" ht="16.5" hidden="false" customHeight="true" outlineLevel="0" collapsed="false">
      <c r="A2386" s="2" t="s">
        <v>416</v>
      </c>
      <c r="B2386" s="2" t="s">
        <v>434</v>
      </c>
      <c r="C2386" s="2" t="n">
        <v>2</v>
      </c>
      <c r="D2386" s="2" t="s">
        <v>572</v>
      </c>
      <c r="E2386" s="2" t="s">
        <v>32</v>
      </c>
      <c r="F2386" s="2" t="n">
        <v>233</v>
      </c>
      <c r="G2386" s="2" t="n">
        <v>41</v>
      </c>
    </row>
    <row r="2387" customFormat="false" ht="16.5" hidden="false" customHeight="true" outlineLevel="0" collapsed="false">
      <c r="A2387" s="2" t="s">
        <v>416</v>
      </c>
      <c r="B2387" s="2" t="s">
        <v>434</v>
      </c>
      <c r="C2387" s="2" t="n">
        <v>2</v>
      </c>
      <c r="D2387" s="2" t="s">
        <v>572</v>
      </c>
      <c r="E2387" s="2" t="s">
        <v>33</v>
      </c>
      <c r="F2387" s="2" t="n">
        <v>233</v>
      </c>
      <c r="G2387" s="2" t="n">
        <v>45</v>
      </c>
    </row>
    <row r="2388" customFormat="false" ht="16.5" hidden="false" customHeight="true" outlineLevel="0" collapsed="false">
      <c r="A2388" s="2" t="s">
        <v>416</v>
      </c>
      <c r="B2388" s="2" t="s">
        <v>434</v>
      </c>
      <c r="C2388" s="2" t="n">
        <v>2</v>
      </c>
      <c r="D2388" s="2" t="s">
        <v>572</v>
      </c>
      <c r="E2388" s="2" t="s">
        <v>34</v>
      </c>
      <c r="F2388" s="2" t="n">
        <v>233</v>
      </c>
      <c r="G2388" s="2" t="n">
        <v>49</v>
      </c>
    </row>
    <row r="2389" customFormat="false" ht="16.5" hidden="false" customHeight="true" outlineLevel="0" collapsed="false">
      <c r="A2389" s="2" t="s">
        <v>416</v>
      </c>
      <c r="B2389" s="2" t="s">
        <v>434</v>
      </c>
      <c r="C2389" s="2" t="n">
        <v>2</v>
      </c>
      <c r="D2389" s="2" t="s">
        <v>572</v>
      </c>
      <c r="E2389" s="2" t="s">
        <v>35</v>
      </c>
      <c r="F2389" s="2" t="n">
        <v>235</v>
      </c>
      <c r="G2389" s="2" t="n">
        <v>11</v>
      </c>
    </row>
    <row r="2390" customFormat="false" ht="16.5" hidden="false" customHeight="true" outlineLevel="0" collapsed="false">
      <c r="A2390" s="2" t="s">
        <v>416</v>
      </c>
      <c r="B2390" s="2" t="s">
        <v>434</v>
      </c>
      <c r="C2390" s="2" t="n">
        <v>2</v>
      </c>
      <c r="D2390" s="2" t="s">
        <v>572</v>
      </c>
      <c r="E2390" s="2" t="s">
        <v>36</v>
      </c>
      <c r="F2390" s="2" t="n">
        <v>235</v>
      </c>
      <c r="G2390" s="2" t="n">
        <v>15</v>
      </c>
    </row>
    <row r="2391" customFormat="false" ht="16.5" hidden="false" customHeight="true" outlineLevel="0" collapsed="false">
      <c r="A2391" s="2" t="s">
        <v>416</v>
      </c>
      <c r="B2391" s="2" t="s">
        <v>434</v>
      </c>
      <c r="C2391" s="2" t="n">
        <v>2</v>
      </c>
      <c r="D2391" s="2" t="s">
        <v>572</v>
      </c>
      <c r="E2391" s="2" t="s">
        <v>37</v>
      </c>
      <c r="F2391" s="2" t="n">
        <v>235</v>
      </c>
      <c r="G2391" s="2" t="n">
        <v>19</v>
      </c>
    </row>
    <row r="2392" customFormat="false" ht="16.5" hidden="false" customHeight="true" outlineLevel="0" collapsed="false">
      <c r="A2392" s="2" t="s">
        <v>416</v>
      </c>
      <c r="B2392" s="2" t="s">
        <v>434</v>
      </c>
      <c r="C2392" s="2" t="n">
        <v>2</v>
      </c>
      <c r="D2392" s="2" t="s">
        <v>572</v>
      </c>
      <c r="E2392" s="2" t="s">
        <v>38</v>
      </c>
      <c r="F2392" s="2" t="n">
        <v>235</v>
      </c>
      <c r="G2392" s="2" t="n">
        <v>23</v>
      </c>
    </row>
    <row r="2393" customFormat="false" ht="16.5" hidden="false" customHeight="true" outlineLevel="0" collapsed="false">
      <c r="A2393" s="2" t="s">
        <v>416</v>
      </c>
      <c r="B2393" s="2" t="s">
        <v>434</v>
      </c>
      <c r="C2393" s="2" t="n">
        <v>2</v>
      </c>
      <c r="D2393" s="2" t="s">
        <v>572</v>
      </c>
      <c r="E2393" s="2" t="s">
        <v>39</v>
      </c>
      <c r="F2393" s="2" t="n">
        <v>235</v>
      </c>
      <c r="G2393" s="2" t="n">
        <v>27</v>
      </c>
    </row>
    <row r="2394" customFormat="false" ht="16.5" hidden="false" customHeight="true" outlineLevel="0" collapsed="false">
      <c r="A2394" s="2" t="s">
        <v>416</v>
      </c>
      <c r="B2394" s="2" t="s">
        <v>434</v>
      </c>
      <c r="C2394" s="2" t="n">
        <v>2</v>
      </c>
      <c r="D2394" s="2" t="s">
        <v>572</v>
      </c>
      <c r="E2394" s="2" t="s">
        <v>40</v>
      </c>
      <c r="F2394" s="2" t="n">
        <v>235</v>
      </c>
      <c r="G2394" s="2" t="n">
        <v>31</v>
      </c>
    </row>
    <row r="2395" customFormat="false" ht="16.5" hidden="false" customHeight="true" outlineLevel="0" collapsed="false">
      <c r="A2395" s="2" t="s">
        <v>416</v>
      </c>
      <c r="B2395" s="2" t="s">
        <v>434</v>
      </c>
      <c r="C2395" s="2" t="n">
        <v>2</v>
      </c>
      <c r="D2395" s="2" t="s">
        <v>572</v>
      </c>
      <c r="E2395" s="2" t="s">
        <v>41</v>
      </c>
      <c r="F2395" s="2" t="n">
        <v>235</v>
      </c>
      <c r="G2395" s="2" t="n">
        <v>35</v>
      </c>
    </row>
    <row r="2396" customFormat="false" ht="16.5" hidden="false" customHeight="true" outlineLevel="0" collapsed="false">
      <c r="A2396" s="2" t="s">
        <v>416</v>
      </c>
      <c r="B2396" s="2" t="s">
        <v>434</v>
      </c>
      <c r="C2396" s="2" t="n">
        <v>2</v>
      </c>
      <c r="D2396" s="2" t="s">
        <v>572</v>
      </c>
      <c r="E2396" s="2" t="s">
        <v>42</v>
      </c>
      <c r="F2396" s="2" t="n">
        <v>235</v>
      </c>
      <c r="G2396" s="2" t="n">
        <v>39</v>
      </c>
    </row>
    <row r="2397" customFormat="false" ht="16.5" hidden="false" customHeight="true" outlineLevel="0" collapsed="false">
      <c r="A2397" s="2" t="s">
        <v>416</v>
      </c>
      <c r="B2397" s="2" t="s">
        <v>434</v>
      </c>
      <c r="C2397" s="2" t="n">
        <v>2</v>
      </c>
      <c r="D2397" s="2" t="s">
        <v>572</v>
      </c>
      <c r="E2397" s="2" t="s">
        <v>43</v>
      </c>
      <c r="F2397" s="2" t="n">
        <v>235</v>
      </c>
      <c r="G2397" s="2" t="n">
        <v>43</v>
      </c>
    </row>
    <row r="2398" customFormat="false" ht="16.5" hidden="false" customHeight="true" outlineLevel="0" collapsed="false">
      <c r="A2398" s="2" t="s">
        <v>416</v>
      </c>
      <c r="B2398" s="2" t="s">
        <v>434</v>
      </c>
      <c r="C2398" s="2" t="n">
        <v>2</v>
      </c>
      <c r="D2398" s="2" t="s">
        <v>572</v>
      </c>
      <c r="E2398" s="2" t="s">
        <v>44</v>
      </c>
      <c r="F2398" s="2" t="n">
        <v>235</v>
      </c>
      <c r="G2398" s="2" t="n">
        <v>47</v>
      </c>
    </row>
    <row r="2399" customFormat="false" ht="16.5" hidden="false" customHeight="true" outlineLevel="0" collapsed="false">
      <c r="A2399" s="2" t="s">
        <v>416</v>
      </c>
      <c r="B2399" s="2" t="s">
        <v>434</v>
      </c>
      <c r="C2399" s="2" t="n">
        <v>2</v>
      </c>
      <c r="D2399" s="2" t="s">
        <v>572</v>
      </c>
      <c r="E2399" s="2" t="s">
        <v>48</v>
      </c>
      <c r="F2399" s="2" t="n">
        <v>237</v>
      </c>
      <c r="G2399" s="2" t="n">
        <v>16</v>
      </c>
    </row>
    <row r="2400" customFormat="false" ht="16.5" hidden="false" customHeight="true" outlineLevel="0" collapsed="false">
      <c r="A2400" s="2" t="s">
        <v>416</v>
      </c>
      <c r="B2400" s="2" t="s">
        <v>434</v>
      </c>
      <c r="C2400" s="2" t="n">
        <v>2</v>
      </c>
      <c r="D2400" s="2" t="s">
        <v>572</v>
      </c>
      <c r="E2400" s="2" t="s">
        <v>50</v>
      </c>
      <c r="F2400" s="2" t="n">
        <v>237</v>
      </c>
      <c r="G2400" s="2" t="n">
        <v>20</v>
      </c>
    </row>
    <row r="2401" customFormat="false" ht="16.5" hidden="false" customHeight="true" outlineLevel="0" collapsed="false">
      <c r="A2401" s="2" t="s">
        <v>416</v>
      </c>
      <c r="B2401" s="2" t="s">
        <v>434</v>
      </c>
      <c r="C2401" s="2" t="n">
        <v>2</v>
      </c>
      <c r="D2401" s="2" t="s">
        <v>572</v>
      </c>
      <c r="E2401" s="2" t="s">
        <v>45</v>
      </c>
      <c r="F2401" s="2" t="n">
        <v>237</v>
      </c>
      <c r="G2401" s="2" t="n">
        <v>38</v>
      </c>
    </row>
    <row r="2402" customFormat="false" ht="16.5" hidden="false" customHeight="true" outlineLevel="0" collapsed="false">
      <c r="A2402" s="2" t="s">
        <v>416</v>
      </c>
      <c r="B2402" s="2" t="s">
        <v>434</v>
      </c>
      <c r="C2402" s="2" t="n">
        <v>2</v>
      </c>
      <c r="D2402" s="2" t="s">
        <v>572</v>
      </c>
      <c r="E2402" s="2" t="s">
        <v>46</v>
      </c>
      <c r="F2402" s="2" t="n">
        <v>237</v>
      </c>
      <c r="G2402" s="2" t="n">
        <v>42</v>
      </c>
    </row>
    <row r="2403" customFormat="false" ht="16.5" hidden="false" customHeight="true" outlineLevel="0" collapsed="false">
      <c r="A2403" s="2" t="s">
        <v>416</v>
      </c>
      <c r="B2403" s="2" t="s">
        <v>435</v>
      </c>
      <c r="C2403" s="2" t="n">
        <v>2</v>
      </c>
      <c r="D2403" s="2" t="s">
        <v>573</v>
      </c>
      <c r="E2403" s="2" t="s">
        <v>0</v>
      </c>
      <c r="F2403" s="2" t="n">
        <v>242</v>
      </c>
      <c r="G2403" s="2" t="n">
        <v>6</v>
      </c>
    </row>
    <row r="2404" customFormat="false" ht="16.5" hidden="false" customHeight="true" outlineLevel="0" collapsed="false">
      <c r="A2404" s="2" t="s">
        <v>416</v>
      </c>
      <c r="B2404" s="2" t="s">
        <v>435</v>
      </c>
      <c r="C2404" s="2" t="n">
        <v>2</v>
      </c>
      <c r="D2404" s="2" t="s">
        <v>573</v>
      </c>
      <c r="E2404" s="2" t="s">
        <v>1</v>
      </c>
      <c r="F2404" s="2" t="n">
        <v>242</v>
      </c>
      <c r="G2404" s="2" t="n">
        <v>10</v>
      </c>
    </row>
    <row r="2405" customFormat="false" ht="16.5" hidden="false" customHeight="true" outlineLevel="0" collapsed="false">
      <c r="A2405" s="2" t="s">
        <v>416</v>
      </c>
      <c r="B2405" s="2" t="s">
        <v>435</v>
      </c>
      <c r="C2405" s="2" t="n">
        <v>2</v>
      </c>
      <c r="D2405" s="2" t="s">
        <v>573</v>
      </c>
      <c r="E2405" s="2" t="s">
        <v>2</v>
      </c>
      <c r="F2405" s="2" t="n">
        <v>242</v>
      </c>
      <c r="G2405" s="2" t="n">
        <v>14</v>
      </c>
    </row>
    <row r="2406" customFormat="false" ht="16.5" hidden="false" customHeight="true" outlineLevel="0" collapsed="false">
      <c r="A2406" s="2" t="s">
        <v>416</v>
      </c>
      <c r="B2406" s="2" t="s">
        <v>435</v>
      </c>
      <c r="C2406" s="2" t="n">
        <v>2</v>
      </c>
      <c r="D2406" s="2" t="s">
        <v>573</v>
      </c>
      <c r="E2406" s="2" t="s">
        <v>3</v>
      </c>
      <c r="F2406" s="2" t="n">
        <v>242</v>
      </c>
      <c r="G2406" s="2" t="n">
        <v>18</v>
      </c>
    </row>
    <row r="2407" customFormat="false" ht="16.5" hidden="false" customHeight="true" outlineLevel="0" collapsed="false">
      <c r="A2407" s="2" t="s">
        <v>416</v>
      </c>
      <c r="B2407" s="2" t="s">
        <v>435</v>
      </c>
      <c r="C2407" s="2" t="n">
        <v>2</v>
      </c>
      <c r="D2407" s="2" t="s">
        <v>573</v>
      </c>
      <c r="E2407" s="2" t="s">
        <v>4</v>
      </c>
      <c r="F2407" s="2" t="n">
        <v>242</v>
      </c>
      <c r="G2407" s="2" t="n">
        <v>22</v>
      </c>
    </row>
    <row r="2408" customFormat="false" ht="16.5" hidden="false" customHeight="true" outlineLevel="0" collapsed="false">
      <c r="A2408" s="2" t="s">
        <v>416</v>
      </c>
      <c r="B2408" s="2" t="s">
        <v>435</v>
      </c>
      <c r="C2408" s="2" t="n">
        <v>2</v>
      </c>
      <c r="D2408" s="2" t="s">
        <v>573</v>
      </c>
      <c r="E2408" s="2" t="s">
        <v>5</v>
      </c>
      <c r="F2408" s="2" t="n">
        <v>242</v>
      </c>
      <c r="G2408" s="2" t="n">
        <v>26</v>
      </c>
    </row>
    <row r="2409" customFormat="false" ht="16.5" hidden="false" customHeight="true" outlineLevel="0" collapsed="false">
      <c r="A2409" s="2" t="s">
        <v>416</v>
      </c>
      <c r="B2409" s="2" t="s">
        <v>435</v>
      </c>
      <c r="C2409" s="2" t="n">
        <v>2</v>
      </c>
      <c r="D2409" s="2" t="s">
        <v>573</v>
      </c>
      <c r="E2409" s="2" t="s">
        <v>6</v>
      </c>
      <c r="F2409" s="2" t="n">
        <v>242</v>
      </c>
      <c r="G2409" s="2" t="n">
        <v>30</v>
      </c>
    </row>
    <row r="2410" customFormat="false" ht="16.5" hidden="false" customHeight="true" outlineLevel="0" collapsed="false">
      <c r="A2410" s="2" t="s">
        <v>416</v>
      </c>
      <c r="B2410" s="2" t="s">
        <v>435</v>
      </c>
      <c r="C2410" s="2" t="n">
        <v>2</v>
      </c>
      <c r="D2410" s="2" t="s">
        <v>573</v>
      </c>
      <c r="E2410" s="2" t="s">
        <v>7</v>
      </c>
      <c r="F2410" s="2" t="n">
        <v>242</v>
      </c>
      <c r="G2410" s="2" t="n">
        <v>34</v>
      </c>
    </row>
    <row r="2411" customFormat="false" ht="16.5" hidden="false" customHeight="true" outlineLevel="0" collapsed="false">
      <c r="A2411" s="2" t="s">
        <v>416</v>
      </c>
      <c r="B2411" s="2" t="s">
        <v>435</v>
      </c>
      <c r="C2411" s="2" t="n">
        <v>2</v>
      </c>
      <c r="D2411" s="2" t="s">
        <v>573</v>
      </c>
      <c r="E2411" s="2" t="s">
        <v>8</v>
      </c>
      <c r="F2411" s="2" t="n">
        <v>242</v>
      </c>
      <c r="G2411" s="2" t="n">
        <v>38</v>
      </c>
    </row>
    <row r="2412" customFormat="false" ht="16.5" hidden="false" customHeight="true" outlineLevel="0" collapsed="false">
      <c r="A2412" s="2" t="s">
        <v>416</v>
      </c>
      <c r="B2412" s="2" t="s">
        <v>435</v>
      </c>
      <c r="C2412" s="2" t="n">
        <v>2</v>
      </c>
      <c r="D2412" s="2" t="s">
        <v>573</v>
      </c>
      <c r="E2412" s="2" t="s">
        <v>9</v>
      </c>
      <c r="F2412" s="2" t="n">
        <v>242</v>
      </c>
      <c r="G2412" s="2" t="n">
        <v>42</v>
      </c>
    </row>
    <row r="2413" customFormat="false" ht="16.5" hidden="false" customHeight="true" outlineLevel="0" collapsed="false">
      <c r="A2413" s="2" t="s">
        <v>416</v>
      </c>
      <c r="B2413" s="2" t="s">
        <v>435</v>
      </c>
      <c r="C2413" s="2" t="n">
        <v>2</v>
      </c>
      <c r="D2413" s="2" t="s">
        <v>573</v>
      </c>
      <c r="E2413" s="2" t="s">
        <v>10</v>
      </c>
      <c r="F2413" s="2" t="n">
        <v>242</v>
      </c>
      <c r="G2413" s="2" t="n">
        <v>46</v>
      </c>
    </row>
    <row r="2414" customFormat="false" ht="16.5" hidden="false" customHeight="true" outlineLevel="0" collapsed="false">
      <c r="A2414" s="2" t="s">
        <v>416</v>
      </c>
      <c r="B2414" s="2" t="s">
        <v>435</v>
      </c>
      <c r="C2414" s="2" t="n">
        <v>2</v>
      </c>
      <c r="D2414" s="2" t="s">
        <v>573</v>
      </c>
      <c r="E2414" s="2" t="s">
        <v>11</v>
      </c>
      <c r="F2414" s="2" t="n">
        <v>242</v>
      </c>
      <c r="G2414" s="2" t="n">
        <v>50</v>
      </c>
    </row>
    <row r="2415" customFormat="false" ht="16.5" hidden="false" customHeight="true" outlineLevel="0" collapsed="false">
      <c r="A2415" s="2" t="s">
        <v>416</v>
      </c>
      <c r="B2415" s="2" t="s">
        <v>435</v>
      </c>
      <c r="C2415" s="2" t="n">
        <v>2</v>
      </c>
      <c r="D2415" s="2" t="s">
        <v>573</v>
      </c>
      <c r="E2415" s="2" t="s">
        <v>12</v>
      </c>
      <c r="F2415" s="2" t="n">
        <v>244</v>
      </c>
      <c r="G2415" s="2" t="n">
        <v>8</v>
      </c>
    </row>
    <row r="2416" customFormat="false" ht="16.5" hidden="false" customHeight="true" outlineLevel="0" collapsed="false">
      <c r="A2416" s="2" t="s">
        <v>416</v>
      </c>
      <c r="B2416" s="2" t="s">
        <v>435</v>
      </c>
      <c r="C2416" s="2" t="n">
        <v>2</v>
      </c>
      <c r="D2416" s="2" t="s">
        <v>573</v>
      </c>
      <c r="E2416" s="2" t="s">
        <v>13</v>
      </c>
      <c r="F2416" s="2" t="n">
        <v>244</v>
      </c>
      <c r="G2416" s="2" t="n">
        <v>12</v>
      </c>
    </row>
    <row r="2417" customFormat="false" ht="16.5" hidden="false" customHeight="true" outlineLevel="0" collapsed="false">
      <c r="A2417" s="2" t="s">
        <v>416</v>
      </c>
      <c r="B2417" s="2" t="s">
        <v>435</v>
      </c>
      <c r="C2417" s="2" t="n">
        <v>2</v>
      </c>
      <c r="D2417" s="2" t="s">
        <v>573</v>
      </c>
      <c r="E2417" s="2" t="s">
        <v>14</v>
      </c>
      <c r="F2417" s="2" t="n">
        <v>244</v>
      </c>
      <c r="G2417" s="2" t="n">
        <v>16</v>
      </c>
    </row>
    <row r="2418" customFormat="false" ht="16.5" hidden="false" customHeight="true" outlineLevel="0" collapsed="false">
      <c r="A2418" s="2" t="s">
        <v>416</v>
      </c>
      <c r="B2418" s="2" t="s">
        <v>435</v>
      </c>
      <c r="C2418" s="2" t="n">
        <v>2</v>
      </c>
      <c r="D2418" s="2" t="s">
        <v>573</v>
      </c>
      <c r="E2418" s="2" t="s">
        <v>15</v>
      </c>
      <c r="F2418" s="2" t="n">
        <v>244</v>
      </c>
      <c r="G2418" s="2" t="n">
        <v>20</v>
      </c>
    </row>
    <row r="2419" customFormat="false" ht="16.5" hidden="false" customHeight="true" outlineLevel="0" collapsed="false">
      <c r="A2419" s="2" t="s">
        <v>416</v>
      </c>
      <c r="B2419" s="2" t="s">
        <v>435</v>
      </c>
      <c r="C2419" s="2" t="n">
        <v>2</v>
      </c>
      <c r="D2419" s="2" t="s">
        <v>573</v>
      </c>
      <c r="E2419" s="2" t="s">
        <v>16</v>
      </c>
      <c r="F2419" s="2" t="n">
        <v>244</v>
      </c>
      <c r="G2419" s="2" t="n">
        <v>24</v>
      </c>
    </row>
    <row r="2420" customFormat="false" ht="16.5" hidden="false" customHeight="true" outlineLevel="0" collapsed="false">
      <c r="A2420" s="2" t="s">
        <v>416</v>
      </c>
      <c r="B2420" s="2" t="s">
        <v>435</v>
      </c>
      <c r="C2420" s="2" t="n">
        <v>2</v>
      </c>
      <c r="D2420" s="2" t="s">
        <v>573</v>
      </c>
      <c r="E2420" s="2" t="s">
        <v>17</v>
      </c>
      <c r="F2420" s="2" t="n">
        <v>244</v>
      </c>
      <c r="G2420" s="2" t="n">
        <v>28</v>
      </c>
    </row>
    <row r="2421" customFormat="false" ht="16.5" hidden="false" customHeight="true" outlineLevel="0" collapsed="false">
      <c r="A2421" s="2" t="s">
        <v>416</v>
      </c>
      <c r="B2421" s="2" t="s">
        <v>435</v>
      </c>
      <c r="C2421" s="2" t="n">
        <v>2</v>
      </c>
      <c r="D2421" s="2" t="s">
        <v>573</v>
      </c>
      <c r="E2421" s="2" t="s">
        <v>18</v>
      </c>
      <c r="F2421" s="2" t="n">
        <v>244</v>
      </c>
      <c r="G2421" s="2" t="n">
        <v>32</v>
      </c>
    </row>
    <row r="2422" customFormat="false" ht="16.5" hidden="false" customHeight="true" outlineLevel="0" collapsed="false">
      <c r="A2422" s="2" t="s">
        <v>416</v>
      </c>
      <c r="B2422" s="2" t="s">
        <v>435</v>
      </c>
      <c r="C2422" s="2" t="n">
        <v>2</v>
      </c>
      <c r="D2422" s="2" t="s">
        <v>573</v>
      </c>
      <c r="E2422" s="2" t="s">
        <v>19</v>
      </c>
      <c r="F2422" s="2" t="n">
        <v>244</v>
      </c>
      <c r="G2422" s="2" t="n">
        <v>36</v>
      </c>
    </row>
    <row r="2423" customFormat="false" ht="16.5" hidden="false" customHeight="true" outlineLevel="0" collapsed="false">
      <c r="A2423" s="2" t="s">
        <v>416</v>
      </c>
      <c r="B2423" s="2" t="s">
        <v>435</v>
      </c>
      <c r="C2423" s="2" t="n">
        <v>2</v>
      </c>
      <c r="D2423" s="2" t="s">
        <v>573</v>
      </c>
      <c r="E2423" s="2" t="s">
        <v>20</v>
      </c>
      <c r="F2423" s="2" t="n">
        <v>244</v>
      </c>
      <c r="G2423" s="2" t="n">
        <v>40</v>
      </c>
    </row>
    <row r="2424" customFormat="false" ht="16.5" hidden="false" customHeight="true" outlineLevel="0" collapsed="false">
      <c r="A2424" s="2" t="s">
        <v>416</v>
      </c>
      <c r="B2424" s="2" t="s">
        <v>435</v>
      </c>
      <c r="C2424" s="2" t="n">
        <v>2</v>
      </c>
      <c r="D2424" s="2" t="s">
        <v>573</v>
      </c>
      <c r="E2424" s="2" t="s">
        <v>21</v>
      </c>
      <c r="F2424" s="2" t="n">
        <v>244</v>
      </c>
      <c r="G2424" s="2" t="n">
        <v>44</v>
      </c>
    </row>
    <row r="2425" customFormat="false" ht="16.5" hidden="false" customHeight="true" outlineLevel="0" collapsed="false">
      <c r="A2425" s="2" t="s">
        <v>416</v>
      </c>
      <c r="B2425" s="2" t="s">
        <v>435</v>
      </c>
      <c r="C2425" s="2" t="n">
        <v>2</v>
      </c>
      <c r="D2425" s="2" t="s">
        <v>573</v>
      </c>
      <c r="E2425" s="2" t="s">
        <v>22</v>
      </c>
      <c r="F2425" s="2" t="n">
        <v>244</v>
      </c>
      <c r="G2425" s="2" t="n">
        <v>48</v>
      </c>
    </row>
    <row r="2426" customFormat="false" ht="16.5" hidden="false" customHeight="true" outlineLevel="0" collapsed="false">
      <c r="A2426" s="2" t="s">
        <v>416</v>
      </c>
      <c r="B2426" s="2" t="s">
        <v>435</v>
      </c>
      <c r="C2426" s="2" t="n">
        <v>2</v>
      </c>
      <c r="D2426" s="2" t="s">
        <v>573</v>
      </c>
      <c r="E2426" s="2" t="s">
        <v>23</v>
      </c>
      <c r="F2426" s="2" t="n">
        <v>244</v>
      </c>
      <c r="G2426" s="2" t="n">
        <v>52</v>
      </c>
    </row>
    <row r="2427" customFormat="false" ht="16.5" hidden="false" customHeight="true" outlineLevel="0" collapsed="false">
      <c r="A2427" s="2" t="s">
        <v>416</v>
      </c>
      <c r="B2427" s="2" t="s">
        <v>435</v>
      </c>
      <c r="C2427" s="2" t="n">
        <v>2</v>
      </c>
      <c r="D2427" s="2" t="s">
        <v>573</v>
      </c>
      <c r="E2427" s="2" t="s">
        <v>24</v>
      </c>
      <c r="F2427" s="2" t="n">
        <v>246</v>
      </c>
      <c r="G2427" s="2" t="n">
        <v>9</v>
      </c>
    </row>
    <row r="2428" customFormat="false" ht="16.5" hidden="false" customHeight="true" outlineLevel="0" collapsed="false">
      <c r="A2428" s="2" t="s">
        <v>416</v>
      </c>
      <c r="B2428" s="2" t="s">
        <v>435</v>
      </c>
      <c r="C2428" s="2" t="n">
        <v>2</v>
      </c>
      <c r="D2428" s="2" t="s">
        <v>573</v>
      </c>
      <c r="E2428" s="2" t="s">
        <v>25</v>
      </c>
      <c r="F2428" s="2" t="n">
        <v>246</v>
      </c>
      <c r="G2428" s="2" t="n">
        <v>13</v>
      </c>
    </row>
    <row r="2429" customFormat="false" ht="16.5" hidden="false" customHeight="true" outlineLevel="0" collapsed="false">
      <c r="A2429" s="2" t="s">
        <v>416</v>
      </c>
      <c r="B2429" s="2" t="s">
        <v>435</v>
      </c>
      <c r="C2429" s="2" t="n">
        <v>2</v>
      </c>
      <c r="D2429" s="2" t="s">
        <v>573</v>
      </c>
      <c r="E2429" s="2" t="s">
        <v>26</v>
      </c>
      <c r="F2429" s="2" t="n">
        <v>246</v>
      </c>
      <c r="G2429" s="2" t="n">
        <v>17</v>
      </c>
    </row>
    <row r="2430" customFormat="false" ht="16.5" hidden="false" customHeight="true" outlineLevel="0" collapsed="false">
      <c r="A2430" s="2" t="s">
        <v>416</v>
      </c>
      <c r="B2430" s="2" t="s">
        <v>435</v>
      </c>
      <c r="C2430" s="2" t="n">
        <v>2</v>
      </c>
      <c r="D2430" s="2" t="s">
        <v>573</v>
      </c>
      <c r="E2430" s="2" t="s">
        <v>27</v>
      </c>
      <c r="F2430" s="2" t="n">
        <v>246</v>
      </c>
      <c r="G2430" s="2" t="n">
        <v>21</v>
      </c>
    </row>
    <row r="2431" customFormat="false" ht="16.5" hidden="false" customHeight="true" outlineLevel="0" collapsed="false">
      <c r="A2431" s="2" t="s">
        <v>416</v>
      </c>
      <c r="B2431" s="2" t="s">
        <v>435</v>
      </c>
      <c r="C2431" s="2" t="n">
        <v>2</v>
      </c>
      <c r="D2431" s="2" t="s">
        <v>573</v>
      </c>
      <c r="E2431" s="2" t="s">
        <v>28</v>
      </c>
      <c r="F2431" s="2" t="n">
        <v>246</v>
      </c>
      <c r="G2431" s="2" t="n">
        <v>25</v>
      </c>
    </row>
    <row r="2432" customFormat="false" ht="16.5" hidden="false" customHeight="true" outlineLevel="0" collapsed="false">
      <c r="A2432" s="2" t="s">
        <v>416</v>
      </c>
      <c r="B2432" s="2" t="s">
        <v>435</v>
      </c>
      <c r="C2432" s="2" t="n">
        <v>2</v>
      </c>
      <c r="D2432" s="2" t="s">
        <v>573</v>
      </c>
      <c r="E2432" s="2" t="s">
        <v>29</v>
      </c>
      <c r="F2432" s="2" t="n">
        <v>246</v>
      </c>
      <c r="G2432" s="2" t="n">
        <v>29</v>
      </c>
    </row>
    <row r="2433" customFormat="false" ht="16.5" hidden="false" customHeight="true" outlineLevel="0" collapsed="false">
      <c r="A2433" s="2" t="s">
        <v>416</v>
      </c>
      <c r="B2433" s="2" t="s">
        <v>435</v>
      </c>
      <c r="C2433" s="2" t="n">
        <v>2</v>
      </c>
      <c r="D2433" s="2" t="s">
        <v>573</v>
      </c>
      <c r="E2433" s="2" t="s">
        <v>30</v>
      </c>
      <c r="F2433" s="2" t="n">
        <v>246</v>
      </c>
      <c r="G2433" s="2" t="n">
        <v>33</v>
      </c>
    </row>
    <row r="2434" customFormat="false" ht="16.5" hidden="false" customHeight="true" outlineLevel="0" collapsed="false">
      <c r="A2434" s="2" t="s">
        <v>416</v>
      </c>
      <c r="B2434" s="2" t="s">
        <v>435</v>
      </c>
      <c r="C2434" s="2" t="n">
        <v>2</v>
      </c>
      <c r="D2434" s="2" t="s">
        <v>573</v>
      </c>
      <c r="E2434" s="2" t="s">
        <v>31</v>
      </c>
      <c r="F2434" s="2" t="n">
        <v>246</v>
      </c>
      <c r="G2434" s="2" t="n">
        <v>37</v>
      </c>
    </row>
    <row r="2435" customFormat="false" ht="16.5" hidden="false" customHeight="true" outlineLevel="0" collapsed="false">
      <c r="A2435" s="2" t="s">
        <v>416</v>
      </c>
      <c r="B2435" s="2" t="s">
        <v>435</v>
      </c>
      <c r="C2435" s="2" t="n">
        <v>2</v>
      </c>
      <c r="D2435" s="2" t="s">
        <v>573</v>
      </c>
      <c r="E2435" s="2" t="s">
        <v>32</v>
      </c>
      <c r="F2435" s="2" t="n">
        <v>246</v>
      </c>
      <c r="G2435" s="2" t="n">
        <v>41</v>
      </c>
    </row>
    <row r="2436" customFormat="false" ht="16.5" hidden="false" customHeight="true" outlineLevel="0" collapsed="false">
      <c r="A2436" s="2" t="s">
        <v>416</v>
      </c>
      <c r="B2436" s="2" t="s">
        <v>435</v>
      </c>
      <c r="C2436" s="2" t="n">
        <v>2</v>
      </c>
      <c r="D2436" s="2" t="s">
        <v>573</v>
      </c>
      <c r="E2436" s="2" t="s">
        <v>33</v>
      </c>
      <c r="F2436" s="2" t="n">
        <v>246</v>
      </c>
      <c r="G2436" s="2" t="n">
        <v>45</v>
      </c>
    </row>
    <row r="2437" customFormat="false" ht="16.5" hidden="false" customHeight="true" outlineLevel="0" collapsed="false">
      <c r="A2437" s="2" t="s">
        <v>416</v>
      </c>
      <c r="B2437" s="2" t="s">
        <v>435</v>
      </c>
      <c r="C2437" s="2" t="n">
        <v>2</v>
      </c>
      <c r="D2437" s="2" t="s">
        <v>573</v>
      </c>
      <c r="E2437" s="2" t="s">
        <v>34</v>
      </c>
      <c r="F2437" s="2" t="n">
        <v>246</v>
      </c>
      <c r="G2437" s="2" t="n">
        <v>49</v>
      </c>
    </row>
    <row r="2438" customFormat="false" ht="16.5" hidden="false" customHeight="true" outlineLevel="0" collapsed="false">
      <c r="A2438" s="2" t="s">
        <v>416</v>
      </c>
      <c r="B2438" s="2" t="s">
        <v>435</v>
      </c>
      <c r="C2438" s="2" t="n">
        <v>2</v>
      </c>
      <c r="D2438" s="2" t="s">
        <v>573</v>
      </c>
      <c r="E2438" s="2" t="s">
        <v>35</v>
      </c>
      <c r="F2438" s="2" t="n">
        <v>248</v>
      </c>
      <c r="G2438" s="2" t="n">
        <v>11</v>
      </c>
    </row>
    <row r="2439" customFormat="false" ht="16.5" hidden="false" customHeight="true" outlineLevel="0" collapsed="false">
      <c r="A2439" s="2" t="s">
        <v>416</v>
      </c>
      <c r="B2439" s="2" t="s">
        <v>435</v>
      </c>
      <c r="C2439" s="2" t="n">
        <v>2</v>
      </c>
      <c r="D2439" s="2" t="s">
        <v>573</v>
      </c>
      <c r="E2439" s="2" t="s">
        <v>36</v>
      </c>
      <c r="F2439" s="2" t="n">
        <v>248</v>
      </c>
      <c r="G2439" s="2" t="n">
        <v>15</v>
      </c>
    </row>
    <row r="2440" customFormat="false" ht="16.5" hidden="false" customHeight="true" outlineLevel="0" collapsed="false">
      <c r="A2440" s="2" t="s">
        <v>416</v>
      </c>
      <c r="B2440" s="2" t="s">
        <v>435</v>
      </c>
      <c r="C2440" s="2" t="n">
        <v>2</v>
      </c>
      <c r="D2440" s="2" t="s">
        <v>573</v>
      </c>
      <c r="E2440" s="2" t="s">
        <v>37</v>
      </c>
      <c r="F2440" s="2" t="n">
        <v>248</v>
      </c>
      <c r="G2440" s="2" t="n">
        <v>19</v>
      </c>
    </row>
    <row r="2441" customFormat="false" ht="16.5" hidden="false" customHeight="true" outlineLevel="0" collapsed="false">
      <c r="A2441" s="2" t="s">
        <v>416</v>
      </c>
      <c r="B2441" s="2" t="s">
        <v>435</v>
      </c>
      <c r="C2441" s="2" t="n">
        <v>2</v>
      </c>
      <c r="D2441" s="2" t="s">
        <v>573</v>
      </c>
      <c r="E2441" s="2" t="s">
        <v>38</v>
      </c>
      <c r="F2441" s="2" t="n">
        <v>248</v>
      </c>
      <c r="G2441" s="2" t="n">
        <v>23</v>
      </c>
    </row>
    <row r="2442" customFormat="false" ht="16.5" hidden="false" customHeight="true" outlineLevel="0" collapsed="false">
      <c r="A2442" s="2" t="s">
        <v>416</v>
      </c>
      <c r="B2442" s="2" t="s">
        <v>435</v>
      </c>
      <c r="C2442" s="2" t="n">
        <v>2</v>
      </c>
      <c r="D2442" s="2" t="s">
        <v>573</v>
      </c>
      <c r="E2442" s="2" t="s">
        <v>39</v>
      </c>
      <c r="F2442" s="2" t="n">
        <v>248</v>
      </c>
      <c r="G2442" s="2" t="n">
        <v>27</v>
      </c>
    </row>
    <row r="2443" customFormat="false" ht="16.5" hidden="false" customHeight="true" outlineLevel="0" collapsed="false">
      <c r="A2443" s="2" t="s">
        <v>416</v>
      </c>
      <c r="B2443" s="2" t="s">
        <v>435</v>
      </c>
      <c r="C2443" s="2" t="n">
        <v>2</v>
      </c>
      <c r="D2443" s="2" t="s">
        <v>573</v>
      </c>
      <c r="E2443" s="2" t="s">
        <v>40</v>
      </c>
      <c r="F2443" s="2" t="n">
        <v>248</v>
      </c>
      <c r="G2443" s="2" t="n">
        <v>31</v>
      </c>
    </row>
    <row r="2444" customFormat="false" ht="16.5" hidden="false" customHeight="true" outlineLevel="0" collapsed="false">
      <c r="A2444" s="2" t="s">
        <v>416</v>
      </c>
      <c r="B2444" s="2" t="s">
        <v>435</v>
      </c>
      <c r="C2444" s="2" t="n">
        <v>2</v>
      </c>
      <c r="D2444" s="2" t="s">
        <v>573</v>
      </c>
      <c r="E2444" s="2" t="s">
        <v>41</v>
      </c>
      <c r="F2444" s="2" t="n">
        <v>248</v>
      </c>
      <c r="G2444" s="2" t="n">
        <v>35</v>
      </c>
    </row>
    <row r="2445" customFormat="false" ht="16.5" hidden="false" customHeight="true" outlineLevel="0" collapsed="false">
      <c r="A2445" s="2" t="s">
        <v>416</v>
      </c>
      <c r="B2445" s="2" t="s">
        <v>435</v>
      </c>
      <c r="C2445" s="2" t="n">
        <v>2</v>
      </c>
      <c r="D2445" s="2" t="s">
        <v>573</v>
      </c>
      <c r="E2445" s="2" t="s">
        <v>42</v>
      </c>
      <c r="F2445" s="2" t="n">
        <v>248</v>
      </c>
      <c r="G2445" s="2" t="n">
        <v>39</v>
      </c>
    </row>
    <row r="2446" customFormat="false" ht="16.5" hidden="false" customHeight="true" outlineLevel="0" collapsed="false">
      <c r="A2446" s="2" t="s">
        <v>416</v>
      </c>
      <c r="B2446" s="2" t="s">
        <v>435</v>
      </c>
      <c r="C2446" s="2" t="n">
        <v>2</v>
      </c>
      <c r="D2446" s="2" t="s">
        <v>573</v>
      </c>
      <c r="E2446" s="2" t="s">
        <v>43</v>
      </c>
      <c r="F2446" s="2" t="n">
        <v>248</v>
      </c>
      <c r="G2446" s="2" t="n">
        <v>43</v>
      </c>
    </row>
    <row r="2447" customFormat="false" ht="16.5" hidden="false" customHeight="true" outlineLevel="0" collapsed="false">
      <c r="A2447" s="2" t="s">
        <v>416</v>
      </c>
      <c r="B2447" s="2" t="s">
        <v>435</v>
      </c>
      <c r="C2447" s="2" t="n">
        <v>2</v>
      </c>
      <c r="D2447" s="2" t="s">
        <v>573</v>
      </c>
      <c r="E2447" s="2" t="s">
        <v>44</v>
      </c>
      <c r="F2447" s="2" t="n">
        <v>248</v>
      </c>
      <c r="G2447" s="2" t="n">
        <v>47</v>
      </c>
    </row>
    <row r="2448" customFormat="false" ht="16.5" hidden="false" customHeight="true" outlineLevel="0" collapsed="false">
      <c r="A2448" s="2" t="s">
        <v>416</v>
      </c>
      <c r="B2448" s="2" t="s">
        <v>435</v>
      </c>
      <c r="C2448" s="2" t="n">
        <v>2</v>
      </c>
      <c r="D2448" s="2" t="s">
        <v>573</v>
      </c>
      <c r="E2448" s="2" t="s">
        <v>48</v>
      </c>
      <c r="F2448" s="2" t="n">
        <v>250</v>
      </c>
      <c r="G2448" s="2" t="n">
        <v>16</v>
      </c>
    </row>
    <row r="2449" customFormat="false" ht="16.5" hidden="false" customHeight="true" outlineLevel="0" collapsed="false">
      <c r="A2449" s="2" t="s">
        <v>416</v>
      </c>
      <c r="B2449" s="2" t="s">
        <v>435</v>
      </c>
      <c r="C2449" s="2" t="n">
        <v>2</v>
      </c>
      <c r="D2449" s="2" t="s">
        <v>573</v>
      </c>
      <c r="E2449" s="2" t="s">
        <v>50</v>
      </c>
      <c r="F2449" s="2" t="n">
        <v>250</v>
      </c>
      <c r="G2449" s="2" t="n">
        <v>20</v>
      </c>
    </row>
    <row r="2450" customFormat="false" ht="16.5" hidden="false" customHeight="true" outlineLevel="0" collapsed="false">
      <c r="A2450" s="2" t="s">
        <v>416</v>
      </c>
      <c r="B2450" s="2" t="s">
        <v>435</v>
      </c>
      <c r="C2450" s="2" t="n">
        <v>2</v>
      </c>
      <c r="D2450" s="2" t="s">
        <v>573</v>
      </c>
      <c r="E2450" s="2" t="s">
        <v>45</v>
      </c>
      <c r="F2450" s="2" t="n">
        <v>250</v>
      </c>
      <c r="G2450" s="2" t="n">
        <v>38</v>
      </c>
    </row>
    <row r="2451" customFormat="false" ht="16.5" hidden="false" customHeight="true" outlineLevel="0" collapsed="false">
      <c r="A2451" s="2" t="s">
        <v>416</v>
      </c>
      <c r="B2451" s="2" t="s">
        <v>435</v>
      </c>
      <c r="C2451" s="2" t="n">
        <v>2</v>
      </c>
      <c r="D2451" s="2" t="s">
        <v>573</v>
      </c>
      <c r="E2451" s="2" t="s">
        <v>46</v>
      </c>
      <c r="F2451" s="2" t="n">
        <v>250</v>
      </c>
      <c r="G2451" s="2" t="n">
        <v>42</v>
      </c>
    </row>
    <row r="2452" customFormat="false" ht="16.5" hidden="false" customHeight="true" outlineLevel="0" collapsed="false">
      <c r="A2452" s="2" t="s">
        <v>416</v>
      </c>
      <c r="B2452" s="2" t="s">
        <v>436</v>
      </c>
      <c r="C2452" s="2" t="n">
        <v>2</v>
      </c>
      <c r="D2452" s="2" t="s">
        <v>574</v>
      </c>
      <c r="E2452" s="2" t="s">
        <v>0</v>
      </c>
      <c r="F2452" s="2" t="n">
        <v>255</v>
      </c>
      <c r="G2452" s="2" t="n">
        <v>6</v>
      </c>
    </row>
    <row r="2453" customFormat="false" ht="16.5" hidden="false" customHeight="true" outlineLevel="0" collapsed="false">
      <c r="A2453" s="2" t="s">
        <v>416</v>
      </c>
      <c r="B2453" s="2" t="s">
        <v>436</v>
      </c>
      <c r="C2453" s="2" t="n">
        <v>2</v>
      </c>
      <c r="D2453" s="2" t="s">
        <v>574</v>
      </c>
      <c r="E2453" s="2" t="s">
        <v>1</v>
      </c>
      <c r="F2453" s="2" t="n">
        <v>255</v>
      </c>
      <c r="G2453" s="2" t="n">
        <v>10</v>
      </c>
    </row>
    <row r="2454" customFormat="false" ht="16.5" hidden="false" customHeight="true" outlineLevel="0" collapsed="false">
      <c r="A2454" s="2" t="s">
        <v>416</v>
      </c>
      <c r="B2454" s="2" t="s">
        <v>436</v>
      </c>
      <c r="C2454" s="2" t="n">
        <v>2</v>
      </c>
      <c r="D2454" s="2" t="s">
        <v>574</v>
      </c>
      <c r="E2454" s="2" t="s">
        <v>2</v>
      </c>
      <c r="F2454" s="2" t="n">
        <v>255</v>
      </c>
      <c r="G2454" s="2" t="n">
        <v>14</v>
      </c>
    </row>
    <row r="2455" customFormat="false" ht="16.5" hidden="false" customHeight="true" outlineLevel="0" collapsed="false">
      <c r="A2455" s="2" t="s">
        <v>416</v>
      </c>
      <c r="B2455" s="2" t="s">
        <v>436</v>
      </c>
      <c r="C2455" s="2" t="n">
        <v>2</v>
      </c>
      <c r="D2455" s="2" t="s">
        <v>574</v>
      </c>
      <c r="E2455" s="2" t="s">
        <v>3</v>
      </c>
      <c r="F2455" s="2" t="n">
        <v>255</v>
      </c>
      <c r="G2455" s="2" t="n">
        <v>18</v>
      </c>
    </row>
    <row r="2456" customFormat="false" ht="16.5" hidden="false" customHeight="true" outlineLevel="0" collapsed="false">
      <c r="A2456" s="2" t="s">
        <v>416</v>
      </c>
      <c r="B2456" s="2" t="s">
        <v>436</v>
      </c>
      <c r="C2456" s="2" t="n">
        <v>2</v>
      </c>
      <c r="D2456" s="2" t="s">
        <v>574</v>
      </c>
      <c r="E2456" s="2" t="s">
        <v>4</v>
      </c>
      <c r="F2456" s="2" t="n">
        <v>255</v>
      </c>
      <c r="G2456" s="2" t="n">
        <v>22</v>
      </c>
    </row>
    <row r="2457" customFormat="false" ht="16.5" hidden="false" customHeight="true" outlineLevel="0" collapsed="false">
      <c r="A2457" s="2" t="s">
        <v>416</v>
      </c>
      <c r="B2457" s="2" t="s">
        <v>436</v>
      </c>
      <c r="C2457" s="2" t="n">
        <v>2</v>
      </c>
      <c r="D2457" s="2" t="s">
        <v>574</v>
      </c>
      <c r="E2457" s="2" t="s">
        <v>5</v>
      </c>
      <c r="F2457" s="2" t="n">
        <v>255</v>
      </c>
      <c r="G2457" s="2" t="n">
        <v>26</v>
      </c>
    </row>
    <row r="2458" customFormat="false" ht="16.5" hidden="false" customHeight="true" outlineLevel="0" collapsed="false">
      <c r="A2458" s="2" t="s">
        <v>416</v>
      </c>
      <c r="B2458" s="2" t="s">
        <v>436</v>
      </c>
      <c r="C2458" s="2" t="n">
        <v>2</v>
      </c>
      <c r="D2458" s="2" t="s">
        <v>574</v>
      </c>
      <c r="E2458" s="2" t="s">
        <v>6</v>
      </c>
      <c r="F2458" s="2" t="n">
        <v>255</v>
      </c>
      <c r="G2458" s="2" t="n">
        <v>30</v>
      </c>
    </row>
    <row r="2459" customFormat="false" ht="16.5" hidden="false" customHeight="true" outlineLevel="0" collapsed="false">
      <c r="A2459" s="2" t="s">
        <v>416</v>
      </c>
      <c r="B2459" s="2" t="s">
        <v>436</v>
      </c>
      <c r="C2459" s="2" t="n">
        <v>2</v>
      </c>
      <c r="D2459" s="2" t="s">
        <v>574</v>
      </c>
      <c r="E2459" s="2" t="s">
        <v>7</v>
      </c>
      <c r="F2459" s="2" t="n">
        <v>255</v>
      </c>
      <c r="G2459" s="2" t="n">
        <v>34</v>
      </c>
    </row>
    <row r="2460" customFormat="false" ht="16.5" hidden="false" customHeight="true" outlineLevel="0" collapsed="false">
      <c r="A2460" s="2" t="s">
        <v>416</v>
      </c>
      <c r="B2460" s="2" t="s">
        <v>436</v>
      </c>
      <c r="C2460" s="2" t="n">
        <v>2</v>
      </c>
      <c r="D2460" s="2" t="s">
        <v>574</v>
      </c>
      <c r="E2460" s="2" t="s">
        <v>8</v>
      </c>
      <c r="F2460" s="2" t="n">
        <v>255</v>
      </c>
      <c r="G2460" s="2" t="n">
        <v>38</v>
      </c>
    </row>
    <row r="2461" customFormat="false" ht="16.5" hidden="false" customHeight="true" outlineLevel="0" collapsed="false">
      <c r="A2461" s="2" t="s">
        <v>416</v>
      </c>
      <c r="B2461" s="2" t="s">
        <v>436</v>
      </c>
      <c r="C2461" s="2" t="n">
        <v>2</v>
      </c>
      <c r="D2461" s="2" t="s">
        <v>574</v>
      </c>
      <c r="E2461" s="2" t="s">
        <v>9</v>
      </c>
      <c r="F2461" s="2" t="n">
        <v>255</v>
      </c>
      <c r="G2461" s="2" t="n">
        <v>42</v>
      </c>
    </row>
    <row r="2462" customFormat="false" ht="16.5" hidden="false" customHeight="true" outlineLevel="0" collapsed="false">
      <c r="A2462" s="2" t="s">
        <v>416</v>
      </c>
      <c r="B2462" s="2" t="s">
        <v>436</v>
      </c>
      <c r="C2462" s="2" t="n">
        <v>2</v>
      </c>
      <c r="D2462" s="2" t="s">
        <v>574</v>
      </c>
      <c r="E2462" s="2" t="s">
        <v>10</v>
      </c>
      <c r="F2462" s="2" t="n">
        <v>255</v>
      </c>
      <c r="G2462" s="2" t="n">
        <v>46</v>
      </c>
    </row>
    <row r="2463" customFormat="false" ht="16.5" hidden="false" customHeight="true" outlineLevel="0" collapsed="false">
      <c r="A2463" s="2" t="s">
        <v>416</v>
      </c>
      <c r="B2463" s="2" t="s">
        <v>436</v>
      </c>
      <c r="C2463" s="2" t="n">
        <v>2</v>
      </c>
      <c r="D2463" s="2" t="s">
        <v>574</v>
      </c>
      <c r="E2463" s="2" t="s">
        <v>11</v>
      </c>
      <c r="F2463" s="2" t="n">
        <v>255</v>
      </c>
      <c r="G2463" s="2" t="n">
        <v>50</v>
      </c>
    </row>
    <row r="2464" customFormat="false" ht="16.5" hidden="false" customHeight="true" outlineLevel="0" collapsed="false">
      <c r="A2464" s="2" t="s">
        <v>416</v>
      </c>
      <c r="B2464" s="2" t="s">
        <v>436</v>
      </c>
      <c r="C2464" s="2" t="n">
        <v>2</v>
      </c>
      <c r="D2464" s="2" t="s">
        <v>574</v>
      </c>
      <c r="E2464" s="2" t="s">
        <v>12</v>
      </c>
      <c r="F2464" s="2" t="n">
        <v>257</v>
      </c>
      <c r="G2464" s="2" t="n">
        <v>8</v>
      </c>
    </row>
    <row r="2465" customFormat="false" ht="16.5" hidden="false" customHeight="true" outlineLevel="0" collapsed="false">
      <c r="A2465" s="2" t="s">
        <v>416</v>
      </c>
      <c r="B2465" s="2" t="s">
        <v>436</v>
      </c>
      <c r="C2465" s="2" t="n">
        <v>2</v>
      </c>
      <c r="D2465" s="2" t="s">
        <v>574</v>
      </c>
      <c r="E2465" s="2" t="s">
        <v>13</v>
      </c>
      <c r="F2465" s="2" t="n">
        <v>257</v>
      </c>
      <c r="G2465" s="2" t="n">
        <v>12</v>
      </c>
    </row>
    <row r="2466" customFormat="false" ht="16.5" hidden="false" customHeight="true" outlineLevel="0" collapsed="false">
      <c r="A2466" s="2" t="s">
        <v>416</v>
      </c>
      <c r="B2466" s="2" t="s">
        <v>436</v>
      </c>
      <c r="C2466" s="2" t="n">
        <v>2</v>
      </c>
      <c r="D2466" s="2" t="s">
        <v>574</v>
      </c>
      <c r="E2466" s="2" t="s">
        <v>14</v>
      </c>
      <c r="F2466" s="2" t="n">
        <v>257</v>
      </c>
      <c r="G2466" s="2" t="n">
        <v>16</v>
      </c>
    </row>
    <row r="2467" customFormat="false" ht="16.5" hidden="false" customHeight="true" outlineLevel="0" collapsed="false">
      <c r="A2467" s="2" t="s">
        <v>416</v>
      </c>
      <c r="B2467" s="2" t="s">
        <v>436</v>
      </c>
      <c r="C2467" s="2" t="n">
        <v>2</v>
      </c>
      <c r="D2467" s="2" t="s">
        <v>574</v>
      </c>
      <c r="E2467" s="2" t="s">
        <v>15</v>
      </c>
      <c r="F2467" s="2" t="n">
        <v>257</v>
      </c>
      <c r="G2467" s="2" t="n">
        <v>20</v>
      </c>
    </row>
    <row r="2468" customFormat="false" ht="16.5" hidden="false" customHeight="true" outlineLevel="0" collapsed="false">
      <c r="A2468" s="2" t="s">
        <v>416</v>
      </c>
      <c r="B2468" s="2" t="s">
        <v>436</v>
      </c>
      <c r="C2468" s="2" t="n">
        <v>2</v>
      </c>
      <c r="D2468" s="2" t="s">
        <v>574</v>
      </c>
      <c r="E2468" s="2" t="s">
        <v>16</v>
      </c>
      <c r="F2468" s="2" t="n">
        <v>257</v>
      </c>
      <c r="G2468" s="2" t="n">
        <v>24</v>
      </c>
    </row>
    <row r="2469" customFormat="false" ht="16.5" hidden="false" customHeight="true" outlineLevel="0" collapsed="false">
      <c r="A2469" s="2" t="s">
        <v>416</v>
      </c>
      <c r="B2469" s="2" t="s">
        <v>436</v>
      </c>
      <c r="C2469" s="2" t="n">
        <v>2</v>
      </c>
      <c r="D2469" s="2" t="s">
        <v>574</v>
      </c>
      <c r="E2469" s="2" t="s">
        <v>17</v>
      </c>
      <c r="F2469" s="2" t="n">
        <v>257</v>
      </c>
      <c r="G2469" s="2" t="n">
        <v>28</v>
      </c>
    </row>
    <row r="2470" customFormat="false" ht="16.5" hidden="false" customHeight="true" outlineLevel="0" collapsed="false">
      <c r="A2470" s="2" t="s">
        <v>416</v>
      </c>
      <c r="B2470" s="2" t="s">
        <v>436</v>
      </c>
      <c r="C2470" s="2" t="n">
        <v>2</v>
      </c>
      <c r="D2470" s="2" t="s">
        <v>574</v>
      </c>
      <c r="E2470" s="2" t="s">
        <v>18</v>
      </c>
      <c r="F2470" s="2" t="n">
        <v>257</v>
      </c>
      <c r="G2470" s="2" t="n">
        <v>32</v>
      </c>
    </row>
    <row r="2471" customFormat="false" ht="16.5" hidden="false" customHeight="true" outlineLevel="0" collapsed="false">
      <c r="A2471" s="2" t="s">
        <v>416</v>
      </c>
      <c r="B2471" s="2" t="s">
        <v>436</v>
      </c>
      <c r="C2471" s="2" t="n">
        <v>2</v>
      </c>
      <c r="D2471" s="2" t="s">
        <v>574</v>
      </c>
      <c r="E2471" s="2" t="s">
        <v>19</v>
      </c>
      <c r="F2471" s="2" t="n">
        <v>257</v>
      </c>
      <c r="G2471" s="2" t="n">
        <v>36</v>
      </c>
    </row>
    <row r="2472" customFormat="false" ht="16.5" hidden="false" customHeight="true" outlineLevel="0" collapsed="false">
      <c r="A2472" s="2" t="s">
        <v>416</v>
      </c>
      <c r="B2472" s="2" t="s">
        <v>436</v>
      </c>
      <c r="C2472" s="2" t="n">
        <v>2</v>
      </c>
      <c r="D2472" s="2" t="s">
        <v>574</v>
      </c>
      <c r="E2472" s="2" t="s">
        <v>20</v>
      </c>
      <c r="F2472" s="2" t="n">
        <v>257</v>
      </c>
      <c r="G2472" s="2" t="n">
        <v>40</v>
      </c>
    </row>
    <row r="2473" customFormat="false" ht="16.5" hidden="false" customHeight="true" outlineLevel="0" collapsed="false">
      <c r="A2473" s="2" t="s">
        <v>416</v>
      </c>
      <c r="B2473" s="2" t="s">
        <v>436</v>
      </c>
      <c r="C2473" s="2" t="n">
        <v>2</v>
      </c>
      <c r="D2473" s="2" t="s">
        <v>574</v>
      </c>
      <c r="E2473" s="2" t="s">
        <v>21</v>
      </c>
      <c r="F2473" s="2" t="n">
        <v>257</v>
      </c>
      <c r="G2473" s="2" t="n">
        <v>44</v>
      </c>
    </row>
    <row r="2474" customFormat="false" ht="16.5" hidden="false" customHeight="true" outlineLevel="0" collapsed="false">
      <c r="A2474" s="2" t="s">
        <v>416</v>
      </c>
      <c r="B2474" s="2" t="s">
        <v>436</v>
      </c>
      <c r="C2474" s="2" t="n">
        <v>2</v>
      </c>
      <c r="D2474" s="2" t="s">
        <v>574</v>
      </c>
      <c r="E2474" s="2" t="s">
        <v>22</v>
      </c>
      <c r="F2474" s="2" t="n">
        <v>257</v>
      </c>
      <c r="G2474" s="2" t="n">
        <v>48</v>
      </c>
    </row>
    <row r="2475" customFormat="false" ht="16.5" hidden="false" customHeight="true" outlineLevel="0" collapsed="false">
      <c r="A2475" s="2" t="s">
        <v>416</v>
      </c>
      <c r="B2475" s="2" t="s">
        <v>436</v>
      </c>
      <c r="C2475" s="2" t="n">
        <v>2</v>
      </c>
      <c r="D2475" s="2" t="s">
        <v>574</v>
      </c>
      <c r="E2475" s="2" t="s">
        <v>23</v>
      </c>
      <c r="F2475" s="2" t="n">
        <v>257</v>
      </c>
      <c r="G2475" s="2" t="n">
        <v>52</v>
      </c>
    </row>
    <row r="2476" customFormat="false" ht="16.5" hidden="false" customHeight="true" outlineLevel="0" collapsed="false">
      <c r="A2476" s="2" t="s">
        <v>416</v>
      </c>
      <c r="B2476" s="2" t="s">
        <v>436</v>
      </c>
      <c r="C2476" s="2" t="n">
        <v>2</v>
      </c>
      <c r="D2476" s="2" t="s">
        <v>574</v>
      </c>
      <c r="E2476" s="2" t="s">
        <v>24</v>
      </c>
      <c r="F2476" s="2" t="n">
        <v>259</v>
      </c>
      <c r="G2476" s="2" t="n">
        <v>9</v>
      </c>
    </row>
    <row r="2477" customFormat="false" ht="16.5" hidden="false" customHeight="true" outlineLevel="0" collapsed="false">
      <c r="A2477" s="2" t="s">
        <v>416</v>
      </c>
      <c r="B2477" s="2" t="s">
        <v>436</v>
      </c>
      <c r="C2477" s="2" t="n">
        <v>2</v>
      </c>
      <c r="D2477" s="2" t="s">
        <v>574</v>
      </c>
      <c r="E2477" s="2" t="s">
        <v>25</v>
      </c>
      <c r="F2477" s="2" t="n">
        <v>259</v>
      </c>
      <c r="G2477" s="2" t="n">
        <v>13</v>
      </c>
    </row>
    <row r="2478" customFormat="false" ht="16.5" hidden="false" customHeight="true" outlineLevel="0" collapsed="false">
      <c r="A2478" s="2" t="s">
        <v>416</v>
      </c>
      <c r="B2478" s="2" t="s">
        <v>436</v>
      </c>
      <c r="C2478" s="2" t="n">
        <v>2</v>
      </c>
      <c r="D2478" s="2" t="s">
        <v>574</v>
      </c>
      <c r="E2478" s="2" t="s">
        <v>26</v>
      </c>
      <c r="F2478" s="2" t="n">
        <v>259</v>
      </c>
      <c r="G2478" s="2" t="n">
        <v>17</v>
      </c>
    </row>
    <row r="2479" customFormat="false" ht="16.5" hidden="false" customHeight="true" outlineLevel="0" collapsed="false">
      <c r="A2479" s="2" t="s">
        <v>416</v>
      </c>
      <c r="B2479" s="2" t="s">
        <v>436</v>
      </c>
      <c r="C2479" s="2" t="n">
        <v>2</v>
      </c>
      <c r="D2479" s="2" t="s">
        <v>574</v>
      </c>
      <c r="E2479" s="2" t="s">
        <v>27</v>
      </c>
      <c r="F2479" s="2" t="n">
        <v>259</v>
      </c>
      <c r="G2479" s="2" t="n">
        <v>21</v>
      </c>
    </row>
    <row r="2480" customFormat="false" ht="16.5" hidden="false" customHeight="true" outlineLevel="0" collapsed="false">
      <c r="A2480" s="2" t="s">
        <v>416</v>
      </c>
      <c r="B2480" s="2" t="s">
        <v>436</v>
      </c>
      <c r="C2480" s="2" t="n">
        <v>2</v>
      </c>
      <c r="D2480" s="2" t="s">
        <v>574</v>
      </c>
      <c r="E2480" s="2" t="s">
        <v>28</v>
      </c>
      <c r="F2480" s="2" t="n">
        <v>259</v>
      </c>
      <c r="G2480" s="2" t="n">
        <v>25</v>
      </c>
    </row>
    <row r="2481" customFormat="false" ht="16.5" hidden="false" customHeight="true" outlineLevel="0" collapsed="false">
      <c r="A2481" s="2" t="s">
        <v>416</v>
      </c>
      <c r="B2481" s="2" t="s">
        <v>436</v>
      </c>
      <c r="C2481" s="2" t="n">
        <v>2</v>
      </c>
      <c r="D2481" s="2" t="s">
        <v>574</v>
      </c>
      <c r="E2481" s="2" t="s">
        <v>29</v>
      </c>
      <c r="F2481" s="2" t="n">
        <v>259</v>
      </c>
      <c r="G2481" s="2" t="n">
        <v>29</v>
      </c>
    </row>
    <row r="2482" customFormat="false" ht="16.5" hidden="false" customHeight="true" outlineLevel="0" collapsed="false">
      <c r="A2482" s="2" t="s">
        <v>416</v>
      </c>
      <c r="B2482" s="2" t="s">
        <v>436</v>
      </c>
      <c r="C2482" s="2" t="n">
        <v>2</v>
      </c>
      <c r="D2482" s="2" t="s">
        <v>574</v>
      </c>
      <c r="E2482" s="2" t="s">
        <v>30</v>
      </c>
      <c r="F2482" s="2" t="n">
        <v>259</v>
      </c>
      <c r="G2482" s="2" t="n">
        <v>33</v>
      </c>
    </row>
    <row r="2483" customFormat="false" ht="16.5" hidden="false" customHeight="true" outlineLevel="0" collapsed="false">
      <c r="A2483" s="2" t="s">
        <v>416</v>
      </c>
      <c r="B2483" s="2" t="s">
        <v>436</v>
      </c>
      <c r="C2483" s="2" t="n">
        <v>2</v>
      </c>
      <c r="D2483" s="2" t="s">
        <v>574</v>
      </c>
      <c r="E2483" s="2" t="s">
        <v>31</v>
      </c>
      <c r="F2483" s="2" t="n">
        <v>259</v>
      </c>
      <c r="G2483" s="2" t="n">
        <v>37</v>
      </c>
    </row>
    <row r="2484" customFormat="false" ht="16.5" hidden="false" customHeight="true" outlineLevel="0" collapsed="false">
      <c r="A2484" s="2" t="s">
        <v>416</v>
      </c>
      <c r="B2484" s="2" t="s">
        <v>436</v>
      </c>
      <c r="C2484" s="2" t="n">
        <v>2</v>
      </c>
      <c r="D2484" s="2" t="s">
        <v>574</v>
      </c>
      <c r="E2484" s="2" t="s">
        <v>32</v>
      </c>
      <c r="F2484" s="2" t="n">
        <v>259</v>
      </c>
      <c r="G2484" s="2" t="n">
        <v>41</v>
      </c>
    </row>
    <row r="2485" customFormat="false" ht="16.5" hidden="false" customHeight="true" outlineLevel="0" collapsed="false">
      <c r="A2485" s="2" t="s">
        <v>416</v>
      </c>
      <c r="B2485" s="2" t="s">
        <v>436</v>
      </c>
      <c r="C2485" s="2" t="n">
        <v>2</v>
      </c>
      <c r="D2485" s="2" t="s">
        <v>574</v>
      </c>
      <c r="E2485" s="2" t="s">
        <v>33</v>
      </c>
      <c r="F2485" s="2" t="n">
        <v>259</v>
      </c>
      <c r="G2485" s="2" t="n">
        <v>45</v>
      </c>
    </row>
    <row r="2486" customFormat="false" ht="16.5" hidden="false" customHeight="true" outlineLevel="0" collapsed="false">
      <c r="A2486" s="2" t="s">
        <v>416</v>
      </c>
      <c r="B2486" s="2" t="s">
        <v>436</v>
      </c>
      <c r="C2486" s="2" t="n">
        <v>2</v>
      </c>
      <c r="D2486" s="2" t="s">
        <v>574</v>
      </c>
      <c r="E2486" s="2" t="s">
        <v>34</v>
      </c>
      <c r="F2486" s="2" t="n">
        <v>259</v>
      </c>
      <c r="G2486" s="2" t="n">
        <v>49</v>
      </c>
    </row>
    <row r="2487" customFormat="false" ht="16.5" hidden="false" customHeight="true" outlineLevel="0" collapsed="false">
      <c r="A2487" s="2" t="s">
        <v>416</v>
      </c>
      <c r="B2487" s="2" t="s">
        <v>436</v>
      </c>
      <c r="C2487" s="2" t="n">
        <v>2</v>
      </c>
      <c r="D2487" s="2" t="s">
        <v>574</v>
      </c>
      <c r="E2487" s="2" t="s">
        <v>35</v>
      </c>
      <c r="F2487" s="2" t="n">
        <v>261</v>
      </c>
      <c r="G2487" s="2" t="n">
        <v>11</v>
      </c>
    </row>
    <row r="2488" customFormat="false" ht="16.5" hidden="false" customHeight="true" outlineLevel="0" collapsed="false">
      <c r="A2488" s="2" t="s">
        <v>416</v>
      </c>
      <c r="B2488" s="2" t="s">
        <v>436</v>
      </c>
      <c r="C2488" s="2" t="n">
        <v>2</v>
      </c>
      <c r="D2488" s="2" t="s">
        <v>574</v>
      </c>
      <c r="E2488" s="2" t="s">
        <v>36</v>
      </c>
      <c r="F2488" s="2" t="n">
        <v>261</v>
      </c>
      <c r="G2488" s="2" t="n">
        <v>15</v>
      </c>
    </row>
    <row r="2489" customFormat="false" ht="16.5" hidden="false" customHeight="true" outlineLevel="0" collapsed="false">
      <c r="A2489" s="2" t="s">
        <v>416</v>
      </c>
      <c r="B2489" s="2" t="s">
        <v>436</v>
      </c>
      <c r="C2489" s="2" t="n">
        <v>2</v>
      </c>
      <c r="D2489" s="2" t="s">
        <v>574</v>
      </c>
      <c r="E2489" s="2" t="s">
        <v>37</v>
      </c>
      <c r="F2489" s="2" t="n">
        <v>261</v>
      </c>
      <c r="G2489" s="2" t="n">
        <v>19</v>
      </c>
    </row>
    <row r="2490" customFormat="false" ht="16.5" hidden="false" customHeight="true" outlineLevel="0" collapsed="false">
      <c r="A2490" s="2" t="s">
        <v>416</v>
      </c>
      <c r="B2490" s="2" t="s">
        <v>436</v>
      </c>
      <c r="C2490" s="2" t="n">
        <v>2</v>
      </c>
      <c r="D2490" s="2" t="s">
        <v>574</v>
      </c>
      <c r="E2490" s="2" t="s">
        <v>38</v>
      </c>
      <c r="F2490" s="2" t="n">
        <v>261</v>
      </c>
      <c r="G2490" s="2" t="n">
        <v>23</v>
      </c>
    </row>
    <row r="2491" customFormat="false" ht="16.5" hidden="false" customHeight="true" outlineLevel="0" collapsed="false">
      <c r="A2491" s="2" t="s">
        <v>416</v>
      </c>
      <c r="B2491" s="2" t="s">
        <v>436</v>
      </c>
      <c r="C2491" s="2" t="n">
        <v>2</v>
      </c>
      <c r="D2491" s="2" t="s">
        <v>574</v>
      </c>
      <c r="E2491" s="2" t="s">
        <v>39</v>
      </c>
      <c r="F2491" s="2" t="n">
        <v>261</v>
      </c>
      <c r="G2491" s="2" t="n">
        <v>27</v>
      </c>
    </row>
    <row r="2492" customFormat="false" ht="16.5" hidden="false" customHeight="true" outlineLevel="0" collapsed="false">
      <c r="A2492" s="2" t="s">
        <v>416</v>
      </c>
      <c r="B2492" s="2" t="s">
        <v>436</v>
      </c>
      <c r="C2492" s="2" t="n">
        <v>2</v>
      </c>
      <c r="D2492" s="2" t="s">
        <v>574</v>
      </c>
      <c r="E2492" s="2" t="s">
        <v>40</v>
      </c>
      <c r="F2492" s="2" t="n">
        <v>261</v>
      </c>
      <c r="G2492" s="2" t="n">
        <v>31</v>
      </c>
    </row>
    <row r="2493" customFormat="false" ht="16.5" hidden="false" customHeight="true" outlineLevel="0" collapsed="false">
      <c r="A2493" s="2" t="s">
        <v>416</v>
      </c>
      <c r="B2493" s="2" t="s">
        <v>436</v>
      </c>
      <c r="C2493" s="2" t="n">
        <v>2</v>
      </c>
      <c r="D2493" s="2" t="s">
        <v>574</v>
      </c>
      <c r="E2493" s="2" t="s">
        <v>41</v>
      </c>
      <c r="F2493" s="2" t="n">
        <v>261</v>
      </c>
      <c r="G2493" s="2" t="n">
        <v>35</v>
      </c>
    </row>
    <row r="2494" customFormat="false" ht="16.5" hidden="false" customHeight="true" outlineLevel="0" collapsed="false">
      <c r="A2494" s="2" t="s">
        <v>416</v>
      </c>
      <c r="B2494" s="2" t="s">
        <v>436</v>
      </c>
      <c r="C2494" s="2" t="n">
        <v>2</v>
      </c>
      <c r="D2494" s="2" t="s">
        <v>574</v>
      </c>
      <c r="E2494" s="2" t="s">
        <v>42</v>
      </c>
      <c r="F2494" s="2" t="n">
        <v>261</v>
      </c>
      <c r="G2494" s="2" t="n">
        <v>39</v>
      </c>
    </row>
    <row r="2495" customFormat="false" ht="16.5" hidden="false" customHeight="true" outlineLevel="0" collapsed="false">
      <c r="A2495" s="2" t="s">
        <v>416</v>
      </c>
      <c r="B2495" s="2" t="s">
        <v>436</v>
      </c>
      <c r="C2495" s="2" t="n">
        <v>2</v>
      </c>
      <c r="D2495" s="2" t="s">
        <v>574</v>
      </c>
      <c r="E2495" s="2" t="s">
        <v>43</v>
      </c>
      <c r="F2495" s="2" t="n">
        <v>261</v>
      </c>
      <c r="G2495" s="2" t="n">
        <v>43</v>
      </c>
    </row>
    <row r="2496" customFormat="false" ht="16.5" hidden="false" customHeight="true" outlineLevel="0" collapsed="false">
      <c r="A2496" s="2" t="s">
        <v>416</v>
      </c>
      <c r="B2496" s="2" t="s">
        <v>436</v>
      </c>
      <c r="C2496" s="2" t="n">
        <v>2</v>
      </c>
      <c r="D2496" s="2" t="s">
        <v>574</v>
      </c>
      <c r="E2496" s="2" t="s">
        <v>44</v>
      </c>
      <c r="F2496" s="2" t="n">
        <v>261</v>
      </c>
      <c r="G2496" s="2" t="n">
        <v>47</v>
      </c>
    </row>
    <row r="2497" customFormat="false" ht="16.5" hidden="false" customHeight="true" outlineLevel="0" collapsed="false">
      <c r="A2497" s="2" t="s">
        <v>416</v>
      </c>
      <c r="B2497" s="2" t="s">
        <v>436</v>
      </c>
      <c r="C2497" s="2" t="n">
        <v>2</v>
      </c>
      <c r="D2497" s="2" t="s">
        <v>574</v>
      </c>
      <c r="E2497" s="2" t="s">
        <v>48</v>
      </c>
      <c r="F2497" s="2" t="n">
        <v>263</v>
      </c>
      <c r="G2497" s="2" t="n">
        <v>16</v>
      </c>
    </row>
    <row r="2498" customFormat="false" ht="16.5" hidden="false" customHeight="true" outlineLevel="0" collapsed="false">
      <c r="A2498" s="2" t="s">
        <v>416</v>
      </c>
      <c r="B2498" s="2" t="s">
        <v>436</v>
      </c>
      <c r="C2498" s="2" t="n">
        <v>2</v>
      </c>
      <c r="D2498" s="2" t="s">
        <v>574</v>
      </c>
      <c r="E2498" s="2" t="s">
        <v>50</v>
      </c>
      <c r="F2498" s="2" t="n">
        <v>263</v>
      </c>
      <c r="G2498" s="2" t="n">
        <v>20</v>
      </c>
    </row>
    <row r="2499" customFormat="false" ht="16.5" hidden="false" customHeight="true" outlineLevel="0" collapsed="false">
      <c r="A2499" s="2" t="s">
        <v>416</v>
      </c>
      <c r="B2499" s="2" t="s">
        <v>436</v>
      </c>
      <c r="C2499" s="2" t="n">
        <v>2</v>
      </c>
      <c r="D2499" s="2" t="s">
        <v>574</v>
      </c>
      <c r="E2499" s="2" t="s">
        <v>45</v>
      </c>
      <c r="F2499" s="2" t="n">
        <v>263</v>
      </c>
      <c r="G2499" s="2" t="n">
        <v>38</v>
      </c>
    </row>
    <row r="2500" customFormat="false" ht="16.5" hidden="false" customHeight="true" outlineLevel="0" collapsed="false">
      <c r="A2500" s="2" t="s">
        <v>416</v>
      </c>
      <c r="B2500" s="2" t="s">
        <v>436</v>
      </c>
      <c r="C2500" s="2" t="n">
        <v>2</v>
      </c>
      <c r="D2500" s="2" t="s">
        <v>574</v>
      </c>
      <c r="E2500" s="2" t="s">
        <v>46</v>
      </c>
      <c r="F2500" s="2" t="n">
        <v>263</v>
      </c>
      <c r="G2500" s="2" t="n">
        <v>42</v>
      </c>
    </row>
    <row r="2501" customFormat="false" ht="16.5" hidden="false" customHeight="true" outlineLevel="0" collapsed="false">
      <c r="A2501" s="2" t="s">
        <v>416</v>
      </c>
      <c r="B2501" s="2" t="s">
        <v>437</v>
      </c>
      <c r="C2501" s="2" t="n">
        <v>2</v>
      </c>
      <c r="D2501" s="2" t="s">
        <v>575</v>
      </c>
      <c r="E2501" s="2" t="s">
        <v>0</v>
      </c>
      <c r="F2501" s="2" t="n">
        <v>268</v>
      </c>
      <c r="G2501" s="2" t="n">
        <v>6</v>
      </c>
    </row>
    <row r="2502" customFormat="false" ht="16.5" hidden="false" customHeight="true" outlineLevel="0" collapsed="false">
      <c r="A2502" s="2" t="s">
        <v>416</v>
      </c>
      <c r="B2502" s="2" t="s">
        <v>437</v>
      </c>
      <c r="C2502" s="2" t="n">
        <v>2</v>
      </c>
      <c r="D2502" s="2" t="s">
        <v>575</v>
      </c>
      <c r="E2502" s="2" t="s">
        <v>1</v>
      </c>
      <c r="F2502" s="2" t="n">
        <v>268</v>
      </c>
      <c r="G2502" s="2" t="n">
        <v>10</v>
      </c>
    </row>
    <row r="2503" customFormat="false" ht="16.5" hidden="false" customHeight="true" outlineLevel="0" collapsed="false">
      <c r="A2503" s="2" t="s">
        <v>416</v>
      </c>
      <c r="B2503" s="2" t="s">
        <v>437</v>
      </c>
      <c r="C2503" s="2" t="n">
        <v>2</v>
      </c>
      <c r="D2503" s="2" t="s">
        <v>575</v>
      </c>
      <c r="E2503" s="2" t="s">
        <v>2</v>
      </c>
      <c r="F2503" s="2" t="n">
        <v>268</v>
      </c>
      <c r="G2503" s="2" t="n">
        <v>14</v>
      </c>
    </row>
    <row r="2504" customFormat="false" ht="16.5" hidden="false" customHeight="true" outlineLevel="0" collapsed="false">
      <c r="A2504" s="2" t="s">
        <v>416</v>
      </c>
      <c r="B2504" s="2" t="s">
        <v>437</v>
      </c>
      <c r="C2504" s="2" t="n">
        <v>2</v>
      </c>
      <c r="D2504" s="2" t="s">
        <v>575</v>
      </c>
      <c r="E2504" s="2" t="s">
        <v>3</v>
      </c>
      <c r="F2504" s="2" t="n">
        <v>268</v>
      </c>
      <c r="G2504" s="2" t="n">
        <v>18</v>
      </c>
    </row>
    <row r="2505" customFormat="false" ht="16.5" hidden="false" customHeight="true" outlineLevel="0" collapsed="false">
      <c r="A2505" s="2" t="s">
        <v>416</v>
      </c>
      <c r="B2505" s="2" t="s">
        <v>437</v>
      </c>
      <c r="C2505" s="2" t="n">
        <v>2</v>
      </c>
      <c r="D2505" s="2" t="s">
        <v>575</v>
      </c>
      <c r="E2505" s="2" t="s">
        <v>4</v>
      </c>
      <c r="F2505" s="2" t="n">
        <v>268</v>
      </c>
      <c r="G2505" s="2" t="n">
        <v>22</v>
      </c>
    </row>
    <row r="2506" customFormat="false" ht="16.5" hidden="false" customHeight="true" outlineLevel="0" collapsed="false">
      <c r="A2506" s="2" t="s">
        <v>416</v>
      </c>
      <c r="B2506" s="2" t="s">
        <v>437</v>
      </c>
      <c r="C2506" s="2" t="n">
        <v>2</v>
      </c>
      <c r="D2506" s="2" t="s">
        <v>575</v>
      </c>
      <c r="E2506" s="2" t="s">
        <v>5</v>
      </c>
      <c r="F2506" s="2" t="n">
        <v>268</v>
      </c>
      <c r="G2506" s="2" t="n">
        <v>26</v>
      </c>
    </row>
    <row r="2507" customFormat="false" ht="16.5" hidden="false" customHeight="true" outlineLevel="0" collapsed="false">
      <c r="A2507" s="2" t="s">
        <v>416</v>
      </c>
      <c r="B2507" s="2" t="s">
        <v>437</v>
      </c>
      <c r="C2507" s="2" t="n">
        <v>2</v>
      </c>
      <c r="D2507" s="2" t="s">
        <v>575</v>
      </c>
      <c r="E2507" s="2" t="s">
        <v>6</v>
      </c>
      <c r="F2507" s="2" t="n">
        <v>268</v>
      </c>
      <c r="G2507" s="2" t="n">
        <v>30</v>
      </c>
    </row>
    <row r="2508" customFormat="false" ht="16.5" hidden="false" customHeight="true" outlineLevel="0" collapsed="false">
      <c r="A2508" s="2" t="s">
        <v>416</v>
      </c>
      <c r="B2508" s="2" t="s">
        <v>437</v>
      </c>
      <c r="C2508" s="2" t="n">
        <v>2</v>
      </c>
      <c r="D2508" s="2" t="s">
        <v>575</v>
      </c>
      <c r="E2508" s="2" t="s">
        <v>7</v>
      </c>
      <c r="F2508" s="2" t="n">
        <v>268</v>
      </c>
      <c r="G2508" s="2" t="n">
        <v>34</v>
      </c>
    </row>
    <row r="2509" customFormat="false" ht="16.5" hidden="false" customHeight="true" outlineLevel="0" collapsed="false">
      <c r="A2509" s="2" t="s">
        <v>416</v>
      </c>
      <c r="B2509" s="2" t="s">
        <v>437</v>
      </c>
      <c r="C2509" s="2" t="n">
        <v>2</v>
      </c>
      <c r="D2509" s="2" t="s">
        <v>575</v>
      </c>
      <c r="E2509" s="2" t="s">
        <v>8</v>
      </c>
      <c r="F2509" s="2" t="n">
        <v>268</v>
      </c>
      <c r="G2509" s="2" t="n">
        <v>38</v>
      </c>
    </row>
    <row r="2510" customFormat="false" ht="16.5" hidden="false" customHeight="true" outlineLevel="0" collapsed="false">
      <c r="A2510" s="2" t="s">
        <v>416</v>
      </c>
      <c r="B2510" s="2" t="s">
        <v>437</v>
      </c>
      <c r="C2510" s="2" t="n">
        <v>2</v>
      </c>
      <c r="D2510" s="2" t="s">
        <v>575</v>
      </c>
      <c r="E2510" s="2" t="s">
        <v>9</v>
      </c>
      <c r="F2510" s="2" t="n">
        <v>268</v>
      </c>
      <c r="G2510" s="2" t="n">
        <v>42</v>
      </c>
    </row>
    <row r="2511" customFormat="false" ht="16.5" hidden="false" customHeight="true" outlineLevel="0" collapsed="false">
      <c r="A2511" s="2" t="s">
        <v>416</v>
      </c>
      <c r="B2511" s="2" t="s">
        <v>437</v>
      </c>
      <c r="C2511" s="2" t="n">
        <v>2</v>
      </c>
      <c r="D2511" s="2" t="s">
        <v>575</v>
      </c>
      <c r="E2511" s="2" t="s">
        <v>10</v>
      </c>
      <c r="F2511" s="2" t="n">
        <v>268</v>
      </c>
      <c r="G2511" s="2" t="n">
        <v>46</v>
      </c>
    </row>
    <row r="2512" customFormat="false" ht="16.5" hidden="false" customHeight="true" outlineLevel="0" collapsed="false">
      <c r="A2512" s="2" t="s">
        <v>416</v>
      </c>
      <c r="B2512" s="2" t="s">
        <v>437</v>
      </c>
      <c r="C2512" s="2" t="n">
        <v>2</v>
      </c>
      <c r="D2512" s="2" t="s">
        <v>575</v>
      </c>
      <c r="E2512" s="2" t="s">
        <v>11</v>
      </c>
      <c r="F2512" s="2" t="n">
        <v>268</v>
      </c>
      <c r="G2512" s="2" t="n">
        <v>50</v>
      </c>
    </row>
    <row r="2513" customFormat="false" ht="16.5" hidden="false" customHeight="true" outlineLevel="0" collapsed="false">
      <c r="A2513" s="2" t="s">
        <v>416</v>
      </c>
      <c r="B2513" s="2" t="s">
        <v>437</v>
      </c>
      <c r="C2513" s="2" t="n">
        <v>2</v>
      </c>
      <c r="D2513" s="2" t="s">
        <v>575</v>
      </c>
      <c r="E2513" s="2" t="s">
        <v>12</v>
      </c>
      <c r="F2513" s="2" t="n">
        <v>270</v>
      </c>
      <c r="G2513" s="2" t="n">
        <v>8</v>
      </c>
    </row>
    <row r="2514" customFormat="false" ht="16.5" hidden="false" customHeight="true" outlineLevel="0" collapsed="false">
      <c r="A2514" s="2" t="s">
        <v>416</v>
      </c>
      <c r="B2514" s="2" t="s">
        <v>437</v>
      </c>
      <c r="C2514" s="2" t="n">
        <v>2</v>
      </c>
      <c r="D2514" s="2" t="s">
        <v>575</v>
      </c>
      <c r="E2514" s="2" t="s">
        <v>13</v>
      </c>
      <c r="F2514" s="2" t="n">
        <v>270</v>
      </c>
      <c r="G2514" s="2" t="n">
        <v>12</v>
      </c>
    </row>
    <row r="2515" customFormat="false" ht="16.5" hidden="false" customHeight="true" outlineLevel="0" collapsed="false">
      <c r="A2515" s="2" t="s">
        <v>416</v>
      </c>
      <c r="B2515" s="2" t="s">
        <v>437</v>
      </c>
      <c r="C2515" s="2" t="n">
        <v>2</v>
      </c>
      <c r="D2515" s="2" t="s">
        <v>575</v>
      </c>
      <c r="E2515" s="2" t="s">
        <v>14</v>
      </c>
      <c r="F2515" s="2" t="n">
        <v>270</v>
      </c>
      <c r="G2515" s="2" t="n">
        <v>16</v>
      </c>
    </row>
    <row r="2516" customFormat="false" ht="16.5" hidden="false" customHeight="true" outlineLevel="0" collapsed="false">
      <c r="A2516" s="2" t="s">
        <v>416</v>
      </c>
      <c r="B2516" s="2" t="s">
        <v>437</v>
      </c>
      <c r="C2516" s="2" t="n">
        <v>2</v>
      </c>
      <c r="D2516" s="2" t="s">
        <v>575</v>
      </c>
      <c r="E2516" s="2" t="s">
        <v>15</v>
      </c>
      <c r="F2516" s="2" t="n">
        <v>270</v>
      </c>
      <c r="G2516" s="2" t="n">
        <v>20</v>
      </c>
    </row>
    <row r="2517" customFormat="false" ht="16.5" hidden="false" customHeight="true" outlineLevel="0" collapsed="false">
      <c r="A2517" s="2" t="s">
        <v>416</v>
      </c>
      <c r="B2517" s="2" t="s">
        <v>437</v>
      </c>
      <c r="C2517" s="2" t="n">
        <v>2</v>
      </c>
      <c r="D2517" s="2" t="s">
        <v>575</v>
      </c>
      <c r="E2517" s="2" t="s">
        <v>16</v>
      </c>
      <c r="F2517" s="2" t="n">
        <v>270</v>
      </c>
      <c r="G2517" s="2" t="n">
        <v>24</v>
      </c>
    </row>
    <row r="2518" customFormat="false" ht="16.5" hidden="false" customHeight="true" outlineLevel="0" collapsed="false">
      <c r="A2518" s="2" t="s">
        <v>416</v>
      </c>
      <c r="B2518" s="2" t="s">
        <v>437</v>
      </c>
      <c r="C2518" s="2" t="n">
        <v>2</v>
      </c>
      <c r="D2518" s="2" t="s">
        <v>575</v>
      </c>
      <c r="E2518" s="2" t="s">
        <v>17</v>
      </c>
      <c r="F2518" s="2" t="n">
        <v>270</v>
      </c>
      <c r="G2518" s="2" t="n">
        <v>28</v>
      </c>
    </row>
    <row r="2519" customFormat="false" ht="16.5" hidden="false" customHeight="true" outlineLevel="0" collapsed="false">
      <c r="A2519" s="2" t="s">
        <v>416</v>
      </c>
      <c r="B2519" s="2" t="s">
        <v>437</v>
      </c>
      <c r="C2519" s="2" t="n">
        <v>2</v>
      </c>
      <c r="D2519" s="2" t="s">
        <v>575</v>
      </c>
      <c r="E2519" s="2" t="s">
        <v>18</v>
      </c>
      <c r="F2519" s="2" t="n">
        <v>270</v>
      </c>
      <c r="G2519" s="2" t="n">
        <v>32</v>
      </c>
    </row>
    <row r="2520" customFormat="false" ht="16.5" hidden="false" customHeight="true" outlineLevel="0" collapsed="false">
      <c r="A2520" s="2" t="s">
        <v>416</v>
      </c>
      <c r="B2520" s="2" t="s">
        <v>437</v>
      </c>
      <c r="C2520" s="2" t="n">
        <v>2</v>
      </c>
      <c r="D2520" s="2" t="s">
        <v>575</v>
      </c>
      <c r="E2520" s="2" t="s">
        <v>19</v>
      </c>
      <c r="F2520" s="2" t="n">
        <v>270</v>
      </c>
      <c r="G2520" s="2" t="n">
        <v>36</v>
      </c>
    </row>
    <row r="2521" customFormat="false" ht="16.5" hidden="false" customHeight="true" outlineLevel="0" collapsed="false">
      <c r="A2521" s="2" t="s">
        <v>416</v>
      </c>
      <c r="B2521" s="2" t="s">
        <v>437</v>
      </c>
      <c r="C2521" s="2" t="n">
        <v>2</v>
      </c>
      <c r="D2521" s="2" t="s">
        <v>575</v>
      </c>
      <c r="E2521" s="2" t="s">
        <v>20</v>
      </c>
      <c r="F2521" s="2" t="n">
        <v>270</v>
      </c>
      <c r="G2521" s="2" t="n">
        <v>40</v>
      </c>
    </row>
    <row r="2522" customFormat="false" ht="16.5" hidden="false" customHeight="true" outlineLevel="0" collapsed="false">
      <c r="A2522" s="2" t="s">
        <v>416</v>
      </c>
      <c r="B2522" s="2" t="s">
        <v>437</v>
      </c>
      <c r="C2522" s="2" t="n">
        <v>2</v>
      </c>
      <c r="D2522" s="2" t="s">
        <v>575</v>
      </c>
      <c r="E2522" s="2" t="s">
        <v>21</v>
      </c>
      <c r="F2522" s="2" t="n">
        <v>270</v>
      </c>
      <c r="G2522" s="2" t="n">
        <v>44</v>
      </c>
    </row>
    <row r="2523" customFormat="false" ht="16.5" hidden="false" customHeight="true" outlineLevel="0" collapsed="false">
      <c r="A2523" s="2" t="s">
        <v>416</v>
      </c>
      <c r="B2523" s="2" t="s">
        <v>437</v>
      </c>
      <c r="C2523" s="2" t="n">
        <v>2</v>
      </c>
      <c r="D2523" s="2" t="s">
        <v>575</v>
      </c>
      <c r="E2523" s="2" t="s">
        <v>22</v>
      </c>
      <c r="F2523" s="2" t="n">
        <v>270</v>
      </c>
      <c r="G2523" s="2" t="n">
        <v>48</v>
      </c>
    </row>
    <row r="2524" customFormat="false" ht="16.5" hidden="false" customHeight="true" outlineLevel="0" collapsed="false">
      <c r="A2524" s="2" t="s">
        <v>416</v>
      </c>
      <c r="B2524" s="2" t="s">
        <v>437</v>
      </c>
      <c r="C2524" s="2" t="n">
        <v>2</v>
      </c>
      <c r="D2524" s="2" t="s">
        <v>575</v>
      </c>
      <c r="E2524" s="2" t="s">
        <v>23</v>
      </c>
      <c r="F2524" s="2" t="n">
        <v>270</v>
      </c>
      <c r="G2524" s="2" t="n">
        <v>52</v>
      </c>
    </row>
    <row r="2525" customFormat="false" ht="16.5" hidden="false" customHeight="true" outlineLevel="0" collapsed="false">
      <c r="A2525" s="2" t="s">
        <v>416</v>
      </c>
      <c r="B2525" s="2" t="s">
        <v>437</v>
      </c>
      <c r="C2525" s="2" t="n">
        <v>2</v>
      </c>
      <c r="D2525" s="2" t="s">
        <v>575</v>
      </c>
      <c r="E2525" s="2" t="s">
        <v>24</v>
      </c>
      <c r="F2525" s="2" t="n">
        <v>272</v>
      </c>
      <c r="G2525" s="2" t="n">
        <v>9</v>
      </c>
    </row>
    <row r="2526" customFormat="false" ht="16.5" hidden="false" customHeight="true" outlineLevel="0" collapsed="false">
      <c r="A2526" s="2" t="s">
        <v>416</v>
      </c>
      <c r="B2526" s="2" t="s">
        <v>437</v>
      </c>
      <c r="C2526" s="2" t="n">
        <v>2</v>
      </c>
      <c r="D2526" s="2" t="s">
        <v>575</v>
      </c>
      <c r="E2526" s="2" t="s">
        <v>25</v>
      </c>
      <c r="F2526" s="2" t="n">
        <v>272</v>
      </c>
      <c r="G2526" s="2" t="n">
        <v>13</v>
      </c>
    </row>
    <row r="2527" customFormat="false" ht="16.5" hidden="false" customHeight="true" outlineLevel="0" collapsed="false">
      <c r="A2527" s="2" t="s">
        <v>416</v>
      </c>
      <c r="B2527" s="2" t="s">
        <v>437</v>
      </c>
      <c r="C2527" s="2" t="n">
        <v>2</v>
      </c>
      <c r="D2527" s="2" t="s">
        <v>575</v>
      </c>
      <c r="E2527" s="2" t="s">
        <v>26</v>
      </c>
      <c r="F2527" s="2" t="n">
        <v>272</v>
      </c>
      <c r="G2527" s="2" t="n">
        <v>17</v>
      </c>
    </row>
    <row r="2528" customFormat="false" ht="16.5" hidden="false" customHeight="true" outlineLevel="0" collapsed="false">
      <c r="A2528" s="2" t="s">
        <v>416</v>
      </c>
      <c r="B2528" s="2" t="s">
        <v>437</v>
      </c>
      <c r="C2528" s="2" t="n">
        <v>2</v>
      </c>
      <c r="D2528" s="2" t="s">
        <v>575</v>
      </c>
      <c r="E2528" s="2" t="s">
        <v>27</v>
      </c>
      <c r="F2528" s="2" t="n">
        <v>272</v>
      </c>
      <c r="G2528" s="2" t="n">
        <v>21</v>
      </c>
    </row>
    <row r="2529" customFormat="false" ht="16.5" hidden="false" customHeight="true" outlineLevel="0" collapsed="false">
      <c r="A2529" s="2" t="s">
        <v>416</v>
      </c>
      <c r="B2529" s="2" t="s">
        <v>437</v>
      </c>
      <c r="C2529" s="2" t="n">
        <v>2</v>
      </c>
      <c r="D2529" s="2" t="s">
        <v>575</v>
      </c>
      <c r="E2529" s="2" t="s">
        <v>28</v>
      </c>
      <c r="F2529" s="2" t="n">
        <v>272</v>
      </c>
      <c r="G2529" s="2" t="n">
        <v>25</v>
      </c>
    </row>
    <row r="2530" customFormat="false" ht="16.5" hidden="false" customHeight="true" outlineLevel="0" collapsed="false">
      <c r="A2530" s="2" t="s">
        <v>416</v>
      </c>
      <c r="B2530" s="2" t="s">
        <v>437</v>
      </c>
      <c r="C2530" s="2" t="n">
        <v>2</v>
      </c>
      <c r="D2530" s="2" t="s">
        <v>575</v>
      </c>
      <c r="E2530" s="2" t="s">
        <v>29</v>
      </c>
      <c r="F2530" s="2" t="n">
        <v>272</v>
      </c>
      <c r="G2530" s="2" t="n">
        <v>29</v>
      </c>
    </row>
    <row r="2531" customFormat="false" ht="16.5" hidden="false" customHeight="true" outlineLevel="0" collapsed="false">
      <c r="A2531" s="2" t="s">
        <v>416</v>
      </c>
      <c r="B2531" s="2" t="s">
        <v>437</v>
      </c>
      <c r="C2531" s="2" t="n">
        <v>2</v>
      </c>
      <c r="D2531" s="2" t="s">
        <v>575</v>
      </c>
      <c r="E2531" s="2" t="s">
        <v>30</v>
      </c>
      <c r="F2531" s="2" t="n">
        <v>272</v>
      </c>
      <c r="G2531" s="2" t="n">
        <v>33</v>
      </c>
    </row>
    <row r="2532" customFormat="false" ht="16.5" hidden="false" customHeight="true" outlineLevel="0" collapsed="false">
      <c r="A2532" s="2" t="s">
        <v>416</v>
      </c>
      <c r="B2532" s="2" t="s">
        <v>437</v>
      </c>
      <c r="C2532" s="2" t="n">
        <v>2</v>
      </c>
      <c r="D2532" s="2" t="s">
        <v>575</v>
      </c>
      <c r="E2532" s="2" t="s">
        <v>31</v>
      </c>
      <c r="F2532" s="2" t="n">
        <v>272</v>
      </c>
      <c r="G2532" s="2" t="n">
        <v>37</v>
      </c>
    </row>
    <row r="2533" customFormat="false" ht="16.5" hidden="false" customHeight="true" outlineLevel="0" collapsed="false">
      <c r="A2533" s="2" t="s">
        <v>416</v>
      </c>
      <c r="B2533" s="2" t="s">
        <v>437</v>
      </c>
      <c r="C2533" s="2" t="n">
        <v>2</v>
      </c>
      <c r="D2533" s="2" t="s">
        <v>575</v>
      </c>
      <c r="E2533" s="2" t="s">
        <v>32</v>
      </c>
      <c r="F2533" s="2" t="n">
        <v>272</v>
      </c>
      <c r="G2533" s="2" t="n">
        <v>41</v>
      </c>
    </row>
    <row r="2534" customFormat="false" ht="16.5" hidden="false" customHeight="true" outlineLevel="0" collapsed="false">
      <c r="A2534" s="2" t="s">
        <v>416</v>
      </c>
      <c r="B2534" s="2" t="s">
        <v>437</v>
      </c>
      <c r="C2534" s="2" t="n">
        <v>2</v>
      </c>
      <c r="D2534" s="2" t="s">
        <v>575</v>
      </c>
      <c r="E2534" s="2" t="s">
        <v>33</v>
      </c>
      <c r="F2534" s="2" t="n">
        <v>272</v>
      </c>
      <c r="G2534" s="2" t="n">
        <v>45</v>
      </c>
    </row>
    <row r="2535" customFormat="false" ht="16.5" hidden="false" customHeight="true" outlineLevel="0" collapsed="false">
      <c r="A2535" s="2" t="s">
        <v>416</v>
      </c>
      <c r="B2535" s="2" t="s">
        <v>437</v>
      </c>
      <c r="C2535" s="2" t="n">
        <v>2</v>
      </c>
      <c r="D2535" s="2" t="s">
        <v>575</v>
      </c>
      <c r="E2535" s="2" t="s">
        <v>34</v>
      </c>
      <c r="F2535" s="2" t="n">
        <v>272</v>
      </c>
      <c r="G2535" s="2" t="n">
        <v>49</v>
      </c>
    </row>
    <row r="2536" customFormat="false" ht="16.5" hidden="false" customHeight="true" outlineLevel="0" collapsed="false">
      <c r="A2536" s="2" t="s">
        <v>416</v>
      </c>
      <c r="B2536" s="2" t="s">
        <v>437</v>
      </c>
      <c r="C2536" s="2" t="n">
        <v>2</v>
      </c>
      <c r="D2536" s="2" t="s">
        <v>575</v>
      </c>
      <c r="E2536" s="2" t="s">
        <v>35</v>
      </c>
      <c r="F2536" s="2" t="n">
        <v>274</v>
      </c>
      <c r="G2536" s="2" t="n">
        <v>11</v>
      </c>
    </row>
    <row r="2537" customFormat="false" ht="16.5" hidden="false" customHeight="true" outlineLevel="0" collapsed="false">
      <c r="A2537" s="2" t="s">
        <v>416</v>
      </c>
      <c r="B2537" s="2" t="s">
        <v>437</v>
      </c>
      <c r="C2537" s="2" t="n">
        <v>2</v>
      </c>
      <c r="D2537" s="2" t="s">
        <v>575</v>
      </c>
      <c r="E2537" s="2" t="s">
        <v>36</v>
      </c>
      <c r="F2537" s="2" t="n">
        <v>274</v>
      </c>
      <c r="G2537" s="2" t="n">
        <v>15</v>
      </c>
    </row>
    <row r="2538" customFormat="false" ht="16.5" hidden="false" customHeight="true" outlineLevel="0" collapsed="false">
      <c r="A2538" s="2" t="s">
        <v>416</v>
      </c>
      <c r="B2538" s="2" t="s">
        <v>437</v>
      </c>
      <c r="C2538" s="2" t="n">
        <v>2</v>
      </c>
      <c r="D2538" s="2" t="s">
        <v>575</v>
      </c>
      <c r="E2538" s="2" t="s">
        <v>37</v>
      </c>
      <c r="F2538" s="2" t="n">
        <v>274</v>
      </c>
      <c r="G2538" s="2" t="n">
        <v>19</v>
      </c>
    </row>
    <row r="2539" customFormat="false" ht="16.5" hidden="false" customHeight="true" outlineLevel="0" collapsed="false">
      <c r="A2539" s="2" t="s">
        <v>416</v>
      </c>
      <c r="B2539" s="2" t="s">
        <v>437</v>
      </c>
      <c r="C2539" s="2" t="n">
        <v>2</v>
      </c>
      <c r="D2539" s="2" t="s">
        <v>575</v>
      </c>
      <c r="E2539" s="2" t="s">
        <v>38</v>
      </c>
      <c r="F2539" s="2" t="n">
        <v>274</v>
      </c>
      <c r="G2539" s="2" t="n">
        <v>23</v>
      </c>
    </row>
    <row r="2540" customFormat="false" ht="16.5" hidden="false" customHeight="true" outlineLevel="0" collapsed="false">
      <c r="A2540" s="2" t="s">
        <v>416</v>
      </c>
      <c r="B2540" s="2" t="s">
        <v>437</v>
      </c>
      <c r="C2540" s="2" t="n">
        <v>2</v>
      </c>
      <c r="D2540" s="2" t="s">
        <v>575</v>
      </c>
      <c r="E2540" s="2" t="s">
        <v>39</v>
      </c>
      <c r="F2540" s="2" t="n">
        <v>274</v>
      </c>
      <c r="G2540" s="2" t="n">
        <v>27</v>
      </c>
    </row>
    <row r="2541" customFormat="false" ht="16.5" hidden="false" customHeight="true" outlineLevel="0" collapsed="false">
      <c r="A2541" s="2" t="s">
        <v>416</v>
      </c>
      <c r="B2541" s="2" t="s">
        <v>437</v>
      </c>
      <c r="C2541" s="2" t="n">
        <v>2</v>
      </c>
      <c r="D2541" s="2" t="s">
        <v>575</v>
      </c>
      <c r="E2541" s="2" t="s">
        <v>40</v>
      </c>
      <c r="F2541" s="2" t="n">
        <v>274</v>
      </c>
      <c r="G2541" s="2" t="n">
        <v>31</v>
      </c>
    </row>
    <row r="2542" customFormat="false" ht="16.5" hidden="false" customHeight="true" outlineLevel="0" collapsed="false">
      <c r="A2542" s="2" t="s">
        <v>416</v>
      </c>
      <c r="B2542" s="2" t="s">
        <v>437</v>
      </c>
      <c r="C2542" s="2" t="n">
        <v>2</v>
      </c>
      <c r="D2542" s="2" t="s">
        <v>575</v>
      </c>
      <c r="E2542" s="2" t="s">
        <v>41</v>
      </c>
      <c r="F2542" s="2" t="n">
        <v>274</v>
      </c>
      <c r="G2542" s="2" t="n">
        <v>35</v>
      </c>
    </row>
    <row r="2543" customFormat="false" ht="16.5" hidden="false" customHeight="true" outlineLevel="0" collapsed="false">
      <c r="A2543" s="2" t="s">
        <v>416</v>
      </c>
      <c r="B2543" s="2" t="s">
        <v>437</v>
      </c>
      <c r="C2543" s="2" t="n">
        <v>2</v>
      </c>
      <c r="D2543" s="2" t="s">
        <v>575</v>
      </c>
      <c r="E2543" s="2" t="s">
        <v>42</v>
      </c>
      <c r="F2543" s="2" t="n">
        <v>274</v>
      </c>
      <c r="G2543" s="2" t="n">
        <v>39</v>
      </c>
    </row>
    <row r="2544" customFormat="false" ht="16.5" hidden="false" customHeight="true" outlineLevel="0" collapsed="false">
      <c r="A2544" s="2" t="s">
        <v>416</v>
      </c>
      <c r="B2544" s="2" t="s">
        <v>437</v>
      </c>
      <c r="C2544" s="2" t="n">
        <v>2</v>
      </c>
      <c r="D2544" s="2" t="s">
        <v>575</v>
      </c>
      <c r="E2544" s="2" t="s">
        <v>43</v>
      </c>
      <c r="F2544" s="2" t="n">
        <v>274</v>
      </c>
      <c r="G2544" s="2" t="n">
        <v>43</v>
      </c>
    </row>
    <row r="2545" customFormat="false" ht="16.5" hidden="false" customHeight="true" outlineLevel="0" collapsed="false">
      <c r="A2545" s="2" t="s">
        <v>416</v>
      </c>
      <c r="B2545" s="2" t="s">
        <v>437</v>
      </c>
      <c r="C2545" s="2" t="n">
        <v>2</v>
      </c>
      <c r="D2545" s="2" t="s">
        <v>575</v>
      </c>
      <c r="E2545" s="2" t="s">
        <v>44</v>
      </c>
      <c r="F2545" s="2" t="n">
        <v>274</v>
      </c>
      <c r="G2545" s="2" t="n">
        <v>47</v>
      </c>
    </row>
    <row r="2546" customFormat="false" ht="16.5" hidden="false" customHeight="true" outlineLevel="0" collapsed="false">
      <c r="A2546" s="2" t="s">
        <v>416</v>
      </c>
      <c r="B2546" s="2" t="s">
        <v>437</v>
      </c>
      <c r="C2546" s="2" t="n">
        <v>2</v>
      </c>
      <c r="D2546" s="2" t="s">
        <v>575</v>
      </c>
      <c r="E2546" s="2" t="s">
        <v>48</v>
      </c>
      <c r="F2546" s="2" t="n">
        <v>276</v>
      </c>
      <c r="G2546" s="2" t="n">
        <v>16</v>
      </c>
    </row>
    <row r="2547" customFormat="false" ht="16.5" hidden="false" customHeight="true" outlineLevel="0" collapsed="false">
      <c r="A2547" s="2" t="s">
        <v>416</v>
      </c>
      <c r="B2547" s="2" t="s">
        <v>437</v>
      </c>
      <c r="C2547" s="2" t="n">
        <v>2</v>
      </c>
      <c r="D2547" s="2" t="s">
        <v>575</v>
      </c>
      <c r="E2547" s="2" t="s">
        <v>50</v>
      </c>
      <c r="F2547" s="2" t="n">
        <v>276</v>
      </c>
      <c r="G2547" s="2" t="n">
        <v>20</v>
      </c>
    </row>
    <row r="2548" customFormat="false" ht="16.5" hidden="false" customHeight="true" outlineLevel="0" collapsed="false">
      <c r="A2548" s="2" t="s">
        <v>416</v>
      </c>
      <c r="B2548" s="2" t="s">
        <v>437</v>
      </c>
      <c r="C2548" s="2" t="n">
        <v>2</v>
      </c>
      <c r="D2548" s="2" t="s">
        <v>575</v>
      </c>
      <c r="E2548" s="2" t="s">
        <v>45</v>
      </c>
      <c r="F2548" s="2" t="n">
        <v>276</v>
      </c>
      <c r="G2548" s="2" t="n">
        <v>38</v>
      </c>
    </row>
    <row r="2549" customFormat="false" ht="16.5" hidden="false" customHeight="true" outlineLevel="0" collapsed="false">
      <c r="A2549" s="2" t="s">
        <v>416</v>
      </c>
      <c r="B2549" s="2" t="s">
        <v>437</v>
      </c>
      <c r="C2549" s="2" t="n">
        <v>2</v>
      </c>
      <c r="D2549" s="2" t="s">
        <v>575</v>
      </c>
      <c r="E2549" s="2" t="s">
        <v>46</v>
      </c>
      <c r="F2549" s="2" t="n">
        <v>276</v>
      </c>
      <c r="G2549" s="2" t="n">
        <v>42</v>
      </c>
    </row>
    <row r="2550" customFormat="false" ht="16.5" hidden="false" customHeight="true" outlineLevel="0" collapsed="false">
      <c r="A2550" s="2" t="s">
        <v>416</v>
      </c>
      <c r="B2550" s="2" t="s">
        <v>438</v>
      </c>
      <c r="C2550" s="2" t="n">
        <v>2</v>
      </c>
      <c r="D2550" s="2" t="s">
        <v>576</v>
      </c>
      <c r="E2550" s="2" t="s">
        <v>0</v>
      </c>
      <c r="F2550" s="2" t="n">
        <v>281</v>
      </c>
      <c r="G2550" s="2" t="n">
        <v>6</v>
      </c>
    </row>
    <row r="2551" customFormat="false" ht="16.5" hidden="false" customHeight="true" outlineLevel="0" collapsed="false">
      <c r="A2551" s="2" t="s">
        <v>416</v>
      </c>
      <c r="B2551" s="2" t="s">
        <v>438</v>
      </c>
      <c r="C2551" s="2" t="n">
        <v>2</v>
      </c>
      <c r="D2551" s="2" t="s">
        <v>576</v>
      </c>
      <c r="E2551" s="2" t="s">
        <v>1</v>
      </c>
      <c r="F2551" s="2" t="n">
        <v>281</v>
      </c>
      <c r="G2551" s="2" t="n">
        <v>10</v>
      </c>
    </row>
    <row r="2552" customFormat="false" ht="16.5" hidden="false" customHeight="true" outlineLevel="0" collapsed="false">
      <c r="A2552" s="2" t="s">
        <v>416</v>
      </c>
      <c r="B2552" s="2" t="s">
        <v>438</v>
      </c>
      <c r="C2552" s="2" t="n">
        <v>2</v>
      </c>
      <c r="D2552" s="2" t="s">
        <v>576</v>
      </c>
      <c r="E2552" s="2" t="s">
        <v>2</v>
      </c>
      <c r="F2552" s="2" t="n">
        <v>281</v>
      </c>
      <c r="G2552" s="2" t="n">
        <v>14</v>
      </c>
    </row>
    <row r="2553" customFormat="false" ht="16.5" hidden="false" customHeight="true" outlineLevel="0" collapsed="false">
      <c r="A2553" s="2" t="s">
        <v>416</v>
      </c>
      <c r="B2553" s="2" t="s">
        <v>438</v>
      </c>
      <c r="C2553" s="2" t="n">
        <v>2</v>
      </c>
      <c r="D2553" s="2" t="s">
        <v>576</v>
      </c>
      <c r="E2553" s="2" t="s">
        <v>3</v>
      </c>
      <c r="F2553" s="2" t="n">
        <v>281</v>
      </c>
      <c r="G2553" s="2" t="n">
        <v>18</v>
      </c>
    </row>
    <row r="2554" customFormat="false" ht="16.5" hidden="false" customHeight="true" outlineLevel="0" collapsed="false">
      <c r="A2554" s="2" t="s">
        <v>416</v>
      </c>
      <c r="B2554" s="2" t="s">
        <v>438</v>
      </c>
      <c r="C2554" s="2" t="n">
        <v>2</v>
      </c>
      <c r="D2554" s="2" t="s">
        <v>576</v>
      </c>
      <c r="E2554" s="2" t="s">
        <v>4</v>
      </c>
      <c r="F2554" s="2" t="n">
        <v>281</v>
      </c>
      <c r="G2554" s="2" t="n">
        <v>22</v>
      </c>
    </row>
    <row r="2555" customFormat="false" ht="16.5" hidden="false" customHeight="true" outlineLevel="0" collapsed="false">
      <c r="A2555" s="2" t="s">
        <v>416</v>
      </c>
      <c r="B2555" s="2" t="s">
        <v>438</v>
      </c>
      <c r="C2555" s="2" t="n">
        <v>2</v>
      </c>
      <c r="D2555" s="2" t="s">
        <v>576</v>
      </c>
      <c r="E2555" s="2" t="s">
        <v>5</v>
      </c>
      <c r="F2555" s="2" t="n">
        <v>281</v>
      </c>
      <c r="G2555" s="2" t="n">
        <v>26</v>
      </c>
    </row>
    <row r="2556" customFormat="false" ht="16.5" hidden="false" customHeight="true" outlineLevel="0" collapsed="false">
      <c r="A2556" s="2" t="s">
        <v>416</v>
      </c>
      <c r="B2556" s="2" t="s">
        <v>438</v>
      </c>
      <c r="C2556" s="2" t="n">
        <v>2</v>
      </c>
      <c r="D2556" s="2" t="s">
        <v>576</v>
      </c>
      <c r="E2556" s="2" t="s">
        <v>6</v>
      </c>
      <c r="F2556" s="2" t="n">
        <v>281</v>
      </c>
      <c r="G2556" s="2" t="n">
        <v>30</v>
      </c>
    </row>
    <row r="2557" customFormat="false" ht="16.5" hidden="false" customHeight="true" outlineLevel="0" collapsed="false">
      <c r="A2557" s="2" t="s">
        <v>416</v>
      </c>
      <c r="B2557" s="2" t="s">
        <v>438</v>
      </c>
      <c r="C2557" s="2" t="n">
        <v>2</v>
      </c>
      <c r="D2557" s="2" t="s">
        <v>576</v>
      </c>
      <c r="E2557" s="2" t="s">
        <v>7</v>
      </c>
      <c r="F2557" s="2" t="n">
        <v>281</v>
      </c>
      <c r="G2557" s="2" t="n">
        <v>34</v>
      </c>
    </row>
    <row r="2558" customFormat="false" ht="16.5" hidden="false" customHeight="true" outlineLevel="0" collapsed="false">
      <c r="A2558" s="2" t="s">
        <v>416</v>
      </c>
      <c r="B2558" s="2" t="s">
        <v>438</v>
      </c>
      <c r="C2558" s="2" t="n">
        <v>2</v>
      </c>
      <c r="D2558" s="2" t="s">
        <v>576</v>
      </c>
      <c r="E2558" s="2" t="s">
        <v>8</v>
      </c>
      <c r="F2558" s="2" t="n">
        <v>281</v>
      </c>
      <c r="G2558" s="2" t="n">
        <v>38</v>
      </c>
    </row>
    <row r="2559" customFormat="false" ht="16.5" hidden="false" customHeight="true" outlineLevel="0" collapsed="false">
      <c r="A2559" s="2" t="s">
        <v>416</v>
      </c>
      <c r="B2559" s="2" t="s">
        <v>438</v>
      </c>
      <c r="C2559" s="2" t="n">
        <v>2</v>
      </c>
      <c r="D2559" s="2" t="s">
        <v>576</v>
      </c>
      <c r="E2559" s="2" t="s">
        <v>9</v>
      </c>
      <c r="F2559" s="2" t="n">
        <v>281</v>
      </c>
      <c r="G2559" s="2" t="n">
        <v>42</v>
      </c>
    </row>
    <row r="2560" customFormat="false" ht="16.5" hidden="false" customHeight="true" outlineLevel="0" collapsed="false">
      <c r="A2560" s="2" t="s">
        <v>416</v>
      </c>
      <c r="B2560" s="2" t="s">
        <v>438</v>
      </c>
      <c r="C2560" s="2" t="n">
        <v>2</v>
      </c>
      <c r="D2560" s="2" t="s">
        <v>576</v>
      </c>
      <c r="E2560" s="2" t="s">
        <v>10</v>
      </c>
      <c r="F2560" s="2" t="n">
        <v>281</v>
      </c>
      <c r="G2560" s="2" t="n">
        <v>46</v>
      </c>
    </row>
    <row r="2561" customFormat="false" ht="16.5" hidden="false" customHeight="true" outlineLevel="0" collapsed="false">
      <c r="A2561" s="2" t="s">
        <v>416</v>
      </c>
      <c r="B2561" s="2" t="s">
        <v>438</v>
      </c>
      <c r="C2561" s="2" t="n">
        <v>2</v>
      </c>
      <c r="D2561" s="2" t="s">
        <v>576</v>
      </c>
      <c r="E2561" s="2" t="s">
        <v>11</v>
      </c>
      <c r="F2561" s="2" t="n">
        <v>281</v>
      </c>
      <c r="G2561" s="2" t="n">
        <v>50</v>
      </c>
    </row>
    <row r="2562" customFormat="false" ht="16.5" hidden="false" customHeight="true" outlineLevel="0" collapsed="false">
      <c r="A2562" s="2" t="s">
        <v>416</v>
      </c>
      <c r="B2562" s="2" t="s">
        <v>438</v>
      </c>
      <c r="C2562" s="2" t="n">
        <v>2</v>
      </c>
      <c r="D2562" s="2" t="s">
        <v>576</v>
      </c>
      <c r="E2562" s="2" t="s">
        <v>12</v>
      </c>
      <c r="F2562" s="2" t="n">
        <v>283</v>
      </c>
      <c r="G2562" s="2" t="n">
        <v>8</v>
      </c>
    </row>
    <row r="2563" customFormat="false" ht="16.5" hidden="false" customHeight="true" outlineLevel="0" collapsed="false">
      <c r="A2563" s="2" t="s">
        <v>416</v>
      </c>
      <c r="B2563" s="2" t="s">
        <v>438</v>
      </c>
      <c r="C2563" s="2" t="n">
        <v>2</v>
      </c>
      <c r="D2563" s="2" t="s">
        <v>576</v>
      </c>
      <c r="E2563" s="2" t="s">
        <v>13</v>
      </c>
      <c r="F2563" s="2" t="n">
        <v>283</v>
      </c>
      <c r="G2563" s="2" t="n">
        <v>12</v>
      </c>
    </row>
    <row r="2564" customFormat="false" ht="16.5" hidden="false" customHeight="true" outlineLevel="0" collapsed="false">
      <c r="A2564" s="2" t="s">
        <v>416</v>
      </c>
      <c r="B2564" s="2" t="s">
        <v>438</v>
      </c>
      <c r="C2564" s="2" t="n">
        <v>2</v>
      </c>
      <c r="D2564" s="2" t="s">
        <v>576</v>
      </c>
      <c r="E2564" s="2" t="s">
        <v>14</v>
      </c>
      <c r="F2564" s="2" t="n">
        <v>283</v>
      </c>
      <c r="G2564" s="2" t="n">
        <v>16</v>
      </c>
    </row>
    <row r="2565" customFormat="false" ht="16.5" hidden="false" customHeight="true" outlineLevel="0" collapsed="false">
      <c r="A2565" s="2" t="s">
        <v>416</v>
      </c>
      <c r="B2565" s="2" t="s">
        <v>438</v>
      </c>
      <c r="C2565" s="2" t="n">
        <v>2</v>
      </c>
      <c r="D2565" s="2" t="s">
        <v>576</v>
      </c>
      <c r="E2565" s="2" t="s">
        <v>15</v>
      </c>
      <c r="F2565" s="2" t="n">
        <v>283</v>
      </c>
      <c r="G2565" s="2" t="n">
        <v>20</v>
      </c>
    </row>
    <row r="2566" customFormat="false" ht="16.5" hidden="false" customHeight="true" outlineLevel="0" collapsed="false">
      <c r="A2566" s="2" t="s">
        <v>416</v>
      </c>
      <c r="B2566" s="2" t="s">
        <v>438</v>
      </c>
      <c r="C2566" s="2" t="n">
        <v>2</v>
      </c>
      <c r="D2566" s="2" t="s">
        <v>576</v>
      </c>
      <c r="E2566" s="2" t="s">
        <v>16</v>
      </c>
      <c r="F2566" s="2" t="n">
        <v>283</v>
      </c>
      <c r="G2566" s="2" t="n">
        <v>24</v>
      </c>
    </row>
    <row r="2567" customFormat="false" ht="16.5" hidden="false" customHeight="true" outlineLevel="0" collapsed="false">
      <c r="A2567" s="2" t="s">
        <v>416</v>
      </c>
      <c r="B2567" s="2" t="s">
        <v>438</v>
      </c>
      <c r="C2567" s="2" t="n">
        <v>2</v>
      </c>
      <c r="D2567" s="2" t="s">
        <v>576</v>
      </c>
      <c r="E2567" s="2" t="s">
        <v>17</v>
      </c>
      <c r="F2567" s="2" t="n">
        <v>283</v>
      </c>
      <c r="G2567" s="2" t="n">
        <v>28</v>
      </c>
    </row>
    <row r="2568" customFormat="false" ht="16.5" hidden="false" customHeight="true" outlineLevel="0" collapsed="false">
      <c r="A2568" s="2" t="s">
        <v>416</v>
      </c>
      <c r="B2568" s="2" t="s">
        <v>438</v>
      </c>
      <c r="C2568" s="2" t="n">
        <v>2</v>
      </c>
      <c r="D2568" s="2" t="s">
        <v>576</v>
      </c>
      <c r="E2568" s="2" t="s">
        <v>18</v>
      </c>
      <c r="F2568" s="2" t="n">
        <v>283</v>
      </c>
      <c r="G2568" s="2" t="n">
        <v>32</v>
      </c>
    </row>
    <row r="2569" customFormat="false" ht="16.5" hidden="false" customHeight="true" outlineLevel="0" collapsed="false">
      <c r="A2569" s="2" t="s">
        <v>416</v>
      </c>
      <c r="B2569" s="2" t="s">
        <v>438</v>
      </c>
      <c r="C2569" s="2" t="n">
        <v>2</v>
      </c>
      <c r="D2569" s="2" t="s">
        <v>576</v>
      </c>
      <c r="E2569" s="2" t="s">
        <v>19</v>
      </c>
      <c r="F2569" s="2" t="n">
        <v>283</v>
      </c>
      <c r="G2569" s="2" t="n">
        <v>36</v>
      </c>
    </row>
    <row r="2570" customFormat="false" ht="16.5" hidden="false" customHeight="true" outlineLevel="0" collapsed="false">
      <c r="A2570" s="2" t="s">
        <v>416</v>
      </c>
      <c r="B2570" s="2" t="s">
        <v>438</v>
      </c>
      <c r="C2570" s="2" t="n">
        <v>2</v>
      </c>
      <c r="D2570" s="2" t="s">
        <v>576</v>
      </c>
      <c r="E2570" s="2" t="s">
        <v>20</v>
      </c>
      <c r="F2570" s="2" t="n">
        <v>283</v>
      </c>
      <c r="G2570" s="2" t="n">
        <v>40</v>
      </c>
    </row>
    <row r="2571" customFormat="false" ht="16.5" hidden="false" customHeight="true" outlineLevel="0" collapsed="false">
      <c r="A2571" s="2" t="s">
        <v>416</v>
      </c>
      <c r="B2571" s="2" t="s">
        <v>438</v>
      </c>
      <c r="C2571" s="2" t="n">
        <v>2</v>
      </c>
      <c r="D2571" s="2" t="s">
        <v>576</v>
      </c>
      <c r="E2571" s="2" t="s">
        <v>21</v>
      </c>
      <c r="F2571" s="2" t="n">
        <v>283</v>
      </c>
      <c r="G2571" s="2" t="n">
        <v>44</v>
      </c>
    </row>
    <row r="2572" customFormat="false" ht="16.5" hidden="false" customHeight="true" outlineLevel="0" collapsed="false">
      <c r="A2572" s="2" t="s">
        <v>416</v>
      </c>
      <c r="B2572" s="2" t="s">
        <v>438</v>
      </c>
      <c r="C2572" s="2" t="n">
        <v>2</v>
      </c>
      <c r="D2572" s="2" t="s">
        <v>576</v>
      </c>
      <c r="E2572" s="2" t="s">
        <v>22</v>
      </c>
      <c r="F2572" s="2" t="n">
        <v>283</v>
      </c>
      <c r="G2572" s="2" t="n">
        <v>48</v>
      </c>
    </row>
    <row r="2573" customFormat="false" ht="16.5" hidden="false" customHeight="true" outlineLevel="0" collapsed="false">
      <c r="A2573" s="2" t="s">
        <v>416</v>
      </c>
      <c r="B2573" s="2" t="s">
        <v>438</v>
      </c>
      <c r="C2573" s="2" t="n">
        <v>2</v>
      </c>
      <c r="D2573" s="2" t="s">
        <v>576</v>
      </c>
      <c r="E2573" s="2" t="s">
        <v>23</v>
      </c>
      <c r="F2573" s="2" t="n">
        <v>283</v>
      </c>
      <c r="G2573" s="2" t="n">
        <v>52</v>
      </c>
    </row>
    <row r="2574" customFormat="false" ht="16.5" hidden="false" customHeight="true" outlineLevel="0" collapsed="false">
      <c r="A2574" s="2" t="s">
        <v>416</v>
      </c>
      <c r="B2574" s="2" t="s">
        <v>438</v>
      </c>
      <c r="C2574" s="2" t="n">
        <v>2</v>
      </c>
      <c r="D2574" s="2" t="s">
        <v>576</v>
      </c>
      <c r="E2574" s="2" t="s">
        <v>24</v>
      </c>
      <c r="F2574" s="2" t="n">
        <v>285</v>
      </c>
      <c r="G2574" s="2" t="n">
        <v>9</v>
      </c>
    </row>
    <row r="2575" customFormat="false" ht="16.5" hidden="false" customHeight="true" outlineLevel="0" collapsed="false">
      <c r="A2575" s="2" t="s">
        <v>416</v>
      </c>
      <c r="B2575" s="2" t="s">
        <v>438</v>
      </c>
      <c r="C2575" s="2" t="n">
        <v>2</v>
      </c>
      <c r="D2575" s="2" t="s">
        <v>576</v>
      </c>
      <c r="E2575" s="2" t="s">
        <v>25</v>
      </c>
      <c r="F2575" s="2" t="n">
        <v>285</v>
      </c>
      <c r="G2575" s="2" t="n">
        <v>13</v>
      </c>
    </row>
    <row r="2576" customFormat="false" ht="16.5" hidden="false" customHeight="true" outlineLevel="0" collapsed="false">
      <c r="A2576" s="2" t="s">
        <v>416</v>
      </c>
      <c r="B2576" s="2" t="s">
        <v>438</v>
      </c>
      <c r="C2576" s="2" t="n">
        <v>2</v>
      </c>
      <c r="D2576" s="2" t="s">
        <v>576</v>
      </c>
      <c r="E2576" s="2" t="s">
        <v>26</v>
      </c>
      <c r="F2576" s="2" t="n">
        <v>285</v>
      </c>
      <c r="G2576" s="2" t="n">
        <v>17</v>
      </c>
    </row>
    <row r="2577" customFormat="false" ht="16.5" hidden="false" customHeight="true" outlineLevel="0" collapsed="false">
      <c r="A2577" s="2" t="s">
        <v>416</v>
      </c>
      <c r="B2577" s="2" t="s">
        <v>438</v>
      </c>
      <c r="C2577" s="2" t="n">
        <v>2</v>
      </c>
      <c r="D2577" s="2" t="s">
        <v>576</v>
      </c>
      <c r="E2577" s="2" t="s">
        <v>27</v>
      </c>
      <c r="F2577" s="2" t="n">
        <v>285</v>
      </c>
      <c r="G2577" s="2" t="n">
        <v>21</v>
      </c>
    </row>
    <row r="2578" customFormat="false" ht="16.5" hidden="false" customHeight="true" outlineLevel="0" collapsed="false">
      <c r="A2578" s="2" t="s">
        <v>416</v>
      </c>
      <c r="B2578" s="2" t="s">
        <v>438</v>
      </c>
      <c r="C2578" s="2" t="n">
        <v>2</v>
      </c>
      <c r="D2578" s="2" t="s">
        <v>576</v>
      </c>
      <c r="E2578" s="2" t="s">
        <v>28</v>
      </c>
      <c r="F2578" s="2" t="n">
        <v>285</v>
      </c>
      <c r="G2578" s="2" t="n">
        <v>25</v>
      </c>
    </row>
    <row r="2579" customFormat="false" ht="16.5" hidden="false" customHeight="true" outlineLevel="0" collapsed="false">
      <c r="A2579" s="2" t="s">
        <v>416</v>
      </c>
      <c r="B2579" s="2" t="s">
        <v>438</v>
      </c>
      <c r="C2579" s="2" t="n">
        <v>2</v>
      </c>
      <c r="D2579" s="2" t="s">
        <v>576</v>
      </c>
      <c r="E2579" s="2" t="s">
        <v>29</v>
      </c>
      <c r="F2579" s="2" t="n">
        <v>285</v>
      </c>
      <c r="G2579" s="2" t="n">
        <v>29</v>
      </c>
    </row>
    <row r="2580" customFormat="false" ht="16.5" hidden="false" customHeight="true" outlineLevel="0" collapsed="false">
      <c r="A2580" s="2" t="s">
        <v>416</v>
      </c>
      <c r="B2580" s="2" t="s">
        <v>438</v>
      </c>
      <c r="C2580" s="2" t="n">
        <v>2</v>
      </c>
      <c r="D2580" s="2" t="s">
        <v>576</v>
      </c>
      <c r="E2580" s="2" t="s">
        <v>30</v>
      </c>
      <c r="F2580" s="2" t="n">
        <v>285</v>
      </c>
      <c r="G2580" s="2" t="n">
        <v>33</v>
      </c>
    </row>
    <row r="2581" customFormat="false" ht="16.5" hidden="false" customHeight="true" outlineLevel="0" collapsed="false">
      <c r="A2581" s="2" t="s">
        <v>416</v>
      </c>
      <c r="B2581" s="2" t="s">
        <v>438</v>
      </c>
      <c r="C2581" s="2" t="n">
        <v>2</v>
      </c>
      <c r="D2581" s="2" t="s">
        <v>576</v>
      </c>
      <c r="E2581" s="2" t="s">
        <v>31</v>
      </c>
      <c r="F2581" s="2" t="n">
        <v>285</v>
      </c>
      <c r="G2581" s="2" t="n">
        <v>37</v>
      </c>
    </row>
    <row r="2582" customFormat="false" ht="16.5" hidden="false" customHeight="true" outlineLevel="0" collapsed="false">
      <c r="A2582" s="2" t="s">
        <v>416</v>
      </c>
      <c r="B2582" s="2" t="s">
        <v>438</v>
      </c>
      <c r="C2582" s="2" t="n">
        <v>2</v>
      </c>
      <c r="D2582" s="2" t="s">
        <v>576</v>
      </c>
      <c r="E2582" s="2" t="s">
        <v>32</v>
      </c>
      <c r="F2582" s="2" t="n">
        <v>285</v>
      </c>
      <c r="G2582" s="2" t="n">
        <v>41</v>
      </c>
    </row>
    <row r="2583" customFormat="false" ht="16.5" hidden="false" customHeight="true" outlineLevel="0" collapsed="false">
      <c r="A2583" s="2" t="s">
        <v>416</v>
      </c>
      <c r="B2583" s="2" t="s">
        <v>438</v>
      </c>
      <c r="C2583" s="2" t="n">
        <v>2</v>
      </c>
      <c r="D2583" s="2" t="s">
        <v>576</v>
      </c>
      <c r="E2583" s="2" t="s">
        <v>33</v>
      </c>
      <c r="F2583" s="2" t="n">
        <v>285</v>
      </c>
      <c r="G2583" s="2" t="n">
        <v>45</v>
      </c>
    </row>
    <row r="2584" customFormat="false" ht="16.5" hidden="false" customHeight="true" outlineLevel="0" collapsed="false">
      <c r="A2584" s="2" t="s">
        <v>416</v>
      </c>
      <c r="B2584" s="2" t="s">
        <v>438</v>
      </c>
      <c r="C2584" s="2" t="n">
        <v>2</v>
      </c>
      <c r="D2584" s="2" t="s">
        <v>576</v>
      </c>
      <c r="E2584" s="2" t="s">
        <v>34</v>
      </c>
      <c r="F2584" s="2" t="n">
        <v>285</v>
      </c>
      <c r="G2584" s="2" t="n">
        <v>49</v>
      </c>
    </row>
    <row r="2585" customFormat="false" ht="16.5" hidden="false" customHeight="true" outlineLevel="0" collapsed="false">
      <c r="A2585" s="2" t="s">
        <v>416</v>
      </c>
      <c r="B2585" s="2" t="s">
        <v>438</v>
      </c>
      <c r="C2585" s="2" t="n">
        <v>2</v>
      </c>
      <c r="D2585" s="2" t="s">
        <v>576</v>
      </c>
      <c r="E2585" s="2" t="s">
        <v>35</v>
      </c>
      <c r="F2585" s="2" t="n">
        <v>287</v>
      </c>
      <c r="G2585" s="2" t="n">
        <v>11</v>
      </c>
    </row>
    <row r="2586" customFormat="false" ht="16.5" hidden="false" customHeight="true" outlineLevel="0" collapsed="false">
      <c r="A2586" s="2" t="s">
        <v>416</v>
      </c>
      <c r="B2586" s="2" t="s">
        <v>438</v>
      </c>
      <c r="C2586" s="2" t="n">
        <v>2</v>
      </c>
      <c r="D2586" s="2" t="s">
        <v>576</v>
      </c>
      <c r="E2586" s="2" t="s">
        <v>36</v>
      </c>
      <c r="F2586" s="2" t="n">
        <v>287</v>
      </c>
      <c r="G2586" s="2" t="n">
        <v>15</v>
      </c>
    </row>
    <row r="2587" customFormat="false" ht="16.5" hidden="false" customHeight="true" outlineLevel="0" collapsed="false">
      <c r="A2587" s="2" t="s">
        <v>416</v>
      </c>
      <c r="B2587" s="2" t="s">
        <v>438</v>
      </c>
      <c r="C2587" s="2" t="n">
        <v>2</v>
      </c>
      <c r="D2587" s="2" t="s">
        <v>576</v>
      </c>
      <c r="E2587" s="2" t="s">
        <v>37</v>
      </c>
      <c r="F2587" s="2" t="n">
        <v>287</v>
      </c>
      <c r="G2587" s="2" t="n">
        <v>19</v>
      </c>
    </row>
    <row r="2588" customFormat="false" ht="16.5" hidden="false" customHeight="true" outlineLevel="0" collapsed="false">
      <c r="A2588" s="2" t="s">
        <v>416</v>
      </c>
      <c r="B2588" s="2" t="s">
        <v>438</v>
      </c>
      <c r="C2588" s="2" t="n">
        <v>2</v>
      </c>
      <c r="D2588" s="2" t="s">
        <v>576</v>
      </c>
      <c r="E2588" s="2" t="s">
        <v>38</v>
      </c>
      <c r="F2588" s="2" t="n">
        <v>287</v>
      </c>
      <c r="G2588" s="2" t="n">
        <v>23</v>
      </c>
    </row>
    <row r="2589" customFormat="false" ht="16.5" hidden="false" customHeight="true" outlineLevel="0" collapsed="false">
      <c r="A2589" s="2" t="s">
        <v>416</v>
      </c>
      <c r="B2589" s="2" t="s">
        <v>438</v>
      </c>
      <c r="C2589" s="2" t="n">
        <v>2</v>
      </c>
      <c r="D2589" s="2" t="s">
        <v>576</v>
      </c>
      <c r="E2589" s="2" t="s">
        <v>39</v>
      </c>
      <c r="F2589" s="2" t="n">
        <v>287</v>
      </c>
      <c r="G2589" s="2" t="n">
        <v>27</v>
      </c>
    </row>
    <row r="2590" customFormat="false" ht="16.5" hidden="false" customHeight="true" outlineLevel="0" collapsed="false">
      <c r="A2590" s="2" t="s">
        <v>416</v>
      </c>
      <c r="B2590" s="2" t="s">
        <v>438</v>
      </c>
      <c r="C2590" s="2" t="n">
        <v>2</v>
      </c>
      <c r="D2590" s="2" t="s">
        <v>576</v>
      </c>
      <c r="E2590" s="2" t="s">
        <v>40</v>
      </c>
      <c r="F2590" s="2" t="n">
        <v>287</v>
      </c>
      <c r="G2590" s="2" t="n">
        <v>31</v>
      </c>
    </row>
    <row r="2591" customFormat="false" ht="16.5" hidden="false" customHeight="true" outlineLevel="0" collapsed="false">
      <c r="A2591" s="2" t="s">
        <v>416</v>
      </c>
      <c r="B2591" s="2" t="s">
        <v>438</v>
      </c>
      <c r="C2591" s="2" t="n">
        <v>2</v>
      </c>
      <c r="D2591" s="2" t="s">
        <v>576</v>
      </c>
      <c r="E2591" s="2" t="s">
        <v>41</v>
      </c>
      <c r="F2591" s="2" t="n">
        <v>287</v>
      </c>
      <c r="G2591" s="2" t="n">
        <v>35</v>
      </c>
    </row>
    <row r="2592" customFormat="false" ht="16.5" hidden="false" customHeight="true" outlineLevel="0" collapsed="false">
      <c r="A2592" s="2" t="s">
        <v>416</v>
      </c>
      <c r="B2592" s="2" t="s">
        <v>438</v>
      </c>
      <c r="C2592" s="2" t="n">
        <v>2</v>
      </c>
      <c r="D2592" s="2" t="s">
        <v>576</v>
      </c>
      <c r="E2592" s="2" t="s">
        <v>42</v>
      </c>
      <c r="F2592" s="2" t="n">
        <v>287</v>
      </c>
      <c r="G2592" s="2" t="n">
        <v>39</v>
      </c>
    </row>
    <row r="2593" customFormat="false" ht="16.5" hidden="false" customHeight="true" outlineLevel="0" collapsed="false">
      <c r="A2593" s="2" t="s">
        <v>416</v>
      </c>
      <c r="B2593" s="2" t="s">
        <v>438</v>
      </c>
      <c r="C2593" s="2" t="n">
        <v>2</v>
      </c>
      <c r="D2593" s="2" t="s">
        <v>576</v>
      </c>
      <c r="E2593" s="2" t="s">
        <v>43</v>
      </c>
      <c r="F2593" s="2" t="n">
        <v>287</v>
      </c>
      <c r="G2593" s="2" t="n">
        <v>43</v>
      </c>
    </row>
    <row r="2594" customFormat="false" ht="16.5" hidden="false" customHeight="true" outlineLevel="0" collapsed="false">
      <c r="A2594" s="2" t="s">
        <v>416</v>
      </c>
      <c r="B2594" s="2" t="s">
        <v>438</v>
      </c>
      <c r="C2594" s="2" t="n">
        <v>2</v>
      </c>
      <c r="D2594" s="2" t="s">
        <v>576</v>
      </c>
      <c r="E2594" s="2" t="s">
        <v>44</v>
      </c>
      <c r="F2594" s="2" t="n">
        <v>287</v>
      </c>
      <c r="G2594" s="2" t="n">
        <v>47</v>
      </c>
    </row>
    <row r="2595" customFormat="false" ht="16.5" hidden="false" customHeight="true" outlineLevel="0" collapsed="false">
      <c r="A2595" s="2" t="s">
        <v>416</v>
      </c>
      <c r="B2595" s="2" t="s">
        <v>438</v>
      </c>
      <c r="C2595" s="2" t="n">
        <v>2</v>
      </c>
      <c r="D2595" s="2" t="s">
        <v>576</v>
      </c>
      <c r="E2595" s="2" t="s">
        <v>48</v>
      </c>
      <c r="F2595" s="2" t="n">
        <v>289</v>
      </c>
      <c r="G2595" s="2" t="n">
        <v>16</v>
      </c>
    </row>
    <row r="2596" customFormat="false" ht="16.5" hidden="false" customHeight="true" outlineLevel="0" collapsed="false">
      <c r="A2596" s="2" t="s">
        <v>416</v>
      </c>
      <c r="B2596" s="2" t="s">
        <v>438</v>
      </c>
      <c r="C2596" s="2" t="n">
        <v>2</v>
      </c>
      <c r="D2596" s="2" t="s">
        <v>576</v>
      </c>
      <c r="E2596" s="2" t="s">
        <v>50</v>
      </c>
      <c r="F2596" s="2" t="n">
        <v>289</v>
      </c>
      <c r="G2596" s="2" t="n">
        <v>20</v>
      </c>
    </row>
    <row r="2597" customFormat="false" ht="16.5" hidden="false" customHeight="true" outlineLevel="0" collapsed="false">
      <c r="A2597" s="2" t="s">
        <v>416</v>
      </c>
      <c r="B2597" s="2" t="s">
        <v>438</v>
      </c>
      <c r="C2597" s="2" t="n">
        <v>2</v>
      </c>
      <c r="D2597" s="2" t="s">
        <v>576</v>
      </c>
      <c r="E2597" s="2" t="s">
        <v>45</v>
      </c>
      <c r="F2597" s="2" t="n">
        <v>289</v>
      </c>
      <c r="G2597" s="2" t="n">
        <v>38</v>
      </c>
    </row>
    <row r="2598" customFormat="false" ht="16.5" hidden="false" customHeight="true" outlineLevel="0" collapsed="false">
      <c r="A2598" s="2" t="s">
        <v>416</v>
      </c>
      <c r="B2598" s="2" t="s">
        <v>438</v>
      </c>
      <c r="C2598" s="2" t="n">
        <v>2</v>
      </c>
      <c r="D2598" s="2" t="s">
        <v>576</v>
      </c>
      <c r="E2598" s="2" t="s">
        <v>46</v>
      </c>
      <c r="F2598" s="2" t="n">
        <v>289</v>
      </c>
      <c r="G2598" s="2" t="n">
        <v>42</v>
      </c>
    </row>
    <row r="2599" customFormat="false" ht="16.5" hidden="false" customHeight="true" outlineLevel="0" collapsed="false">
      <c r="A2599" s="2" t="s">
        <v>416</v>
      </c>
      <c r="B2599" s="2" t="s">
        <v>439</v>
      </c>
      <c r="C2599" s="2" t="n">
        <v>2</v>
      </c>
      <c r="D2599" s="2" t="s">
        <v>577</v>
      </c>
      <c r="E2599" s="2" t="s">
        <v>0</v>
      </c>
      <c r="F2599" s="2" t="n">
        <v>294</v>
      </c>
      <c r="G2599" s="2" t="n">
        <v>6</v>
      </c>
    </row>
    <row r="2600" customFormat="false" ht="16.5" hidden="false" customHeight="true" outlineLevel="0" collapsed="false">
      <c r="A2600" s="2" t="s">
        <v>416</v>
      </c>
      <c r="B2600" s="2" t="s">
        <v>439</v>
      </c>
      <c r="C2600" s="2" t="n">
        <v>2</v>
      </c>
      <c r="D2600" s="2" t="s">
        <v>577</v>
      </c>
      <c r="E2600" s="2" t="s">
        <v>1</v>
      </c>
      <c r="F2600" s="2" t="n">
        <v>294</v>
      </c>
      <c r="G2600" s="2" t="n">
        <v>10</v>
      </c>
    </row>
    <row r="2601" customFormat="false" ht="16.5" hidden="false" customHeight="true" outlineLevel="0" collapsed="false">
      <c r="A2601" s="2" t="s">
        <v>416</v>
      </c>
      <c r="B2601" s="2" t="s">
        <v>439</v>
      </c>
      <c r="C2601" s="2" t="n">
        <v>2</v>
      </c>
      <c r="D2601" s="2" t="s">
        <v>577</v>
      </c>
      <c r="E2601" s="2" t="s">
        <v>2</v>
      </c>
      <c r="F2601" s="2" t="n">
        <v>294</v>
      </c>
      <c r="G2601" s="2" t="n">
        <v>14</v>
      </c>
    </row>
    <row r="2602" customFormat="false" ht="16.5" hidden="false" customHeight="true" outlineLevel="0" collapsed="false">
      <c r="A2602" s="2" t="s">
        <v>416</v>
      </c>
      <c r="B2602" s="2" t="s">
        <v>439</v>
      </c>
      <c r="C2602" s="2" t="n">
        <v>2</v>
      </c>
      <c r="D2602" s="2" t="s">
        <v>577</v>
      </c>
      <c r="E2602" s="2" t="s">
        <v>3</v>
      </c>
      <c r="F2602" s="2" t="n">
        <v>294</v>
      </c>
      <c r="G2602" s="2" t="n">
        <v>18</v>
      </c>
    </row>
    <row r="2603" customFormat="false" ht="16.5" hidden="false" customHeight="true" outlineLevel="0" collapsed="false">
      <c r="A2603" s="2" t="s">
        <v>416</v>
      </c>
      <c r="B2603" s="2" t="s">
        <v>439</v>
      </c>
      <c r="C2603" s="2" t="n">
        <v>2</v>
      </c>
      <c r="D2603" s="2" t="s">
        <v>577</v>
      </c>
      <c r="E2603" s="2" t="s">
        <v>4</v>
      </c>
      <c r="F2603" s="2" t="n">
        <v>294</v>
      </c>
      <c r="G2603" s="2" t="n">
        <v>22</v>
      </c>
    </row>
    <row r="2604" customFormat="false" ht="16.5" hidden="false" customHeight="true" outlineLevel="0" collapsed="false">
      <c r="A2604" s="2" t="s">
        <v>416</v>
      </c>
      <c r="B2604" s="2" t="s">
        <v>439</v>
      </c>
      <c r="C2604" s="2" t="n">
        <v>2</v>
      </c>
      <c r="D2604" s="2" t="s">
        <v>577</v>
      </c>
      <c r="E2604" s="2" t="s">
        <v>5</v>
      </c>
      <c r="F2604" s="2" t="n">
        <v>294</v>
      </c>
      <c r="G2604" s="2" t="n">
        <v>26</v>
      </c>
    </row>
    <row r="2605" customFormat="false" ht="16.5" hidden="false" customHeight="true" outlineLevel="0" collapsed="false">
      <c r="A2605" s="2" t="s">
        <v>416</v>
      </c>
      <c r="B2605" s="2" t="s">
        <v>439</v>
      </c>
      <c r="C2605" s="2" t="n">
        <v>2</v>
      </c>
      <c r="D2605" s="2" t="s">
        <v>577</v>
      </c>
      <c r="E2605" s="2" t="s">
        <v>6</v>
      </c>
      <c r="F2605" s="2" t="n">
        <v>294</v>
      </c>
      <c r="G2605" s="2" t="n">
        <v>30</v>
      </c>
    </row>
    <row r="2606" customFormat="false" ht="16.5" hidden="false" customHeight="true" outlineLevel="0" collapsed="false">
      <c r="A2606" s="2" t="s">
        <v>416</v>
      </c>
      <c r="B2606" s="2" t="s">
        <v>439</v>
      </c>
      <c r="C2606" s="2" t="n">
        <v>2</v>
      </c>
      <c r="D2606" s="2" t="s">
        <v>577</v>
      </c>
      <c r="E2606" s="2" t="s">
        <v>7</v>
      </c>
      <c r="F2606" s="2" t="n">
        <v>294</v>
      </c>
      <c r="G2606" s="2" t="n">
        <v>34</v>
      </c>
    </row>
    <row r="2607" customFormat="false" ht="16.5" hidden="false" customHeight="true" outlineLevel="0" collapsed="false">
      <c r="A2607" s="2" t="s">
        <v>416</v>
      </c>
      <c r="B2607" s="2" t="s">
        <v>439</v>
      </c>
      <c r="C2607" s="2" t="n">
        <v>2</v>
      </c>
      <c r="D2607" s="2" t="s">
        <v>577</v>
      </c>
      <c r="E2607" s="2" t="s">
        <v>8</v>
      </c>
      <c r="F2607" s="2" t="n">
        <v>294</v>
      </c>
      <c r="G2607" s="2" t="n">
        <v>38</v>
      </c>
    </row>
    <row r="2608" customFormat="false" ht="16.5" hidden="false" customHeight="true" outlineLevel="0" collapsed="false">
      <c r="A2608" s="2" t="s">
        <v>416</v>
      </c>
      <c r="B2608" s="2" t="s">
        <v>439</v>
      </c>
      <c r="C2608" s="2" t="n">
        <v>2</v>
      </c>
      <c r="D2608" s="2" t="s">
        <v>577</v>
      </c>
      <c r="E2608" s="2" t="s">
        <v>9</v>
      </c>
      <c r="F2608" s="2" t="n">
        <v>294</v>
      </c>
      <c r="G2608" s="2" t="n">
        <v>42</v>
      </c>
    </row>
    <row r="2609" customFormat="false" ht="16.5" hidden="false" customHeight="true" outlineLevel="0" collapsed="false">
      <c r="A2609" s="2" t="s">
        <v>416</v>
      </c>
      <c r="B2609" s="2" t="s">
        <v>439</v>
      </c>
      <c r="C2609" s="2" t="n">
        <v>2</v>
      </c>
      <c r="D2609" s="2" t="s">
        <v>577</v>
      </c>
      <c r="E2609" s="2" t="s">
        <v>10</v>
      </c>
      <c r="F2609" s="2" t="n">
        <v>294</v>
      </c>
      <c r="G2609" s="2" t="n">
        <v>46</v>
      </c>
    </row>
    <row r="2610" customFormat="false" ht="16.5" hidden="false" customHeight="true" outlineLevel="0" collapsed="false">
      <c r="A2610" s="2" t="s">
        <v>416</v>
      </c>
      <c r="B2610" s="2" t="s">
        <v>439</v>
      </c>
      <c r="C2610" s="2" t="n">
        <v>2</v>
      </c>
      <c r="D2610" s="2" t="s">
        <v>577</v>
      </c>
      <c r="E2610" s="2" t="s">
        <v>11</v>
      </c>
      <c r="F2610" s="2" t="n">
        <v>294</v>
      </c>
      <c r="G2610" s="2" t="n">
        <v>50</v>
      </c>
    </row>
    <row r="2611" customFormat="false" ht="16.5" hidden="false" customHeight="true" outlineLevel="0" collapsed="false">
      <c r="A2611" s="2" t="s">
        <v>416</v>
      </c>
      <c r="B2611" s="2" t="s">
        <v>439</v>
      </c>
      <c r="C2611" s="2" t="n">
        <v>2</v>
      </c>
      <c r="D2611" s="2" t="s">
        <v>577</v>
      </c>
      <c r="E2611" s="2" t="s">
        <v>12</v>
      </c>
      <c r="F2611" s="2" t="n">
        <v>296</v>
      </c>
      <c r="G2611" s="2" t="n">
        <v>8</v>
      </c>
    </row>
    <row r="2612" customFormat="false" ht="16.5" hidden="false" customHeight="true" outlineLevel="0" collapsed="false">
      <c r="A2612" s="2" t="s">
        <v>416</v>
      </c>
      <c r="B2612" s="2" t="s">
        <v>439</v>
      </c>
      <c r="C2612" s="2" t="n">
        <v>2</v>
      </c>
      <c r="D2612" s="2" t="s">
        <v>577</v>
      </c>
      <c r="E2612" s="2" t="s">
        <v>13</v>
      </c>
      <c r="F2612" s="2" t="n">
        <v>296</v>
      </c>
      <c r="G2612" s="2" t="n">
        <v>12</v>
      </c>
    </row>
    <row r="2613" customFormat="false" ht="16.5" hidden="false" customHeight="true" outlineLevel="0" collapsed="false">
      <c r="A2613" s="2" t="s">
        <v>416</v>
      </c>
      <c r="B2613" s="2" t="s">
        <v>439</v>
      </c>
      <c r="C2613" s="2" t="n">
        <v>2</v>
      </c>
      <c r="D2613" s="2" t="s">
        <v>577</v>
      </c>
      <c r="E2613" s="2" t="s">
        <v>14</v>
      </c>
      <c r="F2613" s="2" t="n">
        <v>296</v>
      </c>
      <c r="G2613" s="2" t="n">
        <v>16</v>
      </c>
    </row>
    <row r="2614" customFormat="false" ht="16.5" hidden="false" customHeight="true" outlineLevel="0" collapsed="false">
      <c r="A2614" s="2" t="s">
        <v>416</v>
      </c>
      <c r="B2614" s="2" t="s">
        <v>439</v>
      </c>
      <c r="C2614" s="2" t="n">
        <v>2</v>
      </c>
      <c r="D2614" s="2" t="s">
        <v>577</v>
      </c>
      <c r="E2614" s="2" t="s">
        <v>15</v>
      </c>
      <c r="F2614" s="2" t="n">
        <v>296</v>
      </c>
      <c r="G2614" s="2" t="n">
        <v>20</v>
      </c>
    </row>
    <row r="2615" customFormat="false" ht="16.5" hidden="false" customHeight="true" outlineLevel="0" collapsed="false">
      <c r="A2615" s="2" t="s">
        <v>416</v>
      </c>
      <c r="B2615" s="2" t="s">
        <v>439</v>
      </c>
      <c r="C2615" s="2" t="n">
        <v>2</v>
      </c>
      <c r="D2615" s="2" t="s">
        <v>577</v>
      </c>
      <c r="E2615" s="2" t="s">
        <v>16</v>
      </c>
      <c r="F2615" s="2" t="n">
        <v>296</v>
      </c>
      <c r="G2615" s="2" t="n">
        <v>24</v>
      </c>
    </row>
    <row r="2616" customFormat="false" ht="16.5" hidden="false" customHeight="true" outlineLevel="0" collapsed="false">
      <c r="A2616" s="2" t="s">
        <v>416</v>
      </c>
      <c r="B2616" s="2" t="s">
        <v>439</v>
      </c>
      <c r="C2616" s="2" t="n">
        <v>2</v>
      </c>
      <c r="D2616" s="2" t="s">
        <v>577</v>
      </c>
      <c r="E2616" s="2" t="s">
        <v>17</v>
      </c>
      <c r="F2616" s="2" t="n">
        <v>296</v>
      </c>
      <c r="G2616" s="2" t="n">
        <v>28</v>
      </c>
    </row>
    <row r="2617" customFormat="false" ht="16.5" hidden="false" customHeight="true" outlineLevel="0" collapsed="false">
      <c r="A2617" s="2" t="s">
        <v>416</v>
      </c>
      <c r="B2617" s="2" t="s">
        <v>439</v>
      </c>
      <c r="C2617" s="2" t="n">
        <v>2</v>
      </c>
      <c r="D2617" s="2" t="s">
        <v>577</v>
      </c>
      <c r="E2617" s="2" t="s">
        <v>18</v>
      </c>
      <c r="F2617" s="2" t="n">
        <v>296</v>
      </c>
      <c r="G2617" s="2" t="n">
        <v>32</v>
      </c>
    </row>
    <row r="2618" customFormat="false" ht="16.5" hidden="false" customHeight="true" outlineLevel="0" collapsed="false">
      <c r="A2618" s="2" t="s">
        <v>416</v>
      </c>
      <c r="B2618" s="2" t="s">
        <v>439</v>
      </c>
      <c r="C2618" s="2" t="n">
        <v>2</v>
      </c>
      <c r="D2618" s="2" t="s">
        <v>577</v>
      </c>
      <c r="E2618" s="2" t="s">
        <v>19</v>
      </c>
      <c r="F2618" s="2" t="n">
        <v>296</v>
      </c>
      <c r="G2618" s="2" t="n">
        <v>36</v>
      </c>
    </row>
    <row r="2619" customFormat="false" ht="16.5" hidden="false" customHeight="true" outlineLevel="0" collapsed="false">
      <c r="A2619" s="2" t="s">
        <v>416</v>
      </c>
      <c r="B2619" s="2" t="s">
        <v>439</v>
      </c>
      <c r="C2619" s="2" t="n">
        <v>2</v>
      </c>
      <c r="D2619" s="2" t="s">
        <v>577</v>
      </c>
      <c r="E2619" s="2" t="s">
        <v>20</v>
      </c>
      <c r="F2619" s="2" t="n">
        <v>296</v>
      </c>
      <c r="G2619" s="2" t="n">
        <v>40</v>
      </c>
    </row>
    <row r="2620" customFormat="false" ht="16.5" hidden="false" customHeight="true" outlineLevel="0" collapsed="false">
      <c r="A2620" s="2" t="s">
        <v>416</v>
      </c>
      <c r="B2620" s="2" t="s">
        <v>439</v>
      </c>
      <c r="C2620" s="2" t="n">
        <v>2</v>
      </c>
      <c r="D2620" s="2" t="s">
        <v>577</v>
      </c>
      <c r="E2620" s="2" t="s">
        <v>21</v>
      </c>
      <c r="F2620" s="2" t="n">
        <v>296</v>
      </c>
      <c r="G2620" s="2" t="n">
        <v>44</v>
      </c>
    </row>
    <row r="2621" customFormat="false" ht="16.5" hidden="false" customHeight="true" outlineLevel="0" collapsed="false">
      <c r="A2621" s="2" t="s">
        <v>416</v>
      </c>
      <c r="B2621" s="2" t="s">
        <v>439</v>
      </c>
      <c r="C2621" s="2" t="n">
        <v>2</v>
      </c>
      <c r="D2621" s="2" t="s">
        <v>577</v>
      </c>
      <c r="E2621" s="2" t="s">
        <v>22</v>
      </c>
      <c r="F2621" s="2" t="n">
        <v>296</v>
      </c>
      <c r="G2621" s="2" t="n">
        <v>48</v>
      </c>
    </row>
    <row r="2622" customFormat="false" ht="16.5" hidden="false" customHeight="true" outlineLevel="0" collapsed="false">
      <c r="A2622" s="2" t="s">
        <v>416</v>
      </c>
      <c r="B2622" s="2" t="s">
        <v>439</v>
      </c>
      <c r="C2622" s="2" t="n">
        <v>2</v>
      </c>
      <c r="D2622" s="2" t="s">
        <v>577</v>
      </c>
      <c r="E2622" s="2" t="s">
        <v>23</v>
      </c>
      <c r="F2622" s="2" t="n">
        <v>296</v>
      </c>
      <c r="G2622" s="2" t="n">
        <v>52</v>
      </c>
    </row>
    <row r="2623" customFormat="false" ht="16.5" hidden="false" customHeight="true" outlineLevel="0" collapsed="false">
      <c r="A2623" s="2" t="s">
        <v>416</v>
      </c>
      <c r="B2623" s="2" t="s">
        <v>439</v>
      </c>
      <c r="C2623" s="2" t="n">
        <v>2</v>
      </c>
      <c r="D2623" s="2" t="s">
        <v>577</v>
      </c>
      <c r="E2623" s="2" t="s">
        <v>24</v>
      </c>
      <c r="F2623" s="2" t="n">
        <v>298</v>
      </c>
      <c r="G2623" s="2" t="n">
        <v>9</v>
      </c>
    </row>
    <row r="2624" customFormat="false" ht="16.5" hidden="false" customHeight="true" outlineLevel="0" collapsed="false">
      <c r="A2624" s="2" t="s">
        <v>416</v>
      </c>
      <c r="B2624" s="2" t="s">
        <v>439</v>
      </c>
      <c r="C2624" s="2" t="n">
        <v>2</v>
      </c>
      <c r="D2624" s="2" t="s">
        <v>577</v>
      </c>
      <c r="E2624" s="2" t="s">
        <v>25</v>
      </c>
      <c r="F2624" s="2" t="n">
        <v>298</v>
      </c>
      <c r="G2624" s="2" t="n">
        <v>13</v>
      </c>
    </row>
    <row r="2625" customFormat="false" ht="16.5" hidden="false" customHeight="true" outlineLevel="0" collapsed="false">
      <c r="A2625" s="2" t="s">
        <v>416</v>
      </c>
      <c r="B2625" s="2" t="s">
        <v>439</v>
      </c>
      <c r="C2625" s="2" t="n">
        <v>2</v>
      </c>
      <c r="D2625" s="2" t="s">
        <v>577</v>
      </c>
      <c r="E2625" s="2" t="s">
        <v>26</v>
      </c>
      <c r="F2625" s="2" t="n">
        <v>298</v>
      </c>
      <c r="G2625" s="2" t="n">
        <v>17</v>
      </c>
    </row>
    <row r="2626" customFormat="false" ht="16.5" hidden="false" customHeight="true" outlineLevel="0" collapsed="false">
      <c r="A2626" s="2" t="s">
        <v>416</v>
      </c>
      <c r="B2626" s="2" t="s">
        <v>439</v>
      </c>
      <c r="C2626" s="2" t="n">
        <v>2</v>
      </c>
      <c r="D2626" s="2" t="s">
        <v>577</v>
      </c>
      <c r="E2626" s="2" t="s">
        <v>27</v>
      </c>
      <c r="F2626" s="2" t="n">
        <v>298</v>
      </c>
      <c r="G2626" s="2" t="n">
        <v>21</v>
      </c>
    </row>
    <row r="2627" customFormat="false" ht="16.5" hidden="false" customHeight="true" outlineLevel="0" collapsed="false">
      <c r="A2627" s="2" t="s">
        <v>416</v>
      </c>
      <c r="B2627" s="2" t="s">
        <v>439</v>
      </c>
      <c r="C2627" s="2" t="n">
        <v>2</v>
      </c>
      <c r="D2627" s="2" t="s">
        <v>577</v>
      </c>
      <c r="E2627" s="2" t="s">
        <v>28</v>
      </c>
      <c r="F2627" s="2" t="n">
        <v>298</v>
      </c>
      <c r="G2627" s="2" t="n">
        <v>25</v>
      </c>
    </row>
    <row r="2628" customFormat="false" ht="16.5" hidden="false" customHeight="true" outlineLevel="0" collapsed="false">
      <c r="A2628" s="2" t="s">
        <v>416</v>
      </c>
      <c r="B2628" s="2" t="s">
        <v>439</v>
      </c>
      <c r="C2628" s="2" t="n">
        <v>2</v>
      </c>
      <c r="D2628" s="2" t="s">
        <v>577</v>
      </c>
      <c r="E2628" s="2" t="s">
        <v>29</v>
      </c>
      <c r="F2628" s="2" t="n">
        <v>298</v>
      </c>
      <c r="G2628" s="2" t="n">
        <v>29</v>
      </c>
    </row>
    <row r="2629" customFormat="false" ht="16.5" hidden="false" customHeight="true" outlineLevel="0" collapsed="false">
      <c r="A2629" s="2" t="s">
        <v>416</v>
      </c>
      <c r="B2629" s="2" t="s">
        <v>439</v>
      </c>
      <c r="C2629" s="2" t="n">
        <v>2</v>
      </c>
      <c r="D2629" s="2" t="s">
        <v>577</v>
      </c>
      <c r="E2629" s="2" t="s">
        <v>30</v>
      </c>
      <c r="F2629" s="2" t="n">
        <v>298</v>
      </c>
      <c r="G2629" s="2" t="n">
        <v>33</v>
      </c>
    </row>
    <row r="2630" customFormat="false" ht="16.5" hidden="false" customHeight="true" outlineLevel="0" collapsed="false">
      <c r="A2630" s="2" t="s">
        <v>416</v>
      </c>
      <c r="B2630" s="2" t="s">
        <v>439</v>
      </c>
      <c r="C2630" s="2" t="n">
        <v>2</v>
      </c>
      <c r="D2630" s="2" t="s">
        <v>577</v>
      </c>
      <c r="E2630" s="2" t="s">
        <v>31</v>
      </c>
      <c r="F2630" s="2" t="n">
        <v>298</v>
      </c>
      <c r="G2630" s="2" t="n">
        <v>37</v>
      </c>
    </row>
    <row r="2631" customFormat="false" ht="16.5" hidden="false" customHeight="true" outlineLevel="0" collapsed="false">
      <c r="A2631" s="2" t="s">
        <v>416</v>
      </c>
      <c r="B2631" s="2" t="s">
        <v>439</v>
      </c>
      <c r="C2631" s="2" t="n">
        <v>2</v>
      </c>
      <c r="D2631" s="2" t="s">
        <v>577</v>
      </c>
      <c r="E2631" s="2" t="s">
        <v>32</v>
      </c>
      <c r="F2631" s="2" t="n">
        <v>298</v>
      </c>
      <c r="G2631" s="2" t="n">
        <v>41</v>
      </c>
    </row>
    <row r="2632" customFormat="false" ht="16.5" hidden="false" customHeight="true" outlineLevel="0" collapsed="false">
      <c r="A2632" s="2" t="s">
        <v>416</v>
      </c>
      <c r="B2632" s="2" t="s">
        <v>439</v>
      </c>
      <c r="C2632" s="2" t="n">
        <v>2</v>
      </c>
      <c r="D2632" s="2" t="s">
        <v>577</v>
      </c>
      <c r="E2632" s="2" t="s">
        <v>33</v>
      </c>
      <c r="F2632" s="2" t="n">
        <v>298</v>
      </c>
      <c r="G2632" s="2" t="n">
        <v>45</v>
      </c>
    </row>
    <row r="2633" customFormat="false" ht="16.5" hidden="false" customHeight="true" outlineLevel="0" collapsed="false">
      <c r="A2633" s="2" t="s">
        <v>416</v>
      </c>
      <c r="B2633" s="2" t="s">
        <v>439</v>
      </c>
      <c r="C2633" s="2" t="n">
        <v>2</v>
      </c>
      <c r="D2633" s="2" t="s">
        <v>577</v>
      </c>
      <c r="E2633" s="2" t="s">
        <v>34</v>
      </c>
      <c r="F2633" s="2" t="n">
        <v>298</v>
      </c>
      <c r="G2633" s="2" t="n">
        <v>49</v>
      </c>
    </row>
    <row r="2634" customFormat="false" ht="16.5" hidden="false" customHeight="true" outlineLevel="0" collapsed="false">
      <c r="A2634" s="2" t="s">
        <v>416</v>
      </c>
      <c r="B2634" s="2" t="s">
        <v>439</v>
      </c>
      <c r="C2634" s="2" t="n">
        <v>2</v>
      </c>
      <c r="D2634" s="2" t="s">
        <v>577</v>
      </c>
      <c r="E2634" s="2" t="s">
        <v>35</v>
      </c>
      <c r="F2634" s="2" t="n">
        <v>300</v>
      </c>
      <c r="G2634" s="2" t="n">
        <v>11</v>
      </c>
    </row>
    <row r="2635" customFormat="false" ht="16.5" hidden="false" customHeight="true" outlineLevel="0" collapsed="false">
      <c r="A2635" s="2" t="s">
        <v>416</v>
      </c>
      <c r="B2635" s="2" t="s">
        <v>439</v>
      </c>
      <c r="C2635" s="2" t="n">
        <v>2</v>
      </c>
      <c r="D2635" s="2" t="s">
        <v>577</v>
      </c>
      <c r="E2635" s="2" t="s">
        <v>36</v>
      </c>
      <c r="F2635" s="2" t="n">
        <v>300</v>
      </c>
      <c r="G2635" s="2" t="n">
        <v>15</v>
      </c>
    </row>
    <row r="2636" customFormat="false" ht="16.5" hidden="false" customHeight="true" outlineLevel="0" collapsed="false">
      <c r="A2636" s="2" t="s">
        <v>416</v>
      </c>
      <c r="B2636" s="2" t="s">
        <v>439</v>
      </c>
      <c r="C2636" s="2" t="n">
        <v>2</v>
      </c>
      <c r="D2636" s="2" t="s">
        <v>577</v>
      </c>
      <c r="E2636" s="2" t="s">
        <v>37</v>
      </c>
      <c r="F2636" s="2" t="n">
        <v>300</v>
      </c>
      <c r="G2636" s="2" t="n">
        <v>19</v>
      </c>
    </row>
    <row r="2637" customFormat="false" ht="16.5" hidden="false" customHeight="true" outlineLevel="0" collapsed="false">
      <c r="A2637" s="2" t="s">
        <v>416</v>
      </c>
      <c r="B2637" s="2" t="s">
        <v>439</v>
      </c>
      <c r="C2637" s="2" t="n">
        <v>2</v>
      </c>
      <c r="D2637" s="2" t="s">
        <v>577</v>
      </c>
      <c r="E2637" s="2" t="s">
        <v>38</v>
      </c>
      <c r="F2637" s="2" t="n">
        <v>300</v>
      </c>
      <c r="G2637" s="2" t="n">
        <v>23</v>
      </c>
    </row>
    <row r="2638" customFormat="false" ht="16.5" hidden="false" customHeight="true" outlineLevel="0" collapsed="false">
      <c r="A2638" s="2" t="s">
        <v>416</v>
      </c>
      <c r="B2638" s="2" t="s">
        <v>439</v>
      </c>
      <c r="C2638" s="2" t="n">
        <v>2</v>
      </c>
      <c r="D2638" s="2" t="s">
        <v>577</v>
      </c>
      <c r="E2638" s="2" t="s">
        <v>39</v>
      </c>
      <c r="F2638" s="2" t="n">
        <v>300</v>
      </c>
      <c r="G2638" s="2" t="n">
        <v>27</v>
      </c>
    </row>
    <row r="2639" customFormat="false" ht="16.5" hidden="false" customHeight="true" outlineLevel="0" collapsed="false">
      <c r="A2639" s="2" t="s">
        <v>416</v>
      </c>
      <c r="B2639" s="2" t="s">
        <v>439</v>
      </c>
      <c r="C2639" s="2" t="n">
        <v>2</v>
      </c>
      <c r="D2639" s="2" t="s">
        <v>577</v>
      </c>
      <c r="E2639" s="2" t="s">
        <v>40</v>
      </c>
      <c r="F2639" s="2" t="n">
        <v>300</v>
      </c>
      <c r="G2639" s="2" t="n">
        <v>31</v>
      </c>
    </row>
    <row r="2640" customFormat="false" ht="16.5" hidden="false" customHeight="true" outlineLevel="0" collapsed="false">
      <c r="A2640" s="2" t="s">
        <v>416</v>
      </c>
      <c r="B2640" s="2" t="s">
        <v>439</v>
      </c>
      <c r="C2640" s="2" t="n">
        <v>2</v>
      </c>
      <c r="D2640" s="2" t="s">
        <v>577</v>
      </c>
      <c r="E2640" s="2" t="s">
        <v>41</v>
      </c>
      <c r="F2640" s="2" t="n">
        <v>300</v>
      </c>
      <c r="G2640" s="2" t="n">
        <v>35</v>
      </c>
    </row>
    <row r="2641" customFormat="false" ht="16.5" hidden="false" customHeight="true" outlineLevel="0" collapsed="false">
      <c r="A2641" s="2" t="s">
        <v>416</v>
      </c>
      <c r="B2641" s="2" t="s">
        <v>439</v>
      </c>
      <c r="C2641" s="2" t="n">
        <v>2</v>
      </c>
      <c r="D2641" s="2" t="s">
        <v>577</v>
      </c>
      <c r="E2641" s="2" t="s">
        <v>42</v>
      </c>
      <c r="F2641" s="2" t="n">
        <v>300</v>
      </c>
      <c r="G2641" s="2" t="n">
        <v>39</v>
      </c>
    </row>
    <row r="2642" customFormat="false" ht="16.5" hidden="false" customHeight="true" outlineLevel="0" collapsed="false">
      <c r="A2642" s="2" t="s">
        <v>416</v>
      </c>
      <c r="B2642" s="2" t="s">
        <v>439</v>
      </c>
      <c r="C2642" s="2" t="n">
        <v>2</v>
      </c>
      <c r="D2642" s="2" t="s">
        <v>577</v>
      </c>
      <c r="E2642" s="2" t="s">
        <v>43</v>
      </c>
      <c r="F2642" s="2" t="n">
        <v>300</v>
      </c>
      <c r="G2642" s="2" t="n">
        <v>43</v>
      </c>
    </row>
    <row r="2643" customFormat="false" ht="16.5" hidden="false" customHeight="true" outlineLevel="0" collapsed="false">
      <c r="A2643" s="2" t="s">
        <v>416</v>
      </c>
      <c r="B2643" s="2" t="s">
        <v>439</v>
      </c>
      <c r="C2643" s="2" t="n">
        <v>2</v>
      </c>
      <c r="D2643" s="2" t="s">
        <v>577</v>
      </c>
      <c r="E2643" s="2" t="s">
        <v>44</v>
      </c>
      <c r="F2643" s="2" t="n">
        <v>300</v>
      </c>
      <c r="G2643" s="2" t="n">
        <v>47</v>
      </c>
    </row>
    <row r="2644" customFormat="false" ht="16.5" hidden="false" customHeight="true" outlineLevel="0" collapsed="false">
      <c r="A2644" s="2" t="s">
        <v>416</v>
      </c>
      <c r="B2644" s="2" t="s">
        <v>439</v>
      </c>
      <c r="C2644" s="2" t="n">
        <v>2</v>
      </c>
      <c r="D2644" s="2" t="s">
        <v>577</v>
      </c>
      <c r="E2644" s="2" t="s">
        <v>48</v>
      </c>
      <c r="F2644" s="2" t="n">
        <v>302</v>
      </c>
      <c r="G2644" s="2" t="n">
        <v>16</v>
      </c>
    </row>
    <row r="2645" customFormat="false" ht="16.5" hidden="false" customHeight="true" outlineLevel="0" collapsed="false">
      <c r="A2645" s="2" t="s">
        <v>416</v>
      </c>
      <c r="B2645" s="2" t="s">
        <v>439</v>
      </c>
      <c r="C2645" s="2" t="n">
        <v>2</v>
      </c>
      <c r="D2645" s="2" t="s">
        <v>577</v>
      </c>
      <c r="E2645" s="2" t="s">
        <v>50</v>
      </c>
      <c r="F2645" s="2" t="n">
        <v>302</v>
      </c>
      <c r="G2645" s="2" t="n">
        <v>20</v>
      </c>
    </row>
    <row r="2646" customFormat="false" ht="16.5" hidden="false" customHeight="true" outlineLevel="0" collapsed="false">
      <c r="A2646" s="2" t="s">
        <v>416</v>
      </c>
      <c r="B2646" s="2" t="s">
        <v>439</v>
      </c>
      <c r="C2646" s="2" t="n">
        <v>2</v>
      </c>
      <c r="D2646" s="2" t="s">
        <v>577</v>
      </c>
      <c r="E2646" s="2" t="s">
        <v>45</v>
      </c>
      <c r="F2646" s="2" t="n">
        <v>302</v>
      </c>
      <c r="G2646" s="2" t="n">
        <v>38</v>
      </c>
    </row>
    <row r="2647" customFormat="false" ht="16.5" hidden="false" customHeight="true" outlineLevel="0" collapsed="false">
      <c r="A2647" s="2" t="s">
        <v>416</v>
      </c>
      <c r="B2647" s="2" t="s">
        <v>439</v>
      </c>
      <c r="C2647" s="2" t="n">
        <v>2</v>
      </c>
      <c r="D2647" s="2" t="s">
        <v>577</v>
      </c>
      <c r="E2647" s="2" t="s">
        <v>46</v>
      </c>
      <c r="F2647" s="2" t="n">
        <v>302</v>
      </c>
      <c r="G2647" s="2" t="n">
        <v>42</v>
      </c>
    </row>
    <row r="2648" customFormat="false" ht="16.5" hidden="false" customHeight="true" outlineLevel="0" collapsed="false">
      <c r="A2648" s="2" t="s">
        <v>416</v>
      </c>
      <c r="B2648" s="2" t="s">
        <v>440</v>
      </c>
      <c r="C2648" s="2" t="n">
        <v>2</v>
      </c>
      <c r="D2648" s="2" t="s">
        <v>578</v>
      </c>
      <c r="E2648" s="2" t="s">
        <v>0</v>
      </c>
      <c r="F2648" s="2" t="n">
        <v>307</v>
      </c>
      <c r="G2648" s="2" t="n">
        <v>6</v>
      </c>
    </row>
    <row r="2649" customFormat="false" ht="16.5" hidden="false" customHeight="true" outlineLevel="0" collapsed="false">
      <c r="A2649" s="2" t="s">
        <v>416</v>
      </c>
      <c r="B2649" s="2" t="s">
        <v>440</v>
      </c>
      <c r="C2649" s="2" t="n">
        <v>2</v>
      </c>
      <c r="D2649" s="2" t="s">
        <v>578</v>
      </c>
      <c r="E2649" s="2" t="s">
        <v>1</v>
      </c>
      <c r="F2649" s="2" t="n">
        <v>307</v>
      </c>
      <c r="G2649" s="2" t="n">
        <v>10</v>
      </c>
    </row>
    <row r="2650" customFormat="false" ht="16.5" hidden="false" customHeight="true" outlineLevel="0" collapsed="false">
      <c r="A2650" s="2" t="s">
        <v>416</v>
      </c>
      <c r="B2650" s="2" t="s">
        <v>440</v>
      </c>
      <c r="C2650" s="2" t="n">
        <v>2</v>
      </c>
      <c r="D2650" s="2" t="s">
        <v>578</v>
      </c>
      <c r="E2650" s="2" t="s">
        <v>2</v>
      </c>
      <c r="F2650" s="2" t="n">
        <v>307</v>
      </c>
      <c r="G2650" s="2" t="n">
        <v>14</v>
      </c>
    </row>
    <row r="2651" customFormat="false" ht="16.5" hidden="false" customHeight="true" outlineLevel="0" collapsed="false">
      <c r="A2651" s="2" t="s">
        <v>416</v>
      </c>
      <c r="B2651" s="2" t="s">
        <v>440</v>
      </c>
      <c r="C2651" s="2" t="n">
        <v>2</v>
      </c>
      <c r="D2651" s="2" t="s">
        <v>578</v>
      </c>
      <c r="E2651" s="2" t="s">
        <v>3</v>
      </c>
      <c r="F2651" s="2" t="n">
        <v>307</v>
      </c>
      <c r="G2651" s="2" t="n">
        <v>18</v>
      </c>
    </row>
    <row r="2652" customFormat="false" ht="16.5" hidden="false" customHeight="true" outlineLevel="0" collapsed="false">
      <c r="A2652" s="2" t="s">
        <v>416</v>
      </c>
      <c r="B2652" s="2" t="s">
        <v>440</v>
      </c>
      <c r="C2652" s="2" t="n">
        <v>2</v>
      </c>
      <c r="D2652" s="2" t="s">
        <v>578</v>
      </c>
      <c r="E2652" s="2" t="s">
        <v>4</v>
      </c>
      <c r="F2652" s="2" t="n">
        <v>307</v>
      </c>
      <c r="G2652" s="2" t="n">
        <v>22</v>
      </c>
    </row>
    <row r="2653" customFormat="false" ht="16.5" hidden="false" customHeight="true" outlineLevel="0" collapsed="false">
      <c r="A2653" s="2" t="s">
        <v>416</v>
      </c>
      <c r="B2653" s="2" t="s">
        <v>440</v>
      </c>
      <c r="C2653" s="2" t="n">
        <v>2</v>
      </c>
      <c r="D2653" s="2" t="s">
        <v>578</v>
      </c>
      <c r="E2653" s="2" t="s">
        <v>5</v>
      </c>
      <c r="F2653" s="2" t="n">
        <v>307</v>
      </c>
      <c r="G2653" s="2" t="n">
        <v>26</v>
      </c>
    </row>
    <row r="2654" customFormat="false" ht="16.5" hidden="false" customHeight="true" outlineLevel="0" collapsed="false">
      <c r="A2654" s="2" t="s">
        <v>416</v>
      </c>
      <c r="B2654" s="2" t="s">
        <v>440</v>
      </c>
      <c r="C2654" s="2" t="n">
        <v>2</v>
      </c>
      <c r="D2654" s="2" t="s">
        <v>578</v>
      </c>
      <c r="E2654" s="2" t="s">
        <v>6</v>
      </c>
      <c r="F2654" s="2" t="n">
        <v>307</v>
      </c>
      <c r="G2654" s="2" t="n">
        <v>30</v>
      </c>
    </row>
    <row r="2655" customFormat="false" ht="16.5" hidden="false" customHeight="true" outlineLevel="0" collapsed="false">
      <c r="A2655" s="2" t="s">
        <v>416</v>
      </c>
      <c r="B2655" s="2" t="s">
        <v>440</v>
      </c>
      <c r="C2655" s="2" t="n">
        <v>2</v>
      </c>
      <c r="D2655" s="2" t="s">
        <v>578</v>
      </c>
      <c r="E2655" s="2" t="s">
        <v>7</v>
      </c>
      <c r="F2655" s="2" t="n">
        <v>307</v>
      </c>
      <c r="G2655" s="2" t="n">
        <v>34</v>
      </c>
    </row>
    <row r="2656" customFormat="false" ht="16.5" hidden="false" customHeight="true" outlineLevel="0" collapsed="false">
      <c r="A2656" s="2" t="s">
        <v>416</v>
      </c>
      <c r="B2656" s="2" t="s">
        <v>440</v>
      </c>
      <c r="C2656" s="2" t="n">
        <v>2</v>
      </c>
      <c r="D2656" s="2" t="s">
        <v>578</v>
      </c>
      <c r="E2656" s="2" t="s">
        <v>8</v>
      </c>
      <c r="F2656" s="2" t="n">
        <v>307</v>
      </c>
      <c r="G2656" s="2" t="n">
        <v>38</v>
      </c>
    </row>
    <row r="2657" customFormat="false" ht="16.5" hidden="false" customHeight="true" outlineLevel="0" collapsed="false">
      <c r="A2657" s="2" t="s">
        <v>416</v>
      </c>
      <c r="B2657" s="2" t="s">
        <v>440</v>
      </c>
      <c r="C2657" s="2" t="n">
        <v>2</v>
      </c>
      <c r="D2657" s="2" t="s">
        <v>578</v>
      </c>
      <c r="E2657" s="2" t="s">
        <v>9</v>
      </c>
      <c r="F2657" s="2" t="n">
        <v>307</v>
      </c>
      <c r="G2657" s="2" t="n">
        <v>42</v>
      </c>
    </row>
    <row r="2658" customFormat="false" ht="16.5" hidden="false" customHeight="true" outlineLevel="0" collapsed="false">
      <c r="A2658" s="2" t="s">
        <v>416</v>
      </c>
      <c r="B2658" s="2" t="s">
        <v>440</v>
      </c>
      <c r="C2658" s="2" t="n">
        <v>2</v>
      </c>
      <c r="D2658" s="2" t="s">
        <v>578</v>
      </c>
      <c r="E2658" s="2" t="s">
        <v>10</v>
      </c>
      <c r="F2658" s="2" t="n">
        <v>307</v>
      </c>
      <c r="G2658" s="2" t="n">
        <v>46</v>
      </c>
    </row>
    <row r="2659" customFormat="false" ht="16.5" hidden="false" customHeight="true" outlineLevel="0" collapsed="false">
      <c r="A2659" s="2" t="s">
        <v>416</v>
      </c>
      <c r="B2659" s="2" t="s">
        <v>440</v>
      </c>
      <c r="C2659" s="2" t="n">
        <v>2</v>
      </c>
      <c r="D2659" s="2" t="s">
        <v>578</v>
      </c>
      <c r="E2659" s="2" t="s">
        <v>11</v>
      </c>
      <c r="F2659" s="2" t="n">
        <v>307</v>
      </c>
      <c r="G2659" s="2" t="n">
        <v>50</v>
      </c>
    </row>
    <row r="2660" customFormat="false" ht="16.5" hidden="false" customHeight="true" outlineLevel="0" collapsed="false">
      <c r="A2660" s="2" t="s">
        <v>416</v>
      </c>
      <c r="B2660" s="2" t="s">
        <v>440</v>
      </c>
      <c r="C2660" s="2" t="n">
        <v>2</v>
      </c>
      <c r="D2660" s="2" t="s">
        <v>578</v>
      </c>
      <c r="E2660" s="2" t="s">
        <v>12</v>
      </c>
      <c r="F2660" s="2" t="n">
        <v>309</v>
      </c>
      <c r="G2660" s="2" t="n">
        <v>8</v>
      </c>
    </row>
    <row r="2661" customFormat="false" ht="16.5" hidden="false" customHeight="true" outlineLevel="0" collapsed="false">
      <c r="A2661" s="2" t="s">
        <v>416</v>
      </c>
      <c r="B2661" s="2" t="s">
        <v>440</v>
      </c>
      <c r="C2661" s="2" t="n">
        <v>2</v>
      </c>
      <c r="D2661" s="2" t="s">
        <v>578</v>
      </c>
      <c r="E2661" s="2" t="s">
        <v>13</v>
      </c>
      <c r="F2661" s="2" t="n">
        <v>309</v>
      </c>
      <c r="G2661" s="2" t="n">
        <v>12</v>
      </c>
    </row>
    <row r="2662" customFormat="false" ht="16.5" hidden="false" customHeight="true" outlineLevel="0" collapsed="false">
      <c r="A2662" s="2" t="s">
        <v>416</v>
      </c>
      <c r="B2662" s="2" t="s">
        <v>440</v>
      </c>
      <c r="C2662" s="2" t="n">
        <v>2</v>
      </c>
      <c r="D2662" s="2" t="s">
        <v>578</v>
      </c>
      <c r="E2662" s="2" t="s">
        <v>14</v>
      </c>
      <c r="F2662" s="2" t="n">
        <v>309</v>
      </c>
      <c r="G2662" s="2" t="n">
        <v>16</v>
      </c>
    </row>
    <row r="2663" customFormat="false" ht="16.5" hidden="false" customHeight="true" outlineLevel="0" collapsed="false">
      <c r="A2663" s="2" t="s">
        <v>416</v>
      </c>
      <c r="B2663" s="2" t="s">
        <v>440</v>
      </c>
      <c r="C2663" s="2" t="n">
        <v>2</v>
      </c>
      <c r="D2663" s="2" t="s">
        <v>578</v>
      </c>
      <c r="E2663" s="2" t="s">
        <v>15</v>
      </c>
      <c r="F2663" s="2" t="n">
        <v>309</v>
      </c>
      <c r="G2663" s="2" t="n">
        <v>20</v>
      </c>
    </row>
    <row r="2664" customFormat="false" ht="16.5" hidden="false" customHeight="true" outlineLevel="0" collapsed="false">
      <c r="A2664" s="2" t="s">
        <v>416</v>
      </c>
      <c r="B2664" s="2" t="s">
        <v>440</v>
      </c>
      <c r="C2664" s="2" t="n">
        <v>2</v>
      </c>
      <c r="D2664" s="2" t="s">
        <v>578</v>
      </c>
      <c r="E2664" s="2" t="s">
        <v>16</v>
      </c>
      <c r="F2664" s="2" t="n">
        <v>309</v>
      </c>
      <c r="G2664" s="2" t="n">
        <v>24</v>
      </c>
    </row>
    <row r="2665" customFormat="false" ht="16.5" hidden="false" customHeight="true" outlineLevel="0" collapsed="false">
      <c r="A2665" s="2" t="s">
        <v>416</v>
      </c>
      <c r="B2665" s="2" t="s">
        <v>440</v>
      </c>
      <c r="C2665" s="2" t="n">
        <v>2</v>
      </c>
      <c r="D2665" s="2" t="s">
        <v>578</v>
      </c>
      <c r="E2665" s="2" t="s">
        <v>17</v>
      </c>
      <c r="F2665" s="2" t="n">
        <v>309</v>
      </c>
      <c r="G2665" s="2" t="n">
        <v>28</v>
      </c>
    </row>
    <row r="2666" customFormat="false" ht="16.5" hidden="false" customHeight="true" outlineLevel="0" collapsed="false">
      <c r="A2666" s="2" t="s">
        <v>416</v>
      </c>
      <c r="B2666" s="2" t="s">
        <v>440</v>
      </c>
      <c r="C2666" s="2" t="n">
        <v>2</v>
      </c>
      <c r="D2666" s="2" t="s">
        <v>578</v>
      </c>
      <c r="E2666" s="2" t="s">
        <v>18</v>
      </c>
      <c r="F2666" s="2" t="n">
        <v>309</v>
      </c>
      <c r="G2666" s="2" t="n">
        <v>32</v>
      </c>
    </row>
    <row r="2667" customFormat="false" ht="16.5" hidden="false" customHeight="true" outlineLevel="0" collapsed="false">
      <c r="A2667" s="2" t="s">
        <v>416</v>
      </c>
      <c r="B2667" s="2" t="s">
        <v>440</v>
      </c>
      <c r="C2667" s="2" t="n">
        <v>2</v>
      </c>
      <c r="D2667" s="2" t="s">
        <v>578</v>
      </c>
      <c r="E2667" s="2" t="s">
        <v>19</v>
      </c>
      <c r="F2667" s="2" t="n">
        <v>309</v>
      </c>
      <c r="G2667" s="2" t="n">
        <v>36</v>
      </c>
    </row>
    <row r="2668" customFormat="false" ht="16.5" hidden="false" customHeight="true" outlineLevel="0" collapsed="false">
      <c r="A2668" s="2" t="s">
        <v>416</v>
      </c>
      <c r="B2668" s="2" t="s">
        <v>440</v>
      </c>
      <c r="C2668" s="2" t="n">
        <v>2</v>
      </c>
      <c r="D2668" s="2" t="s">
        <v>578</v>
      </c>
      <c r="E2668" s="2" t="s">
        <v>20</v>
      </c>
      <c r="F2668" s="2" t="n">
        <v>309</v>
      </c>
      <c r="G2668" s="2" t="n">
        <v>40</v>
      </c>
    </row>
    <row r="2669" customFormat="false" ht="16.5" hidden="false" customHeight="true" outlineLevel="0" collapsed="false">
      <c r="A2669" s="2" t="s">
        <v>416</v>
      </c>
      <c r="B2669" s="2" t="s">
        <v>440</v>
      </c>
      <c r="C2669" s="2" t="n">
        <v>2</v>
      </c>
      <c r="D2669" s="2" t="s">
        <v>578</v>
      </c>
      <c r="E2669" s="2" t="s">
        <v>21</v>
      </c>
      <c r="F2669" s="2" t="n">
        <v>309</v>
      </c>
      <c r="G2669" s="2" t="n">
        <v>44</v>
      </c>
    </row>
    <row r="2670" customFormat="false" ht="16.5" hidden="false" customHeight="true" outlineLevel="0" collapsed="false">
      <c r="A2670" s="2" t="s">
        <v>416</v>
      </c>
      <c r="B2670" s="2" t="s">
        <v>440</v>
      </c>
      <c r="C2670" s="2" t="n">
        <v>2</v>
      </c>
      <c r="D2670" s="2" t="s">
        <v>578</v>
      </c>
      <c r="E2670" s="2" t="s">
        <v>22</v>
      </c>
      <c r="F2670" s="2" t="n">
        <v>309</v>
      </c>
      <c r="G2670" s="2" t="n">
        <v>48</v>
      </c>
    </row>
    <row r="2671" customFormat="false" ht="16.5" hidden="false" customHeight="true" outlineLevel="0" collapsed="false">
      <c r="A2671" s="2" t="s">
        <v>416</v>
      </c>
      <c r="B2671" s="2" t="s">
        <v>440</v>
      </c>
      <c r="C2671" s="2" t="n">
        <v>2</v>
      </c>
      <c r="D2671" s="2" t="s">
        <v>578</v>
      </c>
      <c r="E2671" s="2" t="s">
        <v>23</v>
      </c>
      <c r="F2671" s="2" t="n">
        <v>309</v>
      </c>
      <c r="G2671" s="2" t="n">
        <v>52</v>
      </c>
    </row>
    <row r="2672" customFormat="false" ht="16.5" hidden="false" customHeight="true" outlineLevel="0" collapsed="false">
      <c r="A2672" s="2" t="s">
        <v>416</v>
      </c>
      <c r="B2672" s="2" t="s">
        <v>440</v>
      </c>
      <c r="C2672" s="2" t="n">
        <v>2</v>
      </c>
      <c r="D2672" s="2" t="s">
        <v>578</v>
      </c>
      <c r="E2672" s="2" t="s">
        <v>24</v>
      </c>
      <c r="F2672" s="2" t="n">
        <v>311</v>
      </c>
      <c r="G2672" s="2" t="n">
        <v>9</v>
      </c>
    </row>
    <row r="2673" customFormat="false" ht="16.5" hidden="false" customHeight="true" outlineLevel="0" collapsed="false">
      <c r="A2673" s="2" t="s">
        <v>416</v>
      </c>
      <c r="B2673" s="2" t="s">
        <v>440</v>
      </c>
      <c r="C2673" s="2" t="n">
        <v>2</v>
      </c>
      <c r="D2673" s="2" t="s">
        <v>578</v>
      </c>
      <c r="E2673" s="2" t="s">
        <v>25</v>
      </c>
      <c r="F2673" s="2" t="n">
        <v>311</v>
      </c>
      <c r="G2673" s="2" t="n">
        <v>13</v>
      </c>
    </row>
    <row r="2674" customFormat="false" ht="16.5" hidden="false" customHeight="true" outlineLevel="0" collapsed="false">
      <c r="A2674" s="2" t="s">
        <v>416</v>
      </c>
      <c r="B2674" s="2" t="s">
        <v>440</v>
      </c>
      <c r="C2674" s="2" t="n">
        <v>2</v>
      </c>
      <c r="D2674" s="2" t="s">
        <v>578</v>
      </c>
      <c r="E2674" s="2" t="s">
        <v>26</v>
      </c>
      <c r="F2674" s="2" t="n">
        <v>311</v>
      </c>
      <c r="G2674" s="2" t="n">
        <v>17</v>
      </c>
    </row>
    <row r="2675" customFormat="false" ht="16.5" hidden="false" customHeight="true" outlineLevel="0" collapsed="false">
      <c r="A2675" s="2" t="s">
        <v>416</v>
      </c>
      <c r="B2675" s="2" t="s">
        <v>440</v>
      </c>
      <c r="C2675" s="2" t="n">
        <v>2</v>
      </c>
      <c r="D2675" s="2" t="s">
        <v>578</v>
      </c>
      <c r="E2675" s="2" t="s">
        <v>27</v>
      </c>
      <c r="F2675" s="2" t="n">
        <v>311</v>
      </c>
      <c r="G2675" s="2" t="n">
        <v>21</v>
      </c>
    </row>
    <row r="2676" customFormat="false" ht="16.5" hidden="false" customHeight="true" outlineLevel="0" collapsed="false">
      <c r="A2676" s="2" t="s">
        <v>416</v>
      </c>
      <c r="B2676" s="2" t="s">
        <v>440</v>
      </c>
      <c r="C2676" s="2" t="n">
        <v>2</v>
      </c>
      <c r="D2676" s="2" t="s">
        <v>578</v>
      </c>
      <c r="E2676" s="2" t="s">
        <v>28</v>
      </c>
      <c r="F2676" s="2" t="n">
        <v>311</v>
      </c>
      <c r="G2676" s="2" t="n">
        <v>25</v>
      </c>
    </row>
    <row r="2677" customFormat="false" ht="16.5" hidden="false" customHeight="true" outlineLevel="0" collapsed="false">
      <c r="A2677" s="2" t="s">
        <v>416</v>
      </c>
      <c r="B2677" s="2" t="s">
        <v>440</v>
      </c>
      <c r="C2677" s="2" t="n">
        <v>2</v>
      </c>
      <c r="D2677" s="2" t="s">
        <v>578</v>
      </c>
      <c r="E2677" s="2" t="s">
        <v>29</v>
      </c>
      <c r="F2677" s="2" t="n">
        <v>311</v>
      </c>
      <c r="G2677" s="2" t="n">
        <v>29</v>
      </c>
    </row>
    <row r="2678" customFormat="false" ht="16.5" hidden="false" customHeight="true" outlineLevel="0" collapsed="false">
      <c r="A2678" s="2" t="s">
        <v>416</v>
      </c>
      <c r="B2678" s="2" t="s">
        <v>440</v>
      </c>
      <c r="C2678" s="2" t="n">
        <v>2</v>
      </c>
      <c r="D2678" s="2" t="s">
        <v>578</v>
      </c>
      <c r="E2678" s="2" t="s">
        <v>30</v>
      </c>
      <c r="F2678" s="2" t="n">
        <v>311</v>
      </c>
      <c r="G2678" s="2" t="n">
        <v>33</v>
      </c>
    </row>
    <row r="2679" customFormat="false" ht="16.5" hidden="false" customHeight="true" outlineLevel="0" collapsed="false">
      <c r="A2679" s="2" t="s">
        <v>416</v>
      </c>
      <c r="B2679" s="2" t="s">
        <v>440</v>
      </c>
      <c r="C2679" s="2" t="n">
        <v>2</v>
      </c>
      <c r="D2679" s="2" t="s">
        <v>578</v>
      </c>
      <c r="E2679" s="2" t="s">
        <v>31</v>
      </c>
      <c r="F2679" s="2" t="n">
        <v>311</v>
      </c>
      <c r="G2679" s="2" t="n">
        <v>37</v>
      </c>
    </row>
    <row r="2680" customFormat="false" ht="16.5" hidden="false" customHeight="true" outlineLevel="0" collapsed="false">
      <c r="A2680" s="2" t="s">
        <v>416</v>
      </c>
      <c r="B2680" s="2" t="s">
        <v>440</v>
      </c>
      <c r="C2680" s="2" t="n">
        <v>2</v>
      </c>
      <c r="D2680" s="2" t="s">
        <v>578</v>
      </c>
      <c r="E2680" s="2" t="s">
        <v>32</v>
      </c>
      <c r="F2680" s="2" t="n">
        <v>311</v>
      </c>
      <c r="G2680" s="2" t="n">
        <v>41</v>
      </c>
    </row>
    <row r="2681" customFormat="false" ht="16.5" hidden="false" customHeight="true" outlineLevel="0" collapsed="false">
      <c r="A2681" s="2" t="s">
        <v>416</v>
      </c>
      <c r="B2681" s="2" t="s">
        <v>440</v>
      </c>
      <c r="C2681" s="2" t="n">
        <v>2</v>
      </c>
      <c r="D2681" s="2" t="s">
        <v>578</v>
      </c>
      <c r="E2681" s="2" t="s">
        <v>33</v>
      </c>
      <c r="F2681" s="2" t="n">
        <v>311</v>
      </c>
      <c r="G2681" s="2" t="n">
        <v>45</v>
      </c>
    </row>
    <row r="2682" customFormat="false" ht="16.5" hidden="false" customHeight="true" outlineLevel="0" collapsed="false">
      <c r="A2682" s="2" t="s">
        <v>416</v>
      </c>
      <c r="B2682" s="2" t="s">
        <v>440</v>
      </c>
      <c r="C2682" s="2" t="n">
        <v>2</v>
      </c>
      <c r="D2682" s="2" t="s">
        <v>578</v>
      </c>
      <c r="E2682" s="2" t="s">
        <v>34</v>
      </c>
      <c r="F2682" s="2" t="n">
        <v>311</v>
      </c>
      <c r="G2682" s="2" t="n">
        <v>49</v>
      </c>
    </row>
    <row r="2683" customFormat="false" ht="16.5" hidden="false" customHeight="true" outlineLevel="0" collapsed="false">
      <c r="A2683" s="2" t="s">
        <v>416</v>
      </c>
      <c r="B2683" s="2" t="s">
        <v>440</v>
      </c>
      <c r="C2683" s="2" t="n">
        <v>2</v>
      </c>
      <c r="D2683" s="2" t="s">
        <v>578</v>
      </c>
      <c r="E2683" s="2" t="s">
        <v>35</v>
      </c>
      <c r="F2683" s="2" t="n">
        <v>313</v>
      </c>
      <c r="G2683" s="2" t="n">
        <v>11</v>
      </c>
    </row>
    <row r="2684" customFormat="false" ht="16.5" hidden="false" customHeight="true" outlineLevel="0" collapsed="false">
      <c r="A2684" s="2" t="s">
        <v>416</v>
      </c>
      <c r="B2684" s="2" t="s">
        <v>440</v>
      </c>
      <c r="C2684" s="2" t="n">
        <v>2</v>
      </c>
      <c r="D2684" s="2" t="s">
        <v>578</v>
      </c>
      <c r="E2684" s="2" t="s">
        <v>36</v>
      </c>
      <c r="F2684" s="2" t="n">
        <v>313</v>
      </c>
      <c r="G2684" s="2" t="n">
        <v>15</v>
      </c>
    </row>
    <row r="2685" customFormat="false" ht="16.5" hidden="false" customHeight="true" outlineLevel="0" collapsed="false">
      <c r="A2685" s="2" t="s">
        <v>416</v>
      </c>
      <c r="B2685" s="2" t="s">
        <v>440</v>
      </c>
      <c r="C2685" s="2" t="n">
        <v>2</v>
      </c>
      <c r="D2685" s="2" t="s">
        <v>578</v>
      </c>
      <c r="E2685" s="2" t="s">
        <v>37</v>
      </c>
      <c r="F2685" s="2" t="n">
        <v>313</v>
      </c>
      <c r="G2685" s="2" t="n">
        <v>19</v>
      </c>
    </row>
    <row r="2686" customFormat="false" ht="16.5" hidden="false" customHeight="true" outlineLevel="0" collapsed="false">
      <c r="A2686" s="2" t="s">
        <v>416</v>
      </c>
      <c r="B2686" s="2" t="s">
        <v>440</v>
      </c>
      <c r="C2686" s="2" t="n">
        <v>2</v>
      </c>
      <c r="D2686" s="2" t="s">
        <v>578</v>
      </c>
      <c r="E2686" s="2" t="s">
        <v>38</v>
      </c>
      <c r="F2686" s="2" t="n">
        <v>313</v>
      </c>
      <c r="G2686" s="2" t="n">
        <v>23</v>
      </c>
    </row>
    <row r="2687" customFormat="false" ht="16.5" hidden="false" customHeight="true" outlineLevel="0" collapsed="false">
      <c r="A2687" s="2" t="s">
        <v>416</v>
      </c>
      <c r="B2687" s="2" t="s">
        <v>440</v>
      </c>
      <c r="C2687" s="2" t="n">
        <v>2</v>
      </c>
      <c r="D2687" s="2" t="s">
        <v>578</v>
      </c>
      <c r="E2687" s="2" t="s">
        <v>39</v>
      </c>
      <c r="F2687" s="2" t="n">
        <v>313</v>
      </c>
      <c r="G2687" s="2" t="n">
        <v>27</v>
      </c>
    </row>
    <row r="2688" customFormat="false" ht="16.5" hidden="false" customHeight="true" outlineLevel="0" collapsed="false">
      <c r="A2688" s="2" t="s">
        <v>416</v>
      </c>
      <c r="B2688" s="2" t="s">
        <v>440</v>
      </c>
      <c r="C2688" s="2" t="n">
        <v>2</v>
      </c>
      <c r="D2688" s="2" t="s">
        <v>578</v>
      </c>
      <c r="E2688" s="2" t="s">
        <v>40</v>
      </c>
      <c r="F2688" s="2" t="n">
        <v>313</v>
      </c>
      <c r="G2688" s="2" t="n">
        <v>31</v>
      </c>
    </row>
    <row r="2689" customFormat="false" ht="16.5" hidden="false" customHeight="true" outlineLevel="0" collapsed="false">
      <c r="A2689" s="2" t="s">
        <v>416</v>
      </c>
      <c r="B2689" s="2" t="s">
        <v>440</v>
      </c>
      <c r="C2689" s="2" t="n">
        <v>2</v>
      </c>
      <c r="D2689" s="2" t="s">
        <v>578</v>
      </c>
      <c r="E2689" s="2" t="s">
        <v>41</v>
      </c>
      <c r="F2689" s="2" t="n">
        <v>313</v>
      </c>
      <c r="G2689" s="2" t="n">
        <v>35</v>
      </c>
    </row>
    <row r="2690" customFormat="false" ht="16.5" hidden="false" customHeight="true" outlineLevel="0" collapsed="false">
      <c r="A2690" s="2" t="s">
        <v>416</v>
      </c>
      <c r="B2690" s="2" t="s">
        <v>440</v>
      </c>
      <c r="C2690" s="2" t="n">
        <v>2</v>
      </c>
      <c r="D2690" s="2" t="s">
        <v>578</v>
      </c>
      <c r="E2690" s="2" t="s">
        <v>42</v>
      </c>
      <c r="F2690" s="2" t="n">
        <v>313</v>
      </c>
      <c r="G2690" s="2" t="n">
        <v>39</v>
      </c>
    </row>
    <row r="2691" customFormat="false" ht="16.5" hidden="false" customHeight="true" outlineLevel="0" collapsed="false">
      <c r="A2691" s="2" t="s">
        <v>416</v>
      </c>
      <c r="B2691" s="2" t="s">
        <v>440</v>
      </c>
      <c r="C2691" s="2" t="n">
        <v>2</v>
      </c>
      <c r="D2691" s="2" t="s">
        <v>578</v>
      </c>
      <c r="E2691" s="2" t="s">
        <v>43</v>
      </c>
      <c r="F2691" s="2" t="n">
        <v>313</v>
      </c>
      <c r="G2691" s="2" t="n">
        <v>43</v>
      </c>
    </row>
    <row r="2692" customFormat="false" ht="16.5" hidden="false" customHeight="true" outlineLevel="0" collapsed="false">
      <c r="A2692" s="2" t="s">
        <v>416</v>
      </c>
      <c r="B2692" s="2" t="s">
        <v>440</v>
      </c>
      <c r="C2692" s="2" t="n">
        <v>2</v>
      </c>
      <c r="D2692" s="2" t="s">
        <v>578</v>
      </c>
      <c r="E2692" s="2" t="s">
        <v>44</v>
      </c>
      <c r="F2692" s="2" t="n">
        <v>313</v>
      </c>
      <c r="G2692" s="2" t="n">
        <v>47</v>
      </c>
    </row>
    <row r="2693" customFormat="false" ht="16.5" hidden="false" customHeight="true" outlineLevel="0" collapsed="false">
      <c r="A2693" s="2" t="s">
        <v>416</v>
      </c>
      <c r="B2693" s="2" t="s">
        <v>440</v>
      </c>
      <c r="C2693" s="2" t="n">
        <v>2</v>
      </c>
      <c r="D2693" s="2" t="s">
        <v>578</v>
      </c>
      <c r="E2693" s="2" t="s">
        <v>48</v>
      </c>
      <c r="F2693" s="2" t="n">
        <v>315</v>
      </c>
      <c r="G2693" s="2" t="n">
        <v>16</v>
      </c>
    </row>
    <row r="2694" customFormat="false" ht="16.5" hidden="false" customHeight="true" outlineLevel="0" collapsed="false">
      <c r="A2694" s="2" t="s">
        <v>416</v>
      </c>
      <c r="B2694" s="2" t="s">
        <v>440</v>
      </c>
      <c r="C2694" s="2" t="n">
        <v>2</v>
      </c>
      <c r="D2694" s="2" t="s">
        <v>578</v>
      </c>
      <c r="E2694" s="2" t="s">
        <v>50</v>
      </c>
      <c r="F2694" s="2" t="n">
        <v>315</v>
      </c>
      <c r="G2694" s="2" t="n">
        <v>20</v>
      </c>
    </row>
    <row r="2695" customFormat="false" ht="16.5" hidden="false" customHeight="true" outlineLevel="0" collapsed="false">
      <c r="A2695" s="2" t="s">
        <v>416</v>
      </c>
      <c r="B2695" s="2" t="s">
        <v>440</v>
      </c>
      <c r="C2695" s="2" t="n">
        <v>2</v>
      </c>
      <c r="D2695" s="2" t="s">
        <v>578</v>
      </c>
      <c r="E2695" s="2" t="s">
        <v>45</v>
      </c>
      <c r="F2695" s="2" t="n">
        <v>315</v>
      </c>
      <c r="G2695" s="2" t="n">
        <v>38</v>
      </c>
    </row>
    <row r="2696" customFormat="false" ht="16.5" hidden="false" customHeight="true" outlineLevel="0" collapsed="false">
      <c r="A2696" s="2" t="s">
        <v>416</v>
      </c>
      <c r="B2696" s="2" t="s">
        <v>440</v>
      </c>
      <c r="C2696" s="2" t="n">
        <v>2</v>
      </c>
      <c r="D2696" s="2" t="s">
        <v>578</v>
      </c>
      <c r="E2696" s="2" t="s">
        <v>46</v>
      </c>
      <c r="F2696" s="2" t="n">
        <v>315</v>
      </c>
      <c r="G2696" s="2" t="n">
        <v>42</v>
      </c>
    </row>
    <row r="2697" customFormat="false" ht="16.5" hidden="false" customHeight="true" outlineLevel="0" collapsed="false">
      <c r="A2697" s="2" t="s">
        <v>416</v>
      </c>
      <c r="B2697" s="2" t="s">
        <v>441</v>
      </c>
      <c r="C2697" s="2" t="n">
        <v>2</v>
      </c>
      <c r="D2697" s="2" t="s">
        <v>579</v>
      </c>
      <c r="E2697" s="2" t="s">
        <v>0</v>
      </c>
      <c r="F2697" s="2" t="n">
        <v>320</v>
      </c>
      <c r="G2697" s="2" t="n">
        <v>6</v>
      </c>
    </row>
    <row r="2698" customFormat="false" ht="16.5" hidden="false" customHeight="true" outlineLevel="0" collapsed="false">
      <c r="A2698" s="2" t="s">
        <v>416</v>
      </c>
      <c r="B2698" s="2" t="s">
        <v>441</v>
      </c>
      <c r="C2698" s="2" t="n">
        <v>2</v>
      </c>
      <c r="D2698" s="2" t="s">
        <v>579</v>
      </c>
      <c r="E2698" s="2" t="s">
        <v>1</v>
      </c>
      <c r="F2698" s="2" t="n">
        <v>320</v>
      </c>
      <c r="G2698" s="2" t="n">
        <v>10</v>
      </c>
    </row>
    <row r="2699" customFormat="false" ht="16.5" hidden="false" customHeight="true" outlineLevel="0" collapsed="false">
      <c r="A2699" s="2" t="s">
        <v>416</v>
      </c>
      <c r="B2699" s="2" t="s">
        <v>441</v>
      </c>
      <c r="C2699" s="2" t="n">
        <v>2</v>
      </c>
      <c r="D2699" s="2" t="s">
        <v>579</v>
      </c>
      <c r="E2699" s="2" t="s">
        <v>2</v>
      </c>
      <c r="F2699" s="2" t="n">
        <v>320</v>
      </c>
      <c r="G2699" s="2" t="n">
        <v>14</v>
      </c>
    </row>
    <row r="2700" customFormat="false" ht="16.5" hidden="false" customHeight="true" outlineLevel="0" collapsed="false">
      <c r="A2700" s="2" t="s">
        <v>416</v>
      </c>
      <c r="B2700" s="2" t="s">
        <v>441</v>
      </c>
      <c r="C2700" s="2" t="n">
        <v>2</v>
      </c>
      <c r="D2700" s="2" t="s">
        <v>579</v>
      </c>
      <c r="E2700" s="2" t="s">
        <v>3</v>
      </c>
      <c r="F2700" s="2" t="n">
        <v>320</v>
      </c>
      <c r="G2700" s="2" t="n">
        <v>18</v>
      </c>
    </row>
    <row r="2701" customFormat="false" ht="16.5" hidden="false" customHeight="true" outlineLevel="0" collapsed="false">
      <c r="A2701" s="2" t="s">
        <v>416</v>
      </c>
      <c r="B2701" s="2" t="s">
        <v>441</v>
      </c>
      <c r="C2701" s="2" t="n">
        <v>2</v>
      </c>
      <c r="D2701" s="2" t="s">
        <v>579</v>
      </c>
      <c r="E2701" s="2" t="s">
        <v>4</v>
      </c>
      <c r="F2701" s="2" t="n">
        <v>320</v>
      </c>
      <c r="G2701" s="2" t="n">
        <v>22</v>
      </c>
    </row>
    <row r="2702" customFormat="false" ht="16.5" hidden="false" customHeight="true" outlineLevel="0" collapsed="false">
      <c r="A2702" s="2" t="s">
        <v>416</v>
      </c>
      <c r="B2702" s="2" t="s">
        <v>441</v>
      </c>
      <c r="C2702" s="2" t="n">
        <v>2</v>
      </c>
      <c r="D2702" s="2" t="s">
        <v>579</v>
      </c>
      <c r="E2702" s="2" t="s">
        <v>5</v>
      </c>
      <c r="F2702" s="2" t="n">
        <v>320</v>
      </c>
      <c r="G2702" s="2" t="n">
        <v>26</v>
      </c>
    </row>
    <row r="2703" customFormat="false" ht="16.5" hidden="false" customHeight="true" outlineLevel="0" collapsed="false">
      <c r="A2703" s="2" t="s">
        <v>416</v>
      </c>
      <c r="B2703" s="2" t="s">
        <v>441</v>
      </c>
      <c r="C2703" s="2" t="n">
        <v>2</v>
      </c>
      <c r="D2703" s="2" t="s">
        <v>579</v>
      </c>
      <c r="E2703" s="2" t="s">
        <v>6</v>
      </c>
      <c r="F2703" s="2" t="n">
        <v>320</v>
      </c>
      <c r="G2703" s="2" t="n">
        <v>30</v>
      </c>
    </row>
    <row r="2704" customFormat="false" ht="16.5" hidden="false" customHeight="true" outlineLevel="0" collapsed="false">
      <c r="A2704" s="2" t="s">
        <v>416</v>
      </c>
      <c r="B2704" s="2" t="s">
        <v>441</v>
      </c>
      <c r="C2704" s="2" t="n">
        <v>2</v>
      </c>
      <c r="D2704" s="2" t="s">
        <v>579</v>
      </c>
      <c r="E2704" s="2" t="s">
        <v>7</v>
      </c>
      <c r="F2704" s="2" t="n">
        <v>320</v>
      </c>
      <c r="G2704" s="2" t="n">
        <v>34</v>
      </c>
    </row>
    <row r="2705" customFormat="false" ht="16.5" hidden="false" customHeight="true" outlineLevel="0" collapsed="false">
      <c r="A2705" s="2" t="s">
        <v>416</v>
      </c>
      <c r="B2705" s="2" t="s">
        <v>441</v>
      </c>
      <c r="C2705" s="2" t="n">
        <v>2</v>
      </c>
      <c r="D2705" s="2" t="s">
        <v>579</v>
      </c>
      <c r="E2705" s="2" t="s">
        <v>8</v>
      </c>
      <c r="F2705" s="2" t="n">
        <v>320</v>
      </c>
      <c r="G2705" s="2" t="n">
        <v>38</v>
      </c>
    </row>
    <row r="2706" customFormat="false" ht="16.5" hidden="false" customHeight="true" outlineLevel="0" collapsed="false">
      <c r="A2706" s="2" t="s">
        <v>416</v>
      </c>
      <c r="B2706" s="2" t="s">
        <v>441</v>
      </c>
      <c r="C2706" s="2" t="n">
        <v>2</v>
      </c>
      <c r="D2706" s="2" t="s">
        <v>579</v>
      </c>
      <c r="E2706" s="2" t="s">
        <v>9</v>
      </c>
      <c r="F2706" s="2" t="n">
        <v>320</v>
      </c>
      <c r="G2706" s="2" t="n">
        <v>42</v>
      </c>
    </row>
    <row r="2707" customFormat="false" ht="16.5" hidden="false" customHeight="true" outlineLevel="0" collapsed="false">
      <c r="A2707" s="2" t="s">
        <v>416</v>
      </c>
      <c r="B2707" s="2" t="s">
        <v>441</v>
      </c>
      <c r="C2707" s="2" t="n">
        <v>2</v>
      </c>
      <c r="D2707" s="2" t="s">
        <v>579</v>
      </c>
      <c r="E2707" s="2" t="s">
        <v>10</v>
      </c>
      <c r="F2707" s="2" t="n">
        <v>320</v>
      </c>
      <c r="G2707" s="2" t="n">
        <v>46</v>
      </c>
    </row>
    <row r="2708" customFormat="false" ht="16.5" hidden="false" customHeight="true" outlineLevel="0" collapsed="false">
      <c r="A2708" s="2" t="s">
        <v>416</v>
      </c>
      <c r="B2708" s="2" t="s">
        <v>441</v>
      </c>
      <c r="C2708" s="2" t="n">
        <v>2</v>
      </c>
      <c r="D2708" s="2" t="s">
        <v>579</v>
      </c>
      <c r="E2708" s="2" t="s">
        <v>11</v>
      </c>
      <c r="F2708" s="2" t="n">
        <v>320</v>
      </c>
      <c r="G2708" s="2" t="n">
        <v>50</v>
      </c>
    </row>
    <row r="2709" customFormat="false" ht="16.5" hidden="false" customHeight="true" outlineLevel="0" collapsed="false">
      <c r="A2709" s="2" t="s">
        <v>416</v>
      </c>
      <c r="B2709" s="2" t="s">
        <v>441</v>
      </c>
      <c r="C2709" s="2" t="n">
        <v>2</v>
      </c>
      <c r="D2709" s="2" t="s">
        <v>579</v>
      </c>
      <c r="E2709" s="2" t="s">
        <v>12</v>
      </c>
      <c r="F2709" s="2" t="n">
        <v>322</v>
      </c>
      <c r="G2709" s="2" t="n">
        <v>8</v>
      </c>
    </row>
    <row r="2710" customFormat="false" ht="16.5" hidden="false" customHeight="true" outlineLevel="0" collapsed="false">
      <c r="A2710" s="2" t="s">
        <v>416</v>
      </c>
      <c r="B2710" s="2" t="s">
        <v>441</v>
      </c>
      <c r="C2710" s="2" t="n">
        <v>2</v>
      </c>
      <c r="D2710" s="2" t="s">
        <v>579</v>
      </c>
      <c r="E2710" s="2" t="s">
        <v>13</v>
      </c>
      <c r="F2710" s="2" t="n">
        <v>322</v>
      </c>
      <c r="G2710" s="2" t="n">
        <v>12</v>
      </c>
    </row>
    <row r="2711" customFormat="false" ht="16.5" hidden="false" customHeight="true" outlineLevel="0" collapsed="false">
      <c r="A2711" s="2" t="s">
        <v>416</v>
      </c>
      <c r="B2711" s="2" t="s">
        <v>441</v>
      </c>
      <c r="C2711" s="2" t="n">
        <v>2</v>
      </c>
      <c r="D2711" s="2" t="s">
        <v>579</v>
      </c>
      <c r="E2711" s="2" t="s">
        <v>14</v>
      </c>
      <c r="F2711" s="2" t="n">
        <v>322</v>
      </c>
      <c r="G2711" s="2" t="n">
        <v>16</v>
      </c>
    </row>
    <row r="2712" customFormat="false" ht="16.5" hidden="false" customHeight="true" outlineLevel="0" collapsed="false">
      <c r="A2712" s="2" t="s">
        <v>416</v>
      </c>
      <c r="B2712" s="2" t="s">
        <v>441</v>
      </c>
      <c r="C2712" s="2" t="n">
        <v>2</v>
      </c>
      <c r="D2712" s="2" t="s">
        <v>579</v>
      </c>
      <c r="E2712" s="2" t="s">
        <v>15</v>
      </c>
      <c r="F2712" s="2" t="n">
        <v>322</v>
      </c>
      <c r="G2712" s="2" t="n">
        <v>20</v>
      </c>
    </row>
    <row r="2713" customFormat="false" ht="16.5" hidden="false" customHeight="true" outlineLevel="0" collapsed="false">
      <c r="A2713" s="2" t="s">
        <v>416</v>
      </c>
      <c r="B2713" s="2" t="s">
        <v>441</v>
      </c>
      <c r="C2713" s="2" t="n">
        <v>2</v>
      </c>
      <c r="D2713" s="2" t="s">
        <v>579</v>
      </c>
      <c r="E2713" s="2" t="s">
        <v>16</v>
      </c>
      <c r="F2713" s="2" t="n">
        <v>322</v>
      </c>
      <c r="G2713" s="2" t="n">
        <v>24</v>
      </c>
    </row>
    <row r="2714" customFormat="false" ht="16.5" hidden="false" customHeight="true" outlineLevel="0" collapsed="false">
      <c r="A2714" s="2" t="s">
        <v>416</v>
      </c>
      <c r="B2714" s="2" t="s">
        <v>441</v>
      </c>
      <c r="C2714" s="2" t="n">
        <v>2</v>
      </c>
      <c r="D2714" s="2" t="s">
        <v>579</v>
      </c>
      <c r="E2714" s="2" t="s">
        <v>17</v>
      </c>
      <c r="F2714" s="2" t="n">
        <v>322</v>
      </c>
      <c r="G2714" s="2" t="n">
        <v>28</v>
      </c>
    </row>
    <row r="2715" customFormat="false" ht="16.5" hidden="false" customHeight="true" outlineLevel="0" collapsed="false">
      <c r="A2715" s="2" t="s">
        <v>416</v>
      </c>
      <c r="B2715" s="2" t="s">
        <v>441</v>
      </c>
      <c r="C2715" s="2" t="n">
        <v>2</v>
      </c>
      <c r="D2715" s="2" t="s">
        <v>579</v>
      </c>
      <c r="E2715" s="2" t="s">
        <v>18</v>
      </c>
      <c r="F2715" s="2" t="n">
        <v>322</v>
      </c>
      <c r="G2715" s="2" t="n">
        <v>32</v>
      </c>
    </row>
    <row r="2716" customFormat="false" ht="16.5" hidden="false" customHeight="true" outlineLevel="0" collapsed="false">
      <c r="A2716" s="2" t="s">
        <v>416</v>
      </c>
      <c r="B2716" s="2" t="s">
        <v>441</v>
      </c>
      <c r="C2716" s="2" t="n">
        <v>2</v>
      </c>
      <c r="D2716" s="2" t="s">
        <v>579</v>
      </c>
      <c r="E2716" s="2" t="s">
        <v>19</v>
      </c>
      <c r="F2716" s="2" t="n">
        <v>322</v>
      </c>
      <c r="G2716" s="2" t="n">
        <v>36</v>
      </c>
    </row>
    <row r="2717" customFormat="false" ht="16.5" hidden="false" customHeight="true" outlineLevel="0" collapsed="false">
      <c r="A2717" s="2" t="s">
        <v>416</v>
      </c>
      <c r="B2717" s="2" t="s">
        <v>441</v>
      </c>
      <c r="C2717" s="2" t="n">
        <v>2</v>
      </c>
      <c r="D2717" s="2" t="s">
        <v>579</v>
      </c>
      <c r="E2717" s="2" t="s">
        <v>20</v>
      </c>
      <c r="F2717" s="2" t="n">
        <v>322</v>
      </c>
      <c r="G2717" s="2" t="n">
        <v>40</v>
      </c>
    </row>
    <row r="2718" customFormat="false" ht="16.5" hidden="false" customHeight="true" outlineLevel="0" collapsed="false">
      <c r="A2718" s="2" t="s">
        <v>416</v>
      </c>
      <c r="B2718" s="2" t="s">
        <v>441</v>
      </c>
      <c r="C2718" s="2" t="n">
        <v>2</v>
      </c>
      <c r="D2718" s="2" t="s">
        <v>579</v>
      </c>
      <c r="E2718" s="2" t="s">
        <v>21</v>
      </c>
      <c r="F2718" s="2" t="n">
        <v>322</v>
      </c>
      <c r="G2718" s="2" t="n">
        <v>44</v>
      </c>
    </row>
    <row r="2719" customFormat="false" ht="16.5" hidden="false" customHeight="true" outlineLevel="0" collapsed="false">
      <c r="A2719" s="2" t="s">
        <v>416</v>
      </c>
      <c r="B2719" s="2" t="s">
        <v>441</v>
      </c>
      <c r="C2719" s="2" t="n">
        <v>2</v>
      </c>
      <c r="D2719" s="2" t="s">
        <v>579</v>
      </c>
      <c r="E2719" s="2" t="s">
        <v>22</v>
      </c>
      <c r="F2719" s="2" t="n">
        <v>322</v>
      </c>
      <c r="G2719" s="2" t="n">
        <v>48</v>
      </c>
    </row>
    <row r="2720" customFormat="false" ht="16.5" hidden="false" customHeight="true" outlineLevel="0" collapsed="false">
      <c r="A2720" s="2" t="s">
        <v>416</v>
      </c>
      <c r="B2720" s="2" t="s">
        <v>441</v>
      </c>
      <c r="C2720" s="2" t="n">
        <v>2</v>
      </c>
      <c r="D2720" s="2" t="s">
        <v>579</v>
      </c>
      <c r="E2720" s="2" t="s">
        <v>23</v>
      </c>
      <c r="F2720" s="2" t="n">
        <v>322</v>
      </c>
      <c r="G2720" s="2" t="n">
        <v>52</v>
      </c>
    </row>
    <row r="2721" customFormat="false" ht="16.5" hidden="false" customHeight="true" outlineLevel="0" collapsed="false">
      <c r="A2721" s="2" t="s">
        <v>416</v>
      </c>
      <c r="B2721" s="2" t="s">
        <v>441</v>
      </c>
      <c r="C2721" s="2" t="n">
        <v>2</v>
      </c>
      <c r="D2721" s="2" t="s">
        <v>579</v>
      </c>
      <c r="E2721" s="2" t="s">
        <v>24</v>
      </c>
      <c r="F2721" s="2" t="n">
        <v>324</v>
      </c>
      <c r="G2721" s="2" t="n">
        <v>9</v>
      </c>
    </row>
    <row r="2722" customFormat="false" ht="16.5" hidden="false" customHeight="true" outlineLevel="0" collapsed="false">
      <c r="A2722" s="2" t="s">
        <v>416</v>
      </c>
      <c r="B2722" s="2" t="s">
        <v>441</v>
      </c>
      <c r="C2722" s="2" t="n">
        <v>2</v>
      </c>
      <c r="D2722" s="2" t="s">
        <v>579</v>
      </c>
      <c r="E2722" s="2" t="s">
        <v>25</v>
      </c>
      <c r="F2722" s="2" t="n">
        <v>324</v>
      </c>
      <c r="G2722" s="2" t="n">
        <v>13</v>
      </c>
    </row>
    <row r="2723" customFormat="false" ht="16.5" hidden="false" customHeight="true" outlineLevel="0" collapsed="false">
      <c r="A2723" s="2" t="s">
        <v>416</v>
      </c>
      <c r="B2723" s="2" t="s">
        <v>441</v>
      </c>
      <c r="C2723" s="2" t="n">
        <v>2</v>
      </c>
      <c r="D2723" s="2" t="s">
        <v>579</v>
      </c>
      <c r="E2723" s="2" t="s">
        <v>26</v>
      </c>
      <c r="F2723" s="2" t="n">
        <v>324</v>
      </c>
      <c r="G2723" s="2" t="n">
        <v>17</v>
      </c>
    </row>
    <row r="2724" customFormat="false" ht="16.5" hidden="false" customHeight="true" outlineLevel="0" collapsed="false">
      <c r="A2724" s="2" t="s">
        <v>416</v>
      </c>
      <c r="B2724" s="2" t="s">
        <v>441</v>
      </c>
      <c r="C2724" s="2" t="n">
        <v>2</v>
      </c>
      <c r="D2724" s="2" t="s">
        <v>579</v>
      </c>
      <c r="E2724" s="2" t="s">
        <v>27</v>
      </c>
      <c r="F2724" s="2" t="n">
        <v>324</v>
      </c>
      <c r="G2724" s="2" t="n">
        <v>21</v>
      </c>
    </row>
    <row r="2725" customFormat="false" ht="16.5" hidden="false" customHeight="true" outlineLevel="0" collapsed="false">
      <c r="A2725" s="2" t="s">
        <v>416</v>
      </c>
      <c r="B2725" s="2" t="s">
        <v>441</v>
      </c>
      <c r="C2725" s="2" t="n">
        <v>2</v>
      </c>
      <c r="D2725" s="2" t="s">
        <v>579</v>
      </c>
      <c r="E2725" s="2" t="s">
        <v>28</v>
      </c>
      <c r="F2725" s="2" t="n">
        <v>324</v>
      </c>
      <c r="G2725" s="2" t="n">
        <v>25</v>
      </c>
    </row>
    <row r="2726" customFormat="false" ht="16.5" hidden="false" customHeight="true" outlineLevel="0" collapsed="false">
      <c r="A2726" s="2" t="s">
        <v>416</v>
      </c>
      <c r="B2726" s="2" t="s">
        <v>441</v>
      </c>
      <c r="C2726" s="2" t="n">
        <v>2</v>
      </c>
      <c r="D2726" s="2" t="s">
        <v>579</v>
      </c>
      <c r="E2726" s="2" t="s">
        <v>29</v>
      </c>
      <c r="F2726" s="2" t="n">
        <v>324</v>
      </c>
      <c r="G2726" s="2" t="n">
        <v>29</v>
      </c>
    </row>
    <row r="2727" customFormat="false" ht="16.5" hidden="false" customHeight="true" outlineLevel="0" collapsed="false">
      <c r="A2727" s="2" t="s">
        <v>416</v>
      </c>
      <c r="B2727" s="2" t="s">
        <v>441</v>
      </c>
      <c r="C2727" s="2" t="n">
        <v>2</v>
      </c>
      <c r="D2727" s="2" t="s">
        <v>579</v>
      </c>
      <c r="E2727" s="2" t="s">
        <v>30</v>
      </c>
      <c r="F2727" s="2" t="n">
        <v>324</v>
      </c>
      <c r="G2727" s="2" t="n">
        <v>33</v>
      </c>
    </row>
    <row r="2728" customFormat="false" ht="16.5" hidden="false" customHeight="true" outlineLevel="0" collapsed="false">
      <c r="A2728" s="2" t="s">
        <v>416</v>
      </c>
      <c r="B2728" s="2" t="s">
        <v>441</v>
      </c>
      <c r="C2728" s="2" t="n">
        <v>2</v>
      </c>
      <c r="D2728" s="2" t="s">
        <v>579</v>
      </c>
      <c r="E2728" s="2" t="s">
        <v>31</v>
      </c>
      <c r="F2728" s="2" t="n">
        <v>324</v>
      </c>
      <c r="G2728" s="2" t="n">
        <v>37</v>
      </c>
    </row>
    <row r="2729" customFormat="false" ht="16.5" hidden="false" customHeight="true" outlineLevel="0" collapsed="false">
      <c r="A2729" s="2" t="s">
        <v>416</v>
      </c>
      <c r="B2729" s="2" t="s">
        <v>441</v>
      </c>
      <c r="C2729" s="2" t="n">
        <v>2</v>
      </c>
      <c r="D2729" s="2" t="s">
        <v>579</v>
      </c>
      <c r="E2729" s="2" t="s">
        <v>32</v>
      </c>
      <c r="F2729" s="2" t="n">
        <v>324</v>
      </c>
      <c r="G2729" s="2" t="n">
        <v>41</v>
      </c>
    </row>
    <row r="2730" customFormat="false" ht="16.5" hidden="false" customHeight="true" outlineLevel="0" collapsed="false">
      <c r="A2730" s="2" t="s">
        <v>416</v>
      </c>
      <c r="B2730" s="2" t="s">
        <v>441</v>
      </c>
      <c r="C2730" s="2" t="n">
        <v>2</v>
      </c>
      <c r="D2730" s="2" t="s">
        <v>579</v>
      </c>
      <c r="E2730" s="2" t="s">
        <v>33</v>
      </c>
      <c r="F2730" s="2" t="n">
        <v>324</v>
      </c>
      <c r="G2730" s="2" t="n">
        <v>45</v>
      </c>
    </row>
    <row r="2731" customFormat="false" ht="16.5" hidden="false" customHeight="true" outlineLevel="0" collapsed="false">
      <c r="A2731" s="2" t="s">
        <v>416</v>
      </c>
      <c r="B2731" s="2" t="s">
        <v>441</v>
      </c>
      <c r="C2731" s="2" t="n">
        <v>2</v>
      </c>
      <c r="D2731" s="2" t="s">
        <v>579</v>
      </c>
      <c r="E2731" s="2" t="s">
        <v>34</v>
      </c>
      <c r="F2731" s="2" t="n">
        <v>324</v>
      </c>
      <c r="G2731" s="2" t="n">
        <v>49</v>
      </c>
    </row>
    <row r="2732" customFormat="false" ht="16.5" hidden="false" customHeight="true" outlineLevel="0" collapsed="false">
      <c r="A2732" s="2" t="s">
        <v>416</v>
      </c>
      <c r="B2732" s="2" t="s">
        <v>441</v>
      </c>
      <c r="C2732" s="2" t="n">
        <v>2</v>
      </c>
      <c r="D2732" s="2" t="s">
        <v>579</v>
      </c>
      <c r="E2732" s="2" t="s">
        <v>35</v>
      </c>
      <c r="F2732" s="2" t="n">
        <v>326</v>
      </c>
      <c r="G2732" s="2" t="n">
        <v>11</v>
      </c>
    </row>
    <row r="2733" customFormat="false" ht="16.5" hidden="false" customHeight="true" outlineLevel="0" collapsed="false">
      <c r="A2733" s="2" t="s">
        <v>416</v>
      </c>
      <c r="B2733" s="2" t="s">
        <v>441</v>
      </c>
      <c r="C2733" s="2" t="n">
        <v>2</v>
      </c>
      <c r="D2733" s="2" t="s">
        <v>579</v>
      </c>
      <c r="E2733" s="2" t="s">
        <v>36</v>
      </c>
      <c r="F2733" s="2" t="n">
        <v>326</v>
      </c>
      <c r="G2733" s="2" t="n">
        <v>15</v>
      </c>
    </row>
    <row r="2734" customFormat="false" ht="16.5" hidden="false" customHeight="true" outlineLevel="0" collapsed="false">
      <c r="A2734" s="2" t="s">
        <v>416</v>
      </c>
      <c r="B2734" s="2" t="s">
        <v>441</v>
      </c>
      <c r="C2734" s="2" t="n">
        <v>2</v>
      </c>
      <c r="D2734" s="2" t="s">
        <v>579</v>
      </c>
      <c r="E2734" s="2" t="s">
        <v>37</v>
      </c>
      <c r="F2734" s="2" t="n">
        <v>326</v>
      </c>
      <c r="G2734" s="2" t="n">
        <v>19</v>
      </c>
    </row>
    <row r="2735" customFormat="false" ht="16.5" hidden="false" customHeight="true" outlineLevel="0" collapsed="false">
      <c r="A2735" s="2" t="s">
        <v>416</v>
      </c>
      <c r="B2735" s="2" t="s">
        <v>441</v>
      </c>
      <c r="C2735" s="2" t="n">
        <v>2</v>
      </c>
      <c r="D2735" s="2" t="s">
        <v>579</v>
      </c>
      <c r="E2735" s="2" t="s">
        <v>38</v>
      </c>
      <c r="F2735" s="2" t="n">
        <v>326</v>
      </c>
      <c r="G2735" s="2" t="n">
        <v>23</v>
      </c>
    </row>
    <row r="2736" customFormat="false" ht="16.5" hidden="false" customHeight="true" outlineLevel="0" collapsed="false">
      <c r="A2736" s="2" t="s">
        <v>416</v>
      </c>
      <c r="B2736" s="2" t="s">
        <v>441</v>
      </c>
      <c r="C2736" s="2" t="n">
        <v>2</v>
      </c>
      <c r="D2736" s="2" t="s">
        <v>579</v>
      </c>
      <c r="E2736" s="2" t="s">
        <v>39</v>
      </c>
      <c r="F2736" s="2" t="n">
        <v>326</v>
      </c>
      <c r="G2736" s="2" t="n">
        <v>27</v>
      </c>
    </row>
    <row r="2737" customFormat="false" ht="16.5" hidden="false" customHeight="true" outlineLevel="0" collapsed="false">
      <c r="A2737" s="2" t="s">
        <v>416</v>
      </c>
      <c r="B2737" s="2" t="s">
        <v>441</v>
      </c>
      <c r="C2737" s="2" t="n">
        <v>2</v>
      </c>
      <c r="D2737" s="2" t="s">
        <v>579</v>
      </c>
      <c r="E2737" s="2" t="s">
        <v>40</v>
      </c>
      <c r="F2737" s="2" t="n">
        <v>326</v>
      </c>
      <c r="G2737" s="2" t="n">
        <v>31</v>
      </c>
    </row>
    <row r="2738" customFormat="false" ht="16.5" hidden="false" customHeight="true" outlineLevel="0" collapsed="false">
      <c r="A2738" s="2" t="s">
        <v>416</v>
      </c>
      <c r="B2738" s="2" t="s">
        <v>441</v>
      </c>
      <c r="C2738" s="2" t="n">
        <v>2</v>
      </c>
      <c r="D2738" s="2" t="s">
        <v>579</v>
      </c>
      <c r="E2738" s="2" t="s">
        <v>41</v>
      </c>
      <c r="F2738" s="2" t="n">
        <v>326</v>
      </c>
      <c r="G2738" s="2" t="n">
        <v>35</v>
      </c>
    </row>
    <row r="2739" customFormat="false" ht="16.5" hidden="false" customHeight="true" outlineLevel="0" collapsed="false">
      <c r="A2739" s="2" t="s">
        <v>416</v>
      </c>
      <c r="B2739" s="2" t="s">
        <v>441</v>
      </c>
      <c r="C2739" s="2" t="n">
        <v>2</v>
      </c>
      <c r="D2739" s="2" t="s">
        <v>579</v>
      </c>
      <c r="E2739" s="2" t="s">
        <v>42</v>
      </c>
      <c r="F2739" s="2" t="n">
        <v>326</v>
      </c>
      <c r="G2739" s="2" t="n">
        <v>39</v>
      </c>
    </row>
    <row r="2740" customFormat="false" ht="16.5" hidden="false" customHeight="true" outlineLevel="0" collapsed="false">
      <c r="A2740" s="2" t="s">
        <v>416</v>
      </c>
      <c r="B2740" s="2" t="s">
        <v>441</v>
      </c>
      <c r="C2740" s="2" t="n">
        <v>2</v>
      </c>
      <c r="D2740" s="2" t="s">
        <v>579</v>
      </c>
      <c r="E2740" s="2" t="s">
        <v>43</v>
      </c>
      <c r="F2740" s="2" t="n">
        <v>326</v>
      </c>
      <c r="G2740" s="2" t="n">
        <v>43</v>
      </c>
    </row>
    <row r="2741" customFormat="false" ht="16.5" hidden="false" customHeight="true" outlineLevel="0" collapsed="false">
      <c r="A2741" s="2" t="s">
        <v>416</v>
      </c>
      <c r="B2741" s="2" t="s">
        <v>441</v>
      </c>
      <c r="C2741" s="2" t="n">
        <v>2</v>
      </c>
      <c r="D2741" s="2" t="s">
        <v>579</v>
      </c>
      <c r="E2741" s="2" t="s">
        <v>44</v>
      </c>
      <c r="F2741" s="2" t="n">
        <v>326</v>
      </c>
      <c r="G2741" s="2" t="n">
        <v>47</v>
      </c>
    </row>
    <row r="2742" customFormat="false" ht="16.5" hidden="false" customHeight="true" outlineLevel="0" collapsed="false">
      <c r="A2742" s="2" t="s">
        <v>416</v>
      </c>
      <c r="B2742" s="2" t="s">
        <v>441</v>
      </c>
      <c r="C2742" s="2" t="n">
        <v>2</v>
      </c>
      <c r="D2742" s="2" t="s">
        <v>579</v>
      </c>
      <c r="E2742" s="2" t="s">
        <v>48</v>
      </c>
      <c r="F2742" s="2" t="n">
        <v>328</v>
      </c>
      <c r="G2742" s="2" t="n">
        <v>16</v>
      </c>
    </row>
    <row r="2743" customFormat="false" ht="16.5" hidden="false" customHeight="true" outlineLevel="0" collapsed="false">
      <c r="A2743" s="2" t="s">
        <v>416</v>
      </c>
      <c r="B2743" s="2" t="s">
        <v>441</v>
      </c>
      <c r="C2743" s="2" t="n">
        <v>2</v>
      </c>
      <c r="D2743" s="2" t="s">
        <v>579</v>
      </c>
      <c r="E2743" s="2" t="s">
        <v>50</v>
      </c>
      <c r="F2743" s="2" t="n">
        <v>328</v>
      </c>
      <c r="G2743" s="2" t="n">
        <v>20</v>
      </c>
    </row>
    <row r="2744" customFormat="false" ht="16.5" hidden="false" customHeight="true" outlineLevel="0" collapsed="false">
      <c r="A2744" s="2" t="s">
        <v>416</v>
      </c>
      <c r="B2744" s="2" t="s">
        <v>441</v>
      </c>
      <c r="C2744" s="2" t="n">
        <v>2</v>
      </c>
      <c r="D2744" s="2" t="s">
        <v>579</v>
      </c>
      <c r="E2744" s="2" t="s">
        <v>45</v>
      </c>
      <c r="F2744" s="2" t="n">
        <v>328</v>
      </c>
      <c r="G2744" s="2" t="n">
        <v>38</v>
      </c>
    </row>
    <row r="2745" customFormat="false" ht="16.5" hidden="false" customHeight="true" outlineLevel="0" collapsed="false">
      <c r="A2745" s="2" t="s">
        <v>416</v>
      </c>
      <c r="B2745" s="2" t="s">
        <v>441</v>
      </c>
      <c r="C2745" s="2" t="n">
        <v>2</v>
      </c>
      <c r="D2745" s="2" t="s">
        <v>579</v>
      </c>
      <c r="E2745" s="2" t="s">
        <v>46</v>
      </c>
      <c r="F2745" s="2" t="n">
        <v>328</v>
      </c>
      <c r="G2745" s="2" t="n">
        <v>42</v>
      </c>
    </row>
    <row r="2746" customFormat="false" ht="16.5" hidden="false" customHeight="true" outlineLevel="0" collapsed="false">
      <c r="A2746" s="2" t="s">
        <v>416</v>
      </c>
      <c r="B2746" s="2" t="s">
        <v>442</v>
      </c>
      <c r="C2746" s="2" t="n">
        <v>2</v>
      </c>
      <c r="D2746" s="2" t="s">
        <v>580</v>
      </c>
      <c r="E2746" s="2" t="s">
        <v>0</v>
      </c>
      <c r="F2746" s="2" t="n">
        <v>333</v>
      </c>
      <c r="G2746" s="2" t="n">
        <v>6</v>
      </c>
    </row>
    <row r="2747" customFormat="false" ht="16.5" hidden="false" customHeight="true" outlineLevel="0" collapsed="false">
      <c r="A2747" s="2" t="s">
        <v>416</v>
      </c>
      <c r="B2747" s="2" t="s">
        <v>442</v>
      </c>
      <c r="C2747" s="2" t="n">
        <v>2</v>
      </c>
      <c r="D2747" s="2" t="s">
        <v>580</v>
      </c>
      <c r="E2747" s="2" t="s">
        <v>1</v>
      </c>
      <c r="F2747" s="2" t="n">
        <v>333</v>
      </c>
      <c r="G2747" s="2" t="n">
        <v>10</v>
      </c>
    </row>
    <row r="2748" customFormat="false" ht="16.5" hidden="false" customHeight="true" outlineLevel="0" collapsed="false">
      <c r="A2748" s="2" t="s">
        <v>416</v>
      </c>
      <c r="B2748" s="2" t="s">
        <v>442</v>
      </c>
      <c r="C2748" s="2" t="n">
        <v>2</v>
      </c>
      <c r="D2748" s="2" t="s">
        <v>580</v>
      </c>
      <c r="E2748" s="2" t="s">
        <v>2</v>
      </c>
      <c r="F2748" s="2" t="n">
        <v>333</v>
      </c>
      <c r="G2748" s="2" t="n">
        <v>14</v>
      </c>
    </row>
    <row r="2749" customFormat="false" ht="16.5" hidden="false" customHeight="true" outlineLevel="0" collapsed="false">
      <c r="A2749" s="2" t="s">
        <v>416</v>
      </c>
      <c r="B2749" s="2" t="s">
        <v>442</v>
      </c>
      <c r="C2749" s="2" t="n">
        <v>2</v>
      </c>
      <c r="D2749" s="2" t="s">
        <v>580</v>
      </c>
      <c r="E2749" s="2" t="s">
        <v>3</v>
      </c>
      <c r="F2749" s="2" t="n">
        <v>333</v>
      </c>
      <c r="G2749" s="2" t="n">
        <v>18</v>
      </c>
    </row>
    <row r="2750" customFormat="false" ht="16.5" hidden="false" customHeight="true" outlineLevel="0" collapsed="false">
      <c r="A2750" s="2" t="s">
        <v>416</v>
      </c>
      <c r="B2750" s="2" t="s">
        <v>442</v>
      </c>
      <c r="C2750" s="2" t="n">
        <v>2</v>
      </c>
      <c r="D2750" s="2" t="s">
        <v>580</v>
      </c>
      <c r="E2750" s="2" t="s">
        <v>4</v>
      </c>
      <c r="F2750" s="2" t="n">
        <v>333</v>
      </c>
      <c r="G2750" s="2" t="n">
        <v>22</v>
      </c>
    </row>
    <row r="2751" customFormat="false" ht="16.5" hidden="false" customHeight="true" outlineLevel="0" collapsed="false">
      <c r="A2751" s="2" t="s">
        <v>416</v>
      </c>
      <c r="B2751" s="2" t="s">
        <v>442</v>
      </c>
      <c r="C2751" s="2" t="n">
        <v>2</v>
      </c>
      <c r="D2751" s="2" t="s">
        <v>580</v>
      </c>
      <c r="E2751" s="2" t="s">
        <v>5</v>
      </c>
      <c r="F2751" s="2" t="n">
        <v>333</v>
      </c>
      <c r="G2751" s="2" t="n">
        <v>26</v>
      </c>
    </row>
    <row r="2752" customFormat="false" ht="16.5" hidden="false" customHeight="true" outlineLevel="0" collapsed="false">
      <c r="A2752" s="2" t="s">
        <v>416</v>
      </c>
      <c r="B2752" s="2" t="s">
        <v>442</v>
      </c>
      <c r="C2752" s="2" t="n">
        <v>2</v>
      </c>
      <c r="D2752" s="2" t="s">
        <v>580</v>
      </c>
      <c r="E2752" s="2" t="s">
        <v>6</v>
      </c>
      <c r="F2752" s="2" t="n">
        <v>333</v>
      </c>
      <c r="G2752" s="2" t="n">
        <v>30</v>
      </c>
    </row>
    <row r="2753" customFormat="false" ht="16.5" hidden="false" customHeight="true" outlineLevel="0" collapsed="false">
      <c r="A2753" s="2" t="s">
        <v>416</v>
      </c>
      <c r="B2753" s="2" t="s">
        <v>442</v>
      </c>
      <c r="C2753" s="2" t="n">
        <v>2</v>
      </c>
      <c r="D2753" s="2" t="s">
        <v>580</v>
      </c>
      <c r="E2753" s="2" t="s">
        <v>7</v>
      </c>
      <c r="F2753" s="2" t="n">
        <v>333</v>
      </c>
      <c r="G2753" s="2" t="n">
        <v>34</v>
      </c>
    </row>
    <row r="2754" customFormat="false" ht="16.5" hidden="false" customHeight="true" outlineLevel="0" collapsed="false">
      <c r="A2754" s="2" t="s">
        <v>416</v>
      </c>
      <c r="B2754" s="2" t="s">
        <v>442</v>
      </c>
      <c r="C2754" s="2" t="n">
        <v>2</v>
      </c>
      <c r="D2754" s="2" t="s">
        <v>580</v>
      </c>
      <c r="E2754" s="2" t="s">
        <v>8</v>
      </c>
      <c r="F2754" s="2" t="n">
        <v>333</v>
      </c>
      <c r="G2754" s="2" t="n">
        <v>38</v>
      </c>
    </row>
    <row r="2755" customFormat="false" ht="16.5" hidden="false" customHeight="true" outlineLevel="0" collapsed="false">
      <c r="A2755" s="2" t="s">
        <v>416</v>
      </c>
      <c r="B2755" s="2" t="s">
        <v>442</v>
      </c>
      <c r="C2755" s="2" t="n">
        <v>2</v>
      </c>
      <c r="D2755" s="2" t="s">
        <v>580</v>
      </c>
      <c r="E2755" s="2" t="s">
        <v>9</v>
      </c>
      <c r="F2755" s="2" t="n">
        <v>333</v>
      </c>
      <c r="G2755" s="2" t="n">
        <v>42</v>
      </c>
    </row>
    <row r="2756" customFormat="false" ht="16.5" hidden="false" customHeight="true" outlineLevel="0" collapsed="false">
      <c r="A2756" s="2" t="s">
        <v>416</v>
      </c>
      <c r="B2756" s="2" t="s">
        <v>442</v>
      </c>
      <c r="C2756" s="2" t="n">
        <v>2</v>
      </c>
      <c r="D2756" s="2" t="s">
        <v>580</v>
      </c>
      <c r="E2756" s="2" t="s">
        <v>10</v>
      </c>
      <c r="F2756" s="2" t="n">
        <v>333</v>
      </c>
      <c r="G2756" s="2" t="n">
        <v>46</v>
      </c>
    </row>
    <row r="2757" customFormat="false" ht="16.5" hidden="false" customHeight="true" outlineLevel="0" collapsed="false">
      <c r="A2757" s="2" t="s">
        <v>416</v>
      </c>
      <c r="B2757" s="2" t="s">
        <v>442</v>
      </c>
      <c r="C2757" s="2" t="n">
        <v>2</v>
      </c>
      <c r="D2757" s="2" t="s">
        <v>580</v>
      </c>
      <c r="E2757" s="2" t="s">
        <v>11</v>
      </c>
      <c r="F2757" s="2" t="n">
        <v>333</v>
      </c>
      <c r="G2757" s="2" t="n">
        <v>50</v>
      </c>
    </row>
    <row r="2758" customFormat="false" ht="16.5" hidden="false" customHeight="true" outlineLevel="0" collapsed="false">
      <c r="A2758" s="2" t="s">
        <v>416</v>
      </c>
      <c r="B2758" s="2" t="s">
        <v>442</v>
      </c>
      <c r="C2758" s="2" t="n">
        <v>2</v>
      </c>
      <c r="D2758" s="2" t="s">
        <v>580</v>
      </c>
      <c r="E2758" s="2" t="s">
        <v>12</v>
      </c>
      <c r="F2758" s="2" t="n">
        <v>335</v>
      </c>
      <c r="G2758" s="2" t="n">
        <v>8</v>
      </c>
    </row>
    <row r="2759" customFormat="false" ht="16.5" hidden="false" customHeight="true" outlineLevel="0" collapsed="false">
      <c r="A2759" s="2" t="s">
        <v>416</v>
      </c>
      <c r="B2759" s="2" t="s">
        <v>442</v>
      </c>
      <c r="C2759" s="2" t="n">
        <v>2</v>
      </c>
      <c r="D2759" s="2" t="s">
        <v>580</v>
      </c>
      <c r="E2759" s="2" t="s">
        <v>13</v>
      </c>
      <c r="F2759" s="2" t="n">
        <v>335</v>
      </c>
      <c r="G2759" s="2" t="n">
        <v>12</v>
      </c>
    </row>
    <row r="2760" customFormat="false" ht="16.5" hidden="false" customHeight="true" outlineLevel="0" collapsed="false">
      <c r="A2760" s="2" t="s">
        <v>416</v>
      </c>
      <c r="B2760" s="2" t="s">
        <v>442</v>
      </c>
      <c r="C2760" s="2" t="n">
        <v>2</v>
      </c>
      <c r="D2760" s="2" t="s">
        <v>580</v>
      </c>
      <c r="E2760" s="2" t="s">
        <v>14</v>
      </c>
      <c r="F2760" s="2" t="n">
        <v>335</v>
      </c>
      <c r="G2760" s="2" t="n">
        <v>16</v>
      </c>
    </row>
    <row r="2761" customFormat="false" ht="16.5" hidden="false" customHeight="true" outlineLevel="0" collapsed="false">
      <c r="A2761" s="2" t="s">
        <v>416</v>
      </c>
      <c r="B2761" s="2" t="s">
        <v>442</v>
      </c>
      <c r="C2761" s="2" t="n">
        <v>2</v>
      </c>
      <c r="D2761" s="2" t="s">
        <v>580</v>
      </c>
      <c r="E2761" s="2" t="s">
        <v>15</v>
      </c>
      <c r="F2761" s="2" t="n">
        <v>335</v>
      </c>
      <c r="G2761" s="2" t="n">
        <v>20</v>
      </c>
    </row>
    <row r="2762" customFormat="false" ht="16.5" hidden="false" customHeight="true" outlineLevel="0" collapsed="false">
      <c r="A2762" s="2" t="s">
        <v>416</v>
      </c>
      <c r="B2762" s="2" t="s">
        <v>442</v>
      </c>
      <c r="C2762" s="2" t="n">
        <v>2</v>
      </c>
      <c r="D2762" s="2" t="s">
        <v>580</v>
      </c>
      <c r="E2762" s="2" t="s">
        <v>16</v>
      </c>
      <c r="F2762" s="2" t="n">
        <v>335</v>
      </c>
      <c r="G2762" s="2" t="n">
        <v>24</v>
      </c>
    </row>
    <row r="2763" customFormat="false" ht="16.5" hidden="false" customHeight="true" outlineLevel="0" collapsed="false">
      <c r="A2763" s="2" t="s">
        <v>416</v>
      </c>
      <c r="B2763" s="2" t="s">
        <v>442</v>
      </c>
      <c r="C2763" s="2" t="n">
        <v>2</v>
      </c>
      <c r="D2763" s="2" t="s">
        <v>580</v>
      </c>
      <c r="E2763" s="2" t="s">
        <v>17</v>
      </c>
      <c r="F2763" s="2" t="n">
        <v>335</v>
      </c>
      <c r="G2763" s="2" t="n">
        <v>28</v>
      </c>
    </row>
    <row r="2764" customFormat="false" ht="16.5" hidden="false" customHeight="true" outlineLevel="0" collapsed="false">
      <c r="A2764" s="2" t="s">
        <v>416</v>
      </c>
      <c r="B2764" s="2" t="s">
        <v>442</v>
      </c>
      <c r="C2764" s="2" t="n">
        <v>2</v>
      </c>
      <c r="D2764" s="2" t="s">
        <v>580</v>
      </c>
      <c r="E2764" s="2" t="s">
        <v>18</v>
      </c>
      <c r="F2764" s="2" t="n">
        <v>335</v>
      </c>
      <c r="G2764" s="2" t="n">
        <v>32</v>
      </c>
    </row>
    <row r="2765" customFormat="false" ht="16.5" hidden="false" customHeight="true" outlineLevel="0" collapsed="false">
      <c r="A2765" s="2" t="s">
        <v>416</v>
      </c>
      <c r="B2765" s="2" t="s">
        <v>442</v>
      </c>
      <c r="C2765" s="2" t="n">
        <v>2</v>
      </c>
      <c r="D2765" s="2" t="s">
        <v>580</v>
      </c>
      <c r="E2765" s="2" t="s">
        <v>19</v>
      </c>
      <c r="F2765" s="2" t="n">
        <v>335</v>
      </c>
      <c r="G2765" s="2" t="n">
        <v>36</v>
      </c>
    </row>
    <row r="2766" customFormat="false" ht="16.5" hidden="false" customHeight="true" outlineLevel="0" collapsed="false">
      <c r="A2766" s="2" t="s">
        <v>416</v>
      </c>
      <c r="B2766" s="2" t="s">
        <v>442</v>
      </c>
      <c r="C2766" s="2" t="n">
        <v>2</v>
      </c>
      <c r="D2766" s="2" t="s">
        <v>580</v>
      </c>
      <c r="E2766" s="2" t="s">
        <v>20</v>
      </c>
      <c r="F2766" s="2" t="n">
        <v>335</v>
      </c>
      <c r="G2766" s="2" t="n">
        <v>40</v>
      </c>
    </row>
    <row r="2767" customFormat="false" ht="16.5" hidden="false" customHeight="true" outlineLevel="0" collapsed="false">
      <c r="A2767" s="2" t="s">
        <v>416</v>
      </c>
      <c r="B2767" s="2" t="s">
        <v>442</v>
      </c>
      <c r="C2767" s="2" t="n">
        <v>2</v>
      </c>
      <c r="D2767" s="2" t="s">
        <v>580</v>
      </c>
      <c r="E2767" s="2" t="s">
        <v>21</v>
      </c>
      <c r="F2767" s="2" t="n">
        <v>335</v>
      </c>
      <c r="G2767" s="2" t="n">
        <v>44</v>
      </c>
    </row>
    <row r="2768" customFormat="false" ht="16.5" hidden="false" customHeight="true" outlineLevel="0" collapsed="false">
      <c r="A2768" s="2" t="s">
        <v>416</v>
      </c>
      <c r="B2768" s="2" t="s">
        <v>442</v>
      </c>
      <c r="C2768" s="2" t="n">
        <v>2</v>
      </c>
      <c r="D2768" s="2" t="s">
        <v>580</v>
      </c>
      <c r="E2768" s="2" t="s">
        <v>22</v>
      </c>
      <c r="F2768" s="2" t="n">
        <v>335</v>
      </c>
      <c r="G2768" s="2" t="n">
        <v>48</v>
      </c>
    </row>
    <row r="2769" customFormat="false" ht="16.5" hidden="false" customHeight="true" outlineLevel="0" collapsed="false">
      <c r="A2769" s="2" t="s">
        <v>416</v>
      </c>
      <c r="B2769" s="2" t="s">
        <v>442</v>
      </c>
      <c r="C2769" s="2" t="n">
        <v>2</v>
      </c>
      <c r="D2769" s="2" t="s">
        <v>580</v>
      </c>
      <c r="E2769" s="2" t="s">
        <v>23</v>
      </c>
      <c r="F2769" s="2" t="n">
        <v>335</v>
      </c>
      <c r="G2769" s="2" t="n">
        <v>52</v>
      </c>
    </row>
    <row r="2770" customFormat="false" ht="16.5" hidden="false" customHeight="true" outlineLevel="0" collapsed="false">
      <c r="A2770" s="2" t="s">
        <v>416</v>
      </c>
      <c r="B2770" s="2" t="s">
        <v>442</v>
      </c>
      <c r="C2770" s="2" t="n">
        <v>2</v>
      </c>
      <c r="D2770" s="2" t="s">
        <v>580</v>
      </c>
      <c r="E2770" s="2" t="s">
        <v>24</v>
      </c>
      <c r="F2770" s="2" t="n">
        <v>337</v>
      </c>
      <c r="G2770" s="2" t="n">
        <v>9</v>
      </c>
    </row>
    <row r="2771" customFormat="false" ht="16.5" hidden="false" customHeight="true" outlineLevel="0" collapsed="false">
      <c r="A2771" s="2" t="s">
        <v>416</v>
      </c>
      <c r="B2771" s="2" t="s">
        <v>442</v>
      </c>
      <c r="C2771" s="2" t="n">
        <v>2</v>
      </c>
      <c r="D2771" s="2" t="s">
        <v>580</v>
      </c>
      <c r="E2771" s="2" t="s">
        <v>25</v>
      </c>
      <c r="F2771" s="2" t="n">
        <v>337</v>
      </c>
      <c r="G2771" s="2" t="n">
        <v>13</v>
      </c>
    </row>
    <row r="2772" customFormat="false" ht="16.5" hidden="false" customHeight="true" outlineLevel="0" collapsed="false">
      <c r="A2772" s="2" t="s">
        <v>416</v>
      </c>
      <c r="B2772" s="2" t="s">
        <v>442</v>
      </c>
      <c r="C2772" s="2" t="n">
        <v>2</v>
      </c>
      <c r="D2772" s="2" t="s">
        <v>580</v>
      </c>
      <c r="E2772" s="2" t="s">
        <v>26</v>
      </c>
      <c r="F2772" s="2" t="n">
        <v>337</v>
      </c>
      <c r="G2772" s="2" t="n">
        <v>17</v>
      </c>
    </row>
    <row r="2773" customFormat="false" ht="16.5" hidden="false" customHeight="true" outlineLevel="0" collapsed="false">
      <c r="A2773" s="2" t="s">
        <v>416</v>
      </c>
      <c r="B2773" s="2" t="s">
        <v>442</v>
      </c>
      <c r="C2773" s="2" t="n">
        <v>2</v>
      </c>
      <c r="D2773" s="2" t="s">
        <v>580</v>
      </c>
      <c r="E2773" s="2" t="s">
        <v>27</v>
      </c>
      <c r="F2773" s="2" t="n">
        <v>337</v>
      </c>
      <c r="G2773" s="2" t="n">
        <v>21</v>
      </c>
    </row>
    <row r="2774" customFormat="false" ht="16.5" hidden="false" customHeight="true" outlineLevel="0" collapsed="false">
      <c r="A2774" s="2" t="s">
        <v>416</v>
      </c>
      <c r="B2774" s="2" t="s">
        <v>442</v>
      </c>
      <c r="C2774" s="2" t="n">
        <v>2</v>
      </c>
      <c r="D2774" s="2" t="s">
        <v>580</v>
      </c>
      <c r="E2774" s="2" t="s">
        <v>28</v>
      </c>
      <c r="F2774" s="2" t="n">
        <v>337</v>
      </c>
      <c r="G2774" s="2" t="n">
        <v>25</v>
      </c>
    </row>
    <row r="2775" customFormat="false" ht="16.5" hidden="false" customHeight="true" outlineLevel="0" collapsed="false">
      <c r="A2775" s="2" t="s">
        <v>416</v>
      </c>
      <c r="B2775" s="2" t="s">
        <v>442</v>
      </c>
      <c r="C2775" s="2" t="n">
        <v>2</v>
      </c>
      <c r="D2775" s="2" t="s">
        <v>580</v>
      </c>
      <c r="E2775" s="2" t="s">
        <v>29</v>
      </c>
      <c r="F2775" s="2" t="n">
        <v>337</v>
      </c>
      <c r="G2775" s="2" t="n">
        <v>29</v>
      </c>
    </row>
    <row r="2776" customFormat="false" ht="16.5" hidden="false" customHeight="true" outlineLevel="0" collapsed="false">
      <c r="A2776" s="2" t="s">
        <v>416</v>
      </c>
      <c r="B2776" s="2" t="s">
        <v>442</v>
      </c>
      <c r="C2776" s="2" t="n">
        <v>2</v>
      </c>
      <c r="D2776" s="2" t="s">
        <v>580</v>
      </c>
      <c r="E2776" s="2" t="s">
        <v>30</v>
      </c>
      <c r="F2776" s="2" t="n">
        <v>337</v>
      </c>
      <c r="G2776" s="2" t="n">
        <v>33</v>
      </c>
    </row>
    <row r="2777" customFormat="false" ht="16.5" hidden="false" customHeight="true" outlineLevel="0" collapsed="false">
      <c r="A2777" s="2" t="s">
        <v>416</v>
      </c>
      <c r="B2777" s="2" t="s">
        <v>442</v>
      </c>
      <c r="C2777" s="2" t="n">
        <v>2</v>
      </c>
      <c r="D2777" s="2" t="s">
        <v>580</v>
      </c>
      <c r="E2777" s="2" t="s">
        <v>31</v>
      </c>
      <c r="F2777" s="2" t="n">
        <v>337</v>
      </c>
      <c r="G2777" s="2" t="n">
        <v>37</v>
      </c>
    </row>
    <row r="2778" customFormat="false" ht="16.5" hidden="false" customHeight="true" outlineLevel="0" collapsed="false">
      <c r="A2778" s="2" t="s">
        <v>416</v>
      </c>
      <c r="B2778" s="2" t="s">
        <v>442</v>
      </c>
      <c r="C2778" s="2" t="n">
        <v>2</v>
      </c>
      <c r="D2778" s="2" t="s">
        <v>580</v>
      </c>
      <c r="E2778" s="2" t="s">
        <v>32</v>
      </c>
      <c r="F2778" s="2" t="n">
        <v>337</v>
      </c>
      <c r="G2778" s="2" t="n">
        <v>41</v>
      </c>
    </row>
    <row r="2779" customFormat="false" ht="16.5" hidden="false" customHeight="true" outlineLevel="0" collapsed="false">
      <c r="A2779" s="2" t="s">
        <v>416</v>
      </c>
      <c r="B2779" s="2" t="s">
        <v>442</v>
      </c>
      <c r="C2779" s="2" t="n">
        <v>2</v>
      </c>
      <c r="D2779" s="2" t="s">
        <v>580</v>
      </c>
      <c r="E2779" s="2" t="s">
        <v>33</v>
      </c>
      <c r="F2779" s="2" t="n">
        <v>337</v>
      </c>
      <c r="G2779" s="2" t="n">
        <v>45</v>
      </c>
    </row>
    <row r="2780" customFormat="false" ht="16.5" hidden="false" customHeight="true" outlineLevel="0" collapsed="false">
      <c r="A2780" s="2" t="s">
        <v>416</v>
      </c>
      <c r="B2780" s="2" t="s">
        <v>442</v>
      </c>
      <c r="C2780" s="2" t="n">
        <v>2</v>
      </c>
      <c r="D2780" s="2" t="s">
        <v>580</v>
      </c>
      <c r="E2780" s="2" t="s">
        <v>34</v>
      </c>
      <c r="F2780" s="2" t="n">
        <v>337</v>
      </c>
      <c r="G2780" s="2" t="n">
        <v>49</v>
      </c>
    </row>
    <row r="2781" customFormat="false" ht="16.5" hidden="false" customHeight="true" outlineLevel="0" collapsed="false">
      <c r="A2781" s="2" t="s">
        <v>416</v>
      </c>
      <c r="B2781" s="2" t="s">
        <v>442</v>
      </c>
      <c r="C2781" s="2" t="n">
        <v>2</v>
      </c>
      <c r="D2781" s="2" t="s">
        <v>580</v>
      </c>
      <c r="E2781" s="2" t="s">
        <v>35</v>
      </c>
      <c r="F2781" s="2" t="n">
        <v>339</v>
      </c>
      <c r="G2781" s="2" t="n">
        <v>11</v>
      </c>
    </row>
    <row r="2782" customFormat="false" ht="16.5" hidden="false" customHeight="true" outlineLevel="0" collapsed="false">
      <c r="A2782" s="2" t="s">
        <v>416</v>
      </c>
      <c r="B2782" s="2" t="s">
        <v>442</v>
      </c>
      <c r="C2782" s="2" t="n">
        <v>2</v>
      </c>
      <c r="D2782" s="2" t="s">
        <v>580</v>
      </c>
      <c r="E2782" s="2" t="s">
        <v>36</v>
      </c>
      <c r="F2782" s="2" t="n">
        <v>339</v>
      </c>
      <c r="G2782" s="2" t="n">
        <v>15</v>
      </c>
    </row>
    <row r="2783" customFormat="false" ht="16.5" hidden="false" customHeight="true" outlineLevel="0" collapsed="false">
      <c r="A2783" s="2" t="s">
        <v>416</v>
      </c>
      <c r="B2783" s="2" t="s">
        <v>442</v>
      </c>
      <c r="C2783" s="2" t="n">
        <v>2</v>
      </c>
      <c r="D2783" s="2" t="s">
        <v>580</v>
      </c>
      <c r="E2783" s="2" t="s">
        <v>37</v>
      </c>
      <c r="F2783" s="2" t="n">
        <v>339</v>
      </c>
      <c r="G2783" s="2" t="n">
        <v>19</v>
      </c>
    </row>
    <row r="2784" customFormat="false" ht="16.5" hidden="false" customHeight="true" outlineLevel="0" collapsed="false">
      <c r="A2784" s="2" t="s">
        <v>416</v>
      </c>
      <c r="B2784" s="2" t="s">
        <v>442</v>
      </c>
      <c r="C2784" s="2" t="n">
        <v>2</v>
      </c>
      <c r="D2784" s="2" t="s">
        <v>580</v>
      </c>
      <c r="E2784" s="2" t="s">
        <v>38</v>
      </c>
      <c r="F2784" s="2" t="n">
        <v>339</v>
      </c>
      <c r="G2784" s="2" t="n">
        <v>23</v>
      </c>
    </row>
    <row r="2785" customFormat="false" ht="16.5" hidden="false" customHeight="true" outlineLevel="0" collapsed="false">
      <c r="A2785" s="2" t="s">
        <v>416</v>
      </c>
      <c r="B2785" s="2" t="s">
        <v>442</v>
      </c>
      <c r="C2785" s="2" t="n">
        <v>2</v>
      </c>
      <c r="D2785" s="2" t="s">
        <v>580</v>
      </c>
      <c r="E2785" s="2" t="s">
        <v>39</v>
      </c>
      <c r="F2785" s="2" t="n">
        <v>339</v>
      </c>
      <c r="G2785" s="2" t="n">
        <v>27</v>
      </c>
    </row>
    <row r="2786" customFormat="false" ht="16.5" hidden="false" customHeight="true" outlineLevel="0" collapsed="false">
      <c r="A2786" s="2" t="s">
        <v>416</v>
      </c>
      <c r="B2786" s="2" t="s">
        <v>442</v>
      </c>
      <c r="C2786" s="2" t="n">
        <v>2</v>
      </c>
      <c r="D2786" s="2" t="s">
        <v>580</v>
      </c>
      <c r="E2786" s="2" t="s">
        <v>40</v>
      </c>
      <c r="F2786" s="2" t="n">
        <v>339</v>
      </c>
      <c r="G2786" s="2" t="n">
        <v>31</v>
      </c>
    </row>
    <row r="2787" customFormat="false" ht="16.5" hidden="false" customHeight="true" outlineLevel="0" collapsed="false">
      <c r="A2787" s="2" t="s">
        <v>416</v>
      </c>
      <c r="B2787" s="2" t="s">
        <v>442</v>
      </c>
      <c r="C2787" s="2" t="n">
        <v>2</v>
      </c>
      <c r="D2787" s="2" t="s">
        <v>580</v>
      </c>
      <c r="E2787" s="2" t="s">
        <v>41</v>
      </c>
      <c r="F2787" s="2" t="n">
        <v>339</v>
      </c>
      <c r="G2787" s="2" t="n">
        <v>35</v>
      </c>
    </row>
    <row r="2788" customFormat="false" ht="16.5" hidden="false" customHeight="true" outlineLevel="0" collapsed="false">
      <c r="A2788" s="2" t="s">
        <v>416</v>
      </c>
      <c r="B2788" s="2" t="s">
        <v>442</v>
      </c>
      <c r="C2788" s="2" t="n">
        <v>2</v>
      </c>
      <c r="D2788" s="2" t="s">
        <v>580</v>
      </c>
      <c r="E2788" s="2" t="s">
        <v>42</v>
      </c>
      <c r="F2788" s="2" t="n">
        <v>339</v>
      </c>
      <c r="G2788" s="2" t="n">
        <v>39</v>
      </c>
    </row>
    <row r="2789" customFormat="false" ht="16.5" hidden="false" customHeight="true" outlineLevel="0" collapsed="false">
      <c r="A2789" s="2" t="s">
        <v>416</v>
      </c>
      <c r="B2789" s="2" t="s">
        <v>442</v>
      </c>
      <c r="C2789" s="2" t="n">
        <v>2</v>
      </c>
      <c r="D2789" s="2" t="s">
        <v>580</v>
      </c>
      <c r="E2789" s="2" t="s">
        <v>43</v>
      </c>
      <c r="F2789" s="2" t="n">
        <v>339</v>
      </c>
      <c r="G2789" s="2" t="n">
        <v>43</v>
      </c>
    </row>
    <row r="2790" customFormat="false" ht="16.5" hidden="false" customHeight="true" outlineLevel="0" collapsed="false">
      <c r="A2790" s="2" t="s">
        <v>416</v>
      </c>
      <c r="B2790" s="2" t="s">
        <v>442</v>
      </c>
      <c r="C2790" s="2" t="n">
        <v>2</v>
      </c>
      <c r="D2790" s="2" t="s">
        <v>580</v>
      </c>
      <c r="E2790" s="2" t="s">
        <v>44</v>
      </c>
      <c r="F2790" s="2" t="n">
        <v>339</v>
      </c>
      <c r="G2790" s="2" t="n">
        <v>47</v>
      </c>
    </row>
    <row r="2791" customFormat="false" ht="16.5" hidden="false" customHeight="true" outlineLevel="0" collapsed="false">
      <c r="A2791" s="2" t="s">
        <v>416</v>
      </c>
      <c r="B2791" s="2" t="s">
        <v>442</v>
      </c>
      <c r="C2791" s="2" t="n">
        <v>2</v>
      </c>
      <c r="D2791" s="2" t="s">
        <v>580</v>
      </c>
      <c r="E2791" s="2" t="s">
        <v>48</v>
      </c>
      <c r="F2791" s="2" t="n">
        <v>341</v>
      </c>
      <c r="G2791" s="2" t="n">
        <v>16</v>
      </c>
    </row>
    <row r="2792" customFormat="false" ht="16.5" hidden="false" customHeight="true" outlineLevel="0" collapsed="false">
      <c r="A2792" s="2" t="s">
        <v>416</v>
      </c>
      <c r="B2792" s="2" t="s">
        <v>442</v>
      </c>
      <c r="C2792" s="2" t="n">
        <v>2</v>
      </c>
      <c r="D2792" s="2" t="s">
        <v>580</v>
      </c>
      <c r="E2792" s="2" t="s">
        <v>50</v>
      </c>
      <c r="F2792" s="2" t="n">
        <v>341</v>
      </c>
      <c r="G2792" s="2" t="n">
        <v>20</v>
      </c>
    </row>
    <row r="2793" customFormat="false" ht="16.5" hidden="false" customHeight="true" outlineLevel="0" collapsed="false">
      <c r="A2793" s="2" t="s">
        <v>416</v>
      </c>
      <c r="B2793" s="2" t="s">
        <v>442</v>
      </c>
      <c r="C2793" s="2" t="n">
        <v>2</v>
      </c>
      <c r="D2793" s="2" t="s">
        <v>580</v>
      </c>
      <c r="E2793" s="2" t="s">
        <v>45</v>
      </c>
      <c r="F2793" s="2" t="n">
        <v>341</v>
      </c>
      <c r="G2793" s="2" t="n">
        <v>38</v>
      </c>
    </row>
    <row r="2794" customFormat="false" ht="16.5" hidden="false" customHeight="true" outlineLevel="0" collapsed="false">
      <c r="A2794" s="2" t="s">
        <v>416</v>
      </c>
      <c r="B2794" s="2" t="s">
        <v>442</v>
      </c>
      <c r="C2794" s="2" t="n">
        <v>2</v>
      </c>
      <c r="D2794" s="2" t="s">
        <v>580</v>
      </c>
      <c r="E2794" s="2" t="s">
        <v>46</v>
      </c>
      <c r="F2794" s="2" t="n">
        <v>341</v>
      </c>
      <c r="G2794" s="2" t="n">
        <v>42</v>
      </c>
    </row>
    <row r="2795" customFormat="false" ht="16.5" hidden="false" customHeight="true" outlineLevel="0" collapsed="false">
      <c r="A2795" s="2" t="s">
        <v>416</v>
      </c>
      <c r="B2795" s="2" t="s">
        <v>443</v>
      </c>
      <c r="C2795" s="2" t="n">
        <v>2</v>
      </c>
      <c r="D2795" s="2" t="s">
        <v>581</v>
      </c>
      <c r="E2795" s="2" t="s">
        <v>0</v>
      </c>
      <c r="F2795" s="2" t="n">
        <v>346</v>
      </c>
      <c r="G2795" s="2" t="n">
        <v>6</v>
      </c>
    </row>
    <row r="2796" customFormat="false" ht="16.5" hidden="false" customHeight="true" outlineLevel="0" collapsed="false">
      <c r="A2796" s="2" t="s">
        <v>416</v>
      </c>
      <c r="B2796" s="2" t="s">
        <v>443</v>
      </c>
      <c r="C2796" s="2" t="n">
        <v>2</v>
      </c>
      <c r="D2796" s="2" t="s">
        <v>581</v>
      </c>
      <c r="E2796" s="2" t="s">
        <v>1</v>
      </c>
      <c r="F2796" s="2" t="n">
        <v>346</v>
      </c>
      <c r="G2796" s="2" t="n">
        <v>10</v>
      </c>
    </row>
    <row r="2797" customFormat="false" ht="16.5" hidden="false" customHeight="true" outlineLevel="0" collapsed="false">
      <c r="A2797" s="2" t="s">
        <v>416</v>
      </c>
      <c r="B2797" s="2" t="s">
        <v>443</v>
      </c>
      <c r="C2797" s="2" t="n">
        <v>2</v>
      </c>
      <c r="D2797" s="2" t="s">
        <v>581</v>
      </c>
      <c r="E2797" s="2" t="s">
        <v>2</v>
      </c>
      <c r="F2797" s="2" t="n">
        <v>346</v>
      </c>
      <c r="G2797" s="2" t="n">
        <v>14</v>
      </c>
    </row>
    <row r="2798" customFormat="false" ht="16.5" hidden="false" customHeight="true" outlineLevel="0" collapsed="false">
      <c r="A2798" s="2" t="s">
        <v>416</v>
      </c>
      <c r="B2798" s="2" t="s">
        <v>443</v>
      </c>
      <c r="C2798" s="2" t="n">
        <v>2</v>
      </c>
      <c r="D2798" s="2" t="s">
        <v>581</v>
      </c>
      <c r="E2798" s="2" t="s">
        <v>3</v>
      </c>
      <c r="F2798" s="2" t="n">
        <v>346</v>
      </c>
      <c r="G2798" s="2" t="n">
        <v>18</v>
      </c>
    </row>
    <row r="2799" customFormat="false" ht="16.5" hidden="false" customHeight="true" outlineLevel="0" collapsed="false">
      <c r="A2799" s="2" t="s">
        <v>416</v>
      </c>
      <c r="B2799" s="2" t="s">
        <v>443</v>
      </c>
      <c r="C2799" s="2" t="n">
        <v>2</v>
      </c>
      <c r="D2799" s="2" t="s">
        <v>581</v>
      </c>
      <c r="E2799" s="2" t="s">
        <v>4</v>
      </c>
      <c r="F2799" s="2" t="n">
        <v>346</v>
      </c>
      <c r="G2799" s="2" t="n">
        <v>22</v>
      </c>
    </row>
    <row r="2800" customFormat="false" ht="16.5" hidden="false" customHeight="true" outlineLevel="0" collapsed="false">
      <c r="A2800" s="2" t="s">
        <v>416</v>
      </c>
      <c r="B2800" s="2" t="s">
        <v>443</v>
      </c>
      <c r="C2800" s="2" t="n">
        <v>2</v>
      </c>
      <c r="D2800" s="2" t="s">
        <v>581</v>
      </c>
      <c r="E2800" s="2" t="s">
        <v>5</v>
      </c>
      <c r="F2800" s="2" t="n">
        <v>346</v>
      </c>
      <c r="G2800" s="2" t="n">
        <v>26</v>
      </c>
    </row>
    <row r="2801" customFormat="false" ht="16.5" hidden="false" customHeight="true" outlineLevel="0" collapsed="false">
      <c r="A2801" s="2" t="s">
        <v>416</v>
      </c>
      <c r="B2801" s="2" t="s">
        <v>443</v>
      </c>
      <c r="C2801" s="2" t="n">
        <v>2</v>
      </c>
      <c r="D2801" s="2" t="s">
        <v>581</v>
      </c>
      <c r="E2801" s="2" t="s">
        <v>6</v>
      </c>
      <c r="F2801" s="2" t="n">
        <v>346</v>
      </c>
      <c r="G2801" s="2" t="n">
        <v>30</v>
      </c>
    </row>
    <row r="2802" customFormat="false" ht="16.5" hidden="false" customHeight="true" outlineLevel="0" collapsed="false">
      <c r="A2802" s="2" t="s">
        <v>416</v>
      </c>
      <c r="B2802" s="2" t="s">
        <v>443</v>
      </c>
      <c r="C2802" s="2" t="n">
        <v>2</v>
      </c>
      <c r="D2802" s="2" t="s">
        <v>581</v>
      </c>
      <c r="E2802" s="2" t="s">
        <v>7</v>
      </c>
      <c r="F2802" s="2" t="n">
        <v>346</v>
      </c>
      <c r="G2802" s="2" t="n">
        <v>34</v>
      </c>
    </row>
    <row r="2803" customFormat="false" ht="16.5" hidden="false" customHeight="true" outlineLevel="0" collapsed="false">
      <c r="A2803" s="2" t="s">
        <v>416</v>
      </c>
      <c r="B2803" s="2" t="s">
        <v>443</v>
      </c>
      <c r="C2803" s="2" t="n">
        <v>2</v>
      </c>
      <c r="D2803" s="2" t="s">
        <v>581</v>
      </c>
      <c r="E2803" s="2" t="s">
        <v>8</v>
      </c>
      <c r="F2803" s="2" t="n">
        <v>346</v>
      </c>
      <c r="G2803" s="2" t="n">
        <v>38</v>
      </c>
    </row>
    <row r="2804" customFormat="false" ht="16.5" hidden="false" customHeight="true" outlineLevel="0" collapsed="false">
      <c r="A2804" s="2" t="s">
        <v>416</v>
      </c>
      <c r="B2804" s="2" t="s">
        <v>443</v>
      </c>
      <c r="C2804" s="2" t="n">
        <v>2</v>
      </c>
      <c r="D2804" s="2" t="s">
        <v>581</v>
      </c>
      <c r="E2804" s="2" t="s">
        <v>9</v>
      </c>
      <c r="F2804" s="2" t="n">
        <v>346</v>
      </c>
      <c r="G2804" s="2" t="n">
        <v>42</v>
      </c>
    </row>
    <row r="2805" customFormat="false" ht="16.5" hidden="false" customHeight="true" outlineLevel="0" collapsed="false">
      <c r="A2805" s="2" t="s">
        <v>416</v>
      </c>
      <c r="B2805" s="2" t="s">
        <v>443</v>
      </c>
      <c r="C2805" s="2" t="n">
        <v>2</v>
      </c>
      <c r="D2805" s="2" t="s">
        <v>581</v>
      </c>
      <c r="E2805" s="2" t="s">
        <v>10</v>
      </c>
      <c r="F2805" s="2" t="n">
        <v>346</v>
      </c>
      <c r="G2805" s="2" t="n">
        <v>46</v>
      </c>
    </row>
    <row r="2806" customFormat="false" ht="16.5" hidden="false" customHeight="true" outlineLevel="0" collapsed="false">
      <c r="A2806" s="2" t="s">
        <v>416</v>
      </c>
      <c r="B2806" s="2" t="s">
        <v>443</v>
      </c>
      <c r="C2806" s="2" t="n">
        <v>2</v>
      </c>
      <c r="D2806" s="2" t="s">
        <v>581</v>
      </c>
      <c r="E2806" s="2" t="s">
        <v>11</v>
      </c>
      <c r="F2806" s="2" t="n">
        <v>346</v>
      </c>
      <c r="G2806" s="2" t="n">
        <v>50</v>
      </c>
    </row>
    <row r="2807" customFormat="false" ht="16.5" hidden="false" customHeight="true" outlineLevel="0" collapsed="false">
      <c r="A2807" s="2" t="s">
        <v>416</v>
      </c>
      <c r="B2807" s="2" t="s">
        <v>443</v>
      </c>
      <c r="C2807" s="2" t="n">
        <v>2</v>
      </c>
      <c r="D2807" s="2" t="s">
        <v>581</v>
      </c>
      <c r="E2807" s="2" t="s">
        <v>12</v>
      </c>
      <c r="F2807" s="2" t="n">
        <v>348</v>
      </c>
      <c r="G2807" s="2" t="n">
        <v>8</v>
      </c>
    </row>
    <row r="2808" customFormat="false" ht="16.5" hidden="false" customHeight="true" outlineLevel="0" collapsed="false">
      <c r="A2808" s="2" t="s">
        <v>416</v>
      </c>
      <c r="B2808" s="2" t="s">
        <v>443</v>
      </c>
      <c r="C2808" s="2" t="n">
        <v>2</v>
      </c>
      <c r="D2808" s="2" t="s">
        <v>581</v>
      </c>
      <c r="E2808" s="2" t="s">
        <v>13</v>
      </c>
      <c r="F2808" s="2" t="n">
        <v>348</v>
      </c>
      <c r="G2808" s="2" t="n">
        <v>12</v>
      </c>
    </row>
    <row r="2809" customFormat="false" ht="16.5" hidden="false" customHeight="true" outlineLevel="0" collapsed="false">
      <c r="A2809" s="2" t="s">
        <v>416</v>
      </c>
      <c r="B2809" s="2" t="s">
        <v>443</v>
      </c>
      <c r="C2809" s="2" t="n">
        <v>2</v>
      </c>
      <c r="D2809" s="2" t="s">
        <v>581</v>
      </c>
      <c r="E2809" s="2" t="s">
        <v>14</v>
      </c>
      <c r="F2809" s="2" t="n">
        <v>348</v>
      </c>
      <c r="G2809" s="2" t="n">
        <v>16</v>
      </c>
    </row>
    <row r="2810" customFormat="false" ht="16.5" hidden="false" customHeight="true" outlineLevel="0" collapsed="false">
      <c r="A2810" s="2" t="s">
        <v>416</v>
      </c>
      <c r="B2810" s="2" t="s">
        <v>443</v>
      </c>
      <c r="C2810" s="2" t="n">
        <v>2</v>
      </c>
      <c r="D2810" s="2" t="s">
        <v>581</v>
      </c>
      <c r="E2810" s="2" t="s">
        <v>15</v>
      </c>
      <c r="F2810" s="2" t="n">
        <v>348</v>
      </c>
      <c r="G2810" s="2" t="n">
        <v>20</v>
      </c>
    </row>
    <row r="2811" customFormat="false" ht="16.5" hidden="false" customHeight="true" outlineLevel="0" collapsed="false">
      <c r="A2811" s="2" t="s">
        <v>416</v>
      </c>
      <c r="B2811" s="2" t="s">
        <v>443</v>
      </c>
      <c r="C2811" s="2" t="n">
        <v>2</v>
      </c>
      <c r="D2811" s="2" t="s">
        <v>581</v>
      </c>
      <c r="E2811" s="2" t="s">
        <v>16</v>
      </c>
      <c r="F2811" s="2" t="n">
        <v>348</v>
      </c>
      <c r="G2811" s="2" t="n">
        <v>24</v>
      </c>
    </row>
    <row r="2812" customFormat="false" ht="16.5" hidden="false" customHeight="true" outlineLevel="0" collapsed="false">
      <c r="A2812" s="2" t="s">
        <v>416</v>
      </c>
      <c r="B2812" s="2" t="s">
        <v>443</v>
      </c>
      <c r="C2812" s="2" t="n">
        <v>2</v>
      </c>
      <c r="D2812" s="2" t="s">
        <v>581</v>
      </c>
      <c r="E2812" s="2" t="s">
        <v>17</v>
      </c>
      <c r="F2812" s="2" t="n">
        <v>348</v>
      </c>
      <c r="G2812" s="2" t="n">
        <v>28</v>
      </c>
    </row>
    <row r="2813" customFormat="false" ht="16.5" hidden="false" customHeight="true" outlineLevel="0" collapsed="false">
      <c r="A2813" s="2" t="s">
        <v>416</v>
      </c>
      <c r="B2813" s="2" t="s">
        <v>443</v>
      </c>
      <c r="C2813" s="2" t="n">
        <v>2</v>
      </c>
      <c r="D2813" s="2" t="s">
        <v>581</v>
      </c>
      <c r="E2813" s="2" t="s">
        <v>18</v>
      </c>
      <c r="F2813" s="2" t="n">
        <v>348</v>
      </c>
      <c r="G2813" s="2" t="n">
        <v>32</v>
      </c>
    </row>
    <row r="2814" customFormat="false" ht="16.5" hidden="false" customHeight="true" outlineLevel="0" collapsed="false">
      <c r="A2814" s="2" t="s">
        <v>416</v>
      </c>
      <c r="B2814" s="2" t="s">
        <v>443</v>
      </c>
      <c r="C2814" s="2" t="n">
        <v>2</v>
      </c>
      <c r="D2814" s="2" t="s">
        <v>581</v>
      </c>
      <c r="E2814" s="2" t="s">
        <v>19</v>
      </c>
      <c r="F2814" s="2" t="n">
        <v>348</v>
      </c>
      <c r="G2814" s="2" t="n">
        <v>36</v>
      </c>
    </row>
    <row r="2815" customFormat="false" ht="16.5" hidden="false" customHeight="true" outlineLevel="0" collapsed="false">
      <c r="A2815" s="2" t="s">
        <v>416</v>
      </c>
      <c r="B2815" s="2" t="s">
        <v>443</v>
      </c>
      <c r="C2815" s="2" t="n">
        <v>2</v>
      </c>
      <c r="D2815" s="2" t="s">
        <v>581</v>
      </c>
      <c r="E2815" s="2" t="s">
        <v>20</v>
      </c>
      <c r="F2815" s="2" t="n">
        <v>348</v>
      </c>
      <c r="G2815" s="2" t="n">
        <v>40</v>
      </c>
    </row>
    <row r="2816" customFormat="false" ht="16.5" hidden="false" customHeight="true" outlineLevel="0" collapsed="false">
      <c r="A2816" s="2" t="s">
        <v>416</v>
      </c>
      <c r="B2816" s="2" t="s">
        <v>443</v>
      </c>
      <c r="C2816" s="2" t="n">
        <v>2</v>
      </c>
      <c r="D2816" s="2" t="s">
        <v>581</v>
      </c>
      <c r="E2816" s="2" t="s">
        <v>21</v>
      </c>
      <c r="F2816" s="2" t="n">
        <v>348</v>
      </c>
      <c r="G2816" s="2" t="n">
        <v>44</v>
      </c>
    </row>
    <row r="2817" customFormat="false" ht="16.5" hidden="false" customHeight="true" outlineLevel="0" collapsed="false">
      <c r="A2817" s="2" t="s">
        <v>416</v>
      </c>
      <c r="B2817" s="2" t="s">
        <v>443</v>
      </c>
      <c r="C2817" s="2" t="n">
        <v>2</v>
      </c>
      <c r="D2817" s="2" t="s">
        <v>581</v>
      </c>
      <c r="E2817" s="2" t="s">
        <v>22</v>
      </c>
      <c r="F2817" s="2" t="n">
        <v>348</v>
      </c>
      <c r="G2817" s="2" t="n">
        <v>48</v>
      </c>
    </row>
    <row r="2818" customFormat="false" ht="16.5" hidden="false" customHeight="true" outlineLevel="0" collapsed="false">
      <c r="A2818" s="2" t="s">
        <v>416</v>
      </c>
      <c r="B2818" s="2" t="s">
        <v>443</v>
      </c>
      <c r="C2818" s="2" t="n">
        <v>2</v>
      </c>
      <c r="D2818" s="2" t="s">
        <v>581</v>
      </c>
      <c r="E2818" s="2" t="s">
        <v>23</v>
      </c>
      <c r="F2818" s="2" t="n">
        <v>348</v>
      </c>
      <c r="G2818" s="2" t="n">
        <v>52</v>
      </c>
    </row>
    <row r="2819" customFormat="false" ht="16.5" hidden="false" customHeight="true" outlineLevel="0" collapsed="false">
      <c r="A2819" s="2" t="s">
        <v>416</v>
      </c>
      <c r="B2819" s="2" t="s">
        <v>443</v>
      </c>
      <c r="C2819" s="2" t="n">
        <v>2</v>
      </c>
      <c r="D2819" s="2" t="s">
        <v>581</v>
      </c>
      <c r="E2819" s="2" t="s">
        <v>24</v>
      </c>
      <c r="F2819" s="2" t="n">
        <v>350</v>
      </c>
      <c r="G2819" s="2" t="n">
        <v>9</v>
      </c>
    </row>
    <row r="2820" customFormat="false" ht="16.5" hidden="false" customHeight="true" outlineLevel="0" collapsed="false">
      <c r="A2820" s="2" t="s">
        <v>416</v>
      </c>
      <c r="B2820" s="2" t="s">
        <v>443</v>
      </c>
      <c r="C2820" s="2" t="n">
        <v>2</v>
      </c>
      <c r="D2820" s="2" t="s">
        <v>581</v>
      </c>
      <c r="E2820" s="2" t="s">
        <v>25</v>
      </c>
      <c r="F2820" s="2" t="n">
        <v>350</v>
      </c>
      <c r="G2820" s="2" t="n">
        <v>13</v>
      </c>
    </row>
    <row r="2821" customFormat="false" ht="16.5" hidden="false" customHeight="true" outlineLevel="0" collapsed="false">
      <c r="A2821" s="2" t="s">
        <v>416</v>
      </c>
      <c r="B2821" s="2" t="s">
        <v>443</v>
      </c>
      <c r="C2821" s="2" t="n">
        <v>2</v>
      </c>
      <c r="D2821" s="2" t="s">
        <v>581</v>
      </c>
      <c r="E2821" s="2" t="s">
        <v>26</v>
      </c>
      <c r="F2821" s="2" t="n">
        <v>350</v>
      </c>
      <c r="G2821" s="2" t="n">
        <v>17</v>
      </c>
    </row>
    <row r="2822" customFormat="false" ht="16.5" hidden="false" customHeight="true" outlineLevel="0" collapsed="false">
      <c r="A2822" s="2" t="s">
        <v>416</v>
      </c>
      <c r="B2822" s="2" t="s">
        <v>443</v>
      </c>
      <c r="C2822" s="2" t="n">
        <v>2</v>
      </c>
      <c r="D2822" s="2" t="s">
        <v>581</v>
      </c>
      <c r="E2822" s="2" t="s">
        <v>27</v>
      </c>
      <c r="F2822" s="2" t="n">
        <v>350</v>
      </c>
      <c r="G2822" s="2" t="n">
        <v>21</v>
      </c>
    </row>
    <row r="2823" customFormat="false" ht="16.5" hidden="false" customHeight="true" outlineLevel="0" collapsed="false">
      <c r="A2823" s="2" t="s">
        <v>416</v>
      </c>
      <c r="B2823" s="2" t="s">
        <v>443</v>
      </c>
      <c r="C2823" s="2" t="n">
        <v>2</v>
      </c>
      <c r="D2823" s="2" t="s">
        <v>581</v>
      </c>
      <c r="E2823" s="2" t="s">
        <v>28</v>
      </c>
      <c r="F2823" s="2" t="n">
        <v>350</v>
      </c>
      <c r="G2823" s="2" t="n">
        <v>25</v>
      </c>
    </row>
    <row r="2824" customFormat="false" ht="16.5" hidden="false" customHeight="true" outlineLevel="0" collapsed="false">
      <c r="A2824" s="2" t="s">
        <v>416</v>
      </c>
      <c r="B2824" s="2" t="s">
        <v>443</v>
      </c>
      <c r="C2824" s="2" t="n">
        <v>2</v>
      </c>
      <c r="D2824" s="2" t="s">
        <v>581</v>
      </c>
      <c r="E2824" s="2" t="s">
        <v>29</v>
      </c>
      <c r="F2824" s="2" t="n">
        <v>350</v>
      </c>
      <c r="G2824" s="2" t="n">
        <v>29</v>
      </c>
    </row>
    <row r="2825" customFormat="false" ht="16.5" hidden="false" customHeight="true" outlineLevel="0" collapsed="false">
      <c r="A2825" s="2" t="s">
        <v>416</v>
      </c>
      <c r="B2825" s="2" t="s">
        <v>443</v>
      </c>
      <c r="C2825" s="2" t="n">
        <v>2</v>
      </c>
      <c r="D2825" s="2" t="s">
        <v>581</v>
      </c>
      <c r="E2825" s="2" t="s">
        <v>30</v>
      </c>
      <c r="F2825" s="2" t="n">
        <v>350</v>
      </c>
      <c r="G2825" s="2" t="n">
        <v>33</v>
      </c>
    </row>
    <row r="2826" customFormat="false" ht="16.5" hidden="false" customHeight="true" outlineLevel="0" collapsed="false">
      <c r="A2826" s="2" t="s">
        <v>416</v>
      </c>
      <c r="B2826" s="2" t="s">
        <v>443</v>
      </c>
      <c r="C2826" s="2" t="n">
        <v>2</v>
      </c>
      <c r="D2826" s="2" t="s">
        <v>581</v>
      </c>
      <c r="E2826" s="2" t="s">
        <v>31</v>
      </c>
      <c r="F2826" s="2" t="n">
        <v>350</v>
      </c>
      <c r="G2826" s="2" t="n">
        <v>37</v>
      </c>
    </row>
    <row r="2827" customFormat="false" ht="16.5" hidden="false" customHeight="true" outlineLevel="0" collapsed="false">
      <c r="A2827" s="2" t="s">
        <v>416</v>
      </c>
      <c r="B2827" s="2" t="s">
        <v>443</v>
      </c>
      <c r="C2827" s="2" t="n">
        <v>2</v>
      </c>
      <c r="D2827" s="2" t="s">
        <v>581</v>
      </c>
      <c r="E2827" s="2" t="s">
        <v>32</v>
      </c>
      <c r="F2827" s="2" t="n">
        <v>350</v>
      </c>
      <c r="G2827" s="2" t="n">
        <v>41</v>
      </c>
    </row>
    <row r="2828" customFormat="false" ht="16.5" hidden="false" customHeight="true" outlineLevel="0" collapsed="false">
      <c r="A2828" s="2" t="s">
        <v>416</v>
      </c>
      <c r="B2828" s="2" t="s">
        <v>443</v>
      </c>
      <c r="C2828" s="2" t="n">
        <v>2</v>
      </c>
      <c r="D2828" s="2" t="s">
        <v>581</v>
      </c>
      <c r="E2828" s="2" t="s">
        <v>33</v>
      </c>
      <c r="F2828" s="2" t="n">
        <v>350</v>
      </c>
      <c r="G2828" s="2" t="n">
        <v>45</v>
      </c>
    </row>
    <row r="2829" customFormat="false" ht="16.5" hidden="false" customHeight="true" outlineLevel="0" collapsed="false">
      <c r="A2829" s="2" t="s">
        <v>416</v>
      </c>
      <c r="B2829" s="2" t="s">
        <v>443</v>
      </c>
      <c r="C2829" s="2" t="n">
        <v>2</v>
      </c>
      <c r="D2829" s="2" t="s">
        <v>581</v>
      </c>
      <c r="E2829" s="2" t="s">
        <v>34</v>
      </c>
      <c r="F2829" s="2" t="n">
        <v>350</v>
      </c>
      <c r="G2829" s="2" t="n">
        <v>49</v>
      </c>
    </row>
    <row r="2830" customFormat="false" ht="16.5" hidden="false" customHeight="true" outlineLevel="0" collapsed="false">
      <c r="A2830" s="2" t="s">
        <v>416</v>
      </c>
      <c r="B2830" s="2" t="s">
        <v>443</v>
      </c>
      <c r="C2830" s="2" t="n">
        <v>2</v>
      </c>
      <c r="D2830" s="2" t="s">
        <v>581</v>
      </c>
      <c r="E2830" s="2" t="s">
        <v>35</v>
      </c>
      <c r="F2830" s="2" t="n">
        <v>352</v>
      </c>
      <c r="G2830" s="2" t="n">
        <v>11</v>
      </c>
    </row>
    <row r="2831" customFormat="false" ht="16.5" hidden="false" customHeight="true" outlineLevel="0" collapsed="false">
      <c r="A2831" s="2" t="s">
        <v>416</v>
      </c>
      <c r="B2831" s="2" t="s">
        <v>443</v>
      </c>
      <c r="C2831" s="2" t="n">
        <v>2</v>
      </c>
      <c r="D2831" s="2" t="s">
        <v>581</v>
      </c>
      <c r="E2831" s="2" t="s">
        <v>36</v>
      </c>
      <c r="F2831" s="2" t="n">
        <v>352</v>
      </c>
      <c r="G2831" s="2" t="n">
        <v>15</v>
      </c>
    </row>
    <row r="2832" customFormat="false" ht="16.5" hidden="false" customHeight="true" outlineLevel="0" collapsed="false">
      <c r="A2832" s="2" t="s">
        <v>416</v>
      </c>
      <c r="B2832" s="2" t="s">
        <v>443</v>
      </c>
      <c r="C2832" s="2" t="n">
        <v>2</v>
      </c>
      <c r="D2832" s="2" t="s">
        <v>581</v>
      </c>
      <c r="E2832" s="2" t="s">
        <v>37</v>
      </c>
      <c r="F2832" s="2" t="n">
        <v>352</v>
      </c>
      <c r="G2832" s="2" t="n">
        <v>19</v>
      </c>
    </row>
    <row r="2833" customFormat="false" ht="16.5" hidden="false" customHeight="true" outlineLevel="0" collapsed="false">
      <c r="A2833" s="2" t="s">
        <v>416</v>
      </c>
      <c r="B2833" s="2" t="s">
        <v>443</v>
      </c>
      <c r="C2833" s="2" t="n">
        <v>2</v>
      </c>
      <c r="D2833" s="2" t="s">
        <v>581</v>
      </c>
      <c r="E2833" s="2" t="s">
        <v>38</v>
      </c>
      <c r="F2833" s="2" t="n">
        <v>352</v>
      </c>
      <c r="G2833" s="2" t="n">
        <v>23</v>
      </c>
    </row>
    <row r="2834" customFormat="false" ht="16.5" hidden="false" customHeight="true" outlineLevel="0" collapsed="false">
      <c r="A2834" s="2" t="s">
        <v>416</v>
      </c>
      <c r="B2834" s="2" t="s">
        <v>443</v>
      </c>
      <c r="C2834" s="2" t="n">
        <v>2</v>
      </c>
      <c r="D2834" s="2" t="s">
        <v>581</v>
      </c>
      <c r="E2834" s="2" t="s">
        <v>39</v>
      </c>
      <c r="F2834" s="2" t="n">
        <v>352</v>
      </c>
      <c r="G2834" s="2" t="n">
        <v>27</v>
      </c>
    </row>
    <row r="2835" customFormat="false" ht="16.5" hidden="false" customHeight="true" outlineLevel="0" collapsed="false">
      <c r="A2835" s="2" t="s">
        <v>416</v>
      </c>
      <c r="B2835" s="2" t="s">
        <v>443</v>
      </c>
      <c r="C2835" s="2" t="n">
        <v>2</v>
      </c>
      <c r="D2835" s="2" t="s">
        <v>581</v>
      </c>
      <c r="E2835" s="2" t="s">
        <v>40</v>
      </c>
      <c r="F2835" s="2" t="n">
        <v>352</v>
      </c>
      <c r="G2835" s="2" t="n">
        <v>31</v>
      </c>
    </row>
    <row r="2836" customFormat="false" ht="16.5" hidden="false" customHeight="true" outlineLevel="0" collapsed="false">
      <c r="A2836" s="2" t="s">
        <v>416</v>
      </c>
      <c r="B2836" s="2" t="s">
        <v>443</v>
      </c>
      <c r="C2836" s="2" t="n">
        <v>2</v>
      </c>
      <c r="D2836" s="2" t="s">
        <v>581</v>
      </c>
      <c r="E2836" s="2" t="s">
        <v>41</v>
      </c>
      <c r="F2836" s="2" t="n">
        <v>352</v>
      </c>
      <c r="G2836" s="2" t="n">
        <v>35</v>
      </c>
    </row>
    <row r="2837" customFormat="false" ht="16.5" hidden="false" customHeight="true" outlineLevel="0" collapsed="false">
      <c r="A2837" s="2" t="s">
        <v>416</v>
      </c>
      <c r="B2837" s="2" t="s">
        <v>443</v>
      </c>
      <c r="C2837" s="2" t="n">
        <v>2</v>
      </c>
      <c r="D2837" s="2" t="s">
        <v>581</v>
      </c>
      <c r="E2837" s="2" t="s">
        <v>42</v>
      </c>
      <c r="F2837" s="2" t="n">
        <v>352</v>
      </c>
      <c r="G2837" s="2" t="n">
        <v>39</v>
      </c>
    </row>
    <row r="2838" customFormat="false" ht="16.5" hidden="false" customHeight="true" outlineLevel="0" collapsed="false">
      <c r="A2838" s="2" t="s">
        <v>416</v>
      </c>
      <c r="B2838" s="2" t="s">
        <v>443</v>
      </c>
      <c r="C2838" s="2" t="n">
        <v>2</v>
      </c>
      <c r="D2838" s="2" t="s">
        <v>581</v>
      </c>
      <c r="E2838" s="2" t="s">
        <v>43</v>
      </c>
      <c r="F2838" s="2" t="n">
        <v>352</v>
      </c>
      <c r="G2838" s="2" t="n">
        <v>43</v>
      </c>
    </row>
    <row r="2839" customFormat="false" ht="16.5" hidden="false" customHeight="true" outlineLevel="0" collapsed="false">
      <c r="A2839" s="2" t="s">
        <v>416</v>
      </c>
      <c r="B2839" s="2" t="s">
        <v>443</v>
      </c>
      <c r="C2839" s="2" t="n">
        <v>2</v>
      </c>
      <c r="D2839" s="2" t="s">
        <v>581</v>
      </c>
      <c r="E2839" s="2" t="s">
        <v>44</v>
      </c>
      <c r="F2839" s="2" t="n">
        <v>352</v>
      </c>
      <c r="G2839" s="2" t="n">
        <v>47</v>
      </c>
    </row>
    <row r="2840" customFormat="false" ht="16.5" hidden="false" customHeight="true" outlineLevel="0" collapsed="false">
      <c r="A2840" s="2" t="s">
        <v>416</v>
      </c>
      <c r="B2840" s="2" t="s">
        <v>443</v>
      </c>
      <c r="C2840" s="2" t="n">
        <v>2</v>
      </c>
      <c r="D2840" s="2" t="s">
        <v>581</v>
      </c>
      <c r="E2840" s="2" t="s">
        <v>48</v>
      </c>
      <c r="F2840" s="2" t="n">
        <v>354</v>
      </c>
      <c r="G2840" s="2" t="n">
        <v>16</v>
      </c>
    </row>
    <row r="2841" customFormat="false" ht="16.5" hidden="false" customHeight="true" outlineLevel="0" collapsed="false">
      <c r="A2841" s="2" t="s">
        <v>416</v>
      </c>
      <c r="B2841" s="2" t="s">
        <v>443</v>
      </c>
      <c r="C2841" s="2" t="n">
        <v>2</v>
      </c>
      <c r="D2841" s="2" t="s">
        <v>581</v>
      </c>
      <c r="E2841" s="2" t="s">
        <v>50</v>
      </c>
      <c r="F2841" s="2" t="n">
        <v>354</v>
      </c>
      <c r="G2841" s="2" t="n">
        <v>20</v>
      </c>
    </row>
    <row r="2842" customFormat="false" ht="16.5" hidden="false" customHeight="true" outlineLevel="0" collapsed="false">
      <c r="A2842" s="2" t="s">
        <v>416</v>
      </c>
      <c r="B2842" s="2" t="s">
        <v>443</v>
      </c>
      <c r="C2842" s="2" t="n">
        <v>2</v>
      </c>
      <c r="D2842" s="2" t="s">
        <v>581</v>
      </c>
      <c r="E2842" s="2" t="s">
        <v>45</v>
      </c>
      <c r="F2842" s="2" t="n">
        <v>354</v>
      </c>
      <c r="G2842" s="2" t="n">
        <v>38</v>
      </c>
    </row>
    <row r="2843" customFormat="false" ht="16.5" hidden="false" customHeight="true" outlineLevel="0" collapsed="false">
      <c r="A2843" s="2" t="s">
        <v>416</v>
      </c>
      <c r="B2843" s="2" t="s">
        <v>443</v>
      </c>
      <c r="C2843" s="2" t="n">
        <v>2</v>
      </c>
      <c r="D2843" s="2" t="s">
        <v>581</v>
      </c>
      <c r="E2843" s="2" t="s">
        <v>46</v>
      </c>
      <c r="F2843" s="2" t="n">
        <v>354</v>
      </c>
      <c r="G2843" s="2" t="n">
        <v>42</v>
      </c>
    </row>
    <row r="2844" customFormat="false" ht="16.5" hidden="false" customHeight="true" outlineLevel="0" collapsed="false">
      <c r="A2844" s="2" t="s">
        <v>416</v>
      </c>
      <c r="B2844" s="2" t="s">
        <v>444</v>
      </c>
      <c r="C2844" s="2" t="n">
        <v>2</v>
      </c>
      <c r="D2844" s="2" t="s">
        <v>582</v>
      </c>
      <c r="E2844" s="2" t="s">
        <v>0</v>
      </c>
      <c r="F2844" s="2" t="n">
        <v>359</v>
      </c>
      <c r="G2844" s="2" t="n">
        <v>6</v>
      </c>
    </row>
    <row r="2845" customFormat="false" ht="16.5" hidden="false" customHeight="true" outlineLevel="0" collapsed="false">
      <c r="A2845" s="2" t="s">
        <v>416</v>
      </c>
      <c r="B2845" s="2" t="s">
        <v>444</v>
      </c>
      <c r="C2845" s="2" t="n">
        <v>2</v>
      </c>
      <c r="D2845" s="2" t="s">
        <v>582</v>
      </c>
      <c r="E2845" s="2" t="s">
        <v>1</v>
      </c>
      <c r="F2845" s="2" t="n">
        <v>359</v>
      </c>
      <c r="G2845" s="2" t="n">
        <v>10</v>
      </c>
    </row>
    <row r="2846" customFormat="false" ht="16.5" hidden="false" customHeight="true" outlineLevel="0" collapsed="false">
      <c r="A2846" s="2" t="s">
        <v>416</v>
      </c>
      <c r="B2846" s="2" t="s">
        <v>444</v>
      </c>
      <c r="C2846" s="2" t="n">
        <v>2</v>
      </c>
      <c r="D2846" s="2" t="s">
        <v>582</v>
      </c>
      <c r="E2846" s="2" t="s">
        <v>2</v>
      </c>
      <c r="F2846" s="2" t="n">
        <v>359</v>
      </c>
      <c r="G2846" s="2" t="n">
        <v>14</v>
      </c>
    </row>
    <row r="2847" customFormat="false" ht="16.5" hidden="false" customHeight="true" outlineLevel="0" collapsed="false">
      <c r="A2847" s="2" t="s">
        <v>416</v>
      </c>
      <c r="B2847" s="2" t="s">
        <v>444</v>
      </c>
      <c r="C2847" s="2" t="n">
        <v>2</v>
      </c>
      <c r="D2847" s="2" t="s">
        <v>582</v>
      </c>
      <c r="E2847" s="2" t="s">
        <v>3</v>
      </c>
      <c r="F2847" s="2" t="n">
        <v>359</v>
      </c>
      <c r="G2847" s="2" t="n">
        <v>18</v>
      </c>
    </row>
    <row r="2848" customFormat="false" ht="16.5" hidden="false" customHeight="true" outlineLevel="0" collapsed="false">
      <c r="A2848" s="2" t="s">
        <v>416</v>
      </c>
      <c r="B2848" s="2" t="s">
        <v>444</v>
      </c>
      <c r="C2848" s="2" t="n">
        <v>2</v>
      </c>
      <c r="D2848" s="2" t="s">
        <v>582</v>
      </c>
      <c r="E2848" s="2" t="s">
        <v>4</v>
      </c>
      <c r="F2848" s="2" t="n">
        <v>359</v>
      </c>
      <c r="G2848" s="2" t="n">
        <v>22</v>
      </c>
    </row>
    <row r="2849" customFormat="false" ht="16.5" hidden="false" customHeight="true" outlineLevel="0" collapsed="false">
      <c r="A2849" s="2" t="s">
        <v>416</v>
      </c>
      <c r="B2849" s="2" t="s">
        <v>444</v>
      </c>
      <c r="C2849" s="2" t="n">
        <v>2</v>
      </c>
      <c r="D2849" s="2" t="s">
        <v>582</v>
      </c>
      <c r="E2849" s="2" t="s">
        <v>5</v>
      </c>
      <c r="F2849" s="2" t="n">
        <v>359</v>
      </c>
      <c r="G2849" s="2" t="n">
        <v>26</v>
      </c>
    </row>
    <row r="2850" customFormat="false" ht="16.5" hidden="false" customHeight="true" outlineLevel="0" collapsed="false">
      <c r="A2850" s="2" t="s">
        <v>416</v>
      </c>
      <c r="B2850" s="2" t="s">
        <v>444</v>
      </c>
      <c r="C2850" s="2" t="n">
        <v>2</v>
      </c>
      <c r="D2850" s="2" t="s">
        <v>582</v>
      </c>
      <c r="E2850" s="2" t="s">
        <v>6</v>
      </c>
      <c r="F2850" s="2" t="n">
        <v>359</v>
      </c>
      <c r="G2850" s="2" t="n">
        <v>30</v>
      </c>
    </row>
    <row r="2851" customFormat="false" ht="16.5" hidden="false" customHeight="true" outlineLevel="0" collapsed="false">
      <c r="A2851" s="2" t="s">
        <v>416</v>
      </c>
      <c r="B2851" s="2" t="s">
        <v>444</v>
      </c>
      <c r="C2851" s="2" t="n">
        <v>2</v>
      </c>
      <c r="D2851" s="2" t="s">
        <v>582</v>
      </c>
      <c r="E2851" s="2" t="s">
        <v>7</v>
      </c>
      <c r="F2851" s="2" t="n">
        <v>359</v>
      </c>
      <c r="G2851" s="2" t="n">
        <v>34</v>
      </c>
    </row>
    <row r="2852" customFormat="false" ht="16.5" hidden="false" customHeight="true" outlineLevel="0" collapsed="false">
      <c r="A2852" s="2" t="s">
        <v>416</v>
      </c>
      <c r="B2852" s="2" t="s">
        <v>444</v>
      </c>
      <c r="C2852" s="2" t="n">
        <v>2</v>
      </c>
      <c r="D2852" s="2" t="s">
        <v>582</v>
      </c>
      <c r="E2852" s="2" t="s">
        <v>8</v>
      </c>
      <c r="F2852" s="2" t="n">
        <v>359</v>
      </c>
      <c r="G2852" s="2" t="n">
        <v>38</v>
      </c>
    </row>
    <row r="2853" customFormat="false" ht="16.5" hidden="false" customHeight="true" outlineLevel="0" collapsed="false">
      <c r="A2853" s="2" t="s">
        <v>416</v>
      </c>
      <c r="B2853" s="2" t="s">
        <v>444</v>
      </c>
      <c r="C2853" s="2" t="n">
        <v>2</v>
      </c>
      <c r="D2853" s="2" t="s">
        <v>582</v>
      </c>
      <c r="E2853" s="2" t="s">
        <v>9</v>
      </c>
      <c r="F2853" s="2" t="n">
        <v>359</v>
      </c>
      <c r="G2853" s="2" t="n">
        <v>42</v>
      </c>
    </row>
    <row r="2854" customFormat="false" ht="16.5" hidden="false" customHeight="true" outlineLevel="0" collapsed="false">
      <c r="A2854" s="2" t="s">
        <v>416</v>
      </c>
      <c r="B2854" s="2" t="s">
        <v>444</v>
      </c>
      <c r="C2854" s="2" t="n">
        <v>2</v>
      </c>
      <c r="D2854" s="2" t="s">
        <v>582</v>
      </c>
      <c r="E2854" s="2" t="s">
        <v>10</v>
      </c>
      <c r="F2854" s="2" t="n">
        <v>359</v>
      </c>
      <c r="G2854" s="2" t="n">
        <v>46</v>
      </c>
    </row>
    <row r="2855" customFormat="false" ht="16.5" hidden="false" customHeight="true" outlineLevel="0" collapsed="false">
      <c r="A2855" s="2" t="s">
        <v>416</v>
      </c>
      <c r="B2855" s="2" t="s">
        <v>444</v>
      </c>
      <c r="C2855" s="2" t="n">
        <v>2</v>
      </c>
      <c r="D2855" s="2" t="s">
        <v>582</v>
      </c>
      <c r="E2855" s="2" t="s">
        <v>11</v>
      </c>
      <c r="F2855" s="2" t="n">
        <v>359</v>
      </c>
      <c r="G2855" s="2" t="n">
        <v>50</v>
      </c>
    </row>
    <row r="2856" customFormat="false" ht="16.5" hidden="false" customHeight="true" outlineLevel="0" collapsed="false">
      <c r="A2856" s="2" t="s">
        <v>416</v>
      </c>
      <c r="B2856" s="2" t="s">
        <v>444</v>
      </c>
      <c r="C2856" s="2" t="n">
        <v>2</v>
      </c>
      <c r="D2856" s="2" t="s">
        <v>582</v>
      </c>
      <c r="E2856" s="2" t="s">
        <v>12</v>
      </c>
      <c r="F2856" s="2" t="n">
        <v>361</v>
      </c>
      <c r="G2856" s="2" t="n">
        <v>8</v>
      </c>
    </row>
    <row r="2857" customFormat="false" ht="16.5" hidden="false" customHeight="true" outlineLevel="0" collapsed="false">
      <c r="A2857" s="2" t="s">
        <v>416</v>
      </c>
      <c r="B2857" s="2" t="s">
        <v>444</v>
      </c>
      <c r="C2857" s="2" t="n">
        <v>2</v>
      </c>
      <c r="D2857" s="2" t="s">
        <v>582</v>
      </c>
      <c r="E2857" s="2" t="s">
        <v>13</v>
      </c>
      <c r="F2857" s="2" t="n">
        <v>361</v>
      </c>
      <c r="G2857" s="2" t="n">
        <v>12</v>
      </c>
    </row>
    <row r="2858" customFormat="false" ht="16.5" hidden="false" customHeight="true" outlineLevel="0" collapsed="false">
      <c r="A2858" s="2" t="s">
        <v>416</v>
      </c>
      <c r="B2858" s="2" t="s">
        <v>444</v>
      </c>
      <c r="C2858" s="2" t="n">
        <v>2</v>
      </c>
      <c r="D2858" s="2" t="s">
        <v>582</v>
      </c>
      <c r="E2858" s="2" t="s">
        <v>14</v>
      </c>
      <c r="F2858" s="2" t="n">
        <v>361</v>
      </c>
      <c r="G2858" s="2" t="n">
        <v>16</v>
      </c>
    </row>
    <row r="2859" customFormat="false" ht="16.5" hidden="false" customHeight="true" outlineLevel="0" collapsed="false">
      <c r="A2859" s="2" t="s">
        <v>416</v>
      </c>
      <c r="B2859" s="2" t="s">
        <v>444</v>
      </c>
      <c r="C2859" s="2" t="n">
        <v>2</v>
      </c>
      <c r="D2859" s="2" t="s">
        <v>582</v>
      </c>
      <c r="E2859" s="2" t="s">
        <v>15</v>
      </c>
      <c r="F2859" s="2" t="n">
        <v>361</v>
      </c>
      <c r="G2859" s="2" t="n">
        <v>20</v>
      </c>
    </row>
    <row r="2860" customFormat="false" ht="16.5" hidden="false" customHeight="true" outlineLevel="0" collapsed="false">
      <c r="A2860" s="2" t="s">
        <v>416</v>
      </c>
      <c r="B2860" s="2" t="s">
        <v>444</v>
      </c>
      <c r="C2860" s="2" t="n">
        <v>2</v>
      </c>
      <c r="D2860" s="2" t="s">
        <v>582</v>
      </c>
      <c r="E2860" s="2" t="s">
        <v>16</v>
      </c>
      <c r="F2860" s="2" t="n">
        <v>361</v>
      </c>
      <c r="G2860" s="2" t="n">
        <v>24</v>
      </c>
    </row>
    <row r="2861" customFormat="false" ht="16.5" hidden="false" customHeight="true" outlineLevel="0" collapsed="false">
      <c r="A2861" s="2" t="s">
        <v>416</v>
      </c>
      <c r="B2861" s="2" t="s">
        <v>444</v>
      </c>
      <c r="C2861" s="2" t="n">
        <v>2</v>
      </c>
      <c r="D2861" s="2" t="s">
        <v>582</v>
      </c>
      <c r="E2861" s="2" t="s">
        <v>17</v>
      </c>
      <c r="F2861" s="2" t="n">
        <v>361</v>
      </c>
      <c r="G2861" s="2" t="n">
        <v>28</v>
      </c>
    </row>
    <row r="2862" customFormat="false" ht="16.5" hidden="false" customHeight="true" outlineLevel="0" collapsed="false">
      <c r="A2862" s="2" t="s">
        <v>416</v>
      </c>
      <c r="B2862" s="2" t="s">
        <v>444</v>
      </c>
      <c r="C2862" s="2" t="n">
        <v>2</v>
      </c>
      <c r="D2862" s="2" t="s">
        <v>582</v>
      </c>
      <c r="E2862" s="2" t="s">
        <v>18</v>
      </c>
      <c r="F2862" s="2" t="n">
        <v>361</v>
      </c>
      <c r="G2862" s="2" t="n">
        <v>32</v>
      </c>
    </row>
    <row r="2863" customFormat="false" ht="16.5" hidden="false" customHeight="true" outlineLevel="0" collapsed="false">
      <c r="A2863" s="2" t="s">
        <v>416</v>
      </c>
      <c r="B2863" s="2" t="s">
        <v>444</v>
      </c>
      <c r="C2863" s="2" t="n">
        <v>2</v>
      </c>
      <c r="D2863" s="2" t="s">
        <v>582</v>
      </c>
      <c r="E2863" s="2" t="s">
        <v>19</v>
      </c>
      <c r="F2863" s="2" t="n">
        <v>361</v>
      </c>
      <c r="G2863" s="2" t="n">
        <v>36</v>
      </c>
    </row>
    <row r="2864" customFormat="false" ht="16.5" hidden="false" customHeight="true" outlineLevel="0" collapsed="false">
      <c r="A2864" s="2" t="s">
        <v>416</v>
      </c>
      <c r="B2864" s="2" t="s">
        <v>444</v>
      </c>
      <c r="C2864" s="2" t="n">
        <v>2</v>
      </c>
      <c r="D2864" s="2" t="s">
        <v>582</v>
      </c>
      <c r="E2864" s="2" t="s">
        <v>20</v>
      </c>
      <c r="F2864" s="2" t="n">
        <v>361</v>
      </c>
      <c r="G2864" s="2" t="n">
        <v>40</v>
      </c>
    </row>
    <row r="2865" customFormat="false" ht="16.5" hidden="false" customHeight="true" outlineLevel="0" collapsed="false">
      <c r="A2865" s="2" t="s">
        <v>416</v>
      </c>
      <c r="B2865" s="2" t="s">
        <v>444</v>
      </c>
      <c r="C2865" s="2" t="n">
        <v>2</v>
      </c>
      <c r="D2865" s="2" t="s">
        <v>582</v>
      </c>
      <c r="E2865" s="2" t="s">
        <v>21</v>
      </c>
      <c r="F2865" s="2" t="n">
        <v>361</v>
      </c>
      <c r="G2865" s="2" t="n">
        <v>44</v>
      </c>
    </row>
    <row r="2866" customFormat="false" ht="16.5" hidden="false" customHeight="true" outlineLevel="0" collapsed="false">
      <c r="A2866" s="2" t="s">
        <v>416</v>
      </c>
      <c r="B2866" s="2" t="s">
        <v>444</v>
      </c>
      <c r="C2866" s="2" t="n">
        <v>2</v>
      </c>
      <c r="D2866" s="2" t="s">
        <v>582</v>
      </c>
      <c r="E2866" s="2" t="s">
        <v>22</v>
      </c>
      <c r="F2866" s="2" t="n">
        <v>361</v>
      </c>
      <c r="G2866" s="2" t="n">
        <v>48</v>
      </c>
    </row>
    <row r="2867" customFormat="false" ht="16.5" hidden="false" customHeight="true" outlineLevel="0" collapsed="false">
      <c r="A2867" s="2" t="s">
        <v>416</v>
      </c>
      <c r="B2867" s="2" t="s">
        <v>444</v>
      </c>
      <c r="C2867" s="2" t="n">
        <v>2</v>
      </c>
      <c r="D2867" s="2" t="s">
        <v>582</v>
      </c>
      <c r="E2867" s="2" t="s">
        <v>23</v>
      </c>
      <c r="F2867" s="2" t="n">
        <v>361</v>
      </c>
      <c r="G2867" s="2" t="n">
        <v>52</v>
      </c>
    </row>
    <row r="2868" customFormat="false" ht="16.5" hidden="false" customHeight="true" outlineLevel="0" collapsed="false">
      <c r="A2868" s="2" t="s">
        <v>416</v>
      </c>
      <c r="B2868" s="2" t="s">
        <v>444</v>
      </c>
      <c r="C2868" s="2" t="n">
        <v>2</v>
      </c>
      <c r="D2868" s="2" t="s">
        <v>582</v>
      </c>
      <c r="E2868" s="2" t="s">
        <v>24</v>
      </c>
      <c r="F2868" s="2" t="n">
        <v>363</v>
      </c>
      <c r="G2868" s="2" t="n">
        <v>9</v>
      </c>
    </row>
    <row r="2869" customFormat="false" ht="16.5" hidden="false" customHeight="true" outlineLevel="0" collapsed="false">
      <c r="A2869" s="2" t="s">
        <v>416</v>
      </c>
      <c r="B2869" s="2" t="s">
        <v>444</v>
      </c>
      <c r="C2869" s="2" t="n">
        <v>2</v>
      </c>
      <c r="D2869" s="2" t="s">
        <v>582</v>
      </c>
      <c r="E2869" s="2" t="s">
        <v>25</v>
      </c>
      <c r="F2869" s="2" t="n">
        <v>363</v>
      </c>
      <c r="G2869" s="2" t="n">
        <v>13</v>
      </c>
    </row>
    <row r="2870" customFormat="false" ht="16.5" hidden="false" customHeight="true" outlineLevel="0" collapsed="false">
      <c r="A2870" s="2" t="s">
        <v>416</v>
      </c>
      <c r="B2870" s="2" t="s">
        <v>444</v>
      </c>
      <c r="C2870" s="2" t="n">
        <v>2</v>
      </c>
      <c r="D2870" s="2" t="s">
        <v>582</v>
      </c>
      <c r="E2870" s="2" t="s">
        <v>26</v>
      </c>
      <c r="F2870" s="2" t="n">
        <v>363</v>
      </c>
      <c r="G2870" s="2" t="n">
        <v>17</v>
      </c>
    </row>
    <row r="2871" customFormat="false" ht="16.5" hidden="false" customHeight="true" outlineLevel="0" collapsed="false">
      <c r="A2871" s="2" t="s">
        <v>416</v>
      </c>
      <c r="B2871" s="2" t="s">
        <v>444</v>
      </c>
      <c r="C2871" s="2" t="n">
        <v>2</v>
      </c>
      <c r="D2871" s="2" t="s">
        <v>582</v>
      </c>
      <c r="E2871" s="2" t="s">
        <v>27</v>
      </c>
      <c r="F2871" s="2" t="n">
        <v>363</v>
      </c>
      <c r="G2871" s="2" t="n">
        <v>21</v>
      </c>
    </row>
    <row r="2872" customFormat="false" ht="16.5" hidden="false" customHeight="true" outlineLevel="0" collapsed="false">
      <c r="A2872" s="2" t="s">
        <v>416</v>
      </c>
      <c r="B2872" s="2" t="s">
        <v>444</v>
      </c>
      <c r="C2872" s="2" t="n">
        <v>2</v>
      </c>
      <c r="D2872" s="2" t="s">
        <v>582</v>
      </c>
      <c r="E2872" s="2" t="s">
        <v>28</v>
      </c>
      <c r="F2872" s="2" t="n">
        <v>363</v>
      </c>
      <c r="G2872" s="2" t="n">
        <v>25</v>
      </c>
    </row>
    <row r="2873" customFormat="false" ht="16.5" hidden="false" customHeight="true" outlineLevel="0" collapsed="false">
      <c r="A2873" s="2" t="s">
        <v>416</v>
      </c>
      <c r="B2873" s="2" t="s">
        <v>444</v>
      </c>
      <c r="C2873" s="2" t="n">
        <v>2</v>
      </c>
      <c r="D2873" s="2" t="s">
        <v>582</v>
      </c>
      <c r="E2873" s="2" t="s">
        <v>29</v>
      </c>
      <c r="F2873" s="2" t="n">
        <v>363</v>
      </c>
      <c r="G2873" s="2" t="n">
        <v>29</v>
      </c>
    </row>
    <row r="2874" customFormat="false" ht="16.5" hidden="false" customHeight="true" outlineLevel="0" collapsed="false">
      <c r="A2874" s="2" t="s">
        <v>416</v>
      </c>
      <c r="B2874" s="2" t="s">
        <v>444</v>
      </c>
      <c r="C2874" s="2" t="n">
        <v>2</v>
      </c>
      <c r="D2874" s="2" t="s">
        <v>582</v>
      </c>
      <c r="E2874" s="2" t="s">
        <v>30</v>
      </c>
      <c r="F2874" s="2" t="n">
        <v>363</v>
      </c>
      <c r="G2874" s="2" t="n">
        <v>33</v>
      </c>
    </row>
    <row r="2875" customFormat="false" ht="16.5" hidden="false" customHeight="true" outlineLevel="0" collapsed="false">
      <c r="A2875" s="2" t="s">
        <v>416</v>
      </c>
      <c r="B2875" s="2" t="s">
        <v>444</v>
      </c>
      <c r="C2875" s="2" t="n">
        <v>2</v>
      </c>
      <c r="D2875" s="2" t="s">
        <v>582</v>
      </c>
      <c r="E2875" s="2" t="s">
        <v>31</v>
      </c>
      <c r="F2875" s="2" t="n">
        <v>363</v>
      </c>
      <c r="G2875" s="2" t="n">
        <v>37</v>
      </c>
    </row>
    <row r="2876" customFormat="false" ht="16.5" hidden="false" customHeight="true" outlineLevel="0" collapsed="false">
      <c r="A2876" s="2" t="s">
        <v>416</v>
      </c>
      <c r="B2876" s="2" t="s">
        <v>444</v>
      </c>
      <c r="C2876" s="2" t="n">
        <v>2</v>
      </c>
      <c r="D2876" s="2" t="s">
        <v>582</v>
      </c>
      <c r="E2876" s="2" t="s">
        <v>32</v>
      </c>
      <c r="F2876" s="2" t="n">
        <v>363</v>
      </c>
      <c r="G2876" s="2" t="n">
        <v>41</v>
      </c>
    </row>
    <row r="2877" customFormat="false" ht="16.5" hidden="false" customHeight="true" outlineLevel="0" collapsed="false">
      <c r="A2877" s="2" t="s">
        <v>416</v>
      </c>
      <c r="B2877" s="2" t="s">
        <v>444</v>
      </c>
      <c r="C2877" s="2" t="n">
        <v>2</v>
      </c>
      <c r="D2877" s="2" t="s">
        <v>582</v>
      </c>
      <c r="E2877" s="2" t="s">
        <v>33</v>
      </c>
      <c r="F2877" s="2" t="n">
        <v>363</v>
      </c>
      <c r="G2877" s="2" t="n">
        <v>45</v>
      </c>
    </row>
    <row r="2878" customFormat="false" ht="16.5" hidden="false" customHeight="true" outlineLevel="0" collapsed="false">
      <c r="A2878" s="2" t="s">
        <v>416</v>
      </c>
      <c r="B2878" s="2" t="s">
        <v>444</v>
      </c>
      <c r="C2878" s="2" t="n">
        <v>2</v>
      </c>
      <c r="D2878" s="2" t="s">
        <v>582</v>
      </c>
      <c r="E2878" s="2" t="s">
        <v>34</v>
      </c>
      <c r="F2878" s="2" t="n">
        <v>363</v>
      </c>
      <c r="G2878" s="2" t="n">
        <v>49</v>
      </c>
    </row>
    <row r="2879" customFormat="false" ht="16.5" hidden="false" customHeight="true" outlineLevel="0" collapsed="false">
      <c r="A2879" s="2" t="s">
        <v>416</v>
      </c>
      <c r="B2879" s="2" t="s">
        <v>444</v>
      </c>
      <c r="C2879" s="2" t="n">
        <v>2</v>
      </c>
      <c r="D2879" s="2" t="s">
        <v>582</v>
      </c>
      <c r="E2879" s="2" t="s">
        <v>35</v>
      </c>
      <c r="F2879" s="2" t="n">
        <v>365</v>
      </c>
      <c r="G2879" s="2" t="n">
        <v>11</v>
      </c>
    </row>
    <row r="2880" customFormat="false" ht="16.5" hidden="false" customHeight="true" outlineLevel="0" collapsed="false">
      <c r="A2880" s="2" t="s">
        <v>416</v>
      </c>
      <c r="B2880" s="2" t="s">
        <v>444</v>
      </c>
      <c r="C2880" s="2" t="n">
        <v>2</v>
      </c>
      <c r="D2880" s="2" t="s">
        <v>582</v>
      </c>
      <c r="E2880" s="2" t="s">
        <v>36</v>
      </c>
      <c r="F2880" s="2" t="n">
        <v>365</v>
      </c>
      <c r="G2880" s="2" t="n">
        <v>15</v>
      </c>
    </row>
    <row r="2881" customFormat="false" ht="16.5" hidden="false" customHeight="true" outlineLevel="0" collapsed="false">
      <c r="A2881" s="2" t="s">
        <v>416</v>
      </c>
      <c r="B2881" s="2" t="s">
        <v>444</v>
      </c>
      <c r="C2881" s="2" t="n">
        <v>2</v>
      </c>
      <c r="D2881" s="2" t="s">
        <v>582</v>
      </c>
      <c r="E2881" s="2" t="s">
        <v>37</v>
      </c>
      <c r="F2881" s="2" t="n">
        <v>365</v>
      </c>
      <c r="G2881" s="2" t="n">
        <v>19</v>
      </c>
    </row>
    <row r="2882" customFormat="false" ht="16.5" hidden="false" customHeight="true" outlineLevel="0" collapsed="false">
      <c r="A2882" s="2" t="s">
        <v>416</v>
      </c>
      <c r="B2882" s="2" t="s">
        <v>444</v>
      </c>
      <c r="C2882" s="2" t="n">
        <v>2</v>
      </c>
      <c r="D2882" s="2" t="s">
        <v>582</v>
      </c>
      <c r="E2882" s="2" t="s">
        <v>38</v>
      </c>
      <c r="F2882" s="2" t="n">
        <v>365</v>
      </c>
      <c r="G2882" s="2" t="n">
        <v>23</v>
      </c>
    </row>
    <row r="2883" customFormat="false" ht="16.5" hidden="false" customHeight="true" outlineLevel="0" collapsed="false">
      <c r="A2883" s="2" t="s">
        <v>416</v>
      </c>
      <c r="B2883" s="2" t="s">
        <v>444</v>
      </c>
      <c r="C2883" s="2" t="n">
        <v>2</v>
      </c>
      <c r="D2883" s="2" t="s">
        <v>582</v>
      </c>
      <c r="E2883" s="2" t="s">
        <v>39</v>
      </c>
      <c r="F2883" s="2" t="n">
        <v>365</v>
      </c>
      <c r="G2883" s="2" t="n">
        <v>27</v>
      </c>
    </row>
    <row r="2884" customFormat="false" ht="16.5" hidden="false" customHeight="true" outlineLevel="0" collapsed="false">
      <c r="A2884" s="2" t="s">
        <v>416</v>
      </c>
      <c r="B2884" s="2" t="s">
        <v>444</v>
      </c>
      <c r="C2884" s="2" t="n">
        <v>2</v>
      </c>
      <c r="D2884" s="2" t="s">
        <v>582</v>
      </c>
      <c r="E2884" s="2" t="s">
        <v>40</v>
      </c>
      <c r="F2884" s="2" t="n">
        <v>365</v>
      </c>
      <c r="G2884" s="2" t="n">
        <v>31</v>
      </c>
    </row>
    <row r="2885" customFormat="false" ht="16.5" hidden="false" customHeight="true" outlineLevel="0" collapsed="false">
      <c r="A2885" s="2" t="s">
        <v>416</v>
      </c>
      <c r="B2885" s="2" t="s">
        <v>444</v>
      </c>
      <c r="C2885" s="2" t="n">
        <v>2</v>
      </c>
      <c r="D2885" s="2" t="s">
        <v>582</v>
      </c>
      <c r="E2885" s="2" t="s">
        <v>41</v>
      </c>
      <c r="F2885" s="2" t="n">
        <v>365</v>
      </c>
      <c r="G2885" s="2" t="n">
        <v>35</v>
      </c>
    </row>
    <row r="2886" customFormat="false" ht="16.5" hidden="false" customHeight="true" outlineLevel="0" collapsed="false">
      <c r="A2886" s="2" t="s">
        <v>416</v>
      </c>
      <c r="B2886" s="2" t="s">
        <v>444</v>
      </c>
      <c r="C2886" s="2" t="n">
        <v>2</v>
      </c>
      <c r="D2886" s="2" t="s">
        <v>582</v>
      </c>
      <c r="E2886" s="2" t="s">
        <v>42</v>
      </c>
      <c r="F2886" s="2" t="n">
        <v>365</v>
      </c>
      <c r="G2886" s="2" t="n">
        <v>39</v>
      </c>
    </row>
    <row r="2887" customFormat="false" ht="16.5" hidden="false" customHeight="true" outlineLevel="0" collapsed="false">
      <c r="A2887" s="2" t="s">
        <v>416</v>
      </c>
      <c r="B2887" s="2" t="s">
        <v>444</v>
      </c>
      <c r="C2887" s="2" t="n">
        <v>2</v>
      </c>
      <c r="D2887" s="2" t="s">
        <v>582</v>
      </c>
      <c r="E2887" s="2" t="s">
        <v>43</v>
      </c>
      <c r="F2887" s="2" t="n">
        <v>365</v>
      </c>
      <c r="G2887" s="2" t="n">
        <v>43</v>
      </c>
    </row>
    <row r="2888" customFormat="false" ht="16.5" hidden="false" customHeight="true" outlineLevel="0" collapsed="false">
      <c r="A2888" s="2" t="s">
        <v>416</v>
      </c>
      <c r="B2888" s="2" t="s">
        <v>444</v>
      </c>
      <c r="C2888" s="2" t="n">
        <v>2</v>
      </c>
      <c r="D2888" s="2" t="s">
        <v>582</v>
      </c>
      <c r="E2888" s="2" t="s">
        <v>44</v>
      </c>
      <c r="F2888" s="2" t="n">
        <v>365</v>
      </c>
      <c r="G2888" s="2" t="n">
        <v>47</v>
      </c>
    </row>
    <row r="2889" customFormat="false" ht="16.5" hidden="false" customHeight="true" outlineLevel="0" collapsed="false">
      <c r="A2889" s="2" t="s">
        <v>416</v>
      </c>
      <c r="B2889" s="2" t="s">
        <v>444</v>
      </c>
      <c r="C2889" s="2" t="n">
        <v>2</v>
      </c>
      <c r="D2889" s="2" t="s">
        <v>582</v>
      </c>
      <c r="E2889" s="2" t="s">
        <v>48</v>
      </c>
      <c r="F2889" s="2" t="n">
        <v>367</v>
      </c>
      <c r="G2889" s="2" t="n">
        <v>16</v>
      </c>
    </row>
    <row r="2890" customFormat="false" ht="16.5" hidden="false" customHeight="true" outlineLevel="0" collapsed="false">
      <c r="A2890" s="2" t="s">
        <v>416</v>
      </c>
      <c r="B2890" s="2" t="s">
        <v>444</v>
      </c>
      <c r="C2890" s="2" t="n">
        <v>2</v>
      </c>
      <c r="D2890" s="2" t="s">
        <v>582</v>
      </c>
      <c r="E2890" s="2" t="s">
        <v>50</v>
      </c>
      <c r="F2890" s="2" t="n">
        <v>367</v>
      </c>
      <c r="G2890" s="2" t="n">
        <v>20</v>
      </c>
    </row>
    <row r="2891" customFormat="false" ht="16.5" hidden="false" customHeight="true" outlineLevel="0" collapsed="false">
      <c r="A2891" s="2" t="s">
        <v>416</v>
      </c>
      <c r="B2891" s="2" t="s">
        <v>444</v>
      </c>
      <c r="C2891" s="2" t="n">
        <v>2</v>
      </c>
      <c r="D2891" s="2" t="s">
        <v>582</v>
      </c>
      <c r="E2891" s="2" t="s">
        <v>45</v>
      </c>
      <c r="F2891" s="2" t="n">
        <v>367</v>
      </c>
      <c r="G2891" s="2" t="n">
        <v>38</v>
      </c>
    </row>
    <row r="2892" customFormat="false" ht="16.5" hidden="false" customHeight="true" outlineLevel="0" collapsed="false">
      <c r="A2892" s="2" t="s">
        <v>416</v>
      </c>
      <c r="B2892" s="2" t="s">
        <v>444</v>
      </c>
      <c r="C2892" s="2" t="n">
        <v>2</v>
      </c>
      <c r="D2892" s="2" t="s">
        <v>582</v>
      </c>
      <c r="E2892" s="2" t="s">
        <v>46</v>
      </c>
      <c r="F2892" s="2" t="n">
        <v>367</v>
      </c>
      <c r="G2892" s="2" t="n">
        <v>42</v>
      </c>
    </row>
    <row r="2893" customFormat="false" ht="16.5" hidden="false" customHeight="true" outlineLevel="0" collapsed="false">
      <c r="A2893" s="2" t="s">
        <v>416</v>
      </c>
      <c r="B2893" s="2" t="s">
        <v>445</v>
      </c>
      <c r="C2893" s="2" t="n">
        <v>2</v>
      </c>
      <c r="D2893" s="2" t="s">
        <v>583</v>
      </c>
      <c r="E2893" s="2" t="s">
        <v>0</v>
      </c>
      <c r="F2893" s="2" t="n">
        <v>372</v>
      </c>
      <c r="G2893" s="2" t="n">
        <v>6</v>
      </c>
    </row>
    <row r="2894" customFormat="false" ht="16.5" hidden="false" customHeight="true" outlineLevel="0" collapsed="false">
      <c r="A2894" s="2" t="s">
        <v>416</v>
      </c>
      <c r="B2894" s="2" t="s">
        <v>445</v>
      </c>
      <c r="C2894" s="2" t="n">
        <v>2</v>
      </c>
      <c r="D2894" s="2" t="s">
        <v>583</v>
      </c>
      <c r="E2894" s="2" t="s">
        <v>1</v>
      </c>
      <c r="F2894" s="2" t="n">
        <v>372</v>
      </c>
      <c r="G2894" s="2" t="n">
        <v>10</v>
      </c>
    </row>
    <row r="2895" customFormat="false" ht="16.5" hidden="false" customHeight="true" outlineLevel="0" collapsed="false">
      <c r="A2895" s="2" t="s">
        <v>416</v>
      </c>
      <c r="B2895" s="2" t="s">
        <v>445</v>
      </c>
      <c r="C2895" s="2" t="n">
        <v>2</v>
      </c>
      <c r="D2895" s="2" t="s">
        <v>583</v>
      </c>
      <c r="E2895" s="2" t="s">
        <v>2</v>
      </c>
      <c r="F2895" s="2" t="n">
        <v>372</v>
      </c>
      <c r="G2895" s="2" t="n">
        <v>14</v>
      </c>
    </row>
    <row r="2896" customFormat="false" ht="16.5" hidden="false" customHeight="true" outlineLevel="0" collapsed="false">
      <c r="A2896" s="2" t="s">
        <v>416</v>
      </c>
      <c r="B2896" s="2" t="s">
        <v>445</v>
      </c>
      <c r="C2896" s="2" t="n">
        <v>2</v>
      </c>
      <c r="D2896" s="2" t="s">
        <v>583</v>
      </c>
      <c r="E2896" s="2" t="s">
        <v>3</v>
      </c>
      <c r="F2896" s="2" t="n">
        <v>372</v>
      </c>
      <c r="G2896" s="2" t="n">
        <v>18</v>
      </c>
    </row>
    <row r="2897" customFormat="false" ht="16.5" hidden="false" customHeight="true" outlineLevel="0" collapsed="false">
      <c r="A2897" s="2" t="s">
        <v>416</v>
      </c>
      <c r="B2897" s="2" t="s">
        <v>445</v>
      </c>
      <c r="C2897" s="2" t="n">
        <v>2</v>
      </c>
      <c r="D2897" s="2" t="s">
        <v>583</v>
      </c>
      <c r="E2897" s="2" t="s">
        <v>4</v>
      </c>
      <c r="F2897" s="2" t="n">
        <v>372</v>
      </c>
      <c r="G2897" s="2" t="n">
        <v>22</v>
      </c>
    </row>
    <row r="2898" customFormat="false" ht="16.5" hidden="false" customHeight="true" outlineLevel="0" collapsed="false">
      <c r="A2898" s="2" t="s">
        <v>416</v>
      </c>
      <c r="B2898" s="2" t="s">
        <v>445</v>
      </c>
      <c r="C2898" s="2" t="n">
        <v>2</v>
      </c>
      <c r="D2898" s="2" t="s">
        <v>583</v>
      </c>
      <c r="E2898" s="2" t="s">
        <v>5</v>
      </c>
      <c r="F2898" s="2" t="n">
        <v>372</v>
      </c>
      <c r="G2898" s="2" t="n">
        <v>26</v>
      </c>
    </row>
    <row r="2899" customFormat="false" ht="16.5" hidden="false" customHeight="true" outlineLevel="0" collapsed="false">
      <c r="A2899" s="2" t="s">
        <v>416</v>
      </c>
      <c r="B2899" s="2" t="s">
        <v>445</v>
      </c>
      <c r="C2899" s="2" t="n">
        <v>2</v>
      </c>
      <c r="D2899" s="2" t="s">
        <v>583</v>
      </c>
      <c r="E2899" s="2" t="s">
        <v>6</v>
      </c>
      <c r="F2899" s="2" t="n">
        <v>372</v>
      </c>
      <c r="G2899" s="2" t="n">
        <v>30</v>
      </c>
    </row>
    <row r="2900" customFormat="false" ht="16.5" hidden="false" customHeight="true" outlineLevel="0" collapsed="false">
      <c r="A2900" s="2" t="s">
        <v>416</v>
      </c>
      <c r="B2900" s="2" t="s">
        <v>445</v>
      </c>
      <c r="C2900" s="2" t="n">
        <v>2</v>
      </c>
      <c r="D2900" s="2" t="s">
        <v>583</v>
      </c>
      <c r="E2900" s="2" t="s">
        <v>7</v>
      </c>
      <c r="F2900" s="2" t="n">
        <v>372</v>
      </c>
      <c r="G2900" s="2" t="n">
        <v>34</v>
      </c>
    </row>
    <row r="2901" customFormat="false" ht="16.5" hidden="false" customHeight="true" outlineLevel="0" collapsed="false">
      <c r="A2901" s="2" t="s">
        <v>416</v>
      </c>
      <c r="B2901" s="2" t="s">
        <v>445</v>
      </c>
      <c r="C2901" s="2" t="n">
        <v>2</v>
      </c>
      <c r="D2901" s="2" t="s">
        <v>583</v>
      </c>
      <c r="E2901" s="2" t="s">
        <v>8</v>
      </c>
      <c r="F2901" s="2" t="n">
        <v>372</v>
      </c>
      <c r="G2901" s="2" t="n">
        <v>38</v>
      </c>
    </row>
    <row r="2902" customFormat="false" ht="16.5" hidden="false" customHeight="true" outlineLevel="0" collapsed="false">
      <c r="A2902" s="2" t="s">
        <v>416</v>
      </c>
      <c r="B2902" s="2" t="s">
        <v>445</v>
      </c>
      <c r="C2902" s="2" t="n">
        <v>2</v>
      </c>
      <c r="D2902" s="2" t="s">
        <v>583</v>
      </c>
      <c r="E2902" s="2" t="s">
        <v>9</v>
      </c>
      <c r="F2902" s="2" t="n">
        <v>372</v>
      </c>
      <c r="G2902" s="2" t="n">
        <v>42</v>
      </c>
    </row>
    <row r="2903" customFormat="false" ht="16.5" hidden="false" customHeight="true" outlineLevel="0" collapsed="false">
      <c r="A2903" s="2" t="s">
        <v>416</v>
      </c>
      <c r="B2903" s="2" t="s">
        <v>445</v>
      </c>
      <c r="C2903" s="2" t="n">
        <v>2</v>
      </c>
      <c r="D2903" s="2" t="s">
        <v>583</v>
      </c>
      <c r="E2903" s="2" t="s">
        <v>10</v>
      </c>
      <c r="F2903" s="2" t="n">
        <v>372</v>
      </c>
      <c r="G2903" s="2" t="n">
        <v>46</v>
      </c>
    </row>
    <row r="2904" customFormat="false" ht="16.5" hidden="false" customHeight="true" outlineLevel="0" collapsed="false">
      <c r="A2904" s="2" t="s">
        <v>416</v>
      </c>
      <c r="B2904" s="2" t="s">
        <v>445</v>
      </c>
      <c r="C2904" s="2" t="n">
        <v>2</v>
      </c>
      <c r="D2904" s="2" t="s">
        <v>583</v>
      </c>
      <c r="E2904" s="2" t="s">
        <v>11</v>
      </c>
      <c r="F2904" s="2" t="n">
        <v>372</v>
      </c>
      <c r="G2904" s="2" t="n">
        <v>50</v>
      </c>
    </row>
    <row r="2905" customFormat="false" ht="16.5" hidden="false" customHeight="true" outlineLevel="0" collapsed="false">
      <c r="A2905" s="2" t="s">
        <v>416</v>
      </c>
      <c r="B2905" s="2" t="s">
        <v>445</v>
      </c>
      <c r="C2905" s="2" t="n">
        <v>2</v>
      </c>
      <c r="D2905" s="2" t="s">
        <v>583</v>
      </c>
      <c r="E2905" s="2" t="s">
        <v>12</v>
      </c>
      <c r="F2905" s="2" t="n">
        <v>374</v>
      </c>
      <c r="G2905" s="2" t="n">
        <v>8</v>
      </c>
    </row>
    <row r="2906" customFormat="false" ht="16.5" hidden="false" customHeight="true" outlineLevel="0" collapsed="false">
      <c r="A2906" s="2" t="s">
        <v>416</v>
      </c>
      <c r="B2906" s="2" t="s">
        <v>445</v>
      </c>
      <c r="C2906" s="2" t="n">
        <v>2</v>
      </c>
      <c r="D2906" s="2" t="s">
        <v>583</v>
      </c>
      <c r="E2906" s="2" t="s">
        <v>13</v>
      </c>
      <c r="F2906" s="2" t="n">
        <v>374</v>
      </c>
      <c r="G2906" s="2" t="n">
        <v>12</v>
      </c>
    </row>
    <row r="2907" customFormat="false" ht="16.5" hidden="false" customHeight="true" outlineLevel="0" collapsed="false">
      <c r="A2907" s="2" t="s">
        <v>416</v>
      </c>
      <c r="B2907" s="2" t="s">
        <v>445</v>
      </c>
      <c r="C2907" s="2" t="n">
        <v>2</v>
      </c>
      <c r="D2907" s="2" t="s">
        <v>583</v>
      </c>
      <c r="E2907" s="2" t="s">
        <v>14</v>
      </c>
      <c r="F2907" s="2" t="n">
        <v>374</v>
      </c>
      <c r="G2907" s="2" t="n">
        <v>16</v>
      </c>
    </row>
    <row r="2908" customFormat="false" ht="16.5" hidden="false" customHeight="true" outlineLevel="0" collapsed="false">
      <c r="A2908" s="2" t="s">
        <v>416</v>
      </c>
      <c r="B2908" s="2" t="s">
        <v>445</v>
      </c>
      <c r="C2908" s="2" t="n">
        <v>2</v>
      </c>
      <c r="D2908" s="2" t="s">
        <v>583</v>
      </c>
      <c r="E2908" s="2" t="s">
        <v>15</v>
      </c>
      <c r="F2908" s="2" t="n">
        <v>374</v>
      </c>
      <c r="G2908" s="2" t="n">
        <v>20</v>
      </c>
    </row>
    <row r="2909" customFormat="false" ht="16.5" hidden="false" customHeight="true" outlineLevel="0" collapsed="false">
      <c r="A2909" s="2" t="s">
        <v>416</v>
      </c>
      <c r="B2909" s="2" t="s">
        <v>445</v>
      </c>
      <c r="C2909" s="2" t="n">
        <v>2</v>
      </c>
      <c r="D2909" s="2" t="s">
        <v>583</v>
      </c>
      <c r="E2909" s="2" t="s">
        <v>16</v>
      </c>
      <c r="F2909" s="2" t="n">
        <v>374</v>
      </c>
      <c r="G2909" s="2" t="n">
        <v>24</v>
      </c>
    </row>
    <row r="2910" customFormat="false" ht="16.5" hidden="false" customHeight="true" outlineLevel="0" collapsed="false">
      <c r="A2910" s="2" t="s">
        <v>416</v>
      </c>
      <c r="B2910" s="2" t="s">
        <v>445</v>
      </c>
      <c r="C2910" s="2" t="n">
        <v>2</v>
      </c>
      <c r="D2910" s="2" t="s">
        <v>583</v>
      </c>
      <c r="E2910" s="2" t="s">
        <v>17</v>
      </c>
      <c r="F2910" s="2" t="n">
        <v>374</v>
      </c>
      <c r="G2910" s="2" t="n">
        <v>28</v>
      </c>
    </row>
    <row r="2911" customFormat="false" ht="16.5" hidden="false" customHeight="true" outlineLevel="0" collapsed="false">
      <c r="A2911" s="2" t="s">
        <v>416</v>
      </c>
      <c r="B2911" s="2" t="s">
        <v>445</v>
      </c>
      <c r="C2911" s="2" t="n">
        <v>2</v>
      </c>
      <c r="D2911" s="2" t="s">
        <v>583</v>
      </c>
      <c r="E2911" s="2" t="s">
        <v>18</v>
      </c>
      <c r="F2911" s="2" t="n">
        <v>374</v>
      </c>
      <c r="G2911" s="2" t="n">
        <v>32</v>
      </c>
    </row>
    <row r="2912" customFormat="false" ht="16.5" hidden="false" customHeight="true" outlineLevel="0" collapsed="false">
      <c r="A2912" s="2" t="s">
        <v>416</v>
      </c>
      <c r="B2912" s="2" t="s">
        <v>445</v>
      </c>
      <c r="C2912" s="2" t="n">
        <v>2</v>
      </c>
      <c r="D2912" s="2" t="s">
        <v>583</v>
      </c>
      <c r="E2912" s="2" t="s">
        <v>19</v>
      </c>
      <c r="F2912" s="2" t="n">
        <v>374</v>
      </c>
      <c r="G2912" s="2" t="n">
        <v>36</v>
      </c>
    </row>
    <row r="2913" customFormat="false" ht="16.5" hidden="false" customHeight="true" outlineLevel="0" collapsed="false">
      <c r="A2913" s="2" t="s">
        <v>416</v>
      </c>
      <c r="B2913" s="2" t="s">
        <v>445</v>
      </c>
      <c r="C2913" s="2" t="n">
        <v>2</v>
      </c>
      <c r="D2913" s="2" t="s">
        <v>583</v>
      </c>
      <c r="E2913" s="2" t="s">
        <v>20</v>
      </c>
      <c r="F2913" s="2" t="n">
        <v>374</v>
      </c>
      <c r="G2913" s="2" t="n">
        <v>40</v>
      </c>
    </row>
    <row r="2914" customFormat="false" ht="16.5" hidden="false" customHeight="true" outlineLevel="0" collapsed="false">
      <c r="A2914" s="2" t="s">
        <v>416</v>
      </c>
      <c r="B2914" s="2" t="s">
        <v>445</v>
      </c>
      <c r="C2914" s="2" t="n">
        <v>2</v>
      </c>
      <c r="D2914" s="2" t="s">
        <v>583</v>
      </c>
      <c r="E2914" s="2" t="s">
        <v>21</v>
      </c>
      <c r="F2914" s="2" t="n">
        <v>374</v>
      </c>
      <c r="G2914" s="2" t="n">
        <v>44</v>
      </c>
    </row>
    <row r="2915" customFormat="false" ht="16.5" hidden="false" customHeight="true" outlineLevel="0" collapsed="false">
      <c r="A2915" s="2" t="s">
        <v>416</v>
      </c>
      <c r="B2915" s="2" t="s">
        <v>445</v>
      </c>
      <c r="C2915" s="2" t="n">
        <v>2</v>
      </c>
      <c r="D2915" s="2" t="s">
        <v>583</v>
      </c>
      <c r="E2915" s="2" t="s">
        <v>22</v>
      </c>
      <c r="F2915" s="2" t="n">
        <v>374</v>
      </c>
      <c r="G2915" s="2" t="n">
        <v>48</v>
      </c>
    </row>
    <row r="2916" customFormat="false" ht="16.5" hidden="false" customHeight="true" outlineLevel="0" collapsed="false">
      <c r="A2916" s="2" t="s">
        <v>416</v>
      </c>
      <c r="B2916" s="2" t="s">
        <v>445</v>
      </c>
      <c r="C2916" s="2" t="n">
        <v>2</v>
      </c>
      <c r="D2916" s="2" t="s">
        <v>583</v>
      </c>
      <c r="E2916" s="2" t="s">
        <v>23</v>
      </c>
      <c r="F2916" s="2" t="n">
        <v>374</v>
      </c>
      <c r="G2916" s="2" t="n">
        <v>52</v>
      </c>
    </row>
    <row r="2917" customFormat="false" ht="16.5" hidden="false" customHeight="true" outlineLevel="0" collapsed="false">
      <c r="A2917" s="2" t="s">
        <v>416</v>
      </c>
      <c r="B2917" s="2" t="s">
        <v>445</v>
      </c>
      <c r="C2917" s="2" t="n">
        <v>2</v>
      </c>
      <c r="D2917" s="2" t="s">
        <v>583</v>
      </c>
      <c r="E2917" s="2" t="s">
        <v>24</v>
      </c>
      <c r="F2917" s="2" t="n">
        <v>376</v>
      </c>
      <c r="G2917" s="2" t="n">
        <v>9</v>
      </c>
    </row>
    <row r="2918" customFormat="false" ht="16.5" hidden="false" customHeight="true" outlineLevel="0" collapsed="false">
      <c r="A2918" s="2" t="s">
        <v>416</v>
      </c>
      <c r="B2918" s="2" t="s">
        <v>445</v>
      </c>
      <c r="C2918" s="2" t="n">
        <v>2</v>
      </c>
      <c r="D2918" s="2" t="s">
        <v>583</v>
      </c>
      <c r="E2918" s="2" t="s">
        <v>25</v>
      </c>
      <c r="F2918" s="2" t="n">
        <v>376</v>
      </c>
      <c r="G2918" s="2" t="n">
        <v>13</v>
      </c>
    </row>
    <row r="2919" customFormat="false" ht="16.5" hidden="false" customHeight="true" outlineLevel="0" collapsed="false">
      <c r="A2919" s="2" t="s">
        <v>416</v>
      </c>
      <c r="B2919" s="2" t="s">
        <v>445</v>
      </c>
      <c r="C2919" s="2" t="n">
        <v>2</v>
      </c>
      <c r="D2919" s="2" t="s">
        <v>583</v>
      </c>
      <c r="E2919" s="2" t="s">
        <v>26</v>
      </c>
      <c r="F2919" s="2" t="n">
        <v>376</v>
      </c>
      <c r="G2919" s="2" t="n">
        <v>17</v>
      </c>
    </row>
    <row r="2920" customFormat="false" ht="16.5" hidden="false" customHeight="true" outlineLevel="0" collapsed="false">
      <c r="A2920" s="2" t="s">
        <v>416</v>
      </c>
      <c r="B2920" s="2" t="s">
        <v>445</v>
      </c>
      <c r="C2920" s="2" t="n">
        <v>2</v>
      </c>
      <c r="D2920" s="2" t="s">
        <v>583</v>
      </c>
      <c r="E2920" s="2" t="s">
        <v>27</v>
      </c>
      <c r="F2920" s="2" t="n">
        <v>376</v>
      </c>
      <c r="G2920" s="2" t="n">
        <v>21</v>
      </c>
    </row>
    <row r="2921" customFormat="false" ht="16.5" hidden="false" customHeight="true" outlineLevel="0" collapsed="false">
      <c r="A2921" s="2" t="s">
        <v>416</v>
      </c>
      <c r="B2921" s="2" t="s">
        <v>445</v>
      </c>
      <c r="C2921" s="2" t="n">
        <v>2</v>
      </c>
      <c r="D2921" s="2" t="s">
        <v>583</v>
      </c>
      <c r="E2921" s="2" t="s">
        <v>28</v>
      </c>
      <c r="F2921" s="2" t="n">
        <v>376</v>
      </c>
      <c r="G2921" s="2" t="n">
        <v>25</v>
      </c>
    </row>
    <row r="2922" customFormat="false" ht="16.5" hidden="false" customHeight="true" outlineLevel="0" collapsed="false">
      <c r="A2922" s="2" t="s">
        <v>416</v>
      </c>
      <c r="B2922" s="2" t="s">
        <v>445</v>
      </c>
      <c r="C2922" s="2" t="n">
        <v>2</v>
      </c>
      <c r="D2922" s="2" t="s">
        <v>583</v>
      </c>
      <c r="E2922" s="2" t="s">
        <v>29</v>
      </c>
      <c r="F2922" s="2" t="n">
        <v>376</v>
      </c>
      <c r="G2922" s="2" t="n">
        <v>29</v>
      </c>
    </row>
    <row r="2923" customFormat="false" ht="16.5" hidden="false" customHeight="true" outlineLevel="0" collapsed="false">
      <c r="A2923" s="2" t="s">
        <v>416</v>
      </c>
      <c r="B2923" s="2" t="s">
        <v>445</v>
      </c>
      <c r="C2923" s="2" t="n">
        <v>2</v>
      </c>
      <c r="D2923" s="2" t="s">
        <v>583</v>
      </c>
      <c r="E2923" s="2" t="s">
        <v>30</v>
      </c>
      <c r="F2923" s="2" t="n">
        <v>376</v>
      </c>
      <c r="G2923" s="2" t="n">
        <v>33</v>
      </c>
    </row>
    <row r="2924" customFormat="false" ht="16.5" hidden="false" customHeight="true" outlineLevel="0" collapsed="false">
      <c r="A2924" s="2" t="s">
        <v>416</v>
      </c>
      <c r="B2924" s="2" t="s">
        <v>445</v>
      </c>
      <c r="C2924" s="2" t="n">
        <v>2</v>
      </c>
      <c r="D2924" s="2" t="s">
        <v>583</v>
      </c>
      <c r="E2924" s="2" t="s">
        <v>31</v>
      </c>
      <c r="F2924" s="2" t="n">
        <v>376</v>
      </c>
      <c r="G2924" s="2" t="n">
        <v>37</v>
      </c>
    </row>
    <row r="2925" customFormat="false" ht="16.5" hidden="false" customHeight="true" outlineLevel="0" collapsed="false">
      <c r="A2925" s="2" t="s">
        <v>416</v>
      </c>
      <c r="B2925" s="2" t="s">
        <v>445</v>
      </c>
      <c r="C2925" s="2" t="n">
        <v>2</v>
      </c>
      <c r="D2925" s="2" t="s">
        <v>583</v>
      </c>
      <c r="E2925" s="2" t="s">
        <v>32</v>
      </c>
      <c r="F2925" s="2" t="n">
        <v>376</v>
      </c>
      <c r="G2925" s="2" t="n">
        <v>41</v>
      </c>
    </row>
    <row r="2926" customFormat="false" ht="16.5" hidden="false" customHeight="true" outlineLevel="0" collapsed="false">
      <c r="A2926" s="2" t="s">
        <v>416</v>
      </c>
      <c r="B2926" s="2" t="s">
        <v>445</v>
      </c>
      <c r="C2926" s="2" t="n">
        <v>2</v>
      </c>
      <c r="D2926" s="2" t="s">
        <v>583</v>
      </c>
      <c r="E2926" s="2" t="s">
        <v>33</v>
      </c>
      <c r="F2926" s="2" t="n">
        <v>376</v>
      </c>
      <c r="G2926" s="2" t="n">
        <v>45</v>
      </c>
    </row>
    <row r="2927" customFormat="false" ht="16.5" hidden="false" customHeight="true" outlineLevel="0" collapsed="false">
      <c r="A2927" s="2" t="s">
        <v>416</v>
      </c>
      <c r="B2927" s="2" t="s">
        <v>445</v>
      </c>
      <c r="C2927" s="2" t="n">
        <v>2</v>
      </c>
      <c r="D2927" s="2" t="s">
        <v>583</v>
      </c>
      <c r="E2927" s="2" t="s">
        <v>34</v>
      </c>
      <c r="F2927" s="2" t="n">
        <v>376</v>
      </c>
      <c r="G2927" s="2" t="n">
        <v>49</v>
      </c>
    </row>
    <row r="2928" customFormat="false" ht="16.5" hidden="false" customHeight="true" outlineLevel="0" collapsed="false">
      <c r="A2928" s="2" t="s">
        <v>416</v>
      </c>
      <c r="B2928" s="2" t="s">
        <v>445</v>
      </c>
      <c r="C2928" s="2" t="n">
        <v>2</v>
      </c>
      <c r="D2928" s="2" t="s">
        <v>583</v>
      </c>
      <c r="E2928" s="2" t="s">
        <v>35</v>
      </c>
      <c r="F2928" s="2" t="n">
        <v>378</v>
      </c>
      <c r="G2928" s="2" t="n">
        <v>11</v>
      </c>
    </row>
    <row r="2929" customFormat="false" ht="16.5" hidden="false" customHeight="true" outlineLevel="0" collapsed="false">
      <c r="A2929" s="2" t="s">
        <v>416</v>
      </c>
      <c r="B2929" s="2" t="s">
        <v>445</v>
      </c>
      <c r="C2929" s="2" t="n">
        <v>2</v>
      </c>
      <c r="D2929" s="2" t="s">
        <v>583</v>
      </c>
      <c r="E2929" s="2" t="s">
        <v>36</v>
      </c>
      <c r="F2929" s="2" t="n">
        <v>378</v>
      </c>
      <c r="G2929" s="2" t="n">
        <v>15</v>
      </c>
    </row>
    <row r="2930" customFormat="false" ht="16.5" hidden="false" customHeight="true" outlineLevel="0" collapsed="false">
      <c r="A2930" s="2" t="s">
        <v>416</v>
      </c>
      <c r="B2930" s="2" t="s">
        <v>445</v>
      </c>
      <c r="C2930" s="2" t="n">
        <v>2</v>
      </c>
      <c r="D2930" s="2" t="s">
        <v>583</v>
      </c>
      <c r="E2930" s="2" t="s">
        <v>37</v>
      </c>
      <c r="F2930" s="2" t="n">
        <v>378</v>
      </c>
      <c r="G2930" s="2" t="n">
        <v>19</v>
      </c>
    </row>
    <row r="2931" customFormat="false" ht="16.5" hidden="false" customHeight="true" outlineLevel="0" collapsed="false">
      <c r="A2931" s="2" t="s">
        <v>416</v>
      </c>
      <c r="B2931" s="2" t="s">
        <v>445</v>
      </c>
      <c r="C2931" s="2" t="n">
        <v>2</v>
      </c>
      <c r="D2931" s="2" t="s">
        <v>583</v>
      </c>
      <c r="E2931" s="2" t="s">
        <v>38</v>
      </c>
      <c r="F2931" s="2" t="n">
        <v>378</v>
      </c>
      <c r="G2931" s="2" t="n">
        <v>23</v>
      </c>
    </row>
    <row r="2932" customFormat="false" ht="16.5" hidden="false" customHeight="true" outlineLevel="0" collapsed="false">
      <c r="A2932" s="2" t="s">
        <v>416</v>
      </c>
      <c r="B2932" s="2" t="s">
        <v>445</v>
      </c>
      <c r="C2932" s="2" t="n">
        <v>2</v>
      </c>
      <c r="D2932" s="2" t="s">
        <v>583</v>
      </c>
      <c r="E2932" s="2" t="s">
        <v>39</v>
      </c>
      <c r="F2932" s="2" t="n">
        <v>378</v>
      </c>
      <c r="G2932" s="2" t="n">
        <v>27</v>
      </c>
    </row>
    <row r="2933" customFormat="false" ht="16.5" hidden="false" customHeight="true" outlineLevel="0" collapsed="false">
      <c r="A2933" s="2" t="s">
        <v>416</v>
      </c>
      <c r="B2933" s="2" t="s">
        <v>445</v>
      </c>
      <c r="C2933" s="2" t="n">
        <v>2</v>
      </c>
      <c r="D2933" s="2" t="s">
        <v>583</v>
      </c>
      <c r="E2933" s="2" t="s">
        <v>40</v>
      </c>
      <c r="F2933" s="2" t="n">
        <v>378</v>
      </c>
      <c r="G2933" s="2" t="n">
        <v>31</v>
      </c>
    </row>
    <row r="2934" customFormat="false" ht="16.5" hidden="false" customHeight="true" outlineLevel="0" collapsed="false">
      <c r="A2934" s="2" t="s">
        <v>416</v>
      </c>
      <c r="B2934" s="2" t="s">
        <v>445</v>
      </c>
      <c r="C2934" s="2" t="n">
        <v>2</v>
      </c>
      <c r="D2934" s="2" t="s">
        <v>583</v>
      </c>
      <c r="E2934" s="2" t="s">
        <v>41</v>
      </c>
      <c r="F2934" s="2" t="n">
        <v>378</v>
      </c>
      <c r="G2934" s="2" t="n">
        <v>35</v>
      </c>
    </row>
    <row r="2935" customFormat="false" ht="16.5" hidden="false" customHeight="true" outlineLevel="0" collapsed="false">
      <c r="A2935" s="2" t="s">
        <v>416</v>
      </c>
      <c r="B2935" s="2" t="s">
        <v>445</v>
      </c>
      <c r="C2935" s="2" t="n">
        <v>2</v>
      </c>
      <c r="D2935" s="2" t="s">
        <v>583</v>
      </c>
      <c r="E2935" s="2" t="s">
        <v>42</v>
      </c>
      <c r="F2935" s="2" t="n">
        <v>378</v>
      </c>
      <c r="G2935" s="2" t="n">
        <v>39</v>
      </c>
    </row>
    <row r="2936" customFormat="false" ht="16.5" hidden="false" customHeight="true" outlineLevel="0" collapsed="false">
      <c r="A2936" s="2" t="s">
        <v>416</v>
      </c>
      <c r="B2936" s="2" t="s">
        <v>445</v>
      </c>
      <c r="C2936" s="2" t="n">
        <v>2</v>
      </c>
      <c r="D2936" s="2" t="s">
        <v>583</v>
      </c>
      <c r="E2936" s="2" t="s">
        <v>43</v>
      </c>
      <c r="F2936" s="2" t="n">
        <v>378</v>
      </c>
      <c r="G2936" s="2" t="n">
        <v>43</v>
      </c>
    </row>
    <row r="2937" customFormat="false" ht="16.5" hidden="false" customHeight="true" outlineLevel="0" collapsed="false">
      <c r="A2937" s="2" t="s">
        <v>416</v>
      </c>
      <c r="B2937" s="2" t="s">
        <v>445</v>
      </c>
      <c r="C2937" s="2" t="n">
        <v>2</v>
      </c>
      <c r="D2937" s="2" t="s">
        <v>583</v>
      </c>
      <c r="E2937" s="2" t="s">
        <v>44</v>
      </c>
      <c r="F2937" s="2" t="n">
        <v>378</v>
      </c>
      <c r="G2937" s="2" t="n">
        <v>47</v>
      </c>
    </row>
    <row r="2938" customFormat="false" ht="16.5" hidden="false" customHeight="true" outlineLevel="0" collapsed="false">
      <c r="A2938" s="2" t="s">
        <v>416</v>
      </c>
      <c r="B2938" s="2" t="s">
        <v>445</v>
      </c>
      <c r="C2938" s="2" t="n">
        <v>2</v>
      </c>
      <c r="D2938" s="2" t="s">
        <v>583</v>
      </c>
      <c r="E2938" s="2" t="s">
        <v>48</v>
      </c>
      <c r="F2938" s="2" t="n">
        <v>380</v>
      </c>
      <c r="G2938" s="2" t="n">
        <v>16</v>
      </c>
    </row>
    <row r="2939" customFormat="false" ht="16.5" hidden="false" customHeight="true" outlineLevel="0" collapsed="false">
      <c r="A2939" s="2" t="s">
        <v>416</v>
      </c>
      <c r="B2939" s="2" t="s">
        <v>445</v>
      </c>
      <c r="C2939" s="2" t="n">
        <v>2</v>
      </c>
      <c r="D2939" s="2" t="s">
        <v>583</v>
      </c>
      <c r="E2939" s="2" t="s">
        <v>50</v>
      </c>
      <c r="F2939" s="2" t="n">
        <v>380</v>
      </c>
      <c r="G2939" s="2" t="n">
        <v>20</v>
      </c>
    </row>
    <row r="2940" customFormat="false" ht="16.5" hidden="false" customHeight="true" outlineLevel="0" collapsed="false">
      <c r="A2940" s="2" t="s">
        <v>416</v>
      </c>
      <c r="B2940" s="2" t="s">
        <v>445</v>
      </c>
      <c r="C2940" s="2" t="n">
        <v>2</v>
      </c>
      <c r="D2940" s="2" t="s">
        <v>583</v>
      </c>
      <c r="E2940" s="2" t="s">
        <v>45</v>
      </c>
      <c r="F2940" s="2" t="n">
        <v>380</v>
      </c>
      <c r="G2940" s="2" t="n">
        <v>38</v>
      </c>
    </row>
    <row r="2941" customFormat="false" ht="16.5" hidden="false" customHeight="true" outlineLevel="0" collapsed="false">
      <c r="A2941" s="2" t="s">
        <v>416</v>
      </c>
      <c r="B2941" s="2" t="s">
        <v>445</v>
      </c>
      <c r="C2941" s="2" t="n">
        <v>2</v>
      </c>
      <c r="D2941" s="2" t="s">
        <v>583</v>
      </c>
      <c r="E2941" s="2" t="s">
        <v>46</v>
      </c>
      <c r="F2941" s="2" t="n">
        <v>380</v>
      </c>
      <c r="G2941" s="2" t="n">
        <v>42</v>
      </c>
    </row>
    <row r="2942" customFormat="false" ht="16.5" hidden="false" customHeight="true" outlineLevel="0" collapsed="false">
      <c r="A2942" s="2" t="s">
        <v>416</v>
      </c>
      <c r="B2942" s="2" t="s">
        <v>446</v>
      </c>
      <c r="C2942" s="2" t="n">
        <v>2</v>
      </c>
      <c r="D2942" s="2" t="s">
        <v>584</v>
      </c>
      <c r="E2942" s="2" t="s">
        <v>0</v>
      </c>
      <c r="F2942" s="2" t="n">
        <v>385</v>
      </c>
      <c r="G2942" s="2" t="n">
        <v>6</v>
      </c>
    </row>
    <row r="2943" customFormat="false" ht="16.5" hidden="false" customHeight="true" outlineLevel="0" collapsed="false">
      <c r="A2943" s="2" t="s">
        <v>416</v>
      </c>
      <c r="B2943" s="2" t="s">
        <v>446</v>
      </c>
      <c r="C2943" s="2" t="n">
        <v>2</v>
      </c>
      <c r="D2943" s="2" t="s">
        <v>584</v>
      </c>
      <c r="E2943" s="2" t="s">
        <v>1</v>
      </c>
      <c r="F2943" s="2" t="n">
        <v>385</v>
      </c>
      <c r="G2943" s="2" t="n">
        <v>10</v>
      </c>
    </row>
    <row r="2944" customFormat="false" ht="16.5" hidden="false" customHeight="true" outlineLevel="0" collapsed="false">
      <c r="A2944" s="2" t="s">
        <v>416</v>
      </c>
      <c r="B2944" s="2" t="s">
        <v>446</v>
      </c>
      <c r="C2944" s="2" t="n">
        <v>2</v>
      </c>
      <c r="D2944" s="2" t="s">
        <v>584</v>
      </c>
      <c r="E2944" s="2" t="s">
        <v>2</v>
      </c>
      <c r="F2944" s="2" t="n">
        <v>385</v>
      </c>
      <c r="G2944" s="2" t="n">
        <v>14</v>
      </c>
    </row>
    <row r="2945" customFormat="false" ht="16.5" hidden="false" customHeight="true" outlineLevel="0" collapsed="false">
      <c r="A2945" s="2" t="s">
        <v>416</v>
      </c>
      <c r="B2945" s="2" t="s">
        <v>446</v>
      </c>
      <c r="C2945" s="2" t="n">
        <v>2</v>
      </c>
      <c r="D2945" s="2" t="s">
        <v>584</v>
      </c>
      <c r="E2945" s="2" t="s">
        <v>3</v>
      </c>
      <c r="F2945" s="2" t="n">
        <v>385</v>
      </c>
      <c r="G2945" s="2" t="n">
        <v>18</v>
      </c>
    </row>
    <row r="2946" customFormat="false" ht="16.5" hidden="false" customHeight="true" outlineLevel="0" collapsed="false">
      <c r="A2946" s="2" t="s">
        <v>416</v>
      </c>
      <c r="B2946" s="2" t="s">
        <v>446</v>
      </c>
      <c r="C2946" s="2" t="n">
        <v>2</v>
      </c>
      <c r="D2946" s="2" t="s">
        <v>584</v>
      </c>
      <c r="E2946" s="2" t="s">
        <v>4</v>
      </c>
      <c r="F2946" s="2" t="n">
        <v>385</v>
      </c>
      <c r="G2946" s="2" t="n">
        <v>22</v>
      </c>
    </row>
    <row r="2947" customFormat="false" ht="16.5" hidden="false" customHeight="true" outlineLevel="0" collapsed="false">
      <c r="A2947" s="2" t="s">
        <v>416</v>
      </c>
      <c r="B2947" s="2" t="s">
        <v>446</v>
      </c>
      <c r="C2947" s="2" t="n">
        <v>2</v>
      </c>
      <c r="D2947" s="2" t="s">
        <v>584</v>
      </c>
      <c r="E2947" s="2" t="s">
        <v>5</v>
      </c>
      <c r="F2947" s="2" t="n">
        <v>385</v>
      </c>
      <c r="G2947" s="2" t="n">
        <v>26</v>
      </c>
    </row>
    <row r="2948" customFormat="false" ht="16.5" hidden="false" customHeight="true" outlineLevel="0" collapsed="false">
      <c r="A2948" s="2" t="s">
        <v>416</v>
      </c>
      <c r="B2948" s="2" t="s">
        <v>446</v>
      </c>
      <c r="C2948" s="2" t="n">
        <v>2</v>
      </c>
      <c r="D2948" s="2" t="s">
        <v>584</v>
      </c>
      <c r="E2948" s="2" t="s">
        <v>6</v>
      </c>
      <c r="F2948" s="2" t="n">
        <v>385</v>
      </c>
      <c r="G2948" s="2" t="n">
        <v>30</v>
      </c>
    </row>
    <row r="2949" customFormat="false" ht="16.5" hidden="false" customHeight="true" outlineLevel="0" collapsed="false">
      <c r="A2949" s="2" t="s">
        <v>416</v>
      </c>
      <c r="B2949" s="2" t="s">
        <v>446</v>
      </c>
      <c r="C2949" s="2" t="n">
        <v>2</v>
      </c>
      <c r="D2949" s="2" t="s">
        <v>584</v>
      </c>
      <c r="E2949" s="2" t="s">
        <v>7</v>
      </c>
      <c r="F2949" s="2" t="n">
        <v>385</v>
      </c>
      <c r="G2949" s="2" t="n">
        <v>34</v>
      </c>
    </row>
    <row r="2950" customFormat="false" ht="16.5" hidden="false" customHeight="true" outlineLevel="0" collapsed="false">
      <c r="A2950" s="2" t="s">
        <v>416</v>
      </c>
      <c r="B2950" s="2" t="s">
        <v>446</v>
      </c>
      <c r="C2950" s="2" t="n">
        <v>2</v>
      </c>
      <c r="D2950" s="2" t="s">
        <v>584</v>
      </c>
      <c r="E2950" s="2" t="s">
        <v>8</v>
      </c>
      <c r="F2950" s="2" t="n">
        <v>385</v>
      </c>
      <c r="G2950" s="2" t="n">
        <v>38</v>
      </c>
    </row>
    <row r="2951" customFormat="false" ht="16.5" hidden="false" customHeight="true" outlineLevel="0" collapsed="false">
      <c r="A2951" s="2" t="s">
        <v>416</v>
      </c>
      <c r="B2951" s="2" t="s">
        <v>446</v>
      </c>
      <c r="C2951" s="2" t="n">
        <v>2</v>
      </c>
      <c r="D2951" s="2" t="s">
        <v>584</v>
      </c>
      <c r="E2951" s="2" t="s">
        <v>9</v>
      </c>
      <c r="F2951" s="2" t="n">
        <v>385</v>
      </c>
      <c r="G2951" s="2" t="n">
        <v>42</v>
      </c>
    </row>
    <row r="2952" customFormat="false" ht="16.5" hidden="false" customHeight="true" outlineLevel="0" collapsed="false">
      <c r="A2952" s="2" t="s">
        <v>416</v>
      </c>
      <c r="B2952" s="2" t="s">
        <v>446</v>
      </c>
      <c r="C2952" s="2" t="n">
        <v>2</v>
      </c>
      <c r="D2952" s="2" t="s">
        <v>584</v>
      </c>
      <c r="E2952" s="2" t="s">
        <v>10</v>
      </c>
      <c r="F2952" s="2" t="n">
        <v>385</v>
      </c>
      <c r="G2952" s="2" t="n">
        <v>46</v>
      </c>
    </row>
    <row r="2953" customFormat="false" ht="16.5" hidden="false" customHeight="true" outlineLevel="0" collapsed="false">
      <c r="A2953" s="2" t="s">
        <v>416</v>
      </c>
      <c r="B2953" s="2" t="s">
        <v>446</v>
      </c>
      <c r="C2953" s="2" t="n">
        <v>2</v>
      </c>
      <c r="D2953" s="2" t="s">
        <v>584</v>
      </c>
      <c r="E2953" s="2" t="s">
        <v>11</v>
      </c>
      <c r="F2953" s="2" t="n">
        <v>385</v>
      </c>
      <c r="G2953" s="2" t="n">
        <v>50</v>
      </c>
    </row>
    <row r="2954" customFormat="false" ht="16.5" hidden="false" customHeight="true" outlineLevel="0" collapsed="false">
      <c r="A2954" s="2" t="s">
        <v>416</v>
      </c>
      <c r="B2954" s="2" t="s">
        <v>446</v>
      </c>
      <c r="C2954" s="2" t="n">
        <v>2</v>
      </c>
      <c r="D2954" s="2" t="s">
        <v>584</v>
      </c>
      <c r="E2954" s="2" t="s">
        <v>12</v>
      </c>
      <c r="F2954" s="2" t="n">
        <v>387</v>
      </c>
      <c r="G2954" s="2" t="n">
        <v>8</v>
      </c>
    </row>
    <row r="2955" customFormat="false" ht="16.5" hidden="false" customHeight="true" outlineLevel="0" collapsed="false">
      <c r="A2955" s="2" t="s">
        <v>416</v>
      </c>
      <c r="B2955" s="2" t="s">
        <v>446</v>
      </c>
      <c r="C2955" s="2" t="n">
        <v>2</v>
      </c>
      <c r="D2955" s="2" t="s">
        <v>584</v>
      </c>
      <c r="E2955" s="2" t="s">
        <v>13</v>
      </c>
      <c r="F2955" s="2" t="n">
        <v>387</v>
      </c>
      <c r="G2955" s="2" t="n">
        <v>12</v>
      </c>
    </row>
    <row r="2956" customFormat="false" ht="16.5" hidden="false" customHeight="true" outlineLevel="0" collapsed="false">
      <c r="A2956" s="2" t="s">
        <v>416</v>
      </c>
      <c r="B2956" s="2" t="s">
        <v>446</v>
      </c>
      <c r="C2956" s="2" t="n">
        <v>2</v>
      </c>
      <c r="D2956" s="2" t="s">
        <v>584</v>
      </c>
      <c r="E2956" s="2" t="s">
        <v>14</v>
      </c>
      <c r="F2956" s="2" t="n">
        <v>387</v>
      </c>
      <c r="G2956" s="2" t="n">
        <v>16</v>
      </c>
    </row>
    <row r="2957" customFormat="false" ht="16.5" hidden="false" customHeight="true" outlineLevel="0" collapsed="false">
      <c r="A2957" s="2" t="s">
        <v>416</v>
      </c>
      <c r="B2957" s="2" t="s">
        <v>446</v>
      </c>
      <c r="C2957" s="2" t="n">
        <v>2</v>
      </c>
      <c r="D2957" s="2" t="s">
        <v>584</v>
      </c>
      <c r="E2957" s="2" t="s">
        <v>15</v>
      </c>
      <c r="F2957" s="2" t="n">
        <v>387</v>
      </c>
      <c r="G2957" s="2" t="n">
        <v>20</v>
      </c>
    </row>
    <row r="2958" customFormat="false" ht="16.5" hidden="false" customHeight="true" outlineLevel="0" collapsed="false">
      <c r="A2958" s="2" t="s">
        <v>416</v>
      </c>
      <c r="B2958" s="2" t="s">
        <v>446</v>
      </c>
      <c r="C2958" s="2" t="n">
        <v>2</v>
      </c>
      <c r="D2958" s="2" t="s">
        <v>584</v>
      </c>
      <c r="E2958" s="2" t="s">
        <v>16</v>
      </c>
      <c r="F2958" s="2" t="n">
        <v>387</v>
      </c>
      <c r="G2958" s="2" t="n">
        <v>24</v>
      </c>
    </row>
    <row r="2959" customFormat="false" ht="16.5" hidden="false" customHeight="true" outlineLevel="0" collapsed="false">
      <c r="A2959" s="2" t="s">
        <v>416</v>
      </c>
      <c r="B2959" s="2" t="s">
        <v>446</v>
      </c>
      <c r="C2959" s="2" t="n">
        <v>2</v>
      </c>
      <c r="D2959" s="2" t="s">
        <v>584</v>
      </c>
      <c r="E2959" s="2" t="s">
        <v>17</v>
      </c>
      <c r="F2959" s="2" t="n">
        <v>387</v>
      </c>
      <c r="G2959" s="2" t="n">
        <v>28</v>
      </c>
    </row>
    <row r="2960" customFormat="false" ht="16.5" hidden="false" customHeight="true" outlineLevel="0" collapsed="false">
      <c r="A2960" s="2" t="s">
        <v>416</v>
      </c>
      <c r="B2960" s="2" t="s">
        <v>446</v>
      </c>
      <c r="C2960" s="2" t="n">
        <v>2</v>
      </c>
      <c r="D2960" s="2" t="s">
        <v>584</v>
      </c>
      <c r="E2960" s="2" t="s">
        <v>18</v>
      </c>
      <c r="F2960" s="2" t="n">
        <v>387</v>
      </c>
      <c r="G2960" s="2" t="n">
        <v>32</v>
      </c>
    </row>
    <row r="2961" customFormat="false" ht="16.5" hidden="false" customHeight="true" outlineLevel="0" collapsed="false">
      <c r="A2961" s="2" t="s">
        <v>416</v>
      </c>
      <c r="B2961" s="2" t="s">
        <v>446</v>
      </c>
      <c r="C2961" s="2" t="n">
        <v>2</v>
      </c>
      <c r="D2961" s="2" t="s">
        <v>584</v>
      </c>
      <c r="E2961" s="2" t="s">
        <v>19</v>
      </c>
      <c r="F2961" s="2" t="n">
        <v>387</v>
      </c>
      <c r="G2961" s="2" t="n">
        <v>36</v>
      </c>
    </row>
    <row r="2962" customFormat="false" ht="16.5" hidden="false" customHeight="true" outlineLevel="0" collapsed="false">
      <c r="A2962" s="2" t="s">
        <v>416</v>
      </c>
      <c r="B2962" s="2" t="s">
        <v>446</v>
      </c>
      <c r="C2962" s="2" t="n">
        <v>2</v>
      </c>
      <c r="D2962" s="2" t="s">
        <v>584</v>
      </c>
      <c r="E2962" s="2" t="s">
        <v>20</v>
      </c>
      <c r="F2962" s="2" t="n">
        <v>387</v>
      </c>
      <c r="G2962" s="2" t="n">
        <v>40</v>
      </c>
    </row>
    <row r="2963" customFormat="false" ht="16.5" hidden="false" customHeight="true" outlineLevel="0" collapsed="false">
      <c r="A2963" s="2" t="s">
        <v>416</v>
      </c>
      <c r="B2963" s="2" t="s">
        <v>446</v>
      </c>
      <c r="C2963" s="2" t="n">
        <v>2</v>
      </c>
      <c r="D2963" s="2" t="s">
        <v>584</v>
      </c>
      <c r="E2963" s="2" t="s">
        <v>21</v>
      </c>
      <c r="F2963" s="2" t="n">
        <v>387</v>
      </c>
      <c r="G2963" s="2" t="n">
        <v>44</v>
      </c>
    </row>
    <row r="2964" customFormat="false" ht="16.5" hidden="false" customHeight="true" outlineLevel="0" collapsed="false">
      <c r="A2964" s="2" t="s">
        <v>416</v>
      </c>
      <c r="B2964" s="2" t="s">
        <v>446</v>
      </c>
      <c r="C2964" s="2" t="n">
        <v>2</v>
      </c>
      <c r="D2964" s="2" t="s">
        <v>584</v>
      </c>
      <c r="E2964" s="2" t="s">
        <v>22</v>
      </c>
      <c r="F2964" s="2" t="n">
        <v>387</v>
      </c>
      <c r="G2964" s="2" t="n">
        <v>48</v>
      </c>
    </row>
    <row r="2965" customFormat="false" ht="16.5" hidden="false" customHeight="true" outlineLevel="0" collapsed="false">
      <c r="A2965" s="2" t="s">
        <v>416</v>
      </c>
      <c r="B2965" s="2" t="s">
        <v>446</v>
      </c>
      <c r="C2965" s="2" t="n">
        <v>2</v>
      </c>
      <c r="D2965" s="2" t="s">
        <v>584</v>
      </c>
      <c r="E2965" s="2" t="s">
        <v>23</v>
      </c>
      <c r="F2965" s="2" t="n">
        <v>387</v>
      </c>
      <c r="G2965" s="2" t="n">
        <v>52</v>
      </c>
    </row>
    <row r="2966" customFormat="false" ht="16.5" hidden="false" customHeight="true" outlineLevel="0" collapsed="false">
      <c r="A2966" s="2" t="s">
        <v>416</v>
      </c>
      <c r="B2966" s="2" t="s">
        <v>446</v>
      </c>
      <c r="C2966" s="2" t="n">
        <v>2</v>
      </c>
      <c r="D2966" s="2" t="s">
        <v>584</v>
      </c>
      <c r="E2966" s="2" t="s">
        <v>24</v>
      </c>
      <c r="F2966" s="2" t="n">
        <v>389</v>
      </c>
      <c r="G2966" s="2" t="n">
        <v>9</v>
      </c>
    </row>
    <row r="2967" customFormat="false" ht="16.5" hidden="false" customHeight="true" outlineLevel="0" collapsed="false">
      <c r="A2967" s="2" t="s">
        <v>416</v>
      </c>
      <c r="B2967" s="2" t="s">
        <v>446</v>
      </c>
      <c r="C2967" s="2" t="n">
        <v>2</v>
      </c>
      <c r="D2967" s="2" t="s">
        <v>584</v>
      </c>
      <c r="E2967" s="2" t="s">
        <v>25</v>
      </c>
      <c r="F2967" s="2" t="n">
        <v>389</v>
      </c>
      <c r="G2967" s="2" t="n">
        <v>13</v>
      </c>
    </row>
    <row r="2968" customFormat="false" ht="16.5" hidden="false" customHeight="true" outlineLevel="0" collapsed="false">
      <c r="A2968" s="2" t="s">
        <v>416</v>
      </c>
      <c r="B2968" s="2" t="s">
        <v>446</v>
      </c>
      <c r="C2968" s="2" t="n">
        <v>2</v>
      </c>
      <c r="D2968" s="2" t="s">
        <v>584</v>
      </c>
      <c r="E2968" s="2" t="s">
        <v>26</v>
      </c>
      <c r="F2968" s="2" t="n">
        <v>389</v>
      </c>
      <c r="G2968" s="2" t="n">
        <v>17</v>
      </c>
    </row>
    <row r="2969" customFormat="false" ht="16.5" hidden="false" customHeight="true" outlineLevel="0" collapsed="false">
      <c r="A2969" s="2" t="s">
        <v>416</v>
      </c>
      <c r="B2969" s="2" t="s">
        <v>446</v>
      </c>
      <c r="C2969" s="2" t="n">
        <v>2</v>
      </c>
      <c r="D2969" s="2" t="s">
        <v>584</v>
      </c>
      <c r="E2969" s="2" t="s">
        <v>27</v>
      </c>
      <c r="F2969" s="2" t="n">
        <v>389</v>
      </c>
      <c r="G2969" s="2" t="n">
        <v>21</v>
      </c>
    </row>
    <row r="2970" customFormat="false" ht="16.5" hidden="false" customHeight="true" outlineLevel="0" collapsed="false">
      <c r="A2970" s="2" t="s">
        <v>416</v>
      </c>
      <c r="B2970" s="2" t="s">
        <v>446</v>
      </c>
      <c r="C2970" s="2" t="n">
        <v>2</v>
      </c>
      <c r="D2970" s="2" t="s">
        <v>584</v>
      </c>
      <c r="E2970" s="2" t="s">
        <v>28</v>
      </c>
      <c r="F2970" s="2" t="n">
        <v>389</v>
      </c>
      <c r="G2970" s="2" t="n">
        <v>25</v>
      </c>
    </row>
    <row r="2971" customFormat="false" ht="16.5" hidden="false" customHeight="true" outlineLevel="0" collapsed="false">
      <c r="A2971" s="2" t="s">
        <v>416</v>
      </c>
      <c r="B2971" s="2" t="s">
        <v>446</v>
      </c>
      <c r="C2971" s="2" t="n">
        <v>2</v>
      </c>
      <c r="D2971" s="2" t="s">
        <v>584</v>
      </c>
      <c r="E2971" s="2" t="s">
        <v>29</v>
      </c>
      <c r="F2971" s="2" t="n">
        <v>389</v>
      </c>
      <c r="G2971" s="2" t="n">
        <v>29</v>
      </c>
    </row>
    <row r="2972" customFormat="false" ht="16.5" hidden="false" customHeight="true" outlineLevel="0" collapsed="false">
      <c r="A2972" s="2" t="s">
        <v>416</v>
      </c>
      <c r="B2972" s="2" t="s">
        <v>446</v>
      </c>
      <c r="C2972" s="2" t="n">
        <v>2</v>
      </c>
      <c r="D2972" s="2" t="s">
        <v>584</v>
      </c>
      <c r="E2972" s="2" t="s">
        <v>30</v>
      </c>
      <c r="F2972" s="2" t="n">
        <v>389</v>
      </c>
      <c r="G2972" s="2" t="n">
        <v>33</v>
      </c>
    </row>
    <row r="2973" customFormat="false" ht="16.5" hidden="false" customHeight="true" outlineLevel="0" collapsed="false">
      <c r="A2973" s="2" t="s">
        <v>416</v>
      </c>
      <c r="B2973" s="2" t="s">
        <v>446</v>
      </c>
      <c r="C2973" s="2" t="n">
        <v>2</v>
      </c>
      <c r="D2973" s="2" t="s">
        <v>584</v>
      </c>
      <c r="E2973" s="2" t="s">
        <v>31</v>
      </c>
      <c r="F2973" s="2" t="n">
        <v>389</v>
      </c>
      <c r="G2973" s="2" t="n">
        <v>37</v>
      </c>
    </row>
    <row r="2974" customFormat="false" ht="16.5" hidden="false" customHeight="true" outlineLevel="0" collapsed="false">
      <c r="A2974" s="2" t="s">
        <v>416</v>
      </c>
      <c r="B2974" s="2" t="s">
        <v>446</v>
      </c>
      <c r="C2974" s="2" t="n">
        <v>2</v>
      </c>
      <c r="D2974" s="2" t="s">
        <v>584</v>
      </c>
      <c r="E2974" s="2" t="s">
        <v>32</v>
      </c>
      <c r="F2974" s="2" t="n">
        <v>389</v>
      </c>
      <c r="G2974" s="2" t="n">
        <v>41</v>
      </c>
    </row>
    <row r="2975" customFormat="false" ht="16.5" hidden="false" customHeight="true" outlineLevel="0" collapsed="false">
      <c r="A2975" s="2" t="s">
        <v>416</v>
      </c>
      <c r="B2975" s="2" t="s">
        <v>446</v>
      </c>
      <c r="C2975" s="2" t="n">
        <v>2</v>
      </c>
      <c r="D2975" s="2" t="s">
        <v>584</v>
      </c>
      <c r="E2975" s="2" t="s">
        <v>33</v>
      </c>
      <c r="F2975" s="2" t="n">
        <v>389</v>
      </c>
      <c r="G2975" s="2" t="n">
        <v>45</v>
      </c>
    </row>
    <row r="2976" customFormat="false" ht="16.5" hidden="false" customHeight="true" outlineLevel="0" collapsed="false">
      <c r="A2976" s="2" t="s">
        <v>416</v>
      </c>
      <c r="B2976" s="2" t="s">
        <v>446</v>
      </c>
      <c r="C2976" s="2" t="n">
        <v>2</v>
      </c>
      <c r="D2976" s="2" t="s">
        <v>584</v>
      </c>
      <c r="E2976" s="2" t="s">
        <v>34</v>
      </c>
      <c r="F2976" s="2" t="n">
        <v>389</v>
      </c>
      <c r="G2976" s="2" t="n">
        <v>49</v>
      </c>
    </row>
    <row r="2977" customFormat="false" ht="16.5" hidden="false" customHeight="true" outlineLevel="0" collapsed="false">
      <c r="A2977" s="2" t="s">
        <v>416</v>
      </c>
      <c r="B2977" s="2" t="s">
        <v>446</v>
      </c>
      <c r="C2977" s="2" t="n">
        <v>2</v>
      </c>
      <c r="D2977" s="2" t="s">
        <v>584</v>
      </c>
      <c r="E2977" s="2" t="s">
        <v>35</v>
      </c>
      <c r="F2977" s="2" t="n">
        <v>391</v>
      </c>
      <c r="G2977" s="2" t="n">
        <v>11</v>
      </c>
    </row>
    <row r="2978" customFormat="false" ht="16.5" hidden="false" customHeight="true" outlineLevel="0" collapsed="false">
      <c r="A2978" s="2" t="s">
        <v>416</v>
      </c>
      <c r="B2978" s="2" t="s">
        <v>446</v>
      </c>
      <c r="C2978" s="2" t="n">
        <v>2</v>
      </c>
      <c r="D2978" s="2" t="s">
        <v>584</v>
      </c>
      <c r="E2978" s="2" t="s">
        <v>36</v>
      </c>
      <c r="F2978" s="2" t="n">
        <v>391</v>
      </c>
      <c r="G2978" s="2" t="n">
        <v>15</v>
      </c>
    </row>
    <row r="2979" customFormat="false" ht="16.5" hidden="false" customHeight="true" outlineLevel="0" collapsed="false">
      <c r="A2979" s="2" t="s">
        <v>416</v>
      </c>
      <c r="B2979" s="2" t="s">
        <v>446</v>
      </c>
      <c r="C2979" s="2" t="n">
        <v>2</v>
      </c>
      <c r="D2979" s="2" t="s">
        <v>584</v>
      </c>
      <c r="E2979" s="2" t="s">
        <v>37</v>
      </c>
      <c r="F2979" s="2" t="n">
        <v>391</v>
      </c>
      <c r="G2979" s="2" t="n">
        <v>19</v>
      </c>
    </row>
    <row r="2980" customFormat="false" ht="16.5" hidden="false" customHeight="true" outlineLevel="0" collapsed="false">
      <c r="A2980" s="2" t="s">
        <v>416</v>
      </c>
      <c r="B2980" s="2" t="s">
        <v>446</v>
      </c>
      <c r="C2980" s="2" t="n">
        <v>2</v>
      </c>
      <c r="D2980" s="2" t="s">
        <v>584</v>
      </c>
      <c r="E2980" s="2" t="s">
        <v>38</v>
      </c>
      <c r="F2980" s="2" t="n">
        <v>391</v>
      </c>
      <c r="G2980" s="2" t="n">
        <v>23</v>
      </c>
    </row>
    <row r="2981" customFormat="false" ht="16.5" hidden="false" customHeight="true" outlineLevel="0" collapsed="false">
      <c r="A2981" s="2" t="s">
        <v>416</v>
      </c>
      <c r="B2981" s="2" t="s">
        <v>446</v>
      </c>
      <c r="C2981" s="2" t="n">
        <v>2</v>
      </c>
      <c r="D2981" s="2" t="s">
        <v>584</v>
      </c>
      <c r="E2981" s="2" t="s">
        <v>39</v>
      </c>
      <c r="F2981" s="2" t="n">
        <v>391</v>
      </c>
      <c r="G2981" s="2" t="n">
        <v>27</v>
      </c>
    </row>
    <row r="2982" customFormat="false" ht="16.5" hidden="false" customHeight="true" outlineLevel="0" collapsed="false">
      <c r="A2982" s="2" t="s">
        <v>416</v>
      </c>
      <c r="B2982" s="2" t="s">
        <v>446</v>
      </c>
      <c r="C2982" s="2" t="n">
        <v>2</v>
      </c>
      <c r="D2982" s="2" t="s">
        <v>584</v>
      </c>
      <c r="E2982" s="2" t="s">
        <v>40</v>
      </c>
      <c r="F2982" s="2" t="n">
        <v>391</v>
      </c>
      <c r="G2982" s="2" t="n">
        <v>31</v>
      </c>
    </row>
    <row r="2983" customFormat="false" ht="16.5" hidden="false" customHeight="true" outlineLevel="0" collapsed="false">
      <c r="A2983" s="2" t="s">
        <v>416</v>
      </c>
      <c r="B2983" s="2" t="s">
        <v>446</v>
      </c>
      <c r="C2983" s="2" t="n">
        <v>2</v>
      </c>
      <c r="D2983" s="2" t="s">
        <v>584</v>
      </c>
      <c r="E2983" s="2" t="s">
        <v>41</v>
      </c>
      <c r="F2983" s="2" t="n">
        <v>391</v>
      </c>
      <c r="G2983" s="2" t="n">
        <v>35</v>
      </c>
    </row>
    <row r="2984" customFormat="false" ht="16.5" hidden="false" customHeight="true" outlineLevel="0" collapsed="false">
      <c r="A2984" s="2" t="s">
        <v>416</v>
      </c>
      <c r="B2984" s="2" t="s">
        <v>446</v>
      </c>
      <c r="C2984" s="2" t="n">
        <v>2</v>
      </c>
      <c r="D2984" s="2" t="s">
        <v>584</v>
      </c>
      <c r="E2984" s="2" t="s">
        <v>42</v>
      </c>
      <c r="F2984" s="2" t="n">
        <v>391</v>
      </c>
      <c r="G2984" s="2" t="n">
        <v>39</v>
      </c>
    </row>
    <row r="2985" customFormat="false" ht="16.5" hidden="false" customHeight="true" outlineLevel="0" collapsed="false">
      <c r="A2985" s="2" t="s">
        <v>416</v>
      </c>
      <c r="B2985" s="2" t="s">
        <v>446</v>
      </c>
      <c r="C2985" s="2" t="n">
        <v>2</v>
      </c>
      <c r="D2985" s="2" t="s">
        <v>584</v>
      </c>
      <c r="E2985" s="2" t="s">
        <v>43</v>
      </c>
      <c r="F2985" s="2" t="n">
        <v>391</v>
      </c>
      <c r="G2985" s="2" t="n">
        <v>43</v>
      </c>
    </row>
    <row r="2986" customFormat="false" ht="16.5" hidden="false" customHeight="true" outlineLevel="0" collapsed="false">
      <c r="A2986" s="2" t="s">
        <v>416</v>
      </c>
      <c r="B2986" s="2" t="s">
        <v>446</v>
      </c>
      <c r="C2986" s="2" t="n">
        <v>2</v>
      </c>
      <c r="D2986" s="2" t="s">
        <v>584</v>
      </c>
      <c r="E2986" s="2" t="s">
        <v>44</v>
      </c>
      <c r="F2986" s="2" t="n">
        <v>391</v>
      </c>
      <c r="G2986" s="2" t="n">
        <v>47</v>
      </c>
    </row>
    <row r="2987" customFormat="false" ht="16.5" hidden="false" customHeight="true" outlineLevel="0" collapsed="false">
      <c r="A2987" s="2" t="s">
        <v>416</v>
      </c>
      <c r="B2987" s="2" t="s">
        <v>446</v>
      </c>
      <c r="C2987" s="2" t="n">
        <v>2</v>
      </c>
      <c r="D2987" s="2" t="s">
        <v>584</v>
      </c>
      <c r="E2987" s="2" t="s">
        <v>48</v>
      </c>
      <c r="F2987" s="2" t="n">
        <v>393</v>
      </c>
      <c r="G2987" s="2" t="n">
        <v>16</v>
      </c>
    </row>
    <row r="2988" customFormat="false" ht="16.5" hidden="false" customHeight="true" outlineLevel="0" collapsed="false">
      <c r="A2988" s="2" t="s">
        <v>416</v>
      </c>
      <c r="B2988" s="2" t="s">
        <v>446</v>
      </c>
      <c r="C2988" s="2" t="n">
        <v>2</v>
      </c>
      <c r="D2988" s="2" t="s">
        <v>584</v>
      </c>
      <c r="E2988" s="2" t="s">
        <v>50</v>
      </c>
      <c r="F2988" s="2" t="n">
        <v>393</v>
      </c>
      <c r="G2988" s="2" t="n">
        <v>20</v>
      </c>
    </row>
    <row r="2989" customFormat="false" ht="16.5" hidden="false" customHeight="true" outlineLevel="0" collapsed="false">
      <c r="A2989" s="2" t="s">
        <v>416</v>
      </c>
      <c r="B2989" s="2" t="s">
        <v>446</v>
      </c>
      <c r="C2989" s="2" t="n">
        <v>2</v>
      </c>
      <c r="D2989" s="2" t="s">
        <v>584</v>
      </c>
      <c r="E2989" s="2" t="s">
        <v>45</v>
      </c>
      <c r="F2989" s="2" t="n">
        <v>393</v>
      </c>
      <c r="G2989" s="2" t="n">
        <v>38</v>
      </c>
    </row>
    <row r="2990" customFormat="false" ht="16.5" hidden="false" customHeight="true" outlineLevel="0" collapsed="false">
      <c r="A2990" s="2" t="s">
        <v>416</v>
      </c>
      <c r="B2990" s="2" t="s">
        <v>446</v>
      </c>
      <c r="C2990" s="2" t="n">
        <v>2</v>
      </c>
      <c r="D2990" s="2" t="s">
        <v>584</v>
      </c>
      <c r="E2990" s="2" t="s">
        <v>46</v>
      </c>
      <c r="F2990" s="2" t="n">
        <v>393</v>
      </c>
      <c r="G2990" s="2" t="n">
        <v>42</v>
      </c>
    </row>
    <row r="2991" customFormat="false" ht="16.5" hidden="false" customHeight="true" outlineLevel="0" collapsed="false">
      <c r="A2991" s="2" t="s">
        <v>447</v>
      </c>
      <c r="B2991" s="2" t="s">
        <v>448</v>
      </c>
      <c r="C2991" s="2" t="n">
        <v>3</v>
      </c>
      <c r="D2991" s="2" t="s">
        <v>585</v>
      </c>
      <c r="E2991" s="2" t="s">
        <v>0</v>
      </c>
      <c r="F2991" s="2" t="n">
        <v>8</v>
      </c>
      <c r="G2991" s="2" t="n">
        <v>6</v>
      </c>
    </row>
    <row r="2992" customFormat="false" ht="16.5" hidden="false" customHeight="true" outlineLevel="0" collapsed="false">
      <c r="A2992" s="2" t="s">
        <v>447</v>
      </c>
      <c r="B2992" s="2" t="s">
        <v>448</v>
      </c>
      <c r="C2992" s="2" t="n">
        <v>3</v>
      </c>
      <c r="D2992" s="2" t="s">
        <v>585</v>
      </c>
      <c r="E2992" s="2" t="s">
        <v>1</v>
      </c>
      <c r="F2992" s="2" t="n">
        <v>8</v>
      </c>
      <c r="G2992" s="2" t="n">
        <v>10</v>
      </c>
    </row>
    <row r="2993" customFormat="false" ht="16.5" hidden="false" customHeight="true" outlineLevel="0" collapsed="false">
      <c r="A2993" s="2" t="s">
        <v>447</v>
      </c>
      <c r="B2993" s="2" t="s">
        <v>448</v>
      </c>
      <c r="C2993" s="2" t="n">
        <v>3</v>
      </c>
      <c r="D2993" s="2" t="s">
        <v>585</v>
      </c>
      <c r="E2993" s="2" t="s">
        <v>2</v>
      </c>
      <c r="F2993" s="2" t="n">
        <v>8</v>
      </c>
      <c r="G2993" s="2" t="n">
        <v>14</v>
      </c>
    </row>
    <row r="2994" customFormat="false" ht="16.5" hidden="false" customHeight="true" outlineLevel="0" collapsed="false">
      <c r="A2994" s="2" t="s">
        <v>447</v>
      </c>
      <c r="B2994" s="2" t="s">
        <v>448</v>
      </c>
      <c r="C2994" s="2" t="n">
        <v>3</v>
      </c>
      <c r="D2994" s="2" t="s">
        <v>585</v>
      </c>
      <c r="E2994" s="2" t="s">
        <v>3</v>
      </c>
      <c r="F2994" s="2" t="n">
        <v>8</v>
      </c>
      <c r="G2994" s="2" t="n">
        <v>18</v>
      </c>
    </row>
    <row r="2995" customFormat="false" ht="16.5" hidden="false" customHeight="true" outlineLevel="0" collapsed="false">
      <c r="A2995" s="2" t="s">
        <v>447</v>
      </c>
      <c r="B2995" s="2" t="s">
        <v>448</v>
      </c>
      <c r="C2995" s="2" t="n">
        <v>3</v>
      </c>
      <c r="D2995" s="2" t="s">
        <v>585</v>
      </c>
      <c r="E2995" s="2" t="s">
        <v>4</v>
      </c>
      <c r="F2995" s="2" t="n">
        <v>8</v>
      </c>
      <c r="G2995" s="2" t="n">
        <v>22</v>
      </c>
    </row>
    <row r="2996" customFormat="false" ht="16.5" hidden="false" customHeight="true" outlineLevel="0" collapsed="false">
      <c r="A2996" s="2" t="s">
        <v>447</v>
      </c>
      <c r="B2996" s="2" t="s">
        <v>448</v>
      </c>
      <c r="C2996" s="2" t="n">
        <v>3</v>
      </c>
      <c r="D2996" s="2" t="s">
        <v>585</v>
      </c>
      <c r="E2996" s="2" t="s">
        <v>5</v>
      </c>
      <c r="F2996" s="2" t="n">
        <v>8</v>
      </c>
      <c r="G2996" s="2" t="n">
        <v>26</v>
      </c>
    </row>
    <row r="2997" customFormat="false" ht="16.5" hidden="false" customHeight="true" outlineLevel="0" collapsed="false">
      <c r="A2997" s="2" t="s">
        <v>447</v>
      </c>
      <c r="B2997" s="2" t="s">
        <v>448</v>
      </c>
      <c r="C2997" s="2" t="n">
        <v>3</v>
      </c>
      <c r="D2997" s="2" t="s">
        <v>585</v>
      </c>
      <c r="E2997" s="2" t="s">
        <v>6</v>
      </c>
      <c r="F2997" s="2" t="n">
        <v>8</v>
      </c>
      <c r="G2997" s="2" t="n">
        <v>30</v>
      </c>
    </row>
    <row r="2998" customFormat="false" ht="16.5" hidden="false" customHeight="true" outlineLevel="0" collapsed="false">
      <c r="A2998" s="2" t="s">
        <v>447</v>
      </c>
      <c r="B2998" s="2" t="s">
        <v>448</v>
      </c>
      <c r="C2998" s="2" t="n">
        <v>3</v>
      </c>
      <c r="D2998" s="2" t="s">
        <v>585</v>
      </c>
      <c r="E2998" s="2" t="s">
        <v>7</v>
      </c>
      <c r="F2998" s="2" t="n">
        <v>8</v>
      </c>
      <c r="G2998" s="2" t="n">
        <v>34</v>
      </c>
    </row>
    <row r="2999" customFormat="false" ht="16.5" hidden="false" customHeight="true" outlineLevel="0" collapsed="false">
      <c r="A2999" s="2" t="s">
        <v>447</v>
      </c>
      <c r="B2999" s="2" t="s">
        <v>448</v>
      </c>
      <c r="C2999" s="2" t="n">
        <v>3</v>
      </c>
      <c r="D2999" s="2" t="s">
        <v>585</v>
      </c>
      <c r="E2999" s="2" t="s">
        <v>8</v>
      </c>
      <c r="F2999" s="2" t="n">
        <v>8</v>
      </c>
      <c r="G2999" s="2" t="n">
        <v>38</v>
      </c>
    </row>
    <row r="3000" customFormat="false" ht="16.5" hidden="false" customHeight="true" outlineLevel="0" collapsed="false">
      <c r="A3000" s="2" t="s">
        <v>447</v>
      </c>
      <c r="B3000" s="2" t="s">
        <v>448</v>
      </c>
      <c r="C3000" s="2" t="n">
        <v>3</v>
      </c>
      <c r="D3000" s="2" t="s">
        <v>585</v>
      </c>
      <c r="E3000" s="2" t="s">
        <v>9</v>
      </c>
      <c r="F3000" s="2" t="n">
        <v>8</v>
      </c>
      <c r="G3000" s="2" t="n">
        <v>42</v>
      </c>
    </row>
    <row r="3001" customFormat="false" ht="16.5" hidden="false" customHeight="true" outlineLevel="0" collapsed="false">
      <c r="A3001" s="2" t="s">
        <v>447</v>
      </c>
      <c r="B3001" s="2" t="s">
        <v>448</v>
      </c>
      <c r="C3001" s="2" t="n">
        <v>3</v>
      </c>
      <c r="D3001" s="2" t="s">
        <v>585</v>
      </c>
      <c r="E3001" s="2" t="s">
        <v>10</v>
      </c>
      <c r="F3001" s="2" t="n">
        <v>8</v>
      </c>
      <c r="G3001" s="2" t="n">
        <v>46</v>
      </c>
    </row>
    <row r="3002" customFormat="false" ht="16.5" hidden="false" customHeight="true" outlineLevel="0" collapsed="false">
      <c r="A3002" s="2" t="s">
        <v>447</v>
      </c>
      <c r="B3002" s="2" t="s">
        <v>448</v>
      </c>
      <c r="C3002" s="2" t="n">
        <v>3</v>
      </c>
      <c r="D3002" s="2" t="s">
        <v>585</v>
      </c>
      <c r="E3002" s="2" t="s">
        <v>11</v>
      </c>
      <c r="F3002" s="2" t="n">
        <v>8</v>
      </c>
      <c r="G3002" s="2" t="n">
        <v>50</v>
      </c>
    </row>
    <row r="3003" customFormat="false" ht="16.5" hidden="false" customHeight="true" outlineLevel="0" collapsed="false">
      <c r="A3003" s="2" t="s">
        <v>447</v>
      </c>
      <c r="B3003" s="2" t="s">
        <v>448</v>
      </c>
      <c r="C3003" s="2" t="n">
        <v>3</v>
      </c>
      <c r="D3003" s="2" t="s">
        <v>585</v>
      </c>
      <c r="E3003" s="2" t="s">
        <v>12</v>
      </c>
      <c r="F3003" s="2" t="n">
        <v>10</v>
      </c>
      <c r="G3003" s="2" t="n">
        <v>8</v>
      </c>
    </row>
    <row r="3004" customFormat="false" ht="16.5" hidden="false" customHeight="true" outlineLevel="0" collapsed="false">
      <c r="A3004" s="2" t="s">
        <v>447</v>
      </c>
      <c r="B3004" s="2" t="s">
        <v>448</v>
      </c>
      <c r="C3004" s="2" t="n">
        <v>3</v>
      </c>
      <c r="D3004" s="2" t="s">
        <v>585</v>
      </c>
      <c r="E3004" s="2" t="s">
        <v>13</v>
      </c>
      <c r="F3004" s="2" t="n">
        <v>10</v>
      </c>
      <c r="G3004" s="2" t="n">
        <v>12</v>
      </c>
    </row>
    <row r="3005" customFormat="false" ht="16.5" hidden="false" customHeight="true" outlineLevel="0" collapsed="false">
      <c r="A3005" s="2" t="s">
        <v>447</v>
      </c>
      <c r="B3005" s="2" t="s">
        <v>448</v>
      </c>
      <c r="C3005" s="2" t="n">
        <v>3</v>
      </c>
      <c r="D3005" s="2" t="s">
        <v>585</v>
      </c>
      <c r="E3005" s="2" t="s">
        <v>14</v>
      </c>
      <c r="F3005" s="2" t="n">
        <v>10</v>
      </c>
      <c r="G3005" s="2" t="n">
        <v>16</v>
      </c>
    </row>
    <row r="3006" customFormat="false" ht="16.5" hidden="false" customHeight="true" outlineLevel="0" collapsed="false">
      <c r="A3006" s="2" t="s">
        <v>447</v>
      </c>
      <c r="B3006" s="2" t="s">
        <v>448</v>
      </c>
      <c r="C3006" s="2" t="n">
        <v>3</v>
      </c>
      <c r="D3006" s="2" t="s">
        <v>585</v>
      </c>
      <c r="E3006" s="2" t="s">
        <v>15</v>
      </c>
      <c r="F3006" s="2" t="n">
        <v>10</v>
      </c>
      <c r="G3006" s="2" t="n">
        <v>20</v>
      </c>
    </row>
    <row r="3007" customFormat="false" ht="16.5" hidden="false" customHeight="true" outlineLevel="0" collapsed="false">
      <c r="A3007" s="2" t="s">
        <v>447</v>
      </c>
      <c r="B3007" s="2" t="s">
        <v>448</v>
      </c>
      <c r="C3007" s="2" t="n">
        <v>3</v>
      </c>
      <c r="D3007" s="2" t="s">
        <v>585</v>
      </c>
      <c r="E3007" s="2" t="s">
        <v>16</v>
      </c>
      <c r="F3007" s="2" t="n">
        <v>10</v>
      </c>
      <c r="G3007" s="2" t="n">
        <v>24</v>
      </c>
    </row>
    <row r="3008" customFormat="false" ht="16.5" hidden="false" customHeight="true" outlineLevel="0" collapsed="false">
      <c r="A3008" s="2" t="s">
        <v>447</v>
      </c>
      <c r="B3008" s="2" t="s">
        <v>448</v>
      </c>
      <c r="C3008" s="2" t="n">
        <v>3</v>
      </c>
      <c r="D3008" s="2" t="s">
        <v>585</v>
      </c>
      <c r="E3008" s="2" t="s">
        <v>17</v>
      </c>
      <c r="F3008" s="2" t="n">
        <v>10</v>
      </c>
      <c r="G3008" s="2" t="n">
        <v>28</v>
      </c>
    </row>
    <row r="3009" customFormat="false" ht="16.5" hidden="false" customHeight="true" outlineLevel="0" collapsed="false">
      <c r="A3009" s="2" t="s">
        <v>447</v>
      </c>
      <c r="B3009" s="2" t="s">
        <v>448</v>
      </c>
      <c r="C3009" s="2" t="n">
        <v>3</v>
      </c>
      <c r="D3009" s="2" t="s">
        <v>585</v>
      </c>
      <c r="E3009" s="2" t="s">
        <v>18</v>
      </c>
      <c r="F3009" s="2" t="n">
        <v>10</v>
      </c>
      <c r="G3009" s="2" t="n">
        <v>32</v>
      </c>
    </row>
    <row r="3010" customFormat="false" ht="16.5" hidden="false" customHeight="true" outlineLevel="0" collapsed="false">
      <c r="A3010" s="2" t="s">
        <v>447</v>
      </c>
      <c r="B3010" s="2" t="s">
        <v>448</v>
      </c>
      <c r="C3010" s="2" t="n">
        <v>3</v>
      </c>
      <c r="D3010" s="2" t="s">
        <v>585</v>
      </c>
      <c r="E3010" s="2" t="s">
        <v>19</v>
      </c>
      <c r="F3010" s="2" t="n">
        <v>10</v>
      </c>
      <c r="G3010" s="2" t="n">
        <v>36</v>
      </c>
    </row>
    <row r="3011" customFormat="false" ht="16.5" hidden="false" customHeight="true" outlineLevel="0" collapsed="false">
      <c r="A3011" s="2" t="s">
        <v>447</v>
      </c>
      <c r="B3011" s="2" t="s">
        <v>448</v>
      </c>
      <c r="C3011" s="2" t="n">
        <v>3</v>
      </c>
      <c r="D3011" s="2" t="s">
        <v>585</v>
      </c>
      <c r="E3011" s="2" t="s">
        <v>20</v>
      </c>
      <c r="F3011" s="2" t="n">
        <v>10</v>
      </c>
      <c r="G3011" s="2" t="n">
        <v>40</v>
      </c>
    </row>
    <row r="3012" customFormat="false" ht="16.5" hidden="false" customHeight="true" outlineLevel="0" collapsed="false">
      <c r="A3012" s="2" t="s">
        <v>447</v>
      </c>
      <c r="B3012" s="2" t="s">
        <v>448</v>
      </c>
      <c r="C3012" s="2" t="n">
        <v>3</v>
      </c>
      <c r="D3012" s="2" t="s">
        <v>585</v>
      </c>
      <c r="E3012" s="2" t="s">
        <v>21</v>
      </c>
      <c r="F3012" s="2" t="n">
        <v>10</v>
      </c>
      <c r="G3012" s="2" t="n">
        <v>44</v>
      </c>
    </row>
    <row r="3013" customFormat="false" ht="16.5" hidden="false" customHeight="true" outlineLevel="0" collapsed="false">
      <c r="A3013" s="2" t="s">
        <v>447</v>
      </c>
      <c r="B3013" s="2" t="s">
        <v>448</v>
      </c>
      <c r="C3013" s="2" t="n">
        <v>3</v>
      </c>
      <c r="D3013" s="2" t="s">
        <v>585</v>
      </c>
      <c r="E3013" s="2" t="s">
        <v>22</v>
      </c>
      <c r="F3013" s="2" t="n">
        <v>10</v>
      </c>
      <c r="G3013" s="2" t="n">
        <v>48</v>
      </c>
    </row>
    <row r="3014" customFormat="false" ht="16.5" hidden="false" customHeight="true" outlineLevel="0" collapsed="false">
      <c r="A3014" s="2" t="s">
        <v>447</v>
      </c>
      <c r="B3014" s="2" t="s">
        <v>448</v>
      </c>
      <c r="C3014" s="2" t="n">
        <v>3</v>
      </c>
      <c r="D3014" s="2" t="s">
        <v>585</v>
      </c>
      <c r="E3014" s="2" t="s">
        <v>23</v>
      </c>
      <c r="F3014" s="2" t="n">
        <v>10</v>
      </c>
      <c r="G3014" s="2" t="n">
        <v>52</v>
      </c>
    </row>
    <row r="3015" customFormat="false" ht="16.5" hidden="false" customHeight="true" outlineLevel="0" collapsed="false">
      <c r="A3015" s="2" t="s">
        <v>447</v>
      </c>
      <c r="B3015" s="2" t="s">
        <v>448</v>
      </c>
      <c r="C3015" s="2" t="n">
        <v>3</v>
      </c>
      <c r="D3015" s="2" t="s">
        <v>585</v>
      </c>
      <c r="E3015" s="2" t="s">
        <v>24</v>
      </c>
      <c r="F3015" s="2" t="n">
        <v>12</v>
      </c>
      <c r="G3015" s="2" t="n">
        <v>9</v>
      </c>
    </row>
    <row r="3016" customFormat="false" ht="16.5" hidden="false" customHeight="true" outlineLevel="0" collapsed="false">
      <c r="A3016" s="2" t="s">
        <v>447</v>
      </c>
      <c r="B3016" s="2" t="s">
        <v>448</v>
      </c>
      <c r="C3016" s="2" t="n">
        <v>3</v>
      </c>
      <c r="D3016" s="2" t="s">
        <v>585</v>
      </c>
      <c r="E3016" s="2" t="s">
        <v>25</v>
      </c>
      <c r="F3016" s="2" t="n">
        <v>12</v>
      </c>
      <c r="G3016" s="2" t="n">
        <v>13</v>
      </c>
    </row>
    <row r="3017" customFormat="false" ht="16.5" hidden="false" customHeight="true" outlineLevel="0" collapsed="false">
      <c r="A3017" s="2" t="s">
        <v>447</v>
      </c>
      <c r="B3017" s="2" t="s">
        <v>448</v>
      </c>
      <c r="C3017" s="2" t="n">
        <v>3</v>
      </c>
      <c r="D3017" s="2" t="s">
        <v>585</v>
      </c>
      <c r="E3017" s="2" t="s">
        <v>26</v>
      </c>
      <c r="F3017" s="2" t="n">
        <v>12</v>
      </c>
      <c r="G3017" s="2" t="n">
        <v>17</v>
      </c>
    </row>
    <row r="3018" customFormat="false" ht="16.5" hidden="false" customHeight="true" outlineLevel="0" collapsed="false">
      <c r="A3018" s="2" t="s">
        <v>447</v>
      </c>
      <c r="B3018" s="2" t="s">
        <v>448</v>
      </c>
      <c r="C3018" s="2" t="n">
        <v>3</v>
      </c>
      <c r="D3018" s="2" t="s">
        <v>585</v>
      </c>
      <c r="E3018" s="2" t="s">
        <v>27</v>
      </c>
      <c r="F3018" s="2" t="n">
        <v>12</v>
      </c>
      <c r="G3018" s="2" t="n">
        <v>21</v>
      </c>
    </row>
    <row r="3019" customFormat="false" ht="16.5" hidden="false" customHeight="true" outlineLevel="0" collapsed="false">
      <c r="A3019" s="2" t="s">
        <v>447</v>
      </c>
      <c r="B3019" s="2" t="s">
        <v>448</v>
      </c>
      <c r="C3019" s="2" t="n">
        <v>3</v>
      </c>
      <c r="D3019" s="2" t="s">
        <v>585</v>
      </c>
      <c r="E3019" s="2" t="s">
        <v>28</v>
      </c>
      <c r="F3019" s="2" t="n">
        <v>12</v>
      </c>
      <c r="G3019" s="2" t="n">
        <v>25</v>
      </c>
    </row>
    <row r="3020" customFormat="false" ht="16.5" hidden="false" customHeight="true" outlineLevel="0" collapsed="false">
      <c r="A3020" s="2" t="s">
        <v>447</v>
      </c>
      <c r="B3020" s="2" t="s">
        <v>448</v>
      </c>
      <c r="C3020" s="2" t="n">
        <v>3</v>
      </c>
      <c r="D3020" s="2" t="s">
        <v>585</v>
      </c>
      <c r="E3020" s="2" t="s">
        <v>29</v>
      </c>
      <c r="F3020" s="2" t="n">
        <v>12</v>
      </c>
      <c r="G3020" s="2" t="n">
        <v>29</v>
      </c>
    </row>
    <row r="3021" customFormat="false" ht="16.5" hidden="false" customHeight="true" outlineLevel="0" collapsed="false">
      <c r="A3021" s="2" t="s">
        <v>447</v>
      </c>
      <c r="B3021" s="2" t="s">
        <v>448</v>
      </c>
      <c r="C3021" s="2" t="n">
        <v>3</v>
      </c>
      <c r="D3021" s="2" t="s">
        <v>585</v>
      </c>
      <c r="E3021" s="2" t="s">
        <v>30</v>
      </c>
      <c r="F3021" s="2" t="n">
        <v>12</v>
      </c>
      <c r="G3021" s="2" t="n">
        <v>33</v>
      </c>
    </row>
    <row r="3022" customFormat="false" ht="16.5" hidden="false" customHeight="true" outlineLevel="0" collapsed="false">
      <c r="A3022" s="2" t="s">
        <v>447</v>
      </c>
      <c r="B3022" s="2" t="s">
        <v>448</v>
      </c>
      <c r="C3022" s="2" t="n">
        <v>3</v>
      </c>
      <c r="D3022" s="2" t="s">
        <v>585</v>
      </c>
      <c r="E3022" s="2" t="s">
        <v>31</v>
      </c>
      <c r="F3022" s="2" t="n">
        <v>12</v>
      </c>
      <c r="G3022" s="2" t="n">
        <v>37</v>
      </c>
    </row>
    <row r="3023" customFormat="false" ht="16.5" hidden="false" customHeight="true" outlineLevel="0" collapsed="false">
      <c r="A3023" s="2" t="s">
        <v>447</v>
      </c>
      <c r="B3023" s="2" t="s">
        <v>448</v>
      </c>
      <c r="C3023" s="2" t="n">
        <v>3</v>
      </c>
      <c r="D3023" s="2" t="s">
        <v>585</v>
      </c>
      <c r="E3023" s="2" t="s">
        <v>32</v>
      </c>
      <c r="F3023" s="2" t="n">
        <v>12</v>
      </c>
      <c r="G3023" s="2" t="n">
        <v>41</v>
      </c>
    </row>
    <row r="3024" customFormat="false" ht="16.5" hidden="false" customHeight="true" outlineLevel="0" collapsed="false">
      <c r="A3024" s="2" t="s">
        <v>447</v>
      </c>
      <c r="B3024" s="2" t="s">
        <v>448</v>
      </c>
      <c r="C3024" s="2" t="n">
        <v>3</v>
      </c>
      <c r="D3024" s="2" t="s">
        <v>585</v>
      </c>
      <c r="E3024" s="2" t="s">
        <v>33</v>
      </c>
      <c r="F3024" s="2" t="n">
        <v>12</v>
      </c>
      <c r="G3024" s="2" t="n">
        <v>45</v>
      </c>
    </row>
    <row r="3025" customFormat="false" ht="16.5" hidden="false" customHeight="true" outlineLevel="0" collapsed="false">
      <c r="A3025" s="2" t="s">
        <v>447</v>
      </c>
      <c r="B3025" s="2" t="s">
        <v>448</v>
      </c>
      <c r="C3025" s="2" t="n">
        <v>3</v>
      </c>
      <c r="D3025" s="2" t="s">
        <v>585</v>
      </c>
      <c r="E3025" s="2" t="s">
        <v>34</v>
      </c>
      <c r="F3025" s="2" t="n">
        <v>12</v>
      </c>
      <c r="G3025" s="2" t="n">
        <v>49</v>
      </c>
    </row>
    <row r="3026" customFormat="false" ht="16.5" hidden="false" customHeight="true" outlineLevel="0" collapsed="false">
      <c r="A3026" s="2" t="s">
        <v>447</v>
      </c>
      <c r="B3026" s="2" t="s">
        <v>448</v>
      </c>
      <c r="C3026" s="2" t="n">
        <v>3</v>
      </c>
      <c r="D3026" s="2" t="s">
        <v>585</v>
      </c>
      <c r="E3026" s="2" t="s">
        <v>35</v>
      </c>
      <c r="F3026" s="2" t="n">
        <v>14</v>
      </c>
      <c r="G3026" s="2" t="n">
        <v>11</v>
      </c>
    </row>
    <row r="3027" customFormat="false" ht="16.5" hidden="false" customHeight="true" outlineLevel="0" collapsed="false">
      <c r="A3027" s="2" t="s">
        <v>447</v>
      </c>
      <c r="B3027" s="2" t="s">
        <v>448</v>
      </c>
      <c r="C3027" s="2" t="n">
        <v>3</v>
      </c>
      <c r="D3027" s="2" t="s">
        <v>585</v>
      </c>
      <c r="E3027" s="2" t="s">
        <v>36</v>
      </c>
      <c r="F3027" s="2" t="n">
        <v>14</v>
      </c>
      <c r="G3027" s="2" t="n">
        <v>15</v>
      </c>
    </row>
    <row r="3028" customFormat="false" ht="16.5" hidden="false" customHeight="true" outlineLevel="0" collapsed="false">
      <c r="A3028" s="2" t="s">
        <v>447</v>
      </c>
      <c r="B3028" s="2" t="s">
        <v>448</v>
      </c>
      <c r="C3028" s="2" t="n">
        <v>3</v>
      </c>
      <c r="D3028" s="2" t="s">
        <v>585</v>
      </c>
      <c r="E3028" s="2" t="s">
        <v>37</v>
      </c>
      <c r="F3028" s="2" t="n">
        <v>14</v>
      </c>
      <c r="G3028" s="2" t="n">
        <v>19</v>
      </c>
    </row>
    <row r="3029" customFormat="false" ht="16.5" hidden="false" customHeight="true" outlineLevel="0" collapsed="false">
      <c r="A3029" s="2" t="s">
        <v>447</v>
      </c>
      <c r="B3029" s="2" t="s">
        <v>448</v>
      </c>
      <c r="C3029" s="2" t="n">
        <v>3</v>
      </c>
      <c r="D3029" s="2" t="s">
        <v>585</v>
      </c>
      <c r="E3029" s="2" t="s">
        <v>38</v>
      </c>
      <c r="F3029" s="2" t="n">
        <v>14</v>
      </c>
      <c r="G3029" s="2" t="n">
        <v>23</v>
      </c>
    </row>
    <row r="3030" customFormat="false" ht="16.5" hidden="false" customHeight="true" outlineLevel="0" collapsed="false">
      <c r="A3030" s="2" t="s">
        <v>447</v>
      </c>
      <c r="B3030" s="2" t="s">
        <v>448</v>
      </c>
      <c r="C3030" s="2" t="n">
        <v>3</v>
      </c>
      <c r="D3030" s="2" t="s">
        <v>585</v>
      </c>
      <c r="E3030" s="2" t="s">
        <v>39</v>
      </c>
      <c r="F3030" s="2" t="n">
        <v>14</v>
      </c>
      <c r="G3030" s="2" t="n">
        <v>27</v>
      </c>
    </row>
    <row r="3031" customFormat="false" ht="16.5" hidden="false" customHeight="true" outlineLevel="0" collapsed="false">
      <c r="A3031" s="2" t="s">
        <v>447</v>
      </c>
      <c r="B3031" s="2" t="s">
        <v>448</v>
      </c>
      <c r="C3031" s="2" t="n">
        <v>3</v>
      </c>
      <c r="D3031" s="2" t="s">
        <v>585</v>
      </c>
      <c r="E3031" s="2" t="s">
        <v>40</v>
      </c>
      <c r="F3031" s="2" t="n">
        <v>14</v>
      </c>
      <c r="G3031" s="2" t="n">
        <v>31</v>
      </c>
    </row>
    <row r="3032" customFormat="false" ht="16.5" hidden="false" customHeight="true" outlineLevel="0" collapsed="false">
      <c r="A3032" s="2" t="s">
        <v>447</v>
      </c>
      <c r="B3032" s="2" t="s">
        <v>448</v>
      </c>
      <c r="C3032" s="2" t="n">
        <v>3</v>
      </c>
      <c r="D3032" s="2" t="s">
        <v>585</v>
      </c>
      <c r="E3032" s="2" t="s">
        <v>41</v>
      </c>
      <c r="F3032" s="2" t="n">
        <v>14</v>
      </c>
      <c r="G3032" s="2" t="n">
        <v>35</v>
      </c>
    </row>
    <row r="3033" customFormat="false" ht="16.5" hidden="false" customHeight="true" outlineLevel="0" collapsed="false">
      <c r="A3033" s="2" t="s">
        <v>447</v>
      </c>
      <c r="B3033" s="2" t="s">
        <v>448</v>
      </c>
      <c r="C3033" s="2" t="n">
        <v>3</v>
      </c>
      <c r="D3033" s="2" t="s">
        <v>585</v>
      </c>
      <c r="E3033" s="2" t="s">
        <v>42</v>
      </c>
      <c r="F3033" s="2" t="n">
        <v>14</v>
      </c>
      <c r="G3033" s="2" t="n">
        <v>39</v>
      </c>
    </row>
    <row r="3034" customFormat="false" ht="16.5" hidden="false" customHeight="true" outlineLevel="0" collapsed="false">
      <c r="A3034" s="2" t="s">
        <v>447</v>
      </c>
      <c r="B3034" s="2" t="s">
        <v>448</v>
      </c>
      <c r="C3034" s="2" t="n">
        <v>3</v>
      </c>
      <c r="D3034" s="2" t="s">
        <v>585</v>
      </c>
      <c r="E3034" s="2" t="s">
        <v>43</v>
      </c>
      <c r="F3034" s="2" t="n">
        <v>14</v>
      </c>
      <c r="G3034" s="2" t="n">
        <v>43</v>
      </c>
    </row>
    <row r="3035" customFormat="false" ht="16.5" hidden="false" customHeight="true" outlineLevel="0" collapsed="false">
      <c r="A3035" s="2" t="s">
        <v>447</v>
      </c>
      <c r="B3035" s="2" t="s">
        <v>448</v>
      </c>
      <c r="C3035" s="2" t="n">
        <v>3</v>
      </c>
      <c r="D3035" s="2" t="s">
        <v>585</v>
      </c>
      <c r="E3035" s="2" t="s">
        <v>44</v>
      </c>
      <c r="F3035" s="2" t="n">
        <v>14</v>
      </c>
      <c r="G3035" s="2" t="n">
        <v>47</v>
      </c>
    </row>
    <row r="3036" customFormat="false" ht="16.5" hidden="false" customHeight="true" outlineLevel="0" collapsed="false">
      <c r="A3036" s="2" t="s">
        <v>447</v>
      </c>
      <c r="B3036" s="2" t="s">
        <v>448</v>
      </c>
      <c r="C3036" s="2" t="n">
        <v>3</v>
      </c>
      <c r="D3036" s="2" t="s">
        <v>585</v>
      </c>
      <c r="E3036" s="2" t="s">
        <v>48</v>
      </c>
      <c r="F3036" s="2" t="n">
        <v>16</v>
      </c>
      <c r="G3036" s="2" t="n">
        <v>16</v>
      </c>
    </row>
    <row r="3037" customFormat="false" ht="16.5" hidden="false" customHeight="true" outlineLevel="0" collapsed="false">
      <c r="A3037" s="2" t="s">
        <v>447</v>
      </c>
      <c r="B3037" s="2" t="s">
        <v>448</v>
      </c>
      <c r="C3037" s="2" t="n">
        <v>3</v>
      </c>
      <c r="D3037" s="2" t="s">
        <v>585</v>
      </c>
      <c r="E3037" s="2" t="s">
        <v>50</v>
      </c>
      <c r="F3037" s="2" t="n">
        <v>16</v>
      </c>
      <c r="G3037" s="2" t="n">
        <v>20</v>
      </c>
    </row>
    <row r="3038" customFormat="false" ht="16.5" hidden="false" customHeight="true" outlineLevel="0" collapsed="false">
      <c r="A3038" s="2" t="s">
        <v>447</v>
      </c>
      <c r="B3038" s="2" t="s">
        <v>448</v>
      </c>
      <c r="C3038" s="2" t="n">
        <v>3</v>
      </c>
      <c r="D3038" s="2" t="s">
        <v>585</v>
      </c>
      <c r="E3038" s="2" t="s">
        <v>45</v>
      </c>
      <c r="F3038" s="2" t="n">
        <v>16</v>
      </c>
      <c r="G3038" s="2" t="n">
        <v>38</v>
      </c>
    </row>
    <row r="3039" customFormat="false" ht="16.5" hidden="false" customHeight="true" outlineLevel="0" collapsed="false">
      <c r="A3039" s="2" t="s">
        <v>447</v>
      </c>
      <c r="B3039" s="2" t="s">
        <v>448</v>
      </c>
      <c r="C3039" s="2" t="n">
        <v>3</v>
      </c>
      <c r="D3039" s="2" t="s">
        <v>585</v>
      </c>
      <c r="E3039" s="2" t="s">
        <v>46</v>
      </c>
      <c r="F3039" s="2" t="n">
        <v>16</v>
      </c>
      <c r="G3039" s="2" t="n">
        <v>42</v>
      </c>
    </row>
    <row r="3040" customFormat="false" ht="16.5" hidden="false" customHeight="true" outlineLevel="0" collapsed="false">
      <c r="A3040" s="2" t="s">
        <v>447</v>
      </c>
      <c r="B3040" s="2" t="s">
        <v>449</v>
      </c>
      <c r="C3040" s="2" t="n">
        <v>3</v>
      </c>
      <c r="D3040" s="2" t="s">
        <v>586</v>
      </c>
      <c r="E3040" s="2" t="s">
        <v>0</v>
      </c>
      <c r="F3040" s="2" t="n">
        <v>21</v>
      </c>
      <c r="G3040" s="2" t="n">
        <v>6</v>
      </c>
    </row>
    <row r="3041" customFormat="false" ht="16.5" hidden="false" customHeight="true" outlineLevel="0" collapsed="false">
      <c r="A3041" s="2" t="s">
        <v>447</v>
      </c>
      <c r="B3041" s="2" t="s">
        <v>449</v>
      </c>
      <c r="C3041" s="2" t="n">
        <v>3</v>
      </c>
      <c r="D3041" s="2" t="s">
        <v>586</v>
      </c>
      <c r="E3041" s="2" t="s">
        <v>1</v>
      </c>
      <c r="F3041" s="2" t="n">
        <v>21</v>
      </c>
      <c r="G3041" s="2" t="n">
        <v>10</v>
      </c>
    </row>
    <row r="3042" customFormat="false" ht="16.5" hidden="false" customHeight="true" outlineLevel="0" collapsed="false">
      <c r="A3042" s="2" t="s">
        <v>447</v>
      </c>
      <c r="B3042" s="2" t="s">
        <v>449</v>
      </c>
      <c r="C3042" s="2" t="n">
        <v>3</v>
      </c>
      <c r="D3042" s="2" t="s">
        <v>586</v>
      </c>
      <c r="E3042" s="2" t="s">
        <v>2</v>
      </c>
      <c r="F3042" s="2" t="n">
        <v>21</v>
      </c>
      <c r="G3042" s="2" t="n">
        <v>14</v>
      </c>
    </row>
    <row r="3043" customFormat="false" ht="16.5" hidden="false" customHeight="true" outlineLevel="0" collapsed="false">
      <c r="A3043" s="2" t="s">
        <v>447</v>
      </c>
      <c r="B3043" s="2" t="s">
        <v>449</v>
      </c>
      <c r="C3043" s="2" t="n">
        <v>3</v>
      </c>
      <c r="D3043" s="2" t="s">
        <v>586</v>
      </c>
      <c r="E3043" s="2" t="s">
        <v>3</v>
      </c>
      <c r="F3043" s="2" t="n">
        <v>21</v>
      </c>
      <c r="G3043" s="2" t="n">
        <v>18</v>
      </c>
    </row>
    <row r="3044" customFormat="false" ht="16.5" hidden="false" customHeight="true" outlineLevel="0" collapsed="false">
      <c r="A3044" s="2" t="s">
        <v>447</v>
      </c>
      <c r="B3044" s="2" t="s">
        <v>449</v>
      </c>
      <c r="C3044" s="2" t="n">
        <v>3</v>
      </c>
      <c r="D3044" s="2" t="s">
        <v>586</v>
      </c>
      <c r="E3044" s="2" t="s">
        <v>4</v>
      </c>
      <c r="F3044" s="2" t="n">
        <v>21</v>
      </c>
      <c r="G3044" s="2" t="n">
        <v>22</v>
      </c>
    </row>
    <row r="3045" customFormat="false" ht="16.5" hidden="false" customHeight="true" outlineLevel="0" collapsed="false">
      <c r="A3045" s="2" t="s">
        <v>447</v>
      </c>
      <c r="B3045" s="2" t="s">
        <v>449</v>
      </c>
      <c r="C3045" s="2" t="n">
        <v>3</v>
      </c>
      <c r="D3045" s="2" t="s">
        <v>586</v>
      </c>
      <c r="E3045" s="2" t="s">
        <v>5</v>
      </c>
      <c r="F3045" s="2" t="n">
        <v>21</v>
      </c>
      <c r="G3045" s="2" t="n">
        <v>26</v>
      </c>
    </row>
    <row r="3046" customFormat="false" ht="16.5" hidden="false" customHeight="true" outlineLevel="0" collapsed="false">
      <c r="A3046" s="2" t="s">
        <v>447</v>
      </c>
      <c r="B3046" s="2" t="s">
        <v>449</v>
      </c>
      <c r="C3046" s="2" t="n">
        <v>3</v>
      </c>
      <c r="D3046" s="2" t="s">
        <v>586</v>
      </c>
      <c r="E3046" s="2" t="s">
        <v>6</v>
      </c>
      <c r="F3046" s="2" t="n">
        <v>21</v>
      </c>
      <c r="G3046" s="2" t="n">
        <v>30</v>
      </c>
    </row>
    <row r="3047" customFormat="false" ht="16.5" hidden="false" customHeight="true" outlineLevel="0" collapsed="false">
      <c r="A3047" s="2" t="s">
        <v>447</v>
      </c>
      <c r="B3047" s="2" t="s">
        <v>449</v>
      </c>
      <c r="C3047" s="2" t="n">
        <v>3</v>
      </c>
      <c r="D3047" s="2" t="s">
        <v>586</v>
      </c>
      <c r="E3047" s="2" t="s">
        <v>7</v>
      </c>
      <c r="F3047" s="2" t="n">
        <v>21</v>
      </c>
      <c r="G3047" s="2" t="n">
        <v>34</v>
      </c>
    </row>
    <row r="3048" customFormat="false" ht="16.5" hidden="false" customHeight="true" outlineLevel="0" collapsed="false">
      <c r="A3048" s="2" t="s">
        <v>447</v>
      </c>
      <c r="B3048" s="2" t="s">
        <v>449</v>
      </c>
      <c r="C3048" s="2" t="n">
        <v>3</v>
      </c>
      <c r="D3048" s="2" t="s">
        <v>586</v>
      </c>
      <c r="E3048" s="2" t="s">
        <v>8</v>
      </c>
      <c r="F3048" s="2" t="n">
        <v>21</v>
      </c>
      <c r="G3048" s="2" t="n">
        <v>38</v>
      </c>
    </row>
    <row r="3049" customFormat="false" ht="16.5" hidden="false" customHeight="true" outlineLevel="0" collapsed="false">
      <c r="A3049" s="2" t="s">
        <v>447</v>
      </c>
      <c r="B3049" s="2" t="s">
        <v>449</v>
      </c>
      <c r="C3049" s="2" t="n">
        <v>3</v>
      </c>
      <c r="D3049" s="2" t="s">
        <v>586</v>
      </c>
      <c r="E3049" s="2" t="s">
        <v>9</v>
      </c>
      <c r="F3049" s="2" t="n">
        <v>21</v>
      </c>
      <c r="G3049" s="2" t="n">
        <v>42</v>
      </c>
    </row>
    <row r="3050" customFormat="false" ht="16.5" hidden="false" customHeight="true" outlineLevel="0" collapsed="false">
      <c r="A3050" s="2" t="s">
        <v>447</v>
      </c>
      <c r="B3050" s="2" t="s">
        <v>449</v>
      </c>
      <c r="C3050" s="2" t="n">
        <v>3</v>
      </c>
      <c r="D3050" s="2" t="s">
        <v>586</v>
      </c>
      <c r="E3050" s="2" t="s">
        <v>10</v>
      </c>
      <c r="F3050" s="2" t="n">
        <v>21</v>
      </c>
      <c r="G3050" s="2" t="n">
        <v>46</v>
      </c>
    </row>
    <row r="3051" customFormat="false" ht="16.5" hidden="false" customHeight="true" outlineLevel="0" collapsed="false">
      <c r="A3051" s="2" t="s">
        <v>447</v>
      </c>
      <c r="B3051" s="2" t="s">
        <v>449</v>
      </c>
      <c r="C3051" s="2" t="n">
        <v>3</v>
      </c>
      <c r="D3051" s="2" t="s">
        <v>586</v>
      </c>
      <c r="E3051" s="2" t="s">
        <v>11</v>
      </c>
      <c r="F3051" s="2" t="n">
        <v>21</v>
      </c>
      <c r="G3051" s="2" t="n">
        <v>50</v>
      </c>
    </row>
    <row r="3052" customFormat="false" ht="16.5" hidden="false" customHeight="true" outlineLevel="0" collapsed="false">
      <c r="A3052" s="2" t="s">
        <v>447</v>
      </c>
      <c r="B3052" s="2" t="s">
        <v>449</v>
      </c>
      <c r="C3052" s="2" t="n">
        <v>3</v>
      </c>
      <c r="D3052" s="2" t="s">
        <v>586</v>
      </c>
      <c r="E3052" s="2" t="s">
        <v>12</v>
      </c>
      <c r="F3052" s="2" t="n">
        <v>23</v>
      </c>
      <c r="G3052" s="2" t="n">
        <v>8</v>
      </c>
    </row>
    <row r="3053" customFormat="false" ht="16.5" hidden="false" customHeight="true" outlineLevel="0" collapsed="false">
      <c r="A3053" s="2" t="s">
        <v>447</v>
      </c>
      <c r="B3053" s="2" t="s">
        <v>449</v>
      </c>
      <c r="C3053" s="2" t="n">
        <v>3</v>
      </c>
      <c r="D3053" s="2" t="s">
        <v>586</v>
      </c>
      <c r="E3053" s="2" t="s">
        <v>13</v>
      </c>
      <c r="F3053" s="2" t="n">
        <v>23</v>
      </c>
      <c r="G3053" s="2" t="n">
        <v>12</v>
      </c>
    </row>
    <row r="3054" customFormat="false" ht="16.5" hidden="false" customHeight="true" outlineLevel="0" collapsed="false">
      <c r="A3054" s="2" t="s">
        <v>447</v>
      </c>
      <c r="B3054" s="2" t="s">
        <v>449</v>
      </c>
      <c r="C3054" s="2" t="n">
        <v>3</v>
      </c>
      <c r="D3054" s="2" t="s">
        <v>586</v>
      </c>
      <c r="E3054" s="2" t="s">
        <v>14</v>
      </c>
      <c r="F3054" s="2" t="n">
        <v>23</v>
      </c>
      <c r="G3054" s="2" t="n">
        <v>16</v>
      </c>
    </row>
    <row r="3055" customFormat="false" ht="16.5" hidden="false" customHeight="true" outlineLevel="0" collapsed="false">
      <c r="A3055" s="2" t="s">
        <v>447</v>
      </c>
      <c r="B3055" s="2" t="s">
        <v>449</v>
      </c>
      <c r="C3055" s="2" t="n">
        <v>3</v>
      </c>
      <c r="D3055" s="2" t="s">
        <v>586</v>
      </c>
      <c r="E3055" s="2" t="s">
        <v>15</v>
      </c>
      <c r="F3055" s="2" t="n">
        <v>23</v>
      </c>
      <c r="G3055" s="2" t="n">
        <v>20</v>
      </c>
    </row>
    <row r="3056" customFormat="false" ht="16.5" hidden="false" customHeight="true" outlineLevel="0" collapsed="false">
      <c r="A3056" s="2" t="s">
        <v>447</v>
      </c>
      <c r="B3056" s="2" t="s">
        <v>449</v>
      </c>
      <c r="C3056" s="2" t="n">
        <v>3</v>
      </c>
      <c r="D3056" s="2" t="s">
        <v>586</v>
      </c>
      <c r="E3056" s="2" t="s">
        <v>16</v>
      </c>
      <c r="F3056" s="2" t="n">
        <v>23</v>
      </c>
      <c r="G3056" s="2" t="n">
        <v>24</v>
      </c>
    </row>
    <row r="3057" customFormat="false" ht="16.5" hidden="false" customHeight="true" outlineLevel="0" collapsed="false">
      <c r="A3057" s="2" t="s">
        <v>447</v>
      </c>
      <c r="B3057" s="2" t="s">
        <v>449</v>
      </c>
      <c r="C3057" s="2" t="n">
        <v>3</v>
      </c>
      <c r="D3057" s="2" t="s">
        <v>586</v>
      </c>
      <c r="E3057" s="2" t="s">
        <v>17</v>
      </c>
      <c r="F3057" s="2" t="n">
        <v>23</v>
      </c>
      <c r="G3057" s="2" t="n">
        <v>28</v>
      </c>
    </row>
    <row r="3058" customFormat="false" ht="16.5" hidden="false" customHeight="true" outlineLevel="0" collapsed="false">
      <c r="A3058" s="2" t="s">
        <v>447</v>
      </c>
      <c r="B3058" s="2" t="s">
        <v>449</v>
      </c>
      <c r="C3058" s="2" t="n">
        <v>3</v>
      </c>
      <c r="D3058" s="2" t="s">
        <v>586</v>
      </c>
      <c r="E3058" s="2" t="s">
        <v>18</v>
      </c>
      <c r="F3058" s="2" t="n">
        <v>23</v>
      </c>
      <c r="G3058" s="2" t="n">
        <v>32</v>
      </c>
    </row>
    <row r="3059" customFormat="false" ht="16.5" hidden="false" customHeight="true" outlineLevel="0" collapsed="false">
      <c r="A3059" s="2" t="s">
        <v>447</v>
      </c>
      <c r="B3059" s="2" t="s">
        <v>449</v>
      </c>
      <c r="C3059" s="2" t="n">
        <v>3</v>
      </c>
      <c r="D3059" s="2" t="s">
        <v>586</v>
      </c>
      <c r="E3059" s="2" t="s">
        <v>19</v>
      </c>
      <c r="F3059" s="2" t="n">
        <v>23</v>
      </c>
      <c r="G3059" s="2" t="n">
        <v>36</v>
      </c>
    </row>
    <row r="3060" customFormat="false" ht="16.5" hidden="false" customHeight="true" outlineLevel="0" collapsed="false">
      <c r="A3060" s="2" t="s">
        <v>447</v>
      </c>
      <c r="B3060" s="2" t="s">
        <v>449</v>
      </c>
      <c r="C3060" s="2" t="n">
        <v>3</v>
      </c>
      <c r="D3060" s="2" t="s">
        <v>586</v>
      </c>
      <c r="E3060" s="2" t="s">
        <v>20</v>
      </c>
      <c r="F3060" s="2" t="n">
        <v>23</v>
      </c>
      <c r="G3060" s="2" t="n">
        <v>40</v>
      </c>
    </row>
    <row r="3061" customFormat="false" ht="16.5" hidden="false" customHeight="true" outlineLevel="0" collapsed="false">
      <c r="A3061" s="2" t="s">
        <v>447</v>
      </c>
      <c r="B3061" s="2" t="s">
        <v>449</v>
      </c>
      <c r="C3061" s="2" t="n">
        <v>3</v>
      </c>
      <c r="D3061" s="2" t="s">
        <v>586</v>
      </c>
      <c r="E3061" s="2" t="s">
        <v>21</v>
      </c>
      <c r="F3061" s="2" t="n">
        <v>23</v>
      </c>
      <c r="G3061" s="2" t="n">
        <v>44</v>
      </c>
    </row>
    <row r="3062" customFormat="false" ht="16.5" hidden="false" customHeight="true" outlineLevel="0" collapsed="false">
      <c r="A3062" s="2" t="s">
        <v>447</v>
      </c>
      <c r="B3062" s="2" t="s">
        <v>449</v>
      </c>
      <c r="C3062" s="2" t="n">
        <v>3</v>
      </c>
      <c r="D3062" s="2" t="s">
        <v>586</v>
      </c>
      <c r="E3062" s="2" t="s">
        <v>22</v>
      </c>
      <c r="F3062" s="2" t="n">
        <v>23</v>
      </c>
      <c r="G3062" s="2" t="n">
        <v>48</v>
      </c>
    </row>
    <row r="3063" customFormat="false" ht="16.5" hidden="false" customHeight="true" outlineLevel="0" collapsed="false">
      <c r="A3063" s="2" t="s">
        <v>447</v>
      </c>
      <c r="B3063" s="2" t="s">
        <v>449</v>
      </c>
      <c r="C3063" s="2" t="n">
        <v>3</v>
      </c>
      <c r="D3063" s="2" t="s">
        <v>586</v>
      </c>
      <c r="E3063" s="2" t="s">
        <v>23</v>
      </c>
      <c r="F3063" s="2" t="n">
        <v>23</v>
      </c>
      <c r="G3063" s="2" t="n">
        <v>52</v>
      </c>
    </row>
    <row r="3064" customFormat="false" ht="16.5" hidden="false" customHeight="true" outlineLevel="0" collapsed="false">
      <c r="A3064" s="2" t="s">
        <v>447</v>
      </c>
      <c r="B3064" s="2" t="s">
        <v>449</v>
      </c>
      <c r="C3064" s="2" t="n">
        <v>3</v>
      </c>
      <c r="D3064" s="2" t="s">
        <v>586</v>
      </c>
      <c r="E3064" s="2" t="s">
        <v>24</v>
      </c>
      <c r="F3064" s="2" t="n">
        <v>25</v>
      </c>
      <c r="G3064" s="2" t="n">
        <v>9</v>
      </c>
    </row>
    <row r="3065" customFormat="false" ht="16.5" hidden="false" customHeight="true" outlineLevel="0" collapsed="false">
      <c r="A3065" s="2" t="s">
        <v>447</v>
      </c>
      <c r="B3065" s="2" t="s">
        <v>449</v>
      </c>
      <c r="C3065" s="2" t="n">
        <v>3</v>
      </c>
      <c r="D3065" s="2" t="s">
        <v>586</v>
      </c>
      <c r="E3065" s="2" t="s">
        <v>25</v>
      </c>
      <c r="F3065" s="2" t="n">
        <v>25</v>
      </c>
      <c r="G3065" s="2" t="n">
        <v>13</v>
      </c>
    </row>
    <row r="3066" customFormat="false" ht="16.5" hidden="false" customHeight="true" outlineLevel="0" collapsed="false">
      <c r="A3066" s="2" t="s">
        <v>447</v>
      </c>
      <c r="B3066" s="2" t="s">
        <v>449</v>
      </c>
      <c r="C3066" s="2" t="n">
        <v>3</v>
      </c>
      <c r="D3066" s="2" t="s">
        <v>586</v>
      </c>
      <c r="E3066" s="2" t="s">
        <v>26</v>
      </c>
      <c r="F3066" s="2" t="n">
        <v>25</v>
      </c>
      <c r="G3066" s="2" t="n">
        <v>17</v>
      </c>
    </row>
    <row r="3067" customFormat="false" ht="16.5" hidden="false" customHeight="true" outlineLevel="0" collapsed="false">
      <c r="A3067" s="2" t="s">
        <v>447</v>
      </c>
      <c r="B3067" s="2" t="s">
        <v>449</v>
      </c>
      <c r="C3067" s="2" t="n">
        <v>3</v>
      </c>
      <c r="D3067" s="2" t="s">
        <v>586</v>
      </c>
      <c r="E3067" s="2" t="s">
        <v>27</v>
      </c>
      <c r="F3067" s="2" t="n">
        <v>25</v>
      </c>
      <c r="G3067" s="2" t="n">
        <v>21</v>
      </c>
    </row>
    <row r="3068" customFormat="false" ht="16.5" hidden="false" customHeight="true" outlineLevel="0" collapsed="false">
      <c r="A3068" s="2" t="s">
        <v>447</v>
      </c>
      <c r="B3068" s="2" t="s">
        <v>449</v>
      </c>
      <c r="C3068" s="2" t="n">
        <v>3</v>
      </c>
      <c r="D3068" s="2" t="s">
        <v>586</v>
      </c>
      <c r="E3068" s="2" t="s">
        <v>28</v>
      </c>
      <c r="F3068" s="2" t="n">
        <v>25</v>
      </c>
      <c r="G3068" s="2" t="n">
        <v>25</v>
      </c>
    </row>
    <row r="3069" customFormat="false" ht="16.5" hidden="false" customHeight="true" outlineLevel="0" collapsed="false">
      <c r="A3069" s="2" t="s">
        <v>447</v>
      </c>
      <c r="B3069" s="2" t="s">
        <v>449</v>
      </c>
      <c r="C3069" s="2" t="n">
        <v>3</v>
      </c>
      <c r="D3069" s="2" t="s">
        <v>586</v>
      </c>
      <c r="E3069" s="2" t="s">
        <v>29</v>
      </c>
      <c r="F3069" s="2" t="n">
        <v>25</v>
      </c>
      <c r="G3069" s="2" t="n">
        <v>29</v>
      </c>
    </row>
    <row r="3070" customFormat="false" ht="16.5" hidden="false" customHeight="true" outlineLevel="0" collapsed="false">
      <c r="A3070" s="2" t="s">
        <v>447</v>
      </c>
      <c r="B3070" s="2" t="s">
        <v>449</v>
      </c>
      <c r="C3070" s="2" t="n">
        <v>3</v>
      </c>
      <c r="D3070" s="2" t="s">
        <v>586</v>
      </c>
      <c r="E3070" s="2" t="s">
        <v>30</v>
      </c>
      <c r="F3070" s="2" t="n">
        <v>25</v>
      </c>
      <c r="G3070" s="2" t="n">
        <v>33</v>
      </c>
    </row>
    <row r="3071" customFormat="false" ht="16.5" hidden="false" customHeight="true" outlineLevel="0" collapsed="false">
      <c r="A3071" s="2" t="s">
        <v>447</v>
      </c>
      <c r="B3071" s="2" t="s">
        <v>449</v>
      </c>
      <c r="C3071" s="2" t="n">
        <v>3</v>
      </c>
      <c r="D3071" s="2" t="s">
        <v>586</v>
      </c>
      <c r="E3071" s="2" t="s">
        <v>31</v>
      </c>
      <c r="F3071" s="2" t="n">
        <v>25</v>
      </c>
      <c r="G3071" s="2" t="n">
        <v>37</v>
      </c>
    </row>
    <row r="3072" customFormat="false" ht="16.5" hidden="false" customHeight="true" outlineLevel="0" collapsed="false">
      <c r="A3072" s="2" t="s">
        <v>447</v>
      </c>
      <c r="B3072" s="2" t="s">
        <v>449</v>
      </c>
      <c r="C3072" s="2" t="n">
        <v>3</v>
      </c>
      <c r="D3072" s="2" t="s">
        <v>586</v>
      </c>
      <c r="E3072" s="2" t="s">
        <v>32</v>
      </c>
      <c r="F3072" s="2" t="n">
        <v>25</v>
      </c>
      <c r="G3072" s="2" t="n">
        <v>41</v>
      </c>
    </row>
    <row r="3073" customFormat="false" ht="16.5" hidden="false" customHeight="true" outlineLevel="0" collapsed="false">
      <c r="A3073" s="2" t="s">
        <v>447</v>
      </c>
      <c r="B3073" s="2" t="s">
        <v>449</v>
      </c>
      <c r="C3073" s="2" t="n">
        <v>3</v>
      </c>
      <c r="D3073" s="2" t="s">
        <v>586</v>
      </c>
      <c r="E3073" s="2" t="s">
        <v>33</v>
      </c>
      <c r="F3073" s="2" t="n">
        <v>25</v>
      </c>
      <c r="G3073" s="2" t="n">
        <v>45</v>
      </c>
    </row>
    <row r="3074" customFormat="false" ht="16.5" hidden="false" customHeight="true" outlineLevel="0" collapsed="false">
      <c r="A3074" s="2" t="s">
        <v>447</v>
      </c>
      <c r="B3074" s="2" t="s">
        <v>449</v>
      </c>
      <c r="C3074" s="2" t="n">
        <v>3</v>
      </c>
      <c r="D3074" s="2" t="s">
        <v>586</v>
      </c>
      <c r="E3074" s="2" t="s">
        <v>34</v>
      </c>
      <c r="F3074" s="2" t="n">
        <v>25</v>
      </c>
      <c r="G3074" s="2" t="n">
        <v>49</v>
      </c>
    </row>
    <row r="3075" customFormat="false" ht="16.5" hidden="false" customHeight="true" outlineLevel="0" collapsed="false">
      <c r="A3075" s="2" t="s">
        <v>447</v>
      </c>
      <c r="B3075" s="2" t="s">
        <v>449</v>
      </c>
      <c r="C3075" s="2" t="n">
        <v>3</v>
      </c>
      <c r="D3075" s="2" t="s">
        <v>586</v>
      </c>
      <c r="E3075" s="2" t="s">
        <v>35</v>
      </c>
      <c r="F3075" s="2" t="n">
        <v>27</v>
      </c>
      <c r="G3075" s="2" t="n">
        <v>11</v>
      </c>
    </row>
    <row r="3076" customFormat="false" ht="16.5" hidden="false" customHeight="true" outlineLevel="0" collapsed="false">
      <c r="A3076" s="2" t="s">
        <v>447</v>
      </c>
      <c r="B3076" s="2" t="s">
        <v>449</v>
      </c>
      <c r="C3076" s="2" t="n">
        <v>3</v>
      </c>
      <c r="D3076" s="2" t="s">
        <v>586</v>
      </c>
      <c r="E3076" s="2" t="s">
        <v>36</v>
      </c>
      <c r="F3076" s="2" t="n">
        <v>27</v>
      </c>
      <c r="G3076" s="2" t="n">
        <v>15</v>
      </c>
    </row>
    <row r="3077" customFormat="false" ht="16.5" hidden="false" customHeight="true" outlineLevel="0" collapsed="false">
      <c r="A3077" s="2" t="s">
        <v>447</v>
      </c>
      <c r="B3077" s="2" t="s">
        <v>449</v>
      </c>
      <c r="C3077" s="2" t="n">
        <v>3</v>
      </c>
      <c r="D3077" s="2" t="s">
        <v>586</v>
      </c>
      <c r="E3077" s="2" t="s">
        <v>37</v>
      </c>
      <c r="F3077" s="2" t="n">
        <v>27</v>
      </c>
      <c r="G3077" s="2" t="n">
        <v>19</v>
      </c>
    </row>
    <row r="3078" customFormat="false" ht="16.5" hidden="false" customHeight="true" outlineLevel="0" collapsed="false">
      <c r="A3078" s="2" t="s">
        <v>447</v>
      </c>
      <c r="B3078" s="2" t="s">
        <v>449</v>
      </c>
      <c r="C3078" s="2" t="n">
        <v>3</v>
      </c>
      <c r="D3078" s="2" t="s">
        <v>586</v>
      </c>
      <c r="E3078" s="2" t="s">
        <v>38</v>
      </c>
      <c r="F3078" s="2" t="n">
        <v>27</v>
      </c>
      <c r="G3078" s="2" t="n">
        <v>23</v>
      </c>
    </row>
    <row r="3079" customFormat="false" ht="16.5" hidden="false" customHeight="true" outlineLevel="0" collapsed="false">
      <c r="A3079" s="2" t="s">
        <v>447</v>
      </c>
      <c r="B3079" s="2" t="s">
        <v>449</v>
      </c>
      <c r="C3079" s="2" t="n">
        <v>3</v>
      </c>
      <c r="D3079" s="2" t="s">
        <v>586</v>
      </c>
      <c r="E3079" s="2" t="s">
        <v>39</v>
      </c>
      <c r="F3079" s="2" t="n">
        <v>27</v>
      </c>
      <c r="G3079" s="2" t="n">
        <v>27</v>
      </c>
    </row>
    <row r="3080" customFormat="false" ht="16.5" hidden="false" customHeight="true" outlineLevel="0" collapsed="false">
      <c r="A3080" s="2" t="s">
        <v>447</v>
      </c>
      <c r="B3080" s="2" t="s">
        <v>449</v>
      </c>
      <c r="C3080" s="2" t="n">
        <v>3</v>
      </c>
      <c r="D3080" s="2" t="s">
        <v>586</v>
      </c>
      <c r="E3080" s="2" t="s">
        <v>40</v>
      </c>
      <c r="F3080" s="2" t="n">
        <v>27</v>
      </c>
      <c r="G3080" s="2" t="n">
        <v>31</v>
      </c>
    </row>
    <row r="3081" customFormat="false" ht="16.5" hidden="false" customHeight="true" outlineLevel="0" collapsed="false">
      <c r="A3081" s="2" t="s">
        <v>447</v>
      </c>
      <c r="B3081" s="2" t="s">
        <v>449</v>
      </c>
      <c r="C3081" s="2" t="n">
        <v>3</v>
      </c>
      <c r="D3081" s="2" t="s">
        <v>586</v>
      </c>
      <c r="E3081" s="2" t="s">
        <v>41</v>
      </c>
      <c r="F3081" s="2" t="n">
        <v>27</v>
      </c>
      <c r="G3081" s="2" t="n">
        <v>35</v>
      </c>
    </row>
    <row r="3082" customFormat="false" ht="16.5" hidden="false" customHeight="true" outlineLevel="0" collapsed="false">
      <c r="A3082" s="2" t="s">
        <v>447</v>
      </c>
      <c r="B3082" s="2" t="s">
        <v>449</v>
      </c>
      <c r="C3082" s="2" t="n">
        <v>3</v>
      </c>
      <c r="D3082" s="2" t="s">
        <v>586</v>
      </c>
      <c r="E3082" s="2" t="s">
        <v>42</v>
      </c>
      <c r="F3082" s="2" t="n">
        <v>27</v>
      </c>
      <c r="G3082" s="2" t="n">
        <v>39</v>
      </c>
    </row>
    <row r="3083" customFormat="false" ht="16.5" hidden="false" customHeight="true" outlineLevel="0" collapsed="false">
      <c r="A3083" s="2" t="s">
        <v>447</v>
      </c>
      <c r="B3083" s="2" t="s">
        <v>449</v>
      </c>
      <c r="C3083" s="2" t="n">
        <v>3</v>
      </c>
      <c r="D3083" s="2" t="s">
        <v>586</v>
      </c>
      <c r="E3083" s="2" t="s">
        <v>43</v>
      </c>
      <c r="F3083" s="2" t="n">
        <v>27</v>
      </c>
      <c r="G3083" s="2" t="n">
        <v>43</v>
      </c>
    </row>
    <row r="3084" customFormat="false" ht="16.5" hidden="false" customHeight="true" outlineLevel="0" collapsed="false">
      <c r="A3084" s="2" t="s">
        <v>447</v>
      </c>
      <c r="B3084" s="2" t="s">
        <v>449</v>
      </c>
      <c r="C3084" s="2" t="n">
        <v>3</v>
      </c>
      <c r="D3084" s="2" t="s">
        <v>586</v>
      </c>
      <c r="E3084" s="2" t="s">
        <v>44</v>
      </c>
      <c r="F3084" s="2" t="n">
        <v>27</v>
      </c>
      <c r="G3084" s="2" t="n">
        <v>47</v>
      </c>
    </row>
    <row r="3085" customFormat="false" ht="16.5" hidden="false" customHeight="true" outlineLevel="0" collapsed="false">
      <c r="A3085" s="2" t="s">
        <v>447</v>
      </c>
      <c r="B3085" s="2" t="s">
        <v>449</v>
      </c>
      <c r="C3085" s="2" t="n">
        <v>3</v>
      </c>
      <c r="D3085" s="2" t="s">
        <v>586</v>
      </c>
      <c r="E3085" s="2" t="s">
        <v>48</v>
      </c>
      <c r="F3085" s="2" t="n">
        <v>29</v>
      </c>
      <c r="G3085" s="2" t="n">
        <v>16</v>
      </c>
    </row>
    <row r="3086" customFormat="false" ht="16.5" hidden="false" customHeight="true" outlineLevel="0" collapsed="false">
      <c r="A3086" s="2" t="s">
        <v>447</v>
      </c>
      <c r="B3086" s="2" t="s">
        <v>449</v>
      </c>
      <c r="C3086" s="2" t="n">
        <v>3</v>
      </c>
      <c r="D3086" s="2" t="s">
        <v>586</v>
      </c>
      <c r="E3086" s="2" t="s">
        <v>50</v>
      </c>
      <c r="F3086" s="2" t="n">
        <v>29</v>
      </c>
      <c r="G3086" s="2" t="n">
        <v>20</v>
      </c>
    </row>
    <row r="3087" customFormat="false" ht="16.5" hidden="false" customHeight="true" outlineLevel="0" collapsed="false">
      <c r="A3087" s="2" t="s">
        <v>447</v>
      </c>
      <c r="B3087" s="2" t="s">
        <v>449</v>
      </c>
      <c r="C3087" s="2" t="n">
        <v>3</v>
      </c>
      <c r="D3087" s="2" t="s">
        <v>586</v>
      </c>
      <c r="E3087" s="2" t="s">
        <v>45</v>
      </c>
      <c r="F3087" s="2" t="n">
        <v>29</v>
      </c>
      <c r="G3087" s="2" t="n">
        <v>38</v>
      </c>
    </row>
    <row r="3088" customFormat="false" ht="16.5" hidden="false" customHeight="true" outlineLevel="0" collapsed="false">
      <c r="A3088" s="2" t="s">
        <v>447</v>
      </c>
      <c r="B3088" s="2" t="s">
        <v>449</v>
      </c>
      <c r="C3088" s="2" t="n">
        <v>3</v>
      </c>
      <c r="D3088" s="2" t="s">
        <v>586</v>
      </c>
      <c r="E3088" s="2" t="s">
        <v>46</v>
      </c>
      <c r="F3088" s="2" t="n">
        <v>29</v>
      </c>
      <c r="G3088" s="2" t="n">
        <v>42</v>
      </c>
    </row>
    <row r="3089" customFormat="false" ht="16.5" hidden="false" customHeight="true" outlineLevel="0" collapsed="false">
      <c r="A3089" s="2" t="s">
        <v>447</v>
      </c>
      <c r="B3089" s="2" t="s">
        <v>450</v>
      </c>
      <c r="C3089" s="2" t="n">
        <v>3</v>
      </c>
      <c r="D3089" s="2" t="s">
        <v>587</v>
      </c>
      <c r="E3089" s="2" t="s">
        <v>0</v>
      </c>
      <c r="F3089" s="2" t="n">
        <v>34</v>
      </c>
      <c r="G3089" s="2" t="n">
        <v>6</v>
      </c>
    </row>
    <row r="3090" customFormat="false" ht="16.5" hidden="false" customHeight="true" outlineLevel="0" collapsed="false">
      <c r="A3090" s="2" t="s">
        <v>447</v>
      </c>
      <c r="B3090" s="2" t="s">
        <v>450</v>
      </c>
      <c r="C3090" s="2" t="n">
        <v>3</v>
      </c>
      <c r="D3090" s="2" t="s">
        <v>587</v>
      </c>
      <c r="E3090" s="2" t="s">
        <v>1</v>
      </c>
      <c r="F3090" s="2" t="n">
        <v>34</v>
      </c>
      <c r="G3090" s="2" t="n">
        <v>10</v>
      </c>
    </row>
    <row r="3091" customFormat="false" ht="16.5" hidden="false" customHeight="true" outlineLevel="0" collapsed="false">
      <c r="A3091" s="2" t="s">
        <v>447</v>
      </c>
      <c r="B3091" s="2" t="s">
        <v>450</v>
      </c>
      <c r="C3091" s="2" t="n">
        <v>3</v>
      </c>
      <c r="D3091" s="2" t="s">
        <v>587</v>
      </c>
      <c r="E3091" s="2" t="s">
        <v>2</v>
      </c>
      <c r="F3091" s="2" t="n">
        <v>34</v>
      </c>
      <c r="G3091" s="2" t="n">
        <v>14</v>
      </c>
    </row>
    <row r="3092" customFormat="false" ht="16.5" hidden="false" customHeight="true" outlineLevel="0" collapsed="false">
      <c r="A3092" s="2" t="s">
        <v>447</v>
      </c>
      <c r="B3092" s="2" t="s">
        <v>450</v>
      </c>
      <c r="C3092" s="2" t="n">
        <v>3</v>
      </c>
      <c r="D3092" s="2" t="s">
        <v>587</v>
      </c>
      <c r="E3092" s="2" t="s">
        <v>3</v>
      </c>
      <c r="F3092" s="2" t="n">
        <v>34</v>
      </c>
      <c r="G3092" s="2" t="n">
        <v>18</v>
      </c>
    </row>
    <row r="3093" customFormat="false" ht="16.5" hidden="false" customHeight="true" outlineLevel="0" collapsed="false">
      <c r="A3093" s="2" t="s">
        <v>447</v>
      </c>
      <c r="B3093" s="2" t="s">
        <v>450</v>
      </c>
      <c r="C3093" s="2" t="n">
        <v>3</v>
      </c>
      <c r="D3093" s="2" t="s">
        <v>587</v>
      </c>
      <c r="E3093" s="2" t="s">
        <v>4</v>
      </c>
      <c r="F3093" s="2" t="n">
        <v>34</v>
      </c>
      <c r="G3093" s="2" t="n">
        <v>22</v>
      </c>
    </row>
    <row r="3094" customFormat="false" ht="16.5" hidden="false" customHeight="true" outlineLevel="0" collapsed="false">
      <c r="A3094" s="2" t="s">
        <v>447</v>
      </c>
      <c r="B3094" s="2" t="s">
        <v>450</v>
      </c>
      <c r="C3094" s="2" t="n">
        <v>3</v>
      </c>
      <c r="D3094" s="2" t="s">
        <v>587</v>
      </c>
      <c r="E3094" s="2" t="s">
        <v>5</v>
      </c>
      <c r="F3094" s="2" t="n">
        <v>34</v>
      </c>
      <c r="G3094" s="2" t="n">
        <v>26</v>
      </c>
    </row>
    <row r="3095" customFormat="false" ht="16.5" hidden="false" customHeight="true" outlineLevel="0" collapsed="false">
      <c r="A3095" s="2" t="s">
        <v>447</v>
      </c>
      <c r="B3095" s="2" t="s">
        <v>450</v>
      </c>
      <c r="C3095" s="2" t="n">
        <v>3</v>
      </c>
      <c r="D3095" s="2" t="s">
        <v>587</v>
      </c>
      <c r="E3095" s="2" t="s">
        <v>6</v>
      </c>
      <c r="F3095" s="2" t="n">
        <v>34</v>
      </c>
      <c r="G3095" s="2" t="n">
        <v>30</v>
      </c>
    </row>
    <row r="3096" customFormat="false" ht="16.5" hidden="false" customHeight="true" outlineLevel="0" collapsed="false">
      <c r="A3096" s="2" t="s">
        <v>447</v>
      </c>
      <c r="B3096" s="2" t="s">
        <v>450</v>
      </c>
      <c r="C3096" s="2" t="n">
        <v>3</v>
      </c>
      <c r="D3096" s="2" t="s">
        <v>587</v>
      </c>
      <c r="E3096" s="2" t="s">
        <v>7</v>
      </c>
      <c r="F3096" s="2" t="n">
        <v>34</v>
      </c>
      <c r="G3096" s="2" t="n">
        <v>34</v>
      </c>
    </row>
    <row r="3097" customFormat="false" ht="16.5" hidden="false" customHeight="true" outlineLevel="0" collapsed="false">
      <c r="A3097" s="2" t="s">
        <v>447</v>
      </c>
      <c r="B3097" s="2" t="s">
        <v>450</v>
      </c>
      <c r="C3097" s="2" t="n">
        <v>3</v>
      </c>
      <c r="D3097" s="2" t="s">
        <v>587</v>
      </c>
      <c r="E3097" s="2" t="s">
        <v>8</v>
      </c>
      <c r="F3097" s="2" t="n">
        <v>34</v>
      </c>
      <c r="G3097" s="2" t="n">
        <v>38</v>
      </c>
    </row>
    <row r="3098" customFormat="false" ht="16.5" hidden="false" customHeight="true" outlineLevel="0" collapsed="false">
      <c r="A3098" s="2" t="s">
        <v>447</v>
      </c>
      <c r="B3098" s="2" t="s">
        <v>450</v>
      </c>
      <c r="C3098" s="2" t="n">
        <v>3</v>
      </c>
      <c r="D3098" s="2" t="s">
        <v>587</v>
      </c>
      <c r="E3098" s="2" t="s">
        <v>9</v>
      </c>
      <c r="F3098" s="2" t="n">
        <v>34</v>
      </c>
      <c r="G3098" s="2" t="n">
        <v>42</v>
      </c>
    </row>
    <row r="3099" customFormat="false" ht="16.5" hidden="false" customHeight="true" outlineLevel="0" collapsed="false">
      <c r="A3099" s="2" t="s">
        <v>447</v>
      </c>
      <c r="B3099" s="2" t="s">
        <v>450</v>
      </c>
      <c r="C3099" s="2" t="n">
        <v>3</v>
      </c>
      <c r="D3099" s="2" t="s">
        <v>587</v>
      </c>
      <c r="E3099" s="2" t="s">
        <v>10</v>
      </c>
      <c r="F3099" s="2" t="n">
        <v>34</v>
      </c>
      <c r="G3099" s="2" t="n">
        <v>46</v>
      </c>
    </row>
    <row r="3100" customFormat="false" ht="16.5" hidden="false" customHeight="true" outlineLevel="0" collapsed="false">
      <c r="A3100" s="2" t="s">
        <v>447</v>
      </c>
      <c r="B3100" s="2" t="s">
        <v>450</v>
      </c>
      <c r="C3100" s="2" t="n">
        <v>3</v>
      </c>
      <c r="D3100" s="2" t="s">
        <v>587</v>
      </c>
      <c r="E3100" s="2" t="s">
        <v>11</v>
      </c>
      <c r="F3100" s="2" t="n">
        <v>34</v>
      </c>
      <c r="G3100" s="2" t="n">
        <v>50</v>
      </c>
    </row>
    <row r="3101" customFormat="false" ht="16.5" hidden="false" customHeight="true" outlineLevel="0" collapsed="false">
      <c r="A3101" s="2" t="s">
        <v>447</v>
      </c>
      <c r="B3101" s="2" t="s">
        <v>450</v>
      </c>
      <c r="C3101" s="2" t="n">
        <v>3</v>
      </c>
      <c r="D3101" s="2" t="s">
        <v>587</v>
      </c>
      <c r="E3101" s="2" t="s">
        <v>12</v>
      </c>
      <c r="F3101" s="2" t="n">
        <v>36</v>
      </c>
      <c r="G3101" s="2" t="n">
        <v>8</v>
      </c>
    </row>
    <row r="3102" customFormat="false" ht="16.5" hidden="false" customHeight="true" outlineLevel="0" collapsed="false">
      <c r="A3102" s="2" t="s">
        <v>447</v>
      </c>
      <c r="B3102" s="2" t="s">
        <v>450</v>
      </c>
      <c r="C3102" s="2" t="n">
        <v>3</v>
      </c>
      <c r="D3102" s="2" t="s">
        <v>587</v>
      </c>
      <c r="E3102" s="2" t="s">
        <v>13</v>
      </c>
      <c r="F3102" s="2" t="n">
        <v>36</v>
      </c>
      <c r="G3102" s="2" t="n">
        <v>12</v>
      </c>
    </row>
    <row r="3103" customFormat="false" ht="16.5" hidden="false" customHeight="true" outlineLevel="0" collapsed="false">
      <c r="A3103" s="2" t="s">
        <v>447</v>
      </c>
      <c r="B3103" s="2" t="s">
        <v>450</v>
      </c>
      <c r="C3103" s="2" t="n">
        <v>3</v>
      </c>
      <c r="D3103" s="2" t="s">
        <v>587</v>
      </c>
      <c r="E3103" s="2" t="s">
        <v>14</v>
      </c>
      <c r="F3103" s="2" t="n">
        <v>36</v>
      </c>
      <c r="G3103" s="2" t="n">
        <v>16</v>
      </c>
    </row>
    <row r="3104" customFormat="false" ht="16.5" hidden="false" customHeight="true" outlineLevel="0" collapsed="false">
      <c r="A3104" s="2" t="s">
        <v>447</v>
      </c>
      <c r="B3104" s="2" t="s">
        <v>450</v>
      </c>
      <c r="C3104" s="2" t="n">
        <v>3</v>
      </c>
      <c r="D3104" s="2" t="s">
        <v>587</v>
      </c>
      <c r="E3104" s="2" t="s">
        <v>15</v>
      </c>
      <c r="F3104" s="2" t="n">
        <v>36</v>
      </c>
      <c r="G3104" s="2" t="n">
        <v>20</v>
      </c>
    </row>
    <row r="3105" customFormat="false" ht="16.5" hidden="false" customHeight="true" outlineLevel="0" collapsed="false">
      <c r="A3105" s="2" t="s">
        <v>447</v>
      </c>
      <c r="B3105" s="2" t="s">
        <v>450</v>
      </c>
      <c r="C3105" s="2" t="n">
        <v>3</v>
      </c>
      <c r="D3105" s="2" t="s">
        <v>587</v>
      </c>
      <c r="E3105" s="2" t="s">
        <v>16</v>
      </c>
      <c r="F3105" s="2" t="n">
        <v>36</v>
      </c>
      <c r="G3105" s="2" t="n">
        <v>24</v>
      </c>
    </row>
    <row r="3106" customFormat="false" ht="16.5" hidden="false" customHeight="true" outlineLevel="0" collapsed="false">
      <c r="A3106" s="2" t="s">
        <v>447</v>
      </c>
      <c r="B3106" s="2" t="s">
        <v>450</v>
      </c>
      <c r="C3106" s="2" t="n">
        <v>3</v>
      </c>
      <c r="D3106" s="2" t="s">
        <v>587</v>
      </c>
      <c r="E3106" s="2" t="s">
        <v>17</v>
      </c>
      <c r="F3106" s="2" t="n">
        <v>36</v>
      </c>
      <c r="G3106" s="2" t="n">
        <v>28</v>
      </c>
    </row>
    <row r="3107" customFormat="false" ht="16.5" hidden="false" customHeight="true" outlineLevel="0" collapsed="false">
      <c r="A3107" s="2" t="s">
        <v>447</v>
      </c>
      <c r="B3107" s="2" t="s">
        <v>450</v>
      </c>
      <c r="C3107" s="2" t="n">
        <v>3</v>
      </c>
      <c r="D3107" s="2" t="s">
        <v>587</v>
      </c>
      <c r="E3107" s="2" t="s">
        <v>18</v>
      </c>
      <c r="F3107" s="2" t="n">
        <v>36</v>
      </c>
      <c r="G3107" s="2" t="n">
        <v>32</v>
      </c>
    </row>
    <row r="3108" customFormat="false" ht="16.5" hidden="false" customHeight="true" outlineLevel="0" collapsed="false">
      <c r="A3108" s="2" t="s">
        <v>447</v>
      </c>
      <c r="B3108" s="2" t="s">
        <v>450</v>
      </c>
      <c r="C3108" s="2" t="n">
        <v>3</v>
      </c>
      <c r="D3108" s="2" t="s">
        <v>587</v>
      </c>
      <c r="E3108" s="2" t="s">
        <v>19</v>
      </c>
      <c r="F3108" s="2" t="n">
        <v>36</v>
      </c>
      <c r="G3108" s="2" t="n">
        <v>36</v>
      </c>
    </row>
    <row r="3109" customFormat="false" ht="16.5" hidden="false" customHeight="true" outlineLevel="0" collapsed="false">
      <c r="A3109" s="2" t="s">
        <v>447</v>
      </c>
      <c r="B3109" s="2" t="s">
        <v>450</v>
      </c>
      <c r="C3109" s="2" t="n">
        <v>3</v>
      </c>
      <c r="D3109" s="2" t="s">
        <v>587</v>
      </c>
      <c r="E3109" s="2" t="s">
        <v>20</v>
      </c>
      <c r="F3109" s="2" t="n">
        <v>36</v>
      </c>
      <c r="G3109" s="2" t="n">
        <v>40</v>
      </c>
    </row>
    <row r="3110" customFormat="false" ht="16.5" hidden="false" customHeight="true" outlineLevel="0" collapsed="false">
      <c r="A3110" s="2" t="s">
        <v>447</v>
      </c>
      <c r="B3110" s="2" t="s">
        <v>450</v>
      </c>
      <c r="C3110" s="2" t="n">
        <v>3</v>
      </c>
      <c r="D3110" s="2" t="s">
        <v>587</v>
      </c>
      <c r="E3110" s="2" t="s">
        <v>21</v>
      </c>
      <c r="F3110" s="2" t="n">
        <v>36</v>
      </c>
      <c r="G3110" s="2" t="n">
        <v>44</v>
      </c>
    </row>
    <row r="3111" customFormat="false" ht="16.5" hidden="false" customHeight="true" outlineLevel="0" collapsed="false">
      <c r="A3111" s="2" t="s">
        <v>447</v>
      </c>
      <c r="B3111" s="2" t="s">
        <v>450</v>
      </c>
      <c r="C3111" s="2" t="n">
        <v>3</v>
      </c>
      <c r="D3111" s="2" t="s">
        <v>587</v>
      </c>
      <c r="E3111" s="2" t="s">
        <v>22</v>
      </c>
      <c r="F3111" s="2" t="n">
        <v>36</v>
      </c>
      <c r="G3111" s="2" t="n">
        <v>48</v>
      </c>
    </row>
    <row r="3112" customFormat="false" ht="16.5" hidden="false" customHeight="true" outlineLevel="0" collapsed="false">
      <c r="A3112" s="2" t="s">
        <v>447</v>
      </c>
      <c r="B3112" s="2" t="s">
        <v>450</v>
      </c>
      <c r="C3112" s="2" t="n">
        <v>3</v>
      </c>
      <c r="D3112" s="2" t="s">
        <v>587</v>
      </c>
      <c r="E3112" s="2" t="s">
        <v>23</v>
      </c>
      <c r="F3112" s="2" t="n">
        <v>36</v>
      </c>
      <c r="G3112" s="2" t="n">
        <v>52</v>
      </c>
    </row>
    <row r="3113" customFormat="false" ht="16.5" hidden="false" customHeight="true" outlineLevel="0" collapsed="false">
      <c r="A3113" s="2" t="s">
        <v>447</v>
      </c>
      <c r="B3113" s="2" t="s">
        <v>450</v>
      </c>
      <c r="C3113" s="2" t="n">
        <v>3</v>
      </c>
      <c r="D3113" s="2" t="s">
        <v>587</v>
      </c>
      <c r="E3113" s="2" t="s">
        <v>24</v>
      </c>
      <c r="F3113" s="2" t="n">
        <v>38</v>
      </c>
      <c r="G3113" s="2" t="n">
        <v>9</v>
      </c>
    </row>
    <row r="3114" customFormat="false" ht="16.5" hidden="false" customHeight="true" outlineLevel="0" collapsed="false">
      <c r="A3114" s="2" t="s">
        <v>447</v>
      </c>
      <c r="B3114" s="2" t="s">
        <v>450</v>
      </c>
      <c r="C3114" s="2" t="n">
        <v>3</v>
      </c>
      <c r="D3114" s="2" t="s">
        <v>587</v>
      </c>
      <c r="E3114" s="2" t="s">
        <v>25</v>
      </c>
      <c r="F3114" s="2" t="n">
        <v>38</v>
      </c>
      <c r="G3114" s="2" t="n">
        <v>13</v>
      </c>
    </row>
    <row r="3115" customFormat="false" ht="16.5" hidden="false" customHeight="true" outlineLevel="0" collapsed="false">
      <c r="A3115" s="2" t="s">
        <v>447</v>
      </c>
      <c r="B3115" s="2" t="s">
        <v>450</v>
      </c>
      <c r="C3115" s="2" t="n">
        <v>3</v>
      </c>
      <c r="D3115" s="2" t="s">
        <v>587</v>
      </c>
      <c r="E3115" s="2" t="s">
        <v>26</v>
      </c>
      <c r="F3115" s="2" t="n">
        <v>38</v>
      </c>
      <c r="G3115" s="2" t="n">
        <v>17</v>
      </c>
    </row>
    <row r="3116" customFormat="false" ht="16.5" hidden="false" customHeight="true" outlineLevel="0" collapsed="false">
      <c r="A3116" s="2" t="s">
        <v>447</v>
      </c>
      <c r="B3116" s="2" t="s">
        <v>450</v>
      </c>
      <c r="C3116" s="2" t="n">
        <v>3</v>
      </c>
      <c r="D3116" s="2" t="s">
        <v>587</v>
      </c>
      <c r="E3116" s="2" t="s">
        <v>27</v>
      </c>
      <c r="F3116" s="2" t="n">
        <v>38</v>
      </c>
      <c r="G3116" s="2" t="n">
        <v>21</v>
      </c>
    </row>
    <row r="3117" customFormat="false" ht="16.5" hidden="false" customHeight="true" outlineLevel="0" collapsed="false">
      <c r="A3117" s="2" t="s">
        <v>447</v>
      </c>
      <c r="B3117" s="2" t="s">
        <v>450</v>
      </c>
      <c r="C3117" s="2" t="n">
        <v>3</v>
      </c>
      <c r="D3117" s="2" t="s">
        <v>587</v>
      </c>
      <c r="E3117" s="2" t="s">
        <v>28</v>
      </c>
      <c r="F3117" s="2" t="n">
        <v>38</v>
      </c>
      <c r="G3117" s="2" t="n">
        <v>25</v>
      </c>
    </row>
    <row r="3118" customFormat="false" ht="16.5" hidden="false" customHeight="true" outlineLevel="0" collapsed="false">
      <c r="A3118" s="2" t="s">
        <v>447</v>
      </c>
      <c r="B3118" s="2" t="s">
        <v>450</v>
      </c>
      <c r="C3118" s="2" t="n">
        <v>3</v>
      </c>
      <c r="D3118" s="2" t="s">
        <v>587</v>
      </c>
      <c r="E3118" s="2" t="s">
        <v>29</v>
      </c>
      <c r="F3118" s="2" t="n">
        <v>38</v>
      </c>
      <c r="G3118" s="2" t="n">
        <v>29</v>
      </c>
    </row>
    <row r="3119" customFormat="false" ht="16.5" hidden="false" customHeight="true" outlineLevel="0" collapsed="false">
      <c r="A3119" s="2" t="s">
        <v>447</v>
      </c>
      <c r="B3119" s="2" t="s">
        <v>450</v>
      </c>
      <c r="C3119" s="2" t="n">
        <v>3</v>
      </c>
      <c r="D3119" s="2" t="s">
        <v>587</v>
      </c>
      <c r="E3119" s="2" t="s">
        <v>30</v>
      </c>
      <c r="F3119" s="2" t="n">
        <v>38</v>
      </c>
      <c r="G3119" s="2" t="n">
        <v>33</v>
      </c>
    </row>
    <row r="3120" customFormat="false" ht="16.5" hidden="false" customHeight="true" outlineLevel="0" collapsed="false">
      <c r="A3120" s="2" t="s">
        <v>447</v>
      </c>
      <c r="B3120" s="2" t="s">
        <v>450</v>
      </c>
      <c r="C3120" s="2" t="n">
        <v>3</v>
      </c>
      <c r="D3120" s="2" t="s">
        <v>587</v>
      </c>
      <c r="E3120" s="2" t="s">
        <v>31</v>
      </c>
      <c r="F3120" s="2" t="n">
        <v>38</v>
      </c>
      <c r="G3120" s="2" t="n">
        <v>37</v>
      </c>
    </row>
    <row r="3121" customFormat="false" ht="16.5" hidden="false" customHeight="true" outlineLevel="0" collapsed="false">
      <c r="A3121" s="2" t="s">
        <v>447</v>
      </c>
      <c r="B3121" s="2" t="s">
        <v>450</v>
      </c>
      <c r="C3121" s="2" t="n">
        <v>3</v>
      </c>
      <c r="D3121" s="2" t="s">
        <v>587</v>
      </c>
      <c r="E3121" s="2" t="s">
        <v>32</v>
      </c>
      <c r="F3121" s="2" t="n">
        <v>38</v>
      </c>
      <c r="G3121" s="2" t="n">
        <v>41</v>
      </c>
    </row>
    <row r="3122" customFormat="false" ht="16.5" hidden="false" customHeight="true" outlineLevel="0" collapsed="false">
      <c r="A3122" s="2" t="s">
        <v>447</v>
      </c>
      <c r="B3122" s="2" t="s">
        <v>450</v>
      </c>
      <c r="C3122" s="2" t="n">
        <v>3</v>
      </c>
      <c r="D3122" s="2" t="s">
        <v>587</v>
      </c>
      <c r="E3122" s="2" t="s">
        <v>33</v>
      </c>
      <c r="F3122" s="2" t="n">
        <v>38</v>
      </c>
      <c r="G3122" s="2" t="n">
        <v>45</v>
      </c>
    </row>
    <row r="3123" customFormat="false" ht="16.5" hidden="false" customHeight="true" outlineLevel="0" collapsed="false">
      <c r="A3123" s="2" t="s">
        <v>447</v>
      </c>
      <c r="B3123" s="2" t="s">
        <v>450</v>
      </c>
      <c r="C3123" s="2" t="n">
        <v>3</v>
      </c>
      <c r="D3123" s="2" t="s">
        <v>587</v>
      </c>
      <c r="E3123" s="2" t="s">
        <v>34</v>
      </c>
      <c r="F3123" s="2" t="n">
        <v>38</v>
      </c>
      <c r="G3123" s="2" t="n">
        <v>49</v>
      </c>
    </row>
    <row r="3124" customFormat="false" ht="16.5" hidden="false" customHeight="true" outlineLevel="0" collapsed="false">
      <c r="A3124" s="2" t="s">
        <v>447</v>
      </c>
      <c r="B3124" s="2" t="s">
        <v>450</v>
      </c>
      <c r="C3124" s="2" t="n">
        <v>3</v>
      </c>
      <c r="D3124" s="2" t="s">
        <v>587</v>
      </c>
      <c r="E3124" s="2" t="s">
        <v>35</v>
      </c>
      <c r="F3124" s="2" t="n">
        <v>40</v>
      </c>
      <c r="G3124" s="2" t="n">
        <v>11</v>
      </c>
    </row>
    <row r="3125" customFormat="false" ht="16.5" hidden="false" customHeight="true" outlineLevel="0" collapsed="false">
      <c r="A3125" s="2" t="s">
        <v>447</v>
      </c>
      <c r="B3125" s="2" t="s">
        <v>450</v>
      </c>
      <c r="C3125" s="2" t="n">
        <v>3</v>
      </c>
      <c r="D3125" s="2" t="s">
        <v>587</v>
      </c>
      <c r="E3125" s="2" t="s">
        <v>36</v>
      </c>
      <c r="F3125" s="2" t="n">
        <v>40</v>
      </c>
      <c r="G3125" s="2" t="n">
        <v>15</v>
      </c>
    </row>
    <row r="3126" customFormat="false" ht="16.5" hidden="false" customHeight="true" outlineLevel="0" collapsed="false">
      <c r="A3126" s="2" t="s">
        <v>447</v>
      </c>
      <c r="B3126" s="2" t="s">
        <v>450</v>
      </c>
      <c r="C3126" s="2" t="n">
        <v>3</v>
      </c>
      <c r="D3126" s="2" t="s">
        <v>587</v>
      </c>
      <c r="E3126" s="2" t="s">
        <v>37</v>
      </c>
      <c r="F3126" s="2" t="n">
        <v>40</v>
      </c>
      <c r="G3126" s="2" t="n">
        <v>19</v>
      </c>
    </row>
    <row r="3127" customFormat="false" ht="16.5" hidden="false" customHeight="true" outlineLevel="0" collapsed="false">
      <c r="A3127" s="2" t="s">
        <v>447</v>
      </c>
      <c r="B3127" s="2" t="s">
        <v>450</v>
      </c>
      <c r="C3127" s="2" t="n">
        <v>3</v>
      </c>
      <c r="D3127" s="2" t="s">
        <v>587</v>
      </c>
      <c r="E3127" s="2" t="s">
        <v>38</v>
      </c>
      <c r="F3127" s="2" t="n">
        <v>40</v>
      </c>
      <c r="G3127" s="2" t="n">
        <v>23</v>
      </c>
    </row>
    <row r="3128" customFormat="false" ht="16.5" hidden="false" customHeight="true" outlineLevel="0" collapsed="false">
      <c r="A3128" s="2" t="s">
        <v>447</v>
      </c>
      <c r="B3128" s="2" t="s">
        <v>450</v>
      </c>
      <c r="C3128" s="2" t="n">
        <v>3</v>
      </c>
      <c r="D3128" s="2" t="s">
        <v>587</v>
      </c>
      <c r="E3128" s="2" t="s">
        <v>39</v>
      </c>
      <c r="F3128" s="2" t="n">
        <v>40</v>
      </c>
      <c r="G3128" s="2" t="n">
        <v>27</v>
      </c>
    </row>
    <row r="3129" customFormat="false" ht="16.5" hidden="false" customHeight="true" outlineLevel="0" collapsed="false">
      <c r="A3129" s="2" t="s">
        <v>447</v>
      </c>
      <c r="B3129" s="2" t="s">
        <v>450</v>
      </c>
      <c r="C3129" s="2" t="n">
        <v>3</v>
      </c>
      <c r="D3129" s="2" t="s">
        <v>587</v>
      </c>
      <c r="E3129" s="2" t="s">
        <v>40</v>
      </c>
      <c r="F3129" s="2" t="n">
        <v>40</v>
      </c>
      <c r="G3129" s="2" t="n">
        <v>31</v>
      </c>
    </row>
    <row r="3130" customFormat="false" ht="16.5" hidden="false" customHeight="true" outlineLevel="0" collapsed="false">
      <c r="A3130" s="2" t="s">
        <v>447</v>
      </c>
      <c r="B3130" s="2" t="s">
        <v>450</v>
      </c>
      <c r="C3130" s="2" t="n">
        <v>3</v>
      </c>
      <c r="D3130" s="2" t="s">
        <v>587</v>
      </c>
      <c r="E3130" s="2" t="s">
        <v>41</v>
      </c>
      <c r="F3130" s="2" t="n">
        <v>40</v>
      </c>
      <c r="G3130" s="2" t="n">
        <v>35</v>
      </c>
    </row>
    <row r="3131" customFormat="false" ht="16.5" hidden="false" customHeight="true" outlineLevel="0" collapsed="false">
      <c r="A3131" s="2" t="s">
        <v>447</v>
      </c>
      <c r="B3131" s="2" t="s">
        <v>450</v>
      </c>
      <c r="C3131" s="2" t="n">
        <v>3</v>
      </c>
      <c r="D3131" s="2" t="s">
        <v>587</v>
      </c>
      <c r="E3131" s="2" t="s">
        <v>42</v>
      </c>
      <c r="F3131" s="2" t="n">
        <v>40</v>
      </c>
      <c r="G3131" s="2" t="n">
        <v>39</v>
      </c>
    </row>
    <row r="3132" customFormat="false" ht="16.5" hidden="false" customHeight="true" outlineLevel="0" collapsed="false">
      <c r="A3132" s="2" t="s">
        <v>447</v>
      </c>
      <c r="B3132" s="2" t="s">
        <v>450</v>
      </c>
      <c r="C3132" s="2" t="n">
        <v>3</v>
      </c>
      <c r="D3132" s="2" t="s">
        <v>587</v>
      </c>
      <c r="E3132" s="2" t="s">
        <v>43</v>
      </c>
      <c r="F3132" s="2" t="n">
        <v>40</v>
      </c>
      <c r="G3132" s="2" t="n">
        <v>43</v>
      </c>
    </row>
    <row r="3133" customFormat="false" ht="16.5" hidden="false" customHeight="true" outlineLevel="0" collapsed="false">
      <c r="A3133" s="2" t="s">
        <v>447</v>
      </c>
      <c r="B3133" s="2" t="s">
        <v>450</v>
      </c>
      <c r="C3133" s="2" t="n">
        <v>3</v>
      </c>
      <c r="D3133" s="2" t="s">
        <v>587</v>
      </c>
      <c r="E3133" s="2" t="s">
        <v>44</v>
      </c>
      <c r="F3133" s="2" t="n">
        <v>40</v>
      </c>
      <c r="G3133" s="2" t="n">
        <v>47</v>
      </c>
    </row>
    <row r="3134" customFormat="false" ht="16.5" hidden="false" customHeight="true" outlineLevel="0" collapsed="false">
      <c r="A3134" s="2" t="s">
        <v>447</v>
      </c>
      <c r="B3134" s="2" t="s">
        <v>450</v>
      </c>
      <c r="C3134" s="2" t="n">
        <v>3</v>
      </c>
      <c r="D3134" s="2" t="s">
        <v>587</v>
      </c>
      <c r="E3134" s="2" t="s">
        <v>48</v>
      </c>
      <c r="F3134" s="2" t="n">
        <v>42</v>
      </c>
      <c r="G3134" s="2" t="n">
        <v>16</v>
      </c>
    </row>
    <row r="3135" customFormat="false" ht="16.5" hidden="false" customHeight="true" outlineLevel="0" collapsed="false">
      <c r="A3135" s="2" t="s">
        <v>447</v>
      </c>
      <c r="B3135" s="2" t="s">
        <v>450</v>
      </c>
      <c r="C3135" s="2" t="n">
        <v>3</v>
      </c>
      <c r="D3135" s="2" t="s">
        <v>587</v>
      </c>
      <c r="E3135" s="2" t="s">
        <v>50</v>
      </c>
      <c r="F3135" s="2" t="n">
        <v>42</v>
      </c>
      <c r="G3135" s="2" t="n">
        <v>20</v>
      </c>
    </row>
    <row r="3136" customFormat="false" ht="16.5" hidden="false" customHeight="true" outlineLevel="0" collapsed="false">
      <c r="A3136" s="2" t="s">
        <v>447</v>
      </c>
      <c r="B3136" s="2" t="s">
        <v>450</v>
      </c>
      <c r="C3136" s="2" t="n">
        <v>3</v>
      </c>
      <c r="D3136" s="2" t="s">
        <v>587</v>
      </c>
      <c r="E3136" s="2" t="s">
        <v>45</v>
      </c>
      <c r="F3136" s="2" t="n">
        <v>42</v>
      </c>
      <c r="G3136" s="2" t="n">
        <v>38</v>
      </c>
    </row>
    <row r="3137" customFormat="false" ht="16.5" hidden="false" customHeight="true" outlineLevel="0" collapsed="false">
      <c r="A3137" s="2" t="s">
        <v>447</v>
      </c>
      <c r="B3137" s="2" t="s">
        <v>450</v>
      </c>
      <c r="C3137" s="2" t="n">
        <v>3</v>
      </c>
      <c r="D3137" s="2" t="s">
        <v>587</v>
      </c>
      <c r="E3137" s="2" t="s">
        <v>46</v>
      </c>
      <c r="F3137" s="2" t="n">
        <v>42</v>
      </c>
      <c r="G3137" s="2" t="n">
        <v>42</v>
      </c>
    </row>
    <row r="3138" customFormat="false" ht="16.5" hidden="false" customHeight="true" outlineLevel="0" collapsed="false">
      <c r="A3138" s="2" t="s">
        <v>447</v>
      </c>
      <c r="B3138" s="2" t="s">
        <v>451</v>
      </c>
      <c r="C3138" s="2" t="n">
        <v>3</v>
      </c>
      <c r="D3138" s="2" t="s">
        <v>588</v>
      </c>
      <c r="E3138" s="2" t="s">
        <v>0</v>
      </c>
      <c r="F3138" s="2" t="n">
        <v>47</v>
      </c>
      <c r="G3138" s="2" t="n">
        <v>6</v>
      </c>
    </row>
    <row r="3139" customFormat="false" ht="16.5" hidden="false" customHeight="true" outlineLevel="0" collapsed="false">
      <c r="A3139" s="2" t="s">
        <v>447</v>
      </c>
      <c r="B3139" s="2" t="s">
        <v>451</v>
      </c>
      <c r="C3139" s="2" t="n">
        <v>3</v>
      </c>
      <c r="D3139" s="2" t="s">
        <v>588</v>
      </c>
      <c r="E3139" s="2" t="s">
        <v>1</v>
      </c>
      <c r="F3139" s="2" t="n">
        <v>47</v>
      </c>
      <c r="G3139" s="2" t="n">
        <v>10</v>
      </c>
    </row>
    <row r="3140" customFormat="false" ht="16.5" hidden="false" customHeight="true" outlineLevel="0" collapsed="false">
      <c r="A3140" s="2" t="s">
        <v>447</v>
      </c>
      <c r="B3140" s="2" t="s">
        <v>451</v>
      </c>
      <c r="C3140" s="2" t="n">
        <v>3</v>
      </c>
      <c r="D3140" s="2" t="s">
        <v>588</v>
      </c>
      <c r="E3140" s="2" t="s">
        <v>2</v>
      </c>
      <c r="F3140" s="2" t="n">
        <v>47</v>
      </c>
      <c r="G3140" s="2" t="n">
        <v>14</v>
      </c>
    </row>
    <row r="3141" customFormat="false" ht="16.5" hidden="false" customHeight="true" outlineLevel="0" collapsed="false">
      <c r="A3141" s="2" t="s">
        <v>447</v>
      </c>
      <c r="B3141" s="2" t="s">
        <v>451</v>
      </c>
      <c r="C3141" s="2" t="n">
        <v>3</v>
      </c>
      <c r="D3141" s="2" t="s">
        <v>588</v>
      </c>
      <c r="E3141" s="2" t="s">
        <v>3</v>
      </c>
      <c r="F3141" s="2" t="n">
        <v>47</v>
      </c>
      <c r="G3141" s="2" t="n">
        <v>18</v>
      </c>
    </row>
    <row r="3142" customFormat="false" ht="16.5" hidden="false" customHeight="true" outlineLevel="0" collapsed="false">
      <c r="A3142" s="2" t="s">
        <v>447</v>
      </c>
      <c r="B3142" s="2" t="s">
        <v>451</v>
      </c>
      <c r="C3142" s="2" t="n">
        <v>3</v>
      </c>
      <c r="D3142" s="2" t="s">
        <v>588</v>
      </c>
      <c r="E3142" s="2" t="s">
        <v>4</v>
      </c>
      <c r="F3142" s="2" t="n">
        <v>47</v>
      </c>
      <c r="G3142" s="2" t="n">
        <v>22</v>
      </c>
    </row>
    <row r="3143" customFormat="false" ht="16.5" hidden="false" customHeight="true" outlineLevel="0" collapsed="false">
      <c r="A3143" s="2" t="s">
        <v>447</v>
      </c>
      <c r="B3143" s="2" t="s">
        <v>451</v>
      </c>
      <c r="C3143" s="2" t="n">
        <v>3</v>
      </c>
      <c r="D3143" s="2" t="s">
        <v>588</v>
      </c>
      <c r="E3143" s="2" t="s">
        <v>5</v>
      </c>
      <c r="F3143" s="2" t="n">
        <v>47</v>
      </c>
      <c r="G3143" s="2" t="n">
        <v>26</v>
      </c>
    </row>
    <row r="3144" customFormat="false" ht="16.5" hidden="false" customHeight="true" outlineLevel="0" collapsed="false">
      <c r="A3144" s="2" t="s">
        <v>447</v>
      </c>
      <c r="B3144" s="2" t="s">
        <v>451</v>
      </c>
      <c r="C3144" s="2" t="n">
        <v>3</v>
      </c>
      <c r="D3144" s="2" t="s">
        <v>588</v>
      </c>
      <c r="E3144" s="2" t="s">
        <v>6</v>
      </c>
      <c r="F3144" s="2" t="n">
        <v>47</v>
      </c>
      <c r="G3144" s="2" t="n">
        <v>30</v>
      </c>
    </row>
    <row r="3145" customFormat="false" ht="16.5" hidden="false" customHeight="true" outlineLevel="0" collapsed="false">
      <c r="A3145" s="2" t="s">
        <v>447</v>
      </c>
      <c r="B3145" s="2" t="s">
        <v>451</v>
      </c>
      <c r="C3145" s="2" t="n">
        <v>3</v>
      </c>
      <c r="D3145" s="2" t="s">
        <v>588</v>
      </c>
      <c r="E3145" s="2" t="s">
        <v>7</v>
      </c>
      <c r="F3145" s="2" t="n">
        <v>47</v>
      </c>
      <c r="G3145" s="2" t="n">
        <v>34</v>
      </c>
    </row>
    <row r="3146" customFormat="false" ht="16.5" hidden="false" customHeight="true" outlineLevel="0" collapsed="false">
      <c r="A3146" s="2" t="s">
        <v>447</v>
      </c>
      <c r="B3146" s="2" t="s">
        <v>451</v>
      </c>
      <c r="C3146" s="2" t="n">
        <v>3</v>
      </c>
      <c r="D3146" s="2" t="s">
        <v>588</v>
      </c>
      <c r="E3146" s="2" t="s">
        <v>8</v>
      </c>
      <c r="F3146" s="2" t="n">
        <v>47</v>
      </c>
      <c r="G3146" s="2" t="n">
        <v>38</v>
      </c>
    </row>
    <row r="3147" customFormat="false" ht="16.5" hidden="false" customHeight="true" outlineLevel="0" collapsed="false">
      <c r="A3147" s="2" t="s">
        <v>447</v>
      </c>
      <c r="B3147" s="2" t="s">
        <v>451</v>
      </c>
      <c r="C3147" s="2" t="n">
        <v>3</v>
      </c>
      <c r="D3147" s="2" t="s">
        <v>588</v>
      </c>
      <c r="E3147" s="2" t="s">
        <v>9</v>
      </c>
      <c r="F3147" s="2" t="n">
        <v>47</v>
      </c>
      <c r="G3147" s="2" t="n">
        <v>42</v>
      </c>
    </row>
    <row r="3148" customFormat="false" ht="16.5" hidden="false" customHeight="true" outlineLevel="0" collapsed="false">
      <c r="A3148" s="2" t="s">
        <v>447</v>
      </c>
      <c r="B3148" s="2" t="s">
        <v>451</v>
      </c>
      <c r="C3148" s="2" t="n">
        <v>3</v>
      </c>
      <c r="D3148" s="2" t="s">
        <v>588</v>
      </c>
      <c r="E3148" s="2" t="s">
        <v>10</v>
      </c>
      <c r="F3148" s="2" t="n">
        <v>47</v>
      </c>
      <c r="G3148" s="2" t="n">
        <v>46</v>
      </c>
    </row>
    <row r="3149" customFormat="false" ht="16.5" hidden="false" customHeight="true" outlineLevel="0" collapsed="false">
      <c r="A3149" s="2" t="s">
        <v>447</v>
      </c>
      <c r="B3149" s="2" t="s">
        <v>451</v>
      </c>
      <c r="C3149" s="2" t="n">
        <v>3</v>
      </c>
      <c r="D3149" s="2" t="s">
        <v>588</v>
      </c>
      <c r="E3149" s="2" t="s">
        <v>11</v>
      </c>
      <c r="F3149" s="2" t="n">
        <v>47</v>
      </c>
      <c r="G3149" s="2" t="n">
        <v>50</v>
      </c>
    </row>
    <row r="3150" customFormat="false" ht="16.5" hidden="false" customHeight="true" outlineLevel="0" collapsed="false">
      <c r="A3150" s="2" t="s">
        <v>447</v>
      </c>
      <c r="B3150" s="2" t="s">
        <v>451</v>
      </c>
      <c r="C3150" s="2" t="n">
        <v>3</v>
      </c>
      <c r="D3150" s="2" t="s">
        <v>588</v>
      </c>
      <c r="E3150" s="2" t="s">
        <v>12</v>
      </c>
      <c r="F3150" s="2" t="n">
        <v>49</v>
      </c>
      <c r="G3150" s="2" t="n">
        <v>8</v>
      </c>
    </row>
    <row r="3151" customFormat="false" ht="16.5" hidden="false" customHeight="true" outlineLevel="0" collapsed="false">
      <c r="A3151" s="2" t="s">
        <v>447</v>
      </c>
      <c r="B3151" s="2" t="s">
        <v>451</v>
      </c>
      <c r="C3151" s="2" t="n">
        <v>3</v>
      </c>
      <c r="D3151" s="2" t="s">
        <v>588</v>
      </c>
      <c r="E3151" s="2" t="s">
        <v>13</v>
      </c>
      <c r="F3151" s="2" t="n">
        <v>49</v>
      </c>
      <c r="G3151" s="2" t="n">
        <v>12</v>
      </c>
    </row>
    <row r="3152" customFormat="false" ht="16.5" hidden="false" customHeight="true" outlineLevel="0" collapsed="false">
      <c r="A3152" s="2" t="s">
        <v>447</v>
      </c>
      <c r="B3152" s="2" t="s">
        <v>451</v>
      </c>
      <c r="C3152" s="2" t="n">
        <v>3</v>
      </c>
      <c r="D3152" s="2" t="s">
        <v>588</v>
      </c>
      <c r="E3152" s="2" t="s">
        <v>14</v>
      </c>
      <c r="F3152" s="2" t="n">
        <v>49</v>
      </c>
      <c r="G3152" s="2" t="n">
        <v>16</v>
      </c>
    </row>
    <row r="3153" customFormat="false" ht="16.5" hidden="false" customHeight="true" outlineLevel="0" collapsed="false">
      <c r="A3153" s="2" t="s">
        <v>447</v>
      </c>
      <c r="B3153" s="2" t="s">
        <v>451</v>
      </c>
      <c r="C3153" s="2" t="n">
        <v>3</v>
      </c>
      <c r="D3153" s="2" t="s">
        <v>588</v>
      </c>
      <c r="E3153" s="2" t="s">
        <v>15</v>
      </c>
      <c r="F3153" s="2" t="n">
        <v>49</v>
      </c>
      <c r="G3153" s="2" t="n">
        <v>20</v>
      </c>
    </row>
    <row r="3154" customFormat="false" ht="16.5" hidden="false" customHeight="true" outlineLevel="0" collapsed="false">
      <c r="A3154" s="2" t="s">
        <v>447</v>
      </c>
      <c r="B3154" s="2" t="s">
        <v>451</v>
      </c>
      <c r="C3154" s="2" t="n">
        <v>3</v>
      </c>
      <c r="D3154" s="2" t="s">
        <v>588</v>
      </c>
      <c r="E3154" s="2" t="s">
        <v>16</v>
      </c>
      <c r="F3154" s="2" t="n">
        <v>49</v>
      </c>
      <c r="G3154" s="2" t="n">
        <v>24</v>
      </c>
    </row>
    <row r="3155" customFormat="false" ht="16.5" hidden="false" customHeight="true" outlineLevel="0" collapsed="false">
      <c r="A3155" s="2" t="s">
        <v>447</v>
      </c>
      <c r="B3155" s="2" t="s">
        <v>451</v>
      </c>
      <c r="C3155" s="2" t="n">
        <v>3</v>
      </c>
      <c r="D3155" s="2" t="s">
        <v>588</v>
      </c>
      <c r="E3155" s="2" t="s">
        <v>17</v>
      </c>
      <c r="F3155" s="2" t="n">
        <v>49</v>
      </c>
      <c r="G3155" s="2" t="n">
        <v>28</v>
      </c>
    </row>
    <row r="3156" customFormat="false" ht="16.5" hidden="false" customHeight="true" outlineLevel="0" collapsed="false">
      <c r="A3156" s="2" t="s">
        <v>447</v>
      </c>
      <c r="B3156" s="2" t="s">
        <v>451</v>
      </c>
      <c r="C3156" s="2" t="n">
        <v>3</v>
      </c>
      <c r="D3156" s="2" t="s">
        <v>588</v>
      </c>
      <c r="E3156" s="2" t="s">
        <v>18</v>
      </c>
      <c r="F3156" s="2" t="n">
        <v>49</v>
      </c>
      <c r="G3156" s="2" t="n">
        <v>32</v>
      </c>
    </row>
    <row r="3157" customFormat="false" ht="16.5" hidden="false" customHeight="true" outlineLevel="0" collapsed="false">
      <c r="A3157" s="2" t="s">
        <v>447</v>
      </c>
      <c r="B3157" s="2" t="s">
        <v>451</v>
      </c>
      <c r="C3157" s="2" t="n">
        <v>3</v>
      </c>
      <c r="D3157" s="2" t="s">
        <v>588</v>
      </c>
      <c r="E3157" s="2" t="s">
        <v>19</v>
      </c>
      <c r="F3157" s="2" t="n">
        <v>49</v>
      </c>
      <c r="G3157" s="2" t="n">
        <v>36</v>
      </c>
    </row>
    <row r="3158" customFormat="false" ht="16.5" hidden="false" customHeight="true" outlineLevel="0" collapsed="false">
      <c r="A3158" s="2" t="s">
        <v>447</v>
      </c>
      <c r="B3158" s="2" t="s">
        <v>451</v>
      </c>
      <c r="C3158" s="2" t="n">
        <v>3</v>
      </c>
      <c r="D3158" s="2" t="s">
        <v>588</v>
      </c>
      <c r="E3158" s="2" t="s">
        <v>20</v>
      </c>
      <c r="F3158" s="2" t="n">
        <v>49</v>
      </c>
      <c r="G3158" s="2" t="n">
        <v>40</v>
      </c>
    </row>
    <row r="3159" customFormat="false" ht="16.5" hidden="false" customHeight="true" outlineLevel="0" collapsed="false">
      <c r="A3159" s="2" t="s">
        <v>447</v>
      </c>
      <c r="B3159" s="2" t="s">
        <v>451</v>
      </c>
      <c r="C3159" s="2" t="n">
        <v>3</v>
      </c>
      <c r="D3159" s="2" t="s">
        <v>588</v>
      </c>
      <c r="E3159" s="2" t="s">
        <v>21</v>
      </c>
      <c r="F3159" s="2" t="n">
        <v>49</v>
      </c>
      <c r="G3159" s="2" t="n">
        <v>44</v>
      </c>
    </row>
    <row r="3160" customFormat="false" ht="16.5" hidden="false" customHeight="true" outlineLevel="0" collapsed="false">
      <c r="A3160" s="2" t="s">
        <v>447</v>
      </c>
      <c r="B3160" s="2" t="s">
        <v>451</v>
      </c>
      <c r="C3160" s="2" t="n">
        <v>3</v>
      </c>
      <c r="D3160" s="2" t="s">
        <v>588</v>
      </c>
      <c r="E3160" s="2" t="s">
        <v>22</v>
      </c>
      <c r="F3160" s="2" t="n">
        <v>49</v>
      </c>
      <c r="G3160" s="2" t="n">
        <v>48</v>
      </c>
    </row>
    <row r="3161" customFormat="false" ht="16.5" hidden="false" customHeight="true" outlineLevel="0" collapsed="false">
      <c r="A3161" s="2" t="s">
        <v>447</v>
      </c>
      <c r="B3161" s="2" t="s">
        <v>451</v>
      </c>
      <c r="C3161" s="2" t="n">
        <v>3</v>
      </c>
      <c r="D3161" s="2" t="s">
        <v>588</v>
      </c>
      <c r="E3161" s="2" t="s">
        <v>23</v>
      </c>
      <c r="F3161" s="2" t="n">
        <v>49</v>
      </c>
      <c r="G3161" s="2" t="n">
        <v>52</v>
      </c>
    </row>
    <row r="3162" customFormat="false" ht="16.5" hidden="false" customHeight="true" outlineLevel="0" collapsed="false">
      <c r="A3162" s="2" t="s">
        <v>447</v>
      </c>
      <c r="B3162" s="2" t="s">
        <v>451</v>
      </c>
      <c r="C3162" s="2" t="n">
        <v>3</v>
      </c>
      <c r="D3162" s="2" t="s">
        <v>588</v>
      </c>
      <c r="E3162" s="2" t="s">
        <v>24</v>
      </c>
      <c r="F3162" s="2" t="n">
        <v>51</v>
      </c>
      <c r="G3162" s="2" t="n">
        <v>9</v>
      </c>
    </row>
    <row r="3163" customFormat="false" ht="16.5" hidden="false" customHeight="true" outlineLevel="0" collapsed="false">
      <c r="A3163" s="2" t="s">
        <v>447</v>
      </c>
      <c r="B3163" s="2" t="s">
        <v>451</v>
      </c>
      <c r="C3163" s="2" t="n">
        <v>3</v>
      </c>
      <c r="D3163" s="2" t="s">
        <v>588</v>
      </c>
      <c r="E3163" s="2" t="s">
        <v>25</v>
      </c>
      <c r="F3163" s="2" t="n">
        <v>51</v>
      </c>
      <c r="G3163" s="2" t="n">
        <v>13</v>
      </c>
    </row>
    <row r="3164" customFormat="false" ht="16.5" hidden="false" customHeight="true" outlineLevel="0" collapsed="false">
      <c r="A3164" s="2" t="s">
        <v>447</v>
      </c>
      <c r="B3164" s="2" t="s">
        <v>451</v>
      </c>
      <c r="C3164" s="2" t="n">
        <v>3</v>
      </c>
      <c r="D3164" s="2" t="s">
        <v>588</v>
      </c>
      <c r="E3164" s="2" t="s">
        <v>26</v>
      </c>
      <c r="F3164" s="2" t="n">
        <v>51</v>
      </c>
      <c r="G3164" s="2" t="n">
        <v>17</v>
      </c>
    </row>
    <row r="3165" customFormat="false" ht="16.5" hidden="false" customHeight="true" outlineLevel="0" collapsed="false">
      <c r="A3165" s="2" t="s">
        <v>447</v>
      </c>
      <c r="B3165" s="2" t="s">
        <v>451</v>
      </c>
      <c r="C3165" s="2" t="n">
        <v>3</v>
      </c>
      <c r="D3165" s="2" t="s">
        <v>588</v>
      </c>
      <c r="E3165" s="2" t="s">
        <v>27</v>
      </c>
      <c r="F3165" s="2" t="n">
        <v>51</v>
      </c>
      <c r="G3165" s="2" t="n">
        <v>21</v>
      </c>
    </row>
    <row r="3166" customFormat="false" ht="16.5" hidden="false" customHeight="true" outlineLevel="0" collapsed="false">
      <c r="A3166" s="2" t="s">
        <v>447</v>
      </c>
      <c r="B3166" s="2" t="s">
        <v>451</v>
      </c>
      <c r="C3166" s="2" t="n">
        <v>3</v>
      </c>
      <c r="D3166" s="2" t="s">
        <v>588</v>
      </c>
      <c r="E3166" s="2" t="s">
        <v>28</v>
      </c>
      <c r="F3166" s="2" t="n">
        <v>51</v>
      </c>
      <c r="G3166" s="2" t="n">
        <v>25</v>
      </c>
    </row>
    <row r="3167" customFormat="false" ht="16.5" hidden="false" customHeight="true" outlineLevel="0" collapsed="false">
      <c r="A3167" s="2" t="s">
        <v>447</v>
      </c>
      <c r="B3167" s="2" t="s">
        <v>451</v>
      </c>
      <c r="C3167" s="2" t="n">
        <v>3</v>
      </c>
      <c r="D3167" s="2" t="s">
        <v>588</v>
      </c>
      <c r="E3167" s="2" t="s">
        <v>29</v>
      </c>
      <c r="F3167" s="2" t="n">
        <v>51</v>
      </c>
      <c r="G3167" s="2" t="n">
        <v>29</v>
      </c>
    </row>
    <row r="3168" customFormat="false" ht="16.5" hidden="false" customHeight="true" outlineLevel="0" collapsed="false">
      <c r="A3168" s="2" t="s">
        <v>447</v>
      </c>
      <c r="B3168" s="2" t="s">
        <v>451</v>
      </c>
      <c r="C3168" s="2" t="n">
        <v>3</v>
      </c>
      <c r="D3168" s="2" t="s">
        <v>588</v>
      </c>
      <c r="E3168" s="2" t="s">
        <v>30</v>
      </c>
      <c r="F3168" s="2" t="n">
        <v>51</v>
      </c>
      <c r="G3168" s="2" t="n">
        <v>33</v>
      </c>
    </row>
    <row r="3169" customFormat="false" ht="16.5" hidden="false" customHeight="true" outlineLevel="0" collapsed="false">
      <c r="A3169" s="2" t="s">
        <v>447</v>
      </c>
      <c r="B3169" s="2" t="s">
        <v>451</v>
      </c>
      <c r="C3169" s="2" t="n">
        <v>3</v>
      </c>
      <c r="D3169" s="2" t="s">
        <v>588</v>
      </c>
      <c r="E3169" s="2" t="s">
        <v>31</v>
      </c>
      <c r="F3169" s="2" t="n">
        <v>51</v>
      </c>
      <c r="G3169" s="2" t="n">
        <v>37</v>
      </c>
    </row>
    <row r="3170" customFormat="false" ht="16.5" hidden="false" customHeight="true" outlineLevel="0" collapsed="false">
      <c r="A3170" s="2" t="s">
        <v>447</v>
      </c>
      <c r="B3170" s="2" t="s">
        <v>451</v>
      </c>
      <c r="C3170" s="2" t="n">
        <v>3</v>
      </c>
      <c r="D3170" s="2" t="s">
        <v>588</v>
      </c>
      <c r="E3170" s="2" t="s">
        <v>32</v>
      </c>
      <c r="F3170" s="2" t="n">
        <v>51</v>
      </c>
      <c r="G3170" s="2" t="n">
        <v>41</v>
      </c>
    </row>
    <row r="3171" customFormat="false" ht="16.5" hidden="false" customHeight="true" outlineLevel="0" collapsed="false">
      <c r="A3171" s="2" t="s">
        <v>447</v>
      </c>
      <c r="B3171" s="2" t="s">
        <v>451</v>
      </c>
      <c r="C3171" s="2" t="n">
        <v>3</v>
      </c>
      <c r="D3171" s="2" t="s">
        <v>588</v>
      </c>
      <c r="E3171" s="2" t="s">
        <v>33</v>
      </c>
      <c r="F3171" s="2" t="n">
        <v>51</v>
      </c>
      <c r="G3171" s="2" t="n">
        <v>45</v>
      </c>
    </row>
    <row r="3172" customFormat="false" ht="16.5" hidden="false" customHeight="true" outlineLevel="0" collapsed="false">
      <c r="A3172" s="2" t="s">
        <v>447</v>
      </c>
      <c r="B3172" s="2" t="s">
        <v>451</v>
      </c>
      <c r="C3172" s="2" t="n">
        <v>3</v>
      </c>
      <c r="D3172" s="2" t="s">
        <v>588</v>
      </c>
      <c r="E3172" s="2" t="s">
        <v>34</v>
      </c>
      <c r="F3172" s="2" t="n">
        <v>51</v>
      </c>
      <c r="G3172" s="2" t="n">
        <v>49</v>
      </c>
    </row>
    <row r="3173" customFormat="false" ht="16.5" hidden="false" customHeight="true" outlineLevel="0" collapsed="false">
      <c r="A3173" s="2" t="s">
        <v>447</v>
      </c>
      <c r="B3173" s="2" t="s">
        <v>451</v>
      </c>
      <c r="C3173" s="2" t="n">
        <v>3</v>
      </c>
      <c r="D3173" s="2" t="s">
        <v>588</v>
      </c>
      <c r="E3173" s="2" t="s">
        <v>35</v>
      </c>
      <c r="F3173" s="2" t="n">
        <v>53</v>
      </c>
      <c r="G3173" s="2" t="n">
        <v>11</v>
      </c>
    </row>
    <row r="3174" customFormat="false" ht="16.5" hidden="false" customHeight="true" outlineLevel="0" collapsed="false">
      <c r="A3174" s="2" t="s">
        <v>447</v>
      </c>
      <c r="B3174" s="2" t="s">
        <v>451</v>
      </c>
      <c r="C3174" s="2" t="n">
        <v>3</v>
      </c>
      <c r="D3174" s="2" t="s">
        <v>588</v>
      </c>
      <c r="E3174" s="2" t="s">
        <v>36</v>
      </c>
      <c r="F3174" s="2" t="n">
        <v>53</v>
      </c>
      <c r="G3174" s="2" t="n">
        <v>15</v>
      </c>
    </row>
    <row r="3175" customFormat="false" ht="16.5" hidden="false" customHeight="true" outlineLevel="0" collapsed="false">
      <c r="A3175" s="2" t="s">
        <v>447</v>
      </c>
      <c r="B3175" s="2" t="s">
        <v>451</v>
      </c>
      <c r="C3175" s="2" t="n">
        <v>3</v>
      </c>
      <c r="D3175" s="2" t="s">
        <v>588</v>
      </c>
      <c r="E3175" s="2" t="s">
        <v>37</v>
      </c>
      <c r="F3175" s="2" t="n">
        <v>53</v>
      </c>
      <c r="G3175" s="2" t="n">
        <v>19</v>
      </c>
    </row>
    <row r="3176" customFormat="false" ht="16.5" hidden="false" customHeight="true" outlineLevel="0" collapsed="false">
      <c r="A3176" s="2" t="s">
        <v>447</v>
      </c>
      <c r="B3176" s="2" t="s">
        <v>451</v>
      </c>
      <c r="C3176" s="2" t="n">
        <v>3</v>
      </c>
      <c r="D3176" s="2" t="s">
        <v>588</v>
      </c>
      <c r="E3176" s="2" t="s">
        <v>38</v>
      </c>
      <c r="F3176" s="2" t="n">
        <v>53</v>
      </c>
      <c r="G3176" s="2" t="n">
        <v>23</v>
      </c>
    </row>
    <row r="3177" customFormat="false" ht="16.5" hidden="false" customHeight="true" outlineLevel="0" collapsed="false">
      <c r="A3177" s="2" t="s">
        <v>447</v>
      </c>
      <c r="B3177" s="2" t="s">
        <v>451</v>
      </c>
      <c r="C3177" s="2" t="n">
        <v>3</v>
      </c>
      <c r="D3177" s="2" t="s">
        <v>588</v>
      </c>
      <c r="E3177" s="2" t="s">
        <v>39</v>
      </c>
      <c r="F3177" s="2" t="n">
        <v>53</v>
      </c>
      <c r="G3177" s="2" t="n">
        <v>27</v>
      </c>
    </row>
    <row r="3178" customFormat="false" ht="16.5" hidden="false" customHeight="true" outlineLevel="0" collapsed="false">
      <c r="A3178" s="2" t="s">
        <v>447</v>
      </c>
      <c r="B3178" s="2" t="s">
        <v>451</v>
      </c>
      <c r="C3178" s="2" t="n">
        <v>3</v>
      </c>
      <c r="D3178" s="2" t="s">
        <v>588</v>
      </c>
      <c r="E3178" s="2" t="s">
        <v>40</v>
      </c>
      <c r="F3178" s="2" t="n">
        <v>53</v>
      </c>
      <c r="G3178" s="2" t="n">
        <v>31</v>
      </c>
    </row>
    <row r="3179" customFormat="false" ht="16.5" hidden="false" customHeight="true" outlineLevel="0" collapsed="false">
      <c r="A3179" s="2" t="s">
        <v>447</v>
      </c>
      <c r="B3179" s="2" t="s">
        <v>451</v>
      </c>
      <c r="C3179" s="2" t="n">
        <v>3</v>
      </c>
      <c r="D3179" s="2" t="s">
        <v>588</v>
      </c>
      <c r="E3179" s="2" t="s">
        <v>41</v>
      </c>
      <c r="F3179" s="2" t="n">
        <v>53</v>
      </c>
      <c r="G3179" s="2" t="n">
        <v>35</v>
      </c>
    </row>
    <row r="3180" customFormat="false" ht="16.5" hidden="false" customHeight="true" outlineLevel="0" collapsed="false">
      <c r="A3180" s="2" t="s">
        <v>447</v>
      </c>
      <c r="B3180" s="2" t="s">
        <v>451</v>
      </c>
      <c r="C3180" s="2" t="n">
        <v>3</v>
      </c>
      <c r="D3180" s="2" t="s">
        <v>588</v>
      </c>
      <c r="E3180" s="2" t="s">
        <v>42</v>
      </c>
      <c r="F3180" s="2" t="n">
        <v>53</v>
      </c>
      <c r="G3180" s="2" t="n">
        <v>39</v>
      </c>
    </row>
    <row r="3181" customFormat="false" ht="16.5" hidden="false" customHeight="true" outlineLevel="0" collapsed="false">
      <c r="A3181" s="2" t="s">
        <v>447</v>
      </c>
      <c r="B3181" s="2" t="s">
        <v>451</v>
      </c>
      <c r="C3181" s="2" t="n">
        <v>3</v>
      </c>
      <c r="D3181" s="2" t="s">
        <v>588</v>
      </c>
      <c r="E3181" s="2" t="s">
        <v>43</v>
      </c>
      <c r="F3181" s="2" t="n">
        <v>53</v>
      </c>
      <c r="G3181" s="2" t="n">
        <v>43</v>
      </c>
    </row>
    <row r="3182" customFormat="false" ht="16.5" hidden="false" customHeight="true" outlineLevel="0" collapsed="false">
      <c r="A3182" s="2" t="s">
        <v>447</v>
      </c>
      <c r="B3182" s="2" t="s">
        <v>451</v>
      </c>
      <c r="C3182" s="2" t="n">
        <v>3</v>
      </c>
      <c r="D3182" s="2" t="s">
        <v>588</v>
      </c>
      <c r="E3182" s="2" t="s">
        <v>44</v>
      </c>
      <c r="F3182" s="2" t="n">
        <v>53</v>
      </c>
      <c r="G3182" s="2" t="n">
        <v>47</v>
      </c>
    </row>
    <row r="3183" customFormat="false" ht="16.5" hidden="false" customHeight="true" outlineLevel="0" collapsed="false">
      <c r="A3183" s="2" t="s">
        <v>447</v>
      </c>
      <c r="B3183" s="2" t="s">
        <v>451</v>
      </c>
      <c r="C3183" s="2" t="n">
        <v>3</v>
      </c>
      <c r="D3183" s="2" t="s">
        <v>588</v>
      </c>
      <c r="E3183" s="2" t="s">
        <v>48</v>
      </c>
      <c r="F3183" s="2" t="n">
        <v>55</v>
      </c>
      <c r="G3183" s="2" t="n">
        <v>16</v>
      </c>
    </row>
    <row r="3184" customFormat="false" ht="16.5" hidden="false" customHeight="true" outlineLevel="0" collapsed="false">
      <c r="A3184" s="2" t="s">
        <v>447</v>
      </c>
      <c r="B3184" s="2" t="s">
        <v>451</v>
      </c>
      <c r="C3184" s="2" t="n">
        <v>3</v>
      </c>
      <c r="D3184" s="2" t="s">
        <v>588</v>
      </c>
      <c r="E3184" s="2" t="s">
        <v>50</v>
      </c>
      <c r="F3184" s="2" t="n">
        <v>55</v>
      </c>
      <c r="G3184" s="2" t="n">
        <v>20</v>
      </c>
    </row>
    <row r="3185" customFormat="false" ht="16.5" hidden="false" customHeight="true" outlineLevel="0" collapsed="false">
      <c r="A3185" s="2" t="s">
        <v>447</v>
      </c>
      <c r="B3185" s="2" t="s">
        <v>451</v>
      </c>
      <c r="C3185" s="2" t="n">
        <v>3</v>
      </c>
      <c r="D3185" s="2" t="s">
        <v>588</v>
      </c>
      <c r="E3185" s="2" t="s">
        <v>45</v>
      </c>
      <c r="F3185" s="2" t="n">
        <v>55</v>
      </c>
      <c r="G3185" s="2" t="n">
        <v>38</v>
      </c>
    </row>
    <row r="3186" customFormat="false" ht="16.5" hidden="false" customHeight="true" outlineLevel="0" collapsed="false">
      <c r="A3186" s="2" t="s">
        <v>447</v>
      </c>
      <c r="B3186" s="2" t="s">
        <v>451</v>
      </c>
      <c r="C3186" s="2" t="n">
        <v>3</v>
      </c>
      <c r="D3186" s="2" t="s">
        <v>588</v>
      </c>
      <c r="E3186" s="2" t="s">
        <v>46</v>
      </c>
      <c r="F3186" s="2" t="n">
        <v>55</v>
      </c>
      <c r="G3186" s="2" t="n">
        <v>42</v>
      </c>
    </row>
    <row r="3187" customFormat="false" ht="16.5" hidden="false" customHeight="true" outlineLevel="0" collapsed="false">
      <c r="A3187" s="2" t="s">
        <v>447</v>
      </c>
      <c r="B3187" s="2" t="s">
        <v>452</v>
      </c>
      <c r="C3187" s="2" t="n">
        <v>3</v>
      </c>
      <c r="D3187" s="2" t="s">
        <v>589</v>
      </c>
      <c r="E3187" s="2" t="s">
        <v>0</v>
      </c>
      <c r="F3187" s="2" t="n">
        <v>60</v>
      </c>
      <c r="G3187" s="2" t="n">
        <v>6</v>
      </c>
    </row>
    <row r="3188" customFormat="false" ht="16.5" hidden="false" customHeight="true" outlineLevel="0" collapsed="false">
      <c r="A3188" s="2" t="s">
        <v>447</v>
      </c>
      <c r="B3188" s="2" t="s">
        <v>452</v>
      </c>
      <c r="C3188" s="2" t="n">
        <v>3</v>
      </c>
      <c r="D3188" s="2" t="s">
        <v>589</v>
      </c>
      <c r="E3188" s="2" t="s">
        <v>1</v>
      </c>
      <c r="F3188" s="2" t="n">
        <v>60</v>
      </c>
      <c r="G3188" s="2" t="n">
        <v>10</v>
      </c>
    </row>
    <row r="3189" customFormat="false" ht="16.5" hidden="false" customHeight="true" outlineLevel="0" collapsed="false">
      <c r="A3189" s="2" t="s">
        <v>447</v>
      </c>
      <c r="B3189" s="2" t="s">
        <v>452</v>
      </c>
      <c r="C3189" s="2" t="n">
        <v>3</v>
      </c>
      <c r="D3189" s="2" t="s">
        <v>589</v>
      </c>
      <c r="E3189" s="2" t="s">
        <v>2</v>
      </c>
      <c r="F3189" s="2" t="n">
        <v>60</v>
      </c>
      <c r="G3189" s="2" t="n">
        <v>14</v>
      </c>
    </row>
    <row r="3190" customFormat="false" ht="16.5" hidden="false" customHeight="true" outlineLevel="0" collapsed="false">
      <c r="A3190" s="2" t="s">
        <v>447</v>
      </c>
      <c r="B3190" s="2" t="s">
        <v>452</v>
      </c>
      <c r="C3190" s="2" t="n">
        <v>3</v>
      </c>
      <c r="D3190" s="2" t="s">
        <v>589</v>
      </c>
      <c r="E3190" s="2" t="s">
        <v>3</v>
      </c>
      <c r="F3190" s="2" t="n">
        <v>60</v>
      </c>
      <c r="G3190" s="2" t="n">
        <v>18</v>
      </c>
    </row>
    <row r="3191" customFormat="false" ht="16.5" hidden="false" customHeight="true" outlineLevel="0" collapsed="false">
      <c r="A3191" s="2" t="s">
        <v>447</v>
      </c>
      <c r="B3191" s="2" t="s">
        <v>452</v>
      </c>
      <c r="C3191" s="2" t="n">
        <v>3</v>
      </c>
      <c r="D3191" s="2" t="s">
        <v>589</v>
      </c>
      <c r="E3191" s="2" t="s">
        <v>4</v>
      </c>
      <c r="F3191" s="2" t="n">
        <v>60</v>
      </c>
      <c r="G3191" s="2" t="n">
        <v>22</v>
      </c>
    </row>
    <row r="3192" customFormat="false" ht="16.5" hidden="false" customHeight="true" outlineLevel="0" collapsed="false">
      <c r="A3192" s="2" t="s">
        <v>447</v>
      </c>
      <c r="B3192" s="2" t="s">
        <v>452</v>
      </c>
      <c r="C3192" s="2" t="n">
        <v>3</v>
      </c>
      <c r="D3192" s="2" t="s">
        <v>589</v>
      </c>
      <c r="E3192" s="2" t="s">
        <v>5</v>
      </c>
      <c r="F3192" s="2" t="n">
        <v>60</v>
      </c>
      <c r="G3192" s="2" t="n">
        <v>26</v>
      </c>
    </row>
    <row r="3193" customFormat="false" ht="16.5" hidden="false" customHeight="true" outlineLevel="0" collapsed="false">
      <c r="A3193" s="2" t="s">
        <v>447</v>
      </c>
      <c r="B3193" s="2" t="s">
        <v>452</v>
      </c>
      <c r="C3193" s="2" t="n">
        <v>3</v>
      </c>
      <c r="D3193" s="2" t="s">
        <v>589</v>
      </c>
      <c r="E3193" s="2" t="s">
        <v>6</v>
      </c>
      <c r="F3193" s="2" t="n">
        <v>60</v>
      </c>
      <c r="G3193" s="2" t="n">
        <v>30</v>
      </c>
    </row>
    <row r="3194" customFormat="false" ht="16.5" hidden="false" customHeight="true" outlineLevel="0" collapsed="false">
      <c r="A3194" s="2" t="s">
        <v>447</v>
      </c>
      <c r="B3194" s="2" t="s">
        <v>452</v>
      </c>
      <c r="C3194" s="2" t="n">
        <v>3</v>
      </c>
      <c r="D3194" s="2" t="s">
        <v>589</v>
      </c>
      <c r="E3194" s="2" t="s">
        <v>7</v>
      </c>
      <c r="F3194" s="2" t="n">
        <v>60</v>
      </c>
      <c r="G3194" s="2" t="n">
        <v>34</v>
      </c>
    </row>
    <row r="3195" customFormat="false" ht="16.5" hidden="false" customHeight="true" outlineLevel="0" collapsed="false">
      <c r="A3195" s="2" t="s">
        <v>447</v>
      </c>
      <c r="B3195" s="2" t="s">
        <v>452</v>
      </c>
      <c r="C3195" s="2" t="n">
        <v>3</v>
      </c>
      <c r="D3195" s="2" t="s">
        <v>589</v>
      </c>
      <c r="E3195" s="2" t="s">
        <v>8</v>
      </c>
      <c r="F3195" s="2" t="n">
        <v>60</v>
      </c>
      <c r="G3195" s="2" t="n">
        <v>38</v>
      </c>
    </row>
    <row r="3196" customFormat="false" ht="16.5" hidden="false" customHeight="true" outlineLevel="0" collapsed="false">
      <c r="A3196" s="2" t="s">
        <v>447</v>
      </c>
      <c r="B3196" s="2" t="s">
        <v>452</v>
      </c>
      <c r="C3196" s="2" t="n">
        <v>3</v>
      </c>
      <c r="D3196" s="2" t="s">
        <v>589</v>
      </c>
      <c r="E3196" s="2" t="s">
        <v>9</v>
      </c>
      <c r="F3196" s="2" t="n">
        <v>60</v>
      </c>
      <c r="G3196" s="2" t="n">
        <v>42</v>
      </c>
    </row>
    <row r="3197" customFormat="false" ht="16.5" hidden="false" customHeight="true" outlineLevel="0" collapsed="false">
      <c r="A3197" s="2" t="s">
        <v>447</v>
      </c>
      <c r="B3197" s="2" t="s">
        <v>452</v>
      </c>
      <c r="C3197" s="2" t="n">
        <v>3</v>
      </c>
      <c r="D3197" s="2" t="s">
        <v>589</v>
      </c>
      <c r="E3197" s="2" t="s">
        <v>10</v>
      </c>
      <c r="F3197" s="2" t="n">
        <v>60</v>
      </c>
      <c r="G3197" s="2" t="n">
        <v>46</v>
      </c>
    </row>
    <row r="3198" customFormat="false" ht="16.5" hidden="false" customHeight="true" outlineLevel="0" collapsed="false">
      <c r="A3198" s="2" t="s">
        <v>447</v>
      </c>
      <c r="B3198" s="2" t="s">
        <v>452</v>
      </c>
      <c r="C3198" s="2" t="n">
        <v>3</v>
      </c>
      <c r="D3198" s="2" t="s">
        <v>589</v>
      </c>
      <c r="E3198" s="2" t="s">
        <v>11</v>
      </c>
      <c r="F3198" s="2" t="n">
        <v>60</v>
      </c>
      <c r="G3198" s="2" t="n">
        <v>50</v>
      </c>
    </row>
    <row r="3199" customFormat="false" ht="16.5" hidden="false" customHeight="true" outlineLevel="0" collapsed="false">
      <c r="A3199" s="2" t="s">
        <v>447</v>
      </c>
      <c r="B3199" s="2" t="s">
        <v>452</v>
      </c>
      <c r="C3199" s="2" t="n">
        <v>3</v>
      </c>
      <c r="D3199" s="2" t="s">
        <v>589</v>
      </c>
      <c r="E3199" s="2" t="s">
        <v>12</v>
      </c>
      <c r="F3199" s="2" t="n">
        <v>62</v>
      </c>
      <c r="G3199" s="2" t="n">
        <v>8</v>
      </c>
    </row>
    <row r="3200" customFormat="false" ht="16.5" hidden="false" customHeight="true" outlineLevel="0" collapsed="false">
      <c r="A3200" s="2" t="s">
        <v>447</v>
      </c>
      <c r="B3200" s="2" t="s">
        <v>452</v>
      </c>
      <c r="C3200" s="2" t="n">
        <v>3</v>
      </c>
      <c r="D3200" s="2" t="s">
        <v>589</v>
      </c>
      <c r="E3200" s="2" t="s">
        <v>13</v>
      </c>
      <c r="F3200" s="2" t="n">
        <v>62</v>
      </c>
      <c r="G3200" s="2" t="n">
        <v>12</v>
      </c>
    </row>
    <row r="3201" customFormat="false" ht="16.5" hidden="false" customHeight="true" outlineLevel="0" collapsed="false">
      <c r="A3201" s="2" t="s">
        <v>447</v>
      </c>
      <c r="B3201" s="2" t="s">
        <v>452</v>
      </c>
      <c r="C3201" s="2" t="n">
        <v>3</v>
      </c>
      <c r="D3201" s="2" t="s">
        <v>589</v>
      </c>
      <c r="E3201" s="2" t="s">
        <v>14</v>
      </c>
      <c r="F3201" s="2" t="n">
        <v>62</v>
      </c>
      <c r="G3201" s="2" t="n">
        <v>16</v>
      </c>
    </row>
    <row r="3202" customFormat="false" ht="16.5" hidden="false" customHeight="true" outlineLevel="0" collapsed="false">
      <c r="A3202" s="2" t="s">
        <v>447</v>
      </c>
      <c r="B3202" s="2" t="s">
        <v>452</v>
      </c>
      <c r="C3202" s="2" t="n">
        <v>3</v>
      </c>
      <c r="D3202" s="2" t="s">
        <v>589</v>
      </c>
      <c r="E3202" s="2" t="s">
        <v>15</v>
      </c>
      <c r="F3202" s="2" t="n">
        <v>62</v>
      </c>
      <c r="G3202" s="2" t="n">
        <v>20</v>
      </c>
    </row>
    <row r="3203" customFormat="false" ht="16.5" hidden="false" customHeight="true" outlineLevel="0" collapsed="false">
      <c r="A3203" s="2" t="s">
        <v>447</v>
      </c>
      <c r="B3203" s="2" t="s">
        <v>452</v>
      </c>
      <c r="C3203" s="2" t="n">
        <v>3</v>
      </c>
      <c r="D3203" s="2" t="s">
        <v>589</v>
      </c>
      <c r="E3203" s="2" t="s">
        <v>16</v>
      </c>
      <c r="F3203" s="2" t="n">
        <v>62</v>
      </c>
      <c r="G3203" s="2" t="n">
        <v>24</v>
      </c>
    </row>
    <row r="3204" customFormat="false" ht="16.5" hidden="false" customHeight="true" outlineLevel="0" collapsed="false">
      <c r="A3204" s="2" t="s">
        <v>447</v>
      </c>
      <c r="B3204" s="2" t="s">
        <v>452</v>
      </c>
      <c r="C3204" s="2" t="n">
        <v>3</v>
      </c>
      <c r="D3204" s="2" t="s">
        <v>589</v>
      </c>
      <c r="E3204" s="2" t="s">
        <v>17</v>
      </c>
      <c r="F3204" s="2" t="n">
        <v>62</v>
      </c>
      <c r="G3204" s="2" t="n">
        <v>28</v>
      </c>
    </row>
    <row r="3205" customFormat="false" ht="16.5" hidden="false" customHeight="true" outlineLevel="0" collapsed="false">
      <c r="A3205" s="2" t="s">
        <v>447</v>
      </c>
      <c r="B3205" s="2" t="s">
        <v>452</v>
      </c>
      <c r="C3205" s="2" t="n">
        <v>3</v>
      </c>
      <c r="D3205" s="2" t="s">
        <v>589</v>
      </c>
      <c r="E3205" s="2" t="s">
        <v>18</v>
      </c>
      <c r="F3205" s="2" t="n">
        <v>62</v>
      </c>
      <c r="G3205" s="2" t="n">
        <v>32</v>
      </c>
    </row>
    <row r="3206" customFormat="false" ht="16.5" hidden="false" customHeight="true" outlineLevel="0" collapsed="false">
      <c r="A3206" s="2" t="s">
        <v>447</v>
      </c>
      <c r="B3206" s="2" t="s">
        <v>452</v>
      </c>
      <c r="C3206" s="2" t="n">
        <v>3</v>
      </c>
      <c r="D3206" s="2" t="s">
        <v>589</v>
      </c>
      <c r="E3206" s="2" t="s">
        <v>19</v>
      </c>
      <c r="F3206" s="2" t="n">
        <v>62</v>
      </c>
      <c r="G3206" s="2" t="n">
        <v>36</v>
      </c>
    </row>
    <row r="3207" customFormat="false" ht="16.5" hidden="false" customHeight="true" outlineLevel="0" collapsed="false">
      <c r="A3207" s="2" t="s">
        <v>447</v>
      </c>
      <c r="B3207" s="2" t="s">
        <v>452</v>
      </c>
      <c r="C3207" s="2" t="n">
        <v>3</v>
      </c>
      <c r="D3207" s="2" t="s">
        <v>589</v>
      </c>
      <c r="E3207" s="2" t="s">
        <v>20</v>
      </c>
      <c r="F3207" s="2" t="n">
        <v>62</v>
      </c>
      <c r="G3207" s="2" t="n">
        <v>40</v>
      </c>
    </row>
    <row r="3208" customFormat="false" ht="16.5" hidden="false" customHeight="true" outlineLevel="0" collapsed="false">
      <c r="A3208" s="2" t="s">
        <v>447</v>
      </c>
      <c r="B3208" s="2" t="s">
        <v>452</v>
      </c>
      <c r="C3208" s="2" t="n">
        <v>3</v>
      </c>
      <c r="D3208" s="2" t="s">
        <v>589</v>
      </c>
      <c r="E3208" s="2" t="s">
        <v>21</v>
      </c>
      <c r="F3208" s="2" t="n">
        <v>62</v>
      </c>
      <c r="G3208" s="2" t="n">
        <v>44</v>
      </c>
    </row>
    <row r="3209" customFormat="false" ht="16.5" hidden="false" customHeight="true" outlineLevel="0" collapsed="false">
      <c r="A3209" s="2" t="s">
        <v>447</v>
      </c>
      <c r="B3209" s="2" t="s">
        <v>452</v>
      </c>
      <c r="C3209" s="2" t="n">
        <v>3</v>
      </c>
      <c r="D3209" s="2" t="s">
        <v>589</v>
      </c>
      <c r="E3209" s="2" t="s">
        <v>22</v>
      </c>
      <c r="F3209" s="2" t="n">
        <v>62</v>
      </c>
      <c r="G3209" s="2" t="n">
        <v>48</v>
      </c>
    </row>
    <row r="3210" customFormat="false" ht="16.5" hidden="false" customHeight="true" outlineLevel="0" collapsed="false">
      <c r="A3210" s="2" t="s">
        <v>447</v>
      </c>
      <c r="B3210" s="2" t="s">
        <v>452</v>
      </c>
      <c r="C3210" s="2" t="n">
        <v>3</v>
      </c>
      <c r="D3210" s="2" t="s">
        <v>589</v>
      </c>
      <c r="E3210" s="2" t="s">
        <v>23</v>
      </c>
      <c r="F3210" s="2" t="n">
        <v>62</v>
      </c>
      <c r="G3210" s="2" t="n">
        <v>52</v>
      </c>
    </row>
    <row r="3211" customFormat="false" ht="16.5" hidden="false" customHeight="true" outlineLevel="0" collapsed="false">
      <c r="A3211" s="2" t="s">
        <v>447</v>
      </c>
      <c r="B3211" s="2" t="s">
        <v>452</v>
      </c>
      <c r="C3211" s="2" t="n">
        <v>3</v>
      </c>
      <c r="D3211" s="2" t="s">
        <v>589</v>
      </c>
      <c r="E3211" s="2" t="s">
        <v>24</v>
      </c>
      <c r="F3211" s="2" t="n">
        <v>64</v>
      </c>
      <c r="G3211" s="2" t="n">
        <v>9</v>
      </c>
    </row>
    <row r="3212" customFormat="false" ht="16.5" hidden="false" customHeight="true" outlineLevel="0" collapsed="false">
      <c r="A3212" s="2" t="s">
        <v>447</v>
      </c>
      <c r="B3212" s="2" t="s">
        <v>452</v>
      </c>
      <c r="C3212" s="2" t="n">
        <v>3</v>
      </c>
      <c r="D3212" s="2" t="s">
        <v>589</v>
      </c>
      <c r="E3212" s="2" t="s">
        <v>25</v>
      </c>
      <c r="F3212" s="2" t="n">
        <v>64</v>
      </c>
      <c r="G3212" s="2" t="n">
        <v>13</v>
      </c>
    </row>
    <row r="3213" customFormat="false" ht="16.5" hidden="false" customHeight="true" outlineLevel="0" collapsed="false">
      <c r="A3213" s="2" t="s">
        <v>447</v>
      </c>
      <c r="B3213" s="2" t="s">
        <v>452</v>
      </c>
      <c r="C3213" s="2" t="n">
        <v>3</v>
      </c>
      <c r="D3213" s="2" t="s">
        <v>589</v>
      </c>
      <c r="E3213" s="2" t="s">
        <v>26</v>
      </c>
      <c r="F3213" s="2" t="n">
        <v>64</v>
      </c>
      <c r="G3213" s="2" t="n">
        <v>17</v>
      </c>
    </row>
    <row r="3214" customFormat="false" ht="16.5" hidden="false" customHeight="true" outlineLevel="0" collapsed="false">
      <c r="A3214" s="2" t="s">
        <v>447</v>
      </c>
      <c r="B3214" s="2" t="s">
        <v>452</v>
      </c>
      <c r="C3214" s="2" t="n">
        <v>3</v>
      </c>
      <c r="D3214" s="2" t="s">
        <v>589</v>
      </c>
      <c r="E3214" s="2" t="s">
        <v>27</v>
      </c>
      <c r="F3214" s="2" t="n">
        <v>64</v>
      </c>
      <c r="G3214" s="2" t="n">
        <v>21</v>
      </c>
    </row>
    <row r="3215" customFormat="false" ht="16.5" hidden="false" customHeight="true" outlineLevel="0" collapsed="false">
      <c r="A3215" s="2" t="s">
        <v>447</v>
      </c>
      <c r="B3215" s="2" t="s">
        <v>452</v>
      </c>
      <c r="C3215" s="2" t="n">
        <v>3</v>
      </c>
      <c r="D3215" s="2" t="s">
        <v>589</v>
      </c>
      <c r="E3215" s="2" t="s">
        <v>28</v>
      </c>
      <c r="F3215" s="2" t="n">
        <v>64</v>
      </c>
      <c r="G3215" s="2" t="n">
        <v>25</v>
      </c>
    </row>
    <row r="3216" customFormat="false" ht="16.5" hidden="false" customHeight="true" outlineLevel="0" collapsed="false">
      <c r="A3216" s="2" t="s">
        <v>447</v>
      </c>
      <c r="B3216" s="2" t="s">
        <v>452</v>
      </c>
      <c r="C3216" s="2" t="n">
        <v>3</v>
      </c>
      <c r="D3216" s="2" t="s">
        <v>589</v>
      </c>
      <c r="E3216" s="2" t="s">
        <v>29</v>
      </c>
      <c r="F3216" s="2" t="n">
        <v>64</v>
      </c>
      <c r="G3216" s="2" t="n">
        <v>29</v>
      </c>
    </row>
    <row r="3217" customFormat="false" ht="16.5" hidden="false" customHeight="true" outlineLevel="0" collapsed="false">
      <c r="A3217" s="2" t="s">
        <v>447</v>
      </c>
      <c r="B3217" s="2" t="s">
        <v>452</v>
      </c>
      <c r="C3217" s="2" t="n">
        <v>3</v>
      </c>
      <c r="D3217" s="2" t="s">
        <v>589</v>
      </c>
      <c r="E3217" s="2" t="s">
        <v>30</v>
      </c>
      <c r="F3217" s="2" t="n">
        <v>64</v>
      </c>
      <c r="G3217" s="2" t="n">
        <v>33</v>
      </c>
    </row>
    <row r="3218" customFormat="false" ht="16.5" hidden="false" customHeight="true" outlineLevel="0" collapsed="false">
      <c r="A3218" s="2" t="s">
        <v>447</v>
      </c>
      <c r="B3218" s="2" t="s">
        <v>452</v>
      </c>
      <c r="C3218" s="2" t="n">
        <v>3</v>
      </c>
      <c r="D3218" s="2" t="s">
        <v>589</v>
      </c>
      <c r="E3218" s="2" t="s">
        <v>31</v>
      </c>
      <c r="F3218" s="2" t="n">
        <v>64</v>
      </c>
      <c r="G3218" s="2" t="n">
        <v>37</v>
      </c>
    </row>
    <row r="3219" customFormat="false" ht="16.5" hidden="false" customHeight="true" outlineLevel="0" collapsed="false">
      <c r="A3219" s="2" t="s">
        <v>447</v>
      </c>
      <c r="B3219" s="2" t="s">
        <v>452</v>
      </c>
      <c r="C3219" s="2" t="n">
        <v>3</v>
      </c>
      <c r="D3219" s="2" t="s">
        <v>589</v>
      </c>
      <c r="E3219" s="2" t="s">
        <v>32</v>
      </c>
      <c r="F3219" s="2" t="n">
        <v>64</v>
      </c>
      <c r="G3219" s="2" t="n">
        <v>41</v>
      </c>
    </row>
    <row r="3220" customFormat="false" ht="16.5" hidden="false" customHeight="true" outlineLevel="0" collapsed="false">
      <c r="A3220" s="2" t="s">
        <v>447</v>
      </c>
      <c r="B3220" s="2" t="s">
        <v>452</v>
      </c>
      <c r="C3220" s="2" t="n">
        <v>3</v>
      </c>
      <c r="D3220" s="2" t="s">
        <v>589</v>
      </c>
      <c r="E3220" s="2" t="s">
        <v>33</v>
      </c>
      <c r="F3220" s="2" t="n">
        <v>64</v>
      </c>
      <c r="G3220" s="2" t="n">
        <v>45</v>
      </c>
    </row>
    <row r="3221" customFormat="false" ht="16.5" hidden="false" customHeight="true" outlineLevel="0" collapsed="false">
      <c r="A3221" s="2" t="s">
        <v>447</v>
      </c>
      <c r="B3221" s="2" t="s">
        <v>452</v>
      </c>
      <c r="C3221" s="2" t="n">
        <v>3</v>
      </c>
      <c r="D3221" s="2" t="s">
        <v>589</v>
      </c>
      <c r="E3221" s="2" t="s">
        <v>34</v>
      </c>
      <c r="F3221" s="2" t="n">
        <v>64</v>
      </c>
      <c r="G3221" s="2" t="n">
        <v>49</v>
      </c>
    </row>
    <row r="3222" customFormat="false" ht="16.5" hidden="false" customHeight="true" outlineLevel="0" collapsed="false">
      <c r="A3222" s="2" t="s">
        <v>447</v>
      </c>
      <c r="B3222" s="2" t="s">
        <v>452</v>
      </c>
      <c r="C3222" s="2" t="n">
        <v>3</v>
      </c>
      <c r="D3222" s="2" t="s">
        <v>589</v>
      </c>
      <c r="E3222" s="2" t="s">
        <v>35</v>
      </c>
      <c r="F3222" s="2" t="n">
        <v>66</v>
      </c>
      <c r="G3222" s="2" t="n">
        <v>11</v>
      </c>
    </row>
    <row r="3223" customFormat="false" ht="16.5" hidden="false" customHeight="true" outlineLevel="0" collapsed="false">
      <c r="A3223" s="2" t="s">
        <v>447</v>
      </c>
      <c r="B3223" s="2" t="s">
        <v>452</v>
      </c>
      <c r="C3223" s="2" t="n">
        <v>3</v>
      </c>
      <c r="D3223" s="2" t="s">
        <v>589</v>
      </c>
      <c r="E3223" s="2" t="s">
        <v>36</v>
      </c>
      <c r="F3223" s="2" t="n">
        <v>66</v>
      </c>
      <c r="G3223" s="2" t="n">
        <v>15</v>
      </c>
    </row>
    <row r="3224" customFormat="false" ht="16.5" hidden="false" customHeight="true" outlineLevel="0" collapsed="false">
      <c r="A3224" s="2" t="s">
        <v>447</v>
      </c>
      <c r="B3224" s="2" t="s">
        <v>452</v>
      </c>
      <c r="C3224" s="2" t="n">
        <v>3</v>
      </c>
      <c r="D3224" s="2" t="s">
        <v>589</v>
      </c>
      <c r="E3224" s="2" t="s">
        <v>37</v>
      </c>
      <c r="F3224" s="2" t="n">
        <v>66</v>
      </c>
      <c r="G3224" s="2" t="n">
        <v>19</v>
      </c>
    </row>
    <row r="3225" customFormat="false" ht="16.5" hidden="false" customHeight="true" outlineLevel="0" collapsed="false">
      <c r="A3225" s="2" t="s">
        <v>447</v>
      </c>
      <c r="B3225" s="2" t="s">
        <v>452</v>
      </c>
      <c r="C3225" s="2" t="n">
        <v>3</v>
      </c>
      <c r="D3225" s="2" t="s">
        <v>589</v>
      </c>
      <c r="E3225" s="2" t="s">
        <v>38</v>
      </c>
      <c r="F3225" s="2" t="n">
        <v>66</v>
      </c>
      <c r="G3225" s="2" t="n">
        <v>23</v>
      </c>
    </row>
    <row r="3226" customFormat="false" ht="16.5" hidden="false" customHeight="true" outlineLevel="0" collapsed="false">
      <c r="A3226" s="2" t="s">
        <v>447</v>
      </c>
      <c r="B3226" s="2" t="s">
        <v>452</v>
      </c>
      <c r="C3226" s="2" t="n">
        <v>3</v>
      </c>
      <c r="D3226" s="2" t="s">
        <v>589</v>
      </c>
      <c r="E3226" s="2" t="s">
        <v>39</v>
      </c>
      <c r="F3226" s="2" t="n">
        <v>66</v>
      </c>
      <c r="G3226" s="2" t="n">
        <v>27</v>
      </c>
    </row>
    <row r="3227" customFormat="false" ht="16.5" hidden="false" customHeight="true" outlineLevel="0" collapsed="false">
      <c r="A3227" s="2" t="s">
        <v>447</v>
      </c>
      <c r="B3227" s="2" t="s">
        <v>452</v>
      </c>
      <c r="C3227" s="2" t="n">
        <v>3</v>
      </c>
      <c r="D3227" s="2" t="s">
        <v>589</v>
      </c>
      <c r="E3227" s="2" t="s">
        <v>40</v>
      </c>
      <c r="F3227" s="2" t="n">
        <v>66</v>
      </c>
      <c r="G3227" s="2" t="n">
        <v>31</v>
      </c>
    </row>
    <row r="3228" customFormat="false" ht="16.5" hidden="false" customHeight="true" outlineLevel="0" collapsed="false">
      <c r="A3228" s="2" t="s">
        <v>447</v>
      </c>
      <c r="B3228" s="2" t="s">
        <v>452</v>
      </c>
      <c r="C3228" s="2" t="n">
        <v>3</v>
      </c>
      <c r="D3228" s="2" t="s">
        <v>589</v>
      </c>
      <c r="E3228" s="2" t="s">
        <v>41</v>
      </c>
      <c r="F3228" s="2" t="n">
        <v>66</v>
      </c>
      <c r="G3228" s="2" t="n">
        <v>35</v>
      </c>
    </row>
    <row r="3229" customFormat="false" ht="16.5" hidden="false" customHeight="true" outlineLevel="0" collapsed="false">
      <c r="A3229" s="2" t="s">
        <v>447</v>
      </c>
      <c r="B3229" s="2" t="s">
        <v>452</v>
      </c>
      <c r="C3229" s="2" t="n">
        <v>3</v>
      </c>
      <c r="D3229" s="2" t="s">
        <v>589</v>
      </c>
      <c r="E3229" s="2" t="s">
        <v>42</v>
      </c>
      <c r="F3229" s="2" t="n">
        <v>66</v>
      </c>
      <c r="G3229" s="2" t="n">
        <v>39</v>
      </c>
    </row>
    <row r="3230" customFormat="false" ht="16.5" hidden="false" customHeight="true" outlineLevel="0" collapsed="false">
      <c r="A3230" s="2" t="s">
        <v>447</v>
      </c>
      <c r="B3230" s="2" t="s">
        <v>452</v>
      </c>
      <c r="C3230" s="2" t="n">
        <v>3</v>
      </c>
      <c r="D3230" s="2" t="s">
        <v>589</v>
      </c>
      <c r="E3230" s="2" t="s">
        <v>43</v>
      </c>
      <c r="F3230" s="2" t="n">
        <v>66</v>
      </c>
      <c r="G3230" s="2" t="n">
        <v>43</v>
      </c>
    </row>
    <row r="3231" customFormat="false" ht="16.5" hidden="false" customHeight="true" outlineLevel="0" collapsed="false">
      <c r="A3231" s="2" t="s">
        <v>447</v>
      </c>
      <c r="B3231" s="2" t="s">
        <v>452</v>
      </c>
      <c r="C3231" s="2" t="n">
        <v>3</v>
      </c>
      <c r="D3231" s="2" t="s">
        <v>589</v>
      </c>
      <c r="E3231" s="2" t="s">
        <v>44</v>
      </c>
      <c r="F3231" s="2" t="n">
        <v>66</v>
      </c>
      <c r="G3231" s="2" t="n">
        <v>47</v>
      </c>
    </row>
    <row r="3232" customFormat="false" ht="16.5" hidden="false" customHeight="true" outlineLevel="0" collapsed="false">
      <c r="A3232" s="2" t="s">
        <v>447</v>
      </c>
      <c r="B3232" s="2" t="s">
        <v>452</v>
      </c>
      <c r="C3232" s="2" t="n">
        <v>3</v>
      </c>
      <c r="D3232" s="2" t="s">
        <v>589</v>
      </c>
      <c r="E3232" s="2" t="s">
        <v>48</v>
      </c>
      <c r="F3232" s="2" t="n">
        <v>68</v>
      </c>
      <c r="G3232" s="2" t="n">
        <v>16</v>
      </c>
    </row>
    <row r="3233" customFormat="false" ht="16.5" hidden="false" customHeight="true" outlineLevel="0" collapsed="false">
      <c r="A3233" s="2" t="s">
        <v>447</v>
      </c>
      <c r="B3233" s="2" t="s">
        <v>452</v>
      </c>
      <c r="C3233" s="2" t="n">
        <v>3</v>
      </c>
      <c r="D3233" s="2" t="s">
        <v>589</v>
      </c>
      <c r="E3233" s="2" t="s">
        <v>50</v>
      </c>
      <c r="F3233" s="2" t="n">
        <v>68</v>
      </c>
      <c r="G3233" s="2" t="n">
        <v>20</v>
      </c>
    </row>
    <row r="3234" customFormat="false" ht="16.5" hidden="false" customHeight="true" outlineLevel="0" collapsed="false">
      <c r="A3234" s="2" t="s">
        <v>447</v>
      </c>
      <c r="B3234" s="2" t="s">
        <v>452</v>
      </c>
      <c r="C3234" s="2" t="n">
        <v>3</v>
      </c>
      <c r="D3234" s="2" t="s">
        <v>589</v>
      </c>
      <c r="E3234" s="2" t="s">
        <v>45</v>
      </c>
      <c r="F3234" s="2" t="n">
        <v>68</v>
      </c>
      <c r="G3234" s="2" t="n">
        <v>38</v>
      </c>
    </row>
    <row r="3235" customFormat="false" ht="16.5" hidden="false" customHeight="true" outlineLevel="0" collapsed="false">
      <c r="A3235" s="2" t="s">
        <v>447</v>
      </c>
      <c r="B3235" s="2" t="s">
        <v>452</v>
      </c>
      <c r="C3235" s="2" t="n">
        <v>3</v>
      </c>
      <c r="D3235" s="2" t="s">
        <v>589</v>
      </c>
      <c r="E3235" s="2" t="s">
        <v>46</v>
      </c>
      <c r="F3235" s="2" t="n">
        <v>68</v>
      </c>
      <c r="G3235" s="2" t="n">
        <v>42</v>
      </c>
    </row>
    <row r="3236" customFormat="false" ht="16.5" hidden="false" customHeight="true" outlineLevel="0" collapsed="false">
      <c r="A3236" s="2" t="s">
        <v>447</v>
      </c>
      <c r="B3236" s="2" t="s">
        <v>453</v>
      </c>
      <c r="C3236" s="2" t="n">
        <v>3</v>
      </c>
      <c r="D3236" s="2" t="s">
        <v>590</v>
      </c>
      <c r="E3236" s="2" t="s">
        <v>0</v>
      </c>
      <c r="F3236" s="2" t="n">
        <v>73</v>
      </c>
      <c r="G3236" s="2" t="n">
        <v>6</v>
      </c>
    </row>
    <row r="3237" customFormat="false" ht="16.5" hidden="false" customHeight="true" outlineLevel="0" collapsed="false">
      <c r="A3237" s="2" t="s">
        <v>447</v>
      </c>
      <c r="B3237" s="2" t="s">
        <v>453</v>
      </c>
      <c r="C3237" s="2" t="n">
        <v>3</v>
      </c>
      <c r="D3237" s="2" t="s">
        <v>590</v>
      </c>
      <c r="E3237" s="2" t="s">
        <v>1</v>
      </c>
      <c r="F3237" s="2" t="n">
        <v>73</v>
      </c>
      <c r="G3237" s="2" t="n">
        <v>10</v>
      </c>
    </row>
    <row r="3238" customFormat="false" ht="16.5" hidden="false" customHeight="true" outlineLevel="0" collapsed="false">
      <c r="A3238" s="2" t="s">
        <v>447</v>
      </c>
      <c r="B3238" s="2" t="s">
        <v>453</v>
      </c>
      <c r="C3238" s="2" t="n">
        <v>3</v>
      </c>
      <c r="D3238" s="2" t="s">
        <v>590</v>
      </c>
      <c r="E3238" s="2" t="s">
        <v>2</v>
      </c>
      <c r="F3238" s="2" t="n">
        <v>73</v>
      </c>
      <c r="G3238" s="2" t="n">
        <v>14</v>
      </c>
    </row>
    <row r="3239" customFormat="false" ht="16.5" hidden="false" customHeight="true" outlineLevel="0" collapsed="false">
      <c r="A3239" s="2" t="s">
        <v>447</v>
      </c>
      <c r="B3239" s="2" t="s">
        <v>453</v>
      </c>
      <c r="C3239" s="2" t="n">
        <v>3</v>
      </c>
      <c r="D3239" s="2" t="s">
        <v>590</v>
      </c>
      <c r="E3239" s="2" t="s">
        <v>3</v>
      </c>
      <c r="F3239" s="2" t="n">
        <v>73</v>
      </c>
      <c r="G3239" s="2" t="n">
        <v>18</v>
      </c>
    </row>
    <row r="3240" customFormat="false" ht="16.5" hidden="false" customHeight="true" outlineLevel="0" collapsed="false">
      <c r="A3240" s="2" t="s">
        <v>447</v>
      </c>
      <c r="B3240" s="2" t="s">
        <v>453</v>
      </c>
      <c r="C3240" s="2" t="n">
        <v>3</v>
      </c>
      <c r="D3240" s="2" t="s">
        <v>590</v>
      </c>
      <c r="E3240" s="2" t="s">
        <v>4</v>
      </c>
      <c r="F3240" s="2" t="n">
        <v>73</v>
      </c>
      <c r="G3240" s="2" t="n">
        <v>22</v>
      </c>
    </row>
    <row r="3241" customFormat="false" ht="16.5" hidden="false" customHeight="true" outlineLevel="0" collapsed="false">
      <c r="A3241" s="2" t="s">
        <v>447</v>
      </c>
      <c r="B3241" s="2" t="s">
        <v>453</v>
      </c>
      <c r="C3241" s="2" t="n">
        <v>3</v>
      </c>
      <c r="D3241" s="2" t="s">
        <v>590</v>
      </c>
      <c r="E3241" s="2" t="s">
        <v>5</v>
      </c>
      <c r="F3241" s="2" t="n">
        <v>73</v>
      </c>
      <c r="G3241" s="2" t="n">
        <v>26</v>
      </c>
    </row>
    <row r="3242" customFormat="false" ht="16.5" hidden="false" customHeight="true" outlineLevel="0" collapsed="false">
      <c r="A3242" s="2" t="s">
        <v>447</v>
      </c>
      <c r="B3242" s="2" t="s">
        <v>453</v>
      </c>
      <c r="C3242" s="2" t="n">
        <v>3</v>
      </c>
      <c r="D3242" s="2" t="s">
        <v>590</v>
      </c>
      <c r="E3242" s="2" t="s">
        <v>6</v>
      </c>
      <c r="F3242" s="2" t="n">
        <v>73</v>
      </c>
      <c r="G3242" s="2" t="n">
        <v>30</v>
      </c>
    </row>
    <row r="3243" customFormat="false" ht="16.5" hidden="false" customHeight="true" outlineLevel="0" collapsed="false">
      <c r="A3243" s="2" t="s">
        <v>447</v>
      </c>
      <c r="B3243" s="2" t="s">
        <v>453</v>
      </c>
      <c r="C3243" s="2" t="n">
        <v>3</v>
      </c>
      <c r="D3243" s="2" t="s">
        <v>590</v>
      </c>
      <c r="E3243" s="2" t="s">
        <v>7</v>
      </c>
      <c r="F3243" s="2" t="n">
        <v>73</v>
      </c>
      <c r="G3243" s="2" t="n">
        <v>34</v>
      </c>
    </row>
    <row r="3244" customFormat="false" ht="16.5" hidden="false" customHeight="true" outlineLevel="0" collapsed="false">
      <c r="A3244" s="2" t="s">
        <v>447</v>
      </c>
      <c r="B3244" s="2" t="s">
        <v>453</v>
      </c>
      <c r="C3244" s="2" t="n">
        <v>3</v>
      </c>
      <c r="D3244" s="2" t="s">
        <v>590</v>
      </c>
      <c r="E3244" s="2" t="s">
        <v>8</v>
      </c>
      <c r="F3244" s="2" t="n">
        <v>73</v>
      </c>
      <c r="G3244" s="2" t="n">
        <v>38</v>
      </c>
    </row>
    <row r="3245" customFormat="false" ht="16.5" hidden="false" customHeight="true" outlineLevel="0" collapsed="false">
      <c r="A3245" s="2" t="s">
        <v>447</v>
      </c>
      <c r="B3245" s="2" t="s">
        <v>453</v>
      </c>
      <c r="C3245" s="2" t="n">
        <v>3</v>
      </c>
      <c r="D3245" s="2" t="s">
        <v>590</v>
      </c>
      <c r="E3245" s="2" t="s">
        <v>9</v>
      </c>
      <c r="F3245" s="2" t="n">
        <v>73</v>
      </c>
      <c r="G3245" s="2" t="n">
        <v>42</v>
      </c>
    </row>
    <row r="3246" customFormat="false" ht="16.5" hidden="false" customHeight="true" outlineLevel="0" collapsed="false">
      <c r="A3246" s="2" t="s">
        <v>447</v>
      </c>
      <c r="B3246" s="2" t="s">
        <v>453</v>
      </c>
      <c r="C3246" s="2" t="n">
        <v>3</v>
      </c>
      <c r="D3246" s="2" t="s">
        <v>590</v>
      </c>
      <c r="E3246" s="2" t="s">
        <v>10</v>
      </c>
      <c r="F3246" s="2" t="n">
        <v>73</v>
      </c>
      <c r="G3246" s="2" t="n">
        <v>46</v>
      </c>
    </row>
    <row r="3247" customFormat="false" ht="16.5" hidden="false" customHeight="true" outlineLevel="0" collapsed="false">
      <c r="A3247" s="2" t="s">
        <v>447</v>
      </c>
      <c r="B3247" s="2" t="s">
        <v>453</v>
      </c>
      <c r="C3247" s="2" t="n">
        <v>3</v>
      </c>
      <c r="D3247" s="2" t="s">
        <v>590</v>
      </c>
      <c r="E3247" s="2" t="s">
        <v>11</v>
      </c>
      <c r="F3247" s="2" t="n">
        <v>73</v>
      </c>
      <c r="G3247" s="2" t="n">
        <v>50</v>
      </c>
    </row>
    <row r="3248" customFormat="false" ht="16.5" hidden="false" customHeight="true" outlineLevel="0" collapsed="false">
      <c r="A3248" s="2" t="s">
        <v>447</v>
      </c>
      <c r="B3248" s="2" t="s">
        <v>453</v>
      </c>
      <c r="C3248" s="2" t="n">
        <v>3</v>
      </c>
      <c r="D3248" s="2" t="s">
        <v>590</v>
      </c>
      <c r="E3248" s="2" t="s">
        <v>12</v>
      </c>
      <c r="F3248" s="2" t="n">
        <v>75</v>
      </c>
      <c r="G3248" s="2" t="n">
        <v>8</v>
      </c>
    </row>
    <row r="3249" customFormat="false" ht="16.5" hidden="false" customHeight="true" outlineLevel="0" collapsed="false">
      <c r="A3249" s="2" t="s">
        <v>447</v>
      </c>
      <c r="B3249" s="2" t="s">
        <v>453</v>
      </c>
      <c r="C3249" s="2" t="n">
        <v>3</v>
      </c>
      <c r="D3249" s="2" t="s">
        <v>590</v>
      </c>
      <c r="E3249" s="2" t="s">
        <v>13</v>
      </c>
      <c r="F3249" s="2" t="n">
        <v>75</v>
      </c>
      <c r="G3249" s="2" t="n">
        <v>12</v>
      </c>
    </row>
    <row r="3250" customFormat="false" ht="16.5" hidden="false" customHeight="true" outlineLevel="0" collapsed="false">
      <c r="A3250" s="2" t="s">
        <v>447</v>
      </c>
      <c r="B3250" s="2" t="s">
        <v>453</v>
      </c>
      <c r="C3250" s="2" t="n">
        <v>3</v>
      </c>
      <c r="D3250" s="2" t="s">
        <v>590</v>
      </c>
      <c r="E3250" s="2" t="s">
        <v>14</v>
      </c>
      <c r="F3250" s="2" t="n">
        <v>75</v>
      </c>
      <c r="G3250" s="2" t="n">
        <v>16</v>
      </c>
    </row>
    <row r="3251" customFormat="false" ht="16.5" hidden="false" customHeight="true" outlineLevel="0" collapsed="false">
      <c r="A3251" s="2" t="s">
        <v>447</v>
      </c>
      <c r="B3251" s="2" t="s">
        <v>453</v>
      </c>
      <c r="C3251" s="2" t="n">
        <v>3</v>
      </c>
      <c r="D3251" s="2" t="s">
        <v>590</v>
      </c>
      <c r="E3251" s="2" t="s">
        <v>15</v>
      </c>
      <c r="F3251" s="2" t="n">
        <v>75</v>
      </c>
      <c r="G3251" s="2" t="n">
        <v>20</v>
      </c>
    </row>
    <row r="3252" customFormat="false" ht="16.5" hidden="false" customHeight="true" outlineLevel="0" collapsed="false">
      <c r="A3252" s="2" t="s">
        <v>447</v>
      </c>
      <c r="B3252" s="2" t="s">
        <v>453</v>
      </c>
      <c r="C3252" s="2" t="n">
        <v>3</v>
      </c>
      <c r="D3252" s="2" t="s">
        <v>590</v>
      </c>
      <c r="E3252" s="2" t="s">
        <v>16</v>
      </c>
      <c r="F3252" s="2" t="n">
        <v>75</v>
      </c>
      <c r="G3252" s="2" t="n">
        <v>24</v>
      </c>
    </row>
    <row r="3253" customFormat="false" ht="16.5" hidden="false" customHeight="true" outlineLevel="0" collapsed="false">
      <c r="A3253" s="2" t="s">
        <v>447</v>
      </c>
      <c r="B3253" s="2" t="s">
        <v>453</v>
      </c>
      <c r="C3253" s="2" t="n">
        <v>3</v>
      </c>
      <c r="D3253" s="2" t="s">
        <v>590</v>
      </c>
      <c r="E3253" s="2" t="s">
        <v>17</v>
      </c>
      <c r="F3253" s="2" t="n">
        <v>75</v>
      </c>
      <c r="G3253" s="2" t="n">
        <v>28</v>
      </c>
    </row>
    <row r="3254" customFormat="false" ht="16.5" hidden="false" customHeight="true" outlineLevel="0" collapsed="false">
      <c r="A3254" s="2" t="s">
        <v>447</v>
      </c>
      <c r="B3254" s="2" t="s">
        <v>453</v>
      </c>
      <c r="C3254" s="2" t="n">
        <v>3</v>
      </c>
      <c r="D3254" s="2" t="s">
        <v>590</v>
      </c>
      <c r="E3254" s="2" t="s">
        <v>18</v>
      </c>
      <c r="F3254" s="2" t="n">
        <v>75</v>
      </c>
      <c r="G3254" s="2" t="n">
        <v>32</v>
      </c>
    </row>
    <row r="3255" customFormat="false" ht="16.5" hidden="false" customHeight="true" outlineLevel="0" collapsed="false">
      <c r="A3255" s="2" t="s">
        <v>447</v>
      </c>
      <c r="B3255" s="2" t="s">
        <v>453</v>
      </c>
      <c r="C3255" s="2" t="n">
        <v>3</v>
      </c>
      <c r="D3255" s="2" t="s">
        <v>590</v>
      </c>
      <c r="E3255" s="2" t="s">
        <v>19</v>
      </c>
      <c r="F3255" s="2" t="n">
        <v>75</v>
      </c>
      <c r="G3255" s="2" t="n">
        <v>36</v>
      </c>
    </row>
    <row r="3256" customFormat="false" ht="16.5" hidden="false" customHeight="true" outlineLevel="0" collapsed="false">
      <c r="A3256" s="2" t="s">
        <v>447</v>
      </c>
      <c r="B3256" s="2" t="s">
        <v>453</v>
      </c>
      <c r="C3256" s="2" t="n">
        <v>3</v>
      </c>
      <c r="D3256" s="2" t="s">
        <v>590</v>
      </c>
      <c r="E3256" s="2" t="s">
        <v>20</v>
      </c>
      <c r="F3256" s="2" t="n">
        <v>75</v>
      </c>
      <c r="G3256" s="2" t="n">
        <v>40</v>
      </c>
    </row>
    <row r="3257" customFormat="false" ht="16.5" hidden="false" customHeight="true" outlineLevel="0" collapsed="false">
      <c r="A3257" s="2" t="s">
        <v>447</v>
      </c>
      <c r="B3257" s="2" t="s">
        <v>453</v>
      </c>
      <c r="C3257" s="2" t="n">
        <v>3</v>
      </c>
      <c r="D3257" s="2" t="s">
        <v>590</v>
      </c>
      <c r="E3257" s="2" t="s">
        <v>21</v>
      </c>
      <c r="F3257" s="2" t="n">
        <v>75</v>
      </c>
      <c r="G3257" s="2" t="n">
        <v>44</v>
      </c>
    </row>
    <row r="3258" customFormat="false" ht="16.5" hidden="false" customHeight="true" outlineLevel="0" collapsed="false">
      <c r="A3258" s="2" t="s">
        <v>447</v>
      </c>
      <c r="B3258" s="2" t="s">
        <v>453</v>
      </c>
      <c r="C3258" s="2" t="n">
        <v>3</v>
      </c>
      <c r="D3258" s="2" t="s">
        <v>590</v>
      </c>
      <c r="E3258" s="2" t="s">
        <v>22</v>
      </c>
      <c r="F3258" s="2" t="n">
        <v>75</v>
      </c>
      <c r="G3258" s="2" t="n">
        <v>48</v>
      </c>
    </row>
    <row r="3259" customFormat="false" ht="16.5" hidden="false" customHeight="true" outlineLevel="0" collapsed="false">
      <c r="A3259" s="2" t="s">
        <v>447</v>
      </c>
      <c r="B3259" s="2" t="s">
        <v>453</v>
      </c>
      <c r="C3259" s="2" t="n">
        <v>3</v>
      </c>
      <c r="D3259" s="2" t="s">
        <v>590</v>
      </c>
      <c r="E3259" s="2" t="s">
        <v>23</v>
      </c>
      <c r="F3259" s="2" t="n">
        <v>75</v>
      </c>
      <c r="G3259" s="2" t="n">
        <v>52</v>
      </c>
    </row>
    <row r="3260" customFormat="false" ht="16.5" hidden="false" customHeight="true" outlineLevel="0" collapsed="false">
      <c r="A3260" s="2" t="s">
        <v>447</v>
      </c>
      <c r="B3260" s="2" t="s">
        <v>453</v>
      </c>
      <c r="C3260" s="2" t="n">
        <v>3</v>
      </c>
      <c r="D3260" s="2" t="s">
        <v>590</v>
      </c>
      <c r="E3260" s="2" t="s">
        <v>24</v>
      </c>
      <c r="F3260" s="2" t="n">
        <v>77</v>
      </c>
      <c r="G3260" s="2" t="n">
        <v>9</v>
      </c>
    </row>
    <row r="3261" customFormat="false" ht="16.5" hidden="false" customHeight="true" outlineLevel="0" collapsed="false">
      <c r="A3261" s="2" t="s">
        <v>447</v>
      </c>
      <c r="B3261" s="2" t="s">
        <v>453</v>
      </c>
      <c r="C3261" s="2" t="n">
        <v>3</v>
      </c>
      <c r="D3261" s="2" t="s">
        <v>590</v>
      </c>
      <c r="E3261" s="2" t="s">
        <v>25</v>
      </c>
      <c r="F3261" s="2" t="n">
        <v>77</v>
      </c>
      <c r="G3261" s="2" t="n">
        <v>13</v>
      </c>
    </row>
    <row r="3262" customFormat="false" ht="16.5" hidden="false" customHeight="true" outlineLevel="0" collapsed="false">
      <c r="A3262" s="2" t="s">
        <v>447</v>
      </c>
      <c r="B3262" s="2" t="s">
        <v>453</v>
      </c>
      <c r="C3262" s="2" t="n">
        <v>3</v>
      </c>
      <c r="D3262" s="2" t="s">
        <v>590</v>
      </c>
      <c r="E3262" s="2" t="s">
        <v>26</v>
      </c>
      <c r="F3262" s="2" t="n">
        <v>77</v>
      </c>
      <c r="G3262" s="2" t="n">
        <v>17</v>
      </c>
    </row>
    <row r="3263" customFormat="false" ht="16.5" hidden="false" customHeight="true" outlineLevel="0" collapsed="false">
      <c r="A3263" s="2" t="s">
        <v>447</v>
      </c>
      <c r="B3263" s="2" t="s">
        <v>453</v>
      </c>
      <c r="C3263" s="2" t="n">
        <v>3</v>
      </c>
      <c r="D3263" s="2" t="s">
        <v>590</v>
      </c>
      <c r="E3263" s="2" t="s">
        <v>27</v>
      </c>
      <c r="F3263" s="2" t="n">
        <v>77</v>
      </c>
      <c r="G3263" s="2" t="n">
        <v>21</v>
      </c>
    </row>
    <row r="3264" customFormat="false" ht="16.5" hidden="false" customHeight="true" outlineLevel="0" collapsed="false">
      <c r="A3264" s="2" t="s">
        <v>447</v>
      </c>
      <c r="B3264" s="2" t="s">
        <v>453</v>
      </c>
      <c r="C3264" s="2" t="n">
        <v>3</v>
      </c>
      <c r="D3264" s="2" t="s">
        <v>590</v>
      </c>
      <c r="E3264" s="2" t="s">
        <v>28</v>
      </c>
      <c r="F3264" s="2" t="n">
        <v>77</v>
      </c>
      <c r="G3264" s="2" t="n">
        <v>25</v>
      </c>
    </row>
    <row r="3265" customFormat="false" ht="16.5" hidden="false" customHeight="true" outlineLevel="0" collapsed="false">
      <c r="A3265" s="2" t="s">
        <v>447</v>
      </c>
      <c r="B3265" s="2" t="s">
        <v>453</v>
      </c>
      <c r="C3265" s="2" t="n">
        <v>3</v>
      </c>
      <c r="D3265" s="2" t="s">
        <v>590</v>
      </c>
      <c r="E3265" s="2" t="s">
        <v>29</v>
      </c>
      <c r="F3265" s="2" t="n">
        <v>77</v>
      </c>
      <c r="G3265" s="2" t="n">
        <v>29</v>
      </c>
    </row>
    <row r="3266" customFormat="false" ht="16.5" hidden="false" customHeight="true" outlineLevel="0" collapsed="false">
      <c r="A3266" s="2" t="s">
        <v>447</v>
      </c>
      <c r="B3266" s="2" t="s">
        <v>453</v>
      </c>
      <c r="C3266" s="2" t="n">
        <v>3</v>
      </c>
      <c r="D3266" s="2" t="s">
        <v>590</v>
      </c>
      <c r="E3266" s="2" t="s">
        <v>30</v>
      </c>
      <c r="F3266" s="2" t="n">
        <v>77</v>
      </c>
      <c r="G3266" s="2" t="n">
        <v>33</v>
      </c>
    </row>
    <row r="3267" customFormat="false" ht="16.5" hidden="false" customHeight="true" outlineLevel="0" collapsed="false">
      <c r="A3267" s="2" t="s">
        <v>447</v>
      </c>
      <c r="B3267" s="2" t="s">
        <v>453</v>
      </c>
      <c r="C3267" s="2" t="n">
        <v>3</v>
      </c>
      <c r="D3267" s="2" t="s">
        <v>590</v>
      </c>
      <c r="E3267" s="2" t="s">
        <v>31</v>
      </c>
      <c r="F3267" s="2" t="n">
        <v>77</v>
      </c>
      <c r="G3267" s="2" t="n">
        <v>37</v>
      </c>
    </row>
    <row r="3268" customFormat="false" ht="16.5" hidden="false" customHeight="true" outlineLevel="0" collapsed="false">
      <c r="A3268" s="2" t="s">
        <v>447</v>
      </c>
      <c r="B3268" s="2" t="s">
        <v>453</v>
      </c>
      <c r="C3268" s="2" t="n">
        <v>3</v>
      </c>
      <c r="D3268" s="2" t="s">
        <v>590</v>
      </c>
      <c r="E3268" s="2" t="s">
        <v>32</v>
      </c>
      <c r="F3268" s="2" t="n">
        <v>77</v>
      </c>
      <c r="G3268" s="2" t="n">
        <v>41</v>
      </c>
    </row>
    <row r="3269" customFormat="false" ht="16.5" hidden="false" customHeight="true" outlineLevel="0" collapsed="false">
      <c r="A3269" s="2" t="s">
        <v>447</v>
      </c>
      <c r="B3269" s="2" t="s">
        <v>453</v>
      </c>
      <c r="C3269" s="2" t="n">
        <v>3</v>
      </c>
      <c r="D3269" s="2" t="s">
        <v>590</v>
      </c>
      <c r="E3269" s="2" t="s">
        <v>33</v>
      </c>
      <c r="F3269" s="2" t="n">
        <v>77</v>
      </c>
      <c r="G3269" s="2" t="n">
        <v>45</v>
      </c>
    </row>
    <row r="3270" customFormat="false" ht="16.5" hidden="false" customHeight="true" outlineLevel="0" collapsed="false">
      <c r="A3270" s="2" t="s">
        <v>447</v>
      </c>
      <c r="B3270" s="2" t="s">
        <v>453</v>
      </c>
      <c r="C3270" s="2" t="n">
        <v>3</v>
      </c>
      <c r="D3270" s="2" t="s">
        <v>590</v>
      </c>
      <c r="E3270" s="2" t="s">
        <v>34</v>
      </c>
      <c r="F3270" s="2" t="n">
        <v>77</v>
      </c>
      <c r="G3270" s="2" t="n">
        <v>49</v>
      </c>
    </row>
    <row r="3271" customFormat="false" ht="16.5" hidden="false" customHeight="true" outlineLevel="0" collapsed="false">
      <c r="A3271" s="2" t="s">
        <v>447</v>
      </c>
      <c r="B3271" s="2" t="s">
        <v>453</v>
      </c>
      <c r="C3271" s="2" t="n">
        <v>3</v>
      </c>
      <c r="D3271" s="2" t="s">
        <v>590</v>
      </c>
      <c r="E3271" s="2" t="s">
        <v>35</v>
      </c>
      <c r="F3271" s="2" t="n">
        <v>79</v>
      </c>
      <c r="G3271" s="2" t="n">
        <v>11</v>
      </c>
    </row>
    <row r="3272" customFormat="false" ht="16.5" hidden="false" customHeight="true" outlineLevel="0" collapsed="false">
      <c r="A3272" s="2" t="s">
        <v>447</v>
      </c>
      <c r="B3272" s="2" t="s">
        <v>453</v>
      </c>
      <c r="C3272" s="2" t="n">
        <v>3</v>
      </c>
      <c r="D3272" s="2" t="s">
        <v>590</v>
      </c>
      <c r="E3272" s="2" t="s">
        <v>36</v>
      </c>
      <c r="F3272" s="2" t="n">
        <v>79</v>
      </c>
      <c r="G3272" s="2" t="n">
        <v>15</v>
      </c>
    </row>
    <row r="3273" customFormat="false" ht="16.5" hidden="false" customHeight="true" outlineLevel="0" collapsed="false">
      <c r="A3273" s="2" t="s">
        <v>447</v>
      </c>
      <c r="B3273" s="2" t="s">
        <v>453</v>
      </c>
      <c r="C3273" s="2" t="n">
        <v>3</v>
      </c>
      <c r="D3273" s="2" t="s">
        <v>590</v>
      </c>
      <c r="E3273" s="2" t="s">
        <v>37</v>
      </c>
      <c r="F3273" s="2" t="n">
        <v>79</v>
      </c>
      <c r="G3273" s="2" t="n">
        <v>19</v>
      </c>
    </row>
    <row r="3274" customFormat="false" ht="16.5" hidden="false" customHeight="true" outlineLevel="0" collapsed="false">
      <c r="A3274" s="2" t="s">
        <v>447</v>
      </c>
      <c r="B3274" s="2" t="s">
        <v>453</v>
      </c>
      <c r="C3274" s="2" t="n">
        <v>3</v>
      </c>
      <c r="D3274" s="2" t="s">
        <v>590</v>
      </c>
      <c r="E3274" s="2" t="s">
        <v>38</v>
      </c>
      <c r="F3274" s="2" t="n">
        <v>79</v>
      </c>
      <c r="G3274" s="2" t="n">
        <v>23</v>
      </c>
    </row>
    <row r="3275" customFormat="false" ht="16.5" hidden="false" customHeight="true" outlineLevel="0" collapsed="false">
      <c r="A3275" s="2" t="s">
        <v>447</v>
      </c>
      <c r="B3275" s="2" t="s">
        <v>453</v>
      </c>
      <c r="C3275" s="2" t="n">
        <v>3</v>
      </c>
      <c r="D3275" s="2" t="s">
        <v>590</v>
      </c>
      <c r="E3275" s="2" t="s">
        <v>39</v>
      </c>
      <c r="F3275" s="2" t="n">
        <v>79</v>
      </c>
      <c r="G3275" s="2" t="n">
        <v>27</v>
      </c>
    </row>
    <row r="3276" customFormat="false" ht="16.5" hidden="false" customHeight="true" outlineLevel="0" collapsed="false">
      <c r="A3276" s="2" t="s">
        <v>447</v>
      </c>
      <c r="B3276" s="2" t="s">
        <v>453</v>
      </c>
      <c r="C3276" s="2" t="n">
        <v>3</v>
      </c>
      <c r="D3276" s="2" t="s">
        <v>590</v>
      </c>
      <c r="E3276" s="2" t="s">
        <v>40</v>
      </c>
      <c r="F3276" s="2" t="n">
        <v>79</v>
      </c>
      <c r="G3276" s="2" t="n">
        <v>31</v>
      </c>
    </row>
    <row r="3277" customFormat="false" ht="16.5" hidden="false" customHeight="true" outlineLevel="0" collapsed="false">
      <c r="A3277" s="2" t="s">
        <v>447</v>
      </c>
      <c r="B3277" s="2" t="s">
        <v>453</v>
      </c>
      <c r="C3277" s="2" t="n">
        <v>3</v>
      </c>
      <c r="D3277" s="2" t="s">
        <v>590</v>
      </c>
      <c r="E3277" s="2" t="s">
        <v>41</v>
      </c>
      <c r="F3277" s="2" t="n">
        <v>79</v>
      </c>
      <c r="G3277" s="2" t="n">
        <v>35</v>
      </c>
    </row>
    <row r="3278" customFormat="false" ht="16.5" hidden="false" customHeight="true" outlineLevel="0" collapsed="false">
      <c r="A3278" s="2" t="s">
        <v>447</v>
      </c>
      <c r="B3278" s="2" t="s">
        <v>453</v>
      </c>
      <c r="C3278" s="2" t="n">
        <v>3</v>
      </c>
      <c r="D3278" s="2" t="s">
        <v>590</v>
      </c>
      <c r="E3278" s="2" t="s">
        <v>42</v>
      </c>
      <c r="F3278" s="2" t="n">
        <v>79</v>
      </c>
      <c r="G3278" s="2" t="n">
        <v>39</v>
      </c>
    </row>
    <row r="3279" customFormat="false" ht="16.5" hidden="false" customHeight="true" outlineLevel="0" collapsed="false">
      <c r="A3279" s="2" t="s">
        <v>447</v>
      </c>
      <c r="B3279" s="2" t="s">
        <v>453</v>
      </c>
      <c r="C3279" s="2" t="n">
        <v>3</v>
      </c>
      <c r="D3279" s="2" t="s">
        <v>590</v>
      </c>
      <c r="E3279" s="2" t="s">
        <v>43</v>
      </c>
      <c r="F3279" s="2" t="n">
        <v>79</v>
      </c>
      <c r="G3279" s="2" t="n">
        <v>43</v>
      </c>
    </row>
    <row r="3280" customFormat="false" ht="16.5" hidden="false" customHeight="true" outlineLevel="0" collapsed="false">
      <c r="A3280" s="2" t="s">
        <v>447</v>
      </c>
      <c r="B3280" s="2" t="s">
        <v>453</v>
      </c>
      <c r="C3280" s="2" t="n">
        <v>3</v>
      </c>
      <c r="D3280" s="2" t="s">
        <v>590</v>
      </c>
      <c r="E3280" s="2" t="s">
        <v>44</v>
      </c>
      <c r="F3280" s="2" t="n">
        <v>79</v>
      </c>
      <c r="G3280" s="2" t="n">
        <v>47</v>
      </c>
    </row>
    <row r="3281" customFormat="false" ht="16.5" hidden="false" customHeight="true" outlineLevel="0" collapsed="false">
      <c r="A3281" s="2" t="s">
        <v>447</v>
      </c>
      <c r="B3281" s="2" t="s">
        <v>453</v>
      </c>
      <c r="C3281" s="2" t="n">
        <v>3</v>
      </c>
      <c r="D3281" s="2" t="s">
        <v>590</v>
      </c>
      <c r="E3281" s="2" t="s">
        <v>48</v>
      </c>
      <c r="F3281" s="2" t="n">
        <v>81</v>
      </c>
      <c r="G3281" s="2" t="n">
        <v>16</v>
      </c>
    </row>
    <row r="3282" customFormat="false" ht="16.5" hidden="false" customHeight="true" outlineLevel="0" collapsed="false">
      <c r="A3282" s="2" t="s">
        <v>447</v>
      </c>
      <c r="B3282" s="2" t="s">
        <v>453</v>
      </c>
      <c r="C3282" s="2" t="n">
        <v>3</v>
      </c>
      <c r="D3282" s="2" t="s">
        <v>590</v>
      </c>
      <c r="E3282" s="2" t="s">
        <v>50</v>
      </c>
      <c r="F3282" s="2" t="n">
        <v>81</v>
      </c>
      <c r="G3282" s="2" t="n">
        <v>20</v>
      </c>
    </row>
    <row r="3283" customFormat="false" ht="16.5" hidden="false" customHeight="true" outlineLevel="0" collapsed="false">
      <c r="A3283" s="2" t="s">
        <v>447</v>
      </c>
      <c r="B3283" s="2" t="s">
        <v>453</v>
      </c>
      <c r="C3283" s="2" t="n">
        <v>3</v>
      </c>
      <c r="D3283" s="2" t="s">
        <v>590</v>
      </c>
      <c r="E3283" s="2" t="s">
        <v>45</v>
      </c>
      <c r="F3283" s="2" t="n">
        <v>81</v>
      </c>
      <c r="G3283" s="2" t="n">
        <v>38</v>
      </c>
    </row>
    <row r="3284" customFormat="false" ht="16.5" hidden="false" customHeight="true" outlineLevel="0" collapsed="false">
      <c r="A3284" s="2" t="s">
        <v>447</v>
      </c>
      <c r="B3284" s="2" t="s">
        <v>453</v>
      </c>
      <c r="C3284" s="2" t="n">
        <v>3</v>
      </c>
      <c r="D3284" s="2" t="s">
        <v>590</v>
      </c>
      <c r="E3284" s="2" t="s">
        <v>46</v>
      </c>
      <c r="F3284" s="2" t="n">
        <v>81</v>
      </c>
      <c r="G3284" s="2" t="n">
        <v>42</v>
      </c>
    </row>
    <row r="3285" customFormat="false" ht="16.5" hidden="false" customHeight="true" outlineLevel="0" collapsed="false">
      <c r="A3285" s="2" t="s">
        <v>447</v>
      </c>
      <c r="B3285" s="2" t="s">
        <v>454</v>
      </c>
      <c r="C3285" s="2" t="n">
        <v>3</v>
      </c>
      <c r="D3285" s="2" t="s">
        <v>591</v>
      </c>
      <c r="E3285" s="2" t="s">
        <v>0</v>
      </c>
      <c r="F3285" s="2" t="n">
        <v>86</v>
      </c>
      <c r="G3285" s="2" t="n">
        <v>6</v>
      </c>
    </row>
    <row r="3286" customFormat="false" ht="16.5" hidden="false" customHeight="true" outlineLevel="0" collapsed="false">
      <c r="A3286" s="2" t="s">
        <v>447</v>
      </c>
      <c r="B3286" s="2" t="s">
        <v>454</v>
      </c>
      <c r="C3286" s="2" t="n">
        <v>3</v>
      </c>
      <c r="D3286" s="2" t="s">
        <v>591</v>
      </c>
      <c r="E3286" s="2" t="s">
        <v>1</v>
      </c>
      <c r="F3286" s="2" t="n">
        <v>86</v>
      </c>
      <c r="G3286" s="2" t="n">
        <v>10</v>
      </c>
    </row>
    <row r="3287" customFormat="false" ht="16.5" hidden="false" customHeight="true" outlineLevel="0" collapsed="false">
      <c r="A3287" s="2" t="s">
        <v>447</v>
      </c>
      <c r="B3287" s="2" t="s">
        <v>454</v>
      </c>
      <c r="C3287" s="2" t="n">
        <v>3</v>
      </c>
      <c r="D3287" s="2" t="s">
        <v>591</v>
      </c>
      <c r="E3287" s="2" t="s">
        <v>2</v>
      </c>
      <c r="F3287" s="2" t="n">
        <v>86</v>
      </c>
      <c r="G3287" s="2" t="n">
        <v>14</v>
      </c>
    </row>
    <row r="3288" customFormat="false" ht="16.5" hidden="false" customHeight="true" outlineLevel="0" collapsed="false">
      <c r="A3288" s="2" t="s">
        <v>447</v>
      </c>
      <c r="B3288" s="2" t="s">
        <v>454</v>
      </c>
      <c r="C3288" s="2" t="n">
        <v>3</v>
      </c>
      <c r="D3288" s="2" t="s">
        <v>591</v>
      </c>
      <c r="E3288" s="2" t="s">
        <v>3</v>
      </c>
      <c r="F3288" s="2" t="n">
        <v>86</v>
      </c>
      <c r="G3288" s="2" t="n">
        <v>18</v>
      </c>
    </row>
    <row r="3289" customFormat="false" ht="16.5" hidden="false" customHeight="true" outlineLevel="0" collapsed="false">
      <c r="A3289" s="2" t="s">
        <v>447</v>
      </c>
      <c r="B3289" s="2" t="s">
        <v>454</v>
      </c>
      <c r="C3289" s="2" t="n">
        <v>3</v>
      </c>
      <c r="D3289" s="2" t="s">
        <v>591</v>
      </c>
      <c r="E3289" s="2" t="s">
        <v>4</v>
      </c>
      <c r="F3289" s="2" t="n">
        <v>86</v>
      </c>
      <c r="G3289" s="2" t="n">
        <v>22</v>
      </c>
    </row>
    <row r="3290" customFormat="false" ht="16.5" hidden="false" customHeight="true" outlineLevel="0" collapsed="false">
      <c r="A3290" s="2" t="s">
        <v>447</v>
      </c>
      <c r="B3290" s="2" t="s">
        <v>454</v>
      </c>
      <c r="C3290" s="2" t="n">
        <v>3</v>
      </c>
      <c r="D3290" s="2" t="s">
        <v>591</v>
      </c>
      <c r="E3290" s="2" t="s">
        <v>5</v>
      </c>
      <c r="F3290" s="2" t="n">
        <v>86</v>
      </c>
      <c r="G3290" s="2" t="n">
        <v>26</v>
      </c>
    </row>
    <row r="3291" customFormat="false" ht="16.5" hidden="false" customHeight="true" outlineLevel="0" collapsed="false">
      <c r="A3291" s="2" t="s">
        <v>447</v>
      </c>
      <c r="B3291" s="2" t="s">
        <v>454</v>
      </c>
      <c r="C3291" s="2" t="n">
        <v>3</v>
      </c>
      <c r="D3291" s="2" t="s">
        <v>591</v>
      </c>
      <c r="E3291" s="2" t="s">
        <v>6</v>
      </c>
      <c r="F3291" s="2" t="n">
        <v>86</v>
      </c>
      <c r="G3291" s="2" t="n">
        <v>30</v>
      </c>
    </row>
    <row r="3292" customFormat="false" ht="16.5" hidden="false" customHeight="true" outlineLevel="0" collapsed="false">
      <c r="A3292" s="2" t="s">
        <v>447</v>
      </c>
      <c r="B3292" s="2" t="s">
        <v>454</v>
      </c>
      <c r="C3292" s="2" t="n">
        <v>3</v>
      </c>
      <c r="D3292" s="2" t="s">
        <v>591</v>
      </c>
      <c r="E3292" s="2" t="s">
        <v>7</v>
      </c>
      <c r="F3292" s="2" t="n">
        <v>86</v>
      </c>
      <c r="G3292" s="2" t="n">
        <v>34</v>
      </c>
    </row>
    <row r="3293" customFormat="false" ht="16.5" hidden="false" customHeight="true" outlineLevel="0" collapsed="false">
      <c r="A3293" s="2" t="s">
        <v>447</v>
      </c>
      <c r="B3293" s="2" t="s">
        <v>454</v>
      </c>
      <c r="C3293" s="2" t="n">
        <v>3</v>
      </c>
      <c r="D3293" s="2" t="s">
        <v>591</v>
      </c>
      <c r="E3293" s="2" t="s">
        <v>8</v>
      </c>
      <c r="F3293" s="2" t="n">
        <v>86</v>
      </c>
      <c r="G3293" s="2" t="n">
        <v>38</v>
      </c>
    </row>
    <row r="3294" customFormat="false" ht="16.5" hidden="false" customHeight="true" outlineLevel="0" collapsed="false">
      <c r="A3294" s="2" t="s">
        <v>447</v>
      </c>
      <c r="B3294" s="2" t="s">
        <v>454</v>
      </c>
      <c r="C3294" s="2" t="n">
        <v>3</v>
      </c>
      <c r="D3294" s="2" t="s">
        <v>591</v>
      </c>
      <c r="E3294" s="2" t="s">
        <v>9</v>
      </c>
      <c r="F3294" s="2" t="n">
        <v>86</v>
      </c>
      <c r="G3294" s="2" t="n">
        <v>42</v>
      </c>
    </row>
    <row r="3295" customFormat="false" ht="16.5" hidden="false" customHeight="true" outlineLevel="0" collapsed="false">
      <c r="A3295" s="2" t="s">
        <v>447</v>
      </c>
      <c r="B3295" s="2" t="s">
        <v>454</v>
      </c>
      <c r="C3295" s="2" t="n">
        <v>3</v>
      </c>
      <c r="D3295" s="2" t="s">
        <v>591</v>
      </c>
      <c r="E3295" s="2" t="s">
        <v>10</v>
      </c>
      <c r="F3295" s="2" t="n">
        <v>86</v>
      </c>
      <c r="G3295" s="2" t="n">
        <v>46</v>
      </c>
    </row>
    <row r="3296" customFormat="false" ht="16.5" hidden="false" customHeight="true" outlineLevel="0" collapsed="false">
      <c r="A3296" s="2" t="s">
        <v>447</v>
      </c>
      <c r="B3296" s="2" t="s">
        <v>454</v>
      </c>
      <c r="C3296" s="2" t="n">
        <v>3</v>
      </c>
      <c r="D3296" s="2" t="s">
        <v>591</v>
      </c>
      <c r="E3296" s="2" t="s">
        <v>11</v>
      </c>
      <c r="F3296" s="2" t="n">
        <v>86</v>
      </c>
      <c r="G3296" s="2" t="n">
        <v>50</v>
      </c>
    </row>
    <row r="3297" customFormat="false" ht="16.5" hidden="false" customHeight="true" outlineLevel="0" collapsed="false">
      <c r="A3297" s="2" t="s">
        <v>447</v>
      </c>
      <c r="B3297" s="2" t="s">
        <v>454</v>
      </c>
      <c r="C3297" s="2" t="n">
        <v>3</v>
      </c>
      <c r="D3297" s="2" t="s">
        <v>591</v>
      </c>
      <c r="E3297" s="2" t="s">
        <v>12</v>
      </c>
      <c r="F3297" s="2" t="n">
        <v>88</v>
      </c>
      <c r="G3297" s="2" t="n">
        <v>8</v>
      </c>
    </row>
    <row r="3298" customFormat="false" ht="16.5" hidden="false" customHeight="true" outlineLevel="0" collapsed="false">
      <c r="A3298" s="2" t="s">
        <v>447</v>
      </c>
      <c r="B3298" s="2" t="s">
        <v>454</v>
      </c>
      <c r="C3298" s="2" t="n">
        <v>3</v>
      </c>
      <c r="D3298" s="2" t="s">
        <v>591</v>
      </c>
      <c r="E3298" s="2" t="s">
        <v>13</v>
      </c>
      <c r="F3298" s="2" t="n">
        <v>88</v>
      </c>
      <c r="G3298" s="2" t="n">
        <v>12</v>
      </c>
    </row>
    <row r="3299" customFormat="false" ht="16.5" hidden="false" customHeight="true" outlineLevel="0" collapsed="false">
      <c r="A3299" s="2" t="s">
        <v>447</v>
      </c>
      <c r="B3299" s="2" t="s">
        <v>454</v>
      </c>
      <c r="C3299" s="2" t="n">
        <v>3</v>
      </c>
      <c r="D3299" s="2" t="s">
        <v>591</v>
      </c>
      <c r="E3299" s="2" t="s">
        <v>14</v>
      </c>
      <c r="F3299" s="2" t="n">
        <v>88</v>
      </c>
      <c r="G3299" s="2" t="n">
        <v>16</v>
      </c>
    </row>
    <row r="3300" customFormat="false" ht="16.5" hidden="false" customHeight="true" outlineLevel="0" collapsed="false">
      <c r="A3300" s="2" t="s">
        <v>447</v>
      </c>
      <c r="B3300" s="2" t="s">
        <v>454</v>
      </c>
      <c r="C3300" s="2" t="n">
        <v>3</v>
      </c>
      <c r="D3300" s="2" t="s">
        <v>591</v>
      </c>
      <c r="E3300" s="2" t="s">
        <v>15</v>
      </c>
      <c r="F3300" s="2" t="n">
        <v>88</v>
      </c>
      <c r="G3300" s="2" t="n">
        <v>20</v>
      </c>
    </row>
    <row r="3301" customFormat="false" ht="16.5" hidden="false" customHeight="true" outlineLevel="0" collapsed="false">
      <c r="A3301" s="2" t="s">
        <v>447</v>
      </c>
      <c r="B3301" s="2" t="s">
        <v>454</v>
      </c>
      <c r="C3301" s="2" t="n">
        <v>3</v>
      </c>
      <c r="D3301" s="2" t="s">
        <v>591</v>
      </c>
      <c r="E3301" s="2" t="s">
        <v>16</v>
      </c>
      <c r="F3301" s="2" t="n">
        <v>88</v>
      </c>
      <c r="G3301" s="2" t="n">
        <v>24</v>
      </c>
    </row>
    <row r="3302" customFormat="false" ht="16.5" hidden="false" customHeight="true" outlineLevel="0" collapsed="false">
      <c r="A3302" s="2" t="s">
        <v>447</v>
      </c>
      <c r="B3302" s="2" t="s">
        <v>454</v>
      </c>
      <c r="C3302" s="2" t="n">
        <v>3</v>
      </c>
      <c r="D3302" s="2" t="s">
        <v>591</v>
      </c>
      <c r="E3302" s="2" t="s">
        <v>17</v>
      </c>
      <c r="F3302" s="2" t="n">
        <v>88</v>
      </c>
      <c r="G3302" s="2" t="n">
        <v>28</v>
      </c>
    </row>
    <row r="3303" customFormat="false" ht="16.5" hidden="false" customHeight="true" outlineLevel="0" collapsed="false">
      <c r="A3303" s="2" t="s">
        <v>447</v>
      </c>
      <c r="B3303" s="2" t="s">
        <v>454</v>
      </c>
      <c r="C3303" s="2" t="n">
        <v>3</v>
      </c>
      <c r="D3303" s="2" t="s">
        <v>591</v>
      </c>
      <c r="E3303" s="2" t="s">
        <v>18</v>
      </c>
      <c r="F3303" s="2" t="n">
        <v>88</v>
      </c>
      <c r="G3303" s="2" t="n">
        <v>32</v>
      </c>
    </row>
    <row r="3304" customFormat="false" ht="16.5" hidden="false" customHeight="true" outlineLevel="0" collapsed="false">
      <c r="A3304" s="2" t="s">
        <v>447</v>
      </c>
      <c r="B3304" s="2" t="s">
        <v>454</v>
      </c>
      <c r="C3304" s="2" t="n">
        <v>3</v>
      </c>
      <c r="D3304" s="2" t="s">
        <v>591</v>
      </c>
      <c r="E3304" s="2" t="s">
        <v>19</v>
      </c>
      <c r="F3304" s="2" t="n">
        <v>88</v>
      </c>
      <c r="G3304" s="2" t="n">
        <v>36</v>
      </c>
    </row>
    <row r="3305" customFormat="false" ht="16.5" hidden="false" customHeight="true" outlineLevel="0" collapsed="false">
      <c r="A3305" s="2" t="s">
        <v>447</v>
      </c>
      <c r="B3305" s="2" t="s">
        <v>454</v>
      </c>
      <c r="C3305" s="2" t="n">
        <v>3</v>
      </c>
      <c r="D3305" s="2" t="s">
        <v>591</v>
      </c>
      <c r="E3305" s="2" t="s">
        <v>20</v>
      </c>
      <c r="F3305" s="2" t="n">
        <v>88</v>
      </c>
      <c r="G3305" s="2" t="n">
        <v>40</v>
      </c>
    </row>
    <row r="3306" customFormat="false" ht="16.5" hidden="false" customHeight="true" outlineLevel="0" collapsed="false">
      <c r="A3306" s="2" t="s">
        <v>447</v>
      </c>
      <c r="B3306" s="2" t="s">
        <v>454</v>
      </c>
      <c r="C3306" s="2" t="n">
        <v>3</v>
      </c>
      <c r="D3306" s="2" t="s">
        <v>591</v>
      </c>
      <c r="E3306" s="2" t="s">
        <v>21</v>
      </c>
      <c r="F3306" s="2" t="n">
        <v>88</v>
      </c>
      <c r="G3306" s="2" t="n">
        <v>44</v>
      </c>
    </row>
    <row r="3307" customFormat="false" ht="16.5" hidden="false" customHeight="true" outlineLevel="0" collapsed="false">
      <c r="A3307" s="2" t="s">
        <v>447</v>
      </c>
      <c r="B3307" s="2" t="s">
        <v>454</v>
      </c>
      <c r="C3307" s="2" t="n">
        <v>3</v>
      </c>
      <c r="D3307" s="2" t="s">
        <v>591</v>
      </c>
      <c r="E3307" s="2" t="s">
        <v>22</v>
      </c>
      <c r="F3307" s="2" t="n">
        <v>88</v>
      </c>
      <c r="G3307" s="2" t="n">
        <v>48</v>
      </c>
    </row>
    <row r="3308" customFormat="false" ht="16.5" hidden="false" customHeight="true" outlineLevel="0" collapsed="false">
      <c r="A3308" s="2" t="s">
        <v>447</v>
      </c>
      <c r="B3308" s="2" t="s">
        <v>454</v>
      </c>
      <c r="C3308" s="2" t="n">
        <v>3</v>
      </c>
      <c r="D3308" s="2" t="s">
        <v>591</v>
      </c>
      <c r="E3308" s="2" t="s">
        <v>23</v>
      </c>
      <c r="F3308" s="2" t="n">
        <v>88</v>
      </c>
      <c r="G3308" s="2" t="n">
        <v>52</v>
      </c>
    </row>
    <row r="3309" customFormat="false" ht="16.5" hidden="false" customHeight="true" outlineLevel="0" collapsed="false">
      <c r="A3309" s="2" t="s">
        <v>447</v>
      </c>
      <c r="B3309" s="2" t="s">
        <v>454</v>
      </c>
      <c r="C3309" s="2" t="n">
        <v>3</v>
      </c>
      <c r="D3309" s="2" t="s">
        <v>591</v>
      </c>
      <c r="E3309" s="2" t="s">
        <v>24</v>
      </c>
      <c r="F3309" s="2" t="n">
        <v>90</v>
      </c>
      <c r="G3309" s="2" t="n">
        <v>9</v>
      </c>
    </row>
    <row r="3310" customFormat="false" ht="16.5" hidden="false" customHeight="true" outlineLevel="0" collapsed="false">
      <c r="A3310" s="2" t="s">
        <v>447</v>
      </c>
      <c r="B3310" s="2" t="s">
        <v>454</v>
      </c>
      <c r="C3310" s="2" t="n">
        <v>3</v>
      </c>
      <c r="D3310" s="2" t="s">
        <v>591</v>
      </c>
      <c r="E3310" s="2" t="s">
        <v>25</v>
      </c>
      <c r="F3310" s="2" t="n">
        <v>90</v>
      </c>
      <c r="G3310" s="2" t="n">
        <v>13</v>
      </c>
    </row>
    <row r="3311" customFormat="false" ht="16.5" hidden="false" customHeight="true" outlineLevel="0" collapsed="false">
      <c r="A3311" s="2" t="s">
        <v>447</v>
      </c>
      <c r="B3311" s="2" t="s">
        <v>454</v>
      </c>
      <c r="C3311" s="2" t="n">
        <v>3</v>
      </c>
      <c r="D3311" s="2" t="s">
        <v>591</v>
      </c>
      <c r="E3311" s="2" t="s">
        <v>26</v>
      </c>
      <c r="F3311" s="2" t="n">
        <v>90</v>
      </c>
      <c r="G3311" s="2" t="n">
        <v>17</v>
      </c>
    </row>
    <row r="3312" customFormat="false" ht="16.5" hidden="false" customHeight="true" outlineLevel="0" collapsed="false">
      <c r="A3312" s="2" t="s">
        <v>447</v>
      </c>
      <c r="B3312" s="2" t="s">
        <v>454</v>
      </c>
      <c r="C3312" s="2" t="n">
        <v>3</v>
      </c>
      <c r="D3312" s="2" t="s">
        <v>591</v>
      </c>
      <c r="E3312" s="2" t="s">
        <v>27</v>
      </c>
      <c r="F3312" s="2" t="n">
        <v>90</v>
      </c>
      <c r="G3312" s="2" t="n">
        <v>21</v>
      </c>
    </row>
    <row r="3313" customFormat="false" ht="16.5" hidden="false" customHeight="true" outlineLevel="0" collapsed="false">
      <c r="A3313" s="2" t="s">
        <v>447</v>
      </c>
      <c r="B3313" s="2" t="s">
        <v>454</v>
      </c>
      <c r="C3313" s="2" t="n">
        <v>3</v>
      </c>
      <c r="D3313" s="2" t="s">
        <v>591</v>
      </c>
      <c r="E3313" s="2" t="s">
        <v>28</v>
      </c>
      <c r="F3313" s="2" t="n">
        <v>90</v>
      </c>
      <c r="G3313" s="2" t="n">
        <v>25</v>
      </c>
    </row>
    <row r="3314" customFormat="false" ht="16.5" hidden="false" customHeight="true" outlineLevel="0" collapsed="false">
      <c r="A3314" s="2" t="s">
        <v>447</v>
      </c>
      <c r="B3314" s="2" t="s">
        <v>454</v>
      </c>
      <c r="C3314" s="2" t="n">
        <v>3</v>
      </c>
      <c r="D3314" s="2" t="s">
        <v>591</v>
      </c>
      <c r="E3314" s="2" t="s">
        <v>29</v>
      </c>
      <c r="F3314" s="2" t="n">
        <v>90</v>
      </c>
      <c r="G3314" s="2" t="n">
        <v>29</v>
      </c>
    </row>
    <row r="3315" customFormat="false" ht="16.5" hidden="false" customHeight="true" outlineLevel="0" collapsed="false">
      <c r="A3315" s="2" t="s">
        <v>447</v>
      </c>
      <c r="B3315" s="2" t="s">
        <v>454</v>
      </c>
      <c r="C3315" s="2" t="n">
        <v>3</v>
      </c>
      <c r="D3315" s="2" t="s">
        <v>591</v>
      </c>
      <c r="E3315" s="2" t="s">
        <v>30</v>
      </c>
      <c r="F3315" s="2" t="n">
        <v>90</v>
      </c>
      <c r="G3315" s="2" t="n">
        <v>33</v>
      </c>
    </row>
    <row r="3316" customFormat="false" ht="16.5" hidden="false" customHeight="true" outlineLevel="0" collapsed="false">
      <c r="A3316" s="2" t="s">
        <v>447</v>
      </c>
      <c r="B3316" s="2" t="s">
        <v>454</v>
      </c>
      <c r="C3316" s="2" t="n">
        <v>3</v>
      </c>
      <c r="D3316" s="2" t="s">
        <v>591</v>
      </c>
      <c r="E3316" s="2" t="s">
        <v>31</v>
      </c>
      <c r="F3316" s="2" t="n">
        <v>90</v>
      </c>
      <c r="G3316" s="2" t="n">
        <v>37</v>
      </c>
    </row>
    <row r="3317" customFormat="false" ht="16.5" hidden="false" customHeight="true" outlineLevel="0" collapsed="false">
      <c r="A3317" s="2" t="s">
        <v>447</v>
      </c>
      <c r="B3317" s="2" t="s">
        <v>454</v>
      </c>
      <c r="C3317" s="2" t="n">
        <v>3</v>
      </c>
      <c r="D3317" s="2" t="s">
        <v>591</v>
      </c>
      <c r="E3317" s="2" t="s">
        <v>32</v>
      </c>
      <c r="F3317" s="2" t="n">
        <v>90</v>
      </c>
      <c r="G3317" s="2" t="n">
        <v>41</v>
      </c>
    </row>
    <row r="3318" customFormat="false" ht="16.5" hidden="false" customHeight="true" outlineLevel="0" collapsed="false">
      <c r="A3318" s="2" t="s">
        <v>447</v>
      </c>
      <c r="B3318" s="2" t="s">
        <v>454</v>
      </c>
      <c r="C3318" s="2" t="n">
        <v>3</v>
      </c>
      <c r="D3318" s="2" t="s">
        <v>591</v>
      </c>
      <c r="E3318" s="2" t="s">
        <v>33</v>
      </c>
      <c r="F3318" s="2" t="n">
        <v>90</v>
      </c>
      <c r="G3318" s="2" t="n">
        <v>45</v>
      </c>
    </row>
    <row r="3319" customFormat="false" ht="16.5" hidden="false" customHeight="true" outlineLevel="0" collapsed="false">
      <c r="A3319" s="2" t="s">
        <v>447</v>
      </c>
      <c r="B3319" s="2" t="s">
        <v>454</v>
      </c>
      <c r="C3319" s="2" t="n">
        <v>3</v>
      </c>
      <c r="D3319" s="2" t="s">
        <v>591</v>
      </c>
      <c r="E3319" s="2" t="s">
        <v>34</v>
      </c>
      <c r="F3319" s="2" t="n">
        <v>90</v>
      </c>
      <c r="G3319" s="2" t="n">
        <v>49</v>
      </c>
    </row>
    <row r="3320" customFormat="false" ht="16.5" hidden="false" customHeight="true" outlineLevel="0" collapsed="false">
      <c r="A3320" s="2" t="s">
        <v>447</v>
      </c>
      <c r="B3320" s="2" t="s">
        <v>454</v>
      </c>
      <c r="C3320" s="2" t="n">
        <v>3</v>
      </c>
      <c r="D3320" s="2" t="s">
        <v>591</v>
      </c>
      <c r="E3320" s="2" t="s">
        <v>35</v>
      </c>
      <c r="F3320" s="2" t="n">
        <v>92</v>
      </c>
      <c r="G3320" s="2" t="n">
        <v>11</v>
      </c>
    </row>
    <row r="3321" customFormat="false" ht="16.5" hidden="false" customHeight="true" outlineLevel="0" collapsed="false">
      <c r="A3321" s="2" t="s">
        <v>447</v>
      </c>
      <c r="B3321" s="2" t="s">
        <v>454</v>
      </c>
      <c r="C3321" s="2" t="n">
        <v>3</v>
      </c>
      <c r="D3321" s="2" t="s">
        <v>591</v>
      </c>
      <c r="E3321" s="2" t="s">
        <v>36</v>
      </c>
      <c r="F3321" s="2" t="n">
        <v>92</v>
      </c>
      <c r="G3321" s="2" t="n">
        <v>15</v>
      </c>
    </row>
    <row r="3322" customFormat="false" ht="16.5" hidden="false" customHeight="true" outlineLevel="0" collapsed="false">
      <c r="A3322" s="2" t="s">
        <v>447</v>
      </c>
      <c r="B3322" s="2" t="s">
        <v>454</v>
      </c>
      <c r="C3322" s="2" t="n">
        <v>3</v>
      </c>
      <c r="D3322" s="2" t="s">
        <v>591</v>
      </c>
      <c r="E3322" s="2" t="s">
        <v>37</v>
      </c>
      <c r="F3322" s="2" t="n">
        <v>92</v>
      </c>
      <c r="G3322" s="2" t="n">
        <v>19</v>
      </c>
    </row>
    <row r="3323" customFormat="false" ht="16.5" hidden="false" customHeight="true" outlineLevel="0" collapsed="false">
      <c r="A3323" s="2" t="s">
        <v>447</v>
      </c>
      <c r="B3323" s="2" t="s">
        <v>454</v>
      </c>
      <c r="C3323" s="2" t="n">
        <v>3</v>
      </c>
      <c r="D3323" s="2" t="s">
        <v>591</v>
      </c>
      <c r="E3323" s="2" t="s">
        <v>38</v>
      </c>
      <c r="F3323" s="2" t="n">
        <v>92</v>
      </c>
      <c r="G3323" s="2" t="n">
        <v>23</v>
      </c>
    </row>
    <row r="3324" customFormat="false" ht="16.5" hidden="false" customHeight="true" outlineLevel="0" collapsed="false">
      <c r="A3324" s="2" t="s">
        <v>447</v>
      </c>
      <c r="B3324" s="2" t="s">
        <v>454</v>
      </c>
      <c r="C3324" s="2" t="n">
        <v>3</v>
      </c>
      <c r="D3324" s="2" t="s">
        <v>591</v>
      </c>
      <c r="E3324" s="2" t="s">
        <v>39</v>
      </c>
      <c r="F3324" s="2" t="n">
        <v>92</v>
      </c>
      <c r="G3324" s="2" t="n">
        <v>27</v>
      </c>
    </row>
    <row r="3325" customFormat="false" ht="16.5" hidden="false" customHeight="true" outlineLevel="0" collapsed="false">
      <c r="A3325" s="2" t="s">
        <v>447</v>
      </c>
      <c r="B3325" s="2" t="s">
        <v>454</v>
      </c>
      <c r="C3325" s="2" t="n">
        <v>3</v>
      </c>
      <c r="D3325" s="2" t="s">
        <v>591</v>
      </c>
      <c r="E3325" s="2" t="s">
        <v>40</v>
      </c>
      <c r="F3325" s="2" t="n">
        <v>92</v>
      </c>
      <c r="G3325" s="2" t="n">
        <v>31</v>
      </c>
    </row>
    <row r="3326" customFormat="false" ht="16.5" hidden="false" customHeight="true" outlineLevel="0" collapsed="false">
      <c r="A3326" s="2" t="s">
        <v>447</v>
      </c>
      <c r="B3326" s="2" t="s">
        <v>454</v>
      </c>
      <c r="C3326" s="2" t="n">
        <v>3</v>
      </c>
      <c r="D3326" s="2" t="s">
        <v>591</v>
      </c>
      <c r="E3326" s="2" t="s">
        <v>41</v>
      </c>
      <c r="F3326" s="2" t="n">
        <v>92</v>
      </c>
      <c r="G3326" s="2" t="n">
        <v>35</v>
      </c>
    </row>
    <row r="3327" customFormat="false" ht="16.5" hidden="false" customHeight="true" outlineLevel="0" collapsed="false">
      <c r="A3327" s="2" t="s">
        <v>447</v>
      </c>
      <c r="B3327" s="2" t="s">
        <v>454</v>
      </c>
      <c r="C3327" s="2" t="n">
        <v>3</v>
      </c>
      <c r="D3327" s="2" t="s">
        <v>591</v>
      </c>
      <c r="E3327" s="2" t="s">
        <v>42</v>
      </c>
      <c r="F3327" s="2" t="n">
        <v>92</v>
      </c>
      <c r="G3327" s="2" t="n">
        <v>39</v>
      </c>
    </row>
    <row r="3328" customFormat="false" ht="16.5" hidden="false" customHeight="true" outlineLevel="0" collapsed="false">
      <c r="A3328" s="2" t="s">
        <v>447</v>
      </c>
      <c r="B3328" s="2" t="s">
        <v>454</v>
      </c>
      <c r="C3328" s="2" t="n">
        <v>3</v>
      </c>
      <c r="D3328" s="2" t="s">
        <v>591</v>
      </c>
      <c r="E3328" s="2" t="s">
        <v>43</v>
      </c>
      <c r="F3328" s="2" t="n">
        <v>92</v>
      </c>
      <c r="G3328" s="2" t="n">
        <v>43</v>
      </c>
    </row>
    <row r="3329" customFormat="false" ht="16.5" hidden="false" customHeight="true" outlineLevel="0" collapsed="false">
      <c r="A3329" s="2" t="s">
        <v>447</v>
      </c>
      <c r="B3329" s="2" t="s">
        <v>454</v>
      </c>
      <c r="C3329" s="2" t="n">
        <v>3</v>
      </c>
      <c r="D3329" s="2" t="s">
        <v>591</v>
      </c>
      <c r="E3329" s="2" t="s">
        <v>44</v>
      </c>
      <c r="F3329" s="2" t="n">
        <v>92</v>
      </c>
      <c r="G3329" s="2" t="n">
        <v>47</v>
      </c>
    </row>
    <row r="3330" customFormat="false" ht="16.5" hidden="false" customHeight="true" outlineLevel="0" collapsed="false">
      <c r="A3330" s="2" t="s">
        <v>447</v>
      </c>
      <c r="B3330" s="2" t="s">
        <v>454</v>
      </c>
      <c r="C3330" s="2" t="n">
        <v>3</v>
      </c>
      <c r="D3330" s="2" t="s">
        <v>591</v>
      </c>
      <c r="E3330" s="2" t="s">
        <v>48</v>
      </c>
      <c r="F3330" s="2" t="n">
        <v>94</v>
      </c>
      <c r="G3330" s="2" t="n">
        <v>16</v>
      </c>
    </row>
    <row r="3331" customFormat="false" ht="16.5" hidden="false" customHeight="true" outlineLevel="0" collapsed="false">
      <c r="A3331" s="2" t="s">
        <v>447</v>
      </c>
      <c r="B3331" s="2" t="s">
        <v>454</v>
      </c>
      <c r="C3331" s="2" t="n">
        <v>3</v>
      </c>
      <c r="D3331" s="2" t="s">
        <v>591</v>
      </c>
      <c r="E3331" s="2" t="s">
        <v>50</v>
      </c>
      <c r="F3331" s="2" t="n">
        <v>94</v>
      </c>
      <c r="G3331" s="2" t="n">
        <v>20</v>
      </c>
    </row>
    <row r="3332" customFormat="false" ht="16.5" hidden="false" customHeight="true" outlineLevel="0" collapsed="false">
      <c r="A3332" s="2" t="s">
        <v>447</v>
      </c>
      <c r="B3332" s="2" t="s">
        <v>454</v>
      </c>
      <c r="C3332" s="2" t="n">
        <v>3</v>
      </c>
      <c r="D3332" s="2" t="s">
        <v>591</v>
      </c>
      <c r="E3332" s="2" t="s">
        <v>45</v>
      </c>
      <c r="F3332" s="2" t="n">
        <v>94</v>
      </c>
      <c r="G3332" s="2" t="n">
        <v>38</v>
      </c>
    </row>
    <row r="3333" customFormat="false" ht="16.5" hidden="false" customHeight="true" outlineLevel="0" collapsed="false">
      <c r="A3333" s="2" t="s">
        <v>447</v>
      </c>
      <c r="B3333" s="2" t="s">
        <v>454</v>
      </c>
      <c r="C3333" s="2" t="n">
        <v>3</v>
      </c>
      <c r="D3333" s="2" t="s">
        <v>591</v>
      </c>
      <c r="E3333" s="2" t="s">
        <v>46</v>
      </c>
      <c r="F3333" s="2" t="n">
        <v>94</v>
      </c>
      <c r="G3333" s="2" t="n">
        <v>42</v>
      </c>
    </row>
    <row r="3334" customFormat="false" ht="16.5" hidden="false" customHeight="true" outlineLevel="0" collapsed="false">
      <c r="A3334" s="2" t="s">
        <v>447</v>
      </c>
      <c r="B3334" s="2" t="s">
        <v>455</v>
      </c>
      <c r="C3334" s="2" t="n">
        <v>3</v>
      </c>
      <c r="D3334" s="2" t="s">
        <v>592</v>
      </c>
      <c r="E3334" s="2" t="s">
        <v>0</v>
      </c>
      <c r="F3334" s="2" t="n">
        <v>99</v>
      </c>
      <c r="G3334" s="2" t="n">
        <v>6</v>
      </c>
    </row>
    <row r="3335" customFormat="false" ht="16.5" hidden="false" customHeight="true" outlineLevel="0" collapsed="false">
      <c r="A3335" s="2" t="s">
        <v>447</v>
      </c>
      <c r="B3335" s="2" t="s">
        <v>455</v>
      </c>
      <c r="C3335" s="2" t="n">
        <v>3</v>
      </c>
      <c r="D3335" s="2" t="s">
        <v>592</v>
      </c>
      <c r="E3335" s="2" t="s">
        <v>1</v>
      </c>
      <c r="F3335" s="2" t="n">
        <v>99</v>
      </c>
      <c r="G3335" s="2" t="n">
        <v>10</v>
      </c>
    </row>
    <row r="3336" customFormat="false" ht="16.5" hidden="false" customHeight="true" outlineLevel="0" collapsed="false">
      <c r="A3336" s="2" t="s">
        <v>447</v>
      </c>
      <c r="B3336" s="2" t="s">
        <v>455</v>
      </c>
      <c r="C3336" s="2" t="n">
        <v>3</v>
      </c>
      <c r="D3336" s="2" t="s">
        <v>592</v>
      </c>
      <c r="E3336" s="2" t="s">
        <v>2</v>
      </c>
      <c r="F3336" s="2" t="n">
        <v>99</v>
      </c>
      <c r="G3336" s="2" t="n">
        <v>14</v>
      </c>
    </row>
    <row r="3337" customFormat="false" ht="16.5" hidden="false" customHeight="true" outlineLevel="0" collapsed="false">
      <c r="A3337" s="2" t="s">
        <v>447</v>
      </c>
      <c r="B3337" s="2" t="s">
        <v>455</v>
      </c>
      <c r="C3337" s="2" t="n">
        <v>3</v>
      </c>
      <c r="D3337" s="2" t="s">
        <v>592</v>
      </c>
      <c r="E3337" s="2" t="s">
        <v>3</v>
      </c>
      <c r="F3337" s="2" t="n">
        <v>99</v>
      </c>
      <c r="G3337" s="2" t="n">
        <v>18</v>
      </c>
    </row>
    <row r="3338" customFormat="false" ht="16.5" hidden="false" customHeight="true" outlineLevel="0" collapsed="false">
      <c r="A3338" s="2" t="s">
        <v>447</v>
      </c>
      <c r="B3338" s="2" t="s">
        <v>455</v>
      </c>
      <c r="C3338" s="2" t="n">
        <v>3</v>
      </c>
      <c r="D3338" s="2" t="s">
        <v>592</v>
      </c>
      <c r="E3338" s="2" t="s">
        <v>4</v>
      </c>
      <c r="F3338" s="2" t="n">
        <v>99</v>
      </c>
      <c r="G3338" s="2" t="n">
        <v>22</v>
      </c>
    </row>
    <row r="3339" customFormat="false" ht="16.5" hidden="false" customHeight="true" outlineLevel="0" collapsed="false">
      <c r="A3339" s="2" t="s">
        <v>447</v>
      </c>
      <c r="B3339" s="2" t="s">
        <v>455</v>
      </c>
      <c r="C3339" s="2" t="n">
        <v>3</v>
      </c>
      <c r="D3339" s="2" t="s">
        <v>592</v>
      </c>
      <c r="E3339" s="2" t="s">
        <v>5</v>
      </c>
      <c r="F3339" s="2" t="n">
        <v>99</v>
      </c>
      <c r="G3339" s="2" t="n">
        <v>26</v>
      </c>
    </row>
    <row r="3340" customFormat="false" ht="16.5" hidden="false" customHeight="true" outlineLevel="0" collapsed="false">
      <c r="A3340" s="2" t="s">
        <v>447</v>
      </c>
      <c r="B3340" s="2" t="s">
        <v>455</v>
      </c>
      <c r="C3340" s="2" t="n">
        <v>3</v>
      </c>
      <c r="D3340" s="2" t="s">
        <v>592</v>
      </c>
      <c r="E3340" s="2" t="s">
        <v>6</v>
      </c>
      <c r="F3340" s="2" t="n">
        <v>99</v>
      </c>
      <c r="G3340" s="2" t="n">
        <v>30</v>
      </c>
    </row>
    <row r="3341" customFormat="false" ht="16.5" hidden="false" customHeight="true" outlineLevel="0" collapsed="false">
      <c r="A3341" s="2" t="s">
        <v>447</v>
      </c>
      <c r="B3341" s="2" t="s">
        <v>455</v>
      </c>
      <c r="C3341" s="2" t="n">
        <v>3</v>
      </c>
      <c r="D3341" s="2" t="s">
        <v>592</v>
      </c>
      <c r="E3341" s="2" t="s">
        <v>7</v>
      </c>
      <c r="F3341" s="2" t="n">
        <v>99</v>
      </c>
      <c r="G3341" s="2" t="n">
        <v>34</v>
      </c>
    </row>
    <row r="3342" customFormat="false" ht="16.5" hidden="false" customHeight="true" outlineLevel="0" collapsed="false">
      <c r="A3342" s="2" t="s">
        <v>447</v>
      </c>
      <c r="B3342" s="2" t="s">
        <v>455</v>
      </c>
      <c r="C3342" s="2" t="n">
        <v>3</v>
      </c>
      <c r="D3342" s="2" t="s">
        <v>592</v>
      </c>
      <c r="E3342" s="2" t="s">
        <v>8</v>
      </c>
      <c r="F3342" s="2" t="n">
        <v>99</v>
      </c>
      <c r="G3342" s="2" t="n">
        <v>38</v>
      </c>
    </row>
    <row r="3343" customFormat="false" ht="16.5" hidden="false" customHeight="true" outlineLevel="0" collapsed="false">
      <c r="A3343" s="2" t="s">
        <v>447</v>
      </c>
      <c r="B3343" s="2" t="s">
        <v>455</v>
      </c>
      <c r="C3343" s="2" t="n">
        <v>3</v>
      </c>
      <c r="D3343" s="2" t="s">
        <v>592</v>
      </c>
      <c r="E3343" s="2" t="s">
        <v>9</v>
      </c>
      <c r="F3343" s="2" t="n">
        <v>99</v>
      </c>
      <c r="G3343" s="2" t="n">
        <v>42</v>
      </c>
    </row>
    <row r="3344" customFormat="false" ht="16.5" hidden="false" customHeight="true" outlineLevel="0" collapsed="false">
      <c r="A3344" s="2" t="s">
        <v>447</v>
      </c>
      <c r="B3344" s="2" t="s">
        <v>455</v>
      </c>
      <c r="C3344" s="2" t="n">
        <v>3</v>
      </c>
      <c r="D3344" s="2" t="s">
        <v>592</v>
      </c>
      <c r="E3344" s="2" t="s">
        <v>10</v>
      </c>
      <c r="F3344" s="2" t="n">
        <v>99</v>
      </c>
      <c r="G3344" s="2" t="n">
        <v>46</v>
      </c>
    </row>
    <row r="3345" customFormat="false" ht="16.5" hidden="false" customHeight="true" outlineLevel="0" collapsed="false">
      <c r="A3345" s="2" t="s">
        <v>447</v>
      </c>
      <c r="B3345" s="2" t="s">
        <v>455</v>
      </c>
      <c r="C3345" s="2" t="n">
        <v>3</v>
      </c>
      <c r="D3345" s="2" t="s">
        <v>592</v>
      </c>
      <c r="E3345" s="2" t="s">
        <v>11</v>
      </c>
      <c r="F3345" s="2" t="n">
        <v>99</v>
      </c>
      <c r="G3345" s="2" t="n">
        <v>50</v>
      </c>
    </row>
    <row r="3346" customFormat="false" ht="16.5" hidden="false" customHeight="true" outlineLevel="0" collapsed="false">
      <c r="A3346" s="2" t="s">
        <v>447</v>
      </c>
      <c r="B3346" s="2" t="s">
        <v>455</v>
      </c>
      <c r="C3346" s="2" t="n">
        <v>3</v>
      </c>
      <c r="D3346" s="2" t="s">
        <v>592</v>
      </c>
      <c r="E3346" s="2" t="s">
        <v>12</v>
      </c>
      <c r="F3346" s="2" t="n">
        <v>101</v>
      </c>
      <c r="G3346" s="2" t="n">
        <v>8</v>
      </c>
    </row>
    <row r="3347" customFormat="false" ht="16.5" hidden="false" customHeight="true" outlineLevel="0" collapsed="false">
      <c r="A3347" s="2" t="s">
        <v>447</v>
      </c>
      <c r="B3347" s="2" t="s">
        <v>455</v>
      </c>
      <c r="C3347" s="2" t="n">
        <v>3</v>
      </c>
      <c r="D3347" s="2" t="s">
        <v>592</v>
      </c>
      <c r="E3347" s="2" t="s">
        <v>13</v>
      </c>
      <c r="F3347" s="2" t="n">
        <v>101</v>
      </c>
      <c r="G3347" s="2" t="n">
        <v>12</v>
      </c>
    </row>
    <row r="3348" customFormat="false" ht="16.5" hidden="false" customHeight="true" outlineLevel="0" collapsed="false">
      <c r="A3348" s="2" t="s">
        <v>447</v>
      </c>
      <c r="B3348" s="2" t="s">
        <v>455</v>
      </c>
      <c r="C3348" s="2" t="n">
        <v>3</v>
      </c>
      <c r="D3348" s="2" t="s">
        <v>592</v>
      </c>
      <c r="E3348" s="2" t="s">
        <v>14</v>
      </c>
      <c r="F3348" s="2" t="n">
        <v>101</v>
      </c>
      <c r="G3348" s="2" t="n">
        <v>16</v>
      </c>
    </row>
    <row r="3349" customFormat="false" ht="16.5" hidden="false" customHeight="true" outlineLevel="0" collapsed="false">
      <c r="A3349" s="2" t="s">
        <v>447</v>
      </c>
      <c r="B3349" s="2" t="s">
        <v>455</v>
      </c>
      <c r="C3349" s="2" t="n">
        <v>3</v>
      </c>
      <c r="D3349" s="2" t="s">
        <v>592</v>
      </c>
      <c r="E3349" s="2" t="s">
        <v>15</v>
      </c>
      <c r="F3349" s="2" t="n">
        <v>101</v>
      </c>
      <c r="G3349" s="2" t="n">
        <v>20</v>
      </c>
    </row>
    <row r="3350" customFormat="false" ht="16.5" hidden="false" customHeight="true" outlineLevel="0" collapsed="false">
      <c r="A3350" s="2" t="s">
        <v>447</v>
      </c>
      <c r="B3350" s="2" t="s">
        <v>455</v>
      </c>
      <c r="C3350" s="2" t="n">
        <v>3</v>
      </c>
      <c r="D3350" s="2" t="s">
        <v>592</v>
      </c>
      <c r="E3350" s="2" t="s">
        <v>16</v>
      </c>
      <c r="F3350" s="2" t="n">
        <v>101</v>
      </c>
      <c r="G3350" s="2" t="n">
        <v>24</v>
      </c>
    </row>
    <row r="3351" customFormat="false" ht="16.5" hidden="false" customHeight="true" outlineLevel="0" collapsed="false">
      <c r="A3351" s="2" t="s">
        <v>447</v>
      </c>
      <c r="B3351" s="2" t="s">
        <v>455</v>
      </c>
      <c r="C3351" s="2" t="n">
        <v>3</v>
      </c>
      <c r="D3351" s="2" t="s">
        <v>592</v>
      </c>
      <c r="E3351" s="2" t="s">
        <v>17</v>
      </c>
      <c r="F3351" s="2" t="n">
        <v>101</v>
      </c>
      <c r="G3351" s="2" t="n">
        <v>28</v>
      </c>
    </row>
    <row r="3352" customFormat="false" ht="16.5" hidden="false" customHeight="true" outlineLevel="0" collapsed="false">
      <c r="A3352" s="2" t="s">
        <v>447</v>
      </c>
      <c r="B3352" s="2" t="s">
        <v>455</v>
      </c>
      <c r="C3352" s="2" t="n">
        <v>3</v>
      </c>
      <c r="D3352" s="2" t="s">
        <v>592</v>
      </c>
      <c r="E3352" s="2" t="s">
        <v>18</v>
      </c>
      <c r="F3352" s="2" t="n">
        <v>101</v>
      </c>
      <c r="G3352" s="2" t="n">
        <v>32</v>
      </c>
    </row>
    <row r="3353" customFormat="false" ht="16.5" hidden="false" customHeight="true" outlineLevel="0" collapsed="false">
      <c r="A3353" s="2" t="s">
        <v>447</v>
      </c>
      <c r="B3353" s="2" t="s">
        <v>455</v>
      </c>
      <c r="C3353" s="2" t="n">
        <v>3</v>
      </c>
      <c r="D3353" s="2" t="s">
        <v>592</v>
      </c>
      <c r="E3353" s="2" t="s">
        <v>19</v>
      </c>
      <c r="F3353" s="2" t="n">
        <v>101</v>
      </c>
      <c r="G3353" s="2" t="n">
        <v>36</v>
      </c>
    </row>
    <row r="3354" customFormat="false" ht="16.5" hidden="false" customHeight="true" outlineLevel="0" collapsed="false">
      <c r="A3354" s="2" t="s">
        <v>447</v>
      </c>
      <c r="B3354" s="2" t="s">
        <v>455</v>
      </c>
      <c r="C3354" s="2" t="n">
        <v>3</v>
      </c>
      <c r="D3354" s="2" t="s">
        <v>592</v>
      </c>
      <c r="E3354" s="2" t="s">
        <v>20</v>
      </c>
      <c r="F3354" s="2" t="n">
        <v>101</v>
      </c>
      <c r="G3354" s="2" t="n">
        <v>40</v>
      </c>
    </row>
    <row r="3355" customFormat="false" ht="16.5" hidden="false" customHeight="true" outlineLevel="0" collapsed="false">
      <c r="A3355" s="2" t="s">
        <v>447</v>
      </c>
      <c r="B3355" s="2" t="s">
        <v>455</v>
      </c>
      <c r="C3355" s="2" t="n">
        <v>3</v>
      </c>
      <c r="D3355" s="2" t="s">
        <v>592</v>
      </c>
      <c r="E3355" s="2" t="s">
        <v>21</v>
      </c>
      <c r="F3355" s="2" t="n">
        <v>101</v>
      </c>
      <c r="G3355" s="2" t="n">
        <v>44</v>
      </c>
    </row>
    <row r="3356" customFormat="false" ht="16.5" hidden="false" customHeight="true" outlineLevel="0" collapsed="false">
      <c r="A3356" s="2" t="s">
        <v>447</v>
      </c>
      <c r="B3356" s="2" t="s">
        <v>455</v>
      </c>
      <c r="C3356" s="2" t="n">
        <v>3</v>
      </c>
      <c r="D3356" s="2" t="s">
        <v>592</v>
      </c>
      <c r="E3356" s="2" t="s">
        <v>22</v>
      </c>
      <c r="F3356" s="2" t="n">
        <v>101</v>
      </c>
      <c r="G3356" s="2" t="n">
        <v>48</v>
      </c>
    </row>
    <row r="3357" customFormat="false" ht="16.5" hidden="false" customHeight="true" outlineLevel="0" collapsed="false">
      <c r="A3357" s="2" t="s">
        <v>447</v>
      </c>
      <c r="B3357" s="2" t="s">
        <v>455</v>
      </c>
      <c r="C3357" s="2" t="n">
        <v>3</v>
      </c>
      <c r="D3357" s="2" t="s">
        <v>592</v>
      </c>
      <c r="E3357" s="2" t="s">
        <v>23</v>
      </c>
      <c r="F3357" s="2" t="n">
        <v>101</v>
      </c>
      <c r="G3357" s="2" t="n">
        <v>52</v>
      </c>
    </row>
    <row r="3358" customFormat="false" ht="16.5" hidden="false" customHeight="true" outlineLevel="0" collapsed="false">
      <c r="A3358" s="2" t="s">
        <v>447</v>
      </c>
      <c r="B3358" s="2" t="s">
        <v>455</v>
      </c>
      <c r="C3358" s="2" t="n">
        <v>3</v>
      </c>
      <c r="D3358" s="2" t="s">
        <v>592</v>
      </c>
      <c r="E3358" s="2" t="s">
        <v>24</v>
      </c>
      <c r="F3358" s="2" t="n">
        <v>103</v>
      </c>
      <c r="G3358" s="2" t="n">
        <v>9</v>
      </c>
    </row>
    <row r="3359" customFormat="false" ht="16.5" hidden="false" customHeight="true" outlineLevel="0" collapsed="false">
      <c r="A3359" s="2" t="s">
        <v>447</v>
      </c>
      <c r="B3359" s="2" t="s">
        <v>455</v>
      </c>
      <c r="C3359" s="2" t="n">
        <v>3</v>
      </c>
      <c r="D3359" s="2" t="s">
        <v>592</v>
      </c>
      <c r="E3359" s="2" t="s">
        <v>25</v>
      </c>
      <c r="F3359" s="2" t="n">
        <v>103</v>
      </c>
      <c r="G3359" s="2" t="n">
        <v>13</v>
      </c>
    </row>
    <row r="3360" customFormat="false" ht="16.5" hidden="false" customHeight="true" outlineLevel="0" collapsed="false">
      <c r="A3360" s="2" t="s">
        <v>447</v>
      </c>
      <c r="B3360" s="2" t="s">
        <v>455</v>
      </c>
      <c r="C3360" s="2" t="n">
        <v>3</v>
      </c>
      <c r="D3360" s="2" t="s">
        <v>592</v>
      </c>
      <c r="E3360" s="2" t="s">
        <v>26</v>
      </c>
      <c r="F3360" s="2" t="n">
        <v>103</v>
      </c>
      <c r="G3360" s="2" t="n">
        <v>17</v>
      </c>
    </row>
    <row r="3361" customFormat="false" ht="16.5" hidden="false" customHeight="true" outlineLevel="0" collapsed="false">
      <c r="A3361" s="2" t="s">
        <v>447</v>
      </c>
      <c r="B3361" s="2" t="s">
        <v>455</v>
      </c>
      <c r="C3361" s="2" t="n">
        <v>3</v>
      </c>
      <c r="D3361" s="2" t="s">
        <v>592</v>
      </c>
      <c r="E3361" s="2" t="s">
        <v>27</v>
      </c>
      <c r="F3361" s="2" t="n">
        <v>103</v>
      </c>
      <c r="G3361" s="2" t="n">
        <v>21</v>
      </c>
    </row>
    <row r="3362" customFormat="false" ht="16.5" hidden="false" customHeight="true" outlineLevel="0" collapsed="false">
      <c r="A3362" s="2" t="s">
        <v>447</v>
      </c>
      <c r="B3362" s="2" t="s">
        <v>455</v>
      </c>
      <c r="C3362" s="2" t="n">
        <v>3</v>
      </c>
      <c r="D3362" s="2" t="s">
        <v>592</v>
      </c>
      <c r="E3362" s="2" t="s">
        <v>28</v>
      </c>
      <c r="F3362" s="2" t="n">
        <v>103</v>
      </c>
      <c r="G3362" s="2" t="n">
        <v>25</v>
      </c>
    </row>
    <row r="3363" customFormat="false" ht="16.5" hidden="false" customHeight="true" outlineLevel="0" collapsed="false">
      <c r="A3363" s="2" t="s">
        <v>447</v>
      </c>
      <c r="B3363" s="2" t="s">
        <v>455</v>
      </c>
      <c r="C3363" s="2" t="n">
        <v>3</v>
      </c>
      <c r="D3363" s="2" t="s">
        <v>592</v>
      </c>
      <c r="E3363" s="2" t="s">
        <v>29</v>
      </c>
      <c r="F3363" s="2" t="n">
        <v>103</v>
      </c>
      <c r="G3363" s="2" t="n">
        <v>29</v>
      </c>
    </row>
    <row r="3364" customFormat="false" ht="16.5" hidden="false" customHeight="true" outlineLevel="0" collapsed="false">
      <c r="A3364" s="2" t="s">
        <v>447</v>
      </c>
      <c r="B3364" s="2" t="s">
        <v>455</v>
      </c>
      <c r="C3364" s="2" t="n">
        <v>3</v>
      </c>
      <c r="D3364" s="2" t="s">
        <v>592</v>
      </c>
      <c r="E3364" s="2" t="s">
        <v>30</v>
      </c>
      <c r="F3364" s="2" t="n">
        <v>103</v>
      </c>
      <c r="G3364" s="2" t="n">
        <v>33</v>
      </c>
    </row>
    <row r="3365" customFormat="false" ht="16.5" hidden="false" customHeight="true" outlineLevel="0" collapsed="false">
      <c r="A3365" s="2" t="s">
        <v>447</v>
      </c>
      <c r="B3365" s="2" t="s">
        <v>455</v>
      </c>
      <c r="C3365" s="2" t="n">
        <v>3</v>
      </c>
      <c r="D3365" s="2" t="s">
        <v>592</v>
      </c>
      <c r="E3365" s="2" t="s">
        <v>31</v>
      </c>
      <c r="F3365" s="2" t="n">
        <v>103</v>
      </c>
      <c r="G3365" s="2" t="n">
        <v>37</v>
      </c>
    </row>
    <row r="3366" customFormat="false" ht="16.5" hidden="false" customHeight="true" outlineLevel="0" collapsed="false">
      <c r="A3366" s="2" t="s">
        <v>447</v>
      </c>
      <c r="B3366" s="2" t="s">
        <v>455</v>
      </c>
      <c r="C3366" s="2" t="n">
        <v>3</v>
      </c>
      <c r="D3366" s="2" t="s">
        <v>592</v>
      </c>
      <c r="E3366" s="2" t="s">
        <v>32</v>
      </c>
      <c r="F3366" s="2" t="n">
        <v>103</v>
      </c>
      <c r="G3366" s="2" t="n">
        <v>41</v>
      </c>
    </row>
    <row r="3367" customFormat="false" ht="16.5" hidden="false" customHeight="true" outlineLevel="0" collapsed="false">
      <c r="A3367" s="2" t="s">
        <v>447</v>
      </c>
      <c r="B3367" s="2" t="s">
        <v>455</v>
      </c>
      <c r="C3367" s="2" t="n">
        <v>3</v>
      </c>
      <c r="D3367" s="2" t="s">
        <v>592</v>
      </c>
      <c r="E3367" s="2" t="s">
        <v>33</v>
      </c>
      <c r="F3367" s="2" t="n">
        <v>103</v>
      </c>
      <c r="G3367" s="2" t="n">
        <v>45</v>
      </c>
    </row>
    <row r="3368" customFormat="false" ht="16.5" hidden="false" customHeight="true" outlineLevel="0" collapsed="false">
      <c r="A3368" s="2" t="s">
        <v>447</v>
      </c>
      <c r="B3368" s="2" t="s">
        <v>455</v>
      </c>
      <c r="C3368" s="2" t="n">
        <v>3</v>
      </c>
      <c r="D3368" s="2" t="s">
        <v>592</v>
      </c>
      <c r="E3368" s="2" t="s">
        <v>34</v>
      </c>
      <c r="F3368" s="2" t="n">
        <v>103</v>
      </c>
      <c r="G3368" s="2" t="n">
        <v>49</v>
      </c>
    </row>
    <row r="3369" customFormat="false" ht="16.5" hidden="false" customHeight="true" outlineLevel="0" collapsed="false">
      <c r="A3369" s="2" t="s">
        <v>447</v>
      </c>
      <c r="B3369" s="2" t="s">
        <v>455</v>
      </c>
      <c r="C3369" s="2" t="n">
        <v>3</v>
      </c>
      <c r="D3369" s="2" t="s">
        <v>592</v>
      </c>
      <c r="E3369" s="2" t="s">
        <v>35</v>
      </c>
      <c r="F3369" s="2" t="n">
        <v>105</v>
      </c>
      <c r="G3369" s="2" t="n">
        <v>11</v>
      </c>
    </row>
    <row r="3370" customFormat="false" ht="16.5" hidden="false" customHeight="true" outlineLevel="0" collapsed="false">
      <c r="A3370" s="2" t="s">
        <v>447</v>
      </c>
      <c r="B3370" s="2" t="s">
        <v>455</v>
      </c>
      <c r="C3370" s="2" t="n">
        <v>3</v>
      </c>
      <c r="D3370" s="2" t="s">
        <v>592</v>
      </c>
      <c r="E3370" s="2" t="s">
        <v>36</v>
      </c>
      <c r="F3370" s="2" t="n">
        <v>105</v>
      </c>
      <c r="G3370" s="2" t="n">
        <v>15</v>
      </c>
    </row>
    <row r="3371" customFormat="false" ht="16.5" hidden="false" customHeight="true" outlineLevel="0" collapsed="false">
      <c r="A3371" s="2" t="s">
        <v>447</v>
      </c>
      <c r="B3371" s="2" t="s">
        <v>455</v>
      </c>
      <c r="C3371" s="2" t="n">
        <v>3</v>
      </c>
      <c r="D3371" s="2" t="s">
        <v>592</v>
      </c>
      <c r="E3371" s="2" t="s">
        <v>37</v>
      </c>
      <c r="F3371" s="2" t="n">
        <v>105</v>
      </c>
      <c r="G3371" s="2" t="n">
        <v>19</v>
      </c>
    </row>
    <row r="3372" customFormat="false" ht="16.5" hidden="false" customHeight="true" outlineLevel="0" collapsed="false">
      <c r="A3372" s="2" t="s">
        <v>447</v>
      </c>
      <c r="B3372" s="2" t="s">
        <v>455</v>
      </c>
      <c r="C3372" s="2" t="n">
        <v>3</v>
      </c>
      <c r="D3372" s="2" t="s">
        <v>592</v>
      </c>
      <c r="E3372" s="2" t="s">
        <v>38</v>
      </c>
      <c r="F3372" s="2" t="n">
        <v>105</v>
      </c>
      <c r="G3372" s="2" t="n">
        <v>23</v>
      </c>
    </row>
    <row r="3373" customFormat="false" ht="16.5" hidden="false" customHeight="true" outlineLevel="0" collapsed="false">
      <c r="A3373" s="2" t="s">
        <v>447</v>
      </c>
      <c r="B3373" s="2" t="s">
        <v>455</v>
      </c>
      <c r="C3373" s="2" t="n">
        <v>3</v>
      </c>
      <c r="D3373" s="2" t="s">
        <v>592</v>
      </c>
      <c r="E3373" s="2" t="s">
        <v>39</v>
      </c>
      <c r="F3373" s="2" t="n">
        <v>105</v>
      </c>
      <c r="G3373" s="2" t="n">
        <v>27</v>
      </c>
    </row>
    <row r="3374" customFormat="false" ht="16.5" hidden="false" customHeight="true" outlineLevel="0" collapsed="false">
      <c r="A3374" s="2" t="s">
        <v>447</v>
      </c>
      <c r="B3374" s="2" t="s">
        <v>455</v>
      </c>
      <c r="C3374" s="2" t="n">
        <v>3</v>
      </c>
      <c r="D3374" s="2" t="s">
        <v>592</v>
      </c>
      <c r="E3374" s="2" t="s">
        <v>40</v>
      </c>
      <c r="F3374" s="2" t="n">
        <v>105</v>
      </c>
      <c r="G3374" s="2" t="n">
        <v>31</v>
      </c>
    </row>
    <row r="3375" customFormat="false" ht="16.5" hidden="false" customHeight="true" outlineLevel="0" collapsed="false">
      <c r="A3375" s="2" t="s">
        <v>447</v>
      </c>
      <c r="B3375" s="2" t="s">
        <v>455</v>
      </c>
      <c r="C3375" s="2" t="n">
        <v>3</v>
      </c>
      <c r="D3375" s="2" t="s">
        <v>592</v>
      </c>
      <c r="E3375" s="2" t="s">
        <v>41</v>
      </c>
      <c r="F3375" s="2" t="n">
        <v>105</v>
      </c>
      <c r="G3375" s="2" t="n">
        <v>35</v>
      </c>
    </row>
    <row r="3376" customFormat="false" ht="16.5" hidden="false" customHeight="true" outlineLevel="0" collapsed="false">
      <c r="A3376" s="2" t="s">
        <v>447</v>
      </c>
      <c r="B3376" s="2" t="s">
        <v>455</v>
      </c>
      <c r="C3376" s="2" t="n">
        <v>3</v>
      </c>
      <c r="D3376" s="2" t="s">
        <v>592</v>
      </c>
      <c r="E3376" s="2" t="s">
        <v>42</v>
      </c>
      <c r="F3376" s="2" t="n">
        <v>105</v>
      </c>
      <c r="G3376" s="2" t="n">
        <v>39</v>
      </c>
    </row>
    <row r="3377" customFormat="false" ht="16.5" hidden="false" customHeight="true" outlineLevel="0" collapsed="false">
      <c r="A3377" s="2" t="s">
        <v>447</v>
      </c>
      <c r="B3377" s="2" t="s">
        <v>455</v>
      </c>
      <c r="C3377" s="2" t="n">
        <v>3</v>
      </c>
      <c r="D3377" s="2" t="s">
        <v>592</v>
      </c>
      <c r="E3377" s="2" t="s">
        <v>43</v>
      </c>
      <c r="F3377" s="2" t="n">
        <v>105</v>
      </c>
      <c r="G3377" s="2" t="n">
        <v>43</v>
      </c>
    </row>
    <row r="3378" customFormat="false" ht="16.5" hidden="false" customHeight="true" outlineLevel="0" collapsed="false">
      <c r="A3378" s="2" t="s">
        <v>447</v>
      </c>
      <c r="B3378" s="2" t="s">
        <v>455</v>
      </c>
      <c r="C3378" s="2" t="n">
        <v>3</v>
      </c>
      <c r="D3378" s="2" t="s">
        <v>592</v>
      </c>
      <c r="E3378" s="2" t="s">
        <v>44</v>
      </c>
      <c r="F3378" s="2" t="n">
        <v>105</v>
      </c>
      <c r="G3378" s="2" t="n">
        <v>47</v>
      </c>
    </row>
    <row r="3379" customFormat="false" ht="16.5" hidden="false" customHeight="true" outlineLevel="0" collapsed="false">
      <c r="A3379" s="2" t="s">
        <v>447</v>
      </c>
      <c r="B3379" s="2" t="s">
        <v>455</v>
      </c>
      <c r="C3379" s="2" t="n">
        <v>3</v>
      </c>
      <c r="D3379" s="2" t="s">
        <v>592</v>
      </c>
      <c r="E3379" s="2" t="s">
        <v>48</v>
      </c>
      <c r="F3379" s="2" t="n">
        <v>107</v>
      </c>
      <c r="G3379" s="2" t="n">
        <v>16</v>
      </c>
    </row>
    <row r="3380" customFormat="false" ht="16.5" hidden="false" customHeight="true" outlineLevel="0" collapsed="false">
      <c r="A3380" s="2" t="s">
        <v>447</v>
      </c>
      <c r="B3380" s="2" t="s">
        <v>455</v>
      </c>
      <c r="C3380" s="2" t="n">
        <v>3</v>
      </c>
      <c r="D3380" s="2" t="s">
        <v>592</v>
      </c>
      <c r="E3380" s="2" t="s">
        <v>50</v>
      </c>
      <c r="F3380" s="2" t="n">
        <v>107</v>
      </c>
      <c r="G3380" s="2" t="n">
        <v>20</v>
      </c>
    </row>
    <row r="3381" customFormat="false" ht="16.5" hidden="false" customHeight="true" outlineLevel="0" collapsed="false">
      <c r="A3381" s="2" t="s">
        <v>447</v>
      </c>
      <c r="B3381" s="2" t="s">
        <v>455</v>
      </c>
      <c r="C3381" s="2" t="n">
        <v>3</v>
      </c>
      <c r="D3381" s="2" t="s">
        <v>592</v>
      </c>
      <c r="E3381" s="2" t="s">
        <v>45</v>
      </c>
      <c r="F3381" s="2" t="n">
        <v>107</v>
      </c>
      <c r="G3381" s="2" t="n">
        <v>38</v>
      </c>
    </row>
    <row r="3382" customFormat="false" ht="16.5" hidden="false" customHeight="true" outlineLevel="0" collapsed="false">
      <c r="A3382" s="2" t="s">
        <v>447</v>
      </c>
      <c r="B3382" s="2" t="s">
        <v>455</v>
      </c>
      <c r="C3382" s="2" t="n">
        <v>3</v>
      </c>
      <c r="D3382" s="2" t="s">
        <v>592</v>
      </c>
      <c r="E3382" s="2" t="s">
        <v>46</v>
      </c>
      <c r="F3382" s="2" t="n">
        <v>107</v>
      </c>
      <c r="G3382" s="2" t="n">
        <v>42</v>
      </c>
    </row>
    <row r="3383" customFormat="false" ht="16.5" hidden="false" customHeight="true" outlineLevel="0" collapsed="false">
      <c r="A3383" s="2" t="s">
        <v>447</v>
      </c>
      <c r="B3383" s="2" t="s">
        <v>456</v>
      </c>
      <c r="C3383" s="2" t="n">
        <v>3</v>
      </c>
      <c r="D3383" s="2" t="s">
        <v>593</v>
      </c>
      <c r="E3383" s="2" t="s">
        <v>0</v>
      </c>
      <c r="F3383" s="2" t="n">
        <v>112</v>
      </c>
      <c r="G3383" s="2" t="n">
        <v>6</v>
      </c>
    </row>
    <row r="3384" customFormat="false" ht="16.5" hidden="false" customHeight="true" outlineLevel="0" collapsed="false">
      <c r="A3384" s="2" t="s">
        <v>447</v>
      </c>
      <c r="B3384" s="2" t="s">
        <v>456</v>
      </c>
      <c r="C3384" s="2" t="n">
        <v>3</v>
      </c>
      <c r="D3384" s="2" t="s">
        <v>593</v>
      </c>
      <c r="E3384" s="2" t="s">
        <v>1</v>
      </c>
      <c r="F3384" s="2" t="n">
        <v>112</v>
      </c>
      <c r="G3384" s="2" t="n">
        <v>10</v>
      </c>
    </row>
    <row r="3385" customFormat="false" ht="16.5" hidden="false" customHeight="true" outlineLevel="0" collapsed="false">
      <c r="A3385" s="2" t="s">
        <v>447</v>
      </c>
      <c r="B3385" s="2" t="s">
        <v>456</v>
      </c>
      <c r="C3385" s="2" t="n">
        <v>3</v>
      </c>
      <c r="D3385" s="2" t="s">
        <v>593</v>
      </c>
      <c r="E3385" s="2" t="s">
        <v>2</v>
      </c>
      <c r="F3385" s="2" t="n">
        <v>112</v>
      </c>
      <c r="G3385" s="2" t="n">
        <v>14</v>
      </c>
    </row>
    <row r="3386" customFormat="false" ht="16.5" hidden="false" customHeight="true" outlineLevel="0" collapsed="false">
      <c r="A3386" s="2" t="s">
        <v>447</v>
      </c>
      <c r="B3386" s="2" t="s">
        <v>456</v>
      </c>
      <c r="C3386" s="2" t="n">
        <v>3</v>
      </c>
      <c r="D3386" s="2" t="s">
        <v>593</v>
      </c>
      <c r="E3386" s="2" t="s">
        <v>3</v>
      </c>
      <c r="F3386" s="2" t="n">
        <v>112</v>
      </c>
      <c r="G3386" s="2" t="n">
        <v>18</v>
      </c>
    </row>
    <row r="3387" customFormat="false" ht="16.5" hidden="false" customHeight="true" outlineLevel="0" collapsed="false">
      <c r="A3387" s="2" t="s">
        <v>447</v>
      </c>
      <c r="B3387" s="2" t="s">
        <v>456</v>
      </c>
      <c r="C3387" s="2" t="n">
        <v>3</v>
      </c>
      <c r="D3387" s="2" t="s">
        <v>593</v>
      </c>
      <c r="E3387" s="2" t="s">
        <v>4</v>
      </c>
      <c r="F3387" s="2" t="n">
        <v>112</v>
      </c>
      <c r="G3387" s="2" t="n">
        <v>22</v>
      </c>
    </row>
    <row r="3388" customFormat="false" ht="16.5" hidden="false" customHeight="true" outlineLevel="0" collapsed="false">
      <c r="A3388" s="2" t="s">
        <v>447</v>
      </c>
      <c r="B3388" s="2" t="s">
        <v>456</v>
      </c>
      <c r="C3388" s="2" t="n">
        <v>3</v>
      </c>
      <c r="D3388" s="2" t="s">
        <v>593</v>
      </c>
      <c r="E3388" s="2" t="s">
        <v>5</v>
      </c>
      <c r="F3388" s="2" t="n">
        <v>112</v>
      </c>
      <c r="G3388" s="2" t="n">
        <v>26</v>
      </c>
    </row>
    <row r="3389" customFormat="false" ht="16.5" hidden="false" customHeight="true" outlineLevel="0" collapsed="false">
      <c r="A3389" s="2" t="s">
        <v>447</v>
      </c>
      <c r="B3389" s="2" t="s">
        <v>456</v>
      </c>
      <c r="C3389" s="2" t="n">
        <v>3</v>
      </c>
      <c r="D3389" s="2" t="s">
        <v>593</v>
      </c>
      <c r="E3389" s="2" t="s">
        <v>6</v>
      </c>
      <c r="F3389" s="2" t="n">
        <v>112</v>
      </c>
      <c r="G3389" s="2" t="n">
        <v>30</v>
      </c>
    </row>
    <row r="3390" customFormat="false" ht="16.5" hidden="false" customHeight="true" outlineLevel="0" collapsed="false">
      <c r="A3390" s="2" t="s">
        <v>447</v>
      </c>
      <c r="B3390" s="2" t="s">
        <v>456</v>
      </c>
      <c r="C3390" s="2" t="n">
        <v>3</v>
      </c>
      <c r="D3390" s="2" t="s">
        <v>593</v>
      </c>
      <c r="E3390" s="2" t="s">
        <v>7</v>
      </c>
      <c r="F3390" s="2" t="n">
        <v>112</v>
      </c>
      <c r="G3390" s="2" t="n">
        <v>34</v>
      </c>
    </row>
    <row r="3391" customFormat="false" ht="16.5" hidden="false" customHeight="true" outlineLevel="0" collapsed="false">
      <c r="A3391" s="2" t="s">
        <v>447</v>
      </c>
      <c r="B3391" s="2" t="s">
        <v>456</v>
      </c>
      <c r="C3391" s="2" t="n">
        <v>3</v>
      </c>
      <c r="D3391" s="2" t="s">
        <v>593</v>
      </c>
      <c r="E3391" s="2" t="s">
        <v>8</v>
      </c>
      <c r="F3391" s="2" t="n">
        <v>112</v>
      </c>
      <c r="G3391" s="2" t="n">
        <v>38</v>
      </c>
    </row>
    <row r="3392" customFormat="false" ht="16.5" hidden="false" customHeight="true" outlineLevel="0" collapsed="false">
      <c r="A3392" s="2" t="s">
        <v>447</v>
      </c>
      <c r="B3392" s="2" t="s">
        <v>456</v>
      </c>
      <c r="C3392" s="2" t="n">
        <v>3</v>
      </c>
      <c r="D3392" s="2" t="s">
        <v>593</v>
      </c>
      <c r="E3392" s="2" t="s">
        <v>9</v>
      </c>
      <c r="F3392" s="2" t="n">
        <v>112</v>
      </c>
      <c r="G3392" s="2" t="n">
        <v>42</v>
      </c>
    </row>
    <row r="3393" customFormat="false" ht="16.5" hidden="false" customHeight="true" outlineLevel="0" collapsed="false">
      <c r="A3393" s="2" t="s">
        <v>447</v>
      </c>
      <c r="B3393" s="2" t="s">
        <v>456</v>
      </c>
      <c r="C3393" s="2" t="n">
        <v>3</v>
      </c>
      <c r="D3393" s="2" t="s">
        <v>593</v>
      </c>
      <c r="E3393" s="2" t="s">
        <v>10</v>
      </c>
      <c r="F3393" s="2" t="n">
        <v>112</v>
      </c>
      <c r="G3393" s="2" t="n">
        <v>46</v>
      </c>
    </row>
    <row r="3394" customFormat="false" ht="16.5" hidden="false" customHeight="true" outlineLevel="0" collapsed="false">
      <c r="A3394" s="2" t="s">
        <v>447</v>
      </c>
      <c r="B3394" s="2" t="s">
        <v>456</v>
      </c>
      <c r="C3394" s="2" t="n">
        <v>3</v>
      </c>
      <c r="D3394" s="2" t="s">
        <v>593</v>
      </c>
      <c r="E3394" s="2" t="s">
        <v>11</v>
      </c>
      <c r="F3394" s="2" t="n">
        <v>112</v>
      </c>
      <c r="G3394" s="2" t="n">
        <v>50</v>
      </c>
    </row>
    <row r="3395" customFormat="false" ht="16.5" hidden="false" customHeight="true" outlineLevel="0" collapsed="false">
      <c r="A3395" s="2" t="s">
        <v>447</v>
      </c>
      <c r="B3395" s="2" t="s">
        <v>456</v>
      </c>
      <c r="C3395" s="2" t="n">
        <v>3</v>
      </c>
      <c r="D3395" s="2" t="s">
        <v>593</v>
      </c>
      <c r="E3395" s="2" t="s">
        <v>12</v>
      </c>
      <c r="F3395" s="2" t="n">
        <v>114</v>
      </c>
      <c r="G3395" s="2" t="n">
        <v>8</v>
      </c>
    </row>
    <row r="3396" customFormat="false" ht="16.5" hidden="false" customHeight="true" outlineLevel="0" collapsed="false">
      <c r="A3396" s="2" t="s">
        <v>447</v>
      </c>
      <c r="B3396" s="2" t="s">
        <v>456</v>
      </c>
      <c r="C3396" s="2" t="n">
        <v>3</v>
      </c>
      <c r="D3396" s="2" t="s">
        <v>593</v>
      </c>
      <c r="E3396" s="2" t="s">
        <v>13</v>
      </c>
      <c r="F3396" s="2" t="n">
        <v>114</v>
      </c>
      <c r="G3396" s="2" t="n">
        <v>12</v>
      </c>
    </row>
    <row r="3397" customFormat="false" ht="16.5" hidden="false" customHeight="true" outlineLevel="0" collapsed="false">
      <c r="A3397" s="2" t="s">
        <v>447</v>
      </c>
      <c r="B3397" s="2" t="s">
        <v>456</v>
      </c>
      <c r="C3397" s="2" t="n">
        <v>3</v>
      </c>
      <c r="D3397" s="2" t="s">
        <v>593</v>
      </c>
      <c r="E3397" s="2" t="s">
        <v>14</v>
      </c>
      <c r="F3397" s="2" t="n">
        <v>114</v>
      </c>
      <c r="G3397" s="2" t="n">
        <v>16</v>
      </c>
    </row>
    <row r="3398" customFormat="false" ht="16.5" hidden="false" customHeight="true" outlineLevel="0" collapsed="false">
      <c r="A3398" s="2" t="s">
        <v>447</v>
      </c>
      <c r="B3398" s="2" t="s">
        <v>456</v>
      </c>
      <c r="C3398" s="2" t="n">
        <v>3</v>
      </c>
      <c r="D3398" s="2" t="s">
        <v>593</v>
      </c>
      <c r="E3398" s="2" t="s">
        <v>15</v>
      </c>
      <c r="F3398" s="2" t="n">
        <v>114</v>
      </c>
      <c r="G3398" s="2" t="n">
        <v>20</v>
      </c>
    </row>
    <row r="3399" customFormat="false" ht="16.5" hidden="false" customHeight="true" outlineLevel="0" collapsed="false">
      <c r="A3399" s="2" t="s">
        <v>447</v>
      </c>
      <c r="B3399" s="2" t="s">
        <v>456</v>
      </c>
      <c r="C3399" s="2" t="n">
        <v>3</v>
      </c>
      <c r="D3399" s="2" t="s">
        <v>593</v>
      </c>
      <c r="E3399" s="2" t="s">
        <v>16</v>
      </c>
      <c r="F3399" s="2" t="n">
        <v>114</v>
      </c>
      <c r="G3399" s="2" t="n">
        <v>24</v>
      </c>
    </row>
    <row r="3400" customFormat="false" ht="16.5" hidden="false" customHeight="true" outlineLevel="0" collapsed="false">
      <c r="A3400" s="2" t="s">
        <v>447</v>
      </c>
      <c r="B3400" s="2" t="s">
        <v>456</v>
      </c>
      <c r="C3400" s="2" t="n">
        <v>3</v>
      </c>
      <c r="D3400" s="2" t="s">
        <v>593</v>
      </c>
      <c r="E3400" s="2" t="s">
        <v>17</v>
      </c>
      <c r="F3400" s="2" t="n">
        <v>114</v>
      </c>
      <c r="G3400" s="2" t="n">
        <v>28</v>
      </c>
    </row>
    <row r="3401" customFormat="false" ht="16.5" hidden="false" customHeight="true" outlineLevel="0" collapsed="false">
      <c r="A3401" s="2" t="s">
        <v>447</v>
      </c>
      <c r="B3401" s="2" t="s">
        <v>456</v>
      </c>
      <c r="C3401" s="2" t="n">
        <v>3</v>
      </c>
      <c r="D3401" s="2" t="s">
        <v>593</v>
      </c>
      <c r="E3401" s="2" t="s">
        <v>18</v>
      </c>
      <c r="F3401" s="2" t="n">
        <v>114</v>
      </c>
      <c r="G3401" s="2" t="n">
        <v>32</v>
      </c>
    </row>
    <row r="3402" customFormat="false" ht="16.5" hidden="false" customHeight="true" outlineLevel="0" collapsed="false">
      <c r="A3402" s="2" t="s">
        <v>447</v>
      </c>
      <c r="B3402" s="2" t="s">
        <v>456</v>
      </c>
      <c r="C3402" s="2" t="n">
        <v>3</v>
      </c>
      <c r="D3402" s="2" t="s">
        <v>593</v>
      </c>
      <c r="E3402" s="2" t="s">
        <v>19</v>
      </c>
      <c r="F3402" s="2" t="n">
        <v>114</v>
      </c>
      <c r="G3402" s="2" t="n">
        <v>36</v>
      </c>
    </row>
    <row r="3403" customFormat="false" ht="16.5" hidden="false" customHeight="true" outlineLevel="0" collapsed="false">
      <c r="A3403" s="2" t="s">
        <v>447</v>
      </c>
      <c r="B3403" s="2" t="s">
        <v>456</v>
      </c>
      <c r="C3403" s="2" t="n">
        <v>3</v>
      </c>
      <c r="D3403" s="2" t="s">
        <v>593</v>
      </c>
      <c r="E3403" s="2" t="s">
        <v>20</v>
      </c>
      <c r="F3403" s="2" t="n">
        <v>114</v>
      </c>
      <c r="G3403" s="2" t="n">
        <v>40</v>
      </c>
    </row>
    <row r="3404" customFormat="false" ht="16.5" hidden="false" customHeight="true" outlineLevel="0" collapsed="false">
      <c r="A3404" s="2" t="s">
        <v>447</v>
      </c>
      <c r="B3404" s="2" t="s">
        <v>456</v>
      </c>
      <c r="C3404" s="2" t="n">
        <v>3</v>
      </c>
      <c r="D3404" s="2" t="s">
        <v>593</v>
      </c>
      <c r="E3404" s="2" t="s">
        <v>21</v>
      </c>
      <c r="F3404" s="2" t="n">
        <v>114</v>
      </c>
      <c r="G3404" s="2" t="n">
        <v>44</v>
      </c>
    </row>
    <row r="3405" customFormat="false" ht="16.5" hidden="false" customHeight="true" outlineLevel="0" collapsed="false">
      <c r="A3405" s="2" t="s">
        <v>447</v>
      </c>
      <c r="B3405" s="2" t="s">
        <v>456</v>
      </c>
      <c r="C3405" s="2" t="n">
        <v>3</v>
      </c>
      <c r="D3405" s="2" t="s">
        <v>593</v>
      </c>
      <c r="E3405" s="2" t="s">
        <v>22</v>
      </c>
      <c r="F3405" s="2" t="n">
        <v>114</v>
      </c>
      <c r="G3405" s="2" t="n">
        <v>48</v>
      </c>
    </row>
    <row r="3406" customFormat="false" ht="16.5" hidden="false" customHeight="true" outlineLevel="0" collapsed="false">
      <c r="A3406" s="2" t="s">
        <v>447</v>
      </c>
      <c r="B3406" s="2" t="s">
        <v>456</v>
      </c>
      <c r="C3406" s="2" t="n">
        <v>3</v>
      </c>
      <c r="D3406" s="2" t="s">
        <v>593</v>
      </c>
      <c r="E3406" s="2" t="s">
        <v>23</v>
      </c>
      <c r="F3406" s="2" t="n">
        <v>114</v>
      </c>
      <c r="G3406" s="2" t="n">
        <v>52</v>
      </c>
    </row>
    <row r="3407" customFormat="false" ht="16.5" hidden="false" customHeight="true" outlineLevel="0" collapsed="false">
      <c r="A3407" s="2" t="s">
        <v>447</v>
      </c>
      <c r="B3407" s="2" t="s">
        <v>456</v>
      </c>
      <c r="C3407" s="2" t="n">
        <v>3</v>
      </c>
      <c r="D3407" s="2" t="s">
        <v>593</v>
      </c>
      <c r="E3407" s="2" t="s">
        <v>24</v>
      </c>
      <c r="F3407" s="2" t="n">
        <v>116</v>
      </c>
      <c r="G3407" s="2" t="n">
        <v>9</v>
      </c>
    </row>
    <row r="3408" customFormat="false" ht="16.5" hidden="false" customHeight="true" outlineLevel="0" collapsed="false">
      <c r="A3408" s="2" t="s">
        <v>447</v>
      </c>
      <c r="B3408" s="2" t="s">
        <v>456</v>
      </c>
      <c r="C3408" s="2" t="n">
        <v>3</v>
      </c>
      <c r="D3408" s="2" t="s">
        <v>593</v>
      </c>
      <c r="E3408" s="2" t="s">
        <v>25</v>
      </c>
      <c r="F3408" s="2" t="n">
        <v>116</v>
      </c>
      <c r="G3408" s="2" t="n">
        <v>13</v>
      </c>
    </row>
    <row r="3409" customFormat="false" ht="16.5" hidden="false" customHeight="true" outlineLevel="0" collapsed="false">
      <c r="A3409" s="2" t="s">
        <v>447</v>
      </c>
      <c r="B3409" s="2" t="s">
        <v>456</v>
      </c>
      <c r="C3409" s="2" t="n">
        <v>3</v>
      </c>
      <c r="D3409" s="2" t="s">
        <v>593</v>
      </c>
      <c r="E3409" s="2" t="s">
        <v>26</v>
      </c>
      <c r="F3409" s="2" t="n">
        <v>116</v>
      </c>
      <c r="G3409" s="2" t="n">
        <v>17</v>
      </c>
    </row>
    <row r="3410" customFormat="false" ht="16.5" hidden="false" customHeight="true" outlineLevel="0" collapsed="false">
      <c r="A3410" s="2" t="s">
        <v>447</v>
      </c>
      <c r="B3410" s="2" t="s">
        <v>456</v>
      </c>
      <c r="C3410" s="2" t="n">
        <v>3</v>
      </c>
      <c r="D3410" s="2" t="s">
        <v>593</v>
      </c>
      <c r="E3410" s="2" t="s">
        <v>27</v>
      </c>
      <c r="F3410" s="2" t="n">
        <v>116</v>
      </c>
      <c r="G3410" s="2" t="n">
        <v>21</v>
      </c>
    </row>
    <row r="3411" customFormat="false" ht="16.5" hidden="false" customHeight="true" outlineLevel="0" collapsed="false">
      <c r="A3411" s="2" t="s">
        <v>447</v>
      </c>
      <c r="B3411" s="2" t="s">
        <v>456</v>
      </c>
      <c r="C3411" s="2" t="n">
        <v>3</v>
      </c>
      <c r="D3411" s="2" t="s">
        <v>593</v>
      </c>
      <c r="E3411" s="2" t="s">
        <v>28</v>
      </c>
      <c r="F3411" s="2" t="n">
        <v>116</v>
      </c>
      <c r="G3411" s="2" t="n">
        <v>25</v>
      </c>
    </row>
    <row r="3412" customFormat="false" ht="16.5" hidden="false" customHeight="true" outlineLevel="0" collapsed="false">
      <c r="A3412" s="2" t="s">
        <v>447</v>
      </c>
      <c r="B3412" s="2" t="s">
        <v>456</v>
      </c>
      <c r="C3412" s="2" t="n">
        <v>3</v>
      </c>
      <c r="D3412" s="2" t="s">
        <v>593</v>
      </c>
      <c r="E3412" s="2" t="s">
        <v>29</v>
      </c>
      <c r="F3412" s="2" t="n">
        <v>116</v>
      </c>
      <c r="G3412" s="2" t="n">
        <v>29</v>
      </c>
    </row>
    <row r="3413" customFormat="false" ht="16.5" hidden="false" customHeight="true" outlineLevel="0" collapsed="false">
      <c r="A3413" s="2" t="s">
        <v>447</v>
      </c>
      <c r="B3413" s="2" t="s">
        <v>456</v>
      </c>
      <c r="C3413" s="2" t="n">
        <v>3</v>
      </c>
      <c r="D3413" s="2" t="s">
        <v>593</v>
      </c>
      <c r="E3413" s="2" t="s">
        <v>30</v>
      </c>
      <c r="F3413" s="2" t="n">
        <v>116</v>
      </c>
      <c r="G3413" s="2" t="n">
        <v>33</v>
      </c>
    </row>
    <row r="3414" customFormat="false" ht="16.5" hidden="false" customHeight="true" outlineLevel="0" collapsed="false">
      <c r="A3414" s="2" t="s">
        <v>447</v>
      </c>
      <c r="B3414" s="2" t="s">
        <v>456</v>
      </c>
      <c r="C3414" s="2" t="n">
        <v>3</v>
      </c>
      <c r="D3414" s="2" t="s">
        <v>593</v>
      </c>
      <c r="E3414" s="2" t="s">
        <v>31</v>
      </c>
      <c r="F3414" s="2" t="n">
        <v>116</v>
      </c>
      <c r="G3414" s="2" t="n">
        <v>37</v>
      </c>
    </row>
    <row r="3415" customFormat="false" ht="16.5" hidden="false" customHeight="true" outlineLevel="0" collapsed="false">
      <c r="A3415" s="2" t="s">
        <v>447</v>
      </c>
      <c r="B3415" s="2" t="s">
        <v>456</v>
      </c>
      <c r="C3415" s="2" t="n">
        <v>3</v>
      </c>
      <c r="D3415" s="2" t="s">
        <v>593</v>
      </c>
      <c r="E3415" s="2" t="s">
        <v>32</v>
      </c>
      <c r="F3415" s="2" t="n">
        <v>116</v>
      </c>
      <c r="G3415" s="2" t="n">
        <v>41</v>
      </c>
    </row>
    <row r="3416" customFormat="false" ht="16.5" hidden="false" customHeight="true" outlineLevel="0" collapsed="false">
      <c r="A3416" s="2" t="s">
        <v>447</v>
      </c>
      <c r="B3416" s="2" t="s">
        <v>456</v>
      </c>
      <c r="C3416" s="2" t="n">
        <v>3</v>
      </c>
      <c r="D3416" s="2" t="s">
        <v>593</v>
      </c>
      <c r="E3416" s="2" t="s">
        <v>33</v>
      </c>
      <c r="F3416" s="2" t="n">
        <v>116</v>
      </c>
      <c r="G3416" s="2" t="n">
        <v>45</v>
      </c>
    </row>
    <row r="3417" customFormat="false" ht="16.5" hidden="false" customHeight="true" outlineLevel="0" collapsed="false">
      <c r="A3417" s="2" t="s">
        <v>447</v>
      </c>
      <c r="B3417" s="2" t="s">
        <v>456</v>
      </c>
      <c r="C3417" s="2" t="n">
        <v>3</v>
      </c>
      <c r="D3417" s="2" t="s">
        <v>593</v>
      </c>
      <c r="E3417" s="2" t="s">
        <v>34</v>
      </c>
      <c r="F3417" s="2" t="n">
        <v>116</v>
      </c>
      <c r="G3417" s="2" t="n">
        <v>49</v>
      </c>
    </row>
    <row r="3418" customFormat="false" ht="16.5" hidden="false" customHeight="true" outlineLevel="0" collapsed="false">
      <c r="A3418" s="2" t="s">
        <v>447</v>
      </c>
      <c r="B3418" s="2" t="s">
        <v>456</v>
      </c>
      <c r="C3418" s="2" t="n">
        <v>3</v>
      </c>
      <c r="D3418" s="2" t="s">
        <v>593</v>
      </c>
      <c r="E3418" s="2" t="s">
        <v>35</v>
      </c>
      <c r="F3418" s="2" t="n">
        <v>118</v>
      </c>
      <c r="G3418" s="2" t="n">
        <v>11</v>
      </c>
    </row>
    <row r="3419" customFormat="false" ht="16.5" hidden="false" customHeight="true" outlineLevel="0" collapsed="false">
      <c r="A3419" s="2" t="s">
        <v>447</v>
      </c>
      <c r="B3419" s="2" t="s">
        <v>456</v>
      </c>
      <c r="C3419" s="2" t="n">
        <v>3</v>
      </c>
      <c r="D3419" s="2" t="s">
        <v>593</v>
      </c>
      <c r="E3419" s="2" t="s">
        <v>36</v>
      </c>
      <c r="F3419" s="2" t="n">
        <v>118</v>
      </c>
      <c r="G3419" s="2" t="n">
        <v>15</v>
      </c>
    </row>
    <row r="3420" customFormat="false" ht="16.5" hidden="false" customHeight="true" outlineLevel="0" collapsed="false">
      <c r="A3420" s="2" t="s">
        <v>447</v>
      </c>
      <c r="B3420" s="2" t="s">
        <v>456</v>
      </c>
      <c r="C3420" s="2" t="n">
        <v>3</v>
      </c>
      <c r="D3420" s="2" t="s">
        <v>593</v>
      </c>
      <c r="E3420" s="2" t="s">
        <v>37</v>
      </c>
      <c r="F3420" s="2" t="n">
        <v>118</v>
      </c>
      <c r="G3420" s="2" t="n">
        <v>19</v>
      </c>
    </row>
    <row r="3421" customFormat="false" ht="16.5" hidden="false" customHeight="true" outlineLevel="0" collapsed="false">
      <c r="A3421" s="2" t="s">
        <v>447</v>
      </c>
      <c r="B3421" s="2" t="s">
        <v>456</v>
      </c>
      <c r="C3421" s="2" t="n">
        <v>3</v>
      </c>
      <c r="D3421" s="2" t="s">
        <v>593</v>
      </c>
      <c r="E3421" s="2" t="s">
        <v>38</v>
      </c>
      <c r="F3421" s="2" t="n">
        <v>118</v>
      </c>
      <c r="G3421" s="2" t="n">
        <v>23</v>
      </c>
    </row>
    <row r="3422" customFormat="false" ht="16.5" hidden="false" customHeight="true" outlineLevel="0" collapsed="false">
      <c r="A3422" s="2" t="s">
        <v>447</v>
      </c>
      <c r="B3422" s="2" t="s">
        <v>456</v>
      </c>
      <c r="C3422" s="2" t="n">
        <v>3</v>
      </c>
      <c r="D3422" s="2" t="s">
        <v>593</v>
      </c>
      <c r="E3422" s="2" t="s">
        <v>39</v>
      </c>
      <c r="F3422" s="2" t="n">
        <v>118</v>
      </c>
      <c r="G3422" s="2" t="n">
        <v>27</v>
      </c>
    </row>
    <row r="3423" customFormat="false" ht="16.5" hidden="false" customHeight="true" outlineLevel="0" collapsed="false">
      <c r="A3423" s="2" t="s">
        <v>447</v>
      </c>
      <c r="B3423" s="2" t="s">
        <v>456</v>
      </c>
      <c r="C3423" s="2" t="n">
        <v>3</v>
      </c>
      <c r="D3423" s="2" t="s">
        <v>593</v>
      </c>
      <c r="E3423" s="2" t="s">
        <v>40</v>
      </c>
      <c r="F3423" s="2" t="n">
        <v>118</v>
      </c>
      <c r="G3423" s="2" t="n">
        <v>31</v>
      </c>
    </row>
    <row r="3424" customFormat="false" ht="16.5" hidden="false" customHeight="true" outlineLevel="0" collapsed="false">
      <c r="A3424" s="2" t="s">
        <v>447</v>
      </c>
      <c r="B3424" s="2" t="s">
        <v>456</v>
      </c>
      <c r="C3424" s="2" t="n">
        <v>3</v>
      </c>
      <c r="D3424" s="2" t="s">
        <v>593</v>
      </c>
      <c r="E3424" s="2" t="s">
        <v>41</v>
      </c>
      <c r="F3424" s="2" t="n">
        <v>118</v>
      </c>
      <c r="G3424" s="2" t="n">
        <v>35</v>
      </c>
    </row>
    <row r="3425" customFormat="false" ht="16.5" hidden="false" customHeight="true" outlineLevel="0" collapsed="false">
      <c r="A3425" s="2" t="s">
        <v>447</v>
      </c>
      <c r="B3425" s="2" t="s">
        <v>456</v>
      </c>
      <c r="C3425" s="2" t="n">
        <v>3</v>
      </c>
      <c r="D3425" s="2" t="s">
        <v>593</v>
      </c>
      <c r="E3425" s="2" t="s">
        <v>42</v>
      </c>
      <c r="F3425" s="2" t="n">
        <v>118</v>
      </c>
      <c r="G3425" s="2" t="n">
        <v>39</v>
      </c>
    </row>
    <row r="3426" customFormat="false" ht="16.5" hidden="false" customHeight="true" outlineLevel="0" collapsed="false">
      <c r="A3426" s="2" t="s">
        <v>447</v>
      </c>
      <c r="B3426" s="2" t="s">
        <v>456</v>
      </c>
      <c r="C3426" s="2" t="n">
        <v>3</v>
      </c>
      <c r="D3426" s="2" t="s">
        <v>593</v>
      </c>
      <c r="E3426" s="2" t="s">
        <v>43</v>
      </c>
      <c r="F3426" s="2" t="n">
        <v>118</v>
      </c>
      <c r="G3426" s="2" t="n">
        <v>43</v>
      </c>
    </row>
    <row r="3427" customFormat="false" ht="16.5" hidden="false" customHeight="true" outlineLevel="0" collapsed="false">
      <c r="A3427" s="2" t="s">
        <v>447</v>
      </c>
      <c r="B3427" s="2" t="s">
        <v>456</v>
      </c>
      <c r="C3427" s="2" t="n">
        <v>3</v>
      </c>
      <c r="D3427" s="2" t="s">
        <v>593</v>
      </c>
      <c r="E3427" s="2" t="s">
        <v>44</v>
      </c>
      <c r="F3427" s="2" t="n">
        <v>118</v>
      </c>
      <c r="G3427" s="2" t="n">
        <v>47</v>
      </c>
    </row>
    <row r="3428" customFormat="false" ht="16.5" hidden="false" customHeight="true" outlineLevel="0" collapsed="false">
      <c r="A3428" s="2" t="s">
        <v>447</v>
      </c>
      <c r="B3428" s="2" t="s">
        <v>456</v>
      </c>
      <c r="C3428" s="2" t="n">
        <v>3</v>
      </c>
      <c r="D3428" s="2" t="s">
        <v>593</v>
      </c>
      <c r="E3428" s="2" t="s">
        <v>48</v>
      </c>
      <c r="F3428" s="2" t="n">
        <v>120</v>
      </c>
      <c r="G3428" s="2" t="n">
        <v>16</v>
      </c>
    </row>
    <row r="3429" customFormat="false" ht="16.5" hidden="false" customHeight="true" outlineLevel="0" collapsed="false">
      <c r="A3429" s="2" t="s">
        <v>447</v>
      </c>
      <c r="B3429" s="2" t="s">
        <v>456</v>
      </c>
      <c r="C3429" s="2" t="n">
        <v>3</v>
      </c>
      <c r="D3429" s="2" t="s">
        <v>593</v>
      </c>
      <c r="E3429" s="2" t="s">
        <v>50</v>
      </c>
      <c r="F3429" s="2" t="n">
        <v>120</v>
      </c>
      <c r="G3429" s="2" t="n">
        <v>20</v>
      </c>
    </row>
    <row r="3430" customFormat="false" ht="16.5" hidden="false" customHeight="true" outlineLevel="0" collapsed="false">
      <c r="A3430" s="2" t="s">
        <v>447</v>
      </c>
      <c r="B3430" s="2" t="s">
        <v>456</v>
      </c>
      <c r="C3430" s="2" t="n">
        <v>3</v>
      </c>
      <c r="D3430" s="2" t="s">
        <v>593</v>
      </c>
      <c r="E3430" s="2" t="s">
        <v>45</v>
      </c>
      <c r="F3430" s="2" t="n">
        <v>120</v>
      </c>
      <c r="G3430" s="2" t="n">
        <v>38</v>
      </c>
    </row>
    <row r="3431" customFormat="false" ht="16.5" hidden="false" customHeight="true" outlineLevel="0" collapsed="false">
      <c r="A3431" s="2" t="s">
        <v>447</v>
      </c>
      <c r="B3431" s="2" t="s">
        <v>456</v>
      </c>
      <c r="C3431" s="2" t="n">
        <v>3</v>
      </c>
      <c r="D3431" s="2" t="s">
        <v>593</v>
      </c>
      <c r="E3431" s="2" t="s">
        <v>46</v>
      </c>
      <c r="F3431" s="2" t="n">
        <v>120</v>
      </c>
      <c r="G3431" s="2" t="n">
        <v>42</v>
      </c>
    </row>
    <row r="3432" customFormat="false" ht="16.5" hidden="false" customHeight="true" outlineLevel="0" collapsed="false">
      <c r="A3432" s="2" t="s">
        <v>447</v>
      </c>
      <c r="B3432" s="2" t="s">
        <v>457</v>
      </c>
      <c r="C3432" s="2" t="n">
        <v>3</v>
      </c>
      <c r="D3432" s="2" t="s">
        <v>594</v>
      </c>
      <c r="E3432" s="2" t="s">
        <v>0</v>
      </c>
      <c r="F3432" s="2" t="n">
        <v>125</v>
      </c>
      <c r="G3432" s="2" t="n">
        <v>6</v>
      </c>
    </row>
    <row r="3433" customFormat="false" ht="16.5" hidden="false" customHeight="true" outlineLevel="0" collapsed="false">
      <c r="A3433" s="2" t="s">
        <v>447</v>
      </c>
      <c r="B3433" s="2" t="s">
        <v>457</v>
      </c>
      <c r="C3433" s="2" t="n">
        <v>3</v>
      </c>
      <c r="D3433" s="2" t="s">
        <v>594</v>
      </c>
      <c r="E3433" s="2" t="s">
        <v>1</v>
      </c>
      <c r="F3433" s="2" t="n">
        <v>125</v>
      </c>
      <c r="G3433" s="2" t="n">
        <v>10</v>
      </c>
    </row>
    <row r="3434" customFormat="false" ht="16.5" hidden="false" customHeight="true" outlineLevel="0" collapsed="false">
      <c r="A3434" s="2" t="s">
        <v>447</v>
      </c>
      <c r="B3434" s="2" t="s">
        <v>457</v>
      </c>
      <c r="C3434" s="2" t="n">
        <v>3</v>
      </c>
      <c r="D3434" s="2" t="s">
        <v>594</v>
      </c>
      <c r="E3434" s="2" t="s">
        <v>2</v>
      </c>
      <c r="F3434" s="2" t="n">
        <v>125</v>
      </c>
      <c r="G3434" s="2" t="n">
        <v>14</v>
      </c>
    </row>
    <row r="3435" customFormat="false" ht="16.5" hidden="false" customHeight="true" outlineLevel="0" collapsed="false">
      <c r="A3435" s="2" t="s">
        <v>447</v>
      </c>
      <c r="B3435" s="2" t="s">
        <v>457</v>
      </c>
      <c r="C3435" s="2" t="n">
        <v>3</v>
      </c>
      <c r="D3435" s="2" t="s">
        <v>594</v>
      </c>
      <c r="E3435" s="2" t="s">
        <v>3</v>
      </c>
      <c r="F3435" s="2" t="n">
        <v>125</v>
      </c>
      <c r="G3435" s="2" t="n">
        <v>18</v>
      </c>
    </row>
    <row r="3436" customFormat="false" ht="16.5" hidden="false" customHeight="true" outlineLevel="0" collapsed="false">
      <c r="A3436" s="2" t="s">
        <v>447</v>
      </c>
      <c r="B3436" s="2" t="s">
        <v>457</v>
      </c>
      <c r="C3436" s="2" t="n">
        <v>3</v>
      </c>
      <c r="D3436" s="2" t="s">
        <v>594</v>
      </c>
      <c r="E3436" s="2" t="s">
        <v>4</v>
      </c>
      <c r="F3436" s="2" t="n">
        <v>125</v>
      </c>
      <c r="G3436" s="2" t="n">
        <v>22</v>
      </c>
    </row>
    <row r="3437" customFormat="false" ht="16.5" hidden="false" customHeight="true" outlineLevel="0" collapsed="false">
      <c r="A3437" s="2" t="s">
        <v>447</v>
      </c>
      <c r="B3437" s="2" t="s">
        <v>457</v>
      </c>
      <c r="C3437" s="2" t="n">
        <v>3</v>
      </c>
      <c r="D3437" s="2" t="s">
        <v>594</v>
      </c>
      <c r="E3437" s="2" t="s">
        <v>5</v>
      </c>
      <c r="F3437" s="2" t="n">
        <v>125</v>
      </c>
      <c r="G3437" s="2" t="n">
        <v>26</v>
      </c>
    </row>
    <row r="3438" customFormat="false" ht="16.5" hidden="false" customHeight="true" outlineLevel="0" collapsed="false">
      <c r="A3438" s="2" t="s">
        <v>447</v>
      </c>
      <c r="B3438" s="2" t="s">
        <v>457</v>
      </c>
      <c r="C3438" s="2" t="n">
        <v>3</v>
      </c>
      <c r="D3438" s="2" t="s">
        <v>594</v>
      </c>
      <c r="E3438" s="2" t="s">
        <v>6</v>
      </c>
      <c r="F3438" s="2" t="n">
        <v>125</v>
      </c>
      <c r="G3438" s="2" t="n">
        <v>30</v>
      </c>
    </row>
    <row r="3439" customFormat="false" ht="16.5" hidden="false" customHeight="true" outlineLevel="0" collapsed="false">
      <c r="A3439" s="2" t="s">
        <v>447</v>
      </c>
      <c r="B3439" s="2" t="s">
        <v>457</v>
      </c>
      <c r="C3439" s="2" t="n">
        <v>3</v>
      </c>
      <c r="D3439" s="2" t="s">
        <v>594</v>
      </c>
      <c r="E3439" s="2" t="s">
        <v>7</v>
      </c>
      <c r="F3439" s="2" t="n">
        <v>125</v>
      </c>
      <c r="G3439" s="2" t="n">
        <v>34</v>
      </c>
    </row>
    <row r="3440" customFormat="false" ht="16.5" hidden="false" customHeight="true" outlineLevel="0" collapsed="false">
      <c r="A3440" s="2" t="s">
        <v>447</v>
      </c>
      <c r="B3440" s="2" t="s">
        <v>457</v>
      </c>
      <c r="C3440" s="2" t="n">
        <v>3</v>
      </c>
      <c r="D3440" s="2" t="s">
        <v>594</v>
      </c>
      <c r="E3440" s="2" t="s">
        <v>8</v>
      </c>
      <c r="F3440" s="2" t="n">
        <v>125</v>
      </c>
      <c r="G3440" s="2" t="n">
        <v>38</v>
      </c>
    </row>
    <row r="3441" customFormat="false" ht="16.5" hidden="false" customHeight="true" outlineLevel="0" collapsed="false">
      <c r="A3441" s="2" t="s">
        <v>447</v>
      </c>
      <c r="B3441" s="2" t="s">
        <v>457</v>
      </c>
      <c r="C3441" s="2" t="n">
        <v>3</v>
      </c>
      <c r="D3441" s="2" t="s">
        <v>594</v>
      </c>
      <c r="E3441" s="2" t="s">
        <v>9</v>
      </c>
      <c r="F3441" s="2" t="n">
        <v>125</v>
      </c>
      <c r="G3441" s="2" t="n">
        <v>42</v>
      </c>
    </row>
    <row r="3442" customFormat="false" ht="16.5" hidden="false" customHeight="true" outlineLevel="0" collapsed="false">
      <c r="A3442" s="2" t="s">
        <v>447</v>
      </c>
      <c r="B3442" s="2" t="s">
        <v>457</v>
      </c>
      <c r="C3442" s="2" t="n">
        <v>3</v>
      </c>
      <c r="D3442" s="2" t="s">
        <v>594</v>
      </c>
      <c r="E3442" s="2" t="s">
        <v>10</v>
      </c>
      <c r="F3442" s="2" t="n">
        <v>125</v>
      </c>
      <c r="G3442" s="2" t="n">
        <v>46</v>
      </c>
    </row>
    <row r="3443" customFormat="false" ht="16.5" hidden="false" customHeight="true" outlineLevel="0" collapsed="false">
      <c r="A3443" s="2" t="s">
        <v>447</v>
      </c>
      <c r="B3443" s="2" t="s">
        <v>457</v>
      </c>
      <c r="C3443" s="2" t="n">
        <v>3</v>
      </c>
      <c r="D3443" s="2" t="s">
        <v>594</v>
      </c>
      <c r="E3443" s="2" t="s">
        <v>11</v>
      </c>
      <c r="F3443" s="2" t="n">
        <v>125</v>
      </c>
      <c r="G3443" s="2" t="n">
        <v>50</v>
      </c>
    </row>
    <row r="3444" customFormat="false" ht="16.5" hidden="false" customHeight="true" outlineLevel="0" collapsed="false">
      <c r="A3444" s="2" t="s">
        <v>447</v>
      </c>
      <c r="B3444" s="2" t="s">
        <v>457</v>
      </c>
      <c r="C3444" s="2" t="n">
        <v>3</v>
      </c>
      <c r="D3444" s="2" t="s">
        <v>594</v>
      </c>
      <c r="E3444" s="2" t="s">
        <v>12</v>
      </c>
      <c r="F3444" s="2" t="n">
        <v>127</v>
      </c>
      <c r="G3444" s="2" t="n">
        <v>8</v>
      </c>
    </row>
    <row r="3445" customFormat="false" ht="16.5" hidden="false" customHeight="true" outlineLevel="0" collapsed="false">
      <c r="A3445" s="2" t="s">
        <v>447</v>
      </c>
      <c r="B3445" s="2" t="s">
        <v>457</v>
      </c>
      <c r="C3445" s="2" t="n">
        <v>3</v>
      </c>
      <c r="D3445" s="2" t="s">
        <v>594</v>
      </c>
      <c r="E3445" s="2" t="s">
        <v>13</v>
      </c>
      <c r="F3445" s="2" t="n">
        <v>127</v>
      </c>
      <c r="G3445" s="2" t="n">
        <v>12</v>
      </c>
    </row>
    <row r="3446" customFormat="false" ht="16.5" hidden="false" customHeight="true" outlineLevel="0" collapsed="false">
      <c r="A3446" s="2" t="s">
        <v>447</v>
      </c>
      <c r="B3446" s="2" t="s">
        <v>457</v>
      </c>
      <c r="C3446" s="2" t="n">
        <v>3</v>
      </c>
      <c r="D3446" s="2" t="s">
        <v>594</v>
      </c>
      <c r="E3446" s="2" t="s">
        <v>14</v>
      </c>
      <c r="F3446" s="2" t="n">
        <v>127</v>
      </c>
      <c r="G3446" s="2" t="n">
        <v>16</v>
      </c>
    </row>
    <row r="3447" customFormat="false" ht="16.5" hidden="false" customHeight="true" outlineLevel="0" collapsed="false">
      <c r="A3447" s="2" t="s">
        <v>447</v>
      </c>
      <c r="B3447" s="2" t="s">
        <v>457</v>
      </c>
      <c r="C3447" s="2" t="n">
        <v>3</v>
      </c>
      <c r="D3447" s="2" t="s">
        <v>594</v>
      </c>
      <c r="E3447" s="2" t="s">
        <v>15</v>
      </c>
      <c r="F3447" s="2" t="n">
        <v>127</v>
      </c>
      <c r="G3447" s="2" t="n">
        <v>20</v>
      </c>
    </row>
    <row r="3448" customFormat="false" ht="16.5" hidden="false" customHeight="true" outlineLevel="0" collapsed="false">
      <c r="A3448" s="2" t="s">
        <v>447</v>
      </c>
      <c r="B3448" s="2" t="s">
        <v>457</v>
      </c>
      <c r="C3448" s="2" t="n">
        <v>3</v>
      </c>
      <c r="D3448" s="2" t="s">
        <v>594</v>
      </c>
      <c r="E3448" s="2" t="s">
        <v>16</v>
      </c>
      <c r="F3448" s="2" t="n">
        <v>127</v>
      </c>
      <c r="G3448" s="2" t="n">
        <v>24</v>
      </c>
    </row>
    <row r="3449" customFormat="false" ht="16.5" hidden="false" customHeight="true" outlineLevel="0" collapsed="false">
      <c r="A3449" s="2" t="s">
        <v>447</v>
      </c>
      <c r="B3449" s="2" t="s">
        <v>457</v>
      </c>
      <c r="C3449" s="2" t="n">
        <v>3</v>
      </c>
      <c r="D3449" s="2" t="s">
        <v>594</v>
      </c>
      <c r="E3449" s="2" t="s">
        <v>17</v>
      </c>
      <c r="F3449" s="2" t="n">
        <v>127</v>
      </c>
      <c r="G3449" s="2" t="n">
        <v>28</v>
      </c>
    </row>
    <row r="3450" customFormat="false" ht="16.5" hidden="false" customHeight="true" outlineLevel="0" collapsed="false">
      <c r="A3450" s="2" t="s">
        <v>447</v>
      </c>
      <c r="B3450" s="2" t="s">
        <v>457</v>
      </c>
      <c r="C3450" s="2" t="n">
        <v>3</v>
      </c>
      <c r="D3450" s="2" t="s">
        <v>594</v>
      </c>
      <c r="E3450" s="2" t="s">
        <v>18</v>
      </c>
      <c r="F3450" s="2" t="n">
        <v>127</v>
      </c>
      <c r="G3450" s="2" t="n">
        <v>32</v>
      </c>
    </row>
    <row r="3451" customFormat="false" ht="16.5" hidden="false" customHeight="true" outlineLevel="0" collapsed="false">
      <c r="A3451" s="2" t="s">
        <v>447</v>
      </c>
      <c r="B3451" s="2" t="s">
        <v>457</v>
      </c>
      <c r="C3451" s="2" t="n">
        <v>3</v>
      </c>
      <c r="D3451" s="2" t="s">
        <v>594</v>
      </c>
      <c r="E3451" s="2" t="s">
        <v>19</v>
      </c>
      <c r="F3451" s="2" t="n">
        <v>127</v>
      </c>
      <c r="G3451" s="2" t="n">
        <v>36</v>
      </c>
    </row>
    <row r="3452" customFormat="false" ht="16.5" hidden="false" customHeight="true" outlineLevel="0" collapsed="false">
      <c r="A3452" s="2" t="s">
        <v>447</v>
      </c>
      <c r="B3452" s="2" t="s">
        <v>457</v>
      </c>
      <c r="C3452" s="2" t="n">
        <v>3</v>
      </c>
      <c r="D3452" s="2" t="s">
        <v>594</v>
      </c>
      <c r="E3452" s="2" t="s">
        <v>20</v>
      </c>
      <c r="F3452" s="2" t="n">
        <v>127</v>
      </c>
      <c r="G3452" s="2" t="n">
        <v>40</v>
      </c>
    </row>
    <row r="3453" customFormat="false" ht="16.5" hidden="false" customHeight="true" outlineLevel="0" collapsed="false">
      <c r="A3453" s="2" t="s">
        <v>447</v>
      </c>
      <c r="B3453" s="2" t="s">
        <v>457</v>
      </c>
      <c r="C3453" s="2" t="n">
        <v>3</v>
      </c>
      <c r="D3453" s="2" t="s">
        <v>594</v>
      </c>
      <c r="E3453" s="2" t="s">
        <v>21</v>
      </c>
      <c r="F3453" s="2" t="n">
        <v>127</v>
      </c>
      <c r="G3453" s="2" t="n">
        <v>44</v>
      </c>
    </row>
    <row r="3454" customFormat="false" ht="16.5" hidden="false" customHeight="true" outlineLevel="0" collapsed="false">
      <c r="A3454" s="2" t="s">
        <v>447</v>
      </c>
      <c r="B3454" s="2" t="s">
        <v>457</v>
      </c>
      <c r="C3454" s="2" t="n">
        <v>3</v>
      </c>
      <c r="D3454" s="2" t="s">
        <v>594</v>
      </c>
      <c r="E3454" s="2" t="s">
        <v>22</v>
      </c>
      <c r="F3454" s="2" t="n">
        <v>127</v>
      </c>
      <c r="G3454" s="2" t="n">
        <v>48</v>
      </c>
    </row>
    <row r="3455" customFormat="false" ht="16.5" hidden="false" customHeight="true" outlineLevel="0" collapsed="false">
      <c r="A3455" s="2" t="s">
        <v>447</v>
      </c>
      <c r="B3455" s="2" t="s">
        <v>457</v>
      </c>
      <c r="C3455" s="2" t="n">
        <v>3</v>
      </c>
      <c r="D3455" s="2" t="s">
        <v>594</v>
      </c>
      <c r="E3455" s="2" t="s">
        <v>23</v>
      </c>
      <c r="F3455" s="2" t="n">
        <v>127</v>
      </c>
      <c r="G3455" s="2" t="n">
        <v>52</v>
      </c>
    </row>
    <row r="3456" customFormat="false" ht="16.5" hidden="false" customHeight="true" outlineLevel="0" collapsed="false">
      <c r="A3456" s="2" t="s">
        <v>447</v>
      </c>
      <c r="B3456" s="2" t="s">
        <v>457</v>
      </c>
      <c r="C3456" s="2" t="n">
        <v>3</v>
      </c>
      <c r="D3456" s="2" t="s">
        <v>594</v>
      </c>
      <c r="E3456" s="2" t="s">
        <v>24</v>
      </c>
      <c r="F3456" s="2" t="n">
        <v>129</v>
      </c>
      <c r="G3456" s="2" t="n">
        <v>9</v>
      </c>
    </row>
    <row r="3457" customFormat="false" ht="16.5" hidden="false" customHeight="true" outlineLevel="0" collapsed="false">
      <c r="A3457" s="2" t="s">
        <v>447</v>
      </c>
      <c r="B3457" s="2" t="s">
        <v>457</v>
      </c>
      <c r="C3457" s="2" t="n">
        <v>3</v>
      </c>
      <c r="D3457" s="2" t="s">
        <v>594</v>
      </c>
      <c r="E3457" s="2" t="s">
        <v>25</v>
      </c>
      <c r="F3457" s="2" t="n">
        <v>129</v>
      </c>
      <c r="G3457" s="2" t="n">
        <v>13</v>
      </c>
    </row>
    <row r="3458" customFormat="false" ht="16.5" hidden="false" customHeight="true" outlineLevel="0" collapsed="false">
      <c r="A3458" s="2" t="s">
        <v>447</v>
      </c>
      <c r="B3458" s="2" t="s">
        <v>457</v>
      </c>
      <c r="C3458" s="2" t="n">
        <v>3</v>
      </c>
      <c r="D3458" s="2" t="s">
        <v>594</v>
      </c>
      <c r="E3458" s="2" t="s">
        <v>26</v>
      </c>
      <c r="F3458" s="2" t="n">
        <v>129</v>
      </c>
      <c r="G3458" s="2" t="n">
        <v>17</v>
      </c>
    </row>
    <row r="3459" customFormat="false" ht="16.5" hidden="false" customHeight="true" outlineLevel="0" collapsed="false">
      <c r="A3459" s="2" t="s">
        <v>447</v>
      </c>
      <c r="B3459" s="2" t="s">
        <v>457</v>
      </c>
      <c r="C3459" s="2" t="n">
        <v>3</v>
      </c>
      <c r="D3459" s="2" t="s">
        <v>594</v>
      </c>
      <c r="E3459" s="2" t="s">
        <v>27</v>
      </c>
      <c r="F3459" s="2" t="n">
        <v>129</v>
      </c>
      <c r="G3459" s="2" t="n">
        <v>21</v>
      </c>
    </row>
    <row r="3460" customFormat="false" ht="16.5" hidden="false" customHeight="true" outlineLevel="0" collapsed="false">
      <c r="A3460" s="2" t="s">
        <v>447</v>
      </c>
      <c r="B3460" s="2" t="s">
        <v>457</v>
      </c>
      <c r="C3460" s="2" t="n">
        <v>3</v>
      </c>
      <c r="D3460" s="2" t="s">
        <v>594</v>
      </c>
      <c r="E3460" s="2" t="s">
        <v>28</v>
      </c>
      <c r="F3460" s="2" t="n">
        <v>129</v>
      </c>
      <c r="G3460" s="2" t="n">
        <v>25</v>
      </c>
    </row>
    <row r="3461" customFormat="false" ht="16.5" hidden="false" customHeight="true" outlineLevel="0" collapsed="false">
      <c r="A3461" s="2" t="s">
        <v>447</v>
      </c>
      <c r="B3461" s="2" t="s">
        <v>457</v>
      </c>
      <c r="C3461" s="2" t="n">
        <v>3</v>
      </c>
      <c r="D3461" s="2" t="s">
        <v>594</v>
      </c>
      <c r="E3461" s="2" t="s">
        <v>29</v>
      </c>
      <c r="F3461" s="2" t="n">
        <v>129</v>
      </c>
      <c r="G3461" s="2" t="n">
        <v>29</v>
      </c>
    </row>
    <row r="3462" customFormat="false" ht="16.5" hidden="false" customHeight="true" outlineLevel="0" collapsed="false">
      <c r="A3462" s="2" t="s">
        <v>447</v>
      </c>
      <c r="B3462" s="2" t="s">
        <v>457</v>
      </c>
      <c r="C3462" s="2" t="n">
        <v>3</v>
      </c>
      <c r="D3462" s="2" t="s">
        <v>594</v>
      </c>
      <c r="E3462" s="2" t="s">
        <v>30</v>
      </c>
      <c r="F3462" s="2" t="n">
        <v>129</v>
      </c>
      <c r="G3462" s="2" t="n">
        <v>33</v>
      </c>
    </row>
    <row r="3463" customFormat="false" ht="16.5" hidden="false" customHeight="true" outlineLevel="0" collapsed="false">
      <c r="A3463" s="2" t="s">
        <v>447</v>
      </c>
      <c r="B3463" s="2" t="s">
        <v>457</v>
      </c>
      <c r="C3463" s="2" t="n">
        <v>3</v>
      </c>
      <c r="D3463" s="2" t="s">
        <v>594</v>
      </c>
      <c r="E3463" s="2" t="s">
        <v>31</v>
      </c>
      <c r="F3463" s="2" t="n">
        <v>129</v>
      </c>
      <c r="G3463" s="2" t="n">
        <v>37</v>
      </c>
    </row>
    <row r="3464" customFormat="false" ht="16.5" hidden="false" customHeight="true" outlineLevel="0" collapsed="false">
      <c r="A3464" s="2" t="s">
        <v>447</v>
      </c>
      <c r="B3464" s="2" t="s">
        <v>457</v>
      </c>
      <c r="C3464" s="2" t="n">
        <v>3</v>
      </c>
      <c r="D3464" s="2" t="s">
        <v>594</v>
      </c>
      <c r="E3464" s="2" t="s">
        <v>32</v>
      </c>
      <c r="F3464" s="2" t="n">
        <v>129</v>
      </c>
      <c r="G3464" s="2" t="n">
        <v>41</v>
      </c>
    </row>
    <row r="3465" customFormat="false" ht="16.5" hidden="false" customHeight="true" outlineLevel="0" collapsed="false">
      <c r="A3465" s="2" t="s">
        <v>447</v>
      </c>
      <c r="B3465" s="2" t="s">
        <v>457</v>
      </c>
      <c r="C3465" s="2" t="n">
        <v>3</v>
      </c>
      <c r="D3465" s="2" t="s">
        <v>594</v>
      </c>
      <c r="E3465" s="2" t="s">
        <v>33</v>
      </c>
      <c r="F3465" s="2" t="n">
        <v>129</v>
      </c>
      <c r="G3465" s="2" t="n">
        <v>45</v>
      </c>
    </row>
    <row r="3466" customFormat="false" ht="16.5" hidden="false" customHeight="true" outlineLevel="0" collapsed="false">
      <c r="A3466" s="2" t="s">
        <v>447</v>
      </c>
      <c r="B3466" s="2" t="s">
        <v>457</v>
      </c>
      <c r="C3466" s="2" t="n">
        <v>3</v>
      </c>
      <c r="D3466" s="2" t="s">
        <v>594</v>
      </c>
      <c r="E3466" s="2" t="s">
        <v>34</v>
      </c>
      <c r="F3466" s="2" t="n">
        <v>129</v>
      </c>
      <c r="G3466" s="2" t="n">
        <v>49</v>
      </c>
    </row>
    <row r="3467" customFormat="false" ht="16.5" hidden="false" customHeight="true" outlineLevel="0" collapsed="false">
      <c r="A3467" s="2" t="s">
        <v>447</v>
      </c>
      <c r="B3467" s="2" t="s">
        <v>457</v>
      </c>
      <c r="C3467" s="2" t="n">
        <v>3</v>
      </c>
      <c r="D3467" s="2" t="s">
        <v>594</v>
      </c>
      <c r="E3467" s="2" t="s">
        <v>35</v>
      </c>
      <c r="F3467" s="2" t="n">
        <v>131</v>
      </c>
      <c r="G3467" s="2" t="n">
        <v>11</v>
      </c>
    </row>
    <row r="3468" customFormat="false" ht="16.5" hidden="false" customHeight="true" outlineLevel="0" collapsed="false">
      <c r="A3468" s="2" t="s">
        <v>447</v>
      </c>
      <c r="B3468" s="2" t="s">
        <v>457</v>
      </c>
      <c r="C3468" s="2" t="n">
        <v>3</v>
      </c>
      <c r="D3468" s="2" t="s">
        <v>594</v>
      </c>
      <c r="E3468" s="2" t="s">
        <v>36</v>
      </c>
      <c r="F3468" s="2" t="n">
        <v>131</v>
      </c>
      <c r="G3468" s="2" t="n">
        <v>15</v>
      </c>
    </row>
    <row r="3469" customFormat="false" ht="16.5" hidden="false" customHeight="true" outlineLevel="0" collapsed="false">
      <c r="A3469" s="2" t="s">
        <v>447</v>
      </c>
      <c r="B3469" s="2" t="s">
        <v>457</v>
      </c>
      <c r="C3469" s="2" t="n">
        <v>3</v>
      </c>
      <c r="D3469" s="2" t="s">
        <v>594</v>
      </c>
      <c r="E3469" s="2" t="s">
        <v>37</v>
      </c>
      <c r="F3469" s="2" t="n">
        <v>131</v>
      </c>
      <c r="G3469" s="2" t="n">
        <v>19</v>
      </c>
    </row>
    <row r="3470" customFormat="false" ht="16.5" hidden="false" customHeight="true" outlineLevel="0" collapsed="false">
      <c r="A3470" s="2" t="s">
        <v>447</v>
      </c>
      <c r="B3470" s="2" t="s">
        <v>457</v>
      </c>
      <c r="C3470" s="2" t="n">
        <v>3</v>
      </c>
      <c r="D3470" s="2" t="s">
        <v>594</v>
      </c>
      <c r="E3470" s="2" t="s">
        <v>38</v>
      </c>
      <c r="F3470" s="2" t="n">
        <v>131</v>
      </c>
      <c r="G3470" s="2" t="n">
        <v>23</v>
      </c>
    </row>
    <row r="3471" customFormat="false" ht="16.5" hidden="false" customHeight="true" outlineLevel="0" collapsed="false">
      <c r="A3471" s="2" t="s">
        <v>447</v>
      </c>
      <c r="B3471" s="2" t="s">
        <v>457</v>
      </c>
      <c r="C3471" s="2" t="n">
        <v>3</v>
      </c>
      <c r="D3471" s="2" t="s">
        <v>594</v>
      </c>
      <c r="E3471" s="2" t="s">
        <v>39</v>
      </c>
      <c r="F3471" s="2" t="n">
        <v>131</v>
      </c>
      <c r="G3471" s="2" t="n">
        <v>27</v>
      </c>
    </row>
    <row r="3472" customFormat="false" ht="16.5" hidden="false" customHeight="true" outlineLevel="0" collapsed="false">
      <c r="A3472" s="2" t="s">
        <v>447</v>
      </c>
      <c r="B3472" s="2" t="s">
        <v>457</v>
      </c>
      <c r="C3472" s="2" t="n">
        <v>3</v>
      </c>
      <c r="D3472" s="2" t="s">
        <v>594</v>
      </c>
      <c r="E3472" s="2" t="s">
        <v>40</v>
      </c>
      <c r="F3472" s="2" t="n">
        <v>131</v>
      </c>
      <c r="G3472" s="2" t="n">
        <v>31</v>
      </c>
    </row>
    <row r="3473" customFormat="false" ht="16.5" hidden="false" customHeight="true" outlineLevel="0" collapsed="false">
      <c r="A3473" s="2" t="s">
        <v>447</v>
      </c>
      <c r="B3473" s="2" t="s">
        <v>457</v>
      </c>
      <c r="C3473" s="2" t="n">
        <v>3</v>
      </c>
      <c r="D3473" s="2" t="s">
        <v>594</v>
      </c>
      <c r="E3473" s="2" t="s">
        <v>41</v>
      </c>
      <c r="F3473" s="2" t="n">
        <v>131</v>
      </c>
      <c r="G3473" s="2" t="n">
        <v>35</v>
      </c>
    </row>
    <row r="3474" customFormat="false" ht="16.5" hidden="false" customHeight="true" outlineLevel="0" collapsed="false">
      <c r="A3474" s="2" t="s">
        <v>447</v>
      </c>
      <c r="B3474" s="2" t="s">
        <v>457</v>
      </c>
      <c r="C3474" s="2" t="n">
        <v>3</v>
      </c>
      <c r="D3474" s="2" t="s">
        <v>594</v>
      </c>
      <c r="E3474" s="2" t="s">
        <v>42</v>
      </c>
      <c r="F3474" s="2" t="n">
        <v>131</v>
      </c>
      <c r="G3474" s="2" t="n">
        <v>39</v>
      </c>
    </row>
    <row r="3475" customFormat="false" ht="16.5" hidden="false" customHeight="true" outlineLevel="0" collapsed="false">
      <c r="A3475" s="2" t="s">
        <v>447</v>
      </c>
      <c r="B3475" s="2" t="s">
        <v>457</v>
      </c>
      <c r="C3475" s="2" t="n">
        <v>3</v>
      </c>
      <c r="D3475" s="2" t="s">
        <v>594</v>
      </c>
      <c r="E3475" s="2" t="s">
        <v>43</v>
      </c>
      <c r="F3475" s="2" t="n">
        <v>131</v>
      </c>
      <c r="G3475" s="2" t="n">
        <v>43</v>
      </c>
    </row>
    <row r="3476" customFormat="false" ht="16.5" hidden="false" customHeight="true" outlineLevel="0" collapsed="false">
      <c r="A3476" s="2" t="s">
        <v>447</v>
      </c>
      <c r="B3476" s="2" t="s">
        <v>457</v>
      </c>
      <c r="C3476" s="2" t="n">
        <v>3</v>
      </c>
      <c r="D3476" s="2" t="s">
        <v>594</v>
      </c>
      <c r="E3476" s="2" t="s">
        <v>44</v>
      </c>
      <c r="F3476" s="2" t="n">
        <v>131</v>
      </c>
      <c r="G3476" s="2" t="n">
        <v>47</v>
      </c>
    </row>
    <row r="3477" customFormat="false" ht="16.5" hidden="false" customHeight="true" outlineLevel="0" collapsed="false">
      <c r="A3477" s="2" t="s">
        <v>447</v>
      </c>
      <c r="B3477" s="2" t="s">
        <v>457</v>
      </c>
      <c r="C3477" s="2" t="n">
        <v>3</v>
      </c>
      <c r="D3477" s="2" t="s">
        <v>594</v>
      </c>
      <c r="E3477" s="2" t="s">
        <v>48</v>
      </c>
      <c r="F3477" s="2" t="n">
        <v>133</v>
      </c>
      <c r="G3477" s="2" t="n">
        <v>16</v>
      </c>
    </row>
    <row r="3478" customFormat="false" ht="16.5" hidden="false" customHeight="true" outlineLevel="0" collapsed="false">
      <c r="A3478" s="2" t="s">
        <v>447</v>
      </c>
      <c r="B3478" s="2" t="s">
        <v>457</v>
      </c>
      <c r="C3478" s="2" t="n">
        <v>3</v>
      </c>
      <c r="D3478" s="2" t="s">
        <v>594</v>
      </c>
      <c r="E3478" s="2" t="s">
        <v>50</v>
      </c>
      <c r="F3478" s="2" t="n">
        <v>133</v>
      </c>
      <c r="G3478" s="2" t="n">
        <v>20</v>
      </c>
    </row>
    <row r="3479" customFormat="false" ht="16.5" hidden="false" customHeight="true" outlineLevel="0" collapsed="false">
      <c r="A3479" s="2" t="s">
        <v>447</v>
      </c>
      <c r="B3479" s="2" t="s">
        <v>457</v>
      </c>
      <c r="C3479" s="2" t="n">
        <v>3</v>
      </c>
      <c r="D3479" s="2" t="s">
        <v>594</v>
      </c>
      <c r="E3479" s="2" t="s">
        <v>45</v>
      </c>
      <c r="F3479" s="2" t="n">
        <v>133</v>
      </c>
      <c r="G3479" s="2" t="n">
        <v>38</v>
      </c>
    </row>
    <row r="3480" customFormat="false" ht="16.5" hidden="false" customHeight="true" outlineLevel="0" collapsed="false">
      <c r="A3480" s="2" t="s">
        <v>447</v>
      </c>
      <c r="B3480" s="2" t="s">
        <v>457</v>
      </c>
      <c r="C3480" s="2" t="n">
        <v>3</v>
      </c>
      <c r="D3480" s="2" t="s">
        <v>594</v>
      </c>
      <c r="E3480" s="2" t="s">
        <v>46</v>
      </c>
      <c r="F3480" s="2" t="n">
        <v>133</v>
      </c>
      <c r="G3480" s="2" t="n">
        <v>42</v>
      </c>
    </row>
    <row r="3481" customFormat="false" ht="16.5" hidden="false" customHeight="true" outlineLevel="0" collapsed="false">
      <c r="A3481" s="2" t="s">
        <v>447</v>
      </c>
      <c r="B3481" s="2" t="s">
        <v>458</v>
      </c>
      <c r="C3481" s="2" t="n">
        <v>3</v>
      </c>
      <c r="D3481" s="2" t="s">
        <v>595</v>
      </c>
      <c r="E3481" s="2" t="s">
        <v>0</v>
      </c>
      <c r="F3481" s="2" t="n">
        <v>138</v>
      </c>
      <c r="G3481" s="2" t="n">
        <v>6</v>
      </c>
    </row>
    <row r="3482" customFormat="false" ht="16.5" hidden="false" customHeight="true" outlineLevel="0" collapsed="false">
      <c r="A3482" s="2" t="s">
        <v>447</v>
      </c>
      <c r="B3482" s="2" t="s">
        <v>458</v>
      </c>
      <c r="C3482" s="2" t="n">
        <v>3</v>
      </c>
      <c r="D3482" s="2" t="s">
        <v>595</v>
      </c>
      <c r="E3482" s="2" t="s">
        <v>1</v>
      </c>
      <c r="F3482" s="2" t="n">
        <v>138</v>
      </c>
      <c r="G3482" s="2" t="n">
        <v>10</v>
      </c>
    </row>
    <row r="3483" customFormat="false" ht="16.5" hidden="false" customHeight="true" outlineLevel="0" collapsed="false">
      <c r="A3483" s="2" t="s">
        <v>447</v>
      </c>
      <c r="B3483" s="2" t="s">
        <v>458</v>
      </c>
      <c r="C3483" s="2" t="n">
        <v>3</v>
      </c>
      <c r="D3483" s="2" t="s">
        <v>595</v>
      </c>
      <c r="E3483" s="2" t="s">
        <v>2</v>
      </c>
      <c r="F3483" s="2" t="n">
        <v>138</v>
      </c>
      <c r="G3483" s="2" t="n">
        <v>14</v>
      </c>
    </row>
    <row r="3484" customFormat="false" ht="16.5" hidden="false" customHeight="true" outlineLevel="0" collapsed="false">
      <c r="A3484" s="2" t="s">
        <v>447</v>
      </c>
      <c r="B3484" s="2" t="s">
        <v>458</v>
      </c>
      <c r="C3484" s="2" t="n">
        <v>3</v>
      </c>
      <c r="D3484" s="2" t="s">
        <v>595</v>
      </c>
      <c r="E3484" s="2" t="s">
        <v>3</v>
      </c>
      <c r="F3484" s="2" t="n">
        <v>138</v>
      </c>
      <c r="G3484" s="2" t="n">
        <v>18</v>
      </c>
    </row>
    <row r="3485" customFormat="false" ht="16.5" hidden="false" customHeight="true" outlineLevel="0" collapsed="false">
      <c r="A3485" s="2" t="s">
        <v>447</v>
      </c>
      <c r="B3485" s="2" t="s">
        <v>458</v>
      </c>
      <c r="C3485" s="2" t="n">
        <v>3</v>
      </c>
      <c r="D3485" s="2" t="s">
        <v>595</v>
      </c>
      <c r="E3485" s="2" t="s">
        <v>4</v>
      </c>
      <c r="F3485" s="2" t="n">
        <v>138</v>
      </c>
      <c r="G3485" s="2" t="n">
        <v>22</v>
      </c>
    </row>
    <row r="3486" customFormat="false" ht="16.5" hidden="false" customHeight="true" outlineLevel="0" collapsed="false">
      <c r="A3486" s="2" t="s">
        <v>447</v>
      </c>
      <c r="B3486" s="2" t="s">
        <v>458</v>
      </c>
      <c r="C3486" s="2" t="n">
        <v>3</v>
      </c>
      <c r="D3486" s="2" t="s">
        <v>595</v>
      </c>
      <c r="E3486" s="2" t="s">
        <v>5</v>
      </c>
      <c r="F3486" s="2" t="n">
        <v>138</v>
      </c>
      <c r="G3486" s="2" t="n">
        <v>26</v>
      </c>
    </row>
    <row r="3487" customFormat="false" ht="16.5" hidden="false" customHeight="true" outlineLevel="0" collapsed="false">
      <c r="A3487" s="2" t="s">
        <v>447</v>
      </c>
      <c r="B3487" s="2" t="s">
        <v>458</v>
      </c>
      <c r="C3487" s="2" t="n">
        <v>3</v>
      </c>
      <c r="D3487" s="2" t="s">
        <v>595</v>
      </c>
      <c r="E3487" s="2" t="s">
        <v>6</v>
      </c>
      <c r="F3487" s="2" t="n">
        <v>138</v>
      </c>
      <c r="G3487" s="2" t="n">
        <v>30</v>
      </c>
    </row>
    <row r="3488" customFormat="false" ht="16.5" hidden="false" customHeight="true" outlineLevel="0" collapsed="false">
      <c r="A3488" s="2" t="s">
        <v>447</v>
      </c>
      <c r="B3488" s="2" t="s">
        <v>458</v>
      </c>
      <c r="C3488" s="2" t="n">
        <v>3</v>
      </c>
      <c r="D3488" s="2" t="s">
        <v>595</v>
      </c>
      <c r="E3488" s="2" t="s">
        <v>7</v>
      </c>
      <c r="F3488" s="2" t="n">
        <v>138</v>
      </c>
      <c r="G3488" s="2" t="n">
        <v>34</v>
      </c>
    </row>
    <row r="3489" customFormat="false" ht="16.5" hidden="false" customHeight="true" outlineLevel="0" collapsed="false">
      <c r="A3489" s="2" t="s">
        <v>447</v>
      </c>
      <c r="B3489" s="2" t="s">
        <v>458</v>
      </c>
      <c r="C3489" s="2" t="n">
        <v>3</v>
      </c>
      <c r="D3489" s="2" t="s">
        <v>595</v>
      </c>
      <c r="E3489" s="2" t="s">
        <v>8</v>
      </c>
      <c r="F3489" s="2" t="n">
        <v>138</v>
      </c>
      <c r="G3489" s="2" t="n">
        <v>38</v>
      </c>
    </row>
    <row r="3490" customFormat="false" ht="16.5" hidden="false" customHeight="true" outlineLevel="0" collapsed="false">
      <c r="A3490" s="2" t="s">
        <v>447</v>
      </c>
      <c r="B3490" s="2" t="s">
        <v>458</v>
      </c>
      <c r="C3490" s="2" t="n">
        <v>3</v>
      </c>
      <c r="D3490" s="2" t="s">
        <v>595</v>
      </c>
      <c r="E3490" s="2" t="s">
        <v>9</v>
      </c>
      <c r="F3490" s="2" t="n">
        <v>138</v>
      </c>
      <c r="G3490" s="2" t="n">
        <v>42</v>
      </c>
    </row>
    <row r="3491" customFormat="false" ht="16.5" hidden="false" customHeight="true" outlineLevel="0" collapsed="false">
      <c r="A3491" s="2" t="s">
        <v>447</v>
      </c>
      <c r="B3491" s="2" t="s">
        <v>458</v>
      </c>
      <c r="C3491" s="2" t="n">
        <v>3</v>
      </c>
      <c r="D3491" s="2" t="s">
        <v>595</v>
      </c>
      <c r="E3491" s="2" t="s">
        <v>10</v>
      </c>
      <c r="F3491" s="2" t="n">
        <v>138</v>
      </c>
      <c r="G3491" s="2" t="n">
        <v>46</v>
      </c>
    </row>
    <row r="3492" customFormat="false" ht="16.5" hidden="false" customHeight="true" outlineLevel="0" collapsed="false">
      <c r="A3492" s="2" t="s">
        <v>447</v>
      </c>
      <c r="B3492" s="2" t="s">
        <v>458</v>
      </c>
      <c r="C3492" s="2" t="n">
        <v>3</v>
      </c>
      <c r="D3492" s="2" t="s">
        <v>595</v>
      </c>
      <c r="E3492" s="2" t="s">
        <v>11</v>
      </c>
      <c r="F3492" s="2" t="n">
        <v>138</v>
      </c>
      <c r="G3492" s="2" t="n">
        <v>50</v>
      </c>
    </row>
    <row r="3493" customFormat="false" ht="16.5" hidden="false" customHeight="true" outlineLevel="0" collapsed="false">
      <c r="A3493" s="2" t="s">
        <v>447</v>
      </c>
      <c r="B3493" s="2" t="s">
        <v>458</v>
      </c>
      <c r="C3493" s="2" t="n">
        <v>3</v>
      </c>
      <c r="D3493" s="2" t="s">
        <v>595</v>
      </c>
      <c r="E3493" s="2" t="s">
        <v>12</v>
      </c>
      <c r="F3493" s="2" t="n">
        <v>140</v>
      </c>
      <c r="G3493" s="2" t="n">
        <v>8</v>
      </c>
    </row>
    <row r="3494" customFormat="false" ht="16.5" hidden="false" customHeight="true" outlineLevel="0" collapsed="false">
      <c r="A3494" s="2" t="s">
        <v>447</v>
      </c>
      <c r="B3494" s="2" t="s">
        <v>458</v>
      </c>
      <c r="C3494" s="2" t="n">
        <v>3</v>
      </c>
      <c r="D3494" s="2" t="s">
        <v>595</v>
      </c>
      <c r="E3494" s="2" t="s">
        <v>13</v>
      </c>
      <c r="F3494" s="2" t="n">
        <v>140</v>
      </c>
      <c r="G3494" s="2" t="n">
        <v>12</v>
      </c>
    </row>
    <row r="3495" customFormat="false" ht="16.5" hidden="false" customHeight="true" outlineLevel="0" collapsed="false">
      <c r="A3495" s="2" t="s">
        <v>447</v>
      </c>
      <c r="B3495" s="2" t="s">
        <v>458</v>
      </c>
      <c r="C3495" s="2" t="n">
        <v>3</v>
      </c>
      <c r="D3495" s="2" t="s">
        <v>595</v>
      </c>
      <c r="E3495" s="2" t="s">
        <v>14</v>
      </c>
      <c r="F3495" s="2" t="n">
        <v>140</v>
      </c>
      <c r="G3495" s="2" t="n">
        <v>16</v>
      </c>
    </row>
    <row r="3496" customFormat="false" ht="16.5" hidden="false" customHeight="true" outlineLevel="0" collapsed="false">
      <c r="A3496" s="2" t="s">
        <v>447</v>
      </c>
      <c r="B3496" s="2" t="s">
        <v>458</v>
      </c>
      <c r="C3496" s="2" t="n">
        <v>3</v>
      </c>
      <c r="D3496" s="2" t="s">
        <v>595</v>
      </c>
      <c r="E3496" s="2" t="s">
        <v>15</v>
      </c>
      <c r="F3496" s="2" t="n">
        <v>140</v>
      </c>
      <c r="G3496" s="2" t="n">
        <v>20</v>
      </c>
    </row>
    <row r="3497" customFormat="false" ht="16.5" hidden="false" customHeight="true" outlineLevel="0" collapsed="false">
      <c r="A3497" s="2" t="s">
        <v>447</v>
      </c>
      <c r="B3497" s="2" t="s">
        <v>458</v>
      </c>
      <c r="C3497" s="2" t="n">
        <v>3</v>
      </c>
      <c r="D3497" s="2" t="s">
        <v>595</v>
      </c>
      <c r="E3497" s="2" t="s">
        <v>16</v>
      </c>
      <c r="F3497" s="2" t="n">
        <v>140</v>
      </c>
      <c r="G3497" s="2" t="n">
        <v>24</v>
      </c>
    </row>
    <row r="3498" customFormat="false" ht="16.5" hidden="false" customHeight="true" outlineLevel="0" collapsed="false">
      <c r="A3498" s="2" t="s">
        <v>447</v>
      </c>
      <c r="B3498" s="2" t="s">
        <v>458</v>
      </c>
      <c r="C3498" s="2" t="n">
        <v>3</v>
      </c>
      <c r="D3498" s="2" t="s">
        <v>595</v>
      </c>
      <c r="E3498" s="2" t="s">
        <v>17</v>
      </c>
      <c r="F3498" s="2" t="n">
        <v>140</v>
      </c>
      <c r="G3498" s="2" t="n">
        <v>28</v>
      </c>
    </row>
    <row r="3499" customFormat="false" ht="16.5" hidden="false" customHeight="true" outlineLevel="0" collapsed="false">
      <c r="A3499" s="2" t="s">
        <v>447</v>
      </c>
      <c r="B3499" s="2" t="s">
        <v>458</v>
      </c>
      <c r="C3499" s="2" t="n">
        <v>3</v>
      </c>
      <c r="D3499" s="2" t="s">
        <v>595</v>
      </c>
      <c r="E3499" s="2" t="s">
        <v>18</v>
      </c>
      <c r="F3499" s="2" t="n">
        <v>140</v>
      </c>
      <c r="G3499" s="2" t="n">
        <v>32</v>
      </c>
    </row>
    <row r="3500" customFormat="false" ht="16.5" hidden="false" customHeight="true" outlineLevel="0" collapsed="false">
      <c r="A3500" s="2" t="s">
        <v>447</v>
      </c>
      <c r="B3500" s="2" t="s">
        <v>458</v>
      </c>
      <c r="C3500" s="2" t="n">
        <v>3</v>
      </c>
      <c r="D3500" s="2" t="s">
        <v>595</v>
      </c>
      <c r="E3500" s="2" t="s">
        <v>19</v>
      </c>
      <c r="F3500" s="2" t="n">
        <v>140</v>
      </c>
      <c r="G3500" s="2" t="n">
        <v>36</v>
      </c>
    </row>
    <row r="3501" customFormat="false" ht="16.5" hidden="false" customHeight="true" outlineLevel="0" collapsed="false">
      <c r="A3501" s="2" t="s">
        <v>447</v>
      </c>
      <c r="B3501" s="2" t="s">
        <v>458</v>
      </c>
      <c r="C3501" s="2" t="n">
        <v>3</v>
      </c>
      <c r="D3501" s="2" t="s">
        <v>595</v>
      </c>
      <c r="E3501" s="2" t="s">
        <v>20</v>
      </c>
      <c r="F3501" s="2" t="n">
        <v>140</v>
      </c>
      <c r="G3501" s="2" t="n">
        <v>40</v>
      </c>
    </row>
    <row r="3502" customFormat="false" ht="16.5" hidden="false" customHeight="true" outlineLevel="0" collapsed="false">
      <c r="A3502" s="2" t="s">
        <v>447</v>
      </c>
      <c r="B3502" s="2" t="s">
        <v>458</v>
      </c>
      <c r="C3502" s="2" t="n">
        <v>3</v>
      </c>
      <c r="D3502" s="2" t="s">
        <v>595</v>
      </c>
      <c r="E3502" s="2" t="s">
        <v>21</v>
      </c>
      <c r="F3502" s="2" t="n">
        <v>140</v>
      </c>
      <c r="G3502" s="2" t="n">
        <v>44</v>
      </c>
    </row>
    <row r="3503" customFormat="false" ht="16.5" hidden="false" customHeight="true" outlineLevel="0" collapsed="false">
      <c r="A3503" s="2" t="s">
        <v>447</v>
      </c>
      <c r="B3503" s="2" t="s">
        <v>458</v>
      </c>
      <c r="C3503" s="2" t="n">
        <v>3</v>
      </c>
      <c r="D3503" s="2" t="s">
        <v>595</v>
      </c>
      <c r="E3503" s="2" t="s">
        <v>22</v>
      </c>
      <c r="F3503" s="2" t="n">
        <v>140</v>
      </c>
      <c r="G3503" s="2" t="n">
        <v>48</v>
      </c>
    </row>
    <row r="3504" customFormat="false" ht="16.5" hidden="false" customHeight="true" outlineLevel="0" collapsed="false">
      <c r="A3504" s="2" t="s">
        <v>447</v>
      </c>
      <c r="B3504" s="2" t="s">
        <v>458</v>
      </c>
      <c r="C3504" s="2" t="n">
        <v>3</v>
      </c>
      <c r="D3504" s="2" t="s">
        <v>595</v>
      </c>
      <c r="E3504" s="2" t="s">
        <v>23</v>
      </c>
      <c r="F3504" s="2" t="n">
        <v>140</v>
      </c>
      <c r="G3504" s="2" t="n">
        <v>52</v>
      </c>
    </row>
    <row r="3505" customFormat="false" ht="16.5" hidden="false" customHeight="true" outlineLevel="0" collapsed="false">
      <c r="A3505" s="2" t="s">
        <v>447</v>
      </c>
      <c r="B3505" s="2" t="s">
        <v>458</v>
      </c>
      <c r="C3505" s="2" t="n">
        <v>3</v>
      </c>
      <c r="D3505" s="2" t="s">
        <v>595</v>
      </c>
      <c r="E3505" s="2" t="s">
        <v>24</v>
      </c>
      <c r="F3505" s="2" t="n">
        <v>142</v>
      </c>
      <c r="G3505" s="2" t="n">
        <v>9</v>
      </c>
    </row>
    <row r="3506" customFormat="false" ht="16.5" hidden="false" customHeight="true" outlineLevel="0" collapsed="false">
      <c r="A3506" s="2" t="s">
        <v>447</v>
      </c>
      <c r="B3506" s="2" t="s">
        <v>458</v>
      </c>
      <c r="C3506" s="2" t="n">
        <v>3</v>
      </c>
      <c r="D3506" s="2" t="s">
        <v>595</v>
      </c>
      <c r="E3506" s="2" t="s">
        <v>25</v>
      </c>
      <c r="F3506" s="2" t="n">
        <v>142</v>
      </c>
      <c r="G3506" s="2" t="n">
        <v>13</v>
      </c>
    </row>
    <row r="3507" customFormat="false" ht="16.5" hidden="false" customHeight="true" outlineLevel="0" collapsed="false">
      <c r="A3507" s="2" t="s">
        <v>447</v>
      </c>
      <c r="B3507" s="2" t="s">
        <v>458</v>
      </c>
      <c r="C3507" s="2" t="n">
        <v>3</v>
      </c>
      <c r="D3507" s="2" t="s">
        <v>595</v>
      </c>
      <c r="E3507" s="2" t="s">
        <v>26</v>
      </c>
      <c r="F3507" s="2" t="n">
        <v>142</v>
      </c>
      <c r="G3507" s="2" t="n">
        <v>17</v>
      </c>
    </row>
    <row r="3508" customFormat="false" ht="16.5" hidden="false" customHeight="true" outlineLevel="0" collapsed="false">
      <c r="A3508" s="2" t="s">
        <v>447</v>
      </c>
      <c r="B3508" s="2" t="s">
        <v>458</v>
      </c>
      <c r="C3508" s="2" t="n">
        <v>3</v>
      </c>
      <c r="D3508" s="2" t="s">
        <v>595</v>
      </c>
      <c r="E3508" s="2" t="s">
        <v>27</v>
      </c>
      <c r="F3508" s="2" t="n">
        <v>142</v>
      </c>
      <c r="G3508" s="2" t="n">
        <v>21</v>
      </c>
    </row>
    <row r="3509" customFormat="false" ht="16.5" hidden="false" customHeight="true" outlineLevel="0" collapsed="false">
      <c r="A3509" s="2" t="s">
        <v>447</v>
      </c>
      <c r="B3509" s="2" t="s">
        <v>458</v>
      </c>
      <c r="C3509" s="2" t="n">
        <v>3</v>
      </c>
      <c r="D3509" s="2" t="s">
        <v>595</v>
      </c>
      <c r="E3509" s="2" t="s">
        <v>28</v>
      </c>
      <c r="F3509" s="2" t="n">
        <v>142</v>
      </c>
      <c r="G3509" s="2" t="n">
        <v>25</v>
      </c>
    </row>
    <row r="3510" customFormat="false" ht="16.5" hidden="false" customHeight="true" outlineLevel="0" collapsed="false">
      <c r="A3510" s="2" t="s">
        <v>447</v>
      </c>
      <c r="B3510" s="2" t="s">
        <v>458</v>
      </c>
      <c r="C3510" s="2" t="n">
        <v>3</v>
      </c>
      <c r="D3510" s="2" t="s">
        <v>595</v>
      </c>
      <c r="E3510" s="2" t="s">
        <v>29</v>
      </c>
      <c r="F3510" s="2" t="n">
        <v>142</v>
      </c>
      <c r="G3510" s="2" t="n">
        <v>29</v>
      </c>
    </row>
    <row r="3511" customFormat="false" ht="16.5" hidden="false" customHeight="true" outlineLevel="0" collapsed="false">
      <c r="A3511" s="2" t="s">
        <v>447</v>
      </c>
      <c r="B3511" s="2" t="s">
        <v>458</v>
      </c>
      <c r="C3511" s="2" t="n">
        <v>3</v>
      </c>
      <c r="D3511" s="2" t="s">
        <v>595</v>
      </c>
      <c r="E3511" s="2" t="s">
        <v>30</v>
      </c>
      <c r="F3511" s="2" t="n">
        <v>142</v>
      </c>
      <c r="G3511" s="2" t="n">
        <v>33</v>
      </c>
    </row>
    <row r="3512" customFormat="false" ht="16.5" hidden="false" customHeight="true" outlineLevel="0" collapsed="false">
      <c r="A3512" s="2" t="s">
        <v>447</v>
      </c>
      <c r="B3512" s="2" t="s">
        <v>458</v>
      </c>
      <c r="C3512" s="2" t="n">
        <v>3</v>
      </c>
      <c r="D3512" s="2" t="s">
        <v>595</v>
      </c>
      <c r="E3512" s="2" t="s">
        <v>31</v>
      </c>
      <c r="F3512" s="2" t="n">
        <v>142</v>
      </c>
      <c r="G3512" s="2" t="n">
        <v>37</v>
      </c>
    </row>
    <row r="3513" customFormat="false" ht="16.5" hidden="false" customHeight="true" outlineLevel="0" collapsed="false">
      <c r="A3513" s="2" t="s">
        <v>447</v>
      </c>
      <c r="B3513" s="2" t="s">
        <v>458</v>
      </c>
      <c r="C3513" s="2" t="n">
        <v>3</v>
      </c>
      <c r="D3513" s="2" t="s">
        <v>595</v>
      </c>
      <c r="E3513" s="2" t="s">
        <v>32</v>
      </c>
      <c r="F3513" s="2" t="n">
        <v>142</v>
      </c>
      <c r="G3513" s="2" t="n">
        <v>41</v>
      </c>
    </row>
    <row r="3514" customFormat="false" ht="16.5" hidden="false" customHeight="true" outlineLevel="0" collapsed="false">
      <c r="A3514" s="2" t="s">
        <v>447</v>
      </c>
      <c r="B3514" s="2" t="s">
        <v>458</v>
      </c>
      <c r="C3514" s="2" t="n">
        <v>3</v>
      </c>
      <c r="D3514" s="2" t="s">
        <v>595</v>
      </c>
      <c r="E3514" s="2" t="s">
        <v>33</v>
      </c>
      <c r="F3514" s="2" t="n">
        <v>142</v>
      </c>
      <c r="G3514" s="2" t="n">
        <v>45</v>
      </c>
    </row>
    <row r="3515" customFormat="false" ht="16.5" hidden="false" customHeight="true" outlineLevel="0" collapsed="false">
      <c r="A3515" s="2" t="s">
        <v>447</v>
      </c>
      <c r="B3515" s="2" t="s">
        <v>458</v>
      </c>
      <c r="C3515" s="2" t="n">
        <v>3</v>
      </c>
      <c r="D3515" s="2" t="s">
        <v>595</v>
      </c>
      <c r="E3515" s="2" t="s">
        <v>34</v>
      </c>
      <c r="F3515" s="2" t="n">
        <v>142</v>
      </c>
      <c r="G3515" s="2" t="n">
        <v>49</v>
      </c>
    </row>
    <row r="3516" customFormat="false" ht="16.5" hidden="false" customHeight="true" outlineLevel="0" collapsed="false">
      <c r="A3516" s="2" t="s">
        <v>447</v>
      </c>
      <c r="B3516" s="2" t="s">
        <v>458</v>
      </c>
      <c r="C3516" s="2" t="n">
        <v>3</v>
      </c>
      <c r="D3516" s="2" t="s">
        <v>595</v>
      </c>
      <c r="E3516" s="2" t="s">
        <v>35</v>
      </c>
      <c r="F3516" s="2" t="n">
        <v>144</v>
      </c>
      <c r="G3516" s="2" t="n">
        <v>11</v>
      </c>
    </row>
    <row r="3517" customFormat="false" ht="16.5" hidden="false" customHeight="true" outlineLevel="0" collapsed="false">
      <c r="A3517" s="2" t="s">
        <v>447</v>
      </c>
      <c r="B3517" s="2" t="s">
        <v>458</v>
      </c>
      <c r="C3517" s="2" t="n">
        <v>3</v>
      </c>
      <c r="D3517" s="2" t="s">
        <v>595</v>
      </c>
      <c r="E3517" s="2" t="s">
        <v>36</v>
      </c>
      <c r="F3517" s="2" t="n">
        <v>144</v>
      </c>
      <c r="G3517" s="2" t="n">
        <v>15</v>
      </c>
    </row>
    <row r="3518" customFormat="false" ht="16.5" hidden="false" customHeight="true" outlineLevel="0" collapsed="false">
      <c r="A3518" s="2" t="s">
        <v>447</v>
      </c>
      <c r="B3518" s="2" t="s">
        <v>458</v>
      </c>
      <c r="C3518" s="2" t="n">
        <v>3</v>
      </c>
      <c r="D3518" s="2" t="s">
        <v>595</v>
      </c>
      <c r="E3518" s="2" t="s">
        <v>37</v>
      </c>
      <c r="F3518" s="2" t="n">
        <v>144</v>
      </c>
      <c r="G3518" s="2" t="n">
        <v>19</v>
      </c>
    </row>
    <row r="3519" customFormat="false" ht="16.5" hidden="false" customHeight="true" outlineLevel="0" collapsed="false">
      <c r="A3519" s="2" t="s">
        <v>447</v>
      </c>
      <c r="B3519" s="2" t="s">
        <v>458</v>
      </c>
      <c r="C3519" s="2" t="n">
        <v>3</v>
      </c>
      <c r="D3519" s="2" t="s">
        <v>595</v>
      </c>
      <c r="E3519" s="2" t="s">
        <v>38</v>
      </c>
      <c r="F3519" s="2" t="n">
        <v>144</v>
      </c>
      <c r="G3519" s="2" t="n">
        <v>23</v>
      </c>
    </row>
    <row r="3520" customFormat="false" ht="16.5" hidden="false" customHeight="true" outlineLevel="0" collapsed="false">
      <c r="A3520" s="2" t="s">
        <v>447</v>
      </c>
      <c r="B3520" s="2" t="s">
        <v>458</v>
      </c>
      <c r="C3520" s="2" t="n">
        <v>3</v>
      </c>
      <c r="D3520" s="2" t="s">
        <v>595</v>
      </c>
      <c r="E3520" s="2" t="s">
        <v>39</v>
      </c>
      <c r="F3520" s="2" t="n">
        <v>144</v>
      </c>
      <c r="G3520" s="2" t="n">
        <v>27</v>
      </c>
    </row>
    <row r="3521" customFormat="false" ht="16.5" hidden="false" customHeight="true" outlineLevel="0" collapsed="false">
      <c r="A3521" s="2" t="s">
        <v>447</v>
      </c>
      <c r="B3521" s="2" t="s">
        <v>458</v>
      </c>
      <c r="C3521" s="2" t="n">
        <v>3</v>
      </c>
      <c r="D3521" s="2" t="s">
        <v>595</v>
      </c>
      <c r="E3521" s="2" t="s">
        <v>40</v>
      </c>
      <c r="F3521" s="2" t="n">
        <v>144</v>
      </c>
      <c r="G3521" s="2" t="n">
        <v>31</v>
      </c>
    </row>
    <row r="3522" customFormat="false" ht="16.5" hidden="false" customHeight="true" outlineLevel="0" collapsed="false">
      <c r="A3522" s="2" t="s">
        <v>447</v>
      </c>
      <c r="B3522" s="2" t="s">
        <v>458</v>
      </c>
      <c r="C3522" s="2" t="n">
        <v>3</v>
      </c>
      <c r="D3522" s="2" t="s">
        <v>595</v>
      </c>
      <c r="E3522" s="2" t="s">
        <v>41</v>
      </c>
      <c r="F3522" s="2" t="n">
        <v>144</v>
      </c>
      <c r="G3522" s="2" t="n">
        <v>35</v>
      </c>
    </row>
    <row r="3523" customFormat="false" ht="16.5" hidden="false" customHeight="true" outlineLevel="0" collapsed="false">
      <c r="A3523" s="2" t="s">
        <v>447</v>
      </c>
      <c r="B3523" s="2" t="s">
        <v>458</v>
      </c>
      <c r="C3523" s="2" t="n">
        <v>3</v>
      </c>
      <c r="D3523" s="2" t="s">
        <v>595</v>
      </c>
      <c r="E3523" s="2" t="s">
        <v>42</v>
      </c>
      <c r="F3523" s="2" t="n">
        <v>144</v>
      </c>
      <c r="G3523" s="2" t="n">
        <v>39</v>
      </c>
    </row>
    <row r="3524" customFormat="false" ht="16.5" hidden="false" customHeight="true" outlineLevel="0" collapsed="false">
      <c r="A3524" s="2" t="s">
        <v>447</v>
      </c>
      <c r="B3524" s="2" t="s">
        <v>458</v>
      </c>
      <c r="C3524" s="2" t="n">
        <v>3</v>
      </c>
      <c r="D3524" s="2" t="s">
        <v>595</v>
      </c>
      <c r="E3524" s="2" t="s">
        <v>43</v>
      </c>
      <c r="F3524" s="2" t="n">
        <v>144</v>
      </c>
      <c r="G3524" s="2" t="n">
        <v>43</v>
      </c>
    </row>
    <row r="3525" customFormat="false" ht="16.5" hidden="false" customHeight="true" outlineLevel="0" collapsed="false">
      <c r="A3525" s="2" t="s">
        <v>447</v>
      </c>
      <c r="B3525" s="2" t="s">
        <v>458</v>
      </c>
      <c r="C3525" s="2" t="n">
        <v>3</v>
      </c>
      <c r="D3525" s="2" t="s">
        <v>595</v>
      </c>
      <c r="E3525" s="2" t="s">
        <v>44</v>
      </c>
      <c r="F3525" s="2" t="n">
        <v>144</v>
      </c>
      <c r="G3525" s="2" t="n">
        <v>47</v>
      </c>
    </row>
    <row r="3526" customFormat="false" ht="16.5" hidden="false" customHeight="true" outlineLevel="0" collapsed="false">
      <c r="A3526" s="2" t="s">
        <v>447</v>
      </c>
      <c r="B3526" s="2" t="s">
        <v>458</v>
      </c>
      <c r="C3526" s="2" t="n">
        <v>3</v>
      </c>
      <c r="D3526" s="2" t="s">
        <v>595</v>
      </c>
      <c r="E3526" s="2" t="s">
        <v>48</v>
      </c>
      <c r="F3526" s="2" t="n">
        <v>146</v>
      </c>
      <c r="G3526" s="2" t="n">
        <v>16</v>
      </c>
    </row>
    <row r="3527" customFormat="false" ht="16.5" hidden="false" customHeight="true" outlineLevel="0" collapsed="false">
      <c r="A3527" s="2" t="s">
        <v>447</v>
      </c>
      <c r="B3527" s="2" t="s">
        <v>458</v>
      </c>
      <c r="C3527" s="2" t="n">
        <v>3</v>
      </c>
      <c r="D3527" s="2" t="s">
        <v>595</v>
      </c>
      <c r="E3527" s="2" t="s">
        <v>50</v>
      </c>
      <c r="F3527" s="2" t="n">
        <v>146</v>
      </c>
      <c r="G3527" s="2" t="n">
        <v>20</v>
      </c>
    </row>
    <row r="3528" customFormat="false" ht="16.5" hidden="false" customHeight="true" outlineLevel="0" collapsed="false">
      <c r="A3528" s="2" t="s">
        <v>447</v>
      </c>
      <c r="B3528" s="2" t="s">
        <v>458</v>
      </c>
      <c r="C3528" s="2" t="n">
        <v>3</v>
      </c>
      <c r="D3528" s="2" t="s">
        <v>595</v>
      </c>
      <c r="E3528" s="2" t="s">
        <v>45</v>
      </c>
      <c r="F3528" s="2" t="n">
        <v>146</v>
      </c>
      <c r="G3528" s="2" t="n">
        <v>38</v>
      </c>
    </row>
    <row r="3529" customFormat="false" ht="16.5" hidden="false" customHeight="true" outlineLevel="0" collapsed="false">
      <c r="A3529" s="2" t="s">
        <v>447</v>
      </c>
      <c r="B3529" s="2" t="s">
        <v>458</v>
      </c>
      <c r="C3529" s="2" t="n">
        <v>3</v>
      </c>
      <c r="D3529" s="2" t="s">
        <v>595</v>
      </c>
      <c r="E3529" s="2" t="s">
        <v>46</v>
      </c>
      <c r="F3529" s="2" t="n">
        <v>146</v>
      </c>
      <c r="G3529" s="2" t="n">
        <v>42</v>
      </c>
    </row>
    <row r="3530" customFormat="false" ht="16.5" hidden="false" customHeight="true" outlineLevel="0" collapsed="false">
      <c r="A3530" s="2" t="s">
        <v>447</v>
      </c>
      <c r="B3530" s="2" t="s">
        <v>459</v>
      </c>
      <c r="C3530" s="2" t="n">
        <v>3</v>
      </c>
      <c r="D3530" s="2" t="s">
        <v>596</v>
      </c>
      <c r="E3530" s="2" t="s">
        <v>0</v>
      </c>
      <c r="F3530" s="2" t="n">
        <v>151</v>
      </c>
      <c r="G3530" s="2" t="n">
        <v>6</v>
      </c>
    </row>
    <row r="3531" customFormat="false" ht="16.5" hidden="false" customHeight="true" outlineLevel="0" collapsed="false">
      <c r="A3531" s="2" t="s">
        <v>447</v>
      </c>
      <c r="B3531" s="2" t="s">
        <v>459</v>
      </c>
      <c r="C3531" s="2" t="n">
        <v>3</v>
      </c>
      <c r="D3531" s="2" t="s">
        <v>596</v>
      </c>
      <c r="E3531" s="2" t="s">
        <v>1</v>
      </c>
      <c r="F3531" s="2" t="n">
        <v>151</v>
      </c>
      <c r="G3531" s="2" t="n">
        <v>10</v>
      </c>
    </row>
    <row r="3532" customFormat="false" ht="16.5" hidden="false" customHeight="true" outlineLevel="0" collapsed="false">
      <c r="A3532" s="2" t="s">
        <v>447</v>
      </c>
      <c r="B3532" s="2" t="s">
        <v>459</v>
      </c>
      <c r="C3532" s="2" t="n">
        <v>3</v>
      </c>
      <c r="D3532" s="2" t="s">
        <v>596</v>
      </c>
      <c r="E3532" s="2" t="s">
        <v>2</v>
      </c>
      <c r="F3532" s="2" t="n">
        <v>151</v>
      </c>
      <c r="G3532" s="2" t="n">
        <v>14</v>
      </c>
    </row>
    <row r="3533" customFormat="false" ht="16.5" hidden="false" customHeight="true" outlineLevel="0" collapsed="false">
      <c r="A3533" s="2" t="s">
        <v>447</v>
      </c>
      <c r="B3533" s="2" t="s">
        <v>459</v>
      </c>
      <c r="C3533" s="2" t="n">
        <v>3</v>
      </c>
      <c r="D3533" s="2" t="s">
        <v>596</v>
      </c>
      <c r="E3533" s="2" t="s">
        <v>3</v>
      </c>
      <c r="F3533" s="2" t="n">
        <v>151</v>
      </c>
      <c r="G3533" s="2" t="n">
        <v>18</v>
      </c>
    </row>
    <row r="3534" customFormat="false" ht="16.5" hidden="false" customHeight="true" outlineLevel="0" collapsed="false">
      <c r="A3534" s="2" t="s">
        <v>447</v>
      </c>
      <c r="B3534" s="2" t="s">
        <v>459</v>
      </c>
      <c r="C3534" s="2" t="n">
        <v>3</v>
      </c>
      <c r="D3534" s="2" t="s">
        <v>596</v>
      </c>
      <c r="E3534" s="2" t="s">
        <v>4</v>
      </c>
      <c r="F3534" s="2" t="n">
        <v>151</v>
      </c>
      <c r="G3534" s="2" t="n">
        <v>22</v>
      </c>
    </row>
    <row r="3535" customFormat="false" ht="16.5" hidden="false" customHeight="true" outlineLevel="0" collapsed="false">
      <c r="A3535" s="2" t="s">
        <v>447</v>
      </c>
      <c r="B3535" s="2" t="s">
        <v>459</v>
      </c>
      <c r="C3535" s="2" t="n">
        <v>3</v>
      </c>
      <c r="D3535" s="2" t="s">
        <v>596</v>
      </c>
      <c r="E3535" s="2" t="s">
        <v>5</v>
      </c>
      <c r="F3535" s="2" t="n">
        <v>151</v>
      </c>
      <c r="G3535" s="2" t="n">
        <v>26</v>
      </c>
    </row>
    <row r="3536" customFormat="false" ht="16.5" hidden="false" customHeight="true" outlineLevel="0" collapsed="false">
      <c r="A3536" s="2" t="s">
        <v>447</v>
      </c>
      <c r="B3536" s="2" t="s">
        <v>459</v>
      </c>
      <c r="C3536" s="2" t="n">
        <v>3</v>
      </c>
      <c r="D3536" s="2" t="s">
        <v>596</v>
      </c>
      <c r="E3536" s="2" t="s">
        <v>6</v>
      </c>
      <c r="F3536" s="2" t="n">
        <v>151</v>
      </c>
      <c r="G3536" s="2" t="n">
        <v>30</v>
      </c>
    </row>
    <row r="3537" customFormat="false" ht="16.5" hidden="false" customHeight="true" outlineLevel="0" collapsed="false">
      <c r="A3537" s="2" t="s">
        <v>447</v>
      </c>
      <c r="B3537" s="2" t="s">
        <v>459</v>
      </c>
      <c r="C3537" s="2" t="n">
        <v>3</v>
      </c>
      <c r="D3537" s="2" t="s">
        <v>596</v>
      </c>
      <c r="E3537" s="2" t="s">
        <v>7</v>
      </c>
      <c r="F3537" s="2" t="n">
        <v>151</v>
      </c>
      <c r="G3537" s="2" t="n">
        <v>34</v>
      </c>
    </row>
    <row r="3538" customFormat="false" ht="16.5" hidden="false" customHeight="true" outlineLevel="0" collapsed="false">
      <c r="A3538" s="2" t="s">
        <v>447</v>
      </c>
      <c r="B3538" s="2" t="s">
        <v>459</v>
      </c>
      <c r="C3538" s="2" t="n">
        <v>3</v>
      </c>
      <c r="D3538" s="2" t="s">
        <v>596</v>
      </c>
      <c r="E3538" s="2" t="s">
        <v>8</v>
      </c>
      <c r="F3538" s="2" t="n">
        <v>151</v>
      </c>
      <c r="G3538" s="2" t="n">
        <v>38</v>
      </c>
    </row>
    <row r="3539" customFormat="false" ht="16.5" hidden="false" customHeight="true" outlineLevel="0" collapsed="false">
      <c r="A3539" s="2" t="s">
        <v>447</v>
      </c>
      <c r="B3539" s="2" t="s">
        <v>459</v>
      </c>
      <c r="C3539" s="2" t="n">
        <v>3</v>
      </c>
      <c r="D3539" s="2" t="s">
        <v>596</v>
      </c>
      <c r="E3539" s="2" t="s">
        <v>9</v>
      </c>
      <c r="F3539" s="2" t="n">
        <v>151</v>
      </c>
      <c r="G3539" s="2" t="n">
        <v>42</v>
      </c>
    </row>
    <row r="3540" customFormat="false" ht="16.5" hidden="false" customHeight="true" outlineLevel="0" collapsed="false">
      <c r="A3540" s="2" t="s">
        <v>447</v>
      </c>
      <c r="B3540" s="2" t="s">
        <v>459</v>
      </c>
      <c r="C3540" s="2" t="n">
        <v>3</v>
      </c>
      <c r="D3540" s="2" t="s">
        <v>596</v>
      </c>
      <c r="E3540" s="2" t="s">
        <v>10</v>
      </c>
      <c r="F3540" s="2" t="n">
        <v>151</v>
      </c>
      <c r="G3540" s="2" t="n">
        <v>46</v>
      </c>
    </row>
    <row r="3541" customFormat="false" ht="16.5" hidden="false" customHeight="true" outlineLevel="0" collapsed="false">
      <c r="A3541" s="2" t="s">
        <v>447</v>
      </c>
      <c r="B3541" s="2" t="s">
        <v>459</v>
      </c>
      <c r="C3541" s="2" t="n">
        <v>3</v>
      </c>
      <c r="D3541" s="2" t="s">
        <v>596</v>
      </c>
      <c r="E3541" s="2" t="s">
        <v>11</v>
      </c>
      <c r="F3541" s="2" t="n">
        <v>151</v>
      </c>
      <c r="G3541" s="2" t="n">
        <v>50</v>
      </c>
    </row>
    <row r="3542" customFormat="false" ht="16.5" hidden="false" customHeight="true" outlineLevel="0" collapsed="false">
      <c r="A3542" s="2" t="s">
        <v>447</v>
      </c>
      <c r="B3542" s="2" t="s">
        <v>459</v>
      </c>
      <c r="C3542" s="2" t="n">
        <v>3</v>
      </c>
      <c r="D3542" s="2" t="s">
        <v>596</v>
      </c>
      <c r="E3542" s="2" t="s">
        <v>12</v>
      </c>
      <c r="F3542" s="2" t="n">
        <v>153</v>
      </c>
      <c r="G3542" s="2" t="n">
        <v>8</v>
      </c>
    </row>
    <row r="3543" customFormat="false" ht="16.5" hidden="false" customHeight="true" outlineLevel="0" collapsed="false">
      <c r="A3543" s="2" t="s">
        <v>447</v>
      </c>
      <c r="B3543" s="2" t="s">
        <v>459</v>
      </c>
      <c r="C3543" s="2" t="n">
        <v>3</v>
      </c>
      <c r="D3543" s="2" t="s">
        <v>596</v>
      </c>
      <c r="E3543" s="2" t="s">
        <v>13</v>
      </c>
      <c r="F3543" s="2" t="n">
        <v>153</v>
      </c>
      <c r="G3543" s="2" t="n">
        <v>12</v>
      </c>
    </row>
    <row r="3544" customFormat="false" ht="16.5" hidden="false" customHeight="true" outlineLevel="0" collapsed="false">
      <c r="A3544" s="2" t="s">
        <v>447</v>
      </c>
      <c r="B3544" s="2" t="s">
        <v>459</v>
      </c>
      <c r="C3544" s="2" t="n">
        <v>3</v>
      </c>
      <c r="D3544" s="2" t="s">
        <v>596</v>
      </c>
      <c r="E3544" s="2" t="s">
        <v>14</v>
      </c>
      <c r="F3544" s="2" t="n">
        <v>153</v>
      </c>
      <c r="G3544" s="2" t="n">
        <v>16</v>
      </c>
    </row>
    <row r="3545" customFormat="false" ht="16.5" hidden="false" customHeight="true" outlineLevel="0" collapsed="false">
      <c r="A3545" s="2" t="s">
        <v>447</v>
      </c>
      <c r="B3545" s="2" t="s">
        <v>459</v>
      </c>
      <c r="C3545" s="2" t="n">
        <v>3</v>
      </c>
      <c r="D3545" s="2" t="s">
        <v>596</v>
      </c>
      <c r="E3545" s="2" t="s">
        <v>15</v>
      </c>
      <c r="F3545" s="2" t="n">
        <v>153</v>
      </c>
      <c r="G3545" s="2" t="n">
        <v>20</v>
      </c>
    </row>
    <row r="3546" customFormat="false" ht="16.5" hidden="false" customHeight="true" outlineLevel="0" collapsed="false">
      <c r="A3546" s="2" t="s">
        <v>447</v>
      </c>
      <c r="B3546" s="2" t="s">
        <v>459</v>
      </c>
      <c r="C3546" s="2" t="n">
        <v>3</v>
      </c>
      <c r="D3546" s="2" t="s">
        <v>596</v>
      </c>
      <c r="E3546" s="2" t="s">
        <v>16</v>
      </c>
      <c r="F3546" s="2" t="n">
        <v>153</v>
      </c>
      <c r="G3546" s="2" t="n">
        <v>24</v>
      </c>
    </row>
    <row r="3547" customFormat="false" ht="16.5" hidden="false" customHeight="true" outlineLevel="0" collapsed="false">
      <c r="A3547" s="2" t="s">
        <v>447</v>
      </c>
      <c r="B3547" s="2" t="s">
        <v>459</v>
      </c>
      <c r="C3547" s="2" t="n">
        <v>3</v>
      </c>
      <c r="D3547" s="2" t="s">
        <v>596</v>
      </c>
      <c r="E3547" s="2" t="s">
        <v>17</v>
      </c>
      <c r="F3547" s="2" t="n">
        <v>153</v>
      </c>
      <c r="G3547" s="2" t="n">
        <v>28</v>
      </c>
    </row>
    <row r="3548" customFormat="false" ht="16.5" hidden="false" customHeight="true" outlineLevel="0" collapsed="false">
      <c r="A3548" s="2" t="s">
        <v>447</v>
      </c>
      <c r="B3548" s="2" t="s">
        <v>459</v>
      </c>
      <c r="C3548" s="2" t="n">
        <v>3</v>
      </c>
      <c r="D3548" s="2" t="s">
        <v>596</v>
      </c>
      <c r="E3548" s="2" t="s">
        <v>18</v>
      </c>
      <c r="F3548" s="2" t="n">
        <v>153</v>
      </c>
      <c r="G3548" s="2" t="n">
        <v>32</v>
      </c>
    </row>
    <row r="3549" customFormat="false" ht="16.5" hidden="false" customHeight="true" outlineLevel="0" collapsed="false">
      <c r="A3549" s="2" t="s">
        <v>447</v>
      </c>
      <c r="B3549" s="2" t="s">
        <v>459</v>
      </c>
      <c r="C3549" s="2" t="n">
        <v>3</v>
      </c>
      <c r="D3549" s="2" t="s">
        <v>596</v>
      </c>
      <c r="E3549" s="2" t="s">
        <v>19</v>
      </c>
      <c r="F3549" s="2" t="n">
        <v>153</v>
      </c>
      <c r="G3549" s="2" t="n">
        <v>36</v>
      </c>
    </row>
    <row r="3550" customFormat="false" ht="16.5" hidden="false" customHeight="true" outlineLevel="0" collapsed="false">
      <c r="A3550" s="2" t="s">
        <v>447</v>
      </c>
      <c r="B3550" s="2" t="s">
        <v>459</v>
      </c>
      <c r="C3550" s="2" t="n">
        <v>3</v>
      </c>
      <c r="D3550" s="2" t="s">
        <v>596</v>
      </c>
      <c r="E3550" s="2" t="s">
        <v>20</v>
      </c>
      <c r="F3550" s="2" t="n">
        <v>153</v>
      </c>
      <c r="G3550" s="2" t="n">
        <v>40</v>
      </c>
    </row>
    <row r="3551" customFormat="false" ht="16.5" hidden="false" customHeight="true" outlineLevel="0" collapsed="false">
      <c r="A3551" s="2" t="s">
        <v>447</v>
      </c>
      <c r="B3551" s="2" t="s">
        <v>459</v>
      </c>
      <c r="C3551" s="2" t="n">
        <v>3</v>
      </c>
      <c r="D3551" s="2" t="s">
        <v>596</v>
      </c>
      <c r="E3551" s="2" t="s">
        <v>21</v>
      </c>
      <c r="F3551" s="2" t="n">
        <v>153</v>
      </c>
      <c r="G3551" s="2" t="n">
        <v>44</v>
      </c>
    </row>
    <row r="3552" customFormat="false" ht="16.5" hidden="false" customHeight="true" outlineLevel="0" collapsed="false">
      <c r="A3552" s="2" t="s">
        <v>447</v>
      </c>
      <c r="B3552" s="2" t="s">
        <v>459</v>
      </c>
      <c r="C3552" s="2" t="n">
        <v>3</v>
      </c>
      <c r="D3552" s="2" t="s">
        <v>596</v>
      </c>
      <c r="E3552" s="2" t="s">
        <v>22</v>
      </c>
      <c r="F3552" s="2" t="n">
        <v>153</v>
      </c>
      <c r="G3552" s="2" t="n">
        <v>48</v>
      </c>
    </row>
    <row r="3553" customFormat="false" ht="16.5" hidden="false" customHeight="true" outlineLevel="0" collapsed="false">
      <c r="A3553" s="2" t="s">
        <v>447</v>
      </c>
      <c r="B3553" s="2" t="s">
        <v>459</v>
      </c>
      <c r="C3553" s="2" t="n">
        <v>3</v>
      </c>
      <c r="D3553" s="2" t="s">
        <v>596</v>
      </c>
      <c r="E3553" s="2" t="s">
        <v>23</v>
      </c>
      <c r="F3553" s="2" t="n">
        <v>153</v>
      </c>
      <c r="G3553" s="2" t="n">
        <v>52</v>
      </c>
    </row>
    <row r="3554" customFormat="false" ht="16.5" hidden="false" customHeight="true" outlineLevel="0" collapsed="false">
      <c r="A3554" s="2" t="s">
        <v>447</v>
      </c>
      <c r="B3554" s="2" t="s">
        <v>459</v>
      </c>
      <c r="C3554" s="2" t="n">
        <v>3</v>
      </c>
      <c r="D3554" s="2" t="s">
        <v>596</v>
      </c>
      <c r="E3554" s="2" t="s">
        <v>24</v>
      </c>
      <c r="F3554" s="2" t="n">
        <v>155</v>
      </c>
      <c r="G3554" s="2" t="n">
        <v>9</v>
      </c>
    </row>
    <row r="3555" customFormat="false" ht="16.5" hidden="false" customHeight="true" outlineLevel="0" collapsed="false">
      <c r="A3555" s="2" t="s">
        <v>447</v>
      </c>
      <c r="B3555" s="2" t="s">
        <v>459</v>
      </c>
      <c r="C3555" s="2" t="n">
        <v>3</v>
      </c>
      <c r="D3555" s="2" t="s">
        <v>596</v>
      </c>
      <c r="E3555" s="2" t="s">
        <v>25</v>
      </c>
      <c r="F3555" s="2" t="n">
        <v>155</v>
      </c>
      <c r="G3555" s="2" t="n">
        <v>13</v>
      </c>
    </row>
    <row r="3556" customFormat="false" ht="16.5" hidden="false" customHeight="true" outlineLevel="0" collapsed="false">
      <c r="A3556" s="2" t="s">
        <v>447</v>
      </c>
      <c r="B3556" s="2" t="s">
        <v>459</v>
      </c>
      <c r="C3556" s="2" t="n">
        <v>3</v>
      </c>
      <c r="D3556" s="2" t="s">
        <v>596</v>
      </c>
      <c r="E3556" s="2" t="s">
        <v>26</v>
      </c>
      <c r="F3556" s="2" t="n">
        <v>155</v>
      </c>
      <c r="G3556" s="2" t="n">
        <v>17</v>
      </c>
    </row>
    <row r="3557" customFormat="false" ht="16.5" hidden="false" customHeight="true" outlineLevel="0" collapsed="false">
      <c r="A3557" s="2" t="s">
        <v>447</v>
      </c>
      <c r="B3557" s="2" t="s">
        <v>459</v>
      </c>
      <c r="C3557" s="2" t="n">
        <v>3</v>
      </c>
      <c r="D3557" s="2" t="s">
        <v>596</v>
      </c>
      <c r="E3557" s="2" t="s">
        <v>27</v>
      </c>
      <c r="F3557" s="2" t="n">
        <v>155</v>
      </c>
      <c r="G3557" s="2" t="n">
        <v>21</v>
      </c>
    </row>
    <row r="3558" customFormat="false" ht="16.5" hidden="false" customHeight="true" outlineLevel="0" collapsed="false">
      <c r="A3558" s="2" t="s">
        <v>447</v>
      </c>
      <c r="B3558" s="2" t="s">
        <v>459</v>
      </c>
      <c r="C3558" s="2" t="n">
        <v>3</v>
      </c>
      <c r="D3558" s="2" t="s">
        <v>596</v>
      </c>
      <c r="E3558" s="2" t="s">
        <v>28</v>
      </c>
      <c r="F3558" s="2" t="n">
        <v>155</v>
      </c>
      <c r="G3558" s="2" t="n">
        <v>25</v>
      </c>
    </row>
    <row r="3559" customFormat="false" ht="16.5" hidden="false" customHeight="true" outlineLevel="0" collapsed="false">
      <c r="A3559" s="2" t="s">
        <v>447</v>
      </c>
      <c r="B3559" s="2" t="s">
        <v>459</v>
      </c>
      <c r="C3559" s="2" t="n">
        <v>3</v>
      </c>
      <c r="D3559" s="2" t="s">
        <v>596</v>
      </c>
      <c r="E3559" s="2" t="s">
        <v>29</v>
      </c>
      <c r="F3559" s="2" t="n">
        <v>155</v>
      </c>
      <c r="G3559" s="2" t="n">
        <v>29</v>
      </c>
    </row>
    <row r="3560" customFormat="false" ht="16.5" hidden="false" customHeight="true" outlineLevel="0" collapsed="false">
      <c r="A3560" s="2" t="s">
        <v>447</v>
      </c>
      <c r="B3560" s="2" t="s">
        <v>459</v>
      </c>
      <c r="C3560" s="2" t="n">
        <v>3</v>
      </c>
      <c r="D3560" s="2" t="s">
        <v>596</v>
      </c>
      <c r="E3560" s="2" t="s">
        <v>30</v>
      </c>
      <c r="F3560" s="2" t="n">
        <v>155</v>
      </c>
      <c r="G3560" s="2" t="n">
        <v>33</v>
      </c>
    </row>
    <row r="3561" customFormat="false" ht="16.5" hidden="false" customHeight="true" outlineLevel="0" collapsed="false">
      <c r="A3561" s="2" t="s">
        <v>447</v>
      </c>
      <c r="B3561" s="2" t="s">
        <v>459</v>
      </c>
      <c r="C3561" s="2" t="n">
        <v>3</v>
      </c>
      <c r="D3561" s="2" t="s">
        <v>596</v>
      </c>
      <c r="E3561" s="2" t="s">
        <v>31</v>
      </c>
      <c r="F3561" s="2" t="n">
        <v>155</v>
      </c>
      <c r="G3561" s="2" t="n">
        <v>37</v>
      </c>
    </row>
    <row r="3562" customFormat="false" ht="16.5" hidden="false" customHeight="true" outlineLevel="0" collapsed="false">
      <c r="A3562" s="2" t="s">
        <v>447</v>
      </c>
      <c r="B3562" s="2" t="s">
        <v>459</v>
      </c>
      <c r="C3562" s="2" t="n">
        <v>3</v>
      </c>
      <c r="D3562" s="2" t="s">
        <v>596</v>
      </c>
      <c r="E3562" s="2" t="s">
        <v>32</v>
      </c>
      <c r="F3562" s="2" t="n">
        <v>155</v>
      </c>
      <c r="G3562" s="2" t="n">
        <v>41</v>
      </c>
    </row>
    <row r="3563" customFormat="false" ht="16.5" hidden="false" customHeight="true" outlineLevel="0" collapsed="false">
      <c r="A3563" s="2" t="s">
        <v>447</v>
      </c>
      <c r="B3563" s="2" t="s">
        <v>459</v>
      </c>
      <c r="C3563" s="2" t="n">
        <v>3</v>
      </c>
      <c r="D3563" s="2" t="s">
        <v>596</v>
      </c>
      <c r="E3563" s="2" t="s">
        <v>33</v>
      </c>
      <c r="F3563" s="2" t="n">
        <v>155</v>
      </c>
      <c r="G3563" s="2" t="n">
        <v>45</v>
      </c>
    </row>
    <row r="3564" customFormat="false" ht="16.5" hidden="false" customHeight="true" outlineLevel="0" collapsed="false">
      <c r="A3564" s="2" t="s">
        <v>447</v>
      </c>
      <c r="B3564" s="2" t="s">
        <v>459</v>
      </c>
      <c r="C3564" s="2" t="n">
        <v>3</v>
      </c>
      <c r="D3564" s="2" t="s">
        <v>596</v>
      </c>
      <c r="E3564" s="2" t="s">
        <v>34</v>
      </c>
      <c r="F3564" s="2" t="n">
        <v>155</v>
      </c>
      <c r="G3564" s="2" t="n">
        <v>49</v>
      </c>
    </row>
    <row r="3565" customFormat="false" ht="16.5" hidden="false" customHeight="true" outlineLevel="0" collapsed="false">
      <c r="A3565" s="2" t="s">
        <v>447</v>
      </c>
      <c r="B3565" s="2" t="s">
        <v>459</v>
      </c>
      <c r="C3565" s="2" t="n">
        <v>3</v>
      </c>
      <c r="D3565" s="2" t="s">
        <v>596</v>
      </c>
      <c r="E3565" s="2" t="s">
        <v>35</v>
      </c>
      <c r="F3565" s="2" t="n">
        <v>157</v>
      </c>
      <c r="G3565" s="2" t="n">
        <v>11</v>
      </c>
    </row>
    <row r="3566" customFormat="false" ht="16.5" hidden="false" customHeight="true" outlineLevel="0" collapsed="false">
      <c r="A3566" s="2" t="s">
        <v>447</v>
      </c>
      <c r="B3566" s="2" t="s">
        <v>459</v>
      </c>
      <c r="C3566" s="2" t="n">
        <v>3</v>
      </c>
      <c r="D3566" s="2" t="s">
        <v>596</v>
      </c>
      <c r="E3566" s="2" t="s">
        <v>36</v>
      </c>
      <c r="F3566" s="2" t="n">
        <v>157</v>
      </c>
      <c r="G3566" s="2" t="n">
        <v>15</v>
      </c>
    </row>
    <row r="3567" customFormat="false" ht="16.5" hidden="false" customHeight="true" outlineLevel="0" collapsed="false">
      <c r="A3567" s="2" t="s">
        <v>447</v>
      </c>
      <c r="B3567" s="2" t="s">
        <v>459</v>
      </c>
      <c r="C3567" s="2" t="n">
        <v>3</v>
      </c>
      <c r="D3567" s="2" t="s">
        <v>596</v>
      </c>
      <c r="E3567" s="2" t="s">
        <v>37</v>
      </c>
      <c r="F3567" s="2" t="n">
        <v>157</v>
      </c>
      <c r="G3567" s="2" t="n">
        <v>19</v>
      </c>
    </row>
    <row r="3568" customFormat="false" ht="16.5" hidden="false" customHeight="true" outlineLevel="0" collapsed="false">
      <c r="A3568" s="2" t="s">
        <v>447</v>
      </c>
      <c r="B3568" s="2" t="s">
        <v>459</v>
      </c>
      <c r="C3568" s="2" t="n">
        <v>3</v>
      </c>
      <c r="D3568" s="2" t="s">
        <v>596</v>
      </c>
      <c r="E3568" s="2" t="s">
        <v>38</v>
      </c>
      <c r="F3568" s="2" t="n">
        <v>157</v>
      </c>
      <c r="G3568" s="2" t="n">
        <v>23</v>
      </c>
    </row>
    <row r="3569" customFormat="false" ht="16.5" hidden="false" customHeight="true" outlineLevel="0" collapsed="false">
      <c r="A3569" s="2" t="s">
        <v>447</v>
      </c>
      <c r="B3569" s="2" t="s">
        <v>459</v>
      </c>
      <c r="C3569" s="2" t="n">
        <v>3</v>
      </c>
      <c r="D3569" s="2" t="s">
        <v>596</v>
      </c>
      <c r="E3569" s="2" t="s">
        <v>39</v>
      </c>
      <c r="F3569" s="2" t="n">
        <v>157</v>
      </c>
      <c r="G3569" s="2" t="n">
        <v>27</v>
      </c>
    </row>
    <row r="3570" customFormat="false" ht="16.5" hidden="false" customHeight="true" outlineLevel="0" collapsed="false">
      <c r="A3570" s="2" t="s">
        <v>447</v>
      </c>
      <c r="B3570" s="2" t="s">
        <v>459</v>
      </c>
      <c r="C3570" s="2" t="n">
        <v>3</v>
      </c>
      <c r="D3570" s="2" t="s">
        <v>596</v>
      </c>
      <c r="E3570" s="2" t="s">
        <v>40</v>
      </c>
      <c r="F3570" s="2" t="n">
        <v>157</v>
      </c>
      <c r="G3570" s="2" t="n">
        <v>31</v>
      </c>
    </row>
    <row r="3571" customFormat="false" ht="16.5" hidden="false" customHeight="true" outlineLevel="0" collapsed="false">
      <c r="A3571" s="2" t="s">
        <v>447</v>
      </c>
      <c r="B3571" s="2" t="s">
        <v>459</v>
      </c>
      <c r="C3571" s="2" t="n">
        <v>3</v>
      </c>
      <c r="D3571" s="2" t="s">
        <v>596</v>
      </c>
      <c r="E3571" s="2" t="s">
        <v>41</v>
      </c>
      <c r="F3571" s="2" t="n">
        <v>157</v>
      </c>
      <c r="G3571" s="2" t="n">
        <v>35</v>
      </c>
    </row>
    <row r="3572" customFormat="false" ht="16.5" hidden="false" customHeight="true" outlineLevel="0" collapsed="false">
      <c r="A3572" s="2" t="s">
        <v>447</v>
      </c>
      <c r="B3572" s="2" t="s">
        <v>459</v>
      </c>
      <c r="C3572" s="2" t="n">
        <v>3</v>
      </c>
      <c r="D3572" s="2" t="s">
        <v>596</v>
      </c>
      <c r="E3572" s="2" t="s">
        <v>42</v>
      </c>
      <c r="F3572" s="2" t="n">
        <v>157</v>
      </c>
      <c r="G3572" s="2" t="n">
        <v>39</v>
      </c>
    </row>
    <row r="3573" customFormat="false" ht="16.5" hidden="false" customHeight="true" outlineLevel="0" collapsed="false">
      <c r="A3573" s="2" t="s">
        <v>447</v>
      </c>
      <c r="B3573" s="2" t="s">
        <v>459</v>
      </c>
      <c r="C3573" s="2" t="n">
        <v>3</v>
      </c>
      <c r="D3573" s="2" t="s">
        <v>596</v>
      </c>
      <c r="E3573" s="2" t="s">
        <v>43</v>
      </c>
      <c r="F3573" s="2" t="n">
        <v>157</v>
      </c>
      <c r="G3573" s="2" t="n">
        <v>43</v>
      </c>
    </row>
    <row r="3574" customFormat="false" ht="16.5" hidden="false" customHeight="true" outlineLevel="0" collapsed="false">
      <c r="A3574" s="2" t="s">
        <v>447</v>
      </c>
      <c r="B3574" s="2" t="s">
        <v>459</v>
      </c>
      <c r="C3574" s="2" t="n">
        <v>3</v>
      </c>
      <c r="D3574" s="2" t="s">
        <v>596</v>
      </c>
      <c r="E3574" s="2" t="s">
        <v>44</v>
      </c>
      <c r="F3574" s="2" t="n">
        <v>157</v>
      </c>
      <c r="G3574" s="2" t="n">
        <v>47</v>
      </c>
    </row>
    <row r="3575" customFormat="false" ht="16.5" hidden="false" customHeight="true" outlineLevel="0" collapsed="false">
      <c r="A3575" s="2" t="s">
        <v>447</v>
      </c>
      <c r="B3575" s="2" t="s">
        <v>459</v>
      </c>
      <c r="C3575" s="2" t="n">
        <v>3</v>
      </c>
      <c r="D3575" s="2" t="s">
        <v>596</v>
      </c>
      <c r="E3575" s="2" t="s">
        <v>48</v>
      </c>
      <c r="F3575" s="2" t="n">
        <v>159</v>
      </c>
      <c r="G3575" s="2" t="n">
        <v>16</v>
      </c>
    </row>
    <row r="3576" customFormat="false" ht="16.5" hidden="false" customHeight="true" outlineLevel="0" collapsed="false">
      <c r="A3576" s="2" t="s">
        <v>447</v>
      </c>
      <c r="B3576" s="2" t="s">
        <v>459</v>
      </c>
      <c r="C3576" s="2" t="n">
        <v>3</v>
      </c>
      <c r="D3576" s="2" t="s">
        <v>596</v>
      </c>
      <c r="E3576" s="2" t="s">
        <v>50</v>
      </c>
      <c r="F3576" s="2" t="n">
        <v>159</v>
      </c>
      <c r="G3576" s="2" t="n">
        <v>20</v>
      </c>
    </row>
    <row r="3577" customFormat="false" ht="16.5" hidden="false" customHeight="true" outlineLevel="0" collapsed="false">
      <c r="A3577" s="2" t="s">
        <v>447</v>
      </c>
      <c r="B3577" s="2" t="s">
        <v>459</v>
      </c>
      <c r="C3577" s="2" t="n">
        <v>3</v>
      </c>
      <c r="D3577" s="2" t="s">
        <v>596</v>
      </c>
      <c r="E3577" s="2" t="s">
        <v>45</v>
      </c>
      <c r="F3577" s="2" t="n">
        <v>159</v>
      </c>
      <c r="G3577" s="2" t="n">
        <v>38</v>
      </c>
    </row>
    <row r="3578" customFormat="false" ht="16.5" hidden="false" customHeight="true" outlineLevel="0" collapsed="false">
      <c r="A3578" s="2" t="s">
        <v>447</v>
      </c>
      <c r="B3578" s="2" t="s">
        <v>459</v>
      </c>
      <c r="C3578" s="2" t="n">
        <v>3</v>
      </c>
      <c r="D3578" s="2" t="s">
        <v>596</v>
      </c>
      <c r="E3578" s="2" t="s">
        <v>46</v>
      </c>
      <c r="F3578" s="2" t="n">
        <v>159</v>
      </c>
      <c r="G3578" s="2" t="n">
        <v>42</v>
      </c>
    </row>
    <row r="3579" customFormat="false" ht="16.5" hidden="false" customHeight="true" outlineLevel="0" collapsed="false">
      <c r="A3579" s="2" t="s">
        <v>447</v>
      </c>
      <c r="B3579" s="2" t="s">
        <v>460</v>
      </c>
      <c r="C3579" s="2" t="n">
        <v>3</v>
      </c>
      <c r="D3579" s="2" t="s">
        <v>597</v>
      </c>
      <c r="E3579" s="2" t="s">
        <v>0</v>
      </c>
      <c r="F3579" s="2" t="n">
        <v>164</v>
      </c>
      <c r="G3579" s="2" t="n">
        <v>6</v>
      </c>
    </row>
    <row r="3580" customFormat="false" ht="16.5" hidden="false" customHeight="true" outlineLevel="0" collapsed="false">
      <c r="A3580" s="2" t="s">
        <v>447</v>
      </c>
      <c r="B3580" s="2" t="s">
        <v>460</v>
      </c>
      <c r="C3580" s="2" t="n">
        <v>3</v>
      </c>
      <c r="D3580" s="2" t="s">
        <v>597</v>
      </c>
      <c r="E3580" s="2" t="s">
        <v>1</v>
      </c>
      <c r="F3580" s="2" t="n">
        <v>164</v>
      </c>
      <c r="G3580" s="2" t="n">
        <v>10</v>
      </c>
    </row>
    <row r="3581" customFormat="false" ht="16.5" hidden="false" customHeight="true" outlineLevel="0" collapsed="false">
      <c r="A3581" s="2" t="s">
        <v>447</v>
      </c>
      <c r="B3581" s="2" t="s">
        <v>460</v>
      </c>
      <c r="C3581" s="2" t="n">
        <v>3</v>
      </c>
      <c r="D3581" s="2" t="s">
        <v>597</v>
      </c>
      <c r="E3581" s="2" t="s">
        <v>2</v>
      </c>
      <c r="F3581" s="2" t="n">
        <v>164</v>
      </c>
      <c r="G3581" s="2" t="n">
        <v>14</v>
      </c>
    </row>
    <row r="3582" customFormat="false" ht="16.5" hidden="false" customHeight="true" outlineLevel="0" collapsed="false">
      <c r="A3582" s="2" t="s">
        <v>447</v>
      </c>
      <c r="B3582" s="2" t="s">
        <v>460</v>
      </c>
      <c r="C3582" s="2" t="n">
        <v>3</v>
      </c>
      <c r="D3582" s="2" t="s">
        <v>597</v>
      </c>
      <c r="E3582" s="2" t="s">
        <v>3</v>
      </c>
      <c r="F3582" s="2" t="n">
        <v>164</v>
      </c>
      <c r="G3582" s="2" t="n">
        <v>18</v>
      </c>
    </row>
    <row r="3583" customFormat="false" ht="16.5" hidden="false" customHeight="true" outlineLevel="0" collapsed="false">
      <c r="A3583" s="2" t="s">
        <v>447</v>
      </c>
      <c r="B3583" s="2" t="s">
        <v>460</v>
      </c>
      <c r="C3583" s="2" t="n">
        <v>3</v>
      </c>
      <c r="D3583" s="2" t="s">
        <v>597</v>
      </c>
      <c r="E3583" s="2" t="s">
        <v>4</v>
      </c>
      <c r="F3583" s="2" t="n">
        <v>164</v>
      </c>
      <c r="G3583" s="2" t="n">
        <v>22</v>
      </c>
    </row>
    <row r="3584" customFormat="false" ht="16.5" hidden="false" customHeight="true" outlineLevel="0" collapsed="false">
      <c r="A3584" s="2" t="s">
        <v>447</v>
      </c>
      <c r="B3584" s="2" t="s">
        <v>460</v>
      </c>
      <c r="C3584" s="2" t="n">
        <v>3</v>
      </c>
      <c r="D3584" s="2" t="s">
        <v>597</v>
      </c>
      <c r="E3584" s="2" t="s">
        <v>5</v>
      </c>
      <c r="F3584" s="2" t="n">
        <v>164</v>
      </c>
      <c r="G3584" s="2" t="n">
        <v>26</v>
      </c>
    </row>
    <row r="3585" customFormat="false" ht="16.5" hidden="false" customHeight="true" outlineLevel="0" collapsed="false">
      <c r="A3585" s="2" t="s">
        <v>447</v>
      </c>
      <c r="B3585" s="2" t="s">
        <v>460</v>
      </c>
      <c r="C3585" s="2" t="n">
        <v>3</v>
      </c>
      <c r="D3585" s="2" t="s">
        <v>597</v>
      </c>
      <c r="E3585" s="2" t="s">
        <v>6</v>
      </c>
      <c r="F3585" s="2" t="n">
        <v>164</v>
      </c>
      <c r="G3585" s="2" t="n">
        <v>30</v>
      </c>
    </row>
    <row r="3586" customFormat="false" ht="16.5" hidden="false" customHeight="true" outlineLevel="0" collapsed="false">
      <c r="A3586" s="2" t="s">
        <v>447</v>
      </c>
      <c r="B3586" s="2" t="s">
        <v>460</v>
      </c>
      <c r="C3586" s="2" t="n">
        <v>3</v>
      </c>
      <c r="D3586" s="2" t="s">
        <v>597</v>
      </c>
      <c r="E3586" s="2" t="s">
        <v>7</v>
      </c>
      <c r="F3586" s="2" t="n">
        <v>164</v>
      </c>
      <c r="G3586" s="2" t="n">
        <v>34</v>
      </c>
    </row>
    <row r="3587" customFormat="false" ht="16.5" hidden="false" customHeight="true" outlineLevel="0" collapsed="false">
      <c r="A3587" s="2" t="s">
        <v>447</v>
      </c>
      <c r="B3587" s="2" t="s">
        <v>460</v>
      </c>
      <c r="C3587" s="2" t="n">
        <v>3</v>
      </c>
      <c r="D3587" s="2" t="s">
        <v>597</v>
      </c>
      <c r="E3587" s="2" t="s">
        <v>8</v>
      </c>
      <c r="F3587" s="2" t="n">
        <v>164</v>
      </c>
      <c r="G3587" s="2" t="n">
        <v>38</v>
      </c>
    </row>
    <row r="3588" customFormat="false" ht="16.5" hidden="false" customHeight="true" outlineLevel="0" collapsed="false">
      <c r="A3588" s="2" t="s">
        <v>447</v>
      </c>
      <c r="B3588" s="2" t="s">
        <v>460</v>
      </c>
      <c r="C3588" s="2" t="n">
        <v>3</v>
      </c>
      <c r="D3588" s="2" t="s">
        <v>597</v>
      </c>
      <c r="E3588" s="2" t="s">
        <v>9</v>
      </c>
      <c r="F3588" s="2" t="n">
        <v>164</v>
      </c>
      <c r="G3588" s="2" t="n">
        <v>42</v>
      </c>
    </row>
    <row r="3589" customFormat="false" ht="16.5" hidden="false" customHeight="true" outlineLevel="0" collapsed="false">
      <c r="A3589" s="2" t="s">
        <v>447</v>
      </c>
      <c r="B3589" s="2" t="s">
        <v>460</v>
      </c>
      <c r="C3589" s="2" t="n">
        <v>3</v>
      </c>
      <c r="D3589" s="2" t="s">
        <v>597</v>
      </c>
      <c r="E3589" s="2" t="s">
        <v>10</v>
      </c>
      <c r="F3589" s="2" t="n">
        <v>164</v>
      </c>
      <c r="G3589" s="2" t="n">
        <v>46</v>
      </c>
    </row>
    <row r="3590" customFormat="false" ht="16.5" hidden="false" customHeight="true" outlineLevel="0" collapsed="false">
      <c r="A3590" s="2" t="s">
        <v>447</v>
      </c>
      <c r="B3590" s="2" t="s">
        <v>460</v>
      </c>
      <c r="C3590" s="2" t="n">
        <v>3</v>
      </c>
      <c r="D3590" s="2" t="s">
        <v>597</v>
      </c>
      <c r="E3590" s="2" t="s">
        <v>11</v>
      </c>
      <c r="F3590" s="2" t="n">
        <v>164</v>
      </c>
      <c r="G3590" s="2" t="n">
        <v>50</v>
      </c>
    </row>
    <row r="3591" customFormat="false" ht="16.5" hidden="false" customHeight="true" outlineLevel="0" collapsed="false">
      <c r="A3591" s="2" t="s">
        <v>447</v>
      </c>
      <c r="B3591" s="2" t="s">
        <v>460</v>
      </c>
      <c r="C3591" s="2" t="n">
        <v>3</v>
      </c>
      <c r="D3591" s="2" t="s">
        <v>597</v>
      </c>
      <c r="E3591" s="2" t="s">
        <v>12</v>
      </c>
      <c r="F3591" s="2" t="n">
        <v>166</v>
      </c>
      <c r="G3591" s="2" t="n">
        <v>8</v>
      </c>
    </row>
    <row r="3592" customFormat="false" ht="16.5" hidden="false" customHeight="true" outlineLevel="0" collapsed="false">
      <c r="A3592" s="2" t="s">
        <v>447</v>
      </c>
      <c r="B3592" s="2" t="s">
        <v>460</v>
      </c>
      <c r="C3592" s="2" t="n">
        <v>3</v>
      </c>
      <c r="D3592" s="2" t="s">
        <v>597</v>
      </c>
      <c r="E3592" s="2" t="s">
        <v>13</v>
      </c>
      <c r="F3592" s="2" t="n">
        <v>166</v>
      </c>
      <c r="G3592" s="2" t="n">
        <v>12</v>
      </c>
    </row>
    <row r="3593" customFormat="false" ht="16.5" hidden="false" customHeight="true" outlineLevel="0" collapsed="false">
      <c r="A3593" s="2" t="s">
        <v>447</v>
      </c>
      <c r="B3593" s="2" t="s">
        <v>460</v>
      </c>
      <c r="C3593" s="2" t="n">
        <v>3</v>
      </c>
      <c r="D3593" s="2" t="s">
        <v>597</v>
      </c>
      <c r="E3593" s="2" t="s">
        <v>14</v>
      </c>
      <c r="F3593" s="2" t="n">
        <v>166</v>
      </c>
      <c r="G3593" s="2" t="n">
        <v>16</v>
      </c>
    </row>
    <row r="3594" customFormat="false" ht="16.5" hidden="false" customHeight="true" outlineLevel="0" collapsed="false">
      <c r="A3594" s="2" t="s">
        <v>447</v>
      </c>
      <c r="B3594" s="2" t="s">
        <v>460</v>
      </c>
      <c r="C3594" s="2" t="n">
        <v>3</v>
      </c>
      <c r="D3594" s="2" t="s">
        <v>597</v>
      </c>
      <c r="E3594" s="2" t="s">
        <v>15</v>
      </c>
      <c r="F3594" s="2" t="n">
        <v>166</v>
      </c>
      <c r="G3594" s="2" t="n">
        <v>20</v>
      </c>
    </row>
    <row r="3595" customFormat="false" ht="16.5" hidden="false" customHeight="true" outlineLevel="0" collapsed="false">
      <c r="A3595" s="2" t="s">
        <v>447</v>
      </c>
      <c r="B3595" s="2" t="s">
        <v>460</v>
      </c>
      <c r="C3595" s="2" t="n">
        <v>3</v>
      </c>
      <c r="D3595" s="2" t="s">
        <v>597</v>
      </c>
      <c r="E3595" s="2" t="s">
        <v>16</v>
      </c>
      <c r="F3595" s="2" t="n">
        <v>166</v>
      </c>
      <c r="G3595" s="2" t="n">
        <v>24</v>
      </c>
    </row>
    <row r="3596" customFormat="false" ht="16.5" hidden="false" customHeight="true" outlineLevel="0" collapsed="false">
      <c r="A3596" s="2" t="s">
        <v>447</v>
      </c>
      <c r="B3596" s="2" t="s">
        <v>460</v>
      </c>
      <c r="C3596" s="2" t="n">
        <v>3</v>
      </c>
      <c r="D3596" s="2" t="s">
        <v>597</v>
      </c>
      <c r="E3596" s="2" t="s">
        <v>17</v>
      </c>
      <c r="F3596" s="2" t="n">
        <v>166</v>
      </c>
      <c r="G3596" s="2" t="n">
        <v>28</v>
      </c>
    </row>
    <row r="3597" customFormat="false" ht="16.5" hidden="false" customHeight="true" outlineLevel="0" collapsed="false">
      <c r="A3597" s="2" t="s">
        <v>447</v>
      </c>
      <c r="B3597" s="2" t="s">
        <v>460</v>
      </c>
      <c r="C3597" s="2" t="n">
        <v>3</v>
      </c>
      <c r="D3597" s="2" t="s">
        <v>597</v>
      </c>
      <c r="E3597" s="2" t="s">
        <v>18</v>
      </c>
      <c r="F3597" s="2" t="n">
        <v>166</v>
      </c>
      <c r="G3597" s="2" t="n">
        <v>32</v>
      </c>
    </row>
    <row r="3598" customFormat="false" ht="16.5" hidden="false" customHeight="true" outlineLevel="0" collapsed="false">
      <c r="A3598" s="2" t="s">
        <v>447</v>
      </c>
      <c r="B3598" s="2" t="s">
        <v>460</v>
      </c>
      <c r="C3598" s="2" t="n">
        <v>3</v>
      </c>
      <c r="D3598" s="2" t="s">
        <v>597</v>
      </c>
      <c r="E3598" s="2" t="s">
        <v>19</v>
      </c>
      <c r="F3598" s="2" t="n">
        <v>166</v>
      </c>
      <c r="G3598" s="2" t="n">
        <v>36</v>
      </c>
    </row>
    <row r="3599" customFormat="false" ht="16.5" hidden="false" customHeight="true" outlineLevel="0" collapsed="false">
      <c r="A3599" s="2" t="s">
        <v>447</v>
      </c>
      <c r="B3599" s="2" t="s">
        <v>460</v>
      </c>
      <c r="C3599" s="2" t="n">
        <v>3</v>
      </c>
      <c r="D3599" s="2" t="s">
        <v>597</v>
      </c>
      <c r="E3599" s="2" t="s">
        <v>20</v>
      </c>
      <c r="F3599" s="2" t="n">
        <v>166</v>
      </c>
      <c r="G3599" s="2" t="n">
        <v>40</v>
      </c>
    </row>
    <row r="3600" customFormat="false" ht="16.5" hidden="false" customHeight="true" outlineLevel="0" collapsed="false">
      <c r="A3600" s="2" t="s">
        <v>447</v>
      </c>
      <c r="B3600" s="2" t="s">
        <v>460</v>
      </c>
      <c r="C3600" s="2" t="n">
        <v>3</v>
      </c>
      <c r="D3600" s="2" t="s">
        <v>597</v>
      </c>
      <c r="E3600" s="2" t="s">
        <v>21</v>
      </c>
      <c r="F3600" s="2" t="n">
        <v>166</v>
      </c>
      <c r="G3600" s="2" t="n">
        <v>44</v>
      </c>
    </row>
    <row r="3601" customFormat="false" ht="16.5" hidden="false" customHeight="true" outlineLevel="0" collapsed="false">
      <c r="A3601" s="2" t="s">
        <v>447</v>
      </c>
      <c r="B3601" s="2" t="s">
        <v>460</v>
      </c>
      <c r="C3601" s="2" t="n">
        <v>3</v>
      </c>
      <c r="D3601" s="2" t="s">
        <v>597</v>
      </c>
      <c r="E3601" s="2" t="s">
        <v>22</v>
      </c>
      <c r="F3601" s="2" t="n">
        <v>166</v>
      </c>
      <c r="G3601" s="2" t="n">
        <v>48</v>
      </c>
    </row>
    <row r="3602" customFormat="false" ht="16.5" hidden="false" customHeight="true" outlineLevel="0" collapsed="false">
      <c r="A3602" s="2" t="s">
        <v>447</v>
      </c>
      <c r="B3602" s="2" t="s">
        <v>460</v>
      </c>
      <c r="C3602" s="2" t="n">
        <v>3</v>
      </c>
      <c r="D3602" s="2" t="s">
        <v>597</v>
      </c>
      <c r="E3602" s="2" t="s">
        <v>23</v>
      </c>
      <c r="F3602" s="2" t="n">
        <v>166</v>
      </c>
      <c r="G3602" s="2" t="n">
        <v>52</v>
      </c>
    </row>
    <row r="3603" customFormat="false" ht="16.5" hidden="false" customHeight="true" outlineLevel="0" collapsed="false">
      <c r="A3603" s="2" t="s">
        <v>447</v>
      </c>
      <c r="B3603" s="2" t="s">
        <v>460</v>
      </c>
      <c r="C3603" s="2" t="n">
        <v>3</v>
      </c>
      <c r="D3603" s="2" t="s">
        <v>597</v>
      </c>
      <c r="E3603" s="2" t="s">
        <v>24</v>
      </c>
      <c r="F3603" s="2" t="n">
        <v>168</v>
      </c>
      <c r="G3603" s="2" t="n">
        <v>9</v>
      </c>
    </row>
    <row r="3604" customFormat="false" ht="16.5" hidden="false" customHeight="true" outlineLevel="0" collapsed="false">
      <c r="A3604" s="2" t="s">
        <v>447</v>
      </c>
      <c r="B3604" s="2" t="s">
        <v>460</v>
      </c>
      <c r="C3604" s="2" t="n">
        <v>3</v>
      </c>
      <c r="D3604" s="2" t="s">
        <v>597</v>
      </c>
      <c r="E3604" s="2" t="s">
        <v>25</v>
      </c>
      <c r="F3604" s="2" t="n">
        <v>168</v>
      </c>
      <c r="G3604" s="2" t="n">
        <v>13</v>
      </c>
    </row>
    <row r="3605" customFormat="false" ht="16.5" hidden="false" customHeight="true" outlineLevel="0" collapsed="false">
      <c r="A3605" s="2" t="s">
        <v>447</v>
      </c>
      <c r="B3605" s="2" t="s">
        <v>460</v>
      </c>
      <c r="C3605" s="2" t="n">
        <v>3</v>
      </c>
      <c r="D3605" s="2" t="s">
        <v>597</v>
      </c>
      <c r="E3605" s="2" t="s">
        <v>26</v>
      </c>
      <c r="F3605" s="2" t="n">
        <v>168</v>
      </c>
      <c r="G3605" s="2" t="n">
        <v>17</v>
      </c>
    </row>
    <row r="3606" customFormat="false" ht="16.5" hidden="false" customHeight="true" outlineLevel="0" collapsed="false">
      <c r="A3606" s="2" t="s">
        <v>447</v>
      </c>
      <c r="B3606" s="2" t="s">
        <v>460</v>
      </c>
      <c r="C3606" s="2" t="n">
        <v>3</v>
      </c>
      <c r="D3606" s="2" t="s">
        <v>597</v>
      </c>
      <c r="E3606" s="2" t="s">
        <v>27</v>
      </c>
      <c r="F3606" s="2" t="n">
        <v>168</v>
      </c>
      <c r="G3606" s="2" t="n">
        <v>21</v>
      </c>
    </row>
    <row r="3607" customFormat="false" ht="16.5" hidden="false" customHeight="true" outlineLevel="0" collapsed="false">
      <c r="A3607" s="2" t="s">
        <v>447</v>
      </c>
      <c r="B3607" s="2" t="s">
        <v>460</v>
      </c>
      <c r="C3607" s="2" t="n">
        <v>3</v>
      </c>
      <c r="D3607" s="2" t="s">
        <v>597</v>
      </c>
      <c r="E3607" s="2" t="s">
        <v>28</v>
      </c>
      <c r="F3607" s="2" t="n">
        <v>168</v>
      </c>
      <c r="G3607" s="2" t="n">
        <v>25</v>
      </c>
    </row>
    <row r="3608" customFormat="false" ht="16.5" hidden="false" customHeight="true" outlineLevel="0" collapsed="false">
      <c r="A3608" s="2" t="s">
        <v>447</v>
      </c>
      <c r="B3608" s="2" t="s">
        <v>460</v>
      </c>
      <c r="C3608" s="2" t="n">
        <v>3</v>
      </c>
      <c r="D3608" s="2" t="s">
        <v>597</v>
      </c>
      <c r="E3608" s="2" t="s">
        <v>29</v>
      </c>
      <c r="F3608" s="2" t="n">
        <v>168</v>
      </c>
      <c r="G3608" s="2" t="n">
        <v>29</v>
      </c>
    </row>
    <row r="3609" customFormat="false" ht="16.5" hidden="false" customHeight="true" outlineLevel="0" collapsed="false">
      <c r="A3609" s="2" t="s">
        <v>447</v>
      </c>
      <c r="B3609" s="2" t="s">
        <v>460</v>
      </c>
      <c r="C3609" s="2" t="n">
        <v>3</v>
      </c>
      <c r="D3609" s="2" t="s">
        <v>597</v>
      </c>
      <c r="E3609" s="2" t="s">
        <v>30</v>
      </c>
      <c r="F3609" s="2" t="n">
        <v>168</v>
      </c>
      <c r="G3609" s="2" t="n">
        <v>33</v>
      </c>
    </row>
    <row r="3610" customFormat="false" ht="16.5" hidden="false" customHeight="true" outlineLevel="0" collapsed="false">
      <c r="A3610" s="2" t="s">
        <v>447</v>
      </c>
      <c r="B3610" s="2" t="s">
        <v>460</v>
      </c>
      <c r="C3610" s="2" t="n">
        <v>3</v>
      </c>
      <c r="D3610" s="2" t="s">
        <v>597</v>
      </c>
      <c r="E3610" s="2" t="s">
        <v>31</v>
      </c>
      <c r="F3610" s="2" t="n">
        <v>168</v>
      </c>
      <c r="G3610" s="2" t="n">
        <v>37</v>
      </c>
    </row>
    <row r="3611" customFormat="false" ht="16.5" hidden="false" customHeight="true" outlineLevel="0" collapsed="false">
      <c r="A3611" s="2" t="s">
        <v>447</v>
      </c>
      <c r="B3611" s="2" t="s">
        <v>460</v>
      </c>
      <c r="C3611" s="2" t="n">
        <v>3</v>
      </c>
      <c r="D3611" s="2" t="s">
        <v>597</v>
      </c>
      <c r="E3611" s="2" t="s">
        <v>32</v>
      </c>
      <c r="F3611" s="2" t="n">
        <v>168</v>
      </c>
      <c r="G3611" s="2" t="n">
        <v>41</v>
      </c>
    </row>
    <row r="3612" customFormat="false" ht="16.5" hidden="false" customHeight="true" outlineLevel="0" collapsed="false">
      <c r="A3612" s="2" t="s">
        <v>447</v>
      </c>
      <c r="B3612" s="2" t="s">
        <v>460</v>
      </c>
      <c r="C3612" s="2" t="n">
        <v>3</v>
      </c>
      <c r="D3612" s="2" t="s">
        <v>597</v>
      </c>
      <c r="E3612" s="2" t="s">
        <v>33</v>
      </c>
      <c r="F3612" s="2" t="n">
        <v>168</v>
      </c>
      <c r="G3612" s="2" t="n">
        <v>45</v>
      </c>
    </row>
    <row r="3613" customFormat="false" ht="16.5" hidden="false" customHeight="true" outlineLevel="0" collapsed="false">
      <c r="A3613" s="2" t="s">
        <v>447</v>
      </c>
      <c r="B3613" s="2" t="s">
        <v>460</v>
      </c>
      <c r="C3613" s="2" t="n">
        <v>3</v>
      </c>
      <c r="D3613" s="2" t="s">
        <v>597</v>
      </c>
      <c r="E3613" s="2" t="s">
        <v>34</v>
      </c>
      <c r="F3613" s="2" t="n">
        <v>168</v>
      </c>
      <c r="G3613" s="2" t="n">
        <v>49</v>
      </c>
    </row>
    <row r="3614" customFormat="false" ht="16.5" hidden="false" customHeight="true" outlineLevel="0" collapsed="false">
      <c r="A3614" s="2" t="s">
        <v>447</v>
      </c>
      <c r="B3614" s="2" t="s">
        <v>460</v>
      </c>
      <c r="C3614" s="2" t="n">
        <v>3</v>
      </c>
      <c r="D3614" s="2" t="s">
        <v>597</v>
      </c>
      <c r="E3614" s="2" t="s">
        <v>35</v>
      </c>
      <c r="F3614" s="2" t="n">
        <v>170</v>
      </c>
      <c r="G3614" s="2" t="n">
        <v>11</v>
      </c>
    </row>
    <row r="3615" customFormat="false" ht="16.5" hidden="false" customHeight="true" outlineLevel="0" collapsed="false">
      <c r="A3615" s="2" t="s">
        <v>447</v>
      </c>
      <c r="B3615" s="2" t="s">
        <v>460</v>
      </c>
      <c r="C3615" s="2" t="n">
        <v>3</v>
      </c>
      <c r="D3615" s="2" t="s">
        <v>597</v>
      </c>
      <c r="E3615" s="2" t="s">
        <v>36</v>
      </c>
      <c r="F3615" s="2" t="n">
        <v>170</v>
      </c>
      <c r="G3615" s="2" t="n">
        <v>15</v>
      </c>
    </row>
    <row r="3616" customFormat="false" ht="16.5" hidden="false" customHeight="true" outlineLevel="0" collapsed="false">
      <c r="A3616" s="2" t="s">
        <v>447</v>
      </c>
      <c r="B3616" s="2" t="s">
        <v>460</v>
      </c>
      <c r="C3616" s="2" t="n">
        <v>3</v>
      </c>
      <c r="D3616" s="2" t="s">
        <v>597</v>
      </c>
      <c r="E3616" s="2" t="s">
        <v>37</v>
      </c>
      <c r="F3616" s="2" t="n">
        <v>170</v>
      </c>
      <c r="G3616" s="2" t="n">
        <v>19</v>
      </c>
    </row>
    <row r="3617" customFormat="false" ht="16.5" hidden="false" customHeight="true" outlineLevel="0" collapsed="false">
      <c r="A3617" s="2" t="s">
        <v>447</v>
      </c>
      <c r="B3617" s="2" t="s">
        <v>460</v>
      </c>
      <c r="C3617" s="2" t="n">
        <v>3</v>
      </c>
      <c r="D3617" s="2" t="s">
        <v>597</v>
      </c>
      <c r="E3617" s="2" t="s">
        <v>38</v>
      </c>
      <c r="F3617" s="2" t="n">
        <v>170</v>
      </c>
      <c r="G3617" s="2" t="n">
        <v>23</v>
      </c>
    </row>
    <row r="3618" customFormat="false" ht="16.5" hidden="false" customHeight="true" outlineLevel="0" collapsed="false">
      <c r="A3618" s="2" t="s">
        <v>447</v>
      </c>
      <c r="B3618" s="2" t="s">
        <v>460</v>
      </c>
      <c r="C3618" s="2" t="n">
        <v>3</v>
      </c>
      <c r="D3618" s="2" t="s">
        <v>597</v>
      </c>
      <c r="E3618" s="2" t="s">
        <v>39</v>
      </c>
      <c r="F3618" s="2" t="n">
        <v>170</v>
      </c>
      <c r="G3618" s="2" t="n">
        <v>27</v>
      </c>
    </row>
    <row r="3619" customFormat="false" ht="16.5" hidden="false" customHeight="true" outlineLevel="0" collapsed="false">
      <c r="A3619" s="2" t="s">
        <v>447</v>
      </c>
      <c r="B3619" s="2" t="s">
        <v>460</v>
      </c>
      <c r="C3619" s="2" t="n">
        <v>3</v>
      </c>
      <c r="D3619" s="2" t="s">
        <v>597</v>
      </c>
      <c r="E3619" s="2" t="s">
        <v>40</v>
      </c>
      <c r="F3619" s="2" t="n">
        <v>170</v>
      </c>
      <c r="G3619" s="2" t="n">
        <v>31</v>
      </c>
    </row>
    <row r="3620" customFormat="false" ht="16.5" hidden="false" customHeight="true" outlineLevel="0" collapsed="false">
      <c r="A3620" s="2" t="s">
        <v>447</v>
      </c>
      <c r="B3620" s="2" t="s">
        <v>460</v>
      </c>
      <c r="C3620" s="2" t="n">
        <v>3</v>
      </c>
      <c r="D3620" s="2" t="s">
        <v>597</v>
      </c>
      <c r="E3620" s="2" t="s">
        <v>41</v>
      </c>
      <c r="F3620" s="2" t="n">
        <v>170</v>
      </c>
      <c r="G3620" s="2" t="n">
        <v>35</v>
      </c>
    </row>
    <row r="3621" customFormat="false" ht="16.5" hidden="false" customHeight="true" outlineLevel="0" collapsed="false">
      <c r="A3621" s="2" t="s">
        <v>447</v>
      </c>
      <c r="B3621" s="2" t="s">
        <v>460</v>
      </c>
      <c r="C3621" s="2" t="n">
        <v>3</v>
      </c>
      <c r="D3621" s="2" t="s">
        <v>597</v>
      </c>
      <c r="E3621" s="2" t="s">
        <v>42</v>
      </c>
      <c r="F3621" s="2" t="n">
        <v>170</v>
      </c>
      <c r="G3621" s="2" t="n">
        <v>39</v>
      </c>
    </row>
    <row r="3622" customFormat="false" ht="16.5" hidden="false" customHeight="true" outlineLevel="0" collapsed="false">
      <c r="A3622" s="2" t="s">
        <v>447</v>
      </c>
      <c r="B3622" s="2" t="s">
        <v>460</v>
      </c>
      <c r="C3622" s="2" t="n">
        <v>3</v>
      </c>
      <c r="D3622" s="2" t="s">
        <v>597</v>
      </c>
      <c r="E3622" s="2" t="s">
        <v>43</v>
      </c>
      <c r="F3622" s="2" t="n">
        <v>170</v>
      </c>
      <c r="G3622" s="2" t="n">
        <v>43</v>
      </c>
    </row>
    <row r="3623" customFormat="false" ht="16.5" hidden="false" customHeight="true" outlineLevel="0" collapsed="false">
      <c r="A3623" s="2" t="s">
        <v>447</v>
      </c>
      <c r="B3623" s="2" t="s">
        <v>460</v>
      </c>
      <c r="C3623" s="2" t="n">
        <v>3</v>
      </c>
      <c r="D3623" s="2" t="s">
        <v>597</v>
      </c>
      <c r="E3623" s="2" t="s">
        <v>44</v>
      </c>
      <c r="F3623" s="2" t="n">
        <v>170</v>
      </c>
      <c r="G3623" s="2" t="n">
        <v>47</v>
      </c>
    </row>
    <row r="3624" customFormat="false" ht="16.5" hidden="false" customHeight="true" outlineLevel="0" collapsed="false">
      <c r="A3624" s="2" t="s">
        <v>447</v>
      </c>
      <c r="B3624" s="2" t="s">
        <v>460</v>
      </c>
      <c r="C3624" s="2" t="n">
        <v>3</v>
      </c>
      <c r="D3624" s="2" t="s">
        <v>597</v>
      </c>
      <c r="E3624" s="2" t="s">
        <v>48</v>
      </c>
      <c r="F3624" s="2" t="n">
        <v>172</v>
      </c>
      <c r="G3624" s="2" t="n">
        <v>16</v>
      </c>
    </row>
    <row r="3625" customFormat="false" ht="16.5" hidden="false" customHeight="true" outlineLevel="0" collapsed="false">
      <c r="A3625" s="2" t="s">
        <v>447</v>
      </c>
      <c r="B3625" s="2" t="s">
        <v>460</v>
      </c>
      <c r="C3625" s="2" t="n">
        <v>3</v>
      </c>
      <c r="D3625" s="2" t="s">
        <v>597</v>
      </c>
      <c r="E3625" s="2" t="s">
        <v>50</v>
      </c>
      <c r="F3625" s="2" t="n">
        <v>172</v>
      </c>
      <c r="G3625" s="2" t="n">
        <v>20</v>
      </c>
    </row>
    <row r="3626" customFormat="false" ht="16.5" hidden="false" customHeight="true" outlineLevel="0" collapsed="false">
      <c r="A3626" s="2" t="s">
        <v>447</v>
      </c>
      <c r="B3626" s="2" t="s">
        <v>460</v>
      </c>
      <c r="C3626" s="2" t="n">
        <v>3</v>
      </c>
      <c r="D3626" s="2" t="s">
        <v>597</v>
      </c>
      <c r="E3626" s="2" t="s">
        <v>45</v>
      </c>
      <c r="F3626" s="2" t="n">
        <v>172</v>
      </c>
      <c r="G3626" s="2" t="n">
        <v>38</v>
      </c>
    </row>
    <row r="3627" customFormat="false" ht="16.5" hidden="false" customHeight="true" outlineLevel="0" collapsed="false">
      <c r="A3627" s="2" t="s">
        <v>447</v>
      </c>
      <c r="B3627" s="2" t="s">
        <v>460</v>
      </c>
      <c r="C3627" s="2" t="n">
        <v>3</v>
      </c>
      <c r="D3627" s="2" t="s">
        <v>597</v>
      </c>
      <c r="E3627" s="2" t="s">
        <v>46</v>
      </c>
      <c r="F3627" s="2" t="n">
        <v>172</v>
      </c>
      <c r="G3627" s="2" t="n">
        <v>42</v>
      </c>
    </row>
    <row r="3628" customFormat="false" ht="16.5" hidden="false" customHeight="true" outlineLevel="0" collapsed="false">
      <c r="A3628" s="2" t="s">
        <v>447</v>
      </c>
      <c r="B3628" s="2" t="s">
        <v>461</v>
      </c>
      <c r="C3628" s="2" t="n">
        <v>3</v>
      </c>
      <c r="D3628" s="2" t="s">
        <v>598</v>
      </c>
      <c r="E3628" s="2" t="s">
        <v>0</v>
      </c>
      <c r="F3628" s="2" t="n">
        <v>177</v>
      </c>
      <c r="G3628" s="2" t="n">
        <v>6</v>
      </c>
    </row>
    <row r="3629" customFormat="false" ht="16.5" hidden="false" customHeight="true" outlineLevel="0" collapsed="false">
      <c r="A3629" s="2" t="s">
        <v>447</v>
      </c>
      <c r="B3629" s="2" t="s">
        <v>461</v>
      </c>
      <c r="C3629" s="2" t="n">
        <v>3</v>
      </c>
      <c r="D3629" s="2" t="s">
        <v>598</v>
      </c>
      <c r="E3629" s="2" t="s">
        <v>1</v>
      </c>
      <c r="F3629" s="2" t="n">
        <v>177</v>
      </c>
      <c r="G3629" s="2" t="n">
        <v>10</v>
      </c>
    </row>
    <row r="3630" customFormat="false" ht="16.5" hidden="false" customHeight="true" outlineLevel="0" collapsed="false">
      <c r="A3630" s="2" t="s">
        <v>447</v>
      </c>
      <c r="B3630" s="2" t="s">
        <v>461</v>
      </c>
      <c r="C3630" s="2" t="n">
        <v>3</v>
      </c>
      <c r="D3630" s="2" t="s">
        <v>598</v>
      </c>
      <c r="E3630" s="2" t="s">
        <v>2</v>
      </c>
      <c r="F3630" s="2" t="n">
        <v>177</v>
      </c>
      <c r="G3630" s="2" t="n">
        <v>14</v>
      </c>
    </row>
    <row r="3631" customFormat="false" ht="16.5" hidden="false" customHeight="true" outlineLevel="0" collapsed="false">
      <c r="A3631" s="2" t="s">
        <v>447</v>
      </c>
      <c r="B3631" s="2" t="s">
        <v>461</v>
      </c>
      <c r="C3631" s="2" t="n">
        <v>3</v>
      </c>
      <c r="D3631" s="2" t="s">
        <v>598</v>
      </c>
      <c r="E3631" s="2" t="s">
        <v>3</v>
      </c>
      <c r="F3631" s="2" t="n">
        <v>177</v>
      </c>
      <c r="G3631" s="2" t="n">
        <v>18</v>
      </c>
    </row>
    <row r="3632" customFormat="false" ht="16.5" hidden="false" customHeight="true" outlineLevel="0" collapsed="false">
      <c r="A3632" s="2" t="s">
        <v>447</v>
      </c>
      <c r="B3632" s="2" t="s">
        <v>461</v>
      </c>
      <c r="C3632" s="2" t="n">
        <v>3</v>
      </c>
      <c r="D3632" s="2" t="s">
        <v>598</v>
      </c>
      <c r="E3632" s="2" t="s">
        <v>4</v>
      </c>
      <c r="F3632" s="2" t="n">
        <v>177</v>
      </c>
      <c r="G3632" s="2" t="n">
        <v>22</v>
      </c>
    </row>
    <row r="3633" customFormat="false" ht="16.5" hidden="false" customHeight="true" outlineLevel="0" collapsed="false">
      <c r="A3633" s="2" t="s">
        <v>447</v>
      </c>
      <c r="B3633" s="2" t="s">
        <v>461</v>
      </c>
      <c r="C3633" s="2" t="n">
        <v>3</v>
      </c>
      <c r="D3633" s="2" t="s">
        <v>598</v>
      </c>
      <c r="E3633" s="2" t="s">
        <v>5</v>
      </c>
      <c r="F3633" s="2" t="n">
        <v>177</v>
      </c>
      <c r="G3633" s="2" t="n">
        <v>26</v>
      </c>
    </row>
    <row r="3634" customFormat="false" ht="16.5" hidden="false" customHeight="true" outlineLevel="0" collapsed="false">
      <c r="A3634" s="2" t="s">
        <v>447</v>
      </c>
      <c r="B3634" s="2" t="s">
        <v>461</v>
      </c>
      <c r="C3634" s="2" t="n">
        <v>3</v>
      </c>
      <c r="D3634" s="2" t="s">
        <v>598</v>
      </c>
      <c r="E3634" s="2" t="s">
        <v>6</v>
      </c>
      <c r="F3634" s="2" t="n">
        <v>177</v>
      </c>
      <c r="G3634" s="2" t="n">
        <v>30</v>
      </c>
    </row>
    <row r="3635" customFormat="false" ht="16.5" hidden="false" customHeight="true" outlineLevel="0" collapsed="false">
      <c r="A3635" s="2" t="s">
        <v>447</v>
      </c>
      <c r="B3635" s="2" t="s">
        <v>461</v>
      </c>
      <c r="C3635" s="2" t="n">
        <v>3</v>
      </c>
      <c r="D3635" s="2" t="s">
        <v>598</v>
      </c>
      <c r="E3635" s="2" t="s">
        <v>7</v>
      </c>
      <c r="F3635" s="2" t="n">
        <v>177</v>
      </c>
      <c r="G3635" s="2" t="n">
        <v>34</v>
      </c>
    </row>
    <row r="3636" customFormat="false" ht="16.5" hidden="false" customHeight="true" outlineLevel="0" collapsed="false">
      <c r="A3636" s="2" t="s">
        <v>447</v>
      </c>
      <c r="B3636" s="2" t="s">
        <v>461</v>
      </c>
      <c r="C3636" s="2" t="n">
        <v>3</v>
      </c>
      <c r="D3636" s="2" t="s">
        <v>598</v>
      </c>
      <c r="E3636" s="2" t="s">
        <v>8</v>
      </c>
      <c r="F3636" s="2" t="n">
        <v>177</v>
      </c>
      <c r="G3636" s="2" t="n">
        <v>38</v>
      </c>
    </row>
    <row r="3637" customFormat="false" ht="16.5" hidden="false" customHeight="true" outlineLevel="0" collapsed="false">
      <c r="A3637" s="2" t="s">
        <v>447</v>
      </c>
      <c r="B3637" s="2" t="s">
        <v>461</v>
      </c>
      <c r="C3637" s="2" t="n">
        <v>3</v>
      </c>
      <c r="D3637" s="2" t="s">
        <v>598</v>
      </c>
      <c r="E3637" s="2" t="s">
        <v>9</v>
      </c>
      <c r="F3637" s="2" t="n">
        <v>177</v>
      </c>
      <c r="G3637" s="2" t="n">
        <v>42</v>
      </c>
    </row>
    <row r="3638" customFormat="false" ht="16.5" hidden="false" customHeight="true" outlineLevel="0" collapsed="false">
      <c r="A3638" s="2" t="s">
        <v>447</v>
      </c>
      <c r="B3638" s="2" t="s">
        <v>461</v>
      </c>
      <c r="C3638" s="2" t="n">
        <v>3</v>
      </c>
      <c r="D3638" s="2" t="s">
        <v>598</v>
      </c>
      <c r="E3638" s="2" t="s">
        <v>10</v>
      </c>
      <c r="F3638" s="2" t="n">
        <v>177</v>
      </c>
      <c r="G3638" s="2" t="n">
        <v>46</v>
      </c>
    </row>
    <row r="3639" customFormat="false" ht="16.5" hidden="false" customHeight="true" outlineLevel="0" collapsed="false">
      <c r="A3639" s="2" t="s">
        <v>447</v>
      </c>
      <c r="B3639" s="2" t="s">
        <v>461</v>
      </c>
      <c r="C3639" s="2" t="n">
        <v>3</v>
      </c>
      <c r="D3639" s="2" t="s">
        <v>598</v>
      </c>
      <c r="E3639" s="2" t="s">
        <v>11</v>
      </c>
      <c r="F3639" s="2" t="n">
        <v>177</v>
      </c>
      <c r="G3639" s="2" t="n">
        <v>50</v>
      </c>
    </row>
    <row r="3640" customFormat="false" ht="16.5" hidden="false" customHeight="true" outlineLevel="0" collapsed="false">
      <c r="A3640" s="2" t="s">
        <v>447</v>
      </c>
      <c r="B3640" s="2" t="s">
        <v>461</v>
      </c>
      <c r="C3640" s="2" t="n">
        <v>3</v>
      </c>
      <c r="D3640" s="2" t="s">
        <v>598</v>
      </c>
      <c r="E3640" s="2" t="s">
        <v>12</v>
      </c>
      <c r="F3640" s="2" t="n">
        <v>179</v>
      </c>
      <c r="G3640" s="2" t="n">
        <v>8</v>
      </c>
    </row>
    <row r="3641" customFormat="false" ht="16.5" hidden="false" customHeight="true" outlineLevel="0" collapsed="false">
      <c r="A3641" s="2" t="s">
        <v>447</v>
      </c>
      <c r="B3641" s="2" t="s">
        <v>461</v>
      </c>
      <c r="C3641" s="2" t="n">
        <v>3</v>
      </c>
      <c r="D3641" s="2" t="s">
        <v>598</v>
      </c>
      <c r="E3641" s="2" t="s">
        <v>13</v>
      </c>
      <c r="F3641" s="2" t="n">
        <v>179</v>
      </c>
      <c r="G3641" s="2" t="n">
        <v>12</v>
      </c>
    </row>
    <row r="3642" customFormat="false" ht="16.5" hidden="false" customHeight="true" outlineLevel="0" collapsed="false">
      <c r="A3642" s="2" t="s">
        <v>447</v>
      </c>
      <c r="B3642" s="2" t="s">
        <v>461</v>
      </c>
      <c r="C3642" s="2" t="n">
        <v>3</v>
      </c>
      <c r="D3642" s="2" t="s">
        <v>598</v>
      </c>
      <c r="E3642" s="2" t="s">
        <v>14</v>
      </c>
      <c r="F3642" s="2" t="n">
        <v>179</v>
      </c>
      <c r="G3642" s="2" t="n">
        <v>16</v>
      </c>
    </row>
    <row r="3643" customFormat="false" ht="16.5" hidden="false" customHeight="true" outlineLevel="0" collapsed="false">
      <c r="A3643" s="2" t="s">
        <v>447</v>
      </c>
      <c r="B3643" s="2" t="s">
        <v>461</v>
      </c>
      <c r="C3643" s="2" t="n">
        <v>3</v>
      </c>
      <c r="D3643" s="2" t="s">
        <v>598</v>
      </c>
      <c r="E3643" s="2" t="s">
        <v>15</v>
      </c>
      <c r="F3643" s="2" t="n">
        <v>179</v>
      </c>
      <c r="G3643" s="2" t="n">
        <v>20</v>
      </c>
    </row>
    <row r="3644" customFormat="false" ht="16.5" hidden="false" customHeight="true" outlineLevel="0" collapsed="false">
      <c r="A3644" s="2" t="s">
        <v>447</v>
      </c>
      <c r="B3644" s="2" t="s">
        <v>461</v>
      </c>
      <c r="C3644" s="2" t="n">
        <v>3</v>
      </c>
      <c r="D3644" s="2" t="s">
        <v>598</v>
      </c>
      <c r="E3644" s="2" t="s">
        <v>16</v>
      </c>
      <c r="F3644" s="2" t="n">
        <v>179</v>
      </c>
      <c r="G3644" s="2" t="n">
        <v>24</v>
      </c>
    </row>
    <row r="3645" customFormat="false" ht="16.5" hidden="false" customHeight="true" outlineLevel="0" collapsed="false">
      <c r="A3645" s="2" t="s">
        <v>447</v>
      </c>
      <c r="B3645" s="2" t="s">
        <v>461</v>
      </c>
      <c r="C3645" s="2" t="n">
        <v>3</v>
      </c>
      <c r="D3645" s="2" t="s">
        <v>598</v>
      </c>
      <c r="E3645" s="2" t="s">
        <v>17</v>
      </c>
      <c r="F3645" s="2" t="n">
        <v>179</v>
      </c>
      <c r="G3645" s="2" t="n">
        <v>28</v>
      </c>
    </row>
    <row r="3646" customFormat="false" ht="16.5" hidden="false" customHeight="true" outlineLevel="0" collapsed="false">
      <c r="A3646" s="2" t="s">
        <v>447</v>
      </c>
      <c r="B3646" s="2" t="s">
        <v>461</v>
      </c>
      <c r="C3646" s="2" t="n">
        <v>3</v>
      </c>
      <c r="D3646" s="2" t="s">
        <v>598</v>
      </c>
      <c r="E3646" s="2" t="s">
        <v>18</v>
      </c>
      <c r="F3646" s="2" t="n">
        <v>179</v>
      </c>
      <c r="G3646" s="2" t="n">
        <v>32</v>
      </c>
    </row>
    <row r="3647" customFormat="false" ht="16.5" hidden="false" customHeight="true" outlineLevel="0" collapsed="false">
      <c r="A3647" s="2" t="s">
        <v>447</v>
      </c>
      <c r="B3647" s="2" t="s">
        <v>461</v>
      </c>
      <c r="C3647" s="2" t="n">
        <v>3</v>
      </c>
      <c r="D3647" s="2" t="s">
        <v>598</v>
      </c>
      <c r="E3647" s="2" t="s">
        <v>19</v>
      </c>
      <c r="F3647" s="2" t="n">
        <v>179</v>
      </c>
      <c r="G3647" s="2" t="n">
        <v>36</v>
      </c>
    </row>
    <row r="3648" customFormat="false" ht="16.5" hidden="false" customHeight="true" outlineLevel="0" collapsed="false">
      <c r="A3648" s="2" t="s">
        <v>447</v>
      </c>
      <c r="B3648" s="2" t="s">
        <v>461</v>
      </c>
      <c r="C3648" s="2" t="n">
        <v>3</v>
      </c>
      <c r="D3648" s="2" t="s">
        <v>598</v>
      </c>
      <c r="E3648" s="2" t="s">
        <v>20</v>
      </c>
      <c r="F3648" s="2" t="n">
        <v>179</v>
      </c>
      <c r="G3648" s="2" t="n">
        <v>40</v>
      </c>
    </row>
    <row r="3649" customFormat="false" ht="16.5" hidden="false" customHeight="true" outlineLevel="0" collapsed="false">
      <c r="A3649" s="2" t="s">
        <v>447</v>
      </c>
      <c r="B3649" s="2" t="s">
        <v>461</v>
      </c>
      <c r="C3649" s="2" t="n">
        <v>3</v>
      </c>
      <c r="D3649" s="2" t="s">
        <v>598</v>
      </c>
      <c r="E3649" s="2" t="s">
        <v>21</v>
      </c>
      <c r="F3649" s="2" t="n">
        <v>179</v>
      </c>
      <c r="G3649" s="2" t="n">
        <v>44</v>
      </c>
    </row>
    <row r="3650" customFormat="false" ht="16.5" hidden="false" customHeight="true" outlineLevel="0" collapsed="false">
      <c r="A3650" s="2" t="s">
        <v>447</v>
      </c>
      <c r="B3650" s="2" t="s">
        <v>461</v>
      </c>
      <c r="C3650" s="2" t="n">
        <v>3</v>
      </c>
      <c r="D3650" s="2" t="s">
        <v>598</v>
      </c>
      <c r="E3650" s="2" t="s">
        <v>22</v>
      </c>
      <c r="F3650" s="2" t="n">
        <v>179</v>
      </c>
      <c r="G3650" s="2" t="n">
        <v>48</v>
      </c>
    </row>
    <row r="3651" customFormat="false" ht="16.5" hidden="false" customHeight="true" outlineLevel="0" collapsed="false">
      <c r="A3651" s="2" t="s">
        <v>447</v>
      </c>
      <c r="B3651" s="2" t="s">
        <v>461</v>
      </c>
      <c r="C3651" s="2" t="n">
        <v>3</v>
      </c>
      <c r="D3651" s="2" t="s">
        <v>598</v>
      </c>
      <c r="E3651" s="2" t="s">
        <v>23</v>
      </c>
      <c r="F3651" s="2" t="n">
        <v>179</v>
      </c>
      <c r="G3651" s="2" t="n">
        <v>52</v>
      </c>
    </row>
    <row r="3652" customFormat="false" ht="16.5" hidden="false" customHeight="true" outlineLevel="0" collapsed="false">
      <c r="A3652" s="2" t="s">
        <v>447</v>
      </c>
      <c r="B3652" s="2" t="s">
        <v>461</v>
      </c>
      <c r="C3652" s="2" t="n">
        <v>3</v>
      </c>
      <c r="D3652" s="2" t="s">
        <v>598</v>
      </c>
      <c r="E3652" s="2" t="s">
        <v>24</v>
      </c>
      <c r="F3652" s="2" t="n">
        <v>181</v>
      </c>
      <c r="G3652" s="2" t="n">
        <v>9</v>
      </c>
    </row>
    <row r="3653" customFormat="false" ht="16.5" hidden="false" customHeight="true" outlineLevel="0" collapsed="false">
      <c r="A3653" s="2" t="s">
        <v>447</v>
      </c>
      <c r="B3653" s="2" t="s">
        <v>461</v>
      </c>
      <c r="C3653" s="2" t="n">
        <v>3</v>
      </c>
      <c r="D3653" s="2" t="s">
        <v>598</v>
      </c>
      <c r="E3653" s="2" t="s">
        <v>25</v>
      </c>
      <c r="F3653" s="2" t="n">
        <v>181</v>
      </c>
      <c r="G3653" s="2" t="n">
        <v>13</v>
      </c>
    </row>
    <row r="3654" customFormat="false" ht="16.5" hidden="false" customHeight="true" outlineLevel="0" collapsed="false">
      <c r="A3654" s="2" t="s">
        <v>447</v>
      </c>
      <c r="B3654" s="2" t="s">
        <v>461</v>
      </c>
      <c r="C3654" s="2" t="n">
        <v>3</v>
      </c>
      <c r="D3654" s="2" t="s">
        <v>598</v>
      </c>
      <c r="E3654" s="2" t="s">
        <v>26</v>
      </c>
      <c r="F3654" s="2" t="n">
        <v>181</v>
      </c>
      <c r="G3654" s="2" t="n">
        <v>17</v>
      </c>
    </row>
    <row r="3655" customFormat="false" ht="16.5" hidden="false" customHeight="true" outlineLevel="0" collapsed="false">
      <c r="A3655" s="2" t="s">
        <v>447</v>
      </c>
      <c r="B3655" s="2" t="s">
        <v>461</v>
      </c>
      <c r="C3655" s="2" t="n">
        <v>3</v>
      </c>
      <c r="D3655" s="2" t="s">
        <v>598</v>
      </c>
      <c r="E3655" s="2" t="s">
        <v>27</v>
      </c>
      <c r="F3655" s="2" t="n">
        <v>181</v>
      </c>
      <c r="G3655" s="2" t="n">
        <v>21</v>
      </c>
    </row>
    <row r="3656" customFormat="false" ht="16.5" hidden="false" customHeight="true" outlineLevel="0" collapsed="false">
      <c r="A3656" s="2" t="s">
        <v>447</v>
      </c>
      <c r="B3656" s="2" t="s">
        <v>461</v>
      </c>
      <c r="C3656" s="2" t="n">
        <v>3</v>
      </c>
      <c r="D3656" s="2" t="s">
        <v>598</v>
      </c>
      <c r="E3656" s="2" t="s">
        <v>28</v>
      </c>
      <c r="F3656" s="2" t="n">
        <v>181</v>
      </c>
      <c r="G3656" s="2" t="n">
        <v>25</v>
      </c>
    </row>
    <row r="3657" customFormat="false" ht="16.5" hidden="false" customHeight="true" outlineLevel="0" collapsed="false">
      <c r="A3657" s="2" t="s">
        <v>447</v>
      </c>
      <c r="B3657" s="2" t="s">
        <v>461</v>
      </c>
      <c r="C3657" s="2" t="n">
        <v>3</v>
      </c>
      <c r="D3657" s="2" t="s">
        <v>598</v>
      </c>
      <c r="E3657" s="2" t="s">
        <v>29</v>
      </c>
      <c r="F3657" s="2" t="n">
        <v>181</v>
      </c>
      <c r="G3657" s="2" t="n">
        <v>29</v>
      </c>
    </row>
    <row r="3658" customFormat="false" ht="16.5" hidden="false" customHeight="true" outlineLevel="0" collapsed="false">
      <c r="A3658" s="2" t="s">
        <v>447</v>
      </c>
      <c r="B3658" s="2" t="s">
        <v>461</v>
      </c>
      <c r="C3658" s="2" t="n">
        <v>3</v>
      </c>
      <c r="D3658" s="2" t="s">
        <v>598</v>
      </c>
      <c r="E3658" s="2" t="s">
        <v>30</v>
      </c>
      <c r="F3658" s="2" t="n">
        <v>181</v>
      </c>
      <c r="G3658" s="2" t="n">
        <v>33</v>
      </c>
    </row>
    <row r="3659" customFormat="false" ht="16.5" hidden="false" customHeight="true" outlineLevel="0" collapsed="false">
      <c r="A3659" s="2" t="s">
        <v>447</v>
      </c>
      <c r="B3659" s="2" t="s">
        <v>461</v>
      </c>
      <c r="C3659" s="2" t="n">
        <v>3</v>
      </c>
      <c r="D3659" s="2" t="s">
        <v>598</v>
      </c>
      <c r="E3659" s="2" t="s">
        <v>31</v>
      </c>
      <c r="F3659" s="2" t="n">
        <v>181</v>
      </c>
      <c r="G3659" s="2" t="n">
        <v>37</v>
      </c>
    </row>
    <row r="3660" customFormat="false" ht="16.5" hidden="false" customHeight="true" outlineLevel="0" collapsed="false">
      <c r="A3660" s="2" t="s">
        <v>447</v>
      </c>
      <c r="B3660" s="2" t="s">
        <v>461</v>
      </c>
      <c r="C3660" s="2" t="n">
        <v>3</v>
      </c>
      <c r="D3660" s="2" t="s">
        <v>598</v>
      </c>
      <c r="E3660" s="2" t="s">
        <v>32</v>
      </c>
      <c r="F3660" s="2" t="n">
        <v>181</v>
      </c>
      <c r="G3660" s="2" t="n">
        <v>41</v>
      </c>
    </row>
    <row r="3661" customFormat="false" ht="16.5" hidden="false" customHeight="true" outlineLevel="0" collapsed="false">
      <c r="A3661" s="2" t="s">
        <v>447</v>
      </c>
      <c r="B3661" s="2" t="s">
        <v>461</v>
      </c>
      <c r="C3661" s="2" t="n">
        <v>3</v>
      </c>
      <c r="D3661" s="2" t="s">
        <v>598</v>
      </c>
      <c r="E3661" s="2" t="s">
        <v>33</v>
      </c>
      <c r="F3661" s="2" t="n">
        <v>181</v>
      </c>
      <c r="G3661" s="2" t="n">
        <v>45</v>
      </c>
    </row>
    <row r="3662" customFormat="false" ht="16.5" hidden="false" customHeight="true" outlineLevel="0" collapsed="false">
      <c r="A3662" s="2" t="s">
        <v>447</v>
      </c>
      <c r="B3662" s="2" t="s">
        <v>461</v>
      </c>
      <c r="C3662" s="2" t="n">
        <v>3</v>
      </c>
      <c r="D3662" s="2" t="s">
        <v>598</v>
      </c>
      <c r="E3662" s="2" t="s">
        <v>34</v>
      </c>
      <c r="F3662" s="2" t="n">
        <v>181</v>
      </c>
      <c r="G3662" s="2" t="n">
        <v>49</v>
      </c>
    </row>
    <row r="3663" customFormat="false" ht="16.5" hidden="false" customHeight="true" outlineLevel="0" collapsed="false">
      <c r="A3663" s="2" t="s">
        <v>447</v>
      </c>
      <c r="B3663" s="2" t="s">
        <v>461</v>
      </c>
      <c r="C3663" s="2" t="n">
        <v>3</v>
      </c>
      <c r="D3663" s="2" t="s">
        <v>598</v>
      </c>
      <c r="E3663" s="2" t="s">
        <v>35</v>
      </c>
      <c r="F3663" s="2" t="n">
        <v>183</v>
      </c>
      <c r="G3663" s="2" t="n">
        <v>11</v>
      </c>
    </row>
    <row r="3664" customFormat="false" ht="16.5" hidden="false" customHeight="true" outlineLevel="0" collapsed="false">
      <c r="A3664" s="2" t="s">
        <v>447</v>
      </c>
      <c r="B3664" s="2" t="s">
        <v>461</v>
      </c>
      <c r="C3664" s="2" t="n">
        <v>3</v>
      </c>
      <c r="D3664" s="2" t="s">
        <v>598</v>
      </c>
      <c r="E3664" s="2" t="s">
        <v>36</v>
      </c>
      <c r="F3664" s="2" t="n">
        <v>183</v>
      </c>
      <c r="G3664" s="2" t="n">
        <v>15</v>
      </c>
    </row>
    <row r="3665" customFormat="false" ht="16.5" hidden="false" customHeight="true" outlineLevel="0" collapsed="false">
      <c r="A3665" s="2" t="s">
        <v>447</v>
      </c>
      <c r="B3665" s="2" t="s">
        <v>461</v>
      </c>
      <c r="C3665" s="2" t="n">
        <v>3</v>
      </c>
      <c r="D3665" s="2" t="s">
        <v>598</v>
      </c>
      <c r="E3665" s="2" t="s">
        <v>37</v>
      </c>
      <c r="F3665" s="2" t="n">
        <v>183</v>
      </c>
      <c r="G3665" s="2" t="n">
        <v>19</v>
      </c>
    </row>
    <row r="3666" customFormat="false" ht="16.5" hidden="false" customHeight="true" outlineLevel="0" collapsed="false">
      <c r="A3666" s="2" t="s">
        <v>447</v>
      </c>
      <c r="B3666" s="2" t="s">
        <v>461</v>
      </c>
      <c r="C3666" s="2" t="n">
        <v>3</v>
      </c>
      <c r="D3666" s="2" t="s">
        <v>598</v>
      </c>
      <c r="E3666" s="2" t="s">
        <v>38</v>
      </c>
      <c r="F3666" s="2" t="n">
        <v>183</v>
      </c>
      <c r="G3666" s="2" t="n">
        <v>23</v>
      </c>
    </row>
    <row r="3667" customFormat="false" ht="16.5" hidden="false" customHeight="true" outlineLevel="0" collapsed="false">
      <c r="A3667" s="2" t="s">
        <v>447</v>
      </c>
      <c r="B3667" s="2" t="s">
        <v>461</v>
      </c>
      <c r="C3667" s="2" t="n">
        <v>3</v>
      </c>
      <c r="D3667" s="2" t="s">
        <v>598</v>
      </c>
      <c r="E3667" s="2" t="s">
        <v>39</v>
      </c>
      <c r="F3667" s="2" t="n">
        <v>183</v>
      </c>
      <c r="G3667" s="2" t="n">
        <v>27</v>
      </c>
    </row>
    <row r="3668" customFormat="false" ht="16.5" hidden="false" customHeight="true" outlineLevel="0" collapsed="false">
      <c r="A3668" s="2" t="s">
        <v>447</v>
      </c>
      <c r="B3668" s="2" t="s">
        <v>461</v>
      </c>
      <c r="C3668" s="2" t="n">
        <v>3</v>
      </c>
      <c r="D3668" s="2" t="s">
        <v>598</v>
      </c>
      <c r="E3668" s="2" t="s">
        <v>40</v>
      </c>
      <c r="F3668" s="2" t="n">
        <v>183</v>
      </c>
      <c r="G3668" s="2" t="n">
        <v>31</v>
      </c>
    </row>
    <row r="3669" customFormat="false" ht="16.5" hidden="false" customHeight="true" outlineLevel="0" collapsed="false">
      <c r="A3669" s="2" t="s">
        <v>447</v>
      </c>
      <c r="B3669" s="2" t="s">
        <v>461</v>
      </c>
      <c r="C3669" s="2" t="n">
        <v>3</v>
      </c>
      <c r="D3669" s="2" t="s">
        <v>598</v>
      </c>
      <c r="E3669" s="2" t="s">
        <v>41</v>
      </c>
      <c r="F3669" s="2" t="n">
        <v>183</v>
      </c>
      <c r="G3669" s="2" t="n">
        <v>35</v>
      </c>
    </row>
    <row r="3670" customFormat="false" ht="16.5" hidden="false" customHeight="true" outlineLevel="0" collapsed="false">
      <c r="A3670" s="2" t="s">
        <v>447</v>
      </c>
      <c r="B3670" s="2" t="s">
        <v>461</v>
      </c>
      <c r="C3670" s="2" t="n">
        <v>3</v>
      </c>
      <c r="D3670" s="2" t="s">
        <v>598</v>
      </c>
      <c r="E3670" s="2" t="s">
        <v>42</v>
      </c>
      <c r="F3670" s="2" t="n">
        <v>183</v>
      </c>
      <c r="G3670" s="2" t="n">
        <v>39</v>
      </c>
    </row>
    <row r="3671" customFormat="false" ht="16.5" hidden="false" customHeight="true" outlineLevel="0" collapsed="false">
      <c r="A3671" s="2" t="s">
        <v>447</v>
      </c>
      <c r="B3671" s="2" t="s">
        <v>461</v>
      </c>
      <c r="C3671" s="2" t="n">
        <v>3</v>
      </c>
      <c r="D3671" s="2" t="s">
        <v>598</v>
      </c>
      <c r="E3671" s="2" t="s">
        <v>43</v>
      </c>
      <c r="F3671" s="2" t="n">
        <v>183</v>
      </c>
      <c r="G3671" s="2" t="n">
        <v>43</v>
      </c>
    </row>
    <row r="3672" customFormat="false" ht="16.5" hidden="false" customHeight="true" outlineLevel="0" collapsed="false">
      <c r="A3672" s="2" t="s">
        <v>447</v>
      </c>
      <c r="B3672" s="2" t="s">
        <v>461</v>
      </c>
      <c r="C3672" s="2" t="n">
        <v>3</v>
      </c>
      <c r="D3672" s="2" t="s">
        <v>598</v>
      </c>
      <c r="E3672" s="2" t="s">
        <v>44</v>
      </c>
      <c r="F3672" s="2" t="n">
        <v>183</v>
      </c>
      <c r="G3672" s="2" t="n">
        <v>47</v>
      </c>
    </row>
    <row r="3673" customFormat="false" ht="16.5" hidden="false" customHeight="true" outlineLevel="0" collapsed="false">
      <c r="A3673" s="2" t="s">
        <v>447</v>
      </c>
      <c r="B3673" s="2" t="s">
        <v>461</v>
      </c>
      <c r="C3673" s="2" t="n">
        <v>3</v>
      </c>
      <c r="D3673" s="2" t="s">
        <v>598</v>
      </c>
      <c r="E3673" s="2" t="s">
        <v>48</v>
      </c>
      <c r="F3673" s="2" t="n">
        <v>185</v>
      </c>
      <c r="G3673" s="2" t="n">
        <v>16</v>
      </c>
    </row>
    <row r="3674" customFormat="false" ht="16.5" hidden="false" customHeight="true" outlineLevel="0" collapsed="false">
      <c r="A3674" s="2" t="s">
        <v>447</v>
      </c>
      <c r="B3674" s="2" t="s">
        <v>461</v>
      </c>
      <c r="C3674" s="2" t="n">
        <v>3</v>
      </c>
      <c r="D3674" s="2" t="s">
        <v>598</v>
      </c>
      <c r="E3674" s="2" t="s">
        <v>50</v>
      </c>
      <c r="F3674" s="2" t="n">
        <v>185</v>
      </c>
      <c r="G3674" s="2" t="n">
        <v>20</v>
      </c>
    </row>
    <row r="3675" customFormat="false" ht="16.5" hidden="false" customHeight="true" outlineLevel="0" collapsed="false">
      <c r="A3675" s="2" t="s">
        <v>447</v>
      </c>
      <c r="B3675" s="2" t="s">
        <v>461</v>
      </c>
      <c r="C3675" s="2" t="n">
        <v>3</v>
      </c>
      <c r="D3675" s="2" t="s">
        <v>598</v>
      </c>
      <c r="E3675" s="2" t="s">
        <v>45</v>
      </c>
      <c r="F3675" s="2" t="n">
        <v>185</v>
      </c>
      <c r="G3675" s="2" t="n">
        <v>38</v>
      </c>
    </row>
    <row r="3676" customFormat="false" ht="16.5" hidden="false" customHeight="true" outlineLevel="0" collapsed="false">
      <c r="A3676" s="2" t="s">
        <v>447</v>
      </c>
      <c r="B3676" s="2" t="s">
        <v>461</v>
      </c>
      <c r="C3676" s="2" t="n">
        <v>3</v>
      </c>
      <c r="D3676" s="2" t="s">
        <v>598</v>
      </c>
      <c r="E3676" s="2" t="s">
        <v>46</v>
      </c>
      <c r="F3676" s="2" t="n">
        <v>185</v>
      </c>
      <c r="G3676" s="2" t="n">
        <v>42</v>
      </c>
    </row>
    <row r="3677" customFormat="false" ht="16.5" hidden="false" customHeight="true" outlineLevel="0" collapsed="false">
      <c r="A3677" s="2" t="s">
        <v>447</v>
      </c>
      <c r="B3677" s="2" t="s">
        <v>462</v>
      </c>
      <c r="C3677" s="2" t="n">
        <v>3</v>
      </c>
      <c r="D3677" s="2" t="s">
        <v>599</v>
      </c>
      <c r="E3677" s="2" t="s">
        <v>0</v>
      </c>
      <c r="F3677" s="2" t="n">
        <v>190</v>
      </c>
      <c r="G3677" s="2" t="n">
        <v>6</v>
      </c>
    </row>
    <row r="3678" customFormat="false" ht="16.5" hidden="false" customHeight="true" outlineLevel="0" collapsed="false">
      <c r="A3678" s="2" t="s">
        <v>447</v>
      </c>
      <c r="B3678" s="2" t="s">
        <v>462</v>
      </c>
      <c r="C3678" s="2" t="n">
        <v>3</v>
      </c>
      <c r="D3678" s="2" t="s">
        <v>599</v>
      </c>
      <c r="E3678" s="2" t="s">
        <v>1</v>
      </c>
      <c r="F3678" s="2" t="n">
        <v>190</v>
      </c>
      <c r="G3678" s="2" t="n">
        <v>10</v>
      </c>
    </row>
    <row r="3679" customFormat="false" ht="16.5" hidden="false" customHeight="true" outlineLevel="0" collapsed="false">
      <c r="A3679" s="2" t="s">
        <v>447</v>
      </c>
      <c r="B3679" s="2" t="s">
        <v>462</v>
      </c>
      <c r="C3679" s="2" t="n">
        <v>3</v>
      </c>
      <c r="D3679" s="2" t="s">
        <v>599</v>
      </c>
      <c r="E3679" s="2" t="s">
        <v>2</v>
      </c>
      <c r="F3679" s="2" t="n">
        <v>190</v>
      </c>
      <c r="G3679" s="2" t="n">
        <v>14</v>
      </c>
    </row>
    <row r="3680" customFormat="false" ht="16.5" hidden="false" customHeight="true" outlineLevel="0" collapsed="false">
      <c r="A3680" s="2" t="s">
        <v>447</v>
      </c>
      <c r="B3680" s="2" t="s">
        <v>462</v>
      </c>
      <c r="C3680" s="2" t="n">
        <v>3</v>
      </c>
      <c r="D3680" s="2" t="s">
        <v>599</v>
      </c>
      <c r="E3680" s="2" t="s">
        <v>3</v>
      </c>
      <c r="F3680" s="2" t="n">
        <v>190</v>
      </c>
      <c r="G3680" s="2" t="n">
        <v>18</v>
      </c>
    </row>
    <row r="3681" customFormat="false" ht="16.5" hidden="false" customHeight="true" outlineLevel="0" collapsed="false">
      <c r="A3681" s="2" t="s">
        <v>447</v>
      </c>
      <c r="B3681" s="2" t="s">
        <v>462</v>
      </c>
      <c r="C3681" s="2" t="n">
        <v>3</v>
      </c>
      <c r="D3681" s="2" t="s">
        <v>599</v>
      </c>
      <c r="E3681" s="2" t="s">
        <v>4</v>
      </c>
      <c r="F3681" s="2" t="n">
        <v>190</v>
      </c>
      <c r="G3681" s="2" t="n">
        <v>22</v>
      </c>
    </row>
    <row r="3682" customFormat="false" ht="16.5" hidden="false" customHeight="true" outlineLevel="0" collapsed="false">
      <c r="A3682" s="2" t="s">
        <v>447</v>
      </c>
      <c r="B3682" s="2" t="s">
        <v>462</v>
      </c>
      <c r="C3682" s="2" t="n">
        <v>3</v>
      </c>
      <c r="D3682" s="2" t="s">
        <v>599</v>
      </c>
      <c r="E3682" s="2" t="s">
        <v>5</v>
      </c>
      <c r="F3682" s="2" t="n">
        <v>190</v>
      </c>
      <c r="G3682" s="2" t="n">
        <v>26</v>
      </c>
    </row>
    <row r="3683" customFormat="false" ht="16.5" hidden="false" customHeight="true" outlineLevel="0" collapsed="false">
      <c r="A3683" s="2" t="s">
        <v>447</v>
      </c>
      <c r="B3683" s="2" t="s">
        <v>462</v>
      </c>
      <c r="C3683" s="2" t="n">
        <v>3</v>
      </c>
      <c r="D3683" s="2" t="s">
        <v>599</v>
      </c>
      <c r="E3683" s="2" t="s">
        <v>6</v>
      </c>
      <c r="F3683" s="2" t="n">
        <v>190</v>
      </c>
      <c r="G3683" s="2" t="n">
        <v>30</v>
      </c>
    </row>
    <row r="3684" customFormat="false" ht="16.5" hidden="false" customHeight="true" outlineLevel="0" collapsed="false">
      <c r="A3684" s="2" t="s">
        <v>447</v>
      </c>
      <c r="B3684" s="2" t="s">
        <v>462</v>
      </c>
      <c r="C3684" s="2" t="n">
        <v>3</v>
      </c>
      <c r="D3684" s="2" t="s">
        <v>599</v>
      </c>
      <c r="E3684" s="2" t="s">
        <v>7</v>
      </c>
      <c r="F3684" s="2" t="n">
        <v>190</v>
      </c>
      <c r="G3684" s="2" t="n">
        <v>34</v>
      </c>
    </row>
    <row r="3685" customFormat="false" ht="16.5" hidden="false" customHeight="true" outlineLevel="0" collapsed="false">
      <c r="A3685" s="2" t="s">
        <v>447</v>
      </c>
      <c r="B3685" s="2" t="s">
        <v>462</v>
      </c>
      <c r="C3685" s="2" t="n">
        <v>3</v>
      </c>
      <c r="D3685" s="2" t="s">
        <v>599</v>
      </c>
      <c r="E3685" s="2" t="s">
        <v>8</v>
      </c>
      <c r="F3685" s="2" t="n">
        <v>190</v>
      </c>
      <c r="G3685" s="2" t="n">
        <v>38</v>
      </c>
    </row>
    <row r="3686" customFormat="false" ht="16.5" hidden="false" customHeight="true" outlineLevel="0" collapsed="false">
      <c r="A3686" s="2" t="s">
        <v>447</v>
      </c>
      <c r="B3686" s="2" t="s">
        <v>462</v>
      </c>
      <c r="C3686" s="2" t="n">
        <v>3</v>
      </c>
      <c r="D3686" s="2" t="s">
        <v>599</v>
      </c>
      <c r="E3686" s="2" t="s">
        <v>9</v>
      </c>
      <c r="F3686" s="2" t="n">
        <v>190</v>
      </c>
      <c r="G3686" s="2" t="n">
        <v>42</v>
      </c>
    </row>
    <row r="3687" customFormat="false" ht="16.5" hidden="false" customHeight="true" outlineLevel="0" collapsed="false">
      <c r="A3687" s="2" t="s">
        <v>447</v>
      </c>
      <c r="B3687" s="2" t="s">
        <v>462</v>
      </c>
      <c r="C3687" s="2" t="n">
        <v>3</v>
      </c>
      <c r="D3687" s="2" t="s">
        <v>599</v>
      </c>
      <c r="E3687" s="2" t="s">
        <v>10</v>
      </c>
      <c r="F3687" s="2" t="n">
        <v>190</v>
      </c>
      <c r="G3687" s="2" t="n">
        <v>46</v>
      </c>
    </row>
    <row r="3688" customFormat="false" ht="16.5" hidden="false" customHeight="true" outlineLevel="0" collapsed="false">
      <c r="A3688" s="2" t="s">
        <v>447</v>
      </c>
      <c r="B3688" s="2" t="s">
        <v>462</v>
      </c>
      <c r="C3688" s="2" t="n">
        <v>3</v>
      </c>
      <c r="D3688" s="2" t="s">
        <v>599</v>
      </c>
      <c r="E3688" s="2" t="s">
        <v>11</v>
      </c>
      <c r="F3688" s="2" t="n">
        <v>190</v>
      </c>
      <c r="G3688" s="2" t="n">
        <v>50</v>
      </c>
    </row>
    <row r="3689" customFormat="false" ht="16.5" hidden="false" customHeight="true" outlineLevel="0" collapsed="false">
      <c r="A3689" s="2" t="s">
        <v>447</v>
      </c>
      <c r="B3689" s="2" t="s">
        <v>462</v>
      </c>
      <c r="C3689" s="2" t="n">
        <v>3</v>
      </c>
      <c r="D3689" s="2" t="s">
        <v>599</v>
      </c>
      <c r="E3689" s="2" t="s">
        <v>12</v>
      </c>
      <c r="F3689" s="2" t="n">
        <v>192</v>
      </c>
      <c r="G3689" s="2" t="n">
        <v>8</v>
      </c>
    </row>
    <row r="3690" customFormat="false" ht="16.5" hidden="false" customHeight="true" outlineLevel="0" collapsed="false">
      <c r="A3690" s="2" t="s">
        <v>447</v>
      </c>
      <c r="B3690" s="2" t="s">
        <v>462</v>
      </c>
      <c r="C3690" s="2" t="n">
        <v>3</v>
      </c>
      <c r="D3690" s="2" t="s">
        <v>599</v>
      </c>
      <c r="E3690" s="2" t="s">
        <v>13</v>
      </c>
      <c r="F3690" s="2" t="n">
        <v>192</v>
      </c>
      <c r="G3690" s="2" t="n">
        <v>12</v>
      </c>
    </row>
    <row r="3691" customFormat="false" ht="16.5" hidden="false" customHeight="true" outlineLevel="0" collapsed="false">
      <c r="A3691" s="2" t="s">
        <v>447</v>
      </c>
      <c r="B3691" s="2" t="s">
        <v>462</v>
      </c>
      <c r="C3691" s="2" t="n">
        <v>3</v>
      </c>
      <c r="D3691" s="2" t="s">
        <v>599</v>
      </c>
      <c r="E3691" s="2" t="s">
        <v>14</v>
      </c>
      <c r="F3691" s="2" t="n">
        <v>192</v>
      </c>
      <c r="G3691" s="2" t="n">
        <v>16</v>
      </c>
    </row>
    <row r="3692" customFormat="false" ht="16.5" hidden="false" customHeight="true" outlineLevel="0" collapsed="false">
      <c r="A3692" s="2" t="s">
        <v>447</v>
      </c>
      <c r="B3692" s="2" t="s">
        <v>462</v>
      </c>
      <c r="C3692" s="2" t="n">
        <v>3</v>
      </c>
      <c r="D3692" s="2" t="s">
        <v>599</v>
      </c>
      <c r="E3692" s="2" t="s">
        <v>15</v>
      </c>
      <c r="F3692" s="2" t="n">
        <v>192</v>
      </c>
      <c r="G3692" s="2" t="n">
        <v>20</v>
      </c>
    </row>
    <row r="3693" customFormat="false" ht="16.5" hidden="false" customHeight="true" outlineLevel="0" collapsed="false">
      <c r="A3693" s="2" t="s">
        <v>447</v>
      </c>
      <c r="B3693" s="2" t="s">
        <v>462</v>
      </c>
      <c r="C3693" s="2" t="n">
        <v>3</v>
      </c>
      <c r="D3693" s="2" t="s">
        <v>599</v>
      </c>
      <c r="E3693" s="2" t="s">
        <v>16</v>
      </c>
      <c r="F3693" s="2" t="n">
        <v>192</v>
      </c>
      <c r="G3693" s="2" t="n">
        <v>24</v>
      </c>
    </row>
    <row r="3694" customFormat="false" ht="16.5" hidden="false" customHeight="true" outlineLevel="0" collapsed="false">
      <c r="A3694" s="2" t="s">
        <v>447</v>
      </c>
      <c r="B3694" s="2" t="s">
        <v>462</v>
      </c>
      <c r="C3694" s="2" t="n">
        <v>3</v>
      </c>
      <c r="D3694" s="2" t="s">
        <v>599</v>
      </c>
      <c r="E3694" s="2" t="s">
        <v>17</v>
      </c>
      <c r="F3694" s="2" t="n">
        <v>192</v>
      </c>
      <c r="G3694" s="2" t="n">
        <v>28</v>
      </c>
    </row>
    <row r="3695" customFormat="false" ht="16.5" hidden="false" customHeight="true" outlineLevel="0" collapsed="false">
      <c r="A3695" s="2" t="s">
        <v>447</v>
      </c>
      <c r="B3695" s="2" t="s">
        <v>462</v>
      </c>
      <c r="C3695" s="2" t="n">
        <v>3</v>
      </c>
      <c r="D3695" s="2" t="s">
        <v>599</v>
      </c>
      <c r="E3695" s="2" t="s">
        <v>18</v>
      </c>
      <c r="F3695" s="2" t="n">
        <v>192</v>
      </c>
      <c r="G3695" s="2" t="n">
        <v>32</v>
      </c>
    </row>
    <row r="3696" customFormat="false" ht="16.5" hidden="false" customHeight="true" outlineLevel="0" collapsed="false">
      <c r="A3696" s="2" t="s">
        <v>447</v>
      </c>
      <c r="B3696" s="2" t="s">
        <v>462</v>
      </c>
      <c r="C3696" s="2" t="n">
        <v>3</v>
      </c>
      <c r="D3696" s="2" t="s">
        <v>599</v>
      </c>
      <c r="E3696" s="2" t="s">
        <v>19</v>
      </c>
      <c r="F3696" s="2" t="n">
        <v>192</v>
      </c>
      <c r="G3696" s="2" t="n">
        <v>36</v>
      </c>
    </row>
    <row r="3697" customFormat="false" ht="16.5" hidden="false" customHeight="true" outlineLevel="0" collapsed="false">
      <c r="A3697" s="2" t="s">
        <v>447</v>
      </c>
      <c r="B3697" s="2" t="s">
        <v>462</v>
      </c>
      <c r="C3697" s="2" t="n">
        <v>3</v>
      </c>
      <c r="D3697" s="2" t="s">
        <v>599</v>
      </c>
      <c r="E3697" s="2" t="s">
        <v>20</v>
      </c>
      <c r="F3697" s="2" t="n">
        <v>192</v>
      </c>
      <c r="G3697" s="2" t="n">
        <v>40</v>
      </c>
    </row>
    <row r="3698" customFormat="false" ht="16.5" hidden="false" customHeight="true" outlineLevel="0" collapsed="false">
      <c r="A3698" s="2" t="s">
        <v>447</v>
      </c>
      <c r="B3698" s="2" t="s">
        <v>462</v>
      </c>
      <c r="C3698" s="2" t="n">
        <v>3</v>
      </c>
      <c r="D3698" s="2" t="s">
        <v>599</v>
      </c>
      <c r="E3698" s="2" t="s">
        <v>21</v>
      </c>
      <c r="F3698" s="2" t="n">
        <v>192</v>
      </c>
      <c r="G3698" s="2" t="n">
        <v>44</v>
      </c>
    </row>
    <row r="3699" customFormat="false" ht="16.5" hidden="false" customHeight="true" outlineLevel="0" collapsed="false">
      <c r="A3699" s="2" t="s">
        <v>447</v>
      </c>
      <c r="B3699" s="2" t="s">
        <v>462</v>
      </c>
      <c r="C3699" s="2" t="n">
        <v>3</v>
      </c>
      <c r="D3699" s="2" t="s">
        <v>599</v>
      </c>
      <c r="E3699" s="2" t="s">
        <v>22</v>
      </c>
      <c r="F3699" s="2" t="n">
        <v>192</v>
      </c>
      <c r="G3699" s="2" t="n">
        <v>48</v>
      </c>
    </row>
    <row r="3700" customFormat="false" ht="16.5" hidden="false" customHeight="true" outlineLevel="0" collapsed="false">
      <c r="A3700" s="2" t="s">
        <v>447</v>
      </c>
      <c r="B3700" s="2" t="s">
        <v>462</v>
      </c>
      <c r="C3700" s="2" t="n">
        <v>3</v>
      </c>
      <c r="D3700" s="2" t="s">
        <v>599</v>
      </c>
      <c r="E3700" s="2" t="s">
        <v>23</v>
      </c>
      <c r="F3700" s="2" t="n">
        <v>192</v>
      </c>
      <c r="G3700" s="2" t="n">
        <v>52</v>
      </c>
    </row>
    <row r="3701" customFormat="false" ht="16.5" hidden="false" customHeight="true" outlineLevel="0" collapsed="false">
      <c r="A3701" s="2" t="s">
        <v>447</v>
      </c>
      <c r="B3701" s="2" t="s">
        <v>462</v>
      </c>
      <c r="C3701" s="2" t="n">
        <v>3</v>
      </c>
      <c r="D3701" s="2" t="s">
        <v>599</v>
      </c>
      <c r="E3701" s="2" t="s">
        <v>24</v>
      </c>
      <c r="F3701" s="2" t="n">
        <v>194</v>
      </c>
      <c r="G3701" s="2" t="n">
        <v>9</v>
      </c>
    </row>
    <row r="3702" customFormat="false" ht="16.5" hidden="false" customHeight="true" outlineLevel="0" collapsed="false">
      <c r="A3702" s="2" t="s">
        <v>447</v>
      </c>
      <c r="B3702" s="2" t="s">
        <v>462</v>
      </c>
      <c r="C3702" s="2" t="n">
        <v>3</v>
      </c>
      <c r="D3702" s="2" t="s">
        <v>599</v>
      </c>
      <c r="E3702" s="2" t="s">
        <v>25</v>
      </c>
      <c r="F3702" s="2" t="n">
        <v>194</v>
      </c>
      <c r="G3702" s="2" t="n">
        <v>13</v>
      </c>
    </row>
    <row r="3703" customFormat="false" ht="16.5" hidden="false" customHeight="true" outlineLevel="0" collapsed="false">
      <c r="A3703" s="2" t="s">
        <v>447</v>
      </c>
      <c r="B3703" s="2" t="s">
        <v>462</v>
      </c>
      <c r="C3703" s="2" t="n">
        <v>3</v>
      </c>
      <c r="D3703" s="2" t="s">
        <v>599</v>
      </c>
      <c r="E3703" s="2" t="s">
        <v>26</v>
      </c>
      <c r="F3703" s="2" t="n">
        <v>194</v>
      </c>
      <c r="G3703" s="2" t="n">
        <v>17</v>
      </c>
    </row>
    <row r="3704" customFormat="false" ht="16.5" hidden="false" customHeight="true" outlineLevel="0" collapsed="false">
      <c r="A3704" s="2" t="s">
        <v>447</v>
      </c>
      <c r="B3704" s="2" t="s">
        <v>462</v>
      </c>
      <c r="C3704" s="2" t="n">
        <v>3</v>
      </c>
      <c r="D3704" s="2" t="s">
        <v>599</v>
      </c>
      <c r="E3704" s="2" t="s">
        <v>27</v>
      </c>
      <c r="F3704" s="2" t="n">
        <v>194</v>
      </c>
      <c r="G3704" s="2" t="n">
        <v>21</v>
      </c>
    </row>
    <row r="3705" customFormat="false" ht="16.5" hidden="false" customHeight="true" outlineLevel="0" collapsed="false">
      <c r="A3705" s="2" t="s">
        <v>447</v>
      </c>
      <c r="B3705" s="2" t="s">
        <v>462</v>
      </c>
      <c r="C3705" s="2" t="n">
        <v>3</v>
      </c>
      <c r="D3705" s="2" t="s">
        <v>599</v>
      </c>
      <c r="E3705" s="2" t="s">
        <v>28</v>
      </c>
      <c r="F3705" s="2" t="n">
        <v>194</v>
      </c>
      <c r="G3705" s="2" t="n">
        <v>25</v>
      </c>
    </row>
    <row r="3706" customFormat="false" ht="16.5" hidden="false" customHeight="true" outlineLevel="0" collapsed="false">
      <c r="A3706" s="2" t="s">
        <v>447</v>
      </c>
      <c r="B3706" s="2" t="s">
        <v>462</v>
      </c>
      <c r="C3706" s="2" t="n">
        <v>3</v>
      </c>
      <c r="D3706" s="2" t="s">
        <v>599</v>
      </c>
      <c r="E3706" s="2" t="s">
        <v>29</v>
      </c>
      <c r="F3706" s="2" t="n">
        <v>194</v>
      </c>
      <c r="G3706" s="2" t="n">
        <v>29</v>
      </c>
    </row>
    <row r="3707" customFormat="false" ht="16.5" hidden="false" customHeight="true" outlineLevel="0" collapsed="false">
      <c r="A3707" s="2" t="s">
        <v>447</v>
      </c>
      <c r="B3707" s="2" t="s">
        <v>462</v>
      </c>
      <c r="C3707" s="2" t="n">
        <v>3</v>
      </c>
      <c r="D3707" s="2" t="s">
        <v>599</v>
      </c>
      <c r="E3707" s="2" t="s">
        <v>30</v>
      </c>
      <c r="F3707" s="2" t="n">
        <v>194</v>
      </c>
      <c r="G3707" s="2" t="n">
        <v>33</v>
      </c>
    </row>
    <row r="3708" customFormat="false" ht="16.5" hidden="false" customHeight="true" outlineLevel="0" collapsed="false">
      <c r="A3708" s="2" t="s">
        <v>447</v>
      </c>
      <c r="B3708" s="2" t="s">
        <v>462</v>
      </c>
      <c r="C3708" s="2" t="n">
        <v>3</v>
      </c>
      <c r="D3708" s="2" t="s">
        <v>599</v>
      </c>
      <c r="E3708" s="2" t="s">
        <v>31</v>
      </c>
      <c r="F3708" s="2" t="n">
        <v>194</v>
      </c>
      <c r="G3708" s="2" t="n">
        <v>37</v>
      </c>
    </row>
    <row r="3709" customFormat="false" ht="16.5" hidden="false" customHeight="true" outlineLevel="0" collapsed="false">
      <c r="A3709" s="2" t="s">
        <v>447</v>
      </c>
      <c r="B3709" s="2" t="s">
        <v>462</v>
      </c>
      <c r="C3709" s="2" t="n">
        <v>3</v>
      </c>
      <c r="D3709" s="2" t="s">
        <v>599</v>
      </c>
      <c r="E3709" s="2" t="s">
        <v>32</v>
      </c>
      <c r="F3709" s="2" t="n">
        <v>194</v>
      </c>
      <c r="G3709" s="2" t="n">
        <v>41</v>
      </c>
    </row>
    <row r="3710" customFormat="false" ht="16.5" hidden="false" customHeight="true" outlineLevel="0" collapsed="false">
      <c r="A3710" s="2" t="s">
        <v>447</v>
      </c>
      <c r="B3710" s="2" t="s">
        <v>462</v>
      </c>
      <c r="C3710" s="2" t="n">
        <v>3</v>
      </c>
      <c r="D3710" s="2" t="s">
        <v>599</v>
      </c>
      <c r="E3710" s="2" t="s">
        <v>33</v>
      </c>
      <c r="F3710" s="2" t="n">
        <v>194</v>
      </c>
      <c r="G3710" s="2" t="n">
        <v>45</v>
      </c>
    </row>
    <row r="3711" customFormat="false" ht="16.5" hidden="false" customHeight="true" outlineLevel="0" collapsed="false">
      <c r="A3711" s="2" t="s">
        <v>447</v>
      </c>
      <c r="B3711" s="2" t="s">
        <v>462</v>
      </c>
      <c r="C3711" s="2" t="n">
        <v>3</v>
      </c>
      <c r="D3711" s="2" t="s">
        <v>599</v>
      </c>
      <c r="E3711" s="2" t="s">
        <v>34</v>
      </c>
      <c r="F3711" s="2" t="n">
        <v>194</v>
      </c>
      <c r="G3711" s="2" t="n">
        <v>49</v>
      </c>
    </row>
    <row r="3712" customFormat="false" ht="16.5" hidden="false" customHeight="true" outlineLevel="0" collapsed="false">
      <c r="A3712" s="2" t="s">
        <v>447</v>
      </c>
      <c r="B3712" s="2" t="s">
        <v>462</v>
      </c>
      <c r="C3712" s="2" t="n">
        <v>3</v>
      </c>
      <c r="D3712" s="2" t="s">
        <v>599</v>
      </c>
      <c r="E3712" s="2" t="s">
        <v>35</v>
      </c>
      <c r="F3712" s="2" t="n">
        <v>196</v>
      </c>
      <c r="G3712" s="2" t="n">
        <v>11</v>
      </c>
    </row>
    <row r="3713" customFormat="false" ht="16.5" hidden="false" customHeight="true" outlineLevel="0" collapsed="false">
      <c r="A3713" s="2" t="s">
        <v>447</v>
      </c>
      <c r="B3713" s="2" t="s">
        <v>462</v>
      </c>
      <c r="C3713" s="2" t="n">
        <v>3</v>
      </c>
      <c r="D3713" s="2" t="s">
        <v>599</v>
      </c>
      <c r="E3713" s="2" t="s">
        <v>36</v>
      </c>
      <c r="F3713" s="2" t="n">
        <v>196</v>
      </c>
      <c r="G3713" s="2" t="n">
        <v>15</v>
      </c>
    </row>
    <row r="3714" customFormat="false" ht="16.5" hidden="false" customHeight="true" outlineLevel="0" collapsed="false">
      <c r="A3714" s="2" t="s">
        <v>447</v>
      </c>
      <c r="B3714" s="2" t="s">
        <v>462</v>
      </c>
      <c r="C3714" s="2" t="n">
        <v>3</v>
      </c>
      <c r="D3714" s="2" t="s">
        <v>599</v>
      </c>
      <c r="E3714" s="2" t="s">
        <v>37</v>
      </c>
      <c r="F3714" s="2" t="n">
        <v>196</v>
      </c>
      <c r="G3714" s="2" t="n">
        <v>19</v>
      </c>
    </row>
    <row r="3715" customFormat="false" ht="16.5" hidden="false" customHeight="true" outlineLevel="0" collapsed="false">
      <c r="A3715" s="2" t="s">
        <v>447</v>
      </c>
      <c r="B3715" s="2" t="s">
        <v>462</v>
      </c>
      <c r="C3715" s="2" t="n">
        <v>3</v>
      </c>
      <c r="D3715" s="2" t="s">
        <v>599</v>
      </c>
      <c r="E3715" s="2" t="s">
        <v>38</v>
      </c>
      <c r="F3715" s="2" t="n">
        <v>196</v>
      </c>
      <c r="G3715" s="2" t="n">
        <v>23</v>
      </c>
    </row>
    <row r="3716" customFormat="false" ht="16.5" hidden="false" customHeight="true" outlineLevel="0" collapsed="false">
      <c r="A3716" s="2" t="s">
        <v>447</v>
      </c>
      <c r="B3716" s="2" t="s">
        <v>462</v>
      </c>
      <c r="C3716" s="2" t="n">
        <v>3</v>
      </c>
      <c r="D3716" s="2" t="s">
        <v>599</v>
      </c>
      <c r="E3716" s="2" t="s">
        <v>39</v>
      </c>
      <c r="F3716" s="2" t="n">
        <v>196</v>
      </c>
      <c r="G3716" s="2" t="n">
        <v>27</v>
      </c>
    </row>
    <row r="3717" customFormat="false" ht="16.5" hidden="false" customHeight="true" outlineLevel="0" collapsed="false">
      <c r="A3717" s="2" t="s">
        <v>447</v>
      </c>
      <c r="B3717" s="2" t="s">
        <v>462</v>
      </c>
      <c r="C3717" s="2" t="n">
        <v>3</v>
      </c>
      <c r="D3717" s="2" t="s">
        <v>599</v>
      </c>
      <c r="E3717" s="2" t="s">
        <v>40</v>
      </c>
      <c r="F3717" s="2" t="n">
        <v>196</v>
      </c>
      <c r="G3717" s="2" t="n">
        <v>31</v>
      </c>
    </row>
    <row r="3718" customFormat="false" ht="16.5" hidden="false" customHeight="true" outlineLevel="0" collapsed="false">
      <c r="A3718" s="2" t="s">
        <v>447</v>
      </c>
      <c r="B3718" s="2" t="s">
        <v>462</v>
      </c>
      <c r="C3718" s="2" t="n">
        <v>3</v>
      </c>
      <c r="D3718" s="2" t="s">
        <v>599</v>
      </c>
      <c r="E3718" s="2" t="s">
        <v>41</v>
      </c>
      <c r="F3718" s="2" t="n">
        <v>196</v>
      </c>
      <c r="G3718" s="2" t="n">
        <v>35</v>
      </c>
    </row>
    <row r="3719" customFormat="false" ht="16.5" hidden="false" customHeight="true" outlineLevel="0" collapsed="false">
      <c r="A3719" s="2" t="s">
        <v>447</v>
      </c>
      <c r="B3719" s="2" t="s">
        <v>462</v>
      </c>
      <c r="C3719" s="2" t="n">
        <v>3</v>
      </c>
      <c r="D3719" s="2" t="s">
        <v>599</v>
      </c>
      <c r="E3719" s="2" t="s">
        <v>42</v>
      </c>
      <c r="F3719" s="2" t="n">
        <v>196</v>
      </c>
      <c r="G3719" s="2" t="n">
        <v>39</v>
      </c>
    </row>
    <row r="3720" customFormat="false" ht="16.5" hidden="false" customHeight="true" outlineLevel="0" collapsed="false">
      <c r="A3720" s="2" t="s">
        <v>447</v>
      </c>
      <c r="B3720" s="2" t="s">
        <v>462</v>
      </c>
      <c r="C3720" s="2" t="n">
        <v>3</v>
      </c>
      <c r="D3720" s="2" t="s">
        <v>599</v>
      </c>
      <c r="E3720" s="2" t="s">
        <v>43</v>
      </c>
      <c r="F3720" s="2" t="n">
        <v>196</v>
      </c>
      <c r="G3720" s="2" t="n">
        <v>43</v>
      </c>
    </row>
    <row r="3721" customFormat="false" ht="16.5" hidden="false" customHeight="true" outlineLevel="0" collapsed="false">
      <c r="A3721" s="2" t="s">
        <v>447</v>
      </c>
      <c r="B3721" s="2" t="s">
        <v>462</v>
      </c>
      <c r="C3721" s="2" t="n">
        <v>3</v>
      </c>
      <c r="D3721" s="2" t="s">
        <v>599</v>
      </c>
      <c r="E3721" s="2" t="s">
        <v>44</v>
      </c>
      <c r="F3721" s="2" t="n">
        <v>196</v>
      </c>
      <c r="G3721" s="2" t="n">
        <v>47</v>
      </c>
    </row>
    <row r="3722" customFormat="false" ht="16.5" hidden="false" customHeight="true" outlineLevel="0" collapsed="false">
      <c r="A3722" s="2" t="s">
        <v>447</v>
      </c>
      <c r="B3722" s="2" t="s">
        <v>462</v>
      </c>
      <c r="C3722" s="2" t="n">
        <v>3</v>
      </c>
      <c r="D3722" s="2" t="s">
        <v>599</v>
      </c>
      <c r="E3722" s="2" t="s">
        <v>48</v>
      </c>
      <c r="F3722" s="2" t="n">
        <v>198</v>
      </c>
      <c r="G3722" s="2" t="n">
        <v>16</v>
      </c>
    </row>
    <row r="3723" customFormat="false" ht="16.5" hidden="false" customHeight="true" outlineLevel="0" collapsed="false">
      <c r="A3723" s="2" t="s">
        <v>447</v>
      </c>
      <c r="B3723" s="2" t="s">
        <v>462</v>
      </c>
      <c r="C3723" s="2" t="n">
        <v>3</v>
      </c>
      <c r="D3723" s="2" t="s">
        <v>599</v>
      </c>
      <c r="E3723" s="2" t="s">
        <v>50</v>
      </c>
      <c r="F3723" s="2" t="n">
        <v>198</v>
      </c>
      <c r="G3723" s="2" t="n">
        <v>20</v>
      </c>
    </row>
    <row r="3724" customFormat="false" ht="16.5" hidden="false" customHeight="true" outlineLevel="0" collapsed="false">
      <c r="A3724" s="2" t="s">
        <v>447</v>
      </c>
      <c r="B3724" s="2" t="s">
        <v>462</v>
      </c>
      <c r="C3724" s="2" t="n">
        <v>3</v>
      </c>
      <c r="D3724" s="2" t="s">
        <v>599</v>
      </c>
      <c r="E3724" s="2" t="s">
        <v>45</v>
      </c>
      <c r="F3724" s="2" t="n">
        <v>198</v>
      </c>
      <c r="G3724" s="2" t="n">
        <v>38</v>
      </c>
    </row>
    <row r="3725" customFormat="false" ht="16.5" hidden="false" customHeight="true" outlineLevel="0" collapsed="false">
      <c r="A3725" s="2" t="s">
        <v>447</v>
      </c>
      <c r="B3725" s="2" t="s">
        <v>462</v>
      </c>
      <c r="C3725" s="2" t="n">
        <v>3</v>
      </c>
      <c r="D3725" s="2" t="s">
        <v>599</v>
      </c>
      <c r="E3725" s="2" t="s">
        <v>46</v>
      </c>
      <c r="F3725" s="2" t="n">
        <v>198</v>
      </c>
      <c r="G3725" s="2" t="n">
        <v>42</v>
      </c>
    </row>
    <row r="3726" customFormat="false" ht="16.5" hidden="false" customHeight="true" outlineLevel="0" collapsed="false">
      <c r="A3726" s="2" t="s">
        <v>447</v>
      </c>
      <c r="B3726" s="2" t="s">
        <v>463</v>
      </c>
      <c r="C3726" s="2" t="n">
        <v>3</v>
      </c>
      <c r="D3726" s="2" t="s">
        <v>600</v>
      </c>
      <c r="E3726" s="2" t="s">
        <v>0</v>
      </c>
      <c r="F3726" s="2" t="n">
        <v>203</v>
      </c>
      <c r="G3726" s="2" t="n">
        <v>6</v>
      </c>
    </row>
    <row r="3727" customFormat="false" ht="16.5" hidden="false" customHeight="true" outlineLevel="0" collapsed="false">
      <c r="A3727" s="2" t="s">
        <v>447</v>
      </c>
      <c r="B3727" s="2" t="s">
        <v>463</v>
      </c>
      <c r="C3727" s="2" t="n">
        <v>3</v>
      </c>
      <c r="D3727" s="2" t="s">
        <v>600</v>
      </c>
      <c r="E3727" s="2" t="s">
        <v>1</v>
      </c>
      <c r="F3727" s="2" t="n">
        <v>203</v>
      </c>
      <c r="G3727" s="2" t="n">
        <v>10</v>
      </c>
    </row>
    <row r="3728" customFormat="false" ht="16.5" hidden="false" customHeight="true" outlineLevel="0" collapsed="false">
      <c r="A3728" s="2" t="s">
        <v>447</v>
      </c>
      <c r="B3728" s="2" t="s">
        <v>463</v>
      </c>
      <c r="C3728" s="2" t="n">
        <v>3</v>
      </c>
      <c r="D3728" s="2" t="s">
        <v>600</v>
      </c>
      <c r="E3728" s="2" t="s">
        <v>2</v>
      </c>
      <c r="F3728" s="2" t="n">
        <v>203</v>
      </c>
      <c r="G3728" s="2" t="n">
        <v>14</v>
      </c>
    </row>
    <row r="3729" customFormat="false" ht="16.5" hidden="false" customHeight="true" outlineLevel="0" collapsed="false">
      <c r="A3729" s="2" t="s">
        <v>447</v>
      </c>
      <c r="B3729" s="2" t="s">
        <v>463</v>
      </c>
      <c r="C3729" s="2" t="n">
        <v>3</v>
      </c>
      <c r="D3729" s="2" t="s">
        <v>600</v>
      </c>
      <c r="E3729" s="2" t="s">
        <v>3</v>
      </c>
      <c r="F3729" s="2" t="n">
        <v>203</v>
      </c>
      <c r="G3729" s="2" t="n">
        <v>18</v>
      </c>
    </row>
    <row r="3730" customFormat="false" ht="16.5" hidden="false" customHeight="true" outlineLevel="0" collapsed="false">
      <c r="A3730" s="2" t="s">
        <v>447</v>
      </c>
      <c r="B3730" s="2" t="s">
        <v>463</v>
      </c>
      <c r="C3730" s="2" t="n">
        <v>3</v>
      </c>
      <c r="D3730" s="2" t="s">
        <v>600</v>
      </c>
      <c r="E3730" s="2" t="s">
        <v>4</v>
      </c>
      <c r="F3730" s="2" t="n">
        <v>203</v>
      </c>
      <c r="G3730" s="2" t="n">
        <v>22</v>
      </c>
    </row>
    <row r="3731" customFormat="false" ht="16.5" hidden="false" customHeight="true" outlineLevel="0" collapsed="false">
      <c r="A3731" s="2" t="s">
        <v>447</v>
      </c>
      <c r="B3731" s="2" t="s">
        <v>463</v>
      </c>
      <c r="C3731" s="2" t="n">
        <v>3</v>
      </c>
      <c r="D3731" s="2" t="s">
        <v>600</v>
      </c>
      <c r="E3731" s="2" t="s">
        <v>5</v>
      </c>
      <c r="F3731" s="2" t="n">
        <v>203</v>
      </c>
      <c r="G3731" s="2" t="n">
        <v>26</v>
      </c>
    </row>
    <row r="3732" customFormat="false" ht="16.5" hidden="false" customHeight="true" outlineLevel="0" collapsed="false">
      <c r="A3732" s="2" t="s">
        <v>447</v>
      </c>
      <c r="B3732" s="2" t="s">
        <v>463</v>
      </c>
      <c r="C3732" s="2" t="n">
        <v>3</v>
      </c>
      <c r="D3732" s="2" t="s">
        <v>600</v>
      </c>
      <c r="E3732" s="2" t="s">
        <v>6</v>
      </c>
      <c r="F3732" s="2" t="n">
        <v>203</v>
      </c>
      <c r="G3732" s="2" t="n">
        <v>30</v>
      </c>
    </row>
    <row r="3733" customFormat="false" ht="16.5" hidden="false" customHeight="true" outlineLevel="0" collapsed="false">
      <c r="A3733" s="2" t="s">
        <v>447</v>
      </c>
      <c r="B3733" s="2" t="s">
        <v>463</v>
      </c>
      <c r="C3733" s="2" t="n">
        <v>3</v>
      </c>
      <c r="D3733" s="2" t="s">
        <v>600</v>
      </c>
      <c r="E3733" s="2" t="s">
        <v>7</v>
      </c>
      <c r="F3733" s="2" t="n">
        <v>203</v>
      </c>
      <c r="G3733" s="2" t="n">
        <v>34</v>
      </c>
    </row>
    <row r="3734" customFormat="false" ht="16.5" hidden="false" customHeight="true" outlineLevel="0" collapsed="false">
      <c r="A3734" s="2" t="s">
        <v>447</v>
      </c>
      <c r="B3734" s="2" t="s">
        <v>463</v>
      </c>
      <c r="C3734" s="2" t="n">
        <v>3</v>
      </c>
      <c r="D3734" s="2" t="s">
        <v>600</v>
      </c>
      <c r="E3734" s="2" t="s">
        <v>8</v>
      </c>
      <c r="F3734" s="2" t="n">
        <v>203</v>
      </c>
      <c r="G3734" s="2" t="n">
        <v>38</v>
      </c>
    </row>
    <row r="3735" customFormat="false" ht="16.5" hidden="false" customHeight="true" outlineLevel="0" collapsed="false">
      <c r="A3735" s="2" t="s">
        <v>447</v>
      </c>
      <c r="B3735" s="2" t="s">
        <v>463</v>
      </c>
      <c r="C3735" s="2" t="n">
        <v>3</v>
      </c>
      <c r="D3735" s="2" t="s">
        <v>600</v>
      </c>
      <c r="E3735" s="2" t="s">
        <v>9</v>
      </c>
      <c r="F3735" s="2" t="n">
        <v>203</v>
      </c>
      <c r="G3735" s="2" t="n">
        <v>42</v>
      </c>
    </row>
    <row r="3736" customFormat="false" ht="16.5" hidden="false" customHeight="true" outlineLevel="0" collapsed="false">
      <c r="A3736" s="2" t="s">
        <v>447</v>
      </c>
      <c r="B3736" s="2" t="s">
        <v>463</v>
      </c>
      <c r="C3736" s="2" t="n">
        <v>3</v>
      </c>
      <c r="D3736" s="2" t="s">
        <v>600</v>
      </c>
      <c r="E3736" s="2" t="s">
        <v>10</v>
      </c>
      <c r="F3736" s="2" t="n">
        <v>203</v>
      </c>
      <c r="G3736" s="2" t="n">
        <v>46</v>
      </c>
    </row>
    <row r="3737" customFormat="false" ht="16.5" hidden="false" customHeight="true" outlineLevel="0" collapsed="false">
      <c r="A3737" s="2" t="s">
        <v>447</v>
      </c>
      <c r="B3737" s="2" t="s">
        <v>463</v>
      </c>
      <c r="C3737" s="2" t="n">
        <v>3</v>
      </c>
      <c r="D3737" s="2" t="s">
        <v>600</v>
      </c>
      <c r="E3737" s="2" t="s">
        <v>11</v>
      </c>
      <c r="F3737" s="2" t="n">
        <v>203</v>
      </c>
      <c r="G3737" s="2" t="n">
        <v>50</v>
      </c>
    </row>
    <row r="3738" customFormat="false" ht="16.5" hidden="false" customHeight="true" outlineLevel="0" collapsed="false">
      <c r="A3738" s="2" t="s">
        <v>447</v>
      </c>
      <c r="B3738" s="2" t="s">
        <v>463</v>
      </c>
      <c r="C3738" s="2" t="n">
        <v>3</v>
      </c>
      <c r="D3738" s="2" t="s">
        <v>600</v>
      </c>
      <c r="E3738" s="2" t="s">
        <v>12</v>
      </c>
      <c r="F3738" s="2" t="n">
        <v>205</v>
      </c>
      <c r="G3738" s="2" t="n">
        <v>8</v>
      </c>
    </row>
    <row r="3739" customFormat="false" ht="16.5" hidden="false" customHeight="true" outlineLevel="0" collapsed="false">
      <c r="A3739" s="2" t="s">
        <v>447</v>
      </c>
      <c r="B3739" s="2" t="s">
        <v>463</v>
      </c>
      <c r="C3739" s="2" t="n">
        <v>3</v>
      </c>
      <c r="D3739" s="2" t="s">
        <v>600</v>
      </c>
      <c r="E3739" s="2" t="s">
        <v>13</v>
      </c>
      <c r="F3739" s="2" t="n">
        <v>205</v>
      </c>
      <c r="G3739" s="2" t="n">
        <v>12</v>
      </c>
    </row>
    <row r="3740" customFormat="false" ht="16.5" hidden="false" customHeight="true" outlineLevel="0" collapsed="false">
      <c r="A3740" s="2" t="s">
        <v>447</v>
      </c>
      <c r="B3740" s="2" t="s">
        <v>463</v>
      </c>
      <c r="C3740" s="2" t="n">
        <v>3</v>
      </c>
      <c r="D3740" s="2" t="s">
        <v>600</v>
      </c>
      <c r="E3740" s="2" t="s">
        <v>14</v>
      </c>
      <c r="F3740" s="2" t="n">
        <v>205</v>
      </c>
      <c r="G3740" s="2" t="n">
        <v>16</v>
      </c>
    </row>
    <row r="3741" customFormat="false" ht="16.5" hidden="false" customHeight="true" outlineLevel="0" collapsed="false">
      <c r="A3741" s="2" t="s">
        <v>447</v>
      </c>
      <c r="B3741" s="2" t="s">
        <v>463</v>
      </c>
      <c r="C3741" s="2" t="n">
        <v>3</v>
      </c>
      <c r="D3741" s="2" t="s">
        <v>600</v>
      </c>
      <c r="E3741" s="2" t="s">
        <v>15</v>
      </c>
      <c r="F3741" s="2" t="n">
        <v>205</v>
      </c>
      <c r="G3741" s="2" t="n">
        <v>20</v>
      </c>
    </row>
    <row r="3742" customFormat="false" ht="16.5" hidden="false" customHeight="true" outlineLevel="0" collapsed="false">
      <c r="A3742" s="2" t="s">
        <v>447</v>
      </c>
      <c r="B3742" s="2" t="s">
        <v>463</v>
      </c>
      <c r="C3742" s="2" t="n">
        <v>3</v>
      </c>
      <c r="D3742" s="2" t="s">
        <v>600</v>
      </c>
      <c r="E3742" s="2" t="s">
        <v>16</v>
      </c>
      <c r="F3742" s="2" t="n">
        <v>205</v>
      </c>
      <c r="G3742" s="2" t="n">
        <v>24</v>
      </c>
    </row>
    <row r="3743" customFormat="false" ht="16.5" hidden="false" customHeight="true" outlineLevel="0" collapsed="false">
      <c r="A3743" s="2" t="s">
        <v>447</v>
      </c>
      <c r="B3743" s="2" t="s">
        <v>463</v>
      </c>
      <c r="C3743" s="2" t="n">
        <v>3</v>
      </c>
      <c r="D3743" s="2" t="s">
        <v>600</v>
      </c>
      <c r="E3743" s="2" t="s">
        <v>17</v>
      </c>
      <c r="F3743" s="2" t="n">
        <v>205</v>
      </c>
      <c r="G3743" s="2" t="n">
        <v>28</v>
      </c>
    </row>
    <row r="3744" customFormat="false" ht="16.5" hidden="false" customHeight="true" outlineLevel="0" collapsed="false">
      <c r="A3744" s="2" t="s">
        <v>447</v>
      </c>
      <c r="B3744" s="2" t="s">
        <v>463</v>
      </c>
      <c r="C3744" s="2" t="n">
        <v>3</v>
      </c>
      <c r="D3744" s="2" t="s">
        <v>600</v>
      </c>
      <c r="E3744" s="2" t="s">
        <v>18</v>
      </c>
      <c r="F3744" s="2" t="n">
        <v>205</v>
      </c>
      <c r="G3744" s="2" t="n">
        <v>32</v>
      </c>
    </row>
    <row r="3745" customFormat="false" ht="16.5" hidden="false" customHeight="true" outlineLevel="0" collapsed="false">
      <c r="A3745" s="2" t="s">
        <v>447</v>
      </c>
      <c r="B3745" s="2" t="s">
        <v>463</v>
      </c>
      <c r="C3745" s="2" t="n">
        <v>3</v>
      </c>
      <c r="D3745" s="2" t="s">
        <v>600</v>
      </c>
      <c r="E3745" s="2" t="s">
        <v>19</v>
      </c>
      <c r="F3745" s="2" t="n">
        <v>205</v>
      </c>
      <c r="G3745" s="2" t="n">
        <v>36</v>
      </c>
    </row>
    <row r="3746" customFormat="false" ht="16.5" hidden="false" customHeight="true" outlineLevel="0" collapsed="false">
      <c r="A3746" s="2" t="s">
        <v>447</v>
      </c>
      <c r="B3746" s="2" t="s">
        <v>463</v>
      </c>
      <c r="C3746" s="2" t="n">
        <v>3</v>
      </c>
      <c r="D3746" s="2" t="s">
        <v>600</v>
      </c>
      <c r="E3746" s="2" t="s">
        <v>20</v>
      </c>
      <c r="F3746" s="2" t="n">
        <v>205</v>
      </c>
      <c r="G3746" s="2" t="n">
        <v>40</v>
      </c>
    </row>
    <row r="3747" customFormat="false" ht="16.5" hidden="false" customHeight="true" outlineLevel="0" collapsed="false">
      <c r="A3747" s="2" t="s">
        <v>447</v>
      </c>
      <c r="B3747" s="2" t="s">
        <v>463</v>
      </c>
      <c r="C3747" s="2" t="n">
        <v>3</v>
      </c>
      <c r="D3747" s="2" t="s">
        <v>600</v>
      </c>
      <c r="E3747" s="2" t="s">
        <v>21</v>
      </c>
      <c r="F3747" s="2" t="n">
        <v>205</v>
      </c>
      <c r="G3747" s="2" t="n">
        <v>44</v>
      </c>
    </row>
    <row r="3748" customFormat="false" ht="16.5" hidden="false" customHeight="true" outlineLevel="0" collapsed="false">
      <c r="A3748" s="2" t="s">
        <v>447</v>
      </c>
      <c r="B3748" s="2" t="s">
        <v>463</v>
      </c>
      <c r="C3748" s="2" t="n">
        <v>3</v>
      </c>
      <c r="D3748" s="2" t="s">
        <v>600</v>
      </c>
      <c r="E3748" s="2" t="s">
        <v>22</v>
      </c>
      <c r="F3748" s="2" t="n">
        <v>205</v>
      </c>
      <c r="G3748" s="2" t="n">
        <v>48</v>
      </c>
    </row>
    <row r="3749" customFormat="false" ht="16.5" hidden="false" customHeight="true" outlineLevel="0" collapsed="false">
      <c r="A3749" s="2" t="s">
        <v>447</v>
      </c>
      <c r="B3749" s="2" t="s">
        <v>463</v>
      </c>
      <c r="C3749" s="2" t="n">
        <v>3</v>
      </c>
      <c r="D3749" s="2" t="s">
        <v>600</v>
      </c>
      <c r="E3749" s="2" t="s">
        <v>23</v>
      </c>
      <c r="F3749" s="2" t="n">
        <v>205</v>
      </c>
      <c r="G3749" s="2" t="n">
        <v>52</v>
      </c>
    </row>
    <row r="3750" customFormat="false" ht="16.5" hidden="false" customHeight="true" outlineLevel="0" collapsed="false">
      <c r="A3750" s="2" t="s">
        <v>447</v>
      </c>
      <c r="B3750" s="2" t="s">
        <v>463</v>
      </c>
      <c r="C3750" s="2" t="n">
        <v>3</v>
      </c>
      <c r="D3750" s="2" t="s">
        <v>600</v>
      </c>
      <c r="E3750" s="2" t="s">
        <v>24</v>
      </c>
      <c r="F3750" s="2" t="n">
        <v>207</v>
      </c>
      <c r="G3750" s="2" t="n">
        <v>9</v>
      </c>
    </row>
    <row r="3751" customFormat="false" ht="16.5" hidden="false" customHeight="true" outlineLevel="0" collapsed="false">
      <c r="A3751" s="2" t="s">
        <v>447</v>
      </c>
      <c r="B3751" s="2" t="s">
        <v>463</v>
      </c>
      <c r="C3751" s="2" t="n">
        <v>3</v>
      </c>
      <c r="D3751" s="2" t="s">
        <v>600</v>
      </c>
      <c r="E3751" s="2" t="s">
        <v>25</v>
      </c>
      <c r="F3751" s="2" t="n">
        <v>207</v>
      </c>
      <c r="G3751" s="2" t="n">
        <v>13</v>
      </c>
    </row>
    <row r="3752" customFormat="false" ht="16.5" hidden="false" customHeight="true" outlineLevel="0" collapsed="false">
      <c r="A3752" s="2" t="s">
        <v>447</v>
      </c>
      <c r="B3752" s="2" t="s">
        <v>463</v>
      </c>
      <c r="C3752" s="2" t="n">
        <v>3</v>
      </c>
      <c r="D3752" s="2" t="s">
        <v>600</v>
      </c>
      <c r="E3752" s="2" t="s">
        <v>26</v>
      </c>
      <c r="F3752" s="2" t="n">
        <v>207</v>
      </c>
      <c r="G3752" s="2" t="n">
        <v>17</v>
      </c>
    </row>
    <row r="3753" customFormat="false" ht="16.5" hidden="false" customHeight="true" outlineLevel="0" collapsed="false">
      <c r="A3753" s="2" t="s">
        <v>447</v>
      </c>
      <c r="B3753" s="2" t="s">
        <v>463</v>
      </c>
      <c r="C3753" s="2" t="n">
        <v>3</v>
      </c>
      <c r="D3753" s="2" t="s">
        <v>600</v>
      </c>
      <c r="E3753" s="2" t="s">
        <v>27</v>
      </c>
      <c r="F3753" s="2" t="n">
        <v>207</v>
      </c>
      <c r="G3753" s="2" t="n">
        <v>21</v>
      </c>
    </row>
    <row r="3754" customFormat="false" ht="16.5" hidden="false" customHeight="true" outlineLevel="0" collapsed="false">
      <c r="A3754" s="2" t="s">
        <v>447</v>
      </c>
      <c r="B3754" s="2" t="s">
        <v>463</v>
      </c>
      <c r="C3754" s="2" t="n">
        <v>3</v>
      </c>
      <c r="D3754" s="2" t="s">
        <v>600</v>
      </c>
      <c r="E3754" s="2" t="s">
        <v>28</v>
      </c>
      <c r="F3754" s="2" t="n">
        <v>207</v>
      </c>
      <c r="G3754" s="2" t="n">
        <v>25</v>
      </c>
    </row>
    <row r="3755" customFormat="false" ht="16.5" hidden="false" customHeight="true" outlineLevel="0" collapsed="false">
      <c r="A3755" s="2" t="s">
        <v>447</v>
      </c>
      <c r="B3755" s="2" t="s">
        <v>463</v>
      </c>
      <c r="C3755" s="2" t="n">
        <v>3</v>
      </c>
      <c r="D3755" s="2" t="s">
        <v>600</v>
      </c>
      <c r="E3755" s="2" t="s">
        <v>29</v>
      </c>
      <c r="F3755" s="2" t="n">
        <v>207</v>
      </c>
      <c r="G3755" s="2" t="n">
        <v>29</v>
      </c>
    </row>
    <row r="3756" customFormat="false" ht="16.5" hidden="false" customHeight="true" outlineLevel="0" collapsed="false">
      <c r="A3756" s="2" t="s">
        <v>447</v>
      </c>
      <c r="B3756" s="2" t="s">
        <v>463</v>
      </c>
      <c r="C3756" s="2" t="n">
        <v>3</v>
      </c>
      <c r="D3756" s="2" t="s">
        <v>600</v>
      </c>
      <c r="E3756" s="2" t="s">
        <v>30</v>
      </c>
      <c r="F3756" s="2" t="n">
        <v>207</v>
      </c>
      <c r="G3756" s="2" t="n">
        <v>33</v>
      </c>
    </row>
    <row r="3757" customFormat="false" ht="16.5" hidden="false" customHeight="true" outlineLevel="0" collapsed="false">
      <c r="A3757" s="2" t="s">
        <v>447</v>
      </c>
      <c r="B3757" s="2" t="s">
        <v>463</v>
      </c>
      <c r="C3757" s="2" t="n">
        <v>3</v>
      </c>
      <c r="D3757" s="2" t="s">
        <v>600</v>
      </c>
      <c r="E3757" s="2" t="s">
        <v>31</v>
      </c>
      <c r="F3757" s="2" t="n">
        <v>207</v>
      </c>
      <c r="G3757" s="2" t="n">
        <v>37</v>
      </c>
    </row>
    <row r="3758" customFormat="false" ht="16.5" hidden="false" customHeight="true" outlineLevel="0" collapsed="false">
      <c r="A3758" s="2" t="s">
        <v>447</v>
      </c>
      <c r="B3758" s="2" t="s">
        <v>463</v>
      </c>
      <c r="C3758" s="2" t="n">
        <v>3</v>
      </c>
      <c r="D3758" s="2" t="s">
        <v>600</v>
      </c>
      <c r="E3758" s="2" t="s">
        <v>32</v>
      </c>
      <c r="F3758" s="2" t="n">
        <v>207</v>
      </c>
      <c r="G3758" s="2" t="n">
        <v>41</v>
      </c>
    </row>
    <row r="3759" customFormat="false" ht="16.5" hidden="false" customHeight="true" outlineLevel="0" collapsed="false">
      <c r="A3759" s="2" t="s">
        <v>447</v>
      </c>
      <c r="B3759" s="2" t="s">
        <v>463</v>
      </c>
      <c r="C3759" s="2" t="n">
        <v>3</v>
      </c>
      <c r="D3759" s="2" t="s">
        <v>600</v>
      </c>
      <c r="E3759" s="2" t="s">
        <v>33</v>
      </c>
      <c r="F3759" s="2" t="n">
        <v>207</v>
      </c>
      <c r="G3759" s="2" t="n">
        <v>45</v>
      </c>
    </row>
    <row r="3760" customFormat="false" ht="16.5" hidden="false" customHeight="true" outlineLevel="0" collapsed="false">
      <c r="A3760" s="2" t="s">
        <v>447</v>
      </c>
      <c r="B3760" s="2" t="s">
        <v>463</v>
      </c>
      <c r="C3760" s="2" t="n">
        <v>3</v>
      </c>
      <c r="D3760" s="2" t="s">
        <v>600</v>
      </c>
      <c r="E3760" s="2" t="s">
        <v>34</v>
      </c>
      <c r="F3760" s="2" t="n">
        <v>207</v>
      </c>
      <c r="G3760" s="2" t="n">
        <v>49</v>
      </c>
    </row>
    <row r="3761" customFormat="false" ht="16.5" hidden="false" customHeight="true" outlineLevel="0" collapsed="false">
      <c r="A3761" s="2" t="s">
        <v>447</v>
      </c>
      <c r="B3761" s="2" t="s">
        <v>463</v>
      </c>
      <c r="C3761" s="2" t="n">
        <v>3</v>
      </c>
      <c r="D3761" s="2" t="s">
        <v>600</v>
      </c>
      <c r="E3761" s="2" t="s">
        <v>35</v>
      </c>
      <c r="F3761" s="2" t="n">
        <v>209</v>
      </c>
      <c r="G3761" s="2" t="n">
        <v>11</v>
      </c>
    </row>
    <row r="3762" customFormat="false" ht="16.5" hidden="false" customHeight="true" outlineLevel="0" collapsed="false">
      <c r="A3762" s="2" t="s">
        <v>447</v>
      </c>
      <c r="B3762" s="2" t="s">
        <v>463</v>
      </c>
      <c r="C3762" s="2" t="n">
        <v>3</v>
      </c>
      <c r="D3762" s="2" t="s">
        <v>600</v>
      </c>
      <c r="E3762" s="2" t="s">
        <v>36</v>
      </c>
      <c r="F3762" s="2" t="n">
        <v>209</v>
      </c>
      <c r="G3762" s="2" t="n">
        <v>15</v>
      </c>
    </row>
    <row r="3763" customFormat="false" ht="16.5" hidden="false" customHeight="true" outlineLevel="0" collapsed="false">
      <c r="A3763" s="2" t="s">
        <v>447</v>
      </c>
      <c r="B3763" s="2" t="s">
        <v>463</v>
      </c>
      <c r="C3763" s="2" t="n">
        <v>3</v>
      </c>
      <c r="D3763" s="2" t="s">
        <v>600</v>
      </c>
      <c r="E3763" s="2" t="s">
        <v>37</v>
      </c>
      <c r="F3763" s="2" t="n">
        <v>209</v>
      </c>
      <c r="G3763" s="2" t="n">
        <v>19</v>
      </c>
    </row>
    <row r="3764" customFormat="false" ht="16.5" hidden="false" customHeight="true" outlineLevel="0" collapsed="false">
      <c r="A3764" s="2" t="s">
        <v>447</v>
      </c>
      <c r="B3764" s="2" t="s">
        <v>463</v>
      </c>
      <c r="C3764" s="2" t="n">
        <v>3</v>
      </c>
      <c r="D3764" s="2" t="s">
        <v>600</v>
      </c>
      <c r="E3764" s="2" t="s">
        <v>38</v>
      </c>
      <c r="F3764" s="2" t="n">
        <v>209</v>
      </c>
      <c r="G3764" s="2" t="n">
        <v>23</v>
      </c>
    </row>
    <row r="3765" customFormat="false" ht="16.5" hidden="false" customHeight="true" outlineLevel="0" collapsed="false">
      <c r="A3765" s="2" t="s">
        <v>447</v>
      </c>
      <c r="B3765" s="2" t="s">
        <v>463</v>
      </c>
      <c r="C3765" s="2" t="n">
        <v>3</v>
      </c>
      <c r="D3765" s="2" t="s">
        <v>600</v>
      </c>
      <c r="E3765" s="2" t="s">
        <v>39</v>
      </c>
      <c r="F3765" s="2" t="n">
        <v>209</v>
      </c>
      <c r="G3765" s="2" t="n">
        <v>27</v>
      </c>
    </row>
    <row r="3766" customFormat="false" ht="16.5" hidden="false" customHeight="true" outlineLevel="0" collapsed="false">
      <c r="A3766" s="2" t="s">
        <v>447</v>
      </c>
      <c r="B3766" s="2" t="s">
        <v>463</v>
      </c>
      <c r="C3766" s="2" t="n">
        <v>3</v>
      </c>
      <c r="D3766" s="2" t="s">
        <v>600</v>
      </c>
      <c r="E3766" s="2" t="s">
        <v>40</v>
      </c>
      <c r="F3766" s="2" t="n">
        <v>209</v>
      </c>
      <c r="G3766" s="2" t="n">
        <v>31</v>
      </c>
    </row>
    <row r="3767" customFormat="false" ht="16.5" hidden="false" customHeight="true" outlineLevel="0" collapsed="false">
      <c r="A3767" s="2" t="s">
        <v>447</v>
      </c>
      <c r="B3767" s="2" t="s">
        <v>463</v>
      </c>
      <c r="C3767" s="2" t="n">
        <v>3</v>
      </c>
      <c r="D3767" s="2" t="s">
        <v>600</v>
      </c>
      <c r="E3767" s="2" t="s">
        <v>41</v>
      </c>
      <c r="F3767" s="2" t="n">
        <v>209</v>
      </c>
      <c r="G3767" s="2" t="n">
        <v>35</v>
      </c>
    </row>
    <row r="3768" customFormat="false" ht="16.5" hidden="false" customHeight="true" outlineLevel="0" collapsed="false">
      <c r="A3768" s="2" t="s">
        <v>447</v>
      </c>
      <c r="B3768" s="2" t="s">
        <v>463</v>
      </c>
      <c r="C3768" s="2" t="n">
        <v>3</v>
      </c>
      <c r="D3768" s="2" t="s">
        <v>600</v>
      </c>
      <c r="E3768" s="2" t="s">
        <v>42</v>
      </c>
      <c r="F3768" s="2" t="n">
        <v>209</v>
      </c>
      <c r="G3768" s="2" t="n">
        <v>39</v>
      </c>
    </row>
    <row r="3769" customFormat="false" ht="16.5" hidden="false" customHeight="true" outlineLevel="0" collapsed="false">
      <c r="A3769" s="2" t="s">
        <v>447</v>
      </c>
      <c r="B3769" s="2" t="s">
        <v>463</v>
      </c>
      <c r="C3769" s="2" t="n">
        <v>3</v>
      </c>
      <c r="D3769" s="2" t="s">
        <v>600</v>
      </c>
      <c r="E3769" s="2" t="s">
        <v>43</v>
      </c>
      <c r="F3769" s="2" t="n">
        <v>209</v>
      </c>
      <c r="G3769" s="2" t="n">
        <v>43</v>
      </c>
    </row>
    <row r="3770" customFormat="false" ht="16.5" hidden="false" customHeight="true" outlineLevel="0" collapsed="false">
      <c r="A3770" s="2" t="s">
        <v>447</v>
      </c>
      <c r="B3770" s="2" t="s">
        <v>463</v>
      </c>
      <c r="C3770" s="2" t="n">
        <v>3</v>
      </c>
      <c r="D3770" s="2" t="s">
        <v>600</v>
      </c>
      <c r="E3770" s="2" t="s">
        <v>44</v>
      </c>
      <c r="F3770" s="2" t="n">
        <v>209</v>
      </c>
      <c r="G3770" s="2" t="n">
        <v>47</v>
      </c>
    </row>
    <row r="3771" customFormat="false" ht="16.5" hidden="false" customHeight="true" outlineLevel="0" collapsed="false">
      <c r="A3771" s="2" t="s">
        <v>447</v>
      </c>
      <c r="B3771" s="2" t="s">
        <v>463</v>
      </c>
      <c r="C3771" s="2" t="n">
        <v>3</v>
      </c>
      <c r="D3771" s="2" t="s">
        <v>600</v>
      </c>
      <c r="E3771" s="2" t="s">
        <v>48</v>
      </c>
      <c r="F3771" s="2" t="n">
        <v>211</v>
      </c>
      <c r="G3771" s="2" t="n">
        <v>16</v>
      </c>
    </row>
    <row r="3772" customFormat="false" ht="16.5" hidden="false" customHeight="true" outlineLevel="0" collapsed="false">
      <c r="A3772" s="2" t="s">
        <v>447</v>
      </c>
      <c r="B3772" s="2" t="s">
        <v>463</v>
      </c>
      <c r="C3772" s="2" t="n">
        <v>3</v>
      </c>
      <c r="D3772" s="2" t="s">
        <v>600</v>
      </c>
      <c r="E3772" s="2" t="s">
        <v>50</v>
      </c>
      <c r="F3772" s="2" t="n">
        <v>211</v>
      </c>
      <c r="G3772" s="2" t="n">
        <v>20</v>
      </c>
    </row>
    <row r="3773" customFormat="false" ht="16.5" hidden="false" customHeight="true" outlineLevel="0" collapsed="false">
      <c r="A3773" s="2" t="s">
        <v>447</v>
      </c>
      <c r="B3773" s="2" t="s">
        <v>463</v>
      </c>
      <c r="C3773" s="2" t="n">
        <v>3</v>
      </c>
      <c r="D3773" s="2" t="s">
        <v>600</v>
      </c>
      <c r="E3773" s="2" t="s">
        <v>45</v>
      </c>
      <c r="F3773" s="2" t="n">
        <v>211</v>
      </c>
      <c r="G3773" s="2" t="n">
        <v>38</v>
      </c>
    </row>
    <row r="3774" customFormat="false" ht="16.5" hidden="false" customHeight="true" outlineLevel="0" collapsed="false">
      <c r="A3774" s="2" t="s">
        <v>447</v>
      </c>
      <c r="B3774" s="2" t="s">
        <v>463</v>
      </c>
      <c r="C3774" s="2" t="n">
        <v>3</v>
      </c>
      <c r="D3774" s="2" t="s">
        <v>600</v>
      </c>
      <c r="E3774" s="2" t="s">
        <v>46</v>
      </c>
      <c r="F3774" s="2" t="n">
        <v>211</v>
      </c>
      <c r="G3774" s="2" t="n">
        <v>42</v>
      </c>
    </row>
    <row r="3775" customFormat="false" ht="16.5" hidden="false" customHeight="true" outlineLevel="0" collapsed="false">
      <c r="A3775" s="2" t="s">
        <v>447</v>
      </c>
      <c r="B3775" s="2" t="s">
        <v>464</v>
      </c>
      <c r="C3775" s="2" t="n">
        <v>3</v>
      </c>
      <c r="D3775" s="2" t="s">
        <v>601</v>
      </c>
      <c r="E3775" s="2" t="s">
        <v>0</v>
      </c>
      <c r="F3775" s="2" t="n">
        <v>216</v>
      </c>
      <c r="G3775" s="2" t="n">
        <v>6</v>
      </c>
    </row>
    <row r="3776" customFormat="false" ht="16.5" hidden="false" customHeight="true" outlineLevel="0" collapsed="false">
      <c r="A3776" s="2" t="s">
        <v>447</v>
      </c>
      <c r="B3776" s="2" t="s">
        <v>464</v>
      </c>
      <c r="C3776" s="2" t="n">
        <v>3</v>
      </c>
      <c r="D3776" s="2" t="s">
        <v>601</v>
      </c>
      <c r="E3776" s="2" t="s">
        <v>1</v>
      </c>
      <c r="F3776" s="2" t="n">
        <v>216</v>
      </c>
      <c r="G3776" s="2" t="n">
        <v>10</v>
      </c>
    </row>
    <row r="3777" customFormat="false" ht="16.5" hidden="false" customHeight="true" outlineLevel="0" collapsed="false">
      <c r="A3777" s="2" t="s">
        <v>447</v>
      </c>
      <c r="B3777" s="2" t="s">
        <v>464</v>
      </c>
      <c r="C3777" s="2" t="n">
        <v>3</v>
      </c>
      <c r="D3777" s="2" t="s">
        <v>601</v>
      </c>
      <c r="E3777" s="2" t="s">
        <v>2</v>
      </c>
      <c r="F3777" s="2" t="n">
        <v>216</v>
      </c>
      <c r="G3777" s="2" t="n">
        <v>14</v>
      </c>
    </row>
    <row r="3778" customFormat="false" ht="16.5" hidden="false" customHeight="true" outlineLevel="0" collapsed="false">
      <c r="A3778" s="2" t="s">
        <v>447</v>
      </c>
      <c r="B3778" s="2" t="s">
        <v>464</v>
      </c>
      <c r="C3778" s="2" t="n">
        <v>3</v>
      </c>
      <c r="D3778" s="2" t="s">
        <v>601</v>
      </c>
      <c r="E3778" s="2" t="s">
        <v>3</v>
      </c>
      <c r="F3778" s="2" t="n">
        <v>216</v>
      </c>
      <c r="G3778" s="2" t="n">
        <v>18</v>
      </c>
    </row>
    <row r="3779" customFormat="false" ht="16.5" hidden="false" customHeight="true" outlineLevel="0" collapsed="false">
      <c r="A3779" s="2" t="s">
        <v>447</v>
      </c>
      <c r="B3779" s="2" t="s">
        <v>464</v>
      </c>
      <c r="C3779" s="2" t="n">
        <v>3</v>
      </c>
      <c r="D3779" s="2" t="s">
        <v>601</v>
      </c>
      <c r="E3779" s="2" t="s">
        <v>4</v>
      </c>
      <c r="F3779" s="2" t="n">
        <v>216</v>
      </c>
      <c r="G3779" s="2" t="n">
        <v>22</v>
      </c>
    </row>
    <row r="3780" customFormat="false" ht="16.5" hidden="false" customHeight="true" outlineLevel="0" collapsed="false">
      <c r="A3780" s="2" t="s">
        <v>447</v>
      </c>
      <c r="B3780" s="2" t="s">
        <v>464</v>
      </c>
      <c r="C3780" s="2" t="n">
        <v>3</v>
      </c>
      <c r="D3780" s="2" t="s">
        <v>601</v>
      </c>
      <c r="E3780" s="2" t="s">
        <v>5</v>
      </c>
      <c r="F3780" s="2" t="n">
        <v>216</v>
      </c>
      <c r="G3780" s="2" t="n">
        <v>26</v>
      </c>
    </row>
    <row r="3781" customFormat="false" ht="16.5" hidden="false" customHeight="true" outlineLevel="0" collapsed="false">
      <c r="A3781" s="2" t="s">
        <v>447</v>
      </c>
      <c r="B3781" s="2" t="s">
        <v>464</v>
      </c>
      <c r="C3781" s="2" t="n">
        <v>3</v>
      </c>
      <c r="D3781" s="2" t="s">
        <v>601</v>
      </c>
      <c r="E3781" s="2" t="s">
        <v>6</v>
      </c>
      <c r="F3781" s="2" t="n">
        <v>216</v>
      </c>
      <c r="G3781" s="2" t="n">
        <v>30</v>
      </c>
    </row>
    <row r="3782" customFormat="false" ht="16.5" hidden="false" customHeight="true" outlineLevel="0" collapsed="false">
      <c r="A3782" s="2" t="s">
        <v>447</v>
      </c>
      <c r="B3782" s="2" t="s">
        <v>464</v>
      </c>
      <c r="C3782" s="2" t="n">
        <v>3</v>
      </c>
      <c r="D3782" s="2" t="s">
        <v>601</v>
      </c>
      <c r="E3782" s="2" t="s">
        <v>7</v>
      </c>
      <c r="F3782" s="2" t="n">
        <v>216</v>
      </c>
      <c r="G3782" s="2" t="n">
        <v>34</v>
      </c>
    </row>
    <row r="3783" customFormat="false" ht="16.5" hidden="false" customHeight="true" outlineLevel="0" collapsed="false">
      <c r="A3783" s="2" t="s">
        <v>447</v>
      </c>
      <c r="B3783" s="2" t="s">
        <v>464</v>
      </c>
      <c r="C3783" s="2" t="n">
        <v>3</v>
      </c>
      <c r="D3783" s="2" t="s">
        <v>601</v>
      </c>
      <c r="E3783" s="2" t="s">
        <v>8</v>
      </c>
      <c r="F3783" s="2" t="n">
        <v>216</v>
      </c>
      <c r="G3783" s="2" t="n">
        <v>38</v>
      </c>
    </row>
    <row r="3784" customFormat="false" ht="16.5" hidden="false" customHeight="true" outlineLevel="0" collapsed="false">
      <c r="A3784" s="2" t="s">
        <v>447</v>
      </c>
      <c r="B3784" s="2" t="s">
        <v>464</v>
      </c>
      <c r="C3784" s="2" t="n">
        <v>3</v>
      </c>
      <c r="D3784" s="2" t="s">
        <v>601</v>
      </c>
      <c r="E3784" s="2" t="s">
        <v>9</v>
      </c>
      <c r="F3784" s="2" t="n">
        <v>216</v>
      </c>
      <c r="G3784" s="2" t="n">
        <v>42</v>
      </c>
    </row>
    <row r="3785" customFormat="false" ht="16.5" hidden="false" customHeight="true" outlineLevel="0" collapsed="false">
      <c r="A3785" s="2" t="s">
        <v>447</v>
      </c>
      <c r="B3785" s="2" t="s">
        <v>464</v>
      </c>
      <c r="C3785" s="2" t="n">
        <v>3</v>
      </c>
      <c r="D3785" s="2" t="s">
        <v>601</v>
      </c>
      <c r="E3785" s="2" t="s">
        <v>10</v>
      </c>
      <c r="F3785" s="2" t="n">
        <v>216</v>
      </c>
      <c r="G3785" s="2" t="n">
        <v>46</v>
      </c>
    </row>
    <row r="3786" customFormat="false" ht="16.5" hidden="false" customHeight="true" outlineLevel="0" collapsed="false">
      <c r="A3786" s="2" t="s">
        <v>447</v>
      </c>
      <c r="B3786" s="2" t="s">
        <v>464</v>
      </c>
      <c r="C3786" s="2" t="n">
        <v>3</v>
      </c>
      <c r="D3786" s="2" t="s">
        <v>601</v>
      </c>
      <c r="E3786" s="2" t="s">
        <v>11</v>
      </c>
      <c r="F3786" s="2" t="n">
        <v>216</v>
      </c>
      <c r="G3786" s="2" t="n">
        <v>50</v>
      </c>
    </row>
    <row r="3787" customFormat="false" ht="16.5" hidden="false" customHeight="true" outlineLevel="0" collapsed="false">
      <c r="A3787" s="2" t="s">
        <v>447</v>
      </c>
      <c r="B3787" s="2" t="s">
        <v>464</v>
      </c>
      <c r="C3787" s="2" t="n">
        <v>3</v>
      </c>
      <c r="D3787" s="2" t="s">
        <v>601</v>
      </c>
      <c r="E3787" s="2" t="s">
        <v>12</v>
      </c>
      <c r="F3787" s="2" t="n">
        <v>218</v>
      </c>
      <c r="G3787" s="2" t="n">
        <v>8</v>
      </c>
    </row>
    <row r="3788" customFormat="false" ht="16.5" hidden="false" customHeight="true" outlineLevel="0" collapsed="false">
      <c r="A3788" s="2" t="s">
        <v>447</v>
      </c>
      <c r="B3788" s="2" t="s">
        <v>464</v>
      </c>
      <c r="C3788" s="2" t="n">
        <v>3</v>
      </c>
      <c r="D3788" s="2" t="s">
        <v>601</v>
      </c>
      <c r="E3788" s="2" t="s">
        <v>13</v>
      </c>
      <c r="F3788" s="2" t="n">
        <v>218</v>
      </c>
      <c r="G3788" s="2" t="n">
        <v>12</v>
      </c>
    </row>
    <row r="3789" customFormat="false" ht="16.5" hidden="false" customHeight="true" outlineLevel="0" collapsed="false">
      <c r="A3789" s="2" t="s">
        <v>447</v>
      </c>
      <c r="B3789" s="2" t="s">
        <v>464</v>
      </c>
      <c r="C3789" s="2" t="n">
        <v>3</v>
      </c>
      <c r="D3789" s="2" t="s">
        <v>601</v>
      </c>
      <c r="E3789" s="2" t="s">
        <v>14</v>
      </c>
      <c r="F3789" s="2" t="n">
        <v>218</v>
      </c>
      <c r="G3789" s="2" t="n">
        <v>16</v>
      </c>
    </row>
    <row r="3790" customFormat="false" ht="16.5" hidden="false" customHeight="true" outlineLevel="0" collapsed="false">
      <c r="A3790" s="2" t="s">
        <v>447</v>
      </c>
      <c r="B3790" s="2" t="s">
        <v>464</v>
      </c>
      <c r="C3790" s="2" t="n">
        <v>3</v>
      </c>
      <c r="D3790" s="2" t="s">
        <v>601</v>
      </c>
      <c r="E3790" s="2" t="s">
        <v>15</v>
      </c>
      <c r="F3790" s="2" t="n">
        <v>218</v>
      </c>
      <c r="G3790" s="2" t="n">
        <v>20</v>
      </c>
    </row>
    <row r="3791" customFormat="false" ht="16.5" hidden="false" customHeight="true" outlineLevel="0" collapsed="false">
      <c r="A3791" s="2" t="s">
        <v>447</v>
      </c>
      <c r="B3791" s="2" t="s">
        <v>464</v>
      </c>
      <c r="C3791" s="2" t="n">
        <v>3</v>
      </c>
      <c r="D3791" s="2" t="s">
        <v>601</v>
      </c>
      <c r="E3791" s="2" t="s">
        <v>16</v>
      </c>
      <c r="F3791" s="2" t="n">
        <v>218</v>
      </c>
      <c r="G3791" s="2" t="n">
        <v>24</v>
      </c>
    </row>
    <row r="3792" customFormat="false" ht="16.5" hidden="false" customHeight="true" outlineLevel="0" collapsed="false">
      <c r="A3792" s="2" t="s">
        <v>447</v>
      </c>
      <c r="B3792" s="2" t="s">
        <v>464</v>
      </c>
      <c r="C3792" s="2" t="n">
        <v>3</v>
      </c>
      <c r="D3792" s="2" t="s">
        <v>601</v>
      </c>
      <c r="E3792" s="2" t="s">
        <v>17</v>
      </c>
      <c r="F3792" s="2" t="n">
        <v>218</v>
      </c>
      <c r="G3792" s="2" t="n">
        <v>28</v>
      </c>
    </row>
    <row r="3793" customFormat="false" ht="16.5" hidden="false" customHeight="true" outlineLevel="0" collapsed="false">
      <c r="A3793" s="2" t="s">
        <v>447</v>
      </c>
      <c r="B3793" s="2" t="s">
        <v>464</v>
      </c>
      <c r="C3793" s="2" t="n">
        <v>3</v>
      </c>
      <c r="D3793" s="2" t="s">
        <v>601</v>
      </c>
      <c r="E3793" s="2" t="s">
        <v>18</v>
      </c>
      <c r="F3793" s="2" t="n">
        <v>218</v>
      </c>
      <c r="G3793" s="2" t="n">
        <v>32</v>
      </c>
    </row>
    <row r="3794" customFormat="false" ht="16.5" hidden="false" customHeight="true" outlineLevel="0" collapsed="false">
      <c r="A3794" s="2" t="s">
        <v>447</v>
      </c>
      <c r="B3794" s="2" t="s">
        <v>464</v>
      </c>
      <c r="C3794" s="2" t="n">
        <v>3</v>
      </c>
      <c r="D3794" s="2" t="s">
        <v>601</v>
      </c>
      <c r="E3794" s="2" t="s">
        <v>19</v>
      </c>
      <c r="F3794" s="2" t="n">
        <v>218</v>
      </c>
      <c r="G3794" s="2" t="n">
        <v>36</v>
      </c>
    </row>
    <row r="3795" customFormat="false" ht="16.5" hidden="false" customHeight="true" outlineLevel="0" collapsed="false">
      <c r="A3795" s="2" t="s">
        <v>447</v>
      </c>
      <c r="B3795" s="2" t="s">
        <v>464</v>
      </c>
      <c r="C3795" s="2" t="n">
        <v>3</v>
      </c>
      <c r="D3795" s="2" t="s">
        <v>601</v>
      </c>
      <c r="E3795" s="2" t="s">
        <v>20</v>
      </c>
      <c r="F3795" s="2" t="n">
        <v>218</v>
      </c>
      <c r="G3795" s="2" t="n">
        <v>40</v>
      </c>
    </row>
    <row r="3796" customFormat="false" ht="16.5" hidden="false" customHeight="true" outlineLevel="0" collapsed="false">
      <c r="A3796" s="2" t="s">
        <v>447</v>
      </c>
      <c r="B3796" s="2" t="s">
        <v>464</v>
      </c>
      <c r="C3796" s="2" t="n">
        <v>3</v>
      </c>
      <c r="D3796" s="2" t="s">
        <v>601</v>
      </c>
      <c r="E3796" s="2" t="s">
        <v>21</v>
      </c>
      <c r="F3796" s="2" t="n">
        <v>218</v>
      </c>
      <c r="G3796" s="2" t="n">
        <v>44</v>
      </c>
    </row>
    <row r="3797" customFormat="false" ht="16.5" hidden="false" customHeight="true" outlineLevel="0" collapsed="false">
      <c r="A3797" s="2" t="s">
        <v>447</v>
      </c>
      <c r="B3797" s="2" t="s">
        <v>464</v>
      </c>
      <c r="C3797" s="2" t="n">
        <v>3</v>
      </c>
      <c r="D3797" s="2" t="s">
        <v>601</v>
      </c>
      <c r="E3797" s="2" t="s">
        <v>22</v>
      </c>
      <c r="F3797" s="2" t="n">
        <v>218</v>
      </c>
      <c r="G3797" s="2" t="n">
        <v>48</v>
      </c>
    </row>
    <row r="3798" customFormat="false" ht="16.5" hidden="false" customHeight="true" outlineLevel="0" collapsed="false">
      <c r="A3798" s="2" t="s">
        <v>447</v>
      </c>
      <c r="B3798" s="2" t="s">
        <v>464</v>
      </c>
      <c r="C3798" s="2" t="n">
        <v>3</v>
      </c>
      <c r="D3798" s="2" t="s">
        <v>601</v>
      </c>
      <c r="E3798" s="2" t="s">
        <v>23</v>
      </c>
      <c r="F3798" s="2" t="n">
        <v>218</v>
      </c>
      <c r="G3798" s="2" t="n">
        <v>52</v>
      </c>
    </row>
    <row r="3799" customFormat="false" ht="16.5" hidden="false" customHeight="true" outlineLevel="0" collapsed="false">
      <c r="A3799" s="2" t="s">
        <v>447</v>
      </c>
      <c r="B3799" s="2" t="s">
        <v>464</v>
      </c>
      <c r="C3799" s="2" t="n">
        <v>3</v>
      </c>
      <c r="D3799" s="2" t="s">
        <v>601</v>
      </c>
      <c r="E3799" s="2" t="s">
        <v>24</v>
      </c>
      <c r="F3799" s="2" t="n">
        <v>220</v>
      </c>
      <c r="G3799" s="2" t="n">
        <v>9</v>
      </c>
    </row>
    <row r="3800" customFormat="false" ht="16.5" hidden="false" customHeight="true" outlineLevel="0" collapsed="false">
      <c r="A3800" s="2" t="s">
        <v>447</v>
      </c>
      <c r="B3800" s="2" t="s">
        <v>464</v>
      </c>
      <c r="C3800" s="2" t="n">
        <v>3</v>
      </c>
      <c r="D3800" s="2" t="s">
        <v>601</v>
      </c>
      <c r="E3800" s="2" t="s">
        <v>25</v>
      </c>
      <c r="F3800" s="2" t="n">
        <v>220</v>
      </c>
      <c r="G3800" s="2" t="n">
        <v>13</v>
      </c>
    </row>
    <row r="3801" customFormat="false" ht="16.5" hidden="false" customHeight="true" outlineLevel="0" collapsed="false">
      <c r="A3801" s="2" t="s">
        <v>447</v>
      </c>
      <c r="B3801" s="2" t="s">
        <v>464</v>
      </c>
      <c r="C3801" s="2" t="n">
        <v>3</v>
      </c>
      <c r="D3801" s="2" t="s">
        <v>601</v>
      </c>
      <c r="E3801" s="2" t="s">
        <v>26</v>
      </c>
      <c r="F3801" s="2" t="n">
        <v>220</v>
      </c>
      <c r="G3801" s="2" t="n">
        <v>17</v>
      </c>
    </row>
    <row r="3802" customFormat="false" ht="16.5" hidden="false" customHeight="true" outlineLevel="0" collapsed="false">
      <c r="A3802" s="2" t="s">
        <v>447</v>
      </c>
      <c r="B3802" s="2" t="s">
        <v>464</v>
      </c>
      <c r="C3802" s="2" t="n">
        <v>3</v>
      </c>
      <c r="D3802" s="2" t="s">
        <v>601</v>
      </c>
      <c r="E3802" s="2" t="s">
        <v>27</v>
      </c>
      <c r="F3802" s="2" t="n">
        <v>220</v>
      </c>
      <c r="G3802" s="2" t="n">
        <v>21</v>
      </c>
    </row>
    <row r="3803" customFormat="false" ht="16.5" hidden="false" customHeight="true" outlineLevel="0" collapsed="false">
      <c r="A3803" s="2" t="s">
        <v>447</v>
      </c>
      <c r="B3803" s="2" t="s">
        <v>464</v>
      </c>
      <c r="C3803" s="2" t="n">
        <v>3</v>
      </c>
      <c r="D3803" s="2" t="s">
        <v>601</v>
      </c>
      <c r="E3803" s="2" t="s">
        <v>28</v>
      </c>
      <c r="F3803" s="2" t="n">
        <v>220</v>
      </c>
      <c r="G3803" s="2" t="n">
        <v>25</v>
      </c>
    </row>
    <row r="3804" customFormat="false" ht="16.5" hidden="false" customHeight="true" outlineLevel="0" collapsed="false">
      <c r="A3804" s="2" t="s">
        <v>447</v>
      </c>
      <c r="B3804" s="2" t="s">
        <v>464</v>
      </c>
      <c r="C3804" s="2" t="n">
        <v>3</v>
      </c>
      <c r="D3804" s="2" t="s">
        <v>601</v>
      </c>
      <c r="E3804" s="2" t="s">
        <v>29</v>
      </c>
      <c r="F3804" s="2" t="n">
        <v>220</v>
      </c>
      <c r="G3804" s="2" t="n">
        <v>29</v>
      </c>
    </row>
    <row r="3805" customFormat="false" ht="16.5" hidden="false" customHeight="true" outlineLevel="0" collapsed="false">
      <c r="A3805" s="2" t="s">
        <v>447</v>
      </c>
      <c r="B3805" s="2" t="s">
        <v>464</v>
      </c>
      <c r="C3805" s="2" t="n">
        <v>3</v>
      </c>
      <c r="D3805" s="2" t="s">
        <v>601</v>
      </c>
      <c r="E3805" s="2" t="s">
        <v>30</v>
      </c>
      <c r="F3805" s="2" t="n">
        <v>220</v>
      </c>
      <c r="G3805" s="2" t="n">
        <v>33</v>
      </c>
    </row>
    <row r="3806" customFormat="false" ht="16.5" hidden="false" customHeight="true" outlineLevel="0" collapsed="false">
      <c r="A3806" s="2" t="s">
        <v>447</v>
      </c>
      <c r="B3806" s="2" t="s">
        <v>464</v>
      </c>
      <c r="C3806" s="2" t="n">
        <v>3</v>
      </c>
      <c r="D3806" s="2" t="s">
        <v>601</v>
      </c>
      <c r="E3806" s="2" t="s">
        <v>31</v>
      </c>
      <c r="F3806" s="2" t="n">
        <v>220</v>
      </c>
      <c r="G3806" s="2" t="n">
        <v>37</v>
      </c>
    </row>
    <row r="3807" customFormat="false" ht="16.5" hidden="false" customHeight="true" outlineLevel="0" collapsed="false">
      <c r="A3807" s="2" t="s">
        <v>447</v>
      </c>
      <c r="B3807" s="2" t="s">
        <v>464</v>
      </c>
      <c r="C3807" s="2" t="n">
        <v>3</v>
      </c>
      <c r="D3807" s="2" t="s">
        <v>601</v>
      </c>
      <c r="E3807" s="2" t="s">
        <v>32</v>
      </c>
      <c r="F3807" s="2" t="n">
        <v>220</v>
      </c>
      <c r="G3807" s="2" t="n">
        <v>41</v>
      </c>
    </row>
    <row r="3808" customFormat="false" ht="16.5" hidden="false" customHeight="true" outlineLevel="0" collapsed="false">
      <c r="A3808" s="2" t="s">
        <v>447</v>
      </c>
      <c r="B3808" s="2" t="s">
        <v>464</v>
      </c>
      <c r="C3808" s="2" t="n">
        <v>3</v>
      </c>
      <c r="D3808" s="2" t="s">
        <v>601</v>
      </c>
      <c r="E3808" s="2" t="s">
        <v>33</v>
      </c>
      <c r="F3808" s="2" t="n">
        <v>220</v>
      </c>
      <c r="G3808" s="2" t="n">
        <v>45</v>
      </c>
    </row>
    <row r="3809" customFormat="false" ht="16.5" hidden="false" customHeight="true" outlineLevel="0" collapsed="false">
      <c r="A3809" s="2" t="s">
        <v>447</v>
      </c>
      <c r="B3809" s="2" t="s">
        <v>464</v>
      </c>
      <c r="C3809" s="2" t="n">
        <v>3</v>
      </c>
      <c r="D3809" s="2" t="s">
        <v>601</v>
      </c>
      <c r="E3809" s="2" t="s">
        <v>34</v>
      </c>
      <c r="F3809" s="2" t="n">
        <v>220</v>
      </c>
      <c r="G3809" s="2" t="n">
        <v>49</v>
      </c>
    </row>
    <row r="3810" customFormat="false" ht="16.5" hidden="false" customHeight="true" outlineLevel="0" collapsed="false">
      <c r="A3810" s="2" t="s">
        <v>447</v>
      </c>
      <c r="B3810" s="2" t="s">
        <v>464</v>
      </c>
      <c r="C3810" s="2" t="n">
        <v>3</v>
      </c>
      <c r="D3810" s="2" t="s">
        <v>601</v>
      </c>
      <c r="E3810" s="2" t="s">
        <v>35</v>
      </c>
      <c r="F3810" s="2" t="n">
        <v>222</v>
      </c>
      <c r="G3810" s="2" t="n">
        <v>11</v>
      </c>
    </row>
    <row r="3811" customFormat="false" ht="16.5" hidden="false" customHeight="true" outlineLevel="0" collapsed="false">
      <c r="A3811" s="2" t="s">
        <v>447</v>
      </c>
      <c r="B3811" s="2" t="s">
        <v>464</v>
      </c>
      <c r="C3811" s="2" t="n">
        <v>3</v>
      </c>
      <c r="D3811" s="2" t="s">
        <v>601</v>
      </c>
      <c r="E3811" s="2" t="s">
        <v>36</v>
      </c>
      <c r="F3811" s="2" t="n">
        <v>222</v>
      </c>
      <c r="G3811" s="2" t="n">
        <v>15</v>
      </c>
    </row>
    <row r="3812" customFormat="false" ht="16.5" hidden="false" customHeight="true" outlineLevel="0" collapsed="false">
      <c r="A3812" s="2" t="s">
        <v>447</v>
      </c>
      <c r="B3812" s="2" t="s">
        <v>464</v>
      </c>
      <c r="C3812" s="2" t="n">
        <v>3</v>
      </c>
      <c r="D3812" s="2" t="s">
        <v>601</v>
      </c>
      <c r="E3812" s="2" t="s">
        <v>37</v>
      </c>
      <c r="F3812" s="2" t="n">
        <v>222</v>
      </c>
      <c r="G3812" s="2" t="n">
        <v>19</v>
      </c>
    </row>
    <row r="3813" customFormat="false" ht="16.5" hidden="false" customHeight="true" outlineLevel="0" collapsed="false">
      <c r="A3813" s="2" t="s">
        <v>447</v>
      </c>
      <c r="B3813" s="2" t="s">
        <v>464</v>
      </c>
      <c r="C3813" s="2" t="n">
        <v>3</v>
      </c>
      <c r="D3813" s="2" t="s">
        <v>601</v>
      </c>
      <c r="E3813" s="2" t="s">
        <v>38</v>
      </c>
      <c r="F3813" s="2" t="n">
        <v>222</v>
      </c>
      <c r="G3813" s="2" t="n">
        <v>23</v>
      </c>
    </row>
    <row r="3814" customFormat="false" ht="16.5" hidden="false" customHeight="true" outlineLevel="0" collapsed="false">
      <c r="A3814" s="2" t="s">
        <v>447</v>
      </c>
      <c r="B3814" s="2" t="s">
        <v>464</v>
      </c>
      <c r="C3814" s="2" t="n">
        <v>3</v>
      </c>
      <c r="D3814" s="2" t="s">
        <v>601</v>
      </c>
      <c r="E3814" s="2" t="s">
        <v>39</v>
      </c>
      <c r="F3814" s="2" t="n">
        <v>222</v>
      </c>
      <c r="G3814" s="2" t="n">
        <v>27</v>
      </c>
    </row>
    <row r="3815" customFormat="false" ht="16.5" hidden="false" customHeight="true" outlineLevel="0" collapsed="false">
      <c r="A3815" s="2" t="s">
        <v>447</v>
      </c>
      <c r="B3815" s="2" t="s">
        <v>464</v>
      </c>
      <c r="C3815" s="2" t="n">
        <v>3</v>
      </c>
      <c r="D3815" s="2" t="s">
        <v>601</v>
      </c>
      <c r="E3815" s="2" t="s">
        <v>40</v>
      </c>
      <c r="F3815" s="2" t="n">
        <v>222</v>
      </c>
      <c r="G3815" s="2" t="n">
        <v>31</v>
      </c>
    </row>
    <row r="3816" customFormat="false" ht="16.5" hidden="false" customHeight="true" outlineLevel="0" collapsed="false">
      <c r="A3816" s="2" t="s">
        <v>447</v>
      </c>
      <c r="B3816" s="2" t="s">
        <v>464</v>
      </c>
      <c r="C3816" s="2" t="n">
        <v>3</v>
      </c>
      <c r="D3816" s="2" t="s">
        <v>601</v>
      </c>
      <c r="E3816" s="2" t="s">
        <v>41</v>
      </c>
      <c r="F3816" s="2" t="n">
        <v>222</v>
      </c>
      <c r="G3816" s="2" t="n">
        <v>35</v>
      </c>
    </row>
    <row r="3817" customFormat="false" ht="16.5" hidden="false" customHeight="true" outlineLevel="0" collapsed="false">
      <c r="A3817" s="2" t="s">
        <v>447</v>
      </c>
      <c r="B3817" s="2" t="s">
        <v>464</v>
      </c>
      <c r="C3817" s="2" t="n">
        <v>3</v>
      </c>
      <c r="D3817" s="2" t="s">
        <v>601</v>
      </c>
      <c r="E3817" s="2" t="s">
        <v>42</v>
      </c>
      <c r="F3817" s="2" t="n">
        <v>222</v>
      </c>
      <c r="G3817" s="2" t="n">
        <v>39</v>
      </c>
    </row>
    <row r="3818" customFormat="false" ht="16.5" hidden="false" customHeight="true" outlineLevel="0" collapsed="false">
      <c r="A3818" s="2" t="s">
        <v>447</v>
      </c>
      <c r="B3818" s="2" t="s">
        <v>464</v>
      </c>
      <c r="C3818" s="2" t="n">
        <v>3</v>
      </c>
      <c r="D3818" s="2" t="s">
        <v>601</v>
      </c>
      <c r="E3818" s="2" t="s">
        <v>43</v>
      </c>
      <c r="F3818" s="2" t="n">
        <v>222</v>
      </c>
      <c r="G3818" s="2" t="n">
        <v>43</v>
      </c>
    </row>
    <row r="3819" customFormat="false" ht="16.5" hidden="false" customHeight="true" outlineLevel="0" collapsed="false">
      <c r="A3819" s="2" t="s">
        <v>447</v>
      </c>
      <c r="B3819" s="2" t="s">
        <v>464</v>
      </c>
      <c r="C3819" s="2" t="n">
        <v>3</v>
      </c>
      <c r="D3819" s="2" t="s">
        <v>601</v>
      </c>
      <c r="E3819" s="2" t="s">
        <v>44</v>
      </c>
      <c r="F3819" s="2" t="n">
        <v>222</v>
      </c>
      <c r="G3819" s="2" t="n">
        <v>47</v>
      </c>
    </row>
    <row r="3820" customFormat="false" ht="16.5" hidden="false" customHeight="true" outlineLevel="0" collapsed="false">
      <c r="A3820" s="2" t="s">
        <v>447</v>
      </c>
      <c r="B3820" s="2" t="s">
        <v>464</v>
      </c>
      <c r="C3820" s="2" t="n">
        <v>3</v>
      </c>
      <c r="D3820" s="2" t="s">
        <v>601</v>
      </c>
      <c r="E3820" s="2" t="s">
        <v>48</v>
      </c>
      <c r="F3820" s="2" t="n">
        <v>224</v>
      </c>
      <c r="G3820" s="2" t="n">
        <v>16</v>
      </c>
    </row>
    <row r="3821" customFormat="false" ht="16.5" hidden="false" customHeight="true" outlineLevel="0" collapsed="false">
      <c r="A3821" s="2" t="s">
        <v>447</v>
      </c>
      <c r="B3821" s="2" t="s">
        <v>464</v>
      </c>
      <c r="C3821" s="2" t="n">
        <v>3</v>
      </c>
      <c r="D3821" s="2" t="s">
        <v>601</v>
      </c>
      <c r="E3821" s="2" t="s">
        <v>50</v>
      </c>
      <c r="F3821" s="2" t="n">
        <v>224</v>
      </c>
      <c r="G3821" s="2" t="n">
        <v>20</v>
      </c>
    </row>
    <row r="3822" customFormat="false" ht="16.5" hidden="false" customHeight="true" outlineLevel="0" collapsed="false">
      <c r="A3822" s="2" t="s">
        <v>447</v>
      </c>
      <c r="B3822" s="2" t="s">
        <v>464</v>
      </c>
      <c r="C3822" s="2" t="n">
        <v>3</v>
      </c>
      <c r="D3822" s="2" t="s">
        <v>601</v>
      </c>
      <c r="E3822" s="2" t="s">
        <v>45</v>
      </c>
      <c r="F3822" s="2" t="n">
        <v>224</v>
      </c>
      <c r="G3822" s="2" t="n">
        <v>38</v>
      </c>
    </row>
    <row r="3823" customFormat="false" ht="16.5" hidden="false" customHeight="true" outlineLevel="0" collapsed="false">
      <c r="A3823" s="2" t="s">
        <v>447</v>
      </c>
      <c r="B3823" s="2" t="s">
        <v>464</v>
      </c>
      <c r="C3823" s="2" t="n">
        <v>3</v>
      </c>
      <c r="D3823" s="2" t="s">
        <v>601</v>
      </c>
      <c r="E3823" s="2" t="s">
        <v>46</v>
      </c>
      <c r="F3823" s="2" t="n">
        <v>224</v>
      </c>
      <c r="G3823" s="2" t="n">
        <v>42</v>
      </c>
    </row>
    <row r="3824" customFormat="false" ht="16.5" hidden="false" customHeight="true" outlineLevel="0" collapsed="false">
      <c r="A3824" s="2" t="s">
        <v>447</v>
      </c>
      <c r="B3824" s="2" t="s">
        <v>465</v>
      </c>
      <c r="C3824" s="2" t="n">
        <v>3</v>
      </c>
      <c r="D3824" s="2" t="s">
        <v>602</v>
      </c>
      <c r="E3824" s="2" t="s">
        <v>0</v>
      </c>
      <c r="F3824" s="2" t="n">
        <v>229</v>
      </c>
      <c r="G3824" s="2" t="n">
        <v>6</v>
      </c>
    </row>
    <row r="3825" customFormat="false" ht="16.5" hidden="false" customHeight="true" outlineLevel="0" collapsed="false">
      <c r="A3825" s="2" t="s">
        <v>447</v>
      </c>
      <c r="B3825" s="2" t="s">
        <v>465</v>
      </c>
      <c r="C3825" s="2" t="n">
        <v>3</v>
      </c>
      <c r="D3825" s="2" t="s">
        <v>602</v>
      </c>
      <c r="E3825" s="2" t="s">
        <v>1</v>
      </c>
      <c r="F3825" s="2" t="n">
        <v>229</v>
      </c>
      <c r="G3825" s="2" t="n">
        <v>10</v>
      </c>
    </row>
    <row r="3826" customFormat="false" ht="16.5" hidden="false" customHeight="true" outlineLevel="0" collapsed="false">
      <c r="A3826" s="2" t="s">
        <v>447</v>
      </c>
      <c r="B3826" s="2" t="s">
        <v>465</v>
      </c>
      <c r="C3826" s="2" t="n">
        <v>3</v>
      </c>
      <c r="D3826" s="2" t="s">
        <v>602</v>
      </c>
      <c r="E3826" s="2" t="s">
        <v>2</v>
      </c>
      <c r="F3826" s="2" t="n">
        <v>229</v>
      </c>
      <c r="G3826" s="2" t="n">
        <v>14</v>
      </c>
    </row>
    <row r="3827" customFormat="false" ht="16.5" hidden="false" customHeight="true" outlineLevel="0" collapsed="false">
      <c r="A3827" s="2" t="s">
        <v>447</v>
      </c>
      <c r="B3827" s="2" t="s">
        <v>465</v>
      </c>
      <c r="C3827" s="2" t="n">
        <v>3</v>
      </c>
      <c r="D3827" s="2" t="s">
        <v>602</v>
      </c>
      <c r="E3827" s="2" t="s">
        <v>3</v>
      </c>
      <c r="F3827" s="2" t="n">
        <v>229</v>
      </c>
      <c r="G3827" s="2" t="n">
        <v>18</v>
      </c>
    </row>
    <row r="3828" customFormat="false" ht="16.5" hidden="false" customHeight="true" outlineLevel="0" collapsed="false">
      <c r="A3828" s="2" t="s">
        <v>447</v>
      </c>
      <c r="B3828" s="2" t="s">
        <v>465</v>
      </c>
      <c r="C3828" s="2" t="n">
        <v>3</v>
      </c>
      <c r="D3828" s="2" t="s">
        <v>602</v>
      </c>
      <c r="E3828" s="2" t="s">
        <v>4</v>
      </c>
      <c r="F3828" s="2" t="n">
        <v>229</v>
      </c>
      <c r="G3828" s="2" t="n">
        <v>22</v>
      </c>
    </row>
    <row r="3829" customFormat="false" ht="16.5" hidden="false" customHeight="true" outlineLevel="0" collapsed="false">
      <c r="A3829" s="2" t="s">
        <v>447</v>
      </c>
      <c r="B3829" s="2" t="s">
        <v>465</v>
      </c>
      <c r="C3829" s="2" t="n">
        <v>3</v>
      </c>
      <c r="D3829" s="2" t="s">
        <v>602</v>
      </c>
      <c r="E3829" s="2" t="s">
        <v>5</v>
      </c>
      <c r="F3829" s="2" t="n">
        <v>229</v>
      </c>
      <c r="G3829" s="2" t="n">
        <v>26</v>
      </c>
    </row>
    <row r="3830" customFormat="false" ht="16.5" hidden="false" customHeight="true" outlineLevel="0" collapsed="false">
      <c r="A3830" s="2" t="s">
        <v>447</v>
      </c>
      <c r="B3830" s="2" t="s">
        <v>465</v>
      </c>
      <c r="C3830" s="2" t="n">
        <v>3</v>
      </c>
      <c r="D3830" s="2" t="s">
        <v>602</v>
      </c>
      <c r="E3830" s="2" t="s">
        <v>6</v>
      </c>
      <c r="F3830" s="2" t="n">
        <v>229</v>
      </c>
      <c r="G3830" s="2" t="n">
        <v>30</v>
      </c>
    </row>
    <row r="3831" customFormat="false" ht="16.5" hidden="false" customHeight="true" outlineLevel="0" collapsed="false">
      <c r="A3831" s="2" t="s">
        <v>447</v>
      </c>
      <c r="B3831" s="2" t="s">
        <v>465</v>
      </c>
      <c r="C3831" s="2" t="n">
        <v>3</v>
      </c>
      <c r="D3831" s="2" t="s">
        <v>602</v>
      </c>
      <c r="E3831" s="2" t="s">
        <v>7</v>
      </c>
      <c r="F3831" s="2" t="n">
        <v>229</v>
      </c>
      <c r="G3831" s="2" t="n">
        <v>34</v>
      </c>
    </row>
    <row r="3832" customFormat="false" ht="16.5" hidden="false" customHeight="true" outlineLevel="0" collapsed="false">
      <c r="A3832" s="2" t="s">
        <v>447</v>
      </c>
      <c r="B3832" s="2" t="s">
        <v>465</v>
      </c>
      <c r="C3832" s="2" t="n">
        <v>3</v>
      </c>
      <c r="D3832" s="2" t="s">
        <v>602</v>
      </c>
      <c r="E3832" s="2" t="s">
        <v>8</v>
      </c>
      <c r="F3832" s="2" t="n">
        <v>229</v>
      </c>
      <c r="G3832" s="2" t="n">
        <v>38</v>
      </c>
    </row>
    <row r="3833" customFormat="false" ht="16.5" hidden="false" customHeight="true" outlineLevel="0" collapsed="false">
      <c r="A3833" s="2" t="s">
        <v>447</v>
      </c>
      <c r="B3833" s="2" t="s">
        <v>465</v>
      </c>
      <c r="C3833" s="2" t="n">
        <v>3</v>
      </c>
      <c r="D3833" s="2" t="s">
        <v>602</v>
      </c>
      <c r="E3833" s="2" t="s">
        <v>9</v>
      </c>
      <c r="F3833" s="2" t="n">
        <v>229</v>
      </c>
      <c r="G3833" s="2" t="n">
        <v>42</v>
      </c>
    </row>
    <row r="3834" customFormat="false" ht="16.5" hidden="false" customHeight="true" outlineLevel="0" collapsed="false">
      <c r="A3834" s="2" t="s">
        <v>447</v>
      </c>
      <c r="B3834" s="2" t="s">
        <v>465</v>
      </c>
      <c r="C3834" s="2" t="n">
        <v>3</v>
      </c>
      <c r="D3834" s="2" t="s">
        <v>602</v>
      </c>
      <c r="E3834" s="2" t="s">
        <v>10</v>
      </c>
      <c r="F3834" s="2" t="n">
        <v>229</v>
      </c>
      <c r="G3834" s="2" t="n">
        <v>46</v>
      </c>
    </row>
    <row r="3835" customFormat="false" ht="16.5" hidden="false" customHeight="true" outlineLevel="0" collapsed="false">
      <c r="A3835" s="2" t="s">
        <v>447</v>
      </c>
      <c r="B3835" s="2" t="s">
        <v>465</v>
      </c>
      <c r="C3835" s="2" t="n">
        <v>3</v>
      </c>
      <c r="D3835" s="2" t="s">
        <v>602</v>
      </c>
      <c r="E3835" s="2" t="s">
        <v>11</v>
      </c>
      <c r="F3835" s="2" t="n">
        <v>229</v>
      </c>
      <c r="G3835" s="2" t="n">
        <v>50</v>
      </c>
    </row>
    <row r="3836" customFormat="false" ht="16.5" hidden="false" customHeight="true" outlineLevel="0" collapsed="false">
      <c r="A3836" s="2" t="s">
        <v>447</v>
      </c>
      <c r="B3836" s="2" t="s">
        <v>465</v>
      </c>
      <c r="C3836" s="2" t="n">
        <v>3</v>
      </c>
      <c r="D3836" s="2" t="s">
        <v>602</v>
      </c>
      <c r="E3836" s="2" t="s">
        <v>12</v>
      </c>
      <c r="F3836" s="2" t="n">
        <v>231</v>
      </c>
      <c r="G3836" s="2" t="n">
        <v>8</v>
      </c>
    </row>
    <row r="3837" customFormat="false" ht="16.5" hidden="false" customHeight="true" outlineLevel="0" collapsed="false">
      <c r="A3837" s="2" t="s">
        <v>447</v>
      </c>
      <c r="B3837" s="2" t="s">
        <v>465</v>
      </c>
      <c r="C3837" s="2" t="n">
        <v>3</v>
      </c>
      <c r="D3837" s="2" t="s">
        <v>602</v>
      </c>
      <c r="E3837" s="2" t="s">
        <v>13</v>
      </c>
      <c r="F3837" s="2" t="n">
        <v>231</v>
      </c>
      <c r="G3837" s="2" t="n">
        <v>12</v>
      </c>
    </row>
    <row r="3838" customFormat="false" ht="16.5" hidden="false" customHeight="true" outlineLevel="0" collapsed="false">
      <c r="A3838" s="2" t="s">
        <v>447</v>
      </c>
      <c r="B3838" s="2" t="s">
        <v>465</v>
      </c>
      <c r="C3838" s="2" t="n">
        <v>3</v>
      </c>
      <c r="D3838" s="2" t="s">
        <v>602</v>
      </c>
      <c r="E3838" s="2" t="s">
        <v>14</v>
      </c>
      <c r="F3838" s="2" t="n">
        <v>231</v>
      </c>
      <c r="G3838" s="2" t="n">
        <v>16</v>
      </c>
    </row>
    <row r="3839" customFormat="false" ht="16.5" hidden="false" customHeight="true" outlineLevel="0" collapsed="false">
      <c r="A3839" s="2" t="s">
        <v>447</v>
      </c>
      <c r="B3839" s="2" t="s">
        <v>465</v>
      </c>
      <c r="C3839" s="2" t="n">
        <v>3</v>
      </c>
      <c r="D3839" s="2" t="s">
        <v>602</v>
      </c>
      <c r="E3839" s="2" t="s">
        <v>15</v>
      </c>
      <c r="F3839" s="2" t="n">
        <v>231</v>
      </c>
      <c r="G3839" s="2" t="n">
        <v>20</v>
      </c>
    </row>
    <row r="3840" customFormat="false" ht="16.5" hidden="false" customHeight="true" outlineLevel="0" collapsed="false">
      <c r="A3840" s="2" t="s">
        <v>447</v>
      </c>
      <c r="B3840" s="2" t="s">
        <v>465</v>
      </c>
      <c r="C3840" s="2" t="n">
        <v>3</v>
      </c>
      <c r="D3840" s="2" t="s">
        <v>602</v>
      </c>
      <c r="E3840" s="2" t="s">
        <v>16</v>
      </c>
      <c r="F3840" s="2" t="n">
        <v>231</v>
      </c>
      <c r="G3840" s="2" t="n">
        <v>24</v>
      </c>
    </row>
    <row r="3841" customFormat="false" ht="16.5" hidden="false" customHeight="true" outlineLevel="0" collapsed="false">
      <c r="A3841" s="2" t="s">
        <v>447</v>
      </c>
      <c r="B3841" s="2" t="s">
        <v>465</v>
      </c>
      <c r="C3841" s="2" t="n">
        <v>3</v>
      </c>
      <c r="D3841" s="2" t="s">
        <v>602</v>
      </c>
      <c r="E3841" s="2" t="s">
        <v>17</v>
      </c>
      <c r="F3841" s="2" t="n">
        <v>231</v>
      </c>
      <c r="G3841" s="2" t="n">
        <v>28</v>
      </c>
    </row>
    <row r="3842" customFormat="false" ht="16.5" hidden="false" customHeight="true" outlineLevel="0" collapsed="false">
      <c r="A3842" s="2" t="s">
        <v>447</v>
      </c>
      <c r="B3842" s="2" t="s">
        <v>465</v>
      </c>
      <c r="C3842" s="2" t="n">
        <v>3</v>
      </c>
      <c r="D3842" s="2" t="s">
        <v>602</v>
      </c>
      <c r="E3842" s="2" t="s">
        <v>18</v>
      </c>
      <c r="F3842" s="2" t="n">
        <v>231</v>
      </c>
      <c r="G3842" s="2" t="n">
        <v>32</v>
      </c>
    </row>
    <row r="3843" customFormat="false" ht="16.5" hidden="false" customHeight="true" outlineLevel="0" collapsed="false">
      <c r="A3843" s="2" t="s">
        <v>447</v>
      </c>
      <c r="B3843" s="2" t="s">
        <v>465</v>
      </c>
      <c r="C3843" s="2" t="n">
        <v>3</v>
      </c>
      <c r="D3843" s="2" t="s">
        <v>602</v>
      </c>
      <c r="E3843" s="2" t="s">
        <v>19</v>
      </c>
      <c r="F3843" s="2" t="n">
        <v>231</v>
      </c>
      <c r="G3843" s="2" t="n">
        <v>36</v>
      </c>
    </row>
    <row r="3844" customFormat="false" ht="16.5" hidden="false" customHeight="true" outlineLevel="0" collapsed="false">
      <c r="A3844" s="2" t="s">
        <v>447</v>
      </c>
      <c r="B3844" s="2" t="s">
        <v>465</v>
      </c>
      <c r="C3844" s="2" t="n">
        <v>3</v>
      </c>
      <c r="D3844" s="2" t="s">
        <v>602</v>
      </c>
      <c r="E3844" s="2" t="s">
        <v>20</v>
      </c>
      <c r="F3844" s="2" t="n">
        <v>231</v>
      </c>
      <c r="G3844" s="2" t="n">
        <v>40</v>
      </c>
    </row>
    <row r="3845" customFormat="false" ht="16.5" hidden="false" customHeight="true" outlineLevel="0" collapsed="false">
      <c r="A3845" s="2" t="s">
        <v>447</v>
      </c>
      <c r="B3845" s="2" t="s">
        <v>465</v>
      </c>
      <c r="C3845" s="2" t="n">
        <v>3</v>
      </c>
      <c r="D3845" s="2" t="s">
        <v>602</v>
      </c>
      <c r="E3845" s="2" t="s">
        <v>21</v>
      </c>
      <c r="F3845" s="2" t="n">
        <v>231</v>
      </c>
      <c r="G3845" s="2" t="n">
        <v>44</v>
      </c>
    </row>
    <row r="3846" customFormat="false" ht="16.5" hidden="false" customHeight="true" outlineLevel="0" collapsed="false">
      <c r="A3846" s="2" t="s">
        <v>447</v>
      </c>
      <c r="B3846" s="2" t="s">
        <v>465</v>
      </c>
      <c r="C3846" s="2" t="n">
        <v>3</v>
      </c>
      <c r="D3846" s="2" t="s">
        <v>602</v>
      </c>
      <c r="E3846" s="2" t="s">
        <v>22</v>
      </c>
      <c r="F3846" s="2" t="n">
        <v>231</v>
      </c>
      <c r="G3846" s="2" t="n">
        <v>48</v>
      </c>
    </row>
    <row r="3847" customFormat="false" ht="16.5" hidden="false" customHeight="true" outlineLevel="0" collapsed="false">
      <c r="A3847" s="2" t="s">
        <v>447</v>
      </c>
      <c r="B3847" s="2" t="s">
        <v>465</v>
      </c>
      <c r="C3847" s="2" t="n">
        <v>3</v>
      </c>
      <c r="D3847" s="2" t="s">
        <v>602</v>
      </c>
      <c r="E3847" s="2" t="s">
        <v>23</v>
      </c>
      <c r="F3847" s="2" t="n">
        <v>231</v>
      </c>
      <c r="G3847" s="2" t="n">
        <v>52</v>
      </c>
    </row>
    <row r="3848" customFormat="false" ht="16.5" hidden="false" customHeight="true" outlineLevel="0" collapsed="false">
      <c r="A3848" s="2" t="s">
        <v>447</v>
      </c>
      <c r="B3848" s="2" t="s">
        <v>465</v>
      </c>
      <c r="C3848" s="2" t="n">
        <v>3</v>
      </c>
      <c r="D3848" s="2" t="s">
        <v>602</v>
      </c>
      <c r="E3848" s="2" t="s">
        <v>24</v>
      </c>
      <c r="F3848" s="2" t="n">
        <v>233</v>
      </c>
      <c r="G3848" s="2" t="n">
        <v>9</v>
      </c>
    </row>
    <row r="3849" customFormat="false" ht="16.5" hidden="false" customHeight="true" outlineLevel="0" collapsed="false">
      <c r="A3849" s="2" t="s">
        <v>447</v>
      </c>
      <c r="B3849" s="2" t="s">
        <v>465</v>
      </c>
      <c r="C3849" s="2" t="n">
        <v>3</v>
      </c>
      <c r="D3849" s="2" t="s">
        <v>602</v>
      </c>
      <c r="E3849" s="2" t="s">
        <v>25</v>
      </c>
      <c r="F3849" s="2" t="n">
        <v>233</v>
      </c>
      <c r="G3849" s="2" t="n">
        <v>13</v>
      </c>
    </row>
    <row r="3850" customFormat="false" ht="16.5" hidden="false" customHeight="true" outlineLevel="0" collapsed="false">
      <c r="A3850" s="2" t="s">
        <v>447</v>
      </c>
      <c r="B3850" s="2" t="s">
        <v>465</v>
      </c>
      <c r="C3850" s="2" t="n">
        <v>3</v>
      </c>
      <c r="D3850" s="2" t="s">
        <v>602</v>
      </c>
      <c r="E3850" s="2" t="s">
        <v>26</v>
      </c>
      <c r="F3850" s="2" t="n">
        <v>233</v>
      </c>
      <c r="G3850" s="2" t="n">
        <v>17</v>
      </c>
    </row>
    <row r="3851" customFormat="false" ht="16.5" hidden="false" customHeight="true" outlineLevel="0" collapsed="false">
      <c r="A3851" s="2" t="s">
        <v>447</v>
      </c>
      <c r="B3851" s="2" t="s">
        <v>465</v>
      </c>
      <c r="C3851" s="2" t="n">
        <v>3</v>
      </c>
      <c r="D3851" s="2" t="s">
        <v>602</v>
      </c>
      <c r="E3851" s="2" t="s">
        <v>27</v>
      </c>
      <c r="F3851" s="2" t="n">
        <v>233</v>
      </c>
      <c r="G3851" s="2" t="n">
        <v>21</v>
      </c>
    </row>
    <row r="3852" customFormat="false" ht="16.5" hidden="false" customHeight="true" outlineLevel="0" collapsed="false">
      <c r="A3852" s="2" t="s">
        <v>447</v>
      </c>
      <c r="B3852" s="2" t="s">
        <v>465</v>
      </c>
      <c r="C3852" s="2" t="n">
        <v>3</v>
      </c>
      <c r="D3852" s="2" t="s">
        <v>602</v>
      </c>
      <c r="E3852" s="2" t="s">
        <v>28</v>
      </c>
      <c r="F3852" s="2" t="n">
        <v>233</v>
      </c>
      <c r="G3852" s="2" t="n">
        <v>25</v>
      </c>
    </row>
    <row r="3853" customFormat="false" ht="16.5" hidden="false" customHeight="true" outlineLevel="0" collapsed="false">
      <c r="A3853" s="2" t="s">
        <v>447</v>
      </c>
      <c r="B3853" s="2" t="s">
        <v>465</v>
      </c>
      <c r="C3853" s="2" t="n">
        <v>3</v>
      </c>
      <c r="D3853" s="2" t="s">
        <v>602</v>
      </c>
      <c r="E3853" s="2" t="s">
        <v>29</v>
      </c>
      <c r="F3853" s="2" t="n">
        <v>233</v>
      </c>
      <c r="G3853" s="2" t="n">
        <v>29</v>
      </c>
    </row>
    <row r="3854" customFormat="false" ht="16.5" hidden="false" customHeight="true" outlineLevel="0" collapsed="false">
      <c r="A3854" s="2" t="s">
        <v>447</v>
      </c>
      <c r="B3854" s="2" t="s">
        <v>465</v>
      </c>
      <c r="C3854" s="2" t="n">
        <v>3</v>
      </c>
      <c r="D3854" s="2" t="s">
        <v>602</v>
      </c>
      <c r="E3854" s="2" t="s">
        <v>30</v>
      </c>
      <c r="F3854" s="2" t="n">
        <v>233</v>
      </c>
      <c r="G3854" s="2" t="n">
        <v>33</v>
      </c>
    </row>
    <row r="3855" customFormat="false" ht="16.5" hidden="false" customHeight="true" outlineLevel="0" collapsed="false">
      <c r="A3855" s="2" t="s">
        <v>447</v>
      </c>
      <c r="B3855" s="2" t="s">
        <v>465</v>
      </c>
      <c r="C3855" s="2" t="n">
        <v>3</v>
      </c>
      <c r="D3855" s="2" t="s">
        <v>602</v>
      </c>
      <c r="E3855" s="2" t="s">
        <v>31</v>
      </c>
      <c r="F3855" s="2" t="n">
        <v>233</v>
      </c>
      <c r="G3855" s="2" t="n">
        <v>37</v>
      </c>
    </row>
    <row r="3856" customFormat="false" ht="16.5" hidden="false" customHeight="true" outlineLevel="0" collapsed="false">
      <c r="A3856" s="2" t="s">
        <v>447</v>
      </c>
      <c r="B3856" s="2" t="s">
        <v>465</v>
      </c>
      <c r="C3856" s="2" t="n">
        <v>3</v>
      </c>
      <c r="D3856" s="2" t="s">
        <v>602</v>
      </c>
      <c r="E3856" s="2" t="s">
        <v>32</v>
      </c>
      <c r="F3856" s="2" t="n">
        <v>233</v>
      </c>
      <c r="G3856" s="2" t="n">
        <v>41</v>
      </c>
    </row>
    <row r="3857" customFormat="false" ht="16.5" hidden="false" customHeight="true" outlineLevel="0" collapsed="false">
      <c r="A3857" s="2" t="s">
        <v>447</v>
      </c>
      <c r="B3857" s="2" t="s">
        <v>465</v>
      </c>
      <c r="C3857" s="2" t="n">
        <v>3</v>
      </c>
      <c r="D3857" s="2" t="s">
        <v>602</v>
      </c>
      <c r="E3857" s="2" t="s">
        <v>33</v>
      </c>
      <c r="F3857" s="2" t="n">
        <v>233</v>
      </c>
      <c r="G3857" s="2" t="n">
        <v>45</v>
      </c>
    </row>
    <row r="3858" customFormat="false" ht="16.5" hidden="false" customHeight="true" outlineLevel="0" collapsed="false">
      <c r="A3858" s="2" t="s">
        <v>447</v>
      </c>
      <c r="B3858" s="2" t="s">
        <v>465</v>
      </c>
      <c r="C3858" s="2" t="n">
        <v>3</v>
      </c>
      <c r="D3858" s="2" t="s">
        <v>602</v>
      </c>
      <c r="E3858" s="2" t="s">
        <v>34</v>
      </c>
      <c r="F3858" s="2" t="n">
        <v>233</v>
      </c>
      <c r="G3858" s="2" t="n">
        <v>49</v>
      </c>
    </row>
    <row r="3859" customFormat="false" ht="16.5" hidden="false" customHeight="true" outlineLevel="0" collapsed="false">
      <c r="A3859" s="2" t="s">
        <v>447</v>
      </c>
      <c r="B3859" s="2" t="s">
        <v>465</v>
      </c>
      <c r="C3859" s="2" t="n">
        <v>3</v>
      </c>
      <c r="D3859" s="2" t="s">
        <v>602</v>
      </c>
      <c r="E3859" s="2" t="s">
        <v>35</v>
      </c>
      <c r="F3859" s="2" t="n">
        <v>235</v>
      </c>
      <c r="G3859" s="2" t="n">
        <v>11</v>
      </c>
    </row>
    <row r="3860" customFormat="false" ht="16.5" hidden="false" customHeight="true" outlineLevel="0" collapsed="false">
      <c r="A3860" s="2" t="s">
        <v>447</v>
      </c>
      <c r="B3860" s="2" t="s">
        <v>465</v>
      </c>
      <c r="C3860" s="2" t="n">
        <v>3</v>
      </c>
      <c r="D3860" s="2" t="s">
        <v>602</v>
      </c>
      <c r="E3860" s="2" t="s">
        <v>36</v>
      </c>
      <c r="F3860" s="2" t="n">
        <v>235</v>
      </c>
      <c r="G3860" s="2" t="n">
        <v>15</v>
      </c>
    </row>
    <row r="3861" customFormat="false" ht="16.5" hidden="false" customHeight="true" outlineLevel="0" collapsed="false">
      <c r="A3861" s="2" t="s">
        <v>447</v>
      </c>
      <c r="B3861" s="2" t="s">
        <v>465</v>
      </c>
      <c r="C3861" s="2" t="n">
        <v>3</v>
      </c>
      <c r="D3861" s="2" t="s">
        <v>602</v>
      </c>
      <c r="E3861" s="2" t="s">
        <v>37</v>
      </c>
      <c r="F3861" s="2" t="n">
        <v>235</v>
      </c>
      <c r="G3861" s="2" t="n">
        <v>19</v>
      </c>
    </row>
    <row r="3862" customFormat="false" ht="16.5" hidden="false" customHeight="true" outlineLevel="0" collapsed="false">
      <c r="A3862" s="2" t="s">
        <v>447</v>
      </c>
      <c r="B3862" s="2" t="s">
        <v>465</v>
      </c>
      <c r="C3862" s="2" t="n">
        <v>3</v>
      </c>
      <c r="D3862" s="2" t="s">
        <v>602</v>
      </c>
      <c r="E3862" s="2" t="s">
        <v>38</v>
      </c>
      <c r="F3862" s="2" t="n">
        <v>235</v>
      </c>
      <c r="G3862" s="2" t="n">
        <v>23</v>
      </c>
    </row>
    <row r="3863" customFormat="false" ht="16.5" hidden="false" customHeight="true" outlineLevel="0" collapsed="false">
      <c r="A3863" s="2" t="s">
        <v>447</v>
      </c>
      <c r="B3863" s="2" t="s">
        <v>465</v>
      </c>
      <c r="C3863" s="2" t="n">
        <v>3</v>
      </c>
      <c r="D3863" s="2" t="s">
        <v>602</v>
      </c>
      <c r="E3863" s="2" t="s">
        <v>39</v>
      </c>
      <c r="F3863" s="2" t="n">
        <v>235</v>
      </c>
      <c r="G3863" s="2" t="n">
        <v>27</v>
      </c>
    </row>
    <row r="3864" customFormat="false" ht="16.5" hidden="false" customHeight="true" outlineLevel="0" collapsed="false">
      <c r="A3864" s="2" t="s">
        <v>447</v>
      </c>
      <c r="B3864" s="2" t="s">
        <v>465</v>
      </c>
      <c r="C3864" s="2" t="n">
        <v>3</v>
      </c>
      <c r="D3864" s="2" t="s">
        <v>602</v>
      </c>
      <c r="E3864" s="2" t="s">
        <v>40</v>
      </c>
      <c r="F3864" s="2" t="n">
        <v>235</v>
      </c>
      <c r="G3864" s="2" t="n">
        <v>31</v>
      </c>
    </row>
    <row r="3865" customFormat="false" ht="16.5" hidden="false" customHeight="true" outlineLevel="0" collapsed="false">
      <c r="A3865" s="2" t="s">
        <v>447</v>
      </c>
      <c r="B3865" s="2" t="s">
        <v>465</v>
      </c>
      <c r="C3865" s="2" t="n">
        <v>3</v>
      </c>
      <c r="D3865" s="2" t="s">
        <v>602</v>
      </c>
      <c r="E3865" s="2" t="s">
        <v>41</v>
      </c>
      <c r="F3865" s="2" t="n">
        <v>235</v>
      </c>
      <c r="G3865" s="2" t="n">
        <v>35</v>
      </c>
    </row>
    <row r="3866" customFormat="false" ht="16.5" hidden="false" customHeight="true" outlineLevel="0" collapsed="false">
      <c r="A3866" s="2" t="s">
        <v>447</v>
      </c>
      <c r="B3866" s="2" t="s">
        <v>465</v>
      </c>
      <c r="C3866" s="2" t="n">
        <v>3</v>
      </c>
      <c r="D3866" s="2" t="s">
        <v>602</v>
      </c>
      <c r="E3866" s="2" t="s">
        <v>42</v>
      </c>
      <c r="F3866" s="2" t="n">
        <v>235</v>
      </c>
      <c r="G3866" s="2" t="n">
        <v>39</v>
      </c>
    </row>
    <row r="3867" customFormat="false" ht="16.5" hidden="false" customHeight="true" outlineLevel="0" collapsed="false">
      <c r="A3867" s="2" t="s">
        <v>447</v>
      </c>
      <c r="B3867" s="2" t="s">
        <v>465</v>
      </c>
      <c r="C3867" s="2" t="n">
        <v>3</v>
      </c>
      <c r="D3867" s="2" t="s">
        <v>602</v>
      </c>
      <c r="E3867" s="2" t="s">
        <v>43</v>
      </c>
      <c r="F3867" s="2" t="n">
        <v>235</v>
      </c>
      <c r="G3867" s="2" t="n">
        <v>43</v>
      </c>
    </row>
    <row r="3868" customFormat="false" ht="16.5" hidden="false" customHeight="true" outlineLevel="0" collapsed="false">
      <c r="A3868" s="2" t="s">
        <v>447</v>
      </c>
      <c r="B3868" s="2" t="s">
        <v>465</v>
      </c>
      <c r="C3868" s="2" t="n">
        <v>3</v>
      </c>
      <c r="D3868" s="2" t="s">
        <v>602</v>
      </c>
      <c r="E3868" s="2" t="s">
        <v>44</v>
      </c>
      <c r="F3868" s="2" t="n">
        <v>235</v>
      </c>
      <c r="G3868" s="2" t="n">
        <v>47</v>
      </c>
    </row>
    <row r="3869" customFormat="false" ht="16.5" hidden="false" customHeight="true" outlineLevel="0" collapsed="false">
      <c r="A3869" s="2" t="s">
        <v>447</v>
      </c>
      <c r="B3869" s="2" t="s">
        <v>465</v>
      </c>
      <c r="C3869" s="2" t="n">
        <v>3</v>
      </c>
      <c r="D3869" s="2" t="s">
        <v>602</v>
      </c>
      <c r="E3869" s="2" t="s">
        <v>48</v>
      </c>
      <c r="F3869" s="2" t="n">
        <v>237</v>
      </c>
      <c r="G3869" s="2" t="n">
        <v>16</v>
      </c>
    </row>
    <row r="3870" customFormat="false" ht="16.5" hidden="false" customHeight="true" outlineLevel="0" collapsed="false">
      <c r="A3870" s="2" t="s">
        <v>447</v>
      </c>
      <c r="B3870" s="2" t="s">
        <v>465</v>
      </c>
      <c r="C3870" s="2" t="n">
        <v>3</v>
      </c>
      <c r="D3870" s="2" t="s">
        <v>602</v>
      </c>
      <c r="E3870" s="2" t="s">
        <v>50</v>
      </c>
      <c r="F3870" s="2" t="n">
        <v>237</v>
      </c>
      <c r="G3870" s="2" t="n">
        <v>20</v>
      </c>
    </row>
    <row r="3871" customFormat="false" ht="16.5" hidden="false" customHeight="true" outlineLevel="0" collapsed="false">
      <c r="A3871" s="2" t="s">
        <v>447</v>
      </c>
      <c r="B3871" s="2" t="s">
        <v>465</v>
      </c>
      <c r="C3871" s="2" t="n">
        <v>3</v>
      </c>
      <c r="D3871" s="2" t="s">
        <v>602</v>
      </c>
      <c r="E3871" s="2" t="s">
        <v>45</v>
      </c>
      <c r="F3871" s="2" t="n">
        <v>237</v>
      </c>
      <c r="G3871" s="2" t="n">
        <v>38</v>
      </c>
    </row>
    <row r="3872" customFormat="false" ht="16.5" hidden="false" customHeight="true" outlineLevel="0" collapsed="false">
      <c r="A3872" s="2" t="s">
        <v>447</v>
      </c>
      <c r="B3872" s="2" t="s">
        <v>465</v>
      </c>
      <c r="C3872" s="2" t="n">
        <v>3</v>
      </c>
      <c r="D3872" s="2" t="s">
        <v>602</v>
      </c>
      <c r="E3872" s="2" t="s">
        <v>46</v>
      </c>
      <c r="F3872" s="2" t="n">
        <v>237</v>
      </c>
      <c r="G3872" s="2" t="n">
        <v>42</v>
      </c>
    </row>
    <row r="3873" customFormat="false" ht="16.5" hidden="false" customHeight="true" outlineLevel="0" collapsed="false">
      <c r="A3873" s="2" t="s">
        <v>447</v>
      </c>
      <c r="B3873" s="2" t="s">
        <v>466</v>
      </c>
      <c r="C3873" s="2" t="n">
        <v>3</v>
      </c>
      <c r="D3873" s="2" t="s">
        <v>603</v>
      </c>
      <c r="E3873" s="2" t="s">
        <v>0</v>
      </c>
      <c r="F3873" s="2" t="n">
        <v>242</v>
      </c>
      <c r="G3873" s="2" t="n">
        <v>6</v>
      </c>
    </row>
    <row r="3874" customFormat="false" ht="16.5" hidden="false" customHeight="true" outlineLevel="0" collapsed="false">
      <c r="A3874" s="2" t="s">
        <v>447</v>
      </c>
      <c r="B3874" s="2" t="s">
        <v>466</v>
      </c>
      <c r="C3874" s="2" t="n">
        <v>3</v>
      </c>
      <c r="D3874" s="2" t="s">
        <v>603</v>
      </c>
      <c r="E3874" s="2" t="s">
        <v>1</v>
      </c>
      <c r="F3874" s="2" t="n">
        <v>242</v>
      </c>
      <c r="G3874" s="2" t="n">
        <v>10</v>
      </c>
    </row>
    <row r="3875" customFormat="false" ht="16.5" hidden="false" customHeight="true" outlineLevel="0" collapsed="false">
      <c r="A3875" s="2" t="s">
        <v>447</v>
      </c>
      <c r="B3875" s="2" t="s">
        <v>466</v>
      </c>
      <c r="C3875" s="2" t="n">
        <v>3</v>
      </c>
      <c r="D3875" s="2" t="s">
        <v>603</v>
      </c>
      <c r="E3875" s="2" t="s">
        <v>2</v>
      </c>
      <c r="F3875" s="2" t="n">
        <v>242</v>
      </c>
      <c r="G3875" s="2" t="n">
        <v>14</v>
      </c>
    </row>
    <row r="3876" customFormat="false" ht="16.5" hidden="false" customHeight="true" outlineLevel="0" collapsed="false">
      <c r="A3876" s="2" t="s">
        <v>447</v>
      </c>
      <c r="B3876" s="2" t="s">
        <v>466</v>
      </c>
      <c r="C3876" s="2" t="n">
        <v>3</v>
      </c>
      <c r="D3876" s="2" t="s">
        <v>603</v>
      </c>
      <c r="E3876" s="2" t="s">
        <v>3</v>
      </c>
      <c r="F3876" s="2" t="n">
        <v>242</v>
      </c>
      <c r="G3876" s="2" t="n">
        <v>18</v>
      </c>
    </row>
    <row r="3877" customFormat="false" ht="16.5" hidden="false" customHeight="true" outlineLevel="0" collapsed="false">
      <c r="A3877" s="2" t="s">
        <v>447</v>
      </c>
      <c r="B3877" s="2" t="s">
        <v>466</v>
      </c>
      <c r="C3877" s="2" t="n">
        <v>3</v>
      </c>
      <c r="D3877" s="2" t="s">
        <v>603</v>
      </c>
      <c r="E3877" s="2" t="s">
        <v>4</v>
      </c>
      <c r="F3877" s="2" t="n">
        <v>242</v>
      </c>
      <c r="G3877" s="2" t="n">
        <v>22</v>
      </c>
    </row>
    <row r="3878" customFormat="false" ht="16.5" hidden="false" customHeight="true" outlineLevel="0" collapsed="false">
      <c r="A3878" s="2" t="s">
        <v>447</v>
      </c>
      <c r="B3878" s="2" t="s">
        <v>466</v>
      </c>
      <c r="C3878" s="2" t="n">
        <v>3</v>
      </c>
      <c r="D3878" s="2" t="s">
        <v>603</v>
      </c>
      <c r="E3878" s="2" t="s">
        <v>5</v>
      </c>
      <c r="F3878" s="2" t="n">
        <v>242</v>
      </c>
      <c r="G3878" s="2" t="n">
        <v>26</v>
      </c>
    </row>
    <row r="3879" customFormat="false" ht="16.5" hidden="false" customHeight="true" outlineLevel="0" collapsed="false">
      <c r="A3879" s="2" t="s">
        <v>447</v>
      </c>
      <c r="B3879" s="2" t="s">
        <v>466</v>
      </c>
      <c r="C3879" s="2" t="n">
        <v>3</v>
      </c>
      <c r="D3879" s="2" t="s">
        <v>603</v>
      </c>
      <c r="E3879" s="2" t="s">
        <v>6</v>
      </c>
      <c r="F3879" s="2" t="n">
        <v>242</v>
      </c>
      <c r="G3879" s="2" t="n">
        <v>30</v>
      </c>
    </row>
    <row r="3880" customFormat="false" ht="16.5" hidden="false" customHeight="true" outlineLevel="0" collapsed="false">
      <c r="A3880" s="2" t="s">
        <v>447</v>
      </c>
      <c r="B3880" s="2" t="s">
        <v>466</v>
      </c>
      <c r="C3880" s="2" t="n">
        <v>3</v>
      </c>
      <c r="D3880" s="2" t="s">
        <v>603</v>
      </c>
      <c r="E3880" s="2" t="s">
        <v>7</v>
      </c>
      <c r="F3880" s="2" t="n">
        <v>242</v>
      </c>
      <c r="G3880" s="2" t="n">
        <v>34</v>
      </c>
    </row>
    <row r="3881" customFormat="false" ht="16.5" hidden="false" customHeight="true" outlineLevel="0" collapsed="false">
      <c r="A3881" s="2" t="s">
        <v>447</v>
      </c>
      <c r="B3881" s="2" t="s">
        <v>466</v>
      </c>
      <c r="C3881" s="2" t="n">
        <v>3</v>
      </c>
      <c r="D3881" s="2" t="s">
        <v>603</v>
      </c>
      <c r="E3881" s="2" t="s">
        <v>8</v>
      </c>
      <c r="F3881" s="2" t="n">
        <v>242</v>
      </c>
      <c r="G3881" s="2" t="n">
        <v>38</v>
      </c>
    </row>
    <row r="3882" customFormat="false" ht="16.5" hidden="false" customHeight="true" outlineLevel="0" collapsed="false">
      <c r="A3882" s="2" t="s">
        <v>447</v>
      </c>
      <c r="B3882" s="2" t="s">
        <v>466</v>
      </c>
      <c r="C3882" s="2" t="n">
        <v>3</v>
      </c>
      <c r="D3882" s="2" t="s">
        <v>603</v>
      </c>
      <c r="E3882" s="2" t="s">
        <v>9</v>
      </c>
      <c r="F3882" s="2" t="n">
        <v>242</v>
      </c>
      <c r="G3882" s="2" t="n">
        <v>42</v>
      </c>
    </row>
    <row r="3883" customFormat="false" ht="16.5" hidden="false" customHeight="true" outlineLevel="0" collapsed="false">
      <c r="A3883" s="2" t="s">
        <v>447</v>
      </c>
      <c r="B3883" s="2" t="s">
        <v>466</v>
      </c>
      <c r="C3883" s="2" t="n">
        <v>3</v>
      </c>
      <c r="D3883" s="2" t="s">
        <v>603</v>
      </c>
      <c r="E3883" s="2" t="s">
        <v>10</v>
      </c>
      <c r="F3883" s="2" t="n">
        <v>242</v>
      </c>
      <c r="G3883" s="2" t="n">
        <v>46</v>
      </c>
    </row>
    <row r="3884" customFormat="false" ht="16.5" hidden="false" customHeight="true" outlineLevel="0" collapsed="false">
      <c r="A3884" s="2" t="s">
        <v>447</v>
      </c>
      <c r="B3884" s="2" t="s">
        <v>466</v>
      </c>
      <c r="C3884" s="2" t="n">
        <v>3</v>
      </c>
      <c r="D3884" s="2" t="s">
        <v>603</v>
      </c>
      <c r="E3884" s="2" t="s">
        <v>11</v>
      </c>
      <c r="F3884" s="2" t="n">
        <v>242</v>
      </c>
      <c r="G3884" s="2" t="n">
        <v>50</v>
      </c>
    </row>
    <row r="3885" customFormat="false" ht="16.5" hidden="false" customHeight="true" outlineLevel="0" collapsed="false">
      <c r="A3885" s="2" t="s">
        <v>447</v>
      </c>
      <c r="B3885" s="2" t="s">
        <v>466</v>
      </c>
      <c r="C3885" s="2" t="n">
        <v>3</v>
      </c>
      <c r="D3885" s="2" t="s">
        <v>603</v>
      </c>
      <c r="E3885" s="2" t="s">
        <v>12</v>
      </c>
      <c r="F3885" s="2" t="n">
        <v>244</v>
      </c>
      <c r="G3885" s="2" t="n">
        <v>8</v>
      </c>
    </row>
    <row r="3886" customFormat="false" ht="16.5" hidden="false" customHeight="true" outlineLevel="0" collapsed="false">
      <c r="A3886" s="2" t="s">
        <v>447</v>
      </c>
      <c r="B3886" s="2" t="s">
        <v>466</v>
      </c>
      <c r="C3886" s="2" t="n">
        <v>3</v>
      </c>
      <c r="D3886" s="2" t="s">
        <v>603</v>
      </c>
      <c r="E3886" s="2" t="s">
        <v>13</v>
      </c>
      <c r="F3886" s="2" t="n">
        <v>244</v>
      </c>
      <c r="G3886" s="2" t="n">
        <v>12</v>
      </c>
    </row>
    <row r="3887" customFormat="false" ht="16.5" hidden="false" customHeight="true" outlineLevel="0" collapsed="false">
      <c r="A3887" s="2" t="s">
        <v>447</v>
      </c>
      <c r="B3887" s="2" t="s">
        <v>466</v>
      </c>
      <c r="C3887" s="2" t="n">
        <v>3</v>
      </c>
      <c r="D3887" s="2" t="s">
        <v>603</v>
      </c>
      <c r="E3887" s="2" t="s">
        <v>14</v>
      </c>
      <c r="F3887" s="2" t="n">
        <v>244</v>
      </c>
      <c r="G3887" s="2" t="n">
        <v>16</v>
      </c>
    </row>
    <row r="3888" customFormat="false" ht="16.5" hidden="false" customHeight="true" outlineLevel="0" collapsed="false">
      <c r="A3888" s="2" t="s">
        <v>447</v>
      </c>
      <c r="B3888" s="2" t="s">
        <v>466</v>
      </c>
      <c r="C3888" s="2" t="n">
        <v>3</v>
      </c>
      <c r="D3888" s="2" t="s">
        <v>603</v>
      </c>
      <c r="E3888" s="2" t="s">
        <v>15</v>
      </c>
      <c r="F3888" s="2" t="n">
        <v>244</v>
      </c>
      <c r="G3888" s="2" t="n">
        <v>20</v>
      </c>
    </row>
    <row r="3889" customFormat="false" ht="16.5" hidden="false" customHeight="true" outlineLevel="0" collapsed="false">
      <c r="A3889" s="2" t="s">
        <v>447</v>
      </c>
      <c r="B3889" s="2" t="s">
        <v>466</v>
      </c>
      <c r="C3889" s="2" t="n">
        <v>3</v>
      </c>
      <c r="D3889" s="2" t="s">
        <v>603</v>
      </c>
      <c r="E3889" s="2" t="s">
        <v>16</v>
      </c>
      <c r="F3889" s="2" t="n">
        <v>244</v>
      </c>
      <c r="G3889" s="2" t="n">
        <v>24</v>
      </c>
    </row>
    <row r="3890" customFormat="false" ht="16.5" hidden="false" customHeight="true" outlineLevel="0" collapsed="false">
      <c r="A3890" s="2" t="s">
        <v>447</v>
      </c>
      <c r="B3890" s="2" t="s">
        <v>466</v>
      </c>
      <c r="C3890" s="2" t="n">
        <v>3</v>
      </c>
      <c r="D3890" s="2" t="s">
        <v>603</v>
      </c>
      <c r="E3890" s="2" t="s">
        <v>17</v>
      </c>
      <c r="F3890" s="2" t="n">
        <v>244</v>
      </c>
      <c r="G3890" s="2" t="n">
        <v>28</v>
      </c>
    </row>
    <row r="3891" customFormat="false" ht="16.5" hidden="false" customHeight="true" outlineLevel="0" collapsed="false">
      <c r="A3891" s="2" t="s">
        <v>447</v>
      </c>
      <c r="B3891" s="2" t="s">
        <v>466</v>
      </c>
      <c r="C3891" s="2" t="n">
        <v>3</v>
      </c>
      <c r="D3891" s="2" t="s">
        <v>603</v>
      </c>
      <c r="E3891" s="2" t="s">
        <v>18</v>
      </c>
      <c r="F3891" s="2" t="n">
        <v>244</v>
      </c>
      <c r="G3891" s="2" t="n">
        <v>32</v>
      </c>
    </row>
    <row r="3892" customFormat="false" ht="16.5" hidden="false" customHeight="true" outlineLevel="0" collapsed="false">
      <c r="A3892" s="2" t="s">
        <v>447</v>
      </c>
      <c r="B3892" s="2" t="s">
        <v>466</v>
      </c>
      <c r="C3892" s="2" t="n">
        <v>3</v>
      </c>
      <c r="D3892" s="2" t="s">
        <v>603</v>
      </c>
      <c r="E3892" s="2" t="s">
        <v>19</v>
      </c>
      <c r="F3892" s="2" t="n">
        <v>244</v>
      </c>
      <c r="G3892" s="2" t="n">
        <v>36</v>
      </c>
    </row>
    <row r="3893" customFormat="false" ht="16.5" hidden="false" customHeight="true" outlineLevel="0" collapsed="false">
      <c r="A3893" s="2" t="s">
        <v>447</v>
      </c>
      <c r="B3893" s="2" t="s">
        <v>466</v>
      </c>
      <c r="C3893" s="2" t="n">
        <v>3</v>
      </c>
      <c r="D3893" s="2" t="s">
        <v>603</v>
      </c>
      <c r="E3893" s="2" t="s">
        <v>20</v>
      </c>
      <c r="F3893" s="2" t="n">
        <v>244</v>
      </c>
      <c r="G3893" s="2" t="n">
        <v>40</v>
      </c>
    </row>
    <row r="3894" customFormat="false" ht="16.5" hidden="false" customHeight="true" outlineLevel="0" collapsed="false">
      <c r="A3894" s="2" t="s">
        <v>447</v>
      </c>
      <c r="B3894" s="2" t="s">
        <v>466</v>
      </c>
      <c r="C3894" s="2" t="n">
        <v>3</v>
      </c>
      <c r="D3894" s="2" t="s">
        <v>603</v>
      </c>
      <c r="E3894" s="2" t="s">
        <v>21</v>
      </c>
      <c r="F3894" s="2" t="n">
        <v>244</v>
      </c>
      <c r="G3894" s="2" t="n">
        <v>44</v>
      </c>
    </row>
    <row r="3895" customFormat="false" ht="16.5" hidden="false" customHeight="true" outlineLevel="0" collapsed="false">
      <c r="A3895" s="2" t="s">
        <v>447</v>
      </c>
      <c r="B3895" s="2" t="s">
        <v>466</v>
      </c>
      <c r="C3895" s="2" t="n">
        <v>3</v>
      </c>
      <c r="D3895" s="2" t="s">
        <v>603</v>
      </c>
      <c r="E3895" s="2" t="s">
        <v>22</v>
      </c>
      <c r="F3895" s="2" t="n">
        <v>244</v>
      </c>
      <c r="G3895" s="2" t="n">
        <v>48</v>
      </c>
    </row>
    <row r="3896" customFormat="false" ht="16.5" hidden="false" customHeight="true" outlineLevel="0" collapsed="false">
      <c r="A3896" s="2" t="s">
        <v>447</v>
      </c>
      <c r="B3896" s="2" t="s">
        <v>466</v>
      </c>
      <c r="C3896" s="2" t="n">
        <v>3</v>
      </c>
      <c r="D3896" s="2" t="s">
        <v>603</v>
      </c>
      <c r="E3896" s="2" t="s">
        <v>23</v>
      </c>
      <c r="F3896" s="2" t="n">
        <v>244</v>
      </c>
      <c r="G3896" s="2" t="n">
        <v>52</v>
      </c>
    </row>
    <row r="3897" customFormat="false" ht="16.5" hidden="false" customHeight="true" outlineLevel="0" collapsed="false">
      <c r="A3897" s="2" t="s">
        <v>447</v>
      </c>
      <c r="B3897" s="2" t="s">
        <v>466</v>
      </c>
      <c r="C3897" s="2" t="n">
        <v>3</v>
      </c>
      <c r="D3897" s="2" t="s">
        <v>603</v>
      </c>
      <c r="E3897" s="2" t="s">
        <v>24</v>
      </c>
      <c r="F3897" s="2" t="n">
        <v>246</v>
      </c>
      <c r="G3897" s="2" t="n">
        <v>9</v>
      </c>
    </row>
    <row r="3898" customFormat="false" ht="16.5" hidden="false" customHeight="true" outlineLevel="0" collapsed="false">
      <c r="A3898" s="2" t="s">
        <v>447</v>
      </c>
      <c r="B3898" s="2" t="s">
        <v>466</v>
      </c>
      <c r="C3898" s="2" t="n">
        <v>3</v>
      </c>
      <c r="D3898" s="2" t="s">
        <v>603</v>
      </c>
      <c r="E3898" s="2" t="s">
        <v>25</v>
      </c>
      <c r="F3898" s="2" t="n">
        <v>246</v>
      </c>
      <c r="G3898" s="2" t="n">
        <v>13</v>
      </c>
    </row>
    <row r="3899" customFormat="false" ht="16.5" hidden="false" customHeight="true" outlineLevel="0" collapsed="false">
      <c r="A3899" s="2" t="s">
        <v>447</v>
      </c>
      <c r="B3899" s="2" t="s">
        <v>466</v>
      </c>
      <c r="C3899" s="2" t="n">
        <v>3</v>
      </c>
      <c r="D3899" s="2" t="s">
        <v>603</v>
      </c>
      <c r="E3899" s="2" t="s">
        <v>26</v>
      </c>
      <c r="F3899" s="2" t="n">
        <v>246</v>
      </c>
      <c r="G3899" s="2" t="n">
        <v>17</v>
      </c>
    </row>
    <row r="3900" customFormat="false" ht="16.5" hidden="false" customHeight="true" outlineLevel="0" collapsed="false">
      <c r="A3900" s="2" t="s">
        <v>447</v>
      </c>
      <c r="B3900" s="2" t="s">
        <v>466</v>
      </c>
      <c r="C3900" s="2" t="n">
        <v>3</v>
      </c>
      <c r="D3900" s="2" t="s">
        <v>603</v>
      </c>
      <c r="E3900" s="2" t="s">
        <v>27</v>
      </c>
      <c r="F3900" s="2" t="n">
        <v>246</v>
      </c>
      <c r="G3900" s="2" t="n">
        <v>21</v>
      </c>
    </row>
    <row r="3901" customFormat="false" ht="16.5" hidden="false" customHeight="true" outlineLevel="0" collapsed="false">
      <c r="A3901" s="2" t="s">
        <v>447</v>
      </c>
      <c r="B3901" s="2" t="s">
        <v>466</v>
      </c>
      <c r="C3901" s="2" t="n">
        <v>3</v>
      </c>
      <c r="D3901" s="2" t="s">
        <v>603</v>
      </c>
      <c r="E3901" s="2" t="s">
        <v>28</v>
      </c>
      <c r="F3901" s="2" t="n">
        <v>246</v>
      </c>
      <c r="G3901" s="2" t="n">
        <v>25</v>
      </c>
    </row>
    <row r="3902" customFormat="false" ht="16.5" hidden="false" customHeight="true" outlineLevel="0" collapsed="false">
      <c r="A3902" s="2" t="s">
        <v>447</v>
      </c>
      <c r="B3902" s="2" t="s">
        <v>466</v>
      </c>
      <c r="C3902" s="2" t="n">
        <v>3</v>
      </c>
      <c r="D3902" s="2" t="s">
        <v>603</v>
      </c>
      <c r="E3902" s="2" t="s">
        <v>29</v>
      </c>
      <c r="F3902" s="2" t="n">
        <v>246</v>
      </c>
      <c r="G3902" s="2" t="n">
        <v>29</v>
      </c>
    </row>
    <row r="3903" customFormat="false" ht="16.5" hidden="false" customHeight="true" outlineLevel="0" collapsed="false">
      <c r="A3903" s="2" t="s">
        <v>447</v>
      </c>
      <c r="B3903" s="2" t="s">
        <v>466</v>
      </c>
      <c r="C3903" s="2" t="n">
        <v>3</v>
      </c>
      <c r="D3903" s="2" t="s">
        <v>603</v>
      </c>
      <c r="E3903" s="2" t="s">
        <v>30</v>
      </c>
      <c r="F3903" s="2" t="n">
        <v>246</v>
      </c>
      <c r="G3903" s="2" t="n">
        <v>33</v>
      </c>
    </row>
    <row r="3904" customFormat="false" ht="16.5" hidden="false" customHeight="true" outlineLevel="0" collapsed="false">
      <c r="A3904" s="2" t="s">
        <v>447</v>
      </c>
      <c r="B3904" s="2" t="s">
        <v>466</v>
      </c>
      <c r="C3904" s="2" t="n">
        <v>3</v>
      </c>
      <c r="D3904" s="2" t="s">
        <v>603</v>
      </c>
      <c r="E3904" s="2" t="s">
        <v>31</v>
      </c>
      <c r="F3904" s="2" t="n">
        <v>246</v>
      </c>
      <c r="G3904" s="2" t="n">
        <v>37</v>
      </c>
    </row>
    <row r="3905" customFormat="false" ht="16.5" hidden="false" customHeight="true" outlineLevel="0" collapsed="false">
      <c r="A3905" s="2" t="s">
        <v>447</v>
      </c>
      <c r="B3905" s="2" t="s">
        <v>466</v>
      </c>
      <c r="C3905" s="2" t="n">
        <v>3</v>
      </c>
      <c r="D3905" s="2" t="s">
        <v>603</v>
      </c>
      <c r="E3905" s="2" t="s">
        <v>32</v>
      </c>
      <c r="F3905" s="2" t="n">
        <v>246</v>
      </c>
      <c r="G3905" s="2" t="n">
        <v>41</v>
      </c>
    </row>
    <row r="3906" customFormat="false" ht="16.5" hidden="false" customHeight="true" outlineLevel="0" collapsed="false">
      <c r="A3906" s="2" t="s">
        <v>447</v>
      </c>
      <c r="B3906" s="2" t="s">
        <v>466</v>
      </c>
      <c r="C3906" s="2" t="n">
        <v>3</v>
      </c>
      <c r="D3906" s="2" t="s">
        <v>603</v>
      </c>
      <c r="E3906" s="2" t="s">
        <v>33</v>
      </c>
      <c r="F3906" s="2" t="n">
        <v>246</v>
      </c>
      <c r="G3906" s="2" t="n">
        <v>45</v>
      </c>
    </row>
    <row r="3907" customFormat="false" ht="16.5" hidden="false" customHeight="true" outlineLevel="0" collapsed="false">
      <c r="A3907" s="2" t="s">
        <v>447</v>
      </c>
      <c r="B3907" s="2" t="s">
        <v>466</v>
      </c>
      <c r="C3907" s="2" t="n">
        <v>3</v>
      </c>
      <c r="D3907" s="2" t="s">
        <v>603</v>
      </c>
      <c r="E3907" s="2" t="s">
        <v>34</v>
      </c>
      <c r="F3907" s="2" t="n">
        <v>246</v>
      </c>
      <c r="G3907" s="2" t="n">
        <v>49</v>
      </c>
    </row>
    <row r="3908" customFormat="false" ht="16.5" hidden="false" customHeight="true" outlineLevel="0" collapsed="false">
      <c r="A3908" s="2" t="s">
        <v>447</v>
      </c>
      <c r="B3908" s="2" t="s">
        <v>466</v>
      </c>
      <c r="C3908" s="2" t="n">
        <v>3</v>
      </c>
      <c r="D3908" s="2" t="s">
        <v>603</v>
      </c>
      <c r="E3908" s="2" t="s">
        <v>35</v>
      </c>
      <c r="F3908" s="2" t="n">
        <v>248</v>
      </c>
      <c r="G3908" s="2" t="n">
        <v>11</v>
      </c>
    </row>
    <row r="3909" customFormat="false" ht="16.5" hidden="false" customHeight="true" outlineLevel="0" collapsed="false">
      <c r="A3909" s="2" t="s">
        <v>447</v>
      </c>
      <c r="B3909" s="2" t="s">
        <v>466</v>
      </c>
      <c r="C3909" s="2" t="n">
        <v>3</v>
      </c>
      <c r="D3909" s="2" t="s">
        <v>603</v>
      </c>
      <c r="E3909" s="2" t="s">
        <v>36</v>
      </c>
      <c r="F3909" s="2" t="n">
        <v>248</v>
      </c>
      <c r="G3909" s="2" t="n">
        <v>15</v>
      </c>
    </row>
    <row r="3910" customFormat="false" ht="16.5" hidden="false" customHeight="true" outlineLevel="0" collapsed="false">
      <c r="A3910" s="2" t="s">
        <v>447</v>
      </c>
      <c r="B3910" s="2" t="s">
        <v>466</v>
      </c>
      <c r="C3910" s="2" t="n">
        <v>3</v>
      </c>
      <c r="D3910" s="2" t="s">
        <v>603</v>
      </c>
      <c r="E3910" s="2" t="s">
        <v>37</v>
      </c>
      <c r="F3910" s="2" t="n">
        <v>248</v>
      </c>
      <c r="G3910" s="2" t="n">
        <v>19</v>
      </c>
    </row>
    <row r="3911" customFormat="false" ht="16.5" hidden="false" customHeight="true" outlineLevel="0" collapsed="false">
      <c r="A3911" s="2" t="s">
        <v>447</v>
      </c>
      <c r="B3911" s="2" t="s">
        <v>466</v>
      </c>
      <c r="C3911" s="2" t="n">
        <v>3</v>
      </c>
      <c r="D3911" s="2" t="s">
        <v>603</v>
      </c>
      <c r="E3911" s="2" t="s">
        <v>38</v>
      </c>
      <c r="F3911" s="2" t="n">
        <v>248</v>
      </c>
      <c r="G3911" s="2" t="n">
        <v>23</v>
      </c>
    </row>
    <row r="3912" customFormat="false" ht="16.5" hidden="false" customHeight="true" outlineLevel="0" collapsed="false">
      <c r="A3912" s="2" t="s">
        <v>447</v>
      </c>
      <c r="B3912" s="2" t="s">
        <v>466</v>
      </c>
      <c r="C3912" s="2" t="n">
        <v>3</v>
      </c>
      <c r="D3912" s="2" t="s">
        <v>603</v>
      </c>
      <c r="E3912" s="2" t="s">
        <v>39</v>
      </c>
      <c r="F3912" s="2" t="n">
        <v>248</v>
      </c>
      <c r="G3912" s="2" t="n">
        <v>27</v>
      </c>
    </row>
    <row r="3913" customFormat="false" ht="16.5" hidden="false" customHeight="true" outlineLevel="0" collapsed="false">
      <c r="A3913" s="2" t="s">
        <v>447</v>
      </c>
      <c r="B3913" s="2" t="s">
        <v>466</v>
      </c>
      <c r="C3913" s="2" t="n">
        <v>3</v>
      </c>
      <c r="D3913" s="2" t="s">
        <v>603</v>
      </c>
      <c r="E3913" s="2" t="s">
        <v>40</v>
      </c>
      <c r="F3913" s="2" t="n">
        <v>248</v>
      </c>
      <c r="G3913" s="2" t="n">
        <v>31</v>
      </c>
    </row>
    <row r="3914" customFormat="false" ht="16.5" hidden="false" customHeight="true" outlineLevel="0" collapsed="false">
      <c r="A3914" s="2" t="s">
        <v>447</v>
      </c>
      <c r="B3914" s="2" t="s">
        <v>466</v>
      </c>
      <c r="C3914" s="2" t="n">
        <v>3</v>
      </c>
      <c r="D3914" s="2" t="s">
        <v>603</v>
      </c>
      <c r="E3914" s="2" t="s">
        <v>41</v>
      </c>
      <c r="F3914" s="2" t="n">
        <v>248</v>
      </c>
      <c r="G3914" s="2" t="n">
        <v>35</v>
      </c>
    </row>
    <row r="3915" customFormat="false" ht="16.5" hidden="false" customHeight="true" outlineLevel="0" collapsed="false">
      <c r="A3915" s="2" t="s">
        <v>447</v>
      </c>
      <c r="B3915" s="2" t="s">
        <v>466</v>
      </c>
      <c r="C3915" s="2" t="n">
        <v>3</v>
      </c>
      <c r="D3915" s="2" t="s">
        <v>603</v>
      </c>
      <c r="E3915" s="2" t="s">
        <v>42</v>
      </c>
      <c r="F3915" s="2" t="n">
        <v>248</v>
      </c>
      <c r="G3915" s="2" t="n">
        <v>39</v>
      </c>
    </row>
    <row r="3916" customFormat="false" ht="16.5" hidden="false" customHeight="true" outlineLevel="0" collapsed="false">
      <c r="A3916" s="2" t="s">
        <v>447</v>
      </c>
      <c r="B3916" s="2" t="s">
        <v>466</v>
      </c>
      <c r="C3916" s="2" t="n">
        <v>3</v>
      </c>
      <c r="D3916" s="2" t="s">
        <v>603</v>
      </c>
      <c r="E3916" s="2" t="s">
        <v>43</v>
      </c>
      <c r="F3916" s="2" t="n">
        <v>248</v>
      </c>
      <c r="G3916" s="2" t="n">
        <v>43</v>
      </c>
    </row>
    <row r="3917" customFormat="false" ht="16.5" hidden="false" customHeight="true" outlineLevel="0" collapsed="false">
      <c r="A3917" s="2" t="s">
        <v>447</v>
      </c>
      <c r="B3917" s="2" t="s">
        <v>466</v>
      </c>
      <c r="C3917" s="2" t="n">
        <v>3</v>
      </c>
      <c r="D3917" s="2" t="s">
        <v>603</v>
      </c>
      <c r="E3917" s="2" t="s">
        <v>44</v>
      </c>
      <c r="F3917" s="2" t="n">
        <v>248</v>
      </c>
      <c r="G3917" s="2" t="n">
        <v>47</v>
      </c>
    </row>
    <row r="3918" customFormat="false" ht="16.5" hidden="false" customHeight="true" outlineLevel="0" collapsed="false">
      <c r="A3918" s="2" t="s">
        <v>447</v>
      </c>
      <c r="B3918" s="2" t="s">
        <v>466</v>
      </c>
      <c r="C3918" s="2" t="n">
        <v>3</v>
      </c>
      <c r="D3918" s="2" t="s">
        <v>603</v>
      </c>
      <c r="E3918" s="2" t="s">
        <v>48</v>
      </c>
      <c r="F3918" s="2" t="n">
        <v>250</v>
      </c>
      <c r="G3918" s="2" t="n">
        <v>16</v>
      </c>
    </row>
    <row r="3919" customFormat="false" ht="16.5" hidden="false" customHeight="true" outlineLevel="0" collapsed="false">
      <c r="A3919" s="2" t="s">
        <v>447</v>
      </c>
      <c r="B3919" s="2" t="s">
        <v>466</v>
      </c>
      <c r="C3919" s="2" t="n">
        <v>3</v>
      </c>
      <c r="D3919" s="2" t="s">
        <v>603</v>
      </c>
      <c r="E3919" s="2" t="s">
        <v>50</v>
      </c>
      <c r="F3919" s="2" t="n">
        <v>250</v>
      </c>
      <c r="G3919" s="2" t="n">
        <v>20</v>
      </c>
    </row>
    <row r="3920" customFormat="false" ht="16.5" hidden="false" customHeight="true" outlineLevel="0" collapsed="false">
      <c r="A3920" s="2" t="s">
        <v>447</v>
      </c>
      <c r="B3920" s="2" t="s">
        <v>466</v>
      </c>
      <c r="C3920" s="2" t="n">
        <v>3</v>
      </c>
      <c r="D3920" s="2" t="s">
        <v>603</v>
      </c>
      <c r="E3920" s="2" t="s">
        <v>45</v>
      </c>
      <c r="F3920" s="2" t="n">
        <v>250</v>
      </c>
      <c r="G3920" s="2" t="n">
        <v>38</v>
      </c>
    </row>
    <row r="3921" customFormat="false" ht="16.5" hidden="false" customHeight="true" outlineLevel="0" collapsed="false">
      <c r="A3921" s="2" t="s">
        <v>447</v>
      </c>
      <c r="B3921" s="2" t="s">
        <v>466</v>
      </c>
      <c r="C3921" s="2" t="n">
        <v>3</v>
      </c>
      <c r="D3921" s="2" t="s">
        <v>603</v>
      </c>
      <c r="E3921" s="2" t="s">
        <v>46</v>
      </c>
      <c r="F3921" s="2" t="n">
        <v>250</v>
      </c>
      <c r="G3921" s="2" t="n">
        <v>42</v>
      </c>
    </row>
    <row r="3922" customFormat="false" ht="16.5" hidden="false" customHeight="true" outlineLevel="0" collapsed="false">
      <c r="A3922" s="2" t="s">
        <v>447</v>
      </c>
      <c r="B3922" s="2" t="s">
        <v>467</v>
      </c>
      <c r="C3922" s="2" t="n">
        <v>3</v>
      </c>
      <c r="D3922" s="2" t="s">
        <v>604</v>
      </c>
      <c r="E3922" s="2" t="s">
        <v>0</v>
      </c>
      <c r="F3922" s="2" t="n">
        <v>255</v>
      </c>
      <c r="G3922" s="2" t="n">
        <v>6</v>
      </c>
    </row>
    <row r="3923" customFormat="false" ht="16.5" hidden="false" customHeight="true" outlineLevel="0" collapsed="false">
      <c r="A3923" s="2" t="s">
        <v>447</v>
      </c>
      <c r="B3923" s="2" t="s">
        <v>467</v>
      </c>
      <c r="C3923" s="2" t="n">
        <v>3</v>
      </c>
      <c r="D3923" s="2" t="s">
        <v>604</v>
      </c>
      <c r="E3923" s="2" t="s">
        <v>1</v>
      </c>
      <c r="F3923" s="2" t="n">
        <v>255</v>
      </c>
      <c r="G3923" s="2" t="n">
        <v>10</v>
      </c>
    </row>
    <row r="3924" customFormat="false" ht="16.5" hidden="false" customHeight="true" outlineLevel="0" collapsed="false">
      <c r="A3924" s="2" t="s">
        <v>447</v>
      </c>
      <c r="B3924" s="2" t="s">
        <v>467</v>
      </c>
      <c r="C3924" s="2" t="n">
        <v>3</v>
      </c>
      <c r="D3924" s="2" t="s">
        <v>604</v>
      </c>
      <c r="E3924" s="2" t="s">
        <v>2</v>
      </c>
      <c r="F3924" s="2" t="n">
        <v>255</v>
      </c>
      <c r="G3924" s="2" t="n">
        <v>14</v>
      </c>
    </row>
    <row r="3925" customFormat="false" ht="16.5" hidden="false" customHeight="true" outlineLevel="0" collapsed="false">
      <c r="A3925" s="2" t="s">
        <v>447</v>
      </c>
      <c r="B3925" s="2" t="s">
        <v>467</v>
      </c>
      <c r="C3925" s="2" t="n">
        <v>3</v>
      </c>
      <c r="D3925" s="2" t="s">
        <v>604</v>
      </c>
      <c r="E3925" s="2" t="s">
        <v>3</v>
      </c>
      <c r="F3925" s="2" t="n">
        <v>255</v>
      </c>
      <c r="G3925" s="2" t="n">
        <v>18</v>
      </c>
    </row>
    <row r="3926" customFormat="false" ht="16.5" hidden="false" customHeight="true" outlineLevel="0" collapsed="false">
      <c r="A3926" s="2" t="s">
        <v>447</v>
      </c>
      <c r="B3926" s="2" t="s">
        <v>467</v>
      </c>
      <c r="C3926" s="2" t="n">
        <v>3</v>
      </c>
      <c r="D3926" s="2" t="s">
        <v>604</v>
      </c>
      <c r="E3926" s="2" t="s">
        <v>4</v>
      </c>
      <c r="F3926" s="2" t="n">
        <v>255</v>
      </c>
      <c r="G3926" s="2" t="n">
        <v>22</v>
      </c>
    </row>
    <row r="3927" customFormat="false" ht="16.5" hidden="false" customHeight="true" outlineLevel="0" collapsed="false">
      <c r="A3927" s="2" t="s">
        <v>447</v>
      </c>
      <c r="B3927" s="2" t="s">
        <v>467</v>
      </c>
      <c r="C3927" s="2" t="n">
        <v>3</v>
      </c>
      <c r="D3927" s="2" t="s">
        <v>604</v>
      </c>
      <c r="E3927" s="2" t="s">
        <v>5</v>
      </c>
      <c r="F3927" s="2" t="n">
        <v>255</v>
      </c>
      <c r="G3927" s="2" t="n">
        <v>26</v>
      </c>
    </row>
    <row r="3928" customFormat="false" ht="16.5" hidden="false" customHeight="true" outlineLevel="0" collapsed="false">
      <c r="A3928" s="2" t="s">
        <v>447</v>
      </c>
      <c r="B3928" s="2" t="s">
        <v>467</v>
      </c>
      <c r="C3928" s="2" t="n">
        <v>3</v>
      </c>
      <c r="D3928" s="2" t="s">
        <v>604</v>
      </c>
      <c r="E3928" s="2" t="s">
        <v>6</v>
      </c>
      <c r="F3928" s="2" t="n">
        <v>255</v>
      </c>
      <c r="G3928" s="2" t="n">
        <v>30</v>
      </c>
    </row>
    <row r="3929" customFormat="false" ht="16.5" hidden="false" customHeight="true" outlineLevel="0" collapsed="false">
      <c r="A3929" s="2" t="s">
        <v>447</v>
      </c>
      <c r="B3929" s="2" t="s">
        <v>467</v>
      </c>
      <c r="C3929" s="2" t="n">
        <v>3</v>
      </c>
      <c r="D3929" s="2" t="s">
        <v>604</v>
      </c>
      <c r="E3929" s="2" t="s">
        <v>7</v>
      </c>
      <c r="F3929" s="2" t="n">
        <v>255</v>
      </c>
      <c r="G3929" s="2" t="n">
        <v>34</v>
      </c>
    </row>
    <row r="3930" customFormat="false" ht="16.5" hidden="false" customHeight="true" outlineLevel="0" collapsed="false">
      <c r="A3930" s="2" t="s">
        <v>447</v>
      </c>
      <c r="B3930" s="2" t="s">
        <v>467</v>
      </c>
      <c r="C3930" s="2" t="n">
        <v>3</v>
      </c>
      <c r="D3930" s="2" t="s">
        <v>604</v>
      </c>
      <c r="E3930" s="2" t="s">
        <v>8</v>
      </c>
      <c r="F3930" s="2" t="n">
        <v>255</v>
      </c>
      <c r="G3930" s="2" t="n">
        <v>38</v>
      </c>
    </row>
    <row r="3931" customFormat="false" ht="16.5" hidden="false" customHeight="true" outlineLevel="0" collapsed="false">
      <c r="A3931" s="2" t="s">
        <v>447</v>
      </c>
      <c r="B3931" s="2" t="s">
        <v>467</v>
      </c>
      <c r="C3931" s="2" t="n">
        <v>3</v>
      </c>
      <c r="D3931" s="2" t="s">
        <v>604</v>
      </c>
      <c r="E3931" s="2" t="s">
        <v>9</v>
      </c>
      <c r="F3931" s="2" t="n">
        <v>255</v>
      </c>
      <c r="G3931" s="2" t="n">
        <v>42</v>
      </c>
    </row>
    <row r="3932" customFormat="false" ht="16.5" hidden="false" customHeight="true" outlineLevel="0" collapsed="false">
      <c r="A3932" s="2" t="s">
        <v>447</v>
      </c>
      <c r="B3932" s="2" t="s">
        <v>467</v>
      </c>
      <c r="C3932" s="2" t="n">
        <v>3</v>
      </c>
      <c r="D3932" s="2" t="s">
        <v>604</v>
      </c>
      <c r="E3932" s="2" t="s">
        <v>10</v>
      </c>
      <c r="F3932" s="2" t="n">
        <v>255</v>
      </c>
      <c r="G3932" s="2" t="n">
        <v>46</v>
      </c>
    </row>
    <row r="3933" customFormat="false" ht="16.5" hidden="false" customHeight="true" outlineLevel="0" collapsed="false">
      <c r="A3933" s="2" t="s">
        <v>447</v>
      </c>
      <c r="B3933" s="2" t="s">
        <v>467</v>
      </c>
      <c r="C3933" s="2" t="n">
        <v>3</v>
      </c>
      <c r="D3933" s="2" t="s">
        <v>604</v>
      </c>
      <c r="E3933" s="2" t="s">
        <v>11</v>
      </c>
      <c r="F3933" s="2" t="n">
        <v>255</v>
      </c>
      <c r="G3933" s="2" t="n">
        <v>50</v>
      </c>
    </row>
    <row r="3934" customFormat="false" ht="16.5" hidden="false" customHeight="true" outlineLevel="0" collapsed="false">
      <c r="A3934" s="2" t="s">
        <v>447</v>
      </c>
      <c r="B3934" s="2" t="s">
        <v>467</v>
      </c>
      <c r="C3934" s="2" t="n">
        <v>3</v>
      </c>
      <c r="D3934" s="2" t="s">
        <v>604</v>
      </c>
      <c r="E3934" s="2" t="s">
        <v>12</v>
      </c>
      <c r="F3934" s="2" t="n">
        <v>257</v>
      </c>
      <c r="G3934" s="2" t="n">
        <v>8</v>
      </c>
    </row>
    <row r="3935" customFormat="false" ht="16.5" hidden="false" customHeight="true" outlineLevel="0" collapsed="false">
      <c r="A3935" s="2" t="s">
        <v>447</v>
      </c>
      <c r="B3935" s="2" t="s">
        <v>467</v>
      </c>
      <c r="C3935" s="2" t="n">
        <v>3</v>
      </c>
      <c r="D3935" s="2" t="s">
        <v>604</v>
      </c>
      <c r="E3935" s="2" t="s">
        <v>13</v>
      </c>
      <c r="F3935" s="2" t="n">
        <v>257</v>
      </c>
      <c r="G3935" s="2" t="n">
        <v>12</v>
      </c>
    </row>
    <row r="3936" customFormat="false" ht="16.5" hidden="false" customHeight="true" outlineLevel="0" collapsed="false">
      <c r="A3936" s="2" t="s">
        <v>447</v>
      </c>
      <c r="B3936" s="2" t="s">
        <v>467</v>
      </c>
      <c r="C3936" s="2" t="n">
        <v>3</v>
      </c>
      <c r="D3936" s="2" t="s">
        <v>604</v>
      </c>
      <c r="E3936" s="2" t="s">
        <v>14</v>
      </c>
      <c r="F3936" s="2" t="n">
        <v>257</v>
      </c>
      <c r="G3936" s="2" t="n">
        <v>16</v>
      </c>
    </row>
    <row r="3937" customFormat="false" ht="16.5" hidden="false" customHeight="true" outlineLevel="0" collapsed="false">
      <c r="A3937" s="2" t="s">
        <v>447</v>
      </c>
      <c r="B3937" s="2" t="s">
        <v>467</v>
      </c>
      <c r="C3937" s="2" t="n">
        <v>3</v>
      </c>
      <c r="D3937" s="2" t="s">
        <v>604</v>
      </c>
      <c r="E3937" s="2" t="s">
        <v>15</v>
      </c>
      <c r="F3937" s="2" t="n">
        <v>257</v>
      </c>
      <c r="G3937" s="2" t="n">
        <v>20</v>
      </c>
    </row>
    <row r="3938" customFormat="false" ht="16.5" hidden="false" customHeight="true" outlineLevel="0" collapsed="false">
      <c r="A3938" s="2" t="s">
        <v>447</v>
      </c>
      <c r="B3938" s="2" t="s">
        <v>467</v>
      </c>
      <c r="C3938" s="2" t="n">
        <v>3</v>
      </c>
      <c r="D3938" s="2" t="s">
        <v>604</v>
      </c>
      <c r="E3938" s="2" t="s">
        <v>16</v>
      </c>
      <c r="F3938" s="2" t="n">
        <v>257</v>
      </c>
      <c r="G3938" s="2" t="n">
        <v>24</v>
      </c>
    </row>
    <row r="3939" customFormat="false" ht="16.5" hidden="false" customHeight="true" outlineLevel="0" collapsed="false">
      <c r="A3939" s="2" t="s">
        <v>447</v>
      </c>
      <c r="B3939" s="2" t="s">
        <v>467</v>
      </c>
      <c r="C3939" s="2" t="n">
        <v>3</v>
      </c>
      <c r="D3939" s="2" t="s">
        <v>604</v>
      </c>
      <c r="E3939" s="2" t="s">
        <v>17</v>
      </c>
      <c r="F3939" s="2" t="n">
        <v>257</v>
      </c>
      <c r="G3939" s="2" t="n">
        <v>28</v>
      </c>
    </row>
    <row r="3940" customFormat="false" ht="16.5" hidden="false" customHeight="true" outlineLevel="0" collapsed="false">
      <c r="A3940" s="2" t="s">
        <v>447</v>
      </c>
      <c r="B3940" s="2" t="s">
        <v>467</v>
      </c>
      <c r="C3940" s="2" t="n">
        <v>3</v>
      </c>
      <c r="D3940" s="2" t="s">
        <v>604</v>
      </c>
      <c r="E3940" s="2" t="s">
        <v>18</v>
      </c>
      <c r="F3940" s="2" t="n">
        <v>257</v>
      </c>
      <c r="G3940" s="2" t="n">
        <v>32</v>
      </c>
    </row>
    <row r="3941" customFormat="false" ht="16.5" hidden="false" customHeight="true" outlineLevel="0" collapsed="false">
      <c r="A3941" s="2" t="s">
        <v>447</v>
      </c>
      <c r="B3941" s="2" t="s">
        <v>467</v>
      </c>
      <c r="C3941" s="2" t="n">
        <v>3</v>
      </c>
      <c r="D3941" s="2" t="s">
        <v>604</v>
      </c>
      <c r="E3941" s="2" t="s">
        <v>19</v>
      </c>
      <c r="F3941" s="2" t="n">
        <v>257</v>
      </c>
      <c r="G3941" s="2" t="n">
        <v>36</v>
      </c>
    </row>
    <row r="3942" customFormat="false" ht="16.5" hidden="false" customHeight="true" outlineLevel="0" collapsed="false">
      <c r="A3942" s="2" t="s">
        <v>447</v>
      </c>
      <c r="B3942" s="2" t="s">
        <v>467</v>
      </c>
      <c r="C3942" s="2" t="n">
        <v>3</v>
      </c>
      <c r="D3942" s="2" t="s">
        <v>604</v>
      </c>
      <c r="E3942" s="2" t="s">
        <v>20</v>
      </c>
      <c r="F3942" s="2" t="n">
        <v>257</v>
      </c>
      <c r="G3942" s="2" t="n">
        <v>40</v>
      </c>
    </row>
    <row r="3943" customFormat="false" ht="16.5" hidden="false" customHeight="true" outlineLevel="0" collapsed="false">
      <c r="A3943" s="2" t="s">
        <v>447</v>
      </c>
      <c r="B3943" s="2" t="s">
        <v>467</v>
      </c>
      <c r="C3943" s="2" t="n">
        <v>3</v>
      </c>
      <c r="D3943" s="2" t="s">
        <v>604</v>
      </c>
      <c r="E3943" s="2" t="s">
        <v>21</v>
      </c>
      <c r="F3943" s="2" t="n">
        <v>257</v>
      </c>
      <c r="G3943" s="2" t="n">
        <v>44</v>
      </c>
    </row>
    <row r="3944" customFormat="false" ht="16.5" hidden="false" customHeight="true" outlineLevel="0" collapsed="false">
      <c r="A3944" s="2" t="s">
        <v>447</v>
      </c>
      <c r="B3944" s="2" t="s">
        <v>467</v>
      </c>
      <c r="C3944" s="2" t="n">
        <v>3</v>
      </c>
      <c r="D3944" s="2" t="s">
        <v>604</v>
      </c>
      <c r="E3944" s="2" t="s">
        <v>22</v>
      </c>
      <c r="F3944" s="2" t="n">
        <v>257</v>
      </c>
      <c r="G3944" s="2" t="n">
        <v>48</v>
      </c>
    </row>
    <row r="3945" customFormat="false" ht="16.5" hidden="false" customHeight="true" outlineLevel="0" collapsed="false">
      <c r="A3945" s="2" t="s">
        <v>447</v>
      </c>
      <c r="B3945" s="2" t="s">
        <v>467</v>
      </c>
      <c r="C3945" s="2" t="n">
        <v>3</v>
      </c>
      <c r="D3945" s="2" t="s">
        <v>604</v>
      </c>
      <c r="E3945" s="2" t="s">
        <v>23</v>
      </c>
      <c r="F3945" s="2" t="n">
        <v>257</v>
      </c>
      <c r="G3945" s="2" t="n">
        <v>52</v>
      </c>
    </row>
    <row r="3946" customFormat="false" ht="16.5" hidden="false" customHeight="true" outlineLevel="0" collapsed="false">
      <c r="A3946" s="2" t="s">
        <v>447</v>
      </c>
      <c r="B3946" s="2" t="s">
        <v>467</v>
      </c>
      <c r="C3946" s="2" t="n">
        <v>3</v>
      </c>
      <c r="D3946" s="2" t="s">
        <v>604</v>
      </c>
      <c r="E3946" s="2" t="s">
        <v>24</v>
      </c>
      <c r="F3946" s="2" t="n">
        <v>259</v>
      </c>
      <c r="G3946" s="2" t="n">
        <v>9</v>
      </c>
    </row>
    <row r="3947" customFormat="false" ht="16.5" hidden="false" customHeight="true" outlineLevel="0" collapsed="false">
      <c r="A3947" s="2" t="s">
        <v>447</v>
      </c>
      <c r="B3947" s="2" t="s">
        <v>467</v>
      </c>
      <c r="C3947" s="2" t="n">
        <v>3</v>
      </c>
      <c r="D3947" s="2" t="s">
        <v>604</v>
      </c>
      <c r="E3947" s="2" t="s">
        <v>25</v>
      </c>
      <c r="F3947" s="2" t="n">
        <v>259</v>
      </c>
      <c r="G3947" s="2" t="n">
        <v>13</v>
      </c>
    </row>
    <row r="3948" customFormat="false" ht="16.5" hidden="false" customHeight="true" outlineLevel="0" collapsed="false">
      <c r="A3948" s="2" t="s">
        <v>447</v>
      </c>
      <c r="B3948" s="2" t="s">
        <v>467</v>
      </c>
      <c r="C3948" s="2" t="n">
        <v>3</v>
      </c>
      <c r="D3948" s="2" t="s">
        <v>604</v>
      </c>
      <c r="E3948" s="2" t="s">
        <v>26</v>
      </c>
      <c r="F3948" s="2" t="n">
        <v>259</v>
      </c>
      <c r="G3948" s="2" t="n">
        <v>17</v>
      </c>
    </row>
    <row r="3949" customFormat="false" ht="16.5" hidden="false" customHeight="true" outlineLevel="0" collapsed="false">
      <c r="A3949" s="2" t="s">
        <v>447</v>
      </c>
      <c r="B3949" s="2" t="s">
        <v>467</v>
      </c>
      <c r="C3949" s="2" t="n">
        <v>3</v>
      </c>
      <c r="D3949" s="2" t="s">
        <v>604</v>
      </c>
      <c r="E3949" s="2" t="s">
        <v>27</v>
      </c>
      <c r="F3949" s="2" t="n">
        <v>259</v>
      </c>
      <c r="G3949" s="2" t="n">
        <v>21</v>
      </c>
    </row>
    <row r="3950" customFormat="false" ht="16.5" hidden="false" customHeight="true" outlineLevel="0" collapsed="false">
      <c r="A3950" s="2" t="s">
        <v>447</v>
      </c>
      <c r="B3950" s="2" t="s">
        <v>467</v>
      </c>
      <c r="C3950" s="2" t="n">
        <v>3</v>
      </c>
      <c r="D3950" s="2" t="s">
        <v>604</v>
      </c>
      <c r="E3950" s="2" t="s">
        <v>28</v>
      </c>
      <c r="F3950" s="2" t="n">
        <v>259</v>
      </c>
      <c r="G3950" s="2" t="n">
        <v>25</v>
      </c>
    </row>
    <row r="3951" customFormat="false" ht="16.5" hidden="false" customHeight="true" outlineLevel="0" collapsed="false">
      <c r="A3951" s="2" t="s">
        <v>447</v>
      </c>
      <c r="B3951" s="2" t="s">
        <v>467</v>
      </c>
      <c r="C3951" s="2" t="n">
        <v>3</v>
      </c>
      <c r="D3951" s="2" t="s">
        <v>604</v>
      </c>
      <c r="E3951" s="2" t="s">
        <v>29</v>
      </c>
      <c r="F3951" s="2" t="n">
        <v>259</v>
      </c>
      <c r="G3951" s="2" t="n">
        <v>29</v>
      </c>
    </row>
    <row r="3952" customFormat="false" ht="16.5" hidden="false" customHeight="true" outlineLevel="0" collapsed="false">
      <c r="A3952" s="2" t="s">
        <v>447</v>
      </c>
      <c r="B3952" s="2" t="s">
        <v>467</v>
      </c>
      <c r="C3952" s="2" t="n">
        <v>3</v>
      </c>
      <c r="D3952" s="2" t="s">
        <v>604</v>
      </c>
      <c r="E3952" s="2" t="s">
        <v>30</v>
      </c>
      <c r="F3952" s="2" t="n">
        <v>259</v>
      </c>
      <c r="G3952" s="2" t="n">
        <v>33</v>
      </c>
    </row>
    <row r="3953" customFormat="false" ht="16.5" hidden="false" customHeight="true" outlineLevel="0" collapsed="false">
      <c r="A3953" s="2" t="s">
        <v>447</v>
      </c>
      <c r="B3953" s="2" t="s">
        <v>467</v>
      </c>
      <c r="C3953" s="2" t="n">
        <v>3</v>
      </c>
      <c r="D3953" s="2" t="s">
        <v>604</v>
      </c>
      <c r="E3953" s="2" t="s">
        <v>31</v>
      </c>
      <c r="F3953" s="2" t="n">
        <v>259</v>
      </c>
      <c r="G3953" s="2" t="n">
        <v>37</v>
      </c>
    </row>
    <row r="3954" customFormat="false" ht="16.5" hidden="false" customHeight="true" outlineLevel="0" collapsed="false">
      <c r="A3954" s="2" t="s">
        <v>447</v>
      </c>
      <c r="B3954" s="2" t="s">
        <v>467</v>
      </c>
      <c r="C3954" s="2" t="n">
        <v>3</v>
      </c>
      <c r="D3954" s="2" t="s">
        <v>604</v>
      </c>
      <c r="E3954" s="2" t="s">
        <v>32</v>
      </c>
      <c r="F3954" s="2" t="n">
        <v>259</v>
      </c>
      <c r="G3954" s="2" t="n">
        <v>41</v>
      </c>
    </row>
    <row r="3955" customFormat="false" ht="16.5" hidden="false" customHeight="true" outlineLevel="0" collapsed="false">
      <c r="A3955" s="2" t="s">
        <v>447</v>
      </c>
      <c r="B3955" s="2" t="s">
        <v>467</v>
      </c>
      <c r="C3955" s="2" t="n">
        <v>3</v>
      </c>
      <c r="D3955" s="2" t="s">
        <v>604</v>
      </c>
      <c r="E3955" s="2" t="s">
        <v>33</v>
      </c>
      <c r="F3955" s="2" t="n">
        <v>259</v>
      </c>
      <c r="G3955" s="2" t="n">
        <v>45</v>
      </c>
    </row>
    <row r="3956" customFormat="false" ht="16.5" hidden="false" customHeight="true" outlineLevel="0" collapsed="false">
      <c r="A3956" s="2" t="s">
        <v>447</v>
      </c>
      <c r="B3956" s="2" t="s">
        <v>467</v>
      </c>
      <c r="C3956" s="2" t="n">
        <v>3</v>
      </c>
      <c r="D3956" s="2" t="s">
        <v>604</v>
      </c>
      <c r="E3956" s="2" t="s">
        <v>34</v>
      </c>
      <c r="F3956" s="2" t="n">
        <v>259</v>
      </c>
      <c r="G3956" s="2" t="n">
        <v>49</v>
      </c>
    </row>
    <row r="3957" customFormat="false" ht="16.5" hidden="false" customHeight="true" outlineLevel="0" collapsed="false">
      <c r="A3957" s="2" t="s">
        <v>447</v>
      </c>
      <c r="B3957" s="2" t="s">
        <v>467</v>
      </c>
      <c r="C3957" s="2" t="n">
        <v>3</v>
      </c>
      <c r="D3957" s="2" t="s">
        <v>604</v>
      </c>
      <c r="E3957" s="2" t="s">
        <v>35</v>
      </c>
      <c r="F3957" s="2" t="n">
        <v>261</v>
      </c>
      <c r="G3957" s="2" t="n">
        <v>11</v>
      </c>
    </row>
    <row r="3958" customFormat="false" ht="16.5" hidden="false" customHeight="true" outlineLevel="0" collapsed="false">
      <c r="A3958" s="2" t="s">
        <v>447</v>
      </c>
      <c r="B3958" s="2" t="s">
        <v>467</v>
      </c>
      <c r="C3958" s="2" t="n">
        <v>3</v>
      </c>
      <c r="D3958" s="2" t="s">
        <v>604</v>
      </c>
      <c r="E3958" s="2" t="s">
        <v>36</v>
      </c>
      <c r="F3958" s="2" t="n">
        <v>261</v>
      </c>
      <c r="G3958" s="2" t="n">
        <v>15</v>
      </c>
    </row>
    <row r="3959" customFormat="false" ht="16.5" hidden="false" customHeight="true" outlineLevel="0" collapsed="false">
      <c r="A3959" s="2" t="s">
        <v>447</v>
      </c>
      <c r="B3959" s="2" t="s">
        <v>467</v>
      </c>
      <c r="C3959" s="2" t="n">
        <v>3</v>
      </c>
      <c r="D3959" s="2" t="s">
        <v>604</v>
      </c>
      <c r="E3959" s="2" t="s">
        <v>37</v>
      </c>
      <c r="F3959" s="2" t="n">
        <v>261</v>
      </c>
      <c r="G3959" s="2" t="n">
        <v>19</v>
      </c>
    </row>
    <row r="3960" customFormat="false" ht="16.5" hidden="false" customHeight="true" outlineLevel="0" collapsed="false">
      <c r="A3960" s="2" t="s">
        <v>447</v>
      </c>
      <c r="B3960" s="2" t="s">
        <v>467</v>
      </c>
      <c r="C3960" s="2" t="n">
        <v>3</v>
      </c>
      <c r="D3960" s="2" t="s">
        <v>604</v>
      </c>
      <c r="E3960" s="2" t="s">
        <v>38</v>
      </c>
      <c r="F3960" s="2" t="n">
        <v>261</v>
      </c>
      <c r="G3960" s="2" t="n">
        <v>23</v>
      </c>
    </row>
    <row r="3961" customFormat="false" ht="16.5" hidden="false" customHeight="true" outlineLevel="0" collapsed="false">
      <c r="A3961" s="2" t="s">
        <v>447</v>
      </c>
      <c r="B3961" s="2" t="s">
        <v>467</v>
      </c>
      <c r="C3961" s="2" t="n">
        <v>3</v>
      </c>
      <c r="D3961" s="2" t="s">
        <v>604</v>
      </c>
      <c r="E3961" s="2" t="s">
        <v>39</v>
      </c>
      <c r="F3961" s="2" t="n">
        <v>261</v>
      </c>
      <c r="G3961" s="2" t="n">
        <v>27</v>
      </c>
    </row>
    <row r="3962" customFormat="false" ht="16.5" hidden="false" customHeight="true" outlineLevel="0" collapsed="false">
      <c r="A3962" s="2" t="s">
        <v>447</v>
      </c>
      <c r="B3962" s="2" t="s">
        <v>467</v>
      </c>
      <c r="C3962" s="2" t="n">
        <v>3</v>
      </c>
      <c r="D3962" s="2" t="s">
        <v>604</v>
      </c>
      <c r="E3962" s="2" t="s">
        <v>40</v>
      </c>
      <c r="F3962" s="2" t="n">
        <v>261</v>
      </c>
      <c r="G3962" s="2" t="n">
        <v>31</v>
      </c>
    </row>
    <row r="3963" customFormat="false" ht="16.5" hidden="false" customHeight="true" outlineLevel="0" collapsed="false">
      <c r="A3963" s="2" t="s">
        <v>447</v>
      </c>
      <c r="B3963" s="2" t="s">
        <v>467</v>
      </c>
      <c r="C3963" s="2" t="n">
        <v>3</v>
      </c>
      <c r="D3963" s="2" t="s">
        <v>604</v>
      </c>
      <c r="E3963" s="2" t="s">
        <v>41</v>
      </c>
      <c r="F3963" s="2" t="n">
        <v>261</v>
      </c>
      <c r="G3963" s="2" t="n">
        <v>35</v>
      </c>
    </row>
    <row r="3964" customFormat="false" ht="16.5" hidden="false" customHeight="true" outlineLevel="0" collapsed="false">
      <c r="A3964" s="2" t="s">
        <v>447</v>
      </c>
      <c r="B3964" s="2" t="s">
        <v>467</v>
      </c>
      <c r="C3964" s="2" t="n">
        <v>3</v>
      </c>
      <c r="D3964" s="2" t="s">
        <v>604</v>
      </c>
      <c r="E3964" s="2" t="s">
        <v>42</v>
      </c>
      <c r="F3964" s="2" t="n">
        <v>261</v>
      </c>
      <c r="G3964" s="2" t="n">
        <v>39</v>
      </c>
    </row>
    <row r="3965" customFormat="false" ht="16.5" hidden="false" customHeight="true" outlineLevel="0" collapsed="false">
      <c r="A3965" s="2" t="s">
        <v>447</v>
      </c>
      <c r="B3965" s="2" t="s">
        <v>467</v>
      </c>
      <c r="C3965" s="2" t="n">
        <v>3</v>
      </c>
      <c r="D3965" s="2" t="s">
        <v>604</v>
      </c>
      <c r="E3965" s="2" t="s">
        <v>43</v>
      </c>
      <c r="F3965" s="2" t="n">
        <v>261</v>
      </c>
      <c r="G3965" s="2" t="n">
        <v>43</v>
      </c>
    </row>
    <row r="3966" customFormat="false" ht="16.5" hidden="false" customHeight="true" outlineLevel="0" collapsed="false">
      <c r="A3966" s="2" t="s">
        <v>447</v>
      </c>
      <c r="B3966" s="2" t="s">
        <v>467</v>
      </c>
      <c r="C3966" s="2" t="n">
        <v>3</v>
      </c>
      <c r="D3966" s="2" t="s">
        <v>604</v>
      </c>
      <c r="E3966" s="2" t="s">
        <v>44</v>
      </c>
      <c r="F3966" s="2" t="n">
        <v>261</v>
      </c>
      <c r="G3966" s="2" t="n">
        <v>47</v>
      </c>
    </row>
    <row r="3967" customFormat="false" ht="16.5" hidden="false" customHeight="true" outlineLevel="0" collapsed="false">
      <c r="A3967" s="2" t="s">
        <v>447</v>
      </c>
      <c r="B3967" s="2" t="s">
        <v>467</v>
      </c>
      <c r="C3967" s="2" t="n">
        <v>3</v>
      </c>
      <c r="D3967" s="2" t="s">
        <v>604</v>
      </c>
      <c r="E3967" s="2" t="s">
        <v>48</v>
      </c>
      <c r="F3967" s="2" t="n">
        <v>263</v>
      </c>
      <c r="G3967" s="2" t="n">
        <v>16</v>
      </c>
    </row>
    <row r="3968" customFormat="false" ht="16.5" hidden="false" customHeight="true" outlineLevel="0" collapsed="false">
      <c r="A3968" s="2" t="s">
        <v>447</v>
      </c>
      <c r="B3968" s="2" t="s">
        <v>467</v>
      </c>
      <c r="C3968" s="2" t="n">
        <v>3</v>
      </c>
      <c r="D3968" s="2" t="s">
        <v>604</v>
      </c>
      <c r="E3968" s="2" t="s">
        <v>50</v>
      </c>
      <c r="F3968" s="2" t="n">
        <v>263</v>
      </c>
      <c r="G3968" s="2" t="n">
        <v>20</v>
      </c>
    </row>
    <row r="3969" customFormat="false" ht="16.5" hidden="false" customHeight="true" outlineLevel="0" collapsed="false">
      <c r="A3969" s="2" t="s">
        <v>447</v>
      </c>
      <c r="B3969" s="2" t="s">
        <v>467</v>
      </c>
      <c r="C3969" s="2" t="n">
        <v>3</v>
      </c>
      <c r="D3969" s="2" t="s">
        <v>604</v>
      </c>
      <c r="E3969" s="2" t="s">
        <v>45</v>
      </c>
      <c r="F3969" s="2" t="n">
        <v>263</v>
      </c>
      <c r="G3969" s="2" t="n">
        <v>38</v>
      </c>
    </row>
    <row r="3970" customFormat="false" ht="16.5" hidden="false" customHeight="true" outlineLevel="0" collapsed="false">
      <c r="A3970" s="2" t="s">
        <v>447</v>
      </c>
      <c r="B3970" s="2" t="s">
        <v>467</v>
      </c>
      <c r="C3970" s="2" t="n">
        <v>3</v>
      </c>
      <c r="D3970" s="2" t="s">
        <v>604</v>
      </c>
      <c r="E3970" s="2" t="s">
        <v>46</v>
      </c>
      <c r="F3970" s="2" t="n">
        <v>263</v>
      </c>
      <c r="G3970" s="2" t="n">
        <v>42</v>
      </c>
    </row>
    <row r="3971" customFormat="false" ht="16.5" hidden="false" customHeight="true" outlineLevel="0" collapsed="false">
      <c r="A3971" s="2" t="s">
        <v>447</v>
      </c>
      <c r="B3971" s="2" t="s">
        <v>468</v>
      </c>
      <c r="C3971" s="2" t="n">
        <v>3</v>
      </c>
      <c r="D3971" s="2" t="s">
        <v>605</v>
      </c>
      <c r="E3971" s="2" t="s">
        <v>0</v>
      </c>
      <c r="F3971" s="2" t="n">
        <v>268</v>
      </c>
      <c r="G3971" s="2" t="n">
        <v>6</v>
      </c>
    </row>
    <row r="3972" customFormat="false" ht="16.5" hidden="false" customHeight="true" outlineLevel="0" collapsed="false">
      <c r="A3972" s="2" t="s">
        <v>447</v>
      </c>
      <c r="B3972" s="2" t="s">
        <v>468</v>
      </c>
      <c r="C3972" s="2" t="n">
        <v>3</v>
      </c>
      <c r="D3972" s="2" t="s">
        <v>605</v>
      </c>
      <c r="E3972" s="2" t="s">
        <v>1</v>
      </c>
      <c r="F3972" s="2" t="n">
        <v>268</v>
      </c>
      <c r="G3972" s="2" t="n">
        <v>10</v>
      </c>
    </row>
    <row r="3973" customFormat="false" ht="16.5" hidden="false" customHeight="true" outlineLevel="0" collapsed="false">
      <c r="A3973" s="2" t="s">
        <v>447</v>
      </c>
      <c r="B3973" s="2" t="s">
        <v>468</v>
      </c>
      <c r="C3973" s="2" t="n">
        <v>3</v>
      </c>
      <c r="D3973" s="2" t="s">
        <v>605</v>
      </c>
      <c r="E3973" s="2" t="s">
        <v>2</v>
      </c>
      <c r="F3973" s="2" t="n">
        <v>268</v>
      </c>
      <c r="G3973" s="2" t="n">
        <v>14</v>
      </c>
    </row>
    <row r="3974" customFormat="false" ht="16.5" hidden="false" customHeight="true" outlineLevel="0" collapsed="false">
      <c r="A3974" s="2" t="s">
        <v>447</v>
      </c>
      <c r="B3974" s="2" t="s">
        <v>468</v>
      </c>
      <c r="C3974" s="2" t="n">
        <v>3</v>
      </c>
      <c r="D3974" s="2" t="s">
        <v>605</v>
      </c>
      <c r="E3974" s="2" t="s">
        <v>3</v>
      </c>
      <c r="F3974" s="2" t="n">
        <v>268</v>
      </c>
      <c r="G3974" s="2" t="n">
        <v>18</v>
      </c>
    </row>
    <row r="3975" customFormat="false" ht="16.5" hidden="false" customHeight="true" outlineLevel="0" collapsed="false">
      <c r="A3975" s="2" t="s">
        <v>447</v>
      </c>
      <c r="B3975" s="2" t="s">
        <v>468</v>
      </c>
      <c r="C3975" s="2" t="n">
        <v>3</v>
      </c>
      <c r="D3975" s="2" t="s">
        <v>605</v>
      </c>
      <c r="E3975" s="2" t="s">
        <v>4</v>
      </c>
      <c r="F3975" s="2" t="n">
        <v>268</v>
      </c>
      <c r="G3975" s="2" t="n">
        <v>22</v>
      </c>
    </row>
    <row r="3976" customFormat="false" ht="16.5" hidden="false" customHeight="true" outlineLevel="0" collapsed="false">
      <c r="A3976" s="2" t="s">
        <v>447</v>
      </c>
      <c r="B3976" s="2" t="s">
        <v>468</v>
      </c>
      <c r="C3976" s="2" t="n">
        <v>3</v>
      </c>
      <c r="D3976" s="2" t="s">
        <v>605</v>
      </c>
      <c r="E3976" s="2" t="s">
        <v>5</v>
      </c>
      <c r="F3976" s="2" t="n">
        <v>268</v>
      </c>
      <c r="G3976" s="2" t="n">
        <v>26</v>
      </c>
    </row>
    <row r="3977" customFormat="false" ht="16.5" hidden="false" customHeight="true" outlineLevel="0" collapsed="false">
      <c r="A3977" s="2" t="s">
        <v>447</v>
      </c>
      <c r="B3977" s="2" t="s">
        <v>468</v>
      </c>
      <c r="C3977" s="2" t="n">
        <v>3</v>
      </c>
      <c r="D3977" s="2" t="s">
        <v>605</v>
      </c>
      <c r="E3977" s="2" t="s">
        <v>6</v>
      </c>
      <c r="F3977" s="2" t="n">
        <v>268</v>
      </c>
      <c r="G3977" s="2" t="n">
        <v>30</v>
      </c>
    </row>
    <row r="3978" customFormat="false" ht="16.5" hidden="false" customHeight="true" outlineLevel="0" collapsed="false">
      <c r="A3978" s="2" t="s">
        <v>447</v>
      </c>
      <c r="B3978" s="2" t="s">
        <v>468</v>
      </c>
      <c r="C3978" s="2" t="n">
        <v>3</v>
      </c>
      <c r="D3978" s="2" t="s">
        <v>605</v>
      </c>
      <c r="E3978" s="2" t="s">
        <v>7</v>
      </c>
      <c r="F3978" s="2" t="n">
        <v>268</v>
      </c>
      <c r="G3978" s="2" t="n">
        <v>34</v>
      </c>
    </row>
    <row r="3979" customFormat="false" ht="16.5" hidden="false" customHeight="true" outlineLevel="0" collapsed="false">
      <c r="A3979" s="2" t="s">
        <v>447</v>
      </c>
      <c r="B3979" s="2" t="s">
        <v>468</v>
      </c>
      <c r="C3979" s="2" t="n">
        <v>3</v>
      </c>
      <c r="D3979" s="2" t="s">
        <v>605</v>
      </c>
      <c r="E3979" s="2" t="s">
        <v>8</v>
      </c>
      <c r="F3979" s="2" t="n">
        <v>268</v>
      </c>
      <c r="G3979" s="2" t="n">
        <v>38</v>
      </c>
    </row>
    <row r="3980" customFormat="false" ht="16.5" hidden="false" customHeight="true" outlineLevel="0" collapsed="false">
      <c r="A3980" s="2" t="s">
        <v>447</v>
      </c>
      <c r="B3980" s="2" t="s">
        <v>468</v>
      </c>
      <c r="C3980" s="2" t="n">
        <v>3</v>
      </c>
      <c r="D3980" s="2" t="s">
        <v>605</v>
      </c>
      <c r="E3980" s="2" t="s">
        <v>9</v>
      </c>
      <c r="F3980" s="2" t="n">
        <v>268</v>
      </c>
      <c r="G3980" s="2" t="n">
        <v>42</v>
      </c>
    </row>
    <row r="3981" customFormat="false" ht="16.5" hidden="false" customHeight="true" outlineLevel="0" collapsed="false">
      <c r="A3981" s="2" t="s">
        <v>447</v>
      </c>
      <c r="B3981" s="2" t="s">
        <v>468</v>
      </c>
      <c r="C3981" s="2" t="n">
        <v>3</v>
      </c>
      <c r="D3981" s="2" t="s">
        <v>605</v>
      </c>
      <c r="E3981" s="2" t="s">
        <v>10</v>
      </c>
      <c r="F3981" s="2" t="n">
        <v>268</v>
      </c>
      <c r="G3981" s="2" t="n">
        <v>46</v>
      </c>
    </row>
    <row r="3982" customFormat="false" ht="16.5" hidden="false" customHeight="true" outlineLevel="0" collapsed="false">
      <c r="A3982" s="2" t="s">
        <v>447</v>
      </c>
      <c r="B3982" s="2" t="s">
        <v>468</v>
      </c>
      <c r="C3982" s="2" t="n">
        <v>3</v>
      </c>
      <c r="D3982" s="2" t="s">
        <v>605</v>
      </c>
      <c r="E3982" s="2" t="s">
        <v>11</v>
      </c>
      <c r="F3982" s="2" t="n">
        <v>268</v>
      </c>
      <c r="G3982" s="2" t="n">
        <v>50</v>
      </c>
    </row>
    <row r="3983" customFormat="false" ht="16.5" hidden="false" customHeight="true" outlineLevel="0" collapsed="false">
      <c r="A3983" s="2" t="s">
        <v>447</v>
      </c>
      <c r="B3983" s="2" t="s">
        <v>468</v>
      </c>
      <c r="C3983" s="2" t="n">
        <v>3</v>
      </c>
      <c r="D3983" s="2" t="s">
        <v>605</v>
      </c>
      <c r="E3983" s="2" t="s">
        <v>12</v>
      </c>
      <c r="F3983" s="2" t="n">
        <v>270</v>
      </c>
      <c r="G3983" s="2" t="n">
        <v>8</v>
      </c>
    </row>
    <row r="3984" customFormat="false" ht="16.5" hidden="false" customHeight="true" outlineLevel="0" collapsed="false">
      <c r="A3984" s="2" t="s">
        <v>447</v>
      </c>
      <c r="B3984" s="2" t="s">
        <v>468</v>
      </c>
      <c r="C3984" s="2" t="n">
        <v>3</v>
      </c>
      <c r="D3984" s="2" t="s">
        <v>605</v>
      </c>
      <c r="E3984" s="2" t="s">
        <v>13</v>
      </c>
      <c r="F3984" s="2" t="n">
        <v>270</v>
      </c>
      <c r="G3984" s="2" t="n">
        <v>12</v>
      </c>
    </row>
    <row r="3985" customFormat="false" ht="16.5" hidden="false" customHeight="true" outlineLevel="0" collapsed="false">
      <c r="A3985" s="2" t="s">
        <v>447</v>
      </c>
      <c r="B3985" s="2" t="s">
        <v>468</v>
      </c>
      <c r="C3985" s="2" t="n">
        <v>3</v>
      </c>
      <c r="D3985" s="2" t="s">
        <v>605</v>
      </c>
      <c r="E3985" s="2" t="s">
        <v>14</v>
      </c>
      <c r="F3985" s="2" t="n">
        <v>270</v>
      </c>
      <c r="G3985" s="2" t="n">
        <v>16</v>
      </c>
    </row>
    <row r="3986" customFormat="false" ht="16.5" hidden="false" customHeight="true" outlineLevel="0" collapsed="false">
      <c r="A3986" s="2" t="s">
        <v>447</v>
      </c>
      <c r="B3986" s="2" t="s">
        <v>468</v>
      </c>
      <c r="C3986" s="2" t="n">
        <v>3</v>
      </c>
      <c r="D3986" s="2" t="s">
        <v>605</v>
      </c>
      <c r="E3986" s="2" t="s">
        <v>15</v>
      </c>
      <c r="F3986" s="2" t="n">
        <v>270</v>
      </c>
      <c r="G3986" s="2" t="n">
        <v>20</v>
      </c>
    </row>
    <row r="3987" customFormat="false" ht="16.5" hidden="false" customHeight="true" outlineLevel="0" collapsed="false">
      <c r="A3987" s="2" t="s">
        <v>447</v>
      </c>
      <c r="B3987" s="2" t="s">
        <v>468</v>
      </c>
      <c r="C3987" s="2" t="n">
        <v>3</v>
      </c>
      <c r="D3987" s="2" t="s">
        <v>605</v>
      </c>
      <c r="E3987" s="2" t="s">
        <v>16</v>
      </c>
      <c r="F3987" s="2" t="n">
        <v>270</v>
      </c>
      <c r="G3987" s="2" t="n">
        <v>24</v>
      </c>
    </row>
    <row r="3988" customFormat="false" ht="16.5" hidden="false" customHeight="true" outlineLevel="0" collapsed="false">
      <c r="A3988" s="2" t="s">
        <v>447</v>
      </c>
      <c r="B3988" s="2" t="s">
        <v>468</v>
      </c>
      <c r="C3988" s="2" t="n">
        <v>3</v>
      </c>
      <c r="D3988" s="2" t="s">
        <v>605</v>
      </c>
      <c r="E3988" s="2" t="s">
        <v>17</v>
      </c>
      <c r="F3988" s="2" t="n">
        <v>270</v>
      </c>
      <c r="G3988" s="2" t="n">
        <v>28</v>
      </c>
    </row>
    <row r="3989" customFormat="false" ht="16.5" hidden="false" customHeight="true" outlineLevel="0" collapsed="false">
      <c r="A3989" s="2" t="s">
        <v>447</v>
      </c>
      <c r="B3989" s="2" t="s">
        <v>468</v>
      </c>
      <c r="C3989" s="2" t="n">
        <v>3</v>
      </c>
      <c r="D3989" s="2" t="s">
        <v>605</v>
      </c>
      <c r="E3989" s="2" t="s">
        <v>18</v>
      </c>
      <c r="F3989" s="2" t="n">
        <v>270</v>
      </c>
      <c r="G3989" s="2" t="n">
        <v>32</v>
      </c>
    </row>
    <row r="3990" customFormat="false" ht="16.5" hidden="false" customHeight="true" outlineLevel="0" collapsed="false">
      <c r="A3990" s="2" t="s">
        <v>447</v>
      </c>
      <c r="B3990" s="2" t="s">
        <v>468</v>
      </c>
      <c r="C3990" s="2" t="n">
        <v>3</v>
      </c>
      <c r="D3990" s="2" t="s">
        <v>605</v>
      </c>
      <c r="E3990" s="2" t="s">
        <v>19</v>
      </c>
      <c r="F3990" s="2" t="n">
        <v>270</v>
      </c>
      <c r="G3990" s="2" t="n">
        <v>36</v>
      </c>
    </row>
    <row r="3991" customFormat="false" ht="16.5" hidden="false" customHeight="true" outlineLevel="0" collapsed="false">
      <c r="A3991" s="2" t="s">
        <v>447</v>
      </c>
      <c r="B3991" s="2" t="s">
        <v>468</v>
      </c>
      <c r="C3991" s="2" t="n">
        <v>3</v>
      </c>
      <c r="D3991" s="2" t="s">
        <v>605</v>
      </c>
      <c r="E3991" s="2" t="s">
        <v>20</v>
      </c>
      <c r="F3991" s="2" t="n">
        <v>270</v>
      </c>
      <c r="G3991" s="2" t="n">
        <v>40</v>
      </c>
    </row>
    <row r="3992" customFormat="false" ht="16.5" hidden="false" customHeight="true" outlineLevel="0" collapsed="false">
      <c r="A3992" s="2" t="s">
        <v>447</v>
      </c>
      <c r="B3992" s="2" t="s">
        <v>468</v>
      </c>
      <c r="C3992" s="2" t="n">
        <v>3</v>
      </c>
      <c r="D3992" s="2" t="s">
        <v>605</v>
      </c>
      <c r="E3992" s="2" t="s">
        <v>21</v>
      </c>
      <c r="F3992" s="2" t="n">
        <v>270</v>
      </c>
      <c r="G3992" s="2" t="n">
        <v>44</v>
      </c>
    </row>
    <row r="3993" customFormat="false" ht="16.5" hidden="false" customHeight="true" outlineLevel="0" collapsed="false">
      <c r="A3993" s="2" t="s">
        <v>447</v>
      </c>
      <c r="B3993" s="2" t="s">
        <v>468</v>
      </c>
      <c r="C3993" s="2" t="n">
        <v>3</v>
      </c>
      <c r="D3993" s="2" t="s">
        <v>605</v>
      </c>
      <c r="E3993" s="2" t="s">
        <v>22</v>
      </c>
      <c r="F3993" s="2" t="n">
        <v>270</v>
      </c>
      <c r="G3993" s="2" t="n">
        <v>48</v>
      </c>
    </row>
    <row r="3994" customFormat="false" ht="16.5" hidden="false" customHeight="true" outlineLevel="0" collapsed="false">
      <c r="A3994" s="2" t="s">
        <v>447</v>
      </c>
      <c r="B3994" s="2" t="s">
        <v>468</v>
      </c>
      <c r="C3994" s="2" t="n">
        <v>3</v>
      </c>
      <c r="D3994" s="2" t="s">
        <v>605</v>
      </c>
      <c r="E3994" s="2" t="s">
        <v>23</v>
      </c>
      <c r="F3994" s="2" t="n">
        <v>270</v>
      </c>
      <c r="G3994" s="2" t="n">
        <v>52</v>
      </c>
    </row>
    <row r="3995" customFormat="false" ht="16.5" hidden="false" customHeight="true" outlineLevel="0" collapsed="false">
      <c r="A3995" s="2" t="s">
        <v>447</v>
      </c>
      <c r="B3995" s="2" t="s">
        <v>468</v>
      </c>
      <c r="C3995" s="2" t="n">
        <v>3</v>
      </c>
      <c r="D3995" s="2" t="s">
        <v>605</v>
      </c>
      <c r="E3995" s="2" t="s">
        <v>24</v>
      </c>
      <c r="F3995" s="2" t="n">
        <v>272</v>
      </c>
      <c r="G3995" s="2" t="n">
        <v>9</v>
      </c>
    </row>
    <row r="3996" customFormat="false" ht="16.5" hidden="false" customHeight="true" outlineLevel="0" collapsed="false">
      <c r="A3996" s="2" t="s">
        <v>447</v>
      </c>
      <c r="B3996" s="2" t="s">
        <v>468</v>
      </c>
      <c r="C3996" s="2" t="n">
        <v>3</v>
      </c>
      <c r="D3996" s="2" t="s">
        <v>605</v>
      </c>
      <c r="E3996" s="2" t="s">
        <v>25</v>
      </c>
      <c r="F3996" s="2" t="n">
        <v>272</v>
      </c>
      <c r="G3996" s="2" t="n">
        <v>13</v>
      </c>
    </row>
    <row r="3997" customFormat="false" ht="16.5" hidden="false" customHeight="true" outlineLevel="0" collapsed="false">
      <c r="A3997" s="2" t="s">
        <v>447</v>
      </c>
      <c r="B3997" s="2" t="s">
        <v>468</v>
      </c>
      <c r="C3997" s="2" t="n">
        <v>3</v>
      </c>
      <c r="D3997" s="2" t="s">
        <v>605</v>
      </c>
      <c r="E3997" s="2" t="s">
        <v>26</v>
      </c>
      <c r="F3997" s="2" t="n">
        <v>272</v>
      </c>
      <c r="G3997" s="2" t="n">
        <v>17</v>
      </c>
    </row>
    <row r="3998" customFormat="false" ht="16.5" hidden="false" customHeight="true" outlineLevel="0" collapsed="false">
      <c r="A3998" s="2" t="s">
        <v>447</v>
      </c>
      <c r="B3998" s="2" t="s">
        <v>468</v>
      </c>
      <c r="C3998" s="2" t="n">
        <v>3</v>
      </c>
      <c r="D3998" s="2" t="s">
        <v>605</v>
      </c>
      <c r="E3998" s="2" t="s">
        <v>27</v>
      </c>
      <c r="F3998" s="2" t="n">
        <v>272</v>
      </c>
      <c r="G3998" s="2" t="n">
        <v>21</v>
      </c>
    </row>
    <row r="3999" customFormat="false" ht="16.5" hidden="false" customHeight="true" outlineLevel="0" collapsed="false">
      <c r="A3999" s="2" t="s">
        <v>447</v>
      </c>
      <c r="B3999" s="2" t="s">
        <v>468</v>
      </c>
      <c r="C3999" s="2" t="n">
        <v>3</v>
      </c>
      <c r="D3999" s="2" t="s">
        <v>605</v>
      </c>
      <c r="E3999" s="2" t="s">
        <v>28</v>
      </c>
      <c r="F3999" s="2" t="n">
        <v>272</v>
      </c>
      <c r="G3999" s="2" t="n">
        <v>25</v>
      </c>
    </row>
    <row r="4000" customFormat="false" ht="16.5" hidden="false" customHeight="true" outlineLevel="0" collapsed="false">
      <c r="A4000" s="2" t="s">
        <v>447</v>
      </c>
      <c r="B4000" s="2" t="s">
        <v>468</v>
      </c>
      <c r="C4000" s="2" t="n">
        <v>3</v>
      </c>
      <c r="D4000" s="2" t="s">
        <v>605</v>
      </c>
      <c r="E4000" s="2" t="s">
        <v>29</v>
      </c>
      <c r="F4000" s="2" t="n">
        <v>272</v>
      </c>
      <c r="G4000" s="2" t="n">
        <v>29</v>
      </c>
    </row>
    <row r="4001" customFormat="false" ht="16.5" hidden="false" customHeight="true" outlineLevel="0" collapsed="false">
      <c r="A4001" s="2" t="s">
        <v>447</v>
      </c>
      <c r="B4001" s="2" t="s">
        <v>468</v>
      </c>
      <c r="C4001" s="2" t="n">
        <v>3</v>
      </c>
      <c r="D4001" s="2" t="s">
        <v>605</v>
      </c>
      <c r="E4001" s="2" t="s">
        <v>30</v>
      </c>
      <c r="F4001" s="2" t="n">
        <v>272</v>
      </c>
      <c r="G4001" s="2" t="n">
        <v>33</v>
      </c>
    </row>
    <row r="4002" customFormat="false" ht="16.5" hidden="false" customHeight="true" outlineLevel="0" collapsed="false">
      <c r="A4002" s="2" t="s">
        <v>447</v>
      </c>
      <c r="B4002" s="2" t="s">
        <v>468</v>
      </c>
      <c r="C4002" s="2" t="n">
        <v>3</v>
      </c>
      <c r="D4002" s="2" t="s">
        <v>605</v>
      </c>
      <c r="E4002" s="2" t="s">
        <v>31</v>
      </c>
      <c r="F4002" s="2" t="n">
        <v>272</v>
      </c>
      <c r="G4002" s="2" t="n">
        <v>37</v>
      </c>
    </row>
    <row r="4003" customFormat="false" ht="16.5" hidden="false" customHeight="true" outlineLevel="0" collapsed="false">
      <c r="A4003" s="2" t="s">
        <v>447</v>
      </c>
      <c r="B4003" s="2" t="s">
        <v>468</v>
      </c>
      <c r="C4003" s="2" t="n">
        <v>3</v>
      </c>
      <c r="D4003" s="2" t="s">
        <v>605</v>
      </c>
      <c r="E4003" s="2" t="s">
        <v>32</v>
      </c>
      <c r="F4003" s="2" t="n">
        <v>272</v>
      </c>
      <c r="G4003" s="2" t="n">
        <v>41</v>
      </c>
    </row>
    <row r="4004" customFormat="false" ht="16.5" hidden="false" customHeight="true" outlineLevel="0" collapsed="false">
      <c r="A4004" s="2" t="s">
        <v>447</v>
      </c>
      <c r="B4004" s="2" t="s">
        <v>468</v>
      </c>
      <c r="C4004" s="2" t="n">
        <v>3</v>
      </c>
      <c r="D4004" s="2" t="s">
        <v>605</v>
      </c>
      <c r="E4004" s="2" t="s">
        <v>33</v>
      </c>
      <c r="F4004" s="2" t="n">
        <v>272</v>
      </c>
      <c r="G4004" s="2" t="n">
        <v>45</v>
      </c>
    </row>
    <row r="4005" customFormat="false" ht="16.5" hidden="false" customHeight="true" outlineLevel="0" collapsed="false">
      <c r="A4005" s="2" t="s">
        <v>447</v>
      </c>
      <c r="B4005" s="2" t="s">
        <v>468</v>
      </c>
      <c r="C4005" s="2" t="n">
        <v>3</v>
      </c>
      <c r="D4005" s="2" t="s">
        <v>605</v>
      </c>
      <c r="E4005" s="2" t="s">
        <v>34</v>
      </c>
      <c r="F4005" s="2" t="n">
        <v>272</v>
      </c>
      <c r="G4005" s="2" t="n">
        <v>49</v>
      </c>
    </row>
    <row r="4006" customFormat="false" ht="16.5" hidden="false" customHeight="true" outlineLevel="0" collapsed="false">
      <c r="A4006" s="2" t="s">
        <v>447</v>
      </c>
      <c r="B4006" s="2" t="s">
        <v>468</v>
      </c>
      <c r="C4006" s="2" t="n">
        <v>3</v>
      </c>
      <c r="D4006" s="2" t="s">
        <v>605</v>
      </c>
      <c r="E4006" s="2" t="s">
        <v>35</v>
      </c>
      <c r="F4006" s="2" t="n">
        <v>274</v>
      </c>
      <c r="G4006" s="2" t="n">
        <v>11</v>
      </c>
    </row>
    <row r="4007" customFormat="false" ht="16.5" hidden="false" customHeight="true" outlineLevel="0" collapsed="false">
      <c r="A4007" s="2" t="s">
        <v>447</v>
      </c>
      <c r="B4007" s="2" t="s">
        <v>468</v>
      </c>
      <c r="C4007" s="2" t="n">
        <v>3</v>
      </c>
      <c r="D4007" s="2" t="s">
        <v>605</v>
      </c>
      <c r="E4007" s="2" t="s">
        <v>36</v>
      </c>
      <c r="F4007" s="2" t="n">
        <v>274</v>
      </c>
      <c r="G4007" s="2" t="n">
        <v>15</v>
      </c>
    </row>
    <row r="4008" customFormat="false" ht="16.5" hidden="false" customHeight="true" outlineLevel="0" collapsed="false">
      <c r="A4008" s="2" t="s">
        <v>447</v>
      </c>
      <c r="B4008" s="2" t="s">
        <v>468</v>
      </c>
      <c r="C4008" s="2" t="n">
        <v>3</v>
      </c>
      <c r="D4008" s="2" t="s">
        <v>605</v>
      </c>
      <c r="E4008" s="2" t="s">
        <v>37</v>
      </c>
      <c r="F4008" s="2" t="n">
        <v>274</v>
      </c>
      <c r="G4008" s="2" t="n">
        <v>19</v>
      </c>
    </row>
    <row r="4009" customFormat="false" ht="16.5" hidden="false" customHeight="true" outlineLevel="0" collapsed="false">
      <c r="A4009" s="2" t="s">
        <v>447</v>
      </c>
      <c r="B4009" s="2" t="s">
        <v>468</v>
      </c>
      <c r="C4009" s="2" t="n">
        <v>3</v>
      </c>
      <c r="D4009" s="2" t="s">
        <v>605</v>
      </c>
      <c r="E4009" s="2" t="s">
        <v>38</v>
      </c>
      <c r="F4009" s="2" t="n">
        <v>274</v>
      </c>
      <c r="G4009" s="2" t="n">
        <v>23</v>
      </c>
    </row>
    <row r="4010" customFormat="false" ht="16.5" hidden="false" customHeight="true" outlineLevel="0" collapsed="false">
      <c r="A4010" s="2" t="s">
        <v>447</v>
      </c>
      <c r="B4010" s="2" t="s">
        <v>468</v>
      </c>
      <c r="C4010" s="2" t="n">
        <v>3</v>
      </c>
      <c r="D4010" s="2" t="s">
        <v>605</v>
      </c>
      <c r="E4010" s="2" t="s">
        <v>39</v>
      </c>
      <c r="F4010" s="2" t="n">
        <v>274</v>
      </c>
      <c r="G4010" s="2" t="n">
        <v>27</v>
      </c>
    </row>
    <row r="4011" customFormat="false" ht="16.5" hidden="false" customHeight="true" outlineLevel="0" collapsed="false">
      <c r="A4011" s="2" t="s">
        <v>447</v>
      </c>
      <c r="B4011" s="2" t="s">
        <v>468</v>
      </c>
      <c r="C4011" s="2" t="n">
        <v>3</v>
      </c>
      <c r="D4011" s="2" t="s">
        <v>605</v>
      </c>
      <c r="E4011" s="2" t="s">
        <v>40</v>
      </c>
      <c r="F4011" s="2" t="n">
        <v>274</v>
      </c>
      <c r="G4011" s="2" t="n">
        <v>31</v>
      </c>
    </row>
    <row r="4012" customFormat="false" ht="16.5" hidden="false" customHeight="true" outlineLevel="0" collapsed="false">
      <c r="A4012" s="2" t="s">
        <v>447</v>
      </c>
      <c r="B4012" s="2" t="s">
        <v>468</v>
      </c>
      <c r="C4012" s="2" t="n">
        <v>3</v>
      </c>
      <c r="D4012" s="2" t="s">
        <v>605</v>
      </c>
      <c r="E4012" s="2" t="s">
        <v>41</v>
      </c>
      <c r="F4012" s="2" t="n">
        <v>274</v>
      </c>
      <c r="G4012" s="2" t="n">
        <v>35</v>
      </c>
    </row>
    <row r="4013" customFormat="false" ht="16.5" hidden="false" customHeight="true" outlineLevel="0" collapsed="false">
      <c r="A4013" s="2" t="s">
        <v>447</v>
      </c>
      <c r="B4013" s="2" t="s">
        <v>468</v>
      </c>
      <c r="C4013" s="2" t="n">
        <v>3</v>
      </c>
      <c r="D4013" s="2" t="s">
        <v>605</v>
      </c>
      <c r="E4013" s="2" t="s">
        <v>42</v>
      </c>
      <c r="F4013" s="2" t="n">
        <v>274</v>
      </c>
      <c r="G4013" s="2" t="n">
        <v>39</v>
      </c>
    </row>
    <row r="4014" customFormat="false" ht="16.5" hidden="false" customHeight="true" outlineLevel="0" collapsed="false">
      <c r="A4014" s="2" t="s">
        <v>447</v>
      </c>
      <c r="B4014" s="2" t="s">
        <v>468</v>
      </c>
      <c r="C4014" s="2" t="n">
        <v>3</v>
      </c>
      <c r="D4014" s="2" t="s">
        <v>605</v>
      </c>
      <c r="E4014" s="2" t="s">
        <v>43</v>
      </c>
      <c r="F4014" s="2" t="n">
        <v>274</v>
      </c>
      <c r="G4014" s="2" t="n">
        <v>43</v>
      </c>
    </row>
    <row r="4015" customFormat="false" ht="16.5" hidden="false" customHeight="true" outlineLevel="0" collapsed="false">
      <c r="A4015" s="2" t="s">
        <v>447</v>
      </c>
      <c r="B4015" s="2" t="s">
        <v>468</v>
      </c>
      <c r="C4015" s="2" t="n">
        <v>3</v>
      </c>
      <c r="D4015" s="2" t="s">
        <v>605</v>
      </c>
      <c r="E4015" s="2" t="s">
        <v>44</v>
      </c>
      <c r="F4015" s="2" t="n">
        <v>274</v>
      </c>
      <c r="G4015" s="2" t="n">
        <v>47</v>
      </c>
    </row>
    <row r="4016" customFormat="false" ht="16.5" hidden="false" customHeight="true" outlineLevel="0" collapsed="false">
      <c r="A4016" s="2" t="s">
        <v>447</v>
      </c>
      <c r="B4016" s="2" t="s">
        <v>468</v>
      </c>
      <c r="C4016" s="2" t="n">
        <v>3</v>
      </c>
      <c r="D4016" s="2" t="s">
        <v>605</v>
      </c>
      <c r="E4016" s="2" t="s">
        <v>48</v>
      </c>
      <c r="F4016" s="2" t="n">
        <v>276</v>
      </c>
      <c r="G4016" s="2" t="n">
        <v>16</v>
      </c>
    </row>
    <row r="4017" customFormat="false" ht="16.5" hidden="false" customHeight="true" outlineLevel="0" collapsed="false">
      <c r="A4017" s="2" t="s">
        <v>447</v>
      </c>
      <c r="B4017" s="2" t="s">
        <v>468</v>
      </c>
      <c r="C4017" s="2" t="n">
        <v>3</v>
      </c>
      <c r="D4017" s="2" t="s">
        <v>605</v>
      </c>
      <c r="E4017" s="2" t="s">
        <v>50</v>
      </c>
      <c r="F4017" s="2" t="n">
        <v>276</v>
      </c>
      <c r="G4017" s="2" t="n">
        <v>20</v>
      </c>
    </row>
    <row r="4018" customFormat="false" ht="16.5" hidden="false" customHeight="true" outlineLevel="0" collapsed="false">
      <c r="A4018" s="2" t="s">
        <v>447</v>
      </c>
      <c r="B4018" s="2" t="s">
        <v>468</v>
      </c>
      <c r="C4018" s="2" t="n">
        <v>3</v>
      </c>
      <c r="D4018" s="2" t="s">
        <v>605</v>
      </c>
      <c r="E4018" s="2" t="s">
        <v>45</v>
      </c>
      <c r="F4018" s="2" t="n">
        <v>276</v>
      </c>
      <c r="G4018" s="2" t="n">
        <v>38</v>
      </c>
    </row>
    <row r="4019" customFormat="false" ht="16.5" hidden="false" customHeight="true" outlineLevel="0" collapsed="false">
      <c r="A4019" s="2" t="s">
        <v>447</v>
      </c>
      <c r="B4019" s="2" t="s">
        <v>468</v>
      </c>
      <c r="C4019" s="2" t="n">
        <v>3</v>
      </c>
      <c r="D4019" s="2" t="s">
        <v>605</v>
      </c>
      <c r="E4019" s="2" t="s">
        <v>46</v>
      </c>
      <c r="F4019" s="2" t="n">
        <v>276</v>
      </c>
      <c r="G4019" s="2" t="n">
        <v>42</v>
      </c>
    </row>
    <row r="4020" customFormat="false" ht="16.5" hidden="false" customHeight="true" outlineLevel="0" collapsed="false">
      <c r="A4020" s="2" t="s">
        <v>447</v>
      </c>
      <c r="B4020" s="2" t="s">
        <v>469</v>
      </c>
      <c r="C4020" s="2" t="n">
        <v>3</v>
      </c>
      <c r="D4020" s="2" t="s">
        <v>606</v>
      </c>
      <c r="E4020" s="2" t="s">
        <v>0</v>
      </c>
      <c r="F4020" s="2" t="n">
        <v>281</v>
      </c>
      <c r="G4020" s="2" t="n">
        <v>6</v>
      </c>
    </row>
    <row r="4021" customFormat="false" ht="16.5" hidden="false" customHeight="true" outlineLevel="0" collapsed="false">
      <c r="A4021" s="2" t="s">
        <v>447</v>
      </c>
      <c r="B4021" s="2" t="s">
        <v>469</v>
      </c>
      <c r="C4021" s="2" t="n">
        <v>3</v>
      </c>
      <c r="D4021" s="2" t="s">
        <v>606</v>
      </c>
      <c r="E4021" s="2" t="s">
        <v>1</v>
      </c>
      <c r="F4021" s="2" t="n">
        <v>281</v>
      </c>
      <c r="G4021" s="2" t="n">
        <v>10</v>
      </c>
    </row>
    <row r="4022" customFormat="false" ht="16.5" hidden="false" customHeight="true" outlineLevel="0" collapsed="false">
      <c r="A4022" s="2" t="s">
        <v>447</v>
      </c>
      <c r="B4022" s="2" t="s">
        <v>469</v>
      </c>
      <c r="C4022" s="2" t="n">
        <v>3</v>
      </c>
      <c r="D4022" s="2" t="s">
        <v>606</v>
      </c>
      <c r="E4022" s="2" t="s">
        <v>2</v>
      </c>
      <c r="F4022" s="2" t="n">
        <v>281</v>
      </c>
      <c r="G4022" s="2" t="n">
        <v>14</v>
      </c>
    </row>
    <row r="4023" customFormat="false" ht="16.5" hidden="false" customHeight="true" outlineLevel="0" collapsed="false">
      <c r="A4023" s="2" t="s">
        <v>447</v>
      </c>
      <c r="B4023" s="2" t="s">
        <v>469</v>
      </c>
      <c r="C4023" s="2" t="n">
        <v>3</v>
      </c>
      <c r="D4023" s="2" t="s">
        <v>606</v>
      </c>
      <c r="E4023" s="2" t="s">
        <v>3</v>
      </c>
      <c r="F4023" s="2" t="n">
        <v>281</v>
      </c>
      <c r="G4023" s="2" t="n">
        <v>18</v>
      </c>
    </row>
    <row r="4024" customFormat="false" ht="16.5" hidden="false" customHeight="true" outlineLevel="0" collapsed="false">
      <c r="A4024" s="2" t="s">
        <v>447</v>
      </c>
      <c r="B4024" s="2" t="s">
        <v>469</v>
      </c>
      <c r="C4024" s="2" t="n">
        <v>3</v>
      </c>
      <c r="D4024" s="2" t="s">
        <v>606</v>
      </c>
      <c r="E4024" s="2" t="s">
        <v>4</v>
      </c>
      <c r="F4024" s="2" t="n">
        <v>281</v>
      </c>
      <c r="G4024" s="2" t="n">
        <v>22</v>
      </c>
    </row>
    <row r="4025" customFormat="false" ht="16.5" hidden="false" customHeight="true" outlineLevel="0" collapsed="false">
      <c r="A4025" s="2" t="s">
        <v>447</v>
      </c>
      <c r="B4025" s="2" t="s">
        <v>469</v>
      </c>
      <c r="C4025" s="2" t="n">
        <v>3</v>
      </c>
      <c r="D4025" s="2" t="s">
        <v>606</v>
      </c>
      <c r="E4025" s="2" t="s">
        <v>5</v>
      </c>
      <c r="F4025" s="2" t="n">
        <v>281</v>
      </c>
      <c r="G4025" s="2" t="n">
        <v>26</v>
      </c>
    </row>
    <row r="4026" customFormat="false" ht="16.5" hidden="false" customHeight="true" outlineLevel="0" collapsed="false">
      <c r="A4026" s="2" t="s">
        <v>447</v>
      </c>
      <c r="B4026" s="2" t="s">
        <v>469</v>
      </c>
      <c r="C4026" s="2" t="n">
        <v>3</v>
      </c>
      <c r="D4026" s="2" t="s">
        <v>606</v>
      </c>
      <c r="E4026" s="2" t="s">
        <v>6</v>
      </c>
      <c r="F4026" s="2" t="n">
        <v>281</v>
      </c>
      <c r="G4026" s="2" t="n">
        <v>30</v>
      </c>
    </row>
    <row r="4027" customFormat="false" ht="16.5" hidden="false" customHeight="true" outlineLevel="0" collapsed="false">
      <c r="A4027" s="2" t="s">
        <v>447</v>
      </c>
      <c r="B4027" s="2" t="s">
        <v>469</v>
      </c>
      <c r="C4027" s="2" t="n">
        <v>3</v>
      </c>
      <c r="D4027" s="2" t="s">
        <v>606</v>
      </c>
      <c r="E4027" s="2" t="s">
        <v>7</v>
      </c>
      <c r="F4027" s="2" t="n">
        <v>281</v>
      </c>
      <c r="G4027" s="2" t="n">
        <v>34</v>
      </c>
    </row>
    <row r="4028" customFormat="false" ht="16.5" hidden="false" customHeight="true" outlineLevel="0" collapsed="false">
      <c r="A4028" s="2" t="s">
        <v>447</v>
      </c>
      <c r="B4028" s="2" t="s">
        <v>469</v>
      </c>
      <c r="C4028" s="2" t="n">
        <v>3</v>
      </c>
      <c r="D4028" s="2" t="s">
        <v>606</v>
      </c>
      <c r="E4028" s="2" t="s">
        <v>8</v>
      </c>
      <c r="F4028" s="2" t="n">
        <v>281</v>
      </c>
      <c r="G4028" s="2" t="n">
        <v>38</v>
      </c>
    </row>
    <row r="4029" customFormat="false" ht="16.5" hidden="false" customHeight="true" outlineLevel="0" collapsed="false">
      <c r="A4029" s="2" t="s">
        <v>447</v>
      </c>
      <c r="B4029" s="2" t="s">
        <v>469</v>
      </c>
      <c r="C4029" s="2" t="n">
        <v>3</v>
      </c>
      <c r="D4029" s="2" t="s">
        <v>606</v>
      </c>
      <c r="E4029" s="2" t="s">
        <v>9</v>
      </c>
      <c r="F4029" s="2" t="n">
        <v>281</v>
      </c>
      <c r="G4029" s="2" t="n">
        <v>42</v>
      </c>
    </row>
    <row r="4030" customFormat="false" ht="16.5" hidden="false" customHeight="true" outlineLevel="0" collapsed="false">
      <c r="A4030" s="2" t="s">
        <v>447</v>
      </c>
      <c r="B4030" s="2" t="s">
        <v>469</v>
      </c>
      <c r="C4030" s="2" t="n">
        <v>3</v>
      </c>
      <c r="D4030" s="2" t="s">
        <v>606</v>
      </c>
      <c r="E4030" s="2" t="s">
        <v>10</v>
      </c>
      <c r="F4030" s="2" t="n">
        <v>281</v>
      </c>
      <c r="G4030" s="2" t="n">
        <v>46</v>
      </c>
    </row>
    <row r="4031" customFormat="false" ht="16.5" hidden="false" customHeight="true" outlineLevel="0" collapsed="false">
      <c r="A4031" s="2" t="s">
        <v>447</v>
      </c>
      <c r="B4031" s="2" t="s">
        <v>469</v>
      </c>
      <c r="C4031" s="2" t="n">
        <v>3</v>
      </c>
      <c r="D4031" s="2" t="s">
        <v>606</v>
      </c>
      <c r="E4031" s="2" t="s">
        <v>11</v>
      </c>
      <c r="F4031" s="2" t="n">
        <v>281</v>
      </c>
      <c r="G4031" s="2" t="n">
        <v>50</v>
      </c>
    </row>
    <row r="4032" customFormat="false" ht="16.5" hidden="false" customHeight="true" outlineLevel="0" collapsed="false">
      <c r="A4032" s="2" t="s">
        <v>447</v>
      </c>
      <c r="B4032" s="2" t="s">
        <v>469</v>
      </c>
      <c r="C4032" s="2" t="n">
        <v>3</v>
      </c>
      <c r="D4032" s="2" t="s">
        <v>606</v>
      </c>
      <c r="E4032" s="2" t="s">
        <v>12</v>
      </c>
      <c r="F4032" s="2" t="n">
        <v>283</v>
      </c>
      <c r="G4032" s="2" t="n">
        <v>8</v>
      </c>
    </row>
    <row r="4033" customFormat="false" ht="16.5" hidden="false" customHeight="true" outlineLevel="0" collapsed="false">
      <c r="A4033" s="2" t="s">
        <v>447</v>
      </c>
      <c r="B4033" s="2" t="s">
        <v>469</v>
      </c>
      <c r="C4033" s="2" t="n">
        <v>3</v>
      </c>
      <c r="D4033" s="2" t="s">
        <v>606</v>
      </c>
      <c r="E4033" s="2" t="s">
        <v>13</v>
      </c>
      <c r="F4033" s="2" t="n">
        <v>283</v>
      </c>
      <c r="G4033" s="2" t="n">
        <v>12</v>
      </c>
    </row>
    <row r="4034" customFormat="false" ht="16.5" hidden="false" customHeight="true" outlineLevel="0" collapsed="false">
      <c r="A4034" s="2" t="s">
        <v>447</v>
      </c>
      <c r="B4034" s="2" t="s">
        <v>469</v>
      </c>
      <c r="C4034" s="2" t="n">
        <v>3</v>
      </c>
      <c r="D4034" s="2" t="s">
        <v>606</v>
      </c>
      <c r="E4034" s="2" t="s">
        <v>14</v>
      </c>
      <c r="F4034" s="2" t="n">
        <v>283</v>
      </c>
      <c r="G4034" s="2" t="n">
        <v>16</v>
      </c>
    </row>
    <row r="4035" customFormat="false" ht="16.5" hidden="false" customHeight="true" outlineLevel="0" collapsed="false">
      <c r="A4035" s="2" t="s">
        <v>447</v>
      </c>
      <c r="B4035" s="2" t="s">
        <v>469</v>
      </c>
      <c r="C4035" s="2" t="n">
        <v>3</v>
      </c>
      <c r="D4035" s="2" t="s">
        <v>606</v>
      </c>
      <c r="E4035" s="2" t="s">
        <v>15</v>
      </c>
      <c r="F4035" s="2" t="n">
        <v>283</v>
      </c>
      <c r="G4035" s="2" t="n">
        <v>20</v>
      </c>
    </row>
    <row r="4036" customFormat="false" ht="16.5" hidden="false" customHeight="true" outlineLevel="0" collapsed="false">
      <c r="A4036" s="2" t="s">
        <v>447</v>
      </c>
      <c r="B4036" s="2" t="s">
        <v>469</v>
      </c>
      <c r="C4036" s="2" t="n">
        <v>3</v>
      </c>
      <c r="D4036" s="2" t="s">
        <v>606</v>
      </c>
      <c r="E4036" s="2" t="s">
        <v>16</v>
      </c>
      <c r="F4036" s="2" t="n">
        <v>283</v>
      </c>
      <c r="G4036" s="2" t="n">
        <v>24</v>
      </c>
    </row>
    <row r="4037" customFormat="false" ht="16.5" hidden="false" customHeight="true" outlineLevel="0" collapsed="false">
      <c r="A4037" s="2" t="s">
        <v>447</v>
      </c>
      <c r="B4037" s="2" t="s">
        <v>469</v>
      </c>
      <c r="C4037" s="2" t="n">
        <v>3</v>
      </c>
      <c r="D4037" s="2" t="s">
        <v>606</v>
      </c>
      <c r="E4037" s="2" t="s">
        <v>17</v>
      </c>
      <c r="F4037" s="2" t="n">
        <v>283</v>
      </c>
      <c r="G4037" s="2" t="n">
        <v>28</v>
      </c>
    </row>
    <row r="4038" customFormat="false" ht="16.5" hidden="false" customHeight="true" outlineLevel="0" collapsed="false">
      <c r="A4038" s="2" t="s">
        <v>447</v>
      </c>
      <c r="B4038" s="2" t="s">
        <v>469</v>
      </c>
      <c r="C4038" s="2" t="n">
        <v>3</v>
      </c>
      <c r="D4038" s="2" t="s">
        <v>606</v>
      </c>
      <c r="E4038" s="2" t="s">
        <v>18</v>
      </c>
      <c r="F4038" s="2" t="n">
        <v>283</v>
      </c>
      <c r="G4038" s="2" t="n">
        <v>32</v>
      </c>
    </row>
    <row r="4039" customFormat="false" ht="16.5" hidden="false" customHeight="true" outlineLevel="0" collapsed="false">
      <c r="A4039" s="2" t="s">
        <v>447</v>
      </c>
      <c r="B4039" s="2" t="s">
        <v>469</v>
      </c>
      <c r="C4039" s="2" t="n">
        <v>3</v>
      </c>
      <c r="D4039" s="2" t="s">
        <v>606</v>
      </c>
      <c r="E4039" s="2" t="s">
        <v>19</v>
      </c>
      <c r="F4039" s="2" t="n">
        <v>283</v>
      </c>
      <c r="G4039" s="2" t="n">
        <v>36</v>
      </c>
    </row>
    <row r="4040" customFormat="false" ht="16.5" hidden="false" customHeight="true" outlineLevel="0" collapsed="false">
      <c r="A4040" s="2" t="s">
        <v>447</v>
      </c>
      <c r="B4040" s="2" t="s">
        <v>469</v>
      </c>
      <c r="C4040" s="2" t="n">
        <v>3</v>
      </c>
      <c r="D4040" s="2" t="s">
        <v>606</v>
      </c>
      <c r="E4040" s="2" t="s">
        <v>20</v>
      </c>
      <c r="F4040" s="2" t="n">
        <v>283</v>
      </c>
      <c r="G4040" s="2" t="n">
        <v>40</v>
      </c>
    </row>
    <row r="4041" customFormat="false" ht="16.5" hidden="false" customHeight="true" outlineLevel="0" collapsed="false">
      <c r="A4041" s="2" t="s">
        <v>447</v>
      </c>
      <c r="B4041" s="2" t="s">
        <v>469</v>
      </c>
      <c r="C4041" s="2" t="n">
        <v>3</v>
      </c>
      <c r="D4041" s="2" t="s">
        <v>606</v>
      </c>
      <c r="E4041" s="2" t="s">
        <v>21</v>
      </c>
      <c r="F4041" s="2" t="n">
        <v>283</v>
      </c>
      <c r="G4041" s="2" t="n">
        <v>44</v>
      </c>
    </row>
    <row r="4042" customFormat="false" ht="16.5" hidden="false" customHeight="true" outlineLevel="0" collapsed="false">
      <c r="A4042" s="2" t="s">
        <v>447</v>
      </c>
      <c r="B4042" s="2" t="s">
        <v>469</v>
      </c>
      <c r="C4042" s="2" t="n">
        <v>3</v>
      </c>
      <c r="D4042" s="2" t="s">
        <v>606</v>
      </c>
      <c r="E4042" s="2" t="s">
        <v>22</v>
      </c>
      <c r="F4042" s="2" t="n">
        <v>283</v>
      </c>
      <c r="G4042" s="2" t="n">
        <v>48</v>
      </c>
    </row>
    <row r="4043" customFormat="false" ht="16.5" hidden="false" customHeight="true" outlineLevel="0" collapsed="false">
      <c r="A4043" s="2" t="s">
        <v>447</v>
      </c>
      <c r="B4043" s="2" t="s">
        <v>469</v>
      </c>
      <c r="C4043" s="2" t="n">
        <v>3</v>
      </c>
      <c r="D4043" s="2" t="s">
        <v>606</v>
      </c>
      <c r="E4043" s="2" t="s">
        <v>23</v>
      </c>
      <c r="F4043" s="2" t="n">
        <v>283</v>
      </c>
      <c r="G4043" s="2" t="n">
        <v>52</v>
      </c>
    </row>
    <row r="4044" customFormat="false" ht="16.5" hidden="false" customHeight="true" outlineLevel="0" collapsed="false">
      <c r="A4044" s="2" t="s">
        <v>447</v>
      </c>
      <c r="B4044" s="2" t="s">
        <v>469</v>
      </c>
      <c r="C4044" s="2" t="n">
        <v>3</v>
      </c>
      <c r="D4044" s="2" t="s">
        <v>606</v>
      </c>
      <c r="E4044" s="2" t="s">
        <v>24</v>
      </c>
      <c r="F4044" s="2" t="n">
        <v>285</v>
      </c>
      <c r="G4044" s="2" t="n">
        <v>9</v>
      </c>
    </row>
    <row r="4045" customFormat="false" ht="16.5" hidden="false" customHeight="true" outlineLevel="0" collapsed="false">
      <c r="A4045" s="2" t="s">
        <v>447</v>
      </c>
      <c r="B4045" s="2" t="s">
        <v>469</v>
      </c>
      <c r="C4045" s="2" t="n">
        <v>3</v>
      </c>
      <c r="D4045" s="2" t="s">
        <v>606</v>
      </c>
      <c r="E4045" s="2" t="s">
        <v>25</v>
      </c>
      <c r="F4045" s="2" t="n">
        <v>285</v>
      </c>
      <c r="G4045" s="2" t="n">
        <v>13</v>
      </c>
    </row>
    <row r="4046" customFormat="false" ht="16.5" hidden="false" customHeight="true" outlineLevel="0" collapsed="false">
      <c r="A4046" s="2" t="s">
        <v>447</v>
      </c>
      <c r="B4046" s="2" t="s">
        <v>469</v>
      </c>
      <c r="C4046" s="2" t="n">
        <v>3</v>
      </c>
      <c r="D4046" s="2" t="s">
        <v>606</v>
      </c>
      <c r="E4046" s="2" t="s">
        <v>26</v>
      </c>
      <c r="F4046" s="2" t="n">
        <v>285</v>
      </c>
      <c r="G4046" s="2" t="n">
        <v>17</v>
      </c>
    </row>
    <row r="4047" customFormat="false" ht="16.5" hidden="false" customHeight="true" outlineLevel="0" collapsed="false">
      <c r="A4047" s="2" t="s">
        <v>447</v>
      </c>
      <c r="B4047" s="2" t="s">
        <v>469</v>
      </c>
      <c r="C4047" s="2" t="n">
        <v>3</v>
      </c>
      <c r="D4047" s="2" t="s">
        <v>606</v>
      </c>
      <c r="E4047" s="2" t="s">
        <v>27</v>
      </c>
      <c r="F4047" s="2" t="n">
        <v>285</v>
      </c>
      <c r="G4047" s="2" t="n">
        <v>21</v>
      </c>
    </row>
    <row r="4048" customFormat="false" ht="16.5" hidden="false" customHeight="true" outlineLevel="0" collapsed="false">
      <c r="A4048" s="2" t="s">
        <v>447</v>
      </c>
      <c r="B4048" s="2" t="s">
        <v>469</v>
      </c>
      <c r="C4048" s="2" t="n">
        <v>3</v>
      </c>
      <c r="D4048" s="2" t="s">
        <v>606</v>
      </c>
      <c r="E4048" s="2" t="s">
        <v>28</v>
      </c>
      <c r="F4048" s="2" t="n">
        <v>285</v>
      </c>
      <c r="G4048" s="2" t="n">
        <v>25</v>
      </c>
    </row>
    <row r="4049" customFormat="false" ht="16.5" hidden="false" customHeight="true" outlineLevel="0" collapsed="false">
      <c r="A4049" s="2" t="s">
        <v>447</v>
      </c>
      <c r="B4049" s="2" t="s">
        <v>469</v>
      </c>
      <c r="C4049" s="2" t="n">
        <v>3</v>
      </c>
      <c r="D4049" s="2" t="s">
        <v>606</v>
      </c>
      <c r="E4049" s="2" t="s">
        <v>29</v>
      </c>
      <c r="F4049" s="2" t="n">
        <v>285</v>
      </c>
      <c r="G4049" s="2" t="n">
        <v>29</v>
      </c>
    </row>
    <row r="4050" customFormat="false" ht="16.5" hidden="false" customHeight="true" outlineLevel="0" collapsed="false">
      <c r="A4050" s="2" t="s">
        <v>447</v>
      </c>
      <c r="B4050" s="2" t="s">
        <v>469</v>
      </c>
      <c r="C4050" s="2" t="n">
        <v>3</v>
      </c>
      <c r="D4050" s="2" t="s">
        <v>606</v>
      </c>
      <c r="E4050" s="2" t="s">
        <v>30</v>
      </c>
      <c r="F4050" s="2" t="n">
        <v>285</v>
      </c>
      <c r="G4050" s="2" t="n">
        <v>33</v>
      </c>
    </row>
    <row r="4051" customFormat="false" ht="16.5" hidden="false" customHeight="true" outlineLevel="0" collapsed="false">
      <c r="A4051" s="2" t="s">
        <v>447</v>
      </c>
      <c r="B4051" s="2" t="s">
        <v>469</v>
      </c>
      <c r="C4051" s="2" t="n">
        <v>3</v>
      </c>
      <c r="D4051" s="2" t="s">
        <v>606</v>
      </c>
      <c r="E4051" s="2" t="s">
        <v>31</v>
      </c>
      <c r="F4051" s="2" t="n">
        <v>285</v>
      </c>
      <c r="G4051" s="2" t="n">
        <v>37</v>
      </c>
    </row>
    <row r="4052" customFormat="false" ht="16.5" hidden="false" customHeight="true" outlineLevel="0" collapsed="false">
      <c r="A4052" s="2" t="s">
        <v>447</v>
      </c>
      <c r="B4052" s="2" t="s">
        <v>469</v>
      </c>
      <c r="C4052" s="2" t="n">
        <v>3</v>
      </c>
      <c r="D4052" s="2" t="s">
        <v>606</v>
      </c>
      <c r="E4052" s="2" t="s">
        <v>32</v>
      </c>
      <c r="F4052" s="2" t="n">
        <v>285</v>
      </c>
      <c r="G4052" s="2" t="n">
        <v>41</v>
      </c>
    </row>
    <row r="4053" customFormat="false" ht="16.5" hidden="false" customHeight="true" outlineLevel="0" collapsed="false">
      <c r="A4053" s="2" t="s">
        <v>447</v>
      </c>
      <c r="B4053" s="2" t="s">
        <v>469</v>
      </c>
      <c r="C4053" s="2" t="n">
        <v>3</v>
      </c>
      <c r="D4053" s="2" t="s">
        <v>606</v>
      </c>
      <c r="E4053" s="2" t="s">
        <v>33</v>
      </c>
      <c r="F4053" s="2" t="n">
        <v>285</v>
      </c>
      <c r="G4053" s="2" t="n">
        <v>45</v>
      </c>
    </row>
    <row r="4054" customFormat="false" ht="16.5" hidden="false" customHeight="true" outlineLevel="0" collapsed="false">
      <c r="A4054" s="2" t="s">
        <v>447</v>
      </c>
      <c r="B4054" s="2" t="s">
        <v>469</v>
      </c>
      <c r="C4054" s="2" t="n">
        <v>3</v>
      </c>
      <c r="D4054" s="2" t="s">
        <v>606</v>
      </c>
      <c r="E4054" s="2" t="s">
        <v>34</v>
      </c>
      <c r="F4054" s="2" t="n">
        <v>285</v>
      </c>
      <c r="G4054" s="2" t="n">
        <v>49</v>
      </c>
    </row>
    <row r="4055" customFormat="false" ht="16.5" hidden="false" customHeight="true" outlineLevel="0" collapsed="false">
      <c r="A4055" s="2" t="s">
        <v>447</v>
      </c>
      <c r="B4055" s="2" t="s">
        <v>469</v>
      </c>
      <c r="C4055" s="2" t="n">
        <v>3</v>
      </c>
      <c r="D4055" s="2" t="s">
        <v>606</v>
      </c>
      <c r="E4055" s="2" t="s">
        <v>35</v>
      </c>
      <c r="F4055" s="2" t="n">
        <v>287</v>
      </c>
      <c r="G4055" s="2" t="n">
        <v>11</v>
      </c>
    </row>
    <row r="4056" customFormat="false" ht="16.5" hidden="false" customHeight="true" outlineLevel="0" collapsed="false">
      <c r="A4056" s="2" t="s">
        <v>447</v>
      </c>
      <c r="B4056" s="2" t="s">
        <v>469</v>
      </c>
      <c r="C4056" s="2" t="n">
        <v>3</v>
      </c>
      <c r="D4056" s="2" t="s">
        <v>606</v>
      </c>
      <c r="E4056" s="2" t="s">
        <v>36</v>
      </c>
      <c r="F4056" s="2" t="n">
        <v>287</v>
      </c>
      <c r="G4056" s="2" t="n">
        <v>15</v>
      </c>
    </row>
    <row r="4057" customFormat="false" ht="16.5" hidden="false" customHeight="true" outlineLevel="0" collapsed="false">
      <c r="A4057" s="2" t="s">
        <v>447</v>
      </c>
      <c r="B4057" s="2" t="s">
        <v>469</v>
      </c>
      <c r="C4057" s="2" t="n">
        <v>3</v>
      </c>
      <c r="D4057" s="2" t="s">
        <v>606</v>
      </c>
      <c r="E4057" s="2" t="s">
        <v>37</v>
      </c>
      <c r="F4057" s="2" t="n">
        <v>287</v>
      </c>
      <c r="G4057" s="2" t="n">
        <v>19</v>
      </c>
    </row>
    <row r="4058" customFormat="false" ht="16.5" hidden="false" customHeight="true" outlineLevel="0" collapsed="false">
      <c r="A4058" s="2" t="s">
        <v>447</v>
      </c>
      <c r="B4058" s="2" t="s">
        <v>469</v>
      </c>
      <c r="C4058" s="2" t="n">
        <v>3</v>
      </c>
      <c r="D4058" s="2" t="s">
        <v>606</v>
      </c>
      <c r="E4058" s="2" t="s">
        <v>38</v>
      </c>
      <c r="F4058" s="2" t="n">
        <v>287</v>
      </c>
      <c r="G4058" s="2" t="n">
        <v>23</v>
      </c>
    </row>
    <row r="4059" customFormat="false" ht="16.5" hidden="false" customHeight="true" outlineLevel="0" collapsed="false">
      <c r="A4059" s="2" t="s">
        <v>447</v>
      </c>
      <c r="B4059" s="2" t="s">
        <v>469</v>
      </c>
      <c r="C4059" s="2" t="n">
        <v>3</v>
      </c>
      <c r="D4059" s="2" t="s">
        <v>606</v>
      </c>
      <c r="E4059" s="2" t="s">
        <v>39</v>
      </c>
      <c r="F4059" s="2" t="n">
        <v>287</v>
      </c>
      <c r="G4059" s="2" t="n">
        <v>27</v>
      </c>
    </row>
    <row r="4060" customFormat="false" ht="16.5" hidden="false" customHeight="true" outlineLevel="0" collapsed="false">
      <c r="A4060" s="2" t="s">
        <v>447</v>
      </c>
      <c r="B4060" s="2" t="s">
        <v>469</v>
      </c>
      <c r="C4060" s="2" t="n">
        <v>3</v>
      </c>
      <c r="D4060" s="2" t="s">
        <v>606</v>
      </c>
      <c r="E4060" s="2" t="s">
        <v>40</v>
      </c>
      <c r="F4060" s="2" t="n">
        <v>287</v>
      </c>
      <c r="G4060" s="2" t="n">
        <v>31</v>
      </c>
    </row>
    <row r="4061" customFormat="false" ht="16.5" hidden="false" customHeight="true" outlineLevel="0" collapsed="false">
      <c r="A4061" s="2" t="s">
        <v>447</v>
      </c>
      <c r="B4061" s="2" t="s">
        <v>469</v>
      </c>
      <c r="C4061" s="2" t="n">
        <v>3</v>
      </c>
      <c r="D4061" s="2" t="s">
        <v>606</v>
      </c>
      <c r="E4061" s="2" t="s">
        <v>41</v>
      </c>
      <c r="F4061" s="2" t="n">
        <v>287</v>
      </c>
      <c r="G4061" s="2" t="n">
        <v>35</v>
      </c>
    </row>
    <row r="4062" customFormat="false" ht="16.5" hidden="false" customHeight="true" outlineLevel="0" collapsed="false">
      <c r="A4062" s="2" t="s">
        <v>447</v>
      </c>
      <c r="B4062" s="2" t="s">
        <v>469</v>
      </c>
      <c r="C4062" s="2" t="n">
        <v>3</v>
      </c>
      <c r="D4062" s="2" t="s">
        <v>606</v>
      </c>
      <c r="E4062" s="2" t="s">
        <v>42</v>
      </c>
      <c r="F4062" s="2" t="n">
        <v>287</v>
      </c>
      <c r="G4062" s="2" t="n">
        <v>39</v>
      </c>
    </row>
    <row r="4063" customFormat="false" ht="16.5" hidden="false" customHeight="true" outlineLevel="0" collapsed="false">
      <c r="A4063" s="2" t="s">
        <v>447</v>
      </c>
      <c r="B4063" s="2" t="s">
        <v>469</v>
      </c>
      <c r="C4063" s="2" t="n">
        <v>3</v>
      </c>
      <c r="D4063" s="2" t="s">
        <v>606</v>
      </c>
      <c r="E4063" s="2" t="s">
        <v>43</v>
      </c>
      <c r="F4063" s="2" t="n">
        <v>287</v>
      </c>
      <c r="G4063" s="2" t="n">
        <v>43</v>
      </c>
    </row>
    <row r="4064" customFormat="false" ht="16.5" hidden="false" customHeight="true" outlineLevel="0" collapsed="false">
      <c r="A4064" s="2" t="s">
        <v>447</v>
      </c>
      <c r="B4064" s="2" t="s">
        <v>469</v>
      </c>
      <c r="C4064" s="2" t="n">
        <v>3</v>
      </c>
      <c r="D4064" s="2" t="s">
        <v>606</v>
      </c>
      <c r="E4064" s="2" t="s">
        <v>44</v>
      </c>
      <c r="F4064" s="2" t="n">
        <v>287</v>
      </c>
      <c r="G4064" s="2" t="n">
        <v>47</v>
      </c>
    </row>
    <row r="4065" customFormat="false" ht="16.5" hidden="false" customHeight="true" outlineLevel="0" collapsed="false">
      <c r="A4065" s="2" t="s">
        <v>447</v>
      </c>
      <c r="B4065" s="2" t="s">
        <v>469</v>
      </c>
      <c r="C4065" s="2" t="n">
        <v>3</v>
      </c>
      <c r="D4065" s="2" t="s">
        <v>606</v>
      </c>
      <c r="E4065" s="2" t="s">
        <v>48</v>
      </c>
      <c r="F4065" s="2" t="n">
        <v>289</v>
      </c>
      <c r="G4065" s="2" t="n">
        <v>16</v>
      </c>
    </row>
    <row r="4066" customFormat="false" ht="16.5" hidden="false" customHeight="true" outlineLevel="0" collapsed="false">
      <c r="A4066" s="2" t="s">
        <v>447</v>
      </c>
      <c r="B4066" s="2" t="s">
        <v>469</v>
      </c>
      <c r="C4066" s="2" t="n">
        <v>3</v>
      </c>
      <c r="D4066" s="2" t="s">
        <v>606</v>
      </c>
      <c r="E4066" s="2" t="s">
        <v>50</v>
      </c>
      <c r="F4066" s="2" t="n">
        <v>289</v>
      </c>
      <c r="G4066" s="2" t="n">
        <v>20</v>
      </c>
    </row>
    <row r="4067" customFormat="false" ht="16.5" hidden="false" customHeight="true" outlineLevel="0" collapsed="false">
      <c r="A4067" s="2" t="s">
        <v>447</v>
      </c>
      <c r="B4067" s="2" t="s">
        <v>469</v>
      </c>
      <c r="C4067" s="2" t="n">
        <v>3</v>
      </c>
      <c r="D4067" s="2" t="s">
        <v>606</v>
      </c>
      <c r="E4067" s="2" t="s">
        <v>45</v>
      </c>
      <c r="F4067" s="2" t="n">
        <v>289</v>
      </c>
      <c r="G4067" s="2" t="n">
        <v>38</v>
      </c>
    </row>
    <row r="4068" customFormat="false" ht="16.5" hidden="false" customHeight="true" outlineLevel="0" collapsed="false">
      <c r="A4068" s="2" t="s">
        <v>447</v>
      </c>
      <c r="B4068" s="2" t="s">
        <v>469</v>
      </c>
      <c r="C4068" s="2" t="n">
        <v>3</v>
      </c>
      <c r="D4068" s="2" t="s">
        <v>606</v>
      </c>
      <c r="E4068" s="2" t="s">
        <v>46</v>
      </c>
      <c r="F4068" s="2" t="n">
        <v>289</v>
      </c>
      <c r="G4068" s="2" t="n">
        <v>42</v>
      </c>
    </row>
    <row r="4069" customFormat="false" ht="16.5" hidden="false" customHeight="true" outlineLevel="0" collapsed="false">
      <c r="A4069" s="2" t="s">
        <v>447</v>
      </c>
      <c r="B4069" s="2" t="s">
        <v>470</v>
      </c>
      <c r="C4069" s="2" t="n">
        <v>3</v>
      </c>
      <c r="D4069" s="2" t="s">
        <v>607</v>
      </c>
      <c r="E4069" s="2" t="s">
        <v>0</v>
      </c>
      <c r="F4069" s="2" t="n">
        <v>294</v>
      </c>
      <c r="G4069" s="2" t="n">
        <v>6</v>
      </c>
    </row>
    <row r="4070" customFormat="false" ht="16.5" hidden="false" customHeight="true" outlineLevel="0" collapsed="false">
      <c r="A4070" s="2" t="s">
        <v>447</v>
      </c>
      <c r="B4070" s="2" t="s">
        <v>470</v>
      </c>
      <c r="C4070" s="2" t="n">
        <v>3</v>
      </c>
      <c r="D4070" s="2" t="s">
        <v>607</v>
      </c>
      <c r="E4070" s="2" t="s">
        <v>1</v>
      </c>
      <c r="F4070" s="2" t="n">
        <v>294</v>
      </c>
      <c r="G4070" s="2" t="n">
        <v>10</v>
      </c>
    </row>
    <row r="4071" customFormat="false" ht="16.5" hidden="false" customHeight="true" outlineLevel="0" collapsed="false">
      <c r="A4071" s="2" t="s">
        <v>447</v>
      </c>
      <c r="B4071" s="2" t="s">
        <v>470</v>
      </c>
      <c r="C4071" s="2" t="n">
        <v>3</v>
      </c>
      <c r="D4071" s="2" t="s">
        <v>607</v>
      </c>
      <c r="E4071" s="2" t="s">
        <v>2</v>
      </c>
      <c r="F4071" s="2" t="n">
        <v>294</v>
      </c>
      <c r="G4071" s="2" t="n">
        <v>14</v>
      </c>
    </row>
    <row r="4072" customFormat="false" ht="16.5" hidden="false" customHeight="true" outlineLevel="0" collapsed="false">
      <c r="A4072" s="2" t="s">
        <v>447</v>
      </c>
      <c r="B4072" s="2" t="s">
        <v>470</v>
      </c>
      <c r="C4072" s="2" t="n">
        <v>3</v>
      </c>
      <c r="D4072" s="2" t="s">
        <v>607</v>
      </c>
      <c r="E4072" s="2" t="s">
        <v>3</v>
      </c>
      <c r="F4072" s="2" t="n">
        <v>294</v>
      </c>
      <c r="G4072" s="2" t="n">
        <v>18</v>
      </c>
    </row>
    <row r="4073" customFormat="false" ht="16.5" hidden="false" customHeight="true" outlineLevel="0" collapsed="false">
      <c r="A4073" s="2" t="s">
        <v>447</v>
      </c>
      <c r="B4073" s="2" t="s">
        <v>470</v>
      </c>
      <c r="C4073" s="2" t="n">
        <v>3</v>
      </c>
      <c r="D4073" s="2" t="s">
        <v>607</v>
      </c>
      <c r="E4073" s="2" t="s">
        <v>4</v>
      </c>
      <c r="F4073" s="2" t="n">
        <v>294</v>
      </c>
      <c r="G4073" s="2" t="n">
        <v>22</v>
      </c>
    </row>
    <row r="4074" customFormat="false" ht="16.5" hidden="false" customHeight="true" outlineLevel="0" collapsed="false">
      <c r="A4074" s="2" t="s">
        <v>447</v>
      </c>
      <c r="B4074" s="2" t="s">
        <v>470</v>
      </c>
      <c r="C4074" s="2" t="n">
        <v>3</v>
      </c>
      <c r="D4074" s="2" t="s">
        <v>607</v>
      </c>
      <c r="E4074" s="2" t="s">
        <v>5</v>
      </c>
      <c r="F4074" s="2" t="n">
        <v>294</v>
      </c>
      <c r="G4074" s="2" t="n">
        <v>26</v>
      </c>
    </row>
    <row r="4075" customFormat="false" ht="16.5" hidden="false" customHeight="true" outlineLevel="0" collapsed="false">
      <c r="A4075" s="2" t="s">
        <v>447</v>
      </c>
      <c r="B4075" s="2" t="s">
        <v>470</v>
      </c>
      <c r="C4075" s="2" t="n">
        <v>3</v>
      </c>
      <c r="D4075" s="2" t="s">
        <v>607</v>
      </c>
      <c r="E4075" s="2" t="s">
        <v>6</v>
      </c>
      <c r="F4075" s="2" t="n">
        <v>294</v>
      </c>
      <c r="G4075" s="2" t="n">
        <v>30</v>
      </c>
    </row>
    <row r="4076" customFormat="false" ht="16.5" hidden="false" customHeight="true" outlineLevel="0" collapsed="false">
      <c r="A4076" s="2" t="s">
        <v>447</v>
      </c>
      <c r="B4076" s="2" t="s">
        <v>470</v>
      </c>
      <c r="C4076" s="2" t="n">
        <v>3</v>
      </c>
      <c r="D4076" s="2" t="s">
        <v>607</v>
      </c>
      <c r="E4076" s="2" t="s">
        <v>7</v>
      </c>
      <c r="F4076" s="2" t="n">
        <v>294</v>
      </c>
      <c r="G4076" s="2" t="n">
        <v>34</v>
      </c>
    </row>
    <row r="4077" customFormat="false" ht="16.5" hidden="false" customHeight="true" outlineLevel="0" collapsed="false">
      <c r="A4077" s="2" t="s">
        <v>447</v>
      </c>
      <c r="B4077" s="2" t="s">
        <v>470</v>
      </c>
      <c r="C4077" s="2" t="n">
        <v>3</v>
      </c>
      <c r="D4077" s="2" t="s">
        <v>607</v>
      </c>
      <c r="E4077" s="2" t="s">
        <v>8</v>
      </c>
      <c r="F4077" s="2" t="n">
        <v>294</v>
      </c>
      <c r="G4077" s="2" t="n">
        <v>38</v>
      </c>
    </row>
    <row r="4078" customFormat="false" ht="16.5" hidden="false" customHeight="true" outlineLevel="0" collapsed="false">
      <c r="A4078" s="2" t="s">
        <v>447</v>
      </c>
      <c r="B4078" s="2" t="s">
        <v>470</v>
      </c>
      <c r="C4078" s="2" t="n">
        <v>3</v>
      </c>
      <c r="D4078" s="2" t="s">
        <v>607</v>
      </c>
      <c r="E4078" s="2" t="s">
        <v>9</v>
      </c>
      <c r="F4078" s="2" t="n">
        <v>294</v>
      </c>
      <c r="G4078" s="2" t="n">
        <v>42</v>
      </c>
    </row>
    <row r="4079" customFormat="false" ht="16.5" hidden="false" customHeight="true" outlineLevel="0" collapsed="false">
      <c r="A4079" s="2" t="s">
        <v>447</v>
      </c>
      <c r="B4079" s="2" t="s">
        <v>470</v>
      </c>
      <c r="C4079" s="2" t="n">
        <v>3</v>
      </c>
      <c r="D4079" s="2" t="s">
        <v>607</v>
      </c>
      <c r="E4079" s="2" t="s">
        <v>10</v>
      </c>
      <c r="F4079" s="2" t="n">
        <v>294</v>
      </c>
      <c r="G4079" s="2" t="n">
        <v>46</v>
      </c>
    </row>
    <row r="4080" customFormat="false" ht="16.5" hidden="false" customHeight="true" outlineLevel="0" collapsed="false">
      <c r="A4080" s="2" t="s">
        <v>447</v>
      </c>
      <c r="B4080" s="2" t="s">
        <v>470</v>
      </c>
      <c r="C4080" s="2" t="n">
        <v>3</v>
      </c>
      <c r="D4080" s="2" t="s">
        <v>607</v>
      </c>
      <c r="E4080" s="2" t="s">
        <v>11</v>
      </c>
      <c r="F4080" s="2" t="n">
        <v>294</v>
      </c>
      <c r="G4080" s="2" t="n">
        <v>50</v>
      </c>
    </row>
    <row r="4081" customFormat="false" ht="16.5" hidden="false" customHeight="true" outlineLevel="0" collapsed="false">
      <c r="A4081" s="2" t="s">
        <v>447</v>
      </c>
      <c r="B4081" s="2" t="s">
        <v>470</v>
      </c>
      <c r="C4081" s="2" t="n">
        <v>3</v>
      </c>
      <c r="D4081" s="2" t="s">
        <v>607</v>
      </c>
      <c r="E4081" s="2" t="s">
        <v>12</v>
      </c>
      <c r="F4081" s="2" t="n">
        <v>296</v>
      </c>
      <c r="G4081" s="2" t="n">
        <v>8</v>
      </c>
    </row>
    <row r="4082" customFormat="false" ht="16.5" hidden="false" customHeight="true" outlineLevel="0" collapsed="false">
      <c r="A4082" s="2" t="s">
        <v>447</v>
      </c>
      <c r="B4082" s="2" t="s">
        <v>470</v>
      </c>
      <c r="C4082" s="2" t="n">
        <v>3</v>
      </c>
      <c r="D4082" s="2" t="s">
        <v>607</v>
      </c>
      <c r="E4082" s="2" t="s">
        <v>13</v>
      </c>
      <c r="F4082" s="2" t="n">
        <v>296</v>
      </c>
      <c r="G4082" s="2" t="n">
        <v>12</v>
      </c>
    </row>
    <row r="4083" customFormat="false" ht="16.5" hidden="false" customHeight="true" outlineLevel="0" collapsed="false">
      <c r="A4083" s="2" t="s">
        <v>447</v>
      </c>
      <c r="B4083" s="2" t="s">
        <v>470</v>
      </c>
      <c r="C4083" s="2" t="n">
        <v>3</v>
      </c>
      <c r="D4083" s="2" t="s">
        <v>607</v>
      </c>
      <c r="E4083" s="2" t="s">
        <v>14</v>
      </c>
      <c r="F4083" s="2" t="n">
        <v>296</v>
      </c>
      <c r="G4083" s="2" t="n">
        <v>16</v>
      </c>
    </row>
    <row r="4084" customFormat="false" ht="16.5" hidden="false" customHeight="true" outlineLevel="0" collapsed="false">
      <c r="A4084" s="2" t="s">
        <v>447</v>
      </c>
      <c r="B4084" s="2" t="s">
        <v>470</v>
      </c>
      <c r="C4084" s="2" t="n">
        <v>3</v>
      </c>
      <c r="D4084" s="2" t="s">
        <v>607</v>
      </c>
      <c r="E4084" s="2" t="s">
        <v>15</v>
      </c>
      <c r="F4084" s="2" t="n">
        <v>296</v>
      </c>
      <c r="G4084" s="2" t="n">
        <v>20</v>
      </c>
    </row>
    <row r="4085" customFormat="false" ht="16.5" hidden="false" customHeight="true" outlineLevel="0" collapsed="false">
      <c r="A4085" s="2" t="s">
        <v>447</v>
      </c>
      <c r="B4085" s="2" t="s">
        <v>470</v>
      </c>
      <c r="C4085" s="2" t="n">
        <v>3</v>
      </c>
      <c r="D4085" s="2" t="s">
        <v>607</v>
      </c>
      <c r="E4085" s="2" t="s">
        <v>16</v>
      </c>
      <c r="F4085" s="2" t="n">
        <v>296</v>
      </c>
      <c r="G4085" s="2" t="n">
        <v>24</v>
      </c>
    </row>
    <row r="4086" customFormat="false" ht="16.5" hidden="false" customHeight="true" outlineLevel="0" collapsed="false">
      <c r="A4086" s="2" t="s">
        <v>447</v>
      </c>
      <c r="B4086" s="2" t="s">
        <v>470</v>
      </c>
      <c r="C4086" s="2" t="n">
        <v>3</v>
      </c>
      <c r="D4086" s="2" t="s">
        <v>607</v>
      </c>
      <c r="E4086" s="2" t="s">
        <v>17</v>
      </c>
      <c r="F4086" s="2" t="n">
        <v>296</v>
      </c>
      <c r="G4086" s="2" t="n">
        <v>28</v>
      </c>
    </row>
    <row r="4087" customFormat="false" ht="16.5" hidden="false" customHeight="true" outlineLevel="0" collapsed="false">
      <c r="A4087" s="2" t="s">
        <v>447</v>
      </c>
      <c r="B4087" s="2" t="s">
        <v>470</v>
      </c>
      <c r="C4087" s="2" t="n">
        <v>3</v>
      </c>
      <c r="D4087" s="2" t="s">
        <v>607</v>
      </c>
      <c r="E4087" s="2" t="s">
        <v>18</v>
      </c>
      <c r="F4087" s="2" t="n">
        <v>296</v>
      </c>
      <c r="G4087" s="2" t="n">
        <v>32</v>
      </c>
    </row>
    <row r="4088" customFormat="false" ht="16.5" hidden="false" customHeight="true" outlineLevel="0" collapsed="false">
      <c r="A4088" s="2" t="s">
        <v>447</v>
      </c>
      <c r="B4088" s="2" t="s">
        <v>470</v>
      </c>
      <c r="C4088" s="2" t="n">
        <v>3</v>
      </c>
      <c r="D4088" s="2" t="s">
        <v>607</v>
      </c>
      <c r="E4088" s="2" t="s">
        <v>19</v>
      </c>
      <c r="F4088" s="2" t="n">
        <v>296</v>
      </c>
      <c r="G4088" s="2" t="n">
        <v>36</v>
      </c>
    </row>
    <row r="4089" customFormat="false" ht="16.5" hidden="false" customHeight="true" outlineLevel="0" collapsed="false">
      <c r="A4089" s="2" t="s">
        <v>447</v>
      </c>
      <c r="B4089" s="2" t="s">
        <v>470</v>
      </c>
      <c r="C4089" s="2" t="n">
        <v>3</v>
      </c>
      <c r="D4089" s="2" t="s">
        <v>607</v>
      </c>
      <c r="E4089" s="2" t="s">
        <v>20</v>
      </c>
      <c r="F4089" s="2" t="n">
        <v>296</v>
      </c>
      <c r="G4089" s="2" t="n">
        <v>40</v>
      </c>
    </row>
    <row r="4090" customFormat="false" ht="16.5" hidden="false" customHeight="true" outlineLevel="0" collapsed="false">
      <c r="A4090" s="2" t="s">
        <v>447</v>
      </c>
      <c r="B4090" s="2" t="s">
        <v>470</v>
      </c>
      <c r="C4090" s="2" t="n">
        <v>3</v>
      </c>
      <c r="D4090" s="2" t="s">
        <v>607</v>
      </c>
      <c r="E4090" s="2" t="s">
        <v>21</v>
      </c>
      <c r="F4090" s="2" t="n">
        <v>296</v>
      </c>
      <c r="G4090" s="2" t="n">
        <v>44</v>
      </c>
    </row>
    <row r="4091" customFormat="false" ht="16.5" hidden="false" customHeight="true" outlineLevel="0" collapsed="false">
      <c r="A4091" s="2" t="s">
        <v>447</v>
      </c>
      <c r="B4091" s="2" t="s">
        <v>470</v>
      </c>
      <c r="C4091" s="2" t="n">
        <v>3</v>
      </c>
      <c r="D4091" s="2" t="s">
        <v>607</v>
      </c>
      <c r="E4091" s="2" t="s">
        <v>22</v>
      </c>
      <c r="F4091" s="2" t="n">
        <v>296</v>
      </c>
      <c r="G4091" s="2" t="n">
        <v>48</v>
      </c>
    </row>
    <row r="4092" customFormat="false" ht="16.5" hidden="false" customHeight="true" outlineLevel="0" collapsed="false">
      <c r="A4092" s="2" t="s">
        <v>447</v>
      </c>
      <c r="B4092" s="2" t="s">
        <v>470</v>
      </c>
      <c r="C4092" s="2" t="n">
        <v>3</v>
      </c>
      <c r="D4092" s="2" t="s">
        <v>607</v>
      </c>
      <c r="E4092" s="2" t="s">
        <v>23</v>
      </c>
      <c r="F4092" s="2" t="n">
        <v>296</v>
      </c>
      <c r="G4092" s="2" t="n">
        <v>52</v>
      </c>
    </row>
    <row r="4093" customFormat="false" ht="16.5" hidden="false" customHeight="true" outlineLevel="0" collapsed="false">
      <c r="A4093" s="2" t="s">
        <v>447</v>
      </c>
      <c r="B4093" s="2" t="s">
        <v>470</v>
      </c>
      <c r="C4093" s="2" t="n">
        <v>3</v>
      </c>
      <c r="D4093" s="2" t="s">
        <v>607</v>
      </c>
      <c r="E4093" s="2" t="s">
        <v>24</v>
      </c>
      <c r="F4093" s="2" t="n">
        <v>298</v>
      </c>
      <c r="G4093" s="2" t="n">
        <v>9</v>
      </c>
    </row>
    <row r="4094" customFormat="false" ht="16.5" hidden="false" customHeight="true" outlineLevel="0" collapsed="false">
      <c r="A4094" s="2" t="s">
        <v>447</v>
      </c>
      <c r="B4094" s="2" t="s">
        <v>470</v>
      </c>
      <c r="C4094" s="2" t="n">
        <v>3</v>
      </c>
      <c r="D4094" s="2" t="s">
        <v>607</v>
      </c>
      <c r="E4094" s="2" t="s">
        <v>25</v>
      </c>
      <c r="F4094" s="2" t="n">
        <v>298</v>
      </c>
      <c r="G4094" s="2" t="n">
        <v>13</v>
      </c>
    </row>
    <row r="4095" customFormat="false" ht="16.5" hidden="false" customHeight="true" outlineLevel="0" collapsed="false">
      <c r="A4095" s="2" t="s">
        <v>447</v>
      </c>
      <c r="B4095" s="2" t="s">
        <v>470</v>
      </c>
      <c r="C4095" s="2" t="n">
        <v>3</v>
      </c>
      <c r="D4095" s="2" t="s">
        <v>607</v>
      </c>
      <c r="E4095" s="2" t="s">
        <v>26</v>
      </c>
      <c r="F4095" s="2" t="n">
        <v>298</v>
      </c>
      <c r="G4095" s="2" t="n">
        <v>17</v>
      </c>
    </row>
    <row r="4096" customFormat="false" ht="16.5" hidden="false" customHeight="true" outlineLevel="0" collapsed="false">
      <c r="A4096" s="2" t="s">
        <v>447</v>
      </c>
      <c r="B4096" s="2" t="s">
        <v>470</v>
      </c>
      <c r="C4096" s="2" t="n">
        <v>3</v>
      </c>
      <c r="D4096" s="2" t="s">
        <v>607</v>
      </c>
      <c r="E4096" s="2" t="s">
        <v>27</v>
      </c>
      <c r="F4096" s="2" t="n">
        <v>298</v>
      </c>
      <c r="G4096" s="2" t="n">
        <v>21</v>
      </c>
    </row>
    <row r="4097" customFormat="false" ht="16.5" hidden="false" customHeight="true" outlineLevel="0" collapsed="false">
      <c r="A4097" s="2" t="s">
        <v>447</v>
      </c>
      <c r="B4097" s="2" t="s">
        <v>470</v>
      </c>
      <c r="C4097" s="2" t="n">
        <v>3</v>
      </c>
      <c r="D4097" s="2" t="s">
        <v>607</v>
      </c>
      <c r="E4097" s="2" t="s">
        <v>28</v>
      </c>
      <c r="F4097" s="2" t="n">
        <v>298</v>
      </c>
      <c r="G4097" s="2" t="n">
        <v>25</v>
      </c>
    </row>
    <row r="4098" customFormat="false" ht="16.5" hidden="false" customHeight="true" outlineLevel="0" collapsed="false">
      <c r="A4098" s="2" t="s">
        <v>447</v>
      </c>
      <c r="B4098" s="2" t="s">
        <v>470</v>
      </c>
      <c r="C4098" s="2" t="n">
        <v>3</v>
      </c>
      <c r="D4098" s="2" t="s">
        <v>607</v>
      </c>
      <c r="E4098" s="2" t="s">
        <v>29</v>
      </c>
      <c r="F4098" s="2" t="n">
        <v>298</v>
      </c>
      <c r="G4098" s="2" t="n">
        <v>29</v>
      </c>
    </row>
    <row r="4099" customFormat="false" ht="16.5" hidden="false" customHeight="true" outlineLevel="0" collapsed="false">
      <c r="A4099" s="2" t="s">
        <v>447</v>
      </c>
      <c r="B4099" s="2" t="s">
        <v>470</v>
      </c>
      <c r="C4099" s="2" t="n">
        <v>3</v>
      </c>
      <c r="D4099" s="2" t="s">
        <v>607</v>
      </c>
      <c r="E4099" s="2" t="s">
        <v>30</v>
      </c>
      <c r="F4099" s="2" t="n">
        <v>298</v>
      </c>
      <c r="G4099" s="2" t="n">
        <v>33</v>
      </c>
    </row>
    <row r="4100" customFormat="false" ht="16.5" hidden="false" customHeight="true" outlineLevel="0" collapsed="false">
      <c r="A4100" s="2" t="s">
        <v>447</v>
      </c>
      <c r="B4100" s="2" t="s">
        <v>470</v>
      </c>
      <c r="C4100" s="2" t="n">
        <v>3</v>
      </c>
      <c r="D4100" s="2" t="s">
        <v>607</v>
      </c>
      <c r="E4100" s="2" t="s">
        <v>31</v>
      </c>
      <c r="F4100" s="2" t="n">
        <v>298</v>
      </c>
      <c r="G4100" s="2" t="n">
        <v>37</v>
      </c>
    </row>
    <row r="4101" customFormat="false" ht="16.5" hidden="false" customHeight="true" outlineLevel="0" collapsed="false">
      <c r="A4101" s="2" t="s">
        <v>447</v>
      </c>
      <c r="B4101" s="2" t="s">
        <v>470</v>
      </c>
      <c r="C4101" s="2" t="n">
        <v>3</v>
      </c>
      <c r="D4101" s="2" t="s">
        <v>607</v>
      </c>
      <c r="E4101" s="2" t="s">
        <v>32</v>
      </c>
      <c r="F4101" s="2" t="n">
        <v>298</v>
      </c>
      <c r="G4101" s="2" t="n">
        <v>41</v>
      </c>
    </row>
    <row r="4102" customFormat="false" ht="16.5" hidden="false" customHeight="true" outlineLevel="0" collapsed="false">
      <c r="A4102" s="2" t="s">
        <v>447</v>
      </c>
      <c r="B4102" s="2" t="s">
        <v>470</v>
      </c>
      <c r="C4102" s="2" t="n">
        <v>3</v>
      </c>
      <c r="D4102" s="2" t="s">
        <v>607</v>
      </c>
      <c r="E4102" s="2" t="s">
        <v>33</v>
      </c>
      <c r="F4102" s="2" t="n">
        <v>298</v>
      </c>
      <c r="G4102" s="2" t="n">
        <v>45</v>
      </c>
    </row>
    <row r="4103" customFormat="false" ht="16.5" hidden="false" customHeight="true" outlineLevel="0" collapsed="false">
      <c r="A4103" s="2" t="s">
        <v>447</v>
      </c>
      <c r="B4103" s="2" t="s">
        <v>470</v>
      </c>
      <c r="C4103" s="2" t="n">
        <v>3</v>
      </c>
      <c r="D4103" s="2" t="s">
        <v>607</v>
      </c>
      <c r="E4103" s="2" t="s">
        <v>34</v>
      </c>
      <c r="F4103" s="2" t="n">
        <v>298</v>
      </c>
      <c r="G4103" s="2" t="n">
        <v>49</v>
      </c>
    </row>
    <row r="4104" customFormat="false" ht="16.5" hidden="false" customHeight="true" outlineLevel="0" collapsed="false">
      <c r="A4104" s="2" t="s">
        <v>447</v>
      </c>
      <c r="B4104" s="2" t="s">
        <v>470</v>
      </c>
      <c r="C4104" s="2" t="n">
        <v>3</v>
      </c>
      <c r="D4104" s="2" t="s">
        <v>607</v>
      </c>
      <c r="E4104" s="2" t="s">
        <v>35</v>
      </c>
      <c r="F4104" s="2" t="n">
        <v>300</v>
      </c>
      <c r="G4104" s="2" t="n">
        <v>11</v>
      </c>
    </row>
    <row r="4105" customFormat="false" ht="16.5" hidden="false" customHeight="true" outlineLevel="0" collapsed="false">
      <c r="A4105" s="2" t="s">
        <v>447</v>
      </c>
      <c r="B4105" s="2" t="s">
        <v>470</v>
      </c>
      <c r="C4105" s="2" t="n">
        <v>3</v>
      </c>
      <c r="D4105" s="2" t="s">
        <v>607</v>
      </c>
      <c r="E4105" s="2" t="s">
        <v>36</v>
      </c>
      <c r="F4105" s="2" t="n">
        <v>300</v>
      </c>
      <c r="G4105" s="2" t="n">
        <v>15</v>
      </c>
    </row>
    <row r="4106" customFormat="false" ht="16.5" hidden="false" customHeight="true" outlineLevel="0" collapsed="false">
      <c r="A4106" s="2" t="s">
        <v>447</v>
      </c>
      <c r="B4106" s="2" t="s">
        <v>470</v>
      </c>
      <c r="C4106" s="2" t="n">
        <v>3</v>
      </c>
      <c r="D4106" s="2" t="s">
        <v>607</v>
      </c>
      <c r="E4106" s="2" t="s">
        <v>37</v>
      </c>
      <c r="F4106" s="2" t="n">
        <v>300</v>
      </c>
      <c r="G4106" s="2" t="n">
        <v>19</v>
      </c>
    </row>
    <row r="4107" customFormat="false" ht="16.5" hidden="false" customHeight="true" outlineLevel="0" collapsed="false">
      <c r="A4107" s="2" t="s">
        <v>447</v>
      </c>
      <c r="B4107" s="2" t="s">
        <v>470</v>
      </c>
      <c r="C4107" s="2" t="n">
        <v>3</v>
      </c>
      <c r="D4107" s="2" t="s">
        <v>607</v>
      </c>
      <c r="E4107" s="2" t="s">
        <v>38</v>
      </c>
      <c r="F4107" s="2" t="n">
        <v>300</v>
      </c>
      <c r="G4107" s="2" t="n">
        <v>23</v>
      </c>
    </row>
    <row r="4108" customFormat="false" ht="16.5" hidden="false" customHeight="true" outlineLevel="0" collapsed="false">
      <c r="A4108" s="2" t="s">
        <v>447</v>
      </c>
      <c r="B4108" s="2" t="s">
        <v>470</v>
      </c>
      <c r="C4108" s="2" t="n">
        <v>3</v>
      </c>
      <c r="D4108" s="2" t="s">
        <v>607</v>
      </c>
      <c r="E4108" s="2" t="s">
        <v>39</v>
      </c>
      <c r="F4108" s="2" t="n">
        <v>300</v>
      </c>
      <c r="G4108" s="2" t="n">
        <v>27</v>
      </c>
    </row>
    <row r="4109" customFormat="false" ht="16.5" hidden="false" customHeight="true" outlineLevel="0" collapsed="false">
      <c r="A4109" s="2" t="s">
        <v>447</v>
      </c>
      <c r="B4109" s="2" t="s">
        <v>470</v>
      </c>
      <c r="C4109" s="2" t="n">
        <v>3</v>
      </c>
      <c r="D4109" s="2" t="s">
        <v>607</v>
      </c>
      <c r="E4109" s="2" t="s">
        <v>40</v>
      </c>
      <c r="F4109" s="2" t="n">
        <v>300</v>
      </c>
      <c r="G4109" s="2" t="n">
        <v>31</v>
      </c>
    </row>
    <row r="4110" customFormat="false" ht="16.5" hidden="false" customHeight="true" outlineLevel="0" collapsed="false">
      <c r="A4110" s="2" t="s">
        <v>447</v>
      </c>
      <c r="B4110" s="2" t="s">
        <v>470</v>
      </c>
      <c r="C4110" s="2" t="n">
        <v>3</v>
      </c>
      <c r="D4110" s="2" t="s">
        <v>607</v>
      </c>
      <c r="E4110" s="2" t="s">
        <v>41</v>
      </c>
      <c r="F4110" s="2" t="n">
        <v>300</v>
      </c>
      <c r="G4110" s="2" t="n">
        <v>35</v>
      </c>
    </row>
    <row r="4111" customFormat="false" ht="16.5" hidden="false" customHeight="true" outlineLevel="0" collapsed="false">
      <c r="A4111" s="2" t="s">
        <v>447</v>
      </c>
      <c r="B4111" s="2" t="s">
        <v>470</v>
      </c>
      <c r="C4111" s="2" t="n">
        <v>3</v>
      </c>
      <c r="D4111" s="2" t="s">
        <v>607</v>
      </c>
      <c r="E4111" s="2" t="s">
        <v>42</v>
      </c>
      <c r="F4111" s="2" t="n">
        <v>300</v>
      </c>
      <c r="G4111" s="2" t="n">
        <v>39</v>
      </c>
    </row>
    <row r="4112" customFormat="false" ht="16.5" hidden="false" customHeight="true" outlineLevel="0" collapsed="false">
      <c r="A4112" s="2" t="s">
        <v>447</v>
      </c>
      <c r="B4112" s="2" t="s">
        <v>470</v>
      </c>
      <c r="C4112" s="2" t="n">
        <v>3</v>
      </c>
      <c r="D4112" s="2" t="s">
        <v>607</v>
      </c>
      <c r="E4112" s="2" t="s">
        <v>43</v>
      </c>
      <c r="F4112" s="2" t="n">
        <v>300</v>
      </c>
      <c r="G4112" s="2" t="n">
        <v>43</v>
      </c>
    </row>
    <row r="4113" customFormat="false" ht="16.5" hidden="false" customHeight="true" outlineLevel="0" collapsed="false">
      <c r="A4113" s="2" t="s">
        <v>447</v>
      </c>
      <c r="B4113" s="2" t="s">
        <v>470</v>
      </c>
      <c r="C4113" s="2" t="n">
        <v>3</v>
      </c>
      <c r="D4113" s="2" t="s">
        <v>607</v>
      </c>
      <c r="E4113" s="2" t="s">
        <v>44</v>
      </c>
      <c r="F4113" s="2" t="n">
        <v>300</v>
      </c>
      <c r="G4113" s="2" t="n">
        <v>47</v>
      </c>
    </row>
    <row r="4114" customFormat="false" ht="16.5" hidden="false" customHeight="true" outlineLevel="0" collapsed="false">
      <c r="A4114" s="2" t="s">
        <v>447</v>
      </c>
      <c r="B4114" s="2" t="s">
        <v>470</v>
      </c>
      <c r="C4114" s="2" t="n">
        <v>3</v>
      </c>
      <c r="D4114" s="2" t="s">
        <v>607</v>
      </c>
      <c r="E4114" s="2" t="s">
        <v>48</v>
      </c>
      <c r="F4114" s="2" t="n">
        <v>302</v>
      </c>
      <c r="G4114" s="2" t="n">
        <v>16</v>
      </c>
    </row>
    <row r="4115" customFormat="false" ht="16.5" hidden="false" customHeight="true" outlineLevel="0" collapsed="false">
      <c r="A4115" s="2" t="s">
        <v>447</v>
      </c>
      <c r="B4115" s="2" t="s">
        <v>470</v>
      </c>
      <c r="C4115" s="2" t="n">
        <v>3</v>
      </c>
      <c r="D4115" s="2" t="s">
        <v>607</v>
      </c>
      <c r="E4115" s="2" t="s">
        <v>50</v>
      </c>
      <c r="F4115" s="2" t="n">
        <v>302</v>
      </c>
      <c r="G4115" s="2" t="n">
        <v>20</v>
      </c>
    </row>
    <row r="4116" customFormat="false" ht="16.5" hidden="false" customHeight="true" outlineLevel="0" collapsed="false">
      <c r="A4116" s="2" t="s">
        <v>447</v>
      </c>
      <c r="B4116" s="2" t="s">
        <v>470</v>
      </c>
      <c r="C4116" s="2" t="n">
        <v>3</v>
      </c>
      <c r="D4116" s="2" t="s">
        <v>607</v>
      </c>
      <c r="E4116" s="2" t="s">
        <v>45</v>
      </c>
      <c r="F4116" s="2" t="n">
        <v>302</v>
      </c>
      <c r="G4116" s="2" t="n">
        <v>38</v>
      </c>
    </row>
    <row r="4117" customFormat="false" ht="16.5" hidden="false" customHeight="true" outlineLevel="0" collapsed="false">
      <c r="A4117" s="2" t="s">
        <v>447</v>
      </c>
      <c r="B4117" s="2" t="s">
        <v>470</v>
      </c>
      <c r="C4117" s="2" t="n">
        <v>3</v>
      </c>
      <c r="D4117" s="2" t="s">
        <v>607</v>
      </c>
      <c r="E4117" s="2" t="s">
        <v>46</v>
      </c>
      <c r="F4117" s="2" t="n">
        <v>302</v>
      </c>
      <c r="G4117" s="2" t="n">
        <v>42</v>
      </c>
    </row>
    <row r="4118" customFormat="false" ht="16.5" hidden="false" customHeight="true" outlineLevel="0" collapsed="false">
      <c r="A4118" s="2" t="s">
        <v>447</v>
      </c>
      <c r="B4118" s="2" t="s">
        <v>471</v>
      </c>
      <c r="C4118" s="2" t="n">
        <v>3</v>
      </c>
      <c r="D4118" s="2" t="s">
        <v>608</v>
      </c>
      <c r="E4118" s="2" t="s">
        <v>0</v>
      </c>
      <c r="F4118" s="2" t="n">
        <v>307</v>
      </c>
      <c r="G4118" s="2" t="n">
        <v>6</v>
      </c>
    </row>
    <row r="4119" customFormat="false" ht="16.5" hidden="false" customHeight="true" outlineLevel="0" collapsed="false">
      <c r="A4119" s="2" t="s">
        <v>447</v>
      </c>
      <c r="B4119" s="2" t="s">
        <v>471</v>
      </c>
      <c r="C4119" s="2" t="n">
        <v>3</v>
      </c>
      <c r="D4119" s="2" t="s">
        <v>608</v>
      </c>
      <c r="E4119" s="2" t="s">
        <v>1</v>
      </c>
      <c r="F4119" s="2" t="n">
        <v>307</v>
      </c>
      <c r="G4119" s="2" t="n">
        <v>10</v>
      </c>
    </row>
    <row r="4120" customFormat="false" ht="16.5" hidden="false" customHeight="true" outlineLevel="0" collapsed="false">
      <c r="A4120" s="2" t="s">
        <v>447</v>
      </c>
      <c r="B4120" s="2" t="s">
        <v>471</v>
      </c>
      <c r="C4120" s="2" t="n">
        <v>3</v>
      </c>
      <c r="D4120" s="2" t="s">
        <v>608</v>
      </c>
      <c r="E4120" s="2" t="s">
        <v>2</v>
      </c>
      <c r="F4120" s="2" t="n">
        <v>307</v>
      </c>
      <c r="G4120" s="2" t="n">
        <v>14</v>
      </c>
    </row>
    <row r="4121" customFormat="false" ht="16.5" hidden="false" customHeight="true" outlineLevel="0" collapsed="false">
      <c r="A4121" s="2" t="s">
        <v>447</v>
      </c>
      <c r="B4121" s="2" t="s">
        <v>471</v>
      </c>
      <c r="C4121" s="2" t="n">
        <v>3</v>
      </c>
      <c r="D4121" s="2" t="s">
        <v>608</v>
      </c>
      <c r="E4121" s="2" t="s">
        <v>3</v>
      </c>
      <c r="F4121" s="2" t="n">
        <v>307</v>
      </c>
      <c r="G4121" s="2" t="n">
        <v>18</v>
      </c>
    </row>
    <row r="4122" customFormat="false" ht="16.5" hidden="false" customHeight="true" outlineLevel="0" collapsed="false">
      <c r="A4122" s="2" t="s">
        <v>447</v>
      </c>
      <c r="B4122" s="2" t="s">
        <v>471</v>
      </c>
      <c r="C4122" s="2" t="n">
        <v>3</v>
      </c>
      <c r="D4122" s="2" t="s">
        <v>608</v>
      </c>
      <c r="E4122" s="2" t="s">
        <v>4</v>
      </c>
      <c r="F4122" s="2" t="n">
        <v>307</v>
      </c>
      <c r="G4122" s="2" t="n">
        <v>22</v>
      </c>
    </row>
    <row r="4123" customFormat="false" ht="16.5" hidden="false" customHeight="true" outlineLevel="0" collapsed="false">
      <c r="A4123" s="2" t="s">
        <v>447</v>
      </c>
      <c r="B4123" s="2" t="s">
        <v>471</v>
      </c>
      <c r="C4123" s="2" t="n">
        <v>3</v>
      </c>
      <c r="D4123" s="2" t="s">
        <v>608</v>
      </c>
      <c r="E4123" s="2" t="s">
        <v>5</v>
      </c>
      <c r="F4123" s="2" t="n">
        <v>307</v>
      </c>
      <c r="G4123" s="2" t="n">
        <v>26</v>
      </c>
    </row>
    <row r="4124" customFormat="false" ht="16.5" hidden="false" customHeight="true" outlineLevel="0" collapsed="false">
      <c r="A4124" s="2" t="s">
        <v>447</v>
      </c>
      <c r="B4124" s="2" t="s">
        <v>471</v>
      </c>
      <c r="C4124" s="2" t="n">
        <v>3</v>
      </c>
      <c r="D4124" s="2" t="s">
        <v>608</v>
      </c>
      <c r="E4124" s="2" t="s">
        <v>6</v>
      </c>
      <c r="F4124" s="2" t="n">
        <v>307</v>
      </c>
      <c r="G4124" s="2" t="n">
        <v>30</v>
      </c>
    </row>
    <row r="4125" customFormat="false" ht="16.5" hidden="false" customHeight="true" outlineLevel="0" collapsed="false">
      <c r="A4125" s="2" t="s">
        <v>447</v>
      </c>
      <c r="B4125" s="2" t="s">
        <v>471</v>
      </c>
      <c r="C4125" s="2" t="n">
        <v>3</v>
      </c>
      <c r="D4125" s="2" t="s">
        <v>608</v>
      </c>
      <c r="E4125" s="2" t="s">
        <v>7</v>
      </c>
      <c r="F4125" s="2" t="n">
        <v>307</v>
      </c>
      <c r="G4125" s="2" t="n">
        <v>34</v>
      </c>
    </row>
    <row r="4126" customFormat="false" ht="16.5" hidden="false" customHeight="true" outlineLevel="0" collapsed="false">
      <c r="A4126" s="2" t="s">
        <v>447</v>
      </c>
      <c r="B4126" s="2" t="s">
        <v>471</v>
      </c>
      <c r="C4126" s="2" t="n">
        <v>3</v>
      </c>
      <c r="D4126" s="2" t="s">
        <v>608</v>
      </c>
      <c r="E4126" s="2" t="s">
        <v>8</v>
      </c>
      <c r="F4126" s="2" t="n">
        <v>307</v>
      </c>
      <c r="G4126" s="2" t="n">
        <v>38</v>
      </c>
    </row>
    <row r="4127" customFormat="false" ht="16.5" hidden="false" customHeight="true" outlineLevel="0" collapsed="false">
      <c r="A4127" s="2" t="s">
        <v>447</v>
      </c>
      <c r="B4127" s="2" t="s">
        <v>471</v>
      </c>
      <c r="C4127" s="2" t="n">
        <v>3</v>
      </c>
      <c r="D4127" s="2" t="s">
        <v>608</v>
      </c>
      <c r="E4127" s="2" t="s">
        <v>9</v>
      </c>
      <c r="F4127" s="2" t="n">
        <v>307</v>
      </c>
      <c r="G4127" s="2" t="n">
        <v>42</v>
      </c>
    </row>
    <row r="4128" customFormat="false" ht="16.5" hidden="false" customHeight="true" outlineLevel="0" collapsed="false">
      <c r="A4128" s="2" t="s">
        <v>447</v>
      </c>
      <c r="B4128" s="2" t="s">
        <v>471</v>
      </c>
      <c r="C4128" s="2" t="n">
        <v>3</v>
      </c>
      <c r="D4128" s="2" t="s">
        <v>608</v>
      </c>
      <c r="E4128" s="2" t="s">
        <v>10</v>
      </c>
      <c r="F4128" s="2" t="n">
        <v>307</v>
      </c>
      <c r="G4128" s="2" t="n">
        <v>46</v>
      </c>
    </row>
    <row r="4129" customFormat="false" ht="16.5" hidden="false" customHeight="true" outlineLevel="0" collapsed="false">
      <c r="A4129" s="2" t="s">
        <v>447</v>
      </c>
      <c r="B4129" s="2" t="s">
        <v>471</v>
      </c>
      <c r="C4129" s="2" t="n">
        <v>3</v>
      </c>
      <c r="D4129" s="2" t="s">
        <v>608</v>
      </c>
      <c r="E4129" s="2" t="s">
        <v>11</v>
      </c>
      <c r="F4129" s="2" t="n">
        <v>307</v>
      </c>
      <c r="G4129" s="2" t="n">
        <v>50</v>
      </c>
    </row>
    <row r="4130" customFormat="false" ht="16.5" hidden="false" customHeight="true" outlineLevel="0" collapsed="false">
      <c r="A4130" s="2" t="s">
        <v>447</v>
      </c>
      <c r="B4130" s="2" t="s">
        <v>471</v>
      </c>
      <c r="C4130" s="2" t="n">
        <v>3</v>
      </c>
      <c r="D4130" s="2" t="s">
        <v>608</v>
      </c>
      <c r="E4130" s="2" t="s">
        <v>12</v>
      </c>
      <c r="F4130" s="2" t="n">
        <v>309</v>
      </c>
      <c r="G4130" s="2" t="n">
        <v>8</v>
      </c>
    </row>
    <row r="4131" customFormat="false" ht="16.5" hidden="false" customHeight="true" outlineLevel="0" collapsed="false">
      <c r="A4131" s="2" t="s">
        <v>447</v>
      </c>
      <c r="B4131" s="2" t="s">
        <v>471</v>
      </c>
      <c r="C4131" s="2" t="n">
        <v>3</v>
      </c>
      <c r="D4131" s="2" t="s">
        <v>608</v>
      </c>
      <c r="E4131" s="2" t="s">
        <v>13</v>
      </c>
      <c r="F4131" s="2" t="n">
        <v>309</v>
      </c>
      <c r="G4131" s="2" t="n">
        <v>12</v>
      </c>
    </row>
    <row r="4132" customFormat="false" ht="16.5" hidden="false" customHeight="true" outlineLevel="0" collapsed="false">
      <c r="A4132" s="2" t="s">
        <v>447</v>
      </c>
      <c r="B4132" s="2" t="s">
        <v>471</v>
      </c>
      <c r="C4132" s="2" t="n">
        <v>3</v>
      </c>
      <c r="D4132" s="2" t="s">
        <v>608</v>
      </c>
      <c r="E4132" s="2" t="s">
        <v>14</v>
      </c>
      <c r="F4132" s="2" t="n">
        <v>309</v>
      </c>
      <c r="G4132" s="2" t="n">
        <v>16</v>
      </c>
    </row>
    <row r="4133" customFormat="false" ht="16.5" hidden="false" customHeight="true" outlineLevel="0" collapsed="false">
      <c r="A4133" s="2" t="s">
        <v>447</v>
      </c>
      <c r="B4133" s="2" t="s">
        <v>471</v>
      </c>
      <c r="C4133" s="2" t="n">
        <v>3</v>
      </c>
      <c r="D4133" s="2" t="s">
        <v>608</v>
      </c>
      <c r="E4133" s="2" t="s">
        <v>15</v>
      </c>
      <c r="F4133" s="2" t="n">
        <v>309</v>
      </c>
      <c r="G4133" s="2" t="n">
        <v>20</v>
      </c>
    </row>
    <row r="4134" customFormat="false" ht="16.5" hidden="false" customHeight="true" outlineLevel="0" collapsed="false">
      <c r="A4134" s="2" t="s">
        <v>447</v>
      </c>
      <c r="B4134" s="2" t="s">
        <v>471</v>
      </c>
      <c r="C4134" s="2" t="n">
        <v>3</v>
      </c>
      <c r="D4134" s="2" t="s">
        <v>608</v>
      </c>
      <c r="E4134" s="2" t="s">
        <v>16</v>
      </c>
      <c r="F4134" s="2" t="n">
        <v>309</v>
      </c>
      <c r="G4134" s="2" t="n">
        <v>24</v>
      </c>
    </row>
    <row r="4135" customFormat="false" ht="16.5" hidden="false" customHeight="true" outlineLevel="0" collapsed="false">
      <c r="A4135" s="2" t="s">
        <v>447</v>
      </c>
      <c r="B4135" s="2" t="s">
        <v>471</v>
      </c>
      <c r="C4135" s="2" t="n">
        <v>3</v>
      </c>
      <c r="D4135" s="2" t="s">
        <v>608</v>
      </c>
      <c r="E4135" s="2" t="s">
        <v>17</v>
      </c>
      <c r="F4135" s="2" t="n">
        <v>309</v>
      </c>
      <c r="G4135" s="2" t="n">
        <v>28</v>
      </c>
    </row>
    <row r="4136" customFormat="false" ht="16.5" hidden="false" customHeight="true" outlineLevel="0" collapsed="false">
      <c r="A4136" s="2" t="s">
        <v>447</v>
      </c>
      <c r="B4136" s="2" t="s">
        <v>471</v>
      </c>
      <c r="C4136" s="2" t="n">
        <v>3</v>
      </c>
      <c r="D4136" s="2" t="s">
        <v>608</v>
      </c>
      <c r="E4136" s="2" t="s">
        <v>18</v>
      </c>
      <c r="F4136" s="2" t="n">
        <v>309</v>
      </c>
      <c r="G4136" s="2" t="n">
        <v>32</v>
      </c>
    </row>
    <row r="4137" customFormat="false" ht="16.5" hidden="false" customHeight="true" outlineLevel="0" collapsed="false">
      <c r="A4137" s="2" t="s">
        <v>447</v>
      </c>
      <c r="B4137" s="2" t="s">
        <v>471</v>
      </c>
      <c r="C4137" s="2" t="n">
        <v>3</v>
      </c>
      <c r="D4137" s="2" t="s">
        <v>608</v>
      </c>
      <c r="E4137" s="2" t="s">
        <v>19</v>
      </c>
      <c r="F4137" s="2" t="n">
        <v>309</v>
      </c>
      <c r="G4137" s="2" t="n">
        <v>36</v>
      </c>
    </row>
    <row r="4138" customFormat="false" ht="16.5" hidden="false" customHeight="true" outlineLevel="0" collapsed="false">
      <c r="A4138" s="2" t="s">
        <v>447</v>
      </c>
      <c r="B4138" s="2" t="s">
        <v>471</v>
      </c>
      <c r="C4138" s="2" t="n">
        <v>3</v>
      </c>
      <c r="D4138" s="2" t="s">
        <v>608</v>
      </c>
      <c r="E4138" s="2" t="s">
        <v>20</v>
      </c>
      <c r="F4138" s="2" t="n">
        <v>309</v>
      </c>
      <c r="G4138" s="2" t="n">
        <v>40</v>
      </c>
    </row>
    <row r="4139" customFormat="false" ht="16.5" hidden="false" customHeight="true" outlineLevel="0" collapsed="false">
      <c r="A4139" s="2" t="s">
        <v>447</v>
      </c>
      <c r="B4139" s="2" t="s">
        <v>471</v>
      </c>
      <c r="C4139" s="2" t="n">
        <v>3</v>
      </c>
      <c r="D4139" s="2" t="s">
        <v>608</v>
      </c>
      <c r="E4139" s="2" t="s">
        <v>21</v>
      </c>
      <c r="F4139" s="2" t="n">
        <v>309</v>
      </c>
      <c r="G4139" s="2" t="n">
        <v>44</v>
      </c>
    </row>
    <row r="4140" customFormat="false" ht="16.5" hidden="false" customHeight="true" outlineLevel="0" collapsed="false">
      <c r="A4140" s="2" t="s">
        <v>447</v>
      </c>
      <c r="B4140" s="2" t="s">
        <v>471</v>
      </c>
      <c r="C4140" s="2" t="n">
        <v>3</v>
      </c>
      <c r="D4140" s="2" t="s">
        <v>608</v>
      </c>
      <c r="E4140" s="2" t="s">
        <v>22</v>
      </c>
      <c r="F4140" s="2" t="n">
        <v>309</v>
      </c>
      <c r="G4140" s="2" t="n">
        <v>48</v>
      </c>
    </row>
    <row r="4141" customFormat="false" ht="16.5" hidden="false" customHeight="true" outlineLevel="0" collapsed="false">
      <c r="A4141" s="2" t="s">
        <v>447</v>
      </c>
      <c r="B4141" s="2" t="s">
        <v>471</v>
      </c>
      <c r="C4141" s="2" t="n">
        <v>3</v>
      </c>
      <c r="D4141" s="2" t="s">
        <v>608</v>
      </c>
      <c r="E4141" s="2" t="s">
        <v>23</v>
      </c>
      <c r="F4141" s="2" t="n">
        <v>309</v>
      </c>
      <c r="G4141" s="2" t="n">
        <v>52</v>
      </c>
    </row>
    <row r="4142" customFormat="false" ht="16.5" hidden="false" customHeight="true" outlineLevel="0" collapsed="false">
      <c r="A4142" s="2" t="s">
        <v>447</v>
      </c>
      <c r="B4142" s="2" t="s">
        <v>471</v>
      </c>
      <c r="C4142" s="2" t="n">
        <v>3</v>
      </c>
      <c r="D4142" s="2" t="s">
        <v>608</v>
      </c>
      <c r="E4142" s="2" t="s">
        <v>24</v>
      </c>
      <c r="F4142" s="2" t="n">
        <v>311</v>
      </c>
      <c r="G4142" s="2" t="n">
        <v>9</v>
      </c>
    </row>
    <row r="4143" customFormat="false" ht="16.5" hidden="false" customHeight="true" outlineLevel="0" collapsed="false">
      <c r="A4143" s="2" t="s">
        <v>447</v>
      </c>
      <c r="B4143" s="2" t="s">
        <v>471</v>
      </c>
      <c r="C4143" s="2" t="n">
        <v>3</v>
      </c>
      <c r="D4143" s="2" t="s">
        <v>608</v>
      </c>
      <c r="E4143" s="2" t="s">
        <v>25</v>
      </c>
      <c r="F4143" s="2" t="n">
        <v>311</v>
      </c>
      <c r="G4143" s="2" t="n">
        <v>13</v>
      </c>
    </row>
    <row r="4144" customFormat="false" ht="16.5" hidden="false" customHeight="true" outlineLevel="0" collapsed="false">
      <c r="A4144" s="2" t="s">
        <v>447</v>
      </c>
      <c r="B4144" s="2" t="s">
        <v>471</v>
      </c>
      <c r="C4144" s="2" t="n">
        <v>3</v>
      </c>
      <c r="D4144" s="2" t="s">
        <v>608</v>
      </c>
      <c r="E4144" s="2" t="s">
        <v>26</v>
      </c>
      <c r="F4144" s="2" t="n">
        <v>311</v>
      </c>
      <c r="G4144" s="2" t="n">
        <v>17</v>
      </c>
    </row>
    <row r="4145" customFormat="false" ht="16.5" hidden="false" customHeight="true" outlineLevel="0" collapsed="false">
      <c r="A4145" s="2" t="s">
        <v>447</v>
      </c>
      <c r="B4145" s="2" t="s">
        <v>471</v>
      </c>
      <c r="C4145" s="2" t="n">
        <v>3</v>
      </c>
      <c r="D4145" s="2" t="s">
        <v>608</v>
      </c>
      <c r="E4145" s="2" t="s">
        <v>27</v>
      </c>
      <c r="F4145" s="2" t="n">
        <v>311</v>
      </c>
      <c r="G4145" s="2" t="n">
        <v>21</v>
      </c>
    </row>
    <row r="4146" customFormat="false" ht="16.5" hidden="false" customHeight="true" outlineLevel="0" collapsed="false">
      <c r="A4146" s="2" t="s">
        <v>447</v>
      </c>
      <c r="B4146" s="2" t="s">
        <v>471</v>
      </c>
      <c r="C4146" s="2" t="n">
        <v>3</v>
      </c>
      <c r="D4146" s="2" t="s">
        <v>608</v>
      </c>
      <c r="E4146" s="2" t="s">
        <v>28</v>
      </c>
      <c r="F4146" s="2" t="n">
        <v>311</v>
      </c>
      <c r="G4146" s="2" t="n">
        <v>25</v>
      </c>
    </row>
    <row r="4147" customFormat="false" ht="16.5" hidden="false" customHeight="true" outlineLevel="0" collapsed="false">
      <c r="A4147" s="2" t="s">
        <v>447</v>
      </c>
      <c r="B4147" s="2" t="s">
        <v>471</v>
      </c>
      <c r="C4147" s="2" t="n">
        <v>3</v>
      </c>
      <c r="D4147" s="2" t="s">
        <v>608</v>
      </c>
      <c r="E4147" s="2" t="s">
        <v>29</v>
      </c>
      <c r="F4147" s="2" t="n">
        <v>311</v>
      </c>
      <c r="G4147" s="2" t="n">
        <v>29</v>
      </c>
    </row>
    <row r="4148" customFormat="false" ht="16.5" hidden="false" customHeight="true" outlineLevel="0" collapsed="false">
      <c r="A4148" s="2" t="s">
        <v>447</v>
      </c>
      <c r="B4148" s="2" t="s">
        <v>471</v>
      </c>
      <c r="C4148" s="2" t="n">
        <v>3</v>
      </c>
      <c r="D4148" s="2" t="s">
        <v>608</v>
      </c>
      <c r="E4148" s="2" t="s">
        <v>30</v>
      </c>
      <c r="F4148" s="2" t="n">
        <v>311</v>
      </c>
      <c r="G4148" s="2" t="n">
        <v>33</v>
      </c>
    </row>
    <row r="4149" customFormat="false" ht="16.5" hidden="false" customHeight="true" outlineLevel="0" collapsed="false">
      <c r="A4149" s="2" t="s">
        <v>447</v>
      </c>
      <c r="B4149" s="2" t="s">
        <v>471</v>
      </c>
      <c r="C4149" s="2" t="n">
        <v>3</v>
      </c>
      <c r="D4149" s="2" t="s">
        <v>608</v>
      </c>
      <c r="E4149" s="2" t="s">
        <v>31</v>
      </c>
      <c r="F4149" s="2" t="n">
        <v>311</v>
      </c>
      <c r="G4149" s="2" t="n">
        <v>37</v>
      </c>
    </row>
    <row r="4150" customFormat="false" ht="16.5" hidden="false" customHeight="true" outlineLevel="0" collapsed="false">
      <c r="A4150" s="2" t="s">
        <v>447</v>
      </c>
      <c r="B4150" s="2" t="s">
        <v>471</v>
      </c>
      <c r="C4150" s="2" t="n">
        <v>3</v>
      </c>
      <c r="D4150" s="2" t="s">
        <v>608</v>
      </c>
      <c r="E4150" s="2" t="s">
        <v>32</v>
      </c>
      <c r="F4150" s="2" t="n">
        <v>311</v>
      </c>
      <c r="G4150" s="2" t="n">
        <v>41</v>
      </c>
    </row>
    <row r="4151" customFormat="false" ht="16.5" hidden="false" customHeight="true" outlineLevel="0" collapsed="false">
      <c r="A4151" s="2" t="s">
        <v>447</v>
      </c>
      <c r="B4151" s="2" t="s">
        <v>471</v>
      </c>
      <c r="C4151" s="2" t="n">
        <v>3</v>
      </c>
      <c r="D4151" s="2" t="s">
        <v>608</v>
      </c>
      <c r="E4151" s="2" t="s">
        <v>33</v>
      </c>
      <c r="F4151" s="2" t="n">
        <v>311</v>
      </c>
      <c r="G4151" s="2" t="n">
        <v>45</v>
      </c>
    </row>
    <row r="4152" customFormat="false" ht="16.5" hidden="false" customHeight="true" outlineLevel="0" collapsed="false">
      <c r="A4152" s="2" t="s">
        <v>447</v>
      </c>
      <c r="B4152" s="2" t="s">
        <v>471</v>
      </c>
      <c r="C4152" s="2" t="n">
        <v>3</v>
      </c>
      <c r="D4152" s="2" t="s">
        <v>608</v>
      </c>
      <c r="E4152" s="2" t="s">
        <v>34</v>
      </c>
      <c r="F4152" s="2" t="n">
        <v>311</v>
      </c>
      <c r="G4152" s="2" t="n">
        <v>49</v>
      </c>
    </row>
    <row r="4153" customFormat="false" ht="16.5" hidden="false" customHeight="true" outlineLevel="0" collapsed="false">
      <c r="A4153" s="2" t="s">
        <v>447</v>
      </c>
      <c r="B4153" s="2" t="s">
        <v>471</v>
      </c>
      <c r="C4153" s="2" t="n">
        <v>3</v>
      </c>
      <c r="D4153" s="2" t="s">
        <v>608</v>
      </c>
      <c r="E4153" s="2" t="s">
        <v>35</v>
      </c>
      <c r="F4153" s="2" t="n">
        <v>313</v>
      </c>
      <c r="G4153" s="2" t="n">
        <v>11</v>
      </c>
    </row>
    <row r="4154" customFormat="false" ht="16.5" hidden="false" customHeight="true" outlineLevel="0" collapsed="false">
      <c r="A4154" s="2" t="s">
        <v>447</v>
      </c>
      <c r="B4154" s="2" t="s">
        <v>471</v>
      </c>
      <c r="C4154" s="2" t="n">
        <v>3</v>
      </c>
      <c r="D4154" s="2" t="s">
        <v>608</v>
      </c>
      <c r="E4154" s="2" t="s">
        <v>36</v>
      </c>
      <c r="F4154" s="2" t="n">
        <v>313</v>
      </c>
      <c r="G4154" s="2" t="n">
        <v>15</v>
      </c>
    </row>
    <row r="4155" customFormat="false" ht="16.5" hidden="false" customHeight="true" outlineLevel="0" collapsed="false">
      <c r="A4155" s="2" t="s">
        <v>447</v>
      </c>
      <c r="B4155" s="2" t="s">
        <v>471</v>
      </c>
      <c r="C4155" s="2" t="n">
        <v>3</v>
      </c>
      <c r="D4155" s="2" t="s">
        <v>608</v>
      </c>
      <c r="E4155" s="2" t="s">
        <v>37</v>
      </c>
      <c r="F4155" s="2" t="n">
        <v>313</v>
      </c>
      <c r="G4155" s="2" t="n">
        <v>19</v>
      </c>
    </row>
    <row r="4156" customFormat="false" ht="16.5" hidden="false" customHeight="true" outlineLevel="0" collapsed="false">
      <c r="A4156" s="2" t="s">
        <v>447</v>
      </c>
      <c r="B4156" s="2" t="s">
        <v>471</v>
      </c>
      <c r="C4156" s="2" t="n">
        <v>3</v>
      </c>
      <c r="D4156" s="2" t="s">
        <v>608</v>
      </c>
      <c r="E4156" s="2" t="s">
        <v>38</v>
      </c>
      <c r="F4156" s="2" t="n">
        <v>313</v>
      </c>
      <c r="G4156" s="2" t="n">
        <v>23</v>
      </c>
    </row>
    <row r="4157" customFormat="false" ht="16.5" hidden="false" customHeight="true" outlineLevel="0" collapsed="false">
      <c r="A4157" s="2" t="s">
        <v>447</v>
      </c>
      <c r="B4157" s="2" t="s">
        <v>471</v>
      </c>
      <c r="C4157" s="2" t="n">
        <v>3</v>
      </c>
      <c r="D4157" s="2" t="s">
        <v>608</v>
      </c>
      <c r="E4157" s="2" t="s">
        <v>39</v>
      </c>
      <c r="F4157" s="2" t="n">
        <v>313</v>
      </c>
      <c r="G4157" s="2" t="n">
        <v>27</v>
      </c>
    </row>
    <row r="4158" customFormat="false" ht="16.5" hidden="false" customHeight="true" outlineLevel="0" collapsed="false">
      <c r="A4158" s="2" t="s">
        <v>447</v>
      </c>
      <c r="B4158" s="2" t="s">
        <v>471</v>
      </c>
      <c r="C4158" s="2" t="n">
        <v>3</v>
      </c>
      <c r="D4158" s="2" t="s">
        <v>608</v>
      </c>
      <c r="E4158" s="2" t="s">
        <v>40</v>
      </c>
      <c r="F4158" s="2" t="n">
        <v>313</v>
      </c>
      <c r="G4158" s="2" t="n">
        <v>31</v>
      </c>
    </row>
    <row r="4159" customFormat="false" ht="16.5" hidden="false" customHeight="true" outlineLevel="0" collapsed="false">
      <c r="A4159" s="2" t="s">
        <v>447</v>
      </c>
      <c r="B4159" s="2" t="s">
        <v>471</v>
      </c>
      <c r="C4159" s="2" t="n">
        <v>3</v>
      </c>
      <c r="D4159" s="2" t="s">
        <v>608</v>
      </c>
      <c r="E4159" s="2" t="s">
        <v>41</v>
      </c>
      <c r="F4159" s="2" t="n">
        <v>313</v>
      </c>
      <c r="G4159" s="2" t="n">
        <v>35</v>
      </c>
    </row>
    <row r="4160" customFormat="false" ht="16.5" hidden="false" customHeight="true" outlineLevel="0" collapsed="false">
      <c r="A4160" s="2" t="s">
        <v>447</v>
      </c>
      <c r="B4160" s="2" t="s">
        <v>471</v>
      </c>
      <c r="C4160" s="2" t="n">
        <v>3</v>
      </c>
      <c r="D4160" s="2" t="s">
        <v>608</v>
      </c>
      <c r="E4160" s="2" t="s">
        <v>42</v>
      </c>
      <c r="F4160" s="2" t="n">
        <v>313</v>
      </c>
      <c r="G4160" s="2" t="n">
        <v>39</v>
      </c>
    </row>
    <row r="4161" customFormat="false" ht="16.5" hidden="false" customHeight="true" outlineLevel="0" collapsed="false">
      <c r="A4161" s="2" t="s">
        <v>447</v>
      </c>
      <c r="B4161" s="2" t="s">
        <v>471</v>
      </c>
      <c r="C4161" s="2" t="n">
        <v>3</v>
      </c>
      <c r="D4161" s="2" t="s">
        <v>608</v>
      </c>
      <c r="E4161" s="2" t="s">
        <v>43</v>
      </c>
      <c r="F4161" s="2" t="n">
        <v>313</v>
      </c>
      <c r="G4161" s="2" t="n">
        <v>43</v>
      </c>
    </row>
    <row r="4162" customFormat="false" ht="16.5" hidden="false" customHeight="true" outlineLevel="0" collapsed="false">
      <c r="A4162" s="2" t="s">
        <v>447</v>
      </c>
      <c r="B4162" s="2" t="s">
        <v>471</v>
      </c>
      <c r="C4162" s="2" t="n">
        <v>3</v>
      </c>
      <c r="D4162" s="2" t="s">
        <v>608</v>
      </c>
      <c r="E4162" s="2" t="s">
        <v>44</v>
      </c>
      <c r="F4162" s="2" t="n">
        <v>313</v>
      </c>
      <c r="G4162" s="2" t="n">
        <v>47</v>
      </c>
    </row>
    <row r="4163" customFormat="false" ht="16.5" hidden="false" customHeight="true" outlineLevel="0" collapsed="false">
      <c r="A4163" s="2" t="s">
        <v>447</v>
      </c>
      <c r="B4163" s="2" t="s">
        <v>471</v>
      </c>
      <c r="C4163" s="2" t="n">
        <v>3</v>
      </c>
      <c r="D4163" s="2" t="s">
        <v>608</v>
      </c>
      <c r="E4163" s="2" t="s">
        <v>48</v>
      </c>
      <c r="F4163" s="2" t="n">
        <v>315</v>
      </c>
      <c r="G4163" s="2" t="n">
        <v>16</v>
      </c>
    </row>
    <row r="4164" customFormat="false" ht="16.5" hidden="false" customHeight="true" outlineLevel="0" collapsed="false">
      <c r="A4164" s="2" t="s">
        <v>447</v>
      </c>
      <c r="B4164" s="2" t="s">
        <v>471</v>
      </c>
      <c r="C4164" s="2" t="n">
        <v>3</v>
      </c>
      <c r="D4164" s="2" t="s">
        <v>608</v>
      </c>
      <c r="E4164" s="2" t="s">
        <v>50</v>
      </c>
      <c r="F4164" s="2" t="n">
        <v>315</v>
      </c>
      <c r="G4164" s="2" t="n">
        <v>20</v>
      </c>
    </row>
    <row r="4165" customFormat="false" ht="16.5" hidden="false" customHeight="true" outlineLevel="0" collapsed="false">
      <c r="A4165" s="2" t="s">
        <v>447</v>
      </c>
      <c r="B4165" s="2" t="s">
        <v>471</v>
      </c>
      <c r="C4165" s="2" t="n">
        <v>3</v>
      </c>
      <c r="D4165" s="2" t="s">
        <v>608</v>
      </c>
      <c r="E4165" s="2" t="s">
        <v>45</v>
      </c>
      <c r="F4165" s="2" t="n">
        <v>315</v>
      </c>
      <c r="G4165" s="2" t="n">
        <v>38</v>
      </c>
    </row>
    <row r="4166" customFormat="false" ht="16.5" hidden="false" customHeight="true" outlineLevel="0" collapsed="false">
      <c r="A4166" s="2" t="s">
        <v>447</v>
      </c>
      <c r="B4166" s="2" t="s">
        <v>471</v>
      </c>
      <c r="C4166" s="2" t="n">
        <v>3</v>
      </c>
      <c r="D4166" s="2" t="s">
        <v>608</v>
      </c>
      <c r="E4166" s="2" t="s">
        <v>46</v>
      </c>
      <c r="F4166" s="2" t="n">
        <v>315</v>
      </c>
      <c r="G4166" s="2" t="n">
        <v>42</v>
      </c>
    </row>
    <row r="4167" customFormat="false" ht="16.5" hidden="false" customHeight="true" outlineLevel="0" collapsed="false">
      <c r="A4167" s="2" t="s">
        <v>447</v>
      </c>
      <c r="B4167" s="2" t="s">
        <v>472</v>
      </c>
      <c r="C4167" s="2" t="n">
        <v>3</v>
      </c>
      <c r="D4167" s="2" t="s">
        <v>609</v>
      </c>
      <c r="E4167" s="2" t="s">
        <v>0</v>
      </c>
      <c r="F4167" s="2" t="n">
        <v>320</v>
      </c>
      <c r="G4167" s="2" t="n">
        <v>6</v>
      </c>
    </row>
    <row r="4168" customFormat="false" ht="16.5" hidden="false" customHeight="true" outlineLevel="0" collapsed="false">
      <c r="A4168" s="2" t="s">
        <v>447</v>
      </c>
      <c r="B4168" s="2" t="s">
        <v>472</v>
      </c>
      <c r="C4168" s="2" t="n">
        <v>3</v>
      </c>
      <c r="D4168" s="2" t="s">
        <v>609</v>
      </c>
      <c r="E4168" s="2" t="s">
        <v>1</v>
      </c>
      <c r="F4168" s="2" t="n">
        <v>320</v>
      </c>
      <c r="G4168" s="2" t="n">
        <v>10</v>
      </c>
    </row>
    <row r="4169" customFormat="false" ht="16.5" hidden="false" customHeight="true" outlineLevel="0" collapsed="false">
      <c r="A4169" s="2" t="s">
        <v>447</v>
      </c>
      <c r="B4169" s="2" t="s">
        <v>472</v>
      </c>
      <c r="C4169" s="2" t="n">
        <v>3</v>
      </c>
      <c r="D4169" s="2" t="s">
        <v>609</v>
      </c>
      <c r="E4169" s="2" t="s">
        <v>2</v>
      </c>
      <c r="F4169" s="2" t="n">
        <v>320</v>
      </c>
      <c r="G4169" s="2" t="n">
        <v>14</v>
      </c>
    </row>
    <row r="4170" customFormat="false" ht="16.5" hidden="false" customHeight="true" outlineLevel="0" collapsed="false">
      <c r="A4170" s="2" t="s">
        <v>447</v>
      </c>
      <c r="B4170" s="2" t="s">
        <v>472</v>
      </c>
      <c r="C4170" s="2" t="n">
        <v>3</v>
      </c>
      <c r="D4170" s="2" t="s">
        <v>609</v>
      </c>
      <c r="E4170" s="2" t="s">
        <v>3</v>
      </c>
      <c r="F4170" s="2" t="n">
        <v>320</v>
      </c>
      <c r="G4170" s="2" t="n">
        <v>18</v>
      </c>
    </row>
    <row r="4171" customFormat="false" ht="16.5" hidden="false" customHeight="true" outlineLevel="0" collapsed="false">
      <c r="A4171" s="2" t="s">
        <v>447</v>
      </c>
      <c r="B4171" s="2" t="s">
        <v>472</v>
      </c>
      <c r="C4171" s="2" t="n">
        <v>3</v>
      </c>
      <c r="D4171" s="2" t="s">
        <v>609</v>
      </c>
      <c r="E4171" s="2" t="s">
        <v>4</v>
      </c>
      <c r="F4171" s="2" t="n">
        <v>320</v>
      </c>
      <c r="G4171" s="2" t="n">
        <v>22</v>
      </c>
    </row>
    <row r="4172" customFormat="false" ht="16.5" hidden="false" customHeight="true" outlineLevel="0" collapsed="false">
      <c r="A4172" s="2" t="s">
        <v>447</v>
      </c>
      <c r="B4172" s="2" t="s">
        <v>472</v>
      </c>
      <c r="C4172" s="2" t="n">
        <v>3</v>
      </c>
      <c r="D4172" s="2" t="s">
        <v>609</v>
      </c>
      <c r="E4172" s="2" t="s">
        <v>5</v>
      </c>
      <c r="F4172" s="2" t="n">
        <v>320</v>
      </c>
      <c r="G4172" s="2" t="n">
        <v>26</v>
      </c>
    </row>
    <row r="4173" customFormat="false" ht="16.5" hidden="false" customHeight="true" outlineLevel="0" collapsed="false">
      <c r="A4173" s="2" t="s">
        <v>447</v>
      </c>
      <c r="B4173" s="2" t="s">
        <v>472</v>
      </c>
      <c r="C4173" s="2" t="n">
        <v>3</v>
      </c>
      <c r="D4173" s="2" t="s">
        <v>609</v>
      </c>
      <c r="E4173" s="2" t="s">
        <v>6</v>
      </c>
      <c r="F4173" s="2" t="n">
        <v>320</v>
      </c>
      <c r="G4173" s="2" t="n">
        <v>30</v>
      </c>
    </row>
    <row r="4174" customFormat="false" ht="16.5" hidden="false" customHeight="true" outlineLevel="0" collapsed="false">
      <c r="A4174" s="2" t="s">
        <v>447</v>
      </c>
      <c r="B4174" s="2" t="s">
        <v>472</v>
      </c>
      <c r="C4174" s="2" t="n">
        <v>3</v>
      </c>
      <c r="D4174" s="2" t="s">
        <v>609</v>
      </c>
      <c r="E4174" s="2" t="s">
        <v>7</v>
      </c>
      <c r="F4174" s="2" t="n">
        <v>320</v>
      </c>
      <c r="G4174" s="2" t="n">
        <v>34</v>
      </c>
    </row>
    <row r="4175" customFormat="false" ht="16.5" hidden="false" customHeight="true" outlineLevel="0" collapsed="false">
      <c r="A4175" s="2" t="s">
        <v>447</v>
      </c>
      <c r="B4175" s="2" t="s">
        <v>472</v>
      </c>
      <c r="C4175" s="2" t="n">
        <v>3</v>
      </c>
      <c r="D4175" s="2" t="s">
        <v>609</v>
      </c>
      <c r="E4175" s="2" t="s">
        <v>8</v>
      </c>
      <c r="F4175" s="2" t="n">
        <v>320</v>
      </c>
      <c r="G4175" s="2" t="n">
        <v>38</v>
      </c>
    </row>
    <row r="4176" customFormat="false" ht="16.5" hidden="false" customHeight="true" outlineLevel="0" collapsed="false">
      <c r="A4176" s="2" t="s">
        <v>447</v>
      </c>
      <c r="B4176" s="2" t="s">
        <v>472</v>
      </c>
      <c r="C4176" s="2" t="n">
        <v>3</v>
      </c>
      <c r="D4176" s="2" t="s">
        <v>609</v>
      </c>
      <c r="E4176" s="2" t="s">
        <v>9</v>
      </c>
      <c r="F4176" s="2" t="n">
        <v>320</v>
      </c>
      <c r="G4176" s="2" t="n">
        <v>42</v>
      </c>
    </row>
    <row r="4177" customFormat="false" ht="16.5" hidden="false" customHeight="true" outlineLevel="0" collapsed="false">
      <c r="A4177" s="2" t="s">
        <v>447</v>
      </c>
      <c r="B4177" s="2" t="s">
        <v>472</v>
      </c>
      <c r="C4177" s="2" t="n">
        <v>3</v>
      </c>
      <c r="D4177" s="2" t="s">
        <v>609</v>
      </c>
      <c r="E4177" s="2" t="s">
        <v>10</v>
      </c>
      <c r="F4177" s="2" t="n">
        <v>320</v>
      </c>
      <c r="G4177" s="2" t="n">
        <v>46</v>
      </c>
    </row>
    <row r="4178" customFormat="false" ht="16.5" hidden="false" customHeight="true" outlineLevel="0" collapsed="false">
      <c r="A4178" s="2" t="s">
        <v>447</v>
      </c>
      <c r="B4178" s="2" t="s">
        <v>472</v>
      </c>
      <c r="C4178" s="2" t="n">
        <v>3</v>
      </c>
      <c r="D4178" s="2" t="s">
        <v>609</v>
      </c>
      <c r="E4178" s="2" t="s">
        <v>11</v>
      </c>
      <c r="F4178" s="2" t="n">
        <v>320</v>
      </c>
      <c r="G4178" s="2" t="n">
        <v>50</v>
      </c>
    </row>
    <row r="4179" customFormat="false" ht="16.5" hidden="false" customHeight="true" outlineLevel="0" collapsed="false">
      <c r="A4179" s="2" t="s">
        <v>447</v>
      </c>
      <c r="B4179" s="2" t="s">
        <v>472</v>
      </c>
      <c r="C4179" s="2" t="n">
        <v>3</v>
      </c>
      <c r="D4179" s="2" t="s">
        <v>609</v>
      </c>
      <c r="E4179" s="2" t="s">
        <v>12</v>
      </c>
      <c r="F4179" s="2" t="n">
        <v>322</v>
      </c>
      <c r="G4179" s="2" t="n">
        <v>8</v>
      </c>
    </row>
    <row r="4180" customFormat="false" ht="16.5" hidden="false" customHeight="true" outlineLevel="0" collapsed="false">
      <c r="A4180" s="2" t="s">
        <v>447</v>
      </c>
      <c r="B4180" s="2" t="s">
        <v>472</v>
      </c>
      <c r="C4180" s="2" t="n">
        <v>3</v>
      </c>
      <c r="D4180" s="2" t="s">
        <v>609</v>
      </c>
      <c r="E4180" s="2" t="s">
        <v>13</v>
      </c>
      <c r="F4180" s="2" t="n">
        <v>322</v>
      </c>
      <c r="G4180" s="2" t="n">
        <v>12</v>
      </c>
    </row>
    <row r="4181" customFormat="false" ht="16.5" hidden="false" customHeight="true" outlineLevel="0" collapsed="false">
      <c r="A4181" s="2" t="s">
        <v>447</v>
      </c>
      <c r="B4181" s="2" t="s">
        <v>472</v>
      </c>
      <c r="C4181" s="2" t="n">
        <v>3</v>
      </c>
      <c r="D4181" s="2" t="s">
        <v>609</v>
      </c>
      <c r="E4181" s="2" t="s">
        <v>14</v>
      </c>
      <c r="F4181" s="2" t="n">
        <v>322</v>
      </c>
      <c r="G4181" s="2" t="n">
        <v>16</v>
      </c>
    </row>
    <row r="4182" customFormat="false" ht="16.5" hidden="false" customHeight="true" outlineLevel="0" collapsed="false">
      <c r="A4182" s="2" t="s">
        <v>447</v>
      </c>
      <c r="B4182" s="2" t="s">
        <v>472</v>
      </c>
      <c r="C4182" s="2" t="n">
        <v>3</v>
      </c>
      <c r="D4182" s="2" t="s">
        <v>609</v>
      </c>
      <c r="E4182" s="2" t="s">
        <v>15</v>
      </c>
      <c r="F4182" s="2" t="n">
        <v>322</v>
      </c>
      <c r="G4182" s="2" t="n">
        <v>20</v>
      </c>
    </row>
    <row r="4183" customFormat="false" ht="16.5" hidden="false" customHeight="true" outlineLevel="0" collapsed="false">
      <c r="A4183" s="2" t="s">
        <v>447</v>
      </c>
      <c r="B4183" s="2" t="s">
        <v>472</v>
      </c>
      <c r="C4183" s="2" t="n">
        <v>3</v>
      </c>
      <c r="D4183" s="2" t="s">
        <v>609</v>
      </c>
      <c r="E4183" s="2" t="s">
        <v>16</v>
      </c>
      <c r="F4183" s="2" t="n">
        <v>322</v>
      </c>
      <c r="G4183" s="2" t="n">
        <v>24</v>
      </c>
    </row>
    <row r="4184" customFormat="false" ht="16.5" hidden="false" customHeight="true" outlineLevel="0" collapsed="false">
      <c r="A4184" s="2" t="s">
        <v>447</v>
      </c>
      <c r="B4184" s="2" t="s">
        <v>472</v>
      </c>
      <c r="C4184" s="2" t="n">
        <v>3</v>
      </c>
      <c r="D4184" s="2" t="s">
        <v>609</v>
      </c>
      <c r="E4184" s="2" t="s">
        <v>17</v>
      </c>
      <c r="F4184" s="2" t="n">
        <v>322</v>
      </c>
      <c r="G4184" s="2" t="n">
        <v>28</v>
      </c>
    </row>
    <row r="4185" customFormat="false" ht="16.5" hidden="false" customHeight="true" outlineLevel="0" collapsed="false">
      <c r="A4185" s="2" t="s">
        <v>447</v>
      </c>
      <c r="B4185" s="2" t="s">
        <v>472</v>
      </c>
      <c r="C4185" s="2" t="n">
        <v>3</v>
      </c>
      <c r="D4185" s="2" t="s">
        <v>609</v>
      </c>
      <c r="E4185" s="2" t="s">
        <v>18</v>
      </c>
      <c r="F4185" s="2" t="n">
        <v>322</v>
      </c>
      <c r="G4185" s="2" t="n">
        <v>32</v>
      </c>
    </row>
    <row r="4186" customFormat="false" ht="16.5" hidden="false" customHeight="true" outlineLevel="0" collapsed="false">
      <c r="A4186" s="2" t="s">
        <v>447</v>
      </c>
      <c r="B4186" s="2" t="s">
        <v>472</v>
      </c>
      <c r="C4186" s="2" t="n">
        <v>3</v>
      </c>
      <c r="D4186" s="2" t="s">
        <v>609</v>
      </c>
      <c r="E4186" s="2" t="s">
        <v>19</v>
      </c>
      <c r="F4186" s="2" t="n">
        <v>322</v>
      </c>
      <c r="G4186" s="2" t="n">
        <v>36</v>
      </c>
    </row>
    <row r="4187" customFormat="false" ht="16.5" hidden="false" customHeight="true" outlineLevel="0" collapsed="false">
      <c r="A4187" s="2" t="s">
        <v>447</v>
      </c>
      <c r="B4187" s="2" t="s">
        <v>472</v>
      </c>
      <c r="C4187" s="2" t="n">
        <v>3</v>
      </c>
      <c r="D4187" s="2" t="s">
        <v>609</v>
      </c>
      <c r="E4187" s="2" t="s">
        <v>20</v>
      </c>
      <c r="F4187" s="2" t="n">
        <v>322</v>
      </c>
      <c r="G4187" s="2" t="n">
        <v>40</v>
      </c>
    </row>
    <row r="4188" customFormat="false" ht="16.5" hidden="false" customHeight="true" outlineLevel="0" collapsed="false">
      <c r="A4188" s="2" t="s">
        <v>447</v>
      </c>
      <c r="B4188" s="2" t="s">
        <v>472</v>
      </c>
      <c r="C4188" s="2" t="n">
        <v>3</v>
      </c>
      <c r="D4188" s="2" t="s">
        <v>609</v>
      </c>
      <c r="E4188" s="2" t="s">
        <v>21</v>
      </c>
      <c r="F4188" s="2" t="n">
        <v>322</v>
      </c>
      <c r="G4188" s="2" t="n">
        <v>44</v>
      </c>
    </row>
    <row r="4189" customFormat="false" ht="16.5" hidden="false" customHeight="true" outlineLevel="0" collapsed="false">
      <c r="A4189" s="2" t="s">
        <v>447</v>
      </c>
      <c r="B4189" s="2" t="s">
        <v>472</v>
      </c>
      <c r="C4189" s="2" t="n">
        <v>3</v>
      </c>
      <c r="D4189" s="2" t="s">
        <v>609</v>
      </c>
      <c r="E4189" s="2" t="s">
        <v>22</v>
      </c>
      <c r="F4189" s="2" t="n">
        <v>322</v>
      </c>
      <c r="G4189" s="2" t="n">
        <v>48</v>
      </c>
    </row>
    <row r="4190" customFormat="false" ht="16.5" hidden="false" customHeight="true" outlineLevel="0" collapsed="false">
      <c r="A4190" s="2" t="s">
        <v>447</v>
      </c>
      <c r="B4190" s="2" t="s">
        <v>472</v>
      </c>
      <c r="C4190" s="2" t="n">
        <v>3</v>
      </c>
      <c r="D4190" s="2" t="s">
        <v>609</v>
      </c>
      <c r="E4190" s="2" t="s">
        <v>23</v>
      </c>
      <c r="F4190" s="2" t="n">
        <v>322</v>
      </c>
      <c r="G4190" s="2" t="n">
        <v>52</v>
      </c>
    </row>
    <row r="4191" customFormat="false" ht="16.5" hidden="false" customHeight="true" outlineLevel="0" collapsed="false">
      <c r="A4191" s="2" t="s">
        <v>447</v>
      </c>
      <c r="B4191" s="2" t="s">
        <v>472</v>
      </c>
      <c r="C4191" s="2" t="n">
        <v>3</v>
      </c>
      <c r="D4191" s="2" t="s">
        <v>609</v>
      </c>
      <c r="E4191" s="2" t="s">
        <v>24</v>
      </c>
      <c r="F4191" s="2" t="n">
        <v>324</v>
      </c>
      <c r="G4191" s="2" t="n">
        <v>9</v>
      </c>
    </row>
    <row r="4192" customFormat="false" ht="16.5" hidden="false" customHeight="true" outlineLevel="0" collapsed="false">
      <c r="A4192" s="2" t="s">
        <v>447</v>
      </c>
      <c r="B4192" s="2" t="s">
        <v>472</v>
      </c>
      <c r="C4192" s="2" t="n">
        <v>3</v>
      </c>
      <c r="D4192" s="2" t="s">
        <v>609</v>
      </c>
      <c r="E4192" s="2" t="s">
        <v>25</v>
      </c>
      <c r="F4192" s="2" t="n">
        <v>324</v>
      </c>
      <c r="G4192" s="2" t="n">
        <v>13</v>
      </c>
    </row>
    <row r="4193" customFormat="false" ht="16.5" hidden="false" customHeight="true" outlineLevel="0" collapsed="false">
      <c r="A4193" s="2" t="s">
        <v>447</v>
      </c>
      <c r="B4193" s="2" t="s">
        <v>472</v>
      </c>
      <c r="C4193" s="2" t="n">
        <v>3</v>
      </c>
      <c r="D4193" s="2" t="s">
        <v>609</v>
      </c>
      <c r="E4193" s="2" t="s">
        <v>26</v>
      </c>
      <c r="F4193" s="2" t="n">
        <v>324</v>
      </c>
      <c r="G4193" s="2" t="n">
        <v>17</v>
      </c>
    </row>
    <row r="4194" customFormat="false" ht="16.5" hidden="false" customHeight="true" outlineLevel="0" collapsed="false">
      <c r="A4194" s="2" t="s">
        <v>447</v>
      </c>
      <c r="B4194" s="2" t="s">
        <v>472</v>
      </c>
      <c r="C4194" s="2" t="n">
        <v>3</v>
      </c>
      <c r="D4194" s="2" t="s">
        <v>609</v>
      </c>
      <c r="E4194" s="2" t="s">
        <v>27</v>
      </c>
      <c r="F4194" s="2" t="n">
        <v>324</v>
      </c>
      <c r="G4194" s="2" t="n">
        <v>21</v>
      </c>
    </row>
    <row r="4195" customFormat="false" ht="16.5" hidden="false" customHeight="true" outlineLevel="0" collapsed="false">
      <c r="A4195" s="2" t="s">
        <v>447</v>
      </c>
      <c r="B4195" s="2" t="s">
        <v>472</v>
      </c>
      <c r="C4195" s="2" t="n">
        <v>3</v>
      </c>
      <c r="D4195" s="2" t="s">
        <v>609</v>
      </c>
      <c r="E4195" s="2" t="s">
        <v>28</v>
      </c>
      <c r="F4195" s="2" t="n">
        <v>324</v>
      </c>
      <c r="G4195" s="2" t="n">
        <v>25</v>
      </c>
    </row>
    <row r="4196" customFormat="false" ht="16.5" hidden="false" customHeight="true" outlineLevel="0" collapsed="false">
      <c r="A4196" s="2" t="s">
        <v>447</v>
      </c>
      <c r="B4196" s="2" t="s">
        <v>472</v>
      </c>
      <c r="C4196" s="2" t="n">
        <v>3</v>
      </c>
      <c r="D4196" s="2" t="s">
        <v>609</v>
      </c>
      <c r="E4196" s="2" t="s">
        <v>29</v>
      </c>
      <c r="F4196" s="2" t="n">
        <v>324</v>
      </c>
      <c r="G4196" s="2" t="n">
        <v>29</v>
      </c>
    </row>
    <row r="4197" customFormat="false" ht="16.5" hidden="false" customHeight="true" outlineLevel="0" collapsed="false">
      <c r="A4197" s="2" t="s">
        <v>447</v>
      </c>
      <c r="B4197" s="2" t="s">
        <v>472</v>
      </c>
      <c r="C4197" s="2" t="n">
        <v>3</v>
      </c>
      <c r="D4197" s="2" t="s">
        <v>609</v>
      </c>
      <c r="E4197" s="2" t="s">
        <v>30</v>
      </c>
      <c r="F4197" s="2" t="n">
        <v>324</v>
      </c>
      <c r="G4197" s="2" t="n">
        <v>33</v>
      </c>
    </row>
    <row r="4198" customFormat="false" ht="16.5" hidden="false" customHeight="true" outlineLevel="0" collapsed="false">
      <c r="A4198" s="2" t="s">
        <v>447</v>
      </c>
      <c r="B4198" s="2" t="s">
        <v>472</v>
      </c>
      <c r="C4198" s="2" t="n">
        <v>3</v>
      </c>
      <c r="D4198" s="2" t="s">
        <v>609</v>
      </c>
      <c r="E4198" s="2" t="s">
        <v>31</v>
      </c>
      <c r="F4198" s="2" t="n">
        <v>324</v>
      </c>
      <c r="G4198" s="2" t="n">
        <v>37</v>
      </c>
    </row>
    <row r="4199" customFormat="false" ht="16.5" hidden="false" customHeight="true" outlineLevel="0" collapsed="false">
      <c r="A4199" s="2" t="s">
        <v>447</v>
      </c>
      <c r="B4199" s="2" t="s">
        <v>472</v>
      </c>
      <c r="C4199" s="2" t="n">
        <v>3</v>
      </c>
      <c r="D4199" s="2" t="s">
        <v>609</v>
      </c>
      <c r="E4199" s="2" t="s">
        <v>32</v>
      </c>
      <c r="F4199" s="2" t="n">
        <v>324</v>
      </c>
      <c r="G4199" s="2" t="n">
        <v>41</v>
      </c>
    </row>
    <row r="4200" customFormat="false" ht="16.5" hidden="false" customHeight="true" outlineLevel="0" collapsed="false">
      <c r="A4200" s="2" t="s">
        <v>447</v>
      </c>
      <c r="B4200" s="2" t="s">
        <v>472</v>
      </c>
      <c r="C4200" s="2" t="n">
        <v>3</v>
      </c>
      <c r="D4200" s="2" t="s">
        <v>609</v>
      </c>
      <c r="E4200" s="2" t="s">
        <v>33</v>
      </c>
      <c r="F4200" s="2" t="n">
        <v>324</v>
      </c>
      <c r="G4200" s="2" t="n">
        <v>45</v>
      </c>
    </row>
    <row r="4201" customFormat="false" ht="16.5" hidden="false" customHeight="true" outlineLevel="0" collapsed="false">
      <c r="A4201" s="2" t="s">
        <v>447</v>
      </c>
      <c r="B4201" s="2" t="s">
        <v>472</v>
      </c>
      <c r="C4201" s="2" t="n">
        <v>3</v>
      </c>
      <c r="D4201" s="2" t="s">
        <v>609</v>
      </c>
      <c r="E4201" s="2" t="s">
        <v>34</v>
      </c>
      <c r="F4201" s="2" t="n">
        <v>324</v>
      </c>
      <c r="G4201" s="2" t="n">
        <v>49</v>
      </c>
    </row>
    <row r="4202" customFormat="false" ht="16.5" hidden="false" customHeight="true" outlineLevel="0" collapsed="false">
      <c r="A4202" s="2" t="s">
        <v>447</v>
      </c>
      <c r="B4202" s="2" t="s">
        <v>472</v>
      </c>
      <c r="C4202" s="2" t="n">
        <v>3</v>
      </c>
      <c r="D4202" s="2" t="s">
        <v>609</v>
      </c>
      <c r="E4202" s="2" t="s">
        <v>35</v>
      </c>
      <c r="F4202" s="2" t="n">
        <v>326</v>
      </c>
      <c r="G4202" s="2" t="n">
        <v>11</v>
      </c>
    </row>
    <row r="4203" customFormat="false" ht="16.5" hidden="false" customHeight="true" outlineLevel="0" collapsed="false">
      <c r="A4203" s="2" t="s">
        <v>447</v>
      </c>
      <c r="B4203" s="2" t="s">
        <v>472</v>
      </c>
      <c r="C4203" s="2" t="n">
        <v>3</v>
      </c>
      <c r="D4203" s="2" t="s">
        <v>609</v>
      </c>
      <c r="E4203" s="2" t="s">
        <v>36</v>
      </c>
      <c r="F4203" s="2" t="n">
        <v>326</v>
      </c>
      <c r="G4203" s="2" t="n">
        <v>15</v>
      </c>
    </row>
    <row r="4204" customFormat="false" ht="16.5" hidden="false" customHeight="true" outlineLevel="0" collapsed="false">
      <c r="A4204" s="2" t="s">
        <v>447</v>
      </c>
      <c r="B4204" s="2" t="s">
        <v>472</v>
      </c>
      <c r="C4204" s="2" t="n">
        <v>3</v>
      </c>
      <c r="D4204" s="2" t="s">
        <v>609</v>
      </c>
      <c r="E4204" s="2" t="s">
        <v>37</v>
      </c>
      <c r="F4204" s="2" t="n">
        <v>326</v>
      </c>
      <c r="G4204" s="2" t="n">
        <v>19</v>
      </c>
    </row>
    <row r="4205" customFormat="false" ht="16.5" hidden="false" customHeight="true" outlineLevel="0" collapsed="false">
      <c r="A4205" s="2" t="s">
        <v>447</v>
      </c>
      <c r="B4205" s="2" t="s">
        <v>472</v>
      </c>
      <c r="C4205" s="2" t="n">
        <v>3</v>
      </c>
      <c r="D4205" s="2" t="s">
        <v>609</v>
      </c>
      <c r="E4205" s="2" t="s">
        <v>38</v>
      </c>
      <c r="F4205" s="2" t="n">
        <v>326</v>
      </c>
      <c r="G4205" s="2" t="n">
        <v>23</v>
      </c>
    </row>
    <row r="4206" customFormat="false" ht="16.5" hidden="false" customHeight="true" outlineLevel="0" collapsed="false">
      <c r="A4206" s="2" t="s">
        <v>447</v>
      </c>
      <c r="B4206" s="2" t="s">
        <v>472</v>
      </c>
      <c r="C4206" s="2" t="n">
        <v>3</v>
      </c>
      <c r="D4206" s="2" t="s">
        <v>609</v>
      </c>
      <c r="E4206" s="2" t="s">
        <v>39</v>
      </c>
      <c r="F4206" s="2" t="n">
        <v>326</v>
      </c>
      <c r="G4206" s="2" t="n">
        <v>27</v>
      </c>
    </row>
    <row r="4207" customFormat="false" ht="16.5" hidden="false" customHeight="true" outlineLevel="0" collapsed="false">
      <c r="A4207" s="2" t="s">
        <v>447</v>
      </c>
      <c r="B4207" s="2" t="s">
        <v>472</v>
      </c>
      <c r="C4207" s="2" t="n">
        <v>3</v>
      </c>
      <c r="D4207" s="2" t="s">
        <v>609</v>
      </c>
      <c r="E4207" s="2" t="s">
        <v>40</v>
      </c>
      <c r="F4207" s="2" t="n">
        <v>326</v>
      </c>
      <c r="G4207" s="2" t="n">
        <v>31</v>
      </c>
    </row>
    <row r="4208" customFormat="false" ht="16.5" hidden="false" customHeight="true" outlineLevel="0" collapsed="false">
      <c r="A4208" s="2" t="s">
        <v>447</v>
      </c>
      <c r="B4208" s="2" t="s">
        <v>472</v>
      </c>
      <c r="C4208" s="2" t="n">
        <v>3</v>
      </c>
      <c r="D4208" s="2" t="s">
        <v>609</v>
      </c>
      <c r="E4208" s="2" t="s">
        <v>41</v>
      </c>
      <c r="F4208" s="2" t="n">
        <v>326</v>
      </c>
      <c r="G4208" s="2" t="n">
        <v>35</v>
      </c>
    </row>
    <row r="4209" customFormat="false" ht="16.5" hidden="false" customHeight="true" outlineLevel="0" collapsed="false">
      <c r="A4209" s="2" t="s">
        <v>447</v>
      </c>
      <c r="B4209" s="2" t="s">
        <v>472</v>
      </c>
      <c r="C4209" s="2" t="n">
        <v>3</v>
      </c>
      <c r="D4209" s="2" t="s">
        <v>609</v>
      </c>
      <c r="E4209" s="2" t="s">
        <v>42</v>
      </c>
      <c r="F4209" s="2" t="n">
        <v>326</v>
      </c>
      <c r="G4209" s="2" t="n">
        <v>39</v>
      </c>
    </row>
    <row r="4210" customFormat="false" ht="16.5" hidden="false" customHeight="true" outlineLevel="0" collapsed="false">
      <c r="A4210" s="2" t="s">
        <v>447</v>
      </c>
      <c r="B4210" s="2" t="s">
        <v>472</v>
      </c>
      <c r="C4210" s="2" t="n">
        <v>3</v>
      </c>
      <c r="D4210" s="2" t="s">
        <v>609</v>
      </c>
      <c r="E4210" s="2" t="s">
        <v>43</v>
      </c>
      <c r="F4210" s="2" t="n">
        <v>326</v>
      </c>
      <c r="G4210" s="2" t="n">
        <v>43</v>
      </c>
    </row>
    <row r="4211" customFormat="false" ht="16.5" hidden="false" customHeight="true" outlineLevel="0" collapsed="false">
      <c r="A4211" s="2" t="s">
        <v>447</v>
      </c>
      <c r="B4211" s="2" t="s">
        <v>472</v>
      </c>
      <c r="C4211" s="2" t="n">
        <v>3</v>
      </c>
      <c r="D4211" s="2" t="s">
        <v>609</v>
      </c>
      <c r="E4211" s="2" t="s">
        <v>44</v>
      </c>
      <c r="F4211" s="2" t="n">
        <v>326</v>
      </c>
      <c r="G4211" s="2" t="n">
        <v>47</v>
      </c>
    </row>
    <row r="4212" customFormat="false" ht="16.5" hidden="false" customHeight="true" outlineLevel="0" collapsed="false">
      <c r="A4212" s="2" t="s">
        <v>447</v>
      </c>
      <c r="B4212" s="2" t="s">
        <v>472</v>
      </c>
      <c r="C4212" s="2" t="n">
        <v>3</v>
      </c>
      <c r="D4212" s="2" t="s">
        <v>609</v>
      </c>
      <c r="E4212" s="2" t="s">
        <v>48</v>
      </c>
      <c r="F4212" s="2" t="n">
        <v>328</v>
      </c>
      <c r="G4212" s="2" t="n">
        <v>16</v>
      </c>
    </row>
    <row r="4213" customFormat="false" ht="16.5" hidden="false" customHeight="true" outlineLevel="0" collapsed="false">
      <c r="A4213" s="2" t="s">
        <v>447</v>
      </c>
      <c r="B4213" s="2" t="s">
        <v>472</v>
      </c>
      <c r="C4213" s="2" t="n">
        <v>3</v>
      </c>
      <c r="D4213" s="2" t="s">
        <v>609</v>
      </c>
      <c r="E4213" s="2" t="s">
        <v>50</v>
      </c>
      <c r="F4213" s="2" t="n">
        <v>328</v>
      </c>
      <c r="G4213" s="2" t="n">
        <v>20</v>
      </c>
    </row>
    <row r="4214" customFormat="false" ht="16.5" hidden="false" customHeight="true" outlineLevel="0" collapsed="false">
      <c r="A4214" s="2" t="s">
        <v>447</v>
      </c>
      <c r="B4214" s="2" t="s">
        <v>472</v>
      </c>
      <c r="C4214" s="2" t="n">
        <v>3</v>
      </c>
      <c r="D4214" s="2" t="s">
        <v>609</v>
      </c>
      <c r="E4214" s="2" t="s">
        <v>45</v>
      </c>
      <c r="F4214" s="2" t="n">
        <v>328</v>
      </c>
      <c r="G4214" s="2" t="n">
        <v>38</v>
      </c>
    </row>
    <row r="4215" customFormat="false" ht="16.5" hidden="false" customHeight="true" outlineLevel="0" collapsed="false">
      <c r="A4215" s="2" t="s">
        <v>447</v>
      </c>
      <c r="B4215" s="2" t="s">
        <v>472</v>
      </c>
      <c r="C4215" s="2" t="n">
        <v>3</v>
      </c>
      <c r="D4215" s="2" t="s">
        <v>609</v>
      </c>
      <c r="E4215" s="2" t="s">
        <v>46</v>
      </c>
      <c r="F4215" s="2" t="n">
        <v>328</v>
      </c>
      <c r="G4215" s="2" t="n">
        <v>42</v>
      </c>
    </row>
    <row r="4216" customFormat="false" ht="16.5" hidden="false" customHeight="true" outlineLevel="0" collapsed="false">
      <c r="A4216" s="2" t="s">
        <v>447</v>
      </c>
      <c r="B4216" s="2" t="s">
        <v>473</v>
      </c>
      <c r="C4216" s="2" t="n">
        <v>3</v>
      </c>
      <c r="D4216" s="2" t="s">
        <v>610</v>
      </c>
      <c r="E4216" s="2" t="s">
        <v>0</v>
      </c>
      <c r="F4216" s="2" t="n">
        <v>333</v>
      </c>
      <c r="G4216" s="2" t="n">
        <v>6</v>
      </c>
    </row>
    <row r="4217" customFormat="false" ht="16.5" hidden="false" customHeight="true" outlineLevel="0" collapsed="false">
      <c r="A4217" s="2" t="s">
        <v>447</v>
      </c>
      <c r="B4217" s="2" t="s">
        <v>473</v>
      </c>
      <c r="C4217" s="2" t="n">
        <v>3</v>
      </c>
      <c r="D4217" s="2" t="s">
        <v>610</v>
      </c>
      <c r="E4217" s="2" t="s">
        <v>1</v>
      </c>
      <c r="F4217" s="2" t="n">
        <v>333</v>
      </c>
      <c r="G4217" s="2" t="n">
        <v>10</v>
      </c>
    </row>
    <row r="4218" customFormat="false" ht="16.5" hidden="false" customHeight="true" outlineLevel="0" collapsed="false">
      <c r="A4218" s="2" t="s">
        <v>447</v>
      </c>
      <c r="B4218" s="2" t="s">
        <v>473</v>
      </c>
      <c r="C4218" s="2" t="n">
        <v>3</v>
      </c>
      <c r="D4218" s="2" t="s">
        <v>610</v>
      </c>
      <c r="E4218" s="2" t="s">
        <v>2</v>
      </c>
      <c r="F4218" s="2" t="n">
        <v>333</v>
      </c>
      <c r="G4218" s="2" t="n">
        <v>14</v>
      </c>
    </row>
    <row r="4219" customFormat="false" ht="16.5" hidden="false" customHeight="true" outlineLevel="0" collapsed="false">
      <c r="A4219" s="2" t="s">
        <v>447</v>
      </c>
      <c r="B4219" s="2" t="s">
        <v>473</v>
      </c>
      <c r="C4219" s="2" t="n">
        <v>3</v>
      </c>
      <c r="D4219" s="2" t="s">
        <v>610</v>
      </c>
      <c r="E4219" s="2" t="s">
        <v>3</v>
      </c>
      <c r="F4219" s="2" t="n">
        <v>333</v>
      </c>
      <c r="G4219" s="2" t="n">
        <v>18</v>
      </c>
    </row>
    <row r="4220" customFormat="false" ht="16.5" hidden="false" customHeight="true" outlineLevel="0" collapsed="false">
      <c r="A4220" s="2" t="s">
        <v>447</v>
      </c>
      <c r="B4220" s="2" t="s">
        <v>473</v>
      </c>
      <c r="C4220" s="2" t="n">
        <v>3</v>
      </c>
      <c r="D4220" s="2" t="s">
        <v>610</v>
      </c>
      <c r="E4220" s="2" t="s">
        <v>4</v>
      </c>
      <c r="F4220" s="2" t="n">
        <v>333</v>
      </c>
      <c r="G4220" s="2" t="n">
        <v>22</v>
      </c>
    </row>
    <row r="4221" customFormat="false" ht="16.5" hidden="false" customHeight="true" outlineLevel="0" collapsed="false">
      <c r="A4221" s="2" t="s">
        <v>447</v>
      </c>
      <c r="B4221" s="2" t="s">
        <v>473</v>
      </c>
      <c r="C4221" s="2" t="n">
        <v>3</v>
      </c>
      <c r="D4221" s="2" t="s">
        <v>610</v>
      </c>
      <c r="E4221" s="2" t="s">
        <v>5</v>
      </c>
      <c r="F4221" s="2" t="n">
        <v>333</v>
      </c>
      <c r="G4221" s="2" t="n">
        <v>26</v>
      </c>
    </row>
    <row r="4222" customFormat="false" ht="16.5" hidden="false" customHeight="true" outlineLevel="0" collapsed="false">
      <c r="A4222" s="2" t="s">
        <v>447</v>
      </c>
      <c r="B4222" s="2" t="s">
        <v>473</v>
      </c>
      <c r="C4222" s="2" t="n">
        <v>3</v>
      </c>
      <c r="D4222" s="2" t="s">
        <v>610</v>
      </c>
      <c r="E4222" s="2" t="s">
        <v>6</v>
      </c>
      <c r="F4222" s="2" t="n">
        <v>333</v>
      </c>
      <c r="G4222" s="2" t="n">
        <v>30</v>
      </c>
    </row>
    <row r="4223" customFormat="false" ht="16.5" hidden="false" customHeight="true" outlineLevel="0" collapsed="false">
      <c r="A4223" s="2" t="s">
        <v>447</v>
      </c>
      <c r="B4223" s="2" t="s">
        <v>473</v>
      </c>
      <c r="C4223" s="2" t="n">
        <v>3</v>
      </c>
      <c r="D4223" s="2" t="s">
        <v>610</v>
      </c>
      <c r="E4223" s="2" t="s">
        <v>7</v>
      </c>
      <c r="F4223" s="2" t="n">
        <v>333</v>
      </c>
      <c r="G4223" s="2" t="n">
        <v>34</v>
      </c>
    </row>
    <row r="4224" customFormat="false" ht="16.5" hidden="false" customHeight="true" outlineLevel="0" collapsed="false">
      <c r="A4224" s="2" t="s">
        <v>447</v>
      </c>
      <c r="B4224" s="2" t="s">
        <v>473</v>
      </c>
      <c r="C4224" s="2" t="n">
        <v>3</v>
      </c>
      <c r="D4224" s="2" t="s">
        <v>610</v>
      </c>
      <c r="E4224" s="2" t="s">
        <v>8</v>
      </c>
      <c r="F4224" s="2" t="n">
        <v>333</v>
      </c>
      <c r="G4224" s="2" t="n">
        <v>38</v>
      </c>
    </row>
    <row r="4225" customFormat="false" ht="16.5" hidden="false" customHeight="true" outlineLevel="0" collapsed="false">
      <c r="A4225" s="2" t="s">
        <v>447</v>
      </c>
      <c r="B4225" s="2" t="s">
        <v>473</v>
      </c>
      <c r="C4225" s="2" t="n">
        <v>3</v>
      </c>
      <c r="D4225" s="2" t="s">
        <v>610</v>
      </c>
      <c r="E4225" s="2" t="s">
        <v>9</v>
      </c>
      <c r="F4225" s="2" t="n">
        <v>333</v>
      </c>
      <c r="G4225" s="2" t="n">
        <v>42</v>
      </c>
    </row>
    <row r="4226" customFormat="false" ht="16.5" hidden="false" customHeight="true" outlineLevel="0" collapsed="false">
      <c r="A4226" s="2" t="s">
        <v>447</v>
      </c>
      <c r="B4226" s="2" t="s">
        <v>473</v>
      </c>
      <c r="C4226" s="2" t="n">
        <v>3</v>
      </c>
      <c r="D4226" s="2" t="s">
        <v>610</v>
      </c>
      <c r="E4226" s="2" t="s">
        <v>10</v>
      </c>
      <c r="F4226" s="2" t="n">
        <v>333</v>
      </c>
      <c r="G4226" s="2" t="n">
        <v>46</v>
      </c>
    </row>
    <row r="4227" customFormat="false" ht="16.5" hidden="false" customHeight="true" outlineLevel="0" collapsed="false">
      <c r="A4227" s="2" t="s">
        <v>447</v>
      </c>
      <c r="B4227" s="2" t="s">
        <v>473</v>
      </c>
      <c r="C4227" s="2" t="n">
        <v>3</v>
      </c>
      <c r="D4227" s="2" t="s">
        <v>610</v>
      </c>
      <c r="E4227" s="2" t="s">
        <v>11</v>
      </c>
      <c r="F4227" s="2" t="n">
        <v>333</v>
      </c>
      <c r="G4227" s="2" t="n">
        <v>50</v>
      </c>
    </row>
    <row r="4228" customFormat="false" ht="16.5" hidden="false" customHeight="true" outlineLevel="0" collapsed="false">
      <c r="A4228" s="2" t="s">
        <v>447</v>
      </c>
      <c r="B4228" s="2" t="s">
        <v>473</v>
      </c>
      <c r="C4228" s="2" t="n">
        <v>3</v>
      </c>
      <c r="D4228" s="2" t="s">
        <v>610</v>
      </c>
      <c r="E4228" s="2" t="s">
        <v>12</v>
      </c>
      <c r="F4228" s="2" t="n">
        <v>335</v>
      </c>
      <c r="G4228" s="2" t="n">
        <v>8</v>
      </c>
    </row>
    <row r="4229" customFormat="false" ht="16.5" hidden="false" customHeight="true" outlineLevel="0" collapsed="false">
      <c r="A4229" s="2" t="s">
        <v>447</v>
      </c>
      <c r="B4229" s="2" t="s">
        <v>473</v>
      </c>
      <c r="C4229" s="2" t="n">
        <v>3</v>
      </c>
      <c r="D4229" s="2" t="s">
        <v>610</v>
      </c>
      <c r="E4229" s="2" t="s">
        <v>13</v>
      </c>
      <c r="F4229" s="2" t="n">
        <v>335</v>
      </c>
      <c r="G4229" s="2" t="n">
        <v>12</v>
      </c>
    </row>
    <row r="4230" customFormat="false" ht="16.5" hidden="false" customHeight="true" outlineLevel="0" collapsed="false">
      <c r="A4230" s="2" t="s">
        <v>447</v>
      </c>
      <c r="B4230" s="2" t="s">
        <v>473</v>
      </c>
      <c r="C4230" s="2" t="n">
        <v>3</v>
      </c>
      <c r="D4230" s="2" t="s">
        <v>610</v>
      </c>
      <c r="E4230" s="2" t="s">
        <v>14</v>
      </c>
      <c r="F4230" s="2" t="n">
        <v>335</v>
      </c>
      <c r="G4230" s="2" t="n">
        <v>16</v>
      </c>
    </row>
    <row r="4231" customFormat="false" ht="16.5" hidden="false" customHeight="true" outlineLevel="0" collapsed="false">
      <c r="A4231" s="2" t="s">
        <v>447</v>
      </c>
      <c r="B4231" s="2" t="s">
        <v>473</v>
      </c>
      <c r="C4231" s="2" t="n">
        <v>3</v>
      </c>
      <c r="D4231" s="2" t="s">
        <v>610</v>
      </c>
      <c r="E4231" s="2" t="s">
        <v>15</v>
      </c>
      <c r="F4231" s="2" t="n">
        <v>335</v>
      </c>
      <c r="G4231" s="2" t="n">
        <v>20</v>
      </c>
    </row>
    <row r="4232" customFormat="false" ht="16.5" hidden="false" customHeight="true" outlineLevel="0" collapsed="false">
      <c r="A4232" s="2" t="s">
        <v>447</v>
      </c>
      <c r="B4232" s="2" t="s">
        <v>473</v>
      </c>
      <c r="C4232" s="2" t="n">
        <v>3</v>
      </c>
      <c r="D4232" s="2" t="s">
        <v>610</v>
      </c>
      <c r="E4232" s="2" t="s">
        <v>16</v>
      </c>
      <c r="F4232" s="2" t="n">
        <v>335</v>
      </c>
      <c r="G4232" s="2" t="n">
        <v>24</v>
      </c>
    </row>
    <row r="4233" customFormat="false" ht="16.5" hidden="false" customHeight="true" outlineLevel="0" collapsed="false">
      <c r="A4233" s="2" t="s">
        <v>447</v>
      </c>
      <c r="B4233" s="2" t="s">
        <v>473</v>
      </c>
      <c r="C4233" s="2" t="n">
        <v>3</v>
      </c>
      <c r="D4233" s="2" t="s">
        <v>610</v>
      </c>
      <c r="E4233" s="2" t="s">
        <v>17</v>
      </c>
      <c r="F4233" s="2" t="n">
        <v>335</v>
      </c>
      <c r="G4233" s="2" t="n">
        <v>28</v>
      </c>
    </row>
    <row r="4234" customFormat="false" ht="16.5" hidden="false" customHeight="true" outlineLevel="0" collapsed="false">
      <c r="A4234" s="2" t="s">
        <v>447</v>
      </c>
      <c r="B4234" s="2" t="s">
        <v>473</v>
      </c>
      <c r="C4234" s="2" t="n">
        <v>3</v>
      </c>
      <c r="D4234" s="2" t="s">
        <v>610</v>
      </c>
      <c r="E4234" s="2" t="s">
        <v>18</v>
      </c>
      <c r="F4234" s="2" t="n">
        <v>335</v>
      </c>
      <c r="G4234" s="2" t="n">
        <v>32</v>
      </c>
    </row>
    <row r="4235" customFormat="false" ht="16.5" hidden="false" customHeight="true" outlineLevel="0" collapsed="false">
      <c r="A4235" s="2" t="s">
        <v>447</v>
      </c>
      <c r="B4235" s="2" t="s">
        <v>473</v>
      </c>
      <c r="C4235" s="2" t="n">
        <v>3</v>
      </c>
      <c r="D4235" s="2" t="s">
        <v>610</v>
      </c>
      <c r="E4235" s="2" t="s">
        <v>19</v>
      </c>
      <c r="F4235" s="2" t="n">
        <v>335</v>
      </c>
      <c r="G4235" s="2" t="n">
        <v>36</v>
      </c>
    </row>
    <row r="4236" customFormat="false" ht="16.5" hidden="false" customHeight="true" outlineLevel="0" collapsed="false">
      <c r="A4236" s="2" t="s">
        <v>447</v>
      </c>
      <c r="B4236" s="2" t="s">
        <v>473</v>
      </c>
      <c r="C4236" s="2" t="n">
        <v>3</v>
      </c>
      <c r="D4236" s="2" t="s">
        <v>610</v>
      </c>
      <c r="E4236" s="2" t="s">
        <v>20</v>
      </c>
      <c r="F4236" s="2" t="n">
        <v>335</v>
      </c>
      <c r="G4236" s="2" t="n">
        <v>40</v>
      </c>
    </row>
    <row r="4237" customFormat="false" ht="16.5" hidden="false" customHeight="true" outlineLevel="0" collapsed="false">
      <c r="A4237" s="2" t="s">
        <v>447</v>
      </c>
      <c r="B4237" s="2" t="s">
        <v>473</v>
      </c>
      <c r="C4237" s="2" t="n">
        <v>3</v>
      </c>
      <c r="D4237" s="2" t="s">
        <v>610</v>
      </c>
      <c r="E4237" s="2" t="s">
        <v>21</v>
      </c>
      <c r="F4237" s="2" t="n">
        <v>335</v>
      </c>
      <c r="G4237" s="2" t="n">
        <v>44</v>
      </c>
    </row>
    <row r="4238" customFormat="false" ht="16.5" hidden="false" customHeight="true" outlineLevel="0" collapsed="false">
      <c r="A4238" s="2" t="s">
        <v>447</v>
      </c>
      <c r="B4238" s="2" t="s">
        <v>473</v>
      </c>
      <c r="C4238" s="2" t="n">
        <v>3</v>
      </c>
      <c r="D4238" s="2" t="s">
        <v>610</v>
      </c>
      <c r="E4238" s="2" t="s">
        <v>22</v>
      </c>
      <c r="F4238" s="2" t="n">
        <v>335</v>
      </c>
      <c r="G4238" s="2" t="n">
        <v>48</v>
      </c>
    </row>
    <row r="4239" customFormat="false" ht="16.5" hidden="false" customHeight="true" outlineLevel="0" collapsed="false">
      <c r="A4239" s="2" t="s">
        <v>447</v>
      </c>
      <c r="B4239" s="2" t="s">
        <v>473</v>
      </c>
      <c r="C4239" s="2" t="n">
        <v>3</v>
      </c>
      <c r="D4239" s="2" t="s">
        <v>610</v>
      </c>
      <c r="E4239" s="2" t="s">
        <v>23</v>
      </c>
      <c r="F4239" s="2" t="n">
        <v>335</v>
      </c>
      <c r="G4239" s="2" t="n">
        <v>52</v>
      </c>
    </row>
    <row r="4240" customFormat="false" ht="16.5" hidden="false" customHeight="true" outlineLevel="0" collapsed="false">
      <c r="A4240" s="2" t="s">
        <v>447</v>
      </c>
      <c r="B4240" s="2" t="s">
        <v>473</v>
      </c>
      <c r="C4240" s="2" t="n">
        <v>3</v>
      </c>
      <c r="D4240" s="2" t="s">
        <v>610</v>
      </c>
      <c r="E4240" s="2" t="s">
        <v>24</v>
      </c>
      <c r="F4240" s="2" t="n">
        <v>337</v>
      </c>
      <c r="G4240" s="2" t="n">
        <v>9</v>
      </c>
    </row>
    <row r="4241" customFormat="false" ht="16.5" hidden="false" customHeight="true" outlineLevel="0" collapsed="false">
      <c r="A4241" s="2" t="s">
        <v>447</v>
      </c>
      <c r="B4241" s="2" t="s">
        <v>473</v>
      </c>
      <c r="C4241" s="2" t="n">
        <v>3</v>
      </c>
      <c r="D4241" s="2" t="s">
        <v>610</v>
      </c>
      <c r="E4241" s="2" t="s">
        <v>25</v>
      </c>
      <c r="F4241" s="2" t="n">
        <v>337</v>
      </c>
      <c r="G4241" s="2" t="n">
        <v>13</v>
      </c>
    </row>
    <row r="4242" customFormat="false" ht="16.5" hidden="false" customHeight="true" outlineLevel="0" collapsed="false">
      <c r="A4242" s="2" t="s">
        <v>447</v>
      </c>
      <c r="B4242" s="2" t="s">
        <v>473</v>
      </c>
      <c r="C4242" s="2" t="n">
        <v>3</v>
      </c>
      <c r="D4242" s="2" t="s">
        <v>610</v>
      </c>
      <c r="E4242" s="2" t="s">
        <v>26</v>
      </c>
      <c r="F4242" s="2" t="n">
        <v>337</v>
      </c>
      <c r="G4242" s="2" t="n">
        <v>17</v>
      </c>
    </row>
    <row r="4243" customFormat="false" ht="16.5" hidden="false" customHeight="true" outlineLevel="0" collapsed="false">
      <c r="A4243" s="2" t="s">
        <v>447</v>
      </c>
      <c r="B4243" s="2" t="s">
        <v>473</v>
      </c>
      <c r="C4243" s="2" t="n">
        <v>3</v>
      </c>
      <c r="D4243" s="2" t="s">
        <v>610</v>
      </c>
      <c r="E4243" s="2" t="s">
        <v>27</v>
      </c>
      <c r="F4243" s="2" t="n">
        <v>337</v>
      </c>
      <c r="G4243" s="2" t="n">
        <v>21</v>
      </c>
    </row>
    <row r="4244" customFormat="false" ht="16.5" hidden="false" customHeight="true" outlineLevel="0" collapsed="false">
      <c r="A4244" s="2" t="s">
        <v>447</v>
      </c>
      <c r="B4244" s="2" t="s">
        <v>473</v>
      </c>
      <c r="C4244" s="2" t="n">
        <v>3</v>
      </c>
      <c r="D4244" s="2" t="s">
        <v>610</v>
      </c>
      <c r="E4244" s="2" t="s">
        <v>28</v>
      </c>
      <c r="F4244" s="2" t="n">
        <v>337</v>
      </c>
      <c r="G4244" s="2" t="n">
        <v>25</v>
      </c>
    </row>
    <row r="4245" customFormat="false" ht="16.5" hidden="false" customHeight="true" outlineLevel="0" collapsed="false">
      <c r="A4245" s="2" t="s">
        <v>447</v>
      </c>
      <c r="B4245" s="2" t="s">
        <v>473</v>
      </c>
      <c r="C4245" s="2" t="n">
        <v>3</v>
      </c>
      <c r="D4245" s="2" t="s">
        <v>610</v>
      </c>
      <c r="E4245" s="2" t="s">
        <v>29</v>
      </c>
      <c r="F4245" s="2" t="n">
        <v>337</v>
      </c>
      <c r="G4245" s="2" t="n">
        <v>29</v>
      </c>
    </row>
    <row r="4246" customFormat="false" ht="16.5" hidden="false" customHeight="true" outlineLevel="0" collapsed="false">
      <c r="A4246" s="2" t="s">
        <v>447</v>
      </c>
      <c r="B4246" s="2" t="s">
        <v>473</v>
      </c>
      <c r="C4246" s="2" t="n">
        <v>3</v>
      </c>
      <c r="D4246" s="2" t="s">
        <v>610</v>
      </c>
      <c r="E4246" s="2" t="s">
        <v>30</v>
      </c>
      <c r="F4246" s="2" t="n">
        <v>337</v>
      </c>
      <c r="G4246" s="2" t="n">
        <v>33</v>
      </c>
    </row>
    <row r="4247" customFormat="false" ht="16.5" hidden="false" customHeight="true" outlineLevel="0" collapsed="false">
      <c r="A4247" s="2" t="s">
        <v>447</v>
      </c>
      <c r="B4247" s="2" t="s">
        <v>473</v>
      </c>
      <c r="C4247" s="2" t="n">
        <v>3</v>
      </c>
      <c r="D4247" s="2" t="s">
        <v>610</v>
      </c>
      <c r="E4247" s="2" t="s">
        <v>31</v>
      </c>
      <c r="F4247" s="2" t="n">
        <v>337</v>
      </c>
      <c r="G4247" s="2" t="n">
        <v>37</v>
      </c>
    </row>
    <row r="4248" customFormat="false" ht="16.5" hidden="false" customHeight="true" outlineLevel="0" collapsed="false">
      <c r="A4248" s="2" t="s">
        <v>447</v>
      </c>
      <c r="B4248" s="2" t="s">
        <v>473</v>
      </c>
      <c r="C4248" s="2" t="n">
        <v>3</v>
      </c>
      <c r="D4248" s="2" t="s">
        <v>610</v>
      </c>
      <c r="E4248" s="2" t="s">
        <v>32</v>
      </c>
      <c r="F4248" s="2" t="n">
        <v>337</v>
      </c>
      <c r="G4248" s="2" t="n">
        <v>41</v>
      </c>
    </row>
    <row r="4249" customFormat="false" ht="16.5" hidden="false" customHeight="true" outlineLevel="0" collapsed="false">
      <c r="A4249" s="2" t="s">
        <v>447</v>
      </c>
      <c r="B4249" s="2" t="s">
        <v>473</v>
      </c>
      <c r="C4249" s="2" t="n">
        <v>3</v>
      </c>
      <c r="D4249" s="2" t="s">
        <v>610</v>
      </c>
      <c r="E4249" s="2" t="s">
        <v>33</v>
      </c>
      <c r="F4249" s="2" t="n">
        <v>337</v>
      </c>
      <c r="G4249" s="2" t="n">
        <v>45</v>
      </c>
    </row>
    <row r="4250" customFormat="false" ht="16.5" hidden="false" customHeight="true" outlineLevel="0" collapsed="false">
      <c r="A4250" s="2" t="s">
        <v>447</v>
      </c>
      <c r="B4250" s="2" t="s">
        <v>473</v>
      </c>
      <c r="C4250" s="2" t="n">
        <v>3</v>
      </c>
      <c r="D4250" s="2" t="s">
        <v>610</v>
      </c>
      <c r="E4250" s="2" t="s">
        <v>34</v>
      </c>
      <c r="F4250" s="2" t="n">
        <v>337</v>
      </c>
      <c r="G4250" s="2" t="n">
        <v>49</v>
      </c>
    </row>
    <row r="4251" customFormat="false" ht="16.5" hidden="false" customHeight="true" outlineLevel="0" collapsed="false">
      <c r="A4251" s="2" t="s">
        <v>447</v>
      </c>
      <c r="B4251" s="2" t="s">
        <v>473</v>
      </c>
      <c r="C4251" s="2" t="n">
        <v>3</v>
      </c>
      <c r="D4251" s="2" t="s">
        <v>610</v>
      </c>
      <c r="E4251" s="2" t="s">
        <v>35</v>
      </c>
      <c r="F4251" s="2" t="n">
        <v>339</v>
      </c>
      <c r="G4251" s="2" t="n">
        <v>11</v>
      </c>
    </row>
    <row r="4252" customFormat="false" ht="16.5" hidden="false" customHeight="true" outlineLevel="0" collapsed="false">
      <c r="A4252" s="2" t="s">
        <v>447</v>
      </c>
      <c r="B4252" s="2" t="s">
        <v>473</v>
      </c>
      <c r="C4252" s="2" t="n">
        <v>3</v>
      </c>
      <c r="D4252" s="2" t="s">
        <v>610</v>
      </c>
      <c r="E4252" s="2" t="s">
        <v>36</v>
      </c>
      <c r="F4252" s="2" t="n">
        <v>339</v>
      </c>
      <c r="G4252" s="2" t="n">
        <v>15</v>
      </c>
    </row>
    <row r="4253" customFormat="false" ht="16.5" hidden="false" customHeight="true" outlineLevel="0" collapsed="false">
      <c r="A4253" s="2" t="s">
        <v>447</v>
      </c>
      <c r="B4253" s="2" t="s">
        <v>473</v>
      </c>
      <c r="C4253" s="2" t="n">
        <v>3</v>
      </c>
      <c r="D4253" s="2" t="s">
        <v>610</v>
      </c>
      <c r="E4253" s="2" t="s">
        <v>37</v>
      </c>
      <c r="F4253" s="2" t="n">
        <v>339</v>
      </c>
      <c r="G4253" s="2" t="n">
        <v>19</v>
      </c>
    </row>
    <row r="4254" customFormat="false" ht="16.5" hidden="false" customHeight="true" outlineLevel="0" collapsed="false">
      <c r="A4254" s="2" t="s">
        <v>447</v>
      </c>
      <c r="B4254" s="2" t="s">
        <v>473</v>
      </c>
      <c r="C4254" s="2" t="n">
        <v>3</v>
      </c>
      <c r="D4254" s="2" t="s">
        <v>610</v>
      </c>
      <c r="E4254" s="2" t="s">
        <v>38</v>
      </c>
      <c r="F4254" s="2" t="n">
        <v>339</v>
      </c>
      <c r="G4254" s="2" t="n">
        <v>23</v>
      </c>
    </row>
    <row r="4255" customFormat="false" ht="16.5" hidden="false" customHeight="true" outlineLevel="0" collapsed="false">
      <c r="A4255" s="2" t="s">
        <v>447</v>
      </c>
      <c r="B4255" s="2" t="s">
        <v>473</v>
      </c>
      <c r="C4255" s="2" t="n">
        <v>3</v>
      </c>
      <c r="D4255" s="2" t="s">
        <v>610</v>
      </c>
      <c r="E4255" s="2" t="s">
        <v>39</v>
      </c>
      <c r="F4255" s="2" t="n">
        <v>339</v>
      </c>
      <c r="G4255" s="2" t="n">
        <v>27</v>
      </c>
    </row>
    <row r="4256" customFormat="false" ht="16.5" hidden="false" customHeight="true" outlineLevel="0" collapsed="false">
      <c r="A4256" s="2" t="s">
        <v>447</v>
      </c>
      <c r="B4256" s="2" t="s">
        <v>473</v>
      </c>
      <c r="C4256" s="2" t="n">
        <v>3</v>
      </c>
      <c r="D4256" s="2" t="s">
        <v>610</v>
      </c>
      <c r="E4256" s="2" t="s">
        <v>40</v>
      </c>
      <c r="F4256" s="2" t="n">
        <v>339</v>
      </c>
      <c r="G4256" s="2" t="n">
        <v>31</v>
      </c>
    </row>
    <row r="4257" customFormat="false" ht="16.5" hidden="false" customHeight="true" outlineLevel="0" collapsed="false">
      <c r="A4257" s="2" t="s">
        <v>447</v>
      </c>
      <c r="B4257" s="2" t="s">
        <v>473</v>
      </c>
      <c r="C4257" s="2" t="n">
        <v>3</v>
      </c>
      <c r="D4257" s="2" t="s">
        <v>610</v>
      </c>
      <c r="E4257" s="2" t="s">
        <v>41</v>
      </c>
      <c r="F4257" s="2" t="n">
        <v>339</v>
      </c>
      <c r="G4257" s="2" t="n">
        <v>35</v>
      </c>
    </row>
    <row r="4258" customFormat="false" ht="16.5" hidden="false" customHeight="true" outlineLevel="0" collapsed="false">
      <c r="A4258" s="2" t="s">
        <v>447</v>
      </c>
      <c r="B4258" s="2" t="s">
        <v>473</v>
      </c>
      <c r="C4258" s="2" t="n">
        <v>3</v>
      </c>
      <c r="D4258" s="2" t="s">
        <v>610</v>
      </c>
      <c r="E4258" s="2" t="s">
        <v>42</v>
      </c>
      <c r="F4258" s="2" t="n">
        <v>339</v>
      </c>
      <c r="G4258" s="2" t="n">
        <v>39</v>
      </c>
    </row>
    <row r="4259" customFormat="false" ht="16.5" hidden="false" customHeight="true" outlineLevel="0" collapsed="false">
      <c r="A4259" s="2" t="s">
        <v>447</v>
      </c>
      <c r="B4259" s="2" t="s">
        <v>473</v>
      </c>
      <c r="C4259" s="2" t="n">
        <v>3</v>
      </c>
      <c r="D4259" s="2" t="s">
        <v>610</v>
      </c>
      <c r="E4259" s="2" t="s">
        <v>43</v>
      </c>
      <c r="F4259" s="2" t="n">
        <v>339</v>
      </c>
      <c r="G4259" s="2" t="n">
        <v>43</v>
      </c>
    </row>
    <row r="4260" customFormat="false" ht="16.5" hidden="false" customHeight="true" outlineLevel="0" collapsed="false">
      <c r="A4260" s="2" t="s">
        <v>447</v>
      </c>
      <c r="B4260" s="2" t="s">
        <v>473</v>
      </c>
      <c r="C4260" s="2" t="n">
        <v>3</v>
      </c>
      <c r="D4260" s="2" t="s">
        <v>610</v>
      </c>
      <c r="E4260" s="2" t="s">
        <v>44</v>
      </c>
      <c r="F4260" s="2" t="n">
        <v>339</v>
      </c>
      <c r="G4260" s="2" t="n">
        <v>47</v>
      </c>
    </row>
    <row r="4261" customFormat="false" ht="16.5" hidden="false" customHeight="true" outlineLevel="0" collapsed="false">
      <c r="A4261" s="2" t="s">
        <v>447</v>
      </c>
      <c r="B4261" s="2" t="s">
        <v>473</v>
      </c>
      <c r="C4261" s="2" t="n">
        <v>3</v>
      </c>
      <c r="D4261" s="2" t="s">
        <v>610</v>
      </c>
      <c r="E4261" s="2" t="s">
        <v>48</v>
      </c>
      <c r="F4261" s="2" t="n">
        <v>341</v>
      </c>
      <c r="G4261" s="2" t="n">
        <v>16</v>
      </c>
    </row>
    <row r="4262" customFormat="false" ht="16.5" hidden="false" customHeight="true" outlineLevel="0" collapsed="false">
      <c r="A4262" s="2" t="s">
        <v>447</v>
      </c>
      <c r="B4262" s="2" t="s">
        <v>473</v>
      </c>
      <c r="C4262" s="2" t="n">
        <v>3</v>
      </c>
      <c r="D4262" s="2" t="s">
        <v>610</v>
      </c>
      <c r="E4262" s="2" t="s">
        <v>50</v>
      </c>
      <c r="F4262" s="2" t="n">
        <v>341</v>
      </c>
      <c r="G4262" s="2" t="n">
        <v>20</v>
      </c>
    </row>
    <row r="4263" customFormat="false" ht="16.5" hidden="false" customHeight="true" outlineLevel="0" collapsed="false">
      <c r="A4263" s="2" t="s">
        <v>447</v>
      </c>
      <c r="B4263" s="2" t="s">
        <v>473</v>
      </c>
      <c r="C4263" s="2" t="n">
        <v>3</v>
      </c>
      <c r="D4263" s="2" t="s">
        <v>610</v>
      </c>
      <c r="E4263" s="2" t="s">
        <v>45</v>
      </c>
      <c r="F4263" s="2" t="n">
        <v>341</v>
      </c>
      <c r="G4263" s="2" t="n">
        <v>38</v>
      </c>
    </row>
    <row r="4264" customFormat="false" ht="16.5" hidden="false" customHeight="true" outlineLevel="0" collapsed="false">
      <c r="A4264" s="2" t="s">
        <v>447</v>
      </c>
      <c r="B4264" s="2" t="s">
        <v>473</v>
      </c>
      <c r="C4264" s="2" t="n">
        <v>3</v>
      </c>
      <c r="D4264" s="2" t="s">
        <v>610</v>
      </c>
      <c r="E4264" s="2" t="s">
        <v>46</v>
      </c>
      <c r="F4264" s="2" t="n">
        <v>341</v>
      </c>
      <c r="G4264" s="2" t="n">
        <v>42</v>
      </c>
    </row>
    <row r="4265" customFormat="false" ht="16.5" hidden="false" customHeight="true" outlineLevel="0" collapsed="false">
      <c r="A4265" s="2" t="s">
        <v>447</v>
      </c>
      <c r="B4265" s="2" t="s">
        <v>474</v>
      </c>
      <c r="C4265" s="2" t="n">
        <v>3</v>
      </c>
      <c r="D4265" s="2" t="s">
        <v>611</v>
      </c>
      <c r="E4265" s="2" t="s">
        <v>0</v>
      </c>
      <c r="F4265" s="2" t="n">
        <v>346</v>
      </c>
      <c r="G4265" s="2" t="n">
        <v>6</v>
      </c>
    </row>
    <row r="4266" customFormat="false" ht="16.5" hidden="false" customHeight="true" outlineLevel="0" collapsed="false">
      <c r="A4266" s="2" t="s">
        <v>447</v>
      </c>
      <c r="B4266" s="2" t="s">
        <v>474</v>
      </c>
      <c r="C4266" s="2" t="n">
        <v>3</v>
      </c>
      <c r="D4266" s="2" t="s">
        <v>611</v>
      </c>
      <c r="E4266" s="2" t="s">
        <v>1</v>
      </c>
      <c r="F4266" s="2" t="n">
        <v>346</v>
      </c>
      <c r="G4266" s="2" t="n">
        <v>10</v>
      </c>
    </row>
    <row r="4267" customFormat="false" ht="16.5" hidden="false" customHeight="true" outlineLevel="0" collapsed="false">
      <c r="A4267" s="2" t="s">
        <v>447</v>
      </c>
      <c r="B4267" s="2" t="s">
        <v>474</v>
      </c>
      <c r="C4267" s="2" t="n">
        <v>3</v>
      </c>
      <c r="D4267" s="2" t="s">
        <v>611</v>
      </c>
      <c r="E4267" s="2" t="s">
        <v>2</v>
      </c>
      <c r="F4267" s="2" t="n">
        <v>346</v>
      </c>
      <c r="G4267" s="2" t="n">
        <v>14</v>
      </c>
    </row>
    <row r="4268" customFormat="false" ht="16.5" hidden="false" customHeight="true" outlineLevel="0" collapsed="false">
      <c r="A4268" s="2" t="s">
        <v>447</v>
      </c>
      <c r="B4268" s="2" t="s">
        <v>474</v>
      </c>
      <c r="C4268" s="2" t="n">
        <v>3</v>
      </c>
      <c r="D4268" s="2" t="s">
        <v>611</v>
      </c>
      <c r="E4268" s="2" t="s">
        <v>3</v>
      </c>
      <c r="F4268" s="2" t="n">
        <v>346</v>
      </c>
      <c r="G4268" s="2" t="n">
        <v>18</v>
      </c>
    </row>
    <row r="4269" customFormat="false" ht="16.5" hidden="false" customHeight="true" outlineLevel="0" collapsed="false">
      <c r="A4269" s="2" t="s">
        <v>447</v>
      </c>
      <c r="B4269" s="2" t="s">
        <v>474</v>
      </c>
      <c r="C4269" s="2" t="n">
        <v>3</v>
      </c>
      <c r="D4269" s="2" t="s">
        <v>611</v>
      </c>
      <c r="E4269" s="2" t="s">
        <v>4</v>
      </c>
      <c r="F4269" s="2" t="n">
        <v>346</v>
      </c>
      <c r="G4269" s="2" t="n">
        <v>22</v>
      </c>
    </row>
    <row r="4270" customFormat="false" ht="16.5" hidden="false" customHeight="true" outlineLevel="0" collapsed="false">
      <c r="A4270" s="2" t="s">
        <v>447</v>
      </c>
      <c r="B4270" s="2" t="s">
        <v>474</v>
      </c>
      <c r="C4270" s="2" t="n">
        <v>3</v>
      </c>
      <c r="D4270" s="2" t="s">
        <v>611</v>
      </c>
      <c r="E4270" s="2" t="s">
        <v>5</v>
      </c>
      <c r="F4270" s="2" t="n">
        <v>346</v>
      </c>
      <c r="G4270" s="2" t="n">
        <v>26</v>
      </c>
    </row>
    <row r="4271" customFormat="false" ht="16.5" hidden="false" customHeight="true" outlineLevel="0" collapsed="false">
      <c r="A4271" s="2" t="s">
        <v>447</v>
      </c>
      <c r="B4271" s="2" t="s">
        <v>474</v>
      </c>
      <c r="C4271" s="2" t="n">
        <v>3</v>
      </c>
      <c r="D4271" s="2" t="s">
        <v>611</v>
      </c>
      <c r="E4271" s="2" t="s">
        <v>6</v>
      </c>
      <c r="F4271" s="2" t="n">
        <v>346</v>
      </c>
      <c r="G4271" s="2" t="n">
        <v>30</v>
      </c>
    </row>
    <row r="4272" customFormat="false" ht="16.5" hidden="false" customHeight="true" outlineLevel="0" collapsed="false">
      <c r="A4272" s="2" t="s">
        <v>447</v>
      </c>
      <c r="B4272" s="2" t="s">
        <v>474</v>
      </c>
      <c r="C4272" s="2" t="n">
        <v>3</v>
      </c>
      <c r="D4272" s="2" t="s">
        <v>611</v>
      </c>
      <c r="E4272" s="2" t="s">
        <v>7</v>
      </c>
      <c r="F4272" s="2" t="n">
        <v>346</v>
      </c>
      <c r="G4272" s="2" t="n">
        <v>34</v>
      </c>
    </row>
    <row r="4273" customFormat="false" ht="16.5" hidden="false" customHeight="true" outlineLevel="0" collapsed="false">
      <c r="A4273" s="2" t="s">
        <v>447</v>
      </c>
      <c r="B4273" s="2" t="s">
        <v>474</v>
      </c>
      <c r="C4273" s="2" t="n">
        <v>3</v>
      </c>
      <c r="D4273" s="2" t="s">
        <v>611</v>
      </c>
      <c r="E4273" s="2" t="s">
        <v>8</v>
      </c>
      <c r="F4273" s="2" t="n">
        <v>346</v>
      </c>
      <c r="G4273" s="2" t="n">
        <v>38</v>
      </c>
    </row>
    <row r="4274" customFormat="false" ht="16.5" hidden="false" customHeight="true" outlineLevel="0" collapsed="false">
      <c r="A4274" s="2" t="s">
        <v>447</v>
      </c>
      <c r="B4274" s="2" t="s">
        <v>474</v>
      </c>
      <c r="C4274" s="2" t="n">
        <v>3</v>
      </c>
      <c r="D4274" s="2" t="s">
        <v>611</v>
      </c>
      <c r="E4274" s="2" t="s">
        <v>9</v>
      </c>
      <c r="F4274" s="2" t="n">
        <v>346</v>
      </c>
      <c r="G4274" s="2" t="n">
        <v>42</v>
      </c>
    </row>
    <row r="4275" customFormat="false" ht="16.5" hidden="false" customHeight="true" outlineLevel="0" collapsed="false">
      <c r="A4275" s="2" t="s">
        <v>447</v>
      </c>
      <c r="B4275" s="2" t="s">
        <v>474</v>
      </c>
      <c r="C4275" s="2" t="n">
        <v>3</v>
      </c>
      <c r="D4275" s="2" t="s">
        <v>611</v>
      </c>
      <c r="E4275" s="2" t="s">
        <v>10</v>
      </c>
      <c r="F4275" s="2" t="n">
        <v>346</v>
      </c>
      <c r="G4275" s="2" t="n">
        <v>46</v>
      </c>
    </row>
    <row r="4276" customFormat="false" ht="16.5" hidden="false" customHeight="true" outlineLevel="0" collapsed="false">
      <c r="A4276" s="2" t="s">
        <v>447</v>
      </c>
      <c r="B4276" s="2" t="s">
        <v>474</v>
      </c>
      <c r="C4276" s="2" t="n">
        <v>3</v>
      </c>
      <c r="D4276" s="2" t="s">
        <v>611</v>
      </c>
      <c r="E4276" s="2" t="s">
        <v>11</v>
      </c>
      <c r="F4276" s="2" t="n">
        <v>346</v>
      </c>
      <c r="G4276" s="2" t="n">
        <v>50</v>
      </c>
    </row>
    <row r="4277" customFormat="false" ht="16.5" hidden="false" customHeight="true" outlineLevel="0" collapsed="false">
      <c r="A4277" s="2" t="s">
        <v>447</v>
      </c>
      <c r="B4277" s="2" t="s">
        <v>474</v>
      </c>
      <c r="C4277" s="2" t="n">
        <v>3</v>
      </c>
      <c r="D4277" s="2" t="s">
        <v>611</v>
      </c>
      <c r="E4277" s="2" t="s">
        <v>12</v>
      </c>
      <c r="F4277" s="2" t="n">
        <v>348</v>
      </c>
      <c r="G4277" s="2" t="n">
        <v>8</v>
      </c>
    </row>
    <row r="4278" customFormat="false" ht="16.5" hidden="false" customHeight="true" outlineLevel="0" collapsed="false">
      <c r="A4278" s="2" t="s">
        <v>447</v>
      </c>
      <c r="B4278" s="2" t="s">
        <v>474</v>
      </c>
      <c r="C4278" s="2" t="n">
        <v>3</v>
      </c>
      <c r="D4278" s="2" t="s">
        <v>611</v>
      </c>
      <c r="E4278" s="2" t="s">
        <v>13</v>
      </c>
      <c r="F4278" s="2" t="n">
        <v>348</v>
      </c>
      <c r="G4278" s="2" t="n">
        <v>12</v>
      </c>
    </row>
    <row r="4279" customFormat="false" ht="16.5" hidden="false" customHeight="true" outlineLevel="0" collapsed="false">
      <c r="A4279" s="2" t="s">
        <v>447</v>
      </c>
      <c r="B4279" s="2" t="s">
        <v>474</v>
      </c>
      <c r="C4279" s="2" t="n">
        <v>3</v>
      </c>
      <c r="D4279" s="2" t="s">
        <v>611</v>
      </c>
      <c r="E4279" s="2" t="s">
        <v>14</v>
      </c>
      <c r="F4279" s="2" t="n">
        <v>348</v>
      </c>
      <c r="G4279" s="2" t="n">
        <v>16</v>
      </c>
    </row>
    <row r="4280" customFormat="false" ht="16.5" hidden="false" customHeight="true" outlineLevel="0" collapsed="false">
      <c r="A4280" s="2" t="s">
        <v>447</v>
      </c>
      <c r="B4280" s="2" t="s">
        <v>474</v>
      </c>
      <c r="C4280" s="2" t="n">
        <v>3</v>
      </c>
      <c r="D4280" s="2" t="s">
        <v>611</v>
      </c>
      <c r="E4280" s="2" t="s">
        <v>15</v>
      </c>
      <c r="F4280" s="2" t="n">
        <v>348</v>
      </c>
      <c r="G4280" s="2" t="n">
        <v>20</v>
      </c>
    </row>
    <row r="4281" customFormat="false" ht="16.5" hidden="false" customHeight="true" outlineLevel="0" collapsed="false">
      <c r="A4281" s="2" t="s">
        <v>447</v>
      </c>
      <c r="B4281" s="2" t="s">
        <v>474</v>
      </c>
      <c r="C4281" s="2" t="n">
        <v>3</v>
      </c>
      <c r="D4281" s="2" t="s">
        <v>611</v>
      </c>
      <c r="E4281" s="2" t="s">
        <v>16</v>
      </c>
      <c r="F4281" s="2" t="n">
        <v>348</v>
      </c>
      <c r="G4281" s="2" t="n">
        <v>24</v>
      </c>
    </row>
    <row r="4282" customFormat="false" ht="16.5" hidden="false" customHeight="true" outlineLevel="0" collapsed="false">
      <c r="A4282" s="2" t="s">
        <v>447</v>
      </c>
      <c r="B4282" s="2" t="s">
        <v>474</v>
      </c>
      <c r="C4282" s="2" t="n">
        <v>3</v>
      </c>
      <c r="D4282" s="2" t="s">
        <v>611</v>
      </c>
      <c r="E4282" s="2" t="s">
        <v>17</v>
      </c>
      <c r="F4282" s="2" t="n">
        <v>348</v>
      </c>
      <c r="G4282" s="2" t="n">
        <v>28</v>
      </c>
    </row>
    <row r="4283" customFormat="false" ht="16.5" hidden="false" customHeight="true" outlineLevel="0" collapsed="false">
      <c r="A4283" s="2" t="s">
        <v>447</v>
      </c>
      <c r="B4283" s="2" t="s">
        <v>474</v>
      </c>
      <c r="C4283" s="2" t="n">
        <v>3</v>
      </c>
      <c r="D4283" s="2" t="s">
        <v>611</v>
      </c>
      <c r="E4283" s="2" t="s">
        <v>18</v>
      </c>
      <c r="F4283" s="2" t="n">
        <v>348</v>
      </c>
      <c r="G4283" s="2" t="n">
        <v>32</v>
      </c>
    </row>
    <row r="4284" customFormat="false" ht="16.5" hidden="false" customHeight="true" outlineLevel="0" collapsed="false">
      <c r="A4284" s="2" t="s">
        <v>447</v>
      </c>
      <c r="B4284" s="2" t="s">
        <v>474</v>
      </c>
      <c r="C4284" s="2" t="n">
        <v>3</v>
      </c>
      <c r="D4284" s="2" t="s">
        <v>611</v>
      </c>
      <c r="E4284" s="2" t="s">
        <v>19</v>
      </c>
      <c r="F4284" s="2" t="n">
        <v>348</v>
      </c>
      <c r="G4284" s="2" t="n">
        <v>36</v>
      </c>
    </row>
    <row r="4285" customFormat="false" ht="16.5" hidden="false" customHeight="true" outlineLevel="0" collapsed="false">
      <c r="A4285" s="2" t="s">
        <v>447</v>
      </c>
      <c r="B4285" s="2" t="s">
        <v>474</v>
      </c>
      <c r="C4285" s="2" t="n">
        <v>3</v>
      </c>
      <c r="D4285" s="2" t="s">
        <v>611</v>
      </c>
      <c r="E4285" s="2" t="s">
        <v>20</v>
      </c>
      <c r="F4285" s="2" t="n">
        <v>348</v>
      </c>
      <c r="G4285" s="2" t="n">
        <v>40</v>
      </c>
    </row>
    <row r="4286" customFormat="false" ht="16.5" hidden="false" customHeight="true" outlineLevel="0" collapsed="false">
      <c r="A4286" s="2" t="s">
        <v>447</v>
      </c>
      <c r="B4286" s="2" t="s">
        <v>474</v>
      </c>
      <c r="C4286" s="2" t="n">
        <v>3</v>
      </c>
      <c r="D4286" s="2" t="s">
        <v>611</v>
      </c>
      <c r="E4286" s="2" t="s">
        <v>21</v>
      </c>
      <c r="F4286" s="2" t="n">
        <v>348</v>
      </c>
      <c r="G4286" s="2" t="n">
        <v>44</v>
      </c>
    </row>
    <row r="4287" customFormat="false" ht="16.5" hidden="false" customHeight="true" outlineLevel="0" collapsed="false">
      <c r="A4287" s="2" t="s">
        <v>447</v>
      </c>
      <c r="B4287" s="2" t="s">
        <v>474</v>
      </c>
      <c r="C4287" s="2" t="n">
        <v>3</v>
      </c>
      <c r="D4287" s="2" t="s">
        <v>611</v>
      </c>
      <c r="E4287" s="2" t="s">
        <v>22</v>
      </c>
      <c r="F4287" s="2" t="n">
        <v>348</v>
      </c>
      <c r="G4287" s="2" t="n">
        <v>48</v>
      </c>
    </row>
    <row r="4288" customFormat="false" ht="16.5" hidden="false" customHeight="true" outlineLevel="0" collapsed="false">
      <c r="A4288" s="2" t="s">
        <v>447</v>
      </c>
      <c r="B4288" s="2" t="s">
        <v>474</v>
      </c>
      <c r="C4288" s="2" t="n">
        <v>3</v>
      </c>
      <c r="D4288" s="2" t="s">
        <v>611</v>
      </c>
      <c r="E4288" s="2" t="s">
        <v>23</v>
      </c>
      <c r="F4288" s="2" t="n">
        <v>348</v>
      </c>
      <c r="G4288" s="2" t="n">
        <v>52</v>
      </c>
    </row>
    <row r="4289" customFormat="false" ht="16.5" hidden="false" customHeight="true" outlineLevel="0" collapsed="false">
      <c r="A4289" s="2" t="s">
        <v>447</v>
      </c>
      <c r="B4289" s="2" t="s">
        <v>474</v>
      </c>
      <c r="C4289" s="2" t="n">
        <v>3</v>
      </c>
      <c r="D4289" s="2" t="s">
        <v>611</v>
      </c>
      <c r="E4289" s="2" t="s">
        <v>24</v>
      </c>
      <c r="F4289" s="2" t="n">
        <v>350</v>
      </c>
      <c r="G4289" s="2" t="n">
        <v>9</v>
      </c>
    </row>
    <row r="4290" customFormat="false" ht="16.5" hidden="false" customHeight="true" outlineLevel="0" collapsed="false">
      <c r="A4290" s="2" t="s">
        <v>447</v>
      </c>
      <c r="B4290" s="2" t="s">
        <v>474</v>
      </c>
      <c r="C4290" s="2" t="n">
        <v>3</v>
      </c>
      <c r="D4290" s="2" t="s">
        <v>611</v>
      </c>
      <c r="E4290" s="2" t="s">
        <v>25</v>
      </c>
      <c r="F4290" s="2" t="n">
        <v>350</v>
      </c>
      <c r="G4290" s="2" t="n">
        <v>13</v>
      </c>
    </row>
    <row r="4291" customFormat="false" ht="16.5" hidden="false" customHeight="true" outlineLevel="0" collapsed="false">
      <c r="A4291" s="2" t="s">
        <v>447</v>
      </c>
      <c r="B4291" s="2" t="s">
        <v>474</v>
      </c>
      <c r="C4291" s="2" t="n">
        <v>3</v>
      </c>
      <c r="D4291" s="2" t="s">
        <v>611</v>
      </c>
      <c r="E4291" s="2" t="s">
        <v>26</v>
      </c>
      <c r="F4291" s="2" t="n">
        <v>350</v>
      </c>
      <c r="G4291" s="2" t="n">
        <v>17</v>
      </c>
    </row>
    <row r="4292" customFormat="false" ht="16.5" hidden="false" customHeight="true" outlineLevel="0" collapsed="false">
      <c r="A4292" s="2" t="s">
        <v>447</v>
      </c>
      <c r="B4292" s="2" t="s">
        <v>474</v>
      </c>
      <c r="C4292" s="2" t="n">
        <v>3</v>
      </c>
      <c r="D4292" s="2" t="s">
        <v>611</v>
      </c>
      <c r="E4292" s="2" t="s">
        <v>27</v>
      </c>
      <c r="F4292" s="2" t="n">
        <v>350</v>
      </c>
      <c r="G4292" s="2" t="n">
        <v>21</v>
      </c>
    </row>
    <row r="4293" customFormat="false" ht="16.5" hidden="false" customHeight="true" outlineLevel="0" collapsed="false">
      <c r="A4293" s="2" t="s">
        <v>447</v>
      </c>
      <c r="B4293" s="2" t="s">
        <v>474</v>
      </c>
      <c r="C4293" s="2" t="n">
        <v>3</v>
      </c>
      <c r="D4293" s="2" t="s">
        <v>611</v>
      </c>
      <c r="E4293" s="2" t="s">
        <v>28</v>
      </c>
      <c r="F4293" s="2" t="n">
        <v>350</v>
      </c>
      <c r="G4293" s="2" t="n">
        <v>25</v>
      </c>
    </row>
    <row r="4294" customFormat="false" ht="16.5" hidden="false" customHeight="true" outlineLevel="0" collapsed="false">
      <c r="A4294" s="2" t="s">
        <v>447</v>
      </c>
      <c r="B4294" s="2" t="s">
        <v>474</v>
      </c>
      <c r="C4294" s="2" t="n">
        <v>3</v>
      </c>
      <c r="D4294" s="2" t="s">
        <v>611</v>
      </c>
      <c r="E4294" s="2" t="s">
        <v>29</v>
      </c>
      <c r="F4294" s="2" t="n">
        <v>350</v>
      </c>
      <c r="G4294" s="2" t="n">
        <v>29</v>
      </c>
    </row>
    <row r="4295" customFormat="false" ht="16.5" hidden="false" customHeight="true" outlineLevel="0" collapsed="false">
      <c r="A4295" s="2" t="s">
        <v>447</v>
      </c>
      <c r="B4295" s="2" t="s">
        <v>474</v>
      </c>
      <c r="C4295" s="2" t="n">
        <v>3</v>
      </c>
      <c r="D4295" s="2" t="s">
        <v>611</v>
      </c>
      <c r="E4295" s="2" t="s">
        <v>30</v>
      </c>
      <c r="F4295" s="2" t="n">
        <v>350</v>
      </c>
      <c r="G4295" s="2" t="n">
        <v>33</v>
      </c>
    </row>
    <row r="4296" customFormat="false" ht="16.5" hidden="false" customHeight="true" outlineLevel="0" collapsed="false">
      <c r="A4296" s="2" t="s">
        <v>447</v>
      </c>
      <c r="B4296" s="2" t="s">
        <v>474</v>
      </c>
      <c r="C4296" s="2" t="n">
        <v>3</v>
      </c>
      <c r="D4296" s="2" t="s">
        <v>611</v>
      </c>
      <c r="E4296" s="2" t="s">
        <v>31</v>
      </c>
      <c r="F4296" s="2" t="n">
        <v>350</v>
      </c>
      <c r="G4296" s="2" t="n">
        <v>37</v>
      </c>
    </row>
    <row r="4297" customFormat="false" ht="16.5" hidden="false" customHeight="true" outlineLevel="0" collapsed="false">
      <c r="A4297" s="2" t="s">
        <v>447</v>
      </c>
      <c r="B4297" s="2" t="s">
        <v>474</v>
      </c>
      <c r="C4297" s="2" t="n">
        <v>3</v>
      </c>
      <c r="D4297" s="2" t="s">
        <v>611</v>
      </c>
      <c r="E4297" s="2" t="s">
        <v>32</v>
      </c>
      <c r="F4297" s="2" t="n">
        <v>350</v>
      </c>
      <c r="G4297" s="2" t="n">
        <v>41</v>
      </c>
    </row>
    <row r="4298" customFormat="false" ht="16.5" hidden="false" customHeight="true" outlineLevel="0" collapsed="false">
      <c r="A4298" s="2" t="s">
        <v>447</v>
      </c>
      <c r="B4298" s="2" t="s">
        <v>474</v>
      </c>
      <c r="C4298" s="2" t="n">
        <v>3</v>
      </c>
      <c r="D4298" s="2" t="s">
        <v>611</v>
      </c>
      <c r="E4298" s="2" t="s">
        <v>33</v>
      </c>
      <c r="F4298" s="2" t="n">
        <v>350</v>
      </c>
      <c r="G4298" s="2" t="n">
        <v>45</v>
      </c>
    </row>
    <row r="4299" customFormat="false" ht="16.5" hidden="false" customHeight="true" outlineLevel="0" collapsed="false">
      <c r="A4299" s="2" t="s">
        <v>447</v>
      </c>
      <c r="B4299" s="2" t="s">
        <v>474</v>
      </c>
      <c r="C4299" s="2" t="n">
        <v>3</v>
      </c>
      <c r="D4299" s="2" t="s">
        <v>611</v>
      </c>
      <c r="E4299" s="2" t="s">
        <v>34</v>
      </c>
      <c r="F4299" s="2" t="n">
        <v>350</v>
      </c>
      <c r="G4299" s="2" t="n">
        <v>49</v>
      </c>
    </row>
    <row r="4300" customFormat="false" ht="16.5" hidden="false" customHeight="true" outlineLevel="0" collapsed="false">
      <c r="A4300" s="2" t="s">
        <v>447</v>
      </c>
      <c r="B4300" s="2" t="s">
        <v>474</v>
      </c>
      <c r="C4300" s="2" t="n">
        <v>3</v>
      </c>
      <c r="D4300" s="2" t="s">
        <v>611</v>
      </c>
      <c r="E4300" s="2" t="s">
        <v>35</v>
      </c>
      <c r="F4300" s="2" t="n">
        <v>352</v>
      </c>
      <c r="G4300" s="2" t="n">
        <v>11</v>
      </c>
    </row>
    <row r="4301" customFormat="false" ht="16.5" hidden="false" customHeight="true" outlineLevel="0" collapsed="false">
      <c r="A4301" s="2" t="s">
        <v>447</v>
      </c>
      <c r="B4301" s="2" t="s">
        <v>474</v>
      </c>
      <c r="C4301" s="2" t="n">
        <v>3</v>
      </c>
      <c r="D4301" s="2" t="s">
        <v>611</v>
      </c>
      <c r="E4301" s="2" t="s">
        <v>36</v>
      </c>
      <c r="F4301" s="2" t="n">
        <v>352</v>
      </c>
      <c r="G4301" s="2" t="n">
        <v>15</v>
      </c>
    </row>
    <row r="4302" customFormat="false" ht="16.5" hidden="false" customHeight="true" outlineLevel="0" collapsed="false">
      <c r="A4302" s="2" t="s">
        <v>447</v>
      </c>
      <c r="B4302" s="2" t="s">
        <v>474</v>
      </c>
      <c r="C4302" s="2" t="n">
        <v>3</v>
      </c>
      <c r="D4302" s="2" t="s">
        <v>611</v>
      </c>
      <c r="E4302" s="2" t="s">
        <v>37</v>
      </c>
      <c r="F4302" s="2" t="n">
        <v>352</v>
      </c>
      <c r="G4302" s="2" t="n">
        <v>19</v>
      </c>
    </row>
    <row r="4303" customFormat="false" ht="16.5" hidden="false" customHeight="true" outlineLevel="0" collapsed="false">
      <c r="A4303" s="2" t="s">
        <v>447</v>
      </c>
      <c r="B4303" s="2" t="s">
        <v>474</v>
      </c>
      <c r="C4303" s="2" t="n">
        <v>3</v>
      </c>
      <c r="D4303" s="2" t="s">
        <v>611</v>
      </c>
      <c r="E4303" s="2" t="s">
        <v>38</v>
      </c>
      <c r="F4303" s="2" t="n">
        <v>352</v>
      </c>
      <c r="G4303" s="2" t="n">
        <v>23</v>
      </c>
    </row>
    <row r="4304" customFormat="false" ht="16.5" hidden="false" customHeight="true" outlineLevel="0" collapsed="false">
      <c r="A4304" s="2" t="s">
        <v>447</v>
      </c>
      <c r="B4304" s="2" t="s">
        <v>474</v>
      </c>
      <c r="C4304" s="2" t="n">
        <v>3</v>
      </c>
      <c r="D4304" s="2" t="s">
        <v>611</v>
      </c>
      <c r="E4304" s="2" t="s">
        <v>39</v>
      </c>
      <c r="F4304" s="2" t="n">
        <v>352</v>
      </c>
      <c r="G4304" s="2" t="n">
        <v>27</v>
      </c>
    </row>
    <row r="4305" customFormat="false" ht="16.5" hidden="false" customHeight="true" outlineLevel="0" collapsed="false">
      <c r="A4305" s="2" t="s">
        <v>447</v>
      </c>
      <c r="B4305" s="2" t="s">
        <v>474</v>
      </c>
      <c r="C4305" s="2" t="n">
        <v>3</v>
      </c>
      <c r="D4305" s="2" t="s">
        <v>611</v>
      </c>
      <c r="E4305" s="2" t="s">
        <v>40</v>
      </c>
      <c r="F4305" s="2" t="n">
        <v>352</v>
      </c>
      <c r="G4305" s="2" t="n">
        <v>31</v>
      </c>
    </row>
    <row r="4306" customFormat="false" ht="16.5" hidden="false" customHeight="true" outlineLevel="0" collapsed="false">
      <c r="A4306" s="2" t="s">
        <v>447</v>
      </c>
      <c r="B4306" s="2" t="s">
        <v>474</v>
      </c>
      <c r="C4306" s="2" t="n">
        <v>3</v>
      </c>
      <c r="D4306" s="2" t="s">
        <v>611</v>
      </c>
      <c r="E4306" s="2" t="s">
        <v>41</v>
      </c>
      <c r="F4306" s="2" t="n">
        <v>352</v>
      </c>
      <c r="G4306" s="2" t="n">
        <v>35</v>
      </c>
    </row>
    <row r="4307" customFormat="false" ht="16.5" hidden="false" customHeight="true" outlineLevel="0" collapsed="false">
      <c r="A4307" s="2" t="s">
        <v>447</v>
      </c>
      <c r="B4307" s="2" t="s">
        <v>474</v>
      </c>
      <c r="C4307" s="2" t="n">
        <v>3</v>
      </c>
      <c r="D4307" s="2" t="s">
        <v>611</v>
      </c>
      <c r="E4307" s="2" t="s">
        <v>42</v>
      </c>
      <c r="F4307" s="2" t="n">
        <v>352</v>
      </c>
      <c r="G4307" s="2" t="n">
        <v>39</v>
      </c>
    </row>
    <row r="4308" customFormat="false" ht="16.5" hidden="false" customHeight="true" outlineLevel="0" collapsed="false">
      <c r="A4308" s="2" t="s">
        <v>447</v>
      </c>
      <c r="B4308" s="2" t="s">
        <v>474</v>
      </c>
      <c r="C4308" s="2" t="n">
        <v>3</v>
      </c>
      <c r="D4308" s="2" t="s">
        <v>611</v>
      </c>
      <c r="E4308" s="2" t="s">
        <v>43</v>
      </c>
      <c r="F4308" s="2" t="n">
        <v>352</v>
      </c>
      <c r="G4308" s="2" t="n">
        <v>43</v>
      </c>
    </row>
    <row r="4309" customFormat="false" ht="16.5" hidden="false" customHeight="true" outlineLevel="0" collapsed="false">
      <c r="A4309" s="2" t="s">
        <v>447</v>
      </c>
      <c r="B4309" s="2" t="s">
        <v>474</v>
      </c>
      <c r="C4309" s="2" t="n">
        <v>3</v>
      </c>
      <c r="D4309" s="2" t="s">
        <v>611</v>
      </c>
      <c r="E4309" s="2" t="s">
        <v>44</v>
      </c>
      <c r="F4309" s="2" t="n">
        <v>352</v>
      </c>
      <c r="G4309" s="2" t="n">
        <v>47</v>
      </c>
    </row>
    <row r="4310" customFormat="false" ht="16.5" hidden="false" customHeight="true" outlineLevel="0" collapsed="false">
      <c r="A4310" s="2" t="s">
        <v>447</v>
      </c>
      <c r="B4310" s="2" t="s">
        <v>474</v>
      </c>
      <c r="C4310" s="2" t="n">
        <v>3</v>
      </c>
      <c r="D4310" s="2" t="s">
        <v>611</v>
      </c>
      <c r="E4310" s="2" t="s">
        <v>48</v>
      </c>
      <c r="F4310" s="2" t="n">
        <v>354</v>
      </c>
      <c r="G4310" s="2" t="n">
        <v>16</v>
      </c>
    </row>
    <row r="4311" customFormat="false" ht="16.5" hidden="false" customHeight="true" outlineLevel="0" collapsed="false">
      <c r="A4311" s="2" t="s">
        <v>447</v>
      </c>
      <c r="B4311" s="2" t="s">
        <v>474</v>
      </c>
      <c r="C4311" s="2" t="n">
        <v>3</v>
      </c>
      <c r="D4311" s="2" t="s">
        <v>611</v>
      </c>
      <c r="E4311" s="2" t="s">
        <v>50</v>
      </c>
      <c r="F4311" s="2" t="n">
        <v>354</v>
      </c>
      <c r="G4311" s="2" t="n">
        <v>20</v>
      </c>
    </row>
    <row r="4312" customFormat="false" ht="16.5" hidden="false" customHeight="true" outlineLevel="0" collapsed="false">
      <c r="A4312" s="2" t="s">
        <v>447</v>
      </c>
      <c r="B4312" s="2" t="s">
        <v>474</v>
      </c>
      <c r="C4312" s="2" t="n">
        <v>3</v>
      </c>
      <c r="D4312" s="2" t="s">
        <v>611</v>
      </c>
      <c r="E4312" s="2" t="s">
        <v>45</v>
      </c>
      <c r="F4312" s="2" t="n">
        <v>354</v>
      </c>
      <c r="G4312" s="2" t="n">
        <v>38</v>
      </c>
    </row>
    <row r="4313" customFormat="false" ht="16.5" hidden="false" customHeight="true" outlineLevel="0" collapsed="false">
      <c r="A4313" s="2" t="s">
        <v>447</v>
      </c>
      <c r="B4313" s="2" t="s">
        <v>474</v>
      </c>
      <c r="C4313" s="2" t="n">
        <v>3</v>
      </c>
      <c r="D4313" s="2" t="s">
        <v>611</v>
      </c>
      <c r="E4313" s="2" t="s">
        <v>46</v>
      </c>
      <c r="F4313" s="2" t="n">
        <v>354</v>
      </c>
      <c r="G4313" s="2" t="n">
        <v>42</v>
      </c>
    </row>
    <row r="4314" customFormat="false" ht="16.5" hidden="false" customHeight="true" outlineLevel="0" collapsed="false">
      <c r="A4314" s="2" t="s">
        <v>447</v>
      </c>
      <c r="B4314" s="2" t="s">
        <v>475</v>
      </c>
      <c r="C4314" s="2" t="n">
        <v>3</v>
      </c>
      <c r="D4314" s="2" t="s">
        <v>612</v>
      </c>
      <c r="E4314" s="2" t="s">
        <v>0</v>
      </c>
      <c r="F4314" s="2" t="n">
        <v>359</v>
      </c>
      <c r="G4314" s="2" t="n">
        <v>6</v>
      </c>
    </row>
    <row r="4315" customFormat="false" ht="16.5" hidden="false" customHeight="true" outlineLevel="0" collapsed="false">
      <c r="A4315" s="2" t="s">
        <v>447</v>
      </c>
      <c r="B4315" s="2" t="s">
        <v>475</v>
      </c>
      <c r="C4315" s="2" t="n">
        <v>3</v>
      </c>
      <c r="D4315" s="2" t="s">
        <v>612</v>
      </c>
      <c r="E4315" s="2" t="s">
        <v>1</v>
      </c>
      <c r="F4315" s="2" t="n">
        <v>359</v>
      </c>
      <c r="G4315" s="2" t="n">
        <v>10</v>
      </c>
    </row>
    <row r="4316" customFormat="false" ht="16.5" hidden="false" customHeight="true" outlineLevel="0" collapsed="false">
      <c r="A4316" s="2" t="s">
        <v>447</v>
      </c>
      <c r="B4316" s="2" t="s">
        <v>475</v>
      </c>
      <c r="C4316" s="2" t="n">
        <v>3</v>
      </c>
      <c r="D4316" s="2" t="s">
        <v>612</v>
      </c>
      <c r="E4316" s="2" t="s">
        <v>2</v>
      </c>
      <c r="F4316" s="2" t="n">
        <v>359</v>
      </c>
      <c r="G4316" s="2" t="n">
        <v>14</v>
      </c>
    </row>
    <row r="4317" customFormat="false" ht="16.5" hidden="false" customHeight="true" outlineLevel="0" collapsed="false">
      <c r="A4317" s="2" t="s">
        <v>447</v>
      </c>
      <c r="B4317" s="2" t="s">
        <v>475</v>
      </c>
      <c r="C4317" s="2" t="n">
        <v>3</v>
      </c>
      <c r="D4317" s="2" t="s">
        <v>612</v>
      </c>
      <c r="E4317" s="2" t="s">
        <v>3</v>
      </c>
      <c r="F4317" s="2" t="n">
        <v>359</v>
      </c>
      <c r="G4317" s="2" t="n">
        <v>18</v>
      </c>
    </row>
    <row r="4318" customFormat="false" ht="16.5" hidden="false" customHeight="true" outlineLevel="0" collapsed="false">
      <c r="A4318" s="2" t="s">
        <v>447</v>
      </c>
      <c r="B4318" s="2" t="s">
        <v>475</v>
      </c>
      <c r="C4318" s="2" t="n">
        <v>3</v>
      </c>
      <c r="D4318" s="2" t="s">
        <v>612</v>
      </c>
      <c r="E4318" s="2" t="s">
        <v>4</v>
      </c>
      <c r="F4318" s="2" t="n">
        <v>359</v>
      </c>
      <c r="G4318" s="2" t="n">
        <v>22</v>
      </c>
    </row>
    <row r="4319" customFormat="false" ht="16.5" hidden="false" customHeight="true" outlineLevel="0" collapsed="false">
      <c r="A4319" s="2" t="s">
        <v>447</v>
      </c>
      <c r="B4319" s="2" t="s">
        <v>475</v>
      </c>
      <c r="C4319" s="2" t="n">
        <v>3</v>
      </c>
      <c r="D4319" s="2" t="s">
        <v>612</v>
      </c>
      <c r="E4319" s="2" t="s">
        <v>5</v>
      </c>
      <c r="F4319" s="2" t="n">
        <v>359</v>
      </c>
      <c r="G4319" s="2" t="n">
        <v>26</v>
      </c>
    </row>
    <row r="4320" customFormat="false" ht="16.5" hidden="false" customHeight="true" outlineLevel="0" collapsed="false">
      <c r="A4320" s="2" t="s">
        <v>447</v>
      </c>
      <c r="B4320" s="2" t="s">
        <v>475</v>
      </c>
      <c r="C4320" s="2" t="n">
        <v>3</v>
      </c>
      <c r="D4320" s="2" t="s">
        <v>612</v>
      </c>
      <c r="E4320" s="2" t="s">
        <v>6</v>
      </c>
      <c r="F4320" s="2" t="n">
        <v>359</v>
      </c>
      <c r="G4320" s="2" t="n">
        <v>30</v>
      </c>
    </row>
    <row r="4321" customFormat="false" ht="16.5" hidden="false" customHeight="true" outlineLevel="0" collapsed="false">
      <c r="A4321" s="2" t="s">
        <v>447</v>
      </c>
      <c r="B4321" s="2" t="s">
        <v>475</v>
      </c>
      <c r="C4321" s="2" t="n">
        <v>3</v>
      </c>
      <c r="D4321" s="2" t="s">
        <v>612</v>
      </c>
      <c r="E4321" s="2" t="s">
        <v>7</v>
      </c>
      <c r="F4321" s="2" t="n">
        <v>359</v>
      </c>
      <c r="G4321" s="2" t="n">
        <v>34</v>
      </c>
    </row>
    <row r="4322" customFormat="false" ht="16.5" hidden="false" customHeight="true" outlineLevel="0" collapsed="false">
      <c r="A4322" s="2" t="s">
        <v>447</v>
      </c>
      <c r="B4322" s="2" t="s">
        <v>475</v>
      </c>
      <c r="C4322" s="2" t="n">
        <v>3</v>
      </c>
      <c r="D4322" s="2" t="s">
        <v>612</v>
      </c>
      <c r="E4322" s="2" t="s">
        <v>8</v>
      </c>
      <c r="F4322" s="2" t="n">
        <v>359</v>
      </c>
      <c r="G4322" s="2" t="n">
        <v>38</v>
      </c>
    </row>
    <row r="4323" customFormat="false" ht="16.5" hidden="false" customHeight="true" outlineLevel="0" collapsed="false">
      <c r="A4323" s="2" t="s">
        <v>447</v>
      </c>
      <c r="B4323" s="2" t="s">
        <v>475</v>
      </c>
      <c r="C4323" s="2" t="n">
        <v>3</v>
      </c>
      <c r="D4323" s="2" t="s">
        <v>612</v>
      </c>
      <c r="E4323" s="2" t="s">
        <v>9</v>
      </c>
      <c r="F4323" s="2" t="n">
        <v>359</v>
      </c>
      <c r="G4323" s="2" t="n">
        <v>42</v>
      </c>
    </row>
    <row r="4324" customFormat="false" ht="16.5" hidden="false" customHeight="true" outlineLevel="0" collapsed="false">
      <c r="A4324" s="2" t="s">
        <v>447</v>
      </c>
      <c r="B4324" s="2" t="s">
        <v>475</v>
      </c>
      <c r="C4324" s="2" t="n">
        <v>3</v>
      </c>
      <c r="D4324" s="2" t="s">
        <v>612</v>
      </c>
      <c r="E4324" s="2" t="s">
        <v>10</v>
      </c>
      <c r="F4324" s="2" t="n">
        <v>359</v>
      </c>
      <c r="G4324" s="2" t="n">
        <v>46</v>
      </c>
    </row>
    <row r="4325" customFormat="false" ht="16.5" hidden="false" customHeight="true" outlineLevel="0" collapsed="false">
      <c r="A4325" s="2" t="s">
        <v>447</v>
      </c>
      <c r="B4325" s="2" t="s">
        <v>475</v>
      </c>
      <c r="C4325" s="2" t="n">
        <v>3</v>
      </c>
      <c r="D4325" s="2" t="s">
        <v>612</v>
      </c>
      <c r="E4325" s="2" t="s">
        <v>11</v>
      </c>
      <c r="F4325" s="2" t="n">
        <v>359</v>
      </c>
      <c r="G4325" s="2" t="n">
        <v>50</v>
      </c>
    </row>
    <row r="4326" customFormat="false" ht="16.5" hidden="false" customHeight="true" outlineLevel="0" collapsed="false">
      <c r="A4326" s="2" t="s">
        <v>447</v>
      </c>
      <c r="B4326" s="2" t="s">
        <v>475</v>
      </c>
      <c r="C4326" s="2" t="n">
        <v>3</v>
      </c>
      <c r="D4326" s="2" t="s">
        <v>612</v>
      </c>
      <c r="E4326" s="2" t="s">
        <v>12</v>
      </c>
      <c r="F4326" s="2" t="n">
        <v>361</v>
      </c>
      <c r="G4326" s="2" t="n">
        <v>8</v>
      </c>
    </row>
    <row r="4327" customFormat="false" ht="16.5" hidden="false" customHeight="true" outlineLevel="0" collapsed="false">
      <c r="A4327" s="2" t="s">
        <v>447</v>
      </c>
      <c r="B4327" s="2" t="s">
        <v>475</v>
      </c>
      <c r="C4327" s="2" t="n">
        <v>3</v>
      </c>
      <c r="D4327" s="2" t="s">
        <v>612</v>
      </c>
      <c r="E4327" s="2" t="s">
        <v>13</v>
      </c>
      <c r="F4327" s="2" t="n">
        <v>361</v>
      </c>
      <c r="G4327" s="2" t="n">
        <v>12</v>
      </c>
    </row>
    <row r="4328" customFormat="false" ht="16.5" hidden="false" customHeight="true" outlineLevel="0" collapsed="false">
      <c r="A4328" s="2" t="s">
        <v>447</v>
      </c>
      <c r="B4328" s="2" t="s">
        <v>475</v>
      </c>
      <c r="C4328" s="2" t="n">
        <v>3</v>
      </c>
      <c r="D4328" s="2" t="s">
        <v>612</v>
      </c>
      <c r="E4328" s="2" t="s">
        <v>14</v>
      </c>
      <c r="F4328" s="2" t="n">
        <v>361</v>
      </c>
      <c r="G4328" s="2" t="n">
        <v>16</v>
      </c>
    </row>
    <row r="4329" customFormat="false" ht="16.5" hidden="false" customHeight="true" outlineLevel="0" collapsed="false">
      <c r="A4329" s="2" t="s">
        <v>447</v>
      </c>
      <c r="B4329" s="2" t="s">
        <v>475</v>
      </c>
      <c r="C4329" s="2" t="n">
        <v>3</v>
      </c>
      <c r="D4329" s="2" t="s">
        <v>612</v>
      </c>
      <c r="E4329" s="2" t="s">
        <v>15</v>
      </c>
      <c r="F4329" s="2" t="n">
        <v>361</v>
      </c>
      <c r="G4329" s="2" t="n">
        <v>20</v>
      </c>
    </row>
    <row r="4330" customFormat="false" ht="16.5" hidden="false" customHeight="true" outlineLevel="0" collapsed="false">
      <c r="A4330" s="2" t="s">
        <v>447</v>
      </c>
      <c r="B4330" s="2" t="s">
        <v>475</v>
      </c>
      <c r="C4330" s="2" t="n">
        <v>3</v>
      </c>
      <c r="D4330" s="2" t="s">
        <v>612</v>
      </c>
      <c r="E4330" s="2" t="s">
        <v>16</v>
      </c>
      <c r="F4330" s="2" t="n">
        <v>361</v>
      </c>
      <c r="G4330" s="2" t="n">
        <v>24</v>
      </c>
    </row>
    <row r="4331" customFormat="false" ht="16.5" hidden="false" customHeight="true" outlineLevel="0" collapsed="false">
      <c r="A4331" s="2" t="s">
        <v>447</v>
      </c>
      <c r="B4331" s="2" t="s">
        <v>475</v>
      </c>
      <c r="C4331" s="2" t="n">
        <v>3</v>
      </c>
      <c r="D4331" s="2" t="s">
        <v>612</v>
      </c>
      <c r="E4331" s="2" t="s">
        <v>17</v>
      </c>
      <c r="F4331" s="2" t="n">
        <v>361</v>
      </c>
      <c r="G4331" s="2" t="n">
        <v>28</v>
      </c>
    </row>
    <row r="4332" customFormat="false" ht="16.5" hidden="false" customHeight="true" outlineLevel="0" collapsed="false">
      <c r="A4332" s="2" t="s">
        <v>447</v>
      </c>
      <c r="B4332" s="2" t="s">
        <v>475</v>
      </c>
      <c r="C4332" s="2" t="n">
        <v>3</v>
      </c>
      <c r="D4332" s="2" t="s">
        <v>612</v>
      </c>
      <c r="E4332" s="2" t="s">
        <v>18</v>
      </c>
      <c r="F4332" s="2" t="n">
        <v>361</v>
      </c>
      <c r="G4332" s="2" t="n">
        <v>32</v>
      </c>
    </row>
    <row r="4333" customFormat="false" ht="16.5" hidden="false" customHeight="true" outlineLevel="0" collapsed="false">
      <c r="A4333" s="2" t="s">
        <v>447</v>
      </c>
      <c r="B4333" s="2" t="s">
        <v>475</v>
      </c>
      <c r="C4333" s="2" t="n">
        <v>3</v>
      </c>
      <c r="D4333" s="2" t="s">
        <v>612</v>
      </c>
      <c r="E4333" s="2" t="s">
        <v>19</v>
      </c>
      <c r="F4333" s="2" t="n">
        <v>361</v>
      </c>
      <c r="G4333" s="2" t="n">
        <v>36</v>
      </c>
    </row>
    <row r="4334" customFormat="false" ht="16.5" hidden="false" customHeight="true" outlineLevel="0" collapsed="false">
      <c r="A4334" s="2" t="s">
        <v>447</v>
      </c>
      <c r="B4334" s="2" t="s">
        <v>475</v>
      </c>
      <c r="C4334" s="2" t="n">
        <v>3</v>
      </c>
      <c r="D4334" s="2" t="s">
        <v>612</v>
      </c>
      <c r="E4334" s="2" t="s">
        <v>20</v>
      </c>
      <c r="F4334" s="2" t="n">
        <v>361</v>
      </c>
      <c r="G4334" s="2" t="n">
        <v>40</v>
      </c>
    </row>
    <row r="4335" customFormat="false" ht="16.5" hidden="false" customHeight="true" outlineLevel="0" collapsed="false">
      <c r="A4335" s="2" t="s">
        <v>447</v>
      </c>
      <c r="B4335" s="2" t="s">
        <v>475</v>
      </c>
      <c r="C4335" s="2" t="n">
        <v>3</v>
      </c>
      <c r="D4335" s="2" t="s">
        <v>612</v>
      </c>
      <c r="E4335" s="2" t="s">
        <v>21</v>
      </c>
      <c r="F4335" s="2" t="n">
        <v>361</v>
      </c>
      <c r="G4335" s="2" t="n">
        <v>44</v>
      </c>
    </row>
    <row r="4336" customFormat="false" ht="16.5" hidden="false" customHeight="true" outlineLevel="0" collapsed="false">
      <c r="A4336" s="2" t="s">
        <v>447</v>
      </c>
      <c r="B4336" s="2" t="s">
        <v>475</v>
      </c>
      <c r="C4336" s="2" t="n">
        <v>3</v>
      </c>
      <c r="D4336" s="2" t="s">
        <v>612</v>
      </c>
      <c r="E4336" s="2" t="s">
        <v>22</v>
      </c>
      <c r="F4336" s="2" t="n">
        <v>361</v>
      </c>
      <c r="G4336" s="2" t="n">
        <v>48</v>
      </c>
    </row>
    <row r="4337" customFormat="false" ht="16.5" hidden="false" customHeight="true" outlineLevel="0" collapsed="false">
      <c r="A4337" s="2" t="s">
        <v>447</v>
      </c>
      <c r="B4337" s="2" t="s">
        <v>475</v>
      </c>
      <c r="C4337" s="2" t="n">
        <v>3</v>
      </c>
      <c r="D4337" s="2" t="s">
        <v>612</v>
      </c>
      <c r="E4337" s="2" t="s">
        <v>23</v>
      </c>
      <c r="F4337" s="2" t="n">
        <v>361</v>
      </c>
      <c r="G4337" s="2" t="n">
        <v>52</v>
      </c>
    </row>
    <row r="4338" customFormat="false" ht="16.5" hidden="false" customHeight="true" outlineLevel="0" collapsed="false">
      <c r="A4338" s="2" t="s">
        <v>447</v>
      </c>
      <c r="B4338" s="2" t="s">
        <v>475</v>
      </c>
      <c r="C4338" s="2" t="n">
        <v>3</v>
      </c>
      <c r="D4338" s="2" t="s">
        <v>612</v>
      </c>
      <c r="E4338" s="2" t="s">
        <v>24</v>
      </c>
      <c r="F4338" s="2" t="n">
        <v>363</v>
      </c>
      <c r="G4338" s="2" t="n">
        <v>9</v>
      </c>
    </row>
    <row r="4339" customFormat="false" ht="16.5" hidden="false" customHeight="true" outlineLevel="0" collapsed="false">
      <c r="A4339" s="2" t="s">
        <v>447</v>
      </c>
      <c r="B4339" s="2" t="s">
        <v>475</v>
      </c>
      <c r="C4339" s="2" t="n">
        <v>3</v>
      </c>
      <c r="D4339" s="2" t="s">
        <v>612</v>
      </c>
      <c r="E4339" s="2" t="s">
        <v>25</v>
      </c>
      <c r="F4339" s="2" t="n">
        <v>363</v>
      </c>
      <c r="G4339" s="2" t="n">
        <v>13</v>
      </c>
    </row>
    <row r="4340" customFormat="false" ht="16.5" hidden="false" customHeight="true" outlineLevel="0" collapsed="false">
      <c r="A4340" s="2" t="s">
        <v>447</v>
      </c>
      <c r="B4340" s="2" t="s">
        <v>475</v>
      </c>
      <c r="C4340" s="2" t="n">
        <v>3</v>
      </c>
      <c r="D4340" s="2" t="s">
        <v>612</v>
      </c>
      <c r="E4340" s="2" t="s">
        <v>26</v>
      </c>
      <c r="F4340" s="2" t="n">
        <v>363</v>
      </c>
      <c r="G4340" s="2" t="n">
        <v>17</v>
      </c>
    </row>
    <row r="4341" customFormat="false" ht="16.5" hidden="false" customHeight="true" outlineLevel="0" collapsed="false">
      <c r="A4341" s="2" t="s">
        <v>447</v>
      </c>
      <c r="B4341" s="2" t="s">
        <v>475</v>
      </c>
      <c r="C4341" s="2" t="n">
        <v>3</v>
      </c>
      <c r="D4341" s="2" t="s">
        <v>612</v>
      </c>
      <c r="E4341" s="2" t="s">
        <v>27</v>
      </c>
      <c r="F4341" s="2" t="n">
        <v>363</v>
      </c>
      <c r="G4341" s="2" t="n">
        <v>21</v>
      </c>
    </row>
    <row r="4342" customFormat="false" ht="16.5" hidden="false" customHeight="true" outlineLevel="0" collapsed="false">
      <c r="A4342" s="2" t="s">
        <v>447</v>
      </c>
      <c r="B4342" s="2" t="s">
        <v>475</v>
      </c>
      <c r="C4342" s="2" t="n">
        <v>3</v>
      </c>
      <c r="D4342" s="2" t="s">
        <v>612</v>
      </c>
      <c r="E4342" s="2" t="s">
        <v>28</v>
      </c>
      <c r="F4342" s="2" t="n">
        <v>363</v>
      </c>
      <c r="G4342" s="2" t="n">
        <v>25</v>
      </c>
    </row>
    <row r="4343" customFormat="false" ht="16.5" hidden="false" customHeight="true" outlineLevel="0" collapsed="false">
      <c r="A4343" s="2" t="s">
        <v>447</v>
      </c>
      <c r="B4343" s="2" t="s">
        <v>475</v>
      </c>
      <c r="C4343" s="2" t="n">
        <v>3</v>
      </c>
      <c r="D4343" s="2" t="s">
        <v>612</v>
      </c>
      <c r="E4343" s="2" t="s">
        <v>29</v>
      </c>
      <c r="F4343" s="2" t="n">
        <v>363</v>
      </c>
      <c r="G4343" s="2" t="n">
        <v>29</v>
      </c>
    </row>
    <row r="4344" customFormat="false" ht="16.5" hidden="false" customHeight="true" outlineLevel="0" collapsed="false">
      <c r="A4344" s="2" t="s">
        <v>447</v>
      </c>
      <c r="B4344" s="2" t="s">
        <v>475</v>
      </c>
      <c r="C4344" s="2" t="n">
        <v>3</v>
      </c>
      <c r="D4344" s="2" t="s">
        <v>612</v>
      </c>
      <c r="E4344" s="2" t="s">
        <v>30</v>
      </c>
      <c r="F4344" s="2" t="n">
        <v>363</v>
      </c>
      <c r="G4344" s="2" t="n">
        <v>33</v>
      </c>
    </row>
    <row r="4345" customFormat="false" ht="16.5" hidden="false" customHeight="true" outlineLevel="0" collapsed="false">
      <c r="A4345" s="2" t="s">
        <v>447</v>
      </c>
      <c r="B4345" s="2" t="s">
        <v>475</v>
      </c>
      <c r="C4345" s="2" t="n">
        <v>3</v>
      </c>
      <c r="D4345" s="2" t="s">
        <v>612</v>
      </c>
      <c r="E4345" s="2" t="s">
        <v>31</v>
      </c>
      <c r="F4345" s="2" t="n">
        <v>363</v>
      </c>
      <c r="G4345" s="2" t="n">
        <v>37</v>
      </c>
    </row>
    <row r="4346" customFormat="false" ht="16.5" hidden="false" customHeight="true" outlineLevel="0" collapsed="false">
      <c r="A4346" s="2" t="s">
        <v>447</v>
      </c>
      <c r="B4346" s="2" t="s">
        <v>475</v>
      </c>
      <c r="C4346" s="2" t="n">
        <v>3</v>
      </c>
      <c r="D4346" s="2" t="s">
        <v>612</v>
      </c>
      <c r="E4346" s="2" t="s">
        <v>32</v>
      </c>
      <c r="F4346" s="2" t="n">
        <v>363</v>
      </c>
      <c r="G4346" s="2" t="n">
        <v>41</v>
      </c>
    </row>
    <row r="4347" customFormat="false" ht="16.5" hidden="false" customHeight="true" outlineLevel="0" collapsed="false">
      <c r="A4347" s="2" t="s">
        <v>447</v>
      </c>
      <c r="B4347" s="2" t="s">
        <v>475</v>
      </c>
      <c r="C4347" s="2" t="n">
        <v>3</v>
      </c>
      <c r="D4347" s="2" t="s">
        <v>612</v>
      </c>
      <c r="E4347" s="2" t="s">
        <v>33</v>
      </c>
      <c r="F4347" s="2" t="n">
        <v>363</v>
      </c>
      <c r="G4347" s="2" t="n">
        <v>45</v>
      </c>
    </row>
    <row r="4348" customFormat="false" ht="16.5" hidden="false" customHeight="true" outlineLevel="0" collapsed="false">
      <c r="A4348" s="2" t="s">
        <v>447</v>
      </c>
      <c r="B4348" s="2" t="s">
        <v>475</v>
      </c>
      <c r="C4348" s="2" t="n">
        <v>3</v>
      </c>
      <c r="D4348" s="2" t="s">
        <v>612</v>
      </c>
      <c r="E4348" s="2" t="s">
        <v>34</v>
      </c>
      <c r="F4348" s="2" t="n">
        <v>363</v>
      </c>
      <c r="G4348" s="2" t="n">
        <v>49</v>
      </c>
    </row>
    <row r="4349" customFormat="false" ht="16.5" hidden="false" customHeight="true" outlineLevel="0" collapsed="false">
      <c r="A4349" s="2" t="s">
        <v>447</v>
      </c>
      <c r="B4349" s="2" t="s">
        <v>475</v>
      </c>
      <c r="C4349" s="2" t="n">
        <v>3</v>
      </c>
      <c r="D4349" s="2" t="s">
        <v>612</v>
      </c>
      <c r="E4349" s="2" t="s">
        <v>35</v>
      </c>
      <c r="F4349" s="2" t="n">
        <v>365</v>
      </c>
      <c r="G4349" s="2" t="n">
        <v>11</v>
      </c>
    </row>
    <row r="4350" customFormat="false" ht="16.5" hidden="false" customHeight="true" outlineLevel="0" collapsed="false">
      <c r="A4350" s="2" t="s">
        <v>447</v>
      </c>
      <c r="B4350" s="2" t="s">
        <v>475</v>
      </c>
      <c r="C4350" s="2" t="n">
        <v>3</v>
      </c>
      <c r="D4350" s="2" t="s">
        <v>612</v>
      </c>
      <c r="E4350" s="2" t="s">
        <v>36</v>
      </c>
      <c r="F4350" s="2" t="n">
        <v>365</v>
      </c>
      <c r="G4350" s="2" t="n">
        <v>15</v>
      </c>
    </row>
    <row r="4351" customFormat="false" ht="16.5" hidden="false" customHeight="true" outlineLevel="0" collapsed="false">
      <c r="A4351" s="2" t="s">
        <v>447</v>
      </c>
      <c r="B4351" s="2" t="s">
        <v>475</v>
      </c>
      <c r="C4351" s="2" t="n">
        <v>3</v>
      </c>
      <c r="D4351" s="2" t="s">
        <v>612</v>
      </c>
      <c r="E4351" s="2" t="s">
        <v>37</v>
      </c>
      <c r="F4351" s="2" t="n">
        <v>365</v>
      </c>
      <c r="G4351" s="2" t="n">
        <v>19</v>
      </c>
    </row>
    <row r="4352" customFormat="false" ht="16.5" hidden="false" customHeight="true" outlineLevel="0" collapsed="false">
      <c r="A4352" s="2" t="s">
        <v>447</v>
      </c>
      <c r="B4352" s="2" t="s">
        <v>475</v>
      </c>
      <c r="C4352" s="2" t="n">
        <v>3</v>
      </c>
      <c r="D4352" s="2" t="s">
        <v>612</v>
      </c>
      <c r="E4352" s="2" t="s">
        <v>38</v>
      </c>
      <c r="F4352" s="2" t="n">
        <v>365</v>
      </c>
      <c r="G4352" s="2" t="n">
        <v>23</v>
      </c>
    </row>
    <row r="4353" customFormat="false" ht="16.5" hidden="false" customHeight="true" outlineLevel="0" collapsed="false">
      <c r="A4353" s="2" t="s">
        <v>447</v>
      </c>
      <c r="B4353" s="2" t="s">
        <v>475</v>
      </c>
      <c r="C4353" s="2" t="n">
        <v>3</v>
      </c>
      <c r="D4353" s="2" t="s">
        <v>612</v>
      </c>
      <c r="E4353" s="2" t="s">
        <v>39</v>
      </c>
      <c r="F4353" s="2" t="n">
        <v>365</v>
      </c>
      <c r="G4353" s="2" t="n">
        <v>27</v>
      </c>
    </row>
    <row r="4354" customFormat="false" ht="16.5" hidden="false" customHeight="true" outlineLevel="0" collapsed="false">
      <c r="A4354" s="2" t="s">
        <v>447</v>
      </c>
      <c r="B4354" s="2" t="s">
        <v>475</v>
      </c>
      <c r="C4354" s="2" t="n">
        <v>3</v>
      </c>
      <c r="D4354" s="2" t="s">
        <v>612</v>
      </c>
      <c r="E4354" s="2" t="s">
        <v>40</v>
      </c>
      <c r="F4354" s="2" t="n">
        <v>365</v>
      </c>
      <c r="G4354" s="2" t="n">
        <v>31</v>
      </c>
    </row>
    <row r="4355" customFormat="false" ht="16.5" hidden="false" customHeight="true" outlineLevel="0" collapsed="false">
      <c r="A4355" s="2" t="s">
        <v>447</v>
      </c>
      <c r="B4355" s="2" t="s">
        <v>475</v>
      </c>
      <c r="C4355" s="2" t="n">
        <v>3</v>
      </c>
      <c r="D4355" s="2" t="s">
        <v>612</v>
      </c>
      <c r="E4355" s="2" t="s">
        <v>41</v>
      </c>
      <c r="F4355" s="2" t="n">
        <v>365</v>
      </c>
      <c r="G4355" s="2" t="n">
        <v>35</v>
      </c>
    </row>
    <row r="4356" customFormat="false" ht="16.5" hidden="false" customHeight="true" outlineLevel="0" collapsed="false">
      <c r="A4356" s="2" t="s">
        <v>447</v>
      </c>
      <c r="B4356" s="2" t="s">
        <v>475</v>
      </c>
      <c r="C4356" s="2" t="n">
        <v>3</v>
      </c>
      <c r="D4356" s="2" t="s">
        <v>612</v>
      </c>
      <c r="E4356" s="2" t="s">
        <v>42</v>
      </c>
      <c r="F4356" s="2" t="n">
        <v>365</v>
      </c>
      <c r="G4356" s="2" t="n">
        <v>39</v>
      </c>
    </row>
    <row r="4357" customFormat="false" ht="16.5" hidden="false" customHeight="true" outlineLevel="0" collapsed="false">
      <c r="A4357" s="2" t="s">
        <v>447</v>
      </c>
      <c r="B4357" s="2" t="s">
        <v>475</v>
      </c>
      <c r="C4357" s="2" t="n">
        <v>3</v>
      </c>
      <c r="D4357" s="2" t="s">
        <v>612</v>
      </c>
      <c r="E4357" s="2" t="s">
        <v>43</v>
      </c>
      <c r="F4357" s="2" t="n">
        <v>365</v>
      </c>
      <c r="G4357" s="2" t="n">
        <v>43</v>
      </c>
    </row>
    <row r="4358" customFormat="false" ht="16.5" hidden="false" customHeight="true" outlineLevel="0" collapsed="false">
      <c r="A4358" s="2" t="s">
        <v>447</v>
      </c>
      <c r="B4358" s="2" t="s">
        <v>475</v>
      </c>
      <c r="C4358" s="2" t="n">
        <v>3</v>
      </c>
      <c r="D4358" s="2" t="s">
        <v>612</v>
      </c>
      <c r="E4358" s="2" t="s">
        <v>44</v>
      </c>
      <c r="F4358" s="2" t="n">
        <v>365</v>
      </c>
      <c r="G4358" s="2" t="n">
        <v>47</v>
      </c>
    </row>
    <row r="4359" customFormat="false" ht="16.5" hidden="false" customHeight="true" outlineLevel="0" collapsed="false">
      <c r="A4359" s="2" t="s">
        <v>447</v>
      </c>
      <c r="B4359" s="2" t="s">
        <v>475</v>
      </c>
      <c r="C4359" s="2" t="n">
        <v>3</v>
      </c>
      <c r="D4359" s="2" t="s">
        <v>612</v>
      </c>
      <c r="E4359" s="2" t="s">
        <v>48</v>
      </c>
      <c r="F4359" s="2" t="n">
        <v>367</v>
      </c>
      <c r="G4359" s="2" t="n">
        <v>16</v>
      </c>
    </row>
    <row r="4360" customFormat="false" ht="16.5" hidden="false" customHeight="true" outlineLevel="0" collapsed="false">
      <c r="A4360" s="2" t="s">
        <v>447</v>
      </c>
      <c r="B4360" s="2" t="s">
        <v>475</v>
      </c>
      <c r="C4360" s="2" t="n">
        <v>3</v>
      </c>
      <c r="D4360" s="2" t="s">
        <v>612</v>
      </c>
      <c r="E4360" s="2" t="s">
        <v>50</v>
      </c>
      <c r="F4360" s="2" t="n">
        <v>367</v>
      </c>
      <c r="G4360" s="2" t="n">
        <v>20</v>
      </c>
    </row>
    <row r="4361" customFormat="false" ht="16.5" hidden="false" customHeight="true" outlineLevel="0" collapsed="false">
      <c r="A4361" s="2" t="s">
        <v>447</v>
      </c>
      <c r="B4361" s="2" t="s">
        <v>475</v>
      </c>
      <c r="C4361" s="2" t="n">
        <v>3</v>
      </c>
      <c r="D4361" s="2" t="s">
        <v>612</v>
      </c>
      <c r="E4361" s="2" t="s">
        <v>45</v>
      </c>
      <c r="F4361" s="2" t="n">
        <v>367</v>
      </c>
      <c r="G4361" s="2" t="n">
        <v>38</v>
      </c>
    </row>
    <row r="4362" customFormat="false" ht="16.5" hidden="false" customHeight="true" outlineLevel="0" collapsed="false">
      <c r="A4362" s="2" t="s">
        <v>447</v>
      </c>
      <c r="B4362" s="2" t="s">
        <v>475</v>
      </c>
      <c r="C4362" s="2" t="n">
        <v>3</v>
      </c>
      <c r="D4362" s="2" t="s">
        <v>612</v>
      </c>
      <c r="E4362" s="2" t="s">
        <v>46</v>
      </c>
      <c r="F4362" s="2" t="n">
        <v>367</v>
      </c>
      <c r="G4362" s="2" t="n">
        <v>42</v>
      </c>
    </row>
    <row r="4363" customFormat="false" ht="16.5" hidden="false" customHeight="true" outlineLevel="0" collapsed="false">
      <c r="A4363" s="2" t="s">
        <v>447</v>
      </c>
      <c r="B4363" s="2" t="s">
        <v>476</v>
      </c>
      <c r="C4363" s="2" t="n">
        <v>3</v>
      </c>
      <c r="D4363" s="2" t="s">
        <v>613</v>
      </c>
      <c r="E4363" s="2" t="s">
        <v>0</v>
      </c>
      <c r="F4363" s="2" t="n">
        <v>372</v>
      </c>
      <c r="G4363" s="2" t="n">
        <v>6</v>
      </c>
    </row>
    <row r="4364" customFormat="false" ht="16.5" hidden="false" customHeight="true" outlineLevel="0" collapsed="false">
      <c r="A4364" s="2" t="s">
        <v>447</v>
      </c>
      <c r="B4364" s="2" t="s">
        <v>476</v>
      </c>
      <c r="C4364" s="2" t="n">
        <v>3</v>
      </c>
      <c r="D4364" s="2" t="s">
        <v>613</v>
      </c>
      <c r="E4364" s="2" t="s">
        <v>1</v>
      </c>
      <c r="F4364" s="2" t="n">
        <v>372</v>
      </c>
      <c r="G4364" s="2" t="n">
        <v>10</v>
      </c>
    </row>
    <row r="4365" customFormat="false" ht="16.5" hidden="false" customHeight="true" outlineLevel="0" collapsed="false">
      <c r="A4365" s="2" t="s">
        <v>447</v>
      </c>
      <c r="B4365" s="2" t="s">
        <v>476</v>
      </c>
      <c r="C4365" s="2" t="n">
        <v>3</v>
      </c>
      <c r="D4365" s="2" t="s">
        <v>613</v>
      </c>
      <c r="E4365" s="2" t="s">
        <v>2</v>
      </c>
      <c r="F4365" s="2" t="n">
        <v>372</v>
      </c>
      <c r="G4365" s="2" t="n">
        <v>14</v>
      </c>
    </row>
    <row r="4366" customFormat="false" ht="16.5" hidden="false" customHeight="true" outlineLevel="0" collapsed="false">
      <c r="A4366" s="2" t="s">
        <v>447</v>
      </c>
      <c r="B4366" s="2" t="s">
        <v>476</v>
      </c>
      <c r="C4366" s="2" t="n">
        <v>3</v>
      </c>
      <c r="D4366" s="2" t="s">
        <v>613</v>
      </c>
      <c r="E4366" s="2" t="s">
        <v>3</v>
      </c>
      <c r="F4366" s="2" t="n">
        <v>372</v>
      </c>
      <c r="G4366" s="2" t="n">
        <v>18</v>
      </c>
    </row>
    <row r="4367" customFormat="false" ht="16.5" hidden="false" customHeight="true" outlineLevel="0" collapsed="false">
      <c r="A4367" s="2" t="s">
        <v>447</v>
      </c>
      <c r="B4367" s="2" t="s">
        <v>476</v>
      </c>
      <c r="C4367" s="2" t="n">
        <v>3</v>
      </c>
      <c r="D4367" s="2" t="s">
        <v>613</v>
      </c>
      <c r="E4367" s="2" t="s">
        <v>4</v>
      </c>
      <c r="F4367" s="2" t="n">
        <v>372</v>
      </c>
      <c r="G4367" s="2" t="n">
        <v>22</v>
      </c>
    </row>
    <row r="4368" customFormat="false" ht="16.5" hidden="false" customHeight="true" outlineLevel="0" collapsed="false">
      <c r="A4368" s="2" t="s">
        <v>447</v>
      </c>
      <c r="B4368" s="2" t="s">
        <v>476</v>
      </c>
      <c r="C4368" s="2" t="n">
        <v>3</v>
      </c>
      <c r="D4368" s="2" t="s">
        <v>613</v>
      </c>
      <c r="E4368" s="2" t="s">
        <v>5</v>
      </c>
      <c r="F4368" s="2" t="n">
        <v>372</v>
      </c>
      <c r="G4368" s="2" t="n">
        <v>26</v>
      </c>
    </row>
    <row r="4369" customFormat="false" ht="16.5" hidden="false" customHeight="true" outlineLevel="0" collapsed="false">
      <c r="A4369" s="2" t="s">
        <v>447</v>
      </c>
      <c r="B4369" s="2" t="s">
        <v>476</v>
      </c>
      <c r="C4369" s="2" t="n">
        <v>3</v>
      </c>
      <c r="D4369" s="2" t="s">
        <v>613</v>
      </c>
      <c r="E4369" s="2" t="s">
        <v>6</v>
      </c>
      <c r="F4369" s="2" t="n">
        <v>372</v>
      </c>
      <c r="G4369" s="2" t="n">
        <v>30</v>
      </c>
    </row>
    <row r="4370" customFormat="false" ht="16.5" hidden="false" customHeight="true" outlineLevel="0" collapsed="false">
      <c r="A4370" s="2" t="s">
        <v>447</v>
      </c>
      <c r="B4370" s="2" t="s">
        <v>476</v>
      </c>
      <c r="C4370" s="2" t="n">
        <v>3</v>
      </c>
      <c r="D4370" s="2" t="s">
        <v>613</v>
      </c>
      <c r="E4370" s="2" t="s">
        <v>7</v>
      </c>
      <c r="F4370" s="2" t="n">
        <v>372</v>
      </c>
      <c r="G4370" s="2" t="n">
        <v>34</v>
      </c>
    </row>
    <row r="4371" customFormat="false" ht="16.5" hidden="false" customHeight="true" outlineLevel="0" collapsed="false">
      <c r="A4371" s="2" t="s">
        <v>447</v>
      </c>
      <c r="B4371" s="2" t="s">
        <v>476</v>
      </c>
      <c r="C4371" s="2" t="n">
        <v>3</v>
      </c>
      <c r="D4371" s="2" t="s">
        <v>613</v>
      </c>
      <c r="E4371" s="2" t="s">
        <v>8</v>
      </c>
      <c r="F4371" s="2" t="n">
        <v>372</v>
      </c>
      <c r="G4371" s="2" t="n">
        <v>38</v>
      </c>
    </row>
    <row r="4372" customFormat="false" ht="16.5" hidden="false" customHeight="true" outlineLevel="0" collapsed="false">
      <c r="A4372" s="2" t="s">
        <v>447</v>
      </c>
      <c r="B4372" s="2" t="s">
        <v>476</v>
      </c>
      <c r="C4372" s="2" t="n">
        <v>3</v>
      </c>
      <c r="D4372" s="2" t="s">
        <v>613</v>
      </c>
      <c r="E4372" s="2" t="s">
        <v>9</v>
      </c>
      <c r="F4372" s="2" t="n">
        <v>372</v>
      </c>
      <c r="G4372" s="2" t="n">
        <v>42</v>
      </c>
    </row>
    <row r="4373" customFormat="false" ht="16.5" hidden="false" customHeight="true" outlineLevel="0" collapsed="false">
      <c r="A4373" s="2" t="s">
        <v>447</v>
      </c>
      <c r="B4373" s="2" t="s">
        <v>476</v>
      </c>
      <c r="C4373" s="2" t="n">
        <v>3</v>
      </c>
      <c r="D4373" s="2" t="s">
        <v>613</v>
      </c>
      <c r="E4373" s="2" t="s">
        <v>10</v>
      </c>
      <c r="F4373" s="2" t="n">
        <v>372</v>
      </c>
      <c r="G4373" s="2" t="n">
        <v>46</v>
      </c>
    </row>
    <row r="4374" customFormat="false" ht="16.5" hidden="false" customHeight="true" outlineLevel="0" collapsed="false">
      <c r="A4374" s="2" t="s">
        <v>447</v>
      </c>
      <c r="B4374" s="2" t="s">
        <v>476</v>
      </c>
      <c r="C4374" s="2" t="n">
        <v>3</v>
      </c>
      <c r="D4374" s="2" t="s">
        <v>613</v>
      </c>
      <c r="E4374" s="2" t="s">
        <v>11</v>
      </c>
      <c r="F4374" s="2" t="n">
        <v>372</v>
      </c>
      <c r="G4374" s="2" t="n">
        <v>50</v>
      </c>
    </row>
    <row r="4375" customFormat="false" ht="16.5" hidden="false" customHeight="true" outlineLevel="0" collapsed="false">
      <c r="A4375" s="2" t="s">
        <v>447</v>
      </c>
      <c r="B4375" s="2" t="s">
        <v>476</v>
      </c>
      <c r="C4375" s="2" t="n">
        <v>3</v>
      </c>
      <c r="D4375" s="2" t="s">
        <v>613</v>
      </c>
      <c r="E4375" s="2" t="s">
        <v>12</v>
      </c>
      <c r="F4375" s="2" t="n">
        <v>374</v>
      </c>
      <c r="G4375" s="2" t="n">
        <v>8</v>
      </c>
    </row>
    <row r="4376" customFormat="false" ht="16.5" hidden="false" customHeight="true" outlineLevel="0" collapsed="false">
      <c r="A4376" s="2" t="s">
        <v>447</v>
      </c>
      <c r="B4376" s="2" t="s">
        <v>476</v>
      </c>
      <c r="C4376" s="2" t="n">
        <v>3</v>
      </c>
      <c r="D4376" s="2" t="s">
        <v>613</v>
      </c>
      <c r="E4376" s="2" t="s">
        <v>13</v>
      </c>
      <c r="F4376" s="2" t="n">
        <v>374</v>
      </c>
      <c r="G4376" s="2" t="n">
        <v>12</v>
      </c>
    </row>
    <row r="4377" customFormat="false" ht="16.5" hidden="false" customHeight="true" outlineLevel="0" collapsed="false">
      <c r="A4377" s="2" t="s">
        <v>447</v>
      </c>
      <c r="B4377" s="2" t="s">
        <v>476</v>
      </c>
      <c r="C4377" s="2" t="n">
        <v>3</v>
      </c>
      <c r="D4377" s="2" t="s">
        <v>613</v>
      </c>
      <c r="E4377" s="2" t="s">
        <v>14</v>
      </c>
      <c r="F4377" s="2" t="n">
        <v>374</v>
      </c>
      <c r="G4377" s="2" t="n">
        <v>16</v>
      </c>
    </row>
    <row r="4378" customFormat="false" ht="16.5" hidden="false" customHeight="true" outlineLevel="0" collapsed="false">
      <c r="A4378" s="2" t="s">
        <v>447</v>
      </c>
      <c r="B4378" s="2" t="s">
        <v>476</v>
      </c>
      <c r="C4378" s="2" t="n">
        <v>3</v>
      </c>
      <c r="D4378" s="2" t="s">
        <v>613</v>
      </c>
      <c r="E4378" s="2" t="s">
        <v>15</v>
      </c>
      <c r="F4378" s="2" t="n">
        <v>374</v>
      </c>
      <c r="G4378" s="2" t="n">
        <v>20</v>
      </c>
    </row>
    <row r="4379" customFormat="false" ht="16.5" hidden="false" customHeight="true" outlineLevel="0" collapsed="false">
      <c r="A4379" s="2" t="s">
        <v>447</v>
      </c>
      <c r="B4379" s="2" t="s">
        <v>476</v>
      </c>
      <c r="C4379" s="2" t="n">
        <v>3</v>
      </c>
      <c r="D4379" s="2" t="s">
        <v>613</v>
      </c>
      <c r="E4379" s="2" t="s">
        <v>16</v>
      </c>
      <c r="F4379" s="2" t="n">
        <v>374</v>
      </c>
      <c r="G4379" s="2" t="n">
        <v>24</v>
      </c>
    </row>
    <row r="4380" customFormat="false" ht="16.5" hidden="false" customHeight="true" outlineLevel="0" collapsed="false">
      <c r="A4380" s="2" t="s">
        <v>447</v>
      </c>
      <c r="B4380" s="2" t="s">
        <v>476</v>
      </c>
      <c r="C4380" s="2" t="n">
        <v>3</v>
      </c>
      <c r="D4380" s="2" t="s">
        <v>613</v>
      </c>
      <c r="E4380" s="2" t="s">
        <v>17</v>
      </c>
      <c r="F4380" s="2" t="n">
        <v>374</v>
      </c>
      <c r="G4380" s="2" t="n">
        <v>28</v>
      </c>
    </row>
    <row r="4381" customFormat="false" ht="16.5" hidden="false" customHeight="true" outlineLevel="0" collapsed="false">
      <c r="A4381" s="2" t="s">
        <v>447</v>
      </c>
      <c r="B4381" s="2" t="s">
        <v>476</v>
      </c>
      <c r="C4381" s="2" t="n">
        <v>3</v>
      </c>
      <c r="D4381" s="2" t="s">
        <v>613</v>
      </c>
      <c r="E4381" s="2" t="s">
        <v>18</v>
      </c>
      <c r="F4381" s="2" t="n">
        <v>374</v>
      </c>
      <c r="G4381" s="2" t="n">
        <v>32</v>
      </c>
    </row>
    <row r="4382" customFormat="false" ht="16.5" hidden="false" customHeight="true" outlineLevel="0" collapsed="false">
      <c r="A4382" s="2" t="s">
        <v>447</v>
      </c>
      <c r="B4382" s="2" t="s">
        <v>476</v>
      </c>
      <c r="C4382" s="2" t="n">
        <v>3</v>
      </c>
      <c r="D4382" s="2" t="s">
        <v>613</v>
      </c>
      <c r="E4382" s="2" t="s">
        <v>19</v>
      </c>
      <c r="F4382" s="2" t="n">
        <v>374</v>
      </c>
      <c r="G4382" s="2" t="n">
        <v>36</v>
      </c>
    </row>
    <row r="4383" customFormat="false" ht="16.5" hidden="false" customHeight="true" outlineLevel="0" collapsed="false">
      <c r="A4383" s="2" t="s">
        <v>447</v>
      </c>
      <c r="B4383" s="2" t="s">
        <v>476</v>
      </c>
      <c r="C4383" s="2" t="n">
        <v>3</v>
      </c>
      <c r="D4383" s="2" t="s">
        <v>613</v>
      </c>
      <c r="E4383" s="2" t="s">
        <v>20</v>
      </c>
      <c r="F4383" s="2" t="n">
        <v>374</v>
      </c>
      <c r="G4383" s="2" t="n">
        <v>40</v>
      </c>
    </row>
    <row r="4384" customFormat="false" ht="16.5" hidden="false" customHeight="true" outlineLevel="0" collapsed="false">
      <c r="A4384" s="2" t="s">
        <v>447</v>
      </c>
      <c r="B4384" s="2" t="s">
        <v>476</v>
      </c>
      <c r="C4384" s="2" t="n">
        <v>3</v>
      </c>
      <c r="D4384" s="2" t="s">
        <v>613</v>
      </c>
      <c r="E4384" s="2" t="s">
        <v>21</v>
      </c>
      <c r="F4384" s="2" t="n">
        <v>374</v>
      </c>
      <c r="G4384" s="2" t="n">
        <v>44</v>
      </c>
    </row>
    <row r="4385" customFormat="false" ht="16.5" hidden="false" customHeight="true" outlineLevel="0" collapsed="false">
      <c r="A4385" s="2" t="s">
        <v>447</v>
      </c>
      <c r="B4385" s="2" t="s">
        <v>476</v>
      </c>
      <c r="C4385" s="2" t="n">
        <v>3</v>
      </c>
      <c r="D4385" s="2" t="s">
        <v>613</v>
      </c>
      <c r="E4385" s="2" t="s">
        <v>22</v>
      </c>
      <c r="F4385" s="2" t="n">
        <v>374</v>
      </c>
      <c r="G4385" s="2" t="n">
        <v>48</v>
      </c>
    </row>
    <row r="4386" customFormat="false" ht="16.5" hidden="false" customHeight="true" outlineLevel="0" collapsed="false">
      <c r="A4386" s="2" t="s">
        <v>447</v>
      </c>
      <c r="B4386" s="2" t="s">
        <v>476</v>
      </c>
      <c r="C4386" s="2" t="n">
        <v>3</v>
      </c>
      <c r="D4386" s="2" t="s">
        <v>613</v>
      </c>
      <c r="E4386" s="2" t="s">
        <v>23</v>
      </c>
      <c r="F4386" s="2" t="n">
        <v>374</v>
      </c>
      <c r="G4386" s="2" t="n">
        <v>52</v>
      </c>
    </row>
    <row r="4387" customFormat="false" ht="16.5" hidden="false" customHeight="true" outlineLevel="0" collapsed="false">
      <c r="A4387" s="2" t="s">
        <v>447</v>
      </c>
      <c r="B4387" s="2" t="s">
        <v>476</v>
      </c>
      <c r="C4387" s="2" t="n">
        <v>3</v>
      </c>
      <c r="D4387" s="2" t="s">
        <v>613</v>
      </c>
      <c r="E4387" s="2" t="s">
        <v>24</v>
      </c>
      <c r="F4387" s="2" t="n">
        <v>376</v>
      </c>
      <c r="G4387" s="2" t="n">
        <v>9</v>
      </c>
    </row>
    <row r="4388" customFormat="false" ht="16.5" hidden="false" customHeight="true" outlineLevel="0" collapsed="false">
      <c r="A4388" s="2" t="s">
        <v>447</v>
      </c>
      <c r="B4388" s="2" t="s">
        <v>476</v>
      </c>
      <c r="C4388" s="2" t="n">
        <v>3</v>
      </c>
      <c r="D4388" s="2" t="s">
        <v>613</v>
      </c>
      <c r="E4388" s="2" t="s">
        <v>25</v>
      </c>
      <c r="F4388" s="2" t="n">
        <v>376</v>
      </c>
      <c r="G4388" s="2" t="n">
        <v>13</v>
      </c>
    </row>
    <row r="4389" customFormat="false" ht="16.5" hidden="false" customHeight="true" outlineLevel="0" collapsed="false">
      <c r="A4389" s="2" t="s">
        <v>447</v>
      </c>
      <c r="B4389" s="2" t="s">
        <v>476</v>
      </c>
      <c r="C4389" s="2" t="n">
        <v>3</v>
      </c>
      <c r="D4389" s="2" t="s">
        <v>613</v>
      </c>
      <c r="E4389" s="2" t="s">
        <v>26</v>
      </c>
      <c r="F4389" s="2" t="n">
        <v>376</v>
      </c>
      <c r="G4389" s="2" t="n">
        <v>17</v>
      </c>
    </row>
    <row r="4390" customFormat="false" ht="16.5" hidden="false" customHeight="true" outlineLevel="0" collapsed="false">
      <c r="A4390" s="2" t="s">
        <v>447</v>
      </c>
      <c r="B4390" s="2" t="s">
        <v>476</v>
      </c>
      <c r="C4390" s="2" t="n">
        <v>3</v>
      </c>
      <c r="D4390" s="2" t="s">
        <v>613</v>
      </c>
      <c r="E4390" s="2" t="s">
        <v>27</v>
      </c>
      <c r="F4390" s="2" t="n">
        <v>376</v>
      </c>
      <c r="G4390" s="2" t="n">
        <v>21</v>
      </c>
    </row>
    <row r="4391" customFormat="false" ht="16.5" hidden="false" customHeight="true" outlineLevel="0" collapsed="false">
      <c r="A4391" s="2" t="s">
        <v>447</v>
      </c>
      <c r="B4391" s="2" t="s">
        <v>476</v>
      </c>
      <c r="C4391" s="2" t="n">
        <v>3</v>
      </c>
      <c r="D4391" s="2" t="s">
        <v>613</v>
      </c>
      <c r="E4391" s="2" t="s">
        <v>28</v>
      </c>
      <c r="F4391" s="2" t="n">
        <v>376</v>
      </c>
      <c r="G4391" s="2" t="n">
        <v>25</v>
      </c>
    </row>
    <row r="4392" customFormat="false" ht="16.5" hidden="false" customHeight="true" outlineLevel="0" collapsed="false">
      <c r="A4392" s="2" t="s">
        <v>447</v>
      </c>
      <c r="B4392" s="2" t="s">
        <v>476</v>
      </c>
      <c r="C4392" s="2" t="n">
        <v>3</v>
      </c>
      <c r="D4392" s="2" t="s">
        <v>613</v>
      </c>
      <c r="E4392" s="2" t="s">
        <v>29</v>
      </c>
      <c r="F4392" s="2" t="n">
        <v>376</v>
      </c>
      <c r="G4392" s="2" t="n">
        <v>29</v>
      </c>
    </row>
    <row r="4393" customFormat="false" ht="16.5" hidden="false" customHeight="true" outlineLevel="0" collapsed="false">
      <c r="A4393" s="2" t="s">
        <v>447</v>
      </c>
      <c r="B4393" s="2" t="s">
        <v>476</v>
      </c>
      <c r="C4393" s="2" t="n">
        <v>3</v>
      </c>
      <c r="D4393" s="2" t="s">
        <v>613</v>
      </c>
      <c r="E4393" s="2" t="s">
        <v>30</v>
      </c>
      <c r="F4393" s="2" t="n">
        <v>376</v>
      </c>
      <c r="G4393" s="2" t="n">
        <v>33</v>
      </c>
    </row>
    <row r="4394" customFormat="false" ht="16.5" hidden="false" customHeight="true" outlineLevel="0" collapsed="false">
      <c r="A4394" s="2" t="s">
        <v>447</v>
      </c>
      <c r="B4394" s="2" t="s">
        <v>476</v>
      </c>
      <c r="C4394" s="2" t="n">
        <v>3</v>
      </c>
      <c r="D4394" s="2" t="s">
        <v>613</v>
      </c>
      <c r="E4394" s="2" t="s">
        <v>31</v>
      </c>
      <c r="F4394" s="2" t="n">
        <v>376</v>
      </c>
      <c r="G4394" s="2" t="n">
        <v>37</v>
      </c>
    </row>
    <row r="4395" customFormat="false" ht="16.5" hidden="false" customHeight="true" outlineLevel="0" collapsed="false">
      <c r="A4395" s="2" t="s">
        <v>447</v>
      </c>
      <c r="B4395" s="2" t="s">
        <v>476</v>
      </c>
      <c r="C4395" s="2" t="n">
        <v>3</v>
      </c>
      <c r="D4395" s="2" t="s">
        <v>613</v>
      </c>
      <c r="E4395" s="2" t="s">
        <v>32</v>
      </c>
      <c r="F4395" s="2" t="n">
        <v>376</v>
      </c>
      <c r="G4395" s="2" t="n">
        <v>41</v>
      </c>
    </row>
    <row r="4396" customFormat="false" ht="16.5" hidden="false" customHeight="true" outlineLevel="0" collapsed="false">
      <c r="A4396" s="2" t="s">
        <v>447</v>
      </c>
      <c r="B4396" s="2" t="s">
        <v>476</v>
      </c>
      <c r="C4396" s="2" t="n">
        <v>3</v>
      </c>
      <c r="D4396" s="2" t="s">
        <v>613</v>
      </c>
      <c r="E4396" s="2" t="s">
        <v>33</v>
      </c>
      <c r="F4396" s="2" t="n">
        <v>376</v>
      </c>
      <c r="G4396" s="2" t="n">
        <v>45</v>
      </c>
    </row>
    <row r="4397" customFormat="false" ht="16.5" hidden="false" customHeight="true" outlineLevel="0" collapsed="false">
      <c r="A4397" s="2" t="s">
        <v>447</v>
      </c>
      <c r="B4397" s="2" t="s">
        <v>476</v>
      </c>
      <c r="C4397" s="2" t="n">
        <v>3</v>
      </c>
      <c r="D4397" s="2" t="s">
        <v>613</v>
      </c>
      <c r="E4397" s="2" t="s">
        <v>34</v>
      </c>
      <c r="F4397" s="2" t="n">
        <v>376</v>
      </c>
      <c r="G4397" s="2" t="n">
        <v>49</v>
      </c>
    </row>
    <row r="4398" customFormat="false" ht="16.5" hidden="false" customHeight="true" outlineLevel="0" collapsed="false">
      <c r="A4398" s="2" t="s">
        <v>447</v>
      </c>
      <c r="B4398" s="2" t="s">
        <v>476</v>
      </c>
      <c r="C4398" s="2" t="n">
        <v>3</v>
      </c>
      <c r="D4398" s="2" t="s">
        <v>613</v>
      </c>
      <c r="E4398" s="2" t="s">
        <v>35</v>
      </c>
      <c r="F4398" s="2" t="n">
        <v>378</v>
      </c>
      <c r="G4398" s="2" t="n">
        <v>11</v>
      </c>
    </row>
    <row r="4399" customFormat="false" ht="16.5" hidden="false" customHeight="true" outlineLevel="0" collapsed="false">
      <c r="A4399" s="2" t="s">
        <v>447</v>
      </c>
      <c r="B4399" s="2" t="s">
        <v>476</v>
      </c>
      <c r="C4399" s="2" t="n">
        <v>3</v>
      </c>
      <c r="D4399" s="2" t="s">
        <v>613</v>
      </c>
      <c r="E4399" s="2" t="s">
        <v>36</v>
      </c>
      <c r="F4399" s="2" t="n">
        <v>378</v>
      </c>
      <c r="G4399" s="2" t="n">
        <v>15</v>
      </c>
    </row>
    <row r="4400" customFormat="false" ht="16.5" hidden="false" customHeight="true" outlineLevel="0" collapsed="false">
      <c r="A4400" s="2" t="s">
        <v>447</v>
      </c>
      <c r="B4400" s="2" t="s">
        <v>476</v>
      </c>
      <c r="C4400" s="2" t="n">
        <v>3</v>
      </c>
      <c r="D4400" s="2" t="s">
        <v>613</v>
      </c>
      <c r="E4400" s="2" t="s">
        <v>37</v>
      </c>
      <c r="F4400" s="2" t="n">
        <v>378</v>
      </c>
      <c r="G4400" s="2" t="n">
        <v>19</v>
      </c>
    </row>
    <row r="4401" customFormat="false" ht="16.5" hidden="false" customHeight="true" outlineLevel="0" collapsed="false">
      <c r="A4401" s="2" t="s">
        <v>447</v>
      </c>
      <c r="B4401" s="2" t="s">
        <v>476</v>
      </c>
      <c r="C4401" s="2" t="n">
        <v>3</v>
      </c>
      <c r="D4401" s="2" t="s">
        <v>613</v>
      </c>
      <c r="E4401" s="2" t="s">
        <v>38</v>
      </c>
      <c r="F4401" s="2" t="n">
        <v>378</v>
      </c>
      <c r="G4401" s="2" t="n">
        <v>23</v>
      </c>
    </row>
    <row r="4402" customFormat="false" ht="16.5" hidden="false" customHeight="true" outlineLevel="0" collapsed="false">
      <c r="A4402" s="2" t="s">
        <v>447</v>
      </c>
      <c r="B4402" s="2" t="s">
        <v>476</v>
      </c>
      <c r="C4402" s="2" t="n">
        <v>3</v>
      </c>
      <c r="D4402" s="2" t="s">
        <v>613</v>
      </c>
      <c r="E4402" s="2" t="s">
        <v>39</v>
      </c>
      <c r="F4402" s="2" t="n">
        <v>378</v>
      </c>
      <c r="G4402" s="2" t="n">
        <v>27</v>
      </c>
    </row>
    <row r="4403" customFormat="false" ht="16.5" hidden="false" customHeight="true" outlineLevel="0" collapsed="false">
      <c r="A4403" s="2" t="s">
        <v>447</v>
      </c>
      <c r="B4403" s="2" t="s">
        <v>476</v>
      </c>
      <c r="C4403" s="2" t="n">
        <v>3</v>
      </c>
      <c r="D4403" s="2" t="s">
        <v>613</v>
      </c>
      <c r="E4403" s="2" t="s">
        <v>40</v>
      </c>
      <c r="F4403" s="2" t="n">
        <v>378</v>
      </c>
      <c r="G4403" s="2" t="n">
        <v>31</v>
      </c>
    </row>
    <row r="4404" customFormat="false" ht="16.5" hidden="false" customHeight="true" outlineLevel="0" collapsed="false">
      <c r="A4404" s="2" t="s">
        <v>447</v>
      </c>
      <c r="B4404" s="2" t="s">
        <v>476</v>
      </c>
      <c r="C4404" s="2" t="n">
        <v>3</v>
      </c>
      <c r="D4404" s="2" t="s">
        <v>613</v>
      </c>
      <c r="E4404" s="2" t="s">
        <v>41</v>
      </c>
      <c r="F4404" s="2" t="n">
        <v>378</v>
      </c>
      <c r="G4404" s="2" t="n">
        <v>35</v>
      </c>
    </row>
    <row r="4405" customFormat="false" ht="16.5" hidden="false" customHeight="true" outlineLevel="0" collapsed="false">
      <c r="A4405" s="2" t="s">
        <v>447</v>
      </c>
      <c r="B4405" s="2" t="s">
        <v>476</v>
      </c>
      <c r="C4405" s="2" t="n">
        <v>3</v>
      </c>
      <c r="D4405" s="2" t="s">
        <v>613</v>
      </c>
      <c r="E4405" s="2" t="s">
        <v>42</v>
      </c>
      <c r="F4405" s="2" t="n">
        <v>378</v>
      </c>
      <c r="G4405" s="2" t="n">
        <v>39</v>
      </c>
    </row>
    <row r="4406" customFormat="false" ht="16.5" hidden="false" customHeight="true" outlineLevel="0" collapsed="false">
      <c r="A4406" s="2" t="s">
        <v>447</v>
      </c>
      <c r="B4406" s="2" t="s">
        <v>476</v>
      </c>
      <c r="C4406" s="2" t="n">
        <v>3</v>
      </c>
      <c r="D4406" s="2" t="s">
        <v>613</v>
      </c>
      <c r="E4406" s="2" t="s">
        <v>43</v>
      </c>
      <c r="F4406" s="2" t="n">
        <v>378</v>
      </c>
      <c r="G4406" s="2" t="n">
        <v>43</v>
      </c>
    </row>
    <row r="4407" customFormat="false" ht="16.5" hidden="false" customHeight="true" outlineLevel="0" collapsed="false">
      <c r="A4407" s="2" t="s">
        <v>447</v>
      </c>
      <c r="B4407" s="2" t="s">
        <v>476</v>
      </c>
      <c r="C4407" s="2" t="n">
        <v>3</v>
      </c>
      <c r="D4407" s="2" t="s">
        <v>613</v>
      </c>
      <c r="E4407" s="2" t="s">
        <v>44</v>
      </c>
      <c r="F4407" s="2" t="n">
        <v>378</v>
      </c>
      <c r="G4407" s="2" t="n">
        <v>47</v>
      </c>
    </row>
    <row r="4408" customFormat="false" ht="16.5" hidden="false" customHeight="true" outlineLevel="0" collapsed="false">
      <c r="A4408" s="2" t="s">
        <v>447</v>
      </c>
      <c r="B4408" s="2" t="s">
        <v>476</v>
      </c>
      <c r="C4408" s="2" t="n">
        <v>3</v>
      </c>
      <c r="D4408" s="2" t="s">
        <v>613</v>
      </c>
      <c r="E4408" s="2" t="s">
        <v>48</v>
      </c>
      <c r="F4408" s="2" t="n">
        <v>380</v>
      </c>
      <c r="G4408" s="2" t="n">
        <v>16</v>
      </c>
    </row>
    <row r="4409" customFormat="false" ht="16.5" hidden="false" customHeight="true" outlineLevel="0" collapsed="false">
      <c r="A4409" s="2" t="s">
        <v>447</v>
      </c>
      <c r="B4409" s="2" t="s">
        <v>476</v>
      </c>
      <c r="C4409" s="2" t="n">
        <v>3</v>
      </c>
      <c r="D4409" s="2" t="s">
        <v>613</v>
      </c>
      <c r="E4409" s="2" t="s">
        <v>50</v>
      </c>
      <c r="F4409" s="2" t="n">
        <v>380</v>
      </c>
      <c r="G4409" s="2" t="n">
        <v>20</v>
      </c>
    </row>
    <row r="4410" customFormat="false" ht="16.5" hidden="false" customHeight="true" outlineLevel="0" collapsed="false">
      <c r="A4410" s="2" t="s">
        <v>447</v>
      </c>
      <c r="B4410" s="2" t="s">
        <v>476</v>
      </c>
      <c r="C4410" s="2" t="n">
        <v>3</v>
      </c>
      <c r="D4410" s="2" t="s">
        <v>613</v>
      </c>
      <c r="E4410" s="2" t="s">
        <v>45</v>
      </c>
      <c r="F4410" s="2" t="n">
        <v>380</v>
      </c>
      <c r="G4410" s="2" t="n">
        <v>38</v>
      </c>
    </row>
    <row r="4411" customFormat="false" ht="16.5" hidden="false" customHeight="true" outlineLevel="0" collapsed="false">
      <c r="A4411" s="2" t="s">
        <v>447</v>
      </c>
      <c r="B4411" s="2" t="s">
        <v>476</v>
      </c>
      <c r="C4411" s="2" t="n">
        <v>3</v>
      </c>
      <c r="D4411" s="2" t="s">
        <v>613</v>
      </c>
      <c r="E4411" s="2" t="s">
        <v>46</v>
      </c>
      <c r="F4411" s="2" t="n">
        <v>380</v>
      </c>
      <c r="G4411" s="2" t="n">
        <v>42</v>
      </c>
    </row>
    <row r="4412" customFormat="false" ht="16.5" hidden="false" customHeight="true" outlineLevel="0" collapsed="false">
      <c r="A4412" s="2" t="s">
        <v>447</v>
      </c>
      <c r="B4412" s="2" t="s">
        <v>477</v>
      </c>
      <c r="C4412" s="2" t="n">
        <v>3</v>
      </c>
      <c r="D4412" s="2" t="s">
        <v>614</v>
      </c>
      <c r="E4412" s="2" t="s">
        <v>0</v>
      </c>
      <c r="F4412" s="2" t="n">
        <v>385</v>
      </c>
      <c r="G4412" s="2" t="n">
        <v>6</v>
      </c>
    </row>
    <row r="4413" customFormat="false" ht="16.5" hidden="false" customHeight="true" outlineLevel="0" collapsed="false">
      <c r="A4413" s="2" t="s">
        <v>447</v>
      </c>
      <c r="B4413" s="2" t="s">
        <v>477</v>
      </c>
      <c r="C4413" s="2" t="n">
        <v>3</v>
      </c>
      <c r="D4413" s="2" t="s">
        <v>614</v>
      </c>
      <c r="E4413" s="2" t="s">
        <v>1</v>
      </c>
      <c r="F4413" s="2" t="n">
        <v>385</v>
      </c>
      <c r="G4413" s="2" t="n">
        <v>10</v>
      </c>
    </row>
    <row r="4414" customFormat="false" ht="16.5" hidden="false" customHeight="true" outlineLevel="0" collapsed="false">
      <c r="A4414" s="2" t="s">
        <v>447</v>
      </c>
      <c r="B4414" s="2" t="s">
        <v>477</v>
      </c>
      <c r="C4414" s="2" t="n">
        <v>3</v>
      </c>
      <c r="D4414" s="2" t="s">
        <v>614</v>
      </c>
      <c r="E4414" s="2" t="s">
        <v>2</v>
      </c>
      <c r="F4414" s="2" t="n">
        <v>385</v>
      </c>
      <c r="G4414" s="2" t="n">
        <v>14</v>
      </c>
    </row>
    <row r="4415" customFormat="false" ht="16.5" hidden="false" customHeight="true" outlineLevel="0" collapsed="false">
      <c r="A4415" s="2" t="s">
        <v>447</v>
      </c>
      <c r="B4415" s="2" t="s">
        <v>477</v>
      </c>
      <c r="C4415" s="2" t="n">
        <v>3</v>
      </c>
      <c r="D4415" s="2" t="s">
        <v>614</v>
      </c>
      <c r="E4415" s="2" t="s">
        <v>3</v>
      </c>
      <c r="F4415" s="2" t="n">
        <v>385</v>
      </c>
      <c r="G4415" s="2" t="n">
        <v>18</v>
      </c>
    </row>
    <row r="4416" customFormat="false" ht="16.5" hidden="false" customHeight="true" outlineLevel="0" collapsed="false">
      <c r="A4416" s="2" t="s">
        <v>447</v>
      </c>
      <c r="B4416" s="2" t="s">
        <v>477</v>
      </c>
      <c r="C4416" s="2" t="n">
        <v>3</v>
      </c>
      <c r="D4416" s="2" t="s">
        <v>614</v>
      </c>
      <c r="E4416" s="2" t="s">
        <v>4</v>
      </c>
      <c r="F4416" s="2" t="n">
        <v>385</v>
      </c>
      <c r="G4416" s="2" t="n">
        <v>22</v>
      </c>
    </row>
    <row r="4417" customFormat="false" ht="16.5" hidden="false" customHeight="true" outlineLevel="0" collapsed="false">
      <c r="A4417" s="2" t="s">
        <v>447</v>
      </c>
      <c r="B4417" s="2" t="s">
        <v>477</v>
      </c>
      <c r="C4417" s="2" t="n">
        <v>3</v>
      </c>
      <c r="D4417" s="2" t="s">
        <v>614</v>
      </c>
      <c r="E4417" s="2" t="s">
        <v>5</v>
      </c>
      <c r="F4417" s="2" t="n">
        <v>385</v>
      </c>
      <c r="G4417" s="2" t="n">
        <v>26</v>
      </c>
    </row>
    <row r="4418" customFormat="false" ht="16.5" hidden="false" customHeight="true" outlineLevel="0" collapsed="false">
      <c r="A4418" s="2" t="s">
        <v>447</v>
      </c>
      <c r="B4418" s="2" t="s">
        <v>477</v>
      </c>
      <c r="C4418" s="2" t="n">
        <v>3</v>
      </c>
      <c r="D4418" s="2" t="s">
        <v>614</v>
      </c>
      <c r="E4418" s="2" t="s">
        <v>6</v>
      </c>
      <c r="F4418" s="2" t="n">
        <v>385</v>
      </c>
      <c r="G4418" s="2" t="n">
        <v>30</v>
      </c>
    </row>
    <row r="4419" customFormat="false" ht="16.5" hidden="false" customHeight="true" outlineLevel="0" collapsed="false">
      <c r="A4419" s="2" t="s">
        <v>447</v>
      </c>
      <c r="B4419" s="2" t="s">
        <v>477</v>
      </c>
      <c r="C4419" s="2" t="n">
        <v>3</v>
      </c>
      <c r="D4419" s="2" t="s">
        <v>614</v>
      </c>
      <c r="E4419" s="2" t="s">
        <v>7</v>
      </c>
      <c r="F4419" s="2" t="n">
        <v>385</v>
      </c>
      <c r="G4419" s="2" t="n">
        <v>34</v>
      </c>
    </row>
    <row r="4420" customFormat="false" ht="16.5" hidden="false" customHeight="true" outlineLevel="0" collapsed="false">
      <c r="A4420" s="2" t="s">
        <v>447</v>
      </c>
      <c r="B4420" s="2" t="s">
        <v>477</v>
      </c>
      <c r="C4420" s="2" t="n">
        <v>3</v>
      </c>
      <c r="D4420" s="2" t="s">
        <v>614</v>
      </c>
      <c r="E4420" s="2" t="s">
        <v>8</v>
      </c>
      <c r="F4420" s="2" t="n">
        <v>385</v>
      </c>
      <c r="G4420" s="2" t="n">
        <v>38</v>
      </c>
    </row>
    <row r="4421" customFormat="false" ht="16.5" hidden="false" customHeight="true" outlineLevel="0" collapsed="false">
      <c r="A4421" s="2" t="s">
        <v>447</v>
      </c>
      <c r="B4421" s="2" t="s">
        <v>477</v>
      </c>
      <c r="C4421" s="2" t="n">
        <v>3</v>
      </c>
      <c r="D4421" s="2" t="s">
        <v>614</v>
      </c>
      <c r="E4421" s="2" t="s">
        <v>9</v>
      </c>
      <c r="F4421" s="2" t="n">
        <v>385</v>
      </c>
      <c r="G4421" s="2" t="n">
        <v>42</v>
      </c>
    </row>
    <row r="4422" customFormat="false" ht="16.5" hidden="false" customHeight="true" outlineLevel="0" collapsed="false">
      <c r="A4422" s="2" t="s">
        <v>447</v>
      </c>
      <c r="B4422" s="2" t="s">
        <v>477</v>
      </c>
      <c r="C4422" s="2" t="n">
        <v>3</v>
      </c>
      <c r="D4422" s="2" t="s">
        <v>614</v>
      </c>
      <c r="E4422" s="2" t="s">
        <v>10</v>
      </c>
      <c r="F4422" s="2" t="n">
        <v>385</v>
      </c>
      <c r="G4422" s="2" t="n">
        <v>46</v>
      </c>
    </row>
    <row r="4423" customFormat="false" ht="16.5" hidden="false" customHeight="true" outlineLevel="0" collapsed="false">
      <c r="A4423" s="2" t="s">
        <v>447</v>
      </c>
      <c r="B4423" s="2" t="s">
        <v>477</v>
      </c>
      <c r="C4423" s="2" t="n">
        <v>3</v>
      </c>
      <c r="D4423" s="2" t="s">
        <v>614</v>
      </c>
      <c r="E4423" s="2" t="s">
        <v>11</v>
      </c>
      <c r="F4423" s="2" t="n">
        <v>385</v>
      </c>
      <c r="G4423" s="2" t="n">
        <v>50</v>
      </c>
    </row>
    <row r="4424" customFormat="false" ht="16.5" hidden="false" customHeight="true" outlineLevel="0" collapsed="false">
      <c r="A4424" s="2" t="s">
        <v>447</v>
      </c>
      <c r="B4424" s="2" t="s">
        <v>477</v>
      </c>
      <c r="C4424" s="2" t="n">
        <v>3</v>
      </c>
      <c r="D4424" s="2" t="s">
        <v>614</v>
      </c>
      <c r="E4424" s="2" t="s">
        <v>12</v>
      </c>
      <c r="F4424" s="2" t="n">
        <v>387</v>
      </c>
      <c r="G4424" s="2" t="n">
        <v>8</v>
      </c>
    </row>
    <row r="4425" customFormat="false" ht="16.5" hidden="false" customHeight="true" outlineLevel="0" collapsed="false">
      <c r="A4425" s="2" t="s">
        <v>447</v>
      </c>
      <c r="B4425" s="2" t="s">
        <v>477</v>
      </c>
      <c r="C4425" s="2" t="n">
        <v>3</v>
      </c>
      <c r="D4425" s="2" t="s">
        <v>614</v>
      </c>
      <c r="E4425" s="2" t="s">
        <v>13</v>
      </c>
      <c r="F4425" s="2" t="n">
        <v>387</v>
      </c>
      <c r="G4425" s="2" t="n">
        <v>12</v>
      </c>
    </row>
    <row r="4426" customFormat="false" ht="16.5" hidden="false" customHeight="true" outlineLevel="0" collapsed="false">
      <c r="A4426" s="2" t="s">
        <v>447</v>
      </c>
      <c r="B4426" s="2" t="s">
        <v>477</v>
      </c>
      <c r="C4426" s="2" t="n">
        <v>3</v>
      </c>
      <c r="D4426" s="2" t="s">
        <v>614</v>
      </c>
      <c r="E4426" s="2" t="s">
        <v>14</v>
      </c>
      <c r="F4426" s="2" t="n">
        <v>387</v>
      </c>
      <c r="G4426" s="2" t="n">
        <v>16</v>
      </c>
    </row>
    <row r="4427" customFormat="false" ht="16.5" hidden="false" customHeight="true" outlineLevel="0" collapsed="false">
      <c r="A4427" s="2" t="s">
        <v>447</v>
      </c>
      <c r="B4427" s="2" t="s">
        <v>477</v>
      </c>
      <c r="C4427" s="2" t="n">
        <v>3</v>
      </c>
      <c r="D4427" s="2" t="s">
        <v>614</v>
      </c>
      <c r="E4427" s="2" t="s">
        <v>15</v>
      </c>
      <c r="F4427" s="2" t="n">
        <v>387</v>
      </c>
      <c r="G4427" s="2" t="n">
        <v>20</v>
      </c>
    </row>
    <row r="4428" customFormat="false" ht="16.5" hidden="false" customHeight="true" outlineLevel="0" collapsed="false">
      <c r="A4428" s="2" t="s">
        <v>447</v>
      </c>
      <c r="B4428" s="2" t="s">
        <v>477</v>
      </c>
      <c r="C4428" s="2" t="n">
        <v>3</v>
      </c>
      <c r="D4428" s="2" t="s">
        <v>614</v>
      </c>
      <c r="E4428" s="2" t="s">
        <v>16</v>
      </c>
      <c r="F4428" s="2" t="n">
        <v>387</v>
      </c>
      <c r="G4428" s="2" t="n">
        <v>24</v>
      </c>
    </row>
    <row r="4429" customFormat="false" ht="16.5" hidden="false" customHeight="true" outlineLevel="0" collapsed="false">
      <c r="A4429" s="2" t="s">
        <v>447</v>
      </c>
      <c r="B4429" s="2" t="s">
        <v>477</v>
      </c>
      <c r="C4429" s="2" t="n">
        <v>3</v>
      </c>
      <c r="D4429" s="2" t="s">
        <v>614</v>
      </c>
      <c r="E4429" s="2" t="s">
        <v>17</v>
      </c>
      <c r="F4429" s="2" t="n">
        <v>387</v>
      </c>
      <c r="G4429" s="2" t="n">
        <v>28</v>
      </c>
    </row>
    <row r="4430" customFormat="false" ht="16.5" hidden="false" customHeight="true" outlineLevel="0" collapsed="false">
      <c r="A4430" s="2" t="s">
        <v>447</v>
      </c>
      <c r="B4430" s="2" t="s">
        <v>477</v>
      </c>
      <c r="C4430" s="2" t="n">
        <v>3</v>
      </c>
      <c r="D4430" s="2" t="s">
        <v>614</v>
      </c>
      <c r="E4430" s="2" t="s">
        <v>18</v>
      </c>
      <c r="F4430" s="2" t="n">
        <v>387</v>
      </c>
      <c r="G4430" s="2" t="n">
        <v>32</v>
      </c>
    </row>
    <row r="4431" customFormat="false" ht="16.5" hidden="false" customHeight="true" outlineLevel="0" collapsed="false">
      <c r="A4431" s="2" t="s">
        <v>447</v>
      </c>
      <c r="B4431" s="2" t="s">
        <v>477</v>
      </c>
      <c r="C4431" s="2" t="n">
        <v>3</v>
      </c>
      <c r="D4431" s="2" t="s">
        <v>614</v>
      </c>
      <c r="E4431" s="2" t="s">
        <v>19</v>
      </c>
      <c r="F4431" s="2" t="n">
        <v>387</v>
      </c>
      <c r="G4431" s="2" t="n">
        <v>36</v>
      </c>
    </row>
    <row r="4432" customFormat="false" ht="16.5" hidden="false" customHeight="true" outlineLevel="0" collapsed="false">
      <c r="A4432" s="2" t="s">
        <v>447</v>
      </c>
      <c r="B4432" s="2" t="s">
        <v>477</v>
      </c>
      <c r="C4432" s="2" t="n">
        <v>3</v>
      </c>
      <c r="D4432" s="2" t="s">
        <v>614</v>
      </c>
      <c r="E4432" s="2" t="s">
        <v>20</v>
      </c>
      <c r="F4432" s="2" t="n">
        <v>387</v>
      </c>
      <c r="G4432" s="2" t="n">
        <v>40</v>
      </c>
    </row>
    <row r="4433" customFormat="false" ht="16.5" hidden="false" customHeight="true" outlineLevel="0" collapsed="false">
      <c r="A4433" s="2" t="s">
        <v>447</v>
      </c>
      <c r="B4433" s="2" t="s">
        <v>477</v>
      </c>
      <c r="C4433" s="2" t="n">
        <v>3</v>
      </c>
      <c r="D4433" s="2" t="s">
        <v>614</v>
      </c>
      <c r="E4433" s="2" t="s">
        <v>21</v>
      </c>
      <c r="F4433" s="2" t="n">
        <v>387</v>
      </c>
      <c r="G4433" s="2" t="n">
        <v>44</v>
      </c>
    </row>
    <row r="4434" customFormat="false" ht="16.5" hidden="false" customHeight="true" outlineLevel="0" collapsed="false">
      <c r="A4434" s="2" t="s">
        <v>447</v>
      </c>
      <c r="B4434" s="2" t="s">
        <v>477</v>
      </c>
      <c r="C4434" s="2" t="n">
        <v>3</v>
      </c>
      <c r="D4434" s="2" t="s">
        <v>614</v>
      </c>
      <c r="E4434" s="2" t="s">
        <v>22</v>
      </c>
      <c r="F4434" s="2" t="n">
        <v>387</v>
      </c>
      <c r="G4434" s="2" t="n">
        <v>48</v>
      </c>
    </row>
    <row r="4435" customFormat="false" ht="16.5" hidden="false" customHeight="true" outlineLevel="0" collapsed="false">
      <c r="A4435" s="2" t="s">
        <v>447</v>
      </c>
      <c r="B4435" s="2" t="s">
        <v>477</v>
      </c>
      <c r="C4435" s="2" t="n">
        <v>3</v>
      </c>
      <c r="D4435" s="2" t="s">
        <v>614</v>
      </c>
      <c r="E4435" s="2" t="s">
        <v>23</v>
      </c>
      <c r="F4435" s="2" t="n">
        <v>387</v>
      </c>
      <c r="G4435" s="2" t="n">
        <v>52</v>
      </c>
    </row>
    <row r="4436" customFormat="false" ht="16.5" hidden="false" customHeight="true" outlineLevel="0" collapsed="false">
      <c r="A4436" s="2" t="s">
        <v>447</v>
      </c>
      <c r="B4436" s="2" t="s">
        <v>477</v>
      </c>
      <c r="C4436" s="2" t="n">
        <v>3</v>
      </c>
      <c r="D4436" s="2" t="s">
        <v>614</v>
      </c>
      <c r="E4436" s="2" t="s">
        <v>24</v>
      </c>
      <c r="F4436" s="2" t="n">
        <v>389</v>
      </c>
      <c r="G4436" s="2" t="n">
        <v>9</v>
      </c>
    </row>
    <row r="4437" customFormat="false" ht="16.5" hidden="false" customHeight="true" outlineLevel="0" collapsed="false">
      <c r="A4437" s="2" t="s">
        <v>447</v>
      </c>
      <c r="B4437" s="2" t="s">
        <v>477</v>
      </c>
      <c r="C4437" s="2" t="n">
        <v>3</v>
      </c>
      <c r="D4437" s="2" t="s">
        <v>614</v>
      </c>
      <c r="E4437" s="2" t="s">
        <v>25</v>
      </c>
      <c r="F4437" s="2" t="n">
        <v>389</v>
      </c>
      <c r="G4437" s="2" t="n">
        <v>13</v>
      </c>
    </row>
    <row r="4438" customFormat="false" ht="16.5" hidden="false" customHeight="true" outlineLevel="0" collapsed="false">
      <c r="A4438" s="2" t="s">
        <v>447</v>
      </c>
      <c r="B4438" s="2" t="s">
        <v>477</v>
      </c>
      <c r="C4438" s="2" t="n">
        <v>3</v>
      </c>
      <c r="D4438" s="2" t="s">
        <v>614</v>
      </c>
      <c r="E4438" s="2" t="s">
        <v>26</v>
      </c>
      <c r="F4438" s="2" t="n">
        <v>389</v>
      </c>
      <c r="G4438" s="2" t="n">
        <v>17</v>
      </c>
    </row>
    <row r="4439" customFormat="false" ht="16.5" hidden="false" customHeight="true" outlineLevel="0" collapsed="false">
      <c r="A4439" s="2" t="s">
        <v>447</v>
      </c>
      <c r="B4439" s="2" t="s">
        <v>477</v>
      </c>
      <c r="C4439" s="2" t="n">
        <v>3</v>
      </c>
      <c r="D4439" s="2" t="s">
        <v>614</v>
      </c>
      <c r="E4439" s="2" t="s">
        <v>27</v>
      </c>
      <c r="F4439" s="2" t="n">
        <v>389</v>
      </c>
      <c r="G4439" s="2" t="n">
        <v>21</v>
      </c>
    </row>
    <row r="4440" customFormat="false" ht="16.5" hidden="false" customHeight="true" outlineLevel="0" collapsed="false">
      <c r="A4440" s="2" t="s">
        <v>447</v>
      </c>
      <c r="B4440" s="2" t="s">
        <v>477</v>
      </c>
      <c r="C4440" s="2" t="n">
        <v>3</v>
      </c>
      <c r="D4440" s="2" t="s">
        <v>614</v>
      </c>
      <c r="E4440" s="2" t="s">
        <v>28</v>
      </c>
      <c r="F4440" s="2" t="n">
        <v>389</v>
      </c>
      <c r="G4440" s="2" t="n">
        <v>25</v>
      </c>
    </row>
    <row r="4441" customFormat="false" ht="16.5" hidden="false" customHeight="true" outlineLevel="0" collapsed="false">
      <c r="A4441" s="2" t="s">
        <v>447</v>
      </c>
      <c r="B4441" s="2" t="s">
        <v>477</v>
      </c>
      <c r="C4441" s="2" t="n">
        <v>3</v>
      </c>
      <c r="D4441" s="2" t="s">
        <v>614</v>
      </c>
      <c r="E4441" s="2" t="s">
        <v>29</v>
      </c>
      <c r="F4441" s="2" t="n">
        <v>389</v>
      </c>
      <c r="G4441" s="2" t="n">
        <v>29</v>
      </c>
    </row>
    <row r="4442" customFormat="false" ht="16.5" hidden="false" customHeight="true" outlineLevel="0" collapsed="false">
      <c r="A4442" s="2" t="s">
        <v>447</v>
      </c>
      <c r="B4442" s="2" t="s">
        <v>477</v>
      </c>
      <c r="C4442" s="2" t="n">
        <v>3</v>
      </c>
      <c r="D4442" s="2" t="s">
        <v>614</v>
      </c>
      <c r="E4442" s="2" t="s">
        <v>30</v>
      </c>
      <c r="F4442" s="2" t="n">
        <v>389</v>
      </c>
      <c r="G4442" s="2" t="n">
        <v>33</v>
      </c>
    </row>
    <row r="4443" customFormat="false" ht="16.5" hidden="false" customHeight="true" outlineLevel="0" collapsed="false">
      <c r="A4443" s="2" t="s">
        <v>447</v>
      </c>
      <c r="B4443" s="2" t="s">
        <v>477</v>
      </c>
      <c r="C4443" s="2" t="n">
        <v>3</v>
      </c>
      <c r="D4443" s="2" t="s">
        <v>614</v>
      </c>
      <c r="E4443" s="2" t="s">
        <v>31</v>
      </c>
      <c r="F4443" s="2" t="n">
        <v>389</v>
      </c>
      <c r="G4443" s="2" t="n">
        <v>37</v>
      </c>
    </row>
    <row r="4444" customFormat="false" ht="16.5" hidden="false" customHeight="true" outlineLevel="0" collapsed="false">
      <c r="A4444" s="2" t="s">
        <v>447</v>
      </c>
      <c r="B4444" s="2" t="s">
        <v>477</v>
      </c>
      <c r="C4444" s="2" t="n">
        <v>3</v>
      </c>
      <c r="D4444" s="2" t="s">
        <v>614</v>
      </c>
      <c r="E4444" s="2" t="s">
        <v>32</v>
      </c>
      <c r="F4444" s="2" t="n">
        <v>389</v>
      </c>
      <c r="G4444" s="2" t="n">
        <v>41</v>
      </c>
    </row>
    <row r="4445" customFormat="false" ht="16.5" hidden="false" customHeight="true" outlineLevel="0" collapsed="false">
      <c r="A4445" s="2" t="s">
        <v>447</v>
      </c>
      <c r="B4445" s="2" t="s">
        <v>477</v>
      </c>
      <c r="C4445" s="2" t="n">
        <v>3</v>
      </c>
      <c r="D4445" s="2" t="s">
        <v>614</v>
      </c>
      <c r="E4445" s="2" t="s">
        <v>33</v>
      </c>
      <c r="F4445" s="2" t="n">
        <v>389</v>
      </c>
      <c r="G4445" s="2" t="n">
        <v>45</v>
      </c>
    </row>
    <row r="4446" customFormat="false" ht="16.5" hidden="false" customHeight="true" outlineLevel="0" collapsed="false">
      <c r="A4446" s="2" t="s">
        <v>447</v>
      </c>
      <c r="B4446" s="2" t="s">
        <v>477</v>
      </c>
      <c r="C4446" s="2" t="n">
        <v>3</v>
      </c>
      <c r="D4446" s="2" t="s">
        <v>614</v>
      </c>
      <c r="E4446" s="2" t="s">
        <v>34</v>
      </c>
      <c r="F4446" s="2" t="n">
        <v>389</v>
      </c>
      <c r="G4446" s="2" t="n">
        <v>49</v>
      </c>
    </row>
    <row r="4447" customFormat="false" ht="16.5" hidden="false" customHeight="true" outlineLevel="0" collapsed="false">
      <c r="A4447" s="2" t="s">
        <v>447</v>
      </c>
      <c r="B4447" s="2" t="s">
        <v>477</v>
      </c>
      <c r="C4447" s="2" t="n">
        <v>3</v>
      </c>
      <c r="D4447" s="2" t="s">
        <v>614</v>
      </c>
      <c r="E4447" s="2" t="s">
        <v>35</v>
      </c>
      <c r="F4447" s="2" t="n">
        <v>391</v>
      </c>
      <c r="G4447" s="2" t="n">
        <v>11</v>
      </c>
    </row>
    <row r="4448" customFormat="false" ht="16.5" hidden="false" customHeight="true" outlineLevel="0" collapsed="false">
      <c r="A4448" s="2" t="s">
        <v>447</v>
      </c>
      <c r="B4448" s="2" t="s">
        <v>477</v>
      </c>
      <c r="C4448" s="2" t="n">
        <v>3</v>
      </c>
      <c r="D4448" s="2" t="s">
        <v>614</v>
      </c>
      <c r="E4448" s="2" t="s">
        <v>36</v>
      </c>
      <c r="F4448" s="2" t="n">
        <v>391</v>
      </c>
      <c r="G4448" s="2" t="n">
        <v>15</v>
      </c>
    </row>
    <row r="4449" customFormat="false" ht="16.5" hidden="false" customHeight="true" outlineLevel="0" collapsed="false">
      <c r="A4449" s="2" t="s">
        <v>447</v>
      </c>
      <c r="B4449" s="2" t="s">
        <v>477</v>
      </c>
      <c r="C4449" s="2" t="n">
        <v>3</v>
      </c>
      <c r="D4449" s="2" t="s">
        <v>614</v>
      </c>
      <c r="E4449" s="2" t="s">
        <v>37</v>
      </c>
      <c r="F4449" s="2" t="n">
        <v>391</v>
      </c>
      <c r="G4449" s="2" t="n">
        <v>19</v>
      </c>
    </row>
    <row r="4450" customFormat="false" ht="16.5" hidden="false" customHeight="true" outlineLevel="0" collapsed="false">
      <c r="A4450" s="2" t="s">
        <v>447</v>
      </c>
      <c r="B4450" s="2" t="s">
        <v>477</v>
      </c>
      <c r="C4450" s="2" t="n">
        <v>3</v>
      </c>
      <c r="D4450" s="2" t="s">
        <v>614</v>
      </c>
      <c r="E4450" s="2" t="s">
        <v>38</v>
      </c>
      <c r="F4450" s="2" t="n">
        <v>391</v>
      </c>
      <c r="G4450" s="2" t="n">
        <v>23</v>
      </c>
    </row>
    <row r="4451" customFormat="false" ht="16.5" hidden="false" customHeight="true" outlineLevel="0" collapsed="false">
      <c r="A4451" s="2" t="s">
        <v>447</v>
      </c>
      <c r="B4451" s="2" t="s">
        <v>477</v>
      </c>
      <c r="C4451" s="2" t="n">
        <v>3</v>
      </c>
      <c r="D4451" s="2" t="s">
        <v>614</v>
      </c>
      <c r="E4451" s="2" t="s">
        <v>39</v>
      </c>
      <c r="F4451" s="2" t="n">
        <v>391</v>
      </c>
      <c r="G4451" s="2" t="n">
        <v>27</v>
      </c>
    </row>
    <row r="4452" customFormat="false" ht="16.5" hidden="false" customHeight="true" outlineLevel="0" collapsed="false">
      <c r="A4452" s="2" t="s">
        <v>447</v>
      </c>
      <c r="B4452" s="2" t="s">
        <v>477</v>
      </c>
      <c r="C4452" s="2" t="n">
        <v>3</v>
      </c>
      <c r="D4452" s="2" t="s">
        <v>614</v>
      </c>
      <c r="E4452" s="2" t="s">
        <v>40</v>
      </c>
      <c r="F4452" s="2" t="n">
        <v>391</v>
      </c>
      <c r="G4452" s="2" t="n">
        <v>31</v>
      </c>
    </row>
    <row r="4453" customFormat="false" ht="16.5" hidden="false" customHeight="true" outlineLevel="0" collapsed="false">
      <c r="A4453" s="2" t="s">
        <v>447</v>
      </c>
      <c r="B4453" s="2" t="s">
        <v>477</v>
      </c>
      <c r="C4453" s="2" t="n">
        <v>3</v>
      </c>
      <c r="D4453" s="2" t="s">
        <v>614</v>
      </c>
      <c r="E4453" s="2" t="s">
        <v>41</v>
      </c>
      <c r="F4453" s="2" t="n">
        <v>391</v>
      </c>
      <c r="G4453" s="2" t="n">
        <v>35</v>
      </c>
    </row>
    <row r="4454" customFormat="false" ht="16.5" hidden="false" customHeight="true" outlineLevel="0" collapsed="false">
      <c r="A4454" s="2" t="s">
        <v>447</v>
      </c>
      <c r="B4454" s="2" t="s">
        <v>477</v>
      </c>
      <c r="C4454" s="2" t="n">
        <v>3</v>
      </c>
      <c r="D4454" s="2" t="s">
        <v>614</v>
      </c>
      <c r="E4454" s="2" t="s">
        <v>42</v>
      </c>
      <c r="F4454" s="2" t="n">
        <v>391</v>
      </c>
      <c r="G4454" s="2" t="n">
        <v>39</v>
      </c>
    </row>
    <row r="4455" customFormat="false" ht="16.5" hidden="false" customHeight="true" outlineLevel="0" collapsed="false">
      <c r="A4455" s="2" t="s">
        <v>447</v>
      </c>
      <c r="B4455" s="2" t="s">
        <v>477</v>
      </c>
      <c r="C4455" s="2" t="n">
        <v>3</v>
      </c>
      <c r="D4455" s="2" t="s">
        <v>614</v>
      </c>
      <c r="E4455" s="2" t="s">
        <v>43</v>
      </c>
      <c r="F4455" s="2" t="n">
        <v>391</v>
      </c>
      <c r="G4455" s="2" t="n">
        <v>43</v>
      </c>
    </row>
    <row r="4456" customFormat="false" ht="16.5" hidden="false" customHeight="true" outlineLevel="0" collapsed="false">
      <c r="A4456" s="2" t="s">
        <v>447</v>
      </c>
      <c r="B4456" s="2" t="s">
        <v>477</v>
      </c>
      <c r="C4456" s="2" t="n">
        <v>3</v>
      </c>
      <c r="D4456" s="2" t="s">
        <v>614</v>
      </c>
      <c r="E4456" s="2" t="s">
        <v>44</v>
      </c>
      <c r="F4456" s="2" t="n">
        <v>391</v>
      </c>
      <c r="G4456" s="2" t="n">
        <v>47</v>
      </c>
    </row>
    <row r="4457" customFormat="false" ht="16.5" hidden="false" customHeight="true" outlineLevel="0" collapsed="false">
      <c r="A4457" s="2" t="s">
        <v>447</v>
      </c>
      <c r="B4457" s="2" t="s">
        <v>477</v>
      </c>
      <c r="C4457" s="2" t="n">
        <v>3</v>
      </c>
      <c r="D4457" s="2" t="s">
        <v>614</v>
      </c>
      <c r="E4457" s="2" t="s">
        <v>48</v>
      </c>
      <c r="F4457" s="2" t="n">
        <v>393</v>
      </c>
      <c r="G4457" s="2" t="n">
        <v>16</v>
      </c>
    </row>
    <row r="4458" customFormat="false" ht="16.5" hidden="false" customHeight="true" outlineLevel="0" collapsed="false">
      <c r="A4458" s="2" t="s">
        <v>447</v>
      </c>
      <c r="B4458" s="2" t="s">
        <v>477</v>
      </c>
      <c r="C4458" s="2" t="n">
        <v>3</v>
      </c>
      <c r="D4458" s="2" t="s">
        <v>614</v>
      </c>
      <c r="E4458" s="2" t="s">
        <v>50</v>
      </c>
      <c r="F4458" s="2" t="n">
        <v>393</v>
      </c>
      <c r="G4458" s="2" t="n">
        <v>20</v>
      </c>
    </row>
    <row r="4459" customFormat="false" ht="16.5" hidden="false" customHeight="true" outlineLevel="0" collapsed="false">
      <c r="A4459" s="2" t="s">
        <v>447</v>
      </c>
      <c r="B4459" s="2" t="s">
        <v>477</v>
      </c>
      <c r="C4459" s="2" t="n">
        <v>3</v>
      </c>
      <c r="D4459" s="2" t="s">
        <v>614</v>
      </c>
      <c r="E4459" s="2" t="s">
        <v>45</v>
      </c>
      <c r="F4459" s="2" t="n">
        <v>393</v>
      </c>
      <c r="G4459" s="2" t="n">
        <v>38</v>
      </c>
    </row>
    <row r="4460" customFormat="false" ht="16.5" hidden="false" customHeight="true" outlineLevel="0" collapsed="false">
      <c r="A4460" s="2" t="s">
        <v>447</v>
      </c>
      <c r="B4460" s="2" t="s">
        <v>477</v>
      </c>
      <c r="C4460" s="2" t="n">
        <v>3</v>
      </c>
      <c r="D4460" s="2" t="s">
        <v>614</v>
      </c>
      <c r="E4460" s="2" t="s">
        <v>46</v>
      </c>
      <c r="F4460" s="2" t="n">
        <v>393</v>
      </c>
      <c r="G4460" s="2" t="n">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2026-08-28T22:57:10Z</dcterms:created>
  <dc:creator>openpyxl</dc:creator>
  <dc:description/>
  <dc:language>en-US</dc:language>
  <cp:lastModifiedBy>Owner</cp:lastModifiedBy>
  <dcterms:modified xsi:type="dcterms:W3CDTF">2026-09-05T13:22:22Z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